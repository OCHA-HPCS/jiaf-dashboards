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defaultThemeVersion="166925"/>
  <mc:AlternateContent xmlns:mc="http://schemas.openxmlformats.org/markup-compatibility/2006">
    <mc:Choice Requires="x15">
      <x15ac:absPath xmlns:x15ac="http://schemas.microsoft.com/office/spreadsheetml/2010/11/ac" url="https://unitednations.sharepoint.com/sites/JIAG-JointIntersectorAnalysisGroup/Shared Documents/04 - Technical support and HelpDesk/JIAF 2.0 Severity 5 Review Committee/Haiti/"/>
    </mc:Choice>
  </mc:AlternateContent>
  <xr:revisionPtr revIDLastSave="0" documentId="8_{A08DC3F2-4353-490F-96DE-8592972BC395}" xr6:coauthVersionLast="47" xr6:coauthVersionMax="47" xr10:uidLastSave="{00000000-0000-0000-0000-000000000000}"/>
  <bookViews>
    <workbookView xWindow="-96" yWindow="-96" windowWidth="23232" windowHeight="12552" tabRatio="692" firstSheet="4" activeTab="4" xr2:uid="{D7B6F9FA-E942-409C-A119-37236683EDB5}"/>
  </bookViews>
  <sheets>
    <sheet name="Read Me" sheetId="35" r:id="rId1"/>
    <sheet name="Thresholds" sheetId="44" r:id="rId2"/>
    <sheet name="Sheet1" sheetId="116" r:id="rId3"/>
    <sheet name="WS - 3.1 Overall PiN" sheetId="27" r:id="rId4"/>
    <sheet name="PiN Historical Trend" sheetId="92" r:id="rId5"/>
    <sheet name="PiN Visuals" sheetId="100" state="hidden" r:id="rId6"/>
    <sheet name="CIBLE" sheetId="113" r:id="rId7"/>
    <sheet name="WS - 3.2 Intersectoral Severity" sheetId="93" r:id="rId8"/>
    <sheet name="Reference Table Indicators" sheetId="94" r:id="rId9"/>
    <sheet name="Tableau Recap_v1" sheetId="114" state="hidden" r:id="rId10"/>
    <sheet name="Tableau Recap_v2" sheetId="115" r:id="rId11"/>
    <sheet name="Preliminary results graph" sheetId="105" state="hidden" r:id="rId12"/>
    <sheet name="PiN &amp; Sev - Corr Coeff" sheetId="108" state="hidden" r:id="rId13"/>
    <sheet name="PiN &amp; Sev - value overlapping" sheetId="110" state="hidden" r:id="rId14"/>
    <sheet name="PiN &amp; Sev - 1st &amp; 2nd highest" sheetId="112" state="hidden" r:id="rId15"/>
  </sheets>
  <definedNames>
    <definedName name="_xlnm._FilterDatabase" localSheetId="6" hidden="1">CIBLE!$AH$3:$AI$3</definedName>
    <definedName name="_xlnm._FilterDatabase" localSheetId="4" hidden="1">'PiN Historical Trend'!#REF!</definedName>
    <definedName name="_xlnm._FilterDatabase" localSheetId="5" hidden="1">'PiN Visuals'!$A$6:$F$20</definedName>
    <definedName name="_xlnm._FilterDatabase" localSheetId="8" hidden="1">'Reference Table Indicators'!#REF!</definedName>
    <definedName name="_xlnm._FilterDatabase" localSheetId="3" hidden="1">'WS - 3.1 Overall PiN'!$BK$3:$BL$3</definedName>
    <definedName name="_xlnm._FilterDatabase" localSheetId="7" hidden="1">'WS - 3.2 Intersectoral Severity'!$AU$3:$AV$3</definedName>
    <definedName name="flag_pin_historical" localSheetId="6">#REF!</definedName>
    <definedName name="flag_pin_historical" localSheetId="9">#REF!</definedName>
    <definedName name="flag_pin_historical" localSheetId="10">#REF!</definedName>
    <definedName name="flag_pin_historical">Thresholds!$D$13</definedName>
    <definedName name="flag_pin_perc" localSheetId="6">#REF!</definedName>
    <definedName name="flag_pin_perc" localSheetId="9">#REF!</definedName>
    <definedName name="flag_pin_perc" localSheetId="10">#REF!</definedName>
    <definedName name="flag_pin_perc">Thresholds!$D$12</definedName>
    <definedName name="perc_1st_2nd" localSheetId="6">#REF!</definedName>
    <definedName name="perc_1st_2nd" localSheetId="9">#REF!</definedName>
    <definedName name="perc_1st_2nd" localSheetId="10">#REF!</definedName>
    <definedName name="perc_1st_2nd">Thresholds!$D$9</definedName>
    <definedName name="perc_1st_3rd" localSheetId="6">#REF!</definedName>
    <definedName name="perc_1st_3rd" localSheetId="9">#REF!</definedName>
    <definedName name="perc_1st_3rd" localSheetId="10">#REF!</definedName>
    <definedName name="perc_1st_3rd">Thresholds!$D$10</definedName>
    <definedName name="pin_perc">'PiN Visuals'!$B$5:$F$16</definedName>
    <definedName name="sectors_sev_4">Thresholds!$D$29</definedName>
    <definedName name="sectors_sev_5" localSheetId="6">#REF!</definedName>
    <definedName name="sectors_sev_5" localSheetId="9">#REF!</definedName>
    <definedName name="sectors_sev_5" localSheetId="10">#REF!</definedName>
    <definedName name="sectors_sev_5">Thresholds!$D$28</definedName>
    <definedName name="zero_pin_thresh" localSheetId="6">#REF!</definedName>
    <definedName name="zero_pin_thresh" localSheetId="9">#REF!</definedName>
    <definedName name="zero_pin_thresh" localSheetId="10">#REF!</definedName>
    <definedName name="zero_pin_thresh">Thresholds!$D$8</definedName>
  </definedNames>
  <calcPr calcId="191028"/>
  <pivotCaches>
    <pivotCache cacheId="2629"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94" l="1" a="1"/>
  <c r="N4" i="94" s="1"/>
  <c r="W4" i="93"/>
  <c r="X4" i="93"/>
  <c r="Y4" i="93"/>
  <c r="Z4" i="93"/>
  <c r="AA4" i="93"/>
  <c r="W5" i="93"/>
  <c r="X5" i="93"/>
  <c r="Y5" i="93"/>
  <c r="Z5" i="93"/>
  <c r="AA5" i="93"/>
  <c r="W6" i="93"/>
  <c r="X6" i="93"/>
  <c r="Y6" i="93"/>
  <c r="Z6" i="93"/>
  <c r="AA6" i="93"/>
  <c r="W7" i="93"/>
  <c r="X7" i="93"/>
  <c r="Y7" i="93"/>
  <c r="Z7" i="93"/>
  <c r="AA7" i="93"/>
  <c r="W8" i="93"/>
  <c r="X8" i="93"/>
  <c r="Y8" i="93"/>
  <c r="Z8" i="93"/>
  <c r="AA8" i="93"/>
  <c r="W9" i="93"/>
  <c r="X9" i="93"/>
  <c r="Y9" i="93"/>
  <c r="Z9" i="93"/>
  <c r="AA9" i="93"/>
  <c r="W10" i="93"/>
  <c r="X10" i="93"/>
  <c r="Y10" i="93"/>
  <c r="Z10" i="93"/>
  <c r="AA10" i="93"/>
  <c r="W11" i="93"/>
  <c r="X11" i="93"/>
  <c r="Y11" i="93"/>
  <c r="Z11" i="93"/>
  <c r="AA11" i="93"/>
  <c r="AS6" i="113"/>
  <c r="AS7" i="113"/>
  <c r="AS8" i="113"/>
  <c r="AS9" i="113"/>
  <c r="AS15" i="113"/>
  <c r="AS16" i="113"/>
  <c r="AS21" i="113"/>
  <c r="AS68" i="113"/>
  <c r="AS69" i="113"/>
  <c r="AS72" i="113"/>
  <c r="AS74" i="113"/>
  <c r="AS76" i="113"/>
  <c r="AS86" i="113"/>
  <c r="AS88" i="113"/>
  <c r="AS144" i="113"/>
  <c r="AJ5" i="113" l="1"/>
  <c r="AJ6" i="113"/>
  <c r="AJ7" i="113"/>
  <c r="AJ8" i="113"/>
  <c r="AJ9" i="113"/>
  <c r="AJ10" i="113"/>
  <c r="AJ11" i="113"/>
  <c r="AJ12" i="113"/>
  <c r="AJ13" i="113"/>
  <c r="AJ14" i="113"/>
  <c r="AJ15" i="113"/>
  <c r="AJ16" i="113"/>
  <c r="AJ17" i="113"/>
  <c r="AJ18" i="113"/>
  <c r="AJ19" i="113"/>
  <c r="AJ20" i="113"/>
  <c r="AJ21" i="113"/>
  <c r="AJ22" i="113"/>
  <c r="AJ23" i="113"/>
  <c r="AJ24" i="113"/>
  <c r="AJ25" i="113"/>
  <c r="AJ26" i="113"/>
  <c r="AJ27" i="113"/>
  <c r="AJ28" i="113"/>
  <c r="AJ29" i="113"/>
  <c r="AJ30" i="113"/>
  <c r="AJ31" i="113"/>
  <c r="AJ32" i="113"/>
  <c r="AJ33" i="113"/>
  <c r="AJ34" i="113"/>
  <c r="AJ35" i="113"/>
  <c r="AJ36" i="113"/>
  <c r="AJ37" i="113"/>
  <c r="AJ38" i="113"/>
  <c r="AJ39" i="113"/>
  <c r="AJ40" i="113"/>
  <c r="AJ41" i="113"/>
  <c r="AJ42" i="113"/>
  <c r="AJ43" i="113"/>
  <c r="AJ44" i="113"/>
  <c r="AJ45" i="113"/>
  <c r="AJ46" i="113"/>
  <c r="AJ47" i="113"/>
  <c r="AJ48" i="113"/>
  <c r="AJ49" i="113"/>
  <c r="AJ50" i="113"/>
  <c r="AJ51" i="113"/>
  <c r="AJ52" i="113"/>
  <c r="AJ53" i="113"/>
  <c r="AJ54" i="113"/>
  <c r="AJ55" i="113"/>
  <c r="AJ56" i="113"/>
  <c r="AJ57" i="113"/>
  <c r="AJ58" i="113"/>
  <c r="AJ59" i="113"/>
  <c r="AJ60" i="113"/>
  <c r="AJ61" i="113"/>
  <c r="AJ62" i="113"/>
  <c r="AJ63" i="113"/>
  <c r="AJ64" i="113"/>
  <c r="AJ65" i="113"/>
  <c r="AJ66" i="113"/>
  <c r="AJ67" i="113"/>
  <c r="AJ68" i="113"/>
  <c r="AJ69" i="113"/>
  <c r="AJ70" i="113"/>
  <c r="AJ71" i="113"/>
  <c r="AJ72" i="113"/>
  <c r="AJ73" i="113"/>
  <c r="AJ74" i="113"/>
  <c r="AJ75" i="113"/>
  <c r="AJ76" i="113"/>
  <c r="AJ77" i="113"/>
  <c r="AJ78" i="113"/>
  <c r="AJ79" i="113"/>
  <c r="AJ80" i="113"/>
  <c r="AJ81" i="113"/>
  <c r="AJ82" i="113"/>
  <c r="AJ83" i="113"/>
  <c r="AJ84" i="113"/>
  <c r="AJ85" i="113"/>
  <c r="AJ86" i="113"/>
  <c r="AJ87" i="113"/>
  <c r="AJ88" i="113"/>
  <c r="AJ89" i="113"/>
  <c r="AJ90" i="113"/>
  <c r="AJ91" i="113"/>
  <c r="AJ92" i="113"/>
  <c r="AJ93" i="113"/>
  <c r="AJ94" i="113"/>
  <c r="AJ95" i="113"/>
  <c r="AJ96" i="113"/>
  <c r="AJ97" i="113"/>
  <c r="AJ98" i="113"/>
  <c r="AJ99" i="113"/>
  <c r="AJ100" i="113"/>
  <c r="AJ101" i="113"/>
  <c r="AJ102" i="113"/>
  <c r="AJ103" i="113"/>
  <c r="AJ104" i="113"/>
  <c r="AJ105" i="113"/>
  <c r="AJ106" i="113"/>
  <c r="AJ107" i="113"/>
  <c r="AJ108" i="113"/>
  <c r="AJ109" i="113"/>
  <c r="AJ110" i="113"/>
  <c r="AJ111" i="113"/>
  <c r="AJ112" i="113"/>
  <c r="AJ113" i="113"/>
  <c r="AJ114" i="113"/>
  <c r="AJ115" i="113"/>
  <c r="AJ116" i="113"/>
  <c r="AJ117" i="113"/>
  <c r="AJ118" i="113"/>
  <c r="AJ119" i="113"/>
  <c r="AJ120" i="113"/>
  <c r="AJ121" i="113"/>
  <c r="AJ122" i="113"/>
  <c r="AJ123" i="113"/>
  <c r="AJ124" i="113"/>
  <c r="AJ125" i="113"/>
  <c r="AJ126" i="113"/>
  <c r="AJ127" i="113"/>
  <c r="AJ128" i="113"/>
  <c r="AJ129" i="113"/>
  <c r="AJ130" i="113"/>
  <c r="AJ131" i="113"/>
  <c r="AJ132" i="113"/>
  <c r="AJ133" i="113"/>
  <c r="AJ134" i="113"/>
  <c r="AJ135" i="113"/>
  <c r="AJ136" i="113"/>
  <c r="AJ137" i="113"/>
  <c r="AJ138" i="113"/>
  <c r="AJ139" i="113"/>
  <c r="AJ140" i="113"/>
  <c r="AJ141" i="113"/>
  <c r="AJ142" i="113"/>
  <c r="AJ143" i="113"/>
  <c r="AJ4" i="113"/>
  <c r="M5" i="115" l="1"/>
  <c r="H36" i="115" l="1"/>
  <c r="N26" i="115"/>
  <c r="N27" i="115"/>
  <c r="N28" i="115"/>
  <c r="N29" i="115"/>
  <c r="N30" i="115"/>
  <c r="N31" i="115"/>
  <c r="N32" i="115"/>
  <c r="N33" i="115"/>
  <c r="N34" i="115"/>
  <c r="N35" i="115"/>
  <c r="N36" i="115"/>
  <c r="N16" i="115" l="1"/>
  <c r="N37" i="115" s="1"/>
  <c r="M13" i="115"/>
  <c r="I37" i="115" l="1"/>
  <c r="M36" i="115"/>
  <c r="L36" i="115"/>
  <c r="J36" i="115"/>
  <c r="I36" i="115"/>
  <c r="K36" i="115" s="1"/>
  <c r="G36" i="115"/>
  <c r="F36" i="115"/>
  <c r="D36" i="115"/>
  <c r="C36" i="115"/>
  <c r="M35" i="115"/>
  <c r="L35" i="115"/>
  <c r="O35" i="115" s="1"/>
  <c r="I35" i="115"/>
  <c r="D35" i="115"/>
  <c r="C35" i="115"/>
  <c r="L34" i="115"/>
  <c r="I34" i="115"/>
  <c r="D34" i="115"/>
  <c r="C34" i="115"/>
  <c r="M33" i="115"/>
  <c r="L33" i="115"/>
  <c r="I33" i="115"/>
  <c r="F33" i="115"/>
  <c r="C33" i="115"/>
  <c r="M32" i="115"/>
  <c r="L32" i="115"/>
  <c r="I32" i="115"/>
  <c r="F32" i="115"/>
  <c r="C32" i="115"/>
  <c r="M31" i="115"/>
  <c r="L31" i="115"/>
  <c r="I31" i="115"/>
  <c r="F31" i="115"/>
  <c r="C31" i="115"/>
  <c r="M30" i="115"/>
  <c r="L30" i="115"/>
  <c r="O30" i="115" s="1"/>
  <c r="I30" i="115"/>
  <c r="F30" i="115"/>
  <c r="C30" i="115"/>
  <c r="M29" i="115"/>
  <c r="O29" i="115" s="1"/>
  <c r="L29" i="115"/>
  <c r="I29" i="115"/>
  <c r="F29" i="115"/>
  <c r="C29" i="115"/>
  <c r="M28" i="115"/>
  <c r="L28" i="115"/>
  <c r="I28" i="115"/>
  <c r="F28" i="115"/>
  <c r="C28" i="115"/>
  <c r="M27" i="115"/>
  <c r="O27" i="115" s="1"/>
  <c r="L27" i="115"/>
  <c r="I27" i="115"/>
  <c r="F27" i="115"/>
  <c r="C27" i="115"/>
  <c r="M26" i="115"/>
  <c r="L26" i="115"/>
  <c r="I26" i="115"/>
  <c r="F26" i="115"/>
  <c r="C26" i="115"/>
  <c r="L16" i="115"/>
  <c r="O15" i="115"/>
  <c r="K15" i="115"/>
  <c r="H15" i="115"/>
  <c r="O14" i="115"/>
  <c r="O13" i="115"/>
  <c r="O12" i="115"/>
  <c r="O11" i="115"/>
  <c r="O10" i="115"/>
  <c r="O9" i="115"/>
  <c r="O8" i="115"/>
  <c r="O7" i="115"/>
  <c r="O6" i="115"/>
  <c r="O5" i="115"/>
  <c r="O32" i="115" l="1"/>
  <c r="O33" i="115"/>
  <c r="O31" i="115"/>
  <c r="L37" i="115"/>
  <c r="O28" i="115"/>
  <c r="O26" i="115"/>
  <c r="M16" i="115"/>
  <c r="M34" i="115"/>
  <c r="O34" i="115" s="1"/>
  <c r="Q146" i="113"/>
  <c r="G5" i="115" s="1"/>
  <c r="G32" i="115" s="1"/>
  <c r="H32" i="115" s="1"/>
  <c r="A145" i="113"/>
  <c r="X145" i="113"/>
  <c r="Y145" i="113"/>
  <c r="Z145" i="113"/>
  <c r="AA145" i="113"/>
  <c r="AB145" i="113"/>
  <c r="AC145" i="113"/>
  <c r="AD145" i="113"/>
  <c r="AE145" i="113"/>
  <c r="AH145" i="113"/>
  <c r="P146" i="113"/>
  <c r="G10" i="115" s="1"/>
  <c r="G31" i="115" s="1"/>
  <c r="H31" i="115" s="1"/>
  <c r="K146" i="113"/>
  <c r="G6" i="115" s="1"/>
  <c r="G26" i="115" s="1"/>
  <c r="H26" i="115" s="1"/>
  <c r="AG145" i="113" l="1"/>
  <c r="AR145" i="113"/>
  <c r="H10" i="115"/>
  <c r="H5" i="115"/>
  <c r="H6" i="115"/>
  <c r="M37" i="115"/>
  <c r="O37" i="115" s="1"/>
  <c r="O16" i="115"/>
  <c r="AM4" i="113"/>
  <c r="AM5" i="113"/>
  <c r="AM6" i="113"/>
  <c r="AM7" i="113"/>
  <c r="AM8" i="113"/>
  <c r="AM9" i="113"/>
  <c r="AM10" i="113"/>
  <c r="AM11" i="113"/>
  <c r="AM12" i="113"/>
  <c r="AM13" i="113"/>
  <c r="AM14" i="113"/>
  <c r="AM15" i="113"/>
  <c r="AM16" i="113"/>
  <c r="AM17" i="113"/>
  <c r="AM18" i="113"/>
  <c r="AM19" i="113"/>
  <c r="AM20" i="113"/>
  <c r="AM21" i="113"/>
  <c r="AM22" i="113"/>
  <c r="AM23" i="113"/>
  <c r="AM24" i="113"/>
  <c r="AM25" i="113"/>
  <c r="AM26" i="113"/>
  <c r="AM27" i="113"/>
  <c r="AM28" i="113"/>
  <c r="AM29" i="113"/>
  <c r="AM30" i="113"/>
  <c r="AM31" i="113"/>
  <c r="AM32" i="113"/>
  <c r="AM33" i="113"/>
  <c r="AM34" i="113"/>
  <c r="AM35" i="113"/>
  <c r="AM36" i="113"/>
  <c r="AM37" i="113"/>
  <c r="AM38" i="113"/>
  <c r="AM39" i="113"/>
  <c r="AM40" i="113"/>
  <c r="AM41" i="113"/>
  <c r="AM42" i="113"/>
  <c r="AM43" i="113"/>
  <c r="AM44" i="113"/>
  <c r="AM45" i="113"/>
  <c r="AM46" i="113"/>
  <c r="AM47" i="113"/>
  <c r="AM48" i="113"/>
  <c r="AM49" i="113"/>
  <c r="AM50" i="113"/>
  <c r="AM51" i="113"/>
  <c r="AM52" i="113"/>
  <c r="AM53" i="113"/>
  <c r="AM54" i="113"/>
  <c r="AM55" i="113"/>
  <c r="AM56" i="113"/>
  <c r="AM57" i="113"/>
  <c r="AM58" i="113"/>
  <c r="AM59" i="113"/>
  <c r="AM60" i="113"/>
  <c r="AM61" i="113"/>
  <c r="AM62" i="113"/>
  <c r="AM63" i="113"/>
  <c r="AM64" i="113"/>
  <c r="AM65" i="113"/>
  <c r="AM66" i="113"/>
  <c r="AM67" i="113"/>
  <c r="AM68" i="113"/>
  <c r="AM69" i="113"/>
  <c r="AM70" i="113"/>
  <c r="AM71" i="113"/>
  <c r="AM72" i="113"/>
  <c r="AM73" i="113"/>
  <c r="AM74" i="113"/>
  <c r="AM75" i="113"/>
  <c r="AM76" i="113"/>
  <c r="AM77" i="113"/>
  <c r="AM78" i="113"/>
  <c r="AM79" i="113"/>
  <c r="AM80" i="113"/>
  <c r="AM81" i="113"/>
  <c r="AM82" i="113"/>
  <c r="AM83" i="113"/>
  <c r="AM84" i="113"/>
  <c r="AM85" i="113"/>
  <c r="AM86" i="113"/>
  <c r="AM87" i="113"/>
  <c r="AM88" i="113"/>
  <c r="AM89" i="113"/>
  <c r="AM90" i="113"/>
  <c r="AM91" i="113"/>
  <c r="AM92" i="113"/>
  <c r="AM93" i="113"/>
  <c r="AM94" i="113"/>
  <c r="AM95" i="113"/>
  <c r="AM96" i="113"/>
  <c r="AM97" i="113"/>
  <c r="AM98" i="113"/>
  <c r="AM99" i="113"/>
  <c r="AM100" i="113"/>
  <c r="AM101" i="113"/>
  <c r="AM102" i="113"/>
  <c r="AM103" i="113"/>
  <c r="AM104" i="113"/>
  <c r="AM105" i="113"/>
  <c r="AM106" i="113"/>
  <c r="AM107" i="113"/>
  <c r="AM108" i="113"/>
  <c r="AM109" i="113"/>
  <c r="AM110" i="113"/>
  <c r="AM111" i="113"/>
  <c r="AM112" i="113"/>
  <c r="AM113" i="113"/>
  <c r="AM114" i="113"/>
  <c r="AM115" i="113"/>
  <c r="AM116" i="113"/>
  <c r="AM117" i="113"/>
  <c r="AM118" i="113"/>
  <c r="AM119" i="113"/>
  <c r="AM120" i="113"/>
  <c r="AM121" i="113"/>
  <c r="AM122" i="113"/>
  <c r="AM123" i="113"/>
  <c r="AM124" i="113"/>
  <c r="AM125" i="113"/>
  <c r="AM126" i="113"/>
  <c r="AM127" i="113"/>
  <c r="AM128" i="113"/>
  <c r="AM129" i="113"/>
  <c r="AM130" i="113"/>
  <c r="AM131" i="113"/>
  <c r="AM132" i="113"/>
  <c r="AM133" i="113"/>
  <c r="AM134" i="113"/>
  <c r="AM135" i="113"/>
  <c r="AM136" i="113"/>
  <c r="AM137" i="113"/>
  <c r="AM138" i="113"/>
  <c r="AM139" i="113"/>
  <c r="AM140" i="113"/>
  <c r="AM141" i="113"/>
  <c r="AM142" i="113"/>
  <c r="AM143" i="113"/>
  <c r="AM144" i="113"/>
  <c r="AM146" i="113" l="1"/>
  <c r="AJ146" i="113"/>
  <c r="AP146" i="113"/>
  <c r="AL146" i="113"/>
  <c r="AK146" i="113"/>
  <c r="AO146" i="113"/>
  <c r="AN146" i="113"/>
  <c r="AQ146" i="113"/>
  <c r="J10" i="115" l="1"/>
  <c r="J7" i="115"/>
  <c r="J8" i="115"/>
  <c r="J9" i="115"/>
  <c r="J5" i="115"/>
  <c r="J6" i="115"/>
  <c r="J11" i="115"/>
  <c r="J12" i="115"/>
  <c r="AE144" i="113"/>
  <c r="AD144" i="113"/>
  <c r="AC5" i="113"/>
  <c r="AC6" i="113"/>
  <c r="AC7" i="113"/>
  <c r="AC8" i="113"/>
  <c r="AC9" i="113"/>
  <c r="AC10" i="113"/>
  <c r="AC11" i="113"/>
  <c r="AC12" i="113"/>
  <c r="AC13" i="113"/>
  <c r="AC14" i="113"/>
  <c r="AC15" i="113"/>
  <c r="AC16" i="113"/>
  <c r="AC17" i="113"/>
  <c r="AC18" i="113"/>
  <c r="AC19" i="113"/>
  <c r="AC20" i="113"/>
  <c r="AC21" i="113"/>
  <c r="AC22" i="113"/>
  <c r="AC23" i="113"/>
  <c r="AC24" i="113"/>
  <c r="AC25" i="113"/>
  <c r="AC26" i="113"/>
  <c r="AC27" i="113"/>
  <c r="AC28" i="113"/>
  <c r="AC29" i="113"/>
  <c r="AC30" i="113"/>
  <c r="AC31" i="113"/>
  <c r="AC32" i="113"/>
  <c r="AC33" i="113"/>
  <c r="AC34" i="113"/>
  <c r="AC35" i="113"/>
  <c r="AC36" i="113"/>
  <c r="AC37" i="113"/>
  <c r="AC38" i="113"/>
  <c r="AC39" i="113"/>
  <c r="AC40" i="113"/>
  <c r="AC41" i="113"/>
  <c r="AC42" i="113"/>
  <c r="AC43" i="113"/>
  <c r="AC44" i="113"/>
  <c r="AC45" i="113"/>
  <c r="AC46" i="113"/>
  <c r="AC47" i="113"/>
  <c r="AC48" i="113"/>
  <c r="AC49" i="113"/>
  <c r="AC50" i="113"/>
  <c r="AC51" i="113"/>
  <c r="AC52" i="113"/>
  <c r="AC53" i="113"/>
  <c r="AC54" i="113"/>
  <c r="AC55" i="113"/>
  <c r="AC56" i="113"/>
  <c r="AC57" i="113"/>
  <c r="AC58" i="113"/>
  <c r="AC59" i="113"/>
  <c r="AC60" i="113"/>
  <c r="AC61" i="113"/>
  <c r="AC62" i="113"/>
  <c r="AC63" i="113"/>
  <c r="AC64" i="113"/>
  <c r="AC65" i="113"/>
  <c r="AC66" i="113"/>
  <c r="AC67" i="113"/>
  <c r="AC68" i="113"/>
  <c r="AC69" i="113"/>
  <c r="AC70" i="113"/>
  <c r="AC71" i="113"/>
  <c r="AC72" i="113"/>
  <c r="AC73" i="113"/>
  <c r="AC74" i="113"/>
  <c r="AC75" i="113"/>
  <c r="AC76" i="113"/>
  <c r="AC77" i="113"/>
  <c r="AC78" i="113"/>
  <c r="AC79" i="113"/>
  <c r="AC80" i="113"/>
  <c r="AC81" i="113"/>
  <c r="AC82" i="113"/>
  <c r="AC83" i="113"/>
  <c r="AC84" i="113"/>
  <c r="AC85" i="113"/>
  <c r="AC86" i="113"/>
  <c r="AC87" i="113"/>
  <c r="AC88" i="113"/>
  <c r="AC89" i="113"/>
  <c r="AC90" i="113"/>
  <c r="AC91" i="113"/>
  <c r="AC92" i="113"/>
  <c r="AC93" i="113"/>
  <c r="AC94" i="113"/>
  <c r="AC95" i="113"/>
  <c r="AC96" i="113"/>
  <c r="AC97" i="113"/>
  <c r="AC98" i="113"/>
  <c r="AC99" i="113"/>
  <c r="AC100" i="113"/>
  <c r="AC101" i="113"/>
  <c r="AC102" i="113"/>
  <c r="AC103" i="113"/>
  <c r="AC104" i="113"/>
  <c r="AC105" i="113"/>
  <c r="AC106" i="113"/>
  <c r="AC107" i="113"/>
  <c r="AC108" i="113"/>
  <c r="AC109" i="113"/>
  <c r="AC110" i="113"/>
  <c r="AC111" i="113"/>
  <c r="AC112" i="113"/>
  <c r="AC113" i="113"/>
  <c r="AC114" i="113"/>
  <c r="AC115" i="113"/>
  <c r="AC116" i="113"/>
  <c r="AC117" i="113"/>
  <c r="AC118" i="113"/>
  <c r="AC119" i="113"/>
  <c r="AC120" i="113"/>
  <c r="AC121" i="113"/>
  <c r="AC122" i="113"/>
  <c r="AC123" i="113"/>
  <c r="AC124" i="113"/>
  <c r="AC125" i="113"/>
  <c r="AC126" i="113"/>
  <c r="AC127" i="113"/>
  <c r="AC128" i="113"/>
  <c r="AC129" i="113"/>
  <c r="AC130" i="113"/>
  <c r="AC131" i="113"/>
  <c r="AC132" i="113"/>
  <c r="AC133" i="113"/>
  <c r="AC134" i="113"/>
  <c r="AC135" i="113"/>
  <c r="AC136" i="113"/>
  <c r="AC137" i="113"/>
  <c r="AC138" i="113"/>
  <c r="AC139" i="113"/>
  <c r="AC140" i="113"/>
  <c r="AC141" i="113"/>
  <c r="AC142" i="113"/>
  <c r="AC143" i="113"/>
  <c r="AB144" i="113"/>
  <c r="Z144" i="113"/>
  <c r="Y144" i="113"/>
  <c r="X144" i="113"/>
  <c r="A4" i="113"/>
  <c r="A5" i="113"/>
  <c r="A6" i="113"/>
  <c r="A7" i="113"/>
  <c r="A8" i="113"/>
  <c r="A9" i="113"/>
  <c r="A10" i="113"/>
  <c r="A11" i="113"/>
  <c r="A12" i="113"/>
  <c r="A13" i="113"/>
  <c r="A14" i="113"/>
  <c r="A15" i="113"/>
  <c r="A16" i="113"/>
  <c r="A17" i="113"/>
  <c r="A18" i="113"/>
  <c r="A19" i="113"/>
  <c r="A20" i="113"/>
  <c r="A21" i="113"/>
  <c r="A22" i="113"/>
  <c r="A23" i="113"/>
  <c r="A24" i="113"/>
  <c r="A25" i="113"/>
  <c r="A26" i="113"/>
  <c r="A27" i="113"/>
  <c r="A28" i="113"/>
  <c r="A29" i="113"/>
  <c r="A30" i="113"/>
  <c r="A31" i="113"/>
  <c r="A32" i="113"/>
  <c r="A33" i="113"/>
  <c r="A34" i="113"/>
  <c r="A35" i="113"/>
  <c r="A36" i="113"/>
  <c r="A37" i="113"/>
  <c r="A38" i="113"/>
  <c r="A39" i="113"/>
  <c r="A40" i="113"/>
  <c r="A41" i="113"/>
  <c r="A42" i="113"/>
  <c r="A43" i="113"/>
  <c r="A44" i="113"/>
  <c r="A45" i="113"/>
  <c r="A46" i="113"/>
  <c r="A47" i="113"/>
  <c r="A48" i="113"/>
  <c r="A49" i="113"/>
  <c r="A50" i="113"/>
  <c r="A51" i="113"/>
  <c r="A52" i="113"/>
  <c r="A53" i="113"/>
  <c r="A54" i="113"/>
  <c r="A55" i="113"/>
  <c r="A56" i="113"/>
  <c r="A57" i="113"/>
  <c r="A58" i="113"/>
  <c r="A59" i="113"/>
  <c r="A60" i="113"/>
  <c r="A61" i="113"/>
  <c r="A62" i="113"/>
  <c r="A63" i="113"/>
  <c r="A64" i="113"/>
  <c r="A65" i="113"/>
  <c r="A66" i="113"/>
  <c r="A67" i="113"/>
  <c r="A68" i="113"/>
  <c r="A69" i="113"/>
  <c r="A70" i="113"/>
  <c r="A71" i="113"/>
  <c r="A72" i="113"/>
  <c r="A73" i="113"/>
  <c r="A74" i="113"/>
  <c r="A75" i="113"/>
  <c r="A76" i="113"/>
  <c r="A77" i="113"/>
  <c r="A78" i="113"/>
  <c r="A79" i="113"/>
  <c r="A80" i="113"/>
  <c r="A81" i="113"/>
  <c r="A82" i="113"/>
  <c r="A83" i="113"/>
  <c r="A84" i="113"/>
  <c r="A85" i="113"/>
  <c r="A86" i="113"/>
  <c r="A87" i="113"/>
  <c r="A88" i="113"/>
  <c r="A89" i="113"/>
  <c r="A90" i="113"/>
  <c r="A91" i="113"/>
  <c r="A92" i="113"/>
  <c r="A93" i="113"/>
  <c r="A94" i="113"/>
  <c r="A95" i="113"/>
  <c r="A96" i="113"/>
  <c r="A97" i="113"/>
  <c r="A98" i="113"/>
  <c r="A99" i="113"/>
  <c r="A100" i="113"/>
  <c r="A101" i="113"/>
  <c r="A102" i="113"/>
  <c r="A103" i="113"/>
  <c r="A104" i="113"/>
  <c r="A105" i="113"/>
  <c r="A106" i="113"/>
  <c r="A107" i="113"/>
  <c r="A108" i="113"/>
  <c r="A109" i="113"/>
  <c r="A110" i="113"/>
  <c r="A111" i="113"/>
  <c r="A112" i="113"/>
  <c r="A113" i="113"/>
  <c r="A114" i="113"/>
  <c r="A115" i="113"/>
  <c r="A116" i="113"/>
  <c r="A117" i="113"/>
  <c r="A118" i="113"/>
  <c r="A119" i="113"/>
  <c r="A120" i="113"/>
  <c r="A121" i="113"/>
  <c r="A122" i="113"/>
  <c r="A123" i="113"/>
  <c r="A124" i="113"/>
  <c r="A125" i="113"/>
  <c r="A126" i="113"/>
  <c r="A127" i="113"/>
  <c r="A128" i="113"/>
  <c r="A129" i="113"/>
  <c r="A130" i="113"/>
  <c r="A131" i="113"/>
  <c r="A132" i="113"/>
  <c r="A133" i="113"/>
  <c r="A134" i="113"/>
  <c r="A135" i="113"/>
  <c r="A136" i="113"/>
  <c r="A137" i="113"/>
  <c r="A138" i="113"/>
  <c r="A139" i="113"/>
  <c r="A140" i="113"/>
  <c r="A141" i="113"/>
  <c r="A142" i="113"/>
  <c r="A143" i="113"/>
  <c r="A144" i="113"/>
  <c r="V155" i="113"/>
  <c r="V154" i="113"/>
  <c r="V153" i="113"/>
  <c r="V152" i="113"/>
  <c r="V151" i="113"/>
  <c r="AI146" i="113"/>
  <c r="V146" i="113"/>
  <c r="U146" i="113"/>
  <c r="T146" i="113"/>
  <c r="S146" i="113"/>
  <c r="R146" i="113"/>
  <c r="G8" i="115" s="1"/>
  <c r="O146" i="113"/>
  <c r="G11" i="115" s="1"/>
  <c r="N146" i="113"/>
  <c r="G12" i="115" s="1"/>
  <c r="M146" i="113"/>
  <c r="G9" i="115" s="1"/>
  <c r="L146" i="113"/>
  <c r="G7" i="115" s="1"/>
  <c r="H9" i="115" l="1"/>
  <c r="G30" i="115"/>
  <c r="H30" i="115" s="1"/>
  <c r="H7" i="115"/>
  <c r="G27" i="115"/>
  <c r="H27" i="115" s="1"/>
  <c r="H12" i="115"/>
  <c r="G28" i="115"/>
  <c r="H28" i="115" s="1"/>
  <c r="H11" i="115"/>
  <c r="G29" i="115"/>
  <c r="H29" i="115" s="1"/>
  <c r="H8" i="115"/>
  <c r="G33" i="115"/>
  <c r="H33" i="115" s="1"/>
  <c r="K10" i="115"/>
  <c r="J31" i="115"/>
  <c r="K31" i="115" s="1"/>
  <c r="J32" i="115"/>
  <c r="K32" i="115" s="1"/>
  <c r="K5" i="115"/>
  <c r="K7" i="115"/>
  <c r="J27" i="115"/>
  <c r="K27" i="115" s="1"/>
  <c r="J28" i="115"/>
  <c r="K28" i="115" s="1"/>
  <c r="K12" i="115"/>
  <c r="K11" i="115"/>
  <c r="J29" i="115"/>
  <c r="K29" i="115" s="1"/>
  <c r="K6" i="115"/>
  <c r="J26" i="115"/>
  <c r="K26" i="115" s="1"/>
  <c r="J30" i="115"/>
  <c r="K30" i="115" s="1"/>
  <c r="K9" i="115"/>
  <c r="K8" i="115"/>
  <c r="J33" i="115"/>
  <c r="K33" i="115" s="1"/>
  <c r="I145" i="27" l="1"/>
  <c r="L145" i="27"/>
  <c r="D7" i="115" s="1"/>
  <c r="M145" i="27"/>
  <c r="D9" i="115" s="1"/>
  <c r="N145" i="27"/>
  <c r="D12" i="115" s="1"/>
  <c r="O145" i="27"/>
  <c r="D11" i="115" s="1"/>
  <c r="P145" i="27"/>
  <c r="D10" i="115" s="1"/>
  <c r="Q145" i="27"/>
  <c r="D5" i="115" s="1"/>
  <c r="R145" i="27"/>
  <c r="D8" i="115" s="1"/>
  <c r="K145" i="27"/>
  <c r="D6" i="115" s="1"/>
  <c r="D27" i="115" l="1"/>
  <c r="E27" i="115" s="1"/>
  <c r="E7" i="115"/>
  <c r="D30" i="115"/>
  <c r="E30" i="115" s="1"/>
  <c r="E9" i="115"/>
  <c r="D28" i="115"/>
  <c r="E28" i="115" s="1"/>
  <c r="E12" i="115"/>
  <c r="D29" i="115"/>
  <c r="E29" i="115" s="1"/>
  <c r="E11" i="115"/>
  <c r="E10" i="115"/>
  <c r="D31" i="115"/>
  <c r="E31" i="115" s="1"/>
  <c r="D32" i="115"/>
  <c r="E32" i="115" s="1"/>
  <c r="E5" i="115"/>
  <c r="D33" i="115"/>
  <c r="E33" i="115" s="1"/>
  <c r="E8" i="115"/>
  <c r="E6" i="115"/>
  <c r="D26" i="115"/>
  <c r="E26" i="115" s="1"/>
  <c r="AL5" i="27"/>
  <c r="AL6" i="27"/>
  <c r="AL7" i="27"/>
  <c r="AL8" i="27"/>
  <c r="AL9" i="27"/>
  <c r="AL10" i="27"/>
  <c r="AL11" i="27"/>
  <c r="AL12" i="27"/>
  <c r="AL13" i="27"/>
  <c r="AL14" i="27"/>
  <c r="AL15" i="27"/>
  <c r="AL16" i="27"/>
  <c r="AL17" i="27"/>
  <c r="AL18" i="27"/>
  <c r="AL19" i="27"/>
  <c r="AL20" i="27"/>
  <c r="AL21" i="27"/>
  <c r="AL22" i="27"/>
  <c r="AL23" i="27"/>
  <c r="AL24" i="27"/>
  <c r="AL25" i="27"/>
  <c r="AL26" i="27"/>
  <c r="AL27" i="27"/>
  <c r="AL28" i="27"/>
  <c r="AL29" i="27"/>
  <c r="AL30" i="27"/>
  <c r="AL31" i="27"/>
  <c r="AL32" i="27"/>
  <c r="AL33" i="27"/>
  <c r="AL34" i="27"/>
  <c r="AL35" i="27"/>
  <c r="AL36" i="27"/>
  <c r="AL37" i="27"/>
  <c r="AL38" i="27"/>
  <c r="AL39" i="27"/>
  <c r="AL40" i="27"/>
  <c r="AL41" i="27"/>
  <c r="AL42" i="27"/>
  <c r="AL43" i="27"/>
  <c r="AL44" i="27"/>
  <c r="AL45" i="27"/>
  <c r="AL46" i="27"/>
  <c r="AL47" i="27"/>
  <c r="AL48" i="27"/>
  <c r="AL49" i="27"/>
  <c r="AL50" i="27"/>
  <c r="AL51" i="27"/>
  <c r="AL52" i="27"/>
  <c r="AL53" i="27"/>
  <c r="AL54" i="27"/>
  <c r="AL55" i="27"/>
  <c r="AL56" i="27"/>
  <c r="AL57" i="27"/>
  <c r="AL58" i="27"/>
  <c r="AL59" i="27"/>
  <c r="AL60" i="27"/>
  <c r="AL61" i="27"/>
  <c r="AL62" i="27"/>
  <c r="AL63" i="27"/>
  <c r="AL64" i="27"/>
  <c r="AL65" i="27"/>
  <c r="AL66" i="27"/>
  <c r="AL67" i="27"/>
  <c r="AL68" i="27"/>
  <c r="AL69" i="27"/>
  <c r="AL70" i="27"/>
  <c r="AL71" i="27"/>
  <c r="AL72" i="27"/>
  <c r="AL73" i="27"/>
  <c r="AL74" i="27"/>
  <c r="AL75" i="27"/>
  <c r="AL76" i="27"/>
  <c r="AL77" i="27"/>
  <c r="AL78" i="27"/>
  <c r="AL79" i="27"/>
  <c r="AL80" i="27"/>
  <c r="AL81" i="27"/>
  <c r="AL82" i="27"/>
  <c r="AL83" i="27"/>
  <c r="AL84" i="27"/>
  <c r="AL85" i="27"/>
  <c r="AL86" i="27"/>
  <c r="AL87" i="27"/>
  <c r="AL88" i="27"/>
  <c r="AL89" i="27"/>
  <c r="AL90" i="27"/>
  <c r="AL91" i="27"/>
  <c r="AL92" i="27"/>
  <c r="AL93" i="27"/>
  <c r="AL94" i="27"/>
  <c r="AL95" i="27"/>
  <c r="AL96" i="27"/>
  <c r="AL97" i="27"/>
  <c r="AL98" i="27"/>
  <c r="AL99" i="27"/>
  <c r="AL100" i="27"/>
  <c r="AL101" i="27"/>
  <c r="AL102" i="27"/>
  <c r="AL103" i="27"/>
  <c r="AL104" i="27"/>
  <c r="AL105" i="27"/>
  <c r="AL106" i="27"/>
  <c r="AL107" i="27"/>
  <c r="AL108" i="27"/>
  <c r="AL109" i="27"/>
  <c r="AL110" i="27"/>
  <c r="AL111" i="27"/>
  <c r="AL112" i="27"/>
  <c r="AL113" i="27"/>
  <c r="AL114" i="27"/>
  <c r="AL115" i="27"/>
  <c r="AL116" i="27"/>
  <c r="AL117" i="27"/>
  <c r="AL118" i="27"/>
  <c r="AL119" i="27"/>
  <c r="AL120" i="27"/>
  <c r="AL121" i="27"/>
  <c r="AL122" i="27"/>
  <c r="AL123" i="27"/>
  <c r="AL124" i="27"/>
  <c r="AL125" i="27"/>
  <c r="AL126" i="27"/>
  <c r="AL127" i="27"/>
  <c r="AL128" i="27"/>
  <c r="AL129" i="27"/>
  <c r="AL130" i="27"/>
  <c r="AL131" i="27"/>
  <c r="AL132" i="27"/>
  <c r="AL133" i="27"/>
  <c r="AL134" i="27"/>
  <c r="AL135" i="27"/>
  <c r="AL136" i="27"/>
  <c r="AL137" i="27"/>
  <c r="AL138" i="27"/>
  <c r="AL139" i="27"/>
  <c r="AL140" i="27"/>
  <c r="AL141" i="27"/>
  <c r="AL142" i="27"/>
  <c r="AL143" i="27"/>
  <c r="AL144" i="27"/>
  <c r="A144" i="93" l="1"/>
  <c r="W144" i="93"/>
  <c r="X144" i="93"/>
  <c r="Y144" i="93"/>
  <c r="Z144" i="93"/>
  <c r="AA144" i="93"/>
  <c r="AM144" i="93" s="1"/>
  <c r="AB144" i="93" a="1"/>
  <c r="AB144" i="93" s="1"/>
  <c r="AH144" i="93"/>
  <c r="AI144" i="93"/>
  <c r="AJ144" i="93" s="1" a="1"/>
  <c r="AJ144" i="93" s="1"/>
  <c r="A144" i="27"/>
  <c r="W144" i="27"/>
  <c r="X144" i="27"/>
  <c r="Y144" i="27"/>
  <c r="Z144" i="27"/>
  <c r="AA144" i="27"/>
  <c r="AB144" i="27"/>
  <c r="AC144" i="27"/>
  <c r="AD144" i="27"/>
  <c r="AE144" i="27"/>
  <c r="AF144" i="27"/>
  <c r="AG144" i="27"/>
  <c r="AH144" i="27"/>
  <c r="AI144" i="27"/>
  <c r="AK144" i="93" l="1" a="1"/>
  <c r="AK144" i="93" s="1"/>
  <c r="AL144" i="93" s="1" a="1"/>
  <c r="AL144" i="93" s="1"/>
  <c r="AN144" i="93"/>
  <c r="BA144" i="27" a="1"/>
  <c r="BA144" i="27" s="1"/>
  <c r="AO144" i="27" a="1"/>
  <c r="AO144" i="27" s="1"/>
  <c r="AR144" i="27" s="1"/>
  <c r="BB144" i="27" a="1"/>
  <c r="BB144" i="27" s="1"/>
  <c r="AK144" i="27"/>
  <c r="AM144" i="27" s="1"/>
  <c r="AJ144" i="27" a="1"/>
  <c r="AJ144" i="27" s="1"/>
  <c r="AN144" i="27" s="1" a="1"/>
  <c r="AN144" i="27" s="1"/>
  <c r="A7" i="94"/>
  <c r="A8" i="94"/>
  <c r="A9" i="94"/>
  <c r="A10" i="94"/>
  <c r="A11" i="94"/>
  <c r="A12" i="94"/>
  <c r="A13" i="94"/>
  <c r="A14" i="94"/>
  <c r="A15" i="94"/>
  <c r="A16" i="94"/>
  <c r="A17" i="94"/>
  <c r="A18" i="94"/>
  <c r="A19" i="94"/>
  <c r="A20" i="94"/>
  <c r="A21" i="94"/>
  <c r="A22" i="94"/>
  <c r="A23" i="94"/>
  <c r="A24" i="94"/>
  <c r="A25" i="94"/>
  <c r="A26" i="94"/>
  <c r="A27" i="94"/>
  <c r="A28" i="94"/>
  <c r="A29" i="94"/>
  <c r="A30" i="94"/>
  <c r="A31" i="94"/>
  <c r="A32" i="94"/>
  <c r="A33" i="94"/>
  <c r="A34" i="94"/>
  <c r="A35" i="94"/>
  <c r="A36" i="94"/>
  <c r="A37" i="94"/>
  <c r="A38" i="94"/>
  <c r="A39" i="94"/>
  <c r="A40" i="94"/>
  <c r="A41" i="94"/>
  <c r="A42" i="94"/>
  <c r="A43" i="94"/>
  <c r="A44" i="94"/>
  <c r="A45" i="94"/>
  <c r="A46" i="94"/>
  <c r="A47" i="94"/>
  <c r="A48" i="94"/>
  <c r="A49" i="94"/>
  <c r="A50" i="94"/>
  <c r="A51" i="94"/>
  <c r="A52" i="94"/>
  <c r="A53" i="94"/>
  <c r="A54" i="94"/>
  <c r="A55" i="94"/>
  <c r="A56" i="94"/>
  <c r="A57" i="94"/>
  <c r="A58" i="94"/>
  <c r="A59" i="94"/>
  <c r="A60" i="94"/>
  <c r="A61" i="94"/>
  <c r="A62" i="94"/>
  <c r="A63" i="94"/>
  <c r="A64" i="94"/>
  <c r="A65" i="94"/>
  <c r="A66" i="94"/>
  <c r="A67" i="94"/>
  <c r="A68" i="94"/>
  <c r="A69" i="94"/>
  <c r="A70" i="94"/>
  <c r="A71" i="94"/>
  <c r="A72" i="94"/>
  <c r="A73" i="94"/>
  <c r="A74" i="94"/>
  <c r="A75" i="94"/>
  <c r="A76" i="94"/>
  <c r="A77" i="94"/>
  <c r="A78" i="94"/>
  <c r="A79" i="94"/>
  <c r="A80" i="94"/>
  <c r="A81" i="94"/>
  <c r="A82" i="94"/>
  <c r="A83" i="94"/>
  <c r="A84" i="94"/>
  <c r="A85" i="94"/>
  <c r="A86" i="94"/>
  <c r="A87" i="94"/>
  <c r="A88" i="94"/>
  <c r="A89" i="94"/>
  <c r="A90" i="94"/>
  <c r="A91" i="94"/>
  <c r="A92" i="94"/>
  <c r="A93" i="94"/>
  <c r="A94" i="94"/>
  <c r="A95" i="94"/>
  <c r="A96" i="94"/>
  <c r="A97" i="94"/>
  <c r="A98" i="94"/>
  <c r="A99" i="94"/>
  <c r="A100" i="94"/>
  <c r="A101" i="94"/>
  <c r="A102" i="94"/>
  <c r="A103" i="94"/>
  <c r="A104" i="94"/>
  <c r="A105" i="94"/>
  <c r="A106" i="94"/>
  <c r="A107" i="94"/>
  <c r="A108" i="94"/>
  <c r="A109" i="94"/>
  <c r="A110" i="94"/>
  <c r="A111" i="94"/>
  <c r="A112" i="94"/>
  <c r="A113" i="94"/>
  <c r="A114" i="94"/>
  <c r="A115" i="94"/>
  <c r="A116" i="94"/>
  <c r="A117" i="94"/>
  <c r="A118" i="94"/>
  <c r="A119" i="94"/>
  <c r="A120" i="94"/>
  <c r="A121" i="94"/>
  <c r="A122" i="94"/>
  <c r="A123" i="94"/>
  <c r="A124" i="94"/>
  <c r="A125" i="94"/>
  <c r="A126" i="94"/>
  <c r="A127" i="94"/>
  <c r="A128" i="94"/>
  <c r="A129" i="94"/>
  <c r="A130" i="94"/>
  <c r="A131" i="94"/>
  <c r="A132" i="94"/>
  <c r="A133" i="94"/>
  <c r="A134" i="94"/>
  <c r="A135" i="94"/>
  <c r="A136" i="94"/>
  <c r="A137" i="94"/>
  <c r="A138" i="94"/>
  <c r="A139" i="94"/>
  <c r="A140" i="94"/>
  <c r="A141" i="94"/>
  <c r="A142" i="94"/>
  <c r="A143" i="94"/>
  <c r="N7" i="94" a="1"/>
  <c r="N7" i="94" s="1"/>
  <c r="N8" i="94" a="1"/>
  <c r="N8" i="94" s="1"/>
  <c r="N9" i="94" a="1"/>
  <c r="N9" i="94" s="1"/>
  <c r="N10" i="94" a="1"/>
  <c r="N10" i="94" s="1"/>
  <c r="N11" i="94" a="1"/>
  <c r="N11" i="94" s="1"/>
  <c r="N12" i="94" a="1"/>
  <c r="N12" i="94" s="1"/>
  <c r="N13" i="94" a="1"/>
  <c r="N13" i="94" s="1"/>
  <c r="N14" i="94" a="1"/>
  <c r="N14" i="94" s="1"/>
  <c r="N15" i="94" a="1"/>
  <c r="N15" i="94" s="1"/>
  <c r="N16" i="94" a="1"/>
  <c r="N16" i="94" s="1"/>
  <c r="N17" i="94" a="1"/>
  <c r="N17" i="94" s="1"/>
  <c r="N18" i="94" a="1"/>
  <c r="N18" i="94" s="1"/>
  <c r="N19" i="94" a="1"/>
  <c r="N19" i="94" s="1"/>
  <c r="N20" i="94" a="1"/>
  <c r="N20" i="94" s="1"/>
  <c r="N21" i="94" a="1"/>
  <c r="N21" i="94" s="1"/>
  <c r="N22" i="94" a="1"/>
  <c r="N22" i="94" s="1"/>
  <c r="N23" i="94" a="1"/>
  <c r="N23" i="94" s="1"/>
  <c r="N24" i="94" a="1"/>
  <c r="N24" i="94" s="1"/>
  <c r="N25" i="94" a="1"/>
  <c r="N25" i="94" s="1"/>
  <c r="N26" i="94" a="1"/>
  <c r="N26" i="94" s="1"/>
  <c r="N27" i="94" a="1"/>
  <c r="N27" i="94" s="1"/>
  <c r="N28" i="94" a="1"/>
  <c r="N28" i="94" s="1"/>
  <c r="N29" i="94" a="1"/>
  <c r="N29" i="94" s="1"/>
  <c r="N30" i="94" a="1"/>
  <c r="N30" i="94" s="1"/>
  <c r="N31" i="94" a="1"/>
  <c r="N31" i="94" s="1"/>
  <c r="N32" i="94" a="1"/>
  <c r="N32" i="94" s="1"/>
  <c r="N33" i="94" a="1"/>
  <c r="N33" i="94" s="1"/>
  <c r="N34" i="94" a="1"/>
  <c r="N34" i="94" s="1"/>
  <c r="N35" i="94" a="1"/>
  <c r="N35" i="94" s="1"/>
  <c r="N36" i="94" a="1"/>
  <c r="N36" i="94" s="1"/>
  <c r="N37" i="94" a="1"/>
  <c r="N37" i="94" s="1"/>
  <c r="N38" i="94" a="1"/>
  <c r="N38" i="94" s="1"/>
  <c r="N39" i="94" a="1"/>
  <c r="N39" i="94" s="1"/>
  <c r="N40" i="94" a="1"/>
  <c r="N40" i="94" s="1"/>
  <c r="N41" i="94" a="1"/>
  <c r="N41" i="94" s="1"/>
  <c r="N42" i="94" a="1"/>
  <c r="N42" i="94" s="1"/>
  <c r="N43" i="94" a="1"/>
  <c r="N43" i="94" s="1"/>
  <c r="N44" i="94" a="1"/>
  <c r="N44" i="94" s="1"/>
  <c r="N45" i="94" a="1"/>
  <c r="N45" i="94" s="1"/>
  <c r="N46" i="94" a="1"/>
  <c r="N46" i="94" s="1"/>
  <c r="N47" i="94" a="1"/>
  <c r="N47" i="94" s="1"/>
  <c r="N48" i="94" a="1"/>
  <c r="N48" i="94" s="1"/>
  <c r="N49" i="94" a="1"/>
  <c r="N49" i="94" s="1"/>
  <c r="N50" i="94" a="1"/>
  <c r="N50" i="94" s="1"/>
  <c r="N51" i="94" a="1"/>
  <c r="N51" i="94" s="1"/>
  <c r="N52" i="94" a="1"/>
  <c r="N52" i="94" s="1"/>
  <c r="N53" i="94" a="1"/>
  <c r="N53" i="94" s="1"/>
  <c r="N54" i="94" a="1"/>
  <c r="N54" i="94" s="1"/>
  <c r="N55" i="94" a="1"/>
  <c r="N55" i="94" s="1"/>
  <c r="N56" i="94" a="1"/>
  <c r="N56" i="94" s="1"/>
  <c r="N57" i="94" a="1"/>
  <c r="N57" i="94" s="1"/>
  <c r="N58" i="94" a="1"/>
  <c r="N58" i="94" s="1"/>
  <c r="N59" i="94" a="1"/>
  <c r="N59" i="94" s="1"/>
  <c r="N60" i="94" a="1"/>
  <c r="N60" i="94" s="1"/>
  <c r="N61" i="94" a="1"/>
  <c r="N61" i="94" s="1"/>
  <c r="N62" i="94" a="1"/>
  <c r="N62" i="94" s="1"/>
  <c r="N63" i="94" a="1"/>
  <c r="N63" i="94" s="1"/>
  <c r="N64" i="94" a="1"/>
  <c r="N64" i="94" s="1"/>
  <c r="N65" i="94" a="1"/>
  <c r="N65" i="94" s="1"/>
  <c r="N66" i="94" a="1"/>
  <c r="N66" i="94" s="1"/>
  <c r="N67" i="94" a="1"/>
  <c r="N67" i="94" s="1"/>
  <c r="N68" i="94" a="1"/>
  <c r="N68" i="94" s="1"/>
  <c r="N69" i="94" a="1"/>
  <c r="N69" i="94" s="1"/>
  <c r="N70" i="94" a="1"/>
  <c r="N70" i="94" s="1"/>
  <c r="N71" i="94" a="1"/>
  <c r="N71" i="94" s="1"/>
  <c r="N72" i="94" a="1"/>
  <c r="N72" i="94" s="1"/>
  <c r="N73" i="94" a="1"/>
  <c r="N73" i="94" s="1"/>
  <c r="N74" i="94" a="1"/>
  <c r="N74" i="94" s="1"/>
  <c r="N75" i="94" a="1"/>
  <c r="N75" i="94" s="1"/>
  <c r="N76" i="94" a="1"/>
  <c r="N76" i="94" s="1"/>
  <c r="N77" i="94" a="1"/>
  <c r="N77" i="94" s="1"/>
  <c r="N78" i="94" a="1"/>
  <c r="N78" i="94" s="1"/>
  <c r="N79" i="94" a="1"/>
  <c r="N79" i="94" s="1"/>
  <c r="N80" i="94" a="1"/>
  <c r="N80" i="94" s="1"/>
  <c r="N81" i="94" a="1"/>
  <c r="N81" i="94" s="1"/>
  <c r="N82" i="94" a="1"/>
  <c r="N82" i="94" s="1"/>
  <c r="N83" i="94" a="1"/>
  <c r="N83" i="94" s="1"/>
  <c r="N84" i="94" a="1"/>
  <c r="N84" i="94" s="1"/>
  <c r="N85" i="94" a="1"/>
  <c r="N85" i="94" s="1"/>
  <c r="N86" i="94" a="1"/>
  <c r="N86" i="94" s="1"/>
  <c r="N87" i="94" a="1"/>
  <c r="N87" i="94" s="1"/>
  <c r="N88" i="94" a="1"/>
  <c r="N88" i="94" s="1"/>
  <c r="N89" i="94" a="1"/>
  <c r="N89" i="94" s="1"/>
  <c r="N90" i="94" a="1"/>
  <c r="N90" i="94" s="1"/>
  <c r="N91" i="94" a="1"/>
  <c r="N91" i="94" s="1"/>
  <c r="N92" i="94" a="1"/>
  <c r="N92" i="94" s="1"/>
  <c r="N93" i="94" a="1"/>
  <c r="N93" i="94" s="1"/>
  <c r="N94" i="94" a="1"/>
  <c r="N94" i="94" s="1"/>
  <c r="N95" i="94" a="1"/>
  <c r="N95" i="94" s="1"/>
  <c r="N96" i="94" a="1"/>
  <c r="N96" i="94" s="1"/>
  <c r="N97" i="94" a="1"/>
  <c r="N97" i="94" s="1"/>
  <c r="N98" i="94" a="1"/>
  <c r="N98" i="94" s="1"/>
  <c r="N99" i="94" a="1"/>
  <c r="N99" i="94" s="1"/>
  <c r="N100" i="94" a="1"/>
  <c r="N100" i="94" s="1"/>
  <c r="N101" i="94" a="1"/>
  <c r="N101" i="94" s="1"/>
  <c r="N102" i="94" a="1"/>
  <c r="N102" i="94" s="1"/>
  <c r="N103" i="94" a="1"/>
  <c r="N103" i="94" s="1"/>
  <c r="N104" i="94" a="1"/>
  <c r="N104" i="94" s="1"/>
  <c r="N105" i="94" a="1"/>
  <c r="N105" i="94" s="1"/>
  <c r="N106" i="94" a="1"/>
  <c r="N106" i="94" s="1"/>
  <c r="N107" i="94" a="1"/>
  <c r="N107" i="94" s="1"/>
  <c r="N108" i="94" a="1"/>
  <c r="N108" i="94" s="1"/>
  <c r="N109" i="94" a="1"/>
  <c r="N109" i="94" s="1"/>
  <c r="N110" i="94" a="1"/>
  <c r="N110" i="94" s="1"/>
  <c r="N111" i="94" a="1"/>
  <c r="N111" i="94" s="1"/>
  <c r="N112" i="94" a="1"/>
  <c r="N112" i="94" s="1"/>
  <c r="N113" i="94" a="1"/>
  <c r="N113" i="94" s="1"/>
  <c r="N114" i="94" a="1"/>
  <c r="N114" i="94" s="1"/>
  <c r="N115" i="94" a="1"/>
  <c r="N115" i="94" s="1"/>
  <c r="N116" i="94" a="1"/>
  <c r="N116" i="94" s="1"/>
  <c r="N117" i="94" a="1"/>
  <c r="N117" i="94" s="1"/>
  <c r="N118" i="94" a="1"/>
  <c r="N118" i="94" s="1"/>
  <c r="N119" i="94" a="1"/>
  <c r="N119" i="94" s="1"/>
  <c r="N120" i="94" a="1"/>
  <c r="N120" i="94" s="1"/>
  <c r="N121" i="94" a="1"/>
  <c r="N121" i="94" s="1"/>
  <c r="N122" i="94" a="1"/>
  <c r="N122" i="94" s="1"/>
  <c r="N123" i="94" a="1"/>
  <c r="N123" i="94" s="1"/>
  <c r="N124" i="94" a="1"/>
  <c r="N124" i="94" s="1"/>
  <c r="N125" i="94" a="1"/>
  <c r="N125" i="94" s="1"/>
  <c r="N126" i="94" a="1"/>
  <c r="N126" i="94" s="1"/>
  <c r="N127" i="94" a="1"/>
  <c r="N127" i="94" s="1"/>
  <c r="N128" i="94" a="1"/>
  <c r="N128" i="94" s="1"/>
  <c r="N129" i="94" a="1"/>
  <c r="N129" i="94" s="1"/>
  <c r="N130" i="94" a="1"/>
  <c r="N130" i="94" s="1"/>
  <c r="N131" i="94" a="1"/>
  <c r="N131" i="94" s="1"/>
  <c r="N132" i="94" a="1"/>
  <c r="N132" i="94" s="1"/>
  <c r="N133" i="94" a="1"/>
  <c r="N133" i="94" s="1"/>
  <c r="N134" i="94" a="1"/>
  <c r="N134" i="94" s="1"/>
  <c r="N135" i="94" a="1"/>
  <c r="N135" i="94" s="1"/>
  <c r="N136" i="94" a="1"/>
  <c r="N136" i="94" s="1"/>
  <c r="N137" i="94" a="1"/>
  <c r="N137" i="94" s="1"/>
  <c r="N138" i="94" a="1"/>
  <c r="N138" i="94" s="1"/>
  <c r="N139" i="94" a="1"/>
  <c r="N139" i="94" s="1"/>
  <c r="N140" i="94" a="1"/>
  <c r="N140" i="94" s="1"/>
  <c r="N141" i="94" a="1"/>
  <c r="N141" i="94" s="1"/>
  <c r="N142" i="94" a="1"/>
  <c r="N142" i="94" s="1"/>
  <c r="N143" i="94" a="1"/>
  <c r="N143" i="94" s="1"/>
  <c r="Q7" i="94" a="1"/>
  <c r="Q7" i="94" s="1"/>
  <c r="Q8" i="94" a="1"/>
  <c r="Q8" i="94" s="1"/>
  <c r="Q9" i="94" a="1"/>
  <c r="Q9" i="94" s="1"/>
  <c r="Q10" i="94" a="1"/>
  <c r="Q10" i="94" s="1"/>
  <c r="Q11" i="94" a="1"/>
  <c r="Q11" i="94" s="1"/>
  <c r="Q12" i="94" a="1"/>
  <c r="Q12" i="94" s="1"/>
  <c r="Q13" i="94" a="1"/>
  <c r="Q13" i="94" s="1"/>
  <c r="Q14" i="94" a="1"/>
  <c r="Q14" i="94" s="1"/>
  <c r="Q15" i="94" a="1"/>
  <c r="Q15" i="94" s="1"/>
  <c r="Q16" i="94" a="1"/>
  <c r="Q16" i="94" s="1"/>
  <c r="Q17" i="94" a="1"/>
  <c r="Q17" i="94" s="1"/>
  <c r="Q18" i="94" a="1"/>
  <c r="Q18" i="94" s="1"/>
  <c r="Q19" i="94" a="1"/>
  <c r="Q19" i="94" s="1"/>
  <c r="Q20" i="94" a="1"/>
  <c r="Q20" i="94" s="1"/>
  <c r="Q21" i="94" a="1"/>
  <c r="Q21" i="94" s="1"/>
  <c r="Q22" i="94" a="1"/>
  <c r="Q22" i="94" s="1"/>
  <c r="Q23" i="94" a="1"/>
  <c r="Q23" i="94" s="1"/>
  <c r="Q24" i="94" a="1"/>
  <c r="Q24" i="94" s="1"/>
  <c r="Q25" i="94" a="1"/>
  <c r="Q25" i="94" s="1"/>
  <c r="Q26" i="94" a="1"/>
  <c r="Q26" i="94" s="1"/>
  <c r="Q27" i="94" a="1"/>
  <c r="Q27" i="94" s="1"/>
  <c r="Q28" i="94" a="1"/>
  <c r="Q28" i="94" s="1"/>
  <c r="Q29" i="94" a="1"/>
  <c r="Q29" i="94" s="1"/>
  <c r="Q30" i="94" a="1"/>
  <c r="Q30" i="94" s="1"/>
  <c r="Q31" i="94" a="1"/>
  <c r="Q31" i="94" s="1"/>
  <c r="Q32" i="94" a="1"/>
  <c r="Q32" i="94" s="1"/>
  <c r="Q33" i="94" a="1"/>
  <c r="Q33" i="94" s="1"/>
  <c r="Q34" i="94" a="1"/>
  <c r="Q34" i="94" s="1"/>
  <c r="Q35" i="94" a="1"/>
  <c r="Q35" i="94" s="1"/>
  <c r="Q36" i="94" a="1"/>
  <c r="Q36" i="94" s="1"/>
  <c r="Q37" i="94" a="1"/>
  <c r="Q37" i="94" s="1"/>
  <c r="Q38" i="94" a="1"/>
  <c r="Q38" i="94" s="1"/>
  <c r="Q39" i="94" a="1"/>
  <c r="Q39" i="94" s="1"/>
  <c r="Q40" i="94" a="1"/>
  <c r="Q40" i="94" s="1"/>
  <c r="Q41" i="94" a="1"/>
  <c r="Q41" i="94" s="1"/>
  <c r="Q42" i="94" a="1"/>
  <c r="Q42" i="94" s="1"/>
  <c r="Q43" i="94" a="1"/>
  <c r="Q43" i="94" s="1"/>
  <c r="Q44" i="94" a="1"/>
  <c r="Q44" i="94" s="1"/>
  <c r="Q45" i="94" a="1"/>
  <c r="Q45" i="94" s="1"/>
  <c r="Q46" i="94" a="1"/>
  <c r="Q46" i="94" s="1"/>
  <c r="Q47" i="94" a="1"/>
  <c r="Q47" i="94" s="1"/>
  <c r="Q48" i="94" a="1"/>
  <c r="Q48" i="94" s="1"/>
  <c r="Q49" i="94" a="1"/>
  <c r="Q49" i="94" s="1"/>
  <c r="Q50" i="94" a="1"/>
  <c r="Q50" i="94" s="1"/>
  <c r="Q51" i="94" a="1"/>
  <c r="Q51" i="94" s="1"/>
  <c r="Q52" i="94" a="1"/>
  <c r="Q52" i="94" s="1"/>
  <c r="Q53" i="94" a="1"/>
  <c r="Q53" i="94" s="1"/>
  <c r="Q54" i="94" a="1"/>
  <c r="Q54" i="94" s="1"/>
  <c r="Q55" i="94" a="1"/>
  <c r="Q55" i="94" s="1"/>
  <c r="Q56" i="94" a="1"/>
  <c r="Q56" i="94" s="1"/>
  <c r="Q57" i="94" a="1"/>
  <c r="Q57" i="94" s="1"/>
  <c r="Q58" i="94" a="1"/>
  <c r="Q58" i="94" s="1"/>
  <c r="Q59" i="94" a="1"/>
  <c r="Q59" i="94" s="1"/>
  <c r="Q60" i="94" a="1"/>
  <c r="Q60" i="94" s="1"/>
  <c r="Q61" i="94" a="1"/>
  <c r="Q61" i="94" s="1"/>
  <c r="Q62" i="94" a="1"/>
  <c r="Q62" i="94" s="1"/>
  <c r="Q63" i="94" a="1"/>
  <c r="Q63" i="94" s="1"/>
  <c r="Q64" i="94" a="1"/>
  <c r="Q64" i="94" s="1"/>
  <c r="Q65" i="94" a="1"/>
  <c r="Q65" i="94" s="1"/>
  <c r="Q66" i="94" a="1"/>
  <c r="Q66" i="94" s="1"/>
  <c r="Q67" i="94" a="1"/>
  <c r="Q67" i="94" s="1"/>
  <c r="Q68" i="94" a="1"/>
  <c r="Q68" i="94" s="1"/>
  <c r="Q69" i="94" a="1"/>
  <c r="Q69" i="94" s="1"/>
  <c r="Q70" i="94" a="1"/>
  <c r="Q70" i="94" s="1"/>
  <c r="Q71" i="94" a="1"/>
  <c r="Q71" i="94" s="1"/>
  <c r="Q72" i="94" a="1"/>
  <c r="Q72" i="94" s="1"/>
  <c r="Q73" i="94" a="1"/>
  <c r="Q73" i="94" s="1"/>
  <c r="Q74" i="94" a="1"/>
  <c r="Q74" i="94" s="1"/>
  <c r="Q75" i="94" a="1"/>
  <c r="Q75" i="94" s="1"/>
  <c r="Q76" i="94" a="1"/>
  <c r="Q76" i="94" s="1"/>
  <c r="Q77" i="94" a="1"/>
  <c r="Q77" i="94" s="1"/>
  <c r="Q78" i="94" a="1"/>
  <c r="Q78" i="94" s="1"/>
  <c r="Q79" i="94" a="1"/>
  <c r="Q79" i="94" s="1"/>
  <c r="Q80" i="94" a="1"/>
  <c r="Q80" i="94" s="1"/>
  <c r="Q81" i="94" a="1"/>
  <c r="Q81" i="94" s="1"/>
  <c r="Q82" i="94" a="1"/>
  <c r="Q82" i="94" s="1"/>
  <c r="Q83" i="94" a="1"/>
  <c r="Q83" i="94" s="1"/>
  <c r="Q84" i="94" a="1"/>
  <c r="Q84" i="94" s="1"/>
  <c r="Q85" i="94" a="1"/>
  <c r="Q85" i="94" s="1"/>
  <c r="Q86" i="94" a="1"/>
  <c r="Q86" i="94" s="1"/>
  <c r="Q87" i="94" a="1"/>
  <c r="Q87" i="94" s="1"/>
  <c r="Q88" i="94" a="1"/>
  <c r="Q88" i="94" s="1"/>
  <c r="Q89" i="94" a="1"/>
  <c r="Q89" i="94" s="1"/>
  <c r="Q90" i="94" a="1"/>
  <c r="Q90" i="94" s="1"/>
  <c r="Q91" i="94" a="1"/>
  <c r="Q91" i="94" s="1"/>
  <c r="Q92" i="94" a="1"/>
  <c r="Q92" i="94" s="1"/>
  <c r="Q93" i="94" a="1"/>
  <c r="Q93" i="94" s="1"/>
  <c r="Q94" i="94" a="1"/>
  <c r="Q94" i="94" s="1"/>
  <c r="Q95" i="94" a="1"/>
  <c r="Q95" i="94" s="1"/>
  <c r="Q96" i="94" a="1"/>
  <c r="Q96" i="94" s="1"/>
  <c r="Q97" i="94" a="1"/>
  <c r="Q97" i="94" s="1"/>
  <c r="Q98" i="94" a="1"/>
  <c r="Q98" i="94" s="1"/>
  <c r="Q99" i="94" a="1"/>
  <c r="Q99" i="94" s="1"/>
  <c r="Q100" i="94" a="1"/>
  <c r="Q100" i="94" s="1"/>
  <c r="Q101" i="94" a="1"/>
  <c r="Q101" i="94" s="1"/>
  <c r="Q102" i="94" a="1"/>
  <c r="Q102" i="94" s="1"/>
  <c r="Q103" i="94" a="1"/>
  <c r="Q103" i="94" s="1"/>
  <c r="Q104" i="94" a="1"/>
  <c r="Q104" i="94" s="1"/>
  <c r="Q105" i="94" a="1"/>
  <c r="Q105" i="94" s="1"/>
  <c r="Q106" i="94" a="1"/>
  <c r="Q106" i="94" s="1"/>
  <c r="Q107" i="94" a="1"/>
  <c r="Q107" i="94" s="1"/>
  <c r="Q108" i="94" a="1"/>
  <c r="Q108" i="94" s="1"/>
  <c r="Q109" i="94" a="1"/>
  <c r="Q109" i="94" s="1"/>
  <c r="Q110" i="94" a="1"/>
  <c r="Q110" i="94" s="1"/>
  <c r="Q111" i="94" a="1"/>
  <c r="Q111" i="94" s="1"/>
  <c r="Q112" i="94" a="1"/>
  <c r="Q112" i="94" s="1"/>
  <c r="Q113" i="94" a="1"/>
  <c r="Q113" i="94" s="1"/>
  <c r="Q114" i="94" a="1"/>
  <c r="Q114" i="94" s="1"/>
  <c r="Q115" i="94" a="1"/>
  <c r="Q115" i="94" s="1"/>
  <c r="Q116" i="94" a="1"/>
  <c r="Q116" i="94" s="1"/>
  <c r="Q117" i="94" a="1"/>
  <c r="Q117" i="94" s="1"/>
  <c r="Q118" i="94" a="1"/>
  <c r="Q118" i="94" s="1"/>
  <c r="Q119" i="94" a="1"/>
  <c r="Q119" i="94" s="1"/>
  <c r="Q120" i="94" a="1"/>
  <c r="Q120" i="94" s="1"/>
  <c r="Q121" i="94" a="1"/>
  <c r="Q121" i="94" s="1"/>
  <c r="Q122" i="94" a="1"/>
  <c r="Q122" i="94" s="1"/>
  <c r="Q123" i="94" a="1"/>
  <c r="Q123" i="94" s="1"/>
  <c r="Q124" i="94" a="1"/>
  <c r="Q124" i="94" s="1"/>
  <c r="Q125" i="94" a="1"/>
  <c r="Q125" i="94" s="1"/>
  <c r="Q126" i="94" a="1"/>
  <c r="Q126" i="94" s="1"/>
  <c r="Q127" i="94" a="1"/>
  <c r="Q127" i="94" s="1"/>
  <c r="Q128" i="94" a="1"/>
  <c r="Q128" i="94" s="1"/>
  <c r="Q129" i="94" a="1"/>
  <c r="Q129" i="94" s="1"/>
  <c r="Q130" i="94" a="1"/>
  <c r="Q130" i="94" s="1"/>
  <c r="Q131" i="94" a="1"/>
  <c r="Q131" i="94" s="1"/>
  <c r="Q132" i="94" a="1"/>
  <c r="Q132" i="94" s="1"/>
  <c r="Q133" i="94" a="1"/>
  <c r="Q133" i="94" s="1"/>
  <c r="Q134" i="94" a="1"/>
  <c r="Q134" i="94" s="1"/>
  <c r="Q135" i="94" a="1"/>
  <c r="Q135" i="94" s="1"/>
  <c r="Q136" i="94" a="1"/>
  <c r="Q136" i="94" s="1"/>
  <c r="Q137" i="94" a="1"/>
  <c r="Q137" i="94" s="1"/>
  <c r="Q138" i="94" a="1"/>
  <c r="Q138" i="94" s="1"/>
  <c r="Q139" i="94" a="1"/>
  <c r="Q139" i="94" s="1"/>
  <c r="Q140" i="94" a="1"/>
  <c r="Q140" i="94" s="1"/>
  <c r="Q141" i="94" a="1"/>
  <c r="Q141" i="94" s="1"/>
  <c r="Q142" i="94" a="1"/>
  <c r="Q142" i="94" s="1"/>
  <c r="Q143" i="94" a="1"/>
  <c r="Q143" i="94" s="1"/>
  <c r="AA7" i="94" a="1"/>
  <c r="AA7" i="94" s="1"/>
  <c r="AA8" i="94" a="1"/>
  <c r="AA8" i="94" s="1"/>
  <c r="AA9" i="94" a="1"/>
  <c r="AA9" i="94" s="1"/>
  <c r="AA10" i="94" a="1"/>
  <c r="AA10" i="94" s="1"/>
  <c r="AA11" i="94" a="1"/>
  <c r="AA11" i="94" s="1"/>
  <c r="AA12" i="94" a="1"/>
  <c r="AA12" i="94" s="1"/>
  <c r="AA13" i="94" a="1"/>
  <c r="AA13" i="94" s="1"/>
  <c r="AA14" i="94" a="1"/>
  <c r="AA14" i="94" s="1"/>
  <c r="AA15" i="94" a="1"/>
  <c r="AA15" i="94" s="1"/>
  <c r="AA16" i="94" a="1"/>
  <c r="AA16" i="94" s="1"/>
  <c r="AA17" i="94" a="1"/>
  <c r="AA17" i="94" s="1"/>
  <c r="AA18" i="94" a="1"/>
  <c r="AA18" i="94" s="1"/>
  <c r="AA19" i="94" a="1"/>
  <c r="AA19" i="94" s="1"/>
  <c r="AA20" i="94" a="1"/>
  <c r="AA20" i="94" s="1"/>
  <c r="AA21" i="94" a="1"/>
  <c r="AA21" i="94" s="1"/>
  <c r="AA22" i="94" a="1"/>
  <c r="AA22" i="94" s="1"/>
  <c r="AA23" i="94" a="1"/>
  <c r="AA23" i="94" s="1"/>
  <c r="AA24" i="94" a="1"/>
  <c r="AA24" i="94" s="1"/>
  <c r="AA25" i="94" a="1"/>
  <c r="AA25" i="94" s="1"/>
  <c r="AA26" i="94" a="1"/>
  <c r="AA26" i="94" s="1"/>
  <c r="AA27" i="94" a="1"/>
  <c r="AA27" i="94" s="1"/>
  <c r="AA28" i="94" a="1"/>
  <c r="AA28" i="94" s="1"/>
  <c r="AA29" i="94" a="1"/>
  <c r="AA29" i="94" s="1"/>
  <c r="AA30" i="94" a="1"/>
  <c r="AA30" i="94" s="1"/>
  <c r="AA31" i="94" a="1"/>
  <c r="AA31" i="94" s="1"/>
  <c r="AA32" i="94" a="1"/>
  <c r="AA32" i="94" s="1"/>
  <c r="AA33" i="94" a="1"/>
  <c r="AA33" i="94" s="1"/>
  <c r="AA34" i="94" a="1"/>
  <c r="AA34" i="94" s="1"/>
  <c r="AA35" i="94" a="1"/>
  <c r="AA35" i="94" s="1"/>
  <c r="AA36" i="94" a="1"/>
  <c r="AA36" i="94" s="1"/>
  <c r="AA37" i="94" a="1"/>
  <c r="AA37" i="94" s="1"/>
  <c r="AA38" i="94" a="1"/>
  <c r="AA38" i="94" s="1"/>
  <c r="AA39" i="94" a="1"/>
  <c r="AA39" i="94" s="1"/>
  <c r="AA40" i="94" a="1"/>
  <c r="AA40" i="94" s="1"/>
  <c r="AA41" i="94" a="1"/>
  <c r="AA41" i="94" s="1"/>
  <c r="AA42" i="94" a="1"/>
  <c r="AA42" i="94" s="1"/>
  <c r="AA43" i="94" a="1"/>
  <c r="AA43" i="94" s="1"/>
  <c r="AA44" i="94" a="1"/>
  <c r="AA44" i="94" s="1"/>
  <c r="AA45" i="94" a="1"/>
  <c r="AA45" i="94" s="1"/>
  <c r="AA46" i="94" a="1"/>
  <c r="AA46" i="94" s="1"/>
  <c r="AA47" i="94" a="1"/>
  <c r="AA47" i="94" s="1"/>
  <c r="AA48" i="94" a="1"/>
  <c r="AA48" i="94" s="1"/>
  <c r="AA49" i="94" a="1"/>
  <c r="AA49" i="94" s="1"/>
  <c r="AA50" i="94" a="1"/>
  <c r="AA50" i="94" s="1"/>
  <c r="AA51" i="94" a="1"/>
  <c r="AA51" i="94" s="1"/>
  <c r="AA52" i="94" a="1"/>
  <c r="AA52" i="94" s="1"/>
  <c r="AA53" i="94" a="1"/>
  <c r="AA53" i="94" s="1"/>
  <c r="AA54" i="94" a="1"/>
  <c r="AA54" i="94" s="1"/>
  <c r="AA55" i="94" a="1"/>
  <c r="AA55" i="94" s="1"/>
  <c r="AA56" i="94" a="1"/>
  <c r="AA56" i="94" s="1"/>
  <c r="AA57" i="94" a="1"/>
  <c r="AA57" i="94" s="1"/>
  <c r="AA58" i="94" a="1"/>
  <c r="AA58" i="94" s="1"/>
  <c r="AA59" i="94" a="1"/>
  <c r="AA59" i="94" s="1"/>
  <c r="AA60" i="94" a="1"/>
  <c r="AA60" i="94" s="1"/>
  <c r="AA61" i="94" a="1"/>
  <c r="AA61" i="94" s="1"/>
  <c r="AA62" i="94" a="1"/>
  <c r="AA62" i="94" s="1"/>
  <c r="AA63" i="94" a="1"/>
  <c r="AA63" i="94" s="1"/>
  <c r="AA64" i="94" a="1"/>
  <c r="AA64" i="94" s="1"/>
  <c r="AA65" i="94" a="1"/>
  <c r="AA65" i="94" s="1"/>
  <c r="AA66" i="94" a="1"/>
  <c r="AA66" i="94" s="1"/>
  <c r="AA67" i="94" a="1"/>
  <c r="AA67" i="94" s="1"/>
  <c r="AA68" i="94" a="1"/>
  <c r="AA68" i="94" s="1"/>
  <c r="AA69" i="94" a="1"/>
  <c r="AA69" i="94" s="1"/>
  <c r="AA70" i="94" a="1"/>
  <c r="AA70" i="94" s="1"/>
  <c r="AA71" i="94" a="1"/>
  <c r="AA71" i="94" s="1"/>
  <c r="AA72" i="94" a="1"/>
  <c r="AA72" i="94" s="1"/>
  <c r="AA73" i="94" a="1"/>
  <c r="AA73" i="94" s="1"/>
  <c r="AA74" i="94" a="1"/>
  <c r="AA74" i="94" s="1"/>
  <c r="AA75" i="94" a="1"/>
  <c r="AA75" i="94" s="1"/>
  <c r="AA76" i="94" a="1"/>
  <c r="AA76" i="94" s="1"/>
  <c r="AA77" i="94" a="1"/>
  <c r="AA77" i="94" s="1"/>
  <c r="AA78" i="94" a="1"/>
  <c r="AA78" i="94" s="1"/>
  <c r="AA79" i="94" a="1"/>
  <c r="AA79" i="94" s="1"/>
  <c r="AA80" i="94" a="1"/>
  <c r="AA80" i="94" s="1"/>
  <c r="AA81" i="94" a="1"/>
  <c r="AA81" i="94" s="1"/>
  <c r="AA82" i="94" a="1"/>
  <c r="AA82" i="94" s="1"/>
  <c r="AA83" i="94" a="1"/>
  <c r="AA83" i="94" s="1"/>
  <c r="AA84" i="94" a="1"/>
  <c r="AA84" i="94" s="1"/>
  <c r="AA85" i="94" a="1"/>
  <c r="AA85" i="94" s="1"/>
  <c r="AA86" i="94" a="1"/>
  <c r="AA86" i="94" s="1"/>
  <c r="AA87" i="94" a="1"/>
  <c r="AA87" i="94" s="1"/>
  <c r="AA88" i="94" a="1"/>
  <c r="AA88" i="94" s="1"/>
  <c r="AA89" i="94" a="1"/>
  <c r="AA89" i="94" s="1"/>
  <c r="AA90" i="94" a="1"/>
  <c r="AA90" i="94" s="1"/>
  <c r="AA91" i="94" a="1"/>
  <c r="AA91" i="94" s="1"/>
  <c r="AA92" i="94" a="1"/>
  <c r="AA92" i="94" s="1"/>
  <c r="AA93" i="94" a="1"/>
  <c r="AA93" i="94" s="1"/>
  <c r="AA94" i="94" a="1"/>
  <c r="AA94" i="94" s="1"/>
  <c r="AA95" i="94" a="1"/>
  <c r="AA95" i="94" s="1"/>
  <c r="AA96" i="94" a="1"/>
  <c r="AA96" i="94" s="1"/>
  <c r="AA97" i="94" a="1"/>
  <c r="AA97" i="94" s="1"/>
  <c r="AA98" i="94" a="1"/>
  <c r="AA98" i="94" s="1"/>
  <c r="AA99" i="94" a="1"/>
  <c r="AA99" i="94" s="1"/>
  <c r="AA100" i="94" a="1"/>
  <c r="AA100" i="94" s="1"/>
  <c r="AA101" i="94" a="1"/>
  <c r="AA101" i="94" s="1"/>
  <c r="AA102" i="94" a="1"/>
  <c r="AA102" i="94" s="1"/>
  <c r="AA103" i="94" a="1"/>
  <c r="AA103" i="94" s="1"/>
  <c r="AA104" i="94" a="1"/>
  <c r="AA104" i="94" s="1"/>
  <c r="AA105" i="94" a="1"/>
  <c r="AA105" i="94" s="1"/>
  <c r="AA106" i="94" a="1"/>
  <c r="AA106" i="94" s="1"/>
  <c r="AA107" i="94" a="1"/>
  <c r="AA107" i="94" s="1"/>
  <c r="AA108" i="94" a="1"/>
  <c r="AA108" i="94" s="1"/>
  <c r="AA109" i="94" a="1"/>
  <c r="AA109" i="94" s="1"/>
  <c r="AA110" i="94" a="1"/>
  <c r="AA110" i="94" s="1"/>
  <c r="AA111" i="94" a="1"/>
  <c r="AA111" i="94" s="1"/>
  <c r="AA112" i="94" a="1"/>
  <c r="AA112" i="94" s="1"/>
  <c r="AA113" i="94" a="1"/>
  <c r="AA113" i="94" s="1"/>
  <c r="AA114" i="94" a="1"/>
  <c r="AA114" i="94" s="1"/>
  <c r="AA115" i="94" a="1"/>
  <c r="AA115" i="94" s="1"/>
  <c r="AA116" i="94" a="1"/>
  <c r="AA116" i="94" s="1"/>
  <c r="AA117" i="94" a="1"/>
  <c r="AA117" i="94" s="1"/>
  <c r="AA118" i="94" a="1"/>
  <c r="AA118" i="94" s="1"/>
  <c r="AA119" i="94" a="1"/>
  <c r="AA119" i="94" s="1"/>
  <c r="AA120" i="94" a="1"/>
  <c r="AA120" i="94" s="1"/>
  <c r="AA121" i="94" a="1"/>
  <c r="AA121" i="94" s="1"/>
  <c r="AA122" i="94" a="1"/>
  <c r="AA122" i="94" s="1"/>
  <c r="AA123" i="94" a="1"/>
  <c r="AA123" i="94" s="1"/>
  <c r="AA124" i="94" a="1"/>
  <c r="AA124" i="94" s="1"/>
  <c r="AA125" i="94" a="1"/>
  <c r="AA125" i="94" s="1"/>
  <c r="AA126" i="94" a="1"/>
  <c r="AA126" i="94" s="1"/>
  <c r="AA127" i="94" a="1"/>
  <c r="AA127" i="94" s="1"/>
  <c r="AA128" i="94" a="1"/>
  <c r="AA128" i="94" s="1"/>
  <c r="AA129" i="94" a="1"/>
  <c r="AA129" i="94" s="1"/>
  <c r="AA130" i="94" a="1"/>
  <c r="AA130" i="94" s="1"/>
  <c r="AA131" i="94" a="1"/>
  <c r="AA131" i="94" s="1"/>
  <c r="AA132" i="94" a="1"/>
  <c r="AA132" i="94" s="1"/>
  <c r="AA133" i="94" a="1"/>
  <c r="AA133" i="94" s="1"/>
  <c r="AA134" i="94" a="1"/>
  <c r="AA134" i="94" s="1"/>
  <c r="AA135" i="94" a="1"/>
  <c r="AA135" i="94" s="1"/>
  <c r="AA136" i="94" a="1"/>
  <c r="AA136" i="94" s="1"/>
  <c r="AA137" i="94" a="1"/>
  <c r="AA137" i="94" s="1"/>
  <c r="AA138" i="94" a="1"/>
  <c r="AA138" i="94" s="1"/>
  <c r="AA139" i="94" a="1"/>
  <c r="AA139" i="94" s="1"/>
  <c r="AA140" i="94" a="1"/>
  <c r="AA140" i="94" s="1"/>
  <c r="AA141" i="94" a="1"/>
  <c r="AA141" i="94" s="1"/>
  <c r="AA142" i="94" a="1"/>
  <c r="AA142" i="94" s="1"/>
  <c r="AA143" i="94" a="1"/>
  <c r="AA143" i="94" s="1"/>
  <c r="A8" i="93"/>
  <c r="A9" i="93"/>
  <c r="A10" i="93"/>
  <c r="A11" i="93"/>
  <c r="A12" i="93"/>
  <c r="A13" i="93"/>
  <c r="A14" i="93"/>
  <c r="A15" i="93"/>
  <c r="A16" i="93"/>
  <c r="A17" i="93"/>
  <c r="A18" i="93"/>
  <c r="A19" i="93"/>
  <c r="A20" i="93"/>
  <c r="A21" i="93"/>
  <c r="A22" i="93"/>
  <c r="A23" i="93"/>
  <c r="A24" i="93"/>
  <c r="A25" i="93"/>
  <c r="A26" i="93"/>
  <c r="A27" i="93"/>
  <c r="A28" i="93"/>
  <c r="A29" i="93"/>
  <c r="A30" i="93"/>
  <c r="A31" i="93"/>
  <c r="A32" i="93"/>
  <c r="A33" i="93"/>
  <c r="A34" i="93"/>
  <c r="A35" i="93"/>
  <c r="A36" i="93"/>
  <c r="A37" i="93"/>
  <c r="A38" i="93"/>
  <c r="A39" i="93"/>
  <c r="A40" i="93"/>
  <c r="A41" i="93"/>
  <c r="A42" i="93"/>
  <c r="A43" i="93"/>
  <c r="A44" i="93"/>
  <c r="A45" i="93"/>
  <c r="A46" i="93"/>
  <c r="A47" i="93"/>
  <c r="A48" i="93"/>
  <c r="A49" i="93"/>
  <c r="A50" i="93"/>
  <c r="A51" i="93"/>
  <c r="A52" i="93"/>
  <c r="A53" i="93"/>
  <c r="A54" i="93"/>
  <c r="A55" i="93"/>
  <c r="A56" i="93"/>
  <c r="A57" i="93"/>
  <c r="A58" i="93"/>
  <c r="A59" i="93"/>
  <c r="A60" i="93"/>
  <c r="A61" i="93"/>
  <c r="A62" i="93"/>
  <c r="A63" i="93"/>
  <c r="A64" i="93"/>
  <c r="A65" i="93"/>
  <c r="A66" i="93"/>
  <c r="A67" i="93"/>
  <c r="A68" i="93"/>
  <c r="A69" i="93"/>
  <c r="A70" i="93"/>
  <c r="A71" i="93"/>
  <c r="A72" i="93"/>
  <c r="A73" i="93"/>
  <c r="A74" i="93"/>
  <c r="A75" i="93"/>
  <c r="A76" i="93"/>
  <c r="A77" i="93"/>
  <c r="A78" i="93"/>
  <c r="A79" i="93"/>
  <c r="A80" i="93"/>
  <c r="A81" i="93"/>
  <c r="A82" i="93"/>
  <c r="A83" i="93"/>
  <c r="A84" i="93"/>
  <c r="A85" i="93"/>
  <c r="A86" i="93"/>
  <c r="A87" i="93"/>
  <c r="A88" i="93"/>
  <c r="A89" i="93"/>
  <c r="A90" i="93"/>
  <c r="A91" i="93"/>
  <c r="A92" i="93"/>
  <c r="A93" i="93"/>
  <c r="A94" i="93"/>
  <c r="A95" i="93"/>
  <c r="A96" i="93"/>
  <c r="A97" i="93"/>
  <c r="A98" i="93"/>
  <c r="A99" i="93"/>
  <c r="A100" i="93"/>
  <c r="A101" i="93"/>
  <c r="A102" i="93"/>
  <c r="A103" i="93"/>
  <c r="A104" i="93"/>
  <c r="A105" i="93"/>
  <c r="A106" i="93"/>
  <c r="A107" i="93"/>
  <c r="A108" i="93"/>
  <c r="A109" i="93"/>
  <c r="A110" i="93"/>
  <c r="A111" i="93"/>
  <c r="A112" i="93"/>
  <c r="A113" i="93"/>
  <c r="A114" i="93"/>
  <c r="A115" i="93"/>
  <c r="A116" i="93"/>
  <c r="A117" i="93"/>
  <c r="A118" i="93"/>
  <c r="A119" i="93"/>
  <c r="A120" i="93"/>
  <c r="A121" i="93"/>
  <c r="A122" i="93"/>
  <c r="A123" i="93"/>
  <c r="A124" i="93"/>
  <c r="A125" i="93"/>
  <c r="A126" i="93"/>
  <c r="A127" i="93"/>
  <c r="A128" i="93"/>
  <c r="A129" i="93"/>
  <c r="A130" i="93"/>
  <c r="A131" i="93"/>
  <c r="A132" i="93"/>
  <c r="A133" i="93"/>
  <c r="A134" i="93"/>
  <c r="A135" i="93"/>
  <c r="A136" i="93"/>
  <c r="A137" i="93"/>
  <c r="A138" i="93"/>
  <c r="A139" i="93"/>
  <c r="A140" i="93"/>
  <c r="A141" i="93"/>
  <c r="A142" i="93"/>
  <c r="A143" i="93"/>
  <c r="W12" i="93"/>
  <c r="W13" i="93"/>
  <c r="W14" i="93"/>
  <c r="W15" i="93"/>
  <c r="W16" i="93"/>
  <c r="W17" i="93"/>
  <c r="W18" i="93"/>
  <c r="W19" i="93"/>
  <c r="W20" i="93"/>
  <c r="W21" i="93"/>
  <c r="W22" i="93"/>
  <c r="W23" i="93"/>
  <c r="W24" i="93"/>
  <c r="W25" i="93"/>
  <c r="W26" i="93"/>
  <c r="W27" i="93"/>
  <c r="W28" i="93"/>
  <c r="W29" i="93"/>
  <c r="W30" i="93"/>
  <c r="W31" i="93"/>
  <c r="W32" i="93"/>
  <c r="W33" i="93"/>
  <c r="W34" i="93"/>
  <c r="W35" i="93"/>
  <c r="W36" i="93"/>
  <c r="W37" i="93"/>
  <c r="W38" i="93"/>
  <c r="W39" i="93"/>
  <c r="W40" i="93"/>
  <c r="W41" i="93"/>
  <c r="W42" i="93"/>
  <c r="W43" i="93"/>
  <c r="W44" i="93"/>
  <c r="W45" i="93"/>
  <c r="W46" i="93"/>
  <c r="W47" i="93"/>
  <c r="W48" i="93"/>
  <c r="W49" i="93"/>
  <c r="W50" i="93"/>
  <c r="W51" i="93"/>
  <c r="W52" i="93"/>
  <c r="W53" i="93"/>
  <c r="W54" i="93"/>
  <c r="W55" i="93"/>
  <c r="W56" i="93"/>
  <c r="W57" i="93"/>
  <c r="W58" i="93"/>
  <c r="W59" i="93"/>
  <c r="W60" i="93"/>
  <c r="W61" i="93"/>
  <c r="W62" i="93"/>
  <c r="W63" i="93"/>
  <c r="W64" i="93"/>
  <c r="W65" i="93"/>
  <c r="W66" i="93"/>
  <c r="W67" i="93"/>
  <c r="W68" i="93"/>
  <c r="W69" i="93"/>
  <c r="W70" i="93"/>
  <c r="W71" i="93"/>
  <c r="W72" i="93"/>
  <c r="W73" i="93"/>
  <c r="W74" i="93"/>
  <c r="W75" i="93"/>
  <c r="W76" i="93"/>
  <c r="W77" i="93"/>
  <c r="W78" i="93"/>
  <c r="W79" i="93"/>
  <c r="W80" i="93"/>
  <c r="W81" i="93"/>
  <c r="W82" i="93"/>
  <c r="W83" i="93"/>
  <c r="W84" i="93"/>
  <c r="W85" i="93"/>
  <c r="W86" i="93"/>
  <c r="W87" i="93"/>
  <c r="W88" i="93"/>
  <c r="W89" i="93"/>
  <c r="W90" i="93"/>
  <c r="W91" i="93"/>
  <c r="W92" i="93"/>
  <c r="W93" i="93"/>
  <c r="W94" i="93"/>
  <c r="W95" i="93"/>
  <c r="W96" i="93"/>
  <c r="W97" i="93"/>
  <c r="W98" i="93"/>
  <c r="W99" i="93"/>
  <c r="W100" i="93"/>
  <c r="W101" i="93"/>
  <c r="W102" i="93"/>
  <c r="W103" i="93"/>
  <c r="W104" i="93"/>
  <c r="W105" i="93"/>
  <c r="W106" i="93"/>
  <c r="W107" i="93"/>
  <c r="W108" i="93"/>
  <c r="W109" i="93"/>
  <c r="W110" i="93"/>
  <c r="W111" i="93"/>
  <c r="W112" i="93"/>
  <c r="W113" i="93"/>
  <c r="W114" i="93"/>
  <c r="W115" i="93"/>
  <c r="W116" i="93"/>
  <c r="W117" i="93"/>
  <c r="W118" i="93"/>
  <c r="W119" i="93"/>
  <c r="W120" i="93"/>
  <c r="W121" i="93"/>
  <c r="W122" i="93"/>
  <c r="W123" i="93"/>
  <c r="W124" i="93"/>
  <c r="W125" i="93"/>
  <c r="W126" i="93"/>
  <c r="W127" i="93"/>
  <c r="W128" i="93"/>
  <c r="W129" i="93"/>
  <c r="W130" i="93"/>
  <c r="W131" i="93"/>
  <c r="W132" i="93"/>
  <c r="W133" i="93"/>
  <c r="W134" i="93"/>
  <c r="W135" i="93"/>
  <c r="W136" i="93"/>
  <c r="W137" i="93"/>
  <c r="W138" i="93"/>
  <c r="W139" i="93"/>
  <c r="W140" i="93"/>
  <c r="W141" i="93"/>
  <c r="W142" i="93"/>
  <c r="W143" i="93"/>
  <c r="X12" i="93"/>
  <c r="X13" i="93"/>
  <c r="X14" i="93"/>
  <c r="X15" i="93"/>
  <c r="X16" i="93"/>
  <c r="X17" i="93"/>
  <c r="X18" i="93"/>
  <c r="X19" i="93"/>
  <c r="X20" i="93"/>
  <c r="X21" i="93"/>
  <c r="X22" i="93"/>
  <c r="X23" i="93"/>
  <c r="X24" i="93"/>
  <c r="X25" i="93"/>
  <c r="X26" i="93"/>
  <c r="X27" i="93"/>
  <c r="X28" i="93"/>
  <c r="X29" i="93"/>
  <c r="X30" i="93"/>
  <c r="X31" i="93"/>
  <c r="X32" i="93"/>
  <c r="X33" i="93"/>
  <c r="X34" i="93"/>
  <c r="X35" i="93"/>
  <c r="X36" i="93"/>
  <c r="X37" i="93"/>
  <c r="X38" i="93"/>
  <c r="X39" i="93"/>
  <c r="X40" i="93"/>
  <c r="X41" i="93"/>
  <c r="X42" i="93"/>
  <c r="X43" i="93"/>
  <c r="X44" i="93"/>
  <c r="X45" i="93"/>
  <c r="X46" i="93"/>
  <c r="X47" i="93"/>
  <c r="X48" i="93"/>
  <c r="X49" i="93"/>
  <c r="X50" i="93"/>
  <c r="X51" i="93"/>
  <c r="X52" i="93"/>
  <c r="X53" i="93"/>
  <c r="X54" i="93"/>
  <c r="X55" i="93"/>
  <c r="X56" i="93"/>
  <c r="X57" i="93"/>
  <c r="X58" i="93"/>
  <c r="X59" i="93"/>
  <c r="X60" i="93"/>
  <c r="X61" i="93"/>
  <c r="X62" i="93"/>
  <c r="X63" i="93"/>
  <c r="X64" i="93"/>
  <c r="X65" i="93"/>
  <c r="X66" i="93"/>
  <c r="X67" i="93"/>
  <c r="X68" i="93"/>
  <c r="X69" i="93"/>
  <c r="X70" i="93"/>
  <c r="X71" i="93"/>
  <c r="X72" i="93"/>
  <c r="X73" i="93"/>
  <c r="X74" i="93"/>
  <c r="X75" i="93"/>
  <c r="X76" i="93"/>
  <c r="X77" i="93"/>
  <c r="X78" i="93"/>
  <c r="X79" i="93"/>
  <c r="X80" i="93"/>
  <c r="X81" i="93"/>
  <c r="X82" i="93"/>
  <c r="X83" i="93"/>
  <c r="X84" i="93"/>
  <c r="X85" i="93"/>
  <c r="X86" i="93"/>
  <c r="X87" i="93"/>
  <c r="X88" i="93"/>
  <c r="X89" i="93"/>
  <c r="X90" i="93"/>
  <c r="X91" i="93"/>
  <c r="X92" i="93"/>
  <c r="X93" i="93"/>
  <c r="X94" i="93"/>
  <c r="X95" i="93"/>
  <c r="X96" i="93"/>
  <c r="X97" i="93"/>
  <c r="X98" i="93"/>
  <c r="X99" i="93"/>
  <c r="X100" i="93"/>
  <c r="X101" i="93"/>
  <c r="X102" i="93"/>
  <c r="X103" i="93"/>
  <c r="X104" i="93"/>
  <c r="X105" i="93"/>
  <c r="X106" i="93"/>
  <c r="X107" i="93"/>
  <c r="X108" i="93"/>
  <c r="X109" i="93"/>
  <c r="X110" i="93"/>
  <c r="X111" i="93"/>
  <c r="X112" i="93"/>
  <c r="X113" i="93"/>
  <c r="X114" i="93"/>
  <c r="X115" i="93"/>
  <c r="X116" i="93"/>
  <c r="X117" i="93"/>
  <c r="X118" i="93"/>
  <c r="X119" i="93"/>
  <c r="X120" i="93"/>
  <c r="X121" i="93"/>
  <c r="X122" i="93"/>
  <c r="X123" i="93"/>
  <c r="X124" i="93"/>
  <c r="X125" i="93"/>
  <c r="X126" i="93"/>
  <c r="X127" i="93"/>
  <c r="X128" i="93"/>
  <c r="X129" i="93"/>
  <c r="X130" i="93"/>
  <c r="X131" i="93"/>
  <c r="X132" i="93"/>
  <c r="X133" i="93"/>
  <c r="X134" i="93"/>
  <c r="X135" i="93"/>
  <c r="X136" i="93"/>
  <c r="X137" i="93"/>
  <c r="X138" i="93"/>
  <c r="X139" i="93"/>
  <c r="X140" i="93"/>
  <c r="X141" i="93"/>
  <c r="X142" i="93"/>
  <c r="X143" i="93"/>
  <c r="Y12" i="93"/>
  <c r="Y13" i="93"/>
  <c r="Y14" i="93"/>
  <c r="Y15" i="93"/>
  <c r="Y16" i="93"/>
  <c r="Y17" i="93"/>
  <c r="Y18" i="93"/>
  <c r="Y19" i="93"/>
  <c r="Y20" i="93"/>
  <c r="Y21" i="93"/>
  <c r="Y22" i="93"/>
  <c r="Y23" i="93"/>
  <c r="Y24" i="93"/>
  <c r="Y25" i="93"/>
  <c r="Y26" i="93"/>
  <c r="Y27" i="93"/>
  <c r="Y28" i="93"/>
  <c r="Y29" i="93"/>
  <c r="Y30" i="93"/>
  <c r="Y31" i="93"/>
  <c r="Y32" i="93"/>
  <c r="Y33" i="93"/>
  <c r="Y34" i="93"/>
  <c r="Y35" i="93"/>
  <c r="Y36" i="93"/>
  <c r="Y37" i="93"/>
  <c r="Y38" i="93"/>
  <c r="Y39" i="93"/>
  <c r="Y40" i="93"/>
  <c r="Y41" i="93"/>
  <c r="Y42" i="93"/>
  <c r="Y43" i="93"/>
  <c r="Y44" i="93"/>
  <c r="Y45" i="93"/>
  <c r="Y46" i="93"/>
  <c r="Y47" i="93"/>
  <c r="Y48" i="93"/>
  <c r="Y49" i="93"/>
  <c r="Y50" i="93"/>
  <c r="Y51" i="93"/>
  <c r="Y52" i="93"/>
  <c r="Y53" i="93"/>
  <c r="Y54" i="93"/>
  <c r="Y55" i="93"/>
  <c r="Y56" i="93"/>
  <c r="Y57" i="93"/>
  <c r="Y58" i="93"/>
  <c r="Y59" i="93"/>
  <c r="Y60" i="93"/>
  <c r="Y61" i="93"/>
  <c r="Y62" i="93"/>
  <c r="Y63" i="93"/>
  <c r="Y64" i="93"/>
  <c r="Y65" i="93"/>
  <c r="Y66" i="93"/>
  <c r="Y67" i="93"/>
  <c r="Y68" i="93"/>
  <c r="Y69" i="93"/>
  <c r="Y70" i="93"/>
  <c r="Y71" i="93"/>
  <c r="Y72" i="93"/>
  <c r="Y73" i="93"/>
  <c r="Y74" i="93"/>
  <c r="Y75" i="93"/>
  <c r="Y76" i="93"/>
  <c r="Y77" i="93"/>
  <c r="Y78" i="93"/>
  <c r="Y79" i="93"/>
  <c r="Y80" i="93"/>
  <c r="Y81" i="93"/>
  <c r="Y82" i="93"/>
  <c r="Y83" i="93"/>
  <c r="Y84" i="93"/>
  <c r="Y85" i="93"/>
  <c r="Y86" i="93"/>
  <c r="Y87" i="93"/>
  <c r="Y88" i="93"/>
  <c r="Y89" i="93"/>
  <c r="Y90" i="93"/>
  <c r="Y91" i="93"/>
  <c r="Y92" i="93"/>
  <c r="Y93" i="93"/>
  <c r="Y94" i="93"/>
  <c r="Y95" i="93"/>
  <c r="Y96" i="93"/>
  <c r="Y97" i="93"/>
  <c r="Y98" i="93"/>
  <c r="Y99" i="93"/>
  <c r="Y100" i="93"/>
  <c r="Y101" i="93"/>
  <c r="Y102" i="93"/>
  <c r="Y103" i="93"/>
  <c r="Y104" i="93"/>
  <c r="Y105" i="93"/>
  <c r="Y106" i="93"/>
  <c r="Y107" i="93"/>
  <c r="Y108" i="93"/>
  <c r="Y109" i="93"/>
  <c r="Y110" i="93"/>
  <c r="Y111" i="93"/>
  <c r="Y112" i="93"/>
  <c r="Y113" i="93"/>
  <c r="Y114" i="93"/>
  <c r="Y115" i="93"/>
  <c r="Y116" i="93"/>
  <c r="Y117" i="93"/>
  <c r="Y118" i="93"/>
  <c r="Y119" i="93"/>
  <c r="Y120" i="93"/>
  <c r="Y121" i="93"/>
  <c r="Y122" i="93"/>
  <c r="Y123" i="93"/>
  <c r="Y124" i="93"/>
  <c r="Y125" i="93"/>
  <c r="Y126" i="93"/>
  <c r="Y127" i="93"/>
  <c r="Y128" i="93"/>
  <c r="Y129" i="93"/>
  <c r="Y130" i="93"/>
  <c r="Y131" i="93"/>
  <c r="Y132" i="93"/>
  <c r="Y133" i="93"/>
  <c r="Y134" i="93"/>
  <c r="Y135" i="93"/>
  <c r="Y136" i="93"/>
  <c r="Y137" i="93"/>
  <c r="Y138" i="93"/>
  <c r="Y139" i="93"/>
  <c r="Y140" i="93"/>
  <c r="Y141" i="93"/>
  <c r="Y142" i="93"/>
  <c r="Y143" i="93"/>
  <c r="Z12" i="93"/>
  <c r="Z13" i="93"/>
  <c r="Z14" i="93"/>
  <c r="Z15" i="93"/>
  <c r="Z16" i="93"/>
  <c r="Z17" i="93"/>
  <c r="Z18" i="93"/>
  <c r="Z19" i="93"/>
  <c r="Z20" i="93"/>
  <c r="Z21" i="93"/>
  <c r="Z22" i="93"/>
  <c r="Z23" i="93"/>
  <c r="Z24" i="93"/>
  <c r="Z25" i="93"/>
  <c r="Z26" i="93"/>
  <c r="Z27" i="93"/>
  <c r="Z28" i="93"/>
  <c r="Z29" i="93"/>
  <c r="Z30" i="93"/>
  <c r="Z31" i="93"/>
  <c r="Z32" i="93"/>
  <c r="Z33" i="93"/>
  <c r="Z34" i="93"/>
  <c r="Z35" i="93"/>
  <c r="Z36" i="93"/>
  <c r="Z37" i="93"/>
  <c r="Z38" i="93"/>
  <c r="Z39" i="93"/>
  <c r="Z40" i="93"/>
  <c r="Z41" i="93"/>
  <c r="Z42" i="93"/>
  <c r="Z43" i="93"/>
  <c r="Z44" i="93"/>
  <c r="Z45" i="93"/>
  <c r="Z46" i="93"/>
  <c r="Z47" i="93"/>
  <c r="Z48" i="93"/>
  <c r="Z49" i="93"/>
  <c r="Z50" i="93"/>
  <c r="Z51" i="93"/>
  <c r="Z52" i="93"/>
  <c r="Z53" i="93"/>
  <c r="Z54" i="93"/>
  <c r="Z55" i="93"/>
  <c r="Z56" i="93"/>
  <c r="Z57" i="93"/>
  <c r="Z58" i="93"/>
  <c r="Z59" i="93"/>
  <c r="Z60" i="93"/>
  <c r="Z61" i="93"/>
  <c r="Z62" i="93"/>
  <c r="Z63" i="93"/>
  <c r="Z64" i="93"/>
  <c r="Z65" i="93"/>
  <c r="Z66" i="93"/>
  <c r="Z67" i="93"/>
  <c r="Z68" i="93"/>
  <c r="Z69" i="93"/>
  <c r="Z70" i="93"/>
  <c r="Z71" i="93"/>
  <c r="Z72" i="93"/>
  <c r="Z73" i="93"/>
  <c r="Z74" i="93"/>
  <c r="Z75" i="93"/>
  <c r="Z76" i="93"/>
  <c r="Z77" i="93"/>
  <c r="Z78" i="93"/>
  <c r="Z79" i="93"/>
  <c r="Z80" i="93"/>
  <c r="Z81" i="93"/>
  <c r="Z82" i="93"/>
  <c r="Z83" i="93"/>
  <c r="Z84" i="93"/>
  <c r="Z85" i="93"/>
  <c r="Z86" i="93"/>
  <c r="Z87" i="93"/>
  <c r="Z88" i="93"/>
  <c r="Z89" i="93"/>
  <c r="Z90" i="93"/>
  <c r="Z91" i="93"/>
  <c r="Z92" i="93"/>
  <c r="Z93" i="93"/>
  <c r="Z94" i="93"/>
  <c r="Z95" i="93"/>
  <c r="Z96" i="93"/>
  <c r="Z97" i="93"/>
  <c r="Z98" i="93"/>
  <c r="Z99" i="93"/>
  <c r="Z100" i="93"/>
  <c r="Z101" i="93"/>
  <c r="Z102" i="93"/>
  <c r="Z103" i="93"/>
  <c r="Z104" i="93"/>
  <c r="Z105" i="93"/>
  <c r="Z106" i="93"/>
  <c r="Z107" i="93"/>
  <c r="Z108" i="93"/>
  <c r="Z109" i="93"/>
  <c r="Z110" i="93"/>
  <c r="Z111" i="93"/>
  <c r="Z112" i="93"/>
  <c r="Z113" i="93"/>
  <c r="Z114" i="93"/>
  <c r="Z115" i="93"/>
  <c r="Z116" i="93"/>
  <c r="Z117" i="93"/>
  <c r="Z118" i="93"/>
  <c r="Z119" i="93"/>
  <c r="Z120" i="93"/>
  <c r="Z121" i="93"/>
  <c r="Z122" i="93"/>
  <c r="Z123" i="93"/>
  <c r="Z124" i="93"/>
  <c r="Z125" i="93"/>
  <c r="Z126" i="93"/>
  <c r="Z127" i="93"/>
  <c r="Z128" i="93"/>
  <c r="Z129" i="93"/>
  <c r="Z130" i="93"/>
  <c r="Z131" i="93"/>
  <c r="Z132" i="93"/>
  <c r="Z133" i="93"/>
  <c r="Z134" i="93"/>
  <c r="Z135" i="93"/>
  <c r="Z136" i="93"/>
  <c r="Z137" i="93"/>
  <c r="Z138" i="93"/>
  <c r="Z139" i="93"/>
  <c r="Z140" i="93"/>
  <c r="Z141" i="93"/>
  <c r="Z142" i="93"/>
  <c r="Z143" i="93"/>
  <c r="AM8" i="93"/>
  <c r="AM9" i="93"/>
  <c r="AM10" i="93"/>
  <c r="AM11" i="93"/>
  <c r="AA12" i="93"/>
  <c r="AM12" i="93" s="1"/>
  <c r="AA13" i="93"/>
  <c r="AM13" i="93" s="1"/>
  <c r="AA14" i="93"/>
  <c r="AM14" i="93" s="1"/>
  <c r="AA15" i="93"/>
  <c r="AM15" i="93" s="1"/>
  <c r="AA16" i="93"/>
  <c r="AM16" i="93" s="1"/>
  <c r="AA17" i="93"/>
  <c r="AM17" i="93" s="1"/>
  <c r="AA18" i="93"/>
  <c r="AM18" i="93" s="1"/>
  <c r="AA19" i="93"/>
  <c r="AM19" i="93" s="1"/>
  <c r="AA20" i="93"/>
  <c r="AM20" i="93" s="1"/>
  <c r="AA21" i="93"/>
  <c r="AM21" i="93" s="1"/>
  <c r="AA22" i="93"/>
  <c r="AM22" i="93" s="1"/>
  <c r="AA23" i="93"/>
  <c r="AM23" i="93" s="1"/>
  <c r="AA24" i="93"/>
  <c r="AM24" i="93" s="1"/>
  <c r="AA25" i="93"/>
  <c r="AM25" i="93" s="1"/>
  <c r="AA26" i="93"/>
  <c r="AM26" i="93" s="1"/>
  <c r="AA27" i="93"/>
  <c r="AM27" i="93" s="1"/>
  <c r="AA28" i="93"/>
  <c r="AM28" i="93" s="1"/>
  <c r="AA29" i="93"/>
  <c r="AM29" i="93" s="1"/>
  <c r="AA30" i="93"/>
  <c r="AM30" i="93" s="1"/>
  <c r="AA31" i="93"/>
  <c r="AM31" i="93" s="1"/>
  <c r="AA32" i="93"/>
  <c r="AM32" i="93" s="1"/>
  <c r="AA33" i="93"/>
  <c r="AM33" i="93" s="1"/>
  <c r="AA34" i="93"/>
  <c r="AM34" i="93" s="1"/>
  <c r="AA35" i="93"/>
  <c r="AM35" i="93" s="1"/>
  <c r="AA36" i="93"/>
  <c r="AM36" i="93" s="1"/>
  <c r="AA37" i="93"/>
  <c r="AM37" i="93" s="1"/>
  <c r="AA38" i="93"/>
  <c r="AM38" i="93" s="1"/>
  <c r="AA39" i="93"/>
  <c r="AM39" i="93" s="1"/>
  <c r="AA40" i="93"/>
  <c r="AM40" i="93" s="1"/>
  <c r="AA41" i="93"/>
  <c r="AM41" i="93" s="1"/>
  <c r="AA42" i="93"/>
  <c r="AM42" i="93" s="1"/>
  <c r="AA43" i="93"/>
  <c r="AM43" i="93" s="1"/>
  <c r="AA44" i="93"/>
  <c r="AM44" i="93" s="1"/>
  <c r="AA45" i="93"/>
  <c r="AM45" i="93" s="1"/>
  <c r="AA46" i="93"/>
  <c r="AM46" i="93" s="1"/>
  <c r="AA47" i="93"/>
  <c r="AM47" i="93" s="1"/>
  <c r="AA48" i="93"/>
  <c r="AM48" i="93" s="1"/>
  <c r="AA49" i="93"/>
  <c r="AM49" i="93" s="1"/>
  <c r="AA50" i="93"/>
  <c r="AM50" i="93" s="1"/>
  <c r="AA51" i="93"/>
  <c r="AM51" i="93" s="1"/>
  <c r="AA52" i="93"/>
  <c r="AM52" i="93" s="1"/>
  <c r="AA53" i="93"/>
  <c r="AM53" i="93" s="1"/>
  <c r="AA54" i="93"/>
  <c r="AM54" i="93" s="1"/>
  <c r="AA55" i="93"/>
  <c r="AM55" i="93" s="1"/>
  <c r="AA56" i="93"/>
  <c r="AM56" i="93" s="1"/>
  <c r="AA57" i="93"/>
  <c r="AM57" i="93" s="1"/>
  <c r="AA58" i="93"/>
  <c r="AM58" i="93" s="1"/>
  <c r="AA59" i="93"/>
  <c r="AM59" i="93" s="1"/>
  <c r="AA60" i="93"/>
  <c r="AM60" i="93" s="1"/>
  <c r="AA61" i="93"/>
  <c r="AM61" i="93" s="1"/>
  <c r="AA62" i="93"/>
  <c r="AM62" i="93" s="1"/>
  <c r="AA63" i="93"/>
  <c r="AM63" i="93" s="1"/>
  <c r="AA64" i="93"/>
  <c r="AM64" i="93" s="1"/>
  <c r="AA65" i="93"/>
  <c r="AM65" i="93" s="1"/>
  <c r="AA66" i="93"/>
  <c r="AM66" i="93" s="1"/>
  <c r="AA67" i="93"/>
  <c r="AM67" i="93" s="1"/>
  <c r="AA68" i="93"/>
  <c r="AM68" i="93" s="1"/>
  <c r="AA69" i="93"/>
  <c r="AM69" i="93" s="1"/>
  <c r="AA70" i="93"/>
  <c r="AM70" i="93" s="1"/>
  <c r="AA71" i="93"/>
  <c r="AM71" i="93" s="1"/>
  <c r="AA72" i="93"/>
  <c r="AM72" i="93" s="1"/>
  <c r="AA73" i="93"/>
  <c r="AM73" i="93" s="1"/>
  <c r="AA74" i="93"/>
  <c r="AM74" i="93" s="1"/>
  <c r="AA75" i="93"/>
  <c r="AM75" i="93" s="1"/>
  <c r="AA76" i="93"/>
  <c r="AM76" i="93" s="1"/>
  <c r="AA77" i="93"/>
  <c r="AM77" i="93" s="1"/>
  <c r="AA78" i="93"/>
  <c r="AM78" i="93" s="1"/>
  <c r="AA79" i="93"/>
  <c r="AM79" i="93" s="1"/>
  <c r="AA80" i="93"/>
  <c r="AM80" i="93" s="1"/>
  <c r="AA81" i="93"/>
  <c r="AM81" i="93" s="1"/>
  <c r="AA82" i="93"/>
  <c r="AM82" i="93" s="1"/>
  <c r="AA83" i="93"/>
  <c r="AM83" i="93" s="1"/>
  <c r="AA84" i="93"/>
  <c r="AM84" i="93" s="1"/>
  <c r="AA85" i="93"/>
  <c r="AM85" i="93" s="1"/>
  <c r="AA86" i="93"/>
  <c r="AM86" i="93" s="1"/>
  <c r="AA87" i="93"/>
  <c r="AM87" i="93" s="1"/>
  <c r="AA88" i="93"/>
  <c r="AM88" i="93" s="1"/>
  <c r="AA89" i="93"/>
  <c r="AM89" i="93" s="1"/>
  <c r="AA90" i="93"/>
  <c r="AM90" i="93" s="1"/>
  <c r="AA91" i="93"/>
  <c r="AM91" i="93" s="1"/>
  <c r="AA92" i="93"/>
  <c r="AM92" i="93" s="1"/>
  <c r="AA93" i="93"/>
  <c r="AM93" i="93" s="1"/>
  <c r="AA94" i="93"/>
  <c r="AM94" i="93" s="1"/>
  <c r="AA95" i="93"/>
  <c r="AM95" i="93" s="1"/>
  <c r="AA96" i="93"/>
  <c r="AM96" i="93" s="1"/>
  <c r="AA97" i="93"/>
  <c r="AM97" i="93" s="1"/>
  <c r="AA98" i="93"/>
  <c r="AM98" i="93" s="1"/>
  <c r="AA99" i="93"/>
  <c r="AM99" i="93" s="1"/>
  <c r="AA100" i="93"/>
  <c r="AM100" i="93" s="1"/>
  <c r="AA101" i="93"/>
  <c r="AM101" i="93" s="1"/>
  <c r="AA102" i="93"/>
  <c r="AM102" i="93" s="1"/>
  <c r="AA103" i="93"/>
  <c r="AM103" i="93" s="1"/>
  <c r="AA104" i="93"/>
  <c r="AM104" i="93" s="1"/>
  <c r="AA105" i="93"/>
  <c r="AM105" i="93" s="1"/>
  <c r="AA106" i="93"/>
  <c r="AM106" i="93" s="1"/>
  <c r="AA107" i="93"/>
  <c r="AM107" i="93" s="1"/>
  <c r="AA108" i="93"/>
  <c r="AM108" i="93" s="1"/>
  <c r="AA109" i="93"/>
  <c r="AM109" i="93" s="1"/>
  <c r="AA110" i="93"/>
  <c r="AM110" i="93" s="1"/>
  <c r="AA111" i="93"/>
  <c r="AM111" i="93" s="1"/>
  <c r="AA112" i="93"/>
  <c r="AM112" i="93" s="1"/>
  <c r="AA113" i="93"/>
  <c r="AM113" i="93" s="1"/>
  <c r="AA114" i="93"/>
  <c r="AM114" i="93" s="1"/>
  <c r="AA115" i="93"/>
  <c r="AM115" i="93" s="1"/>
  <c r="AA116" i="93"/>
  <c r="AM116" i="93" s="1"/>
  <c r="AA117" i="93"/>
  <c r="AM117" i="93" s="1"/>
  <c r="AA118" i="93"/>
  <c r="AM118" i="93" s="1"/>
  <c r="AA119" i="93"/>
  <c r="AM119" i="93" s="1"/>
  <c r="AA120" i="93"/>
  <c r="AM120" i="93" s="1"/>
  <c r="AA121" i="93"/>
  <c r="AM121" i="93" s="1"/>
  <c r="AA122" i="93"/>
  <c r="AM122" i="93" s="1"/>
  <c r="AA123" i="93"/>
  <c r="AM123" i="93" s="1"/>
  <c r="AA124" i="93"/>
  <c r="AM124" i="93" s="1"/>
  <c r="AA125" i="93"/>
  <c r="AM125" i="93" s="1"/>
  <c r="AA126" i="93"/>
  <c r="AM126" i="93" s="1"/>
  <c r="AA127" i="93"/>
  <c r="AM127" i="93" s="1"/>
  <c r="AA128" i="93"/>
  <c r="AA129" i="93"/>
  <c r="AM129" i="93" s="1"/>
  <c r="AA130" i="93"/>
  <c r="AM130" i="93" s="1"/>
  <c r="AA131" i="93"/>
  <c r="AM131" i="93" s="1"/>
  <c r="AA132" i="93"/>
  <c r="AM132" i="93" s="1"/>
  <c r="AA133" i="93"/>
  <c r="AM133" i="93" s="1"/>
  <c r="AA134" i="93"/>
  <c r="AM134" i="93" s="1"/>
  <c r="AA135" i="93"/>
  <c r="AM135" i="93" s="1"/>
  <c r="AA136" i="93"/>
  <c r="AM136" i="93" s="1"/>
  <c r="AA137" i="93"/>
  <c r="AM137" i="93" s="1"/>
  <c r="AA138" i="93"/>
  <c r="AM138" i="93" s="1"/>
  <c r="AA139" i="93"/>
  <c r="AM139" i="93" s="1"/>
  <c r="AA140" i="93"/>
  <c r="AM140" i="93" s="1"/>
  <c r="AA141" i="93"/>
  <c r="AM141" i="93" s="1"/>
  <c r="AA142" i="93"/>
  <c r="AM142" i="93" s="1"/>
  <c r="AA143" i="93"/>
  <c r="AM143" i="93" s="1"/>
  <c r="AB8" i="93" a="1"/>
  <c r="AB8" i="93" s="1"/>
  <c r="AB9" i="93" a="1"/>
  <c r="AB9" i="93" s="1"/>
  <c r="AB10" i="93" a="1"/>
  <c r="AB10" i="93" s="1"/>
  <c r="AB11" i="93" a="1"/>
  <c r="AB11" i="93" s="1"/>
  <c r="AB12" i="93" a="1"/>
  <c r="AB12" i="93" s="1"/>
  <c r="AB13" i="93" a="1"/>
  <c r="AB13" i="93" s="1"/>
  <c r="AB14" i="93" a="1"/>
  <c r="AB14" i="93" s="1"/>
  <c r="AB15" i="93" a="1"/>
  <c r="AB15" i="93" s="1"/>
  <c r="AB16" i="93" a="1"/>
  <c r="AB16" i="93" s="1"/>
  <c r="AB17" i="93" a="1"/>
  <c r="AB17" i="93" s="1"/>
  <c r="AU17" i="93" s="1"/>
  <c r="AS17" i="113" s="1"/>
  <c r="AB18" i="93" a="1"/>
  <c r="AB18" i="93" s="1"/>
  <c r="AB19" i="93" a="1"/>
  <c r="AB19" i="93" s="1"/>
  <c r="AB20" i="93" a="1"/>
  <c r="AB20" i="93" s="1"/>
  <c r="AB21" i="93" a="1"/>
  <c r="AB21" i="93" s="1"/>
  <c r="AB22" i="93" a="1"/>
  <c r="AB22" i="93" s="1"/>
  <c r="AB23" i="93" a="1"/>
  <c r="AB23" i="93" s="1"/>
  <c r="AU23" i="93" s="1"/>
  <c r="AS23" i="113" s="1"/>
  <c r="AB24" i="93" a="1"/>
  <c r="AB24" i="93" s="1"/>
  <c r="AU24" i="93" s="1"/>
  <c r="AS24" i="113" s="1"/>
  <c r="AB25" i="93" a="1"/>
  <c r="AB25" i="93" s="1"/>
  <c r="AB26" i="93" a="1"/>
  <c r="AB26" i="93" s="1"/>
  <c r="AB27" i="93" a="1"/>
  <c r="AB27" i="93" s="1"/>
  <c r="AU27" i="93" s="1"/>
  <c r="AS27" i="113" s="1"/>
  <c r="AB28" i="93" a="1"/>
  <c r="AB28" i="93" s="1"/>
  <c r="AU28" i="93" s="1"/>
  <c r="AS28" i="113" s="1"/>
  <c r="AB29" i="93" a="1"/>
  <c r="AB29" i="93" s="1"/>
  <c r="AU29" i="93" s="1"/>
  <c r="AS29" i="113" s="1"/>
  <c r="AB30" i="93" a="1"/>
  <c r="AB30" i="93" s="1"/>
  <c r="AB31" i="93" a="1"/>
  <c r="AB31" i="93" s="1"/>
  <c r="AB32" i="93" a="1"/>
  <c r="AB32" i="93" s="1"/>
  <c r="AU32" i="93" s="1"/>
  <c r="AS32" i="113" s="1"/>
  <c r="AB33" i="93" a="1"/>
  <c r="AB33" i="93" s="1"/>
  <c r="AB34" i="93" a="1"/>
  <c r="AB34" i="93" s="1"/>
  <c r="AB35" i="93" a="1"/>
  <c r="AB35" i="93" s="1"/>
  <c r="AB36" i="93" a="1"/>
  <c r="AB36" i="93" s="1"/>
  <c r="AB37" i="93" a="1"/>
  <c r="AB37" i="93" s="1"/>
  <c r="AB38" i="93" a="1"/>
  <c r="AB38" i="93" s="1"/>
  <c r="AU38" i="93" s="1"/>
  <c r="AS38" i="113" s="1"/>
  <c r="AB39" i="93" a="1"/>
  <c r="AB39" i="93" s="1"/>
  <c r="AU39" i="93" s="1"/>
  <c r="AS39" i="113" s="1"/>
  <c r="AB40" i="93" a="1"/>
  <c r="AB40" i="93" s="1"/>
  <c r="AB41" i="93" a="1"/>
  <c r="AB41" i="93" s="1"/>
  <c r="AB42" i="93" a="1"/>
  <c r="AB42" i="93" s="1"/>
  <c r="AB43" i="93" a="1"/>
  <c r="AB43" i="93" s="1"/>
  <c r="AB44" i="93" a="1"/>
  <c r="AB44" i="93" s="1"/>
  <c r="AB45" i="93" a="1"/>
  <c r="AB45" i="93" s="1"/>
  <c r="AU45" i="93" s="1"/>
  <c r="AS45" i="113" s="1"/>
  <c r="AB46" i="93" a="1"/>
  <c r="AB46" i="93" s="1"/>
  <c r="AU46" i="93" s="1"/>
  <c r="AS46" i="113" s="1"/>
  <c r="AB47" i="93" a="1"/>
  <c r="AB47" i="93" s="1"/>
  <c r="AU47" i="93" s="1"/>
  <c r="AS47" i="113" s="1"/>
  <c r="AB48" i="93" a="1"/>
  <c r="AB48" i="93" s="1"/>
  <c r="AB49" i="93" a="1"/>
  <c r="AB49" i="93" s="1"/>
  <c r="AU49" i="93" s="1"/>
  <c r="AS49" i="113" s="1"/>
  <c r="AB50" i="93" a="1"/>
  <c r="AB50" i="93" s="1"/>
  <c r="AB51" i="93" a="1"/>
  <c r="AB51" i="93" s="1"/>
  <c r="AU51" i="93" s="1"/>
  <c r="AS51" i="113" s="1"/>
  <c r="AB52" i="93" a="1"/>
  <c r="AB52" i="93" s="1"/>
  <c r="AB53" i="93" a="1"/>
  <c r="AB53" i="93" s="1"/>
  <c r="AB54" i="93" a="1"/>
  <c r="AB54" i="93" s="1"/>
  <c r="AB55" i="93" a="1"/>
  <c r="AB55" i="93" s="1"/>
  <c r="AU55" i="93" s="1"/>
  <c r="AS55" i="113" s="1"/>
  <c r="AB56" i="93" a="1"/>
  <c r="AB56" i="93" s="1"/>
  <c r="AB57" i="93" a="1"/>
  <c r="AB57" i="93" s="1"/>
  <c r="AB58" i="93" a="1"/>
  <c r="AB58" i="93" s="1"/>
  <c r="AB59" i="93" a="1"/>
  <c r="AB59" i="93" s="1"/>
  <c r="AB60" i="93" a="1"/>
  <c r="AB60" i="93" s="1"/>
  <c r="AB61" i="93" a="1"/>
  <c r="AB61" i="93" s="1"/>
  <c r="AB62" i="93" a="1"/>
  <c r="AB62" i="93" s="1"/>
  <c r="AU62" i="93" s="1"/>
  <c r="AS62" i="113" s="1"/>
  <c r="AB63" i="93" a="1"/>
  <c r="AB63" i="93" s="1"/>
  <c r="AU63" i="93" s="1"/>
  <c r="AS63" i="113" s="1"/>
  <c r="AB64" i="93" a="1"/>
  <c r="AB64" i="93" s="1"/>
  <c r="AU64" i="93" s="1"/>
  <c r="AS64" i="113" s="1"/>
  <c r="AB65" i="93" a="1"/>
  <c r="AB65" i="93" s="1"/>
  <c r="AU65" i="93" s="1"/>
  <c r="AS65" i="113" s="1"/>
  <c r="AB66" i="93" a="1"/>
  <c r="AB66" i="93" s="1"/>
  <c r="AB67" i="93" a="1"/>
  <c r="AB67" i="93" s="1"/>
  <c r="AB68" i="93" a="1"/>
  <c r="AB68" i="93" s="1"/>
  <c r="AB69" i="93" a="1"/>
  <c r="AB69" i="93" s="1"/>
  <c r="AB70" i="93" a="1"/>
  <c r="AB70" i="93" s="1"/>
  <c r="AB71" i="93" a="1"/>
  <c r="AB71" i="93" s="1"/>
  <c r="AU71" i="93" s="1"/>
  <c r="AS71" i="113" s="1"/>
  <c r="AB72" i="93" a="1"/>
  <c r="AB72" i="93" s="1"/>
  <c r="AB73" i="93" a="1"/>
  <c r="AB73" i="93" s="1"/>
  <c r="AB74" i="93" a="1"/>
  <c r="AB74" i="93" s="1"/>
  <c r="AB75" i="93" a="1"/>
  <c r="AB75" i="93" s="1"/>
  <c r="AU75" i="93" s="1"/>
  <c r="AS75" i="113" s="1"/>
  <c r="AB76" i="93" a="1"/>
  <c r="AB76" i="93" s="1"/>
  <c r="AB77" i="93" a="1"/>
  <c r="AB77" i="93" s="1"/>
  <c r="AU77" i="93" s="1"/>
  <c r="AS77" i="113" s="1"/>
  <c r="AB78" i="93" a="1"/>
  <c r="AB78" i="93" s="1"/>
  <c r="AU78" i="93" s="1"/>
  <c r="AS78" i="113" s="1"/>
  <c r="AB79" i="93" a="1"/>
  <c r="AB79" i="93" s="1"/>
  <c r="AU79" i="93" s="1"/>
  <c r="AS79" i="113" s="1"/>
  <c r="AB80" i="93" a="1"/>
  <c r="AB80" i="93" s="1"/>
  <c r="AB81" i="93" a="1"/>
  <c r="AB81" i="93" s="1"/>
  <c r="AU81" i="93" s="1"/>
  <c r="AS81" i="113" s="1"/>
  <c r="AB82" i="93" a="1"/>
  <c r="AB82" i="93" s="1"/>
  <c r="AB83" i="93" a="1"/>
  <c r="AB83" i="93" s="1"/>
  <c r="AB84" i="93" a="1"/>
  <c r="AB84" i="93" s="1"/>
  <c r="AB85" i="93" a="1"/>
  <c r="AB85" i="93" s="1"/>
  <c r="AB86" i="93" a="1"/>
  <c r="AB86" i="93" s="1"/>
  <c r="AB87" i="93" a="1"/>
  <c r="AB87" i="93" s="1"/>
  <c r="AU87" i="93" s="1"/>
  <c r="AS87" i="113" s="1"/>
  <c r="AB88" i="93" a="1"/>
  <c r="AB88" i="93" s="1"/>
  <c r="AB89" i="93" a="1"/>
  <c r="AB89" i="93" s="1"/>
  <c r="AU89" i="93" s="1"/>
  <c r="AS89" i="113" s="1"/>
  <c r="AB90" i="93" a="1"/>
  <c r="AB90" i="93" s="1"/>
  <c r="AU90" i="93" s="1"/>
  <c r="AS90" i="113" s="1"/>
  <c r="AB91" i="93" a="1"/>
  <c r="AB91" i="93" s="1"/>
  <c r="AB92" i="93" a="1"/>
  <c r="AB92" i="93" s="1"/>
  <c r="AU92" i="93" s="1"/>
  <c r="AS92" i="113" s="1"/>
  <c r="AB93" i="93" a="1"/>
  <c r="AB93" i="93" s="1"/>
  <c r="AU93" i="93" s="1"/>
  <c r="AS93" i="113" s="1"/>
  <c r="AB94" i="93" a="1"/>
  <c r="AB94" i="93" s="1"/>
  <c r="AB95" i="93" a="1"/>
  <c r="AB95" i="93" s="1"/>
  <c r="AB96" i="93" a="1"/>
  <c r="AB96" i="93" s="1"/>
  <c r="AB97" i="93" a="1"/>
  <c r="AB97" i="93" s="1"/>
  <c r="AB98" i="93" a="1"/>
  <c r="AB98" i="93" s="1"/>
  <c r="AB99" i="93" a="1"/>
  <c r="AB99" i="93" s="1"/>
  <c r="AU99" i="93" s="1"/>
  <c r="AS99" i="113" s="1"/>
  <c r="AB100" i="93" a="1"/>
  <c r="AB100" i="93" s="1"/>
  <c r="AU100" i="93" s="1"/>
  <c r="AS100" i="113" s="1"/>
  <c r="AB101" i="93" a="1"/>
  <c r="AB101" i="93" s="1"/>
  <c r="AU101" i="93" s="1"/>
  <c r="AS101" i="113" s="1"/>
  <c r="AB102" i="93" a="1"/>
  <c r="AB102" i="93" s="1"/>
  <c r="AB103" i="93" a="1"/>
  <c r="AB103" i="93" s="1"/>
  <c r="AU103" i="93" s="1"/>
  <c r="AS103" i="113" s="1"/>
  <c r="AB104" i="93" a="1"/>
  <c r="AB104" i="93" s="1"/>
  <c r="AB105" i="93" a="1"/>
  <c r="AB105" i="93" s="1"/>
  <c r="AB106" i="93" a="1"/>
  <c r="AB106" i="93" s="1"/>
  <c r="AU106" i="93" s="1"/>
  <c r="AS106" i="113" s="1"/>
  <c r="AB107" i="93" a="1"/>
  <c r="AB107" i="93" s="1"/>
  <c r="AB108" i="93" a="1"/>
  <c r="AB108" i="93" s="1"/>
  <c r="AU108" i="93" s="1"/>
  <c r="AS108" i="113" s="1"/>
  <c r="AB109" i="93" a="1"/>
  <c r="AB109" i="93" s="1"/>
  <c r="AU109" i="93" s="1"/>
  <c r="AS109" i="113" s="1"/>
  <c r="AB110" i="93" a="1"/>
  <c r="AB110" i="93" s="1"/>
  <c r="AB111" i="93" a="1"/>
  <c r="AB111" i="93" s="1"/>
  <c r="AU111" i="93" s="1"/>
  <c r="AS111" i="113" s="1"/>
  <c r="AB112" i="93" a="1"/>
  <c r="AB112" i="93" s="1"/>
  <c r="AU112" i="93" s="1"/>
  <c r="AS112" i="113" s="1"/>
  <c r="AB113" i="93" a="1"/>
  <c r="AB113" i="93" s="1"/>
  <c r="AB114" i="93" a="1"/>
  <c r="AB114" i="93" s="1"/>
  <c r="AB115" i="93" a="1"/>
  <c r="AB115" i="93" s="1"/>
  <c r="AB116" i="93" a="1"/>
  <c r="AB116" i="93" s="1"/>
  <c r="AU116" i="93" s="1"/>
  <c r="AS116" i="113" s="1"/>
  <c r="AB117" i="93" a="1"/>
  <c r="AB117" i="93" s="1"/>
  <c r="AB118" i="93" a="1"/>
  <c r="AB118" i="93" s="1"/>
  <c r="AU118" i="93" s="1"/>
  <c r="AS118" i="113" s="1"/>
  <c r="AB119" i="93" a="1"/>
  <c r="AB119" i="93" s="1"/>
  <c r="AB120" i="93" a="1"/>
  <c r="AB120" i="93" s="1"/>
  <c r="AU120" i="93" s="1"/>
  <c r="AS120" i="113" s="1"/>
  <c r="AB121" i="93" a="1"/>
  <c r="AB121" i="93" s="1"/>
  <c r="AU121" i="93" s="1"/>
  <c r="AS121" i="113" s="1"/>
  <c r="AB122" i="93" a="1"/>
  <c r="AB122" i="93" s="1"/>
  <c r="AB123" i="93" a="1"/>
  <c r="AB123" i="93" s="1"/>
  <c r="AU123" i="93" s="1"/>
  <c r="AS123" i="113" s="1"/>
  <c r="AB124" i="93" a="1"/>
  <c r="AB124" i="93" s="1"/>
  <c r="AU124" i="93" s="1"/>
  <c r="AS124" i="113" s="1"/>
  <c r="AB125" i="93" a="1"/>
  <c r="AB125" i="93" s="1"/>
  <c r="AU125" i="93" s="1"/>
  <c r="AS125" i="113" s="1"/>
  <c r="AB126" i="93" a="1"/>
  <c r="AB126" i="93" s="1"/>
  <c r="AB127" i="93" a="1"/>
  <c r="AB127" i="93" s="1"/>
  <c r="AB128" i="93" a="1"/>
  <c r="AB128" i="93" s="1"/>
  <c r="AU128" i="93" s="1"/>
  <c r="AS128" i="113" s="1"/>
  <c r="AB129" i="93" a="1"/>
  <c r="AB129" i="93" s="1"/>
  <c r="AB130" i="93" a="1"/>
  <c r="AB130" i="93" s="1"/>
  <c r="AB131" i="93" a="1"/>
  <c r="AB131" i="93" s="1"/>
  <c r="AB132" i="93" a="1"/>
  <c r="AB132" i="93" s="1"/>
  <c r="AB133" i="93" a="1"/>
  <c r="AB133" i="93" s="1"/>
  <c r="AU133" i="93" s="1"/>
  <c r="AS133" i="113" s="1"/>
  <c r="AB134" i="93" a="1"/>
  <c r="AB134" i="93" s="1"/>
  <c r="AB135" i="93" a="1"/>
  <c r="AB135" i="93" s="1"/>
  <c r="AU135" i="93" s="1"/>
  <c r="AS135" i="113" s="1"/>
  <c r="AB136" i="93" a="1"/>
  <c r="AB136" i="93" s="1"/>
  <c r="AU136" i="93" s="1"/>
  <c r="AS136" i="113" s="1"/>
  <c r="AB137" i="93" a="1"/>
  <c r="AB137" i="93" s="1"/>
  <c r="AU137" i="93" s="1"/>
  <c r="AS137" i="113" s="1"/>
  <c r="AB138" i="93" a="1"/>
  <c r="AB138" i="93" s="1"/>
  <c r="AB139" i="93" a="1"/>
  <c r="AB139" i="93" s="1"/>
  <c r="AB140" i="93" a="1"/>
  <c r="AB140" i="93" s="1"/>
  <c r="AB141" i="93" a="1"/>
  <c r="AB141" i="93" s="1"/>
  <c r="AU141" i="93" s="1"/>
  <c r="AS141" i="113" s="1"/>
  <c r="AB142" i="93" a="1"/>
  <c r="AB142" i="93" s="1"/>
  <c r="AB143" i="93" a="1"/>
  <c r="AB143" i="93" s="1"/>
  <c r="AU143" i="93" s="1"/>
  <c r="AS143" i="113" s="1"/>
  <c r="AH8" i="93"/>
  <c r="AH9" i="93"/>
  <c r="AH10" i="93"/>
  <c r="AH11" i="93"/>
  <c r="AH12" i="93"/>
  <c r="AH13" i="93"/>
  <c r="AH14" i="93"/>
  <c r="AH15" i="93"/>
  <c r="AH16" i="93"/>
  <c r="AH17" i="93"/>
  <c r="AH18" i="93"/>
  <c r="AH19" i="93"/>
  <c r="AH20" i="93"/>
  <c r="AH21" i="93"/>
  <c r="AH22" i="93"/>
  <c r="AH23" i="93"/>
  <c r="AH24" i="93"/>
  <c r="AH25" i="93"/>
  <c r="AH26" i="93"/>
  <c r="AH27" i="93"/>
  <c r="AH28" i="93"/>
  <c r="AH29" i="93"/>
  <c r="AH30" i="93"/>
  <c r="AH31" i="93"/>
  <c r="AH32" i="93"/>
  <c r="AH33" i="93"/>
  <c r="AH34" i="93"/>
  <c r="AH35" i="93"/>
  <c r="AH36" i="93"/>
  <c r="AH37" i="93"/>
  <c r="AH38" i="93"/>
  <c r="AH39" i="93"/>
  <c r="AH40" i="93"/>
  <c r="AH41" i="93"/>
  <c r="AH42" i="93"/>
  <c r="AH43" i="93"/>
  <c r="AH44" i="93"/>
  <c r="AH45" i="93"/>
  <c r="AH46" i="93"/>
  <c r="AH47" i="93"/>
  <c r="AH48" i="93"/>
  <c r="AH49" i="93"/>
  <c r="AH50" i="93"/>
  <c r="AH51" i="93"/>
  <c r="AH52" i="93"/>
  <c r="AH53" i="93"/>
  <c r="AH54" i="93"/>
  <c r="AH55" i="93"/>
  <c r="AH56" i="93"/>
  <c r="AH57" i="93"/>
  <c r="AH58" i="93"/>
  <c r="AH59" i="93"/>
  <c r="AH60" i="93"/>
  <c r="AH61" i="93"/>
  <c r="AH62" i="93"/>
  <c r="AH63" i="93"/>
  <c r="AH64" i="93"/>
  <c r="AH65" i="93"/>
  <c r="AH66" i="93"/>
  <c r="AH67" i="93"/>
  <c r="AH68" i="93"/>
  <c r="AH69" i="93"/>
  <c r="AH70" i="93"/>
  <c r="AH71" i="93"/>
  <c r="AH72" i="93"/>
  <c r="AH73" i="93"/>
  <c r="AH74" i="93"/>
  <c r="AH75" i="93"/>
  <c r="AH76" i="93"/>
  <c r="AH77" i="93"/>
  <c r="AH78" i="93"/>
  <c r="AH79" i="93"/>
  <c r="AH80" i="93"/>
  <c r="AH81" i="93"/>
  <c r="AH82" i="93"/>
  <c r="AH83" i="93"/>
  <c r="AH84" i="93"/>
  <c r="AH85" i="93"/>
  <c r="AH86" i="93"/>
  <c r="AH87" i="93"/>
  <c r="AH88" i="93"/>
  <c r="AH89" i="93"/>
  <c r="AH90" i="93"/>
  <c r="AH91" i="93"/>
  <c r="AH92" i="93"/>
  <c r="AH93" i="93"/>
  <c r="AH94" i="93"/>
  <c r="AH95" i="93"/>
  <c r="AH96" i="93"/>
  <c r="AH97" i="93"/>
  <c r="AH98" i="93"/>
  <c r="AH99" i="93"/>
  <c r="AH100" i="93"/>
  <c r="AH101" i="93"/>
  <c r="AH102" i="93"/>
  <c r="AH103" i="93"/>
  <c r="AH104" i="93"/>
  <c r="AH105" i="93"/>
  <c r="AH106" i="93"/>
  <c r="AH107" i="93"/>
  <c r="AH108" i="93"/>
  <c r="AH109" i="93"/>
  <c r="AH110" i="93"/>
  <c r="AH111" i="93"/>
  <c r="AH112" i="93"/>
  <c r="AH113" i="93"/>
  <c r="AH114" i="93"/>
  <c r="AH115" i="93"/>
  <c r="AH116" i="93"/>
  <c r="AH117" i="93"/>
  <c r="AH118" i="93"/>
  <c r="AH119" i="93"/>
  <c r="AH120" i="93"/>
  <c r="AH121" i="93"/>
  <c r="AH122" i="93"/>
  <c r="AH123" i="93"/>
  <c r="AH124" i="93"/>
  <c r="AH125" i="93"/>
  <c r="AH126" i="93"/>
  <c r="AH127" i="93"/>
  <c r="AH128" i="93"/>
  <c r="AH129" i="93"/>
  <c r="AH130" i="93"/>
  <c r="AH131" i="93"/>
  <c r="AH132" i="93"/>
  <c r="AH133" i="93"/>
  <c r="AH134" i="93"/>
  <c r="AH135" i="93"/>
  <c r="AH136" i="93"/>
  <c r="AH137" i="93"/>
  <c r="AH138" i="93"/>
  <c r="AH139" i="93"/>
  <c r="AH140" i="93"/>
  <c r="AH141" i="93"/>
  <c r="AH142" i="93"/>
  <c r="AH143" i="93"/>
  <c r="AI8" i="93"/>
  <c r="AK8" i="93" s="1" a="1"/>
  <c r="AK8" i="93" s="1"/>
  <c r="AL8" i="93" s="1" a="1"/>
  <c r="AL8" i="93" s="1"/>
  <c r="AI9" i="93"/>
  <c r="AK9" i="93" s="1" a="1"/>
  <c r="AK9" i="93" s="1"/>
  <c r="AL9" i="93" s="1" a="1"/>
  <c r="AL9" i="93" s="1"/>
  <c r="AI10" i="93"/>
  <c r="AK10" i="93" s="1" a="1"/>
  <c r="AK10" i="93" s="1"/>
  <c r="AL10" i="93" s="1" a="1"/>
  <c r="AL10" i="93" s="1"/>
  <c r="AI11" i="93"/>
  <c r="AK11" i="93" s="1" a="1"/>
  <c r="AK11" i="93" s="1"/>
  <c r="AL11" i="93" s="1" a="1"/>
  <c r="AL11" i="93" s="1"/>
  <c r="AI12" i="93"/>
  <c r="AJ12" i="93" s="1" a="1"/>
  <c r="AJ12" i="93" s="1"/>
  <c r="AI13" i="93"/>
  <c r="AJ13" i="93" s="1" a="1"/>
  <c r="AJ13" i="93" s="1"/>
  <c r="AI14" i="93"/>
  <c r="AK14" i="93" s="1" a="1"/>
  <c r="AK14" i="93" s="1"/>
  <c r="AL14" i="93" s="1" a="1"/>
  <c r="AL14" i="93" s="1"/>
  <c r="AI15" i="93"/>
  <c r="AK15" i="93" s="1" a="1"/>
  <c r="AK15" i="93" s="1"/>
  <c r="AL15" i="93" s="1" a="1"/>
  <c r="AL15" i="93" s="1"/>
  <c r="AI16" i="93"/>
  <c r="AJ16" i="93" s="1" a="1"/>
  <c r="AJ16" i="93" s="1"/>
  <c r="AI17" i="93"/>
  <c r="AJ17" i="93" s="1" a="1"/>
  <c r="AJ17" i="93" s="1"/>
  <c r="AI18" i="93"/>
  <c r="AK18" i="93" s="1" a="1"/>
  <c r="AK18" i="93" s="1"/>
  <c r="AL18" i="93" s="1" a="1"/>
  <c r="AL18" i="93" s="1"/>
  <c r="AI19" i="93"/>
  <c r="AK19" i="93" s="1" a="1"/>
  <c r="AK19" i="93" s="1"/>
  <c r="AL19" i="93" s="1" a="1"/>
  <c r="AL19" i="93" s="1"/>
  <c r="AI20" i="93"/>
  <c r="AK20" i="93" s="1" a="1"/>
  <c r="AK20" i="93" s="1"/>
  <c r="AL20" i="93" s="1" a="1"/>
  <c r="AL20" i="93" s="1"/>
  <c r="AI21" i="93"/>
  <c r="AI22" i="93"/>
  <c r="AI23" i="93"/>
  <c r="AI24" i="93"/>
  <c r="AK24" i="93" s="1" a="1"/>
  <c r="AK24" i="93" s="1"/>
  <c r="AL24" i="93" s="1" a="1"/>
  <c r="AL24" i="93" s="1"/>
  <c r="AI25" i="93"/>
  <c r="AJ25" i="93" s="1" a="1"/>
  <c r="AJ25" i="93" s="1"/>
  <c r="AI26" i="93"/>
  <c r="AJ26" i="93" s="1" a="1"/>
  <c r="AJ26" i="93" s="1"/>
  <c r="AI27" i="93"/>
  <c r="AJ27" i="93" s="1" a="1"/>
  <c r="AJ27" i="93" s="1"/>
  <c r="AI28" i="93"/>
  <c r="AK28" i="93" s="1" a="1"/>
  <c r="AK28" i="93" s="1"/>
  <c r="AL28" i="93" s="1" a="1"/>
  <c r="AL28" i="93" s="1"/>
  <c r="AI29" i="93"/>
  <c r="AJ29" i="93" s="1" a="1"/>
  <c r="AJ29" i="93" s="1"/>
  <c r="AI30" i="93"/>
  <c r="AK30" i="93" s="1" a="1"/>
  <c r="AK30" i="93" s="1"/>
  <c r="AL30" i="93" s="1" a="1"/>
  <c r="AL30" i="93" s="1"/>
  <c r="AI31" i="93"/>
  <c r="AK31" i="93" s="1" a="1"/>
  <c r="AK31" i="93" s="1"/>
  <c r="AL31" i="93" s="1" a="1"/>
  <c r="AL31" i="93" s="1"/>
  <c r="AI32" i="93"/>
  <c r="AJ32" i="93" s="1" a="1"/>
  <c r="AJ32" i="93" s="1"/>
  <c r="AI33" i="93"/>
  <c r="AK33" i="93" s="1" a="1"/>
  <c r="AK33" i="93" s="1"/>
  <c r="AL33" i="93" s="1" a="1"/>
  <c r="AL33" i="93" s="1"/>
  <c r="AI34" i="93"/>
  <c r="AK34" i="93" s="1" a="1"/>
  <c r="AK34" i="93" s="1"/>
  <c r="AL34" i="93" s="1" a="1"/>
  <c r="AL34" i="93" s="1"/>
  <c r="AI35" i="93"/>
  <c r="AK35" i="93" s="1" a="1"/>
  <c r="AK35" i="93" s="1"/>
  <c r="AL35" i="93" s="1" a="1"/>
  <c r="AL35" i="93" s="1"/>
  <c r="AI36" i="93"/>
  <c r="AJ36" i="93" s="1" a="1"/>
  <c r="AJ36" i="93" s="1"/>
  <c r="AI37" i="93"/>
  <c r="AI38" i="93"/>
  <c r="AK38" i="93" s="1" a="1"/>
  <c r="AK38" i="93" s="1"/>
  <c r="AL38" i="93" s="1" a="1"/>
  <c r="AL38" i="93" s="1"/>
  <c r="AI39" i="93"/>
  <c r="AJ39" i="93" s="1" a="1"/>
  <c r="AJ39" i="93" s="1"/>
  <c r="AI40" i="93"/>
  <c r="AJ40" i="93" s="1" a="1"/>
  <c r="AJ40" i="93" s="1"/>
  <c r="AI41" i="93"/>
  <c r="AK41" i="93" s="1" a="1"/>
  <c r="AK41" i="93" s="1"/>
  <c r="AL41" i="93" s="1" a="1"/>
  <c r="AL41" i="93" s="1"/>
  <c r="AI42" i="93"/>
  <c r="AJ42" i="93" s="1" a="1"/>
  <c r="AJ42" i="93" s="1"/>
  <c r="AI43" i="93"/>
  <c r="AK43" i="93" s="1" a="1"/>
  <c r="AK43" i="93" s="1"/>
  <c r="AL43" i="93" s="1" a="1"/>
  <c r="AL43" i="93" s="1"/>
  <c r="AI44" i="93"/>
  <c r="AK44" i="93" s="1" a="1"/>
  <c r="AK44" i="93" s="1"/>
  <c r="AL44" i="93" s="1" a="1"/>
  <c r="AL44" i="93" s="1"/>
  <c r="AI45" i="93"/>
  <c r="AI46" i="93"/>
  <c r="AK46" i="93" s="1" a="1"/>
  <c r="AK46" i="93" s="1"/>
  <c r="AL46" i="93" s="1" a="1"/>
  <c r="AL46" i="93" s="1"/>
  <c r="AI47" i="93"/>
  <c r="AI48" i="93"/>
  <c r="AJ48" i="93" s="1" a="1"/>
  <c r="AJ48" i="93" s="1"/>
  <c r="AI49" i="93"/>
  <c r="AJ49" i="93" s="1" a="1"/>
  <c r="AJ49" i="93" s="1"/>
  <c r="AI50" i="93"/>
  <c r="AK50" i="93" s="1" a="1"/>
  <c r="AK50" i="93" s="1"/>
  <c r="AL50" i="93" s="1" a="1"/>
  <c r="AL50" i="93" s="1"/>
  <c r="AI51" i="93"/>
  <c r="AJ51" i="93" s="1" a="1"/>
  <c r="AJ51" i="93" s="1"/>
  <c r="AI52" i="93"/>
  <c r="AJ52" i="93" s="1" a="1"/>
  <c r="AJ52" i="93" s="1"/>
  <c r="AI53" i="93"/>
  <c r="AK53" i="93" s="1" a="1"/>
  <c r="AK53" i="93" s="1"/>
  <c r="AL53" i="93" s="1" a="1"/>
  <c r="AL53" i="93" s="1"/>
  <c r="AI54" i="93"/>
  <c r="AJ54" i="93" s="1" a="1"/>
  <c r="AJ54" i="93" s="1"/>
  <c r="AI55" i="93"/>
  <c r="AJ55" i="93" s="1" a="1"/>
  <c r="AJ55" i="93" s="1"/>
  <c r="AI56" i="93"/>
  <c r="AK56" i="93" s="1" a="1"/>
  <c r="AK56" i="93" s="1"/>
  <c r="AL56" i="93" s="1" a="1"/>
  <c r="AL56" i="93" s="1"/>
  <c r="AI57" i="93"/>
  <c r="AK57" i="93" s="1" a="1"/>
  <c r="AK57" i="93" s="1"/>
  <c r="AL57" i="93" s="1" a="1"/>
  <c r="AL57" i="93" s="1"/>
  <c r="AI58" i="93"/>
  <c r="AJ58" i="93" s="1" a="1"/>
  <c r="AJ58" i="93" s="1"/>
  <c r="AI59" i="93"/>
  <c r="AK59" i="93" s="1" a="1"/>
  <c r="AK59" i="93" s="1"/>
  <c r="AL59" i="93" s="1" a="1"/>
  <c r="AL59" i="93" s="1"/>
  <c r="AI60" i="93"/>
  <c r="AJ60" i="93" s="1" a="1"/>
  <c r="AJ60" i="93" s="1"/>
  <c r="AI61" i="93"/>
  <c r="AJ61" i="93" s="1" a="1"/>
  <c r="AJ61" i="93" s="1"/>
  <c r="AI62" i="93"/>
  <c r="AJ62" i="93" s="1" a="1"/>
  <c r="AJ62" i="93" s="1"/>
  <c r="AI63" i="93"/>
  <c r="AK63" i="93" s="1" a="1"/>
  <c r="AK63" i="93" s="1"/>
  <c r="AL63" i="93" s="1" a="1"/>
  <c r="AL63" i="93" s="1"/>
  <c r="AI64" i="93"/>
  <c r="AJ64" i="93" s="1" a="1"/>
  <c r="AJ64" i="93" s="1"/>
  <c r="AI65" i="93"/>
  <c r="AJ65" i="93" s="1" a="1"/>
  <c r="AJ65" i="93" s="1"/>
  <c r="AI66" i="93"/>
  <c r="AJ66" i="93" s="1" a="1"/>
  <c r="AJ66" i="93" s="1"/>
  <c r="AI67" i="93"/>
  <c r="AK67" i="93" s="1" a="1"/>
  <c r="AK67" i="93" s="1"/>
  <c r="AL67" i="93" s="1" a="1"/>
  <c r="AL67" i="93" s="1"/>
  <c r="AI68" i="93"/>
  <c r="AJ68" i="93" s="1" a="1"/>
  <c r="AJ68" i="93" s="1"/>
  <c r="AI69" i="93"/>
  <c r="AI70" i="93"/>
  <c r="AK70" i="93" s="1" a="1"/>
  <c r="AK70" i="93" s="1"/>
  <c r="AL70" i="93" s="1" a="1"/>
  <c r="AL70" i="93" s="1"/>
  <c r="AI71" i="93"/>
  <c r="AI72" i="93"/>
  <c r="AK72" i="93" s="1" a="1"/>
  <c r="AK72" i="93" s="1"/>
  <c r="AL72" i="93" s="1" a="1"/>
  <c r="AL72" i="93" s="1"/>
  <c r="AI73" i="93"/>
  <c r="AJ73" i="93" s="1" a="1"/>
  <c r="AJ73" i="93" s="1"/>
  <c r="AI74" i="93"/>
  <c r="AJ74" i="93" s="1" a="1"/>
  <c r="AJ74" i="93" s="1"/>
  <c r="AI75" i="93"/>
  <c r="AJ75" i="93" s="1" a="1"/>
  <c r="AJ75" i="93" s="1"/>
  <c r="AI76" i="93"/>
  <c r="AK76" i="93" s="1" a="1"/>
  <c r="AK76" i="93" s="1"/>
  <c r="AL76" i="93" s="1" a="1"/>
  <c r="AL76" i="93" s="1"/>
  <c r="AI77" i="93"/>
  <c r="AJ77" i="93" s="1" a="1"/>
  <c r="AJ77" i="93" s="1"/>
  <c r="AI78" i="93"/>
  <c r="AJ78" i="93" s="1" a="1"/>
  <c r="AJ78" i="93" s="1"/>
  <c r="AI79" i="93"/>
  <c r="AJ79" i="93" s="1" a="1"/>
  <c r="AJ79" i="93" s="1"/>
  <c r="AI80" i="93"/>
  <c r="AJ80" i="93" s="1" a="1"/>
  <c r="AJ80" i="93" s="1"/>
  <c r="AI81" i="93"/>
  <c r="AJ81" i="93" s="1" a="1"/>
  <c r="AJ81" i="93" s="1"/>
  <c r="AI82" i="93"/>
  <c r="AK82" i="93" s="1" a="1"/>
  <c r="AK82" i="93" s="1"/>
  <c r="AL82" i="93" s="1" a="1"/>
  <c r="AL82" i="93" s="1"/>
  <c r="AI83" i="93"/>
  <c r="AK83" i="93" s="1" a="1"/>
  <c r="AK83" i="93" s="1"/>
  <c r="AL83" i="93" s="1" a="1"/>
  <c r="AL83" i="93" s="1"/>
  <c r="AI84" i="93"/>
  <c r="AJ84" i="93" s="1" a="1"/>
  <c r="AJ84" i="93" s="1"/>
  <c r="AI85" i="93"/>
  <c r="AK85" i="93" s="1" a="1"/>
  <c r="AK85" i="93" s="1"/>
  <c r="AL85" i="93" s="1" a="1"/>
  <c r="AL85" i="93" s="1"/>
  <c r="AI86" i="93"/>
  <c r="AK86" i="93" s="1" a="1"/>
  <c r="AK86" i="93" s="1"/>
  <c r="AL86" i="93" s="1" a="1"/>
  <c r="AL86" i="93" s="1"/>
  <c r="AI87" i="93"/>
  <c r="AJ87" i="93" s="1" a="1"/>
  <c r="AJ87" i="93" s="1"/>
  <c r="AI88" i="93"/>
  <c r="AK88" i="93" s="1" a="1"/>
  <c r="AK88" i="93" s="1"/>
  <c r="AL88" i="93" s="1" a="1"/>
  <c r="AL88" i="93" s="1"/>
  <c r="AI89" i="93"/>
  <c r="AI90" i="93"/>
  <c r="AK90" i="93" s="1" a="1"/>
  <c r="AK90" i="93" s="1"/>
  <c r="AL90" i="93" s="1" a="1"/>
  <c r="AL90" i="93" s="1"/>
  <c r="AI91" i="93"/>
  <c r="AK91" i="93" s="1" a="1"/>
  <c r="AK91" i="93" s="1"/>
  <c r="AL91" i="93" s="1" a="1"/>
  <c r="AL91" i="93" s="1"/>
  <c r="AI92" i="93"/>
  <c r="AJ92" i="93" s="1" a="1"/>
  <c r="AJ92" i="93" s="1"/>
  <c r="AI93" i="93"/>
  <c r="AJ93" i="93" s="1" a="1"/>
  <c r="AJ93" i="93" s="1"/>
  <c r="AI94" i="93"/>
  <c r="AJ94" i="93" s="1" a="1"/>
  <c r="AJ94" i="93" s="1"/>
  <c r="AI95" i="93"/>
  <c r="AI96" i="93"/>
  <c r="AK96" i="93" s="1" a="1"/>
  <c r="AK96" i="93" s="1"/>
  <c r="AL96" i="93" s="1" a="1"/>
  <c r="AL96" i="93" s="1"/>
  <c r="AI97" i="93"/>
  <c r="AJ97" i="93" s="1" a="1"/>
  <c r="AJ97" i="93" s="1"/>
  <c r="AI98" i="93"/>
  <c r="AK98" i="93" s="1" a="1"/>
  <c r="AK98" i="93" s="1"/>
  <c r="AL98" i="93" s="1" a="1"/>
  <c r="AL98" i="93" s="1"/>
  <c r="AI99" i="93"/>
  <c r="AJ99" i="93" s="1" a="1"/>
  <c r="AJ99" i="93" s="1"/>
  <c r="AI100" i="93"/>
  <c r="AK100" i="93" s="1" a="1"/>
  <c r="AK100" i="93" s="1"/>
  <c r="AL100" i="93" s="1" a="1"/>
  <c r="AL100" i="93" s="1"/>
  <c r="AI101" i="93"/>
  <c r="AK101" i="93" s="1" a="1"/>
  <c r="AK101" i="93" s="1"/>
  <c r="AL101" i="93" s="1" a="1"/>
  <c r="AL101" i="93" s="1"/>
  <c r="AI102" i="93"/>
  <c r="AK102" i="93" s="1" a="1"/>
  <c r="AK102" i="93" s="1"/>
  <c r="AL102" i="93" s="1" a="1"/>
  <c r="AL102" i="93" s="1"/>
  <c r="AI103" i="93"/>
  <c r="AJ103" i="93" s="1" a="1"/>
  <c r="AJ103" i="93" s="1"/>
  <c r="AI104" i="93"/>
  <c r="AK104" i="93" s="1" a="1"/>
  <c r="AK104" i="93" s="1"/>
  <c r="AL104" i="93" s="1" a="1"/>
  <c r="AL104" i="93" s="1"/>
  <c r="AI105" i="93"/>
  <c r="AJ105" i="93" s="1" a="1"/>
  <c r="AJ105" i="93" s="1"/>
  <c r="AI106" i="93"/>
  <c r="AJ106" i="93" s="1" a="1"/>
  <c r="AJ106" i="93" s="1"/>
  <c r="AI107" i="93"/>
  <c r="AJ107" i="93" s="1" a="1"/>
  <c r="AJ107" i="93" s="1"/>
  <c r="AI108" i="93"/>
  <c r="AJ108" i="93" s="1" a="1"/>
  <c r="AJ108" i="93" s="1"/>
  <c r="AI109" i="93"/>
  <c r="AK109" i="93" s="1" a="1"/>
  <c r="AK109" i="93" s="1"/>
  <c r="AL109" i="93" s="1" a="1"/>
  <c r="AL109" i="93" s="1"/>
  <c r="AI110" i="93"/>
  <c r="AK110" i="93" s="1" a="1"/>
  <c r="AK110" i="93" s="1"/>
  <c r="AL110" i="93" s="1" a="1"/>
  <c r="AL110" i="93" s="1"/>
  <c r="AI111" i="93"/>
  <c r="AJ111" i="93" s="1" a="1"/>
  <c r="AJ111" i="93" s="1"/>
  <c r="AI112" i="93"/>
  <c r="AK112" i="93" s="1" a="1"/>
  <c r="AK112" i="93" s="1"/>
  <c r="AL112" i="93" s="1" a="1"/>
  <c r="AL112" i="93" s="1"/>
  <c r="AI113" i="93"/>
  <c r="AI114" i="93"/>
  <c r="AK114" i="93" s="1" a="1"/>
  <c r="AK114" i="93" s="1"/>
  <c r="AL114" i="93" s="1" a="1"/>
  <c r="AL114" i="93" s="1"/>
  <c r="AI115" i="93"/>
  <c r="AJ115" i="93" s="1" a="1"/>
  <c r="AJ115" i="93" s="1"/>
  <c r="AI116" i="93"/>
  <c r="AJ116" i="93" s="1" a="1"/>
  <c r="AJ116" i="93" s="1"/>
  <c r="AI117" i="93"/>
  <c r="AJ117" i="93" s="1" a="1"/>
  <c r="AJ117" i="93" s="1"/>
  <c r="AI118" i="93"/>
  <c r="AJ118" i="93" s="1" a="1"/>
  <c r="AJ118" i="93" s="1"/>
  <c r="AI119" i="93"/>
  <c r="AJ119" i="93" s="1" a="1"/>
  <c r="AJ119" i="93" s="1"/>
  <c r="AI120" i="93"/>
  <c r="AJ120" i="93" s="1" a="1"/>
  <c r="AJ120" i="93" s="1"/>
  <c r="AI121" i="93"/>
  <c r="AJ121" i="93" s="1" a="1"/>
  <c r="AJ121" i="93" s="1"/>
  <c r="AI122" i="93"/>
  <c r="AK122" i="93" s="1" a="1"/>
  <c r="AK122" i="93" s="1"/>
  <c r="AL122" i="93" s="1" a="1"/>
  <c r="AL122" i="93" s="1"/>
  <c r="AI123" i="93"/>
  <c r="AK123" i="93" s="1" a="1"/>
  <c r="AK123" i="93" s="1"/>
  <c r="AL123" i="93" s="1" a="1"/>
  <c r="AL123" i="93" s="1"/>
  <c r="AI124" i="93"/>
  <c r="AJ124" i="93" s="1" a="1"/>
  <c r="AJ124" i="93" s="1"/>
  <c r="AI125" i="93"/>
  <c r="AK125" i="93" s="1" a="1"/>
  <c r="AK125" i="93" s="1"/>
  <c r="AL125" i="93" s="1" a="1"/>
  <c r="AL125" i="93" s="1"/>
  <c r="AI126" i="93"/>
  <c r="AK126" i="93" s="1" a="1"/>
  <c r="AK126" i="93" s="1"/>
  <c r="AL126" i="93" s="1" a="1"/>
  <c r="AL126" i="93" s="1"/>
  <c r="AI127" i="93"/>
  <c r="AK127" i="93" s="1" a="1"/>
  <c r="AK127" i="93" s="1"/>
  <c r="AL127" i="93" s="1" a="1"/>
  <c r="AL127" i="93" s="1"/>
  <c r="AI128" i="93"/>
  <c r="AK128" i="93" s="1" a="1"/>
  <c r="AK128" i="93" s="1"/>
  <c r="AL128" i="93" s="1" a="1"/>
  <c r="AL128" i="93" s="1"/>
  <c r="AI129" i="93"/>
  <c r="AJ129" i="93" s="1" a="1"/>
  <c r="AJ129" i="93" s="1"/>
  <c r="AI130" i="93"/>
  <c r="AJ130" i="93" s="1" a="1"/>
  <c r="AJ130" i="93" s="1"/>
  <c r="AI131" i="93"/>
  <c r="AJ131" i="93" s="1" a="1"/>
  <c r="AJ131" i="93" s="1"/>
  <c r="AI132" i="93"/>
  <c r="AK132" i="93" s="1" a="1"/>
  <c r="AK132" i="93" s="1"/>
  <c r="AL132" i="93" s="1" a="1"/>
  <c r="AL132" i="93" s="1"/>
  <c r="AI133" i="93"/>
  <c r="AJ133" i="93" s="1" a="1"/>
  <c r="AJ133" i="93" s="1"/>
  <c r="AI134" i="93"/>
  <c r="AJ134" i="93" s="1" a="1"/>
  <c r="AJ134" i="93" s="1"/>
  <c r="AI135" i="93"/>
  <c r="AJ135" i="93" s="1" a="1"/>
  <c r="AJ135" i="93" s="1"/>
  <c r="AI136" i="93"/>
  <c r="AK136" i="93" s="1" a="1"/>
  <c r="AK136" i="93" s="1"/>
  <c r="AL136" i="93" s="1" a="1"/>
  <c r="AL136" i="93" s="1"/>
  <c r="AI137" i="93"/>
  <c r="AK137" i="93" s="1" a="1"/>
  <c r="AK137" i="93" s="1"/>
  <c r="AL137" i="93" s="1" a="1"/>
  <c r="AL137" i="93" s="1"/>
  <c r="AI138" i="93"/>
  <c r="AK138" i="93" s="1" a="1"/>
  <c r="AK138" i="93" s="1"/>
  <c r="AL138" i="93" s="1" a="1"/>
  <c r="AL138" i="93" s="1"/>
  <c r="AI139" i="93"/>
  <c r="AK139" i="93" s="1" a="1"/>
  <c r="AK139" i="93" s="1"/>
  <c r="AL139" i="93" s="1" a="1"/>
  <c r="AL139" i="93" s="1"/>
  <c r="AI140" i="93"/>
  <c r="AK140" i="93" s="1" a="1"/>
  <c r="AK140" i="93" s="1"/>
  <c r="AL140" i="93" s="1" a="1"/>
  <c r="AL140" i="93" s="1"/>
  <c r="AI141" i="93"/>
  <c r="AI142" i="93"/>
  <c r="AI143" i="93"/>
  <c r="AJ143" i="93" s="1" a="1"/>
  <c r="AJ143" i="93" s="1"/>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W8" i="27"/>
  <c r="W9" i="27"/>
  <c r="W10" i="27"/>
  <c r="W11" i="27"/>
  <c r="W12" i="27"/>
  <c r="W13" i="27"/>
  <c r="W14" i="27"/>
  <c r="W15" i="27"/>
  <c r="W16" i="27"/>
  <c r="W17" i="27"/>
  <c r="W18" i="27"/>
  <c r="W19" i="27"/>
  <c r="W20" i="27"/>
  <c r="W21" i="27"/>
  <c r="W22" i="27"/>
  <c r="W23" i="27"/>
  <c r="W24" i="27"/>
  <c r="W25" i="27"/>
  <c r="W26" i="27"/>
  <c r="W27" i="27"/>
  <c r="W28" i="27"/>
  <c r="W29" i="27"/>
  <c r="W30" i="27"/>
  <c r="W31" i="27"/>
  <c r="W32" i="27"/>
  <c r="W33" i="27"/>
  <c r="W34" i="27"/>
  <c r="W35" i="27"/>
  <c r="W36" i="27"/>
  <c r="W37" i="27"/>
  <c r="W38" i="27"/>
  <c r="W39" i="27"/>
  <c r="W40" i="27"/>
  <c r="W41" i="27"/>
  <c r="W42" i="27"/>
  <c r="W43" i="27"/>
  <c r="W44" i="27"/>
  <c r="W45" i="27"/>
  <c r="W46" i="27"/>
  <c r="W47" i="27"/>
  <c r="W48" i="27"/>
  <c r="W49" i="27"/>
  <c r="W50" i="27"/>
  <c r="W51" i="27"/>
  <c r="W52" i="27"/>
  <c r="W53" i="27"/>
  <c r="W54" i="27"/>
  <c r="W55" i="27"/>
  <c r="W56" i="27"/>
  <c r="W57" i="27"/>
  <c r="W58" i="27"/>
  <c r="W59" i="27"/>
  <c r="W60" i="27"/>
  <c r="W61" i="27"/>
  <c r="W62" i="27"/>
  <c r="W63" i="27"/>
  <c r="W64" i="27"/>
  <c r="W65" i="27"/>
  <c r="W66" i="27"/>
  <c r="W67" i="27"/>
  <c r="W68" i="27"/>
  <c r="W69" i="27"/>
  <c r="W70" i="27"/>
  <c r="W71" i="27"/>
  <c r="W72" i="27"/>
  <c r="W73" i="27"/>
  <c r="W74" i="27"/>
  <c r="W75" i="27"/>
  <c r="W76" i="27"/>
  <c r="W77" i="27"/>
  <c r="W78" i="27"/>
  <c r="W79" i="27"/>
  <c r="W80" i="27"/>
  <c r="W81" i="27"/>
  <c r="W82" i="27"/>
  <c r="W83" i="27"/>
  <c r="W84" i="27"/>
  <c r="W85" i="27"/>
  <c r="W86" i="27"/>
  <c r="W87" i="27"/>
  <c r="W88" i="27"/>
  <c r="W89" i="27"/>
  <c r="W90" i="27"/>
  <c r="W91" i="27"/>
  <c r="W92" i="27"/>
  <c r="W93" i="27"/>
  <c r="W94" i="27"/>
  <c r="W95" i="27"/>
  <c r="W96" i="27"/>
  <c r="W97" i="27"/>
  <c r="W98" i="27"/>
  <c r="W99" i="27"/>
  <c r="W100" i="27"/>
  <c r="W101" i="27"/>
  <c r="W102" i="27"/>
  <c r="W103" i="27"/>
  <c r="W104" i="27"/>
  <c r="W105" i="27"/>
  <c r="W106" i="27"/>
  <c r="W107" i="27"/>
  <c r="W108" i="27"/>
  <c r="W109" i="27"/>
  <c r="W110" i="27"/>
  <c r="W111" i="27"/>
  <c r="W112" i="27"/>
  <c r="W113" i="27"/>
  <c r="W114" i="27"/>
  <c r="W115" i="27"/>
  <c r="W116" i="27"/>
  <c r="W117" i="27"/>
  <c r="W118" i="27"/>
  <c r="W119" i="27"/>
  <c r="W120" i="27"/>
  <c r="W121" i="27"/>
  <c r="W122" i="27"/>
  <c r="W123" i="27"/>
  <c r="W124" i="27"/>
  <c r="W125" i="27"/>
  <c r="W126" i="27"/>
  <c r="W127" i="27"/>
  <c r="W128" i="27"/>
  <c r="W129" i="27"/>
  <c r="W130" i="27"/>
  <c r="W131" i="27"/>
  <c r="W132" i="27"/>
  <c r="W133" i="27"/>
  <c r="W134" i="27"/>
  <c r="W135" i="27"/>
  <c r="W136" i="27"/>
  <c r="W137" i="27"/>
  <c r="W138" i="27"/>
  <c r="W139" i="27"/>
  <c r="W140" i="27"/>
  <c r="W141" i="27"/>
  <c r="W142" i="27"/>
  <c r="W143"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X88" i="27"/>
  <c r="X89" i="27"/>
  <c r="X90" i="27"/>
  <c r="X91" i="27"/>
  <c r="X92" i="27"/>
  <c r="X93" i="27"/>
  <c r="X94" i="27"/>
  <c r="X95" i="27"/>
  <c r="X96" i="27"/>
  <c r="X97" i="27"/>
  <c r="X98" i="27"/>
  <c r="X99" i="27"/>
  <c r="X100" i="27"/>
  <c r="X101" i="27"/>
  <c r="X102" i="27"/>
  <c r="X103" i="27"/>
  <c r="X104" i="27"/>
  <c r="X105" i="27"/>
  <c r="X106" i="27"/>
  <c r="X107" i="27"/>
  <c r="X108" i="27"/>
  <c r="X109" i="27"/>
  <c r="X110" i="27"/>
  <c r="X111" i="27"/>
  <c r="X112" i="27"/>
  <c r="X113" i="27"/>
  <c r="X114" i="27"/>
  <c r="X115" i="27"/>
  <c r="X116" i="27"/>
  <c r="X117" i="27"/>
  <c r="X118" i="27"/>
  <c r="X119" i="27"/>
  <c r="X120" i="27"/>
  <c r="X121" i="27"/>
  <c r="X122" i="27"/>
  <c r="X123" i="27"/>
  <c r="X124" i="27"/>
  <c r="X125" i="27"/>
  <c r="X126" i="27"/>
  <c r="X127" i="27"/>
  <c r="X128" i="27"/>
  <c r="X129" i="27"/>
  <c r="X130" i="27"/>
  <c r="X131" i="27"/>
  <c r="X132" i="27"/>
  <c r="X133" i="27"/>
  <c r="X134" i="27"/>
  <c r="X135" i="27"/>
  <c r="X136" i="27"/>
  <c r="X137" i="27"/>
  <c r="X138" i="27"/>
  <c r="X139" i="27"/>
  <c r="X140" i="27"/>
  <c r="X141" i="27"/>
  <c r="X142" i="27"/>
  <c r="X143" i="27"/>
  <c r="Y8"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Y36" i="27"/>
  <c r="Y37" i="27"/>
  <c r="Y38" i="27"/>
  <c r="Y39" i="27"/>
  <c r="Y40" i="27"/>
  <c r="Y41" i="27"/>
  <c r="Y42" i="27"/>
  <c r="Y43" i="27"/>
  <c r="Y44" i="27"/>
  <c r="Y45" i="27"/>
  <c r="Y46" i="27"/>
  <c r="Y47" i="27"/>
  <c r="Y48" i="27"/>
  <c r="Y49" i="27"/>
  <c r="Y50" i="27"/>
  <c r="Y51" i="27"/>
  <c r="Y52" i="27"/>
  <c r="Y53" i="27"/>
  <c r="Y54" i="27"/>
  <c r="Y55" i="27"/>
  <c r="Y56" i="27"/>
  <c r="Y57" i="27"/>
  <c r="Y58" i="27"/>
  <c r="Y59" i="27"/>
  <c r="Y60" i="27"/>
  <c r="Y61" i="27"/>
  <c r="Y62" i="27"/>
  <c r="Y63" i="27"/>
  <c r="Y64" i="27"/>
  <c r="Y65" i="27"/>
  <c r="Y66" i="27"/>
  <c r="Y67" i="27"/>
  <c r="Y68" i="27"/>
  <c r="Y69" i="27"/>
  <c r="Y70" i="27"/>
  <c r="Y71" i="27"/>
  <c r="Y72" i="27"/>
  <c r="Y73" i="27"/>
  <c r="Y74" i="27"/>
  <c r="Y75" i="27"/>
  <c r="Y76" i="27"/>
  <c r="Y77" i="27"/>
  <c r="Y78" i="27"/>
  <c r="Y79" i="27"/>
  <c r="Y80" i="27"/>
  <c r="Y81" i="27"/>
  <c r="Y82" i="27"/>
  <c r="Y83" i="27"/>
  <c r="Y84" i="27"/>
  <c r="Y85" i="27"/>
  <c r="Y86" i="27"/>
  <c r="Y87" i="27"/>
  <c r="Y88" i="27"/>
  <c r="Y89" i="27"/>
  <c r="Y90" i="27"/>
  <c r="Y91" i="27"/>
  <c r="Y92" i="27"/>
  <c r="Y93" i="27"/>
  <c r="Y94" i="27"/>
  <c r="Y95" i="27"/>
  <c r="Y96" i="27"/>
  <c r="Y97" i="27"/>
  <c r="Y98" i="27"/>
  <c r="Y99" i="27"/>
  <c r="Y100" i="27"/>
  <c r="Y101" i="27"/>
  <c r="Y102" i="27"/>
  <c r="Y103" i="27"/>
  <c r="Y104" i="27"/>
  <c r="Y105" i="27"/>
  <c r="Y106" i="27"/>
  <c r="Y107" i="27"/>
  <c r="Y108" i="27"/>
  <c r="Y109" i="27"/>
  <c r="Y110" i="27"/>
  <c r="Y111" i="27"/>
  <c r="Y112" i="27"/>
  <c r="Y113" i="27"/>
  <c r="Y114" i="27"/>
  <c r="Y115" i="27"/>
  <c r="Y116" i="27"/>
  <c r="Y117" i="27"/>
  <c r="Y118" i="27"/>
  <c r="Y119" i="27"/>
  <c r="Y120" i="27"/>
  <c r="Y121" i="27"/>
  <c r="Y122" i="27"/>
  <c r="Y123" i="27"/>
  <c r="Y124" i="27"/>
  <c r="Y125" i="27"/>
  <c r="Y126" i="27"/>
  <c r="Y127" i="27"/>
  <c r="Y128" i="27"/>
  <c r="Y129" i="27"/>
  <c r="Y130" i="27"/>
  <c r="Y131" i="27"/>
  <c r="Y132" i="27"/>
  <c r="Y133" i="27"/>
  <c r="Y134" i="27"/>
  <c r="Y135" i="27"/>
  <c r="Y136" i="27"/>
  <c r="Y137" i="27"/>
  <c r="Y138" i="27"/>
  <c r="Y139" i="27"/>
  <c r="Y140" i="27"/>
  <c r="Y141" i="27"/>
  <c r="Y142" i="27"/>
  <c r="Y143"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Z88" i="27"/>
  <c r="Z89" i="27"/>
  <c r="Z90" i="27"/>
  <c r="Z91" i="27"/>
  <c r="Z92" i="27"/>
  <c r="Z93" i="27"/>
  <c r="Z94" i="27"/>
  <c r="Z95" i="27"/>
  <c r="Z96" i="27"/>
  <c r="Z97" i="27"/>
  <c r="Z98" i="27"/>
  <c r="Z99" i="27"/>
  <c r="Z100" i="27"/>
  <c r="Z101" i="27"/>
  <c r="Z102" i="27"/>
  <c r="Z103" i="27"/>
  <c r="Z104" i="27"/>
  <c r="Z105" i="27"/>
  <c r="Z106" i="27"/>
  <c r="Z107" i="27"/>
  <c r="Z108" i="27"/>
  <c r="Z109" i="27"/>
  <c r="Z110" i="27"/>
  <c r="Z111" i="27"/>
  <c r="Z112" i="27"/>
  <c r="Z113" i="27"/>
  <c r="Z114" i="27"/>
  <c r="Z115" i="27"/>
  <c r="Z116" i="27"/>
  <c r="Z117" i="27"/>
  <c r="Z118" i="27"/>
  <c r="Z119" i="27"/>
  <c r="Z120" i="27"/>
  <c r="Z121" i="27"/>
  <c r="Z122" i="27"/>
  <c r="Z123" i="27"/>
  <c r="Z124" i="27"/>
  <c r="Z125" i="27"/>
  <c r="Z126" i="27"/>
  <c r="Z127" i="27"/>
  <c r="Z128" i="27"/>
  <c r="Z129" i="27"/>
  <c r="Z130" i="27"/>
  <c r="Z131" i="27"/>
  <c r="Z132" i="27"/>
  <c r="Z133" i="27"/>
  <c r="Z134" i="27"/>
  <c r="Z135" i="27"/>
  <c r="Z136" i="27"/>
  <c r="Z137" i="27"/>
  <c r="Z138" i="27"/>
  <c r="Z139" i="27"/>
  <c r="Z140" i="27"/>
  <c r="Z141" i="27"/>
  <c r="Z142" i="27"/>
  <c r="Z143" i="27"/>
  <c r="AA8" i="27"/>
  <c r="AA9" i="27"/>
  <c r="AA10" i="27"/>
  <c r="AA11" i="27"/>
  <c r="AA12" i="27"/>
  <c r="AA13" i="27"/>
  <c r="AA14" i="27"/>
  <c r="AA15" i="27"/>
  <c r="AA16" i="27"/>
  <c r="AA17" i="27"/>
  <c r="AA18" i="27"/>
  <c r="AA19" i="27"/>
  <c r="AA20" i="27"/>
  <c r="AA21" i="27"/>
  <c r="AA22" i="27"/>
  <c r="AA23" i="27"/>
  <c r="AA24" i="27"/>
  <c r="AA25" i="27"/>
  <c r="AA26" i="27"/>
  <c r="AA27" i="27"/>
  <c r="AA28" i="27"/>
  <c r="AA29" i="27"/>
  <c r="AA30" i="27"/>
  <c r="AA31" i="27"/>
  <c r="AA32" i="27"/>
  <c r="AA33" i="27"/>
  <c r="AA34" i="27"/>
  <c r="AA35" i="27"/>
  <c r="AA36" i="27"/>
  <c r="AA37" i="27"/>
  <c r="AA38" i="27"/>
  <c r="AA39" i="27"/>
  <c r="AA40" i="27"/>
  <c r="AA41" i="27"/>
  <c r="AA42" i="27"/>
  <c r="AA43" i="27"/>
  <c r="AA44" i="27"/>
  <c r="AA45" i="27"/>
  <c r="AA46" i="27"/>
  <c r="AA47" i="27"/>
  <c r="AA48" i="27"/>
  <c r="AA49" i="27"/>
  <c r="AA50" i="27"/>
  <c r="AA51" i="27"/>
  <c r="AA52" i="27"/>
  <c r="AA53" i="27"/>
  <c r="AA54" i="27"/>
  <c r="AA55" i="27"/>
  <c r="AA56" i="27"/>
  <c r="AA57" i="27"/>
  <c r="AA58" i="27"/>
  <c r="AA59" i="27"/>
  <c r="AA60" i="27"/>
  <c r="AA61" i="27"/>
  <c r="AA62" i="27"/>
  <c r="AA63" i="27"/>
  <c r="AA64" i="27"/>
  <c r="AA65" i="27"/>
  <c r="AA66" i="27"/>
  <c r="AA67" i="27"/>
  <c r="AA68" i="27"/>
  <c r="AA69" i="27"/>
  <c r="AA70" i="27"/>
  <c r="AA71" i="27"/>
  <c r="AA72" i="27"/>
  <c r="AA73" i="27"/>
  <c r="AA74" i="27"/>
  <c r="AA75" i="27"/>
  <c r="AA76" i="27"/>
  <c r="AA77" i="27"/>
  <c r="AA78" i="27"/>
  <c r="AA79" i="27"/>
  <c r="AA80" i="27"/>
  <c r="AA81" i="27"/>
  <c r="AA82" i="27"/>
  <c r="AA83" i="27"/>
  <c r="AA84" i="27"/>
  <c r="AA85" i="27"/>
  <c r="AA86" i="27"/>
  <c r="AA87" i="27"/>
  <c r="AA88" i="27"/>
  <c r="AA89" i="27"/>
  <c r="AA90" i="27"/>
  <c r="AA91" i="27"/>
  <c r="AA92" i="27"/>
  <c r="AA93" i="27"/>
  <c r="AA94" i="27"/>
  <c r="AA95" i="27"/>
  <c r="AA96" i="27"/>
  <c r="AA97" i="27"/>
  <c r="AA98" i="27"/>
  <c r="AA99" i="27"/>
  <c r="AA100" i="27"/>
  <c r="AA101" i="27"/>
  <c r="AA102" i="27"/>
  <c r="AA103" i="27"/>
  <c r="AA104" i="27"/>
  <c r="AA105" i="27"/>
  <c r="AA106" i="27"/>
  <c r="AA107" i="27"/>
  <c r="AA108" i="27"/>
  <c r="AA109" i="27"/>
  <c r="AA110" i="27"/>
  <c r="AA111" i="27"/>
  <c r="AA112" i="27"/>
  <c r="AA113" i="27"/>
  <c r="AA114" i="27"/>
  <c r="AA115" i="27"/>
  <c r="AA116" i="27"/>
  <c r="AA117" i="27"/>
  <c r="AA118" i="27"/>
  <c r="AA119" i="27"/>
  <c r="AA120" i="27"/>
  <c r="AA121" i="27"/>
  <c r="AA122" i="27"/>
  <c r="AA123" i="27"/>
  <c r="AA124" i="27"/>
  <c r="AA125" i="27"/>
  <c r="AA126" i="27"/>
  <c r="AA127" i="27"/>
  <c r="AA128" i="27"/>
  <c r="AA129" i="27"/>
  <c r="AA130" i="27"/>
  <c r="AA131" i="27"/>
  <c r="AA132" i="27"/>
  <c r="AA133" i="27"/>
  <c r="AA134" i="27"/>
  <c r="AA135" i="27"/>
  <c r="AA136" i="27"/>
  <c r="AA137" i="27"/>
  <c r="AA138" i="27"/>
  <c r="AA139" i="27"/>
  <c r="AA140" i="27"/>
  <c r="AA141" i="27"/>
  <c r="AA142" i="27"/>
  <c r="AA143" i="27"/>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AB89" i="27"/>
  <c r="AB90" i="27"/>
  <c r="AB91" i="27"/>
  <c r="AB92" i="27"/>
  <c r="AB93" i="27"/>
  <c r="AB94" i="27"/>
  <c r="AB95" i="27"/>
  <c r="AB96" i="27"/>
  <c r="AB97" i="27"/>
  <c r="AB98" i="27"/>
  <c r="AB99" i="27"/>
  <c r="AB100" i="27"/>
  <c r="AB101" i="27"/>
  <c r="AB102" i="27"/>
  <c r="AB103" i="27"/>
  <c r="AB104" i="27"/>
  <c r="AB105" i="27"/>
  <c r="AB106" i="27"/>
  <c r="AB107" i="27"/>
  <c r="AB108" i="27"/>
  <c r="AB109" i="27"/>
  <c r="AB110" i="27"/>
  <c r="AB111" i="27"/>
  <c r="AB112" i="27"/>
  <c r="AB113" i="27"/>
  <c r="AB114" i="27"/>
  <c r="AB115" i="27"/>
  <c r="AB116" i="27"/>
  <c r="AB117" i="27"/>
  <c r="AB118" i="27"/>
  <c r="AB119" i="27"/>
  <c r="AB120" i="27"/>
  <c r="AB121" i="27"/>
  <c r="AB122" i="27"/>
  <c r="AB123" i="27"/>
  <c r="AB124" i="27"/>
  <c r="AB125" i="27"/>
  <c r="AB126" i="27"/>
  <c r="AB127" i="27"/>
  <c r="AB128" i="27"/>
  <c r="AB129" i="27"/>
  <c r="AB130" i="27"/>
  <c r="AB131" i="27"/>
  <c r="AB132" i="27"/>
  <c r="AB133" i="27"/>
  <c r="AB134" i="27"/>
  <c r="AB135" i="27"/>
  <c r="AB136" i="27"/>
  <c r="AB137" i="27"/>
  <c r="AB138" i="27"/>
  <c r="AB139" i="27"/>
  <c r="AB140" i="27"/>
  <c r="AB141" i="27"/>
  <c r="AB142" i="27"/>
  <c r="AB143" i="27"/>
  <c r="AC8" i="27"/>
  <c r="AC9" i="27"/>
  <c r="AC10" i="27"/>
  <c r="AC11" i="27"/>
  <c r="AC12" i="27"/>
  <c r="AC13" i="27"/>
  <c r="AC14" i="27"/>
  <c r="AC15" i="27"/>
  <c r="AC16" i="27"/>
  <c r="AC17" i="27"/>
  <c r="AC18" i="27"/>
  <c r="AC19" i="27"/>
  <c r="AC20" i="27"/>
  <c r="AC21" i="27"/>
  <c r="AC22" i="27"/>
  <c r="AC23" i="27"/>
  <c r="AC24" i="27"/>
  <c r="AC25" i="27"/>
  <c r="AC26" i="27"/>
  <c r="AC27" i="27"/>
  <c r="AC28" i="27"/>
  <c r="AC29" i="27"/>
  <c r="AC30" i="27"/>
  <c r="AC31" i="27"/>
  <c r="AC32" i="27"/>
  <c r="AC33" i="27"/>
  <c r="AC34" i="27"/>
  <c r="AC35" i="27"/>
  <c r="AC36" i="27"/>
  <c r="AC37" i="27"/>
  <c r="AC38" i="27"/>
  <c r="AC39" i="27"/>
  <c r="AC40" i="27"/>
  <c r="AC41" i="27"/>
  <c r="AC42" i="27"/>
  <c r="AC43" i="27"/>
  <c r="AC44" i="27"/>
  <c r="AC45" i="27"/>
  <c r="AC46" i="27"/>
  <c r="AC47" i="27"/>
  <c r="AC48" i="27"/>
  <c r="AC49" i="27"/>
  <c r="AC50" i="27"/>
  <c r="AC51" i="27"/>
  <c r="AC52" i="27"/>
  <c r="AC53" i="27"/>
  <c r="AC54" i="27"/>
  <c r="AC55" i="27"/>
  <c r="AC56" i="27"/>
  <c r="AC57" i="27"/>
  <c r="AC58" i="27"/>
  <c r="AC59" i="27"/>
  <c r="AC60" i="27"/>
  <c r="AC61" i="27"/>
  <c r="AC62" i="27"/>
  <c r="AC63" i="27"/>
  <c r="AC64" i="27"/>
  <c r="AC65" i="27"/>
  <c r="AC66" i="27"/>
  <c r="AC67" i="27"/>
  <c r="AC68" i="27"/>
  <c r="AC69" i="27"/>
  <c r="AC70" i="27"/>
  <c r="AC71" i="27"/>
  <c r="AC72" i="27"/>
  <c r="AC73" i="27"/>
  <c r="AC74" i="27"/>
  <c r="AC75" i="27"/>
  <c r="AC76" i="27"/>
  <c r="AC77" i="27"/>
  <c r="AC78" i="27"/>
  <c r="AC79" i="27"/>
  <c r="AC80" i="27"/>
  <c r="AC81" i="27"/>
  <c r="AC82" i="27"/>
  <c r="AC83" i="27"/>
  <c r="AC84" i="27"/>
  <c r="AC85" i="27"/>
  <c r="AC86" i="27"/>
  <c r="AC87" i="27"/>
  <c r="AC88" i="27"/>
  <c r="AC89" i="27"/>
  <c r="AC90" i="27"/>
  <c r="AC91" i="27"/>
  <c r="AC92" i="27"/>
  <c r="AC93" i="27"/>
  <c r="AC94" i="27"/>
  <c r="AC95" i="27"/>
  <c r="AC96" i="27"/>
  <c r="AC97" i="27"/>
  <c r="AC98" i="27"/>
  <c r="AC99" i="27"/>
  <c r="AC100" i="27"/>
  <c r="AC101" i="27"/>
  <c r="AC102" i="27"/>
  <c r="AC103" i="27"/>
  <c r="AC104" i="27"/>
  <c r="AC105" i="27"/>
  <c r="AC106" i="27"/>
  <c r="AC107" i="27"/>
  <c r="AC108" i="27"/>
  <c r="AC109" i="27"/>
  <c r="AC110" i="27"/>
  <c r="AC111" i="27"/>
  <c r="AC112" i="27"/>
  <c r="AC113" i="27"/>
  <c r="AC114" i="27"/>
  <c r="AC115" i="27"/>
  <c r="AC116" i="27"/>
  <c r="AC117" i="27"/>
  <c r="AC118" i="27"/>
  <c r="AC119" i="27"/>
  <c r="AC120" i="27"/>
  <c r="AC121" i="27"/>
  <c r="AC122" i="27"/>
  <c r="AC123" i="27"/>
  <c r="AC124" i="27"/>
  <c r="AC125" i="27"/>
  <c r="AC126" i="27"/>
  <c r="AC127" i="27"/>
  <c r="AC128" i="27"/>
  <c r="AC129" i="27"/>
  <c r="AC130" i="27"/>
  <c r="AC131" i="27"/>
  <c r="AC132" i="27"/>
  <c r="AC133" i="27"/>
  <c r="AC134" i="27"/>
  <c r="AC135" i="27"/>
  <c r="AC136" i="27"/>
  <c r="AC137" i="27"/>
  <c r="AC138" i="27"/>
  <c r="AC139" i="27"/>
  <c r="AC140" i="27"/>
  <c r="AC141" i="27"/>
  <c r="AC142" i="27"/>
  <c r="AC143" i="27"/>
  <c r="AD8" i="27"/>
  <c r="AD9" i="27"/>
  <c r="AD10" i="27"/>
  <c r="AD11" i="27"/>
  <c r="AD12" i="27"/>
  <c r="AD13" i="27"/>
  <c r="AD14" i="27"/>
  <c r="AD15" i="27"/>
  <c r="AD16" i="27"/>
  <c r="AD17" i="27"/>
  <c r="AD18" i="27"/>
  <c r="AD19" i="27"/>
  <c r="AD20" i="27"/>
  <c r="AD21" i="27"/>
  <c r="AD22" i="27"/>
  <c r="AD23" i="27"/>
  <c r="AD24" i="27"/>
  <c r="AD25" i="27"/>
  <c r="AD26" i="27"/>
  <c r="AD27" i="27"/>
  <c r="AD28" i="27"/>
  <c r="AD29" i="27"/>
  <c r="AD30" i="27"/>
  <c r="AD31" i="27"/>
  <c r="AD32" i="27"/>
  <c r="AD33" i="27"/>
  <c r="AD34" i="27"/>
  <c r="AD35" i="27"/>
  <c r="AD36" i="27"/>
  <c r="AD37" i="27"/>
  <c r="AD38" i="27"/>
  <c r="AD39" i="27"/>
  <c r="AD40" i="27"/>
  <c r="AD41" i="27"/>
  <c r="AD42" i="27"/>
  <c r="AD43" i="27"/>
  <c r="AD44" i="27"/>
  <c r="AD45" i="27"/>
  <c r="AD46" i="27"/>
  <c r="AD47" i="27"/>
  <c r="AD48" i="27"/>
  <c r="AD49" i="27"/>
  <c r="AD50" i="27"/>
  <c r="AD51" i="27"/>
  <c r="AD52" i="27"/>
  <c r="AD53" i="27"/>
  <c r="AD54" i="27"/>
  <c r="AD55" i="27"/>
  <c r="AD56" i="27"/>
  <c r="AD57" i="27"/>
  <c r="AD58" i="27"/>
  <c r="AD59" i="27"/>
  <c r="AD60" i="27"/>
  <c r="AD61" i="27"/>
  <c r="AD62" i="27"/>
  <c r="AD63" i="27"/>
  <c r="AD64" i="27"/>
  <c r="AD65" i="27"/>
  <c r="AD66" i="27"/>
  <c r="AD67" i="27"/>
  <c r="AD68" i="27"/>
  <c r="AD69" i="27"/>
  <c r="AD70" i="27"/>
  <c r="AD71" i="27"/>
  <c r="AD72" i="27"/>
  <c r="AD73" i="27"/>
  <c r="AD74" i="27"/>
  <c r="AD75" i="27"/>
  <c r="AD76" i="27"/>
  <c r="AD77" i="27"/>
  <c r="AD78" i="27"/>
  <c r="AD79" i="27"/>
  <c r="AD80" i="27"/>
  <c r="AD81" i="27"/>
  <c r="AD82" i="27"/>
  <c r="AD83" i="27"/>
  <c r="AD84" i="27"/>
  <c r="AD85" i="27"/>
  <c r="AD86" i="27"/>
  <c r="AD87" i="27"/>
  <c r="AD88" i="27"/>
  <c r="AD89" i="27"/>
  <c r="AD90" i="27"/>
  <c r="AD91" i="27"/>
  <c r="AD92" i="27"/>
  <c r="AD93" i="27"/>
  <c r="AD94" i="27"/>
  <c r="AD95" i="27"/>
  <c r="AD96" i="27"/>
  <c r="AD97" i="27"/>
  <c r="AD98" i="27"/>
  <c r="AD99" i="27"/>
  <c r="AD100" i="27"/>
  <c r="AD101" i="27"/>
  <c r="AD102" i="27"/>
  <c r="AD103" i="27"/>
  <c r="AD104" i="27"/>
  <c r="AD105" i="27"/>
  <c r="AD106" i="27"/>
  <c r="AD107" i="27"/>
  <c r="AD108" i="27"/>
  <c r="AD109" i="27"/>
  <c r="AD110" i="27"/>
  <c r="AD111" i="27"/>
  <c r="AD112" i="27"/>
  <c r="AD113" i="27"/>
  <c r="AD114" i="27"/>
  <c r="AD115" i="27"/>
  <c r="AD116" i="27"/>
  <c r="AD117" i="27"/>
  <c r="AD118" i="27"/>
  <c r="AD119" i="27"/>
  <c r="AD120" i="27"/>
  <c r="AD121" i="27"/>
  <c r="AD122" i="27"/>
  <c r="AD123" i="27"/>
  <c r="AD124" i="27"/>
  <c r="AD125" i="27"/>
  <c r="AD126" i="27"/>
  <c r="AD127" i="27"/>
  <c r="AD128" i="27"/>
  <c r="AD129" i="27"/>
  <c r="AD130" i="27"/>
  <c r="AD131" i="27"/>
  <c r="AD132" i="27"/>
  <c r="AD133" i="27"/>
  <c r="AD134" i="27"/>
  <c r="AD135" i="27"/>
  <c r="AD136" i="27"/>
  <c r="AD137" i="27"/>
  <c r="AD138" i="27"/>
  <c r="AD139" i="27"/>
  <c r="AD140" i="27"/>
  <c r="AD141" i="27"/>
  <c r="AD142" i="27"/>
  <c r="AD143" i="27"/>
  <c r="AE8"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E64" i="27"/>
  <c r="AE65" i="27"/>
  <c r="AE66" i="27"/>
  <c r="AE67" i="27"/>
  <c r="AE68" i="27"/>
  <c r="AE69" i="27"/>
  <c r="AE70" i="27"/>
  <c r="AE71" i="27"/>
  <c r="AE72" i="27"/>
  <c r="AE73" i="27"/>
  <c r="AE74" i="27"/>
  <c r="AE75" i="27"/>
  <c r="AE76" i="27"/>
  <c r="AE77" i="27"/>
  <c r="AE78" i="27"/>
  <c r="AE79" i="27"/>
  <c r="AE80" i="27"/>
  <c r="AE81" i="27"/>
  <c r="AE82" i="27"/>
  <c r="AE83" i="27"/>
  <c r="AE84" i="27"/>
  <c r="AE85" i="27"/>
  <c r="AE86" i="27"/>
  <c r="AE87" i="27"/>
  <c r="AE88" i="27"/>
  <c r="AE89" i="27"/>
  <c r="AE90" i="27"/>
  <c r="AE91" i="27"/>
  <c r="AE92" i="27"/>
  <c r="AE93" i="27"/>
  <c r="AE94" i="27"/>
  <c r="AE95" i="27"/>
  <c r="AE96" i="27"/>
  <c r="AE97" i="27"/>
  <c r="AE98" i="27"/>
  <c r="AE99" i="27"/>
  <c r="AE100" i="27"/>
  <c r="AE101" i="27"/>
  <c r="AE102" i="27"/>
  <c r="AE103" i="27"/>
  <c r="AE104" i="27"/>
  <c r="AE105" i="27"/>
  <c r="AE106" i="27"/>
  <c r="AE107" i="27"/>
  <c r="AE108" i="27"/>
  <c r="AE109" i="27"/>
  <c r="AE110" i="27"/>
  <c r="AE111" i="27"/>
  <c r="AE112" i="27"/>
  <c r="AE113" i="27"/>
  <c r="AE114" i="27"/>
  <c r="AE115" i="27"/>
  <c r="AE116" i="27"/>
  <c r="AE117" i="27"/>
  <c r="AE118" i="27"/>
  <c r="AE119" i="27"/>
  <c r="AE120" i="27"/>
  <c r="AE121" i="27"/>
  <c r="AE122" i="27"/>
  <c r="AE123" i="27"/>
  <c r="AE124" i="27"/>
  <c r="AE125" i="27"/>
  <c r="AE126" i="27"/>
  <c r="AE127" i="27"/>
  <c r="AE128" i="27"/>
  <c r="AE129" i="27"/>
  <c r="AE130" i="27"/>
  <c r="AE131" i="27"/>
  <c r="AE132" i="27"/>
  <c r="AE133" i="27"/>
  <c r="AE134" i="27"/>
  <c r="AE135" i="27"/>
  <c r="AE136" i="27"/>
  <c r="AE137" i="27"/>
  <c r="AE138" i="27"/>
  <c r="AE139" i="27"/>
  <c r="AE140" i="27"/>
  <c r="AE141" i="27"/>
  <c r="AE142" i="27"/>
  <c r="AE143" i="27"/>
  <c r="AF8" i="27"/>
  <c r="AF9" i="27"/>
  <c r="AF10" i="27"/>
  <c r="AF11" i="27"/>
  <c r="AF12" i="27"/>
  <c r="AF13" i="27"/>
  <c r="AF14" i="27"/>
  <c r="AF15" i="27"/>
  <c r="AF16" i="27"/>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60" i="27"/>
  <c r="AF61" i="27"/>
  <c r="AF62" i="27"/>
  <c r="AF63" i="27"/>
  <c r="AF64" i="27"/>
  <c r="AF65" i="27"/>
  <c r="AF66" i="27"/>
  <c r="AF67" i="27"/>
  <c r="AF68" i="27"/>
  <c r="AF69" i="27"/>
  <c r="AF70" i="27"/>
  <c r="AF71" i="27"/>
  <c r="AF72" i="27"/>
  <c r="AF73" i="27"/>
  <c r="AF74" i="27"/>
  <c r="AF75" i="27"/>
  <c r="AF76" i="27"/>
  <c r="AF77" i="27"/>
  <c r="AF78" i="27"/>
  <c r="AF79" i="27"/>
  <c r="AF80" i="27"/>
  <c r="AF81" i="27"/>
  <c r="AF82" i="27"/>
  <c r="AF83" i="27"/>
  <c r="AF84" i="27"/>
  <c r="AF85" i="27"/>
  <c r="AF86" i="27"/>
  <c r="AF87" i="27"/>
  <c r="AF88" i="27"/>
  <c r="AF89" i="27"/>
  <c r="AF90" i="27"/>
  <c r="AF91" i="27"/>
  <c r="AF92" i="27"/>
  <c r="AF93" i="27"/>
  <c r="AF94" i="27"/>
  <c r="AF95" i="27"/>
  <c r="AF96" i="27"/>
  <c r="AF97" i="27"/>
  <c r="AF98" i="27"/>
  <c r="AF99" i="27"/>
  <c r="AF100" i="27"/>
  <c r="AF101" i="27"/>
  <c r="AF102" i="27"/>
  <c r="AF103" i="27"/>
  <c r="AF104" i="27"/>
  <c r="AF105" i="27"/>
  <c r="AF106" i="27"/>
  <c r="AF107" i="27"/>
  <c r="AF108" i="27"/>
  <c r="AF109" i="27"/>
  <c r="AF110" i="27"/>
  <c r="AF111" i="27"/>
  <c r="AF112" i="27"/>
  <c r="AF113" i="27"/>
  <c r="AF114" i="27"/>
  <c r="AF115" i="27"/>
  <c r="AF116" i="27"/>
  <c r="AF117" i="27"/>
  <c r="AF118" i="27"/>
  <c r="AF119" i="27"/>
  <c r="AF120" i="27"/>
  <c r="AF121" i="27"/>
  <c r="AF122" i="27"/>
  <c r="AF123" i="27"/>
  <c r="AF124" i="27"/>
  <c r="AF125" i="27"/>
  <c r="AF126" i="27"/>
  <c r="AF127" i="27"/>
  <c r="AF128" i="27"/>
  <c r="AF129" i="27"/>
  <c r="AF130" i="27"/>
  <c r="AF131" i="27"/>
  <c r="AF132" i="27"/>
  <c r="AF133" i="27"/>
  <c r="AF134" i="27"/>
  <c r="AF135" i="27"/>
  <c r="AF136" i="27"/>
  <c r="AF137" i="27"/>
  <c r="AF138" i="27"/>
  <c r="AF139" i="27"/>
  <c r="AF140" i="27"/>
  <c r="AF141" i="27"/>
  <c r="AF142" i="27"/>
  <c r="AF143" i="27"/>
  <c r="AG8" i="27"/>
  <c r="AG9" i="27"/>
  <c r="AG10" i="27"/>
  <c r="AG11" i="27"/>
  <c r="AG12" i="27"/>
  <c r="AG13" i="27"/>
  <c r="AG14" i="27"/>
  <c r="AG15" i="27"/>
  <c r="AG16" i="27"/>
  <c r="AG17" i="27"/>
  <c r="AG18" i="27"/>
  <c r="AG19" i="27"/>
  <c r="AG20" i="27"/>
  <c r="AG21" i="27"/>
  <c r="AG22" i="27"/>
  <c r="AG23" i="27"/>
  <c r="AG24" i="27"/>
  <c r="AG25" i="27"/>
  <c r="AG26" i="27"/>
  <c r="AG27" i="27"/>
  <c r="AG28" i="27"/>
  <c r="AG29" i="27"/>
  <c r="AG30" i="27"/>
  <c r="AG31" i="27"/>
  <c r="AG32" i="27"/>
  <c r="AG33" i="27"/>
  <c r="AG34" i="27"/>
  <c r="AG35" i="27"/>
  <c r="AG36" i="27"/>
  <c r="AG37" i="27"/>
  <c r="AG38" i="27"/>
  <c r="AG39" i="27"/>
  <c r="AG40" i="27"/>
  <c r="AG41" i="27"/>
  <c r="AG42" i="27"/>
  <c r="AG43" i="27"/>
  <c r="AG44" i="27"/>
  <c r="AG45" i="27"/>
  <c r="AG46" i="27"/>
  <c r="AG47" i="27"/>
  <c r="AG48" i="27"/>
  <c r="AG49" i="27"/>
  <c r="AG50" i="27"/>
  <c r="AG51" i="27"/>
  <c r="AG52" i="27"/>
  <c r="AG53" i="27"/>
  <c r="AG54" i="27"/>
  <c r="AG55" i="27"/>
  <c r="AG56" i="27"/>
  <c r="AG57" i="27"/>
  <c r="AG58" i="27"/>
  <c r="AG59" i="27"/>
  <c r="AG60" i="27"/>
  <c r="AG61" i="27"/>
  <c r="AG62" i="27"/>
  <c r="AG63" i="27"/>
  <c r="AG64" i="27"/>
  <c r="AG65" i="27"/>
  <c r="AG66" i="27"/>
  <c r="AG67" i="27"/>
  <c r="AG68" i="27"/>
  <c r="AG69" i="27"/>
  <c r="AG70" i="27"/>
  <c r="AG71" i="27"/>
  <c r="AG72" i="27"/>
  <c r="AG73" i="27"/>
  <c r="AG74" i="27"/>
  <c r="AG75" i="27"/>
  <c r="AG76" i="27"/>
  <c r="AG77" i="27"/>
  <c r="AG78" i="27"/>
  <c r="AG79" i="27"/>
  <c r="AG80" i="27"/>
  <c r="AG81" i="27"/>
  <c r="AG82" i="27"/>
  <c r="AG83" i="27"/>
  <c r="AG84" i="27"/>
  <c r="AG85" i="27"/>
  <c r="AG86" i="27"/>
  <c r="AG87" i="27"/>
  <c r="AG88" i="27"/>
  <c r="AG89" i="27"/>
  <c r="AG90" i="27"/>
  <c r="AG91" i="27"/>
  <c r="AG92" i="27"/>
  <c r="AG93" i="27"/>
  <c r="AG94" i="27"/>
  <c r="AG95" i="27"/>
  <c r="AG96" i="27"/>
  <c r="AG97" i="27"/>
  <c r="AG98" i="27"/>
  <c r="AG99" i="27"/>
  <c r="AG100" i="27"/>
  <c r="AG101" i="27"/>
  <c r="AG102" i="27"/>
  <c r="AG103" i="27"/>
  <c r="AG104" i="27"/>
  <c r="AG105" i="27"/>
  <c r="AG106" i="27"/>
  <c r="AG107" i="27"/>
  <c r="AG108" i="27"/>
  <c r="AG109" i="27"/>
  <c r="AG110" i="27"/>
  <c r="AG111" i="27"/>
  <c r="AG112" i="27"/>
  <c r="AG113" i="27"/>
  <c r="AG114" i="27"/>
  <c r="AG115" i="27"/>
  <c r="AG116" i="27"/>
  <c r="AG117" i="27"/>
  <c r="AG118" i="27"/>
  <c r="AG119" i="27"/>
  <c r="AG120" i="27"/>
  <c r="AG121" i="27"/>
  <c r="AG122" i="27"/>
  <c r="AG123" i="27"/>
  <c r="AG124" i="27"/>
  <c r="AG125" i="27"/>
  <c r="AG126" i="27"/>
  <c r="AG127" i="27"/>
  <c r="AG128" i="27"/>
  <c r="AG129" i="27"/>
  <c r="AG130" i="27"/>
  <c r="AG131" i="27"/>
  <c r="AG132" i="27"/>
  <c r="AG133" i="27"/>
  <c r="AG134" i="27"/>
  <c r="AG135" i="27"/>
  <c r="AG136" i="27"/>
  <c r="AG137" i="27"/>
  <c r="AG138" i="27"/>
  <c r="AG139" i="27"/>
  <c r="AG140" i="27"/>
  <c r="AG141" i="27"/>
  <c r="AG142" i="27"/>
  <c r="AG143" i="27"/>
  <c r="AH8" i="27"/>
  <c r="AH9" i="27"/>
  <c r="AH10" i="27"/>
  <c r="AH11" i="27"/>
  <c r="AH12" i="27"/>
  <c r="AH13" i="27"/>
  <c r="AH14" i="27"/>
  <c r="AH15" i="27"/>
  <c r="AH16" i="27"/>
  <c r="AH17" i="27"/>
  <c r="AH18" i="27"/>
  <c r="AH19" i="27"/>
  <c r="AH20" i="27"/>
  <c r="AH21" i="27"/>
  <c r="AH22" i="27"/>
  <c r="AH23" i="27"/>
  <c r="AH24" i="27"/>
  <c r="AH25" i="27"/>
  <c r="AH26" i="27"/>
  <c r="AH27" i="27"/>
  <c r="AH28" i="27"/>
  <c r="AH29" i="27"/>
  <c r="AH30" i="27"/>
  <c r="AH31" i="27"/>
  <c r="AH32" i="27"/>
  <c r="AH33" i="27"/>
  <c r="AH34" i="27"/>
  <c r="AH35" i="27"/>
  <c r="AH36" i="27"/>
  <c r="AH37" i="27"/>
  <c r="AH38" i="27"/>
  <c r="AH39" i="27"/>
  <c r="AH40" i="27"/>
  <c r="AH41" i="27"/>
  <c r="AH42" i="27"/>
  <c r="AH43" i="27"/>
  <c r="AH44" i="27"/>
  <c r="AH45" i="27"/>
  <c r="AH46" i="27"/>
  <c r="AH47" i="27"/>
  <c r="AH48" i="27"/>
  <c r="AH49" i="27"/>
  <c r="AH50" i="27"/>
  <c r="AH51" i="27"/>
  <c r="AH52" i="27"/>
  <c r="AH53" i="27"/>
  <c r="AH54" i="27"/>
  <c r="AH55" i="27"/>
  <c r="AH56" i="27"/>
  <c r="AH57" i="27"/>
  <c r="AH58" i="27"/>
  <c r="AH59" i="27"/>
  <c r="AH60" i="27"/>
  <c r="AH61" i="27"/>
  <c r="AH62" i="27"/>
  <c r="AH63" i="27"/>
  <c r="AH64" i="27"/>
  <c r="AH65" i="27"/>
  <c r="AH66" i="27"/>
  <c r="AH67" i="27"/>
  <c r="AH68" i="27"/>
  <c r="AH69" i="27"/>
  <c r="AH70" i="27"/>
  <c r="AH71" i="27"/>
  <c r="AH72" i="27"/>
  <c r="AH73" i="27"/>
  <c r="AH74" i="27"/>
  <c r="AH75" i="27"/>
  <c r="AH76" i="27"/>
  <c r="AH77" i="27"/>
  <c r="AH78" i="27"/>
  <c r="AH79" i="27"/>
  <c r="AH80" i="27"/>
  <c r="AH81" i="27"/>
  <c r="AH82" i="27"/>
  <c r="AH83" i="27"/>
  <c r="AH84" i="27"/>
  <c r="AH85" i="27"/>
  <c r="AH86" i="27"/>
  <c r="AH87" i="27"/>
  <c r="AH88" i="27"/>
  <c r="AH89" i="27"/>
  <c r="AH90" i="27"/>
  <c r="AH91" i="27"/>
  <c r="AH92" i="27"/>
  <c r="AH93" i="27"/>
  <c r="AH94" i="27"/>
  <c r="AH95" i="27"/>
  <c r="AH96" i="27"/>
  <c r="AH97" i="27"/>
  <c r="AH98" i="27"/>
  <c r="AH99" i="27"/>
  <c r="AH100" i="27"/>
  <c r="AH101" i="27"/>
  <c r="AH102" i="27"/>
  <c r="AH103" i="27"/>
  <c r="AH104" i="27"/>
  <c r="AH105" i="27"/>
  <c r="AH106" i="27"/>
  <c r="AH107" i="27"/>
  <c r="AH108" i="27"/>
  <c r="AH109" i="27"/>
  <c r="AH110" i="27"/>
  <c r="AH111" i="27"/>
  <c r="AH112" i="27"/>
  <c r="AH113" i="27"/>
  <c r="AH114" i="27"/>
  <c r="AH115" i="27"/>
  <c r="AH116" i="27"/>
  <c r="AH117" i="27"/>
  <c r="AH118" i="27"/>
  <c r="AH119" i="27"/>
  <c r="AH120" i="27"/>
  <c r="AH121" i="27"/>
  <c r="AH122" i="27"/>
  <c r="AH123" i="27"/>
  <c r="AH124" i="27"/>
  <c r="AH125" i="27"/>
  <c r="AH126" i="27"/>
  <c r="AH127" i="27"/>
  <c r="AH128" i="27"/>
  <c r="AH129" i="27"/>
  <c r="AH130" i="27"/>
  <c r="AH131" i="27"/>
  <c r="AH132" i="27"/>
  <c r="AH133" i="27"/>
  <c r="AH134" i="27"/>
  <c r="AH135" i="27"/>
  <c r="AH136" i="27"/>
  <c r="AH137" i="27"/>
  <c r="AH138" i="27"/>
  <c r="AH139" i="27"/>
  <c r="AH140" i="27"/>
  <c r="AH141" i="27"/>
  <c r="AH142" i="27"/>
  <c r="AH143" i="27"/>
  <c r="AI8" i="27"/>
  <c r="AI9" i="27"/>
  <c r="AI10" i="27"/>
  <c r="AI11" i="27"/>
  <c r="AI12" i="27"/>
  <c r="AI13" i="27"/>
  <c r="AI14" i="27"/>
  <c r="AI15" i="27"/>
  <c r="AI16" i="27"/>
  <c r="AI17" i="27"/>
  <c r="AI18" i="27"/>
  <c r="AI19" i="27"/>
  <c r="AI20" i="27"/>
  <c r="AI21" i="27"/>
  <c r="AI22" i="27"/>
  <c r="AI23" i="27"/>
  <c r="AI24" i="27"/>
  <c r="AI25" i="27"/>
  <c r="AI26" i="27"/>
  <c r="AI27" i="27"/>
  <c r="AI28" i="27"/>
  <c r="AI29" i="27"/>
  <c r="AI30" i="27"/>
  <c r="AI31" i="27"/>
  <c r="AI32" i="27"/>
  <c r="AI33" i="27"/>
  <c r="AI34" i="27"/>
  <c r="AI35" i="27"/>
  <c r="AI36" i="27"/>
  <c r="AI37" i="27"/>
  <c r="AI38" i="27"/>
  <c r="AI39" i="27"/>
  <c r="AI40" i="27"/>
  <c r="AI41" i="27"/>
  <c r="AI42" i="27"/>
  <c r="AI43" i="27"/>
  <c r="AI44" i="27"/>
  <c r="AI45" i="27"/>
  <c r="AI46" i="27"/>
  <c r="AI47" i="27"/>
  <c r="AI48" i="27"/>
  <c r="AI49" i="27"/>
  <c r="AI50" i="27"/>
  <c r="AI51" i="27"/>
  <c r="AI52" i="27"/>
  <c r="AI53" i="27"/>
  <c r="AI54" i="27"/>
  <c r="AI55" i="27"/>
  <c r="AI56" i="27"/>
  <c r="AI57" i="27"/>
  <c r="AI58" i="27"/>
  <c r="AI59" i="27"/>
  <c r="AI60" i="27"/>
  <c r="AI61" i="27"/>
  <c r="AI62" i="27"/>
  <c r="AI63" i="27"/>
  <c r="AI64" i="27"/>
  <c r="AI65" i="27"/>
  <c r="AI66" i="27"/>
  <c r="AI67" i="27"/>
  <c r="AI68" i="27"/>
  <c r="AI69" i="27"/>
  <c r="AI70" i="27"/>
  <c r="AI71" i="27"/>
  <c r="AI72" i="27"/>
  <c r="AI73" i="27"/>
  <c r="AI74" i="27"/>
  <c r="AI75" i="27"/>
  <c r="AI76" i="27"/>
  <c r="AI77" i="27"/>
  <c r="AI78" i="27"/>
  <c r="AI79" i="27"/>
  <c r="AI80" i="27"/>
  <c r="AI81" i="27"/>
  <c r="AI82" i="27"/>
  <c r="AI83" i="27"/>
  <c r="AI84" i="27"/>
  <c r="AI85" i="27"/>
  <c r="AI86" i="27"/>
  <c r="AI87" i="27"/>
  <c r="AI88" i="27"/>
  <c r="AI89" i="27"/>
  <c r="AI90" i="27"/>
  <c r="AI91" i="27"/>
  <c r="AI92" i="27"/>
  <c r="AI93" i="27"/>
  <c r="AI94" i="27"/>
  <c r="AI95" i="27"/>
  <c r="AI96" i="27"/>
  <c r="AI97" i="27"/>
  <c r="AI98" i="27"/>
  <c r="AI99" i="27"/>
  <c r="AI100" i="27"/>
  <c r="AI101" i="27"/>
  <c r="AI102" i="27"/>
  <c r="AI103" i="27"/>
  <c r="AI104" i="27"/>
  <c r="AI105" i="27"/>
  <c r="AI106" i="27"/>
  <c r="AI107" i="27"/>
  <c r="AI108" i="27"/>
  <c r="AI109" i="27"/>
  <c r="AI110" i="27"/>
  <c r="AI111" i="27"/>
  <c r="AI112" i="27"/>
  <c r="AI113" i="27"/>
  <c r="AI114" i="27"/>
  <c r="AI115" i="27"/>
  <c r="AI116" i="27"/>
  <c r="AI117" i="27"/>
  <c r="AI118" i="27"/>
  <c r="AI119" i="27"/>
  <c r="AI120" i="27"/>
  <c r="AI121" i="27"/>
  <c r="AI122" i="27"/>
  <c r="AI123" i="27"/>
  <c r="AI124" i="27"/>
  <c r="AI125" i="27"/>
  <c r="AI126" i="27"/>
  <c r="AI127" i="27"/>
  <c r="AI128" i="27"/>
  <c r="AI129" i="27"/>
  <c r="AI130" i="27"/>
  <c r="AI131" i="27"/>
  <c r="AI132" i="27"/>
  <c r="AI133" i="27"/>
  <c r="AI134" i="27"/>
  <c r="AI135" i="27"/>
  <c r="AI136" i="27"/>
  <c r="AI137" i="27"/>
  <c r="AI138" i="27"/>
  <c r="AI139" i="27"/>
  <c r="AI140" i="27"/>
  <c r="AI141" i="27"/>
  <c r="AI142" i="27"/>
  <c r="AI143" i="27"/>
  <c r="A8" i="92"/>
  <c r="A9" i="92"/>
  <c r="A10" i="92"/>
  <c r="A11" i="92"/>
  <c r="A12" i="92"/>
  <c r="A13" i="92"/>
  <c r="A14" i="92"/>
  <c r="A15" i="92"/>
  <c r="A16" i="92"/>
  <c r="A17" i="92"/>
  <c r="A18" i="92"/>
  <c r="A19" i="92"/>
  <c r="A20" i="92"/>
  <c r="A21" i="92"/>
  <c r="A22" i="92"/>
  <c r="A23" i="92"/>
  <c r="A24" i="92"/>
  <c r="A25" i="92"/>
  <c r="A26" i="92"/>
  <c r="A27" i="92"/>
  <c r="A28" i="92"/>
  <c r="A29" i="92"/>
  <c r="A30" i="92"/>
  <c r="A31" i="92"/>
  <c r="A32" i="92"/>
  <c r="A33" i="92"/>
  <c r="A34" i="92"/>
  <c r="A35" i="92"/>
  <c r="A36" i="92"/>
  <c r="A37" i="92"/>
  <c r="A38" i="92"/>
  <c r="A39" i="92"/>
  <c r="A40" i="92"/>
  <c r="A41" i="92"/>
  <c r="A42" i="92"/>
  <c r="A43" i="92"/>
  <c r="A44" i="92"/>
  <c r="A45" i="92"/>
  <c r="A46" i="92"/>
  <c r="A47" i="92"/>
  <c r="A48" i="92"/>
  <c r="A49" i="92"/>
  <c r="A50" i="92"/>
  <c r="A51" i="92"/>
  <c r="A52" i="92"/>
  <c r="A53" i="92"/>
  <c r="A54" i="92"/>
  <c r="A55" i="92"/>
  <c r="A56" i="92"/>
  <c r="A57" i="92"/>
  <c r="A58" i="92"/>
  <c r="A59" i="92"/>
  <c r="A60" i="92"/>
  <c r="A61" i="92"/>
  <c r="A62" i="92"/>
  <c r="A63" i="92"/>
  <c r="A64" i="92"/>
  <c r="A65" i="92"/>
  <c r="A66" i="92"/>
  <c r="A67" i="92"/>
  <c r="A68" i="92"/>
  <c r="A69" i="92"/>
  <c r="A70" i="92"/>
  <c r="A71" i="92"/>
  <c r="A72" i="92"/>
  <c r="A73" i="92"/>
  <c r="A74" i="92"/>
  <c r="A75" i="92"/>
  <c r="A76" i="92"/>
  <c r="A77" i="92"/>
  <c r="A78" i="92"/>
  <c r="A79" i="92"/>
  <c r="A80" i="92"/>
  <c r="A81" i="92"/>
  <c r="A82" i="92"/>
  <c r="A83" i="92"/>
  <c r="A84" i="92"/>
  <c r="A85" i="92"/>
  <c r="A86" i="92"/>
  <c r="A87" i="92"/>
  <c r="A88" i="92"/>
  <c r="A89" i="92"/>
  <c r="A90" i="92"/>
  <c r="A91" i="92"/>
  <c r="A92" i="92"/>
  <c r="A93" i="92"/>
  <c r="A94" i="92"/>
  <c r="A95" i="92"/>
  <c r="A96" i="92"/>
  <c r="A97" i="92"/>
  <c r="A98" i="92"/>
  <c r="A99" i="92"/>
  <c r="A100" i="92"/>
  <c r="A101" i="92"/>
  <c r="A102" i="92"/>
  <c r="A103" i="92"/>
  <c r="A104" i="92"/>
  <c r="A105" i="92"/>
  <c r="A106" i="92"/>
  <c r="A107" i="92"/>
  <c r="A108" i="92"/>
  <c r="A109" i="92"/>
  <c r="A110" i="92"/>
  <c r="A111" i="92"/>
  <c r="A112" i="92"/>
  <c r="A113" i="92"/>
  <c r="A114" i="92"/>
  <c r="A115" i="92"/>
  <c r="A116" i="92"/>
  <c r="A117" i="92"/>
  <c r="A118" i="92"/>
  <c r="A119" i="92"/>
  <c r="A120" i="92"/>
  <c r="A121" i="92"/>
  <c r="A122" i="92"/>
  <c r="A123" i="92"/>
  <c r="A124" i="92"/>
  <c r="A125" i="92"/>
  <c r="A126" i="92"/>
  <c r="A127" i="92"/>
  <c r="A128" i="92"/>
  <c r="A129" i="92"/>
  <c r="A130" i="92"/>
  <c r="A131" i="92"/>
  <c r="A132" i="92"/>
  <c r="A133" i="92"/>
  <c r="A134" i="92"/>
  <c r="A135" i="92"/>
  <c r="A136" i="92"/>
  <c r="A137" i="92"/>
  <c r="A138" i="92"/>
  <c r="A139" i="92"/>
  <c r="A140" i="92"/>
  <c r="A141" i="92"/>
  <c r="A142" i="92"/>
  <c r="A143" i="92"/>
  <c r="AO108" i="27" l="1" a="1"/>
  <c r="AO108" i="27" s="1"/>
  <c r="AU108" i="27" s="1" a="1"/>
  <c r="AU108" i="27" s="1"/>
  <c r="AX108" i="27" s="1"/>
  <c r="AO84" i="27" a="1"/>
  <c r="AO84" i="27" s="1"/>
  <c r="AU84" i="27" s="1" a="1"/>
  <c r="AU84" i="27" s="1"/>
  <c r="AO36" i="27" a="1"/>
  <c r="AO36" i="27" s="1"/>
  <c r="AR36" i="27" s="1"/>
  <c r="AO12" i="27" a="1"/>
  <c r="AO12" i="27" s="1"/>
  <c r="AQ12" i="27" s="1"/>
  <c r="AO132" i="27" a="1"/>
  <c r="AO132" i="27" s="1"/>
  <c r="AU132" i="27" s="1" a="1"/>
  <c r="AU132" i="27" s="1"/>
  <c r="AV132" i="27" s="1" a="1"/>
  <c r="AV132" i="27" s="1"/>
  <c r="AJ131" i="27" a="1"/>
  <c r="AJ131" i="27" s="1"/>
  <c r="AN131" i="27" s="1" a="1"/>
  <c r="AN131" i="27" s="1"/>
  <c r="AJ83" i="27" a="1"/>
  <c r="AJ83" i="27" s="1"/>
  <c r="AN83" i="27" s="1" a="1"/>
  <c r="AN83" i="27" s="1"/>
  <c r="AJ59" i="27" a="1"/>
  <c r="AJ59" i="27" s="1"/>
  <c r="AN59" i="27" s="1" a="1"/>
  <c r="AN59" i="27" s="1"/>
  <c r="AJ35" i="27" a="1"/>
  <c r="AJ35" i="27" s="1"/>
  <c r="AN35" i="27" s="1" a="1"/>
  <c r="AN35" i="27" s="1"/>
  <c r="AO11" i="27" a="1"/>
  <c r="AO11" i="27" s="1"/>
  <c r="AU11" i="27" s="1" a="1"/>
  <c r="AU11" i="27" s="1"/>
  <c r="AO129" i="27" a="1"/>
  <c r="AO129" i="27" s="1"/>
  <c r="AP129" i="27" s="1" a="1"/>
  <c r="AP129" i="27" s="1"/>
  <c r="AO105" i="27" a="1"/>
  <c r="AO105" i="27" s="1"/>
  <c r="AS105" i="27" s="1"/>
  <c r="AT105" i="27" s="1" a="1"/>
  <c r="AT105" i="27" s="1"/>
  <c r="AO81" i="27" a="1"/>
  <c r="AO81" i="27" s="1"/>
  <c r="AP81" i="27" s="1" a="1"/>
  <c r="AP81" i="27" s="1"/>
  <c r="AO57" i="27" a="1"/>
  <c r="AO57" i="27" s="1"/>
  <c r="AS57" i="27" s="1"/>
  <c r="AT57" i="27" s="1" a="1"/>
  <c r="AT57" i="27" s="1"/>
  <c r="AO33" i="27" a="1"/>
  <c r="AO33" i="27" s="1"/>
  <c r="AR33" i="27" s="1"/>
  <c r="AO9" i="27" a="1"/>
  <c r="AO9" i="27" s="1"/>
  <c r="AQ9" i="27" s="1"/>
  <c r="AO143" i="27" a="1"/>
  <c r="AO143" i="27" s="1"/>
  <c r="AR143" i="27" s="1"/>
  <c r="AK56" i="27"/>
  <c r="AM56" i="27" s="1"/>
  <c r="AK32" i="27"/>
  <c r="AM32" i="27" s="1"/>
  <c r="AJ8" i="27" a="1"/>
  <c r="AJ8" i="27" s="1"/>
  <c r="AN8" i="27" s="1" a="1"/>
  <c r="AN8" i="27" s="1"/>
  <c r="AJ133" i="27" a="1"/>
  <c r="AJ133" i="27" s="1"/>
  <c r="AN133" i="27" s="1" a="1"/>
  <c r="AN133" i="27" s="1"/>
  <c r="AJ55" i="27" a="1"/>
  <c r="AJ55" i="27" s="1"/>
  <c r="AN55" i="27" s="1" a="1"/>
  <c r="AN55" i="27" s="1"/>
  <c r="AJ31" i="27" a="1"/>
  <c r="AJ31" i="27" s="1"/>
  <c r="AN31" i="27" s="1" a="1"/>
  <c r="AN31" i="27" s="1"/>
  <c r="AK95" i="27"/>
  <c r="AM95" i="27" s="1"/>
  <c r="AJ126" i="27" a="1"/>
  <c r="AJ126" i="27" s="1"/>
  <c r="AN126" i="27" s="1" a="1"/>
  <c r="AN126" i="27" s="1"/>
  <c r="AJ102" i="27" a="1"/>
  <c r="AJ102" i="27" s="1"/>
  <c r="AN102" i="27" s="1" a="1"/>
  <c r="AN102" i="27" s="1"/>
  <c r="AJ78" i="27" a="1"/>
  <c r="AJ78" i="27" s="1"/>
  <c r="AN78" i="27" s="1" a="1"/>
  <c r="AN78" i="27" s="1"/>
  <c r="AK54" i="27"/>
  <c r="AM54" i="27" s="1"/>
  <c r="AO71" i="27" a="1"/>
  <c r="AO71" i="27" s="1"/>
  <c r="AS71" i="27" s="1"/>
  <c r="AT71" i="27" s="1" a="1"/>
  <c r="AT71" i="27" s="1"/>
  <c r="AK37" i="27"/>
  <c r="AM37" i="27" s="1"/>
  <c r="AK101" i="27"/>
  <c r="AM101" i="27" s="1"/>
  <c r="AO77" i="27" a="1"/>
  <c r="AO77" i="27" s="1"/>
  <c r="AQ77" i="27" s="1"/>
  <c r="AK53" i="27"/>
  <c r="AM53" i="27" s="1"/>
  <c r="AK29" i="27"/>
  <c r="AM29" i="27" s="1"/>
  <c r="AJ119" i="27" a="1"/>
  <c r="AJ119" i="27" s="1"/>
  <c r="AN119" i="27" s="1" a="1"/>
  <c r="AN119" i="27" s="1"/>
  <c r="AK124" i="27"/>
  <c r="AM124" i="27" s="1"/>
  <c r="AJ100" i="27" a="1"/>
  <c r="AJ100" i="27" s="1"/>
  <c r="AN100" i="27" s="1" a="1"/>
  <c r="AN100" i="27" s="1"/>
  <c r="AK52" i="27"/>
  <c r="AM52" i="27" s="1"/>
  <c r="AO99" i="27" a="1"/>
  <c r="AO99" i="27" s="1"/>
  <c r="AU99" i="27" s="1" a="1"/>
  <c r="AU99" i="27" s="1"/>
  <c r="AW99" i="27" s="1"/>
  <c r="AK75" i="27"/>
  <c r="AM75" i="27" s="1"/>
  <c r="AO51" i="27" a="1"/>
  <c r="AO51" i="27" s="1"/>
  <c r="AQ51" i="27" s="1"/>
  <c r="AK27" i="27"/>
  <c r="AM27" i="27" s="1"/>
  <c r="AO109" i="27" a="1"/>
  <c r="AO109" i="27" s="1"/>
  <c r="AR109" i="27" s="1"/>
  <c r="AK13" i="27"/>
  <c r="AM13" i="27" s="1"/>
  <c r="AK26" i="27"/>
  <c r="AM26" i="27" s="1"/>
  <c r="AJ121" i="27" a="1"/>
  <c r="AJ121" i="27" s="1"/>
  <c r="AN121" i="27" s="1" a="1"/>
  <c r="AN121" i="27" s="1"/>
  <c r="AK73" i="27"/>
  <c r="AM73" i="27" s="1"/>
  <c r="AK49" i="27"/>
  <c r="AM49" i="27" s="1"/>
  <c r="AO25" i="27" a="1"/>
  <c r="AO25" i="27" s="1"/>
  <c r="AP25" i="27" s="1" a="1"/>
  <c r="AP25" i="27" s="1"/>
  <c r="AK96" i="27"/>
  <c r="AM96" i="27" s="1"/>
  <c r="AO92" i="27" a="1"/>
  <c r="AO92" i="27" s="1"/>
  <c r="AR92" i="27" s="1"/>
  <c r="AK47" i="27"/>
  <c r="AM47" i="27" s="1"/>
  <c r="AO139" i="27" a="1"/>
  <c r="AO139" i="27" s="1"/>
  <c r="AS139" i="27" s="1"/>
  <c r="AT139" i="27" s="1" a="1"/>
  <c r="AT139" i="27" s="1"/>
  <c r="AJ115" i="27" a="1"/>
  <c r="AJ115" i="27" s="1"/>
  <c r="AN115" i="27" s="1" a="1"/>
  <c r="AN115" i="27" s="1"/>
  <c r="AO67" i="27" a="1"/>
  <c r="AO67" i="27" s="1"/>
  <c r="AQ67" i="27" s="1"/>
  <c r="AK43" i="27"/>
  <c r="AM43" i="27" s="1"/>
  <c r="AJ22" i="27" a="1"/>
  <c r="AJ22" i="27" s="1"/>
  <c r="AN22" i="27" s="1" a="1"/>
  <c r="AN22" i="27" s="1"/>
  <c r="AK21" i="27"/>
  <c r="AM21" i="27" s="1"/>
  <c r="AK44" i="27"/>
  <c r="AM44" i="27" s="1"/>
  <c r="AJ114" i="27" a="1"/>
  <c r="AJ114" i="27" s="1"/>
  <c r="AN114" i="27" s="1" a="1"/>
  <c r="AN114" i="27" s="1"/>
  <c r="AJ90" i="27" a="1"/>
  <c r="AJ90" i="27" s="1"/>
  <c r="AN90" i="27" s="1" a="1"/>
  <c r="AN90" i="27" s="1"/>
  <c r="AK42" i="27"/>
  <c r="AM42" i="27" s="1"/>
  <c r="AK23" i="27"/>
  <c r="AM23" i="27" s="1"/>
  <c r="AK46" i="27"/>
  <c r="AM46" i="27" s="1"/>
  <c r="AO65" i="27" a="1"/>
  <c r="AO65" i="27" s="1"/>
  <c r="AP65" i="27" s="1" a="1"/>
  <c r="AP65" i="27" s="1"/>
  <c r="AK94" i="27"/>
  <c r="AM94" i="27" s="1"/>
  <c r="AK93" i="27"/>
  <c r="AM93" i="27" s="1"/>
  <c r="AJ136" i="27" a="1"/>
  <c r="AJ136" i="27" s="1"/>
  <c r="AN136" i="27" s="1" a="1"/>
  <c r="AN136" i="27" s="1"/>
  <c r="AK112" i="27"/>
  <c r="AM112" i="27" s="1"/>
  <c r="AJ88" i="27" a="1"/>
  <c r="AJ88" i="27" s="1"/>
  <c r="AN88" i="27" s="1" a="1"/>
  <c r="AN88" i="27" s="1"/>
  <c r="AJ64" i="27" a="1"/>
  <c r="AJ64" i="27" s="1"/>
  <c r="AN64" i="27" s="1" a="1"/>
  <c r="AN64" i="27" s="1"/>
  <c r="AJ40" i="27" a="1"/>
  <c r="AJ40" i="27" s="1"/>
  <c r="AN40" i="27" s="1" a="1"/>
  <c r="AN40" i="27" s="1"/>
  <c r="AO118" i="27" a="1"/>
  <c r="AO118" i="27" s="1"/>
  <c r="AR118" i="27" s="1"/>
  <c r="AK141" i="27"/>
  <c r="AM141" i="27" s="1"/>
  <c r="AK140" i="27"/>
  <c r="AM140" i="27" s="1"/>
  <c r="AK39" i="27"/>
  <c r="AM39" i="27" s="1"/>
  <c r="AO113" i="27" a="1"/>
  <c r="AO113" i="27" s="1"/>
  <c r="AP113" i="27" s="1" a="1"/>
  <c r="AP113" i="27" s="1"/>
  <c r="AJ111" i="27" a="1"/>
  <c r="AJ111" i="27" s="1"/>
  <c r="AN111" i="27" s="1" a="1"/>
  <c r="AN111" i="27" s="1"/>
  <c r="AO134" i="27" a="1"/>
  <c r="AO134" i="27" s="1"/>
  <c r="AU134" i="27" s="1" a="1"/>
  <c r="AU134" i="27" s="1"/>
  <c r="AX134" i="27" s="1"/>
  <c r="AK14" i="27"/>
  <c r="AM14" i="27" s="1"/>
  <c r="AK12" i="93" a="1"/>
  <c r="AK12" i="93" s="1"/>
  <c r="AL12" i="93" s="1" a="1"/>
  <c r="AL12" i="93" s="1"/>
  <c r="AK60" i="93" a="1"/>
  <c r="AK60" i="93" s="1"/>
  <c r="AL60" i="93" s="1" a="1"/>
  <c r="AL60" i="93" s="1"/>
  <c r="AK36" i="93" a="1"/>
  <c r="AK36" i="93" s="1"/>
  <c r="AL36" i="93" s="1" a="1"/>
  <c r="AL36" i="93" s="1"/>
  <c r="AJ10" i="93" a="1"/>
  <c r="AJ10" i="93" s="1"/>
  <c r="AK39" i="93" a="1"/>
  <c r="AK39" i="93" s="1"/>
  <c r="AL39" i="93" s="1" a="1"/>
  <c r="AL39" i="93" s="1"/>
  <c r="AJ132" i="93" a="1"/>
  <c r="AJ132" i="93" s="1"/>
  <c r="AK17" i="93" a="1"/>
  <c r="AK17" i="93" s="1"/>
  <c r="AL17" i="93" s="1" a="1"/>
  <c r="AL17" i="93" s="1"/>
  <c r="AS144" i="27"/>
  <c r="AT144" i="27" s="1" a="1"/>
  <c r="AT144" i="27" s="1"/>
  <c r="BC144" i="27" a="1"/>
  <c r="BC144" i="27" s="1"/>
  <c r="BD144" i="27" a="1"/>
  <c r="BD144" i="27" s="1"/>
  <c r="AQ144" i="27"/>
  <c r="AU144" i="27" a="1"/>
  <c r="AU144" i="27" s="1"/>
  <c r="AP144" i="27" a="1"/>
  <c r="AP144" i="27" s="1"/>
  <c r="AK32" i="93" a="1"/>
  <c r="AK32" i="93" s="1"/>
  <c r="AL32" i="93" s="1" a="1"/>
  <c r="AL32" i="93" s="1"/>
  <c r="AJ34" i="93" a="1"/>
  <c r="AJ34" i="93" s="1"/>
  <c r="AK62" i="93" a="1"/>
  <c r="AK62" i="93" s="1"/>
  <c r="AL62" i="93" s="1" a="1"/>
  <c r="AL62" i="93" s="1"/>
  <c r="AJ63" i="93" a="1"/>
  <c r="AJ63" i="93" s="1"/>
  <c r="AN136" i="93"/>
  <c r="AK135" i="93" a="1"/>
  <c r="AK135" i="93" s="1"/>
  <c r="AL135" i="93" s="1" a="1"/>
  <c r="AL135" i="93" s="1"/>
  <c r="AN112" i="93"/>
  <c r="AK111" i="93" a="1"/>
  <c r="AK111" i="93" s="1"/>
  <c r="AL111" i="93" s="1" a="1"/>
  <c r="AL111" i="93" s="1"/>
  <c r="AJ15" i="93" a="1"/>
  <c r="AJ15" i="93" s="1"/>
  <c r="AK108" i="93" a="1"/>
  <c r="AK108" i="93" s="1"/>
  <c r="AL108" i="93" s="1" a="1"/>
  <c r="AL108" i="93" s="1"/>
  <c r="AN97" i="93"/>
  <c r="AK84" i="93" a="1"/>
  <c r="AK84" i="93" s="1"/>
  <c r="AL84" i="93" s="1" a="1"/>
  <c r="AL84" i="93" s="1"/>
  <c r="AJ8" i="93" a="1"/>
  <c r="AJ8" i="93" s="1"/>
  <c r="AN96" i="93"/>
  <c r="AK87" i="93" a="1"/>
  <c r="AK87" i="93" s="1"/>
  <c r="AL87" i="93" s="1" a="1"/>
  <c r="AL87" i="93" s="1"/>
  <c r="AK80" i="93" a="1"/>
  <c r="AK80" i="93" s="1"/>
  <c r="AL80" i="93" s="1" a="1"/>
  <c r="AL80" i="93" s="1"/>
  <c r="AJ112" i="93" a="1"/>
  <c r="AJ112" i="93" s="1"/>
  <c r="AK16" i="93" a="1"/>
  <c r="AK16" i="93" s="1"/>
  <c r="AL16" i="93" s="1" a="1"/>
  <c r="AL16" i="93" s="1"/>
  <c r="AN25" i="93"/>
  <c r="AN24" i="93"/>
  <c r="AN114" i="93"/>
  <c r="AN113" i="93"/>
  <c r="AK10" i="27"/>
  <c r="AM10" i="27" s="1"/>
  <c r="AJ104" i="93" a="1"/>
  <c r="AJ104" i="93" s="1"/>
  <c r="AN40" i="93"/>
  <c r="AN89" i="93"/>
  <c r="AK130" i="93" a="1"/>
  <c r="AK130" i="93" s="1"/>
  <c r="AL130" i="93" s="1" a="1"/>
  <c r="AL130" i="93" s="1"/>
  <c r="AK25" i="93" a="1"/>
  <c r="AK25" i="93" s="1"/>
  <c r="AL25" i="93" s="1" a="1"/>
  <c r="AL25" i="93" s="1"/>
  <c r="AO133" i="27" a="1"/>
  <c r="AO133" i="27" s="1"/>
  <c r="AP133" i="27" s="1" a="1"/>
  <c r="AP133" i="27" s="1"/>
  <c r="AJ14" i="93" a="1"/>
  <c r="AJ14" i="93" s="1"/>
  <c r="AU97" i="93"/>
  <c r="AS97" i="113" s="1"/>
  <c r="AU105" i="93"/>
  <c r="AS105" i="113" s="1"/>
  <c r="AK133" i="93" a="1"/>
  <c r="AK133" i="93" s="1"/>
  <c r="AL133" i="93" s="1" a="1"/>
  <c r="AL133" i="93" s="1"/>
  <c r="AK119" i="93" a="1"/>
  <c r="AK119" i="93" s="1"/>
  <c r="AL119" i="93" s="1" a="1"/>
  <c r="AL119" i="93" s="1"/>
  <c r="AN48" i="93"/>
  <c r="AN29" i="93"/>
  <c r="AN137" i="93"/>
  <c r="AN117" i="93"/>
  <c r="AN65" i="93"/>
  <c r="AN57" i="93"/>
  <c r="AN69" i="93"/>
  <c r="AU85" i="93"/>
  <c r="AS85" i="113" s="1"/>
  <c r="AN85" i="93"/>
  <c r="AJ96" i="93" a="1"/>
  <c r="AJ96" i="93" s="1"/>
  <c r="AN82" i="93"/>
  <c r="AK81" i="93" a="1"/>
  <c r="AK81" i="93" s="1"/>
  <c r="AL81" i="93" s="1" a="1"/>
  <c r="AL81" i="93" s="1"/>
  <c r="AK105" i="93" a="1"/>
  <c r="AK105" i="93" s="1"/>
  <c r="AL105" i="93" s="1" a="1"/>
  <c r="AL105" i="93" s="1"/>
  <c r="AN128" i="93"/>
  <c r="AJ86" i="93" a="1"/>
  <c r="AJ86" i="93" s="1"/>
  <c r="AM128" i="93"/>
  <c r="AK64" i="93" a="1"/>
  <c r="AK64" i="93" s="1"/>
  <c r="AL64" i="93" s="1" a="1"/>
  <c r="AL64" i="93" s="1"/>
  <c r="AK49" i="93" a="1"/>
  <c r="AK49" i="93" s="1"/>
  <c r="AL49" i="93" s="1" a="1"/>
  <c r="AL49" i="93" s="1"/>
  <c r="AK40" i="93" a="1"/>
  <c r="AK40" i="93" s="1"/>
  <c r="AL40" i="93" s="1" a="1"/>
  <c r="AL40" i="93" s="1"/>
  <c r="AJ56" i="93" a="1"/>
  <c r="AJ56" i="93" s="1"/>
  <c r="AN63" i="93"/>
  <c r="AO102" i="27" a="1"/>
  <c r="AO102" i="27" s="1"/>
  <c r="AR102" i="27" s="1"/>
  <c r="AN16" i="93"/>
  <c r="AJ57" i="93" a="1"/>
  <c r="AJ57" i="93" s="1"/>
  <c r="AN95" i="93"/>
  <c r="AK26" i="93" a="1"/>
  <c r="AK26" i="93" s="1"/>
  <c r="AL26" i="93" s="1" a="1"/>
  <c r="AL26" i="93" s="1"/>
  <c r="AJ33" i="93" a="1"/>
  <c r="AJ33" i="93" s="1"/>
  <c r="AN88" i="93"/>
  <c r="AK121" i="93" a="1"/>
  <c r="AK121" i="93" s="1"/>
  <c r="AL121" i="93" s="1" a="1"/>
  <c r="AL121" i="93" s="1"/>
  <c r="AU25" i="93"/>
  <c r="AS25" i="113" s="1"/>
  <c r="AN49" i="93"/>
  <c r="AN41" i="93"/>
  <c r="AU60" i="93"/>
  <c r="AS60" i="113" s="1"/>
  <c r="AN60" i="93"/>
  <c r="AU102" i="93"/>
  <c r="AS102" i="113" s="1"/>
  <c r="AN102" i="93"/>
  <c r="AU117" i="93"/>
  <c r="AS117" i="113" s="1"/>
  <c r="AN111" i="93"/>
  <c r="AJ139" i="93" a="1"/>
  <c r="AJ139" i="93" s="1"/>
  <c r="AU113" i="93"/>
  <c r="AS113" i="113" s="1"/>
  <c r="AN121" i="93"/>
  <c r="AJ137" i="93" a="1"/>
  <c r="AJ137" i="93" s="1"/>
  <c r="AN130" i="93"/>
  <c r="AJ136" i="93" a="1"/>
  <c r="AJ136" i="93" s="1"/>
  <c r="AK73" i="93" a="1"/>
  <c r="AK73" i="93" s="1"/>
  <c r="AL73" i="93" s="1" a="1"/>
  <c r="AL73" i="93" s="1"/>
  <c r="AJ20" i="93" a="1"/>
  <c r="AJ20" i="93" s="1"/>
  <c r="AN87" i="93"/>
  <c r="AN68" i="93"/>
  <c r="AU96" i="93"/>
  <c r="AS96" i="113" s="1"/>
  <c r="AJ110" i="93" a="1"/>
  <c r="AJ110" i="93" s="1"/>
  <c r="AN105" i="93"/>
  <c r="AN84" i="93"/>
  <c r="AN77" i="93"/>
  <c r="AN123" i="93"/>
  <c r="AK120" i="93" a="1"/>
  <c r="AK120" i="93" s="1"/>
  <c r="AL120" i="93" s="1" a="1"/>
  <c r="AL120" i="93" s="1"/>
  <c r="AJ70" i="93" a="1"/>
  <c r="AJ70" i="93" s="1"/>
  <c r="AN13" i="93"/>
  <c r="AK115" i="93" a="1"/>
  <c r="AK115" i="93" s="1"/>
  <c r="AL115" i="93" s="1" a="1"/>
  <c r="AL115" i="93" s="1"/>
  <c r="AU57" i="93"/>
  <c r="AS57" i="113" s="1"/>
  <c r="AJ46" i="93" a="1"/>
  <c r="AJ46" i="93" s="1"/>
  <c r="AU48" i="93"/>
  <c r="AS48" i="113" s="1"/>
  <c r="AN53" i="93"/>
  <c r="AK97" i="93" a="1"/>
  <c r="AK97" i="93" s="1"/>
  <c r="AL97" i="93" s="1" a="1"/>
  <c r="AL97" i="93" s="1"/>
  <c r="AJ38" i="93" a="1"/>
  <c r="AJ38" i="93" s="1"/>
  <c r="AN52" i="93"/>
  <c r="AN67" i="93"/>
  <c r="AU67" i="93"/>
  <c r="AS67" i="113" s="1"/>
  <c r="AN26" i="93"/>
  <c r="AU26" i="93"/>
  <c r="AS26" i="113" s="1"/>
  <c r="AU18" i="93"/>
  <c r="AS18" i="113" s="1"/>
  <c r="AN18" i="93"/>
  <c r="AU30" i="93"/>
  <c r="AS30" i="113" s="1"/>
  <c r="AN30" i="93"/>
  <c r="AU20" i="93"/>
  <c r="AS20" i="113" s="1"/>
  <c r="AN20" i="93"/>
  <c r="AN139" i="93"/>
  <c r="AU139" i="93"/>
  <c r="AS139" i="113" s="1"/>
  <c r="AU98" i="93"/>
  <c r="AS98" i="113" s="1"/>
  <c r="AN98" i="93"/>
  <c r="AU56" i="93"/>
  <c r="AS56" i="113" s="1"/>
  <c r="AN56" i="93"/>
  <c r="AU34" i="93"/>
  <c r="AS34" i="113" s="1"/>
  <c r="AN34" i="93"/>
  <c r="AN10" i="93"/>
  <c r="AU10" i="93"/>
  <c r="AS10" i="113" s="1"/>
  <c r="AN135" i="93"/>
  <c r="AN39" i="93"/>
  <c r="AN15" i="93"/>
  <c r="AU41" i="93"/>
  <c r="AS41" i="113" s="1"/>
  <c r="AN129" i="93"/>
  <c r="AN51" i="93"/>
  <c r="AK143" i="93" a="1"/>
  <c r="AK143" i="93" s="1"/>
  <c r="AL143" i="93" s="1" a="1"/>
  <c r="AL143" i="93" s="1"/>
  <c r="AK92" i="93" a="1"/>
  <c r="AK92" i="93" s="1"/>
  <c r="AL92" i="93" s="1" a="1"/>
  <c r="AL92" i="93" s="1"/>
  <c r="AJ122" i="93" a="1"/>
  <c r="AJ122" i="93" s="1"/>
  <c r="AJ44" i="93" a="1"/>
  <c r="AJ44" i="93" s="1"/>
  <c r="AN86" i="93"/>
  <c r="AJ123" i="93" a="1"/>
  <c r="AJ123" i="93" s="1"/>
  <c r="AN124" i="93"/>
  <c r="AK134" i="93" a="1"/>
  <c r="AK134" i="93" s="1"/>
  <c r="AL134" i="93" s="1" a="1"/>
  <c r="AL134" i="93" s="1"/>
  <c r="AN116" i="93"/>
  <c r="AU35" i="93"/>
  <c r="AS35" i="113" s="1"/>
  <c r="AU129" i="93"/>
  <c r="AS129" i="113" s="1"/>
  <c r="AK129" i="93" a="1"/>
  <c r="AK129" i="93" s="1"/>
  <c r="AL129" i="93" s="1" a="1"/>
  <c r="AL129" i="93" s="1"/>
  <c r="AN76" i="93"/>
  <c r="AK77" i="93" a="1"/>
  <c r="AK77" i="93" s="1"/>
  <c r="AL77" i="93" s="1" a="1"/>
  <c r="AL77" i="93" s="1"/>
  <c r="AU70" i="93"/>
  <c r="AS70" i="113" s="1"/>
  <c r="AN101" i="93"/>
  <c r="AN17" i="93"/>
  <c r="AK75" i="93" a="1"/>
  <c r="AK75" i="93" s="1"/>
  <c r="AL75" i="93" s="1" a="1"/>
  <c r="AL75" i="93" s="1"/>
  <c r="AJ30" i="93" a="1"/>
  <c r="AJ30" i="93" s="1"/>
  <c r="AK74" i="93" a="1"/>
  <c r="AK74" i="93" s="1"/>
  <c r="AL74" i="93" s="1" a="1"/>
  <c r="AL74" i="93" s="1"/>
  <c r="AJ98" i="93" a="1"/>
  <c r="AJ98" i="93" s="1"/>
  <c r="AN107" i="93"/>
  <c r="AN106" i="93"/>
  <c r="AJ26" i="27" a="1"/>
  <c r="AJ26" i="27" s="1"/>
  <c r="AN26" i="27" s="1" a="1"/>
  <c r="AN26" i="27" s="1"/>
  <c r="AJ138" i="93" a="1"/>
  <c r="AJ138" i="93" s="1"/>
  <c r="AN72" i="93"/>
  <c r="AN45" i="93"/>
  <c r="AK77" i="27"/>
  <c r="AM77" i="27" s="1"/>
  <c r="AO61" i="27" a="1"/>
  <c r="AO61" i="27" s="1"/>
  <c r="AU61" i="27" s="1" a="1"/>
  <c r="AU61" i="27" s="1"/>
  <c r="AV61" i="27" s="1" a="1"/>
  <c r="AV61" i="27" s="1"/>
  <c r="AN11" i="93"/>
  <c r="AN70" i="93"/>
  <c r="AK52" i="93" a="1"/>
  <c r="AK52" i="93" s="1"/>
  <c r="AL52" i="93" s="1" a="1"/>
  <c r="AL52" i="93" s="1"/>
  <c r="AO29" i="27" a="1"/>
  <c r="AO29" i="27" s="1"/>
  <c r="AU29" i="27" s="1" a="1"/>
  <c r="AU29" i="27" s="1"/>
  <c r="AN141" i="93"/>
  <c r="AK103" i="93" a="1"/>
  <c r="AK103" i="93" s="1"/>
  <c r="AL103" i="93" s="1" a="1"/>
  <c r="AL103" i="93" s="1"/>
  <c r="AK51" i="93" a="1"/>
  <c r="AK51" i="93" s="1"/>
  <c r="AL51" i="93" s="1" a="1"/>
  <c r="AL51" i="93" s="1"/>
  <c r="AN120" i="93"/>
  <c r="AO101" i="27" a="1"/>
  <c r="AO101" i="27" s="1"/>
  <c r="AP101" i="27" s="1" a="1"/>
  <c r="AP101" i="27" s="1"/>
  <c r="AK99" i="93" a="1"/>
  <c r="AK99" i="93" s="1"/>
  <c r="AL99" i="93" s="1" a="1"/>
  <c r="AL99" i="93" s="1"/>
  <c r="AK48" i="93" a="1"/>
  <c r="AK48" i="93" s="1"/>
  <c r="AL48" i="93" s="1" a="1"/>
  <c r="AL48" i="93" s="1"/>
  <c r="AJ125" i="93" a="1"/>
  <c r="AJ125" i="93" s="1"/>
  <c r="AO54" i="27" a="1"/>
  <c r="AO54" i="27" s="1"/>
  <c r="AS54" i="27" s="1"/>
  <c r="AT54" i="27" s="1" a="1"/>
  <c r="AT54" i="27" s="1"/>
  <c r="AO131" i="27" a="1"/>
  <c r="AO131" i="27" s="1"/>
  <c r="AR131" i="27" s="1"/>
  <c r="AJ103" i="27" a="1"/>
  <c r="AJ103" i="27" s="1"/>
  <c r="AN103" i="27" s="1" a="1"/>
  <c r="AN103" i="27" s="1"/>
  <c r="AO75" i="27" a="1"/>
  <c r="AO75" i="27" s="1"/>
  <c r="AU75" i="27" s="1" a="1"/>
  <c r="AU75" i="27" s="1"/>
  <c r="AV75" i="27" s="1" a="1"/>
  <c r="AV75" i="27" s="1"/>
  <c r="AO74" i="27" a="1"/>
  <c r="AO74" i="27" s="1"/>
  <c r="AP74" i="27" s="1" a="1"/>
  <c r="AP74" i="27" s="1"/>
  <c r="AK103" i="27"/>
  <c r="AM103" i="27" s="1"/>
  <c r="AK71" i="27"/>
  <c r="AM71" i="27" s="1"/>
  <c r="AK72" i="27"/>
  <c r="AM72" i="27" s="1"/>
  <c r="AJ139" i="27" a="1"/>
  <c r="AJ139" i="27" s="1"/>
  <c r="AN139" i="27" s="1" a="1"/>
  <c r="AN139" i="27" s="1"/>
  <c r="AJ120" i="27" a="1"/>
  <c r="AJ120" i="27" s="1"/>
  <c r="AN120" i="27" s="1" a="1"/>
  <c r="AN120" i="27" s="1"/>
  <c r="AJ98" i="27" a="1"/>
  <c r="AJ98" i="27" s="1"/>
  <c r="AN98" i="27" s="1" a="1"/>
  <c r="AN98" i="27" s="1"/>
  <c r="AU138" i="93"/>
  <c r="AS138" i="113" s="1"/>
  <c r="AN138" i="93"/>
  <c r="AN44" i="93"/>
  <c r="AU44" i="93"/>
  <c r="AS44" i="113" s="1"/>
  <c r="AN43" i="93"/>
  <c r="AU43" i="93"/>
  <c r="AS43" i="113" s="1"/>
  <c r="AN80" i="93"/>
  <c r="AU80" i="93"/>
  <c r="AS80" i="113" s="1"/>
  <c r="AN42" i="93"/>
  <c r="AU42" i="93"/>
  <c r="AS42" i="113" s="1"/>
  <c r="AU115" i="93"/>
  <c r="AS115" i="113" s="1"/>
  <c r="AN115" i="93"/>
  <c r="AN61" i="93"/>
  <c r="AU61" i="93"/>
  <c r="AS61" i="113" s="1"/>
  <c r="AN134" i="93"/>
  <c r="AU134" i="93"/>
  <c r="AS134" i="113" s="1"/>
  <c r="AU22" i="93"/>
  <c r="AS22" i="113" s="1"/>
  <c r="AN22" i="93"/>
  <c r="AN58" i="93"/>
  <c r="AU58" i="93"/>
  <c r="AS58" i="113" s="1"/>
  <c r="AN132" i="93"/>
  <c r="AU132" i="93"/>
  <c r="AS132" i="113" s="1"/>
  <c r="AU94" i="93"/>
  <c r="AS94" i="113" s="1"/>
  <c r="AN94" i="93"/>
  <c r="AN37" i="93"/>
  <c r="AU37" i="93"/>
  <c r="AS37" i="113" s="1"/>
  <c r="AU110" i="93"/>
  <c r="AS110" i="113" s="1"/>
  <c r="AN110" i="93"/>
  <c r="AN74" i="93"/>
  <c r="AN19" i="93"/>
  <c r="AU19" i="93"/>
  <c r="AS19" i="113" s="1"/>
  <c r="AN73" i="93"/>
  <c r="AU73" i="93"/>
  <c r="AS73" i="113" s="1"/>
  <c r="AU91" i="93"/>
  <c r="AS91" i="113" s="1"/>
  <c r="AN91" i="93"/>
  <c r="AN54" i="93"/>
  <c r="AU54" i="93"/>
  <c r="AS54" i="113" s="1"/>
  <c r="AN127" i="93"/>
  <c r="AU127" i="93"/>
  <c r="AS127" i="113" s="1"/>
  <c r="AU126" i="93"/>
  <c r="AS126" i="113" s="1"/>
  <c r="AN126" i="93"/>
  <c r="AU33" i="93"/>
  <c r="AS33" i="113" s="1"/>
  <c r="AN14" i="93"/>
  <c r="AU14" i="93"/>
  <c r="AS14" i="113" s="1"/>
  <c r="AU50" i="93"/>
  <c r="AS50" i="113" s="1"/>
  <c r="AN50" i="93"/>
  <c r="AN12" i="93"/>
  <c r="AU12" i="93"/>
  <c r="AS12" i="113" s="1"/>
  <c r="AU104" i="93"/>
  <c r="AS104" i="113" s="1"/>
  <c r="AN104" i="93"/>
  <c r="AU31" i="93"/>
  <c r="AS31" i="113" s="1"/>
  <c r="AU142" i="93"/>
  <c r="AS142" i="113" s="1"/>
  <c r="AN142" i="93"/>
  <c r="AU122" i="93"/>
  <c r="AS122" i="113" s="1"/>
  <c r="AN122" i="93"/>
  <c r="AU140" i="93"/>
  <c r="AS140" i="113" s="1"/>
  <c r="AN140" i="93"/>
  <c r="AN66" i="93"/>
  <c r="AU66" i="93"/>
  <c r="AS66" i="113" s="1"/>
  <c r="AN9" i="93"/>
  <c r="AU119" i="93"/>
  <c r="AS119" i="113" s="1"/>
  <c r="AN8" i="93"/>
  <c r="AJ109" i="93" a="1"/>
  <c r="AJ109" i="93" s="1"/>
  <c r="AN81" i="93"/>
  <c r="AJ83" i="93" a="1"/>
  <c r="AJ83" i="93" s="1"/>
  <c r="AJ53" i="93" a="1"/>
  <c r="AJ53" i="93" s="1"/>
  <c r="AJ28" i="93" a="1"/>
  <c r="AJ28" i="93" s="1"/>
  <c r="AJ118" i="27" a="1"/>
  <c r="AJ118" i="27" s="1"/>
  <c r="AN118" i="27" s="1" a="1"/>
  <c r="AN118" i="27" s="1"/>
  <c r="AN125" i="93"/>
  <c r="AK131" i="93" a="1"/>
  <c r="AK131" i="93" s="1"/>
  <c r="AL131" i="93" s="1" a="1"/>
  <c r="AL131" i="93" s="1"/>
  <c r="AJ82" i="93" a="1"/>
  <c r="AJ82" i="93" s="1"/>
  <c r="AU130" i="93"/>
  <c r="AS130" i="113" s="1"/>
  <c r="AN47" i="93"/>
  <c r="AK107" i="93" a="1"/>
  <c r="AK107" i="93" s="1"/>
  <c r="AL107" i="93" s="1" a="1"/>
  <c r="AL107" i="93" s="1"/>
  <c r="AJ76" i="93" a="1"/>
  <c r="AJ76" i="93" s="1"/>
  <c r="AJ50" i="93" a="1"/>
  <c r="AJ50" i="93" s="1"/>
  <c r="AN90" i="93"/>
  <c r="AN46" i="93"/>
  <c r="AK29" i="93" a="1"/>
  <c r="AK29" i="93" s="1"/>
  <c r="AL29" i="93" s="1" a="1"/>
  <c r="AL29" i="93" s="1"/>
  <c r="AO43" i="27" a="1"/>
  <c r="AO43" i="27" s="1"/>
  <c r="AR43" i="27" s="1"/>
  <c r="AJ27" i="27" a="1"/>
  <c r="AJ27" i="27" s="1"/>
  <c r="AN27" i="27" s="1" a="1"/>
  <c r="AN27" i="27" s="1"/>
  <c r="AU40" i="93"/>
  <c r="AS40" i="113" s="1"/>
  <c r="AK106" i="93" a="1"/>
  <c r="AK106" i="93" s="1"/>
  <c r="AL106" i="93" s="1" a="1"/>
  <c r="AL106" i="93" s="1"/>
  <c r="AK58" i="93" a="1"/>
  <c r="AK58" i="93" s="1"/>
  <c r="AL58" i="93" s="1" a="1"/>
  <c r="AL58" i="93" s="1"/>
  <c r="AN64" i="93"/>
  <c r="AK55" i="93" a="1"/>
  <c r="AK55" i="93" s="1"/>
  <c r="AL55" i="93" s="1" a="1"/>
  <c r="AL55" i="93" s="1"/>
  <c r="AJ19" i="93" a="1"/>
  <c r="AJ19" i="93" s="1"/>
  <c r="AJ19" i="27" a="1"/>
  <c r="AJ19" i="27" s="1"/>
  <c r="AN19" i="27" s="1" a="1"/>
  <c r="AN19" i="27" s="1"/>
  <c r="AN93" i="93"/>
  <c r="AN78" i="93"/>
  <c r="AN75" i="93"/>
  <c r="AK79" i="93" a="1"/>
  <c r="AK79" i="93" s="1"/>
  <c r="AL79" i="93" s="1" a="1"/>
  <c r="AL79" i="93" s="1"/>
  <c r="AK54" i="93" a="1"/>
  <c r="AK54" i="93" s="1"/>
  <c r="AL54" i="93" s="1" a="1"/>
  <c r="AL54" i="93" s="1"/>
  <c r="AK27" i="93" a="1"/>
  <c r="AK27" i="93" s="1"/>
  <c r="AL27" i="93" s="1" a="1"/>
  <c r="AL27" i="93" s="1"/>
  <c r="AJ100" i="93" a="1"/>
  <c r="AJ100" i="93" s="1"/>
  <c r="AJ72" i="93" a="1"/>
  <c r="AJ72" i="93" s="1"/>
  <c r="AJ43" i="93" a="1"/>
  <c r="AJ43" i="93" s="1"/>
  <c r="AJ18" i="93" a="1"/>
  <c r="AJ18" i="93" s="1"/>
  <c r="AN92" i="93"/>
  <c r="AO140" i="27" a="1"/>
  <c r="AO140" i="27" s="1"/>
  <c r="AU140" i="27" s="1" a="1"/>
  <c r="AU140" i="27" s="1"/>
  <c r="AX140" i="27" s="1"/>
  <c r="AU36" i="93"/>
  <c r="AS36" i="113" s="1"/>
  <c r="AK124" i="93" a="1"/>
  <c r="AK124" i="93" s="1"/>
  <c r="AL124" i="93" s="1" a="1"/>
  <c r="AL124" i="93" s="1"/>
  <c r="AK78" i="93" a="1"/>
  <c r="AK78" i="93" s="1"/>
  <c r="AL78" i="93" s="1" a="1"/>
  <c r="AL78" i="93" s="1"/>
  <c r="AJ126" i="93" a="1"/>
  <c r="AJ126" i="93" s="1"/>
  <c r="AJ41" i="93" a="1"/>
  <c r="AJ41" i="93" s="1"/>
  <c r="AN71" i="93"/>
  <c r="AJ67" i="93" a="1"/>
  <c r="AJ67" i="93" s="1"/>
  <c r="AN143" i="93"/>
  <c r="AN119" i="93"/>
  <c r="AN118" i="93"/>
  <c r="AK68" i="27"/>
  <c r="AM68" i="27" s="1"/>
  <c r="AN23" i="93"/>
  <c r="AK67" i="27"/>
  <c r="AM67" i="27" s="1"/>
  <c r="AU114" i="93"/>
  <c r="AS114" i="113" s="1"/>
  <c r="AK42" i="93" a="1"/>
  <c r="AK42" i="93" s="1"/>
  <c r="AL42" i="93" s="1" a="1"/>
  <c r="AL42" i="93" s="1"/>
  <c r="AK94" i="93" a="1"/>
  <c r="AK94" i="93" s="1"/>
  <c r="AL94" i="93" s="1" a="1"/>
  <c r="AL94" i="93" s="1"/>
  <c r="AK68" i="93" a="1"/>
  <c r="AK68" i="93" s="1"/>
  <c r="AL68" i="93" s="1" a="1"/>
  <c r="AL68" i="93" s="1"/>
  <c r="AK36" i="27"/>
  <c r="AM36" i="27" s="1"/>
  <c r="AU82" i="93"/>
  <c r="AS82" i="113" s="1"/>
  <c r="AN100" i="93"/>
  <c r="AJ91" i="93" a="1"/>
  <c r="AJ91" i="93" s="1"/>
  <c r="AO72" i="27" a="1"/>
  <c r="AO72" i="27" s="1"/>
  <c r="AU72" i="27" s="1" a="1"/>
  <c r="AU72" i="27" s="1"/>
  <c r="AV72" i="27" s="1" a="1"/>
  <c r="AV72" i="27" s="1"/>
  <c r="AK35" i="27"/>
  <c r="AM35" i="27" s="1"/>
  <c r="AN99" i="93"/>
  <c r="AN21" i="93"/>
  <c r="AK118" i="93" a="1"/>
  <c r="AK118" i="93" s="1"/>
  <c r="AL118" i="93" s="1" a="1"/>
  <c r="AL118" i="93" s="1"/>
  <c r="AK93" i="93" a="1"/>
  <c r="AK93" i="93" s="1"/>
  <c r="AL93" i="93" s="1" a="1"/>
  <c r="AL93" i="93" s="1"/>
  <c r="AK13" i="93" a="1"/>
  <c r="AK13" i="93" s="1"/>
  <c r="AL13" i="93" s="1" a="1"/>
  <c r="AL13" i="93" s="1"/>
  <c r="AJ59" i="93" a="1"/>
  <c r="AJ59" i="93" s="1"/>
  <c r="AN38" i="93"/>
  <c r="AK12" i="27"/>
  <c r="AM12" i="27" s="1"/>
  <c r="AK116" i="93" a="1"/>
  <c r="AK116" i="93" s="1"/>
  <c r="AL116" i="93" s="1" a="1"/>
  <c r="AL116" i="93" s="1"/>
  <c r="AJ85" i="93" a="1"/>
  <c r="AJ85" i="93" s="1"/>
  <c r="AO68" i="27" a="1"/>
  <c r="AO68" i="27" s="1"/>
  <c r="AU68" i="27" s="1" a="1"/>
  <c r="AU68" i="27" s="1"/>
  <c r="AW68" i="27" s="1"/>
  <c r="AK66" i="93" a="1"/>
  <c r="AK66" i="93" s="1"/>
  <c r="AL66" i="93" s="1" a="1"/>
  <c r="AL66" i="93" s="1"/>
  <c r="AJ31" i="93" a="1"/>
  <c r="AJ31" i="93" s="1"/>
  <c r="AK126" i="27"/>
  <c r="AM126" i="27" s="1"/>
  <c r="AO126" i="27" a="1"/>
  <c r="AO126" i="27" s="1"/>
  <c r="AU126" i="27" s="1" a="1"/>
  <c r="AU126" i="27" s="1"/>
  <c r="AW126" i="27" s="1"/>
  <c r="AK89" i="93" a="1"/>
  <c r="AK89" i="93" s="1"/>
  <c r="AL89" i="93" s="1" a="1"/>
  <c r="AL89" i="93" s="1"/>
  <c r="AJ89" i="93" a="1"/>
  <c r="AJ89" i="93" s="1"/>
  <c r="AO24" i="27" a="1"/>
  <c r="AO24" i="27" s="1"/>
  <c r="AP24" i="27" s="1" a="1"/>
  <c r="AP24" i="27" s="1"/>
  <c r="AK79" i="27"/>
  <c r="AM79" i="27" s="1"/>
  <c r="AO30" i="27" a="1"/>
  <c r="AO30" i="27" s="1"/>
  <c r="AR30" i="27" s="1"/>
  <c r="AK30" i="27"/>
  <c r="AM30" i="27" s="1"/>
  <c r="AJ30" i="27" a="1"/>
  <c r="AJ30" i="27" s="1"/>
  <c r="AN30" i="27" s="1" a="1"/>
  <c r="AN30" i="27" s="1"/>
  <c r="AJ113" i="93" a="1"/>
  <c r="AJ113" i="93" s="1"/>
  <c r="AK113" i="93" a="1"/>
  <c r="AK113" i="93" s="1"/>
  <c r="AL113" i="93" s="1" a="1"/>
  <c r="AL113" i="93" s="1"/>
  <c r="AO130" i="27" a="1"/>
  <c r="AO130" i="27" s="1"/>
  <c r="AR130" i="27" s="1"/>
  <c r="AO18" i="27" a="1"/>
  <c r="AO18" i="27" s="1"/>
  <c r="AQ18" i="27" s="1"/>
  <c r="AK78" i="27"/>
  <c r="AM78" i="27" s="1"/>
  <c r="AK125" i="27"/>
  <c r="AM125" i="27" s="1"/>
  <c r="AO125" i="27" a="1"/>
  <c r="AO125" i="27" s="1"/>
  <c r="AP125" i="27" s="1" a="1"/>
  <c r="AP125" i="27" s="1"/>
  <c r="AK65" i="93" a="1"/>
  <c r="AK65" i="93" s="1"/>
  <c r="AL65" i="93" s="1" a="1"/>
  <c r="AL65" i="93" s="1"/>
  <c r="AJ128" i="27" a="1"/>
  <c r="AJ128" i="27" s="1"/>
  <c r="AN128" i="27" s="1" a="1"/>
  <c r="AN128" i="27" s="1"/>
  <c r="AO128" i="27" a="1"/>
  <c r="AO128" i="27" s="1"/>
  <c r="AS128" i="27" s="1"/>
  <c r="AT128" i="27" s="1" a="1"/>
  <c r="AT128" i="27" s="1"/>
  <c r="AJ74" i="27" a="1"/>
  <c r="AJ74" i="27" s="1"/>
  <c r="AN74" i="27" s="1" a="1"/>
  <c r="AN74" i="27" s="1"/>
  <c r="AO106" i="27" a="1"/>
  <c r="AO106" i="27" s="1"/>
  <c r="AR106" i="27" s="1"/>
  <c r="AO13" i="27" a="1"/>
  <c r="AO13" i="27" s="1"/>
  <c r="AQ13" i="27" s="1"/>
  <c r="AJ54" i="27" a="1"/>
  <c r="AJ54" i="27" s="1"/>
  <c r="AN54" i="27" s="1" a="1"/>
  <c r="AN54" i="27" s="1"/>
  <c r="AO104" i="27" a="1"/>
  <c r="AO104" i="27" s="1"/>
  <c r="AU104" i="27" s="1" a="1"/>
  <c r="AU104" i="27" s="1"/>
  <c r="AJ138" i="27" a="1"/>
  <c r="AJ138" i="27" s="1"/>
  <c r="AN138" i="27" s="1" a="1"/>
  <c r="AN138" i="27" s="1"/>
  <c r="AK138" i="27"/>
  <c r="AM138" i="27" s="1"/>
  <c r="AO103" i="27" a="1"/>
  <c r="AO103" i="27" s="1"/>
  <c r="AQ103" i="27" s="1"/>
  <c r="AJ50" i="27" a="1"/>
  <c r="AJ50" i="27" s="1"/>
  <c r="AN50" i="27" s="1" a="1"/>
  <c r="AN50" i="27" s="1"/>
  <c r="AK37" i="93" a="1"/>
  <c r="AK37" i="93" s="1"/>
  <c r="AL37" i="93" s="1" a="1"/>
  <c r="AL37" i="93" s="1"/>
  <c r="AJ37" i="93" a="1"/>
  <c r="AJ37" i="93" s="1"/>
  <c r="AJ32" i="27" a="1"/>
  <c r="AJ32" i="27" s="1"/>
  <c r="AN32" i="27" s="1" a="1"/>
  <c r="AN32" i="27" s="1"/>
  <c r="AO32" i="27" a="1"/>
  <c r="AO32" i="27" s="1"/>
  <c r="AS32" i="27" s="1"/>
  <c r="AT32" i="27" s="1" a="1"/>
  <c r="AT32" i="27" s="1"/>
  <c r="AN109" i="93"/>
  <c r="AN62" i="93"/>
  <c r="AO31" i="27" a="1"/>
  <c r="AO31" i="27" s="1"/>
  <c r="AS31" i="27" s="1"/>
  <c r="AT31" i="27" s="1" a="1"/>
  <c r="AT31" i="27" s="1"/>
  <c r="AK31" i="27"/>
  <c r="AM31" i="27" s="1"/>
  <c r="AK48" i="27"/>
  <c r="AM48" i="27" s="1"/>
  <c r="AO78" i="27" a="1"/>
  <c r="AO78" i="27" s="1"/>
  <c r="AQ78" i="27" s="1"/>
  <c r="AK58" i="27"/>
  <c r="AM58" i="27" s="1"/>
  <c r="AU95" i="93"/>
  <c r="AS95" i="113" s="1"/>
  <c r="AU13" i="93"/>
  <c r="AS13" i="113" s="1"/>
  <c r="AK61" i="93" a="1"/>
  <c r="AK61" i="93" s="1"/>
  <c r="AL61" i="93" s="1" a="1"/>
  <c r="AL61" i="93" s="1"/>
  <c r="AN83" i="93"/>
  <c r="AU83" i="93"/>
  <c r="AS83" i="113" s="1"/>
  <c r="AO55" i="27" a="1"/>
  <c r="AO55" i="27" s="1"/>
  <c r="AR55" i="27" s="1"/>
  <c r="AO79" i="27" a="1"/>
  <c r="AO79" i="27" s="1"/>
  <c r="AS79" i="27" s="1"/>
  <c r="AT79" i="27" s="1" a="1"/>
  <c r="AT79" i="27" s="1"/>
  <c r="AK61" i="27"/>
  <c r="AM61" i="27" s="1"/>
  <c r="AK50" i="27"/>
  <c r="AM50" i="27" s="1"/>
  <c r="AK117" i="93" a="1"/>
  <c r="AK117" i="93" s="1"/>
  <c r="AL117" i="93" s="1" a="1"/>
  <c r="AL117" i="93" s="1"/>
  <c r="AN59" i="93"/>
  <c r="AU59" i="93"/>
  <c r="AS59" i="113" s="1"/>
  <c r="AO56" i="27" a="1"/>
  <c r="AO56" i="27" s="1"/>
  <c r="AP56" i="27" s="1" a="1"/>
  <c r="AP56" i="27" s="1"/>
  <c r="AN133" i="93"/>
  <c r="AO85" i="27" a="1"/>
  <c r="AO85" i="27" s="1"/>
  <c r="AU85" i="27" s="1" a="1"/>
  <c r="AU85" i="27" s="1"/>
  <c r="AK133" i="27"/>
  <c r="AM133" i="27" s="1"/>
  <c r="AJ95" i="93" a="1"/>
  <c r="AJ95" i="93" s="1"/>
  <c r="AK95" i="93" a="1"/>
  <c r="AK95" i="93" s="1"/>
  <c r="AL95" i="93" s="1" a="1"/>
  <c r="AL95" i="93" s="1"/>
  <c r="AJ71" i="93" a="1"/>
  <c r="AJ71" i="93" s="1"/>
  <c r="AK71" i="93" a="1"/>
  <c r="AK71" i="93" s="1"/>
  <c r="AL71" i="93" s="1" a="1"/>
  <c r="AL71" i="93" s="1"/>
  <c r="AJ47" i="93" a="1"/>
  <c r="AJ47" i="93" s="1"/>
  <c r="AK47" i="93" a="1"/>
  <c r="AK47" i="93" s="1"/>
  <c r="AL47" i="93" s="1" a="1"/>
  <c r="AL47" i="93" s="1"/>
  <c r="AK23" i="93" a="1"/>
  <c r="AK23" i="93" s="1"/>
  <c r="AL23" i="93" s="1" a="1"/>
  <c r="AL23" i="93" s="1"/>
  <c r="AJ23" i="93" a="1"/>
  <c r="AJ23" i="93" s="1"/>
  <c r="AK136" i="27"/>
  <c r="AM136" i="27" s="1"/>
  <c r="AO50" i="27" a="1"/>
  <c r="AO50" i="27" s="1"/>
  <c r="AQ50" i="27" s="1"/>
  <c r="AO60" i="27" a="1"/>
  <c r="AO60" i="27" s="1"/>
  <c r="AP60" i="27" s="1" a="1"/>
  <c r="AP60" i="27" s="1"/>
  <c r="AK60" i="27"/>
  <c r="AM60" i="27" s="1"/>
  <c r="AO48" i="27" a="1"/>
  <c r="AO48" i="27" s="1"/>
  <c r="AQ48" i="27" s="1"/>
  <c r="AK132" i="27"/>
  <c r="AM132" i="27" s="1"/>
  <c r="AU84" i="93"/>
  <c r="AS84" i="113" s="1"/>
  <c r="AK142" i="93" a="1"/>
  <c r="AK142" i="93" s="1"/>
  <c r="AL142" i="93" s="1" a="1"/>
  <c r="AL142" i="93" s="1"/>
  <c r="AJ142" i="93" a="1"/>
  <c r="AJ142" i="93" s="1"/>
  <c r="AK22" i="93" a="1"/>
  <c r="AK22" i="93" s="1"/>
  <c r="AL22" i="93" s="1" a="1"/>
  <c r="AL22" i="93" s="1"/>
  <c r="AJ22" i="93" a="1"/>
  <c r="AJ22" i="93" s="1"/>
  <c r="AK129" i="27"/>
  <c r="AM129" i="27" s="1"/>
  <c r="AJ112" i="27" a="1"/>
  <c r="AJ112" i="27" s="1"/>
  <c r="AN112" i="27" s="1" a="1"/>
  <c r="AN112" i="27" s="1"/>
  <c r="AK141" i="93" a="1"/>
  <c r="AK141" i="93" s="1"/>
  <c r="AL141" i="93" s="1" a="1"/>
  <c r="AL141" i="93" s="1"/>
  <c r="AJ141" i="93" a="1"/>
  <c r="AJ141" i="93" s="1"/>
  <c r="AJ69" i="93" a="1"/>
  <c r="AJ69" i="93" s="1"/>
  <c r="AK69" i="93" a="1"/>
  <c r="AK69" i="93" s="1"/>
  <c r="AL69" i="93" s="1" a="1"/>
  <c r="AL69" i="93" s="1"/>
  <c r="AJ45" i="93" a="1"/>
  <c r="AJ45" i="93" s="1"/>
  <c r="AK45" i="93" a="1"/>
  <c r="AK45" i="93" s="1"/>
  <c r="AL45" i="93" s="1" a="1"/>
  <c r="AL45" i="93" s="1"/>
  <c r="AJ21" i="93" a="1"/>
  <c r="AJ21" i="93" s="1"/>
  <c r="AK21" i="93" a="1"/>
  <c r="AK21" i="93" s="1"/>
  <c r="AL21" i="93" s="1" a="1"/>
  <c r="AL21" i="93" s="1"/>
  <c r="AN131" i="93"/>
  <c r="AU131" i="93"/>
  <c r="AS131" i="113" s="1"/>
  <c r="AJ104" i="27" a="1"/>
  <c r="AJ104" i="27" s="1"/>
  <c r="AN104" i="27" s="1" a="1"/>
  <c r="AN104" i="27" s="1"/>
  <c r="AN103" i="93"/>
  <c r="AU107" i="93"/>
  <c r="AS107" i="113" s="1"/>
  <c r="AU11" i="93"/>
  <c r="AS11" i="113" s="1"/>
  <c r="AN36" i="93"/>
  <c r="AN33" i="93"/>
  <c r="AN32" i="93"/>
  <c r="AJ90" i="93" a="1"/>
  <c r="AJ90" i="93" s="1"/>
  <c r="AJ24" i="93" a="1"/>
  <c r="AJ24" i="93" s="1"/>
  <c r="AJ11" i="93" a="1"/>
  <c r="AJ11" i="93" s="1"/>
  <c r="AN31" i="93"/>
  <c r="AU53" i="93"/>
  <c r="AS53" i="113" s="1"/>
  <c r="AN108" i="93"/>
  <c r="AN28" i="93"/>
  <c r="AJ128" i="93" a="1"/>
  <c r="AJ128" i="93" s="1"/>
  <c r="AJ102" i="93" a="1"/>
  <c r="AJ102" i="93" s="1"/>
  <c r="AK139" i="27"/>
  <c r="AM139" i="27" s="1"/>
  <c r="AU52" i="93"/>
  <c r="AS52" i="113" s="1"/>
  <c r="AN27" i="93"/>
  <c r="AJ101" i="93" a="1"/>
  <c r="AJ101" i="93" s="1"/>
  <c r="AJ88" i="93" a="1"/>
  <c r="AJ88" i="93" s="1"/>
  <c r="AJ140" i="93" a="1"/>
  <c r="AJ140" i="93" s="1"/>
  <c r="AJ127" i="93" a="1"/>
  <c r="AJ127" i="93" s="1"/>
  <c r="AJ114" i="93" a="1"/>
  <c r="AJ114" i="93" s="1"/>
  <c r="AJ35" i="93" a="1"/>
  <c r="AJ35" i="93" s="1"/>
  <c r="AJ9" i="93" a="1"/>
  <c r="AJ9" i="93" s="1"/>
  <c r="AN55" i="93"/>
  <c r="AN79" i="93"/>
  <c r="AN35" i="93"/>
  <c r="AK104" i="27"/>
  <c r="AM104" i="27" s="1"/>
  <c r="AK34" i="27"/>
  <c r="AM34" i="27" s="1"/>
  <c r="AJ95" i="27" a="1"/>
  <c r="AJ95" i="27" s="1"/>
  <c r="AN95" i="27" s="1" a="1"/>
  <c r="AN95" i="27" s="1"/>
  <c r="AO47" i="27" a="1"/>
  <c r="AO47" i="27" s="1"/>
  <c r="AS47" i="27" s="1"/>
  <c r="AT47" i="27" s="1" a="1"/>
  <c r="AT47" i="27" s="1"/>
  <c r="AK102" i="27"/>
  <c r="AM102" i="27" s="1"/>
  <c r="AJ56" i="27" a="1"/>
  <c r="AJ56" i="27" s="1"/>
  <c r="AN56" i="27" s="1" a="1"/>
  <c r="AN56" i="27" s="1"/>
  <c r="AK100" i="27"/>
  <c r="AM100" i="27" s="1"/>
  <c r="AO98" i="27" a="1"/>
  <c r="AO98" i="27" s="1"/>
  <c r="AS98" i="27" s="1"/>
  <c r="AT98" i="27" s="1" a="1"/>
  <c r="AT98" i="27" s="1"/>
  <c r="AO34" i="27" a="1"/>
  <c r="AO34" i="27" s="1"/>
  <c r="AR34" i="27" s="1"/>
  <c r="AK28" i="27"/>
  <c r="AM28" i="27" s="1"/>
  <c r="AJ51" i="27" a="1"/>
  <c r="AJ51" i="27" s="1"/>
  <c r="AN51" i="27" s="1" a="1"/>
  <c r="AN51" i="27" s="1"/>
  <c r="AO97" i="27" a="1"/>
  <c r="AO97" i="27" s="1"/>
  <c r="AU97" i="27" s="1" a="1"/>
  <c r="AU97" i="27" s="1"/>
  <c r="AO82" i="27" a="1"/>
  <c r="AO82" i="27" s="1"/>
  <c r="AK80" i="27"/>
  <c r="AM80" i="27" s="1"/>
  <c r="AK22" i="27"/>
  <c r="AM22" i="27" s="1"/>
  <c r="AJ48" i="27" a="1"/>
  <c r="AJ48" i="27" s="1"/>
  <c r="AN48" i="27" s="1" a="1"/>
  <c r="AN48" i="27" s="1"/>
  <c r="AO80" i="27" a="1"/>
  <c r="AO80" i="27" s="1"/>
  <c r="AQ80" i="27" s="1"/>
  <c r="AK19" i="27"/>
  <c r="AM19" i="27" s="1"/>
  <c r="AK143" i="27"/>
  <c r="AM143" i="27" s="1"/>
  <c r="AJ24" i="27" a="1"/>
  <c r="AJ24" i="27" s="1"/>
  <c r="AN24" i="27" s="1" a="1"/>
  <c r="AN24" i="27" s="1"/>
  <c r="AK51" i="27"/>
  <c r="AM51" i="27" s="1"/>
  <c r="AJ109" i="27" a="1"/>
  <c r="AJ109" i="27" s="1"/>
  <c r="AN109" i="27" s="1" a="1"/>
  <c r="AN109" i="27" s="1"/>
  <c r="AO120" i="27" a="1"/>
  <c r="AO120" i="27" s="1"/>
  <c r="AR120" i="27" s="1"/>
  <c r="AK128" i="27"/>
  <c r="AM128" i="27" s="1"/>
  <c r="AO107" i="27" a="1"/>
  <c r="AO107" i="27" s="1"/>
  <c r="AQ107" i="27" s="1"/>
  <c r="AO53" i="27" a="1"/>
  <c r="AO53" i="27" s="1"/>
  <c r="AS53" i="27" s="1"/>
  <c r="AT53" i="27" s="1" a="1"/>
  <c r="AT53" i="27" s="1"/>
  <c r="AK121" i="27"/>
  <c r="AM121" i="27" s="1"/>
  <c r="AJ107" i="27" a="1"/>
  <c r="AJ107" i="27" s="1"/>
  <c r="AN107" i="27" s="1" a="1"/>
  <c r="AN107" i="27" s="1"/>
  <c r="AO114" i="27" a="1"/>
  <c r="AO114" i="27" s="1"/>
  <c r="AP114" i="27" s="1" a="1"/>
  <c r="AP114" i="27" s="1"/>
  <c r="AO27" i="27" a="1"/>
  <c r="AO27" i="27" s="1"/>
  <c r="AR27" i="27" s="1"/>
  <c r="AK66" i="27"/>
  <c r="AM66" i="27" s="1"/>
  <c r="AJ105" i="27" a="1"/>
  <c r="AJ105" i="27" s="1"/>
  <c r="AN105" i="27" s="1" a="1"/>
  <c r="AN105" i="27" s="1"/>
  <c r="AJ47" i="27" a="1"/>
  <c r="AJ47" i="27" s="1"/>
  <c r="AN47" i="27" s="1" a="1"/>
  <c r="AN47" i="27" s="1"/>
  <c r="AO26" i="27" a="1"/>
  <c r="AO26" i="27" s="1"/>
  <c r="AU26" i="27" s="1" a="1"/>
  <c r="AU26" i="27" s="1"/>
  <c r="AK64" i="27"/>
  <c r="AM64" i="27" s="1"/>
  <c r="AJ46" i="27" a="1"/>
  <c r="AJ46" i="27" s="1"/>
  <c r="AN46" i="27" s="1" a="1"/>
  <c r="AN46" i="27" s="1"/>
  <c r="AK63" i="27"/>
  <c r="AM63" i="27" s="1"/>
  <c r="AJ33" i="27" a="1"/>
  <c r="AJ33" i="27" s="1"/>
  <c r="AN33" i="27" s="1" a="1"/>
  <c r="AN33" i="27" s="1"/>
  <c r="AK59" i="27"/>
  <c r="AM59" i="27" s="1"/>
  <c r="AK11" i="27"/>
  <c r="AM11" i="27" s="1"/>
  <c r="AK57" i="27"/>
  <c r="AM57" i="27" s="1"/>
  <c r="AO8" i="27" a="1"/>
  <c r="AO8" i="27" s="1"/>
  <c r="AU8" i="27" s="1" a="1"/>
  <c r="AU8" i="27" s="1"/>
  <c r="AK55" i="27"/>
  <c r="AM55" i="27" s="1"/>
  <c r="AK9" i="27"/>
  <c r="AM9" i="27" s="1"/>
  <c r="AJ85" i="27" a="1"/>
  <c r="AJ85" i="27" s="1"/>
  <c r="AN85" i="27" s="1" a="1"/>
  <c r="AN85" i="27" s="1"/>
  <c r="AK98" i="27"/>
  <c r="AM98" i="27" s="1"/>
  <c r="AK8" i="27"/>
  <c r="AM8" i="27" s="1"/>
  <c r="AJ82" i="27" a="1"/>
  <c r="AJ82" i="27" s="1"/>
  <c r="AN82" i="27" s="1" a="1"/>
  <c r="AN82" i="27" s="1"/>
  <c r="AJ81" i="27" a="1"/>
  <c r="AJ81" i="27" s="1"/>
  <c r="AN81" i="27" s="1" a="1"/>
  <c r="AN81" i="27" s="1"/>
  <c r="AO138" i="27" a="1"/>
  <c r="AO138" i="27" s="1"/>
  <c r="AS138" i="27" s="1"/>
  <c r="AT138" i="27" s="1" a="1"/>
  <c r="AT138" i="27" s="1"/>
  <c r="AJ11" i="27" a="1"/>
  <c r="AJ11" i="27" s="1"/>
  <c r="AN11" i="27" s="1" a="1"/>
  <c r="AN11" i="27" s="1"/>
  <c r="AK92" i="27"/>
  <c r="AM92" i="27" s="1"/>
  <c r="AJ80" i="27" a="1"/>
  <c r="AJ80" i="27" s="1"/>
  <c r="AN80" i="27" s="1" a="1"/>
  <c r="AN80" i="27" s="1"/>
  <c r="AJ10" i="27" a="1"/>
  <c r="AJ10" i="27" s="1"/>
  <c r="AN10" i="27" s="1" a="1"/>
  <c r="AN10" i="27" s="1"/>
  <c r="AK91" i="27"/>
  <c r="AM91" i="27" s="1"/>
  <c r="AJ79" i="27" a="1"/>
  <c r="AJ79" i="27" s="1"/>
  <c r="AN79" i="27" s="1" a="1"/>
  <c r="AN79" i="27" s="1"/>
  <c r="AJ9" i="27" a="1"/>
  <c r="AJ9" i="27" s="1"/>
  <c r="AN9" i="27" s="1" a="1"/>
  <c r="AN9" i="27" s="1"/>
  <c r="AK90" i="27"/>
  <c r="AM90" i="27" s="1"/>
  <c r="AK40" i="27"/>
  <c r="AM40" i="27" s="1"/>
  <c r="AJ130" i="27" a="1"/>
  <c r="AJ130" i="27" s="1"/>
  <c r="AN130" i="27" s="1" a="1"/>
  <c r="AN130" i="27" s="1"/>
  <c r="AK81" i="27"/>
  <c r="AM81" i="27" s="1"/>
  <c r="AJ129" i="27" a="1"/>
  <c r="AJ129" i="27" s="1"/>
  <c r="AN129" i="27" s="1" a="1"/>
  <c r="AN129" i="27" s="1"/>
  <c r="AJ75" i="27" a="1"/>
  <c r="AJ75" i="27" s="1"/>
  <c r="AN75" i="27" s="1" a="1"/>
  <c r="AN75" i="27" s="1"/>
  <c r="AJ57" i="27" a="1"/>
  <c r="AJ57" i="27" s="1"/>
  <c r="AN57" i="27" s="1" a="1"/>
  <c r="AN57" i="27" s="1"/>
  <c r="AO35" i="27" a="1"/>
  <c r="AO35" i="27" s="1"/>
  <c r="AR35" i="27" s="1"/>
  <c r="AK33" i="27"/>
  <c r="AM33" i="27" s="1"/>
  <c r="AK131" i="27"/>
  <c r="AM131" i="27" s="1"/>
  <c r="AJ135" i="27" a="1"/>
  <c r="AJ135" i="27" s="1"/>
  <c r="AN135" i="27" s="1" a="1"/>
  <c r="AN135" i="27" s="1"/>
  <c r="AJ18" i="27" a="1"/>
  <c r="AJ18" i="27" s="1"/>
  <c r="AN18" i="27" s="1" a="1"/>
  <c r="AN18" i="27" s="1"/>
  <c r="AO20" i="27" a="1"/>
  <c r="AO20" i="27" s="1"/>
  <c r="AP20" i="27" s="1" a="1"/>
  <c r="AP20" i="27" s="1"/>
  <c r="AK88" i="27"/>
  <c r="AM88" i="27" s="1"/>
  <c r="AO96" i="27" a="1"/>
  <c r="AO96" i="27" s="1"/>
  <c r="AP96" i="27" s="1" a="1"/>
  <c r="AP96" i="27" s="1"/>
  <c r="AO44" i="27" a="1"/>
  <c r="AO44" i="27" s="1"/>
  <c r="AR44" i="27" s="1"/>
  <c r="AO19" i="27" a="1"/>
  <c r="AO19" i="27" s="1"/>
  <c r="AK87" i="27"/>
  <c r="AM87" i="27" s="1"/>
  <c r="AJ99" i="27" a="1"/>
  <c r="AJ99" i="27" s="1"/>
  <c r="AN99" i="27" s="1" a="1"/>
  <c r="AN99" i="27" s="1"/>
  <c r="AJ72" i="27" a="1"/>
  <c r="AJ72" i="27" s="1"/>
  <c r="AN72" i="27" s="1" a="1"/>
  <c r="AN72" i="27" s="1"/>
  <c r="AJ43" i="27" a="1"/>
  <c r="AJ43" i="27" s="1"/>
  <c r="AN43" i="27" s="1" a="1"/>
  <c r="AN43" i="27" s="1"/>
  <c r="AJ16" i="27" a="1"/>
  <c r="AJ16" i="27" s="1"/>
  <c r="AN16" i="27" s="1" a="1"/>
  <c r="AN16" i="27" s="1"/>
  <c r="AK85" i="27"/>
  <c r="AM85" i="27" s="1"/>
  <c r="AJ42" i="27" a="1"/>
  <c r="AJ42" i="27" s="1"/>
  <c r="AN42" i="27" s="1" a="1"/>
  <c r="AN42" i="27" s="1"/>
  <c r="AJ15" i="27" a="1"/>
  <c r="AJ15" i="27" s="1"/>
  <c r="AN15" i="27" s="1" a="1"/>
  <c r="AN15" i="27" s="1"/>
  <c r="AO66" i="27" a="1"/>
  <c r="AO66" i="27" s="1"/>
  <c r="AQ66" i="27" s="1"/>
  <c r="AO42" i="27" a="1"/>
  <c r="AO42" i="27" s="1"/>
  <c r="AQ42" i="27" s="1"/>
  <c r="AO15" i="27" a="1"/>
  <c r="AO15" i="27" s="1"/>
  <c r="AS15" i="27" s="1"/>
  <c r="AT15" i="27" s="1" a="1"/>
  <c r="AT15" i="27" s="1"/>
  <c r="AK120" i="27"/>
  <c r="AM120" i="27" s="1"/>
  <c r="AK84" i="27"/>
  <c r="AM84" i="27" s="1"/>
  <c r="AK24" i="27"/>
  <c r="AM24" i="27" s="1"/>
  <c r="AJ67" i="27" a="1"/>
  <c r="AJ67" i="27" s="1"/>
  <c r="AN67" i="27" s="1" a="1"/>
  <c r="AN67" i="27" s="1"/>
  <c r="AJ14" i="27" a="1"/>
  <c r="AJ14" i="27" s="1"/>
  <c r="AN14" i="27" s="1" a="1"/>
  <c r="AN14" i="27" s="1"/>
  <c r="AO116" i="27" a="1"/>
  <c r="AO116" i="27" s="1"/>
  <c r="AP116" i="27" s="1" a="1"/>
  <c r="AP116" i="27" s="1"/>
  <c r="AO91" i="27" a="1"/>
  <c r="AO91" i="27" s="1"/>
  <c r="AP91" i="27" s="1" a="1"/>
  <c r="AP91" i="27" s="1"/>
  <c r="AO39" i="27" a="1"/>
  <c r="AO39" i="27" s="1"/>
  <c r="AR39" i="27" s="1"/>
  <c r="AK116" i="27"/>
  <c r="AM116" i="27" s="1"/>
  <c r="AK83" i="27"/>
  <c r="AM83" i="27" s="1"/>
  <c r="AJ96" i="27" a="1"/>
  <c r="AJ96" i="27" s="1"/>
  <c r="AN96" i="27" s="1" a="1"/>
  <c r="AN96" i="27" s="1"/>
  <c r="AJ13" i="27" a="1"/>
  <c r="AJ13" i="27" s="1"/>
  <c r="AN13" i="27" s="1" a="1"/>
  <c r="AN13" i="27" s="1"/>
  <c r="AO115" i="27" a="1"/>
  <c r="AO115" i="27" s="1"/>
  <c r="AR115" i="27" s="1"/>
  <c r="AO90" i="27" a="1"/>
  <c r="AO90" i="27" s="1"/>
  <c r="AP90" i="27" s="1" a="1"/>
  <c r="AP90" i="27" s="1"/>
  <c r="AO63" i="27" a="1"/>
  <c r="AO63" i="27" s="1"/>
  <c r="AR63" i="27" s="1"/>
  <c r="AO37" i="27" a="1"/>
  <c r="AO37" i="27" s="1"/>
  <c r="AO14" i="27" a="1"/>
  <c r="AO14" i="27" s="1"/>
  <c r="AK115" i="27"/>
  <c r="AM115" i="27" s="1"/>
  <c r="AK82" i="27"/>
  <c r="AM82" i="27" s="1"/>
  <c r="AJ66" i="27" a="1"/>
  <c r="AJ66" i="27" s="1"/>
  <c r="AN66" i="27" s="1" a="1"/>
  <c r="AN66" i="27" s="1"/>
  <c r="AJ39" i="27" a="1"/>
  <c r="AJ39" i="27" s="1"/>
  <c r="AN39" i="27" s="1" a="1"/>
  <c r="AN39" i="27" s="1"/>
  <c r="AO87" i="27" a="1"/>
  <c r="AO87" i="27" s="1"/>
  <c r="AQ87" i="27" s="1"/>
  <c r="AK114" i="27"/>
  <c r="AM114" i="27" s="1"/>
  <c r="AK20" i="27"/>
  <c r="AM20" i="27" s="1"/>
  <c r="AJ37" i="27" a="1"/>
  <c r="AJ37" i="27" s="1"/>
  <c r="AN37" i="27" s="1" a="1"/>
  <c r="AN37" i="27" s="1"/>
  <c r="AJ93" i="27" a="1"/>
  <c r="AJ93" i="27" s="1"/>
  <c r="AN93" i="27" s="1" a="1"/>
  <c r="AN93" i="27" s="1"/>
  <c r="AK111" i="27"/>
  <c r="AM111" i="27" s="1"/>
  <c r="AK18" i="27"/>
  <c r="AM18" i="27" s="1"/>
  <c r="AJ91" i="27" a="1"/>
  <c r="AJ91" i="27" s="1"/>
  <c r="AN91" i="27" s="1" a="1"/>
  <c r="AN91" i="27" s="1"/>
  <c r="AJ63" i="27" a="1"/>
  <c r="AJ63" i="27" s="1"/>
  <c r="AN63" i="27" s="1" a="1"/>
  <c r="AN63" i="27" s="1"/>
  <c r="AO59" i="27" a="1"/>
  <c r="AO59" i="27" s="1"/>
  <c r="AS59" i="27" s="1"/>
  <c r="AT59" i="27" s="1" a="1"/>
  <c r="AT59" i="27" s="1"/>
  <c r="AK109" i="27"/>
  <c r="AM109" i="27" s="1"/>
  <c r="AK16" i="27"/>
  <c r="AM16" i="27" s="1"/>
  <c r="AJ61" i="27" a="1"/>
  <c r="AJ61" i="27" s="1"/>
  <c r="AN61" i="27" s="1" a="1"/>
  <c r="AN61" i="27" s="1"/>
  <c r="AJ34" i="27" a="1"/>
  <c r="AJ34" i="27" s="1"/>
  <c r="AN34" i="27" s="1" a="1"/>
  <c r="AN34" i="27" s="1"/>
  <c r="AO111" i="27" a="1"/>
  <c r="AO111" i="27" s="1"/>
  <c r="AR111" i="27" s="1"/>
  <c r="AK108" i="27"/>
  <c r="AM108" i="27" s="1"/>
  <c r="AK15" i="27"/>
  <c r="AM15" i="27" s="1"/>
  <c r="AO83" i="27" a="1"/>
  <c r="AO83" i="27" s="1"/>
  <c r="AP83" i="27" s="1" a="1"/>
  <c r="AP83" i="27" s="1"/>
  <c r="AO58" i="27" a="1"/>
  <c r="AO58" i="27" s="1"/>
  <c r="AU58" i="27" s="1" a="1"/>
  <c r="AU58" i="27" s="1"/>
  <c r="AO10" i="27" a="1"/>
  <c r="AO10" i="27" s="1"/>
  <c r="AP10" i="27" s="1" a="1"/>
  <c r="AP10" i="27" s="1"/>
  <c r="AK107" i="27"/>
  <c r="AM107" i="27" s="1"/>
  <c r="AO135" i="27" a="1"/>
  <c r="AO135" i="27" s="1"/>
  <c r="AS135" i="27" s="1"/>
  <c r="AT135" i="27" s="1" a="1"/>
  <c r="AT135" i="27" s="1"/>
  <c r="AK105" i="27"/>
  <c r="AM105" i="27" s="1"/>
  <c r="AK74" i="27"/>
  <c r="AM74" i="27" s="1"/>
  <c r="AJ58" i="27" a="1"/>
  <c r="AJ58" i="27" s="1"/>
  <c r="AN58" i="27" s="1" a="1"/>
  <c r="AN58" i="27" s="1"/>
  <c r="AJ87" i="27" a="1"/>
  <c r="AJ87" i="27" s="1"/>
  <c r="AN87" i="27" s="1" a="1"/>
  <c r="AN87" i="27" s="1"/>
  <c r="AK135" i="27"/>
  <c r="AM135" i="27" s="1"/>
  <c r="AJ134" i="27" a="1"/>
  <c r="AJ134" i="27" s="1"/>
  <c r="AN134" i="27" s="1" a="1"/>
  <c r="AN134" i="27" s="1"/>
  <c r="AK134" i="27"/>
  <c r="AM134" i="27" s="1"/>
  <c r="AK110" i="27"/>
  <c r="AM110" i="27" s="1"/>
  <c r="AJ86" i="27" a="1"/>
  <c r="AJ86" i="27" s="1"/>
  <c r="AN86" i="27" s="1" a="1"/>
  <c r="AN86" i="27" s="1"/>
  <c r="AK86" i="27"/>
  <c r="AM86" i="27" s="1"/>
  <c r="AJ62" i="27" a="1"/>
  <c r="AJ62" i="27" s="1"/>
  <c r="AN62" i="27" s="1" a="1"/>
  <c r="AN62" i="27" s="1"/>
  <c r="AO62" i="27" a="1"/>
  <c r="AO62" i="27" s="1"/>
  <c r="AS62" i="27" s="1"/>
  <c r="AT62" i="27" s="1" a="1"/>
  <c r="AT62" i="27" s="1"/>
  <c r="AK62" i="27"/>
  <c r="AM62" i="27" s="1"/>
  <c r="AK38" i="27"/>
  <c r="AM38" i="27" s="1"/>
  <c r="AO38" i="27" a="1"/>
  <c r="AO38" i="27" s="1"/>
  <c r="AJ38" i="27" a="1"/>
  <c r="AJ38" i="27" s="1"/>
  <c r="AN38" i="27" s="1" a="1"/>
  <c r="AN38" i="27" s="1"/>
  <c r="AJ110" i="27" a="1"/>
  <c r="AJ110" i="27" s="1"/>
  <c r="AN110" i="27" s="1" a="1"/>
  <c r="AN110" i="27" s="1"/>
  <c r="AO110" i="27" a="1"/>
  <c r="AO110" i="27" s="1"/>
  <c r="AR110" i="27" s="1"/>
  <c r="AO86" i="27" a="1"/>
  <c r="AO86" i="27" s="1"/>
  <c r="AO46" i="27" a="1"/>
  <c r="AO46" i="27" s="1"/>
  <c r="AR46" i="27" s="1"/>
  <c r="AJ127" i="27" a="1"/>
  <c r="AJ127" i="27" s="1"/>
  <c r="AN127" i="27" s="1" a="1"/>
  <c r="AN127" i="27" s="1"/>
  <c r="AO127" i="27" a="1"/>
  <c r="AO127" i="27" s="1"/>
  <c r="AS127" i="27" s="1"/>
  <c r="AT127" i="27" s="1" a="1"/>
  <c r="AT127" i="27" s="1"/>
  <c r="AK127" i="27"/>
  <c r="AM127" i="27" s="1"/>
  <c r="AO124" i="27" a="1"/>
  <c r="AO124" i="27" s="1"/>
  <c r="AS124" i="27" s="1"/>
  <c r="AT124" i="27" s="1" a="1"/>
  <c r="AT124" i="27" s="1"/>
  <c r="AJ124" i="27" a="1"/>
  <c r="AJ124" i="27" s="1"/>
  <c r="AN124" i="27" s="1" a="1"/>
  <c r="AN124" i="27" s="1"/>
  <c r="AO100" i="27" a="1"/>
  <c r="AO100" i="27" s="1"/>
  <c r="AR100" i="27" s="1"/>
  <c r="AO76" i="27" a="1"/>
  <c r="AO76" i="27" s="1"/>
  <c r="AK76" i="27"/>
  <c r="AM76" i="27" s="1"/>
  <c r="AJ76" i="27" a="1"/>
  <c r="AJ76" i="27" s="1"/>
  <c r="AN76" i="27" s="1" a="1"/>
  <c r="AN76" i="27" s="1"/>
  <c r="AO52" i="27" a="1"/>
  <c r="AO52" i="27" s="1"/>
  <c r="AS52" i="27" s="1"/>
  <c r="AT52" i="27" s="1" a="1"/>
  <c r="AT52" i="27" s="1"/>
  <c r="AJ52" i="27" a="1"/>
  <c r="AJ52" i="27" s="1"/>
  <c r="AN52" i="27" s="1" a="1"/>
  <c r="AN52" i="27" s="1"/>
  <c r="AO28" i="27" a="1"/>
  <c r="AO28" i="27" s="1"/>
  <c r="AS28" i="27" s="1"/>
  <c r="AT28" i="27" s="1" a="1"/>
  <c r="AT28" i="27" s="1"/>
  <c r="AK123" i="27"/>
  <c r="AM123" i="27" s="1"/>
  <c r="AJ123" i="27" a="1"/>
  <c r="AJ123" i="27" s="1"/>
  <c r="AN123" i="27" s="1" a="1"/>
  <c r="AN123" i="27" s="1"/>
  <c r="AO123" i="27" a="1"/>
  <c r="AO123" i="27" s="1"/>
  <c r="AR123" i="27" s="1"/>
  <c r="AK122" i="27"/>
  <c r="AM122" i="27" s="1"/>
  <c r="AO122" i="27" a="1"/>
  <c r="AO122" i="27" s="1"/>
  <c r="AS122" i="27" s="1"/>
  <c r="AT122" i="27" s="1" a="1"/>
  <c r="AT122" i="27" s="1"/>
  <c r="AJ122" i="27" a="1"/>
  <c r="AJ122" i="27" s="1"/>
  <c r="AN122" i="27" s="1" a="1"/>
  <c r="AN122" i="27" s="1"/>
  <c r="AO121" i="27" a="1"/>
  <c r="AO121" i="27" s="1"/>
  <c r="AS121" i="27" s="1"/>
  <c r="AT121" i="27" s="1" a="1"/>
  <c r="AT121" i="27" s="1"/>
  <c r="AJ97" i="27" a="1"/>
  <c r="AJ97" i="27" s="1"/>
  <c r="AN97" i="27" s="1" a="1"/>
  <c r="AN97" i="27" s="1"/>
  <c r="AK97" i="27"/>
  <c r="AM97" i="27" s="1"/>
  <c r="AJ73" i="27" a="1"/>
  <c r="AJ73" i="27" s="1"/>
  <c r="AN73" i="27" s="1" a="1"/>
  <c r="AN73" i="27" s="1"/>
  <c r="AO73" i="27" a="1"/>
  <c r="AO73" i="27" s="1"/>
  <c r="AO49" i="27" a="1"/>
  <c r="AO49" i="27" s="1"/>
  <c r="AS49" i="27" s="1"/>
  <c r="AT49" i="27" s="1" a="1"/>
  <c r="AT49" i="27" s="1"/>
  <c r="AJ25" i="27" a="1"/>
  <c r="AJ25" i="27" s="1"/>
  <c r="AN25" i="27" s="1" a="1"/>
  <c r="AN25" i="27" s="1"/>
  <c r="AK25" i="27"/>
  <c r="AM25" i="27" s="1"/>
  <c r="AJ49" i="27" a="1"/>
  <c r="AJ49" i="27" s="1"/>
  <c r="AN49" i="27" s="1" a="1"/>
  <c r="AN49" i="27" s="1"/>
  <c r="AJ28" i="27" a="1"/>
  <c r="AJ28" i="27" s="1"/>
  <c r="AN28" i="27" s="1" a="1"/>
  <c r="AN28" i="27" s="1"/>
  <c r="AJ143" i="27" a="1"/>
  <c r="AJ143" i="27" s="1"/>
  <c r="AN143" i="27" s="1" a="1"/>
  <c r="AN143" i="27" s="1"/>
  <c r="AO119" i="27" a="1"/>
  <c r="AO119" i="27" s="1"/>
  <c r="AK119" i="27"/>
  <c r="AM119" i="27" s="1"/>
  <c r="AO95" i="27" a="1"/>
  <c r="AO95" i="27" s="1"/>
  <c r="AJ71" i="27" a="1"/>
  <c r="AJ71" i="27" s="1"/>
  <c r="AN71" i="27" s="1" a="1"/>
  <c r="AN71" i="27" s="1"/>
  <c r="AO23" i="27" a="1"/>
  <c r="AO23" i="27" s="1"/>
  <c r="AS23" i="27" s="1"/>
  <c r="AT23" i="27" s="1" a="1"/>
  <c r="AT23" i="27" s="1"/>
  <c r="AJ23" i="27" a="1"/>
  <c r="AJ23" i="27" s="1"/>
  <c r="AN23" i="27" s="1" a="1"/>
  <c r="AN23" i="27" s="1"/>
  <c r="AK142" i="27"/>
  <c r="AM142" i="27" s="1"/>
  <c r="AJ142" i="27" a="1"/>
  <c r="AJ142" i="27" s="1"/>
  <c r="AN142" i="27" s="1" a="1"/>
  <c r="AN142" i="27" s="1"/>
  <c r="AO142" i="27" a="1"/>
  <c r="AO142" i="27" s="1"/>
  <c r="AK118" i="27"/>
  <c r="AM118" i="27" s="1"/>
  <c r="AO94" i="27" a="1"/>
  <c r="AO94" i="27" s="1"/>
  <c r="AO70" i="27" a="1"/>
  <c r="AO70" i="27" s="1"/>
  <c r="AJ70" i="27" a="1"/>
  <c r="AJ70" i="27" s="1"/>
  <c r="AN70" i="27" s="1" a="1"/>
  <c r="AN70" i="27" s="1"/>
  <c r="AK70" i="27"/>
  <c r="AM70" i="27" s="1"/>
  <c r="AO22" i="27" a="1"/>
  <c r="AO22" i="27" s="1"/>
  <c r="AO141" i="27" a="1"/>
  <c r="AO141" i="27" s="1"/>
  <c r="AR141" i="27" s="1"/>
  <c r="AJ141" i="27" a="1"/>
  <c r="AJ141" i="27" s="1"/>
  <c r="AN141" i="27" s="1" a="1"/>
  <c r="AN141" i="27" s="1"/>
  <c r="AO117" i="27" a="1"/>
  <c r="AO117" i="27" s="1"/>
  <c r="AR117" i="27" s="1"/>
  <c r="AJ117" i="27" a="1"/>
  <c r="AJ117" i="27" s="1"/>
  <c r="AN117" i="27" s="1" a="1"/>
  <c r="AN117" i="27" s="1"/>
  <c r="AK117" i="27"/>
  <c r="AM117" i="27" s="1"/>
  <c r="AO93" i="27" a="1"/>
  <c r="AO93" i="27" s="1"/>
  <c r="AR93" i="27" s="1"/>
  <c r="AO69" i="27" a="1"/>
  <c r="AO69" i="27" s="1"/>
  <c r="AJ69" i="27" a="1"/>
  <c r="AJ69" i="27" s="1"/>
  <c r="AN69" i="27" s="1" a="1"/>
  <c r="AN69" i="27" s="1"/>
  <c r="AK69" i="27"/>
  <c r="AM69" i="27" s="1"/>
  <c r="AO45" i="27" a="1"/>
  <c r="AO45" i="27" s="1"/>
  <c r="AR45" i="27" s="1"/>
  <c r="AJ45" i="27" a="1"/>
  <c r="AJ45" i="27" s="1"/>
  <c r="AN45" i="27" s="1" a="1"/>
  <c r="AN45" i="27" s="1"/>
  <c r="AK45" i="27"/>
  <c r="AM45" i="27" s="1"/>
  <c r="AO21" i="27" a="1"/>
  <c r="AO21" i="27" s="1"/>
  <c r="AR21" i="27" s="1"/>
  <c r="AJ94" i="27" a="1"/>
  <c r="AJ94" i="27" s="1"/>
  <c r="AN94" i="27" s="1" a="1"/>
  <c r="AN94" i="27" s="1"/>
  <c r="AJ137" i="27" a="1"/>
  <c r="AJ137" i="27" s="1"/>
  <c r="AN137" i="27" s="1" a="1"/>
  <c r="AN137" i="27" s="1"/>
  <c r="AK137" i="27"/>
  <c r="AM137" i="27" s="1"/>
  <c r="AO137" i="27" a="1"/>
  <c r="AO137" i="27" s="1"/>
  <c r="AJ113" i="27" a="1"/>
  <c r="AJ113" i="27" s="1"/>
  <c r="AN113" i="27" s="1" a="1"/>
  <c r="AN113" i="27" s="1"/>
  <c r="AK113" i="27"/>
  <c r="AM113" i="27" s="1"/>
  <c r="AJ89" i="27" a="1"/>
  <c r="AJ89" i="27" s="1"/>
  <c r="AN89" i="27" s="1" a="1"/>
  <c r="AN89" i="27" s="1"/>
  <c r="AK89" i="27"/>
  <c r="AM89" i="27" s="1"/>
  <c r="AO89" i="27" a="1"/>
  <c r="AO89" i="27" s="1"/>
  <c r="AS89" i="27" s="1"/>
  <c r="AT89" i="27" s="1" a="1"/>
  <c r="AT89" i="27" s="1"/>
  <c r="AJ65" i="27" a="1"/>
  <c r="AJ65" i="27" s="1"/>
  <c r="AN65" i="27" s="1" a="1"/>
  <c r="AN65" i="27" s="1"/>
  <c r="AK65" i="27"/>
  <c r="AM65" i="27" s="1"/>
  <c r="AJ41" i="27" a="1"/>
  <c r="AJ41" i="27" s="1"/>
  <c r="AN41" i="27" s="1" a="1"/>
  <c r="AN41" i="27" s="1"/>
  <c r="AK41" i="27"/>
  <c r="AM41" i="27" s="1"/>
  <c r="AO41" i="27" a="1"/>
  <c r="AO41" i="27" s="1"/>
  <c r="AJ17" i="27" a="1"/>
  <c r="AJ17" i="27" s="1"/>
  <c r="AN17" i="27" s="1" a="1"/>
  <c r="AN17" i="27" s="1"/>
  <c r="AK17" i="27"/>
  <c r="AM17" i="27" s="1"/>
  <c r="AO17" i="27" a="1"/>
  <c r="AO17" i="27" s="1"/>
  <c r="AJ21" i="27" a="1"/>
  <c r="AJ21" i="27" s="1"/>
  <c r="AN21" i="27" s="1" a="1"/>
  <c r="AN21" i="27" s="1"/>
  <c r="AK130" i="27"/>
  <c r="AM130" i="27" s="1"/>
  <c r="AK106" i="27"/>
  <c r="AM106" i="27" s="1"/>
  <c r="AK99" i="27"/>
  <c r="AM99" i="27" s="1"/>
  <c r="AJ125" i="27" a="1"/>
  <c r="AJ125" i="27" s="1"/>
  <c r="AN125" i="27" s="1" a="1"/>
  <c r="AN125" i="27" s="1"/>
  <c r="AJ101" i="27" a="1"/>
  <c r="AJ101" i="27" s="1"/>
  <c r="AN101" i="27" s="1" a="1"/>
  <c r="AN101" i="27" s="1"/>
  <c r="AJ77" i="27" a="1"/>
  <c r="AJ77" i="27" s="1"/>
  <c r="AN77" i="27" s="1" a="1"/>
  <c r="AN77" i="27" s="1"/>
  <c r="AJ53" i="27" a="1"/>
  <c r="AJ53" i="27" s="1"/>
  <c r="AN53" i="27" s="1" a="1"/>
  <c r="AN53" i="27" s="1"/>
  <c r="AJ29" i="27" a="1"/>
  <c r="AJ29" i="27" s="1"/>
  <c r="AN29" i="27" s="1" a="1"/>
  <c r="AN29" i="27" s="1"/>
  <c r="AJ106" i="27" a="1"/>
  <c r="AJ106" i="27" s="1"/>
  <c r="AN106" i="27" s="1" a="1"/>
  <c r="AN106" i="27" s="1"/>
  <c r="AJ140" i="27" a="1"/>
  <c r="AJ140" i="27" s="1"/>
  <c r="AN140" i="27" s="1" a="1"/>
  <c r="AN140" i="27" s="1"/>
  <c r="AJ116" i="27" a="1"/>
  <c r="AJ116" i="27" s="1"/>
  <c r="AN116" i="27" s="1" a="1"/>
  <c r="AN116" i="27" s="1"/>
  <c r="AJ92" i="27" a="1"/>
  <c r="AJ92" i="27" s="1"/>
  <c r="AN92" i="27" s="1" a="1"/>
  <c r="AN92" i="27" s="1"/>
  <c r="AJ68" i="27" a="1"/>
  <c r="AJ68" i="27" s="1"/>
  <c r="AN68" i="27" s="1" a="1"/>
  <c r="AN68" i="27" s="1"/>
  <c r="AJ44" i="27" a="1"/>
  <c r="AJ44" i="27" s="1"/>
  <c r="AN44" i="27" s="1" a="1"/>
  <c r="AN44" i="27" s="1"/>
  <c r="AJ20" i="27" a="1"/>
  <c r="AJ20" i="27" s="1"/>
  <c r="AN20" i="27" s="1" a="1"/>
  <c r="AN20" i="27" s="1"/>
  <c r="AO136" i="27" a="1"/>
  <c r="AO136" i="27" s="1"/>
  <c r="AR136" i="27" s="1"/>
  <c r="AO112" i="27" a="1"/>
  <c r="AO112" i="27" s="1"/>
  <c r="AR112" i="27" s="1"/>
  <c r="AO88" i="27" a="1"/>
  <c r="AO88" i="27" s="1"/>
  <c r="AO64" i="27" a="1"/>
  <c r="AO64" i="27" s="1"/>
  <c r="AS64" i="27" s="1"/>
  <c r="AT64" i="27" s="1" a="1"/>
  <c r="AT64" i="27" s="1"/>
  <c r="AO40" i="27" a="1"/>
  <c r="AO40" i="27" s="1"/>
  <c r="AS40" i="27" s="1"/>
  <c r="AT40" i="27" s="1" a="1"/>
  <c r="AT40" i="27" s="1"/>
  <c r="AO16" i="27" a="1"/>
  <c r="AO16" i="27" s="1"/>
  <c r="AS16" i="27" s="1"/>
  <c r="AT16" i="27" s="1" a="1"/>
  <c r="AT16" i="27" s="1"/>
  <c r="AJ132" i="27" a="1"/>
  <c r="AJ132" i="27" s="1"/>
  <c r="AN132" i="27" s="1" a="1"/>
  <c r="AN132" i="27" s="1"/>
  <c r="AJ108" i="27" a="1"/>
  <c r="AJ108" i="27" s="1"/>
  <c r="AN108" i="27" s="1" a="1"/>
  <c r="AN108" i="27" s="1"/>
  <c r="AJ84" i="27" a="1"/>
  <c r="AJ84" i="27" s="1"/>
  <c r="AN84" i="27" s="1" a="1"/>
  <c r="AN84" i="27" s="1"/>
  <c r="AJ60" i="27" a="1"/>
  <c r="AJ60" i="27" s="1"/>
  <c r="AN60" i="27" s="1" a="1"/>
  <c r="AN60" i="27" s="1"/>
  <c r="AJ36" i="27" a="1"/>
  <c r="AJ36" i="27" s="1"/>
  <c r="AN36" i="27" s="1" a="1"/>
  <c r="AN36" i="27" s="1"/>
  <c r="AJ12" i="27" a="1"/>
  <c r="AJ12" i="27" s="1"/>
  <c r="AN12" i="27" s="1" a="1"/>
  <c r="AN12" i="27" s="1"/>
  <c r="AX132" i="27" l="1"/>
  <c r="AY132" i="27" s="1"/>
  <c r="AZ132" i="27" s="1" a="1"/>
  <c r="AZ132" i="27" s="1"/>
  <c r="AR129" i="27"/>
  <c r="AR25" i="27"/>
  <c r="AS108" i="27"/>
  <c r="AT108" i="27" s="1" a="1"/>
  <c r="AT108" i="27" s="1"/>
  <c r="AP108" i="27" a="1"/>
  <c r="AP108" i="27" s="1"/>
  <c r="AQ129" i="27"/>
  <c r="AS33" i="27"/>
  <c r="AT33" i="27" s="1" a="1"/>
  <c r="AT33" i="27" s="1"/>
  <c r="AR134" i="27"/>
  <c r="AP105" i="27" a="1"/>
  <c r="AP105" i="27" s="1"/>
  <c r="AP71" i="27" a="1"/>
  <c r="AP71" i="27" s="1"/>
  <c r="AP12" i="27" a="1"/>
  <c r="AP12" i="27" s="1"/>
  <c r="AQ71" i="27"/>
  <c r="AR71" i="27"/>
  <c r="AR84" i="27"/>
  <c r="AU12" i="27" a="1"/>
  <c r="AU12" i="27" s="1"/>
  <c r="AW12" i="27" s="1"/>
  <c r="AP99" i="27" a="1"/>
  <c r="AP99" i="27" s="1"/>
  <c r="AQ132" i="27"/>
  <c r="AU9" i="27" a="1"/>
  <c r="AU9" i="27" s="1"/>
  <c r="AV9" i="27" s="1" a="1"/>
  <c r="AV9" i="27" s="1"/>
  <c r="AP33" i="27" a="1"/>
  <c r="AP33" i="27" s="1"/>
  <c r="AR65" i="27"/>
  <c r="AS9" i="27"/>
  <c r="AT9" i="27" s="1" a="1"/>
  <c r="AT9" i="27" s="1"/>
  <c r="AR67" i="27"/>
  <c r="AP84" i="27" a="1"/>
  <c r="AP84" i="27" s="1"/>
  <c r="AU77" i="27" a="1"/>
  <c r="AU77" i="27" s="1"/>
  <c r="AV77" i="27" s="1" a="1"/>
  <c r="AV77" i="27" s="1"/>
  <c r="AU109" i="27" a="1"/>
  <c r="AU109" i="27" s="1"/>
  <c r="AW109" i="27" s="1"/>
  <c r="AP36" i="27" a="1"/>
  <c r="AP36" i="27" s="1"/>
  <c r="AU36" i="27" a="1"/>
  <c r="AU36" i="27" s="1"/>
  <c r="AV36" i="27" s="1" a="1"/>
  <c r="AV36" i="27" s="1"/>
  <c r="AU92" i="27" a="1"/>
  <c r="AU92" i="27" s="1"/>
  <c r="AX92" i="27" s="1"/>
  <c r="AP92" i="27" a="1"/>
  <c r="AP92" i="27" s="1"/>
  <c r="AU71" i="27" a="1"/>
  <c r="AU71" i="27" s="1"/>
  <c r="AX71" i="27" s="1"/>
  <c r="AY71" i="27" s="1"/>
  <c r="AZ71" i="27" s="1" a="1"/>
  <c r="AZ71" i="27" s="1"/>
  <c r="AQ109" i="27"/>
  <c r="AP132" i="27" a="1"/>
  <c r="AP132" i="27" s="1"/>
  <c r="AP9" i="27" a="1"/>
  <c r="AP9" i="27" s="1"/>
  <c r="AU105" i="27" a="1"/>
  <c r="AU105" i="27" s="1"/>
  <c r="AW105" i="27" s="1"/>
  <c r="AQ81" i="27"/>
  <c r="AS81" i="27"/>
  <c r="AT81" i="27" s="1" a="1"/>
  <c r="AT81" i="27" s="1"/>
  <c r="AR81" i="27"/>
  <c r="AU81" i="27" a="1"/>
  <c r="AU81" i="27" s="1"/>
  <c r="AX81" i="27" s="1"/>
  <c r="AP67" i="27" a="1"/>
  <c r="AP67" i="27" s="1"/>
  <c r="AQ25" i="27"/>
  <c r="AU143" i="27" a="1"/>
  <c r="AU143" i="27" s="1"/>
  <c r="AW143" i="27" s="1"/>
  <c r="AU25" i="27" a="1"/>
  <c r="AU25" i="27" s="1"/>
  <c r="AW25" i="27" s="1"/>
  <c r="AS109" i="27"/>
  <c r="AT109" i="27" s="1" a="1"/>
  <c r="AT109" i="27" s="1"/>
  <c r="AQ33" i="27"/>
  <c r="AU33" i="27" a="1"/>
  <c r="AU33" i="27" s="1"/>
  <c r="AX33" i="27" s="1"/>
  <c r="AY33" i="27" s="1"/>
  <c r="AZ33" i="27" s="1" a="1"/>
  <c r="AZ33" i="27" s="1"/>
  <c r="AU139" i="27" a="1"/>
  <c r="AU139" i="27" s="1"/>
  <c r="AW139" i="27" s="1"/>
  <c r="AQ108" i="27"/>
  <c r="AQ139" i="27"/>
  <c r="AR108" i="27"/>
  <c r="AP57" i="27" a="1"/>
  <c r="AP57" i="27" s="1"/>
  <c r="AU57" i="27" a="1"/>
  <c r="AU57" i="27" s="1"/>
  <c r="AX57" i="27" s="1"/>
  <c r="AY57" i="27" s="1"/>
  <c r="AZ57" i="27" s="1" a="1"/>
  <c r="AZ57" i="27" s="1"/>
  <c r="AS84" i="27"/>
  <c r="AT84" i="27" s="1" a="1"/>
  <c r="AT84" i="27" s="1"/>
  <c r="AQ84" i="27"/>
  <c r="AS77" i="27"/>
  <c r="AT77" i="27" s="1" a="1"/>
  <c r="AT77" i="27" s="1"/>
  <c r="AR51" i="27"/>
  <c r="AS12" i="27"/>
  <c r="AT12" i="27" s="1" a="1"/>
  <c r="AT12" i="27" s="1"/>
  <c r="AR77" i="27"/>
  <c r="AS51" i="27"/>
  <c r="AT51" i="27" s="1" a="1"/>
  <c r="AT51" i="27" s="1"/>
  <c r="AU51" i="27" a="1"/>
  <c r="AU51" i="27" s="1"/>
  <c r="AX51" i="27" s="1"/>
  <c r="AR9" i="27"/>
  <c r="AP51" i="27" a="1"/>
  <c r="AP51" i="27" s="1"/>
  <c r="AQ105" i="27"/>
  <c r="AR105" i="27"/>
  <c r="AS129" i="27"/>
  <c r="AT129" i="27" s="1" a="1"/>
  <c r="AT129" i="27" s="1"/>
  <c r="AQ92" i="27"/>
  <c r="AS92" i="27"/>
  <c r="AT92" i="27" s="1" a="1"/>
  <c r="AT92" i="27" s="1"/>
  <c r="AP139" i="27" a="1"/>
  <c r="AP139" i="27" s="1"/>
  <c r="AP109" i="27" a="1"/>
  <c r="AP109" i="27" s="1"/>
  <c r="AQ57" i="27"/>
  <c r="AR57" i="27"/>
  <c r="AR12" i="27"/>
  <c r="AS67" i="27"/>
  <c r="AT67" i="27" s="1" a="1"/>
  <c r="AT67" i="27" s="1"/>
  <c r="AS99" i="27"/>
  <c r="AT99" i="27" s="1" a="1"/>
  <c r="AT99" i="27" s="1"/>
  <c r="AU67" i="27" a="1"/>
  <c r="AU67" i="27" s="1"/>
  <c r="AX67" i="27" s="1"/>
  <c r="AY67" i="27" s="1"/>
  <c r="AZ67" i="27" s="1" a="1"/>
  <c r="AZ67" i="27" s="1"/>
  <c r="AS25" i="27"/>
  <c r="AT25" i="27" s="1" a="1"/>
  <c r="AT25" i="27" s="1"/>
  <c r="AP143" i="27" a="1"/>
  <c r="AP143" i="27" s="1"/>
  <c r="AP118" i="27" a="1"/>
  <c r="AP118" i="27" s="1"/>
  <c r="AP11" i="27" a="1"/>
  <c r="AP11" i="27" s="1"/>
  <c r="AQ11" i="27"/>
  <c r="AR99" i="27"/>
  <c r="AS11" i="27"/>
  <c r="AT11" i="27" s="1" a="1"/>
  <c r="AT11" i="27" s="1"/>
  <c r="AS132" i="27"/>
  <c r="AT132" i="27" s="1" a="1"/>
  <c r="AT132" i="27" s="1"/>
  <c r="AR139" i="27"/>
  <c r="AQ118" i="27"/>
  <c r="AS65" i="27"/>
  <c r="AT65" i="27" s="1" a="1"/>
  <c r="AT65" i="27" s="1"/>
  <c r="AP77" i="27" a="1"/>
  <c r="AP77" i="27" s="1"/>
  <c r="AQ36" i="27"/>
  <c r="AS134" i="27"/>
  <c r="AT134" i="27" s="1" a="1"/>
  <c r="AT134" i="27" s="1"/>
  <c r="AQ134" i="27"/>
  <c r="AU118" i="27" a="1"/>
  <c r="AU118" i="27" s="1"/>
  <c r="AW118" i="27" s="1"/>
  <c r="AS118" i="27"/>
  <c r="AT118" i="27" s="1" a="1"/>
  <c r="AT118" i="27" s="1"/>
  <c r="AR11" i="27"/>
  <c r="AQ99" i="27"/>
  <c r="AP134" i="27" a="1"/>
  <c r="AP134" i="27" s="1"/>
  <c r="AW132" i="27"/>
  <c r="AU65" i="27" a="1"/>
  <c r="AU65" i="27" s="1"/>
  <c r="AW65" i="27" s="1"/>
  <c r="AQ143" i="27"/>
  <c r="AQ65" i="27"/>
  <c r="AS36" i="27"/>
  <c r="AT36" i="27" s="1" a="1"/>
  <c r="AT36" i="27" s="1"/>
  <c r="AR113" i="27"/>
  <c r="AU129" i="27" a="1"/>
  <c r="AU129" i="27" s="1"/>
  <c r="AX129" i="27" s="1"/>
  <c r="AY129" i="27" s="1"/>
  <c r="AS113" i="27"/>
  <c r="AT113" i="27" s="1" a="1"/>
  <c r="AT113" i="27" s="1"/>
  <c r="AQ113" i="27"/>
  <c r="AS143" i="27"/>
  <c r="AT143" i="27" s="1" a="1"/>
  <c r="AT143" i="27" s="1"/>
  <c r="AU113" i="27" a="1"/>
  <c r="AU113" i="27" s="1"/>
  <c r="AV113" i="27" s="1" a="1"/>
  <c r="AV113" i="27" s="1"/>
  <c r="AR132" i="27"/>
  <c r="AQ29" i="27"/>
  <c r="AS131" i="27"/>
  <c r="AT131" i="27" s="1" a="1"/>
  <c r="AT131" i="27" s="1"/>
  <c r="AU133" i="27" a="1"/>
  <c r="AU133" i="27" s="1"/>
  <c r="AW133" i="27" s="1"/>
  <c r="AQ133" i="27"/>
  <c r="AS56" i="27"/>
  <c r="AT56" i="27" s="1" a="1"/>
  <c r="AT56" i="27" s="1"/>
  <c r="AP18" i="27" a="1"/>
  <c r="AP18" i="27" s="1"/>
  <c r="AP130" i="27" a="1"/>
  <c r="AP130" i="27" s="1"/>
  <c r="AP29" i="27" a="1"/>
  <c r="AP29" i="27" s="1"/>
  <c r="AP31" i="27" a="1"/>
  <c r="AP31" i="27" s="1"/>
  <c r="AQ56" i="27"/>
  <c r="AS133" i="27"/>
  <c r="AT133" i="27" s="1" a="1"/>
  <c r="AT133" i="27" s="1"/>
  <c r="AR133" i="27"/>
  <c r="AW144" i="27"/>
  <c r="AV144" i="27" a="1"/>
  <c r="AV144" i="27" s="1"/>
  <c r="AX144" i="27"/>
  <c r="AX72" i="27"/>
  <c r="AY72" i="27" s="1"/>
  <c r="AQ102" i="27"/>
  <c r="AR54" i="27"/>
  <c r="AR101" i="27"/>
  <c r="AS18" i="27"/>
  <c r="AT18" i="27" s="1" a="1"/>
  <c r="AT18" i="27" s="1"/>
  <c r="AR53" i="27"/>
  <c r="AS101" i="27"/>
  <c r="AT101" i="27" s="1" a="1"/>
  <c r="AT101" i="27" s="1"/>
  <c r="AU102" i="27" a="1"/>
  <c r="AU102" i="27" s="1"/>
  <c r="AX102" i="27" s="1"/>
  <c r="AY102" i="27" s="1"/>
  <c r="AZ102" i="27" s="1" a="1"/>
  <c r="AZ102" i="27" s="1"/>
  <c r="AS60" i="27"/>
  <c r="AT60" i="27" s="1" a="1"/>
  <c r="AT60" i="27" s="1"/>
  <c r="AP13" i="27" a="1"/>
  <c r="AP13" i="27" s="1"/>
  <c r="AP50" i="27" a="1"/>
  <c r="AP50" i="27" s="1"/>
  <c r="AR72" i="27"/>
  <c r="AS72" i="27"/>
  <c r="AT72" i="27" s="1" a="1"/>
  <c r="AT72" i="27" s="1"/>
  <c r="AX126" i="27"/>
  <c r="AY126" i="27" s="1"/>
  <c r="AZ126" i="27" s="1" a="1"/>
  <c r="AZ126" i="27" s="1"/>
  <c r="AR8" i="27"/>
  <c r="AS104" i="27"/>
  <c r="AT104" i="27" s="1" a="1"/>
  <c r="AT104" i="27" s="1"/>
  <c r="AU54" i="27" a="1"/>
  <c r="AU54" i="27" s="1"/>
  <c r="AW54" i="27" s="1"/>
  <c r="AP54" i="27" a="1"/>
  <c r="AP54" i="27" s="1"/>
  <c r="AQ8" i="27"/>
  <c r="AU56" i="27" a="1"/>
  <c r="AU56" i="27" s="1"/>
  <c r="AV56" i="27" s="1" a="1"/>
  <c r="AV56" i="27" s="1"/>
  <c r="AQ54" i="27"/>
  <c r="AQ140" i="27"/>
  <c r="AP103" i="27" a="1"/>
  <c r="AP103" i="27" s="1"/>
  <c r="AR74" i="27"/>
  <c r="AQ131" i="27"/>
  <c r="AS43" i="27"/>
  <c r="AT43" i="27" s="1" a="1"/>
  <c r="AT43" i="27" s="1"/>
  <c r="AS97" i="27"/>
  <c r="AT97" i="27" s="1" a="1"/>
  <c r="AT97" i="27" s="1"/>
  <c r="AQ104" i="27"/>
  <c r="AR104" i="27"/>
  <c r="AP78" i="27" a="1"/>
  <c r="AP78" i="27" s="1"/>
  <c r="AS29" i="27"/>
  <c r="AT29" i="27" s="1" a="1"/>
  <c r="AT29" i="27" s="1"/>
  <c r="AQ101" i="27"/>
  <c r="AR29" i="27"/>
  <c r="AU101" i="27" a="1"/>
  <c r="AU101" i="27" s="1"/>
  <c r="AV101" i="27" s="1" a="1"/>
  <c r="AV101" i="27" s="1"/>
  <c r="AP43" i="27" a="1"/>
  <c r="AP43" i="27" s="1"/>
  <c r="AR126" i="27"/>
  <c r="AU18" i="27" a="1"/>
  <c r="AU18" i="27" s="1"/>
  <c r="AW18" i="27" s="1"/>
  <c r="AU43" i="27" a="1"/>
  <c r="AU43" i="27" s="1"/>
  <c r="AV43" i="27" s="1" a="1"/>
  <c r="AV43" i="27" s="1"/>
  <c r="AS48" i="27"/>
  <c r="AT48" i="27" s="1" a="1"/>
  <c r="AT48" i="27" s="1"/>
  <c r="AR47" i="27"/>
  <c r="AP102" i="27" a="1"/>
  <c r="AP102" i="27" s="1"/>
  <c r="AS102" i="27"/>
  <c r="AT102" i="27" s="1" a="1"/>
  <c r="AT102" i="27" s="1"/>
  <c r="AP8" i="27" a="1"/>
  <c r="AP8" i="27" s="1"/>
  <c r="AS61" i="27"/>
  <c r="AT61" i="27" s="1" a="1"/>
  <c r="AT61" i="27" s="1"/>
  <c r="AQ61" i="27"/>
  <c r="AP26" i="27" a="1"/>
  <c r="AP26" i="27" s="1"/>
  <c r="AS74" i="27"/>
  <c r="AT74" i="27" s="1" a="1"/>
  <c r="AT74" i="27" s="1"/>
  <c r="AQ128" i="27"/>
  <c r="AS26" i="27"/>
  <c r="AT26" i="27" s="1" a="1"/>
  <c r="AT26" i="27" s="1"/>
  <c r="AP61" i="27" a="1"/>
  <c r="AP61" i="27" s="1"/>
  <c r="AP128" i="27" a="1"/>
  <c r="AP128" i="27" s="1"/>
  <c r="AQ26" i="27"/>
  <c r="AQ75" i="27"/>
  <c r="AR61" i="27"/>
  <c r="AP131" i="27" a="1"/>
  <c r="AP131" i="27" s="1"/>
  <c r="AU131" i="27" a="1"/>
  <c r="AU131" i="27" s="1"/>
  <c r="AV131" i="27" s="1" a="1"/>
  <c r="AV131" i="27" s="1"/>
  <c r="AR75" i="27"/>
  <c r="AV99" i="27" a="1"/>
  <c r="AV99" i="27" s="1"/>
  <c r="AU53" i="27" a="1"/>
  <c r="AU53" i="27" s="1"/>
  <c r="AV53" i="27" s="1" a="1"/>
  <c r="AV53" i="27" s="1"/>
  <c r="AS103" i="27"/>
  <c r="AT103" i="27" s="1" a="1"/>
  <c r="AT103" i="27" s="1"/>
  <c r="AR107" i="27"/>
  <c r="AW75" i="27"/>
  <c r="AQ96" i="27"/>
  <c r="AR80" i="27"/>
  <c r="AP80" i="27" a="1"/>
  <c r="AP80" i="27" s="1"/>
  <c r="AS107" i="27"/>
  <c r="AT107" i="27" s="1" a="1"/>
  <c r="AT107" i="27" s="1"/>
  <c r="AR15" i="27"/>
  <c r="AU15" i="27" a="1"/>
  <c r="AU15" i="27" s="1"/>
  <c r="AX15" i="27" s="1"/>
  <c r="AP104" i="27" a="1"/>
  <c r="AP104" i="27" s="1"/>
  <c r="AQ74" i="27"/>
  <c r="AW72" i="27"/>
  <c r="AS96" i="27"/>
  <c r="AT96" i="27" s="1" a="1"/>
  <c r="AT96" i="27" s="1"/>
  <c r="AR125" i="27"/>
  <c r="AS114" i="27"/>
  <c r="AT114" i="27" s="1" a="1"/>
  <c r="AT114" i="27" s="1"/>
  <c r="AX75" i="27"/>
  <c r="AY75" i="27" s="1"/>
  <c r="AQ43" i="27"/>
  <c r="AR85" i="27"/>
  <c r="AS55" i="27"/>
  <c r="AT55" i="27" s="1" a="1"/>
  <c r="AT55" i="27" s="1"/>
  <c r="AR128" i="27"/>
  <c r="AS44" i="27"/>
  <c r="AT44" i="27" s="1" a="1"/>
  <c r="AT44" i="27" s="1"/>
  <c r="AU50" i="27" a="1"/>
  <c r="AU50" i="27" s="1"/>
  <c r="AV50" i="27" s="1" a="1"/>
  <c r="AV50" i="27" s="1"/>
  <c r="AP75" i="27" a="1"/>
  <c r="AP75" i="27" s="1"/>
  <c r="AP32" i="27" a="1"/>
  <c r="AP32" i="27" s="1"/>
  <c r="AS50" i="27"/>
  <c r="AT50" i="27" s="1" a="1"/>
  <c r="AT50" i="27" s="1"/>
  <c r="AU74" i="27" a="1"/>
  <c r="AU74" i="27" s="1"/>
  <c r="AW74" i="27" s="1"/>
  <c r="AS125" i="27"/>
  <c r="AT125" i="27" s="1" a="1"/>
  <c r="AT125" i="27" s="1"/>
  <c r="AU60" i="27" a="1"/>
  <c r="AU60" i="27" s="1"/>
  <c r="AV60" i="27" s="1" a="1"/>
  <c r="AV60" i="27" s="1"/>
  <c r="AR68" i="27"/>
  <c r="AS35" i="27"/>
  <c r="AT35" i="27" s="1" a="1"/>
  <c r="AT35" i="27" s="1"/>
  <c r="AR50" i="27"/>
  <c r="AU32" i="27" a="1"/>
  <c r="AU32" i="27" s="1"/>
  <c r="AW32" i="27" s="1"/>
  <c r="AR56" i="27"/>
  <c r="AQ32" i="27"/>
  <c r="AS140" i="27"/>
  <c r="AT140" i="27" s="1" a="1"/>
  <c r="AT140" i="27" s="1"/>
  <c r="AR32" i="27"/>
  <c r="AP140" i="27" a="1"/>
  <c r="AP140" i="27" s="1"/>
  <c r="AU106" i="27" a="1"/>
  <c r="AU106" i="27" s="1"/>
  <c r="AX106" i="27" s="1"/>
  <c r="AY106" i="27" s="1"/>
  <c r="AZ106" i="27" s="1" a="1"/>
  <c r="AZ106" i="27" s="1"/>
  <c r="AW108" i="27"/>
  <c r="AW140" i="27"/>
  <c r="AR48" i="27"/>
  <c r="AR13" i="27"/>
  <c r="AS75" i="27"/>
  <c r="AT75" i="27" s="1" a="1"/>
  <c r="AT75" i="27" s="1"/>
  <c r="AP48" i="27" a="1"/>
  <c r="AP48" i="27" s="1"/>
  <c r="AQ106" i="27"/>
  <c r="AU48" i="27" a="1"/>
  <c r="AU48" i="27" s="1"/>
  <c r="AX48" i="27" s="1"/>
  <c r="AQ60" i="27"/>
  <c r="AR31" i="27"/>
  <c r="AQ47" i="27"/>
  <c r="AS130" i="27"/>
  <c r="AT130" i="27" s="1" a="1"/>
  <c r="AT130" i="27" s="1"/>
  <c r="AR60" i="27"/>
  <c r="AS13" i="27"/>
  <c r="AT13" i="27" s="1" a="1"/>
  <c r="AT13" i="27" s="1"/>
  <c r="AP79" i="27" a="1"/>
  <c r="AP79" i="27" s="1"/>
  <c r="AQ97" i="27"/>
  <c r="AX99" i="27"/>
  <c r="AY99" i="27" s="1"/>
  <c r="AZ99" i="27" s="1" a="1"/>
  <c r="AZ99" i="27" s="1"/>
  <c r="AR18" i="27"/>
  <c r="AP85" i="27" a="1"/>
  <c r="AP85" i="27" s="1"/>
  <c r="AV85" i="27" a="1"/>
  <c r="AV85" i="27" s="1"/>
  <c r="AW85" i="27"/>
  <c r="AX85" i="27"/>
  <c r="AY85" i="27" s="1"/>
  <c r="AR10" i="27"/>
  <c r="AU24" i="27" a="1"/>
  <c r="AU24" i="27" s="1"/>
  <c r="AV24" i="27" s="1" a="1"/>
  <c r="AV24" i="27" s="1"/>
  <c r="AV68" i="27" a="1"/>
  <c r="AV68" i="27" s="1"/>
  <c r="AP30" i="27" a="1"/>
  <c r="AP30" i="27" s="1"/>
  <c r="AR79" i="27"/>
  <c r="AS85" i="27"/>
  <c r="AT85" i="27" s="1" a="1"/>
  <c r="AT85" i="27" s="1"/>
  <c r="AS24" i="27"/>
  <c r="AT24" i="27" s="1" a="1"/>
  <c r="AT24" i="27" s="1"/>
  <c r="AS68" i="27"/>
  <c r="AT68" i="27" s="1" a="1"/>
  <c r="AT68" i="27" s="1"/>
  <c r="AR78" i="27"/>
  <c r="AQ24" i="27"/>
  <c r="AS30" i="27"/>
  <c r="AT30" i="27" s="1" a="1"/>
  <c r="AT30" i="27" s="1"/>
  <c r="AR24" i="27"/>
  <c r="AR140" i="27"/>
  <c r="AQ30" i="27"/>
  <c r="AU78" i="27" a="1"/>
  <c r="AU78" i="27" s="1"/>
  <c r="AU30" i="27" a="1"/>
  <c r="AU30" i="27" s="1"/>
  <c r="AW30" i="27" s="1"/>
  <c r="AQ68" i="27"/>
  <c r="AP68" i="27" a="1"/>
  <c r="AP68" i="27" s="1"/>
  <c r="AV140" i="27" a="1"/>
  <c r="AV140" i="27" s="1"/>
  <c r="AQ85" i="27"/>
  <c r="AQ120" i="27"/>
  <c r="AU103" i="27" a="1"/>
  <c r="AU103" i="27" s="1"/>
  <c r="AV103" i="27" s="1" a="1"/>
  <c r="AV103" i="27" s="1"/>
  <c r="AQ53" i="27"/>
  <c r="AR103" i="27"/>
  <c r="AS78" i="27"/>
  <c r="AT78" i="27" s="1" a="1"/>
  <c r="AT78" i="27" s="1"/>
  <c r="AU107" i="27" a="1"/>
  <c r="AU107" i="27" s="1"/>
  <c r="AX107" i="27" s="1"/>
  <c r="AY107" i="27" s="1"/>
  <c r="AP53" i="27" a="1"/>
  <c r="AP53" i="27" s="1"/>
  <c r="AQ72" i="27"/>
  <c r="AX68" i="27"/>
  <c r="AY68" i="27" s="1"/>
  <c r="AP72" i="27" a="1"/>
  <c r="AP72" i="27" s="1"/>
  <c r="AS126" i="27"/>
  <c r="AT126" i="27" s="1" a="1"/>
  <c r="AT126" i="27" s="1"/>
  <c r="AQ130" i="27"/>
  <c r="AU47" i="27" a="1"/>
  <c r="AU47" i="27" s="1"/>
  <c r="AX47" i="27" s="1"/>
  <c r="AR114" i="27"/>
  <c r="AQ126" i="27"/>
  <c r="AP47" i="27" a="1"/>
  <c r="AP47" i="27" s="1"/>
  <c r="AQ79" i="27"/>
  <c r="AU79" i="27" a="1"/>
  <c r="AU79" i="27" s="1"/>
  <c r="AP39" i="27" a="1"/>
  <c r="AP39" i="27" s="1"/>
  <c r="AS106" i="27"/>
  <c r="AT106" i="27" s="1" a="1"/>
  <c r="AT106" i="27" s="1"/>
  <c r="AQ44" i="27"/>
  <c r="AV108" i="27" a="1"/>
  <c r="AV108" i="27" s="1"/>
  <c r="AQ39" i="27"/>
  <c r="AU42" i="27" a="1"/>
  <c r="AU42" i="27" s="1"/>
  <c r="AX42" i="27" s="1"/>
  <c r="AW134" i="27"/>
  <c r="AP42" i="27" a="1"/>
  <c r="AP42" i="27" s="1"/>
  <c r="AQ116" i="27"/>
  <c r="AU116" i="27" a="1"/>
  <c r="AU116" i="27" s="1"/>
  <c r="AV116" i="27" s="1" a="1"/>
  <c r="AV116" i="27" s="1"/>
  <c r="AU55" i="27" a="1"/>
  <c r="AU55" i="27" s="1"/>
  <c r="AP55" i="27" a="1"/>
  <c r="AP55" i="27" s="1"/>
  <c r="AQ55" i="27"/>
  <c r="AS120" i="27"/>
  <c r="AT120" i="27" s="1" a="1"/>
  <c r="AT120" i="27" s="1"/>
  <c r="AU120" i="27" a="1"/>
  <c r="AU120" i="27" s="1"/>
  <c r="AW120" i="27" s="1"/>
  <c r="AU128" i="27" a="1"/>
  <c r="AU128" i="27" s="1"/>
  <c r="AV128" i="27" s="1" a="1"/>
  <c r="AV128" i="27" s="1"/>
  <c r="AV126" i="27" a="1"/>
  <c r="AV126" i="27" s="1"/>
  <c r="AU130" i="27" a="1"/>
  <c r="AU130" i="27" s="1"/>
  <c r="AQ31" i="27"/>
  <c r="AU31" i="27" a="1"/>
  <c r="AU31" i="27" s="1"/>
  <c r="AS39" i="27"/>
  <c r="AT39" i="27" s="1" a="1"/>
  <c r="AT39" i="27" s="1"/>
  <c r="AP120" i="27" a="1"/>
  <c r="AP120" i="27" s="1"/>
  <c r="AU13" i="27" a="1"/>
  <c r="AU13" i="27" s="1"/>
  <c r="AV13" i="27" s="1" a="1"/>
  <c r="AV13" i="27" s="1"/>
  <c r="AP106" i="27" a="1"/>
  <c r="AP106" i="27" s="1"/>
  <c r="AP126" i="27" a="1"/>
  <c r="AP126" i="27" s="1"/>
  <c r="AP27" i="27" a="1"/>
  <c r="AP27" i="27" s="1"/>
  <c r="AQ125" i="27"/>
  <c r="AU125" i="27" a="1"/>
  <c r="AU125" i="27" s="1"/>
  <c r="AS34" i="27"/>
  <c r="AT34" i="27" s="1" a="1"/>
  <c r="AT34" i="27" s="1"/>
  <c r="AU138" i="27" a="1"/>
  <c r="AU138" i="27" s="1"/>
  <c r="AX138" i="27" s="1"/>
  <c r="AW61" i="27"/>
  <c r="AU34" i="27" a="1"/>
  <c r="AU34" i="27" s="1"/>
  <c r="AX34" i="27" s="1"/>
  <c r="AY34" i="27" s="1"/>
  <c r="AR97" i="27"/>
  <c r="AP97" i="27" a="1"/>
  <c r="AP97" i="27" s="1"/>
  <c r="AR82" i="27"/>
  <c r="AS82" i="27"/>
  <c r="AT82" i="27" s="1" a="1"/>
  <c r="AT82" i="27" s="1"/>
  <c r="AP107" i="27" a="1"/>
  <c r="AP107" i="27" s="1"/>
  <c r="AP15" i="27" a="1"/>
  <c r="AP15" i="27" s="1"/>
  <c r="AS80" i="27"/>
  <c r="AT80" i="27" s="1" a="1"/>
  <c r="AT80" i="27" s="1"/>
  <c r="AU80" i="27" a="1"/>
  <c r="AU80" i="27" s="1"/>
  <c r="AP82" i="27" a="1"/>
  <c r="AP82" i="27" s="1"/>
  <c r="AQ15" i="27"/>
  <c r="AU27" i="27" a="1"/>
  <c r="AU27" i="27" s="1"/>
  <c r="AV27" i="27" s="1" a="1"/>
  <c r="AV27" i="27" s="1"/>
  <c r="AU82" i="27" a="1"/>
  <c r="AU82" i="27" s="1"/>
  <c r="AV82" i="27" s="1" a="1"/>
  <c r="AV82" i="27" s="1"/>
  <c r="AP66" i="27" a="1"/>
  <c r="AP66" i="27" s="1"/>
  <c r="AQ82" i="27"/>
  <c r="AR20" i="27"/>
  <c r="AR98" i="27"/>
  <c r="AR26" i="27"/>
  <c r="AP138" i="27" a="1"/>
  <c r="AP138" i="27" s="1"/>
  <c r="AP98" i="27" a="1"/>
  <c r="AP98" i="27" s="1"/>
  <c r="AQ138" i="27"/>
  <c r="AP34" i="27" a="1"/>
  <c r="AP34" i="27" s="1"/>
  <c r="AQ98" i="27"/>
  <c r="AQ34" i="27"/>
  <c r="AU98" i="27" a="1"/>
  <c r="AU98" i="27" s="1"/>
  <c r="AX98" i="27" s="1"/>
  <c r="AV8" i="27" a="1"/>
  <c r="AV8" i="27" s="1"/>
  <c r="AX8" i="27"/>
  <c r="AY8" i="27" s="1"/>
  <c r="AZ8" i="27" s="1" a="1"/>
  <c r="AZ8" i="27" s="1"/>
  <c r="AW8" i="27"/>
  <c r="AS90" i="27"/>
  <c r="AT90" i="27" s="1" a="1"/>
  <c r="AT90" i="27" s="1"/>
  <c r="AR90" i="27"/>
  <c r="AR135" i="27"/>
  <c r="AQ90" i="27"/>
  <c r="AU87" i="27" a="1"/>
  <c r="AU87" i="27" s="1"/>
  <c r="AX87" i="27" s="1"/>
  <c r="AS87" i="27"/>
  <c r="AT87" i="27" s="1" a="1"/>
  <c r="AT87" i="27" s="1"/>
  <c r="AS20" i="27"/>
  <c r="AT20" i="27" s="1" a="1"/>
  <c r="AT20" i="27" s="1"/>
  <c r="AR87" i="27"/>
  <c r="AR64" i="27"/>
  <c r="AP87" i="27" a="1"/>
  <c r="AP87" i="27" s="1"/>
  <c r="AQ35" i="27"/>
  <c r="AP35" i="27" a="1"/>
  <c r="AP35" i="27" s="1"/>
  <c r="AU35" i="27" a="1"/>
  <c r="AU35" i="27" s="1"/>
  <c r="AU90" i="27" a="1"/>
  <c r="AU90" i="27" s="1"/>
  <c r="AX90" i="27" s="1"/>
  <c r="AR138" i="27"/>
  <c r="AQ27" i="27"/>
  <c r="AS27" i="27"/>
  <c r="AT27" i="27" s="1" a="1"/>
  <c r="AT27" i="27" s="1"/>
  <c r="AQ114" i="27"/>
  <c r="AU114" i="27" a="1"/>
  <c r="AU114" i="27" s="1"/>
  <c r="AS8" i="27"/>
  <c r="AT8" i="27" s="1" a="1"/>
  <c r="AT8" i="27" s="1"/>
  <c r="AS100" i="27"/>
  <c r="AT100" i="27" s="1" a="1"/>
  <c r="AT100" i="27" s="1"/>
  <c r="AR66" i="27"/>
  <c r="AS14" i="27"/>
  <c r="AT14" i="27" s="1" a="1"/>
  <c r="AT14" i="27" s="1"/>
  <c r="AR14" i="27"/>
  <c r="AQ14" i="27"/>
  <c r="AP14" i="27" a="1"/>
  <c r="AP14" i="27" s="1"/>
  <c r="AU14" i="27" a="1"/>
  <c r="AU14" i="27" s="1"/>
  <c r="AU39" i="27" a="1"/>
  <c r="AU39" i="27" s="1"/>
  <c r="AU66" i="27" a="1"/>
  <c r="AU66" i="27" s="1"/>
  <c r="AW66" i="27" s="1"/>
  <c r="AU111" i="27" a="1"/>
  <c r="AU111" i="27" s="1"/>
  <c r="AV111" i="27" s="1" a="1"/>
  <c r="AV111" i="27" s="1"/>
  <c r="AS19" i="27"/>
  <c r="AT19" i="27" s="1" a="1"/>
  <c r="AT19" i="27" s="1"/>
  <c r="AR19" i="27"/>
  <c r="AQ19" i="27"/>
  <c r="AP19" i="27" a="1"/>
  <c r="AP19" i="27" s="1"/>
  <c r="AU19" i="27" a="1"/>
  <c r="AU19" i="27" s="1"/>
  <c r="AS37" i="27"/>
  <c r="AT37" i="27" s="1" a="1"/>
  <c r="AT37" i="27" s="1"/>
  <c r="AQ58" i="27"/>
  <c r="AR121" i="27"/>
  <c r="AS115" i="27"/>
  <c r="AT115" i="27" s="1" a="1"/>
  <c r="AT115" i="27" s="1"/>
  <c r="AU115" i="27" a="1"/>
  <c r="AU115" i="27" s="1"/>
  <c r="AP115" i="27" a="1"/>
  <c r="AP115" i="27" s="1"/>
  <c r="AQ115" i="27"/>
  <c r="AP44" i="27" a="1"/>
  <c r="AP44" i="27" s="1"/>
  <c r="AU44" i="27" a="1"/>
  <c r="AU44" i="27" s="1"/>
  <c r="AS136" i="27"/>
  <c r="AT136" i="27" s="1" a="1"/>
  <c r="AT136" i="27" s="1"/>
  <c r="AS91" i="27"/>
  <c r="AT91" i="27" s="1" a="1"/>
  <c r="AT91" i="27" s="1"/>
  <c r="AR91" i="27"/>
  <c r="AU91" i="27" a="1"/>
  <c r="AU91" i="27" s="1"/>
  <c r="AQ91" i="27"/>
  <c r="AQ63" i="27"/>
  <c r="AP63" i="27" a="1"/>
  <c r="AP63" i="27" s="1"/>
  <c r="AU63" i="27" a="1"/>
  <c r="AU63" i="27" s="1"/>
  <c r="AS63" i="27"/>
  <c r="AT63" i="27" s="1" a="1"/>
  <c r="AT63" i="27" s="1"/>
  <c r="AR124" i="27"/>
  <c r="AU96" i="27" a="1"/>
  <c r="AU96" i="27" s="1"/>
  <c r="AR96" i="27"/>
  <c r="AQ135" i="27"/>
  <c r="AP135" i="27" a="1"/>
  <c r="AP135" i="27" s="1"/>
  <c r="AU135" i="27" a="1"/>
  <c r="AU135" i="27" s="1"/>
  <c r="AQ111" i="27"/>
  <c r="AP111" i="27" a="1"/>
  <c r="AP111" i="27" s="1"/>
  <c r="AS58" i="27"/>
  <c r="AT58" i="27" s="1" a="1"/>
  <c r="AT58" i="27" s="1"/>
  <c r="AU83" i="27" a="1"/>
  <c r="AU83" i="27" s="1"/>
  <c r="AW83" i="27" s="1"/>
  <c r="AR83" i="27"/>
  <c r="AP59" i="27" a="1"/>
  <c r="AP59" i="27" s="1"/>
  <c r="AQ59" i="27"/>
  <c r="AU59" i="27" a="1"/>
  <c r="AU59" i="27" s="1"/>
  <c r="AR59" i="27"/>
  <c r="AS83" i="27"/>
  <c r="AT83" i="27" s="1" a="1"/>
  <c r="AT83" i="27" s="1"/>
  <c r="AV134" i="27" a="1"/>
  <c r="AV134" i="27" s="1"/>
  <c r="AX104" i="27"/>
  <c r="AY104" i="27" s="1"/>
  <c r="AZ104" i="27" s="1" a="1"/>
  <c r="AZ104" i="27" s="1"/>
  <c r="AW104" i="27"/>
  <c r="AV104" i="27" a="1"/>
  <c r="AV104" i="27" s="1"/>
  <c r="AS112" i="27"/>
  <c r="AT112" i="27" s="1" a="1"/>
  <c r="AT112" i="27" s="1"/>
  <c r="AP37" i="27" a="1"/>
  <c r="AP37" i="27" s="1"/>
  <c r="AX61" i="27"/>
  <c r="AY61" i="27" s="1"/>
  <c r="AS42" i="27"/>
  <c r="AT42" i="27" s="1" a="1"/>
  <c r="AT42" i="27" s="1"/>
  <c r="AS111" i="27"/>
  <c r="AT111" i="27" s="1" a="1"/>
  <c r="AT111" i="27" s="1"/>
  <c r="AQ37" i="27"/>
  <c r="AS116" i="27"/>
  <c r="AT116" i="27" s="1" a="1"/>
  <c r="AT116" i="27" s="1"/>
  <c r="AU37" i="27" a="1"/>
  <c r="AU37" i="27" s="1"/>
  <c r="AV37" i="27" s="1" a="1"/>
  <c r="AV37" i="27" s="1"/>
  <c r="AR116" i="27"/>
  <c r="AS10" i="27"/>
  <c r="AT10" i="27" s="1" a="1"/>
  <c r="AT10" i="27" s="1"/>
  <c r="AQ10" i="27"/>
  <c r="AU10" i="27" a="1"/>
  <c r="AU10" i="27" s="1"/>
  <c r="AR58" i="27"/>
  <c r="AP58" i="27" a="1"/>
  <c r="AP58" i="27" s="1"/>
  <c r="AQ83" i="27"/>
  <c r="AU20" i="27" a="1"/>
  <c r="AU20" i="27" s="1"/>
  <c r="AQ20" i="27"/>
  <c r="AV84" i="27" a="1"/>
  <c r="AV84" i="27" s="1"/>
  <c r="AX84" i="27"/>
  <c r="AW84" i="27"/>
  <c r="AR42" i="27"/>
  <c r="AR37" i="27"/>
  <c r="AS66" i="27"/>
  <c r="AT66" i="27" s="1" a="1"/>
  <c r="AT66" i="27" s="1"/>
  <c r="AW29" i="27"/>
  <c r="AX29" i="27"/>
  <c r="AV29" i="27" a="1"/>
  <c r="AV29" i="27" s="1"/>
  <c r="AP121" i="27" a="1"/>
  <c r="AP121" i="27" s="1"/>
  <c r="AQ121" i="27"/>
  <c r="AU121" i="27" a="1"/>
  <c r="AU121" i="27" s="1"/>
  <c r="AP41" i="27" a="1"/>
  <c r="AP41" i="27" s="1"/>
  <c r="AQ41" i="27"/>
  <c r="AU41" i="27" a="1"/>
  <c r="AU41" i="27" s="1"/>
  <c r="AS41" i="27"/>
  <c r="AT41" i="27" s="1" a="1"/>
  <c r="AT41" i="27" s="1"/>
  <c r="AR41" i="27"/>
  <c r="AQ117" i="27"/>
  <c r="AU117" i="27" a="1"/>
  <c r="AU117" i="27" s="1"/>
  <c r="AP117" i="27" a="1"/>
  <c r="AP117" i="27" s="1"/>
  <c r="AS117" i="27"/>
  <c r="AT117" i="27" s="1" a="1"/>
  <c r="AT117" i="27" s="1"/>
  <c r="AR142" i="27"/>
  <c r="AU142" i="27" a="1"/>
  <c r="AU142" i="27" s="1"/>
  <c r="AQ142" i="27"/>
  <c r="AP142" i="27" a="1"/>
  <c r="AP142" i="27" s="1"/>
  <c r="AS142" i="27"/>
  <c r="AT142" i="27" s="1" a="1"/>
  <c r="AT142" i="27" s="1"/>
  <c r="AP17" i="27" a="1"/>
  <c r="AP17" i="27" s="1"/>
  <c r="AQ17" i="27"/>
  <c r="AR17" i="27"/>
  <c r="AU17" i="27" a="1"/>
  <c r="AU17" i="27" s="1"/>
  <c r="AS17" i="27"/>
  <c r="AT17" i="27" s="1" a="1"/>
  <c r="AT17" i="27" s="1"/>
  <c r="AP69" i="27" a="1"/>
  <c r="AP69" i="27" s="1"/>
  <c r="AQ69" i="27"/>
  <c r="AU69" i="27" a="1"/>
  <c r="AU69" i="27" s="1"/>
  <c r="AS69" i="27"/>
  <c r="AT69" i="27" s="1" a="1"/>
  <c r="AT69" i="27" s="1"/>
  <c r="AR69" i="27"/>
  <c r="AQ40" i="27"/>
  <c r="AU40" i="27" a="1"/>
  <c r="AU40" i="27" s="1"/>
  <c r="AP40" i="27" a="1"/>
  <c r="AP40" i="27" s="1"/>
  <c r="AR40" i="27"/>
  <c r="AQ119" i="27"/>
  <c r="AU119" i="27" a="1"/>
  <c r="AU119" i="27" s="1"/>
  <c r="AS119" i="27"/>
  <c r="AT119" i="27" s="1" a="1"/>
  <c r="AT119" i="27" s="1"/>
  <c r="AP119" i="27" a="1"/>
  <c r="AP119" i="27" s="1"/>
  <c r="AR119" i="27"/>
  <c r="AY140" i="27"/>
  <c r="AZ140" i="27" s="1" a="1"/>
  <c r="AZ140" i="27" s="1"/>
  <c r="AQ73" i="27"/>
  <c r="AP73" i="27" a="1"/>
  <c r="AP73" i="27" s="1"/>
  <c r="AU73" i="27" a="1"/>
  <c r="AU73" i="27" s="1"/>
  <c r="AR73" i="27"/>
  <c r="AS73" i="27"/>
  <c r="AT73" i="27" s="1" a="1"/>
  <c r="AT73" i="27" s="1"/>
  <c r="AP76" i="27" a="1"/>
  <c r="AP76" i="27" s="1"/>
  <c r="AU76" i="27" a="1"/>
  <c r="AU76" i="27" s="1"/>
  <c r="AQ76" i="27"/>
  <c r="AR76" i="27"/>
  <c r="AS76" i="27"/>
  <c r="AT76" i="27" s="1" a="1"/>
  <c r="AT76" i="27" s="1"/>
  <c r="AU88" i="27" a="1"/>
  <c r="AU88" i="27" s="1"/>
  <c r="AP88" i="27" a="1"/>
  <c r="AP88" i="27" s="1"/>
  <c r="AQ88" i="27"/>
  <c r="AR88" i="27"/>
  <c r="AU123" i="27" a="1"/>
  <c r="AU123" i="27" s="1"/>
  <c r="AS123" i="27"/>
  <c r="AT123" i="27" s="1" a="1"/>
  <c r="AT123" i="27" s="1"/>
  <c r="AQ123" i="27"/>
  <c r="AP123" i="27" a="1"/>
  <c r="AP123" i="27" s="1"/>
  <c r="AU64" i="27" a="1"/>
  <c r="AU64" i="27" s="1"/>
  <c r="AQ64" i="27"/>
  <c r="AP64" i="27" a="1"/>
  <c r="AP64" i="27" s="1"/>
  <c r="AS88" i="27"/>
  <c r="AT88" i="27" s="1" a="1"/>
  <c r="AT88" i="27" s="1"/>
  <c r="AS45" i="27"/>
  <c r="AT45" i="27" s="1" a="1"/>
  <c r="AT45" i="27" s="1"/>
  <c r="AU45" i="27" a="1"/>
  <c r="AU45" i="27" s="1"/>
  <c r="AP45" i="27" a="1"/>
  <c r="AP45" i="27" s="1"/>
  <c r="AQ45" i="27"/>
  <c r="AP38" i="27" a="1"/>
  <c r="AP38" i="27" s="1"/>
  <c r="AQ38" i="27"/>
  <c r="AU38" i="27" a="1"/>
  <c r="AU38" i="27" s="1"/>
  <c r="AS38" i="27"/>
  <c r="AT38" i="27" s="1" a="1"/>
  <c r="AT38" i="27" s="1"/>
  <c r="AR38" i="27"/>
  <c r="AU22" i="27" a="1"/>
  <c r="AU22" i="27" s="1"/>
  <c r="AP22" i="27" a="1"/>
  <c r="AP22" i="27" s="1"/>
  <c r="AQ22" i="27"/>
  <c r="AR22" i="27"/>
  <c r="AS22" i="27"/>
  <c r="AT22" i="27" s="1" a="1"/>
  <c r="AT22" i="27" s="1"/>
  <c r="AU124" i="27" a="1"/>
  <c r="AU124" i="27" s="1"/>
  <c r="AP124" i="27" a="1"/>
  <c r="AP124" i="27" s="1"/>
  <c r="AQ124" i="27"/>
  <c r="AU112" i="27" a="1"/>
  <c r="AU112" i="27" s="1"/>
  <c r="AQ112" i="27"/>
  <c r="AP112" i="27" a="1"/>
  <c r="AP112" i="27" s="1"/>
  <c r="AR49" i="27"/>
  <c r="AU49" i="27" a="1"/>
  <c r="AU49" i="27" s="1"/>
  <c r="AP49" i="27" a="1"/>
  <c r="AP49" i="27" s="1"/>
  <c r="AQ49" i="27"/>
  <c r="AY108" i="27"/>
  <c r="AQ16" i="27"/>
  <c r="AU16" i="27" a="1"/>
  <c r="AU16" i="27" s="1"/>
  <c r="AP16" i="27" a="1"/>
  <c r="AP16" i="27" s="1"/>
  <c r="AW58" i="27"/>
  <c r="AX58" i="27"/>
  <c r="AV58" i="27" a="1"/>
  <c r="AV58" i="27" s="1"/>
  <c r="AQ28" i="27"/>
  <c r="AP28" i="27" a="1"/>
  <c r="AP28" i="27" s="1"/>
  <c r="AR28" i="27"/>
  <c r="AU28" i="27" a="1"/>
  <c r="AU28" i="27" s="1"/>
  <c r="AR16" i="27"/>
  <c r="AP137" i="27" a="1"/>
  <c r="AP137" i="27" s="1"/>
  <c r="AQ137" i="27"/>
  <c r="AU137" i="27" a="1"/>
  <c r="AU137" i="27" s="1"/>
  <c r="AR137" i="27"/>
  <c r="AU62" i="27" a="1"/>
  <c r="AU62" i="27" s="1"/>
  <c r="AP62" i="27" a="1"/>
  <c r="AP62" i="27" s="1"/>
  <c r="AQ62" i="27"/>
  <c r="AR62" i="27"/>
  <c r="AP122" i="27" a="1"/>
  <c r="AP122" i="27" s="1"/>
  <c r="AQ122" i="27"/>
  <c r="AU122" i="27" a="1"/>
  <c r="AU122" i="27" s="1"/>
  <c r="AW26" i="27"/>
  <c r="AX26" i="27"/>
  <c r="AV26" i="27" a="1"/>
  <c r="AV26" i="27" s="1"/>
  <c r="AU136" i="27" a="1"/>
  <c r="AU136" i="27" s="1"/>
  <c r="AQ136" i="27"/>
  <c r="AP136" i="27" a="1"/>
  <c r="AP136" i="27" s="1"/>
  <c r="AX11" i="27"/>
  <c r="AW11" i="27"/>
  <c r="AV11" i="27" a="1"/>
  <c r="AV11" i="27" s="1"/>
  <c r="AS46" i="27"/>
  <c r="AT46" i="27" s="1" a="1"/>
  <c r="AT46" i="27" s="1"/>
  <c r="AU46" i="27" a="1"/>
  <c r="AU46" i="27" s="1"/>
  <c r="AQ46" i="27"/>
  <c r="AP46" i="27" a="1"/>
  <c r="AP46" i="27" s="1"/>
  <c r="AR122" i="27"/>
  <c r="AP93" i="27" a="1"/>
  <c r="AP93" i="27" s="1"/>
  <c r="AS93" i="27"/>
  <c r="AT93" i="27" s="1" a="1"/>
  <c r="AT93" i="27" s="1"/>
  <c r="AQ93" i="27"/>
  <c r="AU93" i="27" a="1"/>
  <c r="AU93" i="27" s="1"/>
  <c r="AQ70" i="27"/>
  <c r="AR70" i="27"/>
  <c r="AS70" i="27"/>
  <c r="AT70" i="27" s="1" a="1"/>
  <c r="AT70" i="27" s="1"/>
  <c r="AU70" i="27" a="1"/>
  <c r="AU70" i="27" s="1"/>
  <c r="AP70" i="27" a="1"/>
  <c r="AP70" i="27" s="1"/>
  <c r="AP23" i="27" a="1"/>
  <c r="AP23" i="27" s="1"/>
  <c r="AQ23" i="27"/>
  <c r="AU23" i="27" a="1"/>
  <c r="AU23" i="27" s="1"/>
  <c r="AP52" i="27" a="1"/>
  <c r="AP52" i="27" s="1"/>
  <c r="AR52" i="27"/>
  <c r="AQ52" i="27"/>
  <c r="AU52" i="27" a="1"/>
  <c r="AU52" i="27" s="1"/>
  <c r="AY134" i="27"/>
  <c r="AW97" i="27"/>
  <c r="AX97" i="27"/>
  <c r="AV97" i="27" a="1"/>
  <c r="AV97" i="27" s="1"/>
  <c r="AQ94" i="27"/>
  <c r="AU94" i="27" a="1"/>
  <c r="AU94" i="27" s="1"/>
  <c r="AP94" i="27" a="1"/>
  <c r="AP94" i="27" s="1"/>
  <c r="AR94" i="27"/>
  <c r="AS94" i="27"/>
  <c r="AT94" i="27" s="1" a="1"/>
  <c r="AT94" i="27" s="1"/>
  <c r="AR23" i="27"/>
  <c r="AQ127" i="27"/>
  <c r="AP127" i="27" a="1"/>
  <c r="AP127" i="27" s="1"/>
  <c r="AR127" i="27"/>
  <c r="AU127" i="27" a="1"/>
  <c r="AU127" i="27" s="1"/>
  <c r="AQ86" i="27"/>
  <c r="AR86" i="27"/>
  <c r="AS86" i="27"/>
  <c r="AT86" i="27" s="1" a="1"/>
  <c r="AT86" i="27" s="1"/>
  <c r="AU86" i="27" a="1"/>
  <c r="AU86" i="27" s="1"/>
  <c r="AP86" i="27" a="1"/>
  <c r="AP86" i="27" s="1"/>
  <c r="AS141" i="27"/>
  <c r="AT141" i="27" s="1" a="1"/>
  <c r="AT141" i="27" s="1"/>
  <c r="AU141" i="27" a="1"/>
  <c r="AU141" i="27" s="1"/>
  <c r="AP141" i="27" a="1"/>
  <c r="AP141" i="27" s="1"/>
  <c r="AQ141" i="27"/>
  <c r="AQ95" i="27"/>
  <c r="AP95" i="27" a="1"/>
  <c r="AP95" i="27" s="1"/>
  <c r="AS95" i="27"/>
  <c r="AT95" i="27" s="1" a="1"/>
  <c r="AT95" i="27" s="1"/>
  <c r="AU95" i="27" a="1"/>
  <c r="AU95" i="27" s="1"/>
  <c r="AP110" i="27" a="1"/>
  <c r="AP110" i="27" s="1"/>
  <c r="AQ110" i="27"/>
  <c r="AS110" i="27"/>
  <c r="AT110" i="27" s="1" a="1"/>
  <c r="AT110" i="27" s="1"/>
  <c r="AU110" i="27" a="1"/>
  <c r="AU110" i="27" s="1"/>
  <c r="AP89" i="27" a="1"/>
  <c r="AP89" i="27" s="1"/>
  <c r="AU89" i="27" a="1"/>
  <c r="AU89" i="27" s="1"/>
  <c r="AQ89" i="27"/>
  <c r="AU21" i="27" a="1"/>
  <c r="AU21" i="27" s="1"/>
  <c r="AQ21" i="27"/>
  <c r="AS21" i="27"/>
  <c r="AT21" i="27" s="1" a="1"/>
  <c r="AT21" i="27" s="1"/>
  <c r="AP21" i="27" a="1"/>
  <c r="AP21" i="27" s="1"/>
  <c r="AR89" i="27"/>
  <c r="AR95" i="27"/>
  <c r="AQ100" i="27"/>
  <c r="AU100" i="27" a="1"/>
  <c r="AU100" i="27" s="1"/>
  <c r="AP100" i="27" a="1"/>
  <c r="AP100" i="27" s="1"/>
  <c r="AS137" i="27"/>
  <c r="AT137" i="27" s="1" a="1"/>
  <c r="AT137" i="27" s="1"/>
  <c r="AX12" i="27" l="1"/>
  <c r="AY12" i="27" s="1"/>
  <c r="AZ12" i="27" s="1" a="1"/>
  <c r="AZ12" i="27" s="1"/>
  <c r="AV12" i="27" a="1"/>
  <c r="AV12" i="27" s="1"/>
  <c r="AV92" i="27" a="1"/>
  <c r="AV92" i="27" s="1"/>
  <c r="AW92" i="27"/>
  <c r="AX9" i="27"/>
  <c r="AY9" i="27" s="1"/>
  <c r="AZ9" i="27" s="1" a="1"/>
  <c r="AZ9" i="27" s="1"/>
  <c r="AX36" i="27"/>
  <c r="AY36" i="27" s="1"/>
  <c r="AZ36" i="27" s="1" a="1"/>
  <c r="AZ36" i="27" s="1"/>
  <c r="AW71" i="27"/>
  <c r="AW9" i="27"/>
  <c r="AW36" i="27"/>
  <c r="AX25" i="27"/>
  <c r="AY25" i="27" s="1"/>
  <c r="AZ25" i="27" s="1" a="1"/>
  <c r="AZ25" i="27" s="1"/>
  <c r="AV105" i="27" a="1"/>
  <c r="AV105" i="27" s="1"/>
  <c r="AV109" i="27" a="1"/>
  <c r="AV109" i="27" s="1"/>
  <c r="AV33" i="27" a="1"/>
  <c r="AV33" i="27" s="1"/>
  <c r="AW77" i="27"/>
  <c r="AX77" i="27"/>
  <c r="AY77" i="27" s="1"/>
  <c r="AX109" i="27"/>
  <c r="AY109" i="27" s="1"/>
  <c r="AZ109" i="27" s="1" a="1"/>
  <c r="AZ109" i="27" s="1"/>
  <c r="AV71" i="27" a="1"/>
  <c r="AV71" i="27" s="1"/>
  <c r="AV25" i="27" a="1"/>
  <c r="AV25" i="27" s="1"/>
  <c r="AX105" i="27"/>
  <c r="AY105" i="27" s="1"/>
  <c r="AZ105" i="27" s="1" a="1"/>
  <c r="AZ105" i="27" s="1"/>
  <c r="AW81" i="27"/>
  <c r="AV81" i="27" a="1"/>
  <c r="AV81" i="27" s="1"/>
  <c r="AW33" i="27"/>
  <c r="AX143" i="27"/>
  <c r="AY143" i="27" s="1"/>
  <c r="AZ143" i="27" s="1" a="1"/>
  <c r="AZ143" i="27" s="1"/>
  <c r="AV143" i="27" a="1"/>
  <c r="AV143" i="27" s="1"/>
  <c r="AX113" i="27"/>
  <c r="AY113" i="27" s="1"/>
  <c r="AZ113" i="27" s="1" a="1"/>
  <c r="AZ113" i="27" s="1"/>
  <c r="AW113" i="27"/>
  <c r="AV51" i="27" a="1"/>
  <c r="AV51" i="27" s="1"/>
  <c r="AW57" i="27"/>
  <c r="AV57" i="27" a="1"/>
  <c r="AV57" i="27" s="1"/>
  <c r="AW51" i="27"/>
  <c r="AX139" i="27"/>
  <c r="AY139" i="27" s="1"/>
  <c r="AZ139" i="27" s="1" a="1"/>
  <c r="AZ139" i="27" s="1"/>
  <c r="AV139" i="27" a="1"/>
  <c r="AV139" i="27" s="1"/>
  <c r="AV67" i="27" a="1"/>
  <c r="AV67" i="27" s="1"/>
  <c r="AW67" i="27"/>
  <c r="AV129" i="27" a="1"/>
  <c r="AV129" i="27" s="1"/>
  <c r="AW129" i="27"/>
  <c r="AX65" i="27"/>
  <c r="AY65" i="27" s="1"/>
  <c r="AX118" i="27"/>
  <c r="AY118" i="27" s="1"/>
  <c r="AV65" i="27" a="1"/>
  <c r="AV65" i="27" s="1"/>
  <c r="AV118" i="27" a="1"/>
  <c r="AV118" i="27" s="1"/>
  <c r="AX133" i="27"/>
  <c r="AY133" i="27" s="1"/>
  <c r="AZ133" i="27" s="1" a="1"/>
  <c r="AZ133" i="27" s="1"/>
  <c r="AV133" i="27" a="1"/>
  <c r="AV133" i="27" s="1"/>
  <c r="AW102" i="27"/>
  <c r="AX56" i="27"/>
  <c r="AY56" i="27" s="1"/>
  <c r="AZ56" i="27" s="1" a="1"/>
  <c r="AZ56" i="27" s="1"/>
  <c r="AY144" i="27"/>
  <c r="AZ144" i="27" s="1" a="1"/>
  <c r="AZ144" i="27" s="1"/>
  <c r="AX131" i="27"/>
  <c r="AY131" i="27" s="1"/>
  <c r="AZ131" i="27" s="1" a="1"/>
  <c r="AZ131" i="27" s="1"/>
  <c r="AW131" i="27"/>
  <c r="AZ72" i="27" a="1"/>
  <c r="AZ72" i="27" s="1"/>
  <c r="AV32" i="27" a="1"/>
  <c r="AV32" i="27" s="1"/>
  <c r="AX54" i="27"/>
  <c r="AY54" i="27" s="1"/>
  <c r="AV54" i="27" a="1"/>
  <c r="AV54" i="27" s="1"/>
  <c r="AV102" i="27" a="1"/>
  <c r="AV102" i="27" s="1"/>
  <c r="AW56" i="27"/>
  <c r="AX101" i="27"/>
  <c r="AY101" i="27" s="1"/>
  <c r="AW101" i="27"/>
  <c r="AX60" i="27"/>
  <c r="AY60" i="27" s="1"/>
  <c r="AZ60" i="27" s="1" a="1"/>
  <c r="AZ60" i="27" s="1"/>
  <c r="AZ75" i="27" a="1"/>
  <c r="AZ75" i="27" s="1"/>
  <c r="AX18" i="27"/>
  <c r="AY18" i="27" s="1"/>
  <c r="AV74" i="27" a="1"/>
  <c r="AV74" i="27" s="1"/>
  <c r="AX74" i="27"/>
  <c r="AY74" i="27" s="1"/>
  <c r="AZ74" i="27" s="1" a="1"/>
  <c r="AZ74" i="27" s="1"/>
  <c r="AV18" i="27" a="1"/>
  <c r="AV18" i="27" s="1"/>
  <c r="AX43" i="27"/>
  <c r="AY43" i="27" s="1"/>
  <c r="AV48" i="27" a="1"/>
  <c r="AV48" i="27" s="1"/>
  <c r="AV107" i="27" a="1"/>
  <c r="AV107" i="27" s="1"/>
  <c r="AW107" i="27"/>
  <c r="AV15" i="27" a="1"/>
  <c r="AV15" i="27" s="1"/>
  <c r="AW43" i="27"/>
  <c r="AX53" i="27"/>
  <c r="AY53" i="27" s="1"/>
  <c r="AZ53" i="27" s="1" a="1"/>
  <c r="AZ53" i="27" s="1"/>
  <c r="AW50" i="27"/>
  <c r="AW15" i="27"/>
  <c r="AW53" i="27"/>
  <c r="AV120" i="27" a="1"/>
  <c r="AV120" i="27" s="1"/>
  <c r="AX50" i="27"/>
  <c r="AY50" i="27" s="1"/>
  <c r="AZ50" i="27" s="1" a="1"/>
  <c r="AZ50" i="27" s="1"/>
  <c r="AX103" i="27"/>
  <c r="AY103" i="27" s="1"/>
  <c r="AZ103" i="27" s="1" a="1"/>
  <c r="AZ103" i="27" s="1"/>
  <c r="AX32" i="27"/>
  <c r="AY32" i="27" s="1"/>
  <c r="AZ32" i="27" s="1" a="1"/>
  <c r="AZ32" i="27" s="1"/>
  <c r="AW60" i="27"/>
  <c r="AW116" i="27"/>
  <c r="AX116" i="27"/>
  <c r="AY116" i="27" s="1"/>
  <c r="AZ116" i="27" s="1" a="1"/>
  <c r="AZ116" i="27" s="1"/>
  <c r="AW24" i="27"/>
  <c r="AX24" i="27"/>
  <c r="AY24" i="27" s="1"/>
  <c r="AZ24" i="27" s="1" a="1"/>
  <c r="AZ24" i="27" s="1"/>
  <c r="AV30" i="27" a="1"/>
  <c r="AV30" i="27" s="1"/>
  <c r="AV98" i="27" a="1"/>
  <c r="AV98" i="27" s="1"/>
  <c r="AX120" i="27"/>
  <c r="AY120" i="27" s="1"/>
  <c r="AW90" i="27"/>
  <c r="AW48" i="27"/>
  <c r="AZ85" i="27" a="1"/>
  <c r="AZ85" i="27" s="1"/>
  <c r="AX111" i="27"/>
  <c r="AY111" i="27" s="1"/>
  <c r="AZ111" i="27" s="1" a="1"/>
  <c r="AZ111" i="27" s="1"/>
  <c r="AW128" i="27"/>
  <c r="AW106" i="27"/>
  <c r="AX128" i="27"/>
  <c r="AY128" i="27" s="1"/>
  <c r="AZ128" i="27" s="1" a="1"/>
  <c r="AZ128" i="27" s="1"/>
  <c r="AV106" i="27" a="1"/>
  <c r="AV106" i="27" s="1"/>
  <c r="AV34" i="27" a="1"/>
  <c r="AV34" i="27" s="1"/>
  <c r="AW103" i="27"/>
  <c r="AV83" i="27" a="1"/>
  <c r="AV83" i="27" s="1"/>
  <c r="AX83" i="27"/>
  <c r="AY83" i="27" s="1"/>
  <c r="AZ83" i="27" s="1" a="1"/>
  <c r="AZ83" i="27" s="1"/>
  <c r="AX30" i="27"/>
  <c r="AY30" i="27" s="1"/>
  <c r="AZ30" i="27" s="1" a="1"/>
  <c r="AZ30" i="27" s="1"/>
  <c r="AW78" i="27"/>
  <c r="AX78" i="27"/>
  <c r="AY78" i="27" s="1"/>
  <c r="AV78" i="27" a="1"/>
  <c r="AV78" i="27" s="1"/>
  <c r="AW98" i="27"/>
  <c r="AV42" i="27" a="1"/>
  <c r="AV42" i="27" s="1"/>
  <c r="AW111" i="27"/>
  <c r="AV90" i="27" a="1"/>
  <c r="AV90" i="27" s="1"/>
  <c r="AW42" i="27"/>
  <c r="AV138" i="27" a="1"/>
  <c r="AV138" i="27" s="1"/>
  <c r="AW138" i="27"/>
  <c r="AX27" i="27"/>
  <c r="AY27" i="27" s="1"/>
  <c r="AX55" i="27"/>
  <c r="AY55" i="27" s="1"/>
  <c r="AZ55" i="27" s="1" a="1"/>
  <c r="AZ55" i="27" s="1"/>
  <c r="AW55" i="27"/>
  <c r="AV55" i="27" a="1"/>
  <c r="AV55" i="27" s="1"/>
  <c r="AV47" i="27" a="1"/>
  <c r="AV47" i="27" s="1"/>
  <c r="AV87" i="27" a="1"/>
  <c r="AV87" i="27" s="1"/>
  <c r="AW47" i="27"/>
  <c r="AV125" i="27" a="1"/>
  <c r="AV125" i="27" s="1"/>
  <c r="AX125" i="27"/>
  <c r="AW125" i="27"/>
  <c r="AW82" i="27"/>
  <c r="AW13" i="27"/>
  <c r="AX13" i="27"/>
  <c r="AY13" i="27" s="1"/>
  <c r="AZ13" i="27" s="1" a="1"/>
  <c r="AZ13" i="27" s="1"/>
  <c r="AW87" i="27"/>
  <c r="AX31" i="27"/>
  <c r="AV31" i="27" a="1"/>
  <c r="AV31" i="27" s="1"/>
  <c r="AW31" i="27"/>
  <c r="AX130" i="27"/>
  <c r="AY130" i="27" s="1"/>
  <c r="AZ130" i="27" s="1" a="1"/>
  <c r="AZ130" i="27" s="1"/>
  <c r="AV130" i="27" a="1"/>
  <c r="AV130" i="27" s="1"/>
  <c r="AW130" i="27"/>
  <c r="AX79" i="27"/>
  <c r="AV79" i="27" a="1"/>
  <c r="AV79" i="27" s="1"/>
  <c r="AW79" i="27"/>
  <c r="AW80" i="27"/>
  <c r="AX80" i="27"/>
  <c r="AY80" i="27" s="1"/>
  <c r="AZ80" i="27" s="1" a="1"/>
  <c r="AZ80" i="27" s="1"/>
  <c r="AV80" i="27" a="1"/>
  <c r="AV80" i="27" s="1"/>
  <c r="AW27" i="27"/>
  <c r="AV66" i="27" a="1"/>
  <c r="AV66" i="27" s="1"/>
  <c r="AX66" i="27"/>
  <c r="AY66" i="27" s="1"/>
  <c r="AZ66" i="27" s="1" a="1"/>
  <c r="AZ66" i="27" s="1"/>
  <c r="AX82" i="27"/>
  <c r="AY82" i="27" s="1"/>
  <c r="AW34" i="27"/>
  <c r="AX114" i="27"/>
  <c r="AV114" i="27" a="1"/>
  <c r="AV114" i="27" s="1"/>
  <c r="AW114" i="27"/>
  <c r="AW37" i="27"/>
  <c r="AY81" i="27"/>
  <c r="AZ81" i="27" s="1" a="1"/>
  <c r="AZ81" i="27" s="1"/>
  <c r="AZ107" i="27" a="1"/>
  <c r="AZ107" i="27" s="1"/>
  <c r="AW35" i="27"/>
  <c r="AV35" i="27" a="1"/>
  <c r="AV35" i="27" s="1"/>
  <c r="AX35" i="27"/>
  <c r="AY35" i="27" s="1"/>
  <c r="AZ35" i="27" s="1" a="1"/>
  <c r="AZ35" i="27" s="1"/>
  <c r="AY84" i="27"/>
  <c r="AW44" i="27"/>
  <c r="AX44" i="27"/>
  <c r="AV44" i="27" a="1"/>
  <c r="AV44" i="27" s="1"/>
  <c r="AZ61" i="27" a="1"/>
  <c r="AZ61" i="27" s="1"/>
  <c r="AV96" i="27" a="1"/>
  <c r="AV96" i="27" s="1"/>
  <c r="AX96" i="27"/>
  <c r="AW96" i="27"/>
  <c r="AV10" i="27" a="1"/>
  <c r="AV10" i="27" s="1"/>
  <c r="AX10" i="27"/>
  <c r="AW10" i="27"/>
  <c r="AW59" i="27"/>
  <c r="AV59" i="27" a="1"/>
  <c r="AV59" i="27" s="1"/>
  <c r="AX59" i="27"/>
  <c r="AX37" i="27"/>
  <c r="AY37" i="27" s="1"/>
  <c r="AV20" i="27" a="1"/>
  <c r="AV20" i="27" s="1"/>
  <c r="AX20" i="27"/>
  <c r="AW20" i="27"/>
  <c r="AX63" i="27"/>
  <c r="AY63" i="27" s="1"/>
  <c r="AZ63" i="27" s="1" a="1"/>
  <c r="AZ63" i="27" s="1"/>
  <c r="AV63" i="27" a="1"/>
  <c r="AV63" i="27" s="1"/>
  <c r="AW63" i="27"/>
  <c r="AW115" i="27"/>
  <c r="AV115" i="27" a="1"/>
  <c r="AV115" i="27" s="1"/>
  <c r="AX115" i="27"/>
  <c r="AY115" i="27" s="1"/>
  <c r="AZ115" i="27" s="1" a="1"/>
  <c r="AZ115" i="27" s="1"/>
  <c r="AX39" i="27"/>
  <c r="AY39" i="27" s="1"/>
  <c r="AZ39" i="27" s="1" a="1"/>
  <c r="AZ39" i="27" s="1"/>
  <c r="AW39" i="27"/>
  <c r="AV39" i="27" a="1"/>
  <c r="AV39" i="27" s="1"/>
  <c r="AW14" i="27"/>
  <c r="AV14" i="27" a="1"/>
  <c r="AV14" i="27" s="1"/>
  <c r="AX14" i="27"/>
  <c r="AY14" i="27" s="1"/>
  <c r="AX91" i="27"/>
  <c r="AY91" i="27" s="1"/>
  <c r="AV91" i="27" a="1"/>
  <c r="AV91" i="27" s="1"/>
  <c r="AW91" i="27"/>
  <c r="AW19" i="27"/>
  <c r="AV19" i="27" a="1"/>
  <c r="AV19" i="27" s="1"/>
  <c r="AX19" i="27"/>
  <c r="AX135" i="27"/>
  <c r="AV135" i="27" a="1"/>
  <c r="AV135" i="27" s="1"/>
  <c r="AW135" i="27"/>
  <c r="AX62" i="27"/>
  <c r="AV62" i="27" a="1"/>
  <c r="AV62" i="27" s="1"/>
  <c r="AW62" i="27"/>
  <c r="AW110" i="27"/>
  <c r="AV110" i="27" a="1"/>
  <c r="AV110" i="27" s="1"/>
  <c r="AX110" i="27"/>
  <c r="AV21" i="27" a="1"/>
  <c r="AV21" i="27" s="1"/>
  <c r="AW21" i="27"/>
  <c r="AX21" i="27"/>
  <c r="AZ108" i="27" a="1"/>
  <c r="AZ108" i="27" s="1"/>
  <c r="AV23" i="27" a="1"/>
  <c r="AV23" i="27" s="1"/>
  <c r="AX23" i="27"/>
  <c r="AW23" i="27"/>
  <c r="AY97" i="27"/>
  <c r="AZ97" i="27" s="1" a="1"/>
  <c r="AZ97" i="27" s="1"/>
  <c r="AW100" i="27"/>
  <c r="AV100" i="27" a="1"/>
  <c r="AV100" i="27" s="1"/>
  <c r="AX100" i="27"/>
  <c r="AY98" i="27"/>
  <c r="AZ98" i="27" s="1" a="1"/>
  <c r="AZ98" i="27" s="1"/>
  <c r="AZ34" i="27" a="1"/>
  <c r="AZ34" i="27" s="1"/>
  <c r="AZ134" i="27" a="1"/>
  <c r="AZ134" i="27" s="1"/>
  <c r="AZ129" i="27" a="1"/>
  <c r="AZ129" i="27" s="1"/>
  <c r="AV141" i="27" a="1"/>
  <c r="AV141" i="27" s="1"/>
  <c r="AW141" i="27"/>
  <c r="AX141" i="27"/>
  <c r="AY15" i="27"/>
  <c r="AZ15" i="27" s="1" a="1"/>
  <c r="AZ15" i="27" s="1"/>
  <c r="AY87" i="27"/>
  <c r="AZ87" i="27" s="1" a="1"/>
  <c r="AZ87" i="27" s="1"/>
  <c r="AV136" i="27" a="1"/>
  <c r="AV136" i="27" s="1"/>
  <c r="AX136" i="27"/>
  <c r="AW136" i="27"/>
  <c r="AV89" i="27" a="1"/>
  <c r="AV89" i="27" s="1"/>
  <c r="AX89" i="27"/>
  <c r="AW89" i="27"/>
  <c r="AW94" i="27"/>
  <c r="AV94" i="27" a="1"/>
  <c r="AV94" i="27" s="1"/>
  <c r="AX94" i="27"/>
  <c r="AV86" i="27" a="1"/>
  <c r="AV86" i="27" s="1"/>
  <c r="AX86" i="27"/>
  <c r="AW86" i="27"/>
  <c r="AV127" i="27" a="1"/>
  <c r="AV127" i="27" s="1"/>
  <c r="AW127" i="27"/>
  <c r="AX127" i="27"/>
  <c r="AY26" i="27"/>
  <c r="AY90" i="27"/>
  <c r="AZ90" i="27" s="1" a="1"/>
  <c r="AZ90" i="27" s="1"/>
  <c r="AW17" i="27"/>
  <c r="AX17" i="27"/>
  <c r="AV17" i="27" a="1"/>
  <c r="AV17" i="27" s="1"/>
  <c r="AV121" i="27" a="1"/>
  <c r="AV121" i="27" s="1"/>
  <c r="AX121" i="27"/>
  <c r="AW121" i="27"/>
  <c r="AW93" i="27"/>
  <c r="AV93" i="27" a="1"/>
  <c r="AV93" i="27" s="1"/>
  <c r="AX93" i="27"/>
  <c r="AX46" i="27"/>
  <c r="AW46" i="27"/>
  <c r="AV46" i="27" a="1"/>
  <c r="AV46" i="27" s="1"/>
  <c r="AX88" i="27"/>
  <c r="AW88" i="27"/>
  <c r="AV88" i="27" a="1"/>
  <c r="AV88" i="27" s="1"/>
  <c r="AW119" i="27"/>
  <c r="AX119" i="27"/>
  <c r="AV119" i="27" a="1"/>
  <c r="AV119" i="27" s="1"/>
  <c r="AY47" i="27"/>
  <c r="AZ47" i="27" s="1" a="1"/>
  <c r="AZ47" i="27" s="1"/>
  <c r="AX28" i="27"/>
  <c r="AV28" i="27" a="1"/>
  <c r="AV28" i="27" s="1"/>
  <c r="AW28" i="27"/>
  <c r="AY48" i="27"/>
  <c r="AZ48" i="27" s="1" a="1"/>
  <c r="AZ48" i="27" s="1"/>
  <c r="AV38" i="27" a="1"/>
  <c r="AV38" i="27" s="1"/>
  <c r="AW38" i="27"/>
  <c r="AX38" i="27"/>
  <c r="AY92" i="27"/>
  <c r="AZ92" i="27" s="1" a="1"/>
  <c r="AZ92" i="27" s="1"/>
  <c r="AW69" i="27"/>
  <c r="AV69" i="27" a="1"/>
  <c r="AV69" i="27" s="1"/>
  <c r="AX69" i="27"/>
  <c r="AV52" i="27" a="1"/>
  <c r="AV52" i="27" s="1"/>
  <c r="AX52" i="27"/>
  <c r="AW52" i="27"/>
  <c r="AV124" i="27" a="1"/>
  <c r="AV124" i="27" s="1"/>
  <c r="AX124" i="27"/>
  <c r="AW124" i="27"/>
  <c r="AV122" i="27" a="1"/>
  <c r="AV122" i="27" s="1"/>
  <c r="AX122" i="27"/>
  <c r="AW122" i="27"/>
  <c r="AX137" i="27"/>
  <c r="AV137" i="27" a="1"/>
  <c r="AV137" i="27" s="1"/>
  <c r="AW137" i="27"/>
  <c r="AY138" i="27"/>
  <c r="AZ138" i="27" s="1" a="1"/>
  <c r="AZ138" i="27" s="1"/>
  <c r="AV95" i="27" a="1"/>
  <c r="AV95" i="27" s="1"/>
  <c r="AX95" i="27"/>
  <c r="AW95" i="27"/>
  <c r="AZ68" i="27" a="1"/>
  <c r="AZ68" i="27" s="1"/>
  <c r="AY11" i="27"/>
  <c r="AZ11" i="27" s="1" a="1"/>
  <c r="AZ11" i="27" s="1"/>
  <c r="AY58" i="27"/>
  <c r="AZ58" i="27" s="1" a="1"/>
  <c r="AZ58" i="27" s="1"/>
  <c r="AV49" i="27" a="1"/>
  <c r="AV49" i="27" s="1"/>
  <c r="AX49" i="27"/>
  <c r="AW49" i="27"/>
  <c r="AX64" i="27"/>
  <c r="AV64" i="27" a="1"/>
  <c r="AV64" i="27" s="1"/>
  <c r="AW64" i="27"/>
  <c r="AW142" i="27"/>
  <c r="AV142" i="27" a="1"/>
  <c r="AV142" i="27" s="1"/>
  <c r="AX142" i="27"/>
  <c r="AW76" i="27"/>
  <c r="AV76" i="27" a="1"/>
  <c r="AV76" i="27" s="1"/>
  <c r="AX76" i="27"/>
  <c r="AV40" i="27" a="1"/>
  <c r="AV40" i="27" s="1"/>
  <c r="AX40" i="27"/>
  <c r="AW40" i="27"/>
  <c r="AV22" i="27" a="1"/>
  <c r="AV22" i="27" s="1"/>
  <c r="AW22" i="27"/>
  <c r="AX22" i="27"/>
  <c r="AW41" i="27"/>
  <c r="AV41" i="27" a="1"/>
  <c r="AV41" i="27" s="1"/>
  <c r="AX41" i="27"/>
  <c r="AX45" i="27"/>
  <c r="AW45" i="27"/>
  <c r="AV45" i="27" a="1"/>
  <c r="AV45" i="27" s="1"/>
  <c r="AV123" i="27" a="1"/>
  <c r="AV123" i="27" s="1"/>
  <c r="AX123" i="27"/>
  <c r="AW123" i="27"/>
  <c r="AY42" i="27"/>
  <c r="AY51" i="27"/>
  <c r="AZ51" i="27" s="1" a="1"/>
  <c r="AZ51" i="27" s="1"/>
  <c r="AY29" i="27"/>
  <c r="AV16" i="27" a="1"/>
  <c r="AV16" i="27" s="1"/>
  <c r="AX16" i="27"/>
  <c r="AW16" i="27"/>
  <c r="AW117" i="27"/>
  <c r="AX117" i="27"/>
  <c r="AV117" i="27" a="1"/>
  <c r="AV117" i="27" s="1"/>
  <c r="AW73" i="27"/>
  <c r="AV73" i="27" a="1"/>
  <c r="AV73" i="27" s="1"/>
  <c r="AX73" i="27"/>
  <c r="AV70" i="27" a="1"/>
  <c r="AV70" i="27" s="1"/>
  <c r="AX70" i="27"/>
  <c r="AW70" i="27"/>
  <c r="AX112" i="27"/>
  <c r="AW112" i="27"/>
  <c r="AV112" i="27" a="1"/>
  <c r="AV112" i="27" s="1"/>
  <c r="AZ118" i="27" l="1" a="1"/>
  <c r="AZ118" i="27" s="1"/>
  <c r="AZ101" i="27" a="1"/>
  <c r="AZ101" i="27" s="1"/>
  <c r="AZ43" i="27" a="1"/>
  <c r="AZ43" i="27" s="1"/>
  <c r="AZ18" i="27" a="1"/>
  <c r="AZ18" i="27" s="1"/>
  <c r="AZ78" i="27" a="1"/>
  <c r="AZ78" i="27" s="1"/>
  <c r="AZ82" i="27" a="1"/>
  <c r="AZ82" i="27" s="1"/>
  <c r="AY31" i="27"/>
  <c r="AZ31" i="27" s="1" a="1"/>
  <c r="AZ31" i="27" s="1"/>
  <c r="AZ14" i="27" a="1"/>
  <c r="AZ14" i="27" s="1"/>
  <c r="AY125" i="27"/>
  <c r="AZ125" i="27" s="1" a="1"/>
  <c r="AZ125" i="27" s="1"/>
  <c r="AY79" i="27"/>
  <c r="AZ79" i="27" s="1" a="1"/>
  <c r="AZ79" i="27" s="1"/>
  <c r="AY114" i="27"/>
  <c r="AZ114" i="27" s="1" a="1"/>
  <c r="AZ114" i="27" s="1"/>
  <c r="AZ91" i="27" a="1"/>
  <c r="AZ91" i="27" s="1"/>
  <c r="AZ37" i="27" a="1"/>
  <c r="AZ37" i="27" s="1"/>
  <c r="AY20" i="27"/>
  <c r="AZ20" i="27" s="1" a="1"/>
  <c r="AZ20" i="27" s="1"/>
  <c r="AY59" i="27"/>
  <c r="AZ59" i="27" s="1" a="1"/>
  <c r="AZ59" i="27" s="1"/>
  <c r="AY10" i="27"/>
  <c r="AY96" i="27"/>
  <c r="AZ96" i="27" s="1" a="1"/>
  <c r="AZ96" i="27" s="1"/>
  <c r="AY44" i="27"/>
  <c r="AZ44" i="27" s="1" a="1"/>
  <c r="AZ44" i="27" s="1"/>
  <c r="AZ65" i="27" a="1"/>
  <c r="AZ65" i="27" s="1"/>
  <c r="AZ84" i="27" a="1"/>
  <c r="AZ84" i="27" s="1"/>
  <c r="AY135" i="27"/>
  <c r="AZ135" i="27" s="1" a="1"/>
  <c r="AZ135" i="27" s="1"/>
  <c r="AY19" i="27"/>
  <c r="AZ19" i="27" s="1" a="1"/>
  <c r="AZ19" i="27" s="1"/>
  <c r="AZ26" i="27" a="1"/>
  <c r="AZ26" i="27" s="1"/>
  <c r="AY38" i="27"/>
  <c r="AZ38" i="27" s="1" a="1"/>
  <c r="AZ38" i="27" s="1"/>
  <c r="AY41" i="27"/>
  <c r="AZ41" i="27" s="1" a="1"/>
  <c r="AZ41" i="27" s="1"/>
  <c r="AY110" i="27"/>
  <c r="AZ110" i="27" s="1" a="1"/>
  <c r="AZ110" i="27" s="1"/>
  <c r="AY45" i="27"/>
  <c r="AZ45" i="27" s="1" a="1"/>
  <c r="AZ45" i="27" s="1"/>
  <c r="AY121" i="27"/>
  <c r="AZ121" i="27" s="1" a="1"/>
  <c r="AZ121" i="27" s="1"/>
  <c r="AY100" i="27"/>
  <c r="AZ100" i="27" s="1" a="1"/>
  <c r="AZ100" i="27" s="1"/>
  <c r="AZ54" i="27" a="1"/>
  <c r="AZ54" i="27" s="1"/>
  <c r="AZ29" i="27" a="1"/>
  <c r="AZ29" i="27" s="1"/>
  <c r="AY73" i="27"/>
  <c r="AZ73" i="27" s="1" a="1"/>
  <c r="AZ73" i="27" s="1"/>
  <c r="AY17" i="27"/>
  <c r="AZ17" i="27" s="1" a="1"/>
  <c r="AZ17" i="27" s="1"/>
  <c r="AY49" i="27"/>
  <c r="AZ49" i="27" s="1" a="1"/>
  <c r="AZ49" i="27" s="1"/>
  <c r="AY124" i="27"/>
  <c r="AZ124" i="27" s="1" a="1"/>
  <c r="AZ124" i="27" s="1"/>
  <c r="AY127" i="27"/>
  <c r="AZ127" i="27" s="1" a="1"/>
  <c r="AZ127" i="27" s="1"/>
  <c r="AY22" i="27"/>
  <c r="AZ22" i="27" s="1" a="1"/>
  <c r="AZ22" i="27" s="1"/>
  <c r="AY64" i="27"/>
  <c r="AZ64" i="27" s="1" a="1"/>
  <c r="AZ64" i="27" s="1"/>
  <c r="AY117" i="27"/>
  <c r="AZ117" i="27" s="1" a="1"/>
  <c r="AZ117" i="27" s="1"/>
  <c r="AY137" i="27"/>
  <c r="AZ137" i="27" s="1" a="1"/>
  <c r="AZ137" i="27" s="1"/>
  <c r="AY89" i="27"/>
  <c r="AZ89" i="27" s="1" a="1"/>
  <c r="AZ89" i="27" s="1"/>
  <c r="AY141" i="27"/>
  <c r="AZ141" i="27" s="1" a="1"/>
  <c r="AZ141" i="27" s="1"/>
  <c r="AY122" i="27"/>
  <c r="AZ122" i="27" s="1" a="1"/>
  <c r="AZ122" i="27" s="1"/>
  <c r="AY28" i="27"/>
  <c r="AZ28" i="27" s="1" a="1"/>
  <c r="AZ28" i="27" s="1"/>
  <c r="AZ77" i="27" a="1"/>
  <c r="AZ77" i="27" s="1"/>
  <c r="AY40" i="27"/>
  <c r="AZ40" i="27" s="1" a="1"/>
  <c r="AZ40" i="27" s="1"/>
  <c r="AY16" i="27"/>
  <c r="AZ16" i="27" s="1" a="1"/>
  <c r="AZ16" i="27" s="1"/>
  <c r="AY21" i="27"/>
  <c r="AZ21" i="27" s="1" a="1"/>
  <c r="AZ21" i="27" s="1"/>
  <c r="AY76" i="27"/>
  <c r="AZ76" i="27" s="1" a="1"/>
  <c r="AZ76" i="27" s="1"/>
  <c r="AY136" i="27"/>
  <c r="AZ136" i="27" s="1" a="1"/>
  <c r="AZ136" i="27" s="1"/>
  <c r="AY52" i="27"/>
  <c r="AY112" i="27"/>
  <c r="AZ112" i="27" s="1" a="1"/>
  <c r="AZ112" i="27" s="1"/>
  <c r="AY88" i="27"/>
  <c r="AZ88" i="27" s="1" a="1"/>
  <c r="AZ88" i="27" s="1"/>
  <c r="AY69" i="27"/>
  <c r="AZ69" i="27" s="1" a="1"/>
  <c r="AZ69" i="27" s="1"/>
  <c r="AY86" i="27"/>
  <c r="AZ86" i="27" s="1" a="1"/>
  <c r="AZ86" i="27" s="1"/>
  <c r="AY70" i="27"/>
  <c r="AZ70" i="27" s="1" a="1"/>
  <c r="AZ70" i="27" s="1"/>
  <c r="AZ42" i="27" a="1"/>
  <c r="AZ42" i="27" s="1"/>
  <c r="AY142" i="27"/>
  <c r="AZ142" i="27" s="1" a="1"/>
  <c r="AZ142" i="27" s="1"/>
  <c r="AZ27" i="27" a="1"/>
  <c r="AZ27" i="27" s="1"/>
  <c r="AY119" i="27"/>
  <c r="AZ119" i="27" s="1" a="1"/>
  <c r="AZ119" i="27" s="1"/>
  <c r="AY46" i="27"/>
  <c r="AZ46" i="27" s="1" a="1"/>
  <c r="AZ46" i="27" s="1"/>
  <c r="AY123" i="27"/>
  <c r="AZ123" i="27" s="1" a="1"/>
  <c r="AZ123" i="27" s="1"/>
  <c r="AY93" i="27"/>
  <c r="AZ93" i="27" s="1" a="1"/>
  <c r="AZ93" i="27" s="1"/>
  <c r="AY62" i="27"/>
  <c r="AZ62" i="27" s="1" a="1"/>
  <c r="AZ62" i="27" s="1"/>
  <c r="AZ120" i="27" a="1"/>
  <c r="AZ120" i="27" s="1"/>
  <c r="AY95" i="27"/>
  <c r="AZ95" i="27" s="1" a="1"/>
  <c r="AZ95" i="27" s="1"/>
  <c r="AY94" i="27"/>
  <c r="AZ94" i="27" s="1" a="1"/>
  <c r="AZ94" i="27" s="1"/>
  <c r="AY23" i="27"/>
  <c r="AZ23" i="27" s="1" a="1"/>
  <c r="AZ23" i="27" s="1"/>
  <c r="AZ52" i="27" l="1" a="1"/>
  <c r="AZ52" i="27" s="1"/>
  <c r="AZ10" i="27" a="1"/>
  <c r="AZ10" i="27" s="1"/>
  <c r="A4" i="94" l="1"/>
  <c r="A5" i="94"/>
  <c r="A6" i="94"/>
  <c r="A4" i="93"/>
  <c r="A5" i="93"/>
  <c r="A6" i="93"/>
  <c r="A7" i="93"/>
  <c r="A4" i="92"/>
  <c r="A5" i="92"/>
  <c r="A6" i="92"/>
  <c r="A7" i="92"/>
  <c r="A4" i="27"/>
  <c r="A5" i="27"/>
  <c r="A6" i="27"/>
  <c r="A7" i="27"/>
  <c r="AD144" i="93" l="1"/>
  <c r="AG144" i="93"/>
  <c r="AF144" i="93"/>
  <c r="AE144" i="93"/>
  <c r="AC144" i="93"/>
  <c r="AF17" i="113"/>
  <c r="AD17" i="113" s="1"/>
  <c r="AF68" i="113"/>
  <c r="AD68" i="113" s="1"/>
  <c r="AF85" i="113"/>
  <c r="AD85" i="113" s="1"/>
  <c r="AF43" i="113"/>
  <c r="AD43" i="113" s="1"/>
  <c r="AF89" i="113"/>
  <c r="AD89" i="113" s="1"/>
  <c r="AF63" i="113"/>
  <c r="AD63" i="113" s="1"/>
  <c r="AF9" i="113"/>
  <c r="AD9" i="113" s="1"/>
  <c r="AF52" i="113"/>
  <c r="AD52" i="113" s="1"/>
  <c r="AF75" i="113"/>
  <c r="AD75" i="113" s="1"/>
  <c r="AF21" i="113"/>
  <c r="AD21" i="113" s="1"/>
  <c r="AF19" i="113"/>
  <c r="AD19" i="113" s="1"/>
  <c r="AF109" i="113"/>
  <c r="AD109" i="113" s="1"/>
  <c r="AF6" i="113"/>
  <c r="AD6" i="113" s="1"/>
  <c r="AF4" i="113"/>
  <c r="AH4" i="113" s="1"/>
  <c r="AR4" i="113" s="1"/>
  <c r="AF126" i="113"/>
  <c r="AD126" i="113" s="1"/>
  <c r="BE144" i="27"/>
  <c r="AG33" i="93"/>
  <c r="AG105" i="93"/>
  <c r="AC28" i="93"/>
  <c r="AC74" i="93"/>
  <c r="AC131" i="93"/>
  <c r="AD34" i="93"/>
  <c r="AD69" i="93"/>
  <c r="AD120" i="93"/>
  <c r="AE21" i="93"/>
  <c r="AE62" i="93"/>
  <c r="AE113" i="93"/>
  <c r="AF14" i="93"/>
  <c r="AF56" i="93"/>
  <c r="AF108" i="93"/>
  <c r="AG10" i="93"/>
  <c r="AC80" i="93"/>
  <c r="AE25" i="93"/>
  <c r="AF112" i="93"/>
  <c r="AC100" i="93"/>
  <c r="AD92" i="93"/>
  <c r="AE38" i="93"/>
  <c r="AE130" i="93"/>
  <c r="AD93" i="93"/>
  <c r="AE87" i="93"/>
  <c r="AG34" i="93"/>
  <c r="AG106" i="93"/>
  <c r="AC33" i="93"/>
  <c r="AC75" i="93"/>
  <c r="AC132" i="93"/>
  <c r="AD35" i="93"/>
  <c r="AD70" i="93"/>
  <c r="AD121" i="93"/>
  <c r="AE22" i="93"/>
  <c r="AE64" i="93"/>
  <c r="AE115" i="93"/>
  <c r="AF16" i="93"/>
  <c r="AF57" i="93"/>
  <c r="AF109" i="93"/>
  <c r="AG11" i="93"/>
  <c r="AC136" i="93"/>
  <c r="AE67" i="93"/>
  <c r="AF81" i="93"/>
  <c r="AD49" i="93"/>
  <c r="AE132" i="93"/>
  <c r="AC8" i="93"/>
  <c r="AD142" i="93"/>
  <c r="AF88" i="93"/>
  <c r="AG36" i="93"/>
  <c r="AG108" i="93"/>
  <c r="AC36" i="93"/>
  <c r="AC76" i="93"/>
  <c r="AC133" i="93"/>
  <c r="AD37" i="93"/>
  <c r="AD75" i="93"/>
  <c r="AD123" i="93"/>
  <c r="AE24" i="93"/>
  <c r="AE66" i="93"/>
  <c r="AE116" i="93"/>
  <c r="AF18" i="93"/>
  <c r="AF60" i="93"/>
  <c r="AF110" i="93"/>
  <c r="AG12" i="93"/>
  <c r="AF28" i="93"/>
  <c r="AD14" i="93"/>
  <c r="AG37" i="93"/>
  <c r="AG109" i="93"/>
  <c r="AD139" i="93"/>
  <c r="AG61" i="93"/>
  <c r="AC48" i="93"/>
  <c r="AG38" i="93"/>
  <c r="AG110" i="93"/>
  <c r="AC38" i="93"/>
  <c r="AC83" i="93"/>
  <c r="AC140" i="93"/>
  <c r="AD41" i="93"/>
  <c r="AD81" i="93"/>
  <c r="AD125" i="93"/>
  <c r="AE28" i="93"/>
  <c r="AE68" i="93"/>
  <c r="AE118" i="93"/>
  <c r="AF21" i="93"/>
  <c r="AF64" i="93"/>
  <c r="AF116" i="93"/>
  <c r="AG14" i="93"/>
  <c r="AG39" i="93"/>
  <c r="AG111" i="93"/>
  <c r="AC40" i="93"/>
  <c r="AC84" i="93"/>
  <c r="AC141" i="93"/>
  <c r="AD42" i="93"/>
  <c r="AD83" i="93"/>
  <c r="AD129" i="93"/>
  <c r="AE32" i="93"/>
  <c r="AE69" i="93"/>
  <c r="AE120" i="93"/>
  <c r="AF22" i="93"/>
  <c r="AF68" i="93"/>
  <c r="AF117" i="93"/>
  <c r="AD140" i="93"/>
  <c r="AF33" i="93"/>
  <c r="AE44" i="93"/>
  <c r="AG42" i="93"/>
  <c r="AG114" i="93"/>
  <c r="AC42" i="93"/>
  <c r="AC88" i="93"/>
  <c r="AC142" i="93"/>
  <c r="AD43" i="93"/>
  <c r="AD84" i="93"/>
  <c r="AD130" i="93"/>
  <c r="AE33" i="93"/>
  <c r="AE70" i="93"/>
  <c r="AE121" i="93"/>
  <c r="AF23" i="93"/>
  <c r="AF69" i="93"/>
  <c r="AF118" i="93"/>
  <c r="AG60" i="93"/>
  <c r="AG133" i="93"/>
  <c r="AG54" i="93"/>
  <c r="AG126" i="93"/>
  <c r="AC44" i="93"/>
  <c r="AC92" i="93"/>
  <c r="AD9" i="93"/>
  <c r="AD44" i="93"/>
  <c r="AD86" i="93"/>
  <c r="AD134" i="93"/>
  <c r="AE34" i="93"/>
  <c r="AE76" i="93"/>
  <c r="AE122" i="93"/>
  <c r="AF25" i="93"/>
  <c r="AF70" i="93"/>
  <c r="AF123" i="93"/>
  <c r="AC108" i="93"/>
  <c r="AG57" i="93"/>
  <c r="AG129" i="93"/>
  <c r="AC45" i="93"/>
  <c r="AC93" i="93"/>
  <c r="AD10" i="93"/>
  <c r="AD45" i="93"/>
  <c r="AD88" i="93"/>
  <c r="AD136" i="93"/>
  <c r="AE36" i="93"/>
  <c r="AE82" i="93"/>
  <c r="AE123" i="93"/>
  <c r="AF26" i="93"/>
  <c r="AF71" i="93"/>
  <c r="AF124" i="93"/>
  <c r="AD13" i="93"/>
  <c r="AF128" i="93"/>
  <c r="AG58" i="93"/>
  <c r="AG130" i="93"/>
  <c r="AC46" i="93"/>
  <c r="AC94" i="93"/>
  <c r="AD11" i="93"/>
  <c r="AD46" i="93"/>
  <c r="AD91" i="93"/>
  <c r="AD138" i="93"/>
  <c r="AE37" i="93"/>
  <c r="AE84" i="93"/>
  <c r="AE124" i="93"/>
  <c r="AF27" i="93"/>
  <c r="AF76" i="93"/>
  <c r="AF125" i="93"/>
  <c r="AG132" i="93"/>
  <c r="AE40" i="93"/>
  <c r="AG62" i="93"/>
  <c r="AG134" i="93"/>
  <c r="AC49" i="93"/>
  <c r="AC106" i="93"/>
  <c r="AD17" i="93"/>
  <c r="AD50" i="93"/>
  <c r="AD94" i="93"/>
  <c r="AD141" i="93"/>
  <c r="AE41" i="93"/>
  <c r="AE89" i="93"/>
  <c r="AE134" i="93"/>
  <c r="AF34" i="93"/>
  <c r="AF84" i="93"/>
  <c r="AF129" i="93"/>
  <c r="AG63" i="93"/>
  <c r="AG135" i="93"/>
  <c r="AD18" i="93"/>
  <c r="AE135" i="93"/>
  <c r="AG66" i="93"/>
  <c r="AG138" i="93"/>
  <c r="AC9" i="93"/>
  <c r="AC57" i="93"/>
  <c r="AC110" i="93"/>
  <c r="AD19" i="93"/>
  <c r="AD52" i="93"/>
  <c r="AD100" i="93"/>
  <c r="AE9" i="93"/>
  <c r="AE45" i="93"/>
  <c r="AE93" i="93"/>
  <c r="AE136" i="93"/>
  <c r="AF37" i="93"/>
  <c r="AF90" i="93"/>
  <c r="AF131" i="93"/>
  <c r="AC11" i="93"/>
  <c r="AE96" i="93"/>
  <c r="AF93" i="93"/>
  <c r="AD59" i="93"/>
  <c r="AE97" i="93"/>
  <c r="AF94" i="93"/>
  <c r="AF35" i="93"/>
  <c r="AG78" i="93"/>
  <c r="AG20" i="93"/>
  <c r="AC10" i="93"/>
  <c r="AC58" i="93"/>
  <c r="AC116" i="93"/>
  <c r="AD20" i="93"/>
  <c r="AD57" i="93"/>
  <c r="AD105" i="93"/>
  <c r="AE10" i="93"/>
  <c r="AE46" i="93"/>
  <c r="AE94" i="93"/>
  <c r="AE137" i="93"/>
  <c r="AF38" i="93"/>
  <c r="AF92" i="93"/>
  <c r="AF132" i="93"/>
  <c r="AG22" i="93"/>
  <c r="AE49" i="93"/>
  <c r="AF134" i="93"/>
  <c r="AG81" i="93"/>
  <c r="AG21" i="93"/>
  <c r="AC62" i="93"/>
  <c r="AC117" i="93"/>
  <c r="AD21" i="93"/>
  <c r="AD58" i="93"/>
  <c r="AD108" i="93"/>
  <c r="AE12" i="93"/>
  <c r="AE48" i="93"/>
  <c r="AE140" i="93"/>
  <c r="AF40" i="93"/>
  <c r="AF133" i="93"/>
  <c r="AG82" i="93"/>
  <c r="AC12" i="93"/>
  <c r="AC64" i="93"/>
  <c r="AC118" i="93"/>
  <c r="AD22" i="93"/>
  <c r="AD109" i="93"/>
  <c r="AE14" i="93"/>
  <c r="AE141" i="93"/>
  <c r="AF44" i="93"/>
  <c r="AG84" i="93"/>
  <c r="AG25" i="93"/>
  <c r="AC13" i="93"/>
  <c r="AC66" i="93"/>
  <c r="AC120" i="93"/>
  <c r="AD24" i="93"/>
  <c r="AD61" i="93"/>
  <c r="AD112" i="93"/>
  <c r="AE15" i="93"/>
  <c r="AE51" i="93"/>
  <c r="AE100" i="93"/>
  <c r="AE142" i="93"/>
  <c r="AF45" i="93"/>
  <c r="AF97" i="93"/>
  <c r="AF136" i="93"/>
  <c r="AD99" i="93"/>
  <c r="AG85" i="93"/>
  <c r="AG27" i="93"/>
  <c r="AC16" i="93"/>
  <c r="AC68" i="93"/>
  <c r="AC123" i="93"/>
  <c r="AD25" i="93"/>
  <c r="AD62" i="93"/>
  <c r="AD113" i="93"/>
  <c r="AE16" i="93"/>
  <c r="AE52" i="93"/>
  <c r="AE101" i="93"/>
  <c r="AF9" i="93"/>
  <c r="AF46" i="93"/>
  <c r="AF98" i="93"/>
  <c r="AF138" i="93"/>
  <c r="AG86" i="93"/>
  <c r="AG28" i="93"/>
  <c r="AC18" i="93"/>
  <c r="AC69" i="93"/>
  <c r="AC124" i="93"/>
  <c r="AD26" i="93"/>
  <c r="AD65" i="93"/>
  <c r="AD116" i="93"/>
  <c r="AE17" i="93"/>
  <c r="AE53" i="93"/>
  <c r="AE106" i="93"/>
  <c r="AF10" i="93"/>
  <c r="AF48" i="93"/>
  <c r="AF99" i="93"/>
  <c r="AF140" i="93"/>
  <c r="AD38" i="93"/>
  <c r="AF20" i="93"/>
  <c r="AC105" i="93"/>
  <c r="AF82" i="93"/>
  <c r="AC52" i="93"/>
  <c r="AE92" i="93"/>
  <c r="AG87" i="93"/>
  <c r="AC20" i="93"/>
  <c r="AC70" i="93"/>
  <c r="AC125" i="93"/>
  <c r="AD28" i="93"/>
  <c r="AD66" i="93"/>
  <c r="AD117" i="93"/>
  <c r="AE18" i="93"/>
  <c r="AE57" i="93"/>
  <c r="AE108" i="93"/>
  <c r="AF11" i="93"/>
  <c r="AF51" i="93"/>
  <c r="AF100" i="93"/>
  <c r="AF141" i="93"/>
  <c r="AC37" i="93"/>
  <c r="AD76" i="93"/>
  <c r="AF62" i="93"/>
  <c r="AC47" i="93"/>
  <c r="AD48" i="93"/>
  <c r="AE86" i="93"/>
  <c r="AF126" i="93"/>
  <c r="AG90" i="93"/>
  <c r="AC21" i="93"/>
  <c r="AC72" i="93"/>
  <c r="AC126" i="93"/>
  <c r="AD29" i="93"/>
  <c r="AD67" i="93"/>
  <c r="AD118" i="93"/>
  <c r="AE19" i="93"/>
  <c r="AE60" i="93"/>
  <c r="AE109" i="93"/>
  <c r="AF12" i="93"/>
  <c r="AF52" i="93"/>
  <c r="AF105" i="93"/>
  <c r="AF142" i="93"/>
  <c r="AD124" i="93"/>
  <c r="AG13" i="93"/>
  <c r="AD51" i="93"/>
  <c r="AF130" i="93"/>
  <c r="AG30" i="93"/>
  <c r="AG102" i="93"/>
  <c r="AC22" i="93"/>
  <c r="AC73" i="93"/>
  <c r="AC129" i="93"/>
  <c r="AD33" i="93"/>
  <c r="AD68" i="93"/>
  <c r="AD119" i="93"/>
  <c r="AE20" i="93"/>
  <c r="AE61" i="93"/>
  <c r="AE112" i="93"/>
  <c r="AF13" i="93"/>
  <c r="AF53" i="93"/>
  <c r="AF106" i="93"/>
  <c r="AG9" i="93"/>
  <c r="AE117" i="93"/>
  <c r="AF54" i="93"/>
  <c r="AG49" i="93"/>
  <c r="AC19" i="93"/>
  <c r="AF86" i="93"/>
  <c r="AG101" i="93"/>
  <c r="AG98" i="93"/>
  <c r="AG72" i="93"/>
  <c r="AC23" i="93"/>
  <c r="AC50" i="93"/>
  <c r="AG56" i="93"/>
  <c r="AF122" i="93"/>
  <c r="AC55" i="93"/>
  <c r="AF115" i="93"/>
  <c r="AF63" i="93"/>
  <c r="AC96" i="93"/>
  <c r="AC130" i="93"/>
  <c r="AD30" i="93"/>
  <c r="AC25" i="93"/>
  <c r="AC138" i="93"/>
  <c r="AC14" i="93"/>
  <c r="AG77" i="93"/>
  <c r="AG74" i="93"/>
  <c r="AE104" i="93"/>
  <c r="AG112" i="93"/>
  <c r="AG32" i="93"/>
  <c r="AF95" i="93"/>
  <c r="AC91" i="93"/>
  <c r="AE39" i="93"/>
  <c r="AD106" i="93"/>
  <c r="AE125" i="93"/>
  <c r="AF72" i="93"/>
  <c r="AC114" i="93"/>
  <c r="AE133" i="93"/>
  <c r="AG53" i="93"/>
  <c r="AG50" i="93"/>
  <c r="AE72" i="93"/>
  <c r="AC95" i="93"/>
  <c r="AG88" i="93"/>
  <c r="AG127" i="93"/>
  <c r="AD103" i="93"/>
  <c r="AF91" i="93"/>
  <c r="AD135" i="93"/>
  <c r="AF73" i="93"/>
  <c r="AF58" i="93"/>
  <c r="AC101" i="93"/>
  <c r="AG48" i="93"/>
  <c r="AE90" i="93"/>
  <c r="AC109" i="93"/>
  <c r="AD80" i="93"/>
  <c r="AD107" i="93"/>
  <c r="AC56" i="93"/>
  <c r="AG64" i="93"/>
  <c r="AG103" i="93"/>
  <c r="AF36" i="93"/>
  <c r="AD78" i="93"/>
  <c r="AC67" i="93"/>
  <c r="AD111" i="93"/>
  <c r="AE110" i="93"/>
  <c r="AC34" i="93"/>
  <c r="AC77" i="93"/>
  <c r="AG24" i="93"/>
  <c r="AF66" i="93"/>
  <c r="AC85" i="93"/>
  <c r="AD71" i="93"/>
  <c r="AG139" i="93"/>
  <c r="AG40" i="93"/>
  <c r="AG79" i="93"/>
  <c r="AE58" i="93"/>
  <c r="AC78" i="93"/>
  <c r="AE126" i="93"/>
  <c r="AF67" i="93"/>
  <c r="AD87" i="93"/>
  <c r="AG70" i="93"/>
  <c r="AC53" i="93"/>
  <c r="AF143" i="93"/>
  <c r="AE42" i="93"/>
  <c r="AC61" i="93"/>
  <c r="AF120" i="93"/>
  <c r="AF80" i="93"/>
  <c r="AC99" i="93"/>
  <c r="AG115" i="93"/>
  <c r="AG55" i="93"/>
  <c r="AE29" i="93"/>
  <c r="AF119" i="93"/>
  <c r="AC102" i="93"/>
  <c r="AC43" i="93"/>
  <c r="AD63" i="93"/>
  <c r="AF87" i="93"/>
  <c r="AG80" i="93"/>
  <c r="AG45" i="93"/>
  <c r="AF29" i="93"/>
  <c r="AC119" i="93"/>
  <c r="AG18" i="93"/>
  <c r="AE13" i="93"/>
  <c r="AF83" i="93"/>
  <c r="AE74" i="93"/>
  <c r="AC27" i="93"/>
  <c r="AG91" i="93"/>
  <c r="AG29" i="93"/>
  <c r="AG31" i="93"/>
  <c r="AD114" i="93"/>
  <c r="AF61" i="93"/>
  <c r="AD102" i="93"/>
  <c r="AF43" i="93"/>
  <c r="AE129" i="93"/>
  <c r="AG124" i="93"/>
  <c r="AD95" i="93"/>
  <c r="AD137" i="93"/>
  <c r="AG120" i="93"/>
  <c r="AF49" i="93"/>
  <c r="AE8" i="93"/>
  <c r="AG143" i="93"/>
  <c r="AG43" i="93"/>
  <c r="AE95" i="93"/>
  <c r="AD39" i="93"/>
  <c r="AE114" i="93"/>
  <c r="AC137" i="93"/>
  <c r="AF19" i="93"/>
  <c r="AE11" i="93"/>
  <c r="AE105" i="93"/>
  <c r="AG76" i="93"/>
  <c r="AE71" i="93"/>
  <c r="AG113" i="93"/>
  <c r="AG118" i="93"/>
  <c r="AE77" i="93"/>
  <c r="AD73" i="93"/>
  <c r="AG119" i="93"/>
  <c r="AD128" i="93"/>
  <c r="AD15" i="93"/>
  <c r="AE85" i="93"/>
  <c r="AF137" i="93"/>
  <c r="AF17" i="93"/>
  <c r="AD96" i="93"/>
  <c r="AE81" i="93"/>
  <c r="AG123" i="93"/>
  <c r="AD47" i="93"/>
  <c r="AD89" i="93"/>
  <c r="AG69" i="93"/>
  <c r="AC143" i="93"/>
  <c r="AG95" i="93"/>
  <c r="AF104" i="93"/>
  <c r="AC122" i="93"/>
  <c r="AE54" i="93"/>
  <c r="AF114" i="93"/>
  <c r="AC113" i="93"/>
  <c r="AF39" i="93"/>
  <c r="AG142" i="93"/>
  <c r="AE99" i="93"/>
  <c r="AD23" i="93"/>
  <c r="AE65" i="93"/>
  <c r="AD132" i="93"/>
  <c r="AC107" i="93"/>
  <c r="AC104" i="93"/>
  <c r="AG71" i="93"/>
  <c r="AD98" i="93"/>
  <c r="AF59" i="93"/>
  <c r="AC60" i="93"/>
  <c r="AE26" i="93"/>
  <c r="AF85" i="93"/>
  <c r="AC127" i="93"/>
  <c r="AF113" i="93"/>
  <c r="AF15" i="93"/>
  <c r="AC39" i="93"/>
  <c r="AC79" i="93"/>
  <c r="AF42" i="93"/>
  <c r="AD97" i="93"/>
  <c r="AG128" i="93"/>
  <c r="AF75" i="93"/>
  <c r="AG141" i="93"/>
  <c r="AG41" i="93"/>
  <c r="AD60" i="93"/>
  <c r="AC35" i="93"/>
  <c r="AC29" i="93"/>
  <c r="AG47" i="93"/>
  <c r="AG137" i="93"/>
  <c r="AF24" i="93"/>
  <c r="AD110" i="93"/>
  <c r="AE138" i="93"/>
  <c r="AE102" i="93"/>
  <c r="AC89" i="93"/>
  <c r="AD72" i="93"/>
  <c r="AD133" i="93"/>
  <c r="AF111" i="93"/>
  <c r="AG104" i="93"/>
  <c r="AC51" i="93"/>
  <c r="AG117" i="93"/>
  <c r="AC17" i="93"/>
  <c r="AD36" i="93"/>
  <c r="AG19" i="93"/>
  <c r="AG16" i="93"/>
  <c r="AG89" i="93"/>
  <c r="AE128" i="93"/>
  <c r="AD85" i="93"/>
  <c r="AE78" i="93"/>
  <c r="AD126" i="93"/>
  <c r="AF89" i="93"/>
  <c r="AE55" i="93"/>
  <c r="AG59" i="93"/>
  <c r="AG67" i="93"/>
  <c r="AE43" i="93"/>
  <c r="AE80" i="93"/>
  <c r="AD27" i="93"/>
  <c r="AG140" i="93"/>
  <c r="AG136" i="93"/>
  <c r="AD12" i="93"/>
  <c r="AG121" i="93"/>
  <c r="AF8" i="93"/>
  <c r="AG65" i="93"/>
  <c r="AE56" i="93"/>
  <c r="AE30" i="93"/>
  <c r="AC86" i="93"/>
  <c r="AC81" i="93"/>
  <c r="AC65" i="93"/>
  <c r="AG52" i="93"/>
  <c r="AG17" i="93"/>
  <c r="AG125" i="93"/>
  <c r="AD56" i="93"/>
  <c r="AG100" i="93"/>
  <c r="AG116" i="93"/>
  <c r="AC112" i="93"/>
  <c r="AF96" i="93"/>
  <c r="AG99" i="93"/>
  <c r="AG97" i="93"/>
  <c r="AC98" i="93"/>
  <c r="AD90" i="93"/>
  <c r="AC30" i="93"/>
  <c r="AD55" i="93"/>
  <c r="AF65" i="93"/>
  <c r="AC32" i="93"/>
  <c r="AG96" i="93"/>
  <c r="AD32" i="93"/>
  <c r="AD122" i="93"/>
  <c r="AG92" i="93"/>
  <c r="AE88" i="93"/>
  <c r="AG46" i="93"/>
  <c r="AG75" i="93"/>
  <c r="AG73" i="93"/>
  <c r="AC59" i="93"/>
  <c r="AD53" i="93"/>
  <c r="AD31" i="93"/>
  <c r="AF79" i="93"/>
  <c r="AC41" i="93"/>
  <c r="AD115" i="93"/>
  <c r="AG23" i="93"/>
  <c r="AG122" i="93"/>
  <c r="AF31" i="93"/>
  <c r="AD8" i="93"/>
  <c r="AE98" i="93"/>
  <c r="AG68" i="93"/>
  <c r="AD64" i="93"/>
  <c r="AG93" i="93"/>
  <c r="AG51" i="93"/>
  <c r="AE143" i="93"/>
  <c r="AG26" i="93"/>
  <c r="AG8" i="93"/>
  <c r="AF127" i="93"/>
  <c r="AF41" i="93"/>
  <c r="AE59" i="93"/>
  <c r="AF102" i="93"/>
  <c r="AC82" i="93"/>
  <c r="AF139" i="93"/>
  <c r="AE127" i="93"/>
  <c r="AF74" i="93"/>
  <c r="AG44" i="93"/>
  <c r="AD40" i="93"/>
  <c r="AE131" i="93"/>
  <c r="AF121" i="93"/>
  <c r="AF47" i="93"/>
  <c r="AF77" i="93"/>
  <c r="AD104" i="93"/>
  <c r="AG131" i="93"/>
  <c r="AF30" i="93"/>
  <c r="AF55" i="93"/>
  <c r="AC90" i="93"/>
  <c r="AC135" i="93"/>
  <c r="AE47" i="93"/>
  <c r="AC134" i="93"/>
  <c r="AF78" i="93"/>
  <c r="AC63" i="93"/>
  <c r="AE103" i="93"/>
  <c r="AE50" i="93"/>
  <c r="AG94" i="93"/>
  <c r="AD16" i="93"/>
  <c r="AE107" i="93"/>
  <c r="AF50" i="93"/>
  <c r="AE75" i="93"/>
  <c r="AE73" i="93"/>
  <c r="AC97" i="93"/>
  <c r="AF101" i="93"/>
  <c r="AG107" i="93"/>
  <c r="AE111" i="93"/>
  <c r="AD79" i="93"/>
  <c r="AF135" i="93"/>
  <c r="AE27" i="93"/>
  <c r="AG15" i="93"/>
  <c r="AE79" i="93"/>
  <c r="AC26" i="93"/>
  <c r="AE139" i="93"/>
  <c r="AE63" i="93"/>
  <c r="AE83" i="93"/>
  <c r="AE119" i="93"/>
  <c r="AD74" i="93"/>
  <c r="AD143" i="93"/>
  <c r="AC24" i="93"/>
  <c r="AF32" i="93"/>
  <c r="AG83" i="93"/>
  <c r="AE23" i="93"/>
  <c r="AD54" i="93"/>
  <c r="AC111" i="93"/>
  <c r="AC31" i="93"/>
  <c r="AC71" i="93"/>
  <c r="AC128" i="93"/>
  <c r="AC54" i="93"/>
  <c r="AC115" i="93"/>
  <c r="AE31" i="93"/>
  <c r="AC121" i="93"/>
  <c r="AE91" i="93"/>
  <c r="AC15" i="93"/>
  <c r="AE35" i="93"/>
  <c r="AD77" i="93"/>
  <c r="AF107" i="93"/>
  <c r="AD131" i="93"/>
  <c r="AG35" i="93"/>
  <c r="AD82" i="93"/>
  <c r="AC103" i="93"/>
  <c r="AF103" i="93"/>
  <c r="AD127" i="93"/>
  <c r="AC139" i="93"/>
  <c r="AC87" i="93"/>
  <c r="AD101" i="93"/>
  <c r="BE13" i="27"/>
  <c r="BE42" i="27"/>
  <c r="BE70" i="27"/>
  <c r="BE97" i="27"/>
  <c r="BE124" i="27"/>
  <c r="BE15" i="27"/>
  <c r="BF15" i="27" s="1"/>
  <c r="BK15" i="27" s="1"/>
  <c r="BO15" i="27" s="1"/>
  <c r="BE43" i="27"/>
  <c r="BO43" i="27" s="1"/>
  <c r="BE71" i="27"/>
  <c r="BE98" i="27"/>
  <c r="BE125" i="27"/>
  <c r="BE126" i="27"/>
  <c r="BO126" i="27" s="1"/>
  <c r="BE17" i="27"/>
  <c r="BO17" i="27" s="1"/>
  <c r="BE45" i="27"/>
  <c r="BE72" i="27"/>
  <c r="BE99" i="27"/>
  <c r="BE24" i="27"/>
  <c r="BE51" i="27"/>
  <c r="BE78" i="27"/>
  <c r="BE105" i="27"/>
  <c r="BE132" i="27"/>
  <c r="BE28" i="27"/>
  <c r="BE59" i="27"/>
  <c r="BE93" i="27"/>
  <c r="BE127" i="27"/>
  <c r="BE104" i="27"/>
  <c r="BE29" i="27"/>
  <c r="BE60" i="27"/>
  <c r="BE94" i="27"/>
  <c r="BE128" i="27"/>
  <c r="BE102" i="27"/>
  <c r="BE35" i="27"/>
  <c r="BE30" i="27"/>
  <c r="BE61" i="27"/>
  <c r="BE95" i="27"/>
  <c r="BE129" i="27"/>
  <c r="BE31" i="27"/>
  <c r="BE96" i="27"/>
  <c r="BE130" i="27"/>
  <c r="BE32" i="27"/>
  <c r="BE65" i="27"/>
  <c r="BE131" i="27"/>
  <c r="BE67" i="27"/>
  <c r="BE103" i="27"/>
  <c r="BE63" i="27"/>
  <c r="BO63" i="27" s="1"/>
  <c r="BE135" i="27"/>
  <c r="BE100" i="27"/>
  <c r="BE34" i="27"/>
  <c r="BE137" i="27"/>
  <c r="BE73" i="27"/>
  <c r="BF73" i="27" s="1"/>
  <c r="BK73" i="27" s="1"/>
  <c r="BO73" i="27" s="1"/>
  <c r="BE106" i="27"/>
  <c r="BE33" i="27"/>
  <c r="BE66" i="27"/>
  <c r="BE101" i="27"/>
  <c r="BE133" i="27"/>
  <c r="BE69" i="27"/>
  <c r="BF69" i="27" s="1"/>
  <c r="BK69" i="27" s="1"/>
  <c r="BO69" i="27" s="1"/>
  <c r="BE36" i="27"/>
  <c r="BE138" i="27"/>
  <c r="BE37" i="27"/>
  <c r="BE39" i="27"/>
  <c r="BE75" i="27"/>
  <c r="BO75" i="27" s="1"/>
  <c r="BE107" i="27"/>
  <c r="BE141" i="27"/>
  <c r="BE8" i="27"/>
  <c r="BF8" i="27" s="1"/>
  <c r="BK8" i="27" s="1"/>
  <c r="BO8" i="27" s="1"/>
  <c r="BE41" i="27"/>
  <c r="BE76" i="27"/>
  <c r="BF76" i="27" s="1"/>
  <c r="BK76" i="27" s="1"/>
  <c r="BO76" i="27" s="1"/>
  <c r="BE108" i="27"/>
  <c r="BE142" i="27"/>
  <c r="BE9" i="27"/>
  <c r="BO9" i="27" s="1"/>
  <c r="BE46" i="27"/>
  <c r="BE77" i="27"/>
  <c r="BE109" i="27"/>
  <c r="BO109" i="27" s="1"/>
  <c r="BE143" i="27"/>
  <c r="BE11" i="27"/>
  <c r="BF11" i="27" s="1"/>
  <c r="BK11" i="27" s="1"/>
  <c r="BO11" i="27" s="1"/>
  <c r="BE80" i="27"/>
  <c r="BE113" i="27"/>
  <c r="BE90" i="27"/>
  <c r="BE123" i="27"/>
  <c r="BE74" i="27"/>
  <c r="BF74" i="27" s="1"/>
  <c r="BK74" i="27" s="1"/>
  <c r="BO74" i="27" s="1"/>
  <c r="BE10" i="27"/>
  <c r="BF10" i="27" s="1"/>
  <c r="BK10" i="27" s="1"/>
  <c r="BO10" i="27" s="1"/>
  <c r="BE47" i="27"/>
  <c r="BE79" i="27"/>
  <c r="BE111" i="27"/>
  <c r="BE48" i="27"/>
  <c r="BE12" i="27"/>
  <c r="BE81" i="27"/>
  <c r="BE18" i="27"/>
  <c r="BE117" i="27"/>
  <c r="BE84" i="27"/>
  <c r="BE26" i="27"/>
  <c r="BE58" i="27"/>
  <c r="BE114" i="27"/>
  <c r="BE50" i="27"/>
  <c r="BE19" i="27"/>
  <c r="BO19" i="27" s="1"/>
  <c r="BE27" i="27"/>
  <c r="BE91" i="27"/>
  <c r="BE49" i="27"/>
  <c r="BE82" i="27"/>
  <c r="BE52" i="27"/>
  <c r="BO52" i="27" s="1"/>
  <c r="BE139" i="27"/>
  <c r="BE115" i="27"/>
  <c r="BE118" i="27"/>
  <c r="BE122" i="27"/>
  <c r="BE83" i="27"/>
  <c r="BE57" i="27"/>
  <c r="BE21" i="27"/>
  <c r="BO21" i="27" s="1"/>
  <c r="BE53" i="27"/>
  <c r="BE22" i="27"/>
  <c r="BE54" i="27"/>
  <c r="BE85" i="27"/>
  <c r="BO85" i="27" s="1"/>
  <c r="BE119" i="27"/>
  <c r="BE23" i="27"/>
  <c r="BE55" i="27"/>
  <c r="BE87" i="27"/>
  <c r="BE120" i="27"/>
  <c r="BE25" i="27"/>
  <c r="BE89" i="27"/>
  <c r="BO89" i="27" s="1"/>
  <c r="BE121" i="27"/>
  <c r="BE56" i="27"/>
  <c r="BE38" i="27"/>
  <c r="BE116" i="27"/>
  <c r="BE14" i="27"/>
  <c r="BE92" i="27"/>
  <c r="BE68" i="27"/>
  <c r="BO68" i="27" s="1"/>
  <c r="BE40" i="27"/>
  <c r="BE44" i="27"/>
  <c r="BE20" i="27"/>
  <c r="BE112" i="27"/>
  <c r="BE88" i="27"/>
  <c r="BF88" i="27" s="1"/>
  <c r="BK88" i="27" s="1"/>
  <c r="BO88" i="27" s="1"/>
  <c r="BE140" i="27"/>
  <c r="BE136" i="27"/>
  <c r="BE86" i="27"/>
  <c r="BF86" i="27" s="1"/>
  <c r="BK86" i="27" s="1"/>
  <c r="BO86" i="27" s="1"/>
  <c r="BE110" i="27"/>
  <c r="BE64" i="27"/>
  <c r="BE16" i="27"/>
  <c r="BE62" i="27"/>
  <c r="BE134" i="27"/>
  <c r="S141" i="92"/>
  <c r="U15" i="92"/>
  <c r="U77" i="92"/>
  <c r="U142" i="92"/>
  <c r="V96" i="92"/>
  <c r="W70" i="92"/>
  <c r="X12" i="92"/>
  <c r="X79" i="92"/>
  <c r="Y14" i="92"/>
  <c r="Y71" i="92"/>
  <c r="Z19" i="92"/>
  <c r="Z95" i="92"/>
  <c r="Z110" i="92"/>
  <c r="X8" i="92"/>
  <c r="Y64" i="92"/>
  <c r="Y70" i="92"/>
  <c r="S143" i="92"/>
  <c r="U21" i="92"/>
  <c r="U80" i="92"/>
  <c r="U143" i="92"/>
  <c r="V102" i="92"/>
  <c r="W71" i="92"/>
  <c r="X13" i="92"/>
  <c r="X80" i="92"/>
  <c r="Y15" i="92"/>
  <c r="Y72" i="92"/>
  <c r="Z22" i="92"/>
  <c r="Z96" i="92"/>
  <c r="Y85" i="92"/>
  <c r="X71" i="92"/>
  <c r="T22" i="92"/>
  <c r="U22" i="92"/>
  <c r="U87" i="92"/>
  <c r="V14" i="92"/>
  <c r="V109" i="92"/>
  <c r="W72" i="92"/>
  <c r="X18" i="92"/>
  <c r="X81" i="92"/>
  <c r="Y16" i="92"/>
  <c r="Y73" i="92"/>
  <c r="Z23" i="92"/>
  <c r="Z101" i="92"/>
  <c r="V15" i="92"/>
  <c r="X82" i="92"/>
  <c r="Z42" i="92"/>
  <c r="U135" i="92"/>
  <c r="X133" i="92"/>
  <c r="T141" i="92"/>
  <c r="X70" i="92"/>
  <c r="X9" i="92"/>
  <c r="S137" i="92"/>
  <c r="T23" i="92"/>
  <c r="U23" i="92"/>
  <c r="U93" i="92"/>
  <c r="V110" i="92"/>
  <c r="W77" i="92"/>
  <c r="X19" i="92"/>
  <c r="Y18" i="92"/>
  <c r="Z18" i="92"/>
  <c r="T42" i="92"/>
  <c r="U24" i="92"/>
  <c r="U94" i="92"/>
  <c r="V17" i="92"/>
  <c r="V114" i="92"/>
  <c r="W78" i="92"/>
  <c r="X22" i="92"/>
  <c r="X85" i="92"/>
  <c r="Y19" i="92"/>
  <c r="Y87" i="92"/>
  <c r="Z43" i="92"/>
  <c r="Z113" i="92"/>
  <c r="S115" i="92"/>
  <c r="Z77" i="92"/>
  <c r="X10" i="92"/>
  <c r="S18" i="92"/>
  <c r="T45" i="92"/>
  <c r="U29" i="92"/>
  <c r="U95" i="92"/>
  <c r="V22" i="92"/>
  <c r="V118" i="92"/>
  <c r="W79" i="92"/>
  <c r="X23" i="92"/>
  <c r="X90" i="92"/>
  <c r="Y21" i="92"/>
  <c r="Y90" i="92"/>
  <c r="Z45" i="92"/>
  <c r="Z114" i="92"/>
  <c r="W45" i="92"/>
  <c r="S21" i="92"/>
  <c r="T46" i="92"/>
  <c r="U32" i="92"/>
  <c r="U96" i="92"/>
  <c r="V24" i="92"/>
  <c r="V119" i="92"/>
  <c r="W88" i="92"/>
  <c r="X32" i="92"/>
  <c r="X91" i="92"/>
  <c r="Y22" i="92"/>
  <c r="Y91" i="92"/>
  <c r="Z46" i="92"/>
  <c r="Z115" i="92"/>
  <c r="W90" i="92"/>
  <c r="Y23" i="92"/>
  <c r="Z47" i="92"/>
  <c r="S23" i="92"/>
  <c r="T47" i="92"/>
  <c r="U36" i="92"/>
  <c r="U101" i="92"/>
  <c r="V25" i="92"/>
  <c r="V120" i="92"/>
  <c r="X34" i="92"/>
  <c r="X94" i="92"/>
  <c r="Y94" i="92"/>
  <c r="Z116" i="92"/>
  <c r="U71" i="92"/>
  <c r="S42" i="92"/>
  <c r="T48" i="92"/>
  <c r="U37" i="92"/>
  <c r="U104" i="92"/>
  <c r="V30" i="92"/>
  <c r="V136" i="92"/>
  <c r="W91" i="92"/>
  <c r="X35" i="92"/>
  <c r="X95" i="92"/>
  <c r="Y37" i="92"/>
  <c r="Y95" i="92"/>
  <c r="Z48" i="92"/>
  <c r="Z117" i="92"/>
  <c r="S120" i="92"/>
  <c r="S45" i="92"/>
  <c r="T49" i="92"/>
  <c r="U38" i="92"/>
  <c r="U108" i="92"/>
  <c r="V37" i="92"/>
  <c r="V141" i="92"/>
  <c r="W93" i="92"/>
  <c r="X36" i="92"/>
  <c r="X104" i="92"/>
  <c r="Y39" i="92"/>
  <c r="Y96" i="92"/>
  <c r="Z49" i="92"/>
  <c r="Z118" i="92"/>
  <c r="S47" i="92"/>
  <c r="T62" i="92"/>
  <c r="U39" i="92"/>
  <c r="U109" i="92"/>
  <c r="V43" i="92"/>
  <c r="V142" i="92"/>
  <c r="W94" i="92"/>
  <c r="X37" i="92"/>
  <c r="X106" i="92"/>
  <c r="Y42" i="92"/>
  <c r="Y103" i="92"/>
  <c r="Z55" i="92"/>
  <c r="Z119" i="92"/>
  <c r="T93" i="92"/>
  <c r="U114" i="92"/>
  <c r="V48" i="92"/>
  <c r="X42" i="92"/>
  <c r="Y113" i="92"/>
  <c r="S48" i="92"/>
  <c r="T66" i="92"/>
  <c r="U42" i="92"/>
  <c r="U110" i="92"/>
  <c r="V46" i="92"/>
  <c r="V143" i="92"/>
  <c r="W95" i="92"/>
  <c r="X39" i="92"/>
  <c r="X107" i="92"/>
  <c r="Y43" i="92"/>
  <c r="Y110" i="92"/>
  <c r="Z62" i="92"/>
  <c r="Z138" i="92"/>
  <c r="U46" i="92"/>
  <c r="W22" i="92"/>
  <c r="Y46" i="92"/>
  <c r="Z142" i="92"/>
  <c r="T121" i="92"/>
  <c r="W40" i="92"/>
  <c r="Y120" i="92"/>
  <c r="W47" i="92"/>
  <c r="U72" i="92"/>
  <c r="S54" i="92"/>
  <c r="T72" i="92"/>
  <c r="U45" i="92"/>
  <c r="U111" i="92"/>
  <c r="V47" i="92"/>
  <c r="W19" i="92"/>
  <c r="W101" i="92"/>
  <c r="X41" i="92"/>
  <c r="X108" i="92"/>
  <c r="Y45" i="92"/>
  <c r="Y111" i="92"/>
  <c r="Z64" i="92"/>
  <c r="Z139" i="92"/>
  <c r="S62" i="92"/>
  <c r="W114" i="92"/>
  <c r="Z66" i="92"/>
  <c r="V73" i="92"/>
  <c r="Y63" i="92"/>
  <c r="T143" i="92"/>
  <c r="U8" i="92"/>
  <c r="V95" i="92"/>
  <c r="W69" i="92"/>
  <c r="Z94" i="92"/>
  <c r="X109" i="92"/>
  <c r="X115" i="92"/>
  <c r="S66" i="92"/>
  <c r="T95" i="92"/>
  <c r="U47" i="92"/>
  <c r="U117" i="92"/>
  <c r="V62" i="92"/>
  <c r="W23" i="92"/>
  <c r="W117" i="92"/>
  <c r="X43" i="92"/>
  <c r="X111" i="92"/>
  <c r="Y47" i="92"/>
  <c r="Y117" i="92"/>
  <c r="Z67" i="92"/>
  <c r="Z143" i="92"/>
  <c r="U120" i="92"/>
  <c r="Z71" i="92"/>
  <c r="U69" i="92"/>
  <c r="Y142" i="92"/>
  <c r="U70" i="92"/>
  <c r="Y143" i="92"/>
  <c r="X142" i="92"/>
  <c r="X72" i="92"/>
  <c r="S71" i="92"/>
  <c r="T118" i="92"/>
  <c r="U48" i="92"/>
  <c r="U118" i="92"/>
  <c r="V65" i="92"/>
  <c r="W24" i="92"/>
  <c r="W118" i="92"/>
  <c r="X46" i="92"/>
  <c r="X113" i="92"/>
  <c r="Y48" i="92"/>
  <c r="Y118" i="92"/>
  <c r="Z69" i="92"/>
  <c r="W138" i="92"/>
  <c r="W143" i="92"/>
  <c r="X143" i="92"/>
  <c r="S73" i="92"/>
  <c r="T120" i="92"/>
  <c r="U53" i="92"/>
  <c r="U119" i="92"/>
  <c r="V66" i="92"/>
  <c r="W31" i="92"/>
  <c r="W120" i="92"/>
  <c r="X47" i="92"/>
  <c r="X114" i="92"/>
  <c r="Y49" i="92"/>
  <c r="Y119" i="92"/>
  <c r="Z70" i="92"/>
  <c r="S95" i="92"/>
  <c r="V67" i="92"/>
  <c r="X60" i="92"/>
  <c r="Z76" i="92"/>
  <c r="S119" i="92"/>
  <c r="W46" i="92"/>
  <c r="X139" i="92"/>
  <c r="U139" i="92"/>
  <c r="U61" i="92"/>
  <c r="Y52" i="92"/>
  <c r="V94" i="92"/>
  <c r="Z93" i="92"/>
  <c r="S96" i="92"/>
  <c r="T125" i="92"/>
  <c r="U63" i="92"/>
  <c r="U125" i="92"/>
  <c r="V69" i="92"/>
  <c r="W42" i="92"/>
  <c r="W139" i="92"/>
  <c r="X63" i="92"/>
  <c r="X118" i="92"/>
  <c r="Y53" i="92"/>
  <c r="Y139" i="92"/>
  <c r="Z72" i="92"/>
  <c r="X67" i="92"/>
  <c r="S102" i="92"/>
  <c r="T126" i="92"/>
  <c r="U66" i="92"/>
  <c r="U133" i="92"/>
  <c r="V70" i="92"/>
  <c r="W43" i="92"/>
  <c r="W142" i="92"/>
  <c r="X66" i="92"/>
  <c r="X119" i="92"/>
  <c r="Y54" i="92"/>
  <c r="Y141" i="92"/>
  <c r="Z75" i="92"/>
  <c r="T138" i="92"/>
  <c r="Y55" i="92"/>
  <c r="V71" i="92"/>
  <c r="U138" i="92"/>
  <c r="Z16" i="92"/>
  <c r="U141" i="92"/>
  <c r="V18" i="92"/>
  <c r="T34" i="92"/>
  <c r="S103" i="92"/>
  <c r="U121" i="92"/>
  <c r="V23" i="92"/>
  <c r="Y93" i="92"/>
  <c r="Y41" i="92"/>
  <c r="U60" i="92"/>
  <c r="S19" i="92"/>
  <c r="U17" i="92"/>
  <c r="S139" i="92"/>
  <c r="V134" i="92"/>
  <c r="S64" i="92"/>
  <c r="V113" i="92"/>
  <c r="V100" i="92"/>
  <c r="U75" i="92"/>
  <c r="W122" i="92"/>
  <c r="X50" i="92"/>
  <c r="V29" i="92"/>
  <c r="X49" i="92"/>
  <c r="U34" i="92"/>
  <c r="Y127" i="92"/>
  <c r="U55" i="92"/>
  <c r="Y61" i="92"/>
  <c r="Y81" i="92"/>
  <c r="W56" i="92"/>
  <c r="S63" i="92"/>
  <c r="S84" i="92"/>
  <c r="Y82" i="92"/>
  <c r="W87" i="92"/>
  <c r="V53" i="92"/>
  <c r="W11" i="92"/>
  <c r="Y69" i="92"/>
  <c r="T57" i="92"/>
  <c r="Z56" i="92"/>
  <c r="S60" i="92"/>
  <c r="W63" i="92"/>
  <c r="T133" i="92"/>
  <c r="T10" i="92"/>
  <c r="S79" i="92"/>
  <c r="U97" i="92"/>
  <c r="S69" i="92"/>
  <c r="Z92" i="92"/>
  <c r="X135" i="92"/>
  <c r="W65" i="92"/>
  <c r="Z40" i="92"/>
  <c r="V89" i="92"/>
  <c r="V68" i="92"/>
  <c r="T137" i="92"/>
  <c r="U140" i="92"/>
  <c r="S100" i="92"/>
  <c r="S75" i="92"/>
  <c r="Y122" i="92"/>
  <c r="S50" i="92"/>
  <c r="U136" i="92"/>
  <c r="X25" i="92"/>
  <c r="U10" i="92"/>
  <c r="U31" i="92"/>
  <c r="V115" i="92"/>
  <c r="S39" i="92"/>
  <c r="Y58" i="92"/>
  <c r="T109" i="92"/>
  <c r="S55" i="92"/>
  <c r="U73" i="92"/>
  <c r="V45" i="92"/>
  <c r="T85" i="92"/>
  <c r="T40" i="92"/>
  <c r="S31" i="92"/>
  <c r="U49" i="92"/>
  <c r="T21" i="92"/>
  <c r="T61" i="92"/>
  <c r="T12" i="92"/>
  <c r="S25" i="92"/>
  <c r="T37" i="92"/>
  <c r="T131" i="92"/>
  <c r="T84" i="92"/>
  <c r="T13" i="92"/>
  <c r="T107" i="92"/>
  <c r="S113" i="92"/>
  <c r="T83" i="92"/>
  <c r="Y66" i="92"/>
  <c r="T59" i="92"/>
  <c r="T63" i="92"/>
  <c r="T35" i="92"/>
  <c r="Y17" i="92"/>
  <c r="Y26" i="92"/>
  <c r="S142" i="92"/>
  <c r="T88" i="92"/>
  <c r="T11" i="92"/>
  <c r="T108" i="92"/>
  <c r="S118" i="92"/>
  <c r="T139" i="92"/>
  <c r="T110" i="92"/>
  <c r="U131" i="92"/>
  <c r="Y40" i="92"/>
  <c r="X129" i="92"/>
  <c r="Z31" i="92"/>
  <c r="S88" i="92"/>
  <c r="X86" i="92"/>
  <c r="W41" i="92"/>
  <c r="V44" i="92"/>
  <c r="Z124" i="92"/>
  <c r="Z52" i="92"/>
  <c r="W123" i="92"/>
  <c r="S51" i="92"/>
  <c r="W98" i="92"/>
  <c r="X101" i="92"/>
  <c r="T73" i="92"/>
  <c r="Y133" i="92"/>
  <c r="Z126" i="92"/>
  <c r="W125" i="92"/>
  <c r="S129" i="92"/>
  <c r="S33" i="92"/>
  <c r="Y128" i="92"/>
  <c r="Y32" i="92"/>
  <c r="Y132" i="92"/>
  <c r="V131" i="92"/>
  <c r="S130" i="92"/>
  <c r="Z109" i="92"/>
  <c r="W60" i="92"/>
  <c r="W58" i="92"/>
  <c r="W97" i="92"/>
  <c r="W25" i="92"/>
  <c r="V129" i="92"/>
  <c r="T104" i="92"/>
  <c r="Y108" i="92"/>
  <c r="S106" i="92"/>
  <c r="W36" i="92"/>
  <c r="X16" i="92"/>
  <c r="V64" i="92"/>
  <c r="V52" i="92"/>
  <c r="V98" i="92"/>
  <c r="U126" i="92"/>
  <c r="T39" i="92"/>
  <c r="S94" i="92"/>
  <c r="T115" i="92"/>
  <c r="U91" i="92"/>
  <c r="X134" i="92"/>
  <c r="Z41" i="92"/>
  <c r="X88" i="92"/>
  <c r="Y115" i="92"/>
  <c r="S17" i="92"/>
  <c r="X14" i="92"/>
  <c r="V116" i="92"/>
  <c r="U137" i="92"/>
  <c r="W124" i="92"/>
  <c r="U52" i="92"/>
  <c r="Y123" i="92"/>
  <c r="T51" i="92"/>
  <c r="Z98" i="92"/>
  <c r="W76" i="92"/>
  <c r="X77" i="92"/>
  <c r="T31" i="92"/>
  <c r="Y126" i="92"/>
  <c r="V33" i="92"/>
  <c r="T8" i="92"/>
  <c r="V107" i="92"/>
  <c r="Z85" i="92"/>
  <c r="W34" i="92"/>
  <c r="Y24" i="92"/>
  <c r="V137" i="92"/>
  <c r="U64" i="92"/>
  <c r="U124" i="92"/>
  <c r="V123" i="92"/>
  <c r="X56" i="92"/>
  <c r="U102" i="92"/>
  <c r="X120" i="92"/>
  <c r="S70" i="92"/>
  <c r="T91" i="92"/>
  <c r="U59" i="92"/>
  <c r="X61" i="92"/>
  <c r="Y27" i="92"/>
  <c r="V78" i="92"/>
  <c r="W96" i="92"/>
  <c r="S46" i="92"/>
  <c r="T67" i="92"/>
  <c r="U19" i="92"/>
  <c r="W115" i="92"/>
  <c r="Z86" i="92"/>
  <c r="W49" i="92"/>
  <c r="X87" i="92"/>
  <c r="X131" i="92"/>
  <c r="U115" i="92"/>
  <c r="Z20" i="92"/>
  <c r="T134" i="92"/>
  <c r="S40" i="92"/>
  <c r="Y124" i="92"/>
  <c r="X52" i="92"/>
  <c r="X123" i="92"/>
  <c r="S27" i="92"/>
  <c r="U74" i="92"/>
  <c r="Y51" i="92"/>
  <c r="T54" i="92"/>
  <c r="S72" i="92"/>
  <c r="S22" i="92"/>
  <c r="T43" i="92"/>
  <c r="W89" i="92"/>
  <c r="Y30" i="92"/>
  <c r="X48" i="92"/>
  <c r="T19" i="92"/>
  <c r="Y89" i="92"/>
  <c r="T20" i="92"/>
  <c r="W16" i="92"/>
  <c r="W112" i="92"/>
  <c r="V72" i="92"/>
  <c r="X15" i="92"/>
  <c r="Z79" i="92"/>
  <c r="U43" i="92"/>
  <c r="Y20" i="92"/>
  <c r="U68" i="92"/>
  <c r="S124" i="92"/>
  <c r="S28" i="92"/>
  <c r="U99" i="92"/>
  <c r="T27" i="92"/>
  <c r="Y74" i="92"/>
  <c r="X138" i="92"/>
  <c r="T112" i="92"/>
  <c r="S24" i="92"/>
  <c r="X65" i="92"/>
  <c r="S91" i="92"/>
  <c r="V90" i="92"/>
  <c r="W62" i="92"/>
  <c r="Z137" i="92"/>
  <c r="U85" i="92"/>
  <c r="W48" i="92"/>
  <c r="X130" i="92"/>
  <c r="U11" i="92"/>
  <c r="X83" i="92"/>
  <c r="X124" i="92"/>
  <c r="U28" i="92"/>
  <c r="T99" i="92"/>
  <c r="W27" i="92"/>
  <c r="X74" i="92"/>
  <c r="T123" i="92"/>
  <c r="T15" i="92"/>
  <c r="W137" i="92"/>
  <c r="U129" i="92"/>
  <c r="X128" i="92"/>
  <c r="T140" i="92"/>
  <c r="U134" i="92"/>
  <c r="T41" i="92"/>
  <c r="T111" i="92"/>
  <c r="U105" i="92"/>
  <c r="S125" i="92"/>
  <c r="X116" i="92"/>
  <c r="U128" i="92"/>
  <c r="S86" i="92"/>
  <c r="W110" i="92"/>
  <c r="T86" i="92"/>
  <c r="V19" i="92"/>
  <c r="X17" i="92"/>
  <c r="S138" i="92"/>
  <c r="W92" i="92"/>
  <c r="W134" i="92"/>
  <c r="U100" i="92"/>
  <c r="W28" i="92"/>
  <c r="W99" i="92"/>
  <c r="X27" i="92"/>
  <c r="Z74" i="92"/>
  <c r="X102" i="92"/>
  <c r="X127" i="92"/>
  <c r="Z68" i="92"/>
  <c r="V93" i="92"/>
  <c r="X21" i="92"/>
  <c r="T25" i="92"/>
  <c r="W21" i="92"/>
  <c r="Y105" i="92"/>
  <c r="Y9" i="92"/>
  <c r="W80" i="92"/>
  <c r="V111" i="92"/>
  <c r="V84" i="92"/>
  <c r="S110" i="92"/>
  <c r="T135" i="92"/>
  <c r="T60" i="92"/>
  <c r="U81" i="92"/>
  <c r="V42" i="92"/>
  <c r="S101" i="92"/>
  <c r="Y92" i="92"/>
  <c r="Y137" i="92"/>
  <c r="U90" i="92"/>
  <c r="S16" i="92"/>
  <c r="S140" i="92"/>
  <c r="U116" i="92"/>
  <c r="W55" i="92"/>
  <c r="S68" i="92"/>
  <c r="W44" i="92"/>
  <c r="Z112" i="92"/>
  <c r="T100" i="92"/>
  <c r="Z28" i="92"/>
  <c r="Z99" i="92"/>
  <c r="V27" i="92"/>
  <c r="W74" i="92"/>
  <c r="S52" i="92"/>
  <c r="X78" i="92"/>
  <c r="Z30" i="92"/>
  <c r="V54" i="92"/>
  <c r="W126" i="92"/>
  <c r="S117" i="92"/>
  <c r="U25" i="92"/>
  <c r="T81" i="92"/>
  <c r="Z80" i="92"/>
  <c r="V87" i="92"/>
  <c r="V60" i="92"/>
  <c r="S59" i="92"/>
  <c r="Z63" i="92"/>
  <c r="W37" i="92"/>
  <c r="W131" i="92"/>
  <c r="T36" i="92"/>
  <c r="T106" i="92"/>
  <c r="W86" i="92"/>
  <c r="T132" i="92"/>
  <c r="T130" i="92"/>
  <c r="U57" i="92"/>
  <c r="S77" i="92"/>
  <c r="T90" i="92"/>
  <c r="T16" i="92"/>
  <c r="X68" i="92"/>
  <c r="Y86" i="92"/>
  <c r="U56" i="92"/>
  <c r="U84" i="92"/>
  <c r="U86" i="92"/>
  <c r="U112" i="92"/>
  <c r="Z65" i="92"/>
  <c r="T116" i="92"/>
  <c r="Z100" i="92"/>
  <c r="X28" i="92"/>
  <c r="X99" i="92"/>
  <c r="W50" i="92"/>
  <c r="X54" i="92"/>
  <c r="Y101" i="92"/>
  <c r="U130" i="92"/>
  <c r="V20" i="92"/>
  <c r="Z54" i="92"/>
  <c r="T53" i="92"/>
  <c r="W81" i="92"/>
  <c r="S80" i="92"/>
  <c r="V63" i="92"/>
  <c r="V36" i="92"/>
  <c r="S35" i="92"/>
  <c r="Z39" i="92"/>
  <c r="W13" i="92"/>
  <c r="W107" i="92"/>
  <c r="U62" i="92"/>
  <c r="U33" i="92"/>
  <c r="S53" i="92"/>
  <c r="T136" i="92"/>
  <c r="T87" i="92"/>
  <c r="X44" i="92"/>
  <c r="U9" i="92"/>
  <c r="V117" i="92"/>
  <c r="V39" i="92"/>
  <c r="X132" i="92"/>
  <c r="Z78" i="92"/>
  <c r="T17" i="92"/>
  <c r="X84" i="92"/>
  <c r="X110" i="92"/>
  <c r="T52" i="92"/>
  <c r="Z51" i="92"/>
  <c r="U26" i="92"/>
  <c r="X53" i="92"/>
  <c r="X97" i="92"/>
  <c r="X69" i="92"/>
  <c r="V85" i="92"/>
  <c r="W129" i="92"/>
  <c r="V9" i="92"/>
  <c r="T32" i="92"/>
  <c r="Y36" i="92"/>
  <c r="Y106" i="92"/>
  <c r="V55" i="92"/>
  <c r="Z107" i="92"/>
  <c r="S92" i="92"/>
  <c r="W105" i="92"/>
  <c r="V106" i="92"/>
  <c r="T101" i="92"/>
  <c r="T114" i="92"/>
  <c r="X64" i="92"/>
  <c r="T96" i="92"/>
  <c r="W113" i="92"/>
  <c r="Z38" i="92"/>
  <c r="V16" i="92"/>
  <c r="X38" i="92"/>
  <c r="W52" i="92"/>
  <c r="U51" i="92"/>
  <c r="T26" i="92"/>
  <c r="X29" i="92"/>
  <c r="X73" i="92"/>
  <c r="X45" i="92"/>
  <c r="T97" i="92"/>
  <c r="Z129" i="92"/>
  <c r="W32" i="92"/>
  <c r="Y12" i="92"/>
  <c r="Y34" i="92"/>
  <c r="V31" i="92"/>
  <c r="Z83" i="92"/>
  <c r="T113" i="92"/>
  <c r="Y116" i="92"/>
  <c r="Z88" i="92"/>
  <c r="U113" i="92"/>
  <c r="Y28" i="92"/>
  <c r="V51" i="92"/>
  <c r="W141" i="92"/>
  <c r="W68" i="92"/>
  <c r="U127" i="92"/>
  <c r="T55" i="92"/>
  <c r="Z32" i="92"/>
  <c r="Y10" i="92"/>
  <c r="Z133" i="92"/>
  <c r="W30" i="92"/>
  <c r="T105" i="92"/>
  <c r="V108" i="92"/>
  <c r="Z35" i="92"/>
  <c r="Y136" i="92"/>
  <c r="V41" i="92"/>
  <c r="X59" i="92"/>
  <c r="S136" i="92"/>
  <c r="U27" i="92"/>
  <c r="V61" i="92"/>
  <c r="U79" i="92"/>
  <c r="V12" i="92"/>
  <c r="U132" i="92"/>
  <c r="V139" i="92"/>
  <c r="S65" i="92"/>
  <c r="T30" i="92"/>
  <c r="Z13" i="92"/>
  <c r="V74" i="92"/>
  <c r="S20" i="92"/>
  <c r="W38" i="92"/>
  <c r="W26" i="92"/>
  <c r="Z97" i="92"/>
  <c r="Y129" i="92"/>
  <c r="V132" i="92"/>
  <c r="Z59" i="92"/>
  <c r="T28" i="92"/>
  <c r="V92" i="92"/>
  <c r="V130" i="92"/>
  <c r="V86" i="92"/>
  <c r="U67" i="92"/>
  <c r="V28" i="92"/>
  <c r="X26" i="92"/>
  <c r="T103" i="92"/>
  <c r="Z37" i="92"/>
  <c r="X136" i="92"/>
  <c r="U16" i="92"/>
  <c r="V26" i="92"/>
  <c r="S132" i="92"/>
  <c r="S78" i="92"/>
  <c r="W35" i="92"/>
  <c r="X57" i="92"/>
  <c r="X137" i="92"/>
  <c r="X58" i="92"/>
  <c r="Y67" i="92"/>
  <c r="Y38" i="92"/>
  <c r="U41" i="92"/>
  <c r="U107" i="92"/>
  <c r="X51" i="92"/>
  <c r="Z26" i="92"/>
  <c r="W103" i="92"/>
  <c r="U103" i="92"/>
  <c r="S32" i="92"/>
  <c r="Z61" i="92"/>
  <c r="V32" i="92"/>
  <c r="U35" i="92"/>
  <c r="T70" i="92"/>
  <c r="Z105" i="92"/>
  <c r="W83" i="92"/>
  <c r="V112" i="92"/>
  <c r="Z121" i="92"/>
  <c r="Y25" i="92"/>
  <c r="Z11" i="92"/>
  <c r="Z27" i="92"/>
  <c r="S49" i="92"/>
  <c r="W8" i="92"/>
  <c r="Z89" i="92"/>
  <c r="T128" i="92"/>
  <c r="S29" i="92"/>
  <c r="V82" i="92"/>
  <c r="X103" i="92"/>
  <c r="U13" i="92"/>
  <c r="T92" i="92"/>
  <c r="S114" i="92"/>
  <c r="W75" i="92"/>
  <c r="S44" i="92"/>
  <c r="S121" i="92"/>
  <c r="T68" i="92"/>
  <c r="S105" i="92"/>
  <c r="Z8" i="92"/>
  <c r="S108" i="92"/>
  <c r="V58" i="92"/>
  <c r="W133" i="92"/>
  <c r="W59" i="92"/>
  <c r="X31" i="92"/>
  <c r="S38" i="92"/>
  <c r="T82" i="92"/>
  <c r="U65" i="92"/>
  <c r="Z14" i="92"/>
  <c r="T58" i="92"/>
  <c r="W119" i="92"/>
  <c r="T71" i="92"/>
  <c r="Y134" i="92"/>
  <c r="U88" i="92"/>
  <c r="T65" i="92"/>
  <c r="Y88" i="92"/>
  <c r="X122" i="92"/>
  <c r="X126" i="92"/>
  <c r="W140" i="92"/>
  <c r="Y13" i="92"/>
  <c r="W127" i="92"/>
  <c r="X92" i="92"/>
  <c r="Z57" i="92"/>
  <c r="W104" i="92"/>
  <c r="S111" i="92"/>
  <c r="Y59" i="92"/>
  <c r="S10" i="92"/>
  <c r="V77" i="92"/>
  <c r="Z34" i="92"/>
  <c r="Y135" i="92"/>
  <c r="S123" i="92"/>
  <c r="V140" i="92"/>
  <c r="V126" i="92"/>
  <c r="V13" i="92"/>
  <c r="Y57" i="92"/>
  <c r="V83" i="92"/>
  <c r="W106" i="92"/>
  <c r="U18" i="92"/>
  <c r="Y138" i="92"/>
  <c r="Y99" i="92"/>
  <c r="S126" i="92"/>
  <c r="U54" i="92"/>
  <c r="T33" i="92"/>
  <c r="Z60" i="92"/>
  <c r="Y112" i="92"/>
  <c r="X93" i="92"/>
  <c r="Y60" i="92"/>
  <c r="V105" i="92"/>
  <c r="X20" i="92"/>
  <c r="Y78" i="92"/>
  <c r="T14" i="92"/>
  <c r="S134" i="92"/>
  <c r="T38" i="92"/>
  <c r="V124" i="92"/>
  <c r="U123" i="92"/>
  <c r="U98" i="92"/>
  <c r="X30" i="92"/>
  <c r="W102" i="92"/>
  <c r="W136" i="92"/>
  <c r="V21" i="92"/>
  <c r="V121" i="92"/>
  <c r="S57" i="92"/>
  <c r="Z104" i="92"/>
  <c r="S87" i="92"/>
  <c r="Y35" i="92"/>
  <c r="Z135" i="92"/>
  <c r="Z132" i="92"/>
  <c r="Z10" i="92"/>
  <c r="V49" i="92"/>
  <c r="S104" i="92"/>
  <c r="Z111" i="92"/>
  <c r="W130" i="92"/>
  <c r="T69" i="92"/>
  <c r="V104" i="92"/>
  <c r="Z87" i="92"/>
  <c r="T119" i="92"/>
  <c r="S133" i="92"/>
  <c r="V59" i="92"/>
  <c r="S131" i="92"/>
  <c r="Y75" i="92"/>
  <c r="W12" i="92"/>
  <c r="X141" i="92"/>
  <c r="Z21" i="92"/>
  <c r="Z91" i="92"/>
  <c r="W66" i="92"/>
  <c r="T124" i="92"/>
  <c r="Z123" i="92"/>
  <c r="T98" i="92"/>
  <c r="W73" i="92"/>
  <c r="V97" i="92"/>
  <c r="W29" i="92"/>
  <c r="T102" i="92"/>
  <c r="V57" i="92"/>
  <c r="S15" i="92"/>
  <c r="Y11" i="92"/>
  <c r="Z108" i="92"/>
  <c r="Y100" i="92"/>
  <c r="X98" i="92"/>
  <c r="T117" i="92"/>
  <c r="U78" i="92"/>
  <c r="V133" i="92"/>
  <c r="Z84" i="92"/>
  <c r="W132" i="92"/>
  <c r="S116" i="92"/>
  <c r="Z103" i="92"/>
  <c r="Y84" i="92"/>
  <c r="S89" i="92"/>
  <c r="S9" i="92"/>
  <c r="V34" i="92"/>
  <c r="V38" i="92"/>
  <c r="Y79" i="92"/>
  <c r="Z120" i="92"/>
  <c r="W100" i="92"/>
  <c r="Y98" i="92"/>
  <c r="U106" i="92"/>
  <c r="T127" i="92"/>
  <c r="Y104" i="92"/>
  <c r="Z15" i="92"/>
  <c r="S30" i="92"/>
  <c r="X125" i="92"/>
  <c r="V79" i="92"/>
  <c r="W109" i="92"/>
  <c r="W82" i="92"/>
  <c r="V103" i="92"/>
  <c r="Z136" i="92"/>
  <c r="S26" i="92"/>
  <c r="Z131" i="92"/>
  <c r="S36" i="92"/>
  <c r="X96" i="92"/>
  <c r="T18" i="92"/>
  <c r="X89" i="92"/>
  <c r="Z134" i="92"/>
  <c r="Z24" i="92"/>
  <c r="Y44" i="92"/>
  <c r="X100" i="92"/>
  <c r="V99" i="92"/>
  <c r="S74" i="92"/>
  <c r="T77" i="92"/>
  <c r="U82" i="92"/>
  <c r="U30" i="92"/>
  <c r="T94" i="92"/>
  <c r="W33" i="92"/>
  <c r="T80" i="92"/>
  <c r="S109" i="92"/>
  <c r="V35" i="92"/>
  <c r="W135" i="92"/>
  <c r="Z36" i="92"/>
  <c r="W10" i="92"/>
  <c r="Y80" i="92"/>
  <c r="W39" i="92"/>
  <c r="T79" i="92"/>
  <c r="X117" i="92"/>
  <c r="S11" i="92"/>
  <c r="W51" i="92"/>
  <c r="Y130" i="92"/>
  <c r="X62" i="92"/>
  <c r="S90" i="92"/>
  <c r="X55" i="92"/>
  <c r="Y114" i="92"/>
  <c r="X105" i="92"/>
  <c r="V76" i="92"/>
  <c r="S99" i="92"/>
  <c r="T74" i="92"/>
  <c r="T44" i="92"/>
  <c r="U58" i="92"/>
  <c r="T142" i="92"/>
  <c r="S67" i="92"/>
  <c r="Z33" i="92"/>
  <c r="V80" i="92"/>
  <c r="S85" i="92"/>
  <c r="V11" i="92"/>
  <c r="W111" i="92"/>
  <c r="Z12" i="92"/>
  <c r="S61" i="92"/>
  <c r="X24" i="92"/>
  <c r="V138" i="92"/>
  <c r="Y65" i="92"/>
  <c r="Z17" i="92"/>
  <c r="X33" i="92"/>
  <c r="U76" i="92"/>
  <c r="V75" i="92"/>
  <c r="Z50" i="92"/>
  <c r="S93" i="92"/>
  <c r="T29" i="92"/>
  <c r="W54" i="92"/>
  <c r="Y33" i="92"/>
  <c r="S127" i="92"/>
  <c r="Z9" i="92"/>
  <c r="V91" i="92"/>
  <c r="X121" i="92"/>
  <c r="T129" i="92"/>
  <c r="S8" i="92"/>
  <c r="W116" i="92"/>
  <c r="U44" i="92"/>
  <c r="U83" i="92"/>
  <c r="X112" i="92"/>
  <c r="W20" i="92"/>
  <c r="S76" i="92"/>
  <c r="X75" i="92"/>
  <c r="U50" i="92"/>
  <c r="S43" i="92"/>
  <c r="Y97" i="92"/>
  <c r="Y31" i="92"/>
  <c r="T9" i="92"/>
  <c r="T56" i="92"/>
  <c r="S37" i="92"/>
  <c r="S107" i="92"/>
  <c r="W15" i="92"/>
  <c r="W108" i="92"/>
  <c r="T64" i="92"/>
  <c r="W67" i="92"/>
  <c r="U12" i="92"/>
  <c r="T78" i="92"/>
  <c r="X40" i="92"/>
  <c r="T24" i="92"/>
  <c r="X76" i="92"/>
  <c r="T75" i="92"/>
  <c r="V50" i="92"/>
  <c r="Z141" i="92"/>
  <c r="Y102" i="92"/>
  <c r="Y68" i="92"/>
  <c r="W9" i="92"/>
  <c r="S56" i="92"/>
  <c r="S13" i="92"/>
  <c r="V127" i="92"/>
  <c r="W84" i="92"/>
  <c r="T76" i="92"/>
  <c r="Z53" i="92"/>
  <c r="V56" i="92"/>
  <c r="Y56" i="92"/>
  <c r="S83" i="92"/>
  <c r="W17" i="92"/>
  <c r="S97" i="92"/>
  <c r="T50" i="92"/>
  <c r="U89" i="92"/>
  <c r="Y76" i="92"/>
  <c r="W53" i="92"/>
  <c r="W18" i="92"/>
  <c r="W14" i="92"/>
  <c r="S122" i="92"/>
  <c r="Y109" i="92"/>
  <c r="S81" i="92"/>
  <c r="Z106" i="92"/>
  <c r="V88" i="92"/>
  <c r="W57" i="92"/>
  <c r="Z58" i="92"/>
  <c r="Z29" i="92"/>
  <c r="Y83" i="92"/>
  <c r="S82" i="92"/>
  <c r="V40" i="92"/>
  <c r="U92" i="92"/>
  <c r="W85" i="92"/>
  <c r="U20" i="92"/>
  <c r="Y77" i="92"/>
  <c r="W64" i="92"/>
  <c r="V81" i="92"/>
  <c r="Z82" i="92"/>
  <c r="W128" i="92"/>
  <c r="T89" i="92"/>
  <c r="Z128" i="92"/>
  <c r="S128" i="92"/>
  <c r="W121" i="92"/>
  <c r="S34" i="92"/>
  <c r="U122" i="92"/>
  <c r="Z122" i="92"/>
  <c r="V101" i="92"/>
  <c r="Z44" i="92"/>
  <c r="Z81" i="92"/>
  <c r="U14" i="92"/>
  <c r="V128" i="92"/>
  <c r="S14" i="92"/>
  <c r="Y50" i="92"/>
  <c r="Z127" i="92"/>
  <c r="V8" i="92"/>
  <c r="T122" i="92"/>
  <c r="S12" i="92"/>
  <c r="S58" i="92"/>
  <c r="Y140" i="92"/>
  <c r="W61" i="92"/>
  <c r="Z140" i="92"/>
  <c r="Z130" i="92"/>
  <c r="Z125" i="92"/>
  <c r="Y8" i="92"/>
  <c r="Y62" i="92"/>
  <c r="Z25" i="92"/>
  <c r="V135" i="92"/>
  <c r="X11" i="92"/>
  <c r="Y125" i="92"/>
  <c r="S135" i="92"/>
  <c r="U40" i="92"/>
  <c r="X140" i="92"/>
  <c r="S112" i="92"/>
  <c r="Y121" i="92"/>
  <c r="Y131" i="92"/>
  <c r="S41" i="92"/>
  <c r="Y29" i="92"/>
  <c r="Y107" i="92"/>
  <c r="S98" i="92"/>
  <c r="V10" i="92"/>
  <c r="Z73" i="92"/>
  <c r="V125" i="92"/>
  <c r="Z90" i="92"/>
  <c r="V122" i="92"/>
  <c r="Z102" i="92"/>
  <c r="AB4" i="93" a="1"/>
  <c r="AB4" i="93" s="1"/>
  <c r="AB5" i="93" a="1"/>
  <c r="AB5" i="93" s="1"/>
  <c r="AB6" i="93" a="1"/>
  <c r="AB6" i="93" s="1"/>
  <c r="AB7" i="93" a="1"/>
  <c r="AB7" i="93" s="1"/>
  <c r="AO144" i="93" l="1" a="1"/>
  <c r="AO144" i="93" s="1"/>
  <c r="AT144" i="93" s="1"/>
  <c r="AP144" i="93"/>
  <c r="AH126" i="113"/>
  <c r="AR126" i="113" s="1"/>
  <c r="X126" i="113"/>
  <c r="AA126" i="113"/>
  <c r="AH6" i="113"/>
  <c r="X6" i="113"/>
  <c r="AA6" i="113"/>
  <c r="AH109" i="113"/>
  <c r="X109" i="113"/>
  <c r="AA109" i="113"/>
  <c r="AH19" i="113"/>
  <c r="AA19" i="113"/>
  <c r="X19" i="113"/>
  <c r="AH21" i="113"/>
  <c r="X21" i="113"/>
  <c r="AA21" i="113"/>
  <c r="AH52" i="113"/>
  <c r="AA52" i="113"/>
  <c r="X52" i="113"/>
  <c r="AH9" i="113"/>
  <c r="X9" i="113"/>
  <c r="AA9" i="113"/>
  <c r="AH63" i="113"/>
  <c r="X63" i="113"/>
  <c r="AA63" i="113"/>
  <c r="AH89" i="113"/>
  <c r="AR89" i="113" s="1"/>
  <c r="AA89" i="113"/>
  <c r="X89" i="113"/>
  <c r="AH43" i="113"/>
  <c r="X43" i="113"/>
  <c r="AA43" i="113"/>
  <c r="AH85" i="113"/>
  <c r="X85" i="113"/>
  <c r="AA85" i="113"/>
  <c r="AH68" i="113"/>
  <c r="X68" i="113"/>
  <c r="AA68" i="113"/>
  <c r="AH75" i="113"/>
  <c r="AA75" i="113"/>
  <c r="X75" i="113"/>
  <c r="AH17" i="113"/>
  <c r="X17" i="113"/>
  <c r="AA17" i="113"/>
  <c r="AB126" i="113"/>
  <c r="Y126" i="113"/>
  <c r="Z126" i="113"/>
  <c r="AB6" i="113"/>
  <c r="Y6" i="113"/>
  <c r="Z6" i="113"/>
  <c r="AB109" i="113"/>
  <c r="Y109" i="113"/>
  <c r="Z109" i="113"/>
  <c r="AB19" i="113"/>
  <c r="Y19" i="113"/>
  <c r="Z19" i="113"/>
  <c r="AB21" i="113"/>
  <c r="Y21" i="113"/>
  <c r="Z21" i="113"/>
  <c r="AB75" i="113"/>
  <c r="Z75" i="113"/>
  <c r="Y75" i="113"/>
  <c r="AB52" i="113"/>
  <c r="Y52" i="113"/>
  <c r="Z52" i="113"/>
  <c r="AB9" i="113"/>
  <c r="Z9" i="113"/>
  <c r="Y9" i="113"/>
  <c r="AB63" i="113"/>
  <c r="Y63" i="113"/>
  <c r="Z63" i="113"/>
  <c r="AB89" i="113"/>
  <c r="Y89" i="113"/>
  <c r="Z89" i="113"/>
  <c r="AB43" i="113"/>
  <c r="Y43" i="113"/>
  <c r="Z43" i="113"/>
  <c r="AB85" i="113"/>
  <c r="Y85" i="113"/>
  <c r="Z85" i="113"/>
  <c r="AB68" i="113"/>
  <c r="Y68" i="113"/>
  <c r="Z68" i="113"/>
  <c r="AB17" i="113"/>
  <c r="Y17" i="113"/>
  <c r="Z17" i="113"/>
  <c r="AG126" i="113"/>
  <c r="AE126" i="113"/>
  <c r="AE6" i="113"/>
  <c r="AE109" i="113"/>
  <c r="AE19" i="113"/>
  <c r="AG4" i="113"/>
  <c r="AC4" i="113"/>
  <c r="AD4" i="113"/>
  <c r="AE4" i="113"/>
  <c r="X4" i="113"/>
  <c r="Y4" i="113"/>
  <c r="Z4" i="113"/>
  <c r="AA4" i="113"/>
  <c r="AB4" i="113"/>
  <c r="AE21" i="113"/>
  <c r="AE75" i="113"/>
  <c r="AE52" i="113"/>
  <c r="AE9" i="113"/>
  <c r="AE63" i="113"/>
  <c r="AE89" i="113"/>
  <c r="AE43" i="113"/>
  <c r="AE85" i="113"/>
  <c r="AE68" i="113"/>
  <c r="AE17" i="113"/>
  <c r="BM109" i="27"/>
  <c r="BM9" i="27"/>
  <c r="BM63" i="27"/>
  <c r="BM85" i="27"/>
  <c r="BM75" i="27"/>
  <c r="BM17" i="27"/>
  <c r="BM89" i="27"/>
  <c r="BM126" i="27"/>
  <c r="BM21" i="27"/>
  <c r="BM43" i="27"/>
  <c r="BM68" i="27"/>
  <c r="BM52" i="27"/>
  <c r="BM19" i="27"/>
  <c r="AF76" i="113"/>
  <c r="AD76" i="113" s="1"/>
  <c r="AF8" i="113"/>
  <c r="AD8" i="113" s="1"/>
  <c r="AF86" i="113"/>
  <c r="AD86" i="113" s="1"/>
  <c r="AF88" i="113"/>
  <c r="AD88" i="113" s="1"/>
  <c r="AF74" i="113"/>
  <c r="AD74" i="113" s="1"/>
  <c r="AF15" i="113"/>
  <c r="AD15" i="113" s="1"/>
  <c r="AF10" i="113"/>
  <c r="AD10" i="113" s="1"/>
  <c r="AF69" i="113"/>
  <c r="AD69" i="113" s="1"/>
  <c r="AF11" i="113"/>
  <c r="AD11" i="113" s="1"/>
  <c r="AF73" i="113"/>
  <c r="AD73" i="113" s="1"/>
  <c r="BF99" i="27"/>
  <c r="BK99" i="27" s="1"/>
  <c r="BO99" i="27" s="1"/>
  <c r="BM99" i="27"/>
  <c r="BF119" i="27"/>
  <c r="BK119" i="27" s="1"/>
  <c r="BO119" i="27" s="1"/>
  <c r="BM119" i="27"/>
  <c r="BF141" i="27"/>
  <c r="BK141" i="27" s="1"/>
  <c r="BO141" i="27" s="1"/>
  <c r="BM141" i="27"/>
  <c r="BF130" i="27"/>
  <c r="BK130" i="27" s="1"/>
  <c r="BO130" i="27" s="1"/>
  <c r="BM130" i="27"/>
  <c r="BF72" i="27"/>
  <c r="BK72" i="27" s="1"/>
  <c r="BO72" i="27" s="1"/>
  <c r="BM72" i="27"/>
  <c r="BF64" i="27"/>
  <c r="BK64" i="27" s="1"/>
  <c r="BO64" i="27" s="1"/>
  <c r="BM64" i="27"/>
  <c r="BF81" i="27"/>
  <c r="BK81" i="27" s="1"/>
  <c r="BO81" i="27" s="1"/>
  <c r="BM81" i="27"/>
  <c r="BF107" i="27"/>
  <c r="BK107" i="27" s="1"/>
  <c r="BO107" i="27" s="1"/>
  <c r="BM107" i="27"/>
  <c r="BF96" i="27"/>
  <c r="BK96" i="27" s="1"/>
  <c r="BO96" i="27" s="1"/>
  <c r="BM96" i="27"/>
  <c r="BF45" i="27"/>
  <c r="BK45" i="27" s="1"/>
  <c r="BO45" i="27" s="1"/>
  <c r="BM45" i="27"/>
  <c r="BF110" i="27"/>
  <c r="BK110" i="27" s="1"/>
  <c r="BO110" i="27" s="1"/>
  <c r="BM110" i="27"/>
  <c r="BF54" i="27"/>
  <c r="BK54" i="27" s="1"/>
  <c r="BO54" i="27" s="1"/>
  <c r="BM54" i="27"/>
  <c r="BF12" i="27"/>
  <c r="BK12" i="27" s="1"/>
  <c r="BO12" i="27" s="1"/>
  <c r="BM12" i="27"/>
  <c r="BF31" i="27"/>
  <c r="BK31" i="27" s="1"/>
  <c r="BO31" i="27" s="1"/>
  <c r="BM31" i="27"/>
  <c r="BF32" i="27"/>
  <c r="BK32" i="27" s="1"/>
  <c r="BO32" i="27" s="1"/>
  <c r="BM32" i="27"/>
  <c r="BF16" i="27"/>
  <c r="BK16" i="27" s="1"/>
  <c r="BO16" i="27" s="1"/>
  <c r="BM16" i="27"/>
  <c r="BF22" i="27"/>
  <c r="BK22" i="27" s="1"/>
  <c r="BO22" i="27" s="1"/>
  <c r="BM22" i="27"/>
  <c r="BF48" i="27"/>
  <c r="BK48" i="27" s="1"/>
  <c r="BO48" i="27" s="1"/>
  <c r="BM48" i="27"/>
  <c r="BF39" i="27"/>
  <c r="BK39" i="27" s="1"/>
  <c r="BO39" i="27" s="1"/>
  <c r="BM39" i="27"/>
  <c r="BF129" i="27"/>
  <c r="BK129" i="27" s="1"/>
  <c r="BO129" i="27" s="1"/>
  <c r="BM129" i="27"/>
  <c r="BF18" i="27"/>
  <c r="BK18" i="27" s="1"/>
  <c r="BO18" i="27" s="1"/>
  <c r="BM18" i="27"/>
  <c r="BF136" i="27"/>
  <c r="BK136" i="27" s="1"/>
  <c r="BO136" i="27" s="1"/>
  <c r="BM136" i="27"/>
  <c r="BF53" i="27"/>
  <c r="BK53" i="27" s="1"/>
  <c r="BO53" i="27" s="1"/>
  <c r="BM53" i="27"/>
  <c r="BF111" i="27"/>
  <c r="BK111" i="27" s="1"/>
  <c r="BO111" i="27" s="1"/>
  <c r="BM111" i="27"/>
  <c r="BF37" i="27"/>
  <c r="BK37" i="27" s="1"/>
  <c r="BO37" i="27" s="1"/>
  <c r="BM37" i="27"/>
  <c r="BF95" i="27"/>
  <c r="BK95" i="27" s="1"/>
  <c r="BO95" i="27" s="1"/>
  <c r="BM95" i="27"/>
  <c r="BF125" i="27"/>
  <c r="BK125" i="27" s="1"/>
  <c r="BO125" i="27" s="1"/>
  <c r="BM125" i="27"/>
  <c r="BF140" i="27"/>
  <c r="BK140" i="27" s="1"/>
  <c r="BO140" i="27" s="1"/>
  <c r="BM140" i="27"/>
  <c r="BF79" i="27"/>
  <c r="BK79" i="27" s="1"/>
  <c r="BO79" i="27" s="1"/>
  <c r="BM79" i="27"/>
  <c r="BF138" i="27"/>
  <c r="BK138" i="27" s="1"/>
  <c r="BO138" i="27" s="1"/>
  <c r="BM138" i="27"/>
  <c r="BF61" i="27"/>
  <c r="BK61" i="27" s="1"/>
  <c r="BO61" i="27" s="1"/>
  <c r="BM61" i="27"/>
  <c r="BF98" i="27"/>
  <c r="BK98" i="27" s="1"/>
  <c r="BO98" i="27" s="1"/>
  <c r="BM98" i="27"/>
  <c r="BF57" i="27"/>
  <c r="BK57" i="27" s="1"/>
  <c r="BO57" i="27" s="1"/>
  <c r="BM57" i="27"/>
  <c r="BF47" i="27"/>
  <c r="BK47" i="27" s="1"/>
  <c r="BO47" i="27" s="1"/>
  <c r="BM47" i="27"/>
  <c r="BF36" i="27"/>
  <c r="BK36" i="27" s="1"/>
  <c r="BO36" i="27" s="1"/>
  <c r="BM36" i="27"/>
  <c r="BF30" i="27"/>
  <c r="BK30" i="27" s="1"/>
  <c r="BO30" i="27" s="1"/>
  <c r="BM30" i="27"/>
  <c r="BF71" i="27"/>
  <c r="BK71" i="27" s="1"/>
  <c r="BO71" i="27" s="1"/>
  <c r="BM71" i="27"/>
  <c r="BF112" i="27"/>
  <c r="BK112" i="27" s="1"/>
  <c r="BO112" i="27" s="1"/>
  <c r="BM112" i="27"/>
  <c r="BF83" i="27"/>
  <c r="BK83" i="27" s="1"/>
  <c r="BO83" i="27" s="1"/>
  <c r="BM83" i="27"/>
  <c r="BF35" i="27"/>
  <c r="BK35" i="27" s="1"/>
  <c r="BO35" i="27" s="1"/>
  <c r="BM35" i="27"/>
  <c r="BF23" i="27"/>
  <c r="BK23" i="27" s="1"/>
  <c r="BO23" i="27" s="1"/>
  <c r="BM23" i="27"/>
  <c r="BF20" i="27"/>
  <c r="BK20" i="27" s="1"/>
  <c r="BO20" i="27" s="1"/>
  <c r="BM20" i="27"/>
  <c r="BF122" i="27"/>
  <c r="BK122" i="27" s="1"/>
  <c r="BO122" i="27" s="1"/>
  <c r="BM122" i="27"/>
  <c r="BF133" i="27"/>
  <c r="BK133" i="27" s="1"/>
  <c r="BO133" i="27" s="1"/>
  <c r="BM133" i="27"/>
  <c r="BF102" i="27"/>
  <c r="BK102" i="27" s="1"/>
  <c r="BO102" i="27" s="1"/>
  <c r="BM102" i="27"/>
  <c r="BF44" i="27"/>
  <c r="BK44" i="27" s="1"/>
  <c r="BO44" i="27" s="1"/>
  <c r="BM44" i="27"/>
  <c r="BF118" i="27"/>
  <c r="BK118" i="27" s="1"/>
  <c r="BO118" i="27" s="1"/>
  <c r="BM118" i="27"/>
  <c r="BF123" i="27"/>
  <c r="BK123" i="27" s="1"/>
  <c r="BO123" i="27" s="1"/>
  <c r="BM123" i="27"/>
  <c r="BF101" i="27"/>
  <c r="BK101" i="27" s="1"/>
  <c r="BO101" i="27" s="1"/>
  <c r="BM101" i="27"/>
  <c r="BF128" i="27"/>
  <c r="BK128" i="27" s="1"/>
  <c r="BO128" i="27" s="1"/>
  <c r="BM128" i="27"/>
  <c r="BF124" i="27"/>
  <c r="BK124" i="27" s="1"/>
  <c r="BO124" i="27" s="1"/>
  <c r="BM124" i="27"/>
  <c r="BF40" i="27"/>
  <c r="BK40" i="27" s="1"/>
  <c r="BO40" i="27" s="1"/>
  <c r="BM40" i="27"/>
  <c r="BF115" i="27"/>
  <c r="BK115" i="27" s="1"/>
  <c r="BO115" i="27" s="1"/>
  <c r="BM115" i="27"/>
  <c r="BF90" i="27"/>
  <c r="BK90" i="27" s="1"/>
  <c r="BO90" i="27" s="1"/>
  <c r="BM90" i="27"/>
  <c r="BF66" i="27"/>
  <c r="BK66" i="27" s="1"/>
  <c r="BO66" i="27" s="1"/>
  <c r="BM66" i="27"/>
  <c r="BF94" i="27"/>
  <c r="BK94" i="27" s="1"/>
  <c r="BO94" i="27" s="1"/>
  <c r="BM94" i="27"/>
  <c r="BF97" i="27"/>
  <c r="BK97" i="27" s="1"/>
  <c r="BO97" i="27" s="1"/>
  <c r="BM97" i="27"/>
  <c r="BF139" i="27"/>
  <c r="BK139" i="27" s="1"/>
  <c r="BO139" i="27" s="1"/>
  <c r="BM139" i="27"/>
  <c r="BF113" i="27"/>
  <c r="BK113" i="27" s="1"/>
  <c r="BO113" i="27" s="1"/>
  <c r="BM113" i="27"/>
  <c r="BF33" i="27"/>
  <c r="BK33" i="27" s="1"/>
  <c r="BO33" i="27" s="1"/>
  <c r="BM33" i="27"/>
  <c r="BF60" i="27"/>
  <c r="BK60" i="27" s="1"/>
  <c r="BO60" i="27" s="1"/>
  <c r="BM60" i="27"/>
  <c r="BF70" i="27"/>
  <c r="BK70" i="27" s="1"/>
  <c r="BO70" i="27" s="1"/>
  <c r="BM70" i="27"/>
  <c r="BF92" i="27"/>
  <c r="BK92" i="27" s="1"/>
  <c r="BO92" i="27" s="1"/>
  <c r="BM92" i="27"/>
  <c r="BF80" i="27"/>
  <c r="BK80" i="27" s="1"/>
  <c r="BO80" i="27" s="1"/>
  <c r="BM80" i="27"/>
  <c r="BF106" i="27"/>
  <c r="BK106" i="27" s="1"/>
  <c r="BO106" i="27" s="1"/>
  <c r="BM106" i="27"/>
  <c r="BF29" i="27"/>
  <c r="BK29" i="27" s="1"/>
  <c r="BO29" i="27" s="1"/>
  <c r="BM29" i="27"/>
  <c r="BF42" i="27"/>
  <c r="BK42" i="27" s="1"/>
  <c r="BO42" i="27" s="1"/>
  <c r="BM42" i="27"/>
  <c r="BF14" i="27"/>
  <c r="BK14" i="27" s="1"/>
  <c r="BO14" i="27" s="1"/>
  <c r="BM14" i="27"/>
  <c r="BF82" i="27"/>
  <c r="BK82" i="27" s="1"/>
  <c r="BO82" i="27" s="1"/>
  <c r="BM82" i="27"/>
  <c r="BF104" i="27"/>
  <c r="BK104" i="27" s="1"/>
  <c r="BO104" i="27" s="1"/>
  <c r="BM104" i="27"/>
  <c r="BF13" i="27"/>
  <c r="BK13" i="27" s="1"/>
  <c r="BO13" i="27" s="1"/>
  <c r="BM13" i="27"/>
  <c r="BF116" i="27"/>
  <c r="BK116" i="27" s="1"/>
  <c r="BO116" i="27" s="1"/>
  <c r="BM116" i="27"/>
  <c r="BF49" i="27"/>
  <c r="BK49" i="27" s="1"/>
  <c r="BO49" i="27" s="1"/>
  <c r="BM49" i="27"/>
  <c r="BF143" i="27"/>
  <c r="BK143" i="27" s="1"/>
  <c r="BO143" i="27" s="1"/>
  <c r="BM143" i="27"/>
  <c r="BF137" i="27"/>
  <c r="BK137" i="27" s="1"/>
  <c r="BO137" i="27" s="1"/>
  <c r="BM137" i="27"/>
  <c r="BF127" i="27"/>
  <c r="BK127" i="27" s="1"/>
  <c r="BO127" i="27" s="1"/>
  <c r="BM127" i="27"/>
  <c r="BF38" i="27"/>
  <c r="BK38" i="27" s="1"/>
  <c r="BO38" i="27" s="1"/>
  <c r="BM38" i="27"/>
  <c r="BF91" i="27"/>
  <c r="BK91" i="27" s="1"/>
  <c r="BO91" i="27" s="1"/>
  <c r="BM91" i="27"/>
  <c r="BF34" i="27"/>
  <c r="BK34" i="27" s="1"/>
  <c r="BO34" i="27" s="1"/>
  <c r="BM34" i="27"/>
  <c r="BF93" i="27"/>
  <c r="BK93" i="27" s="1"/>
  <c r="BO93" i="27" s="1"/>
  <c r="BM93" i="27"/>
  <c r="BF56" i="27"/>
  <c r="BK56" i="27" s="1"/>
  <c r="BO56" i="27" s="1"/>
  <c r="BM56" i="27"/>
  <c r="BF27" i="27"/>
  <c r="BK27" i="27" s="1"/>
  <c r="BO27" i="27" s="1"/>
  <c r="BM27" i="27"/>
  <c r="BF77" i="27"/>
  <c r="BK77" i="27" s="1"/>
  <c r="BO77" i="27" s="1"/>
  <c r="BM77" i="27"/>
  <c r="BF100" i="27"/>
  <c r="BK100" i="27" s="1"/>
  <c r="BO100" i="27" s="1"/>
  <c r="BM100" i="27"/>
  <c r="BF59" i="27"/>
  <c r="BK59" i="27" s="1"/>
  <c r="BO59" i="27" s="1"/>
  <c r="BM59" i="27"/>
  <c r="BF121" i="27"/>
  <c r="BK121" i="27" s="1"/>
  <c r="BO121" i="27" s="1"/>
  <c r="BM121" i="27"/>
  <c r="BF46" i="27"/>
  <c r="BK46" i="27" s="1"/>
  <c r="BO46" i="27" s="1"/>
  <c r="BM46" i="27"/>
  <c r="BF135" i="27"/>
  <c r="BK135" i="27" s="1"/>
  <c r="BO135" i="27" s="1"/>
  <c r="BM135" i="27"/>
  <c r="BF28" i="27"/>
  <c r="BK28" i="27" s="1"/>
  <c r="BO28" i="27" s="1"/>
  <c r="BM28" i="27"/>
  <c r="BF62" i="27"/>
  <c r="BK62" i="27" s="1"/>
  <c r="BO62" i="27" s="1"/>
  <c r="BM62" i="27"/>
  <c r="BF50" i="27"/>
  <c r="BK50" i="27" s="1"/>
  <c r="BO50" i="27" s="1"/>
  <c r="BM50" i="27"/>
  <c r="BF132" i="27"/>
  <c r="BK132" i="27" s="1"/>
  <c r="BO132" i="27" s="1"/>
  <c r="BM132" i="27"/>
  <c r="BF25" i="27"/>
  <c r="BK25" i="27" s="1"/>
  <c r="BO25" i="27" s="1"/>
  <c r="BM25" i="27"/>
  <c r="BF114" i="27"/>
  <c r="BK114" i="27" s="1"/>
  <c r="BO114" i="27" s="1"/>
  <c r="BM114" i="27"/>
  <c r="BF142" i="27"/>
  <c r="BK142" i="27" s="1"/>
  <c r="BO142" i="27" s="1"/>
  <c r="BM142" i="27"/>
  <c r="BF103" i="27"/>
  <c r="BK103" i="27" s="1"/>
  <c r="BO103" i="27" s="1"/>
  <c r="BM103" i="27"/>
  <c r="BF105" i="27"/>
  <c r="BK105" i="27" s="1"/>
  <c r="BO105" i="27" s="1"/>
  <c r="BM105" i="27"/>
  <c r="BF120" i="27"/>
  <c r="BK120" i="27" s="1"/>
  <c r="BO120" i="27" s="1"/>
  <c r="BM120" i="27"/>
  <c r="BF58" i="27"/>
  <c r="BK58" i="27" s="1"/>
  <c r="BO58" i="27" s="1"/>
  <c r="BM58" i="27"/>
  <c r="BF108" i="27"/>
  <c r="BK108" i="27" s="1"/>
  <c r="BO108" i="27" s="1"/>
  <c r="BM108" i="27"/>
  <c r="BF67" i="27"/>
  <c r="BK67" i="27" s="1"/>
  <c r="BO67" i="27" s="1"/>
  <c r="BM67" i="27"/>
  <c r="BF78" i="27"/>
  <c r="BK78" i="27" s="1"/>
  <c r="BO78" i="27" s="1"/>
  <c r="BM78" i="27"/>
  <c r="BF87" i="27"/>
  <c r="BK87" i="27" s="1"/>
  <c r="BO87" i="27" s="1"/>
  <c r="BM87" i="27"/>
  <c r="BF26" i="27"/>
  <c r="BK26" i="27" s="1"/>
  <c r="BO26" i="27" s="1"/>
  <c r="BM26" i="27"/>
  <c r="BF131" i="27"/>
  <c r="BK131" i="27" s="1"/>
  <c r="BO131" i="27" s="1"/>
  <c r="BM131" i="27"/>
  <c r="BF51" i="27"/>
  <c r="BK51" i="27" s="1"/>
  <c r="BO51" i="27" s="1"/>
  <c r="BM51" i="27"/>
  <c r="BF117" i="27"/>
  <c r="BK117" i="27" s="1"/>
  <c r="BO117" i="27" s="1"/>
  <c r="BM117" i="27"/>
  <c r="BF134" i="27"/>
  <c r="BK134" i="27" s="1"/>
  <c r="BO134" i="27" s="1"/>
  <c r="BM134" i="27"/>
  <c r="BF55" i="27"/>
  <c r="BK55" i="27" s="1"/>
  <c r="BO55" i="27" s="1"/>
  <c r="BM55" i="27"/>
  <c r="BF84" i="27"/>
  <c r="BK84" i="27" s="1"/>
  <c r="BO84" i="27" s="1"/>
  <c r="BM84" i="27"/>
  <c r="BF41" i="27"/>
  <c r="BK41" i="27" s="1"/>
  <c r="BO41" i="27" s="1"/>
  <c r="BM41" i="27"/>
  <c r="BF65" i="27"/>
  <c r="BK65" i="27" s="1"/>
  <c r="BO65" i="27" s="1"/>
  <c r="BM65" i="27"/>
  <c r="BF24" i="27"/>
  <c r="BK24" i="27" s="1"/>
  <c r="BO24" i="27" s="1"/>
  <c r="BM24" i="27"/>
  <c r="BN8" i="27"/>
  <c r="BM8" i="27"/>
  <c r="BN86" i="27"/>
  <c r="BM86" i="27"/>
  <c r="BN88" i="27"/>
  <c r="BM88" i="27"/>
  <c r="BN10" i="27"/>
  <c r="BM10" i="27"/>
  <c r="BN69" i="27"/>
  <c r="BM69" i="27"/>
  <c r="BN74" i="27"/>
  <c r="BM74" i="27"/>
  <c r="BN15" i="27"/>
  <c r="BM15" i="27"/>
  <c r="BN11" i="27"/>
  <c r="BM11" i="27"/>
  <c r="BN73" i="27"/>
  <c r="BM73" i="27"/>
  <c r="BN76" i="27"/>
  <c r="BM76" i="27"/>
  <c r="BF85" i="27"/>
  <c r="BN85" i="27"/>
  <c r="BF75" i="27"/>
  <c r="BN75" i="27"/>
  <c r="BF17" i="27"/>
  <c r="BN17" i="27"/>
  <c r="BF126" i="27"/>
  <c r="BN126" i="27"/>
  <c r="BF21" i="27"/>
  <c r="BN21" i="27"/>
  <c r="BF43" i="27"/>
  <c r="BN43" i="27"/>
  <c r="BF68" i="27"/>
  <c r="BN68" i="27"/>
  <c r="BF52" i="27"/>
  <c r="BN52" i="27"/>
  <c r="BF109" i="27"/>
  <c r="BN109" i="27"/>
  <c r="BF19" i="27"/>
  <c r="BN19" i="27"/>
  <c r="BF89" i="27"/>
  <c r="BN89" i="27"/>
  <c r="BF9" i="27"/>
  <c r="BN9" i="27"/>
  <c r="BF63" i="27"/>
  <c r="BN63" i="27"/>
  <c r="AO58" i="93" a="1"/>
  <c r="AO58" i="93" s="1"/>
  <c r="AP138" i="93"/>
  <c r="AO52" i="93" a="1"/>
  <c r="AO52" i="93" s="1"/>
  <c r="AO131" i="93" a="1"/>
  <c r="AO131" i="93" s="1"/>
  <c r="AO71" i="93" a="1"/>
  <c r="AO71" i="93" s="1"/>
  <c r="AO85" i="93" a="1"/>
  <c r="AO85" i="93" s="1"/>
  <c r="BF144" i="27"/>
  <c r="BK144" i="27" s="1"/>
  <c r="BO144" i="27" s="1"/>
  <c r="AP50" i="93"/>
  <c r="AP49" i="93"/>
  <c r="AP47" i="93"/>
  <c r="AO61" i="93" a="1"/>
  <c r="AO61" i="93" s="1"/>
  <c r="AP119" i="93"/>
  <c r="AP23" i="93"/>
  <c r="AP30" i="93"/>
  <c r="AO30" i="93" a="1"/>
  <c r="AO30" i="93" s="1"/>
  <c r="AO98" i="93" a="1"/>
  <c r="AO98" i="93" s="1"/>
  <c r="AP107" i="93"/>
  <c r="AO107" i="93" a="1"/>
  <c r="AO107" i="93" s="1"/>
  <c r="AP99" i="93"/>
  <c r="AO99" i="93" a="1"/>
  <c r="AO99" i="93" s="1"/>
  <c r="AO67" i="93" a="1"/>
  <c r="AO67" i="93" s="1"/>
  <c r="AP67" i="93"/>
  <c r="AP114" i="93"/>
  <c r="AO114" i="93" a="1"/>
  <c r="AO114" i="93" s="1"/>
  <c r="AO23" i="93" a="1"/>
  <c r="AO23" i="93" s="1"/>
  <c r="AP37" i="93"/>
  <c r="AO37" i="93" a="1"/>
  <c r="AO37" i="93" s="1"/>
  <c r="AO16" i="93" a="1"/>
  <c r="AO16" i="93" s="1"/>
  <c r="AP16" i="93"/>
  <c r="AO118" i="93" a="1"/>
  <c r="AO118" i="93" s="1"/>
  <c r="AP118" i="93"/>
  <c r="AP80" i="93"/>
  <c r="AO64" i="93" a="1"/>
  <c r="AO64" i="93" s="1"/>
  <c r="AO48" i="93" a="1"/>
  <c r="AO48" i="93" s="1"/>
  <c r="AP48" i="93"/>
  <c r="AP8" i="93"/>
  <c r="AO8" i="93" a="1"/>
  <c r="AO8" i="93" s="1"/>
  <c r="AO15" i="93" a="1"/>
  <c r="AO15" i="93" s="1"/>
  <c r="AP15" i="93"/>
  <c r="AP120" i="93"/>
  <c r="AP36" i="93"/>
  <c r="AP98" i="93"/>
  <c r="AP12" i="93"/>
  <c r="AO12" i="93" a="1"/>
  <c r="AO12" i="93" s="1"/>
  <c r="AP90" i="93"/>
  <c r="AO90" i="93" a="1"/>
  <c r="AO90" i="93" s="1"/>
  <c r="AO26" i="93" a="1"/>
  <c r="AO26" i="93" s="1"/>
  <c r="AP26" i="93"/>
  <c r="AP104" i="93"/>
  <c r="AO104" i="93" a="1"/>
  <c r="AO104" i="93" s="1"/>
  <c r="AO29" i="93" a="1"/>
  <c r="AO29" i="93" s="1"/>
  <c r="AP29" i="93"/>
  <c r="AP61" i="93"/>
  <c r="AP110" i="93"/>
  <c r="AP100" i="93"/>
  <c r="AO100" i="93" a="1"/>
  <c r="AO100" i="93" s="1"/>
  <c r="AP121" i="93"/>
  <c r="AO121" i="93" a="1"/>
  <c r="AO121" i="93" s="1"/>
  <c r="AO47" i="93" a="1"/>
  <c r="AO47" i="93" s="1"/>
  <c r="AP112" i="93"/>
  <c r="AO112" i="93" a="1"/>
  <c r="AO112" i="93" s="1"/>
  <c r="AP35" i="93"/>
  <c r="AO35" i="93" a="1"/>
  <c r="AO35" i="93" s="1"/>
  <c r="AP64" i="93"/>
  <c r="AP57" i="93"/>
  <c r="AO57" i="93" a="1"/>
  <c r="AO57" i="93" s="1"/>
  <c r="AP126" i="93"/>
  <c r="AP56" i="93"/>
  <c r="AO56" i="93" a="1"/>
  <c r="AO56" i="93" s="1"/>
  <c r="AO91" i="93" a="1"/>
  <c r="AO91" i="93" s="1"/>
  <c r="AP91" i="93"/>
  <c r="AP19" i="93"/>
  <c r="AO116" i="93" a="1"/>
  <c r="AO116" i="93" s="1"/>
  <c r="AP116" i="93"/>
  <c r="AO9" i="93" a="1"/>
  <c r="AO9" i="93" s="1"/>
  <c r="AP9" i="93"/>
  <c r="AO141" i="93" a="1"/>
  <c r="AO141" i="93" s="1"/>
  <c r="AP141" i="93"/>
  <c r="AO110" i="93" a="1"/>
  <c r="AO110" i="93" s="1"/>
  <c r="AP115" i="93"/>
  <c r="AO115" i="93" a="1"/>
  <c r="AO115" i="93" s="1"/>
  <c r="AO41" i="93" a="1"/>
  <c r="AO41" i="93" s="1"/>
  <c r="AP41" i="93"/>
  <c r="AO53" i="93" a="1"/>
  <c r="AO53" i="93" s="1"/>
  <c r="AP53" i="93"/>
  <c r="AP58" i="93"/>
  <c r="AO93" i="93" a="1"/>
  <c r="AO93" i="93" s="1"/>
  <c r="AP93" i="93"/>
  <c r="AO84" i="93" a="1"/>
  <c r="AO84" i="93" s="1"/>
  <c r="AP84" i="93"/>
  <c r="AP136" i="93"/>
  <c r="AO136" i="93" a="1"/>
  <c r="AO136" i="93" s="1"/>
  <c r="AO80" i="93" a="1"/>
  <c r="AO80" i="93" s="1"/>
  <c r="AP54" i="93"/>
  <c r="AO54" i="93" a="1"/>
  <c r="AO54" i="93" s="1"/>
  <c r="AP113" i="93"/>
  <c r="AO113" i="93" a="1"/>
  <c r="AO113" i="93" s="1"/>
  <c r="AO76" i="93" a="1"/>
  <c r="AO76" i="93" s="1"/>
  <c r="AP27" i="93"/>
  <c r="AO27" i="93" a="1"/>
  <c r="AO27" i="93" s="1"/>
  <c r="AO32" i="93" a="1"/>
  <c r="AO32" i="93" s="1"/>
  <c r="AO124" i="93" a="1"/>
  <c r="AO124" i="93" s="1"/>
  <c r="AP124" i="93"/>
  <c r="AO10" i="93" a="1"/>
  <c r="AO10" i="93" s="1"/>
  <c r="AP10" i="93"/>
  <c r="AP45" i="93"/>
  <c r="AO45" i="93" a="1"/>
  <c r="AO45" i="93" s="1"/>
  <c r="AP40" i="93"/>
  <c r="AO128" i="93" a="1"/>
  <c r="AO128" i="93" s="1"/>
  <c r="AP128" i="93"/>
  <c r="AO97" i="93" a="1"/>
  <c r="AO97" i="93" s="1"/>
  <c r="AP97" i="93"/>
  <c r="AO74" i="93" a="1"/>
  <c r="AO74" i="93" s="1"/>
  <c r="AO109" i="93" a="1"/>
  <c r="AO109" i="93" s="1"/>
  <c r="AP109" i="93"/>
  <c r="AP69" i="93"/>
  <c r="AO69" i="93" a="1"/>
  <c r="AO69" i="93" s="1"/>
  <c r="AO68" i="93" a="1"/>
  <c r="AO68" i="93" s="1"/>
  <c r="AP68" i="93"/>
  <c r="AP71" i="93"/>
  <c r="AP83" i="93"/>
  <c r="AP18" i="93"/>
  <c r="AO18" i="93" a="1"/>
  <c r="AO18" i="93" s="1"/>
  <c r="AP31" i="93"/>
  <c r="AO31" i="93" a="1"/>
  <c r="AO31" i="93" s="1"/>
  <c r="AO75" i="93" a="1"/>
  <c r="AO75" i="93" s="1"/>
  <c r="AO59" i="93" a="1"/>
  <c r="AO59" i="93" s="1"/>
  <c r="AP59" i="93"/>
  <c r="AO122" i="93" a="1"/>
  <c r="AO122" i="93" s="1"/>
  <c r="AP122" i="93"/>
  <c r="AO19" i="93" a="1"/>
  <c r="AO19" i="93" s="1"/>
  <c r="AP108" i="93"/>
  <c r="AO108" i="93" a="1"/>
  <c r="AO108" i="93" s="1"/>
  <c r="AO111" i="93" a="1"/>
  <c r="AO111" i="93" s="1"/>
  <c r="AP111" i="93"/>
  <c r="AO50" i="93" a="1"/>
  <c r="AO50" i="93" s="1"/>
  <c r="AP65" i="93"/>
  <c r="AO65" i="93" a="1"/>
  <c r="AO65" i="93" s="1"/>
  <c r="AO137" i="93" a="1"/>
  <c r="AO137" i="93" s="1"/>
  <c r="AP137" i="93"/>
  <c r="AP78" i="93"/>
  <c r="AO78" i="93" a="1"/>
  <c r="AO78" i="93" s="1"/>
  <c r="AP101" i="93"/>
  <c r="AO101" i="93" a="1"/>
  <c r="AO101" i="93" s="1"/>
  <c r="AP125" i="93"/>
  <c r="AO125" i="93" a="1"/>
  <c r="AO125" i="93" s="1"/>
  <c r="AP82" i="93"/>
  <c r="AO82" i="93" a="1"/>
  <c r="AO82" i="93" s="1"/>
  <c r="AP81" i="93"/>
  <c r="AO81" i="93" a="1"/>
  <c r="AO81" i="93" s="1"/>
  <c r="AP79" i="93"/>
  <c r="AO79" i="93" a="1"/>
  <c r="AO79" i="93" s="1"/>
  <c r="AP14" i="93"/>
  <c r="AO14" i="93" a="1"/>
  <c r="AO14" i="93" s="1"/>
  <c r="AO70" i="93" a="1"/>
  <c r="AO70" i="93" s="1"/>
  <c r="AP70" i="93"/>
  <c r="AP117" i="93"/>
  <c r="AO117" i="93" a="1"/>
  <c r="AO117" i="93" s="1"/>
  <c r="AO142" i="93" a="1"/>
  <c r="AO142" i="93" s="1"/>
  <c r="AP142" i="93"/>
  <c r="AO106" i="93" a="1"/>
  <c r="AO106" i="93" s="1"/>
  <c r="AP106" i="93"/>
  <c r="AO86" i="93" a="1"/>
  <c r="AO86" i="93" s="1"/>
  <c r="AP86" i="93"/>
  <c r="AO17" i="93" a="1"/>
  <c r="AO17" i="93" s="1"/>
  <c r="AP17" i="93"/>
  <c r="AP39" i="93"/>
  <c r="AO39" i="93" a="1"/>
  <c r="AO39" i="93" s="1"/>
  <c r="AP143" i="93"/>
  <c r="AO143" i="93" a="1"/>
  <c r="AO143" i="93" s="1"/>
  <c r="AO138" i="93" a="1"/>
  <c r="AO138" i="93" s="1"/>
  <c r="AP20" i="93"/>
  <c r="AO20" i="93" a="1"/>
  <c r="AO20" i="93" s="1"/>
  <c r="AP62" i="93"/>
  <c r="AO62" i="93" a="1"/>
  <c r="AO62" i="93" s="1"/>
  <c r="AO88" i="93" a="1"/>
  <c r="AO88" i="93" s="1"/>
  <c r="AP95" i="93"/>
  <c r="AO40" i="93" a="1"/>
  <c r="AO40" i="93" s="1"/>
  <c r="AP25" i="93"/>
  <c r="AO25" i="93" a="1"/>
  <c r="AO25" i="93" s="1"/>
  <c r="AO126" i="93" a="1"/>
  <c r="AO126" i="93" s="1"/>
  <c r="AO120" i="93" a="1"/>
  <c r="AO120" i="93" s="1"/>
  <c r="AP94" i="93"/>
  <c r="AO94" i="93" a="1"/>
  <c r="AO94" i="93" s="1"/>
  <c r="AP42" i="93"/>
  <c r="AO42" i="93" a="1"/>
  <c r="AO42" i="93" s="1"/>
  <c r="AO87" i="93" a="1"/>
  <c r="AO87" i="93" s="1"/>
  <c r="AP87" i="93"/>
  <c r="AO51" i="93" a="1"/>
  <c r="AO51" i="93" s="1"/>
  <c r="AP51" i="93"/>
  <c r="AO72" i="93" a="1"/>
  <c r="AO72" i="93" s="1"/>
  <c r="AP72" i="93"/>
  <c r="AO66" i="93" a="1"/>
  <c r="AO66" i="93" s="1"/>
  <c r="AP66" i="93"/>
  <c r="AO46" i="93" a="1"/>
  <c r="AO46" i="93" s="1"/>
  <c r="AP46" i="93"/>
  <c r="AO139" i="93" a="1"/>
  <c r="AO139" i="93" s="1"/>
  <c r="AP139" i="93"/>
  <c r="AO24" i="93" a="1"/>
  <c r="AO24" i="93" s="1"/>
  <c r="AP24" i="93"/>
  <c r="AP127" i="93"/>
  <c r="AO127" i="93" a="1"/>
  <c r="AO127" i="93" s="1"/>
  <c r="AP130" i="93"/>
  <c r="AO130" i="93" a="1"/>
  <c r="AO130" i="93" s="1"/>
  <c r="AP21" i="93"/>
  <c r="AO21" i="93" a="1"/>
  <c r="AO21" i="93" s="1"/>
  <c r="AP52" i="93"/>
  <c r="AO13" i="93" a="1"/>
  <c r="AO13" i="93" s="1"/>
  <c r="AP13" i="93"/>
  <c r="AO11" i="93" a="1"/>
  <c r="AO11" i="93" s="1"/>
  <c r="AP11" i="93"/>
  <c r="AO63" i="93" a="1"/>
  <c r="AO63" i="93" s="1"/>
  <c r="AP63" i="93"/>
  <c r="AP85" i="93"/>
  <c r="AP96" i="93"/>
  <c r="AO96" i="93" a="1"/>
  <c r="AO96" i="93" s="1"/>
  <c r="AO132" i="93" a="1"/>
  <c r="AO132" i="93" s="1"/>
  <c r="AP132" i="93"/>
  <c r="AP131" i="93"/>
  <c r="AO123" i="93" a="1"/>
  <c r="AO123" i="93" s="1"/>
  <c r="AP123" i="93"/>
  <c r="AO49" i="93" a="1"/>
  <c r="AO49" i="93" s="1"/>
  <c r="AP43" i="93"/>
  <c r="AO43" i="93" a="1"/>
  <c r="AO43" i="93" s="1"/>
  <c r="AP88" i="93"/>
  <c r="AP105" i="93"/>
  <c r="AO105" i="93" a="1"/>
  <c r="AO105" i="93" s="1"/>
  <c r="AO133" i="93" a="1"/>
  <c r="AO133" i="93" s="1"/>
  <c r="AP133" i="93"/>
  <c r="AP75" i="93"/>
  <c r="AP74" i="93"/>
  <c r="AO38" i="93" a="1"/>
  <c r="AO38" i="93" s="1"/>
  <c r="AP38" i="93"/>
  <c r="AP103" i="93"/>
  <c r="AO103" i="93" a="1"/>
  <c r="AO103" i="93" s="1"/>
  <c r="AP134" i="93"/>
  <c r="AO134" i="93" a="1"/>
  <c r="AO134" i="93" s="1"/>
  <c r="AP32" i="93"/>
  <c r="AO60" i="93" a="1"/>
  <c r="AO60" i="93" s="1"/>
  <c r="AP60" i="93"/>
  <c r="AP102" i="93"/>
  <c r="AO102" i="93" a="1"/>
  <c r="AO102" i="93" s="1"/>
  <c r="AO95" i="93" a="1"/>
  <c r="AO95" i="93" s="1"/>
  <c r="AO129" i="93" a="1"/>
  <c r="AO129" i="93" s="1"/>
  <c r="AP129" i="93"/>
  <c r="AP76" i="93"/>
  <c r="AP33" i="93"/>
  <c r="AO33" i="93" a="1"/>
  <c r="AO33" i="93" s="1"/>
  <c r="AO28" i="93" a="1"/>
  <c r="AO28" i="93" s="1"/>
  <c r="AP28" i="93"/>
  <c r="AP89" i="93"/>
  <c r="AO89" i="93" a="1"/>
  <c r="AO89" i="93" s="1"/>
  <c r="AO119" i="93" a="1"/>
  <c r="AO119" i="93" s="1"/>
  <c r="AO77" i="93" a="1"/>
  <c r="AO77" i="93" s="1"/>
  <c r="AP77" i="93"/>
  <c r="AO55" i="93" a="1"/>
  <c r="AO55" i="93" s="1"/>
  <c r="AP55" i="93"/>
  <c r="AP73" i="93"/>
  <c r="AO73" i="93" a="1"/>
  <c r="AO73" i="93" s="1"/>
  <c r="AO140" i="93" a="1"/>
  <c r="AO140" i="93" s="1"/>
  <c r="AP140" i="93"/>
  <c r="AO36" i="93" a="1"/>
  <c r="AO36" i="93" s="1"/>
  <c r="AO44" i="93" a="1"/>
  <c r="AO44" i="93" s="1"/>
  <c r="AP44" i="93"/>
  <c r="AP135" i="93"/>
  <c r="AO135" i="93" a="1"/>
  <c r="AO135" i="93" s="1"/>
  <c r="AP34" i="93"/>
  <c r="AO34" i="93" a="1"/>
  <c r="AO34" i="93" s="1"/>
  <c r="AP22" i="93"/>
  <c r="AO22" i="93" a="1"/>
  <c r="AO22" i="93" s="1"/>
  <c r="AP92" i="93"/>
  <c r="AO92" i="93" a="1"/>
  <c r="AO92" i="93" s="1"/>
  <c r="AO83" i="93" a="1"/>
  <c r="AO83" i="93" s="1"/>
  <c r="AA43" i="92"/>
  <c r="AI43" i="92"/>
  <c r="AG50" i="92"/>
  <c r="AO50" i="92"/>
  <c r="AA116" i="92"/>
  <c r="AI116" i="92"/>
  <c r="AA65" i="92"/>
  <c r="AI65" i="92"/>
  <c r="AE134" i="92"/>
  <c r="AM134" i="92"/>
  <c r="AG26" i="92"/>
  <c r="AO26" i="92"/>
  <c r="AP69" i="92"/>
  <c r="AH69" i="92"/>
  <c r="AB62" i="92"/>
  <c r="AJ62" i="92"/>
  <c r="AA41" i="92"/>
  <c r="AI41" i="92"/>
  <c r="AI14" i="92"/>
  <c r="AA14" i="92"/>
  <c r="AH29" i="92"/>
  <c r="AP29" i="92"/>
  <c r="AI56" i="92"/>
  <c r="AA56" i="92"/>
  <c r="AN75" i="92"/>
  <c r="AF75" i="92"/>
  <c r="AN24" i="92"/>
  <c r="AF24" i="92"/>
  <c r="AJ79" i="92"/>
  <c r="AB79" i="92"/>
  <c r="AP131" i="92"/>
  <c r="AH131" i="92"/>
  <c r="AE132" i="92"/>
  <c r="AM132" i="92"/>
  <c r="AI131" i="92"/>
  <c r="AA131" i="92"/>
  <c r="AC123" i="92"/>
  <c r="AK123" i="92"/>
  <c r="AA123" i="92"/>
  <c r="AI123" i="92"/>
  <c r="AB82" i="92"/>
  <c r="AJ82" i="92"/>
  <c r="AP11" i="92"/>
  <c r="AH11" i="92"/>
  <c r="AI132" i="92"/>
  <c r="AA132" i="92"/>
  <c r="AD139" i="92"/>
  <c r="AL139" i="92"/>
  <c r="AP88" i="92"/>
  <c r="AH88" i="92"/>
  <c r="AL106" i="92"/>
  <c r="AD106" i="92"/>
  <c r="AC9" i="92"/>
  <c r="AK9" i="92"/>
  <c r="AH100" i="92"/>
  <c r="AP100" i="92"/>
  <c r="AP80" i="92"/>
  <c r="AH80" i="92"/>
  <c r="AA101" i="92"/>
  <c r="AI101" i="92"/>
  <c r="AE92" i="92"/>
  <c r="AM92" i="92"/>
  <c r="AN124" i="92"/>
  <c r="AF124" i="92"/>
  <c r="AD72" i="92"/>
  <c r="AL72" i="92"/>
  <c r="AF87" i="92"/>
  <c r="AN87" i="92"/>
  <c r="AD107" i="92"/>
  <c r="AL107" i="92"/>
  <c r="AC126" i="92"/>
  <c r="AK126" i="92"/>
  <c r="AO133" i="92"/>
  <c r="AG133" i="92"/>
  <c r="AG17" i="92"/>
  <c r="AO17" i="92"/>
  <c r="AO58" i="92"/>
  <c r="AG58" i="92"/>
  <c r="AE63" i="92"/>
  <c r="AM63" i="92"/>
  <c r="AA64" i="92"/>
  <c r="AI64" i="92"/>
  <c r="AE142" i="92"/>
  <c r="AM142" i="92"/>
  <c r="AC139" i="92"/>
  <c r="AK139" i="92"/>
  <c r="AG118" i="92"/>
  <c r="AO118" i="92"/>
  <c r="AF43" i="92"/>
  <c r="AN43" i="92"/>
  <c r="AF108" i="92"/>
  <c r="AN108" i="92"/>
  <c r="AE95" i="92"/>
  <c r="AM95" i="92"/>
  <c r="AA47" i="92"/>
  <c r="AI47" i="92"/>
  <c r="AC104" i="92"/>
  <c r="AK104" i="92"/>
  <c r="AM88" i="92"/>
  <c r="AE88" i="92"/>
  <c r="AH113" i="92"/>
  <c r="AP113" i="92"/>
  <c r="AF133" i="92"/>
  <c r="AN133" i="92"/>
  <c r="AF13" i="92"/>
  <c r="AN13" i="92"/>
  <c r="AF96" i="92"/>
  <c r="AN96" i="92"/>
  <c r="AC50" i="92"/>
  <c r="AK50" i="92"/>
  <c r="AD140" i="92"/>
  <c r="AL140" i="92"/>
  <c r="AB101" i="92"/>
  <c r="AJ101" i="92"/>
  <c r="AF15" i="92"/>
  <c r="AN15" i="92"/>
  <c r="AB133" i="92"/>
  <c r="AJ133" i="92"/>
  <c r="AF39" i="92"/>
  <c r="AN39" i="92"/>
  <c r="AG131" i="92"/>
  <c r="AO131" i="92"/>
  <c r="AH58" i="92"/>
  <c r="AP58" i="92"/>
  <c r="AE9" i="92"/>
  <c r="AM9" i="92"/>
  <c r="AA76" i="92"/>
  <c r="AI76" i="92"/>
  <c r="AI61" i="92"/>
  <c r="AA61" i="92"/>
  <c r="AM39" i="92"/>
  <c r="AE39" i="92"/>
  <c r="AA26" i="92"/>
  <c r="AI26" i="92"/>
  <c r="AP84" i="92"/>
  <c r="AH84" i="92"/>
  <c r="AL59" i="92"/>
  <c r="AD59" i="92"/>
  <c r="AD124" i="92"/>
  <c r="AL124" i="92"/>
  <c r="AO135" i="92"/>
  <c r="AG135" i="92"/>
  <c r="AA38" i="92"/>
  <c r="AI38" i="92"/>
  <c r="AO25" i="92"/>
  <c r="AG25" i="92"/>
  <c r="AD26" i="92"/>
  <c r="AL26" i="92"/>
  <c r="AC132" i="92"/>
  <c r="AK132" i="92"/>
  <c r="AG116" i="92"/>
  <c r="AO116" i="92"/>
  <c r="AE105" i="92"/>
  <c r="AM105" i="92"/>
  <c r="AF44" i="92"/>
  <c r="AN44" i="92"/>
  <c r="AB116" i="92"/>
  <c r="AJ116" i="92"/>
  <c r="AB81" i="92"/>
  <c r="AJ81" i="92"/>
  <c r="AD42" i="92"/>
  <c r="AL42" i="92"/>
  <c r="AA138" i="92"/>
  <c r="AI138" i="92"/>
  <c r="AF83" i="92"/>
  <c r="AN83" i="92"/>
  <c r="AM112" i="92"/>
  <c r="AE112" i="92"/>
  <c r="AM49" i="92"/>
  <c r="AE49" i="92"/>
  <c r="AJ8" i="92"/>
  <c r="AB8" i="92"/>
  <c r="AD98" i="92"/>
  <c r="AL98" i="92"/>
  <c r="AJ73" i="92"/>
  <c r="AB73" i="92"/>
  <c r="AB35" i="92"/>
  <c r="AJ35" i="92"/>
  <c r="AI39" i="92"/>
  <c r="AA39" i="92"/>
  <c r="AA60" i="92"/>
  <c r="AI60" i="92"/>
  <c r="AL134" i="92"/>
  <c r="AD134" i="92"/>
  <c r="AM43" i="92"/>
  <c r="AE43" i="92"/>
  <c r="AF139" i="92"/>
  <c r="AN139" i="92"/>
  <c r="AG48" i="92"/>
  <c r="AO48" i="92"/>
  <c r="AM117" i="92"/>
  <c r="AE117" i="92"/>
  <c r="AN41" i="92"/>
  <c r="AF41" i="92"/>
  <c r="AD143" i="92"/>
  <c r="AL143" i="92"/>
  <c r="AP118" i="92"/>
  <c r="AH118" i="92"/>
  <c r="AC37" i="92"/>
  <c r="AK37" i="92"/>
  <c r="AD119" i="92"/>
  <c r="AL119" i="92"/>
  <c r="AH43" i="92"/>
  <c r="AP43" i="92"/>
  <c r="AC135" i="92"/>
  <c r="AK135" i="92"/>
  <c r="AM71" i="92"/>
  <c r="AE71" i="92"/>
  <c r="AP127" i="92"/>
  <c r="AH127" i="92"/>
  <c r="AH103" i="92"/>
  <c r="AP103" i="92"/>
  <c r="AD138" i="92"/>
  <c r="AL138" i="92"/>
  <c r="AC65" i="92"/>
  <c r="AK65" i="92"/>
  <c r="AD117" i="92"/>
  <c r="AL117" i="92"/>
  <c r="AF131" i="92"/>
  <c r="AN131" i="92"/>
  <c r="AN66" i="92"/>
  <c r="AF66" i="92"/>
  <c r="AN80" i="92"/>
  <c r="AF80" i="92"/>
  <c r="AE57" i="92"/>
  <c r="AM57" i="92"/>
  <c r="AG68" i="92"/>
  <c r="AO68" i="92"/>
  <c r="AE20" i="92"/>
  <c r="AM20" i="92"/>
  <c r="AP12" i="92"/>
  <c r="AH12" i="92"/>
  <c r="AO80" i="92"/>
  <c r="AG80" i="92"/>
  <c r="AP136" i="92"/>
  <c r="AH136" i="92"/>
  <c r="AL133" i="92"/>
  <c r="AD133" i="92"/>
  <c r="AI133" i="92"/>
  <c r="AA133" i="92"/>
  <c r="AB38" i="92"/>
  <c r="AJ38" i="92"/>
  <c r="AP34" i="92"/>
  <c r="AH34" i="92"/>
  <c r="AF31" i="92"/>
  <c r="AN31" i="92"/>
  <c r="AH121" i="92"/>
  <c r="AP121" i="92"/>
  <c r="AC16" i="92"/>
  <c r="AK16" i="92"/>
  <c r="AL12" i="92"/>
  <c r="AD12" i="92"/>
  <c r="AB113" i="92"/>
  <c r="AJ113" i="92"/>
  <c r="AI92" i="92"/>
  <c r="AA92" i="92"/>
  <c r="AB87" i="92"/>
  <c r="AJ87" i="92"/>
  <c r="AH65" i="92"/>
  <c r="AP65" i="92"/>
  <c r="AC25" i="92"/>
  <c r="AK25" i="92"/>
  <c r="AC81" i="92"/>
  <c r="AK81" i="92"/>
  <c r="AN17" i="92"/>
  <c r="AF17" i="92"/>
  <c r="AC11" i="92"/>
  <c r="AK11" i="92"/>
  <c r="AM16" i="92"/>
  <c r="AE16" i="92"/>
  <c r="AP86" i="92"/>
  <c r="AH86" i="92"/>
  <c r="AL33" i="92"/>
  <c r="AD33" i="92"/>
  <c r="AD52" i="92"/>
  <c r="AL52" i="92"/>
  <c r="AF101" i="92"/>
  <c r="AN101" i="92"/>
  <c r="AB63" i="92"/>
  <c r="AJ63" i="92"/>
  <c r="AD115" i="92"/>
  <c r="AL115" i="92"/>
  <c r="AH56" i="92"/>
  <c r="AP56" i="92"/>
  <c r="AA139" i="92"/>
  <c r="AI139" i="92"/>
  <c r="AL70" i="92"/>
  <c r="AD70" i="92"/>
  <c r="AM46" i="92"/>
  <c r="AE46" i="92"/>
  <c r="AF113" i="92"/>
  <c r="AN113" i="92"/>
  <c r="AE23" i="92"/>
  <c r="AM23" i="92"/>
  <c r="AE101" i="92"/>
  <c r="AM101" i="92"/>
  <c r="AD46" i="92"/>
  <c r="AL46" i="92"/>
  <c r="AH49" i="92"/>
  <c r="AP49" i="92"/>
  <c r="AB48" i="92"/>
  <c r="AJ48" i="92"/>
  <c r="AD24" i="92"/>
  <c r="AL24" i="92"/>
  <c r="AO87" i="92"/>
  <c r="AG87" i="92"/>
  <c r="AP42" i="92"/>
  <c r="AH42" i="92"/>
  <c r="AL102" i="92"/>
  <c r="AD102" i="92"/>
  <c r="AO107" i="92"/>
  <c r="AG107" i="92"/>
  <c r="AE12" i="92"/>
  <c r="AM12" i="92"/>
  <c r="AF117" i="92"/>
  <c r="AN117" i="92"/>
  <c r="AH27" i="92"/>
  <c r="AP27" i="92"/>
  <c r="AL87" i="92"/>
  <c r="AD87" i="92"/>
  <c r="AB39" i="92"/>
  <c r="AJ39" i="92"/>
  <c r="AC61" i="92"/>
  <c r="AK61" i="92"/>
  <c r="AF32" i="92"/>
  <c r="AN32" i="92"/>
  <c r="AA112" i="92"/>
  <c r="AI112" i="92"/>
  <c r="AO102" i="92"/>
  <c r="AG102" i="92"/>
  <c r="AN112" i="92"/>
  <c r="AF112" i="92"/>
  <c r="AM111" i="92"/>
  <c r="AE111" i="92"/>
  <c r="AE10" i="92"/>
  <c r="AM10" i="92"/>
  <c r="AD103" i="92"/>
  <c r="AL103" i="92"/>
  <c r="AC78" i="92"/>
  <c r="AK78" i="92"/>
  <c r="AJ119" i="92"/>
  <c r="AB119" i="92"/>
  <c r="AA134" i="92"/>
  <c r="AI134" i="92"/>
  <c r="AL77" i="92"/>
  <c r="AD77" i="92"/>
  <c r="AE59" i="92"/>
  <c r="AM59" i="92"/>
  <c r="AD112" i="92"/>
  <c r="AL112" i="92"/>
  <c r="AF136" i="92"/>
  <c r="AN136" i="92"/>
  <c r="AK79" i="92"/>
  <c r="AC79" i="92"/>
  <c r="AH83" i="92"/>
  <c r="AP83" i="92"/>
  <c r="AH107" i="92"/>
  <c r="AP107" i="92"/>
  <c r="AJ136" i="92"/>
  <c r="AB136" i="92"/>
  <c r="AK112" i="92"/>
  <c r="AC112" i="92"/>
  <c r="AA117" i="92"/>
  <c r="AI117" i="92"/>
  <c r="AB60" i="92"/>
  <c r="AJ60" i="92"/>
  <c r="AD19" i="92"/>
  <c r="AL19" i="92"/>
  <c r="AF130" i="92"/>
  <c r="AN130" i="92"/>
  <c r="AB20" i="92"/>
  <c r="AJ20" i="92"/>
  <c r="AM115" i="92"/>
  <c r="AE115" i="92"/>
  <c r="AG126" i="92"/>
  <c r="AO126" i="92"/>
  <c r="AD64" i="92"/>
  <c r="AL64" i="92"/>
  <c r="AE98" i="92"/>
  <c r="AM98" i="92"/>
  <c r="AB59" i="92"/>
  <c r="AJ59" i="92"/>
  <c r="AK31" i="92"/>
  <c r="AC31" i="92"/>
  <c r="AJ57" i="92"/>
  <c r="AB57" i="92"/>
  <c r="AC17" i="92"/>
  <c r="AK17" i="92"/>
  <c r="AC133" i="92"/>
  <c r="AK133" i="92"/>
  <c r="AA119" i="92"/>
  <c r="AI119" i="92"/>
  <c r="AF46" i="92"/>
  <c r="AN46" i="92"/>
  <c r="AL62" i="92"/>
  <c r="AD62" i="92"/>
  <c r="AM19" i="92"/>
  <c r="AE19" i="92"/>
  <c r="AK110" i="92"/>
  <c r="AC110" i="92"/>
  <c r="AG96" i="92"/>
  <c r="AO96" i="92"/>
  <c r="AA42" i="92"/>
  <c r="AI42" i="92"/>
  <c r="AC96" i="92"/>
  <c r="AK96" i="92"/>
  <c r="AG19" i="92"/>
  <c r="AO19" i="92"/>
  <c r="AF82" i="92"/>
  <c r="AN82" i="92"/>
  <c r="AC143" i="92"/>
  <c r="AK143" i="92"/>
  <c r="AD127" i="92"/>
  <c r="AL127" i="92"/>
  <c r="AG29" i="92"/>
  <c r="AO29" i="92"/>
  <c r="AI36" i="92"/>
  <c r="AA36" i="92"/>
  <c r="AA78" i="92"/>
  <c r="AI78" i="92"/>
  <c r="AG92" i="92"/>
  <c r="AO92" i="92"/>
  <c r="AP126" i="92"/>
  <c r="AH126" i="92"/>
  <c r="AG45" i="92"/>
  <c r="AO45" i="92"/>
  <c r="AA115" i="92"/>
  <c r="AI115" i="92"/>
  <c r="AO121" i="92"/>
  <c r="AG121" i="92"/>
  <c r="AH81" i="92"/>
  <c r="AP81" i="92"/>
  <c r="AP44" i="92"/>
  <c r="AH44" i="92"/>
  <c r="AP141" i="92"/>
  <c r="AH141" i="92"/>
  <c r="AC83" i="92"/>
  <c r="AK83" i="92"/>
  <c r="AL11" i="92"/>
  <c r="AD11" i="92"/>
  <c r="AP36" i="92"/>
  <c r="AH36" i="92"/>
  <c r="AM82" i="92"/>
  <c r="AE82" i="92"/>
  <c r="AJ117" i="92"/>
  <c r="AB117" i="92"/>
  <c r="AH87" i="92"/>
  <c r="AP87" i="92"/>
  <c r="AB14" i="92"/>
  <c r="AJ14" i="92"/>
  <c r="AI10" i="92"/>
  <c r="AA10" i="92"/>
  <c r="AE133" i="92"/>
  <c r="AM133" i="92"/>
  <c r="AE83" i="92"/>
  <c r="AM83" i="92"/>
  <c r="AH37" i="92"/>
  <c r="AP37" i="92"/>
  <c r="AD61" i="92"/>
  <c r="AL61" i="92"/>
  <c r="AD31" i="92"/>
  <c r="AL31" i="92"/>
  <c r="AD55" i="92"/>
  <c r="AL55" i="92"/>
  <c r="AI53" i="92"/>
  <c r="AA53" i="92"/>
  <c r="AC86" i="92"/>
  <c r="AK86" i="92"/>
  <c r="AM126" i="92"/>
  <c r="AE126" i="92"/>
  <c r="AB135" i="92"/>
  <c r="AJ135" i="92"/>
  <c r="AB86" i="92"/>
  <c r="AJ86" i="92"/>
  <c r="AE48" i="92"/>
  <c r="AM48" i="92"/>
  <c r="AO89" i="92"/>
  <c r="AG89" i="92"/>
  <c r="AC19" i="92"/>
  <c r="AK19" i="92"/>
  <c r="AB31" i="92"/>
  <c r="AJ31" i="92"/>
  <c r="AF16" i="92"/>
  <c r="AN16" i="92"/>
  <c r="AA51" i="92"/>
  <c r="AI51" i="92"/>
  <c r="AG66" i="92"/>
  <c r="AO66" i="92"/>
  <c r="AC10" i="92"/>
  <c r="AK10" i="92"/>
  <c r="AG69" i="92"/>
  <c r="AO69" i="92"/>
  <c r="AA19" i="92"/>
  <c r="AI19" i="92"/>
  <c r="AC66" i="92"/>
  <c r="AK66" i="92"/>
  <c r="AH76" i="92"/>
  <c r="AP76" i="92"/>
  <c r="AM118" i="92"/>
  <c r="AE118" i="92"/>
  <c r="AK117" i="92"/>
  <c r="AC117" i="92"/>
  <c r="AD47" i="92"/>
  <c r="AL47" i="92"/>
  <c r="AK42" i="92"/>
  <c r="AC42" i="92"/>
  <c r="AG39" i="92"/>
  <c r="AO39" i="92"/>
  <c r="AC71" i="92"/>
  <c r="AK71" i="92"/>
  <c r="AC32" i="92"/>
  <c r="AK32" i="92"/>
  <c r="AF85" i="92"/>
  <c r="AN85" i="92"/>
  <c r="AD15" i="92"/>
  <c r="AL15" i="92"/>
  <c r="AC80" i="92"/>
  <c r="AK80" i="92"/>
  <c r="AG65" i="92"/>
  <c r="AO65" i="92"/>
  <c r="AI13" i="92"/>
  <c r="AA13" i="92"/>
  <c r="AO75" i="92"/>
  <c r="AG75" i="92"/>
  <c r="AC113" i="92"/>
  <c r="AK113" i="92"/>
  <c r="AC28" i="92"/>
  <c r="AK28" i="92"/>
  <c r="AJ109" i="92"/>
  <c r="AB109" i="92"/>
  <c r="AF111" i="92"/>
  <c r="AN111" i="92"/>
  <c r="AJ141" i="92"/>
  <c r="AB141" i="92"/>
  <c r="AC14" i="92"/>
  <c r="AK14" i="92"/>
  <c r="AD88" i="92"/>
  <c r="AL88" i="92"/>
  <c r="AF140" i="92"/>
  <c r="AN140" i="92"/>
  <c r="AH106" i="92"/>
  <c r="AP106" i="92"/>
  <c r="AK40" i="92"/>
  <c r="AC40" i="92"/>
  <c r="AD101" i="92"/>
  <c r="AL101" i="92"/>
  <c r="AI81" i="92"/>
  <c r="AA81" i="92"/>
  <c r="AL50" i="92"/>
  <c r="AD50" i="92"/>
  <c r="AK44" i="92"/>
  <c r="AC44" i="92"/>
  <c r="AI85" i="92"/>
  <c r="AA85" i="92"/>
  <c r="AM135" i="92"/>
  <c r="AE135" i="92"/>
  <c r="AE109" i="92"/>
  <c r="AM109" i="92"/>
  <c r="AF98" i="92"/>
  <c r="AN98" i="92"/>
  <c r="AL104" i="92"/>
  <c r="AD104" i="92"/>
  <c r="AO78" i="92"/>
  <c r="AG78" i="92"/>
  <c r="AO59" i="92"/>
  <c r="AG59" i="92"/>
  <c r="AD58" i="92"/>
  <c r="AL58" i="92"/>
  <c r="AH105" i="92"/>
  <c r="AP105" i="92"/>
  <c r="AB103" i="92"/>
  <c r="AJ103" i="92"/>
  <c r="AC27" i="92"/>
  <c r="AK27" i="92"/>
  <c r="AG34" i="92"/>
  <c r="AO34" i="92"/>
  <c r="AO106" i="92"/>
  <c r="AG106" i="92"/>
  <c r="AC33" i="92"/>
  <c r="AK33" i="92"/>
  <c r="AC84" i="92"/>
  <c r="AK84" i="92"/>
  <c r="AL54" i="92"/>
  <c r="AD54" i="92"/>
  <c r="AI110" i="92"/>
  <c r="AA110" i="92"/>
  <c r="AE110" i="92"/>
  <c r="AM110" i="92"/>
  <c r="AC85" i="92"/>
  <c r="AK85" i="92"/>
  <c r="AJ19" i="92"/>
  <c r="AB19" i="92"/>
  <c r="AJ67" i="92"/>
  <c r="AB67" i="92"/>
  <c r="AN77" i="92"/>
  <c r="AF77" i="92"/>
  <c r="AE36" i="92"/>
  <c r="AM36" i="92"/>
  <c r="AE123" i="92"/>
  <c r="AM123" i="92"/>
  <c r="AB83" i="92"/>
  <c r="AJ83" i="92"/>
  <c r="AF25" i="92"/>
  <c r="AN25" i="92"/>
  <c r="AM11" i="92"/>
  <c r="AE11" i="92"/>
  <c r="AC60" i="92"/>
  <c r="AK60" i="92"/>
  <c r="AB126" i="92"/>
  <c r="AJ126" i="92"/>
  <c r="AF60" i="92"/>
  <c r="AN60" i="92"/>
  <c r="AE24" i="92"/>
  <c r="AM24" i="92"/>
  <c r="AK47" i="92"/>
  <c r="AC47" i="92"/>
  <c r="AC111" i="92"/>
  <c r="AK111" i="92"/>
  <c r="AB66" i="92"/>
  <c r="AJ66" i="92"/>
  <c r="AF104" i="92"/>
  <c r="AN104" i="92"/>
  <c r="AP116" i="92"/>
  <c r="AH116" i="92"/>
  <c r="AB46" i="92"/>
  <c r="AJ46" i="92"/>
  <c r="AF22" i="92"/>
  <c r="AN22" i="92"/>
  <c r="AH101" i="92"/>
  <c r="AP101" i="92"/>
  <c r="AC21" i="92"/>
  <c r="AK21" i="92"/>
  <c r="AA11" i="92"/>
  <c r="AI11" i="92"/>
  <c r="AO83" i="92"/>
  <c r="AG83" i="92"/>
  <c r="AK98" i="92"/>
  <c r="AC98" i="92"/>
  <c r="AF28" i="92"/>
  <c r="AN28" i="92"/>
  <c r="AP85" i="92"/>
  <c r="AH85" i="92"/>
  <c r="AD113" i="92"/>
  <c r="AL113" i="92"/>
  <c r="AL30" i="92"/>
  <c r="AD30" i="92"/>
  <c r="AL128" i="92"/>
  <c r="AD128" i="92"/>
  <c r="AI135" i="92"/>
  <c r="AA135" i="92"/>
  <c r="AH122" i="92"/>
  <c r="AP122" i="92"/>
  <c r="AO109" i="92"/>
  <c r="AG109" i="92"/>
  <c r="AB75" i="92"/>
  <c r="AJ75" i="92"/>
  <c r="AM116" i="92"/>
  <c r="AE116" i="92"/>
  <c r="AL80" i="92"/>
  <c r="AD80" i="92"/>
  <c r="AL35" i="92"/>
  <c r="AD35" i="92"/>
  <c r="AL79" i="92"/>
  <c r="AD79" i="92"/>
  <c r="AG100" i="92"/>
  <c r="AO100" i="92"/>
  <c r="AJ69" i="92"/>
  <c r="AB69" i="92"/>
  <c r="AF20" i="92"/>
  <c r="AN20" i="92"/>
  <c r="AI111" i="92"/>
  <c r="AA111" i="92"/>
  <c r="AI108" i="92"/>
  <c r="AA108" i="92"/>
  <c r="AJ70" i="92"/>
  <c r="AB70" i="92"/>
  <c r="AN26" i="92"/>
  <c r="AF26" i="92"/>
  <c r="AA136" i="92"/>
  <c r="AI136" i="92"/>
  <c r="AO12" i="92"/>
  <c r="AG12" i="92"/>
  <c r="AO36" i="92"/>
  <c r="AG36" i="92"/>
  <c r="AC62" i="92"/>
  <c r="AK62" i="92"/>
  <c r="AC56" i="92"/>
  <c r="AK56" i="92"/>
  <c r="AH30" i="92"/>
  <c r="AP30" i="92"/>
  <c r="AL84" i="92"/>
  <c r="AD84" i="92"/>
  <c r="AI86" i="92"/>
  <c r="AA86" i="92"/>
  <c r="AP137" i="92"/>
  <c r="AH137" i="92"/>
  <c r="AF48" i="92"/>
  <c r="AN48" i="92"/>
  <c r="AA46" i="92"/>
  <c r="AI46" i="92"/>
  <c r="AE76" i="92"/>
  <c r="AM76" i="92"/>
  <c r="AI106" i="92"/>
  <c r="AA106" i="92"/>
  <c r="AP52" i="92"/>
  <c r="AH52" i="92"/>
  <c r="AA113" i="92"/>
  <c r="AI113" i="92"/>
  <c r="AC136" i="92"/>
  <c r="AK136" i="92"/>
  <c r="AL53" i="92"/>
  <c r="AD53" i="92"/>
  <c r="AG41" i="92"/>
  <c r="AO41" i="92"/>
  <c r="AA102" i="92"/>
  <c r="AI102" i="92"/>
  <c r="AD67" i="92"/>
  <c r="AL67" i="92"/>
  <c r="AD65" i="92"/>
  <c r="AL65" i="92"/>
  <c r="AB95" i="92"/>
  <c r="AJ95" i="92"/>
  <c r="AK45" i="92"/>
  <c r="AC45" i="92"/>
  <c r="AA48" i="92"/>
  <c r="AI48" i="92"/>
  <c r="AN36" i="92"/>
  <c r="AF36" i="92"/>
  <c r="AO94" i="92"/>
  <c r="AG94" i="92"/>
  <c r="AA21" i="92"/>
  <c r="AI21" i="92"/>
  <c r="AM78" i="92"/>
  <c r="AE78" i="92"/>
  <c r="AP23" i="92"/>
  <c r="AH23" i="92"/>
  <c r="AA143" i="92"/>
  <c r="AI143" i="92"/>
  <c r="AG125" i="92"/>
  <c r="AO125" i="92"/>
  <c r="AA122" i="92"/>
  <c r="AI122" i="92"/>
  <c r="AI8" i="92"/>
  <c r="AA8" i="92"/>
  <c r="AI109" i="92"/>
  <c r="AA109" i="92"/>
  <c r="AH108" i="92"/>
  <c r="AP108" i="92"/>
  <c r="AL105" i="92"/>
  <c r="AD105" i="92"/>
  <c r="AP8" i="92"/>
  <c r="AH8" i="92"/>
  <c r="AL28" i="92"/>
  <c r="AD28" i="92"/>
  <c r="AM32" i="92"/>
  <c r="AE32" i="92"/>
  <c r="AB32" i="92"/>
  <c r="AJ32" i="92"/>
  <c r="AG86" i="92"/>
  <c r="AO86" i="92"/>
  <c r="AN78" i="92"/>
  <c r="AF78" i="92"/>
  <c r="AL111" i="92"/>
  <c r="AD111" i="92"/>
  <c r="AC128" i="92"/>
  <c r="AK128" i="92"/>
  <c r="AE62" i="92"/>
  <c r="AM62" i="92"/>
  <c r="AO30" i="92"/>
  <c r="AG30" i="92"/>
  <c r="AE96" i="92"/>
  <c r="AM96" i="92"/>
  <c r="AH98" i="92"/>
  <c r="AP98" i="92"/>
  <c r="AO108" i="92"/>
  <c r="AG108" i="92"/>
  <c r="AH124" i="92"/>
  <c r="AP124" i="92"/>
  <c r="AB107" i="92"/>
  <c r="AJ107" i="92"/>
  <c r="AA50" i="92"/>
  <c r="AI50" i="92"/>
  <c r="AE87" i="92"/>
  <c r="AM87" i="92"/>
  <c r="AG93" i="92"/>
  <c r="AO93" i="92"/>
  <c r="AN67" i="92"/>
  <c r="AF67" i="92"/>
  <c r="AA95" i="92"/>
  <c r="AI95" i="92"/>
  <c r="AC118" i="92"/>
  <c r="AK118" i="92"/>
  <c r="AA66" i="92"/>
  <c r="AI66" i="92"/>
  <c r="AB72" i="92"/>
  <c r="AJ72" i="92"/>
  <c r="AG113" i="92"/>
  <c r="AO113" i="92"/>
  <c r="AE93" i="92"/>
  <c r="AM93" i="92"/>
  <c r="AF94" i="92"/>
  <c r="AN94" i="92"/>
  <c r="AM45" i="92"/>
  <c r="AE45" i="92"/>
  <c r="AD114" i="92"/>
  <c r="AL114" i="92"/>
  <c r="AG73" i="92"/>
  <c r="AO73" i="92"/>
  <c r="AG70" i="92"/>
  <c r="AO70" i="92"/>
  <c r="AC122" i="92"/>
  <c r="AK122" i="92"/>
  <c r="AN76" i="92"/>
  <c r="AF76" i="92"/>
  <c r="AH33" i="92"/>
  <c r="AP33" i="92"/>
  <c r="AF125" i="92"/>
  <c r="AN125" i="92"/>
  <c r="AM130" i="92"/>
  <c r="AE130" i="92"/>
  <c r="AM104" i="92"/>
  <c r="AE104" i="92"/>
  <c r="AC35" i="92"/>
  <c r="AK35" i="92"/>
  <c r="AN59" i="92"/>
  <c r="AF59" i="92"/>
  <c r="AM107" i="92"/>
  <c r="AE107" i="92"/>
  <c r="AN11" i="92"/>
  <c r="AF11" i="92"/>
  <c r="AI34" i="92"/>
  <c r="AA34" i="92"/>
  <c r="AE14" i="92"/>
  <c r="AM14" i="92"/>
  <c r="AB24" i="92"/>
  <c r="AJ24" i="92"/>
  <c r="AB129" i="92"/>
  <c r="AJ129" i="92"/>
  <c r="AI67" i="92"/>
  <c r="AA67" i="92"/>
  <c r="AB80" i="92"/>
  <c r="AJ80" i="92"/>
  <c r="AA30" i="92"/>
  <c r="AI30" i="92"/>
  <c r="AO11" i="92"/>
  <c r="AG11" i="92"/>
  <c r="AH111" i="92"/>
  <c r="AP111" i="92"/>
  <c r="AG60" i="92"/>
  <c r="AO60" i="92"/>
  <c r="AH57" i="92"/>
  <c r="AP57" i="92"/>
  <c r="AI105" i="92"/>
  <c r="AA105" i="92"/>
  <c r="AL32" i="92"/>
  <c r="AD32" i="92"/>
  <c r="AC67" i="92"/>
  <c r="AK67" i="92"/>
  <c r="AD41" i="92"/>
  <c r="AL41" i="92"/>
  <c r="AH129" i="92"/>
  <c r="AP129" i="92"/>
  <c r="AD9" i="92"/>
  <c r="AL9" i="92"/>
  <c r="AM13" i="92"/>
  <c r="AE13" i="92"/>
  <c r="AF68" i="92"/>
  <c r="AN68" i="92"/>
  <c r="AI52" i="92"/>
  <c r="AA52" i="92"/>
  <c r="AM80" i="92"/>
  <c r="AE80" i="92"/>
  <c r="AF116" i="92"/>
  <c r="AN116" i="92"/>
  <c r="AD90" i="92"/>
  <c r="AL90" i="92"/>
  <c r="AM89" i="92"/>
  <c r="AE89" i="92"/>
  <c r="AD78" i="92"/>
  <c r="AL78" i="92"/>
  <c r="AJ51" i="92"/>
  <c r="AB51" i="92"/>
  <c r="AB104" i="92"/>
  <c r="AJ104" i="92"/>
  <c r="AD44" i="92"/>
  <c r="AL44" i="92"/>
  <c r="AB13" i="92"/>
  <c r="AJ13" i="92"/>
  <c r="AG122" i="92"/>
  <c r="AO122" i="92"/>
  <c r="AG82" i="92"/>
  <c r="AO82" i="92"/>
  <c r="AL23" i="92"/>
  <c r="AD23" i="92"/>
  <c r="AH72" i="92"/>
  <c r="AP72" i="92"/>
  <c r="AH70" i="92"/>
  <c r="AP70" i="92"/>
  <c r="AK48" i="92"/>
  <c r="AC48" i="92"/>
  <c r="AF115" i="92"/>
  <c r="AN115" i="92"/>
  <c r="AI54" i="92"/>
  <c r="AA54" i="92"/>
  <c r="AN42" i="92"/>
  <c r="AF42" i="92"/>
  <c r="AD141" i="92"/>
  <c r="AL141" i="92"/>
  <c r="AN34" i="92"/>
  <c r="AF34" i="92"/>
  <c r="AP114" i="92"/>
  <c r="AH114" i="92"/>
  <c r="AD17" i="92"/>
  <c r="AL17" i="92"/>
  <c r="AG16" i="92"/>
  <c r="AO16" i="92"/>
  <c r="AG64" i="92"/>
  <c r="AO64" i="92"/>
  <c r="AJ142" i="92"/>
  <c r="AB142" i="92"/>
  <c r="AM33" i="92"/>
  <c r="AE33" i="92"/>
  <c r="AH15" i="92"/>
  <c r="AP15" i="92"/>
  <c r="AA15" i="92"/>
  <c r="AI15" i="92"/>
  <c r="AA104" i="92"/>
  <c r="AI104" i="92"/>
  <c r="AN93" i="92"/>
  <c r="AF93" i="92"/>
  <c r="AN92" i="92"/>
  <c r="AF92" i="92"/>
  <c r="AJ68" i="92"/>
  <c r="AB68" i="92"/>
  <c r="AH61" i="92"/>
  <c r="AP61" i="92"/>
  <c r="AD86" i="92"/>
  <c r="AL86" i="92"/>
  <c r="AG136" i="92"/>
  <c r="AO136" i="92"/>
  <c r="AJ97" i="92"/>
  <c r="AB97" i="92"/>
  <c r="AM129" i="92"/>
  <c r="AE129" i="92"/>
  <c r="AH39" i="92"/>
  <c r="AP39" i="92"/>
  <c r="AJ16" i="92"/>
  <c r="AB16" i="92"/>
  <c r="AE74" i="92"/>
  <c r="AM74" i="92"/>
  <c r="AO9" i="92"/>
  <c r="AG9" i="92"/>
  <c r="AI125" i="92"/>
  <c r="AA125" i="92"/>
  <c r="AA91" i="92"/>
  <c r="AI91" i="92"/>
  <c r="AJ43" i="92"/>
  <c r="AB43" i="92"/>
  <c r="AO27" i="92"/>
  <c r="AG27" i="92"/>
  <c r="AG123" i="92"/>
  <c r="AO123" i="92"/>
  <c r="AL129" i="92"/>
  <c r="AD129" i="92"/>
  <c r="AE41" i="92"/>
  <c r="AM41" i="92"/>
  <c r="AB84" i="92"/>
  <c r="AJ84" i="92"/>
  <c r="AA75" i="92"/>
  <c r="AI75" i="92"/>
  <c r="AI84" i="92"/>
  <c r="AA84" i="92"/>
  <c r="AC121" i="92"/>
  <c r="AK121" i="92"/>
  <c r="AG139" i="92"/>
  <c r="AO139" i="92"/>
  <c r="AG119" i="92"/>
  <c r="AO119" i="92"/>
  <c r="AB118" i="92"/>
  <c r="AJ118" i="92"/>
  <c r="AF109" i="92"/>
  <c r="AN109" i="92"/>
  <c r="AK72" i="92"/>
  <c r="AC72" i="92"/>
  <c r="AL48" i="92"/>
  <c r="AD48" i="92"/>
  <c r="AL37" i="92"/>
  <c r="AD37" i="92"/>
  <c r="AL120" i="92"/>
  <c r="AD120" i="92"/>
  <c r="AP45" i="92"/>
  <c r="AH45" i="92"/>
  <c r="AK94" i="92"/>
  <c r="AC94" i="92"/>
  <c r="AF81" i="92"/>
  <c r="AN81" i="92"/>
  <c r="AF8" i="92"/>
  <c r="AN8" i="92"/>
  <c r="AE53" i="92"/>
  <c r="AM53" i="92"/>
  <c r="AJ94" i="92"/>
  <c r="AB94" i="92"/>
  <c r="AG104" i="92"/>
  <c r="AO104" i="92"/>
  <c r="AL57" i="92"/>
  <c r="AD57" i="92"/>
  <c r="AL49" i="92"/>
  <c r="AD49" i="92"/>
  <c r="AG112" i="92"/>
  <c r="AO112" i="92"/>
  <c r="AM127" i="92"/>
  <c r="AE127" i="92"/>
  <c r="AI121" i="92"/>
  <c r="AA121" i="92"/>
  <c r="AI32" i="92"/>
  <c r="AA32" i="92"/>
  <c r="AL130" i="92"/>
  <c r="AD130" i="92"/>
  <c r="AH35" i="92"/>
  <c r="AP35" i="92"/>
  <c r="AN45" i="92"/>
  <c r="AF45" i="92"/>
  <c r="AD85" i="92"/>
  <c r="AL85" i="92"/>
  <c r="AI35" i="92"/>
  <c r="AA35" i="92"/>
  <c r="AJ90" i="92"/>
  <c r="AB90" i="92"/>
  <c r="AD27" i="92"/>
  <c r="AL27" i="92"/>
  <c r="AO105" i="92"/>
  <c r="AG105" i="92"/>
  <c r="AC105" i="92"/>
  <c r="AK105" i="92"/>
  <c r="AF65" i="92"/>
  <c r="AN65" i="92"/>
  <c r="AA22" i="92"/>
  <c r="AI22" i="92"/>
  <c r="AF61" i="92"/>
  <c r="AN61" i="92"/>
  <c r="AK52" i="92"/>
  <c r="AC52" i="92"/>
  <c r="AE25" i="92"/>
  <c r="AM25" i="92"/>
  <c r="AF86" i="92"/>
  <c r="AN86" i="92"/>
  <c r="AB131" i="92"/>
  <c r="AJ131" i="92"/>
  <c r="AI100" i="92"/>
  <c r="AA100" i="92"/>
  <c r="AA63" i="92"/>
  <c r="AI63" i="92"/>
  <c r="AA103" i="92"/>
  <c r="AI103" i="92"/>
  <c r="AG53" i="92"/>
  <c r="AO53" i="92"/>
  <c r="AO49" i="92"/>
  <c r="AG49" i="92"/>
  <c r="AA71" i="92"/>
  <c r="AI71" i="92"/>
  <c r="AH94" i="92"/>
  <c r="AP94" i="92"/>
  <c r="AM47" i="92"/>
  <c r="AE47" i="92"/>
  <c r="AC114" i="92"/>
  <c r="AK114" i="92"/>
  <c r="AC108" i="92"/>
  <c r="AK108" i="92"/>
  <c r="AD25" i="92"/>
  <c r="AL25" i="92"/>
  <c r="AG90" i="92"/>
  <c r="AO90" i="92"/>
  <c r="AK24" i="92"/>
  <c r="AC24" i="92"/>
  <c r="AF18" i="92"/>
  <c r="AN18" i="92"/>
  <c r="AH110" i="92"/>
  <c r="AP110" i="92"/>
  <c r="AF121" i="92"/>
  <c r="AN121" i="92"/>
  <c r="AC30" i="92"/>
  <c r="AK30" i="92"/>
  <c r="AB127" i="92"/>
  <c r="AJ127" i="92"/>
  <c r="AB102" i="92"/>
  <c r="AJ102" i="92"/>
  <c r="AP10" i="92"/>
  <c r="AH10" i="92"/>
  <c r="AH60" i="92"/>
  <c r="AP60" i="92"/>
  <c r="AO13" i="92"/>
  <c r="AG13" i="92"/>
  <c r="AA44" i="92"/>
  <c r="AI44" i="92"/>
  <c r="AC103" i="92"/>
  <c r="AK103" i="92"/>
  <c r="AD92" i="92"/>
  <c r="AL92" i="92"/>
  <c r="AL108" i="92"/>
  <c r="AD108" i="92"/>
  <c r="AN73" i="92"/>
  <c r="AF73" i="92"/>
  <c r="AN69" i="92"/>
  <c r="AF69" i="92"/>
  <c r="AL36" i="92"/>
  <c r="AD36" i="92"/>
  <c r="AA77" i="92"/>
  <c r="AI77" i="92"/>
  <c r="AH99" i="92"/>
  <c r="AP99" i="92"/>
  <c r="AE21" i="92"/>
  <c r="AM21" i="92"/>
  <c r="AB111" i="92"/>
  <c r="AJ111" i="92"/>
  <c r="AI24" i="92"/>
  <c r="AA24" i="92"/>
  <c r="AI72" i="92"/>
  <c r="AA72" i="92"/>
  <c r="AC59" i="92"/>
  <c r="AK59" i="92"/>
  <c r="AM124" i="92"/>
  <c r="AE124" i="92"/>
  <c r="AE97" i="92"/>
  <c r="AM97" i="92"/>
  <c r="AI88" i="92"/>
  <c r="AA88" i="92"/>
  <c r="AJ37" i="92"/>
  <c r="AB37" i="92"/>
  <c r="AC140" i="92"/>
  <c r="AK140" i="92"/>
  <c r="AE56" i="92"/>
  <c r="AM56" i="92"/>
  <c r="AB34" i="92"/>
  <c r="AJ34" i="92"/>
  <c r="AF118" i="92"/>
  <c r="AN118" i="92"/>
  <c r="AF114" i="92"/>
  <c r="AN114" i="92"/>
  <c r="AF72" i="92"/>
  <c r="AN72" i="92"/>
  <c r="AM69" i="92"/>
  <c r="AE69" i="92"/>
  <c r="AO120" i="92"/>
  <c r="AG120" i="92"/>
  <c r="AJ93" i="92"/>
  <c r="AB93" i="92"/>
  <c r="AK38" i="92"/>
  <c r="AC38" i="92"/>
  <c r="AC101" i="92"/>
  <c r="AK101" i="92"/>
  <c r="AG21" i="92"/>
  <c r="AO21" i="92"/>
  <c r="AJ42" i="92"/>
  <c r="AB42" i="92"/>
  <c r="AE72" i="92"/>
  <c r="AM72" i="92"/>
  <c r="AH95" i="92"/>
  <c r="AP95" i="92"/>
  <c r="AJ78" i="92"/>
  <c r="AB78" i="92"/>
  <c r="AK82" i="92"/>
  <c r="AC82" i="92"/>
  <c r="AC106" i="92"/>
  <c r="AK106" i="92"/>
  <c r="AE29" i="92"/>
  <c r="AM29" i="92"/>
  <c r="AH132" i="92"/>
  <c r="AP132" i="92"/>
  <c r="AJ33" i="92"/>
  <c r="AB33" i="92"/>
  <c r="AM140" i="92"/>
  <c r="AE140" i="92"/>
  <c r="AE75" i="92"/>
  <c r="AM75" i="92"/>
  <c r="AM103" i="92"/>
  <c r="AE103" i="92"/>
  <c r="AB28" i="92"/>
  <c r="AJ28" i="92"/>
  <c r="AB105" i="92"/>
  <c r="AJ105" i="92"/>
  <c r="AF29" i="92"/>
  <c r="AN29" i="92"/>
  <c r="AN97" i="92"/>
  <c r="AF97" i="92"/>
  <c r="AD63" i="92"/>
  <c r="AL63" i="92"/>
  <c r="AK57" i="92"/>
  <c r="AC57" i="92"/>
  <c r="AH28" i="92"/>
  <c r="AP28" i="92"/>
  <c r="AB25" i="92"/>
  <c r="AJ25" i="92"/>
  <c r="AB41" i="92"/>
  <c r="AJ41" i="92"/>
  <c r="AJ112" i="92"/>
  <c r="AB112" i="92"/>
  <c r="AB54" i="92"/>
  <c r="AJ54" i="92"/>
  <c r="AJ91" i="92"/>
  <c r="AB91" i="92"/>
  <c r="AK137" i="92"/>
  <c r="AC137" i="92"/>
  <c r="AE58" i="92"/>
  <c r="AM58" i="92"/>
  <c r="AH31" i="92"/>
  <c r="AP31" i="92"/>
  <c r="AI25" i="92"/>
  <c r="AA25" i="92"/>
  <c r="AJ137" i="92"/>
  <c r="AB137" i="92"/>
  <c r="AG81" i="92"/>
  <c r="AO81" i="92"/>
  <c r="AD18" i="92"/>
  <c r="AL18" i="92"/>
  <c r="AF63" i="92"/>
  <c r="AN63" i="92"/>
  <c r="AN47" i="92"/>
  <c r="AF47" i="92"/>
  <c r="AF142" i="92"/>
  <c r="AN142" i="92"/>
  <c r="AD95" i="92"/>
  <c r="AL95" i="92"/>
  <c r="AE40" i="92"/>
  <c r="AM40" i="92"/>
  <c r="AH119" i="92"/>
  <c r="AP119" i="92"/>
  <c r="AJ49" i="92"/>
  <c r="AB49" i="92"/>
  <c r="AC36" i="92"/>
  <c r="AK36" i="92"/>
  <c r="AF90" i="92"/>
  <c r="AN90" i="92"/>
  <c r="AH18" i="92"/>
  <c r="AP18" i="92"/>
  <c r="AD109" i="92"/>
  <c r="AL109" i="92"/>
  <c r="AP19" i="92"/>
  <c r="AH19" i="92"/>
  <c r="AM121" i="92"/>
  <c r="AE121" i="92"/>
  <c r="AG76" i="92"/>
  <c r="AO76" i="92"/>
  <c r="AE128" i="92"/>
  <c r="AM128" i="92"/>
  <c r="AL97" i="92"/>
  <c r="AD97" i="92"/>
  <c r="AH135" i="92"/>
  <c r="AP135" i="92"/>
  <c r="AC54" i="92"/>
  <c r="AK54" i="92"/>
  <c r="AN126" i="92"/>
  <c r="AF126" i="92"/>
  <c r="AA114" i="92"/>
  <c r="AI114" i="92"/>
  <c r="AH26" i="92"/>
  <c r="AP26" i="92"/>
  <c r="AP59" i="92"/>
  <c r="AH59" i="92"/>
  <c r="AM30" i="92"/>
  <c r="AE30" i="92"/>
  <c r="AB26" i="92"/>
  <c r="AJ26" i="92"/>
  <c r="AF53" i="92"/>
  <c r="AN53" i="92"/>
  <c r="AA80" i="92"/>
  <c r="AI80" i="92"/>
  <c r="AB130" i="92"/>
  <c r="AJ130" i="92"/>
  <c r="AJ100" i="92"/>
  <c r="AB100" i="92"/>
  <c r="AN21" i="92"/>
  <c r="AF21" i="92"/>
  <c r="AK134" i="92"/>
  <c r="AC134" i="92"/>
  <c r="AF138" i="92"/>
  <c r="AN138" i="92"/>
  <c r="AG51" i="92"/>
  <c r="AO51" i="92"/>
  <c r="AA70" i="92"/>
  <c r="AI70" i="92"/>
  <c r="AD116" i="92"/>
  <c r="AL116" i="92"/>
  <c r="AM60" i="92"/>
  <c r="AE60" i="92"/>
  <c r="AF129" i="92"/>
  <c r="AN129" i="92"/>
  <c r="AB12" i="92"/>
  <c r="AJ12" i="92"/>
  <c r="AD68" i="92"/>
  <c r="AL68" i="92"/>
  <c r="AG61" i="92"/>
  <c r="AO61" i="92"/>
  <c r="AC141" i="92"/>
  <c r="AK141" i="92"/>
  <c r="AE139" i="92"/>
  <c r="AM139" i="92"/>
  <c r="AE120" i="92"/>
  <c r="AM120" i="92"/>
  <c r="AG143" i="92"/>
  <c r="AO143" i="92"/>
  <c r="AC8" i="92"/>
  <c r="AK8" i="92"/>
  <c r="AJ121" i="92"/>
  <c r="AB121" i="92"/>
  <c r="AH55" i="92"/>
  <c r="AP55" i="92"/>
  <c r="AA45" i="92"/>
  <c r="AI45" i="92"/>
  <c r="AJ47" i="92"/>
  <c r="AB47" i="92"/>
  <c r="AF23" i="92"/>
  <c r="AN23" i="92"/>
  <c r="AG18" i="92"/>
  <c r="AO18" i="92"/>
  <c r="AL14" i="92"/>
  <c r="AD14" i="92"/>
  <c r="AG71" i="92"/>
  <c r="AO71" i="92"/>
  <c r="AI128" i="92"/>
  <c r="AA128" i="92"/>
  <c r="AO8" i="92"/>
  <c r="AG8" i="92"/>
  <c r="AJ64" i="92"/>
  <c r="AB64" i="92"/>
  <c r="AE100" i="92"/>
  <c r="AM100" i="92"/>
  <c r="AO35" i="92"/>
  <c r="AG35" i="92"/>
  <c r="AI126" i="92"/>
  <c r="AA126" i="92"/>
  <c r="AF122" i="92"/>
  <c r="AN122" i="92"/>
  <c r="AJ92" i="92"/>
  <c r="AB92" i="92"/>
  <c r="AN51" i="92"/>
  <c r="AF51" i="92"/>
  <c r="AL132" i="92"/>
  <c r="AD132" i="92"/>
  <c r="AH133" i="92"/>
  <c r="AP133" i="92"/>
  <c r="AC51" i="92"/>
  <c r="AK51" i="92"/>
  <c r="AC26" i="92"/>
  <c r="AK26" i="92"/>
  <c r="AE81" i="92"/>
  <c r="AM81" i="92"/>
  <c r="AB132" i="92"/>
  <c r="AJ132" i="92"/>
  <c r="AH112" i="92"/>
  <c r="AP112" i="92"/>
  <c r="AD93" i="92"/>
  <c r="AL93" i="92"/>
  <c r="AB140" i="92"/>
  <c r="AJ140" i="92"/>
  <c r="AG74" i="92"/>
  <c r="AO74" i="92"/>
  <c r="AC74" i="92"/>
  <c r="AK74" i="92"/>
  <c r="AN120" i="92"/>
  <c r="AF120" i="92"/>
  <c r="AN14" i="92"/>
  <c r="AF14" i="92"/>
  <c r="AP109" i="92"/>
  <c r="AH109" i="92"/>
  <c r="AG40" i="92"/>
  <c r="AO40" i="92"/>
  <c r="AB61" i="92"/>
  <c r="AJ61" i="92"/>
  <c r="AD89" i="92"/>
  <c r="AL89" i="92"/>
  <c r="AC55" i="92"/>
  <c r="AK55" i="92"/>
  <c r="AP16" i="92"/>
  <c r="AH16" i="92"/>
  <c r="AE42" i="92"/>
  <c r="AM42" i="92"/>
  <c r="AE31" i="92"/>
  <c r="AM31" i="92"/>
  <c r="AK70" i="92"/>
  <c r="AC70" i="92"/>
  <c r="AJ143" i="92"/>
  <c r="AB143" i="92"/>
  <c r="AH142" i="92"/>
  <c r="AP142" i="92"/>
  <c r="AG103" i="92"/>
  <c r="AO103" i="92"/>
  <c r="AI120" i="92"/>
  <c r="AA120" i="92"/>
  <c r="AA23" i="92"/>
  <c r="AI23" i="92"/>
  <c r="AM79" i="92"/>
  <c r="AE79" i="92"/>
  <c r="AF19" i="92"/>
  <c r="AN19" i="92"/>
  <c r="AC87" i="92"/>
  <c r="AK87" i="92"/>
  <c r="AG14" i="92"/>
  <c r="AO14" i="92"/>
  <c r="AJ44" i="92"/>
  <c r="AB44" i="92"/>
  <c r="AB50" i="92"/>
  <c r="AJ50" i="92"/>
  <c r="AI74" i="92"/>
  <c r="AA74" i="92"/>
  <c r="AH120" i="92"/>
  <c r="AP120" i="92"/>
  <c r="AG88" i="92"/>
  <c r="AO88" i="92"/>
  <c r="AC13" i="92"/>
  <c r="AK13" i="92"/>
  <c r="AC107" i="92"/>
  <c r="AK107" i="92"/>
  <c r="AG129" i="92"/>
  <c r="AO129" i="92"/>
  <c r="AG10" i="92"/>
  <c r="AO10" i="92"/>
  <c r="AE52" i="92"/>
  <c r="AM52" i="92"/>
  <c r="AH51" i="92"/>
  <c r="AP51" i="92"/>
  <c r="AB53" i="92"/>
  <c r="AJ53" i="92"/>
  <c r="AE86" i="92"/>
  <c r="AM86" i="92"/>
  <c r="AM44" i="92"/>
  <c r="AE44" i="92"/>
  <c r="AH68" i="92"/>
  <c r="AP68" i="92"/>
  <c r="AF128" i="92"/>
  <c r="AN128" i="92"/>
  <c r="AB27" i="92"/>
  <c r="AJ27" i="92"/>
  <c r="AI27" i="92"/>
  <c r="AA27" i="92"/>
  <c r="AK102" i="92"/>
  <c r="AC102" i="92"/>
  <c r="AA17" i="92"/>
  <c r="AI17" i="92"/>
  <c r="AI130" i="92"/>
  <c r="AA130" i="92"/>
  <c r="AC131" i="92"/>
  <c r="AK131" i="92"/>
  <c r="AB21" i="92"/>
  <c r="AJ21" i="92"/>
  <c r="AP40" i="92"/>
  <c r="AH40" i="92"/>
  <c r="AO127" i="92"/>
  <c r="AG127" i="92"/>
  <c r="AC138" i="92"/>
  <c r="AK138" i="92"/>
  <c r="AD69" i="92"/>
  <c r="AL69" i="92"/>
  <c r="AD66" i="92"/>
  <c r="AL66" i="92"/>
  <c r="AO142" i="92"/>
  <c r="AG142" i="92"/>
  <c r="AG63" i="92"/>
  <c r="AO63" i="92"/>
  <c r="AG46" i="92"/>
  <c r="AO46" i="92"/>
  <c r="AG42" i="92"/>
  <c r="AO42" i="92"/>
  <c r="AH117" i="92"/>
  <c r="AP117" i="92"/>
  <c r="AH47" i="92"/>
  <c r="AP47" i="92"/>
  <c r="AD118" i="92"/>
  <c r="AL118" i="92"/>
  <c r="AE77" i="92"/>
  <c r="AM77" i="92"/>
  <c r="AC22" i="92"/>
  <c r="AK22" i="92"/>
  <c r="AF79" i="92"/>
  <c r="AN79" i="92"/>
  <c r="AD135" i="92"/>
  <c r="AL135" i="92"/>
  <c r="AH9" i="92"/>
  <c r="AP9" i="92"/>
  <c r="AH125" i="92"/>
  <c r="AP125" i="92"/>
  <c r="AP130" i="92"/>
  <c r="AH130" i="92"/>
  <c r="AH140" i="92"/>
  <c r="AP140" i="92"/>
  <c r="AL99" i="92"/>
  <c r="AD99" i="92"/>
  <c r="AF100" i="92"/>
  <c r="AN100" i="92"/>
  <c r="AB65" i="92"/>
  <c r="AJ65" i="92"/>
  <c r="AK41" i="92"/>
  <c r="AC41" i="92"/>
  <c r="AH97" i="92"/>
  <c r="AP97" i="92"/>
  <c r="AH32" i="92"/>
  <c r="AP32" i="92"/>
  <c r="AN38" i="92"/>
  <c r="AF38" i="92"/>
  <c r="AB52" i="92"/>
  <c r="AJ52" i="92"/>
  <c r="AP54" i="92"/>
  <c r="AH54" i="92"/>
  <c r="AB106" i="92"/>
  <c r="AJ106" i="92"/>
  <c r="AA68" i="92"/>
  <c r="AI68" i="92"/>
  <c r="AN127" i="92"/>
  <c r="AF127" i="92"/>
  <c r="AC129" i="92"/>
  <c r="AK129" i="92"/>
  <c r="AC99" i="92"/>
  <c r="AK99" i="92"/>
  <c r="AF123" i="92"/>
  <c r="AN123" i="92"/>
  <c r="AN56" i="92"/>
  <c r="AF56" i="92"/>
  <c r="AG115" i="92"/>
  <c r="AO115" i="92"/>
  <c r="AD131" i="92"/>
  <c r="AL131" i="92"/>
  <c r="AJ110" i="92"/>
  <c r="AB110" i="92"/>
  <c r="AC49" i="92"/>
  <c r="AK49" i="92"/>
  <c r="AM65" i="92"/>
  <c r="AE65" i="92"/>
  <c r="AK34" i="92"/>
  <c r="AC34" i="92"/>
  <c r="AD71" i="92"/>
  <c r="AL71" i="92"/>
  <c r="AC125" i="92"/>
  <c r="AK125" i="92"/>
  <c r="AC119" i="92"/>
  <c r="AK119" i="92"/>
  <c r="AC69" i="92"/>
  <c r="AK69" i="92"/>
  <c r="AD73" i="92"/>
  <c r="AL73" i="92"/>
  <c r="AM22" i="92"/>
  <c r="AE22" i="92"/>
  <c r="AF106" i="92"/>
  <c r="AN106" i="92"/>
  <c r="AH48" i="92"/>
  <c r="AP48" i="92"/>
  <c r="AG23" i="92"/>
  <c r="AO23" i="92"/>
  <c r="AD22" i="92"/>
  <c r="AL22" i="92"/>
  <c r="AD110" i="92"/>
  <c r="AL110" i="92"/>
  <c r="AJ22" i="92"/>
  <c r="AB22" i="92"/>
  <c r="AF12" i="92"/>
  <c r="AN12" i="92"/>
  <c r="AH25" i="92"/>
  <c r="AP25" i="92"/>
  <c r="AC12" i="92"/>
  <c r="AK12" i="92"/>
  <c r="AB74" i="92"/>
  <c r="AJ74" i="92"/>
  <c r="AP82" i="92"/>
  <c r="AH82" i="92"/>
  <c r="AE73" i="92"/>
  <c r="AM73" i="92"/>
  <c r="AB29" i="92"/>
  <c r="AJ29" i="92"/>
  <c r="AD122" i="92"/>
  <c r="AL122" i="92"/>
  <c r="AA93" i="92"/>
  <c r="AI93" i="92"/>
  <c r="AH123" i="92"/>
  <c r="AP123" i="92"/>
  <c r="AH90" i="92"/>
  <c r="AP90" i="92"/>
  <c r="AO140" i="92"/>
  <c r="AG140" i="92"/>
  <c r="AO77" i="92"/>
  <c r="AG77" i="92"/>
  <c r="AG56" i="92"/>
  <c r="AO56" i="92"/>
  <c r="AA37" i="92"/>
  <c r="AI37" i="92"/>
  <c r="AH50" i="92"/>
  <c r="AP50" i="92"/>
  <c r="AN55" i="92"/>
  <c r="AF55" i="92"/>
  <c r="AG44" i="92"/>
  <c r="AO44" i="92"/>
  <c r="AD38" i="92"/>
  <c r="AL38" i="92"/>
  <c r="AJ124" i="92"/>
  <c r="AB124" i="92"/>
  <c r="AI57" i="92"/>
  <c r="AA57" i="92"/>
  <c r="AC18" i="92"/>
  <c r="AK18" i="92"/>
  <c r="AC88" i="92"/>
  <c r="AK88" i="92"/>
  <c r="AL82" i="92"/>
  <c r="AD82" i="92"/>
  <c r="AO38" i="92"/>
  <c r="AG38" i="92"/>
  <c r="AE26" i="92"/>
  <c r="AM26" i="92"/>
  <c r="AB55" i="92"/>
  <c r="AJ55" i="92"/>
  <c r="AD16" i="92"/>
  <c r="AL16" i="92"/>
  <c r="AF110" i="92"/>
  <c r="AN110" i="92"/>
  <c r="AL20" i="92"/>
  <c r="AD20" i="92"/>
  <c r="AB36" i="92"/>
  <c r="AJ36" i="92"/>
  <c r="AE55" i="92"/>
  <c r="AM55" i="92"/>
  <c r="AF102" i="92"/>
  <c r="AN102" i="92"/>
  <c r="AM137" i="92"/>
  <c r="AE137" i="92"/>
  <c r="AI28" i="92"/>
  <c r="AA28" i="92"/>
  <c r="AN52" i="92"/>
  <c r="AF52" i="92"/>
  <c r="AD123" i="92"/>
  <c r="AL123" i="92"/>
  <c r="AN88" i="92"/>
  <c r="AF88" i="92"/>
  <c r="AO132" i="92"/>
  <c r="AG132" i="92"/>
  <c r="AJ139" i="92"/>
  <c r="AB139" i="92"/>
  <c r="AA31" i="92"/>
  <c r="AI31" i="92"/>
  <c r="AN135" i="92"/>
  <c r="AF135" i="92"/>
  <c r="AF49" i="92"/>
  <c r="AN49" i="92"/>
  <c r="AO55" i="92"/>
  <c r="AG55" i="92"/>
  <c r="AC63" i="92"/>
  <c r="AK63" i="92"/>
  <c r="AC53" i="92"/>
  <c r="AK53" i="92"/>
  <c r="AP71" i="92"/>
  <c r="AH71" i="92"/>
  <c r="AP66" i="92"/>
  <c r="AH66" i="92"/>
  <c r="AK46" i="92"/>
  <c r="AC46" i="92"/>
  <c r="AN37" i="92"/>
  <c r="AF37" i="92"/>
  <c r="AG95" i="92"/>
  <c r="AO95" i="92"/>
  <c r="AE90" i="92"/>
  <c r="AM90" i="92"/>
  <c r="AK95" i="92"/>
  <c r="AC95" i="92"/>
  <c r="AC93" i="92"/>
  <c r="AK93" i="92"/>
  <c r="AF71" i="92"/>
  <c r="AN71" i="92"/>
  <c r="AE70" i="92"/>
  <c r="AM70" i="92"/>
  <c r="AF40" i="92"/>
  <c r="AN40" i="92"/>
  <c r="AP128" i="92"/>
  <c r="AH128" i="92"/>
  <c r="AM67" i="92"/>
  <c r="AE67" i="92"/>
  <c r="AB77" i="92"/>
  <c r="AJ77" i="92"/>
  <c r="AD76" i="92"/>
  <c r="AL76" i="92"/>
  <c r="AE15" i="92"/>
  <c r="AM15" i="92"/>
  <c r="AB98" i="92"/>
  <c r="AJ98" i="92"/>
  <c r="AM64" i="92"/>
  <c r="AE64" i="92"/>
  <c r="AG79" i="92"/>
  <c r="AO79" i="92"/>
  <c r="AL125" i="92"/>
  <c r="AD125" i="92"/>
  <c r="AI58" i="92"/>
  <c r="AA58" i="92"/>
  <c r="AC20" i="92"/>
  <c r="AK20" i="92"/>
  <c r="AL56" i="92"/>
  <c r="AD56" i="92"/>
  <c r="AB56" i="92"/>
  <c r="AJ56" i="92"/>
  <c r="AL75" i="92"/>
  <c r="AD75" i="92"/>
  <c r="AA90" i="92"/>
  <c r="AI90" i="92"/>
  <c r="AH24" i="92"/>
  <c r="AP24" i="92"/>
  <c r="AL34" i="92"/>
  <c r="AD34" i="92"/>
  <c r="AM66" i="92"/>
  <c r="AE66" i="92"/>
  <c r="AL121" i="92"/>
  <c r="AD121" i="92"/>
  <c r="AM106" i="92"/>
  <c r="AE106" i="92"/>
  <c r="AO134" i="92"/>
  <c r="AG134" i="92"/>
  <c r="AA29" i="92"/>
  <c r="AI29" i="92"/>
  <c r="AG67" i="92"/>
  <c r="AO67" i="92"/>
  <c r="AM38" i="92"/>
  <c r="AE38" i="92"/>
  <c r="AC127" i="92"/>
  <c r="AK127" i="92"/>
  <c r="AH38" i="92"/>
  <c r="AP38" i="92"/>
  <c r="AN84" i="92"/>
  <c r="AF84" i="92"/>
  <c r="AC130" i="92"/>
  <c r="AK130" i="92"/>
  <c r="AM131" i="92"/>
  <c r="AE131" i="92"/>
  <c r="AK116" i="92"/>
  <c r="AC116" i="92"/>
  <c r="AH74" i="92"/>
  <c r="AP74" i="92"/>
  <c r="AB15" i="92"/>
  <c r="AJ15" i="92"/>
  <c r="AA124" i="92"/>
  <c r="AI124" i="92"/>
  <c r="AO124" i="92"/>
  <c r="AG124" i="92"/>
  <c r="AC124" i="92"/>
  <c r="AK124" i="92"/>
  <c r="AH41" i="92"/>
  <c r="AP41" i="92"/>
  <c r="AG32" i="92"/>
  <c r="AO32" i="92"/>
  <c r="AA118" i="92"/>
  <c r="AI118" i="92"/>
  <c r="AJ40" i="92"/>
  <c r="AB40" i="92"/>
  <c r="AH92" i="92"/>
  <c r="AP92" i="92"/>
  <c r="AD29" i="92"/>
  <c r="AL29" i="92"/>
  <c r="AJ138" i="92"/>
  <c r="AB138" i="92"/>
  <c r="AB125" i="92"/>
  <c r="AJ125" i="92"/>
  <c r="AB120" i="92"/>
  <c r="AJ120" i="92"/>
  <c r="AC120" i="92"/>
  <c r="AK120" i="92"/>
  <c r="AM114" i="92"/>
  <c r="AE114" i="92"/>
  <c r="AH138" i="92"/>
  <c r="AP138" i="92"/>
  <c r="AM94" i="92"/>
  <c r="AE94" i="92"/>
  <c r="AG37" i="92"/>
  <c r="AO37" i="92"/>
  <c r="AH115" i="92"/>
  <c r="AP115" i="92"/>
  <c r="AK29" i="92"/>
  <c r="AC29" i="92"/>
  <c r="AC23" i="92"/>
  <c r="AK23" i="92"/>
  <c r="AG85" i="92"/>
  <c r="AO85" i="92"/>
  <c r="AD96" i="92"/>
  <c r="AL96" i="92"/>
  <c r="AD91" i="92"/>
  <c r="AL91" i="92"/>
  <c r="AA127" i="92"/>
  <c r="AI127" i="92"/>
  <c r="AI99" i="92"/>
  <c r="AA99" i="92"/>
  <c r="AM54" i="92"/>
  <c r="AE54" i="92"/>
  <c r="AE17" i="92"/>
  <c r="AM17" i="92"/>
  <c r="AA87" i="92"/>
  <c r="AI87" i="92"/>
  <c r="AI83" i="92"/>
  <c r="AA83" i="92"/>
  <c r="AP104" i="92"/>
  <c r="AH104" i="92"/>
  <c r="AH73" i="92"/>
  <c r="AP73" i="92"/>
  <c r="AI12" i="92"/>
  <c r="AA12" i="92"/>
  <c r="AE85" i="92"/>
  <c r="AM85" i="92"/>
  <c r="AH53" i="92"/>
  <c r="AP53" i="92"/>
  <c r="AB9" i="92"/>
  <c r="AJ9" i="92"/>
  <c r="AK76" i="92"/>
  <c r="AC76" i="92"/>
  <c r="AN62" i="92"/>
  <c r="AF62" i="92"/>
  <c r="AP134" i="92"/>
  <c r="AH134" i="92"/>
  <c r="AI9" i="92"/>
  <c r="AA9" i="92"/>
  <c r="AP91" i="92"/>
  <c r="AH91" i="92"/>
  <c r="AD21" i="92"/>
  <c r="AL21" i="92"/>
  <c r="AD83" i="92"/>
  <c r="AL83" i="92"/>
  <c r="AB71" i="92"/>
  <c r="AJ71" i="92"/>
  <c r="AJ128" i="92"/>
  <c r="AB128" i="92"/>
  <c r="AF58" i="92"/>
  <c r="AN58" i="92"/>
  <c r="AA20" i="92"/>
  <c r="AI20" i="92"/>
  <c r="AM68" i="92"/>
  <c r="AE68" i="92"/>
  <c r="AM113" i="92"/>
  <c r="AE113" i="92"/>
  <c r="AB17" i="92"/>
  <c r="AJ17" i="92"/>
  <c r="AG101" i="92"/>
  <c r="AO101" i="92"/>
  <c r="AM37" i="92"/>
  <c r="AE37" i="92"/>
  <c r="AI140" i="92"/>
  <c r="AA140" i="92"/>
  <c r="AF27" i="92"/>
  <c r="AN27" i="92"/>
  <c r="AB123" i="92"/>
  <c r="AJ123" i="92"/>
  <c r="AK68" i="92"/>
  <c r="AC68" i="92"/>
  <c r="AA40" i="92"/>
  <c r="AI40" i="92"/>
  <c r="AC64" i="92"/>
  <c r="AK64" i="92"/>
  <c r="AN134" i="92"/>
  <c r="AF134" i="92"/>
  <c r="AG128" i="92"/>
  <c r="AO128" i="92"/>
  <c r="AB108" i="92"/>
  <c r="AJ108" i="92"/>
  <c r="AJ85" i="92"/>
  <c r="AB85" i="92"/>
  <c r="AI69" i="92"/>
  <c r="AA69" i="92"/>
  <c r="AN50" i="92"/>
  <c r="AF50" i="92"/>
  <c r="AH75" i="92"/>
  <c r="AP75" i="92"/>
  <c r="AI96" i="92"/>
  <c r="AA96" i="92"/>
  <c r="AI73" i="92"/>
  <c r="AA73" i="92"/>
  <c r="AH143" i="92"/>
  <c r="AP143" i="92"/>
  <c r="AA62" i="92"/>
  <c r="AI62" i="92"/>
  <c r="AP62" i="92"/>
  <c r="AH62" i="92"/>
  <c r="AL142" i="92"/>
  <c r="AD142" i="92"/>
  <c r="AF95" i="92"/>
  <c r="AN95" i="92"/>
  <c r="AP46" i="92"/>
  <c r="AH46" i="92"/>
  <c r="AB45" i="92"/>
  <c r="AJ45" i="92"/>
  <c r="AB23" i="92"/>
  <c r="AJ23" i="92"/>
  <c r="AH96" i="92"/>
  <c r="AP96" i="92"/>
  <c r="AC142" i="92"/>
  <c r="AK142" i="92"/>
  <c r="AE18" i="92"/>
  <c r="AM18" i="92"/>
  <c r="AO62" i="92"/>
  <c r="AG62" i="92"/>
  <c r="AC89" i="92"/>
  <c r="AK89" i="92"/>
  <c r="AG33" i="92"/>
  <c r="AO33" i="92"/>
  <c r="AI97" i="92"/>
  <c r="AA97" i="92"/>
  <c r="AH102" i="92"/>
  <c r="AP102" i="92"/>
  <c r="AF105" i="92"/>
  <c r="AN105" i="92"/>
  <c r="AE61" i="92"/>
  <c r="AM61" i="92"/>
  <c r="AG114" i="92"/>
  <c r="AO114" i="92"/>
  <c r="AF103" i="92"/>
  <c r="AN103" i="92"/>
  <c r="AL10" i="92"/>
  <c r="AD10" i="92"/>
  <c r="AJ122" i="92"/>
  <c r="AB122" i="92"/>
  <c r="AK92" i="92"/>
  <c r="AC92" i="92"/>
  <c r="AB76" i="92"/>
  <c r="AJ76" i="92"/>
  <c r="AG31" i="92"/>
  <c r="AO31" i="92"/>
  <c r="AF33" i="92"/>
  <c r="AN33" i="92"/>
  <c r="AG130" i="92"/>
  <c r="AO130" i="92"/>
  <c r="AF89" i="92"/>
  <c r="AN89" i="92"/>
  <c r="AA89" i="92"/>
  <c r="AI89" i="92"/>
  <c r="AP21" i="92"/>
  <c r="AH21" i="92"/>
  <c r="AE136" i="92"/>
  <c r="AM136" i="92"/>
  <c r="AO57" i="92"/>
  <c r="AG57" i="92"/>
  <c r="AM119" i="92"/>
  <c r="AE119" i="92"/>
  <c r="AH89" i="92"/>
  <c r="AP89" i="92"/>
  <c r="AF137" i="92"/>
  <c r="AN137" i="92"/>
  <c r="AL74" i="92"/>
  <c r="AD74" i="92"/>
  <c r="AM141" i="92"/>
  <c r="AE141" i="92"/>
  <c r="AJ96" i="92"/>
  <c r="AB96" i="92"/>
  <c r="AH78" i="92"/>
  <c r="AP78" i="92"/>
  <c r="AN54" i="92"/>
  <c r="AF54" i="92"/>
  <c r="AP63" i="92"/>
  <c r="AH63" i="92"/>
  <c r="AA16" i="92"/>
  <c r="AI16" i="92"/>
  <c r="AE99" i="92"/>
  <c r="AM99" i="92"/>
  <c r="AF74" i="92"/>
  <c r="AN74" i="92"/>
  <c r="AG20" i="92"/>
  <c r="AO20" i="92"/>
  <c r="AB134" i="92"/>
  <c r="AJ134" i="92"/>
  <c r="AL137" i="92"/>
  <c r="AD137" i="92"/>
  <c r="AK91" i="92"/>
  <c r="AC91" i="92"/>
  <c r="AI33" i="92"/>
  <c r="AA33" i="92"/>
  <c r="AB11" i="92"/>
  <c r="AJ11" i="92"/>
  <c r="AD45" i="92"/>
  <c r="AL45" i="92"/>
  <c r="AC97" i="92"/>
  <c r="AK97" i="92"/>
  <c r="AE122" i="92"/>
  <c r="AM122" i="92"/>
  <c r="AG141" i="92"/>
  <c r="AO141" i="92"/>
  <c r="AP93" i="92"/>
  <c r="AH93" i="92"/>
  <c r="AF143" i="92"/>
  <c r="AN143" i="92"/>
  <c r="AP67" i="92"/>
  <c r="AH67" i="92"/>
  <c r="AH139" i="92"/>
  <c r="AP139" i="92"/>
  <c r="AG110" i="92"/>
  <c r="AO110" i="92"/>
  <c r="AD43" i="92"/>
  <c r="AL43" i="92"/>
  <c r="AF35" i="92"/>
  <c r="AN35" i="92"/>
  <c r="AG91" i="92"/>
  <c r="AO91" i="92"/>
  <c r="AI18" i="92"/>
  <c r="AA18" i="92"/>
  <c r="AA137" i="92"/>
  <c r="AI137" i="92"/>
  <c r="AP22" i="92"/>
  <c r="AH22" i="92"/>
  <c r="AC77" i="92"/>
  <c r="AK77" i="92"/>
  <c r="AC58" i="92"/>
  <c r="AK58" i="92"/>
  <c r="AJ89" i="92"/>
  <c r="AB89" i="92"/>
  <c r="AG98" i="92"/>
  <c r="AO98" i="92"/>
  <c r="AE108" i="92"/>
  <c r="AM108" i="92"/>
  <c r="AL81" i="92"/>
  <c r="AD81" i="92"/>
  <c r="AO99" i="92"/>
  <c r="AG99" i="92"/>
  <c r="AI107" i="92"/>
  <c r="AA107" i="92"/>
  <c r="AG138" i="92"/>
  <c r="AO138" i="92"/>
  <c r="AA98" i="92"/>
  <c r="AI98" i="92"/>
  <c r="AD8" i="92"/>
  <c r="AL8" i="92"/>
  <c r="AL40" i="92"/>
  <c r="AD40" i="92"/>
  <c r="AE84" i="92"/>
  <c r="AM84" i="92"/>
  <c r="AO97" i="92"/>
  <c r="AG97" i="92"/>
  <c r="AP17" i="92"/>
  <c r="AH17" i="92"/>
  <c r="AE51" i="92"/>
  <c r="AM51" i="92"/>
  <c r="AB18" i="92"/>
  <c r="AJ18" i="92"/>
  <c r="AO84" i="92"/>
  <c r="AG84" i="92"/>
  <c r="AF141" i="92"/>
  <c r="AN141" i="92"/>
  <c r="AM102" i="92"/>
  <c r="AE102" i="92"/>
  <c r="AD13" i="92"/>
  <c r="AL13" i="92"/>
  <c r="AB58" i="92"/>
  <c r="AJ58" i="92"/>
  <c r="AE8" i="92"/>
  <c r="AM8" i="92"/>
  <c r="AN57" i="92"/>
  <c r="AF57" i="92"/>
  <c r="AH13" i="92"/>
  <c r="AP13" i="92"/>
  <c r="AL51" i="92"/>
  <c r="AD51" i="92"/>
  <c r="AF64" i="92"/>
  <c r="AN64" i="92"/>
  <c r="AF132" i="92"/>
  <c r="AN132" i="92"/>
  <c r="AM50" i="92"/>
  <c r="AE50" i="92"/>
  <c r="AI59" i="92"/>
  <c r="AA59" i="92"/>
  <c r="AC90" i="92"/>
  <c r="AK90" i="92"/>
  <c r="AE28" i="92"/>
  <c r="AM28" i="92"/>
  <c r="AE27" i="92"/>
  <c r="AM27" i="92"/>
  <c r="AC43" i="92"/>
  <c r="AK43" i="92"/>
  <c r="AH20" i="92"/>
  <c r="AP20" i="92"/>
  <c r="AO24" i="92"/>
  <c r="AG24" i="92"/>
  <c r="AJ115" i="92"/>
  <c r="AB115" i="92"/>
  <c r="AI129" i="92"/>
  <c r="AA129" i="92"/>
  <c r="AJ88" i="92"/>
  <c r="AB88" i="92"/>
  <c r="AK73" i="92"/>
  <c r="AC73" i="92"/>
  <c r="AA79" i="92"/>
  <c r="AI79" i="92"/>
  <c r="AC75" i="92"/>
  <c r="AK75" i="92"/>
  <c r="AG54" i="92"/>
  <c r="AO54" i="92"/>
  <c r="AL94" i="92"/>
  <c r="AD94" i="92"/>
  <c r="AE143" i="92"/>
  <c r="AM143" i="92"/>
  <c r="AG117" i="92"/>
  <c r="AO117" i="92"/>
  <c r="AH64" i="92"/>
  <c r="AP64" i="92"/>
  <c r="AG43" i="92"/>
  <c r="AO43" i="92"/>
  <c r="AC109" i="92"/>
  <c r="AK109" i="92"/>
  <c r="AE91" i="92"/>
  <c r="AM91" i="92"/>
  <c r="AO22" i="92"/>
  <c r="AG22" i="92"/>
  <c r="AN10" i="92"/>
  <c r="AF10" i="92"/>
  <c r="AF9" i="92"/>
  <c r="AN9" i="92"/>
  <c r="AG72" i="92"/>
  <c r="AO72" i="92"/>
  <c r="AC15" i="92"/>
  <c r="AK15" i="92"/>
  <c r="AA82" i="92"/>
  <c r="AI82" i="92"/>
  <c r="AF30" i="92"/>
  <c r="AN30" i="92"/>
  <c r="AL126" i="92"/>
  <c r="AD126" i="92"/>
  <c r="AP14" i="92"/>
  <c r="AH14" i="92"/>
  <c r="AI49" i="92"/>
  <c r="AA49" i="92"/>
  <c r="AE35" i="92"/>
  <c r="AM35" i="92"/>
  <c r="AB30" i="92"/>
  <c r="AJ30" i="92"/>
  <c r="AG28" i="92"/>
  <c r="AO28" i="92"/>
  <c r="AJ114" i="92"/>
  <c r="AB114" i="92"/>
  <c r="AD39" i="92"/>
  <c r="AL39" i="92"/>
  <c r="AN99" i="92"/>
  <c r="AF99" i="92"/>
  <c r="AL60" i="92"/>
  <c r="AD60" i="92"/>
  <c r="AO137" i="92"/>
  <c r="AG137" i="92"/>
  <c r="AC100" i="92"/>
  <c r="AK100" i="92"/>
  <c r="AJ99" i="92"/>
  <c r="AB99" i="92"/>
  <c r="AH79" i="92"/>
  <c r="AP79" i="92"/>
  <c r="AC115" i="92"/>
  <c r="AK115" i="92"/>
  <c r="AE34" i="92"/>
  <c r="AM34" i="92"/>
  <c r="AI94" i="92"/>
  <c r="AA94" i="92"/>
  <c r="AE125" i="92"/>
  <c r="AM125" i="92"/>
  <c r="AA142" i="92"/>
  <c r="AI142" i="92"/>
  <c r="AA55" i="92"/>
  <c r="AI55" i="92"/>
  <c r="AB10" i="92"/>
  <c r="AJ10" i="92"/>
  <c r="AL100" i="92"/>
  <c r="AD100" i="92"/>
  <c r="AN119" i="92"/>
  <c r="AF119" i="92"/>
  <c r="AG52" i="92"/>
  <c r="AO52" i="92"/>
  <c r="AM138" i="92"/>
  <c r="AE138" i="92"/>
  <c r="AG47" i="92"/>
  <c r="AO47" i="92"/>
  <c r="AG111" i="92"/>
  <c r="AO111" i="92"/>
  <c r="AF107" i="92"/>
  <c r="AN107" i="92"/>
  <c r="AC39" i="92"/>
  <c r="AK39" i="92"/>
  <c r="AD136" i="92"/>
  <c r="AL136" i="92"/>
  <c r="AF91" i="92"/>
  <c r="AN91" i="92"/>
  <c r="AH77" i="92"/>
  <c r="AP77" i="92"/>
  <c r="AN70" i="92"/>
  <c r="AF70" i="92"/>
  <c r="AO15" i="92"/>
  <c r="AG15" i="92"/>
  <c r="AI141" i="92"/>
  <c r="AA141" i="92"/>
  <c r="AG4" i="93"/>
  <c r="AG5" i="93"/>
  <c r="AG6" i="93"/>
  <c r="AG7" i="93"/>
  <c r="AG89" i="113" l="1"/>
  <c r="AG63" i="113"/>
  <c r="AR63" i="113"/>
  <c r="AG9" i="113"/>
  <c r="AR9" i="113"/>
  <c r="AG17" i="113"/>
  <c r="AR17" i="113"/>
  <c r="AG52" i="113"/>
  <c r="AR52" i="113"/>
  <c r="AG75" i="113"/>
  <c r="AR75" i="113"/>
  <c r="AG21" i="113"/>
  <c r="AR21" i="113"/>
  <c r="AG68" i="113"/>
  <c r="AR68" i="113"/>
  <c r="AG19" i="113"/>
  <c r="AR19" i="113"/>
  <c r="AG85" i="113"/>
  <c r="AR85" i="113"/>
  <c r="AG109" i="113"/>
  <c r="AR109" i="113"/>
  <c r="AG43" i="113"/>
  <c r="AR43" i="113"/>
  <c r="AG6" i="113"/>
  <c r="AR6" i="113"/>
  <c r="AH10" i="113"/>
  <c r="X10" i="113"/>
  <c r="AA10" i="113"/>
  <c r="AH76" i="113"/>
  <c r="AA76" i="113"/>
  <c r="X76" i="113"/>
  <c r="AH69" i="113"/>
  <c r="AA69" i="113"/>
  <c r="X69" i="113"/>
  <c r="AH86" i="113"/>
  <c r="X86" i="113"/>
  <c r="AA86" i="113"/>
  <c r="AH74" i="113"/>
  <c r="X74" i="113"/>
  <c r="AA74" i="113"/>
  <c r="AH8" i="113"/>
  <c r="X8" i="113"/>
  <c r="AA8" i="113"/>
  <c r="AH15" i="113"/>
  <c r="X15" i="113"/>
  <c r="AA15" i="113"/>
  <c r="AH88" i="113"/>
  <c r="X88" i="113"/>
  <c r="AA88" i="113"/>
  <c r="AH73" i="113"/>
  <c r="AR73" i="113" s="1"/>
  <c r="X73" i="113"/>
  <c r="AA73" i="113"/>
  <c r="AH11" i="113"/>
  <c r="X11" i="113"/>
  <c r="AA11" i="113"/>
  <c r="AB88" i="113"/>
  <c r="Y88" i="113"/>
  <c r="Z88" i="113"/>
  <c r="AB86" i="113"/>
  <c r="Y86" i="113"/>
  <c r="Z86" i="113"/>
  <c r="AB8" i="113"/>
  <c r="Y8" i="113"/>
  <c r="Z8" i="113"/>
  <c r="AB76" i="113"/>
  <c r="Z76" i="113"/>
  <c r="Y76" i="113"/>
  <c r="AB73" i="113"/>
  <c r="Y73" i="113"/>
  <c r="Z73" i="113"/>
  <c r="AB11" i="113"/>
  <c r="Y11" i="113"/>
  <c r="Z11" i="113"/>
  <c r="AB69" i="113"/>
  <c r="Y69" i="113"/>
  <c r="Z69" i="113"/>
  <c r="AB10" i="113"/>
  <c r="Z10" i="113"/>
  <c r="Y10" i="113"/>
  <c r="AB15" i="113"/>
  <c r="Y15" i="113"/>
  <c r="Z15" i="113"/>
  <c r="AB74" i="113"/>
  <c r="Z74" i="113"/>
  <c r="Y74" i="113"/>
  <c r="AG73" i="113"/>
  <c r="AE73" i="113"/>
  <c r="AE11" i="113"/>
  <c r="AE69" i="113"/>
  <c r="AE10" i="113"/>
  <c r="AE15" i="113"/>
  <c r="AE74" i="113"/>
  <c r="AE88" i="113"/>
  <c r="AE86" i="113"/>
  <c r="AE8" i="113"/>
  <c r="AE76" i="113"/>
  <c r="AF144" i="113"/>
  <c r="BN134" i="27"/>
  <c r="AF134" i="113"/>
  <c r="AD134" i="113" s="1"/>
  <c r="BN103" i="27"/>
  <c r="AF103" i="113"/>
  <c r="AD103" i="113" s="1"/>
  <c r="BN100" i="27"/>
  <c r="AF100" i="113"/>
  <c r="AD100" i="113" s="1"/>
  <c r="BN116" i="27"/>
  <c r="AF116" i="113"/>
  <c r="AD116" i="113" s="1"/>
  <c r="BN33" i="27"/>
  <c r="AF33" i="113"/>
  <c r="AD33" i="113" s="1"/>
  <c r="BN123" i="27"/>
  <c r="AF123" i="113"/>
  <c r="AD123" i="113" s="1"/>
  <c r="BN30" i="27"/>
  <c r="AF30" i="113"/>
  <c r="AD30" i="113" s="1"/>
  <c r="BN111" i="27"/>
  <c r="AF111" i="113"/>
  <c r="AD111" i="113" s="1"/>
  <c r="BN54" i="27"/>
  <c r="AF54" i="113"/>
  <c r="AD54" i="113" s="1"/>
  <c r="BN117" i="27"/>
  <c r="AF117" i="113"/>
  <c r="AD117" i="113" s="1"/>
  <c r="BN142" i="27"/>
  <c r="AF142" i="113"/>
  <c r="AD142" i="113" s="1"/>
  <c r="BN77" i="27"/>
  <c r="AF77" i="113"/>
  <c r="AD77" i="113" s="1"/>
  <c r="BN13" i="27"/>
  <c r="AF13" i="113"/>
  <c r="AD13" i="113" s="1"/>
  <c r="BN113" i="27"/>
  <c r="AF113" i="113"/>
  <c r="AD113" i="113" s="1"/>
  <c r="BN118" i="27"/>
  <c r="AF118" i="113"/>
  <c r="AD118" i="113" s="1"/>
  <c r="BN36" i="27"/>
  <c r="AF36" i="113"/>
  <c r="AD36" i="113" s="1"/>
  <c r="BN53" i="27"/>
  <c r="AF53" i="113"/>
  <c r="AD53" i="113" s="1"/>
  <c r="BN110" i="27"/>
  <c r="AF110" i="113"/>
  <c r="AD110" i="113" s="1"/>
  <c r="BN51" i="27"/>
  <c r="AF51" i="113"/>
  <c r="AD51" i="113" s="1"/>
  <c r="BN114" i="27"/>
  <c r="AF114" i="113"/>
  <c r="AD114" i="113" s="1"/>
  <c r="BN104" i="27"/>
  <c r="AF104" i="113"/>
  <c r="AD104" i="113" s="1"/>
  <c r="BN44" i="27"/>
  <c r="AF44" i="113"/>
  <c r="AD44" i="113" s="1"/>
  <c r="BN47" i="27"/>
  <c r="AF47" i="113"/>
  <c r="AD47" i="113" s="1"/>
  <c r="BN45" i="27"/>
  <c r="AF45" i="113"/>
  <c r="AD45" i="113" s="1"/>
  <c r="BN27" i="27"/>
  <c r="AF27" i="113"/>
  <c r="AD27" i="113" s="1"/>
  <c r="BN139" i="27"/>
  <c r="AF139" i="113"/>
  <c r="AD139" i="113" s="1"/>
  <c r="BN136" i="27"/>
  <c r="AF136" i="113"/>
  <c r="AD136" i="113" s="1"/>
  <c r="BN131" i="27"/>
  <c r="AF131" i="113"/>
  <c r="AD131" i="113" s="1"/>
  <c r="BN25" i="27"/>
  <c r="AF25" i="113"/>
  <c r="AD25" i="113" s="1"/>
  <c r="BN56" i="27"/>
  <c r="AF56" i="113"/>
  <c r="AD56" i="113" s="1"/>
  <c r="BN82" i="27"/>
  <c r="AF82" i="113"/>
  <c r="AD82" i="113" s="1"/>
  <c r="BN97" i="27"/>
  <c r="AF97" i="113"/>
  <c r="AD97" i="113" s="1"/>
  <c r="BN102" i="27"/>
  <c r="AF102" i="113"/>
  <c r="AD102" i="113" s="1"/>
  <c r="BN57" i="27"/>
  <c r="AF57" i="113"/>
  <c r="AD57" i="113" s="1"/>
  <c r="BN18" i="27"/>
  <c r="AF18" i="113"/>
  <c r="AD18" i="113" s="1"/>
  <c r="BN96" i="27"/>
  <c r="AF96" i="113"/>
  <c r="AD96" i="113" s="1"/>
  <c r="BN26" i="27"/>
  <c r="AF26" i="113"/>
  <c r="AD26" i="113" s="1"/>
  <c r="BN132" i="27"/>
  <c r="AF132" i="113"/>
  <c r="AD132" i="113" s="1"/>
  <c r="BN93" i="27"/>
  <c r="AF93" i="113"/>
  <c r="AD93" i="113" s="1"/>
  <c r="BN14" i="27"/>
  <c r="AF14" i="113"/>
  <c r="AD14" i="113" s="1"/>
  <c r="BN94" i="27"/>
  <c r="AF94" i="113"/>
  <c r="AD94" i="113" s="1"/>
  <c r="BN133" i="27"/>
  <c r="AF133" i="113"/>
  <c r="AD133" i="113" s="1"/>
  <c r="BN98" i="27"/>
  <c r="AF98" i="113"/>
  <c r="AD98" i="113" s="1"/>
  <c r="BN129" i="27"/>
  <c r="AF129" i="113"/>
  <c r="AD129" i="113" s="1"/>
  <c r="BN107" i="27"/>
  <c r="AF107" i="113"/>
  <c r="AD107" i="113" s="1"/>
  <c r="BN87" i="27"/>
  <c r="AF87" i="113"/>
  <c r="AD87" i="113" s="1"/>
  <c r="BN34" i="27"/>
  <c r="AF34" i="113"/>
  <c r="AD34" i="113" s="1"/>
  <c r="BN42" i="27"/>
  <c r="AF42" i="113"/>
  <c r="AD42" i="113" s="1"/>
  <c r="BN122" i="27"/>
  <c r="AF122" i="113"/>
  <c r="AD122" i="113" s="1"/>
  <c r="BN61" i="27"/>
  <c r="AF61" i="113"/>
  <c r="AD61" i="113" s="1"/>
  <c r="BN39" i="27"/>
  <c r="AF39" i="113"/>
  <c r="AD39" i="113" s="1"/>
  <c r="BN50" i="27"/>
  <c r="AF50" i="113"/>
  <c r="AD50" i="113" s="1"/>
  <c r="BN66" i="27"/>
  <c r="AF66" i="113"/>
  <c r="AD66" i="113" s="1"/>
  <c r="BN81" i="27"/>
  <c r="AF81" i="113"/>
  <c r="AD81" i="113" s="1"/>
  <c r="BN78" i="27"/>
  <c r="AF78" i="113"/>
  <c r="AD78" i="113" s="1"/>
  <c r="BN62" i="27"/>
  <c r="AF62" i="113"/>
  <c r="AD62" i="113" s="1"/>
  <c r="BN91" i="27"/>
  <c r="AF91" i="113"/>
  <c r="AD91" i="113" s="1"/>
  <c r="BN29" i="27"/>
  <c r="AF29" i="113"/>
  <c r="AD29" i="113" s="1"/>
  <c r="BN90" i="27"/>
  <c r="AF90" i="113"/>
  <c r="AD90" i="113" s="1"/>
  <c r="BN20" i="27"/>
  <c r="AF20" i="113"/>
  <c r="AD20" i="113" s="1"/>
  <c r="BN138" i="27"/>
  <c r="AF138" i="113"/>
  <c r="AD138" i="113" s="1"/>
  <c r="BN48" i="27"/>
  <c r="AF48" i="113"/>
  <c r="AD48" i="113" s="1"/>
  <c r="BN64" i="27"/>
  <c r="AF64" i="113"/>
  <c r="AD64" i="113" s="1"/>
  <c r="BN24" i="27"/>
  <c r="AF24" i="113"/>
  <c r="AD24" i="113" s="1"/>
  <c r="BN67" i="27"/>
  <c r="AF67" i="113"/>
  <c r="AD67" i="113" s="1"/>
  <c r="BN28" i="27"/>
  <c r="AF28" i="113"/>
  <c r="AD28" i="113" s="1"/>
  <c r="BN38" i="27"/>
  <c r="AF38" i="113"/>
  <c r="AD38" i="113" s="1"/>
  <c r="BN106" i="27"/>
  <c r="AF106" i="113"/>
  <c r="AD106" i="113" s="1"/>
  <c r="BN115" i="27"/>
  <c r="AF115" i="113"/>
  <c r="AD115" i="113" s="1"/>
  <c r="BN23" i="27"/>
  <c r="AF23" i="113"/>
  <c r="AD23" i="113" s="1"/>
  <c r="BN79" i="27"/>
  <c r="AF79" i="113"/>
  <c r="AD79" i="113" s="1"/>
  <c r="BN22" i="27"/>
  <c r="AF22" i="113"/>
  <c r="AD22" i="113" s="1"/>
  <c r="BN72" i="27"/>
  <c r="AF72" i="113"/>
  <c r="AD72" i="113" s="1"/>
  <c r="BN16" i="27"/>
  <c r="AF16" i="113"/>
  <c r="AD16" i="113" s="1"/>
  <c r="BN65" i="27"/>
  <c r="AF65" i="113"/>
  <c r="AD65" i="113" s="1"/>
  <c r="BN108" i="27"/>
  <c r="AF108" i="113"/>
  <c r="AD108" i="113" s="1"/>
  <c r="BN135" i="27"/>
  <c r="AF135" i="113"/>
  <c r="AD135" i="113" s="1"/>
  <c r="BN127" i="27"/>
  <c r="AF127" i="113"/>
  <c r="AD127" i="113" s="1"/>
  <c r="BN80" i="27"/>
  <c r="AF80" i="113"/>
  <c r="AD80" i="113" s="1"/>
  <c r="BN40" i="27"/>
  <c r="AF40" i="113"/>
  <c r="AD40" i="113" s="1"/>
  <c r="BN35" i="27"/>
  <c r="AF35" i="113"/>
  <c r="AD35" i="113" s="1"/>
  <c r="BN140" i="27"/>
  <c r="AF140" i="113"/>
  <c r="AD140" i="113" s="1"/>
  <c r="BN130" i="27"/>
  <c r="AF130" i="113"/>
  <c r="AD130" i="113" s="1"/>
  <c r="BN41" i="27"/>
  <c r="AF41" i="113"/>
  <c r="AD41" i="113" s="1"/>
  <c r="BN58" i="27"/>
  <c r="AF58" i="113"/>
  <c r="AD58" i="113" s="1"/>
  <c r="BN46" i="27"/>
  <c r="AF46" i="113"/>
  <c r="AD46" i="113" s="1"/>
  <c r="BN137" i="27"/>
  <c r="AF137" i="113"/>
  <c r="AD137" i="113" s="1"/>
  <c r="BN92" i="27"/>
  <c r="AF92" i="113"/>
  <c r="AD92" i="113" s="1"/>
  <c r="BN124" i="27"/>
  <c r="AF124" i="113"/>
  <c r="AD124" i="113" s="1"/>
  <c r="BN83" i="27"/>
  <c r="AF83" i="113"/>
  <c r="AD83" i="113" s="1"/>
  <c r="BN125" i="27"/>
  <c r="AF125" i="113"/>
  <c r="AD125" i="113" s="1"/>
  <c r="BN32" i="27"/>
  <c r="AF32" i="113"/>
  <c r="AD32" i="113" s="1"/>
  <c r="BN141" i="27"/>
  <c r="AF141" i="113"/>
  <c r="AD141" i="113" s="1"/>
  <c r="BN84" i="27"/>
  <c r="AF84" i="113"/>
  <c r="AD84" i="113" s="1"/>
  <c r="BN121" i="27"/>
  <c r="AF121" i="113"/>
  <c r="AD121" i="113" s="1"/>
  <c r="BN128" i="27"/>
  <c r="AF128" i="113"/>
  <c r="AD128" i="113" s="1"/>
  <c r="BN95" i="27"/>
  <c r="AF95" i="113"/>
  <c r="AD95" i="113" s="1"/>
  <c r="BN119" i="27"/>
  <c r="AF119" i="113"/>
  <c r="AD119" i="113" s="1"/>
  <c r="BN120" i="27"/>
  <c r="AF120" i="113"/>
  <c r="AD120" i="113" s="1"/>
  <c r="BN143" i="27"/>
  <c r="AF143" i="113"/>
  <c r="AD143" i="113" s="1"/>
  <c r="BN70" i="27"/>
  <c r="AF70" i="113"/>
  <c r="AD70" i="113" s="1"/>
  <c r="BN112" i="27"/>
  <c r="AF112" i="113"/>
  <c r="AD112" i="113" s="1"/>
  <c r="BN31" i="27"/>
  <c r="AF31" i="113"/>
  <c r="AD31" i="113" s="1"/>
  <c r="BN55" i="27"/>
  <c r="AF55" i="113"/>
  <c r="AD55" i="113" s="1"/>
  <c r="BN105" i="27"/>
  <c r="AF105" i="113"/>
  <c r="AD105" i="113" s="1"/>
  <c r="BN59" i="27"/>
  <c r="AF59" i="113"/>
  <c r="AD59" i="113" s="1"/>
  <c r="BN49" i="27"/>
  <c r="AF49" i="113"/>
  <c r="AD49" i="113" s="1"/>
  <c r="BN60" i="27"/>
  <c r="AF60" i="113"/>
  <c r="AD60" i="113" s="1"/>
  <c r="BN101" i="27"/>
  <c r="AF101" i="113"/>
  <c r="AD101" i="113" s="1"/>
  <c r="BN71" i="27"/>
  <c r="AF71" i="113"/>
  <c r="AD71" i="113" s="1"/>
  <c r="BN37" i="27"/>
  <c r="AF37" i="113"/>
  <c r="AD37" i="113" s="1"/>
  <c r="BN12" i="27"/>
  <c r="AF12" i="113"/>
  <c r="AD12" i="113" s="1"/>
  <c r="BN99" i="27"/>
  <c r="AF99" i="113"/>
  <c r="AD99" i="113" s="1"/>
  <c r="BN144" i="27"/>
  <c r="BM144" i="27"/>
  <c r="AT58" i="93"/>
  <c r="AT138" i="93"/>
  <c r="AT73" i="93"/>
  <c r="AT21" i="93"/>
  <c r="AT117" i="93"/>
  <c r="AT35" i="93"/>
  <c r="AT23" i="93"/>
  <c r="AT136" i="93"/>
  <c r="AT12" i="93"/>
  <c r="AT99" i="93"/>
  <c r="AT124" i="93"/>
  <c r="AT118" i="93"/>
  <c r="AT49" i="93"/>
  <c r="AT50" i="93"/>
  <c r="AT52" i="93"/>
  <c r="BI144" i="27"/>
  <c r="BJ144" i="27" s="1"/>
  <c r="AT131" i="93"/>
  <c r="AT135" i="93"/>
  <c r="AT143" i="93"/>
  <c r="AT9" i="93"/>
  <c r="AT94" i="93"/>
  <c r="AT133" i="93"/>
  <c r="AT100" i="93"/>
  <c r="AT104" i="93"/>
  <c r="AT85" i="93"/>
  <c r="AT70" i="93"/>
  <c r="AT16" i="93"/>
  <c r="AT80" i="93"/>
  <c r="AT67" i="93"/>
  <c r="AT63" i="93"/>
  <c r="AT140" i="93"/>
  <c r="AT65" i="93"/>
  <c r="AT57" i="93"/>
  <c r="AT107" i="93"/>
  <c r="AT119" i="93"/>
  <c r="AT105" i="93"/>
  <c r="AT33" i="93"/>
  <c r="AT43" i="93"/>
  <c r="AT24" i="93"/>
  <c r="AT36" i="93"/>
  <c r="AT78" i="93"/>
  <c r="AT91" i="93"/>
  <c r="AT69" i="93"/>
  <c r="AT93" i="93"/>
  <c r="AT126" i="93"/>
  <c r="AT108" i="93"/>
  <c r="AT112" i="93"/>
  <c r="AT8" i="93"/>
  <c r="AT38" i="93"/>
  <c r="AT97" i="93"/>
  <c r="AT74" i="93"/>
  <c r="AT120" i="93"/>
  <c r="AT28" i="93"/>
  <c r="AT122" i="93"/>
  <c r="AT121" i="93"/>
  <c r="AT64" i="93"/>
  <c r="AT10" i="93"/>
  <c r="AT22" i="93"/>
  <c r="AT75" i="93"/>
  <c r="AT13" i="93"/>
  <c r="AT31" i="93"/>
  <c r="AT61" i="93"/>
  <c r="AT37" i="93"/>
  <c r="AT116" i="93"/>
  <c r="AT72" i="93"/>
  <c r="AT101" i="93"/>
  <c r="AT71" i="93"/>
  <c r="AT114" i="93"/>
  <c r="AT62" i="93"/>
  <c r="AT115" i="93"/>
  <c r="AT139" i="93"/>
  <c r="AT20" i="93"/>
  <c r="AT46" i="93"/>
  <c r="AT141" i="93"/>
  <c r="AT102" i="93"/>
  <c r="AT82" i="93"/>
  <c r="AT27" i="93"/>
  <c r="AT113" i="93"/>
  <c r="AT134" i="93"/>
  <c r="AT51" i="93"/>
  <c r="AT54" i="93"/>
  <c r="AT86" i="93"/>
  <c r="AT90" i="93"/>
  <c r="AT106" i="93"/>
  <c r="AT137" i="93"/>
  <c r="AT109" i="93"/>
  <c r="AT98" i="93"/>
  <c r="AT130" i="93"/>
  <c r="AT25" i="93"/>
  <c r="AT111" i="93"/>
  <c r="AT128" i="93"/>
  <c r="AT40" i="93"/>
  <c r="AT45" i="93"/>
  <c r="AT47" i="93"/>
  <c r="AT34" i="93"/>
  <c r="AT79" i="93"/>
  <c r="AT41" i="93"/>
  <c r="AT48" i="93"/>
  <c r="AT129" i="93"/>
  <c r="AT123" i="93"/>
  <c r="AT81" i="93"/>
  <c r="AT59" i="93"/>
  <c r="AT53" i="93"/>
  <c r="AT95" i="93"/>
  <c r="AT32" i="93"/>
  <c r="AT110" i="93"/>
  <c r="AT44" i="93"/>
  <c r="AT132" i="93"/>
  <c r="AT66" i="93"/>
  <c r="AT88" i="93"/>
  <c r="AT60" i="93"/>
  <c r="AT96" i="93"/>
  <c r="AT39" i="93"/>
  <c r="AT125" i="93"/>
  <c r="AT18" i="93"/>
  <c r="AT29" i="93"/>
  <c r="AT76" i="93"/>
  <c r="AT17" i="93"/>
  <c r="AT19" i="93"/>
  <c r="AT103" i="93"/>
  <c r="AT11" i="93"/>
  <c r="AT87" i="93"/>
  <c r="AT68" i="93"/>
  <c r="AT26" i="93"/>
  <c r="AT55" i="93"/>
  <c r="AT42" i="93"/>
  <c r="AT56" i="93"/>
  <c r="AT77" i="93"/>
  <c r="AT142" i="93"/>
  <c r="AT89" i="93"/>
  <c r="AT84" i="93"/>
  <c r="AT83" i="93"/>
  <c r="AT15" i="93"/>
  <c r="AT92" i="93"/>
  <c r="AT127" i="93"/>
  <c r="AT14" i="93"/>
  <c r="AT30" i="93"/>
  <c r="BA130" i="27" a="1"/>
  <c r="BA130" i="27" s="1"/>
  <c r="BB130" i="27" a="1"/>
  <c r="BB130" i="27" s="1"/>
  <c r="BC130" i="27" a="1"/>
  <c r="BC130" i="27" s="1"/>
  <c r="BD130" i="27" a="1"/>
  <c r="BD130" i="27" s="1"/>
  <c r="BA128" i="27" a="1"/>
  <c r="BA128" i="27" s="1"/>
  <c r="BB128" i="27" a="1"/>
  <c r="BB128" i="27" s="1"/>
  <c r="BC128" i="27" a="1"/>
  <c r="BC128" i="27" s="1"/>
  <c r="BD128" i="27" a="1"/>
  <c r="BD128" i="27" s="1"/>
  <c r="BC67" i="27" a="1"/>
  <c r="BC67" i="27" s="1"/>
  <c r="BB67" i="27" a="1"/>
  <c r="BB67" i="27" s="1"/>
  <c r="BD67" i="27" a="1"/>
  <c r="BD67" i="27" s="1"/>
  <c r="BA67" i="27" a="1"/>
  <c r="BA67" i="27" s="1"/>
  <c r="BA8" i="27" a="1"/>
  <c r="BA8" i="27" s="1"/>
  <c r="BB8" i="27" a="1"/>
  <c r="BB8" i="27" s="1"/>
  <c r="BC8" i="27" a="1"/>
  <c r="BC8" i="27" s="1"/>
  <c r="BD8" i="27" a="1"/>
  <c r="BD8" i="27" s="1"/>
  <c r="BA111" i="27" a="1"/>
  <c r="BA111" i="27" s="1"/>
  <c r="BB111" i="27" a="1"/>
  <c r="BB111" i="27" s="1"/>
  <c r="BC111" i="27" a="1"/>
  <c r="BC111" i="27" s="1"/>
  <c r="BD111" i="27" a="1"/>
  <c r="BD111" i="27" s="1"/>
  <c r="BB133" i="27" a="1"/>
  <c r="BB133" i="27" s="1"/>
  <c r="BA133" i="27" a="1"/>
  <c r="BA133" i="27" s="1"/>
  <c r="BC133" i="27" a="1"/>
  <c r="BC133" i="27" s="1"/>
  <c r="BD133" i="27" a="1"/>
  <c r="BD133" i="27" s="1"/>
  <c r="BA56" i="27" a="1"/>
  <c r="BA56" i="27" s="1"/>
  <c r="BD56" i="27" a="1"/>
  <c r="BD56" i="27" s="1"/>
  <c r="BB56" i="27" a="1"/>
  <c r="BB56" i="27" s="1"/>
  <c r="BC56" i="27" a="1"/>
  <c r="BC56" i="27" s="1"/>
  <c r="BB137" i="27" a="1"/>
  <c r="BB137" i="27" s="1"/>
  <c r="BA137" i="27" a="1"/>
  <c r="BA137" i="27" s="1"/>
  <c r="BC137" i="27" a="1"/>
  <c r="BC137" i="27" s="1"/>
  <c r="BD137" i="27" a="1"/>
  <c r="BD137" i="27" s="1"/>
  <c r="BB20" i="27" a="1"/>
  <c r="BB20" i="27" s="1"/>
  <c r="BA20" i="27" a="1"/>
  <c r="BA20" i="27" s="1"/>
  <c r="BC20" i="27" a="1"/>
  <c r="BC20" i="27" s="1"/>
  <c r="BD20" i="27" a="1"/>
  <c r="BD20" i="27" s="1"/>
  <c r="BB37" i="27" a="1"/>
  <c r="BB37" i="27" s="1"/>
  <c r="BA37" i="27" a="1"/>
  <c r="BA37" i="27" s="1"/>
  <c r="BD37" i="27" a="1"/>
  <c r="BD37" i="27" s="1"/>
  <c r="BC37" i="27" a="1"/>
  <c r="BC37" i="27" s="1"/>
  <c r="BB17" i="27" a="1"/>
  <c r="BB17" i="27" s="1"/>
  <c r="BA17" i="27" a="1"/>
  <c r="BA17" i="27" s="1"/>
  <c r="BD17" i="27" a="1"/>
  <c r="BD17" i="27" s="1"/>
  <c r="BC17" i="27" a="1"/>
  <c r="BC17" i="27" s="1"/>
  <c r="BB23" i="27" a="1"/>
  <c r="BB23" i="27" s="1"/>
  <c r="BA23" i="27" a="1"/>
  <c r="BA23" i="27" s="1"/>
  <c r="BD23" i="27" a="1"/>
  <c r="BD23" i="27" s="1"/>
  <c r="BC23" i="27" a="1"/>
  <c r="BC23" i="27" s="1"/>
  <c r="BA103" i="27" a="1"/>
  <c r="BA103" i="27" s="1"/>
  <c r="BC103" i="27" a="1"/>
  <c r="BC103" i="27" s="1"/>
  <c r="BB103" i="27" a="1"/>
  <c r="BB103" i="27" s="1"/>
  <c r="BD103" i="27" a="1"/>
  <c r="BD103" i="27" s="1"/>
  <c r="BB95" i="27" a="1"/>
  <c r="BB95" i="27" s="1"/>
  <c r="BA95" i="27" a="1"/>
  <c r="BA95" i="27" s="1"/>
  <c r="BC95" i="27" a="1"/>
  <c r="BC95" i="27" s="1"/>
  <c r="BD95" i="27" a="1"/>
  <c r="BD95" i="27" s="1"/>
  <c r="BA122" i="27" a="1"/>
  <c r="BA122" i="27" s="1"/>
  <c r="BB122" i="27" a="1"/>
  <c r="BB122" i="27" s="1"/>
  <c r="BC122" i="27" a="1"/>
  <c r="BC122" i="27" s="1"/>
  <c r="BD122" i="27" a="1"/>
  <c r="BD122" i="27" s="1"/>
  <c r="BB139" i="27" a="1"/>
  <c r="BB139" i="27" s="1"/>
  <c r="BA139" i="27" a="1"/>
  <c r="BA139" i="27" s="1"/>
  <c r="BC139" i="27" a="1"/>
  <c r="BC139" i="27" s="1"/>
  <c r="BD139" i="27" a="1"/>
  <c r="BD139" i="27" s="1"/>
  <c r="BB88" i="27" a="1"/>
  <c r="BB88" i="27" s="1"/>
  <c r="BA88" i="27" a="1"/>
  <c r="BA88" i="27" s="1"/>
  <c r="BC88" i="27" a="1"/>
  <c r="BC88" i="27" s="1"/>
  <c r="BD88" i="27" a="1"/>
  <c r="BD88" i="27" s="1"/>
  <c r="BB86" i="27" a="1"/>
  <c r="BB86" i="27" s="1"/>
  <c r="BA86" i="27" a="1"/>
  <c r="BA86" i="27" s="1"/>
  <c r="BD86" i="27" a="1"/>
  <c r="BD86" i="27" s="1"/>
  <c r="BC86" i="27" a="1"/>
  <c r="BC86" i="27" s="1"/>
  <c r="BB132" i="27" a="1"/>
  <c r="BB132" i="27" s="1"/>
  <c r="BA132" i="27" a="1"/>
  <c r="BA132" i="27" s="1"/>
  <c r="BC132" i="27" a="1"/>
  <c r="BC132" i="27" s="1"/>
  <c r="BD132" i="27" a="1"/>
  <c r="BD132" i="27" s="1"/>
  <c r="BA98" i="27" a="1"/>
  <c r="BA98" i="27" s="1"/>
  <c r="BB98" i="27" a="1"/>
  <c r="BB98" i="27" s="1"/>
  <c r="BC98" i="27" a="1"/>
  <c r="BC98" i="27" s="1"/>
  <c r="BD98" i="27" a="1"/>
  <c r="BD98" i="27" s="1"/>
  <c r="BB63" i="27" a="1"/>
  <c r="BB63" i="27" s="1"/>
  <c r="BA63" i="27" a="1"/>
  <c r="BA63" i="27" s="1"/>
  <c r="BC63" i="27" a="1"/>
  <c r="BC63" i="27" s="1"/>
  <c r="BD63" i="27" a="1"/>
  <c r="BD63" i="27" s="1"/>
  <c r="BB91" i="27" a="1"/>
  <c r="BB91" i="27" s="1"/>
  <c r="BA91" i="27" a="1"/>
  <c r="BA91" i="27" s="1"/>
  <c r="BC91" i="27" a="1"/>
  <c r="BC91" i="27" s="1"/>
  <c r="BD91" i="27" a="1"/>
  <c r="BD91" i="27" s="1"/>
  <c r="BA102" i="27" a="1"/>
  <c r="BA102" i="27" s="1"/>
  <c r="BB102" i="27" a="1"/>
  <c r="BB102" i="27" s="1"/>
  <c r="BD102" i="27" a="1"/>
  <c r="BD102" i="27" s="1"/>
  <c r="BC102" i="27" a="1"/>
  <c r="BC102" i="27" s="1"/>
  <c r="BB115" i="27" a="1"/>
  <c r="BB115" i="27" s="1"/>
  <c r="BA115" i="27" a="1"/>
  <c r="BA115" i="27" s="1"/>
  <c r="BD115" i="27" a="1"/>
  <c r="BD115" i="27" s="1"/>
  <c r="BC115" i="27" a="1"/>
  <c r="BC115" i="27" s="1"/>
  <c r="BB42" i="27" a="1"/>
  <c r="BB42" i="27" s="1"/>
  <c r="BA42" i="27" a="1"/>
  <c r="BA42" i="27" s="1"/>
  <c r="BD42" i="27" a="1"/>
  <c r="BD42" i="27" s="1"/>
  <c r="BC42" i="27" a="1"/>
  <c r="BC42" i="27" s="1"/>
  <c r="BB138" i="27" a="1"/>
  <c r="BB138" i="27" s="1"/>
  <c r="BA138" i="27" a="1"/>
  <c r="BA138" i="27" s="1"/>
  <c r="BC138" i="27" a="1"/>
  <c r="BC138" i="27" s="1"/>
  <c r="BD138" i="27" a="1"/>
  <c r="BD138" i="27" s="1"/>
  <c r="BB18" i="27" a="1"/>
  <c r="BB18" i="27" s="1"/>
  <c r="BA18" i="27" a="1"/>
  <c r="BA18" i="27" s="1"/>
  <c r="BD18" i="27" a="1"/>
  <c r="BD18" i="27" s="1"/>
  <c r="BC18" i="27" a="1"/>
  <c r="BC18" i="27" s="1"/>
  <c r="BB97" i="27" a="1"/>
  <c r="BB97" i="27" s="1"/>
  <c r="BA97" i="27" a="1"/>
  <c r="BA97" i="27" s="1"/>
  <c r="BC97" i="27" a="1"/>
  <c r="BC97" i="27" s="1"/>
  <c r="BD97" i="27" a="1"/>
  <c r="BD97" i="27" s="1"/>
  <c r="BB120" i="27" a="1"/>
  <c r="BB120" i="27" s="1"/>
  <c r="BA120" i="27" a="1"/>
  <c r="BA120" i="27" s="1"/>
  <c r="BD120" i="27" a="1"/>
  <c r="BD120" i="27" s="1"/>
  <c r="BC120" i="27" a="1"/>
  <c r="BC120" i="27" s="1"/>
  <c r="BB81" i="27" a="1"/>
  <c r="BB81" i="27" s="1"/>
  <c r="BC81" i="27" a="1"/>
  <c r="BC81" i="27" s="1"/>
  <c r="BD81" i="27" a="1"/>
  <c r="BD81" i="27" s="1"/>
  <c r="BA81" i="27" a="1"/>
  <c r="BA81" i="27" s="1"/>
  <c r="BA10" i="27" a="1"/>
  <c r="BA10" i="27" s="1"/>
  <c r="BB10" i="27" a="1"/>
  <c r="BB10" i="27" s="1"/>
  <c r="BD10" i="27" a="1"/>
  <c r="BD10" i="27" s="1"/>
  <c r="BC10" i="27" a="1"/>
  <c r="BC10" i="27" s="1"/>
  <c r="BB14" i="27" a="1"/>
  <c r="BB14" i="27" s="1"/>
  <c r="BA14" i="27" a="1"/>
  <c r="BA14" i="27" s="1"/>
  <c r="BD14" i="27" a="1"/>
  <c r="BD14" i="27" s="1"/>
  <c r="BC14" i="27" a="1"/>
  <c r="BC14" i="27" s="1"/>
  <c r="BB62" i="27" a="1"/>
  <c r="BB62" i="27" s="1"/>
  <c r="BA62" i="27" a="1"/>
  <c r="BA62" i="27" s="1"/>
  <c r="BC62" i="27" a="1"/>
  <c r="BC62" i="27" s="1"/>
  <c r="BD62" i="27" a="1"/>
  <c r="BD62" i="27" s="1"/>
  <c r="BB40" i="27" a="1"/>
  <c r="BB40" i="27" s="1"/>
  <c r="BA40" i="27" a="1"/>
  <c r="BA40" i="27" s="1"/>
  <c r="BD40" i="27" a="1"/>
  <c r="BD40" i="27" s="1"/>
  <c r="BC40" i="27" a="1"/>
  <c r="BC40" i="27" s="1"/>
  <c r="BC68" i="27" a="1"/>
  <c r="BC68" i="27" s="1"/>
  <c r="BD68" i="27" a="1"/>
  <c r="BD68" i="27" s="1"/>
  <c r="BB68" i="27" a="1"/>
  <c r="BB68" i="27" s="1"/>
  <c r="BA68" i="27" a="1"/>
  <c r="BA68" i="27" s="1"/>
  <c r="BA80" i="27" a="1"/>
  <c r="BA80" i="27" s="1"/>
  <c r="BB80" i="27" a="1"/>
  <c r="BB80" i="27" s="1"/>
  <c r="BC80" i="27" a="1"/>
  <c r="BC80" i="27" s="1"/>
  <c r="BD80" i="27" a="1"/>
  <c r="BD80" i="27" s="1"/>
  <c r="BA143" i="27" a="1"/>
  <c r="BA143" i="27" s="1"/>
  <c r="BB143" i="27" a="1"/>
  <c r="BB143" i="27" s="1"/>
  <c r="BC143" i="27" a="1"/>
  <c r="BC143" i="27" s="1"/>
  <c r="BD143" i="27" a="1"/>
  <c r="BD143" i="27" s="1"/>
  <c r="BB41" i="27" a="1"/>
  <c r="BB41" i="27" s="1"/>
  <c r="BA41" i="27" a="1"/>
  <c r="BA41" i="27" s="1"/>
  <c r="BD41" i="27" a="1"/>
  <c r="BD41" i="27" s="1"/>
  <c r="BC41" i="27" a="1"/>
  <c r="BC41" i="27" s="1"/>
  <c r="BC12" i="27" a="1"/>
  <c r="BC12" i="27" s="1"/>
  <c r="BB12" i="27" a="1"/>
  <c r="BB12" i="27" s="1"/>
  <c r="BA12" i="27" a="1"/>
  <c r="BA12" i="27" s="1"/>
  <c r="BD12" i="27" a="1"/>
  <c r="BD12" i="27" s="1"/>
  <c r="BA27" i="27" a="1"/>
  <c r="BA27" i="27" s="1"/>
  <c r="BB27" i="27" a="1"/>
  <c r="BB27" i="27" s="1"/>
  <c r="BC27" i="27" a="1"/>
  <c r="BC27" i="27" s="1"/>
  <c r="BD27" i="27" a="1"/>
  <c r="BD27" i="27" s="1"/>
  <c r="BB100" i="27" a="1"/>
  <c r="BB100" i="27" s="1"/>
  <c r="BA100" i="27" a="1"/>
  <c r="BA100" i="27" s="1"/>
  <c r="BD100" i="27" a="1"/>
  <c r="BD100" i="27" s="1"/>
  <c r="BC100" i="27" a="1"/>
  <c r="BC100" i="27" s="1"/>
  <c r="BA35" i="27" a="1"/>
  <c r="BA35" i="27" s="1"/>
  <c r="BB35" i="27" a="1"/>
  <c r="BB35" i="27" s="1"/>
  <c r="BD35" i="27" a="1"/>
  <c r="BD35" i="27" s="1"/>
  <c r="BC35" i="27" a="1"/>
  <c r="BC35" i="27" s="1"/>
  <c r="BD125" i="27" a="1"/>
  <c r="BD125" i="27" s="1"/>
  <c r="BA125" i="27" a="1"/>
  <c r="BA125" i="27" s="1"/>
  <c r="BC125" i="27" a="1"/>
  <c r="BC125" i="27" s="1"/>
  <c r="BB125" i="27" a="1"/>
  <c r="BB125" i="27" s="1"/>
  <c r="BD13" i="27" a="1"/>
  <c r="BD13" i="27" s="1"/>
  <c r="BB13" i="27" a="1"/>
  <c r="BB13" i="27" s="1"/>
  <c r="BC13" i="27" a="1"/>
  <c r="BC13" i="27" s="1"/>
  <c r="BA13" i="27" a="1"/>
  <c r="BA13" i="27" s="1"/>
  <c r="BB38" i="27" a="1"/>
  <c r="BB38" i="27" s="1"/>
  <c r="BA38" i="27" a="1"/>
  <c r="BA38" i="27" s="1"/>
  <c r="BC38" i="27" a="1"/>
  <c r="BC38" i="27" s="1"/>
  <c r="BD38" i="27" a="1"/>
  <c r="BD38" i="27" s="1"/>
  <c r="BA49" i="27" a="1"/>
  <c r="BA49" i="27" s="1"/>
  <c r="BB49" i="27" a="1"/>
  <c r="BB49" i="27" s="1"/>
  <c r="BC49" i="27" a="1"/>
  <c r="BC49" i="27" s="1"/>
  <c r="BD49" i="27" a="1"/>
  <c r="BD49" i="27" s="1"/>
  <c r="BA82" i="27" a="1"/>
  <c r="BA82" i="27" s="1"/>
  <c r="BB82" i="27" a="1"/>
  <c r="BB82" i="27" s="1"/>
  <c r="BD82" i="27" a="1"/>
  <c r="BD82" i="27" s="1"/>
  <c r="BC82" i="27" a="1"/>
  <c r="BC82" i="27" s="1"/>
  <c r="BA90" i="27" a="1"/>
  <c r="BA90" i="27" s="1"/>
  <c r="BB90" i="27" a="1"/>
  <c r="BB90" i="27" s="1"/>
  <c r="BC90" i="27" a="1"/>
  <c r="BC90" i="27" s="1"/>
  <c r="BD90" i="27" a="1"/>
  <c r="BD90" i="27" s="1"/>
  <c r="BA104" i="27" a="1"/>
  <c r="BA104" i="27" s="1"/>
  <c r="BB104" i="27" a="1"/>
  <c r="BB104" i="27" s="1"/>
  <c r="BC104" i="27" a="1"/>
  <c r="BC104" i="27" s="1"/>
  <c r="BD104" i="27" a="1"/>
  <c r="BD104" i="27" s="1"/>
  <c r="BB112" i="27" a="1"/>
  <c r="BB112" i="27" s="1"/>
  <c r="BA112" i="27" a="1"/>
  <c r="BA112" i="27" s="1"/>
  <c r="BC112" i="27" a="1"/>
  <c r="BC112" i="27" s="1"/>
  <c r="BD112" i="27" a="1"/>
  <c r="BD112" i="27" s="1"/>
  <c r="BA123" i="27" a="1"/>
  <c r="BA123" i="27" s="1"/>
  <c r="BB123" i="27" a="1"/>
  <c r="BB123" i="27" s="1"/>
  <c r="BC123" i="27" a="1"/>
  <c r="BC123" i="27" s="1"/>
  <c r="BD123" i="27" a="1"/>
  <c r="BD123" i="27" s="1"/>
  <c r="BB141" i="27" a="1"/>
  <c r="BB141" i="27" s="1"/>
  <c r="BA141" i="27" a="1"/>
  <c r="BA141" i="27" s="1"/>
  <c r="BC141" i="27" a="1"/>
  <c r="BC141" i="27" s="1"/>
  <c r="BD141" i="27" a="1"/>
  <c r="BD141" i="27" s="1"/>
  <c r="BA107" i="27" a="1"/>
  <c r="BA107" i="27" s="1"/>
  <c r="BB107" i="27" a="1"/>
  <c r="BB107" i="27" s="1"/>
  <c r="BD107" i="27" a="1"/>
  <c r="BD107" i="27" s="1"/>
  <c r="BC107" i="27" a="1"/>
  <c r="BC107" i="27" s="1"/>
  <c r="BA33" i="27" a="1"/>
  <c r="BA33" i="27" s="1"/>
  <c r="BB33" i="27" a="1"/>
  <c r="BB33" i="27" s="1"/>
  <c r="BC33" i="27" a="1"/>
  <c r="BC33" i="27" s="1"/>
  <c r="BD33" i="27" a="1"/>
  <c r="BD33" i="27" s="1"/>
  <c r="BA54" i="27" a="1"/>
  <c r="BA54" i="27" s="1"/>
  <c r="BB54" i="27" a="1"/>
  <c r="BB54" i="27" s="1"/>
  <c r="BC54" i="27" a="1"/>
  <c r="BC54" i="27" s="1"/>
  <c r="BD54" i="27" a="1"/>
  <c r="BD54" i="27" s="1"/>
  <c r="BA34" i="27" a="1"/>
  <c r="BA34" i="27" s="1"/>
  <c r="BB34" i="27" a="1"/>
  <c r="BB34" i="27" s="1"/>
  <c r="BC34" i="27" a="1"/>
  <c r="BC34" i="27" s="1"/>
  <c r="BD34" i="27" a="1"/>
  <c r="BD34" i="27" s="1"/>
  <c r="BB92" i="27" a="1"/>
  <c r="BB92" i="27" s="1"/>
  <c r="BD92" i="27" a="1"/>
  <c r="BD92" i="27" s="1"/>
  <c r="BC92" i="27" a="1"/>
  <c r="BC92" i="27" s="1"/>
  <c r="BA92" i="27" a="1"/>
  <c r="BA92" i="27" s="1"/>
  <c r="BA47" i="27" a="1"/>
  <c r="BA47" i="27" s="1"/>
  <c r="BB47" i="27" a="1"/>
  <c r="BB47" i="27" s="1"/>
  <c r="BD47" i="27" a="1"/>
  <c r="BD47" i="27" s="1"/>
  <c r="BC47" i="27" a="1"/>
  <c r="BC47" i="27" s="1"/>
  <c r="BB118" i="27" a="1"/>
  <c r="BB118" i="27" s="1"/>
  <c r="BA118" i="27" a="1"/>
  <c r="BA118" i="27" s="1"/>
  <c r="BD118" i="27" a="1"/>
  <c r="BD118" i="27" s="1"/>
  <c r="BC118" i="27" a="1"/>
  <c r="BC118" i="27" s="1"/>
  <c r="BB44" i="27" a="1"/>
  <c r="BB44" i="27" s="1"/>
  <c r="BA44" i="27" a="1"/>
  <c r="BA44" i="27" s="1"/>
  <c r="BD44" i="27" a="1"/>
  <c r="BD44" i="27" s="1"/>
  <c r="BC44" i="27" a="1"/>
  <c r="BC44" i="27" s="1"/>
  <c r="BA15" i="27" a="1"/>
  <c r="BA15" i="27" s="1"/>
  <c r="BB15" i="27" a="1"/>
  <c r="BB15" i="27" s="1"/>
  <c r="BC15" i="27" a="1"/>
  <c r="BC15" i="27" s="1"/>
  <c r="BD15" i="27" a="1"/>
  <c r="BD15" i="27" s="1"/>
  <c r="BA50" i="27" a="1"/>
  <c r="BA50" i="27" s="1"/>
  <c r="BD50" i="27" a="1"/>
  <c r="BD50" i="27" s="1"/>
  <c r="BC50" i="27" a="1"/>
  <c r="BC50" i="27" s="1"/>
  <c r="BB50" i="27" a="1"/>
  <c r="BB50" i="27" s="1"/>
  <c r="BB19" i="27" a="1"/>
  <c r="BB19" i="27" s="1"/>
  <c r="BA19" i="27" a="1"/>
  <c r="BA19" i="27" s="1"/>
  <c r="BC19" i="27" a="1"/>
  <c r="BC19" i="27" s="1"/>
  <c r="BD19" i="27" a="1"/>
  <c r="BD19" i="27" s="1"/>
  <c r="BB60" i="27" a="1"/>
  <c r="BB60" i="27" s="1"/>
  <c r="BA60" i="27" a="1"/>
  <c r="BA60" i="27" s="1"/>
  <c r="BD60" i="27" a="1"/>
  <c r="BD60" i="27" s="1"/>
  <c r="BC60" i="27" a="1"/>
  <c r="BC60" i="27" s="1"/>
  <c r="BB26" i="27" a="1"/>
  <c r="BB26" i="27" s="1"/>
  <c r="BA26" i="27" a="1"/>
  <c r="BA26" i="27" s="1"/>
  <c r="BC26" i="27" a="1"/>
  <c r="BC26" i="27" s="1"/>
  <c r="BD26" i="27" a="1"/>
  <c r="BD26" i="27" s="1"/>
  <c r="BA73" i="27" a="1"/>
  <c r="BA73" i="27" s="1"/>
  <c r="BB73" i="27" a="1"/>
  <c r="BB73" i="27" s="1"/>
  <c r="BC73" i="27" a="1"/>
  <c r="BC73" i="27" s="1"/>
  <c r="BD73" i="27" a="1"/>
  <c r="BD73" i="27" s="1"/>
  <c r="BB28" i="27" a="1"/>
  <c r="BB28" i="27" s="1"/>
  <c r="BA28" i="27" a="1"/>
  <c r="BA28" i="27" s="1"/>
  <c r="BC28" i="27" a="1"/>
  <c r="BC28" i="27" s="1"/>
  <c r="BD28" i="27" a="1"/>
  <c r="BD28" i="27" s="1"/>
  <c r="BA72" i="27" a="1"/>
  <c r="BA72" i="27" s="1"/>
  <c r="BB72" i="27" a="1"/>
  <c r="BB72" i="27" s="1"/>
  <c r="BD72" i="27" a="1"/>
  <c r="BD72" i="27" s="1"/>
  <c r="BC72" i="27" a="1"/>
  <c r="BC72" i="27" s="1"/>
  <c r="BA105" i="27" a="1"/>
  <c r="BA105" i="27" s="1"/>
  <c r="BB105" i="27" a="1"/>
  <c r="BB105" i="27" s="1"/>
  <c r="BD105" i="27" a="1"/>
  <c r="BD105" i="27" s="1"/>
  <c r="BC105" i="27" a="1"/>
  <c r="BC105" i="27" s="1"/>
  <c r="BB45" i="27" a="1"/>
  <c r="BB45" i="27" s="1"/>
  <c r="BA45" i="27" a="1"/>
  <c r="BA45" i="27" s="1"/>
  <c r="BC45" i="27" a="1"/>
  <c r="BC45" i="27" s="1"/>
  <c r="BD45" i="27" a="1"/>
  <c r="BD45" i="27" s="1"/>
  <c r="BB21" i="27" a="1"/>
  <c r="BB21" i="27" s="1"/>
  <c r="BA21" i="27" a="1"/>
  <c r="BA21" i="27" s="1"/>
  <c r="BC21" i="27" a="1"/>
  <c r="BC21" i="27" s="1"/>
  <c r="BD21" i="27" a="1"/>
  <c r="BD21" i="27" s="1"/>
  <c r="BB113" i="27" a="1"/>
  <c r="BB113" i="27" s="1"/>
  <c r="BA113" i="27" a="1"/>
  <c r="BA113" i="27" s="1"/>
  <c r="BD113" i="27" a="1"/>
  <c r="BD113" i="27" s="1"/>
  <c r="BC113" i="27" a="1"/>
  <c r="BC113" i="27" s="1"/>
  <c r="BA78" i="27" a="1"/>
  <c r="BA78" i="27" s="1"/>
  <c r="BB78" i="27" a="1"/>
  <c r="BB78" i="27" s="1"/>
  <c r="BD78" i="27" a="1"/>
  <c r="BD78" i="27" s="1"/>
  <c r="BC78" i="27" a="1"/>
  <c r="BC78" i="27" s="1"/>
  <c r="BA101" i="27" a="1"/>
  <c r="BA101" i="27" s="1"/>
  <c r="BC101" i="27" a="1"/>
  <c r="BC101" i="27" s="1"/>
  <c r="BD101" i="27" a="1"/>
  <c r="BD101" i="27" s="1"/>
  <c r="BB101" i="27" a="1"/>
  <c r="BB101" i="27" s="1"/>
  <c r="BA59" i="27" a="1"/>
  <c r="BA59" i="27" s="1"/>
  <c r="BB59" i="27" a="1"/>
  <c r="BB59" i="27" s="1"/>
  <c r="BC59" i="27" a="1"/>
  <c r="BC59" i="27" s="1"/>
  <c r="BD59" i="27" a="1"/>
  <c r="BD59" i="27" s="1"/>
  <c r="BB96" i="27" a="1"/>
  <c r="BB96" i="27" s="1"/>
  <c r="BA96" i="27" a="1"/>
  <c r="BA96" i="27" s="1"/>
  <c r="BC96" i="27" a="1"/>
  <c r="BC96" i="27" s="1"/>
  <c r="BD96" i="27" a="1"/>
  <c r="BD96" i="27" s="1"/>
  <c r="BB83" i="27" a="1"/>
  <c r="BB83" i="27" s="1"/>
  <c r="BA83" i="27" a="1"/>
  <c r="BA83" i="27" s="1"/>
  <c r="BD83" i="27" a="1"/>
  <c r="BD83" i="27" s="1"/>
  <c r="BC83" i="27" a="1"/>
  <c r="BC83" i="27" s="1"/>
  <c r="BA74" i="27" a="1"/>
  <c r="BA74" i="27" s="1"/>
  <c r="BB74" i="27" a="1"/>
  <c r="BB74" i="27" s="1"/>
  <c r="BD74" i="27" a="1"/>
  <c r="BD74" i="27" s="1"/>
  <c r="BC74" i="27" a="1"/>
  <c r="BC74" i="27" s="1"/>
  <c r="BB24" i="27" a="1"/>
  <c r="BB24" i="27" s="1"/>
  <c r="BA24" i="27" a="1"/>
  <c r="BA24" i="27" s="1"/>
  <c r="BC24" i="27" a="1"/>
  <c r="BC24" i="27" s="1"/>
  <c r="BD24" i="27" a="1"/>
  <c r="BD24" i="27" s="1"/>
  <c r="BB84" i="27" a="1"/>
  <c r="BB84" i="27" s="1"/>
  <c r="BA84" i="27" a="1"/>
  <c r="BA84" i="27" s="1"/>
  <c r="BD84" i="27" a="1"/>
  <c r="BD84" i="27" s="1"/>
  <c r="BC84" i="27" a="1"/>
  <c r="BC84" i="27" s="1"/>
  <c r="BB39" i="27" a="1"/>
  <c r="BB39" i="27" s="1"/>
  <c r="BA39" i="27" a="1"/>
  <c r="BA39" i="27" s="1"/>
  <c r="BC39" i="27" a="1"/>
  <c r="BC39" i="27" s="1"/>
  <c r="BD39" i="27" a="1"/>
  <c r="BD39" i="27" s="1"/>
  <c r="BA131" i="27" a="1"/>
  <c r="BA131" i="27" s="1"/>
  <c r="BD131" i="27" a="1"/>
  <c r="BD131" i="27" s="1"/>
  <c r="BC131" i="27" a="1"/>
  <c r="BC131" i="27" s="1"/>
  <c r="BB131" i="27" a="1"/>
  <c r="BB131" i="27" s="1"/>
  <c r="BA87" i="27" a="1"/>
  <c r="BA87" i="27" s="1"/>
  <c r="BB87" i="27" a="1"/>
  <c r="BB87" i="27" s="1"/>
  <c r="BC87" i="27" a="1"/>
  <c r="BC87" i="27" s="1"/>
  <c r="BD87" i="27" a="1"/>
  <c r="BD87" i="27" s="1"/>
  <c r="BB93" i="27" a="1"/>
  <c r="BB93" i="27" s="1"/>
  <c r="BA93" i="27" a="1"/>
  <c r="BA93" i="27" s="1"/>
  <c r="BD93" i="27" a="1"/>
  <c r="BD93" i="27" s="1"/>
  <c r="BC93" i="27" a="1"/>
  <c r="BC93" i="27" s="1"/>
  <c r="BA11" i="27" a="1"/>
  <c r="BA11" i="27" s="1"/>
  <c r="BB11" i="27" a="1"/>
  <c r="BB11" i="27" s="1"/>
  <c r="BD11" i="27" a="1"/>
  <c r="BD11" i="27" s="1"/>
  <c r="BC11" i="27" a="1"/>
  <c r="BC11" i="27" s="1"/>
  <c r="BB64" i="27" a="1"/>
  <c r="BB64" i="27" s="1"/>
  <c r="BA64" i="27" a="1"/>
  <c r="BA64" i="27" s="1"/>
  <c r="BD64" i="27" a="1"/>
  <c r="BD64" i="27" s="1"/>
  <c r="BC64" i="27" a="1"/>
  <c r="BC64" i="27" s="1"/>
  <c r="BD140" i="27" a="1"/>
  <c r="BD140" i="27" s="1"/>
  <c r="BA140" i="27" a="1"/>
  <c r="BA140" i="27" s="1"/>
  <c r="BC140" i="27" a="1"/>
  <c r="BC140" i="27" s="1"/>
  <c r="BB140" i="27" a="1"/>
  <c r="BB140" i="27" s="1"/>
  <c r="BD57" i="27" a="1"/>
  <c r="BD57" i="27" s="1"/>
  <c r="BB57" i="27" a="1"/>
  <c r="BB57" i="27" s="1"/>
  <c r="BA57" i="27" a="1"/>
  <c r="BA57" i="27" s="1"/>
  <c r="BC57" i="27" a="1"/>
  <c r="BC57" i="27" s="1"/>
  <c r="BD126" i="27" a="1"/>
  <c r="BD126" i="27" s="1"/>
  <c r="BA126" i="27" a="1"/>
  <c r="BA126" i="27" s="1"/>
  <c r="BC126" i="27" a="1"/>
  <c r="BC126" i="27" s="1"/>
  <c r="BB126" i="27" a="1"/>
  <c r="BB126" i="27" s="1"/>
  <c r="BB110" i="27" a="1"/>
  <c r="BB110" i="27" s="1"/>
  <c r="BA110" i="27" a="1"/>
  <c r="BA110" i="27" s="1"/>
  <c r="BC110" i="27" a="1"/>
  <c r="BC110" i="27" s="1"/>
  <c r="BD110" i="27" a="1"/>
  <c r="BD110" i="27" s="1"/>
  <c r="BA53" i="27" a="1"/>
  <c r="BA53" i="27" s="1"/>
  <c r="BB53" i="27" a="1"/>
  <c r="BB53" i="27" s="1"/>
  <c r="BD53" i="27" a="1"/>
  <c r="BD53" i="27" s="1"/>
  <c r="BC53" i="27" a="1"/>
  <c r="BC53" i="27" s="1"/>
  <c r="BD36" i="27" a="1"/>
  <c r="BD36" i="27" s="1"/>
  <c r="BC36" i="27" a="1"/>
  <c r="BC36" i="27" s="1"/>
  <c r="BB36" i="27" a="1"/>
  <c r="BB36" i="27" s="1"/>
  <c r="BA36" i="27" a="1"/>
  <c r="BA36" i="27" s="1"/>
  <c r="BB61" i="27" a="1"/>
  <c r="BB61" i="27" s="1"/>
  <c r="BC61" i="27" a="1"/>
  <c r="BC61" i="27" s="1"/>
  <c r="BD61" i="27" a="1"/>
  <c r="BD61" i="27" s="1"/>
  <c r="BA61" i="27" a="1"/>
  <c r="BA61" i="27" s="1"/>
  <c r="BA70" i="27" a="1"/>
  <c r="BA70" i="27" s="1"/>
  <c r="BB70" i="27" a="1"/>
  <c r="BB70" i="27" s="1"/>
  <c r="BC70" i="27" a="1"/>
  <c r="BC70" i="27" s="1"/>
  <c r="BD70" i="27" a="1"/>
  <c r="BD70" i="27" s="1"/>
  <c r="BB136" i="27" a="1"/>
  <c r="BB136" i="27" s="1"/>
  <c r="BA136" i="27" a="1"/>
  <c r="BA136" i="27" s="1"/>
  <c r="BC136" i="27" a="1"/>
  <c r="BC136" i="27" s="1"/>
  <c r="BD136" i="27" a="1"/>
  <c r="BD136" i="27" s="1"/>
  <c r="BB119" i="27" a="1"/>
  <c r="BB119" i="27" s="1"/>
  <c r="BA119" i="27" a="1"/>
  <c r="BA119" i="27" s="1"/>
  <c r="BD119" i="27" a="1"/>
  <c r="BD119" i="27" s="1"/>
  <c r="BC119" i="27" a="1"/>
  <c r="BC119" i="27" s="1"/>
  <c r="BB134" i="27" a="1"/>
  <c r="BB134" i="27" s="1"/>
  <c r="BC134" i="27" a="1"/>
  <c r="BC134" i="27" s="1"/>
  <c r="BD134" i="27" a="1"/>
  <c r="BD134" i="27" s="1"/>
  <c r="BA134" i="27" a="1"/>
  <c r="BA134" i="27" s="1"/>
  <c r="BB76" i="27" a="1"/>
  <c r="BB76" i="27" s="1"/>
  <c r="BA76" i="27" a="1"/>
  <c r="BA76" i="27" s="1"/>
  <c r="BC76" i="27" a="1"/>
  <c r="BC76" i="27" s="1"/>
  <c r="BD76" i="27" a="1"/>
  <c r="BD76" i="27" s="1"/>
  <c r="BC65" i="27" a="1"/>
  <c r="BC65" i="27" s="1"/>
  <c r="BB65" i="27" a="1"/>
  <c r="BB65" i="27" s="1"/>
  <c r="BD65" i="27" a="1"/>
  <c r="BD65" i="27" s="1"/>
  <c r="BA65" i="27" a="1"/>
  <c r="BA65" i="27" s="1"/>
  <c r="BB9" i="27" a="1"/>
  <c r="BB9" i="27" s="1"/>
  <c r="BD9" i="27" a="1"/>
  <c r="BD9" i="27" s="1"/>
  <c r="BC9" i="27" a="1"/>
  <c r="BC9" i="27" s="1"/>
  <c r="BA9" i="27" a="1"/>
  <c r="BA9" i="27" s="1"/>
  <c r="BB25" i="27" a="1"/>
  <c r="BB25" i="27" s="1"/>
  <c r="BD25" i="27" a="1"/>
  <c r="BD25" i="27" s="1"/>
  <c r="BC25" i="27" a="1"/>
  <c r="BC25" i="27" s="1"/>
  <c r="BA25" i="27" a="1"/>
  <c r="BA25" i="27" s="1"/>
  <c r="BB32" i="27" a="1"/>
  <c r="BB32" i="27" s="1"/>
  <c r="BC32" i="27" a="1"/>
  <c r="BC32" i="27" s="1"/>
  <c r="BD32" i="27" a="1"/>
  <c r="BD32" i="27" s="1"/>
  <c r="BA32" i="27" a="1"/>
  <c r="BA32" i="27" s="1"/>
  <c r="BA106" i="27" a="1"/>
  <c r="BA106" i="27" s="1"/>
  <c r="BC106" i="27" a="1"/>
  <c r="BC106" i="27" s="1"/>
  <c r="BD106" i="27" a="1"/>
  <c r="BD106" i="27" s="1"/>
  <c r="BB106" i="27" a="1"/>
  <c r="BB106" i="27" s="1"/>
  <c r="BB29" i="27" a="1"/>
  <c r="BB29" i="27" s="1"/>
  <c r="BC29" i="27" a="1"/>
  <c r="BC29" i="27" s="1"/>
  <c r="BA29" i="27" a="1"/>
  <c r="BA29" i="27" s="1"/>
  <c r="BD29" i="27" a="1"/>
  <c r="BD29" i="27" s="1"/>
  <c r="BA114" i="27" a="1"/>
  <c r="BA114" i="27" s="1"/>
  <c r="BB114" i="27" a="1"/>
  <c r="BB114" i="27" s="1"/>
  <c r="BC114" i="27" a="1"/>
  <c r="BC114" i="27" s="1"/>
  <c r="BD114" i="27" a="1"/>
  <c r="BD114" i="27" s="1"/>
  <c r="BB22" i="27" a="1"/>
  <c r="BB22" i="27" s="1"/>
  <c r="BA22" i="27" a="1"/>
  <c r="BA22" i="27" s="1"/>
  <c r="BD22" i="27" a="1"/>
  <c r="BD22" i="27" s="1"/>
  <c r="BC22" i="27" a="1"/>
  <c r="BC22" i="27" s="1"/>
  <c r="BA48" i="27" a="1"/>
  <c r="BA48" i="27" s="1"/>
  <c r="BB48" i="27" a="1"/>
  <c r="BB48" i="27" s="1"/>
  <c r="BC48" i="27" a="1"/>
  <c r="BC48" i="27" s="1"/>
  <c r="BD48" i="27" a="1"/>
  <c r="BD48" i="27" s="1"/>
  <c r="BA51" i="27" a="1"/>
  <c r="BA51" i="27" s="1"/>
  <c r="BD51" i="27" a="1"/>
  <c r="BD51" i="27" s="1"/>
  <c r="BC51" i="27" a="1"/>
  <c r="BC51" i="27" s="1"/>
  <c r="BB51" i="27" a="1"/>
  <c r="BB51" i="27" s="1"/>
  <c r="BB116" i="27" a="1"/>
  <c r="BB116" i="27" s="1"/>
  <c r="BA116" i="27" a="1"/>
  <c r="BA116" i="27" s="1"/>
  <c r="BD116" i="27" a="1"/>
  <c r="BD116" i="27" s="1"/>
  <c r="BC116" i="27" a="1"/>
  <c r="BC116" i="27" s="1"/>
  <c r="BD55" i="27" a="1"/>
  <c r="BD55" i="27" s="1"/>
  <c r="BB55" i="27" a="1"/>
  <c r="BB55" i="27" s="1"/>
  <c r="BA55" i="27" a="1"/>
  <c r="BA55" i="27" s="1"/>
  <c r="BC55" i="27" a="1"/>
  <c r="BC55" i="27" s="1"/>
  <c r="BB142" i="27" a="1"/>
  <c r="BB142" i="27" s="1"/>
  <c r="BA142" i="27" a="1"/>
  <c r="BA142" i="27" s="1"/>
  <c r="BD142" i="27" a="1"/>
  <c r="BD142" i="27" s="1"/>
  <c r="BC142" i="27" a="1"/>
  <c r="BC142" i="27" s="1"/>
  <c r="BB69" i="27" a="1"/>
  <c r="BB69" i="27" s="1"/>
  <c r="BA69" i="27" a="1"/>
  <c r="BA69" i="27" s="1"/>
  <c r="BC69" i="27" a="1"/>
  <c r="BC69" i="27" s="1"/>
  <c r="BD69" i="27" a="1"/>
  <c r="BD69" i="27" s="1"/>
  <c r="BB58" i="27" a="1"/>
  <c r="BB58" i="27" s="1"/>
  <c r="BA58" i="27" a="1"/>
  <c r="BA58" i="27" s="1"/>
  <c r="BC58" i="27" a="1"/>
  <c r="BC58" i="27" s="1"/>
  <c r="BD58" i="27" a="1"/>
  <c r="BD58" i="27" s="1"/>
  <c r="BB121" i="27" a="1"/>
  <c r="BB121" i="27" s="1"/>
  <c r="BA121" i="27" a="1"/>
  <c r="BA121" i="27" s="1"/>
  <c r="BD121" i="27" a="1"/>
  <c r="BD121" i="27" s="1"/>
  <c r="BC121" i="27" a="1"/>
  <c r="BC121" i="27" s="1"/>
  <c r="BA52" i="27" a="1"/>
  <c r="BA52" i="27" s="1"/>
  <c r="BB52" i="27" a="1"/>
  <c r="BB52" i="27" s="1"/>
  <c r="BD52" i="27" a="1"/>
  <c r="BD52" i="27" s="1"/>
  <c r="BC52" i="27" a="1"/>
  <c r="BC52" i="27" s="1"/>
  <c r="BB89" i="27" a="1"/>
  <c r="BB89" i="27" s="1"/>
  <c r="BA89" i="27" a="1"/>
  <c r="BA89" i="27" s="1"/>
  <c r="BD89" i="27" a="1"/>
  <c r="BD89" i="27" s="1"/>
  <c r="BC89" i="27" a="1"/>
  <c r="BC89" i="27" s="1"/>
  <c r="BA124" i="27" a="1"/>
  <c r="BA124" i="27" s="1"/>
  <c r="BB124" i="27" a="1"/>
  <c r="BB124" i="27" s="1"/>
  <c r="BC124" i="27" a="1"/>
  <c r="BC124" i="27" s="1"/>
  <c r="BD124" i="27" a="1"/>
  <c r="BD124" i="27" s="1"/>
  <c r="BA77" i="27" a="1"/>
  <c r="BA77" i="27" s="1"/>
  <c r="BC77" i="27" a="1"/>
  <c r="BC77" i="27" s="1"/>
  <c r="BD77" i="27" a="1"/>
  <c r="BD77" i="27" s="1"/>
  <c r="BB77" i="27" a="1"/>
  <c r="BB77" i="27" s="1"/>
  <c r="BA71" i="27" a="1"/>
  <c r="BA71" i="27" s="1"/>
  <c r="BB71" i="27" a="1"/>
  <c r="BB71" i="27" s="1"/>
  <c r="BC71" i="27" a="1"/>
  <c r="BC71" i="27" s="1"/>
  <c r="BD71" i="27" a="1"/>
  <c r="BD71" i="27" s="1"/>
  <c r="BA30" i="27" a="1"/>
  <c r="BA30" i="27" s="1"/>
  <c r="BD30" i="27" a="1"/>
  <c r="BD30" i="27" s="1"/>
  <c r="BB30" i="27" a="1"/>
  <c r="BB30" i="27" s="1"/>
  <c r="BC30" i="27" a="1"/>
  <c r="BC30" i="27" s="1"/>
  <c r="BA46" i="27" a="1"/>
  <c r="BA46" i="27" s="1"/>
  <c r="BB46" i="27" a="1"/>
  <c r="BB46" i="27" s="1"/>
  <c r="BC46" i="27" a="1"/>
  <c r="BC46" i="27" s="1"/>
  <c r="BD46" i="27" a="1"/>
  <c r="BD46" i="27" s="1"/>
  <c r="BB117" i="27" a="1"/>
  <c r="BB117" i="27" s="1"/>
  <c r="BA117" i="27" a="1"/>
  <c r="BA117" i="27" s="1"/>
  <c r="BC117" i="27" a="1"/>
  <c r="BC117" i="27" s="1"/>
  <c r="BD117" i="27" a="1"/>
  <c r="BD117" i="27" s="1"/>
  <c r="BD129" i="27" a="1"/>
  <c r="BD129" i="27" s="1"/>
  <c r="BA129" i="27" a="1"/>
  <c r="BA129" i="27" s="1"/>
  <c r="BC129" i="27" a="1"/>
  <c r="BC129" i="27" s="1"/>
  <c r="BB129" i="27" a="1"/>
  <c r="BB129" i="27" s="1"/>
  <c r="BA99" i="27" a="1"/>
  <c r="BA99" i="27" s="1"/>
  <c r="BB99" i="27" a="1"/>
  <c r="BB99" i="27" s="1"/>
  <c r="BC99" i="27" a="1"/>
  <c r="BC99" i="27" s="1"/>
  <c r="BD99" i="27" a="1"/>
  <c r="BD99" i="27" s="1"/>
  <c r="BB94" i="27" a="1"/>
  <c r="BB94" i="27" s="1"/>
  <c r="BA94" i="27" a="1"/>
  <c r="BA94" i="27" s="1"/>
  <c r="BD94" i="27" a="1"/>
  <c r="BD94" i="27" s="1"/>
  <c r="BC94" i="27" a="1"/>
  <c r="BC94" i="27" s="1"/>
  <c r="BB16" i="27" a="1"/>
  <c r="BB16" i="27" s="1"/>
  <c r="BA16" i="27" a="1"/>
  <c r="BA16" i="27" s="1"/>
  <c r="BD16" i="27" a="1"/>
  <c r="BD16" i="27" s="1"/>
  <c r="BC16" i="27" a="1"/>
  <c r="BC16" i="27" s="1"/>
  <c r="BA127" i="27" a="1"/>
  <c r="BA127" i="27" s="1"/>
  <c r="BB127" i="27" a="1"/>
  <c r="BB127" i="27" s="1"/>
  <c r="BD127" i="27" a="1"/>
  <c r="BD127" i="27" s="1"/>
  <c r="BC127" i="27" a="1"/>
  <c r="BC127" i="27" s="1"/>
  <c r="BD31" i="27" a="1"/>
  <c r="BD31" i="27" s="1"/>
  <c r="BA31" i="27" a="1"/>
  <c r="BA31" i="27" s="1"/>
  <c r="BB31" i="27" a="1"/>
  <c r="BB31" i="27" s="1"/>
  <c r="BC31" i="27" a="1"/>
  <c r="BC31" i="27" s="1"/>
  <c r="BB66" i="27" a="1"/>
  <c r="BB66" i="27" s="1"/>
  <c r="BA66" i="27" a="1"/>
  <c r="BA66" i="27" s="1"/>
  <c r="BD66" i="27" a="1"/>
  <c r="BD66" i="27" s="1"/>
  <c r="BC66" i="27" a="1"/>
  <c r="BC66" i="27" s="1"/>
  <c r="BD43" i="27" a="1"/>
  <c r="BD43" i="27" s="1"/>
  <c r="BB43" i="27" a="1"/>
  <c r="BB43" i="27" s="1"/>
  <c r="BA43" i="27" a="1"/>
  <c r="BA43" i="27" s="1"/>
  <c r="BC43" i="27" a="1"/>
  <c r="BC43" i="27" s="1"/>
  <c r="BA79" i="27" a="1"/>
  <c r="BA79" i="27" s="1"/>
  <c r="BB79" i="27" a="1"/>
  <c r="BB79" i="27" s="1"/>
  <c r="BC79" i="27" a="1"/>
  <c r="BC79" i="27" s="1"/>
  <c r="BD79" i="27" a="1"/>
  <c r="BD79" i="27" s="1"/>
  <c r="BA75" i="27" a="1"/>
  <c r="BA75" i="27" s="1"/>
  <c r="BC75" i="27" a="1"/>
  <c r="BC75" i="27" s="1"/>
  <c r="BD75" i="27" a="1"/>
  <c r="BD75" i="27" s="1"/>
  <c r="BB75" i="27" a="1"/>
  <c r="BB75" i="27" s="1"/>
  <c r="BB109" i="27" a="1"/>
  <c r="BB109" i="27" s="1"/>
  <c r="BA109" i="27" a="1"/>
  <c r="BA109" i="27" s="1"/>
  <c r="BD109" i="27" a="1"/>
  <c r="BD109" i="27" s="1"/>
  <c r="BC109" i="27" a="1"/>
  <c r="BC109" i="27" s="1"/>
  <c r="BB108" i="27" a="1"/>
  <c r="BB108" i="27" s="1"/>
  <c r="BA108" i="27" a="1"/>
  <c r="BA108" i="27" s="1"/>
  <c r="BD108" i="27" a="1"/>
  <c r="BD108" i="27" s="1"/>
  <c r="BC108" i="27" a="1"/>
  <c r="BC108" i="27" s="1"/>
  <c r="BA135" i="27" a="1"/>
  <c r="BA135" i="27" s="1"/>
  <c r="BB135" i="27" a="1"/>
  <c r="BB135" i="27" s="1"/>
  <c r="BC135" i="27" a="1"/>
  <c r="BC135" i="27" s="1"/>
  <c r="BD135" i="27" a="1"/>
  <c r="BD135" i="27" s="1"/>
  <c r="BB85" i="27" a="1"/>
  <c r="BB85" i="27" s="1"/>
  <c r="BA85" i="27" a="1"/>
  <c r="BA85" i="27" s="1"/>
  <c r="BC85" i="27" a="1"/>
  <c r="BC85" i="27" s="1"/>
  <c r="BD85" i="27" a="1"/>
  <c r="BD85" i="27" s="1"/>
  <c r="AE4" i="93"/>
  <c r="S4" i="92"/>
  <c r="AC4" i="93"/>
  <c r="N5" i="94" a="1"/>
  <c r="N5" i="94" s="1"/>
  <c r="N6" i="94" a="1"/>
  <c r="N6" i="94" s="1"/>
  <c r="Q5" i="94" a="1"/>
  <c r="Q5" i="94" s="1"/>
  <c r="Q4" i="94" a="1"/>
  <c r="Q4" i="94" s="1"/>
  <c r="AD4" i="93" s="1"/>
  <c r="Q6" i="94" a="1"/>
  <c r="Q6" i="94" s="1"/>
  <c r="AM4" i="93"/>
  <c r="AM6" i="93"/>
  <c r="AM5" i="93"/>
  <c r="AM7" i="93"/>
  <c r="AH5" i="93"/>
  <c r="AH7" i="93"/>
  <c r="AH4" i="93"/>
  <c r="AH6" i="93"/>
  <c r="AI5" i="93"/>
  <c r="AJ5" i="93" s="1" a="1"/>
  <c r="AJ5" i="93" s="1"/>
  <c r="AI7" i="93"/>
  <c r="AK7" i="93" s="1" a="1"/>
  <c r="AK7" i="93" s="1"/>
  <c r="AL7" i="93" s="1" a="1"/>
  <c r="AL7" i="93" s="1"/>
  <c r="AI4" i="93"/>
  <c r="AK4" i="93" s="1" a="1"/>
  <c r="AK4" i="93" s="1"/>
  <c r="AL4" i="93" s="1" a="1"/>
  <c r="AL4" i="93" s="1"/>
  <c r="AI6" i="93"/>
  <c r="AJ6" i="93" s="1" a="1"/>
  <c r="AJ6" i="93" s="1"/>
  <c r="Z5" i="27"/>
  <c r="Z7" i="27"/>
  <c r="Z4" i="27"/>
  <c r="Z6" i="27"/>
  <c r="AA5" i="27"/>
  <c r="AA7" i="27"/>
  <c r="AA4" i="27"/>
  <c r="AA6" i="27"/>
  <c r="W5" i="27"/>
  <c r="W7" i="27"/>
  <c r="W4" i="27"/>
  <c r="W6" i="27"/>
  <c r="X5" i="27"/>
  <c r="X7" i="27"/>
  <c r="X4" i="27"/>
  <c r="X6" i="27"/>
  <c r="Y5" i="27"/>
  <c r="Y7" i="27"/>
  <c r="Y4" i="27"/>
  <c r="Y6" i="27"/>
  <c r="AB5" i="27"/>
  <c r="AB7" i="27"/>
  <c r="AB4" i="27"/>
  <c r="AB6" i="27"/>
  <c r="AC5" i="27"/>
  <c r="AC7" i="27"/>
  <c r="AC4" i="27"/>
  <c r="AC6" i="27"/>
  <c r="AD5" i="27"/>
  <c r="AD7" i="27"/>
  <c r="AD4" i="27"/>
  <c r="AD6" i="27"/>
  <c r="AE5" i="27"/>
  <c r="AE7" i="27"/>
  <c r="AE4" i="27"/>
  <c r="AE6" i="27"/>
  <c r="AF5" i="27"/>
  <c r="AF7" i="27"/>
  <c r="AF4" i="27"/>
  <c r="AF6" i="27"/>
  <c r="AG5" i="27"/>
  <c r="AG7" i="27"/>
  <c r="AG4" i="27"/>
  <c r="AG6" i="27"/>
  <c r="AH5" i="27"/>
  <c r="AH7" i="27"/>
  <c r="AH4" i="27"/>
  <c r="AH6" i="27"/>
  <c r="AI5" i="27"/>
  <c r="AI7" i="27"/>
  <c r="AI4" i="27"/>
  <c r="AI6" i="27"/>
  <c r="AL4" i="27"/>
  <c r="Y13" i="112"/>
  <c r="Z13" i="112"/>
  <c r="AA13" i="112"/>
  <c r="Y14" i="112"/>
  <c r="Z14" i="112"/>
  <c r="AA14" i="112"/>
  <c r="Y15" i="112"/>
  <c r="Z15" i="112"/>
  <c r="AA15" i="112"/>
  <c r="K13" i="112"/>
  <c r="L13" i="112"/>
  <c r="M13" i="112"/>
  <c r="K14" i="112"/>
  <c r="L14" i="112"/>
  <c r="M14" i="112"/>
  <c r="K15" i="112"/>
  <c r="L15" i="112"/>
  <c r="M15" i="112"/>
  <c r="C4" i="112" a="1"/>
  <c r="C4" i="112" s="1"/>
  <c r="C14" i="112" s="1"/>
  <c r="P5" i="112" a="1"/>
  <c r="B5" i="112" a="1"/>
  <c r="K10" i="112" s="1"/>
  <c r="Q4" i="112" a="1"/>
  <c r="T13" i="112" s="1"/>
  <c r="J12" i="110" a="1"/>
  <c r="J12" i="110" s="1"/>
  <c r="J13" i="110" a="1"/>
  <c r="J13" i="110" s="1"/>
  <c r="K13" i="110" a="1"/>
  <c r="K13" i="110" s="1"/>
  <c r="J14" i="110" a="1"/>
  <c r="J14" i="110" s="1"/>
  <c r="K14" i="110" a="1"/>
  <c r="K14" i="110" s="1"/>
  <c r="L14" i="110" a="1"/>
  <c r="L14" i="110" s="1"/>
  <c r="A4" i="110" a="1"/>
  <c r="W12" i="110" a="1"/>
  <c r="W12" i="110" s="1"/>
  <c r="W13" i="110" a="1"/>
  <c r="W13" i="110" s="1"/>
  <c r="X13" i="110" a="1"/>
  <c r="X13" i="110" s="1"/>
  <c r="W14" i="110" a="1"/>
  <c r="W14" i="110" s="1"/>
  <c r="X14" i="110" a="1"/>
  <c r="X14" i="110" s="1"/>
  <c r="Y14" i="110" a="1"/>
  <c r="Y14" i="110" s="1"/>
  <c r="N4" i="110" a="1"/>
  <c r="O3" i="110" a="1"/>
  <c r="R12" i="110" s="1" a="1"/>
  <c r="R12" i="110" s="1"/>
  <c r="B3" i="110" a="1"/>
  <c r="C12" i="110" s="1" a="1"/>
  <c r="C12" i="110" s="1"/>
  <c r="N4" i="108" a="1"/>
  <c r="O3" i="108" a="1"/>
  <c r="T12" i="108" s="1"/>
  <c r="Y14" i="108"/>
  <c r="X14" i="108"/>
  <c r="W14" i="108"/>
  <c r="X13" i="108"/>
  <c r="W13" i="108"/>
  <c r="W12" i="108"/>
  <c r="AC27" i="105"/>
  <c r="L27" i="105"/>
  <c r="K27" i="105"/>
  <c r="U26" i="105" a="1"/>
  <c r="U26" i="105" s="1"/>
  <c r="C26" i="105" a="1"/>
  <c r="C26" i="105" s="1"/>
  <c r="A5" i="105"/>
  <c r="A7" i="105" s="1"/>
  <c r="W3" i="105" a="1"/>
  <c r="AC5" i="105" s="1" a="1"/>
  <c r="AC5" i="105" s="1"/>
  <c r="B2" i="105" a="1"/>
  <c r="D3" i="105" s="1"/>
  <c r="I77" i="100" a="1"/>
  <c r="I77" i="100" s="1"/>
  <c r="F77" i="100" a="1"/>
  <c r="F77" i="100" s="1"/>
  <c r="E77" i="100" a="1"/>
  <c r="E77" i="100" s="1"/>
  <c r="B77" i="100" a="1"/>
  <c r="B77" i="100" s="1"/>
  <c r="I76" i="100" a="1"/>
  <c r="I76" i="100" s="1"/>
  <c r="F76" i="100" a="1"/>
  <c r="F76" i="100" s="1"/>
  <c r="E76" i="100" a="1"/>
  <c r="E76" i="100" s="1"/>
  <c r="B76" i="100" a="1"/>
  <c r="B76" i="100" s="1"/>
  <c r="I75" i="100" a="1"/>
  <c r="I75" i="100" s="1"/>
  <c r="F75" i="100" a="1"/>
  <c r="F75" i="100" s="1"/>
  <c r="E75" i="100" a="1"/>
  <c r="E75" i="100" s="1"/>
  <c r="B75" i="100" a="1"/>
  <c r="B75" i="100" s="1"/>
  <c r="I74" i="100" a="1"/>
  <c r="I74" i="100" s="1"/>
  <c r="F74" i="100" a="1"/>
  <c r="F74" i="100" s="1"/>
  <c r="E74" i="100" a="1"/>
  <c r="E74" i="100" s="1"/>
  <c r="B74" i="100" a="1"/>
  <c r="B74" i="100" s="1"/>
  <c r="I73" i="100" a="1"/>
  <c r="I73" i="100" s="1"/>
  <c r="F73" i="100" a="1"/>
  <c r="F73" i="100" s="1"/>
  <c r="E73" i="100" a="1"/>
  <c r="E73" i="100" s="1"/>
  <c r="B73" i="100" a="1"/>
  <c r="B73" i="100" s="1"/>
  <c r="I72" i="100" a="1"/>
  <c r="I72" i="100" s="1"/>
  <c r="F72" i="100" a="1"/>
  <c r="F72" i="100" s="1"/>
  <c r="E72" i="100" a="1"/>
  <c r="E72" i="100" s="1"/>
  <c r="B72" i="100" a="1"/>
  <c r="B72" i="100" s="1"/>
  <c r="I71" i="100" a="1"/>
  <c r="I71" i="100" s="1"/>
  <c r="F71" i="100" a="1"/>
  <c r="F71" i="100" s="1"/>
  <c r="E71" i="100" a="1"/>
  <c r="E71" i="100" s="1"/>
  <c r="B71" i="100" a="1"/>
  <c r="B71" i="100" s="1"/>
  <c r="I70" i="100" a="1"/>
  <c r="I70" i="100" s="1"/>
  <c r="F70" i="100" a="1"/>
  <c r="F70" i="100" s="1"/>
  <c r="E70" i="100" a="1"/>
  <c r="E70" i="100" s="1"/>
  <c r="B70" i="100" a="1"/>
  <c r="B70" i="100" s="1"/>
  <c r="I69" i="100" a="1"/>
  <c r="I69" i="100" s="1"/>
  <c r="F69" i="100" a="1"/>
  <c r="F69" i="100" s="1"/>
  <c r="E69" i="100" a="1"/>
  <c r="E69" i="100" s="1"/>
  <c r="B69" i="100" a="1"/>
  <c r="B69" i="100" s="1"/>
  <c r="I68" i="100" a="1"/>
  <c r="I68" i="100" s="1"/>
  <c r="F68" i="100" a="1"/>
  <c r="F68" i="100" s="1"/>
  <c r="E68" i="100" a="1"/>
  <c r="E68" i="100" s="1"/>
  <c r="B68" i="100" a="1"/>
  <c r="B68" i="100" s="1"/>
  <c r="I67" i="100" a="1"/>
  <c r="I67" i="100" s="1"/>
  <c r="F67" i="100" a="1"/>
  <c r="F67" i="100" s="1"/>
  <c r="E67" i="100" a="1"/>
  <c r="E67" i="100" s="1"/>
  <c r="B67" i="100" a="1"/>
  <c r="B67" i="100" s="1"/>
  <c r="I66" i="100" a="1"/>
  <c r="I66" i="100" s="1"/>
  <c r="F66" i="100" a="1"/>
  <c r="F66" i="100" s="1"/>
  <c r="E66" i="100" a="1"/>
  <c r="E66" i="100" s="1"/>
  <c r="B66" i="100" a="1"/>
  <c r="B66" i="100" s="1"/>
  <c r="I65" i="100" a="1"/>
  <c r="I65" i="100" s="1"/>
  <c r="F65" i="100" a="1"/>
  <c r="F65" i="100" s="1"/>
  <c r="E65" i="100" a="1"/>
  <c r="E65" i="100" s="1"/>
  <c r="B65" i="100" a="1"/>
  <c r="B65" i="100" s="1"/>
  <c r="I64" i="100" a="1"/>
  <c r="I64" i="100" s="1"/>
  <c r="F64" i="100" a="1"/>
  <c r="F64" i="100" s="1"/>
  <c r="E64" i="100" a="1"/>
  <c r="E64" i="100" s="1"/>
  <c r="B64" i="100" a="1"/>
  <c r="B64" i="100" s="1"/>
  <c r="I63" i="100" a="1"/>
  <c r="I63" i="100" s="1"/>
  <c r="F63" i="100" a="1"/>
  <c r="F63" i="100" s="1"/>
  <c r="E63" i="100" a="1"/>
  <c r="E63" i="100" s="1"/>
  <c r="B63" i="100" a="1"/>
  <c r="B63" i="100" s="1"/>
  <c r="I62" i="100" a="1"/>
  <c r="I62" i="100" s="1"/>
  <c r="F62" i="100" a="1"/>
  <c r="F62" i="100" s="1"/>
  <c r="E62" i="100" a="1"/>
  <c r="E62" i="100" s="1"/>
  <c r="B62" i="100" a="1"/>
  <c r="B62" i="100" s="1"/>
  <c r="I61" i="100" a="1"/>
  <c r="I61" i="100" s="1"/>
  <c r="F61" i="100" a="1"/>
  <c r="F61" i="100" s="1"/>
  <c r="E61" i="100" a="1"/>
  <c r="E61" i="100" s="1"/>
  <c r="B61" i="100" a="1"/>
  <c r="B61" i="100" s="1"/>
  <c r="I60" i="100" a="1"/>
  <c r="I60" i="100" s="1"/>
  <c r="F60" i="100" a="1"/>
  <c r="F60" i="100" s="1"/>
  <c r="E60" i="100" a="1"/>
  <c r="E60" i="100" s="1"/>
  <c r="B60" i="100" a="1"/>
  <c r="B60" i="100" s="1"/>
  <c r="I59" i="100" a="1"/>
  <c r="I59" i="100" s="1"/>
  <c r="F59" i="100" a="1"/>
  <c r="F59" i="100" s="1"/>
  <c r="E59" i="100" a="1"/>
  <c r="E59" i="100" s="1"/>
  <c r="B59" i="100" a="1"/>
  <c r="B59" i="100" s="1"/>
  <c r="I58" i="100" a="1"/>
  <c r="I58" i="100" s="1"/>
  <c r="F58" i="100" a="1"/>
  <c r="F58" i="100" s="1"/>
  <c r="E58" i="100" a="1"/>
  <c r="E58" i="100" s="1"/>
  <c r="B58" i="100" a="1"/>
  <c r="B58" i="100" s="1"/>
  <c r="I57" i="100" a="1"/>
  <c r="I57" i="100" s="1"/>
  <c r="F57" i="100" a="1"/>
  <c r="F57" i="100" s="1"/>
  <c r="E57" i="100" a="1"/>
  <c r="E57" i="100" s="1"/>
  <c r="B57" i="100" a="1"/>
  <c r="B57" i="100" s="1"/>
  <c r="I56" i="100" a="1"/>
  <c r="I56" i="100" s="1"/>
  <c r="F56" i="100" a="1"/>
  <c r="F56" i="100" s="1"/>
  <c r="E56" i="100" a="1"/>
  <c r="E56" i="100" s="1"/>
  <c r="B56" i="100" a="1"/>
  <c r="B56" i="100" s="1"/>
  <c r="I55" i="100" a="1"/>
  <c r="I55" i="100" s="1"/>
  <c r="F55" i="100" a="1"/>
  <c r="F55" i="100" s="1"/>
  <c r="E55" i="100" a="1"/>
  <c r="E55" i="100" s="1"/>
  <c r="B55" i="100" a="1"/>
  <c r="B55" i="100" s="1"/>
  <c r="I54" i="100" a="1"/>
  <c r="I54" i="100" s="1"/>
  <c r="F54" i="100" a="1"/>
  <c r="F54" i="100" s="1"/>
  <c r="E54" i="100" a="1"/>
  <c r="E54" i="100" s="1"/>
  <c r="B54" i="100" a="1"/>
  <c r="B54" i="100" s="1"/>
  <c r="I53" i="100" a="1"/>
  <c r="I53" i="100" s="1"/>
  <c r="F53" i="100" a="1"/>
  <c r="F53" i="100" s="1"/>
  <c r="E53" i="100" a="1"/>
  <c r="E53" i="100" s="1"/>
  <c r="B53" i="100" a="1"/>
  <c r="B53" i="100" s="1"/>
  <c r="I52" i="100" a="1"/>
  <c r="I52" i="100" s="1"/>
  <c r="F52" i="100" a="1"/>
  <c r="F52" i="100" s="1"/>
  <c r="E52" i="100" a="1"/>
  <c r="E52" i="100" s="1"/>
  <c r="B52" i="100" a="1"/>
  <c r="B52" i="100" s="1"/>
  <c r="I51" i="100" a="1"/>
  <c r="I51" i="100" s="1"/>
  <c r="F51" i="100" a="1"/>
  <c r="F51" i="100" s="1"/>
  <c r="E51" i="100" a="1"/>
  <c r="E51" i="100" s="1"/>
  <c r="B51" i="100" a="1"/>
  <c r="B51" i="100" s="1"/>
  <c r="I50" i="100" a="1"/>
  <c r="I50" i="100" s="1"/>
  <c r="F50" i="100" a="1"/>
  <c r="F50" i="100" s="1"/>
  <c r="E50" i="100" a="1"/>
  <c r="E50" i="100" s="1"/>
  <c r="B50" i="100" a="1"/>
  <c r="B50" i="100" s="1"/>
  <c r="I49" i="100" a="1"/>
  <c r="I49" i="100" s="1"/>
  <c r="F49" i="100" a="1"/>
  <c r="F49" i="100" s="1"/>
  <c r="E49" i="100" a="1"/>
  <c r="E49" i="100" s="1"/>
  <c r="B49" i="100" a="1"/>
  <c r="B49" i="100" s="1"/>
  <c r="I48" i="100" a="1"/>
  <c r="I48" i="100" s="1"/>
  <c r="F48" i="100" a="1"/>
  <c r="F48" i="100" s="1"/>
  <c r="E48" i="100" a="1"/>
  <c r="E48" i="100" s="1"/>
  <c r="B48" i="100" a="1"/>
  <c r="B48" i="100" s="1"/>
  <c r="I47" i="100" a="1"/>
  <c r="I47" i="100" s="1"/>
  <c r="F47" i="100" a="1"/>
  <c r="F47" i="100" s="1"/>
  <c r="E47" i="100" a="1"/>
  <c r="E47" i="100" s="1"/>
  <c r="B47" i="100" a="1"/>
  <c r="B47" i="100" s="1"/>
  <c r="I46" i="100" a="1"/>
  <c r="I46" i="100" s="1"/>
  <c r="F46" i="100" a="1"/>
  <c r="F46" i="100" s="1"/>
  <c r="E46" i="100" a="1"/>
  <c r="E46" i="100" s="1"/>
  <c r="B46" i="100" a="1"/>
  <c r="B46" i="100" s="1"/>
  <c r="I45" i="100" a="1"/>
  <c r="I45" i="100" s="1"/>
  <c r="F45" i="100" a="1"/>
  <c r="F45" i="100" s="1"/>
  <c r="E45" i="100" a="1"/>
  <c r="E45" i="100" s="1"/>
  <c r="B45" i="100" a="1"/>
  <c r="B45" i="100" s="1"/>
  <c r="I44" i="100" a="1"/>
  <c r="I44" i="100" s="1"/>
  <c r="F44" i="100" a="1"/>
  <c r="F44" i="100" s="1"/>
  <c r="E44" i="100" a="1"/>
  <c r="E44" i="100" s="1"/>
  <c r="B44" i="100" a="1"/>
  <c r="B44" i="100" s="1"/>
  <c r="I43" i="100" a="1"/>
  <c r="I43" i="100" s="1"/>
  <c r="F43" i="100" a="1"/>
  <c r="F43" i="100" s="1"/>
  <c r="E43" i="100" a="1"/>
  <c r="E43" i="100" s="1"/>
  <c r="B43" i="100" a="1"/>
  <c r="B43" i="100" s="1"/>
  <c r="I42" i="100" a="1"/>
  <c r="I42" i="100" s="1"/>
  <c r="F42" i="100" a="1"/>
  <c r="F42" i="100" s="1"/>
  <c r="E42" i="100" a="1"/>
  <c r="E42" i="100" s="1"/>
  <c r="B42" i="100" a="1"/>
  <c r="B42" i="100" s="1"/>
  <c r="I41" i="100" a="1"/>
  <c r="I41" i="100" s="1"/>
  <c r="F41" i="100" a="1"/>
  <c r="F41" i="100" s="1"/>
  <c r="E41" i="100" a="1"/>
  <c r="E41" i="100" s="1"/>
  <c r="B41" i="100" a="1"/>
  <c r="B41" i="100" s="1"/>
  <c r="I40" i="100" a="1"/>
  <c r="I40" i="100" s="1"/>
  <c r="F40" i="100" a="1"/>
  <c r="F40" i="100" s="1"/>
  <c r="E40" i="100" a="1"/>
  <c r="E40" i="100" s="1"/>
  <c r="B40" i="100" a="1"/>
  <c r="B40" i="100" s="1"/>
  <c r="I39" i="100" a="1"/>
  <c r="I39" i="100" s="1"/>
  <c r="F39" i="100" a="1"/>
  <c r="F39" i="100" s="1"/>
  <c r="E39" i="100" a="1"/>
  <c r="E39" i="100" s="1"/>
  <c r="B39" i="100" a="1"/>
  <c r="B39" i="100" s="1"/>
  <c r="I38" i="100" a="1"/>
  <c r="I38" i="100" s="1"/>
  <c r="F38" i="100" a="1"/>
  <c r="F38" i="100" s="1"/>
  <c r="E38" i="100" a="1"/>
  <c r="E38" i="100" s="1"/>
  <c r="B38" i="100" a="1"/>
  <c r="B38" i="100" s="1"/>
  <c r="I37" i="100" a="1"/>
  <c r="I37" i="100" s="1"/>
  <c r="F37" i="100" a="1"/>
  <c r="F37" i="100" s="1"/>
  <c r="E37" i="100" a="1"/>
  <c r="E37" i="100" s="1"/>
  <c r="B37" i="100" a="1"/>
  <c r="B37" i="100" s="1"/>
  <c r="I36" i="100" a="1"/>
  <c r="I36" i="100" s="1"/>
  <c r="F36" i="100" a="1"/>
  <c r="F36" i="100" s="1"/>
  <c r="E36" i="100" a="1"/>
  <c r="E36" i="100" s="1"/>
  <c r="B36" i="100" a="1"/>
  <c r="B36" i="100" s="1"/>
  <c r="I35" i="100" a="1"/>
  <c r="I35" i="100" s="1"/>
  <c r="F35" i="100" a="1"/>
  <c r="F35" i="100" s="1"/>
  <c r="E35" i="100" a="1"/>
  <c r="E35" i="100" s="1"/>
  <c r="B35" i="100" a="1"/>
  <c r="B35" i="100" s="1"/>
  <c r="AB34" i="100" a="1"/>
  <c r="AB34" i="100" s="1"/>
  <c r="Q34" i="100"/>
  <c r="I34" i="100" a="1"/>
  <c r="I34" i="100" s="1"/>
  <c r="F34" i="100" a="1"/>
  <c r="F34" i="100" s="1"/>
  <c r="E34" i="100" a="1"/>
  <c r="E34" i="100" s="1"/>
  <c r="B34" i="100" a="1"/>
  <c r="B34" i="100" s="1"/>
  <c r="AB33" i="100" a="1"/>
  <c r="AB33" i="100" s="1"/>
  <c r="Q33" i="100"/>
  <c r="I33" i="100" a="1"/>
  <c r="I33" i="100" s="1"/>
  <c r="F33" i="100" a="1"/>
  <c r="F33" i="100" s="1"/>
  <c r="E33" i="100" a="1"/>
  <c r="E33" i="100" s="1"/>
  <c r="B33" i="100" a="1"/>
  <c r="B33" i="100" s="1"/>
  <c r="I32" i="100" a="1"/>
  <c r="I32" i="100" s="1"/>
  <c r="F32" i="100" a="1"/>
  <c r="F32" i="100" s="1"/>
  <c r="E32" i="100" a="1"/>
  <c r="E32" i="100" s="1"/>
  <c r="B32" i="100" a="1"/>
  <c r="B32" i="100" s="1"/>
  <c r="I31" i="100" a="1"/>
  <c r="I31" i="100" s="1"/>
  <c r="F31" i="100" a="1"/>
  <c r="F31" i="100" s="1"/>
  <c r="E31" i="100" a="1"/>
  <c r="E31" i="100" s="1"/>
  <c r="B31" i="100" a="1"/>
  <c r="B31" i="100" s="1"/>
  <c r="I30" i="100" a="1"/>
  <c r="I30" i="100" s="1"/>
  <c r="F30" i="100" a="1"/>
  <c r="F30" i="100" s="1"/>
  <c r="E30" i="100" a="1"/>
  <c r="E30" i="100" s="1"/>
  <c r="B30" i="100" a="1"/>
  <c r="B30" i="100" s="1"/>
  <c r="I29" i="100" a="1"/>
  <c r="I29" i="100" s="1"/>
  <c r="F29" i="100" a="1"/>
  <c r="F29" i="100" s="1"/>
  <c r="E29" i="100" a="1"/>
  <c r="E29" i="100" s="1"/>
  <c r="B29" i="100" a="1"/>
  <c r="B29" i="100" s="1"/>
  <c r="I28" i="100" a="1"/>
  <c r="I28" i="100" s="1"/>
  <c r="F28" i="100" a="1"/>
  <c r="F28" i="100" s="1"/>
  <c r="E28" i="100" a="1"/>
  <c r="E28" i="100" s="1"/>
  <c r="B28" i="100" a="1"/>
  <c r="B28" i="100" s="1"/>
  <c r="I27" i="100" a="1"/>
  <c r="I27" i="100" s="1"/>
  <c r="F27" i="100" a="1"/>
  <c r="F27" i="100" s="1"/>
  <c r="E27" i="100" a="1"/>
  <c r="E27" i="100" s="1"/>
  <c r="B27" i="100" a="1"/>
  <c r="B27" i="100" s="1"/>
  <c r="F26" i="100" a="1"/>
  <c r="F26" i="100" s="1"/>
  <c r="E26" i="100" a="1"/>
  <c r="E26" i="100" s="1"/>
  <c r="B26" i="100" a="1"/>
  <c r="B26" i="100" s="1"/>
  <c r="F25" i="100" a="1"/>
  <c r="F25" i="100" s="1"/>
  <c r="E25" i="100" a="1"/>
  <c r="E25" i="100" s="1"/>
  <c r="B25" i="100" a="1"/>
  <c r="B25" i="100" s="1"/>
  <c r="F24" i="100" a="1"/>
  <c r="F24" i="100" s="1"/>
  <c r="E24" i="100" a="1"/>
  <c r="E24" i="100" s="1"/>
  <c r="B24" i="100" a="1"/>
  <c r="B24" i="100" s="1"/>
  <c r="F23" i="100" a="1"/>
  <c r="F23" i="100" s="1"/>
  <c r="E23" i="100" a="1"/>
  <c r="E23" i="100" s="1"/>
  <c r="B23" i="100" a="1"/>
  <c r="B23" i="100" s="1"/>
  <c r="F22" i="100" a="1"/>
  <c r="F22" i="100" s="1"/>
  <c r="E22" i="100" a="1"/>
  <c r="E22" i="100" s="1"/>
  <c r="B22" i="100" a="1"/>
  <c r="B22" i="100" s="1"/>
  <c r="F21" i="100" a="1"/>
  <c r="F21" i="100" s="1"/>
  <c r="E21" i="100" a="1"/>
  <c r="E21" i="100" s="1"/>
  <c r="B21" i="100" a="1"/>
  <c r="B21" i="100" s="1"/>
  <c r="F20" i="100" a="1"/>
  <c r="F20" i="100" s="1"/>
  <c r="E20" i="100" a="1"/>
  <c r="E20" i="100" s="1"/>
  <c r="B20" i="100" a="1"/>
  <c r="B20" i="100" s="1"/>
  <c r="F19" i="100" a="1"/>
  <c r="F19" i="100" s="1"/>
  <c r="E19" i="100" a="1"/>
  <c r="E19" i="100" s="1"/>
  <c r="B19" i="100" a="1"/>
  <c r="B19" i="100" s="1"/>
  <c r="F18" i="100" a="1"/>
  <c r="F18" i="100" s="1"/>
  <c r="E18" i="100" a="1"/>
  <c r="E18" i="100" s="1"/>
  <c r="B18" i="100" a="1"/>
  <c r="B18" i="100" s="1"/>
  <c r="I5" i="100" a="1"/>
  <c r="I5" i="100" s="1"/>
  <c r="B5" i="100" a="1"/>
  <c r="B5" i="100" s="1"/>
  <c r="L14" i="108"/>
  <c r="K14" i="108"/>
  <c r="J14" i="108"/>
  <c r="K13" i="108"/>
  <c r="J13" i="108"/>
  <c r="J12" i="108"/>
  <c r="A4" i="108" a="1"/>
  <c r="B3" i="108" a="1"/>
  <c r="I12" i="108" s="1"/>
  <c r="BG1" i="27"/>
  <c r="AG88" i="113" l="1"/>
  <c r="AR88" i="113"/>
  <c r="AG15" i="113"/>
  <c r="AR15" i="113"/>
  <c r="AG8" i="113"/>
  <c r="AR8" i="113"/>
  <c r="AG74" i="113"/>
  <c r="AR74" i="113"/>
  <c r="AG86" i="113"/>
  <c r="AR86" i="113"/>
  <c r="AG69" i="113"/>
  <c r="AR69" i="113"/>
  <c r="AG11" i="113"/>
  <c r="AR11" i="113"/>
  <c r="AG76" i="113"/>
  <c r="AR76" i="113"/>
  <c r="AG10" i="113"/>
  <c r="AR10" i="113"/>
  <c r="AH98" i="113"/>
  <c r="AR98" i="113" s="1"/>
  <c r="X98" i="113"/>
  <c r="AA98" i="113"/>
  <c r="AH127" i="113"/>
  <c r="AR127" i="113" s="1"/>
  <c r="AA127" i="113"/>
  <c r="X127" i="113"/>
  <c r="AH81" i="113"/>
  <c r="X81" i="113"/>
  <c r="AA81" i="113"/>
  <c r="AH135" i="113"/>
  <c r="X135" i="113"/>
  <c r="AA135" i="113"/>
  <c r="AH33" i="113"/>
  <c r="AA33" i="113"/>
  <c r="X33" i="113"/>
  <c r="AH92" i="113"/>
  <c r="X92" i="113"/>
  <c r="AA92" i="113"/>
  <c r="AH24" i="113"/>
  <c r="X24" i="113"/>
  <c r="AA24" i="113"/>
  <c r="AH14" i="113"/>
  <c r="X14" i="113"/>
  <c r="AA14" i="113"/>
  <c r="AH120" i="113"/>
  <c r="X120" i="113"/>
  <c r="AA120" i="113"/>
  <c r="AH64" i="113"/>
  <c r="AA64" i="113"/>
  <c r="X64" i="113"/>
  <c r="AH39" i="113"/>
  <c r="X39" i="113"/>
  <c r="AA39" i="113"/>
  <c r="AH119" i="113"/>
  <c r="AA119" i="113"/>
  <c r="X119" i="113"/>
  <c r="AH16" i="113"/>
  <c r="AA16" i="113"/>
  <c r="X16" i="113"/>
  <c r="AH61" i="113"/>
  <c r="X61" i="113"/>
  <c r="AA61" i="113"/>
  <c r="AH132" i="113"/>
  <c r="X132" i="113"/>
  <c r="AA132" i="113"/>
  <c r="AH139" i="113"/>
  <c r="X139" i="113"/>
  <c r="AA139" i="113"/>
  <c r="AH113" i="113"/>
  <c r="AA113" i="113"/>
  <c r="X113" i="113"/>
  <c r="AH103" i="113"/>
  <c r="AA103" i="113"/>
  <c r="X103" i="113"/>
  <c r="AH101" i="113"/>
  <c r="X101" i="113"/>
  <c r="AA101" i="113"/>
  <c r="AH95" i="113"/>
  <c r="AA95" i="113"/>
  <c r="X95" i="113"/>
  <c r="AH58" i="113"/>
  <c r="X58" i="113"/>
  <c r="AA58" i="113"/>
  <c r="AH72" i="113"/>
  <c r="X72" i="113"/>
  <c r="AA72" i="113"/>
  <c r="AH138" i="113"/>
  <c r="X138" i="113"/>
  <c r="AA138" i="113"/>
  <c r="AH122" i="113"/>
  <c r="X122" i="113"/>
  <c r="AA122" i="113"/>
  <c r="AH26" i="113"/>
  <c r="AR26" i="113" s="1"/>
  <c r="AA26" i="113"/>
  <c r="X26" i="113"/>
  <c r="AH27" i="113"/>
  <c r="AA27" i="113"/>
  <c r="X27" i="113"/>
  <c r="AH13" i="113"/>
  <c r="X13" i="113"/>
  <c r="AA13" i="113"/>
  <c r="AH134" i="113"/>
  <c r="X134" i="113"/>
  <c r="AA134" i="113"/>
  <c r="AH78" i="113"/>
  <c r="X78" i="113"/>
  <c r="AA78" i="113"/>
  <c r="AH133" i="113"/>
  <c r="X133" i="113"/>
  <c r="AA133" i="113"/>
  <c r="AH67" i="113"/>
  <c r="X67" i="113"/>
  <c r="AA67" i="113"/>
  <c r="AH25" i="113"/>
  <c r="X25" i="113"/>
  <c r="AA25" i="113"/>
  <c r="AH143" i="113"/>
  <c r="AR143" i="113" s="1"/>
  <c r="X143" i="113"/>
  <c r="AA143" i="113"/>
  <c r="AH50" i="113"/>
  <c r="AA50" i="113"/>
  <c r="X50" i="113"/>
  <c r="AH136" i="113"/>
  <c r="AA136" i="113"/>
  <c r="X136" i="113"/>
  <c r="AH128" i="113"/>
  <c r="X128" i="113"/>
  <c r="AA128" i="113"/>
  <c r="AH22" i="113"/>
  <c r="AA22" i="113"/>
  <c r="X22" i="113"/>
  <c r="AH42" i="113"/>
  <c r="X42" i="113"/>
  <c r="AA42" i="113"/>
  <c r="AH45" i="113"/>
  <c r="X45" i="113"/>
  <c r="AA45" i="113"/>
  <c r="AH79" i="113"/>
  <c r="AA79" i="113"/>
  <c r="X79" i="113"/>
  <c r="AH47" i="113"/>
  <c r="X47" i="113"/>
  <c r="AA47" i="113"/>
  <c r="AH59" i="113"/>
  <c r="AA59" i="113"/>
  <c r="X59" i="113"/>
  <c r="AH84" i="113"/>
  <c r="X84" i="113"/>
  <c r="AA84" i="113"/>
  <c r="AH140" i="113"/>
  <c r="AA140" i="113"/>
  <c r="X140" i="113"/>
  <c r="AH23" i="113"/>
  <c r="X23" i="113"/>
  <c r="AA23" i="113"/>
  <c r="AH29" i="113"/>
  <c r="X29" i="113"/>
  <c r="AA29" i="113"/>
  <c r="AH87" i="113"/>
  <c r="X87" i="113"/>
  <c r="AA87" i="113"/>
  <c r="AH57" i="113"/>
  <c r="X57" i="113"/>
  <c r="AA57" i="113"/>
  <c r="AH44" i="113"/>
  <c r="AA44" i="113"/>
  <c r="X44" i="113"/>
  <c r="AH117" i="113"/>
  <c r="AA117" i="113"/>
  <c r="X117" i="113"/>
  <c r="AH80" i="113"/>
  <c r="X80" i="113"/>
  <c r="AA80" i="113"/>
  <c r="AH51" i="113"/>
  <c r="AA51" i="113"/>
  <c r="X51" i="113"/>
  <c r="AH83" i="113"/>
  <c r="X83" i="113"/>
  <c r="AA83" i="113"/>
  <c r="AH28" i="113"/>
  <c r="AA28" i="113"/>
  <c r="X28" i="113"/>
  <c r="AH56" i="113"/>
  <c r="AA56" i="113"/>
  <c r="X56" i="113"/>
  <c r="AH99" i="113"/>
  <c r="AA99" i="113"/>
  <c r="X99" i="113"/>
  <c r="AH94" i="113"/>
  <c r="X94" i="113"/>
  <c r="AA94" i="113"/>
  <c r="AH108" i="113"/>
  <c r="X108" i="113"/>
  <c r="AA108" i="113"/>
  <c r="AH36" i="113"/>
  <c r="X36" i="113"/>
  <c r="AA36" i="113"/>
  <c r="AH37" i="113"/>
  <c r="X37" i="113"/>
  <c r="AA37" i="113"/>
  <c r="AH118" i="113"/>
  <c r="X118" i="113"/>
  <c r="AA118" i="113"/>
  <c r="AH71" i="113"/>
  <c r="AA71" i="113"/>
  <c r="X71" i="113"/>
  <c r="AH60" i="113"/>
  <c r="X60" i="113"/>
  <c r="AA60" i="113"/>
  <c r="AH96" i="113"/>
  <c r="X96" i="113"/>
  <c r="AA96" i="113"/>
  <c r="AH130" i="113"/>
  <c r="X130" i="113"/>
  <c r="AA130" i="113"/>
  <c r="AH34" i="113"/>
  <c r="X34" i="113"/>
  <c r="AA34" i="113"/>
  <c r="AH35" i="113"/>
  <c r="AA35" i="113"/>
  <c r="X35" i="113"/>
  <c r="AH125" i="113"/>
  <c r="X125" i="113"/>
  <c r="AA125" i="113"/>
  <c r="AH82" i="113"/>
  <c r="X82" i="113"/>
  <c r="AA82" i="113"/>
  <c r="AH112" i="113"/>
  <c r="AA112" i="113"/>
  <c r="X112" i="113"/>
  <c r="AH123" i="113"/>
  <c r="AA123" i="113"/>
  <c r="X123" i="113"/>
  <c r="AH124" i="113"/>
  <c r="AA124" i="113"/>
  <c r="X124" i="113"/>
  <c r="AH53" i="113"/>
  <c r="X53" i="113"/>
  <c r="AA53" i="113"/>
  <c r="AH131" i="113"/>
  <c r="X131" i="113"/>
  <c r="AA131" i="113"/>
  <c r="AH137" i="113"/>
  <c r="AA137" i="113"/>
  <c r="X137" i="113"/>
  <c r="AH93" i="113"/>
  <c r="X93" i="113"/>
  <c r="AA93" i="113"/>
  <c r="AH46" i="113"/>
  <c r="AA46" i="113"/>
  <c r="X46" i="113"/>
  <c r="AH144" i="113"/>
  <c r="AC144" i="113"/>
  <c r="AA144" i="113"/>
  <c r="AH49" i="113"/>
  <c r="X49" i="113"/>
  <c r="AA49" i="113"/>
  <c r="AH142" i="113"/>
  <c r="AA142" i="113"/>
  <c r="X142" i="113"/>
  <c r="AH141" i="113"/>
  <c r="X141" i="113"/>
  <c r="AA141" i="113"/>
  <c r="AH115" i="113"/>
  <c r="AA115" i="113"/>
  <c r="X115" i="113"/>
  <c r="AH91" i="113"/>
  <c r="AA91" i="113"/>
  <c r="X91" i="113"/>
  <c r="AH107" i="113"/>
  <c r="AA107" i="113"/>
  <c r="X107" i="113"/>
  <c r="AH102" i="113"/>
  <c r="X102" i="113"/>
  <c r="AA102" i="113"/>
  <c r="AH104" i="113"/>
  <c r="X104" i="113"/>
  <c r="AA104" i="113"/>
  <c r="AH54" i="113"/>
  <c r="X54" i="113"/>
  <c r="AA54" i="113"/>
  <c r="AH31" i="113"/>
  <c r="AA31" i="113"/>
  <c r="X31" i="113"/>
  <c r="AH38" i="113"/>
  <c r="X38" i="113"/>
  <c r="AA38" i="113"/>
  <c r="AH30" i="113"/>
  <c r="X30" i="113"/>
  <c r="AA30" i="113"/>
  <c r="AH110" i="113"/>
  <c r="X110" i="113"/>
  <c r="AA110" i="113"/>
  <c r="AH70" i="113"/>
  <c r="AA70" i="113"/>
  <c r="X70" i="113"/>
  <c r="AH66" i="113"/>
  <c r="AA66" i="113"/>
  <c r="X66" i="113"/>
  <c r="AH12" i="113"/>
  <c r="X12" i="113"/>
  <c r="AA12" i="113"/>
  <c r="AH116" i="113"/>
  <c r="AA116" i="113"/>
  <c r="X116" i="113"/>
  <c r="AH65" i="113"/>
  <c r="AA65" i="113"/>
  <c r="X65" i="113"/>
  <c r="AH100" i="113"/>
  <c r="AA100" i="113"/>
  <c r="X100" i="113"/>
  <c r="AH48" i="113"/>
  <c r="X48" i="113"/>
  <c r="AA48" i="113"/>
  <c r="AH41" i="113"/>
  <c r="AA41" i="113"/>
  <c r="X41" i="113"/>
  <c r="AH20" i="113"/>
  <c r="X20" i="113"/>
  <c r="AA20" i="113"/>
  <c r="AH77" i="113"/>
  <c r="X77" i="113"/>
  <c r="AA77" i="113"/>
  <c r="AH121" i="113"/>
  <c r="X121" i="113"/>
  <c r="AA121" i="113"/>
  <c r="AH90" i="113"/>
  <c r="AA90" i="113"/>
  <c r="X90" i="113"/>
  <c r="AH18" i="113"/>
  <c r="X18" i="113"/>
  <c r="AA18" i="113"/>
  <c r="AH105" i="113"/>
  <c r="AR105" i="113" s="1"/>
  <c r="X105" i="113"/>
  <c r="AA105" i="113"/>
  <c r="AH55" i="113"/>
  <c r="AA55" i="113"/>
  <c r="X55" i="113"/>
  <c r="AH32" i="113"/>
  <c r="X32" i="113"/>
  <c r="AA32" i="113"/>
  <c r="AH40" i="113"/>
  <c r="AA40" i="113"/>
  <c r="X40" i="113"/>
  <c r="AH106" i="113"/>
  <c r="AA106" i="113"/>
  <c r="X106" i="113"/>
  <c r="AH62" i="113"/>
  <c r="AR62" i="113" s="1"/>
  <c r="X62" i="113"/>
  <c r="AA62" i="113"/>
  <c r="AH129" i="113"/>
  <c r="X129" i="113"/>
  <c r="AA129" i="113"/>
  <c r="AH97" i="113"/>
  <c r="X97" i="113"/>
  <c r="AA97" i="113"/>
  <c r="AH114" i="113"/>
  <c r="AA114" i="113"/>
  <c r="X114" i="113"/>
  <c r="AH111" i="113"/>
  <c r="X111" i="113"/>
  <c r="AA111" i="113"/>
  <c r="AB51" i="113"/>
  <c r="Z51" i="113"/>
  <c r="Y51" i="113"/>
  <c r="AB104" i="113"/>
  <c r="Z104" i="113"/>
  <c r="Y104" i="113"/>
  <c r="AB59" i="113"/>
  <c r="Y59" i="113"/>
  <c r="Z59" i="113"/>
  <c r="AB84" i="113"/>
  <c r="Z84" i="113"/>
  <c r="Y84" i="113"/>
  <c r="AB140" i="113"/>
  <c r="Y140" i="113"/>
  <c r="Z140" i="113"/>
  <c r="AB23" i="113"/>
  <c r="Z23" i="113"/>
  <c r="Y23" i="113"/>
  <c r="AB29" i="113"/>
  <c r="Z29" i="113"/>
  <c r="Y29" i="113"/>
  <c r="AB87" i="113"/>
  <c r="Y87" i="113"/>
  <c r="Z87" i="113"/>
  <c r="AB57" i="113"/>
  <c r="Z57" i="113"/>
  <c r="Y57" i="113"/>
  <c r="AB44" i="113"/>
  <c r="Y44" i="113"/>
  <c r="Z44" i="113"/>
  <c r="AB117" i="113"/>
  <c r="Y117" i="113"/>
  <c r="Z117" i="113"/>
  <c r="AB55" i="113"/>
  <c r="Z55" i="113"/>
  <c r="Y55" i="113"/>
  <c r="AB32" i="113"/>
  <c r="Z32" i="113"/>
  <c r="Y32" i="113"/>
  <c r="AB40" i="113"/>
  <c r="Y40" i="113"/>
  <c r="Z40" i="113"/>
  <c r="AB106" i="113"/>
  <c r="Z106" i="113"/>
  <c r="Y106" i="113"/>
  <c r="AB62" i="113"/>
  <c r="Y62" i="113"/>
  <c r="Z62" i="113"/>
  <c r="AB129" i="113"/>
  <c r="Z129" i="113"/>
  <c r="Y129" i="113"/>
  <c r="AB97" i="113"/>
  <c r="Y97" i="113"/>
  <c r="Z97" i="113"/>
  <c r="AB114" i="113"/>
  <c r="Y114" i="113"/>
  <c r="Z114" i="113"/>
  <c r="AB111" i="113"/>
  <c r="Y111" i="113"/>
  <c r="Z111" i="113"/>
  <c r="AB112" i="113"/>
  <c r="Y112" i="113"/>
  <c r="Z112" i="113"/>
  <c r="AB83" i="113"/>
  <c r="Y83" i="113"/>
  <c r="Z83" i="113"/>
  <c r="AB127" i="113"/>
  <c r="Z127" i="113"/>
  <c r="Y127" i="113"/>
  <c r="AB28" i="113"/>
  <c r="Y28" i="113"/>
  <c r="Z28" i="113"/>
  <c r="AB81" i="113"/>
  <c r="Z81" i="113"/>
  <c r="Y81" i="113"/>
  <c r="AB133" i="113"/>
  <c r="Y133" i="113"/>
  <c r="Z133" i="113"/>
  <c r="AB56" i="113"/>
  <c r="Z56" i="113"/>
  <c r="Y56" i="113"/>
  <c r="AB110" i="113"/>
  <c r="Y110" i="113"/>
  <c r="Z110" i="113"/>
  <c r="AB123" i="113"/>
  <c r="Y123" i="113"/>
  <c r="Z123" i="113"/>
  <c r="AB141" i="113"/>
  <c r="Y141" i="113"/>
  <c r="Z141" i="113"/>
  <c r="AB38" i="113"/>
  <c r="Y38" i="113"/>
  <c r="Z38" i="113"/>
  <c r="AB99" i="113"/>
  <c r="Z99" i="113"/>
  <c r="Y99" i="113"/>
  <c r="AB70" i="113"/>
  <c r="Z70" i="113"/>
  <c r="Y70" i="113"/>
  <c r="AB124" i="113"/>
  <c r="Y124" i="113"/>
  <c r="Z124" i="113"/>
  <c r="AB135" i="113"/>
  <c r="Y135" i="113"/>
  <c r="Z135" i="113"/>
  <c r="AB67" i="113"/>
  <c r="Y67" i="113"/>
  <c r="Z67" i="113"/>
  <c r="AB66" i="113"/>
  <c r="Y66" i="113"/>
  <c r="Z66" i="113"/>
  <c r="AB94" i="113"/>
  <c r="Z94" i="113"/>
  <c r="Y94" i="113"/>
  <c r="AB25" i="113"/>
  <c r="Y25" i="113"/>
  <c r="Z25" i="113"/>
  <c r="AB53" i="113"/>
  <c r="Z53" i="113"/>
  <c r="Y53" i="113"/>
  <c r="AB33" i="113"/>
  <c r="Z33" i="113"/>
  <c r="Y33" i="113"/>
  <c r="AB35" i="113"/>
  <c r="Y35" i="113"/>
  <c r="Z35" i="113"/>
  <c r="AB80" i="113"/>
  <c r="Y80" i="113"/>
  <c r="Z80" i="113"/>
  <c r="AB12" i="113"/>
  <c r="Y12" i="113"/>
  <c r="Z12" i="113"/>
  <c r="AB143" i="113"/>
  <c r="Z143" i="113"/>
  <c r="Y143" i="113"/>
  <c r="AB92" i="113"/>
  <c r="Y92" i="113"/>
  <c r="Z92" i="113"/>
  <c r="AB108" i="113"/>
  <c r="Y108" i="113"/>
  <c r="Z108" i="113"/>
  <c r="AB24" i="113"/>
  <c r="Z24" i="113"/>
  <c r="Y24" i="113"/>
  <c r="AB50" i="113"/>
  <c r="Y50" i="113"/>
  <c r="Z50" i="113"/>
  <c r="AB14" i="113"/>
  <c r="Y14" i="113"/>
  <c r="Z14" i="113"/>
  <c r="AB131" i="113"/>
  <c r="Y131" i="113"/>
  <c r="Z131" i="113"/>
  <c r="AB36" i="113"/>
  <c r="Z36" i="113"/>
  <c r="Y36" i="113"/>
  <c r="AB116" i="113"/>
  <c r="Y116" i="113"/>
  <c r="Z116" i="113"/>
  <c r="AB107" i="113"/>
  <c r="Y107" i="113"/>
  <c r="Z107" i="113"/>
  <c r="AB78" i="113"/>
  <c r="Y78" i="113"/>
  <c r="Z78" i="113"/>
  <c r="AB37" i="113"/>
  <c r="Y37" i="113"/>
  <c r="Z37" i="113"/>
  <c r="AB120" i="113"/>
  <c r="Z120" i="113"/>
  <c r="Y120" i="113"/>
  <c r="AB137" i="113"/>
  <c r="Y137" i="113"/>
  <c r="Z137" i="113"/>
  <c r="AB65" i="113"/>
  <c r="Y65" i="113"/>
  <c r="Z65" i="113"/>
  <c r="AB64" i="113"/>
  <c r="Y64" i="113"/>
  <c r="Z64" i="113"/>
  <c r="AB39" i="113"/>
  <c r="Y39" i="113"/>
  <c r="Z39" i="113"/>
  <c r="AB93" i="113"/>
  <c r="Y93" i="113"/>
  <c r="Z93" i="113"/>
  <c r="AB136" i="113"/>
  <c r="Y136" i="113"/>
  <c r="Z136" i="113"/>
  <c r="AB118" i="113"/>
  <c r="Z118" i="113"/>
  <c r="Y118" i="113"/>
  <c r="AB100" i="113"/>
  <c r="Z100" i="113"/>
  <c r="Y100" i="113"/>
  <c r="AB54" i="113"/>
  <c r="Y54" i="113"/>
  <c r="Z54" i="113"/>
  <c r="AB82" i="113"/>
  <c r="Z82" i="113"/>
  <c r="Y82" i="113"/>
  <c r="AB71" i="113"/>
  <c r="Z71" i="113"/>
  <c r="Y71" i="113"/>
  <c r="AB119" i="113"/>
  <c r="Y119" i="113"/>
  <c r="Z119" i="113"/>
  <c r="AB46" i="113"/>
  <c r="Y46" i="113"/>
  <c r="Z46" i="113"/>
  <c r="AB16" i="113"/>
  <c r="Y16" i="113"/>
  <c r="Z16" i="113"/>
  <c r="AB48" i="113"/>
  <c r="Z48" i="113"/>
  <c r="Y48" i="113"/>
  <c r="AB61" i="113"/>
  <c r="Y61" i="113"/>
  <c r="Z61" i="113"/>
  <c r="AB132" i="113"/>
  <c r="Y132" i="113"/>
  <c r="Z132" i="113"/>
  <c r="AB139" i="113"/>
  <c r="Y139" i="113"/>
  <c r="Z139" i="113"/>
  <c r="AB113" i="113"/>
  <c r="Y113" i="113"/>
  <c r="Z113" i="113"/>
  <c r="AB103" i="113"/>
  <c r="Z103" i="113"/>
  <c r="Y103" i="113"/>
  <c r="AB105" i="113"/>
  <c r="Z105" i="113"/>
  <c r="Y105" i="113"/>
  <c r="AB30" i="113"/>
  <c r="Y30" i="113"/>
  <c r="Z30" i="113"/>
  <c r="AB101" i="113"/>
  <c r="Z101" i="113"/>
  <c r="Y101" i="113"/>
  <c r="AB95" i="113"/>
  <c r="Z95" i="113"/>
  <c r="Y95" i="113"/>
  <c r="AB58" i="113"/>
  <c r="Z58" i="113"/>
  <c r="Y58" i="113"/>
  <c r="AB72" i="113"/>
  <c r="Z72" i="113"/>
  <c r="Y72" i="113"/>
  <c r="AB138" i="113"/>
  <c r="Y138" i="113"/>
  <c r="Z138" i="113"/>
  <c r="AB122" i="113"/>
  <c r="Y122" i="113"/>
  <c r="Z122" i="113"/>
  <c r="AB26" i="113"/>
  <c r="Z26" i="113"/>
  <c r="Y26" i="113"/>
  <c r="AB27" i="113"/>
  <c r="Z27" i="113"/>
  <c r="Y27" i="113"/>
  <c r="AB13" i="113"/>
  <c r="Y13" i="113"/>
  <c r="Z13" i="113"/>
  <c r="AB134" i="113"/>
  <c r="Y134" i="113"/>
  <c r="Z134" i="113"/>
  <c r="AB115" i="113"/>
  <c r="Y115" i="113"/>
  <c r="Z115" i="113"/>
  <c r="AB31" i="113"/>
  <c r="Z31" i="113"/>
  <c r="Y31" i="113"/>
  <c r="AB60" i="113"/>
  <c r="Y60" i="113"/>
  <c r="Z60" i="113"/>
  <c r="AB128" i="113"/>
  <c r="Y128" i="113"/>
  <c r="Z128" i="113"/>
  <c r="AB41" i="113"/>
  <c r="Y41" i="113"/>
  <c r="Z41" i="113"/>
  <c r="AB22" i="113"/>
  <c r="Y22" i="113"/>
  <c r="Z22" i="113"/>
  <c r="AB20" i="113"/>
  <c r="Y20" i="113"/>
  <c r="Z20" i="113"/>
  <c r="AB42" i="113"/>
  <c r="Y42" i="113"/>
  <c r="Z42" i="113"/>
  <c r="AB96" i="113"/>
  <c r="Y96" i="113"/>
  <c r="Z96" i="113"/>
  <c r="AB45" i="113"/>
  <c r="Y45" i="113"/>
  <c r="Z45" i="113"/>
  <c r="AB77" i="113"/>
  <c r="Z77" i="113"/>
  <c r="Y77" i="113"/>
  <c r="AB91" i="113"/>
  <c r="Y91" i="113"/>
  <c r="Z91" i="113"/>
  <c r="AB98" i="113"/>
  <c r="Y98" i="113"/>
  <c r="Z98" i="113"/>
  <c r="AB102" i="113"/>
  <c r="Y102" i="113"/>
  <c r="Z102" i="113"/>
  <c r="AB125" i="113"/>
  <c r="Z125" i="113"/>
  <c r="Y125" i="113"/>
  <c r="AB49" i="113"/>
  <c r="Y49" i="113"/>
  <c r="Z49" i="113"/>
  <c r="AB121" i="113"/>
  <c r="Y121" i="113"/>
  <c r="Z121" i="113"/>
  <c r="AB130" i="113"/>
  <c r="Z130" i="113"/>
  <c r="Y130" i="113"/>
  <c r="AB79" i="113"/>
  <c r="Z79" i="113"/>
  <c r="Y79" i="113"/>
  <c r="AB90" i="113"/>
  <c r="Y90" i="113"/>
  <c r="Z90" i="113"/>
  <c r="AB34" i="113"/>
  <c r="Z34" i="113"/>
  <c r="Y34" i="113"/>
  <c r="AB18" i="113"/>
  <c r="Y18" i="113"/>
  <c r="Z18" i="113"/>
  <c r="AB47" i="113"/>
  <c r="Y47" i="113"/>
  <c r="Z47" i="113"/>
  <c r="AB142" i="113"/>
  <c r="Y142" i="113"/>
  <c r="Z142" i="113"/>
  <c r="AE101" i="113"/>
  <c r="AE95" i="113"/>
  <c r="AE58" i="113"/>
  <c r="AE72" i="113"/>
  <c r="AE138" i="113"/>
  <c r="AE122" i="113"/>
  <c r="AE26" i="113"/>
  <c r="AE27" i="113"/>
  <c r="AE13" i="113"/>
  <c r="AE134" i="113"/>
  <c r="AE87" i="113"/>
  <c r="AE105" i="113"/>
  <c r="AE141" i="113"/>
  <c r="AE35" i="113"/>
  <c r="AE115" i="113"/>
  <c r="AE91" i="113"/>
  <c r="AE107" i="113"/>
  <c r="AE102" i="113"/>
  <c r="AE104" i="113"/>
  <c r="AE54" i="113"/>
  <c r="AE96" i="113"/>
  <c r="AE41" i="113"/>
  <c r="AE34" i="113"/>
  <c r="AE57" i="113"/>
  <c r="AE55" i="113"/>
  <c r="AE32" i="113"/>
  <c r="AE40" i="113"/>
  <c r="AE106" i="113"/>
  <c r="AE62" i="113"/>
  <c r="AE129" i="113"/>
  <c r="AE97" i="113"/>
  <c r="AE114" i="113"/>
  <c r="AE111" i="113"/>
  <c r="AE77" i="113"/>
  <c r="AE142" i="113"/>
  <c r="AE47" i="113"/>
  <c r="AE31" i="113"/>
  <c r="AE125" i="113"/>
  <c r="AE80" i="113"/>
  <c r="AE38" i="113"/>
  <c r="AE78" i="113"/>
  <c r="AE98" i="113"/>
  <c r="AE82" i="113"/>
  <c r="AE51" i="113"/>
  <c r="AE30" i="113"/>
  <c r="AE20" i="113"/>
  <c r="AE121" i="113"/>
  <c r="AE59" i="113"/>
  <c r="AE42" i="113"/>
  <c r="AE79" i="113"/>
  <c r="AE112" i="113"/>
  <c r="AE83" i="113"/>
  <c r="AE127" i="113"/>
  <c r="AE28" i="113"/>
  <c r="AE81" i="113"/>
  <c r="AE133" i="113"/>
  <c r="AE56" i="113"/>
  <c r="AE110" i="113"/>
  <c r="AE123" i="113"/>
  <c r="AE84" i="113"/>
  <c r="AE18" i="113"/>
  <c r="AE140" i="113"/>
  <c r="AE99" i="113"/>
  <c r="AE70" i="113"/>
  <c r="AE124" i="113"/>
  <c r="AE135" i="113"/>
  <c r="AE67" i="113"/>
  <c r="AE66" i="113"/>
  <c r="AE94" i="113"/>
  <c r="AE25" i="113"/>
  <c r="AE53" i="113"/>
  <c r="AE33" i="113"/>
  <c r="AE90" i="113"/>
  <c r="AE23" i="113"/>
  <c r="AE60" i="113"/>
  <c r="AE44" i="113"/>
  <c r="AE12" i="113"/>
  <c r="AE143" i="113"/>
  <c r="AE92" i="113"/>
  <c r="AE108" i="113"/>
  <c r="AE24" i="113"/>
  <c r="AE50" i="113"/>
  <c r="AE14" i="113"/>
  <c r="AE131" i="113"/>
  <c r="AE36" i="113"/>
  <c r="AE116" i="113"/>
  <c r="AE45" i="113"/>
  <c r="AE22" i="113"/>
  <c r="AE49" i="113"/>
  <c r="AE29" i="113"/>
  <c r="AE37" i="113"/>
  <c r="AE120" i="113"/>
  <c r="AE137" i="113"/>
  <c r="AE65" i="113"/>
  <c r="AE64" i="113"/>
  <c r="AE39" i="113"/>
  <c r="AE93" i="113"/>
  <c r="AE136" i="113"/>
  <c r="AE118" i="113"/>
  <c r="AE100" i="113"/>
  <c r="AE128" i="113"/>
  <c r="AE130" i="113"/>
  <c r="AE117" i="113"/>
  <c r="AE71" i="113"/>
  <c r="AE119" i="113"/>
  <c r="AE46" i="113"/>
  <c r="AE16" i="113"/>
  <c r="AE48" i="113"/>
  <c r="AE61" i="113"/>
  <c r="AE132" i="113"/>
  <c r="AE139" i="113"/>
  <c r="AE113" i="113"/>
  <c r="AE103" i="113"/>
  <c r="AI145" i="27"/>
  <c r="BI39" i="27"/>
  <c r="BJ39" i="27" s="1"/>
  <c r="BI19" i="27"/>
  <c r="BJ19" i="27" s="1"/>
  <c r="BI38" i="27"/>
  <c r="BJ38" i="27" s="1"/>
  <c r="BI62" i="27"/>
  <c r="BJ62" i="27" s="1"/>
  <c r="BI18" i="27"/>
  <c r="BJ18" i="27" s="1"/>
  <c r="BI63" i="27"/>
  <c r="BJ63" i="27" s="1"/>
  <c r="BI140" i="27"/>
  <c r="BJ140" i="27" s="1"/>
  <c r="BI20" i="27"/>
  <c r="BJ20" i="27" s="1"/>
  <c r="BI66" i="27"/>
  <c r="BJ66" i="27" s="1"/>
  <c r="BI124" i="27"/>
  <c r="BJ124" i="27" s="1"/>
  <c r="BI94" i="27"/>
  <c r="BJ94" i="27" s="1"/>
  <c r="BI126" i="27"/>
  <c r="BJ126" i="27" s="1"/>
  <c r="BI85" i="27"/>
  <c r="BJ85" i="27" s="1"/>
  <c r="BI69" i="27"/>
  <c r="BJ69" i="27" s="1"/>
  <c r="BI22" i="27"/>
  <c r="BJ22" i="27" s="1"/>
  <c r="BI96" i="27"/>
  <c r="BJ96" i="27" s="1"/>
  <c r="BI45" i="27"/>
  <c r="BJ45" i="27" s="1"/>
  <c r="BI60" i="27"/>
  <c r="BJ60" i="27" s="1"/>
  <c r="BI141" i="27"/>
  <c r="BJ141" i="27" s="1"/>
  <c r="BI40" i="27"/>
  <c r="BJ40" i="27" s="1"/>
  <c r="BI97" i="27"/>
  <c r="BJ97" i="27" s="1"/>
  <c r="BI91" i="27"/>
  <c r="BJ91" i="27" s="1"/>
  <c r="BI139" i="27"/>
  <c r="BJ139" i="27" s="1"/>
  <c r="BI131" i="27"/>
  <c r="BJ131" i="27" s="1"/>
  <c r="BI47" i="27"/>
  <c r="BJ47" i="27" s="1"/>
  <c r="BI49" i="27"/>
  <c r="BJ49" i="27" s="1"/>
  <c r="BI27" i="27"/>
  <c r="BJ27" i="27" s="1"/>
  <c r="BI8" i="27"/>
  <c r="BJ8" i="27" s="1"/>
  <c r="BI129" i="27"/>
  <c r="BJ129" i="27" s="1"/>
  <c r="BI142" i="27"/>
  <c r="BJ142" i="27" s="1"/>
  <c r="BI31" i="27"/>
  <c r="BJ31" i="27" s="1"/>
  <c r="BI89" i="27"/>
  <c r="BJ89" i="27" s="1"/>
  <c r="BI135" i="27"/>
  <c r="BJ135" i="27" s="1"/>
  <c r="BI117" i="27"/>
  <c r="BJ117" i="27" s="1"/>
  <c r="BI138" i="27"/>
  <c r="BJ138" i="27" s="1"/>
  <c r="BI95" i="27"/>
  <c r="BJ95" i="27" s="1"/>
  <c r="BI76" i="27"/>
  <c r="BJ76" i="27" s="1"/>
  <c r="BI112" i="27"/>
  <c r="BJ112" i="27" s="1"/>
  <c r="BI114" i="27"/>
  <c r="BJ114" i="27" s="1"/>
  <c r="BI59" i="27"/>
  <c r="BJ59" i="27" s="1"/>
  <c r="BI123" i="27"/>
  <c r="BJ123" i="27" s="1"/>
  <c r="BI108" i="27"/>
  <c r="BJ108" i="27" s="1"/>
  <c r="BI28" i="27"/>
  <c r="BJ28" i="27" s="1"/>
  <c r="BI42" i="27"/>
  <c r="BJ42" i="27" s="1"/>
  <c r="BI24" i="27"/>
  <c r="BJ24" i="27" s="1"/>
  <c r="BI53" i="27"/>
  <c r="BJ53" i="27" s="1"/>
  <c r="BI56" i="27"/>
  <c r="BJ56" i="27" s="1"/>
  <c r="BI109" i="27"/>
  <c r="BJ109" i="27" s="1"/>
  <c r="BI52" i="27"/>
  <c r="BJ52" i="27" s="1"/>
  <c r="BI10" i="27"/>
  <c r="BJ10" i="27" s="1"/>
  <c r="BI127" i="27"/>
  <c r="BJ127" i="27" s="1"/>
  <c r="BI15" i="27"/>
  <c r="BJ15" i="27" s="1"/>
  <c r="BI116" i="27"/>
  <c r="BJ116" i="27" s="1"/>
  <c r="BI11" i="27"/>
  <c r="BJ11" i="27" s="1"/>
  <c r="BI78" i="27"/>
  <c r="BJ78" i="27" s="1"/>
  <c r="BI46" i="27"/>
  <c r="BJ46" i="27" s="1"/>
  <c r="BI83" i="27"/>
  <c r="BJ83" i="27" s="1"/>
  <c r="BI143" i="27"/>
  <c r="BJ143" i="27" s="1"/>
  <c r="BI136" i="27"/>
  <c r="BJ136" i="27" s="1"/>
  <c r="BI21" i="27"/>
  <c r="BJ21" i="27" s="1"/>
  <c r="BI26" i="27"/>
  <c r="BJ26" i="27" s="1"/>
  <c r="BI118" i="27"/>
  <c r="BJ118" i="27" s="1"/>
  <c r="BI100" i="27"/>
  <c r="BJ100" i="27" s="1"/>
  <c r="BI120" i="27"/>
  <c r="BJ120" i="27" s="1"/>
  <c r="BI88" i="27"/>
  <c r="BJ88" i="27" s="1"/>
  <c r="BI58" i="27"/>
  <c r="BJ58" i="27" s="1"/>
  <c r="BI79" i="27"/>
  <c r="BJ79" i="27" s="1"/>
  <c r="BI71" i="27"/>
  <c r="BJ71" i="27" s="1"/>
  <c r="BI82" i="27"/>
  <c r="BJ82" i="27" s="1"/>
  <c r="BI48" i="27"/>
  <c r="BJ48" i="27" s="1"/>
  <c r="BI107" i="27"/>
  <c r="BJ107" i="27" s="1"/>
  <c r="BI98" i="27"/>
  <c r="BJ98" i="27" s="1"/>
  <c r="BI125" i="27"/>
  <c r="BJ125" i="27" s="1"/>
  <c r="BI54" i="27"/>
  <c r="BJ54" i="27" s="1"/>
  <c r="BI104" i="27"/>
  <c r="BJ104" i="27" s="1"/>
  <c r="BI130" i="27"/>
  <c r="BJ130" i="27" s="1"/>
  <c r="BI16" i="27"/>
  <c r="BJ16" i="27" s="1"/>
  <c r="BI119" i="27"/>
  <c r="BJ119" i="27" s="1"/>
  <c r="BI110" i="27"/>
  <c r="BJ110" i="27" s="1"/>
  <c r="BI43" i="27"/>
  <c r="BJ43" i="27" s="1"/>
  <c r="BI92" i="27"/>
  <c r="BJ92" i="27" s="1"/>
  <c r="BI50" i="27"/>
  <c r="BJ50" i="27" s="1"/>
  <c r="BI132" i="27"/>
  <c r="BJ132" i="27" s="1"/>
  <c r="BI57" i="27"/>
  <c r="BJ57" i="27" s="1"/>
  <c r="BI122" i="27"/>
  <c r="BJ122" i="27" s="1"/>
  <c r="BI103" i="27"/>
  <c r="BJ103" i="27" s="1"/>
  <c r="BI86" i="27"/>
  <c r="BJ86" i="27" s="1"/>
  <c r="BI121" i="27"/>
  <c r="BJ121" i="27" s="1"/>
  <c r="BI93" i="27"/>
  <c r="BJ93" i="27" s="1"/>
  <c r="BI113" i="27"/>
  <c r="BJ113" i="27" s="1"/>
  <c r="BI44" i="27"/>
  <c r="BJ44" i="27" s="1"/>
  <c r="BI115" i="27"/>
  <c r="BJ115" i="27" s="1"/>
  <c r="BI74" i="27"/>
  <c r="BJ74" i="27" s="1"/>
  <c r="BI23" i="27"/>
  <c r="BJ23" i="27" s="1"/>
  <c r="BI102" i="27"/>
  <c r="BJ102" i="27" s="1"/>
  <c r="BI67" i="27"/>
  <c r="BJ67" i="27" s="1"/>
  <c r="BI64" i="27"/>
  <c r="BJ64" i="27" s="1"/>
  <c r="BI84" i="27"/>
  <c r="BJ84" i="27" s="1"/>
  <c r="BI41" i="27"/>
  <c r="BJ41" i="27" s="1"/>
  <c r="BI137" i="27"/>
  <c r="BJ137" i="27" s="1"/>
  <c r="BI14" i="27"/>
  <c r="BJ14" i="27" s="1"/>
  <c r="BI72" i="27"/>
  <c r="BJ72" i="27" s="1"/>
  <c r="BI34" i="27"/>
  <c r="BJ34" i="27" s="1"/>
  <c r="BI87" i="27"/>
  <c r="BJ87" i="27" s="1"/>
  <c r="BI70" i="27"/>
  <c r="BJ70" i="27" s="1"/>
  <c r="BI99" i="27"/>
  <c r="BJ99" i="27" s="1"/>
  <c r="BI133" i="27"/>
  <c r="BJ133" i="27" s="1"/>
  <c r="BI73" i="27"/>
  <c r="BJ73" i="27" s="1"/>
  <c r="BI90" i="27"/>
  <c r="BJ90" i="27" s="1"/>
  <c r="BI80" i="27"/>
  <c r="BJ80" i="27" s="1"/>
  <c r="BI51" i="27"/>
  <c r="BJ51" i="27" s="1"/>
  <c r="BI33" i="27"/>
  <c r="BJ33" i="27" s="1"/>
  <c r="BI25" i="27"/>
  <c r="BJ25" i="27" s="1"/>
  <c r="BI111" i="27"/>
  <c r="BJ111" i="27" s="1"/>
  <c r="BI105" i="27"/>
  <c r="BJ105" i="27" s="1"/>
  <c r="BI13" i="27"/>
  <c r="BJ13" i="27" s="1"/>
  <c r="BI128" i="27"/>
  <c r="BJ128" i="27" s="1"/>
  <c r="BI106" i="27"/>
  <c r="BJ106" i="27" s="1"/>
  <c r="BI81" i="27"/>
  <c r="BJ81" i="27" s="1"/>
  <c r="BI32" i="27"/>
  <c r="BJ32" i="27" s="1"/>
  <c r="BI35" i="27"/>
  <c r="BJ35" i="27" s="1"/>
  <c r="BI75" i="27"/>
  <c r="BJ75" i="27" s="1"/>
  <c r="BI68" i="27"/>
  <c r="BJ68" i="27" s="1"/>
  <c r="BI30" i="27"/>
  <c r="BJ30" i="27" s="1"/>
  <c r="BI17" i="27"/>
  <c r="BJ17" i="27" s="1"/>
  <c r="BI9" i="27"/>
  <c r="BJ9" i="27" s="1"/>
  <c r="BI37" i="27"/>
  <c r="BJ37" i="27" s="1"/>
  <c r="BI77" i="27"/>
  <c r="BJ77" i="27" s="1"/>
  <c r="BI65" i="27"/>
  <c r="BJ65" i="27" s="1"/>
  <c r="BI61" i="27"/>
  <c r="BJ61" i="27" s="1"/>
  <c r="BI12" i="27"/>
  <c r="BJ12" i="27" s="1"/>
  <c r="BI36" i="27"/>
  <c r="BJ36" i="27" s="1"/>
  <c r="BI55" i="27"/>
  <c r="BJ55" i="27" s="1"/>
  <c r="BI29" i="27"/>
  <c r="BJ29" i="27" s="1"/>
  <c r="BI101" i="27"/>
  <c r="BJ101" i="27" s="1"/>
  <c r="BI134" i="27"/>
  <c r="BJ134" i="27" s="1"/>
  <c r="AN4" i="93"/>
  <c r="AN7" i="93"/>
  <c r="AN5" i="93"/>
  <c r="AN6" i="93"/>
  <c r="AK4" i="27"/>
  <c r="AM4" i="27" s="1"/>
  <c r="U7" i="92"/>
  <c r="AC7" i="92" s="1"/>
  <c r="W6" i="92"/>
  <c r="AE6" i="92" s="1"/>
  <c r="W5" i="92"/>
  <c r="AE5" i="92" s="1"/>
  <c r="W4" i="92"/>
  <c r="AE4" i="92" s="1"/>
  <c r="AE7" i="93"/>
  <c r="AE6" i="93"/>
  <c r="AE5" i="93"/>
  <c r="AA5" i="94" a="1"/>
  <c r="AA5" i="94" s="1"/>
  <c r="AA4" i="94" a="1"/>
  <c r="AA4" i="94" s="1"/>
  <c r="AF4" i="93" s="1"/>
  <c r="AO4" i="93" s="1" a="1"/>
  <c r="AO4" i="93" s="1"/>
  <c r="AA6" i="94" a="1"/>
  <c r="AA6" i="94" s="1"/>
  <c r="AJ7" i="93" a="1"/>
  <c r="AJ7" i="93" s="1"/>
  <c r="AJ4" i="93" a="1"/>
  <c r="AJ4" i="93" s="1"/>
  <c r="AU5" i="93"/>
  <c r="AS5" i="113" s="1"/>
  <c r="AU4" i="93"/>
  <c r="AS4" i="113" s="1"/>
  <c r="AK6" i="93" a="1"/>
  <c r="AK6" i="93" s="1"/>
  <c r="AL6" i="93" s="1" a="1"/>
  <c r="AL6" i="93" s="1"/>
  <c r="AK5" i="93" a="1"/>
  <c r="AK5" i="93" s="1"/>
  <c r="AL5" i="93" s="1" a="1"/>
  <c r="AL5" i="93" s="1"/>
  <c r="V11" i="108"/>
  <c r="X12" i="112"/>
  <c r="Q6" i="108"/>
  <c r="R7" i="110" a="1"/>
  <c r="R7" i="110" s="1"/>
  <c r="Z12" i="112"/>
  <c r="AE4" i="105" a="1"/>
  <c r="AE4" i="105" s="1"/>
  <c r="Y12" i="112"/>
  <c r="T12" i="110" a="1"/>
  <c r="T12" i="110" s="1"/>
  <c r="AB4" i="105" a="1"/>
  <c r="AB4" i="105" s="1"/>
  <c r="Y8" i="105" a="1"/>
  <c r="Y8" i="105" s="1"/>
  <c r="AG8" i="105" a="1"/>
  <c r="AG8" i="105" s="1"/>
  <c r="AH8" i="105" a="1"/>
  <c r="AH8" i="105" s="1"/>
  <c r="AE5" i="105" a="1"/>
  <c r="AE5" i="105" s="1"/>
  <c r="Q12" i="108"/>
  <c r="V14" i="110" a="1"/>
  <c r="V14" i="110" s="1"/>
  <c r="P7" i="110" a="1"/>
  <c r="P7" i="110" s="1"/>
  <c r="X13" i="112"/>
  <c r="AH5" i="105" a="1"/>
  <c r="AH5" i="105" s="1"/>
  <c r="P11" i="108"/>
  <c r="Q14" i="110" a="1"/>
  <c r="Q14" i="110" s="1"/>
  <c r="AA12" i="112"/>
  <c r="Y6" i="105" a="1"/>
  <c r="Y6" i="105" s="1"/>
  <c r="V12" i="108"/>
  <c r="U10" i="108"/>
  <c r="AG6" i="105" a="1"/>
  <c r="AG6" i="105" s="1"/>
  <c r="R10" i="108"/>
  <c r="AH6" i="105" a="1"/>
  <c r="AH6" i="105" s="1"/>
  <c r="V13" i="108"/>
  <c r="R8" i="108"/>
  <c r="V13" i="110" a="1"/>
  <c r="V13" i="110" s="1"/>
  <c r="Z7" i="105" a="1"/>
  <c r="Z7" i="105" s="1"/>
  <c r="P8" i="108"/>
  <c r="S13" i="110" a="1"/>
  <c r="S13" i="110" s="1"/>
  <c r="AC7" i="105" a="1"/>
  <c r="AC7" i="105" s="1"/>
  <c r="Q7" i="108"/>
  <c r="AH7" i="105" a="1"/>
  <c r="AH7" i="105" s="1"/>
  <c r="V14" i="108"/>
  <c r="V12" i="110" a="1"/>
  <c r="V12" i="110" s="1"/>
  <c r="R14" i="108"/>
  <c r="X15" i="112"/>
  <c r="AA8" i="105" a="1"/>
  <c r="AA8" i="105" s="1"/>
  <c r="P14" i="108"/>
  <c r="Z4" i="105" a="1"/>
  <c r="Z4" i="105" s="1"/>
  <c r="AD8" i="105" a="1"/>
  <c r="AD8" i="105" s="1"/>
  <c r="V11" i="110" a="1"/>
  <c r="V11" i="110" s="1"/>
  <c r="T11" i="110" a="1"/>
  <c r="T11" i="110" s="1"/>
  <c r="S10" i="110" a="1"/>
  <c r="S10" i="110" s="1"/>
  <c r="X14" i="112"/>
  <c r="AH4" i="105" a="1"/>
  <c r="AH4" i="105" s="1"/>
  <c r="R13" i="108"/>
  <c r="Q10" i="110" a="1"/>
  <c r="Q10" i="110" s="1"/>
  <c r="P13" i="108"/>
  <c r="Q9" i="110" a="1"/>
  <c r="Q9" i="110" s="1"/>
  <c r="AF8" i="105" a="1"/>
  <c r="AF8" i="105" s="1"/>
  <c r="AB7" i="105" a="1"/>
  <c r="AB7" i="105" s="1"/>
  <c r="X6" i="105" a="1"/>
  <c r="X6" i="105" s="1"/>
  <c r="AG4" i="105" a="1"/>
  <c r="AG4" i="105" s="1"/>
  <c r="AE8" i="105" a="1"/>
  <c r="AE8" i="105" s="1"/>
  <c r="AA7" i="105" a="1"/>
  <c r="AA7" i="105" s="1"/>
  <c r="AF4" i="105" a="1"/>
  <c r="AF4" i="105" s="1"/>
  <c r="AC8" i="105" a="1"/>
  <c r="AC8" i="105" s="1"/>
  <c r="Y7" i="105" a="1"/>
  <c r="Y7" i="105" s="1"/>
  <c r="AG5" i="105" a="1"/>
  <c r="AG5" i="105" s="1"/>
  <c r="AD4" i="105" a="1"/>
  <c r="AD4" i="105" s="1"/>
  <c r="AB8" i="105" a="1"/>
  <c r="AB8" i="105" s="1"/>
  <c r="X7" i="105" a="1"/>
  <c r="X7" i="105" s="1"/>
  <c r="AF5" i="105" a="1"/>
  <c r="AF5" i="105" s="1"/>
  <c r="AC4" i="105" a="1"/>
  <c r="AC4" i="105" s="1"/>
  <c r="Z8" i="105" a="1"/>
  <c r="Z8" i="105" s="1"/>
  <c r="AD5" i="105" a="1"/>
  <c r="AD5" i="105" s="1"/>
  <c r="AA4" i="105" a="1"/>
  <c r="AA4" i="105" s="1"/>
  <c r="X8" i="105" a="1"/>
  <c r="X8" i="105" s="1"/>
  <c r="AF6" i="105" a="1"/>
  <c r="AF6" i="105" s="1"/>
  <c r="AB5" i="105" a="1"/>
  <c r="AB5" i="105" s="1"/>
  <c r="Y4" i="105" a="1"/>
  <c r="Y4" i="105" s="1"/>
  <c r="AE6" i="105" a="1"/>
  <c r="AE6" i="105" s="1"/>
  <c r="AA5" i="105" a="1"/>
  <c r="AA5" i="105" s="1"/>
  <c r="X4" i="105" a="1"/>
  <c r="X4" i="105" s="1"/>
  <c r="AD6" i="105" a="1"/>
  <c r="AD6" i="105" s="1"/>
  <c r="Z5" i="105" a="1"/>
  <c r="Z5" i="105" s="1"/>
  <c r="AG7" i="105" a="1"/>
  <c r="AG7" i="105" s="1"/>
  <c r="AC6" i="105" a="1"/>
  <c r="AC6" i="105" s="1"/>
  <c r="Y5" i="105" a="1"/>
  <c r="Y5" i="105" s="1"/>
  <c r="W3" i="105"/>
  <c r="AF7" i="105" a="1"/>
  <c r="AF7" i="105" s="1"/>
  <c r="AB6" i="105" a="1"/>
  <c r="AB6" i="105" s="1"/>
  <c r="X5" i="105" a="1"/>
  <c r="X5" i="105" s="1"/>
  <c r="O3" i="108"/>
  <c r="O6" i="108" s="1"/>
  <c r="R12" i="108"/>
  <c r="S12" i="108"/>
  <c r="U12" i="108"/>
  <c r="Q14" i="108"/>
  <c r="Q13" i="108"/>
  <c r="S14" i="108"/>
  <c r="Q11" i="108"/>
  <c r="S13" i="108"/>
  <c r="T14" i="108"/>
  <c r="R11" i="108"/>
  <c r="T13" i="108"/>
  <c r="U14" i="108"/>
  <c r="S11" i="108"/>
  <c r="U13" i="108"/>
  <c r="T11" i="108"/>
  <c r="U11" i="108"/>
  <c r="U11" i="110" a="1"/>
  <c r="U11" i="110" s="1"/>
  <c r="T13" i="110" a="1"/>
  <c r="T13" i="110" s="1"/>
  <c r="U13" i="110" a="1"/>
  <c r="U13" i="110" s="1"/>
  <c r="P6" i="110" a="1"/>
  <c r="P6" i="110" s="1"/>
  <c r="T9" i="110" a="1"/>
  <c r="T9" i="110" s="1"/>
  <c r="N4" i="108"/>
  <c r="P10" i="108"/>
  <c r="P7" i="108"/>
  <c r="Q10" i="108"/>
  <c r="R7" i="108"/>
  <c r="S10" i="108"/>
  <c r="T10" i="108"/>
  <c r="Q8" i="108"/>
  <c r="S8" i="108"/>
  <c r="P9" i="108"/>
  <c r="Q9" i="108"/>
  <c r="P5" i="108"/>
  <c r="R9" i="108"/>
  <c r="P5" i="110" a="1"/>
  <c r="P5" i="110" s="1"/>
  <c r="R9" i="110" a="1"/>
  <c r="R9" i="110" s="1"/>
  <c r="S9" i="110" a="1"/>
  <c r="S9" i="110" s="1"/>
  <c r="Z6" i="105" a="1"/>
  <c r="Z6" i="105" s="1"/>
  <c r="AD7" i="105" a="1"/>
  <c r="AD7" i="105" s="1"/>
  <c r="P12" i="108"/>
  <c r="T9" i="108"/>
  <c r="P6" i="108"/>
  <c r="R13" i="110" a="1"/>
  <c r="R13" i="110" s="1"/>
  <c r="S11" i="110" a="1"/>
  <c r="S11" i="110" s="1"/>
  <c r="P9" i="110" a="1"/>
  <c r="P9" i="110" s="1"/>
  <c r="AA6" i="105" a="1"/>
  <c r="AA6" i="105" s="1"/>
  <c r="AE7" i="105" a="1"/>
  <c r="AE7" i="105" s="1"/>
  <c r="S9" i="108"/>
  <c r="Q13" i="110" a="1"/>
  <c r="Q13" i="110" s="1"/>
  <c r="R11" i="110" a="1"/>
  <c r="R11" i="110" s="1"/>
  <c r="P13" i="110" a="1"/>
  <c r="P13" i="110" s="1"/>
  <c r="Q11" i="110" a="1"/>
  <c r="Q11" i="110" s="1"/>
  <c r="S8" i="110" a="1"/>
  <c r="S8" i="110" s="1"/>
  <c r="U14" i="110" a="1"/>
  <c r="U14" i="110" s="1"/>
  <c r="P11" i="110" a="1"/>
  <c r="P11" i="110" s="1"/>
  <c r="R8" i="110" a="1"/>
  <c r="R8" i="110" s="1"/>
  <c r="T14" i="110" a="1"/>
  <c r="T14" i="110" s="1"/>
  <c r="Q8" i="110" a="1"/>
  <c r="Q8" i="110" s="1"/>
  <c r="S14" i="110" a="1"/>
  <c r="S14" i="110" s="1"/>
  <c r="U10" i="110" a="1"/>
  <c r="U10" i="110" s="1"/>
  <c r="P8" i="110" a="1"/>
  <c r="P8" i="110" s="1"/>
  <c r="R14" i="110" a="1"/>
  <c r="R14" i="110" s="1"/>
  <c r="U12" i="110" a="1"/>
  <c r="U12" i="110" s="1"/>
  <c r="T10" i="110" a="1"/>
  <c r="T10" i="110" s="1"/>
  <c r="P14" i="110" a="1"/>
  <c r="P14" i="110" s="1"/>
  <c r="S12" i="110" a="1"/>
  <c r="S12" i="110" s="1"/>
  <c r="R10" i="110" a="1"/>
  <c r="R10" i="110" s="1"/>
  <c r="Q7" i="110" a="1"/>
  <c r="Q7" i="110" s="1"/>
  <c r="Q12" i="110" a="1"/>
  <c r="Q12" i="110" s="1"/>
  <c r="P10" i="110" a="1"/>
  <c r="P10" i="110" s="1"/>
  <c r="P12" i="110" a="1"/>
  <c r="P12" i="110" s="1"/>
  <c r="Q6" i="110" a="1"/>
  <c r="Q6" i="110" s="1"/>
  <c r="AD5" i="93"/>
  <c r="Z7" i="92"/>
  <c r="S7" i="92"/>
  <c r="Y7" i="92"/>
  <c r="X7" i="92"/>
  <c r="V7" i="92"/>
  <c r="W7" i="92"/>
  <c r="T7" i="92"/>
  <c r="T4" i="92"/>
  <c r="V6" i="92"/>
  <c r="AL6" i="92" s="1"/>
  <c r="V5" i="92"/>
  <c r="V4" i="92"/>
  <c r="T6" i="92"/>
  <c r="T5" i="92"/>
  <c r="Z5" i="92"/>
  <c r="X5" i="92"/>
  <c r="S5" i="92"/>
  <c r="AA5" i="92" s="1"/>
  <c r="Y5" i="92"/>
  <c r="U6" i="92"/>
  <c r="U5" i="92"/>
  <c r="Z6" i="92"/>
  <c r="U4" i="92"/>
  <c r="Z4" i="92"/>
  <c r="Y6" i="92"/>
  <c r="X6" i="92"/>
  <c r="S6" i="92"/>
  <c r="Y4" i="92"/>
  <c r="X4" i="92"/>
  <c r="AF4" i="92" s="1"/>
  <c r="D20" i="100" a="1"/>
  <c r="D20" i="100" s="1"/>
  <c r="D75" i="100" a="1"/>
  <c r="D75" i="100" s="1"/>
  <c r="D40" i="100" a="1"/>
  <c r="D40" i="100" s="1"/>
  <c r="D64" i="100" a="1"/>
  <c r="D64" i="100" s="1"/>
  <c r="D28" i="100" a="1"/>
  <c r="D28" i="100" s="1"/>
  <c r="D72" i="100" a="1"/>
  <c r="D72" i="100" s="1"/>
  <c r="D25" i="100" a="1"/>
  <c r="D25" i="100" s="1"/>
  <c r="D35" i="100" a="1"/>
  <c r="D35" i="100" s="1"/>
  <c r="D43" i="100" a="1"/>
  <c r="D43" i="100" s="1"/>
  <c r="D33" i="100" a="1"/>
  <c r="D33" i="100" s="1"/>
  <c r="D51" i="100" a="1"/>
  <c r="D51" i="100" s="1"/>
  <c r="D59" i="100" a="1"/>
  <c r="D59" i="100" s="1"/>
  <c r="D48" i="100" a="1"/>
  <c r="D48" i="100" s="1"/>
  <c r="D67" i="100" a="1"/>
  <c r="D67" i="100" s="1"/>
  <c r="D56" i="100" a="1"/>
  <c r="D56" i="100" s="1"/>
  <c r="I13" i="108"/>
  <c r="I14" i="108"/>
  <c r="I11" i="110" a="1"/>
  <c r="I11" i="110" s="1"/>
  <c r="J14" i="112"/>
  <c r="J13" i="112"/>
  <c r="M3" i="105"/>
  <c r="J15" i="112"/>
  <c r="I14" i="110" a="1"/>
  <c r="I14" i="110" s="1"/>
  <c r="I11" i="108"/>
  <c r="I13" i="110" a="1"/>
  <c r="I13" i="110" s="1"/>
  <c r="I12" i="110" a="1"/>
  <c r="I12" i="110" s="1"/>
  <c r="M12" i="112"/>
  <c r="L12" i="112"/>
  <c r="K12" i="112"/>
  <c r="J12" i="112"/>
  <c r="G14" i="108"/>
  <c r="E12" i="108"/>
  <c r="D36" i="100" a="1"/>
  <c r="D36" i="100" s="1"/>
  <c r="D76" i="100" a="1"/>
  <c r="D76" i="100" s="1"/>
  <c r="C24" i="100" a="1"/>
  <c r="C24" i="100" s="1"/>
  <c r="C34" i="100" a="1"/>
  <c r="C34" i="100" s="1"/>
  <c r="C39" i="100" a="1"/>
  <c r="C39" i="100" s="1"/>
  <c r="C47" i="100" a="1"/>
  <c r="C47" i="100" s="1"/>
  <c r="C55" i="100" a="1"/>
  <c r="C55" i="100" s="1"/>
  <c r="C63" i="100" a="1"/>
  <c r="C63" i="100" s="1"/>
  <c r="C71" i="100" a="1"/>
  <c r="C71" i="100" s="1"/>
  <c r="D44" i="100" a="1"/>
  <c r="D44" i="100" s="1"/>
  <c r="C32" i="100" a="1"/>
  <c r="C32" i="100" s="1"/>
  <c r="D34" i="100" a="1"/>
  <c r="D34" i="100" s="1"/>
  <c r="D39" i="100" a="1"/>
  <c r="D39" i="100" s="1"/>
  <c r="D47" i="100" a="1"/>
  <c r="D47" i="100" s="1"/>
  <c r="D55" i="100" a="1"/>
  <c r="D55" i="100" s="1"/>
  <c r="D63" i="100" a="1"/>
  <c r="D63" i="100" s="1"/>
  <c r="D71" i="100" a="1"/>
  <c r="D71" i="100" s="1"/>
  <c r="C27" i="100" a="1"/>
  <c r="C27" i="100" s="1"/>
  <c r="D32" i="100" a="1"/>
  <c r="D32" i="100" s="1"/>
  <c r="C42" i="100" a="1"/>
  <c r="C42" i="100" s="1"/>
  <c r="C50" i="100" a="1"/>
  <c r="C50" i="100" s="1"/>
  <c r="C58" i="100" a="1"/>
  <c r="C58" i="100" s="1"/>
  <c r="C66" i="100" a="1"/>
  <c r="C66" i="100" s="1"/>
  <c r="C74" i="100" a="1"/>
  <c r="C74" i="100" s="1"/>
  <c r="D21" i="100" a="1"/>
  <c r="D21" i="100" s="1"/>
  <c r="D24" i="100" a="1"/>
  <c r="D24" i="100" s="1"/>
  <c r="C19" i="100" a="1"/>
  <c r="C19" i="100" s="1"/>
  <c r="D19" i="100" a="1"/>
  <c r="D19" i="100" s="1"/>
  <c r="D27" i="100" a="1"/>
  <c r="D27" i="100" s="1"/>
  <c r="D42" i="100" a="1"/>
  <c r="D42" i="100" s="1"/>
  <c r="D50" i="100" a="1"/>
  <c r="D50" i="100" s="1"/>
  <c r="D58" i="100" a="1"/>
  <c r="D58" i="100" s="1"/>
  <c r="D66" i="100" a="1"/>
  <c r="D66" i="100" s="1"/>
  <c r="D74" i="100" a="1"/>
  <c r="D74" i="100" s="1"/>
  <c r="D29" i="100" a="1"/>
  <c r="D29" i="100" s="1"/>
  <c r="D52" i="100" a="1"/>
  <c r="D52" i="100" s="1"/>
  <c r="D68" i="100" a="1"/>
  <c r="D68" i="100" s="1"/>
  <c r="C22" i="100" a="1"/>
  <c r="C22" i="100" s="1"/>
  <c r="C30" i="100" a="1"/>
  <c r="C30" i="100" s="1"/>
  <c r="C37" i="100" a="1"/>
  <c r="C37" i="100" s="1"/>
  <c r="C45" i="100" a="1"/>
  <c r="C45" i="100" s="1"/>
  <c r="C53" i="100" a="1"/>
  <c r="C53" i="100" s="1"/>
  <c r="C61" i="100" a="1"/>
  <c r="C61" i="100" s="1"/>
  <c r="C69" i="100" a="1"/>
  <c r="C69" i="100" s="1"/>
  <c r="C77" i="100" a="1"/>
  <c r="C77" i="100" s="1"/>
  <c r="D60" i="100" a="1"/>
  <c r="D60" i="100" s="1"/>
  <c r="D22" i="100" a="1"/>
  <c r="D22" i="100" s="1"/>
  <c r="D30" i="100" a="1"/>
  <c r="D30" i="100" s="1"/>
  <c r="D37" i="100" a="1"/>
  <c r="D37" i="100" s="1"/>
  <c r="D45" i="100" a="1"/>
  <c r="D45" i="100" s="1"/>
  <c r="D53" i="100" a="1"/>
  <c r="D53" i="100" s="1"/>
  <c r="D61" i="100" a="1"/>
  <c r="D61" i="100" s="1"/>
  <c r="D69" i="100" a="1"/>
  <c r="D69" i="100" s="1"/>
  <c r="D77" i="100" a="1"/>
  <c r="D77" i="100" s="1"/>
  <c r="C25" i="100" a="1"/>
  <c r="C25" i="100" s="1"/>
  <c r="C40" i="100" a="1"/>
  <c r="C40" i="100" s="1"/>
  <c r="C48" i="100" a="1"/>
  <c r="C48" i="100" s="1"/>
  <c r="C56" i="100" a="1"/>
  <c r="C56" i="100" s="1"/>
  <c r="C64" i="100" a="1"/>
  <c r="C64" i="100" s="1"/>
  <c r="C72" i="100" a="1"/>
  <c r="C72" i="100" s="1"/>
  <c r="C20" i="100" a="1"/>
  <c r="C20" i="100" s="1"/>
  <c r="C28" i="100" a="1"/>
  <c r="C28" i="100" s="1"/>
  <c r="C33" i="100" a="1"/>
  <c r="C33" i="100" s="1"/>
  <c r="C35" i="100" a="1"/>
  <c r="C35" i="100" s="1"/>
  <c r="C43" i="100" a="1"/>
  <c r="C43" i="100" s="1"/>
  <c r="C51" i="100" a="1"/>
  <c r="C51" i="100" s="1"/>
  <c r="C59" i="100" a="1"/>
  <c r="C59" i="100" s="1"/>
  <c r="C67" i="100" a="1"/>
  <c r="C67" i="100" s="1"/>
  <c r="C75" i="100" a="1"/>
  <c r="C75" i="100" s="1"/>
  <c r="C23" i="100" a="1"/>
  <c r="C23" i="100" s="1"/>
  <c r="C38" i="100" a="1"/>
  <c r="C38" i="100" s="1"/>
  <c r="C46" i="100" a="1"/>
  <c r="C46" i="100" s="1"/>
  <c r="C54" i="100" a="1"/>
  <c r="C54" i="100" s="1"/>
  <c r="C62" i="100" a="1"/>
  <c r="C62" i="100" s="1"/>
  <c r="C70" i="100" a="1"/>
  <c r="C70" i="100" s="1"/>
  <c r="C31" i="100" a="1"/>
  <c r="C31" i="100" s="1"/>
  <c r="D23" i="100" a="1"/>
  <c r="D23" i="100" s="1"/>
  <c r="D31" i="100" a="1"/>
  <c r="D31" i="100" s="1"/>
  <c r="D38" i="100" a="1"/>
  <c r="D38" i="100" s="1"/>
  <c r="D46" i="100" a="1"/>
  <c r="D46" i="100" s="1"/>
  <c r="D54" i="100" a="1"/>
  <c r="D54" i="100" s="1"/>
  <c r="D62" i="100" a="1"/>
  <c r="D62" i="100" s="1"/>
  <c r="D70" i="100" a="1"/>
  <c r="D70" i="100" s="1"/>
  <c r="C41" i="100" a="1"/>
  <c r="C41" i="100" s="1"/>
  <c r="C49" i="100" a="1"/>
  <c r="C49" i="100" s="1"/>
  <c r="C57" i="100" a="1"/>
  <c r="C57" i="100" s="1"/>
  <c r="C65" i="100" a="1"/>
  <c r="C65" i="100" s="1"/>
  <c r="C73" i="100" a="1"/>
  <c r="C73" i="100" s="1"/>
  <c r="C18" i="100" a="1"/>
  <c r="C18" i="100" s="1"/>
  <c r="C26" i="100" a="1"/>
  <c r="C26" i="100" s="1"/>
  <c r="D18" i="100" a="1"/>
  <c r="D18" i="100" s="1"/>
  <c r="D26" i="100" a="1"/>
  <c r="D26" i="100" s="1"/>
  <c r="D41" i="100" a="1"/>
  <c r="D41" i="100" s="1"/>
  <c r="D49" i="100" a="1"/>
  <c r="D49" i="100" s="1"/>
  <c r="D57" i="100" a="1"/>
  <c r="D57" i="100" s="1"/>
  <c r="D65" i="100" a="1"/>
  <c r="D65" i="100" s="1"/>
  <c r="D73" i="100" a="1"/>
  <c r="D73" i="100" s="1"/>
  <c r="C21" i="100" a="1"/>
  <c r="C21" i="100" s="1"/>
  <c r="C29" i="100" a="1"/>
  <c r="C29" i="100" s="1"/>
  <c r="C36" i="100" a="1"/>
  <c r="C36" i="100" s="1"/>
  <c r="C44" i="100" a="1"/>
  <c r="C44" i="100" s="1"/>
  <c r="C52" i="100" a="1"/>
  <c r="C52" i="100" s="1"/>
  <c r="C60" i="100" a="1"/>
  <c r="C60" i="100" s="1"/>
  <c r="C68" i="100" a="1"/>
  <c r="C68" i="100" s="1"/>
  <c r="C76" i="100" a="1"/>
  <c r="C76" i="100" s="1"/>
  <c r="B3" i="108"/>
  <c r="B14" i="108" s="1"/>
  <c r="G12" i="108"/>
  <c r="H12" i="108"/>
  <c r="C13" i="108"/>
  <c r="AO4" i="27" a="1"/>
  <c r="AO4" i="27" s="1"/>
  <c r="D14" i="108"/>
  <c r="E14" i="108"/>
  <c r="F14" i="108"/>
  <c r="C5" i="110" a="1"/>
  <c r="C5" i="110" s="1"/>
  <c r="F11" i="110" a="1"/>
  <c r="F11" i="110" s="1"/>
  <c r="E11" i="110" a="1"/>
  <c r="E11" i="110" s="1"/>
  <c r="AK7" i="27"/>
  <c r="AM7" i="27" s="1"/>
  <c r="AJ7" i="27" a="1"/>
  <c r="AJ7" i="27" s="1"/>
  <c r="AN7" i="27" s="1" a="1"/>
  <c r="AN7" i="27" s="1"/>
  <c r="AK5" i="27"/>
  <c r="AM5" i="27" s="1"/>
  <c r="AJ5" i="27" a="1"/>
  <c r="AJ5" i="27" s="1"/>
  <c r="AN5" i="27" s="1" a="1"/>
  <c r="AN5" i="27" s="1"/>
  <c r="AJ6" i="27" a="1"/>
  <c r="AJ6" i="27" s="1"/>
  <c r="AN6" i="27" s="1" a="1"/>
  <c r="AN6" i="27" s="1"/>
  <c r="AK6" i="27"/>
  <c r="AM6" i="27" s="1"/>
  <c r="AO7" i="27" a="1"/>
  <c r="AO7" i="27" s="1"/>
  <c r="AO6" i="27" a="1"/>
  <c r="AO6" i="27" s="1"/>
  <c r="AO5" i="27" a="1"/>
  <c r="AO5" i="27" s="1"/>
  <c r="AJ4" i="27" a="1"/>
  <c r="AJ4" i="27" s="1"/>
  <c r="AN4" i="27" s="1" a="1"/>
  <c r="AN4" i="27" s="1"/>
  <c r="C11" i="110" a="1"/>
  <c r="C11" i="110" s="1"/>
  <c r="H14" i="108"/>
  <c r="G9" i="110" a="1"/>
  <c r="G9" i="110" s="1"/>
  <c r="E9" i="110" a="1"/>
  <c r="E9" i="110" s="1"/>
  <c r="H14" i="110" a="1"/>
  <c r="H14" i="110" s="1"/>
  <c r="F8" i="110" a="1"/>
  <c r="F8" i="110" s="1"/>
  <c r="F14" i="110" a="1"/>
  <c r="F14" i="110" s="1"/>
  <c r="D7" i="110" a="1"/>
  <c r="D7" i="110" s="1"/>
  <c r="C11" i="108"/>
  <c r="D13" i="108"/>
  <c r="D14" i="110" a="1"/>
  <c r="D14" i="110" s="1"/>
  <c r="D11" i="108"/>
  <c r="E13" i="108"/>
  <c r="H13" i="110" a="1"/>
  <c r="H13" i="110" s="1"/>
  <c r="E10" i="110" a="1"/>
  <c r="E10" i="110" s="1"/>
  <c r="E11" i="108"/>
  <c r="F13" i="108"/>
  <c r="G13" i="110" a="1"/>
  <c r="G13" i="110" s="1"/>
  <c r="F11" i="108"/>
  <c r="G13" i="108"/>
  <c r="E13" i="110" a="1"/>
  <c r="E13" i="110" s="1"/>
  <c r="C6" i="110" a="1"/>
  <c r="C6" i="110" s="1"/>
  <c r="G11" i="108"/>
  <c r="H13" i="108"/>
  <c r="C13" i="110" a="1"/>
  <c r="C13" i="110" s="1"/>
  <c r="H11" i="108"/>
  <c r="H12" i="110" a="1"/>
  <c r="H12" i="110" s="1"/>
  <c r="G10" i="110" a="1"/>
  <c r="G10" i="110" s="1"/>
  <c r="F12" i="110" a="1"/>
  <c r="F12" i="110" s="1"/>
  <c r="C12" i="108"/>
  <c r="D12" i="110" a="1"/>
  <c r="D12" i="110" s="1"/>
  <c r="D12" i="108"/>
  <c r="G11" i="110" a="1"/>
  <c r="G11" i="110" s="1"/>
  <c r="C10" i="110" a="1"/>
  <c r="C10" i="110" s="1"/>
  <c r="A6" i="100" a="1"/>
  <c r="F8" i="108"/>
  <c r="G9" i="108"/>
  <c r="C6" i="108"/>
  <c r="D8" i="108"/>
  <c r="C9" i="110" a="1"/>
  <c r="C9" i="110" s="1"/>
  <c r="A4" i="108"/>
  <c r="D9" i="108"/>
  <c r="E9" i="108"/>
  <c r="F9" i="108"/>
  <c r="D8" i="110" a="1"/>
  <c r="D8" i="110" s="1"/>
  <c r="C5" i="108"/>
  <c r="C9" i="108"/>
  <c r="C7" i="108"/>
  <c r="F10" i="108"/>
  <c r="C10" i="108"/>
  <c r="D10" i="108"/>
  <c r="B2" i="105"/>
  <c r="B3" i="105" s="1"/>
  <c r="K3" i="105"/>
  <c r="I3" i="105"/>
  <c r="G3" i="105"/>
  <c r="E3" i="105"/>
  <c r="C3" i="105"/>
  <c r="D7" i="108"/>
  <c r="G10" i="108"/>
  <c r="F3" i="105"/>
  <c r="D6" i="108"/>
  <c r="E7" i="108"/>
  <c r="H10" i="108"/>
  <c r="H3" i="105"/>
  <c r="E10" i="108"/>
  <c r="J3" i="105"/>
  <c r="A4" i="110"/>
  <c r="H10" i="110" a="1"/>
  <c r="H10" i="110" s="1"/>
  <c r="F9" i="110" a="1"/>
  <c r="F9" i="110" s="1"/>
  <c r="D6" i="110" a="1"/>
  <c r="D6" i="110" s="1"/>
  <c r="C7" i="110" a="1"/>
  <c r="C7" i="110" s="1"/>
  <c r="D10" i="110" a="1"/>
  <c r="D10" i="110" s="1"/>
  <c r="E7" i="110" a="1"/>
  <c r="E7" i="110" s="1"/>
  <c r="F10" i="110" a="1"/>
  <c r="F10" i="110" s="1"/>
  <c r="C8" i="110" a="1"/>
  <c r="C8" i="110" s="1"/>
  <c r="E8" i="110" a="1"/>
  <c r="E8" i="110" s="1"/>
  <c r="D9" i="110" a="1"/>
  <c r="D9" i="110" s="1"/>
  <c r="C8" i="108"/>
  <c r="L3" i="105"/>
  <c r="E8" i="108"/>
  <c r="F12" i="108"/>
  <c r="C14" i="108"/>
  <c r="C14" i="110" a="1"/>
  <c r="C14" i="110" s="1"/>
  <c r="H11" i="110" a="1"/>
  <c r="H11" i="110" s="1"/>
  <c r="F13" i="110" a="1"/>
  <c r="F13" i="110" s="1"/>
  <c r="D11" i="110" a="1"/>
  <c r="D11" i="110" s="1"/>
  <c r="D13" i="110" a="1"/>
  <c r="D13" i="110" s="1"/>
  <c r="G12" i="110" a="1"/>
  <c r="G12" i="110" s="1"/>
  <c r="G14" i="110" a="1"/>
  <c r="G14" i="110" s="1"/>
  <c r="E12" i="110" a="1"/>
  <c r="E12" i="110" s="1"/>
  <c r="E14" i="110" a="1"/>
  <c r="E14" i="110" s="1"/>
  <c r="V14" i="112"/>
  <c r="U14" i="112"/>
  <c r="K11" i="112"/>
  <c r="W14" i="112"/>
  <c r="W11" i="112"/>
  <c r="H13" i="112"/>
  <c r="T14" i="112"/>
  <c r="G13" i="112"/>
  <c r="H10" i="112"/>
  <c r="F13" i="112"/>
  <c r="D6" i="112"/>
  <c r="E13" i="112"/>
  <c r="AA9" i="112"/>
  <c r="Z8" i="112"/>
  <c r="E15" i="112"/>
  <c r="S13" i="112"/>
  <c r="Y8" i="112"/>
  <c r="D15" i="112"/>
  <c r="R13" i="112"/>
  <c r="C15" i="112"/>
  <c r="M8" i="112"/>
  <c r="L8" i="112"/>
  <c r="L7" i="112"/>
  <c r="I13" i="112"/>
  <c r="M11" i="112"/>
  <c r="K7" i="112"/>
  <c r="Y11" i="112"/>
  <c r="S7" i="112"/>
  <c r="L11" i="112"/>
  <c r="S14" i="112"/>
  <c r="Z9" i="112"/>
  <c r="AA6" i="112"/>
  <c r="D13" i="112"/>
  <c r="K8" i="112"/>
  <c r="W15" i="112"/>
  <c r="R14" i="112"/>
  <c r="Y9" i="112"/>
  <c r="T8" i="112"/>
  <c r="Z6" i="112"/>
  <c r="I14" i="112"/>
  <c r="C13" i="112"/>
  <c r="I11" i="112"/>
  <c r="E7" i="112"/>
  <c r="V15" i="112"/>
  <c r="Y6" i="112"/>
  <c r="H14" i="112"/>
  <c r="U15" i="112"/>
  <c r="Q4" i="112"/>
  <c r="G14" i="112"/>
  <c r="M9" i="112"/>
  <c r="T15" i="112"/>
  <c r="AA10" i="112"/>
  <c r="F14" i="112"/>
  <c r="L9" i="112"/>
  <c r="M6" i="112"/>
  <c r="S15" i="112"/>
  <c r="Z10" i="112"/>
  <c r="U9" i="112"/>
  <c r="AA7" i="112"/>
  <c r="E14" i="112"/>
  <c r="K9" i="112"/>
  <c r="F8" i="112"/>
  <c r="L6" i="112"/>
  <c r="R15" i="112"/>
  <c r="Y10" i="112"/>
  <c r="Z7" i="112"/>
  <c r="I15" i="112"/>
  <c r="D14" i="112"/>
  <c r="K6" i="112"/>
  <c r="W13" i="112"/>
  <c r="Y7" i="112"/>
  <c r="H15" i="112"/>
  <c r="V13" i="112"/>
  <c r="G15" i="112"/>
  <c r="M10" i="112"/>
  <c r="U13" i="112"/>
  <c r="AA11" i="112"/>
  <c r="V10" i="112"/>
  <c r="R6" i="112"/>
  <c r="F15" i="112"/>
  <c r="L10" i="112"/>
  <c r="G9" i="112"/>
  <c r="M7" i="112"/>
  <c r="Z11" i="112"/>
  <c r="AA8" i="112"/>
  <c r="B5" i="112"/>
  <c r="P5" i="112"/>
  <c r="V6" i="105"/>
  <c r="V5" i="105"/>
  <c r="V8" i="105"/>
  <c r="V4" i="105"/>
  <c r="V7" i="105"/>
  <c r="AL1" i="27"/>
  <c r="B3" i="110"/>
  <c r="B5" i="110" s="1" a="1"/>
  <c r="B5" i="110" s="1"/>
  <c r="N4" i="110"/>
  <c r="O3" i="110"/>
  <c r="O8" i="110" s="1" a="1"/>
  <c r="O8" i="110" s="1"/>
  <c r="AG98" i="113" l="1"/>
  <c r="AS146" i="113"/>
  <c r="AG26" i="113"/>
  <c r="AG62" i="113"/>
  <c r="AG105" i="113"/>
  <c r="AG64" i="113"/>
  <c r="AR64" i="113"/>
  <c r="AG111" i="113"/>
  <c r="AR111" i="113"/>
  <c r="AG30" i="113"/>
  <c r="AR30" i="113"/>
  <c r="AG108" i="113"/>
  <c r="AR108" i="113"/>
  <c r="AG59" i="113"/>
  <c r="AR59" i="113"/>
  <c r="AG50" i="113"/>
  <c r="AR50" i="113"/>
  <c r="AG103" i="113"/>
  <c r="AR103" i="113"/>
  <c r="AG55" i="113"/>
  <c r="AR55" i="113"/>
  <c r="AG115" i="113"/>
  <c r="AR115" i="113"/>
  <c r="AG117" i="113"/>
  <c r="AR117" i="113"/>
  <c r="AG27" i="113"/>
  <c r="AR27" i="113"/>
  <c r="AG131" i="113"/>
  <c r="AR131" i="113"/>
  <c r="AG114" i="113"/>
  <c r="AR114" i="113"/>
  <c r="AG100" i="113"/>
  <c r="AR100" i="113"/>
  <c r="AG38" i="113"/>
  <c r="AR38" i="113"/>
  <c r="AG53" i="113"/>
  <c r="AR53" i="113"/>
  <c r="AG130" i="113"/>
  <c r="AR130" i="113"/>
  <c r="AG94" i="113"/>
  <c r="AR94" i="113"/>
  <c r="AG44" i="113"/>
  <c r="AR44" i="113"/>
  <c r="AG113" i="113"/>
  <c r="AR113" i="113"/>
  <c r="AG120" i="113"/>
  <c r="AR120" i="113"/>
  <c r="AG34" i="113"/>
  <c r="AR34" i="113"/>
  <c r="AG47" i="113"/>
  <c r="AR47" i="113"/>
  <c r="AG48" i="113"/>
  <c r="AR48" i="113"/>
  <c r="AG141" i="113"/>
  <c r="AR141" i="113"/>
  <c r="AG97" i="113"/>
  <c r="AR97" i="113"/>
  <c r="AG142" i="113"/>
  <c r="AR142" i="113"/>
  <c r="AG79" i="113"/>
  <c r="AR79" i="113"/>
  <c r="AG143" i="113"/>
  <c r="AG57" i="113"/>
  <c r="AR57" i="113"/>
  <c r="AG129" i="113"/>
  <c r="AR129" i="113"/>
  <c r="AG90" i="113"/>
  <c r="AR90" i="113"/>
  <c r="AG116" i="113"/>
  <c r="AR116" i="113"/>
  <c r="AG54" i="113"/>
  <c r="AR54" i="113"/>
  <c r="AG49" i="113"/>
  <c r="AR49" i="113"/>
  <c r="AG123" i="113"/>
  <c r="AR123" i="113"/>
  <c r="AG60" i="113"/>
  <c r="AR60" i="113"/>
  <c r="AG56" i="113"/>
  <c r="AR56" i="113"/>
  <c r="AG87" i="113"/>
  <c r="AR87" i="113"/>
  <c r="AG45" i="113"/>
  <c r="AR45" i="113"/>
  <c r="AG67" i="113"/>
  <c r="AR67" i="113"/>
  <c r="AG138" i="113"/>
  <c r="AR138" i="113"/>
  <c r="AG132" i="113"/>
  <c r="AR132" i="113"/>
  <c r="AG24" i="113"/>
  <c r="AR24" i="113"/>
  <c r="AG127" i="113"/>
  <c r="AG122" i="113"/>
  <c r="AR122" i="113"/>
  <c r="AG31" i="113"/>
  <c r="AR31" i="113"/>
  <c r="AG12" i="113"/>
  <c r="AR12" i="113"/>
  <c r="AG144" i="113"/>
  <c r="AR144" i="113"/>
  <c r="AG112" i="113"/>
  <c r="AR112" i="113"/>
  <c r="AG71" i="113"/>
  <c r="AR71" i="113"/>
  <c r="AG28" i="113"/>
  <c r="AR28" i="113"/>
  <c r="AG29" i="113"/>
  <c r="AR29" i="113"/>
  <c r="AG42" i="113"/>
  <c r="AR42" i="113"/>
  <c r="AG133" i="113"/>
  <c r="AR133" i="113"/>
  <c r="AG72" i="113"/>
  <c r="AR72" i="113"/>
  <c r="AG61" i="113"/>
  <c r="AR61" i="113"/>
  <c r="AG92" i="113"/>
  <c r="AR92" i="113"/>
  <c r="AG124" i="113"/>
  <c r="AR124" i="113"/>
  <c r="AG104" i="113"/>
  <c r="AR104" i="113"/>
  <c r="AG96" i="113"/>
  <c r="AR96" i="113"/>
  <c r="AG121" i="113"/>
  <c r="AR121" i="113"/>
  <c r="AG99" i="113"/>
  <c r="AR99" i="113"/>
  <c r="AG106" i="113"/>
  <c r="AR106" i="113"/>
  <c r="AG77" i="113"/>
  <c r="AR77" i="113"/>
  <c r="AG66" i="113"/>
  <c r="AR66" i="113"/>
  <c r="AG102" i="113"/>
  <c r="AR102" i="113"/>
  <c r="AG46" i="113"/>
  <c r="AR46" i="113"/>
  <c r="AG82" i="113"/>
  <c r="AR82" i="113"/>
  <c r="AG118" i="113"/>
  <c r="AR118" i="113"/>
  <c r="AG83" i="113"/>
  <c r="AR83" i="113"/>
  <c r="AG23" i="113"/>
  <c r="AR23" i="113"/>
  <c r="AG22" i="113"/>
  <c r="AR22" i="113"/>
  <c r="AG78" i="113"/>
  <c r="AR78" i="113"/>
  <c r="AG58" i="113"/>
  <c r="AR58" i="113"/>
  <c r="AG16" i="113"/>
  <c r="AR16" i="113"/>
  <c r="AG33" i="113"/>
  <c r="AR33" i="113"/>
  <c r="AG14" i="113"/>
  <c r="AR14" i="113"/>
  <c r="AG139" i="113"/>
  <c r="AR139" i="113"/>
  <c r="AG18" i="113"/>
  <c r="AR18" i="113"/>
  <c r="AG40" i="113"/>
  <c r="AR40" i="113"/>
  <c r="AG20" i="113"/>
  <c r="AR20" i="113"/>
  <c r="AG70" i="113"/>
  <c r="AR70" i="113"/>
  <c r="AG107" i="113"/>
  <c r="AR107" i="113"/>
  <c r="AG93" i="113"/>
  <c r="AR93" i="113"/>
  <c r="AG125" i="113"/>
  <c r="AR125" i="113"/>
  <c r="AG37" i="113"/>
  <c r="AR37" i="113"/>
  <c r="AG51" i="113"/>
  <c r="AR51" i="113"/>
  <c r="AG140" i="113"/>
  <c r="AR140" i="113"/>
  <c r="AG128" i="113"/>
  <c r="AR128" i="113"/>
  <c r="AG134" i="113"/>
  <c r="AR134" i="113"/>
  <c r="AG95" i="113"/>
  <c r="AR95" i="113"/>
  <c r="AG119" i="113"/>
  <c r="AR119" i="113"/>
  <c r="AG135" i="113"/>
  <c r="AR135" i="113"/>
  <c r="AG25" i="113"/>
  <c r="AR25" i="113"/>
  <c r="AG65" i="113"/>
  <c r="AR65" i="113"/>
  <c r="AG32" i="113"/>
  <c r="AR32" i="113"/>
  <c r="AG41" i="113"/>
  <c r="AR41" i="113"/>
  <c r="AG110" i="113"/>
  <c r="AR110" i="113"/>
  <c r="AG91" i="113"/>
  <c r="AR91" i="113"/>
  <c r="AG137" i="113"/>
  <c r="AR137" i="113"/>
  <c r="AG35" i="113"/>
  <c r="AR35" i="113"/>
  <c r="AG36" i="113"/>
  <c r="AR36" i="113"/>
  <c r="AG80" i="113"/>
  <c r="AR80" i="113"/>
  <c r="AG84" i="113"/>
  <c r="AR84" i="113"/>
  <c r="AG136" i="113"/>
  <c r="AR136" i="113"/>
  <c r="AG13" i="113"/>
  <c r="AR13" i="113"/>
  <c r="AG101" i="113"/>
  <c r="AR101" i="113"/>
  <c r="AG39" i="113"/>
  <c r="AR39" i="113"/>
  <c r="AG81" i="113"/>
  <c r="AR81" i="113"/>
  <c r="AU152" i="93"/>
  <c r="AU149" i="93"/>
  <c r="AU153" i="93"/>
  <c r="AU151" i="93"/>
  <c r="AU150" i="93"/>
  <c r="AO145" i="27"/>
  <c r="AS5" i="27"/>
  <c r="AT5" i="27" s="1" a="1"/>
  <c r="AT5" i="27" s="1"/>
  <c r="AS7" i="27"/>
  <c r="AT7" i="27" s="1" a="1"/>
  <c r="AT7" i="27" s="1"/>
  <c r="AP4" i="93"/>
  <c r="AF7" i="93"/>
  <c r="BE4" i="27"/>
  <c r="BO4" i="27" s="1"/>
  <c r="BE7" i="27"/>
  <c r="BF7" i="27" s="1"/>
  <c r="BK7" i="27" s="1"/>
  <c r="BO7" i="27" s="1"/>
  <c r="BE6" i="27"/>
  <c r="BO6" i="27" s="1"/>
  <c r="BE5" i="27"/>
  <c r="BF5" i="27" s="1"/>
  <c r="BK5" i="27" s="1"/>
  <c r="BO5" i="27" s="1"/>
  <c r="AF5" i="93"/>
  <c r="AF6" i="93"/>
  <c r="AQ4" i="27"/>
  <c r="AQ6" i="27"/>
  <c r="AS6" i="27"/>
  <c r="AT6" i="27" s="1" a="1"/>
  <c r="AT6" i="27" s="1"/>
  <c r="F17" i="100" a="1"/>
  <c r="F17" i="100" s="1"/>
  <c r="E17" i="100" a="1"/>
  <c r="E17" i="100" s="1"/>
  <c r="B17" i="100" a="1"/>
  <c r="B17" i="100" s="1"/>
  <c r="C17" i="100" a="1"/>
  <c r="C17" i="100" s="1"/>
  <c r="D17" i="100" a="1"/>
  <c r="D17" i="100" s="1"/>
  <c r="F16" i="100" a="1"/>
  <c r="F16" i="100" s="1"/>
  <c r="B16" i="100" a="1"/>
  <c r="B16" i="100" s="1"/>
  <c r="E16" i="100" a="1"/>
  <c r="E16" i="100" s="1"/>
  <c r="C16" i="100" a="1"/>
  <c r="C16" i="100" s="1"/>
  <c r="D16" i="100" a="1"/>
  <c r="D16" i="100" s="1"/>
  <c r="AK7" i="92"/>
  <c r="AD6" i="93"/>
  <c r="AC7" i="93"/>
  <c r="AC5" i="93"/>
  <c r="AC6" i="93"/>
  <c r="AD7" i="93"/>
  <c r="AM4" i="92"/>
  <c r="F15" i="100" a="1"/>
  <c r="F15" i="100" s="1"/>
  <c r="E15" i="100" a="1"/>
  <c r="E15" i="100" s="1"/>
  <c r="B15" i="100" a="1"/>
  <c r="B15" i="100" s="1"/>
  <c r="D15" i="100" a="1"/>
  <c r="D15" i="100" s="1"/>
  <c r="C15" i="100" a="1"/>
  <c r="C15" i="100" s="1"/>
  <c r="AM6" i="92"/>
  <c r="AM5" i="92"/>
  <c r="AE9" i="105"/>
  <c r="AB9" i="105"/>
  <c r="AH9" i="105"/>
  <c r="AG9" i="105"/>
  <c r="AD9" i="105"/>
  <c r="AA9" i="105"/>
  <c r="O9" i="108"/>
  <c r="O5" i="108"/>
  <c r="X11" i="112"/>
  <c r="O8" i="108"/>
  <c r="AC9" i="105"/>
  <c r="Y9" i="105"/>
  <c r="AF9" i="105"/>
  <c r="X9" i="105"/>
  <c r="Z9" i="105"/>
  <c r="U12" i="112"/>
  <c r="O7" i="108"/>
  <c r="O4" i="108"/>
  <c r="V12" i="112"/>
  <c r="X8" i="112"/>
  <c r="O6" i="110" a="1"/>
  <c r="O6" i="110" s="1"/>
  <c r="W6" i="105" a="1"/>
  <c r="W6" i="105" s="1"/>
  <c r="W7" i="105" a="1"/>
  <c r="W7" i="105" s="1"/>
  <c r="W8" i="105" a="1"/>
  <c r="W8" i="105" s="1"/>
  <c r="W4" i="105" a="1"/>
  <c r="W4" i="105" s="1"/>
  <c r="W5" i="105" a="1"/>
  <c r="W5" i="105" s="1"/>
  <c r="X10" i="112"/>
  <c r="T12" i="112"/>
  <c r="W12" i="112"/>
  <c r="X9" i="112"/>
  <c r="AB27" i="105"/>
  <c r="O12" i="110" a="1"/>
  <c r="O12" i="110" s="1"/>
  <c r="O10" i="110" a="1"/>
  <c r="O10" i="110" s="1"/>
  <c r="O7" i="110" a="1"/>
  <c r="O7" i="110" s="1"/>
  <c r="O14" i="110" a="1"/>
  <c r="O14" i="110" s="1"/>
  <c r="O11" i="110" a="1"/>
  <c r="O11" i="110" s="1"/>
  <c r="O13" i="110" a="1"/>
  <c r="O13" i="110" s="1"/>
  <c r="O9" i="110" a="1"/>
  <c r="O9" i="110" s="1"/>
  <c r="O5" i="110" a="1"/>
  <c r="O5" i="110" s="1"/>
  <c r="O4" i="110" a="1"/>
  <c r="O4" i="110" s="1"/>
  <c r="X7" i="112"/>
  <c r="R12" i="112"/>
  <c r="O14" i="108"/>
  <c r="O13" i="108"/>
  <c r="O11" i="108"/>
  <c r="O10" i="108"/>
  <c r="O12" i="108"/>
  <c r="X6" i="112"/>
  <c r="S12" i="112"/>
  <c r="AC5" i="92"/>
  <c r="AK5" i="92"/>
  <c r="AD5" i="92"/>
  <c r="AL5" i="92"/>
  <c r="AC6" i="92"/>
  <c r="AK6" i="92"/>
  <c r="AB6" i="92"/>
  <c r="AJ6" i="92"/>
  <c r="AB5" i="92"/>
  <c r="AJ5" i="92"/>
  <c r="AD4" i="92"/>
  <c r="AL4" i="92"/>
  <c r="AB7" i="92"/>
  <c r="AJ7" i="92"/>
  <c r="AE7" i="92"/>
  <c r="AM7" i="92"/>
  <c r="AB4" i="92"/>
  <c r="AJ4" i="92"/>
  <c r="AD7" i="92"/>
  <c r="AL7" i="92"/>
  <c r="AC4" i="92"/>
  <c r="AK4" i="92"/>
  <c r="AD6" i="92"/>
  <c r="AI5" i="92"/>
  <c r="AN7" i="92"/>
  <c r="AF7" i="92"/>
  <c r="AO7" i="92"/>
  <c r="AG7" i="92"/>
  <c r="AI7" i="92"/>
  <c r="AA7" i="92"/>
  <c r="AH7" i="92"/>
  <c r="AP7" i="92"/>
  <c r="AP4" i="92"/>
  <c r="AH4" i="92"/>
  <c r="AH5" i="92"/>
  <c r="AP5" i="92"/>
  <c r="AI6" i="92"/>
  <c r="AA6" i="92"/>
  <c r="AF5" i="92"/>
  <c r="AN5" i="92"/>
  <c r="AO6" i="92"/>
  <c r="AG6" i="92"/>
  <c r="AG5" i="92"/>
  <c r="AO5" i="92"/>
  <c r="AG4" i="92"/>
  <c r="AO4" i="92"/>
  <c r="AP6" i="92"/>
  <c r="AH6" i="92"/>
  <c r="AI4" i="92"/>
  <c r="AA4" i="92"/>
  <c r="AN6" i="92"/>
  <c r="AF6" i="92"/>
  <c r="AN4" i="92"/>
  <c r="AS4" i="27"/>
  <c r="AT4" i="27" s="1" a="1"/>
  <c r="AT4" i="27" s="1"/>
  <c r="B13" i="108"/>
  <c r="B8" i="108"/>
  <c r="B6" i="108"/>
  <c r="B4" i="108"/>
  <c r="B7" i="108"/>
  <c r="B5" i="108"/>
  <c r="B11" i="108"/>
  <c r="B12" i="108"/>
  <c r="B10" i="108"/>
  <c r="B9" i="108"/>
  <c r="AQ7" i="27"/>
  <c r="J27" i="105"/>
  <c r="AR4" i="27"/>
  <c r="AU4" i="27" a="1"/>
  <c r="AU4" i="27" s="1"/>
  <c r="AP4" i="27" a="1"/>
  <c r="AP4" i="27" s="1"/>
  <c r="C12" i="100" a="1"/>
  <c r="C12" i="100" s="1"/>
  <c r="B12" i="100" a="1"/>
  <c r="B12" i="100" s="1"/>
  <c r="D11" i="100" a="1"/>
  <c r="D11" i="100" s="1"/>
  <c r="F14" i="100" a="1"/>
  <c r="F14" i="100" s="1"/>
  <c r="E11" i="100" a="1"/>
  <c r="E11" i="100" s="1"/>
  <c r="E14" i="100" a="1"/>
  <c r="E14" i="100" s="1"/>
  <c r="D14" i="100" a="1"/>
  <c r="D14" i="100" s="1"/>
  <c r="C11" i="100" a="1"/>
  <c r="C11" i="100" s="1"/>
  <c r="C14" i="100" a="1"/>
  <c r="C14" i="100" s="1"/>
  <c r="B11" i="100" a="1"/>
  <c r="B11" i="100" s="1"/>
  <c r="B14" i="100" a="1"/>
  <c r="B14" i="100" s="1"/>
  <c r="F10" i="100" a="1"/>
  <c r="F10" i="100" s="1"/>
  <c r="F11" i="100" a="1"/>
  <c r="F11" i="100" s="1"/>
  <c r="F13" i="100" a="1"/>
  <c r="F13" i="100" s="1"/>
  <c r="E10" i="100" a="1"/>
  <c r="E10" i="100" s="1"/>
  <c r="D10" i="100" a="1"/>
  <c r="D10" i="100" s="1"/>
  <c r="B13" i="100" a="1"/>
  <c r="B13" i="100" s="1"/>
  <c r="E13" i="100" a="1"/>
  <c r="E13" i="100" s="1"/>
  <c r="C13" i="100" a="1"/>
  <c r="C13" i="100" s="1"/>
  <c r="D13" i="100" a="1"/>
  <c r="D13" i="100" s="1"/>
  <c r="C10" i="100" a="1"/>
  <c r="C10" i="100" s="1"/>
  <c r="B10" i="100" a="1"/>
  <c r="B10" i="100" s="1"/>
  <c r="F12" i="100" a="1"/>
  <c r="F12" i="100" s="1"/>
  <c r="D12" i="100" a="1"/>
  <c r="D12" i="100" s="1"/>
  <c r="E12" i="100" a="1"/>
  <c r="E12" i="100" s="1"/>
  <c r="F9" i="100" a="1"/>
  <c r="F9" i="100" s="1"/>
  <c r="E9" i="100" a="1"/>
  <c r="E9" i="100" s="1"/>
  <c r="D9" i="100" a="1"/>
  <c r="D9" i="100" s="1"/>
  <c r="C9" i="100" a="1"/>
  <c r="C9" i="100" s="1"/>
  <c r="B9" i="100" a="1"/>
  <c r="B9" i="100" s="1"/>
  <c r="AR5" i="27"/>
  <c r="AU5" i="27" a="1"/>
  <c r="AU5" i="27" s="1"/>
  <c r="AP5" i="27" a="1"/>
  <c r="AP5" i="27" s="1"/>
  <c r="AQ5" i="27"/>
  <c r="AR6" i="27"/>
  <c r="AP6" i="27" a="1"/>
  <c r="AP6" i="27" s="1"/>
  <c r="AU6" i="27" a="1"/>
  <c r="AU6" i="27" s="1"/>
  <c r="AU7" i="27" a="1"/>
  <c r="AU7" i="27" s="1"/>
  <c r="AP7" i="27" a="1"/>
  <c r="AP7" i="27" s="1"/>
  <c r="AR7" i="27"/>
  <c r="C4" i="105" a="1"/>
  <c r="C4" i="105" s="1"/>
  <c r="A6" i="100"/>
  <c r="E8" i="100" a="1"/>
  <c r="E8" i="100" s="1"/>
  <c r="C8" i="100" a="1"/>
  <c r="C8" i="100" s="1"/>
  <c r="F7" i="100" a="1"/>
  <c r="F7" i="100" s="1"/>
  <c r="B7" i="100" a="1"/>
  <c r="B7" i="100" s="1"/>
  <c r="C7" i="100" a="1"/>
  <c r="C7" i="100" s="1"/>
  <c r="B8" i="100" a="1"/>
  <c r="B8" i="100" s="1"/>
  <c r="F8" i="100" a="1"/>
  <c r="F8" i="100" s="1"/>
  <c r="D8" i="100" a="1"/>
  <c r="D8" i="100" s="1"/>
  <c r="E7" i="100" a="1"/>
  <c r="E7" i="100" s="1"/>
  <c r="D7" i="100" a="1"/>
  <c r="D7" i="100" s="1"/>
  <c r="B6" i="110" a="1"/>
  <c r="B6" i="110" s="1"/>
  <c r="B13" i="110" a="1"/>
  <c r="B13" i="110" s="1"/>
  <c r="B11" i="110" a="1"/>
  <c r="B11" i="110" s="1"/>
  <c r="B7" i="110" a="1"/>
  <c r="B7" i="110" s="1"/>
  <c r="B12" i="110" a="1"/>
  <c r="B12" i="110" s="1"/>
  <c r="B8" i="110" a="1"/>
  <c r="B8" i="110" s="1"/>
  <c r="B14" i="110" a="1"/>
  <c r="B14" i="110" s="1"/>
  <c r="B4" i="110" a="1"/>
  <c r="B4" i="110" s="1"/>
  <c r="B9" i="110" a="1"/>
  <c r="B9" i="110" s="1"/>
  <c r="B10" i="110" a="1"/>
  <c r="B10" i="110" s="1"/>
  <c r="W6" i="112"/>
  <c r="R10" i="112"/>
  <c r="T6" i="112"/>
  <c r="T10" i="112"/>
  <c r="U11" i="112"/>
  <c r="W10" i="112"/>
  <c r="U6" i="112"/>
  <c r="T9" i="112"/>
  <c r="S8" i="112"/>
  <c r="T7" i="112"/>
  <c r="R7" i="112"/>
  <c r="V9" i="112"/>
  <c r="R11" i="112"/>
  <c r="W7" i="112"/>
  <c r="U8" i="112"/>
  <c r="U7" i="112"/>
  <c r="S9" i="112"/>
  <c r="T11" i="112"/>
  <c r="V8" i="112"/>
  <c r="V6" i="112"/>
  <c r="Q9" i="112"/>
  <c r="S10" i="112"/>
  <c r="V7" i="112"/>
  <c r="R8" i="112"/>
  <c r="W8" i="112"/>
  <c r="V11" i="112"/>
  <c r="S6" i="112"/>
  <c r="W9" i="112"/>
  <c r="R5" i="112"/>
  <c r="U10" i="112"/>
  <c r="R9" i="112"/>
  <c r="S11" i="112"/>
  <c r="H27" i="105"/>
  <c r="Q11" i="112"/>
  <c r="Y5" i="112"/>
  <c r="X5" i="112"/>
  <c r="W5" i="112"/>
  <c r="AA5" i="112"/>
  <c r="U5" i="112"/>
  <c r="V5" i="112"/>
  <c r="T5" i="112"/>
  <c r="S5" i="112"/>
  <c r="Q5" i="112"/>
  <c r="Z5" i="112"/>
  <c r="Q12" i="112"/>
  <c r="Q15" i="112"/>
  <c r="Q10" i="112"/>
  <c r="Q14" i="112"/>
  <c r="Q13" i="112"/>
  <c r="Q7" i="112"/>
  <c r="M5" i="112"/>
  <c r="C5" i="112"/>
  <c r="L5" i="112"/>
  <c r="K5" i="112"/>
  <c r="Q8" i="112"/>
  <c r="Q6" i="112"/>
  <c r="G27" i="105"/>
  <c r="I27" i="105"/>
  <c r="AA27" i="105"/>
  <c r="Z27" i="105"/>
  <c r="Y27" i="105"/>
  <c r="X27" i="105"/>
  <c r="W27" i="105"/>
  <c r="V27" i="105"/>
  <c r="U27" i="105"/>
  <c r="C27" i="105"/>
  <c r="D27" i="105"/>
  <c r="E27" i="105"/>
  <c r="F27" i="105"/>
  <c r="V9" i="105"/>
  <c r="AM1" i="27"/>
  <c r="BO145" i="27" l="1"/>
  <c r="BM6" i="27"/>
  <c r="AF7" i="113"/>
  <c r="AD7" i="113" s="1"/>
  <c r="AF5" i="113"/>
  <c r="AD5" i="113" s="1"/>
  <c r="BK145" i="27"/>
  <c r="AU145" i="27"/>
  <c r="BN4" i="27"/>
  <c r="BM4" i="27"/>
  <c r="BN5" i="27"/>
  <c r="BM5" i="27"/>
  <c r="BN7" i="27"/>
  <c r="BM7" i="27"/>
  <c r="BF6" i="27"/>
  <c r="BN6" i="27"/>
  <c r="BA7" i="27" a="1"/>
  <c r="BA7" i="27" s="1"/>
  <c r="BA5" i="27" a="1"/>
  <c r="BA5" i="27" s="1"/>
  <c r="BA6" i="27" a="1"/>
  <c r="BA6" i="27" s="1"/>
  <c r="BC7" i="27" a="1"/>
  <c r="BC7" i="27" s="1"/>
  <c r="BC5" i="27" a="1"/>
  <c r="BC5" i="27" s="1"/>
  <c r="BC6" i="27" a="1"/>
  <c r="BC6" i="27" s="1"/>
  <c r="BA4" i="27" a="1"/>
  <c r="BA4" i="27" s="1"/>
  <c r="BC4" i="27" a="1"/>
  <c r="BC4" i="27" s="1"/>
  <c r="BF4" i="27"/>
  <c r="BB4" i="27" a="1"/>
  <c r="BB4" i="27" s="1"/>
  <c r="BB6" i="27" a="1"/>
  <c r="BB6" i="27" s="1"/>
  <c r="BB7" i="27" a="1"/>
  <c r="BB7" i="27" s="1"/>
  <c r="BB5" i="27" a="1"/>
  <c r="BB5" i="27" s="1"/>
  <c r="BD4" i="27" a="1"/>
  <c r="BD4" i="27" s="1"/>
  <c r="AO6" i="93" a="1"/>
  <c r="AO6" i="93" s="1"/>
  <c r="AP6" i="93"/>
  <c r="AP5" i="93"/>
  <c r="AO5" i="93" a="1"/>
  <c r="AO5" i="93" s="1"/>
  <c r="AO7" i="93" a="1"/>
  <c r="AO7" i="93" s="1"/>
  <c r="AP7" i="93"/>
  <c r="BD7" i="27" a="1"/>
  <c r="BD7" i="27" s="1"/>
  <c r="BD5" i="27" a="1"/>
  <c r="BD5" i="27" s="1"/>
  <c r="AT1" i="27"/>
  <c r="D10" i="112"/>
  <c r="BD6" i="27" a="1"/>
  <c r="BD6" i="27" s="1"/>
  <c r="W9" i="105"/>
  <c r="V10" i="105" s="1" a="1"/>
  <c r="V10" i="105" s="1"/>
  <c r="J5" i="112"/>
  <c r="F12" i="112"/>
  <c r="D9" i="112"/>
  <c r="E12" i="112"/>
  <c r="H12" i="112"/>
  <c r="G12" i="112"/>
  <c r="J7" i="112"/>
  <c r="J8" i="112"/>
  <c r="J9" i="112"/>
  <c r="I12" i="112"/>
  <c r="J11" i="112"/>
  <c r="J10" i="112"/>
  <c r="C12" i="112"/>
  <c r="J6" i="112"/>
  <c r="D12" i="112"/>
  <c r="G5" i="112"/>
  <c r="AW4" i="27"/>
  <c r="AV4" i="27" a="1"/>
  <c r="AV4" i="27" s="1"/>
  <c r="AX4" i="27"/>
  <c r="F6" i="112"/>
  <c r="D8" i="112"/>
  <c r="D11" i="112"/>
  <c r="G7" i="112"/>
  <c r="D5" i="112"/>
  <c r="D7" i="112"/>
  <c r="F9" i="112"/>
  <c r="AW7" i="27"/>
  <c r="AV7" i="27" a="1"/>
  <c r="AV7" i="27" s="1"/>
  <c r="AX7" i="27"/>
  <c r="F11" i="112"/>
  <c r="G6" i="112"/>
  <c r="AX6" i="27"/>
  <c r="AV6" i="27" a="1"/>
  <c r="AV6" i="27" s="1"/>
  <c r="AW6" i="27"/>
  <c r="F5" i="112"/>
  <c r="H9" i="112"/>
  <c r="C9" i="112"/>
  <c r="C8" i="112"/>
  <c r="C7" i="112"/>
  <c r="G8" i="112"/>
  <c r="C11" i="112"/>
  <c r="F10" i="112"/>
  <c r="F7" i="112"/>
  <c r="C6" i="112"/>
  <c r="G10" i="112"/>
  <c r="C10" i="112"/>
  <c r="G11" i="112"/>
  <c r="AW5" i="27"/>
  <c r="AV5" i="27" a="1"/>
  <c r="AV5" i="27" s="1"/>
  <c r="AX5" i="27"/>
  <c r="I7" i="112"/>
  <c r="H8" i="112"/>
  <c r="H6" i="100" a="1"/>
  <c r="F6" i="100" a="1"/>
  <c r="F6" i="100" s="1"/>
  <c r="E6" i="100" a="1"/>
  <c r="E6" i="100" s="1"/>
  <c r="D6" i="100" a="1"/>
  <c r="D6" i="100" s="1"/>
  <c r="Q32" i="100" s="1"/>
  <c r="C6" i="100" a="1"/>
  <c r="C6" i="100" s="1"/>
  <c r="Q31" i="100" s="1"/>
  <c r="B6" i="100" a="1"/>
  <c r="B6" i="100" s="1"/>
  <c r="Q30" i="100" s="1"/>
  <c r="H7" i="112"/>
  <c r="H11" i="112"/>
  <c r="E8" i="112"/>
  <c r="E11" i="112"/>
  <c r="E9" i="112"/>
  <c r="E6" i="112"/>
  <c r="E10" i="112"/>
  <c r="I6" i="112"/>
  <c r="H5" i="112"/>
  <c r="AN1" i="27"/>
  <c r="I5" i="112"/>
  <c r="E5" i="112"/>
  <c r="I10" i="112"/>
  <c r="I9" i="112"/>
  <c r="H6" i="112"/>
  <c r="I8" i="112"/>
  <c r="D16" i="115" l="1"/>
  <c r="AH5" i="113"/>
  <c r="X5" i="113"/>
  <c r="AA5" i="113"/>
  <c r="AH7" i="113"/>
  <c r="X7" i="113"/>
  <c r="AA7" i="113"/>
  <c r="AB5" i="113"/>
  <c r="Z5" i="113"/>
  <c r="Y5" i="113"/>
  <c r="AB7" i="113"/>
  <c r="Z7" i="113"/>
  <c r="Y7" i="113"/>
  <c r="AE5" i="113"/>
  <c r="AE7" i="113"/>
  <c r="AF146" i="113"/>
  <c r="BN1" i="27"/>
  <c r="BF145" i="27"/>
  <c r="BM145" i="27"/>
  <c r="BN145" i="27"/>
  <c r="AT5" i="93"/>
  <c r="BK1" i="27"/>
  <c r="B5" i="105"/>
  <c r="AT6" i="93"/>
  <c r="AT7" i="93"/>
  <c r="AT4" i="93"/>
  <c r="I25" i="100" a="1"/>
  <c r="I25" i="100" s="1"/>
  <c r="I26" i="100" a="1"/>
  <c r="I26" i="100" s="1"/>
  <c r="AY4" i="27"/>
  <c r="AZ4" i="27" s="1" a="1"/>
  <c r="AZ4" i="27" s="1"/>
  <c r="AY5" i="27"/>
  <c r="AZ5" i="27" s="1" a="1"/>
  <c r="AZ5" i="27" s="1"/>
  <c r="AY6" i="27"/>
  <c r="AZ6" i="27" s="1" a="1"/>
  <c r="AZ6" i="27" s="1"/>
  <c r="AY7" i="27"/>
  <c r="AZ7" i="27" s="1" a="1"/>
  <c r="AZ7" i="27" s="1"/>
  <c r="I24" i="100" a="1"/>
  <c r="I24" i="100" s="1"/>
  <c r="I23" i="100" a="1"/>
  <c r="I23" i="100" s="1"/>
  <c r="I22" i="100" a="1"/>
  <c r="I22" i="100" s="1"/>
  <c r="BD1" i="27"/>
  <c r="BB1" i="27"/>
  <c r="I21" i="100" a="1"/>
  <c r="I21" i="100" s="1"/>
  <c r="I17" i="100" a="1"/>
  <c r="I17" i="100" s="1"/>
  <c r="I20" i="100" a="1"/>
  <c r="I20" i="100" s="1"/>
  <c r="I16" i="100" a="1"/>
  <c r="I16" i="100" s="1"/>
  <c r="I15" i="100" a="1"/>
  <c r="I15" i="100" s="1"/>
  <c r="I19" i="100" a="1"/>
  <c r="I19" i="100" s="1"/>
  <c r="I18" i="100" a="1"/>
  <c r="I18" i="100" s="1"/>
  <c r="I13" i="100" a="1"/>
  <c r="I13" i="100" s="1"/>
  <c r="I14" i="100" a="1"/>
  <c r="I14" i="100" s="1"/>
  <c r="H6" i="100"/>
  <c r="I12" i="100" a="1"/>
  <c r="I12" i="100" s="1"/>
  <c r="I11" i="100" a="1"/>
  <c r="I11" i="100" s="1"/>
  <c r="I10" i="100" a="1"/>
  <c r="I10" i="100" s="1"/>
  <c r="I9" i="100" a="1"/>
  <c r="I9" i="100" s="1"/>
  <c r="I8" i="100" a="1"/>
  <c r="I8" i="100" s="1"/>
  <c r="I7" i="100" a="1"/>
  <c r="I7" i="100" s="1"/>
  <c r="AG7" i="113" l="1"/>
  <c r="AR7" i="113"/>
  <c r="AG5" i="113"/>
  <c r="AR5" i="113"/>
  <c r="E16" i="115"/>
  <c r="D37" i="115"/>
  <c r="E37" i="115" s="1"/>
  <c r="AH146" i="113"/>
  <c r="AH1" i="113"/>
  <c r="AT2" i="93"/>
  <c r="AZ1" i="27"/>
  <c r="BI7" i="27"/>
  <c r="BJ7" i="27" s="1"/>
  <c r="BI5" i="27"/>
  <c r="BJ5" i="27" s="1"/>
  <c r="BI4" i="27"/>
  <c r="BI6" i="27"/>
  <c r="BJ6" i="27" s="1"/>
  <c r="J6" i="100" a="1"/>
  <c r="J6" i="100" s="1"/>
  <c r="J7" i="100" s="1" a="1"/>
  <c r="J7" i="100" s="1"/>
  <c r="J8" i="100" s="1" a="1"/>
  <c r="J8" i="100" s="1"/>
  <c r="J9" i="100" s="1" a="1"/>
  <c r="J9" i="100" s="1"/>
  <c r="J10" i="100" s="1" a="1"/>
  <c r="J10" i="100" s="1"/>
  <c r="J11" i="100" s="1" a="1"/>
  <c r="J11" i="100" s="1"/>
  <c r="J12" i="100" s="1" a="1"/>
  <c r="J12" i="100" s="1"/>
  <c r="J13" i="100" s="1" a="1"/>
  <c r="J13" i="100" s="1"/>
  <c r="J14" i="100" s="1" a="1"/>
  <c r="J14" i="100" s="1"/>
  <c r="J15" i="100" s="1" a="1"/>
  <c r="J15" i="100" s="1"/>
  <c r="J16" i="100" s="1" a="1"/>
  <c r="J16" i="100" s="1"/>
  <c r="J17" i="100" s="1" a="1"/>
  <c r="J17" i="100" s="1"/>
  <c r="J18" i="100" s="1" a="1"/>
  <c r="J18" i="100" s="1"/>
  <c r="J19" i="100" s="1" a="1"/>
  <c r="J19" i="100" s="1"/>
  <c r="J20" i="100" s="1" a="1"/>
  <c r="J20" i="100" s="1"/>
  <c r="J21" i="100" s="1" a="1"/>
  <c r="J21" i="100" s="1"/>
  <c r="J22" i="100" s="1" a="1"/>
  <c r="J22" i="100" s="1"/>
  <c r="J23" i="100" s="1" a="1"/>
  <c r="J23" i="100" s="1"/>
  <c r="J24" i="100" s="1" a="1"/>
  <c r="J24" i="100" s="1"/>
  <c r="J25" i="100" s="1" a="1"/>
  <c r="J25" i="100" s="1"/>
  <c r="J26" i="100" s="1" a="1"/>
  <c r="J26" i="100" s="1"/>
  <c r="J27" i="100" s="1" a="1"/>
  <c r="J27" i="100" s="1"/>
  <c r="J28" i="100" s="1" a="1"/>
  <c r="J28" i="100" s="1"/>
  <c r="J29" i="100" s="1" a="1"/>
  <c r="J29" i="100" s="1"/>
  <c r="J30" i="100" s="1" a="1"/>
  <c r="J30" i="100" s="1"/>
  <c r="J31" i="100" s="1" a="1"/>
  <c r="J31" i="100" s="1"/>
  <c r="J32" i="100" s="1" a="1"/>
  <c r="J32" i="100" s="1"/>
  <c r="J33" i="100" s="1" a="1"/>
  <c r="J33" i="100" s="1"/>
  <c r="J34" i="100" s="1" a="1"/>
  <c r="J34" i="100" s="1"/>
  <c r="J35" i="100" s="1" a="1"/>
  <c r="J35" i="100" s="1"/>
  <c r="J36" i="100" s="1" a="1"/>
  <c r="J36" i="100" s="1"/>
  <c r="J37" i="100" s="1" a="1"/>
  <c r="J37" i="100" s="1"/>
  <c r="J38" i="100" s="1" a="1"/>
  <c r="J38" i="100" s="1"/>
  <c r="J39" i="100" s="1" a="1"/>
  <c r="J39" i="100" s="1"/>
  <c r="J40" i="100" s="1" a="1"/>
  <c r="J40" i="100" s="1"/>
  <c r="J41" i="100" s="1" a="1"/>
  <c r="J41" i="100" s="1"/>
  <c r="J42" i="100" s="1" a="1"/>
  <c r="J42" i="100" s="1"/>
  <c r="J43" i="100" s="1" a="1"/>
  <c r="J43" i="100" s="1"/>
  <c r="J44" i="100" s="1" a="1"/>
  <c r="J44" i="100" s="1"/>
  <c r="J45" i="100" s="1" a="1"/>
  <c r="J45" i="100" s="1"/>
  <c r="J46" i="100" s="1" a="1"/>
  <c r="J46" i="100" s="1"/>
  <c r="J47" i="100" s="1" a="1"/>
  <c r="J47" i="100" s="1"/>
  <c r="J48" i="100" s="1" a="1"/>
  <c r="J48" i="100" s="1"/>
  <c r="J49" i="100" s="1" a="1"/>
  <c r="J49" i="100" s="1"/>
  <c r="J50" i="100" s="1" a="1"/>
  <c r="J50" i="100" s="1"/>
  <c r="J51" i="100" s="1" a="1"/>
  <c r="J51" i="100" s="1"/>
  <c r="J52" i="100" s="1" a="1"/>
  <c r="J52" i="100" s="1"/>
  <c r="J53" i="100" s="1" a="1"/>
  <c r="J53" i="100" s="1"/>
  <c r="J54" i="100" s="1" a="1"/>
  <c r="J54" i="100" s="1"/>
  <c r="J55" i="100" s="1" a="1"/>
  <c r="J55" i="100" s="1"/>
  <c r="J56" i="100" s="1" a="1"/>
  <c r="J56" i="100" s="1"/>
  <c r="J57" i="100" s="1" a="1"/>
  <c r="J57" i="100" s="1"/>
  <c r="J58" i="100" s="1" a="1"/>
  <c r="J58" i="100" s="1"/>
  <c r="J59" i="100" s="1" a="1"/>
  <c r="J59" i="100" s="1"/>
  <c r="J60" i="100" s="1" a="1"/>
  <c r="J60" i="100" s="1"/>
  <c r="J61" i="100" s="1" a="1"/>
  <c r="J61" i="100" s="1"/>
  <c r="J62" i="100" s="1" a="1"/>
  <c r="J62" i="100" s="1"/>
  <c r="J63" i="100" s="1" a="1"/>
  <c r="J63" i="100" s="1"/>
  <c r="J64" i="100" s="1" a="1"/>
  <c r="J64" i="100" s="1"/>
  <c r="J65" i="100" s="1" a="1"/>
  <c r="J65" i="100" s="1"/>
  <c r="J66" i="100" s="1" a="1"/>
  <c r="J66" i="100" s="1"/>
  <c r="J67" i="100" s="1" a="1"/>
  <c r="J67" i="100" s="1"/>
  <c r="J68" i="100" s="1" a="1"/>
  <c r="J68" i="100" s="1"/>
  <c r="J69" i="100" s="1" a="1"/>
  <c r="J69" i="100" s="1"/>
  <c r="J70" i="100" s="1" a="1"/>
  <c r="J70" i="100" s="1"/>
  <c r="J71" i="100" s="1" a="1"/>
  <c r="J71" i="100" s="1"/>
  <c r="J72" i="100" s="1" a="1"/>
  <c r="J72" i="100" s="1"/>
  <c r="J73" i="100" s="1" a="1"/>
  <c r="J73" i="100" s="1"/>
  <c r="J74" i="100" s="1" a="1"/>
  <c r="J74" i="100" s="1"/>
  <c r="J75" i="100" s="1" a="1"/>
  <c r="J75" i="100" s="1"/>
  <c r="J76" i="100" s="1" a="1"/>
  <c r="J76" i="100" s="1"/>
  <c r="J77" i="100" s="1" a="1"/>
  <c r="J77" i="100" s="1"/>
  <c r="I6" i="100" a="1"/>
  <c r="I6" i="100" s="1"/>
  <c r="AB30" i="100" s="1" a="1"/>
  <c r="AB30" i="100" s="1"/>
  <c r="M6" i="100" a="1"/>
  <c r="M6" i="100" s="1"/>
  <c r="M7" i="100" s="1" a="1"/>
  <c r="M7" i="100" s="1"/>
  <c r="M8" i="100" s="1" a="1"/>
  <c r="M8" i="100" s="1"/>
  <c r="M9" i="100" s="1" a="1"/>
  <c r="M9" i="100" s="1"/>
  <c r="M10" i="100" s="1" a="1"/>
  <c r="M10" i="100" s="1"/>
  <c r="M11" i="100" s="1" a="1"/>
  <c r="M11" i="100" s="1"/>
  <c r="M12" i="100" s="1" a="1"/>
  <c r="M12" i="100" s="1"/>
  <c r="M13" i="100" s="1" a="1"/>
  <c r="M13" i="100" s="1"/>
  <c r="M14" i="100" s="1" a="1"/>
  <c r="M14" i="100" s="1"/>
  <c r="M15" i="100" s="1" a="1"/>
  <c r="M15" i="100" s="1"/>
  <c r="M16" i="100" s="1" a="1"/>
  <c r="M16" i="100" s="1"/>
  <c r="M17" i="100" s="1" a="1"/>
  <c r="M17" i="100" s="1"/>
  <c r="M18" i="100" s="1" a="1"/>
  <c r="M18" i="100" s="1"/>
  <c r="M19" i="100" s="1" a="1"/>
  <c r="M19" i="100" s="1"/>
  <c r="M20" i="100" s="1" a="1"/>
  <c r="M20" i="100" s="1"/>
  <c r="M21" i="100" s="1" a="1"/>
  <c r="M21" i="100" s="1"/>
  <c r="M22" i="100" s="1" a="1"/>
  <c r="M22" i="100" s="1"/>
  <c r="M23" i="100" s="1" a="1"/>
  <c r="M23" i="100" s="1"/>
  <c r="M24" i="100" s="1" a="1"/>
  <c r="M24" i="100" s="1"/>
  <c r="M25" i="100" s="1" a="1"/>
  <c r="M25" i="100" s="1"/>
  <c r="M26" i="100" s="1" a="1"/>
  <c r="M26" i="100" s="1"/>
  <c r="M27" i="100" s="1" a="1"/>
  <c r="M27" i="100" s="1"/>
  <c r="M28" i="100" s="1" a="1"/>
  <c r="M28" i="100" s="1"/>
  <c r="M29" i="100" s="1" a="1"/>
  <c r="M29" i="100" s="1"/>
  <c r="M30" i="100" s="1" a="1"/>
  <c r="M30" i="100" s="1"/>
  <c r="M31" i="100" s="1" a="1"/>
  <c r="M31" i="100" s="1"/>
  <c r="M32" i="100" s="1" a="1"/>
  <c r="M32" i="100" s="1"/>
  <c r="M33" i="100" s="1" a="1"/>
  <c r="M33" i="100" s="1"/>
  <c r="M34" i="100" s="1" a="1"/>
  <c r="M34" i="100" s="1"/>
  <c r="M35" i="100" s="1" a="1"/>
  <c r="M35" i="100" s="1"/>
  <c r="M36" i="100" s="1" a="1"/>
  <c r="M36" i="100" s="1"/>
  <c r="M37" i="100" s="1" a="1"/>
  <c r="M37" i="100" s="1"/>
  <c r="M38" i="100" s="1" a="1"/>
  <c r="M38" i="100" s="1"/>
  <c r="M39" i="100" s="1" a="1"/>
  <c r="M39" i="100" s="1"/>
  <c r="M40" i="100" s="1" a="1"/>
  <c r="M40" i="100" s="1"/>
  <c r="M41" i="100" s="1" a="1"/>
  <c r="M41" i="100" s="1"/>
  <c r="M42" i="100" s="1" a="1"/>
  <c r="M42" i="100" s="1"/>
  <c r="M43" i="100" s="1" a="1"/>
  <c r="M43" i="100" s="1"/>
  <c r="M44" i="100" s="1" a="1"/>
  <c r="M44" i="100" s="1"/>
  <c r="M45" i="100" s="1" a="1"/>
  <c r="M45" i="100" s="1"/>
  <c r="M46" i="100" s="1" a="1"/>
  <c r="M46" i="100" s="1"/>
  <c r="M47" i="100" s="1" a="1"/>
  <c r="M47" i="100" s="1"/>
  <c r="M48" i="100" s="1" a="1"/>
  <c r="M48" i="100" s="1"/>
  <c r="M49" i="100" s="1" a="1"/>
  <c r="M49" i="100" s="1"/>
  <c r="M50" i="100" s="1" a="1"/>
  <c r="M50" i="100" s="1"/>
  <c r="M51" i="100" s="1" a="1"/>
  <c r="M51" i="100" s="1"/>
  <c r="M52" i="100" s="1" a="1"/>
  <c r="M52" i="100" s="1"/>
  <c r="M53" i="100" s="1" a="1"/>
  <c r="M53" i="100" s="1"/>
  <c r="M54" i="100" s="1" a="1"/>
  <c r="M54" i="100" s="1"/>
  <c r="M55" i="100" s="1" a="1"/>
  <c r="M55" i="100" s="1"/>
  <c r="M56" i="100" s="1" a="1"/>
  <c r="M56" i="100" s="1"/>
  <c r="M57" i="100" s="1" a="1"/>
  <c r="M57" i="100" s="1"/>
  <c r="M58" i="100" s="1" a="1"/>
  <c r="M58" i="100" s="1"/>
  <c r="M59" i="100" s="1" a="1"/>
  <c r="M59" i="100" s="1"/>
  <c r="M60" i="100" s="1" a="1"/>
  <c r="M60" i="100" s="1"/>
  <c r="M61" i="100" s="1" a="1"/>
  <c r="M61" i="100" s="1"/>
  <c r="M62" i="100" s="1" a="1"/>
  <c r="M62" i="100" s="1"/>
  <c r="M63" i="100" s="1" a="1"/>
  <c r="M63" i="100" s="1"/>
  <c r="M64" i="100" s="1" a="1"/>
  <c r="M64" i="100" s="1"/>
  <c r="M65" i="100" s="1" a="1"/>
  <c r="M65" i="100" s="1"/>
  <c r="M66" i="100" s="1" a="1"/>
  <c r="M66" i="100" s="1"/>
  <c r="M67" i="100" s="1" a="1"/>
  <c r="M67" i="100" s="1"/>
  <c r="M68" i="100" s="1" a="1"/>
  <c r="M68" i="100" s="1"/>
  <c r="M69" i="100" s="1" a="1"/>
  <c r="M69" i="100" s="1"/>
  <c r="M70" i="100" s="1" a="1"/>
  <c r="M70" i="100" s="1"/>
  <c r="M71" i="100" s="1" a="1"/>
  <c r="M71" i="100" s="1"/>
  <c r="M72" i="100" s="1" a="1"/>
  <c r="M72" i="100" s="1"/>
  <c r="M73" i="100" s="1" a="1"/>
  <c r="M73" i="100" s="1"/>
  <c r="M74" i="100" s="1" a="1"/>
  <c r="M74" i="100" s="1"/>
  <c r="M75" i="100" s="1" a="1"/>
  <c r="M75" i="100" s="1"/>
  <c r="M76" i="100" s="1" a="1"/>
  <c r="M76" i="100" s="1"/>
  <c r="M77" i="100" s="1" a="1"/>
  <c r="M77" i="100" s="1"/>
  <c r="L6" i="100" a="1"/>
  <c r="L6" i="100" s="1"/>
  <c r="L7" i="100" s="1" a="1"/>
  <c r="L7" i="100" s="1"/>
  <c r="L8" i="100" s="1" a="1"/>
  <c r="L8" i="100" s="1"/>
  <c r="L9" i="100" s="1" a="1"/>
  <c r="L9" i="100" s="1"/>
  <c r="L10" i="100" s="1" a="1"/>
  <c r="L10" i="100" s="1"/>
  <c r="L11" i="100" s="1" a="1"/>
  <c r="L11" i="100" s="1"/>
  <c r="L12" i="100" s="1" a="1"/>
  <c r="L12" i="100" s="1"/>
  <c r="L13" i="100" s="1" a="1"/>
  <c r="L13" i="100" s="1"/>
  <c r="L14" i="100" s="1" a="1"/>
  <c r="L14" i="100" s="1"/>
  <c r="L15" i="100" s="1" a="1"/>
  <c r="L15" i="100" s="1"/>
  <c r="L16" i="100" s="1" a="1"/>
  <c r="L16" i="100" s="1"/>
  <c r="L17" i="100" s="1" a="1"/>
  <c r="L17" i="100" s="1"/>
  <c r="L18" i="100" s="1" a="1"/>
  <c r="L18" i="100" s="1"/>
  <c r="L19" i="100" s="1" a="1"/>
  <c r="L19" i="100" s="1"/>
  <c r="L20" i="100" s="1" a="1"/>
  <c r="L20" i="100" s="1"/>
  <c r="L21" i="100" s="1" a="1"/>
  <c r="L21" i="100" s="1"/>
  <c r="L22" i="100" s="1" a="1"/>
  <c r="L22" i="100" s="1"/>
  <c r="L23" i="100" s="1" a="1"/>
  <c r="L23" i="100" s="1"/>
  <c r="L24" i="100" s="1" a="1"/>
  <c r="L24" i="100" s="1"/>
  <c r="L25" i="100" s="1" a="1"/>
  <c r="L25" i="100" s="1"/>
  <c r="L26" i="100" s="1" a="1"/>
  <c r="L26" i="100" s="1"/>
  <c r="L27" i="100" s="1" a="1"/>
  <c r="L27" i="100" s="1"/>
  <c r="L28" i="100" s="1" a="1"/>
  <c r="L28" i="100" s="1"/>
  <c r="L29" i="100" s="1" a="1"/>
  <c r="L29" i="100" s="1"/>
  <c r="L30" i="100" s="1" a="1"/>
  <c r="L30" i="100" s="1"/>
  <c r="L31" i="100" s="1" a="1"/>
  <c r="L31" i="100" s="1"/>
  <c r="L32" i="100" s="1" a="1"/>
  <c r="L32" i="100" s="1"/>
  <c r="L33" i="100" s="1" a="1"/>
  <c r="L33" i="100" s="1"/>
  <c r="L34" i="100" s="1" a="1"/>
  <c r="L34" i="100" s="1"/>
  <c r="L35" i="100" s="1" a="1"/>
  <c r="L35" i="100" s="1"/>
  <c r="L36" i="100" s="1" a="1"/>
  <c r="L36" i="100" s="1"/>
  <c r="L37" i="100" s="1" a="1"/>
  <c r="L37" i="100" s="1"/>
  <c r="L38" i="100" s="1" a="1"/>
  <c r="L38" i="100" s="1"/>
  <c r="L39" i="100" s="1" a="1"/>
  <c r="L39" i="100" s="1"/>
  <c r="L40" i="100" s="1" a="1"/>
  <c r="L40" i="100" s="1"/>
  <c r="L41" i="100" s="1" a="1"/>
  <c r="L41" i="100" s="1"/>
  <c r="L42" i="100" s="1" a="1"/>
  <c r="L42" i="100" s="1"/>
  <c r="L43" i="100" s="1" a="1"/>
  <c r="L43" i="100" s="1"/>
  <c r="L44" i="100" s="1" a="1"/>
  <c r="L44" i="100" s="1"/>
  <c r="L45" i="100" s="1" a="1"/>
  <c r="L45" i="100" s="1"/>
  <c r="L46" i="100" s="1" a="1"/>
  <c r="L46" i="100" s="1"/>
  <c r="L47" i="100" s="1" a="1"/>
  <c r="L47" i="100" s="1"/>
  <c r="L48" i="100" s="1" a="1"/>
  <c r="L48" i="100" s="1"/>
  <c r="L49" i="100" s="1" a="1"/>
  <c r="L49" i="100" s="1"/>
  <c r="L50" i="100" s="1" a="1"/>
  <c r="L50" i="100" s="1"/>
  <c r="L51" i="100" s="1" a="1"/>
  <c r="L51" i="100" s="1"/>
  <c r="L52" i="100" s="1" a="1"/>
  <c r="L52" i="100" s="1"/>
  <c r="L53" i="100" s="1" a="1"/>
  <c r="L53" i="100" s="1"/>
  <c r="L54" i="100" s="1" a="1"/>
  <c r="L54" i="100" s="1"/>
  <c r="L55" i="100" s="1" a="1"/>
  <c r="L55" i="100" s="1"/>
  <c r="L56" i="100" s="1" a="1"/>
  <c r="L56" i="100" s="1"/>
  <c r="L57" i="100" s="1" a="1"/>
  <c r="L57" i="100" s="1"/>
  <c r="L58" i="100" s="1" a="1"/>
  <c r="L58" i="100" s="1"/>
  <c r="L59" i="100" s="1" a="1"/>
  <c r="L59" i="100" s="1"/>
  <c r="L60" i="100" s="1" a="1"/>
  <c r="L60" i="100" s="1"/>
  <c r="L61" i="100" s="1" a="1"/>
  <c r="L61" i="100" s="1"/>
  <c r="L62" i="100" s="1" a="1"/>
  <c r="L62" i="100" s="1"/>
  <c r="L63" i="100" s="1" a="1"/>
  <c r="L63" i="100" s="1"/>
  <c r="L64" i="100" s="1" a="1"/>
  <c r="L64" i="100" s="1"/>
  <c r="L65" i="100" s="1" a="1"/>
  <c r="L65" i="100" s="1"/>
  <c r="L66" i="100" s="1" a="1"/>
  <c r="L66" i="100" s="1"/>
  <c r="L67" i="100" s="1" a="1"/>
  <c r="L67" i="100" s="1"/>
  <c r="L68" i="100" s="1" a="1"/>
  <c r="L68" i="100" s="1"/>
  <c r="L69" i="100" s="1" a="1"/>
  <c r="L69" i="100" s="1"/>
  <c r="L70" i="100" s="1" a="1"/>
  <c r="L70" i="100" s="1"/>
  <c r="L71" i="100" s="1" a="1"/>
  <c r="L71" i="100" s="1"/>
  <c r="L72" i="100" s="1" a="1"/>
  <c r="L72" i="100" s="1"/>
  <c r="L73" i="100" s="1" a="1"/>
  <c r="L73" i="100" s="1"/>
  <c r="L74" i="100" s="1" a="1"/>
  <c r="L74" i="100" s="1"/>
  <c r="L75" i="100" s="1" a="1"/>
  <c r="L75" i="100" s="1"/>
  <c r="L76" i="100" s="1" a="1"/>
  <c r="L76" i="100" s="1"/>
  <c r="L77" i="100" s="1" a="1"/>
  <c r="L77" i="100" s="1"/>
  <c r="K6" i="100" a="1"/>
  <c r="K6" i="100" s="1"/>
  <c r="K7" i="100" s="1" a="1"/>
  <c r="K7" i="100" s="1"/>
  <c r="K8" i="100" s="1" a="1"/>
  <c r="K8" i="100" s="1"/>
  <c r="K9" i="100" s="1" a="1"/>
  <c r="K9" i="100" s="1"/>
  <c r="K10" i="100" s="1" a="1"/>
  <c r="K10" i="100" s="1"/>
  <c r="K11" i="100" s="1" a="1"/>
  <c r="K11" i="100" s="1"/>
  <c r="K12" i="100" s="1" a="1"/>
  <c r="K12" i="100" s="1"/>
  <c r="K13" i="100" s="1" a="1"/>
  <c r="K13" i="100" s="1"/>
  <c r="K14" i="100" s="1" a="1"/>
  <c r="K14" i="100" s="1"/>
  <c r="K15" i="100" s="1" a="1"/>
  <c r="K15" i="100" s="1"/>
  <c r="K16" i="100" s="1" a="1"/>
  <c r="K16" i="100" s="1"/>
  <c r="K17" i="100" s="1" a="1"/>
  <c r="K17" i="100" s="1"/>
  <c r="K18" i="100" s="1" a="1"/>
  <c r="K18" i="100" s="1"/>
  <c r="K19" i="100" s="1" a="1"/>
  <c r="K19" i="100" s="1"/>
  <c r="K20" i="100" s="1" a="1"/>
  <c r="K20" i="100" s="1"/>
  <c r="K21" i="100" s="1" a="1"/>
  <c r="K21" i="100" s="1"/>
  <c r="K22" i="100" s="1" a="1"/>
  <c r="K22" i="100" s="1"/>
  <c r="K23" i="100" s="1" a="1"/>
  <c r="K23" i="100" s="1"/>
  <c r="K24" i="100" s="1" a="1"/>
  <c r="K24" i="100" s="1"/>
  <c r="K25" i="100" s="1" a="1"/>
  <c r="K25" i="100" s="1"/>
  <c r="K26" i="100" s="1" a="1"/>
  <c r="K26" i="100" s="1"/>
  <c r="K27" i="100" s="1" a="1"/>
  <c r="K27" i="100" s="1"/>
  <c r="K28" i="100" s="1" a="1"/>
  <c r="K28" i="100" s="1"/>
  <c r="K29" i="100" s="1" a="1"/>
  <c r="K29" i="100" s="1"/>
  <c r="K30" i="100" s="1" a="1"/>
  <c r="K30" i="100" s="1"/>
  <c r="K31" i="100" s="1" a="1"/>
  <c r="K31" i="100" s="1"/>
  <c r="K32" i="100" s="1" a="1"/>
  <c r="K32" i="100" s="1"/>
  <c r="K33" i="100" s="1" a="1"/>
  <c r="K33" i="100" s="1"/>
  <c r="K34" i="100" s="1" a="1"/>
  <c r="K34" i="100" s="1"/>
  <c r="K35" i="100" s="1" a="1"/>
  <c r="K35" i="100" s="1"/>
  <c r="K36" i="100" s="1" a="1"/>
  <c r="K36" i="100" s="1"/>
  <c r="K37" i="100" s="1" a="1"/>
  <c r="K37" i="100" s="1"/>
  <c r="K38" i="100" s="1" a="1"/>
  <c r="K38" i="100" s="1"/>
  <c r="K39" i="100" s="1" a="1"/>
  <c r="K39" i="100" s="1"/>
  <c r="K40" i="100" s="1" a="1"/>
  <c r="K40" i="100" s="1"/>
  <c r="K41" i="100" s="1" a="1"/>
  <c r="K41" i="100" s="1"/>
  <c r="K42" i="100" s="1" a="1"/>
  <c r="K42" i="100" s="1"/>
  <c r="K43" i="100" s="1" a="1"/>
  <c r="K43" i="100" s="1"/>
  <c r="K44" i="100" s="1" a="1"/>
  <c r="K44" i="100" s="1"/>
  <c r="K45" i="100" s="1" a="1"/>
  <c r="K45" i="100" s="1"/>
  <c r="K46" i="100" s="1" a="1"/>
  <c r="K46" i="100" s="1"/>
  <c r="K47" i="100" s="1" a="1"/>
  <c r="K47" i="100" s="1"/>
  <c r="K48" i="100" s="1" a="1"/>
  <c r="K48" i="100" s="1"/>
  <c r="K49" i="100" s="1" a="1"/>
  <c r="K49" i="100" s="1"/>
  <c r="K50" i="100" s="1" a="1"/>
  <c r="K50" i="100" s="1"/>
  <c r="K51" i="100" s="1" a="1"/>
  <c r="K51" i="100" s="1"/>
  <c r="K52" i="100" s="1" a="1"/>
  <c r="K52" i="100" s="1"/>
  <c r="K53" i="100" s="1" a="1"/>
  <c r="K53" i="100" s="1"/>
  <c r="K54" i="100" s="1" a="1"/>
  <c r="K54" i="100" s="1"/>
  <c r="K55" i="100" s="1" a="1"/>
  <c r="K55" i="100" s="1"/>
  <c r="K56" i="100" s="1" a="1"/>
  <c r="K56" i="100" s="1"/>
  <c r="K57" i="100" s="1" a="1"/>
  <c r="K57" i="100" s="1"/>
  <c r="K58" i="100" s="1" a="1"/>
  <c r="K58" i="100" s="1"/>
  <c r="K59" i="100" s="1" a="1"/>
  <c r="K59" i="100" s="1"/>
  <c r="K60" i="100" s="1" a="1"/>
  <c r="K60" i="100" s="1"/>
  <c r="K61" i="100" s="1" a="1"/>
  <c r="K61" i="100" s="1"/>
  <c r="K62" i="100" s="1" a="1"/>
  <c r="K62" i="100" s="1"/>
  <c r="K63" i="100" s="1" a="1"/>
  <c r="K63" i="100" s="1"/>
  <c r="K64" i="100" s="1" a="1"/>
  <c r="K64" i="100" s="1"/>
  <c r="K65" i="100" s="1" a="1"/>
  <c r="K65" i="100" s="1"/>
  <c r="K66" i="100" s="1" a="1"/>
  <c r="K66" i="100" s="1"/>
  <c r="K67" i="100" s="1" a="1"/>
  <c r="K67" i="100" s="1"/>
  <c r="K68" i="100" s="1" a="1"/>
  <c r="K68" i="100" s="1"/>
  <c r="K69" i="100" s="1" a="1"/>
  <c r="K69" i="100" s="1"/>
  <c r="K70" i="100" s="1" a="1"/>
  <c r="K70" i="100" s="1"/>
  <c r="K71" i="100" s="1" a="1"/>
  <c r="K71" i="100" s="1"/>
  <c r="K72" i="100" s="1" a="1"/>
  <c r="K72" i="100" s="1"/>
  <c r="K73" i="100" s="1" a="1"/>
  <c r="K73" i="100" s="1"/>
  <c r="K74" i="100" s="1" a="1"/>
  <c r="K74" i="100" s="1"/>
  <c r="K75" i="100" s="1" a="1"/>
  <c r="K75" i="100" s="1"/>
  <c r="K76" i="100" s="1" a="1"/>
  <c r="K76" i="100" s="1"/>
  <c r="K77" i="100" s="1" a="1"/>
  <c r="K77" i="100" s="1"/>
  <c r="AR146" i="113" l="1"/>
  <c r="J16" i="115" s="1"/>
  <c r="J37" i="115" s="1"/>
  <c r="K37" i="115" s="1"/>
  <c r="G16" i="115"/>
  <c r="BJ4" i="27"/>
  <c r="BI1" i="27" s="1"/>
  <c r="BI145" i="27"/>
  <c r="AB31" i="100" a="1"/>
  <c r="AB31" i="100" s="1"/>
  <c r="AB32" i="100" a="1"/>
  <c r="AB32" i="100" s="1"/>
  <c r="K16" i="115" l="1"/>
  <c r="H16" i="115"/>
  <c r="G37" i="115"/>
  <c r="H37" i="1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W2" authorId="0" shapeId="0" xr:uid="{09265785-C7EA-46BF-AB28-3BBEE8009B08}">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Rawa GANJANI</author>
  </authors>
  <commentList>
    <comment ref="X2" authorId="0" shapeId="0" xr:uid="{23A693B9-180F-472F-A113-59F34C765365}">
      <text>
        <r>
          <rPr>
            <b/>
            <sz val="9"/>
            <color rgb="FF000000"/>
            <rFont val="Tahoma"/>
            <family val="2"/>
          </rPr>
          <t>Rawa GANJANI:</t>
        </r>
        <r>
          <rPr>
            <sz val="9"/>
            <color rgb="FF000000"/>
            <rFont val="Tahoma"/>
            <family val="2"/>
          </rPr>
          <t xml:space="preserve">
</t>
        </r>
        <r>
          <rPr>
            <sz val="9"/>
            <color rgb="FF000000"/>
            <rFont val="Tahoma"/>
            <family val="2"/>
          </rPr>
          <t xml:space="preserve">Rounded to the nearest 5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M13" authorId="0" shapeId="0" xr:uid="{F6454D5B-E2D6-4C9F-AA2E-4478D2A07C9E}">
      <text>
        <r>
          <rPr>
            <b/>
            <sz val="9"/>
            <color indexed="81"/>
            <rFont val="Tahoma"/>
            <family val="2"/>
          </rPr>
          <t xml:space="preserve">OCHA+REACH+ MPCA coordination (market, training, field visit)+AAP+CLIO
</t>
        </r>
        <r>
          <rPr>
            <sz val="9"/>
            <color indexed="81"/>
            <rFont val="Tahoma"/>
            <family val="2"/>
          </rPr>
          <t xml:space="preserve">
</t>
        </r>
      </text>
    </comment>
    <comment ref="M14" authorId="0" shapeId="0" xr:uid="{C6077480-488D-413C-B95B-2244969ECEB9}">
      <text>
        <r>
          <rPr>
            <sz val="9"/>
            <color indexed="81"/>
            <rFont val="Tahoma"/>
            <family val="2"/>
          </rPr>
          <t xml:space="preserve">UNHAS+Common logistics services+IM+preparedness on disaster management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Remi GALINIER</author>
  </authors>
  <commentList>
    <comment ref="M13" authorId="0" shapeId="0" xr:uid="{76BF6A14-D1C3-4B67-BDED-48FA15CF534C}">
      <text>
        <r>
          <rPr>
            <b/>
            <sz val="9"/>
            <color indexed="81"/>
            <rFont val="Tahoma"/>
            <family val="2"/>
          </rPr>
          <t xml:space="preserve">OCHA+REACH+ MPCA coordination (market, training, field visit)+MPCA programmatic co-chair+AAP+CLIO
</t>
        </r>
        <r>
          <rPr>
            <sz val="9"/>
            <color indexed="81"/>
            <rFont val="Tahoma"/>
            <family val="2"/>
          </rPr>
          <t xml:space="preserve">
</t>
        </r>
      </text>
    </comment>
    <comment ref="M14" authorId="0" shapeId="0" xr:uid="{95FF4C9F-2605-49CD-8D8F-8128A86F1BE6}">
      <text>
        <r>
          <rPr>
            <sz val="9"/>
            <color indexed="81"/>
            <rFont val="Tahoma"/>
            <family val="2"/>
          </rPr>
          <t xml:space="preserve">UNHAS+Common logistics services+IM+preparedness on disaster management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<sst xmlns="http://schemas.openxmlformats.org/spreadsheetml/2006/main" count="4106" uniqueCount="623">
  <si>
    <t>JIAF 2 Tool 3: PiN &amp; Severity estimation template</t>
  </si>
  <si>
    <t>Warnings for all sheets!</t>
  </si>
  <si>
    <r>
      <t xml:space="preserve">Pre-set data checks have been coded into the template and they will be implemented as soon as sector data is inserted into the template. OCHA analysis teams are free to modify the template, including additional checks or removing any checks that are deemed not useful by the analysis team. 
At a minimum, the following columns will need to be updated by the teams:
</t>
    </r>
    <r>
      <rPr>
        <b/>
        <sz val="11"/>
        <color theme="1"/>
        <rFont val="Calibri"/>
        <family val="2"/>
        <scheme val="minor"/>
      </rPr>
      <t>ID</t>
    </r>
    <r>
      <rPr>
        <sz val="11"/>
        <color theme="1"/>
        <rFont val="Calibri"/>
        <family val="2"/>
        <scheme val="minor"/>
      </rPr>
      <t xml:space="preserve">: A unique identifier, automatically generated and required to link certain formulas. </t>
    </r>
    <r>
      <rPr>
        <sz val="11"/>
        <color rgb="FFFF0000"/>
        <rFont val="Calibri"/>
        <family val="2"/>
        <scheme val="minor"/>
      </rPr>
      <t>Do not change or delete.</t>
    </r>
    <r>
      <rPr>
        <sz val="11"/>
        <color theme="1"/>
        <rFont val="Calibri"/>
        <family val="2"/>
        <scheme val="minor"/>
      </rPr>
      <t xml:space="preserve">
</t>
    </r>
    <r>
      <rPr>
        <b/>
        <sz val="11"/>
        <color theme="1"/>
        <rFont val="Calibri"/>
        <family val="2"/>
        <scheme val="minor"/>
      </rPr>
      <t>Geographic and Population related columns</t>
    </r>
    <r>
      <rPr>
        <sz val="11"/>
        <color theme="1"/>
        <rFont val="Calibri"/>
        <family val="2"/>
        <scheme val="minor"/>
      </rPr>
      <t xml:space="preserve">: Do not delete columns for admin units and population group; please just hide any column if not needed.
</t>
    </r>
    <r>
      <rPr>
        <b/>
        <sz val="11"/>
        <color theme="1"/>
        <rFont val="Calibri"/>
        <family val="2"/>
        <scheme val="minor"/>
      </rPr>
      <t>Sectoral Data</t>
    </r>
    <r>
      <rPr>
        <sz val="11"/>
        <color theme="1"/>
        <rFont val="Calibri"/>
        <family val="2"/>
        <scheme val="minor"/>
      </rPr>
      <t xml:space="preserve">: sectoral header names can be changed; sector columns can be removed or added in between the first and last collumn (but do not remove the first and the last sector columns); make sure the order of the sector names match the order of their percentage column and if new sector columns are added make sure to write the formula for the percentage calculation. More importantly, </t>
    </r>
    <r>
      <rPr>
        <b/>
        <sz val="11"/>
        <color theme="1"/>
        <rFont val="Calibri"/>
        <family val="2"/>
        <scheme val="minor"/>
      </rPr>
      <t>Do not delete the first and last column of the sectoral data sectio</t>
    </r>
    <r>
      <rPr>
        <sz val="11"/>
        <color theme="1"/>
        <rFont val="Calibri"/>
        <family val="2"/>
        <scheme val="minor"/>
      </rPr>
      <t>n.</t>
    </r>
  </si>
  <si>
    <t>Sheet</t>
  </si>
  <si>
    <t>Description</t>
  </si>
  <si>
    <t>Thresholds</t>
  </si>
  <si>
    <t>Thresholds
- Flagging criteria &amp; thresholds: OCHA analysis team to adjust if necessary the thresholds for pre-set data checks as per agreements with partners.
- Sub-population group sectors: OCHA analysis team to list all sectors targeting sub-population groups (e.g. kids, women, IDPs) in their context.</t>
  </si>
  <si>
    <t>Overall PiN</t>
  </si>
  <si>
    <t>Preliminary PiN: Highest PiN among the Sector PINs is automatically taken as the preliminary PiN.</t>
  </si>
  <si>
    <r>
      <rPr>
        <b/>
        <sz val="11"/>
        <color rgb="FF000000"/>
        <rFont val="Arial"/>
        <family val="2"/>
      </rPr>
      <t>Flags and Outlier Checks:</t>
    </r>
    <r>
      <rPr>
        <sz val="10"/>
        <color rgb="FF000000"/>
        <rFont val="Arial"/>
        <family val="2"/>
      </rPr>
      <t xml:space="preserve">
Please note that the analysis team could decide to adjust the thresholds of these indicators, in the Threshold spreadshee or eliminate  flags that they consider not relevant to their contexts</t>
    </r>
  </si>
  <si>
    <r>
      <rPr>
        <b/>
        <u/>
        <sz val="11"/>
        <color theme="10"/>
        <rFont val="Calibri"/>
        <family val="2"/>
        <scheme val="minor"/>
      </rPr>
      <t xml:space="preserve">Number of missing or zero PiN: </t>
    </r>
    <r>
      <rPr>
        <u/>
        <sz val="11"/>
        <color theme="10"/>
        <rFont val="Calibri"/>
        <family val="2"/>
        <scheme val="minor"/>
      </rPr>
      <t>OCHA analysis team to decide the threshold for accepted number of sectors at unit level not to provide a PiN value or have zero PiN.</t>
    </r>
  </si>
  <si>
    <r>
      <rPr>
        <b/>
        <u/>
        <sz val="11"/>
        <color theme="10"/>
        <rFont val="Calibri"/>
        <family val="2"/>
        <scheme val="minor"/>
      </rPr>
      <t xml:space="preserve">Highest PiN close to the total affected population: </t>
    </r>
    <r>
      <rPr>
        <u/>
        <sz val="11"/>
        <color theme="10"/>
        <rFont val="Calibri"/>
        <family val="2"/>
        <scheme val="minor"/>
      </rPr>
      <t>OCHA analysis team to decide the threshold of acceptable proportion of people in need to the affected population at unit level.</t>
    </r>
  </si>
  <si>
    <r>
      <rPr>
        <b/>
        <u/>
        <sz val="11"/>
        <color theme="10"/>
        <rFont val="Calibri"/>
        <family val="2"/>
        <scheme val="minor"/>
      </rPr>
      <t xml:space="preserve">Highest Sector targets only a subset of the affected population: </t>
    </r>
    <r>
      <rPr>
        <u/>
        <sz val="11"/>
        <color theme="10"/>
        <rFont val="Calibri"/>
        <family val="2"/>
        <scheme val="minor"/>
      </rPr>
      <t>OCHA analysis team to decide the sectors that target only a subset of the affected population.</t>
    </r>
  </si>
  <si>
    <r>
      <rPr>
        <b/>
        <u/>
        <sz val="11"/>
        <color theme="10"/>
        <rFont val="Calibri"/>
        <family val="2"/>
        <scheme val="minor"/>
      </rPr>
      <t xml:space="preserve">Difference b/w highest and 2nd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</si>
  <si>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xml:space="preserve">Difference b/w highest and 3rd highest: </t>
    </r>
    <r>
      <rPr>
        <u/>
        <sz val="11"/>
        <color theme="10"/>
        <rFont val="Calibri"/>
        <family val="2"/>
        <scheme val="minor"/>
      </rPr>
      <t>OCHA analysis team to decide whether certain outliers between highest sector with 2nd or 3rd highest require flagging for review and to enter 'Flagged' in the column.</t>
    </r>
  </si>
  <si>
    <r>
      <rPr>
        <b/>
        <u/>
        <sz val="11"/>
        <color theme="10"/>
        <rFont val="Calibri"/>
        <family val="2"/>
        <scheme val="minor"/>
      </rPr>
      <t>% Difference between this HNO's highest or 2nd highest sector PiN to same sector in the last HNO:</t>
    </r>
    <r>
      <rPr>
        <u/>
        <sz val="11"/>
        <color theme="10"/>
        <rFont val="Calibri"/>
        <family val="2"/>
        <scheme val="minor"/>
      </rPr>
      <t xml:space="preserve"> OCHA analysis team to decide the threshold of change for this HNO's highest or 2nd higehst sector PiN and last HNO's PiN for the same sector.</t>
    </r>
  </si>
  <si>
    <t>PiN Historical Trend</t>
  </si>
  <si>
    <t xml:space="preserve">This table can be used to compare current sector PiNs to the previous year's PiNs to identify increases or decreases. 
The current PIN will be automatically loaded from the Overal PIN spreadsheet, provided that the unique ID of the rows match. 
The Previous year's HNO data needs to be loaded in the Historical Trend spreadsheet.
Formulas will automatically calculate the %change from previous to current year and highlights area where PiN is 50% higher or lower than the last HNO's PiN for further investigation. Countries can decide to change this 50% threshold according to their context. </t>
  </si>
  <si>
    <t>PiN Visulas</t>
  </si>
  <si>
    <t>Two visuals that can help better understand sectoral PiN affecting percentage of affected population and the percentage of change from one HNO to the last distribution.</t>
  </si>
  <si>
    <t>Intersectoral Severity</t>
  </si>
  <si>
    <r>
      <rPr>
        <b/>
        <sz val="10"/>
        <color rgb="FF000000"/>
        <rFont val="Arial"/>
        <family val="2"/>
      </rPr>
      <t xml:space="preserve"># of sectors falling under severity phases: </t>
    </r>
    <r>
      <rPr>
        <sz val="10"/>
        <color rgb="FF000000"/>
        <rFont val="Arial"/>
        <family val="2"/>
      </rPr>
      <t>The number of sectors fallen under each severity phase can help better understand and see the relationship of the sectoral severities to the preliminary intersectoral severity.</t>
    </r>
    <r>
      <rPr>
        <b/>
        <sz val="10"/>
        <color rgb="FF000000"/>
        <rFont val="Arial"/>
        <family val="2"/>
      </rPr>
      <t xml:space="preserve">
Preliminary Intersectoral Severity</t>
    </r>
    <r>
      <rPr>
        <sz val="10"/>
        <color rgb="FF000000"/>
        <rFont val="Arial"/>
        <family val="2"/>
      </rPr>
      <t xml:space="preserve">: preliminary intersectoral severity is automatically calculated according to the logical formula.
</t>
    </r>
    <r>
      <rPr>
        <b/>
        <sz val="11"/>
        <color rgb="FF000000"/>
        <rFont val="Arial"/>
        <family val="2"/>
      </rPr>
      <t xml:space="preserve">
Flags and Outlier Checks:
</t>
    </r>
    <r>
      <rPr>
        <b/>
        <sz val="10"/>
        <color rgb="FF000000"/>
        <rFont val="Arial"/>
        <family val="2"/>
      </rPr>
      <t xml:space="preserve">Some sectors having severity phase 5 or 4: </t>
    </r>
    <r>
      <rPr>
        <sz val="10"/>
        <color rgb="FF000000"/>
        <rFont val="Arial"/>
        <family val="2"/>
      </rPr>
      <t xml:space="preserve">OCHA analysis team to decide number of sectors in phase 5 or 4 to be flagged and reviewed to confirm the concentration of high sectoral severities .
</t>
    </r>
    <r>
      <rPr>
        <b/>
        <sz val="10"/>
        <color rgb="FF000000"/>
        <rFont val="Arial"/>
        <family val="2"/>
      </rPr>
      <t>Variation between preliminary severity and outcome indicators:</t>
    </r>
    <r>
      <rPr>
        <sz val="10"/>
        <color rgb="FF000000"/>
        <rFont val="Arial"/>
        <family val="2"/>
      </rPr>
      <t xml:space="preserve"> preliminary intersectoral severity is higher or lower then outcome indicators (by 1 or more).</t>
    </r>
  </si>
  <si>
    <t>Reference Table indicators</t>
  </si>
  <si>
    <t>Fill in reference table indicators data at unit level to automatically calculate the severity of the indicator which will be used to compare the intersectoral severity results with.
If any indicators are added, removed or modified, please make sure that the formulas correctly reflect these changes.</t>
  </si>
  <si>
    <t>Please do not delete this sheet or tables in this sheet!</t>
  </si>
  <si>
    <t>Tables in this sheet are being used in formulas in other sheets!</t>
  </si>
  <si>
    <t>PiN Flagging criteria &amp; thresholds</t>
  </si>
  <si>
    <t>Please assign the thresholds relevant for your country</t>
  </si>
  <si>
    <t>Flag Name</t>
  </si>
  <si>
    <t xml:space="preserve">Flag Description </t>
  </si>
  <si>
    <t>Recommended Threshold</t>
  </si>
  <si>
    <t>Country Threshold</t>
  </si>
  <si>
    <t xml:space="preserve">Explanation for proposing another threshold </t>
  </si>
  <si>
    <t>Purpose</t>
  </si>
  <si>
    <t># Sectors with 0 PiN</t>
  </si>
  <si>
    <t>To flag potential data quality issue</t>
  </si>
  <si>
    <t>% Difference between 1st and 2nd highest PIN</t>
  </si>
  <si>
    <t>% difference threshold between 1st and 2nd highest PiN greater than 30%</t>
  </si>
  <si>
    <t>Many flags by default. Many divergences between sectors</t>
  </si>
  <si>
    <t>To identify areas to manual review</t>
  </si>
  <si>
    <t>% Difference between 1st and 3rd highest PIN</t>
  </si>
  <si>
    <t>% difference threshold between 1st and 3rd highest PiN greater than 50%</t>
  </si>
  <si>
    <t>there are big differences between the crisis/chocs (Food or Protection or diplacement). Differences may results in different population groups of interest or the difference between the sectors.</t>
  </si>
  <si>
    <t>Highest sector PIN targets sub-population group(s)</t>
  </si>
  <si>
    <t>Whenever a sector dealing with a sub-population group is higher than any other sector - e.g., Education and Nutrition</t>
  </si>
  <si>
    <t>PiN greater than 90% of total affected population</t>
  </si>
  <si>
    <t>Flag where the 1st or the 2nd highest PiN is 90% of the affected population</t>
  </si>
  <si>
    <t>Change from last year</t>
  </si>
  <si>
    <t>Flag where the change from last year of the 1st or 2nd highest PiN is significantly higher than the the average change from last year of all sectors</t>
  </si>
  <si>
    <t>Manual Flag</t>
  </si>
  <si>
    <t>Any area can be flagged manually whenever there is a concern by any JIAF analysts about the PIN</t>
  </si>
  <si>
    <t>Outliers from the porpotion of highest PiN in the population nationwide</t>
  </si>
  <si>
    <t>% difference threshold between sectoral PiN change between this year and last year</t>
  </si>
  <si>
    <t>2std</t>
  </si>
  <si>
    <t>PiN - Sub-population group sectors</t>
  </si>
  <si>
    <t>Sector</t>
  </si>
  <si>
    <t>Proportion of sector target population in overall population</t>
  </si>
  <si>
    <t>Decision Rule for determining PIN</t>
  </si>
  <si>
    <t>Education</t>
  </si>
  <si>
    <t>1. accept highest PIN with no flags.  2. Accept highest PiN after reconciling any flags.  3. If no concensus on highest PIN, use 2nd highest PIN.  4. If no consensus on 2nd highest PIN elevate decision to HC level</t>
  </si>
  <si>
    <t>Nutrition</t>
  </si>
  <si>
    <t>Severity Flagging criteria &amp; thresholds</t>
  </si>
  <si>
    <t xml:space="preserve">Flagging criterion for PIN </t>
  </si>
  <si>
    <t># of sectors in phase 5</t>
  </si>
  <si>
    <t># of sectors in phase 4 with preliminary in phase 4</t>
  </si>
  <si>
    <t>Targeting thresholds</t>
  </si>
  <si>
    <t>Targeting criteria</t>
  </si>
  <si>
    <t>Areas in severity 3</t>
  </si>
  <si>
    <t>50% is the maximun threshold for Severity 3</t>
  </si>
  <si>
    <t>Areas in severity 4 &amp; 5</t>
  </si>
  <si>
    <t>Column Labels</t>
  </si>
  <si>
    <t>Values</t>
  </si>
  <si>
    <t>Grand Total</t>
  </si>
  <si>
    <t>Sum of Final PiN</t>
  </si>
  <si>
    <t>Count of ID</t>
  </si>
  <si>
    <t>Location</t>
  </si>
  <si>
    <t>Populaton</t>
  </si>
  <si>
    <t>Sectoral PiN (Number)</t>
  </si>
  <si>
    <t>Protection AoRs</t>
  </si>
  <si>
    <t xml:space="preserve">Sectoral % PiN (over total population) </t>
  </si>
  <si>
    <t>Protection AoRs %</t>
  </si>
  <si>
    <t>Highest Sector(s)</t>
  </si>
  <si>
    <t>2nd Highest Sector(s)</t>
  </si>
  <si>
    <t>Difference between Highest and 2nd Highest PiN</t>
  </si>
  <si>
    <t>3rd Highest Sector(s)</t>
  </si>
  <si>
    <t>Difference between Highest and 3rd Highest PiN</t>
  </si>
  <si>
    <t>Historical PiN</t>
  </si>
  <si>
    <t>All Flags</t>
  </si>
  <si>
    <t>ID</t>
  </si>
  <si>
    <t>Admin 1</t>
  </si>
  <si>
    <t>Admin 1 P-Code</t>
  </si>
  <si>
    <t>Admin 2</t>
  </si>
  <si>
    <t>Admin 2 P-Code</t>
  </si>
  <si>
    <t>Admin 3</t>
  </si>
  <si>
    <t>Admin 3 P-Code</t>
  </si>
  <si>
    <t>Pocket of need</t>
  </si>
  <si>
    <t>Population</t>
  </si>
  <si>
    <t>Population Group</t>
  </si>
  <si>
    <t>CCCM</t>
  </si>
  <si>
    <t>Food Security</t>
  </si>
  <si>
    <t>Health</t>
  </si>
  <si>
    <t>Protection</t>
  </si>
  <si>
    <t>Shelter</t>
  </si>
  <si>
    <t>WASH</t>
  </si>
  <si>
    <t>CP</t>
  </si>
  <si>
    <t>GBV</t>
  </si>
  <si>
    <t>Migrants</t>
  </si>
  <si>
    <t>_</t>
  </si>
  <si>
    <t>CCCM%</t>
  </si>
  <si>
    <t>Education%</t>
  </si>
  <si>
    <t>Nutrition%</t>
  </si>
  <si>
    <t>Food Security%</t>
  </si>
  <si>
    <t>Health%</t>
  </si>
  <si>
    <t>Overarching Protection%</t>
  </si>
  <si>
    <t>Shelter%</t>
  </si>
  <si>
    <t>WASH%</t>
  </si>
  <si>
    <t>Child Protection (CP)%</t>
  </si>
  <si>
    <t>Gender-based Violence (GBV)%</t>
  </si>
  <si>
    <t>Mine Action%</t>
  </si>
  <si>
    <t>HLP%</t>
  </si>
  <si>
    <t>Highest PiN</t>
  </si>
  <si>
    <t>Highest sector(s)</t>
  </si>
  <si>
    <t>Highest sector(s') PiN %</t>
  </si>
  <si>
    <t>Number of missing / zero PiNs greater than threshold - Data quality</t>
  </si>
  <si>
    <t>Highest PiN greater than 90% of total affected population</t>
  </si>
  <si>
    <t>Highest sector targets sub-population group(s)</t>
  </si>
  <si>
    <t>2nd Highest PiN</t>
  </si>
  <si>
    <t>2nd Highest sector(s)</t>
  </si>
  <si>
    <t>2nd Highest sector PiN %</t>
  </si>
  <si>
    <t>Difference of PiN between Highest and 2nd Highest</t>
  </si>
  <si>
    <t>% Difference between Highest and 2nd Highest</t>
  </si>
  <si>
    <t>% difference is over a specified threshold between Highest and 2nd Highest</t>
  </si>
  <si>
    <t>3rd Highest PiN</t>
  </si>
  <si>
    <t>3rd Highest sector(s)</t>
  </si>
  <si>
    <t>3rd Highest sector PiN %</t>
  </si>
  <si>
    <t>Difference of PiN between Highest and 3rd Highest</t>
  </si>
  <si>
    <t>% Difference between Highest and 3rd Highest</t>
  </si>
  <si>
    <t>% difference is over a specified threshold between Highest and 3rd Highest</t>
  </si>
  <si>
    <t>Change from last year for the highest sector(s)</t>
  </si>
  <si>
    <t>Change from last year for the highest sector(s) has significantly increased or decreased</t>
  </si>
  <si>
    <t>Change from last year for the 2nd highest sector(s)</t>
  </si>
  <si>
    <t>Change from last year for the 2nd highest sector(s) has significantly increased or decreased</t>
  </si>
  <si>
    <t>Severity</t>
  </si>
  <si>
    <t>Preliminary PiN</t>
  </si>
  <si>
    <t>Explanation for Manual Flag</t>
  </si>
  <si>
    <t># Flags</t>
  </si>
  <si>
    <t>Flagged</t>
  </si>
  <si>
    <t>Final PiN</t>
  </si>
  <si>
    <t>Evidence &amp; Comments</t>
  </si>
  <si>
    <t>PIN PRIORITIZED</t>
  </si>
  <si>
    <t>Preliminary TARGET
100% Sev 4&amp;5 + 50% Sev 3</t>
  </si>
  <si>
    <t xml:space="preserve">Preliminary TARGET
100% Sev 4&amp;5 + 50% PIN in Sev 3 Intersect AND EXISTS Sect Sec &gt;=4  </t>
  </si>
  <si>
    <t>Ouest</t>
  </si>
  <si>
    <t>HT01</t>
  </si>
  <si>
    <t>Port-au-Prince</t>
  </si>
  <si>
    <t>HT0111</t>
  </si>
  <si>
    <t>Global_Population</t>
  </si>
  <si>
    <t>2nd highest PIN</t>
  </si>
  <si>
    <t>Delmas</t>
  </si>
  <si>
    <t>HT0112</t>
  </si>
  <si>
    <t>Carrefour</t>
  </si>
  <si>
    <t>HT0113</t>
  </si>
  <si>
    <t>Petion-Ville</t>
  </si>
  <si>
    <t>HT0114</t>
  </si>
  <si>
    <t>Kenscoff</t>
  </si>
  <si>
    <t>HT0115</t>
  </si>
  <si>
    <t>Gressier</t>
  </si>
  <si>
    <t>HT0116</t>
  </si>
  <si>
    <t>3rd highest PIN</t>
  </si>
  <si>
    <t>Cite Soleil</t>
  </si>
  <si>
    <t>HT0117</t>
  </si>
  <si>
    <t>Tabarre</t>
  </si>
  <si>
    <t>HT0118</t>
  </si>
  <si>
    <t>Leogane</t>
  </si>
  <si>
    <t>HT0121</t>
  </si>
  <si>
    <t>Petit-Goave</t>
  </si>
  <si>
    <t>HT0122</t>
  </si>
  <si>
    <t>Grand-Goave</t>
  </si>
  <si>
    <t>HT0123</t>
  </si>
  <si>
    <t>Croix-Des-Bouquets</t>
  </si>
  <si>
    <t>HT0131</t>
  </si>
  <si>
    <t>Thomazeau</t>
  </si>
  <si>
    <t>HT0132</t>
  </si>
  <si>
    <t>Ganthier</t>
  </si>
  <si>
    <t>HT0133</t>
  </si>
  <si>
    <t>Cornillon / Grand Bois</t>
  </si>
  <si>
    <t>HT0134</t>
  </si>
  <si>
    <t>Fonds-Verrettes</t>
  </si>
  <si>
    <t>HT0135</t>
  </si>
  <si>
    <t>Arcahaie</t>
  </si>
  <si>
    <t>HT0141</t>
  </si>
  <si>
    <t>Cabaret</t>
  </si>
  <si>
    <t>HT0142</t>
  </si>
  <si>
    <t>Anse a Galets</t>
  </si>
  <si>
    <t>HT0151</t>
  </si>
  <si>
    <t>Pointe a Raquette</t>
  </si>
  <si>
    <t>HT0152</t>
  </si>
  <si>
    <t>Sud-Est</t>
  </si>
  <si>
    <t>HT02</t>
  </si>
  <si>
    <t>Jacmel</t>
  </si>
  <si>
    <t>HT0211</t>
  </si>
  <si>
    <t>Marigot</t>
  </si>
  <si>
    <t>HT0212</t>
  </si>
  <si>
    <t>Cayes-Jacmel</t>
  </si>
  <si>
    <t>HT0213</t>
  </si>
  <si>
    <t>La Vallee</t>
  </si>
  <si>
    <t>HT0214</t>
  </si>
  <si>
    <t>Bainet</t>
  </si>
  <si>
    <t>HT0221</t>
  </si>
  <si>
    <t>Cotes de Fer</t>
  </si>
  <si>
    <t>HT0222</t>
  </si>
  <si>
    <t>Belle Anse</t>
  </si>
  <si>
    <t>HT0231</t>
  </si>
  <si>
    <t>Grand Gosier</t>
  </si>
  <si>
    <t>HT0232</t>
  </si>
  <si>
    <t>Thiotte</t>
  </si>
  <si>
    <t>HT0233</t>
  </si>
  <si>
    <t>Anse-a-Pitre</t>
  </si>
  <si>
    <t>HT0234</t>
  </si>
  <si>
    <t>Nord</t>
  </si>
  <si>
    <t>HT03</t>
  </si>
  <si>
    <t>Cap-Haitien</t>
  </si>
  <si>
    <t>HT0311</t>
  </si>
  <si>
    <t>Quartier Morin</t>
  </si>
  <si>
    <t>HT0312</t>
  </si>
  <si>
    <t>Limonade</t>
  </si>
  <si>
    <t>HT0313</t>
  </si>
  <si>
    <t>Acul du Nord</t>
  </si>
  <si>
    <t>HT0321</t>
  </si>
  <si>
    <t>Plaine du Nord</t>
  </si>
  <si>
    <t>HT0322</t>
  </si>
  <si>
    <t>Milot</t>
  </si>
  <si>
    <t>HT0323</t>
  </si>
  <si>
    <t>Grande Riviere Du Nord</t>
  </si>
  <si>
    <t>HT0331</t>
  </si>
  <si>
    <t>Bahon</t>
  </si>
  <si>
    <t>HT0332</t>
  </si>
  <si>
    <t>Saint-Raphael</t>
  </si>
  <si>
    <t>HT0341</t>
  </si>
  <si>
    <t>Dondon</t>
  </si>
  <si>
    <t>HT0342</t>
  </si>
  <si>
    <t>Ranquitte</t>
  </si>
  <si>
    <t>HT0343</t>
  </si>
  <si>
    <t>Pignon</t>
  </si>
  <si>
    <t>HT0344</t>
  </si>
  <si>
    <t>La Victoire</t>
  </si>
  <si>
    <t>HT0345</t>
  </si>
  <si>
    <t>Borgne</t>
  </si>
  <si>
    <t>HT0351</t>
  </si>
  <si>
    <t>Port-Margot</t>
  </si>
  <si>
    <t>HT0352</t>
  </si>
  <si>
    <t>Limbe</t>
  </si>
  <si>
    <t>HT0361</t>
  </si>
  <si>
    <t>Bas Limbe</t>
  </si>
  <si>
    <t>HT0362</t>
  </si>
  <si>
    <t>Plaisance</t>
  </si>
  <si>
    <t>HT0371</t>
  </si>
  <si>
    <t>Pilate</t>
  </si>
  <si>
    <t>HT0372</t>
  </si>
  <si>
    <t>Nord-Est</t>
  </si>
  <si>
    <t>HT04</t>
  </si>
  <si>
    <t>Fort-Liberte</t>
  </si>
  <si>
    <t>HT0411</t>
  </si>
  <si>
    <t>Ferrier</t>
  </si>
  <si>
    <t>HT0412</t>
  </si>
  <si>
    <t>Perches</t>
  </si>
  <si>
    <t>HT0413</t>
  </si>
  <si>
    <t>Ouanaminthe</t>
  </si>
  <si>
    <t>HT0421</t>
  </si>
  <si>
    <t>Capotille</t>
  </si>
  <si>
    <t>HT0422</t>
  </si>
  <si>
    <t>Mont-Organise</t>
  </si>
  <si>
    <t>HT0423</t>
  </si>
  <si>
    <t>Trou du Nord</t>
  </si>
  <si>
    <t>HT0431</t>
  </si>
  <si>
    <t>Sainte Suzanne</t>
  </si>
  <si>
    <t>HT0432</t>
  </si>
  <si>
    <t>Terrier Rouge</t>
  </si>
  <si>
    <t>HT0433</t>
  </si>
  <si>
    <t>Caracol</t>
  </si>
  <si>
    <t>HT0434</t>
  </si>
  <si>
    <t>Vallieres</t>
  </si>
  <si>
    <t>HT0441</t>
  </si>
  <si>
    <t>Carice</t>
  </si>
  <si>
    <t>HT0442</t>
  </si>
  <si>
    <t>Mombin Crochu</t>
  </si>
  <si>
    <t>HT0443</t>
  </si>
  <si>
    <t>Artibonite</t>
  </si>
  <si>
    <t>HT05</t>
  </si>
  <si>
    <t>Gonaives</t>
  </si>
  <si>
    <t>HT0511</t>
  </si>
  <si>
    <t>Ennery</t>
  </si>
  <si>
    <t>HT0512</t>
  </si>
  <si>
    <t>L'Estere</t>
  </si>
  <si>
    <t>HT0513</t>
  </si>
  <si>
    <t>Gros Morne</t>
  </si>
  <si>
    <t>HT0521</t>
  </si>
  <si>
    <t>Terre Neuve</t>
  </si>
  <si>
    <t>HT0522</t>
  </si>
  <si>
    <t>Anse Rouge</t>
  </si>
  <si>
    <t>HT0523</t>
  </si>
  <si>
    <t>Saint-Marc</t>
  </si>
  <si>
    <t>HT0531</t>
  </si>
  <si>
    <t>Verrettes</t>
  </si>
  <si>
    <t>HT0532</t>
  </si>
  <si>
    <t>La Chapelle</t>
  </si>
  <si>
    <t>HT0533</t>
  </si>
  <si>
    <t>Dessalines</t>
  </si>
  <si>
    <t>HT0541</t>
  </si>
  <si>
    <t>Petite Riviere de l'Artibonite</t>
  </si>
  <si>
    <t>HT0542</t>
  </si>
  <si>
    <t>Grande Saline</t>
  </si>
  <si>
    <t>HT0543</t>
  </si>
  <si>
    <t>Desdunes</t>
  </si>
  <si>
    <t>HT0544</t>
  </si>
  <si>
    <t>Saint-Michel de l'Attalaye</t>
  </si>
  <si>
    <t>HT0551</t>
  </si>
  <si>
    <t>Marmelade</t>
  </si>
  <si>
    <t>HT0552</t>
  </si>
  <si>
    <t>Centre</t>
  </si>
  <si>
    <t>HT06</t>
  </si>
  <si>
    <t>Hinche</t>
  </si>
  <si>
    <t>HT0611</t>
  </si>
  <si>
    <t>Maissade</t>
  </si>
  <si>
    <t>HT0612</t>
  </si>
  <si>
    <t>Thomonde</t>
  </si>
  <si>
    <t>HT0613</t>
  </si>
  <si>
    <t>Cerca Carvajal</t>
  </si>
  <si>
    <t>HT0614</t>
  </si>
  <si>
    <t>Mirebalais</t>
  </si>
  <si>
    <t>HT0621</t>
  </si>
  <si>
    <t>Saut d'Eau</t>
  </si>
  <si>
    <t>HT0622</t>
  </si>
  <si>
    <t>Boucan Carre</t>
  </si>
  <si>
    <t>HT0623</t>
  </si>
  <si>
    <t>Lascahobas</t>
  </si>
  <si>
    <t>HT0631</t>
  </si>
  <si>
    <t>Belladere</t>
  </si>
  <si>
    <t>HT0632</t>
  </si>
  <si>
    <t>Savanette</t>
  </si>
  <si>
    <t>HT0633</t>
  </si>
  <si>
    <t>Cerca La Source</t>
  </si>
  <si>
    <t>HT0641</t>
  </si>
  <si>
    <t>Thomassique</t>
  </si>
  <si>
    <t>HT0642</t>
  </si>
  <si>
    <t>Sud</t>
  </si>
  <si>
    <t>HT07</t>
  </si>
  <si>
    <t>Les Cayes</t>
  </si>
  <si>
    <t>HT0711</t>
  </si>
  <si>
    <t>Torbeck</t>
  </si>
  <si>
    <t>HT0712</t>
  </si>
  <si>
    <t>Chantal</t>
  </si>
  <si>
    <t>HT0713</t>
  </si>
  <si>
    <t>Camp-Perrin</t>
  </si>
  <si>
    <t>HT0714</t>
  </si>
  <si>
    <t>Maniche</t>
  </si>
  <si>
    <t>HT0715</t>
  </si>
  <si>
    <t>Ile a Vache</t>
  </si>
  <si>
    <t>HT0716</t>
  </si>
  <si>
    <t>Port-Salut</t>
  </si>
  <si>
    <t>HT0721</t>
  </si>
  <si>
    <t>Saint Jean du Sud</t>
  </si>
  <si>
    <t>HT0722</t>
  </si>
  <si>
    <t>Arniquet</t>
  </si>
  <si>
    <t>HT0723</t>
  </si>
  <si>
    <t>Aquin</t>
  </si>
  <si>
    <t>HT0731</t>
  </si>
  <si>
    <t>Saint Louis du Sud</t>
  </si>
  <si>
    <t>HT0732</t>
  </si>
  <si>
    <t>Cavaillon</t>
  </si>
  <si>
    <t>HT0733</t>
  </si>
  <si>
    <t>Coteaux</t>
  </si>
  <si>
    <t>HT0741</t>
  </si>
  <si>
    <t>Port-a-Piment</t>
  </si>
  <si>
    <t>HT0742</t>
  </si>
  <si>
    <t>Roche a Bateau</t>
  </si>
  <si>
    <t>HT0743</t>
  </si>
  <si>
    <t>Chardonnieres</t>
  </si>
  <si>
    <t>HT0751</t>
  </si>
  <si>
    <t>Les Anglais</t>
  </si>
  <si>
    <t>HT0752</t>
  </si>
  <si>
    <t>Tiburon</t>
  </si>
  <si>
    <t>HT0753</t>
  </si>
  <si>
    <t>Grande'Anse</t>
  </si>
  <si>
    <t>HT08</t>
  </si>
  <si>
    <t>Jeremie</t>
  </si>
  <si>
    <t>HT0811</t>
  </si>
  <si>
    <t>Abricots</t>
  </si>
  <si>
    <t>HT0812</t>
  </si>
  <si>
    <t>Bonbon</t>
  </si>
  <si>
    <t>HT0813</t>
  </si>
  <si>
    <t>Moron</t>
  </si>
  <si>
    <t>HT0814</t>
  </si>
  <si>
    <t>Chambellan</t>
  </si>
  <si>
    <t>HT0815</t>
  </si>
  <si>
    <t>Anse d'Hainault</t>
  </si>
  <si>
    <t>HT0821</t>
  </si>
  <si>
    <t>Dame Marie</t>
  </si>
  <si>
    <t>HT0822</t>
  </si>
  <si>
    <t>Les Irois</t>
  </si>
  <si>
    <t>HT0823</t>
  </si>
  <si>
    <t>Corail</t>
  </si>
  <si>
    <t>HT0831</t>
  </si>
  <si>
    <t>Roseaux</t>
  </si>
  <si>
    <t>HT0832</t>
  </si>
  <si>
    <t>Beaumont</t>
  </si>
  <si>
    <t>HT0833</t>
  </si>
  <si>
    <t>Pestel</t>
  </si>
  <si>
    <t>HT0834</t>
  </si>
  <si>
    <t>Nord-Ouest</t>
  </si>
  <si>
    <t>HT09</t>
  </si>
  <si>
    <t>Port-de-Paix</t>
  </si>
  <si>
    <t>HT0911</t>
  </si>
  <si>
    <t>La Tortue</t>
  </si>
  <si>
    <t>HT0912</t>
  </si>
  <si>
    <t>Bassin Bleu</t>
  </si>
  <si>
    <t>HT0913</t>
  </si>
  <si>
    <t>Chamsolme</t>
  </si>
  <si>
    <t>HT0914</t>
  </si>
  <si>
    <t>Saint-Louis du Nord</t>
  </si>
  <si>
    <t>HT0921</t>
  </si>
  <si>
    <t>Anse-a-Foleur</t>
  </si>
  <si>
    <t>HT0922</t>
  </si>
  <si>
    <t>Mole Saint Nicolas</t>
  </si>
  <si>
    <t>HT0931</t>
  </si>
  <si>
    <t>Baie de Henne</t>
  </si>
  <si>
    <t>HT0932</t>
  </si>
  <si>
    <t>Bombardopolis</t>
  </si>
  <si>
    <t>HT0933</t>
  </si>
  <si>
    <t>Jean Rabel</t>
  </si>
  <si>
    <t>HT0934</t>
  </si>
  <si>
    <t>Nippes</t>
  </si>
  <si>
    <t>HT10</t>
  </si>
  <si>
    <t>Miragoane</t>
  </si>
  <si>
    <t>HT1011</t>
  </si>
  <si>
    <t>Petite Riviere de Nippes</t>
  </si>
  <si>
    <t>HT1012</t>
  </si>
  <si>
    <t>Fonds des Negres</t>
  </si>
  <si>
    <t>HT1013</t>
  </si>
  <si>
    <t>Paillant</t>
  </si>
  <si>
    <t>HT1014</t>
  </si>
  <si>
    <t>Anse-a-Veau</t>
  </si>
  <si>
    <t>HT1021</t>
  </si>
  <si>
    <t>Petit Trou de Nippes</t>
  </si>
  <si>
    <t>HT1022</t>
  </si>
  <si>
    <t>L'Asile</t>
  </si>
  <si>
    <t>HT1023</t>
  </si>
  <si>
    <t>Arnaud</t>
  </si>
  <si>
    <t>HT1024</t>
  </si>
  <si>
    <t>Plaisance du Sud</t>
  </si>
  <si>
    <t>HT1025</t>
  </si>
  <si>
    <t>Baraderes</t>
  </si>
  <si>
    <t>HT1031</t>
  </si>
  <si>
    <t>Grand-Boucan</t>
  </si>
  <si>
    <t>HT1032</t>
  </si>
  <si>
    <t>ZMPP</t>
  </si>
  <si>
    <t>HT01xx</t>
  </si>
  <si>
    <t>IDPs sites</t>
  </si>
  <si>
    <t>IDPs</t>
  </si>
  <si>
    <t>Total</t>
  </si>
  <si>
    <t>avant WASH et shelter update</t>
  </si>
  <si>
    <t>avant WASH and Shelter update</t>
  </si>
  <si>
    <t>Previous Year's Clusters' PiN</t>
  </si>
  <si>
    <t>Current Sectoral PiN</t>
  </si>
  <si>
    <t>Absolute PiN Differences</t>
  </si>
  <si>
    <t>% PiN Differences</t>
  </si>
  <si>
    <t>CCCM - old</t>
  </si>
  <si>
    <t>Education - old</t>
  </si>
  <si>
    <t>Nutrition - old</t>
  </si>
  <si>
    <t>Food Security - old</t>
  </si>
  <si>
    <t>Health - old</t>
  </si>
  <si>
    <t>Overarching Protection - old</t>
  </si>
  <si>
    <t>Shelter - old</t>
  </si>
  <si>
    <t>WASH - old</t>
  </si>
  <si>
    <t>CCCM - new</t>
  </si>
  <si>
    <t>Education - new</t>
  </si>
  <si>
    <t>Nutrition - new</t>
  </si>
  <si>
    <t>Food Security - new</t>
  </si>
  <si>
    <t>Health - new</t>
  </si>
  <si>
    <t>Overarching Protection - new</t>
  </si>
  <si>
    <t>Shelter - new</t>
  </si>
  <si>
    <t>WASH - new</t>
  </si>
  <si>
    <t>PiN Difference for CCCM</t>
  </si>
  <si>
    <t>PiN Difference for Education</t>
  </si>
  <si>
    <t>PiN Difference for Nutrition</t>
  </si>
  <si>
    <t>PiN Difference for Food Security</t>
  </si>
  <si>
    <t>PiN Difference for Health</t>
  </si>
  <si>
    <t>PiN Difference for Overarching Protection</t>
  </si>
  <si>
    <t>PiN Difference for Shelter</t>
  </si>
  <si>
    <t>PiN Difference for WASH</t>
  </si>
  <si>
    <t>Overarching Protection</t>
  </si>
  <si>
    <t>Select a sector:</t>
  </si>
  <si>
    <t>Graph Bins</t>
  </si>
  <si>
    <t>Notes:</t>
  </si>
  <si>
    <t>percentages are rounded to the nearest 5 multiples, i.e. 0, 5, 10, 15, …</t>
  </si>
  <si>
    <t>TARGETS</t>
  </si>
  <si>
    <t xml:space="preserve">Sectoral % TARGET (over PIN) </t>
  </si>
  <si>
    <t>PRIORITIZATION</t>
  </si>
  <si>
    <t>General Protection</t>
  </si>
  <si>
    <t>HLP</t>
  </si>
  <si>
    <t>Protection%</t>
  </si>
  <si>
    <t>PIN</t>
  </si>
  <si>
    <t>%TGTvsPIN</t>
  </si>
  <si>
    <t>Final TARGET</t>
  </si>
  <si>
    <t>CCCM_PRI</t>
  </si>
  <si>
    <t>Education_PRI</t>
  </si>
  <si>
    <t>Nutrition_PRI</t>
  </si>
  <si>
    <t>Food Security_PRI</t>
  </si>
  <si>
    <t>Health_PRI</t>
  </si>
  <si>
    <t>Protection_PRI</t>
  </si>
  <si>
    <t>Shelter_PRI</t>
  </si>
  <si>
    <t>WASH_PRI</t>
  </si>
  <si>
    <t>FINAL PRIORITIZATION</t>
  </si>
  <si>
    <t>Suggestion Education</t>
  </si>
  <si>
    <t>Sectoral Severity</t>
  </si>
  <si>
    <t>Humanitarian Conditions/Outcomes</t>
  </si>
  <si>
    <t>Number of sectors per severity phase</t>
  </si>
  <si>
    <t>Life Threatening</t>
  </si>
  <si>
    <t>Irreversible Harm</t>
  </si>
  <si>
    <t>Basic Analysis</t>
  </si>
  <si>
    <t>Sectoral Severity Flags</t>
  </si>
  <si>
    <t>Reference Indicator Flags</t>
  </si>
  <si>
    <t xml:space="preserve">Final Results
</t>
  </si>
  <si>
    <t>Child Protection (CP)</t>
  </si>
  <si>
    <t>Gender-based Violence (GBV)</t>
  </si>
  <si>
    <t>__</t>
  </si>
  <si>
    <t xml:space="preserve"> 1 </t>
  </si>
  <si>
    <t xml:space="preserve"> 2 </t>
  </si>
  <si>
    <t xml:space="preserve"> 3 </t>
  </si>
  <si>
    <t xml:space="preserve"> 4 </t>
  </si>
  <si>
    <t>5</t>
  </si>
  <si>
    <t>Preliminary Intersectoral Severity based on overlap of sectoral deprivations</t>
  </si>
  <si>
    <t>Mortality</t>
  </si>
  <si>
    <t>Malnutrition</t>
  </si>
  <si>
    <t>Epidemics</t>
  </si>
  <si>
    <t>Livelihood Coping</t>
  </si>
  <si>
    <t>HR/IHL Violation</t>
  </si>
  <si>
    <t>Average severity</t>
  </si>
  <si>
    <t>Highest Severity</t>
  </si>
  <si>
    <t>Sectors with Highest Severity</t>
  </si>
  <si>
    <t>2nd Highest Severity</t>
  </si>
  <si>
    <t>Sectors with 2nd Highest Severity</t>
  </si>
  <si>
    <t>1 sector in severity phase 5 [modify the threshold]</t>
  </si>
  <si>
    <t xml:space="preserve">More than 4 Sectors in 4 or worse while Preliminary is 4 </t>
  </si>
  <si>
    <t>2+ phase variation between preliminary severity and severity of any of the outcome indicators</t>
  </si>
  <si>
    <t>1+ phase variation between preliminary severity and severity of at least two of the outcome indicators - in the same direction</t>
  </si>
  <si>
    <t>Severity indicated by sub-national level</t>
  </si>
  <si>
    <t>Final Severity</t>
  </si>
  <si>
    <t>On maintient. Appuye par les chiffres % HH en besoin severe</t>
  </si>
  <si>
    <t>Base sur les indicateur de reference sur la condition humanitaire + HR/IHL severity</t>
  </si>
  <si>
    <t>Base sur les indicateurs de reference sur la condition humanitaire</t>
  </si>
  <si>
    <t>Base sur les indicateurs de reference sur la condition humanitaire + HR/IHL severity</t>
  </si>
  <si>
    <t>HR/IHL severity + Forte severite des retournes?
Presence de contraintes d'acces</t>
  </si>
  <si>
    <t>Grande proportion % HH en besoin severe.
Forte restriction de mouvement</t>
  </si>
  <si>
    <t>Augmentation pour coherence locale entre commune + risque epidemie. Finalement remis a 2 car pas de PDI</t>
  </si>
  <si>
    <t>Plus forte severite pour Cabaret que Arcahaie base sur le nombre de secteurs en sev 4</t>
  </si>
  <si>
    <t>Nombre eleve de personnes tuees dans la commune. Affrontements et insecurite</t>
  </si>
  <si>
    <t>Affrontements et insecurite</t>
  </si>
  <si>
    <t>Insecurite</t>
  </si>
  <si>
    <t>HR/IHL severity</t>
  </si>
  <si>
    <t>Problematique acces + forte insecurite alimentaire + risque cholera</t>
  </si>
  <si>
    <t>insecurite + forte insecurite alimentaire + deplacements</t>
  </si>
  <si>
    <t>IDPs Sites</t>
  </si>
  <si>
    <t>Sev 1</t>
  </si>
  <si>
    <t>Sev 2</t>
  </si>
  <si>
    <t>Sev 3</t>
  </si>
  <si>
    <t>Sev 4</t>
  </si>
  <si>
    <t>Sev 5</t>
  </si>
  <si>
    <t>Humanitarian Conditions</t>
  </si>
  <si>
    <t>Life Threatining Conditions</t>
  </si>
  <si>
    <t>CDR x/10,000/day</t>
  </si>
  <si>
    <t>Under 5 Death Rate</t>
  </si>
  <si>
    <t>Civilian Casualty</t>
  </si>
  <si>
    <t>Death or Iminanet Risk of Death Severity</t>
  </si>
  <si>
    <t>PPTZ
Prévalence de la MAG en % 
(P/T) pour les enfants de 0-59 mois (SMART 2023)</t>
  </si>
  <si>
    <t>MUAC</t>
  </si>
  <si>
    <t>Malnutrition Severity</t>
  </si>
  <si>
    <t>Epidemic 1</t>
  </si>
  <si>
    <t>Epidemic 2</t>
  </si>
  <si>
    <t>Epidemic Severity</t>
  </si>
  <si>
    <t>Coping Strategy (Minimal)</t>
  </si>
  <si>
    <t>Coping Strategy (Stress)</t>
  </si>
  <si>
    <t>Coping Strategy (Severe)</t>
  </si>
  <si>
    <t>Coping Strategy (Extreme)</t>
  </si>
  <si>
    <t>Coping Strategy (Catastrophic)</t>
  </si>
  <si>
    <t>Coping Strategy Severity</t>
  </si>
  <si>
    <t>HPC 2026 - CHIFFRES CLÉS</t>
  </si>
  <si>
    <t>BESOINS</t>
  </si>
  <si>
    <t>CIBLE</t>
  </si>
  <si>
    <t>PRIORISATION</t>
  </si>
  <si>
    <t>BUDGET</t>
  </si>
  <si>
    <t>SECTEUR</t>
  </si>
  <si>
    <t>VARIATION</t>
  </si>
  <si>
    <t>2026*</t>
  </si>
  <si>
    <t>Abris &amp; BNA</t>
  </si>
  <si>
    <t>EPAH</t>
  </si>
  <si>
    <t>Santé</t>
  </si>
  <si>
    <t>Sécurité Alimentaire</t>
  </si>
  <si>
    <t>Coordination</t>
  </si>
  <si>
    <t>-</t>
  </si>
  <si>
    <t>Logistique</t>
  </si>
  <si>
    <t>TMUM</t>
  </si>
  <si>
    <t>TOTAL</t>
  </si>
  <si>
    <t>HPC 2026 - KEY FIGURES</t>
  </si>
  <si>
    <t>TARGET</t>
  </si>
  <si>
    <t>SECTOR</t>
  </si>
  <si>
    <t>Food security</t>
  </si>
  <si>
    <t>Shelter &amp; NFI</t>
  </si>
  <si>
    <t>Logistics</t>
  </si>
  <si>
    <t>MPCA</t>
  </si>
  <si>
    <t>2026 I*</t>
  </si>
  <si>
    <t>2026 P*</t>
  </si>
  <si>
    <t>*I = Initial</t>
  </si>
  <si>
    <t>*P = Priorisé</t>
  </si>
  <si>
    <t>*P = Prioritized</t>
  </si>
  <si>
    <t>PiN Correlation Coefficient</t>
  </si>
  <si>
    <t>Severity Correlation Coefficient</t>
  </si>
  <si>
    <t>Sectoral PiN values overlapping at unit level 
(they have a value in the same rounded percentage range)</t>
  </si>
  <si>
    <t>Sectoral severity values overlapping at unit level 
(they have the same severity phase)</t>
  </si>
  <si>
    <t>Sectoral PiN values coming up as highest and second highest at unit level 
(# of units sector A is highest and sector B is second highest)</t>
  </si>
  <si>
    <t>Sectoral Severity phases coming up as highest and second highest at unit level 
(# of units sector A is highest and sector B is second highest)</t>
  </si>
  <si>
    <t>Highest Sectors</t>
  </si>
  <si>
    <t>Second Highest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</si>
</sst>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164" formatCode="_-* #,##0.00_-;\-* #,##0.00_-;_-* &quot;-&quot;??_-;_-@_-"/>
    <numFmt numFmtId="165" formatCode="_ * #,##0.00_ ;_ * \-#,##0.00_ ;_ * &quot;-&quot;??_ ;_ @_ "/>
    <numFmt numFmtId="166" formatCode="_-* #,##0_-;\-* #,##0_-;_-* &quot;-&quot;??_-;_-@_-"/>
    <numFmt numFmtId="167" formatCode="_ * #,##0_ ;_ * \-#,##0_ ;_ * &quot;-&quot;??_ ;_ @_ "/>
    <numFmt numFmtId="168" formatCode="_ * #,##0.0_ ;_ * \-#,##0.0_ ;_ * &quot;-&quot;??_ ;_ @_ "/>
    <numFmt numFmtId="169" formatCode="[&gt;=999999]\ #,##0.0,,&quot;M&quot;;[&gt;999]\ #,##0.0,&quot;k&quot;;#,##0"/>
    <numFmt numFmtId="170" formatCode="[&gt;=999999]\ #,##0.00,,&quot;M&quot;;[&gt;999]\ #,##0.00,&quot;k&quot;;#,##0"/>
    <numFmt numFmtId="171" formatCode="_ * #,##0.000_ ;_ * \-#,##0.000_ ;_ * &quot;-&quot;??_ ;_ @_ "/>
  </numFmts>
  <fonts count="65">
    <font>
      <sz val="11"/>
      <color theme="1"/>
      <name val="Calibri"/>
      <family val="2"/>
      <scheme val="minor"/>
    </font>
    <font>
      <sz val="11"/>
      <color theme="1"/>
      <name val="Arial"/>
      <family val="2"/>
    </font>
    <font>
      <sz val="11"/>
      <color theme="1"/>
      <name val="Calibri"/>
      <family val="2"/>
      <scheme val="minor"/>
    </font>
    <font>
      <sz val="10"/>
      <color theme="1"/>
      <name val="Arial Narrow"/>
      <family val="2"/>
    </font>
    <font>
      <sz val="11"/>
      <color theme="1"/>
      <name val="Arial"/>
      <family val="2"/>
    </font>
    <font>
      <b/>
      <sz val="10"/>
      <color theme="0"/>
      <name val="Arial"/>
      <family val="2"/>
    </font>
    <font>
      <sz val="10"/>
      <color theme="1"/>
      <name val="Arial"/>
      <family val="2"/>
    </font>
    <font>
      <b/>
      <sz val="12"/>
      <color theme="0"/>
      <name val="Arial"/>
      <family val="2"/>
    </font>
    <font>
      <sz val="10"/>
      <color rgb="FF000000"/>
      <name val="Arial"/>
      <family val="2"/>
    </font>
    <font>
      <sz val="8"/>
      <name val="Calibri"/>
      <family val="2"/>
      <scheme val="minor"/>
    </font>
    <font>
      <sz val="10"/>
      <name val="Arial"/>
      <family val="2"/>
    </font>
    <font>
      <b/>
      <sz val="10"/>
      <color rgb="FFFFC000"/>
      <name val="Arial"/>
      <family val="2"/>
    </font>
    <font>
      <b/>
      <sz val="18"/>
      <color theme="1"/>
      <name val="Arial"/>
      <family val="2"/>
    </font>
    <font>
      <sz val="8"/>
      <color theme="1"/>
      <name val="Arial"/>
      <family val="2"/>
    </font>
    <font>
      <sz val="8"/>
      <name val="Arial"/>
      <family val="2"/>
    </font>
    <font>
      <b/>
      <sz val="8"/>
      <color theme="1"/>
      <name val="Arial"/>
      <family val="2"/>
    </font>
    <font>
      <sz val="8"/>
      <color rgb="FFFF0000"/>
      <name val="Arial"/>
      <family val="2"/>
    </font>
    <font>
      <b/>
      <sz val="9"/>
      <color theme="0"/>
      <name val="Arial"/>
      <family val="2"/>
    </font>
    <font>
      <b/>
      <sz val="12"/>
      <color theme="1"/>
      <name val="Arial"/>
      <family val="2"/>
    </font>
    <font>
      <b/>
      <sz val="10"/>
      <name val="Arial"/>
      <family val="2"/>
    </font>
    <font>
      <sz val="9"/>
      <color rgb="FFFFC000"/>
      <name val="Arial"/>
      <family val="2"/>
    </font>
    <font>
      <b/>
      <sz val="9"/>
      <color rgb="FFFFC000"/>
      <name val="Arial"/>
      <family val="2"/>
    </font>
    <font>
      <b/>
      <sz val="9"/>
      <name val="Arial"/>
      <family val="2"/>
    </font>
    <font>
      <b/>
      <sz val="14"/>
      <color theme="0"/>
      <name val="Arial"/>
      <family val="2"/>
    </font>
    <font>
      <b/>
      <sz val="11"/>
      <color theme="0"/>
      <name val="Arial"/>
      <family val="2"/>
    </font>
    <font>
      <sz val="10"/>
      <color theme="1"/>
      <name val="Calibri"/>
      <family val="2"/>
      <scheme val="minor"/>
    </font>
    <font>
      <b/>
      <sz val="9"/>
      <color rgb="FF000000"/>
      <name val="Tahoma"/>
      <family val="2"/>
    </font>
    <font>
      <sz val="9"/>
      <color rgb="FF000000"/>
      <name val="Tahoma"/>
      <family val="2"/>
    </font>
    <font>
      <b/>
      <sz val="9"/>
      <color theme="3"/>
      <name val="Arial"/>
      <family val="2"/>
    </font>
    <font>
      <b/>
      <sz val="11"/>
      <name val="Arial"/>
      <family val="2"/>
    </font>
    <font>
      <b/>
      <sz val="10"/>
      <color rgb="FF000000"/>
      <name val="Arial"/>
      <family val="2"/>
    </font>
    <font>
      <b/>
      <sz val="11"/>
      <color theme="1"/>
      <name val="Arial"/>
      <family val="2"/>
    </font>
    <font>
      <b/>
      <sz val="8"/>
      <name val="Arial"/>
      <family val="2"/>
    </font>
    <font>
      <sz val="10"/>
      <color rgb="FFFF0000"/>
      <name val="Arial"/>
      <family val="2"/>
    </font>
    <font>
      <sz val="8"/>
      <color theme="0"/>
      <name val="Arial"/>
      <family val="2"/>
    </font>
    <font>
      <sz val="8"/>
      <color theme="0" tint="-4.9989318521683403E-2"/>
      <name val="Arial"/>
      <family val="2"/>
    </font>
    <font>
      <b/>
      <sz val="14"/>
      <color theme="1"/>
      <name val="Calibri"/>
      <family val="2"/>
      <scheme val="minor"/>
    </font>
    <font>
      <sz val="11"/>
      <name val="Arial"/>
      <family val="2"/>
    </font>
    <font>
      <sz val="10"/>
      <color rgb="FFFFC000"/>
      <name val="Arial"/>
      <family val="2"/>
    </font>
    <font>
      <b/>
      <i/>
      <sz val="10"/>
      <color theme="1"/>
      <name val="Arial"/>
      <family val="2"/>
    </font>
    <font>
      <b/>
      <sz val="11"/>
      <color rgb="FF000000"/>
      <name val="Arial"/>
      <family val="2"/>
    </font>
    <font>
      <b/>
      <sz val="11"/>
      <color theme="1"/>
      <name val="Calibri"/>
      <family val="2"/>
      <scheme val="minor"/>
    </font>
    <font>
      <sz val="11"/>
      <color rgb="FFFF0000"/>
      <name val="Calibri"/>
      <family val="2"/>
      <scheme val="minor"/>
    </font>
    <font>
      <u/>
      <sz val="11"/>
      <color theme="10"/>
      <name val="Calibri"/>
      <family val="2"/>
      <scheme val="minor"/>
    </font>
    <font>
      <b/>
      <u/>
      <sz val="11"/>
      <color theme="10"/>
      <name val="Calibri"/>
      <family val="2"/>
      <scheme val="minor"/>
    </font>
    <font>
      <b/>
      <sz val="11"/>
      <color rgb="FFFF0000"/>
      <name val="Arial"/>
      <family val="2"/>
    </font>
    <font>
      <sz val="10"/>
      <color theme="9"/>
      <name val="Arial"/>
      <family val="2"/>
    </font>
    <font>
      <sz val="22"/>
      <color theme="1"/>
      <name val="Roboto Slab"/>
    </font>
    <font>
      <sz val="18"/>
      <name val="Arial"/>
      <family val="2"/>
    </font>
    <font>
      <b/>
      <sz val="16"/>
      <color rgb="FF418FDE"/>
      <name val="Roboto Condensed"/>
    </font>
    <font>
      <b/>
      <sz val="16"/>
      <color rgb="FFE56A54"/>
      <name val="Roboto Condensed"/>
    </font>
    <font>
      <b/>
      <sz val="16"/>
      <color rgb="FF5A5A5A"/>
      <name val="Roboto Condensed"/>
    </font>
    <font>
      <b/>
      <sz val="16"/>
      <color rgb="FFBB0F46"/>
      <name val="Roboto Condensed"/>
    </font>
    <font>
      <b/>
      <sz val="12"/>
      <color rgb="FF002060"/>
      <name val="Roboto Condensed"/>
    </font>
    <font>
      <b/>
      <sz val="12"/>
      <color rgb="FF1B5C9E"/>
      <name val="Roboto Condensed"/>
    </font>
    <font>
      <b/>
      <sz val="12"/>
      <color rgb="FFE56A54"/>
      <name val="Roboto Condensed"/>
    </font>
    <font>
      <b/>
      <sz val="12"/>
      <color rgb="FF5A5A5A"/>
      <name val="Roboto Condensed"/>
    </font>
    <font>
      <b/>
      <sz val="12"/>
      <color rgb="FFBB0F46"/>
      <name val="Roboto Condensed"/>
    </font>
    <font>
      <b/>
      <sz val="12"/>
      <color theme="4" tint="-0.499984740745262"/>
      <name val="Roboto Condensed"/>
    </font>
    <font>
      <sz val="12"/>
      <color theme="3"/>
      <name val="Roboto Condensed"/>
    </font>
    <font>
      <b/>
      <sz val="12"/>
      <color theme="3" tint="0.39997558519241921"/>
      <name val="Roboto Condensed"/>
    </font>
    <font>
      <b/>
      <sz val="12"/>
      <color theme="0"/>
      <name val="Roboto Condensed"/>
    </font>
    <font>
      <sz val="9"/>
      <color indexed="81"/>
      <name val="Tahoma"/>
      <family val="2"/>
    </font>
    <font>
      <b/>
      <sz val="9"/>
      <color indexed="81"/>
      <name val="Tahoma"/>
      <family val="2"/>
    </font>
    <font>
      <sz val="10"/>
      <color rgb="FFDF1154"/>
      <name val="Arial"/>
      <family val="2"/>
    </font>
  </fonts>
  <fills count="52">
    <fill>
      <patternFill patternType="none"/>
    </fill>
    <fill>
      <patternFill patternType="gray125"/>
    </fill>
    <fill>
      <patternFill patternType="solid">
        <fgColor rgb="FF335E8D"/>
        <bgColor theme="4"/>
      </patternFill>
    </fill>
    <fill>
      <patternFill patternType="solid">
        <fgColor rgb="FFFFFF00"/>
        <bgColor indexed="64"/>
      </patternFill>
    </fill>
    <fill>
      <patternFill patternType="solid">
        <fgColor rgb="FF8FB6C9"/>
        <bgColor indexed="64"/>
      </patternFill>
    </fill>
    <fill>
      <patternFill patternType="solid">
        <fgColor rgb="FF744368"/>
        <bgColor indexed="64"/>
      </patternFill>
    </fill>
    <fill>
      <patternFill patternType="solid">
        <fgColor rgb="FF628FA5"/>
        <bgColor indexed="64"/>
      </patternFill>
    </fill>
    <fill>
      <patternFill patternType="solid">
        <fgColor rgb="FF5C3553"/>
        <bgColor indexed="64"/>
      </patternFill>
    </fill>
    <fill>
      <patternFill patternType="solid">
        <fgColor rgb="FF45283E"/>
        <bgColor indexed="64"/>
      </patternFill>
    </fill>
    <fill>
      <patternFill patternType="solid">
        <fgColor rgb="FF142538"/>
        <bgColor theme="4"/>
      </patternFill>
    </fill>
    <fill>
      <patternFill patternType="solid">
        <fgColor rgb="FF1E3854"/>
        <bgColor theme="4"/>
      </patternFill>
    </fill>
    <fill>
      <patternFill patternType="solid">
        <fgColor rgb="FF284B70"/>
        <bgColor theme="4"/>
      </patternFill>
    </fill>
    <fill>
      <patternFill patternType="solid">
        <fgColor rgb="FF5B7EA3"/>
        <bgColor indexed="64"/>
      </patternFill>
    </fill>
    <fill>
      <patternFill patternType="solid">
        <fgColor rgb="FF44748C"/>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5F9822"/>
        <bgColor indexed="64"/>
      </patternFill>
    </fill>
    <fill>
      <patternFill patternType="solid">
        <fgColor rgb="FFFFC000"/>
        <bgColor indexed="64"/>
      </patternFill>
    </fill>
    <fill>
      <patternFill patternType="solid">
        <fgColor rgb="FF4A7082"/>
        <bgColor indexed="64"/>
      </patternFill>
    </fill>
    <fill>
      <patternFill patternType="solid">
        <fgColor rgb="FFDDEBF7"/>
        <bgColor indexed="64"/>
      </patternFill>
    </fill>
    <fill>
      <patternFill patternType="solid">
        <fgColor theme="2" tint="-9.9978637043366805E-2"/>
        <bgColor indexed="64"/>
      </patternFill>
    </fill>
    <fill>
      <patternFill patternType="solid">
        <fgColor rgb="FF284B70"/>
        <bgColor indexed="64"/>
      </patternFill>
    </fill>
    <fill>
      <patternFill patternType="solid">
        <fgColor rgb="FFAC38DE"/>
        <bgColor indexed="64"/>
      </patternFill>
    </fill>
    <fill>
      <patternFill patternType="solid">
        <fgColor rgb="FFBB0F46"/>
        <bgColor indexed="64"/>
      </patternFill>
    </fill>
    <fill>
      <patternFill patternType="solid">
        <fgColor rgb="FFDF1154"/>
        <bgColor theme="4"/>
      </patternFill>
    </fill>
    <fill>
      <patternFill patternType="solid">
        <fgColor rgb="FFDF1154"/>
        <bgColor indexed="64"/>
      </patternFill>
    </fill>
    <fill>
      <patternFill patternType="solid">
        <fgColor rgb="FFDC9100"/>
        <bgColor indexed="64"/>
      </patternFill>
    </fill>
    <fill>
      <patternFill patternType="solid">
        <fgColor rgb="FF5D903B"/>
        <bgColor indexed="64"/>
      </patternFill>
    </fill>
    <fill>
      <patternFill patternType="solid">
        <fgColor rgb="FF0D39C8"/>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C00000"/>
        <bgColor indexed="64"/>
      </patternFill>
    </fill>
    <fill>
      <patternFill patternType="solid">
        <fgColor theme="0"/>
        <bgColor indexed="64"/>
      </patternFill>
    </fill>
    <fill>
      <patternFill patternType="solid">
        <fgColor theme="7" tint="0.59999389629810485"/>
        <bgColor indexed="64"/>
      </patternFill>
    </fill>
    <fill>
      <patternFill patternType="solid">
        <fgColor rgb="FFBDD7EE"/>
        <bgColor indexed="64"/>
      </patternFill>
    </fill>
    <fill>
      <patternFill patternType="solid">
        <fgColor theme="7"/>
        <bgColor indexed="64"/>
      </patternFill>
    </fill>
    <fill>
      <patternFill patternType="solid">
        <fgColor theme="5"/>
        <bgColor indexed="64"/>
      </patternFill>
    </fill>
    <fill>
      <patternFill patternType="solid">
        <fgColor rgb="FFFF9999"/>
        <bgColor indexed="64"/>
      </patternFill>
    </fill>
    <fill>
      <patternFill patternType="solid">
        <fgColor rgb="FFC0DAF4"/>
        <bgColor indexed="64"/>
      </patternFill>
    </fill>
    <fill>
      <patternFill patternType="solid">
        <fgColor rgb="FFFAE1DD"/>
        <bgColor indexed="64"/>
      </patternFill>
    </fill>
    <fill>
      <patternFill patternType="solid">
        <fgColor rgb="FFD9D9D9"/>
        <bgColor indexed="64"/>
      </patternFill>
    </fill>
    <fill>
      <patternFill patternType="solid">
        <fgColor rgb="FFFCE4D6"/>
        <bgColor indexed="64"/>
      </patternFill>
    </fill>
    <fill>
      <patternFill patternType="solid">
        <fgColor rgb="FFCDE1F6"/>
        <bgColor indexed="64"/>
      </patternFill>
    </fill>
    <fill>
      <patternFill patternType="solid">
        <fgColor rgb="FFB3D2F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theme="1" tint="0.499984740745262"/>
        <bgColor indexed="64"/>
      </patternFill>
    </fill>
    <fill>
      <patternFill patternType="solid">
        <fgColor theme="4"/>
        <bgColor theme="4"/>
      </patternFill>
    </fill>
    <fill>
      <patternFill patternType="solid">
        <fgColor theme="9"/>
        <bgColor indexed="64"/>
      </patternFill>
    </fill>
    <fill>
      <patternFill patternType="solid">
        <fgColor rgb="FFFF0000"/>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style="thick">
        <color indexed="64"/>
      </bottom>
      <diagonal/>
    </border>
    <border>
      <left style="thick">
        <color indexed="64"/>
      </left>
      <right/>
      <top style="thin">
        <color indexed="64"/>
      </top>
      <bottom style="thin">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right style="thick">
        <color indexed="64"/>
      </right>
      <top/>
      <bottom style="thick">
        <color indexed="64"/>
      </bottom>
      <diagonal/>
    </border>
    <border>
      <left/>
      <right style="thick">
        <color auto="1"/>
      </right>
      <top/>
      <bottom/>
      <diagonal/>
    </border>
    <border>
      <left/>
      <right style="thin">
        <color indexed="64"/>
      </right>
      <top style="thick">
        <color indexed="64"/>
      </top>
      <bottom style="thick">
        <color indexed="64"/>
      </bottom>
      <diagonal/>
    </border>
    <border>
      <left/>
      <right style="thick">
        <color indexed="64"/>
      </right>
      <top style="thin">
        <color indexed="64"/>
      </top>
      <bottom style="thin">
        <color indexed="64"/>
      </bottom>
      <diagonal/>
    </border>
    <border>
      <left style="thick">
        <color indexed="64"/>
      </left>
      <right/>
      <top/>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thin">
        <color rgb="FF000000"/>
      </top>
      <bottom style="thin">
        <color rgb="FF000000"/>
      </bottom>
      <diagonal/>
    </border>
    <border>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style="thick">
        <color indexed="64"/>
      </right>
      <top style="thick">
        <color indexed="64"/>
      </top>
      <bottom/>
      <diagonal/>
    </border>
    <border>
      <left/>
      <right style="thick">
        <color indexed="64"/>
      </right>
      <top style="thin">
        <color indexed="64"/>
      </top>
      <bottom style="thick">
        <color indexed="64"/>
      </bottom>
      <diagonal/>
    </border>
    <border>
      <left/>
      <right style="thin">
        <color indexed="64"/>
      </right>
      <top/>
      <bottom/>
      <diagonal/>
    </border>
    <border>
      <left style="thin">
        <color indexed="64"/>
      </left>
      <right style="thick">
        <color indexed="64"/>
      </right>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ck">
        <color auto="1"/>
      </right>
      <top style="thin">
        <color indexed="64"/>
      </top>
      <bottom/>
      <diagonal/>
    </border>
    <border>
      <left style="thick">
        <color indexed="64"/>
      </left>
      <right style="thick">
        <color indexed="64"/>
      </right>
      <top style="thin">
        <color indexed="64"/>
      </top>
      <bottom/>
      <diagonal/>
    </border>
    <border>
      <left/>
      <right/>
      <top/>
      <bottom style="medium">
        <color rgb="FFEFA698"/>
      </bottom>
      <diagonal/>
    </border>
    <border>
      <left style="medium">
        <color theme="5" tint="0.39997558519241921"/>
      </left>
      <right/>
      <top style="thin">
        <color rgb="FF46BDC6"/>
      </top>
      <bottom style="medium">
        <color rgb="FFEFA698"/>
      </bottom>
      <diagonal/>
    </border>
    <border>
      <left/>
      <right/>
      <top style="thin">
        <color rgb="FF46BDC6"/>
      </top>
      <bottom style="medium">
        <color rgb="FFEFA698"/>
      </bottom>
      <diagonal/>
    </border>
    <border>
      <left/>
      <right style="medium">
        <color rgb="FFEFA698"/>
      </right>
      <top style="thin">
        <color rgb="FF46BDC6"/>
      </top>
      <bottom style="medium">
        <color rgb="FFEFA698"/>
      </bottom>
      <diagonal/>
    </border>
    <border>
      <left style="medium">
        <color rgb="FFEFA698"/>
      </left>
      <right/>
      <top style="thin">
        <color rgb="FF46BDC6"/>
      </top>
      <bottom style="medium">
        <color rgb="FFEFA698"/>
      </bottom>
      <diagonal/>
    </border>
    <border>
      <left/>
      <right style="medium">
        <color rgb="FFEFA698"/>
      </right>
      <top style="medium">
        <color rgb="FFEFA698"/>
      </top>
      <bottom style="medium">
        <color rgb="FFEFA698"/>
      </bottom>
      <diagonal/>
    </border>
    <border>
      <left style="medium">
        <color rgb="FFEFA698"/>
      </left>
      <right style="medium">
        <color rgb="FFEFA698"/>
      </right>
      <top style="medium">
        <color rgb="FFEFA698"/>
      </top>
      <bottom style="medium">
        <color rgb="FFEFA698"/>
      </bottom>
      <diagonal/>
    </border>
    <border>
      <left style="medium">
        <color rgb="FFEFA698"/>
      </left>
      <right/>
      <top style="medium">
        <color rgb="FFEFA698"/>
      </top>
      <bottom style="medium">
        <color rgb="FFEFA698"/>
      </bottom>
      <diagonal/>
    </border>
    <border>
      <left/>
      <right/>
      <top style="medium">
        <color rgb="FFEFA698"/>
      </top>
      <bottom/>
      <diagonal/>
    </border>
    <border>
      <left style="medium">
        <color theme="5" tint="0.39997558519241921"/>
      </left>
      <right style="medium">
        <color rgb="FFEFA698"/>
      </right>
      <top style="medium">
        <color rgb="FFEFA698"/>
      </top>
      <bottom style="medium">
        <color rgb="FFEFA698"/>
      </bottom>
      <diagonal/>
    </border>
    <border>
      <left/>
      <right style="medium">
        <color theme="5" tint="0.39997558519241921"/>
      </right>
      <top style="dotted">
        <color theme="5" tint="0.39997558519241921"/>
      </top>
      <bottom/>
      <diagonal/>
    </border>
    <border>
      <left/>
      <right style="medium">
        <color theme="5" tint="0.39997558519241921"/>
      </right>
      <top style="dotted">
        <color theme="5" tint="0.39997558519241921"/>
      </top>
      <bottom style="dotted">
        <color theme="5" tint="0.39997558519241921"/>
      </bottom>
      <diagonal/>
    </border>
    <border>
      <left style="medium">
        <color theme="5" tint="0.39997558519241921"/>
      </left>
      <right style="medium">
        <color theme="5" tint="0.39997558519241921"/>
      </right>
      <top style="medium">
        <color theme="5" tint="0.39997558519241921"/>
      </top>
      <bottom style="thin">
        <color rgb="FF46BDC6"/>
      </bottom>
      <diagonal/>
    </border>
    <border>
      <left style="medium">
        <color theme="5" tint="0.39997558519241921"/>
      </left>
      <right style="medium">
        <color rgb="FFEFA698"/>
      </right>
      <top style="medium">
        <color rgb="FFEFA698"/>
      </top>
      <bottom style="thin">
        <color rgb="FF46BDC6"/>
      </bottom>
      <diagonal/>
    </border>
    <border>
      <left style="medium">
        <color rgb="FFEFA698"/>
      </left>
      <right style="medium">
        <color rgb="FFEFA698"/>
      </right>
      <top style="medium">
        <color rgb="FFEFA698"/>
      </top>
      <bottom style="thin">
        <color rgb="FF46BDC6"/>
      </bottom>
      <diagonal/>
    </border>
    <border>
      <left style="medium">
        <color rgb="FFEFA698"/>
      </left>
      <right/>
      <top style="medium">
        <color rgb="FFEFA698"/>
      </top>
      <bottom style="thin">
        <color rgb="FF46BDC6"/>
      </bottom>
      <diagonal/>
    </border>
    <border>
      <left style="medium">
        <color theme="5" tint="0.39997558519241921"/>
      </left>
      <right/>
      <top/>
      <bottom/>
      <diagonal/>
    </border>
    <border>
      <left/>
      <right/>
      <top style="thin">
        <color rgb="FF000000"/>
      </top>
      <bottom/>
      <diagonal/>
    </border>
    <border>
      <left style="thin">
        <color indexed="64"/>
      </left>
      <right style="thin">
        <color indexed="64"/>
      </right>
      <top/>
      <bottom style="thin">
        <color rgb="FF00000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8">
    <xf numFmtId="0" fontId="0" fillId="0" borderId="0"/>
    <xf numFmtId="0" fontId="3" fillId="0" borderId="0"/>
    <xf numFmtId="164"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41" fontId="2" fillId="0" borderId="0" applyFont="0" applyFill="0" applyBorder="0" applyAlignment="0" applyProtection="0"/>
    <xf numFmtId="0" fontId="43" fillId="0" borderId="0" applyNumberFormat="0" applyFill="0" applyBorder="0" applyAlignment="0" applyProtection="0"/>
  </cellStyleXfs>
  <cellXfs count="610">
    <xf numFmtId="0" fontId="0" fillId="0" borderId="0" xfId="0"/>
    <xf numFmtId="0" fontId="1" fillId="0" borderId="0" xfId="0" applyFont="1"/>
    <xf numFmtId="0" fontId="0" fillId="0" borderId="0" xfId="0" applyAlignment="1">
      <alignment wrapText="1"/>
    </xf>
    <xf numFmtId="0" fontId="11" fillId="14" borderId="9" xfId="0" applyFont="1" applyFill="1" applyBorder="1" applyAlignment="1">
      <alignment horizontal="center" vertical="center"/>
    </xf>
    <xf numFmtId="0" fontId="12" fillId="0" borderId="0" xfId="0" applyFont="1"/>
    <xf numFmtId="0" fontId="0" fillId="15" borderId="0" xfId="0" applyFill="1"/>
    <xf numFmtId="0" fontId="12" fillId="15" borderId="0" xfId="0" applyFont="1" applyFill="1"/>
    <xf numFmtId="0" fontId="13" fillId="0" borderId="0" xfId="0" applyFont="1"/>
    <xf numFmtId="0" fontId="13" fillId="0" borderId="1" xfId="0" applyFont="1" applyBorder="1"/>
    <xf numFmtId="9" fontId="13" fillId="0" borderId="1" xfId="0" applyNumberFormat="1" applyFont="1" applyBorder="1"/>
    <xf numFmtId="0" fontId="14" fillId="16" borderId="1" xfId="0" applyFont="1" applyFill="1" applyBorder="1" applyAlignment="1">
      <alignment wrapText="1"/>
    </xf>
    <xf numFmtId="0" fontId="14" fillId="16" borderId="1" xfId="0" applyFont="1" applyFill="1" applyBorder="1"/>
    <xf numFmtId="0" fontId="13"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167" fontId="4" fillId="0" borderId="0" xfId="4" applyNumberFormat="1" applyFont="1" applyAlignment="1">
      <alignment wrapText="1"/>
    </xf>
    <xf numFmtId="165" fontId="4" fillId="0" borderId="0" xfId="4" applyFont="1" applyAlignment="1">
      <alignment wrapText="1"/>
    </xf>
    <xf numFmtId="0" fontId="1" fillId="0" borderId="0" xfId="0" applyFont="1" applyAlignment="1">
      <alignment wrapText="1"/>
    </xf>
    <xf numFmtId="167" fontId="1" fillId="0" borderId="0" xfId="4" applyNumberFormat="1" applyFont="1"/>
    <xf numFmtId="9" fontId="0" fillId="0" borderId="0" xfId="3" applyFont="1"/>
    <xf numFmtId="0" fontId="1" fillId="0" borderId="0" xfId="0" applyFont="1" applyAlignment="1">
      <alignment horizontal="left" wrapText="1"/>
    </xf>
    <xf numFmtId="167" fontId="1" fillId="0" borderId="0" xfId="4" applyNumberFormat="1" applyFont="1" applyAlignment="1">
      <alignment wrapText="1"/>
    </xf>
    <xf numFmtId="167" fontId="0" fillId="0" borderId="0" xfId="4" applyNumberFormat="1" applyFont="1"/>
    <xf numFmtId="167" fontId="0" fillId="0" borderId="0" xfId="4" applyNumberFormat="1" applyFont="1" applyAlignment="1">
      <alignment wrapText="1"/>
    </xf>
    <xf numFmtId="165" fontId="1" fillId="0" borderId="0" xfId="4" applyFont="1" applyAlignment="1">
      <alignment wrapText="1"/>
    </xf>
    <xf numFmtId="167" fontId="8" fillId="0" borderId="1" xfId="4" applyNumberFormat="1" applyFont="1" applyBorder="1"/>
    <xf numFmtId="166" fontId="8" fillId="0" borderId="1" xfId="0" applyNumberFormat="1" applyFont="1" applyBorder="1"/>
    <xf numFmtId="167" fontId="8" fillId="0" borderId="1" xfId="4" applyNumberFormat="1" applyFont="1" applyFill="1" applyBorder="1" applyAlignment="1">
      <alignment vertical="center" wrapText="1"/>
    </xf>
    <xf numFmtId="9" fontId="8" fillId="0" borderId="1" xfId="3" applyFont="1" applyBorder="1"/>
    <xf numFmtId="166" fontId="8" fillId="0" borderId="2" xfId="0" applyNumberFormat="1" applyFont="1" applyBorder="1"/>
    <xf numFmtId="0" fontId="13" fillId="0" borderId="7" xfId="0" applyFont="1" applyBorder="1"/>
    <xf numFmtId="167" fontId="6" fillId="0" borderId="1" xfId="4" applyNumberFormat="1" applyFont="1" applyFill="1" applyBorder="1" applyAlignment="1">
      <alignment horizontal="center" vertical="center" wrapText="1"/>
    </xf>
    <xf numFmtId="167" fontId="4" fillId="0" borderId="0" xfId="4" applyNumberFormat="1" applyFont="1" applyAlignment="1">
      <alignment horizontal="center" vertical="center" wrapText="1"/>
    </xf>
    <xf numFmtId="167" fontId="6" fillId="0" borderId="1" xfId="4" applyNumberFormat="1" applyFont="1" applyFill="1" applyBorder="1" applyAlignment="1">
      <alignment vertical="center" wrapText="1"/>
    </xf>
    <xf numFmtId="0" fontId="6" fillId="0" borderId="1" xfId="0" applyFont="1" applyBorder="1" applyAlignment="1">
      <alignment horizontal="left" vertical="center" wrapText="1"/>
    </xf>
    <xf numFmtId="9" fontId="8" fillId="0" borderId="1" xfId="3" applyFont="1" applyFill="1" applyBorder="1" applyAlignment="1">
      <alignment vertical="center" wrapText="1"/>
    </xf>
    <xf numFmtId="0" fontId="0" fillId="0" borderId="1" xfId="0" applyBorder="1" applyAlignment="1">
      <alignment horizontal="left" vertical="center" wrapText="1"/>
    </xf>
    <xf numFmtId="9" fontId="8" fillId="0" borderId="1" xfId="3" applyFont="1" applyBorder="1" applyAlignment="1">
      <alignment vertical="center" wrapText="1"/>
    </xf>
    <xf numFmtId="9" fontId="8" fillId="0" borderId="1" xfId="0" applyNumberFormat="1" applyFont="1" applyBorder="1" applyAlignment="1">
      <alignment vertical="center" wrapText="1"/>
    </xf>
    <xf numFmtId="0" fontId="6" fillId="0" borderId="13" xfId="0" applyFont="1" applyBorder="1" applyAlignment="1">
      <alignment horizontal="left" vertical="center" wrapText="1"/>
    </xf>
    <xf numFmtId="167" fontId="6" fillId="0" borderId="14" xfId="4" applyNumberFormat="1" applyFont="1" applyFill="1" applyBorder="1" applyAlignment="1">
      <alignment horizontal="left" vertical="center" wrapText="1"/>
    </xf>
    <xf numFmtId="167" fontId="6" fillId="0" borderId="14" xfId="4" applyNumberFormat="1" applyFont="1" applyFill="1" applyBorder="1" applyAlignment="1">
      <alignment vertical="center" wrapText="1"/>
    </xf>
    <xf numFmtId="167" fontId="6" fillId="0" borderId="13" xfId="4" applyNumberFormat="1" applyFont="1" applyFill="1" applyBorder="1" applyAlignment="1">
      <alignment horizontal="center" vertical="center" wrapText="1"/>
    </xf>
    <xf numFmtId="166" fontId="8" fillId="0" borderId="13" xfId="0" applyNumberFormat="1" applyFont="1" applyBorder="1" applyAlignment="1">
      <alignment vertical="center" wrapText="1"/>
    </xf>
    <xf numFmtId="167" fontId="8" fillId="0" borderId="13" xfId="4" applyNumberFormat="1" applyFont="1" applyFill="1" applyBorder="1" applyAlignment="1">
      <alignment vertical="center" wrapText="1"/>
    </xf>
    <xf numFmtId="167" fontId="8" fillId="0" borderId="13" xfId="4" applyNumberFormat="1" applyFont="1" applyBorder="1" applyAlignment="1">
      <alignment vertical="center" wrapText="1"/>
    </xf>
    <xf numFmtId="166" fontId="5" fillId="19" borderId="15" xfId="2" applyNumberFormat="1" applyFont="1" applyFill="1" applyBorder="1" applyAlignment="1">
      <alignment horizontal="left" vertical="center" wrapText="1"/>
    </xf>
    <xf numFmtId="166" fontId="5" fillId="19" borderId="16" xfId="2" applyNumberFormat="1" applyFont="1" applyFill="1" applyBorder="1" applyAlignment="1">
      <alignment horizontal="left" vertical="center" wrapText="1"/>
    </xf>
    <xf numFmtId="166" fontId="5" fillId="19" borderId="17" xfId="2" applyNumberFormat="1" applyFont="1" applyFill="1" applyBorder="1" applyAlignment="1">
      <alignment horizontal="left" vertical="center" wrapText="1"/>
    </xf>
    <xf numFmtId="166" fontId="17" fillId="6" borderId="16" xfId="2" applyNumberFormat="1" applyFont="1" applyFill="1" applyBorder="1" applyAlignment="1">
      <alignment horizontal="center" vertical="center" wrapText="1"/>
    </xf>
    <xf numFmtId="166" fontId="17" fillId="6" borderId="17" xfId="2" applyNumberFormat="1" applyFont="1" applyFill="1" applyBorder="1" applyAlignment="1">
      <alignment horizontal="center" vertical="center" wrapText="1"/>
    </xf>
    <xf numFmtId="166" fontId="17" fillId="8" borderId="15" xfId="2" applyNumberFormat="1" applyFont="1" applyFill="1" applyBorder="1" applyAlignment="1">
      <alignment horizontal="center" vertical="center" wrapText="1"/>
    </xf>
    <xf numFmtId="166" fontId="17" fillId="8" borderId="16" xfId="2" applyNumberFormat="1" applyFont="1" applyFill="1" applyBorder="1" applyAlignment="1">
      <alignment horizontal="center" vertical="center" wrapText="1"/>
    </xf>
    <xf numFmtId="166" fontId="20" fillId="8" borderId="16" xfId="2" applyNumberFormat="1" applyFont="1" applyFill="1" applyBorder="1" applyAlignment="1">
      <alignment horizontal="center" vertical="center" wrapText="1"/>
    </xf>
    <xf numFmtId="166" fontId="17" fillId="8" borderId="17" xfId="2" applyNumberFormat="1" applyFont="1" applyFill="1" applyBorder="1" applyAlignment="1">
      <alignment horizontal="center" vertical="center" wrapText="1"/>
    </xf>
    <xf numFmtId="166" fontId="17" fillId="7" borderId="16" xfId="2" applyNumberFormat="1" applyFont="1" applyFill="1" applyBorder="1" applyAlignment="1">
      <alignment horizontal="center" vertical="center" wrapText="1"/>
    </xf>
    <xf numFmtId="167" fontId="17" fillId="5" borderId="15" xfId="4" applyNumberFormat="1" applyFont="1" applyFill="1" applyBorder="1" applyAlignment="1">
      <alignment horizontal="center" vertical="center" wrapText="1"/>
    </xf>
    <xf numFmtId="166" fontId="17" fillId="5" borderId="16" xfId="2" applyNumberFormat="1" applyFont="1" applyFill="1" applyBorder="1" applyAlignment="1">
      <alignment horizontal="center" vertical="center" wrapText="1"/>
    </xf>
    <xf numFmtId="166" fontId="21" fillId="5" borderId="17" xfId="2" applyNumberFormat="1" applyFont="1" applyFill="1" applyBorder="1" applyAlignment="1">
      <alignment horizontal="center" vertical="center" wrapText="1"/>
    </xf>
    <xf numFmtId="0" fontId="17" fillId="10" borderId="11" xfId="1" applyFont="1" applyFill="1" applyBorder="1" applyAlignment="1">
      <alignment horizontal="center" vertical="center" wrapText="1"/>
    </xf>
    <xf numFmtId="167" fontId="8" fillId="0" borderId="20" xfId="4" applyNumberFormat="1" applyFont="1" applyFill="1" applyBorder="1" applyAlignment="1">
      <alignment vertical="center" wrapText="1"/>
    </xf>
    <xf numFmtId="166" fontId="21" fillId="8" borderId="15" xfId="2" applyNumberFormat="1" applyFont="1" applyFill="1" applyBorder="1" applyAlignment="1">
      <alignment horizontal="center" vertical="center" wrapText="1"/>
    </xf>
    <xf numFmtId="166" fontId="8" fillId="0" borderId="14" xfId="0" applyNumberFormat="1" applyFont="1" applyBorder="1" applyAlignment="1">
      <alignment vertical="center" wrapText="1"/>
    </xf>
    <xf numFmtId="166" fontId="5" fillId="4" borderId="16" xfId="2" applyNumberFormat="1" applyFont="1" applyFill="1" applyBorder="1" applyAlignment="1">
      <alignment horizontal="center" vertical="center" wrapText="1"/>
    </xf>
    <xf numFmtId="166" fontId="5" fillId="4" borderId="17" xfId="2" applyNumberFormat="1" applyFont="1" applyFill="1" applyBorder="1" applyAlignment="1">
      <alignment horizontal="center" vertical="center" wrapText="1"/>
    </xf>
    <xf numFmtId="167" fontId="1" fillId="0" borderId="0" xfId="4" applyNumberFormat="1" applyFont="1" applyAlignment="1">
      <alignment horizontal="center" wrapText="1"/>
    </xf>
    <xf numFmtId="167" fontId="6" fillId="0" borderId="8" xfId="4" applyNumberFormat="1" applyFont="1" applyFill="1" applyBorder="1" applyAlignment="1">
      <alignment horizontal="center" vertical="center" wrapText="1"/>
    </xf>
    <xf numFmtId="167" fontId="4" fillId="0" borderId="0" xfId="4" applyNumberFormat="1" applyFont="1" applyAlignment="1">
      <alignment horizontal="center" wrapText="1"/>
    </xf>
    <xf numFmtId="0" fontId="17" fillId="9" borderId="11" xfId="1" applyFont="1" applyFill="1" applyBorder="1" applyAlignment="1">
      <alignment vertical="center" wrapText="1"/>
    </xf>
    <xf numFmtId="167" fontId="5" fillId="4" borderId="15" xfId="4" applyNumberFormat="1" applyFont="1" applyFill="1" applyBorder="1" applyAlignment="1">
      <alignment horizontal="center" vertical="center" wrapText="1"/>
    </xf>
    <xf numFmtId="167" fontId="5" fillId="4" borderId="16" xfId="4" applyNumberFormat="1" applyFont="1" applyFill="1" applyBorder="1" applyAlignment="1">
      <alignment horizontal="center" vertical="center" wrapText="1"/>
    </xf>
    <xf numFmtId="167" fontId="5" fillId="4" borderId="17" xfId="4" applyNumberFormat="1" applyFont="1" applyFill="1" applyBorder="1" applyAlignment="1">
      <alignment horizontal="center" vertical="center" wrapText="1"/>
    </xf>
    <xf numFmtId="167" fontId="17" fillId="6" borderId="15" xfId="4" applyNumberFormat="1" applyFont="1" applyFill="1" applyBorder="1" applyAlignment="1">
      <alignment horizontal="center" vertical="center" wrapText="1"/>
    </xf>
    <xf numFmtId="9" fontId="1" fillId="0" borderId="0" xfId="3" applyFont="1" applyAlignment="1">
      <alignment wrapText="1"/>
    </xf>
    <xf numFmtId="9" fontId="4" fillId="0" borderId="0" xfId="3" applyFont="1" applyAlignment="1">
      <alignment wrapText="1"/>
    </xf>
    <xf numFmtId="9" fontId="13" fillId="0" borderId="0" xfId="3" applyFont="1" applyBorder="1"/>
    <xf numFmtId="167" fontId="8" fillId="5" borderId="15" xfId="4" applyNumberFormat="1" applyFont="1" applyFill="1" applyBorder="1" applyAlignment="1">
      <alignment horizontal="center" vertical="center" wrapText="1"/>
    </xf>
    <xf numFmtId="9" fontId="8" fillId="5" borderId="16" xfId="3" applyFont="1" applyFill="1" applyBorder="1" applyAlignment="1">
      <alignment horizontal="center" vertical="center" wrapText="1"/>
    </xf>
    <xf numFmtId="167" fontId="8" fillId="5" borderId="16" xfId="4" applyNumberFormat="1" applyFont="1" applyFill="1" applyBorder="1" applyAlignment="1">
      <alignment horizontal="center" vertical="center" wrapText="1"/>
    </xf>
    <xf numFmtId="9" fontId="8" fillId="5" borderId="17" xfId="3" applyFont="1" applyFill="1" applyBorder="1" applyAlignment="1">
      <alignment horizontal="center" vertical="center" wrapText="1"/>
    </xf>
    <xf numFmtId="167" fontId="17" fillId="6" borderId="16" xfId="4" applyNumberFormat="1" applyFont="1" applyFill="1" applyBorder="1" applyAlignment="1">
      <alignment horizontal="center" vertical="center" wrapText="1"/>
    </xf>
    <xf numFmtId="167" fontId="6" fillId="0" borderId="13" xfId="4" applyNumberFormat="1" applyFont="1" applyFill="1" applyBorder="1" applyAlignment="1">
      <alignment vertical="center" wrapText="1"/>
    </xf>
    <xf numFmtId="165" fontId="8" fillId="0" borderId="13" xfId="4" applyFont="1" applyBorder="1" applyAlignment="1">
      <alignment vertical="center" wrapText="1"/>
    </xf>
    <xf numFmtId="166" fontId="22" fillId="18" borderId="31" xfId="2" applyNumberFormat="1" applyFont="1" applyFill="1" applyBorder="1" applyAlignment="1">
      <alignment horizontal="center" vertical="center" wrapText="1"/>
    </xf>
    <xf numFmtId="167" fontId="6" fillId="0" borderId="4" xfId="4" applyNumberFormat="1" applyFont="1" applyFill="1" applyBorder="1" applyAlignment="1">
      <alignment vertical="center" wrapText="1"/>
    </xf>
    <xf numFmtId="0" fontId="4" fillId="0" borderId="0" xfId="0" applyFont="1" applyAlignment="1">
      <alignment horizontal="right" wrapText="1"/>
    </xf>
    <xf numFmtId="9" fontId="0" fillId="0" borderId="0" xfId="3" applyFont="1" applyAlignment="1">
      <alignment horizontal="center"/>
    </xf>
    <xf numFmtId="0" fontId="0" fillId="0" borderId="0" xfId="0" applyAlignment="1">
      <alignment horizontal="center"/>
    </xf>
    <xf numFmtId="0" fontId="0" fillId="0" borderId="0" xfId="0" applyAlignment="1">
      <alignment horizontal="center" vertical="center"/>
    </xf>
    <xf numFmtId="9" fontId="0" fillId="0" borderId="0" xfId="3" applyFont="1" applyAlignment="1">
      <alignment horizontal="center" vertical="center"/>
    </xf>
    <xf numFmtId="0" fontId="0" fillId="0" borderId="0" xfId="0" applyAlignment="1">
      <alignment vertical="center"/>
    </xf>
    <xf numFmtId="0" fontId="0" fillId="16" borderId="1" xfId="0" applyFill="1" applyBorder="1" applyAlignment="1">
      <alignment horizontal="center" vertical="center"/>
    </xf>
    <xf numFmtId="0" fontId="0" fillId="0" borderId="1" xfId="0" applyBorder="1" applyAlignment="1">
      <alignment horizontal="center" vertical="center"/>
    </xf>
    <xf numFmtId="9" fontId="0" fillId="0" borderId="1" xfId="3" applyFont="1" applyBorder="1" applyAlignment="1">
      <alignment horizontal="center" vertical="center"/>
    </xf>
    <xf numFmtId="9" fontId="0" fillId="0" borderId="1" xfId="3" applyFont="1" applyBorder="1" applyAlignment="1">
      <alignment horizontal="center"/>
    </xf>
    <xf numFmtId="166" fontId="8" fillId="0" borderId="1" xfId="0" applyNumberFormat="1" applyFont="1" applyBorder="1" applyAlignment="1">
      <alignment horizontal="left" vertical="center" wrapText="1"/>
    </xf>
    <xf numFmtId="167" fontId="6" fillId="0" borderId="1" xfId="4" applyNumberFormat="1" applyFont="1" applyBorder="1" applyAlignment="1">
      <alignment horizontal="left" vertical="center" wrapText="1"/>
    </xf>
    <xf numFmtId="166" fontId="5" fillId="19" borderId="22" xfId="2" applyNumberFormat="1" applyFont="1" applyFill="1" applyBorder="1" applyAlignment="1">
      <alignment horizontal="left" vertical="center" wrapText="1"/>
    </xf>
    <xf numFmtId="0" fontId="25" fillId="0" borderId="0" xfId="0" applyFont="1"/>
    <xf numFmtId="0" fontId="6" fillId="0" borderId="1" xfId="0" applyFont="1" applyBorder="1" applyAlignment="1">
      <alignment horizontal="left" wrapText="1"/>
    </xf>
    <xf numFmtId="167" fontId="0" fillId="0" borderId="1" xfId="4" applyNumberFormat="1" applyFont="1" applyBorder="1" applyAlignment="1">
      <alignment horizontal="left" vertical="center" wrapText="1"/>
    </xf>
    <xf numFmtId="0" fontId="1" fillId="0" borderId="0" xfId="0" applyFont="1" applyAlignment="1">
      <alignment horizontal="center" wrapText="1"/>
    </xf>
    <xf numFmtId="166" fontId="5" fillId="19" borderId="16" xfId="2"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horizontal="center" wrapText="1"/>
    </xf>
    <xf numFmtId="166" fontId="17" fillId="7" borderId="34" xfId="2" applyNumberFormat="1" applyFont="1" applyFill="1" applyBorder="1" applyAlignment="1">
      <alignment horizontal="center" vertical="center" wrapText="1"/>
    </xf>
    <xf numFmtId="167" fontId="17" fillId="7" borderId="34" xfId="4" applyNumberFormat="1" applyFont="1" applyFill="1" applyBorder="1" applyAlignment="1">
      <alignment horizontal="center" vertical="center" wrapText="1"/>
    </xf>
    <xf numFmtId="167" fontId="0" fillId="0" borderId="0" xfId="0" applyNumberFormat="1"/>
    <xf numFmtId="0" fontId="6" fillId="0" borderId="14" xfId="6" applyNumberFormat="1" applyFont="1" applyFill="1" applyBorder="1" applyAlignment="1">
      <alignment horizontal="left" vertical="center" wrapText="1"/>
    </xf>
    <xf numFmtId="9" fontId="1" fillId="0" borderId="0" xfId="3" applyFont="1"/>
    <xf numFmtId="166" fontId="5" fillId="4" borderId="6" xfId="2" applyNumberFormat="1" applyFont="1" applyFill="1" applyBorder="1" applyAlignment="1">
      <alignment horizontal="center" vertical="center" wrapText="1"/>
    </xf>
    <xf numFmtId="9" fontId="5" fillId="19" borderId="6" xfId="3" applyFont="1" applyFill="1" applyBorder="1" applyAlignment="1">
      <alignment horizontal="center" vertical="center" wrapText="1"/>
    </xf>
    <xf numFmtId="9" fontId="10" fillId="0" borderId="1" xfId="3" applyFont="1" applyBorder="1"/>
    <xf numFmtId="167" fontId="17" fillId="8" borderId="15" xfId="4" applyNumberFormat="1" applyFont="1" applyFill="1" applyBorder="1" applyAlignment="1">
      <alignment horizontal="center" vertical="center" wrapText="1"/>
    </xf>
    <xf numFmtId="0" fontId="24" fillId="10" borderId="11" xfId="1" applyFont="1" applyFill="1" applyBorder="1" applyAlignment="1">
      <alignment horizontal="center" vertical="center" wrapText="1"/>
    </xf>
    <xf numFmtId="167" fontId="5" fillId="6" borderId="15" xfId="4" applyNumberFormat="1" applyFont="1" applyFill="1" applyBorder="1" applyAlignment="1">
      <alignment horizontal="center" vertical="center" wrapText="1"/>
    </xf>
    <xf numFmtId="167" fontId="5" fillId="6" borderId="16" xfId="4" applyNumberFormat="1" applyFont="1" applyFill="1" applyBorder="1" applyAlignment="1">
      <alignment horizontal="center" vertical="center" wrapText="1"/>
    </xf>
    <xf numFmtId="167" fontId="5" fillId="6" borderId="17" xfId="4" applyNumberFormat="1" applyFont="1" applyFill="1" applyBorder="1" applyAlignment="1">
      <alignment horizontal="center" vertical="center" wrapText="1"/>
    </xf>
    <xf numFmtId="1" fontId="0" fillId="0" borderId="0" xfId="0" applyNumberFormat="1"/>
    <xf numFmtId="0" fontId="24" fillId="22" borderId="24" xfId="1" applyFont="1" applyFill="1" applyBorder="1" applyAlignment="1">
      <alignment horizontal="center" vertical="center"/>
    </xf>
    <xf numFmtId="1" fontId="24" fillId="22" borderId="24" xfId="1" applyNumberFormat="1" applyFont="1" applyFill="1" applyBorder="1" applyAlignment="1">
      <alignment horizontal="center" vertical="center"/>
    </xf>
    <xf numFmtId="167" fontId="19" fillId="26" borderId="5" xfId="4" applyNumberFormat="1" applyFont="1" applyFill="1" applyBorder="1" applyAlignment="1">
      <alignment horizontal="center" vertical="center" wrapText="1"/>
    </xf>
    <xf numFmtId="166" fontId="29" fillId="29" borderId="30" xfId="2" applyNumberFormat="1" applyFont="1" applyFill="1" applyBorder="1" applyAlignment="1">
      <alignment horizontal="center" vertical="center" wrapText="1"/>
    </xf>
    <xf numFmtId="166" fontId="24" fillId="29" borderId="31" xfId="2" applyNumberFormat="1" applyFont="1" applyFill="1" applyBorder="1" applyAlignment="1">
      <alignment horizontal="center" vertical="center" wrapText="1"/>
    </xf>
    <xf numFmtId="166" fontId="5" fillId="19" borderId="34" xfId="2" applyNumberFormat="1" applyFont="1" applyFill="1" applyBorder="1" applyAlignment="1">
      <alignment horizontal="center" vertical="center" wrapText="1"/>
    </xf>
    <xf numFmtId="0" fontId="0" fillId="0" borderId="4" xfId="0" applyBorder="1" applyAlignment="1">
      <alignment horizontal="center" vertical="center" wrapText="1"/>
    </xf>
    <xf numFmtId="0" fontId="17" fillId="10" borderId="30" xfId="1" applyFont="1" applyFill="1" applyBorder="1" applyAlignment="1">
      <alignment horizontal="center" vertical="center" wrapText="1"/>
    </xf>
    <xf numFmtId="0" fontId="13" fillId="30" borderId="1" xfId="0" applyFont="1" applyFill="1" applyBorder="1" applyAlignment="1">
      <alignment wrapText="1"/>
    </xf>
    <xf numFmtId="0" fontId="13" fillId="30" borderId="2" xfId="0" applyFont="1" applyFill="1" applyBorder="1"/>
    <xf numFmtId="167" fontId="33" fillId="0" borderId="21" xfId="4" applyNumberFormat="1" applyFont="1" applyBorder="1" applyAlignment="1"/>
    <xf numFmtId="0" fontId="13" fillId="30" borderId="1" xfId="0" applyFont="1" applyFill="1" applyBorder="1"/>
    <xf numFmtId="1" fontId="30" fillId="0" borderId="13" xfId="3" applyNumberFormat="1" applyFont="1" applyFill="1" applyBorder="1" applyAlignment="1">
      <alignment horizontal="center" vertical="center" wrapText="1"/>
    </xf>
    <xf numFmtId="9" fontId="30" fillId="0" borderId="1" xfId="3"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 fontId="31" fillId="0" borderId="21" xfId="4" applyNumberFormat="1" applyFont="1" applyFill="1" applyBorder="1" applyAlignment="1">
      <alignment vertical="center" wrapText="1"/>
    </xf>
    <xf numFmtId="167" fontId="1" fillId="0" borderId="0" xfId="4" applyNumberFormat="1" applyFont="1" applyFill="1" applyAlignment="1">
      <alignment horizontal="center" wrapText="1"/>
    </xf>
    <xf numFmtId="9" fontId="5" fillId="19" borderId="22" xfId="3" applyFont="1" applyFill="1" applyBorder="1" applyAlignment="1">
      <alignment horizontal="left" vertical="center" wrapText="1"/>
    </xf>
    <xf numFmtId="167" fontId="33" fillId="0" borderId="21" xfId="4" applyNumberFormat="1" applyFont="1" applyBorder="1" applyAlignment="1">
      <alignment wrapText="1"/>
    </xf>
    <xf numFmtId="9" fontId="13" fillId="0" borderId="1" xfId="3" applyFont="1" applyBorder="1"/>
    <xf numFmtId="0" fontId="32" fillId="16" borderId="1" xfId="0" applyFont="1" applyFill="1" applyBorder="1" applyAlignment="1">
      <alignment horizontal="center" vertical="center" wrapText="1"/>
    </xf>
    <xf numFmtId="0" fontId="32" fillId="31" borderId="1" xfId="0" applyFont="1" applyFill="1" applyBorder="1" applyAlignment="1">
      <alignment horizontal="center" vertical="center" wrapText="1"/>
    </xf>
    <xf numFmtId="166" fontId="29" fillId="32" borderId="39" xfId="2" applyNumberFormat="1" applyFont="1" applyFill="1" applyBorder="1" applyAlignment="1">
      <alignment horizontal="center" vertical="center" wrapText="1"/>
    </xf>
    <xf numFmtId="166" fontId="29" fillId="32" borderId="24" xfId="2" applyNumberFormat="1" applyFont="1" applyFill="1" applyBorder="1" applyAlignment="1">
      <alignment horizontal="center" vertical="center" wrapText="1"/>
    </xf>
    <xf numFmtId="167" fontId="28" fillId="21" borderId="22" xfId="4" applyNumberFormat="1" applyFont="1" applyFill="1" applyBorder="1" applyAlignment="1">
      <alignment horizontal="center" vertical="center" wrapText="1"/>
    </xf>
    <xf numFmtId="167" fontId="28" fillId="21" borderId="23" xfId="4" applyNumberFormat="1" applyFont="1" applyFill="1" applyBorder="1" applyAlignment="1">
      <alignment horizontal="center" vertical="center" wrapText="1"/>
    </xf>
    <xf numFmtId="0" fontId="13" fillId="0" borderId="1" xfId="0" applyFont="1" applyBorder="1" applyAlignment="1">
      <alignment wrapText="1"/>
    </xf>
    <xf numFmtId="0" fontId="35" fillId="0" borderId="0" xfId="0" applyFont="1"/>
    <xf numFmtId="0" fontId="35" fillId="0" borderId="6" xfId="0" applyFont="1" applyBorder="1"/>
    <xf numFmtId="0" fontId="14" fillId="0" borderId="0" xfId="0" applyFont="1"/>
    <xf numFmtId="0" fontId="14" fillId="0" borderId="0" xfId="0" applyFont="1" applyAlignment="1">
      <alignment wrapText="1"/>
    </xf>
    <xf numFmtId="9" fontId="14" fillId="0" borderId="0" xfId="3" applyFont="1" applyBorder="1"/>
    <xf numFmtId="0" fontId="34" fillId="0" borderId="4" xfId="0" applyFont="1" applyBorder="1" applyAlignment="1">
      <alignment wrapText="1"/>
    </xf>
    <xf numFmtId="9" fontId="34" fillId="0" borderId="1" xfId="3" applyFont="1" applyBorder="1"/>
    <xf numFmtId="0" fontId="34" fillId="0" borderId="1" xfId="0" applyFont="1" applyBorder="1"/>
    <xf numFmtId="0" fontId="34" fillId="0" borderId="0" xfId="0" applyFont="1"/>
    <xf numFmtId="0" fontId="35" fillId="0" borderId="5" xfId="0" applyFont="1" applyBorder="1" applyAlignment="1">
      <alignment wrapText="1"/>
    </xf>
    <xf numFmtId="9" fontId="35" fillId="0" borderId="6" xfId="3" applyFont="1" applyBorder="1"/>
    <xf numFmtId="0" fontId="14" fillId="16" borderId="1" xfId="0" applyFont="1" applyFill="1" applyBorder="1" applyAlignment="1">
      <alignment horizontal="center" vertical="center" wrapText="1"/>
    </xf>
    <xf numFmtId="0" fontId="14" fillId="31"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wrapText="1"/>
    </xf>
    <xf numFmtId="166" fontId="21" fillId="5" borderId="32" xfId="2" applyNumberFormat="1" applyFont="1" applyFill="1" applyBorder="1" applyAlignment="1">
      <alignment horizontal="center" vertical="center" wrapText="1"/>
    </xf>
    <xf numFmtId="167" fontId="21" fillId="5" borderId="32" xfId="4" applyNumberFormat="1" applyFont="1" applyFill="1" applyBorder="1" applyAlignment="1">
      <alignment horizontal="center" vertical="center" wrapText="1"/>
    </xf>
    <xf numFmtId="9" fontId="8" fillId="5" borderId="34" xfId="3" applyFont="1" applyFill="1" applyBorder="1" applyAlignment="1">
      <alignment horizontal="center" vertical="center" wrapText="1"/>
    </xf>
    <xf numFmtId="167" fontId="8" fillId="5" borderId="17" xfId="4" applyNumberFormat="1" applyFont="1" applyFill="1" applyBorder="1" applyAlignment="1">
      <alignment horizontal="center" vertical="center" wrapText="1"/>
    </xf>
    <xf numFmtId="166" fontId="5" fillId="19" borderId="34" xfId="2" applyNumberFormat="1" applyFont="1" applyFill="1" applyBorder="1" applyAlignment="1">
      <alignment horizontal="left" vertical="center" wrapText="1"/>
    </xf>
    <xf numFmtId="167" fontId="6" fillId="0" borderId="41" xfId="4" applyNumberFormat="1" applyFont="1" applyFill="1" applyBorder="1" applyAlignment="1">
      <alignment horizontal="center" vertical="center" wrapText="1"/>
    </xf>
    <xf numFmtId="4" fontId="0" fillId="0" borderId="33" xfId="0" applyNumberFormat="1" applyBorder="1"/>
    <xf numFmtId="167" fontId="28" fillId="21" borderId="44" xfId="4" applyNumberFormat="1" applyFont="1" applyFill="1" applyBorder="1" applyAlignment="1">
      <alignment horizontal="center" vertical="center" wrapText="1"/>
    </xf>
    <xf numFmtId="166" fontId="5" fillId="4" borderId="15" xfId="2" applyNumberFormat="1" applyFont="1" applyFill="1" applyBorder="1" applyAlignment="1">
      <alignment horizontal="center" vertical="center" wrapText="1"/>
    </xf>
    <xf numFmtId="166" fontId="17" fillId="4" borderId="16" xfId="2" applyNumberFormat="1" applyFont="1" applyFill="1" applyBorder="1" applyAlignment="1">
      <alignment horizontal="center" vertical="center" wrapText="1"/>
    </xf>
    <xf numFmtId="167" fontId="17" fillId="7" borderId="15" xfId="4" applyNumberFormat="1" applyFont="1" applyFill="1" applyBorder="1" applyAlignment="1">
      <alignment horizontal="center" vertical="center" wrapText="1"/>
    </xf>
    <xf numFmtId="0" fontId="6" fillId="0" borderId="0" xfId="0" applyFont="1" applyAlignment="1">
      <alignment wrapText="1"/>
    </xf>
    <xf numFmtId="0" fontId="33" fillId="0" borderId="21" xfId="0" applyFont="1" applyBorder="1" applyAlignment="1">
      <alignment wrapText="1"/>
    </xf>
    <xf numFmtId="0" fontId="30" fillId="0" borderId="0" xfId="0" applyFont="1"/>
    <xf numFmtId="167" fontId="6" fillId="0" borderId="12" xfId="4" applyNumberFormat="1" applyFont="1" applyBorder="1" applyAlignment="1">
      <alignment horizontal="left" vertical="center" wrapText="1"/>
    </xf>
    <xf numFmtId="165" fontId="0" fillId="0" borderId="0" xfId="4" applyFont="1" applyAlignment="1">
      <alignment horizontal="center" vertical="center"/>
    </xf>
    <xf numFmtId="0" fontId="0" fillId="0" borderId="0" xfId="0" applyAlignment="1">
      <alignment horizontal="right" vertical="center"/>
    </xf>
    <xf numFmtId="165" fontId="0" fillId="0" borderId="0" xfId="4" applyFont="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right"/>
    </xf>
    <xf numFmtId="0" fontId="0" fillId="0" borderId="0" xfId="0" applyAlignment="1">
      <alignment horizontal="center" vertical="center" wrapText="1"/>
    </xf>
    <xf numFmtId="0" fontId="0" fillId="0" borderId="36" xfId="0" applyBorder="1"/>
    <xf numFmtId="167" fontId="36" fillId="0" borderId="0" xfId="4" applyNumberFormat="1" applyFont="1" applyAlignment="1">
      <alignment horizontal="center" vertical="center" wrapText="1"/>
    </xf>
    <xf numFmtId="167" fontId="0" fillId="0" borderId="0" xfId="4" applyNumberFormat="1" applyFont="1" applyAlignment="1">
      <alignment horizontal="center" vertical="center" wrapText="1"/>
    </xf>
    <xf numFmtId="9" fontId="8" fillId="0" borderId="4" xfId="0" applyNumberFormat="1" applyFont="1" applyBorder="1" applyAlignment="1">
      <alignment vertical="center" wrapText="1"/>
    </xf>
    <xf numFmtId="9" fontId="8" fillId="0" borderId="13" xfId="0" applyNumberFormat="1" applyFont="1" applyBorder="1" applyAlignment="1">
      <alignment vertical="center" wrapText="1"/>
    </xf>
    <xf numFmtId="9" fontId="8" fillId="0" borderId="1" xfId="0" applyNumberFormat="1" applyFont="1" applyBorder="1" applyAlignment="1">
      <alignment horizontal="left" vertical="center" wrapText="1"/>
    </xf>
    <xf numFmtId="167" fontId="8" fillId="0" borderId="13" xfId="4" applyNumberFormat="1" applyFont="1" applyBorder="1" applyAlignment="1">
      <alignment horizontal="right" vertical="center" wrapText="1"/>
    </xf>
    <xf numFmtId="167" fontId="17" fillId="6" borderId="34" xfId="4" applyNumberFormat="1" applyFont="1" applyFill="1" applyBorder="1" applyAlignment="1">
      <alignment horizontal="center" vertical="center" wrapText="1"/>
    </xf>
    <xf numFmtId="167" fontId="5" fillId="4" borderId="34" xfId="4" applyNumberFormat="1" applyFont="1" applyFill="1" applyBorder="1" applyAlignment="1">
      <alignment horizontal="center" vertical="center" wrapText="1"/>
    </xf>
    <xf numFmtId="168" fontId="8" fillId="0" borderId="1" xfId="4" applyNumberFormat="1" applyFont="1" applyBorder="1"/>
    <xf numFmtId="168" fontId="1" fillId="0" borderId="0" xfId="4" applyNumberFormat="1" applyFont="1" applyAlignment="1">
      <alignment horizontal="left"/>
    </xf>
    <xf numFmtId="166" fontId="5" fillId="19" borderId="26" xfId="2" applyNumberFormat="1" applyFont="1" applyFill="1" applyBorder="1" applyAlignment="1">
      <alignment horizontal="left" vertical="center" wrapText="1"/>
    </xf>
    <xf numFmtId="167" fontId="5" fillId="19" borderId="15" xfId="4" applyNumberFormat="1" applyFont="1" applyFill="1" applyBorder="1" applyAlignment="1">
      <alignment horizontal="left" vertical="center" wrapText="1"/>
    </xf>
    <xf numFmtId="165" fontId="5" fillId="8" borderId="45" xfId="4" applyFont="1" applyFill="1" applyBorder="1" applyAlignment="1">
      <alignment horizontal="center" vertical="center" wrapText="1"/>
    </xf>
    <xf numFmtId="167" fontId="5" fillId="8" borderId="22" xfId="4" applyNumberFormat="1" applyFont="1" applyFill="1" applyBorder="1" applyAlignment="1">
      <alignment horizontal="center" vertical="center" wrapText="1"/>
    </xf>
    <xf numFmtId="166" fontId="5" fillId="8" borderId="22" xfId="2" applyNumberFormat="1" applyFont="1" applyFill="1" applyBorder="1" applyAlignment="1">
      <alignment horizontal="center" vertical="center" wrapText="1"/>
    </xf>
    <xf numFmtId="167" fontId="5" fillId="8" borderId="23" xfId="4" applyNumberFormat="1" applyFont="1" applyFill="1" applyBorder="1" applyAlignment="1">
      <alignment horizontal="center" vertical="center" wrapText="1"/>
    </xf>
    <xf numFmtId="1" fontId="38" fillId="8" borderId="45" xfId="2" applyNumberFormat="1" applyFont="1" applyFill="1" applyBorder="1" applyAlignment="1">
      <alignment horizontal="center" vertical="center" wrapText="1"/>
    </xf>
    <xf numFmtId="1" fontId="38" fillId="8" borderId="23" xfId="2" applyNumberFormat="1" applyFont="1" applyFill="1" applyBorder="1" applyAlignment="1">
      <alignment horizontal="center" vertical="center" wrapText="1"/>
    </xf>
    <xf numFmtId="166" fontId="11" fillId="8" borderId="4" xfId="2" applyNumberFormat="1" applyFont="1" applyFill="1" applyBorder="1" applyAlignment="1">
      <alignment horizontal="center" vertical="center" wrapText="1"/>
    </xf>
    <xf numFmtId="1" fontId="11" fillId="8" borderId="45" xfId="2" applyNumberFormat="1" applyFont="1" applyFill="1" applyBorder="1" applyAlignment="1">
      <alignment horizontal="center" vertical="center" wrapText="1"/>
    </xf>
    <xf numFmtId="1" fontId="11" fillId="8" borderId="23" xfId="2" applyNumberFormat="1" applyFont="1" applyFill="1" applyBorder="1" applyAlignment="1">
      <alignment horizontal="center" vertical="center" wrapText="1"/>
    </xf>
    <xf numFmtId="166" fontId="5" fillId="28" borderId="45" xfId="2" applyNumberFormat="1" applyFont="1" applyFill="1" applyBorder="1" applyAlignment="1">
      <alignment horizontal="center" vertical="center" wrapText="1"/>
    </xf>
    <xf numFmtId="166" fontId="5" fillId="28" borderId="23" xfId="2" applyNumberFormat="1" applyFont="1" applyFill="1" applyBorder="1" applyAlignment="1">
      <alignment horizontal="center" vertical="center" wrapText="1"/>
    </xf>
    <xf numFmtId="167" fontId="19" fillId="26" borderId="13" xfId="4" applyNumberFormat="1" applyFont="1" applyFill="1" applyBorder="1" applyAlignment="1">
      <alignment horizontal="center" vertical="center" wrapText="1"/>
    </xf>
    <xf numFmtId="167" fontId="19" fillId="26" borderId="1" xfId="4" applyNumberFormat="1" applyFont="1" applyFill="1" applyBorder="1" applyAlignment="1">
      <alignment horizontal="center" vertical="center" wrapText="1"/>
    </xf>
    <xf numFmtId="167" fontId="19" fillId="26" borderId="14" xfId="4" applyNumberFormat="1" applyFont="1" applyFill="1" applyBorder="1" applyAlignment="1">
      <alignment horizontal="center" vertical="center" wrapText="1"/>
    </xf>
    <xf numFmtId="166" fontId="5" fillId="4" borderId="5" xfId="2" applyNumberFormat="1" applyFont="1" applyFill="1" applyBorder="1" applyAlignment="1">
      <alignment horizontal="center" vertical="center" wrapText="1"/>
    </xf>
    <xf numFmtId="168" fontId="5" fillId="4" borderId="16" xfId="4" applyNumberFormat="1" applyFont="1" applyFill="1" applyBorder="1" applyAlignment="1">
      <alignment horizontal="center" vertical="center" wrapText="1"/>
    </xf>
    <xf numFmtId="9" fontId="5" fillId="4" borderId="16" xfId="3" applyFont="1" applyFill="1" applyBorder="1" applyAlignment="1">
      <alignment horizontal="center" vertical="center" wrapText="1"/>
    </xf>
    <xf numFmtId="0" fontId="1" fillId="0" borderId="1" xfId="0" applyFont="1" applyBorder="1" applyAlignment="1">
      <alignment horizontal="center" vertical="center" wrapText="1"/>
    </xf>
    <xf numFmtId="167" fontId="6" fillId="33" borderId="1" xfId="4" applyNumberFormat="1" applyFont="1" applyFill="1" applyBorder="1" applyAlignment="1">
      <alignment vertical="center" wrapText="1"/>
    </xf>
    <xf numFmtId="167" fontId="8" fillId="0" borderId="20" xfId="4" applyNumberFormat="1" applyFont="1" applyBorder="1" applyAlignment="1">
      <alignment vertical="center" wrapText="1"/>
    </xf>
    <xf numFmtId="9" fontId="17" fillId="7" borderId="16" xfId="3" applyFont="1" applyFill="1" applyBorder="1" applyAlignment="1">
      <alignment horizontal="center" vertical="center" wrapText="1"/>
    </xf>
    <xf numFmtId="9" fontId="30" fillId="0" borderId="1" xfId="3" applyFont="1" applyBorder="1" applyAlignment="1">
      <alignment horizontal="center" vertical="center" wrapText="1"/>
    </xf>
    <xf numFmtId="167" fontId="6" fillId="33" borderId="8" xfId="4" applyNumberFormat="1" applyFont="1" applyFill="1" applyBorder="1" applyAlignment="1">
      <alignment horizontal="center" vertical="center" wrapText="1"/>
    </xf>
    <xf numFmtId="0" fontId="6" fillId="33" borderId="13" xfId="0" applyFont="1" applyFill="1" applyBorder="1" applyAlignment="1">
      <alignment horizontal="left" vertical="center" wrapText="1"/>
    </xf>
    <xf numFmtId="0" fontId="6" fillId="33" borderId="1" xfId="0" applyFont="1" applyFill="1" applyBorder="1" applyAlignment="1">
      <alignment horizontal="left" vertical="center" wrapText="1"/>
    </xf>
    <xf numFmtId="167" fontId="6" fillId="33" borderId="1" xfId="4" applyNumberFormat="1" applyFont="1" applyFill="1" applyBorder="1" applyAlignment="1">
      <alignment horizontal="left" vertical="center" wrapText="1"/>
    </xf>
    <xf numFmtId="167" fontId="6" fillId="33" borderId="14" xfId="4" applyNumberFormat="1" applyFont="1" applyFill="1" applyBorder="1" applyAlignment="1">
      <alignment horizontal="left" vertical="center" wrapText="1"/>
    </xf>
    <xf numFmtId="167" fontId="6" fillId="33" borderId="13" xfId="4" applyNumberFormat="1" applyFont="1" applyFill="1" applyBorder="1" applyAlignment="1">
      <alignment horizontal="right" vertical="center" wrapText="1"/>
    </xf>
    <xf numFmtId="167" fontId="10" fillId="33" borderId="1" xfId="4" applyNumberFormat="1" applyFont="1" applyFill="1" applyBorder="1" applyAlignment="1">
      <alignment vertical="center" wrapText="1"/>
    </xf>
    <xf numFmtId="167" fontId="6" fillId="33" borderId="14" xfId="4" applyNumberFormat="1" applyFont="1" applyFill="1" applyBorder="1" applyAlignment="1">
      <alignment vertical="center" wrapText="1"/>
    </xf>
    <xf numFmtId="167" fontId="6" fillId="33" borderId="13" xfId="4" applyNumberFormat="1" applyFont="1" applyFill="1" applyBorder="1" applyAlignment="1">
      <alignment horizontal="center" vertical="center" wrapText="1"/>
    </xf>
    <xf numFmtId="167" fontId="6" fillId="33" borderId="1" xfId="4" applyNumberFormat="1" applyFont="1" applyFill="1" applyBorder="1" applyAlignment="1">
      <alignment horizontal="center" vertical="center" wrapText="1"/>
    </xf>
    <xf numFmtId="0" fontId="6" fillId="33" borderId="14" xfId="6" applyNumberFormat="1" applyFont="1" applyFill="1" applyBorder="1" applyAlignment="1">
      <alignment horizontal="left" vertical="center" wrapText="1"/>
    </xf>
    <xf numFmtId="167" fontId="8" fillId="33" borderId="20" xfId="4" applyNumberFormat="1" applyFont="1" applyFill="1" applyBorder="1" applyAlignment="1">
      <alignment vertical="center" wrapText="1"/>
    </xf>
    <xf numFmtId="167" fontId="6" fillId="33" borderId="13" xfId="4" applyNumberFormat="1" applyFont="1" applyFill="1" applyBorder="1" applyAlignment="1">
      <alignment vertical="center" wrapText="1"/>
    </xf>
    <xf numFmtId="167" fontId="6" fillId="33" borderId="4" xfId="4" applyNumberFormat="1" applyFont="1" applyFill="1" applyBorder="1" applyAlignment="1">
      <alignment vertical="center" wrapText="1"/>
    </xf>
    <xf numFmtId="165" fontId="8" fillId="33" borderId="13" xfId="4" applyFont="1" applyFill="1" applyBorder="1" applyAlignment="1">
      <alignment vertical="center" wrapText="1"/>
    </xf>
    <xf numFmtId="167" fontId="8" fillId="33" borderId="1" xfId="4" applyNumberFormat="1" applyFont="1" applyFill="1" applyBorder="1" applyAlignment="1">
      <alignment vertical="center" wrapText="1"/>
    </xf>
    <xf numFmtId="166" fontId="8" fillId="33" borderId="1" xfId="0" applyNumberFormat="1" applyFont="1" applyFill="1" applyBorder="1" applyAlignment="1">
      <alignment horizontal="left" vertical="center" wrapText="1"/>
    </xf>
    <xf numFmtId="9" fontId="8" fillId="33" borderId="1" xfId="3" applyFont="1" applyFill="1" applyBorder="1" applyAlignment="1">
      <alignment vertical="center" wrapText="1"/>
    </xf>
    <xf numFmtId="1" fontId="30" fillId="33" borderId="13" xfId="3" applyNumberFormat="1" applyFont="1" applyFill="1" applyBorder="1" applyAlignment="1">
      <alignment horizontal="center" vertical="center" wrapText="1"/>
    </xf>
    <xf numFmtId="9" fontId="30" fillId="33" borderId="1" xfId="3" applyFont="1" applyFill="1" applyBorder="1" applyAlignment="1">
      <alignment horizontal="center" vertical="center" wrapText="1"/>
    </xf>
    <xf numFmtId="166" fontId="8" fillId="33" borderId="13" xfId="0" applyNumberFormat="1" applyFont="1" applyFill="1" applyBorder="1" applyAlignment="1">
      <alignment vertical="center" wrapText="1"/>
    </xf>
    <xf numFmtId="166" fontId="8" fillId="33" borderId="14" xfId="0" applyNumberFormat="1" applyFont="1" applyFill="1" applyBorder="1" applyAlignment="1">
      <alignment vertical="center" wrapText="1"/>
    </xf>
    <xf numFmtId="0" fontId="0" fillId="33" borderId="0" xfId="0" applyFill="1"/>
    <xf numFmtId="167" fontId="6" fillId="33" borderId="12" xfId="4" applyNumberFormat="1" applyFont="1" applyFill="1" applyBorder="1" applyAlignment="1">
      <alignment horizontal="left" vertical="center" wrapText="1"/>
    </xf>
    <xf numFmtId="167" fontId="6" fillId="33" borderId="6" xfId="4" applyNumberFormat="1" applyFont="1" applyFill="1" applyBorder="1" applyAlignment="1">
      <alignment vertical="center" wrapText="1"/>
    </xf>
    <xf numFmtId="167" fontId="10" fillId="33" borderId="6" xfId="4" applyNumberFormat="1" applyFont="1" applyFill="1" applyBorder="1" applyAlignment="1">
      <alignment vertical="center" wrapText="1"/>
    </xf>
    <xf numFmtId="166" fontId="8" fillId="33" borderId="40" xfId="0" applyNumberFormat="1" applyFont="1" applyFill="1" applyBorder="1" applyAlignment="1">
      <alignment vertical="center" wrapText="1"/>
    </xf>
    <xf numFmtId="0" fontId="0" fillId="33" borderId="4" xfId="0" applyFill="1" applyBorder="1" applyAlignment="1">
      <alignment horizontal="center" vertical="center" wrapText="1"/>
    </xf>
    <xf numFmtId="0" fontId="0" fillId="33" borderId="1" xfId="0" applyFill="1" applyBorder="1" applyAlignment="1">
      <alignment horizontal="center" vertical="center" wrapText="1"/>
    </xf>
    <xf numFmtId="167" fontId="0" fillId="33" borderId="1" xfId="4" applyNumberFormat="1" applyFont="1" applyFill="1" applyBorder="1" applyAlignment="1">
      <alignment horizontal="left" vertical="center" wrapText="1"/>
    </xf>
    <xf numFmtId="167" fontId="6" fillId="33" borderId="5" xfId="4" applyNumberFormat="1" applyFont="1" applyFill="1" applyBorder="1" applyAlignment="1">
      <alignment horizontal="right" vertical="center" wrapText="1"/>
    </xf>
    <xf numFmtId="167" fontId="6" fillId="33" borderId="25" xfId="4" applyNumberFormat="1" applyFont="1" applyFill="1" applyBorder="1" applyAlignment="1">
      <alignment vertical="center" wrapText="1"/>
    </xf>
    <xf numFmtId="167" fontId="6" fillId="33" borderId="2" xfId="4" applyNumberFormat="1" applyFont="1" applyFill="1" applyBorder="1" applyAlignment="1">
      <alignment vertical="center" wrapText="1"/>
    </xf>
    <xf numFmtId="167" fontId="8" fillId="33" borderId="14" xfId="4" applyNumberFormat="1" applyFont="1" applyFill="1" applyBorder="1" applyAlignment="1">
      <alignment vertical="center" wrapText="1"/>
    </xf>
    <xf numFmtId="9" fontId="6" fillId="33" borderId="3" xfId="3" applyFont="1" applyFill="1" applyBorder="1" applyAlignment="1">
      <alignment vertical="center" wrapText="1"/>
    </xf>
    <xf numFmtId="9" fontId="6" fillId="33" borderId="2" xfId="3" applyFont="1" applyFill="1" applyBorder="1" applyAlignment="1">
      <alignment vertical="center" wrapText="1"/>
    </xf>
    <xf numFmtId="9" fontId="8" fillId="33" borderId="14" xfId="3" applyFont="1" applyFill="1" applyBorder="1" applyAlignment="1">
      <alignment vertical="center" wrapText="1"/>
    </xf>
    <xf numFmtId="0" fontId="6" fillId="33" borderId="13" xfId="0" applyFont="1" applyFill="1" applyBorder="1" applyAlignment="1">
      <alignment horizontal="center" vertical="center" wrapText="1"/>
    </xf>
    <xf numFmtId="0" fontId="1" fillId="33" borderId="1" xfId="0" applyFont="1" applyFill="1" applyBorder="1" applyAlignment="1">
      <alignment horizontal="center" vertical="center" wrapText="1"/>
    </xf>
    <xf numFmtId="167" fontId="6" fillId="33" borderId="13" xfId="6" applyNumberFormat="1" applyFont="1" applyFill="1" applyBorder="1" applyAlignment="1">
      <alignment horizontal="center" vertical="center" wrapText="1"/>
    </xf>
    <xf numFmtId="9" fontId="6" fillId="33" borderId="13" xfId="4" applyNumberFormat="1" applyFont="1" applyFill="1" applyBorder="1" applyAlignment="1">
      <alignment vertical="center" wrapText="1"/>
    </xf>
    <xf numFmtId="9" fontId="6" fillId="33" borderId="1" xfId="4" applyNumberFormat="1" applyFont="1" applyFill="1" applyBorder="1" applyAlignment="1">
      <alignment vertical="center" wrapText="1"/>
    </xf>
    <xf numFmtId="9" fontId="6" fillId="33" borderId="1" xfId="0" applyNumberFormat="1" applyFont="1" applyFill="1" applyBorder="1" applyAlignment="1">
      <alignment vertical="center" wrapText="1"/>
    </xf>
    <xf numFmtId="9" fontId="6" fillId="33" borderId="14" xfId="0" applyNumberFormat="1" applyFont="1" applyFill="1" applyBorder="1" applyAlignment="1">
      <alignment vertical="center" wrapText="1"/>
    </xf>
    <xf numFmtId="166" fontId="8" fillId="33" borderId="13" xfId="4" applyNumberFormat="1" applyFont="1" applyFill="1" applyBorder="1" applyAlignment="1">
      <alignment vertical="center" wrapText="1"/>
    </xf>
    <xf numFmtId="166" fontId="8" fillId="33" borderId="1" xfId="4" applyNumberFormat="1" applyFont="1" applyFill="1" applyBorder="1" applyAlignment="1">
      <alignment vertical="center" wrapText="1"/>
    </xf>
    <xf numFmtId="9" fontId="8" fillId="33" borderId="1" xfId="4" applyNumberFormat="1" applyFont="1" applyFill="1" applyBorder="1" applyAlignment="1">
      <alignment vertical="center" wrapText="1"/>
    </xf>
    <xf numFmtId="10" fontId="8" fillId="33" borderId="1" xfId="4" applyNumberFormat="1" applyFont="1" applyFill="1" applyBorder="1" applyAlignment="1">
      <alignment horizontal="left" vertical="center" wrapText="1"/>
    </xf>
    <xf numFmtId="9" fontId="8" fillId="33" borderId="14" xfId="0" applyNumberFormat="1" applyFont="1" applyFill="1" applyBorder="1" applyAlignment="1">
      <alignment vertical="center" wrapText="1"/>
    </xf>
    <xf numFmtId="167" fontId="8" fillId="33" borderId="13" xfId="4" applyNumberFormat="1" applyFont="1" applyFill="1" applyBorder="1" applyAlignment="1">
      <alignment vertical="center" wrapText="1"/>
    </xf>
    <xf numFmtId="166" fontId="8" fillId="33" borderId="1" xfId="0" applyNumberFormat="1" applyFont="1" applyFill="1" applyBorder="1" applyAlignment="1">
      <alignment vertical="center" wrapText="1"/>
    </xf>
    <xf numFmtId="9" fontId="8" fillId="33" borderId="1" xfId="0" applyNumberFormat="1" applyFont="1" applyFill="1" applyBorder="1" applyAlignment="1">
      <alignment vertical="center" wrapText="1"/>
    </xf>
    <xf numFmtId="167" fontId="8" fillId="33" borderId="4" xfId="4" applyNumberFormat="1" applyFont="1" applyFill="1" applyBorder="1" applyAlignment="1">
      <alignment vertical="center" wrapText="1"/>
    </xf>
    <xf numFmtId="9" fontId="8" fillId="33" borderId="4" xfId="0" applyNumberFormat="1" applyFont="1" applyFill="1" applyBorder="1" applyAlignment="1">
      <alignment vertical="center" wrapText="1"/>
    </xf>
    <xf numFmtId="167" fontId="8" fillId="33" borderId="35" xfId="4" applyNumberFormat="1" applyFont="1" applyFill="1" applyBorder="1" applyAlignment="1">
      <alignment vertical="center" wrapText="1"/>
    </xf>
    <xf numFmtId="9" fontId="8" fillId="33" borderId="35" xfId="4" applyNumberFormat="1" applyFont="1" applyFill="1" applyBorder="1" applyAlignment="1">
      <alignment vertical="center" wrapText="1"/>
    </xf>
    <xf numFmtId="0" fontId="1" fillId="33" borderId="0" xfId="0" applyFont="1" applyFill="1" applyAlignment="1">
      <alignment wrapText="1"/>
    </xf>
    <xf numFmtId="0" fontId="1" fillId="33" borderId="0" xfId="0" applyFont="1" applyFill="1" applyAlignment="1">
      <alignment horizontal="right" wrapText="1"/>
    </xf>
    <xf numFmtId="165" fontId="1" fillId="33" borderId="0" xfId="4" applyFont="1" applyFill="1" applyAlignment="1">
      <alignment wrapText="1"/>
    </xf>
    <xf numFmtId="167" fontId="1" fillId="33" borderId="0" xfId="4" applyNumberFormat="1" applyFont="1" applyFill="1" applyAlignment="1">
      <alignment wrapText="1"/>
    </xf>
    <xf numFmtId="167" fontId="18" fillId="18" borderId="1" xfId="4" applyNumberFormat="1" applyFont="1" applyFill="1" applyBorder="1" applyAlignment="1">
      <alignment horizontal="center"/>
    </xf>
    <xf numFmtId="166" fontId="24" fillId="17" borderId="1" xfId="2" applyNumberFormat="1" applyFont="1" applyFill="1" applyBorder="1" applyAlignment="1">
      <alignment horizontal="center" vertical="center" wrapText="1"/>
    </xf>
    <xf numFmtId="0" fontId="39" fillId="18" borderId="1" xfId="0" applyFont="1" applyFill="1" applyBorder="1" applyAlignment="1">
      <alignment vertical="center"/>
    </xf>
    <xf numFmtId="0" fontId="5" fillId="13" borderId="10" xfId="0" applyFont="1" applyFill="1" applyBorder="1" applyAlignment="1">
      <alignment horizontal="center" vertical="center"/>
    </xf>
    <xf numFmtId="0" fontId="19" fillId="34" borderId="10" xfId="0" applyFont="1" applyFill="1" applyBorder="1" applyAlignment="1">
      <alignment horizontal="center" vertical="center"/>
    </xf>
    <xf numFmtId="0" fontId="8" fillId="0" borderId="10" xfId="0" applyFont="1" applyBorder="1" applyAlignment="1">
      <alignment vertical="center" wrapText="1"/>
    </xf>
    <xf numFmtId="0" fontId="6" fillId="0" borderId="10" xfId="0" applyFont="1" applyBorder="1" applyAlignment="1">
      <alignment vertical="top" wrapText="1"/>
    </xf>
    <xf numFmtId="0" fontId="19" fillId="35" borderId="10" xfId="0" applyFont="1" applyFill="1" applyBorder="1" applyAlignment="1">
      <alignment horizontal="center" vertical="center"/>
    </xf>
    <xf numFmtId="0" fontId="0" fillId="0" borderId="10" xfId="0" applyBorder="1" applyAlignment="1">
      <alignment horizontal="left" vertical="top" wrapText="1"/>
    </xf>
    <xf numFmtId="0" fontId="43" fillId="0" borderId="10" xfId="7" applyBorder="1" applyAlignment="1">
      <alignment vertical="center" wrapText="1"/>
    </xf>
    <xf numFmtId="0" fontId="43" fillId="0" borderId="10" xfId="7" applyBorder="1" applyAlignment="1">
      <alignment horizontal="left" vertical="center" wrapText="1" indent="1"/>
    </xf>
    <xf numFmtId="0" fontId="0" fillId="0" borderId="0" xfId="0" applyAlignment="1">
      <alignment horizontal="left" indent="1"/>
    </xf>
    <xf numFmtId="166" fontId="8" fillId="0" borderId="2" xfId="0" applyNumberFormat="1" applyFont="1" applyBorder="1" applyAlignment="1">
      <alignment horizontal="left" vertical="center" wrapText="1"/>
    </xf>
    <xf numFmtId="166" fontId="5" fillId="8" borderId="50" xfId="2" applyNumberFormat="1" applyFont="1" applyFill="1" applyBorder="1" applyAlignment="1">
      <alignment horizontal="center" vertical="center" wrapText="1"/>
    </xf>
    <xf numFmtId="9" fontId="8" fillId="33" borderId="35" xfId="0" applyNumberFormat="1" applyFont="1" applyFill="1" applyBorder="1" applyAlignment="1">
      <alignment vertical="center" wrapText="1"/>
    </xf>
    <xf numFmtId="167" fontId="24" fillId="24" borderId="0" xfId="4" applyNumberFormat="1" applyFont="1" applyFill="1" applyBorder="1" applyAlignment="1">
      <alignment horizontal="center" vertical="center" wrapText="1"/>
    </xf>
    <xf numFmtId="167" fontId="19" fillId="26" borderId="51" xfId="4" applyNumberFormat="1" applyFont="1" applyFill="1" applyBorder="1" applyAlignment="1">
      <alignment horizontal="center" vertical="center" wrapText="1"/>
    </xf>
    <xf numFmtId="166" fontId="5" fillId="19" borderId="0" xfId="2" applyNumberFormat="1" applyFont="1" applyFill="1" applyBorder="1" applyAlignment="1">
      <alignment horizontal="left" vertical="center" wrapText="1"/>
    </xf>
    <xf numFmtId="1" fontId="45" fillId="0" borderId="0" xfId="4" applyNumberFormat="1" applyFont="1" applyFill="1" applyBorder="1" applyAlignment="1">
      <alignment vertical="center" wrapText="1"/>
    </xf>
    <xf numFmtId="0" fontId="17" fillId="9" borderId="11" xfId="1" applyFont="1" applyFill="1" applyBorder="1" applyAlignment="1">
      <alignment horizontal="center" vertical="center" wrapText="1"/>
    </xf>
    <xf numFmtId="0" fontId="17" fillId="9" borderId="19" xfId="1" applyFont="1" applyFill="1" applyBorder="1" applyAlignment="1">
      <alignment horizontal="center" vertical="center" wrapText="1"/>
    </xf>
    <xf numFmtId="0" fontId="24" fillId="9" borderId="24" xfId="1" applyFont="1" applyFill="1" applyBorder="1" applyAlignment="1">
      <alignment horizontal="center" vertical="center" wrapText="1"/>
    </xf>
    <xf numFmtId="0" fontId="13" fillId="37" borderId="0" xfId="0" applyFont="1" applyFill="1"/>
    <xf numFmtId="9" fontId="13" fillId="30" borderId="2" xfId="3" applyFont="1" applyFill="1" applyBorder="1"/>
    <xf numFmtId="9" fontId="13" fillId="30" borderId="1" xfId="3" applyFont="1" applyFill="1" applyBorder="1"/>
    <xf numFmtId="166" fontId="8" fillId="0" borderId="40" xfId="0" applyNumberFormat="1" applyFont="1" applyBorder="1" applyAlignment="1">
      <alignment vertical="center" wrapText="1"/>
    </xf>
    <xf numFmtId="0" fontId="6" fillId="0" borderId="13" xfId="0" applyFont="1" applyBorder="1" applyAlignment="1">
      <alignment horizontal="center" vertical="center" wrapText="1"/>
    </xf>
    <xf numFmtId="167" fontId="6" fillId="0" borderId="13" xfId="4" applyNumberFormat="1" applyFont="1" applyBorder="1" applyAlignment="1">
      <alignment vertical="center" wrapText="1"/>
    </xf>
    <xf numFmtId="167" fontId="6" fillId="0" borderId="51" xfId="4" applyNumberFormat="1" applyFont="1" applyBorder="1" applyAlignment="1">
      <alignment horizontal="right" vertical="center" wrapText="1"/>
    </xf>
    <xf numFmtId="167" fontId="6" fillId="0" borderId="5" xfId="4" applyNumberFormat="1" applyFont="1" applyBorder="1" applyAlignment="1">
      <alignment horizontal="right" vertical="center" wrapText="1"/>
    </xf>
    <xf numFmtId="167" fontId="6" fillId="0" borderId="1" xfId="4" applyNumberFormat="1" applyFont="1" applyBorder="1" applyAlignment="1">
      <alignment vertical="center" wrapText="1"/>
    </xf>
    <xf numFmtId="167" fontId="10" fillId="0" borderId="1" xfId="4" applyNumberFormat="1" applyFont="1" applyBorder="1" applyAlignment="1">
      <alignment vertical="center" wrapText="1"/>
    </xf>
    <xf numFmtId="167" fontId="6" fillId="0" borderId="4" xfId="4" applyNumberFormat="1" applyFont="1" applyBorder="1" applyAlignment="1">
      <alignment vertical="center" wrapText="1"/>
    </xf>
    <xf numFmtId="167" fontId="6" fillId="0" borderId="25" xfId="4" applyNumberFormat="1" applyFont="1" applyBorder="1" applyAlignment="1">
      <alignment vertical="center" wrapText="1"/>
    </xf>
    <xf numFmtId="167" fontId="6" fillId="0" borderId="2" xfId="4" applyNumberFormat="1" applyFont="1" applyBorder="1" applyAlignment="1">
      <alignment vertical="center" wrapText="1"/>
    </xf>
    <xf numFmtId="167" fontId="8" fillId="0" borderId="1" xfId="4" applyNumberFormat="1" applyFont="1" applyBorder="1" applyAlignment="1">
      <alignment vertical="center" wrapText="1"/>
    </xf>
    <xf numFmtId="9" fontId="8" fillId="0" borderId="2" xfId="3" applyFont="1" applyBorder="1" applyAlignment="1">
      <alignment vertical="center" wrapText="1"/>
    </xf>
    <xf numFmtId="9" fontId="6" fillId="0" borderId="2" xfId="3" applyFont="1" applyBorder="1" applyAlignment="1">
      <alignment vertical="center" wrapText="1"/>
    </xf>
    <xf numFmtId="167" fontId="6" fillId="0" borderId="13" xfId="6" applyNumberFormat="1" applyFont="1" applyBorder="1" applyAlignment="1">
      <alignment horizontal="center" vertical="center" wrapText="1"/>
    </xf>
    <xf numFmtId="9" fontId="6" fillId="0" borderId="13" xfId="4" applyNumberFormat="1" applyFont="1" applyBorder="1" applyAlignment="1">
      <alignment vertical="center" wrapText="1"/>
    </xf>
    <xf numFmtId="9" fontId="6" fillId="0" borderId="1" xfId="4" applyNumberFormat="1" applyFont="1" applyBorder="1" applyAlignment="1">
      <alignment vertical="center" wrapText="1"/>
    </xf>
    <xf numFmtId="9" fontId="6" fillId="0" borderId="1" xfId="0" applyNumberFormat="1" applyFont="1" applyBorder="1" applyAlignment="1">
      <alignment vertical="center" wrapText="1"/>
    </xf>
    <xf numFmtId="9" fontId="6" fillId="0" borderId="14" xfId="0" applyNumberFormat="1" applyFont="1" applyBorder="1" applyAlignment="1">
      <alignment vertical="center" wrapText="1"/>
    </xf>
    <xf numFmtId="166" fontId="8" fillId="0" borderId="13" xfId="4" applyNumberFormat="1" applyFont="1" applyBorder="1" applyAlignment="1">
      <alignment vertical="center" wrapText="1"/>
    </xf>
    <xf numFmtId="166" fontId="8" fillId="0" borderId="1" xfId="4" applyNumberFormat="1" applyFont="1" applyBorder="1" applyAlignment="1">
      <alignment vertical="center" wrapText="1"/>
    </xf>
    <xf numFmtId="9" fontId="8" fillId="0" borderId="1" xfId="4" applyNumberFormat="1" applyFont="1" applyFill="1" applyBorder="1" applyAlignment="1">
      <alignment vertical="center" wrapText="1"/>
    </xf>
    <xf numFmtId="9" fontId="8" fillId="0" borderId="1" xfId="4" applyNumberFormat="1" applyFont="1" applyBorder="1" applyAlignment="1">
      <alignment vertical="center" wrapText="1"/>
    </xf>
    <xf numFmtId="9" fontId="8" fillId="0" borderId="14" xfId="0" applyNumberFormat="1" applyFont="1" applyBorder="1" applyAlignment="1">
      <alignment vertical="center" wrapText="1"/>
    </xf>
    <xf numFmtId="166" fontId="8" fillId="0" borderId="1" xfId="0" applyNumberFormat="1" applyFont="1" applyBorder="1" applyAlignment="1">
      <alignment vertical="center" wrapText="1"/>
    </xf>
    <xf numFmtId="167" fontId="8" fillId="0" borderId="4" xfId="4" applyNumberFormat="1" applyFont="1" applyFill="1" applyBorder="1" applyAlignment="1">
      <alignment vertical="center" wrapText="1"/>
    </xf>
    <xf numFmtId="167" fontId="8" fillId="0" borderId="35" xfId="4" applyNumberFormat="1" applyFont="1" applyFill="1" applyBorder="1" applyAlignment="1">
      <alignment vertical="center" wrapText="1"/>
    </xf>
    <xf numFmtId="9" fontId="8" fillId="0" borderId="35" xfId="4" applyNumberFormat="1" applyFont="1" applyFill="1" applyBorder="1" applyAlignment="1">
      <alignment vertical="center" wrapText="1"/>
    </xf>
    <xf numFmtId="167" fontId="6" fillId="0" borderId="3" xfId="4" applyNumberFormat="1" applyFont="1" applyBorder="1" applyAlignment="1">
      <alignment horizontal="center" vertical="center" wrapText="1"/>
    </xf>
    <xf numFmtId="0" fontId="1" fillId="0" borderId="1" xfId="0" applyFont="1" applyBorder="1" applyAlignment="1">
      <alignment horizontal="left" vertical="center" wrapText="1"/>
    </xf>
    <xf numFmtId="167" fontId="6" fillId="0" borderId="13" xfId="4" applyNumberFormat="1" applyFont="1" applyBorder="1" applyAlignment="1">
      <alignment horizontal="center" vertical="center" wrapText="1"/>
    </xf>
    <xf numFmtId="167" fontId="6" fillId="0" borderId="1" xfId="4" applyNumberFormat="1" applyFont="1" applyBorder="1" applyAlignment="1">
      <alignment horizontal="center" vertical="center" wrapText="1"/>
    </xf>
    <xf numFmtId="0" fontId="6" fillId="0" borderId="14" xfId="6" applyNumberFormat="1" applyFont="1" applyBorder="1" applyAlignment="1">
      <alignment horizontal="left" vertical="center" wrapText="1"/>
    </xf>
    <xf numFmtId="166" fontId="8" fillId="0" borderId="1" xfId="4" applyNumberFormat="1" applyFont="1" applyBorder="1" applyAlignment="1">
      <alignment horizontal="left" vertical="center" wrapText="1"/>
    </xf>
    <xf numFmtId="9" fontId="30" fillId="0" borderId="14" xfId="3" applyFont="1" applyFill="1" applyBorder="1" applyAlignment="1">
      <alignment horizontal="center" vertical="center" wrapText="1"/>
    </xf>
    <xf numFmtId="166" fontId="30" fillId="0" borderId="1" xfId="3" applyNumberFormat="1" applyFont="1" applyFill="1" applyBorder="1" applyAlignment="1">
      <alignment horizontal="left" vertical="center" wrapText="1"/>
    </xf>
    <xf numFmtId="167" fontId="0" fillId="0" borderId="1" xfId="4" applyNumberFormat="1" applyFont="1" applyBorder="1"/>
    <xf numFmtId="166" fontId="8" fillId="0" borderId="4" xfId="4" applyNumberFormat="1" applyFont="1" applyBorder="1" applyAlignment="1">
      <alignment vertical="center" wrapText="1"/>
    </xf>
    <xf numFmtId="166" fontId="8" fillId="0" borderId="2" xfId="0" applyNumberFormat="1" applyFont="1" applyBorder="1" applyAlignment="1">
      <alignment vertical="center" wrapText="1"/>
    </xf>
    <xf numFmtId="167" fontId="6" fillId="0" borderId="14" xfId="4" applyNumberFormat="1" applyFont="1" applyBorder="1" applyAlignment="1">
      <alignment vertical="center" wrapText="1"/>
    </xf>
    <xf numFmtId="166" fontId="23" fillId="17" borderId="4" xfId="2" applyNumberFormat="1" applyFont="1" applyFill="1" applyBorder="1" applyAlignment="1">
      <alignment horizontal="center" vertical="center" wrapText="1"/>
    </xf>
    <xf numFmtId="166" fontId="8" fillId="33" borderId="4" xfId="4" applyNumberFormat="1" applyFont="1" applyFill="1" applyBorder="1" applyAlignment="1">
      <alignment vertical="center" wrapText="1"/>
    </xf>
    <xf numFmtId="166" fontId="8" fillId="33" borderId="29" xfId="0" applyNumberFormat="1" applyFont="1" applyFill="1" applyBorder="1" applyAlignment="1">
      <alignment horizontal="left" vertical="center" wrapText="1"/>
    </xf>
    <xf numFmtId="166" fontId="8" fillId="33" borderId="14" xfId="0" applyNumberFormat="1" applyFont="1" applyFill="1" applyBorder="1" applyAlignment="1">
      <alignment horizontal="left" vertical="center" wrapText="1"/>
    </xf>
    <xf numFmtId="166" fontId="8" fillId="0" borderId="14" xfId="0" applyNumberFormat="1" applyFont="1" applyBorder="1" applyAlignment="1">
      <alignment horizontal="left" vertical="center" wrapText="1"/>
    </xf>
    <xf numFmtId="167" fontId="6" fillId="0" borderId="35" xfId="4" applyNumberFormat="1" applyFont="1" applyBorder="1" applyAlignment="1">
      <alignment vertical="center" wrapText="1"/>
    </xf>
    <xf numFmtId="167" fontId="0" fillId="0" borderId="14" xfId="0" applyNumberFormat="1" applyBorder="1"/>
    <xf numFmtId="166" fontId="8" fillId="0" borderId="4" xfId="0" applyNumberFormat="1" applyFont="1" applyBorder="1" applyAlignment="1">
      <alignment horizontal="left" vertical="center" wrapText="1"/>
    </xf>
    <xf numFmtId="166" fontId="8" fillId="33" borderId="4" xfId="0" applyNumberFormat="1" applyFont="1" applyFill="1" applyBorder="1" applyAlignment="1">
      <alignment horizontal="left" vertical="center" wrapText="1"/>
    </xf>
    <xf numFmtId="9" fontId="30" fillId="0" borderId="29" xfId="3" applyFont="1" applyFill="1" applyBorder="1" applyAlignment="1">
      <alignment horizontal="center" vertical="center" wrapText="1"/>
    </xf>
    <xf numFmtId="9" fontId="30" fillId="33" borderId="14" xfId="3" applyFont="1" applyFill="1" applyBorder="1" applyAlignment="1">
      <alignment horizontal="center" vertical="center" wrapText="1"/>
    </xf>
    <xf numFmtId="166" fontId="30" fillId="0" borderId="14" xfId="3" applyNumberFormat="1" applyFont="1" applyFill="1" applyBorder="1" applyAlignment="1">
      <alignment horizontal="left" vertical="center" wrapText="1"/>
    </xf>
    <xf numFmtId="167" fontId="6" fillId="0" borderId="4" xfId="4" applyNumberFormat="1" applyFont="1" applyBorder="1" applyAlignment="1">
      <alignment horizontal="left" vertical="center" wrapText="1"/>
    </xf>
    <xf numFmtId="167" fontId="6" fillId="33" borderId="4" xfId="4" applyNumberFormat="1" applyFont="1" applyFill="1" applyBorder="1" applyAlignment="1">
      <alignment horizontal="left" vertical="center" wrapText="1"/>
    </xf>
    <xf numFmtId="0" fontId="6" fillId="0" borderId="29" xfId="0" applyFont="1" applyBorder="1" applyAlignment="1">
      <alignment horizontal="left" vertical="center" wrapText="1"/>
    </xf>
    <xf numFmtId="0" fontId="6" fillId="0" borderId="14" xfId="0" applyFont="1" applyBorder="1" applyAlignment="1">
      <alignment horizontal="left" vertical="center" wrapText="1"/>
    </xf>
    <xf numFmtId="0" fontId="6" fillId="33" borderId="14" xfId="0" applyFont="1" applyFill="1" applyBorder="1" applyAlignment="1">
      <alignment horizontal="left" vertical="center" wrapText="1"/>
    </xf>
    <xf numFmtId="167" fontId="5" fillId="19" borderId="34" xfId="4" applyNumberFormat="1" applyFont="1" applyFill="1" applyBorder="1" applyAlignment="1">
      <alignment horizontal="left" vertical="center" wrapText="1"/>
    </xf>
    <xf numFmtId="167" fontId="6" fillId="0" borderId="35" xfId="4" applyNumberFormat="1" applyFont="1" applyBorder="1" applyAlignment="1">
      <alignment horizontal="center" vertical="center" wrapText="1"/>
    </xf>
    <xf numFmtId="0" fontId="6" fillId="0" borderId="4" xfId="0" applyFont="1" applyBorder="1" applyAlignment="1">
      <alignment horizontal="center" vertical="center" wrapText="1"/>
    </xf>
    <xf numFmtId="167" fontId="6" fillId="0" borderId="52" xfId="4" applyNumberFormat="1" applyFont="1" applyFill="1" applyBorder="1" applyAlignment="1">
      <alignment horizontal="left" vertical="center" wrapText="1"/>
    </xf>
    <xf numFmtId="167" fontId="6" fillId="0" borderId="12" xfId="4" applyNumberFormat="1" applyFont="1" applyFill="1" applyBorder="1" applyAlignment="1">
      <alignment horizontal="left" vertical="center" wrapText="1"/>
    </xf>
    <xf numFmtId="168" fontId="8" fillId="0" borderId="1" xfId="4" applyNumberFormat="1" applyFont="1" applyBorder="1" applyAlignment="1">
      <alignment horizontal="left"/>
    </xf>
    <xf numFmtId="166" fontId="8" fillId="0" borderId="1" xfId="4" applyNumberFormat="1" applyFont="1" applyBorder="1"/>
    <xf numFmtId="166" fontId="8" fillId="0" borderId="2" xfId="4" applyNumberFormat="1" applyFont="1" applyBorder="1" applyAlignment="1">
      <alignment vertical="center" wrapText="1"/>
    </xf>
    <xf numFmtId="166" fontId="30" fillId="0" borderId="4" xfId="3" applyNumberFormat="1" applyFont="1" applyFill="1" applyBorder="1" applyAlignment="1">
      <alignment horizontal="left" vertical="center" wrapText="1"/>
    </xf>
    <xf numFmtId="0" fontId="1" fillId="0" borderId="14" xfId="0" applyFont="1" applyBorder="1" applyAlignment="1">
      <alignment horizontal="left" wrapText="1"/>
    </xf>
    <xf numFmtId="1" fontId="33" fillId="0" borderId="0" xfId="4" applyNumberFormat="1" applyFont="1" applyBorder="1" applyAlignment="1"/>
    <xf numFmtId="1" fontId="22" fillId="36" borderId="32" xfId="2" applyNumberFormat="1" applyFont="1" applyFill="1" applyBorder="1" applyAlignment="1">
      <alignment horizontal="center" vertical="center" wrapText="1"/>
    </xf>
    <xf numFmtId="1" fontId="8" fillId="33" borderId="35" xfId="4" applyNumberFormat="1" applyFont="1" applyFill="1" applyBorder="1" applyAlignment="1">
      <alignment vertical="center" wrapText="1"/>
    </xf>
    <xf numFmtId="0" fontId="6" fillId="0" borderId="13" xfId="4" applyNumberFormat="1" applyFont="1" applyBorder="1" applyAlignment="1">
      <alignment vertical="center" wrapText="1"/>
    </xf>
    <xf numFmtId="1" fontId="8" fillId="0" borderId="1" xfId="3" applyNumberFormat="1" applyFont="1" applyBorder="1"/>
    <xf numFmtId="1" fontId="8" fillId="0" borderId="1" xfId="3" applyNumberFormat="1" applyFont="1" applyBorder="1" applyAlignment="1">
      <alignment horizontal="right" vertical="center" wrapText="1"/>
    </xf>
    <xf numFmtId="166" fontId="8" fillId="3" borderId="4" xfId="4" applyNumberFormat="1" applyFont="1" applyFill="1" applyBorder="1" applyAlignment="1">
      <alignment vertical="center" wrapText="1"/>
    </xf>
    <xf numFmtId="166" fontId="8" fillId="3" borderId="2" xfId="0" applyNumberFormat="1" applyFont="1" applyFill="1" applyBorder="1" applyAlignment="1">
      <alignment vertical="center" wrapText="1"/>
    </xf>
    <xf numFmtId="166" fontId="8" fillId="33" borderId="0" xfId="4" applyNumberFormat="1" applyFont="1" applyFill="1" applyAlignment="1">
      <alignment vertical="center" wrapText="1"/>
    </xf>
    <xf numFmtId="166" fontId="8" fillId="0" borderId="0" xfId="4" applyNumberFormat="1" applyFont="1" applyAlignment="1">
      <alignment vertical="center" wrapText="1"/>
    </xf>
    <xf numFmtId="166" fontId="0" fillId="0" borderId="0" xfId="0" applyNumberFormat="1"/>
    <xf numFmtId="166" fontId="22" fillId="37" borderId="31" xfId="2" applyNumberFormat="1" applyFont="1" applyFill="1" applyBorder="1" applyAlignment="1">
      <alignment horizontal="center" vertical="center" wrapText="1"/>
    </xf>
    <xf numFmtId="167" fontId="18" fillId="18" borderId="0" xfId="4" applyNumberFormat="1" applyFont="1" applyFill="1" applyBorder="1" applyAlignment="1">
      <alignment horizontal="center"/>
    </xf>
    <xf numFmtId="166" fontId="23" fillId="17" borderId="0" xfId="2" applyNumberFormat="1" applyFont="1" applyFill="1" applyBorder="1" applyAlignment="1">
      <alignment horizontal="center" vertical="center" wrapText="1"/>
    </xf>
    <xf numFmtId="166" fontId="8" fillId="0" borderId="0" xfId="0" applyNumberFormat="1" applyFont="1" applyAlignment="1">
      <alignment vertical="center" wrapText="1"/>
    </xf>
    <xf numFmtId="166" fontId="8" fillId="33" borderId="0" xfId="0" applyNumberFormat="1" applyFont="1" applyFill="1" applyAlignment="1">
      <alignment vertical="center" wrapText="1"/>
    </xf>
    <xf numFmtId="166" fontId="24" fillId="26" borderId="0" xfId="2" applyNumberFormat="1" applyFont="1" applyFill="1" applyBorder="1" applyAlignment="1">
      <alignment horizontal="center" vertical="center" wrapText="1"/>
    </xf>
    <xf numFmtId="0" fontId="6" fillId="0" borderId="56" xfId="0" applyFont="1" applyBorder="1" applyAlignment="1">
      <alignment horizontal="center" vertical="center" wrapText="1"/>
    </xf>
    <xf numFmtId="0" fontId="0" fillId="0" borderId="7" xfId="0"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left" wrapText="1"/>
    </xf>
    <xf numFmtId="0" fontId="6" fillId="0" borderId="7" xfId="0" applyFont="1" applyBorder="1" applyAlignment="1">
      <alignment horizontal="left" vertical="center" wrapText="1"/>
    </xf>
    <xf numFmtId="0" fontId="6" fillId="0" borderId="56" xfId="0" applyFont="1" applyBorder="1" applyAlignment="1">
      <alignment vertical="center" wrapText="1"/>
    </xf>
    <xf numFmtId="0" fontId="6" fillId="0" borderId="7" xfId="0" applyFont="1" applyBorder="1" applyAlignment="1">
      <alignment vertical="center" wrapText="1"/>
    </xf>
    <xf numFmtId="0" fontId="6" fillId="0" borderId="57" xfId="0" applyFont="1" applyBorder="1" applyAlignment="1">
      <alignment vertical="center" wrapText="1"/>
    </xf>
    <xf numFmtId="0" fontId="8" fillId="0" borderId="7" xfId="0" applyFont="1" applyBorder="1" applyAlignment="1">
      <alignment vertical="center" wrapText="1"/>
    </xf>
    <xf numFmtId="0" fontId="6" fillId="15" borderId="7" xfId="0" applyFont="1" applyFill="1" applyBorder="1" applyAlignment="1">
      <alignment horizontal="center" vertical="center" wrapText="1"/>
    </xf>
    <xf numFmtId="0" fontId="6" fillId="15" borderId="56" xfId="0" applyFont="1" applyFill="1" applyBorder="1" applyAlignment="1">
      <alignment horizontal="center" vertical="center" wrapText="1"/>
    </xf>
    <xf numFmtId="0" fontId="0" fillId="15" borderId="7" xfId="0" applyFill="1" applyBorder="1" applyAlignment="1">
      <alignment horizontal="center" vertical="center" wrapText="1"/>
    </xf>
    <xf numFmtId="0" fontId="6" fillId="15" borderId="7" xfId="0" applyFont="1" applyFill="1" applyBorder="1" applyAlignment="1">
      <alignment horizontal="left" wrapText="1"/>
    </xf>
    <xf numFmtId="0" fontId="6" fillId="15" borderId="7" xfId="0" applyFont="1" applyFill="1" applyBorder="1" applyAlignment="1">
      <alignment horizontal="left" vertical="center" wrapText="1"/>
    </xf>
    <xf numFmtId="0" fontId="6" fillId="15" borderId="57" xfId="0" applyFont="1" applyFill="1" applyBorder="1" applyAlignment="1">
      <alignment horizontal="left" vertical="center" wrapText="1"/>
    </xf>
    <xf numFmtId="0" fontId="6" fillId="15" borderId="7" xfId="0" applyFont="1" applyFill="1" applyBorder="1" applyAlignment="1">
      <alignment vertical="center" wrapText="1"/>
    </xf>
    <xf numFmtId="0" fontId="6" fillId="15" borderId="56" xfId="0" applyFont="1" applyFill="1" applyBorder="1" applyAlignment="1">
      <alignment vertical="center" wrapText="1"/>
    </xf>
    <xf numFmtId="0" fontId="6" fillId="15" borderId="57" xfId="0" applyFont="1" applyFill="1" applyBorder="1" applyAlignment="1">
      <alignment vertical="center" wrapText="1"/>
    </xf>
    <xf numFmtId="0" fontId="8" fillId="15" borderId="56" xfId="0" applyFont="1" applyFill="1" applyBorder="1" applyAlignment="1">
      <alignment vertical="center" wrapText="1"/>
    </xf>
    <xf numFmtId="0" fontId="8" fillId="15" borderId="7" xfId="0" applyFont="1" applyFill="1" applyBorder="1" applyAlignment="1">
      <alignment vertical="center" wrapText="1"/>
    </xf>
    <xf numFmtId="0" fontId="8" fillId="15" borderId="7" xfId="0" applyFont="1" applyFill="1" applyBorder="1" applyAlignment="1">
      <alignment horizontal="left" vertical="center" wrapText="1"/>
    </xf>
    <xf numFmtId="0" fontId="8" fillId="15" borderId="57" xfId="0" applyFont="1" applyFill="1" applyBorder="1" applyAlignment="1">
      <alignment vertical="center" wrapText="1"/>
    </xf>
    <xf numFmtId="0" fontId="8" fillId="15" borderId="55" xfId="0" applyFont="1" applyFill="1" applyBorder="1" applyAlignment="1">
      <alignment vertical="center" wrapText="1"/>
    </xf>
    <xf numFmtId="0" fontId="8" fillId="15" borderId="58" xfId="0" applyFont="1" applyFill="1" applyBorder="1" applyAlignment="1">
      <alignment vertical="center" wrapText="1"/>
    </xf>
    <xf numFmtId="0" fontId="8" fillId="15" borderId="53" xfId="0" applyFont="1" applyFill="1" applyBorder="1" applyAlignment="1">
      <alignment vertical="center" wrapText="1"/>
    </xf>
    <xf numFmtId="0" fontId="8" fillId="15" borderId="57" xfId="0" applyFont="1" applyFill="1" applyBorder="1" applyAlignment="1">
      <alignment horizontal="left" vertical="center" wrapText="1"/>
    </xf>
    <xf numFmtId="166" fontId="8" fillId="15" borderId="53" xfId="0" applyNumberFormat="1" applyFont="1" applyFill="1" applyBorder="1" applyAlignment="1">
      <alignment vertical="center" wrapText="1"/>
    </xf>
    <xf numFmtId="166" fontId="8" fillId="15" borderId="7" xfId="0" applyNumberFormat="1" applyFont="1" applyFill="1" applyBorder="1" applyAlignment="1">
      <alignment vertical="center" wrapText="1"/>
    </xf>
    <xf numFmtId="167" fontId="8" fillId="15" borderId="56" xfId="0" applyNumberFormat="1" applyFont="1" applyFill="1" applyBorder="1" applyAlignment="1">
      <alignment horizontal="right" vertical="center" wrapText="1"/>
    </xf>
    <xf numFmtId="167" fontId="8" fillId="15" borderId="59" xfId="0" applyNumberFormat="1" applyFont="1" applyFill="1" applyBorder="1" applyAlignment="1">
      <alignment vertical="center" wrapText="1"/>
    </xf>
    <xf numFmtId="1" fontId="8" fillId="15" borderId="58" xfId="0" applyNumberFormat="1" applyFont="1" applyFill="1" applyBorder="1" applyAlignment="1">
      <alignment vertical="center" wrapText="1"/>
    </xf>
    <xf numFmtId="167" fontId="8" fillId="15" borderId="56" xfId="0" applyNumberFormat="1" applyFont="1" applyFill="1" applyBorder="1" applyAlignment="1">
      <alignment vertical="center" wrapText="1"/>
    </xf>
    <xf numFmtId="167" fontId="8" fillId="15" borderId="55" xfId="0" applyNumberFormat="1" applyFont="1" applyFill="1" applyBorder="1" applyAlignment="1">
      <alignment vertical="center" wrapText="1"/>
    </xf>
    <xf numFmtId="166" fontId="8" fillId="15" borderId="56" xfId="0" applyNumberFormat="1" applyFont="1" applyFill="1" applyBorder="1" applyAlignment="1">
      <alignment vertical="center" wrapText="1"/>
    </xf>
    <xf numFmtId="167" fontId="6" fillId="15" borderId="56" xfId="0" applyNumberFormat="1" applyFont="1" applyFill="1" applyBorder="1" applyAlignment="1">
      <alignment horizontal="center" vertical="center" wrapText="1"/>
    </xf>
    <xf numFmtId="167" fontId="6" fillId="15" borderId="7" xfId="0" applyNumberFormat="1" applyFont="1" applyFill="1" applyBorder="1" applyAlignment="1">
      <alignment horizontal="left" vertical="center" wrapText="1"/>
    </xf>
    <xf numFmtId="167" fontId="18" fillId="37" borderId="1" xfId="4" applyNumberFormat="1" applyFont="1" applyFill="1" applyBorder="1" applyAlignment="1">
      <alignment horizontal="center"/>
    </xf>
    <xf numFmtId="166" fontId="23" fillId="37" borderId="1" xfId="2" applyNumberFormat="1" applyFont="1" applyFill="1" applyBorder="1" applyAlignment="1">
      <alignment horizontal="center" vertical="center" wrapText="1"/>
    </xf>
    <xf numFmtId="167" fontId="5" fillId="19" borderId="16" xfId="4" applyNumberFormat="1" applyFont="1" applyFill="1" applyBorder="1" applyAlignment="1">
      <alignment horizontal="left" vertical="center" wrapText="1"/>
    </xf>
    <xf numFmtId="167" fontId="17" fillId="6" borderId="26" xfId="4" applyNumberFormat="1" applyFont="1" applyFill="1" applyBorder="1" applyAlignment="1">
      <alignment horizontal="center" vertical="center" wrapText="1"/>
    </xf>
    <xf numFmtId="166" fontId="24" fillId="37" borderId="1" xfId="2" applyNumberFormat="1" applyFont="1" applyFill="1" applyBorder="1" applyAlignment="1">
      <alignment horizontal="center" vertical="center" wrapText="1"/>
    </xf>
    <xf numFmtId="167" fontId="46" fillId="0" borderId="13" xfId="6" applyNumberFormat="1" applyFont="1" applyBorder="1" applyAlignment="1">
      <alignment horizontal="center" vertical="center" wrapText="1"/>
    </xf>
    <xf numFmtId="167" fontId="46" fillId="0" borderId="1" xfId="4" applyNumberFormat="1" applyFont="1" applyBorder="1" applyAlignment="1">
      <alignment vertical="center" wrapText="1"/>
    </xf>
    <xf numFmtId="167" fontId="46" fillId="33" borderId="13" xfId="6" applyNumberFormat="1" applyFont="1" applyFill="1" applyBorder="1" applyAlignment="1">
      <alignment horizontal="center" vertical="center" wrapText="1"/>
    </xf>
    <xf numFmtId="167" fontId="46" fillId="33" borderId="1" xfId="4" applyNumberFormat="1" applyFont="1" applyFill="1" applyBorder="1" applyAlignment="1">
      <alignment vertical="center" wrapText="1"/>
    </xf>
    <xf numFmtId="167" fontId="46" fillId="0" borderId="56" xfId="0" applyNumberFormat="1" applyFont="1" applyBorder="1" applyAlignment="1">
      <alignment horizontal="center" vertical="center" wrapText="1"/>
    </xf>
    <xf numFmtId="167" fontId="46" fillId="0" borderId="7" xfId="0" applyNumberFormat="1" applyFont="1" applyBorder="1" applyAlignment="1">
      <alignment vertical="center" wrapText="1"/>
    </xf>
    <xf numFmtId="166" fontId="8" fillId="0" borderId="7" xfId="0" applyNumberFormat="1" applyFont="1" applyBorder="1" applyAlignment="1">
      <alignment vertical="center" wrapText="1"/>
    </xf>
    <xf numFmtId="0" fontId="48" fillId="0" borderId="60" xfId="0" applyFont="1" applyBorder="1" applyAlignment="1">
      <alignment horizontal="center" vertical="center" wrapText="1"/>
    </xf>
    <xf numFmtId="0" fontId="53" fillId="0" borderId="65" xfId="0" applyFont="1" applyBorder="1" applyAlignment="1">
      <alignment horizontal="left" vertical="center" wrapText="1" readingOrder="1"/>
    </xf>
    <xf numFmtId="0" fontId="54" fillId="0" borderId="66" xfId="0" applyFont="1" applyBorder="1" applyAlignment="1">
      <alignment horizontal="center" vertical="center" wrapText="1" readingOrder="1"/>
    </xf>
    <xf numFmtId="0" fontId="55" fillId="0" borderId="66" xfId="0" applyFont="1" applyBorder="1" applyAlignment="1">
      <alignment horizontal="center" vertical="center" wrapText="1" readingOrder="1"/>
    </xf>
    <xf numFmtId="0" fontId="56" fillId="0" borderId="66" xfId="0" applyFont="1" applyBorder="1" applyAlignment="1">
      <alignment horizontal="center" vertical="center" wrapText="1" readingOrder="1"/>
    </xf>
    <xf numFmtId="0" fontId="56" fillId="0" borderId="67" xfId="0" applyFont="1" applyBorder="1" applyAlignment="1">
      <alignment horizontal="center" vertical="center" wrapText="1" readingOrder="1"/>
    </xf>
    <xf numFmtId="0" fontId="57" fillId="0" borderId="66" xfId="0" applyFont="1" applyBorder="1" applyAlignment="1">
      <alignment horizontal="center" vertical="center" wrapText="1" readingOrder="1"/>
    </xf>
    <xf numFmtId="0" fontId="58" fillId="0" borderId="68" xfId="0" applyFont="1" applyBorder="1" applyAlignment="1">
      <alignment horizontal="left" vertical="center" wrapText="1" readingOrder="1"/>
    </xf>
    <xf numFmtId="169" fontId="59" fillId="39" borderId="69" xfId="0" applyNumberFormat="1" applyFont="1" applyFill="1" applyBorder="1" applyAlignment="1">
      <alignment horizontal="center" vertical="center" wrapText="1" readingOrder="1"/>
    </xf>
    <xf numFmtId="169" fontId="59" fillId="39" borderId="66" xfId="0" applyNumberFormat="1" applyFont="1" applyFill="1" applyBorder="1" applyAlignment="1">
      <alignment horizontal="center" vertical="center" wrapText="1" readingOrder="1"/>
    </xf>
    <xf numFmtId="9" fontId="59" fillId="39" borderId="66" xfId="3" applyFont="1" applyFill="1" applyBorder="1" applyAlignment="1">
      <alignment horizontal="center" vertical="center" wrapText="1" readingOrder="1"/>
    </xf>
    <xf numFmtId="169" fontId="59" fillId="40" borderId="66" xfId="0" applyNumberFormat="1" applyFont="1" applyFill="1" applyBorder="1" applyAlignment="1">
      <alignment horizontal="center" vertical="center" wrapText="1" readingOrder="1"/>
    </xf>
    <xf numFmtId="9" fontId="59" fillId="40" borderId="66" xfId="3" applyFont="1" applyFill="1" applyBorder="1" applyAlignment="1">
      <alignment horizontal="center" vertical="center" wrapText="1" readingOrder="1"/>
    </xf>
    <xf numFmtId="169" fontId="59" fillId="41" borderId="66" xfId="0" applyNumberFormat="1" applyFont="1" applyFill="1" applyBorder="1" applyAlignment="1">
      <alignment horizontal="center" vertical="center" wrapText="1" readingOrder="1"/>
    </xf>
    <xf numFmtId="9" fontId="59" fillId="41" borderId="67" xfId="3" applyFont="1" applyFill="1" applyBorder="1" applyAlignment="1">
      <alignment horizontal="center" vertical="center" wrapText="1" readingOrder="1"/>
    </xf>
    <xf numFmtId="169" fontId="59" fillId="38" borderId="66" xfId="0" applyNumberFormat="1" applyFont="1" applyFill="1" applyBorder="1" applyAlignment="1">
      <alignment horizontal="center" vertical="center" wrapText="1" readingOrder="1"/>
    </xf>
    <xf numFmtId="9" fontId="59" fillId="38" borderId="66" xfId="3" applyFont="1" applyFill="1" applyBorder="1" applyAlignment="1">
      <alignment horizontal="center" vertical="center" wrapText="1" readingOrder="1"/>
    </xf>
    <xf numFmtId="0" fontId="58" fillId="0" borderId="70" xfId="0" applyFont="1" applyBorder="1" applyAlignment="1">
      <alignment horizontal="left" vertical="center" wrapText="1" readingOrder="1"/>
    </xf>
    <xf numFmtId="169" fontId="59" fillId="0" borderId="69" xfId="0" applyNumberFormat="1" applyFont="1" applyBorder="1" applyAlignment="1">
      <alignment horizontal="center" vertical="center" wrapText="1" readingOrder="1"/>
    </xf>
    <xf numFmtId="169" fontId="59" fillId="0" borderId="66" xfId="0" applyNumberFormat="1" applyFont="1" applyBorder="1" applyAlignment="1">
      <alignment horizontal="center" vertical="center" wrapText="1" readingOrder="1"/>
    </xf>
    <xf numFmtId="9" fontId="59" fillId="0" borderId="66" xfId="3" applyFont="1" applyBorder="1" applyAlignment="1">
      <alignment horizontal="center" vertical="center" wrapText="1" readingOrder="1"/>
    </xf>
    <xf numFmtId="9" fontId="59" fillId="33" borderId="67" xfId="3" applyFont="1" applyFill="1" applyBorder="1" applyAlignment="1">
      <alignment horizontal="center" vertical="center" wrapText="1" readingOrder="1"/>
    </xf>
    <xf numFmtId="0" fontId="58" fillId="0" borderId="71" xfId="0" applyFont="1" applyBorder="1" applyAlignment="1">
      <alignment horizontal="left" vertical="center" wrapText="1" readingOrder="1"/>
    </xf>
    <xf numFmtId="169" fontId="59" fillId="42" borderId="66" xfId="0" applyNumberFormat="1" applyFont="1" applyFill="1" applyBorder="1" applyAlignment="1">
      <alignment horizontal="center" vertical="center" wrapText="1" readingOrder="1"/>
    </xf>
    <xf numFmtId="0" fontId="58" fillId="0" borderId="0" xfId="0" applyFont="1" applyAlignment="1">
      <alignment horizontal="left" vertical="center" wrapText="1" readingOrder="1"/>
    </xf>
    <xf numFmtId="169" fontId="59" fillId="43" borderId="69" xfId="0" applyNumberFormat="1" applyFont="1" applyFill="1" applyBorder="1" applyAlignment="1">
      <alignment horizontal="center" vertical="center" wrapText="1" readingOrder="1"/>
    </xf>
    <xf numFmtId="169" fontId="59" fillId="43" borderId="65" xfId="0" applyNumberFormat="1" applyFont="1" applyFill="1" applyBorder="1" applyAlignment="1">
      <alignment horizontal="center" vertical="center" wrapText="1" readingOrder="1"/>
    </xf>
    <xf numFmtId="9" fontId="59" fillId="43" borderId="66" xfId="3" applyFont="1" applyFill="1" applyBorder="1" applyAlignment="1">
      <alignment horizontal="center" vertical="center" wrapText="1" readingOrder="1"/>
    </xf>
    <xf numFmtId="169" fontId="59" fillId="44" borderId="69" xfId="0" applyNumberFormat="1" applyFont="1" applyFill="1" applyBorder="1" applyAlignment="1">
      <alignment horizontal="center" vertical="center" wrapText="1" readingOrder="1"/>
    </xf>
    <xf numFmtId="169" fontId="59" fillId="44" borderId="66" xfId="0" applyNumberFormat="1" applyFont="1" applyFill="1" applyBorder="1" applyAlignment="1">
      <alignment horizontal="center" vertical="center" wrapText="1" readingOrder="1"/>
    </xf>
    <xf numFmtId="9" fontId="59" fillId="44" borderId="66" xfId="3" applyFont="1" applyFill="1" applyBorder="1" applyAlignment="1">
      <alignment horizontal="center" vertical="center" wrapText="1" readingOrder="1"/>
    </xf>
    <xf numFmtId="9" fontId="59" fillId="0" borderId="66" xfId="3" applyFont="1" applyFill="1" applyBorder="1" applyAlignment="1">
      <alignment horizontal="center" vertical="center" wrapText="1" readingOrder="1"/>
    </xf>
    <xf numFmtId="9" fontId="59" fillId="0" borderId="67" xfId="3" applyFont="1" applyFill="1" applyBorder="1" applyAlignment="1">
      <alignment horizontal="center" vertical="center" wrapText="1" readingOrder="1"/>
    </xf>
    <xf numFmtId="169" fontId="59" fillId="45" borderId="69" xfId="0" applyNumberFormat="1" applyFont="1" applyFill="1" applyBorder="1" applyAlignment="1">
      <alignment horizontal="center" vertical="center" wrapText="1" readingOrder="1"/>
    </xf>
    <xf numFmtId="169" fontId="59" fillId="45" borderId="66" xfId="0" applyNumberFormat="1" applyFont="1" applyFill="1" applyBorder="1" applyAlignment="1">
      <alignment horizontal="center" vertical="center" wrapText="1" readingOrder="1"/>
    </xf>
    <xf numFmtId="9" fontId="59" fillId="45" borderId="66" xfId="3" applyFont="1" applyFill="1" applyBorder="1" applyAlignment="1">
      <alignment horizontal="center" vertical="center" wrapText="1" readingOrder="1"/>
    </xf>
    <xf numFmtId="169" fontId="59" fillId="46" borderId="66" xfId="0" applyNumberFormat="1" applyFont="1" applyFill="1" applyBorder="1" applyAlignment="1">
      <alignment horizontal="center" vertical="center" wrapText="1" readingOrder="1"/>
    </xf>
    <xf numFmtId="9" fontId="59" fillId="46" borderId="66" xfId="3" applyFont="1" applyFill="1" applyBorder="1" applyAlignment="1">
      <alignment horizontal="center" vertical="center" wrapText="1" readingOrder="1"/>
    </xf>
    <xf numFmtId="169" fontId="59" fillId="16" borderId="66" xfId="0" applyNumberFormat="1" applyFont="1" applyFill="1" applyBorder="1" applyAlignment="1">
      <alignment horizontal="center" vertical="center" wrapText="1" readingOrder="1"/>
    </xf>
    <xf numFmtId="9" fontId="59" fillId="16" borderId="67" xfId="3" applyFont="1" applyFill="1" applyBorder="1" applyAlignment="1">
      <alignment horizontal="center" vertical="center" wrapText="1" readingOrder="1"/>
    </xf>
    <xf numFmtId="0" fontId="60" fillId="0" borderId="72" xfId="0" applyFont="1" applyBorder="1" applyAlignment="1">
      <alignment horizontal="left" vertical="center" wrapText="1" readingOrder="1"/>
    </xf>
    <xf numFmtId="169" fontId="61" fillId="47" borderId="73" xfId="0" applyNumberFormat="1" applyFont="1" applyFill="1" applyBorder="1" applyAlignment="1">
      <alignment horizontal="center" vertical="center" wrapText="1" readingOrder="1"/>
    </xf>
    <xf numFmtId="169" fontId="61" fillId="47" borderId="74" xfId="0" applyNumberFormat="1" applyFont="1" applyFill="1" applyBorder="1" applyAlignment="1">
      <alignment horizontal="center" vertical="center" wrapText="1" readingOrder="1"/>
    </xf>
    <xf numFmtId="9" fontId="61" fillId="47" borderId="74" xfId="0" applyNumberFormat="1" applyFont="1" applyFill="1" applyBorder="1" applyAlignment="1">
      <alignment horizontal="center" vertical="center" wrapText="1" readingOrder="1"/>
    </xf>
    <xf numFmtId="169" fontId="61" fillId="37" borderId="74" xfId="0" applyNumberFormat="1" applyFont="1" applyFill="1" applyBorder="1" applyAlignment="1">
      <alignment horizontal="center" vertical="center" wrapText="1" readingOrder="1"/>
    </xf>
    <xf numFmtId="170" fontId="61" fillId="37" borderId="74" xfId="0" applyNumberFormat="1" applyFont="1" applyFill="1" applyBorder="1" applyAlignment="1">
      <alignment horizontal="center" vertical="center" wrapText="1" readingOrder="1"/>
    </xf>
    <xf numFmtId="9" fontId="61" fillId="37" borderId="74" xfId="3" applyFont="1" applyFill="1" applyBorder="1" applyAlignment="1">
      <alignment horizontal="center" vertical="center" wrapText="1" readingOrder="1"/>
    </xf>
    <xf numFmtId="169" fontId="61" fillId="48" borderId="74" xfId="0" applyNumberFormat="1" applyFont="1" applyFill="1" applyBorder="1" applyAlignment="1">
      <alignment horizontal="center" vertical="center" wrapText="1" readingOrder="1"/>
    </xf>
    <xf numFmtId="9" fontId="61" fillId="48" borderId="75" xfId="3" applyFont="1" applyFill="1" applyBorder="1" applyAlignment="1">
      <alignment horizontal="center" vertical="center" wrapText="1" readingOrder="1"/>
    </xf>
    <xf numFmtId="0" fontId="0" fillId="0" borderId="76" xfId="0" applyBorder="1"/>
    <xf numFmtId="170" fontId="61" fillId="26" borderId="74" xfId="0" applyNumberFormat="1" applyFont="1" applyFill="1" applyBorder="1" applyAlignment="1">
      <alignment horizontal="center" vertical="center" wrapText="1" readingOrder="1"/>
    </xf>
    <xf numFmtId="1" fontId="1" fillId="0" borderId="0" xfId="4" applyNumberFormat="1" applyFont="1" applyAlignment="1">
      <alignment wrapText="1"/>
    </xf>
    <xf numFmtId="1" fontId="17" fillId="49" borderId="0" xfId="4" applyNumberFormat="1" applyFont="1" applyFill="1" applyBorder="1" applyAlignment="1">
      <alignment horizontal="center" vertical="center" wrapText="1"/>
    </xf>
    <xf numFmtId="1" fontId="5" fillId="47" borderId="54" xfId="2" applyNumberFormat="1" applyFont="1" applyFill="1" applyBorder="1" applyAlignment="1">
      <alignment horizontal="center" vertical="center" wrapText="1"/>
    </xf>
    <xf numFmtId="1" fontId="6" fillId="0" borderId="2" xfId="0" applyNumberFormat="1" applyFont="1" applyBorder="1" applyAlignment="1">
      <alignment vertical="center" wrapText="1"/>
    </xf>
    <xf numFmtId="1" fontId="6" fillId="33" borderId="2" xfId="0" applyNumberFormat="1" applyFont="1" applyFill="1" applyBorder="1" applyAlignment="1">
      <alignment vertical="center" wrapText="1"/>
    </xf>
    <xf numFmtId="1" fontId="6" fillId="0" borderId="57" xfId="0" applyNumberFormat="1" applyFont="1" applyBorder="1" applyAlignment="1">
      <alignment vertical="center" wrapText="1"/>
    </xf>
    <xf numFmtId="1" fontId="5" fillId="37" borderId="54" xfId="2" applyNumberFormat="1" applyFont="1" applyFill="1" applyBorder="1" applyAlignment="1">
      <alignment horizontal="center" vertical="center" wrapText="1"/>
    </xf>
    <xf numFmtId="171" fontId="5" fillId="4" borderId="15" xfId="4" applyNumberFormat="1" applyFont="1" applyFill="1" applyBorder="1" applyAlignment="1">
      <alignment horizontal="center" vertical="center" wrapText="1"/>
    </xf>
    <xf numFmtId="171" fontId="8" fillId="0" borderId="1" xfId="4" applyNumberFormat="1" applyFont="1" applyBorder="1"/>
    <xf numFmtId="171" fontId="8" fillId="0" borderId="1" xfId="4" applyNumberFormat="1" applyFont="1" applyBorder="1" applyAlignment="1">
      <alignment horizontal="left"/>
    </xf>
    <xf numFmtId="171" fontId="1" fillId="0" borderId="0" xfId="4" applyNumberFormat="1" applyFont="1" applyAlignment="1">
      <alignment horizontal="left"/>
    </xf>
    <xf numFmtId="166" fontId="17" fillId="4" borderId="78" xfId="2" applyNumberFormat="1" applyFont="1" applyFill="1" applyBorder="1" applyAlignment="1">
      <alignment horizontal="center" vertical="center" wrapText="1"/>
    </xf>
    <xf numFmtId="166" fontId="0" fillId="0" borderId="77" xfId="0" applyNumberFormat="1" applyBorder="1"/>
    <xf numFmtId="166" fontId="64" fillId="33" borderId="0" xfId="0" applyNumberFormat="1" applyFont="1" applyFill="1" applyAlignment="1">
      <alignment vertical="center" wrapText="1"/>
    </xf>
    <xf numFmtId="166" fontId="64" fillId="33" borderId="0" xfId="4" applyNumberFormat="1" applyFont="1" applyFill="1" applyAlignment="1">
      <alignment vertical="center" wrapText="1"/>
    </xf>
    <xf numFmtId="166" fontId="64" fillId="0" borderId="0" xfId="0" applyNumberFormat="1" applyFont="1" applyAlignment="1">
      <alignment vertical="center" wrapText="1"/>
    </xf>
    <xf numFmtId="166" fontId="64" fillId="0" borderId="0" xfId="4" applyNumberFormat="1" applyFont="1" applyAlignment="1">
      <alignment vertical="center" wrapText="1"/>
    </xf>
    <xf numFmtId="166" fontId="46" fillId="33" borderId="0" xfId="0" applyNumberFormat="1" applyFont="1" applyFill="1" applyAlignment="1">
      <alignment vertical="center" wrapText="1"/>
    </xf>
    <xf numFmtId="166" fontId="46" fillId="0" borderId="0" xfId="0" applyNumberFormat="1" applyFont="1" applyAlignment="1">
      <alignment vertical="center" wrapText="1"/>
    </xf>
    <xf numFmtId="0" fontId="6" fillId="0" borderId="1" xfId="4" applyNumberFormat="1" applyFont="1" applyBorder="1" applyAlignment="1">
      <alignment vertical="center" wrapText="1"/>
    </xf>
    <xf numFmtId="169" fontId="59" fillId="0" borderId="67" xfId="0" applyNumberFormat="1" applyFont="1" applyBorder="1" applyAlignment="1">
      <alignment horizontal="center" vertical="center" wrapText="1" readingOrder="1"/>
    </xf>
    <xf numFmtId="9" fontId="61" fillId="26" borderId="74" xfId="3" applyFont="1" applyFill="1" applyBorder="1" applyAlignment="1">
      <alignment horizontal="center" vertical="center" wrapText="1" readingOrder="1"/>
    </xf>
    <xf numFmtId="166" fontId="17" fillId="24" borderId="78" xfId="2" applyNumberFormat="1" applyFont="1" applyFill="1" applyBorder="1" applyAlignment="1">
      <alignment horizontal="center" vertical="center" wrapText="1"/>
    </xf>
    <xf numFmtId="169" fontId="61" fillId="26" borderId="74" xfId="0" applyNumberFormat="1" applyFont="1" applyFill="1" applyBorder="1" applyAlignment="1">
      <alignment horizontal="center" vertical="center" wrapText="1" readingOrder="1"/>
    </xf>
    <xf numFmtId="0" fontId="0" fillId="50" borderId="0" xfId="0" applyFill="1"/>
    <xf numFmtId="0" fontId="0" fillId="36" borderId="0" xfId="0" applyFill="1"/>
    <xf numFmtId="169" fontId="59" fillId="38" borderId="67" xfId="0" applyNumberFormat="1" applyFont="1" applyFill="1" applyBorder="1" applyAlignment="1">
      <alignment horizontal="center" vertical="center" wrapText="1" readingOrder="1"/>
    </xf>
    <xf numFmtId="0" fontId="0" fillId="51" borderId="0" xfId="0" applyFill="1"/>
    <xf numFmtId="0" fontId="61" fillId="26" borderId="66" xfId="0" applyFont="1" applyFill="1" applyBorder="1" applyAlignment="1">
      <alignment horizontal="center" vertical="center" wrapText="1" readingOrder="1"/>
    </xf>
    <xf numFmtId="0" fontId="61" fillId="26" borderId="67" xfId="0" applyFont="1" applyFill="1" applyBorder="1" applyAlignment="1">
      <alignment horizontal="center" vertical="center" wrapText="1" readingOrder="1"/>
    </xf>
    <xf numFmtId="166" fontId="46" fillId="33" borderId="0" xfId="4" applyNumberFormat="1" applyFont="1" applyFill="1" applyAlignment="1">
      <alignment vertical="center" wrapText="1"/>
    </xf>
    <xf numFmtId="166" fontId="46" fillId="0" borderId="0" xfId="4" applyNumberFormat="1" applyFont="1" applyAlignment="1">
      <alignment vertical="center" wrapText="1"/>
    </xf>
    <xf numFmtId="0" fontId="24" fillId="0" borderId="79" xfId="0" applyFont="1" applyBorder="1" applyAlignment="1">
      <alignment horizontal="center" vertical="center" wrapText="1"/>
    </xf>
    <xf numFmtId="0" fontId="0" fillId="0" borderId="0" xfId="0" pivotButton="1"/>
    <xf numFmtId="0" fontId="0" fillId="0" borderId="0" xfId="0" applyAlignment="1">
      <alignment horizontal="left"/>
    </xf>
    <xf numFmtId="0" fontId="19" fillId="34" borderId="9" xfId="0" applyFont="1" applyFill="1" applyBorder="1" applyAlignment="1">
      <alignment horizontal="center" vertical="center"/>
    </xf>
    <xf numFmtId="0" fontId="19" fillId="34" borderId="47" xfId="0" applyFont="1" applyFill="1" applyBorder="1" applyAlignment="1">
      <alignment horizontal="center" vertical="center"/>
    </xf>
    <xf numFmtId="0" fontId="19" fillId="34" borderId="48" xfId="0" applyFont="1" applyFill="1" applyBorder="1" applyAlignment="1">
      <alignment horizontal="center" vertical="center"/>
    </xf>
    <xf numFmtId="0" fontId="17" fillId="37" borderId="8" xfId="0" applyFont="1" applyFill="1" applyBorder="1" applyAlignment="1">
      <alignment horizontal="center" vertical="center"/>
    </xf>
    <xf numFmtId="0" fontId="16" fillId="3" borderId="0" xfId="0" applyFont="1" applyFill="1" applyAlignment="1">
      <alignment horizontal="center"/>
    </xf>
    <xf numFmtId="0" fontId="15" fillId="0" borderId="8" xfId="0" applyFont="1" applyBorder="1" applyAlignment="1">
      <alignment horizontal="center"/>
    </xf>
    <xf numFmtId="0" fontId="13" fillId="0" borderId="0" xfId="0" applyFont="1" applyAlignment="1">
      <alignment horizontal="left" vertical="top" wrapText="1"/>
    </xf>
    <xf numFmtId="0" fontId="15" fillId="0" borderId="0" xfId="0" applyFont="1" applyAlignment="1">
      <alignment horizontal="center"/>
    </xf>
    <xf numFmtId="167" fontId="17" fillId="12" borderId="42" xfId="4" applyNumberFormat="1" applyFont="1" applyFill="1" applyBorder="1" applyAlignment="1">
      <alignment horizontal="center" vertical="center" wrapText="1"/>
    </xf>
    <xf numFmtId="167" fontId="17" fillId="12" borderId="43" xfId="4" applyNumberFormat="1" applyFont="1" applyFill="1" applyBorder="1" applyAlignment="1">
      <alignment horizontal="center" vertical="center" wrapText="1"/>
    </xf>
    <xf numFmtId="167" fontId="17" fillId="12" borderId="49" xfId="4" applyNumberFormat="1" applyFont="1" applyFill="1" applyBorder="1" applyAlignment="1">
      <alignment horizontal="center" vertical="center" wrapText="1"/>
    </xf>
    <xf numFmtId="167" fontId="33" fillId="0" borderId="21" xfId="4" applyNumberFormat="1" applyFont="1" applyBorder="1" applyAlignment="1">
      <alignment horizontal="right" wrapText="1"/>
    </xf>
    <xf numFmtId="0" fontId="33" fillId="0" borderId="21" xfId="0" applyFont="1" applyBorder="1" applyAlignment="1">
      <alignment horizontal="right" wrapText="1"/>
    </xf>
    <xf numFmtId="0" fontId="17" fillId="9" borderId="11" xfId="1" applyFont="1" applyFill="1" applyBorder="1" applyAlignment="1">
      <alignment horizontal="center" vertical="center" wrapText="1"/>
    </xf>
    <xf numFmtId="0" fontId="17" fillId="10" borderId="19" xfId="1" applyFont="1" applyFill="1" applyBorder="1" applyAlignment="1">
      <alignment horizontal="center" vertical="center" wrapText="1"/>
    </xf>
    <xf numFmtId="0" fontId="17" fillId="10" borderId="11" xfId="1" applyFont="1" applyFill="1" applyBorder="1" applyAlignment="1">
      <alignment horizontal="center" vertical="center" wrapText="1"/>
    </xf>
    <xf numFmtId="166" fontId="23" fillId="17" borderId="4" xfId="2" applyNumberFormat="1" applyFont="1" applyFill="1" applyBorder="1" applyAlignment="1">
      <alignment horizontal="center" vertical="center" wrapText="1"/>
    </xf>
    <xf numFmtId="166" fontId="23" fillId="17" borderId="1" xfId="2" applyNumberFormat="1" applyFont="1" applyFill="1" applyBorder="1" applyAlignment="1">
      <alignment horizontal="center" vertical="center" wrapText="1"/>
    </xf>
    <xf numFmtId="167" fontId="17" fillId="11" borderId="11" xfId="4" applyNumberFormat="1" applyFont="1" applyFill="1" applyBorder="1" applyAlignment="1">
      <alignment horizontal="center" vertical="center" wrapText="1"/>
    </xf>
    <xf numFmtId="0" fontId="17" fillId="2" borderId="11" xfId="1" applyFont="1" applyFill="1" applyBorder="1" applyAlignment="1">
      <alignment horizontal="center" vertical="center" wrapText="1"/>
    </xf>
    <xf numFmtId="0" fontId="17" fillId="12" borderId="11" xfId="1" applyFont="1" applyFill="1" applyBorder="1" applyAlignment="1">
      <alignment horizontal="center" vertical="center" wrapText="1"/>
    </xf>
    <xf numFmtId="167" fontId="17" fillId="12" borderId="11" xfId="4" applyNumberFormat="1" applyFont="1" applyFill="1" applyBorder="1" applyAlignment="1">
      <alignment horizontal="center" vertical="center" wrapText="1"/>
    </xf>
    <xf numFmtId="167" fontId="17" fillId="12" borderId="18" xfId="4" applyNumberFormat="1" applyFont="1" applyFill="1" applyBorder="1" applyAlignment="1">
      <alignment horizontal="center" vertical="center" wrapText="1"/>
    </xf>
    <xf numFmtId="0" fontId="17" fillId="12" borderId="19" xfId="1" applyFont="1" applyFill="1" applyBorder="1" applyAlignment="1">
      <alignment horizontal="center" vertical="center" wrapText="1"/>
    </xf>
    <xf numFmtId="0" fontId="17" fillId="2" borderId="18" xfId="1" applyFont="1" applyFill="1" applyBorder="1" applyAlignment="1">
      <alignment horizontal="center" vertical="center" wrapText="1"/>
    </xf>
    <xf numFmtId="0" fontId="17" fillId="2" borderId="24" xfId="1" applyFont="1" applyFill="1" applyBorder="1" applyAlignment="1">
      <alignment horizontal="center" vertical="center" wrapText="1"/>
    </xf>
    <xf numFmtId="0" fontId="17" fillId="2" borderId="19" xfId="1" applyFont="1" applyFill="1" applyBorder="1" applyAlignment="1">
      <alignment horizontal="center" vertical="center" wrapText="1"/>
    </xf>
    <xf numFmtId="167" fontId="17" fillId="11" borderId="37" xfId="4" applyNumberFormat="1" applyFont="1" applyFill="1" applyBorder="1" applyAlignment="1">
      <alignment horizontal="center" vertical="center" wrapText="1"/>
    </xf>
    <xf numFmtId="167" fontId="17" fillId="11" borderId="38" xfId="4" applyNumberFormat="1" applyFont="1" applyFill="1" applyBorder="1" applyAlignment="1">
      <alignment horizontal="center" vertical="center" wrapText="1"/>
    </xf>
    <xf numFmtId="167" fontId="17" fillId="11" borderId="18" xfId="4" applyNumberFormat="1" applyFont="1" applyFill="1" applyBorder="1" applyAlignment="1">
      <alignment horizontal="center" vertical="center" wrapText="1"/>
    </xf>
    <xf numFmtId="167" fontId="17" fillId="11" borderId="24" xfId="4" applyNumberFormat="1" applyFont="1" applyFill="1" applyBorder="1" applyAlignment="1">
      <alignment horizontal="center" vertical="center" wrapText="1"/>
    </xf>
    <xf numFmtId="167" fontId="17" fillId="11" borderId="19" xfId="4" applyNumberFormat="1" applyFont="1" applyFill="1" applyBorder="1" applyAlignment="1">
      <alignment horizontal="center" vertical="center" wrapText="1"/>
    </xf>
    <xf numFmtId="167" fontId="22" fillId="36" borderId="43" xfId="4" applyNumberFormat="1" applyFont="1" applyFill="1" applyBorder="1" applyAlignment="1">
      <alignment horizontal="center" vertical="center" wrapText="1"/>
    </xf>
    <xf numFmtId="167" fontId="22" fillId="36" borderId="49" xfId="4" applyNumberFormat="1" applyFont="1" applyFill="1" applyBorder="1" applyAlignment="1">
      <alignment horizontal="center" vertical="center" wrapText="1"/>
    </xf>
    <xf numFmtId="0" fontId="7" fillId="10" borderId="18" xfId="1" applyFont="1" applyFill="1" applyBorder="1" applyAlignment="1">
      <alignment horizontal="center" vertical="center" wrapText="1"/>
    </xf>
    <xf numFmtId="0" fontId="7" fillId="10" borderId="24" xfId="1" applyFont="1" applyFill="1" applyBorder="1" applyAlignment="1">
      <alignment horizontal="center" vertical="center" wrapText="1"/>
    </xf>
    <xf numFmtId="0" fontId="7" fillId="10" borderId="19" xfId="1" applyFont="1" applyFill="1" applyBorder="1" applyAlignment="1">
      <alignment horizontal="center" vertical="center" wrapText="1"/>
    </xf>
    <xf numFmtId="0" fontId="17" fillId="9" borderId="18" xfId="1" applyFont="1" applyFill="1" applyBorder="1" applyAlignment="1">
      <alignment horizontal="center" vertical="center" wrapText="1"/>
    </xf>
    <xf numFmtId="0" fontId="17" fillId="9" borderId="24" xfId="1" applyFont="1" applyFill="1" applyBorder="1" applyAlignment="1">
      <alignment horizontal="center" vertical="center" wrapText="1"/>
    </xf>
    <xf numFmtId="0" fontId="17" fillId="9" borderId="19" xfId="1" applyFont="1" applyFill="1" applyBorder="1" applyAlignment="1">
      <alignment horizontal="center" vertical="center" wrapText="1"/>
    </xf>
    <xf numFmtId="167" fontId="17" fillId="25" borderId="11" xfId="4" applyNumberFormat="1" applyFont="1" applyFill="1" applyBorder="1" applyAlignment="1">
      <alignment horizontal="center" vertical="center" wrapText="1"/>
    </xf>
    <xf numFmtId="166" fontId="23" fillId="37" borderId="1" xfId="2" applyNumberFormat="1" applyFont="1" applyFill="1" applyBorder="1" applyAlignment="1">
      <alignment horizontal="center" vertical="center" wrapText="1"/>
    </xf>
    <xf numFmtId="0" fontId="1" fillId="0" borderId="21" xfId="0" applyFont="1" applyBorder="1" applyAlignment="1">
      <alignment horizontal="center" wrapText="1"/>
    </xf>
    <xf numFmtId="0" fontId="24" fillId="28" borderId="27" xfId="0" applyFont="1" applyFill="1" applyBorder="1" applyAlignment="1">
      <alignment horizontal="center" vertical="center" wrapText="1"/>
    </xf>
    <xf numFmtId="0" fontId="24" fillId="28" borderId="29" xfId="0" applyFont="1" applyFill="1" applyBorder="1" applyAlignment="1">
      <alignment horizontal="center" vertical="center" wrapText="1"/>
    </xf>
    <xf numFmtId="0" fontId="24" fillId="10" borderId="18" xfId="1" applyFont="1" applyFill="1" applyBorder="1" applyAlignment="1">
      <alignment horizontal="center" vertical="center" wrapText="1"/>
    </xf>
    <xf numFmtId="0" fontId="24" fillId="10" borderId="19" xfId="1" applyFont="1" applyFill="1" applyBorder="1" applyAlignment="1">
      <alignment horizontal="center" vertical="center" wrapText="1"/>
    </xf>
    <xf numFmtId="167" fontId="24" fillId="11" borderId="18" xfId="4" applyNumberFormat="1" applyFont="1" applyFill="1" applyBorder="1" applyAlignment="1">
      <alignment horizontal="center" vertical="center" wrapText="1"/>
    </xf>
    <xf numFmtId="167" fontId="24" fillId="11" borderId="24" xfId="4" applyNumberFormat="1" applyFont="1" applyFill="1" applyBorder="1" applyAlignment="1">
      <alignment horizontal="center" vertical="center" wrapText="1"/>
    </xf>
    <xf numFmtId="167" fontId="24" fillId="11" borderId="19" xfId="4" applyNumberFormat="1" applyFont="1" applyFill="1" applyBorder="1" applyAlignment="1">
      <alignment horizontal="center" vertical="center" wrapText="1"/>
    </xf>
    <xf numFmtId="0" fontId="24" fillId="2" borderId="27" xfId="1" applyFont="1" applyFill="1" applyBorder="1" applyAlignment="1">
      <alignment horizontal="center" vertical="center" wrapText="1"/>
    </xf>
    <xf numFmtId="0" fontId="24" fillId="2" borderId="28" xfId="1" applyFont="1" applyFill="1" applyBorder="1" applyAlignment="1">
      <alignment horizontal="center" vertical="center" wrapText="1"/>
    </xf>
    <xf numFmtId="0" fontId="24" fillId="2" borderId="29" xfId="1" applyFont="1" applyFill="1" applyBorder="1" applyAlignment="1">
      <alignment horizontal="center" vertical="center" wrapText="1"/>
    </xf>
    <xf numFmtId="167" fontId="24" fillId="23" borderId="21" xfId="4" applyNumberFormat="1" applyFont="1" applyFill="1" applyBorder="1" applyAlignment="1">
      <alignment horizontal="center" vertical="center" wrapText="1"/>
    </xf>
    <xf numFmtId="167" fontId="24" fillId="25" borderId="46" xfId="4" applyNumberFormat="1" applyFont="1" applyFill="1" applyBorder="1" applyAlignment="1">
      <alignment horizontal="center" vertical="center" wrapText="1"/>
    </xf>
    <xf numFmtId="167" fontId="24" fillId="25" borderId="37" xfId="4" applyNumberFormat="1" applyFont="1" applyFill="1" applyBorder="1" applyAlignment="1">
      <alignment horizontal="center" vertical="center" wrapText="1"/>
    </xf>
    <xf numFmtId="167" fontId="24" fillId="25" borderId="38" xfId="4" applyNumberFormat="1" applyFont="1" applyFill="1" applyBorder="1" applyAlignment="1">
      <alignment horizontal="center" vertical="center" wrapText="1"/>
    </xf>
    <xf numFmtId="166" fontId="37" fillId="27" borderId="27" xfId="2" applyNumberFormat="1" applyFont="1" applyFill="1" applyBorder="1" applyAlignment="1">
      <alignment horizontal="center" vertical="center" wrapText="1"/>
    </xf>
    <xf numFmtId="166" fontId="37" fillId="27" borderId="29" xfId="2" applyNumberFormat="1" applyFont="1" applyFill="1" applyBorder="1" applyAlignment="1">
      <alignment horizontal="center" vertical="center" wrapText="1"/>
    </xf>
    <xf numFmtId="167" fontId="24" fillId="24" borderId="21" xfId="4" applyNumberFormat="1" applyFont="1" applyFill="1" applyBorder="1" applyAlignment="1">
      <alignment horizontal="center" vertical="center" wrapText="1"/>
    </xf>
    <xf numFmtId="1" fontId="31" fillId="0" borderId="21" xfId="4" applyNumberFormat="1" applyFont="1" applyFill="1" applyBorder="1" applyAlignment="1">
      <alignment horizontal="center" vertical="center" wrapText="1"/>
    </xf>
    <xf numFmtId="166" fontId="29" fillId="27" borderId="27" xfId="2" applyNumberFormat="1" applyFont="1" applyFill="1" applyBorder="1" applyAlignment="1">
      <alignment horizontal="center" vertical="center" wrapText="1"/>
    </xf>
    <xf numFmtId="166" fontId="29" fillId="27" borderId="29" xfId="2" applyNumberFormat="1" applyFont="1" applyFill="1" applyBorder="1" applyAlignment="1">
      <alignment horizontal="center" vertical="center" wrapText="1"/>
    </xf>
    <xf numFmtId="0" fontId="24" fillId="9" borderId="18" xfId="1" applyFont="1" applyFill="1" applyBorder="1" applyAlignment="1">
      <alignment horizontal="center" vertical="center" wrapText="1"/>
    </xf>
    <xf numFmtId="0" fontId="24" fillId="9" borderId="24" xfId="1" applyFont="1" applyFill="1" applyBorder="1" applyAlignment="1">
      <alignment horizontal="center" vertical="center" wrapText="1"/>
    </xf>
    <xf numFmtId="166" fontId="29" fillId="27" borderId="46" xfId="2" applyNumberFormat="1" applyFont="1" applyFill="1" applyBorder="1" applyAlignment="1">
      <alignment horizontal="center" vertical="center" wrapText="1"/>
    </xf>
    <xf numFmtId="166" fontId="29" fillId="27" borderId="37" xfId="2" applyNumberFormat="1" applyFont="1" applyFill="1" applyBorder="1" applyAlignment="1">
      <alignment horizontal="center" vertical="center" wrapText="1"/>
    </xf>
    <xf numFmtId="166" fontId="29" fillId="27" borderId="38" xfId="2" applyNumberFormat="1" applyFont="1" applyFill="1" applyBorder="1" applyAlignment="1">
      <alignment horizontal="center" vertical="center" wrapText="1"/>
    </xf>
    <xf numFmtId="168" fontId="1" fillId="20" borderId="21" xfId="4" applyNumberFormat="1" applyFont="1" applyFill="1" applyBorder="1" applyAlignment="1">
      <alignment horizontal="center"/>
    </xf>
    <xf numFmtId="0" fontId="47" fillId="0" borderId="0" xfId="0" applyFont="1" applyAlignment="1">
      <alignment horizontal="center" vertical="center"/>
    </xf>
    <xf numFmtId="0" fontId="49" fillId="0" borderId="61" xfId="0" applyFont="1" applyBorder="1" applyAlignment="1">
      <alignment horizontal="center" wrapText="1" readingOrder="1"/>
    </xf>
    <xf numFmtId="0" fontId="49" fillId="0" borderId="62" xfId="0" applyFont="1" applyBorder="1" applyAlignment="1">
      <alignment horizontal="center" wrapText="1" readingOrder="1"/>
    </xf>
    <xf numFmtId="0" fontId="49" fillId="0" borderId="63" xfId="0" applyFont="1" applyBorder="1" applyAlignment="1">
      <alignment horizontal="center" wrapText="1" readingOrder="1"/>
    </xf>
    <xf numFmtId="0" fontId="50" fillId="0" borderId="64" xfId="0" applyFont="1" applyBorder="1" applyAlignment="1">
      <alignment horizontal="center" wrapText="1" readingOrder="1"/>
    </xf>
    <xf numFmtId="0" fontId="50" fillId="0" borderId="62" xfId="0" applyFont="1" applyBorder="1" applyAlignment="1">
      <alignment horizontal="center" wrapText="1" readingOrder="1"/>
    </xf>
    <xf numFmtId="0" fontId="50" fillId="0" borderId="63" xfId="0" applyFont="1" applyBorder="1" applyAlignment="1">
      <alignment horizontal="center" wrapText="1" readingOrder="1"/>
    </xf>
    <xf numFmtId="0" fontId="51" fillId="0" borderId="64" xfId="0" applyFont="1" applyBorder="1" applyAlignment="1">
      <alignment horizontal="center" wrapText="1" readingOrder="1"/>
    </xf>
    <xf numFmtId="0" fontId="51" fillId="0" borderId="62" xfId="0" applyFont="1" applyBorder="1" applyAlignment="1">
      <alignment horizontal="center" wrapText="1" readingOrder="1"/>
    </xf>
    <xf numFmtId="0" fontId="52" fillId="0" borderId="64" xfId="0" applyFont="1" applyBorder="1" applyAlignment="1">
      <alignment horizontal="center" wrapText="1" readingOrder="1"/>
    </xf>
    <xf numFmtId="0" fontId="52" fillId="0" borderId="62" xfId="0" applyFont="1" applyBorder="1" applyAlignment="1">
      <alignment horizontal="center" wrapText="1" readingOrder="1"/>
    </xf>
    <xf numFmtId="0" fontId="52" fillId="0" borderId="63" xfId="0" applyFont="1" applyBorder="1" applyAlignment="1">
      <alignment horizontal="center" wrapText="1" readingOrder="1"/>
    </xf>
    <xf numFmtId="0" fontId="36" fillId="0" borderId="0" xfId="0" applyFont="1" applyAlignment="1">
      <alignment horizontal="center" vertical="center" wrapText="1"/>
    </xf>
    <xf numFmtId="167" fontId="36" fillId="0" borderId="0" xfId="4" applyNumberFormat="1" applyFont="1" applyAlignment="1">
      <alignment horizontal="center" vertical="center" wrapText="1"/>
    </xf>
    <xf numFmtId="0" fontId="36" fillId="0" borderId="0" xfId="0" applyFont="1" applyAlignment="1">
      <alignment horizontal="center" vertical="center" textRotation="90" wrapText="1"/>
    </xf>
    <xf numFmtId="0" fontId="36" fillId="0" borderId="36" xfId="0" applyFont="1" applyBorder="1" applyAlignment="1">
      <alignment horizontal="center" vertical="center" textRotation="90" wrapText="1"/>
    </xf>
    <xf numFmtId="0" fontId="1" fillId="0" borderId="0" xfId="0" applyFont="1" applyAlignment="1">
      <alignment horizontal="right" wrapText="1"/>
    </xf>
    <xf numFmtId="167" fontId="1" fillId="0" borderId="0" xfId="4" applyNumberFormat="1" applyFont="1" applyAlignment="1">
      <alignment horizontal="center" vertical="center" wrapText="1"/>
    </xf>
    <xf numFmtId="167" fontId="24" fillId="25" borderId="42" xfId="4" applyNumberFormat="1" applyFont="1" applyFill="1" applyBorder="1" applyAlignment="1">
      <alignment horizontal="center" vertical="center" wrapText="1"/>
    </xf>
    <xf numFmtId="167" fontId="24" fillId="25" borderId="49" xfId="4" applyNumberFormat="1" applyFont="1" applyFill="1" applyBorder="1" applyAlignment="1">
      <alignment horizontal="center" vertical="center" wrapText="1"/>
    </xf>
    <xf numFmtId="166" fontId="29" fillId="27" borderId="49" xfId="2" applyNumberFormat="1" applyFont="1" applyFill="1" applyBorder="1" applyAlignment="1">
      <alignment horizontal="center" vertical="center" wrapText="1"/>
    </xf>
  </cellXfs>
  <cellStyles count="8">
    <cellStyle name="Comma" xfId="4" builtinId="3"/>
    <cellStyle name="Comma [0]" xfId="6" builtinId="6"/>
    <cellStyle name="Comma 2" xfId="2" xr:uid="{5D38CDC1-E85E-41E9-9606-1CCEEB01D8F0}"/>
    <cellStyle name="Hyperlink" xfId="7" builtinId="8"/>
    <cellStyle name="Normal" xfId="0" builtinId="0"/>
    <cellStyle name="Normal 2" xfId="1" xr:uid="{302DEB05-DCF2-4BA3-83E1-73B661067522}"/>
    <cellStyle name="Percent" xfId="3" builtinId="5"/>
    <cellStyle name="Percent 2" xfId="5" xr:uid="{FD1A6169-9F19-48BF-8E96-E95C4B0D624C}"/>
  </cellStyles>
  <dxfs count="409">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color theme="0"/>
      </font>
      <fill>
        <patternFill>
          <bgColor rgb="FF628FA5"/>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 formatCode="0"/>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8"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8" formatCode="_ * #,##0.0_ ;_ * \-#,##0.0_ ;_ * &quot;-&quot;??_ ;_ @_ "/>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71" formatCode="_ * #,##0.000_ ;_ * \-#,##0.000_ ;_ * &quot;-&quot;??_ ;_ @_ "/>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ck">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right style="thick">
          <color indexed="64"/>
        </right>
        <top style="thin">
          <color indexed="64"/>
        </top>
        <bottom style="thin">
          <color indexed="64"/>
        </bottom>
        <vertical/>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66" formatCode="_-* #,##0_-;\-* #,##0_-;_-* &quot;-&quot;??_-;_-@_-"/>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i val="0"/>
        <strike val="0"/>
        <condense val="0"/>
        <extend val="0"/>
        <outline val="0"/>
        <shadow val="0"/>
        <u val="none"/>
        <vertAlign val="baseline"/>
        <sz val="10"/>
        <color rgb="FF000000"/>
        <name val="Arial"/>
        <family val="2"/>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5" formatCode="_ * #,##0.00_ ;_ * \-#,##0.0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numFmt numFmtId="167" formatCode="_ * #,##0_ ;_ * \-#,##0_ ;_ * &quot;-&quot;??_ ;_ @_ "/>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0" formatCode="General"/>
      <alignment horizontal="lef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right/>
        <top style="thin">
          <color indexed="64"/>
        </top>
        <bottom style="thin">
          <color indexed="64"/>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ill>
        <patternFill>
          <bgColor rgb="FF70BEDD"/>
        </patternFill>
      </fill>
    </dxf>
    <dxf>
      <fill>
        <patternFill>
          <bgColor rgb="FF0A9DD9"/>
        </patternFill>
      </fill>
    </dxf>
    <dxf>
      <fill>
        <patternFill>
          <bgColor rgb="FF066F9A"/>
        </patternFill>
      </fill>
    </dxf>
    <dxf>
      <fill>
        <patternFill>
          <bgColor rgb="FF044B66"/>
        </patternFill>
      </fill>
    </dxf>
    <dxf>
      <fill>
        <patternFill>
          <bgColor rgb="FFBDE5F1"/>
        </patternFill>
      </fill>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theme="9"/>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DF1154"/>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theme="9"/>
        <name val="Arial"/>
        <family val="2"/>
        <scheme val="none"/>
      </font>
      <numFmt numFmtId="166" formatCode="_-* #,##0_-;\-* #,##0_-;_-* &quot;-&quot;??_-;_-@_-"/>
      <alignment vertical="center" textRotation="0" wrapText="1" indent="0" justifyLastLine="0" shrinkToFit="0" readingOrder="0"/>
    </dxf>
    <dxf>
      <numFmt numFmtId="166" formatCode="_-* #,##0_-;\-* #,##0_-;_-* &quot;-&quot;??_-;_-@_-"/>
      <border diagonalUp="0" diagonalDown="0" outline="0">
        <left/>
        <right/>
        <top style="thin">
          <color rgb="FF000000"/>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 formatCode="0"/>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 formatCode="0"/>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9"/>
        <name val="Arial"/>
        <family val="2"/>
        <scheme val="none"/>
      </font>
      <numFmt numFmtId="167" formatCode="_ * #,##0_ ;_ * \-#,##0_ ;_ * &quot;-&quot;??_ ;_ @_ "/>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ck">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ck">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right"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Arial"/>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left style="medium">
          <color rgb="FF000000"/>
        </left>
        <right style="medium">
          <color rgb="FF000000"/>
        </right>
        <top style="thin">
          <color rgb="FF000000"/>
        </top>
        <bottom style="thin">
          <color rgb="FF000000"/>
        </bottom>
        <vertical/>
        <horizontal style="thin">
          <color rgb="FF000000"/>
        </horizontal>
      </border>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FF0000"/>
      </font>
      <fill>
        <patternFill patternType="none">
          <bgColor auto="1"/>
        </patternFill>
      </fill>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6" formatCode="_-* #,##0_-;\-* #,##0_-;_-* &quot;-&quot;??_-;_-@_-"/>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6" formatCode="_-* #,##0_-;\-* #,##0_-;_-* &quot;-&quot;??_-;_-@_-"/>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6" formatCode="_-* #,##0_-;\-* #,##0_-;_-* &quot;-&quot;??_-;_-@_-"/>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numFmt numFmtId="166" formatCode="_-* #,##0_-;\-* #,##0_-;_-* &quot;-&quot;??_-;_-@_-"/>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horizontal="left"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horizontal="right"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3" tint="0.79998168889431442"/>
        </patternFill>
      </fill>
      <alignment horizontal="right"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style="thick">
          <color indexed="64"/>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0"/>
        </patternFill>
      </fill>
      <alignment horizontal="general" vertical="center" textRotation="0" wrapText="1" indent="0" justifyLastLine="0" shrinkToFit="0" readingOrder="0"/>
      <border diagonalUp="0" diagonalDown="0" outline="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 formatCode="0"/>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ck">
          <color auto="1"/>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ck">
          <color auto="1"/>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ck">
          <color auto="1"/>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solid">
          <fgColor indexed="64"/>
          <bgColor theme="0"/>
        </patternFill>
      </fill>
      <alignment horizontal="general" vertical="center" textRotation="0" wrapText="1"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ck">
          <color auto="1"/>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3" tint="0.79998168889431442"/>
        </patternFill>
      </fill>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7" formatCode="_ * #,##0_ ;_ * \-#,##0_ ;_ * &quot;-&quot;??_ ;_ @_ "/>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7" formatCode="_ * #,##0_ ;_ * \-#,##0_ ;_ * &quot;-&quot;??_ ;_ @_ "/>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4" formatCode="0.00%"/>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3" formatCode="0%"/>
      <fill>
        <patternFill patternType="none">
          <fgColor indexed="64"/>
          <bgColor indexed="65"/>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border diagonalUp="0" diagonalDown="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166" formatCode="_-* #,##0_-;\-* #,##0_-;_-* &quot;-&quot;??_-;_-@_-"/>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3" formatCode="0%"/>
      <alignment horizontal="general"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auto="1"/>
        <name val="Arial"/>
        <family val="2"/>
        <scheme val="none"/>
      </font>
      <numFmt numFmtId="167" formatCode="_ * #,##0_ ;_ * \-#,##0_ ;_ * &quot;-&quot;??_ ;_ @_ "/>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center" vertical="center" textRotation="0" wrapText="1" indent="0" justifyLastLine="0" shrinkToFit="0" readingOrder="0"/>
      <border diagonalUp="0" diagonalDown="0">
        <left style="thick">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ck">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ck">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0" formatCode="General"/>
      <alignment horizontal="center" vertical="center" textRotation="0" wrapText="1" indent="0" justifyLastLine="0" shrinkToFit="0" readingOrder="0"/>
      <border diagonalUp="0" diagonalDown="0" outline="0">
        <left style="thick">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ck">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67" formatCode="_ * #,##0_ ;_ * \-#,##0_ ;_ * &quot;-&quot;??_ ;_ @_ "/>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fgColor indexed="64"/>
          <bgColor theme="3" tint="0.79998168889431442"/>
        </patternFill>
      </fill>
    </dxf>
    <dxf>
      <font>
        <b val="0"/>
        <i val="0"/>
        <strike val="0"/>
        <condense val="0"/>
        <extend val="0"/>
        <outline val="0"/>
        <shadow val="0"/>
        <u val="none"/>
        <vertAlign val="baseline"/>
        <sz val="10"/>
        <color rgb="FF000000"/>
        <name val="Arial"/>
        <family val="2"/>
        <scheme val="none"/>
      </font>
      <numFmt numFmtId="166" formatCode="_-* #,##0_-;\-* #,##0_-;_-* &quot;-&quot;??_-;_-@_-"/>
      <alignment vertical="center" textRotation="0" wrapText="1" indent="0" justifyLastLine="0" shrinkToFit="0" readingOrder="0"/>
    </dxf>
    <dxf>
      <font>
        <b/>
        <i val="0"/>
        <strike val="0"/>
        <condense val="0"/>
        <extend val="0"/>
        <outline val="0"/>
        <shadow val="0"/>
        <u val="none"/>
        <vertAlign val="baseline"/>
        <sz val="9"/>
        <color theme="0"/>
        <name val="Arial"/>
        <scheme val="none"/>
      </font>
      <numFmt numFmtId="166" formatCode="_-* #,##0_-;\-* #,##0_-;_-* &quot;-&quot;??_-;_-@_-"/>
      <fill>
        <patternFill patternType="solid">
          <fgColor indexed="64"/>
          <bgColor rgb="FF8FB6C9"/>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FF9999"/>
        </patternFill>
      </fill>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border>
    </dxf>
    <dxf>
      <border outline="0">
        <bottom style="thin">
          <color indexed="64"/>
        </bottom>
      </border>
    </dxf>
    <dxf>
      <border outline="0">
        <top style="thin">
          <color indexed="64"/>
        </top>
      </border>
    </dxf>
    <dxf>
      <font>
        <strike val="0"/>
        <outline val="0"/>
        <shadow val="0"/>
        <u val="none"/>
        <vertAlign val="baseline"/>
        <sz val="8"/>
        <name val="Arial"/>
        <family val="2"/>
        <scheme val="none"/>
      </font>
    </dxf>
    <dxf>
      <font>
        <b val="0"/>
        <strike val="0"/>
        <outline val="0"/>
        <shadow val="0"/>
        <u val="none"/>
        <vertAlign val="baseline"/>
        <sz val="8"/>
        <color auto="1"/>
        <name val="Arial"/>
        <family val="2"/>
        <scheme val="none"/>
      </font>
      <fill>
        <patternFill patternType="solid">
          <fgColor indexed="64"/>
          <bgColor theme="0" tint="-0.14999847407452621"/>
        </patternFill>
      </fill>
      <border diagonalUp="0" diagonalDown="0" outline="0">
        <left style="thin">
          <color indexed="64"/>
        </left>
        <right style="thin">
          <color indexed="64"/>
        </right>
        <top/>
        <bottom/>
      </border>
    </dxf>
    <dxf>
      <numFmt numFmtId="167" formatCode="_ * #,##0_ ;_ * \-#,##0_ ;_ * &quot;-&quot;??_ ;_ @_ "/>
    </dxf>
  </dxfs>
  <tableStyles count="0" defaultTableStyle="TableStyleMedium2" defaultPivotStyle="PivotStyleLight16"/>
  <colors>
    <mruColors>
      <color rgb="FFDF1154"/>
      <color rgb="FFBB0F46"/>
      <color rgb="FFFF9999"/>
      <color rgb="FFBDD7EE"/>
      <color rgb="FF628FA5"/>
      <color rgb="FF0D39C8"/>
      <color rgb="FFAD7BE9"/>
      <color rgb="FF5D903B"/>
      <color rgb="FFDC9100"/>
      <color rgb="FFFFAA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 Overall PiN of all units of analyses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6.6343815957912944E-2"/>
          <c:y val="0.11097642612245212"/>
          <c:w val="0.91309876290644332"/>
          <c:h val="0.7074031414349482"/>
        </c:manualLayout>
      </c:layout>
      <c:scatterChart>
        <c:scatterStyle val="smoothMarker"/>
        <c:varyColors val="0"/>
        <c:ser>
          <c:idx val="1"/>
          <c:order val="0"/>
          <c:tx>
            <c:strRef>
              <c:f>'PiN Visuals'!$B$5</c:f>
              <c:strCache>
                <c:ptCount val="1"/>
                <c:pt idx="0">
                  <c:v> Global_Population </c:v>
                </c:pt>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strRef>
              <c:f>'PiN Visuals'!$A$6:$A$77</c:f>
              <c:strCache>
                <c:ptCount val="4"/>
                <c:pt idx="0">
                  <c:v>5%</c:v>
                </c:pt>
                <c:pt idx="1">
                  <c:v>10%</c:v>
                </c:pt>
                <c:pt idx="2">
                  <c:v>15%</c:v>
                </c:pt>
                <c:pt idx="3">
                  <c:v>20%</c:v>
                </c:pt>
              </c:strCache>
            </c:strRef>
          </c:xVal>
          <c:yVal>
            <c:numRef>
              <c:f>'PiN Visuals'!$B$6:$B$77</c:f>
              <c:numCache>
                <c:formatCode>General</c:formatCode>
                <c:ptCount val="72"/>
                <c:pt idx="0">
                  <c:v>42</c:v>
                </c:pt>
                <c:pt idx="1">
                  <c:v>35</c:v>
                </c:pt>
                <c:pt idx="2">
                  <c:v>42</c:v>
                </c:pt>
                <c:pt idx="3">
                  <c:v>21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1-6380-477A-B4EC-4E1DFDC086E8}"/>
            </c:ext>
          </c:extLst>
        </c:ser>
        <c:ser>
          <c:idx val="2"/>
          <c:order val="1"/>
          <c:tx>
            <c:strRef>
              <c:f>'PiN Visuals'!$C$5</c:f>
              <c:strCache>
                <c:ptCount val="1"/>
                <c:pt idx="0">
                  <c:v> IDPs </c:v>
                </c:pt>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strRef>
              <c:f>'PiN Visuals'!$A$6:$A$77</c:f>
              <c:strCache>
                <c:ptCount val="4"/>
                <c:pt idx="0">
                  <c:v>5%</c:v>
                </c:pt>
                <c:pt idx="1">
                  <c:v>10%</c:v>
                </c:pt>
                <c:pt idx="2">
                  <c:v>15%</c:v>
                </c:pt>
                <c:pt idx="3">
                  <c:v>20%</c:v>
                </c:pt>
              </c:strCache>
            </c:strRef>
          </c:xVal>
          <c:yVal>
            <c:numRef>
              <c:f>'PiN Visuals'!$C$6:$C$77</c:f>
              <c:numCache>
                <c:formatCode>General</c:formatCode>
                <c:ptCount val="7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numCache>
            </c:numRef>
          </c:yVal>
          <c:smooth val="1"/>
          <c:extLst>
            <c:ext xmlns:c16="http://schemas.microsoft.com/office/drawing/2014/chart" uri="{C3380CC4-5D6E-409C-BE32-E72D297353CC}">
              <c16:uniqueId val="{00000002-6380-477A-B4EC-4E1DFDC086E8}"/>
            </c:ext>
          </c:extLst>
        </c:ser>
        <c:ser>
          <c:idx val="3"/>
          <c:order val="2"/>
          <c:tx>
            <c:strRef>
              <c:f>'PiN Visuals'!$D$5</c:f>
              <c:strCache>
                <c:ptCount val="1"/>
              </c:strCache>
              <c:extLst xmlns:c15="http://schemas.microsoft.com/office/drawing/2012/chart"/>
            </c:strRef>
          </c:tx>
          <c:spPr>
            <a:ln w="9525" cap="rnd">
              <a:solidFill>
                <a:schemeClr val="accent6">
                  <a:lumMod val="60000"/>
                </a:schemeClr>
              </a:solidFill>
              <a:round/>
            </a:ln>
            <a:effectLst/>
          </c:spPr>
          <c:marker>
            <c:symbol val="circle"/>
            <c:size val="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c:spPr>
          </c:marker>
          <c:xVal>
            <c:strRef>
              <c:f>'PiN Visuals'!$A$6:$A$77</c:f>
              <c:strCache>
                <c:ptCount val="4"/>
                <c:pt idx="0">
                  <c:v>5%</c:v>
                </c:pt>
                <c:pt idx="1">
                  <c:v>10%</c:v>
                </c:pt>
                <c:pt idx="2">
                  <c:v>15%</c:v>
                </c:pt>
                <c:pt idx="3">
                  <c:v>20%</c:v>
                </c:pt>
              </c:strCache>
            </c:strRef>
          </c:xVal>
          <c:yVal>
            <c:numRef>
              <c:f>'PiN Visuals'!$D$6:$D$16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6380-477A-B4EC-4E1DFDC086E8}"/>
            </c:ext>
          </c:extLst>
        </c:ser>
        <c:ser>
          <c:idx val="4"/>
          <c:order val="3"/>
          <c:tx>
            <c:strRef>
              <c:f>'PiN Visuals'!$E$5</c:f>
              <c:strCache>
                <c:ptCount val="1"/>
              </c:strCache>
              <c:extLst xmlns:c15="http://schemas.microsoft.com/office/drawing/2012/chart"/>
            </c:strRef>
          </c:tx>
          <c:spPr>
            <a:ln w="9525" cap="rnd">
              <a:solidFill>
                <a:schemeClr val="accent5">
                  <a:lumMod val="60000"/>
                </a:schemeClr>
              </a:solidFill>
              <a:round/>
            </a:ln>
            <a:effectLst/>
          </c:spPr>
          <c:marker>
            <c:symbol val="circle"/>
            <c:size val="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c:spPr>
          </c:marker>
          <c:xVal>
            <c:strRef>
              <c:f>'PiN Visuals'!$A$6:$A$77</c:f>
              <c:strCache>
                <c:ptCount val="4"/>
                <c:pt idx="0">
                  <c:v>5%</c:v>
                </c:pt>
                <c:pt idx="1">
                  <c:v>10%</c:v>
                </c:pt>
                <c:pt idx="2">
                  <c:v>15%</c:v>
                </c:pt>
                <c:pt idx="3">
                  <c:v>20%</c:v>
                </c:pt>
              </c:strCache>
            </c:strRef>
          </c:xVal>
          <c:yVal>
            <c:numRef>
              <c:f>'PiN Visuals'!$E$6:$E$16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6380-477A-B4EC-4E1DFDC086E8}"/>
            </c:ext>
          </c:extLst>
        </c:ser>
        <c:ser>
          <c:idx val="5"/>
          <c:order val="4"/>
          <c:tx>
            <c:strRef>
              <c:f>'PiN Visuals'!$F$5</c:f>
              <c:strCache>
                <c:ptCount val="1"/>
              </c:strCache>
              <c:extLst xmlns:c15="http://schemas.microsoft.com/office/drawing/2012/chart"/>
            </c:strRef>
          </c:tx>
          <c:spPr>
            <a:ln w="9525" cap="rnd">
              <a:solidFill>
                <a:schemeClr val="accent4">
                  <a:lumMod val="60000"/>
                </a:schemeClr>
              </a:solidFill>
              <a:round/>
            </a:ln>
            <a:effectLst/>
          </c:spPr>
          <c:marker>
            <c:symbol val="circle"/>
            <c:size val="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c:spPr>
          </c:marker>
          <c:xVal>
            <c:strRef>
              <c:f>'PiN Visuals'!$A$6:$A$77</c:f>
              <c:strCache>
                <c:ptCount val="4"/>
                <c:pt idx="0">
                  <c:v>5%</c:v>
                </c:pt>
                <c:pt idx="1">
                  <c:v>10%</c:v>
                </c:pt>
                <c:pt idx="2">
                  <c:v>15%</c:v>
                </c:pt>
                <c:pt idx="3">
                  <c:v>20%</c:v>
                </c:pt>
              </c:strCache>
            </c:strRef>
          </c:xVal>
          <c:yVal>
            <c:numRef>
              <c:f>'PiN Visuals'!$F$6:$F$16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5-6380-477A-B4EC-4E1DFDC086E8}"/>
            </c:ext>
          </c:extLst>
        </c:ser>
        <c:dLbls>
          <c:showLegendKey val="0"/>
          <c:showVal val="0"/>
          <c:showCatName val="0"/>
          <c:showSerName val="0"/>
          <c:showPercent val="0"/>
          <c:showBubbleSize val="0"/>
        </c:dLbls>
        <c:axId val="278040799"/>
        <c:axId val="278042463"/>
        <c:extLst/>
      </c:scatterChart>
      <c:valAx>
        <c:axId val="278040799"/>
        <c:scaling>
          <c:orientation val="minMax"/>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p>
            </c:rich>
          </c:tx>
          <c:layout>
            <c:manualLayout>
              <c:xMode val="edge"/>
              <c:yMode val="edge"/>
              <c:x val="0.49175580174378231"/>
              <c:y val="0.880219745811336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2463"/>
        <c:crosses val="autoZero"/>
        <c:crossBetween val="midCat"/>
      </c:valAx>
      <c:valAx>
        <c:axId val="278042463"/>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2780407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of PiN change between last year's HNO and this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manualLayout>
          <c:layoutTarget val="inner"/>
          <c:xMode val="edge"/>
          <c:yMode val="edge"/>
          <c:x val="4.0825232981477146E-2"/>
          <c:y val="0.11371445255421546"/>
          <c:w val="0.91332920504981796"/>
          <c:h val="0.66030240635594117"/>
        </c:manualLayout>
      </c:layout>
      <c:scatterChart>
        <c:scatterStyle val="smoothMarker"/>
        <c:varyColors val="0"/>
        <c:ser>
          <c:idx val="0"/>
          <c:order val="0"/>
          <c:tx>
            <c:strRef>
              <c:f>'PiN Visuals'!$I$5</c:f>
              <c:strCache>
                <c:ptCount val="1"/>
                <c:pt idx="0">
                  <c:v> Global_Population </c:v>
                </c:pt>
              </c:strCache>
            </c:strRef>
          </c:tx>
          <c:spPr>
            <a:ln w="9525" cap="rnd">
              <a:solidFill>
                <a:schemeClr val="accent1"/>
              </a:solid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'PiN Visuals'!$H$6:$H$31</c:f>
              <c:numCache>
                <c:formatCode>0%</c:formatCode>
                <c:ptCount val="26"/>
                <c:pt idx="0">
                  <c:v>-0.7</c:v>
                </c:pt>
                <c:pt idx="1">
                  <c:v>-0.6</c:v>
                </c:pt>
                <c:pt idx="2">
                  <c:v>-0.5</c:v>
                </c:pt>
                <c:pt idx="3">
                  <c:v>-0.4</c:v>
                </c:pt>
                <c:pt idx="4">
                  <c:v>-0.3</c:v>
                </c:pt>
                <c:pt idx="5">
                  <c:v>-0.2</c:v>
                </c:pt>
                <c:pt idx="6">
                  <c:v>-0.1</c:v>
                </c:pt>
                <c:pt idx="7">
                  <c:v>0</c:v>
                </c:pt>
                <c:pt idx="8">
                  <c:v>0.1</c:v>
                </c:pt>
                <c:pt idx="9">
                  <c:v>0.2</c:v>
                </c:pt>
                <c:pt idx="10">
                  <c:v>0.3</c:v>
                </c:pt>
                <c:pt idx="11">
                  <c:v>0.4</c:v>
                </c:pt>
                <c:pt idx="12">
                  <c:v>0.5</c:v>
                </c:pt>
                <c:pt idx="13">
                  <c:v>0.6</c:v>
                </c:pt>
                <c:pt idx="14">
                  <c:v>1.6</c:v>
                </c:pt>
              </c:numCache>
            </c:numRef>
          </c:xVal>
          <c:yVal>
            <c:numRef>
              <c:f>'PiN Visuals'!$I$6:$I$31</c:f>
              <c:numCache>
                <c:formatCode>General</c:formatCode>
                <c:ptCount val="26"/>
                <c:pt idx="0">
                  <c:v>1</c:v>
                </c:pt>
                <c:pt idx="1">
                  <c:v>4</c:v>
                </c:pt>
                <c:pt idx="2">
                  <c:v>7</c:v>
                </c:pt>
                <c:pt idx="3">
                  <c:v>2</c:v>
                </c:pt>
                <c:pt idx="4">
                  <c:v>27</c:v>
                </c:pt>
                <c:pt idx="5">
                  <c:v>27</c:v>
                </c:pt>
                <c:pt idx="6">
                  <c:v>3</c:v>
                </c:pt>
                <c:pt idx="7">
                  <c:v>1</c:v>
                </c:pt>
                <c:pt idx="8">
                  <c:v>16</c:v>
                </c:pt>
                <c:pt idx="9">
                  <c:v>20</c:v>
                </c:pt>
                <c:pt idx="10">
                  <c:v>1</c:v>
                </c:pt>
                <c:pt idx="11">
                  <c:v>4</c:v>
                </c:pt>
                <c:pt idx="12">
                  <c:v>14</c:v>
                </c:pt>
                <c:pt idx="13">
                  <c:v>10</c:v>
                </c:pt>
                <c:pt idx="14">
                  <c:v>1</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0-958B-4DE1-B8B7-29F662A9504D}"/>
            </c:ext>
          </c:extLst>
        </c:ser>
        <c:ser>
          <c:idx val="1"/>
          <c:order val="1"/>
          <c:tx>
            <c:strRef>
              <c:f>'PiN Visuals'!$J$5</c:f>
              <c:strCache>
                <c:ptCount val="1"/>
              </c:strCache>
            </c:strRef>
          </c:tx>
          <c:spPr>
            <a:ln w="9525" cap="rnd">
              <a:solidFill>
                <a:schemeClr val="accent2"/>
              </a:solid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'PiN Visuals'!$H$6:$H$31</c:f>
              <c:numCache>
                <c:formatCode>0%</c:formatCode>
                <c:ptCount val="26"/>
                <c:pt idx="0">
                  <c:v>-0.7</c:v>
                </c:pt>
                <c:pt idx="1">
                  <c:v>-0.6</c:v>
                </c:pt>
                <c:pt idx="2">
                  <c:v>-0.5</c:v>
                </c:pt>
                <c:pt idx="3">
                  <c:v>-0.4</c:v>
                </c:pt>
                <c:pt idx="4">
                  <c:v>-0.3</c:v>
                </c:pt>
                <c:pt idx="5">
                  <c:v>-0.2</c:v>
                </c:pt>
                <c:pt idx="6">
                  <c:v>-0.1</c:v>
                </c:pt>
                <c:pt idx="7">
                  <c:v>0</c:v>
                </c:pt>
                <c:pt idx="8">
                  <c:v>0.1</c:v>
                </c:pt>
                <c:pt idx="9">
                  <c:v>0.2</c:v>
                </c:pt>
                <c:pt idx="10">
                  <c:v>0.3</c:v>
                </c:pt>
                <c:pt idx="11">
                  <c:v>0.4</c:v>
                </c:pt>
                <c:pt idx="12">
                  <c:v>0.5</c:v>
                </c:pt>
                <c:pt idx="13">
                  <c:v>0.6</c:v>
                </c:pt>
                <c:pt idx="14">
                  <c:v>1.6</c:v>
                </c:pt>
              </c:numCache>
            </c:numRef>
          </c:xVal>
          <c:yVal>
            <c:numRef>
              <c:f>'PiN Visuals'!$J$6:$J$31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958B-4DE1-B8B7-29F662A9504D}"/>
            </c:ext>
          </c:extLst>
        </c:ser>
        <c:ser>
          <c:idx val="2"/>
          <c:order val="2"/>
          <c:tx>
            <c:strRef>
              <c:f>'PiN Visuals'!$K$5</c:f>
              <c:strCache>
                <c:ptCount val="1"/>
              </c:strCache>
            </c:strRef>
          </c:tx>
          <c:spPr>
            <a:ln w="9525" cap="rnd">
              <a:solidFill>
                <a:schemeClr val="accent3"/>
              </a:solidFill>
              <a:round/>
            </a:ln>
            <a:effectLst/>
          </c:spPr>
          <c:marker>
            <c:symbol val="circ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c:spPr>
          </c:marker>
          <c:xVal>
            <c:numRef>
              <c:f>'PiN Visuals'!$H$6:$H$31</c:f>
              <c:numCache>
                <c:formatCode>0%</c:formatCode>
                <c:ptCount val="26"/>
                <c:pt idx="0">
                  <c:v>-0.7</c:v>
                </c:pt>
                <c:pt idx="1">
                  <c:v>-0.6</c:v>
                </c:pt>
                <c:pt idx="2">
                  <c:v>-0.5</c:v>
                </c:pt>
                <c:pt idx="3">
                  <c:v>-0.4</c:v>
                </c:pt>
                <c:pt idx="4">
                  <c:v>-0.3</c:v>
                </c:pt>
                <c:pt idx="5">
                  <c:v>-0.2</c:v>
                </c:pt>
                <c:pt idx="6">
                  <c:v>-0.1</c:v>
                </c:pt>
                <c:pt idx="7">
                  <c:v>0</c:v>
                </c:pt>
                <c:pt idx="8">
                  <c:v>0.1</c:v>
                </c:pt>
                <c:pt idx="9">
                  <c:v>0.2</c:v>
                </c:pt>
                <c:pt idx="10">
                  <c:v>0.3</c:v>
                </c:pt>
                <c:pt idx="11">
                  <c:v>0.4</c:v>
                </c:pt>
                <c:pt idx="12">
                  <c:v>0.5</c:v>
                </c:pt>
                <c:pt idx="13">
                  <c:v>0.6</c:v>
                </c:pt>
                <c:pt idx="14">
                  <c:v>1.6</c:v>
                </c:pt>
              </c:numCache>
            </c:numRef>
          </c:xVal>
          <c:yVal>
            <c:numRef>
              <c:f>'PiN Visuals'!$K$6:$K$31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2-958B-4DE1-B8B7-29F662A9504D}"/>
            </c:ext>
          </c:extLst>
        </c:ser>
        <c:ser>
          <c:idx val="3"/>
          <c:order val="3"/>
          <c:tx>
            <c:strRef>
              <c:f>'PiN Visuals'!$L$5</c:f>
              <c:strCache>
                <c:ptCount val="1"/>
              </c:strCache>
            </c:strRef>
          </c:tx>
          <c:spPr>
            <a:ln w="9525" cap="rnd">
              <a:solidFill>
                <a:schemeClr val="accent4"/>
              </a:solidFill>
              <a:round/>
            </a:ln>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c:spPr>
          </c:marker>
          <c:xVal>
            <c:numRef>
              <c:f>'PiN Visuals'!$H$6:$H$31</c:f>
              <c:numCache>
                <c:formatCode>0%</c:formatCode>
                <c:ptCount val="26"/>
                <c:pt idx="0">
                  <c:v>-0.7</c:v>
                </c:pt>
                <c:pt idx="1">
                  <c:v>-0.6</c:v>
                </c:pt>
                <c:pt idx="2">
                  <c:v>-0.5</c:v>
                </c:pt>
                <c:pt idx="3">
                  <c:v>-0.4</c:v>
                </c:pt>
                <c:pt idx="4">
                  <c:v>-0.3</c:v>
                </c:pt>
                <c:pt idx="5">
                  <c:v>-0.2</c:v>
                </c:pt>
                <c:pt idx="6">
                  <c:v>-0.1</c:v>
                </c:pt>
                <c:pt idx="7">
                  <c:v>0</c:v>
                </c:pt>
                <c:pt idx="8">
                  <c:v>0.1</c:v>
                </c:pt>
                <c:pt idx="9">
                  <c:v>0.2</c:v>
                </c:pt>
                <c:pt idx="10">
                  <c:v>0.3</c:v>
                </c:pt>
                <c:pt idx="11">
                  <c:v>0.4</c:v>
                </c:pt>
                <c:pt idx="12">
                  <c:v>0.5</c:v>
                </c:pt>
                <c:pt idx="13">
                  <c:v>0.6</c:v>
                </c:pt>
                <c:pt idx="14">
                  <c:v>1.6</c:v>
                </c:pt>
              </c:numCache>
            </c:numRef>
          </c:xVal>
          <c:yVal>
            <c:numRef>
              <c:f>'PiN Visuals'!$L$6:$L$31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0-FB8F-4450-A049-7F64D1F1CAF5}"/>
            </c:ext>
          </c:extLst>
        </c:ser>
        <c:ser>
          <c:idx val="4"/>
          <c:order val="4"/>
          <c:tx>
            <c:strRef>
              <c:f>'PiN Visuals'!$M$5</c:f>
              <c:strCache>
                <c:ptCount val="1"/>
              </c:strCache>
            </c:strRef>
          </c:tx>
          <c:spPr>
            <a:ln w="9525" cap="rnd">
              <a:solidFill>
                <a:schemeClr val="accent5"/>
              </a:solidFill>
              <a:round/>
            </a:ln>
            <a:effectLst/>
          </c:spPr>
          <c:marker>
            <c:symbol val="circl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c:spPr>
          </c:marker>
          <c:xVal>
            <c:numRef>
              <c:f>'PiN Visuals'!$H$6:$H$31</c:f>
              <c:numCache>
                <c:formatCode>0%</c:formatCode>
                <c:ptCount val="26"/>
                <c:pt idx="0">
                  <c:v>-0.7</c:v>
                </c:pt>
                <c:pt idx="1">
                  <c:v>-0.6</c:v>
                </c:pt>
                <c:pt idx="2">
                  <c:v>-0.5</c:v>
                </c:pt>
                <c:pt idx="3">
                  <c:v>-0.4</c:v>
                </c:pt>
                <c:pt idx="4">
                  <c:v>-0.3</c:v>
                </c:pt>
                <c:pt idx="5">
                  <c:v>-0.2</c:v>
                </c:pt>
                <c:pt idx="6">
                  <c:v>-0.1</c:v>
                </c:pt>
                <c:pt idx="7">
                  <c:v>0</c:v>
                </c:pt>
                <c:pt idx="8">
                  <c:v>0.1</c:v>
                </c:pt>
                <c:pt idx="9">
                  <c:v>0.2</c:v>
                </c:pt>
                <c:pt idx="10">
                  <c:v>0.3</c:v>
                </c:pt>
                <c:pt idx="11">
                  <c:v>0.4</c:v>
                </c:pt>
                <c:pt idx="12">
                  <c:v>0.5</c:v>
                </c:pt>
                <c:pt idx="13">
                  <c:v>0.6</c:v>
                </c:pt>
                <c:pt idx="14">
                  <c:v>1.6</c:v>
                </c:pt>
              </c:numCache>
            </c:numRef>
          </c:xVal>
          <c:yVal>
            <c:numRef>
              <c:f>'PiN Visuals'!$M$6:$M$31</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1-FB8F-4450-A049-7F64D1F1CAF5}"/>
            </c:ext>
          </c:extLst>
        </c:ser>
        <c:dLbls>
          <c:showLegendKey val="0"/>
          <c:showVal val="0"/>
          <c:showCatName val="0"/>
          <c:showSerName val="0"/>
          <c:showPercent val="0"/>
          <c:showBubbleSize val="0"/>
        </c:dLbls>
        <c:axId val="354961231"/>
        <c:axId val="354960271"/>
      </c:scatterChart>
      <c:valAx>
        <c:axId val="354961231"/>
        <c:scaling>
          <c:orientation val="minMax"/>
          <c:max val="2"/>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PiN</a:t>
                </a:r>
                <a:r>
                  <a:rPr lang="en-GB" baseline="0"/>
                  <a:t> change</a:t>
                </a:r>
                <a:endParaRPr lang="en-GB"/>
              </a:p>
            </c:rich>
          </c:tx>
          <c:layout>
            <c:manualLayout>
              <c:xMode val="edge"/>
              <c:yMode val="edge"/>
              <c:x val="0.45259603888065963"/>
              <c:y val="0.8327206703935334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0271"/>
        <c:crosses val="autoZero"/>
        <c:crossBetween val="midCat"/>
      </c:valAx>
      <c:valAx>
        <c:axId val="354960271"/>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 of units</a:t>
                </a:r>
              </a:p>
            </c:rich>
          </c:tx>
          <c:layout>
            <c:manualLayout>
              <c:xMode val="edge"/>
              <c:yMode val="edge"/>
              <c:x val="1.1437909968337961E-2"/>
              <c:y val="0.4243389170024094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fr-FR"/>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54961231"/>
        <c:crosses val="autoZero"/>
        <c:crossBetween val="midCat"/>
      </c:valAx>
      <c:spPr>
        <a:noFill/>
        <a:ln>
          <a:noFill/>
        </a:ln>
        <a:effectLst/>
      </c:spPr>
    </c:plotArea>
    <c:legend>
      <c:legendPos val="b"/>
      <c:layout>
        <c:manualLayout>
          <c:xMode val="edge"/>
          <c:yMode val="edge"/>
          <c:x val="0.31439469332441627"/>
          <c:y val="0.92448160395998424"/>
          <c:w val="0.254165328848457"/>
          <c:h val="4.61541542809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'Preliminary results graph'!$A$7</c:f>
          <c:strCache>
            <c:ptCount val="1"/>
            <c:pt idx="0">
              <c:v>Total Sectoral and Overall PiN, from a total population of 11899555,000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0938683349512818"/>
          <c:y val="0.12633663366336634"/>
          <c:w val="0.87052184230395857"/>
          <c:h val="0.57051928814928732"/>
        </c:manualLayout>
      </c:layout>
      <c:barChart>
        <c:barDir val="col"/>
        <c:grouping val="clustered"/>
        <c:varyColors val="0"/>
        <c:ser>
          <c:idx val="0"/>
          <c:order val="0"/>
          <c:spPr>
            <a:solidFill>
              <a:schemeClr val="accent2"/>
            </a:solidFill>
            <a:ln>
              <a:noFill/>
            </a:ln>
            <a:effectLst/>
          </c:spPr>
          <c:invertIfNegative val="0"/>
          <c:cat>
            <c:strRef>
              <c:f>'Preliminary results graph'!$B$4:$N$4</c:f>
              <c:strCache>
                <c:ptCount val="9"/>
                <c:pt idx="0">
                  <c:v>Overall PiN</c:v>
                </c:pt>
                <c:pt idx="1">
                  <c:v>CCCM</c:v>
                </c:pt>
                <c:pt idx="2">
                  <c:v>Education</c:v>
                </c:pt>
                <c:pt idx="3">
                  <c:v>Nutrition</c:v>
                </c:pt>
                <c:pt idx="4">
                  <c:v>Food Security</c:v>
                </c:pt>
                <c:pt idx="5">
                  <c:v>Health</c:v>
                </c:pt>
                <c:pt idx="6">
                  <c:v>Protection</c:v>
                </c:pt>
                <c:pt idx="7">
                  <c:v>Shelter</c:v>
                </c:pt>
                <c:pt idx="8">
                  <c:v>WASH</c:v>
                </c:pt>
              </c:strCache>
            </c:strRef>
          </c:cat>
          <c:val>
            <c:numRef>
              <c:f>'Preliminary results graph'!$B$5:$N$5</c:f>
              <c:numCache>
                <c:formatCode>_ * #,##0_ ;_ * \-#,##0_ ;_ * "-"??_ ;_ @_ </c:formatCode>
                <c:ptCount val="13"/>
                <c:pt idx="0">
                  <c:v>7411517.3384052673</c:v>
                </c:pt>
                <c:pt idx="1">
                  <c:v>2118298.5</c:v>
                </c:pt>
                <c:pt idx="2">
                  <c:v>1493675</c:v>
                </c:pt>
                <c:pt idx="3">
                  <c:v>1225803</c:v>
                </c:pt>
                <c:pt idx="4">
                  <c:v>5910721</c:v>
                </c:pt>
                <c:pt idx="5">
                  <c:v>4860485.4511351846</c:v>
                </c:pt>
                <c:pt idx="6">
                  <c:v>2195025.5346403574</c:v>
                </c:pt>
                <c:pt idx="7">
                  <c:v>4240626</c:v>
                </c:pt>
                <c:pt idx="8">
                  <c:v>3530913.3268270758</c:v>
                </c:pt>
              </c:numCache>
            </c:numRef>
          </c:val>
          <c:extLst>
            <c:ext xmlns:c16="http://schemas.microsoft.com/office/drawing/2014/chart" uri="{C3380CC4-5D6E-409C-BE32-E72D297353CC}">
              <c16:uniqueId val="{00000000-3700-0149-90BD-58D70062A1A7}"/>
            </c:ext>
          </c:extLst>
        </c:ser>
        <c:dLbls>
          <c:showLegendKey val="0"/>
          <c:showVal val="0"/>
          <c:showCatName val="0"/>
          <c:showSerName val="0"/>
          <c:showPercent val="0"/>
          <c:showBubbleSize val="0"/>
        </c:dLbls>
        <c:gapWidth val="219"/>
        <c:overlap val="-27"/>
        <c:axId val="1113616592"/>
        <c:axId val="261902624"/>
      </c:barChart>
      <c:catAx>
        <c:axId val="111361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1902624"/>
        <c:crosses val="autoZero"/>
        <c:auto val="1"/>
        <c:lblAlgn val="ctr"/>
        <c:lblOffset val="100"/>
        <c:noMultiLvlLbl val="0"/>
      </c:catAx>
      <c:valAx>
        <c:axId val="2619026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13616592"/>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Frequency of units for Sectoral and Intersectoral Severity per severity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0"/>
          <c:tx>
            <c:v>1</c:v>
          </c:tx>
          <c:spPr>
            <a:solidFill>
              <a:schemeClr val="accent5">
                <a:lumMod val="20000"/>
                <a:lumOff val="8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Protection</c:v>
                </c:pt>
                <c:pt idx="7">
                  <c:v>Shelter</c:v>
                </c:pt>
                <c:pt idx="8">
                  <c:v>WASH</c:v>
                </c:pt>
              </c:strCache>
            </c:strRef>
          </c:cat>
          <c:val>
            <c:numRef>
              <c:f>'Preliminary results graph'!$V$11:$AI$11</c:f>
              <c:numCache>
                <c:formatCode>General</c:formatCode>
                <c:ptCount val="14"/>
                <c:pt idx="0">
                  <c:v>1</c:v>
                </c:pt>
                <c:pt idx="1">
                  <c:v>43</c:v>
                </c:pt>
                <c:pt idx="2">
                  <c:v>0</c:v>
                </c:pt>
                <c:pt idx="3">
                  <c:v>0</c:v>
                </c:pt>
                <c:pt idx="4">
                  <c:v>0</c:v>
                </c:pt>
                <c:pt idx="5">
                  <c:v>0</c:v>
                </c:pt>
                <c:pt idx="6">
                  <c:v>0</c:v>
                </c:pt>
                <c:pt idx="7">
                  <c:v>14</c:v>
                </c:pt>
                <c:pt idx="8">
                  <c:v>8</c:v>
                </c:pt>
              </c:numCache>
            </c:numRef>
          </c:val>
          <c:extLst>
            <c:ext xmlns:c16="http://schemas.microsoft.com/office/drawing/2014/chart" uri="{C3380CC4-5D6E-409C-BE32-E72D297353CC}">
              <c16:uniqueId val="{00000001-2410-E245-9BB0-E5D4ACCFBF52}"/>
            </c:ext>
          </c:extLst>
        </c:ser>
        <c:ser>
          <c:idx val="2"/>
          <c:order val="1"/>
          <c:tx>
            <c:v>2</c:v>
          </c:tx>
          <c:spPr>
            <a:solidFill>
              <a:schemeClr val="accent5">
                <a:lumMod val="40000"/>
                <a:lumOff val="6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Protection</c:v>
                </c:pt>
                <c:pt idx="7">
                  <c:v>Shelter</c:v>
                </c:pt>
                <c:pt idx="8">
                  <c:v>WASH</c:v>
                </c:pt>
              </c:strCache>
            </c:strRef>
          </c:cat>
          <c:val>
            <c:numRef>
              <c:f>'Preliminary results graph'!$V$12:$AI$12</c:f>
              <c:numCache>
                <c:formatCode>General</c:formatCode>
                <c:ptCount val="14"/>
                <c:pt idx="0">
                  <c:v>16</c:v>
                </c:pt>
                <c:pt idx="1">
                  <c:v>5</c:v>
                </c:pt>
                <c:pt idx="2">
                  <c:v>21</c:v>
                </c:pt>
                <c:pt idx="3">
                  <c:v>62</c:v>
                </c:pt>
                <c:pt idx="4">
                  <c:v>0</c:v>
                </c:pt>
                <c:pt idx="5">
                  <c:v>72</c:v>
                </c:pt>
                <c:pt idx="6">
                  <c:v>113</c:v>
                </c:pt>
                <c:pt idx="7">
                  <c:v>22</c:v>
                </c:pt>
                <c:pt idx="8">
                  <c:v>53</c:v>
                </c:pt>
              </c:numCache>
            </c:numRef>
          </c:val>
          <c:extLst>
            <c:ext xmlns:c16="http://schemas.microsoft.com/office/drawing/2014/chart" uri="{C3380CC4-5D6E-409C-BE32-E72D297353CC}">
              <c16:uniqueId val="{00000002-2410-E245-9BB0-E5D4ACCFBF52}"/>
            </c:ext>
          </c:extLst>
        </c:ser>
        <c:ser>
          <c:idx val="3"/>
          <c:order val="2"/>
          <c:tx>
            <c:v>3</c:v>
          </c:tx>
          <c:spPr>
            <a:solidFill>
              <a:schemeClr val="accent5">
                <a:lumMod val="60000"/>
                <a:lumOff val="4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Protection</c:v>
                </c:pt>
                <c:pt idx="7">
                  <c:v>Shelter</c:v>
                </c:pt>
                <c:pt idx="8">
                  <c:v>WASH</c:v>
                </c:pt>
              </c:strCache>
            </c:strRef>
          </c:cat>
          <c:val>
            <c:numRef>
              <c:f>'Preliminary results graph'!$V$13:$AI$13</c:f>
              <c:numCache>
                <c:formatCode>General</c:formatCode>
                <c:ptCount val="14"/>
                <c:pt idx="0">
                  <c:v>116</c:v>
                </c:pt>
                <c:pt idx="1">
                  <c:v>66</c:v>
                </c:pt>
                <c:pt idx="2">
                  <c:v>117</c:v>
                </c:pt>
                <c:pt idx="3">
                  <c:v>77</c:v>
                </c:pt>
                <c:pt idx="4">
                  <c:v>104</c:v>
                </c:pt>
                <c:pt idx="5">
                  <c:v>54</c:v>
                </c:pt>
                <c:pt idx="6">
                  <c:v>10</c:v>
                </c:pt>
                <c:pt idx="7">
                  <c:v>90</c:v>
                </c:pt>
                <c:pt idx="8">
                  <c:v>68</c:v>
                </c:pt>
              </c:numCache>
            </c:numRef>
          </c:val>
          <c:extLst>
            <c:ext xmlns:c16="http://schemas.microsoft.com/office/drawing/2014/chart" uri="{C3380CC4-5D6E-409C-BE32-E72D297353CC}">
              <c16:uniqueId val="{00000003-2410-E245-9BB0-E5D4ACCFBF52}"/>
            </c:ext>
          </c:extLst>
        </c:ser>
        <c:ser>
          <c:idx val="4"/>
          <c:order val="3"/>
          <c:tx>
            <c:v>4</c:v>
          </c:tx>
          <c:spPr>
            <a:solidFill>
              <a:schemeClr val="accent5">
                <a:lumMod val="75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Protection</c:v>
                </c:pt>
                <c:pt idx="7">
                  <c:v>Shelter</c:v>
                </c:pt>
                <c:pt idx="8">
                  <c:v>WASH</c:v>
                </c:pt>
              </c:strCache>
            </c:strRef>
          </c:cat>
          <c:val>
            <c:numRef>
              <c:f>'Preliminary results graph'!$V$14:$AI$14</c:f>
              <c:numCache>
                <c:formatCode>General</c:formatCode>
                <c:ptCount val="14"/>
                <c:pt idx="0">
                  <c:v>6</c:v>
                </c:pt>
                <c:pt idx="1">
                  <c:v>19</c:v>
                </c:pt>
                <c:pt idx="2">
                  <c:v>1</c:v>
                </c:pt>
                <c:pt idx="3">
                  <c:v>1</c:v>
                </c:pt>
                <c:pt idx="4">
                  <c:v>37</c:v>
                </c:pt>
                <c:pt idx="5">
                  <c:v>14</c:v>
                </c:pt>
                <c:pt idx="6">
                  <c:v>8</c:v>
                </c:pt>
                <c:pt idx="7">
                  <c:v>14</c:v>
                </c:pt>
                <c:pt idx="8">
                  <c:v>9</c:v>
                </c:pt>
              </c:numCache>
            </c:numRef>
          </c:val>
          <c:extLst>
            <c:ext xmlns:c16="http://schemas.microsoft.com/office/drawing/2014/chart" uri="{C3380CC4-5D6E-409C-BE32-E72D297353CC}">
              <c16:uniqueId val="{00000004-2410-E245-9BB0-E5D4ACCFBF52}"/>
            </c:ext>
          </c:extLst>
        </c:ser>
        <c:ser>
          <c:idx val="5"/>
          <c:order val="4"/>
          <c:tx>
            <c:v>5</c:v>
          </c:tx>
          <c:spPr>
            <a:solidFill>
              <a:schemeClr val="accent5">
                <a:lumMod val="50000"/>
              </a:schemeClr>
            </a:solidFill>
            <a:ln>
              <a:noFill/>
            </a:ln>
            <a:effectLst/>
          </c:spPr>
          <c:invertIfNegative val="0"/>
          <c:cat>
            <c:strRef>
              <c:f>'Preliminary results graph'!$V$10:$AJ$10</c:f>
              <c:strCache>
                <c:ptCount val="9"/>
                <c:pt idx="0">
                  <c:v>Intersectoral Severity</c:v>
                </c:pt>
                <c:pt idx="1">
                  <c:v>CCCM</c:v>
                </c:pt>
                <c:pt idx="2">
                  <c:v>Education</c:v>
                </c:pt>
                <c:pt idx="3">
                  <c:v>Nutrition</c:v>
                </c:pt>
                <c:pt idx="4">
                  <c:v>Food Security</c:v>
                </c:pt>
                <c:pt idx="5">
                  <c:v>Health</c:v>
                </c:pt>
                <c:pt idx="6">
                  <c:v>Protection</c:v>
                </c:pt>
                <c:pt idx="7">
                  <c:v>Shelter</c:v>
                </c:pt>
                <c:pt idx="8">
                  <c:v>WASH</c:v>
                </c:pt>
              </c:strCache>
            </c:strRef>
          </c:cat>
          <c:val>
            <c:numRef>
              <c:f>'Preliminary results graph'!$V$15:$AI$15</c:f>
              <c:numCache>
                <c:formatCode>General</c:formatCode>
                <c:ptCount val="14"/>
                <c:pt idx="0">
                  <c:v>2</c:v>
                </c:pt>
                <c:pt idx="1">
                  <c:v>3</c:v>
                </c:pt>
                <c:pt idx="2">
                  <c:v>1</c:v>
                </c:pt>
                <c:pt idx="3">
                  <c:v>0</c:v>
                </c:pt>
                <c:pt idx="4">
                  <c:v>0</c:v>
                </c:pt>
                <c:pt idx="5">
                  <c:v>0</c:v>
                </c:pt>
                <c:pt idx="6">
                  <c:v>9</c:v>
                </c:pt>
                <c:pt idx="7">
                  <c:v>0</c:v>
                </c:pt>
                <c:pt idx="8">
                  <c:v>2</c:v>
                </c:pt>
              </c:numCache>
            </c:numRef>
          </c:val>
          <c:extLst>
            <c:ext xmlns:c16="http://schemas.microsoft.com/office/drawing/2014/chart" uri="{C3380CC4-5D6E-409C-BE32-E72D297353CC}">
              <c16:uniqueId val="{00000000-0CCB-4100-BB53-AB6C020F6BCA}"/>
            </c:ext>
          </c:extLst>
        </c:ser>
        <c:dLbls>
          <c:showLegendKey val="0"/>
          <c:showVal val="0"/>
          <c:showCatName val="0"/>
          <c:showSerName val="0"/>
          <c:showPercent val="0"/>
          <c:showBubbleSize val="0"/>
        </c:dLbls>
        <c:gapWidth val="219"/>
        <c:overlap val="-27"/>
        <c:axId val="1629549456"/>
        <c:axId val="1629551184"/>
      </c:barChart>
      <c:catAx>
        <c:axId val="162954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51184"/>
        <c:crosses val="autoZero"/>
        <c:auto val="1"/>
        <c:lblAlgn val="ctr"/>
        <c:lblOffset val="100"/>
        <c:noMultiLvlLbl val="0"/>
      </c:catAx>
      <c:valAx>
        <c:axId val="162955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layout>
            <c:manualLayout>
              <c:xMode val="edge"/>
              <c:yMode val="edge"/>
              <c:x val="8.21917808219178E-3"/>
              <c:y val="0.378213889545561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29549456"/>
        <c:crosses val="autoZero"/>
        <c:crossBetween val="between"/>
      </c:valAx>
      <c:spPr>
        <a:noFill/>
        <a:ln>
          <a:noFill/>
        </a:ln>
        <a:effectLst/>
      </c:spPr>
    </c:plotArea>
    <c:legend>
      <c:legendPos val="b"/>
      <c:layout>
        <c:manualLayout>
          <c:xMode val="edge"/>
          <c:yMode val="edge"/>
          <c:x val="0.48221385826771651"/>
          <c:y val="0.93331381498790711"/>
          <c:w val="0.16709828148966019"/>
          <c:h val="6.6686245300418528E-2"/>
        </c:manualLayout>
      </c:layout>
      <c:overlay val="0"/>
      <c:spPr>
        <a:solidFill>
          <a:schemeClr val="lt1"/>
        </a:solidFill>
        <a:ln w="12700" cap="flat" cmpd="sng" algn="ctr">
          <a:solidFill>
            <a:schemeClr val="dk1"/>
          </a:solidFill>
          <a:prstDash val="solid"/>
          <a:miter lim="800000"/>
        </a:ln>
        <a:effectLst>
          <a:outerShdw algn="ctr" rotWithShape="0">
            <a:srgbClr val="000000"/>
          </a:outerShdw>
          <a:softEdge rad="0"/>
        </a:effectLst>
      </c:spPr>
      <c:txPr>
        <a:bodyPr rot="0" spcFirstLastPara="1" vertOverflow="ellipsis" vert="horz" wrap="square" anchor="ctr" anchorCtr="1"/>
        <a:lstStyle/>
        <a:p>
          <a:pPr>
            <a:defRPr sz="1200" b="0" i="0" u="none" strike="noStrike" kern="1200" baseline="0">
              <a:ln>
                <a:noFill/>
              </a:ln>
              <a:solidFill>
                <a:schemeClr val="dk1"/>
              </a:solidFill>
              <a:latin typeface="+mn-lt"/>
              <a:ea typeface="+mn-ea"/>
              <a:cs typeface="+mn-cs"/>
            </a:defRPr>
          </a:pPr>
          <a:endParaRPr lang="fr-F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is the driver for PiN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graph'!$C$26:$J$26</c:f>
              <c:strCache>
                <c:ptCount val="8"/>
                <c:pt idx="0">
                  <c:v>CCCM</c:v>
                </c:pt>
                <c:pt idx="1">
                  <c:v>Education</c:v>
                </c:pt>
                <c:pt idx="2">
                  <c:v>Nutrition</c:v>
                </c:pt>
                <c:pt idx="3">
                  <c:v>Food Security</c:v>
                </c:pt>
                <c:pt idx="4">
                  <c:v>Health</c:v>
                </c:pt>
                <c:pt idx="5">
                  <c:v>Protection</c:v>
                </c:pt>
                <c:pt idx="6">
                  <c:v>Shelter</c:v>
                </c:pt>
                <c:pt idx="7">
                  <c:v>WASH</c:v>
                </c:pt>
              </c:strCache>
            </c:strRef>
          </c:cat>
          <c:val>
            <c:numRef>
              <c:f>'Preliminary results graph'!$C$27:$J$27</c:f>
              <c:numCache>
                <c:formatCode>General</c:formatCode>
                <c:ptCount val="8"/>
                <c:pt idx="0">
                  <c:v>0</c:v>
                </c:pt>
                <c:pt idx="1">
                  <c:v>0</c:v>
                </c:pt>
                <c:pt idx="2">
                  <c:v>0</c:v>
                </c:pt>
                <c:pt idx="3">
                  <c:v>76</c:v>
                </c:pt>
                <c:pt idx="4">
                  <c:v>18</c:v>
                </c:pt>
                <c:pt idx="5">
                  <c:v>1</c:v>
                </c:pt>
                <c:pt idx="6">
                  <c:v>28</c:v>
                </c:pt>
                <c:pt idx="7">
                  <c:v>18</c:v>
                </c:pt>
              </c:numCache>
            </c:numRef>
          </c:val>
          <c:extLst>
            <c:ext xmlns:c16="http://schemas.microsoft.com/office/drawing/2014/chart" uri="{C3380CC4-5D6E-409C-BE32-E72D297353CC}">
              <c16:uniqueId val="{00000000-3652-4BDA-A750-A2E73AF19B9C}"/>
            </c:ext>
          </c:extLst>
        </c:ser>
        <c:dLbls>
          <c:showLegendKey val="0"/>
          <c:showVal val="0"/>
          <c:showCatName val="0"/>
          <c:showSerName val="0"/>
          <c:showPercent val="0"/>
          <c:showBubbleSize val="0"/>
        </c:dLbls>
        <c:gapWidth val="219"/>
        <c:overlap val="-27"/>
        <c:axId val="756465080"/>
        <c:axId val="756458848"/>
      </c:barChart>
      <c:catAx>
        <c:axId val="756465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58848"/>
        <c:crosses val="autoZero"/>
        <c:auto val="1"/>
        <c:lblAlgn val="ctr"/>
        <c:lblOffset val="100"/>
        <c:noMultiLvlLbl val="0"/>
      </c:catAx>
      <c:valAx>
        <c:axId val="756458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56465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units each sector has the highest severity phase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'Preliminary results graph'!$U$26:$AB$26</c:f>
              <c:strCache>
                <c:ptCount val="8"/>
                <c:pt idx="0">
                  <c:v>CCCM</c:v>
                </c:pt>
                <c:pt idx="1">
                  <c:v>Education</c:v>
                </c:pt>
                <c:pt idx="2">
                  <c:v>Nutrition</c:v>
                </c:pt>
                <c:pt idx="3">
                  <c:v>Food Security</c:v>
                </c:pt>
                <c:pt idx="4">
                  <c:v>Health</c:v>
                </c:pt>
                <c:pt idx="5">
                  <c:v>Protection</c:v>
                </c:pt>
                <c:pt idx="6">
                  <c:v>Shelter</c:v>
                </c:pt>
                <c:pt idx="7">
                  <c:v>WASH</c:v>
                </c:pt>
              </c:strCache>
            </c:strRef>
          </c:cat>
          <c:val>
            <c:numRef>
              <c:f>'Preliminary results graph'!$U$27:$AB$27</c:f>
              <c:numCache>
                <c:formatCode>General</c:formatCode>
                <c:ptCount val="8"/>
                <c:pt idx="0">
                  <c:v>69</c:v>
                </c:pt>
                <c:pt idx="1">
                  <c:v>65</c:v>
                </c:pt>
                <c:pt idx="2">
                  <c:v>40</c:v>
                </c:pt>
                <c:pt idx="3">
                  <c:v>114</c:v>
                </c:pt>
                <c:pt idx="4">
                  <c:v>34</c:v>
                </c:pt>
                <c:pt idx="5">
                  <c:v>20</c:v>
                </c:pt>
                <c:pt idx="6">
                  <c:v>68</c:v>
                </c:pt>
                <c:pt idx="7">
                  <c:v>45</c:v>
                </c:pt>
              </c:numCache>
            </c:numRef>
          </c:val>
          <c:extLst>
            <c:ext xmlns:c16="http://schemas.microsoft.com/office/drawing/2014/chart" uri="{C3380CC4-5D6E-409C-BE32-E72D297353CC}">
              <c16:uniqueId val="{00000000-5539-4294-958A-FA04950A98E4}"/>
            </c:ext>
          </c:extLst>
        </c:ser>
        <c:dLbls>
          <c:showLegendKey val="0"/>
          <c:showVal val="0"/>
          <c:showCatName val="0"/>
          <c:showSerName val="0"/>
          <c:showPercent val="0"/>
          <c:showBubbleSize val="0"/>
        </c:dLbls>
        <c:gapWidth val="219"/>
        <c:overlap val="-27"/>
        <c:axId val="762467096"/>
        <c:axId val="762473984"/>
      </c:barChart>
      <c:catAx>
        <c:axId val="762467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73984"/>
        <c:crosses val="autoZero"/>
        <c:auto val="1"/>
        <c:lblAlgn val="ctr"/>
        <c:lblOffset val="100"/>
        <c:noMultiLvlLbl val="0"/>
      </c:catAx>
      <c:valAx>
        <c:axId val="76247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units</a:t>
                </a:r>
                <a:r>
                  <a:rPr lang="en-US" sz="1000" b="0" i="0" u="none" strike="noStrike" baseline="0"/>
                  <a:t> </a:t>
                </a:r>
                <a:endParaRPr lang="en-US"/>
              </a:p>
            </c:rich>
          </c:tx>
          <c:layout>
            <c:manualLayout>
              <c:xMode val="edge"/>
              <c:yMode val="edge"/>
              <c:x val="1.4007440487679518E-2"/>
              <c:y val="0.416317755512774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62467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487018</xdr:colOff>
      <xdr:row>16</xdr:row>
      <xdr:rowOff>6627</xdr:rowOff>
    </xdr:from>
    <xdr:to>
      <xdr:col>12</xdr:col>
      <xdr:colOff>325107</xdr:colOff>
      <xdr:row>17</xdr:row>
      <xdr:rowOff>116529</xdr:rowOff>
    </xdr:to>
    <xdr:pic>
      <xdr:nvPicPr>
        <xdr:cNvPr id="2" name="Picture 1">
          <a:extLst>
            <a:ext uri="{FF2B5EF4-FFF2-40B4-BE49-F238E27FC236}">
              <a16:creationId xmlns:a16="http://schemas.microsoft.com/office/drawing/2014/main" id="{A197C327-93F3-ABB6-4E90-6B63E2F97B2A}"/>
            </a:ext>
          </a:extLst>
        </xdr:cNvPr>
        <xdr:cNvPicPr>
          <a:picLocks noChangeAspect="1"/>
        </xdr:cNvPicPr>
      </xdr:nvPicPr>
      <xdr:blipFill>
        <a:blip xmlns:r="http://schemas.openxmlformats.org/officeDocument/2006/relationships" r:embed="rId1"/>
        <a:stretch>
          <a:fillRect/>
        </a:stretch>
      </xdr:blipFill>
      <xdr:spPr>
        <a:xfrm>
          <a:off x="9949070" y="7752523"/>
          <a:ext cx="6132872" cy="1561015"/>
        </a:xfrm>
        <a:prstGeom prst="rect">
          <a:avLst/>
        </a:prstGeom>
      </xdr:spPr>
    </xdr:pic>
    <xdr:clientData/>
  </xdr:twoCellAnchor>
  <xdr:twoCellAnchor>
    <xdr:from>
      <xdr:col>1</xdr:col>
      <xdr:colOff>7431158</xdr:colOff>
      <xdr:row>16</xdr:row>
      <xdr:rowOff>271668</xdr:rowOff>
    </xdr:from>
    <xdr:to>
      <xdr:col>2</xdr:col>
      <xdr:colOff>311427</xdr:colOff>
      <xdr:row>16</xdr:row>
      <xdr:rowOff>543338</xdr:rowOff>
    </xdr:to>
    <xdr:sp macro="" textlink="">
      <xdr:nvSpPr>
        <xdr:cNvPr id="3" name="Arrow: Right 2">
          <a:extLst>
            <a:ext uri="{FF2B5EF4-FFF2-40B4-BE49-F238E27FC236}">
              <a16:creationId xmlns:a16="http://schemas.microsoft.com/office/drawing/2014/main" id="{4DC80B5F-D4E2-2325-9431-2D914024FC63}"/>
            </a:ext>
          </a:extLst>
        </xdr:cNvPr>
        <xdr:cNvSpPr/>
      </xdr:nvSpPr>
      <xdr:spPr>
        <a:xfrm>
          <a:off x="9064488" y="8017564"/>
          <a:ext cx="708991" cy="27167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436562</xdr:colOff>
      <xdr:row>3</xdr:row>
      <xdr:rowOff>19051</xdr:rowOff>
    </xdr:from>
    <xdr:to>
      <xdr:col>25</xdr:col>
      <xdr:colOff>76200</xdr:colOff>
      <xdr:row>26</xdr:row>
      <xdr:rowOff>85726</xdr:rowOff>
    </xdr:to>
    <xdr:graphicFrame macro="">
      <xdr:nvGraphicFramePr>
        <xdr:cNvPr id="17" name="Chart 7">
          <a:extLst>
            <a:ext uri="{FF2B5EF4-FFF2-40B4-BE49-F238E27FC236}">
              <a16:creationId xmlns:a16="http://schemas.microsoft.com/office/drawing/2014/main" i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495300</xdr:colOff>
      <xdr:row>2</xdr:row>
      <xdr:rowOff>280985</xdr:rowOff>
    </xdr:from>
    <xdr:to>
      <xdr:col>40</xdr:col>
      <xdr:colOff>76200</xdr:colOff>
      <xdr:row>26</xdr:row>
      <xdr:rowOff>85724</xdr:rowOff>
    </xdr:to>
    <xdr:graphicFrame macro="">
      <xdr:nvGraphicFramePr>
        <xdr:cNvPr id="2" name="Chart 1">
          <a:extLst>
            <a:ext uri="{FF2B5EF4-FFF2-40B4-BE49-F238E27FC236}">
              <a16:creationId xmlns:a16="http://schemas.microsoft.com/office/drawing/2014/main" id="{1E061ACB-6B44-AF8A-704E-BE6D337B88FE}"/>
            </a:ext>
            <a:ext uri="{147F2762-F138-4A5C-976F-8EAC2B608ADB}">
              <a16:predDERef xmlns:a16="http://schemas.microsoft.com/office/drawing/2014/main" pred="{D73B1969-C870-5C90-1254-E842B28FF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5557</xdr:colOff>
          <xdr:row>0</xdr:row>
          <xdr:rowOff>0</xdr:rowOff>
        </xdr:from>
        <xdr:to>
          <xdr:col>38</xdr:col>
          <xdr:colOff>94264</xdr:colOff>
          <xdr:row>17</xdr:row>
          <xdr:rowOff>20108</xdr:rowOff>
        </xdr:to>
        <xdr:pic>
          <xdr:nvPicPr>
            <xdr:cNvPr id="4" name="Picture 3">
              <a:extLst>
                <a:ext uri="{FF2B5EF4-FFF2-40B4-BE49-F238E27FC236}">
                  <a16:creationId xmlns:a16="http://schemas.microsoft.com/office/drawing/2014/main" id="{AA7CC10E-8764-7033-017D-1E99CACFA49A}"/>
                </a:ext>
              </a:extLst>
            </xdr:cNvPr>
            <xdr:cNvPicPr>
              <a:picLocks noChangeAspect="1" noChangeArrowheads="1"/>
              <a:extLst>
                <a:ext uri="{84589F7E-364E-4C9E-8A38-B11213B215E9}">
                  <a14:cameraTool cellRange="$A$1:$O$17" spid="_x0000_s15771"/>
                </a:ext>
              </a:extLst>
            </xdr:cNvPicPr>
          </xdr:nvPicPr>
          <xdr:blipFill>
            <a:blip xmlns:r="http://schemas.openxmlformats.org/officeDocument/2006/relationships" r:embed="rId1"/>
            <a:srcRect/>
            <a:stretch>
              <a:fillRect/>
            </a:stretch>
          </xdr:blipFill>
          <xdr:spPr bwMode="auto">
            <a:xfrm>
              <a:off x="9926951" y="0"/>
              <a:ext cx="6661919" cy="366077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19</xdr:col>
      <xdr:colOff>53205</xdr:colOff>
      <xdr:row>0</xdr:row>
      <xdr:rowOff>0</xdr:rowOff>
    </xdr:from>
    <xdr:to>
      <xdr:col>55</xdr:col>
      <xdr:colOff>769</xdr:colOff>
      <xdr:row>20</xdr:row>
      <xdr:rowOff>0</xdr:rowOff>
    </xdr:to>
    <xdr:pic>
      <xdr:nvPicPr>
        <xdr:cNvPr id="4" name="Picture 3">
          <a:extLst>
            <a:ext uri="{FF2B5EF4-FFF2-40B4-BE49-F238E27FC236}">
              <a16:creationId xmlns:a16="http://schemas.microsoft.com/office/drawing/2014/main" id="{D31A794D-ACE9-B294-D3BA-06DC3EEA0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76228" y="0"/>
          <a:ext cx="10322982" cy="409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34925</xdr:rowOff>
    </xdr:from>
    <xdr:to>
      <xdr:col>17</xdr:col>
      <xdr:colOff>571500</xdr:colOff>
      <xdr:row>18</xdr:row>
      <xdr:rowOff>133350</xdr:rowOff>
    </xdr:to>
    <xdr:graphicFrame macro="">
      <xdr:nvGraphicFramePr>
        <xdr:cNvPr id="26" name="Chart 5">
          <a:extLst>
            <a:ext uri="{FF2B5EF4-FFF2-40B4-BE49-F238E27FC236}">
              <a16:creationId xmlns:a16="http://schemas.microsoft.com/office/drawing/2014/main" i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596899</xdr:colOff>
      <xdr:row>0</xdr:row>
      <xdr:rowOff>47625</xdr:rowOff>
    </xdr:from>
    <xdr:to>
      <xdr:col>36</xdr:col>
      <xdr:colOff>428624</xdr:colOff>
      <xdr:row>18</xdr:row>
      <xdr:rowOff>142875</xdr:rowOff>
    </xdr:to>
    <xdr:graphicFrame macro="">
      <xdr:nvGraphicFramePr>
        <xdr:cNvPr id="78" name="Chart 1">
          <a:extLst>
            <a:ext uri="{FF2B5EF4-FFF2-40B4-BE49-F238E27FC236}">
              <a16:creationId xmlns:a16="http://schemas.microsoft.com/office/drawing/2014/main" id="{433B0AA5-E000-C738-5866-D00020D385BF}"/>
            </a:ext>
            <a:ext uri="{147F2762-F138-4A5C-976F-8EAC2B608ADB}">
              <a16:predDERef xmlns:a16="http://schemas.microsoft.com/office/drawing/2014/main" pred="{A43B19F8-5C5E-0FA5-0B72-79A9BF4E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18</xdr:row>
      <xdr:rowOff>157162</xdr:rowOff>
    </xdr:from>
    <xdr:to>
      <xdr:col>17</xdr:col>
      <xdr:colOff>561975</xdr:colOff>
      <xdr:row>35</xdr:row>
      <xdr:rowOff>57150</xdr:rowOff>
    </xdr:to>
    <xdr:graphicFrame macro="">
      <xdr:nvGraphicFramePr>
        <xdr:cNvPr id="4" name="Chart 3">
          <a:extLst>
            <a:ext uri="{FF2B5EF4-FFF2-40B4-BE49-F238E27FC236}">
              <a16:creationId xmlns:a16="http://schemas.microsoft.com/office/drawing/2014/main" id="{FA557E21-025F-6321-980B-59FC0549699B}"/>
            </a:ext>
            <a:ext uri="{147F2762-F138-4A5C-976F-8EAC2B608ADB}">
              <a16:predDERef xmlns:a16="http://schemas.microsoft.com/office/drawing/2014/main" pred="{433B0AA5-E000-C738-5866-D00020D38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576261</xdr:colOff>
      <xdr:row>18</xdr:row>
      <xdr:rowOff>176211</xdr:rowOff>
    </xdr:from>
    <xdr:to>
      <xdr:col>36</xdr:col>
      <xdr:colOff>390524</xdr:colOff>
      <xdr:row>35</xdr:row>
      <xdr:rowOff>47624</xdr:rowOff>
    </xdr:to>
    <xdr:graphicFrame macro="">
      <xdr:nvGraphicFramePr>
        <xdr:cNvPr id="72" name="Chart 4">
          <a:extLst>
            <a:ext uri="{FF2B5EF4-FFF2-40B4-BE49-F238E27FC236}">
              <a16:creationId xmlns:a16="http://schemas.microsoft.com/office/drawing/2014/main" id="{C52AC021-AB76-5490-8FAD-151F828F56C9}"/>
            </a:ext>
            <a:ext uri="{147F2762-F138-4A5C-976F-8EAC2B608ADB}">
              <a16:predDERef xmlns:a16="http://schemas.microsoft.com/office/drawing/2014/main" pred="{FA557E21-025F-6321-980B-59FC05496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 refreshedDate="46007.469882291669" createdVersion="8" refreshedVersion="8" minRefreshableVersion="3" recordCount="141" xr:uid="{B31819C8-4040-40D1-8EFB-A248EC3F3F15}">
  <cacheSource type="worksheet">
    <worksheetSource name="tblPiNAnalysis"/>
  </cacheSource>
  <cacheFields count="67">
    <cacheField name="ID" numFmtId="167">
      <sharedItems/>
    </cacheField>
    <cacheField name="Admin 1" numFmtId="0">
      <sharedItems/>
    </cacheField>
    <cacheField name="Admin 1 P-Code" numFmtId="0">
      <sharedItems/>
    </cacheField>
    <cacheField name="Admin 2" numFmtId="0">
      <sharedItems/>
    </cacheField>
    <cacheField name="Admin 2 P-Code" numFmtId="0">
      <sharedItems/>
    </cacheField>
    <cacheField name="Admin 3" numFmtId="0">
      <sharedItems containsNonDate="0" containsString="0" containsBlank="1"/>
    </cacheField>
    <cacheField name="Admin 3 P-Code" numFmtId="0">
      <sharedItems containsNonDate="0" containsString="0" containsBlank="1"/>
    </cacheField>
    <cacheField name="Pocket of need" numFmtId="0">
      <sharedItems containsBlank="1"/>
    </cacheField>
    <cacheField name="Population" numFmtId="167">
      <sharedItems containsString="0" containsBlank="1" containsNumber="1" containsInteger="1" minValue="3987" maxValue="926906"/>
    </cacheField>
    <cacheField name="Population Group" numFmtId="167">
      <sharedItems/>
    </cacheField>
    <cacheField name="CCCM" numFmtId="167">
      <sharedItems containsString="0" containsBlank="1" containsNumber="1" minValue="0" maxValue="245716.5"/>
    </cacheField>
    <cacheField name="Education" numFmtId="167">
      <sharedItems containsString="0" containsBlank="1" containsNumber="1" containsInteger="1" minValue="279" maxValue="120467"/>
    </cacheField>
    <cacheField name="Nutrition" numFmtId="167">
      <sharedItems containsString="0" containsBlank="1" containsNumber="1" containsInteger="1" minValue="721" maxValue="118634"/>
    </cacheField>
    <cacheField name="Food Security" numFmtId="167">
      <sharedItems containsSemiMixedTypes="0" containsString="0" containsNumber="1" containsInteger="1" minValue="3651" maxValue="353355"/>
    </cacheField>
    <cacheField name="Health" numFmtId="167">
      <sharedItems containsString="0" containsBlank="1" containsNumber="1" minValue="169.32927609335309" maxValue="765508.09164724161"/>
    </cacheField>
    <cacheField name="Protection" numFmtId="167">
      <sharedItems containsString="0" containsBlank="1" containsNumber="1" minValue="141.18" maxValue="271807.01666666666"/>
    </cacheField>
    <cacheField name="Shelter" numFmtId="167">
      <sharedItems containsString="0" containsBlank="1" containsNumber="1" containsInteger="1" minValue="0" maxValue="215855"/>
    </cacheField>
    <cacheField name="WASH" numFmtId="167">
      <sharedItems containsString="0" containsBlank="1" containsNumber="1" minValue="100" maxValue="231726.5"/>
    </cacheField>
    <cacheField name="CP" numFmtId="167">
      <sharedItems containsNonDate="0" containsString="0" containsBlank="1"/>
    </cacheField>
    <cacheField name="GBV" numFmtId="167">
      <sharedItems containsNonDate="0" containsString="0" containsBlank="1"/>
    </cacheField>
    <cacheField name="Migrants" numFmtId="167">
      <sharedItems containsNonDate="0" containsString="0" containsBlank="1"/>
    </cacheField>
    <cacheField name="_" numFmtId="167">
      <sharedItems containsNonDate="0" containsString="0" containsBlank="1"/>
    </cacheField>
    <cacheField name="CCCM%" numFmtId="9">
      <sharedItems containsMixedTypes="1" containsNumber="1" minValue="0" maxValue="1.35"/>
    </cacheField>
    <cacheField name="Education%" numFmtId="9">
      <sharedItems containsMixedTypes="1" containsNumber="1" minValue="0.05" maxValue="0.2"/>
    </cacheField>
    <cacheField name="Nutrition%" numFmtId="9">
      <sharedItems containsMixedTypes="1" containsNumber="1" minValue="0.1" maxValue="0.55000000000000004"/>
    </cacheField>
    <cacheField name="Food Security%" numFmtId="9">
      <sharedItems containsMixedTypes="1" containsNumber="1" minValue="0.2" maxValue="3.45"/>
    </cacheField>
    <cacheField name="Health%" numFmtId="9">
      <sharedItems containsMixedTypes="1" containsNumber="1" minValue="0" maxValue="1.4000000000000001"/>
    </cacheField>
    <cacheField name="Overarching Protection%" numFmtId="9">
      <sharedItems containsMixedTypes="1" containsNumber="1" minValue="0" maxValue="1.8"/>
    </cacheField>
    <cacheField name="Shelter%" numFmtId="9">
      <sharedItems containsMixedTypes="1" containsNumber="1" minValue="0" maxValue="1"/>
    </cacheField>
    <cacheField name="WASH%" numFmtId="9">
      <sharedItems containsMixedTypes="1" containsNumber="1" minValue="0" maxValue="1.05"/>
    </cacheField>
    <cacheField name="Child Protection (CP)%" numFmtId="9">
      <sharedItems containsMixedTypes="1" containsNumber="1" containsInteger="1" minValue="0" maxValue="0"/>
    </cacheField>
    <cacheField name="Gender-based Violence (GBV)%" numFmtId="9">
      <sharedItems containsMixedTypes="1" containsNumber="1" containsInteger="1" minValue="0" maxValue="0"/>
    </cacheField>
    <cacheField name="Mine Action%" numFmtId="9">
      <sharedItems containsMixedTypes="1" containsNumber="1" containsInteger="1" minValue="0" maxValue="0"/>
    </cacheField>
    <cacheField name="HLP%" numFmtId="9">
      <sharedItems containsMixedTypes="1" containsNumber="1" containsInteger="1" minValue="0" maxValue="0"/>
    </cacheField>
    <cacheField name="Highest PiN" numFmtId="166">
      <sharedItems containsSemiMixedTypes="0" containsString="0" containsNumber="1" minValue="4240" maxValue="765508.09164724161"/>
    </cacheField>
    <cacheField name="Highest sector(s)" numFmtId="166">
      <sharedItems/>
    </cacheField>
    <cacheField name="Highest sector(s') PiN %" numFmtId="9">
      <sharedItems containsMixedTypes="1" containsNumber="1" minValue="0.29550640043555881" maxValue="3.4469525959367946"/>
    </cacheField>
    <cacheField name="Number of missing / zero PiNs greater than threshold - Data quality" numFmtId="10">
      <sharedItems/>
    </cacheField>
    <cacheField name="Highest PiN greater than 90% of total affected population" numFmtId="9">
      <sharedItems/>
    </cacheField>
    <cacheField name="Highest sector targets sub-population group(s)" numFmtId="9">
      <sharedItems/>
    </cacheField>
    <cacheField name="2nd Highest PiN" numFmtId="167">
      <sharedItems containsMixedTypes="1" containsNumber="1" minValue="1242.56" maxValue="353355"/>
    </cacheField>
    <cacheField name="2nd Highest sector(s)" numFmtId="166">
      <sharedItems/>
    </cacheField>
    <cacheField name="2nd Highest sector PiN %" numFmtId="9">
      <sharedItems containsMixedTypes="1" containsNumber="1" minValue="9.3188826410302919E-2" maxValue="1.4244821806795251"/>
    </cacheField>
    <cacheField name="Difference of PiN between Highest and 2nd Highest" numFmtId="167">
      <sharedItems containsMixedTypes="1" containsNumber="1" minValue="63.5625" maxValue="412153.09164724161"/>
    </cacheField>
    <cacheField name="% Difference between Highest and 2nd Highest" numFmtId="9">
      <sharedItems containsMixedTypes="1" containsNumber="1" minValue="1.4958711933615663E-3" maxValue="4.4817518248175183"/>
    </cacheField>
    <cacheField name="% difference is over a specified threshold between Highest and 2nd Highest" numFmtId="9">
      <sharedItems/>
    </cacheField>
    <cacheField name="3rd Highest PiN" numFmtId="167">
      <sharedItems containsMixedTypes="1" containsNumber="1" minValue="1043" maxValue="271807.01666666666"/>
    </cacheField>
    <cacheField name="3rd Highest sector(s)" numFmtId="9">
      <sharedItems/>
    </cacheField>
    <cacheField name="3rd Highest sector PiN %" numFmtId="9">
      <sharedItems containsMixedTypes="1" containsNumber="1" minValue="6.6842009795029925E-2" maxValue="1.3436705209357505"/>
    </cacheField>
    <cacheField name="Difference of PiN between Highest and 3rd Highest" numFmtId="167">
      <sharedItems containsMixedTypes="1" containsNumber="1" minValue="860" maxValue="493701.07498057495"/>
    </cacheField>
    <cacheField name="% Difference between Highest and 3rd Highest" numFmtId="9">
      <sharedItems containsMixedTypes="1" containsNumber="1" minValue="8.3095792606713473E-2" maxValue="6.6424694708276801"/>
    </cacheField>
    <cacheField name="% difference is over a specified threshold between Highest and 3rd Highest" numFmtId="9">
      <sharedItems/>
    </cacheField>
    <cacheField name="Change from last year for the highest sector(s)" numFmtId="9">
      <sharedItems containsMixedTypes="1" containsNumber="1" minValue="-0.6" maxValue="13.9"/>
    </cacheField>
    <cacheField name="Change from last year for the highest sector(s) has significantly increased or decreased" numFmtId="167">
      <sharedItems/>
    </cacheField>
    <cacheField name="Change from last year for the 2nd highest sector(s)" numFmtId="167">
      <sharedItems containsMixedTypes="1" containsNumber="1" minValue="-0.6" maxValue="4.2"/>
    </cacheField>
    <cacheField name="Change from last year for the 2nd highest sector(s) has significantly increased or decreased" numFmtId="9">
      <sharedItems/>
    </cacheField>
    <cacheField name="Severity" numFmtId="1">
      <sharedItems containsSemiMixedTypes="0" containsString="0" containsNumber="1" containsInteger="1" minValue="2" maxValue="5" count="4">
        <n v="5"/>
        <n v="4"/>
        <n v="3"/>
        <n v="2"/>
      </sharedItems>
    </cacheField>
    <cacheField name="Preliminary PiN" numFmtId="167">
      <sharedItems containsSemiMixedTypes="0" containsString="0" containsNumber="1" minValue="0" maxValue="765508.09164724161"/>
    </cacheField>
    <cacheField name="Manual Flag" numFmtId="9">
      <sharedItems containsNonDate="0" containsString="0" containsBlank="1"/>
    </cacheField>
    <cacheField name="Explanation for Manual Flag" numFmtId="9">
      <sharedItems containsNonDate="0" containsString="0" containsBlank="1"/>
    </cacheField>
    <cacheField name="# Flags" numFmtId="167">
      <sharedItems containsSemiMixedTypes="0" containsString="0" containsNumber="1" containsInteger="1" minValue="0" maxValue="5"/>
    </cacheField>
    <cacheField name="Flagged" numFmtId="166">
      <sharedItems/>
    </cacheField>
    <cacheField name="Final PiN" numFmtId="0">
      <sharedItems containsSemiMixedTypes="0" containsString="0" containsNumber="1" minValue="0" maxValue="353355"/>
    </cacheField>
    <cacheField name="Evidence &amp; Comments" numFmtId="166">
      <sharedItems containsBlank="1"/>
    </cacheField>
    <cacheField name="PIN PRIORITIZED" numFmtId="166">
      <sharedItems containsSemiMixedTypes="0" containsString="0" containsNumber="1" minValue="0" maxValue="353355"/>
    </cacheField>
    <cacheField name="Preliminary TARGET_x000a_100% Sev 4&amp;5 + 50% Sev 3" numFmtId="166">
      <sharedItems containsSemiMixedTypes="0" containsString="0" containsNumber="1" minValue="0" maxValue="353355"/>
    </cacheField>
    <cacheField name="Preliminary TARGET_x000a_100% Sev 4&amp;5 + 50% PIN in Sev 3 Intersect AND EXISTS Sect Sec &gt;=4  " numFmtId="166">
      <sharedItems containsSemiMixedTypes="0" containsString="0" containsNumber="1" minValue="0" maxValue="3533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Global_PopulationHT0111"/>
    <s v="Ouest"/>
    <s v="HT01"/>
    <s v="Port-au-Prince"/>
    <s v="HT0111"/>
    <m/>
    <m/>
    <m/>
    <n v="926906"/>
    <s v="Global_Population"/>
    <n v="245716.5"/>
    <n v="120467"/>
    <n v="118634"/>
    <n v="353355"/>
    <n v="765508.09164724161"/>
    <n v="271807.01666666666"/>
    <n v="215855"/>
    <n v="231726.5"/>
    <m/>
    <m/>
    <m/>
    <m/>
    <n v="0.25"/>
    <n v="0.15000000000000002"/>
    <n v="0.15000000000000002"/>
    <n v="0.4"/>
    <n v="0.85000000000000009"/>
    <n v="0.30000000000000004"/>
    <n v="0.25"/>
    <n v="0.25"/>
    <n v="0"/>
    <n v="0"/>
    <n v="0"/>
    <n v="0"/>
    <n v="765508.09164724161"/>
    <s v="Health"/>
    <n v="0.8258745672670601"/>
    <s v=""/>
    <s v=""/>
    <s v=""/>
    <n v="353355"/>
    <s v="Food Security"/>
    <n v="0.38121988637467014"/>
    <n v="412153.09164724161"/>
    <n v="1.1663994895989631"/>
    <s v="Flagged"/>
    <n v="271807.01666666666"/>
    <s v="Protection"/>
    <n v="0.29324118806725458"/>
    <n v="493701.07498057495"/>
    <n v="1.8163661889053819"/>
    <s v="Flagged"/>
    <n v="1.1000000000000001"/>
    <s v="Flagged"/>
    <n v="-0.2"/>
    <s v=""/>
    <x v="0"/>
    <n v="765508.09164724161"/>
    <m/>
    <m/>
    <n v="3"/>
    <s v="Flagged"/>
    <n v="353355"/>
    <s v="2nd highest PIN"/>
    <n v="353355"/>
    <n v="353355"/>
    <n v="353355"/>
  </r>
  <r>
    <s v="Global_PopulationHT0112"/>
    <s v="Ouest"/>
    <s v="HT01"/>
    <s v="Delmas"/>
    <s v="HT0112"/>
    <m/>
    <m/>
    <m/>
    <n v="435779"/>
    <s v="Global_Population"/>
    <n v="115017"/>
    <n v="43362"/>
    <n v="54404"/>
    <n v="85276"/>
    <n v="108429.19404600158"/>
    <n v="136209.016"/>
    <n v="174122"/>
    <n v="76678"/>
    <m/>
    <m/>
    <m/>
    <m/>
    <n v="0.25"/>
    <n v="0.1"/>
    <n v="0.1"/>
    <n v="0.2"/>
    <n v="0.25"/>
    <n v="0.30000000000000004"/>
    <n v="0.4"/>
    <n v="0.2"/>
    <n v="0"/>
    <n v="0"/>
    <n v="0"/>
    <n v="0"/>
    <n v="174122"/>
    <s v="Shelter"/>
    <n v="0.39956491707952885"/>
    <s v=""/>
    <s v=""/>
    <s v=""/>
    <n v="136209.016"/>
    <s v="Protection"/>
    <n v="0.31256443288914793"/>
    <n v="37912.983999999997"/>
    <n v="0.27834415895053521"/>
    <s v=""/>
    <n v="115017"/>
    <s v="CCCM"/>
    <n v="0.2639342418978427"/>
    <n v="59105"/>
    <n v="0.51388055678725753"/>
    <s v=""/>
    <n v="2.2999999999999998"/>
    <s v="Flagged"/>
    <s v=""/>
    <s v=""/>
    <x v="1"/>
    <n v="174122"/>
    <m/>
    <m/>
    <n v="1"/>
    <s v="Flagged"/>
    <n v="174122"/>
    <m/>
    <n v="174122"/>
    <n v="174122"/>
    <n v="174122"/>
  </r>
  <r>
    <s v="Global_PopulationHT0113"/>
    <s v="Ouest"/>
    <s v="HT01"/>
    <s v="Carrefour"/>
    <s v="HT0113"/>
    <m/>
    <m/>
    <m/>
    <n v="460506"/>
    <s v="Global_Population"/>
    <n v="14433"/>
    <n v="73069"/>
    <n v="54178"/>
    <n v="115527"/>
    <n v="317267.19035006355"/>
    <n v="19185.277999999998"/>
    <n v="91474"/>
    <n v="41445.54"/>
    <m/>
    <m/>
    <m/>
    <m/>
    <n v="0.05"/>
    <n v="0.15000000000000002"/>
    <n v="0.1"/>
    <n v="0.25"/>
    <n v="0.70000000000000007"/>
    <n v="0.05"/>
    <n v="0.2"/>
    <n v="0.1"/>
    <n v="0"/>
    <n v="0"/>
    <n v="0"/>
    <n v="0"/>
    <n v="317267.19035006355"/>
    <s v="Health"/>
    <n v="0.68895343459165259"/>
    <s v=""/>
    <s v=""/>
    <s v=""/>
    <n v="115527"/>
    <s v="Food Security"/>
    <n v="0.2508696955088533"/>
    <n v="201740.19035006355"/>
    <n v="1.7462600980728622"/>
    <s v="Flagged"/>
    <n v="91474"/>
    <s v="Shelter"/>
    <n v="0.19863801991722149"/>
    <n v="225793.19035006355"/>
    <n v="2.4683865398918114"/>
    <s v="Flagged"/>
    <n v="4.2"/>
    <s v="Flagged"/>
    <n v="0"/>
    <s v=""/>
    <x v="1"/>
    <n v="317267.19035006355"/>
    <m/>
    <m/>
    <n v="3"/>
    <s v="Flagged"/>
    <n v="115527"/>
    <s v="2nd highest PIN"/>
    <n v="115527"/>
    <n v="115527"/>
    <n v="115527"/>
  </r>
  <r>
    <s v="Global_PopulationHT0114"/>
    <s v="Ouest"/>
    <s v="HT01"/>
    <s v="Petion-Ville"/>
    <s v="HT0114"/>
    <m/>
    <m/>
    <m/>
    <n v="394895"/>
    <s v="Global_Population"/>
    <n v="30757.5"/>
    <n v="24780"/>
    <n v="38803"/>
    <n v="97113"/>
    <n v="103609.90086886453"/>
    <n v="42634.5"/>
    <n v="116694"/>
    <n v="60092.717391304352"/>
    <m/>
    <m/>
    <m/>
    <m/>
    <n v="0.1"/>
    <n v="0.05"/>
    <n v="0.1"/>
    <n v="0.25"/>
    <n v="0.25"/>
    <n v="0.1"/>
    <n v="0.30000000000000004"/>
    <n v="0.15000000000000002"/>
    <n v="0"/>
    <n v="0"/>
    <n v="0"/>
    <n v="0"/>
    <n v="116694"/>
    <s v="Shelter"/>
    <n v="0.29550640043555881"/>
    <s v=""/>
    <s v=""/>
    <s v=""/>
    <n v="103609.90086886453"/>
    <s v="Health"/>
    <n v="0.26237329130240833"/>
    <n v="13084.099131135474"/>
    <n v="0.1262823245791497"/>
    <s v=""/>
    <n v="97113"/>
    <s v="Food Security"/>
    <n v="0.24592106762557137"/>
    <n v="19581"/>
    <n v="0.20163108955546633"/>
    <s v=""/>
    <n v="0.3"/>
    <s v=""/>
    <n v="0.6"/>
    <s v=""/>
    <x v="1"/>
    <n v="116694"/>
    <m/>
    <m/>
    <n v="0"/>
    <s v=""/>
    <n v="116694"/>
    <m/>
    <n v="116694"/>
    <n v="116694"/>
    <n v="116694"/>
  </r>
  <r>
    <s v="Global_PopulationHT0115"/>
    <s v="Ouest"/>
    <s v="HT01"/>
    <s v="Kenscoff"/>
    <s v="HT0115"/>
    <m/>
    <m/>
    <m/>
    <n v="63006"/>
    <s v="Global_Population"/>
    <n v="2266.5"/>
    <n v="8318"/>
    <n v="6000"/>
    <n v="24684"/>
    <n v="1928.822707081403"/>
    <n v="1305.4349999999999"/>
    <n v="2267"/>
    <n v="56705"/>
    <m/>
    <m/>
    <m/>
    <m/>
    <n v="0.05"/>
    <n v="0.15000000000000002"/>
    <n v="0.1"/>
    <n v="0.4"/>
    <n v="0.05"/>
    <n v="0"/>
    <n v="0.05"/>
    <n v="0.9"/>
    <n v="0"/>
    <n v="0"/>
    <n v="0"/>
    <n v="0"/>
    <n v="56705"/>
    <s v="WASH"/>
    <n v="0.89999365139827958"/>
    <s v=""/>
    <s v=""/>
    <s v=""/>
    <n v="24684"/>
    <s v="Food Security"/>
    <n v="0.39177221217026947"/>
    <n v="32021"/>
    <n v="1.2972370766488412"/>
    <s v="Flagged"/>
    <n v="8318"/>
    <s v="Education"/>
    <n v="0.13201917277719583"/>
    <n v="48387"/>
    <n v="5.8171435441211834"/>
    <s v="Flagged"/>
    <n v="13.9"/>
    <s v="Flagged"/>
    <n v="0"/>
    <s v=""/>
    <x v="1"/>
    <n v="56705"/>
    <m/>
    <m/>
    <n v="3"/>
    <s v="Flagged"/>
    <n v="56705"/>
    <m/>
    <n v="56705"/>
    <n v="56705"/>
    <n v="56705"/>
  </r>
  <r>
    <s v="Global_PopulationHT0116"/>
    <s v="Ouest"/>
    <s v="HT01"/>
    <s v="Gressier"/>
    <s v="HT0116"/>
    <m/>
    <m/>
    <m/>
    <n v="3987"/>
    <s v="Global_Population"/>
    <n v="0"/>
    <n v="279"/>
    <n v="2224"/>
    <n v="13743"/>
    <n v="4097.050413844996"/>
    <n v="485.28000000000003"/>
    <n v="0"/>
    <n v="997"/>
    <m/>
    <m/>
    <m/>
    <m/>
    <n v="0"/>
    <n v="0.05"/>
    <n v="0.55000000000000004"/>
    <n v="3.45"/>
    <n v="1.05"/>
    <n v="0.1"/>
    <n v="0"/>
    <n v="0.25"/>
    <n v="0"/>
    <n v="0"/>
    <n v="0"/>
    <n v="0"/>
    <n v="13743"/>
    <s v="Food Security"/>
    <n v="3.4469525959367946"/>
    <s v="Flagged"/>
    <s v="Flagged"/>
    <s v=""/>
    <n v="4097.050413844996"/>
    <s v="Health"/>
    <n v="1.0276023109719077"/>
    <n v="9645.949586155004"/>
    <n v="2.3543643870133595"/>
    <s v="Flagged"/>
    <n v="2224"/>
    <s v="Nutrition"/>
    <n v="0.55781289189867067"/>
    <n v="11519"/>
    <n v="5.1794064748201443"/>
    <s v="Flagged"/>
    <n v="-0.2"/>
    <s v=""/>
    <n v="1.6"/>
    <s v="Flagged"/>
    <x v="1"/>
    <n v="13743"/>
    <m/>
    <m/>
    <n v="5"/>
    <s v="Flagged"/>
    <n v="2224"/>
    <s v="3rd highest PIN"/>
    <n v="2224"/>
    <n v="2224"/>
    <n v="2224"/>
  </r>
  <r>
    <s v="Global_PopulationHT0117"/>
    <s v="Ouest"/>
    <s v="HT01"/>
    <s v="Cite Soleil"/>
    <s v="HT0117"/>
    <m/>
    <m/>
    <m/>
    <n v="287439"/>
    <s v="Global_Population"/>
    <n v="21180"/>
    <n v="41745"/>
    <n v="35634"/>
    <n v="173258"/>
    <n v="186993.02407016576"/>
    <n v="23633.069615384615"/>
    <n v="94007"/>
    <n v="136742.82524271845"/>
    <m/>
    <m/>
    <m/>
    <m/>
    <n v="0.05"/>
    <n v="0.15000000000000002"/>
    <n v="0.1"/>
    <n v="0.60000000000000009"/>
    <n v="0.65"/>
    <n v="0.1"/>
    <n v="0.35000000000000003"/>
    <n v="0.5"/>
    <n v="0"/>
    <n v="0"/>
    <n v="0"/>
    <n v="0"/>
    <n v="186993.02407016576"/>
    <s v="Health"/>
    <n v="0.65054854793596473"/>
    <s v=""/>
    <s v=""/>
    <s v=""/>
    <n v="173258"/>
    <s v="Food Security"/>
    <n v="0.60276441262320002"/>
    <n v="13735.02407016576"/>
    <n v="7.9274977606608413E-2"/>
    <s v=""/>
    <n v="136742.82524271845"/>
    <s v="WASH"/>
    <n v="0.47572815533980584"/>
    <n v="50250.198827447311"/>
    <n v="0.36747960076335434"/>
    <s v=""/>
    <n v="4.7"/>
    <s v="Flagged"/>
    <n v="0.1"/>
    <s v=""/>
    <x v="1"/>
    <n v="186993.02407016576"/>
    <m/>
    <m/>
    <n v="1"/>
    <s v="Flagged"/>
    <n v="186993.02407016576"/>
    <m/>
    <n v="186993.02407016576"/>
    <n v="186993.02407016576"/>
    <n v="186993.02407016576"/>
  </r>
  <r>
    <s v="Global_PopulationHT0118"/>
    <s v="Ouest"/>
    <s v="HT01"/>
    <s v="Tabarre"/>
    <s v="HT0118"/>
    <m/>
    <m/>
    <m/>
    <n v="141693"/>
    <s v="Global_Population"/>
    <n v="5235"/>
    <n v="13798"/>
    <n v="15635"/>
    <n v="28585"/>
    <n v="76053.891446086564"/>
    <n v="10710.6"/>
    <n v="48457"/>
    <n v="3490"/>
    <m/>
    <m/>
    <m/>
    <m/>
    <n v="0.05"/>
    <n v="0.1"/>
    <n v="0.1"/>
    <n v="0.2"/>
    <n v="0.55000000000000004"/>
    <n v="0.1"/>
    <n v="0.35000000000000003"/>
    <n v="0"/>
    <n v="0"/>
    <n v="0"/>
    <n v="0"/>
    <n v="0"/>
    <n v="76053.891446086564"/>
    <s v="Health"/>
    <n v="0.53675122586215662"/>
    <s v=""/>
    <s v=""/>
    <s v=""/>
    <n v="48457"/>
    <s v="Shelter"/>
    <n v="0.34198584263160497"/>
    <n v="27596.891446086564"/>
    <n v="0.56951300010497063"/>
    <s v="Flagged"/>
    <n v="28585"/>
    <s v="Food Security"/>
    <n v="0.20173897087364936"/>
    <n v="47468.891446086564"/>
    <n v="1.6606224049706686"/>
    <s v="Flagged"/>
    <n v="0.9"/>
    <s v=""/>
    <n v="0.1"/>
    <s v=""/>
    <x v="0"/>
    <n v="76053.891446086564"/>
    <m/>
    <m/>
    <n v="2"/>
    <s v="Flagged"/>
    <n v="76053.891446086564"/>
    <m/>
    <n v="76053.891446086564"/>
    <n v="76053.891446086564"/>
    <n v="76053.891446086564"/>
  </r>
  <r>
    <s v="Global_PopulationHT0121"/>
    <s v="Ouest"/>
    <s v="HT01"/>
    <s v="Leogane"/>
    <s v="HT0121"/>
    <m/>
    <m/>
    <m/>
    <n v="233614"/>
    <s v="Global_Population"/>
    <n v="79632"/>
    <n v="33382"/>
    <n v="24021"/>
    <n v="75329"/>
    <n v="83154.772223354434"/>
    <n v="88424.565000000002"/>
    <n v="139420"/>
    <n v="53088"/>
    <m/>
    <m/>
    <m/>
    <m/>
    <n v="0.35000000000000003"/>
    <n v="0.15000000000000002"/>
    <n v="0.1"/>
    <n v="0.30000000000000004"/>
    <n v="0.35000000000000003"/>
    <n v="0.4"/>
    <n v="0.60000000000000009"/>
    <n v="0.25"/>
    <n v="0"/>
    <n v="0"/>
    <n v="0"/>
    <n v="0"/>
    <n v="139420"/>
    <s v="Shelter"/>
    <n v="0.59679642487179707"/>
    <s v=""/>
    <s v=""/>
    <s v=""/>
    <n v="88424.565000000002"/>
    <s v="Protection"/>
    <n v="0.37850713142191822"/>
    <n v="50995.434999999998"/>
    <n v="0.5767111774878394"/>
    <s v="Flagged"/>
    <n v="83154.772223354434"/>
    <s v="Health"/>
    <n v="0.35594943891784925"/>
    <n v="56265.227776645566"/>
    <n v="0.67663257648661079"/>
    <s v=""/>
    <n v="0.4"/>
    <s v=""/>
    <s v=""/>
    <s v=""/>
    <x v="2"/>
    <n v="139420"/>
    <m/>
    <m/>
    <n v="1"/>
    <s v="Flagged"/>
    <n v="139420"/>
    <m/>
    <n v="0"/>
    <n v="69710"/>
    <n v="69710"/>
  </r>
  <r>
    <s v="Global_PopulationHT0122"/>
    <s v="Ouest"/>
    <s v="HT01"/>
    <s v="Petit-Goave"/>
    <s v="HT0122"/>
    <m/>
    <m/>
    <m/>
    <n v="194867"/>
    <s v="Global_Population"/>
    <n v="3706.5"/>
    <n v="27623"/>
    <n v="15075"/>
    <n v="65207"/>
    <n v="4028.2253111290975"/>
    <n v="2779.18"/>
    <n v="79274"/>
    <n v="64955.666666666664"/>
    <m/>
    <m/>
    <m/>
    <m/>
    <n v="0"/>
    <n v="0.15000000000000002"/>
    <n v="0.1"/>
    <n v="0.35000000000000003"/>
    <n v="0"/>
    <n v="0"/>
    <n v="0.4"/>
    <n v="0.35000000000000003"/>
    <n v="0"/>
    <n v="0"/>
    <n v="0"/>
    <n v="0"/>
    <n v="79274"/>
    <s v="Shelter"/>
    <n v="0.40681079916045304"/>
    <s v=""/>
    <s v=""/>
    <s v=""/>
    <n v="65207"/>
    <s v="Food Security"/>
    <n v="0.33462310191053385"/>
    <n v="14067"/>
    <n v="0.21572837272072018"/>
    <s v=""/>
    <n v="64955.666666666664"/>
    <s v="WASH"/>
    <n v="0.33333333333333331"/>
    <n v="14318.333333333336"/>
    <n v="0.22043239748135912"/>
    <s v=""/>
    <s v=""/>
    <s v=""/>
    <n v="-0.2"/>
    <s v=""/>
    <x v="2"/>
    <n v="79274"/>
    <m/>
    <m/>
    <n v="0"/>
    <s v=""/>
    <n v="79274"/>
    <m/>
    <n v="0"/>
    <n v="39637"/>
    <n v="0"/>
  </r>
  <r>
    <s v="Global_PopulationHT0123"/>
    <s v="Ouest"/>
    <s v="HT01"/>
    <s v="Grand-Goave"/>
    <s v="HT0123"/>
    <m/>
    <m/>
    <m/>
    <n v="157549"/>
    <s v="Global_Population"/>
    <n v="10194"/>
    <n v="22238"/>
    <n v="12725"/>
    <n v="51461"/>
    <n v="11213.248783284285"/>
    <n v="9745.9791304347818"/>
    <n v="69621"/>
    <n v="6796"/>
    <m/>
    <m/>
    <m/>
    <m/>
    <n v="0.05"/>
    <n v="0.15000000000000002"/>
    <n v="0.1"/>
    <n v="0.35000000000000003"/>
    <n v="0.05"/>
    <n v="0.05"/>
    <n v="0.45"/>
    <n v="0.05"/>
    <n v="0"/>
    <n v="0"/>
    <n v="0"/>
    <n v="0"/>
    <n v="69621"/>
    <s v="Shelter"/>
    <n v="0.44190061504674738"/>
    <s v=""/>
    <s v=""/>
    <s v=""/>
    <n v="51461"/>
    <s v="Food Security"/>
    <n v="0.32663488819351438"/>
    <n v="18160"/>
    <n v="0.35288859524688598"/>
    <s v=""/>
    <n v="22238"/>
    <s v="Education"/>
    <n v="0.14114973754197108"/>
    <n v="47383"/>
    <n v="2.1307221872470548"/>
    <s v="Flagged"/>
    <n v="0.3"/>
    <s v=""/>
    <n v="-0.2"/>
    <s v=""/>
    <x v="3"/>
    <n v="0"/>
    <m/>
    <m/>
    <n v="1"/>
    <s v="Flagged"/>
    <n v="0"/>
    <m/>
    <n v="0"/>
    <n v="0"/>
    <n v="0"/>
  </r>
  <r>
    <s v="Global_PopulationHT0131"/>
    <s v="Ouest"/>
    <s v="HT01"/>
    <s v="Croix-Des-Bouquets"/>
    <s v="HT0131"/>
    <m/>
    <m/>
    <m/>
    <n v="129879"/>
    <s v="Global_Population"/>
    <n v="7776"/>
    <n v="17630"/>
    <n v="16055"/>
    <n v="56942"/>
    <n v="115362.66459598063"/>
    <n v="20433.5"/>
    <n v="47702"/>
    <n v="31058.021739130436"/>
    <m/>
    <m/>
    <m/>
    <m/>
    <n v="0.05"/>
    <n v="0.15000000000000002"/>
    <n v="0.1"/>
    <n v="0.45"/>
    <n v="0.9"/>
    <n v="0.15000000000000002"/>
    <n v="0.35000000000000003"/>
    <n v="0.25"/>
    <n v="0"/>
    <n v="0"/>
    <n v="0"/>
    <n v="0"/>
    <n v="115362.66459598063"/>
    <s v="Health"/>
    <n v="0.88823185115361714"/>
    <s v=""/>
    <s v=""/>
    <s v=""/>
    <n v="56942"/>
    <s v="Food Security"/>
    <n v="0.43842345567797719"/>
    <n v="58420.664595980634"/>
    <n v="1.0259679076249628"/>
    <s v="Flagged"/>
    <n v="47702"/>
    <s v="Shelter"/>
    <n v="0.36728031475450229"/>
    <n v="67660.664595980634"/>
    <n v="1.4184030983183229"/>
    <s v="Flagged"/>
    <n v="4.0999999999999996"/>
    <s v="Flagged"/>
    <n v="-0.2"/>
    <s v=""/>
    <x v="1"/>
    <n v="115362.66459598063"/>
    <m/>
    <m/>
    <n v="3"/>
    <s v="Flagged"/>
    <n v="115362.66459598063"/>
    <m/>
    <n v="115362.66459598063"/>
    <n v="115362.66459598063"/>
    <n v="115362.66459598063"/>
  </r>
  <r>
    <s v="Global_PopulationHT0132"/>
    <s v="Ouest"/>
    <s v="HT01"/>
    <s v="Thomazeau"/>
    <s v="HT0132"/>
    <m/>
    <m/>
    <m/>
    <n v="54753"/>
    <s v="Global_Population"/>
    <n v="0"/>
    <n v="7389"/>
    <n v="6098"/>
    <n v="19966"/>
    <n v="27480.456879075118"/>
    <n v="2148"/>
    <n v="35000"/>
    <n v="40152.200000000004"/>
    <m/>
    <m/>
    <m/>
    <m/>
    <n v="0"/>
    <n v="0.15000000000000002"/>
    <n v="0.1"/>
    <n v="0.35000000000000003"/>
    <n v="0.5"/>
    <n v="0.05"/>
    <n v="0.65"/>
    <n v="0.75"/>
    <n v="0"/>
    <n v="0"/>
    <n v="0"/>
    <n v="0"/>
    <n v="40152.200000000004"/>
    <s v="WASH"/>
    <n v="0.73333333333333339"/>
    <s v=""/>
    <s v=""/>
    <s v=""/>
    <n v="35000"/>
    <s v="Shelter"/>
    <n v="0.63923437985133236"/>
    <n v="5152.2000000000044"/>
    <n v="0.14720571428571441"/>
    <s v=""/>
    <n v="27480.456879075118"/>
    <s v="Health"/>
    <n v="0.50189865174648185"/>
    <n v="12671.743120924886"/>
    <n v="0.4611183568266557"/>
    <s v=""/>
    <n v="3"/>
    <s v="Flagged"/>
    <s v=""/>
    <s v=""/>
    <x v="2"/>
    <n v="40152.200000000004"/>
    <m/>
    <m/>
    <n v="1"/>
    <s v="Flagged"/>
    <n v="40152.200000000004"/>
    <m/>
    <n v="0"/>
    <n v="20076.100000000002"/>
    <n v="0"/>
  </r>
  <r>
    <s v="Global_PopulationHT0133"/>
    <s v="Ouest"/>
    <s v="HT01"/>
    <s v="Ganthier"/>
    <s v="HT0133"/>
    <m/>
    <m/>
    <m/>
    <n v="65036"/>
    <s v="Global_Population"/>
    <n v="0"/>
    <n v="9074"/>
    <n v="12257"/>
    <n v="23575"/>
    <n v="32626.149025155297"/>
    <n v="397.92"/>
    <n v="0"/>
    <n v="58532.4"/>
    <m/>
    <m/>
    <m/>
    <m/>
    <n v="0"/>
    <n v="0.15000000000000002"/>
    <n v="0.2"/>
    <n v="0.35000000000000003"/>
    <n v="0.5"/>
    <n v="0"/>
    <n v="0"/>
    <n v="0.9"/>
    <n v="0"/>
    <n v="0"/>
    <n v="0"/>
    <n v="0"/>
    <n v="58532.4"/>
    <s v="WASH"/>
    <n v="0.9"/>
    <s v="Flagged"/>
    <s v="Flagged"/>
    <s v=""/>
    <n v="32626.149025155297"/>
    <s v="Health"/>
    <n v="0.5016629101598391"/>
    <n v="25906.250974844705"/>
    <n v="0.79403336737261143"/>
    <s v="Flagged"/>
    <n v="23575"/>
    <s v="Food Security"/>
    <n v="0.36249154314533488"/>
    <n v="34957.4"/>
    <n v="1.4828165429480382"/>
    <s v="Flagged"/>
    <n v="0.5"/>
    <s v=""/>
    <n v="-0.2"/>
    <s v=""/>
    <x v="2"/>
    <n v="58532.4"/>
    <m/>
    <m/>
    <n v="4"/>
    <s v="Flagged"/>
    <n v="32626.149025155297"/>
    <s v="2nd highest PIN"/>
    <n v="0"/>
    <n v="16313.074512577648"/>
    <n v="0"/>
  </r>
  <r>
    <s v="Global_PopulationHT0134"/>
    <s v="Ouest"/>
    <s v="HT01"/>
    <s v="Cornillon / Grand Bois"/>
    <s v="HT0134"/>
    <m/>
    <m/>
    <m/>
    <n v="66185"/>
    <s v="Global_Population"/>
    <n v="3213"/>
    <n v="9632"/>
    <n v="6002"/>
    <n v="22492"/>
    <n v="4149.1964010270776"/>
    <n v="5714.8249999999998"/>
    <n v="0"/>
    <n v="33092.5"/>
    <m/>
    <m/>
    <m/>
    <m/>
    <n v="0.05"/>
    <n v="0.15000000000000002"/>
    <n v="0.1"/>
    <n v="0.35000000000000003"/>
    <n v="0.05"/>
    <n v="0.1"/>
    <n v="0"/>
    <n v="0.5"/>
    <n v="0"/>
    <n v="0"/>
    <n v="0"/>
    <n v="0"/>
    <n v="33092.5"/>
    <s v="WASH"/>
    <n v="0.5"/>
    <s v=""/>
    <s v=""/>
    <s v=""/>
    <n v="22492"/>
    <s v="Food Security"/>
    <n v="0.3398353101155851"/>
    <n v="10600.5"/>
    <n v="0.47130090698915172"/>
    <s v=""/>
    <n v="9632"/>
    <s v="Education"/>
    <n v="0.14553146483342147"/>
    <n v="23460.5"/>
    <n v="2.4356831395348837"/>
    <s v="Flagged"/>
    <n v="0.4"/>
    <s v=""/>
    <n v="-0.2"/>
    <s v=""/>
    <x v="2"/>
    <n v="33092.5"/>
    <m/>
    <m/>
    <n v="1"/>
    <s v="Flagged"/>
    <n v="33092.5"/>
    <m/>
    <n v="0"/>
    <n v="16546.25"/>
    <n v="16546.25"/>
  </r>
  <r>
    <s v="Global_PopulationHT0135"/>
    <s v="Ouest"/>
    <s v="HT01"/>
    <s v="Fonds-Verrettes"/>
    <s v="HT0135"/>
    <m/>
    <m/>
    <m/>
    <n v="54717"/>
    <s v="Global_Population"/>
    <n v="0"/>
    <n v="8873"/>
    <n v="7193"/>
    <n v="21499"/>
    <n v="169.32927609335309"/>
    <n v="2820.5499999999997"/>
    <n v="44007"/>
    <n v="1484.5"/>
    <m/>
    <m/>
    <m/>
    <m/>
    <n v="0"/>
    <n v="0.15000000000000002"/>
    <n v="0.15000000000000002"/>
    <n v="0.4"/>
    <n v="0"/>
    <n v="0.05"/>
    <n v="0.8"/>
    <n v="0.05"/>
    <n v="0"/>
    <n v="0"/>
    <n v="0"/>
    <n v="0"/>
    <n v="44007"/>
    <s v="Shelter"/>
    <n v="0.80426558473600529"/>
    <s v=""/>
    <s v=""/>
    <s v=""/>
    <n v="21499"/>
    <s v="Food Security"/>
    <n v="0.39291262313357822"/>
    <n v="22508"/>
    <n v="1.0469324154611843"/>
    <s v="Flagged"/>
    <n v="8873"/>
    <s v="Education"/>
    <n v="0.16216166822011441"/>
    <n v="35134"/>
    <n v="3.959652879522146"/>
    <s v="Flagged"/>
    <n v="1.5"/>
    <s v="Flagged"/>
    <n v="0"/>
    <s v=""/>
    <x v="2"/>
    <n v="44007"/>
    <m/>
    <m/>
    <n v="3"/>
    <s v="Flagged"/>
    <n v="21499"/>
    <s v="2nd highest PIN"/>
    <n v="0"/>
    <n v="10749.5"/>
    <n v="10749.5"/>
  </r>
  <r>
    <s v="Global_PopulationHT0141"/>
    <s v="Ouest"/>
    <s v="HT01"/>
    <s v="Arcahaie"/>
    <s v="HT0141"/>
    <m/>
    <m/>
    <m/>
    <n v="142752"/>
    <s v="Global_Population"/>
    <n v="21285"/>
    <n v="20889"/>
    <n v="13728"/>
    <n v="76948"/>
    <n v="69645.720280986614"/>
    <n v="34171.811764705883"/>
    <n v="0"/>
    <n v="23792"/>
    <m/>
    <m/>
    <m/>
    <m/>
    <n v="0.15000000000000002"/>
    <n v="0.15000000000000002"/>
    <n v="0.1"/>
    <n v="0.55000000000000004"/>
    <n v="0.5"/>
    <n v="0.25"/>
    <n v="0"/>
    <n v="0.15000000000000002"/>
    <n v="0"/>
    <n v="0"/>
    <n v="0"/>
    <n v="0"/>
    <n v="76948"/>
    <s v="Food Security"/>
    <n v="0.53903272808787273"/>
    <s v=""/>
    <s v=""/>
    <s v=""/>
    <n v="69645.720280986614"/>
    <s v="Health"/>
    <n v="0.48787912099996228"/>
    <n v="7302.2797190133861"/>
    <n v="0.10484893672651009"/>
    <s v=""/>
    <n v="34171.811764705883"/>
    <s v="Protection"/>
    <n v="0.23937886519772669"/>
    <n v="42776.188235294117"/>
    <n v="1.2517974911554208"/>
    <s v="Flagged"/>
    <n v="0.4"/>
    <s v=""/>
    <n v="0.2"/>
    <s v=""/>
    <x v="2"/>
    <n v="76948"/>
    <m/>
    <m/>
    <n v="1"/>
    <s v="Flagged"/>
    <n v="76948"/>
    <m/>
    <n v="0"/>
    <n v="38474"/>
    <n v="0"/>
  </r>
  <r>
    <s v="Global_PopulationHT0142"/>
    <s v="Ouest"/>
    <s v="HT01"/>
    <s v="Cabaret"/>
    <s v="HT0142"/>
    <m/>
    <m/>
    <m/>
    <n v="65302"/>
    <s v="Global_Population"/>
    <n v="17856"/>
    <n v="9208"/>
    <n v="10181"/>
    <n v="40300"/>
    <n v="78335.732880786294"/>
    <n v="55257.85"/>
    <n v="33946"/>
    <n v="32651"/>
    <m/>
    <m/>
    <m/>
    <m/>
    <n v="0.25"/>
    <n v="0.15000000000000002"/>
    <n v="0.15000000000000002"/>
    <n v="0.60000000000000009"/>
    <n v="1.2000000000000002"/>
    <n v="0.85000000000000009"/>
    <n v="0.5"/>
    <n v="0.5"/>
    <n v="0"/>
    <n v="0"/>
    <n v="0"/>
    <n v="0"/>
    <n v="78335.732880786294"/>
    <s v="Health"/>
    <n v="1.1995916339589339"/>
    <s v=""/>
    <s v="Flagged"/>
    <s v=""/>
    <n v="55257.85"/>
    <s v="Protection"/>
    <n v="0.84618924382101623"/>
    <n v="23077.882880786296"/>
    <n v="0.41763989877974433"/>
    <s v=""/>
    <n v="40300"/>
    <s v="Food Security"/>
    <n v="0.61713270650209795"/>
    <n v="38035.732880786294"/>
    <n v="0.94381471168204201"/>
    <s v="Flagged"/>
    <n v="1.1000000000000001"/>
    <s v="Flagged"/>
    <s v=""/>
    <s v=""/>
    <x v="1"/>
    <n v="78335.732880786294"/>
    <m/>
    <m/>
    <n v="3"/>
    <s v="Flagged"/>
    <n v="55257.85"/>
    <s v="2nd highest PIN"/>
    <n v="55257.85"/>
    <n v="55257.85"/>
    <n v="55257.85"/>
  </r>
  <r>
    <s v="Global_PopulationHT0151"/>
    <s v="Ouest"/>
    <s v="HT01"/>
    <s v="Anse a Galets"/>
    <s v="HT0151"/>
    <m/>
    <m/>
    <m/>
    <n v="70156"/>
    <s v="Global_Population"/>
    <n v="4567.5"/>
    <n v="11207"/>
    <n v="7145"/>
    <n v="43900"/>
    <n v="5324.4157182266008"/>
    <n v="3271.13"/>
    <n v="0"/>
    <n v="3045"/>
    <m/>
    <m/>
    <m/>
    <m/>
    <n v="0.05"/>
    <n v="0.15000000000000002"/>
    <n v="0.1"/>
    <n v="0.65"/>
    <n v="0.1"/>
    <n v="0.05"/>
    <n v="0"/>
    <n v="0.05"/>
    <n v="0"/>
    <n v="0"/>
    <n v="0"/>
    <n v="0"/>
    <n v="43900"/>
    <s v="Food Security"/>
    <n v="0.62574833228804383"/>
    <s v=""/>
    <s v=""/>
    <s v=""/>
    <n v="11207"/>
    <s v="Education"/>
    <n v="0.15974399908774731"/>
    <n v="32693"/>
    <n v="2.9171946105112876"/>
    <s v="Flagged"/>
    <n v="7145"/>
    <s v="Nutrition"/>
    <n v="0.10184446091567365"/>
    <n v="36755"/>
    <n v="5.1441567529741077"/>
    <s v="Flagged"/>
    <n v="0.1"/>
    <s v=""/>
    <n v="-0.2"/>
    <s v=""/>
    <x v="2"/>
    <n v="43900"/>
    <m/>
    <m/>
    <n v="2"/>
    <s v="Flagged"/>
    <n v="43900"/>
    <m/>
    <n v="0"/>
    <n v="21950"/>
    <n v="21950"/>
  </r>
  <r>
    <s v="Global_PopulationHT0152"/>
    <s v="Ouest"/>
    <s v="HT01"/>
    <s v="Pointe a Raquette"/>
    <s v="HT0152"/>
    <m/>
    <m/>
    <m/>
    <n v="26818"/>
    <s v="Global_Population"/>
    <n v="7309.5"/>
    <n v="4232"/>
    <n v="3169"/>
    <n v="17205"/>
    <n v="6420.8235858813869"/>
    <n v="5697.19"/>
    <n v="0"/>
    <n v="7392.75"/>
    <m/>
    <m/>
    <m/>
    <m/>
    <n v="0.25"/>
    <n v="0.15000000000000002"/>
    <n v="0.1"/>
    <n v="0.65"/>
    <n v="0.25"/>
    <n v="0.2"/>
    <n v="0"/>
    <n v="0.30000000000000004"/>
    <n v="0"/>
    <n v="0"/>
    <n v="0"/>
    <n v="0"/>
    <n v="17205"/>
    <s v="Food Security"/>
    <n v="0.64154672235066001"/>
    <s v=""/>
    <s v=""/>
    <s v=""/>
    <n v="7392.75"/>
    <s v="WASH"/>
    <n v="0.27566373331344618"/>
    <n v="9812.25"/>
    <n v="1.3272801055087755"/>
    <s v="Flagged"/>
    <n v="7309.5"/>
    <s v="CCCM"/>
    <n v="0.2725594749794914"/>
    <n v="9895.5"/>
    <n v="1.3537861686845885"/>
    <s v="Flagged"/>
    <n v="0.1"/>
    <s v=""/>
    <n v="0.1"/>
    <s v=""/>
    <x v="2"/>
    <n v="17205"/>
    <m/>
    <m/>
    <n v="2"/>
    <s v="Flagged"/>
    <n v="17205"/>
    <m/>
    <n v="0"/>
    <n v="8602.5"/>
    <n v="8602.5"/>
  </r>
  <r>
    <s v="Global_PopulationHT0211"/>
    <s v="Sud-Est"/>
    <s v="HT02"/>
    <s v="Jacmel"/>
    <s v="HT0211"/>
    <m/>
    <m/>
    <m/>
    <n v="258099"/>
    <s v="Global_Population"/>
    <n v="97578"/>
    <n v="12501"/>
    <n v="27825"/>
    <n v="128308"/>
    <n v="136949.10476657443"/>
    <n v="85639.652307692319"/>
    <n v="118927"/>
    <n v="65052"/>
    <m/>
    <m/>
    <m/>
    <m/>
    <n v="0.4"/>
    <n v="0.05"/>
    <n v="0.1"/>
    <n v="0.5"/>
    <n v="0.55000000000000004"/>
    <n v="0.35000000000000003"/>
    <n v="0.45"/>
    <n v="0.25"/>
    <n v="0"/>
    <n v="0"/>
    <n v="0"/>
    <n v="0"/>
    <n v="136949.10476657443"/>
    <s v="Health"/>
    <n v="0.5306068786263195"/>
    <s v=""/>
    <s v=""/>
    <s v=""/>
    <n v="128308"/>
    <s v="Food Security"/>
    <n v="0.49712707139508483"/>
    <n v="8641.1047665744263"/>
    <n v="6.7346578284864747E-2"/>
    <s v=""/>
    <n v="118927"/>
    <s v="Shelter"/>
    <n v="0.46078055319857886"/>
    <n v="18022.104766574426"/>
    <n v="0.1515392195765001"/>
    <s v=""/>
    <n v="-0.1"/>
    <s v=""/>
    <n v="0"/>
    <s v=""/>
    <x v="2"/>
    <n v="136949.10476657443"/>
    <m/>
    <m/>
    <n v="0"/>
    <s v=""/>
    <n v="136949.10476657443"/>
    <m/>
    <n v="0"/>
    <n v="68474.552383287213"/>
    <n v="0"/>
  </r>
  <r>
    <s v="Global_PopulationHT0212"/>
    <s v="Sud-Est"/>
    <s v="HT02"/>
    <s v="Marigot"/>
    <s v="HT0212"/>
    <m/>
    <m/>
    <m/>
    <n v="92869"/>
    <s v="Global_Population"/>
    <n v="14595"/>
    <n v="4511"/>
    <n v="8543"/>
    <n v="50756"/>
    <n v="19661.349587667006"/>
    <n v="20357.437777777777"/>
    <n v="0"/>
    <n v="15084.5"/>
    <m/>
    <m/>
    <m/>
    <m/>
    <n v="0.15000000000000002"/>
    <n v="0.05"/>
    <n v="0.1"/>
    <n v="0.55000000000000004"/>
    <n v="0.2"/>
    <n v="0.2"/>
    <n v="0"/>
    <n v="0.15000000000000002"/>
    <n v="0"/>
    <n v="0"/>
    <n v="0"/>
    <n v="0"/>
    <n v="50756"/>
    <s v="Food Security"/>
    <n v="0.54653328882619601"/>
    <s v=""/>
    <s v=""/>
    <s v=""/>
    <n v="20357.437777777777"/>
    <s v="Protection"/>
    <n v="0.21920595438496998"/>
    <n v="30398.562222222223"/>
    <n v="1.4932410725776777"/>
    <s v="Flagged"/>
    <n v="19661.349587667006"/>
    <s v="Health"/>
    <n v="0.21171057713194938"/>
    <n v="31094.650412332994"/>
    <n v="1.5815114966389574"/>
    <s v="Flagged"/>
    <n v="0.4"/>
    <s v=""/>
    <s v=""/>
    <s v=""/>
    <x v="3"/>
    <n v="0"/>
    <m/>
    <m/>
    <n v="2"/>
    <s v="Flagged"/>
    <n v="0"/>
    <m/>
    <n v="0"/>
    <n v="0"/>
    <n v="0"/>
  </r>
  <r>
    <s v="Global_PopulationHT0213"/>
    <s v="Sud-Est"/>
    <s v="HT02"/>
    <s v="Cayes-Jacmel"/>
    <s v="HT0213"/>
    <m/>
    <m/>
    <m/>
    <n v="49845"/>
    <s v="Global_Population"/>
    <n v="6204"/>
    <n v="2513"/>
    <n v="4522"/>
    <n v="26984"/>
    <n v="8041.3692015473889"/>
    <n v="3413.6800000000003"/>
    <n v="0"/>
    <n v="9969"/>
    <m/>
    <m/>
    <m/>
    <m/>
    <n v="0.1"/>
    <n v="0.05"/>
    <n v="0.1"/>
    <n v="0.55000000000000004"/>
    <n v="0.15000000000000002"/>
    <n v="0.05"/>
    <n v="0"/>
    <n v="0.2"/>
    <n v="0"/>
    <n v="0"/>
    <n v="0"/>
    <n v="0"/>
    <n v="26984"/>
    <s v="Food Security"/>
    <n v="0.5413582104524024"/>
    <s v=""/>
    <s v=""/>
    <s v=""/>
    <n v="9969"/>
    <s v="WASH"/>
    <n v="0.2"/>
    <n v="17015"/>
    <n v="1.7067910522620122"/>
    <s v="Flagged"/>
    <n v="8041.3692015473889"/>
    <s v="Health"/>
    <n v="0.16132749927871179"/>
    <n v="18942.63079845261"/>
    <n v="2.3556474430756777"/>
    <s v="Flagged"/>
    <n v="0.4"/>
    <s v=""/>
    <n v="-0.5"/>
    <s v=""/>
    <x v="3"/>
    <n v="0"/>
    <m/>
    <m/>
    <n v="2"/>
    <s v="Flagged"/>
    <n v="0"/>
    <m/>
    <n v="0"/>
    <n v="0"/>
    <n v="0"/>
  </r>
  <r>
    <s v="Global_PopulationHT0214"/>
    <s v="Sud-Est"/>
    <s v="HT02"/>
    <s v="La Vallee"/>
    <s v="HT0214"/>
    <m/>
    <m/>
    <m/>
    <n v="47372"/>
    <s v="Global_Population"/>
    <n v="28959"/>
    <n v="2561"/>
    <n v="5629"/>
    <n v="23964"/>
    <n v="40592.890716574009"/>
    <n v="12474.174999999999"/>
    <n v="35390"/>
    <n v="19306"/>
    <m/>
    <m/>
    <m/>
    <m/>
    <n v="0.60000000000000009"/>
    <n v="0.05"/>
    <n v="0.1"/>
    <n v="0.5"/>
    <n v="0.85000000000000009"/>
    <n v="0.25"/>
    <n v="0.75"/>
    <n v="0.4"/>
    <n v="0"/>
    <n v="0"/>
    <n v="0"/>
    <n v="0"/>
    <n v="40592.890716574009"/>
    <s v="Health"/>
    <n v="0.85689628296407183"/>
    <s v=""/>
    <s v=""/>
    <s v=""/>
    <n v="35390"/>
    <s v="Shelter"/>
    <n v="0.74706577725238532"/>
    <n v="5202.8907165740093"/>
    <n v="0.14701584392692876"/>
    <s v=""/>
    <n v="28959"/>
    <s v="CCCM"/>
    <n v="0.61131047876382671"/>
    <n v="11633.890716574009"/>
    <n v="0.40173661785883524"/>
    <s v=""/>
    <n v="0.9"/>
    <s v=""/>
    <n v="0.8"/>
    <s v=""/>
    <x v="2"/>
    <n v="40592.890716574009"/>
    <m/>
    <m/>
    <n v="0"/>
    <s v=""/>
    <n v="40592.890716574009"/>
    <m/>
    <n v="0"/>
    <n v="20296.445358287005"/>
    <n v="0"/>
  </r>
  <r>
    <s v="Global_PopulationHT0221"/>
    <s v="Sud-Est"/>
    <s v="HT02"/>
    <s v="Bainet"/>
    <s v="HT0221"/>
    <m/>
    <m/>
    <m/>
    <n v="113034"/>
    <s v="Global_Population"/>
    <n v="21283.5"/>
    <n v="6126"/>
    <n v="10447"/>
    <n v="57856"/>
    <n v="29061.440102741559"/>
    <n v="7723.78"/>
    <n v="50343"/>
    <n v="14189"/>
    <m/>
    <m/>
    <m/>
    <m/>
    <n v="0.2"/>
    <n v="0.05"/>
    <n v="0.1"/>
    <n v="0.5"/>
    <n v="0.25"/>
    <n v="0.05"/>
    <n v="0.45"/>
    <n v="0.15000000000000002"/>
    <n v="0"/>
    <n v="0"/>
    <n v="0"/>
    <n v="0"/>
    <n v="57856"/>
    <s v="Food Security"/>
    <n v="0.5118459932409718"/>
    <s v=""/>
    <s v=""/>
    <s v=""/>
    <n v="50343"/>
    <s v="Shelter"/>
    <n v="0.44537926641541481"/>
    <n v="7513"/>
    <n v="0.14923623939773156"/>
    <s v=""/>
    <n v="29061.440102741559"/>
    <s v="Health"/>
    <n v="0.25710352728153968"/>
    <n v="28794.559897258441"/>
    <n v="0.99081669027620067"/>
    <s v="Flagged"/>
    <n v="0.5"/>
    <s v=""/>
    <n v="0.2"/>
    <s v=""/>
    <x v="2"/>
    <n v="57856"/>
    <m/>
    <m/>
    <n v="1"/>
    <s v="Flagged"/>
    <n v="57856"/>
    <m/>
    <n v="0"/>
    <n v="28928"/>
    <n v="0"/>
  </r>
  <r>
    <s v="Global_PopulationHT0222"/>
    <s v="Sud-Est"/>
    <s v="HT02"/>
    <s v="Cotes de Fer"/>
    <s v="HT0222"/>
    <m/>
    <m/>
    <m/>
    <n v="63370"/>
    <s v="Global_Population"/>
    <n v="21187.5"/>
    <n v="3407"/>
    <n v="6059"/>
    <n v="32943"/>
    <n v="20780.091295575221"/>
    <n v="7384.82"/>
    <n v="0"/>
    <n v="16646.0625"/>
    <m/>
    <m/>
    <m/>
    <m/>
    <n v="0.35000000000000003"/>
    <n v="0.05"/>
    <n v="0.1"/>
    <n v="0.5"/>
    <n v="0.35000000000000003"/>
    <n v="0.1"/>
    <n v="0"/>
    <n v="0.25"/>
    <n v="0"/>
    <n v="0"/>
    <n v="0"/>
    <n v="0"/>
    <n v="32943"/>
    <s v="Food Security"/>
    <n v="0.51985166482562728"/>
    <s v=""/>
    <s v=""/>
    <s v=""/>
    <n v="21187.5"/>
    <s v="CCCM"/>
    <n v="0.33434590500236705"/>
    <n v="11755.5"/>
    <n v="0.5548318584070796"/>
    <s v="Flagged"/>
    <n v="20780.091295575221"/>
    <s v="Health"/>
    <n v="0.32791685806493959"/>
    <n v="12162.908704424779"/>
    <n v="0.58531546042892846"/>
    <s v=""/>
    <n v="0.4"/>
    <s v=""/>
    <n v="1.8"/>
    <s v="Flagged"/>
    <x v="2"/>
    <n v="32943"/>
    <m/>
    <m/>
    <n v="2"/>
    <s v="Flagged"/>
    <n v="32943"/>
    <m/>
    <n v="0"/>
    <n v="16471.5"/>
    <n v="0"/>
  </r>
  <r>
    <s v="Global_PopulationHT0231"/>
    <s v="Sud-Est"/>
    <s v="HT02"/>
    <s v="Belle Anse"/>
    <s v="HT0231"/>
    <m/>
    <m/>
    <m/>
    <n v="95781"/>
    <s v="Global_Population"/>
    <n v="16605"/>
    <n v="4832"/>
    <n v="9364"/>
    <n v="54963"/>
    <n v="23146.363591147245"/>
    <n v="14625.630000000001"/>
    <n v="41241"/>
    <n v="22996.1875"/>
    <m/>
    <m/>
    <m/>
    <m/>
    <n v="0.15000000000000002"/>
    <n v="0.05"/>
    <n v="0.1"/>
    <n v="0.55000000000000004"/>
    <n v="0.25"/>
    <n v="0.15000000000000002"/>
    <n v="0.45"/>
    <n v="0.25"/>
    <n v="0"/>
    <n v="0"/>
    <n v="0"/>
    <n v="0"/>
    <n v="54963"/>
    <s v="Food Security"/>
    <n v="0.57384032323738532"/>
    <s v=""/>
    <s v=""/>
    <s v=""/>
    <n v="41241"/>
    <s v="Shelter"/>
    <n v="0.43057600150342967"/>
    <n v="13722"/>
    <n v="0.33272714046701096"/>
    <s v=""/>
    <n v="23146.363591147245"/>
    <s v="Health"/>
    <n v="0.2416592392139072"/>
    <n v="31816.636408852755"/>
    <n v="1.3745846635288153"/>
    <s v="Flagged"/>
    <n v="0.2"/>
    <s v=""/>
    <n v="0.9"/>
    <s v=""/>
    <x v="2"/>
    <n v="54963"/>
    <m/>
    <m/>
    <n v="1"/>
    <s v="Flagged"/>
    <n v="54963"/>
    <m/>
    <n v="0"/>
    <n v="27481.5"/>
    <n v="27481.5"/>
  </r>
  <r>
    <s v="Global_PopulationHT0232"/>
    <s v="Sud-Est"/>
    <s v="HT02"/>
    <s v="Grand Gosier"/>
    <s v="HT0232"/>
    <m/>
    <m/>
    <m/>
    <n v="25416"/>
    <s v="Global_Population"/>
    <n v="8899.5"/>
    <n v="1209"/>
    <n v="2465"/>
    <n v="12345"/>
    <n v="11559.685098971851"/>
    <n v="6113.1"/>
    <n v="10619"/>
    <n v="12708"/>
    <m/>
    <m/>
    <m/>
    <m/>
    <n v="0.35000000000000003"/>
    <n v="0.05"/>
    <n v="0.1"/>
    <n v="0.5"/>
    <n v="0.45"/>
    <n v="0.25"/>
    <n v="0.4"/>
    <n v="0.5"/>
    <n v="0"/>
    <n v="0"/>
    <n v="0"/>
    <n v="0"/>
    <n v="12708"/>
    <s v="WASH"/>
    <n v="0.5"/>
    <s v=""/>
    <s v=""/>
    <s v=""/>
    <n v="12345"/>
    <s v="Food Security"/>
    <n v="0.4857176581680831"/>
    <n v="363"/>
    <n v="2.9404617253948967E-2"/>
    <s v=""/>
    <n v="11559.685098971851"/>
    <s v="Health"/>
    <n v="0.45481921226675526"/>
    <n v="1148.3149010281486"/>
    <n v="9.9337905072369379E-2"/>
    <s v=""/>
    <n v="-0.6"/>
    <s v=""/>
    <n v="0.2"/>
    <s v=""/>
    <x v="2"/>
    <n v="12708"/>
    <m/>
    <m/>
    <n v="0"/>
    <s v=""/>
    <n v="12708"/>
    <m/>
    <n v="0"/>
    <n v="6354"/>
    <n v="6354"/>
  </r>
  <r>
    <s v="Global_PopulationHT0233"/>
    <s v="Sud-Est"/>
    <s v="HT02"/>
    <s v="Thiotte"/>
    <s v="HT0233"/>
    <m/>
    <m/>
    <m/>
    <n v="46178"/>
    <s v="Global_Population"/>
    <n v="14400"/>
    <n v="1877"/>
    <n v="4253"/>
    <n v="24634"/>
    <n v="19729.301466666664"/>
    <n v="21806.46"/>
    <n v="30428"/>
    <n v="12462.8"/>
    <m/>
    <m/>
    <m/>
    <m/>
    <n v="0.30000000000000004"/>
    <n v="0.05"/>
    <n v="0.1"/>
    <n v="0.55000000000000004"/>
    <n v="0.45"/>
    <n v="0.45"/>
    <n v="0.65"/>
    <n v="0.25"/>
    <n v="0"/>
    <n v="0"/>
    <n v="0"/>
    <n v="0"/>
    <n v="30428"/>
    <s v="Shelter"/>
    <n v="0.65892849408809395"/>
    <s v=""/>
    <s v=""/>
    <s v=""/>
    <n v="24634"/>
    <s v="Food Security"/>
    <n v="0.53345749057992986"/>
    <n v="5794"/>
    <n v="0.23520337744580661"/>
    <s v=""/>
    <n v="21806.46"/>
    <s v="Protection"/>
    <n v="0.47222616830525355"/>
    <n v="8621.5400000000009"/>
    <n v="0.39536632722596887"/>
    <s v=""/>
    <n v="1.2"/>
    <s v="Flagged"/>
    <n v="0.3"/>
    <s v=""/>
    <x v="2"/>
    <n v="30428"/>
    <m/>
    <m/>
    <n v="1"/>
    <s v="Flagged"/>
    <n v="30428"/>
    <m/>
    <n v="0"/>
    <n v="15214"/>
    <n v="0"/>
  </r>
  <r>
    <s v="Global_PopulationHT0234"/>
    <s v="Sud-Est"/>
    <s v="HT02"/>
    <s v="Anse-a-Pitre"/>
    <s v="HT0234"/>
    <m/>
    <m/>
    <m/>
    <n v="43459"/>
    <s v="Global_Population"/>
    <n v="12225"/>
    <n v="1414"/>
    <n v="4005"/>
    <n v="20691"/>
    <n v="17436.151412269937"/>
    <n v="17557.88"/>
    <n v="28287"/>
    <n v="10864.75"/>
    <m/>
    <m/>
    <m/>
    <m/>
    <n v="0.30000000000000004"/>
    <n v="0.05"/>
    <n v="0.1"/>
    <n v="0.5"/>
    <n v="0.4"/>
    <n v="0.4"/>
    <n v="0.65"/>
    <n v="0.25"/>
    <n v="0"/>
    <n v="0"/>
    <n v="0"/>
    <n v="0"/>
    <n v="28287"/>
    <s v="Shelter"/>
    <n v="0.65088934397938292"/>
    <s v=""/>
    <s v=""/>
    <s v=""/>
    <n v="20691"/>
    <s v="Food Security"/>
    <n v="0.47610391403391705"/>
    <n v="7596"/>
    <n v="0.36711613745106569"/>
    <s v=""/>
    <n v="17557.88"/>
    <s v="Protection"/>
    <n v="0.40401021652592101"/>
    <n v="10729.119999999999"/>
    <n v="0.61107149610317413"/>
    <s v=""/>
    <n v="-0.1"/>
    <s v=""/>
    <n v="0.4"/>
    <s v=""/>
    <x v="2"/>
    <n v="28287"/>
    <m/>
    <m/>
    <n v="0"/>
    <s v=""/>
    <n v="28287"/>
    <m/>
    <n v="0"/>
    <n v="14143.5"/>
    <n v="0"/>
  </r>
  <r>
    <s v="Global_PopulationHT0311"/>
    <s v="Nord"/>
    <s v="HT03"/>
    <s v="Cap-Haitien"/>
    <s v="HT0311"/>
    <m/>
    <m/>
    <m/>
    <n v="303590"/>
    <s v="Global_Population"/>
    <n v="80274"/>
    <n v="18555"/>
    <n v="31869"/>
    <n v="115680"/>
    <n v="56716.903215877071"/>
    <n v="48863.545263157896"/>
    <n v="129787"/>
    <n v="53516"/>
    <m/>
    <m/>
    <m/>
    <m/>
    <n v="0.25"/>
    <n v="0.05"/>
    <n v="0.1"/>
    <n v="0.4"/>
    <n v="0.2"/>
    <n v="0.15000000000000002"/>
    <n v="0.45"/>
    <n v="0.2"/>
    <n v="0"/>
    <n v="0"/>
    <n v="0"/>
    <n v="0"/>
    <n v="129787"/>
    <s v="Shelter"/>
    <n v="0.42750749365921142"/>
    <s v=""/>
    <s v=""/>
    <s v=""/>
    <n v="115680"/>
    <s v="Food Security"/>
    <n v="0.3810402187160315"/>
    <n v="14107"/>
    <n v="0.1219484785615491"/>
    <s v=""/>
    <n v="80274"/>
    <s v="CCCM"/>
    <n v="0.26441582397312163"/>
    <n v="49513"/>
    <n v="0.61679996013653238"/>
    <s v=""/>
    <n v="0"/>
    <s v=""/>
    <n v="0.2"/>
    <s v=""/>
    <x v="2"/>
    <n v="129787"/>
    <m/>
    <m/>
    <n v="0"/>
    <s v=""/>
    <n v="129787"/>
    <m/>
    <n v="0"/>
    <n v="64893.5"/>
    <n v="0"/>
  </r>
  <r>
    <s v="Global_PopulationHT0312"/>
    <s v="Nord"/>
    <s v="HT03"/>
    <s v="Quartier Morin"/>
    <s v="HT0312"/>
    <m/>
    <m/>
    <m/>
    <n v="29881"/>
    <s v="Global_Population"/>
    <n v="7230"/>
    <n v="1835"/>
    <n v="3112"/>
    <n v="14747"/>
    <n v="8521.0572356846478"/>
    <n v="2512.2399999999998"/>
    <n v="0"/>
    <n v="5079.7700000000004"/>
    <m/>
    <m/>
    <m/>
    <m/>
    <n v="0.25"/>
    <n v="0.05"/>
    <n v="0.1"/>
    <n v="0.5"/>
    <n v="0.30000000000000004"/>
    <n v="0.1"/>
    <n v="0"/>
    <n v="0.15000000000000002"/>
    <n v="0"/>
    <n v="0"/>
    <n v="0"/>
    <n v="0"/>
    <n v="14747"/>
    <s v="Food Security"/>
    <n v="0.49352431310866435"/>
    <s v=""/>
    <s v=""/>
    <s v=""/>
    <n v="8521.0572356846478"/>
    <s v="Health"/>
    <n v="0.2851664012477711"/>
    <n v="6225.9427643153522"/>
    <n v="0.73065379002997766"/>
    <s v="Flagged"/>
    <n v="7230"/>
    <s v="CCCM"/>
    <n v="0.24195977376928482"/>
    <n v="7517"/>
    <n v="1.0396957123098203"/>
    <s v="Flagged"/>
    <n v="0.1"/>
    <s v=""/>
    <n v="-0.1"/>
    <s v=""/>
    <x v="2"/>
    <n v="14747"/>
    <m/>
    <m/>
    <n v="2"/>
    <s v="Flagged"/>
    <n v="14747"/>
    <m/>
    <n v="0"/>
    <n v="7373.5"/>
    <n v="0"/>
  </r>
  <r>
    <s v="Global_PopulationHT0313"/>
    <s v="Nord"/>
    <s v="HT03"/>
    <s v="Limonade"/>
    <s v="HT0313"/>
    <m/>
    <m/>
    <m/>
    <n v="61261"/>
    <s v="Global_Population"/>
    <n v="9532.5"/>
    <n v="4018"/>
    <n v="5852"/>
    <n v="29723"/>
    <n v="11620.172566325728"/>
    <n v="8898.6066666666666"/>
    <n v="0"/>
    <n v="10210.166666666666"/>
    <m/>
    <m/>
    <m/>
    <m/>
    <n v="0.15000000000000002"/>
    <n v="0.05"/>
    <n v="0.1"/>
    <n v="0.5"/>
    <n v="0.2"/>
    <n v="0.15000000000000002"/>
    <n v="0"/>
    <n v="0.15000000000000002"/>
    <n v="0"/>
    <n v="0"/>
    <n v="0"/>
    <n v="0"/>
    <n v="29723"/>
    <s v="Food Security"/>
    <n v="0.4851863338828945"/>
    <s v=""/>
    <s v=""/>
    <s v=""/>
    <n v="11620.172566325728"/>
    <s v="Health"/>
    <n v="0.18968303759856561"/>
    <n v="18102.827433674272"/>
    <n v="1.5578793972591016"/>
    <s v="Flagged"/>
    <n v="10210.166666666666"/>
    <s v="WASH"/>
    <n v="0.16666666666666666"/>
    <n v="19512.833333333336"/>
    <n v="1.9111180032973674"/>
    <s v="Flagged"/>
    <n v="0.1"/>
    <s v=""/>
    <n v="-0.5"/>
    <s v=""/>
    <x v="2"/>
    <n v="29723"/>
    <m/>
    <m/>
    <n v="2"/>
    <s v="Flagged"/>
    <n v="29723"/>
    <m/>
    <n v="0"/>
    <n v="14861.5"/>
    <n v="0"/>
  </r>
  <r>
    <s v="Global_PopulationHT0321"/>
    <s v="Nord"/>
    <s v="HT03"/>
    <s v="Acul du Nord"/>
    <s v="HT0321"/>
    <m/>
    <m/>
    <m/>
    <n v="59632"/>
    <s v="Global_Population"/>
    <n v="6930"/>
    <n v="3660"/>
    <n v="5866"/>
    <n v="30135"/>
    <n v="6096.9742025974028"/>
    <n v="3791.9199999999996"/>
    <n v="16456"/>
    <n v="6293"/>
    <m/>
    <m/>
    <m/>
    <m/>
    <n v="0.1"/>
    <n v="0.05"/>
    <n v="0.1"/>
    <n v="0.5"/>
    <n v="0.1"/>
    <n v="0.05"/>
    <n v="0.30000000000000004"/>
    <n v="0.1"/>
    <n v="0"/>
    <n v="0"/>
    <n v="0"/>
    <n v="0"/>
    <n v="30135"/>
    <s v="Food Security"/>
    <n v="0.50534947679098474"/>
    <s v=""/>
    <s v=""/>
    <s v=""/>
    <n v="16456"/>
    <s v="Shelter"/>
    <n v="0.27595921652803862"/>
    <n v="13679"/>
    <n v="0.83124696159455513"/>
    <s v="Flagged"/>
    <n v="6930"/>
    <s v="CCCM"/>
    <n v="0.11621277166621947"/>
    <n v="23205"/>
    <n v="3.3484848484848486"/>
    <s v="Flagged"/>
    <n v="0.1"/>
    <s v=""/>
    <n v="-0.5"/>
    <s v=""/>
    <x v="2"/>
    <n v="30135"/>
    <m/>
    <m/>
    <n v="2"/>
    <s v="Flagged"/>
    <n v="30135"/>
    <m/>
    <n v="0"/>
    <n v="15067.5"/>
    <n v="0"/>
  </r>
  <r>
    <s v="Global_PopulationHT0322"/>
    <s v="Nord"/>
    <s v="HT03"/>
    <s v="Plaine du Nord"/>
    <s v="HT0322"/>
    <m/>
    <m/>
    <m/>
    <n v="43982"/>
    <s v="Global_Population"/>
    <n v="4372.5"/>
    <n v="2847"/>
    <n v="4291"/>
    <n v="22237"/>
    <n v="4680.5900317895939"/>
    <n v="1950.22"/>
    <n v="0"/>
    <n v="2915"/>
    <m/>
    <m/>
    <m/>
    <m/>
    <n v="0.1"/>
    <n v="0.05"/>
    <n v="0.1"/>
    <n v="0.5"/>
    <n v="0.1"/>
    <n v="0.05"/>
    <n v="0"/>
    <n v="0.05"/>
    <n v="0"/>
    <n v="0"/>
    <n v="0"/>
    <n v="0"/>
    <n v="22237"/>
    <s v="Food Security"/>
    <n v="0.50559319721704332"/>
    <s v=""/>
    <s v=""/>
    <s v=""/>
    <n v="4680.5900317895939"/>
    <s v="Health"/>
    <n v="0.10642058186961925"/>
    <n v="17556.409968210406"/>
    <n v="3.7508967563856097"/>
    <s v="Flagged"/>
    <n v="4372.5"/>
    <s v="CCCM"/>
    <n v="9.9415670046837337E-2"/>
    <n v="17864.5"/>
    <n v="4.0856489422527158"/>
    <s v="Flagged"/>
    <n v="0.1"/>
    <s v=""/>
    <n v="-0.6"/>
    <s v=""/>
    <x v="3"/>
    <n v="0"/>
    <m/>
    <m/>
    <n v="2"/>
    <s v="Flagged"/>
    <n v="0"/>
    <m/>
    <n v="0"/>
    <n v="0"/>
    <n v="0"/>
  </r>
  <r>
    <s v="Global_PopulationHT0323"/>
    <s v="Nord"/>
    <s v="HT03"/>
    <s v="Milot"/>
    <s v="HT0323"/>
    <m/>
    <m/>
    <m/>
    <n v="34193"/>
    <s v="Global_Population"/>
    <n v="3136.5"/>
    <n v="2174"/>
    <n v="3320"/>
    <n v="17244"/>
    <n v="2851.8176896221903"/>
    <n v="3207.84"/>
    <n v="0"/>
    <n v="4274.125"/>
    <m/>
    <m/>
    <m/>
    <m/>
    <n v="0.1"/>
    <n v="0.05"/>
    <n v="0.1"/>
    <n v="0.5"/>
    <n v="0.1"/>
    <n v="0.1"/>
    <n v="0"/>
    <n v="0.15000000000000002"/>
    <n v="0"/>
    <n v="0"/>
    <n v="0"/>
    <n v="0"/>
    <n v="17244"/>
    <s v="Food Security"/>
    <n v="0.50431374842804078"/>
    <s v=""/>
    <s v=""/>
    <s v=""/>
    <n v="4274.125"/>
    <s v="WASH"/>
    <n v="0.125"/>
    <n v="12969.875"/>
    <n v="3.0345099874243266"/>
    <s v="Flagged"/>
    <n v="3320"/>
    <s v="Nutrition"/>
    <n v="9.7095896820986752E-2"/>
    <n v="13924"/>
    <n v="4.1939759036144579"/>
    <s v="Flagged"/>
    <n v="0.1"/>
    <s v=""/>
    <n v="-0.4"/>
    <s v=""/>
    <x v="3"/>
    <n v="0"/>
    <m/>
    <m/>
    <n v="2"/>
    <s v="Flagged"/>
    <n v="0"/>
    <m/>
    <n v="0"/>
    <n v="0"/>
    <n v="0"/>
  </r>
  <r>
    <s v="Global_PopulationHT0331"/>
    <s v="Nord"/>
    <s v="HT03"/>
    <s v="Grande Riviere Du Nord"/>
    <s v="HT0331"/>
    <m/>
    <m/>
    <m/>
    <n v="43816"/>
    <s v="Global_Population"/>
    <n v="8400"/>
    <n v="2555"/>
    <n v="4483"/>
    <n v="22294"/>
    <n v="9736.8090714285718"/>
    <n v="3353.44"/>
    <n v="13260"/>
    <n v="5600"/>
    <m/>
    <m/>
    <m/>
    <m/>
    <n v="0.2"/>
    <n v="0.05"/>
    <n v="0.1"/>
    <n v="0.5"/>
    <n v="0.2"/>
    <n v="0.1"/>
    <n v="0.30000000000000004"/>
    <n v="0.15000000000000002"/>
    <n v="0"/>
    <n v="0"/>
    <n v="0"/>
    <n v="0"/>
    <n v="22294"/>
    <s v="Food Security"/>
    <n v="0.5088095672813584"/>
    <s v=""/>
    <s v=""/>
    <s v=""/>
    <n v="13260"/>
    <s v="Shelter"/>
    <n v="0.30262917655650906"/>
    <n v="9034"/>
    <n v="0.68129713423831073"/>
    <s v="Flagged"/>
    <n v="9736.8090714285718"/>
    <s v="Health"/>
    <n v="0.22222040057121992"/>
    <n v="12557.190928571428"/>
    <n v="1.2896618221075022"/>
    <s v="Flagged"/>
    <n v="0"/>
    <s v=""/>
    <n v="-0.2"/>
    <s v=""/>
    <x v="2"/>
    <n v="22294"/>
    <m/>
    <m/>
    <n v="2"/>
    <s v="Flagged"/>
    <n v="22294"/>
    <m/>
    <n v="0"/>
    <n v="11147"/>
    <n v="0"/>
  </r>
  <r>
    <s v="Global_PopulationHT0332"/>
    <s v="Nord"/>
    <s v="HT03"/>
    <s v="Bahon"/>
    <s v="HT0332"/>
    <m/>
    <m/>
    <m/>
    <n v="24534"/>
    <s v="Global_Population"/>
    <n v="3994.5"/>
    <n v="1564"/>
    <n v="2477"/>
    <n v="12532"/>
    <n v="4846.926175441231"/>
    <n v="2684.686666666667"/>
    <n v="11281"/>
    <n v="12267"/>
    <m/>
    <m/>
    <m/>
    <m/>
    <n v="0.15000000000000002"/>
    <n v="0.05"/>
    <n v="0.1"/>
    <n v="0.5"/>
    <n v="0.2"/>
    <n v="0.1"/>
    <n v="0.45"/>
    <n v="0.5"/>
    <n v="0"/>
    <n v="0"/>
    <n v="0"/>
    <n v="0"/>
    <n v="12532"/>
    <s v="Food Security"/>
    <n v="0.51080133692019236"/>
    <s v=""/>
    <s v=""/>
    <s v=""/>
    <n v="12267"/>
    <s v="WASH"/>
    <n v="0.5"/>
    <n v="265"/>
    <n v="2.1602673840384772E-2"/>
    <s v=""/>
    <n v="11281"/>
    <s v="Shelter"/>
    <n v="0.45981087470449172"/>
    <n v="1251"/>
    <n v="0.11089442425316905"/>
    <s v=""/>
    <n v="0"/>
    <s v=""/>
    <n v="3.4"/>
    <s v="Flagged"/>
    <x v="2"/>
    <n v="12532"/>
    <m/>
    <m/>
    <n v="1"/>
    <s v="Flagged"/>
    <n v="12532"/>
    <m/>
    <n v="0"/>
    <n v="6266"/>
    <n v="0"/>
  </r>
  <r>
    <s v="Global_PopulationHT0341"/>
    <s v="Nord"/>
    <s v="HT03"/>
    <s v="Saint-Raphael"/>
    <s v="HT0341"/>
    <m/>
    <m/>
    <m/>
    <n v="56607"/>
    <s v="Global_Population"/>
    <n v="3132"/>
    <n v="3649"/>
    <n v="5412"/>
    <n v="28974"/>
    <n v="3975.5317609195399"/>
    <n v="1950.84"/>
    <n v="0"/>
    <n v="2088"/>
    <m/>
    <m/>
    <m/>
    <m/>
    <n v="0.05"/>
    <n v="0.05"/>
    <n v="0.1"/>
    <n v="0.5"/>
    <n v="0.05"/>
    <n v="0.05"/>
    <n v="0"/>
    <n v="0.05"/>
    <n v="0"/>
    <n v="0"/>
    <n v="0"/>
    <n v="0"/>
    <n v="28974"/>
    <s v="Food Security"/>
    <n v="0.51184482484498384"/>
    <s v=""/>
    <s v=""/>
    <s v=""/>
    <n v="5412"/>
    <s v="Nutrition"/>
    <n v="9.5606550426625678E-2"/>
    <n v="23562"/>
    <n v="4.3536585365853657"/>
    <s v="Flagged"/>
    <n v="3975.5317609195399"/>
    <s v="Health"/>
    <n v="7.0230391310607168E-2"/>
    <n v="24998.468239080459"/>
    <n v="6.2880816309459737"/>
    <s v="Flagged"/>
    <n v="0"/>
    <s v=""/>
    <n v="0"/>
    <s v=""/>
    <x v="2"/>
    <n v="28974"/>
    <m/>
    <m/>
    <n v="2"/>
    <s v="Flagged"/>
    <n v="28974"/>
    <m/>
    <n v="0"/>
    <n v="14487"/>
    <n v="14487"/>
  </r>
  <r>
    <s v="Global_PopulationHT0342"/>
    <s v="Nord"/>
    <s v="HT03"/>
    <s v="Dondon"/>
    <s v="HT0342"/>
    <m/>
    <m/>
    <m/>
    <n v="36398"/>
    <s v="Global_Population"/>
    <n v="535.5"/>
    <n v="2258"/>
    <n v="3408"/>
    <n v="18652"/>
    <n v="1107.0445999999999"/>
    <n v="1381.01"/>
    <n v="13918"/>
    <n v="30331.666666666668"/>
    <m/>
    <m/>
    <m/>
    <m/>
    <n v="0"/>
    <n v="0.05"/>
    <n v="0.1"/>
    <n v="0.5"/>
    <n v="0.05"/>
    <n v="0.05"/>
    <n v="0.4"/>
    <n v="0.85000000000000009"/>
    <n v="0"/>
    <n v="0"/>
    <n v="0"/>
    <n v="0"/>
    <n v="30331.666666666668"/>
    <s v="WASH"/>
    <n v="0.83333333333333337"/>
    <s v=""/>
    <s v=""/>
    <s v=""/>
    <n v="18652"/>
    <s v="Food Security"/>
    <n v="0.51244573877685584"/>
    <n v="11679.666666666668"/>
    <n v="0.62618843376939026"/>
    <s v="Flagged"/>
    <n v="13918"/>
    <s v="Shelter"/>
    <n v="0.38238364745315678"/>
    <n v="16413.666666666668"/>
    <n v="1.1793121617090578"/>
    <s v="Flagged"/>
    <n v="2.1"/>
    <s v="Flagged"/>
    <n v="0"/>
    <s v=""/>
    <x v="2"/>
    <n v="30331.666666666668"/>
    <m/>
    <m/>
    <n v="3"/>
    <s v="Flagged"/>
    <n v="18652"/>
    <s v="2nd highest PIN"/>
    <n v="0"/>
    <n v="9326"/>
    <n v="0"/>
  </r>
  <r>
    <s v="Global_PopulationHT0343"/>
    <s v="Nord"/>
    <s v="HT03"/>
    <s v="Ranquitte"/>
    <s v="HT0343"/>
    <m/>
    <m/>
    <m/>
    <n v="29256"/>
    <s v="Global_Population"/>
    <n v="411"/>
    <n v="1913"/>
    <n v="2734"/>
    <n v="14933"/>
    <n v="872.75493722627721"/>
    <n v="1085.21"/>
    <n v="15828"/>
    <n v="1529.5"/>
    <m/>
    <m/>
    <m/>
    <m/>
    <n v="0"/>
    <n v="0.05"/>
    <n v="0.1"/>
    <n v="0.5"/>
    <n v="0.05"/>
    <n v="0.05"/>
    <n v="0.55000000000000004"/>
    <n v="0.05"/>
    <n v="0"/>
    <n v="0"/>
    <n v="0"/>
    <n v="0"/>
    <n v="15828"/>
    <s v="Shelter"/>
    <n v="0.54101722723543888"/>
    <s v=""/>
    <s v=""/>
    <s v=""/>
    <n v="14933"/>
    <s v="Food Security"/>
    <n v="0.51042521192234069"/>
    <n v="895"/>
    <n v="5.9934373535123549E-2"/>
    <s v=""/>
    <n v="2734"/>
    <s v="Nutrition"/>
    <n v="9.3450916051408262E-2"/>
    <n v="13094"/>
    <n v="4.7893196781272858"/>
    <s v="Flagged"/>
    <s v=""/>
    <s v=""/>
    <n v="0"/>
    <s v=""/>
    <x v="2"/>
    <n v="15828"/>
    <m/>
    <m/>
    <n v="1"/>
    <s v="Flagged"/>
    <n v="15828"/>
    <m/>
    <n v="0"/>
    <n v="7914"/>
    <n v="0"/>
  </r>
  <r>
    <s v="Global_PopulationHT0344"/>
    <s v="Nord"/>
    <s v="HT03"/>
    <s v="Pignon"/>
    <s v="HT0344"/>
    <m/>
    <m/>
    <m/>
    <n v="46806"/>
    <s v="Global_Population"/>
    <n v="5476.5"/>
    <n v="3206"/>
    <n v="4591"/>
    <n v="23319"/>
    <n v="6184.1090275102715"/>
    <n v="2211.96"/>
    <n v="0"/>
    <n v="3651"/>
    <m/>
    <m/>
    <m/>
    <m/>
    <n v="0.1"/>
    <n v="0.05"/>
    <n v="0.1"/>
    <n v="0.5"/>
    <n v="0.15000000000000002"/>
    <n v="0.05"/>
    <n v="0"/>
    <n v="0.1"/>
    <n v="0"/>
    <n v="0"/>
    <n v="0"/>
    <n v="0"/>
    <n v="23319"/>
    <s v="Food Security"/>
    <n v="0.49820535828739904"/>
    <s v=""/>
    <s v=""/>
    <s v=""/>
    <n v="6184.1090275102715"/>
    <s v="Health"/>
    <n v="0.13212214304811928"/>
    <n v="17134.890972489728"/>
    <n v="2.7707938033214545"/>
    <s v="Flagged"/>
    <n v="5476.5"/>
    <s v="CCCM"/>
    <n v="0.11700423022689399"/>
    <n v="17842.5"/>
    <n v="3.2580115036976172"/>
    <s v="Flagged"/>
    <n v="0"/>
    <s v=""/>
    <n v="-0.6"/>
    <s v=""/>
    <x v="2"/>
    <n v="23319"/>
    <m/>
    <m/>
    <n v="2"/>
    <s v="Flagged"/>
    <n v="23319"/>
    <m/>
    <n v="0"/>
    <n v="11659.5"/>
    <n v="0"/>
  </r>
  <r>
    <s v="Global_PopulationHT0345"/>
    <s v="Nord"/>
    <s v="HT03"/>
    <s v="La Victoire"/>
    <s v="HT0345"/>
    <m/>
    <m/>
    <m/>
    <n v="11101"/>
    <s v="Global_Population"/>
    <n v="241.5"/>
    <n v="711"/>
    <n v="1043"/>
    <n v="5682"/>
    <n v="582.62875900621111"/>
    <n v="342.1"/>
    <n v="0"/>
    <n v="1242.56"/>
    <m/>
    <m/>
    <m/>
    <m/>
    <n v="0"/>
    <n v="0.05"/>
    <n v="0.1"/>
    <n v="0.5"/>
    <n v="0.05"/>
    <n v="0.05"/>
    <n v="0"/>
    <n v="0.1"/>
    <n v="0"/>
    <n v="0"/>
    <n v="0"/>
    <n v="0"/>
    <n v="5682"/>
    <s v="Food Security"/>
    <n v="0.51184577965949019"/>
    <s v=""/>
    <s v=""/>
    <s v=""/>
    <n v="1242.56"/>
    <s v="WASH"/>
    <n v="0.11193225835510313"/>
    <n v="4439.4400000000005"/>
    <n v="3.5728174092196761"/>
    <s v="Flagged"/>
    <n v="1043"/>
    <s v="Nutrition"/>
    <n v="9.3955499504549136E-2"/>
    <n v="4639"/>
    <n v="4.4477468839884944"/>
    <s v="Flagged"/>
    <n v="0"/>
    <s v=""/>
    <n v="0.3"/>
    <s v=""/>
    <x v="3"/>
    <n v="0"/>
    <m/>
    <m/>
    <n v="2"/>
    <s v="Flagged"/>
    <n v="0"/>
    <m/>
    <n v="0"/>
    <n v="0"/>
    <n v="0"/>
  </r>
  <r>
    <s v="Global_PopulationHT0351"/>
    <s v="Nord"/>
    <s v="HT03"/>
    <s v="Borgne"/>
    <s v="HT0351"/>
    <m/>
    <m/>
    <m/>
    <n v="70765"/>
    <s v="Global_Population"/>
    <n v="5872.5"/>
    <n v="4835"/>
    <n v="6858"/>
    <n v="36071"/>
    <n v="7420.8378257982122"/>
    <n v="4147.08"/>
    <n v="0"/>
    <n v="39313.888888888891"/>
    <m/>
    <m/>
    <m/>
    <m/>
    <n v="0.1"/>
    <n v="0.05"/>
    <n v="0.1"/>
    <n v="0.5"/>
    <n v="0.1"/>
    <n v="0.05"/>
    <n v="0"/>
    <n v="0.55000000000000004"/>
    <n v="0"/>
    <n v="0"/>
    <n v="0"/>
    <n v="0"/>
    <n v="39313.888888888891"/>
    <s v="WASH"/>
    <n v="0.55555555555555558"/>
    <s v=""/>
    <s v=""/>
    <s v=""/>
    <n v="36071"/>
    <s v="Food Security"/>
    <n v="0.5097293859959019"/>
    <n v="3242.8888888888905"/>
    <n v="8.9902938340741603E-2"/>
    <s v=""/>
    <n v="7420.8378257982122"/>
    <s v="Health"/>
    <n v="0.10486593408886048"/>
    <n v="31893.051063090679"/>
    <n v="4.2977695796310096"/>
    <s v="Flagged"/>
    <n v="2.7"/>
    <s v="Flagged"/>
    <n v="0.1"/>
    <s v=""/>
    <x v="2"/>
    <n v="39313.888888888891"/>
    <m/>
    <m/>
    <n v="2"/>
    <s v="Flagged"/>
    <n v="39313.888888888891"/>
    <m/>
    <n v="0"/>
    <n v="19656.944444444445"/>
    <n v="0"/>
  </r>
  <r>
    <s v="Global_PopulationHT0352"/>
    <s v="Nord"/>
    <s v="HT03"/>
    <s v="Port-Margot"/>
    <s v="HT0352"/>
    <m/>
    <m/>
    <m/>
    <n v="52745"/>
    <s v="Global_Population"/>
    <n v="1572"/>
    <n v="3437"/>
    <n v="4971"/>
    <n v="26885"/>
    <n v="2334.7741068702289"/>
    <n v="1759.44"/>
    <n v="0"/>
    <n v="19779.375"/>
    <m/>
    <m/>
    <m/>
    <m/>
    <n v="0.05"/>
    <n v="0.05"/>
    <n v="0.1"/>
    <n v="0.5"/>
    <n v="0.05"/>
    <n v="0.05"/>
    <n v="0"/>
    <n v="0.4"/>
    <n v="0"/>
    <n v="0"/>
    <n v="0"/>
    <n v="0"/>
    <n v="26885"/>
    <s v="Food Security"/>
    <n v="0.50971656081145134"/>
    <s v=""/>
    <s v=""/>
    <s v=""/>
    <n v="19779.375"/>
    <s v="WASH"/>
    <n v="0.375"/>
    <n v="7105.625"/>
    <n v="0.35924416216387017"/>
    <s v=""/>
    <n v="4971"/>
    <s v="Nutrition"/>
    <n v="9.424590008531615E-2"/>
    <n v="21914"/>
    <n v="4.4083685375176023"/>
    <s v="Flagged"/>
    <n v="0.1"/>
    <s v=""/>
    <n v="1.9"/>
    <s v="Flagged"/>
    <x v="3"/>
    <n v="0"/>
    <m/>
    <m/>
    <n v="2"/>
    <s v="Flagged"/>
    <n v="0"/>
    <m/>
    <n v="0"/>
    <n v="0"/>
    <n v="0"/>
  </r>
  <r>
    <s v="Global_PopulationHT0361"/>
    <s v="Nord"/>
    <s v="HT03"/>
    <s v="Limbe"/>
    <s v="HT0361"/>
    <m/>
    <m/>
    <m/>
    <n v="90050"/>
    <s v="Global_Population"/>
    <n v="10486.5"/>
    <n v="5528"/>
    <n v="8881"/>
    <n v="45978"/>
    <n v="12470.221333600344"/>
    <n v="8329.5"/>
    <n v="25909"/>
    <n v="6991"/>
    <m/>
    <m/>
    <m/>
    <m/>
    <n v="0.1"/>
    <n v="0.05"/>
    <n v="0.1"/>
    <n v="0.5"/>
    <n v="0.15000000000000002"/>
    <n v="0.1"/>
    <n v="0.30000000000000004"/>
    <n v="0.1"/>
    <n v="0"/>
    <n v="0"/>
    <n v="0"/>
    <n v="0"/>
    <n v="45978"/>
    <s v="Food Security"/>
    <n v="0.51058300943920043"/>
    <s v=""/>
    <s v=""/>
    <s v=""/>
    <n v="25909"/>
    <s v="Shelter"/>
    <n v="0.28771793448084398"/>
    <n v="20069"/>
    <n v="0.77459570033579062"/>
    <s v="Flagged"/>
    <n v="12470.221333600344"/>
    <s v="Health"/>
    <n v="0.13848108088395719"/>
    <n v="33507.778666399652"/>
    <n v="2.6870235715956969"/>
    <s v="Flagged"/>
    <n v="0.1"/>
    <s v=""/>
    <n v="0"/>
    <s v=""/>
    <x v="2"/>
    <n v="45978"/>
    <m/>
    <m/>
    <n v="2"/>
    <s v="Flagged"/>
    <n v="45978"/>
    <m/>
    <n v="0"/>
    <n v="22989"/>
    <n v="0"/>
  </r>
  <r>
    <s v="Global_PopulationHT0362"/>
    <s v="Nord"/>
    <s v="HT03"/>
    <s v="Bas Limbe"/>
    <s v="HT0362"/>
    <m/>
    <m/>
    <m/>
    <n v="22052"/>
    <s v="Global_Population"/>
    <n v="150"/>
    <n v="1474"/>
    <n v="2055"/>
    <n v="11265"/>
    <n v="642.51900000000001"/>
    <n v="288.8"/>
    <n v="0"/>
    <n v="100"/>
    <m/>
    <m/>
    <m/>
    <m/>
    <n v="0"/>
    <n v="0.05"/>
    <n v="0.1"/>
    <n v="0.5"/>
    <n v="0.05"/>
    <n v="0"/>
    <n v="0"/>
    <n v="0"/>
    <n v="0"/>
    <n v="0"/>
    <n v="0"/>
    <n v="0"/>
    <n v="11265"/>
    <s v="Food Security"/>
    <n v="0.510838019227281"/>
    <s v=""/>
    <s v=""/>
    <s v=""/>
    <n v="2055"/>
    <s v="Nutrition"/>
    <n v="9.3188826410302919E-2"/>
    <n v="9210"/>
    <n v="4.4817518248175183"/>
    <s v="Flagged"/>
    <n v="1474"/>
    <s v="Education"/>
    <n v="6.6842009795029925E-2"/>
    <n v="9791"/>
    <n v="6.6424694708276801"/>
    <s v="Flagged"/>
    <n v="0.1"/>
    <s v=""/>
    <n v="0"/>
    <s v=""/>
    <x v="3"/>
    <n v="0"/>
    <m/>
    <m/>
    <n v="2"/>
    <s v="Flagged"/>
    <n v="0"/>
    <m/>
    <n v="0"/>
    <n v="0"/>
    <n v="0"/>
  </r>
  <r>
    <s v="Global_PopulationHT0371"/>
    <s v="Nord"/>
    <s v="HT03"/>
    <s v="Plaisance"/>
    <s v="HT0371"/>
    <m/>
    <m/>
    <m/>
    <n v="76929"/>
    <s v="Global_Population"/>
    <n v="18052.5"/>
    <n v="5215"/>
    <n v="7962"/>
    <n v="37506"/>
    <n v="26544.557161006953"/>
    <n v="11141.046666666669"/>
    <n v="40576"/>
    <n v="25643"/>
    <m/>
    <m/>
    <m/>
    <m/>
    <n v="0.25"/>
    <n v="0.05"/>
    <n v="0.1"/>
    <n v="0.5"/>
    <n v="0.35000000000000003"/>
    <n v="0.15000000000000002"/>
    <n v="0.55000000000000004"/>
    <n v="0.35000000000000003"/>
    <n v="0"/>
    <n v="0"/>
    <n v="0"/>
    <n v="0"/>
    <n v="40576"/>
    <s v="Shelter"/>
    <n v="0.52744738655123558"/>
    <s v=""/>
    <s v=""/>
    <s v=""/>
    <n v="37506"/>
    <s v="Food Security"/>
    <n v="0.48754045938462737"/>
    <n v="3070"/>
    <n v="8.1853570095451397E-2"/>
    <s v=""/>
    <n v="26544.557161006953"/>
    <s v="Health"/>
    <n v="0.34505267403718953"/>
    <n v="14031.442838993047"/>
    <n v="0.5285996203999499"/>
    <s v=""/>
    <n v="0.6"/>
    <s v=""/>
    <n v="0.1"/>
    <s v=""/>
    <x v="2"/>
    <n v="40576"/>
    <m/>
    <m/>
    <n v="0"/>
    <s v=""/>
    <n v="40576"/>
    <m/>
    <n v="0"/>
    <n v="20288"/>
    <n v="0"/>
  </r>
  <r>
    <s v="Global_PopulationHT0372"/>
    <s v="Nord"/>
    <s v="HT03"/>
    <s v="Pilate"/>
    <s v="HT0372"/>
    <m/>
    <m/>
    <m/>
    <n v="60535"/>
    <s v="Global_Population"/>
    <n v="8460"/>
    <n v="4406"/>
    <n v="5961"/>
    <n v="29133"/>
    <n v="10158.602063829787"/>
    <n v="7321.42"/>
    <n v="15197"/>
    <n v="45401.25"/>
    <m/>
    <m/>
    <m/>
    <m/>
    <n v="0.15000000000000002"/>
    <n v="0.05"/>
    <n v="0.1"/>
    <n v="0.5"/>
    <n v="0.15000000000000002"/>
    <n v="0.1"/>
    <n v="0.25"/>
    <n v="0.75"/>
    <n v="0"/>
    <n v="0"/>
    <n v="0"/>
    <n v="0"/>
    <n v="45401.25"/>
    <s v="WASH"/>
    <n v="0.75"/>
    <s v=""/>
    <s v=""/>
    <s v=""/>
    <n v="29133"/>
    <s v="Food Security"/>
    <n v="0.48125877591476007"/>
    <n v="16268.25"/>
    <n v="0.55841313973844098"/>
    <s v="Flagged"/>
    <n v="15197"/>
    <s v="Shelter"/>
    <n v="0.25104485008672667"/>
    <n v="30204.25"/>
    <n v="1.9875139830229651"/>
    <s v="Flagged"/>
    <n v="1.7"/>
    <s v="Flagged"/>
    <n v="0.1"/>
    <s v=""/>
    <x v="2"/>
    <n v="45401.25"/>
    <m/>
    <m/>
    <n v="3"/>
    <s v="Flagged"/>
    <n v="29133"/>
    <s v="2nd highest PIN"/>
    <n v="0"/>
    <n v="14566.5"/>
    <n v="0"/>
  </r>
  <r>
    <s v="Global_PopulationHT0411"/>
    <s v="Nord-Est"/>
    <s v="HT04"/>
    <s v="Fort-Liberte"/>
    <s v="HT0411"/>
    <m/>
    <m/>
    <m/>
    <n v="40129"/>
    <s v="Global_Population"/>
    <n v="1204.5"/>
    <n v="4245"/>
    <n v="3638"/>
    <n v="18928"/>
    <n v="2288.1797130759651"/>
    <n v="2241.0575000000003"/>
    <n v="13711"/>
    <n v="8360.2083333333339"/>
    <m/>
    <m/>
    <m/>
    <m/>
    <n v="0.05"/>
    <n v="0.1"/>
    <n v="0.1"/>
    <n v="0.45"/>
    <n v="0.05"/>
    <n v="0.05"/>
    <n v="0.35000000000000003"/>
    <n v="0.2"/>
    <n v="0"/>
    <n v="0"/>
    <n v="0"/>
    <n v="0"/>
    <n v="18928"/>
    <s v="Food Security"/>
    <n v="0.47167883575469111"/>
    <s v=""/>
    <s v=""/>
    <s v=""/>
    <n v="13711"/>
    <s v="Shelter"/>
    <n v="0.34167310423882979"/>
    <n v="5217"/>
    <n v="0.38049741083801325"/>
    <s v=""/>
    <n v="8360.2083333333339"/>
    <s v="WASH"/>
    <n v="0.20833333333333334"/>
    <n v="10567.791666666666"/>
    <n v="1.2640584116225173"/>
    <s v="Flagged"/>
    <n v="0.3"/>
    <s v=""/>
    <n v="0.2"/>
    <s v=""/>
    <x v="2"/>
    <n v="18928"/>
    <m/>
    <m/>
    <n v="1"/>
    <s v="Flagged"/>
    <n v="18928"/>
    <m/>
    <n v="0"/>
    <n v="9464"/>
    <n v="9464"/>
  </r>
  <r>
    <s v="Global_PopulationHT0412"/>
    <s v="Nord-Est"/>
    <s v="HT04"/>
    <s v="Ferrier"/>
    <s v="HT0412"/>
    <m/>
    <m/>
    <m/>
    <n v="17054"/>
    <s v="Global_Population"/>
    <n v="277.5"/>
    <n v="2116"/>
    <n v="1387"/>
    <n v="8049"/>
    <n v="306.37435675675675"/>
    <n v="575"/>
    <n v="7311"/>
    <n v="5684.6666666666661"/>
    <m/>
    <m/>
    <m/>
    <m/>
    <n v="0"/>
    <n v="0.1"/>
    <n v="0.1"/>
    <n v="0.45"/>
    <n v="0"/>
    <n v="0.05"/>
    <n v="0.45"/>
    <n v="0.35000000000000003"/>
    <n v="0"/>
    <n v="0"/>
    <n v="0"/>
    <n v="0"/>
    <n v="8049"/>
    <s v="Food Security"/>
    <n v="0.47197138501231384"/>
    <s v=""/>
    <s v=""/>
    <s v=""/>
    <n v="7311"/>
    <s v="Shelter"/>
    <n v="0.42869707986396155"/>
    <n v="738"/>
    <n v="0.10094378334017234"/>
    <s v=""/>
    <n v="5684.6666666666661"/>
    <s v="WASH"/>
    <n v="0.33333333333333331"/>
    <n v="2364.3333333333339"/>
    <n v="0.41591415503694162"/>
    <s v=""/>
    <n v="0"/>
    <s v=""/>
    <n v="0.7"/>
    <s v=""/>
    <x v="2"/>
    <n v="8049"/>
    <m/>
    <m/>
    <n v="0"/>
    <s v=""/>
    <n v="8049"/>
    <m/>
    <n v="0"/>
    <n v="4024.5"/>
    <n v="0"/>
  </r>
  <r>
    <s v="Global_PopulationHT0413"/>
    <s v="Nord-Est"/>
    <s v="HT04"/>
    <s v="Perches"/>
    <s v="HT0413"/>
    <m/>
    <m/>
    <m/>
    <n v="13700"/>
    <s v="Global_Population"/>
    <n v="709.5"/>
    <n v="1518"/>
    <n v="1129"/>
    <n v="6352"/>
    <n v="783.35858097251582"/>
    <n v="524.29999999999995"/>
    <n v="10370"/>
    <n v="6850"/>
    <m/>
    <m/>
    <m/>
    <m/>
    <n v="0.05"/>
    <n v="0.1"/>
    <n v="0.1"/>
    <n v="0.45"/>
    <n v="0.05"/>
    <n v="0.05"/>
    <n v="0.75"/>
    <n v="0.5"/>
    <n v="0"/>
    <n v="0"/>
    <n v="0"/>
    <n v="0"/>
    <n v="10370"/>
    <s v="Shelter"/>
    <n v="0.75693430656934302"/>
    <s v=""/>
    <s v=""/>
    <s v=""/>
    <n v="6850"/>
    <s v="WASH"/>
    <n v="0.5"/>
    <n v="3520"/>
    <n v="0.51386861313868615"/>
    <s v="Flagged"/>
    <n v="6352"/>
    <s v="Food Security"/>
    <n v="0.46364963503649637"/>
    <n v="4018"/>
    <n v="0.63255667506297231"/>
    <s v=""/>
    <n v="0"/>
    <s v=""/>
    <n v="2.8"/>
    <s v="Flagged"/>
    <x v="2"/>
    <n v="10370"/>
    <m/>
    <m/>
    <n v="2"/>
    <s v="Flagged"/>
    <n v="10370"/>
    <m/>
    <n v="0"/>
    <n v="5185"/>
    <n v="5185"/>
  </r>
  <r>
    <s v="Global_PopulationHT0421"/>
    <s v="Nord-Est"/>
    <s v="HT04"/>
    <s v="Ouanaminthe"/>
    <s v="HT0421"/>
    <m/>
    <m/>
    <m/>
    <n v="123320"/>
    <s v="Global_Population"/>
    <n v="4008"/>
    <n v="13269"/>
    <n v="13127"/>
    <n v="46645"/>
    <n v="4934.9243359281436"/>
    <n v="5400.8103896103894"/>
    <n v="45530"/>
    <n v="22716.842105263157"/>
    <m/>
    <m/>
    <m/>
    <m/>
    <n v="0.05"/>
    <n v="0.1"/>
    <n v="0.1"/>
    <n v="0.4"/>
    <n v="0.05"/>
    <n v="0.05"/>
    <n v="0.35000000000000003"/>
    <n v="0.2"/>
    <n v="0"/>
    <n v="0"/>
    <n v="0"/>
    <n v="0"/>
    <n v="46645"/>
    <s v="Food Security"/>
    <n v="0.37824359390204348"/>
    <s v=""/>
    <s v=""/>
    <s v=""/>
    <n v="45530"/>
    <s v="Shelter"/>
    <n v="0.36920207590009729"/>
    <n v="1115"/>
    <n v="2.4489347682846475E-2"/>
    <s v=""/>
    <n v="22716.842105263157"/>
    <s v="WASH"/>
    <n v="0.18421052631578946"/>
    <n v="23928.157894736843"/>
    <n v="1.0533223668968075"/>
    <s v="Flagged"/>
    <n v="0"/>
    <s v=""/>
    <n v="0"/>
    <s v=""/>
    <x v="2"/>
    <n v="46645"/>
    <m/>
    <m/>
    <n v="1"/>
    <s v="Flagged"/>
    <n v="46645"/>
    <m/>
    <n v="0"/>
    <n v="23322.5"/>
    <n v="0"/>
  </r>
  <r>
    <s v="Global_PopulationHT0422"/>
    <s v="Nord-Est"/>
    <s v="HT04"/>
    <s v="Capotille"/>
    <s v="HT0422"/>
    <m/>
    <m/>
    <m/>
    <n v="22559"/>
    <s v="Global_Population"/>
    <n v="141"/>
    <n v="2578"/>
    <n v="1959"/>
    <n v="10654"/>
    <n v="299.21416595744682"/>
    <n v="247.48"/>
    <n v="0"/>
    <n v="5639.75"/>
    <m/>
    <m/>
    <m/>
    <m/>
    <n v="0"/>
    <n v="0.1"/>
    <n v="0.1"/>
    <n v="0.45"/>
    <n v="0"/>
    <n v="0"/>
    <n v="0"/>
    <n v="0.25"/>
    <n v="0"/>
    <n v="0"/>
    <n v="0"/>
    <n v="0"/>
    <n v="10654"/>
    <s v="Food Security"/>
    <n v="0.47227270712354269"/>
    <s v=""/>
    <s v=""/>
    <s v=""/>
    <n v="5639.75"/>
    <s v="WASH"/>
    <n v="0.25"/>
    <n v="5014.25"/>
    <n v="0.88909082849417087"/>
    <s v="Flagged"/>
    <n v="2578"/>
    <s v="Education"/>
    <n v="0.11427811516467928"/>
    <n v="8076"/>
    <n v="3.1326609775019394"/>
    <s v="Flagged"/>
    <n v="0"/>
    <s v=""/>
    <n v="1.8"/>
    <s v="Flagged"/>
    <x v="2"/>
    <n v="10654"/>
    <m/>
    <m/>
    <n v="3"/>
    <s v="Flagged"/>
    <n v="10654"/>
    <m/>
    <n v="0"/>
    <n v="5327"/>
    <n v="0"/>
  </r>
  <r>
    <s v="Global_PopulationHT0423"/>
    <s v="Nord-Est"/>
    <s v="HT04"/>
    <s v="Mont-Organise"/>
    <s v="HT0423"/>
    <m/>
    <m/>
    <m/>
    <n v="24682"/>
    <s v="Global_Population"/>
    <n v="115.5"/>
    <n v="2889"/>
    <n v="2130"/>
    <n v="11529"/>
    <n v="424.69701818181818"/>
    <n v="201.46"/>
    <n v="6850"/>
    <n v="12341"/>
    <m/>
    <m/>
    <m/>
    <m/>
    <n v="0"/>
    <n v="0.1"/>
    <n v="0.1"/>
    <n v="0.45"/>
    <n v="0"/>
    <n v="0"/>
    <n v="0.30000000000000004"/>
    <n v="0.5"/>
    <n v="0"/>
    <n v="0"/>
    <n v="0"/>
    <n v="0"/>
    <n v="12341"/>
    <s v="WASH"/>
    <n v="0.5"/>
    <s v=""/>
    <s v=""/>
    <s v=""/>
    <n v="11529"/>
    <s v="Food Security"/>
    <n v="0.4671015314804311"/>
    <n v="812"/>
    <n v="7.0431086824529449E-2"/>
    <s v=""/>
    <n v="6850"/>
    <s v="Shelter"/>
    <n v="0.27753018393971313"/>
    <n v="5491"/>
    <n v="0.80160583941605834"/>
    <s v="Flagged"/>
    <n v="3.3"/>
    <s v="Flagged"/>
    <n v="0"/>
    <s v=""/>
    <x v="2"/>
    <n v="12341"/>
    <m/>
    <m/>
    <n v="2"/>
    <s v="Flagged"/>
    <n v="12341"/>
    <m/>
    <n v="0"/>
    <n v="6170.5"/>
    <n v="0"/>
  </r>
  <r>
    <s v="Global_PopulationHT0431"/>
    <s v="Nord-Est"/>
    <s v="HT04"/>
    <s v="Trou du Nord"/>
    <s v="HT0431"/>
    <m/>
    <m/>
    <m/>
    <n v="57212"/>
    <s v="Global_Population"/>
    <n v="1003.5"/>
    <n v="6402"/>
    <n v="4938"/>
    <n v="26897"/>
    <n v="1247.6117865470853"/>
    <n v="2563.9899999999998"/>
    <n v="30422"/>
    <n v="23838.333333333336"/>
    <m/>
    <m/>
    <m/>
    <m/>
    <n v="0"/>
    <n v="0.1"/>
    <n v="0.1"/>
    <n v="0.45"/>
    <n v="0"/>
    <n v="0.05"/>
    <n v="0.55000000000000004"/>
    <n v="0.4"/>
    <n v="0"/>
    <n v="0"/>
    <n v="0"/>
    <n v="0"/>
    <n v="30422"/>
    <s v="Shelter"/>
    <n v="0.5317415926728658"/>
    <s v=""/>
    <s v=""/>
    <s v=""/>
    <n v="26897"/>
    <s v="Food Security"/>
    <n v="0.47012864434034818"/>
    <n v="3525"/>
    <n v="0.13105550804922483"/>
    <s v=""/>
    <n v="23838.333333333336"/>
    <s v="WASH"/>
    <n v="0.41666666666666669"/>
    <n v="6583.6666666666642"/>
    <n v="0.27617982241487787"/>
    <s v=""/>
    <n v="0.4"/>
    <s v=""/>
    <n v="0"/>
    <s v=""/>
    <x v="2"/>
    <n v="30422"/>
    <m/>
    <m/>
    <n v="0"/>
    <s v=""/>
    <n v="30422"/>
    <m/>
    <n v="0"/>
    <n v="15211"/>
    <n v="0"/>
  </r>
  <r>
    <s v="Global_PopulationHT0432"/>
    <s v="Nord-Est"/>
    <s v="HT04"/>
    <s v="Sainte Suzanne"/>
    <s v="HT0432"/>
    <m/>
    <m/>
    <m/>
    <n v="32812"/>
    <s v="Global_Population"/>
    <n v="847.5"/>
    <n v="3821"/>
    <n v="2687"/>
    <n v="15408"/>
    <n v="989.48795575221232"/>
    <n v="621.84"/>
    <n v="12731"/>
    <n v="1069.75"/>
    <m/>
    <m/>
    <m/>
    <m/>
    <n v="0.05"/>
    <n v="0.1"/>
    <n v="0.1"/>
    <n v="0.45"/>
    <n v="0.05"/>
    <n v="0"/>
    <n v="0.4"/>
    <n v="0.05"/>
    <n v="0"/>
    <n v="0"/>
    <n v="0"/>
    <n v="0"/>
    <n v="15408"/>
    <s v="Food Security"/>
    <n v="0.46958429842740462"/>
    <s v=""/>
    <s v=""/>
    <s v=""/>
    <n v="12731"/>
    <s v="Shelter"/>
    <n v="0.3879982933073266"/>
    <n v="2677"/>
    <n v="0.21027413400361322"/>
    <s v=""/>
    <n v="3821"/>
    <s v="Education"/>
    <n v="0.11645129830549798"/>
    <n v="11587"/>
    <n v="3.0324522376341272"/>
    <s v="Flagged"/>
    <n v="0"/>
    <s v=""/>
    <n v="0.2"/>
    <s v=""/>
    <x v="2"/>
    <n v="15408"/>
    <m/>
    <m/>
    <n v="1"/>
    <s v="Flagged"/>
    <n v="15408"/>
    <m/>
    <n v="0"/>
    <n v="7704"/>
    <n v="0"/>
  </r>
  <r>
    <s v="Global_PopulationHT0433"/>
    <s v="Nord-Est"/>
    <s v="HT04"/>
    <s v="Terrier Rouge"/>
    <s v="HT0433"/>
    <m/>
    <m/>
    <m/>
    <n v="35373"/>
    <s v="Global_Population"/>
    <n v="334.5"/>
    <n v="3888"/>
    <n v="3029"/>
    <n v="16669"/>
    <n v="563.56117757847539"/>
    <n v="581.02"/>
    <n v="9506"/>
    <n v="277.25"/>
    <m/>
    <m/>
    <m/>
    <m/>
    <n v="0"/>
    <n v="0.1"/>
    <n v="0.1"/>
    <n v="0.45"/>
    <n v="0"/>
    <n v="0"/>
    <n v="0.25"/>
    <n v="0"/>
    <n v="0"/>
    <n v="0"/>
    <n v="0"/>
    <n v="0"/>
    <n v="16669"/>
    <s v="Food Security"/>
    <n v="0.47123512283379981"/>
    <s v=""/>
    <s v=""/>
    <s v=""/>
    <n v="9506"/>
    <s v="Shelter"/>
    <n v="0.26873604161366016"/>
    <n v="7163"/>
    <n v="0.75352409004839049"/>
    <s v="Flagged"/>
    <n v="3888"/>
    <s v="Education"/>
    <n v="0.10991434144686625"/>
    <n v="12781"/>
    <n v="3.2872942386831276"/>
    <s v="Flagged"/>
    <n v="0"/>
    <s v=""/>
    <n v="-0.2"/>
    <s v=""/>
    <x v="2"/>
    <n v="16669"/>
    <m/>
    <m/>
    <n v="2"/>
    <s v="Flagged"/>
    <n v="16669"/>
    <m/>
    <n v="0"/>
    <n v="8334.5"/>
    <n v="0"/>
  </r>
  <r>
    <s v="Global_PopulationHT0434"/>
    <s v="Nord-Est"/>
    <s v="HT04"/>
    <s v="Caracol"/>
    <s v="HT0434"/>
    <m/>
    <m/>
    <m/>
    <n v="9005"/>
    <s v="Global_Population"/>
    <n v="825"/>
    <n v="1023"/>
    <n v="1071"/>
    <n v="4240"/>
    <n v="890.39296363636356"/>
    <n v="301.64"/>
    <n v="0"/>
    <n v="3782.1"/>
    <m/>
    <m/>
    <m/>
    <m/>
    <n v="0.1"/>
    <n v="0.1"/>
    <n v="0.1"/>
    <n v="0.45"/>
    <n v="0.1"/>
    <n v="0.05"/>
    <n v="0"/>
    <n v="0.4"/>
    <n v="0"/>
    <n v="0"/>
    <n v="0"/>
    <n v="0"/>
    <n v="4240"/>
    <s v="Food Security"/>
    <n v="0.47084952803997782"/>
    <s v=""/>
    <s v=""/>
    <s v=""/>
    <n v="3782.1"/>
    <s v="WASH"/>
    <n v="0.42"/>
    <n v="457.90000000000009"/>
    <n v="0.12107030485709"/>
    <s v=""/>
    <n v="1071"/>
    <s v="Nutrition"/>
    <n v="0.11893392559689062"/>
    <n v="3169"/>
    <n v="2.9589169000933708"/>
    <s v="Flagged"/>
    <n v="0"/>
    <s v=""/>
    <n v="1.6"/>
    <s v="Flagged"/>
    <x v="3"/>
    <n v="0"/>
    <m/>
    <m/>
    <n v="2"/>
    <s v="Flagged"/>
    <n v="0"/>
    <m/>
    <n v="0"/>
    <n v="0"/>
    <n v="0"/>
  </r>
  <r>
    <s v="Global_PopulationHT0441"/>
    <s v="Nord-Est"/>
    <s v="HT04"/>
    <s v="Vallieres"/>
    <s v="HT0441"/>
    <m/>
    <m/>
    <m/>
    <n v="27514"/>
    <s v="Global_Population"/>
    <n v="39"/>
    <n v="2997"/>
    <n v="2077"/>
    <n v="40972"/>
    <n v="213.76438461538461"/>
    <n v="316.08999999999997"/>
    <n v="21047"/>
    <n v="27514"/>
    <m/>
    <m/>
    <m/>
    <m/>
    <n v="0"/>
    <n v="0.1"/>
    <n v="0.1"/>
    <n v="1.5"/>
    <n v="0"/>
    <n v="0"/>
    <n v="0.75"/>
    <n v="1"/>
    <n v="0"/>
    <n v="0"/>
    <n v="0"/>
    <n v="0"/>
    <n v="40972"/>
    <s v="Food Security"/>
    <n v="1.4891328051173949"/>
    <s v=""/>
    <s v="Flagged"/>
    <s v=""/>
    <n v="27514"/>
    <s v="WASH"/>
    <n v="1"/>
    <n v="13458"/>
    <n v="0.48913280511739476"/>
    <s v=""/>
    <n v="21047"/>
    <s v="Shelter"/>
    <n v="0.76495602238860216"/>
    <n v="19925"/>
    <n v="0.9466907397728892"/>
    <s v="Flagged"/>
    <n v="-0.1"/>
    <s v=""/>
    <n v="4.2"/>
    <s v="Flagged"/>
    <x v="2"/>
    <n v="40972"/>
    <m/>
    <m/>
    <n v="3"/>
    <s v="Flagged"/>
    <n v="27514"/>
    <s v="2nd highest PIN"/>
    <n v="0"/>
    <n v="13757"/>
    <n v="0"/>
  </r>
  <r>
    <s v="Global_PopulationHT0442"/>
    <s v="Nord-Est"/>
    <s v="HT04"/>
    <s v="Carice"/>
    <s v="HT0442"/>
    <m/>
    <m/>
    <m/>
    <n v="15825"/>
    <s v="Global_Population"/>
    <n v="183"/>
    <n v="1892"/>
    <n v="1587"/>
    <n v="7484"/>
    <n v="378.8779344262295"/>
    <n v="553.06000000000006"/>
    <n v="7595"/>
    <n v="6330"/>
    <m/>
    <m/>
    <m/>
    <m/>
    <n v="0"/>
    <n v="0.1"/>
    <n v="0.1"/>
    <n v="0.45"/>
    <n v="0"/>
    <n v="0.05"/>
    <n v="0.5"/>
    <n v="0.4"/>
    <n v="0"/>
    <n v="0"/>
    <n v="0"/>
    <n v="0"/>
    <n v="7595"/>
    <s v="Shelter"/>
    <n v="0.47993680884676143"/>
    <s v=""/>
    <s v=""/>
    <s v=""/>
    <n v="7484"/>
    <s v="Food Security"/>
    <n v="0.47292259083728277"/>
    <n v="111"/>
    <n v="1.4831640833778728E-2"/>
    <s v=""/>
    <n v="6330"/>
    <s v="WASH"/>
    <n v="0.4"/>
    <n v="1265"/>
    <n v="0.19984202211690363"/>
    <s v=""/>
    <n v="0.3"/>
    <s v=""/>
    <n v="0"/>
    <s v=""/>
    <x v="2"/>
    <n v="7595"/>
    <m/>
    <m/>
    <n v="0"/>
    <s v=""/>
    <n v="7595"/>
    <m/>
    <n v="0"/>
    <n v="3797.5"/>
    <n v="0"/>
  </r>
  <r>
    <s v="Global_PopulationHT0443"/>
    <s v="Nord-Est"/>
    <s v="HT04"/>
    <s v="Mombin Crochu"/>
    <s v="HT0443"/>
    <m/>
    <m/>
    <m/>
    <n v="40343"/>
    <s v="Global_Population"/>
    <n v="271.5"/>
    <n v="4735"/>
    <n v="3312"/>
    <n v="19074"/>
    <n v="648.80215801104976"/>
    <n v="843.84833333333336"/>
    <n v="17695"/>
    <n v="16809.583333333336"/>
    <m/>
    <m/>
    <m/>
    <m/>
    <n v="0"/>
    <n v="0.1"/>
    <n v="0.1"/>
    <n v="0.45"/>
    <n v="0"/>
    <n v="0"/>
    <n v="0.45"/>
    <n v="0.4"/>
    <n v="0"/>
    <n v="0"/>
    <n v="0"/>
    <n v="0"/>
    <n v="19074"/>
    <s v="Food Security"/>
    <n v="0.47279577621892271"/>
    <s v=""/>
    <s v=""/>
    <s v=""/>
    <n v="17695"/>
    <s v="Shelter"/>
    <n v="0.43861388592816597"/>
    <n v="1379"/>
    <n v="7.7931619101441085E-2"/>
    <s v=""/>
    <n v="16809.583333333336"/>
    <s v="WASH"/>
    <n v="0.41666666666666674"/>
    <n v="2264.4166666666642"/>
    <n v="0.1347098629254144"/>
    <s v=""/>
    <n v="0"/>
    <s v=""/>
    <n v="0.4"/>
    <s v=""/>
    <x v="2"/>
    <n v="19074"/>
    <m/>
    <m/>
    <n v="0"/>
    <s v=""/>
    <n v="19074"/>
    <m/>
    <n v="0"/>
    <n v="9537"/>
    <n v="0"/>
  </r>
  <r>
    <s v="Global_PopulationHT0511"/>
    <s v="Artibonite"/>
    <s v="HT05"/>
    <s v="Gonaives"/>
    <s v="HT0511"/>
    <m/>
    <m/>
    <m/>
    <n v="366051"/>
    <s v="Global_Population"/>
    <n v="13219.5"/>
    <n v="64224"/>
    <n v="35059"/>
    <n v="181505"/>
    <n v="212278.1252992677"/>
    <n v="34522.5"/>
    <n v="147258"/>
    <n v="106487.56363636363"/>
    <m/>
    <m/>
    <m/>
    <m/>
    <n v="0.05"/>
    <n v="0.2"/>
    <n v="0.1"/>
    <n v="0.5"/>
    <n v="0.60000000000000009"/>
    <n v="0.1"/>
    <n v="0.4"/>
    <n v="0.30000000000000004"/>
    <n v="0"/>
    <n v="0"/>
    <n v="0"/>
    <n v="0"/>
    <n v="212278.1252992677"/>
    <s v="Health"/>
    <n v="0.57991407016854946"/>
    <s v=""/>
    <s v=""/>
    <s v=""/>
    <n v="181505"/>
    <s v="Food Security"/>
    <n v="0.49584620722249084"/>
    <n v="30773.125299267704"/>
    <n v="0.16954422908056363"/>
    <s v=""/>
    <n v="147258"/>
    <s v="Shelter"/>
    <n v="0.40228820574182284"/>
    <n v="65020.125299267704"/>
    <n v="0.44153883184117471"/>
    <s v=""/>
    <n v="1.2"/>
    <s v="Flagged"/>
    <n v="-0.1"/>
    <s v=""/>
    <x v="2"/>
    <n v="212278.1252992677"/>
    <m/>
    <m/>
    <n v="1"/>
    <s v="Flagged"/>
    <n v="212278.1252992677"/>
    <m/>
    <n v="0"/>
    <n v="106139.06264963385"/>
    <n v="106139.06264963385"/>
  </r>
  <r>
    <s v="Global_PopulationHT0512"/>
    <s v="Artibonite"/>
    <s v="HT05"/>
    <s v="Ennery"/>
    <s v="HT0512"/>
    <m/>
    <m/>
    <m/>
    <n v="52529"/>
    <s v="Global_Population"/>
    <n v="5227.5"/>
    <n v="9459"/>
    <n v="4832"/>
    <n v="32196"/>
    <n v="7238.2067871233867"/>
    <n v="5185.1674999999996"/>
    <n v="0"/>
    <n v="3485"/>
    <m/>
    <m/>
    <m/>
    <m/>
    <n v="0.1"/>
    <n v="0.2"/>
    <n v="0.1"/>
    <n v="0.60000000000000009"/>
    <n v="0.15000000000000002"/>
    <n v="0.1"/>
    <n v="0"/>
    <n v="0.05"/>
    <n v="0"/>
    <n v="0"/>
    <n v="0"/>
    <n v="0"/>
    <n v="32196"/>
    <s v="Food Security"/>
    <n v="0.61291857830912444"/>
    <s v=""/>
    <s v=""/>
    <s v=""/>
    <n v="9459"/>
    <s v="Education"/>
    <n v="0.18007196025052827"/>
    <n v="22737"/>
    <n v="2.403742467491278"/>
    <s v="Flagged"/>
    <n v="7238.2067871233867"/>
    <s v="Health"/>
    <n v="0.1377944904171674"/>
    <n v="24957.793212876612"/>
    <n v="3.4480630281627191"/>
    <s v="Flagged"/>
    <n v="0.2"/>
    <s v=""/>
    <n v="0.6"/>
    <s v=""/>
    <x v="2"/>
    <n v="32196"/>
    <m/>
    <m/>
    <n v="2"/>
    <s v="Flagged"/>
    <n v="32196"/>
    <m/>
    <n v="0"/>
    <n v="16098"/>
    <n v="16098"/>
  </r>
  <r>
    <s v="Global_PopulationHT0513"/>
    <s v="Artibonite"/>
    <s v="HT05"/>
    <s v="L'Estere"/>
    <s v="HT0513"/>
    <m/>
    <m/>
    <m/>
    <n v="44802"/>
    <s v="Global_Population"/>
    <n v="697.5"/>
    <n v="7816"/>
    <n v="4106"/>
    <n v="24196"/>
    <n v="23187.769083870968"/>
    <n v="667.3"/>
    <n v="0"/>
    <n v="40322"/>
    <m/>
    <m/>
    <m/>
    <m/>
    <n v="0"/>
    <n v="0.15000000000000002"/>
    <n v="0.1"/>
    <n v="0.55000000000000004"/>
    <n v="0.5"/>
    <n v="0"/>
    <n v="0"/>
    <n v="0.9"/>
    <n v="0"/>
    <n v="0"/>
    <n v="0"/>
    <n v="0"/>
    <n v="40322"/>
    <s v="WASH"/>
    <n v="0.90000446408642476"/>
    <s v=""/>
    <s v="Flagged"/>
    <s v=""/>
    <n v="24196"/>
    <s v="Food Security"/>
    <n v="0.54006517566180079"/>
    <n v="16126"/>
    <n v="0.6664737973218714"/>
    <s v="Flagged"/>
    <n v="23187.769083870968"/>
    <s v="Health"/>
    <n v="0.51756102593346209"/>
    <n v="17134.230916129032"/>
    <n v="0.73893399809847693"/>
    <s v=""/>
    <n v="5.0999999999999996"/>
    <s v="Flagged"/>
    <n v="0.1"/>
    <s v=""/>
    <x v="1"/>
    <n v="40322"/>
    <m/>
    <m/>
    <n v="3"/>
    <s v="Flagged"/>
    <n v="24196"/>
    <s v="2nd highest PIN"/>
    <n v="24196"/>
    <n v="24196"/>
    <n v="24196"/>
  </r>
  <r>
    <s v="Global_PopulationHT0521"/>
    <s v="Artibonite"/>
    <s v="HT05"/>
    <s v="Gros Morne"/>
    <s v="HT0521"/>
    <m/>
    <m/>
    <m/>
    <n v="162808"/>
    <s v="Global_Population"/>
    <n v="10507.5"/>
    <n v="30817"/>
    <n v="15021"/>
    <n v="100158"/>
    <n v="93090.876232262672"/>
    <n v="17323.375"/>
    <n v="38830"/>
    <n v="7005"/>
    <m/>
    <m/>
    <m/>
    <m/>
    <n v="0.05"/>
    <n v="0.2"/>
    <n v="0.1"/>
    <n v="0.60000000000000009"/>
    <n v="0.55000000000000004"/>
    <n v="0.1"/>
    <n v="0.25"/>
    <n v="0.05"/>
    <n v="0"/>
    <n v="0"/>
    <n v="0"/>
    <n v="0"/>
    <n v="100158"/>
    <s v="Food Security"/>
    <n v="0.615190899710088"/>
    <s v=""/>
    <s v=""/>
    <s v=""/>
    <n v="93090.876232262672"/>
    <s v="Health"/>
    <n v="0.57178318161431052"/>
    <n v="7067.1237677373283"/>
    <n v="7.5916395395234898E-2"/>
    <s v=""/>
    <n v="38830"/>
    <s v="Shelter"/>
    <n v="0.23850179352365977"/>
    <n v="61328"/>
    <n v="1.5793973731650786"/>
    <s v="Flagged"/>
    <n v="0.2"/>
    <s v=""/>
    <n v="1"/>
    <s v="Flagged"/>
    <x v="1"/>
    <n v="100158"/>
    <m/>
    <m/>
    <n v="2"/>
    <s v="Flagged"/>
    <n v="100158"/>
    <m/>
    <n v="100158"/>
    <n v="100158"/>
    <n v="100158"/>
  </r>
  <r>
    <s v="Global_PopulationHT0522"/>
    <s v="Artibonite"/>
    <s v="HT05"/>
    <s v="Terre Neuve"/>
    <s v="HT0522"/>
    <m/>
    <m/>
    <m/>
    <n v="32784"/>
    <s v="Global_Population"/>
    <n v="3025.5"/>
    <n v="6424"/>
    <n v="2918"/>
    <n v="21430"/>
    <n v="4258.3241624194352"/>
    <n v="4415.6454545454544"/>
    <n v="18293"/>
    <n v="2253.636363636364"/>
    <m/>
    <m/>
    <m/>
    <m/>
    <n v="0.1"/>
    <n v="0.2"/>
    <n v="0.1"/>
    <n v="0.65"/>
    <n v="0.15000000000000002"/>
    <n v="0.15000000000000002"/>
    <n v="0.55000000000000004"/>
    <n v="0.05"/>
    <n v="0"/>
    <n v="0"/>
    <n v="0"/>
    <n v="0"/>
    <n v="21430"/>
    <s v="Food Security"/>
    <n v="0.65367252318204006"/>
    <s v=""/>
    <s v=""/>
    <s v=""/>
    <n v="18293"/>
    <s v="Shelter"/>
    <n v="0.55798560273304054"/>
    <n v="3137"/>
    <n v="0.17148636090307767"/>
    <s v=""/>
    <n v="6424"/>
    <s v="Education"/>
    <n v="0.19594924353343093"/>
    <n v="15006"/>
    <n v="2.3359277708592776"/>
    <s v="Flagged"/>
    <n v="0.4"/>
    <s v=""/>
    <n v="1.1000000000000001"/>
    <s v="Flagged"/>
    <x v="2"/>
    <n v="21430"/>
    <m/>
    <m/>
    <n v="2"/>
    <s v="Flagged"/>
    <n v="21430"/>
    <m/>
    <n v="0"/>
    <n v="10715"/>
    <n v="10715"/>
  </r>
  <r>
    <s v="Global_PopulationHT0523"/>
    <s v="Artibonite"/>
    <s v="HT05"/>
    <s v="Anse Rouge"/>
    <s v="HT0523"/>
    <m/>
    <m/>
    <m/>
    <n v="47668"/>
    <s v="Global_Population"/>
    <n v="6000"/>
    <n v="9422"/>
    <n v="5015"/>
    <n v="29756"/>
    <n v="8299.0041500000007"/>
    <n v="8679"/>
    <n v="21108"/>
    <n v="4000"/>
    <m/>
    <m/>
    <m/>
    <m/>
    <n v="0.15000000000000002"/>
    <n v="0.2"/>
    <n v="0.1"/>
    <n v="0.60000000000000009"/>
    <n v="0.15000000000000002"/>
    <n v="0.2"/>
    <n v="0.45"/>
    <n v="0.1"/>
    <n v="0"/>
    <n v="0"/>
    <n v="0"/>
    <n v="0"/>
    <n v="29756"/>
    <s v="Food Security"/>
    <n v="0.62423428715280693"/>
    <s v=""/>
    <s v=""/>
    <s v=""/>
    <n v="21108"/>
    <s v="Shelter"/>
    <n v="0.44281278845346983"/>
    <n v="8648"/>
    <n v="0.40970248247110103"/>
    <s v=""/>
    <n v="9422"/>
    <s v="Education"/>
    <n v="0.19765880674666442"/>
    <n v="20334"/>
    <n v="2.1581405221821268"/>
    <s v="Flagged"/>
    <n v="0.4"/>
    <s v=""/>
    <n v="0.1"/>
    <s v=""/>
    <x v="2"/>
    <n v="29756"/>
    <m/>
    <m/>
    <n v="1"/>
    <s v="Flagged"/>
    <n v="29756"/>
    <m/>
    <n v="0"/>
    <n v="14878"/>
    <n v="14878"/>
  </r>
  <r>
    <s v="Global_PopulationHT0531"/>
    <s v="Artibonite"/>
    <s v="HT05"/>
    <s v="Saint-Marc"/>
    <s v="HT0531"/>
    <m/>
    <m/>
    <m/>
    <n v="281577"/>
    <s v="Global_Population"/>
    <n v="22929"/>
    <n v="50169"/>
    <n v="26276"/>
    <n v="182838"/>
    <n v="164189.82598143382"/>
    <n v="23324.988809523806"/>
    <n v="91784"/>
    <n v="210065.38095238095"/>
    <m/>
    <m/>
    <m/>
    <m/>
    <n v="0.1"/>
    <n v="0.2"/>
    <n v="0.1"/>
    <n v="0.65"/>
    <n v="0.60000000000000009"/>
    <n v="0.1"/>
    <n v="0.35000000000000003"/>
    <n v="0.75"/>
    <n v="0"/>
    <n v="0"/>
    <n v="0"/>
    <n v="0"/>
    <n v="210065.38095238095"/>
    <s v="WASH"/>
    <n v="0.74603174603174605"/>
    <s v=""/>
    <s v=""/>
    <s v=""/>
    <n v="182838"/>
    <s v="Food Security"/>
    <n v="0.64933570568618881"/>
    <n v="27227.380952380947"/>
    <n v="0.1489153291568544"/>
    <s v=""/>
    <n v="164189.82598143382"/>
    <s v="Health"/>
    <n v="0.58310808759747357"/>
    <n v="45875.554970947123"/>
    <n v="0.27940558860288101"/>
    <s v=""/>
    <n v="1.5"/>
    <s v="Flagged"/>
    <n v="0.4"/>
    <s v=""/>
    <x v="2"/>
    <n v="210065.38095238095"/>
    <m/>
    <m/>
    <n v="1"/>
    <s v="Flagged"/>
    <n v="210065.38095238095"/>
    <m/>
    <n v="0"/>
    <n v="105032.69047619047"/>
    <n v="105032.69047619047"/>
  </r>
  <r>
    <s v="Global_PopulationHT0532"/>
    <s v="Artibonite"/>
    <s v="HT05"/>
    <s v="Verrettes"/>
    <s v="HT0532"/>
    <m/>
    <m/>
    <m/>
    <n v="146485"/>
    <s v="Global_Population"/>
    <n v="68287.5"/>
    <n v="26466"/>
    <n v="17079"/>
    <n v="99298"/>
    <n v="97883.125571579323"/>
    <n v="88027.609210526309"/>
    <n v="42047"/>
    <n v="69387.631578947359"/>
    <m/>
    <m/>
    <m/>
    <m/>
    <n v="0.45"/>
    <n v="0.2"/>
    <n v="0.1"/>
    <n v="0.70000000000000007"/>
    <n v="0.65"/>
    <n v="0.60000000000000009"/>
    <n v="0.30000000000000004"/>
    <n v="0.45"/>
    <n v="0"/>
    <n v="0"/>
    <n v="0"/>
    <n v="0"/>
    <n v="99298"/>
    <s v="Food Security"/>
    <n v="0.67787145441512786"/>
    <s v=""/>
    <s v=""/>
    <s v=""/>
    <n v="97883.125571579323"/>
    <s v="Health"/>
    <n v="0.66821261952813815"/>
    <n v="1414.8744284206768"/>
    <n v="1.4454732827120615E-2"/>
    <s v=""/>
    <n v="88027.609210526309"/>
    <s v="Protection"/>
    <n v="0.60093258156484497"/>
    <n v="11270.390789473691"/>
    <n v="0.12803245357396328"/>
    <s v=""/>
    <n v="0.4"/>
    <s v=""/>
    <n v="0.8"/>
    <s v=""/>
    <x v="1"/>
    <n v="99298"/>
    <m/>
    <m/>
    <n v="0"/>
    <s v=""/>
    <n v="99298"/>
    <m/>
    <n v="99298"/>
    <n v="99298"/>
    <n v="99298"/>
  </r>
  <r>
    <s v="Global_PopulationHT0533"/>
    <s v="Artibonite"/>
    <s v="HT05"/>
    <s v="La Chapelle"/>
    <s v="HT0533"/>
    <m/>
    <m/>
    <m/>
    <n v="32609"/>
    <s v="Global_Population"/>
    <n v="2742"/>
    <n v="5547"/>
    <n v="3112"/>
    <n v="21636"/>
    <n v="36140.377531455146"/>
    <n v="1588.4450000000002"/>
    <n v="0"/>
    <n v="29348"/>
    <m/>
    <m/>
    <m/>
    <m/>
    <n v="0.1"/>
    <n v="0.15000000000000002"/>
    <n v="0.1"/>
    <n v="0.65"/>
    <n v="1.1000000000000001"/>
    <n v="0.05"/>
    <n v="0"/>
    <n v="0.9"/>
    <n v="0"/>
    <n v="0"/>
    <n v="0"/>
    <n v="0"/>
    <n v="36140.377531455146"/>
    <s v="Health"/>
    <n v="1.1082945668820003"/>
    <s v=""/>
    <s v="Flagged"/>
    <s v=""/>
    <n v="29348"/>
    <s v="WASH"/>
    <n v="0.8999969333619553"/>
    <n v="6792.3775314551458"/>
    <n v="0.23144260363415381"/>
    <s v=""/>
    <n v="21636"/>
    <s v="Food Security"/>
    <n v="0.66349780735379804"/>
    <n v="14504.377531455146"/>
    <n v="0.670381657027877"/>
    <s v=""/>
    <n v="2.8"/>
    <s v="Flagged"/>
    <n v="2.2999999999999998"/>
    <s v="Flagged"/>
    <x v="1"/>
    <n v="36140.377531455146"/>
    <m/>
    <m/>
    <n v="3"/>
    <s v="Flagged"/>
    <n v="36140.377531455146"/>
    <m/>
    <n v="36140.377531455146"/>
    <n v="36140.377531455146"/>
    <n v="36140.377531455146"/>
  </r>
  <r>
    <s v="Global_PopulationHT0541"/>
    <s v="Artibonite"/>
    <s v="HT05"/>
    <s v="Dessalines"/>
    <s v="HT0541"/>
    <m/>
    <m/>
    <m/>
    <n v="185387"/>
    <s v="Global_Population"/>
    <n v="25059"/>
    <n v="32898"/>
    <n v="18491"/>
    <n v="97464"/>
    <n v="211363.49810871962"/>
    <n v="43669.45"/>
    <n v="0"/>
    <n v="46346.75"/>
    <m/>
    <m/>
    <m/>
    <m/>
    <n v="0.15000000000000002"/>
    <n v="0.2"/>
    <n v="0.1"/>
    <n v="0.55000000000000004"/>
    <n v="1.1500000000000001"/>
    <n v="0.25"/>
    <n v="0"/>
    <n v="0.25"/>
    <n v="0"/>
    <n v="0"/>
    <n v="0"/>
    <n v="0"/>
    <n v="211363.49810871962"/>
    <s v="Health"/>
    <n v="1.1401203865897804"/>
    <s v=""/>
    <s v="Flagged"/>
    <s v=""/>
    <n v="97464"/>
    <s v="Food Security"/>
    <n v="0.52573265655089085"/>
    <n v="113899.49810871962"/>
    <n v="1.1686314753008251"/>
    <s v="Flagged"/>
    <n v="46346.75"/>
    <s v="WASH"/>
    <n v="0.25"/>
    <n v="165016.74810871962"/>
    <n v="3.5604815463591217"/>
    <s v="Flagged"/>
    <n v="3.7"/>
    <s v="Flagged"/>
    <n v="0.1"/>
    <s v=""/>
    <x v="2"/>
    <n v="211363.49810871962"/>
    <m/>
    <m/>
    <n v="4"/>
    <s v="Flagged"/>
    <n v="97464"/>
    <s v="2nd highest PIN"/>
    <n v="0"/>
    <n v="48732"/>
    <n v="48732"/>
  </r>
  <r>
    <s v="Global_PopulationHT0542"/>
    <s v="Artibonite"/>
    <s v="HT05"/>
    <s v="Petite Riviere de l'Artibonite"/>
    <s v="HT0542"/>
    <m/>
    <m/>
    <m/>
    <n v="165494"/>
    <s v="Global_Population"/>
    <n v="3450"/>
    <n v="28566"/>
    <n v="16131"/>
    <n v="91483"/>
    <n v="92460.077393043481"/>
    <n v="2467.2000000000003"/>
    <n v="7812"/>
    <n v="55165"/>
    <m/>
    <m/>
    <m/>
    <m/>
    <n v="0"/>
    <n v="0.15000000000000002"/>
    <n v="0.1"/>
    <n v="0.55000000000000004"/>
    <n v="0.55000000000000004"/>
    <n v="0"/>
    <n v="0.05"/>
    <n v="0.35000000000000003"/>
    <n v="0"/>
    <n v="0"/>
    <n v="0"/>
    <n v="0"/>
    <n v="92460.077393043481"/>
    <s v="Health"/>
    <n v="0.55869141716946524"/>
    <s v=""/>
    <s v=""/>
    <s v=""/>
    <n v="91483"/>
    <s v="Food Security"/>
    <n v="0.55278741223246763"/>
    <n v="977.0773930434807"/>
    <n v="1.0680425795431728E-2"/>
    <s v=""/>
    <n v="55165"/>
    <s v="WASH"/>
    <n v="0.33333534750504551"/>
    <n v="37295.077393043481"/>
    <n v="0.67606412386555748"/>
    <s v=""/>
    <n v="1.3"/>
    <s v="Flagged"/>
    <n v="0.1"/>
    <s v=""/>
    <x v="1"/>
    <n v="92460.077393043481"/>
    <m/>
    <m/>
    <n v="1"/>
    <s v="Flagged"/>
    <n v="92460.077393043481"/>
    <m/>
    <n v="92460.077393043481"/>
    <n v="92460.077393043481"/>
    <n v="92460.077393043481"/>
  </r>
  <r>
    <s v="Global_PopulationHT0543"/>
    <s v="Artibonite"/>
    <s v="HT05"/>
    <s v="Grande Saline"/>
    <s v="HT0543"/>
    <m/>
    <m/>
    <m/>
    <n v="23598"/>
    <s v="Global_Population"/>
    <n v="1620"/>
    <n v="3383"/>
    <n v="2241"/>
    <n v="12450"/>
    <n v="13545.861355555557"/>
    <n v="727.84"/>
    <n v="0"/>
    <n v="5900"/>
    <m/>
    <m/>
    <m/>
    <m/>
    <n v="0.05"/>
    <n v="0.15000000000000002"/>
    <n v="0.1"/>
    <n v="0.55000000000000004"/>
    <n v="0.55000000000000004"/>
    <n v="0.05"/>
    <n v="0"/>
    <n v="0.25"/>
    <n v="0"/>
    <n v="0"/>
    <n v="0"/>
    <n v="0"/>
    <n v="13545.861355555557"/>
    <s v="Health"/>
    <n v="0.57402582233899302"/>
    <s v=""/>
    <s v=""/>
    <s v=""/>
    <n v="12450"/>
    <s v="Food Security"/>
    <n v="0.52758708365115692"/>
    <n v="1095.8613555555567"/>
    <n v="8.802099241410094E-2"/>
    <s v=""/>
    <n v="5900"/>
    <s v="WASH"/>
    <n v="0.25002118823629121"/>
    <n v="7645.8613555555567"/>
    <n v="1.2959087043314503"/>
    <s v="Flagged"/>
    <n v="0.9"/>
    <s v=""/>
    <n v="0.1"/>
    <s v=""/>
    <x v="2"/>
    <n v="13545.861355555557"/>
    <m/>
    <m/>
    <n v="1"/>
    <s v="Flagged"/>
    <n v="13545.861355555557"/>
    <m/>
    <n v="0"/>
    <n v="6772.9306777777783"/>
    <n v="6772.9306777777783"/>
  </r>
  <r>
    <s v="Global_PopulationHT0544"/>
    <s v="Artibonite"/>
    <s v="HT05"/>
    <s v="Desdunes"/>
    <s v="HT0544"/>
    <m/>
    <m/>
    <m/>
    <n v="37602"/>
    <s v="Global_Population"/>
    <n v="475.5"/>
    <n v="6054"/>
    <n v="3353"/>
    <n v="19839"/>
    <n v="19399.401461829653"/>
    <n v="207.7"/>
    <n v="0"/>
    <n v="9401"/>
    <m/>
    <m/>
    <m/>
    <m/>
    <n v="0"/>
    <n v="0.15000000000000002"/>
    <n v="0.1"/>
    <n v="0.55000000000000004"/>
    <n v="0.5"/>
    <n v="0"/>
    <n v="0"/>
    <n v="0.25"/>
    <n v="0"/>
    <n v="0"/>
    <n v="0"/>
    <n v="0"/>
    <n v="19839"/>
    <s v="Food Security"/>
    <n v="0.52760491463220038"/>
    <s v=""/>
    <s v=""/>
    <s v=""/>
    <n v="19399.401461829653"/>
    <s v="Health"/>
    <n v="0.51591408600153321"/>
    <n v="439.59853817034673"/>
    <n v="2.2660417592537726E-2"/>
    <s v=""/>
    <n v="9401"/>
    <s v="WASH"/>
    <n v="0.25001329716504439"/>
    <n v="10438"/>
    <n v="1.1103074141048825"/>
    <s v="Flagged"/>
    <n v="0.1"/>
    <s v=""/>
    <n v="1.4"/>
    <s v="Flagged"/>
    <x v="2"/>
    <n v="19839"/>
    <m/>
    <m/>
    <n v="2"/>
    <s v="Flagged"/>
    <n v="19839"/>
    <m/>
    <n v="0"/>
    <n v="9919.5"/>
    <n v="9919.5"/>
  </r>
  <r>
    <s v="Global_PopulationHT0551"/>
    <s v="Artibonite"/>
    <s v="HT05"/>
    <s v="Saint-Michel de l'Attalaye"/>
    <s v="HT0551"/>
    <m/>
    <m/>
    <m/>
    <n v="154615"/>
    <s v="Global_Population"/>
    <n v="17863.5"/>
    <n v="29083"/>
    <n v="15698"/>
    <n v="94606"/>
    <n v="102402.52618295033"/>
    <n v="26391.817073170732"/>
    <n v="78384"/>
    <n v="81172.875"/>
    <m/>
    <m/>
    <m/>
    <m/>
    <n v="0.1"/>
    <n v="0.2"/>
    <n v="0.1"/>
    <n v="0.60000000000000009"/>
    <n v="0.65"/>
    <n v="0.15000000000000002"/>
    <n v="0.5"/>
    <n v="0.55000000000000004"/>
    <n v="0"/>
    <n v="0"/>
    <n v="0"/>
    <n v="0"/>
    <n v="102402.52618295033"/>
    <s v="Health"/>
    <n v="0.66230654323933857"/>
    <s v=""/>
    <s v=""/>
    <s v=""/>
    <n v="94606"/>
    <s v="Food Security"/>
    <n v="0.61188112408239825"/>
    <n v="7796.5261829503288"/>
    <n v="8.2410483298631473E-2"/>
    <s v=""/>
    <n v="81172.875"/>
    <s v="WASH"/>
    <n v="0.52500000000000002"/>
    <n v="21229.651182950329"/>
    <n v="0.26153627283683534"/>
    <s v=""/>
    <n v="1.7"/>
    <s v="Flagged"/>
    <n v="0.2"/>
    <s v=""/>
    <x v="2"/>
    <n v="102402.52618295033"/>
    <m/>
    <m/>
    <n v="1"/>
    <s v="Flagged"/>
    <n v="102402.52618295033"/>
    <m/>
    <n v="0"/>
    <n v="51201.263091475164"/>
    <n v="51201.263091475164"/>
  </r>
  <r>
    <s v="Global_PopulationHT0552"/>
    <s v="Artibonite"/>
    <s v="HT05"/>
    <s v="Marmelade"/>
    <s v="HT0552"/>
    <m/>
    <m/>
    <m/>
    <n v="39659"/>
    <s v="Global_Population"/>
    <n v="1740"/>
    <n v="7388"/>
    <n v="3455"/>
    <n v="23921"/>
    <n v="2476.6710413793107"/>
    <n v="3252.8399999999997"/>
    <n v="21631"/>
    <n v="19829.5"/>
    <m/>
    <m/>
    <m/>
    <m/>
    <n v="0.05"/>
    <n v="0.2"/>
    <n v="0.1"/>
    <n v="0.60000000000000009"/>
    <n v="0.05"/>
    <n v="0.1"/>
    <n v="0.55000000000000004"/>
    <n v="0.5"/>
    <n v="0"/>
    <n v="0"/>
    <n v="0"/>
    <n v="0"/>
    <n v="23921"/>
    <s v="Food Security"/>
    <n v="0.60316699866360723"/>
    <s v=""/>
    <s v=""/>
    <s v=""/>
    <n v="21631"/>
    <s v="Shelter"/>
    <n v="0.54542474595930301"/>
    <n v="2290"/>
    <n v="0.10586658037076419"/>
    <s v=""/>
    <n v="19829.5"/>
    <s v="WASH"/>
    <n v="0.5"/>
    <n v="4091.5"/>
    <n v="0.2063339973272145"/>
    <s v=""/>
    <n v="0.2"/>
    <s v=""/>
    <n v="0.1"/>
    <s v=""/>
    <x v="2"/>
    <n v="23921"/>
    <m/>
    <m/>
    <n v="0"/>
    <s v=""/>
    <n v="23921"/>
    <m/>
    <n v="0"/>
    <n v="11960.5"/>
    <n v="11960.5"/>
  </r>
  <r>
    <s v="Global_PopulationHT0611"/>
    <s v="Centre"/>
    <s v="HT06"/>
    <s v="Hinche"/>
    <s v="HT0611"/>
    <m/>
    <m/>
    <m/>
    <n v="163137"/>
    <s v="Global_Population"/>
    <n v="51927"/>
    <n v="30134"/>
    <n v="15910"/>
    <n v="77761"/>
    <n v="63066.289696516265"/>
    <n v="76492.140714285721"/>
    <n v="71005"/>
    <n v="49320.488372093023"/>
    <m/>
    <m/>
    <m/>
    <m/>
    <n v="0.30000000000000004"/>
    <n v="0.2"/>
    <n v="0.1"/>
    <n v="0.5"/>
    <n v="0.4"/>
    <n v="0.45"/>
    <n v="0.45"/>
    <n v="0.30000000000000004"/>
    <n v="0"/>
    <n v="0"/>
    <n v="0"/>
    <n v="0"/>
    <n v="77761"/>
    <s v="Food Security"/>
    <n v="0.47666072074391463"/>
    <s v=""/>
    <s v=""/>
    <s v=""/>
    <n v="76492.140714285721"/>
    <s v="Protection"/>
    <n v="0.46888284518095663"/>
    <n v="1268.8592857142794"/>
    <n v="1.6588100082774993E-2"/>
    <s v=""/>
    <n v="71005"/>
    <s v="Shelter"/>
    <n v="0.4352476752668003"/>
    <n v="6756"/>
    <n v="9.5148228997957884E-2"/>
    <s v=""/>
    <n v="-0.1"/>
    <s v=""/>
    <s v=""/>
    <s v=""/>
    <x v="2"/>
    <n v="77761"/>
    <m/>
    <m/>
    <n v="0"/>
    <s v=""/>
    <n v="77761"/>
    <m/>
    <n v="0"/>
    <n v="38880.5"/>
    <n v="38880.5"/>
  </r>
  <r>
    <s v="Global_PopulationHT0612"/>
    <s v="Centre"/>
    <s v="HT06"/>
    <s v="Maissade"/>
    <s v="HT0612"/>
    <m/>
    <m/>
    <m/>
    <n v="78577"/>
    <s v="Global_Population"/>
    <n v="8542.5"/>
    <n v="15557"/>
    <n v="6643"/>
    <n v="37921"/>
    <n v="11614.991614925373"/>
    <n v="15260"/>
    <n v="40703"/>
    <n v="41744.03125"/>
    <m/>
    <m/>
    <m/>
    <m/>
    <n v="0.1"/>
    <n v="0.2"/>
    <n v="0.1"/>
    <n v="0.5"/>
    <n v="0.15000000000000002"/>
    <n v="0.2"/>
    <n v="0.5"/>
    <n v="0.55000000000000004"/>
    <n v="0"/>
    <n v="0"/>
    <n v="0"/>
    <n v="0"/>
    <n v="41744.03125"/>
    <s v="WASH"/>
    <n v="0.53125"/>
    <s v=""/>
    <s v=""/>
    <s v=""/>
    <n v="40703"/>
    <s v="Shelter"/>
    <n v="0.51800145080621551"/>
    <n v="1041.03125"/>
    <n v="2.5576278161314889E-2"/>
    <s v=""/>
    <n v="37921"/>
    <s v="Food Security"/>
    <n v="0.48259668859844485"/>
    <n v="3823.03125"/>
    <n v="0.10081567601065372"/>
    <s v=""/>
    <n v="1.6"/>
    <s v="Flagged"/>
    <n v="1.2"/>
    <s v="Flagged"/>
    <x v="2"/>
    <n v="41744.03125"/>
    <m/>
    <m/>
    <n v="2"/>
    <s v="Flagged"/>
    <n v="41744.03125"/>
    <m/>
    <n v="0"/>
    <n v="20872.015625"/>
    <n v="0"/>
  </r>
  <r>
    <s v="Global_PopulationHT0613"/>
    <s v="Centre"/>
    <s v="HT06"/>
    <s v="Thomonde"/>
    <s v="HT0613"/>
    <m/>
    <m/>
    <m/>
    <n v="85152"/>
    <s v="Global_Population"/>
    <n v="10308"/>
    <n v="17206"/>
    <n v="7178"/>
    <n v="39811"/>
    <n v="13490.757369965078"/>
    <n v="17602.349999999999"/>
    <n v="41479"/>
    <n v="47685.120000000003"/>
    <m/>
    <m/>
    <m/>
    <m/>
    <n v="0.1"/>
    <n v="0.2"/>
    <n v="0.1"/>
    <n v="0.45"/>
    <n v="0.15000000000000002"/>
    <n v="0.2"/>
    <n v="0.5"/>
    <n v="0.55000000000000004"/>
    <n v="0"/>
    <n v="0"/>
    <n v="0"/>
    <n v="0"/>
    <n v="47685.120000000003"/>
    <s v="WASH"/>
    <n v="0.56000000000000005"/>
    <s v=""/>
    <s v=""/>
    <s v=""/>
    <n v="41479"/>
    <s v="Shelter"/>
    <n v="0.48711715520481025"/>
    <n v="6206.1200000000026"/>
    <n v="0.14962077195689391"/>
    <s v=""/>
    <n v="39811"/>
    <s v="Food Security"/>
    <n v="0.46752865464111237"/>
    <n v="7874.1200000000026"/>
    <n v="0.19778754615558519"/>
    <s v=""/>
    <n v="1.1000000000000001"/>
    <s v="Flagged"/>
    <n v="0.4"/>
    <s v=""/>
    <x v="2"/>
    <n v="47685.120000000003"/>
    <m/>
    <m/>
    <n v="1"/>
    <s v="Flagged"/>
    <n v="47685.120000000003"/>
    <m/>
    <n v="0"/>
    <n v="23842.560000000001"/>
    <n v="23842.560000000001"/>
  </r>
  <r>
    <s v="Global_PopulationHT0614"/>
    <s v="Centre"/>
    <s v="HT06"/>
    <s v="Cerca Carvajal"/>
    <s v="HT0614"/>
    <m/>
    <m/>
    <m/>
    <n v="31774"/>
    <s v="Global_Population"/>
    <n v="5755.5"/>
    <n v="6519"/>
    <n v="2708"/>
    <n v="14961"/>
    <n v="7861.7353618973157"/>
    <n v="6857.0199999999995"/>
    <n v="16060"/>
    <n v="14827.866666666667"/>
    <m/>
    <m/>
    <m/>
    <m/>
    <n v="0.2"/>
    <n v="0.2"/>
    <n v="0.1"/>
    <n v="0.45"/>
    <n v="0.25"/>
    <n v="0.2"/>
    <n v="0.5"/>
    <n v="0.45"/>
    <n v="0"/>
    <n v="0"/>
    <n v="0"/>
    <n v="0"/>
    <n v="16060"/>
    <s v="Shelter"/>
    <n v="0.50544470321646628"/>
    <s v=""/>
    <s v=""/>
    <s v=""/>
    <n v="14961"/>
    <s v="Food Security"/>
    <n v="0.47085667526908792"/>
    <n v="1099"/>
    <n v="7.345765657375844E-2"/>
    <s v=""/>
    <n v="14827.866666666667"/>
    <s v="WASH"/>
    <n v="0.46666666666666667"/>
    <n v="1232.1333333333332"/>
    <n v="8.3095792606713473E-2"/>
    <s v=""/>
    <n v="-0.1"/>
    <s v=""/>
    <n v="0.2"/>
    <s v=""/>
    <x v="2"/>
    <n v="16060"/>
    <m/>
    <m/>
    <n v="0"/>
    <s v=""/>
    <n v="16060"/>
    <m/>
    <n v="0"/>
    <n v="8030"/>
    <n v="8030"/>
  </r>
  <r>
    <s v="Global_PopulationHT0621"/>
    <s v="Centre"/>
    <s v="HT06"/>
    <s v="Mirebalais"/>
    <s v="HT0621"/>
    <m/>
    <m/>
    <m/>
    <n v="129573"/>
    <s v="Global_Population"/>
    <n v="7125"/>
    <n v="23428"/>
    <n v="10740"/>
    <n v="75469"/>
    <n v="143669"/>
    <n v="14096"/>
    <n v="39364"/>
    <n v="32393.25"/>
    <m/>
    <m/>
    <m/>
    <m/>
    <n v="0.05"/>
    <n v="0.2"/>
    <n v="0.1"/>
    <n v="0.60000000000000009"/>
    <n v="1.1000000000000001"/>
    <n v="0.1"/>
    <n v="0.30000000000000004"/>
    <n v="0.25"/>
    <n v="0"/>
    <n v="0"/>
    <n v="0"/>
    <n v="0"/>
    <n v="143669"/>
    <s v="Health"/>
    <n v="1.1087880962854917"/>
    <s v=""/>
    <s v="Flagged"/>
    <s v=""/>
    <n v="75469"/>
    <s v="Food Security"/>
    <n v="0.58244387333780956"/>
    <n v="68200"/>
    <n v="0.90368230664246252"/>
    <s v="Flagged"/>
    <n v="39364"/>
    <s v="Shelter"/>
    <n v="0.30379785912188495"/>
    <n v="104305"/>
    <n v="2.6497561223452899"/>
    <s v="Flagged"/>
    <n v="2.4"/>
    <s v="Flagged"/>
    <n v="0.4"/>
    <s v=""/>
    <x v="1"/>
    <n v="143669"/>
    <m/>
    <m/>
    <n v="4"/>
    <s v="Flagged"/>
    <n v="75469"/>
    <s v="2nd highest PIN"/>
    <n v="75469"/>
    <n v="75469"/>
    <n v="75469"/>
  </r>
  <r>
    <s v="Global_PopulationHT0622"/>
    <s v="Centre"/>
    <s v="HT06"/>
    <s v="Saut d'Eau"/>
    <s v="HT0622"/>
    <m/>
    <m/>
    <m/>
    <n v="52389"/>
    <s v="Global_Population"/>
    <n v="787.5"/>
    <n v="9836"/>
    <n v="4245"/>
    <n v="30162"/>
    <n v="53967.58765714286"/>
    <n v="976.1"/>
    <n v="0"/>
    <n v="48722"/>
    <m/>
    <m/>
    <m/>
    <m/>
    <n v="0"/>
    <n v="0.2"/>
    <n v="0.1"/>
    <n v="0.60000000000000009"/>
    <n v="1.05"/>
    <n v="0"/>
    <n v="0"/>
    <n v="0.95000000000000007"/>
    <n v="0"/>
    <n v="0"/>
    <n v="0"/>
    <n v="0"/>
    <n v="53967.58765714286"/>
    <s v="Health"/>
    <n v="1.0301320440768647"/>
    <s v=""/>
    <s v="Flagged"/>
    <s v=""/>
    <n v="48722"/>
    <s v="WASH"/>
    <n v="0.93000439023459125"/>
    <n v="5245.5876571428598"/>
    <n v="0.10766363567059767"/>
    <s v=""/>
    <n v="30162"/>
    <s v="Food Security"/>
    <n v="0.5757315466987345"/>
    <n v="23805.58765714286"/>
    <n v="0.78925759754468738"/>
    <s v=""/>
    <n v="1.6"/>
    <s v="Flagged"/>
    <n v="1.3"/>
    <s v="Flagged"/>
    <x v="1"/>
    <n v="53967.58765714286"/>
    <m/>
    <m/>
    <n v="3"/>
    <s v="Flagged"/>
    <n v="53967.58765714286"/>
    <m/>
    <n v="53967.58765714286"/>
    <n v="53967.58765714286"/>
    <n v="53967.58765714286"/>
  </r>
  <r>
    <s v="Global_PopulationHT0623"/>
    <s v="Centre"/>
    <s v="HT06"/>
    <s v="Boucan Carre"/>
    <s v="HT0623"/>
    <m/>
    <m/>
    <m/>
    <n v="79705"/>
    <s v="Global_Population"/>
    <n v="19608"/>
    <n v="15728"/>
    <n v="7225"/>
    <n v="43253"/>
    <n v="35708.605059832087"/>
    <n v="26800.55"/>
    <n v="39996"/>
    <n v="59778.75"/>
    <m/>
    <m/>
    <m/>
    <m/>
    <n v="0.25"/>
    <n v="0.2"/>
    <n v="0.1"/>
    <n v="0.55000000000000004"/>
    <n v="0.45"/>
    <n v="0.35000000000000003"/>
    <n v="0.5"/>
    <n v="0.75"/>
    <n v="0"/>
    <n v="0"/>
    <n v="0"/>
    <n v="0"/>
    <n v="59778.75"/>
    <s v="WASH"/>
    <n v="0.75"/>
    <s v=""/>
    <s v=""/>
    <s v=""/>
    <n v="43253"/>
    <s v="Food Security"/>
    <n v="0.54266357192146042"/>
    <n v="16525.75"/>
    <n v="0.38207176380829078"/>
    <s v=""/>
    <n v="39996"/>
    <s v="Shelter"/>
    <n v="0.50180038893419487"/>
    <n v="19782.75"/>
    <n v="0.4946182118211821"/>
    <s v=""/>
    <n v="1"/>
    <s v="Flagged"/>
    <n v="0.4"/>
    <s v=""/>
    <x v="2"/>
    <n v="59778.75"/>
    <m/>
    <m/>
    <n v="1"/>
    <s v="Flagged"/>
    <n v="59778.75"/>
    <m/>
    <n v="0"/>
    <n v="29889.375"/>
    <n v="29889.375"/>
  </r>
  <r>
    <s v="Global_PopulationHT0631"/>
    <s v="Centre"/>
    <s v="HT06"/>
    <s v="Lascahobas"/>
    <s v="HT0631"/>
    <m/>
    <m/>
    <m/>
    <n v="65198"/>
    <s v="Global_Population"/>
    <n v="8235"/>
    <n v="12816"/>
    <n v="5482"/>
    <n v="35415"/>
    <n v="40915.644261202186"/>
    <n v="19549.5"/>
    <n v="26155"/>
    <n v="24449.25"/>
    <m/>
    <m/>
    <m/>
    <m/>
    <n v="0.15000000000000002"/>
    <n v="0.2"/>
    <n v="0.1"/>
    <n v="0.55000000000000004"/>
    <n v="0.65"/>
    <n v="0.30000000000000004"/>
    <n v="0.4"/>
    <n v="0.4"/>
    <n v="0"/>
    <n v="0"/>
    <n v="0"/>
    <n v="0"/>
    <n v="40915.644261202186"/>
    <s v="Health"/>
    <n v="0.62755980645421927"/>
    <s v=""/>
    <s v=""/>
    <s v=""/>
    <n v="35415"/>
    <s v="Food Security"/>
    <n v="0.54319150894199209"/>
    <n v="5500.6442612021856"/>
    <n v="0.15531961771007161"/>
    <s v=""/>
    <n v="26155"/>
    <s v="Shelter"/>
    <n v="0.40116261235007211"/>
    <n v="14760.644261202186"/>
    <n v="0.5643526767808138"/>
    <s v=""/>
    <n v="0.3"/>
    <s v=""/>
    <n v="0.4"/>
    <s v=""/>
    <x v="1"/>
    <n v="40915.644261202186"/>
    <m/>
    <m/>
    <n v="0"/>
    <s v=""/>
    <n v="40915.644261202186"/>
    <m/>
    <n v="40915.644261202186"/>
    <n v="40915.644261202186"/>
    <n v="40915.644261202186"/>
  </r>
  <r>
    <s v="Global_PopulationHT0632"/>
    <s v="Centre"/>
    <s v="HT06"/>
    <s v="Belladere"/>
    <s v="HT0632"/>
    <m/>
    <m/>
    <m/>
    <n v="123067"/>
    <s v="Global_Population"/>
    <n v="165361.5"/>
    <n v="23811"/>
    <n v="17891"/>
    <n v="66866"/>
    <n v="175306.74852968712"/>
    <n v="220698.15"/>
    <n v="85526"/>
    <n v="110241"/>
    <m/>
    <m/>
    <m/>
    <m/>
    <n v="1.35"/>
    <n v="0.2"/>
    <n v="0.15000000000000002"/>
    <n v="0.55000000000000004"/>
    <n v="1.4000000000000001"/>
    <n v="1.8"/>
    <n v="0.70000000000000007"/>
    <n v="0.9"/>
    <n v="0"/>
    <n v="0"/>
    <n v="0"/>
    <n v="0"/>
    <n v="220698.15"/>
    <s v="Protection"/>
    <n v="1.7933170549375543"/>
    <s v=""/>
    <s v="Flagged"/>
    <s v=""/>
    <n v="175306.74852968712"/>
    <s v="Health"/>
    <n v="1.4244821806795251"/>
    <n v="45391.401470312878"/>
    <n v="0.25892557959698925"/>
    <s v=""/>
    <n v="165361.5"/>
    <s v="CCCM"/>
    <n v="1.3436705209357505"/>
    <n v="55336.649999999994"/>
    <n v="0.33464046951678594"/>
    <s v=""/>
    <s v=""/>
    <s v=""/>
    <n v="2.1"/>
    <s v="Flagged"/>
    <x v="1"/>
    <n v="220698.15"/>
    <m/>
    <m/>
    <n v="2"/>
    <s v="Flagged"/>
    <n v="175306.74852968712"/>
    <s v="2nd highest PIN"/>
    <n v="175306.74852968712"/>
    <n v="175306.74852968712"/>
    <n v="175306.74852968712"/>
  </r>
  <r>
    <s v="Global_PopulationHT0633"/>
    <s v="Centre"/>
    <s v="HT06"/>
    <s v="Savanette"/>
    <s v="HT0633"/>
    <m/>
    <m/>
    <m/>
    <n v="46902"/>
    <s v="Global_Population"/>
    <n v="7314"/>
    <n v="7989"/>
    <n v="4180"/>
    <n v="27947"/>
    <n v="7006.9163017227247"/>
    <n v="10311.87875"/>
    <n v="25568"/>
    <n v="23451"/>
    <m/>
    <m/>
    <m/>
    <m/>
    <n v="0.15000000000000002"/>
    <n v="0.15000000000000002"/>
    <n v="0.1"/>
    <n v="0.60000000000000009"/>
    <n v="0.15000000000000002"/>
    <n v="0.2"/>
    <n v="0.55000000000000004"/>
    <n v="0.5"/>
    <n v="0"/>
    <n v="0"/>
    <n v="0"/>
    <n v="0"/>
    <n v="27947"/>
    <s v="Food Security"/>
    <n v="0.59585945162253207"/>
    <s v=""/>
    <s v=""/>
    <s v=""/>
    <n v="25568"/>
    <s v="Shelter"/>
    <n v="0.54513666794592985"/>
    <n v="2379"/>
    <n v="9.3045994993742179E-2"/>
    <s v=""/>
    <n v="23451"/>
    <s v="WASH"/>
    <n v="0.5"/>
    <n v="4496"/>
    <n v="0.19171890324506419"/>
    <s v=""/>
    <n v="0.4"/>
    <s v=""/>
    <n v="0.1"/>
    <s v=""/>
    <x v="2"/>
    <n v="27947"/>
    <m/>
    <m/>
    <n v="0"/>
    <s v=""/>
    <n v="27947"/>
    <m/>
    <n v="0"/>
    <n v="13973.5"/>
    <n v="13973.5"/>
  </r>
  <r>
    <s v="Global_PopulationHT0641"/>
    <s v="Centre"/>
    <s v="HT06"/>
    <s v="Cerca La Source"/>
    <s v="HT0641"/>
    <m/>
    <m/>
    <m/>
    <n v="73041"/>
    <s v="Global_Population"/>
    <n v="1032"/>
    <n v="15004"/>
    <n v="5736"/>
    <n v="36370"/>
    <n v="1524.398023255814"/>
    <n v="3050"/>
    <n v="44281"/>
    <n v="6086.75"/>
    <m/>
    <m/>
    <m/>
    <m/>
    <n v="0"/>
    <n v="0.2"/>
    <n v="0.1"/>
    <n v="0.5"/>
    <n v="0"/>
    <n v="0.05"/>
    <n v="0.60000000000000009"/>
    <n v="0.1"/>
    <n v="0"/>
    <n v="0"/>
    <n v="0"/>
    <n v="0"/>
    <n v="44281"/>
    <s v="Shelter"/>
    <n v="0.60624854533755013"/>
    <s v=""/>
    <s v=""/>
    <s v=""/>
    <n v="36370"/>
    <s v="Food Security"/>
    <n v="0.49793951342396736"/>
    <n v="7911"/>
    <n v="0.21751443497387957"/>
    <s v=""/>
    <n v="15004"/>
    <s v="Education"/>
    <n v="0.20541887433085526"/>
    <n v="29277"/>
    <n v="1.9512796587576646"/>
    <s v="Flagged"/>
    <n v="0.8"/>
    <s v=""/>
    <n v="0.2"/>
    <s v=""/>
    <x v="2"/>
    <n v="44281"/>
    <m/>
    <m/>
    <n v="1"/>
    <s v="Flagged"/>
    <n v="44281"/>
    <m/>
    <n v="0"/>
    <n v="22140.5"/>
    <n v="0"/>
  </r>
  <r>
    <s v="Global_PopulationHT0642"/>
    <s v="Centre"/>
    <s v="HT06"/>
    <s v="Thomassique"/>
    <s v="HT0642"/>
    <m/>
    <m/>
    <m/>
    <n v="85148"/>
    <s v="Global_Population"/>
    <n v="12891"/>
    <n v="17776"/>
    <n v="7320"/>
    <n v="40676"/>
    <n v="17875.690066278803"/>
    <n v="19038.68"/>
    <n v="48734"/>
    <n v="21287"/>
    <m/>
    <m/>
    <m/>
    <m/>
    <n v="0.15000000000000002"/>
    <n v="0.2"/>
    <n v="0.1"/>
    <n v="0.5"/>
    <n v="0.2"/>
    <n v="0.2"/>
    <n v="0.55000000000000004"/>
    <n v="0.25"/>
    <n v="0"/>
    <n v="0"/>
    <n v="0"/>
    <n v="0"/>
    <n v="48734"/>
    <s v="Shelter"/>
    <n v="0.57234462347911874"/>
    <s v=""/>
    <s v=""/>
    <s v=""/>
    <n v="40676"/>
    <s v="Food Security"/>
    <n v="0.47770940010334945"/>
    <n v="8058"/>
    <n v="0.19810207493362178"/>
    <s v=""/>
    <n v="21287"/>
    <s v="WASH"/>
    <n v="0.25"/>
    <n v="27447"/>
    <n v="1.2893784939164747"/>
    <s v="Flagged"/>
    <n v="0.2"/>
    <s v=""/>
    <n v="0.2"/>
    <s v=""/>
    <x v="2"/>
    <n v="48734"/>
    <m/>
    <m/>
    <n v="1"/>
    <s v="Flagged"/>
    <n v="48734"/>
    <m/>
    <n v="0"/>
    <n v="24367"/>
    <n v="0"/>
  </r>
  <r>
    <s v="Global_PopulationHT0711"/>
    <s v="Sud"/>
    <s v="HT07"/>
    <s v="Les Cayes"/>
    <s v="HT0711"/>
    <m/>
    <m/>
    <m/>
    <n v="207439"/>
    <s v="Global_Population"/>
    <n v="68691"/>
    <n v="23591"/>
    <n v="22325"/>
    <n v="106777"/>
    <n v="57479.033933712526"/>
    <n v="46497.501052631582"/>
    <n v="97831"/>
    <n v="46967.32075471698"/>
    <m/>
    <m/>
    <m/>
    <m/>
    <n v="0.35000000000000003"/>
    <n v="0.1"/>
    <n v="0.1"/>
    <n v="0.5"/>
    <n v="0.30000000000000004"/>
    <n v="0.2"/>
    <n v="0.45"/>
    <n v="0.25"/>
    <n v="0"/>
    <n v="0"/>
    <n v="0"/>
    <n v="0"/>
    <n v="106777"/>
    <s v="Food Security"/>
    <n v="0.51473927275006148"/>
    <s v=""/>
    <s v=""/>
    <s v=""/>
    <n v="97831"/>
    <s v="Shelter"/>
    <n v="0.47161334175347935"/>
    <n v="8946"/>
    <n v="9.1443407508867328E-2"/>
    <s v=""/>
    <n v="68691"/>
    <s v="CCCM"/>
    <n v="0.33113831053948389"/>
    <n v="38086"/>
    <n v="0.55445400416357316"/>
    <s v=""/>
    <n v="-0.2"/>
    <s v=""/>
    <n v="0.2"/>
    <s v=""/>
    <x v="2"/>
    <n v="106777"/>
    <m/>
    <m/>
    <n v="0"/>
    <s v=""/>
    <n v="106777"/>
    <m/>
    <n v="0"/>
    <n v="53388.5"/>
    <n v="0"/>
  </r>
  <r>
    <s v="Global_PopulationHT0712"/>
    <s v="Sud"/>
    <s v="HT07"/>
    <s v="Torbeck"/>
    <s v="HT0712"/>
    <m/>
    <m/>
    <m/>
    <n v="93827"/>
    <s v="Global_Population"/>
    <n v="25672.5"/>
    <n v="11405"/>
    <n v="9670"/>
    <n v="50616"/>
    <n v="21410.506818612259"/>
    <n v="18696.607499999998"/>
    <n v="58964"/>
    <n v="18156.387096774193"/>
    <m/>
    <m/>
    <m/>
    <m/>
    <n v="0.25"/>
    <n v="0.1"/>
    <n v="0.1"/>
    <n v="0.55000000000000004"/>
    <n v="0.25"/>
    <n v="0.2"/>
    <n v="0.65"/>
    <n v="0.2"/>
    <n v="0"/>
    <n v="0"/>
    <n v="0"/>
    <n v="0"/>
    <n v="58964"/>
    <s v="Shelter"/>
    <n v="0.62843318021465033"/>
    <s v=""/>
    <s v=""/>
    <s v=""/>
    <n v="50616"/>
    <s v="Food Security"/>
    <n v="0.53946092276210478"/>
    <n v="8348"/>
    <n v="0.16492808598071756"/>
    <s v=""/>
    <n v="25672.5"/>
    <s v="CCCM"/>
    <n v="0.27361527065769981"/>
    <n v="33291.5"/>
    <n v="1.2967767065926574"/>
    <s v="Flagged"/>
    <n v="0.7"/>
    <s v=""/>
    <n v="0.1"/>
    <s v=""/>
    <x v="2"/>
    <n v="58964"/>
    <m/>
    <m/>
    <n v="1"/>
    <s v="Flagged"/>
    <n v="58964"/>
    <m/>
    <n v="0"/>
    <n v="29482"/>
    <n v="29482"/>
  </r>
  <r>
    <s v="Global_PopulationHT0713"/>
    <s v="Sud"/>
    <s v="HT07"/>
    <s v="Chantal"/>
    <s v="HT0713"/>
    <m/>
    <m/>
    <m/>
    <n v="41237"/>
    <s v="Global_Population"/>
    <n v="15000"/>
    <n v="5137"/>
    <n v="4308"/>
    <n v="23775"/>
    <n v="17756.139327272725"/>
    <n v="5037.92"/>
    <n v="24354"/>
    <n v="15118.5"/>
    <m/>
    <m/>
    <m/>
    <m/>
    <n v="0.35000000000000003"/>
    <n v="0.1"/>
    <n v="0.1"/>
    <n v="0.60000000000000009"/>
    <n v="0.45"/>
    <n v="0.1"/>
    <n v="0.60000000000000009"/>
    <n v="0.35000000000000003"/>
    <n v="0"/>
    <n v="0"/>
    <n v="0"/>
    <n v="0"/>
    <n v="24354"/>
    <s v="Shelter"/>
    <n v="0.5905861241118413"/>
    <s v=""/>
    <s v=""/>
    <s v=""/>
    <n v="23775"/>
    <s v="Food Security"/>
    <n v="0.57654533549967257"/>
    <n v="579"/>
    <n v="2.4353312302839117E-2"/>
    <s v=""/>
    <n v="17756.139327272725"/>
    <s v="Health"/>
    <n v="0.43058756280216132"/>
    <n v="6597.8606727272745"/>
    <n v="0.37158193856888827"/>
    <s v=""/>
    <n v="0.3"/>
    <s v=""/>
    <n v="0.3"/>
    <s v=""/>
    <x v="2"/>
    <n v="24354"/>
    <m/>
    <m/>
    <n v="0"/>
    <s v=""/>
    <n v="24354"/>
    <m/>
    <n v="0"/>
    <n v="12177"/>
    <n v="0"/>
  </r>
  <r>
    <s v="Global_PopulationHT0714"/>
    <s v="Sud"/>
    <s v="HT07"/>
    <s v="Camp-Perrin"/>
    <s v="HT0714"/>
    <m/>
    <m/>
    <m/>
    <n v="51550"/>
    <s v="Global_Population"/>
    <n v="6900"/>
    <n v="6109"/>
    <n v="4966"/>
    <n v="29966"/>
    <n v="8963.3172086956529"/>
    <n v="4672.1085714285709"/>
    <n v="20994"/>
    <n v="5523.2142857142853"/>
    <m/>
    <m/>
    <m/>
    <m/>
    <n v="0.15000000000000002"/>
    <n v="0.1"/>
    <n v="0.1"/>
    <n v="0.60000000000000009"/>
    <n v="0.15000000000000002"/>
    <n v="0.1"/>
    <n v="0.4"/>
    <n v="0.1"/>
    <n v="0"/>
    <n v="0"/>
    <n v="0"/>
    <n v="0"/>
    <n v="29966"/>
    <s v="Food Security"/>
    <n v="0.58129970902036854"/>
    <s v=""/>
    <s v=""/>
    <s v=""/>
    <n v="20994"/>
    <s v="Shelter"/>
    <n v="0.40725509214354993"/>
    <n v="8972"/>
    <n v="0.42736019815185289"/>
    <s v=""/>
    <n v="8963.3172086956529"/>
    <s v="Health"/>
    <n v="0.17387618251591955"/>
    <n v="21002.682791304345"/>
    <n v="2.3431819160576901"/>
    <s v="Flagged"/>
    <n v="0.1"/>
    <s v=""/>
    <n v="0.1"/>
    <s v=""/>
    <x v="2"/>
    <n v="29966"/>
    <m/>
    <m/>
    <n v="1"/>
    <s v="Flagged"/>
    <n v="29966"/>
    <m/>
    <n v="0"/>
    <n v="14983"/>
    <n v="0"/>
  </r>
  <r>
    <s v="Global_PopulationHT0715"/>
    <s v="Sud"/>
    <s v="HT07"/>
    <s v="Maniche"/>
    <s v="HT0715"/>
    <m/>
    <m/>
    <m/>
    <n v="27507"/>
    <s v="Global_Population"/>
    <n v="6979.5"/>
    <n v="3461"/>
    <n v="2813"/>
    <n v="15923"/>
    <n v="8723.3928551472163"/>
    <n v="9511"/>
    <n v="20835"/>
    <n v="9511"/>
    <m/>
    <m/>
    <m/>
    <m/>
    <n v="0.25"/>
    <n v="0.15000000000000002"/>
    <n v="0.1"/>
    <n v="0.60000000000000009"/>
    <n v="0.30000000000000004"/>
    <n v="0.35000000000000003"/>
    <n v="0.75"/>
    <n v="0.35000000000000003"/>
    <n v="0"/>
    <n v="0"/>
    <n v="0"/>
    <n v="0"/>
    <n v="20835"/>
    <s v="Shelter"/>
    <n v="0.75744355982113643"/>
    <s v=""/>
    <s v=""/>
    <s v=""/>
    <n v="15923"/>
    <s v="Food Security"/>
    <n v="0.57887083287890351"/>
    <n v="4912"/>
    <n v="0.308484582051121"/>
    <s v=""/>
    <n v="9511"/>
    <s v="Protection_x000a_WASH"/>
    <n v="0.34576653215545133"/>
    <n v="11324"/>
    <n v="1.1906213857638523"/>
    <s v="Flagged"/>
    <n v="0.6"/>
    <s v=""/>
    <n v="0.1"/>
    <s v=""/>
    <x v="2"/>
    <n v="20835"/>
    <m/>
    <m/>
    <n v="1"/>
    <s v="Flagged"/>
    <n v="20835"/>
    <m/>
    <n v="0"/>
    <n v="10417.5"/>
    <n v="0"/>
  </r>
  <r>
    <s v="Global_PopulationHT0716"/>
    <s v="Sud"/>
    <s v="HT07"/>
    <s v="Ile a Vache"/>
    <s v="HT0716"/>
    <m/>
    <m/>
    <m/>
    <n v="17491"/>
    <s v="Global_Population"/>
    <n v="400.5"/>
    <n v="2290"/>
    <n v="1494"/>
    <n v="11269"/>
    <n v="500.3211003745318"/>
    <n v="141.18"/>
    <n v="0"/>
    <n v="4372.75"/>
    <m/>
    <m/>
    <m/>
    <m/>
    <n v="0"/>
    <n v="0.15000000000000002"/>
    <n v="0.1"/>
    <n v="0.65"/>
    <n v="0.05"/>
    <n v="0"/>
    <n v="0"/>
    <n v="0.25"/>
    <n v="0"/>
    <n v="0"/>
    <n v="0"/>
    <n v="0"/>
    <n v="11269"/>
    <s v="Food Security"/>
    <n v="0.64427419815905318"/>
    <s v=""/>
    <s v=""/>
    <s v=""/>
    <n v="4372.75"/>
    <s v="WASH"/>
    <n v="0.25"/>
    <n v="6896.25"/>
    <n v="1.5770967926362129"/>
    <s v="Flagged"/>
    <n v="2290"/>
    <s v="Education"/>
    <n v="0.13092447544451433"/>
    <n v="8979"/>
    <n v="3.9209606986899561"/>
    <s v="Flagged"/>
    <n v="0.5"/>
    <s v=""/>
    <n v="-0.5"/>
    <s v=""/>
    <x v="3"/>
    <n v="0"/>
    <m/>
    <m/>
    <n v="2"/>
    <s v="Flagged"/>
    <n v="0"/>
    <m/>
    <n v="0"/>
    <n v="0"/>
    <n v="0"/>
  </r>
  <r>
    <s v="Global_PopulationHT0721"/>
    <s v="Sud"/>
    <s v="HT07"/>
    <s v="Port-Salut"/>
    <s v="HT0721"/>
    <m/>
    <m/>
    <m/>
    <n v="25431"/>
    <s v="Global_Population"/>
    <n v="7837.5"/>
    <n v="3154"/>
    <n v="2822"/>
    <n v="13976"/>
    <n v="7524.3443942583735"/>
    <n v="4171.47"/>
    <n v="13364"/>
    <n v="6357.75"/>
    <m/>
    <m/>
    <m/>
    <m/>
    <n v="0.30000000000000004"/>
    <n v="0.1"/>
    <n v="0.1"/>
    <n v="0.55000000000000004"/>
    <n v="0.30000000000000004"/>
    <n v="0.15000000000000002"/>
    <n v="0.55000000000000004"/>
    <n v="0.25"/>
    <n v="0"/>
    <n v="0"/>
    <n v="0"/>
    <n v="0"/>
    <n v="13976"/>
    <s v="Food Security"/>
    <n v="0.54956549093625895"/>
    <s v=""/>
    <s v=""/>
    <s v=""/>
    <n v="13364"/>
    <s v="Shelter"/>
    <n v="0.52550037355982859"/>
    <n v="612"/>
    <n v="4.579467225381622E-2"/>
    <s v=""/>
    <n v="7837.5"/>
    <s v="CCCM"/>
    <n v="0.30818685855845229"/>
    <n v="6138.5"/>
    <n v="0.7832216905901116"/>
    <s v=""/>
    <n v="0.5"/>
    <s v=""/>
    <n v="1.5"/>
    <s v="Flagged"/>
    <x v="2"/>
    <n v="13976"/>
    <m/>
    <m/>
    <n v="1"/>
    <s v="Flagged"/>
    <n v="13976"/>
    <m/>
    <n v="0"/>
    <n v="6988"/>
    <n v="0"/>
  </r>
  <r>
    <s v="Global_PopulationHT0722"/>
    <s v="Sud"/>
    <s v="HT07"/>
    <s v="Saint Jean du Sud"/>
    <s v="HT0722"/>
    <m/>
    <m/>
    <m/>
    <n v="35362"/>
    <s v="Global_Population"/>
    <n v="10500"/>
    <n v="4620"/>
    <n v="3555"/>
    <n v="18710"/>
    <n v="13020.064371428572"/>
    <n v="14158"/>
    <n v="8999"/>
    <n v="7000"/>
    <m/>
    <m/>
    <m/>
    <m/>
    <n v="0.30000000000000004"/>
    <n v="0.15000000000000002"/>
    <n v="0.1"/>
    <n v="0.55000000000000004"/>
    <n v="0.35000000000000003"/>
    <n v="0.4"/>
    <n v="0.25"/>
    <n v="0.2"/>
    <n v="0"/>
    <n v="0"/>
    <n v="0"/>
    <n v="0"/>
    <n v="18710"/>
    <s v="Food Security"/>
    <n v="0.52909903286013238"/>
    <s v=""/>
    <s v=""/>
    <s v=""/>
    <n v="14158"/>
    <s v="Protection"/>
    <n v="0.40037328205418243"/>
    <n v="4552"/>
    <n v="0.32151433818335923"/>
    <s v=""/>
    <n v="13020.064371428572"/>
    <s v="Health"/>
    <n v="0.36819366470868653"/>
    <n v="5689.9356285714275"/>
    <n v="0.43701286462588534"/>
    <s v=""/>
    <n v="0.5"/>
    <s v=""/>
    <s v=""/>
    <s v=""/>
    <x v="2"/>
    <n v="18710"/>
    <m/>
    <m/>
    <n v="0"/>
    <s v=""/>
    <n v="18710"/>
    <m/>
    <n v="0"/>
    <n v="9355"/>
    <n v="9355"/>
  </r>
  <r>
    <s v="Global_PopulationHT0723"/>
    <s v="Sud"/>
    <s v="HT07"/>
    <s v="Arniquet"/>
    <s v="HT0723"/>
    <m/>
    <m/>
    <m/>
    <n v="35838"/>
    <s v="Global_Population"/>
    <n v="6450"/>
    <n v="4569"/>
    <n v="3293"/>
    <n v="21354"/>
    <n v="8189.334023255813"/>
    <n v="2153.84"/>
    <n v="0"/>
    <n v="6462"/>
    <m/>
    <m/>
    <m/>
    <m/>
    <n v="0.2"/>
    <n v="0.15000000000000002"/>
    <n v="0.1"/>
    <n v="0.60000000000000009"/>
    <n v="0.25"/>
    <n v="0.05"/>
    <n v="0"/>
    <n v="0.2"/>
    <n v="0"/>
    <n v="0"/>
    <n v="0"/>
    <n v="0"/>
    <n v="21354"/>
    <s v="Food Security"/>
    <n v="0.59584798258831406"/>
    <s v=""/>
    <s v=""/>
    <s v=""/>
    <n v="8189.334023255813"/>
    <s v="Health"/>
    <n v="0.22850979472224492"/>
    <n v="13164.665976744187"/>
    <n v="1.6075380414768261"/>
    <s v="Flagged"/>
    <n v="6462"/>
    <s v="WASH"/>
    <n v="0.18031140130587645"/>
    <n v="14892"/>
    <n v="2.3045496750232126"/>
    <s v="Flagged"/>
    <n v="0.5"/>
    <s v=""/>
    <n v="-0.4"/>
    <s v=""/>
    <x v="2"/>
    <n v="21354"/>
    <m/>
    <m/>
    <n v="2"/>
    <s v="Flagged"/>
    <n v="21354"/>
    <m/>
    <n v="0"/>
    <n v="10677"/>
    <n v="0"/>
  </r>
  <r>
    <s v="Global_PopulationHT0731"/>
    <s v="Sud"/>
    <s v="HT07"/>
    <s v="Aquin"/>
    <s v="HT0731"/>
    <m/>
    <m/>
    <m/>
    <n v="123719"/>
    <s v="Global_Population"/>
    <n v="40338"/>
    <n v="14308"/>
    <n v="13986"/>
    <n v="69332"/>
    <n v="60234.867224757727"/>
    <n v="33799.900327868854"/>
    <n v="60059"/>
    <n v="26892"/>
    <m/>
    <m/>
    <m/>
    <m/>
    <n v="0.35000000000000003"/>
    <n v="0.1"/>
    <n v="0.1"/>
    <n v="0.55000000000000004"/>
    <n v="0.5"/>
    <n v="0.25"/>
    <n v="0.5"/>
    <n v="0.2"/>
    <n v="0"/>
    <n v="0"/>
    <n v="0"/>
    <n v="0"/>
    <n v="69332"/>
    <s v="Food Security"/>
    <n v="0.56039896863052563"/>
    <s v=""/>
    <s v=""/>
    <s v=""/>
    <n v="60234.867224757727"/>
    <s v="Health"/>
    <n v="0.48686836480053775"/>
    <n v="9097.1327752422731"/>
    <n v="0.15102768868565167"/>
    <s v=""/>
    <n v="60059"/>
    <s v="Shelter"/>
    <n v="0.48544685941528787"/>
    <n v="9273"/>
    <n v="0.154398175127791"/>
    <s v=""/>
    <n v="0.1"/>
    <s v=""/>
    <n v="0.3"/>
    <s v=""/>
    <x v="2"/>
    <n v="69332"/>
    <m/>
    <m/>
    <n v="0"/>
    <s v=""/>
    <n v="69332"/>
    <m/>
    <n v="0"/>
    <n v="34666"/>
    <n v="0"/>
  </r>
  <r>
    <s v="Global_PopulationHT0732"/>
    <s v="Sud"/>
    <s v="HT07"/>
    <s v="Saint Louis du Sud"/>
    <s v="HT0732"/>
    <m/>
    <m/>
    <m/>
    <n v="80295"/>
    <s v="Global_Population"/>
    <n v="22591.5"/>
    <n v="9967"/>
    <n v="7726"/>
    <n v="43192"/>
    <n v="24316.284666891454"/>
    <n v="15203.71"/>
    <n v="49907"/>
    <n v="29441.499999999996"/>
    <m/>
    <m/>
    <m/>
    <m/>
    <n v="0.30000000000000004"/>
    <n v="0.1"/>
    <n v="0.1"/>
    <n v="0.55000000000000004"/>
    <n v="0.30000000000000004"/>
    <n v="0.2"/>
    <n v="0.60000000000000009"/>
    <n v="0.35000000000000003"/>
    <n v="0"/>
    <n v="0"/>
    <n v="0"/>
    <n v="0"/>
    <n v="49907"/>
    <s v="Shelter"/>
    <n v="0.62154555078149321"/>
    <s v=""/>
    <s v=""/>
    <s v=""/>
    <n v="43192"/>
    <s v="Food Security"/>
    <n v="0.53791643315274928"/>
    <n v="6715"/>
    <n v="0.15546860529727727"/>
    <s v=""/>
    <n v="29441.499999999996"/>
    <s v="WASH"/>
    <n v="0.36666666666666664"/>
    <n v="20465.500000000004"/>
    <n v="0.6951242294040727"/>
    <s v=""/>
    <n v="0.4"/>
    <s v=""/>
    <n v="0.1"/>
    <s v=""/>
    <x v="2"/>
    <n v="49907"/>
    <m/>
    <m/>
    <n v="0"/>
    <s v=""/>
    <n v="49907"/>
    <m/>
    <n v="0"/>
    <n v="24953.5"/>
    <n v="0"/>
  </r>
  <r>
    <s v="Global_PopulationHT0733"/>
    <s v="Sud"/>
    <s v="HT07"/>
    <s v="Cavaillon"/>
    <s v="HT0733"/>
    <m/>
    <m/>
    <m/>
    <n v="63397"/>
    <s v="Global_Population"/>
    <n v="36769.5"/>
    <n v="7729"/>
    <n v="7536"/>
    <n v="32390"/>
    <n v="26588.659165699828"/>
    <n v="24726.3"/>
    <n v="45881"/>
    <n v="47547.75"/>
    <m/>
    <m/>
    <m/>
    <m/>
    <n v="0.60000000000000009"/>
    <n v="0.1"/>
    <n v="0.1"/>
    <n v="0.5"/>
    <n v="0.4"/>
    <n v="0.4"/>
    <n v="0.70000000000000007"/>
    <n v="0.75"/>
    <n v="0"/>
    <n v="0"/>
    <n v="0"/>
    <n v="0"/>
    <n v="47547.75"/>
    <s v="WASH"/>
    <n v="0.75"/>
    <s v=""/>
    <s v=""/>
    <s v=""/>
    <n v="45881"/>
    <s v="Shelter"/>
    <n v="0.72370932378503716"/>
    <n v="1666.75"/>
    <n v="3.6327673764739214E-2"/>
    <s v=""/>
    <n v="36769.5"/>
    <s v="CCCM"/>
    <n v="0.57998801205104344"/>
    <n v="10778.25"/>
    <n v="0.29313017582507239"/>
    <s v=""/>
    <n v="0.5"/>
    <s v=""/>
    <n v="0.1"/>
    <s v=""/>
    <x v="2"/>
    <n v="47547.75"/>
    <m/>
    <m/>
    <n v="0"/>
    <s v=""/>
    <n v="47547.75"/>
    <m/>
    <n v="0"/>
    <n v="23773.875"/>
    <n v="0"/>
  </r>
  <r>
    <s v="Global_PopulationHT0741"/>
    <s v="Sud"/>
    <s v="HT07"/>
    <s v="Coteaux"/>
    <s v="HT0741"/>
    <m/>
    <m/>
    <m/>
    <n v="25395"/>
    <s v="Global_Population"/>
    <n v="4450.5"/>
    <n v="3322"/>
    <n v="2343"/>
    <n v="15589"/>
    <n v="5594.127825965621"/>
    <n v="3101.29"/>
    <n v="6381"/>
    <n v="2971.8"/>
    <m/>
    <m/>
    <m/>
    <m/>
    <n v="0.2"/>
    <n v="0.15000000000000002"/>
    <n v="0.1"/>
    <n v="0.60000000000000009"/>
    <n v="0.2"/>
    <n v="0.1"/>
    <n v="0.25"/>
    <n v="0.1"/>
    <n v="0"/>
    <n v="0"/>
    <n v="0"/>
    <n v="0"/>
    <n v="15589"/>
    <s v="Food Security"/>
    <n v="0.61386099625910617"/>
    <s v=""/>
    <s v=""/>
    <s v=""/>
    <n v="6381"/>
    <s v="Shelter"/>
    <n v="0.25126993502658002"/>
    <n v="9208"/>
    <n v="1.4430340072089014"/>
    <s v="Flagged"/>
    <n v="5594.127825965621"/>
    <s v="Health"/>
    <n v="0.22028461610417882"/>
    <n v="9994.872174034379"/>
    <n v="1.7866721113597599"/>
    <s v="Flagged"/>
    <n v="0.5"/>
    <s v=""/>
    <n v="-0.5"/>
    <s v=""/>
    <x v="2"/>
    <n v="15589"/>
    <m/>
    <m/>
    <n v="2"/>
    <s v="Flagged"/>
    <n v="15589"/>
    <m/>
    <n v="0"/>
    <n v="7794.5"/>
    <n v="0"/>
  </r>
  <r>
    <s v="Global_PopulationHT0742"/>
    <s v="Sud"/>
    <s v="HT07"/>
    <s v="Port-a-Piment"/>
    <s v="HT0742"/>
    <m/>
    <m/>
    <m/>
    <n v="26647"/>
    <s v="Global_Population"/>
    <n v="11437.5"/>
    <n v="3725"/>
    <n v="2696"/>
    <n v="9754"/>
    <n v="15410.983019672132"/>
    <n v="3842.74"/>
    <n v="21418"/>
    <n v="15376"/>
    <m/>
    <m/>
    <m/>
    <m/>
    <n v="0.45"/>
    <n v="0.15000000000000002"/>
    <n v="0.1"/>
    <n v="0.35000000000000003"/>
    <n v="0.60000000000000009"/>
    <n v="0.15000000000000002"/>
    <n v="0.8"/>
    <n v="0.60000000000000009"/>
    <n v="0"/>
    <n v="0"/>
    <n v="0"/>
    <n v="0"/>
    <n v="21418"/>
    <s v="Shelter"/>
    <n v="0.80376777873681837"/>
    <s v=""/>
    <s v=""/>
    <s v=""/>
    <n v="15410.983019672132"/>
    <s v="Health"/>
    <n v="0.5783383877987065"/>
    <n v="6007.0169803278677"/>
    <n v="0.38978804743733125"/>
    <s v=""/>
    <n v="15376"/>
    <s v="WASH"/>
    <n v="0.5770255563478065"/>
    <n v="6042"/>
    <n v="0.3929500520291363"/>
    <s v=""/>
    <n v="0.6"/>
    <s v=""/>
    <n v="-0.2"/>
    <s v=""/>
    <x v="2"/>
    <n v="21418"/>
    <m/>
    <m/>
    <n v="0"/>
    <s v=""/>
    <n v="21418"/>
    <m/>
    <n v="0"/>
    <n v="10709"/>
    <n v="0"/>
  </r>
  <r>
    <s v="Global_PopulationHT0743"/>
    <s v="Sud"/>
    <s v="HT07"/>
    <s v="Roche a Bateau"/>
    <s v="HT0743"/>
    <m/>
    <m/>
    <m/>
    <n v="28335"/>
    <s v="Global_Population"/>
    <n v="7956"/>
    <n v="4015"/>
    <n v="2721"/>
    <n v="13461"/>
    <n v="9941.3962865761696"/>
    <n v="2655.93"/>
    <n v="21298"/>
    <n v="5315.25"/>
    <m/>
    <m/>
    <m/>
    <m/>
    <n v="0.30000000000000004"/>
    <n v="0.15000000000000002"/>
    <n v="0.1"/>
    <n v="0.5"/>
    <n v="0.35000000000000003"/>
    <n v="0.1"/>
    <n v="0.75"/>
    <n v="0.2"/>
    <n v="0"/>
    <n v="0"/>
    <n v="0"/>
    <n v="0"/>
    <n v="21298"/>
    <s v="Shelter"/>
    <n v="0.7516499029468855"/>
    <s v=""/>
    <s v=""/>
    <s v=""/>
    <n v="13461"/>
    <s v="Food Security"/>
    <n v="0.47506617257808365"/>
    <n v="7837"/>
    <n v="0.58220043087437778"/>
    <s v="Flagged"/>
    <n v="9941.3962865761696"/>
    <s v="Health"/>
    <n v="0.35085217175140887"/>
    <n v="11356.60371342383"/>
    <n v="1.1423549958227306"/>
    <s v="Flagged"/>
    <n v="1.1000000000000001"/>
    <s v="Flagged"/>
    <n v="0.5"/>
    <s v=""/>
    <x v="2"/>
    <n v="21298"/>
    <m/>
    <m/>
    <n v="3"/>
    <s v="Flagged"/>
    <n v="21298"/>
    <m/>
    <n v="0"/>
    <n v="10649"/>
    <n v="10649"/>
  </r>
  <r>
    <s v="Global_PopulationHT0751"/>
    <s v="Sud"/>
    <s v="HT07"/>
    <s v="Chardonnieres"/>
    <s v="HT0751"/>
    <m/>
    <m/>
    <m/>
    <n v="32835"/>
    <s v="Global_Population"/>
    <n v="7819.5"/>
    <n v="4438"/>
    <n v="3060"/>
    <n v="17827"/>
    <n v="9800.3110294647995"/>
    <n v="3486.2133333333331"/>
    <n v="16450"/>
    <n v="5213"/>
    <m/>
    <m/>
    <m/>
    <m/>
    <n v="0.25"/>
    <n v="0.15000000000000002"/>
    <n v="0.1"/>
    <n v="0.55000000000000004"/>
    <n v="0.30000000000000004"/>
    <n v="0.1"/>
    <n v="0.5"/>
    <n v="0.15000000000000002"/>
    <n v="0"/>
    <n v="0"/>
    <n v="0"/>
    <n v="0"/>
    <n v="17827"/>
    <s v="Food Security"/>
    <n v="0.54292675498705645"/>
    <s v=""/>
    <s v=""/>
    <s v=""/>
    <n v="16450"/>
    <s v="Shelter"/>
    <n v="0.50098979747220951"/>
    <n v="1377"/>
    <n v="8.3708206686930089E-2"/>
    <s v=""/>
    <n v="9800.3110294647995"/>
    <s v="Health"/>
    <n v="0.29847147950250646"/>
    <n v="8026.6889705352005"/>
    <n v="0.81902390101730704"/>
    <s v="Flagged"/>
    <n v="0.3"/>
    <s v=""/>
    <n v="0.2"/>
    <s v=""/>
    <x v="2"/>
    <n v="17827"/>
    <m/>
    <m/>
    <n v="1"/>
    <s v="Flagged"/>
    <n v="17827"/>
    <m/>
    <n v="0"/>
    <n v="8913.5"/>
    <n v="0"/>
  </r>
  <r>
    <s v="Global_PopulationHT0752"/>
    <s v="Sud"/>
    <s v="HT07"/>
    <s v="Les Anglais"/>
    <s v="HT0752"/>
    <m/>
    <m/>
    <m/>
    <n v="39577"/>
    <s v="Global_Population"/>
    <n v="15825"/>
    <n v="5272"/>
    <n v="4056"/>
    <n v="21874"/>
    <n v="20639.865952606633"/>
    <n v="5664.6"/>
    <n v="0"/>
    <n v="11965.2"/>
    <m/>
    <m/>
    <m/>
    <m/>
    <n v="0.4"/>
    <n v="0.15000000000000002"/>
    <n v="0.1"/>
    <n v="0.55000000000000004"/>
    <n v="0.5"/>
    <n v="0.15000000000000002"/>
    <n v="0"/>
    <n v="0.30000000000000004"/>
    <n v="0"/>
    <n v="0"/>
    <n v="0"/>
    <n v="0"/>
    <n v="21874"/>
    <s v="Food Security"/>
    <n v="0.55269474694898557"/>
    <s v=""/>
    <s v=""/>
    <s v=""/>
    <n v="20639.865952606633"/>
    <s v="Health"/>
    <n v="0.5215116343484002"/>
    <n v="1234.1340473933669"/>
    <n v="5.9793704582539048E-2"/>
    <s v=""/>
    <n v="15825"/>
    <s v="CCCM"/>
    <n v="0.39985345023624835"/>
    <n v="6049"/>
    <n v="0.38224328593996842"/>
    <s v=""/>
    <n v="0.5"/>
    <s v=""/>
    <n v="-0.1"/>
    <s v=""/>
    <x v="2"/>
    <n v="21874"/>
    <m/>
    <m/>
    <n v="0"/>
    <s v=""/>
    <n v="21874"/>
    <s v="2nd highest PIN"/>
    <n v="0"/>
    <n v="10937"/>
    <n v="0"/>
  </r>
  <r>
    <s v="Global_PopulationHT0753"/>
    <s v="Sud"/>
    <s v="HT07"/>
    <s v="Tiburon"/>
    <s v="HT0753"/>
    <m/>
    <m/>
    <m/>
    <n v="28474"/>
    <s v="Global_Population"/>
    <n v="5742"/>
    <n v="3658"/>
    <n v="2590"/>
    <n v="17036"/>
    <n v="7091.8891999999996"/>
    <n v="17113.25"/>
    <n v="21356"/>
    <n v="8805.5"/>
    <m/>
    <m/>
    <m/>
    <m/>
    <n v="0.2"/>
    <n v="0.15000000000000002"/>
    <n v="0.1"/>
    <n v="0.60000000000000009"/>
    <n v="0.25"/>
    <n v="0.60000000000000009"/>
    <n v="0.75"/>
    <n v="0.30000000000000004"/>
    <n v="0"/>
    <n v="0"/>
    <n v="0"/>
    <n v="0"/>
    <n v="21356"/>
    <s v="Shelter"/>
    <n v="0.75001755987918806"/>
    <s v=""/>
    <s v=""/>
    <s v=""/>
    <n v="17113.25"/>
    <s v="Protection"/>
    <n v="0.60101320502914934"/>
    <n v="4242.75"/>
    <n v="0.24792193183644251"/>
    <s v=""/>
    <n v="17036"/>
    <s v="Food Security"/>
    <n v="0.59830020369459858"/>
    <n v="4320"/>
    <n v="0.25358065273538388"/>
    <s v=""/>
    <n v="0.4"/>
    <s v=""/>
    <s v=""/>
    <s v=""/>
    <x v="2"/>
    <n v="21356"/>
    <m/>
    <m/>
    <n v="0"/>
    <s v=""/>
    <n v="21356"/>
    <m/>
    <n v="0"/>
    <n v="10678"/>
    <n v="0"/>
  </r>
  <r>
    <s v="Global_PopulationHT0811"/>
    <s v="Grande'Anse"/>
    <s v="HT08"/>
    <s v="Jeremie"/>
    <s v="HT0811"/>
    <m/>
    <m/>
    <m/>
    <n v="155299"/>
    <s v="Global_Population"/>
    <n v="39376.5"/>
    <n v="14068"/>
    <n v="14733"/>
    <n v="91325"/>
    <n v="45616.728934378574"/>
    <n v="30199.30301507538"/>
    <n v="62950"/>
    <n v="33341.028248587572"/>
    <m/>
    <m/>
    <m/>
    <m/>
    <n v="0.25"/>
    <n v="0.1"/>
    <n v="0.1"/>
    <n v="0.60000000000000009"/>
    <n v="0.30000000000000004"/>
    <n v="0.2"/>
    <n v="0.4"/>
    <n v="0.2"/>
    <n v="0"/>
    <n v="0"/>
    <n v="0"/>
    <n v="0"/>
    <n v="91325"/>
    <s v="Food Security"/>
    <n v="0.58805916329145713"/>
    <s v=""/>
    <s v=""/>
    <s v=""/>
    <n v="62950"/>
    <s v="Shelter"/>
    <n v="0.4053471046175442"/>
    <n v="28375"/>
    <n v="0.45075456711675932"/>
    <s v=""/>
    <n v="45616.728934378574"/>
    <s v="Health"/>
    <n v="0.29373485298925667"/>
    <n v="45708.271065621426"/>
    <n v="1.0020067666705024"/>
    <s v="Flagged"/>
    <n v="-0.1"/>
    <s v=""/>
    <n v="-0.1"/>
    <s v=""/>
    <x v="2"/>
    <n v="91325"/>
    <m/>
    <m/>
    <n v="1"/>
    <s v="Flagged"/>
    <n v="91325"/>
    <m/>
    <n v="0"/>
    <n v="45662.5"/>
    <n v="0"/>
  </r>
  <r>
    <s v="Global_PopulationHT0812"/>
    <s v="Grande'Anse"/>
    <s v="HT08"/>
    <s v="Abricots"/>
    <s v="HT0812"/>
    <m/>
    <m/>
    <m/>
    <n v="47470"/>
    <s v="Global_Population"/>
    <n v="26850"/>
    <n v="4868"/>
    <n v="5056"/>
    <n v="25028"/>
    <n v="29664.757591061454"/>
    <n v="27109.86"/>
    <n v="34290"/>
    <n v="32635.625"/>
    <m/>
    <m/>
    <m/>
    <m/>
    <n v="0.55000000000000004"/>
    <n v="0.1"/>
    <n v="0.1"/>
    <n v="0.55000000000000004"/>
    <n v="0.60000000000000009"/>
    <n v="0.55000000000000004"/>
    <n v="0.70000000000000007"/>
    <n v="0.70000000000000007"/>
    <n v="0"/>
    <n v="0"/>
    <n v="0"/>
    <n v="0"/>
    <n v="34290"/>
    <s v="Shelter"/>
    <n v="0.72235095850010533"/>
    <s v=""/>
    <s v=""/>
    <s v=""/>
    <n v="32635.625"/>
    <s v="WASH"/>
    <n v="0.6875"/>
    <n v="1654.375"/>
    <n v="5.0692303272880476E-2"/>
    <s v=""/>
    <n v="29664.757591061454"/>
    <s v="Health"/>
    <n v="0.62491589616729415"/>
    <n v="4625.2424089385459"/>
    <n v="0.15591708089103745"/>
    <s v=""/>
    <n v="0.9"/>
    <s v=""/>
    <n v="-0.2"/>
    <s v=""/>
    <x v="2"/>
    <n v="34290"/>
    <m/>
    <m/>
    <n v="0"/>
    <s v=""/>
    <n v="34290"/>
    <m/>
    <n v="0"/>
    <n v="17145"/>
    <n v="0"/>
  </r>
  <r>
    <s v="Global_PopulationHT0813"/>
    <s v="Grande'Anse"/>
    <s v="HT08"/>
    <s v="Bonbon"/>
    <s v="HT0813"/>
    <m/>
    <m/>
    <m/>
    <n v="10653"/>
    <s v="Global_Population"/>
    <n v="4860"/>
    <n v="1024"/>
    <n v="1105"/>
    <n v="5720"/>
    <n v="4908.1043259259259"/>
    <n v="1638.96"/>
    <n v="0"/>
    <n v="4525.71"/>
    <m/>
    <m/>
    <m/>
    <m/>
    <n v="0.45"/>
    <n v="0.1"/>
    <n v="0.1"/>
    <n v="0.55000000000000004"/>
    <n v="0.45"/>
    <n v="0.15000000000000002"/>
    <n v="0"/>
    <n v="0.4"/>
    <n v="0"/>
    <n v="0"/>
    <n v="0"/>
    <n v="0"/>
    <n v="5720"/>
    <s v="Food Security"/>
    <n v="0.5369379517506806"/>
    <s v=""/>
    <s v=""/>
    <s v=""/>
    <n v="4908.1043259259259"/>
    <s v="Health"/>
    <n v="0.46072508457016109"/>
    <n v="811.89567407407412"/>
    <n v="0.16541940027342594"/>
    <s v=""/>
    <n v="4860"/>
    <s v="CCCM"/>
    <n v="0.45620951844550833"/>
    <n v="860"/>
    <n v="0.17695473251028807"/>
    <s v=""/>
    <n v="0.1"/>
    <s v=""/>
    <n v="-0.3"/>
    <s v=""/>
    <x v="3"/>
    <n v="0"/>
    <m/>
    <m/>
    <n v="0"/>
    <s v=""/>
    <n v="0"/>
    <m/>
    <n v="0"/>
    <n v="0"/>
    <n v="0"/>
  </r>
  <r>
    <s v="Global_PopulationHT0814"/>
    <s v="Grande'Anse"/>
    <s v="HT08"/>
    <s v="Moron"/>
    <s v="HT0814"/>
    <m/>
    <m/>
    <m/>
    <n v="36686"/>
    <s v="Global_Population"/>
    <n v="9367.5"/>
    <n v="3588"/>
    <n v="3354"/>
    <n v="21821"/>
    <n v="15612.5"/>
    <n v="5044.0384615384619"/>
    <n v="18694"/>
    <n v="6245"/>
    <m/>
    <m/>
    <m/>
    <m/>
    <n v="0.25"/>
    <n v="0.1"/>
    <n v="0.1"/>
    <n v="0.60000000000000009"/>
    <n v="0.45"/>
    <n v="0.15000000000000002"/>
    <n v="0.5"/>
    <n v="0.15000000000000002"/>
    <n v="0"/>
    <n v="0"/>
    <n v="0"/>
    <n v="0"/>
    <n v="21821"/>
    <s v="Food Security"/>
    <n v="0.59480455759690343"/>
    <s v=""/>
    <s v=""/>
    <s v=""/>
    <n v="18694"/>
    <s v="Shelter"/>
    <n v="0.50956768249468465"/>
    <n v="3127"/>
    <n v="0.1672729217930887"/>
    <s v=""/>
    <n v="15612.5"/>
    <s v="Health"/>
    <n v="0.42557106253066562"/>
    <n v="6208.5"/>
    <n v="0.39766212970376302"/>
    <s v=""/>
    <n v="0.1"/>
    <s v=""/>
    <n v="0.2"/>
    <s v=""/>
    <x v="2"/>
    <n v="21821"/>
    <m/>
    <m/>
    <n v="0"/>
    <s v=""/>
    <n v="21821"/>
    <m/>
    <n v="0"/>
    <n v="10910.5"/>
    <n v="0"/>
  </r>
  <r>
    <s v="Global_PopulationHT0815"/>
    <s v="Grande'Anse"/>
    <s v="HT08"/>
    <s v="Chambellan"/>
    <s v="HT0815"/>
    <m/>
    <m/>
    <m/>
    <n v="35368"/>
    <s v="Global_Population"/>
    <n v="12750"/>
    <n v="3753"/>
    <n v="3353"/>
    <n v="19335"/>
    <n v="10272.420635294118"/>
    <n v="4268.96"/>
    <n v="0"/>
    <n v="11784.509999999998"/>
    <m/>
    <m/>
    <m/>
    <m/>
    <n v="0.35000000000000003"/>
    <n v="0.1"/>
    <n v="0.1"/>
    <n v="0.55000000000000004"/>
    <n v="0.30000000000000004"/>
    <n v="0.1"/>
    <n v="0"/>
    <n v="0.35000000000000003"/>
    <n v="0"/>
    <n v="0"/>
    <n v="0"/>
    <n v="0"/>
    <n v="19335"/>
    <s v="Food Security"/>
    <n v="0.54668061524541955"/>
    <s v=""/>
    <s v=""/>
    <s v=""/>
    <n v="12750"/>
    <s v="CCCM"/>
    <n v="0.36049536304003621"/>
    <n v="6585"/>
    <n v="0.51647058823529413"/>
    <s v="Flagged"/>
    <n v="11784.509999999998"/>
    <s v="WASH"/>
    <n v="0.33319695770187735"/>
    <n v="7550.4900000000016"/>
    <n v="0.64071310559369909"/>
    <s v=""/>
    <n v="0.1"/>
    <s v=""/>
    <n v="0"/>
    <s v=""/>
    <x v="3"/>
    <n v="0"/>
    <m/>
    <m/>
    <n v="1"/>
    <s v="Flagged"/>
    <n v="0"/>
    <m/>
    <n v="0"/>
    <n v="0"/>
    <n v="0"/>
  </r>
  <r>
    <s v="Global_PopulationHT0821"/>
    <s v="Grande'Anse"/>
    <s v="HT08"/>
    <s v="Anse d'Hainault"/>
    <s v="HT0821"/>
    <m/>
    <m/>
    <m/>
    <n v="49099"/>
    <s v="Global_Population"/>
    <n v="26805"/>
    <n v="4862"/>
    <n v="5153"/>
    <n v="24666"/>
    <n v="32392.962384522179"/>
    <n v="14402.26"/>
    <n v="27835"/>
    <n v="17870"/>
    <m/>
    <m/>
    <m/>
    <m/>
    <n v="0.55000000000000004"/>
    <n v="0.1"/>
    <n v="0.1"/>
    <n v="0.5"/>
    <n v="0.65"/>
    <n v="0.30000000000000004"/>
    <n v="0.55000000000000004"/>
    <n v="0.35000000000000003"/>
    <n v="0"/>
    <n v="0"/>
    <n v="0"/>
    <n v="0"/>
    <n v="32392.962384522179"/>
    <s v="Health"/>
    <n v="0.65974790493741586"/>
    <s v=""/>
    <s v=""/>
    <s v=""/>
    <n v="27835"/>
    <s v="Shelter"/>
    <n v="0.56691582313285405"/>
    <n v="4557.9623845221795"/>
    <n v="0.16374932223898614"/>
    <s v=""/>
    <n v="26805"/>
    <s v="CCCM"/>
    <n v="0.54593779914051199"/>
    <n v="5587.9623845221795"/>
    <n v="0.20846716599597759"/>
    <s v=""/>
    <n v="-0.2"/>
    <s v=""/>
    <n v="0"/>
    <s v=""/>
    <x v="2"/>
    <n v="32392.962384522179"/>
    <m/>
    <m/>
    <n v="0"/>
    <s v=""/>
    <n v="32392.962384522179"/>
    <m/>
    <n v="0"/>
    <n v="16196.48119226109"/>
    <n v="0"/>
  </r>
  <r>
    <s v="Global_PopulationHT0822"/>
    <s v="Grande'Anse"/>
    <s v="HT08"/>
    <s v="Dame Marie"/>
    <s v="HT0822"/>
    <m/>
    <m/>
    <m/>
    <n v="41207"/>
    <s v="Global_Population"/>
    <n v="9150"/>
    <n v="3932"/>
    <n v="3655"/>
    <n v="25740"/>
    <n v="10223.376190163934"/>
    <n v="7818.5450000000001"/>
    <n v="13989"/>
    <n v="19229.933333333334"/>
    <m/>
    <m/>
    <m/>
    <m/>
    <n v="0.2"/>
    <n v="0.1"/>
    <n v="0.1"/>
    <n v="0.60000000000000009"/>
    <n v="0.25"/>
    <n v="0.2"/>
    <n v="0.35000000000000003"/>
    <n v="0.45"/>
    <n v="0"/>
    <n v="0"/>
    <n v="0"/>
    <n v="0"/>
    <n v="25740"/>
    <s v="Food Security"/>
    <n v="0.62465115150338535"/>
    <s v=""/>
    <s v=""/>
    <s v=""/>
    <n v="19229.933333333334"/>
    <s v="WASH"/>
    <n v="0.46666666666666667"/>
    <n v="6510.0666666666657"/>
    <n v="0.33853818179296852"/>
    <s v=""/>
    <n v="13989"/>
    <s v="Shelter"/>
    <n v="0.33948115611425245"/>
    <n v="11751"/>
    <n v="0.84001715633712204"/>
    <s v="Flagged"/>
    <n v="0.1"/>
    <s v=""/>
    <n v="0.6"/>
    <s v=""/>
    <x v="2"/>
    <n v="25740"/>
    <m/>
    <m/>
    <n v="1"/>
    <s v="Flagged"/>
    <n v="25740"/>
    <m/>
    <n v="0"/>
    <n v="12870"/>
    <n v="0"/>
  </r>
  <r>
    <s v="Global_PopulationHT0823"/>
    <s v="Grande'Anse"/>
    <s v="HT08"/>
    <s v="Les Irois"/>
    <s v="HT0823"/>
    <m/>
    <m/>
    <m/>
    <n v="24756"/>
    <s v="Global_Population"/>
    <n v="2250"/>
    <n v="2361"/>
    <n v="1999"/>
    <n v="15528"/>
    <n v="2425.8443333333335"/>
    <n v="3142"/>
    <n v="0"/>
    <n v="1500"/>
    <m/>
    <m/>
    <m/>
    <m/>
    <n v="0.1"/>
    <n v="0.1"/>
    <n v="0.1"/>
    <n v="0.65"/>
    <n v="0.1"/>
    <n v="0.15000000000000002"/>
    <n v="0"/>
    <n v="0.05"/>
    <n v="0"/>
    <n v="0"/>
    <n v="0"/>
    <n v="0"/>
    <n v="15528"/>
    <s v="Food Security"/>
    <n v="0.62724188075618037"/>
    <s v=""/>
    <s v=""/>
    <s v=""/>
    <n v="3142"/>
    <s v="Protection"/>
    <n v="0.12691872677330748"/>
    <n v="12386"/>
    <n v="3.9420751113940167"/>
    <s v="Flagged"/>
    <n v="2425.8443333333335"/>
    <s v="Health"/>
    <n v="9.7990157268271663E-2"/>
    <n v="13102.155666666666"/>
    <n v="5.4010702527903334"/>
    <s v="Flagged"/>
    <n v="0.1"/>
    <s v=""/>
    <s v=""/>
    <s v=""/>
    <x v="3"/>
    <n v="0"/>
    <m/>
    <m/>
    <n v="2"/>
    <s v="Flagged"/>
    <n v="0"/>
    <m/>
    <n v="0"/>
    <n v="0"/>
    <n v="0"/>
  </r>
  <r>
    <s v="Global_PopulationHT0831"/>
    <s v="Grande'Anse"/>
    <s v="HT08"/>
    <s v="Corail"/>
    <s v="HT0831"/>
    <m/>
    <m/>
    <m/>
    <n v="28292"/>
    <s v="Global_Population"/>
    <n v="10875"/>
    <n v="2815"/>
    <n v="2791"/>
    <n v="13398"/>
    <n v="12104.774124137932"/>
    <n v="3636.28"/>
    <n v="0"/>
    <n v="7250"/>
    <m/>
    <m/>
    <m/>
    <m/>
    <n v="0.4"/>
    <n v="0.1"/>
    <n v="0.1"/>
    <n v="0.45"/>
    <n v="0.45"/>
    <n v="0.15000000000000002"/>
    <n v="0"/>
    <n v="0.25"/>
    <n v="0"/>
    <n v="0"/>
    <n v="0"/>
    <n v="0"/>
    <n v="13398"/>
    <s v="Food Security"/>
    <n v="0.4735614307931571"/>
    <s v=""/>
    <s v=""/>
    <s v=""/>
    <n v="12104.774124137932"/>
    <s v="Health"/>
    <n v="0.4278514818371954"/>
    <n v="1293.2258758620683"/>
    <n v="0.10683601879718414"/>
    <s v=""/>
    <n v="10875"/>
    <s v="CCCM"/>
    <n v="0.38438427824119892"/>
    <n v="2523"/>
    <n v="0.23200000000000001"/>
    <s v=""/>
    <n v="0.1"/>
    <s v=""/>
    <n v="-0.5"/>
    <s v=""/>
    <x v="2"/>
    <n v="13398"/>
    <m/>
    <m/>
    <n v="0"/>
    <s v=""/>
    <n v="13398"/>
    <m/>
    <n v="0"/>
    <n v="6699"/>
    <n v="0"/>
  </r>
  <r>
    <s v="Global_PopulationHT0832"/>
    <s v="Grande'Anse"/>
    <s v="HT08"/>
    <s v="Roseaux"/>
    <s v="HT0832"/>
    <m/>
    <m/>
    <m/>
    <n v="41589"/>
    <s v="Global_Population"/>
    <n v="13498.5"/>
    <n v="3754"/>
    <n v="4003"/>
    <n v="24533"/>
    <n v="14407.269"/>
    <n v="9772.01"/>
    <n v="9597"/>
    <n v="8999"/>
    <m/>
    <m/>
    <m/>
    <m/>
    <n v="0.30000000000000004"/>
    <n v="0.1"/>
    <n v="0.1"/>
    <n v="0.60000000000000009"/>
    <n v="0.35000000000000003"/>
    <n v="0.25"/>
    <n v="0.25"/>
    <n v="0.2"/>
    <n v="0"/>
    <n v="0"/>
    <n v="0"/>
    <n v="0"/>
    <n v="24533"/>
    <s v="Food Security"/>
    <n v="0.58989155786385827"/>
    <s v=""/>
    <s v=""/>
    <s v=""/>
    <n v="14407.269"/>
    <s v="Health"/>
    <n v="0.3464201832215249"/>
    <n v="10125.731"/>
    <n v="0.70282098571214291"/>
    <s v="Flagged"/>
    <n v="13498.5"/>
    <s v="CCCM"/>
    <n v="0.32456899660968047"/>
    <n v="11034.5"/>
    <n v="0.81746119939252515"/>
    <s v="Flagged"/>
    <n v="0.1"/>
    <s v=""/>
    <n v="-0.3"/>
    <s v=""/>
    <x v="2"/>
    <n v="24533"/>
    <m/>
    <m/>
    <n v="2"/>
    <s v="Flagged"/>
    <n v="24533"/>
    <m/>
    <n v="0"/>
    <n v="12266.5"/>
    <n v="0"/>
  </r>
  <r>
    <s v="Global_PopulationHT0833"/>
    <s v="Grande'Anse"/>
    <s v="HT08"/>
    <s v="Beaumont"/>
    <s v="HT0833"/>
    <m/>
    <m/>
    <m/>
    <n v="35380"/>
    <s v="Global_Population"/>
    <n v="7359"/>
    <n v="3261"/>
    <n v="3129"/>
    <n v="23077"/>
    <n v="8062.6266278026897"/>
    <n v="5374.4769230769243"/>
    <n v="20764"/>
    <n v="4969"/>
    <m/>
    <m/>
    <m/>
    <m/>
    <n v="0.2"/>
    <n v="0.1"/>
    <n v="0.1"/>
    <n v="0.65"/>
    <n v="0.25"/>
    <n v="0.15000000000000002"/>
    <n v="0.60000000000000009"/>
    <n v="0.15000000000000002"/>
    <n v="0"/>
    <n v="0"/>
    <n v="0"/>
    <n v="0"/>
    <n v="23077"/>
    <s v="Food Security"/>
    <n v="0.65226116449971738"/>
    <s v=""/>
    <s v=""/>
    <s v=""/>
    <n v="20764"/>
    <s v="Shelter"/>
    <n v="0.58688524590163937"/>
    <n v="2313"/>
    <n v="0.11139472163359661"/>
    <s v=""/>
    <n v="8062.6266278026897"/>
    <s v="Health"/>
    <n v="0.22788656381579112"/>
    <n v="15014.373372197311"/>
    <n v="1.8622186125328717"/>
    <s v="Flagged"/>
    <n v="0.1"/>
    <s v=""/>
    <n v="0"/>
    <s v=""/>
    <x v="2"/>
    <n v="23077"/>
    <m/>
    <m/>
    <n v="1"/>
    <s v="Flagged"/>
    <n v="23077"/>
    <m/>
    <n v="0"/>
    <n v="11538.5"/>
    <n v="0"/>
  </r>
  <r>
    <s v="Global_PopulationHT0834"/>
    <s v="Grande'Anse"/>
    <s v="HT08"/>
    <s v="Pestel"/>
    <s v="HT0834"/>
    <m/>
    <m/>
    <m/>
    <n v="48575"/>
    <s v="Global_Population"/>
    <n v="26437.5"/>
    <n v="4535"/>
    <n v="5492"/>
    <n v="31135"/>
    <n v="30145.287036676797"/>
    <n v="24513.255000000001"/>
    <n v="39291"/>
    <n v="17625"/>
    <m/>
    <m/>
    <m/>
    <m/>
    <n v="0.55000000000000004"/>
    <n v="0.1"/>
    <n v="0.1"/>
    <n v="0.65"/>
    <n v="0.60000000000000009"/>
    <n v="0.5"/>
    <n v="0.8"/>
    <n v="0.35000000000000003"/>
    <n v="0"/>
    <n v="0"/>
    <n v="0"/>
    <n v="0"/>
    <n v="39291"/>
    <s v="Shelter"/>
    <n v="0.80887287699433863"/>
    <s v=""/>
    <s v=""/>
    <s v=""/>
    <n v="31135"/>
    <s v="Food Security"/>
    <n v="0.64096757591353581"/>
    <n v="8156"/>
    <n v="0.26195599807290831"/>
    <s v=""/>
    <n v="30145.287036676797"/>
    <s v="Health"/>
    <n v="0.62059263070873483"/>
    <n v="9145.7129633232034"/>
    <n v="0.30338782152566368"/>
    <s v=""/>
    <n v="0.6"/>
    <s v=""/>
    <n v="0.1"/>
    <s v=""/>
    <x v="2"/>
    <n v="39291"/>
    <m/>
    <m/>
    <n v="0"/>
    <s v=""/>
    <n v="39291"/>
    <m/>
    <n v="0"/>
    <n v="19645.5"/>
    <n v="0"/>
  </r>
  <r>
    <s v="Global_PopulationHT0911"/>
    <s v="Nord-Ouest"/>
    <s v="HT09"/>
    <s v="Port-de-Paix"/>
    <s v="HT0911"/>
    <m/>
    <m/>
    <m/>
    <n v="210942"/>
    <s v="Global_Population"/>
    <n v="1375.5"/>
    <n v="29957"/>
    <n v="19140"/>
    <n v="145340"/>
    <n v="6104.804923009815"/>
    <n v="12694.867524752473"/>
    <n v="125354"/>
    <n v="58478.970297029693"/>
    <m/>
    <m/>
    <m/>
    <m/>
    <n v="0"/>
    <n v="0.15000000000000002"/>
    <n v="0.1"/>
    <n v="0.70000000000000007"/>
    <n v="0.05"/>
    <n v="0.05"/>
    <n v="0.60000000000000009"/>
    <n v="0.30000000000000004"/>
    <n v="0"/>
    <n v="0"/>
    <n v="0"/>
    <n v="0"/>
    <n v="145340"/>
    <s v="Food Security"/>
    <n v="0.68900456049530201"/>
    <s v=""/>
    <s v=""/>
    <s v=""/>
    <n v="125354"/>
    <s v="Shelter"/>
    <n v="0.59425813730788557"/>
    <n v="19986"/>
    <n v="0.15943647590025048"/>
    <s v=""/>
    <n v="58478.970297029693"/>
    <s v="WASH"/>
    <n v="0.2772277227722772"/>
    <n v="86861.029702970307"/>
    <n v="1.4853378789294827"/>
    <s v="Flagged"/>
    <n v="0.1"/>
    <s v=""/>
    <n v="1.1000000000000001"/>
    <s v="Flagged"/>
    <x v="2"/>
    <n v="145340"/>
    <m/>
    <m/>
    <n v="2"/>
    <s v="Flagged"/>
    <n v="145340"/>
    <m/>
    <n v="0"/>
    <n v="72670"/>
    <n v="72670"/>
  </r>
  <r>
    <s v="Global_PopulationHT0912"/>
    <s v="Nord-Ouest"/>
    <s v="HT09"/>
    <s v="La Tortue"/>
    <s v="HT0912"/>
    <m/>
    <m/>
    <m/>
    <n v="40156"/>
    <s v="Global_Population"/>
    <n v="232.5"/>
    <n v="6153"/>
    <n v="3388"/>
    <n v="28112"/>
    <n v="815.9592322580645"/>
    <n v="1663.4799999999998"/>
    <n v="23808"/>
    <n v="30117"/>
    <m/>
    <m/>
    <m/>
    <m/>
    <n v="0"/>
    <n v="0.15000000000000002"/>
    <n v="0.1"/>
    <n v="0.70000000000000007"/>
    <n v="0"/>
    <n v="0.05"/>
    <n v="0.60000000000000009"/>
    <n v="0.75"/>
    <n v="0"/>
    <n v="0"/>
    <n v="0"/>
    <n v="0"/>
    <n v="30117"/>
    <s v="WASH"/>
    <n v="0.75"/>
    <s v=""/>
    <s v=""/>
    <s v=""/>
    <n v="28112"/>
    <s v="Food Security"/>
    <n v="0.70006972806056378"/>
    <n v="2005"/>
    <n v="7.1321855435401246E-2"/>
    <s v=""/>
    <n v="23808"/>
    <s v="Shelter"/>
    <n v="0.59288773782249227"/>
    <n v="6309"/>
    <n v="0.26499495967741937"/>
    <s v=""/>
    <n v="7.8"/>
    <s v="Flagged"/>
    <n v="0.1"/>
    <s v=""/>
    <x v="2"/>
    <n v="30117"/>
    <m/>
    <m/>
    <n v="1"/>
    <s v="Flagged"/>
    <n v="30117"/>
    <m/>
    <n v="0"/>
    <n v="15058.5"/>
    <n v="15058.5"/>
  </r>
  <r>
    <s v="Global_PopulationHT0913"/>
    <s v="Nord-Ouest"/>
    <s v="HT09"/>
    <s v="Bassin Bleu"/>
    <s v="HT0913"/>
    <m/>
    <m/>
    <m/>
    <n v="65669"/>
    <s v="Global_Population"/>
    <n v="2844"/>
    <n v="10106"/>
    <n v="5604"/>
    <n v="30163"/>
    <n v="3683.6619215189876"/>
    <n v="2680.8"/>
    <n v="55600"/>
    <n v="55300.210526315786"/>
    <m/>
    <m/>
    <m/>
    <m/>
    <n v="0.05"/>
    <n v="0.15000000000000002"/>
    <n v="0.1"/>
    <n v="0.45"/>
    <n v="0.05"/>
    <n v="0.05"/>
    <n v="0.85000000000000009"/>
    <n v="0.85000000000000009"/>
    <n v="0"/>
    <n v="0"/>
    <n v="0"/>
    <n v="0"/>
    <n v="55600"/>
    <s v="Shelter"/>
    <n v="0.84667042287837491"/>
    <s v=""/>
    <s v=""/>
    <s v=""/>
    <n v="55300.210526315786"/>
    <s v="WASH"/>
    <n v="0.84210526315789469"/>
    <n v="299.78947368421359"/>
    <n v="5.4211271680702257E-3"/>
    <s v=""/>
    <n v="30163"/>
    <s v="Food Security"/>
    <n v="0.4593187044115184"/>
    <n v="25437"/>
    <n v="0.84331797235023043"/>
    <s v="Flagged"/>
    <n v="1.6"/>
    <s v="Flagged"/>
    <n v="2"/>
    <s v="Flagged"/>
    <x v="2"/>
    <n v="55600"/>
    <m/>
    <m/>
    <n v="3"/>
    <s v="Flagged"/>
    <n v="55600"/>
    <m/>
    <n v="0"/>
    <n v="27800"/>
    <n v="27800"/>
  </r>
  <r>
    <s v="Global_PopulationHT0914"/>
    <s v="Nord-Ouest"/>
    <s v="HT09"/>
    <s v="Chamsolme"/>
    <s v="HT0914"/>
    <m/>
    <m/>
    <m/>
    <n v="31537"/>
    <s v="Global_Population"/>
    <n v="435"/>
    <n v="4893"/>
    <n v="2529"/>
    <n v="35171"/>
    <n v="556.85776551724132"/>
    <n v="569.87"/>
    <n v="19774"/>
    <n v="290"/>
    <m/>
    <m/>
    <m/>
    <m/>
    <n v="0"/>
    <n v="0.15000000000000002"/>
    <n v="0.1"/>
    <n v="1.1000000000000001"/>
    <n v="0"/>
    <n v="0"/>
    <n v="0.65"/>
    <n v="0"/>
    <n v="0"/>
    <n v="0"/>
    <n v="0"/>
    <n v="0"/>
    <n v="35171"/>
    <s v="Food Security"/>
    <n v="1.1152297301582268"/>
    <s v=""/>
    <s v="Flagged"/>
    <s v=""/>
    <n v="19774"/>
    <s v="Shelter"/>
    <n v="0.62700954434473788"/>
    <n v="15397"/>
    <n v="0.77864873065641749"/>
    <s v="Flagged"/>
    <n v="4893"/>
    <s v="Education"/>
    <n v="0.15515109236769509"/>
    <n v="30278"/>
    <n v="6.1880237073370123"/>
    <s v="Flagged"/>
    <n v="0.8"/>
    <s v=""/>
    <s v=""/>
    <s v=""/>
    <x v="2"/>
    <n v="35171"/>
    <m/>
    <m/>
    <n v="3"/>
    <s v="Flagged"/>
    <n v="19774"/>
    <s v="2nd highest PIN"/>
    <n v="0"/>
    <n v="9887"/>
    <n v="9887"/>
  </r>
  <r>
    <s v="Global_PopulationHT0921"/>
    <s v="Nord-Ouest"/>
    <s v="HT09"/>
    <s v="Saint-Louis du Nord"/>
    <s v="HT0921"/>
    <m/>
    <m/>
    <m/>
    <n v="120555"/>
    <s v="Global_Population"/>
    <n v="5785.5"/>
    <n v="17520"/>
    <n v="10288"/>
    <n v="84152"/>
    <n v="7802.3654683432715"/>
    <n v="8197.4066666666677"/>
    <n v="67329"/>
    <n v="32148"/>
    <m/>
    <m/>
    <m/>
    <m/>
    <n v="0.05"/>
    <n v="0.15000000000000002"/>
    <n v="0.1"/>
    <n v="0.70000000000000007"/>
    <n v="0.05"/>
    <n v="0.05"/>
    <n v="0.55000000000000004"/>
    <n v="0.25"/>
    <n v="0"/>
    <n v="0"/>
    <n v="0"/>
    <n v="0"/>
    <n v="84152"/>
    <s v="Food Security"/>
    <n v="0.69803823980755675"/>
    <s v=""/>
    <s v=""/>
    <s v=""/>
    <n v="67329"/>
    <s v="Shelter"/>
    <n v="0.55849197461739453"/>
    <n v="16823"/>
    <n v="0.24986261492076223"/>
    <s v=""/>
    <n v="32148"/>
    <s v="WASH"/>
    <n v="0.26666666666666666"/>
    <n v="52004"/>
    <n v="1.6176433992783377"/>
    <s v="Flagged"/>
    <n v="0.1"/>
    <s v=""/>
    <n v="0.2"/>
    <s v=""/>
    <x v="2"/>
    <n v="84152"/>
    <m/>
    <m/>
    <n v="1"/>
    <s v="Flagged"/>
    <n v="84152"/>
    <m/>
    <n v="0"/>
    <n v="42076"/>
    <n v="42076"/>
  </r>
  <r>
    <s v="Global_PopulationHT0922"/>
    <s v="Nord-Ouest"/>
    <s v="HT09"/>
    <s v="Anse-a-Foleur"/>
    <s v="HT0922"/>
    <m/>
    <m/>
    <m/>
    <n v="31659"/>
    <s v="Global_Population"/>
    <n v="1734"/>
    <n v="4764"/>
    <n v="2566"/>
    <n v="21855"/>
    <n v="2450.8612705882351"/>
    <n v="3031.0215384615385"/>
    <n v="14755"/>
    <n v="7914.75"/>
    <m/>
    <m/>
    <m/>
    <m/>
    <n v="0.05"/>
    <n v="0.15000000000000002"/>
    <n v="0.1"/>
    <n v="0.70000000000000007"/>
    <n v="0.1"/>
    <n v="0.1"/>
    <n v="0.45"/>
    <n v="0.25"/>
    <n v="0"/>
    <n v="0"/>
    <n v="0"/>
    <n v="0"/>
    <n v="21855"/>
    <s v="Food Security"/>
    <n v="0.69032502605894064"/>
    <s v=""/>
    <s v=""/>
    <s v=""/>
    <n v="14755"/>
    <s v="Shelter"/>
    <n v="0.46606020404940146"/>
    <n v="7100"/>
    <n v="0.48119281599457808"/>
    <s v=""/>
    <n v="7914.75"/>
    <s v="WASH"/>
    <n v="0.25"/>
    <n v="13940.25"/>
    <n v="1.7613001042357623"/>
    <s v="Flagged"/>
    <n v="0.1"/>
    <s v=""/>
    <n v="0.9"/>
    <s v=""/>
    <x v="2"/>
    <n v="21855"/>
    <m/>
    <m/>
    <n v="1"/>
    <s v="Flagged"/>
    <n v="21855"/>
    <m/>
    <n v="0"/>
    <n v="10927.5"/>
    <n v="10927.5"/>
  </r>
  <r>
    <s v="Global_PopulationHT0931"/>
    <s v="Nord-Ouest"/>
    <s v="HT09"/>
    <s v="Mole Saint Nicolas"/>
    <s v="HT0931"/>
    <m/>
    <m/>
    <m/>
    <n v="36005"/>
    <s v="Global_Population"/>
    <n v="2997"/>
    <n v="5672"/>
    <n v="2945"/>
    <n v="22608"/>
    <n v="3899.2186926926925"/>
    <n v="3315.36"/>
    <n v="9380"/>
    <n v="1998"/>
    <m/>
    <m/>
    <m/>
    <m/>
    <n v="0.1"/>
    <n v="0.15000000000000002"/>
    <n v="0.1"/>
    <n v="0.65"/>
    <n v="0.1"/>
    <n v="0.1"/>
    <n v="0.25"/>
    <n v="0.05"/>
    <n v="0"/>
    <n v="0"/>
    <n v="0"/>
    <n v="0"/>
    <n v="22608"/>
    <s v="Food Security"/>
    <n v="0.62791278989029298"/>
    <s v=""/>
    <s v=""/>
    <s v=""/>
    <n v="9380"/>
    <s v="Shelter"/>
    <n v="0.26051937230940148"/>
    <n v="13228"/>
    <n v="1.4102345415778252"/>
    <s v="Flagged"/>
    <n v="5672"/>
    <s v="Education"/>
    <n v="0.15753367587835024"/>
    <n v="16936"/>
    <n v="2.9858956276445698"/>
    <s v="Flagged"/>
    <n v="0"/>
    <s v=""/>
    <n v="-0.5"/>
    <s v=""/>
    <x v="2"/>
    <n v="22608"/>
    <m/>
    <m/>
    <n v="2"/>
    <s v="Flagged"/>
    <n v="22608"/>
    <m/>
    <n v="0"/>
    <n v="11304"/>
    <n v="11304"/>
  </r>
  <r>
    <s v="Global_PopulationHT0932"/>
    <s v="Nord-Ouest"/>
    <s v="HT09"/>
    <s v="Baie de Henne"/>
    <s v="HT0932"/>
    <m/>
    <m/>
    <m/>
    <n v="28588"/>
    <s v="Global_Population"/>
    <n v="1287"/>
    <n v="4748"/>
    <n v="2323"/>
    <n v="18215"/>
    <n v="2092.1029613053611"/>
    <n v="1313.88"/>
    <n v="22896"/>
    <n v="28588"/>
    <m/>
    <m/>
    <m/>
    <m/>
    <n v="0.05"/>
    <n v="0.15000000000000002"/>
    <n v="0.1"/>
    <n v="0.65"/>
    <n v="0.05"/>
    <n v="0.05"/>
    <n v="0.8"/>
    <n v="1"/>
    <n v="0"/>
    <n v="0"/>
    <n v="0"/>
    <n v="0"/>
    <n v="28588"/>
    <s v="WASH"/>
    <n v="1"/>
    <s v=""/>
    <s v="Flagged"/>
    <s v=""/>
    <n v="22896"/>
    <s v="Shelter"/>
    <n v="0.80089548062123972"/>
    <n v="5692"/>
    <n v="0.24860237596086654"/>
    <s v=""/>
    <n v="18215"/>
    <s v="Food Security"/>
    <n v="0.63715544983909334"/>
    <n v="10373"/>
    <n v="0.56947570683502613"/>
    <s v=""/>
    <n v="5.3"/>
    <s v="Flagged"/>
    <s v=""/>
    <s v=""/>
    <x v="2"/>
    <n v="28588"/>
    <m/>
    <m/>
    <n v="2"/>
    <s v="Flagged"/>
    <n v="28588"/>
    <m/>
    <n v="0"/>
    <n v="14294"/>
    <n v="14294"/>
  </r>
  <r>
    <s v="Global_PopulationHT0933"/>
    <s v="Nord-Ouest"/>
    <s v="HT09"/>
    <s v="Bombardopolis"/>
    <s v="HT0933"/>
    <m/>
    <m/>
    <m/>
    <n v="37868"/>
    <s v="Global_Population"/>
    <n v="3105"/>
    <n v="6078"/>
    <n v="3159"/>
    <n v="24053"/>
    <n v="4040.9408840579708"/>
    <n v="1069.08"/>
    <n v="0"/>
    <n v="2070"/>
    <m/>
    <m/>
    <m/>
    <m/>
    <n v="0.1"/>
    <n v="0.15000000000000002"/>
    <n v="0.1"/>
    <n v="0.65"/>
    <n v="0.1"/>
    <n v="0.05"/>
    <n v="0"/>
    <n v="0.05"/>
    <n v="0"/>
    <n v="0"/>
    <n v="0"/>
    <n v="0"/>
    <n v="24053"/>
    <s v="Food Security"/>
    <n v="0.63518009929227848"/>
    <s v=""/>
    <s v=""/>
    <s v=""/>
    <n v="6078"/>
    <s v="Education"/>
    <n v="0.16050491179888032"/>
    <n v="17975"/>
    <n v="2.9573872984534386"/>
    <s v="Flagged"/>
    <n v="4040.9408840579708"/>
    <s v="Health"/>
    <n v="0.10671123069763312"/>
    <n v="20012.059115942029"/>
    <n v="4.9523266214787167"/>
    <s v="Flagged"/>
    <n v="0"/>
    <s v=""/>
    <n v="0.1"/>
    <s v=""/>
    <x v="3"/>
    <n v="0"/>
    <m/>
    <m/>
    <n v="2"/>
    <s v="Flagged"/>
    <n v="0"/>
    <m/>
    <n v="0"/>
    <n v="0"/>
    <n v="0"/>
  </r>
  <r>
    <s v="Global_PopulationHT0934"/>
    <s v="Nord-Ouest"/>
    <s v="HT09"/>
    <s v="Jean Rabel"/>
    <s v="HT0934"/>
    <m/>
    <m/>
    <m/>
    <n v="156750"/>
    <s v="Global_Population"/>
    <n v="8872.5"/>
    <n v="23802"/>
    <n v="13759"/>
    <n v="99087"/>
    <n v="11856.367598647505"/>
    <n v="8513.9177777777786"/>
    <n v="98939"/>
    <n v="5915"/>
    <m/>
    <m/>
    <m/>
    <m/>
    <n v="0.05"/>
    <n v="0.15000000000000002"/>
    <n v="0.1"/>
    <n v="0.65"/>
    <n v="0.1"/>
    <n v="0.05"/>
    <n v="0.65"/>
    <n v="0.05"/>
    <n v="0"/>
    <n v="0"/>
    <n v="0"/>
    <n v="0"/>
    <n v="99087"/>
    <s v="Food Security"/>
    <n v="0.63213397129186599"/>
    <s v=""/>
    <s v=""/>
    <s v=""/>
    <n v="98939"/>
    <s v="Shelter"/>
    <n v="0.63118979266347686"/>
    <n v="148"/>
    <n v="1.4958711933615663E-3"/>
    <s v=""/>
    <n v="23802"/>
    <s v="Education"/>
    <n v="0.15184688995215312"/>
    <n v="75285"/>
    <n v="3.1629694983614822"/>
    <s v="Flagged"/>
    <n v="0"/>
    <s v=""/>
    <n v="0.8"/>
    <s v=""/>
    <x v="2"/>
    <n v="99087"/>
    <m/>
    <m/>
    <n v="1"/>
    <s v="Flagged"/>
    <n v="99087"/>
    <m/>
    <n v="0"/>
    <n v="49543.5"/>
    <n v="49543.5"/>
  </r>
  <r>
    <s v="Global_PopulationHT1011"/>
    <s v="Nippes"/>
    <s v="HT10"/>
    <s v="Miragoane"/>
    <s v="HT1011"/>
    <m/>
    <m/>
    <m/>
    <n v="70617"/>
    <s v="Global_Population"/>
    <n v="17385"/>
    <n v="3278"/>
    <n v="7165"/>
    <n v="42799"/>
    <n v="20245.448306278067"/>
    <n v="9629.2638297872327"/>
    <n v="31460"/>
    <n v="14908.033333333333"/>
    <m/>
    <m/>
    <m/>
    <m/>
    <n v="0.25"/>
    <n v="0.05"/>
    <n v="0.1"/>
    <n v="0.60000000000000009"/>
    <n v="0.30000000000000004"/>
    <n v="0.15000000000000002"/>
    <n v="0.45"/>
    <n v="0.2"/>
    <n v="0"/>
    <n v="0"/>
    <n v="0"/>
    <n v="0"/>
    <n v="42799"/>
    <s v="Food Security"/>
    <n v="0.60607219224832543"/>
    <s v=""/>
    <s v=""/>
    <s v=""/>
    <n v="31460"/>
    <s v="Shelter"/>
    <n v="0.44550179135335682"/>
    <n v="11339"/>
    <n v="0.36042593769866499"/>
    <s v=""/>
    <n v="20245.448306278067"/>
    <s v="Health"/>
    <n v="0.28669368999360023"/>
    <n v="22553.551693721933"/>
    <n v="1.1140060399022198"/>
    <s v="Flagged"/>
    <n v="-0.3"/>
    <s v=""/>
    <n v="0.2"/>
    <s v=""/>
    <x v="2"/>
    <n v="42799"/>
    <m/>
    <m/>
    <n v="1"/>
    <s v="Flagged"/>
    <n v="42799"/>
    <m/>
    <n v="0"/>
    <n v="21399.5"/>
    <n v="0"/>
  </r>
  <r>
    <s v="Global_PopulationHT1012"/>
    <s v="Nippes"/>
    <s v="HT10"/>
    <s v="Petite Riviere de Nippes"/>
    <s v="HT1012"/>
    <m/>
    <m/>
    <m/>
    <n v="34943"/>
    <s v="Global_Population"/>
    <n v="12717"/>
    <n v="1863"/>
    <n v="3333"/>
    <n v="19719"/>
    <n v="16401.644649175585"/>
    <n v="6657.12"/>
    <n v="15098"/>
    <n v="19655.4375"/>
    <m/>
    <m/>
    <m/>
    <m/>
    <n v="0.35000000000000003"/>
    <n v="0.05"/>
    <n v="0.1"/>
    <n v="0.55000000000000004"/>
    <n v="0.45"/>
    <n v="0.2"/>
    <n v="0.45"/>
    <n v="0.55000000000000004"/>
    <n v="0"/>
    <n v="0"/>
    <n v="0"/>
    <n v="0"/>
    <n v="19719"/>
    <s v="Food Security"/>
    <n v="0.56431903385513549"/>
    <s v=""/>
    <s v=""/>
    <s v=""/>
    <n v="19655.4375"/>
    <s v="WASH"/>
    <n v="0.5625"/>
    <n v="63.5625"/>
    <n v="3.2338379646853449E-3"/>
    <s v=""/>
    <n v="16401.644649175585"/>
    <s v="Health"/>
    <n v="0.46938284203347125"/>
    <n v="3317.3553508244149"/>
    <n v="0.20225748220872222"/>
    <s v=""/>
    <n v="0.1"/>
    <s v=""/>
    <n v="0"/>
    <s v=""/>
    <x v="3"/>
    <n v="0"/>
    <m/>
    <m/>
    <n v="0"/>
    <s v=""/>
    <n v="0"/>
    <m/>
    <n v="0"/>
    <n v="0"/>
    <n v="0"/>
  </r>
  <r>
    <s v="Global_PopulationHT1013"/>
    <s v="Nippes"/>
    <s v="HT10"/>
    <s v="Fonds des Negres"/>
    <s v="HT1013"/>
    <m/>
    <m/>
    <m/>
    <n v="38319"/>
    <s v="Global_Population"/>
    <n v="8670"/>
    <n v="1870"/>
    <n v="3811"/>
    <n v="20972"/>
    <n v="4968.714248442906"/>
    <n v="3948.1"/>
    <n v="16025"/>
    <n v="14499.081081081082"/>
    <m/>
    <m/>
    <m/>
    <m/>
    <n v="0.25"/>
    <n v="0.05"/>
    <n v="0.1"/>
    <n v="0.55000000000000004"/>
    <n v="0.15000000000000002"/>
    <n v="0.1"/>
    <n v="0.4"/>
    <n v="0.4"/>
    <n v="0"/>
    <n v="0"/>
    <n v="0"/>
    <n v="0"/>
    <n v="20972"/>
    <s v="Food Security"/>
    <n v="0.54730029489287302"/>
    <s v=""/>
    <s v=""/>
    <s v=""/>
    <n v="16025"/>
    <s v="Shelter"/>
    <n v="0.41819984863905635"/>
    <n v="4947"/>
    <n v="0.30870514820592826"/>
    <s v=""/>
    <n v="14499.081081081082"/>
    <s v="WASH"/>
    <n v="0.3783783783783784"/>
    <n v="6472.9189189189183"/>
    <n v="0.44643649364544996"/>
    <s v=""/>
    <n v="0"/>
    <s v=""/>
    <n v="-0.1"/>
    <s v=""/>
    <x v="2"/>
    <n v="20972"/>
    <m/>
    <m/>
    <n v="0"/>
    <s v=""/>
    <n v="20972"/>
    <m/>
    <n v="0"/>
    <n v="10486"/>
    <n v="0"/>
  </r>
  <r>
    <s v="Global_PopulationHT1014"/>
    <s v="Nippes"/>
    <s v="HT10"/>
    <s v="Paillant"/>
    <s v="HT1014"/>
    <m/>
    <m/>
    <m/>
    <n v="19644"/>
    <s v="Global_Population"/>
    <n v="7198.5"/>
    <n v="959"/>
    <n v="1918"/>
    <n v="10882"/>
    <n v="6784.0373896645142"/>
    <n v="2403.34"/>
    <n v="4927"/>
    <n v="4799"/>
    <m/>
    <m/>
    <m/>
    <m/>
    <n v="0.35000000000000003"/>
    <n v="0.05"/>
    <n v="0.1"/>
    <n v="0.55000000000000004"/>
    <n v="0.35000000000000003"/>
    <n v="0.1"/>
    <n v="0.25"/>
    <n v="0.25"/>
    <n v="0"/>
    <n v="0"/>
    <n v="0"/>
    <n v="0"/>
    <n v="10882"/>
    <s v="Food Security"/>
    <n v="0.55396049684381998"/>
    <s v=""/>
    <s v=""/>
    <s v=""/>
    <n v="7198.5"/>
    <s v="CCCM"/>
    <n v="0.36644777031154552"/>
    <n v="3683.5"/>
    <n v="0.51170382718621932"/>
    <s v="Flagged"/>
    <n v="6784.0373896645142"/>
    <s v="Health"/>
    <n v="0.34534908316353669"/>
    <n v="4097.9626103354858"/>
    <n v="0.60405955553528268"/>
    <s v=""/>
    <n v="0"/>
    <s v=""/>
    <n v="1.6"/>
    <s v="Flagged"/>
    <x v="2"/>
    <n v="10882"/>
    <m/>
    <m/>
    <n v="2"/>
    <s v="Flagged"/>
    <n v="10882"/>
    <m/>
    <n v="0"/>
    <n v="5441"/>
    <n v="5441"/>
  </r>
  <r>
    <s v="Global_PopulationHT1021"/>
    <s v="Nippes"/>
    <s v="HT10"/>
    <s v="Anse-a-Veau"/>
    <s v="HT1021"/>
    <m/>
    <m/>
    <m/>
    <n v="37907"/>
    <s v="Global_Population"/>
    <n v="6043.5"/>
    <n v="1899"/>
    <n v="3167"/>
    <n v="23656"/>
    <n v="5785.0971022089852"/>
    <n v="2577.4028571428571"/>
    <n v="15006"/>
    <n v="12228.064516129032"/>
    <m/>
    <m/>
    <m/>
    <m/>
    <n v="0.15000000000000002"/>
    <n v="0.05"/>
    <n v="0.1"/>
    <n v="0.60000000000000009"/>
    <n v="0.15000000000000002"/>
    <n v="0.05"/>
    <n v="0.4"/>
    <n v="0.30000000000000004"/>
    <n v="0"/>
    <n v="0"/>
    <n v="0"/>
    <n v="0"/>
    <n v="23656"/>
    <s v="Food Security"/>
    <n v="0.62405360487508899"/>
    <s v=""/>
    <s v=""/>
    <s v=""/>
    <n v="15006"/>
    <s v="Shelter"/>
    <n v="0.39586356081990132"/>
    <n v="8650"/>
    <n v="0.57643609222977477"/>
    <s v="Flagged"/>
    <n v="12228.064516129032"/>
    <s v="WASH"/>
    <n v="0.32258064516129031"/>
    <n v="11427.935483870968"/>
    <n v="0.93456617511277607"/>
    <s v="Flagged"/>
    <n v="0.1"/>
    <s v=""/>
    <n v="0"/>
    <s v=""/>
    <x v="2"/>
    <n v="23656"/>
    <m/>
    <m/>
    <n v="2"/>
    <s v="Flagged"/>
    <n v="23656"/>
    <m/>
    <n v="0"/>
    <n v="11828"/>
    <n v="0"/>
  </r>
  <r>
    <s v="Global_PopulationHT1022"/>
    <s v="Nippes"/>
    <s v="HT10"/>
    <s v="Petit Trou de Nippes"/>
    <s v="HT1022"/>
    <m/>
    <m/>
    <m/>
    <n v="33793"/>
    <s v="Global_Population"/>
    <n v="5395.5"/>
    <n v="1709"/>
    <n v="2906"/>
    <n v="20214"/>
    <n v="4920.304594161802"/>
    <n v="2387.355"/>
    <n v="19451"/>
    <n v="5249.75"/>
    <m/>
    <m/>
    <m/>
    <m/>
    <n v="0.15000000000000002"/>
    <n v="0.05"/>
    <n v="0.1"/>
    <n v="0.60000000000000009"/>
    <n v="0.15000000000000002"/>
    <n v="0.05"/>
    <n v="0.60000000000000009"/>
    <n v="0.15000000000000002"/>
    <n v="0"/>
    <n v="0"/>
    <n v="0"/>
    <n v="0"/>
    <n v="20214"/>
    <s v="Food Security"/>
    <n v="0.59817121889148639"/>
    <s v=""/>
    <s v=""/>
    <s v=""/>
    <n v="19451"/>
    <s v="Shelter"/>
    <n v="0.57559257834462763"/>
    <n v="763"/>
    <n v="3.9226774973009103E-2"/>
    <s v=""/>
    <n v="5395.5"/>
    <s v="CCCM"/>
    <n v="0.15966324386707306"/>
    <n v="14818.5"/>
    <n v="2.7464553794829025"/>
    <s v="Flagged"/>
    <n v="0"/>
    <s v=""/>
    <n v="0.3"/>
    <s v=""/>
    <x v="2"/>
    <n v="20214"/>
    <m/>
    <m/>
    <n v="1"/>
    <s v="Flagged"/>
    <n v="20214"/>
    <m/>
    <n v="0"/>
    <n v="10107"/>
    <n v="0"/>
  </r>
  <r>
    <s v="Global_PopulationHT1023"/>
    <s v="Nippes"/>
    <s v="HT10"/>
    <s v="L'Asile"/>
    <s v="HT1023"/>
    <m/>
    <m/>
    <m/>
    <n v="45890"/>
    <s v="Global_Population"/>
    <n v="7630.5"/>
    <n v="2373"/>
    <n v="4274"/>
    <n v="26940"/>
    <n v="7123.852742834677"/>
    <n v="5158.04"/>
    <n v="11584"/>
    <n v="11472.5"/>
    <m/>
    <m/>
    <m/>
    <m/>
    <n v="0.15000000000000002"/>
    <n v="0.05"/>
    <n v="0.1"/>
    <n v="0.60000000000000009"/>
    <n v="0.15000000000000002"/>
    <n v="0.1"/>
    <n v="0.25"/>
    <n v="0.25"/>
    <n v="0"/>
    <n v="0"/>
    <n v="0"/>
    <n v="0"/>
    <n v="26940"/>
    <s v="Food Security"/>
    <n v="0.58705600348659837"/>
    <s v=""/>
    <s v=""/>
    <s v=""/>
    <n v="11584"/>
    <s v="Shelter"/>
    <n v="0.25242972325125301"/>
    <n v="15356"/>
    <n v="1.3256215469613259"/>
    <s v="Flagged"/>
    <n v="11472.5"/>
    <s v="WASH"/>
    <n v="0.25"/>
    <n v="15467.5"/>
    <n v="1.3482240139463935"/>
    <s v="Flagged"/>
    <n v="0"/>
    <s v=""/>
    <n v="-0.5"/>
    <s v=""/>
    <x v="2"/>
    <n v="26940"/>
    <m/>
    <m/>
    <n v="2"/>
    <s v="Flagged"/>
    <n v="26940"/>
    <m/>
    <n v="0"/>
    <n v="13470"/>
    <n v="0"/>
  </r>
  <r>
    <s v="Global_PopulationHT1024"/>
    <s v="Nippes"/>
    <s v="HT10"/>
    <s v="Arnaud"/>
    <s v="HT1024"/>
    <m/>
    <m/>
    <m/>
    <n v="23479"/>
    <s v="Global_Population"/>
    <n v="5619"/>
    <n v="1204"/>
    <n v="2337"/>
    <n v="13933"/>
    <n v="5184.8062"/>
    <n v="1873"/>
    <n v="5870"/>
    <n v="3746"/>
    <m/>
    <m/>
    <m/>
    <m/>
    <n v="0.25"/>
    <n v="0.05"/>
    <n v="0.1"/>
    <n v="0.60000000000000009"/>
    <n v="0.2"/>
    <n v="0.1"/>
    <n v="0.25"/>
    <n v="0.15000000000000002"/>
    <n v="0"/>
    <n v="0"/>
    <n v="0"/>
    <n v="0"/>
    <n v="13933"/>
    <s v="Food Security"/>
    <n v="0.59342391072873635"/>
    <s v=""/>
    <s v=""/>
    <s v=""/>
    <n v="5870"/>
    <s v="Shelter"/>
    <n v="0.25001064781293925"/>
    <n v="8063"/>
    <n v="1.3735945485519592"/>
    <s v="Flagged"/>
    <n v="5619"/>
    <s v="CCCM"/>
    <n v="0.23932024362196005"/>
    <n v="8314"/>
    <n v="1.4796227086670226"/>
    <s v="Flagged"/>
    <n v="0"/>
    <s v=""/>
    <n v="-0.6"/>
    <s v=""/>
    <x v="2"/>
    <n v="13933"/>
    <m/>
    <m/>
    <n v="2"/>
    <s v="Flagged"/>
    <n v="13933"/>
    <m/>
    <n v="0"/>
    <n v="6966.5"/>
    <n v="0"/>
  </r>
  <r>
    <s v="Global_PopulationHT1025"/>
    <s v="Nippes"/>
    <s v="HT10"/>
    <s v="Plaisance du Sud"/>
    <s v="HT1025"/>
    <m/>
    <m/>
    <m/>
    <n v="32168"/>
    <s v="Global_Population"/>
    <n v="11580"/>
    <n v="1663"/>
    <n v="3195"/>
    <n v="17105"/>
    <n v="15930.226511968272"/>
    <n v="3886.64"/>
    <n v="20301"/>
    <n v="7720"/>
    <m/>
    <m/>
    <m/>
    <m/>
    <n v="0.35000000000000003"/>
    <n v="0.05"/>
    <n v="0.1"/>
    <n v="0.55000000000000004"/>
    <n v="0.5"/>
    <n v="0.1"/>
    <n v="0.65"/>
    <n v="0.25"/>
    <n v="0"/>
    <n v="0"/>
    <n v="0"/>
    <n v="0"/>
    <n v="20301"/>
    <s v="Shelter"/>
    <n v="0.63109301168863463"/>
    <s v=""/>
    <s v=""/>
    <s v=""/>
    <n v="17105"/>
    <s v="Food Security"/>
    <n v="0.53173961701069383"/>
    <n v="3196"/>
    <n v="0.18684595147617655"/>
    <s v=""/>
    <n v="15930.226511968272"/>
    <s v="Health"/>
    <n v="0.49521967520418653"/>
    <n v="4370.7734880317275"/>
    <n v="0.27436982674088123"/>
    <s v=""/>
    <n v="0.4"/>
    <s v=""/>
    <n v="0"/>
    <s v=""/>
    <x v="2"/>
    <n v="20301"/>
    <m/>
    <m/>
    <n v="0"/>
    <s v=""/>
    <n v="20301"/>
    <m/>
    <n v="0"/>
    <n v="10150.5"/>
    <n v="0"/>
  </r>
  <r>
    <s v="Global_PopulationHT1031"/>
    <s v="Nippes"/>
    <s v="HT10"/>
    <s v="Baraderes"/>
    <s v="HT1031"/>
    <m/>
    <m/>
    <m/>
    <n v="45622"/>
    <s v="Global_Population"/>
    <n v="9244.5"/>
    <n v="2362"/>
    <n v="3957"/>
    <n v="25895"/>
    <n v="5390.4708983936398"/>
    <n v="3123.26"/>
    <n v="22985"/>
    <n v="17108.25"/>
    <m/>
    <m/>
    <m/>
    <m/>
    <n v="0.2"/>
    <n v="0.05"/>
    <n v="0.1"/>
    <n v="0.55000000000000004"/>
    <n v="0.1"/>
    <n v="0.05"/>
    <n v="0.5"/>
    <n v="0.4"/>
    <n v="0"/>
    <n v="0"/>
    <n v="0"/>
    <n v="0"/>
    <n v="25895"/>
    <s v="Food Security"/>
    <n v="0.56759896541142429"/>
    <s v=""/>
    <s v=""/>
    <s v=""/>
    <n v="22985"/>
    <s v="Shelter"/>
    <n v="0.50381394941037216"/>
    <n v="2910"/>
    <n v="0.12660430715684143"/>
    <s v=""/>
    <n v="17108.25"/>
    <s v="WASH"/>
    <n v="0.375"/>
    <n v="8786.75"/>
    <n v="0.51359724109713145"/>
    <s v=""/>
    <n v="0"/>
    <s v=""/>
    <n v="0.7"/>
    <s v=""/>
    <x v="2"/>
    <n v="25895"/>
    <m/>
    <m/>
    <n v="0"/>
    <s v=""/>
    <n v="25895"/>
    <m/>
    <n v="0"/>
    <n v="12947.5"/>
    <n v="12947.5"/>
  </r>
  <r>
    <s v="Global_PopulationHT1032"/>
    <s v="Nippes"/>
    <s v="HT10"/>
    <s v="Grand-Boucan"/>
    <s v="HT1032"/>
    <m/>
    <m/>
    <m/>
    <n v="6460"/>
    <s v="Global_Population"/>
    <n v="5175"/>
    <n v="332"/>
    <n v="721"/>
    <n v="3651"/>
    <n v="5114.4588550724638"/>
    <n v="3473.76"/>
    <n v="6504"/>
    <n v="6944"/>
    <m/>
    <m/>
    <m/>
    <m/>
    <n v="0.8"/>
    <n v="0.05"/>
    <n v="0.1"/>
    <n v="0.55000000000000004"/>
    <n v="0.8"/>
    <n v="0.55000000000000004"/>
    <n v="1"/>
    <n v="1.05"/>
    <n v="0"/>
    <n v="0"/>
    <n v="0"/>
    <n v="0"/>
    <n v="6944"/>
    <s v="WASH"/>
    <n v="1.074922600619195"/>
    <s v=""/>
    <s v="Flagged"/>
    <s v=""/>
    <n v="6504"/>
    <s v="Shelter"/>
    <n v="1.0068111455108359"/>
    <n v="440"/>
    <n v="6.7650676506765067E-2"/>
    <s v=""/>
    <n v="5175"/>
    <s v="CCCM"/>
    <n v="0.80108359133126938"/>
    <n v="1769"/>
    <n v="0.34183574879227052"/>
    <s v=""/>
    <n v="2"/>
    <s v="Flagged"/>
    <n v="0.7"/>
    <s v=""/>
    <x v="2"/>
    <n v="6944"/>
    <m/>
    <m/>
    <n v="2"/>
    <s v="Flagged"/>
    <n v="6944"/>
    <m/>
    <n v="0"/>
    <n v="3472"/>
    <n v="0"/>
  </r>
  <r>
    <s v="IDPsIDPs sitesHT01xx"/>
    <s v="Ouest"/>
    <s v="HT01"/>
    <s v="ZMPP"/>
    <s v="HT01xx"/>
    <m/>
    <m/>
    <s v="IDPs sites"/>
    <m/>
    <s v="IDPs"/>
    <m/>
    <m/>
    <m/>
    <n v="146984"/>
    <m/>
    <m/>
    <m/>
    <m/>
    <m/>
    <m/>
    <m/>
    <m/>
    <s v=""/>
    <s v=""/>
    <s v=""/>
    <s v=""/>
    <s v=""/>
    <s v=""/>
    <s v=""/>
    <s v=""/>
    <s v=""/>
    <s v=""/>
    <s v=""/>
    <s v=""/>
    <n v="146984"/>
    <s v="Food Security"/>
    <e v="#DIV/0!"/>
    <s v="Flagged"/>
    <s v=""/>
    <s v=""/>
    <s v="NA"/>
    <s v=""/>
    <s v=""/>
    <s v=""/>
    <s v=""/>
    <s v=""/>
    <s v="NA"/>
    <s v=""/>
    <s v=""/>
    <s v=""/>
    <s v=""/>
    <s v=""/>
    <s v=""/>
    <s v=""/>
    <s v=""/>
    <s v=""/>
    <x v="1"/>
    <n v="146984"/>
    <m/>
    <m/>
    <n v="1"/>
    <s v="Flagged"/>
    <n v="146984"/>
    <m/>
    <n v="146984"/>
    <n v="146984"/>
    <n v="146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447C1-7028-4914-95F4-A427CF15670F}" name="PivotTable1" cacheId="262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6" firstHeaderRow="1" firstDataRow="2" firstDataCol="1"/>
  <pivotFields count="6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numFmtId="1" showAll="0">
      <items count="5">
        <item x="3"/>
        <item x="2"/>
        <item x="1"/>
        <item x="0"/>
        <item t="default"/>
      </items>
    </pivotField>
    <pivotField numFmtId="167" showAll="0"/>
    <pivotField showAll="0"/>
    <pivotField showAll="0"/>
    <pivotField numFmtId="167" showAll="0"/>
    <pivotField showAll="0"/>
    <pivotField dataField="1" showAll="0"/>
    <pivotField showAll="0"/>
    <pivotField numFmtId="166" showAll="0"/>
    <pivotField numFmtId="166" showAll="0"/>
    <pivotField numFmtId="166" showAll="0"/>
  </pivotFields>
  <rowFields count="1">
    <field x="-2"/>
  </rowFields>
  <rowItems count="2">
    <i>
      <x/>
    </i>
    <i i="1">
      <x v="1"/>
    </i>
  </rowItems>
  <colFields count="1">
    <field x="56"/>
  </colFields>
  <colItems count="5">
    <i>
      <x/>
    </i>
    <i>
      <x v="1"/>
    </i>
    <i>
      <x v="2"/>
    </i>
    <i>
      <x v="3"/>
    </i>
    <i t="grand">
      <x/>
    </i>
  </colItems>
  <dataFields count="2">
    <dataField name="Sum of Final PiN" fld="62" baseField="0" baseItem="0"/>
    <dataField name="Count of ID" fld="0" subtotal="count" baseField="0" baseItem="0"/>
  </dataFields>
  <formats count="1">
    <format dxfId="4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1B2E729-C4CB-4990-8130-69B8BDF0ADD8}" name="tblSubSectorPopulation" displayName="tblSubSectorPopulation" ref="B19:C23" totalsRowShown="0" headerRowDxfId="407" dataDxfId="406" headerRowBorderDxfId="404" tableBorderDxfId="405">
  <autoFilter ref="B19:C23" xr:uid="{00EC1285-A7DF-434F-A470-6874D5630451}"/>
  <tableColumns count="2">
    <tableColumn id="1" xr3:uid="{6F9626FB-B046-4FA6-904A-8BB4B957CB86}" name="Sector" dataDxfId="403"/>
    <tableColumn id="2" xr3:uid="{88B372FE-9A02-42DE-9216-ADA6FDC49EF0}" name="Proportion of sector target population in overall population" dataDxfId="40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A02FA4-D22E-4C99-BCE9-7238505316C0}" name="tblThresholds" displayName="tblThresholds" ref="B7:F16" totalsRowShown="0" headerRowDxfId="401" headerRowBorderDxfId="399" tableBorderDxfId="400" totalsRowBorderDxfId="398">
  <autoFilter ref="B7:F16" xr:uid="{0DE4E12E-91D1-4306-9474-A7F058008BD9}"/>
  <tableColumns count="5">
    <tableColumn id="1" xr3:uid="{5E3DD8AF-1226-4011-B808-49265632B755}" name="Flag Description " dataDxfId="397"/>
    <tableColumn id="2" xr3:uid="{CE07FA20-4A30-4068-9EE9-D2C5FA1F0238}" name="Recommended Threshold" dataDxfId="396"/>
    <tableColumn id="3" xr3:uid="{7C9E4D63-8010-4899-8DBC-3ECAEEB1F411}" name="Country Threshold" dataDxfId="395"/>
    <tableColumn id="4" xr3:uid="{9BE9BB1C-324E-4B22-8F47-34B9FEFC219F}" name="Explanation for proposing another threshold " dataDxfId="394"/>
    <tableColumn id="5" xr3:uid="{0A46C68D-C00F-49A0-91D8-05C1B4548EF3}" name="Purpose" dataDxfId="39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1C7DAF7-37A5-437D-A71A-78BDE7153DE7}" name="tblPiNAnalysis" displayName="tblPiNAnalysis" ref="A3:BO145" totalsRowCount="1" headerRowDxfId="391" dataDxfId="390" totalsRowDxfId="389" headerRowBorderDxfId="387" tableBorderDxfId="388" totalsRowBorderDxfId="386" headerRowCellStyle="Comma 2">
  <autoFilter ref="A3:BO144" xr:uid="{11C7DAF7-37A5-437D-A71A-78BDE7153DE7}">
    <filterColumn colId="56">
      <filters>
        <filter val="5"/>
      </filters>
    </filterColumn>
  </autoFilter>
  <sortState xmlns:xlrd2="http://schemas.microsoft.com/office/spreadsheetml/2017/richdata2" ref="A4:BL7">
    <sortCondition ref="E3:E7"/>
  </sortState>
  <tableColumns count="67">
    <tableColumn id="1" xr3:uid="{54AEF9E4-9BDD-4CFB-A31A-26775997174F}" name="ID" totalsRowLabel="Total" dataDxfId="384" totalsRowDxfId="385" dataCellStyle="Comma">
      <calculatedColumnFormula>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calculatedColumnFormula>
    </tableColumn>
    <tableColumn id="2" xr3:uid="{90C30682-CC85-4A40-8C59-3DE4818FD180}" name="Admin 1" dataDxfId="382" totalsRowDxfId="383"/>
    <tableColumn id="15" xr3:uid="{7B726629-BA89-49F5-8F57-2B9EB4CDD021}" name="Admin 1 P-Code" dataDxfId="380" totalsRowDxfId="381"/>
    <tableColumn id="14" xr3:uid="{BAE67459-66F5-4493-A91C-9D2B08E6B8EC}" name="Admin 2" dataDxfId="378" totalsRowDxfId="379"/>
    <tableColumn id="3" xr3:uid="{19F61B87-5E5C-480C-970D-62A72E5FF1E6}" name="Admin 2 P-Code" dataDxfId="376" totalsRowDxfId="377"/>
    <tableColumn id="6" xr3:uid="{609BB18B-6ABB-4D6B-B7DF-6BF1B8616362}" name="Admin 3" dataDxfId="374" totalsRowDxfId="375"/>
    <tableColumn id="36" xr3:uid="{1AA7E3AC-4E2A-47D9-B88F-FE8FFB3130DE}" name="Admin 3 P-Code" dataDxfId="372" totalsRowDxfId="373"/>
    <tableColumn id="42" xr3:uid="{E21DA0D5-0352-4E73-81A8-EC8BEA83DC13}" name="Pocket of need" dataDxfId="370" totalsRowDxfId="371"/>
    <tableColumn id="4" xr3:uid="{C3D266F4-08AD-4E59-ACFC-6FCB92954911}" name="Population" totalsRowFunction="sum" dataDxfId="368" totalsRowDxfId="369" dataCellStyle="Comma"/>
    <tableColumn id="29" xr3:uid="{E0F650EC-BD3F-4798-948C-937FC547C3AC}" name="Population Group" dataDxfId="366" totalsRowDxfId="367" dataCellStyle="Comma"/>
    <tableColumn id="8" xr3:uid="{F9A63AE1-604E-42EF-A449-294D1C9BA734}" name="CCCM" totalsRowFunction="sum" dataDxfId="364" totalsRowDxfId="365" dataCellStyle="Comma [0]"/>
    <tableColumn id="31" xr3:uid="{C853B6B0-0D51-4D27-A0DE-8BBED5DB5DBC}" name="Education" totalsRowFunction="sum" dataDxfId="362" totalsRowDxfId="363" dataCellStyle="Comma"/>
    <tableColumn id="32" xr3:uid="{56EE9F16-B087-4DC5-9E34-9168FFDBAB16}" name="Nutrition" totalsRowFunction="sum" dataDxfId="360" totalsRowDxfId="361" dataCellStyle="Comma"/>
    <tableColumn id="10" xr3:uid="{C2D31B2E-F8B2-40B5-B8BE-579B6F858303}" name="Food Security" totalsRowFunction="sum" dataDxfId="358" totalsRowDxfId="359" dataCellStyle="Comma"/>
    <tableColumn id="33" xr3:uid="{EA7D01DC-FF04-481D-832D-E586DCE04584}" name="Health" totalsRowFunction="sum" dataDxfId="356" totalsRowDxfId="357" dataCellStyle="Comma"/>
    <tableColumn id="11" xr3:uid="{35F16878-B666-46A1-BBFF-0BE781639BC0}" name="Protection" totalsRowFunction="sum" dataDxfId="354" totalsRowDxfId="355" dataCellStyle="Comma"/>
    <tableColumn id="9" xr3:uid="{11307CA3-5DE0-484A-AA61-91E0ABC3D54A}" name="Shelter" totalsRowFunction="sum" dataDxfId="352" totalsRowDxfId="353" dataCellStyle="Comma"/>
    <tableColumn id="17" xr3:uid="{BB2853C7-D9DD-4C35-A144-B7DE9E3D8429}" name="WASH" totalsRowFunction="sum" dataDxfId="350" totalsRowDxfId="351" dataCellStyle="Comma"/>
    <tableColumn id="66" xr3:uid="{A3B5A376-64B2-4BCD-AEDF-EAA9FEEA0CF0}" name="CP" dataDxfId="348" totalsRowDxfId="349" dataCellStyle="Comma"/>
    <tableColumn id="65" xr3:uid="{560FC162-D3A5-42CC-BD97-D595B39B18E3}" name="GBV" dataDxfId="346" totalsRowDxfId="347" dataCellStyle="Comma"/>
    <tableColumn id="64" xr3:uid="{BB4F3E41-F899-4CD2-AE0B-09D7AF93EA95}" name="Migrants" dataDxfId="344" totalsRowDxfId="345" dataCellStyle="Comma"/>
    <tableColumn id="63" xr3:uid="{67480CAD-7DF9-43EE-AA75-530A1DACB064}" name="_" dataDxfId="342" totalsRowDxfId="343" dataCellStyle="Comma"/>
    <tableColumn id="13" xr3:uid="{84EB6432-4FF9-4406-915E-0C0FFA9C3B31}" name="CCCM%" dataDxfId="340" totalsRowDxfId="341">
      <calculatedColumnFormula>IFERROR(IF(tblPiNAnalysis[[#This Row],[CCCM]]="", "", MROUND(tblPiNAnalysis[[#This Row],[CCCM]]/tblPiNAnalysis[[#This Row],[Population]], 0.05)), "")</calculatedColumnFormula>
    </tableColumn>
    <tableColumn id="16" xr3:uid="{614333A2-B706-4F70-9C4F-9CC17D604920}" name="Education%" dataDxfId="338" totalsRowDxfId="339">
      <calculatedColumnFormula>IFERROR(IF(tblPiNAnalysis[[#This Row],[Education]]="", "", MROUND(tblPiNAnalysis[[#This Row],[Education]]/tblPiNAnalysis[[#This Row],[Population]], 0.05)), "")</calculatedColumnFormula>
    </tableColumn>
    <tableColumn id="19" xr3:uid="{2D3BACE2-BF35-4152-A515-D3C0068BE785}" name="Nutrition%" dataDxfId="336" totalsRowDxfId="337">
      <calculatedColumnFormula>IFERROR(IF(tblPiNAnalysis[[#This Row],[Nutrition]]="", "", MROUND(tblPiNAnalysis[[#This Row],[Nutrition]]/tblPiNAnalysis[[#This Row],[Population]], 0.05)), "")</calculatedColumnFormula>
    </tableColumn>
    <tableColumn id="41" xr3:uid="{B00207D5-50EC-44D1-BB96-A8C43B705FF2}" name="Food Security%" dataDxfId="334" totalsRowDxfId="335" dataCellStyle="Comma">
      <calculatedColumnFormula>IFERROR(IF(tblPiNAnalysis[[#This Row],[Food Security]]="", "", MROUND(tblPiNAnalysis[[#This Row],[Food Security]]/tblPiNAnalysis[[#This Row],[Population]], 0.05)), "")</calculatedColumnFormula>
    </tableColumn>
    <tableColumn id="18" xr3:uid="{274587A6-D19C-4004-9BE3-EEF2BF4636E0}" name="Health%" dataDxfId="332" totalsRowDxfId="333" dataCellStyle="Comma">
      <calculatedColumnFormula>IFERROR(IF(tblPiNAnalysis[[#This Row],[Health]]="", "", MROUND(tblPiNAnalysis[[#This Row],[Health]]/tblPiNAnalysis[[#This Row],[Population]], 0.05)), "")</calculatedColumnFormula>
    </tableColumn>
    <tableColumn id="30" xr3:uid="{76A8633A-9354-4BA9-A815-969A9A4095BC}" name="Overarching Protection%" dataDxfId="330" totalsRowDxfId="331">
      <calculatedColumnFormula>IFERROR(IF(tblPiNAnalysis[[#This Row],[Protection]]="", "", MROUND(tblPiNAnalysis[[#This Row],[Protection]]/tblPiNAnalysis[[#This Row],[Population]], 0.05)), "")</calculatedColumnFormula>
    </tableColumn>
    <tableColumn id="34" xr3:uid="{AD862933-9C52-4EA8-BE0A-8C747B0FDA55}" name="Shelter%" dataDxfId="328" totalsRowDxfId="329">
      <calculatedColumnFormula>IFERROR(IF(tblPiNAnalysis[[#This Row],[Shelter]]="", "", MROUND(tblPiNAnalysis[[#This Row],[Shelter]]/tblPiNAnalysis[[#This Row],[Population]], 0.05)), "")</calculatedColumnFormula>
    </tableColumn>
    <tableColumn id="35" xr3:uid="{3C23AE7E-5AB3-47CF-9EA0-02463685ADA4}" name="WASH%" dataDxfId="326" totalsRowDxfId="327">
      <calculatedColumnFormula>IFERROR(IF(tblPiNAnalysis[[#This Row],[WASH]]="", "", MROUND(tblPiNAnalysis[[#This Row],[WASH]]/tblPiNAnalysis[[#This Row],[Population]], 0.05)), "")</calculatedColumnFormula>
    </tableColumn>
    <tableColumn id="61" xr3:uid="{112CF96E-9F13-544B-A245-73545238CFF5}" name="Child Protection (CP)%" dataDxfId="324" totalsRowDxfId="325" dataCellStyle="Comma">
      <calculatedColumnFormula>IFERROR(MROUND(tblPiNAnalysis[[#This Row],[CP]]/tblPiNAnalysis[[#This Row],[Population]], 0.05), "")</calculatedColumnFormula>
    </tableColumn>
    <tableColumn id="62" xr3:uid="{C41733D8-6D32-2F4D-99C1-0BACA483FAB4}" name="Gender-based Violence (GBV)%" dataDxfId="322" totalsRowDxfId="323" dataCellStyle="Comma">
      <calculatedColumnFormula>IFERROR(MROUND(tblPiNAnalysis[[#This Row],[GBV]]/tblPiNAnalysis[[#This Row],[Population]], 0.05), "")</calculatedColumnFormula>
    </tableColumn>
    <tableColumn id="48" xr3:uid="{681CFBE2-2587-BC40-BC23-27962C6185A0}" name="Mine Action%" dataDxfId="320" totalsRowDxfId="321" dataCellStyle="Comma">
      <calculatedColumnFormula>IFERROR(MROUND(tblPiNAnalysis[[#This Row],[Migrants]]/tblPiNAnalysis[[#This Row],[Population]], 0.05), "")</calculatedColumnFormula>
    </tableColumn>
    <tableColumn id="60" xr3:uid="{DE455047-9A49-E74F-98B5-B0C0FCA1249D}" name="HLP%" dataDxfId="318" totalsRowDxfId="319" dataCellStyle="Comma">
      <calculatedColumnFormula>IFERROR(MROUND(tblPiNAnalysis[[#This Row],[_]]/tblPiNAnalysis[[#This Row],[Population]], 0.05), "")</calculatedColumnFormula>
    </tableColumn>
    <tableColumn id="12" xr3:uid="{F51CCB8C-B7B3-49F6-B2F6-2ABEDE72599E}" name="Highest PiN" totalsRowFunction="sum" dataDxfId="316" totalsRowDxfId="317">
      <calculatedColumnFormula>IFERROR(LARGE(tblPiNAnalysis[[#This Row],[CCCM]:[WASH]], 1), "")</calculatedColumnFormula>
    </tableColumn>
    <tableColumn id="20" xr3:uid="{EE7E5C5D-8DD5-4982-8D9F-B98888048773}" name="Highest sector(s)" dataDxfId="314" totalsRowDxfId="315">
      <calculatedColumnFormula array="1">IF(tblPiNAnalysis[[#This Row],[Highest PiN]]="", "", _xlfn.TEXTJOIN(CHAR(10), TRUE, IF(tblPiNAnalysis[[#This Row],[Highest PiN]]=tblPiNAnalysis[[#This Row],[CCCM]:[WASH]], tblPiNAnalysis[[#Headers],[CCCM]:[WASH]], "")))</calculatedColumnFormula>
    </tableColumn>
    <tableColumn id="27" xr3:uid="{5BDD9F1E-13DE-4906-8856-160E9BE502BA}" name="Highest sector(s') PiN %" dataDxfId="312" totalsRowDxfId="313">
      <calculatedColumnFormula>IF(tblPiNAnalysis[[#This Row],[Highest PiN]]="", "", tblPiNAnalysis[[#This Row],[Highest PiN]]/tblPiNAnalysis[[#This Row],[Population]])</calculatedColumnFormula>
    </tableColumn>
    <tableColumn id="50" xr3:uid="{BF376171-8A95-4AAD-A80E-E0B2F59D8B94}" name="Number of missing / zero PiNs greater than threshold - Data quality" dataDxfId="310" totalsRowDxfId="311" dataCellStyle="Comma">
      <calculatedColumnFormula>IF(SUM(tblPiNAnalysis[[#This Row],[CCCM]:[WASH]])=0, "",IF(COUNTIF(tblPiNAnalysis[[#This Row],[CCCM]:[WASH]],"=0")+COUNTIF(tblPiNAnalysis[[#This Row],[CCCM]:[WASH]],"")&gt;=zero_pin_thresh, "Flagged", ""))</calculatedColumnFormula>
    </tableColumn>
    <tableColumn id="45" xr3:uid="{6223ED00-19BF-42C3-A58C-3611DAB4D294}" name="Highest PiN greater than 90% of total affected population" dataDxfId="308" totalsRowDxfId="309">
      <calculatedColumnFormula>IFERROR(IF(tblPiNAnalysis[[#This Row],[Highest PiN]]="", "", IF(tblPiNAnalysis[[#This Row],[Highest sector(s'') PiN %]]&gt;=flag_pin_perc, "Flagged", "")), "")</calculatedColumnFormula>
    </tableColumn>
    <tableColumn id="24" xr3:uid="{0A335051-02C6-487B-8072-88B6D80285FC}" name="Highest sector targets sub-population group(s)" dataDxfId="306" totalsRowDxfId="307">
      <calculatedColumnFormula array="1">IF(tblPiNAnalysis[[#This Row],[Highest PiN]]=0, "",  IF(OR(COUNTIF(tblPiNAnalysis[[#This Row],[Highest sector(s)]],tblSubSectorPopulation[Sector])), "Flagged", ""))</calculatedColumnFormula>
    </tableColumn>
    <tableColumn id="21" xr3:uid="{AFD138FA-405D-4253-8B62-242D86672B24}" name="2nd Highest PiN" totalsRowFunction="sum" dataDxfId="304" totalsRowDxfId="305" dataCellStyle="Comma">
      <calculatedColumnFormula array="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calculatedColumnFormula>
    </tableColumn>
    <tableColumn id="22" xr3:uid="{9AF1A09D-DE69-44D5-9BBD-930114D52CC6}" name="2nd Highest sector(s)" dataDxfId="302" totalsRowDxfId="303">
      <calculatedColumnFormula array="1">IF(tblPiNAnalysis[[#This Row],[2nd Highest PiN]]="", "", _xlfn.TEXTJOIN(CHAR(10), TRUE, IF(tblPiNAnalysis[[#This Row],[2nd Highest PiN]]=tblPiNAnalysis[[#This Row],[CCCM]:[WASH]], tblPiNAnalysis[[#Headers],[CCCM]:[WASH]], "")))</calculatedColumnFormula>
    </tableColumn>
    <tableColumn id="23" xr3:uid="{9B412B06-DB20-499A-923F-93A9D074723E}" name="2nd Highest sector PiN %" dataDxfId="300" totalsRowDxfId="301" dataCellStyle="Percent">
      <calculatedColumnFormula>IFERROR(tblPiNAnalysis[[#This Row],[2nd Highest PiN]]/tblPiNAnalysis[[#This Row],[Population]], "")</calculatedColumnFormula>
    </tableColumn>
    <tableColumn id="25" xr3:uid="{B380F038-9191-4339-80BF-41DB7772018A}" name="Difference of PiN between Highest and 2nd Highest" dataDxfId="298" totalsRowDxfId="299" dataCellStyle="Comma">
      <calculatedColumnFormula>IFERROR(tblPiNAnalysis[[#This Row],[Highest PiN]]-tblPiNAnalysis[[#This Row],[2nd Highest PiN]], "")</calculatedColumnFormula>
    </tableColumn>
    <tableColumn id="26" xr3:uid="{321F52D6-AAC0-4898-ABE0-58D30ADD9109}" name="% Difference between Highest and 2nd Highest" dataDxfId="296" totalsRowDxfId="297">
      <calculatedColumnFormula>IFERROR(((tblPiNAnalysis[[#This Row],[Highest PiN]]-tblPiNAnalysis[[#This Row],[2nd Highest PiN]])/tblPiNAnalysis[[#This Row],[2nd Highest PiN]]),"")</calculatedColumnFormula>
    </tableColumn>
    <tableColumn id="7" xr3:uid="{7CC3128D-723E-40AA-BA15-5A26C53727C1}" name="% difference is over a specified threshold between Highest and 2nd Highest" dataDxfId="294" totalsRowDxfId="295">
      <calculatedColumnFormula array="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calculatedColumnFormula>
    </tableColumn>
    <tableColumn id="49" xr3:uid="{88B9779E-AADD-48C6-BAA4-BD1417FF03CA}" name="3rd Highest PiN" totalsRowFunction="sum" dataDxfId="292" totalsRowDxfId="293" dataCellStyle="Comma">
      <calculatedColumnFormula array="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calculatedColumnFormula>
    </tableColumn>
    <tableColumn id="51" xr3:uid="{A05FB10D-6128-4237-B011-FCDD3211239F}" name="3rd Highest sector(s)" dataDxfId="290" totalsRowDxfId="291">
      <calculatedColumnFormula array="1">IF(tblPiNAnalysis[[#This Row],[3rd Highest PiN]]="", "", _xlfn.TEXTJOIN(CHAR(10), TRUE, IF(tblPiNAnalysis[[#This Row],[3rd Highest PiN]]=tblPiNAnalysis[[#This Row],[CCCM]:[WASH]], tblPiNAnalysis[[#Headers],[CCCM]:[WASH]], "")))</calculatedColumnFormula>
    </tableColumn>
    <tableColumn id="52" xr3:uid="{994A81BE-6DA1-4B93-9693-EE185E5560A0}" name="3rd Highest sector PiN %" dataDxfId="288" totalsRowDxfId="289">
      <calculatedColumnFormula>IFERROR(tblPiNAnalysis[[#This Row],[3rd Highest PiN]]/tblPiNAnalysis[[#This Row],[Population]], "")</calculatedColumnFormula>
    </tableColumn>
    <tableColumn id="54" xr3:uid="{842D2CFE-79B7-49FF-A2EC-799DFCD95490}" name="Difference of PiN between Highest and 3rd Highest" dataDxfId="286" totalsRowDxfId="287" dataCellStyle="Comma">
      <calculatedColumnFormula>IFERROR(tblPiNAnalysis[[#This Row],[Highest PiN]]-tblPiNAnalysis[[#This Row],[3rd Highest PiN]],"")</calculatedColumnFormula>
    </tableColumn>
    <tableColumn id="58" xr3:uid="{DE68B50D-DC7A-4947-8BAA-B53F0E3BABE0}" name="% Difference between Highest and 3rd Highest" dataDxfId="284" totalsRowDxfId="285">
      <calculatedColumnFormula>IFERROR(tblPiNAnalysis[[#This Row],[Difference of PiN between Highest and 3rd Highest]]/tblPiNAnalysis[[#This Row],[3rd Highest PiN]], "")</calculatedColumnFormula>
    </tableColumn>
    <tableColumn id="59" xr3:uid="{39E4DD04-652F-421B-AD59-CB32A95C5E58}" name="% difference is over a specified threshold between Highest and 3rd Highest" dataDxfId="282" totalsRowDxfId="283">
      <calculatedColumnFormula array="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calculatedColumnFormula>
    </tableColumn>
    <tableColumn id="38" xr3:uid="{55D3F4B6-0C81-47B6-9C29-FD9110513E4F}" name="Change from last year for the highest sector(s)" dataDxfId="280" totalsRowDxfId="281">
      <calculatedColumnFormula array="1">IFERROR(IF(tblPiNAnalysis[[#This Row],[ID]]="", "", INDEX(tblPiNHistorical[[CCCM]:[WASH]], MATCH(tblPiNAnalysis[[#This Row],[ID]],tblPiNHistorical[ID], 0),MATCH(_xlfn._xlws.FILTER(tblPiNAnalysis[[#Headers],[CCCM]:[WASH]], tblPiNAnalysis[[#This Row],[Highest PiN]]=tblPiNAnalysis[[#This Row],[CCCM]:[WASH]]), tblPiNHistorical[[#Headers],[CCCM]:[WASH]], 0))), "")</calculatedColumnFormula>
    </tableColumn>
    <tableColumn id="28" xr3:uid="{1B12C2BF-8164-4E79-A2A3-3FD89A7D05A0}" name="Change from last year for the highest sector(s) has significantly increased or decreased" dataDxfId="278" totalsRowDxfId="279" dataCellStyle="Comma">
      <calculatedColumnFormula array="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calculatedColumnFormula>
    </tableColumn>
    <tableColumn id="39" xr3:uid="{95788CC6-87F0-4242-8F75-BB77F49FDEF1}" name="Change from last year for the 2nd highest sector(s)" dataDxfId="276" totalsRowDxfId="277" dataCellStyle="Comma">
      <calculatedColumnFormula array="1">IFERROR(IF(tblPiNAnalysis[[#This Row],[ID]]="", "", INDEX(tblPiNHistorical[[CCCM]:[WASH]], MATCH(tblPiNAnalysis[[#This Row],[ID]],tblPiNHistorical[ID], 0),MATCH(_xlfn._xlws.FILTER(tblPiNAnalysis[[#Headers],[CCCM]:[WASH]], tblPiNAnalysis[[#This Row],[2nd Highest PiN]]=tblPiNAnalysis[[#This Row],[CCCM]:[WASH]]), tblPiNHistorical[[#Headers],[CCCM]:[WASH]], 0))), "")</calculatedColumnFormula>
    </tableColumn>
    <tableColumn id="40" xr3:uid="{6E12C916-37E1-467C-ABE0-CED4F871E2EE}" name="Change from last year for the 2nd highest sector(s) has significantly increased or decreased" dataDxfId="274" totalsRowDxfId="275" dataCellStyle="Comma">
      <calculatedColumnFormula array="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calculatedColumnFormula>
    </tableColumn>
    <tableColumn id="46" xr3:uid="{853C4793-8062-4F33-8EAD-C16A7B220EFD}" name="Severity" dataDxfId="272" totalsRowDxfId="273" dataCellStyle="Comma">
      <calculatedColumnFormula>INDEX(tblSeverityAnalysis[Final Severity], MATCH(tblPiNAnalysis[[#This Row],[ID]],tblSeverityAnalysis[ID], 0))</calculatedColumnFormula>
    </tableColumn>
    <tableColumn id="56" xr3:uid="{CF7DC092-BFB4-4899-987D-F32FC1BAACB2}" name="Preliminary PiN" totalsRowFunction="sum" dataDxfId="270" totalsRowDxfId="271" dataCellStyle="Comma">
      <calculatedColumnFormula>IF(tblPiNAnalysis[[#This Row],[Severity]]&gt;2,tblPiNAnalysis[[#This Row],[Highest PiN]],)</calculatedColumnFormula>
    </tableColumn>
    <tableColumn id="53" xr3:uid="{7C03EE48-EEA9-4476-A6DD-4158C12C4F8E}" name="Manual Flag" dataDxfId="268" totalsRowDxfId="269"/>
    <tableColumn id="55" xr3:uid="{11CE3DCA-E095-40B8-A7E6-2E4D874070E9}" name="Explanation for Manual Flag" dataDxfId="266" totalsRowDxfId="267"/>
    <tableColumn id="43" xr3:uid="{CFE4F24F-8A37-42E8-9228-246259204EF1}" name="# Flags" totalsRowFunction="sum" dataDxfId="264" totalsRowDxfId="265" dataCellStyle="Comma">
      <calculatedColumnFormula>COUNTIFS(tblPiNAnalysis[[#This Row],[Number of missing / zero PiNs greater than threshold - Data quality]:[Manual Flag]],"Flagged")</calculatedColumnFormula>
    </tableColumn>
    <tableColumn id="37" xr3:uid="{2AC961A8-EBC6-4B58-950C-076CC926484C}" name="Flagged" dataDxfId="262" totalsRowDxfId="263">
      <calculatedColumnFormula>IF(tblPiNAnalysis[[#This Row],['# Flags]]&gt;0, "Flagged", "")</calculatedColumnFormula>
    </tableColumn>
    <tableColumn id="44" xr3:uid="{F0A6E442-5E92-474E-A531-A201AC702C5A}" name="Final PiN" totalsRowFunction="sum" dataDxfId="260" totalsRowDxfId="261">
      <calculatedColumnFormula>tblPiNAnalysis[[#This Row],[Preliminary PiN]]</calculatedColumnFormula>
    </tableColumn>
    <tableColumn id="5" xr3:uid="{CCDCA844-1C62-445A-A508-2D171AEA612C}" name="Evidence &amp; Comments" dataDxfId="258" totalsRowDxfId="259"/>
    <tableColumn id="57" xr3:uid="{0E26E88B-A310-4159-B860-5D52AA6ABF45}" name="PIN PRIORITIZED" totalsRowFunction="sum" dataDxfId="256" totalsRowDxfId="257">
      <calculatedColumnFormula>IF(OR(tblPiNAnalysis[[#This Row],[Severity]]=4,tblPiNAnalysis[[#This Row],[Severity]]=5),tblPiNAnalysis[[#This Row],[Final PiN]],0)</calculatedColumnFormula>
    </tableColumn>
    <tableColumn id="47" xr3:uid="{6E853383-7554-49DA-91EB-31C3245B4C2C}" name="Preliminary TARGET_x000a_100% Sev 4&amp;5 + 50% Sev 3" totalsRowFunction="sum" dataDxfId="254" totalsRowDxfId="255">
      <calculatedColumnFormula>IF(OR(tblPiNAnalysis[[#This Row],[Severity]]=4,tblPiNAnalysis[[#This Row],[Severity]]=5),100%, IF(tblPiNAnalysis[[#This Row],[Severity]]=3,50%,0%))*tblPiNAnalysis[[#This Row],[Final PiN]]</calculatedColumnFormula>
    </tableColumn>
    <tableColumn id="67" xr3:uid="{DA2DF4A0-4931-4288-B5DF-FC538A4D86B7}" name="Preliminary TARGET_x000a_100% Sev 4&amp;5 + 50% PIN in Sev 3 Intersect AND EXISTS Sect Sec &gt;=4  " totalsRowFunction="sum" dataDxfId="252" totalsRowDxfId="253">
      <calculatedColumnFormula>IF(OR(tblPiNAnalysis[[#This Row],[Severity]]=4,tblPiNAnalysis[[#This Row],[Severity]]=5),100%, IF(AND(tblPiNAnalysis[[#This Row],[Severity]]=3,VLOOKUP(tblPiNAnalysis[[#This Row],[ID]],tblSeverityAnalysis[[ID]:[Highest Severity]],35,FALSE)&gt;3),50%,0%))*tblPiNAnalysis[[#This Row],[Final PiN]]</calculatedColumnFormula>
    </tableColumn>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25301-D0EB-4466-8610-593D4070A226}" name="tblPiNHistorical" displayName="tblPiNHistorical" ref="A3:AP143" totalsRowShown="0" headerRowDxfId="250" dataDxfId="249" headerRowBorderDxfId="247" tableBorderDxfId="248" totalsRowBorderDxfId="246" headerRowCellStyle="Comma 2">
  <autoFilter ref="A3:AP143" xr:uid="{62F25301-D0EB-4466-8610-593D4070A226}"/>
  <sortState xmlns:xlrd2="http://schemas.microsoft.com/office/spreadsheetml/2017/richdata2" ref="A5:AP7">
    <sortCondition ref="E3:E7"/>
  </sortState>
  <tableColumns count="42">
    <tableColumn id="1" xr3:uid="{EBEDD39D-0803-488F-B264-37F11E97AA0A}" name="ID" dataDxfId="245">
      <calculatedColumnFormula>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calculatedColumnFormula>
    </tableColumn>
    <tableColumn id="2" xr3:uid="{F6E6FC1E-F46B-4373-A498-70FBD8D55403}" name="Admin 1" dataDxfId="244"/>
    <tableColumn id="15" xr3:uid="{7205F2A9-2D90-4E82-AA2B-9E03B32722F5}" name="Admin 1 P-Code" dataDxfId="243"/>
    <tableColumn id="14" xr3:uid="{3C82ABBD-107D-4174-A0E8-A34A809196B4}" name="Admin 2" dataDxfId="242"/>
    <tableColumn id="3" xr3:uid="{7AADCFA6-7AD6-4673-AADF-84C1095146FD}" name="Admin 2 P-Code" dataDxfId="241"/>
    <tableColumn id="6" xr3:uid="{8D2BC654-2071-43F8-A743-AB5731DEB983}" name="Admin 3" dataDxfId="240"/>
    <tableColumn id="36" xr3:uid="{D116B196-FB88-4BE4-91D3-5A3B3E7AE184}" name="Admin 3 P-Code" dataDxfId="239"/>
    <tableColumn id="28" xr3:uid="{EC5D12CD-CC45-4DF0-957A-89A376453DAB}" name="Pocket of need" dataDxfId="238"/>
    <tableColumn id="4" xr3:uid="{0F1C3EBE-F260-40F3-9FBE-0D21DA819B8C}" name="Population" dataDxfId="237" dataCellStyle="Comma"/>
    <tableColumn id="29" xr3:uid="{88EA9ED2-9C4C-4000-80ED-6F73E1829DE6}" name="Population Group" dataDxfId="236" dataCellStyle="Comma"/>
    <tableColumn id="8" xr3:uid="{030C5973-1707-4485-A6B1-521E6912BBFE}" name="CCCM - old" dataDxfId="235" dataCellStyle="Comma"/>
    <tableColumn id="18" xr3:uid="{8E881CE5-2E7E-413E-A529-FC4AF564AF52}" name="Education - old" dataDxfId="234" dataCellStyle="Comma"/>
    <tableColumn id="10" xr3:uid="{8754FC3D-E4A5-41DD-BB52-C1AA3AF08FB5}" name="Nutrition - old" dataDxfId="233" dataCellStyle="Comma"/>
    <tableColumn id="31" xr3:uid="{769C8193-6632-41B7-B237-D48D3062C82B}" name="Food Security - old" dataDxfId="232" dataCellStyle="Comma"/>
    <tableColumn id="33" xr3:uid="{B3A5DF0D-28A2-477B-881E-23313A01BA60}" name="Health - old" dataDxfId="231" dataCellStyle="Comma"/>
    <tableColumn id="11" xr3:uid="{630EBA6D-F1E8-4DF6-8A23-E83979B0F803}" name="Overarching Protection - old" dataDxfId="230" dataCellStyle="Comma"/>
    <tableColumn id="9" xr3:uid="{5C7F0089-EFE8-4543-B000-7F9117FE0ABA}" name="Shelter - old" dataDxfId="229" dataCellStyle="Comma"/>
    <tableColumn id="17" xr3:uid="{BE065327-F485-4EA1-86E5-9B34975EB75D}" name="WASH - old" dataDxfId="228" dataCellStyle="Comma"/>
    <tableColumn id="13" xr3:uid="{4CC9CDCA-F7C8-4F2B-A54C-CC17517583F3}" name="CCCM - new" dataDxfId="227" dataCellStyle="Comma">
      <calculatedColumnFormula>IFERROR(INDEX(tblPiNAnalysis[CCCM], MATCH(tblPiNHistorical[[#This Row],[ID]], tblPiNAnalysis[ID], 0)), "")</calculatedColumnFormula>
    </tableColumn>
    <tableColumn id="27" xr3:uid="{90CBBEA2-52CD-4938-A731-A3039A83AA27}" name="Education - new" dataDxfId="226" dataCellStyle="Comma">
      <calculatedColumnFormula>IFERROR(INDEX(tblPiNAnalysis[Education], MATCH(tblPiNHistorical[[#This Row],[ID]], tblPiNAnalysis[ID], 0)), "")</calculatedColumnFormula>
    </tableColumn>
    <tableColumn id="39" xr3:uid="{79049057-4CB6-4344-B8AE-D043DE348509}" name="Nutrition - new" dataDxfId="225" dataCellStyle="Comma">
      <calculatedColumnFormula>IFERROR(INDEX(tblPiNAnalysis[Nutrition], MATCH(tblPiNHistorical[[#This Row],[ID]], tblPiNAnalysis[ID], 0)), "")</calculatedColumnFormula>
    </tableColumn>
    <tableColumn id="16" xr3:uid="{AB91784D-784E-470B-9B6B-0C5C96DE7BC3}" name="Food Security - new" dataDxfId="224" dataCellStyle="Comma">
      <calculatedColumnFormula>IFERROR(INDEX(tblPiNAnalysis[Food Security], MATCH(tblPiNHistorical[[#This Row],[ID]], tblPiNAnalysis[ID], 0)), "")</calculatedColumnFormula>
    </tableColumn>
    <tableColumn id="19" xr3:uid="{DF836EFA-4D5C-4A76-A230-CFE18E7635C8}" name="Health - new" dataDxfId="223" dataCellStyle="Comma">
      <calculatedColumnFormula>IFERROR(INDEX(tblPiNAnalysis[Health], MATCH(tblPiNHistorical[[#This Row],[ID]], tblPiNAnalysis[ID], 0)), "")</calculatedColumnFormula>
    </tableColumn>
    <tableColumn id="30" xr3:uid="{4F573CA9-AAC4-4543-A2D5-BEAFABE4C540}" name="Overarching Protection - new" dataDxfId="222" dataCellStyle="Comma">
      <calculatedColumnFormula>IFERROR(INDEX(tblPiNAnalysis[Protection], MATCH(tblPiNHistorical[[#This Row],[ID]], tblPiNAnalysis[ID], 0)), "")</calculatedColumnFormula>
    </tableColumn>
    <tableColumn id="34" xr3:uid="{4240201E-BD32-4261-B98A-8D0DA7648C58}" name="Shelter - new" dataDxfId="221" dataCellStyle="Comma">
      <calculatedColumnFormula>IFERROR(INDEX(tblPiNAnalysis[Shelter], MATCH(tblPiNHistorical[[#This Row],[ID]], tblPiNAnalysis[ID], 0)), "")</calculatedColumnFormula>
    </tableColumn>
    <tableColumn id="35" xr3:uid="{2967BDE4-A11B-4005-A24B-D9CFBB6026D1}" name="WASH - new" dataDxfId="220" dataCellStyle="Comma">
      <calculatedColumnFormula>IFERROR(INDEX(tblPiNAnalysis[WASH], MATCH(tblPiNHistorical[[#This Row],[ID]], tblPiNAnalysis[ID], 0)), "")</calculatedColumnFormula>
    </tableColumn>
    <tableColumn id="32" xr3:uid="{112BC0F4-3EB6-4905-B067-C9CFE2267560}" name="PiN Difference for CCCM" dataDxfId="219" dataCellStyle="Comma">
      <calculatedColumnFormula>IF(OR(tblPiNHistorical[[#This Row],[CCCM - old]]="", tblPiNHistorical[[#This Row],[CCCM - old]]=0, tblPiNHistorical[[#This Row],[CCCM - new]]="", tblPiNHistorical[[#This Row],[CCCM - new]]=0), "", tblPiNHistorical[[#This Row],[CCCM - new]]-tblPiNHistorical[[#This Row],[CCCM - old]])</calculatedColumnFormula>
    </tableColumn>
    <tableColumn id="25" xr3:uid="{794F3A76-2CF2-4DB6-B3A7-A8FBC4A039A4}" name="PiN Difference for Education" dataDxfId="218" dataCellStyle="Comma">
      <calculatedColumnFormula>IF(OR(tblPiNHistorical[[#This Row],[Education - old]]="", tblPiNHistorical[[#This Row],[Education - old]]=0, tblPiNHistorical[[#This Row],[Education - new]]="", tblPiNHistorical[[#This Row],[Education - new]]=0), "", tblPiNHistorical[[#This Row],[Education - new]]-tblPiNHistorical[[#This Row],[Education - old]])</calculatedColumnFormula>
    </tableColumn>
    <tableColumn id="23" xr3:uid="{208EA54B-C721-4CC7-8278-0241C2CF01E7}" name="PiN Difference for Nutrition" dataDxfId="217" dataCellStyle="Comma">
      <calculatedColumnFormula>IF(OR(tblPiNHistorical[[#This Row],[Nutrition - old]]="", tblPiNHistorical[[#This Row],[Nutrition - old]]=0, tblPiNHistorical[[#This Row],[Nutrition - new]]="", tblPiNHistorical[[#This Row],[Nutrition - new]]=0), "", tblPiNHistorical[[#This Row],[Nutrition - new]]-tblPiNHistorical[[#This Row],[Nutrition - old]])</calculatedColumnFormula>
    </tableColumn>
    <tableColumn id="21" xr3:uid="{40533A56-0681-449E-B1DB-61A403CAF744}" name="PiN Difference for Food Security" dataDxfId="216" dataCellStyle="Comma">
      <calculatedColumnFormula>IF(OR(tblPiNHistorical[[#This Row],[Food Security - old]]="", tblPiNHistorical[[#This Row],[Food Security - old]]=0, tblPiNHistorical[[#This Row],[Food Security - new]]="", tblPiNHistorical[[#This Row],[Food Security - new]]=0), "", tblPiNHistorical[[#This Row],[Food Security - new]]-tblPiNHistorical[[#This Row],[Food Security - old]])</calculatedColumnFormula>
    </tableColumn>
    <tableColumn id="38" xr3:uid="{0E421EF8-4E9C-4FDD-9078-6F037F6B5AAE}" name="PiN Difference for Health" dataDxfId="215" dataCellStyle="Comma">
      <calculatedColumnFormula>IF(OR(tblPiNHistorical[[#This Row],[Health - old]]="", tblPiNHistorical[[#This Row],[Health - old]]=0, tblPiNHistorical[[#This Row],[Health - new]]="", tblPiNHistorical[[#This Row],[Health - new]]=0), "", tblPiNHistorical[[#This Row],[Health - new]]-tblPiNHistorical[[#This Row],[Health - old]])</calculatedColumnFormula>
    </tableColumn>
    <tableColumn id="12" xr3:uid="{BE2332DE-8C64-4A96-BC08-85AC305264CB}" name="PiN Difference for Overarching Protection" dataDxfId="214" dataCellStyle="Comma">
      <calculatedColumnFormula>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calculatedColumnFormula>
    </tableColumn>
    <tableColumn id="40" xr3:uid="{3B8D8A64-8484-4AFE-BE65-0C2BCB9F7887}" name="PiN Difference for Shelter" dataDxfId="213" dataCellStyle="Comma">
      <calculatedColumnFormula>IF(OR(tblPiNHistorical[[#This Row],[Shelter - old]]="", tblPiNHistorical[[#This Row],[Shelter - old]]=0, tblPiNHistorical[[#This Row],[Shelter - new]]="", tblPiNHistorical[[#This Row],[Shelter - new]]=0), "", tblPiNHistorical[[#This Row],[Shelter - new]]-tblPiNHistorical[[#This Row],[Shelter - old]])</calculatedColumnFormula>
    </tableColumn>
    <tableColumn id="5" xr3:uid="{5E99E83B-21D7-4AB9-9389-9E3FBBB916EE}" name="PiN Difference for WASH" dataDxfId="212" dataCellStyle="Comma">
      <calculatedColumnFormula>IF(OR(tblPiNHistorical[[#This Row],[WASH - old]]="", tblPiNHistorical[[#This Row],[WASH - old]]=0, tblPiNHistorical[[#This Row],[WASH - new]]="", tblPiNHistorical[[#This Row],[WASH - new]]=0), "", tblPiNHistorical[[#This Row],[WASH - new]]-tblPiNHistorical[[#This Row],[WASH - old]])</calculatedColumnFormula>
    </tableColumn>
    <tableColumn id="37" xr3:uid="{7D7EBA8D-F540-446F-90A8-354EDCB9EA65}" name="CCCM" dataDxfId="211" dataCellStyle="Percent">
      <calculatedColumnFormula>IFERROR(ROUND((tblPiNHistorical[[#This Row],[CCCM - new]] - tblPiNHistorical[[#This Row],[CCCM - old]])/tblPiNHistorical[[#This Row],[CCCM - old]], 1), "")</calculatedColumnFormula>
    </tableColumn>
    <tableColumn id="26" xr3:uid="{10261328-1C0B-4D45-98A3-77FF935B86EE}" name="Education" dataDxfId="210" dataCellStyle="Percent">
      <calculatedColumnFormula>IFERROR(ROUND((tblPiNHistorical[[#This Row],[Education - new]]-tblPiNHistorical[[#This Row],[Education - old]])/tblPiNHistorical[[#This Row],[Education - old]], 1), "")</calculatedColumnFormula>
    </tableColumn>
    <tableColumn id="24" xr3:uid="{E1D42502-F0CC-4C4E-9DB3-2544989D2B90}" name="Nutrition" dataDxfId="209" dataCellStyle="Percent">
      <calculatedColumnFormula>IFERROR(ROUND((tblPiNHistorical[[#This Row],[Nutrition - new]]-tblPiNHistorical[[#This Row],[Nutrition - old]])/tblPiNHistorical[[#This Row],[Nutrition - old]], 1), "")</calculatedColumnFormula>
    </tableColumn>
    <tableColumn id="22" xr3:uid="{1B7E3635-614A-4EA6-B272-7391D69C00F2}" name="Food Security" dataDxfId="208" dataCellStyle="Percent">
      <calculatedColumnFormula>IFERROR(ROUND((tblPiNHistorical[[#This Row],[Food Security - new]]-tblPiNHistorical[[#This Row],[Food Security - old]])/tblPiNHistorical[[#This Row],[Food Security - old]], 1), "")</calculatedColumnFormula>
    </tableColumn>
    <tableColumn id="42" xr3:uid="{FC34482E-E387-497E-8003-2417B5E19C46}" name="Health" dataDxfId="207" dataCellStyle="Percent">
      <calculatedColumnFormula>IFERROR(ROUND((tblPiNHistorical[[#This Row],[Health - new]]-tblPiNHistorical[[#This Row],[Health - old]])/tblPiNHistorical[[#This Row],[Health - old]], 1), "")</calculatedColumnFormula>
    </tableColumn>
    <tableColumn id="20" xr3:uid="{65C345EC-E776-478C-8FB0-EA96406E6DCC}" name="Overarching Protection" dataDxfId="206" dataCellStyle="Percent">
      <calculatedColumnFormula>IFERROR(ROUND((tblPiNHistorical[[#This Row],[Overarching Protection - new]]-tblPiNHistorical[[#This Row],[Overarching Protection - old]])/tblPiNHistorical[[#This Row],[Overarching Protection - old]], 1), "")</calculatedColumnFormula>
    </tableColumn>
    <tableColumn id="41" xr3:uid="{0725D732-91AD-4A3F-9238-B3A1376580BF}" name="Shelter" dataDxfId="205" dataCellStyle="Percent">
      <calculatedColumnFormula>IFERROR(ROUND((tblPiNHistorical[[#This Row],[Shelter - new]]-tblPiNHistorical[[#This Row],[Shelter - old]])/tblPiNHistorical[[#This Row],[Shelter - old]], 1), "")</calculatedColumnFormula>
    </tableColumn>
    <tableColumn id="7" xr3:uid="{3CD32DEE-C0B2-4756-8061-4C4FC7A219E4}" name="WASH" dataDxfId="204">
      <calculatedColumnFormula>IFERROR(ROUND((tblPiNHistorical[[#This Row],[WASH - new]]-tblPiNHistorical[[#This Row],[WASH - old]])/tblPiNHistorical[[#This Row],[WASH - old]], 1), "")</calculatedColumnFormula>
    </tableColumn>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017B44-1F35-4D66-8A5F-C79EDF1A8657}" name="tblPiNAnalysis5" displayName="tblPiNAnalysis5" ref="A3:AS146" totalsRowCount="1" headerRowDxfId="203" dataDxfId="202" headerRowBorderDxfId="200" tableBorderDxfId="201" totalsRowBorderDxfId="199" headerRowCellStyle="Comma 2">
  <autoFilter ref="A3:AS145" xr:uid="{11C7DAF7-37A5-437D-A71A-78BDE7153DE7}"/>
  <sortState xmlns:xlrd2="http://schemas.microsoft.com/office/spreadsheetml/2017/richdata2" ref="A4:AI143">
    <sortCondition ref="E3:E143"/>
  </sortState>
  <tableColumns count="45">
    <tableColumn id="1" xr3:uid="{29D95AEF-1580-4816-BE2A-0AAF76175F8B}" name="ID" totalsRowLabel="Total" dataDxfId="197" totalsRowDxfId="198">
      <calculatedColumnFormula>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calculatedColumnFormula>
    </tableColumn>
    <tableColumn id="2" xr3:uid="{E77495AF-C264-4CAA-A7DF-4B4D771BE225}" name="Admin 1" dataDxfId="195" totalsRowDxfId="196"/>
    <tableColumn id="15" xr3:uid="{E7684539-B3A3-41AE-B80F-9561BADB3640}" name="Admin 1 P-Code" dataDxfId="193" totalsRowDxfId="194"/>
    <tableColumn id="14" xr3:uid="{FC780282-D231-4B07-ACC0-C06BC34483D0}" name="Admin 2" dataDxfId="191" totalsRowDxfId="192"/>
    <tableColumn id="3" xr3:uid="{59C95612-C63F-45CB-B519-D6485C5BC9B0}" name="Admin 2 P-Code" dataDxfId="189" totalsRowDxfId="190"/>
    <tableColumn id="6" xr3:uid="{DFF4FA5F-783E-4DE4-843B-157B2A966942}" name="Admin 3" dataDxfId="187" totalsRowDxfId="188"/>
    <tableColumn id="36" xr3:uid="{4E771408-9E6E-4CA5-BD3B-F59AD187B5FB}" name="Admin 3 P-Code" dataDxfId="185" totalsRowDxfId="186"/>
    <tableColumn id="12" xr3:uid="{C0E9E632-3AC7-4C4B-B7AF-F889F03D1155}" name="Pocket of need" dataDxfId="183" totalsRowDxfId="184"/>
    <tableColumn id="4" xr3:uid="{4397DF1E-1728-4719-AF32-84B07C977A3B}" name="Population" dataDxfId="181" totalsRowDxfId="182"/>
    <tableColumn id="29" xr3:uid="{C49AA3BE-079D-4436-AA6A-9D3ADCF6EBDB}" name="Population Group" dataDxfId="179" totalsRowDxfId="180"/>
    <tableColumn id="8" xr3:uid="{B57ABF30-96AC-4975-804F-93C8916D4666}" name="CCCM" totalsRowFunction="custom" dataDxfId="177" totalsRowDxfId="178">
      <totalsRowFormula>SUBTOTAL(109,tblPiNAnalysis5[CCCM])+360000</totalsRowFormula>
    </tableColumn>
    <tableColumn id="31" xr3:uid="{0FED730C-0B19-45AE-A96B-CEE3999A466A}" name="Education" totalsRowFunction="sum" dataDxfId="175" totalsRowDxfId="176"/>
    <tableColumn id="32" xr3:uid="{47A39543-D02B-4B72-8F7E-DE9622FFC358}" name="Nutrition" totalsRowFunction="sum" dataDxfId="173" totalsRowDxfId="174"/>
    <tableColumn id="10" xr3:uid="{DE466D0A-8EDD-44E5-B772-65DD3152010D}" name="Food Security" totalsRowFunction="sum" dataDxfId="171" totalsRowDxfId="172"/>
    <tableColumn id="33" xr3:uid="{091E5B2F-8D84-49F0-A974-AF2E60F1F829}" name="Health" totalsRowFunction="sum" dataDxfId="169" totalsRowDxfId="170"/>
    <tableColumn id="11" xr3:uid="{5E926BC0-CF67-46AB-88BB-9587810BBABD}" name="Protection" totalsRowFunction="sum" dataDxfId="167" totalsRowDxfId="168"/>
    <tableColumn id="9" xr3:uid="{CED0B655-3070-4789-9F55-89CC68110CB0}" name="Shelter" totalsRowFunction="sum" dataDxfId="165" totalsRowDxfId="166"/>
    <tableColumn id="17" xr3:uid="{A0933CBF-DC26-4926-91FE-F6F279FA6DAB}" name="WASH" totalsRowFunction="sum" dataDxfId="163" totalsRowDxfId="164"/>
    <tableColumn id="66" xr3:uid="{52DABBC7-7CC4-4538-94BA-4F1280A1A27F}" name="General Protection" totalsRowFunction="sum" dataDxfId="161" totalsRowDxfId="162"/>
    <tableColumn id="42" xr3:uid="{852A7320-3F25-4938-A9C8-9AEF5480314C}" name="CP" totalsRowFunction="sum" dataDxfId="159" totalsRowDxfId="160"/>
    <tableColumn id="65" xr3:uid="{AD1EA5D8-2D65-4CDE-8683-AD3AF06B9D77}" name="GBV" totalsRowFunction="sum" dataDxfId="157" totalsRowDxfId="158"/>
    <tableColumn id="64" xr3:uid="{3B79D1BF-C590-4A2E-9CE1-5BB9AADE2C25}" name="Migrants" totalsRowFunction="sum" dataDxfId="155" totalsRowDxfId="156"/>
    <tableColumn id="63" xr3:uid="{0E070252-0B13-463A-A5A1-D8974784A704}" name="HLP" dataDxfId="153" totalsRowDxfId="154"/>
    <tableColumn id="13" xr3:uid="{D84D994E-80F1-4507-822D-CBD9EEA9E5A5}" name="CCCM%" dataDxfId="151" totalsRowDxfId="152">
      <calculatedColumnFormula>IFERROR(IF(tblPiNAnalysis5[[#This Row],[CCCM]]="", "", MROUND(tblPiNAnalysis5[[#This Row],[CCCM]]/tblPiNAnalysis5[[#This Row],[PIN]], 0.05)), "")</calculatedColumnFormula>
    </tableColumn>
    <tableColumn id="16" xr3:uid="{A43CD4E2-E6DB-497B-8728-45D2110CD47D}" name="Education%" dataDxfId="149" totalsRowDxfId="150">
      <calculatedColumnFormula>IFERROR(IF(tblPiNAnalysis5[[#This Row],[Education]]="", "", MROUND(tblPiNAnalysis5[[#This Row],[Education]]/tblPiNAnalysis5[[#This Row],[PIN]], 0.05)), "")</calculatedColumnFormula>
    </tableColumn>
    <tableColumn id="19" xr3:uid="{B9C00D1E-D958-4AAB-A1CD-05E8653F861A}" name="Nutrition%" dataDxfId="147" totalsRowDxfId="148">
      <calculatedColumnFormula>IFERROR(IF(tblPiNAnalysis5[[#This Row],[Nutrition]]="", "", MROUND(tblPiNAnalysis5[[#This Row],[Nutrition]]/tblPiNAnalysis5[[#This Row],[PIN]], 0.05)), "")</calculatedColumnFormula>
    </tableColumn>
    <tableColumn id="41" xr3:uid="{90ABC6EC-46EA-4B8A-A16D-5361A2EE96F6}" name="Food Security%" dataDxfId="145" totalsRowDxfId="146">
      <calculatedColumnFormula>IFERROR(IF(tblPiNAnalysis5[[#This Row],[Food Security]]="", "", MROUND(tblPiNAnalysis5[[#This Row],[Food Security]]/tblPiNAnalysis5[[#This Row],[PIN]], 0.05)), "")</calculatedColumnFormula>
    </tableColumn>
    <tableColumn id="18" xr3:uid="{A7E3439C-3FFD-41C5-8ADF-B6B25D178C82}" name="Health%" dataDxfId="143" totalsRowDxfId="144">
      <calculatedColumnFormula>IFERROR(IF(tblPiNAnalysis5[[#This Row],[Health]]="", "", MROUND(tblPiNAnalysis5[[#This Row],[Health]]/tblPiNAnalysis5[[#This Row],[PIN]], 0.05)), "")</calculatedColumnFormula>
    </tableColumn>
    <tableColumn id="30" xr3:uid="{D9D9FC13-9E49-446A-830C-13611E112FCC}" name="Protection%" dataDxfId="141" totalsRowDxfId="142">
      <calculatedColumnFormula>IFERROR(IF(tblPiNAnalysis5[[#This Row],[Protection]]="", "", MROUND(tblPiNAnalysis5[[#This Row],[Protection]]/tblPiNAnalysis5[[#This Row],[PIN]], 0.05)), "")</calculatedColumnFormula>
    </tableColumn>
    <tableColumn id="34" xr3:uid="{EF707BFA-7593-421D-AB54-CB4A4CE3608F}" name="Shelter%" dataDxfId="139" totalsRowDxfId="140">
      <calculatedColumnFormula>IFERROR(IF(tblPiNAnalysis5[[#This Row],[Shelter]]="", "", MROUND(tblPiNAnalysis5[[#This Row],[Shelter]]/tblPiNAnalysis5[[#This Row],[PIN]], 0.05)), "")</calculatedColumnFormula>
    </tableColumn>
    <tableColumn id="35" xr3:uid="{730BBC1F-0913-4D54-AA70-078EEE2FCBA2}" name="WASH%" dataDxfId="137" totalsRowDxfId="138">
      <calculatedColumnFormula>IFERROR(IF(tblPiNAnalysis5[[#This Row],[WASH]]="", "", MROUND(tblPiNAnalysis5[[#This Row],[WASH]]/tblPiNAnalysis5[[#This Row],[PIN]], 0.05)), "")</calculatedColumnFormula>
    </tableColumn>
    <tableColumn id="7" xr3:uid="{BC757730-6F48-4E9D-B930-D276FD176335}" name="PIN" totalsRowFunction="sum" dataDxfId="135" totalsRowDxfId="136">
      <calculatedColumnFormula>VLOOKUP(tblPiNAnalysis5[[#This Row],[ID]],tblPiNAnalysis[[ID]:[Final PiN]],63,FALSE)</calculatedColumnFormula>
    </tableColumn>
    <tableColumn id="20" xr3:uid="{1E58B971-B551-4B11-A654-6092CC08D7E9}" name="%TGTvsPIN" dataDxfId="133" totalsRowDxfId="134">
      <calculatedColumnFormula>IFERROR(IF(tblPiNAnalysis5[[#This Row],[Final TARGET]]="", "", MROUND(tblPiNAnalysis5[[#This Row],[Final TARGET]]/tblPiNAnalysis5[[#This Row],[PIN]], 0.05)), "")</calculatedColumnFormula>
    </tableColumn>
    <tableColumn id="44" xr3:uid="{9D2661BA-1DDA-4180-BA87-1FCABF54221D}" name="Final TARGET" totalsRowFunction="sum" dataDxfId="131" totalsRowDxfId="132">
      <calculatedColumnFormula>IF(MAX(tblPiNAnalysis5[[#This Row],[CCCM]:[WASH]])&lt;tblPiNAnalysis5[[#This Row],[PIN]],MAX(tblPiNAnalysis5[[#This Row],[CCCM]:[WASH]]),tblPiNAnalysis5[[#This Row],[PIN]])</calculatedColumnFormula>
    </tableColumn>
    <tableColumn id="5" xr3:uid="{03AED7D1-8D53-477B-B789-B8C2A0510699}" name="Evidence &amp; Comments" totalsRowFunction="count" dataDxfId="129" totalsRowDxfId="130"/>
    <tableColumn id="21" xr3:uid="{AD236A3D-77E3-46AB-AA08-C1EC8C3C5AF3}" name="CCCM_PRI" totalsRowFunction="sum" dataDxfId="127" totalsRowDxfId="128">
      <calculatedColumnFormula>IF(VLOOKUP(tblPiNAnalysis5[[#This Row],[Admin 2 P-Code]],tblSeverityAnalysis[[Admin 2 P-Code]:[WASH]],7,FALSE)&gt;=4,VLOOKUP(tblPiNAnalysis5[[#This Row],[Admin 2 P-Code]],tblPiNAnalysis[[Admin 2 P-Code]:[WASH]],7,FALSE),0)</calculatedColumnFormula>
    </tableColumn>
    <tableColumn id="22" xr3:uid="{469CDD42-A9D2-44B0-8B92-6BAE3315BE2F}" name="Education_PRI" totalsRowFunction="sum" dataDxfId="125" totalsRowDxfId="126">
      <calculatedColumnFormula>IF(VLOOKUP(tblPiNAnalysis5[[#This Row],[Admin 2 P-Code]],tblSeverityAnalysis[[Admin 2 P-Code]:[WASH]],8,FALSE)&gt;=4,VLOOKUP(tblPiNAnalysis5[[#This Row],[Admin 2 P-Code]],tblPiNAnalysis[[Admin 2 P-Code]:[WASH]],8,FALSE),0)</calculatedColumnFormula>
    </tableColumn>
    <tableColumn id="23" xr3:uid="{CCA04A8E-13CA-4DB9-A3DC-89BF686721AE}" name="Nutrition_PRI" totalsRowFunction="sum" dataDxfId="123" totalsRowDxfId="124">
      <calculatedColumnFormula>IF(VLOOKUP(tblPiNAnalysis5[[#This Row],[Admin 2 P-Code]],tblSeverityAnalysis[[Admin 2 P-Code]:[WASH]],9,FALSE)&gt;=4,VLOOKUP(tblPiNAnalysis5[[#This Row],[Admin 2 P-Code]],tblPiNAnalysis[[Admin 2 P-Code]:[WASH]],9,FALSE),0)</calculatedColumnFormula>
    </tableColumn>
    <tableColumn id="24" xr3:uid="{72885AF9-667E-44E0-9D5D-79D6E7CBBDFA}" name="Food Security_PRI" totalsRowFunction="sum" dataDxfId="121" totalsRowDxfId="122">
      <calculatedColumnFormula>IF(VLOOKUP(tblPiNAnalysis5[[#This Row],[Admin 2 P-Code]],tblSeverityAnalysis[[Admin 2 P-Code]:[WASH]],10,FALSE)&gt;=4,VLOOKUP(tblPiNAnalysis5[[#This Row],[Admin 2 P-Code]],tblPiNAnalysis[[Admin 2 P-Code]:[WASH]],10,FALSE),0)</calculatedColumnFormula>
    </tableColumn>
    <tableColumn id="25" xr3:uid="{37C79EE5-BC68-4CD4-B3AC-C8E8FF80FDC2}" name="Health_PRI" totalsRowFunction="sum" dataDxfId="119" totalsRowDxfId="120">
      <calculatedColumnFormula>IF(VLOOKUP(tblPiNAnalysis5[[#This Row],[Admin 2 P-Code]],tblSeverityAnalysis[[Admin 2 P-Code]:[WASH]],11,FALSE)&gt;=4,VLOOKUP(tblPiNAnalysis5[[#This Row],[Admin 2 P-Code]],tblPiNAnalysis[[Admin 2 P-Code]:[WASH]],11,FALSE),0)</calculatedColumnFormula>
    </tableColumn>
    <tableColumn id="26" xr3:uid="{26E15CEC-2CC2-4752-9E5B-764B0F20D0A1}" name="Protection_PRI" totalsRowFunction="sum" dataDxfId="117" totalsRowDxfId="118"/>
    <tableColumn id="27" xr3:uid="{36FB608B-889D-4BE0-A20F-BE7E784C3C9C}" name="Shelter_PRI" totalsRowFunction="sum" dataDxfId="115" totalsRowDxfId="116">
      <calculatedColumnFormula>IF(VLOOKUP(tblPiNAnalysis5[[#This Row],[Admin 2 P-Code]],tblSeverityAnalysis[[Admin 2 P-Code]:[WASH]],13,FALSE)&gt;=4,VLOOKUP(tblPiNAnalysis5[[#This Row],[Admin 2 P-Code]],tblPiNAnalysis[[Admin 2 P-Code]:[WASH]],13,FALSE),0)</calculatedColumnFormula>
    </tableColumn>
    <tableColumn id="28" xr3:uid="{E6EA446B-CC2A-40EC-BDF7-D525F87A7026}" name="WASH_PRI" totalsRowFunction="sum" dataDxfId="113" totalsRowDxfId="114"/>
    <tableColumn id="37" xr3:uid="{259C459C-4AED-46C5-8420-8D1A3DA4211B}" name="FINAL PRIORITIZATION" totalsRowFunction="sum" dataDxfId="111" totalsRowDxfId="112">
      <calculatedColumnFormula>MIN(tblPiNAnalysis5[[#This Row],[Final TARGET]],MAX(tblPiNAnalysis5[[#This Row],[CCCM_PRI]:[WASH_PRI]]))</calculatedColumnFormula>
    </tableColumn>
    <tableColumn id="38" xr3:uid="{4065B746-2ED4-47BB-A638-282A65C563DC}" name="Suggestion Education" totalsRowFunction="sum" dataDxfId="109" totalsRowDxfId="110">
      <calculatedColumnFormula>IF(VLOOKUP(tblPiNAnalysis5[[#This Row],[Admin 2 P-Code]],tblSeverityAnalysis[[Admin 2 P-Code]:[Final Severity]],43,FALSE)&gt;=4,VLOOKUP(tblPiNAnalysis5[[#This Row],[Admin 2 P-Code]],tblPiNAnalysis[[Admin 2 P-Code]:[WASH]],8,FALSE),0)</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C62CB9-79E0-497E-A079-06B621BAA7FA}" name="tblSeverityAnalysis" displayName="tblSeverityAnalysis" ref="A3:AV144" totalsRowShown="0" headerRowDxfId="102" dataDxfId="101" headerRowBorderDxfId="99" tableBorderDxfId="100" totalsRowBorderDxfId="98" headerRowCellStyle="Comma 2">
  <autoFilter ref="A3:AV144" xr:uid="{C1C62CB9-79E0-497E-A079-06B621BAA7FA}">
    <filterColumn colId="46">
      <filters>
        <filter val="5"/>
      </filters>
    </filterColumn>
  </autoFilter>
  <tableColumns count="48">
    <tableColumn id="7" xr3:uid="{12E8B687-B3A9-47AD-878D-880B213B4194}" name="ID" dataDxfId="97" dataCellStyle="Comma">
      <calculatedColumnFormula>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calculatedColumnFormula>
    </tableColumn>
    <tableColumn id="2" xr3:uid="{DE5C2973-C3F7-4CA7-A76B-64D8D90C3D11}" name="Admin 1" dataDxfId="96"/>
    <tableColumn id="15" xr3:uid="{B194334C-81FA-4EF2-9AE3-5E75730B9BF4}" name="Admin 1 P-Code" dataDxfId="95"/>
    <tableColumn id="14" xr3:uid="{3DF13833-849E-4712-95EC-D8335688FB50}" name="Admin 2" dataDxfId="94"/>
    <tableColumn id="3" xr3:uid="{D7B62F2F-A63B-44BE-AE4E-30223A2CCBFD}" name="Admin 2 P-Code" dataDxfId="93"/>
    <tableColumn id="36" xr3:uid="{AE0E4B39-6771-400C-BA34-196CDDB3E923}" name="Admin 3" dataDxfId="92"/>
    <tableColumn id="41" xr3:uid="{F32FC4B7-A02C-46B4-B978-07AA9DCF90D3}" name="Admin 3 P-Code" dataDxfId="91"/>
    <tableColumn id="26" xr3:uid="{40FF3AD1-DD26-46EA-B9BC-669716DCC145}" name="Pocket of need" dataDxfId="90"/>
    <tableColumn id="4" xr3:uid="{A48A17EA-68C0-4A1F-9FBF-4FDCF8A3B119}" name="Population" dataDxfId="89" dataCellStyle="Comma"/>
    <tableColumn id="29" xr3:uid="{F731F25E-5448-4170-BE76-BCA9E8A21DF1}" name="Population Group" dataDxfId="88" dataCellStyle="Comma"/>
    <tableColumn id="8" xr3:uid="{2EAA504B-FE48-494A-8CCF-FE05D7E55168}" name="CCCM" dataDxfId="87" dataCellStyle="Comma"/>
    <tableColumn id="10" xr3:uid="{8E2042EE-1CD5-45A3-A0F4-6E648C2C2C9A}" name="Education" dataDxfId="86" dataCellStyle="Comma"/>
    <tableColumn id="31" xr3:uid="{623EB35B-A873-438D-B4FC-568020B0E314}" name="Nutrition" dataDxfId="85" dataCellStyle="Comma"/>
    <tableColumn id="33" xr3:uid="{A3845C6F-B00A-4D3D-BCD9-7001DF7C2BF3}" name="Food Security" dataDxfId="84" dataCellStyle="Comma"/>
    <tableColumn id="16" xr3:uid="{CCC771BB-071E-462D-BAD3-7ECDFD8BA39C}" name="Health" dataDxfId="83" dataCellStyle="Comma"/>
    <tableColumn id="11" xr3:uid="{C2D74A6D-BDA9-499B-B531-C38E9D023E99}" name="Protection" dataDxfId="82" dataCellStyle="Comma"/>
    <tableColumn id="9" xr3:uid="{89554A4D-4796-4166-AEA8-75E4763F3CF9}" name="Shelter" dataDxfId="81" dataCellStyle="Comma"/>
    <tableColumn id="17" xr3:uid="{E84A9292-43B6-4C5B-94DA-076D49B68338}" name="WASH" dataDxfId="80" dataCellStyle="Comma"/>
    <tableColumn id="21" xr3:uid="{C48240FC-85EC-B548-BDBE-D7ECF22A8C33}" name="Child Protection (CP)" dataDxfId="79" dataCellStyle="Comma"/>
    <tableColumn id="23" xr3:uid="{BE6A09F9-4A73-E54A-BF31-9F855B209A36}" name="Gender-based Violence (GBV)" dataDxfId="78" dataCellStyle="Comma"/>
    <tableColumn id="25" xr3:uid="{C03DC446-1D83-844A-9E03-2E9406A823F3}" name="Migrants" dataDxfId="77" dataCellStyle="Comma"/>
    <tableColumn id="22" xr3:uid="{4B787361-B788-4E4D-897A-486A99CAA304}" name="__" dataDxfId="76" dataCellStyle="Comma"/>
    <tableColumn id="32" xr3:uid="{A49C4B3C-7EE7-47B7-8956-A2E6603DB966}" name=" 1 " dataDxfId="75" dataCellStyle="Comma">
      <calculatedColumnFormula>IF(COUNTIF(tblSeverityAnalysis[[#This Row],[CCCM]:[WASH]], 1)=0, "", COUNTIF(tblSeverityAnalysis[[#This Row],[CCCM]:[WASH]], 1))</calculatedColumnFormula>
    </tableColumn>
    <tableColumn id="38" xr3:uid="{6D27F5BF-2269-470D-AB93-ECADB389B60C}" name=" 2 " dataDxfId="74" dataCellStyle="Comma">
      <calculatedColumnFormula>IF(COUNTIF(tblSeverityAnalysis[[#This Row],[CCCM]:[WASH]], 2)=0, "", COUNTIF(tblSeverityAnalysis[[#This Row],[CCCM]:[WASH]], 2))</calculatedColumnFormula>
    </tableColumn>
    <tableColumn id="39" xr3:uid="{1E74531A-C61A-413B-B1BC-92F41D56542F}" name=" 3 " dataDxfId="73" dataCellStyle="Comma">
      <calculatedColumnFormula>IF(COUNTIF(tblSeverityAnalysis[[#This Row],[CCCM]:[WASH]], 3)=0, "", COUNTIF(tblSeverityAnalysis[[#This Row],[CCCM]:[WASH]], 3))</calculatedColumnFormula>
    </tableColumn>
    <tableColumn id="45" xr3:uid="{18DBAD4C-1868-4113-B9B0-5C9A2BE963EB}" name=" 4 " dataDxfId="72" dataCellStyle="Comma">
      <calculatedColumnFormula>IF(COUNTIF(tblSeverityAnalysis[[#This Row],[CCCM]:[WASH]], 4)=0, "", COUNTIF(tblSeverityAnalysis[[#This Row],[CCCM]:[WASH]], 4))</calculatedColumnFormula>
    </tableColumn>
    <tableColumn id="50" xr3:uid="{32158D2A-FFD3-47A5-BAD2-0E76DE3E6ECB}" name="5" dataDxfId="71" dataCellStyle="Comma [0]">
      <calculatedColumnFormula>IF(COUNTIF(tblSeverityAnalysis[[#This Row],[CCCM]:[WASH]], 5)=0, "", COUNTIF(tblSeverityAnalysis[[#This Row],[CCCM]:[WASH]], 5))</calculatedColumnFormula>
    </tableColumn>
    <tableColumn id="56" xr3:uid="{BCD5170C-CF9D-4191-BCCB-28922DB24DAD}" name="Preliminary Intersectoral Severity based on overlap of sectoral deprivations" dataDxfId="70" dataCellStyle="Comma">
      <calculatedColumnFormula array="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calculatedColumnFormula>
    </tableColumn>
    <tableColumn id="30" xr3:uid="{898C226D-603A-4B03-8AB3-F1B1EC15F4D3}" name="Mortality" dataDxfId="69" dataCellStyle="Comma">
      <calculatedColumnFormula>IFERROR(IF(INDEX(tblSeverityReference[Death or Iminanet Risk of Death Severity],MATCH(tblSeverityAnalysis[[#This Row],[ID]], tblSeverityReference[ID], 0))= "", "",INDEX(tblSeverityReference[Death or Iminanet Risk of Death Severity],MATCH(tblSeverityAnalysis[[#This Row],[ID]], tblSeverityReference[ID], 0)) ), "")</calculatedColumnFormula>
    </tableColumn>
    <tableColumn id="35" xr3:uid="{52915851-B9BD-417C-9D89-D537647E1C1F}" name="Malnutrition" dataDxfId="68" dataCellStyle="Comma">
      <calculatedColumnFormula>IFERROR(IF(INDEX(tblSeverityReference[Malnutrition Severity],MATCH(tblSeverityAnalysis[[#This Row],[ID]], tblSeverityReference[ID], 0))= "", "",INDEX(tblSeverityReference[Malnutrition Severity],MATCH(tblSeverityAnalysis[[#This Row],[ID]], tblSeverityReference[ID], 0)) ), "")</calculatedColumnFormula>
    </tableColumn>
    <tableColumn id="34" xr3:uid="{BDB14026-41EC-4A9C-A4E8-BAA7D3A952B2}" name="Epidemics" dataDxfId="67" dataCellStyle="Comma">
      <calculatedColumnFormula>IFERROR(IF(INDEX(tblSeverityReference[Epidemic Severity],MATCH(tblSeverityAnalysis[[#This Row],[ID]], tblSeverityReference[ID], 0))= "", "",INDEX(tblSeverityReference[Epidemic Severity],MATCH(tblSeverityAnalysis[[#This Row],[ID]], tblSeverityReference[ID], 0)) ), "")</calculatedColumnFormula>
    </tableColumn>
    <tableColumn id="13" xr3:uid="{91890E29-2CD2-4CF5-965E-648927B4CD6E}" name="Livelihood Coping" dataDxfId="66" dataCellStyle="Comma">
      <calculatedColumnFormula>IFERROR(IF(INDEX(tblSeverityReference[Coping Strategy Severity],MATCH(tblSeverityAnalysis[[#This Row],[ID]], tblSeverityReference[ID], 0))= "", "",INDEX(tblSeverityReference[Coping Strategy Severity],MATCH(tblSeverityAnalysis[[#This Row],[ID]], tblSeverityReference[ID], 0)) ), "")</calculatedColumnFormula>
    </tableColumn>
    <tableColumn id="18" xr3:uid="{06E2A20B-4EBA-4551-95F0-A0BB49DFCB92}" name="HR/IHL Violation" dataDxfId="65">
      <calculatedColumnFormula>IFERROR(IF(INDEX(tblSeverityReference[HR/IHL Violation],MATCH(tblSeverityAnalysis[[#This Row],[ID]], tblSeverityReference[ID], 0))= "", "",INDEX(tblSeverityReference[HR/IHL Violation],MATCH(tblSeverityAnalysis[[#This Row],[ID]], tblSeverityReference[ID], 0)) ), "")</calculatedColumnFormula>
    </tableColumn>
    <tableColumn id="12" xr3:uid="{BDDA1786-6073-428A-A7AF-90CE142A8E41}" name="Average severity" dataDxfId="64" dataCellStyle="Comma">
      <calculatedColumnFormula>IFERROR(AVERAGE(tblSeverityAnalysis[[#This Row],[CCCM]:[WASH]]), "")</calculatedColumnFormula>
    </tableColumn>
    <tableColumn id="57" xr3:uid="{B4AA718F-F9E7-4A38-939F-5CF3AC13993E}" name="Highest Severity" dataDxfId="63" dataCellStyle="Comma">
      <calculatedColumnFormula>IF(SUM(tblSeverityAnalysis[[#This Row],[CCCM]:[WASH]])=0, "", MAX(tblSeverityAnalysis[[#This Row],[CCCM]:[WASH]]))</calculatedColumnFormula>
    </tableColumn>
    <tableColumn id="20" xr3:uid="{B0D41582-83E1-494A-B553-BD98ABC0A586}" name="Sectors with Highest Severity" dataDxfId="62">
      <calculatedColumnFormula array="1">IFERROR(IF(tblSeverityAnalysis[[#This Row],[Highest Severity]]="", "", _xlfn.TEXTJOIN(CHAR(10), TRUE, IF(tblSeverityAnalysis[[#This Row],[CCCM]:[WASH]]=tblSeverityAnalysis[[#This Row],[Highest Severity]], tblSeverityAnalysis[[#Headers],[CCCM]:[WASH]], ""), "")), "")</calculatedColumnFormula>
    </tableColumn>
    <tableColumn id="27" xr3:uid="{97CE0432-3503-4907-89A1-126532EAE14B}" name="2nd Highest Severity" dataDxfId="61" dataCellStyle="Comma">
      <calculatedColumnFormula array="1">IFERROR(MAX(_xlfn._xlws.FILTER(tblSeverityAnalysis[[#This Row],[CCCM]:[WASH]], tblSeverityAnalysis[[#This Row],[CCCM]:[WASH]]&lt;tblSeverityAnalysis[[#This Row],[Highest Severity]])), "")</calculatedColumnFormula>
    </tableColumn>
    <tableColumn id="24" xr3:uid="{7908F3B1-A685-4D7E-8B68-BDDAB612B082}" name="Sectors with 2nd Highest Severity" dataDxfId="60">
      <calculatedColumnFormula array="1">IFERROR(IF(tblSeverityAnalysis[[#This Row],[2nd Highest Severity]]="", "", _xlfn.TEXTJOIN(CHAR(10), TRUE, IF(tblSeverityAnalysis[[#This Row],[CCCM]:[WASH]]=tblSeverityAnalysis[[#This Row],[2nd Highest Severity]], tblSeverityAnalysis[[#Headers],[CCCM]:[WASH]], ""), "")), "")</calculatedColumnFormula>
    </tableColumn>
    <tableColumn id="1" xr3:uid="{E5324947-EF33-46C6-9A5F-4E4B0271CA4A}" name="1 sector in severity phase 5 [modify the threshold]" dataDxfId="59" dataCellStyle="Percent">
      <calculatedColumnFormula>IFERROR(IF(AND(tblSeverityAnalysis[[#This Row],[5]] &lt;&gt; "", tblSeverityAnalysis[[#This Row],[5]]&gt;=sectors_sev_5), "Flagged", ""), "")</calculatedColumnFormula>
    </tableColumn>
    <tableColumn id="6" xr3:uid="{04E92991-ACD3-46CA-BF57-66EC74948A62}" name="More than 4 Sectors in 4 or worse while Preliminary is 4 " dataDxfId="58" dataCellStyle="Percent">
      <calculatedColumnFormula>IFERROR(IF(AND(tblSeverityAnalysis[[#This Row],[Preliminary Intersectoral Severity based on overlap of sectoral deprivations]]=4, SUM(tblSeverityAnalysis[[#This Row],[ 4 ]:[5]])&gt;=sectors_sev_4), "Flagged", ""), "")</calculatedColumnFormula>
    </tableColumn>
    <tableColumn id="42" xr3:uid="{CF7F22EC-2B20-46A7-9ECE-38202C063A99}" name="2+ phase variation between preliminary severity and severity of any of the outcome indicators" dataDxfId="57" dataCellStyle="Percent">
      <calculatedColumnFormula array="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calculatedColumnFormula>
    </tableColumn>
    <tableColumn id="46" xr3:uid="{477EA2A8-3464-463B-B14F-E6C50EACD0C0}" name="1+ phase variation between preliminary severity and severity of at least two of the outcome indicators - in the same direction" dataDxfId="56" dataCellStyle="Percent">
      <calculatedColumnFormula>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calculatedColumnFormula>
    </tableColumn>
    <tableColumn id="52" xr3:uid="{F4C98AEA-A2B9-4138-8DCA-1D09D65131D5}" name="Manual Flag" dataDxfId="55" dataCellStyle="Percent"/>
    <tableColumn id="19" xr3:uid="{39A8E2D8-7EAA-4F67-B221-8BADB133E700}" name="Severity indicated by sub-national level" dataDxfId="54"/>
    <tableColumn id="54" xr3:uid="{8AF44857-9B03-4E29-90F4-7BAB96595ABB}" name="Explanation for Manual Flag" dataDxfId="53" dataCellStyle="Percent"/>
    <tableColumn id="43" xr3:uid="{3627B379-5857-4DE8-97E3-98B77B9F16ED}" name="# Flags" dataDxfId="52" dataCellStyle="Percent">
      <calculatedColumnFormula>COUNTIF(tblSeverityAnalysis[[#This Row],[1 sector in severity phase 5 '[modify the threshold']]:[Manual Flag]], "Flagged")</calculatedColumnFormula>
    </tableColumn>
    <tableColumn id="44" xr3:uid="{03F94C7E-8EDA-4018-9837-589E65ECA95C}" name="Final Severity" dataDxfId="51">
      <calculatedColumnFormula>tblSeverityAnalysis[[#This Row],[Preliminary Intersectoral Severity based on overlap of sectoral deprivations]]</calculatedColumnFormula>
    </tableColumn>
    <tableColumn id="5" xr3:uid="{8C5B51FE-2FF3-4432-A4F9-72475869B3BB}" name="Evidence &amp; Comments" dataDxfId="5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BF5B1A-B6A1-484D-BF81-A5488E04A560}" name="tblSeverityReference" displayName="tblSeverityReference" ref="A3:AA143" totalsRowShown="0" headerRowDxfId="49" dataDxfId="48" headerRowBorderDxfId="46" tableBorderDxfId="47" totalsRowBorderDxfId="45" headerRowCellStyle="Comma 2">
  <autoFilter ref="A3:AA143" xr:uid="{85BF5B1A-B6A1-484D-BF81-A5488E04A560}">
    <filterColumn colId="3">
      <filters>
        <filter val="Port-au-Prince"/>
        <filter val="Tabarre"/>
      </filters>
    </filterColumn>
  </autoFilter>
  <sortState xmlns:xlrd2="http://schemas.microsoft.com/office/spreadsheetml/2017/richdata2" ref="A4:AA6">
    <sortCondition ref="B4:B6"/>
    <sortCondition ref="D4:D6"/>
  </sortState>
  <tableColumns count="27">
    <tableColumn id="1" xr3:uid="{24C66158-02F3-400E-BC52-87559454F3BD}" name="ID" dataDxfId="44" dataCellStyle="Comma">
      <calculatedColumnFormula>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calculatedColumnFormula>
    </tableColumn>
    <tableColumn id="2" xr3:uid="{5DC6AC69-6C07-4315-BBEA-5918E5448609}" name="Admin 1" dataDxfId="43"/>
    <tableColumn id="15" xr3:uid="{4EA63701-0CB2-4A55-8370-61E80E5899C0}" name="Admin 1 P-Code" dataDxfId="42"/>
    <tableColumn id="14" xr3:uid="{885AD3D6-0994-4B7D-AE97-97E6A7FE1CDF}" name="Admin 2" dataDxfId="41"/>
    <tableColumn id="3" xr3:uid="{42D64701-C39F-4754-8AE0-045A3E355FD5}" name="Admin 2 P-Code" dataDxfId="40"/>
    <tableColumn id="6" xr3:uid="{BAEC7335-E660-40A9-8E82-00CFB139FF39}" name="Admin 3" dataDxfId="39"/>
    <tableColumn id="36" xr3:uid="{1758CEF1-5355-4EFB-AE03-CB8C83E5918C}" name="Admin 3 P-Code" dataDxfId="38"/>
    <tableColumn id="13" xr3:uid="{176175E1-49AF-44DF-A63F-3E97F7FB788C}" name="Pocket of need" dataDxfId="37"/>
    <tableColumn id="4" xr3:uid="{02B5914B-C0BE-4235-BF9C-915E2B509B37}" name="Population" dataDxfId="36" dataCellStyle="Comma"/>
    <tableColumn id="29" xr3:uid="{FB41FEF7-F374-4CF1-A22B-AD36EB766BE2}" name="Population Group" dataDxfId="35" dataCellStyle="Comma"/>
    <tableColumn id="45" xr3:uid="{557BE843-F5AF-4BDC-ACF8-03C6F968B99F}" name="CDR x/10,000/day" dataDxfId="34" dataCellStyle="Comma"/>
    <tableColumn id="7" xr3:uid="{5F9388E3-72A2-4AA4-A2B3-30F1F64F1CE8}" name="Under 5 Death Rate" dataDxfId="33" dataCellStyle="Comma"/>
    <tableColumn id="5" xr3:uid="{7DEA85F9-5885-491C-88E2-890AAB2E80E7}" name="Civilian Casualty" dataDxfId="32" dataCellStyle="Comma"/>
    <tableColumn id="8" xr3:uid="{E32D3781-4602-4E73-95EB-DA2705ACBF62}" name="Death or Iminanet Risk of Death Severity" dataDxfId="31" dataCellStyle="Comma">
      <calculatedColumnFormula array="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calculatedColumnFormula>
    </tableColumn>
    <tableColumn id="31" xr3:uid="{23922B33-0085-45F2-BB44-B33A144B1C54}" name="PPTZ_x000a_Prévalence de la MAG en % _x000a_(P/T) pour les enfants de 0-59 mois (SMART 2023)" dataDxfId="30" dataCellStyle="Percent"/>
    <tableColumn id="12" xr3:uid="{C6C12292-1F2C-403A-9912-DB64FC439D74}" name="MUAC" dataDxfId="29" dataCellStyle="Percent"/>
    <tableColumn id="33" xr3:uid="{7203C1C9-945E-4F25-B27B-179E5D0F90BD}" name="Malnutrition Severity" dataDxfId="28" dataCellStyle="Comma">
      <calculatedColumnFormula array="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calculatedColumnFormula>
    </tableColumn>
    <tableColumn id="18" xr3:uid="{D0C4B065-CC30-4233-B8B6-C90883EA4916}" name="Epidemic 1" dataDxfId="27" dataCellStyle="Percent"/>
    <tableColumn id="9" xr3:uid="{9F9DE9AB-5588-48E7-BA26-4FB6BCD4482A}" name="Epidemic 2" dataDxfId="26" dataCellStyle="Percent"/>
    <tableColumn id="10" xr3:uid="{83B53DC6-75D9-431D-B235-F3E11C44957B}" name="Epidemic Severity" dataDxfId="25" dataCellStyle="Comma"/>
    <tableColumn id="11" xr3:uid="{44BC475A-D95D-4D15-923C-DA24B4FA24BC}" name="HR/IHL Violation" dataDxfId="24"/>
    <tableColumn id="17" xr3:uid="{BCE88250-BB8E-4C8A-9C03-E7022A09521F}" name="Coping Strategy (Minimal)" dataDxfId="23"/>
    <tableColumn id="46" xr3:uid="{373BD611-D9B0-4066-AB33-A7859A6D501D}" name="Coping Strategy (Stress)" dataDxfId="22"/>
    <tableColumn id="47" xr3:uid="{05DFD7E1-7704-4386-A5E9-816CD3B72724}" name="Coping Strategy (Severe)" dataDxfId="21"/>
    <tableColumn id="48" xr3:uid="{9C31F5FC-D186-4677-A497-48B112788A30}" name="Coping Strategy (Extreme)" dataDxfId="20"/>
    <tableColumn id="49" xr3:uid="{25DA146F-5FA1-4712-894A-54C6A8219859}" name="Coping Strategy (Catastrophic)" dataDxfId="19"/>
    <tableColumn id="50" xr3:uid="{E1913089-62D2-4264-96D2-08B70EFDBB72}" name="Coping Strategy Severity" dataDxfId="18" dataCellStyle="Comma">
      <calculatedColumnFormula array="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65D9-0AF3-4313-A41A-F50B37D11B3E}">
  <sheetPr codeName="Sheet1">
    <tabColor theme="6" tint="0.59999389629810485"/>
  </sheetPr>
  <dimension ref="A1:C18"/>
  <sheetViews>
    <sheetView topLeftCell="A3" zoomScale="115" zoomScaleNormal="115" workbookViewId="0">
      <selection activeCell="F3" sqref="F3"/>
    </sheetView>
  </sheetViews>
  <sheetFormatPr defaultColWidth="8.5703125" defaultRowHeight="14.45"/>
  <cols>
    <col min="1" max="1" width="22.5703125" customWidth="1"/>
    <col min="2" max="2" width="108.140625" customWidth="1"/>
  </cols>
  <sheetData>
    <row r="1" spans="1:3" ht="22.5">
      <c r="A1" s="6" t="s">
        <v>0</v>
      </c>
      <c r="B1" s="5"/>
    </row>
    <row r="2" spans="1:3" ht="14.25" customHeight="1">
      <c r="A2" s="4"/>
    </row>
    <row r="3" spans="1:3" ht="160.5" customHeight="1">
      <c r="A3" s="280" t="s">
        <v>1</v>
      </c>
      <c r="B3" s="36" t="s">
        <v>2</v>
      </c>
    </row>
    <row r="5" spans="1:3" ht="26.25" customHeight="1">
      <c r="A5" s="3" t="s">
        <v>3</v>
      </c>
      <c r="B5" s="3" t="s">
        <v>4</v>
      </c>
    </row>
    <row r="6" spans="1:3" ht="86.25" customHeight="1">
      <c r="A6" s="281" t="s">
        <v>5</v>
      </c>
      <c r="B6" s="286" t="s">
        <v>6</v>
      </c>
    </row>
    <row r="7" spans="1:3">
      <c r="A7" s="520" t="s">
        <v>7</v>
      </c>
      <c r="B7" s="287" t="s">
        <v>8</v>
      </c>
    </row>
    <row r="8" spans="1:3" ht="38.65">
      <c r="A8" s="521"/>
      <c r="B8" s="283" t="s">
        <v>9</v>
      </c>
    </row>
    <row r="9" spans="1:3" ht="28.9">
      <c r="A9" s="521"/>
      <c r="B9" s="288" t="s">
        <v>10</v>
      </c>
      <c r="C9" s="289"/>
    </row>
    <row r="10" spans="1:3" ht="28.9">
      <c r="A10" s="521"/>
      <c r="B10" s="288" t="s">
        <v>11</v>
      </c>
      <c r="C10" s="289"/>
    </row>
    <row r="11" spans="1:3" ht="28.9">
      <c r="A11" s="521"/>
      <c r="B11" s="288" t="s">
        <v>12</v>
      </c>
      <c r="C11" s="289"/>
    </row>
    <row r="12" spans="1:3" ht="28.9">
      <c r="A12" s="521"/>
      <c r="B12" s="288" t="s">
        <v>13</v>
      </c>
      <c r="C12" s="289"/>
    </row>
    <row r="13" spans="1:3" ht="28.9">
      <c r="A13" s="521"/>
      <c r="B13" s="288" t="s">
        <v>14</v>
      </c>
      <c r="C13" s="289"/>
    </row>
    <row r="14" spans="1:3" ht="28.9">
      <c r="A14" s="522"/>
      <c r="B14" s="288" t="s">
        <v>15</v>
      </c>
      <c r="C14" s="289"/>
    </row>
    <row r="15" spans="1:3" ht="86.1">
      <c r="A15" s="282" t="s">
        <v>16</v>
      </c>
      <c r="B15" s="284" t="s">
        <v>17</v>
      </c>
    </row>
    <row r="16" spans="1:3" ht="24.6" hidden="1">
      <c r="A16" s="282" t="s">
        <v>18</v>
      </c>
      <c r="B16" s="284" t="s">
        <v>19</v>
      </c>
    </row>
    <row r="17" spans="1:2" ht="114.4">
      <c r="A17" s="285" t="s">
        <v>20</v>
      </c>
      <c r="B17" s="283" t="s">
        <v>21</v>
      </c>
    </row>
    <row r="18" spans="1:2" ht="45" customHeight="1">
      <c r="A18" s="285" t="s">
        <v>22</v>
      </c>
      <c r="B18" s="283" t="s">
        <v>23</v>
      </c>
    </row>
  </sheetData>
  <mergeCells count="1">
    <mergeCell ref="A7:A14"/>
  </mergeCells>
  <hyperlinks>
    <hyperlink ref="B9" location="'WS - 3.1 Overall PiN'!AK3" display="Number of missing or zero PiN: OCHA analysis team to decide the threshold for accepted number of sectors at unit level not to provide a PiN value or have zero PiN." xr:uid="{C597A2A8-8DBB-4472-9A2E-97C2E3E58B20}"/>
    <hyperlink ref="B10" location="'WS - 3.1 Overall PiN'!AL3" display="Highest PiN close to the total affected population: OCHA analysis team to decide the threshold of acceptable proportion of people in need to the affected population at unit level." xr:uid="{332FD5BA-51FD-41A3-915E-C5FF93F5156F}"/>
    <hyperlink ref="B11" location="'WS - 3.1 Overall PiN'!AM3" display="Highest Sector targets only a subset of the affected population: OCHA analysis team to decide the sectors that target only a subset of the affected population." xr:uid="{F2D74E37-1A08-4D7F-9267-44BFE130676C}"/>
    <hyperlink ref="B14" location="'WS - 3.1 Overall PiN'!AZ3" display="% Difference between this HNO's highest or 2nd highest sector PiN to same sector in the last HNO: OCHA analysis team to decide the threshold of change for this HNO's highest or 2nd higehst sector PiN and last HNO's PiN for the same sector." xr:uid="{9F4FE1C6-1C91-407F-A915-1B484DAA7B69}"/>
    <hyperlink ref="B12" location="'WS - 3.1 Overall PiN'!AS3" display="Difference b/w highest with 2nd highest: OCHA analysis team to decide whether certain outliers between highest sector with 2nd or 3rd highest require flagging for review and to enter 'Flagged' in the column." xr:uid="{34C7B92C-32B7-4C62-9EEB-6B25D4631D90}"/>
    <hyperlink ref="B13" location="'WS - 3.1 Overall PiN'!AY3" display="Difference b/w highest and 3rd highest: OCHA analysis team to decide whether certain outliers between highest sector with 2nd or 3rd highest require flagging for review and to enter 'Flagged' in the column." xr:uid="{7D031399-E85E-4F20-958C-3F7C6EB772BB}"/>
    <hyperlink ref="B7" location="'WS - 3.1 Overall PiN'!BB3" display="Preliminary PiN: Highest PiN among the Sector PINs is automatically taken as the preliminary PiN." xr:uid="{EECADD44-264E-4D02-9121-A4DB48707F79}"/>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5889-E388-4FA4-B65E-534DEACB1C87}">
  <sheetPr codeName="Sheet9">
    <tabColor theme="0" tint="-0.14999847407452621"/>
  </sheetPr>
  <dimension ref="A1:F36"/>
  <sheetViews>
    <sheetView topLeftCell="A2" zoomScale="160" zoomScaleNormal="160" workbookViewId="0">
      <selection activeCell="B22" sqref="B22"/>
    </sheetView>
  </sheetViews>
  <sheetFormatPr defaultColWidth="8.5703125" defaultRowHeight="10.15"/>
  <cols>
    <col min="1" max="1" width="44.7109375" style="7" customWidth="1"/>
    <col min="2" max="2" width="60" style="7" customWidth="1"/>
    <col min="3" max="3" width="16.5703125" style="7" customWidth="1"/>
    <col min="4" max="4" width="15.140625" style="7" customWidth="1"/>
    <col min="5" max="5" width="13.140625" style="7" customWidth="1"/>
    <col min="6" max="6" width="17.28515625" style="7" customWidth="1"/>
    <col min="7" max="7" width="17.140625" style="7" bestFit="1" customWidth="1"/>
    <col min="8" max="8" width="13.140625" style="7" bestFit="1" customWidth="1"/>
    <col min="9" max="9" width="17.5703125" style="7" bestFit="1" customWidth="1"/>
    <col min="10" max="16384" width="8.5703125" style="7"/>
  </cols>
  <sheetData>
    <row r="1" spans="1:6">
      <c r="C1" s="524" t="s">
        <v>24</v>
      </c>
      <c r="D1" s="524"/>
      <c r="E1" s="524"/>
      <c r="F1" s="524"/>
    </row>
    <row r="3" spans="1:6" ht="10.5" customHeight="1">
      <c r="C3" s="524" t="s">
        <v>25</v>
      </c>
      <c r="D3" s="524"/>
      <c r="E3" s="524"/>
      <c r="F3" s="524"/>
    </row>
    <row r="6" spans="1:6" ht="10.5">
      <c r="B6" s="527" t="s">
        <v>26</v>
      </c>
      <c r="C6" s="527"/>
      <c r="D6" s="7" t="s">
        <v>27</v>
      </c>
    </row>
    <row r="7" spans="1:6" ht="30.6">
      <c r="A7" s="140" t="s">
        <v>28</v>
      </c>
      <c r="B7" s="158" t="s">
        <v>29</v>
      </c>
      <c r="C7" s="158" t="s">
        <v>30</v>
      </c>
      <c r="D7" s="159" t="s">
        <v>31</v>
      </c>
      <c r="E7" s="158" t="s">
        <v>32</v>
      </c>
      <c r="F7" s="158" t="s">
        <v>33</v>
      </c>
    </row>
    <row r="8" spans="1:6" s="147" customFormat="1">
      <c r="A8" s="160"/>
      <c r="B8" s="161" t="s">
        <v>34</v>
      </c>
      <c r="C8" s="160">
        <v>2</v>
      </c>
      <c r="D8" s="160">
        <v>2</v>
      </c>
      <c r="E8" s="160"/>
      <c r="F8" s="160" t="s">
        <v>35</v>
      </c>
    </row>
    <row r="9" spans="1:6" ht="45" customHeight="1">
      <c r="A9" s="8" t="s">
        <v>36</v>
      </c>
      <c r="B9" s="146" t="s">
        <v>37</v>
      </c>
      <c r="C9" s="139">
        <v>0.3</v>
      </c>
      <c r="D9" s="139">
        <v>0.5</v>
      </c>
      <c r="E9" s="8" t="s">
        <v>38</v>
      </c>
      <c r="F9" s="8" t="s">
        <v>39</v>
      </c>
    </row>
    <row r="10" spans="1:6">
      <c r="A10" s="8" t="s">
        <v>40</v>
      </c>
      <c r="B10" s="146" t="s">
        <v>41</v>
      </c>
      <c r="C10" s="139">
        <v>0.5</v>
      </c>
      <c r="D10" s="139">
        <v>0.8</v>
      </c>
      <c r="E10" s="8" t="s">
        <v>42</v>
      </c>
      <c r="F10" s="8" t="s">
        <v>39</v>
      </c>
    </row>
    <row r="11" spans="1:6" ht="20.45">
      <c r="A11" s="8" t="s">
        <v>43</v>
      </c>
      <c r="B11" s="146" t="s">
        <v>44</v>
      </c>
      <c r="C11" s="139"/>
      <c r="D11" s="8"/>
      <c r="E11" s="8"/>
      <c r="F11" s="8"/>
    </row>
    <row r="12" spans="1:6">
      <c r="A12" s="8" t="s">
        <v>45</v>
      </c>
      <c r="B12" s="146" t="s">
        <v>46</v>
      </c>
      <c r="C12" s="139">
        <v>0.9</v>
      </c>
      <c r="D12" s="139">
        <v>0.9</v>
      </c>
      <c r="E12" s="8"/>
      <c r="F12" s="8"/>
    </row>
    <row r="13" spans="1:6" ht="20.45">
      <c r="A13" s="8" t="s">
        <v>47</v>
      </c>
      <c r="B13" s="146" t="s">
        <v>48</v>
      </c>
      <c r="C13" s="139">
        <v>1</v>
      </c>
      <c r="D13" s="139">
        <v>1</v>
      </c>
      <c r="E13" s="8"/>
      <c r="F13" s="8"/>
    </row>
    <row r="14" spans="1:6" ht="20.45">
      <c r="A14" s="8" t="s">
        <v>49</v>
      </c>
      <c r="B14" s="146" t="s">
        <v>50</v>
      </c>
      <c r="C14" s="139"/>
      <c r="D14" s="139"/>
      <c r="E14" s="8"/>
      <c r="F14" s="8"/>
    </row>
    <row r="15" spans="1:6" s="147" customFormat="1" ht="29.25" hidden="1" customHeight="1">
      <c r="B15" s="156" t="s">
        <v>51</v>
      </c>
      <c r="C15" s="157"/>
      <c r="D15" s="157"/>
      <c r="E15" s="148"/>
      <c r="F15" s="148"/>
    </row>
    <row r="16" spans="1:6" s="155" customFormat="1" hidden="1">
      <c r="B16" s="152" t="s">
        <v>52</v>
      </c>
      <c r="C16" s="153" t="s">
        <v>53</v>
      </c>
      <c r="D16" s="153" t="s">
        <v>53</v>
      </c>
      <c r="E16" s="154"/>
      <c r="F16" s="154" t="s">
        <v>39</v>
      </c>
    </row>
    <row r="17" spans="1:5" s="149" customFormat="1">
      <c r="B17" s="150"/>
      <c r="C17" s="151"/>
      <c r="D17" s="151"/>
    </row>
    <row r="18" spans="1:5" ht="10.5">
      <c r="B18" s="527" t="s">
        <v>54</v>
      </c>
      <c r="C18" s="527"/>
    </row>
    <row r="19" spans="1:5" ht="30.6">
      <c r="B19" s="11" t="s">
        <v>55</v>
      </c>
      <c r="C19" s="10" t="s">
        <v>56</v>
      </c>
    </row>
    <row r="20" spans="1:5" ht="12.4">
      <c r="A20" s="175" t="s">
        <v>57</v>
      </c>
      <c r="B20" s="8" t="s">
        <v>58</v>
      </c>
      <c r="C20" s="9"/>
    </row>
    <row r="21" spans="1:5">
      <c r="A21" s="526" t="s">
        <v>59</v>
      </c>
      <c r="B21" s="8" t="s">
        <v>60</v>
      </c>
      <c r="C21" s="9"/>
    </row>
    <row r="22" spans="1:5">
      <c r="A22" s="526"/>
      <c r="B22" s="30"/>
      <c r="C22" s="9"/>
    </row>
    <row r="23" spans="1:5">
      <c r="A23" s="526"/>
      <c r="B23" s="8"/>
      <c r="C23" s="9"/>
    </row>
    <row r="24" spans="1:5">
      <c r="A24" s="526"/>
    </row>
    <row r="25" spans="1:5">
      <c r="A25" s="526"/>
      <c r="B25" s="12"/>
      <c r="C25" s="75"/>
    </row>
    <row r="26" spans="1:5" ht="22.5" customHeight="1">
      <c r="B26" s="525" t="s">
        <v>61</v>
      </c>
      <c r="C26" s="525"/>
      <c r="D26" s="7" t="s">
        <v>27</v>
      </c>
    </row>
    <row r="27" spans="1:5" ht="31.5">
      <c r="B27" s="140" t="s">
        <v>62</v>
      </c>
      <c r="C27" s="140" t="s">
        <v>30</v>
      </c>
      <c r="D27" s="141" t="s">
        <v>31</v>
      </c>
      <c r="E27" s="140" t="s">
        <v>32</v>
      </c>
    </row>
    <row r="28" spans="1:5">
      <c r="B28" s="128" t="s">
        <v>63</v>
      </c>
      <c r="C28" s="129">
        <v>1</v>
      </c>
      <c r="D28" s="131">
        <v>1</v>
      </c>
      <c r="E28" s="131"/>
    </row>
    <row r="29" spans="1:5">
      <c r="B29" s="146" t="s">
        <v>64</v>
      </c>
      <c r="C29" s="8">
        <v>5</v>
      </c>
      <c r="D29" s="8">
        <v>5</v>
      </c>
      <c r="E29" s="9"/>
    </row>
    <row r="30" spans="1:5">
      <c r="B30" s="12"/>
      <c r="C30" s="75"/>
    </row>
    <row r="31" spans="1:5">
      <c r="B31" s="12"/>
      <c r="C31" s="75"/>
    </row>
    <row r="33" spans="2:5" ht="15.95" customHeight="1">
      <c r="B33" s="523" t="s">
        <v>65</v>
      </c>
      <c r="C33" s="523"/>
      <c r="D33" s="300"/>
    </row>
    <row r="34" spans="2:5" ht="21">
      <c r="B34" s="140" t="s">
        <v>66</v>
      </c>
      <c r="C34" s="140" t="s">
        <v>30</v>
      </c>
      <c r="D34" s="141" t="s">
        <v>31</v>
      </c>
    </row>
    <row r="35" spans="2:5">
      <c r="B35" s="128" t="s">
        <v>67</v>
      </c>
      <c r="C35" s="301">
        <v>0.5</v>
      </c>
      <c r="D35" s="302">
        <v>0.5</v>
      </c>
      <c r="E35" s="7" t="s">
        <v>68</v>
      </c>
    </row>
    <row r="36" spans="2:5">
      <c r="B36" s="146" t="s">
        <v>69</v>
      </c>
      <c r="C36" s="139">
        <v>1</v>
      </c>
      <c r="D36" s="139">
        <v>1</v>
      </c>
    </row>
  </sheetData>
  <mergeCells count="7">
    <mergeCell ref="B33:C33"/>
    <mergeCell ref="C1:F1"/>
    <mergeCell ref="C3:F3"/>
    <mergeCell ref="B26:C26"/>
    <mergeCell ref="A21:A25"/>
    <mergeCell ref="B18:C18"/>
    <mergeCell ref="B6:C6"/>
  </mergeCells>
  <phoneticPr fontId="9" type="noConversion"/>
  <pageMargins left="0.7" right="0.7" top="0.75" bottom="0.75" header="0.3" footer="0.3"/>
  <pageSetup paperSize="9" orientation="portrait" verticalDpi="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4F8E-0A12-4819-BF65-CAF0B4C5F910}">
  <dimension ref="A3:F6"/>
  <sheetViews>
    <sheetView workbookViewId="0">
      <selection activeCell="C7" sqref="C7"/>
    </sheetView>
  </sheetViews>
  <sheetFormatPr defaultRowHeight="14.45"/>
  <cols>
    <col min="1" max="1" width="13.42578125" bestFit="1" customWidth="1"/>
    <col min="2" max="2" width="14.7109375" bestFit="1" customWidth="1"/>
    <col min="3" max="4" width="11.85546875" bestFit="1" customWidth="1"/>
    <col min="5" max="5" width="11.7109375" bestFit="1" customWidth="1"/>
    <col min="6" max="6" width="11.85546875" bestFit="1" customWidth="1"/>
  </cols>
  <sheetData>
    <row r="3" spans="1:6">
      <c r="B3" s="518" t="s">
        <v>70</v>
      </c>
    </row>
    <row r="4" spans="1:6">
      <c r="A4" s="518" t="s">
        <v>71</v>
      </c>
      <c r="B4" s="119">
        <v>2</v>
      </c>
      <c r="C4" s="119">
        <v>3</v>
      </c>
      <c r="D4" s="119">
        <v>4</v>
      </c>
      <c r="E4" s="119">
        <v>5</v>
      </c>
      <c r="F4" s="119" t="s">
        <v>72</v>
      </c>
    </row>
    <row r="5" spans="1:6">
      <c r="A5" s="519" t="s">
        <v>73</v>
      </c>
      <c r="B5" s="108">
        <v>0</v>
      </c>
      <c r="C5" s="108">
        <v>4317003.24082187</v>
      </c>
      <c r="D5" s="108">
        <v>1667780.9740386773</v>
      </c>
      <c r="E5" s="108">
        <v>429408.89144608658</v>
      </c>
      <c r="F5" s="108">
        <v>6414193.106306633</v>
      </c>
    </row>
    <row r="6" spans="1:6">
      <c r="A6" s="519" t="s">
        <v>74</v>
      </c>
      <c r="B6" s="108">
        <v>15</v>
      </c>
      <c r="C6" s="108">
        <v>106</v>
      </c>
      <c r="D6" s="108">
        <v>18</v>
      </c>
      <c r="E6" s="108">
        <v>2</v>
      </c>
      <c r="F6" s="108">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E69F-9856-4D47-A31A-7469FA8D9F17}">
  <sheetPr codeName="Sheet6">
    <tabColor theme="7" tint="0.59999389629810485"/>
  </sheetPr>
  <dimension ref="A1:CG147"/>
  <sheetViews>
    <sheetView showGridLines="0" topLeftCell="BG1" zoomScale="120" zoomScaleNormal="120" workbookViewId="0">
      <pane ySplit="3" topLeftCell="A4" activePane="bottomLeft" state="frozen"/>
      <selection pane="bottomLeft" activeCell="BJ153" sqref="BJ153"/>
      <selection activeCell="R19" sqref="R19"/>
    </sheetView>
  </sheetViews>
  <sheetFormatPr defaultColWidth="8.5703125" defaultRowHeight="14.45"/>
  <cols>
    <col min="1" max="1" width="24.140625" style="67" hidden="1" customWidth="1"/>
    <col min="2" max="2" width="10.140625" style="105" customWidth="1"/>
    <col min="3" max="3" width="19.5703125" style="105" hidden="1" customWidth="1"/>
    <col min="4" max="4" width="24.140625" style="105" customWidth="1"/>
    <col min="5" max="5" width="14" style="105" hidden="1" customWidth="1"/>
    <col min="6" max="6" width="14.5703125" style="14" hidden="1" customWidth="1"/>
    <col min="7" max="8" width="18.140625" style="14" hidden="1" customWidth="1"/>
    <col min="9" max="9" width="12.5703125" style="15" customWidth="1"/>
    <col min="10" max="10" width="16" style="15" customWidth="1"/>
    <col min="11" max="11" width="10.5703125" style="22" customWidth="1"/>
    <col min="12" max="12" width="11.5703125" style="15" customWidth="1"/>
    <col min="13" max="13" width="10.7109375" style="15" customWidth="1"/>
    <col min="14" max="14" width="10.5703125" style="15" customWidth="1"/>
    <col min="15" max="15" width="9.42578125" style="15" customWidth="1"/>
    <col min="16" max="16" width="10.140625" style="15" customWidth="1"/>
    <col min="17" max="17" width="9.28515625" style="15" customWidth="1"/>
    <col min="18" max="18" width="9.42578125" style="15" customWidth="1"/>
    <col min="19" max="22" width="13.140625" style="15" hidden="1" customWidth="1"/>
    <col min="23" max="27" width="9.85546875" style="15" customWidth="1"/>
    <col min="28" max="29" width="9.85546875" customWidth="1"/>
    <col min="30" max="30" width="8.85546875" customWidth="1"/>
    <col min="31" max="31" width="14.5703125" hidden="1" customWidth="1"/>
    <col min="32" max="33" width="13.42578125" style="15" hidden="1" customWidth="1"/>
    <col min="34" max="34" width="13.28515625" style="15" hidden="1" customWidth="1"/>
    <col min="35" max="35" width="13.42578125" style="15" customWidth="1"/>
    <col min="36" max="36" width="12.5703125" style="15" customWidth="1"/>
    <col min="37" max="37" width="9.85546875" style="15" customWidth="1"/>
    <col min="38" max="38" width="18" style="13" customWidth="1"/>
    <col min="39" max="39" width="16.140625" style="15" customWidth="1"/>
    <col min="40" max="40" width="15.85546875" customWidth="1"/>
    <col min="41" max="41" width="9.7109375" style="22" customWidth="1"/>
    <col min="42" max="42" width="12.28515625" style="13" customWidth="1"/>
    <col min="43" max="43" width="10.42578125" style="19" customWidth="1"/>
    <col min="44" max="44" width="17" style="13" customWidth="1"/>
    <col min="45" max="45" width="16" style="13" customWidth="1"/>
    <col min="46" max="46" width="18.85546875" customWidth="1"/>
    <col min="47" max="47" width="12.85546875" style="32" customWidth="1"/>
    <col min="48" max="48" width="13.7109375" style="13" customWidth="1"/>
    <col min="49" max="49" width="13.7109375" style="2" customWidth="1"/>
    <col min="50" max="50" width="13.7109375" style="13" customWidth="1"/>
    <col min="51" max="51" width="14.42578125" customWidth="1"/>
    <col min="52" max="52" width="23.7109375" customWidth="1"/>
    <col min="53" max="53" width="16.140625" customWidth="1"/>
    <col min="54" max="54" width="23.7109375" style="22" customWidth="1"/>
    <col min="55" max="55" width="14.85546875" style="22" customWidth="1"/>
    <col min="56" max="56" width="23.7109375" customWidth="1"/>
    <col min="57" max="57" width="9.42578125" style="119" customWidth="1"/>
    <col min="58" max="58" width="9.85546875" style="22" customWidth="1"/>
    <col min="59" max="59" width="11.28515625" customWidth="1"/>
    <col min="60" max="60" width="13" customWidth="1"/>
    <col min="61" max="61" width="9.5703125" style="22" customWidth="1"/>
    <col min="62" max="62" width="10.5703125" style="13" customWidth="1"/>
    <col min="63" max="63" width="16.42578125" style="15" customWidth="1"/>
    <col min="64" max="64" width="28.28515625" customWidth="1"/>
    <col min="65" max="65" width="21.7109375" bestFit="1" customWidth="1"/>
    <col min="66" max="66" width="23.42578125" style="22" customWidth="1"/>
    <col min="67" max="69" width="25.140625" style="13" customWidth="1"/>
    <col min="70" max="70" width="27.5703125" style="13" customWidth="1"/>
    <col min="71" max="71" width="25.42578125" customWidth="1"/>
    <col min="72" max="72" width="24.28515625" customWidth="1"/>
    <col min="73" max="73" width="25.7109375" style="85" customWidth="1"/>
    <col min="74" max="75" width="25.7109375" style="13" customWidth="1"/>
    <col min="76" max="76" width="38.5703125" style="13" customWidth="1"/>
    <col min="77" max="77" width="57.28515625" style="13" customWidth="1"/>
    <col min="78" max="78" width="25.42578125" style="13" customWidth="1"/>
    <col min="79" max="79" width="27.28515625" customWidth="1"/>
    <col min="80" max="80" width="22.140625" customWidth="1"/>
    <col min="81" max="81" width="16" style="13" customWidth="1"/>
    <col min="82" max="82" width="11.140625" customWidth="1"/>
    <col min="83" max="83" width="12.5703125" style="16" customWidth="1"/>
    <col min="84" max="84" width="20" style="15" bestFit="1" customWidth="1"/>
    <col min="85" max="85" width="46.140625" style="13" customWidth="1"/>
  </cols>
  <sheetData>
    <row r="1" spans="1:85" ht="15.6" thickBot="1">
      <c r="A1" s="65"/>
      <c r="B1" s="101"/>
      <c r="C1" s="101"/>
      <c r="D1" s="101"/>
      <c r="E1" s="101"/>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1"/>
      <c r="AI1" s="17"/>
      <c r="AJ1" s="17"/>
      <c r="AK1" s="17"/>
      <c r="AL1" s="138" t="str">
        <f>_xlfn.CONCAT(COUNTIF(tblPiNAnalysis[Number of missing / zero PiNs greater than threshold - Data quality],"Flagged"), "/", COUNTA(tblPiNAnalysis[Number of missing / zero PiNs greater than threshold - Data quality]), " (", ROUND((COUNTIF(tblPiNAnalysis[Number of missing / zero PiNs greater than threshold - Data quality],"Flagged")/(COUNTA(tblPiNAnalysis[Number of missing / zero PiNs greater than threshold - Data quality]) + COUNTBLANK(tblPiNAnalysis[Number of missing / zero PiNs greater than threshold - Data quality])))*100, 0), "%) flagged")</f>
        <v>3/141 (1%) flagged</v>
      </c>
      <c r="AM1" s="138" t="str">
        <f>_xlfn.CONCAT(COUNTIF(tblPiNAnalysis[Highest PiN greater than 90% of total affected population],"Flagged"), "/", COUNTA(tblPiNAnalysis[Admin 1]), " (", ROUND((COUNTIF(tblPiNAnalysis[Highest PiN greater than 90% of total affected population],"Flagged")/(COUNTA(tblPiNAnalysis[Highest PiN greater than 90% of total affected population]) + COUNTBLANK(tblPiNAnalysis[Highest PiN greater than 90% of total affected population])))*100, 0), "%) flagged")</f>
        <v>13/141 (5%) flagged</v>
      </c>
      <c r="AN1" s="130" t="str">
        <f>_xlfn.CONCAT(COUNTIF(tblPiNAnalysis[Highest sector targets sub-population group(s)],"Flagged"), "/", COUNTA(tblPiNAnalysis[Admin 1]), " (", ROUND((COUNTIF(tblPiNAnalysis[Highest sector targets sub-population group(s)],"Flagged")/(COUNTA(tblPiNAnalysis[Highest sector targets sub-population group(s)]) + COUNTBLANK(tblPiNAnalysis[Highest sector targets sub-population group(s)])))*100, 0), "%) flagged")</f>
        <v>0/141 (0%) flagged</v>
      </c>
      <c r="AO1" s="21"/>
      <c r="AP1" s="17"/>
      <c r="AQ1" s="73"/>
      <c r="AR1" s="23"/>
      <c r="AS1" s="17"/>
      <c r="AT1" s="130" t="str">
        <f>_xlfn.CONCAT(COUNTIF(tblPiNAnalysis[% difference is over a specified threshold between Highest and 2nd Highest],"Flagged"), "/", COUNTA(tblPiNAnalysis[Admin 1]), " (", ROUND((COUNTIF(tblPiNAnalysis[% difference is over a specified threshold between Highest and 2nd Highest],"Flagged")/(COUNTA(tblPiNAnalysis[% difference is over a specified threshold between Highest and 2nd Highest]) + COUNTBLANK(tblPiNAnalysis[% difference is over a specified threshold between Highest and 2nd Highest])))*100, 0), "%) flagged")</f>
        <v>48/141 (21%) flagged</v>
      </c>
      <c r="AU1" s="21"/>
      <c r="AV1" s="17"/>
      <c r="AW1" s="17"/>
      <c r="AX1" s="21"/>
      <c r="AY1" s="17"/>
      <c r="AZ1" s="130" t="str">
        <f>_xlfn.CONCAT(COUNTIF(tblPiNAnalysis[% difference is over a specified threshold between Highest and 3rd Highest],"Flagged"), "/", COUNTA(tblPiNAnalysis[Admin 1]), " (", ROUND((COUNTIF(tblPiNAnalysis[% difference is over a specified threshold between Highest and 3rd Highest],"Flagged")/(COUNTA(tblPiNAnalysis[% difference is over a specified threshold between Highest and 3rd Highest]) + COUNTBLANK(tblPiNAnalysis[% difference is over a specified threshold between Highest and 3rd Highest])))*100, 0), "%) flagged")</f>
        <v>78/141 (38%) flagged</v>
      </c>
      <c r="BA1" s="130"/>
      <c r="BB1" s="130" t="str">
        <f>_xlfn.CONCAT(COUNTIF(tblPiNAnalysis[Change from last year for the highest sector(s) has significantly increased or decreased],"Flagged"), "/", COUNTA(tblPiNAnalysis[Admin 1]), " (", ROUND((COUNTIF(tblPiNAnalysis[Change from last year for the highest sector(s) has significantly increased or decreased],"Flagged")/(COUNTA(tblPiNAnalysis[Change from last year for the highest sector(s) has significantly increased or decreased]) + COUNTBLANK(tblPiNAnalysis[Change from last year for the highest sector(s) has significantly increased or decreased])))*100, 0), "%) flagged")</f>
        <v>31/141 (12%) flagged</v>
      </c>
      <c r="BC1" s="130"/>
      <c r="BD1" s="130" t="str">
        <f>_xlfn.CONCAT(COUNTIF(tblPiNAnalysis[Change from last year for the 2nd highest sector(s) has significantly increased or decreased],"Flagged"), "/", COUNTA(tblPiNAnalysis[Admin 1]), " (", ROUND((COUNTIF(tblPiNAnalysis[Change from last year for the 2nd highest sector(s) has significantly increased or decreased],"Flagged")/(COUNTA(tblPiNAnalysis[Change from last year for the 2nd highest sector(s) has significantly increased or decreased]) + COUNTBLANK(tblPiNAnalysis[Change from last year for the 2nd highest sector(s) has significantly increased or decreased])))*100, 0), "%) flagged")</f>
        <v>19/141 (7%) flagged</v>
      </c>
      <c r="BE1" s="369"/>
      <c r="BF1" s="173"/>
      <c r="BG1" s="130" t="str">
        <f>_xlfn.CONCAT(COUNTIF(tblPiNAnalysis[Manual Flag],"Flagged"), "/", COUNTA(tblPiNAnalysis[Admin 1]), " (", ROUND((COUNTIF(tblPiNAnalysis[Manual Flag],"Flagged")/(COUNTA(tblPiNAnalysis[Manual Flag]) + COUNTBLANK(tblPiNAnalysis[Manual Flag])))*100, 0), "%) flagged")</f>
        <v>0/141 (0%) flagged</v>
      </c>
      <c r="BH1" s="174"/>
      <c r="BI1" s="531" t="str">
        <f>_xlfn.CONCAT(COUNTIF(tblPiNAnalysis[Flagged],"Flagged"), "/", COUNTA(tblPiNAnalysis[Admin 1]), " (", ROUND((COUNTIF(tblPiNAnalysis[Flagged],"Flagged")/(COUNTA(tblPiNAnalysis[Flagged]) + COUNTBLANK(tblPiNAnalysis[Flagged])))*100, 0), "%) flagged")</f>
        <v>104/141 (58%) flagged</v>
      </c>
      <c r="BJ1" s="532"/>
      <c r="BK1" s="278">
        <f>SUM(tblPiNAnalysis[Final PiN])</f>
        <v>6414193.106306633</v>
      </c>
      <c r="BL1" s="278"/>
      <c r="BM1" s="381"/>
      <c r="BN1" s="379">
        <f>SUM(tblPiNAnalysis[Preliminary TARGET
100% Sev 4&amp;5 + 50% Sev 3])</f>
        <v>4255691.4858956989</v>
      </c>
      <c r="BO1"/>
      <c r="BP1"/>
      <c r="BQ1"/>
      <c r="BR1"/>
      <c r="BU1"/>
      <c r="BV1"/>
      <c r="BW1"/>
      <c r="BX1"/>
      <c r="BY1"/>
      <c r="BZ1"/>
      <c r="CC1"/>
      <c r="CE1"/>
      <c r="CF1"/>
      <c r="CG1"/>
    </row>
    <row r="2" spans="1:85" ht="18.399999999999999" thickTop="1" thickBot="1">
      <c r="A2" s="127"/>
      <c r="B2" s="533" t="s">
        <v>75</v>
      </c>
      <c r="C2" s="533"/>
      <c r="D2" s="533"/>
      <c r="E2" s="533"/>
      <c r="F2" s="533"/>
      <c r="G2" s="533"/>
      <c r="H2" s="297"/>
      <c r="I2" s="534" t="s">
        <v>76</v>
      </c>
      <c r="J2" s="535"/>
      <c r="K2" s="538" t="s">
        <v>77</v>
      </c>
      <c r="L2" s="538"/>
      <c r="M2" s="538"/>
      <c r="N2" s="538"/>
      <c r="O2" s="538"/>
      <c r="P2" s="538"/>
      <c r="Q2" s="538"/>
      <c r="R2" s="538"/>
      <c r="S2" s="547" t="s">
        <v>78</v>
      </c>
      <c r="T2" s="547"/>
      <c r="U2" s="547"/>
      <c r="V2" s="548"/>
      <c r="W2" s="549" t="s">
        <v>79</v>
      </c>
      <c r="X2" s="550"/>
      <c r="Y2" s="550"/>
      <c r="Z2" s="550"/>
      <c r="AA2" s="550"/>
      <c r="AB2" s="550"/>
      <c r="AC2" s="550"/>
      <c r="AD2" s="551"/>
      <c r="AE2" s="550" t="s">
        <v>80</v>
      </c>
      <c r="AF2" s="550"/>
      <c r="AG2" s="550"/>
      <c r="AH2" s="551"/>
      <c r="AI2" s="544" t="s">
        <v>81</v>
      </c>
      <c r="AJ2" s="545"/>
      <c r="AK2" s="545"/>
      <c r="AL2" s="545"/>
      <c r="AM2" s="545"/>
      <c r="AN2" s="546"/>
      <c r="AO2" s="539" t="s">
        <v>82</v>
      </c>
      <c r="AP2" s="539"/>
      <c r="AQ2" s="539"/>
      <c r="AR2" s="541" t="s">
        <v>83</v>
      </c>
      <c r="AS2" s="541"/>
      <c r="AT2" s="541"/>
      <c r="AU2" s="539" t="s">
        <v>84</v>
      </c>
      <c r="AV2" s="539"/>
      <c r="AW2" s="539"/>
      <c r="AX2" s="541" t="s">
        <v>85</v>
      </c>
      <c r="AY2" s="541"/>
      <c r="AZ2" s="541"/>
      <c r="BA2" s="528" t="s">
        <v>86</v>
      </c>
      <c r="BB2" s="529"/>
      <c r="BC2" s="529"/>
      <c r="BD2" s="530"/>
      <c r="BE2" s="552"/>
      <c r="BF2" s="553"/>
      <c r="BG2" s="540" t="s">
        <v>49</v>
      </c>
      <c r="BH2" s="540"/>
      <c r="BI2" s="542" t="s">
        <v>87</v>
      </c>
      <c r="BJ2" s="543"/>
      <c r="BK2" s="536"/>
      <c r="BL2" s="537"/>
      <c r="BM2" s="382"/>
      <c r="BN2"/>
      <c r="BO2"/>
      <c r="BP2"/>
      <c r="BQ2"/>
      <c r="BR2"/>
      <c r="BU2"/>
      <c r="BV2"/>
      <c r="BW2"/>
      <c r="BX2"/>
      <c r="BY2"/>
      <c r="BZ2"/>
      <c r="CC2"/>
      <c r="CE2"/>
      <c r="CF2"/>
      <c r="CG2"/>
    </row>
    <row r="3" spans="1:85" ht="62.1" thickTop="1" thickBot="1">
      <c r="A3" s="142" t="s">
        <v>88</v>
      </c>
      <c r="B3" s="125" t="s">
        <v>89</v>
      </c>
      <c r="C3" s="102" t="s">
        <v>90</v>
      </c>
      <c r="D3" s="102" t="s">
        <v>91</v>
      </c>
      <c r="E3" s="102" t="s">
        <v>92</v>
      </c>
      <c r="F3" s="47" t="s">
        <v>93</v>
      </c>
      <c r="G3" s="47" t="s">
        <v>94</v>
      </c>
      <c r="H3" s="48" t="s">
        <v>95</v>
      </c>
      <c r="I3" s="359" t="s">
        <v>96</v>
      </c>
      <c r="J3" s="48" t="s">
        <v>97</v>
      </c>
      <c r="K3" s="72" t="s">
        <v>98</v>
      </c>
      <c r="L3" s="72" t="s">
        <v>58</v>
      </c>
      <c r="M3" s="80" t="s">
        <v>60</v>
      </c>
      <c r="N3" s="80" t="s">
        <v>99</v>
      </c>
      <c r="O3" s="80" t="s">
        <v>100</v>
      </c>
      <c r="P3" s="80" t="s">
        <v>101</v>
      </c>
      <c r="Q3" s="80" t="s">
        <v>102</v>
      </c>
      <c r="R3" s="80" t="s">
        <v>103</v>
      </c>
      <c r="S3" s="144" t="s">
        <v>104</v>
      </c>
      <c r="T3" s="144" t="s">
        <v>105</v>
      </c>
      <c r="U3" s="144" t="s">
        <v>106</v>
      </c>
      <c r="V3" s="169" t="s">
        <v>107</v>
      </c>
      <c r="W3" s="170" t="s">
        <v>108</v>
      </c>
      <c r="X3" s="171" t="s">
        <v>109</v>
      </c>
      <c r="Y3" s="171" t="s">
        <v>110</v>
      </c>
      <c r="Z3" s="63" t="s">
        <v>111</v>
      </c>
      <c r="AA3" s="63" t="s">
        <v>112</v>
      </c>
      <c r="AB3" s="63" t="s">
        <v>113</v>
      </c>
      <c r="AC3" s="63" t="s">
        <v>114</v>
      </c>
      <c r="AD3" s="64" t="s">
        <v>115</v>
      </c>
      <c r="AE3" s="144" t="s">
        <v>116</v>
      </c>
      <c r="AF3" s="144" t="s">
        <v>117</v>
      </c>
      <c r="AG3" s="144" t="s">
        <v>118</v>
      </c>
      <c r="AH3" s="145" t="s">
        <v>119</v>
      </c>
      <c r="AI3" s="51" t="s">
        <v>120</v>
      </c>
      <c r="AJ3" s="52" t="s">
        <v>121</v>
      </c>
      <c r="AK3" s="52" t="s">
        <v>122</v>
      </c>
      <c r="AL3" s="53" t="s">
        <v>123</v>
      </c>
      <c r="AM3" s="53" t="s">
        <v>124</v>
      </c>
      <c r="AN3" s="53" t="s">
        <v>125</v>
      </c>
      <c r="AO3" s="172" t="s">
        <v>126</v>
      </c>
      <c r="AP3" s="55" t="s">
        <v>127</v>
      </c>
      <c r="AQ3" s="216" t="s">
        <v>128</v>
      </c>
      <c r="AR3" s="56" t="s">
        <v>129</v>
      </c>
      <c r="AS3" s="57" t="s">
        <v>130</v>
      </c>
      <c r="AT3" s="58" t="s">
        <v>131</v>
      </c>
      <c r="AU3" s="107" t="s">
        <v>132</v>
      </c>
      <c r="AV3" s="106" t="s">
        <v>133</v>
      </c>
      <c r="AW3" s="106" t="s">
        <v>134</v>
      </c>
      <c r="AX3" s="56" t="s">
        <v>135</v>
      </c>
      <c r="AY3" s="57" t="s">
        <v>136</v>
      </c>
      <c r="AZ3" s="58" t="s">
        <v>137</v>
      </c>
      <c r="BA3" s="56" t="s">
        <v>138</v>
      </c>
      <c r="BB3" s="163" t="s">
        <v>139</v>
      </c>
      <c r="BC3" s="56" t="s">
        <v>140</v>
      </c>
      <c r="BD3" s="162" t="s">
        <v>141</v>
      </c>
      <c r="BE3" s="370" t="s">
        <v>142</v>
      </c>
      <c r="BF3" s="83" t="s">
        <v>143</v>
      </c>
      <c r="BG3" s="61" t="s">
        <v>49</v>
      </c>
      <c r="BH3" s="54" t="s">
        <v>144</v>
      </c>
      <c r="BI3" s="114" t="s">
        <v>145</v>
      </c>
      <c r="BJ3" s="54" t="s">
        <v>146</v>
      </c>
      <c r="BK3" s="342" t="s">
        <v>147</v>
      </c>
      <c r="BL3" s="279" t="s">
        <v>148</v>
      </c>
      <c r="BM3" s="385" t="s">
        <v>149</v>
      </c>
      <c r="BN3" s="380" t="s">
        <v>150</v>
      </c>
      <c r="BO3" s="380" t="s">
        <v>151</v>
      </c>
      <c r="BP3"/>
      <c r="BQ3"/>
      <c r="BR3"/>
      <c r="BU3"/>
      <c r="BV3"/>
      <c r="BW3"/>
      <c r="BX3"/>
      <c r="BY3"/>
      <c r="BZ3"/>
      <c r="CC3"/>
      <c r="CE3"/>
      <c r="CF3"/>
      <c r="CG3"/>
    </row>
    <row r="4" spans="1:85" s="240" customFormat="1" ht="14.65" thickTop="1">
      <c r="A4" s="227"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Global_PopulationHT0111</v>
      </c>
      <c r="B4" s="255" t="s">
        <v>152</v>
      </c>
      <c r="C4" s="213" t="s">
        <v>153</v>
      </c>
      <c r="D4" s="256" t="s">
        <v>154</v>
      </c>
      <c r="E4" s="256" t="s">
        <v>155</v>
      </c>
      <c r="F4" s="99"/>
      <c r="G4" s="34"/>
      <c r="H4" s="356"/>
      <c r="I4" s="354">
        <v>926906</v>
      </c>
      <c r="J4" s="221" t="s">
        <v>156</v>
      </c>
      <c r="K4" s="257">
        <v>245716.5</v>
      </c>
      <c r="L4" s="214">
        <v>120467</v>
      </c>
      <c r="M4" s="214">
        <v>118634</v>
      </c>
      <c r="N4" s="214">
        <v>353355</v>
      </c>
      <c r="O4" s="214">
        <v>765508.09164724161</v>
      </c>
      <c r="P4" s="214">
        <v>271807.01666666666</v>
      </c>
      <c r="Q4" s="224">
        <v>215855</v>
      </c>
      <c r="R4" s="214">
        <v>231726.5</v>
      </c>
      <c r="S4" s="214"/>
      <c r="T4" s="214"/>
      <c r="U4" s="214"/>
      <c r="V4" s="214"/>
      <c r="W4" s="258">
        <f>IFERROR(IF(tblPiNAnalysis[[#This Row],[CCCM]]="", "", MROUND(tblPiNAnalysis[[#This Row],[CCCM]]/tblPiNAnalysis[[#This Row],[Population]], 0.05)), "")</f>
        <v>0.25</v>
      </c>
      <c r="X4" s="259">
        <f>IFERROR(IF(tblPiNAnalysis[[#This Row],[Education]]="", "", MROUND(tblPiNAnalysis[[#This Row],[Education]]/tblPiNAnalysis[[#This Row],[Population]], 0.05)), "")</f>
        <v>0.15000000000000002</v>
      </c>
      <c r="Y4" s="259">
        <f>IFERROR(IF(tblPiNAnalysis[[#This Row],[Nutrition]]="", "", MROUND(tblPiNAnalysis[[#This Row],[Nutrition]]/tblPiNAnalysis[[#This Row],[Population]], 0.05)), "")</f>
        <v>0.15000000000000002</v>
      </c>
      <c r="Z4" s="259">
        <f>IFERROR(IF(tblPiNAnalysis[[#This Row],[Food Security]]="", "", MROUND(tblPiNAnalysis[[#This Row],[Food Security]]/tblPiNAnalysis[[#This Row],[Population]], 0.05)), "")</f>
        <v>0.4</v>
      </c>
      <c r="AA4" s="259">
        <f>IFERROR(IF(tblPiNAnalysis[[#This Row],[Health]]="", "", MROUND(tblPiNAnalysis[[#This Row],[Health]]/tblPiNAnalysis[[#This Row],[Population]], 0.05)), "")</f>
        <v>0.85000000000000009</v>
      </c>
      <c r="AB4" s="260">
        <f>IFERROR(IF(tblPiNAnalysis[[#This Row],[Protection]]="", "", MROUND(tblPiNAnalysis[[#This Row],[Protection]]/tblPiNAnalysis[[#This Row],[Population]], 0.05)), "")</f>
        <v>0.30000000000000004</v>
      </c>
      <c r="AC4" s="260">
        <f>IFERROR(IF(tblPiNAnalysis[[#This Row],[Shelter]]="", "", MROUND(tblPiNAnalysis[[#This Row],[Shelter]]/tblPiNAnalysis[[#This Row],[Population]], 0.05)), "")</f>
        <v>0.25</v>
      </c>
      <c r="AD4" s="261">
        <f>IFERROR(IF(tblPiNAnalysis[[#This Row],[WASH]]="", "", MROUND(tblPiNAnalysis[[#This Row],[WASH]]/tblPiNAnalysis[[#This Row],[Population]], 0.05)), "")</f>
        <v>0.25</v>
      </c>
      <c r="AE4" s="259">
        <f>IFERROR(MROUND(tblPiNAnalysis[[#This Row],[CP]]/tblPiNAnalysis[[#This Row],[Population]], 0.05), "")</f>
        <v>0</v>
      </c>
      <c r="AF4" s="259">
        <f>IFERROR(MROUND(tblPiNAnalysis[[#This Row],[GBV]]/tblPiNAnalysis[[#This Row],[Population]], 0.05), "")</f>
        <v>0</v>
      </c>
      <c r="AG4" s="259">
        <f>IFERROR(MROUND(tblPiNAnalysis[[#This Row],[Migrants]]/tblPiNAnalysis[[#This Row],[Population]], 0.05), "")</f>
        <v>0</v>
      </c>
      <c r="AH4" s="259">
        <f>IFERROR(MROUND(tblPiNAnalysis[[#This Row],[_]]/tblPiNAnalysis[[#This Row],[Population]], 0.05), "")</f>
        <v>0</v>
      </c>
      <c r="AI4" s="262">
        <f>IFERROR(LARGE(tblPiNAnalysis[[#This Row],[CCCM]:[WASH]], 1), "")</f>
        <v>765508.09164724161</v>
      </c>
      <c r="AJ4" s="263" t="str" cm="1">
        <f t="array" ref="AJ4">IF(tblPiNAnalysis[[#This Row],[Highest PiN]]="", "", _xlfn.TEXTJOIN(CHAR(10), TRUE, IF(tblPiNAnalysis[[#This Row],[Highest PiN]]=tblPiNAnalysis[[#This Row],[CCCM]:[WASH]], tblPiNAnalysis[[#Headers],[CCCM]:[WASH]], "")))</f>
        <v>Health</v>
      </c>
      <c r="AK4" s="264">
        <f>IF(tblPiNAnalysis[[#This Row],[Highest PiN]]="", "", tblPiNAnalysis[[#This Row],[Highest PiN]]/tblPiNAnalysis[[#This Row],[Population]])</f>
        <v>0.8258745672670601</v>
      </c>
      <c r="AL4" s="265" t="str">
        <f>IF(SUM(tblPiNAnalysis[[#This Row],[CCCM]:[WASH]])=0, "",IF(COUNTIF(tblPiNAnalysis[[#This Row],[CCCM]:[WASH]],"=0")+COUNTIF(tblPiNAnalysis[[#This Row],[CCCM]:[WASH]],"")&gt;=zero_pin_thresh, "Flagged", ""))</f>
        <v/>
      </c>
      <c r="AM4" s="264" t="str">
        <f>IFERROR(IF(tblPiNAnalysis[[#This Row],[Highest PiN]]="", "", IF(tblPiNAnalysis[[#This Row],[Highest sector(s'') PiN %]]&gt;=flag_pin_perc, "Flagged", "")), "")</f>
        <v/>
      </c>
      <c r="AN4" s="266" t="str" cm="1">
        <f t="array" ref="AN4">IF(tblPiNAnalysis[[#This Row],[Highest PiN]]=0, "",  IF(OR(COUNTIF(tblPiNAnalysis[[#This Row],[Highest sector(s)]],tblSubSectorPopulation[Sector])), "Flagged", ""))</f>
        <v/>
      </c>
      <c r="AO4" s="267" cm="1">
        <f t="array" ref="AO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353355</v>
      </c>
      <c r="AP4" s="268" t="str" cm="1">
        <f t="array" ref="AP4">IF(tblPiNAnalysis[[#This Row],[2nd Highest PiN]]="", "", _xlfn.TEXTJOIN(CHAR(10), TRUE, IF(tblPiNAnalysis[[#This Row],[2nd Highest PiN]]=tblPiNAnalysis[[#This Row],[CCCM]:[WASH]], tblPiNAnalysis[[#Headers],[CCCM]:[WASH]], "")))</f>
        <v>Food Security</v>
      </c>
      <c r="AQ4" s="37">
        <f>IFERROR(tblPiNAnalysis[[#This Row],[2nd Highest PiN]]/tblPiNAnalysis[[#This Row],[Population]], "")</f>
        <v>0.38121988637467014</v>
      </c>
      <c r="AR4" s="45">
        <f>IFERROR(tblPiNAnalysis[[#This Row],[Highest PiN]]-tblPiNAnalysis[[#This Row],[2nd Highest PiN]], "")</f>
        <v>412153.09164724161</v>
      </c>
      <c r="AS4" s="38">
        <f>IFERROR(((tblPiNAnalysis[[#This Row],[Highest PiN]]-tblPiNAnalysis[[#This Row],[2nd Highest PiN]])/tblPiNAnalysis[[#This Row],[2nd Highest PiN]]),"")</f>
        <v>1.1663994895989631</v>
      </c>
      <c r="AT4" s="269" t="str" cm="1">
        <f t="array" ref="AT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 s="270" cm="1">
        <f t="array" ref="AU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271807.01666666666</v>
      </c>
      <c r="AV4" s="271" t="str" cm="1">
        <f t="array" ref="AV4">IF(tblPiNAnalysis[[#This Row],[3rd Highest PiN]]="", "", _xlfn.TEXTJOIN(CHAR(10), TRUE, IF(tblPiNAnalysis[[#This Row],[3rd Highest PiN]]=tblPiNAnalysis[[#This Row],[CCCM]:[WASH]], tblPiNAnalysis[[#Headers],[CCCM]:[WASH]], "")))</f>
        <v>Protection</v>
      </c>
      <c r="AW4" s="186">
        <f>IFERROR(tblPiNAnalysis[[#This Row],[3rd Highest PiN]]/tblPiNAnalysis[[#This Row],[Population]], "")</f>
        <v>0.29324118806725458</v>
      </c>
      <c r="AX4" s="45">
        <f>IFERROR(tblPiNAnalysis[[#This Row],[Highest PiN]]-tblPiNAnalysis[[#This Row],[3rd Highest PiN]],"")</f>
        <v>493701.07498057495</v>
      </c>
      <c r="AY4" s="38">
        <f>IFERROR(tblPiNAnalysis[[#This Row],[Difference of PiN between Highest and 3rd Highest]]/tblPiNAnalysis[[#This Row],[3rd Highest PiN]], "")</f>
        <v>1.8163661889053819</v>
      </c>
      <c r="AZ4" s="266" t="str" cm="1">
        <f t="array" ref="AZ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 s="292" cm="1">
        <f t="array" ref="BA4">IFERROR(IF(tblPiNAnalysis[[#This Row],[ID]]="", "", INDEX(tblPiNHistorical[[CCCM]:[WASH]], MATCH(tblPiNAnalysis[[#This Row],[ID]],tblPiNHistorical[ID], 0),MATCH(_xlfn._xlws.FILTER(tblPiNAnalysis[[#Headers],[CCCM]:[WASH]], tblPiNAnalysis[[#This Row],[Highest PiN]]=tblPiNAnalysis[[#This Row],[CCCM]:[WASH]]), tblPiNHistorical[[#Headers],[CCCM]:[WASH]], 0))), "")</f>
        <v>1.1000000000000001</v>
      </c>
      <c r="BB4" s="272" t="str" cm="1">
        <f t="array" ref="BB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4" s="272" cm="1">
        <f t="array" ref="BC4">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4" s="273" t="str" cm="1">
        <f t="array" ref="BD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 s="371">
        <f>INDEX(tblSeverityAnalysis[Final Severity], MATCH(tblPiNAnalysis[[#This Row],[ID]],tblSeverityAnalysis[ID], 0))</f>
        <v>5</v>
      </c>
      <c r="BF4" s="215">
        <f>IF(tblPiNAnalysis[[#This Row],[Severity]]&gt;2,tblPiNAnalysis[[#This Row],[Highest PiN]],)</f>
        <v>765508.09164724161</v>
      </c>
      <c r="BG4" s="187"/>
      <c r="BH4" s="188"/>
      <c r="BI4" s="189">
        <f>COUNTIFS(tblPiNAnalysis[[#This Row],[Number of missing / zero PiNs greater than threshold - Data quality]:[Manual Flag]],"Flagged")</f>
        <v>3</v>
      </c>
      <c r="BJ4" s="344" t="str">
        <f>IF(tblPiNAnalysis[[#This Row],['# Flags]]&gt;0, "Flagged", "")</f>
        <v>Flagged</v>
      </c>
      <c r="BK4" s="214">
        <v>353355</v>
      </c>
      <c r="BL4" s="326" t="s">
        <v>157</v>
      </c>
      <c r="BM4" s="383">
        <f>IF(OR(tblPiNAnalysis[[#This Row],[Severity]]=4,tblPiNAnalysis[[#This Row],[Severity]]=5),tblPiNAnalysis[[#This Row],[Final PiN]],0)</f>
        <v>353355</v>
      </c>
      <c r="BN4" s="377">
        <f>IF(OR(tblPiNAnalysis[[#This Row],[Severity]]=4,tblPiNAnalysis[[#This Row],[Severity]]=5),100%, IF(tblPiNAnalysis[[#This Row],[Severity]]=3,50%,0%))*tblPiNAnalysis[[#This Row],[Final PiN]]</f>
        <v>353355</v>
      </c>
      <c r="BO4" s="384">
        <f>IF(OR(tblPiNAnalysis[[#This Row],[Severity]]=4,tblPiNAnalysis[[#This Row],[Severity]]=5),100%, IF(AND(tblPiNAnalysis[[#This Row],[Severity]]=3,VLOOKUP(tblPiNAnalysis[[#This Row],[ID]],tblSeverityAnalysis[[ID]:[Highest Severity]],35,FALSE)&gt;3),50%,0%))*tblPiNAnalysis[[#This Row],[Final PiN]]</f>
        <v>353355</v>
      </c>
      <c r="BP4" s="274"/>
      <c r="BQ4" s="274"/>
      <c r="BR4" s="274"/>
      <c r="BU4" s="275"/>
      <c r="BV4" s="274"/>
      <c r="BW4" s="274"/>
      <c r="BX4" s="274"/>
      <c r="BY4" s="274"/>
      <c r="BZ4" s="274"/>
      <c r="CC4" s="274"/>
      <c r="CE4" s="276"/>
      <c r="CF4" s="277"/>
      <c r="CG4" s="274"/>
    </row>
    <row r="5" spans="1:85" s="240" customFormat="1" hidden="1">
      <c r="A5" s="227"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Global_PopulationHT0112</v>
      </c>
      <c r="B5" s="255" t="s">
        <v>152</v>
      </c>
      <c r="C5" s="213" t="s">
        <v>153</v>
      </c>
      <c r="D5" s="256" t="s">
        <v>158</v>
      </c>
      <c r="E5" s="256" t="s">
        <v>159</v>
      </c>
      <c r="F5" s="99"/>
      <c r="G5" s="34"/>
      <c r="H5" s="357"/>
      <c r="I5" s="354">
        <v>435779</v>
      </c>
      <c r="J5" s="221" t="s">
        <v>156</v>
      </c>
      <c r="K5" s="257">
        <v>115017</v>
      </c>
      <c r="L5" s="214">
        <v>43362</v>
      </c>
      <c r="M5" s="214">
        <v>54404</v>
      </c>
      <c r="N5" s="214">
        <v>85276</v>
      </c>
      <c r="O5" s="214">
        <v>108429.19404600158</v>
      </c>
      <c r="P5" s="214">
        <v>136209.016</v>
      </c>
      <c r="Q5" s="224">
        <v>174122</v>
      </c>
      <c r="R5" s="214">
        <v>76678</v>
      </c>
      <c r="S5" s="214"/>
      <c r="T5" s="214"/>
      <c r="U5" s="214"/>
      <c r="V5" s="214"/>
      <c r="W5" s="258">
        <f>IFERROR(IF(tblPiNAnalysis[[#This Row],[CCCM]]="", "", MROUND(tblPiNAnalysis[[#This Row],[CCCM]]/tblPiNAnalysis[[#This Row],[Population]], 0.05)), "")</f>
        <v>0.25</v>
      </c>
      <c r="X5" s="259">
        <f>IFERROR(IF(tblPiNAnalysis[[#This Row],[Education]]="", "", MROUND(tblPiNAnalysis[[#This Row],[Education]]/tblPiNAnalysis[[#This Row],[Population]], 0.05)), "")</f>
        <v>0.1</v>
      </c>
      <c r="Y5" s="259">
        <f>IFERROR(IF(tblPiNAnalysis[[#This Row],[Nutrition]]="", "", MROUND(tblPiNAnalysis[[#This Row],[Nutrition]]/tblPiNAnalysis[[#This Row],[Population]], 0.05)), "")</f>
        <v>0.1</v>
      </c>
      <c r="Z5" s="259">
        <f>IFERROR(IF(tblPiNAnalysis[[#This Row],[Food Security]]="", "", MROUND(tblPiNAnalysis[[#This Row],[Food Security]]/tblPiNAnalysis[[#This Row],[Population]], 0.05)), "")</f>
        <v>0.2</v>
      </c>
      <c r="AA5" s="259">
        <f>IFERROR(IF(tblPiNAnalysis[[#This Row],[Health]]="", "", MROUND(tblPiNAnalysis[[#This Row],[Health]]/tblPiNAnalysis[[#This Row],[Population]], 0.05)), "")</f>
        <v>0.25</v>
      </c>
      <c r="AB5" s="260">
        <f>IFERROR(IF(tblPiNAnalysis[[#This Row],[Protection]]="", "", MROUND(tblPiNAnalysis[[#This Row],[Protection]]/tblPiNAnalysis[[#This Row],[Population]], 0.05)), "")</f>
        <v>0.30000000000000004</v>
      </c>
      <c r="AC5" s="260">
        <f>IFERROR(IF(tblPiNAnalysis[[#This Row],[Shelter]]="", "", MROUND(tblPiNAnalysis[[#This Row],[Shelter]]/tblPiNAnalysis[[#This Row],[Population]], 0.05)), "")</f>
        <v>0.4</v>
      </c>
      <c r="AD5" s="261">
        <f>IFERROR(IF(tblPiNAnalysis[[#This Row],[WASH]]="", "", MROUND(tblPiNAnalysis[[#This Row],[WASH]]/tblPiNAnalysis[[#This Row],[Population]], 0.05)), "")</f>
        <v>0.2</v>
      </c>
      <c r="AE5" s="259">
        <f>IFERROR(MROUND(tblPiNAnalysis[[#This Row],[CP]]/tblPiNAnalysis[[#This Row],[Population]], 0.05), "")</f>
        <v>0</v>
      </c>
      <c r="AF5" s="259">
        <f>IFERROR(MROUND(tblPiNAnalysis[[#This Row],[GBV]]/tblPiNAnalysis[[#This Row],[Population]], 0.05), "")</f>
        <v>0</v>
      </c>
      <c r="AG5" s="259">
        <f>IFERROR(MROUND(tblPiNAnalysis[[#This Row],[Migrants]]/tblPiNAnalysis[[#This Row],[Population]], 0.05), "")</f>
        <v>0</v>
      </c>
      <c r="AH5" s="259">
        <f>IFERROR(MROUND(tblPiNAnalysis[[#This Row],[_]]/tblPiNAnalysis[[#This Row],[Population]], 0.05), "")</f>
        <v>0</v>
      </c>
      <c r="AI5" s="262">
        <f>IFERROR(LARGE(tblPiNAnalysis[[#This Row],[CCCM]:[WASH]], 1), "")</f>
        <v>174122</v>
      </c>
      <c r="AJ5" s="263" t="str" cm="1">
        <f t="array" ref="AJ5">IF(tblPiNAnalysis[[#This Row],[Highest PiN]]="", "", _xlfn.TEXTJOIN(CHAR(10), TRUE, IF(tblPiNAnalysis[[#This Row],[Highest PiN]]=tblPiNAnalysis[[#This Row],[CCCM]:[WASH]], tblPiNAnalysis[[#Headers],[CCCM]:[WASH]], "")))</f>
        <v>Shelter</v>
      </c>
      <c r="AK5" s="264">
        <f>IF(tblPiNAnalysis[[#This Row],[Highest PiN]]="", "", tblPiNAnalysis[[#This Row],[Highest PiN]]/tblPiNAnalysis[[#This Row],[Population]])</f>
        <v>0.39956491707952885</v>
      </c>
      <c r="AL5" s="265" t="str">
        <f>IF(SUM(tblPiNAnalysis[[#This Row],[CCCM]:[WASH]])=0, "",IF(COUNTIF(tblPiNAnalysis[[#This Row],[CCCM]:[WASH]],"=0")+COUNTIF(tblPiNAnalysis[[#This Row],[CCCM]:[WASH]],"")&gt;=zero_pin_thresh, "Flagged", ""))</f>
        <v/>
      </c>
      <c r="AM5" s="264" t="str">
        <f>IFERROR(IF(tblPiNAnalysis[[#This Row],[Highest PiN]]="", "", IF(tblPiNAnalysis[[#This Row],[Highest sector(s'') PiN %]]&gt;=flag_pin_perc, "Flagged", "")), "")</f>
        <v/>
      </c>
      <c r="AN5" s="266" t="str" cm="1">
        <f t="array" ref="AN5">IF(tblPiNAnalysis[[#This Row],[Highest PiN]]=0, "",  IF(OR(COUNTIF(tblPiNAnalysis[[#This Row],[Highest sector(s)]],tblSubSectorPopulation[Sector])), "Flagged", ""))</f>
        <v/>
      </c>
      <c r="AO5" s="267" cm="1">
        <f t="array" ref="AO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136209.016</v>
      </c>
      <c r="AP5" s="268" t="str" cm="1">
        <f t="array" ref="AP5">IF(tblPiNAnalysis[[#This Row],[2nd Highest PiN]]="", "", _xlfn.TEXTJOIN(CHAR(10), TRUE, IF(tblPiNAnalysis[[#This Row],[2nd Highest PiN]]=tblPiNAnalysis[[#This Row],[CCCM]:[WASH]], tblPiNAnalysis[[#Headers],[CCCM]:[WASH]], "")))</f>
        <v>Protection</v>
      </c>
      <c r="AQ5" s="37">
        <f>IFERROR(tblPiNAnalysis[[#This Row],[2nd Highest PiN]]/tblPiNAnalysis[[#This Row],[Population]], "")</f>
        <v>0.31256443288914793</v>
      </c>
      <c r="AR5" s="45">
        <f>IFERROR(tblPiNAnalysis[[#This Row],[Highest PiN]]-tblPiNAnalysis[[#This Row],[2nd Highest PiN]], "")</f>
        <v>37912.983999999997</v>
      </c>
      <c r="AS5" s="38">
        <f>IFERROR(((tblPiNAnalysis[[#This Row],[Highest PiN]]-tblPiNAnalysis[[#This Row],[2nd Highest PiN]])/tblPiNAnalysis[[#This Row],[2nd Highest PiN]]),"")</f>
        <v>0.27834415895053521</v>
      </c>
      <c r="AT5" s="269" t="str" cm="1">
        <f t="array" ref="AT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 s="270" cm="1">
        <f t="array" ref="AU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115017</v>
      </c>
      <c r="AV5" s="271" t="str" cm="1">
        <f t="array" ref="AV5">IF(tblPiNAnalysis[[#This Row],[3rd Highest PiN]]="", "", _xlfn.TEXTJOIN(CHAR(10), TRUE, IF(tblPiNAnalysis[[#This Row],[3rd Highest PiN]]=tblPiNAnalysis[[#This Row],[CCCM]:[WASH]], tblPiNAnalysis[[#Headers],[CCCM]:[WASH]], "")))</f>
        <v>CCCM</v>
      </c>
      <c r="AW5" s="186">
        <f>IFERROR(tblPiNAnalysis[[#This Row],[3rd Highest PiN]]/tblPiNAnalysis[[#This Row],[Population]], "")</f>
        <v>0.2639342418978427</v>
      </c>
      <c r="AX5" s="44">
        <f>IFERROR(tblPiNAnalysis[[#This Row],[Highest PiN]]-tblPiNAnalysis[[#This Row],[3rd Highest PiN]],"")</f>
        <v>59105</v>
      </c>
      <c r="AY5" s="38">
        <f>IFERROR(tblPiNAnalysis[[#This Row],[Difference of PiN between Highest and 3rd Highest]]/tblPiNAnalysis[[#This Row],[3rd Highest PiN]], "")</f>
        <v>0.51388055678725753</v>
      </c>
      <c r="AZ5" s="266" t="str" cm="1">
        <f t="array" ref="AZ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 s="292" cm="1">
        <f t="array" ref="BA5">IFERROR(IF(tblPiNAnalysis[[#This Row],[ID]]="", "", INDEX(tblPiNHistorical[[CCCM]:[WASH]], MATCH(tblPiNAnalysis[[#This Row],[ID]],tblPiNHistorical[ID], 0),MATCH(_xlfn._xlws.FILTER(tblPiNAnalysis[[#Headers],[CCCM]:[WASH]], tblPiNAnalysis[[#This Row],[Highest PiN]]=tblPiNAnalysis[[#This Row],[CCCM]:[WASH]]), tblPiNHistorical[[#Headers],[CCCM]:[WASH]], 0))), "")</f>
        <v>2.2999999999999998</v>
      </c>
      <c r="BB5" s="272" t="str" cm="1">
        <f t="array" ref="BB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5" s="272" t="str" cm="1">
        <f t="array" ref="BC5">IFERROR(IF(tblPiNAnalysis[[#This Row],[ID]]="", "", INDEX(tblPiNHistorical[[CCCM]:[WASH]], MATCH(tblPiNAnalysis[[#This Row],[ID]],tblPiNHistorical[ID], 0),MATCH(_xlfn._xlws.FILTER(tblPiNAnalysis[[#Headers],[CCCM]:[WASH]], tblPiNAnalysis[[#This Row],[2nd Highest PiN]]=tblPiNAnalysis[[#This Row],[CCCM]:[WASH]]), tblPiNHistorical[[#Headers],[CCCM]:[WASH]], 0))), "")</f>
        <v/>
      </c>
      <c r="BD5" s="273" t="str" cm="1">
        <f t="array" ref="BD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 s="371">
        <f>INDEX(tblSeverityAnalysis[Final Severity], MATCH(tblPiNAnalysis[[#This Row],[ID]],tblSeverityAnalysis[ID], 0))</f>
        <v>4</v>
      </c>
      <c r="BF5" s="60">
        <f>IF(tblPiNAnalysis[[#This Row],[Severity]]&gt;2,tblPiNAnalysis[[#This Row],[Highest PiN]],)</f>
        <v>174122</v>
      </c>
      <c r="BG5" s="187"/>
      <c r="BH5" s="188"/>
      <c r="BI5" s="189">
        <f>COUNTIFS(tblPiNAnalysis[[#This Row],[Number of missing / zero PiNs greater than threshold - Data quality]:[Manual Flag]],"Flagged")</f>
        <v>1</v>
      </c>
      <c r="BJ5" s="345" t="str">
        <f>IF(tblPiNAnalysis[[#This Row],['# Flags]]&gt;0, "Flagged", "")</f>
        <v>Flagged</v>
      </c>
      <c r="BK5" s="343">
        <f>tblPiNAnalysis[[#This Row],[Preliminary PiN]]</f>
        <v>174122</v>
      </c>
      <c r="BL5" s="268"/>
      <c r="BM5" s="384">
        <f>IF(OR(tblPiNAnalysis[[#This Row],[Severity]]=4,tblPiNAnalysis[[#This Row],[Severity]]=5),tblPiNAnalysis[[#This Row],[Final PiN]],0)</f>
        <v>174122</v>
      </c>
      <c r="BN5" s="377">
        <f>IF(OR(tblPiNAnalysis[[#This Row],[Severity]]=4,tblPiNAnalysis[[#This Row],[Severity]]=5),100%, IF(tblPiNAnalysis[[#This Row],[Severity]]=3,50%,0%))*tblPiNAnalysis[[#This Row],[Final PiN]]</f>
        <v>174122</v>
      </c>
      <c r="BO5" s="384">
        <f>IF(OR(tblPiNAnalysis[[#This Row],[Severity]]=4,tblPiNAnalysis[[#This Row],[Severity]]=5),100%, IF(AND(tblPiNAnalysis[[#This Row],[Severity]]=3,VLOOKUP(tblPiNAnalysis[[#This Row],[ID]],tblSeverityAnalysis[[ID]:[Highest Severity]],35,FALSE)&gt;3),50%,0%))*tblPiNAnalysis[[#This Row],[Final PiN]]</f>
        <v>174122</v>
      </c>
      <c r="BP5" s="274"/>
      <c r="BQ5" s="274"/>
      <c r="BR5" s="274"/>
      <c r="BU5" s="275"/>
      <c r="BV5" s="274"/>
      <c r="BW5" s="274"/>
      <c r="BX5" s="274"/>
      <c r="BY5" s="274"/>
      <c r="BZ5" s="274"/>
      <c r="CC5" s="274"/>
      <c r="CE5" s="276"/>
      <c r="CF5" s="277"/>
      <c r="CG5" s="274"/>
    </row>
    <row r="6" spans="1:85" s="240" customFormat="1" hidden="1">
      <c r="A6" s="227"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Global_PopulationHT0113</v>
      </c>
      <c r="B6" s="255" t="s">
        <v>152</v>
      </c>
      <c r="C6" s="213" t="s">
        <v>153</v>
      </c>
      <c r="D6" s="256" t="s">
        <v>160</v>
      </c>
      <c r="E6" s="103" t="s">
        <v>161</v>
      </c>
      <c r="F6" s="99"/>
      <c r="G6" s="34"/>
      <c r="H6" s="357"/>
      <c r="I6" s="354">
        <v>460506</v>
      </c>
      <c r="J6" s="221" t="s">
        <v>156</v>
      </c>
      <c r="K6" s="257">
        <v>14433</v>
      </c>
      <c r="L6" s="214">
        <v>73069</v>
      </c>
      <c r="M6" s="214">
        <v>54178</v>
      </c>
      <c r="N6" s="214">
        <v>115527</v>
      </c>
      <c r="O6" s="214">
        <v>317267.19035006355</v>
      </c>
      <c r="P6" s="214">
        <v>19185.277999999998</v>
      </c>
      <c r="Q6" s="224">
        <v>91474</v>
      </c>
      <c r="R6" s="214">
        <v>41445.54</v>
      </c>
      <c r="S6" s="214"/>
      <c r="T6" s="214"/>
      <c r="U6" s="214"/>
      <c r="V6" s="214"/>
      <c r="W6" s="258">
        <f>IFERROR(IF(tblPiNAnalysis[[#This Row],[CCCM]]="", "", MROUND(tblPiNAnalysis[[#This Row],[CCCM]]/tblPiNAnalysis[[#This Row],[Population]], 0.05)), "")</f>
        <v>0.05</v>
      </c>
      <c r="X6" s="259">
        <f>IFERROR(IF(tblPiNAnalysis[[#This Row],[Education]]="", "", MROUND(tblPiNAnalysis[[#This Row],[Education]]/tblPiNAnalysis[[#This Row],[Population]], 0.05)), "")</f>
        <v>0.15000000000000002</v>
      </c>
      <c r="Y6" s="259">
        <f>IFERROR(IF(tblPiNAnalysis[[#This Row],[Nutrition]]="", "", MROUND(tblPiNAnalysis[[#This Row],[Nutrition]]/tblPiNAnalysis[[#This Row],[Population]], 0.05)), "")</f>
        <v>0.1</v>
      </c>
      <c r="Z6" s="259">
        <f>IFERROR(IF(tblPiNAnalysis[[#This Row],[Food Security]]="", "", MROUND(tblPiNAnalysis[[#This Row],[Food Security]]/tblPiNAnalysis[[#This Row],[Population]], 0.05)), "")</f>
        <v>0.25</v>
      </c>
      <c r="AA6" s="259">
        <f>IFERROR(IF(tblPiNAnalysis[[#This Row],[Health]]="", "", MROUND(tblPiNAnalysis[[#This Row],[Health]]/tblPiNAnalysis[[#This Row],[Population]], 0.05)), "")</f>
        <v>0.70000000000000007</v>
      </c>
      <c r="AB6" s="260">
        <f>IFERROR(IF(tblPiNAnalysis[[#This Row],[Protection]]="", "", MROUND(tblPiNAnalysis[[#This Row],[Protection]]/tblPiNAnalysis[[#This Row],[Population]], 0.05)), "")</f>
        <v>0.05</v>
      </c>
      <c r="AC6" s="260">
        <f>IFERROR(IF(tblPiNAnalysis[[#This Row],[Shelter]]="", "", MROUND(tblPiNAnalysis[[#This Row],[Shelter]]/tblPiNAnalysis[[#This Row],[Population]], 0.05)), "")</f>
        <v>0.2</v>
      </c>
      <c r="AD6" s="261">
        <f>IFERROR(IF(tblPiNAnalysis[[#This Row],[WASH]]="", "", MROUND(tblPiNAnalysis[[#This Row],[WASH]]/tblPiNAnalysis[[#This Row],[Population]], 0.05)), "")</f>
        <v>0.1</v>
      </c>
      <c r="AE6" s="259">
        <f>IFERROR(MROUND(tblPiNAnalysis[[#This Row],[CP]]/tblPiNAnalysis[[#This Row],[Population]], 0.05), "")</f>
        <v>0</v>
      </c>
      <c r="AF6" s="259">
        <f>IFERROR(MROUND(tblPiNAnalysis[[#This Row],[GBV]]/tblPiNAnalysis[[#This Row],[Population]], 0.05), "")</f>
        <v>0</v>
      </c>
      <c r="AG6" s="259">
        <f>IFERROR(MROUND(tblPiNAnalysis[[#This Row],[Migrants]]/tblPiNAnalysis[[#This Row],[Population]], 0.05), "")</f>
        <v>0</v>
      </c>
      <c r="AH6" s="259">
        <f>IFERROR(MROUND(tblPiNAnalysis[[#This Row],[_]]/tblPiNAnalysis[[#This Row],[Population]], 0.05), "")</f>
        <v>0</v>
      </c>
      <c r="AI6" s="262">
        <f>IFERROR(LARGE(tblPiNAnalysis[[#This Row],[CCCM]:[WASH]], 1), "")</f>
        <v>317267.19035006355</v>
      </c>
      <c r="AJ6" s="263" t="str" cm="1">
        <f t="array" ref="AJ6">IF(tblPiNAnalysis[[#This Row],[Highest PiN]]="", "", _xlfn.TEXTJOIN(CHAR(10), TRUE, IF(tblPiNAnalysis[[#This Row],[Highest PiN]]=tblPiNAnalysis[[#This Row],[CCCM]:[WASH]], tblPiNAnalysis[[#Headers],[CCCM]:[WASH]], "")))</f>
        <v>Health</v>
      </c>
      <c r="AK6" s="264">
        <f>IF(tblPiNAnalysis[[#This Row],[Highest PiN]]="", "", tblPiNAnalysis[[#This Row],[Highest PiN]]/tblPiNAnalysis[[#This Row],[Population]])</f>
        <v>0.68895343459165259</v>
      </c>
      <c r="AL6" s="265" t="str">
        <f>IF(SUM(tblPiNAnalysis[[#This Row],[CCCM]:[WASH]])=0, "",IF(COUNTIF(tblPiNAnalysis[[#This Row],[CCCM]:[WASH]],"=0")+COUNTIF(tblPiNAnalysis[[#This Row],[CCCM]:[WASH]],"")&gt;=zero_pin_thresh, "Flagged", ""))</f>
        <v/>
      </c>
      <c r="AM6" s="264" t="str">
        <f>IFERROR(IF(tblPiNAnalysis[[#This Row],[Highest PiN]]="", "", IF(tblPiNAnalysis[[#This Row],[Highest sector(s'') PiN %]]&gt;=flag_pin_perc, "Flagged", "")), "")</f>
        <v/>
      </c>
      <c r="AN6" s="266" t="str" cm="1">
        <f t="array" ref="AN6">IF(tblPiNAnalysis[[#This Row],[Highest PiN]]=0, "",  IF(OR(COUNTIF(tblPiNAnalysis[[#This Row],[Highest sector(s)]],tblSubSectorPopulation[Sector])), "Flagged", ""))</f>
        <v/>
      </c>
      <c r="AO6" s="267" cm="1">
        <f t="array" ref="AO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115527</v>
      </c>
      <c r="AP6" s="268" t="str" cm="1">
        <f t="array" ref="AP6">IF(tblPiNAnalysis[[#This Row],[2nd Highest PiN]]="", "", _xlfn.TEXTJOIN(CHAR(10), TRUE, IF(tblPiNAnalysis[[#This Row],[2nd Highest PiN]]=tblPiNAnalysis[[#This Row],[CCCM]:[WASH]], tblPiNAnalysis[[#Headers],[CCCM]:[WASH]], "")))</f>
        <v>Food Security</v>
      </c>
      <c r="AQ6" s="37">
        <f>IFERROR(tblPiNAnalysis[[#This Row],[2nd Highest PiN]]/tblPiNAnalysis[[#This Row],[Population]], "")</f>
        <v>0.2508696955088533</v>
      </c>
      <c r="AR6" s="45">
        <f>IFERROR(tblPiNAnalysis[[#This Row],[Highest PiN]]-tblPiNAnalysis[[#This Row],[2nd Highest PiN]], "")</f>
        <v>201740.19035006355</v>
      </c>
      <c r="AS6" s="38">
        <f>IFERROR(((tblPiNAnalysis[[#This Row],[Highest PiN]]-tblPiNAnalysis[[#This Row],[2nd Highest PiN]])/tblPiNAnalysis[[#This Row],[2nd Highest PiN]]),"")</f>
        <v>1.7462600980728622</v>
      </c>
      <c r="AT6" s="269" t="str" cm="1">
        <f t="array" ref="AT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6" s="270" cm="1">
        <f t="array" ref="AU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91474</v>
      </c>
      <c r="AV6" s="271" t="str" cm="1">
        <f t="array" ref="AV6">IF(tblPiNAnalysis[[#This Row],[3rd Highest PiN]]="", "", _xlfn.TEXTJOIN(CHAR(10), TRUE, IF(tblPiNAnalysis[[#This Row],[3rd Highest PiN]]=tblPiNAnalysis[[#This Row],[CCCM]:[WASH]], tblPiNAnalysis[[#Headers],[CCCM]:[WASH]], "")))</f>
        <v>Shelter</v>
      </c>
      <c r="AW6" s="186">
        <f>IFERROR(tblPiNAnalysis[[#This Row],[3rd Highest PiN]]/tblPiNAnalysis[[#This Row],[Population]], "")</f>
        <v>0.19863801991722149</v>
      </c>
      <c r="AX6" s="44">
        <f>IFERROR(tblPiNAnalysis[[#This Row],[Highest PiN]]-tblPiNAnalysis[[#This Row],[3rd Highest PiN]],"")</f>
        <v>225793.19035006355</v>
      </c>
      <c r="AY6" s="38">
        <f>IFERROR(tblPiNAnalysis[[#This Row],[Difference of PiN between Highest and 3rd Highest]]/tblPiNAnalysis[[#This Row],[3rd Highest PiN]], "")</f>
        <v>2.4683865398918114</v>
      </c>
      <c r="AZ6" s="266" t="str" cm="1">
        <f t="array" ref="AZ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 s="292" cm="1">
        <f t="array" ref="BA6">IFERROR(IF(tblPiNAnalysis[[#This Row],[ID]]="", "", INDEX(tblPiNHistorical[[CCCM]:[WASH]], MATCH(tblPiNAnalysis[[#This Row],[ID]],tblPiNHistorical[ID], 0),MATCH(_xlfn._xlws.FILTER(tblPiNAnalysis[[#Headers],[CCCM]:[WASH]], tblPiNAnalysis[[#This Row],[Highest PiN]]=tblPiNAnalysis[[#This Row],[CCCM]:[WASH]]), tblPiNHistorical[[#Headers],[CCCM]:[WASH]], 0))), "")</f>
        <v>4.2</v>
      </c>
      <c r="BB6" s="272" t="str" cm="1">
        <f t="array" ref="BB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6" s="272" cm="1">
        <f t="array" ref="BC6">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6" s="273" t="str" cm="1">
        <f t="array" ref="BD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 s="371">
        <f>INDEX(tblSeverityAnalysis[Final Severity], MATCH(tblPiNAnalysis[[#This Row],[ID]],tblSeverityAnalysis[ID], 0))</f>
        <v>4</v>
      </c>
      <c r="BF6" s="60">
        <f>IF(tblPiNAnalysis[[#This Row],[Severity]]&gt;2,tblPiNAnalysis[[#This Row],[Highest PiN]],)</f>
        <v>317267.19035006355</v>
      </c>
      <c r="BG6" s="187"/>
      <c r="BH6" s="188"/>
      <c r="BI6" s="189">
        <f>COUNTIFS(tblPiNAnalysis[[#This Row],[Number of missing / zero PiNs greater than threshold - Data quality]:[Manual Flag]],"Flagged")</f>
        <v>3</v>
      </c>
      <c r="BJ6" s="345" t="str">
        <f>IF(tblPiNAnalysis[[#This Row],['# Flags]]&gt;0, "Flagged", "")</f>
        <v>Flagged</v>
      </c>
      <c r="BK6" s="214">
        <v>115527</v>
      </c>
      <c r="BL6" s="326" t="s">
        <v>157</v>
      </c>
      <c r="BM6" s="383">
        <f>IF(OR(tblPiNAnalysis[[#This Row],[Severity]]=4,tblPiNAnalysis[[#This Row],[Severity]]=5),tblPiNAnalysis[[#This Row],[Final PiN]],0)</f>
        <v>115527</v>
      </c>
      <c r="BN6" s="377">
        <f>IF(OR(tblPiNAnalysis[[#This Row],[Severity]]=4,tblPiNAnalysis[[#This Row],[Severity]]=5),100%, IF(tblPiNAnalysis[[#This Row],[Severity]]=3,50%,0%))*tblPiNAnalysis[[#This Row],[Final PiN]]</f>
        <v>115527</v>
      </c>
      <c r="BO6" s="384">
        <f>IF(OR(tblPiNAnalysis[[#This Row],[Severity]]=4,tblPiNAnalysis[[#This Row],[Severity]]=5),100%, IF(AND(tblPiNAnalysis[[#This Row],[Severity]]=3,VLOOKUP(tblPiNAnalysis[[#This Row],[ID]],tblSeverityAnalysis[[ID]:[Highest Severity]],35,FALSE)&gt;3),50%,0%))*tblPiNAnalysis[[#This Row],[Final PiN]]</f>
        <v>115527</v>
      </c>
      <c r="BP6" s="274"/>
      <c r="BQ6" s="274"/>
      <c r="BR6" s="274"/>
      <c r="BU6" s="275"/>
      <c r="BV6" s="274"/>
      <c r="BW6" s="274"/>
      <c r="BX6" s="274"/>
      <c r="BY6" s="274"/>
      <c r="BZ6" s="274"/>
      <c r="CC6" s="274"/>
      <c r="CE6" s="276"/>
      <c r="CF6" s="277"/>
      <c r="CG6" s="274"/>
    </row>
    <row r="7" spans="1:85" s="240" customFormat="1" hidden="1">
      <c r="A7" s="227"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Global_PopulationHT0114</v>
      </c>
      <c r="B7" s="255" t="s">
        <v>152</v>
      </c>
      <c r="C7" s="213" t="s">
        <v>153</v>
      </c>
      <c r="D7" s="256" t="s">
        <v>162</v>
      </c>
      <c r="E7" s="103" t="s">
        <v>163</v>
      </c>
      <c r="F7" s="99"/>
      <c r="G7" s="34"/>
      <c r="H7" s="357"/>
      <c r="I7" s="354">
        <v>394895</v>
      </c>
      <c r="J7" s="221" t="s">
        <v>156</v>
      </c>
      <c r="K7" s="257">
        <v>30757.5</v>
      </c>
      <c r="L7" s="214">
        <v>24780</v>
      </c>
      <c r="M7" s="214">
        <v>38803</v>
      </c>
      <c r="N7" s="214">
        <v>97113</v>
      </c>
      <c r="O7" s="214">
        <v>103609.90086886453</v>
      </c>
      <c r="P7" s="214">
        <v>42634.5</v>
      </c>
      <c r="Q7" s="224">
        <v>116694</v>
      </c>
      <c r="R7" s="214">
        <v>60092.717391304352</v>
      </c>
      <c r="S7" s="214"/>
      <c r="T7" s="214"/>
      <c r="U7" s="214"/>
      <c r="V7" s="214"/>
      <c r="W7" s="258">
        <f>IFERROR(IF(tblPiNAnalysis[[#This Row],[CCCM]]="", "", MROUND(tblPiNAnalysis[[#This Row],[CCCM]]/tblPiNAnalysis[[#This Row],[Population]], 0.05)), "")</f>
        <v>0.1</v>
      </c>
      <c r="X7" s="259">
        <f>IFERROR(IF(tblPiNAnalysis[[#This Row],[Education]]="", "", MROUND(tblPiNAnalysis[[#This Row],[Education]]/tblPiNAnalysis[[#This Row],[Population]], 0.05)), "")</f>
        <v>0.05</v>
      </c>
      <c r="Y7" s="259">
        <f>IFERROR(IF(tblPiNAnalysis[[#This Row],[Nutrition]]="", "", MROUND(tblPiNAnalysis[[#This Row],[Nutrition]]/tblPiNAnalysis[[#This Row],[Population]], 0.05)), "")</f>
        <v>0.1</v>
      </c>
      <c r="Z7" s="259">
        <f>IFERROR(IF(tblPiNAnalysis[[#This Row],[Food Security]]="", "", MROUND(tblPiNAnalysis[[#This Row],[Food Security]]/tblPiNAnalysis[[#This Row],[Population]], 0.05)), "")</f>
        <v>0.25</v>
      </c>
      <c r="AA7" s="259">
        <f>IFERROR(IF(tblPiNAnalysis[[#This Row],[Health]]="", "", MROUND(tblPiNAnalysis[[#This Row],[Health]]/tblPiNAnalysis[[#This Row],[Population]], 0.05)), "")</f>
        <v>0.25</v>
      </c>
      <c r="AB7" s="260">
        <f>IFERROR(IF(tblPiNAnalysis[[#This Row],[Protection]]="", "", MROUND(tblPiNAnalysis[[#This Row],[Protection]]/tblPiNAnalysis[[#This Row],[Population]], 0.05)), "")</f>
        <v>0.1</v>
      </c>
      <c r="AC7" s="260">
        <f>IFERROR(IF(tblPiNAnalysis[[#This Row],[Shelter]]="", "", MROUND(tblPiNAnalysis[[#This Row],[Shelter]]/tblPiNAnalysis[[#This Row],[Population]], 0.05)), "")</f>
        <v>0.30000000000000004</v>
      </c>
      <c r="AD7" s="261">
        <f>IFERROR(IF(tblPiNAnalysis[[#This Row],[WASH]]="", "", MROUND(tblPiNAnalysis[[#This Row],[WASH]]/tblPiNAnalysis[[#This Row],[Population]], 0.05)), "")</f>
        <v>0.15000000000000002</v>
      </c>
      <c r="AE7" s="259">
        <f>IFERROR(MROUND(tblPiNAnalysis[[#This Row],[CP]]/tblPiNAnalysis[[#This Row],[Population]], 0.05), "")</f>
        <v>0</v>
      </c>
      <c r="AF7" s="259">
        <f>IFERROR(MROUND(tblPiNAnalysis[[#This Row],[GBV]]/tblPiNAnalysis[[#This Row],[Population]], 0.05), "")</f>
        <v>0</v>
      </c>
      <c r="AG7" s="259">
        <f>IFERROR(MROUND(tblPiNAnalysis[[#This Row],[Migrants]]/tblPiNAnalysis[[#This Row],[Population]], 0.05), "")</f>
        <v>0</v>
      </c>
      <c r="AH7" s="259">
        <f>IFERROR(MROUND(tblPiNAnalysis[[#This Row],[_]]/tblPiNAnalysis[[#This Row],[Population]], 0.05), "")</f>
        <v>0</v>
      </c>
      <c r="AI7" s="262">
        <f>IFERROR(LARGE(tblPiNAnalysis[[#This Row],[CCCM]:[WASH]], 1), "")</f>
        <v>116694</v>
      </c>
      <c r="AJ7" s="263" t="str" cm="1">
        <f t="array" ref="AJ7">IF(tblPiNAnalysis[[#This Row],[Highest PiN]]="", "", _xlfn.TEXTJOIN(CHAR(10), TRUE, IF(tblPiNAnalysis[[#This Row],[Highest PiN]]=tblPiNAnalysis[[#This Row],[CCCM]:[WASH]], tblPiNAnalysis[[#Headers],[CCCM]:[WASH]], "")))</f>
        <v>Shelter</v>
      </c>
      <c r="AK7" s="264">
        <f>IF(tblPiNAnalysis[[#This Row],[Highest PiN]]="", "", tblPiNAnalysis[[#This Row],[Highest PiN]]/tblPiNAnalysis[[#This Row],[Population]])</f>
        <v>0.29550640043555881</v>
      </c>
      <c r="AL7" s="265" t="str">
        <f>IF(SUM(tblPiNAnalysis[[#This Row],[CCCM]:[WASH]])=0, "",IF(COUNTIF(tblPiNAnalysis[[#This Row],[CCCM]:[WASH]],"=0")+COUNTIF(tblPiNAnalysis[[#This Row],[CCCM]:[WASH]],"")&gt;=zero_pin_thresh, "Flagged", ""))</f>
        <v/>
      </c>
      <c r="AM7" s="264" t="str">
        <f>IFERROR(IF(tblPiNAnalysis[[#This Row],[Highest PiN]]="", "", IF(tblPiNAnalysis[[#This Row],[Highest sector(s'') PiN %]]&gt;=flag_pin_perc, "Flagged", "")), "")</f>
        <v/>
      </c>
      <c r="AN7" s="266" t="str" cm="1">
        <f t="array" ref="AN7">IF(tblPiNAnalysis[[#This Row],[Highest PiN]]=0, "",  IF(OR(COUNTIF(tblPiNAnalysis[[#This Row],[Highest sector(s)]],tblSubSectorPopulation[Sector])), "Flagged", ""))</f>
        <v/>
      </c>
      <c r="AO7" s="267" cm="1">
        <f t="array" ref="AO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103609.90086886453</v>
      </c>
      <c r="AP7" s="268" t="str" cm="1">
        <f t="array" ref="AP7">IF(tblPiNAnalysis[[#This Row],[2nd Highest PiN]]="", "", _xlfn.TEXTJOIN(CHAR(10), TRUE, IF(tblPiNAnalysis[[#This Row],[2nd Highest PiN]]=tblPiNAnalysis[[#This Row],[CCCM]:[WASH]], tblPiNAnalysis[[#Headers],[CCCM]:[WASH]], "")))</f>
        <v>Health</v>
      </c>
      <c r="AQ7" s="37">
        <f>IFERROR(tblPiNAnalysis[[#This Row],[2nd Highest PiN]]/tblPiNAnalysis[[#This Row],[Population]], "")</f>
        <v>0.26237329130240833</v>
      </c>
      <c r="AR7" s="45">
        <f>IFERROR(tblPiNAnalysis[[#This Row],[Highest PiN]]-tblPiNAnalysis[[#This Row],[2nd Highest PiN]], "")</f>
        <v>13084.099131135474</v>
      </c>
      <c r="AS7" s="38">
        <f>IFERROR(((tblPiNAnalysis[[#This Row],[Highest PiN]]-tblPiNAnalysis[[#This Row],[2nd Highest PiN]])/tblPiNAnalysis[[#This Row],[2nd Highest PiN]]),"")</f>
        <v>0.1262823245791497</v>
      </c>
      <c r="AT7" s="269" t="str" cm="1">
        <f t="array" ref="AT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 s="270" cm="1">
        <f t="array" ref="AU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97113</v>
      </c>
      <c r="AV7" s="271" t="str" cm="1">
        <f t="array" ref="AV7">IF(tblPiNAnalysis[[#This Row],[3rd Highest PiN]]="", "", _xlfn.TEXTJOIN(CHAR(10), TRUE, IF(tblPiNAnalysis[[#This Row],[3rd Highest PiN]]=tblPiNAnalysis[[#This Row],[CCCM]:[WASH]], tblPiNAnalysis[[#Headers],[CCCM]:[WASH]], "")))</f>
        <v>Food Security</v>
      </c>
      <c r="AW7" s="186">
        <f>IFERROR(tblPiNAnalysis[[#This Row],[3rd Highest PiN]]/tblPiNAnalysis[[#This Row],[Population]], "")</f>
        <v>0.24592106762557137</v>
      </c>
      <c r="AX7" s="44">
        <f>IFERROR(tblPiNAnalysis[[#This Row],[Highest PiN]]-tblPiNAnalysis[[#This Row],[3rd Highest PiN]],"")</f>
        <v>19581</v>
      </c>
      <c r="AY7" s="38">
        <f>IFERROR(tblPiNAnalysis[[#This Row],[Difference of PiN between Highest and 3rd Highest]]/tblPiNAnalysis[[#This Row],[3rd Highest PiN]], "")</f>
        <v>0.20163108955546633</v>
      </c>
      <c r="AZ7" s="266" t="str" cm="1">
        <f t="array" ref="AZ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 s="292" cm="1">
        <f t="array" ref="BA7">IFERROR(IF(tblPiNAnalysis[[#This Row],[ID]]="", "", INDEX(tblPiNHistorical[[CCCM]:[WASH]], MATCH(tblPiNAnalysis[[#This Row],[ID]],tblPiNHistorical[ID], 0),MATCH(_xlfn._xlws.FILTER(tblPiNAnalysis[[#Headers],[CCCM]:[WASH]], tblPiNAnalysis[[#This Row],[Highest PiN]]=tblPiNAnalysis[[#This Row],[CCCM]:[WASH]]), tblPiNHistorical[[#Headers],[CCCM]:[WASH]], 0))), "")</f>
        <v>0.3</v>
      </c>
      <c r="BB7" s="272" t="str" cm="1">
        <f t="array" ref="BB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 s="272" cm="1">
        <f t="array" ref="BC7">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7" s="273" t="str" cm="1">
        <f t="array" ref="BD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 s="371">
        <f>INDEX(tblSeverityAnalysis[Final Severity], MATCH(tblPiNAnalysis[[#This Row],[ID]],tblSeverityAnalysis[ID], 0))</f>
        <v>4</v>
      </c>
      <c r="BF7" s="60">
        <f>IF(tblPiNAnalysis[[#This Row],[Severity]]&gt;2,tblPiNAnalysis[[#This Row],[Highest PiN]],)</f>
        <v>116694</v>
      </c>
      <c r="BG7" s="187"/>
      <c r="BH7" s="188"/>
      <c r="BI7" s="189">
        <f>COUNTIFS(tblPiNAnalysis[[#This Row],[Number of missing / zero PiNs greater than threshold - Data quality]:[Manual Flag]],"Flagged")</f>
        <v>0</v>
      </c>
      <c r="BJ7" s="345" t="str">
        <f>IF(tblPiNAnalysis[[#This Row],['# Flags]]&gt;0, "Flagged", "")</f>
        <v/>
      </c>
      <c r="BK7" s="343">
        <f>tblPiNAnalysis[[#This Row],[Preliminary PiN]]</f>
        <v>116694</v>
      </c>
      <c r="BL7" s="268"/>
      <c r="BM7" s="384">
        <f>IF(OR(tblPiNAnalysis[[#This Row],[Severity]]=4,tblPiNAnalysis[[#This Row],[Severity]]=5),tblPiNAnalysis[[#This Row],[Final PiN]],0)</f>
        <v>116694</v>
      </c>
      <c r="BN7" s="377">
        <f>IF(OR(tblPiNAnalysis[[#This Row],[Severity]]=4,tblPiNAnalysis[[#This Row],[Severity]]=5),100%, IF(tblPiNAnalysis[[#This Row],[Severity]]=3,50%,0%))*tblPiNAnalysis[[#This Row],[Final PiN]]</f>
        <v>116694</v>
      </c>
      <c r="BO7" s="384">
        <f>IF(OR(tblPiNAnalysis[[#This Row],[Severity]]=4,tblPiNAnalysis[[#This Row],[Severity]]=5),100%, IF(AND(tblPiNAnalysis[[#This Row],[Severity]]=3,VLOOKUP(tblPiNAnalysis[[#This Row],[ID]],tblSeverityAnalysis[[ID]:[Highest Severity]],35,FALSE)&gt;3),50%,0%))*tblPiNAnalysis[[#This Row],[Final PiN]]</f>
        <v>116694</v>
      </c>
      <c r="BP7" s="274"/>
      <c r="BQ7" s="274"/>
      <c r="BR7" s="274"/>
      <c r="BU7" s="275"/>
      <c r="BV7" s="274"/>
      <c r="BW7" s="274"/>
      <c r="BX7" s="274"/>
      <c r="BY7" s="274"/>
      <c r="BZ7" s="274"/>
      <c r="CC7" s="274"/>
      <c r="CE7" s="276"/>
      <c r="CF7" s="277"/>
      <c r="CG7" s="274"/>
    </row>
    <row r="8" spans="1:85" hidden="1">
      <c r="A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Global_PopulationHT0115</v>
      </c>
      <c r="B8" s="304" t="s">
        <v>152</v>
      </c>
      <c r="C8" s="213" t="s">
        <v>153</v>
      </c>
      <c r="D8" s="213" t="s">
        <v>164</v>
      </c>
      <c r="E8" s="103" t="s">
        <v>165</v>
      </c>
      <c r="F8" s="99"/>
      <c r="G8" s="34"/>
      <c r="H8" s="357"/>
      <c r="I8" s="354">
        <v>63006</v>
      </c>
      <c r="J8" s="221" t="s">
        <v>156</v>
      </c>
      <c r="K8" s="316">
        <v>2266.5</v>
      </c>
      <c r="L8" s="308">
        <v>8318</v>
      </c>
      <c r="M8" s="308">
        <v>6000</v>
      </c>
      <c r="N8" s="308">
        <v>24684</v>
      </c>
      <c r="O8" s="308">
        <v>1928.822707081403</v>
      </c>
      <c r="P8" s="308">
        <v>1305.4349999999999</v>
      </c>
      <c r="Q8" s="309">
        <v>2267</v>
      </c>
      <c r="R8" s="308">
        <v>56705</v>
      </c>
      <c r="S8" s="308"/>
      <c r="T8" s="308"/>
      <c r="U8" s="308"/>
      <c r="V8" s="308"/>
      <c r="W8" s="317">
        <f>IFERROR(IF(tblPiNAnalysis[[#This Row],[CCCM]]="", "", MROUND(tblPiNAnalysis[[#This Row],[CCCM]]/tblPiNAnalysis[[#This Row],[Population]], 0.05)), "")</f>
        <v>0.05</v>
      </c>
      <c r="X8" s="318">
        <f>IFERROR(IF(tblPiNAnalysis[[#This Row],[Education]]="", "", MROUND(tblPiNAnalysis[[#This Row],[Education]]/tblPiNAnalysis[[#This Row],[Population]], 0.05)), "")</f>
        <v>0.15000000000000002</v>
      </c>
      <c r="Y8" s="318">
        <f>IFERROR(IF(tblPiNAnalysis[[#This Row],[Nutrition]]="", "", MROUND(tblPiNAnalysis[[#This Row],[Nutrition]]/tblPiNAnalysis[[#This Row],[Population]], 0.05)), "")</f>
        <v>0.1</v>
      </c>
      <c r="Z8" s="318">
        <f>IFERROR(IF(tblPiNAnalysis[[#This Row],[Food Security]]="", "", MROUND(tblPiNAnalysis[[#This Row],[Food Security]]/tblPiNAnalysis[[#This Row],[Population]], 0.05)), "")</f>
        <v>0.4</v>
      </c>
      <c r="AA8" s="318">
        <f>IFERROR(IF(tblPiNAnalysis[[#This Row],[Health]]="", "", MROUND(tblPiNAnalysis[[#This Row],[Health]]/tblPiNAnalysis[[#This Row],[Population]], 0.05)), "")</f>
        <v>0.05</v>
      </c>
      <c r="AB8" s="319">
        <f>IFERROR(IF(tblPiNAnalysis[[#This Row],[Protection]]="", "", MROUND(tblPiNAnalysis[[#This Row],[Protection]]/tblPiNAnalysis[[#This Row],[Population]], 0.05)), "")</f>
        <v>0</v>
      </c>
      <c r="AC8" s="319">
        <f>IFERROR(IF(tblPiNAnalysis[[#This Row],[Shelter]]="", "", MROUND(tblPiNAnalysis[[#This Row],[Shelter]]/tblPiNAnalysis[[#This Row],[Population]], 0.05)), "")</f>
        <v>0.05</v>
      </c>
      <c r="AD8" s="320">
        <f>IFERROR(IF(tblPiNAnalysis[[#This Row],[WASH]]="", "", MROUND(tblPiNAnalysis[[#This Row],[WASH]]/tblPiNAnalysis[[#This Row],[Population]], 0.05)), "")</f>
        <v>0.9</v>
      </c>
      <c r="AE8" s="318">
        <f>IFERROR(MROUND(tblPiNAnalysis[[#This Row],[CP]]/tblPiNAnalysis[[#This Row],[Population]], 0.05), "")</f>
        <v>0</v>
      </c>
      <c r="AF8" s="318">
        <f>IFERROR(MROUND(tblPiNAnalysis[[#This Row],[GBV]]/tblPiNAnalysis[[#This Row],[Population]], 0.05), "")</f>
        <v>0</v>
      </c>
      <c r="AG8" s="318">
        <f>IFERROR(MROUND(tblPiNAnalysis[[#This Row],[Migrants]]/tblPiNAnalysis[[#This Row],[Population]], 0.05), "")</f>
        <v>0</v>
      </c>
      <c r="AH8" s="318">
        <f>IFERROR(MROUND(tblPiNAnalysis[[#This Row],[_]]/tblPiNAnalysis[[#This Row],[Population]], 0.05), "")</f>
        <v>0</v>
      </c>
      <c r="AI8" s="321">
        <f>IFERROR(LARGE(tblPiNAnalysis[[#This Row],[CCCM]:[WASH]], 1), "")</f>
        <v>56705</v>
      </c>
      <c r="AJ8" s="322" t="str" cm="1">
        <f t="array" ref="AJ8">IF(tblPiNAnalysis[[#This Row],[Highest PiN]]="", "", _xlfn.TEXTJOIN(CHAR(10), TRUE, IF(tblPiNAnalysis[[#This Row],[Highest PiN]]=tblPiNAnalysis[[#This Row],[CCCM]:[WASH]], tblPiNAnalysis[[#Headers],[CCCM]:[WASH]], "")))</f>
        <v>WASH</v>
      </c>
      <c r="AK8" s="323">
        <f>IF(tblPiNAnalysis[[#This Row],[Highest PiN]]="", "", tblPiNAnalysis[[#This Row],[Highest PiN]]/tblPiNAnalysis[[#This Row],[Population]])</f>
        <v>0.89999365139827958</v>
      </c>
      <c r="AL8" s="265" t="str">
        <f>IF(SUM(tblPiNAnalysis[[#This Row],[CCCM]:[WASH]])=0, "",IF(COUNTIF(tblPiNAnalysis[[#This Row],[CCCM]:[WASH]],"=0")+COUNTIF(tblPiNAnalysis[[#This Row],[CCCM]:[WASH]],"")&gt;=zero_pin_thresh, "Flagged", ""))</f>
        <v/>
      </c>
      <c r="AM8" s="264" t="str">
        <f>IFERROR(IF(tblPiNAnalysis[[#This Row],[Highest PiN]]="", "", IF(tblPiNAnalysis[[#This Row],[Highest sector(s'') PiN %]]&gt;=flag_pin_perc, "Flagged", "")), "")</f>
        <v/>
      </c>
      <c r="AN8" s="266" t="str" cm="1">
        <f t="array" ref="AN8">IF(tblPiNAnalysis[[#This Row],[Highest PiN]]=0, "",  IF(OR(COUNTIF(tblPiNAnalysis[[#This Row],[Highest sector(s)]],tblSubSectorPopulation[Sector])), "Flagged", ""))</f>
        <v/>
      </c>
      <c r="AO8" s="45" cm="1">
        <f t="array" ref="AO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24684</v>
      </c>
      <c r="AP8" s="326" t="str" cm="1">
        <f t="array" ref="AP8">IF(tblPiNAnalysis[[#This Row],[2nd Highest PiN]]="", "", _xlfn.TEXTJOIN(CHAR(10), TRUE, IF(tblPiNAnalysis[[#This Row],[2nd Highest PiN]]=tblPiNAnalysis[[#This Row],[CCCM]:[WASH]], tblPiNAnalysis[[#Headers],[CCCM]:[WASH]], "")))</f>
        <v>Food Security</v>
      </c>
      <c r="AQ8" s="35">
        <f>IFERROR(tblPiNAnalysis[[#This Row],[2nd Highest PiN]]/tblPiNAnalysis[[#This Row],[Population]], "")</f>
        <v>0.39177221217026947</v>
      </c>
      <c r="AR8" s="45">
        <f>IFERROR(tblPiNAnalysis[[#This Row],[Highest PiN]]-tblPiNAnalysis[[#This Row],[2nd Highest PiN]], "")</f>
        <v>32021</v>
      </c>
      <c r="AS8" s="38">
        <f>IFERROR(((tblPiNAnalysis[[#This Row],[Highest PiN]]-tblPiNAnalysis[[#This Row],[2nd Highest PiN]])/tblPiNAnalysis[[#This Row],[2nd Highest PiN]]),"")</f>
        <v>1.2972370766488412</v>
      </c>
      <c r="AT8" s="269" t="str" cm="1">
        <f t="array" ref="AT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8" s="327" cm="1">
        <f t="array" ref="AU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8318</v>
      </c>
      <c r="AV8" s="186" t="str" cm="1">
        <f t="array" ref="AV8">IF(tblPiNAnalysis[[#This Row],[3rd Highest PiN]]="", "", _xlfn.TEXTJOIN(CHAR(10), TRUE, IF(tblPiNAnalysis[[#This Row],[3rd Highest PiN]]=tblPiNAnalysis[[#This Row],[CCCM]:[WASH]], tblPiNAnalysis[[#Headers],[CCCM]:[WASH]], "")))</f>
        <v>Education</v>
      </c>
      <c r="AW8" s="186">
        <f>IFERROR(tblPiNAnalysis[[#This Row],[3rd Highest PiN]]/tblPiNAnalysis[[#This Row],[Population]], "")</f>
        <v>0.13201917277719583</v>
      </c>
      <c r="AX8" s="44">
        <f>IFERROR(tblPiNAnalysis[[#This Row],[Highest PiN]]-tblPiNAnalysis[[#This Row],[3rd Highest PiN]],"")</f>
        <v>48387</v>
      </c>
      <c r="AY8" s="38">
        <f>IFERROR(tblPiNAnalysis[[#This Row],[Difference of PiN between Highest and 3rd Highest]]/tblPiNAnalysis[[#This Row],[3rd Highest PiN]], "")</f>
        <v>5.8171435441211834</v>
      </c>
      <c r="AZ8" s="325" t="str" cm="1">
        <f t="array" ref="AZ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8" s="292" cm="1">
        <f t="array" ref="BA8">IFERROR(IF(tblPiNAnalysis[[#This Row],[ID]]="", "", INDEX(tblPiNHistorical[[CCCM]:[WASH]], MATCH(tblPiNAnalysis[[#This Row],[ID]],tblPiNHistorical[ID], 0),MATCH(_xlfn._xlws.FILTER(tblPiNAnalysis[[#Headers],[CCCM]:[WASH]], tblPiNAnalysis[[#This Row],[Highest PiN]]=tblPiNAnalysis[[#This Row],[CCCM]:[WASH]]), tblPiNHistorical[[#Headers],[CCCM]:[WASH]], 0))), "")</f>
        <v>13.9</v>
      </c>
      <c r="BB8" s="328" t="str" cm="1">
        <f t="array" ref="BB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 s="272" cm="1">
        <f t="array" ref="BC8">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8" s="329" t="str" cm="1">
        <f t="array" ref="BD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 s="371">
        <f>INDEX(tblSeverityAnalysis[Final Severity], MATCH(tblPiNAnalysis[[#This Row],[ID]],tblSeverityAnalysis[ID], 0))</f>
        <v>4</v>
      </c>
      <c r="BF8" s="60">
        <f>IF(tblPiNAnalysis[[#This Row],[Severity]]&gt;2,tblPiNAnalysis[[#This Row],[Highest PiN]],)</f>
        <v>56705</v>
      </c>
      <c r="BG8" s="187"/>
      <c r="BH8" s="188"/>
      <c r="BI8" s="189">
        <f>COUNTIFS(tblPiNAnalysis[[#This Row],[Number of missing / zero PiNs greater than threshold - Data quality]:[Manual Flag]],"Flagged")</f>
        <v>3</v>
      </c>
      <c r="BJ8" s="346" t="str">
        <f>IF(tblPiNAnalysis[[#This Row],['# Flags]]&gt;0, "Flagged", "")</f>
        <v>Flagged</v>
      </c>
      <c r="BK8" s="339">
        <f>tblPiNAnalysis[[#This Row],[Preliminary PiN]]</f>
        <v>56705</v>
      </c>
      <c r="BL8" s="326"/>
      <c r="BM8" s="383">
        <f>IF(OR(tblPiNAnalysis[[#This Row],[Severity]]=4,tblPiNAnalysis[[#This Row],[Severity]]=5),tblPiNAnalysis[[#This Row],[Final PiN]],0)</f>
        <v>56705</v>
      </c>
      <c r="BN8" s="378">
        <f>IF(OR(tblPiNAnalysis[[#This Row],[Severity]]=4,tblPiNAnalysis[[#This Row],[Severity]]=5),100%, IF(tblPiNAnalysis[[#This Row],[Severity]]=3,50%,0%))*tblPiNAnalysis[[#This Row],[Final PiN]]</f>
        <v>56705</v>
      </c>
      <c r="BO8" s="383">
        <f>IF(OR(tblPiNAnalysis[[#This Row],[Severity]]=4,tblPiNAnalysis[[#This Row],[Severity]]=5),100%, IF(AND(tblPiNAnalysis[[#This Row],[Severity]]=3,VLOOKUP(tblPiNAnalysis[[#This Row],[ID]],tblSeverityAnalysis[[ID]:[Highest Severity]],35,FALSE)&gt;3),50%,0%))*tblPiNAnalysis[[#This Row],[Final PiN]]</f>
        <v>56705</v>
      </c>
      <c r="BP8" s="17"/>
      <c r="BQ8" s="17"/>
      <c r="BR8" s="17"/>
      <c r="BU8" s="605"/>
      <c r="BV8" s="17"/>
      <c r="BW8" s="17"/>
      <c r="BX8" s="17"/>
      <c r="BY8" s="17"/>
      <c r="BZ8" s="17"/>
      <c r="CC8" s="17"/>
      <c r="CE8" s="24"/>
      <c r="CF8" s="21"/>
      <c r="CG8" s="17"/>
    </row>
    <row r="9" spans="1:85" hidden="1">
      <c r="A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Global_PopulationHT0116</v>
      </c>
      <c r="B9" s="304" t="s">
        <v>152</v>
      </c>
      <c r="C9" s="213" t="s">
        <v>153</v>
      </c>
      <c r="D9" s="213" t="s">
        <v>166</v>
      </c>
      <c r="E9" s="103" t="s">
        <v>167</v>
      </c>
      <c r="F9" s="99"/>
      <c r="G9" s="34"/>
      <c r="H9" s="357"/>
      <c r="I9" s="354">
        <v>3987</v>
      </c>
      <c r="J9" s="221" t="s">
        <v>156</v>
      </c>
      <c r="K9" s="316">
        <v>0</v>
      </c>
      <c r="L9" s="308">
        <v>279</v>
      </c>
      <c r="M9" s="308">
        <v>2224</v>
      </c>
      <c r="N9" s="308">
        <v>13743</v>
      </c>
      <c r="O9" s="308">
        <v>4097.050413844996</v>
      </c>
      <c r="P9" s="308">
        <v>485.28000000000003</v>
      </c>
      <c r="Q9" s="309">
        <v>0</v>
      </c>
      <c r="R9" s="308">
        <v>997</v>
      </c>
      <c r="S9" s="308"/>
      <c r="T9" s="308"/>
      <c r="U9" s="308"/>
      <c r="V9" s="308"/>
      <c r="W9" s="317">
        <f>IFERROR(IF(tblPiNAnalysis[[#This Row],[CCCM]]="", "", MROUND(tblPiNAnalysis[[#This Row],[CCCM]]/tblPiNAnalysis[[#This Row],[Population]], 0.05)), "")</f>
        <v>0</v>
      </c>
      <c r="X9" s="318">
        <f>IFERROR(IF(tblPiNAnalysis[[#This Row],[Education]]="", "", MROUND(tblPiNAnalysis[[#This Row],[Education]]/tblPiNAnalysis[[#This Row],[Population]], 0.05)), "")</f>
        <v>0.05</v>
      </c>
      <c r="Y9" s="318">
        <f>IFERROR(IF(tblPiNAnalysis[[#This Row],[Nutrition]]="", "", MROUND(tblPiNAnalysis[[#This Row],[Nutrition]]/tblPiNAnalysis[[#This Row],[Population]], 0.05)), "")</f>
        <v>0.55000000000000004</v>
      </c>
      <c r="Z9" s="318">
        <f>IFERROR(IF(tblPiNAnalysis[[#This Row],[Food Security]]="", "", MROUND(tblPiNAnalysis[[#This Row],[Food Security]]/tblPiNAnalysis[[#This Row],[Population]], 0.05)), "")</f>
        <v>3.45</v>
      </c>
      <c r="AA9" s="318">
        <f>IFERROR(IF(tblPiNAnalysis[[#This Row],[Health]]="", "", MROUND(tblPiNAnalysis[[#This Row],[Health]]/tblPiNAnalysis[[#This Row],[Population]], 0.05)), "")</f>
        <v>1.05</v>
      </c>
      <c r="AB9" s="319">
        <f>IFERROR(IF(tblPiNAnalysis[[#This Row],[Protection]]="", "", MROUND(tblPiNAnalysis[[#This Row],[Protection]]/tblPiNAnalysis[[#This Row],[Population]], 0.05)), "")</f>
        <v>0.1</v>
      </c>
      <c r="AC9" s="319">
        <f>IFERROR(IF(tblPiNAnalysis[[#This Row],[Shelter]]="", "", MROUND(tblPiNAnalysis[[#This Row],[Shelter]]/tblPiNAnalysis[[#This Row],[Population]], 0.05)), "")</f>
        <v>0</v>
      </c>
      <c r="AD9" s="320">
        <f>IFERROR(IF(tblPiNAnalysis[[#This Row],[WASH]]="", "", MROUND(tblPiNAnalysis[[#This Row],[WASH]]/tblPiNAnalysis[[#This Row],[Population]], 0.05)), "")</f>
        <v>0.25</v>
      </c>
      <c r="AE9" s="318">
        <f>IFERROR(MROUND(tblPiNAnalysis[[#This Row],[CP]]/tblPiNAnalysis[[#This Row],[Population]], 0.05), "")</f>
        <v>0</v>
      </c>
      <c r="AF9" s="318">
        <f>IFERROR(MROUND(tblPiNAnalysis[[#This Row],[GBV]]/tblPiNAnalysis[[#This Row],[Population]], 0.05), "")</f>
        <v>0</v>
      </c>
      <c r="AG9" s="318">
        <f>IFERROR(MROUND(tblPiNAnalysis[[#This Row],[Migrants]]/tblPiNAnalysis[[#This Row],[Population]], 0.05), "")</f>
        <v>0</v>
      </c>
      <c r="AH9" s="318">
        <f>IFERROR(MROUND(tblPiNAnalysis[[#This Row],[_]]/tblPiNAnalysis[[#This Row],[Population]], 0.05), "")</f>
        <v>0</v>
      </c>
      <c r="AI9" s="321">
        <f>IFERROR(LARGE(tblPiNAnalysis[[#This Row],[CCCM]:[WASH]], 1), "")</f>
        <v>13743</v>
      </c>
      <c r="AJ9" s="322" t="str" cm="1">
        <f t="array" ref="AJ9">IF(tblPiNAnalysis[[#This Row],[Highest PiN]]="", "", _xlfn.TEXTJOIN(CHAR(10), TRUE, IF(tblPiNAnalysis[[#This Row],[Highest PiN]]=tblPiNAnalysis[[#This Row],[CCCM]:[WASH]], tblPiNAnalysis[[#Headers],[CCCM]:[WASH]], "")))</f>
        <v>Food Security</v>
      </c>
      <c r="AK9" s="323">
        <f>IF(tblPiNAnalysis[[#This Row],[Highest PiN]]="", "", tblPiNAnalysis[[#This Row],[Highest PiN]]/tblPiNAnalysis[[#This Row],[Population]])</f>
        <v>3.4469525959367946</v>
      </c>
      <c r="AL9" s="265" t="str">
        <f>IF(SUM(tblPiNAnalysis[[#This Row],[CCCM]:[WASH]])=0, "",IF(COUNTIF(tblPiNAnalysis[[#This Row],[CCCM]:[WASH]],"=0")+COUNTIF(tblPiNAnalysis[[#This Row],[CCCM]:[WASH]],"")&gt;=zero_pin_thresh, "Flagged", ""))</f>
        <v>Flagged</v>
      </c>
      <c r="AM9" s="264" t="str">
        <f>IFERROR(IF(tblPiNAnalysis[[#This Row],[Highest PiN]]="", "", IF(tblPiNAnalysis[[#This Row],[Highest sector(s'') PiN %]]&gt;=flag_pin_perc, "Flagged", "")), "")</f>
        <v>Flagged</v>
      </c>
      <c r="AN9" s="266" t="str" cm="1">
        <f t="array" ref="AN9">IF(tblPiNAnalysis[[#This Row],[Highest PiN]]=0, "",  IF(OR(COUNTIF(tblPiNAnalysis[[#This Row],[Highest sector(s)]],tblSubSectorPopulation[Sector])), "Flagged", ""))</f>
        <v/>
      </c>
      <c r="AO9" s="45" cm="1">
        <f t="array" ref="AO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4097.050413844996</v>
      </c>
      <c r="AP9" s="326" t="str" cm="1">
        <f t="array" ref="AP9">IF(tblPiNAnalysis[[#This Row],[2nd Highest PiN]]="", "", _xlfn.TEXTJOIN(CHAR(10), TRUE, IF(tblPiNAnalysis[[#This Row],[2nd Highest PiN]]=tblPiNAnalysis[[#This Row],[CCCM]:[WASH]], tblPiNAnalysis[[#Headers],[CCCM]:[WASH]], "")))</f>
        <v>Health</v>
      </c>
      <c r="AQ9" s="35">
        <f>IFERROR(tblPiNAnalysis[[#This Row],[2nd Highest PiN]]/tblPiNAnalysis[[#This Row],[Population]], "")</f>
        <v>1.0276023109719077</v>
      </c>
      <c r="AR9" s="45">
        <f>IFERROR(tblPiNAnalysis[[#This Row],[Highest PiN]]-tblPiNAnalysis[[#This Row],[2nd Highest PiN]], "")</f>
        <v>9645.949586155004</v>
      </c>
      <c r="AS9" s="38">
        <f>IFERROR(((tblPiNAnalysis[[#This Row],[Highest PiN]]-tblPiNAnalysis[[#This Row],[2nd Highest PiN]])/tblPiNAnalysis[[#This Row],[2nd Highest PiN]]),"")</f>
        <v>2.3543643870133595</v>
      </c>
      <c r="AT9" s="269" t="str" cm="1">
        <f t="array" ref="AT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9" s="327" cm="1">
        <f t="array" ref="AU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2224</v>
      </c>
      <c r="AV9" s="186" t="str" cm="1">
        <f t="array" ref="AV9">IF(tblPiNAnalysis[[#This Row],[3rd Highest PiN]]="", "", _xlfn.TEXTJOIN(CHAR(10), TRUE, IF(tblPiNAnalysis[[#This Row],[3rd Highest PiN]]=tblPiNAnalysis[[#This Row],[CCCM]:[WASH]], tblPiNAnalysis[[#Headers],[CCCM]:[WASH]], "")))</f>
        <v>Nutrition</v>
      </c>
      <c r="AW9" s="186">
        <f>IFERROR(tblPiNAnalysis[[#This Row],[3rd Highest PiN]]/tblPiNAnalysis[[#This Row],[Population]], "")</f>
        <v>0.55781289189867067</v>
      </c>
      <c r="AX9" s="44">
        <f>IFERROR(tblPiNAnalysis[[#This Row],[Highest PiN]]-tblPiNAnalysis[[#This Row],[3rd Highest PiN]],"")</f>
        <v>11519</v>
      </c>
      <c r="AY9" s="38">
        <f>IFERROR(tblPiNAnalysis[[#This Row],[Difference of PiN between Highest and 3rd Highest]]/tblPiNAnalysis[[#This Row],[3rd Highest PiN]], "")</f>
        <v>5.1794064748201443</v>
      </c>
      <c r="AZ9" s="325" t="str" cm="1">
        <f t="array" ref="AZ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 s="292" cm="1">
        <f t="array" ref="BA9">IFERROR(IF(tblPiNAnalysis[[#This Row],[ID]]="", "", INDEX(tblPiNHistorical[[CCCM]:[WASH]], MATCH(tblPiNAnalysis[[#This Row],[ID]],tblPiNHistorical[ID], 0),MATCH(_xlfn._xlws.FILTER(tblPiNAnalysis[[#Headers],[CCCM]:[WASH]], tblPiNAnalysis[[#This Row],[Highest PiN]]=tblPiNAnalysis[[#This Row],[CCCM]:[WASH]]), tblPiNHistorical[[#Headers],[CCCM]:[WASH]], 0))), "")</f>
        <v>-0.2</v>
      </c>
      <c r="BB9" s="328" t="str" cm="1">
        <f t="array" ref="BB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 s="272" cm="1">
        <f t="array" ref="BC9">IFERROR(IF(tblPiNAnalysis[[#This Row],[ID]]="", "", INDEX(tblPiNHistorical[[CCCM]:[WASH]], MATCH(tblPiNAnalysis[[#This Row],[ID]],tblPiNHistorical[ID], 0),MATCH(_xlfn._xlws.FILTER(tblPiNAnalysis[[#Headers],[CCCM]:[WASH]], tblPiNAnalysis[[#This Row],[2nd Highest PiN]]=tblPiNAnalysis[[#This Row],[CCCM]:[WASH]]), tblPiNHistorical[[#Headers],[CCCM]:[WASH]], 0))), "")</f>
        <v>1.6</v>
      </c>
      <c r="BD9" s="329" t="str" cm="1">
        <f t="array" ref="BD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9" s="371">
        <f>INDEX(tblSeverityAnalysis[Final Severity], MATCH(tblPiNAnalysis[[#This Row],[ID]],tblSeverityAnalysis[ID], 0))</f>
        <v>4</v>
      </c>
      <c r="BF9" s="60">
        <f>IF(tblPiNAnalysis[[#This Row],[Severity]]&gt;2,tblPiNAnalysis[[#This Row],[Highest PiN]],)</f>
        <v>13743</v>
      </c>
      <c r="BG9" s="187"/>
      <c r="BH9" s="188"/>
      <c r="BI9" s="189">
        <f>COUNTIFS(tblPiNAnalysis[[#This Row],[Number of missing / zero PiNs greater than threshold - Data quality]:[Manual Flag]],"Flagged")</f>
        <v>5</v>
      </c>
      <c r="BJ9" s="346" t="str">
        <f>IF(tblPiNAnalysis[[#This Row],['# Flags]]&gt;0, "Flagged", "")</f>
        <v>Flagged</v>
      </c>
      <c r="BK9" s="308">
        <v>2224</v>
      </c>
      <c r="BL9" s="326" t="s">
        <v>168</v>
      </c>
      <c r="BM9" s="383">
        <f>IF(OR(tblPiNAnalysis[[#This Row],[Severity]]=4,tblPiNAnalysis[[#This Row],[Severity]]=5),tblPiNAnalysis[[#This Row],[Final PiN]],0)</f>
        <v>2224</v>
      </c>
      <c r="BN9" s="378">
        <f>IF(OR(tblPiNAnalysis[[#This Row],[Severity]]=4,tblPiNAnalysis[[#This Row],[Severity]]=5),100%, IF(tblPiNAnalysis[[#This Row],[Severity]]=3,50%,0%))*tblPiNAnalysis[[#This Row],[Final PiN]]</f>
        <v>2224</v>
      </c>
      <c r="BO9" s="383">
        <f>IF(OR(tblPiNAnalysis[[#This Row],[Severity]]=4,tblPiNAnalysis[[#This Row],[Severity]]=5),100%, IF(AND(tblPiNAnalysis[[#This Row],[Severity]]=3,VLOOKUP(tblPiNAnalysis[[#This Row],[ID]],tblSeverityAnalysis[[ID]:[Highest Severity]],35,FALSE)&gt;3),50%,0%))*tblPiNAnalysis[[#This Row],[Final PiN]]</f>
        <v>2224</v>
      </c>
      <c r="BP9" s="17"/>
      <c r="BQ9" s="17"/>
      <c r="BR9" s="17"/>
      <c r="BU9" s="605"/>
      <c r="BV9" s="17"/>
      <c r="BW9" s="17"/>
      <c r="BX9" s="17"/>
      <c r="BY9" s="17"/>
      <c r="BZ9" s="17"/>
      <c r="CC9" s="17"/>
      <c r="CE9" s="24"/>
      <c r="CF9" s="21"/>
      <c r="CG9" s="17"/>
    </row>
    <row r="10" spans="1:85" hidden="1">
      <c r="A1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Global_PopulationHT0117</v>
      </c>
      <c r="B10" s="304" t="s">
        <v>152</v>
      </c>
      <c r="C10" s="213" t="s">
        <v>153</v>
      </c>
      <c r="D10" s="213" t="s">
        <v>169</v>
      </c>
      <c r="E10" s="103" t="s">
        <v>170</v>
      </c>
      <c r="F10" s="99"/>
      <c r="G10" s="34"/>
      <c r="H10" s="357"/>
      <c r="I10" s="354">
        <v>287439</v>
      </c>
      <c r="J10" s="221" t="s">
        <v>156</v>
      </c>
      <c r="K10" s="316">
        <v>21180</v>
      </c>
      <c r="L10" s="308">
        <v>41745</v>
      </c>
      <c r="M10" s="308">
        <v>35634</v>
      </c>
      <c r="N10" s="308">
        <v>173258</v>
      </c>
      <c r="O10" s="308">
        <v>186993.02407016576</v>
      </c>
      <c r="P10" s="308">
        <v>23633.069615384615</v>
      </c>
      <c r="Q10" s="309">
        <v>94007</v>
      </c>
      <c r="R10" s="308">
        <v>136742.82524271845</v>
      </c>
      <c r="S10" s="308"/>
      <c r="T10" s="308"/>
      <c r="U10" s="308"/>
      <c r="V10" s="308"/>
      <c r="W10" s="317">
        <f>IFERROR(IF(tblPiNAnalysis[[#This Row],[CCCM]]="", "", MROUND(tblPiNAnalysis[[#This Row],[CCCM]]/tblPiNAnalysis[[#This Row],[Population]], 0.05)), "")</f>
        <v>0.05</v>
      </c>
      <c r="X10" s="318">
        <f>IFERROR(IF(tblPiNAnalysis[[#This Row],[Education]]="", "", MROUND(tblPiNAnalysis[[#This Row],[Education]]/tblPiNAnalysis[[#This Row],[Population]], 0.05)), "")</f>
        <v>0.15000000000000002</v>
      </c>
      <c r="Y10" s="318">
        <f>IFERROR(IF(tblPiNAnalysis[[#This Row],[Nutrition]]="", "", MROUND(tblPiNAnalysis[[#This Row],[Nutrition]]/tblPiNAnalysis[[#This Row],[Population]], 0.05)), "")</f>
        <v>0.1</v>
      </c>
      <c r="Z10" s="318">
        <f>IFERROR(IF(tblPiNAnalysis[[#This Row],[Food Security]]="", "", MROUND(tblPiNAnalysis[[#This Row],[Food Security]]/tblPiNAnalysis[[#This Row],[Population]], 0.05)), "")</f>
        <v>0.60000000000000009</v>
      </c>
      <c r="AA10" s="318">
        <f>IFERROR(IF(tblPiNAnalysis[[#This Row],[Health]]="", "", MROUND(tblPiNAnalysis[[#This Row],[Health]]/tblPiNAnalysis[[#This Row],[Population]], 0.05)), "")</f>
        <v>0.65</v>
      </c>
      <c r="AB10" s="319">
        <f>IFERROR(IF(tblPiNAnalysis[[#This Row],[Protection]]="", "", MROUND(tblPiNAnalysis[[#This Row],[Protection]]/tblPiNAnalysis[[#This Row],[Population]], 0.05)), "")</f>
        <v>0.1</v>
      </c>
      <c r="AC10" s="319">
        <f>IFERROR(IF(tblPiNAnalysis[[#This Row],[Shelter]]="", "", MROUND(tblPiNAnalysis[[#This Row],[Shelter]]/tblPiNAnalysis[[#This Row],[Population]], 0.05)), "")</f>
        <v>0.35000000000000003</v>
      </c>
      <c r="AD10" s="320">
        <f>IFERROR(IF(tblPiNAnalysis[[#This Row],[WASH]]="", "", MROUND(tblPiNAnalysis[[#This Row],[WASH]]/tblPiNAnalysis[[#This Row],[Population]], 0.05)), "")</f>
        <v>0.5</v>
      </c>
      <c r="AE10" s="318">
        <f>IFERROR(MROUND(tblPiNAnalysis[[#This Row],[CP]]/tblPiNAnalysis[[#This Row],[Population]], 0.05), "")</f>
        <v>0</v>
      </c>
      <c r="AF10" s="318">
        <f>IFERROR(MROUND(tblPiNAnalysis[[#This Row],[GBV]]/tblPiNAnalysis[[#This Row],[Population]], 0.05), "")</f>
        <v>0</v>
      </c>
      <c r="AG10" s="318">
        <f>IFERROR(MROUND(tblPiNAnalysis[[#This Row],[Migrants]]/tblPiNAnalysis[[#This Row],[Population]], 0.05), "")</f>
        <v>0</v>
      </c>
      <c r="AH10" s="318">
        <f>IFERROR(MROUND(tblPiNAnalysis[[#This Row],[_]]/tblPiNAnalysis[[#This Row],[Population]], 0.05), "")</f>
        <v>0</v>
      </c>
      <c r="AI10" s="321">
        <f>IFERROR(LARGE(tblPiNAnalysis[[#This Row],[CCCM]:[WASH]], 1), "")</f>
        <v>186993.02407016576</v>
      </c>
      <c r="AJ10" s="322" t="str" cm="1">
        <f t="array" ref="AJ10">IF(tblPiNAnalysis[[#This Row],[Highest PiN]]="", "", _xlfn.TEXTJOIN(CHAR(10), TRUE, IF(tblPiNAnalysis[[#This Row],[Highest PiN]]=tblPiNAnalysis[[#This Row],[CCCM]:[WASH]], tblPiNAnalysis[[#Headers],[CCCM]:[WASH]], "")))</f>
        <v>Health</v>
      </c>
      <c r="AK10" s="323">
        <f>IF(tblPiNAnalysis[[#This Row],[Highest PiN]]="", "", tblPiNAnalysis[[#This Row],[Highest PiN]]/tblPiNAnalysis[[#This Row],[Population]])</f>
        <v>0.65054854793596473</v>
      </c>
      <c r="AL10" s="265" t="str">
        <f>IF(SUM(tblPiNAnalysis[[#This Row],[CCCM]:[WASH]])=0, "",IF(COUNTIF(tblPiNAnalysis[[#This Row],[CCCM]:[WASH]],"=0")+COUNTIF(tblPiNAnalysis[[#This Row],[CCCM]:[WASH]],"")&gt;=zero_pin_thresh, "Flagged", ""))</f>
        <v/>
      </c>
      <c r="AM10" s="264" t="str">
        <f>IFERROR(IF(tblPiNAnalysis[[#This Row],[Highest PiN]]="", "", IF(tblPiNAnalysis[[#This Row],[Highest sector(s'') PiN %]]&gt;=flag_pin_perc, "Flagged", "")), "")</f>
        <v/>
      </c>
      <c r="AN10" s="266" t="str" cm="1">
        <f t="array" ref="AN10">IF(tblPiNAnalysis[[#This Row],[Highest PiN]]=0, "",  IF(OR(COUNTIF(tblPiNAnalysis[[#This Row],[Highest sector(s)]],tblSubSectorPopulation[Sector])), "Flagged", ""))</f>
        <v/>
      </c>
      <c r="AO10" s="45" cm="1">
        <f t="array" ref="AO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173258</v>
      </c>
      <c r="AP10" s="326" t="str" cm="1">
        <f t="array" ref="AP10">IF(tblPiNAnalysis[[#This Row],[2nd Highest PiN]]="", "", _xlfn.TEXTJOIN(CHAR(10), TRUE, IF(tblPiNAnalysis[[#This Row],[2nd Highest PiN]]=tblPiNAnalysis[[#This Row],[CCCM]:[WASH]], tblPiNAnalysis[[#Headers],[CCCM]:[WASH]], "")))</f>
        <v>Food Security</v>
      </c>
      <c r="AQ10" s="35">
        <f>IFERROR(tblPiNAnalysis[[#This Row],[2nd Highest PiN]]/tblPiNAnalysis[[#This Row],[Population]], "")</f>
        <v>0.60276441262320002</v>
      </c>
      <c r="AR10" s="45">
        <f>IFERROR(tblPiNAnalysis[[#This Row],[Highest PiN]]-tblPiNAnalysis[[#This Row],[2nd Highest PiN]], "")</f>
        <v>13735.02407016576</v>
      </c>
      <c r="AS10" s="38">
        <f>IFERROR(((tblPiNAnalysis[[#This Row],[Highest PiN]]-tblPiNAnalysis[[#This Row],[2nd Highest PiN]])/tblPiNAnalysis[[#This Row],[2nd Highest PiN]]),"")</f>
        <v>7.9274977606608413E-2</v>
      </c>
      <c r="AT10" s="269" t="str" cm="1">
        <f t="array" ref="AT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 s="327" cm="1">
        <f t="array" ref="AU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136742.82524271845</v>
      </c>
      <c r="AV10" s="186" t="str" cm="1">
        <f t="array" ref="AV10">IF(tblPiNAnalysis[[#This Row],[3rd Highest PiN]]="", "", _xlfn.TEXTJOIN(CHAR(10), TRUE, IF(tblPiNAnalysis[[#This Row],[3rd Highest PiN]]=tblPiNAnalysis[[#This Row],[CCCM]:[WASH]], tblPiNAnalysis[[#Headers],[CCCM]:[WASH]], "")))</f>
        <v>WASH</v>
      </c>
      <c r="AW10" s="186">
        <f>IFERROR(tblPiNAnalysis[[#This Row],[3rd Highest PiN]]/tblPiNAnalysis[[#This Row],[Population]], "")</f>
        <v>0.47572815533980584</v>
      </c>
      <c r="AX10" s="44">
        <f>IFERROR(tblPiNAnalysis[[#This Row],[Highest PiN]]-tblPiNAnalysis[[#This Row],[3rd Highest PiN]],"")</f>
        <v>50250.198827447311</v>
      </c>
      <c r="AY10" s="38">
        <f>IFERROR(tblPiNAnalysis[[#This Row],[Difference of PiN between Highest and 3rd Highest]]/tblPiNAnalysis[[#This Row],[3rd Highest PiN]], "")</f>
        <v>0.36747960076335434</v>
      </c>
      <c r="AZ10" s="325" t="str" cm="1">
        <f t="array" ref="AZ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 s="292" cm="1">
        <f t="array" ref="BA10">IFERROR(IF(tblPiNAnalysis[[#This Row],[ID]]="", "", INDEX(tblPiNHistorical[[CCCM]:[WASH]], MATCH(tblPiNAnalysis[[#This Row],[ID]],tblPiNHistorical[ID], 0),MATCH(_xlfn._xlws.FILTER(tblPiNAnalysis[[#Headers],[CCCM]:[WASH]], tblPiNAnalysis[[#This Row],[Highest PiN]]=tblPiNAnalysis[[#This Row],[CCCM]:[WASH]]), tblPiNHistorical[[#Headers],[CCCM]:[WASH]], 0))), "")</f>
        <v>4.7</v>
      </c>
      <c r="BB10" s="328" t="str" cm="1">
        <f t="array" ref="BB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0" s="272" cm="1">
        <f t="array" ref="BC10">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0" s="329" t="str" cm="1">
        <f t="array" ref="BD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 s="371">
        <f>INDEX(tblSeverityAnalysis[Final Severity], MATCH(tblPiNAnalysis[[#This Row],[ID]],tblSeverityAnalysis[ID], 0))</f>
        <v>4</v>
      </c>
      <c r="BF10" s="60">
        <f>IF(tblPiNAnalysis[[#This Row],[Severity]]&gt;2,tblPiNAnalysis[[#This Row],[Highest PiN]],)</f>
        <v>186993.02407016576</v>
      </c>
      <c r="BG10" s="187"/>
      <c r="BH10" s="188"/>
      <c r="BI10" s="189">
        <f>COUNTIFS(tblPiNAnalysis[[#This Row],[Number of missing / zero PiNs greater than threshold - Data quality]:[Manual Flag]],"Flagged")</f>
        <v>1</v>
      </c>
      <c r="BJ10" s="346" t="str">
        <f>IF(tblPiNAnalysis[[#This Row],['# Flags]]&gt;0, "Flagged", "")</f>
        <v>Flagged</v>
      </c>
      <c r="BK10" s="339">
        <f>tblPiNAnalysis[[#This Row],[Preliminary PiN]]</f>
        <v>186993.02407016576</v>
      </c>
      <c r="BL10" s="326"/>
      <c r="BM10" s="383">
        <f>IF(OR(tblPiNAnalysis[[#This Row],[Severity]]=4,tblPiNAnalysis[[#This Row],[Severity]]=5),tblPiNAnalysis[[#This Row],[Final PiN]],0)</f>
        <v>186993.02407016576</v>
      </c>
      <c r="BN10" s="378">
        <f>IF(OR(tblPiNAnalysis[[#This Row],[Severity]]=4,tblPiNAnalysis[[#This Row],[Severity]]=5),100%, IF(tblPiNAnalysis[[#This Row],[Severity]]=3,50%,0%))*tblPiNAnalysis[[#This Row],[Final PiN]]</f>
        <v>186993.02407016576</v>
      </c>
      <c r="BO10" s="383">
        <f>IF(OR(tblPiNAnalysis[[#This Row],[Severity]]=4,tblPiNAnalysis[[#This Row],[Severity]]=5),100%, IF(AND(tblPiNAnalysis[[#This Row],[Severity]]=3,VLOOKUP(tblPiNAnalysis[[#This Row],[ID]],tblSeverityAnalysis[[ID]:[Highest Severity]],35,FALSE)&gt;3),50%,0%))*tblPiNAnalysis[[#This Row],[Final PiN]]</f>
        <v>186993.02407016576</v>
      </c>
      <c r="BP10" s="17"/>
      <c r="BQ10" s="17"/>
      <c r="BR10" s="17"/>
      <c r="BU10" s="605"/>
      <c r="BV10" s="17"/>
      <c r="BW10" s="17"/>
      <c r="BX10" s="17"/>
      <c r="BY10" s="17"/>
      <c r="BZ10" s="17"/>
      <c r="CC10" s="17"/>
      <c r="CE10" s="24"/>
      <c r="CF10" s="21"/>
      <c r="CG10" s="17"/>
    </row>
    <row r="11" spans="1:85">
      <c r="A1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Global_PopulationHT0118</v>
      </c>
      <c r="B11" s="304" t="s">
        <v>152</v>
      </c>
      <c r="C11" s="213" t="s">
        <v>153</v>
      </c>
      <c r="D11" s="213" t="s">
        <v>171</v>
      </c>
      <c r="E11" s="103" t="s">
        <v>172</v>
      </c>
      <c r="F11" s="99"/>
      <c r="G11" s="34"/>
      <c r="H11" s="357"/>
      <c r="I11" s="354">
        <v>141693</v>
      </c>
      <c r="J11" s="221" t="s">
        <v>156</v>
      </c>
      <c r="K11" s="316">
        <v>5235</v>
      </c>
      <c r="L11" s="308">
        <v>13798</v>
      </c>
      <c r="M11" s="308">
        <v>15635</v>
      </c>
      <c r="N11" s="308">
        <v>28585</v>
      </c>
      <c r="O11" s="308">
        <v>76053.891446086564</v>
      </c>
      <c r="P11" s="308">
        <v>10710.6</v>
      </c>
      <c r="Q11" s="309">
        <v>48457</v>
      </c>
      <c r="R11" s="308">
        <v>3490</v>
      </c>
      <c r="S11" s="308"/>
      <c r="T11" s="308"/>
      <c r="U11" s="308"/>
      <c r="V11" s="308"/>
      <c r="W11" s="317">
        <f>IFERROR(IF(tblPiNAnalysis[[#This Row],[CCCM]]="", "", MROUND(tblPiNAnalysis[[#This Row],[CCCM]]/tblPiNAnalysis[[#This Row],[Population]], 0.05)), "")</f>
        <v>0.05</v>
      </c>
      <c r="X11" s="318">
        <f>IFERROR(IF(tblPiNAnalysis[[#This Row],[Education]]="", "", MROUND(tblPiNAnalysis[[#This Row],[Education]]/tblPiNAnalysis[[#This Row],[Population]], 0.05)), "")</f>
        <v>0.1</v>
      </c>
      <c r="Y11" s="318">
        <f>IFERROR(IF(tblPiNAnalysis[[#This Row],[Nutrition]]="", "", MROUND(tblPiNAnalysis[[#This Row],[Nutrition]]/tblPiNAnalysis[[#This Row],[Population]], 0.05)), "")</f>
        <v>0.1</v>
      </c>
      <c r="Z11" s="318">
        <f>IFERROR(IF(tblPiNAnalysis[[#This Row],[Food Security]]="", "", MROUND(tblPiNAnalysis[[#This Row],[Food Security]]/tblPiNAnalysis[[#This Row],[Population]], 0.05)), "")</f>
        <v>0.2</v>
      </c>
      <c r="AA11" s="318">
        <f>IFERROR(IF(tblPiNAnalysis[[#This Row],[Health]]="", "", MROUND(tblPiNAnalysis[[#This Row],[Health]]/tblPiNAnalysis[[#This Row],[Population]], 0.05)), "")</f>
        <v>0.55000000000000004</v>
      </c>
      <c r="AB11" s="319">
        <f>IFERROR(IF(tblPiNAnalysis[[#This Row],[Protection]]="", "", MROUND(tblPiNAnalysis[[#This Row],[Protection]]/tblPiNAnalysis[[#This Row],[Population]], 0.05)), "")</f>
        <v>0.1</v>
      </c>
      <c r="AC11" s="319">
        <f>IFERROR(IF(tblPiNAnalysis[[#This Row],[Shelter]]="", "", MROUND(tblPiNAnalysis[[#This Row],[Shelter]]/tblPiNAnalysis[[#This Row],[Population]], 0.05)), "")</f>
        <v>0.35000000000000003</v>
      </c>
      <c r="AD11" s="320">
        <f>IFERROR(IF(tblPiNAnalysis[[#This Row],[WASH]]="", "", MROUND(tblPiNAnalysis[[#This Row],[WASH]]/tblPiNAnalysis[[#This Row],[Population]], 0.05)), "")</f>
        <v>0</v>
      </c>
      <c r="AE11" s="318">
        <f>IFERROR(MROUND(tblPiNAnalysis[[#This Row],[CP]]/tblPiNAnalysis[[#This Row],[Population]], 0.05), "")</f>
        <v>0</v>
      </c>
      <c r="AF11" s="318">
        <f>IFERROR(MROUND(tblPiNAnalysis[[#This Row],[GBV]]/tblPiNAnalysis[[#This Row],[Population]], 0.05), "")</f>
        <v>0</v>
      </c>
      <c r="AG11" s="318">
        <f>IFERROR(MROUND(tblPiNAnalysis[[#This Row],[Migrants]]/tblPiNAnalysis[[#This Row],[Population]], 0.05), "")</f>
        <v>0</v>
      </c>
      <c r="AH11" s="318">
        <f>IFERROR(MROUND(tblPiNAnalysis[[#This Row],[_]]/tblPiNAnalysis[[#This Row],[Population]], 0.05), "")</f>
        <v>0</v>
      </c>
      <c r="AI11" s="321">
        <f>IFERROR(LARGE(tblPiNAnalysis[[#This Row],[CCCM]:[WASH]], 1), "")</f>
        <v>76053.891446086564</v>
      </c>
      <c r="AJ11" s="322" t="str" cm="1">
        <f t="array" ref="AJ11">IF(tblPiNAnalysis[[#This Row],[Highest PiN]]="", "", _xlfn.TEXTJOIN(CHAR(10), TRUE, IF(tblPiNAnalysis[[#This Row],[Highest PiN]]=tblPiNAnalysis[[#This Row],[CCCM]:[WASH]], tblPiNAnalysis[[#Headers],[CCCM]:[WASH]], "")))</f>
        <v>Health</v>
      </c>
      <c r="AK11" s="323">
        <f>IF(tblPiNAnalysis[[#This Row],[Highest PiN]]="", "", tblPiNAnalysis[[#This Row],[Highest PiN]]/tblPiNAnalysis[[#This Row],[Population]])</f>
        <v>0.53675122586215662</v>
      </c>
      <c r="AL11" s="265" t="str">
        <f>IF(SUM(tblPiNAnalysis[[#This Row],[CCCM]:[WASH]])=0, "",IF(COUNTIF(tblPiNAnalysis[[#This Row],[CCCM]:[WASH]],"=0")+COUNTIF(tblPiNAnalysis[[#This Row],[CCCM]:[WASH]],"")&gt;=zero_pin_thresh, "Flagged", ""))</f>
        <v/>
      </c>
      <c r="AM11" s="264" t="str">
        <f>IFERROR(IF(tblPiNAnalysis[[#This Row],[Highest PiN]]="", "", IF(tblPiNAnalysis[[#This Row],[Highest sector(s'') PiN %]]&gt;=flag_pin_perc, "Flagged", "")), "")</f>
        <v/>
      </c>
      <c r="AN11" s="266" t="str" cm="1">
        <f t="array" ref="AN11">IF(tblPiNAnalysis[[#This Row],[Highest PiN]]=0, "",  IF(OR(COUNTIF(tblPiNAnalysis[[#This Row],[Highest sector(s)]],tblSubSectorPopulation[Sector])), "Flagged", ""))</f>
        <v/>
      </c>
      <c r="AO11" s="45" cm="1">
        <f t="array" ref="AO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48457</v>
      </c>
      <c r="AP11" s="326" t="str" cm="1">
        <f t="array" ref="AP11">IF(tblPiNAnalysis[[#This Row],[2nd Highest PiN]]="", "", _xlfn.TEXTJOIN(CHAR(10), TRUE, IF(tblPiNAnalysis[[#This Row],[2nd Highest PiN]]=tblPiNAnalysis[[#This Row],[CCCM]:[WASH]], tblPiNAnalysis[[#Headers],[CCCM]:[WASH]], "")))</f>
        <v>Shelter</v>
      </c>
      <c r="AQ11" s="35">
        <f>IFERROR(tblPiNAnalysis[[#This Row],[2nd Highest PiN]]/tblPiNAnalysis[[#This Row],[Population]], "")</f>
        <v>0.34198584263160497</v>
      </c>
      <c r="AR11" s="45">
        <f>IFERROR(tblPiNAnalysis[[#This Row],[Highest PiN]]-tblPiNAnalysis[[#This Row],[2nd Highest PiN]], "")</f>
        <v>27596.891446086564</v>
      </c>
      <c r="AS11" s="38">
        <f>IFERROR(((tblPiNAnalysis[[#This Row],[Highest PiN]]-tblPiNAnalysis[[#This Row],[2nd Highest PiN]])/tblPiNAnalysis[[#This Row],[2nd Highest PiN]]),"")</f>
        <v>0.56951300010497063</v>
      </c>
      <c r="AT11" s="269" t="str" cm="1">
        <f t="array" ref="AT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1" s="327" cm="1">
        <f t="array" ref="AU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28585</v>
      </c>
      <c r="AV11" s="186" t="str" cm="1">
        <f t="array" ref="AV11">IF(tblPiNAnalysis[[#This Row],[3rd Highest PiN]]="", "", _xlfn.TEXTJOIN(CHAR(10), TRUE, IF(tblPiNAnalysis[[#This Row],[3rd Highest PiN]]=tblPiNAnalysis[[#This Row],[CCCM]:[WASH]], tblPiNAnalysis[[#Headers],[CCCM]:[WASH]], "")))</f>
        <v>Food Security</v>
      </c>
      <c r="AW11" s="186">
        <f>IFERROR(tblPiNAnalysis[[#This Row],[3rd Highest PiN]]/tblPiNAnalysis[[#This Row],[Population]], "")</f>
        <v>0.20173897087364936</v>
      </c>
      <c r="AX11" s="44">
        <f>IFERROR(tblPiNAnalysis[[#This Row],[Highest PiN]]-tblPiNAnalysis[[#This Row],[3rd Highest PiN]],"")</f>
        <v>47468.891446086564</v>
      </c>
      <c r="AY11" s="38">
        <f>IFERROR(tblPiNAnalysis[[#This Row],[Difference of PiN between Highest and 3rd Highest]]/tblPiNAnalysis[[#This Row],[3rd Highest PiN]], "")</f>
        <v>1.6606224049706686</v>
      </c>
      <c r="AZ11" s="325" t="str" cm="1">
        <f t="array" ref="AZ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 s="292" cm="1">
        <f t="array" ref="BA11">IFERROR(IF(tblPiNAnalysis[[#This Row],[ID]]="", "", INDEX(tblPiNHistorical[[CCCM]:[WASH]], MATCH(tblPiNAnalysis[[#This Row],[ID]],tblPiNHistorical[ID], 0),MATCH(_xlfn._xlws.FILTER(tblPiNAnalysis[[#Headers],[CCCM]:[WASH]], tblPiNAnalysis[[#This Row],[Highest PiN]]=tblPiNAnalysis[[#This Row],[CCCM]:[WASH]]), tblPiNHistorical[[#Headers],[CCCM]:[WASH]], 0))), "")</f>
        <v>0.9</v>
      </c>
      <c r="BB11" s="328" t="str" cm="1">
        <f t="array" ref="BB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 s="272" cm="1">
        <f t="array" ref="BC1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1" s="329" t="str" cm="1">
        <f t="array" ref="BD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 s="371">
        <f>INDEX(tblSeverityAnalysis[Final Severity], MATCH(tblPiNAnalysis[[#This Row],[ID]],tblSeverityAnalysis[ID], 0))</f>
        <v>5</v>
      </c>
      <c r="BF11" s="60">
        <f>IF(tblPiNAnalysis[[#This Row],[Severity]]&gt;2,tblPiNAnalysis[[#This Row],[Highest PiN]],)</f>
        <v>76053.891446086564</v>
      </c>
      <c r="BG11" s="187"/>
      <c r="BH11" s="188"/>
      <c r="BI11" s="189">
        <f>COUNTIFS(tblPiNAnalysis[[#This Row],[Number of missing / zero PiNs greater than threshold - Data quality]:[Manual Flag]],"Flagged")</f>
        <v>2</v>
      </c>
      <c r="BJ11" s="346" t="str">
        <f>IF(tblPiNAnalysis[[#This Row],['# Flags]]&gt;0, "Flagged", "")</f>
        <v>Flagged</v>
      </c>
      <c r="BK11" s="339">
        <f>tblPiNAnalysis[[#This Row],[Preliminary PiN]]</f>
        <v>76053.891446086564</v>
      </c>
      <c r="BL11" s="326"/>
      <c r="BM11" s="383">
        <f>IF(OR(tblPiNAnalysis[[#This Row],[Severity]]=4,tblPiNAnalysis[[#This Row],[Severity]]=5),tblPiNAnalysis[[#This Row],[Final PiN]],0)</f>
        <v>76053.891446086564</v>
      </c>
      <c r="BN11" s="378">
        <f>IF(OR(tblPiNAnalysis[[#This Row],[Severity]]=4,tblPiNAnalysis[[#This Row],[Severity]]=5),100%, IF(tblPiNAnalysis[[#This Row],[Severity]]=3,50%,0%))*tblPiNAnalysis[[#This Row],[Final PiN]]</f>
        <v>76053.891446086564</v>
      </c>
      <c r="BO11" s="383">
        <f>IF(OR(tblPiNAnalysis[[#This Row],[Severity]]=4,tblPiNAnalysis[[#This Row],[Severity]]=5),100%, IF(AND(tblPiNAnalysis[[#This Row],[Severity]]=3,VLOOKUP(tblPiNAnalysis[[#This Row],[ID]],tblSeverityAnalysis[[ID]:[Highest Severity]],35,FALSE)&gt;3),50%,0%))*tblPiNAnalysis[[#This Row],[Final PiN]]</f>
        <v>76053.891446086564</v>
      </c>
      <c r="BP11" s="17"/>
      <c r="BQ11" s="17"/>
      <c r="BR11" s="17"/>
      <c r="BU11" s="605"/>
      <c r="BV11" s="17"/>
      <c r="BW11" s="17"/>
      <c r="BX11" s="17"/>
      <c r="BY11" s="17"/>
      <c r="BZ11" s="17"/>
      <c r="CC11" s="17"/>
      <c r="CE11" s="24"/>
      <c r="CF11" s="21"/>
      <c r="CG11" s="17"/>
    </row>
    <row r="12" spans="1:85" hidden="1">
      <c r="A1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Global_PopulationHT0121</v>
      </c>
      <c r="B12" s="304" t="s">
        <v>152</v>
      </c>
      <c r="C12" s="213" t="s">
        <v>153</v>
      </c>
      <c r="D12" s="213" t="s">
        <v>173</v>
      </c>
      <c r="E12" s="103" t="s">
        <v>174</v>
      </c>
      <c r="F12" s="99"/>
      <c r="G12" s="34"/>
      <c r="H12" s="357"/>
      <c r="I12" s="354">
        <v>233614</v>
      </c>
      <c r="J12" s="221" t="s">
        <v>156</v>
      </c>
      <c r="K12" s="316">
        <v>79632</v>
      </c>
      <c r="L12" s="308">
        <v>33382</v>
      </c>
      <c r="M12" s="308">
        <v>24021</v>
      </c>
      <c r="N12" s="308">
        <v>75329</v>
      </c>
      <c r="O12" s="308">
        <v>83154.772223354434</v>
      </c>
      <c r="P12" s="308">
        <v>88424.565000000002</v>
      </c>
      <c r="Q12" s="309">
        <v>139420</v>
      </c>
      <c r="R12" s="308">
        <v>53088</v>
      </c>
      <c r="S12" s="308"/>
      <c r="T12" s="308"/>
      <c r="U12" s="308"/>
      <c r="V12" s="308"/>
      <c r="W12" s="317">
        <f>IFERROR(IF(tblPiNAnalysis[[#This Row],[CCCM]]="", "", MROUND(tblPiNAnalysis[[#This Row],[CCCM]]/tblPiNAnalysis[[#This Row],[Population]], 0.05)), "")</f>
        <v>0.35000000000000003</v>
      </c>
      <c r="X12" s="318">
        <f>IFERROR(IF(tblPiNAnalysis[[#This Row],[Education]]="", "", MROUND(tblPiNAnalysis[[#This Row],[Education]]/tblPiNAnalysis[[#This Row],[Population]], 0.05)), "")</f>
        <v>0.15000000000000002</v>
      </c>
      <c r="Y12" s="318">
        <f>IFERROR(IF(tblPiNAnalysis[[#This Row],[Nutrition]]="", "", MROUND(tblPiNAnalysis[[#This Row],[Nutrition]]/tblPiNAnalysis[[#This Row],[Population]], 0.05)), "")</f>
        <v>0.1</v>
      </c>
      <c r="Z12" s="318">
        <f>IFERROR(IF(tblPiNAnalysis[[#This Row],[Food Security]]="", "", MROUND(tblPiNAnalysis[[#This Row],[Food Security]]/tblPiNAnalysis[[#This Row],[Population]], 0.05)), "")</f>
        <v>0.30000000000000004</v>
      </c>
      <c r="AA12" s="318">
        <f>IFERROR(IF(tblPiNAnalysis[[#This Row],[Health]]="", "", MROUND(tblPiNAnalysis[[#This Row],[Health]]/tblPiNAnalysis[[#This Row],[Population]], 0.05)), "")</f>
        <v>0.35000000000000003</v>
      </c>
      <c r="AB12" s="319">
        <f>IFERROR(IF(tblPiNAnalysis[[#This Row],[Protection]]="", "", MROUND(tblPiNAnalysis[[#This Row],[Protection]]/tblPiNAnalysis[[#This Row],[Population]], 0.05)), "")</f>
        <v>0.4</v>
      </c>
      <c r="AC12" s="319">
        <f>IFERROR(IF(tblPiNAnalysis[[#This Row],[Shelter]]="", "", MROUND(tblPiNAnalysis[[#This Row],[Shelter]]/tblPiNAnalysis[[#This Row],[Population]], 0.05)), "")</f>
        <v>0.60000000000000009</v>
      </c>
      <c r="AD12" s="320">
        <f>IFERROR(IF(tblPiNAnalysis[[#This Row],[WASH]]="", "", MROUND(tblPiNAnalysis[[#This Row],[WASH]]/tblPiNAnalysis[[#This Row],[Population]], 0.05)), "")</f>
        <v>0.25</v>
      </c>
      <c r="AE12" s="318">
        <f>IFERROR(MROUND(tblPiNAnalysis[[#This Row],[CP]]/tblPiNAnalysis[[#This Row],[Population]], 0.05), "")</f>
        <v>0</v>
      </c>
      <c r="AF12" s="318">
        <f>IFERROR(MROUND(tblPiNAnalysis[[#This Row],[GBV]]/tblPiNAnalysis[[#This Row],[Population]], 0.05), "")</f>
        <v>0</v>
      </c>
      <c r="AG12" s="318">
        <f>IFERROR(MROUND(tblPiNAnalysis[[#This Row],[Migrants]]/tblPiNAnalysis[[#This Row],[Population]], 0.05), "")</f>
        <v>0</v>
      </c>
      <c r="AH12" s="318">
        <f>IFERROR(MROUND(tblPiNAnalysis[[#This Row],[_]]/tblPiNAnalysis[[#This Row],[Population]], 0.05), "")</f>
        <v>0</v>
      </c>
      <c r="AI12" s="321">
        <f>IFERROR(LARGE(tblPiNAnalysis[[#This Row],[CCCM]:[WASH]], 1), "")</f>
        <v>139420</v>
      </c>
      <c r="AJ12" s="322" t="str" cm="1">
        <f t="array" ref="AJ12">IF(tblPiNAnalysis[[#This Row],[Highest PiN]]="", "", _xlfn.TEXTJOIN(CHAR(10), TRUE, IF(tblPiNAnalysis[[#This Row],[Highest PiN]]=tblPiNAnalysis[[#This Row],[CCCM]:[WASH]], tblPiNAnalysis[[#Headers],[CCCM]:[WASH]], "")))</f>
        <v>Shelter</v>
      </c>
      <c r="AK12" s="323">
        <f>IF(tblPiNAnalysis[[#This Row],[Highest PiN]]="", "", tblPiNAnalysis[[#This Row],[Highest PiN]]/tblPiNAnalysis[[#This Row],[Population]])</f>
        <v>0.59679642487179707</v>
      </c>
      <c r="AL12" s="265" t="str">
        <f>IF(SUM(tblPiNAnalysis[[#This Row],[CCCM]:[WASH]])=0, "",IF(COUNTIF(tblPiNAnalysis[[#This Row],[CCCM]:[WASH]],"=0")+COUNTIF(tblPiNAnalysis[[#This Row],[CCCM]:[WASH]],"")&gt;=zero_pin_thresh, "Flagged", ""))</f>
        <v/>
      </c>
      <c r="AM12" s="264" t="str">
        <f>IFERROR(IF(tblPiNAnalysis[[#This Row],[Highest PiN]]="", "", IF(tblPiNAnalysis[[#This Row],[Highest sector(s'') PiN %]]&gt;=flag_pin_perc, "Flagged", "")), "")</f>
        <v/>
      </c>
      <c r="AN12" s="266" t="str" cm="1">
        <f t="array" ref="AN12">IF(tblPiNAnalysis[[#This Row],[Highest PiN]]=0, "",  IF(OR(COUNTIF(tblPiNAnalysis[[#This Row],[Highest sector(s)]],tblSubSectorPopulation[Sector])), "Flagged", ""))</f>
        <v/>
      </c>
      <c r="AO12" s="45" cm="1">
        <f t="array" ref="AO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88424.565000000002</v>
      </c>
      <c r="AP12" s="326" t="str" cm="1">
        <f t="array" ref="AP12">IF(tblPiNAnalysis[[#This Row],[2nd Highest PiN]]="", "", _xlfn.TEXTJOIN(CHAR(10), TRUE, IF(tblPiNAnalysis[[#This Row],[2nd Highest PiN]]=tblPiNAnalysis[[#This Row],[CCCM]:[WASH]], tblPiNAnalysis[[#Headers],[CCCM]:[WASH]], "")))</f>
        <v>Protection</v>
      </c>
      <c r="AQ12" s="35">
        <f>IFERROR(tblPiNAnalysis[[#This Row],[2nd Highest PiN]]/tblPiNAnalysis[[#This Row],[Population]], "")</f>
        <v>0.37850713142191822</v>
      </c>
      <c r="AR12" s="45">
        <f>IFERROR(tblPiNAnalysis[[#This Row],[Highest PiN]]-tblPiNAnalysis[[#This Row],[2nd Highest PiN]], "")</f>
        <v>50995.434999999998</v>
      </c>
      <c r="AS12" s="38">
        <f>IFERROR(((tblPiNAnalysis[[#This Row],[Highest PiN]]-tblPiNAnalysis[[#This Row],[2nd Highest PiN]])/tblPiNAnalysis[[#This Row],[2nd Highest PiN]]),"")</f>
        <v>0.5767111774878394</v>
      </c>
      <c r="AT12" s="269" t="str" cm="1">
        <f t="array" ref="AT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 s="327" cm="1">
        <f t="array" ref="AU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83154.772223354434</v>
      </c>
      <c r="AV12" s="186" t="str" cm="1">
        <f t="array" ref="AV12">IF(tblPiNAnalysis[[#This Row],[3rd Highest PiN]]="", "", _xlfn.TEXTJOIN(CHAR(10), TRUE, IF(tblPiNAnalysis[[#This Row],[3rd Highest PiN]]=tblPiNAnalysis[[#This Row],[CCCM]:[WASH]], tblPiNAnalysis[[#Headers],[CCCM]:[WASH]], "")))</f>
        <v>Health</v>
      </c>
      <c r="AW12" s="186">
        <f>IFERROR(tblPiNAnalysis[[#This Row],[3rd Highest PiN]]/tblPiNAnalysis[[#This Row],[Population]], "")</f>
        <v>0.35594943891784925</v>
      </c>
      <c r="AX12" s="44">
        <f>IFERROR(tblPiNAnalysis[[#This Row],[Highest PiN]]-tblPiNAnalysis[[#This Row],[3rd Highest PiN]],"")</f>
        <v>56265.227776645566</v>
      </c>
      <c r="AY12" s="38">
        <f>IFERROR(tblPiNAnalysis[[#This Row],[Difference of PiN between Highest and 3rd Highest]]/tblPiNAnalysis[[#This Row],[3rd Highest PiN]], "")</f>
        <v>0.67663257648661079</v>
      </c>
      <c r="AZ12" s="325" t="str" cm="1">
        <f t="array" ref="AZ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 s="292" cm="1">
        <f t="array" ref="BA12">IFERROR(IF(tblPiNAnalysis[[#This Row],[ID]]="", "", INDEX(tblPiNHistorical[[CCCM]:[WASH]], MATCH(tblPiNAnalysis[[#This Row],[ID]],tblPiNHistorical[ID], 0),MATCH(_xlfn._xlws.FILTER(tblPiNAnalysis[[#Headers],[CCCM]:[WASH]], tblPiNAnalysis[[#This Row],[Highest PiN]]=tblPiNAnalysis[[#This Row],[CCCM]:[WASH]]), tblPiNHistorical[[#Headers],[CCCM]:[WASH]], 0))), "")</f>
        <v>0.4</v>
      </c>
      <c r="BB12" s="328" t="str" cm="1">
        <f t="array" ref="BB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 s="272" t="str" cm="1">
        <f t="array" ref="BC12">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 s="329" t="str" cm="1">
        <f t="array" ref="BD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 s="371">
        <f>INDEX(tblSeverityAnalysis[Final Severity], MATCH(tblPiNAnalysis[[#This Row],[ID]],tblSeverityAnalysis[ID], 0))</f>
        <v>3</v>
      </c>
      <c r="BF12" s="60">
        <f>IF(tblPiNAnalysis[[#This Row],[Severity]]&gt;2,tblPiNAnalysis[[#This Row],[Highest PiN]],)</f>
        <v>139420</v>
      </c>
      <c r="BG12" s="187"/>
      <c r="BH12" s="188"/>
      <c r="BI12" s="189">
        <f>COUNTIFS(tblPiNAnalysis[[#This Row],[Number of missing / zero PiNs greater than threshold - Data quality]:[Manual Flag]],"Flagged")</f>
        <v>1</v>
      </c>
      <c r="BJ12" s="346" t="str">
        <f>IF(tblPiNAnalysis[[#This Row],['# Flags]]&gt;0, "Flagged", "")</f>
        <v>Flagged</v>
      </c>
      <c r="BK12" s="339">
        <f>tblPiNAnalysis[[#This Row],[Preliminary PiN]]</f>
        <v>139420</v>
      </c>
      <c r="BL12" s="326"/>
      <c r="BM12" s="383">
        <f>IF(OR(tblPiNAnalysis[[#This Row],[Severity]]=4,tblPiNAnalysis[[#This Row],[Severity]]=5),tblPiNAnalysis[[#This Row],[Final PiN]],0)</f>
        <v>0</v>
      </c>
      <c r="BN12" s="378">
        <f>IF(OR(tblPiNAnalysis[[#This Row],[Severity]]=4,tblPiNAnalysis[[#This Row],[Severity]]=5),100%, IF(tblPiNAnalysis[[#This Row],[Severity]]=3,50%,0%))*tblPiNAnalysis[[#This Row],[Final PiN]]</f>
        <v>69710</v>
      </c>
      <c r="BO12" s="383">
        <f>IF(OR(tblPiNAnalysis[[#This Row],[Severity]]=4,tblPiNAnalysis[[#This Row],[Severity]]=5),100%, IF(AND(tblPiNAnalysis[[#This Row],[Severity]]=3,VLOOKUP(tblPiNAnalysis[[#This Row],[ID]],tblSeverityAnalysis[[ID]:[Highest Severity]],35,FALSE)&gt;3),50%,0%))*tblPiNAnalysis[[#This Row],[Final PiN]]</f>
        <v>69710</v>
      </c>
      <c r="BP12" s="17"/>
      <c r="BQ12" s="17"/>
      <c r="BR12" s="17"/>
      <c r="BU12" s="605"/>
      <c r="BV12" s="17"/>
      <c r="BW12" s="17"/>
      <c r="BX12" s="17"/>
      <c r="BY12" s="17"/>
      <c r="BZ12" s="17"/>
      <c r="CC12" s="17"/>
      <c r="CE12" s="24"/>
      <c r="CF12" s="21"/>
      <c r="CG12" s="17"/>
    </row>
    <row r="13" spans="1:85" hidden="1">
      <c r="A1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Global_PopulationHT0122</v>
      </c>
      <c r="B13" s="304" t="s">
        <v>152</v>
      </c>
      <c r="C13" s="213" t="s">
        <v>153</v>
      </c>
      <c r="D13" s="213" t="s">
        <v>175</v>
      </c>
      <c r="E13" s="103" t="s">
        <v>176</v>
      </c>
      <c r="F13" s="99"/>
      <c r="G13" s="34"/>
      <c r="H13" s="357"/>
      <c r="I13" s="354">
        <v>194867</v>
      </c>
      <c r="J13" s="221" t="s">
        <v>156</v>
      </c>
      <c r="K13" s="316">
        <v>3706.5</v>
      </c>
      <c r="L13" s="308">
        <v>27623</v>
      </c>
      <c r="M13" s="308">
        <v>15075</v>
      </c>
      <c r="N13" s="308">
        <v>65207</v>
      </c>
      <c r="O13" s="308">
        <v>4028.2253111290975</v>
      </c>
      <c r="P13" s="308">
        <v>2779.18</v>
      </c>
      <c r="Q13" s="309">
        <v>79274</v>
      </c>
      <c r="R13" s="308">
        <v>64955.666666666664</v>
      </c>
      <c r="S13" s="308"/>
      <c r="T13" s="308"/>
      <c r="U13" s="308"/>
      <c r="V13" s="308"/>
      <c r="W13" s="317">
        <f>IFERROR(IF(tblPiNAnalysis[[#This Row],[CCCM]]="", "", MROUND(tblPiNAnalysis[[#This Row],[CCCM]]/tblPiNAnalysis[[#This Row],[Population]], 0.05)), "")</f>
        <v>0</v>
      </c>
      <c r="X13" s="318">
        <f>IFERROR(IF(tblPiNAnalysis[[#This Row],[Education]]="", "", MROUND(tblPiNAnalysis[[#This Row],[Education]]/tblPiNAnalysis[[#This Row],[Population]], 0.05)), "")</f>
        <v>0.15000000000000002</v>
      </c>
      <c r="Y13" s="318">
        <f>IFERROR(IF(tblPiNAnalysis[[#This Row],[Nutrition]]="", "", MROUND(tblPiNAnalysis[[#This Row],[Nutrition]]/tblPiNAnalysis[[#This Row],[Population]], 0.05)), "")</f>
        <v>0.1</v>
      </c>
      <c r="Z13" s="318">
        <f>IFERROR(IF(tblPiNAnalysis[[#This Row],[Food Security]]="", "", MROUND(tblPiNAnalysis[[#This Row],[Food Security]]/tblPiNAnalysis[[#This Row],[Population]], 0.05)), "")</f>
        <v>0.35000000000000003</v>
      </c>
      <c r="AA13" s="318">
        <f>IFERROR(IF(tblPiNAnalysis[[#This Row],[Health]]="", "", MROUND(tblPiNAnalysis[[#This Row],[Health]]/tblPiNAnalysis[[#This Row],[Population]], 0.05)), "")</f>
        <v>0</v>
      </c>
      <c r="AB13" s="319">
        <f>IFERROR(IF(tblPiNAnalysis[[#This Row],[Protection]]="", "", MROUND(tblPiNAnalysis[[#This Row],[Protection]]/tblPiNAnalysis[[#This Row],[Population]], 0.05)), "")</f>
        <v>0</v>
      </c>
      <c r="AC13" s="319">
        <f>IFERROR(IF(tblPiNAnalysis[[#This Row],[Shelter]]="", "", MROUND(tblPiNAnalysis[[#This Row],[Shelter]]/tblPiNAnalysis[[#This Row],[Population]], 0.05)), "")</f>
        <v>0.4</v>
      </c>
      <c r="AD13" s="320">
        <f>IFERROR(IF(tblPiNAnalysis[[#This Row],[WASH]]="", "", MROUND(tblPiNAnalysis[[#This Row],[WASH]]/tblPiNAnalysis[[#This Row],[Population]], 0.05)), "")</f>
        <v>0.35000000000000003</v>
      </c>
      <c r="AE13" s="318">
        <f>IFERROR(MROUND(tblPiNAnalysis[[#This Row],[CP]]/tblPiNAnalysis[[#This Row],[Population]], 0.05), "")</f>
        <v>0</v>
      </c>
      <c r="AF13" s="318">
        <f>IFERROR(MROUND(tblPiNAnalysis[[#This Row],[GBV]]/tblPiNAnalysis[[#This Row],[Population]], 0.05), "")</f>
        <v>0</v>
      </c>
      <c r="AG13" s="318">
        <f>IFERROR(MROUND(tblPiNAnalysis[[#This Row],[Migrants]]/tblPiNAnalysis[[#This Row],[Population]], 0.05), "")</f>
        <v>0</v>
      </c>
      <c r="AH13" s="318">
        <f>IFERROR(MROUND(tblPiNAnalysis[[#This Row],[_]]/tblPiNAnalysis[[#This Row],[Population]], 0.05), "")</f>
        <v>0</v>
      </c>
      <c r="AI13" s="321">
        <f>IFERROR(LARGE(tblPiNAnalysis[[#This Row],[CCCM]:[WASH]], 1), "")</f>
        <v>79274</v>
      </c>
      <c r="AJ13" s="322" t="str" cm="1">
        <f t="array" ref="AJ13">IF(tblPiNAnalysis[[#This Row],[Highest PiN]]="", "", _xlfn.TEXTJOIN(CHAR(10), TRUE, IF(tblPiNAnalysis[[#This Row],[Highest PiN]]=tblPiNAnalysis[[#This Row],[CCCM]:[WASH]], tblPiNAnalysis[[#Headers],[CCCM]:[WASH]], "")))</f>
        <v>Shelter</v>
      </c>
      <c r="AK13" s="323">
        <f>IF(tblPiNAnalysis[[#This Row],[Highest PiN]]="", "", tblPiNAnalysis[[#This Row],[Highest PiN]]/tblPiNAnalysis[[#This Row],[Population]])</f>
        <v>0.40681079916045304</v>
      </c>
      <c r="AL13" s="265" t="str">
        <f>IF(SUM(tblPiNAnalysis[[#This Row],[CCCM]:[WASH]])=0, "",IF(COUNTIF(tblPiNAnalysis[[#This Row],[CCCM]:[WASH]],"=0")+COUNTIF(tblPiNAnalysis[[#This Row],[CCCM]:[WASH]],"")&gt;=zero_pin_thresh, "Flagged", ""))</f>
        <v/>
      </c>
      <c r="AM13" s="264" t="str">
        <f>IFERROR(IF(tblPiNAnalysis[[#This Row],[Highest PiN]]="", "", IF(tblPiNAnalysis[[#This Row],[Highest sector(s'') PiN %]]&gt;=flag_pin_perc, "Flagged", "")), "")</f>
        <v/>
      </c>
      <c r="AN13" s="266" t="str" cm="1">
        <f t="array" ref="AN13">IF(tblPiNAnalysis[[#This Row],[Highest PiN]]=0, "",  IF(OR(COUNTIF(tblPiNAnalysis[[#This Row],[Highest sector(s)]],tblSubSectorPopulation[Sector])), "Flagged", ""))</f>
        <v/>
      </c>
      <c r="AO13" s="45" cm="1">
        <f t="array" ref="AO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65207</v>
      </c>
      <c r="AP13" s="326" t="str" cm="1">
        <f t="array" ref="AP13">IF(tblPiNAnalysis[[#This Row],[2nd Highest PiN]]="", "", _xlfn.TEXTJOIN(CHAR(10), TRUE, IF(tblPiNAnalysis[[#This Row],[2nd Highest PiN]]=tblPiNAnalysis[[#This Row],[CCCM]:[WASH]], tblPiNAnalysis[[#Headers],[CCCM]:[WASH]], "")))</f>
        <v>Food Security</v>
      </c>
      <c r="AQ13" s="35">
        <f>IFERROR(tblPiNAnalysis[[#This Row],[2nd Highest PiN]]/tblPiNAnalysis[[#This Row],[Population]], "")</f>
        <v>0.33462310191053385</v>
      </c>
      <c r="AR13" s="45">
        <f>IFERROR(tblPiNAnalysis[[#This Row],[Highest PiN]]-tblPiNAnalysis[[#This Row],[2nd Highest PiN]], "")</f>
        <v>14067</v>
      </c>
      <c r="AS13" s="38">
        <f>IFERROR(((tblPiNAnalysis[[#This Row],[Highest PiN]]-tblPiNAnalysis[[#This Row],[2nd Highest PiN]])/tblPiNAnalysis[[#This Row],[2nd Highest PiN]]),"")</f>
        <v>0.21572837272072018</v>
      </c>
      <c r="AT13" s="269" t="str" cm="1">
        <f t="array" ref="AT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 s="327" cm="1">
        <f t="array" ref="AU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64955.666666666664</v>
      </c>
      <c r="AV13" s="186" t="str" cm="1">
        <f t="array" ref="AV13">IF(tblPiNAnalysis[[#This Row],[3rd Highest PiN]]="", "", _xlfn.TEXTJOIN(CHAR(10), TRUE, IF(tblPiNAnalysis[[#This Row],[3rd Highest PiN]]=tblPiNAnalysis[[#This Row],[CCCM]:[WASH]], tblPiNAnalysis[[#Headers],[CCCM]:[WASH]], "")))</f>
        <v>WASH</v>
      </c>
      <c r="AW13" s="186">
        <f>IFERROR(tblPiNAnalysis[[#This Row],[3rd Highest PiN]]/tblPiNAnalysis[[#This Row],[Population]], "")</f>
        <v>0.33333333333333331</v>
      </c>
      <c r="AX13" s="44">
        <f>IFERROR(tblPiNAnalysis[[#This Row],[Highest PiN]]-tblPiNAnalysis[[#This Row],[3rd Highest PiN]],"")</f>
        <v>14318.333333333336</v>
      </c>
      <c r="AY13" s="38">
        <f>IFERROR(tblPiNAnalysis[[#This Row],[Difference of PiN between Highest and 3rd Highest]]/tblPiNAnalysis[[#This Row],[3rd Highest PiN]], "")</f>
        <v>0.22043239748135912</v>
      </c>
      <c r="AZ13" s="325" t="str" cm="1">
        <f t="array" ref="AZ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 s="292" t="str" cm="1">
        <f t="array" ref="BA13">IFERROR(IF(tblPiNAnalysis[[#This Row],[ID]]="", "", INDEX(tblPiNHistorical[[CCCM]:[WASH]], MATCH(tblPiNAnalysis[[#This Row],[ID]],tblPiNHistorical[ID], 0),MATCH(_xlfn._xlws.FILTER(tblPiNAnalysis[[#Headers],[CCCM]:[WASH]], tblPiNAnalysis[[#This Row],[Highest PiN]]=tblPiNAnalysis[[#This Row],[CCCM]:[WASH]]), tblPiNHistorical[[#Headers],[CCCM]:[WASH]], 0))), "")</f>
        <v/>
      </c>
      <c r="BB13" s="328" t="str" cm="1">
        <f t="array" ref="BB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 s="272" cm="1">
        <f t="array" ref="BC13">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3" s="329" t="str" cm="1">
        <f t="array" ref="BD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 s="371">
        <f>INDEX(tblSeverityAnalysis[Final Severity], MATCH(tblPiNAnalysis[[#This Row],[ID]],tblSeverityAnalysis[ID], 0))</f>
        <v>3</v>
      </c>
      <c r="BF13" s="60">
        <f>IF(tblPiNAnalysis[[#This Row],[Severity]]&gt;2,tblPiNAnalysis[[#This Row],[Highest PiN]],)</f>
        <v>79274</v>
      </c>
      <c r="BG13" s="187"/>
      <c r="BH13" s="188"/>
      <c r="BI13" s="189">
        <f>COUNTIFS(tblPiNAnalysis[[#This Row],[Number of missing / zero PiNs greater than threshold - Data quality]:[Manual Flag]],"Flagged")</f>
        <v>0</v>
      </c>
      <c r="BJ13" s="346" t="str">
        <f>IF(tblPiNAnalysis[[#This Row],['# Flags]]&gt;0, "Flagged", "")</f>
        <v/>
      </c>
      <c r="BK13" s="339">
        <f>tblPiNAnalysis[[#This Row],[Preliminary PiN]]</f>
        <v>79274</v>
      </c>
      <c r="BL13" s="326"/>
      <c r="BM13" s="383">
        <f>IF(OR(tblPiNAnalysis[[#This Row],[Severity]]=4,tblPiNAnalysis[[#This Row],[Severity]]=5),tblPiNAnalysis[[#This Row],[Final PiN]],0)</f>
        <v>0</v>
      </c>
      <c r="BN13" s="378">
        <f>IF(OR(tblPiNAnalysis[[#This Row],[Severity]]=4,tblPiNAnalysis[[#This Row],[Severity]]=5),100%, IF(tblPiNAnalysis[[#This Row],[Severity]]=3,50%,0%))*tblPiNAnalysis[[#This Row],[Final PiN]]</f>
        <v>39637</v>
      </c>
      <c r="BO13" s="383">
        <f>IF(OR(tblPiNAnalysis[[#This Row],[Severity]]=4,tblPiNAnalysis[[#This Row],[Severity]]=5),100%, IF(AND(tblPiNAnalysis[[#This Row],[Severity]]=3,VLOOKUP(tblPiNAnalysis[[#This Row],[ID]],tblSeverityAnalysis[[ID]:[Highest Severity]],35,FALSE)&gt;3),50%,0%))*tblPiNAnalysis[[#This Row],[Final PiN]]</f>
        <v>0</v>
      </c>
      <c r="BP13" s="17"/>
      <c r="BQ13" s="17"/>
      <c r="BR13" s="17"/>
      <c r="BU13" s="605"/>
      <c r="BV13" s="17"/>
      <c r="BW13" s="17"/>
      <c r="BX13" s="17"/>
      <c r="BY13" s="17"/>
      <c r="BZ13" s="17"/>
      <c r="CC13" s="17"/>
      <c r="CE13" s="24"/>
      <c r="CF13" s="21"/>
      <c r="CG13" s="17"/>
    </row>
    <row r="14" spans="1:85" hidden="1">
      <c r="A1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Global_PopulationHT0123</v>
      </c>
      <c r="B14" s="304" t="s">
        <v>152</v>
      </c>
      <c r="C14" s="213" t="s">
        <v>153</v>
      </c>
      <c r="D14" s="213" t="s">
        <v>177</v>
      </c>
      <c r="E14" s="103" t="s">
        <v>178</v>
      </c>
      <c r="F14" s="99"/>
      <c r="G14" s="34"/>
      <c r="H14" s="357"/>
      <c r="I14" s="354">
        <v>157549</v>
      </c>
      <c r="J14" s="221" t="s">
        <v>156</v>
      </c>
      <c r="K14" s="316">
        <v>10194</v>
      </c>
      <c r="L14" s="308">
        <v>22238</v>
      </c>
      <c r="M14" s="308">
        <v>12725</v>
      </c>
      <c r="N14" s="308">
        <v>51461</v>
      </c>
      <c r="O14" s="308">
        <v>11213.248783284285</v>
      </c>
      <c r="P14" s="308">
        <v>9745.9791304347818</v>
      </c>
      <c r="Q14" s="309">
        <v>69621</v>
      </c>
      <c r="R14" s="308">
        <v>6796</v>
      </c>
      <c r="S14" s="308"/>
      <c r="T14" s="308"/>
      <c r="U14" s="308"/>
      <c r="V14" s="308"/>
      <c r="W14" s="317">
        <f>IFERROR(IF(tblPiNAnalysis[[#This Row],[CCCM]]="", "", MROUND(tblPiNAnalysis[[#This Row],[CCCM]]/tblPiNAnalysis[[#This Row],[Population]], 0.05)), "")</f>
        <v>0.05</v>
      </c>
      <c r="X14" s="318">
        <f>IFERROR(IF(tblPiNAnalysis[[#This Row],[Education]]="", "", MROUND(tblPiNAnalysis[[#This Row],[Education]]/tblPiNAnalysis[[#This Row],[Population]], 0.05)), "")</f>
        <v>0.15000000000000002</v>
      </c>
      <c r="Y14" s="318">
        <f>IFERROR(IF(tblPiNAnalysis[[#This Row],[Nutrition]]="", "", MROUND(tblPiNAnalysis[[#This Row],[Nutrition]]/tblPiNAnalysis[[#This Row],[Population]], 0.05)), "")</f>
        <v>0.1</v>
      </c>
      <c r="Z14" s="318">
        <f>IFERROR(IF(tblPiNAnalysis[[#This Row],[Food Security]]="", "", MROUND(tblPiNAnalysis[[#This Row],[Food Security]]/tblPiNAnalysis[[#This Row],[Population]], 0.05)), "")</f>
        <v>0.35000000000000003</v>
      </c>
      <c r="AA14" s="318">
        <f>IFERROR(IF(tblPiNAnalysis[[#This Row],[Health]]="", "", MROUND(tblPiNAnalysis[[#This Row],[Health]]/tblPiNAnalysis[[#This Row],[Population]], 0.05)), "")</f>
        <v>0.05</v>
      </c>
      <c r="AB14" s="319">
        <f>IFERROR(IF(tblPiNAnalysis[[#This Row],[Protection]]="", "", MROUND(tblPiNAnalysis[[#This Row],[Protection]]/tblPiNAnalysis[[#This Row],[Population]], 0.05)), "")</f>
        <v>0.05</v>
      </c>
      <c r="AC14" s="319">
        <f>IFERROR(IF(tblPiNAnalysis[[#This Row],[Shelter]]="", "", MROUND(tblPiNAnalysis[[#This Row],[Shelter]]/tblPiNAnalysis[[#This Row],[Population]], 0.05)), "")</f>
        <v>0.45</v>
      </c>
      <c r="AD14" s="320">
        <f>IFERROR(IF(tblPiNAnalysis[[#This Row],[WASH]]="", "", MROUND(tblPiNAnalysis[[#This Row],[WASH]]/tblPiNAnalysis[[#This Row],[Population]], 0.05)), "")</f>
        <v>0.05</v>
      </c>
      <c r="AE14" s="318">
        <f>IFERROR(MROUND(tblPiNAnalysis[[#This Row],[CP]]/tblPiNAnalysis[[#This Row],[Population]], 0.05), "")</f>
        <v>0</v>
      </c>
      <c r="AF14" s="318">
        <f>IFERROR(MROUND(tblPiNAnalysis[[#This Row],[GBV]]/tblPiNAnalysis[[#This Row],[Population]], 0.05), "")</f>
        <v>0</v>
      </c>
      <c r="AG14" s="318">
        <f>IFERROR(MROUND(tblPiNAnalysis[[#This Row],[Migrants]]/tblPiNAnalysis[[#This Row],[Population]], 0.05), "")</f>
        <v>0</v>
      </c>
      <c r="AH14" s="318">
        <f>IFERROR(MROUND(tblPiNAnalysis[[#This Row],[_]]/tblPiNAnalysis[[#This Row],[Population]], 0.05), "")</f>
        <v>0</v>
      </c>
      <c r="AI14" s="321">
        <f>IFERROR(LARGE(tblPiNAnalysis[[#This Row],[CCCM]:[WASH]], 1), "")</f>
        <v>69621</v>
      </c>
      <c r="AJ14" s="322" t="str" cm="1">
        <f t="array" ref="AJ14">IF(tblPiNAnalysis[[#This Row],[Highest PiN]]="", "", _xlfn.TEXTJOIN(CHAR(10), TRUE, IF(tblPiNAnalysis[[#This Row],[Highest PiN]]=tblPiNAnalysis[[#This Row],[CCCM]:[WASH]], tblPiNAnalysis[[#Headers],[CCCM]:[WASH]], "")))</f>
        <v>Shelter</v>
      </c>
      <c r="AK14" s="323">
        <f>IF(tblPiNAnalysis[[#This Row],[Highest PiN]]="", "", tblPiNAnalysis[[#This Row],[Highest PiN]]/tblPiNAnalysis[[#This Row],[Population]])</f>
        <v>0.44190061504674738</v>
      </c>
      <c r="AL14" s="265" t="str">
        <f>IF(SUM(tblPiNAnalysis[[#This Row],[CCCM]:[WASH]])=0, "",IF(COUNTIF(tblPiNAnalysis[[#This Row],[CCCM]:[WASH]],"=0")+COUNTIF(tblPiNAnalysis[[#This Row],[CCCM]:[WASH]],"")&gt;=zero_pin_thresh, "Flagged", ""))</f>
        <v/>
      </c>
      <c r="AM14" s="264" t="str">
        <f>IFERROR(IF(tblPiNAnalysis[[#This Row],[Highest PiN]]="", "", IF(tblPiNAnalysis[[#This Row],[Highest sector(s'') PiN %]]&gt;=flag_pin_perc, "Flagged", "")), "")</f>
        <v/>
      </c>
      <c r="AN14" s="266" t="str" cm="1">
        <f t="array" ref="AN14">IF(tblPiNAnalysis[[#This Row],[Highest PiN]]=0, "",  IF(OR(COUNTIF(tblPiNAnalysis[[#This Row],[Highest sector(s)]],tblSubSectorPopulation[Sector])), "Flagged", ""))</f>
        <v/>
      </c>
      <c r="AO14" s="45" cm="1">
        <f t="array" ref="AO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51461</v>
      </c>
      <c r="AP14" s="326" t="str" cm="1">
        <f t="array" ref="AP14">IF(tblPiNAnalysis[[#This Row],[2nd Highest PiN]]="", "", _xlfn.TEXTJOIN(CHAR(10), TRUE, IF(tblPiNAnalysis[[#This Row],[2nd Highest PiN]]=tblPiNAnalysis[[#This Row],[CCCM]:[WASH]], tblPiNAnalysis[[#Headers],[CCCM]:[WASH]], "")))</f>
        <v>Food Security</v>
      </c>
      <c r="AQ14" s="35">
        <f>IFERROR(tblPiNAnalysis[[#This Row],[2nd Highest PiN]]/tblPiNAnalysis[[#This Row],[Population]], "")</f>
        <v>0.32663488819351438</v>
      </c>
      <c r="AR14" s="45">
        <f>IFERROR(tblPiNAnalysis[[#This Row],[Highest PiN]]-tblPiNAnalysis[[#This Row],[2nd Highest PiN]], "")</f>
        <v>18160</v>
      </c>
      <c r="AS14" s="38">
        <f>IFERROR(((tblPiNAnalysis[[#This Row],[Highest PiN]]-tblPiNAnalysis[[#This Row],[2nd Highest PiN]])/tblPiNAnalysis[[#This Row],[2nd Highest PiN]]),"")</f>
        <v>0.35288859524688598</v>
      </c>
      <c r="AT14" s="269" t="str" cm="1">
        <f t="array" ref="AT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 s="327" cm="1">
        <f t="array" ref="AU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22238</v>
      </c>
      <c r="AV14" s="186" t="str" cm="1">
        <f t="array" ref="AV14">IF(tblPiNAnalysis[[#This Row],[3rd Highest PiN]]="", "", _xlfn.TEXTJOIN(CHAR(10), TRUE, IF(tblPiNAnalysis[[#This Row],[3rd Highest PiN]]=tblPiNAnalysis[[#This Row],[CCCM]:[WASH]], tblPiNAnalysis[[#Headers],[CCCM]:[WASH]], "")))</f>
        <v>Education</v>
      </c>
      <c r="AW14" s="186">
        <f>IFERROR(tblPiNAnalysis[[#This Row],[3rd Highest PiN]]/tblPiNAnalysis[[#This Row],[Population]], "")</f>
        <v>0.14114973754197108</v>
      </c>
      <c r="AX14" s="44">
        <f>IFERROR(tblPiNAnalysis[[#This Row],[Highest PiN]]-tblPiNAnalysis[[#This Row],[3rd Highest PiN]],"")</f>
        <v>47383</v>
      </c>
      <c r="AY14" s="38">
        <f>IFERROR(tblPiNAnalysis[[#This Row],[Difference of PiN between Highest and 3rd Highest]]/tblPiNAnalysis[[#This Row],[3rd Highest PiN]], "")</f>
        <v>2.1307221872470548</v>
      </c>
      <c r="AZ14" s="325" t="str" cm="1">
        <f t="array" ref="AZ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 s="292" cm="1">
        <f t="array" ref="BA14">IFERROR(IF(tblPiNAnalysis[[#This Row],[ID]]="", "", INDEX(tblPiNHistorical[[CCCM]:[WASH]], MATCH(tblPiNAnalysis[[#This Row],[ID]],tblPiNHistorical[ID], 0),MATCH(_xlfn._xlws.FILTER(tblPiNAnalysis[[#Headers],[CCCM]:[WASH]], tblPiNAnalysis[[#This Row],[Highest PiN]]=tblPiNAnalysis[[#This Row],[CCCM]:[WASH]]), tblPiNHistorical[[#Headers],[CCCM]:[WASH]], 0))), "")</f>
        <v>0.3</v>
      </c>
      <c r="BB14" s="328" t="str" cm="1">
        <f t="array" ref="BB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 s="272" cm="1">
        <f t="array" ref="BC14">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4" s="329" t="str" cm="1">
        <f t="array" ref="BD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 s="371">
        <f>INDEX(tblSeverityAnalysis[Final Severity], MATCH(tblPiNAnalysis[[#This Row],[ID]],tblSeverityAnalysis[ID], 0))</f>
        <v>2</v>
      </c>
      <c r="BF14" s="60">
        <f>IF(tblPiNAnalysis[[#This Row],[Severity]]&gt;2,tblPiNAnalysis[[#This Row],[Highest PiN]],)</f>
        <v>0</v>
      </c>
      <c r="BG14" s="187"/>
      <c r="BH14" s="188"/>
      <c r="BI14" s="189">
        <f>COUNTIFS(tblPiNAnalysis[[#This Row],[Number of missing / zero PiNs greater than threshold - Data quality]:[Manual Flag]],"Flagged")</f>
        <v>1</v>
      </c>
      <c r="BJ14" s="346" t="str">
        <f>IF(tblPiNAnalysis[[#This Row],['# Flags]]&gt;0, "Flagged", "")</f>
        <v>Flagged</v>
      </c>
      <c r="BK14" s="339">
        <f>tblPiNAnalysis[[#This Row],[Preliminary PiN]]</f>
        <v>0</v>
      </c>
      <c r="BL14" s="326"/>
      <c r="BM14" s="383">
        <f>IF(OR(tblPiNAnalysis[[#This Row],[Severity]]=4,tblPiNAnalysis[[#This Row],[Severity]]=5),tblPiNAnalysis[[#This Row],[Final PiN]],0)</f>
        <v>0</v>
      </c>
      <c r="BN14" s="378">
        <f>IF(OR(tblPiNAnalysis[[#This Row],[Severity]]=4,tblPiNAnalysis[[#This Row],[Severity]]=5),100%, IF(tblPiNAnalysis[[#This Row],[Severity]]=3,50%,0%))*tblPiNAnalysis[[#This Row],[Final PiN]]</f>
        <v>0</v>
      </c>
      <c r="BO14" s="383">
        <f>IF(OR(tblPiNAnalysis[[#This Row],[Severity]]=4,tblPiNAnalysis[[#This Row],[Severity]]=5),100%, IF(AND(tblPiNAnalysis[[#This Row],[Severity]]=3,VLOOKUP(tblPiNAnalysis[[#This Row],[ID]],tblSeverityAnalysis[[ID]:[Highest Severity]],35,FALSE)&gt;3),50%,0%))*tblPiNAnalysis[[#This Row],[Final PiN]]</f>
        <v>0</v>
      </c>
      <c r="BP14" s="17"/>
      <c r="BQ14" s="17"/>
      <c r="BR14" s="17"/>
      <c r="BU14" s="605"/>
      <c r="BV14" s="17"/>
      <c r="BW14" s="17"/>
      <c r="BX14" s="17"/>
      <c r="BY14" s="17"/>
      <c r="BZ14" s="17"/>
      <c r="CC14" s="17"/>
      <c r="CE14" s="24"/>
      <c r="CF14" s="21"/>
      <c r="CG14" s="17"/>
    </row>
    <row r="15" spans="1:85" hidden="1">
      <c r="A1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Global_PopulationHT0131</v>
      </c>
      <c r="B15" s="304" t="s">
        <v>152</v>
      </c>
      <c r="C15" s="213" t="s">
        <v>153</v>
      </c>
      <c r="D15" s="213" t="s">
        <v>179</v>
      </c>
      <c r="E15" s="103" t="s">
        <v>180</v>
      </c>
      <c r="F15" s="99"/>
      <c r="G15" s="34"/>
      <c r="H15" s="357"/>
      <c r="I15" s="354">
        <v>129879</v>
      </c>
      <c r="J15" s="221" t="s">
        <v>156</v>
      </c>
      <c r="K15" s="316">
        <v>7776</v>
      </c>
      <c r="L15" s="308">
        <v>17630</v>
      </c>
      <c r="M15" s="308">
        <v>16055</v>
      </c>
      <c r="N15" s="308">
        <v>56942</v>
      </c>
      <c r="O15" s="308">
        <v>115362.66459598063</v>
      </c>
      <c r="P15" s="308">
        <v>20433.5</v>
      </c>
      <c r="Q15" s="309">
        <v>47702</v>
      </c>
      <c r="R15" s="308">
        <v>31058.021739130436</v>
      </c>
      <c r="S15" s="308"/>
      <c r="T15" s="308"/>
      <c r="U15" s="308"/>
      <c r="V15" s="308"/>
      <c r="W15" s="317">
        <f>IFERROR(IF(tblPiNAnalysis[[#This Row],[CCCM]]="", "", MROUND(tblPiNAnalysis[[#This Row],[CCCM]]/tblPiNAnalysis[[#This Row],[Population]], 0.05)), "")</f>
        <v>0.05</v>
      </c>
      <c r="X15" s="318">
        <f>IFERROR(IF(tblPiNAnalysis[[#This Row],[Education]]="", "", MROUND(tblPiNAnalysis[[#This Row],[Education]]/tblPiNAnalysis[[#This Row],[Population]], 0.05)), "")</f>
        <v>0.15000000000000002</v>
      </c>
      <c r="Y15" s="318">
        <f>IFERROR(IF(tblPiNAnalysis[[#This Row],[Nutrition]]="", "", MROUND(tblPiNAnalysis[[#This Row],[Nutrition]]/tblPiNAnalysis[[#This Row],[Population]], 0.05)), "")</f>
        <v>0.1</v>
      </c>
      <c r="Z15" s="318">
        <f>IFERROR(IF(tblPiNAnalysis[[#This Row],[Food Security]]="", "", MROUND(tblPiNAnalysis[[#This Row],[Food Security]]/tblPiNAnalysis[[#This Row],[Population]], 0.05)), "")</f>
        <v>0.45</v>
      </c>
      <c r="AA15" s="318">
        <f>IFERROR(IF(tblPiNAnalysis[[#This Row],[Health]]="", "", MROUND(tblPiNAnalysis[[#This Row],[Health]]/tblPiNAnalysis[[#This Row],[Population]], 0.05)), "")</f>
        <v>0.9</v>
      </c>
      <c r="AB15" s="319">
        <f>IFERROR(IF(tblPiNAnalysis[[#This Row],[Protection]]="", "", MROUND(tblPiNAnalysis[[#This Row],[Protection]]/tblPiNAnalysis[[#This Row],[Population]], 0.05)), "")</f>
        <v>0.15000000000000002</v>
      </c>
      <c r="AC15" s="319">
        <f>IFERROR(IF(tblPiNAnalysis[[#This Row],[Shelter]]="", "", MROUND(tblPiNAnalysis[[#This Row],[Shelter]]/tblPiNAnalysis[[#This Row],[Population]], 0.05)), "")</f>
        <v>0.35000000000000003</v>
      </c>
      <c r="AD15" s="320">
        <f>IFERROR(IF(tblPiNAnalysis[[#This Row],[WASH]]="", "", MROUND(tblPiNAnalysis[[#This Row],[WASH]]/tblPiNAnalysis[[#This Row],[Population]], 0.05)), "")</f>
        <v>0.25</v>
      </c>
      <c r="AE15" s="318">
        <f>IFERROR(MROUND(tblPiNAnalysis[[#This Row],[CP]]/tblPiNAnalysis[[#This Row],[Population]], 0.05), "")</f>
        <v>0</v>
      </c>
      <c r="AF15" s="318">
        <f>IFERROR(MROUND(tblPiNAnalysis[[#This Row],[GBV]]/tblPiNAnalysis[[#This Row],[Population]], 0.05), "")</f>
        <v>0</v>
      </c>
      <c r="AG15" s="318">
        <f>IFERROR(MROUND(tblPiNAnalysis[[#This Row],[Migrants]]/tblPiNAnalysis[[#This Row],[Population]], 0.05), "")</f>
        <v>0</v>
      </c>
      <c r="AH15" s="318">
        <f>IFERROR(MROUND(tblPiNAnalysis[[#This Row],[_]]/tblPiNAnalysis[[#This Row],[Population]], 0.05), "")</f>
        <v>0</v>
      </c>
      <c r="AI15" s="321">
        <f>IFERROR(LARGE(tblPiNAnalysis[[#This Row],[CCCM]:[WASH]], 1), "")</f>
        <v>115362.66459598063</v>
      </c>
      <c r="AJ15" s="322" t="str" cm="1">
        <f t="array" ref="AJ15">IF(tblPiNAnalysis[[#This Row],[Highest PiN]]="", "", _xlfn.TEXTJOIN(CHAR(10), TRUE, IF(tblPiNAnalysis[[#This Row],[Highest PiN]]=tblPiNAnalysis[[#This Row],[CCCM]:[WASH]], tblPiNAnalysis[[#Headers],[CCCM]:[WASH]], "")))</f>
        <v>Health</v>
      </c>
      <c r="AK15" s="323">
        <f>IF(tblPiNAnalysis[[#This Row],[Highest PiN]]="", "", tblPiNAnalysis[[#This Row],[Highest PiN]]/tblPiNAnalysis[[#This Row],[Population]])</f>
        <v>0.88823185115361714</v>
      </c>
      <c r="AL15" s="265" t="str">
        <f>IF(SUM(tblPiNAnalysis[[#This Row],[CCCM]:[WASH]])=0, "",IF(COUNTIF(tblPiNAnalysis[[#This Row],[CCCM]:[WASH]],"=0")+COUNTIF(tblPiNAnalysis[[#This Row],[CCCM]:[WASH]],"")&gt;=zero_pin_thresh, "Flagged", ""))</f>
        <v/>
      </c>
      <c r="AM15" s="264" t="str">
        <f>IFERROR(IF(tblPiNAnalysis[[#This Row],[Highest PiN]]="", "", IF(tblPiNAnalysis[[#This Row],[Highest sector(s'') PiN %]]&gt;=flag_pin_perc, "Flagged", "")), "")</f>
        <v/>
      </c>
      <c r="AN15" s="266" t="str" cm="1">
        <f t="array" ref="AN15">IF(tblPiNAnalysis[[#This Row],[Highest PiN]]=0, "",  IF(OR(COUNTIF(tblPiNAnalysis[[#This Row],[Highest sector(s)]],tblSubSectorPopulation[Sector])), "Flagged", ""))</f>
        <v/>
      </c>
      <c r="AO15" s="45" cm="1">
        <f t="array" ref="AO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56942</v>
      </c>
      <c r="AP15" s="326" t="str" cm="1">
        <f t="array" ref="AP15">IF(tblPiNAnalysis[[#This Row],[2nd Highest PiN]]="", "", _xlfn.TEXTJOIN(CHAR(10), TRUE, IF(tblPiNAnalysis[[#This Row],[2nd Highest PiN]]=tblPiNAnalysis[[#This Row],[CCCM]:[WASH]], tblPiNAnalysis[[#Headers],[CCCM]:[WASH]], "")))</f>
        <v>Food Security</v>
      </c>
      <c r="AQ15" s="35">
        <f>IFERROR(tblPiNAnalysis[[#This Row],[2nd Highest PiN]]/tblPiNAnalysis[[#This Row],[Population]], "")</f>
        <v>0.43842345567797719</v>
      </c>
      <c r="AR15" s="45">
        <f>IFERROR(tblPiNAnalysis[[#This Row],[Highest PiN]]-tblPiNAnalysis[[#This Row],[2nd Highest PiN]], "")</f>
        <v>58420.664595980634</v>
      </c>
      <c r="AS15" s="38">
        <f>IFERROR(((tblPiNAnalysis[[#This Row],[Highest PiN]]-tblPiNAnalysis[[#This Row],[2nd Highest PiN]])/tblPiNAnalysis[[#This Row],[2nd Highest PiN]]),"")</f>
        <v>1.0259679076249628</v>
      </c>
      <c r="AT15" s="269" t="str" cm="1">
        <f t="array" ref="AT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5" s="327" cm="1">
        <f t="array" ref="AU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47702</v>
      </c>
      <c r="AV15" s="186" t="str" cm="1">
        <f t="array" ref="AV15">IF(tblPiNAnalysis[[#This Row],[3rd Highest PiN]]="", "", _xlfn.TEXTJOIN(CHAR(10), TRUE, IF(tblPiNAnalysis[[#This Row],[3rd Highest PiN]]=tblPiNAnalysis[[#This Row],[CCCM]:[WASH]], tblPiNAnalysis[[#Headers],[CCCM]:[WASH]], "")))</f>
        <v>Shelter</v>
      </c>
      <c r="AW15" s="186">
        <f>IFERROR(tblPiNAnalysis[[#This Row],[3rd Highest PiN]]/tblPiNAnalysis[[#This Row],[Population]], "")</f>
        <v>0.36728031475450229</v>
      </c>
      <c r="AX15" s="44">
        <f>IFERROR(tblPiNAnalysis[[#This Row],[Highest PiN]]-tblPiNAnalysis[[#This Row],[3rd Highest PiN]],"")</f>
        <v>67660.664595980634</v>
      </c>
      <c r="AY15" s="38">
        <f>IFERROR(tblPiNAnalysis[[#This Row],[Difference of PiN between Highest and 3rd Highest]]/tblPiNAnalysis[[#This Row],[3rd Highest PiN]], "")</f>
        <v>1.4184030983183229</v>
      </c>
      <c r="AZ15" s="325" t="str" cm="1">
        <f t="array" ref="AZ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5" s="292" cm="1">
        <f t="array" ref="BA15">IFERROR(IF(tblPiNAnalysis[[#This Row],[ID]]="", "", INDEX(tblPiNHistorical[[CCCM]:[WASH]], MATCH(tblPiNAnalysis[[#This Row],[ID]],tblPiNHistorical[ID], 0),MATCH(_xlfn._xlws.FILTER(tblPiNAnalysis[[#Headers],[CCCM]:[WASH]], tblPiNAnalysis[[#This Row],[Highest PiN]]=tblPiNAnalysis[[#This Row],[CCCM]:[WASH]]), tblPiNHistorical[[#Headers],[CCCM]:[WASH]], 0))), "")</f>
        <v>4.0999999999999996</v>
      </c>
      <c r="BB15" s="328" t="str" cm="1">
        <f t="array" ref="BB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5" s="272" cm="1">
        <f t="array" ref="BC15">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5" s="329" t="str" cm="1">
        <f t="array" ref="BD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5" s="371">
        <f>INDEX(tblSeverityAnalysis[Final Severity], MATCH(tblPiNAnalysis[[#This Row],[ID]],tblSeverityAnalysis[ID], 0))</f>
        <v>4</v>
      </c>
      <c r="BF15" s="60">
        <f>IF(tblPiNAnalysis[[#This Row],[Severity]]&gt;2,tblPiNAnalysis[[#This Row],[Highest PiN]],)</f>
        <v>115362.66459598063</v>
      </c>
      <c r="BG15" s="187"/>
      <c r="BH15" s="188"/>
      <c r="BI15" s="189">
        <f>COUNTIFS(tblPiNAnalysis[[#This Row],[Number of missing / zero PiNs greater than threshold - Data quality]:[Manual Flag]],"Flagged")</f>
        <v>3</v>
      </c>
      <c r="BJ15" s="346" t="str">
        <f>IF(tblPiNAnalysis[[#This Row],['# Flags]]&gt;0, "Flagged", "")</f>
        <v>Flagged</v>
      </c>
      <c r="BK15" s="339">
        <f>tblPiNAnalysis[[#This Row],[Preliminary PiN]]</f>
        <v>115362.66459598063</v>
      </c>
      <c r="BL15" s="326"/>
      <c r="BM15" s="383">
        <f>IF(OR(tblPiNAnalysis[[#This Row],[Severity]]=4,tblPiNAnalysis[[#This Row],[Severity]]=5),tblPiNAnalysis[[#This Row],[Final PiN]],0)</f>
        <v>115362.66459598063</v>
      </c>
      <c r="BN15" s="378">
        <f>IF(OR(tblPiNAnalysis[[#This Row],[Severity]]=4,tblPiNAnalysis[[#This Row],[Severity]]=5),100%, IF(tblPiNAnalysis[[#This Row],[Severity]]=3,50%,0%))*tblPiNAnalysis[[#This Row],[Final PiN]]</f>
        <v>115362.66459598063</v>
      </c>
      <c r="BO15" s="383">
        <f>IF(OR(tblPiNAnalysis[[#This Row],[Severity]]=4,tblPiNAnalysis[[#This Row],[Severity]]=5),100%, IF(AND(tblPiNAnalysis[[#This Row],[Severity]]=3,VLOOKUP(tblPiNAnalysis[[#This Row],[ID]],tblSeverityAnalysis[[ID]:[Highest Severity]],35,FALSE)&gt;3),50%,0%))*tblPiNAnalysis[[#This Row],[Final PiN]]</f>
        <v>115362.66459598063</v>
      </c>
      <c r="BP15" s="17"/>
      <c r="BQ15" s="17"/>
      <c r="BR15" s="17"/>
      <c r="BU15" s="605"/>
      <c r="BV15" s="17"/>
      <c r="BW15" s="17"/>
      <c r="BX15" s="17"/>
      <c r="BY15" s="17"/>
      <c r="BZ15" s="17"/>
      <c r="CC15" s="17"/>
      <c r="CE15" s="24"/>
      <c r="CF15" s="21"/>
      <c r="CG15" s="17"/>
    </row>
    <row r="16" spans="1:85" hidden="1">
      <c r="A1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Global_PopulationHT0132</v>
      </c>
      <c r="B16" s="304" t="s">
        <v>152</v>
      </c>
      <c r="C16" s="213" t="s">
        <v>153</v>
      </c>
      <c r="D16" s="213" t="s">
        <v>181</v>
      </c>
      <c r="E16" s="103" t="s">
        <v>182</v>
      </c>
      <c r="F16" s="99"/>
      <c r="G16" s="34"/>
      <c r="H16" s="357"/>
      <c r="I16" s="354">
        <v>54753</v>
      </c>
      <c r="J16" s="221" t="s">
        <v>156</v>
      </c>
      <c r="K16" s="316">
        <v>0</v>
      </c>
      <c r="L16" s="308">
        <v>7389</v>
      </c>
      <c r="M16" s="308">
        <v>6098</v>
      </c>
      <c r="N16" s="308">
        <v>19966</v>
      </c>
      <c r="O16" s="308">
        <v>27480.456879075118</v>
      </c>
      <c r="P16" s="308">
        <v>2148</v>
      </c>
      <c r="Q16" s="309">
        <v>35000</v>
      </c>
      <c r="R16" s="308">
        <v>40152.200000000004</v>
      </c>
      <c r="S16" s="308"/>
      <c r="T16" s="308"/>
      <c r="U16" s="308"/>
      <c r="V16" s="308"/>
      <c r="W16" s="317">
        <f>IFERROR(IF(tblPiNAnalysis[[#This Row],[CCCM]]="", "", MROUND(tblPiNAnalysis[[#This Row],[CCCM]]/tblPiNAnalysis[[#This Row],[Population]], 0.05)), "")</f>
        <v>0</v>
      </c>
      <c r="X16" s="318">
        <f>IFERROR(IF(tblPiNAnalysis[[#This Row],[Education]]="", "", MROUND(tblPiNAnalysis[[#This Row],[Education]]/tblPiNAnalysis[[#This Row],[Population]], 0.05)), "")</f>
        <v>0.15000000000000002</v>
      </c>
      <c r="Y16" s="318">
        <f>IFERROR(IF(tblPiNAnalysis[[#This Row],[Nutrition]]="", "", MROUND(tblPiNAnalysis[[#This Row],[Nutrition]]/tblPiNAnalysis[[#This Row],[Population]], 0.05)), "")</f>
        <v>0.1</v>
      </c>
      <c r="Z16" s="318">
        <f>IFERROR(IF(tblPiNAnalysis[[#This Row],[Food Security]]="", "", MROUND(tblPiNAnalysis[[#This Row],[Food Security]]/tblPiNAnalysis[[#This Row],[Population]], 0.05)), "")</f>
        <v>0.35000000000000003</v>
      </c>
      <c r="AA16" s="318">
        <f>IFERROR(IF(tblPiNAnalysis[[#This Row],[Health]]="", "", MROUND(tblPiNAnalysis[[#This Row],[Health]]/tblPiNAnalysis[[#This Row],[Population]], 0.05)), "")</f>
        <v>0.5</v>
      </c>
      <c r="AB16" s="319">
        <f>IFERROR(IF(tblPiNAnalysis[[#This Row],[Protection]]="", "", MROUND(tblPiNAnalysis[[#This Row],[Protection]]/tblPiNAnalysis[[#This Row],[Population]], 0.05)), "")</f>
        <v>0.05</v>
      </c>
      <c r="AC16" s="319">
        <f>IFERROR(IF(tblPiNAnalysis[[#This Row],[Shelter]]="", "", MROUND(tblPiNAnalysis[[#This Row],[Shelter]]/tblPiNAnalysis[[#This Row],[Population]], 0.05)), "")</f>
        <v>0.65</v>
      </c>
      <c r="AD16" s="320">
        <f>IFERROR(IF(tblPiNAnalysis[[#This Row],[WASH]]="", "", MROUND(tblPiNAnalysis[[#This Row],[WASH]]/tblPiNAnalysis[[#This Row],[Population]], 0.05)), "")</f>
        <v>0.75</v>
      </c>
      <c r="AE16" s="318">
        <f>IFERROR(MROUND(tblPiNAnalysis[[#This Row],[CP]]/tblPiNAnalysis[[#This Row],[Population]], 0.05), "")</f>
        <v>0</v>
      </c>
      <c r="AF16" s="318">
        <f>IFERROR(MROUND(tblPiNAnalysis[[#This Row],[GBV]]/tblPiNAnalysis[[#This Row],[Population]], 0.05), "")</f>
        <v>0</v>
      </c>
      <c r="AG16" s="318">
        <f>IFERROR(MROUND(tblPiNAnalysis[[#This Row],[Migrants]]/tblPiNAnalysis[[#This Row],[Population]], 0.05), "")</f>
        <v>0</v>
      </c>
      <c r="AH16" s="318">
        <f>IFERROR(MROUND(tblPiNAnalysis[[#This Row],[_]]/tblPiNAnalysis[[#This Row],[Population]], 0.05), "")</f>
        <v>0</v>
      </c>
      <c r="AI16" s="321">
        <f>IFERROR(LARGE(tblPiNAnalysis[[#This Row],[CCCM]:[WASH]], 1), "")</f>
        <v>40152.200000000004</v>
      </c>
      <c r="AJ16" s="322" t="str" cm="1">
        <f t="array" ref="AJ16">IF(tblPiNAnalysis[[#This Row],[Highest PiN]]="", "", _xlfn.TEXTJOIN(CHAR(10), TRUE, IF(tblPiNAnalysis[[#This Row],[Highest PiN]]=tblPiNAnalysis[[#This Row],[CCCM]:[WASH]], tblPiNAnalysis[[#Headers],[CCCM]:[WASH]], "")))</f>
        <v>WASH</v>
      </c>
      <c r="AK16" s="323">
        <f>IF(tblPiNAnalysis[[#This Row],[Highest PiN]]="", "", tblPiNAnalysis[[#This Row],[Highest PiN]]/tblPiNAnalysis[[#This Row],[Population]])</f>
        <v>0.73333333333333339</v>
      </c>
      <c r="AL16" s="265" t="str">
        <f>IF(SUM(tblPiNAnalysis[[#This Row],[CCCM]:[WASH]])=0, "",IF(COUNTIF(tblPiNAnalysis[[#This Row],[CCCM]:[WASH]],"=0")+COUNTIF(tblPiNAnalysis[[#This Row],[CCCM]:[WASH]],"")&gt;=zero_pin_thresh, "Flagged", ""))</f>
        <v/>
      </c>
      <c r="AM16" s="264" t="str">
        <f>IFERROR(IF(tblPiNAnalysis[[#This Row],[Highest PiN]]="", "", IF(tblPiNAnalysis[[#This Row],[Highest sector(s'') PiN %]]&gt;=flag_pin_perc, "Flagged", "")), "")</f>
        <v/>
      </c>
      <c r="AN16" s="266" t="str" cm="1">
        <f t="array" ref="AN16">IF(tblPiNAnalysis[[#This Row],[Highest PiN]]=0, "",  IF(OR(COUNTIF(tblPiNAnalysis[[#This Row],[Highest sector(s)]],tblSubSectorPopulation[Sector])), "Flagged", ""))</f>
        <v/>
      </c>
      <c r="AO16" s="45" cm="1">
        <f t="array" ref="AO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35000</v>
      </c>
      <c r="AP16" s="326" t="str" cm="1">
        <f t="array" ref="AP16">IF(tblPiNAnalysis[[#This Row],[2nd Highest PiN]]="", "", _xlfn.TEXTJOIN(CHAR(10), TRUE, IF(tblPiNAnalysis[[#This Row],[2nd Highest PiN]]=tblPiNAnalysis[[#This Row],[CCCM]:[WASH]], tblPiNAnalysis[[#Headers],[CCCM]:[WASH]], "")))</f>
        <v>Shelter</v>
      </c>
      <c r="AQ16" s="35">
        <f>IFERROR(tblPiNAnalysis[[#This Row],[2nd Highest PiN]]/tblPiNAnalysis[[#This Row],[Population]], "")</f>
        <v>0.63923437985133236</v>
      </c>
      <c r="AR16" s="45">
        <f>IFERROR(tblPiNAnalysis[[#This Row],[Highest PiN]]-tblPiNAnalysis[[#This Row],[2nd Highest PiN]], "")</f>
        <v>5152.2000000000044</v>
      </c>
      <c r="AS16" s="38">
        <f>IFERROR(((tblPiNAnalysis[[#This Row],[Highest PiN]]-tblPiNAnalysis[[#This Row],[2nd Highest PiN]])/tblPiNAnalysis[[#This Row],[2nd Highest PiN]]),"")</f>
        <v>0.14720571428571441</v>
      </c>
      <c r="AT16" s="269" t="str" cm="1">
        <f t="array" ref="AT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6" s="327" cm="1">
        <f t="array" ref="AU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27480.456879075118</v>
      </c>
      <c r="AV16" s="186" t="str" cm="1">
        <f t="array" ref="AV16">IF(tblPiNAnalysis[[#This Row],[3rd Highest PiN]]="", "", _xlfn.TEXTJOIN(CHAR(10), TRUE, IF(tblPiNAnalysis[[#This Row],[3rd Highest PiN]]=tblPiNAnalysis[[#This Row],[CCCM]:[WASH]], tblPiNAnalysis[[#Headers],[CCCM]:[WASH]], "")))</f>
        <v>Health</v>
      </c>
      <c r="AW16" s="186">
        <f>IFERROR(tblPiNAnalysis[[#This Row],[3rd Highest PiN]]/tblPiNAnalysis[[#This Row],[Population]], "")</f>
        <v>0.50189865174648185</v>
      </c>
      <c r="AX16" s="44">
        <f>IFERROR(tblPiNAnalysis[[#This Row],[Highest PiN]]-tblPiNAnalysis[[#This Row],[3rd Highest PiN]],"")</f>
        <v>12671.743120924886</v>
      </c>
      <c r="AY16" s="38">
        <f>IFERROR(tblPiNAnalysis[[#This Row],[Difference of PiN between Highest and 3rd Highest]]/tblPiNAnalysis[[#This Row],[3rd Highest PiN]], "")</f>
        <v>0.4611183568266557</v>
      </c>
      <c r="AZ16" s="325" t="str" cm="1">
        <f t="array" ref="AZ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6" s="292" cm="1">
        <f t="array" ref="BA16">IFERROR(IF(tblPiNAnalysis[[#This Row],[ID]]="", "", INDEX(tblPiNHistorical[[CCCM]:[WASH]], MATCH(tblPiNAnalysis[[#This Row],[ID]],tblPiNHistorical[ID], 0),MATCH(_xlfn._xlws.FILTER(tblPiNAnalysis[[#Headers],[CCCM]:[WASH]], tblPiNAnalysis[[#This Row],[Highest PiN]]=tblPiNAnalysis[[#This Row],[CCCM]:[WASH]]), tblPiNHistorical[[#Headers],[CCCM]:[WASH]], 0))), "")</f>
        <v>3</v>
      </c>
      <c r="BB16" s="328" t="str" cm="1">
        <f t="array" ref="BB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6" s="272" t="str" cm="1">
        <f t="array" ref="BC1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6" s="329" t="str" cm="1">
        <f t="array" ref="BD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6" s="371">
        <f>INDEX(tblSeverityAnalysis[Final Severity], MATCH(tblPiNAnalysis[[#This Row],[ID]],tblSeverityAnalysis[ID], 0))</f>
        <v>3</v>
      </c>
      <c r="BF16" s="60">
        <f>IF(tblPiNAnalysis[[#This Row],[Severity]]&gt;2,tblPiNAnalysis[[#This Row],[Highest PiN]],)</f>
        <v>40152.200000000004</v>
      </c>
      <c r="BG16" s="187"/>
      <c r="BH16" s="188"/>
      <c r="BI16" s="189">
        <f>COUNTIFS(tblPiNAnalysis[[#This Row],[Number of missing / zero PiNs greater than threshold - Data quality]:[Manual Flag]],"Flagged")</f>
        <v>1</v>
      </c>
      <c r="BJ16" s="346" t="str">
        <f>IF(tblPiNAnalysis[[#This Row],['# Flags]]&gt;0, "Flagged", "")</f>
        <v>Flagged</v>
      </c>
      <c r="BK16" s="339">
        <f>tblPiNAnalysis[[#This Row],[Preliminary PiN]]</f>
        <v>40152.200000000004</v>
      </c>
      <c r="BL16" s="326"/>
      <c r="BM16" s="383">
        <f>IF(OR(tblPiNAnalysis[[#This Row],[Severity]]=4,tblPiNAnalysis[[#This Row],[Severity]]=5),tblPiNAnalysis[[#This Row],[Final PiN]],0)</f>
        <v>0</v>
      </c>
      <c r="BN16" s="378">
        <f>IF(OR(tblPiNAnalysis[[#This Row],[Severity]]=4,tblPiNAnalysis[[#This Row],[Severity]]=5),100%, IF(tblPiNAnalysis[[#This Row],[Severity]]=3,50%,0%))*tblPiNAnalysis[[#This Row],[Final PiN]]</f>
        <v>20076.100000000002</v>
      </c>
      <c r="BO16" s="383">
        <f>IF(OR(tblPiNAnalysis[[#This Row],[Severity]]=4,tblPiNAnalysis[[#This Row],[Severity]]=5),100%, IF(AND(tblPiNAnalysis[[#This Row],[Severity]]=3,VLOOKUP(tblPiNAnalysis[[#This Row],[ID]],tblSeverityAnalysis[[ID]:[Highest Severity]],35,FALSE)&gt;3),50%,0%))*tblPiNAnalysis[[#This Row],[Final PiN]]</f>
        <v>0</v>
      </c>
      <c r="BP16" s="17"/>
      <c r="BQ16" s="17"/>
      <c r="BR16" s="17"/>
      <c r="BU16" s="605"/>
      <c r="BV16" s="17"/>
      <c r="BW16" s="17"/>
      <c r="BX16" s="17"/>
      <c r="BY16" s="17"/>
      <c r="BZ16" s="17"/>
      <c r="CC16" s="17"/>
      <c r="CE16" s="24"/>
      <c r="CF16" s="21"/>
      <c r="CG16" s="17"/>
    </row>
    <row r="17" spans="1:67" hidden="1">
      <c r="A1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Global_PopulationHT0133</v>
      </c>
      <c r="B17" s="304" t="s">
        <v>152</v>
      </c>
      <c r="C17" s="213" t="s">
        <v>153</v>
      </c>
      <c r="D17" s="213" t="s">
        <v>183</v>
      </c>
      <c r="E17" s="103" t="s">
        <v>184</v>
      </c>
      <c r="F17" s="99"/>
      <c r="G17" s="34"/>
      <c r="H17" s="357"/>
      <c r="I17" s="354">
        <v>65036</v>
      </c>
      <c r="J17" s="221" t="s">
        <v>156</v>
      </c>
      <c r="K17" s="316">
        <v>0</v>
      </c>
      <c r="L17" s="308">
        <v>9074</v>
      </c>
      <c r="M17" s="308">
        <v>12257</v>
      </c>
      <c r="N17" s="308">
        <v>23575</v>
      </c>
      <c r="O17" s="308">
        <v>32626.149025155297</v>
      </c>
      <c r="P17" s="308">
        <v>397.92</v>
      </c>
      <c r="Q17" s="309">
        <v>0</v>
      </c>
      <c r="R17" s="308">
        <v>58532.4</v>
      </c>
      <c r="S17" s="308"/>
      <c r="T17" s="308"/>
      <c r="U17" s="308"/>
      <c r="V17" s="308"/>
      <c r="W17" s="317">
        <f>IFERROR(IF(tblPiNAnalysis[[#This Row],[CCCM]]="", "", MROUND(tblPiNAnalysis[[#This Row],[CCCM]]/tblPiNAnalysis[[#This Row],[Population]], 0.05)), "")</f>
        <v>0</v>
      </c>
      <c r="X17" s="318">
        <f>IFERROR(IF(tblPiNAnalysis[[#This Row],[Education]]="", "", MROUND(tblPiNAnalysis[[#This Row],[Education]]/tblPiNAnalysis[[#This Row],[Population]], 0.05)), "")</f>
        <v>0.15000000000000002</v>
      </c>
      <c r="Y17" s="318">
        <f>IFERROR(IF(tblPiNAnalysis[[#This Row],[Nutrition]]="", "", MROUND(tblPiNAnalysis[[#This Row],[Nutrition]]/tblPiNAnalysis[[#This Row],[Population]], 0.05)), "")</f>
        <v>0.2</v>
      </c>
      <c r="Z17" s="318">
        <f>IFERROR(IF(tblPiNAnalysis[[#This Row],[Food Security]]="", "", MROUND(tblPiNAnalysis[[#This Row],[Food Security]]/tblPiNAnalysis[[#This Row],[Population]], 0.05)), "")</f>
        <v>0.35000000000000003</v>
      </c>
      <c r="AA17" s="318">
        <f>IFERROR(IF(tblPiNAnalysis[[#This Row],[Health]]="", "", MROUND(tblPiNAnalysis[[#This Row],[Health]]/tblPiNAnalysis[[#This Row],[Population]], 0.05)), "")</f>
        <v>0.5</v>
      </c>
      <c r="AB17" s="319">
        <f>IFERROR(IF(tblPiNAnalysis[[#This Row],[Protection]]="", "", MROUND(tblPiNAnalysis[[#This Row],[Protection]]/tblPiNAnalysis[[#This Row],[Population]], 0.05)), "")</f>
        <v>0</v>
      </c>
      <c r="AC17" s="319">
        <f>IFERROR(IF(tblPiNAnalysis[[#This Row],[Shelter]]="", "", MROUND(tblPiNAnalysis[[#This Row],[Shelter]]/tblPiNAnalysis[[#This Row],[Population]], 0.05)), "")</f>
        <v>0</v>
      </c>
      <c r="AD17" s="320">
        <f>IFERROR(IF(tblPiNAnalysis[[#This Row],[WASH]]="", "", MROUND(tblPiNAnalysis[[#This Row],[WASH]]/tblPiNAnalysis[[#This Row],[Population]], 0.05)), "")</f>
        <v>0.9</v>
      </c>
      <c r="AE17" s="318">
        <f>IFERROR(MROUND(tblPiNAnalysis[[#This Row],[CP]]/tblPiNAnalysis[[#This Row],[Population]], 0.05), "")</f>
        <v>0</v>
      </c>
      <c r="AF17" s="318">
        <f>IFERROR(MROUND(tblPiNAnalysis[[#This Row],[GBV]]/tblPiNAnalysis[[#This Row],[Population]], 0.05), "")</f>
        <v>0</v>
      </c>
      <c r="AG17" s="318">
        <f>IFERROR(MROUND(tblPiNAnalysis[[#This Row],[Migrants]]/tblPiNAnalysis[[#This Row],[Population]], 0.05), "")</f>
        <v>0</v>
      </c>
      <c r="AH17" s="318">
        <f>IFERROR(MROUND(tblPiNAnalysis[[#This Row],[_]]/tblPiNAnalysis[[#This Row],[Population]], 0.05), "")</f>
        <v>0</v>
      </c>
      <c r="AI17" s="321">
        <f>IFERROR(LARGE(tblPiNAnalysis[[#This Row],[CCCM]:[WASH]], 1), "")</f>
        <v>58532.4</v>
      </c>
      <c r="AJ17" s="322" t="str" cm="1">
        <f t="array" ref="AJ17">IF(tblPiNAnalysis[[#This Row],[Highest PiN]]="", "", _xlfn.TEXTJOIN(CHAR(10), TRUE, IF(tblPiNAnalysis[[#This Row],[Highest PiN]]=tblPiNAnalysis[[#This Row],[CCCM]:[WASH]], tblPiNAnalysis[[#Headers],[CCCM]:[WASH]], "")))</f>
        <v>WASH</v>
      </c>
      <c r="AK17" s="323">
        <f>IF(tblPiNAnalysis[[#This Row],[Highest PiN]]="", "", tblPiNAnalysis[[#This Row],[Highest PiN]]/tblPiNAnalysis[[#This Row],[Population]])</f>
        <v>0.9</v>
      </c>
      <c r="AL17" s="265" t="str">
        <f>IF(SUM(tblPiNAnalysis[[#This Row],[CCCM]:[WASH]])=0, "",IF(COUNTIF(tblPiNAnalysis[[#This Row],[CCCM]:[WASH]],"=0")+COUNTIF(tblPiNAnalysis[[#This Row],[CCCM]:[WASH]],"")&gt;=zero_pin_thresh, "Flagged", ""))</f>
        <v>Flagged</v>
      </c>
      <c r="AM17" s="264" t="str">
        <f>IFERROR(IF(tblPiNAnalysis[[#This Row],[Highest PiN]]="", "", IF(tblPiNAnalysis[[#This Row],[Highest sector(s'') PiN %]]&gt;=flag_pin_perc, "Flagged", "")), "")</f>
        <v>Flagged</v>
      </c>
      <c r="AN17" s="266" t="str" cm="1">
        <f t="array" ref="AN17">IF(tblPiNAnalysis[[#This Row],[Highest PiN]]=0, "",  IF(OR(COUNTIF(tblPiNAnalysis[[#This Row],[Highest sector(s)]],tblSubSectorPopulation[Sector])), "Flagged", ""))</f>
        <v/>
      </c>
      <c r="AO17" s="45" cm="1">
        <f t="array" ref="AO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32626.149025155297</v>
      </c>
      <c r="AP17" s="326" t="str" cm="1">
        <f t="array" ref="AP17">IF(tblPiNAnalysis[[#This Row],[2nd Highest PiN]]="", "", _xlfn.TEXTJOIN(CHAR(10), TRUE, IF(tblPiNAnalysis[[#This Row],[2nd Highest PiN]]=tblPiNAnalysis[[#This Row],[CCCM]:[WASH]], tblPiNAnalysis[[#Headers],[CCCM]:[WASH]], "")))</f>
        <v>Health</v>
      </c>
      <c r="AQ17" s="35">
        <f>IFERROR(tblPiNAnalysis[[#This Row],[2nd Highest PiN]]/tblPiNAnalysis[[#This Row],[Population]], "")</f>
        <v>0.5016629101598391</v>
      </c>
      <c r="AR17" s="45">
        <f>IFERROR(tblPiNAnalysis[[#This Row],[Highest PiN]]-tblPiNAnalysis[[#This Row],[2nd Highest PiN]], "")</f>
        <v>25906.250974844705</v>
      </c>
      <c r="AS17" s="38">
        <f>IFERROR(((tblPiNAnalysis[[#This Row],[Highest PiN]]-tblPiNAnalysis[[#This Row],[2nd Highest PiN]])/tblPiNAnalysis[[#This Row],[2nd Highest PiN]]),"")</f>
        <v>0.79403336737261143</v>
      </c>
      <c r="AT17" s="269" t="str" cm="1">
        <f t="array" ref="AT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7" s="327" cm="1">
        <f t="array" ref="AU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23575</v>
      </c>
      <c r="AV17" s="186" t="str" cm="1">
        <f t="array" ref="AV17">IF(tblPiNAnalysis[[#This Row],[3rd Highest PiN]]="", "", _xlfn.TEXTJOIN(CHAR(10), TRUE, IF(tblPiNAnalysis[[#This Row],[3rd Highest PiN]]=tblPiNAnalysis[[#This Row],[CCCM]:[WASH]], tblPiNAnalysis[[#Headers],[CCCM]:[WASH]], "")))</f>
        <v>Food Security</v>
      </c>
      <c r="AW17" s="186">
        <f>IFERROR(tblPiNAnalysis[[#This Row],[3rd Highest PiN]]/tblPiNAnalysis[[#This Row],[Population]], "")</f>
        <v>0.36249154314533488</v>
      </c>
      <c r="AX17" s="44">
        <f>IFERROR(tblPiNAnalysis[[#This Row],[Highest PiN]]-tblPiNAnalysis[[#This Row],[3rd Highest PiN]],"")</f>
        <v>34957.4</v>
      </c>
      <c r="AY17" s="38">
        <f>IFERROR(tblPiNAnalysis[[#This Row],[Difference of PiN between Highest and 3rd Highest]]/tblPiNAnalysis[[#This Row],[3rd Highest PiN]], "")</f>
        <v>1.4828165429480382</v>
      </c>
      <c r="AZ17" s="325" t="str" cm="1">
        <f t="array" ref="AZ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7" s="292" cm="1">
        <f t="array" ref="BA17">IFERROR(IF(tblPiNAnalysis[[#This Row],[ID]]="", "", INDEX(tblPiNHistorical[[CCCM]:[WASH]], MATCH(tblPiNAnalysis[[#This Row],[ID]],tblPiNHistorical[ID], 0),MATCH(_xlfn._xlws.FILTER(tblPiNAnalysis[[#Headers],[CCCM]:[WASH]], tblPiNAnalysis[[#This Row],[Highest PiN]]=tblPiNAnalysis[[#This Row],[CCCM]:[WASH]]), tblPiNHistorical[[#Headers],[CCCM]:[WASH]], 0))), "")</f>
        <v>0.5</v>
      </c>
      <c r="BB17" s="328" t="str" cm="1">
        <f t="array" ref="BB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7" s="272" cm="1">
        <f t="array" ref="BC17">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7" s="329" t="str" cm="1">
        <f t="array" ref="BD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7" s="371">
        <f>INDEX(tblSeverityAnalysis[Final Severity], MATCH(tblPiNAnalysis[[#This Row],[ID]],tblSeverityAnalysis[ID], 0))</f>
        <v>3</v>
      </c>
      <c r="BF17" s="60">
        <f>IF(tblPiNAnalysis[[#This Row],[Severity]]&gt;2,tblPiNAnalysis[[#This Row],[Highest PiN]],)</f>
        <v>58532.4</v>
      </c>
      <c r="BG17" s="187"/>
      <c r="BH17" s="188"/>
      <c r="BI17" s="189">
        <f>COUNTIFS(tblPiNAnalysis[[#This Row],[Number of missing / zero PiNs greater than threshold - Data quality]:[Manual Flag]],"Flagged")</f>
        <v>4</v>
      </c>
      <c r="BJ17" s="346" t="str">
        <f>IF(tblPiNAnalysis[[#This Row],['# Flags]]&gt;0, "Flagged", "")</f>
        <v>Flagged</v>
      </c>
      <c r="BK17" s="308">
        <v>32626.149025155297</v>
      </c>
      <c r="BL17" s="326" t="s">
        <v>157</v>
      </c>
      <c r="BM17" s="383">
        <f>IF(OR(tblPiNAnalysis[[#This Row],[Severity]]=4,tblPiNAnalysis[[#This Row],[Severity]]=5),tblPiNAnalysis[[#This Row],[Final PiN]],0)</f>
        <v>0</v>
      </c>
      <c r="BN17" s="378">
        <f>IF(OR(tblPiNAnalysis[[#This Row],[Severity]]=4,tblPiNAnalysis[[#This Row],[Severity]]=5),100%, IF(tblPiNAnalysis[[#This Row],[Severity]]=3,50%,0%))*tblPiNAnalysis[[#This Row],[Final PiN]]</f>
        <v>16313.074512577648</v>
      </c>
      <c r="BO17" s="383">
        <f>IF(OR(tblPiNAnalysis[[#This Row],[Severity]]=4,tblPiNAnalysis[[#This Row],[Severity]]=5),100%, IF(AND(tblPiNAnalysis[[#This Row],[Severity]]=3,VLOOKUP(tblPiNAnalysis[[#This Row],[ID]],tblSeverityAnalysis[[ID]:[Highest Severity]],35,FALSE)&gt;3),50%,0%))*tblPiNAnalysis[[#This Row],[Final PiN]]</f>
        <v>0</v>
      </c>
    </row>
    <row r="18" spans="1:67" hidden="1">
      <c r="A1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Global_PopulationHT0134</v>
      </c>
      <c r="B18" s="304" t="s">
        <v>152</v>
      </c>
      <c r="C18" s="213" t="s">
        <v>153</v>
      </c>
      <c r="D18" s="213" t="s">
        <v>185</v>
      </c>
      <c r="E18" s="103" t="s">
        <v>186</v>
      </c>
      <c r="F18" s="99"/>
      <c r="G18" s="34"/>
      <c r="H18" s="357"/>
      <c r="I18" s="354">
        <v>66185</v>
      </c>
      <c r="J18" s="221" t="s">
        <v>156</v>
      </c>
      <c r="K18" s="316">
        <v>3213</v>
      </c>
      <c r="L18" s="308">
        <v>9632</v>
      </c>
      <c r="M18" s="308">
        <v>6002</v>
      </c>
      <c r="N18" s="308">
        <v>22492</v>
      </c>
      <c r="O18" s="308">
        <v>4149.1964010270776</v>
      </c>
      <c r="P18" s="308">
        <v>5714.8249999999998</v>
      </c>
      <c r="Q18" s="309">
        <v>0</v>
      </c>
      <c r="R18" s="308">
        <v>33092.5</v>
      </c>
      <c r="S18" s="308"/>
      <c r="T18" s="308"/>
      <c r="U18" s="308"/>
      <c r="V18" s="308"/>
      <c r="W18" s="317">
        <f>IFERROR(IF(tblPiNAnalysis[[#This Row],[CCCM]]="", "", MROUND(tblPiNAnalysis[[#This Row],[CCCM]]/tblPiNAnalysis[[#This Row],[Population]], 0.05)), "")</f>
        <v>0.05</v>
      </c>
      <c r="X18" s="318">
        <f>IFERROR(IF(tblPiNAnalysis[[#This Row],[Education]]="", "", MROUND(tblPiNAnalysis[[#This Row],[Education]]/tblPiNAnalysis[[#This Row],[Population]], 0.05)), "")</f>
        <v>0.15000000000000002</v>
      </c>
      <c r="Y18" s="318">
        <f>IFERROR(IF(tblPiNAnalysis[[#This Row],[Nutrition]]="", "", MROUND(tblPiNAnalysis[[#This Row],[Nutrition]]/tblPiNAnalysis[[#This Row],[Population]], 0.05)), "")</f>
        <v>0.1</v>
      </c>
      <c r="Z18" s="318">
        <f>IFERROR(IF(tblPiNAnalysis[[#This Row],[Food Security]]="", "", MROUND(tblPiNAnalysis[[#This Row],[Food Security]]/tblPiNAnalysis[[#This Row],[Population]], 0.05)), "")</f>
        <v>0.35000000000000003</v>
      </c>
      <c r="AA18" s="318">
        <f>IFERROR(IF(tblPiNAnalysis[[#This Row],[Health]]="", "", MROUND(tblPiNAnalysis[[#This Row],[Health]]/tblPiNAnalysis[[#This Row],[Population]], 0.05)), "")</f>
        <v>0.05</v>
      </c>
      <c r="AB18" s="319">
        <f>IFERROR(IF(tblPiNAnalysis[[#This Row],[Protection]]="", "", MROUND(tblPiNAnalysis[[#This Row],[Protection]]/tblPiNAnalysis[[#This Row],[Population]], 0.05)), "")</f>
        <v>0.1</v>
      </c>
      <c r="AC18" s="319">
        <f>IFERROR(IF(tblPiNAnalysis[[#This Row],[Shelter]]="", "", MROUND(tblPiNAnalysis[[#This Row],[Shelter]]/tblPiNAnalysis[[#This Row],[Population]], 0.05)), "")</f>
        <v>0</v>
      </c>
      <c r="AD18" s="320">
        <f>IFERROR(IF(tblPiNAnalysis[[#This Row],[WASH]]="", "", MROUND(tblPiNAnalysis[[#This Row],[WASH]]/tblPiNAnalysis[[#This Row],[Population]], 0.05)), "")</f>
        <v>0.5</v>
      </c>
      <c r="AE18" s="318">
        <f>IFERROR(MROUND(tblPiNAnalysis[[#This Row],[CP]]/tblPiNAnalysis[[#This Row],[Population]], 0.05), "")</f>
        <v>0</v>
      </c>
      <c r="AF18" s="318">
        <f>IFERROR(MROUND(tblPiNAnalysis[[#This Row],[GBV]]/tblPiNAnalysis[[#This Row],[Population]], 0.05), "")</f>
        <v>0</v>
      </c>
      <c r="AG18" s="318">
        <f>IFERROR(MROUND(tblPiNAnalysis[[#This Row],[Migrants]]/tblPiNAnalysis[[#This Row],[Population]], 0.05), "")</f>
        <v>0</v>
      </c>
      <c r="AH18" s="318">
        <f>IFERROR(MROUND(tblPiNAnalysis[[#This Row],[_]]/tblPiNAnalysis[[#This Row],[Population]], 0.05), "")</f>
        <v>0</v>
      </c>
      <c r="AI18" s="321">
        <f>IFERROR(LARGE(tblPiNAnalysis[[#This Row],[CCCM]:[WASH]], 1), "")</f>
        <v>33092.5</v>
      </c>
      <c r="AJ18" s="322" t="str" cm="1">
        <f t="array" ref="AJ18">IF(tblPiNAnalysis[[#This Row],[Highest PiN]]="", "", _xlfn.TEXTJOIN(CHAR(10), TRUE, IF(tblPiNAnalysis[[#This Row],[Highest PiN]]=tblPiNAnalysis[[#This Row],[CCCM]:[WASH]], tblPiNAnalysis[[#Headers],[CCCM]:[WASH]], "")))</f>
        <v>WASH</v>
      </c>
      <c r="AK18" s="323">
        <f>IF(tblPiNAnalysis[[#This Row],[Highest PiN]]="", "", tblPiNAnalysis[[#This Row],[Highest PiN]]/tblPiNAnalysis[[#This Row],[Population]])</f>
        <v>0.5</v>
      </c>
      <c r="AL18" s="265" t="str">
        <f>IF(SUM(tblPiNAnalysis[[#This Row],[CCCM]:[WASH]])=0, "",IF(COUNTIF(tblPiNAnalysis[[#This Row],[CCCM]:[WASH]],"=0")+COUNTIF(tblPiNAnalysis[[#This Row],[CCCM]:[WASH]],"")&gt;=zero_pin_thresh, "Flagged", ""))</f>
        <v/>
      </c>
      <c r="AM18" s="264" t="str">
        <f>IFERROR(IF(tblPiNAnalysis[[#This Row],[Highest PiN]]="", "", IF(tblPiNAnalysis[[#This Row],[Highest sector(s'') PiN %]]&gt;=flag_pin_perc, "Flagged", "")), "")</f>
        <v/>
      </c>
      <c r="AN18" s="266" t="str" cm="1">
        <f t="array" ref="AN18">IF(tblPiNAnalysis[[#This Row],[Highest PiN]]=0, "",  IF(OR(COUNTIF(tblPiNAnalysis[[#This Row],[Highest sector(s)]],tblSubSectorPopulation[Sector])), "Flagged", ""))</f>
        <v/>
      </c>
      <c r="AO18" s="45" cm="1">
        <f t="array" ref="AO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22492</v>
      </c>
      <c r="AP18" s="326" t="str" cm="1">
        <f t="array" ref="AP18">IF(tblPiNAnalysis[[#This Row],[2nd Highest PiN]]="", "", _xlfn.TEXTJOIN(CHAR(10), TRUE, IF(tblPiNAnalysis[[#This Row],[2nd Highest PiN]]=tblPiNAnalysis[[#This Row],[CCCM]:[WASH]], tblPiNAnalysis[[#Headers],[CCCM]:[WASH]], "")))</f>
        <v>Food Security</v>
      </c>
      <c r="AQ18" s="35">
        <f>IFERROR(tblPiNAnalysis[[#This Row],[2nd Highest PiN]]/tblPiNAnalysis[[#This Row],[Population]], "")</f>
        <v>0.3398353101155851</v>
      </c>
      <c r="AR18" s="45">
        <f>IFERROR(tblPiNAnalysis[[#This Row],[Highest PiN]]-tblPiNAnalysis[[#This Row],[2nd Highest PiN]], "")</f>
        <v>10600.5</v>
      </c>
      <c r="AS18" s="38">
        <f>IFERROR(((tblPiNAnalysis[[#This Row],[Highest PiN]]-tblPiNAnalysis[[#This Row],[2nd Highest PiN]])/tblPiNAnalysis[[#This Row],[2nd Highest PiN]]),"")</f>
        <v>0.47130090698915172</v>
      </c>
      <c r="AT18" s="269" t="str" cm="1">
        <f t="array" ref="AT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8" s="327" cm="1">
        <f t="array" ref="AU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9632</v>
      </c>
      <c r="AV18" s="186" t="str" cm="1">
        <f t="array" ref="AV18">IF(tblPiNAnalysis[[#This Row],[3rd Highest PiN]]="", "", _xlfn.TEXTJOIN(CHAR(10), TRUE, IF(tblPiNAnalysis[[#This Row],[3rd Highest PiN]]=tblPiNAnalysis[[#This Row],[CCCM]:[WASH]], tblPiNAnalysis[[#Headers],[CCCM]:[WASH]], "")))</f>
        <v>Education</v>
      </c>
      <c r="AW18" s="186">
        <f>IFERROR(tblPiNAnalysis[[#This Row],[3rd Highest PiN]]/tblPiNAnalysis[[#This Row],[Population]], "")</f>
        <v>0.14553146483342147</v>
      </c>
      <c r="AX18" s="44">
        <f>IFERROR(tblPiNAnalysis[[#This Row],[Highest PiN]]-tblPiNAnalysis[[#This Row],[3rd Highest PiN]],"")</f>
        <v>23460.5</v>
      </c>
      <c r="AY18" s="38">
        <f>IFERROR(tblPiNAnalysis[[#This Row],[Difference of PiN between Highest and 3rd Highest]]/tblPiNAnalysis[[#This Row],[3rd Highest PiN]], "")</f>
        <v>2.4356831395348837</v>
      </c>
      <c r="AZ18" s="325" t="str" cm="1">
        <f t="array" ref="AZ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8" s="292" cm="1">
        <f t="array" ref="BA18">IFERROR(IF(tblPiNAnalysis[[#This Row],[ID]]="", "", INDEX(tblPiNHistorical[[CCCM]:[WASH]], MATCH(tblPiNAnalysis[[#This Row],[ID]],tblPiNHistorical[ID], 0),MATCH(_xlfn._xlws.FILTER(tblPiNAnalysis[[#Headers],[CCCM]:[WASH]], tblPiNAnalysis[[#This Row],[Highest PiN]]=tblPiNAnalysis[[#This Row],[CCCM]:[WASH]]), tblPiNHistorical[[#Headers],[CCCM]:[WASH]], 0))), "")</f>
        <v>0.4</v>
      </c>
      <c r="BB18" s="328" t="str" cm="1">
        <f t="array" ref="BB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8" s="272" cm="1">
        <f t="array" ref="BC1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8" s="329" t="str" cm="1">
        <f t="array" ref="BD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8" s="371">
        <f>INDEX(tblSeverityAnalysis[Final Severity], MATCH(tblPiNAnalysis[[#This Row],[ID]],tblSeverityAnalysis[ID], 0))</f>
        <v>3</v>
      </c>
      <c r="BF18" s="60">
        <f>IF(tblPiNAnalysis[[#This Row],[Severity]]&gt;2,tblPiNAnalysis[[#This Row],[Highest PiN]],)</f>
        <v>33092.5</v>
      </c>
      <c r="BG18" s="187"/>
      <c r="BH18" s="188"/>
      <c r="BI18" s="189">
        <f>COUNTIFS(tblPiNAnalysis[[#This Row],[Number of missing / zero PiNs greater than threshold - Data quality]:[Manual Flag]],"Flagged")</f>
        <v>1</v>
      </c>
      <c r="BJ18" s="346" t="str">
        <f>IF(tblPiNAnalysis[[#This Row],['# Flags]]&gt;0, "Flagged", "")</f>
        <v>Flagged</v>
      </c>
      <c r="BK18" s="339">
        <f>tblPiNAnalysis[[#This Row],[Preliminary PiN]]</f>
        <v>33092.5</v>
      </c>
      <c r="BL18" s="326"/>
      <c r="BM18" s="383">
        <f>IF(OR(tblPiNAnalysis[[#This Row],[Severity]]=4,tblPiNAnalysis[[#This Row],[Severity]]=5),tblPiNAnalysis[[#This Row],[Final PiN]],0)</f>
        <v>0</v>
      </c>
      <c r="BN18" s="378">
        <f>IF(OR(tblPiNAnalysis[[#This Row],[Severity]]=4,tblPiNAnalysis[[#This Row],[Severity]]=5),100%, IF(tblPiNAnalysis[[#This Row],[Severity]]=3,50%,0%))*tblPiNAnalysis[[#This Row],[Final PiN]]</f>
        <v>16546.25</v>
      </c>
      <c r="BO18" s="383">
        <f>IF(OR(tblPiNAnalysis[[#This Row],[Severity]]=4,tblPiNAnalysis[[#This Row],[Severity]]=5),100%, IF(AND(tblPiNAnalysis[[#This Row],[Severity]]=3,VLOOKUP(tblPiNAnalysis[[#This Row],[ID]],tblSeverityAnalysis[[ID]:[Highest Severity]],35,FALSE)&gt;3),50%,0%))*tblPiNAnalysis[[#This Row],[Final PiN]]</f>
        <v>16546.25</v>
      </c>
    </row>
    <row r="19" spans="1:67" hidden="1">
      <c r="A1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Global_PopulationHT0135</v>
      </c>
      <c r="B19" s="304" t="s">
        <v>152</v>
      </c>
      <c r="C19" s="213" t="s">
        <v>153</v>
      </c>
      <c r="D19" s="213" t="s">
        <v>187</v>
      </c>
      <c r="E19" s="103" t="s">
        <v>188</v>
      </c>
      <c r="F19" s="99"/>
      <c r="G19" s="34"/>
      <c r="H19" s="357"/>
      <c r="I19" s="354">
        <v>54717</v>
      </c>
      <c r="J19" s="221" t="s">
        <v>156</v>
      </c>
      <c r="K19" s="316">
        <v>0</v>
      </c>
      <c r="L19" s="308">
        <v>8873</v>
      </c>
      <c r="M19" s="308">
        <v>7193</v>
      </c>
      <c r="N19" s="308">
        <v>21499</v>
      </c>
      <c r="O19" s="308">
        <v>169.32927609335309</v>
      </c>
      <c r="P19" s="308">
        <v>2820.5499999999997</v>
      </c>
      <c r="Q19" s="309">
        <v>44007</v>
      </c>
      <c r="R19" s="308">
        <v>1484.5</v>
      </c>
      <c r="S19" s="308"/>
      <c r="T19" s="308"/>
      <c r="U19" s="308"/>
      <c r="V19" s="308"/>
      <c r="W19" s="317">
        <f>IFERROR(IF(tblPiNAnalysis[[#This Row],[CCCM]]="", "", MROUND(tblPiNAnalysis[[#This Row],[CCCM]]/tblPiNAnalysis[[#This Row],[Population]], 0.05)), "")</f>
        <v>0</v>
      </c>
      <c r="X19" s="318">
        <f>IFERROR(IF(tblPiNAnalysis[[#This Row],[Education]]="", "", MROUND(tblPiNAnalysis[[#This Row],[Education]]/tblPiNAnalysis[[#This Row],[Population]], 0.05)), "")</f>
        <v>0.15000000000000002</v>
      </c>
      <c r="Y19" s="318">
        <f>IFERROR(IF(tblPiNAnalysis[[#This Row],[Nutrition]]="", "", MROUND(tblPiNAnalysis[[#This Row],[Nutrition]]/tblPiNAnalysis[[#This Row],[Population]], 0.05)), "")</f>
        <v>0.15000000000000002</v>
      </c>
      <c r="Z19" s="318">
        <f>IFERROR(IF(tblPiNAnalysis[[#This Row],[Food Security]]="", "", MROUND(tblPiNAnalysis[[#This Row],[Food Security]]/tblPiNAnalysis[[#This Row],[Population]], 0.05)), "")</f>
        <v>0.4</v>
      </c>
      <c r="AA19" s="318">
        <f>IFERROR(IF(tblPiNAnalysis[[#This Row],[Health]]="", "", MROUND(tblPiNAnalysis[[#This Row],[Health]]/tblPiNAnalysis[[#This Row],[Population]], 0.05)), "")</f>
        <v>0</v>
      </c>
      <c r="AB19" s="319">
        <f>IFERROR(IF(tblPiNAnalysis[[#This Row],[Protection]]="", "", MROUND(tblPiNAnalysis[[#This Row],[Protection]]/tblPiNAnalysis[[#This Row],[Population]], 0.05)), "")</f>
        <v>0.05</v>
      </c>
      <c r="AC19" s="319">
        <f>IFERROR(IF(tblPiNAnalysis[[#This Row],[Shelter]]="", "", MROUND(tblPiNAnalysis[[#This Row],[Shelter]]/tblPiNAnalysis[[#This Row],[Population]], 0.05)), "")</f>
        <v>0.8</v>
      </c>
      <c r="AD19" s="320">
        <f>IFERROR(IF(tblPiNAnalysis[[#This Row],[WASH]]="", "", MROUND(tblPiNAnalysis[[#This Row],[WASH]]/tblPiNAnalysis[[#This Row],[Population]], 0.05)), "")</f>
        <v>0.05</v>
      </c>
      <c r="AE19" s="318">
        <f>IFERROR(MROUND(tblPiNAnalysis[[#This Row],[CP]]/tblPiNAnalysis[[#This Row],[Population]], 0.05), "")</f>
        <v>0</v>
      </c>
      <c r="AF19" s="318">
        <f>IFERROR(MROUND(tblPiNAnalysis[[#This Row],[GBV]]/tblPiNAnalysis[[#This Row],[Population]], 0.05), "")</f>
        <v>0</v>
      </c>
      <c r="AG19" s="318">
        <f>IFERROR(MROUND(tblPiNAnalysis[[#This Row],[Migrants]]/tblPiNAnalysis[[#This Row],[Population]], 0.05), "")</f>
        <v>0</v>
      </c>
      <c r="AH19" s="318">
        <f>IFERROR(MROUND(tblPiNAnalysis[[#This Row],[_]]/tblPiNAnalysis[[#This Row],[Population]], 0.05), "")</f>
        <v>0</v>
      </c>
      <c r="AI19" s="321">
        <f>IFERROR(LARGE(tblPiNAnalysis[[#This Row],[CCCM]:[WASH]], 1), "")</f>
        <v>44007</v>
      </c>
      <c r="AJ19" s="322" t="str" cm="1">
        <f t="array" ref="AJ19">IF(tblPiNAnalysis[[#This Row],[Highest PiN]]="", "", _xlfn.TEXTJOIN(CHAR(10), TRUE, IF(tblPiNAnalysis[[#This Row],[Highest PiN]]=tblPiNAnalysis[[#This Row],[CCCM]:[WASH]], tblPiNAnalysis[[#Headers],[CCCM]:[WASH]], "")))</f>
        <v>Shelter</v>
      </c>
      <c r="AK19" s="323">
        <f>IF(tblPiNAnalysis[[#This Row],[Highest PiN]]="", "", tblPiNAnalysis[[#This Row],[Highest PiN]]/tblPiNAnalysis[[#This Row],[Population]])</f>
        <v>0.80426558473600529</v>
      </c>
      <c r="AL19" s="265" t="str">
        <f>IF(SUM(tblPiNAnalysis[[#This Row],[CCCM]:[WASH]])=0, "",IF(COUNTIF(tblPiNAnalysis[[#This Row],[CCCM]:[WASH]],"=0")+COUNTIF(tblPiNAnalysis[[#This Row],[CCCM]:[WASH]],"")&gt;=zero_pin_thresh, "Flagged", ""))</f>
        <v/>
      </c>
      <c r="AM19" s="264" t="str">
        <f>IFERROR(IF(tblPiNAnalysis[[#This Row],[Highest PiN]]="", "", IF(tblPiNAnalysis[[#This Row],[Highest sector(s'') PiN %]]&gt;=flag_pin_perc, "Flagged", "")), "")</f>
        <v/>
      </c>
      <c r="AN19" s="266" t="str" cm="1">
        <f t="array" ref="AN19">IF(tblPiNAnalysis[[#This Row],[Highest PiN]]=0, "",  IF(OR(COUNTIF(tblPiNAnalysis[[#This Row],[Highest sector(s)]],tblSubSectorPopulation[Sector])), "Flagged", ""))</f>
        <v/>
      </c>
      <c r="AO19" s="45" cm="1">
        <f t="array" ref="AO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21499</v>
      </c>
      <c r="AP19" s="326" t="str" cm="1">
        <f t="array" ref="AP19">IF(tblPiNAnalysis[[#This Row],[2nd Highest PiN]]="", "", _xlfn.TEXTJOIN(CHAR(10), TRUE, IF(tblPiNAnalysis[[#This Row],[2nd Highest PiN]]=tblPiNAnalysis[[#This Row],[CCCM]:[WASH]], tblPiNAnalysis[[#Headers],[CCCM]:[WASH]], "")))</f>
        <v>Food Security</v>
      </c>
      <c r="AQ19" s="35">
        <f>IFERROR(tblPiNAnalysis[[#This Row],[2nd Highest PiN]]/tblPiNAnalysis[[#This Row],[Population]], "")</f>
        <v>0.39291262313357822</v>
      </c>
      <c r="AR19" s="45">
        <f>IFERROR(tblPiNAnalysis[[#This Row],[Highest PiN]]-tblPiNAnalysis[[#This Row],[2nd Highest PiN]], "")</f>
        <v>22508</v>
      </c>
      <c r="AS19" s="38">
        <f>IFERROR(((tblPiNAnalysis[[#This Row],[Highest PiN]]-tblPiNAnalysis[[#This Row],[2nd Highest PiN]])/tblPiNAnalysis[[#This Row],[2nd Highest PiN]]),"")</f>
        <v>1.0469324154611843</v>
      </c>
      <c r="AT19" s="269" t="str" cm="1">
        <f t="array" ref="AT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9" s="327" cm="1">
        <f t="array" ref="AU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8873</v>
      </c>
      <c r="AV19" s="186" t="str" cm="1">
        <f t="array" ref="AV19">IF(tblPiNAnalysis[[#This Row],[3rd Highest PiN]]="", "", _xlfn.TEXTJOIN(CHAR(10), TRUE, IF(tblPiNAnalysis[[#This Row],[3rd Highest PiN]]=tblPiNAnalysis[[#This Row],[CCCM]:[WASH]], tblPiNAnalysis[[#Headers],[CCCM]:[WASH]], "")))</f>
        <v>Education</v>
      </c>
      <c r="AW19" s="186">
        <f>IFERROR(tblPiNAnalysis[[#This Row],[3rd Highest PiN]]/tblPiNAnalysis[[#This Row],[Population]], "")</f>
        <v>0.16216166822011441</v>
      </c>
      <c r="AX19" s="44">
        <f>IFERROR(tblPiNAnalysis[[#This Row],[Highest PiN]]-tblPiNAnalysis[[#This Row],[3rd Highest PiN]],"")</f>
        <v>35134</v>
      </c>
      <c r="AY19" s="38">
        <f>IFERROR(tblPiNAnalysis[[#This Row],[Difference of PiN between Highest and 3rd Highest]]/tblPiNAnalysis[[#This Row],[3rd Highest PiN]], "")</f>
        <v>3.959652879522146</v>
      </c>
      <c r="AZ19" s="325" t="str" cm="1">
        <f t="array" ref="AZ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9" s="292" cm="1">
        <f t="array" ref="BA19">IFERROR(IF(tblPiNAnalysis[[#This Row],[ID]]="", "", INDEX(tblPiNHistorical[[CCCM]:[WASH]], MATCH(tblPiNAnalysis[[#This Row],[ID]],tblPiNHistorical[ID], 0),MATCH(_xlfn._xlws.FILTER(tblPiNAnalysis[[#Headers],[CCCM]:[WASH]], tblPiNAnalysis[[#This Row],[Highest PiN]]=tblPiNAnalysis[[#This Row],[CCCM]:[WASH]]), tblPiNHistorical[[#Headers],[CCCM]:[WASH]], 0))), "")</f>
        <v>1.5</v>
      </c>
      <c r="BB19" s="328" t="str" cm="1">
        <f t="array" ref="BB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9" s="272" cm="1">
        <f t="array" ref="BC19">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9" s="329" t="str" cm="1">
        <f t="array" ref="BD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9" s="371">
        <f>INDEX(tblSeverityAnalysis[Final Severity], MATCH(tblPiNAnalysis[[#This Row],[ID]],tblSeverityAnalysis[ID], 0))</f>
        <v>3</v>
      </c>
      <c r="BF19" s="60">
        <f>IF(tblPiNAnalysis[[#This Row],[Severity]]&gt;2,tblPiNAnalysis[[#This Row],[Highest PiN]],)</f>
        <v>44007</v>
      </c>
      <c r="BG19" s="187"/>
      <c r="BH19" s="188"/>
      <c r="BI19" s="189">
        <f>COUNTIFS(tblPiNAnalysis[[#This Row],[Number of missing / zero PiNs greater than threshold - Data quality]:[Manual Flag]],"Flagged")</f>
        <v>3</v>
      </c>
      <c r="BJ19" s="346" t="str">
        <f>IF(tblPiNAnalysis[[#This Row],['# Flags]]&gt;0, "Flagged", "")</f>
        <v>Flagged</v>
      </c>
      <c r="BK19" s="308">
        <v>21499</v>
      </c>
      <c r="BL19" s="326" t="s">
        <v>157</v>
      </c>
      <c r="BM19" s="383">
        <f>IF(OR(tblPiNAnalysis[[#This Row],[Severity]]=4,tblPiNAnalysis[[#This Row],[Severity]]=5),tblPiNAnalysis[[#This Row],[Final PiN]],0)</f>
        <v>0</v>
      </c>
      <c r="BN19" s="378">
        <f>IF(OR(tblPiNAnalysis[[#This Row],[Severity]]=4,tblPiNAnalysis[[#This Row],[Severity]]=5),100%, IF(tblPiNAnalysis[[#This Row],[Severity]]=3,50%,0%))*tblPiNAnalysis[[#This Row],[Final PiN]]</f>
        <v>10749.5</v>
      </c>
      <c r="BO19" s="383">
        <f>IF(OR(tblPiNAnalysis[[#This Row],[Severity]]=4,tblPiNAnalysis[[#This Row],[Severity]]=5),100%, IF(AND(tblPiNAnalysis[[#This Row],[Severity]]=3,VLOOKUP(tblPiNAnalysis[[#This Row],[ID]],tblSeverityAnalysis[[ID]:[Highest Severity]],35,FALSE)&gt;3),50%,0%))*tblPiNAnalysis[[#This Row],[Final PiN]]</f>
        <v>10749.5</v>
      </c>
    </row>
    <row r="20" spans="1:67" hidden="1">
      <c r="A2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Global_PopulationHT0141</v>
      </c>
      <c r="B20" s="304" t="s">
        <v>152</v>
      </c>
      <c r="C20" s="213" t="s">
        <v>153</v>
      </c>
      <c r="D20" s="213" t="s">
        <v>189</v>
      </c>
      <c r="E20" s="103" t="s">
        <v>190</v>
      </c>
      <c r="F20" s="99"/>
      <c r="G20" s="34"/>
      <c r="H20" s="357"/>
      <c r="I20" s="354">
        <v>142752</v>
      </c>
      <c r="J20" s="221" t="s">
        <v>156</v>
      </c>
      <c r="K20" s="316">
        <v>21285</v>
      </c>
      <c r="L20" s="308">
        <v>20889</v>
      </c>
      <c r="M20" s="308">
        <v>13728</v>
      </c>
      <c r="N20" s="308">
        <v>76948</v>
      </c>
      <c r="O20" s="308">
        <v>69645.720280986614</v>
      </c>
      <c r="P20" s="308">
        <v>34171.811764705883</v>
      </c>
      <c r="Q20" s="309">
        <v>0</v>
      </c>
      <c r="R20" s="308">
        <v>23792</v>
      </c>
      <c r="S20" s="308"/>
      <c r="T20" s="308"/>
      <c r="U20" s="308"/>
      <c r="V20" s="308"/>
      <c r="W20" s="317">
        <f>IFERROR(IF(tblPiNAnalysis[[#This Row],[CCCM]]="", "", MROUND(tblPiNAnalysis[[#This Row],[CCCM]]/tblPiNAnalysis[[#This Row],[Population]], 0.05)), "")</f>
        <v>0.15000000000000002</v>
      </c>
      <c r="X20" s="318">
        <f>IFERROR(IF(tblPiNAnalysis[[#This Row],[Education]]="", "", MROUND(tblPiNAnalysis[[#This Row],[Education]]/tblPiNAnalysis[[#This Row],[Population]], 0.05)), "")</f>
        <v>0.15000000000000002</v>
      </c>
      <c r="Y20" s="318">
        <f>IFERROR(IF(tblPiNAnalysis[[#This Row],[Nutrition]]="", "", MROUND(tblPiNAnalysis[[#This Row],[Nutrition]]/tblPiNAnalysis[[#This Row],[Population]], 0.05)), "")</f>
        <v>0.1</v>
      </c>
      <c r="Z20" s="318">
        <f>IFERROR(IF(tblPiNAnalysis[[#This Row],[Food Security]]="", "", MROUND(tblPiNAnalysis[[#This Row],[Food Security]]/tblPiNAnalysis[[#This Row],[Population]], 0.05)), "")</f>
        <v>0.55000000000000004</v>
      </c>
      <c r="AA20" s="318">
        <f>IFERROR(IF(tblPiNAnalysis[[#This Row],[Health]]="", "", MROUND(tblPiNAnalysis[[#This Row],[Health]]/tblPiNAnalysis[[#This Row],[Population]], 0.05)), "")</f>
        <v>0.5</v>
      </c>
      <c r="AB20" s="319">
        <f>IFERROR(IF(tblPiNAnalysis[[#This Row],[Protection]]="", "", MROUND(tblPiNAnalysis[[#This Row],[Protection]]/tblPiNAnalysis[[#This Row],[Population]], 0.05)), "")</f>
        <v>0.25</v>
      </c>
      <c r="AC20" s="319">
        <f>IFERROR(IF(tblPiNAnalysis[[#This Row],[Shelter]]="", "", MROUND(tblPiNAnalysis[[#This Row],[Shelter]]/tblPiNAnalysis[[#This Row],[Population]], 0.05)), "")</f>
        <v>0</v>
      </c>
      <c r="AD20" s="320">
        <f>IFERROR(IF(tblPiNAnalysis[[#This Row],[WASH]]="", "", MROUND(tblPiNAnalysis[[#This Row],[WASH]]/tblPiNAnalysis[[#This Row],[Population]], 0.05)), "")</f>
        <v>0.15000000000000002</v>
      </c>
      <c r="AE20" s="318">
        <f>IFERROR(MROUND(tblPiNAnalysis[[#This Row],[CP]]/tblPiNAnalysis[[#This Row],[Population]], 0.05), "")</f>
        <v>0</v>
      </c>
      <c r="AF20" s="318">
        <f>IFERROR(MROUND(tblPiNAnalysis[[#This Row],[GBV]]/tblPiNAnalysis[[#This Row],[Population]], 0.05), "")</f>
        <v>0</v>
      </c>
      <c r="AG20" s="318">
        <f>IFERROR(MROUND(tblPiNAnalysis[[#This Row],[Migrants]]/tblPiNAnalysis[[#This Row],[Population]], 0.05), "")</f>
        <v>0</v>
      </c>
      <c r="AH20" s="318">
        <f>IFERROR(MROUND(tblPiNAnalysis[[#This Row],[_]]/tblPiNAnalysis[[#This Row],[Population]], 0.05), "")</f>
        <v>0</v>
      </c>
      <c r="AI20" s="321">
        <f>IFERROR(LARGE(tblPiNAnalysis[[#This Row],[CCCM]:[WASH]], 1), "")</f>
        <v>76948</v>
      </c>
      <c r="AJ20" s="322" t="str" cm="1">
        <f t="array" ref="AJ20">IF(tblPiNAnalysis[[#This Row],[Highest PiN]]="", "", _xlfn.TEXTJOIN(CHAR(10), TRUE, IF(tblPiNAnalysis[[#This Row],[Highest PiN]]=tblPiNAnalysis[[#This Row],[CCCM]:[WASH]], tblPiNAnalysis[[#Headers],[CCCM]:[WASH]], "")))</f>
        <v>Food Security</v>
      </c>
      <c r="AK20" s="323">
        <f>IF(tblPiNAnalysis[[#This Row],[Highest PiN]]="", "", tblPiNAnalysis[[#This Row],[Highest PiN]]/tblPiNAnalysis[[#This Row],[Population]])</f>
        <v>0.53903272808787273</v>
      </c>
      <c r="AL20" s="265" t="str">
        <f>IF(SUM(tblPiNAnalysis[[#This Row],[CCCM]:[WASH]])=0, "",IF(COUNTIF(tblPiNAnalysis[[#This Row],[CCCM]:[WASH]],"=0")+COUNTIF(tblPiNAnalysis[[#This Row],[CCCM]:[WASH]],"")&gt;=zero_pin_thresh, "Flagged", ""))</f>
        <v/>
      </c>
      <c r="AM20" s="264" t="str">
        <f>IFERROR(IF(tblPiNAnalysis[[#This Row],[Highest PiN]]="", "", IF(tblPiNAnalysis[[#This Row],[Highest sector(s'') PiN %]]&gt;=flag_pin_perc, "Flagged", "")), "")</f>
        <v/>
      </c>
      <c r="AN20" s="266" t="str" cm="1">
        <f t="array" ref="AN20">IF(tblPiNAnalysis[[#This Row],[Highest PiN]]=0, "",  IF(OR(COUNTIF(tblPiNAnalysis[[#This Row],[Highest sector(s)]],tblSubSectorPopulation[Sector])), "Flagged", ""))</f>
        <v/>
      </c>
      <c r="AO20" s="45" cm="1">
        <f t="array" ref="AO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69645.720280986614</v>
      </c>
      <c r="AP20" s="326" t="str" cm="1">
        <f t="array" ref="AP20">IF(tblPiNAnalysis[[#This Row],[2nd Highest PiN]]="", "", _xlfn.TEXTJOIN(CHAR(10), TRUE, IF(tblPiNAnalysis[[#This Row],[2nd Highest PiN]]=tblPiNAnalysis[[#This Row],[CCCM]:[WASH]], tblPiNAnalysis[[#Headers],[CCCM]:[WASH]], "")))</f>
        <v>Health</v>
      </c>
      <c r="AQ20" s="35">
        <f>IFERROR(tblPiNAnalysis[[#This Row],[2nd Highest PiN]]/tblPiNAnalysis[[#This Row],[Population]], "")</f>
        <v>0.48787912099996228</v>
      </c>
      <c r="AR20" s="45">
        <f>IFERROR(tblPiNAnalysis[[#This Row],[Highest PiN]]-tblPiNAnalysis[[#This Row],[2nd Highest PiN]], "")</f>
        <v>7302.2797190133861</v>
      </c>
      <c r="AS20" s="38">
        <f>IFERROR(((tblPiNAnalysis[[#This Row],[Highest PiN]]-tblPiNAnalysis[[#This Row],[2nd Highest PiN]])/tblPiNAnalysis[[#This Row],[2nd Highest PiN]]),"")</f>
        <v>0.10484893672651009</v>
      </c>
      <c r="AT20" s="269" t="str" cm="1">
        <f t="array" ref="AT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0" s="327" cm="1">
        <f t="array" ref="AU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34171.811764705883</v>
      </c>
      <c r="AV20" s="186" t="str" cm="1">
        <f t="array" ref="AV20">IF(tblPiNAnalysis[[#This Row],[3rd Highest PiN]]="", "", _xlfn.TEXTJOIN(CHAR(10), TRUE, IF(tblPiNAnalysis[[#This Row],[3rd Highest PiN]]=tblPiNAnalysis[[#This Row],[CCCM]:[WASH]], tblPiNAnalysis[[#Headers],[CCCM]:[WASH]], "")))</f>
        <v>Protection</v>
      </c>
      <c r="AW20" s="186">
        <f>IFERROR(tblPiNAnalysis[[#This Row],[3rd Highest PiN]]/tblPiNAnalysis[[#This Row],[Population]], "")</f>
        <v>0.23937886519772669</v>
      </c>
      <c r="AX20" s="44">
        <f>IFERROR(tblPiNAnalysis[[#This Row],[Highest PiN]]-tblPiNAnalysis[[#This Row],[3rd Highest PiN]],"")</f>
        <v>42776.188235294117</v>
      </c>
      <c r="AY20" s="38">
        <f>IFERROR(tblPiNAnalysis[[#This Row],[Difference of PiN between Highest and 3rd Highest]]/tblPiNAnalysis[[#This Row],[3rd Highest PiN]], "")</f>
        <v>1.2517974911554208</v>
      </c>
      <c r="AZ20" s="325" t="str" cm="1">
        <f t="array" ref="AZ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0" s="292" cm="1">
        <f t="array" ref="BA20">IFERROR(IF(tblPiNAnalysis[[#This Row],[ID]]="", "", INDEX(tblPiNHistorical[[CCCM]:[WASH]], MATCH(tblPiNAnalysis[[#This Row],[ID]],tblPiNHistorical[ID], 0),MATCH(_xlfn._xlws.FILTER(tblPiNAnalysis[[#Headers],[CCCM]:[WASH]], tblPiNAnalysis[[#This Row],[Highest PiN]]=tblPiNAnalysis[[#This Row],[CCCM]:[WASH]]), tblPiNHistorical[[#Headers],[CCCM]:[WASH]], 0))), "")</f>
        <v>0.4</v>
      </c>
      <c r="BB20" s="328" t="str" cm="1">
        <f t="array" ref="BB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0" s="272" cm="1">
        <f t="array" ref="BC20">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20" s="329" t="str" cm="1">
        <f t="array" ref="BD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0" s="371">
        <f>INDEX(tblSeverityAnalysis[Final Severity], MATCH(tblPiNAnalysis[[#This Row],[ID]],tblSeverityAnalysis[ID], 0))</f>
        <v>3</v>
      </c>
      <c r="BF20" s="60">
        <f>IF(tblPiNAnalysis[[#This Row],[Severity]]&gt;2,tblPiNAnalysis[[#This Row],[Highest PiN]],)</f>
        <v>76948</v>
      </c>
      <c r="BG20" s="187"/>
      <c r="BH20" s="188"/>
      <c r="BI20" s="189">
        <f>COUNTIFS(tblPiNAnalysis[[#This Row],[Number of missing / zero PiNs greater than threshold - Data quality]:[Manual Flag]],"Flagged")</f>
        <v>1</v>
      </c>
      <c r="BJ20" s="346" t="str">
        <f>IF(tblPiNAnalysis[[#This Row],['# Flags]]&gt;0, "Flagged", "")</f>
        <v>Flagged</v>
      </c>
      <c r="BK20" s="339">
        <f>tblPiNAnalysis[[#This Row],[Preliminary PiN]]</f>
        <v>76948</v>
      </c>
      <c r="BL20" s="326"/>
      <c r="BM20" s="383">
        <f>IF(OR(tblPiNAnalysis[[#This Row],[Severity]]=4,tblPiNAnalysis[[#This Row],[Severity]]=5),tblPiNAnalysis[[#This Row],[Final PiN]],0)</f>
        <v>0</v>
      </c>
      <c r="BN20" s="378">
        <f>IF(OR(tblPiNAnalysis[[#This Row],[Severity]]=4,tblPiNAnalysis[[#This Row],[Severity]]=5),100%, IF(tblPiNAnalysis[[#This Row],[Severity]]=3,50%,0%))*tblPiNAnalysis[[#This Row],[Final PiN]]</f>
        <v>38474</v>
      </c>
      <c r="BO20" s="383">
        <f>IF(OR(tblPiNAnalysis[[#This Row],[Severity]]=4,tblPiNAnalysis[[#This Row],[Severity]]=5),100%, IF(AND(tblPiNAnalysis[[#This Row],[Severity]]=3,VLOOKUP(tblPiNAnalysis[[#This Row],[ID]],tblSeverityAnalysis[[ID]:[Highest Severity]],35,FALSE)&gt;3),50%,0%))*tblPiNAnalysis[[#This Row],[Final PiN]]</f>
        <v>0</v>
      </c>
    </row>
    <row r="21" spans="1:67" hidden="1">
      <c r="A2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Global_PopulationHT0142</v>
      </c>
      <c r="B21" s="304" t="s">
        <v>152</v>
      </c>
      <c r="C21" s="213" t="s">
        <v>153</v>
      </c>
      <c r="D21" s="213" t="s">
        <v>191</v>
      </c>
      <c r="E21" s="103" t="s">
        <v>192</v>
      </c>
      <c r="F21" s="99"/>
      <c r="G21" s="34"/>
      <c r="H21" s="357"/>
      <c r="I21" s="354">
        <v>65302</v>
      </c>
      <c r="J21" s="221" t="s">
        <v>156</v>
      </c>
      <c r="K21" s="316">
        <v>17856</v>
      </c>
      <c r="L21" s="308">
        <v>9208</v>
      </c>
      <c r="M21" s="308">
        <v>10181</v>
      </c>
      <c r="N21" s="308">
        <v>40300</v>
      </c>
      <c r="O21" s="308">
        <v>78335.732880786294</v>
      </c>
      <c r="P21" s="308">
        <v>55257.85</v>
      </c>
      <c r="Q21" s="309">
        <v>33946</v>
      </c>
      <c r="R21" s="308">
        <v>32651</v>
      </c>
      <c r="S21" s="308"/>
      <c r="T21" s="308"/>
      <c r="U21" s="308"/>
      <c r="V21" s="308"/>
      <c r="W21" s="317">
        <f>IFERROR(IF(tblPiNAnalysis[[#This Row],[CCCM]]="", "", MROUND(tblPiNAnalysis[[#This Row],[CCCM]]/tblPiNAnalysis[[#This Row],[Population]], 0.05)), "")</f>
        <v>0.25</v>
      </c>
      <c r="X21" s="318">
        <f>IFERROR(IF(tblPiNAnalysis[[#This Row],[Education]]="", "", MROUND(tblPiNAnalysis[[#This Row],[Education]]/tblPiNAnalysis[[#This Row],[Population]], 0.05)), "")</f>
        <v>0.15000000000000002</v>
      </c>
      <c r="Y21" s="318">
        <f>IFERROR(IF(tblPiNAnalysis[[#This Row],[Nutrition]]="", "", MROUND(tblPiNAnalysis[[#This Row],[Nutrition]]/tblPiNAnalysis[[#This Row],[Population]], 0.05)), "")</f>
        <v>0.15000000000000002</v>
      </c>
      <c r="Z21" s="318">
        <f>IFERROR(IF(tblPiNAnalysis[[#This Row],[Food Security]]="", "", MROUND(tblPiNAnalysis[[#This Row],[Food Security]]/tblPiNAnalysis[[#This Row],[Population]], 0.05)), "")</f>
        <v>0.60000000000000009</v>
      </c>
      <c r="AA21" s="318">
        <f>IFERROR(IF(tblPiNAnalysis[[#This Row],[Health]]="", "", MROUND(tblPiNAnalysis[[#This Row],[Health]]/tblPiNAnalysis[[#This Row],[Population]], 0.05)), "")</f>
        <v>1.2000000000000002</v>
      </c>
      <c r="AB21" s="319">
        <f>IFERROR(IF(tblPiNAnalysis[[#This Row],[Protection]]="", "", MROUND(tblPiNAnalysis[[#This Row],[Protection]]/tblPiNAnalysis[[#This Row],[Population]], 0.05)), "")</f>
        <v>0.85000000000000009</v>
      </c>
      <c r="AC21" s="319">
        <f>IFERROR(IF(tblPiNAnalysis[[#This Row],[Shelter]]="", "", MROUND(tblPiNAnalysis[[#This Row],[Shelter]]/tblPiNAnalysis[[#This Row],[Population]], 0.05)), "")</f>
        <v>0.5</v>
      </c>
      <c r="AD21" s="320">
        <f>IFERROR(IF(tblPiNAnalysis[[#This Row],[WASH]]="", "", MROUND(tblPiNAnalysis[[#This Row],[WASH]]/tblPiNAnalysis[[#This Row],[Population]], 0.05)), "")</f>
        <v>0.5</v>
      </c>
      <c r="AE21" s="318">
        <f>IFERROR(MROUND(tblPiNAnalysis[[#This Row],[CP]]/tblPiNAnalysis[[#This Row],[Population]], 0.05), "")</f>
        <v>0</v>
      </c>
      <c r="AF21" s="318">
        <f>IFERROR(MROUND(tblPiNAnalysis[[#This Row],[GBV]]/tblPiNAnalysis[[#This Row],[Population]], 0.05), "")</f>
        <v>0</v>
      </c>
      <c r="AG21" s="318">
        <f>IFERROR(MROUND(tblPiNAnalysis[[#This Row],[Migrants]]/tblPiNAnalysis[[#This Row],[Population]], 0.05), "")</f>
        <v>0</v>
      </c>
      <c r="AH21" s="318">
        <f>IFERROR(MROUND(tblPiNAnalysis[[#This Row],[_]]/tblPiNAnalysis[[#This Row],[Population]], 0.05), "")</f>
        <v>0</v>
      </c>
      <c r="AI21" s="321">
        <f>IFERROR(LARGE(tblPiNAnalysis[[#This Row],[CCCM]:[WASH]], 1), "")</f>
        <v>78335.732880786294</v>
      </c>
      <c r="AJ21" s="322" t="str" cm="1">
        <f t="array" ref="AJ21">IF(tblPiNAnalysis[[#This Row],[Highest PiN]]="", "", _xlfn.TEXTJOIN(CHAR(10), TRUE, IF(tblPiNAnalysis[[#This Row],[Highest PiN]]=tblPiNAnalysis[[#This Row],[CCCM]:[WASH]], tblPiNAnalysis[[#Headers],[CCCM]:[WASH]], "")))</f>
        <v>Health</v>
      </c>
      <c r="AK21" s="323">
        <f>IF(tblPiNAnalysis[[#This Row],[Highest PiN]]="", "", tblPiNAnalysis[[#This Row],[Highest PiN]]/tblPiNAnalysis[[#This Row],[Population]])</f>
        <v>1.1995916339589339</v>
      </c>
      <c r="AL21" s="265" t="str">
        <f>IF(SUM(tblPiNAnalysis[[#This Row],[CCCM]:[WASH]])=0, "",IF(COUNTIF(tblPiNAnalysis[[#This Row],[CCCM]:[WASH]],"=0")+COUNTIF(tblPiNAnalysis[[#This Row],[CCCM]:[WASH]],"")&gt;=zero_pin_thresh, "Flagged", ""))</f>
        <v/>
      </c>
      <c r="AM21" s="264" t="str">
        <f>IFERROR(IF(tblPiNAnalysis[[#This Row],[Highest PiN]]="", "", IF(tblPiNAnalysis[[#This Row],[Highest sector(s'') PiN %]]&gt;=flag_pin_perc, "Flagged", "")), "")</f>
        <v>Flagged</v>
      </c>
      <c r="AN21" s="266" t="str" cm="1">
        <f t="array" ref="AN21">IF(tblPiNAnalysis[[#This Row],[Highest PiN]]=0, "",  IF(OR(COUNTIF(tblPiNAnalysis[[#This Row],[Highest sector(s)]],tblSubSectorPopulation[Sector])), "Flagged", ""))</f>
        <v/>
      </c>
      <c r="AO21" s="45" cm="1">
        <f t="array" ref="AO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55257.85</v>
      </c>
      <c r="AP21" s="326" t="str" cm="1">
        <f t="array" ref="AP21">IF(tblPiNAnalysis[[#This Row],[2nd Highest PiN]]="", "", _xlfn.TEXTJOIN(CHAR(10), TRUE, IF(tblPiNAnalysis[[#This Row],[2nd Highest PiN]]=tblPiNAnalysis[[#This Row],[CCCM]:[WASH]], tblPiNAnalysis[[#Headers],[CCCM]:[WASH]], "")))</f>
        <v>Protection</v>
      </c>
      <c r="AQ21" s="35">
        <f>IFERROR(tblPiNAnalysis[[#This Row],[2nd Highest PiN]]/tblPiNAnalysis[[#This Row],[Population]], "")</f>
        <v>0.84618924382101623</v>
      </c>
      <c r="AR21" s="45">
        <f>IFERROR(tblPiNAnalysis[[#This Row],[Highest PiN]]-tblPiNAnalysis[[#This Row],[2nd Highest PiN]], "")</f>
        <v>23077.882880786296</v>
      </c>
      <c r="AS21" s="38">
        <f>IFERROR(((tblPiNAnalysis[[#This Row],[Highest PiN]]-tblPiNAnalysis[[#This Row],[2nd Highest PiN]])/tblPiNAnalysis[[#This Row],[2nd Highest PiN]]),"")</f>
        <v>0.41763989877974433</v>
      </c>
      <c r="AT21" s="269" t="str" cm="1">
        <f t="array" ref="AT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1" s="327" cm="1">
        <f t="array" ref="AU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40300</v>
      </c>
      <c r="AV21" s="186" t="str" cm="1">
        <f t="array" ref="AV21">IF(tblPiNAnalysis[[#This Row],[3rd Highest PiN]]="", "", _xlfn.TEXTJOIN(CHAR(10), TRUE, IF(tblPiNAnalysis[[#This Row],[3rd Highest PiN]]=tblPiNAnalysis[[#This Row],[CCCM]:[WASH]], tblPiNAnalysis[[#Headers],[CCCM]:[WASH]], "")))</f>
        <v>Food Security</v>
      </c>
      <c r="AW21" s="186">
        <f>IFERROR(tblPiNAnalysis[[#This Row],[3rd Highest PiN]]/tblPiNAnalysis[[#This Row],[Population]], "")</f>
        <v>0.61713270650209795</v>
      </c>
      <c r="AX21" s="44">
        <f>IFERROR(tblPiNAnalysis[[#This Row],[Highest PiN]]-tblPiNAnalysis[[#This Row],[3rd Highest PiN]],"")</f>
        <v>38035.732880786294</v>
      </c>
      <c r="AY21" s="38">
        <f>IFERROR(tblPiNAnalysis[[#This Row],[Difference of PiN between Highest and 3rd Highest]]/tblPiNAnalysis[[#This Row],[3rd Highest PiN]], "")</f>
        <v>0.94381471168204201</v>
      </c>
      <c r="AZ21" s="325" t="str" cm="1">
        <f t="array" ref="AZ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1" s="292" cm="1">
        <f t="array" ref="BA21">IFERROR(IF(tblPiNAnalysis[[#This Row],[ID]]="", "", INDEX(tblPiNHistorical[[CCCM]:[WASH]], MATCH(tblPiNAnalysis[[#This Row],[ID]],tblPiNHistorical[ID], 0),MATCH(_xlfn._xlws.FILTER(tblPiNAnalysis[[#Headers],[CCCM]:[WASH]], tblPiNAnalysis[[#This Row],[Highest PiN]]=tblPiNAnalysis[[#This Row],[CCCM]:[WASH]]), tblPiNHistorical[[#Headers],[CCCM]:[WASH]], 0))), "")</f>
        <v>1.1000000000000001</v>
      </c>
      <c r="BB21" s="328" t="str" cm="1">
        <f t="array" ref="BB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21" s="272" t="str" cm="1">
        <f t="array" ref="BC21">IFERROR(IF(tblPiNAnalysis[[#This Row],[ID]]="", "", INDEX(tblPiNHistorical[[CCCM]:[WASH]], MATCH(tblPiNAnalysis[[#This Row],[ID]],tblPiNHistorical[ID], 0),MATCH(_xlfn._xlws.FILTER(tblPiNAnalysis[[#Headers],[CCCM]:[WASH]], tblPiNAnalysis[[#This Row],[2nd Highest PiN]]=tblPiNAnalysis[[#This Row],[CCCM]:[WASH]]), tblPiNHistorical[[#Headers],[CCCM]:[WASH]], 0))), "")</f>
        <v/>
      </c>
      <c r="BD21" s="329" t="str" cm="1">
        <f t="array" ref="BD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1" s="371">
        <f>INDEX(tblSeverityAnalysis[Final Severity], MATCH(tblPiNAnalysis[[#This Row],[ID]],tblSeverityAnalysis[ID], 0))</f>
        <v>4</v>
      </c>
      <c r="BF21" s="60">
        <f>IF(tblPiNAnalysis[[#This Row],[Severity]]&gt;2,tblPiNAnalysis[[#This Row],[Highest PiN]],)</f>
        <v>78335.732880786294</v>
      </c>
      <c r="BG21" s="187"/>
      <c r="BH21" s="188"/>
      <c r="BI21" s="189">
        <f>COUNTIFS(tblPiNAnalysis[[#This Row],[Number of missing / zero PiNs greater than threshold - Data quality]:[Manual Flag]],"Flagged")</f>
        <v>3</v>
      </c>
      <c r="BJ21" s="346" t="str">
        <f>IF(tblPiNAnalysis[[#This Row],['# Flags]]&gt;0, "Flagged", "")</f>
        <v>Flagged</v>
      </c>
      <c r="BK21" s="308">
        <v>55257.85</v>
      </c>
      <c r="BL21" s="326" t="s">
        <v>157</v>
      </c>
      <c r="BM21" s="383">
        <f>IF(OR(tblPiNAnalysis[[#This Row],[Severity]]=4,tblPiNAnalysis[[#This Row],[Severity]]=5),tblPiNAnalysis[[#This Row],[Final PiN]],0)</f>
        <v>55257.85</v>
      </c>
      <c r="BN21" s="378">
        <f>IF(OR(tblPiNAnalysis[[#This Row],[Severity]]=4,tblPiNAnalysis[[#This Row],[Severity]]=5),100%, IF(tblPiNAnalysis[[#This Row],[Severity]]=3,50%,0%))*tblPiNAnalysis[[#This Row],[Final PiN]]</f>
        <v>55257.85</v>
      </c>
      <c r="BO21" s="383">
        <f>IF(OR(tblPiNAnalysis[[#This Row],[Severity]]=4,tblPiNAnalysis[[#This Row],[Severity]]=5),100%, IF(AND(tblPiNAnalysis[[#This Row],[Severity]]=3,VLOOKUP(tblPiNAnalysis[[#This Row],[ID]],tblSeverityAnalysis[[ID]:[Highest Severity]],35,FALSE)&gt;3),50%,0%))*tblPiNAnalysis[[#This Row],[Final PiN]]</f>
        <v>55257.85</v>
      </c>
    </row>
    <row r="22" spans="1:67" hidden="1">
      <c r="A2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Global_PopulationHT0151</v>
      </c>
      <c r="B22" s="304" t="s">
        <v>152</v>
      </c>
      <c r="C22" s="213" t="s">
        <v>153</v>
      </c>
      <c r="D22" s="213" t="s">
        <v>193</v>
      </c>
      <c r="E22" s="103" t="s">
        <v>194</v>
      </c>
      <c r="F22" s="99"/>
      <c r="G22" s="34"/>
      <c r="H22" s="357"/>
      <c r="I22" s="354">
        <v>70156</v>
      </c>
      <c r="J22" s="221" t="s">
        <v>156</v>
      </c>
      <c r="K22" s="316">
        <v>4567.5</v>
      </c>
      <c r="L22" s="308">
        <v>11207</v>
      </c>
      <c r="M22" s="308">
        <v>7145</v>
      </c>
      <c r="N22" s="308">
        <v>43900</v>
      </c>
      <c r="O22" s="308">
        <v>5324.4157182266008</v>
      </c>
      <c r="P22" s="308">
        <v>3271.13</v>
      </c>
      <c r="Q22" s="309">
        <v>0</v>
      </c>
      <c r="R22" s="308">
        <v>3045</v>
      </c>
      <c r="S22" s="308"/>
      <c r="T22" s="308"/>
      <c r="U22" s="308"/>
      <c r="V22" s="308"/>
      <c r="W22" s="317">
        <f>IFERROR(IF(tblPiNAnalysis[[#This Row],[CCCM]]="", "", MROUND(tblPiNAnalysis[[#This Row],[CCCM]]/tblPiNAnalysis[[#This Row],[Population]], 0.05)), "")</f>
        <v>0.05</v>
      </c>
      <c r="X22" s="318">
        <f>IFERROR(IF(tblPiNAnalysis[[#This Row],[Education]]="", "", MROUND(tblPiNAnalysis[[#This Row],[Education]]/tblPiNAnalysis[[#This Row],[Population]], 0.05)), "")</f>
        <v>0.15000000000000002</v>
      </c>
      <c r="Y22" s="318">
        <f>IFERROR(IF(tblPiNAnalysis[[#This Row],[Nutrition]]="", "", MROUND(tblPiNAnalysis[[#This Row],[Nutrition]]/tblPiNAnalysis[[#This Row],[Population]], 0.05)), "")</f>
        <v>0.1</v>
      </c>
      <c r="Z22" s="318">
        <f>IFERROR(IF(tblPiNAnalysis[[#This Row],[Food Security]]="", "", MROUND(tblPiNAnalysis[[#This Row],[Food Security]]/tblPiNAnalysis[[#This Row],[Population]], 0.05)), "")</f>
        <v>0.65</v>
      </c>
      <c r="AA22" s="318">
        <f>IFERROR(IF(tblPiNAnalysis[[#This Row],[Health]]="", "", MROUND(tblPiNAnalysis[[#This Row],[Health]]/tblPiNAnalysis[[#This Row],[Population]], 0.05)), "")</f>
        <v>0.1</v>
      </c>
      <c r="AB22" s="319">
        <f>IFERROR(IF(tblPiNAnalysis[[#This Row],[Protection]]="", "", MROUND(tblPiNAnalysis[[#This Row],[Protection]]/tblPiNAnalysis[[#This Row],[Population]], 0.05)), "")</f>
        <v>0.05</v>
      </c>
      <c r="AC22" s="319">
        <f>IFERROR(IF(tblPiNAnalysis[[#This Row],[Shelter]]="", "", MROUND(tblPiNAnalysis[[#This Row],[Shelter]]/tblPiNAnalysis[[#This Row],[Population]], 0.05)), "")</f>
        <v>0</v>
      </c>
      <c r="AD22" s="320">
        <f>IFERROR(IF(tblPiNAnalysis[[#This Row],[WASH]]="", "", MROUND(tblPiNAnalysis[[#This Row],[WASH]]/tblPiNAnalysis[[#This Row],[Population]], 0.05)), "")</f>
        <v>0.05</v>
      </c>
      <c r="AE22" s="318">
        <f>IFERROR(MROUND(tblPiNAnalysis[[#This Row],[CP]]/tblPiNAnalysis[[#This Row],[Population]], 0.05), "")</f>
        <v>0</v>
      </c>
      <c r="AF22" s="318">
        <f>IFERROR(MROUND(tblPiNAnalysis[[#This Row],[GBV]]/tblPiNAnalysis[[#This Row],[Population]], 0.05), "")</f>
        <v>0</v>
      </c>
      <c r="AG22" s="318">
        <f>IFERROR(MROUND(tblPiNAnalysis[[#This Row],[Migrants]]/tblPiNAnalysis[[#This Row],[Population]], 0.05), "")</f>
        <v>0</v>
      </c>
      <c r="AH22" s="318">
        <f>IFERROR(MROUND(tblPiNAnalysis[[#This Row],[_]]/tblPiNAnalysis[[#This Row],[Population]], 0.05), "")</f>
        <v>0</v>
      </c>
      <c r="AI22" s="321">
        <f>IFERROR(LARGE(tblPiNAnalysis[[#This Row],[CCCM]:[WASH]], 1), "")</f>
        <v>43900</v>
      </c>
      <c r="AJ22" s="322" t="str" cm="1">
        <f t="array" ref="AJ22">IF(tblPiNAnalysis[[#This Row],[Highest PiN]]="", "", _xlfn.TEXTJOIN(CHAR(10), TRUE, IF(tblPiNAnalysis[[#This Row],[Highest PiN]]=tblPiNAnalysis[[#This Row],[CCCM]:[WASH]], tblPiNAnalysis[[#Headers],[CCCM]:[WASH]], "")))</f>
        <v>Food Security</v>
      </c>
      <c r="AK22" s="323">
        <f>IF(tblPiNAnalysis[[#This Row],[Highest PiN]]="", "", tblPiNAnalysis[[#This Row],[Highest PiN]]/tblPiNAnalysis[[#This Row],[Population]])</f>
        <v>0.62574833228804383</v>
      </c>
      <c r="AL22" s="265" t="str">
        <f>IF(SUM(tblPiNAnalysis[[#This Row],[CCCM]:[WASH]])=0, "",IF(COUNTIF(tblPiNAnalysis[[#This Row],[CCCM]:[WASH]],"=0")+COUNTIF(tblPiNAnalysis[[#This Row],[CCCM]:[WASH]],"")&gt;=zero_pin_thresh, "Flagged", ""))</f>
        <v/>
      </c>
      <c r="AM22" s="264" t="str">
        <f>IFERROR(IF(tblPiNAnalysis[[#This Row],[Highest PiN]]="", "", IF(tblPiNAnalysis[[#This Row],[Highest sector(s'') PiN %]]&gt;=flag_pin_perc, "Flagged", "")), "")</f>
        <v/>
      </c>
      <c r="AN22" s="266" t="str" cm="1">
        <f t="array" ref="AN22">IF(tblPiNAnalysis[[#This Row],[Highest PiN]]=0, "",  IF(OR(COUNTIF(tblPiNAnalysis[[#This Row],[Highest sector(s)]],tblSubSectorPopulation[Sector])), "Flagged", ""))</f>
        <v/>
      </c>
      <c r="AO22" s="45" cm="1">
        <f t="array" ref="AO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11207</v>
      </c>
      <c r="AP22" s="326" t="str" cm="1">
        <f t="array" ref="AP22">IF(tblPiNAnalysis[[#This Row],[2nd Highest PiN]]="", "", _xlfn.TEXTJOIN(CHAR(10), TRUE, IF(tblPiNAnalysis[[#This Row],[2nd Highest PiN]]=tblPiNAnalysis[[#This Row],[CCCM]:[WASH]], tblPiNAnalysis[[#Headers],[CCCM]:[WASH]], "")))</f>
        <v>Education</v>
      </c>
      <c r="AQ22" s="35">
        <f>IFERROR(tblPiNAnalysis[[#This Row],[2nd Highest PiN]]/tblPiNAnalysis[[#This Row],[Population]], "")</f>
        <v>0.15974399908774731</v>
      </c>
      <c r="AR22" s="45">
        <f>IFERROR(tblPiNAnalysis[[#This Row],[Highest PiN]]-tblPiNAnalysis[[#This Row],[2nd Highest PiN]], "")</f>
        <v>32693</v>
      </c>
      <c r="AS22" s="38">
        <f>IFERROR(((tblPiNAnalysis[[#This Row],[Highest PiN]]-tblPiNAnalysis[[#This Row],[2nd Highest PiN]])/tblPiNAnalysis[[#This Row],[2nd Highest PiN]]),"")</f>
        <v>2.9171946105112876</v>
      </c>
      <c r="AT22" s="269" t="str" cm="1">
        <f t="array" ref="AT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2" s="327" cm="1">
        <f t="array" ref="AU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7145</v>
      </c>
      <c r="AV22" s="186" t="str" cm="1">
        <f t="array" ref="AV22">IF(tblPiNAnalysis[[#This Row],[3rd Highest PiN]]="", "", _xlfn.TEXTJOIN(CHAR(10), TRUE, IF(tblPiNAnalysis[[#This Row],[3rd Highest PiN]]=tblPiNAnalysis[[#This Row],[CCCM]:[WASH]], tblPiNAnalysis[[#Headers],[CCCM]:[WASH]], "")))</f>
        <v>Nutrition</v>
      </c>
      <c r="AW22" s="186">
        <f>IFERROR(tblPiNAnalysis[[#This Row],[3rd Highest PiN]]/tblPiNAnalysis[[#This Row],[Population]], "")</f>
        <v>0.10184446091567365</v>
      </c>
      <c r="AX22" s="44">
        <f>IFERROR(tblPiNAnalysis[[#This Row],[Highest PiN]]-tblPiNAnalysis[[#This Row],[3rd Highest PiN]],"")</f>
        <v>36755</v>
      </c>
      <c r="AY22" s="38">
        <f>IFERROR(tblPiNAnalysis[[#This Row],[Difference of PiN between Highest and 3rd Highest]]/tblPiNAnalysis[[#This Row],[3rd Highest PiN]], "")</f>
        <v>5.1441567529741077</v>
      </c>
      <c r="AZ22" s="325" t="str" cm="1">
        <f t="array" ref="AZ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2" s="292" cm="1">
        <f t="array" ref="BA22">IFERROR(IF(tblPiNAnalysis[[#This Row],[ID]]="", "", INDEX(tblPiNHistorical[[CCCM]:[WASH]], MATCH(tblPiNAnalysis[[#This Row],[ID]],tblPiNHistorical[ID], 0),MATCH(_xlfn._xlws.FILTER(tblPiNAnalysis[[#Headers],[CCCM]:[WASH]], tblPiNAnalysis[[#This Row],[Highest PiN]]=tblPiNAnalysis[[#This Row],[CCCM]:[WASH]]), tblPiNHistorical[[#Headers],[CCCM]:[WASH]], 0))), "")</f>
        <v>0.1</v>
      </c>
      <c r="BB22" s="328" t="str" cm="1">
        <f t="array" ref="BB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2" s="272" cm="1">
        <f t="array" ref="BC22">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22" s="329" t="str" cm="1">
        <f t="array" ref="BD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2" s="371">
        <f>INDEX(tblSeverityAnalysis[Final Severity], MATCH(tblPiNAnalysis[[#This Row],[ID]],tblSeverityAnalysis[ID], 0))</f>
        <v>3</v>
      </c>
      <c r="BF22" s="60">
        <f>IF(tblPiNAnalysis[[#This Row],[Severity]]&gt;2,tblPiNAnalysis[[#This Row],[Highest PiN]],)</f>
        <v>43900</v>
      </c>
      <c r="BG22" s="187"/>
      <c r="BH22" s="188"/>
      <c r="BI22" s="189">
        <f>COUNTIFS(tblPiNAnalysis[[#This Row],[Number of missing / zero PiNs greater than threshold - Data quality]:[Manual Flag]],"Flagged")</f>
        <v>2</v>
      </c>
      <c r="BJ22" s="346" t="str">
        <f>IF(tblPiNAnalysis[[#This Row],['# Flags]]&gt;0, "Flagged", "")</f>
        <v>Flagged</v>
      </c>
      <c r="BK22" s="339">
        <f>tblPiNAnalysis[[#This Row],[Preliminary PiN]]</f>
        <v>43900</v>
      </c>
      <c r="BL22" s="326"/>
      <c r="BM22" s="383">
        <f>IF(OR(tblPiNAnalysis[[#This Row],[Severity]]=4,tblPiNAnalysis[[#This Row],[Severity]]=5),tblPiNAnalysis[[#This Row],[Final PiN]],0)</f>
        <v>0</v>
      </c>
      <c r="BN22" s="378">
        <f>IF(OR(tblPiNAnalysis[[#This Row],[Severity]]=4,tblPiNAnalysis[[#This Row],[Severity]]=5),100%, IF(tblPiNAnalysis[[#This Row],[Severity]]=3,50%,0%))*tblPiNAnalysis[[#This Row],[Final PiN]]</f>
        <v>21950</v>
      </c>
      <c r="BO22" s="383">
        <f>IF(OR(tblPiNAnalysis[[#This Row],[Severity]]=4,tblPiNAnalysis[[#This Row],[Severity]]=5),100%, IF(AND(tblPiNAnalysis[[#This Row],[Severity]]=3,VLOOKUP(tblPiNAnalysis[[#This Row],[ID]],tblSeverityAnalysis[[ID]:[Highest Severity]],35,FALSE)&gt;3),50%,0%))*tblPiNAnalysis[[#This Row],[Final PiN]]</f>
        <v>21950</v>
      </c>
    </row>
    <row r="23" spans="1:67" hidden="1">
      <c r="A2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Global_PopulationHT0152</v>
      </c>
      <c r="B23" s="304" t="s">
        <v>152</v>
      </c>
      <c r="C23" s="213" t="s">
        <v>153</v>
      </c>
      <c r="D23" s="213" t="s">
        <v>195</v>
      </c>
      <c r="E23" s="103" t="s">
        <v>196</v>
      </c>
      <c r="F23" s="99"/>
      <c r="G23" s="34"/>
      <c r="H23" s="357"/>
      <c r="I23" s="354">
        <v>26818</v>
      </c>
      <c r="J23" s="221" t="s">
        <v>156</v>
      </c>
      <c r="K23" s="316">
        <v>7309.5</v>
      </c>
      <c r="L23" s="308">
        <v>4232</v>
      </c>
      <c r="M23" s="308">
        <v>3169</v>
      </c>
      <c r="N23" s="308">
        <v>17205</v>
      </c>
      <c r="O23" s="308">
        <v>6420.8235858813869</v>
      </c>
      <c r="P23" s="308">
        <v>5697.19</v>
      </c>
      <c r="Q23" s="309">
        <v>0</v>
      </c>
      <c r="R23" s="308">
        <v>7392.75</v>
      </c>
      <c r="S23" s="308"/>
      <c r="T23" s="308"/>
      <c r="U23" s="308"/>
      <c r="V23" s="308"/>
      <c r="W23" s="317">
        <f>IFERROR(IF(tblPiNAnalysis[[#This Row],[CCCM]]="", "", MROUND(tblPiNAnalysis[[#This Row],[CCCM]]/tblPiNAnalysis[[#This Row],[Population]], 0.05)), "")</f>
        <v>0.25</v>
      </c>
      <c r="X23" s="318">
        <f>IFERROR(IF(tblPiNAnalysis[[#This Row],[Education]]="", "", MROUND(tblPiNAnalysis[[#This Row],[Education]]/tblPiNAnalysis[[#This Row],[Population]], 0.05)), "")</f>
        <v>0.15000000000000002</v>
      </c>
      <c r="Y23" s="318">
        <f>IFERROR(IF(tblPiNAnalysis[[#This Row],[Nutrition]]="", "", MROUND(tblPiNAnalysis[[#This Row],[Nutrition]]/tblPiNAnalysis[[#This Row],[Population]], 0.05)), "")</f>
        <v>0.1</v>
      </c>
      <c r="Z23" s="318">
        <f>IFERROR(IF(tblPiNAnalysis[[#This Row],[Food Security]]="", "", MROUND(tblPiNAnalysis[[#This Row],[Food Security]]/tblPiNAnalysis[[#This Row],[Population]], 0.05)), "")</f>
        <v>0.65</v>
      </c>
      <c r="AA23" s="318">
        <f>IFERROR(IF(tblPiNAnalysis[[#This Row],[Health]]="", "", MROUND(tblPiNAnalysis[[#This Row],[Health]]/tblPiNAnalysis[[#This Row],[Population]], 0.05)), "")</f>
        <v>0.25</v>
      </c>
      <c r="AB23" s="319">
        <f>IFERROR(IF(tblPiNAnalysis[[#This Row],[Protection]]="", "", MROUND(tblPiNAnalysis[[#This Row],[Protection]]/tblPiNAnalysis[[#This Row],[Population]], 0.05)), "")</f>
        <v>0.2</v>
      </c>
      <c r="AC23" s="319">
        <f>IFERROR(IF(tblPiNAnalysis[[#This Row],[Shelter]]="", "", MROUND(tblPiNAnalysis[[#This Row],[Shelter]]/tblPiNAnalysis[[#This Row],[Population]], 0.05)), "")</f>
        <v>0</v>
      </c>
      <c r="AD23" s="320">
        <f>IFERROR(IF(tblPiNAnalysis[[#This Row],[WASH]]="", "", MROUND(tblPiNAnalysis[[#This Row],[WASH]]/tblPiNAnalysis[[#This Row],[Population]], 0.05)), "")</f>
        <v>0.30000000000000004</v>
      </c>
      <c r="AE23" s="318">
        <f>IFERROR(MROUND(tblPiNAnalysis[[#This Row],[CP]]/tblPiNAnalysis[[#This Row],[Population]], 0.05), "")</f>
        <v>0</v>
      </c>
      <c r="AF23" s="318">
        <f>IFERROR(MROUND(tblPiNAnalysis[[#This Row],[GBV]]/tblPiNAnalysis[[#This Row],[Population]], 0.05), "")</f>
        <v>0</v>
      </c>
      <c r="AG23" s="318">
        <f>IFERROR(MROUND(tblPiNAnalysis[[#This Row],[Migrants]]/tblPiNAnalysis[[#This Row],[Population]], 0.05), "")</f>
        <v>0</v>
      </c>
      <c r="AH23" s="318">
        <f>IFERROR(MROUND(tblPiNAnalysis[[#This Row],[_]]/tblPiNAnalysis[[#This Row],[Population]], 0.05), "")</f>
        <v>0</v>
      </c>
      <c r="AI23" s="321">
        <f>IFERROR(LARGE(tblPiNAnalysis[[#This Row],[CCCM]:[WASH]], 1), "")</f>
        <v>17205</v>
      </c>
      <c r="AJ23" s="322" t="str" cm="1">
        <f t="array" ref="AJ23">IF(tblPiNAnalysis[[#This Row],[Highest PiN]]="", "", _xlfn.TEXTJOIN(CHAR(10), TRUE, IF(tblPiNAnalysis[[#This Row],[Highest PiN]]=tblPiNAnalysis[[#This Row],[CCCM]:[WASH]], tblPiNAnalysis[[#Headers],[CCCM]:[WASH]], "")))</f>
        <v>Food Security</v>
      </c>
      <c r="AK23" s="323">
        <f>IF(tblPiNAnalysis[[#This Row],[Highest PiN]]="", "", tblPiNAnalysis[[#This Row],[Highest PiN]]/tblPiNAnalysis[[#This Row],[Population]])</f>
        <v>0.64154672235066001</v>
      </c>
      <c r="AL23" s="265" t="str">
        <f>IF(SUM(tblPiNAnalysis[[#This Row],[CCCM]:[WASH]])=0, "",IF(COUNTIF(tblPiNAnalysis[[#This Row],[CCCM]:[WASH]],"=0")+COUNTIF(tblPiNAnalysis[[#This Row],[CCCM]:[WASH]],"")&gt;=zero_pin_thresh, "Flagged", ""))</f>
        <v/>
      </c>
      <c r="AM23" s="264" t="str">
        <f>IFERROR(IF(tblPiNAnalysis[[#This Row],[Highest PiN]]="", "", IF(tblPiNAnalysis[[#This Row],[Highest sector(s'') PiN %]]&gt;=flag_pin_perc, "Flagged", "")), "")</f>
        <v/>
      </c>
      <c r="AN23" s="266" t="str" cm="1">
        <f t="array" ref="AN23">IF(tblPiNAnalysis[[#This Row],[Highest PiN]]=0, "",  IF(OR(COUNTIF(tblPiNAnalysis[[#This Row],[Highest sector(s)]],tblSubSectorPopulation[Sector])), "Flagged", ""))</f>
        <v/>
      </c>
      <c r="AO23" s="45" cm="1">
        <f t="array" ref="AO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7392.75</v>
      </c>
      <c r="AP23" s="326" t="str" cm="1">
        <f t="array" ref="AP23">IF(tblPiNAnalysis[[#This Row],[2nd Highest PiN]]="", "", _xlfn.TEXTJOIN(CHAR(10), TRUE, IF(tblPiNAnalysis[[#This Row],[2nd Highest PiN]]=tblPiNAnalysis[[#This Row],[CCCM]:[WASH]], tblPiNAnalysis[[#Headers],[CCCM]:[WASH]], "")))</f>
        <v>WASH</v>
      </c>
      <c r="AQ23" s="35">
        <f>IFERROR(tblPiNAnalysis[[#This Row],[2nd Highest PiN]]/tblPiNAnalysis[[#This Row],[Population]], "")</f>
        <v>0.27566373331344618</v>
      </c>
      <c r="AR23" s="45">
        <f>IFERROR(tblPiNAnalysis[[#This Row],[Highest PiN]]-tblPiNAnalysis[[#This Row],[2nd Highest PiN]], "")</f>
        <v>9812.25</v>
      </c>
      <c r="AS23" s="38">
        <f>IFERROR(((tblPiNAnalysis[[#This Row],[Highest PiN]]-tblPiNAnalysis[[#This Row],[2nd Highest PiN]])/tblPiNAnalysis[[#This Row],[2nd Highest PiN]]),"")</f>
        <v>1.3272801055087755</v>
      </c>
      <c r="AT23" s="269" t="str" cm="1">
        <f t="array" ref="AT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3" s="327" cm="1">
        <f t="array" ref="AU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7309.5</v>
      </c>
      <c r="AV23" s="186" t="str" cm="1">
        <f t="array" ref="AV23">IF(tblPiNAnalysis[[#This Row],[3rd Highest PiN]]="", "", _xlfn.TEXTJOIN(CHAR(10), TRUE, IF(tblPiNAnalysis[[#This Row],[3rd Highest PiN]]=tblPiNAnalysis[[#This Row],[CCCM]:[WASH]], tblPiNAnalysis[[#Headers],[CCCM]:[WASH]], "")))</f>
        <v>CCCM</v>
      </c>
      <c r="AW23" s="186">
        <f>IFERROR(tblPiNAnalysis[[#This Row],[3rd Highest PiN]]/tblPiNAnalysis[[#This Row],[Population]], "")</f>
        <v>0.2725594749794914</v>
      </c>
      <c r="AX23" s="44">
        <f>IFERROR(tblPiNAnalysis[[#This Row],[Highest PiN]]-tblPiNAnalysis[[#This Row],[3rd Highest PiN]],"")</f>
        <v>9895.5</v>
      </c>
      <c r="AY23" s="38">
        <f>IFERROR(tblPiNAnalysis[[#This Row],[Difference of PiN between Highest and 3rd Highest]]/tblPiNAnalysis[[#This Row],[3rd Highest PiN]], "")</f>
        <v>1.3537861686845885</v>
      </c>
      <c r="AZ23" s="325" t="str" cm="1">
        <f t="array" ref="AZ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3" s="292" cm="1">
        <f t="array" ref="BA23">IFERROR(IF(tblPiNAnalysis[[#This Row],[ID]]="", "", INDEX(tblPiNHistorical[[CCCM]:[WASH]], MATCH(tblPiNAnalysis[[#This Row],[ID]],tblPiNHistorical[ID], 0),MATCH(_xlfn._xlws.FILTER(tblPiNAnalysis[[#Headers],[CCCM]:[WASH]], tblPiNAnalysis[[#This Row],[Highest PiN]]=tblPiNAnalysis[[#This Row],[CCCM]:[WASH]]), tblPiNHistorical[[#Headers],[CCCM]:[WASH]], 0))), "")</f>
        <v>0.1</v>
      </c>
      <c r="BB23" s="328" t="str" cm="1">
        <f t="array" ref="BB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3" s="272" cm="1">
        <f t="array" ref="BC23">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23" s="329" t="str" cm="1">
        <f t="array" ref="BD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3" s="371">
        <f>INDEX(tblSeverityAnalysis[Final Severity], MATCH(tblPiNAnalysis[[#This Row],[ID]],tblSeverityAnalysis[ID], 0))</f>
        <v>3</v>
      </c>
      <c r="BF23" s="60">
        <f>IF(tblPiNAnalysis[[#This Row],[Severity]]&gt;2,tblPiNAnalysis[[#This Row],[Highest PiN]],)</f>
        <v>17205</v>
      </c>
      <c r="BG23" s="187"/>
      <c r="BH23" s="188"/>
      <c r="BI23" s="189">
        <f>COUNTIFS(tblPiNAnalysis[[#This Row],[Number of missing / zero PiNs greater than threshold - Data quality]:[Manual Flag]],"Flagged")</f>
        <v>2</v>
      </c>
      <c r="BJ23" s="346" t="str">
        <f>IF(tblPiNAnalysis[[#This Row],['# Flags]]&gt;0, "Flagged", "")</f>
        <v>Flagged</v>
      </c>
      <c r="BK23" s="339">
        <f>tblPiNAnalysis[[#This Row],[Preliminary PiN]]</f>
        <v>17205</v>
      </c>
      <c r="BL23" s="326"/>
      <c r="BM23" s="383">
        <f>IF(OR(tblPiNAnalysis[[#This Row],[Severity]]=4,tblPiNAnalysis[[#This Row],[Severity]]=5),tblPiNAnalysis[[#This Row],[Final PiN]],0)</f>
        <v>0</v>
      </c>
      <c r="BN23" s="378">
        <f>IF(OR(tblPiNAnalysis[[#This Row],[Severity]]=4,tblPiNAnalysis[[#This Row],[Severity]]=5),100%, IF(tblPiNAnalysis[[#This Row],[Severity]]=3,50%,0%))*tblPiNAnalysis[[#This Row],[Final PiN]]</f>
        <v>8602.5</v>
      </c>
      <c r="BO23" s="383">
        <f>IF(OR(tblPiNAnalysis[[#This Row],[Severity]]=4,tblPiNAnalysis[[#This Row],[Severity]]=5),100%, IF(AND(tblPiNAnalysis[[#This Row],[Severity]]=3,VLOOKUP(tblPiNAnalysis[[#This Row],[ID]],tblSeverityAnalysis[[ID]:[Highest Severity]],35,FALSE)&gt;3),50%,0%))*tblPiNAnalysis[[#This Row],[Final PiN]]</f>
        <v>8602.5</v>
      </c>
    </row>
    <row r="24" spans="1:67" hidden="1">
      <c r="A2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Global_PopulationHT0211</v>
      </c>
      <c r="B24" s="304" t="s">
        <v>197</v>
      </c>
      <c r="C24" s="213" t="s">
        <v>198</v>
      </c>
      <c r="D24" s="213" t="s">
        <v>199</v>
      </c>
      <c r="E24" s="103" t="s">
        <v>200</v>
      </c>
      <c r="F24" s="99"/>
      <c r="G24" s="34"/>
      <c r="H24" s="357"/>
      <c r="I24" s="354">
        <v>258099</v>
      </c>
      <c r="J24" s="221" t="s">
        <v>156</v>
      </c>
      <c r="K24" s="316">
        <v>97578</v>
      </c>
      <c r="L24" s="308">
        <v>12501</v>
      </c>
      <c r="M24" s="308">
        <v>27825</v>
      </c>
      <c r="N24" s="308">
        <v>128308</v>
      </c>
      <c r="O24" s="308">
        <v>136949.10476657443</v>
      </c>
      <c r="P24" s="308">
        <v>85639.652307692319</v>
      </c>
      <c r="Q24" s="309">
        <v>118927</v>
      </c>
      <c r="R24" s="308">
        <v>65052</v>
      </c>
      <c r="S24" s="308"/>
      <c r="T24" s="308"/>
      <c r="U24" s="308"/>
      <c r="V24" s="308"/>
      <c r="W24" s="317">
        <f>IFERROR(IF(tblPiNAnalysis[[#This Row],[CCCM]]="", "", MROUND(tblPiNAnalysis[[#This Row],[CCCM]]/tblPiNAnalysis[[#This Row],[Population]], 0.05)), "")</f>
        <v>0.4</v>
      </c>
      <c r="X24" s="318">
        <f>IFERROR(IF(tblPiNAnalysis[[#This Row],[Education]]="", "", MROUND(tblPiNAnalysis[[#This Row],[Education]]/tblPiNAnalysis[[#This Row],[Population]], 0.05)), "")</f>
        <v>0.05</v>
      </c>
      <c r="Y24" s="318">
        <f>IFERROR(IF(tblPiNAnalysis[[#This Row],[Nutrition]]="", "", MROUND(tblPiNAnalysis[[#This Row],[Nutrition]]/tblPiNAnalysis[[#This Row],[Population]], 0.05)), "")</f>
        <v>0.1</v>
      </c>
      <c r="Z24" s="318">
        <f>IFERROR(IF(tblPiNAnalysis[[#This Row],[Food Security]]="", "", MROUND(tblPiNAnalysis[[#This Row],[Food Security]]/tblPiNAnalysis[[#This Row],[Population]], 0.05)), "")</f>
        <v>0.5</v>
      </c>
      <c r="AA24" s="318">
        <f>IFERROR(IF(tblPiNAnalysis[[#This Row],[Health]]="", "", MROUND(tblPiNAnalysis[[#This Row],[Health]]/tblPiNAnalysis[[#This Row],[Population]], 0.05)), "")</f>
        <v>0.55000000000000004</v>
      </c>
      <c r="AB24" s="319">
        <f>IFERROR(IF(tblPiNAnalysis[[#This Row],[Protection]]="", "", MROUND(tblPiNAnalysis[[#This Row],[Protection]]/tblPiNAnalysis[[#This Row],[Population]], 0.05)), "")</f>
        <v>0.35000000000000003</v>
      </c>
      <c r="AC24" s="319">
        <f>IFERROR(IF(tblPiNAnalysis[[#This Row],[Shelter]]="", "", MROUND(tblPiNAnalysis[[#This Row],[Shelter]]/tblPiNAnalysis[[#This Row],[Population]], 0.05)), "")</f>
        <v>0.45</v>
      </c>
      <c r="AD24" s="320">
        <f>IFERROR(IF(tblPiNAnalysis[[#This Row],[WASH]]="", "", MROUND(tblPiNAnalysis[[#This Row],[WASH]]/tblPiNAnalysis[[#This Row],[Population]], 0.05)), "")</f>
        <v>0.25</v>
      </c>
      <c r="AE24" s="318">
        <f>IFERROR(MROUND(tblPiNAnalysis[[#This Row],[CP]]/tblPiNAnalysis[[#This Row],[Population]], 0.05), "")</f>
        <v>0</v>
      </c>
      <c r="AF24" s="318">
        <f>IFERROR(MROUND(tblPiNAnalysis[[#This Row],[GBV]]/tblPiNAnalysis[[#This Row],[Population]], 0.05), "")</f>
        <v>0</v>
      </c>
      <c r="AG24" s="318">
        <f>IFERROR(MROUND(tblPiNAnalysis[[#This Row],[Migrants]]/tblPiNAnalysis[[#This Row],[Population]], 0.05), "")</f>
        <v>0</v>
      </c>
      <c r="AH24" s="318">
        <f>IFERROR(MROUND(tblPiNAnalysis[[#This Row],[_]]/tblPiNAnalysis[[#This Row],[Population]], 0.05), "")</f>
        <v>0</v>
      </c>
      <c r="AI24" s="321">
        <f>IFERROR(LARGE(tblPiNAnalysis[[#This Row],[CCCM]:[WASH]], 1), "")</f>
        <v>136949.10476657443</v>
      </c>
      <c r="AJ24" s="322" t="str" cm="1">
        <f t="array" ref="AJ24">IF(tblPiNAnalysis[[#This Row],[Highest PiN]]="", "", _xlfn.TEXTJOIN(CHAR(10), TRUE, IF(tblPiNAnalysis[[#This Row],[Highest PiN]]=tblPiNAnalysis[[#This Row],[CCCM]:[WASH]], tblPiNAnalysis[[#Headers],[CCCM]:[WASH]], "")))</f>
        <v>Health</v>
      </c>
      <c r="AK24" s="323">
        <f>IF(tblPiNAnalysis[[#This Row],[Highest PiN]]="", "", tblPiNAnalysis[[#This Row],[Highest PiN]]/tblPiNAnalysis[[#This Row],[Population]])</f>
        <v>0.5306068786263195</v>
      </c>
      <c r="AL24" s="265" t="str">
        <f>IF(SUM(tblPiNAnalysis[[#This Row],[CCCM]:[WASH]])=0, "",IF(COUNTIF(tblPiNAnalysis[[#This Row],[CCCM]:[WASH]],"=0")+COUNTIF(tblPiNAnalysis[[#This Row],[CCCM]:[WASH]],"")&gt;=zero_pin_thresh, "Flagged", ""))</f>
        <v/>
      </c>
      <c r="AM24" s="264" t="str">
        <f>IFERROR(IF(tblPiNAnalysis[[#This Row],[Highest PiN]]="", "", IF(tblPiNAnalysis[[#This Row],[Highest sector(s'') PiN %]]&gt;=flag_pin_perc, "Flagged", "")), "")</f>
        <v/>
      </c>
      <c r="AN24" s="266" t="str" cm="1">
        <f t="array" ref="AN24">IF(tblPiNAnalysis[[#This Row],[Highest PiN]]=0, "",  IF(OR(COUNTIF(tblPiNAnalysis[[#This Row],[Highest sector(s)]],tblSubSectorPopulation[Sector])), "Flagged", ""))</f>
        <v/>
      </c>
      <c r="AO24" s="45" cm="1">
        <f t="array" ref="AO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128308</v>
      </c>
      <c r="AP24" s="326" t="str" cm="1">
        <f t="array" ref="AP24">IF(tblPiNAnalysis[[#This Row],[2nd Highest PiN]]="", "", _xlfn.TEXTJOIN(CHAR(10), TRUE, IF(tblPiNAnalysis[[#This Row],[2nd Highest PiN]]=tblPiNAnalysis[[#This Row],[CCCM]:[WASH]], tblPiNAnalysis[[#Headers],[CCCM]:[WASH]], "")))</f>
        <v>Food Security</v>
      </c>
      <c r="AQ24" s="35">
        <f>IFERROR(tblPiNAnalysis[[#This Row],[2nd Highest PiN]]/tblPiNAnalysis[[#This Row],[Population]], "")</f>
        <v>0.49712707139508483</v>
      </c>
      <c r="AR24" s="45">
        <f>IFERROR(tblPiNAnalysis[[#This Row],[Highest PiN]]-tblPiNAnalysis[[#This Row],[2nd Highest PiN]], "")</f>
        <v>8641.1047665744263</v>
      </c>
      <c r="AS24" s="38">
        <f>IFERROR(((tblPiNAnalysis[[#This Row],[Highest PiN]]-tblPiNAnalysis[[#This Row],[2nd Highest PiN]])/tblPiNAnalysis[[#This Row],[2nd Highest PiN]]),"")</f>
        <v>6.7346578284864747E-2</v>
      </c>
      <c r="AT24" s="269" t="str" cm="1">
        <f t="array" ref="AT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4" s="327" cm="1">
        <f t="array" ref="AU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118927</v>
      </c>
      <c r="AV24" s="186" t="str" cm="1">
        <f t="array" ref="AV24">IF(tblPiNAnalysis[[#This Row],[3rd Highest PiN]]="", "", _xlfn.TEXTJOIN(CHAR(10), TRUE, IF(tblPiNAnalysis[[#This Row],[3rd Highest PiN]]=tblPiNAnalysis[[#This Row],[CCCM]:[WASH]], tblPiNAnalysis[[#Headers],[CCCM]:[WASH]], "")))</f>
        <v>Shelter</v>
      </c>
      <c r="AW24" s="186">
        <f>IFERROR(tblPiNAnalysis[[#This Row],[3rd Highest PiN]]/tblPiNAnalysis[[#This Row],[Population]], "")</f>
        <v>0.46078055319857886</v>
      </c>
      <c r="AX24" s="44">
        <f>IFERROR(tblPiNAnalysis[[#This Row],[Highest PiN]]-tblPiNAnalysis[[#This Row],[3rd Highest PiN]],"")</f>
        <v>18022.104766574426</v>
      </c>
      <c r="AY24" s="38">
        <f>IFERROR(tblPiNAnalysis[[#This Row],[Difference of PiN between Highest and 3rd Highest]]/tblPiNAnalysis[[#This Row],[3rd Highest PiN]], "")</f>
        <v>0.1515392195765001</v>
      </c>
      <c r="AZ24" s="325" t="str" cm="1">
        <f t="array" ref="AZ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4" s="292" cm="1">
        <f t="array" ref="BA24">IFERROR(IF(tblPiNAnalysis[[#This Row],[ID]]="", "", INDEX(tblPiNHistorical[[CCCM]:[WASH]], MATCH(tblPiNAnalysis[[#This Row],[ID]],tblPiNHistorical[ID], 0),MATCH(_xlfn._xlws.FILTER(tblPiNAnalysis[[#Headers],[CCCM]:[WASH]], tblPiNAnalysis[[#This Row],[Highest PiN]]=tblPiNAnalysis[[#This Row],[CCCM]:[WASH]]), tblPiNHistorical[[#Headers],[CCCM]:[WASH]], 0))), "")</f>
        <v>-0.1</v>
      </c>
      <c r="BB24" s="328" t="str" cm="1">
        <f t="array" ref="BB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4" s="272" cm="1">
        <f t="array" ref="BC2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24" s="329" t="str" cm="1">
        <f t="array" ref="BD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4" s="371">
        <f>INDEX(tblSeverityAnalysis[Final Severity], MATCH(tblPiNAnalysis[[#This Row],[ID]],tblSeverityAnalysis[ID], 0))</f>
        <v>3</v>
      </c>
      <c r="BF24" s="60">
        <f>IF(tblPiNAnalysis[[#This Row],[Severity]]&gt;2,tblPiNAnalysis[[#This Row],[Highest PiN]],)</f>
        <v>136949.10476657443</v>
      </c>
      <c r="BG24" s="187"/>
      <c r="BH24" s="188"/>
      <c r="BI24" s="189">
        <f>COUNTIFS(tblPiNAnalysis[[#This Row],[Number of missing / zero PiNs greater than threshold - Data quality]:[Manual Flag]],"Flagged")</f>
        <v>0</v>
      </c>
      <c r="BJ24" s="346" t="str">
        <f>IF(tblPiNAnalysis[[#This Row],['# Flags]]&gt;0, "Flagged", "")</f>
        <v/>
      </c>
      <c r="BK24" s="339">
        <f>tblPiNAnalysis[[#This Row],[Preliminary PiN]]</f>
        <v>136949.10476657443</v>
      </c>
      <c r="BL24" s="326"/>
      <c r="BM24" s="383">
        <f>IF(OR(tblPiNAnalysis[[#This Row],[Severity]]=4,tblPiNAnalysis[[#This Row],[Severity]]=5),tblPiNAnalysis[[#This Row],[Final PiN]],0)</f>
        <v>0</v>
      </c>
      <c r="BN24" s="378">
        <f>IF(OR(tblPiNAnalysis[[#This Row],[Severity]]=4,tblPiNAnalysis[[#This Row],[Severity]]=5),100%, IF(tblPiNAnalysis[[#This Row],[Severity]]=3,50%,0%))*tblPiNAnalysis[[#This Row],[Final PiN]]</f>
        <v>68474.552383287213</v>
      </c>
      <c r="BO24" s="383">
        <f>IF(OR(tblPiNAnalysis[[#This Row],[Severity]]=4,tblPiNAnalysis[[#This Row],[Severity]]=5),100%, IF(AND(tblPiNAnalysis[[#This Row],[Severity]]=3,VLOOKUP(tblPiNAnalysis[[#This Row],[ID]],tblSeverityAnalysis[[ID]:[Highest Severity]],35,FALSE)&gt;3),50%,0%))*tblPiNAnalysis[[#This Row],[Final PiN]]</f>
        <v>0</v>
      </c>
    </row>
    <row r="25" spans="1:67" hidden="1">
      <c r="A2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Global_PopulationHT0212</v>
      </c>
      <c r="B25" s="304" t="s">
        <v>197</v>
      </c>
      <c r="C25" s="213" t="s">
        <v>198</v>
      </c>
      <c r="D25" s="213" t="s">
        <v>201</v>
      </c>
      <c r="E25" s="103" t="s">
        <v>202</v>
      </c>
      <c r="F25" s="99"/>
      <c r="G25" s="34"/>
      <c r="H25" s="357"/>
      <c r="I25" s="354">
        <v>92869</v>
      </c>
      <c r="J25" s="221" t="s">
        <v>156</v>
      </c>
      <c r="K25" s="316">
        <v>14595</v>
      </c>
      <c r="L25" s="308">
        <v>4511</v>
      </c>
      <c r="M25" s="308">
        <v>8543</v>
      </c>
      <c r="N25" s="308">
        <v>50756</v>
      </c>
      <c r="O25" s="308">
        <v>19661.349587667006</v>
      </c>
      <c r="P25" s="308">
        <v>20357.437777777777</v>
      </c>
      <c r="Q25" s="309">
        <v>0</v>
      </c>
      <c r="R25" s="308">
        <v>15084.5</v>
      </c>
      <c r="S25" s="308"/>
      <c r="T25" s="308"/>
      <c r="U25" s="308"/>
      <c r="V25" s="308"/>
      <c r="W25" s="317">
        <f>IFERROR(IF(tblPiNAnalysis[[#This Row],[CCCM]]="", "", MROUND(tblPiNAnalysis[[#This Row],[CCCM]]/tblPiNAnalysis[[#This Row],[Population]], 0.05)), "")</f>
        <v>0.15000000000000002</v>
      </c>
      <c r="X25" s="318">
        <f>IFERROR(IF(tblPiNAnalysis[[#This Row],[Education]]="", "", MROUND(tblPiNAnalysis[[#This Row],[Education]]/tblPiNAnalysis[[#This Row],[Population]], 0.05)), "")</f>
        <v>0.05</v>
      </c>
      <c r="Y25" s="318">
        <f>IFERROR(IF(tblPiNAnalysis[[#This Row],[Nutrition]]="", "", MROUND(tblPiNAnalysis[[#This Row],[Nutrition]]/tblPiNAnalysis[[#This Row],[Population]], 0.05)), "")</f>
        <v>0.1</v>
      </c>
      <c r="Z25" s="318">
        <f>IFERROR(IF(tblPiNAnalysis[[#This Row],[Food Security]]="", "", MROUND(tblPiNAnalysis[[#This Row],[Food Security]]/tblPiNAnalysis[[#This Row],[Population]], 0.05)), "")</f>
        <v>0.55000000000000004</v>
      </c>
      <c r="AA25" s="318">
        <f>IFERROR(IF(tblPiNAnalysis[[#This Row],[Health]]="", "", MROUND(tblPiNAnalysis[[#This Row],[Health]]/tblPiNAnalysis[[#This Row],[Population]], 0.05)), "")</f>
        <v>0.2</v>
      </c>
      <c r="AB25" s="319">
        <f>IFERROR(IF(tblPiNAnalysis[[#This Row],[Protection]]="", "", MROUND(tblPiNAnalysis[[#This Row],[Protection]]/tblPiNAnalysis[[#This Row],[Population]], 0.05)), "")</f>
        <v>0.2</v>
      </c>
      <c r="AC25" s="319">
        <f>IFERROR(IF(tblPiNAnalysis[[#This Row],[Shelter]]="", "", MROUND(tblPiNAnalysis[[#This Row],[Shelter]]/tblPiNAnalysis[[#This Row],[Population]], 0.05)), "")</f>
        <v>0</v>
      </c>
      <c r="AD25" s="320">
        <f>IFERROR(IF(tblPiNAnalysis[[#This Row],[WASH]]="", "", MROUND(tblPiNAnalysis[[#This Row],[WASH]]/tblPiNAnalysis[[#This Row],[Population]], 0.05)), "")</f>
        <v>0.15000000000000002</v>
      </c>
      <c r="AE25" s="318">
        <f>IFERROR(MROUND(tblPiNAnalysis[[#This Row],[CP]]/tblPiNAnalysis[[#This Row],[Population]], 0.05), "")</f>
        <v>0</v>
      </c>
      <c r="AF25" s="318">
        <f>IFERROR(MROUND(tblPiNAnalysis[[#This Row],[GBV]]/tblPiNAnalysis[[#This Row],[Population]], 0.05), "")</f>
        <v>0</v>
      </c>
      <c r="AG25" s="318">
        <f>IFERROR(MROUND(tblPiNAnalysis[[#This Row],[Migrants]]/tblPiNAnalysis[[#This Row],[Population]], 0.05), "")</f>
        <v>0</v>
      </c>
      <c r="AH25" s="318">
        <f>IFERROR(MROUND(tblPiNAnalysis[[#This Row],[_]]/tblPiNAnalysis[[#This Row],[Population]], 0.05), "")</f>
        <v>0</v>
      </c>
      <c r="AI25" s="321">
        <f>IFERROR(LARGE(tblPiNAnalysis[[#This Row],[CCCM]:[WASH]], 1), "")</f>
        <v>50756</v>
      </c>
      <c r="AJ25" s="322" t="str" cm="1">
        <f t="array" ref="AJ25">IF(tblPiNAnalysis[[#This Row],[Highest PiN]]="", "", _xlfn.TEXTJOIN(CHAR(10), TRUE, IF(tblPiNAnalysis[[#This Row],[Highest PiN]]=tblPiNAnalysis[[#This Row],[CCCM]:[WASH]], tblPiNAnalysis[[#Headers],[CCCM]:[WASH]], "")))</f>
        <v>Food Security</v>
      </c>
      <c r="AK25" s="323">
        <f>IF(tblPiNAnalysis[[#This Row],[Highest PiN]]="", "", tblPiNAnalysis[[#This Row],[Highest PiN]]/tblPiNAnalysis[[#This Row],[Population]])</f>
        <v>0.54653328882619601</v>
      </c>
      <c r="AL25" s="265" t="str">
        <f>IF(SUM(tblPiNAnalysis[[#This Row],[CCCM]:[WASH]])=0, "",IF(COUNTIF(tblPiNAnalysis[[#This Row],[CCCM]:[WASH]],"=0")+COUNTIF(tblPiNAnalysis[[#This Row],[CCCM]:[WASH]],"")&gt;=zero_pin_thresh, "Flagged", ""))</f>
        <v/>
      </c>
      <c r="AM25" s="264" t="str">
        <f>IFERROR(IF(tblPiNAnalysis[[#This Row],[Highest PiN]]="", "", IF(tblPiNAnalysis[[#This Row],[Highest sector(s'') PiN %]]&gt;=flag_pin_perc, "Flagged", "")), "")</f>
        <v/>
      </c>
      <c r="AN25" s="266" t="str" cm="1">
        <f t="array" ref="AN25">IF(tblPiNAnalysis[[#This Row],[Highest PiN]]=0, "",  IF(OR(COUNTIF(tblPiNAnalysis[[#This Row],[Highest sector(s)]],tblSubSectorPopulation[Sector])), "Flagged", ""))</f>
        <v/>
      </c>
      <c r="AO25" s="45" cm="1">
        <f t="array" ref="AO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20357.437777777777</v>
      </c>
      <c r="AP25" s="326" t="str" cm="1">
        <f t="array" ref="AP25">IF(tblPiNAnalysis[[#This Row],[2nd Highest PiN]]="", "", _xlfn.TEXTJOIN(CHAR(10), TRUE, IF(tblPiNAnalysis[[#This Row],[2nd Highest PiN]]=tblPiNAnalysis[[#This Row],[CCCM]:[WASH]], tblPiNAnalysis[[#Headers],[CCCM]:[WASH]], "")))</f>
        <v>Protection</v>
      </c>
      <c r="AQ25" s="35">
        <f>IFERROR(tblPiNAnalysis[[#This Row],[2nd Highest PiN]]/tblPiNAnalysis[[#This Row],[Population]], "")</f>
        <v>0.21920595438496998</v>
      </c>
      <c r="AR25" s="45">
        <f>IFERROR(tblPiNAnalysis[[#This Row],[Highest PiN]]-tblPiNAnalysis[[#This Row],[2nd Highest PiN]], "")</f>
        <v>30398.562222222223</v>
      </c>
      <c r="AS25" s="38">
        <f>IFERROR(((tblPiNAnalysis[[#This Row],[Highest PiN]]-tblPiNAnalysis[[#This Row],[2nd Highest PiN]])/tblPiNAnalysis[[#This Row],[2nd Highest PiN]]),"")</f>
        <v>1.4932410725776777</v>
      </c>
      <c r="AT25" s="269" t="str" cm="1">
        <f t="array" ref="AT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5" s="327" cm="1">
        <f t="array" ref="AU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19661.349587667006</v>
      </c>
      <c r="AV25" s="186" t="str" cm="1">
        <f t="array" ref="AV25">IF(tblPiNAnalysis[[#This Row],[3rd Highest PiN]]="", "", _xlfn.TEXTJOIN(CHAR(10), TRUE, IF(tblPiNAnalysis[[#This Row],[3rd Highest PiN]]=tblPiNAnalysis[[#This Row],[CCCM]:[WASH]], tblPiNAnalysis[[#Headers],[CCCM]:[WASH]], "")))</f>
        <v>Health</v>
      </c>
      <c r="AW25" s="186">
        <f>IFERROR(tblPiNAnalysis[[#This Row],[3rd Highest PiN]]/tblPiNAnalysis[[#This Row],[Population]], "")</f>
        <v>0.21171057713194938</v>
      </c>
      <c r="AX25" s="44">
        <f>IFERROR(tblPiNAnalysis[[#This Row],[Highest PiN]]-tblPiNAnalysis[[#This Row],[3rd Highest PiN]],"")</f>
        <v>31094.650412332994</v>
      </c>
      <c r="AY25" s="38">
        <f>IFERROR(tblPiNAnalysis[[#This Row],[Difference of PiN between Highest and 3rd Highest]]/tblPiNAnalysis[[#This Row],[3rd Highest PiN]], "")</f>
        <v>1.5815114966389574</v>
      </c>
      <c r="AZ25" s="325" t="str" cm="1">
        <f t="array" ref="AZ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5" s="292" cm="1">
        <f t="array" ref="BA25">IFERROR(IF(tblPiNAnalysis[[#This Row],[ID]]="", "", INDEX(tblPiNHistorical[[CCCM]:[WASH]], MATCH(tblPiNAnalysis[[#This Row],[ID]],tblPiNHistorical[ID], 0),MATCH(_xlfn._xlws.FILTER(tblPiNAnalysis[[#Headers],[CCCM]:[WASH]], tblPiNAnalysis[[#This Row],[Highest PiN]]=tblPiNAnalysis[[#This Row],[CCCM]:[WASH]]), tblPiNHistorical[[#Headers],[CCCM]:[WASH]], 0))), "")</f>
        <v>0.4</v>
      </c>
      <c r="BB25" s="328" t="str" cm="1">
        <f t="array" ref="BB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5" s="272" t="str" cm="1">
        <f t="array" ref="BC25">IFERROR(IF(tblPiNAnalysis[[#This Row],[ID]]="", "", INDEX(tblPiNHistorical[[CCCM]:[WASH]], MATCH(tblPiNAnalysis[[#This Row],[ID]],tblPiNHistorical[ID], 0),MATCH(_xlfn._xlws.FILTER(tblPiNAnalysis[[#Headers],[CCCM]:[WASH]], tblPiNAnalysis[[#This Row],[2nd Highest PiN]]=tblPiNAnalysis[[#This Row],[CCCM]:[WASH]]), tblPiNHistorical[[#Headers],[CCCM]:[WASH]], 0))), "")</f>
        <v/>
      </c>
      <c r="BD25" s="329" t="str" cm="1">
        <f t="array" ref="BD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5" s="371">
        <f>INDEX(tblSeverityAnalysis[Final Severity], MATCH(tblPiNAnalysis[[#This Row],[ID]],tblSeverityAnalysis[ID], 0))</f>
        <v>2</v>
      </c>
      <c r="BF25" s="60">
        <f>IF(tblPiNAnalysis[[#This Row],[Severity]]&gt;2,tblPiNAnalysis[[#This Row],[Highest PiN]],)</f>
        <v>0</v>
      </c>
      <c r="BG25" s="187"/>
      <c r="BH25" s="188"/>
      <c r="BI25" s="189">
        <f>COUNTIFS(tblPiNAnalysis[[#This Row],[Number of missing / zero PiNs greater than threshold - Data quality]:[Manual Flag]],"Flagged")</f>
        <v>2</v>
      </c>
      <c r="BJ25" s="346" t="str">
        <f>IF(tblPiNAnalysis[[#This Row],['# Flags]]&gt;0, "Flagged", "")</f>
        <v>Flagged</v>
      </c>
      <c r="BK25" s="339">
        <f>tblPiNAnalysis[[#This Row],[Preliminary PiN]]</f>
        <v>0</v>
      </c>
      <c r="BL25" s="326"/>
      <c r="BM25" s="383">
        <f>IF(OR(tblPiNAnalysis[[#This Row],[Severity]]=4,tblPiNAnalysis[[#This Row],[Severity]]=5),tblPiNAnalysis[[#This Row],[Final PiN]],0)</f>
        <v>0</v>
      </c>
      <c r="BN25" s="378">
        <f>IF(OR(tblPiNAnalysis[[#This Row],[Severity]]=4,tblPiNAnalysis[[#This Row],[Severity]]=5),100%, IF(tblPiNAnalysis[[#This Row],[Severity]]=3,50%,0%))*tblPiNAnalysis[[#This Row],[Final PiN]]</f>
        <v>0</v>
      </c>
      <c r="BO25" s="383">
        <f>IF(OR(tblPiNAnalysis[[#This Row],[Severity]]=4,tblPiNAnalysis[[#This Row],[Severity]]=5),100%, IF(AND(tblPiNAnalysis[[#This Row],[Severity]]=3,VLOOKUP(tblPiNAnalysis[[#This Row],[ID]],tblSeverityAnalysis[[ID]:[Highest Severity]],35,FALSE)&gt;3),50%,0%))*tblPiNAnalysis[[#This Row],[Final PiN]]</f>
        <v>0</v>
      </c>
    </row>
    <row r="26" spans="1:67" hidden="1">
      <c r="A2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Global_PopulationHT0213</v>
      </c>
      <c r="B26" s="304" t="s">
        <v>197</v>
      </c>
      <c r="C26" s="213" t="s">
        <v>198</v>
      </c>
      <c r="D26" s="213" t="s">
        <v>203</v>
      </c>
      <c r="E26" s="103" t="s">
        <v>204</v>
      </c>
      <c r="F26" s="99"/>
      <c r="G26" s="34"/>
      <c r="H26" s="357"/>
      <c r="I26" s="354">
        <v>49845</v>
      </c>
      <c r="J26" s="221" t="s">
        <v>156</v>
      </c>
      <c r="K26" s="316">
        <v>6204</v>
      </c>
      <c r="L26" s="308">
        <v>2513</v>
      </c>
      <c r="M26" s="308">
        <v>4522</v>
      </c>
      <c r="N26" s="308">
        <v>26984</v>
      </c>
      <c r="O26" s="308">
        <v>8041.3692015473889</v>
      </c>
      <c r="P26" s="308">
        <v>3413.6800000000003</v>
      </c>
      <c r="Q26" s="309">
        <v>0</v>
      </c>
      <c r="R26" s="308">
        <v>9969</v>
      </c>
      <c r="S26" s="308"/>
      <c r="T26" s="308"/>
      <c r="U26" s="308"/>
      <c r="V26" s="308"/>
      <c r="W26" s="317">
        <f>IFERROR(IF(tblPiNAnalysis[[#This Row],[CCCM]]="", "", MROUND(tblPiNAnalysis[[#This Row],[CCCM]]/tblPiNAnalysis[[#This Row],[Population]], 0.05)), "")</f>
        <v>0.1</v>
      </c>
      <c r="X26" s="318">
        <f>IFERROR(IF(tblPiNAnalysis[[#This Row],[Education]]="", "", MROUND(tblPiNAnalysis[[#This Row],[Education]]/tblPiNAnalysis[[#This Row],[Population]], 0.05)), "")</f>
        <v>0.05</v>
      </c>
      <c r="Y26" s="318">
        <f>IFERROR(IF(tblPiNAnalysis[[#This Row],[Nutrition]]="", "", MROUND(tblPiNAnalysis[[#This Row],[Nutrition]]/tblPiNAnalysis[[#This Row],[Population]], 0.05)), "")</f>
        <v>0.1</v>
      </c>
      <c r="Z26" s="318">
        <f>IFERROR(IF(tblPiNAnalysis[[#This Row],[Food Security]]="", "", MROUND(tblPiNAnalysis[[#This Row],[Food Security]]/tblPiNAnalysis[[#This Row],[Population]], 0.05)), "")</f>
        <v>0.55000000000000004</v>
      </c>
      <c r="AA26" s="318">
        <f>IFERROR(IF(tblPiNAnalysis[[#This Row],[Health]]="", "", MROUND(tblPiNAnalysis[[#This Row],[Health]]/tblPiNAnalysis[[#This Row],[Population]], 0.05)), "")</f>
        <v>0.15000000000000002</v>
      </c>
      <c r="AB26" s="319">
        <f>IFERROR(IF(tblPiNAnalysis[[#This Row],[Protection]]="", "", MROUND(tblPiNAnalysis[[#This Row],[Protection]]/tblPiNAnalysis[[#This Row],[Population]], 0.05)), "")</f>
        <v>0.05</v>
      </c>
      <c r="AC26" s="319">
        <f>IFERROR(IF(tblPiNAnalysis[[#This Row],[Shelter]]="", "", MROUND(tblPiNAnalysis[[#This Row],[Shelter]]/tblPiNAnalysis[[#This Row],[Population]], 0.05)), "")</f>
        <v>0</v>
      </c>
      <c r="AD26" s="320">
        <f>IFERROR(IF(tblPiNAnalysis[[#This Row],[WASH]]="", "", MROUND(tblPiNAnalysis[[#This Row],[WASH]]/tblPiNAnalysis[[#This Row],[Population]], 0.05)), "")</f>
        <v>0.2</v>
      </c>
      <c r="AE26" s="318">
        <f>IFERROR(MROUND(tblPiNAnalysis[[#This Row],[CP]]/tblPiNAnalysis[[#This Row],[Population]], 0.05), "")</f>
        <v>0</v>
      </c>
      <c r="AF26" s="318">
        <f>IFERROR(MROUND(tblPiNAnalysis[[#This Row],[GBV]]/tblPiNAnalysis[[#This Row],[Population]], 0.05), "")</f>
        <v>0</v>
      </c>
      <c r="AG26" s="318">
        <f>IFERROR(MROUND(tblPiNAnalysis[[#This Row],[Migrants]]/tblPiNAnalysis[[#This Row],[Population]], 0.05), "")</f>
        <v>0</v>
      </c>
      <c r="AH26" s="318">
        <f>IFERROR(MROUND(tblPiNAnalysis[[#This Row],[_]]/tblPiNAnalysis[[#This Row],[Population]], 0.05), "")</f>
        <v>0</v>
      </c>
      <c r="AI26" s="321">
        <f>IFERROR(LARGE(tblPiNAnalysis[[#This Row],[CCCM]:[WASH]], 1), "")</f>
        <v>26984</v>
      </c>
      <c r="AJ26" s="322" t="str" cm="1">
        <f t="array" ref="AJ26">IF(tblPiNAnalysis[[#This Row],[Highest PiN]]="", "", _xlfn.TEXTJOIN(CHAR(10), TRUE, IF(tblPiNAnalysis[[#This Row],[Highest PiN]]=tblPiNAnalysis[[#This Row],[CCCM]:[WASH]], tblPiNAnalysis[[#Headers],[CCCM]:[WASH]], "")))</f>
        <v>Food Security</v>
      </c>
      <c r="AK26" s="323">
        <f>IF(tblPiNAnalysis[[#This Row],[Highest PiN]]="", "", tblPiNAnalysis[[#This Row],[Highest PiN]]/tblPiNAnalysis[[#This Row],[Population]])</f>
        <v>0.5413582104524024</v>
      </c>
      <c r="AL26" s="265" t="str">
        <f>IF(SUM(tblPiNAnalysis[[#This Row],[CCCM]:[WASH]])=0, "",IF(COUNTIF(tblPiNAnalysis[[#This Row],[CCCM]:[WASH]],"=0")+COUNTIF(tblPiNAnalysis[[#This Row],[CCCM]:[WASH]],"")&gt;=zero_pin_thresh, "Flagged", ""))</f>
        <v/>
      </c>
      <c r="AM26" s="264" t="str">
        <f>IFERROR(IF(tblPiNAnalysis[[#This Row],[Highest PiN]]="", "", IF(tblPiNAnalysis[[#This Row],[Highest sector(s'') PiN %]]&gt;=flag_pin_perc, "Flagged", "")), "")</f>
        <v/>
      </c>
      <c r="AN26" s="266" t="str" cm="1">
        <f t="array" ref="AN26">IF(tblPiNAnalysis[[#This Row],[Highest PiN]]=0, "",  IF(OR(COUNTIF(tblPiNAnalysis[[#This Row],[Highest sector(s)]],tblSubSectorPopulation[Sector])), "Flagged", ""))</f>
        <v/>
      </c>
      <c r="AO26" s="45" cm="1">
        <f t="array" ref="AO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9969</v>
      </c>
      <c r="AP26" s="326" t="str" cm="1">
        <f t="array" ref="AP26">IF(tblPiNAnalysis[[#This Row],[2nd Highest PiN]]="", "", _xlfn.TEXTJOIN(CHAR(10), TRUE, IF(tblPiNAnalysis[[#This Row],[2nd Highest PiN]]=tblPiNAnalysis[[#This Row],[CCCM]:[WASH]], tblPiNAnalysis[[#Headers],[CCCM]:[WASH]], "")))</f>
        <v>WASH</v>
      </c>
      <c r="AQ26" s="35">
        <f>IFERROR(tblPiNAnalysis[[#This Row],[2nd Highest PiN]]/tblPiNAnalysis[[#This Row],[Population]], "")</f>
        <v>0.2</v>
      </c>
      <c r="AR26" s="45">
        <f>IFERROR(tblPiNAnalysis[[#This Row],[Highest PiN]]-tblPiNAnalysis[[#This Row],[2nd Highest PiN]], "")</f>
        <v>17015</v>
      </c>
      <c r="AS26" s="38">
        <f>IFERROR(((tblPiNAnalysis[[#This Row],[Highest PiN]]-tblPiNAnalysis[[#This Row],[2nd Highest PiN]])/tblPiNAnalysis[[#This Row],[2nd Highest PiN]]),"")</f>
        <v>1.7067910522620122</v>
      </c>
      <c r="AT26" s="269" t="str" cm="1">
        <f t="array" ref="AT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6" s="327" cm="1">
        <f t="array" ref="AU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8041.3692015473889</v>
      </c>
      <c r="AV26" s="186" t="str" cm="1">
        <f t="array" ref="AV26">IF(tblPiNAnalysis[[#This Row],[3rd Highest PiN]]="", "", _xlfn.TEXTJOIN(CHAR(10), TRUE, IF(tblPiNAnalysis[[#This Row],[3rd Highest PiN]]=tblPiNAnalysis[[#This Row],[CCCM]:[WASH]], tblPiNAnalysis[[#Headers],[CCCM]:[WASH]], "")))</f>
        <v>Health</v>
      </c>
      <c r="AW26" s="186">
        <f>IFERROR(tblPiNAnalysis[[#This Row],[3rd Highest PiN]]/tblPiNAnalysis[[#This Row],[Population]], "")</f>
        <v>0.16132749927871179</v>
      </c>
      <c r="AX26" s="44">
        <f>IFERROR(tblPiNAnalysis[[#This Row],[Highest PiN]]-tblPiNAnalysis[[#This Row],[3rd Highest PiN]],"")</f>
        <v>18942.63079845261</v>
      </c>
      <c r="AY26" s="38">
        <f>IFERROR(tblPiNAnalysis[[#This Row],[Difference of PiN between Highest and 3rd Highest]]/tblPiNAnalysis[[#This Row],[3rd Highest PiN]], "")</f>
        <v>2.3556474430756777</v>
      </c>
      <c r="AZ26" s="325" t="str" cm="1">
        <f t="array" ref="AZ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6" s="292" cm="1">
        <f t="array" ref="BA26">IFERROR(IF(tblPiNAnalysis[[#This Row],[ID]]="", "", INDEX(tblPiNHistorical[[CCCM]:[WASH]], MATCH(tblPiNAnalysis[[#This Row],[ID]],tblPiNHistorical[ID], 0),MATCH(_xlfn._xlws.FILTER(tblPiNAnalysis[[#Headers],[CCCM]:[WASH]], tblPiNAnalysis[[#This Row],[Highest PiN]]=tblPiNAnalysis[[#This Row],[CCCM]:[WASH]]), tblPiNHistorical[[#Headers],[CCCM]:[WASH]], 0))), "")</f>
        <v>0.4</v>
      </c>
      <c r="BB26" s="328" t="str" cm="1">
        <f t="array" ref="BB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6" s="272" cm="1">
        <f t="array" ref="BC26">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26" s="329" t="str" cm="1">
        <f t="array" ref="BD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6" s="371">
        <f>INDEX(tblSeverityAnalysis[Final Severity], MATCH(tblPiNAnalysis[[#This Row],[ID]],tblSeverityAnalysis[ID], 0))</f>
        <v>2</v>
      </c>
      <c r="BF26" s="60">
        <f>IF(tblPiNAnalysis[[#This Row],[Severity]]&gt;2,tblPiNAnalysis[[#This Row],[Highest PiN]],)</f>
        <v>0</v>
      </c>
      <c r="BG26" s="187"/>
      <c r="BH26" s="188"/>
      <c r="BI26" s="189">
        <f>COUNTIFS(tblPiNAnalysis[[#This Row],[Number of missing / zero PiNs greater than threshold - Data quality]:[Manual Flag]],"Flagged")</f>
        <v>2</v>
      </c>
      <c r="BJ26" s="346" t="str">
        <f>IF(tblPiNAnalysis[[#This Row],['# Flags]]&gt;0, "Flagged", "")</f>
        <v>Flagged</v>
      </c>
      <c r="BK26" s="339">
        <f>tblPiNAnalysis[[#This Row],[Preliminary PiN]]</f>
        <v>0</v>
      </c>
      <c r="BL26" s="326"/>
      <c r="BM26" s="383">
        <f>IF(OR(tblPiNAnalysis[[#This Row],[Severity]]=4,tblPiNAnalysis[[#This Row],[Severity]]=5),tblPiNAnalysis[[#This Row],[Final PiN]],0)</f>
        <v>0</v>
      </c>
      <c r="BN26" s="378">
        <f>IF(OR(tblPiNAnalysis[[#This Row],[Severity]]=4,tblPiNAnalysis[[#This Row],[Severity]]=5),100%, IF(tblPiNAnalysis[[#This Row],[Severity]]=3,50%,0%))*tblPiNAnalysis[[#This Row],[Final PiN]]</f>
        <v>0</v>
      </c>
      <c r="BO26" s="383">
        <f>IF(OR(tblPiNAnalysis[[#This Row],[Severity]]=4,tblPiNAnalysis[[#This Row],[Severity]]=5),100%, IF(AND(tblPiNAnalysis[[#This Row],[Severity]]=3,VLOOKUP(tblPiNAnalysis[[#This Row],[ID]],tblSeverityAnalysis[[ID]:[Highest Severity]],35,FALSE)&gt;3),50%,0%))*tblPiNAnalysis[[#This Row],[Final PiN]]</f>
        <v>0</v>
      </c>
    </row>
    <row r="27" spans="1:67" hidden="1">
      <c r="A2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Global_PopulationHT0214</v>
      </c>
      <c r="B27" s="304" t="s">
        <v>197</v>
      </c>
      <c r="C27" s="213" t="s">
        <v>198</v>
      </c>
      <c r="D27" s="213" t="s">
        <v>205</v>
      </c>
      <c r="E27" s="103" t="s">
        <v>206</v>
      </c>
      <c r="F27" s="99"/>
      <c r="G27" s="34"/>
      <c r="H27" s="357"/>
      <c r="I27" s="354">
        <v>47372</v>
      </c>
      <c r="J27" s="221" t="s">
        <v>156</v>
      </c>
      <c r="K27" s="316">
        <v>28959</v>
      </c>
      <c r="L27" s="308">
        <v>2561</v>
      </c>
      <c r="M27" s="308">
        <v>5629</v>
      </c>
      <c r="N27" s="308">
        <v>23964</v>
      </c>
      <c r="O27" s="308">
        <v>40592.890716574009</v>
      </c>
      <c r="P27" s="308">
        <v>12474.174999999999</v>
      </c>
      <c r="Q27" s="309">
        <v>35390</v>
      </c>
      <c r="R27" s="308">
        <v>19306</v>
      </c>
      <c r="S27" s="308"/>
      <c r="T27" s="308"/>
      <c r="U27" s="308"/>
      <c r="V27" s="308"/>
      <c r="W27" s="317">
        <f>IFERROR(IF(tblPiNAnalysis[[#This Row],[CCCM]]="", "", MROUND(tblPiNAnalysis[[#This Row],[CCCM]]/tblPiNAnalysis[[#This Row],[Population]], 0.05)), "")</f>
        <v>0.60000000000000009</v>
      </c>
      <c r="X27" s="318">
        <f>IFERROR(IF(tblPiNAnalysis[[#This Row],[Education]]="", "", MROUND(tblPiNAnalysis[[#This Row],[Education]]/tblPiNAnalysis[[#This Row],[Population]], 0.05)), "")</f>
        <v>0.05</v>
      </c>
      <c r="Y27" s="318">
        <f>IFERROR(IF(tblPiNAnalysis[[#This Row],[Nutrition]]="", "", MROUND(tblPiNAnalysis[[#This Row],[Nutrition]]/tblPiNAnalysis[[#This Row],[Population]], 0.05)), "")</f>
        <v>0.1</v>
      </c>
      <c r="Z27" s="318">
        <f>IFERROR(IF(tblPiNAnalysis[[#This Row],[Food Security]]="", "", MROUND(tblPiNAnalysis[[#This Row],[Food Security]]/tblPiNAnalysis[[#This Row],[Population]], 0.05)), "")</f>
        <v>0.5</v>
      </c>
      <c r="AA27" s="318">
        <f>IFERROR(IF(tblPiNAnalysis[[#This Row],[Health]]="", "", MROUND(tblPiNAnalysis[[#This Row],[Health]]/tblPiNAnalysis[[#This Row],[Population]], 0.05)), "")</f>
        <v>0.85000000000000009</v>
      </c>
      <c r="AB27" s="319">
        <f>IFERROR(IF(tblPiNAnalysis[[#This Row],[Protection]]="", "", MROUND(tblPiNAnalysis[[#This Row],[Protection]]/tblPiNAnalysis[[#This Row],[Population]], 0.05)), "")</f>
        <v>0.25</v>
      </c>
      <c r="AC27" s="319">
        <f>IFERROR(IF(tblPiNAnalysis[[#This Row],[Shelter]]="", "", MROUND(tblPiNAnalysis[[#This Row],[Shelter]]/tblPiNAnalysis[[#This Row],[Population]], 0.05)), "")</f>
        <v>0.75</v>
      </c>
      <c r="AD27" s="320">
        <f>IFERROR(IF(tblPiNAnalysis[[#This Row],[WASH]]="", "", MROUND(tblPiNAnalysis[[#This Row],[WASH]]/tblPiNAnalysis[[#This Row],[Population]], 0.05)), "")</f>
        <v>0.4</v>
      </c>
      <c r="AE27" s="318">
        <f>IFERROR(MROUND(tblPiNAnalysis[[#This Row],[CP]]/tblPiNAnalysis[[#This Row],[Population]], 0.05), "")</f>
        <v>0</v>
      </c>
      <c r="AF27" s="318">
        <f>IFERROR(MROUND(tblPiNAnalysis[[#This Row],[GBV]]/tblPiNAnalysis[[#This Row],[Population]], 0.05), "")</f>
        <v>0</v>
      </c>
      <c r="AG27" s="318">
        <f>IFERROR(MROUND(tblPiNAnalysis[[#This Row],[Migrants]]/tblPiNAnalysis[[#This Row],[Population]], 0.05), "")</f>
        <v>0</v>
      </c>
      <c r="AH27" s="318">
        <f>IFERROR(MROUND(tblPiNAnalysis[[#This Row],[_]]/tblPiNAnalysis[[#This Row],[Population]], 0.05), "")</f>
        <v>0</v>
      </c>
      <c r="AI27" s="321">
        <f>IFERROR(LARGE(tblPiNAnalysis[[#This Row],[CCCM]:[WASH]], 1), "")</f>
        <v>40592.890716574009</v>
      </c>
      <c r="AJ27" s="322" t="str" cm="1">
        <f t="array" ref="AJ27">IF(tblPiNAnalysis[[#This Row],[Highest PiN]]="", "", _xlfn.TEXTJOIN(CHAR(10), TRUE, IF(tblPiNAnalysis[[#This Row],[Highest PiN]]=tblPiNAnalysis[[#This Row],[CCCM]:[WASH]], tblPiNAnalysis[[#Headers],[CCCM]:[WASH]], "")))</f>
        <v>Health</v>
      </c>
      <c r="AK27" s="323">
        <f>IF(tblPiNAnalysis[[#This Row],[Highest PiN]]="", "", tblPiNAnalysis[[#This Row],[Highest PiN]]/tblPiNAnalysis[[#This Row],[Population]])</f>
        <v>0.85689628296407183</v>
      </c>
      <c r="AL27" s="265" t="str">
        <f>IF(SUM(tblPiNAnalysis[[#This Row],[CCCM]:[WASH]])=0, "",IF(COUNTIF(tblPiNAnalysis[[#This Row],[CCCM]:[WASH]],"=0")+COUNTIF(tblPiNAnalysis[[#This Row],[CCCM]:[WASH]],"")&gt;=zero_pin_thresh, "Flagged", ""))</f>
        <v/>
      </c>
      <c r="AM27" s="264" t="str">
        <f>IFERROR(IF(tblPiNAnalysis[[#This Row],[Highest PiN]]="", "", IF(tblPiNAnalysis[[#This Row],[Highest sector(s'') PiN %]]&gt;=flag_pin_perc, "Flagged", "")), "")</f>
        <v/>
      </c>
      <c r="AN27" s="266" t="str" cm="1">
        <f t="array" ref="AN27">IF(tblPiNAnalysis[[#This Row],[Highest PiN]]=0, "",  IF(OR(COUNTIF(tblPiNAnalysis[[#This Row],[Highest sector(s)]],tblSubSectorPopulation[Sector])), "Flagged", ""))</f>
        <v/>
      </c>
      <c r="AO27" s="45" cm="1">
        <f t="array" ref="AO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35390</v>
      </c>
      <c r="AP27" s="326" t="str" cm="1">
        <f t="array" ref="AP27">IF(tblPiNAnalysis[[#This Row],[2nd Highest PiN]]="", "", _xlfn.TEXTJOIN(CHAR(10), TRUE, IF(tblPiNAnalysis[[#This Row],[2nd Highest PiN]]=tblPiNAnalysis[[#This Row],[CCCM]:[WASH]], tblPiNAnalysis[[#Headers],[CCCM]:[WASH]], "")))</f>
        <v>Shelter</v>
      </c>
      <c r="AQ27" s="35">
        <f>IFERROR(tblPiNAnalysis[[#This Row],[2nd Highest PiN]]/tblPiNAnalysis[[#This Row],[Population]], "")</f>
        <v>0.74706577725238532</v>
      </c>
      <c r="AR27" s="45">
        <f>IFERROR(tblPiNAnalysis[[#This Row],[Highest PiN]]-tblPiNAnalysis[[#This Row],[2nd Highest PiN]], "")</f>
        <v>5202.8907165740093</v>
      </c>
      <c r="AS27" s="38">
        <f>IFERROR(((tblPiNAnalysis[[#This Row],[Highest PiN]]-tblPiNAnalysis[[#This Row],[2nd Highest PiN]])/tblPiNAnalysis[[#This Row],[2nd Highest PiN]]),"")</f>
        <v>0.14701584392692876</v>
      </c>
      <c r="AT27" s="269" t="str" cm="1">
        <f t="array" ref="AT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7" s="327" cm="1">
        <f t="array" ref="AU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28959</v>
      </c>
      <c r="AV27" s="186" t="str" cm="1">
        <f t="array" ref="AV27">IF(tblPiNAnalysis[[#This Row],[3rd Highest PiN]]="", "", _xlfn.TEXTJOIN(CHAR(10), TRUE, IF(tblPiNAnalysis[[#This Row],[3rd Highest PiN]]=tblPiNAnalysis[[#This Row],[CCCM]:[WASH]], tblPiNAnalysis[[#Headers],[CCCM]:[WASH]], "")))</f>
        <v>CCCM</v>
      </c>
      <c r="AW27" s="186">
        <f>IFERROR(tblPiNAnalysis[[#This Row],[3rd Highest PiN]]/tblPiNAnalysis[[#This Row],[Population]], "")</f>
        <v>0.61131047876382671</v>
      </c>
      <c r="AX27" s="44">
        <f>IFERROR(tblPiNAnalysis[[#This Row],[Highest PiN]]-tblPiNAnalysis[[#This Row],[3rd Highest PiN]],"")</f>
        <v>11633.890716574009</v>
      </c>
      <c r="AY27" s="38">
        <f>IFERROR(tblPiNAnalysis[[#This Row],[Difference of PiN between Highest and 3rd Highest]]/tblPiNAnalysis[[#This Row],[3rd Highest PiN]], "")</f>
        <v>0.40173661785883524</v>
      </c>
      <c r="AZ27" s="325" t="str" cm="1">
        <f t="array" ref="AZ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7" s="292" cm="1">
        <f t="array" ref="BA27">IFERROR(IF(tblPiNAnalysis[[#This Row],[ID]]="", "", INDEX(tblPiNHistorical[[CCCM]:[WASH]], MATCH(tblPiNAnalysis[[#This Row],[ID]],tblPiNHistorical[ID], 0),MATCH(_xlfn._xlws.FILTER(tblPiNAnalysis[[#Headers],[CCCM]:[WASH]], tblPiNAnalysis[[#This Row],[Highest PiN]]=tblPiNAnalysis[[#This Row],[CCCM]:[WASH]]), tblPiNHistorical[[#Headers],[CCCM]:[WASH]], 0))), "")</f>
        <v>0.9</v>
      </c>
      <c r="BB27" s="328" t="str" cm="1">
        <f t="array" ref="BB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7" s="272" cm="1">
        <f t="array" ref="BC27">IFERROR(IF(tblPiNAnalysis[[#This Row],[ID]]="", "", INDEX(tblPiNHistorical[[CCCM]:[WASH]], MATCH(tblPiNAnalysis[[#This Row],[ID]],tblPiNHistorical[ID], 0),MATCH(_xlfn._xlws.FILTER(tblPiNAnalysis[[#Headers],[CCCM]:[WASH]], tblPiNAnalysis[[#This Row],[2nd Highest PiN]]=tblPiNAnalysis[[#This Row],[CCCM]:[WASH]]), tblPiNHistorical[[#Headers],[CCCM]:[WASH]], 0))), "")</f>
        <v>0.8</v>
      </c>
      <c r="BD27" s="329" t="str" cm="1">
        <f t="array" ref="BD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7" s="371">
        <f>INDEX(tblSeverityAnalysis[Final Severity], MATCH(tblPiNAnalysis[[#This Row],[ID]],tblSeverityAnalysis[ID], 0))</f>
        <v>3</v>
      </c>
      <c r="BF27" s="60">
        <f>IF(tblPiNAnalysis[[#This Row],[Severity]]&gt;2,tblPiNAnalysis[[#This Row],[Highest PiN]],)</f>
        <v>40592.890716574009</v>
      </c>
      <c r="BG27" s="187"/>
      <c r="BH27" s="188"/>
      <c r="BI27" s="189">
        <f>COUNTIFS(tblPiNAnalysis[[#This Row],[Number of missing / zero PiNs greater than threshold - Data quality]:[Manual Flag]],"Flagged")</f>
        <v>0</v>
      </c>
      <c r="BJ27" s="346" t="str">
        <f>IF(tblPiNAnalysis[[#This Row],['# Flags]]&gt;0, "Flagged", "")</f>
        <v/>
      </c>
      <c r="BK27" s="339">
        <f>tblPiNAnalysis[[#This Row],[Preliminary PiN]]</f>
        <v>40592.890716574009</v>
      </c>
      <c r="BL27" s="326"/>
      <c r="BM27" s="383">
        <f>IF(OR(tblPiNAnalysis[[#This Row],[Severity]]=4,tblPiNAnalysis[[#This Row],[Severity]]=5),tblPiNAnalysis[[#This Row],[Final PiN]],0)</f>
        <v>0</v>
      </c>
      <c r="BN27" s="378">
        <f>IF(OR(tblPiNAnalysis[[#This Row],[Severity]]=4,tblPiNAnalysis[[#This Row],[Severity]]=5),100%, IF(tblPiNAnalysis[[#This Row],[Severity]]=3,50%,0%))*tblPiNAnalysis[[#This Row],[Final PiN]]</f>
        <v>20296.445358287005</v>
      </c>
      <c r="BO27" s="383">
        <f>IF(OR(tblPiNAnalysis[[#This Row],[Severity]]=4,tblPiNAnalysis[[#This Row],[Severity]]=5),100%, IF(AND(tblPiNAnalysis[[#This Row],[Severity]]=3,VLOOKUP(tblPiNAnalysis[[#This Row],[ID]],tblSeverityAnalysis[[ID]:[Highest Severity]],35,FALSE)&gt;3),50%,0%))*tblPiNAnalysis[[#This Row],[Final PiN]]</f>
        <v>0</v>
      </c>
    </row>
    <row r="28" spans="1:67" hidden="1">
      <c r="A2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Global_PopulationHT0221</v>
      </c>
      <c r="B28" s="304" t="s">
        <v>197</v>
      </c>
      <c r="C28" s="213" t="s">
        <v>198</v>
      </c>
      <c r="D28" s="213" t="s">
        <v>207</v>
      </c>
      <c r="E28" s="103" t="s">
        <v>208</v>
      </c>
      <c r="F28" s="99"/>
      <c r="G28" s="34"/>
      <c r="H28" s="357"/>
      <c r="I28" s="354">
        <v>113034</v>
      </c>
      <c r="J28" s="221" t="s">
        <v>156</v>
      </c>
      <c r="K28" s="316">
        <v>21283.5</v>
      </c>
      <c r="L28" s="308">
        <v>6126</v>
      </c>
      <c r="M28" s="308">
        <v>10447</v>
      </c>
      <c r="N28" s="308">
        <v>57856</v>
      </c>
      <c r="O28" s="308">
        <v>29061.440102741559</v>
      </c>
      <c r="P28" s="308">
        <v>7723.78</v>
      </c>
      <c r="Q28" s="309">
        <v>50343</v>
      </c>
      <c r="R28" s="308">
        <v>14189</v>
      </c>
      <c r="S28" s="308"/>
      <c r="T28" s="308"/>
      <c r="U28" s="308"/>
      <c r="V28" s="308"/>
      <c r="W28" s="317">
        <f>IFERROR(IF(tblPiNAnalysis[[#This Row],[CCCM]]="", "", MROUND(tblPiNAnalysis[[#This Row],[CCCM]]/tblPiNAnalysis[[#This Row],[Population]], 0.05)), "")</f>
        <v>0.2</v>
      </c>
      <c r="X28" s="318">
        <f>IFERROR(IF(tblPiNAnalysis[[#This Row],[Education]]="", "", MROUND(tblPiNAnalysis[[#This Row],[Education]]/tblPiNAnalysis[[#This Row],[Population]], 0.05)), "")</f>
        <v>0.05</v>
      </c>
      <c r="Y28" s="318">
        <f>IFERROR(IF(tblPiNAnalysis[[#This Row],[Nutrition]]="", "", MROUND(tblPiNAnalysis[[#This Row],[Nutrition]]/tblPiNAnalysis[[#This Row],[Population]], 0.05)), "")</f>
        <v>0.1</v>
      </c>
      <c r="Z28" s="318">
        <f>IFERROR(IF(tblPiNAnalysis[[#This Row],[Food Security]]="", "", MROUND(tblPiNAnalysis[[#This Row],[Food Security]]/tblPiNAnalysis[[#This Row],[Population]], 0.05)), "")</f>
        <v>0.5</v>
      </c>
      <c r="AA28" s="318">
        <f>IFERROR(IF(tblPiNAnalysis[[#This Row],[Health]]="", "", MROUND(tblPiNAnalysis[[#This Row],[Health]]/tblPiNAnalysis[[#This Row],[Population]], 0.05)), "")</f>
        <v>0.25</v>
      </c>
      <c r="AB28" s="319">
        <f>IFERROR(IF(tblPiNAnalysis[[#This Row],[Protection]]="", "", MROUND(tblPiNAnalysis[[#This Row],[Protection]]/tblPiNAnalysis[[#This Row],[Population]], 0.05)), "")</f>
        <v>0.05</v>
      </c>
      <c r="AC28" s="319">
        <f>IFERROR(IF(tblPiNAnalysis[[#This Row],[Shelter]]="", "", MROUND(tblPiNAnalysis[[#This Row],[Shelter]]/tblPiNAnalysis[[#This Row],[Population]], 0.05)), "")</f>
        <v>0.45</v>
      </c>
      <c r="AD28" s="320">
        <f>IFERROR(IF(tblPiNAnalysis[[#This Row],[WASH]]="", "", MROUND(tblPiNAnalysis[[#This Row],[WASH]]/tblPiNAnalysis[[#This Row],[Population]], 0.05)), "")</f>
        <v>0.15000000000000002</v>
      </c>
      <c r="AE28" s="318">
        <f>IFERROR(MROUND(tblPiNAnalysis[[#This Row],[CP]]/tblPiNAnalysis[[#This Row],[Population]], 0.05), "")</f>
        <v>0</v>
      </c>
      <c r="AF28" s="318">
        <f>IFERROR(MROUND(tblPiNAnalysis[[#This Row],[GBV]]/tblPiNAnalysis[[#This Row],[Population]], 0.05), "")</f>
        <v>0</v>
      </c>
      <c r="AG28" s="318">
        <f>IFERROR(MROUND(tblPiNAnalysis[[#This Row],[Migrants]]/tblPiNAnalysis[[#This Row],[Population]], 0.05), "")</f>
        <v>0</v>
      </c>
      <c r="AH28" s="318">
        <f>IFERROR(MROUND(tblPiNAnalysis[[#This Row],[_]]/tblPiNAnalysis[[#This Row],[Population]], 0.05), "")</f>
        <v>0</v>
      </c>
      <c r="AI28" s="321">
        <f>IFERROR(LARGE(tblPiNAnalysis[[#This Row],[CCCM]:[WASH]], 1), "")</f>
        <v>57856</v>
      </c>
      <c r="AJ28" s="322" t="str" cm="1">
        <f t="array" ref="AJ28">IF(tblPiNAnalysis[[#This Row],[Highest PiN]]="", "", _xlfn.TEXTJOIN(CHAR(10), TRUE, IF(tblPiNAnalysis[[#This Row],[Highest PiN]]=tblPiNAnalysis[[#This Row],[CCCM]:[WASH]], tblPiNAnalysis[[#Headers],[CCCM]:[WASH]], "")))</f>
        <v>Food Security</v>
      </c>
      <c r="AK28" s="323">
        <f>IF(tblPiNAnalysis[[#This Row],[Highest PiN]]="", "", tblPiNAnalysis[[#This Row],[Highest PiN]]/tblPiNAnalysis[[#This Row],[Population]])</f>
        <v>0.5118459932409718</v>
      </c>
      <c r="AL28" s="265" t="str">
        <f>IF(SUM(tblPiNAnalysis[[#This Row],[CCCM]:[WASH]])=0, "",IF(COUNTIF(tblPiNAnalysis[[#This Row],[CCCM]:[WASH]],"=0")+COUNTIF(tblPiNAnalysis[[#This Row],[CCCM]:[WASH]],"")&gt;=zero_pin_thresh, "Flagged", ""))</f>
        <v/>
      </c>
      <c r="AM28" s="264" t="str">
        <f>IFERROR(IF(tblPiNAnalysis[[#This Row],[Highest PiN]]="", "", IF(tblPiNAnalysis[[#This Row],[Highest sector(s'') PiN %]]&gt;=flag_pin_perc, "Flagged", "")), "")</f>
        <v/>
      </c>
      <c r="AN28" s="266" t="str" cm="1">
        <f t="array" ref="AN28">IF(tblPiNAnalysis[[#This Row],[Highest PiN]]=0, "",  IF(OR(COUNTIF(tblPiNAnalysis[[#This Row],[Highest sector(s)]],tblSubSectorPopulation[Sector])), "Flagged", ""))</f>
        <v/>
      </c>
      <c r="AO28" s="45" cm="1">
        <f t="array" ref="AO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50343</v>
      </c>
      <c r="AP28" s="326" t="str" cm="1">
        <f t="array" ref="AP28">IF(tblPiNAnalysis[[#This Row],[2nd Highest PiN]]="", "", _xlfn.TEXTJOIN(CHAR(10), TRUE, IF(tblPiNAnalysis[[#This Row],[2nd Highest PiN]]=tblPiNAnalysis[[#This Row],[CCCM]:[WASH]], tblPiNAnalysis[[#Headers],[CCCM]:[WASH]], "")))</f>
        <v>Shelter</v>
      </c>
      <c r="AQ28" s="35">
        <f>IFERROR(tblPiNAnalysis[[#This Row],[2nd Highest PiN]]/tblPiNAnalysis[[#This Row],[Population]], "")</f>
        <v>0.44537926641541481</v>
      </c>
      <c r="AR28" s="45">
        <f>IFERROR(tblPiNAnalysis[[#This Row],[Highest PiN]]-tblPiNAnalysis[[#This Row],[2nd Highest PiN]], "")</f>
        <v>7513</v>
      </c>
      <c r="AS28" s="38">
        <f>IFERROR(((tblPiNAnalysis[[#This Row],[Highest PiN]]-tblPiNAnalysis[[#This Row],[2nd Highest PiN]])/tblPiNAnalysis[[#This Row],[2nd Highest PiN]]),"")</f>
        <v>0.14923623939773156</v>
      </c>
      <c r="AT28" s="269" t="str" cm="1">
        <f t="array" ref="AT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28" s="327" cm="1">
        <f t="array" ref="AU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29061.440102741559</v>
      </c>
      <c r="AV28" s="186" t="str" cm="1">
        <f t="array" ref="AV28">IF(tblPiNAnalysis[[#This Row],[3rd Highest PiN]]="", "", _xlfn.TEXTJOIN(CHAR(10), TRUE, IF(tblPiNAnalysis[[#This Row],[3rd Highest PiN]]=tblPiNAnalysis[[#This Row],[CCCM]:[WASH]], tblPiNAnalysis[[#Headers],[CCCM]:[WASH]], "")))</f>
        <v>Health</v>
      </c>
      <c r="AW28" s="186">
        <f>IFERROR(tblPiNAnalysis[[#This Row],[3rd Highest PiN]]/tblPiNAnalysis[[#This Row],[Population]], "")</f>
        <v>0.25710352728153968</v>
      </c>
      <c r="AX28" s="44">
        <f>IFERROR(tblPiNAnalysis[[#This Row],[Highest PiN]]-tblPiNAnalysis[[#This Row],[3rd Highest PiN]],"")</f>
        <v>28794.559897258441</v>
      </c>
      <c r="AY28" s="38">
        <f>IFERROR(tblPiNAnalysis[[#This Row],[Difference of PiN between Highest and 3rd Highest]]/tblPiNAnalysis[[#This Row],[3rd Highest PiN]], "")</f>
        <v>0.99081669027620067</v>
      </c>
      <c r="AZ28" s="325" t="str" cm="1">
        <f t="array" ref="AZ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28" s="292" cm="1">
        <f t="array" ref="BA28">IFERROR(IF(tblPiNAnalysis[[#This Row],[ID]]="", "", INDEX(tblPiNHistorical[[CCCM]:[WASH]], MATCH(tblPiNAnalysis[[#This Row],[ID]],tblPiNHistorical[ID], 0),MATCH(_xlfn._xlws.FILTER(tblPiNAnalysis[[#Headers],[CCCM]:[WASH]], tblPiNAnalysis[[#This Row],[Highest PiN]]=tblPiNAnalysis[[#This Row],[CCCM]:[WASH]]), tblPiNHistorical[[#Headers],[CCCM]:[WASH]], 0))), "")</f>
        <v>0.5</v>
      </c>
      <c r="BB28" s="328" t="str" cm="1">
        <f t="array" ref="BB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8" s="272" cm="1">
        <f t="array" ref="BC2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28" s="329" t="str" cm="1">
        <f t="array" ref="BD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28" s="371">
        <f>INDEX(tblSeverityAnalysis[Final Severity], MATCH(tblPiNAnalysis[[#This Row],[ID]],tblSeverityAnalysis[ID], 0))</f>
        <v>3</v>
      </c>
      <c r="BF28" s="60">
        <f>IF(tblPiNAnalysis[[#This Row],[Severity]]&gt;2,tblPiNAnalysis[[#This Row],[Highest PiN]],)</f>
        <v>57856</v>
      </c>
      <c r="BG28" s="187"/>
      <c r="BH28" s="188"/>
      <c r="BI28" s="189">
        <f>COUNTIFS(tblPiNAnalysis[[#This Row],[Number of missing / zero PiNs greater than threshold - Data quality]:[Manual Flag]],"Flagged")</f>
        <v>1</v>
      </c>
      <c r="BJ28" s="346" t="str">
        <f>IF(tblPiNAnalysis[[#This Row],['# Flags]]&gt;0, "Flagged", "")</f>
        <v>Flagged</v>
      </c>
      <c r="BK28" s="339">
        <f>tblPiNAnalysis[[#This Row],[Preliminary PiN]]</f>
        <v>57856</v>
      </c>
      <c r="BL28" s="326"/>
      <c r="BM28" s="383">
        <f>IF(OR(tblPiNAnalysis[[#This Row],[Severity]]=4,tblPiNAnalysis[[#This Row],[Severity]]=5),tblPiNAnalysis[[#This Row],[Final PiN]],0)</f>
        <v>0</v>
      </c>
      <c r="BN28" s="378">
        <f>IF(OR(tblPiNAnalysis[[#This Row],[Severity]]=4,tblPiNAnalysis[[#This Row],[Severity]]=5),100%, IF(tblPiNAnalysis[[#This Row],[Severity]]=3,50%,0%))*tblPiNAnalysis[[#This Row],[Final PiN]]</f>
        <v>28928</v>
      </c>
      <c r="BO28" s="383">
        <f>IF(OR(tblPiNAnalysis[[#This Row],[Severity]]=4,tblPiNAnalysis[[#This Row],[Severity]]=5),100%, IF(AND(tblPiNAnalysis[[#This Row],[Severity]]=3,VLOOKUP(tblPiNAnalysis[[#This Row],[ID]],tblSeverityAnalysis[[ID]:[Highest Severity]],35,FALSE)&gt;3),50%,0%))*tblPiNAnalysis[[#This Row],[Final PiN]]</f>
        <v>0</v>
      </c>
    </row>
    <row r="29" spans="1:67" hidden="1">
      <c r="A2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Global_PopulationHT0222</v>
      </c>
      <c r="B29" s="304" t="s">
        <v>197</v>
      </c>
      <c r="C29" s="213" t="s">
        <v>198</v>
      </c>
      <c r="D29" s="213" t="s">
        <v>209</v>
      </c>
      <c r="E29" s="103" t="s">
        <v>210</v>
      </c>
      <c r="F29" s="99"/>
      <c r="G29" s="34"/>
      <c r="H29" s="357"/>
      <c r="I29" s="354">
        <v>63370</v>
      </c>
      <c r="J29" s="221" t="s">
        <v>156</v>
      </c>
      <c r="K29" s="316">
        <v>21187.5</v>
      </c>
      <c r="L29" s="308">
        <v>3407</v>
      </c>
      <c r="M29" s="308">
        <v>6059</v>
      </c>
      <c r="N29" s="308">
        <v>32943</v>
      </c>
      <c r="O29" s="308">
        <v>20780.091295575221</v>
      </c>
      <c r="P29" s="308">
        <v>7384.82</v>
      </c>
      <c r="Q29" s="309">
        <v>0</v>
      </c>
      <c r="R29" s="308">
        <v>16646.0625</v>
      </c>
      <c r="S29" s="308"/>
      <c r="T29" s="308"/>
      <c r="U29" s="308"/>
      <c r="V29" s="308"/>
      <c r="W29" s="317">
        <f>IFERROR(IF(tblPiNAnalysis[[#This Row],[CCCM]]="", "", MROUND(tblPiNAnalysis[[#This Row],[CCCM]]/tblPiNAnalysis[[#This Row],[Population]], 0.05)), "")</f>
        <v>0.35000000000000003</v>
      </c>
      <c r="X29" s="318">
        <f>IFERROR(IF(tblPiNAnalysis[[#This Row],[Education]]="", "", MROUND(tblPiNAnalysis[[#This Row],[Education]]/tblPiNAnalysis[[#This Row],[Population]], 0.05)), "")</f>
        <v>0.05</v>
      </c>
      <c r="Y29" s="318">
        <f>IFERROR(IF(tblPiNAnalysis[[#This Row],[Nutrition]]="", "", MROUND(tblPiNAnalysis[[#This Row],[Nutrition]]/tblPiNAnalysis[[#This Row],[Population]], 0.05)), "")</f>
        <v>0.1</v>
      </c>
      <c r="Z29" s="318">
        <f>IFERROR(IF(tblPiNAnalysis[[#This Row],[Food Security]]="", "", MROUND(tblPiNAnalysis[[#This Row],[Food Security]]/tblPiNAnalysis[[#This Row],[Population]], 0.05)), "")</f>
        <v>0.5</v>
      </c>
      <c r="AA29" s="318">
        <f>IFERROR(IF(tblPiNAnalysis[[#This Row],[Health]]="", "", MROUND(tblPiNAnalysis[[#This Row],[Health]]/tblPiNAnalysis[[#This Row],[Population]], 0.05)), "")</f>
        <v>0.35000000000000003</v>
      </c>
      <c r="AB29" s="319">
        <f>IFERROR(IF(tblPiNAnalysis[[#This Row],[Protection]]="", "", MROUND(tblPiNAnalysis[[#This Row],[Protection]]/tblPiNAnalysis[[#This Row],[Population]], 0.05)), "")</f>
        <v>0.1</v>
      </c>
      <c r="AC29" s="319">
        <f>IFERROR(IF(tblPiNAnalysis[[#This Row],[Shelter]]="", "", MROUND(tblPiNAnalysis[[#This Row],[Shelter]]/tblPiNAnalysis[[#This Row],[Population]], 0.05)), "")</f>
        <v>0</v>
      </c>
      <c r="AD29" s="320">
        <f>IFERROR(IF(tblPiNAnalysis[[#This Row],[WASH]]="", "", MROUND(tblPiNAnalysis[[#This Row],[WASH]]/tblPiNAnalysis[[#This Row],[Population]], 0.05)), "")</f>
        <v>0.25</v>
      </c>
      <c r="AE29" s="318">
        <f>IFERROR(MROUND(tblPiNAnalysis[[#This Row],[CP]]/tblPiNAnalysis[[#This Row],[Population]], 0.05), "")</f>
        <v>0</v>
      </c>
      <c r="AF29" s="318">
        <f>IFERROR(MROUND(tblPiNAnalysis[[#This Row],[GBV]]/tblPiNAnalysis[[#This Row],[Population]], 0.05), "")</f>
        <v>0</v>
      </c>
      <c r="AG29" s="318">
        <f>IFERROR(MROUND(tblPiNAnalysis[[#This Row],[Migrants]]/tblPiNAnalysis[[#This Row],[Population]], 0.05), "")</f>
        <v>0</v>
      </c>
      <c r="AH29" s="318">
        <f>IFERROR(MROUND(tblPiNAnalysis[[#This Row],[_]]/tblPiNAnalysis[[#This Row],[Population]], 0.05), "")</f>
        <v>0</v>
      </c>
      <c r="AI29" s="321">
        <f>IFERROR(LARGE(tblPiNAnalysis[[#This Row],[CCCM]:[WASH]], 1), "")</f>
        <v>32943</v>
      </c>
      <c r="AJ29" s="322" t="str" cm="1">
        <f t="array" ref="AJ29">IF(tblPiNAnalysis[[#This Row],[Highest PiN]]="", "", _xlfn.TEXTJOIN(CHAR(10), TRUE, IF(tblPiNAnalysis[[#This Row],[Highest PiN]]=tblPiNAnalysis[[#This Row],[CCCM]:[WASH]], tblPiNAnalysis[[#Headers],[CCCM]:[WASH]], "")))</f>
        <v>Food Security</v>
      </c>
      <c r="AK29" s="323">
        <f>IF(tblPiNAnalysis[[#This Row],[Highest PiN]]="", "", tblPiNAnalysis[[#This Row],[Highest PiN]]/tblPiNAnalysis[[#This Row],[Population]])</f>
        <v>0.51985166482562728</v>
      </c>
      <c r="AL29" s="265" t="str">
        <f>IF(SUM(tblPiNAnalysis[[#This Row],[CCCM]:[WASH]])=0, "",IF(COUNTIF(tblPiNAnalysis[[#This Row],[CCCM]:[WASH]],"=0")+COUNTIF(tblPiNAnalysis[[#This Row],[CCCM]:[WASH]],"")&gt;=zero_pin_thresh, "Flagged", ""))</f>
        <v/>
      </c>
      <c r="AM29" s="264" t="str">
        <f>IFERROR(IF(tblPiNAnalysis[[#This Row],[Highest PiN]]="", "", IF(tblPiNAnalysis[[#This Row],[Highest sector(s'') PiN %]]&gt;=flag_pin_perc, "Flagged", "")), "")</f>
        <v/>
      </c>
      <c r="AN29" s="266" t="str" cm="1">
        <f t="array" ref="AN29">IF(tblPiNAnalysis[[#This Row],[Highest PiN]]=0, "",  IF(OR(COUNTIF(tblPiNAnalysis[[#This Row],[Highest sector(s)]],tblSubSectorPopulation[Sector])), "Flagged", ""))</f>
        <v/>
      </c>
      <c r="AO29" s="45" cm="1">
        <f t="array" ref="AO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21187.5</v>
      </c>
      <c r="AP29" s="326" t="str" cm="1">
        <f t="array" ref="AP29">IF(tblPiNAnalysis[[#This Row],[2nd Highest PiN]]="", "", _xlfn.TEXTJOIN(CHAR(10), TRUE, IF(tblPiNAnalysis[[#This Row],[2nd Highest PiN]]=tblPiNAnalysis[[#This Row],[CCCM]:[WASH]], tblPiNAnalysis[[#Headers],[CCCM]:[WASH]], "")))</f>
        <v>CCCM</v>
      </c>
      <c r="AQ29" s="35">
        <f>IFERROR(tblPiNAnalysis[[#This Row],[2nd Highest PiN]]/tblPiNAnalysis[[#This Row],[Population]], "")</f>
        <v>0.33434590500236705</v>
      </c>
      <c r="AR29" s="45">
        <f>IFERROR(tblPiNAnalysis[[#This Row],[Highest PiN]]-tblPiNAnalysis[[#This Row],[2nd Highest PiN]], "")</f>
        <v>11755.5</v>
      </c>
      <c r="AS29" s="38">
        <f>IFERROR(((tblPiNAnalysis[[#This Row],[Highest PiN]]-tblPiNAnalysis[[#This Row],[2nd Highest PiN]])/tblPiNAnalysis[[#This Row],[2nd Highest PiN]]),"")</f>
        <v>0.5548318584070796</v>
      </c>
      <c r="AT29" s="269" t="str" cm="1">
        <f t="array" ref="AT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29" s="327" cm="1">
        <f t="array" ref="AU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20780.091295575221</v>
      </c>
      <c r="AV29" s="186" t="str" cm="1">
        <f t="array" ref="AV29">IF(tblPiNAnalysis[[#This Row],[3rd Highest PiN]]="", "", _xlfn.TEXTJOIN(CHAR(10), TRUE, IF(tblPiNAnalysis[[#This Row],[3rd Highest PiN]]=tblPiNAnalysis[[#This Row],[CCCM]:[WASH]], tblPiNAnalysis[[#Headers],[CCCM]:[WASH]], "")))</f>
        <v>Health</v>
      </c>
      <c r="AW29" s="186">
        <f>IFERROR(tblPiNAnalysis[[#This Row],[3rd Highest PiN]]/tblPiNAnalysis[[#This Row],[Population]], "")</f>
        <v>0.32791685806493959</v>
      </c>
      <c r="AX29" s="44">
        <f>IFERROR(tblPiNAnalysis[[#This Row],[Highest PiN]]-tblPiNAnalysis[[#This Row],[3rd Highest PiN]],"")</f>
        <v>12162.908704424779</v>
      </c>
      <c r="AY29" s="38">
        <f>IFERROR(tblPiNAnalysis[[#This Row],[Difference of PiN between Highest and 3rd Highest]]/tblPiNAnalysis[[#This Row],[3rd Highest PiN]], "")</f>
        <v>0.58531546042892846</v>
      </c>
      <c r="AZ29" s="325" t="str" cm="1">
        <f t="array" ref="AZ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29" s="292" cm="1">
        <f t="array" ref="BA29">IFERROR(IF(tblPiNAnalysis[[#This Row],[ID]]="", "", INDEX(tblPiNHistorical[[CCCM]:[WASH]], MATCH(tblPiNAnalysis[[#This Row],[ID]],tblPiNHistorical[ID], 0),MATCH(_xlfn._xlws.FILTER(tblPiNAnalysis[[#Headers],[CCCM]:[WASH]], tblPiNAnalysis[[#This Row],[Highest PiN]]=tblPiNAnalysis[[#This Row],[CCCM]:[WASH]]), tblPiNHistorical[[#Headers],[CCCM]:[WASH]], 0))), "")</f>
        <v>0.4</v>
      </c>
      <c r="BB29" s="328" t="str" cm="1">
        <f t="array" ref="BB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29" s="272" cm="1">
        <f t="array" ref="BC29">IFERROR(IF(tblPiNAnalysis[[#This Row],[ID]]="", "", INDEX(tblPiNHistorical[[CCCM]:[WASH]], MATCH(tblPiNAnalysis[[#This Row],[ID]],tblPiNHistorical[ID], 0),MATCH(_xlfn._xlws.FILTER(tblPiNAnalysis[[#Headers],[CCCM]:[WASH]], tblPiNAnalysis[[#This Row],[2nd Highest PiN]]=tblPiNAnalysis[[#This Row],[CCCM]:[WASH]]), tblPiNHistorical[[#Headers],[CCCM]:[WASH]], 0))), "")</f>
        <v>1.8</v>
      </c>
      <c r="BD29" s="329" t="str" cm="1">
        <f t="array" ref="BD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29" s="371">
        <f>INDEX(tblSeverityAnalysis[Final Severity], MATCH(tblPiNAnalysis[[#This Row],[ID]],tblSeverityAnalysis[ID], 0))</f>
        <v>3</v>
      </c>
      <c r="BF29" s="60">
        <f>IF(tblPiNAnalysis[[#This Row],[Severity]]&gt;2,tblPiNAnalysis[[#This Row],[Highest PiN]],)</f>
        <v>32943</v>
      </c>
      <c r="BG29" s="187"/>
      <c r="BH29" s="188"/>
      <c r="BI29" s="189">
        <f>COUNTIFS(tblPiNAnalysis[[#This Row],[Number of missing / zero PiNs greater than threshold - Data quality]:[Manual Flag]],"Flagged")</f>
        <v>2</v>
      </c>
      <c r="BJ29" s="346" t="str">
        <f>IF(tblPiNAnalysis[[#This Row],['# Flags]]&gt;0, "Flagged", "")</f>
        <v>Flagged</v>
      </c>
      <c r="BK29" s="339">
        <f>tblPiNAnalysis[[#This Row],[Preliminary PiN]]</f>
        <v>32943</v>
      </c>
      <c r="BL29" s="326"/>
      <c r="BM29" s="383">
        <f>IF(OR(tblPiNAnalysis[[#This Row],[Severity]]=4,tblPiNAnalysis[[#This Row],[Severity]]=5),tblPiNAnalysis[[#This Row],[Final PiN]],0)</f>
        <v>0</v>
      </c>
      <c r="BN29" s="378">
        <f>IF(OR(tblPiNAnalysis[[#This Row],[Severity]]=4,tblPiNAnalysis[[#This Row],[Severity]]=5),100%, IF(tblPiNAnalysis[[#This Row],[Severity]]=3,50%,0%))*tblPiNAnalysis[[#This Row],[Final PiN]]</f>
        <v>16471.5</v>
      </c>
      <c r="BO29" s="383">
        <f>IF(OR(tblPiNAnalysis[[#This Row],[Severity]]=4,tblPiNAnalysis[[#This Row],[Severity]]=5),100%, IF(AND(tblPiNAnalysis[[#This Row],[Severity]]=3,VLOOKUP(tblPiNAnalysis[[#This Row],[ID]],tblSeverityAnalysis[[ID]:[Highest Severity]],35,FALSE)&gt;3),50%,0%))*tblPiNAnalysis[[#This Row],[Final PiN]]</f>
        <v>0</v>
      </c>
    </row>
    <row r="30" spans="1:67" hidden="1">
      <c r="A3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Global_PopulationHT0231</v>
      </c>
      <c r="B30" s="304" t="s">
        <v>197</v>
      </c>
      <c r="C30" s="213" t="s">
        <v>198</v>
      </c>
      <c r="D30" s="213" t="s">
        <v>211</v>
      </c>
      <c r="E30" s="103" t="s">
        <v>212</v>
      </c>
      <c r="F30" s="99"/>
      <c r="G30" s="34"/>
      <c r="H30" s="357"/>
      <c r="I30" s="354">
        <v>95781</v>
      </c>
      <c r="J30" s="221" t="s">
        <v>156</v>
      </c>
      <c r="K30" s="316">
        <v>16605</v>
      </c>
      <c r="L30" s="308">
        <v>4832</v>
      </c>
      <c r="M30" s="308">
        <v>9364</v>
      </c>
      <c r="N30" s="308">
        <v>54963</v>
      </c>
      <c r="O30" s="308">
        <v>23146.363591147245</v>
      </c>
      <c r="P30" s="308">
        <v>14625.630000000001</v>
      </c>
      <c r="Q30" s="309">
        <v>41241</v>
      </c>
      <c r="R30" s="308">
        <v>22996.1875</v>
      </c>
      <c r="S30" s="308"/>
      <c r="T30" s="308"/>
      <c r="U30" s="308"/>
      <c r="V30" s="308"/>
      <c r="W30" s="317">
        <f>IFERROR(IF(tblPiNAnalysis[[#This Row],[CCCM]]="", "", MROUND(tblPiNAnalysis[[#This Row],[CCCM]]/tblPiNAnalysis[[#This Row],[Population]], 0.05)), "")</f>
        <v>0.15000000000000002</v>
      </c>
      <c r="X30" s="318">
        <f>IFERROR(IF(tblPiNAnalysis[[#This Row],[Education]]="", "", MROUND(tblPiNAnalysis[[#This Row],[Education]]/tblPiNAnalysis[[#This Row],[Population]], 0.05)), "")</f>
        <v>0.05</v>
      </c>
      <c r="Y30" s="318">
        <f>IFERROR(IF(tblPiNAnalysis[[#This Row],[Nutrition]]="", "", MROUND(tblPiNAnalysis[[#This Row],[Nutrition]]/tblPiNAnalysis[[#This Row],[Population]], 0.05)), "")</f>
        <v>0.1</v>
      </c>
      <c r="Z30" s="318">
        <f>IFERROR(IF(tblPiNAnalysis[[#This Row],[Food Security]]="", "", MROUND(tblPiNAnalysis[[#This Row],[Food Security]]/tblPiNAnalysis[[#This Row],[Population]], 0.05)), "")</f>
        <v>0.55000000000000004</v>
      </c>
      <c r="AA30" s="318">
        <f>IFERROR(IF(tblPiNAnalysis[[#This Row],[Health]]="", "", MROUND(tblPiNAnalysis[[#This Row],[Health]]/tblPiNAnalysis[[#This Row],[Population]], 0.05)), "")</f>
        <v>0.25</v>
      </c>
      <c r="AB30" s="319">
        <f>IFERROR(IF(tblPiNAnalysis[[#This Row],[Protection]]="", "", MROUND(tblPiNAnalysis[[#This Row],[Protection]]/tblPiNAnalysis[[#This Row],[Population]], 0.05)), "")</f>
        <v>0.15000000000000002</v>
      </c>
      <c r="AC30" s="319">
        <f>IFERROR(IF(tblPiNAnalysis[[#This Row],[Shelter]]="", "", MROUND(tblPiNAnalysis[[#This Row],[Shelter]]/tblPiNAnalysis[[#This Row],[Population]], 0.05)), "")</f>
        <v>0.45</v>
      </c>
      <c r="AD30" s="320">
        <f>IFERROR(IF(tblPiNAnalysis[[#This Row],[WASH]]="", "", MROUND(tblPiNAnalysis[[#This Row],[WASH]]/tblPiNAnalysis[[#This Row],[Population]], 0.05)), "")</f>
        <v>0.25</v>
      </c>
      <c r="AE30" s="318">
        <f>IFERROR(MROUND(tblPiNAnalysis[[#This Row],[CP]]/tblPiNAnalysis[[#This Row],[Population]], 0.05), "")</f>
        <v>0</v>
      </c>
      <c r="AF30" s="318">
        <f>IFERROR(MROUND(tblPiNAnalysis[[#This Row],[GBV]]/tblPiNAnalysis[[#This Row],[Population]], 0.05), "")</f>
        <v>0</v>
      </c>
      <c r="AG30" s="318">
        <f>IFERROR(MROUND(tblPiNAnalysis[[#This Row],[Migrants]]/tblPiNAnalysis[[#This Row],[Population]], 0.05), "")</f>
        <v>0</v>
      </c>
      <c r="AH30" s="318">
        <f>IFERROR(MROUND(tblPiNAnalysis[[#This Row],[_]]/tblPiNAnalysis[[#This Row],[Population]], 0.05), "")</f>
        <v>0</v>
      </c>
      <c r="AI30" s="321">
        <f>IFERROR(LARGE(tblPiNAnalysis[[#This Row],[CCCM]:[WASH]], 1), "")</f>
        <v>54963</v>
      </c>
      <c r="AJ30" s="322" t="str" cm="1">
        <f t="array" ref="AJ30">IF(tblPiNAnalysis[[#This Row],[Highest PiN]]="", "", _xlfn.TEXTJOIN(CHAR(10), TRUE, IF(tblPiNAnalysis[[#This Row],[Highest PiN]]=tblPiNAnalysis[[#This Row],[CCCM]:[WASH]], tblPiNAnalysis[[#Headers],[CCCM]:[WASH]], "")))</f>
        <v>Food Security</v>
      </c>
      <c r="AK30" s="323">
        <f>IF(tblPiNAnalysis[[#This Row],[Highest PiN]]="", "", tblPiNAnalysis[[#This Row],[Highest PiN]]/tblPiNAnalysis[[#This Row],[Population]])</f>
        <v>0.57384032323738532</v>
      </c>
      <c r="AL30" s="265" t="str">
        <f>IF(SUM(tblPiNAnalysis[[#This Row],[CCCM]:[WASH]])=0, "",IF(COUNTIF(tblPiNAnalysis[[#This Row],[CCCM]:[WASH]],"=0")+COUNTIF(tblPiNAnalysis[[#This Row],[CCCM]:[WASH]],"")&gt;=zero_pin_thresh, "Flagged", ""))</f>
        <v/>
      </c>
      <c r="AM30" s="264" t="str">
        <f>IFERROR(IF(tblPiNAnalysis[[#This Row],[Highest PiN]]="", "", IF(tblPiNAnalysis[[#This Row],[Highest sector(s'') PiN %]]&gt;=flag_pin_perc, "Flagged", "")), "")</f>
        <v/>
      </c>
      <c r="AN30" s="266" t="str" cm="1">
        <f t="array" ref="AN30">IF(tblPiNAnalysis[[#This Row],[Highest PiN]]=0, "",  IF(OR(COUNTIF(tblPiNAnalysis[[#This Row],[Highest sector(s)]],tblSubSectorPopulation[Sector])), "Flagged", ""))</f>
        <v/>
      </c>
      <c r="AO30" s="45" cm="1">
        <f t="array" ref="AO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41241</v>
      </c>
      <c r="AP30" s="326" t="str" cm="1">
        <f t="array" ref="AP30">IF(tblPiNAnalysis[[#This Row],[2nd Highest PiN]]="", "", _xlfn.TEXTJOIN(CHAR(10), TRUE, IF(tblPiNAnalysis[[#This Row],[2nd Highest PiN]]=tblPiNAnalysis[[#This Row],[CCCM]:[WASH]], tblPiNAnalysis[[#Headers],[CCCM]:[WASH]], "")))</f>
        <v>Shelter</v>
      </c>
      <c r="AQ30" s="35">
        <f>IFERROR(tblPiNAnalysis[[#This Row],[2nd Highest PiN]]/tblPiNAnalysis[[#This Row],[Population]], "")</f>
        <v>0.43057600150342967</v>
      </c>
      <c r="AR30" s="45">
        <f>IFERROR(tblPiNAnalysis[[#This Row],[Highest PiN]]-tblPiNAnalysis[[#This Row],[2nd Highest PiN]], "")</f>
        <v>13722</v>
      </c>
      <c r="AS30" s="38">
        <f>IFERROR(((tblPiNAnalysis[[#This Row],[Highest PiN]]-tblPiNAnalysis[[#This Row],[2nd Highest PiN]])/tblPiNAnalysis[[#This Row],[2nd Highest PiN]]),"")</f>
        <v>0.33272714046701096</v>
      </c>
      <c r="AT30" s="269" t="str" cm="1">
        <f t="array" ref="AT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0" s="327" cm="1">
        <f t="array" ref="AU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23146.363591147245</v>
      </c>
      <c r="AV30" s="186" t="str" cm="1">
        <f t="array" ref="AV30">IF(tblPiNAnalysis[[#This Row],[3rd Highest PiN]]="", "", _xlfn.TEXTJOIN(CHAR(10), TRUE, IF(tblPiNAnalysis[[#This Row],[3rd Highest PiN]]=tblPiNAnalysis[[#This Row],[CCCM]:[WASH]], tblPiNAnalysis[[#Headers],[CCCM]:[WASH]], "")))</f>
        <v>Health</v>
      </c>
      <c r="AW30" s="186">
        <f>IFERROR(tblPiNAnalysis[[#This Row],[3rd Highest PiN]]/tblPiNAnalysis[[#This Row],[Population]], "")</f>
        <v>0.2416592392139072</v>
      </c>
      <c r="AX30" s="44">
        <f>IFERROR(tblPiNAnalysis[[#This Row],[Highest PiN]]-tblPiNAnalysis[[#This Row],[3rd Highest PiN]],"")</f>
        <v>31816.636408852755</v>
      </c>
      <c r="AY30" s="38">
        <f>IFERROR(tblPiNAnalysis[[#This Row],[Difference of PiN between Highest and 3rd Highest]]/tblPiNAnalysis[[#This Row],[3rd Highest PiN]], "")</f>
        <v>1.3745846635288153</v>
      </c>
      <c r="AZ30" s="325" t="str" cm="1">
        <f t="array" ref="AZ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0" s="292" cm="1">
        <f t="array" ref="BA30">IFERROR(IF(tblPiNAnalysis[[#This Row],[ID]]="", "", INDEX(tblPiNHistorical[[CCCM]:[WASH]], MATCH(tblPiNAnalysis[[#This Row],[ID]],tblPiNHistorical[ID], 0),MATCH(_xlfn._xlws.FILTER(tblPiNAnalysis[[#Headers],[CCCM]:[WASH]], tblPiNAnalysis[[#This Row],[Highest PiN]]=tblPiNAnalysis[[#This Row],[CCCM]:[WASH]]), tblPiNHistorical[[#Headers],[CCCM]:[WASH]], 0))), "")</f>
        <v>0.2</v>
      </c>
      <c r="BB30" s="328" t="str" cm="1">
        <f t="array" ref="BB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0" s="272" cm="1">
        <f t="array" ref="BC30">IFERROR(IF(tblPiNAnalysis[[#This Row],[ID]]="", "", INDEX(tblPiNHistorical[[CCCM]:[WASH]], MATCH(tblPiNAnalysis[[#This Row],[ID]],tblPiNHistorical[ID], 0),MATCH(_xlfn._xlws.FILTER(tblPiNAnalysis[[#Headers],[CCCM]:[WASH]], tblPiNAnalysis[[#This Row],[2nd Highest PiN]]=tblPiNAnalysis[[#This Row],[CCCM]:[WASH]]), tblPiNHistorical[[#Headers],[CCCM]:[WASH]], 0))), "")</f>
        <v>0.9</v>
      </c>
      <c r="BD30" s="329" t="str" cm="1">
        <f t="array" ref="BD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0" s="371">
        <f>INDEX(tblSeverityAnalysis[Final Severity], MATCH(tblPiNAnalysis[[#This Row],[ID]],tblSeverityAnalysis[ID], 0))</f>
        <v>3</v>
      </c>
      <c r="BF30" s="60">
        <f>IF(tblPiNAnalysis[[#This Row],[Severity]]&gt;2,tblPiNAnalysis[[#This Row],[Highest PiN]],)</f>
        <v>54963</v>
      </c>
      <c r="BG30" s="187"/>
      <c r="BH30" s="188"/>
      <c r="BI30" s="189">
        <f>COUNTIFS(tblPiNAnalysis[[#This Row],[Number of missing / zero PiNs greater than threshold - Data quality]:[Manual Flag]],"Flagged")</f>
        <v>1</v>
      </c>
      <c r="BJ30" s="346" t="str">
        <f>IF(tblPiNAnalysis[[#This Row],['# Flags]]&gt;0, "Flagged", "")</f>
        <v>Flagged</v>
      </c>
      <c r="BK30" s="339">
        <f>tblPiNAnalysis[[#This Row],[Preliminary PiN]]</f>
        <v>54963</v>
      </c>
      <c r="BL30" s="326"/>
      <c r="BM30" s="383">
        <f>IF(OR(tblPiNAnalysis[[#This Row],[Severity]]=4,tblPiNAnalysis[[#This Row],[Severity]]=5),tblPiNAnalysis[[#This Row],[Final PiN]],0)</f>
        <v>0</v>
      </c>
      <c r="BN30" s="378">
        <f>IF(OR(tblPiNAnalysis[[#This Row],[Severity]]=4,tblPiNAnalysis[[#This Row],[Severity]]=5),100%, IF(tblPiNAnalysis[[#This Row],[Severity]]=3,50%,0%))*tblPiNAnalysis[[#This Row],[Final PiN]]</f>
        <v>27481.5</v>
      </c>
      <c r="BO30" s="383">
        <f>IF(OR(tblPiNAnalysis[[#This Row],[Severity]]=4,tblPiNAnalysis[[#This Row],[Severity]]=5),100%, IF(AND(tblPiNAnalysis[[#This Row],[Severity]]=3,VLOOKUP(tblPiNAnalysis[[#This Row],[ID]],tblSeverityAnalysis[[ID]:[Highest Severity]],35,FALSE)&gt;3),50%,0%))*tblPiNAnalysis[[#This Row],[Final PiN]]</f>
        <v>27481.5</v>
      </c>
    </row>
    <row r="31" spans="1:67" hidden="1">
      <c r="A3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Global_PopulationHT0232</v>
      </c>
      <c r="B31" s="304" t="s">
        <v>197</v>
      </c>
      <c r="C31" s="213" t="s">
        <v>198</v>
      </c>
      <c r="D31" s="213" t="s">
        <v>213</v>
      </c>
      <c r="E31" s="103" t="s">
        <v>214</v>
      </c>
      <c r="F31" s="99"/>
      <c r="G31" s="34"/>
      <c r="H31" s="357"/>
      <c r="I31" s="354">
        <v>25416</v>
      </c>
      <c r="J31" s="221" t="s">
        <v>156</v>
      </c>
      <c r="K31" s="316">
        <v>8899.5</v>
      </c>
      <c r="L31" s="308">
        <v>1209</v>
      </c>
      <c r="M31" s="308">
        <v>2465</v>
      </c>
      <c r="N31" s="308">
        <v>12345</v>
      </c>
      <c r="O31" s="308">
        <v>11559.685098971851</v>
      </c>
      <c r="P31" s="308">
        <v>6113.1</v>
      </c>
      <c r="Q31" s="309">
        <v>10619</v>
      </c>
      <c r="R31" s="308">
        <v>12708</v>
      </c>
      <c r="S31" s="308"/>
      <c r="T31" s="308"/>
      <c r="U31" s="308"/>
      <c r="V31" s="308"/>
      <c r="W31" s="317">
        <f>IFERROR(IF(tblPiNAnalysis[[#This Row],[CCCM]]="", "", MROUND(tblPiNAnalysis[[#This Row],[CCCM]]/tblPiNAnalysis[[#This Row],[Population]], 0.05)), "")</f>
        <v>0.35000000000000003</v>
      </c>
      <c r="X31" s="318">
        <f>IFERROR(IF(tblPiNAnalysis[[#This Row],[Education]]="", "", MROUND(tblPiNAnalysis[[#This Row],[Education]]/tblPiNAnalysis[[#This Row],[Population]], 0.05)), "")</f>
        <v>0.05</v>
      </c>
      <c r="Y31" s="318">
        <f>IFERROR(IF(tblPiNAnalysis[[#This Row],[Nutrition]]="", "", MROUND(tblPiNAnalysis[[#This Row],[Nutrition]]/tblPiNAnalysis[[#This Row],[Population]], 0.05)), "")</f>
        <v>0.1</v>
      </c>
      <c r="Z31" s="318">
        <f>IFERROR(IF(tblPiNAnalysis[[#This Row],[Food Security]]="", "", MROUND(tblPiNAnalysis[[#This Row],[Food Security]]/tblPiNAnalysis[[#This Row],[Population]], 0.05)), "")</f>
        <v>0.5</v>
      </c>
      <c r="AA31" s="318">
        <f>IFERROR(IF(tblPiNAnalysis[[#This Row],[Health]]="", "", MROUND(tblPiNAnalysis[[#This Row],[Health]]/tblPiNAnalysis[[#This Row],[Population]], 0.05)), "")</f>
        <v>0.45</v>
      </c>
      <c r="AB31" s="319">
        <f>IFERROR(IF(tblPiNAnalysis[[#This Row],[Protection]]="", "", MROUND(tblPiNAnalysis[[#This Row],[Protection]]/tblPiNAnalysis[[#This Row],[Population]], 0.05)), "")</f>
        <v>0.25</v>
      </c>
      <c r="AC31" s="319">
        <f>IFERROR(IF(tblPiNAnalysis[[#This Row],[Shelter]]="", "", MROUND(tblPiNAnalysis[[#This Row],[Shelter]]/tblPiNAnalysis[[#This Row],[Population]], 0.05)), "")</f>
        <v>0.4</v>
      </c>
      <c r="AD31" s="320">
        <f>IFERROR(IF(tblPiNAnalysis[[#This Row],[WASH]]="", "", MROUND(tblPiNAnalysis[[#This Row],[WASH]]/tblPiNAnalysis[[#This Row],[Population]], 0.05)), "")</f>
        <v>0.5</v>
      </c>
      <c r="AE31" s="318">
        <f>IFERROR(MROUND(tblPiNAnalysis[[#This Row],[CP]]/tblPiNAnalysis[[#This Row],[Population]], 0.05), "")</f>
        <v>0</v>
      </c>
      <c r="AF31" s="318">
        <f>IFERROR(MROUND(tblPiNAnalysis[[#This Row],[GBV]]/tblPiNAnalysis[[#This Row],[Population]], 0.05), "")</f>
        <v>0</v>
      </c>
      <c r="AG31" s="318">
        <f>IFERROR(MROUND(tblPiNAnalysis[[#This Row],[Migrants]]/tblPiNAnalysis[[#This Row],[Population]], 0.05), "")</f>
        <v>0</v>
      </c>
      <c r="AH31" s="318">
        <f>IFERROR(MROUND(tblPiNAnalysis[[#This Row],[_]]/tblPiNAnalysis[[#This Row],[Population]], 0.05), "")</f>
        <v>0</v>
      </c>
      <c r="AI31" s="321">
        <f>IFERROR(LARGE(tblPiNAnalysis[[#This Row],[CCCM]:[WASH]], 1), "")</f>
        <v>12708</v>
      </c>
      <c r="AJ31" s="322" t="str" cm="1">
        <f t="array" ref="AJ31">IF(tblPiNAnalysis[[#This Row],[Highest PiN]]="", "", _xlfn.TEXTJOIN(CHAR(10), TRUE, IF(tblPiNAnalysis[[#This Row],[Highest PiN]]=tblPiNAnalysis[[#This Row],[CCCM]:[WASH]], tblPiNAnalysis[[#Headers],[CCCM]:[WASH]], "")))</f>
        <v>WASH</v>
      </c>
      <c r="AK31" s="323">
        <f>IF(tblPiNAnalysis[[#This Row],[Highest PiN]]="", "", tblPiNAnalysis[[#This Row],[Highest PiN]]/tblPiNAnalysis[[#This Row],[Population]])</f>
        <v>0.5</v>
      </c>
      <c r="AL31" s="265" t="str">
        <f>IF(SUM(tblPiNAnalysis[[#This Row],[CCCM]:[WASH]])=0, "",IF(COUNTIF(tblPiNAnalysis[[#This Row],[CCCM]:[WASH]],"=0")+COUNTIF(tblPiNAnalysis[[#This Row],[CCCM]:[WASH]],"")&gt;=zero_pin_thresh, "Flagged", ""))</f>
        <v/>
      </c>
      <c r="AM31" s="264" t="str">
        <f>IFERROR(IF(tblPiNAnalysis[[#This Row],[Highest PiN]]="", "", IF(tblPiNAnalysis[[#This Row],[Highest sector(s'') PiN %]]&gt;=flag_pin_perc, "Flagged", "")), "")</f>
        <v/>
      </c>
      <c r="AN31" s="266" t="str" cm="1">
        <f t="array" ref="AN31">IF(tblPiNAnalysis[[#This Row],[Highest PiN]]=0, "",  IF(OR(COUNTIF(tblPiNAnalysis[[#This Row],[Highest sector(s)]],tblSubSectorPopulation[Sector])), "Flagged", ""))</f>
        <v/>
      </c>
      <c r="AO31" s="45" cm="1">
        <f t="array" ref="AO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12345</v>
      </c>
      <c r="AP31" s="326" t="str" cm="1">
        <f t="array" ref="AP31">IF(tblPiNAnalysis[[#This Row],[2nd Highest PiN]]="", "", _xlfn.TEXTJOIN(CHAR(10), TRUE, IF(tblPiNAnalysis[[#This Row],[2nd Highest PiN]]=tblPiNAnalysis[[#This Row],[CCCM]:[WASH]], tblPiNAnalysis[[#Headers],[CCCM]:[WASH]], "")))</f>
        <v>Food Security</v>
      </c>
      <c r="AQ31" s="35">
        <f>IFERROR(tblPiNAnalysis[[#This Row],[2nd Highest PiN]]/tblPiNAnalysis[[#This Row],[Population]], "")</f>
        <v>0.4857176581680831</v>
      </c>
      <c r="AR31" s="45">
        <f>IFERROR(tblPiNAnalysis[[#This Row],[Highest PiN]]-tblPiNAnalysis[[#This Row],[2nd Highest PiN]], "")</f>
        <v>363</v>
      </c>
      <c r="AS31" s="38">
        <f>IFERROR(((tblPiNAnalysis[[#This Row],[Highest PiN]]-tblPiNAnalysis[[#This Row],[2nd Highest PiN]])/tblPiNAnalysis[[#This Row],[2nd Highest PiN]]),"")</f>
        <v>2.9404617253948967E-2</v>
      </c>
      <c r="AT31" s="269" t="str" cm="1">
        <f t="array" ref="AT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1" s="327" cm="1">
        <f t="array" ref="AU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11559.685098971851</v>
      </c>
      <c r="AV31" s="186" t="str" cm="1">
        <f t="array" ref="AV31">IF(tblPiNAnalysis[[#This Row],[3rd Highest PiN]]="", "", _xlfn.TEXTJOIN(CHAR(10), TRUE, IF(tblPiNAnalysis[[#This Row],[3rd Highest PiN]]=tblPiNAnalysis[[#This Row],[CCCM]:[WASH]], tblPiNAnalysis[[#Headers],[CCCM]:[WASH]], "")))</f>
        <v>Health</v>
      </c>
      <c r="AW31" s="186">
        <f>IFERROR(tblPiNAnalysis[[#This Row],[3rd Highest PiN]]/tblPiNAnalysis[[#This Row],[Population]], "")</f>
        <v>0.45481921226675526</v>
      </c>
      <c r="AX31" s="44">
        <f>IFERROR(tblPiNAnalysis[[#This Row],[Highest PiN]]-tblPiNAnalysis[[#This Row],[3rd Highest PiN]],"")</f>
        <v>1148.3149010281486</v>
      </c>
      <c r="AY31" s="38">
        <f>IFERROR(tblPiNAnalysis[[#This Row],[Difference of PiN between Highest and 3rd Highest]]/tblPiNAnalysis[[#This Row],[3rd Highest PiN]], "")</f>
        <v>9.9337905072369379E-2</v>
      </c>
      <c r="AZ31" s="325" t="str" cm="1">
        <f t="array" ref="AZ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1" s="292" cm="1">
        <f t="array" ref="BA31">IFERROR(IF(tblPiNAnalysis[[#This Row],[ID]]="", "", INDEX(tblPiNHistorical[[CCCM]:[WASH]], MATCH(tblPiNAnalysis[[#This Row],[ID]],tblPiNHistorical[ID], 0),MATCH(_xlfn._xlws.FILTER(tblPiNAnalysis[[#Headers],[CCCM]:[WASH]], tblPiNAnalysis[[#This Row],[Highest PiN]]=tblPiNAnalysis[[#This Row],[CCCM]:[WASH]]), tblPiNHistorical[[#Headers],[CCCM]:[WASH]], 0))), "")</f>
        <v>-0.6</v>
      </c>
      <c r="BB31" s="328" t="str" cm="1">
        <f t="array" ref="BB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1" s="272" cm="1">
        <f t="array" ref="BC31">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31" s="329" t="str" cm="1">
        <f t="array" ref="BD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1" s="371">
        <f>INDEX(tblSeverityAnalysis[Final Severity], MATCH(tblPiNAnalysis[[#This Row],[ID]],tblSeverityAnalysis[ID], 0))</f>
        <v>3</v>
      </c>
      <c r="BF31" s="60">
        <f>IF(tblPiNAnalysis[[#This Row],[Severity]]&gt;2,tblPiNAnalysis[[#This Row],[Highest PiN]],)</f>
        <v>12708</v>
      </c>
      <c r="BG31" s="187"/>
      <c r="BH31" s="188"/>
      <c r="BI31" s="189">
        <f>COUNTIFS(tblPiNAnalysis[[#This Row],[Number of missing / zero PiNs greater than threshold - Data quality]:[Manual Flag]],"Flagged")</f>
        <v>0</v>
      </c>
      <c r="BJ31" s="346" t="str">
        <f>IF(tblPiNAnalysis[[#This Row],['# Flags]]&gt;0, "Flagged", "")</f>
        <v/>
      </c>
      <c r="BK31" s="339">
        <f>tblPiNAnalysis[[#This Row],[Preliminary PiN]]</f>
        <v>12708</v>
      </c>
      <c r="BL31" s="326"/>
      <c r="BM31" s="383">
        <f>IF(OR(tblPiNAnalysis[[#This Row],[Severity]]=4,tblPiNAnalysis[[#This Row],[Severity]]=5),tblPiNAnalysis[[#This Row],[Final PiN]],0)</f>
        <v>0</v>
      </c>
      <c r="BN31" s="378">
        <f>IF(OR(tblPiNAnalysis[[#This Row],[Severity]]=4,tblPiNAnalysis[[#This Row],[Severity]]=5),100%, IF(tblPiNAnalysis[[#This Row],[Severity]]=3,50%,0%))*tblPiNAnalysis[[#This Row],[Final PiN]]</f>
        <v>6354</v>
      </c>
      <c r="BO31" s="383">
        <f>IF(OR(tblPiNAnalysis[[#This Row],[Severity]]=4,tblPiNAnalysis[[#This Row],[Severity]]=5),100%, IF(AND(tblPiNAnalysis[[#This Row],[Severity]]=3,VLOOKUP(tblPiNAnalysis[[#This Row],[ID]],tblSeverityAnalysis[[ID]:[Highest Severity]],35,FALSE)&gt;3),50%,0%))*tblPiNAnalysis[[#This Row],[Final PiN]]</f>
        <v>6354</v>
      </c>
    </row>
    <row r="32" spans="1:67" hidden="1">
      <c r="A3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Global_PopulationHT0233</v>
      </c>
      <c r="B32" s="304" t="s">
        <v>197</v>
      </c>
      <c r="C32" s="213" t="s">
        <v>198</v>
      </c>
      <c r="D32" s="213" t="s">
        <v>215</v>
      </c>
      <c r="E32" s="103" t="s">
        <v>216</v>
      </c>
      <c r="F32" s="99"/>
      <c r="G32" s="34"/>
      <c r="H32" s="357"/>
      <c r="I32" s="354">
        <v>46178</v>
      </c>
      <c r="J32" s="221" t="s">
        <v>156</v>
      </c>
      <c r="K32" s="316">
        <v>14400</v>
      </c>
      <c r="L32" s="308">
        <v>1877</v>
      </c>
      <c r="M32" s="308">
        <v>4253</v>
      </c>
      <c r="N32" s="308">
        <v>24634</v>
      </c>
      <c r="O32" s="308">
        <v>19729.301466666664</v>
      </c>
      <c r="P32" s="308">
        <v>21806.46</v>
      </c>
      <c r="Q32" s="309">
        <v>30428</v>
      </c>
      <c r="R32" s="308">
        <v>12462.8</v>
      </c>
      <c r="S32" s="308"/>
      <c r="T32" s="308"/>
      <c r="U32" s="308"/>
      <c r="V32" s="308"/>
      <c r="W32" s="317">
        <f>IFERROR(IF(tblPiNAnalysis[[#This Row],[CCCM]]="", "", MROUND(tblPiNAnalysis[[#This Row],[CCCM]]/tblPiNAnalysis[[#This Row],[Population]], 0.05)), "")</f>
        <v>0.30000000000000004</v>
      </c>
      <c r="X32" s="318">
        <f>IFERROR(IF(tblPiNAnalysis[[#This Row],[Education]]="", "", MROUND(tblPiNAnalysis[[#This Row],[Education]]/tblPiNAnalysis[[#This Row],[Population]], 0.05)), "")</f>
        <v>0.05</v>
      </c>
      <c r="Y32" s="318">
        <f>IFERROR(IF(tblPiNAnalysis[[#This Row],[Nutrition]]="", "", MROUND(tblPiNAnalysis[[#This Row],[Nutrition]]/tblPiNAnalysis[[#This Row],[Population]], 0.05)), "")</f>
        <v>0.1</v>
      </c>
      <c r="Z32" s="318">
        <f>IFERROR(IF(tblPiNAnalysis[[#This Row],[Food Security]]="", "", MROUND(tblPiNAnalysis[[#This Row],[Food Security]]/tblPiNAnalysis[[#This Row],[Population]], 0.05)), "")</f>
        <v>0.55000000000000004</v>
      </c>
      <c r="AA32" s="318">
        <f>IFERROR(IF(tblPiNAnalysis[[#This Row],[Health]]="", "", MROUND(tblPiNAnalysis[[#This Row],[Health]]/tblPiNAnalysis[[#This Row],[Population]], 0.05)), "")</f>
        <v>0.45</v>
      </c>
      <c r="AB32" s="319">
        <f>IFERROR(IF(tblPiNAnalysis[[#This Row],[Protection]]="", "", MROUND(tblPiNAnalysis[[#This Row],[Protection]]/tblPiNAnalysis[[#This Row],[Population]], 0.05)), "")</f>
        <v>0.45</v>
      </c>
      <c r="AC32" s="319">
        <f>IFERROR(IF(tblPiNAnalysis[[#This Row],[Shelter]]="", "", MROUND(tblPiNAnalysis[[#This Row],[Shelter]]/tblPiNAnalysis[[#This Row],[Population]], 0.05)), "")</f>
        <v>0.65</v>
      </c>
      <c r="AD32" s="320">
        <f>IFERROR(IF(tblPiNAnalysis[[#This Row],[WASH]]="", "", MROUND(tblPiNAnalysis[[#This Row],[WASH]]/tblPiNAnalysis[[#This Row],[Population]], 0.05)), "")</f>
        <v>0.25</v>
      </c>
      <c r="AE32" s="318">
        <f>IFERROR(MROUND(tblPiNAnalysis[[#This Row],[CP]]/tblPiNAnalysis[[#This Row],[Population]], 0.05), "")</f>
        <v>0</v>
      </c>
      <c r="AF32" s="318">
        <f>IFERROR(MROUND(tblPiNAnalysis[[#This Row],[GBV]]/tblPiNAnalysis[[#This Row],[Population]], 0.05), "")</f>
        <v>0</v>
      </c>
      <c r="AG32" s="318">
        <f>IFERROR(MROUND(tblPiNAnalysis[[#This Row],[Migrants]]/tblPiNAnalysis[[#This Row],[Population]], 0.05), "")</f>
        <v>0</v>
      </c>
      <c r="AH32" s="318">
        <f>IFERROR(MROUND(tblPiNAnalysis[[#This Row],[_]]/tblPiNAnalysis[[#This Row],[Population]], 0.05), "")</f>
        <v>0</v>
      </c>
      <c r="AI32" s="321">
        <f>IFERROR(LARGE(tblPiNAnalysis[[#This Row],[CCCM]:[WASH]], 1), "")</f>
        <v>30428</v>
      </c>
      <c r="AJ32" s="322" t="str" cm="1">
        <f t="array" ref="AJ32">IF(tblPiNAnalysis[[#This Row],[Highest PiN]]="", "", _xlfn.TEXTJOIN(CHAR(10), TRUE, IF(tblPiNAnalysis[[#This Row],[Highest PiN]]=tblPiNAnalysis[[#This Row],[CCCM]:[WASH]], tblPiNAnalysis[[#Headers],[CCCM]:[WASH]], "")))</f>
        <v>Shelter</v>
      </c>
      <c r="AK32" s="323">
        <f>IF(tblPiNAnalysis[[#This Row],[Highest PiN]]="", "", tblPiNAnalysis[[#This Row],[Highest PiN]]/tblPiNAnalysis[[#This Row],[Population]])</f>
        <v>0.65892849408809395</v>
      </c>
      <c r="AL32" s="265" t="str">
        <f>IF(SUM(tblPiNAnalysis[[#This Row],[CCCM]:[WASH]])=0, "",IF(COUNTIF(tblPiNAnalysis[[#This Row],[CCCM]:[WASH]],"=0")+COUNTIF(tblPiNAnalysis[[#This Row],[CCCM]:[WASH]],"")&gt;=zero_pin_thresh, "Flagged", ""))</f>
        <v/>
      </c>
      <c r="AM32" s="264" t="str">
        <f>IFERROR(IF(tblPiNAnalysis[[#This Row],[Highest PiN]]="", "", IF(tblPiNAnalysis[[#This Row],[Highest sector(s'') PiN %]]&gt;=flag_pin_perc, "Flagged", "")), "")</f>
        <v/>
      </c>
      <c r="AN32" s="266" t="str" cm="1">
        <f t="array" ref="AN32">IF(tblPiNAnalysis[[#This Row],[Highest PiN]]=0, "",  IF(OR(COUNTIF(tblPiNAnalysis[[#This Row],[Highest sector(s)]],tblSubSectorPopulation[Sector])), "Flagged", ""))</f>
        <v/>
      </c>
      <c r="AO32" s="45" cm="1">
        <f t="array" ref="AO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24634</v>
      </c>
      <c r="AP32" s="326" t="str" cm="1">
        <f t="array" ref="AP32">IF(tblPiNAnalysis[[#This Row],[2nd Highest PiN]]="", "", _xlfn.TEXTJOIN(CHAR(10), TRUE, IF(tblPiNAnalysis[[#This Row],[2nd Highest PiN]]=tblPiNAnalysis[[#This Row],[CCCM]:[WASH]], tblPiNAnalysis[[#Headers],[CCCM]:[WASH]], "")))</f>
        <v>Food Security</v>
      </c>
      <c r="AQ32" s="35">
        <f>IFERROR(tblPiNAnalysis[[#This Row],[2nd Highest PiN]]/tblPiNAnalysis[[#This Row],[Population]], "")</f>
        <v>0.53345749057992986</v>
      </c>
      <c r="AR32" s="45">
        <f>IFERROR(tblPiNAnalysis[[#This Row],[Highest PiN]]-tblPiNAnalysis[[#This Row],[2nd Highest PiN]], "")</f>
        <v>5794</v>
      </c>
      <c r="AS32" s="38">
        <f>IFERROR(((tblPiNAnalysis[[#This Row],[Highest PiN]]-tblPiNAnalysis[[#This Row],[2nd Highest PiN]])/tblPiNAnalysis[[#This Row],[2nd Highest PiN]]),"")</f>
        <v>0.23520337744580661</v>
      </c>
      <c r="AT32" s="269" t="str" cm="1">
        <f t="array" ref="AT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2" s="327" cm="1">
        <f t="array" ref="AU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21806.46</v>
      </c>
      <c r="AV32" s="186" t="str" cm="1">
        <f t="array" ref="AV32">IF(tblPiNAnalysis[[#This Row],[3rd Highest PiN]]="", "", _xlfn.TEXTJOIN(CHAR(10), TRUE, IF(tblPiNAnalysis[[#This Row],[3rd Highest PiN]]=tblPiNAnalysis[[#This Row],[CCCM]:[WASH]], tblPiNAnalysis[[#Headers],[CCCM]:[WASH]], "")))</f>
        <v>Protection</v>
      </c>
      <c r="AW32" s="186">
        <f>IFERROR(tblPiNAnalysis[[#This Row],[3rd Highest PiN]]/tblPiNAnalysis[[#This Row],[Population]], "")</f>
        <v>0.47222616830525355</v>
      </c>
      <c r="AX32" s="44">
        <f>IFERROR(tblPiNAnalysis[[#This Row],[Highest PiN]]-tblPiNAnalysis[[#This Row],[3rd Highest PiN]],"")</f>
        <v>8621.5400000000009</v>
      </c>
      <c r="AY32" s="38">
        <f>IFERROR(tblPiNAnalysis[[#This Row],[Difference of PiN between Highest and 3rd Highest]]/tblPiNAnalysis[[#This Row],[3rd Highest PiN]], "")</f>
        <v>0.39536632722596887</v>
      </c>
      <c r="AZ32" s="325" t="str" cm="1">
        <f t="array" ref="AZ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2" s="292" cm="1">
        <f t="array" ref="BA32">IFERROR(IF(tblPiNAnalysis[[#This Row],[ID]]="", "", INDEX(tblPiNHistorical[[CCCM]:[WASH]], MATCH(tblPiNAnalysis[[#This Row],[ID]],tblPiNHistorical[ID], 0),MATCH(_xlfn._xlws.FILTER(tblPiNAnalysis[[#Headers],[CCCM]:[WASH]], tblPiNAnalysis[[#This Row],[Highest PiN]]=tblPiNAnalysis[[#This Row],[CCCM]:[WASH]]), tblPiNHistorical[[#Headers],[CCCM]:[WASH]], 0))), "")</f>
        <v>1.2</v>
      </c>
      <c r="BB32" s="328" t="str" cm="1">
        <f t="array" ref="BB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32" s="272" cm="1">
        <f t="array" ref="BC32">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32" s="329" t="str" cm="1">
        <f t="array" ref="BD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2" s="371">
        <f>INDEX(tblSeverityAnalysis[Final Severity], MATCH(tblPiNAnalysis[[#This Row],[ID]],tblSeverityAnalysis[ID], 0))</f>
        <v>3</v>
      </c>
      <c r="BF32" s="60">
        <f>IF(tblPiNAnalysis[[#This Row],[Severity]]&gt;2,tblPiNAnalysis[[#This Row],[Highest PiN]],)</f>
        <v>30428</v>
      </c>
      <c r="BG32" s="187"/>
      <c r="BH32" s="188"/>
      <c r="BI32" s="189">
        <f>COUNTIFS(tblPiNAnalysis[[#This Row],[Number of missing / zero PiNs greater than threshold - Data quality]:[Manual Flag]],"Flagged")</f>
        <v>1</v>
      </c>
      <c r="BJ32" s="346" t="str">
        <f>IF(tblPiNAnalysis[[#This Row],['# Flags]]&gt;0, "Flagged", "")</f>
        <v>Flagged</v>
      </c>
      <c r="BK32" s="339">
        <f>tblPiNAnalysis[[#This Row],[Preliminary PiN]]</f>
        <v>30428</v>
      </c>
      <c r="BL32" s="326"/>
      <c r="BM32" s="383">
        <f>IF(OR(tblPiNAnalysis[[#This Row],[Severity]]=4,tblPiNAnalysis[[#This Row],[Severity]]=5),tblPiNAnalysis[[#This Row],[Final PiN]],0)</f>
        <v>0</v>
      </c>
      <c r="BN32" s="378">
        <f>IF(OR(tblPiNAnalysis[[#This Row],[Severity]]=4,tblPiNAnalysis[[#This Row],[Severity]]=5),100%, IF(tblPiNAnalysis[[#This Row],[Severity]]=3,50%,0%))*tblPiNAnalysis[[#This Row],[Final PiN]]</f>
        <v>15214</v>
      </c>
      <c r="BO32" s="383">
        <f>IF(OR(tblPiNAnalysis[[#This Row],[Severity]]=4,tblPiNAnalysis[[#This Row],[Severity]]=5),100%, IF(AND(tblPiNAnalysis[[#This Row],[Severity]]=3,VLOOKUP(tblPiNAnalysis[[#This Row],[ID]],tblSeverityAnalysis[[ID]:[Highest Severity]],35,FALSE)&gt;3),50%,0%))*tblPiNAnalysis[[#This Row],[Final PiN]]</f>
        <v>0</v>
      </c>
    </row>
    <row r="33" spans="1:67" hidden="1">
      <c r="A3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Global_PopulationHT0234</v>
      </c>
      <c r="B33" s="304" t="s">
        <v>197</v>
      </c>
      <c r="C33" s="213" t="s">
        <v>198</v>
      </c>
      <c r="D33" s="213" t="s">
        <v>217</v>
      </c>
      <c r="E33" s="103" t="s">
        <v>218</v>
      </c>
      <c r="F33" s="99"/>
      <c r="G33" s="34"/>
      <c r="H33" s="357"/>
      <c r="I33" s="354">
        <v>43459</v>
      </c>
      <c r="J33" s="221" t="s">
        <v>156</v>
      </c>
      <c r="K33" s="316">
        <v>12225</v>
      </c>
      <c r="L33" s="308">
        <v>1414</v>
      </c>
      <c r="M33" s="308">
        <v>4005</v>
      </c>
      <c r="N33" s="308">
        <v>20691</v>
      </c>
      <c r="O33" s="308">
        <v>17436.151412269937</v>
      </c>
      <c r="P33" s="308">
        <v>17557.88</v>
      </c>
      <c r="Q33" s="309">
        <v>28287</v>
      </c>
      <c r="R33" s="308">
        <v>10864.75</v>
      </c>
      <c r="S33" s="308"/>
      <c r="T33" s="308"/>
      <c r="U33" s="308"/>
      <c r="V33" s="308"/>
      <c r="W33" s="317">
        <f>IFERROR(IF(tblPiNAnalysis[[#This Row],[CCCM]]="", "", MROUND(tblPiNAnalysis[[#This Row],[CCCM]]/tblPiNAnalysis[[#This Row],[Population]], 0.05)), "")</f>
        <v>0.30000000000000004</v>
      </c>
      <c r="X33" s="318">
        <f>IFERROR(IF(tblPiNAnalysis[[#This Row],[Education]]="", "", MROUND(tblPiNAnalysis[[#This Row],[Education]]/tblPiNAnalysis[[#This Row],[Population]], 0.05)), "")</f>
        <v>0.05</v>
      </c>
      <c r="Y33" s="318">
        <f>IFERROR(IF(tblPiNAnalysis[[#This Row],[Nutrition]]="", "", MROUND(tblPiNAnalysis[[#This Row],[Nutrition]]/tblPiNAnalysis[[#This Row],[Population]], 0.05)), "")</f>
        <v>0.1</v>
      </c>
      <c r="Z33" s="318">
        <f>IFERROR(IF(tblPiNAnalysis[[#This Row],[Food Security]]="", "", MROUND(tblPiNAnalysis[[#This Row],[Food Security]]/tblPiNAnalysis[[#This Row],[Population]], 0.05)), "")</f>
        <v>0.5</v>
      </c>
      <c r="AA33" s="318">
        <f>IFERROR(IF(tblPiNAnalysis[[#This Row],[Health]]="", "", MROUND(tblPiNAnalysis[[#This Row],[Health]]/tblPiNAnalysis[[#This Row],[Population]], 0.05)), "")</f>
        <v>0.4</v>
      </c>
      <c r="AB33" s="319">
        <f>IFERROR(IF(tblPiNAnalysis[[#This Row],[Protection]]="", "", MROUND(tblPiNAnalysis[[#This Row],[Protection]]/tblPiNAnalysis[[#This Row],[Population]], 0.05)), "")</f>
        <v>0.4</v>
      </c>
      <c r="AC33" s="319">
        <f>IFERROR(IF(tblPiNAnalysis[[#This Row],[Shelter]]="", "", MROUND(tblPiNAnalysis[[#This Row],[Shelter]]/tblPiNAnalysis[[#This Row],[Population]], 0.05)), "")</f>
        <v>0.65</v>
      </c>
      <c r="AD33" s="320">
        <f>IFERROR(IF(tblPiNAnalysis[[#This Row],[WASH]]="", "", MROUND(tblPiNAnalysis[[#This Row],[WASH]]/tblPiNAnalysis[[#This Row],[Population]], 0.05)), "")</f>
        <v>0.25</v>
      </c>
      <c r="AE33" s="318">
        <f>IFERROR(MROUND(tblPiNAnalysis[[#This Row],[CP]]/tblPiNAnalysis[[#This Row],[Population]], 0.05), "")</f>
        <v>0</v>
      </c>
      <c r="AF33" s="318">
        <f>IFERROR(MROUND(tblPiNAnalysis[[#This Row],[GBV]]/tblPiNAnalysis[[#This Row],[Population]], 0.05), "")</f>
        <v>0</v>
      </c>
      <c r="AG33" s="318">
        <f>IFERROR(MROUND(tblPiNAnalysis[[#This Row],[Migrants]]/tblPiNAnalysis[[#This Row],[Population]], 0.05), "")</f>
        <v>0</v>
      </c>
      <c r="AH33" s="318">
        <f>IFERROR(MROUND(tblPiNAnalysis[[#This Row],[_]]/tblPiNAnalysis[[#This Row],[Population]], 0.05), "")</f>
        <v>0</v>
      </c>
      <c r="AI33" s="321">
        <f>IFERROR(LARGE(tblPiNAnalysis[[#This Row],[CCCM]:[WASH]], 1), "")</f>
        <v>28287</v>
      </c>
      <c r="AJ33" s="322" t="str" cm="1">
        <f t="array" ref="AJ33">IF(tblPiNAnalysis[[#This Row],[Highest PiN]]="", "", _xlfn.TEXTJOIN(CHAR(10), TRUE, IF(tblPiNAnalysis[[#This Row],[Highest PiN]]=tblPiNAnalysis[[#This Row],[CCCM]:[WASH]], tblPiNAnalysis[[#Headers],[CCCM]:[WASH]], "")))</f>
        <v>Shelter</v>
      </c>
      <c r="AK33" s="323">
        <f>IF(tblPiNAnalysis[[#This Row],[Highest PiN]]="", "", tblPiNAnalysis[[#This Row],[Highest PiN]]/tblPiNAnalysis[[#This Row],[Population]])</f>
        <v>0.65088934397938292</v>
      </c>
      <c r="AL33" s="265" t="str">
        <f>IF(SUM(tblPiNAnalysis[[#This Row],[CCCM]:[WASH]])=0, "",IF(COUNTIF(tblPiNAnalysis[[#This Row],[CCCM]:[WASH]],"=0")+COUNTIF(tblPiNAnalysis[[#This Row],[CCCM]:[WASH]],"")&gt;=zero_pin_thresh, "Flagged", ""))</f>
        <v/>
      </c>
      <c r="AM33" s="264" t="str">
        <f>IFERROR(IF(tblPiNAnalysis[[#This Row],[Highest PiN]]="", "", IF(tblPiNAnalysis[[#This Row],[Highest sector(s'') PiN %]]&gt;=flag_pin_perc, "Flagged", "")), "")</f>
        <v/>
      </c>
      <c r="AN33" s="266" t="str" cm="1">
        <f t="array" ref="AN33">IF(tblPiNAnalysis[[#This Row],[Highest PiN]]=0, "",  IF(OR(COUNTIF(tblPiNAnalysis[[#This Row],[Highest sector(s)]],tblSubSectorPopulation[Sector])), "Flagged", ""))</f>
        <v/>
      </c>
      <c r="AO33" s="45" cm="1">
        <f t="array" ref="AO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20691</v>
      </c>
      <c r="AP33" s="326" t="str" cm="1">
        <f t="array" ref="AP33">IF(tblPiNAnalysis[[#This Row],[2nd Highest PiN]]="", "", _xlfn.TEXTJOIN(CHAR(10), TRUE, IF(tblPiNAnalysis[[#This Row],[2nd Highest PiN]]=tblPiNAnalysis[[#This Row],[CCCM]:[WASH]], tblPiNAnalysis[[#Headers],[CCCM]:[WASH]], "")))</f>
        <v>Food Security</v>
      </c>
      <c r="AQ33" s="35">
        <f>IFERROR(tblPiNAnalysis[[#This Row],[2nd Highest PiN]]/tblPiNAnalysis[[#This Row],[Population]], "")</f>
        <v>0.47610391403391705</v>
      </c>
      <c r="AR33" s="45">
        <f>IFERROR(tblPiNAnalysis[[#This Row],[Highest PiN]]-tblPiNAnalysis[[#This Row],[2nd Highest PiN]], "")</f>
        <v>7596</v>
      </c>
      <c r="AS33" s="38">
        <f>IFERROR(((tblPiNAnalysis[[#This Row],[Highest PiN]]-tblPiNAnalysis[[#This Row],[2nd Highest PiN]])/tblPiNAnalysis[[#This Row],[2nd Highest PiN]]),"")</f>
        <v>0.36711613745106569</v>
      </c>
      <c r="AT33" s="269" t="str" cm="1">
        <f t="array" ref="AT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3" s="327" cm="1">
        <f t="array" ref="AU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17557.88</v>
      </c>
      <c r="AV33" s="186" t="str" cm="1">
        <f t="array" ref="AV33">IF(tblPiNAnalysis[[#This Row],[3rd Highest PiN]]="", "", _xlfn.TEXTJOIN(CHAR(10), TRUE, IF(tblPiNAnalysis[[#This Row],[3rd Highest PiN]]=tblPiNAnalysis[[#This Row],[CCCM]:[WASH]], tblPiNAnalysis[[#Headers],[CCCM]:[WASH]], "")))</f>
        <v>Protection</v>
      </c>
      <c r="AW33" s="186">
        <f>IFERROR(tblPiNAnalysis[[#This Row],[3rd Highest PiN]]/tblPiNAnalysis[[#This Row],[Population]], "")</f>
        <v>0.40401021652592101</v>
      </c>
      <c r="AX33" s="44">
        <f>IFERROR(tblPiNAnalysis[[#This Row],[Highest PiN]]-tblPiNAnalysis[[#This Row],[3rd Highest PiN]],"")</f>
        <v>10729.119999999999</v>
      </c>
      <c r="AY33" s="38">
        <f>IFERROR(tblPiNAnalysis[[#This Row],[Difference of PiN between Highest and 3rd Highest]]/tblPiNAnalysis[[#This Row],[3rd Highest PiN]], "")</f>
        <v>0.61107149610317413</v>
      </c>
      <c r="AZ33" s="325" t="str" cm="1">
        <f t="array" ref="AZ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3" s="292" cm="1">
        <f t="array" ref="BA33">IFERROR(IF(tblPiNAnalysis[[#This Row],[ID]]="", "", INDEX(tblPiNHistorical[[CCCM]:[WASH]], MATCH(tblPiNAnalysis[[#This Row],[ID]],tblPiNHistorical[ID], 0),MATCH(_xlfn._xlws.FILTER(tblPiNAnalysis[[#Headers],[CCCM]:[WASH]], tblPiNAnalysis[[#This Row],[Highest PiN]]=tblPiNAnalysis[[#This Row],[CCCM]:[WASH]]), tblPiNHistorical[[#Headers],[CCCM]:[WASH]], 0))), "")</f>
        <v>-0.1</v>
      </c>
      <c r="BB33" s="328" t="str" cm="1">
        <f t="array" ref="BB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3" s="272" cm="1">
        <f t="array" ref="BC33">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33" s="329" t="str" cm="1">
        <f t="array" ref="BD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3" s="371">
        <f>INDEX(tblSeverityAnalysis[Final Severity], MATCH(tblPiNAnalysis[[#This Row],[ID]],tblSeverityAnalysis[ID], 0))</f>
        <v>3</v>
      </c>
      <c r="BF33" s="60">
        <f>IF(tblPiNAnalysis[[#This Row],[Severity]]&gt;2,tblPiNAnalysis[[#This Row],[Highest PiN]],)</f>
        <v>28287</v>
      </c>
      <c r="BG33" s="187"/>
      <c r="BH33" s="188"/>
      <c r="BI33" s="189">
        <f>COUNTIFS(tblPiNAnalysis[[#This Row],[Number of missing / zero PiNs greater than threshold - Data quality]:[Manual Flag]],"Flagged")</f>
        <v>0</v>
      </c>
      <c r="BJ33" s="346" t="str">
        <f>IF(tblPiNAnalysis[[#This Row],['# Flags]]&gt;0, "Flagged", "")</f>
        <v/>
      </c>
      <c r="BK33" s="339">
        <f>tblPiNAnalysis[[#This Row],[Preliminary PiN]]</f>
        <v>28287</v>
      </c>
      <c r="BL33" s="326"/>
      <c r="BM33" s="383">
        <f>IF(OR(tblPiNAnalysis[[#This Row],[Severity]]=4,tblPiNAnalysis[[#This Row],[Severity]]=5),tblPiNAnalysis[[#This Row],[Final PiN]],0)</f>
        <v>0</v>
      </c>
      <c r="BN33" s="378">
        <f>IF(OR(tblPiNAnalysis[[#This Row],[Severity]]=4,tblPiNAnalysis[[#This Row],[Severity]]=5),100%, IF(tblPiNAnalysis[[#This Row],[Severity]]=3,50%,0%))*tblPiNAnalysis[[#This Row],[Final PiN]]</f>
        <v>14143.5</v>
      </c>
      <c r="BO33" s="383">
        <f>IF(OR(tblPiNAnalysis[[#This Row],[Severity]]=4,tblPiNAnalysis[[#This Row],[Severity]]=5),100%, IF(AND(tblPiNAnalysis[[#This Row],[Severity]]=3,VLOOKUP(tblPiNAnalysis[[#This Row],[ID]],tblSeverityAnalysis[[ID]:[Highest Severity]],35,FALSE)&gt;3),50%,0%))*tblPiNAnalysis[[#This Row],[Final PiN]]</f>
        <v>0</v>
      </c>
    </row>
    <row r="34" spans="1:67" hidden="1">
      <c r="A3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Global_PopulationHT0311</v>
      </c>
      <c r="B34" s="304" t="s">
        <v>219</v>
      </c>
      <c r="C34" s="213" t="s">
        <v>220</v>
      </c>
      <c r="D34" s="213" t="s">
        <v>221</v>
      </c>
      <c r="E34" s="103" t="s">
        <v>222</v>
      </c>
      <c r="F34" s="99"/>
      <c r="G34" s="34"/>
      <c r="H34" s="357"/>
      <c r="I34" s="354">
        <v>303590</v>
      </c>
      <c r="J34" s="221" t="s">
        <v>156</v>
      </c>
      <c r="K34" s="316">
        <v>80274</v>
      </c>
      <c r="L34" s="308">
        <v>18555</v>
      </c>
      <c r="M34" s="308">
        <v>31869</v>
      </c>
      <c r="N34" s="308">
        <v>115680</v>
      </c>
      <c r="O34" s="308">
        <v>56716.903215877071</v>
      </c>
      <c r="P34" s="308">
        <v>48863.545263157896</v>
      </c>
      <c r="Q34" s="309">
        <v>129787</v>
      </c>
      <c r="R34" s="308">
        <v>53516</v>
      </c>
      <c r="S34" s="308"/>
      <c r="T34" s="308"/>
      <c r="U34" s="308"/>
      <c r="V34" s="308"/>
      <c r="W34" s="317">
        <f>IFERROR(IF(tblPiNAnalysis[[#This Row],[CCCM]]="", "", MROUND(tblPiNAnalysis[[#This Row],[CCCM]]/tblPiNAnalysis[[#This Row],[Population]], 0.05)), "")</f>
        <v>0.25</v>
      </c>
      <c r="X34" s="318">
        <f>IFERROR(IF(tblPiNAnalysis[[#This Row],[Education]]="", "", MROUND(tblPiNAnalysis[[#This Row],[Education]]/tblPiNAnalysis[[#This Row],[Population]], 0.05)), "")</f>
        <v>0.05</v>
      </c>
      <c r="Y34" s="318">
        <f>IFERROR(IF(tblPiNAnalysis[[#This Row],[Nutrition]]="", "", MROUND(tblPiNAnalysis[[#This Row],[Nutrition]]/tblPiNAnalysis[[#This Row],[Population]], 0.05)), "")</f>
        <v>0.1</v>
      </c>
      <c r="Z34" s="318">
        <f>IFERROR(IF(tblPiNAnalysis[[#This Row],[Food Security]]="", "", MROUND(tblPiNAnalysis[[#This Row],[Food Security]]/tblPiNAnalysis[[#This Row],[Population]], 0.05)), "")</f>
        <v>0.4</v>
      </c>
      <c r="AA34" s="318">
        <f>IFERROR(IF(tblPiNAnalysis[[#This Row],[Health]]="", "", MROUND(tblPiNAnalysis[[#This Row],[Health]]/tblPiNAnalysis[[#This Row],[Population]], 0.05)), "")</f>
        <v>0.2</v>
      </c>
      <c r="AB34" s="319">
        <f>IFERROR(IF(tblPiNAnalysis[[#This Row],[Protection]]="", "", MROUND(tblPiNAnalysis[[#This Row],[Protection]]/tblPiNAnalysis[[#This Row],[Population]], 0.05)), "")</f>
        <v>0.15000000000000002</v>
      </c>
      <c r="AC34" s="319">
        <f>IFERROR(IF(tblPiNAnalysis[[#This Row],[Shelter]]="", "", MROUND(tblPiNAnalysis[[#This Row],[Shelter]]/tblPiNAnalysis[[#This Row],[Population]], 0.05)), "")</f>
        <v>0.45</v>
      </c>
      <c r="AD34" s="320">
        <f>IFERROR(IF(tblPiNAnalysis[[#This Row],[WASH]]="", "", MROUND(tblPiNAnalysis[[#This Row],[WASH]]/tblPiNAnalysis[[#This Row],[Population]], 0.05)), "")</f>
        <v>0.2</v>
      </c>
      <c r="AE34" s="318">
        <f>IFERROR(MROUND(tblPiNAnalysis[[#This Row],[CP]]/tblPiNAnalysis[[#This Row],[Population]], 0.05), "")</f>
        <v>0</v>
      </c>
      <c r="AF34" s="318">
        <f>IFERROR(MROUND(tblPiNAnalysis[[#This Row],[GBV]]/tblPiNAnalysis[[#This Row],[Population]], 0.05), "")</f>
        <v>0</v>
      </c>
      <c r="AG34" s="318">
        <f>IFERROR(MROUND(tblPiNAnalysis[[#This Row],[Migrants]]/tblPiNAnalysis[[#This Row],[Population]], 0.05), "")</f>
        <v>0</v>
      </c>
      <c r="AH34" s="318">
        <f>IFERROR(MROUND(tblPiNAnalysis[[#This Row],[_]]/tblPiNAnalysis[[#This Row],[Population]], 0.05), "")</f>
        <v>0</v>
      </c>
      <c r="AI34" s="321">
        <f>IFERROR(LARGE(tblPiNAnalysis[[#This Row],[CCCM]:[WASH]], 1), "")</f>
        <v>129787</v>
      </c>
      <c r="AJ34" s="322" t="str" cm="1">
        <f t="array" ref="AJ34">IF(tblPiNAnalysis[[#This Row],[Highest PiN]]="", "", _xlfn.TEXTJOIN(CHAR(10), TRUE, IF(tblPiNAnalysis[[#This Row],[Highest PiN]]=tblPiNAnalysis[[#This Row],[CCCM]:[WASH]], tblPiNAnalysis[[#Headers],[CCCM]:[WASH]], "")))</f>
        <v>Shelter</v>
      </c>
      <c r="AK34" s="323">
        <f>IF(tblPiNAnalysis[[#This Row],[Highest PiN]]="", "", tblPiNAnalysis[[#This Row],[Highest PiN]]/tblPiNAnalysis[[#This Row],[Population]])</f>
        <v>0.42750749365921142</v>
      </c>
      <c r="AL34" s="265" t="str">
        <f>IF(SUM(tblPiNAnalysis[[#This Row],[CCCM]:[WASH]])=0, "",IF(COUNTIF(tblPiNAnalysis[[#This Row],[CCCM]:[WASH]],"=0")+COUNTIF(tblPiNAnalysis[[#This Row],[CCCM]:[WASH]],"")&gt;=zero_pin_thresh, "Flagged", ""))</f>
        <v/>
      </c>
      <c r="AM34" s="264" t="str">
        <f>IFERROR(IF(tblPiNAnalysis[[#This Row],[Highest PiN]]="", "", IF(tblPiNAnalysis[[#This Row],[Highest sector(s'') PiN %]]&gt;=flag_pin_perc, "Flagged", "")), "")</f>
        <v/>
      </c>
      <c r="AN34" s="266" t="str" cm="1">
        <f t="array" ref="AN34">IF(tblPiNAnalysis[[#This Row],[Highest PiN]]=0, "",  IF(OR(COUNTIF(tblPiNAnalysis[[#This Row],[Highest sector(s)]],tblSubSectorPopulation[Sector])), "Flagged", ""))</f>
        <v/>
      </c>
      <c r="AO34" s="45" cm="1">
        <f t="array" ref="AO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115680</v>
      </c>
      <c r="AP34" s="326" t="str" cm="1">
        <f t="array" ref="AP34">IF(tblPiNAnalysis[[#This Row],[2nd Highest PiN]]="", "", _xlfn.TEXTJOIN(CHAR(10), TRUE, IF(tblPiNAnalysis[[#This Row],[2nd Highest PiN]]=tblPiNAnalysis[[#This Row],[CCCM]:[WASH]], tblPiNAnalysis[[#Headers],[CCCM]:[WASH]], "")))</f>
        <v>Food Security</v>
      </c>
      <c r="AQ34" s="35">
        <f>IFERROR(tblPiNAnalysis[[#This Row],[2nd Highest PiN]]/tblPiNAnalysis[[#This Row],[Population]], "")</f>
        <v>0.3810402187160315</v>
      </c>
      <c r="AR34" s="45">
        <f>IFERROR(tblPiNAnalysis[[#This Row],[Highest PiN]]-tblPiNAnalysis[[#This Row],[2nd Highest PiN]], "")</f>
        <v>14107</v>
      </c>
      <c r="AS34" s="38">
        <f>IFERROR(((tblPiNAnalysis[[#This Row],[Highest PiN]]-tblPiNAnalysis[[#This Row],[2nd Highest PiN]])/tblPiNAnalysis[[#This Row],[2nd Highest PiN]]),"")</f>
        <v>0.1219484785615491</v>
      </c>
      <c r="AT34" s="269" t="str" cm="1">
        <f t="array" ref="AT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34" s="327" cm="1">
        <f t="array" ref="AU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80274</v>
      </c>
      <c r="AV34" s="186" t="str" cm="1">
        <f t="array" ref="AV34">IF(tblPiNAnalysis[[#This Row],[3rd Highest PiN]]="", "", _xlfn.TEXTJOIN(CHAR(10), TRUE, IF(tblPiNAnalysis[[#This Row],[3rd Highest PiN]]=tblPiNAnalysis[[#This Row],[CCCM]:[WASH]], tblPiNAnalysis[[#Headers],[CCCM]:[WASH]], "")))</f>
        <v>CCCM</v>
      </c>
      <c r="AW34" s="186">
        <f>IFERROR(tblPiNAnalysis[[#This Row],[3rd Highest PiN]]/tblPiNAnalysis[[#This Row],[Population]], "")</f>
        <v>0.26441582397312163</v>
      </c>
      <c r="AX34" s="44">
        <f>IFERROR(tblPiNAnalysis[[#This Row],[Highest PiN]]-tblPiNAnalysis[[#This Row],[3rd Highest PiN]],"")</f>
        <v>49513</v>
      </c>
      <c r="AY34" s="38">
        <f>IFERROR(tblPiNAnalysis[[#This Row],[Difference of PiN between Highest and 3rd Highest]]/tblPiNAnalysis[[#This Row],[3rd Highest PiN]], "")</f>
        <v>0.61679996013653238</v>
      </c>
      <c r="AZ34" s="325" t="str" cm="1">
        <f t="array" ref="AZ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34" s="292" cm="1">
        <f t="array" ref="BA34">IFERROR(IF(tblPiNAnalysis[[#This Row],[ID]]="", "", INDEX(tblPiNHistorical[[CCCM]:[WASH]], MATCH(tblPiNAnalysis[[#This Row],[ID]],tblPiNHistorical[ID], 0),MATCH(_xlfn._xlws.FILTER(tblPiNAnalysis[[#Headers],[CCCM]:[WASH]], tblPiNAnalysis[[#This Row],[Highest PiN]]=tblPiNAnalysis[[#This Row],[CCCM]:[WASH]]), tblPiNHistorical[[#Headers],[CCCM]:[WASH]], 0))), "")</f>
        <v>0</v>
      </c>
      <c r="BB34" s="328" t="str" cm="1">
        <f t="array" ref="BB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4" s="272" cm="1">
        <f t="array" ref="BC34">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34" s="329" t="str" cm="1">
        <f t="array" ref="BD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4" s="371">
        <f>INDEX(tblSeverityAnalysis[Final Severity], MATCH(tblPiNAnalysis[[#This Row],[ID]],tblSeverityAnalysis[ID], 0))</f>
        <v>3</v>
      </c>
      <c r="BF34" s="60">
        <f>IF(tblPiNAnalysis[[#This Row],[Severity]]&gt;2,tblPiNAnalysis[[#This Row],[Highest PiN]],)</f>
        <v>129787</v>
      </c>
      <c r="BG34" s="187"/>
      <c r="BH34" s="188"/>
      <c r="BI34" s="189">
        <f>COUNTIFS(tblPiNAnalysis[[#This Row],[Number of missing / zero PiNs greater than threshold - Data quality]:[Manual Flag]],"Flagged")</f>
        <v>0</v>
      </c>
      <c r="BJ34" s="346" t="str">
        <f>IF(tblPiNAnalysis[[#This Row],['# Flags]]&gt;0, "Flagged", "")</f>
        <v/>
      </c>
      <c r="BK34" s="339">
        <f>tblPiNAnalysis[[#This Row],[Preliminary PiN]]</f>
        <v>129787</v>
      </c>
      <c r="BL34" s="326"/>
      <c r="BM34" s="383">
        <f>IF(OR(tblPiNAnalysis[[#This Row],[Severity]]=4,tblPiNAnalysis[[#This Row],[Severity]]=5),tblPiNAnalysis[[#This Row],[Final PiN]],0)</f>
        <v>0</v>
      </c>
      <c r="BN34" s="378">
        <f>IF(OR(tblPiNAnalysis[[#This Row],[Severity]]=4,tblPiNAnalysis[[#This Row],[Severity]]=5),100%, IF(tblPiNAnalysis[[#This Row],[Severity]]=3,50%,0%))*tblPiNAnalysis[[#This Row],[Final PiN]]</f>
        <v>64893.5</v>
      </c>
      <c r="BO34" s="383">
        <f>IF(OR(tblPiNAnalysis[[#This Row],[Severity]]=4,tblPiNAnalysis[[#This Row],[Severity]]=5),100%, IF(AND(tblPiNAnalysis[[#This Row],[Severity]]=3,VLOOKUP(tblPiNAnalysis[[#This Row],[ID]],tblSeverityAnalysis[[ID]:[Highest Severity]],35,FALSE)&gt;3),50%,0%))*tblPiNAnalysis[[#This Row],[Final PiN]]</f>
        <v>0</v>
      </c>
    </row>
    <row r="35" spans="1:67" hidden="1">
      <c r="A3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Global_PopulationHT0312</v>
      </c>
      <c r="B35" s="304" t="s">
        <v>219</v>
      </c>
      <c r="C35" s="213" t="s">
        <v>220</v>
      </c>
      <c r="D35" s="213" t="s">
        <v>223</v>
      </c>
      <c r="E35" s="103" t="s">
        <v>224</v>
      </c>
      <c r="F35" s="99"/>
      <c r="G35" s="34"/>
      <c r="H35" s="357"/>
      <c r="I35" s="354">
        <v>29881</v>
      </c>
      <c r="J35" s="221" t="s">
        <v>156</v>
      </c>
      <c r="K35" s="316">
        <v>7230</v>
      </c>
      <c r="L35" s="308">
        <v>1835</v>
      </c>
      <c r="M35" s="308">
        <v>3112</v>
      </c>
      <c r="N35" s="308">
        <v>14747</v>
      </c>
      <c r="O35" s="308">
        <v>8521.0572356846478</v>
      </c>
      <c r="P35" s="308">
        <v>2512.2399999999998</v>
      </c>
      <c r="Q35" s="309">
        <v>0</v>
      </c>
      <c r="R35" s="308">
        <v>5079.7700000000004</v>
      </c>
      <c r="S35" s="308"/>
      <c r="T35" s="308"/>
      <c r="U35" s="308"/>
      <c r="V35" s="308"/>
      <c r="W35" s="317">
        <f>IFERROR(IF(tblPiNAnalysis[[#This Row],[CCCM]]="", "", MROUND(tblPiNAnalysis[[#This Row],[CCCM]]/tblPiNAnalysis[[#This Row],[Population]], 0.05)), "")</f>
        <v>0.25</v>
      </c>
      <c r="X35" s="318">
        <f>IFERROR(IF(tblPiNAnalysis[[#This Row],[Education]]="", "", MROUND(tblPiNAnalysis[[#This Row],[Education]]/tblPiNAnalysis[[#This Row],[Population]], 0.05)), "")</f>
        <v>0.05</v>
      </c>
      <c r="Y35" s="318">
        <f>IFERROR(IF(tblPiNAnalysis[[#This Row],[Nutrition]]="", "", MROUND(tblPiNAnalysis[[#This Row],[Nutrition]]/tblPiNAnalysis[[#This Row],[Population]], 0.05)), "")</f>
        <v>0.1</v>
      </c>
      <c r="Z35" s="318">
        <f>IFERROR(IF(tblPiNAnalysis[[#This Row],[Food Security]]="", "", MROUND(tblPiNAnalysis[[#This Row],[Food Security]]/tblPiNAnalysis[[#This Row],[Population]], 0.05)), "")</f>
        <v>0.5</v>
      </c>
      <c r="AA35" s="318">
        <f>IFERROR(IF(tblPiNAnalysis[[#This Row],[Health]]="", "", MROUND(tblPiNAnalysis[[#This Row],[Health]]/tblPiNAnalysis[[#This Row],[Population]], 0.05)), "")</f>
        <v>0.30000000000000004</v>
      </c>
      <c r="AB35" s="319">
        <f>IFERROR(IF(tblPiNAnalysis[[#This Row],[Protection]]="", "", MROUND(tblPiNAnalysis[[#This Row],[Protection]]/tblPiNAnalysis[[#This Row],[Population]], 0.05)), "")</f>
        <v>0.1</v>
      </c>
      <c r="AC35" s="319">
        <f>IFERROR(IF(tblPiNAnalysis[[#This Row],[Shelter]]="", "", MROUND(tblPiNAnalysis[[#This Row],[Shelter]]/tblPiNAnalysis[[#This Row],[Population]], 0.05)), "")</f>
        <v>0</v>
      </c>
      <c r="AD35" s="320">
        <f>IFERROR(IF(tblPiNAnalysis[[#This Row],[WASH]]="", "", MROUND(tblPiNAnalysis[[#This Row],[WASH]]/tblPiNAnalysis[[#This Row],[Population]], 0.05)), "")</f>
        <v>0.15000000000000002</v>
      </c>
      <c r="AE35" s="318">
        <f>IFERROR(MROUND(tblPiNAnalysis[[#This Row],[CP]]/tblPiNAnalysis[[#This Row],[Population]], 0.05), "")</f>
        <v>0</v>
      </c>
      <c r="AF35" s="318">
        <f>IFERROR(MROUND(tblPiNAnalysis[[#This Row],[GBV]]/tblPiNAnalysis[[#This Row],[Population]], 0.05), "")</f>
        <v>0</v>
      </c>
      <c r="AG35" s="318">
        <f>IFERROR(MROUND(tblPiNAnalysis[[#This Row],[Migrants]]/tblPiNAnalysis[[#This Row],[Population]], 0.05), "")</f>
        <v>0</v>
      </c>
      <c r="AH35" s="318">
        <f>IFERROR(MROUND(tblPiNAnalysis[[#This Row],[_]]/tblPiNAnalysis[[#This Row],[Population]], 0.05), "")</f>
        <v>0</v>
      </c>
      <c r="AI35" s="321">
        <f>IFERROR(LARGE(tblPiNAnalysis[[#This Row],[CCCM]:[WASH]], 1), "")</f>
        <v>14747</v>
      </c>
      <c r="AJ35" s="322" t="str" cm="1">
        <f t="array" ref="AJ35">IF(tblPiNAnalysis[[#This Row],[Highest PiN]]="", "", _xlfn.TEXTJOIN(CHAR(10), TRUE, IF(tblPiNAnalysis[[#This Row],[Highest PiN]]=tblPiNAnalysis[[#This Row],[CCCM]:[WASH]], tblPiNAnalysis[[#Headers],[CCCM]:[WASH]], "")))</f>
        <v>Food Security</v>
      </c>
      <c r="AK35" s="323">
        <f>IF(tblPiNAnalysis[[#This Row],[Highest PiN]]="", "", tblPiNAnalysis[[#This Row],[Highest PiN]]/tblPiNAnalysis[[#This Row],[Population]])</f>
        <v>0.49352431310866435</v>
      </c>
      <c r="AL35" s="265" t="str">
        <f>IF(SUM(tblPiNAnalysis[[#This Row],[CCCM]:[WASH]])=0, "",IF(COUNTIF(tblPiNAnalysis[[#This Row],[CCCM]:[WASH]],"=0")+COUNTIF(tblPiNAnalysis[[#This Row],[CCCM]:[WASH]],"")&gt;=zero_pin_thresh, "Flagged", ""))</f>
        <v/>
      </c>
      <c r="AM35" s="264" t="str">
        <f>IFERROR(IF(tblPiNAnalysis[[#This Row],[Highest PiN]]="", "", IF(tblPiNAnalysis[[#This Row],[Highest sector(s'') PiN %]]&gt;=flag_pin_perc, "Flagged", "")), "")</f>
        <v/>
      </c>
      <c r="AN35" s="266" t="str" cm="1">
        <f t="array" ref="AN35">IF(tblPiNAnalysis[[#This Row],[Highest PiN]]=0, "",  IF(OR(COUNTIF(tblPiNAnalysis[[#This Row],[Highest sector(s)]],tblSubSectorPopulation[Sector])), "Flagged", ""))</f>
        <v/>
      </c>
      <c r="AO35" s="45" cm="1">
        <f t="array" ref="AO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8521.0572356846478</v>
      </c>
      <c r="AP35" s="326" t="str" cm="1">
        <f t="array" ref="AP35">IF(tblPiNAnalysis[[#This Row],[2nd Highest PiN]]="", "", _xlfn.TEXTJOIN(CHAR(10), TRUE, IF(tblPiNAnalysis[[#This Row],[2nd Highest PiN]]=tblPiNAnalysis[[#This Row],[CCCM]:[WASH]], tblPiNAnalysis[[#Headers],[CCCM]:[WASH]], "")))</f>
        <v>Health</v>
      </c>
      <c r="AQ35" s="35">
        <f>IFERROR(tblPiNAnalysis[[#This Row],[2nd Highest PiN]]/tblPiNAnalysis[[#This Row],[Population]], "")</f>
        <v>0.2851664012477711</v>
      </c>
      <c r="AR35" s="45">
        <f>IFERROR(tblPiNAnalysis[[#This Row],[Highest PiN]]-tblPiNAnalysis[[#This Row],[2nd Highest PiN]], "")</f>
        <v>6225.9427643153522</v>
      </c>
      <c r="AS35" s="38">
        <f>IFERROR(((tblPiNAnalysis[[#This Row],[Highest PiN]]-tblPiNAnalysis[[#This Row],[2nd Highest PiN]])/tblPiNAnalysis[[#This Row],[2nd Highest PiN]]),"")</f>
        <v>0.73065379002997766</v>
      </c>
      <c r="AT35" s="269" t="str" cm="1">
        <f t="array" ref="AT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5" s="327" cm="1">
        <f t="array" ref="AU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7230</v>
      </c>
      <c r="AV35" s="186" t="str" cm="1">
        <f t="array" ref="AV35">IF(tblPiNAnalysis[[#This Row],[3rd Highest PiN]]="", "", _xlfn.TEXTJOIN(CHAR(10), TRUE, IF(tblPiNAnalysis[[#This Row],[3rd Highest PiN]]=tblPiNAnalysis[[#This Row],[CCCM]:[WASH]], tblPiNAnalysis[[#Headers],[CCCM]:[WASH]], "")))</f>
        <v>CCCM</v>
      </c>
      <c r="AW35" s="186">
        <f>IFERROR(tblPiNAnalysis[[#This Row],[3rd Highest PiN]]/tblPiNAnalysis[[#This Row],[Population]], "")</f>
        <v>0.24195977376928482</v>
      </c>
      <c r="AX35" s="44">
        <f>IFERROR(tblPiNAnalysis[[#This Row],[Highest PiN]]-tblPiNAnalysis[[#This Row],[3rd Highest PiN]],"")</f>
        <v>7517</v>
      </c>
      <c r="AY35" s="38">
        <f>IFERROR(tblPiNAnalysis[[#This Row],[Difference of PiN between Highest and 3rd Highest]]/tblPiNAnalysis[[#This Row],[3rd Highest PiN]], "")</f>
        <v>1.0396957123098203</v>
      </c>
      <c r="AZ35" s="325" t="str" cm="1">
        <f t="array" ref="AZ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5" s="292" cm="1">
        <f t="array" ref="BA35">IFERROR(IF(tblPiNAnalysis[[#This Row],[ID]]="", "", INDEX(tblPiNHistorical[[CCCM]:[WASH]], MATCH(tblPiNAnalysis[[#This Row],[ID]],tblPiNHistorical[ID], 0),MATCH(_xlfn._xlws.FILTER(tblPiNAnalysis[[#Headers],[CCCM]:[WASH]], tblPiNAnalysis[[#This Row],[Highest PiN]]=tblPiNAnalysis[[#This Row],[CCCM]:[WASH]]), tblPiNHistorical[[#Headers],[CCCM]:[WASH]], 0))), "")</f>
        <v>0.1</v>
      </c>
      <c r="BB35" s="328" t="str" cm="1">
        <f t="array" ref="BB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5" s="272" cm="1">
        <f t="array" ref="BC35">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35" s="329" t="str" cm="1">
        <f t="array" ref="BD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5" s="371">
        <f>INDEX(tblSeverityAnalysis[Final Severity], MATCH(tblPiNAnalysis[[#This Row],[ID]],tblSeverityAnalysis[ID], 0))</f>
        <v>3</v>
      </c>
      <c r="BF35" s="60">
        <f>IF(tblPiNAnalysis[[#This Row],[Severity]]&gt;2,tblPiNAnalysis[[#This Row],[Highest PiN]],)</f>
        <v>14747</v>
      </c>
      <c r="BG35" s="187"/>
      <c r="BH35" s="188"/>
      <c r="BI35" s="189">
        <f>COUNTIFS(tblPiNAnalysis[[#This Row],[Number of missing / zero PiNs greater than threshold - Data quality]:[Manual Flag]],"Flagged")</f>
        <v>2</v>
      </c>
      <c r="BJ35" s="346" t="str">
        <f>IF(tblPiNAnalysis[[#This Row],['# Flags]]&gt;0, "Flagged", "")</f>
        <v>Flagged</v>
      </c>
      <c r="BK35" s="339">
        <f>tblPiNAnalysis[[#This Row],[Preliminary PiN]]</f>
        <v>14747</v>
      </c>
      <c r="BL35" s="326"/>
      <c r="BM35" s="383">
        <f>IF(OR(tblPiNAnalysis[[#This Row],[Severity]]=4,tblPiNAnalysis[[#This Row],[Severity]]=5),tblPiNAnalysis[[#This Row],[Final PiN]],0)</f>
        <v>0</v>
      </c>
      <c r="BN35" s="378">
        <f>IF(OR(tblPiNAnalysis[[#This Row],[Severity]]=4,tblPiNAnalysis[[#This Row],[Severity]]=5),100%, IF(tblPiNAnalysis[[#This Row],[Severity]]=3,50%,0%))*tblPiNAnalysis[[#This Row],[Final PiN]]</f>
        <v>7373.5</v>
      </c>
      <c r="BO35" s="383">
        <f>IF(OR(tblPiNAnalysis[[#This Row],[Severity]]=4,tblPiNAnalysis[[#This Row],[Severity]]=5),100%, IF(AND(tblPiNAnalysis[[#This Row],[Severity]]=3,VLOOKUP(tblPiNAnalysis[[#This Row],[ID]],tblSeverityAnalysis[[ID]:[Highest Severity]],35,FALSE)&gt;3),50%,0%))*tblPiNAnalysis[[#This Row],[Final PiN]]</f>
        <v>0</v>
      </c>
    </row>
    <row r="36" spans="1:67" hidden="1">
      <c r="A3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Global_PopulationHT0313</v>
      </c>
      <c r="B36" s="304" t="s">
        <v>219</v>
      </c>
      <c r="C36" s="213" t="s">
        <v>220</v>
      </c>
      <c r="D36" s="213" t="s">
        <v>225</v>
      </c>
      <c r="E36" s="103" t="s">
        <v>226</v>
      </c>
      <c r="F36" s="99"/>
      <c r="G36" s="34"/>
      <c r="H36" s="357"/>
      <c r="I36" s="354">
        <v>61261</v>
      </c>
      <c r="J36" s="221" t="s">
        <v>156</v>
      </c>
      <c r="K36" s="316">
        <v>9532.5</v>
      </c>
      <c r="L36" s="308">
        <v>4018</v>
      </c>
      <c r="M36" s="308">
        <v>5852</v>
      </c>
      <c r="N36" s="308">
        <v>29723</v>
      </c>
      <c r="O36" s="308">
        <v>11620.172566325728</v>
      </c>
      <c r="P36" s="308">
        <v>8898.6066666666666</v>
      </c>
      <c r="Q36" s="309">
        <v>0</v>
      </c>
      <c r="R36" s="308">
        <v>10210.166666666666</v>
      </c>
      <c r="S36" s="308"/>
      <c r="T36" s="308"/>
      <c r="U36" s="308"/>
      <c r="V36" s="308"/>
      <c r="W36" s="317">
        <f>IFERROR(IF(tblPiNAnalysis[[#This Row],[CCCM]]="", "", MROUND(tblPiNAnalysis[[#This Row],[CCCM]]/tblPiNAnalysis[[#This Row],[Population]], 0.05)), "")</f>
        <v>0.15000000000000002</v>
      </c>
      <c r="X36" s="318">
        <f>IFERROR(IF(tblPiNAnalysis[[#This Row],[Education]]="", "", MROUND(tblPiNAnalysis[[#This Row],[Education]]/tblPiNAnalysis[[#This Row],[Population]], 0.05)), "")</f>
        <v>0.05</v>
      </c>
      <c r="Y36" s="318">
        <f>IFERROR(IF(tblPiNAnalysis[[#This Row],[Nutrition]]="", "", MROUND(tblPiNAnalysis[[#This Row],[Nutrition]]/tblPiNAnalysis[[#This Row],[Population]], 0.05)), "")</f>
        <v>0.1</v>
      </c>
      <c r="Z36" s="318">
        <f>IFERROR(IF(tblPiNAnalysis[[#This Row],[Food Security]]="", "", MROUND(tblPiNAnalysis[[#This Row],[Food Security]]/tblPiNAnalysis[[#This Row],[Population]], 0.05)), "")</f>
        <v>0.5</v>
      </c>
      <c r="AA36" s="318">
        <f>IFERROR(IF(tblPiNAnalysis[[#This Row],[Health]]="", "", MROUND(tblPiNAnalysis[[#This Row],[Health]]/tblPiNAnalysis[[#This Row],[Population]], 0.05)), "")</f>
        <v>0.2</v>
      </c>
      <c r="AB36" s="319">
        <f>IFERROR(IF(tblPiNAnalysis[[#This Row],[Protection]]="", "", MROUND(tblPiNAnalysis[[#This Row],[Protection]]/tblPiNAnalysis[[#This Row],[Population]], 0.05)), "")</f>
        <v>0.15000000000000002</v>
      </c>
      <c r="AC36" s="319">
        <f>IFERROR(IF(tblPiNAnalysis[[#This Row],[Shelter]]="", "", MROUND(tblPiNAnalysis[[#This Row],[Shelter]]/tblPiNAnalysis[[#This Row],[Population]], 0.05)), "")</f>
        <v>0</v>
      </c>
      <c r="AD36" s="320">
        <f>IFERROR(IF(tblPiNAnalysis[[#This Row],[WASH]]="", "", MROUND(tblPiNAnalysis[[#This Row],[WASH]]/tblPiNAnalysis[[#This Row],[Population]], 0.05)), "")</f>
        <v>0.15000000000000002</v>
      </c>
      <c r="AE36" s="318">
        <f>IFERROR(MROUND(tblPiNAnalysis[[#This Row],[CP]]/tblPiNAnalysis[[#This Row],[Population]], 0.05), "")</f>
        <v>0</v>
      </c>
      <c r="AF36" s="318">
        <f>IFERROR(MROUND(tblPiNAnalysis[[#This Row],[GBV]]/tblPiNAnalysis[[#This Row],[Population]], 0.05), "")</f>
        <v>0</v>
      </c>
      <c r="AG36" s="318">
        <f>IFERROR(MROUND(tblPiNAnalysis[[#This Row],[Migrants]]/tblPiNAnalysis[[#This Row],[Population]], 0.05), "")</f>
        <v>0</v>
      </c>
      <c r="AH36" s="318">
        <f>IFERROR(MROUND(tblPiNAnalysis[[#This Row],[_]]/tblPiNAnalysis[[#This Row],[Population]], 0.05), "")</f>
        <v>0</v>
      </c>
      <c r="AI36" s="321">
        <f>IFERROR(LARGE(tblPiNAnalysis[[#This Row],[CCCM]:[WASH]], 1), "")</f>
        <v>29723</v>
      </c>
      <c r="AJ36" s="322" t="str" cm="1">
        <f t="array" ref="AJ36">IF(tblPiNAnalysis[[#This Row],[Highest PiN]]="", "", _xlfn.TEXTJOIN(CHAR(10), TRUE, IF(tblPiNAnalysis[[#This Row],[Highest PiN]]=tblPiNAnalysis[[#This Row],[CCCM]:[WASH]], tblPiNAnalysis[[#Headers],[CCCM]:[WASH]], "")))</f>
        <v>Food Security</v>
      </c>
      <c r="AK36" s="323">
        <f>IF(tblPiNAnalysis[[#This Row],[Highest PiN]]="", "", tblPiNAnalysis[[#This Row],[Highest PiN]]/tblPiNAnalysis[[#This Row],[Population]])</f>
        <v>0.4851863338828945</v>
      </c>
      <c r="AL36" s="265" t="str">
        <f>IF(SUM(tblPiNAnalysis[[#This Row],[CCCM]:[WASH]])=0, "",IF(COUNTIF(tblPiNAnalysis[[#This Row],[CCCM]:[WASH]],"=0")+COUNTIF(tblPiNAnalysis[[#This Row],[CCCM]:[WASH]],"")&gt;=zero_pin_thresh, "Flagged", ""))</f>
        <v/>
      </c>
      <c r="AM36" s="264" t="str">
        <f>IFERROR(IF(tblPiNAnalysis[[#This Row],[Highest PiN]]="", "", IF(tblPiNAnalysis[[#This Row],[Highest sector(s'') PiN %]]&gt;=flag_pin_perc, "Flagged", "")), "")</f>
        <v/>
      </c>
      <c r="AN36" s="266" t="str" cm="1">
        <f t="array" ref="AN36">IF(tblPiNAnalysis[[#This Row],[Highest PiN]]=0, "",  IF(OR(COUNTIF(tblPiNAnalysis[[#This Row],[Highest sector(s)]],tblSubSectorPopulation[Sector])), "Flagged", ""))</f>
        <v/>
      </c>
      <c r="AO36" s="45" cm="1">
        <f t="array" ref="AO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11620.172566325728</v>
      </c>
      <c r="AP36" s="326" t="str" cm="1">
        <f t="array" ref="AP36">IF(tblPiNAnalysis[[#This Row],[2nd Highest PiN]]="", "", _xlfn.TEXTJOIN(CHAR(10), TRUE, IF(tblPiNAnalysis[[#This Row],[2nd Highest PiN]]=tblPiNAnalysis[[#This Row],[CCCM]:[WASH]], tblPiNAnalysis[[#Headers],[CCCM]:[WASH]], "")))</f>
        <v>Health</v>
      </c>
      <c r="AQ36" s="35">
        <f>IFERROR(tblPiNAnalysis[[#This Row],[2nd Highest PiN]]/tblPiNAnalysis[[#This Row],[Population]], "")</f>
        <v>0.18968303759856561</v>
      </c>
      <c r="AR36" s="45">
        <f>IFERROR(tblPiNAnalysis[[#This Row],[Highest PiN]]-tblPiNAnalysis[[#This Row],[2nd Highest PiN]], "")</f>
        <v>18102.827433674272</v>
      </c>
      <c r="AS36" s="38">
        <f>IFERROR(((tblPiNAnalysis[[#This Row],[Highest PiN]]-tblPiNAnalysis[[#This Row],[2nd Highest PiN]])/tblPiNAnalysis[[#This Row],[2nd Highest PiN]]),"")</f>
        <v>1.5578793972591016</v>
      </c>
      <c r="AT36" s="269" t="str" cm="1">
        <f t="array" ref="AT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6" s="327" cm="1">
        <f t="array" ref="AU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10210.166666666666</v>
      </c>
      <c r="AV36" s="186" t="str" cm="1">
        <f t="array" ref="AV36">IF(tblPiNAnalysis[[#This Row],[3rd Highest PiN]]="", "", _xlfn.TEXTJOIN(CHAR(10), TRUE, IF(tblPiNAnalysis[[#This Row],[3rd Highest PiN]]=tblPiNAnalysis[[#This Row],[CCCM]:[WASH]], tblPiNAnalysis[[#Headers],[CCCM]:[WASH]], "")))</f>
        <v>WASH</v>
      </c>
      <c r="AW36" s="186">
        <f>IFERROR(tblPiNAnalysis[[#This Row],[3rd Highest PiN]]/tblPiNAnalysis[[#This Row],[Population]], "")</f>
        <v>0.16666666666666666</v>
      </c>
      <c r="AX36" s="44">
        <f>IFERROR(tblPiNAnalysis[[#This Row],[Highest PiN]]-tblPiNAnalysis[[#This Row],[3rd Highest PiN]],"")</f>
        <v>19512.833333333336</v>
      </c>
      <c r="AY36" s="38">
        <f>IFERROR(tblPiNAnalysis[[#This Row],[Difference of PiN between Highest and 3rd Highest]]/tblPiNAnalysis[[#This Row],[3rd Highest PiN]], "")</f>
        <v>1.9111180032973674</v>
      </c>
      <c r="AZ36" s="325" t="str" cm="1">
        <f t="array" ref="AZ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6" s="292" cm="1">
        <f t="array" ref="BA36">IFERROR(IF(tblPiNAnalysis[[#This Row],[ID]]="", "", INDEX(tblPiNHistorical[[CCCM]:[WASH]], MATCH(tblPiNAnalysis[[#This Row],[ID]],tblPiNHistorical[ID], 0),MATCH(_xlfn._xlws.FILTER(tblPiNAnalysis[[#Headers],[CCCM]:[WASH]], tblPiNAnalysis[[#This Row],[Highest PiN]]=tblPiNAnalysis[[#This Row],[CCCM]:[WASH]]), tblPiNHistorical[[#Headers],[CCCM]:[WASH]], 0))), "")</f>
        <v>0.1</v>
      </c>
      <c r="BB36" s="328" t="str" cm="1">
        <f t="array" ref="BB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6" s="272" cm="1">
        <f t="array" ref="BC36">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36" s="329" t="str" cm="1">
        <f t="array" ref="BD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6" s="371">
        <f>INDEX(tblSeverityAnalysis[Final Severity], MATCH(tblPiNAnalysis[[#This Row],[ID]],tblSeverityAnalysis[ID], 0))</f>
        <v>3</v>
      </c>
      <c r="BF36" s="60">
        <f>IF(tblPiNAnalysis[[#This Row],[Severity]]&gt;2,tblPiNAnalysis[[#This Row],[Highest PiN]],)</f>
        <v>29723</v>
      </c>
      <c r="BG36" s="187"/>
      <c r="BH36" s="188"/>
      <c r="BI36" s="189">
        <f>COUNTIFS(tblPiNAnalysis[[#This Row],[Number of missing / zero PiNs greater than threshold - Data quality]:[Manual Flag]],"Flagged")</f>
        <v>2</v>
      </c>
      <c r="BJ36" s="346" t="str">
        <f>IF(tblPiNAnalysis[[#This Row],['# Flags]]&gt;0, "Flagged", "")</f>
        <v>Flagged</v>
      </c>
      <c r="BK36" s="339">
        <f>tblPiNAnalysis[[#This Row],[Preliminary PiN]]</f>
        <v>29723</v>
      </c>
      <c r="BL36" s="326"/>
      <c r="BM36" s="383">
        <f>IF(OR(tblPiNAnalysis[[#This Row],[Severity]]=4,tblPiNAnalysis[[#This Row],[Severity]]=5),tblPiNAnalysis[[#This Row],[Final PiN]],0)</f>
        <v>0</v>
      </c>
      <c r="BN36" s="378">
        <f>IF(OR(tblPiNAnalysis[[#This Row],[Severity]]=4,tblPiNAnalysis[[#This Row],[Severity]]=5),100%, IF(tblPiNAnalysis[[#This Row],[Severity]]=3,50%,0%))*tblPiNAnalysis[[#This Row],[Final PiN]]</f>
        <v>14861.5</v>
      </c>
      <c r="BO36" s="383">
        <f>IF(OR(tblPiNAnalysis[[#This Row],[Severity]]=4,tblPiNAnalysis[[#This Row],[Severity]]=5),100%, IF(AND(tblPiNAnalysis[[#This Row],[Severity]]=3,VLOOKUP(tblPiNAnalysis[[#This Row],[ID]],tblSeverityAnalysis[[ID]:[Highest Severity]],35,FALSE)&gt;3),50%,0%))*tblPiNAnalysis[[#This Row],[Final PiN]]</f>
        <v>0</v>
      </c>
    </row>
    <row r="37" spans="1:67" hidden="1">
      <c r="A3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Global_PopulationHT0321</v>
      </c>
      <c r="B37" s="304" t="s">
        <v>219</v>
      </c>
      <c r="C37" s="213" t="s">
        <v>220</v>
      </c>
      <c r="D37" s="213" t="s">
        <v>227</v>
      </c>
      <c r="E37" s="103" t="s">
        <v>228</v>
      </c>
      <c r="F37" s="99"/>
      <c r="G37" s="34"/>
      <c r="H37" s="357"/>
      <c r="I37" s="354">
        <v>59632</v>
      </c>
      <c r="J37" s="221" t="s">
        <v>156</v>
      </c>
      <c r="K37" s="316">
        <v>6930</v>
      </c>
      <c r="L37" s="308">
        <v>3660</v>
      </c>
      <c r="M37" s="308">
        <v>5866</v>
      </c>
      <c r="N37" s="308">
        <v>30135</v>
      </c>
      <c r="O37" s="308">
        <v>6096.9742025974028</v>
      </c>
      <c r="P37" s="308">
        <v>3791.9199999999996</v>
      </c>
      <c r="Q37" s="309">
        <v>16456</v>
      </c>
      <c r="R37" s="308">
        <v>6293</v>
      </c>
      <c r="S37" s="308"/>
      <c r="T37" s="308"/>
      <c r="U37" s="308"/>
      <c r="V37" s="308"/>
      <c r="W37" s="317">
        <f>IFERROR(IF(tblPiNAnalysis[[#This Row],[CCCM]]="", "", MROUND(tblPiNAnalysis[[#This Row],[CCCM]]/tblPiNAnalysis[[#This Row],[Population]], 0.05)), "")</f>
        <v>0.1</v>
      </c>
      <c r="X37" s="318">
        <f>IFERROR(IF(tblPiNAnalysis[[#This Row],[Education]]="", "", MROUND(tblPiNAnalysis[[#This Row],[Education]]/tblPiNAnalysis[[#This Row],[Population]], 0.05)), "")</f>
        <v>0.05</v>
      </c>
      <c r="Y37" s="318">
        <f>IFERROR(IF(tblPiNAnalysis[[#This Row],[Nutrition]]="", "", MROUND(tblPiNAnalysis[[#This Row],[Nutrition]]/tblPiNAnalysis[[#This Row],[Population]], 0.05)), "")</f>
        <v>0.1</v>
      </c>
      <c r="Z37" s="318">
        <f>IFERROR(IF(tblPiNAnalysis[[#This Row],[Food Security]]="", "", MROUND(tblPiNAnalysis[[#This Row],[Food Security]]/tblPiNAnalysis[[#This Row],[Population]], 0.05)), "")</f>
        <v>0.5</v>
      </c>
      <c r="AA37" s="318">
        <f>IFERROR(IF(tblPiNAnalysis[[#This Row],[Health]]="", "", MROUND(tblPiNAnalysis[[#This Row],[Health]]/tblPiNAnalysis[[#This Row],[Population]], 0.05)), "")</f>
        <v>0.1</v>
      </c>
      <c r="AB37" s="319">
        <f>IFERROR(IF(tblPiNAnalysis[[#This Row],[Protection]]="", "", MROUND(tblPiNAnalysis[[#This Row],[Protection]]/tblPiNAnalysis[[#This Row],[Population]], 0.05)), "")</f>
        <v>0.05</v>
      </c>
      <c r="AC37" s="319">
        <f>IFERROR(IF(tblPiNAnalysis[[#This Row],[Shelter]]="", "", MROUND(tblPiNAnalysis[[#This Row],[Shelter]]/tblPiNAnalysis[[#This Row],[Population]], 0.05)), "")</f>
        <v>0.30000000000000004</v>
      </c>
      <c r="AD37" s="320">
        <f>IFERROR(IF(tblPiNAnalysis[[#This Row],[WASH]]="", "", MROUND(tblPiNAnalysis[[#This Row],[WASH]]/tblPiNAnalysis[[#This Row],[Population]], 0.05)), "")</f>
        <v>0.1</v>
      </c>
      <c r="AE37" s="318">
        <f>IFERROR(MROUND(tblPiNAnalysis[[#This Row],[CP]]/tblPiNAnalysis[[#This Row],[Population]], 0.05), "")</f>
        <v>0</v>
      </c>
      <c r="AF37" s="318">
        <f>IFERROR(MROUND(tblPiNAnalysis[[#This Row],[GBV]]/tblPiNAnalysis[[#This Row],[Population]], 0.05), "")</f>
        <v>0</v>
      </c>
      <c r="AG37" s="318">
        <f>IFERROR(MROUND(tblPiNAnalysis[[#This Row],[Migrants]]/tblPiNAnalysis[[#This Row],[Population]], 0.05), "")</f>
        <v>0</v>
      </c>
      <c r="AH37" s="318">
        <f>IFERROR(MROUND(tblPiNAnalysis[[#This Row],[_]]/tblPiNAnalysis[[#This Row],[Population]], 0.05), "")</f>
        <v>0</v>
      </c>
      <c r="AI37" s="321">
        <f>IFERROR(LARGE(tblPiNAnalysis[[#This Row],[CCCM]:[WASH]], 1), "")</f>
        <v>30135</v>
      </c>
      <c r="AJ37" s="322" t="str" cm="1">
        <f t="array" ref="AJ37">IF(tblPiNAnalysis[[#This Row],[Highest PiN]]="", "", _xlfn.TEXTJOIN(CHAR(10), TRUE, IF(tblPiNAnalysis[[#This Row],[Highest PiN]]=tblPiNAnalysis[[#This Row],[CCCM]:[WASH]], tblPiNAnalysis[[#Headers],[CCCM]:[WASH]], "")))</f>
        <v>Food Security</v>
      </c>
      <c r="AK37" s="323">
        <f>IF(tblPiNAnalysis[[#This Row],[Highest PiN]]="", "", tblPiNAnalysis[[#This Row],[Highest PiN]]/tblPiNAnalysis[[#This Row],[Population]])</f>
        <v>0.50534947679098474</v>
      </c>
      <c r="AL37" s="265" t="str">
        <f>IF(SUM(tblPiNAnalysis[[#This Row],[CCCM]:[WASH]])=0, "",IF(COUNTIF(tblPiNAnalysis[[#This Row],[CCCM]:[WASH]],"=0")+COUNTIF(tblPiNAnalysis[[#This Row],[CCCM]:[WASH]],"")&gt;=zero_pin_thresh, "Flagged", ""))</f>
        <v/>
      </c>
      <c r="AM37" s="264" t="str">
        <f>IFERROR(IF(tblPiNAnalysis[[#This Row],[Highest PiN]]="", "", IF(tblPiNAnalysis[[#This Row],[Highest sector(s'') PiN %]]&gt;=flag_pin_perc, "Flagged", "")), "")</f>
        <v/>
      </c>
      <c r="AN37" s="266" t="str" cm="1">
        <f t="array" ref="AN37">IF(tblPiNAnalysis[[#This Row],[Highest PiN]]=0, "",  IF(OR(COUNTIF(tblPiNAnalysis[[#This Row],[Highest sector(s)]],tblSubSectorPopulation[Sector])), "Flagged", ""))</f>
        <v/>
      </c>
      <c r="AO37" s="45" cm="1">
        <f t="array" ref="AO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16456</v>
      </c>
      <c r="AP37" s="326" t="str" cm="1">
        <f t="array" ref="AP37">IF(tblPiNAnalysis[[#This Row],[2nd Highest PiN]]="", "", _xlfn.TEXTJOIN(CHAR(10), TRUE, IF(tblPiNAnalysis[[#This Row],[2nd Highest PiN]]=tblPiNAnalysis[[#This Row],[CCCM]:[WASH]], tblPiNAnalysis[[#Headers],[CCCM]:[WASH]], "")))</f>
        <v>Shelter</v>
      </c>
      <c r="AQ37" s="35">
        <f>IFERROR(tblPiNAnalysis[[#This Row],[2nd Highest PiN]]/tblPiNAnalysis[[#This Row],[Population]], "")</f>
        <v>0.27595921652803862</v>
      </c>
      <c r="AR37" s="45">
        <f>IFERROR(tblPiNAnalysis[[#This Row],[Highest PiN]]-tblPiNAnalysis[[#This Row],[2nd Highest PiN]], "")</f>
        <v>13679</v>
      </c>
      <c r="AS37" s="38">
        <f>IFERROR(((tblPiNAnalysis[[#This Row],[Highest PiN]]-tblPiNAnalysis[[#This Row],[2nd Highest PiN]])/tblPiNAnalysis[[#This Row],[2nd Highest PiN]]),"")</f>
        <v>0.83124696159455513</v>
      </c>
      <c r="AT37" s="269" t="str" cm="1">
        <f t="array" ref="AT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7" s="327" cm="1">
        <f t="array" ref="AU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6930</v>
      </c>
      <c r="AV37" s="186" t="str" cm="1">
        <f t="array" ref="AV37">IF(tblPiNAnalysis[[#This Row],[3rd Highest PiN]]="", "", _xlfn.TEXTJOIN(CHAR(10), TRUE, IF(tblPiNAnalysis[[#This Row],[3rd Highest PiN]]=tblPiNAnalysis[[#This Row],[CCCM]:[WASH]], tblPiNAnalysis[[#Headers],[CCCM]:[WASH]], "")))</f>
        <v>CCCM</v>
      </c>
      <c r="AW37" s="186">
        <f>IFERROR(tblPiNAnalysis[[#This Row],[3rd Highest PiN]]/tblPiNAnalysis[[#This Row],[Population]], "")</f>
        <v>0.11621277166621947</v>
      </c>
      <c r="AX37" s="44">
        <f>IFERROR(tblPiNAnalysis[[#This Row],[Highest PiN]]-tblPiNAnalysis[[#This Row],[3rd Highest PiN]],"")</f>
        <v>23205</v>
      </c>
      <c r="AY37" s="38">
        <f>IFERROR(tblPiNAnalysis[[#This Row],[Difference of PiN between Highest and 3rd Highest]]/tblPiNAnalysis[[#This Row],[3rd Highest PiN]], "")</f>
        <v>3.3484848484848486</v>
      </c>
      <c r="AZ37" s="325" t="str" cm="1">
        <f t="array" ref="AZ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7" s="292" cm="1">
        <f t="array" ref="BA37">IFERROR(IF(tblPiNAnalysis[[#This Row],[ID]]="", "", INDEX(tblPiNHistorical[[CCCM]:[WASH]], MATCH(tblPiNAnalysis[[#This Row],[ID]],tblPiNHistorical[ID], 0),MATCH(_xlfn._xlws.FILTER(tblPiNAnalysis[[#Headers],[CCCM]:[WASH]], tblPiNAnalysis[[#This Row],[Highest PiN]]=tblPiNAnalysis[[#This Row],[CCCM]:[WASH]]), tblPiNHistorical[[#Headers],[CCCM]:[WASH]], 0))), "")</f>
        <v>0.1</v>
      </c>
      <c r="BB37" s="328" t="str" cm="1">
        <f t="array" ref="BB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7" s="272" cm="1">
        <f t="array" ref="BC37">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37" s="329" t="str" cm="1">
        <f t="array" ref="BD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7" s="371">
        <f>INDEX(tblSeverityAnalysis[Final Severity], MATCH(tblPiNAnalysis[[#This Row],[ID]],tblSeverityAnalysis[ID], 0))</f>
        <v>3</v>
      </c>
      <c r="BF37" s="60">
        <f>IF(tblPiNAnalysis[[#This Row],[Severity]]&gt;2,tblPiNAnalysis[[#This Row],[Highest PiN]],)</f>
        <v>30135</v>
      </c>
      <c r="BG37" s="187"/>
      <c r="BH37" s="188"/>
      <c r="BI37" s="189">
        <f>COUNTIFS(tblPiNAnalysis[[#This Row],[Number of missing / zero PiNs greater than threshold - Data quality]:[Manual Flag]],"Flagged")</f>
        <v>2</v>
      </c>
      <c r="BJ37" s="346" t="str">
        <f>IF(tblPiNAnalysis[[#This Row],['# Flags]]&gt;0, "Flagged", "")</f>
        <v>Flagged</v>
      </c>
      <c r="BK37" s="339">
        <f>tblPiNAnalysis[[#This Row],[Preliminary PiN]]</f>
        <v>30135</v>
      </c>
      <c r="BL37" s="326"/>
      <c r="BM37" s="383">
        <f>IF(OR(tblPiNAnalysis[[#This Row],[Severity]]=4,tblPiNAnalysis[[#This Row],[Severity]]=5),tblPiNAnalysis[[#This Row],[Final PiN]],0)</f>
        <v>0</v>
      </c>
      <c r="BN37" s="378">
        <f>IF(OR(tblPiNAnalysis[[#This Row],[Severity]]=4,tblPiNAnalysis[[#This Row],[Severity]]=5),100%, IF(tblPiNAnalysis[[#This Row],[Severity]]=3,50%,0%))*tblPiNAnalysis[[#This Row],[Final PiN]]</f>
        <v>15067.5</v>
      </c>
      <c r="BO37" s="383">
        <f>IF(OR(tblPiNAnalysis[[#This Row],[Severity]]=4,tblPiNAnalysis[[#This Row],[Severity]]=5),100%, IF(AND(tblPiNAnalysis[[#This Row],[Severity]]=3,VLOOKUP(tblPiNAnalysis[[#This Row],[ID]],tblSeverityAnalysis[[ID]:[Highest Severity]],35,FALSE)&gt;3),50%,0%))*tblPiNAnalysis[[#This Row],[Final PiN]]</f>
        <v>0</v>
      </c>
    </row>
    <row r="38" spans="1:67" hidden="1">
      <c r="A3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Global_PopulationHT0322</v>
      </c>
      <c r="B38" s="304" t="s">
        <v>219</v>
      </c>
      <c r="C38" s="213" t="s">
        <v>220</v>
      </c>
      <c r="D38" s="213" t="s">
        <v>229</v>
      </c>
      <c r="E38" s="103" t="s">
        <v>230</v>
      </c>
      <c r="F38" s="99"/>
      <c r="G38" s="34"/>
      <c r="H38" s="357"/>
      <c r="I38" s="354">
        <v>43982</v>
      </c>
      <c r="J38" s="221" t="s">
        <v>156</v>
      </c>
      <c r="K38" s="316">
        <v>4372.5</v>
      </c>
      <c r="L38" s="308">
        <v>2847</v>
      </c>
      <c r="M38" s="308">
        <v>4291</v>
      </c>
      <c r="N38" s="308">
        <v>22237</v>
      </c>
      <c r="O38" s="308">
        <v>4680.5900317895939</v>
      </c>
      <c r="P38" s="308">
        <v>1950.22</v>
      </c>
      <c r="Q38" s="309">
        <v>0</v>
      </c>
      <c r="R38" s="308">
        <v>2915</v>
      </c>
      <c r="S38" s="308"/>
      <c r="T38" s="308"/>
      <c r="U38" s="308"/>
      <c r="V38" s="308"/>
      <c r="W38" s="317">
        <f>IFERROR(IF(tblPiNAnalysis[[#This Row],[CCCM]]="", "", MROUND(tblPiNAnalysis[[#This Row],[CCCM]]/tblPiNAnalysis[[#This Row],[Population]], 0.05)), "")</f>
        <v>0.1</v>
      </c>
      <c r="X38" s="318">
        <f>IFERROR(IF(tblPiNAnalysis[[#This Row],[Education]]="", "", MROUND(tblPiNAnalysis[[#This Row],[Education]]/tblPiNAnalysis[[#This Row],[Population]], 0.05)), "")</f>
        <v>0.05</v>
      </c>
      <c r="Y38" s="318">
        <f>IFERROR(IF(tblPiNAnalysis[[#This Row],[Nutrition]]="", "", MROUND(tblPiNAnalysis[[#This Row],[Nutrition]]/tblPiNAnalysis[[#This Row],[Population]], 0.05)), "")</f>
        <v>0.1</v>
      </c>
      <c r="Z38" s="318">
        <f>IFERROR(IF(tblPiNAnalysis[[#This Row],[Food Security]]="", "", MROUND(tblPiNAnalysis[[#This Row],[Food Security]]/tblPiNAnalysis[[#This Row],[Population]], 0.05)), "")</f>
        <v>0.5</v>
      </c>
      <c r="AA38" s="318">
        <f>IFERROR(IF(tblPiNAnalysis[[#This Row],[Health]]="", "", MROUND(tblPiNAnalysis[[#This Row],[Health]]/tblPiNAnalysis[[#This Row],[Population]], 0.05)), "")</f>
        <v>0.1</v>
      </c>
      <c r="AB38" s="319">
        <f>IFERROR(IF(tblPiNAnalysis[[#This Row],[Protection]]="", "", MROUND(tblPiNAnalysis[[#This Row],[Protection]]/tblPiNAnalysis[[#This Row],[Population]], 0.05)), "")</f>
        <v>0.05</v>
      </c>
      <c r="AC38" s="319">
        <f>IFERROR(IF(tblPiNAnalysis[[#This Row],[Shelter]]="", "", MROUND(tblPiNAnalysis[[#This Row],[Shelter]]/tblPiNAnalysis[[#This Row],[Population]], 0.05)), "")</f>
        <v>0</v>
      </c>
      <c r="AD38" s="320">
        <f>IFERROR(IF(tblPiNAnalysis[[#This Row],[WASH]]="", "", MROUND(tblPiNAnalysis[[#This Row],[WASH]]/tblPiNAnalysis[[#This Row],[Population]], 0.05)), "")</f>
        <v>0.05</v>
      </c>
      <c r="AE38" s="318">
        <f>IFERROR(MROUND(tblPiNAnalysis[[#This Row],[CP]]/tblPiNAnalysis[[#This Row],[Population]], 0.05), "")</f>
        <v>0</v>
      </c>
      <c r="AF38" s="318">
        <f>IFERROR(MROUND(tblPiNAnalysis[[#This Row],[GBV]]/tblPiNAnalysis[[#This Row],[Population]], 0.05), "")</f>
        <v>0</v>
      </c>
      <c r="AG38" s="318">
        <f>IFERROR(MROUND(tblPiNAnalysis[[#This Row],[Migrants]]/tblPiNAnalysis[[#This Row],[Population]], 0.05), "")</f>
        <v>0</v>
      </c>
      <c r="AH38" s="318">
        <f>IFERROR(MROUND(tblPiNAnalysis[[#This Row],[_]]/tblPiNAnalysis[[#This Row],[Population]], 0.05), "")</f>
        <v>0</v>
      </c>
      <c r="AI38" s="321">
        <f>IFERROR(LARGE(tblPiNAnalysis[[#This Row],[CCCM]:[WASH]], 1), "")</f>
        <v>22237</v>
      </c>
      <c r="AJ38" s="322" t="str" cm="1">
        <f t="array" ref="AJ38">IF(tblPiNAnalysis[[#This Row],[Highest PiN]]="", "", _xlfn.TEXTJOIN(CHAR(10), TRUE, IF(tblPiNAnalysis[[#This Row],[Highest PiN]]=tblPiNAnalysis[[#This Row],[CCCM]:[WASH]], tblPiNAnalysis[[#Headers],[CCCM]:[WASH]], "")))</f>
        <v>Food Security</v>
      </c>
      <c r="AK38" s="323">
        <f>IF(tblPiNAnalysis[[#This Row],[Highest PiN]]="", "", tblPiNAnalysis[[#This Row],[Highest PiN]]/tblPiNAnalysis[[#This Row],[Population]])</f>
        <v>0.50559319721704332</v>
      </c>
      <c r="AL38" s="265" t="str">
        <f>IF(SUM(tblPiNAnalysis[[#This Row],[CCCM]:[WASH]])=0, "",IF(COUNTIF(tblPiNAnalysis[[#This Row],[CCCM]:[WASH]],"=0")+COUNTIF(tblPiNAnalysis[[#This Row],[CCCM]:[WASH]],"")&gt;=zero_pin_thresh, "Flagged", ""))</f>
        <v/>
      </c>
      <c r="AM38" s="264" t="str">
        <f>IFERROR(IF(tblPiNAnalysis[[#This Row],[Highest PiN]]="", "", IF(tblPiNAnalysis[[#This Row],[Highest sector(s'') PiN %]]&gt;=flag_pin_perc, "Flagged", "")), "")</f>
        <v/>
      </c>
      <c r="AN38" s="266" t="str" cm="1">
        <f t="array" ref="AN38">IF(tblPiNAnalysis[[#This Row],[Highest PiN]]=0, "",  IF(OR(COUNTIF(tblPiNAnalysis[[#This Row],[Highest sector(s)]],tblSubSectorPopulation[Sector])), "Flagged", ""))</f>
        <v/>
      </c>
      <c r="AO38" s="45" cm="1">
        <f t="array" ref="AO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4680.5900317895939</v>
      </c>
      <c r="AP38" s="326" t="str" cm="1">
        <f t="array" ref="AP38">IF(tblPiNAnalysis[[#This Row],[2nd Highest PiN]]="", "", _xlfn.TEXTJOIN(CHAR(10), TRUE, IF(tblPiNAnalysis[[#This Row],[2nd Highest PiN]]=tblPiNAnalysis[[#This Row],[CCCM]:[WASH]], tblPiNAnalysis[[#Headers],[CCCM]:[WASH]], "")))</f>
        <v>Health</v>
      </c>
      <c r="AQ38" s="35">
        <f>IFERROR(tblPiNAnalysis[[#This Row],[2nd Highest PiN]]/tblPiNAnalysis[[#This Row],[Population]], "")</f>
        <v>0.10642058186961925</v>
      </c>
      <c r="AR38" s="45">
        <f>IFERROR(tblPiNAnalysis[[#This Row],[Highest PiN]]-tblPiNAnalysis[[#This Row],[2nd Highest PiN]], "")</f>
        <v>17556.409968210406</v>
      </c>
      <c r="AS38" s="38">
        <f>IFERROR(((tblPiNAnalysis[[#This Row],[Highest PiN]]-tblPiNAnalysis[[#This Row],[2nd Highest PiN]])/tblPiNAnalysis[[#This Row],[2nd Highest PiN]]),"")</f>
        <v>3.7508967563856097</v>
      </c>
      <c r="AT38" s="269" t="str" cm="1">
        <f t="array" ref="AT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8" s="327" cm="1">
        <f t="array" ref="AU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4372.5</v>
      </c>
      <c r="AV38" s="186" t="str" cm="1">
        <f t="array" ref="AV38">IF(tblPiNAnalysis[[#This Row],[3rd Highest PiN]]="", "", _xlfn.TEXTJOIN(CHAR(10), TRUE, IF(tblPiNAnalysis[[#This Row],[3rd Highest PiN]]=tblPiNAnalysis[[#This Row],[CCCM]:[WASH]], tblPiNAnalysis[[#Headers],[CCCM]:[WASH]], "")))</f>
        <v>CCCM</v>
      </c>
      <c r="AW38" s="186">
        <f>IFERROR(tblPiNAnalysis[[#This Row],[3rd Highest PiN]]/tblPiNAnalysis[[#This Row],[Population]], "")</f>
        <v>9.9415670046837337E-2</v>
      </c>
      <c r="AX38" s="44">
        <f>IFERROR(tblPiNAnalysis[[#This Row],[Highest PiN]]-tblPiNAnalysis[[#This Row],[3rd Highest PiN]],"")</f>
        <v>17864.5</v>
      </c>
      <c r="AY38" s="38">
        <f>IFERROR(tblPiNAnalysis[[#This Row],[Difference of PiN between Highest and 3rd Highest]]/tblPiNAnalysis[[#This Row],[3rd Highest PiN]], "")</f>
        <v>4.0856489422527158</v>
      </c>
      <c r="AZ38" s="325" t="str" cm="1">
        <f t="array" ref="AZ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8" s="292" cm="1">
        <f t="array" ref="BA38">IFERROR(IF(tblPiNAnalysis[[#This Row],[ID]]="", "", INDEX(tblPiNHistorical[[CCCM]:[WASH]], MATCH(tblPiNAnalysis[[#This Row],[ID]],tblPiNHistorical[ID], 0),MATCH(_xlfn._xlws.FILTER(tblPiNAnalysis[[#Headers],[CCCM]:[WASH]], tblPiNAnalysis[[#This Row],[Highest PiN]]=tblPiNAnalysis[[#This Row],[CCCM]:[WASH]]), tblPiNHistorical[[#Headers],[CCCM]:[WASH]], 0))), "")</f>
        <v>0.1</v>
      </c>
      <c r="BB38" s="328" t="str" cm="1">
        <f t="array" ref="BB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8" s="272" cm="1">
        <f t="array" ref="BC38">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38" s="329" t="str" cm="1">
        <f t="array" ref="BD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8" s="371">
        <f>INDEX(tblSeverityAnalysis[Final Severity], MATCH(tblPiNAnalysis[[#This Row],[ID]],tblSeverityAnalysis[ID], 0))</f>
        <v>2</v>
      </c>
      <c r="BF38" s="60">
        <f>IF(tblPiNAnalysis[[#This Row],[Severity]]&gt;2,tblPiNAnalysis[[#This Row],[Highest PiN]],)</f>
        <v>0</v>
      </c>
      <c r="BG38" s="187"/>
      <c r="BH38" s="188"/>
      <c r="BI38" s="189">
        <f>COUNTIFS(tblPiNAnalysis[[#This Row],[Number of missing / zero PiNs greater than threshold - Data quality]:[Manual Flag]],"Flagged")</f>
        <v>2</v>
      </c>
      <c r="BJ38" s="346" t="str">
        <f>IF(tblPiNAnalysis[[#This Row],['# Flags]]&gt;0, "Flagged", "")</f>
        <v>Flagged</v>
      </c>
      <c r="BK38" s="339">
        <f>tblPiNAnalysis[[#This Row],[Preliminary PiN]]</f>
        <v>0</v>
      </c>
      <c r="BL38" s="326"/>
      <c r="BM38" s="383">
        <f>IF(OR(tblPiNAnalysis[[#This Row],[Severity]]=4,tblPiNAnalysis[[#This Row],[Severity]]=5),tblPiNAnalysis[[#This Row],[Final PiN]],0)</f>
        <v>0</v>
      </c>
      <c r="BN38" s="378">
        <f>IF(OR(tblPiNAnalysis[[#This Row],[Severity]]=4,tblPiNAnalysis[[#This Row],[Severity]]=5),100%, IF(tblPiNAnalysis[[#This Row],[Severity]]=3,50%,0%))*tblPiNAnalysis[[#This Row],[Final PiN]]</f>
        <v>0</v>
      </c>
      <c r="BO38" s="383">
        <f>IF(OR(tblPiNAnalysis[[#This Row],[Severity]]=4,tblPiNAnalysis[[#This Row],[Severity]]=5),100%, IF(AND(tblPiNAnalysis[[#This Row],[Severity]]=3,VLOOKUP(tblPiNAnalysis[[#This Row],[ID]],tblSeverityAnalysis[[ID]:[Highest Severity]],35,FALSE)&gt;3),50%,0%))*tblPiNAnalysis[[#This Row],[Final PiN]]</f>
        <v>0</v>
      </c>
    </row>
    <row r="39" spans="1:67" hidden="1">
      <c r="A3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Global_PopulationHT0323</v>
      </c>
      <c r="B39" s="304" t="s">
        <v>219</v>
      </c>
      <c r="C39" s="213" t="s">
        <v>220</v>
      </c>
      <c r="D39" s="213" t="s">
        <v>231</v>
      </c>
      <c r="E39" s="103" t="s">
        <v>232</v>
      </c>
      <c r="F39" s="99"/>
      <c r="G39" s="34"/>
      <c r="H39" s="357"/>
      <c r="I39" s="354">
        <v>34193</v>
      </c>
      <c r="J39" s="221" t="s">
        <v>156</v>
      </c>
      <c r="K39" s="316">
        <v>3136.5</v>
      </c>
      <c r="L39" s="308">
        <v>2174</v>
      </c>
      <c r="M39" s="308">
        <v>3320</v>
      </c>
      <c r="N39" s="308">
        <v>17244</v>
      </c>
      <c r="O39" s="308">
        <v>2851.8176896221903</v>
      </c>
      <c r="P39" s="308">
        <v>3207.84</v>
      </c>
      <c r="Q39" s="309">
        <v>0</v>
      </c>
      <c r="R39" s="308">
        <v>4274.125</v>
      </c>
      <c r="S39" s="308"/>
      <c r="T39" s="308"/>
      <c r="U39" s="308"/>
      <c r="V39" s="308"/>
      <c r="W39" s="317">
        <f>IFERROR(IF(tblPiNAnalysis[[#This Row],[CCCM]]="", "", MROUND(tblPiNAnalysis[[#This Row],[CCCM]]/tblPiNAnalysis[[#This Row],[Population]], 0.05)), "")</f>
        <v>0.1</v>
      </c>
      <c r="X39" s="318">
        <f>IFERROR(IF(tblPiNAnalysis[[#This Row],[Education]]="", "", MROUND(tblPiNAnalysis[[#This Row],[Education]]/tblPiNAnalysis[[#This Row],[Population]], 0.05)), "")</f>
        <v>0.05</v>
      </c>
      <c r="Y39" s="318">
        <f>IFERROR(IF(tblPiNAnalysis[[#This Row],[Nutrition]]="", "", MROUND(tblPiNAnalysis[[#This Row],[Nutrition]]/tblPiNAnalysis[[#This Row],[Population]], 0.05)), "")</f>
        <v>0.1</v>
      </c>
      <c r="Z39" s="318">
        <f>IFERROR(IF(tblPiNAnalysis[[#This Row],[Food Security]]="", "", MROUND(tblPiNAnalysis[[#This Row],[Food Security]]/tblPiNAnalysis[[#This Row],[Population]], 0.05)), "")</f>
        <v>0.5</v>
      </c>
      <c r="AA39" s="318">
        <f>IFERROR(IF(tblPiNAnalysis[[#This Row],[Health]]="", "", MROUND(tblPiNAnalysis[[#This Row],[Health]]/tblPiNAnalysis[[#This Row],[Population]], 0.05)), "")</f>
        <v>0.1</v>
      </c>
      <c r="AB39" s="319">
        <f>IFERROR(IF(tblPiNAnalysis[[#This Row],[Protection]]="", "", MROUND(tblPiNAnalysis[[#This Row],[Protection]]/tblPiNAnalysis[[#This Row],[Population]], 0.05)), "")</f>
        <v>0.1</v>
      </c>
      <c r="AC39" s="319">
        <f>IFERROR(IF(tblPiNAnalysis[[#This Row],[Shelter]]="", "", MROUND(tblPiNAnalysis[[#This Row],[Shelter]]/tblPiNAnalysis[[#This Row],[Population]], 0.05)), "")</f>
        <v>0</v>
      </c>
      <c r="AD39" s="320">
        <f>IFERROR(IF(tblPiNAnalysis[[#This Row],[WASH]]="", "", MROUND(tblPiNAnalysis[[#This Row],[WASH]]/tblPiNAnalysis[[#This Row],[Population]], 0.05)), "")</f>
        <v>0.15000000000000002</v>
      </c>
      <c r="AE39" s="318">
        <f>IFERROR(MROUND(tblPiNAnalysis[[#This Row],[CP]]/tblPiNAnalysis[[#This Row],[Population]], 0.05), "")</f>
        <v>0</v>
      </c>
      <c r="AF39" s="318">
        <f>IFERROR(MROUND(tblPiNAnalysis[[#This Row],[GBV]]/tblPiNAnalysis[[#This Row],[Population]], 0.05), "")</f>
        <v>0</v>
      </c>
      <c r="AG39" s="318">
        <f>IFERROR(MROUND(tblPiNAnalysis[[#This Row],[Migrants]]/tblPiNAnalysis[[#This Row],[Population]], 0.05), "")</f>
        <v>0</v>
      </c>
      <c r="AH39" s="318">
        <f>IFERROR(MROUND(tblPiNAnalysis[[#This Row],[_]]/tblPiNAnalysis[[#This Row],[Population]], 0.05), "")</f>
        <v>0</v>
      </c>
      <c r="AI39" s="321">
        <f>IFERROR(LARGE(tblPiNAnalysis[[#This Row],[CCCM]:[WASH]], 1), "")</f>
        <v>17244</v>
      </c>
      <c r="AJ39" s="322" t="str" cm="1">
        <f t="array" ref="AJ39">IF(tblPiNAnalysis[[#This Row],[Highest PiN]]="", "", _xlfn.TEXTJOIN(CHAR(10), TRUE, IF(tblPiNAnalysis[[#This Row],[Highest PiN]]=tblPiNAnalysis[[#This Row],[CCCM]:[WASH]], tblPiNAnalysis[[#Headers],[CCCM]:[WASH]], "")))</f>
        <v>Food Security</v>
      </c>
      <c r="AK39" s="323">
        <f>IF(tblPiNAnalysis[[#This Row],[Highest PiN]]="", "", tblPiNAnalysis[[#This Row],[Highest PiN]]/tblPiNAnalysis[[#This Row],[Population]])</f>
        <v>0.50431374842804078</v>
      </c>
      <c r="AL39" s="265" t="str">
        <f>IF(SUM(tblPiNAnalysis[[#This Row],[CCCM]:[WASH]])=0, "",IF(COUNTIF(tblPiNAnalysis[[#This Row],[CCCM]:[WASH]],"=0")+COUNTIF(tblPiNAnalysis[[#This Row],[CCCM]:[WASH]],"")&gt;=zero_pin_thresh, "Flagged", ""))</f>
        <v/>
      </c>
      <c r="AM39" s="264" t="str">
        <f>IFERROR(IF(tblPiNAnalysis[[#This Row],[Highest PiN]]="", "", IF(tblPiNAnalysis[[#This Row],[Highest sector(s'') PiN %]]&gt;=flag_pin_perc, "Flagged", "")), "")</f>
        <v/>
      </c>
      <c r="AN39" s="266" t="str" cm="1">
        <f t="array" ref="AN39">IF(tblPiNAnalysis[[#This Row],[Highest PiN]]=0, "",  IF(OR(COUNTIF(tblPiNAnalysis[[#This Row],[Highest sector(s)]],tblSubSectorPopulation[Sector])), "Flagged", ""))</f>
        <v/>
      </c>
      <c r="AO39" s="45" cm="1">
        <f t="array" ref="AO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4274.125</v>
      </c>
      <c r="AP39" s="326" t="str" cm="1">
        <f t="array" ref="AP39">IF(tblPiNAnalysis[[#This Row],[2nd Highest PiN]]="", "", _xlfn.TEXTJOIN(CHAR(10), TRUE, IF(tblPiNAnalysis[[#This Row],[2nd Highest PiN]]=tblPiNAnalysis[[#This Row],[CCCM]:[WASH]], tblPiNAnalysis[[#Headers],[CCCM]:[WASH]], "")))</f>
        <v>WASH</v>
      </c>
      <c r="AQ39" s="35">
        <f>IFERROR(tblPiNAnalysis[[#This Row],[2nd Highest PiN]]/tblPiNAnalysis[[#This Row],[Population]], "")</f>
        <v>0.125</v>
      </c>
      <c r="AR39" s="45">
        <f>IFERROR(tblPiNAnalysis[[#This Row],[Highest PiN]]-tblPiNAnalysis[[#This Row],[2nd Highest PiN]], "")</f>
        <v>12969.875</v>
      </c>
      <c r="AS39" s="38">
        <f>IFERROR(((tblPiNAnalysis[[#This Row],[Highest PiN]]-tblPiNAnalysis[[#This Row],[2nd Highest PiN]])/tblPiNAnalysis[[#This Row],[2nd Highest PiN]]),"")</f>
        <v>3.0345099874243266</v>
      </c>
      <c r="AT39" s="269" t="str" cm="1">
        <f t="array" ref="AT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39" s="327" cm="1">
        <f t="array" ref="AU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3320</v>
      </c>
      <c r="AV39" s="186" t="str" cm="1">
        <f t="array" ref="AV39">IF(tblPiNAnalysis[[#This Row],[3rd Highest PiN]]="", "", _xlfn.TEXTJOIN(CHAR(10), TRUE, IF(tblPiNAnalysis[[#This Row],[3rd Highest PiN]]=tblPiNAnalysis[[#This Row],[CCCM]:[WASH]], tblPiNAnalysis[[#Headers],[CCCM]:[WASH]], "")))</f>
        <v>Nutrition</v>
      </c>
      <c r="AW39" s="186">
        <f>IFERROR(tblPiNAnalysis[[#This Row],[3rd Highest PiN]]/tblPiNAnalysis[[#This Row],[Population]], "")</f>
        <v>9.7095896820986752E-2</v>
      </c>
      <c r="AX39" s="44">
        <f>IFERROR(tblPiNAnalysis[[#This Row],[Highest PiN]]-tblPiNAnalysis[[#This Row],[3rd Highest PiN]],"")</f>
        <v>13924</v>
      </c>
      <c r="AY39" s="38">
        <f>IFERROR(tblPiNAnalysis[[#This Row],[Difference of PiN between Highest and 3rd Highest]]/tblPiNAnalysis[[#This Row],[3rd Highest PiN]], "")</f>
        <v>4.1939759036144579</v>
      </c>
      <c r="AZ39" s="325" t="str" cm="1">
        <f t="array" ref="AZ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39" s="292" cm="1">
        <f t="array" ref="BA39">IFERROR(IF(tblPiNAnalysis[[#This Row],[ID]]="", "", INDEX(tblPiNHistorical[[CCCM]:[WASH]], MATCH(tblPiNAnalysis[[#This Row],[ID]],tblPiNHistorical[ID], 0),MATCH(_xlfn._xlws.FILTER(tblPiNAnalysis[[#Headers],[CCCM]:[WASH]], tblPiNAnalysis[[#This Row],[Highest PiN]]=tblPiNAnalysis[[#This Row],[CCCM]:[WASH]]), tblPiNHistorical[[#Headers],[CCCM]:[WASH]], 0))), "")</f>
        <v>0.1</v>
      </c>
      <c r="BB39" s="328" t="str" cm="1">
        <f t="array" ref="BB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39" s="272" cm="1">
        <f t="array" ref="BC39">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39" s="329" t="str" cm="1">
        <f t="array" ref="BD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39" s="371">
        <f>INDEX(tblSeverityAnalysis[Final Severity], MATCH(tblPiNAnalysis[[#This Row],[ID]],tblSeverityAnalysis[ID], 0))</f>
        <v>2</v>
      </c>
      <c r="BF39" s="60">
        <f>IF(tblPiNAnalysis[[#This Row],[Severity]]&gt;2,tblPiNAnalysis[[#This Row],[Highest PiN]],)</f>
        <v>0</v>
      </c>
      <c r="BG39" s="187"/>
      <c r="BH39" s="188"/>
      <c r="BI39" s="189">
        <f>COUNTIFS(tblPiNAnalysis[[#This Row],[Number of missing / zero PiNs greater than threshold - Data quality]:[Manual Flag]],"Flagged")</f>
        <v>2</v>
      </c>
      <c r="BJ39" s="346" t="str">
        <f>IF(tblPiNAnalysis[[#This Row],['# Flags]]&gt;0, "Flagged", "")</f>
        <v>Flagged</v>
      </c>
      <c r="BK39" s="339">
        <f>tblPiNAnalysis[[#This Row],[Preliminary PiN]]</f>
        <v>0</v>
      </c>
      <c r="BL39" s="326"/>
      <c r="BM39" s="383">
        <f>IF(OR(tblPiNAnalysis[[#This Row],[Severity]]=4,tblPiNAnalysis[[#This Row],[Severity]]=5),tblPiNAnalysis[[#This Row],[Final PiN]],0)</f>
        <v>0</v>
      </c>
      <c r="BN39" s="378">
        <f>IF(OR(tblPiNAnalysis[[#This Row],[Severity]]=4,tblPiNAnalysis[[#This Row],[Severity]]=5),100%, IF(tblPiNAnalysis[[#This Row],[Severity]]=3,50%,0%))*tblPiNAnalysis[[#This Row],[Final PiN]]</f>
        <v>0</v>
      </c>
      <c r="BO39" s="383">
        <f>IF(OR(tblPiNAnalysis[[#This Row],[Severity]]=4,tblPiNAnalysis[[#This Row],[Severity]]=5),100%, IF(AND(tblPiNAnalysis[[#This Row],[Severity]]=3,VLOOKUP(tblPiNAnalysis[[#This Row],[ID]],tblSeverityAnalysis[[ID]:[Highest Severity]],35,FALSE)&gt;3),50%,0%))*tblPiNAnalysis[[#This Row],[Final PiN]]</f>
        <v>0</v>
      </c>
    </row>
    <row r="40" spans="1:67" hidden="1">
      <c r="A4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Global_PopulationHT0331</v>
      </c>
      <c r="B40" s="304" t="s">
        <v>219</v>
      </c>
      <c r="C40" s="213" t="s">
        <v>220</v>
      </c>
      <c r="D40" s="213" t="s">
        <v>233</v>
      </c>
      <c r="E40" s="103" t="s">
        <v>234</v>
      </c>
      <c r="F40" s="99"/>
      <c r="G40" s="34"/>
      <c r="H40" s="357"/>
      <c r="I40" s="354">
        <v>43816</v>
      </c>
      <c r="J40" s="221" t="s">
        <v>156</v>
      </c>
      <c r="K40" s="316">
        <v>8400</v>
      </c>
      <c r="L40" s="308">
        <v>2555</v>
      </c>
      <c r="M40" s="308">
        <v>4483</v>
      </c>
      <c r="N40" s="308">
        <v>22294</v>
      </c>
      <c r="O40" s="308">
        <v>9736.8090714285718</v>
      </c>
      <c r="P40" s="308">
        <v>3353.44</v>
      </c>
      <c r="Q40" s="309">
        <v>13260</v>
      </c>
      <c r="R40" s="308">
        <v>5600</v>
      </c>
      <c r="S40" s="308"/>
      <c r="T40" s="308"/>
      <c r="U40" s="308"/>
      <c r="V40" s="308"/>
      <c r="W40" s="317">
        <f>IFERROR(IF(tblPiNAnalysis[[#This Row],[CCCM]]="", "", MROUND(tblPiNAnalysis[[#This Row],[CCCM]]/tblPiNAnalysis[[#This Row],[Population]], 0.05)), "")</f>
        <v>0.2</v>
      </c>
      <c r="X40" s="318">
        <f>IFERROR(IF(tblPiNAnalysis[[#This Row],[Education]]="", "", MROUND(tblPiNAnalysis[[#This Row],[Education]]/tblPiNAnalysis[[#This Row],[Population]], 0.05)), "")</f>
        <v>0.05</v>
      </c>
      <c r="Y40" s="318">
        <f>IFERROR(IF(tblPiNAnalysis[[#This Row],[Nutrition]]="", "", MROUND(tblPiNAnalysis[[#This Row],[Nutrition]]/tblPiNAnalysis[[#This Row],[Population]], 0.05)), "")</f>
        <v>0.1</v>
      </c>
      <c r="Z40" s="318">
        <f>IFERROR(IF(tblPiNAnalysis[[#This Row],[Food Security]]="", "", MROUND(tblPiNAnalysis[[#This Row],[Food Security]]/tblPiNAnalysis[[#This Row],[Population]], 0.05)), "")</f>
        <v>0.5</v>
      </c>
      <c r="AA40" s="318">
        <f>IFERROR(IF(tblPiNAnalysis[[#This Row],[Health]]="", "", MROUND(tblPiNAnalysis[[#This Row],[Health]]/tblPiNAnalysis[[#This Row],[Population]], 0.05)), "")</f>
        <v>0.2</v>
      </c>
      <c r="AB40" s="319">
        <f>IFERROR(IF(tblPiNAnalysis[[#This Row],[Protection]]="", "", MROUND(tblPiNAnalysis[[#This Row],[Protection]]/tblPiNAnalysis[[#This Row],[Population]], 0.05)), "")</f>
        <v>0.1</v>
      </c>
      <c r="AC40" s="319">
        <f>IFERROR(IF(tblPiNAnalysis[[#This Row],[Shelter]]="", "", MROUND(tblPiNAnalysis[[#This Row],[Shelter]]/tblPiNAnalysis[[#This Row],[Population]], 0.05)), "")</f>
        <v>0.30000000000000004</v>
      </c>
      <c r="AD40" s="320">
        <f>IFERROR(IF(tblPiNAnalysis[[#This Row],[WASH]]="", "", MROUND(tblPiNAnalysis[[#This Row],[WASH]]/tblPiNAnalysis[[#This Row],[Population]], 0.05)), "")</f>
        <v>0.15000000000000002</v>
      </c>
      <c r="AE40" s="318">
        <f>IFERROR(MROUND(tblPiNAnalysis[[#This Row],[CP]]/tblPiNAnalysis[[#This Row],[Population]], 0.05), "")</f>
        <v>0</v>
      </c>
      <c r="AF40" s="318">
        <f>IFERROR(MROUND(tblPiNAnalysis[[#This Row],[GBV]]/tblPiNAnalysis[[#This Row],[Population]], 0.05), "")</f>
        <v>0</v>
      </c>
      <c r="AG40" s="318">
        <f>IFERROR(MROUND(tblPiNAnalysis[[#This Row],[Migrants]]/tblPiNAnalysis[[#This Row],[Population]], 0.05), "")</f>
        <v>0</v>
      </c>
      <c r="AH40" s="318">
        <f>IFERROR(MROUND(tblPiNAnalysis[[#This Row],[_]]/tblPiNAnalysis[[#This Row],[Population]], 0.05), "")</f>
        <v>0</v>
      </c>
      <c r="AI40" s="321">
        <f>IFERROR(LARGE(tblPiNAnalysis[[#This Row],[CCCM]:[WASH]], 1), "")</f>
        <v>22294</v>
      </c>
      <c r="AJ40" s="322" t="str" cm="1">
        <f t="array" ref="AJ40">IF(tblPiNAnalysis[[#This Row],[Highest PiN]]="", "", _xlfn.TEXTJOIN(CHAR(10), TRUE, IF(tblPiNAnalysis[[#This Row],[Highest PiN]]=tblPiNAnalysis[[#This Row],[CCCM]:[WASH]], tblPiNAnalysis[[#Headers],[CCCM]:[WASH]], "")))</f>
        <v>Food Security</v>
      </c>
      <c r="AK40" s="323">
        <f>IF(tblPiNAnalysis[[#This Row],[Highest PiN]]="", "", tblPiNAnalysis[[#This Row],[Highest PiN]]/tblPiNAnalysis[[#This Row],[Population]])</f>
        <v>0.5088095672813584</v>
      </c>
      <c r="AL40" s="265" t="str">
        <f>IF(SUM(tblPiNAnalysis[[#This Row],[CCCM]:[WASH]])=0, "",IF(COUNTIF(tblPiNAnalysis[[#This Row],[CCCM]:[WASH]],"=0")+COUNTIF(tblPiNAnalysis[[#This Row],[CCCM]:[WASH]],"")&gt;=zero_pin_thresh, "Flagged", ""))</f>
        <v/>
      </c>
      <c r="AM40" s="264" t="str">
        <f>IFERROR(IF(tblPiNAnalysis[[#This Row],[Highest PiN]]="", "", IF(tblPiNAnalysis[[#This Row],[Highest sector(s'') PiN %]]&gt;=flag_pin_perc, "Flagged", "")), "")</f>
        <v/>
      </c>
      <c r="AN40" s="266" t="str" cm="1">
        <f t="array" ref="AN40">IF(tblPiNAnalysis[[#This Row],[Highest PiN]]=0, "",  IF(OR(COUNTIF(tblPiNAnalysis[[#This Row],[Highest sector(s)]],tblSubSectorPopulation[Sector])), "Flagged", ""))</f>
        <v/>
      </c>
      <c r="AO40" s="45" cm="1">
        <f t="array" ref="AO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13260</v>
      </c>
      <c r="AP40" s="326" t="str" cm="1">
        <f t="array" ref="AP40">IF(tblPiNAnalysis[[#This Row],[2nd Highest PiN]]="", "", _xlfn.TEXTJOIN(CHAR(10), TRUE, IF(tblPiNAnalysis[[#This Row],[2nd Highest PiN]]=tblPiNAnalysis[[#This Row],[CCCM]:[WASH]], tblPiNAnalysis[[#Headers],[CCCM]:[WASH]], "")))</f>
        <v>Shelter</v>
      </c>
      <c r="AQ40" s="35">
        <f>IFERROR(tblPiNAnalysis[[#This Row],[2nd Highest PiN]]/tblPiNAnalysis[[#This Row],[Population]], "")</f>
        <v>0.30262917655650906</v>
      </c>
      <c r="AR40" s="45">
        <f>IFERROR(tblPiNAnalysis[[#This Row],[Highest PiN]]-tblPiNAnalysis[[#This Row],[2nd Highest PiN]], "")</f>
        <v>9034</v>
      </c>
      <c r="AS40" s="38">
        <f>IFERROR(((tblPiNAnalysis[[#This Row],[Highest PiN]]-tblPiNAnalysis[[#This Row],[2nd Highest PiN]])/tblPiNAnalysis[[#This Row],[2nd Highest PiN]]),"")</f>
        <v>0.68129713423831073</v>
      </c>
      <c r="AT40" s="269" t="str" cm="1">
        <f t="array" ref="AT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0" s="327" cm="1">
        <f t="array" ref="AU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9736.8090714285718</v>
      </c>
      <c r="AV40" s="186" t="str" cm="1">
        <f t="array" ref="AV40">IF(tblPiNAnalysis[[#This Row],[3rd Highest PiN]]="", "", _xlfn.TEXTJOIN(CHAR(10), TRUE, IF(tblPiNAnalysis[[#This Row],[3rd Highest PiN]]=tblPiNAnalysis[[#This Row],[CCCM]:[WASH]], tblPiNAnalysis[[#Headers],[CCCM]:[WASH]], "")))</f>
        <v>Health</v>
      </c>
      <c r="AW40" s="186">
        <f>IFERROR(tblPiNAnalysis[[#This Row],[3rd Highest PiN]]/tblPiNAnalysis[[#This Row],[Population]], "")</f>
        <v>0.22222040057121992</v>
      </c>
      <c r="AX40" s="44">
        <f>IFERROR(tblPiNAnalysis[[#This Row],[Highest PiN]]-tblPiNAnalysis[[#This Row],[3rd Highest PiN]],"")</f>
        <v>12557.190928571428</v>
      </c>
      <c r="AY40" s="38">
        <f>IFERROR(tblPiNAnalysis[[#This Row],[Difference of PiN between Highest and 3rd Highest]]/tblPiNAnalysis[[#This Row],[3rd Highest PiN]], "")</f>
        <v>1.2896618221075022</v>
      </c>
      <c r="AZ40" s="325" t="str" cm="1">
        <f t="array" ref="AZ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0" s="292" cm="1">
        <f t="array" ref="BA40">IFERROR(IF(tblPiNAnalysis[[#This Row],[ID]]="", "", INDEX(tblPiNHistorical[[CCCM]:[WASH]], MATCH(tblPiNAnalysis[[#This Row],[ID]],tblPiNHistorical[ID], 0),MATCH(_xlfn._xlws.FILTER(tblPiNAnalysis[[#Headers],[CCCM]:[WASH]], tblPiNAnalysis[[#This Row],[Highest PiN]]=tblPiNAnalysis[[#This Row],[CCCM]:[WASH]]), tblPiNHistorical[[#Headers],[CCCM]:[WASH]], 0))), "")</f>
        <v>0</v>
      </c>
      <c r="BB40" s="328" t="str" cm="1">
        <f t="array" ref="BB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0" s="272" cm="1">
        <f t="array" ref="BC40">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40" s="329" t="str" cm="1">
        <f t="array" ref="BD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0" s="371">
        <f>INDEX(tblSeverityAnalysis[Final Severity], MATCH(tblPiNAnalysis[[#This Row],[ID]],tblSeverityAnalysis[ID], 0))</f>
        <v>3</v>
      </c>
      <c r="BF40" s="60">
        <f>IF(tblPiNAnalysis[[#This Row],[Severity]]&gt;2,tblPiNAnalysis[[#This Row],[Highest PiN]],)</f>
        <v>22294</v>
      </c>
      <c r="BG40" s="187"/>
      <c r="BH40" s="188"/>
      <c r="BI40" s="189">
        <f>COUNTIFS(tblPiNAnalysis[[#This Row],[Number of missing / zero PiNs greater than threshold - Data quality]:[Manual Flag]],"Flagged")</f>
        <v>2</v>
      </c>
      <c r="BJ40" s="346" t="str">
        <f>IF(tblPiNAnalysis[[#This Row],['# Flags]]&gt;0, "Flagged", "")</f>
        <v>Flagged</v>
      </c>
      <c r="BK40" s="339">
        <f>tblPiNAnalysis[[#This Row],[Preliminary PiN]]</f>
        <v>22294</v>
      </c>
      <c r="BL40" s="326"/>
      <c r="BM40" s="383">
        <f>IF(OR(tblPiNAnalysis[[#This Row],[Severity]]=4,tblPiNAnalysis[[#This Row],[Severity]]=5),tblPiNAnalysis[[#This Row],[Final PiN]],0)</f>
        <v>0</v>
      </c>
      <c r="BN40" s="378">
        <f>IF(OR(tblPiNAnalysis[[#This Row],[Severity]]=4,tblPiNAnalysis[[#This Row],[Severity]]=5),100%, IF(tblPiNAnalysis[[#This Row],[Severity]]=3,50%,0%))*tblPiNAnalysis[[#This Row],[Final PiN]]</f>
        <v>11147</v>
      </c>
      <c r="BO40" s="383">
        <f>IF(OR(tblPiNAnalysis[[#This Row],[Severity]]=4,tblPiNAnalysis[[#This Row],[Severity]]=5),100%, IF(AND(tblPiNAnalysis[[#This Row],[Severity]]=3,VLOOKUP(tblPiNAnalysis[[#This Row],[ID]],tblSeverityAnalysis[[ID]:[Highest Severity]],35,FALSE)&gt;3),50%,0%))*tblPiNAnalysis[[#This Row],[Final PiN]]</f>
        <v>0</v>
      </c>
    </row>
    <row r="41" spans="1:67" hidden="1">
      <c r="A4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Global_PopulationHT0332</v>
      </c>
      <c r="B41" s="304" t="s">
        <v>219</v>
      </c>
      <c r="C41" s="213" t="s">
        <v>220</v>
      </c>
      <c r="D41" s="213" t="s">
        <v>235</v>
      </c>
      <c r="E41" s="103" t="s">
        <v>236</v>
      </c>
      <c r="F41" s="99"/>
      <c r="G41" s="34"/>
      <c r="H41" s="357"/>
      <c r="I41" s="354">
        <v>24534</v>
      </c>
      <c r="J41" s="221" t="s">
        <v>156</v>
      </c>
      <c r="K41" s="316">
        <v>3994.5</v>
      </c>
      <c r="L41" s="308">
        <v>1564</v>
      </c>
      <c r="M41" s="308">
        <v>2477</v>
      </c>
      <c r="N41" s="308">
        <v>12532</v>
      </c>
      <c r="O41" s="308">
        <v>4846.926175441231</v>
      </c>
      <c r="P41" s="308">
        <v>2684.686666666667</v>
      </c>
      <c r="Q41" s="309">
        <v>11281</v>
      </c>
      <c r="R41" s="308">
        <v>12267</v>
      </c>
      <c r="S41" s="308"/>
      <c r="T41" s="308"/>
      <c r="U41" s="308"/>
      <c r="V41" s="308"/>
      <c r="W41" s="317">
        <f>IFERROR(IF(tblPiNAnalysis[[#This Row],[CCCM]]="", "", MROUND(tblPiNAnalysis[[#This Row],[CCCM]]/tblPiNAnalysis[[#This Row],[Population]], 0.05)), "")</f>
        <v>0.15000000000000002</v>
      </c>
      <c r="X41" s="318">
        <f>IFERROR(IF(tblPiNAnalysis[[#This Row],[Education]]="", "", MROUND(tblPiNAnalysis[[#This Row],[Education]]/tblPiNAnalysis[[#This Row],[Population]], 0.05)), "")</f>
        <v>0.05</v>
      </c>
      <c r="Y41" s="318">
        <f>IFERROR(IF(tblPiNAnalysis[[#This Row],[Nutrition]]="", "", MROUND(tblPiNAnalysis[[#This Row],[Nutrition]]/tblPiNAnalysis[[#This Row],[Population]], 0.05)), "")</f>
        <v>0.1</v>
      </c>
      <c r="Z41" s="318">
        <f>IFERROR(IF(tblPiNAnalysis[[#This Row],[Food Security]]="", "", MROUND(tblPiNAnalysis[[#This Row],[Food Security]]/tblPiNAnalysis[[#This Row],[Population]], 0.05)), "")</f>
        <v>0.5</v>
      </c>
      <c r="AA41" s="318">
        <f>IFERROR(IF(tblPiNAnalysis[[#This Row],[Health]]="", "", MROUND(tblPiNAnalysis[[#This Row],[Health]]/tblPiNAnalysis[[#This Row],[Population]], 0.05)), "")</f>
        <v>0.2</v>
      </c>
      <c r="AB41" s="319">
        <f>IFERROR(IF(tblPiNAnalysis[[#This Row],[Protection]]="", "", MROUND(tblPiNAnalysis[[#This Row],[Protection]]/tblPiNAnalysis[[#This Row],[Population]], 0.05)), "")</f>
        <v>0.1</v>
      </c>
      <c r="AC41" s="319">
        <f>IFERROR(IF(tblPiNAnalysis[[#This Row],[Shelter]]="", "", MROUND(tblPiNAnalysis[[#This Row],[Shelter]]/tblPiNAnalysis[[#This Row],[Population]], 0.05)), "")</f>
        <v>0.45</v>
      </c>
      <c r="AD41" s="320">
        <f>IFERROR(IF(tblPiNAnalysis[[#This Row],[WASH]]="", "", MROUND(tblPiNAnalysis[[#This Row],[WASH]]/tblPiNAnalysis[[#This Row],[Population]], 0.05)), "")</f>
        <v>0.5</v>
      </c>
      <c r="AE41" s="318">
        <f>IFERROR(MROUND(tblPiNAnalysis[[#This Row],[CP]]/tblPiNAnalysis[[#This Row],[Population]], 0.05), "")</f>
        <v>0</v>
      </c>
      <c r="AF41" s="318">
        <f>IFERROR(MROUND(tblPiNAnalysis[[#This Row],[GBV]]/tblPiNAnalysis[[#This Row],[Population]], 0.05), "")</f>
        <v>0</v>
      </c>
      <c r="AG41" s="318">
        <f>IFERROR(MROUND(tblPiNAnalysis[[#This Row],[Migrants]]/tblPiNAnalysis[[#This Row],[Population]], 0.05), "")</f>
        <v>0</v>
      </c>
      <c r="AH41" s="318">
        <f>IFERROR(MROUND(tblPiNAnalysis[[#This Row],[_]]/tblPiNAnalysis[[#This Row],[Population]], 0.05), "")</f>
        <v>0</v>
      </c>
      <c r="AI41" s="321">
        <f>IFERROR(LARGE(tblPiNAnalysis[[#This Row],[CCCM]:[WASH]], 1), "")</f>
        <v>12532</v>
      </c>
      <c r="AJ41" s="322" t="str" cm="1">
        <f t="array" ref="AJ41">IF(tblPiNAnalysis[[#This Row],[Highest PiN]]="", "", _xlfn.TEXTJOIN(CHAR(10), TRUE, IF(tblPiNAnalysis[[#This Row],[Highest PiN]]=tblPiNAnalysis[[#This Row],[CCCM]:[WASH]], tblPiNAnalysis[[#Headers],[CCCM]:[WASH]], "")))</f>
        <v>Food Security</v>
      </c>
      <c r="AK41" s="323">
        <f>IF(tblPiNAnalysis[[#This Row],[Highest PiN]]="", "", tblPiNAnalysis[[#This Row],[Highest PiN]]/tblPiNAnalysis[[#This Row],[Population]])</f>
        <v>0.51080133692019236</v>
      </c>
      <c r="AL41" s="265" t="str">
        <f>IF(SUM(tblPiNAnalysis[[#This Row],[CCCM]:[WASH]])=0, "",IF(COUNTIF(tblPiNAnalysis[[#This Row],[CCCM]:[WASH]],"=0")+COUNTIF(tblPiNAnalysis[[#This Row],[CCCM]:[WASH]],"")&gt;=zero_pin_thresh, "Flagged", ""))</f>
        <v/>
      </c>
      <c r="AM41" s="264" t="str">
        <f>IFERROR(IF(tblPiNAnalysis[[#This Row],[Highest PiN]]="", "", IF(tblPiNAnalysis[[#This Row],[Highest sector(s'') PiN %]]&gt;=flag_pin_perc, "Flagged", "")), "")</f>
        <v/>
      </c>
      <c r="AN41" s="266" t="str" cm="1">
        <f t="array" ref="AN41">IF(tblPiNAnalysis[[#This Row],[Highest PiN]]=0, "",  IF(OR(COUNTIF(tblPiNAnalysis[[#This Row],[Highest sector(s)]],tblSubSectorPopulation[Sector])), "Flagged", ""))</f>
        <v/>
      </c>
      <c r="AO41" s="45" cm="1">
        <f t="array" ref="AO4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12267</v>
      </c>
      <c r="AP41" s="326" t="str" cm="1">
        <f t="array" ref="AP41">IF(tblPiNAnalysis[[#This Row],[2nd Highest PiN]]="", "", _xlfn.TEXTJOIN(CHAR(10), TRUE, IF(tblPiNAnalysis[[#This Row],[2nd Highest PiN]]=tblPiNAnalysis[[#This Row],[CCCM]:[WASH]], tblPiNAnalysis[[#Headers],[CCCM]:[WASH]], "")))</f>
        <v>WASH</v>
      </c>
      <c r="AQ41" s="35">
        <f>IFERROR(tblPiNAnalysis[[#This Row],[2nd Highest PiN]]/tblPiNAnalysis[[#This Row],[Population]], "")</f>
        <v>0.5</v>
      </c>
      <c r="AR41" s="45">
        <f>IFERROR(tblPiNAnalysis[[#This Row],[Highest PiN]]-tblPiNAnalysis[[#This Row],[2nd Highest PiN]], "")</f>
        <v>265</v>
      </c>
      <c r="AS41" s="38">
        <f>IFERROR(((tblPiNAnalysis[[#This Row],[Highest PiN]]-tblPiNAnalysis[[#This Row],[2nd Highest PiN]])/tblPiNAnalysis[[#This Row],[2nd Highest PiN]]),"")</f>
        <v>2.1602673840384772E-2</v>
      </c>
      <c r="AT41" s="269" t="str" cm="1">
        <f t="array" ref="AT4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1" s="327" cm="1">
        <f t="array" ref="AU4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11281</v>
      </c>
      <c r="AV41" s="186" t="str" cm="1">
        <f t="array" ref="AV41">IF(tblPiNAnalysis[[#This Row],[3rd Highest PiN]]="", "", _xlfn.TEXTJOIN(CHAR(10), TRUE, IF(tblPiNAnalysis[[#This Row],[3rd Highest PiN]]=tblPiNAnalysis[[#This Row],[CCCM]:[WASH]], tblPiNAnalysis[[#Headers],[CCCM]:[WASH]], "")))</f>
        <v>Shelter</v>
      </c>
      <c r="AW41" s="186">
        <f>IFERROR(tblPiNAnalysis[[#This Row],[3rd Highest PiN]]/tblPiNAnalysis[[#This Row],[Population]], "")</f>
        <v>0.45981087470449172</v>
      </c>
      <c r="AX41" s="44">
        <f>IFERROR(tblPiNAnalysis[[#This Row],[Highest PiN]]-tblPiNAnalysis[[#This Row],[3rd Highest PiN]],"")</f>
        <v>1251</v>
      </c>
      <c r="AY41" s="38">
        <f>IFERROR(tblPiNAnalysis[[#This Row],[Difference of PiN between Highest and 3rd Highest]]/tblPiNAnalysis[[#This Row],[3rd Highest PiN]], "")</f>
        <v>0.11089442425316905</v>
      </c>
      <c r="AZ41" s="325" t="str" cm="1">
        <f t="array" ref="AZ4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41" s="292" cm="1">
        <f t="array" ref="BA41">IFERROR(IF(tblPiNAnalysis[[#This Row],[ID]]="", "", INDEX(tblPiNHistorical[[CCCM]:[WASH]], MATCH(tblPiNAnalysis[[#This Row],[ID]],tblPiNHistorical[ID], 0),MATCH(_xlfn._xlws.FILTER(tblPiNAnalysis[[#Headers],[CCCM]:[WASH]], tblPiNAnalysis[[#This Row],[Highest PiN]]=tblPiNAnalysis[[#This Row],[CCCM]:[WASH]]), tblPiNHistorical[[#Headers],[CCCM]:[WASH]], 0))), "")</f>
        <v>0</v>
      </c>
      <c r="BB41" s="328" t="str" cm="1">
        <f t="array" ref="BB4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1" s="272" cm="1">
        <f t="array" ref="BC41">IFERROR(IF(tblPiNAnalysis[[#This Row],[ID]]="", "", INDEX(tblPiNHistorical[[CCCM]:[WASH]], MATCH(tblPiNAnalysis[[#This Row],[ID]],tblPiNHistorical[ID], 0),MATCH(_xlfn._xlws.FILTER(tblPiNAnalysis[[#Headers],[CCCM]:[WASH]], tblPiNAnalysis[[#This Row],[2nd Highest PiN]]=tblPiNAnalysis[[#This Row],[CCCM]:[WASH]]), tblPiNHistorical[[#Headers],[CCCM]:[WASH]], 0))), "")</f>
        <v>3.4</v>
      </c>
      <c r="BD41" s="329" t="str" cm="1">
        <f t="array" ref="BD4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41" s="371">
        <f>INDEX(tblSeverityAnalysis[Final Severity], MATCH(tblPiNAnalysis[[#This Row],[ID]],tblSeverityAnalysis[ID], 0))</f>
        <v>3</v>
      </c>
      <c r="BF41" s="60">
        <f>IF(tblPiNAnalysis[[#This Row],[Severity]]&gt;2,tblPiNAnalysis[[#This Row],[Highest PiN]],)</f>
        <v>12532</v>
      </c>
      <c r="BG41" s="187"/>
      <c r="BH41" s="188"/>
      <c r="BI41" s="189">
        <f>COUNTIFS(tblPiNAnalysis[[#This Row],[Number of missing / zero PiNs greater than threshold - Data quality]:[Manual Flag]],"Flagged")</f>
        <v>1</v>
      </c>
      <c r="BJ41" s="346" t="str">
        <f>IF(tblPiNAnalysis[[#This Row],['# Flags]]&gt;0, "Flagged", "")</f>
        <v>Flagged</v>
      </c>
      <c r="BK41" s="339">
        <f>tblPiNAnalysis[[#This Row],[Preliminary PiN]]</f>
        <v>12532</v>
      </c>
      <c r="BL41" s="326"/>
      <c r="BM41" s="383">
        <f>IF(OR(tblPiNAnalysis[[#This Row],[Severity]]=4,tblPiNAnalysis[[#This Row],[Severity]]=5),tblPiNAnalysis[[#This Row],[Final PiN]],0)</f>
        <v>0</v>
      </c>
      <c r="BN41" s="378">
        <f>IF(OR(tblPiNAnalysis[[#This Row],[Severity]]=4,tblPiNAnalysis[[#This Row],[Severity]]=5),100%, IF(tblPiNAnalysis[[#This Row],[Severity]]=3,50%,0%))*tblPiNAnalysis[[#This Row],[Final PiN]]</f>
        <v>6266</v>
      </c>
      <c r="BO41" s="383">
        <f>IF(OR(tblPiNAnalysis[[#This Row],[Severity]]=4,tblPiNAnalysis[[#This Row],[Severity]]=5),100%, IF(AND(tblPiNAnalysis[[#This Row],[Severity]]=3,VLOOKUP(tblPiNAnalysis[[#This Row],[ID]],tblSeverityAnalysis[[ID]:[Highest Severity]],35,FALSE)&gt;3),50%,0%))*tblPiNAnalysis[[#This Row],[Final PiN]]</f>
        <v>0</v>
      </c>
    </row>
    <row r="42" spans="1:67" hidden="1">
      <c r="A4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Global_PopulationHT0341</v>
      </c>
      <c r="B42" s="304" t="s">
        <v>219</v>
      </c>
      <c r="C42" s="213" t="s">
        <v>220</v>
      </c>
      <c r="D42" s="213" t="s">
        <v>237</v>
      </c>
      <c r="E42" s="103" t="s">
        <v>238</v>
      </c>
      <c r="F42" s="99"/>
      <c r="G42" s="34"/>
      <c r="H42" s="357"/>
      <c r="I42" s="354">
        <v>56607</v>
      </c>
      <c r="J42" s="221" t="s">
        <v>156</v>
      </c>
      <c r="K42" s="316">
        <v>3132</v>
      </c>
      <c r="L42" s="308">
        <v>3649</v>
      </c>
      <c r="M42" s="308">
        <v>5412</v>
      </c>
      <c r="N42" s="308">
        <v>28974</v>
      </c>
      <c r="O42" s="308">
        <v>3975.5317609195399</v>
      </c>
      <c r="P42" s="308">
        <v>1950.84</v>
      </c>
      <c r="Q42" s="309">
        <v>0</v>
      </c>
      <c r="R42" s="308">
        <v>2088</v>
      </c>
      <c r="S42" s="308"/>
      <c r="T42" s="308"/>
      <c r="U42" s="308"/>
      <c r="V42" s="308"/>
      <c r="W42" s="317">
        <f>IFERROR(IF(tblPiNAnalysis[[#This Row],[CCCM]]="", "", MROUND(tblPiNAnalysis[[#This Row],[CCCM]]/tblPiNAnalysis[[#This Row],[Population]], 0.05)), "")</f>
        <v>0.05</v>
      </c>
      <c r="X42" s="318">
        <f>IFERROR(IF(tblPiNAnalysis[[#This Row],[Education]]="", "", MROUND(tblPiNAnalysis[[#This Row],[Education]]/tblPiNAnalysis[[#This Row],[Population]], 0.05)), "")</f>
        <v>0.05</v>
      </c>
      <c r="Y42" s="318">
        <f>IFERROR(IF(tblPiNAnalysis[[#This Row],[Nutrition]]="", "", MROUND(tblPiNAnalysis[[#This Row],[Nutrition]]/tblPiNAnalysis[[#This Row],[Population]], 0.05)), "")</f>
        <v>0.1</v>
      </c>
      <c r="Z42" s="318">
        <f>IFERROR(IF(tblPiNAnalysis[[#This Row],[Food Security]]="", "", MROUND(tblPiNAnalysis[[#This Row],[Food Security]]/tblPiNAnalysis[[#This Row],[Population]], 0.05)), "")</f>
        <v>0.5</v>
      </c>
      <c r="AA42" s="318">
        <f>IFERROR(IF(tblPiNAnalysis[[#This Row],[Health]]="", "", MROUND(tblPiNAnalysis[[#This Row],[Health]]/tblPiNAnalysis[[#This Row],[Population]], 0.05)), "")</f>
        <v>0.05</v>
      </c>
      <c r="AB42" s="319">
        <f>IFERROR(IF(tblPiNAnalysis[[#This Row],[Protection]]="", "", MROUND(tblPiNAnalysis[[#This Row],[Protection]]/tblPiNAnalysis[[#This Row],[Population]], 0.05)), "")</f>
        <v>0.05</v>
      </c>
      <c r="AC42" s="319">
        <f>IFERROR(IF(tblPiNAnalysis[[#This Row],[Shelter]]="", "", MROUND(tblPiNAnalysis[[#This Row],[Shelter]]/tblPiNAnalysis[[#This Row],[Population]], 0.05)), "")</f>
        <v>0</v>
      </c>
      <c r="AD42" s="320">
        <f>IFERROR(IF(tblPiNAnalysis[[#This Row],[WASH]]="", "", MROUND(tblPiNAnalysis[[#This Row],[WASH]]/tblPiNAnalysis[[#This Row],[Population]], 0.05)), "")</f>
        <v>0.05</v>
      </c>
      <c r="AE42" s="318">
        <f>IFERROR(MROUND(tblPiNAnalysis[[#This Row],[CP]]/tblPiNAnalysis[[#This Row],[Population]], 0.05), "")</f>
        <v>0</v>
      </c>
      <c r="AF42" s="318">
        <f>IFERROR(MROUND(tblPiNAnalysis[[#This Row],[GBV]]/tblPiNAnalysis[[#This Row],[Population]], 0.05), "")</f>
        <v>0</v>
      </c>
      <c r="AG42" s="318">
        <f>IFERROR(MROUND(tblPiNAnalysis[[#This Row],[Migrants]]/tblPiNAnalysis[[#This Row],[Population]], 0.05), "")</f>
        <v>0</v>
      </c>
      <c r="AH42" s="318">
        <f>IFERROR(MROUND(tblPiNAnalysis[[#This Row],[_]]/tblPiNAnalysis[[#This Row],[Population]], 0.05), "")</f>
        <v>0</v>
      </c>
      <c r="AI42" s="321">
        <f>IFERROR(LARGE(tblPiNAnalysis[[#This Row],[CCCM]:[WASH]], 1), "")</f>
        <v>28974</v>
      </c>
      <c r="AJ42" s="322" t="str" cm="1">
        <f t="array" ref="AJ42">IF(tblPiNAnalysis[[#This Row],[Highest PiN]]="", "", _xlfn.TEXTJOIN(CHAR(10), TRUE, IF(tblPiNAnalysis[[#This Row],[Highest PiN]]=tblPiNAnalysis[[#This Row],[CCCM]:[WASH]], tblPiNAnalysis[[#Headers],[CCCM]:[WASH]], "")))</f>
        <v>Food Security</v>
      </c>
      <c r="AK42" s="323">
        <f>IF(tblPiNAnalysis[[#This Row],[Highest PiN]]="", "", tblPiNAnalysis[[#This Row],[Highest PiN]]/tblPiNAnalysis[[#This Row],[Population]])</f>
        <v>0.51184482484498384</v>
      </c>
      <c r="AL42" s="265" t="str">
        <f>IF(SUM(tblPiNAnalysis[[#This Row],[CCCM]:[WASH]])=0, "",IF(COUNTIF(tblPiNAnalysis[[#This Row],[CCCM]:[WASH]],"=0")+COUNTIF(tblPiNAnalysis[[#This Row],[CCCM]:[WASH]],"")&gt;=zero_pin_thresh, "Flagged", ""))</f>
        <v/>
      </c>
      <c r="AM42" s="264" t="str">
        <f>IFERROR(IF(tblPiNAnalysis[[#This Row],[Highest PiN]]="", "", IF(tblPiNAnalysis[[#This Row],[Highest sector(s'') PiN %]]&gt;=flag_pin_perc, "Flagged", "")), "")</f>
        <v/>
      </c>
      <c r="AN42" s="266" t="str" cm="1">
        <f t="array" ref="AN42">IF(tblPiNAnalysis[[#This Row],[Highest PiN]]=0, "",  IF(OR(COUNTIF(tblPiNAnalysis[[#This Row],[Highest sector(s)]],tblSubSectorPopulation[Sector])), "Flagged", ""))</f>
        <v/>
      </c>
      <c r="AO42" s="45" cm="1">
        <f t="array" ref="AO4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5412</v>
      </c>
      <c r="AP42" s="326" t="str" cm="1">
        <f t="array" ref="AP42">IF(tblPiNAnalysis[[#This Row],[2nd Highest PiN]]="", "", _xlfn.TEXTJOIN(CHAR(10), TRUE, IF(tblPiNAnalysis[[#This Row],[2nd Highest PiN]]=tblPiNAnalysis[[#This Row],[CCCM]:[WASH]], tblPiNAnalysis[[#Headers],[CCCM]:[WASH]], "")))</f>
        <v>Nutrition</v>
      </c>
      <c r="AQ42" s="35">
        <f>IFERROR(tblPiNAnalysis[[#This Row],[2nd Highest PiN]]/tblPiNAnalysis[[#This Row],[Population]], "")</f>
        <v>9.5606550426625678E-2</v>
      </c>
      <c r="AR42" s="45">
        <f>IFERROR(tblPiNAnalysis[[#This Row],[Highest PiN]]-tblPiNAnalysis[[#This Row],[2nd Highest PiN]], "")</f>
        <v>23562</v>
      </c>
      <c r="AS42" s="38">
        <f>IFERROR(((tblPiNAnalysis[[#This Row],[Highest PiN]]-tblPiNAnalysis[[#This Row],[2nd Highest PiN]])/tblPiNAnalysis[[#This Row],[2nd Highest PiN]]),"")</f>
        <v>4.3536585365853657</v>
      </c>
      <c r="AT42" s="269" t="str" cm="1">
        <f t="array" ref="AT4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2" s="327" cm="1">
        <f t="array" ref="AU4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3975.5317609195399</v>
      </c>
      <c r="AV42" s="186" t="str" cm="1">
        <f t="array" ref="AV42">IF(tblPiNAnalysis[[#This Row],[3rd Highest PiN]]="", "", _xlfn.TEXTJOIN(CHAR(10), TRUE, IF(tblPiNAnalysis[[#This Row],[3rd Highest PiN]]=tblPiNAnalysis[[#This Row],[CCCM]:[WASH]], tblPiNAnalysis[[#Headers],[CCCM]:[WASH]], "")))</f>
        <v>Health</v>
      </c>
      <c r="AW42" s="186">
        <f>IFERROR(tblPiNAnalysis[[#This Row],[3rd Highest PiN]]/tblPiNAnalysis[[#This Row],[Population]], "")</f>
        <v>7.0230391310607168E-2</v>
      </c>
      <c r="AX42" s="44">
        <f>IFERROR(tblPiNAnalysis[[#This Row],[Highest PiN]]-tblPiNAnalysis[[#This Row],[3rd Highest PiN]],"")</f>
        <v>24998.468239080459</v>
      </c>
      <c r="AY42" s="38">
        <f>IFERROR(tblPiNAnalysis[[#This Row],[Difference of PiN between Highest and 3rd Highest]]/tblPiNAnalysis[[#This Row],[3rd Highest PiN]], "")</f>
        <v>6.2880816309459737</v>
      </c>
      <c r="AZ42" s="325" t="str" cm="1">
        <f t="array" ref="AZ4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2" s="292" cm="1">
        <f t="array" ref="BA42">IFERROR(IF(tblPiNAnalysis[[#This Row],[ID]]="", "", INDEX(tblPiNHistorical[[CCCM]:[WASH]], MATCH(tblPiNAnalysis[[#This Row],[ID]],tblPiNHistorical[ID], 0),MATCH(_xlfn._xlws.FILTER(tblPiNAnalysis[[#Headers],[CCCM]:[WASH]], tblPiNAnalysis[[#This Row],[Highest PiN]]=tblPiNAnalysis[[#This Row],[CCCM]:[WASH]]), tblPiNHistorical[[#Headers],[CCCM]:[WASH]], 0))), "")</f>
        <v>0</v>
      </c>
      <c r="BB42" s="328" t="str" cm="1">
        <f t="array" ref="BB4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2" s="272" cm="1">
        <f t="array" ref="BC42">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42" s="329" t="str" cm="1">
        <f t="array" ref="BD4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2" s="371">
        <f>INDEX(tblSeverityAnalysis[Final Severity], MATCH(tblPiNAnalysis[[#This Row],[ID]],tblSeverityAnalysis[ID], 0))</f>
        <v>3</v>
      </c>
      <c r="BF42" s="60">
        <f>IF(tblPiNAnalysis[[#This Row],[Severity]]&gt;2,tblPiNAnalysis[[#This Row],[Highest PiN]],)</f>
        <v>28974</v>
      </c>
      <c r="BG42" s="187"/>
      <c r="BH42" s="188"/>
      <c r="BI42" s="189">
        <f>COUNTIFS(tblPiNAnalysis[[#This Row],[Number of missing / zero PiNs greater than threshold - Data quality]:[Manual Flag]],"Flagged")</f>
        <v>2</v>
      </c>
      <c r="BJ42" s="346" t="str">
        <f>IF(tblPiNAnalysis[[#This Row],['# Flags]]&gt;0, "Flagged", "")</f>
        <v>Flagged</v>
      </c>
      <c r="BK42" s="339">
        <f>tblPiNAnalysis[[#This Row],[Preliminary PiN]]</f>
        <v>28974</v>
      </c>
      <c r="BL42" s="326"/>
      <c r="BM42" s="383">
        <f>IF(OR(tblPiNAnalysis[[#This Row],[Severity]]=4,tblPiNAnalysis[[#This Row],[Severity]]=5),tblPiNAnalysis[[#This Row],[Final PiN]],0)</f>
        <v>0</v>
      </c>
      <c r="BN42" s="378">
        <f>IF(OR(tblPiNAnalysis[[#This Row],[Severity]]=4,tblPiNAnalysis[[#This Row],[Severity]]=5),100%, IF(tblPiNAnalysis[[#This Row],[Severity]]=3,50%,0%))*tblPiNAnalysis[[#This Row],[Final PiN]]</f>
        <v>14487</v>
      </c>
      <c r="BO42" s="383">
        <f>IF(OR(tblPiNAnalysis[[#This Row],[Severity]]=4,tblPiNAnalysis[[#This Row],[Severity]]=5),100%, IF(AND(tblPiNAnalysis[[#This Row],[Severity]]=3,VLOOKUP(tblPiNAnalysis[[#This Row],[ID]],tblSeverityAnalysis[[ID]:[Highest Severity]],35,FALSE)&gt;3),50%,0%))*tblPiNAnalysis[[#This Row],[Final PiN]]</f>
        <v>14487</v>
      </c>
    </row>
    <row r="43" spans="1:67" hidden="1">
      <c r="A4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Global_PopulationHT0342</v>
      </c>
      <c r="B43" s="304" t="s">
        <v>219</v>
      </c>
      <c r="C43" s="213" t="s">
        <v>220</v>
      </c>
      <c r="D43" s="213" t="s">
        <v>239</v>
      </c>
      <c r="E43" s="103" t="s">
        <v>240</v>
      </c>
      <c r="F43" s="99"/>
      <c r="G43" s="34"/>
      <c r="H43" s="357"/>
      <c r="I43" s="354">
        <v>36398</v>
      </c>
      <c r="J43" s="221" t="s">
        <v>156</v>
      </c>
      <c r="K43" s="316">
        <v>535.5</v>
      </c>
      <c r="L43" s="308">
        <v>2258</v>
      </c>
      <c r="M43" s="308">
        <v>3408</v>
      </c>
      <c r="N43" s="308">
        <v>18652</v>
      </c>
      <c r="O43" s="308">
        <v>1107.0445999999999</v>
      </c>
      <c r="P43" s="308">
        <v>1381.01</v>
      </c>
      <c r="Q43" s="309">
        <v>13918</v>
      </c>
      <c r="R43" s="308">
        <v>30331.666666666668</v>
      </c>
      <c r="S43" s="308"/>
      <c r="T43" s="308"/>
      <c r="U43" s="308"/>
      <c r="V43" s="308"/>
      <c r="W43" s="317">
        <f>IFERROR(IF(tblPiNAnalysis[[#This Row],[CCCM]]="", "", MROUND(tblPiNAnalysis[[#This Row],[CCCM]]/tblPiNAnalysis[[#This Row],[Population]], 0.05)), "")</f>
        <v>0</v>
      </c>
      <c r="X43" s="318">
        <f>IFERROR(IF(tblPiNAnalysis[[#This Row],[Education]]="", "", MROUND(tblPiNAnalysis[[#This Row],[Education]]/tblPiNAnalysis[[#This Row],[Population]], 0.05)), "")</f>
        <v>0.05</v>
      </c>
      <c r="Y43" s="318">
        <f>IFERROR(IF(tblPiNAnalysis[[#This Row],[Nutrition]]="", "", MROUND(tblPiNAnalysis[[#This Row],[Nutrition]]/tblPiNAnalysis[[#This Row],[Population]], 0.05)), "")</f>
        <v>0.1</v>
      </c>
      <c r="Z43" s="318">
        <f>IFERROR(IF(tblPiNAnalysis[[#This Row],[Food Security]]="", "", MROUND(tblPiNAnalysis[[#This Row],[Food Security]]/tblPiNAnalysis[[#This Row],[Population]], 0.05)), "")</f>
        <v>0.5</v>
      </c>
      <c r="AA43" s="318">
        <f>IFERROR(IF(tblPiNAnalysis[[#This Row],[Health]]="", "", MROUND(tblPiNAnalysis[[#This Row],[Health]]/tblPiNAnalysis[[#This Row],[Population]], 0.05)), "")</f>
        <v>0.05</v>
      </c>
      <c r="AB43" s="319">
        <f>IFERROR(IF(tblPiNAnalysis[[#This Row],[Protection]]="", "", MROUND(tblPiNAnalysis[[#This Row],[Protection]]/tblPiNAnalysis[[#This Row],[Population]], 0.05)), "")</f>
        <v>0.05</v>
      </c>
      <c r="AC43" s="319">
        <f>IFERROR(IF(tblPiNAnalysis[[#This Row],[Shelter]]="", "", MROUND(tblPiNAnalysis[[#This Row],[Shelter]]/tblPiNAnalysis[[#This Row],[Population]], 0.05)), "")</f>
        <v>0.4</v>
      </c>
      <c r="AD43" s="320">
        <f>IFERROR(IF(tblPiNAnalysis[[#This Row],[WASH]]="", "", MROUND(tblPiNAnalysis[[#This Row],[WASH]]/tblPiNAnalysis[[#This Row],[Population]], 0.05)), "")</f>
        <v>0.85000000000000009</v>
      </c>
      <c r="AE43" s="318">
        <f>IFERROR(MROUND(tblPiNAnalysis[[#This Row],[CP]]/tblPiNAnalysis[[#This Row],[Population]], 0.05), "")</f>
        <v>0</v>
      </c>
      <c r="AF43" s="318">
        <f>IFERROR(MROUND(tblPiNAnalysis[[#This Row],[GBV]]/tblPiNAnalysis[[#This Row],[Population]], 0.05), "")</f>
        <v>0</v>
      </c>
      <c r="AG43" s="318">
        <f>IFERROR(MROUND(tblPiNAnalysis[[#This Row],[Migrants]]/tblPiNAnalysis[[#This Row],[Population]], 0.05), "")</f>
        <v>0</v>
      </c>
      <c r="AH43" s="318">
        <f>IFERROR(MROUND(tblPiNAnalysis[[#This Row],[_]]/tblPiNAnalysis[[#This Row],[Population]], 0.05), "")</f>
        <v>0</v>
      </c>
      <c r="AI43" s="321">
        <f>IFERROR(LARGE(tblPiNAnalysis[[#This Row],[CCCM]:[WASH]], 1), "")</f>
        <v>30331.666666666668</v>
      </c>
      <c r="AJ43" s="322" t="str" cm="1">
        <f t="array" ref="AJ43">IF(tblPiNAnalysis[[#This Row],[Highest PiN]]="", "", _xlfn.TEXTJOIN(CHAR(10), TRUE, IF(tblPiNAnalysis[[#This Row],[Highest PiN]]=tblPiNAnalysis[[#This Row],[CCCM]:[WASH]], tblPiNAnalysis[[#Headers],[CCCM]:[WASH]], "")))</f>
        <v>WASH</v>
      </c>
      <c r="AK43" s="323">
        <f>IF(tblPiNAnalysis[[#This Row],[Highest PiN]]="", "", tblPiNAnalysis[[#This Row],[Highest PiN]]/tblPiNAnalysis[[#This Row],[Population]])</f>
        <v>0.83333333333333337</v>
      </c>
      <c r="AL43" s="265" t="str">
        <f>IF(SUM(tblPiNAnalysis[[#This Row],[CCCM]:[WASH]])=0, "",IF(COUNTIF(tblPiNAnalysis[[#This Row],[CCCM]:[WASH]],"=0")+COUNTIF(tblPiNAnalysis[[#This Row],[CCCM]:[WASH]],"")&gt;=zero_pin_thresh, "Flagged", ""))</f>
        <v/>
      </c>
      <c r="AM43" s="264" t="str">
        <f>IFERROR(IF(tblPiNAnalysis[[#This Row],[Highest PiN]]="", "", IF(tblPiNAnalysis[[#This Row],[Highest sector(s'') PiN %]]&gt;=flag_pin_perc, "Flagged", "")), "")</f>
        <v/>
      </c>
      <c r="AN43" s="266" t="str" cm="1">
        <f t="array" ref="AN43">IF(tblPiNAnalysis[[#This Row],[Highest PiN]]=0, "",  IF(OR(COUNTIF(tblPiNAnalysis[[#This Row],[Highest sector(s)]],tblSubSectorPopulation[Sector])), "Flagged", ""))</f>
        <v/>
      </c>
      <c r="AO43" s="45" cm="1">
        <f t="array" ref="AO4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18652</v>
      </c>
      <c r="AP43" s="326" t="str" cm="1">
        <f t="array" ref="AP43">IF(tblPiNAnalysis[[#This Row],[2nd Highest PiN]]="", "", _xlfn.TEXTJOIN(CHAR(10), TRUE, IF(tblPiNAnalysis[[#This Row],[2nd Highest PiN]]=tblPiNAnalysis[[#This Row],[CCCM]:[WASH]], tblPiNAnalysis[[#Headers],[CCCM]:[WASH]], "")))</f>
        <v>Food Security</v>
      </c>
      <c r="AQ43" s="35">
        <f>IFERROR(tblPiNAnalysis[[#This Row],[2nd Highest PiN]]/tblPiNAnalysis[[#This Row],[Population]], "")</f>
        <v>0.51244573877685584</v>
      </c>
      <c r="AR43" s="45">
        <f>IFERROR(tblPiNAnalysis[[#This Row],[Highest PiN]]-tblPiNAnalysis[[#This Row],[2nd Highest PiN]], "")</f>
        <v>11679.666666666668</v>
      </c>
      <c r="AS43" s="38">
        <f>IFERROR(((tblPiNAnalysis[[#This Row],[Highest PiN]]-tblPiNAnalysis[[#This Row],[2nd Highest PiN]])/tblPiNAnalysis[[#This Row],[2nd Highest PiN]]),"")</f>
        <v>0.62618843376939026</v>
      </c>
      <c r="AT43" s="269" t="str" cm="1">
        <f t="array" ref="AT4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3" s="327" cm="1">
        <f t="array" ref="AU4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13918</v>
      </c>
      <c r="AV43" s="186" t="str" cm="1">
        <f t="array" ref="AV43">IF(tblPiNAnalysis[[#This Row],[3rd Highest PiN]]="", "", _xlfn.TEXTJOIN(CHAR(10), TRUE, IF(tblPiNAnalysis[[#This Row],[3rd Highest PiN]]=tblPiNAnalysis[[#This Row],[CCCM]:[WASH]], tblPiNAnalysis[[#Headers],[CCCM]:[WASH]], "")))</f>
        <v>Shelter</v>
      </c>
      <c r="AW43" s="186">
        <f>IFERROR(tblPiNAnalysis[[#This Row],[3rd Highest PiN]]/tblPiNAnalysis[[#This Row],[Population]], "")</f>
        <v>0.38238364745315678</v>
      </c>
      <c r="AX43" s="44">
        <f>IFERROR(tblPiNAnalysis[[#This Row],[Highest PiN]]-tblPiNAnalysis[[#This Row],[3rd Highest PiN]],"")</f>
        <v>16413.666666666668</v>
      </c>
      <c r="AY43" s="38">
        <f>IFERROR(tblPiNAnalysis[[#This Row],[Difference of PiN between Highest and 3rd Highest]]/tblPiNAnalysis[[#This Row],[3rd Highest PiN]], "")</f>
        <v>1.1793121617090578</v>
      </c>
      <c r="AZ43" s="325" t="str" cm="1">
        <f t="array" ref="AZ4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3" s="292" cm="1">
        <f t="array" ref="BA43">IFERROR(IF(tblPiNAnalysis[[#This Row],[ID]]="", "", INDEX(tblPiNHistorical[[CCCM]:[WASH]], MATCH(tblPiNAnalysis[[#This Row],[ID]],tblPiNHistorical[ID], 0),MATCH(_xlfn._xlws.FILTER(tblPiNAnalysis[[#Headers],[CCCM]:[WASH]], tblPiNAnalysis[[#This Row],[Highest PiN]]=tblPiNAnalysis[[#This Row],[CCCM]:[WASH]]), tblPiNHistorical[[#Headers],[CCCM]:[WASH]], 0))), "")</f>
        <v>2.1</v>
      </c>
      <c r="BB43" s="328" t="str" cm="1">
        <f t="array" ref="BB4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43" s="272" cm="1">
        <f t="array" ref="BC43">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43" s="329" t="str" cm="1">
        <f t="array" ref="BD4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3" s="371">
        <f>INDEX(tblSeverityAnalysis[Final Severity], MATCH(tblPiNAnalysis[[#This Row],[ID]],tblSeverityAnalysis[ID], 0))</f>
        <v>3</v>
      </c>
      <c r="BF43" s="60">
        <f>IF(tblPiNAnalysis[[#This Row],[Severity]]&gt;2,tblPiNAnalysis[[#This Row],[Highest PiN]],)</f>
        <v>30331.666666666668</v>
      </c>
      <c r="BG43" s="187"/>
      <c r="BH43" s="188"/>
      <c r="BI43" s="189">
        <f>COUNTIFS(tblPiNAnalysis[[#This Row],[Number of missing / zero PiNs greater than threshold - Data quality]:[Manual Flag]],"Flagged")</f>
        <v>3</v>
      </c>
      <c r="BJ43" s="346" t="str">
        <f>IF(tblPiNAnalysis[[#This Row],['# Flags]]&gt;0, "Flagged", "")</f>
        <v>Flagged</v>
      </c>
      <c r="BK43" s="308">
        <v>18652</v>
      </c>
      <c r="BL43" s="326" t="s">
        <v>157</v>
      </c>
      <c r="BM43" s="383">
        <f>IF(OR(tblPiNAnalysis[[#This Row],[Severity]]=4,tblPiNAnalysis[[#This Row],[Severity]]=5),tblPiNAnalysis[[#This Row],[Final PiN]],0)</f>
        <v>0</v>
      </c>
      <c r="BN43" s="378">
        <f>IF(OR(tblPiNAnalysis[[#This Row],[Severity]]=4,tblPiNAnalysis[[#This Row],[Severity]]=5),100%, IF(tblPiNAnalysis[[#This Row],[Severity]]=3,50%,0%))*tblPiNAnalysis[[#This Row],[Final PiN]]</f>
        <v>9326</v>
      </c>
      <c r="BO43" s="383">
        <f>IF(OR(tblPiNAnalysis[[#This Row],[Severity]]=4,tblPiNAnalysis[[#This Row],[Severity]]=5),100%, IF(AND(tblPiNAnalysis[[#This Row],[Severity]]=3,VLOOKUP(tblPiNAnalysis[[#This Row],[ID]],tblSeverityAnalysis[[ID]:[Highest Severity]],35,FALSE)&gt;3),50%,0%))*tblPiNAnalysis[[#This Row],[Final PiN]]</f>
        <v>0</v>
      </c>
    </row>
    <row r="44" spans="1:67" hidden="1">
      <c r="A4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Global_PopulationHT0343</v>
      </c>
      <c r="B44" s="304" t="s">
        <v>219</v>
      </c>
      <c r="C44" s="213" t="s">
        <v>220</v>
      </c>
      <c r="D44" s="213" t="s">
        <v>241</v>
      </c>
      <c r="E44" s="103" t="s">
        <v>242</v>
      </c>
      <c r="F44" s="99"/>
      <c r="G44" s="34"/>
      <c r="H44" s="357"/>
      <c r="I44" s="354">
        <v>29256</v>
      </c>
      <c r="J44" s="221" t="s">
        <v>156</v>
      </c>
      <c r="K44" s="316">
        <v>411</v>
      </c>
      <c r="L44" s="308">
        <v>1913</v>
      </c>
      <c r="M44" s="308">
        <v>2734</v>
      </c>
      <c r="N44" s="308">
        <v>14933</v>
      </c>
      <c r="O44" s="308">
        <v>872.75493722627721</v>
      </c>
      <c r="P44" s="308">
        <v>1085.21</v>
      </c>
      <c r="Q44" s="309">
        <v>15828</v>
      </c>
      <c r="R44" s="308">
        <v>1529.5</v>
      </c>
      <c r="S44" s="308"/>
      <c r="T44" s="308"/>
      <c r="U44" s="308"/>
      <c r="V44" s="308"/>
      <c r="W44" s="317">
        <f>IFERROR(IF(tblPiNAnalysis[[#This Row],[CCCM]]="", "", MROUND(tblPiNAnalysis[[#This Row],[CCCM]]/tblPiNAnalysis[[#This Row],[Population]], 0.05)), "")</f>
        <v>0</v>
      </c>
      <c r="X44" s="318">
        <f>IFERROR(IF(tblPiNAnalysis[[#This Row],[Education]]="", "", MROUND(tblPiNAnalysis[[#This Row],[Education]]/tblPiNAnalysis[[#This Row],[Population]], 0.05)), "")</f>
        <v>0.05</v>
      </c>
      <c r="Y44" s="318">
        <f>IFERROR(IF(tblPiNAnalysis[[#This Row],[Nutrition]]="", "", MROUND(tblPiNAnalysis[[#This Row],[Nutrition]]/tblPiNAnalysis[[#This Row],[Population]], 0.05)), "")</f>
        <v>0.1</v>
      </c>
      <c r="Z44" s="318">
        <f>IFERROR(IF(tblPiNAnalysis[[#This Row],[Food Security]]="", "", MROUND(tblPiNAnalysis[[#This Row],[Food Security]]/tblPiNAnalysis[[#This Row],[Population]], 0.05)), "")</f>
        <v>0.5</v>
      </c>
      <c r="AA44" s="318">
        <f>IFERROR(IF(tblPiNAnalysis[[#This Row],[Health]]="", "", MROUND(tblPiNAnalysis[[#This Row],[Health]]/tblPiNAnalysis[[#This Row],[Population]], 0.05)), "")</f>
        <v>0.05</v>
      </c>
      <c r="AB44" s="319">
        <f>IFERROR(IF(tblPiNAnalysis[[#This Row],[Protection]]="", "", MROUND(tblPiNAnalysis[[#This Row],[Protection]]/tblPiNAnalysis[[#This Row],[Population]], 0.05)), "")</f>
        <v>0.05</v>
      </c>
      <c r="AC44" s="319">
        <f>IFERROR(IF(tblPiNAnalysis[[#This Row],[Shelter]]="", "", MROUND(tblPiNAnalysis[[#This Row],[Shelter]]/tblPiNAnalysis[[#This Row],[Population]], 0.05)), "")</f>
        <v>0.55000000000000004</v>
      </c>
      <c r="AD44" s="320">
        <f>IFERROR(IF(tblPiNAnalysis[[#This Row],[WASH]]="", "", MROUND(tblPiNAnalysis[[#This Row],[WASH]]/tblPiNAnalysis[[#This Row],[Population]], 0.05)), "")</f>
        <v>0.05</v>
      </c>
      <c r="AE44" s="318">
        <f>IFERROR(MROUND(tblPiNAnalysis[[#This Row],[CP]]/tblPiNAnalysis[[#This Row],[Population]], 0.05), "")</f>
        <v>0</v>
      </c>
      <c r="AF44" s="318">
        <f>IFERROR(MROUND(tblPiNAnalysis[[#This Row],[GBV]]/tblPiNAnalysis[[#This Row],[Population]], 0.05), "")</f>
        <v>0</v>
      </c>
      <c r="AG44" s="318">
        <f>IFERROR(MROUND(tblPiNAnalysis[[#This Row],[Migrants]]/tblPiNAnalysis[[#This Row],[Population]], 0.05), "")</f>
        <v>0</v>
      </c>
      <c r="AH44" s="318">
        <f>IFERROR(MROUND(tblPiNAnalysis[[#This Row],[_]]/tblPiNAnalysis[[#This Row],[Population]], 0.05), "")</f>
        <v>0</v>
      </c>
      <c r="AI44" s="321">
        <f>IFERROR(LARGE(tblPiNAnalysis[[#This Row],[CCCM]:[WASH]], 1), "")</f>
        <v>15828</v>
      </c>
      <c r="AJ44" s="322" t="str" cm="1">
        <f t="array" ref="AJ44">IF(tblPiNAnalysis[[#This Row],[Highest PiN]]="", "", _xlfn.TEXTJOIN(CHAR(10), TRUE, IF(tblPiNAnalysis[[#This Row],[Highest PiN]]=tblPiNAnalysis[[#This Row],[CCCM]:[WASH]], tblPiNAnalysis[[#Headers],[CCCM]:[WASH]], "")))</f>
        <v>Shelter</v>
      </c>
      <c r="AK44" s="323">
        <f>IF(tblPiNAnalysis[[#This Row],[Highest PiN]]="", "", tblPiNAnalysis[[#This Row],[Highest PiN]]/tblPiNAnalysis[[#This Row],[Population]])</f>
        <v>0.54101722723543888</v>
      </c>
      <c r="AL44" s="265" t="str">
        <f>IF(SUM(tblPiNAnalysis[[#This Row],[CCCM]:[WASH]])=0, "",IF(COUNTIF(tblPiNAnalysis[[#This Row],[CCCM]:[WASH]],"=0")+COUNTIF(tblPiNAnalysis[[#This Row],[CCCM]:[WASH]],"")&gt;=zero_pin_thresh, "Flagged", ""))</f>
        <v/>
      </c>
      <c r="AM44" s="264" t="str">
        <f>IFERROR(IF(tblPiNAnalysis[[#This Row],[Highest PiN]]="", "", IF(tblPiNAnalysis[[#This Row],[Highest sector(s'') PiN %]]&gt;=flag_pin_perc, "Flagged", "")), "")</f>
        <v/>
      </c>
      <c r="AN44" s="266" t="str" cm="1">
        <f t="array" ref="AN44">IF(tblPiNAnalysis[[#This Row],[Highest PiN]]=0, "",  IF(OR(COUNTIF(tblPiNAnalysis[[#This Row],[Highest sector(s)]],tblSubSectorPopulation[Sector])), "Flagged", ""))</f>
        <v/>
      </c>
      <c r="AO44" s="45" cm="1">
        <f t="array" ref="AO4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14933</v>
      </c>
      <c r="AP44" s="326" t="str" cm="1">
        <f t="array" ref="AP44">IF(tblPiNAnalysis[[#This Row],[2nd Highest PiN]]="", "", _xlfn.TEXTJOIN(CHAR(10), TRUE, IF(tblPiNAnalysis[[#This Row],[2nd Highest PiN]]=tblPiNAnalysis[[#This Row],[CCCM]:[WASH]], tblPiNAnalysis[[#Headers],[CCCM]:[WASH]], "")))</f>
        <v>Food Security</v>
      </c>
      <c r="AQ44" s="35">
        <f>IFERROR(tblPiNAnalysis[[#This Row],[2nd Highest PiN]]/tblPiNAnalysis[[#This Row],[Population]], "")</f>
        <v>0.51042521192234069</v>
      </c>
      <c r="AR44" s="45">
        <f>IFERROR(tblPiNAnalysis[[#This Row],[Highest PiN]]-tblPiNAnalysis[[#This Row],[2nd Highest PiN]], "")</f>
        <v>895</v>
      </c>
      <c r="AS44" s="38">
        <f>IFERROR(((tblPiNAnalysis[[#This Row],[Highest PiN]]-tblPiNAnalysis[[#This Row],[2nd Highest PiN]])/tblPiNAnalysis[[#This Row],[2nd Highest PiN]]),"")</f>
        <v>5.9934373535123549E-2</v>
      </c>
      <c r="AT44" s="269" t="str" cm="1">
        <f t="array" ref="AT4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4" s="327" cm="1">
        <f t="array" ref="AU4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2734</v>
      </c>
      <c r="AV44" s="186" t="str" cm="1">
        <f t="array" ref="AV44">IF(tblPiNAnalysis[[#This Row],[3rd Highest PiN]]="", "", _xlfn.TEXTJOIN(CHAR(10), TRUE, IF(tblPiNAnalysis[[#This Row],[3rd Highest PiN]]=tblPiNAnalysis[[#This Row],[CCCM]:[WASH]], tblPiNAnalysis[[#Headers],[CCCM]:[WASH]], "")))</f>
        <v>Nutrition</v>
      </c>
      <c r="AW44" s="186">
        <f>IFERROR(tblPiNAnalysis[[#This Row],[3rd Highest PiN]]/tblPiNAnalysis[[#This Row],[Population]], "")</f>
        <v>9.3450916051408262E-2</v>
      </c>
      <c r="AX44" s="44">
        <f>IFERROR(tblPiNAnalysis[[#This Row],[Highest PiN]]-tblPiNAnalysis[[#This Row],[3rd Highest PiN]],"")</f>
        <v>13094</v>
      </c>
      <c r="AY44" s="38">
        <f>IFERROR(tblPiNAnalysis[[#This Row],[Difference of PiN between Highest and 3rd Highest]]/tblPiNAnalysis[[#This Row],[3rd Highest PiN]], "")</f>
        <v>4.7893196781272858</v>
      </c>
      <c r="AZ44" s="325" t="str" cm="1">
        <f t="array" ref="AZ4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4" s="292" t="str" cm="1">
        <f t="array" ref="BA44">IFERROR(IF(tblPiNAnalysis[[#This Row],[ID]]="", "", INDEX(tblPiNHistorical[[CCCM]:[WASH]], MATCH(tblPiNAnalysis[[#This Row],[ID]],tblPiNHistorical[ID], 0),MATCH(_xlfn._xlws.FILTER(tblPiNAnalysis[[#Headers],[CCCM]:[WASH]], tblPiNAnalysis[[#This Row],[Highest PiN]]=tblPiNAnalysis[[#This Row],[CCCM]:[WASH]]), tblPiNHistorical[[#Headers],[CCCM]:[WASH]], 0))), "")</f>
        <v/>
      </c>
      <c r="BB44" s="328" t="str" cm="1">
        <f t="array" ref="BB4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4" s="272" cm="1">
        <f t="array" ref="BC4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44" s="329" t="str" cm="1">
        <f t="array" ref="BD4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4" s="371">
        <f>INDEX(tblSeverityAnalysis[Final Severity], MATCH(tblPiNAnalysis[[#This Row],[ID]],tblSeverityAnalysis[ID], 0))</f>
        <v>3</v>
      </c>
      <c r="BF44" s="60">
        <f>IF(tblPiNAnalysis[[#This Row],[Severity]]&gt;2,tblPiNAnalysis[[#This Row],[Highest PiN]],)</f>
        <v>15828</v>
      </c>
      <c r="BG44" s="187"/>
      <c r="BH44" s="188"/>
      <c r="BI44" s="189">
        <f>COUNTIFS(tblPiNAnalysis[[#This Row],[Number of missing / zero PiNs greater than threshold - Data quality]:[Manual Flag]],"Flagged")</f>
        <v>1</v>
      </c>
      <c r="BJ44" s="346" t="str">
        <f>IF(tblPiNAnalysis[[#This Row],['# Flags]]&gt;0, "Flagged", "")</f>
        <v>Flagged</v>
      </c>
      <c r="BK44" s="339">
        <f>tblPiNAnalysis[[#This Row],[Preliminary PiN]]</f>
        <v>15828</v>
      </c>
      <c r="BL44" s="326"/>
      <c r="BM44" s="383">
        <f>IF(OR(tblPiNAnalysis[[#This Row],[Severity]]=4,tblPiNAnalysis[[#This Row],[Severity]]=5),tblPiNAnalysis[[#This Row],[Final PiN]],0)</f>
        <v>0</v>
      </c>
      <c r="BN44" s="378">
        <f>IF(OR(tblPiNAnalysis[[#This Row],[Severity]]=4,tblPiNAnalysis[[#This Row],[Severity]]=5),100%, IF(tblPiNAnalysis[[#This Row],[Severity]]=3,50%,0%))*tblPiNAnalysis[[#This Row],[Final PiN]]</f>
        <v>7914</v>
      </c>
      <c r="BO44" s="383">
        <f>IF(OR(tblPiNAnalysis[[#This Row],[Severity]]=4,tblPiNAnalysis[[#This Row],[Severity]]=5),100%, IF(AND(tblPiNAnalysis[[#This Row],[Severity]]=3,VLOOKUP(tblPiNAnalysis[[#This Row],[ID]],tblSeverityAnalysis[[ID]:[Highest Severity]],35,FALSE)&gt;3),50%,0%))*tblPiNAnalysis[[#This Row],[Final PiN]]</f>
        <v>0</v>
      </c>
    </row>
    <row r="45" spans="1:67" hidden="1">
      <c r="A4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Global_PopulationHT0344</v>
      </c>
      <c r="B45" s="304" t="s">
        <v>219</v>
      </c>
      <c r="C45" s="213" t="s">
        <v>220</v>
      </c>
      <c r="D45" s="213" t="s">
        <v>243</v>
      </c>
      <c r="E45" s="103" t="s">
        <v>244</v>
      </c>
      <c r="F45" s="99"/>
      <c r="G45" s="34"/>
      <c r="H45" s="357"/>
      <c r="I45" s="354">
        <v>46806</v>
      </c>
      <c r="J45" s="221" t="s">
        <v>156</v>
      </c>
      <c r="K45" s="316">
        <v>5476.5</v>
      </c>
      <c r="L45" s="308">
        <v>3206</v>
      </c>
      <c r="M45" s="308">
        <v>4591</v>
      </c>
      <c r="N45" s="308">
        <v>23319</v>
      </c>
      <c r="O45" s="308">
        <v>6184.1090275102715</v>
      </c>
      <c r="P45" s="308">
        <v>2211.96</v>
      </c>
      <c r="Q45" s="309">
        <v>0</v>
      </c>
      <c r="R45" s="308">
        <v>3651</v>
      </c>
      <c r="S45" s="308"/>
      <c r="T45" s="308"/>
      <c r="U45" s="308"/>
      <c r="V45" s="308"/>
      <c r="W45" s="317">
        <f>IFERROR(IF(tblPiNAnalysis[[#This Row],[CCCM]]="", "", MROUND(tblPiNAnalysis[[#This Row],[CCCM]]/tblPiNAnalysis[[#This Row],[Population]], 0.05)), "")</f>
        <v>0.1</v>
      </c>
      <c r="X45" s="318">
        <f>IFERROR(IF(tblPiNAnalysis[[#This Row],[Education]]="", "", MROUND(tblPiNAnalysis[[#This Row],[Education]]/tblPiNAnalysis[[#This Row],[Population]], 0.05)), "")</f>
        <v>0.05</v>
      </c>
      <c r="Y45" s="318">
        <f>IFERROR(IF(tblPiNAnalysis[[#This Row],[Nutrition]]="", "", MROUND(tblPiNAnalysis[[#This Row],[Nutrition]]/tblPiNAnalysis[[#This Row],[Population]], 0.05)), "")</f>
        <v>0.1</v>
      </c>
      <c r="Z45" s="318">
        <f>IFERROR(IF(tblPiNAnalysis[[#This Row],[Food Security]]="", "", MROUND(tblPiNAnalysis[[#This Row],[Food Security]]/tblPiNAnalysis[[#This Row],[Population]], 0.05)), "")</f>
        <v>0.5</v>
      </c>
      <c r="AA45" s="318">
        <f>IFERROR(IF(tblPiNAnalysis[[#This Row],[Health]]="", "", MROUND(tblPiNAnalysis[[#This Row],[Health]]/tblPiNAnalysis[[#This Row],[Population]], 0.05)), "")</f>
        <v>0.15000000000000002</v>
      </c>
      <c r="AB45" s="319">
        <f>IFERROR(IF(tblPiNAnalysis[[#This Row],[Protection]]="", "", MROUND(tblPiNAnalysis[[#This Row],[Protection]]/tblPiNAnalysis[[#This Row],[Population]], 0.05)), "")</f>
        <v>0.05</v>
      </c>
      <c r="AC45" s="319">
        <f>IFERROR(IF(tblPiNAnalysis[[#This Row],[Shelter]]="", "", MROUND(tblPiNAnalysis[[#This Row],[Shelter]]/tblPiNAnalysis[[#This Row],[Population]], 0.05)), "")</f>
        <v>0</v>
      </c>
      <c r="AD45" s="320">
        <f>IFERROR(IF(tblPiNAnalysis[[#This Row],[WASH]]="", "", MROUND(tblPiNAnalysis[[#This Row],[WASH]]/tblPiNAnalysis[[#This Row],[Population]], 0.05)), "")</f>
        <v>0.1</v>
      </c>
      <c r="AE45" s="318">
        <f>IFERROR(MROUND(tblPiNAnalysis[[#This Row],[CP]]/tblPiNAnalysis[[#This Row],[Population]], 0.05), "")</f>
        <v>0</v>
      </c>
      <c r="AF45" s="318">
        <f>IFERROR(MROUND(tblPiNAnalysis[[#This Row],[GBV]]/tblPiNAnalysis[[#This Row],[Population]], 0.05), "")</f>
        <v>0</v>
      </c>
      <c r="AG45" s="318">
        <f>IFERROR(MROUND(tblPiNAnalysis[[#This Row],[Migrants]]/tblPiNAnalysis[[#This Row],[Population]], 0.05), "")</f>
        <v>0</v>
      </c>
      <c r="AH45" s="318">
        <f>IFERROR(MROUND(tblPiNAnalysis[[#This Row],[_]]/tblPiNAnalysis[[#This Row],[Population]], 0.05), "")</f>
        <v>0</v>
      </c>
      <c r="AI45" s="321">
        <f>IFERROR(LARGE(tblPiNAnalysis[[#This Row],[CCCM]:[WASH]], 1), "")</f>
        <v>23319</v>
      </c>
      <c r="AJ45" s="322" t="str" cm="1">
        <f t="array" ref="AJ45">IF(tblPiNAnalysis[[#This Row],[Highest PiN]]="", "", _xlfn.TEXTJOIN(CHAR(10), TRUE, IF(tblPiNAnalysis[[#This Row],[Highest PiN]]=tblPiNAnalysis[[#This Row],[CCCM]:[WASH]], tblPiNAnalysis[[#Headers],[CCCM]:[WASH]], "")))</f>
        <v>Food Security</v>
      </c>
      <c r="AK45" s="323">
        <f>IF(tblPiNAnalysis[[#This Row],[Highest PiN]]="", "", tblPiNAnalysis[[#This Row],[Highest PiN]]/tblPiNAnalysis[[#This Row],[Population]])</f>
        <v>0.49820535828739904</v>
      </c>
      <c r="AL45" s="265" t="str">
        <f>IF(SUM(tblPiNAnalysis[[#This Row],[CCCM]:[WASH]])=0, "",IF(COUNTIF(tblPiNAnalysis[[#This Row],[CCCM]:[WASH]],"=0")+COUNTIF(tblPiNAnalysis[[#This Row],[CCCM]:[WASH]],"")&gt;=zero_pin_thresh, "Flagged", ""))</f>
        <v/>
      </c>
      <c r="AM45" s="264" t="str">
        <f>IFERROR(IF(tblPiNAnalysis[[#This Row],[Highest PiN]]="", "", IF(tblPiNAnalysis[[#This Row],[Highest sector(s'') PiN %]]&gt;=flag_pin_perc, "Flagged", "")), "")</f>
        <v/>
      </c>
      <c r="AN45" s="266" t="str" cm="1">
        <f t="array" ref="AN45">IF(tblPiNAnalysis[[#This Row],[Highest PiN]]=0, "",  IF(OR(COUNTIF(tblPiNAnalysis[[#This Row],[Highest sector(s)]],tblSubSectorPopulation[Sector])), "Flagged", ""))</f>
        <v/>
      </c>
      <c r="AO45" s="45" cm="1">
        <f t="array" ref="AO4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6184.1090275102715</v>
      </c>
      <c r="AP45" s="326" t="str" cm="1">
        <f t="array" ref="AP45">IF(tblPiNAnalysis[[#This Row],[2nd Highest PiN]]="", "", _xlfn.TEXTJOIN(CHAR(10), TRUE, IF(tblPiNAnalysis[[#This Row],[2nd Highest PiN]]=tblPiNAnalysis[[#This Row],[CCCM]:[WASH]], tblPiNAnalysis[[#Headers],[CCCM]:[WASH]], "")))</f>
        <v>Health</v>
      </c>
      <c r="AQ45" s="35">
        <f>IFERROR(tblPiNAnalysis[[#This Row],[2nd Highest PiN]]/tblPiNAnalysis[[#This Row],[Population]], "")</f>
        <v>0.13212214304811928</v>
      </c>
      <c r="AR45" s="45">
        <f>IFERROR(tblPiNAnalysis[[#This Row],[Highest PiN]]-tblPiNAnalysis[[#This Row],[2nd Highest PiN]], "")</f>
        <v>17134.890972489728</v>
      </c>
      <c r="AS45" s="38">
        <f>IFERROR(((tblPiNAnalysis[[#This Row],[Highest PiN]]-tblPiNAnalysis[[#This Row],[2nd Highest PiN]])/tblPiNAnalysis[[#This Row],[2nd Highest PiN]]),"")</f>
        <v>2.7707938033214545</v>
      </c>
      <c r="AT45" s="269" t="str" cm="1">
        <f t="array" ref="AT4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5" s="327" cm="1">
        <f t="array" ref="AU4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5476.5</v>
      </c>
      <c r="AV45" s="186" t="str" cm="1">
        <f t="array" ref="AV45">IF(tblPiNAnalysis[[#This Row],[3rd Highest PiN]]="", "", _xlfn.TEXTJOIN(CHAR(10), TRUE, IF(tblPiNAnalysis[[#This Row],[3rd Highest PiN]]=tblPiNAnalysis[[#This Row],[CCCM]:[WASH]], tblPiNAnalysis[[#Headers],[CCCM]:[WASH]], "")))</f>
        <v>CCCM</v>
      </c>
      <c r="AW45" s="186">
        <f>IFERROR(tblPiNAnalysis[[#This Row],[3rd Highest PiN]]/tblPiNAnalysis[[#This Row],[Population]], "")</f>
        <v>0.11700423022689399</v>
      </c>
      <c r="AX45" s="44">
        <f>IFERROR(tblPiNAnalysis[[#This Row],[Highest PiN]]-tblPiNAnalysis[[#This Row],[3rd Highest PiN]],"")</f>
        <v>17842.5</v>
      </c>
      <c r="AY45" s="38">
        <f>IFERROR(tblPiNAnalysis[[#This Row],[Difference of PiN between Highest and 3rd Highest]]/tblPiNAnalysis[[#This Row],[3rd Highest PiN]], "")</f>
        <v>3.2580115036976172</v>
      </c>
      <c r="AZ45" s="325" t="str" cm="1">
        <f t="array" ref="AZ4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5" s="292" cm="1">
        <f t="array" ref="BA45">IFERROR(IF(tblPiNAnalysis[[#This Row],[ID]]="", "", INDEX(tblPiNHistorical[[CCCM]:[WASH]], MATCH(tblPiNAnalysis[[#This Row],[ID]],tblPiNHistorical[ID], 0),MATCH(_xlfn._xlws.FILTER(tblPiNAnalysis[[#Headers],[CCCM]:[WASH]], tblPiNAnalysis[[#This Row],[Highest PiN]]=tblPiNAnalysis[[#This Row],[CCCM]:[WASH]]), tblPiNHistorical[[#Headers],[CCCM]:[WASH]], 0))), "")</f>
        <v>0</v>
      </c>
      <c r="BB45" s="328" t="str" cm="1">
        <f t="array" ref="BB4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5" s="272" cm="1">
        <f t="array" ref="BC45">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45" s="329" t="str" cm="1">
        <f t="array" ref="BD4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5" s="371">
        <f>INDEX(tblSeverityAnalysis[Final Severity], MATCH(tblPiNAnalysis[[#This Row],[ID]],tblSeverityAnalysis[ID], 0))</f>
        <v>3</v>
      </c>
      <c r="BF45" s="60">
        <f>IF(tblPiNAnalysis[[#This Row],[Severity]]&gt;2,tblPiNAnalysis[[#This Row],[Highest PiN]],)</f>
        <v>23319</v>
      </c>
      <c r="BG45" s="187"/>
      <c r="BH45" s="188"/>
      <c r="BI45" s="189">
        <f>COUNTIFS(tblPiNAnalysis[[#This Row],[Number of missing / zero PiNs greater than threshold - Data quality]:[Manual Flag]],"Flagged")</f>
        <v>2</v>
      </c>
      <c r="BJ45" s="346" t="str">
        <f>IF(tblPiNAnalysis[[#This Row],['# Flags]]&gt;0, "Flagged", "")</f>
        <v>Flagged</v>
      </c>
      <c r="BK45" s="339">
        <f>tblPiNAnalysis[[#This Row],[Preliminary PiN]]</f>
        <v>23319</v>
      </c>
      <c r="BL45" s="326"/>
      <c r="BM45" s="383">
        <f>IF(OR(tblPiNAnalysis[[#This Row],[Severity]]=4,tblPiNAnalysis[[#This Row],[Severity]]=5),tblPiNAnalysis[[#This Row],[Final PiN]],0)</f>
        <v>0</v>
      </c>
      <c r="BN45" s="378">
        <f>IF(OR(tblPiNAnalysis[[#This Row],[Severity]]=4,tblPiNAnalysis[[#This Row],[Severity]]=5),100%, IF(tblPiNAnalysis[[#This Row],[Severity]]=3,50%,0%))*tblPiNAnalysis[[#This Row],[Final PiN]]</f>
        <v>11659.5</v>
      </c>
      <c r="BO45" s="383">
        <f>IF(OR(tblPiNAnalysis[[#This Row],[Severity]]=4,tblPiNAnalysis[[#This Row],[Severity]]=5),100%, IF(AND(tblPiNAnalysis[[#This Row],[Severity]]=3,VLOOKUP(tblPiNAnalysis[[#This Row],[ID]],tblSeverityAnalysis[[ID]:[Highest Severity]],35,FALSE)&gt;3),50%,0%))*tblPiNAnalysis[[#This Row],[Final PiN]]</f>
        <v>0</v>
      </c>
    </row>
    <row r="46" spans="1:67" hidden="1">
      <c r="A4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Global_PopulationHT0345</v>
      </c>
      <c r="B46" s="304" t="s">
        <v>219</v>
      </c>
      <c r="C46" s="213" t="s">
        <v>220</v>
      </c>
      <c r="D46" s="213" t="s">
        <v>245</v>
      </c>
      <c r="E46" s="103" t="s">
        <v>246</v>
      </c>
      <c r="F46" s="99"/>
      <c r="G46" s="34"/>
      <c r="H46" s="357"/>
      <c r="I46" s="354">
        <v>11101</v>
      </c>
      <c r="J46" s="221" t="s">
        <v>156</v>
      </c>
      <c r="K46" s="316">
        <v>241.5</v>
      </c>
      <c r="L46" s="308">
        <v>711</v>
      </c>
      <c r="M46" s="308">
        <v>1043</v>
      </c>
      <c r="N46" s="308">
        <v>5682</v>
      </c>
      <c r="O46" s="308">
        <v>582.62875900621111</v>
      </c>
      <c r="P46" s="308">
        <v>342.1</v>
      </c>
      <c r="Q46" s="309">
        <v>0</v>
      </c>
      <c r="R46" s="308">
        <v>1242.56</v>
      </c>
      <c r="S46" s="308"/>
      <c r="T46" s="308"/>
      <c r="U46" s="308"/>
      <c r="V46" s="308"/>
      <c r="W46" s="317">
        <f>IFERROR(IF(tblPiNAnalysis[[#This Row],[CCCM]]="", "", MROUND(tblPiNAnalysis[[#This Row],[CCCM]]/tblPiNAnalysis[[#This Row],[Population]], 0.05)), "")</f>
        <v>0</v>
      </c>
      <c r="X46" s="318">
        <f>IFERROR(IF(tblPiNAnalysis[[#This Row],[Education]]="", "", MROUND(tblPiNAnalysis[[#This Row],[Education]]/tblPiNAnalysis[[#This Row],[Population]], 0.05)), "")</f>
        <v>0.05</v>
      </c>
      <c r="Y46" s="318">
        <f>IFERROR(IF(tblPiNAnalysis[[#This Row],[Nutrition]]="", "", MROUND(tblPiNAnalysis[[#This Row],[Nutrition]]/tblPiNAnalysis[[#This Row],[Population]], 0.05)), "")</f>
        <v>0.1</v>
      </c>
      <c r="Z46" s="318">
        <f>IFERROR(IF(tblPiNAnalysis[[#This Row],[Food Security]]="", "", MROUND(tblPiNAnalysis[[#This Row],[Food Security]]/tblPiNAnalysis[[#This Row],[Population]], 0.05)), "")</f>
        <v>0.5</v>
      </c>
      <c r="AA46" s="318">
        <f>IFERROR(IF(tblPiNAnalysis[[#This Row],[Health]]="", "", MROUND(tblPiNAnalysis[[#This Row],[Health]]/tblPiNAnalysis[[#This Row],[Population]], 0.05)), "")</f>
        <v>0.05</v>
      </c>
      <c r="AB46" s="319">
        <f>IFERROR(IF(tblPiNAnalysis[[#This Row],[Protection]]="", "", MROUND(tblPiNAnalysis[[#This Row],[Protection]]/tblPiNAnalysis[[#This Row],[Population]], 0.05)), "")</f>
        <v>0.05</v>
      </c>
      <c r="AC46" s="319">
        <f>IFERROR(IF(tblPiNAnalysis[[#This Row],[Shelter]]="", "", MROUND(tblPiNAnalysis[[#This Row],[Shelter]]/tblPiNAnalysis[[#This Row],[Population]], 0.05)), "")</f>
        <v>0</v>
      </c>
      <c r="AD46" s="320">
        <f>IFERROR(IF(tblPiNAnalysis[[#This Row],[WASH]]="", "", MROUND(tblPiNAnalysis[[#This Row],[WASH]]/tblPiNAnalysis[[#This Row],[Population]], 0.05)), "")</f>
        <v>0.1</v>
      </c>
      <c r="AE46" s="318">
        <f>IFERROR(MROUND(tblPiNAnalysis[[#This Row],[CP]]/tblPiNAnalysis[[#This Row],[Population]], 0.05), "")</f>
        <v>0</v>
      </c>
      <c r="AF46" s="318">
        <f>IFERROR(MROUND(tblPiNAnalysis[[#This Row],[GBV]]/tblPiNAnalysis[[#This Row],[Population]], 0.05), "")</f>
        <v>0</v>
      </c>
      <c r="AG46" s="318">
        <f>IFERROR(MROUND(tblPiNAnalysis[[#This Row],[Migrants]]/tblPiNAnalysis[[#This Row],[Population]], 0.05), "")</f>
        <v>0</v>
      </c>
      <c r="AH46" s="318">
        <f>IFERROR(MROUND(tblPiNAnalysis[[#This Row],[_]]/tblPiNAnalysis[[#This Row],[Population]], 0.05), "")</f>
        <v>0</v>
      </c>
      <c r="AI46" s="321">
        <f>IFERROR(LARGE(tblPiNAnalysis[[#This Row],[CCCM]:[WASH]], 1), "")</f>
        <v>5682</v>
      </c>
      <c r="AJ46" s="322" t="str" cm="1">
        <f t="array" ref="AJ46">IF(tblPiNAnalysis[[#This Row],[Highest PiN]]="", "", _xlfn.TEXTJOIN(CHAR(10), TRUE, IF(tblPiNAnalysis[[#This Row],[Highest PiN]]=tblPiNAnalysis[[#This Row],[CCCM]:[WASH]], tblPiNAnalysis[[#Headers],[CCCM]:[WASH]], "")))</f>
        <v>Food Security</v>
      </c>
      <c r="AK46" s="323">
        <f>IF(tblPiNAnalysis[[#This Row],[Highest PiN]]="", "", tblPiNAnalysis[[#This Row],[Highest PiN]]/tblPiNAnalysis[[#This Row],[Population]])</f>
        <v>0.51184577965949019</v>
      </c>
      <c r="AL46" s="265" t="str">
        <f>IF(SUM(tblPiNAnalysis[[#This Row],[CCCM]:[WASH]])=0, "",IF(COUNTIF(tblPiNAnalysis[[#This Row],[CCCM]:[WASH]],"=0")+COUNTIF(tblPiNAnalysis[[#This Row],[CCCM]:[WASH]],"")&gt;=zero_pin_thresh, "Flagged", ""))</f>
        <v/>
      </c>
      <c r="AM46" s="264" t="str">
        <f>IFERROR(IF(tblPiNAnalysis[[#This Row],[Highest PiN]]="", "", IF(tblPiNAnalysis[[#This Row],[Highest sector(s'') PiN %]]&gt;=flag_pin_perc, "Flagged", "")), "")</f>
        <v/>
      </c>
      <c r="AN46" s="266" t="str" cm="1">
        <f t="array" ref="AN46">IF(tblPiNAnalysis[[#This Row],[Highest PiN]]=0, "",  IF(OR(COUNTIF(tblPiNAnalysis[[#This Row],[Highest sector(s)]],tblSubSectorPopulation[Sector])), "Flagged", ""))</f>
        <v/>
      </c>
      <c r="AO46" s="45" cm="1">
        <f t="array" ref="AO4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1242.56</v>
      </c>
      <c r="AP46" s="326" t="str" cm="1">
        <f t="array" ref="AP46">IF(tblPiNAnalysis[[#This Row],[2nd Highest PiN]]="", "", _xlfn.TEXTJOIN(CHAR(10), TRUE, IF(tblPiNAnalysis[[#This Row],[2nd Highest PiN]]=tblPiNAnalysis[[#This Row],[CCCM]:[WASH]], tblPiNAnalysis[[#Headers],[CCCM]:[WASH]], "")))</f>
        <v>WASH</v>
      </c>
      <c r="AQ46" s="35">
        <f>IFERROR(tblPiNAnalysis[[#This Row],[2nd Highest PiN]]/tblPiNAnalysis[[#This Row],[Population]], "")</f>
        <v>0.11193225835510313</v>
      </c>
      <c r="AR46" s="45">
        <f>IFERROR(tblPiNAnalysis[[#This Row],[Highest PiN]]-tblPiNAnalysis[[#This Row],[2nd Highest PiN]], "")</f>
        <v>4439.4400000000005</v>
      </c>
      <c r="AS46" s="38">
        <f>IFERROR(((tblPiNAnalysis[[#This Row],[Highest PiN]]-tblPiNAnalysis[[#This Row],[2nd Highest PiN]])/tblPiNAnalysis[[#This Row],[2nd Highest PiN]]),"")</f>
        <v>3.5728174092196761</v>
      </c>
      <c r="AT46" s="269" t="str" cm="1">
        <f t="array" ref="AT4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6" s="327" cm="1">
        <f t="array" ref="AU4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1043</v>
      </c>
      <c r="AV46" s="186" t="str" cm="1">
        <f t="array" ref="AV46">IF(tblPiNAnalysis[[#This Row],[3rd Highest PiN]]="", "", _xlfn.TEXTJOIN(CHAR(10), TRUE, IF(tblPiNAnalysis[[#This Row],[3rd Highest PiN]]=tblPiNAnalysis[[#This Row],[CCCM]:[WASH]], tblPiNAnalysis[[#Headers],[CCCM]:[WASH]], "")))</f>
        <v>Nutrition</v>
      </c>
      <c r="AW46" s="186">
        <f>IFERROR(tblPiNAnalysis[[#This Row],[3rd Highest PiN]]/tblPiNAnalysis[[#This Row],[Population]], "")</f>
        <v>9.3955499504549136E-2</v>
      </c>
      <c r="AX46" s="44">
        <f>IFERROR(tblPiNAnalysis[[#This Row],[Highest PiN]]-tblPiNAnalysis[[#This Row],[3rd Highest PiN]],"")</f>
        <v>4639</v>
      </c>
      <c r="AY46" s="38">
        <f>IFERROR(tblPiNAnalysis[[#This Row],[Difference of PiN between Highest and 3rd Highest]]/tblPiNAnalysis[[#This Row],[3rd Highest PiN]], "")</f>
        <v>4.4477468839884944</v>
      </c>
      <c r="AZ46" s="325" t="str" cm="1">
        <f t="array" ref="AZ4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6" s="292" cm="1">
        <f t="array" ref="BA46">IFERROR(IF(tblPiNAnalysis[[#This Row],[ID]]="", "", INDEX(tblPiNHistorical[[CCCM]:[WASH]], MATCH(tblPiNAnalysis[[#This Row],[ID]],tblPiNHistorical[ID], 0),MATCH(_xlfn._xlws.FILTER(tblPiNAnalysis[[#Headers],[CCCM]:[WASH]], tblPiNAnalysis[[#This Row],[Highest PiN]]=tblPiNAnalysis[[#This Row],[CCCM]:[WASH]]), tblPiNHistorical[[#Headers],[CCCM]:[WASH]], 0))), "")</f>
        <v>0</v>
      </c>
      <c r="BB46" s="328" t="str" cm="1">
        <f t="array" ref="BB4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6" s="272" cm="1">
        <f t="array" ref="BC46">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46" s="329" t="str" cm="1">
        <f t="array" ref="BD4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6" s="371">
        <f>INDEX(tblSeverityAnalysis[Final Severity], MATCH(tblPiNAnalysis[[#This Row],[ID]],tblSeverityAnalysis[ID], 0))</f>
        <v>2</v>
      </c>
      <c r="BF46" s="60">
        <f>IF(tblPiNAnalysis[[#This Row],[Severity]]&gt;2,tblPiNAnalysis[[#This Row],[Highest PiN]],)</f>
        <v>0</v>
      </c>
      <c r="BG46" s="187"/>
      <c r="BH46" s="188"/>
      <c r="BI46" s="189">
        <f>COUNTIFS(tblPiNAnalysis[[#This Row],[Number of missing / zero PiNs greater than threshold - Data quality]:[Manual Flag]],"Flagged")</f>
        <v>2</v>
      </c>
      <c r="BJ46" s="346" t="str">
        <f>IF(tblPiNAnalysis[[#This Row],['# Flags]]&gt;0, "Flagged", "")</f>
        <v>Flagged</v>
      </c>
      <c r="BK46" s="339">
        <f>tblPiNAnalysis[[#This Row],[Preliminary PiN]]</f>
        <v>0</v>
      </c>
      <c r="BL46" s="326"/>
      <c r="BM46" s="383">
        <f>IF(OR(tblPiNAnalysis[[#This Row],[Severity]]=4,tblPiNAnalysis[[#This Row],[Severity]]=5),tblPiNAnalysis[[#This Row],[Final PiN]],0)</f>
        <v>0</v>
      </c>
      <c r="BN46" s="378">
        <f>IF(OR(tblPiNAnalysis[[#This Row],[Severity]]=4,tblPiNAnalysis[[#This Row],[Severity]]=5),100%, IF(tblPiNAnalysis[[#This Row],[Severity]]=3,50%,0%))*tblPiNAnalysis[[#This Row],[Final PiN]]</f>
        <v>0</v>
      </c>
      <c r="BO46" s="383">
        <f>IF(OR(tblPiNAnalysis[[#This Row],[Severity]]=4,tblPiNAnalysis[[#This Row],[Severity]]=5),100%, IF(AND(tblPiNAnalysis[[#This Row],[Severity]]=3,VLOOKUP(tblPiNAnalysis[[#This Row],[ID]],tblSeverityAnalysis[[ID]:[Highest Severity]],35,FALSE)&gt;3),50%,0%))*tblPiNAnalysis[[#This Row],[Final PiN]]</f>
        <v>0</v>
      </c>
    </row>
    <row r="47" spans="1:67" hidden="1">
      <c r="A4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Global_PopulationHT0351</v>
      </c>
      <c r="B47" s="304" t="s">
        <v>219</v>
      </c>
      <c r="C47" s="213" t="s">
        <v>220</v>
      </c>
      <c r="D47" s="213" t="s">
        <v>247</v>
      </c>
      <c r="E47" s="103" t="s">
        <v>248</v>
      </c>
      <c r="F47" s="99"/>
      <c r="G47" s="34"/>
      <c r="H47" s="357"/>
      <c r="I47" s="354">
        <v>70765</v>
      </c>
      <c r="J47" s="221" t="s">
        <v>156</v>
      </c>
      <c r="K47" s="316">
        <v>5872.5</v>
      </c>
      <c r="L47" s="308">
        <v>4835</v>
      </c>
      <c r="M47" s="308">
        <v>6858</v>
      </c>
      <c r="N47" s="308">
        <v>36071</v>
      </c>
      <c r="O47" s="308">
        <v>7420.8378257982122</v>
      </c>
      <c r="P47" s="308">
        <v>4147.08</v>
      </c>
      <c r="Q47" s="309">
        <v>0</v>
      </c>
      <c r="R47" s="308">
        <v>39313.888888888891</v>
      </c>
      <c r="S47" s="308"/>
      <c r="T47" s="308"/>
      <c r="U47" s="308"/>
      <c r="V47" s="308"/>
      <c r="W47" s="317">
        <f>IFERROR(IF(tblPiNAnalysis[[#This Row],[CCCM]]="", "", MROUND(tblPiNAnalysis[[#This Row],[CCCM]]/tblPiNAnalysis[[#This Row],[Population]], 0.05)), "")</f>
        <v>0.1</v>
      </c>
      <c r="X47" s="318">
        <f>IFERROR(IF(tblPiNAnalysis[[#This Row],[Education]]="", "", MROUND(tblPiNAnalysis[[#This Row],[Education]]/tblPiNAnalysis[[#This Row],[Population]], 0.05)), "")</f>
        <v>0.05</v>
      </c>
      <c r="Y47" s="318">
        <f>IFERROR(IF(tblPiNAnalysis[[#This Row],[Nutrition]]="", "", MROUND(tblPiNAnalysis[[#This Row],[Nutrition]]/tblPiNAnalysis[[#This Row],[Population]], 0.05)), "")</f>
        <v>0.1</v>
      </c>
      <c r="Z47" s="318">
        <f>IFERROR(IF(tblPiNAnalysis[[#This Row],[Food Security]]="", "", MROUND(tblPiNAnalysis[[#This Row],[Food Security]]/tblPiNAnalysis[[#This Row],[Population]], 0.05)), "")</f>
        <v>0.5</v>
      </c>
      <c r="AA47" s="318">
        <f>IFERROR(IF(tblPiNAnalysis[[#This Row],[Health]]="", "", MROUND(tblPiNAnalysis[[#This Row],[Health]]/tblPiNAnalysis[[#This Row],[Population]], 0.05)), "")</f>
        <v>0.1</v>
      </c>
      <c r="AB47" s="319">
        <f>IFERROR(IF(tblPiNAnalysis[[#This Row],[Protection]]="", "", MROUND(tblPiNAnalysis[[#This Row],[Protection]]/tblPiNAnalysis[[#This Row],[Population]], 0.05)), "")</f>
        <v>0.05</v>
      </c>
      <c r="AC47" s="319">
        <f>IFERROR(IF(tblPiNAnalysis[[#This Row],[Shelter]]="", "", MROUND(tblPiNAnalysis[[#This Row],[Shelter]]/tblPiNAnalysis[[#This Row],[Population]], 0.05)), "")</f>
        <v>0</v>
      </c>
      <c r="AD47" s="320">
        <f>IFERROR(IF(tblPiNAnalysis[[#This Row],[WASH]]="", "", MROUND(tblPiNAnalysis[[#This Row],[WASH]]/tblPiNAnalysis[[#This Row],[Population]], 0.05)), "")</f>
        <v>0.55000000000000004</v>
      </c>
      <c r="AE47" s="318">
        <f>IFERROR(MROUND(tblPiNAnalysis[[#This Row],[CP]]/tblPiNAnalysis[[#This Row],[Population]], 0.05), "")</f>
        <v>0</v>
      </c>
      <c r="AF47" s="318">
        <f>IFERROR(MROUND(tblPiNAnalysis[[#This Row],[GBV]]/tblPiNAnalysis[[#This Row],[Population]], 0.05), "")</f>
        <v>0</v>
      </c>
      <c r="AG47" s="318">
        <f>IFERROR(MROUND(tblPiNAnalysis[[#This Row],[Migrants]]/tblPiNAnalysis[[#This Row],[Population]], 0.05), "")</f>
        <v>0</v>
      </c>
      <c r="AH47" s="318">
        <f>IFERROR(MROUND(tblPiNAnalysis[[#This Row],[_]]/tblPiNAnalysis[[#This Row],[Population]], 0.05), "")</f>
        <v>0</v>
      </c>
      <c r="AI47" s="321">
        <f>IFERROR(LARGE(tblPiNAnalysis[[#This Row],[CCCM]:[WASH]], 1), "")</f>
        <v>39313.888888888891</v>
      </c>
      <c r="AJ47" s="322" t="str" cm="1">
        <f t="array" ref="AJ47">IF(tblPiNAnalysis[[#This Row],[Highest PiN]]="", "", _xlfn.TEXTJOIN(CHAR(10), TRUE, IF(tblPiNAnalysis[[#This Row],[Highest PiN]]=tblPiNAnalysis[[#This Row],[CCCM]:[WASH]], tblPiNAnalysis[[#Headers],[CCCM]:[WASH]], "")))</f>
        <v>WASH</v>
      </c>
      <c r="AK47" s="323">
        <f>IF(tblPiNAnalysis[[#This Row],[Highest PiN]]="", "", tblPiNAnalysis[[#This Row],[Highest PiN]]/tblPiNAnalysis[[#This Row],[Population]])</f>
        <v>0.55555555555555558</v>
      </c>
      <c r="AL47" s="265" t="str">
        <f>IF(SUM(tblPiNAnalysis[[#This Row],[CCCM]:[WASH]])=0, "",IF(COUNTIF(tblPiNAnalysis[[#This Row],[CCCM]:[WASH]],"=0")+COUNTIF(tblPiNAnalysis[[#This Row],[CCCM]:[WASH]],"")&gt;=zero_pin_thresh, "Flagged", ""))</f>
        <v/>
      </c>
      <c r="AM47" s="264" t="str">
        <f>IFERROR(IF(tblPiNAnalysis[[#This Row],[Highest PiN]]="", "", IF(tblPiNAnalysis[[#This Row],[Highest sector(s'') PiN %]]&gt;=flag_pin_perc, "Flagged", "")), "")</f>
        <v/>
      </c>
      <c r="AN47" s="266" t="str" cm="1">
        <f t="array" ref="AN47">IF(tblPiNAnalysis[[#This Row],[Highest PiN]]=0, "",  IF(OR(COUNTIF(tblPiNAnalysis[[#This Row],[Highest sector(s)]],tblSubSectorPopulation[Sector])), "Flagged", ""))</f>
        <v/>
      </c>
      <c r="AO47" s="45" cm="1">
        <f t="array" ref="AO4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36071</v>
      </c>
      <c r="AP47" s="326" t="str" cm="1">
        <f t="array" ref="AP47">IF(tblPiNAnalysis[[#This Row],[2nd Highest PiN]]="", "", _xlfn.TEXTJOIN(CHAR(10), TRUE, IF(tblPiNAnalysis[[#This Row],[2nd Highest PiN]]=tblPiNAnalysis[[#This Row],[CCCM]:[WASH]], tblPiNAnalysis[[#Headers],[CCCM]:[WASH]], "")))</f>
        <v>Food Security</v>
      </c>
      <c r="AQ47" s="35">
        <f>IFERROR(tblPiNAnalysis[[#This Row],[2nd Highest PiN]]/tblPiNAnalysis[[#This Row],[Population]], "")</f>
        <v>0.5097293859959019</v>
      </c>
      <c r="AR47" s="45">
        <f>IFERROR(tblPiNAnalysis[[#This Row],[Highest PiN]]-tblPiNAnalysis[[#This Row],[2nd Highest PiN]], "")</f>
        <v>3242.8888888888905</v>
      </c>
      <c r="AS47" s="38">
        <f>IFERROR(((tblPiNAnalysis[[#This Row],[Highest PiN]]-tblPiNAnalysis[[#This Row],[2nd Highest PiN]])/tblPiNAnalysis[[#This Row],[2nd Highest PiN]]),"")</f>
        <v>8.9902938340741603E-2</v>
      </c>
      <c r="AT47" s="269" t="str" cm="1">
        <f t="array" ref="AT4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7" s="327" cm="1">
        <f t="array" ref="AU4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7420.8378257982122</v>
      </c>
      <c r="AV47" s="186" t="str" cm="1">
        <f t="array" ref="AV47">IF(tblPiNAnalysis[[#This Row],[3rd Highest PiN]]="", "", _xlfn.TEXTJOIN(CHAR(10), TRUE, IF(tblPiNAnalysis[[#This Row],[3rd Highest PiN]]=tblPiNAnalysis[[#This Row],[CCCM]:[WASH]], tblPiNAnalysis[[#Headers],[CCCM]:[WASH]], "")))</f>
        <v>Health</v>
      </c>
      <c r="AW47" s="186">
        <f>IFERROR(tblPiNAnalysis[[#This Row],[3rd Highest PiN]]/tblPiNAnalysis[[#This Row],[Population]], "")</f>
        <v>0.10486593408886048</v>
      </c>
      <c r="AX47" s="44">
        <f>IFERROR(tblPiNAnalysis[[#This Row],[Highest PiN]]-tblPiNAnalysis[[#This Row],[3rd Highest PiN]],"")</f>
        <v>31893.051063090679</v>
      </c>
      <c r="AY47" s="38">
        <f>IFERROR(tblPiNAnalysis[[#This Row],[Difference of PiN between Highest and 3rd Highest]]/tblPiNAnalysis[[#This Row],[3rd Highest PiN]], "")</f>
        <v>4.2977695796310096</v>
      </c>
      <c r="AZ47" s="325" t="str" cm="1">
        <f t="array" ref="AZ4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7" s="292" cm="1">
        <f t="array" ref="BA47">IFERROR(IF(tblPiNAnalysis[[#This Row],[ID]]="", "", INDEX(tblPiNHistorical[[CCCM]:[WASH]], MATCH(tblPiNAnalysis[[#This Row],[ID]],tblPiNHistorical[ID], 0),MATCH(_xlfn._xlws.FILTER(tblPiNAnalysis[[#Headers],[CCCM]:[WASH]], tblPiNAnalysis[[#This Row],[Highest PiN]]=tblPiNAnalysis[[#This Row],[CCCM]:[WASH]]), tblPiNHistorical[[#Headers],[CCCM]:[WASH]], 0))), "")</f>
        <v>2.7</v>
      </c>
      <c r="BB47" s="328" t="str" cm="1">
        <f t="array" ref="BB4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47" s="272" cm="1">
        <f t="array" ref="BC47">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47" s="329" t="str" cm="1">
        <f t="array" ref="BD4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7" s="371">
        <f>INDEX(tblSeverityAnalysis[Final Severity], MATCH(tblPiNAnalysis[[#This Row],[ID]],tblSeverityAnalysis[ID], 0))</f>
        <v>3</v>
      </c>
      <c r="BF47" s="60">
        <f>IF(tblPiNAnalysis[[#This Row],[Severity]]&gt;2,tblPiNAnalysis[[#This Row],[Highest PiN]],)</f>
        <v>39313.888888888891</v>
      </c>
      <c r="BG47" s="187"/>
      <c r="BH47" s="188"/>
      <c r="BI47" s="189">
        <f>COUNTIFS(tblPiNAnalysis[[#This Row],[Number of missing / zero PiNs greater than threshold - Data quality]:[Manual Flag]],"Flagged")</f>
        <v>2</v>
      </c>
      <c r="BJ47" s="346" t="str">
        <f>IF(tblPiNAnalysis[[#This Row],['# Flags]]&gt;0, "Flagged", "")</f>
        <v>Flagged</v>
      </c>
      <c r="BK47" s="339">
        <f>tblPiNAnalysis[[#This Row],[Preliminary PiN]]</f>
        <v>39313.888888888891</v>
      </c>
      <c r="BL47" s="326"/>
      <c r="BM47" s="383">
        <f>IF(OR(tblPiNAnalysis[[#This Row],[Severity]]=4,tblPiNAnalysis[[#This Row],[Severity]]=5),tblPiNAnalysis[[#This Row],[Final PiN]],0)</f>
        <v>0</v>
      </c>
      <c r="BN47" s="378">
        <f>IF(OR(tblPiNAnalysis[[#This Row],[Severity]]=4,tblPiNAnalysis[[#This Row],[Severity]]=5),100%, IF(tblPiNAnalysis[[#This Row],[Severity]]=3,50%,0%))*tblPiNAnalysis[[#This Row],[Final PiN]]</f>
        <v>19656.944444444445</v>
      </c>
      <c r="BO47" s="383">
        <f>IF(OR(tblPiNAnalysis[[#This Row],[Severity]]=4,tblPiNAnalysis[[#This Row],[Severity]]=5),100%, IF(AND(tblPiNAnalysis[[#This Row],[Severity]]=3,VLOOKUP(tblPiNAnalysis[[#This Row],[ID]],tblSeverityAnalysis[[ID]:[Highest Severity]],35,FALSE)&gt;3),50%,0%))*tblPiNAnalysis[[#This Row],[Final PiN]]</f>
        <v>0</v>
      </c>
    </row>
    <row r="48" spans="1:67" hidden="1">
      <c r="A4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Global_PopulationHT0352</v>
      </c>
      <c r="B48" s="304" t="s">
        <v>219</v>
      </c>
      <c r="C48" s="213" t="s">
        <v>220</v>
      </c>
      <c r="D48" s="213" t="s">
        <v>249</v>
      </c>
      <c r="E48" s="103" t="s">
        <v>250</v>
      </c>
      <c r="F48" s="99"/>
      <c r="G48" s="34"/>
      <c r="H48" s="357"/>
      <c r="I48" s="354">
        <v>52745</v>
      </c>
      <c r="J48" s="221" t="s">
        <v>156</v>
      </c>
      <c r="K48" s="316">
        <v>1572</v>
      </c>
      <c r="L48" s="308">
        <v>3437</v>
      </c>
      <c r="M48" s="308">
        <v>4971</v>
      </c>
      <c r="N48" s="308">
        <v>26885</v>
      </c>
      <c r="O48" s="308">
        <v>2334.7741068702289</v>
      </c>
      <c r="P48" s="308">
        <v>1759.44</v>
      </c>
      <c r="Q48" s="309">
        <v>0</v>
      </c>
      <c r="R48" s="308">
        <v>19779.375</v>
      </c>
      <c r="S48" s="308"/>
      <c r="T48" s="308"/>
      <c r="U48" s="308"/>
      <c r="V48" s="308"/>
      <c r="W48" s="317">
        <f>IFERROR(IF(tblPiNAnalysis[[#This Row],[CCCM]]="", "", MROUND(tblPiNAnalysis[[#This Row],[CCCM]]/tblPiNAnalysis[[#This Row],[Population]], 0.05)), "")</f>
        <v>0.05</v>
      </c>
      <c r="X48" s="318">
        <f>IFERROR(IF(tblPiNAnalysis[[#This Row],[Education]]="", "", MROUND(tblPiNAnalysis[[#This Row],[Education]]/tblPiNAnalysis[[#This Row],[Population]], 0.05)), "")</f>
        <v>0.05</v>
      </c>
      <c r="Y48" s="318">
        <f>IFERROR(IF(tblPiNAnalysis[[#This Row],[Nutrition]]="", "", MROUND(tblPiNAnalysis[[#This Row],[Nutrition]]/tblPiNAnalysis[[#This Row],[Population]], 0.05)), "")</f>
        <v>0.1</v>
      </c>
      <c r="Z48" s="318">
        <f>IFERROR(IF(tblPiNAnalysis[[#This Row],[Food Security]]="", "", MROUND(tblPiNAnalysis[[#This Row],[Food Security]]/tblPiNAnalysis[[#This Row],[Population]], 0.05)), "")</f>
        <v>0.5</v>
      </c>
      <c r="AA48" s="318">
        <f>IFERROR(IF(tblPiNAnalysis[[#This Row],[Health]]="", "", MROUND(tblPiNAnalysis[[#This Row],[Health]]/tblPiNAnalysis[[#This Row],[Population]], 0.05)), "")</f>
        <v>0.05</v>
      </c>
      <c r="AB48" s="319">
        <f>IFERROR(IF(tblPiNAnalysis[[#This Row],[Protection]]="", "", MROUND(tblPiNAnalysis[[#This Row],[Protection]]/tblPiNAnalysis[[#This Row],[Population]], 0.05)), "")</f>
        <v>0.05</v>
      </c>
      <c r="AC48" s="319">
        <f>IFERROR(IF(tblPiNAnalysis[[#This Row],[Shelter]]="", "", MROUND(tblPiNAnalysis[[#This Row],[Shelter]]/tblPiNAnalysis[[#This Row],[Population]], 0.05)), "")</f>
        <v>0</v>
      </c>
      <c r="AD48" s="320">
        <f>IFERROR(IF(tblPiNAnalysis[[#This Row],[WASH]]="", "", MROUND(tblPiNAnalysis[[#This Row],[WASH]]/tblPiNAnalysis[[#This Row],[Population]], 0.05)), "")</f>
        <v>0.4</v>
      </c>
      <c r="AE48" s="318">
        <f>IFERROR(MROUND(tblPiNAnalysis[[#This Row],[CP]]/tblPiNAnalysis[[#This Row],[Population]], 0.05), "")</f>
        <v>0</v>
      </c>
      <c r="AF48" s="318">
        <f>IFERROR(MROUND(tblPiNAnalysis[[#This Row],[GBV]]/tblPiNAnalysis[[#This Row],[Population]], 0.05), "")</f>
        <v>0</v>
      </c>
      <c r="AG48" s="318">
        <f>IFERROR(MROUND(tblPiNAnalysis[[#This Row],[Migrants]]/tblPiNAnalysis[[#This Row],[Population]], 0.05), "")</f>
        <v>0</v>
      </c>
      <c r="AH48" s="318">
        <f>IFERROR(MROUND(tblPiNAnalysis[[#This Row],[_]]/tblPiNAnalysis[[#This Row],[Population]], 0.05), "")</f>
        <v>0</v>
      </c>
      <c r="AI48" s="321">
        <f>IFERROR(LARGE(tblPiNAnalysis[[#This Row],[CCCM]:[WASH]], 1), "")</f>
        <v>26885</v>
      </c>
      <c r="AJ48" s="322" t="str" cm="1">
        <f t="array" ref="AJ48">IF(tblPiNAnalysis[[#This Row],[Highest PiN]]="", "", _xlfn.TEXTJOIN(CHAR(10), TRUE, IF(tblPiNAnalysis[[#This Row],[Highest PiN]]=tblPiNAnalysis[[#This Row],[CCCM]:[WASH]], tblPiNAnalysis[[#Headers],[CCCM]:[WASH]], "")))</f>
        <v>Food Security</v>
      </c>
      <c r="AK48" s="323">
        <f>IF(tblPiNAnalysis[[#This Row],[Highest PiN]]="", "", tblPiNAnalysis[[#This Row],[Highest PiN]]/tblPiNAnalysis[[#This Row],[Population]])</f>
        <v>0.50971656081145134</v>
      </c>
      <c r="AL48" s="265" t="str">
        <f>IF(SUM(tblPiNAnalysis[[#This Row],[CCCM]:[WASH]])=0, "",IF(COUNTIF(tblPiNAnalysis[[#This Row],[CCCM]:[WASH]],"=0")+COUNTIF(tblPiNAnalysis[[#This Row],[CCCM]:[WASH]],"")&gt;=zero_pin_thresh, "Flagged", ""))</f>
        <v/>
      </c>
      <c r="AM48" s="264" t="str">
        <f>IFERROR(IF(tblPiNAnalysis[[#This Row],[Highest PiN]]="", "", IF(tblPiNAnalysis[[#This Row],[Highest sector(s'') PiN %]]&gt;=flag_pin_perc, "Flagged", "")), "")</f>
        <v/>
      </c>
      <c r="AN48" s="266" t="str" cm="1">
        <f t="array" ref="AN48">IF(tblPiNAnalysis[[#This Row],[Highest PiN]]=0, "",  IF(OR(COUNTIF(tblPiNAnalysis[[#This Row],[Highest sector(s)]],tblSubSectorPopulation[Sector])), "Flagged", ""))</f>
        <v/>
      </c>
      <c r="AO48" s="45" cm="1">
        <f t="array" ref="AO4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19779.375</v>
      </c>
      <c r="AP48" s="326" t="str" cm="1">
        <f t="array" ref="AP48">IF(tblPiNAnalysis[[#This Row],[2nd Highest PiN]]="", "", _xlfn.TEXTJOIN(CHAR(10), TRUE, IF(tblPiNAnalysis[[#This Row],[2nd Highest PiN]]=tblPiNAnalysis[[#This Row],[CCCM]:[WASH]], tblPiNAnalysis[[#Headers],[CCCM]:[WASH]], "")))</f>
        <v>WASH</v>
      </c>
      <c r="AQ48" s="35">
        <f>IFERROR(tblPiNAnalysis[[#This Row],[2nd Highest PiN]]/tblPiNAnalysis[[#This Row],[Population]], "")</f>
        <v>0.375</v>
      </c>
      <c r="AR48" s="45">
        <f>IFERROR(tblPiNAnalysis[[#This Row],[Highest PiN]]-tblPiNAnalysis[[#This Row],[2nd Highest PiN]], "")</f>
        <v>7105.625</v>
      </c>
      <c r="AS48" s="38">
        <f>IFERROR(((tblPiNAnalysis[[#This Row],[Highest PiN]]-tblPiNAnalysis[[#This Row],[2nd Highest PiN]])/tblPiNAnalysis[[#This Row],[2nd Highest PiN]]),"")</f>
        <v>0.35924416216387017</v>
      </c>
      <c r="AT48" s="269" t="str" cm="1">
        <f t="array" ref="AT4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48" s="327" cm="1">
        <f t="array" ref="AU4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4971</v>
      </c>
      <c r="AV48" s="186" t="str" cm="1">
        <f t="array" ref="AV48">IF(tblPiNAnalysis[[#This Row],[3rd Highest PiN]]="", "", _xlfn.TEXTJOIN(CHAR(10), TRUE, IF(tblPiNAnalysis[[#This Row],[3rd Highest PiN]]=tblPiNAnalysis[[#This Row],[CCCM]:[WASH]], tblPiNAnalysis[[#Headers],[CCCM]:[WASH]], "")))</f>
        <v>Nutrition</v>
      </c>
      <c r="AW48" s="186">
        <f>IFERROR(tblPiNAnalysis[[#This Row],[3rd Highest PiN]]/tblPiNAnalysis[[#This Row],[Population]], "")</f>
        <v>9.424590008531615E-2</v>
      </c>
      <c r="AX48" s="44">
        <f>IFERROR(tblPiNAnalysis[[#This Row],[Highest PiN]]-tblPiNAnalysis[[#This Row],[3rd Highest PiN]],"")</f>
        <v>21914</v>
      </c>
      <c r="AY48" s="38">
        <f>IFERROR(tblPiNAnalysis[[#This Row],[Difference of PiN between Highest and 3rd Highest]]/tblPiNAnalysis[[#This Row],[3rd Highest PiN]], "")</f>
        <v>4.4083685375176023</v>
      </c>
      <c r="AZ48" s="325" t="str" cm="1">
        <f t="array" ref="AZ4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8" s="292" cm="1">
        <f t="array" ref="BA48">IFERROR(IF(tblPiNAnalysis[[#This Row],[ID]]="", "", INDEX(tblPiNHistorical[[CCCM]:[WASH]], MATCH(tblPiNAnalysis[[#This Row],[ID]],tblPiNHistorical[ID], 0),MATCH(_xlfn._xlws.FILTER(tblPiNAnalysis[[#Headers],[CCCM]:[WASH]], tblPiNAnalysis[[#This Row],[Highest PiN]]=tblPiNAnalysis[[#This Row],[CCCM]:[WASH]]), tblPiNHistorical[[#Headers],[CCCM]:[WASH]], 0))), "")</f>
        <v>0.1</v>
      </c>
      <c r="BB48" s="328" t="str" cm="1">
        <f t="array" ref="BB4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8" s="272" cm="1">
        <f t="array" ref="BC48">IFERROR(IF(tblPiNAnalysis[[#This Row],[ID]]="", "", INDEX(tblPiNHistorical[[CCCM]:[WASH]], MATCH(tblPiNAnalysis[[#This Row],[ID]],tblPiNHistorical[ID], 0),MATCH(_xlfn._xlws.FILTER(tblPiNAnalysis[[#Headers],[CCCM]:[WASH]], tblPiNAnalysis[[#This Row],[2nd Highest PiN]]=tblPiNAnalysis[[#This Row],[CCCM]:[WASH]]), tblPiNHistorical[[#Headers],[CCCM]:[WASH]], 0))), "")</f>
        <v>1.9</v>
      </c>
      <c r="BD48" s="329" t="str" cm="1">
        <f t="array" ref="BD4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48" s="371">
        <f>INDEX(tblSeverityAnalysis[Final Severity], MATCH(tblPiNAnalysis[[#This Row],[ID]],tblSeverityAnalysis[ID], 0))</f>
        <v>2</v>
      </c>
      <c r="BF48" s="60">
        <f>IF(tblPiNAnalysis[[#This Row],[Severity]]&gt;2,tblPiNAnalysis[[#This Row],[Highest PiN]],)</f>
        <v>0</v>
      </c>
      <c r="BG48" s="187"/>
      <c r="BH48" s="188"/>
      <c r="BI48" s="189">
        <f>COUNTIFS(tblPiNAnalysis[[#This Row],[Number of missing / zero PiNs greater than threshold - Data quality]:[Manual Flag]],"Flagged")</f>
        <v>2</v>
      </c>
      <c r="BJ48" s="346" t="str">
        <f>IF(tblPiNAnalysis[[#This Row],['# Flags]]&gt;0, "Flagged", "")</f>
        <v>Flagged</v>
      </c>
      <c r="BK48" s="339">
        <f>tblPiNAnalysis[[#This Row],[Preliminary PiN]]</f>
        <v>0</v>
      </c>
      <c r="BL48" s="326"/>
      <c r="BM48" s="383">
        <f>IF(OR(tblPiNAnalysis[[#This Row],[Severity]]=4,tblPiNAnalysis[[#This Row],[Severity]]=5),tblPiNAnalysis[[#This Row],[Final PiN]],0)</f>
        <v>0</v>
      </c>
      <c r="BN48" s="378">
        <f>IF(OR(tblPiNAnalysis[[#This Row],[Severity]]=4,tblPiNAnalysis[[#This Row],[Severity]]=5),100%, IF(tblPiNAnalysis[[#This Row],[Severity]]=3,50%,0%))*tblPiNAnalysis[[#This Row],[Final PiN]]</f>
        <v>0</v>
      </c>
      <c r="BO48" s="383">
        <f>IF(OR(tblPiNAnalysis[[#This Row],[Severity]]=4,tblPiNAnalysis[[#This Row],[Severity]]=5),100%, IF(AND(tblPiNAnalysis[[#This Row],[Severity]]=3,VLOOKUP(tblPiNAnalysis[[#This Row],[ID]],tblSeverityAnalysis[[ID]:[Highest Severity]],35,FALSE)&gt;3),50%,0%))*tblPiNAnalysis[[#This Row],[Final PiN]]</f>
        <v>0</v>
      </c>
    </row>
    <row r="49" spans="1:67" hidden="1">
      <c r="A4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Global_PopulationHT0361</v>
      </c>
      <c r="B49" s="304" t="s">
        <v>219</v>
      </c>
      <c r="C49" s="213" t="s">
        <v>220</v>
      </c>
      <c r="D49" s="213" t="s">
        <v>251</v>
      </c>
      <c r="E49" s="103" t="s">
        <v>252</v>
      </c>
      <c r="F49" s="99"/>
      <c r="G49" s="34"/>
      <c r="H49" s="357"/>
      <c r="I49" s="354">
        <v>90050</v>
      </c>
      <c r="J49" s="221" t="s">
        <v>156</v>
      </c>
      <c r="K49" s="316">
        <v>10486.5</v>
      </c>
      <c r="L49" s="308">
        <v>5528</v>
      </c>
      <c r="M49" s="308">
        <v>8881</v>
      </c>
      <c r="N49" s="308">
        <v>45978</v>
      </c>
      <c r="O49" s="308">
        <v>12470.221333600344</v>
      </c>
      <c r="P49" s="308">
        <v>8329.5</v>
      </c>
      <c r="Q49" s="309">
        <v>25909</v>
      </c>
      <c r="R49" s="308">
        <v>6991</v>
      </c>
      <c r="S49" s="308"/>
      <c r="T49" s="308"/>
      <c r="U49" s="308"/>
      <c r="V49" s="308"/>
      <c r="W49" s="317">
        <f>IFERROR(IF(tblPiNAnalysis[[#This Row],[CCCM]]="", "", MROUND(tblPiNAnalysis[[#This Row],[CCCM]]/tblPiNAnalysis[[#This Row],[Population]], 0.05)), "")</f>
        <v>0.1</v>
      </c>
      <c r="X49" s="318">
        <f>IFERROR(IF(tblPiNAnalysis[[#This Row],[Education]]="", "", MROUND(tblPiNAnalysis[[#This Row],[Education]]/tblPiNAnalysis[[#This Row],[Population]], 0.05)), "")</f>
        <v>0.05</v>
      </c>
      <c r="Y49" s="318">
        <f>IFERROR(IF(tblPiNAnalysis[[#This Row],[Nutrition]]="", "", MROUND(tblPiNAnalysis[[#This Row],[Nutrition]]/tblPiNAnalysis[[#This Row],[Population]], 0.05)), "")</f>
        <v>0.1</v>
      </c>
      <c r="Z49" s="318">
        <f>IFERROR(IF(tblPiNAnalysis[[#This Row],[Food Security]]="", "", MROUND(tblPiNAnalysis[[#This Row],[Food Security]]/tblPiNAnalysis[[#This Row],[Population]], 0.05)), "")</f>
        <v>0.5</v>
      </c>
      <c r="AA49" s="318">
        <f>IFERROR(IF(tblPiNAnalysis[[#This Row],[Health]]="", "", MROUND(tblPiNAnalysis[[#This Row],[Health]]/tblPiNAnalysis[[#This Row],[Population]], 0.05)), "")</f>
        <v>0.15000000000000002</v>
      </c>
      <c r="AB49" s="319">
        <f>IFERROR(IF(tblPiNAnalysis[[#This Row],[Protection]]="", "", MROUND(tblPiNAnalysis[[#This Row],[Protection]]/tblPiNAnalysis[[#This Row],[Population]], 0.05)), "")</f>
        <v>0.1</v>
      </c>
      <c r="AC49" s="319">
        <f>IFERROR(IF(tblPiNAnalysis[[#This Row],[Shelter]]="", "", MROUND(tblPiNAnalysis[[#This Row],[Shelter]]/tblPiNAnalysis[[#This Row],[Population]], 0.05)), "")</f>
        <v>0.30000000000000004</v>
      </c>
      <c r="AD49" s="320">
        <f>IFERROR(IF(tblPiNAnalysis[[#This Row],[WASH]]="", "", MROUND(tblPiNAnalysis[[#This Row],[WASH]]/tblPiNAnalysis[[#This Row],[Population]], 0.05)), "")</f>
        <v>0.1</v>
      </c>
      <c r="AE49" s="318">
        <f>IFERROR(MROUND(tblPiNAnalysis[[#This Row],[CP]]/tblPiNAnalysis[[#This Row],[Population]], 0.05), "")</f>
        <v>0</v>
      </c>
      <c r="AF49" s="318">
        <f>IFERROR(MROUND(tblPiNAnalysis[[#This Row],[GBV]]/tblPiNAnalysis[[#This Row],[Population]], 0.05), "")</f>
        <v>0</v>
      </c>
      <c r="AG49" s="318">
        <f>IFERROR(MROUND(tblPiNAnalysis[[#This Row],[Migrants]]/tblPiNAnalysis[[#This Row],[Population]], 0.05), "")</f>
        <v>0</v>
      </c>
      <c r="AH49" s="318">
        <f>IFERROR(MROUND(tblPiNAnalysis[[#This Row],[_]]/tblPiNAnalysis[[#This Row],[Population]], 0.05), "")</f>
        <v>0</v>
      </c>
      <c r="AI49" s="321">
        <f>IFERROR(LARGE(tblPiNAnalysis[[#This Row],[CCCM]:[WASH]], 1), "")</f>
        <v>45978</v>
      </c>
      <c r="AJ49" s="322" t="str" cm="1">
        <f t="array" ref="AJ49">IF(tblPiNAnalysis[[#This Row],[Highest PiN]]="", "", _xlfn.TEXTJOIN(CHAR(10), TRUE, IF(tblPiNAnalysis[[#This Row],[Highest PiN]]=tblPiNAnalysis[[#This Row],[CCCM]:[WASH]], tblPiNAnalysis[[#Headers],[CCCM]:[WASH]], "")))</f>
        <v>Food Security</v>
      </c>
      <c r="AK49" s="323">
        <f>IF(tblPiNAnalysis[[#This Row],[Highest PiN]]="", "", tblPiNAnalysis[[#This Row],[Highest PiN]]/tblPiNAnalysis[[#This Row],[Population]])</f>
        <v>0.51058300943920043</v>
      </c>
      <c r="AL49" s="265" t="str">
        <f>IF(SUM(tblPiNAnalysis[[#This Row],[CCCM]:[WASH]])=0, "",IF(COUNTIF(tblPiNAnalysis[[#This Row],[CCCM]:[WASH]],"=0")+COUNTIF(tblPiNAnalysis[[#This Row],[CCCM]:[WASH]],"")&gt;=zero_pin_thresh, "Flagged", ""))</f>
        <v/>
      </c>
      <c r="AM49" s="264" t="str">
        <f>IFERROR(IF(tblPiNAnalysis[[#This Row],[Highest PiN]]="", "", IF(tblPiNAnalysis[[#This Row],[Highest sector(s'') PiN %]]&gt;=flag_pin_perc, "Flagged", "")), "")</f>
        <v/>
      </c>
      <c r="AN49" s="266" t="str" cm="1">
        <f t="array" ref="AN49">IF(tblPiNAnalysis[[#This Row],[Highest PiN]]=0, "",  IF(OR(COUNTIF(tblPiNAnalysis[[#This Row],[Highest sector(s)]],tblSubSectorPopulation[Sector])), "Flagged", ""))</f>
        <v/>
      </c>
      <c r="AO49" s="45" cm="1">
        <f t="array" ref="AO4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25909</v>
      </c>
      <c r="AP49" s="326" t="str" cm="1">
        <f t="array" ref="AP49">IF(tblPiNAnalysis[[#This Row],[2nd Highest PiN]]="", "", _xlfn.TEXTJOIN(CHAR(10), TRUE, IF(tblPiNAnalysis[[#This Row],[2nd Highest PiN]]=tblPiNAnalysis[[#This Row],[CCCM]:[WASH]], tblPiNAnalysis[[#Headers],[CCCM]:[WASH]], "")))</f>
        <v>Shelter</v>
      </c>
      <c r="AQ49" s="35">
        <f>IFERROR(tblPiNAnalysis[[#This Row],[2nd Highest PiN]]/tblPiNAnalysis[[#This Row],[Population]], "")</f>
        <v>0.28771793448084398</v>
      </c>
      <c r="AR49" s="45">
        <f>IFERROR(tblPiNAnalysis[[#This Row],[Highest PiN]]-tblPiNAnalysis[[#This Row],[2nd Highest PiN]], "")</f>
        <v>20069</v>
      </c>
      <c r="AS49" s="38">
        <f>IFERROR(((tblPiNAnalysis[[#This Row],[Highest PiN]]-tblPiNAnalysis[[#This Row],[2nd Highest PiN]])/tblPiNAnalysis[[#This Row],[2nd Highest PiN]]),"")</f>
        <v>0.77459570033579062</v>
      </c>
      <c r="AT49" s="269" t="str" cm="1">
        <f t="array" ref="AT4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49" s="327" cm="1">
        <f t="array" ref="AU4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12470.221333600344</v>
      </c>
      <c r="AV49" s="186" t="str" cm="1">
        <f t="array" ref="AV49">IF(tblPiNAnalysis[[#This Row],[3rd Highest PiN]]="", "", _xlfn.TEXTJOIN(CHAR(10), TRUE, IF(tblPiNAnalysis[[#This Row],[3rd Highest PiN]]=tblPiNAnalysis[[#This Row],[CCCM]:[WASH]], tblPiNAnalysis[[#Headers],[CCCM]:[WASH]], "")))</f>
        <v>Health</v>
      </c>
      <c r="AW49" s="186">
        <f>IFERROR(tblPiNAnalysis[[#This Row],[3rd Highest PiN]]/tblPiNAnalysis[[#This Row],[Population]], "")</f>
        <v>0.13848108088395719</v>
      </c>
      <c r="AX49" s="44">
        <f>IFERROR(tblPiNAnalysis[[#This Row],[Highest PiN]]-tblPiNAnalysis[[#This Row],[3rd Highest PiN]],"")</f>
        <v>33507.778666399652</v>
      </c>
      <c r="AY49" s="38">
        <f>IFERROR(tblPiNAnalysis[[#This Row],[Difference of PiN between Highest and 3rd Highest]]/tblPiNAnalysis[[#This Row],[3rd Highest PiN]], "")</f>
        <v>2.6870235715956969</v>
      </c>
      <c r="AZ49" s="325" t="str" cm="1">
        <f t="array" ref="AZ4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49" s="292" cm="1">
        <f t="array" ref="BA49">IFERROR(IF(tblPiNAnalysis[[#This Row],[ID]]="", "", INDEX(tblPiNHistorical[[CCCM]:[WASH]], MATCH(tblPiNAnalysis[[#This Row],[ID]],tblPiNHistorical[ID], 0),MATCH(_xlfn._xlws.FILTER(tblPiNAnalysis[[#Headers],[CCCM]:[WASH]], tblPiNAnalysis[[#This Row],[Highest PiN]]=tblPiNAnalysis[[#This Row],[CCCM]:[WASH]]), tblPiNHistorical[[#Headers],[CCCM]:[WASH]], 0))), "")</f>
        <v>0.1</v>
      </c>
      <c r="BB49" s="328" t="str" cm="1">
        <f t="array" ref="BB4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49" s="272" cm="1">
        <f t="array" ref="BC49">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49" s="329" t="str" cm="1">
        <f t="array" ref="BD4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49" s="371">
        <f>INDEX(tblSeverityAnalysis[Final Severity], MATCH(tblPiNAnalysis[[#This Row],[ID]],tblSeverityAnalysis[ID], 0))</f>
        <v>3</v>
      </c>
      <c r="BF49" s="60">
        <f>IF(tblPiNAnalysis[[#This Row],[Severity]]&gt;2,tblPiNAnalysis[[#This Row],[Highest PiN]],)</f>
        <v>45978</v>
      </c>
      <c r="BG49" s="187"/>
      <c r="BH49" s="188"/>
      <c r="BI49" s="189">
        <f>COUNTIFS(tblPiNAnalysis[[#This Row],[Number of missing / zero PiNs greater than threshold - Data quality]:[Manual Flag]],"Flagged")</f>
        <v>2</v>
      </c>
      <c r="BJ49" s="346" t="str">
        <f>IF(tblPiNAnalysis[[#This Row],['# Flags]]&gt;0, "Flagged", "")</f>
        <v>Flagged</v>
      </c>
      <c r="BK49" s="339">
        <f>tblPiNAnalysis[[#This Row],[Preliminary PiN]]</f>
        <v>45978</v>
      </c>
      <c r="BL49" s="326"/>
      <c r="BM49" s="383">
        <f>IF(OR(tblPiNAnalysis[[#This Row],[Severity]]=4,tblPiNAnalysis[[#This Row],[Severity]]=5),tblPiNAnalysis[[#This Row],[Final PiN]],0)</f>
        <v>0</v>
      </c>
      <c r="BN49" s="378">
        <f>IF(OR(tblPiNAnalysis[[#This Row],[Severity]]=4,tblPiNAnalysis[[#This Row],[Severity]]=5),100%, IF(tblPiNAnalysis[[#This Row],[Severity]]=3,50%,0%))*tblPiNAnalysis[[#This Row],[Final PiN]]</f>
        <v>22989</v>
      </c>
      <c r="BO49" s="383">
        <f>IF(OR(tblPiNAnalysis[[#This Row],[Severity]]=4,tblPiNAnalysis[[#This Row],[Severity]]=5),100%, IF(AND(tblPiNAnalysis[[#This Row],[Severity]]=3,VLOOKUP(tblPiNAnalysis[[#This Row],[ID]],tblSeverityAnalysis[[ID]:[Highest Severity]],35,FALSE)&gt;3),50%,0%))*tblPiNAnalysis[[#This Row],[Final PiN]]</f>
        <v>0</v>
      </c>
    </row>
    <row r="50" spans="1:67" hidden="1">
      <c r="A5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Global_PopulationHT0362</v>
      </c>
      <c r="B50" s="304" t="s">
        <v>219</v>
      </c>
      <c r="C50" s="213" t="s">
        <v>220</v>
      </c>
      <c r="D50" s="213" t="s">
        <v>253</v>
      </c>
      <c r="E50" s="103" t="s">
        <v>254</v>
      </c>
      <c r="F50" s="99"/>
      <c r="G50" s="34"/>
      <c r="H50" s="357"/>
      <c r="I50" s="354">
        <v>22052</v>
      </c>
      <c r="J50" s="221" t="s">
        <v>156</v>
      </c>
      <c r="K50" s="316">
        <v>150</v>
      </c>
      <c r="L50" s="308">
        <v>1474</v>
      </c>
      <c r="M50" s="308">
        <v>2055</v>
      </c>
      <c r="N50" s="308">
        <v>11265</v>
      </c>
      <c r="O50" s="308">
        <v>642.51900000000001</v>
      </c>
      <c r="P50" s="308">
        <v>288.8</v>
      </c>
      <c r="Q50" s="309">
        <v>0</v>
      </c>
      <c r="R50" s="308">
        <v>100</v>
      </c>
      <c r="S50" s="308"/>
      <c r="T50" s="308"/>
      <c r="U50" s="308"/>
      <c r="V50" s="308"/>
      <c r="W50" s="317">
        <f>IFERROR(IF(tblPiNAnalysis[[#This Row],[CCCM]]="", "", MROUND(tblPiNAnalysis[[#This Row],[CCCM]]/tblPiNAnalysis[[#This Row],[Population]], 0.05)), "")</f>
        <v>0</v>
      </c>
      <c r="X50" s="318">
        <f>IFERROR(IF(tblPiNAnalysis[[#This Row],[Education]]="", "", MROUND(tblPiNAnalysis[[#This Row],[Education]]/tblPiNAnalysis[[#This Row],[Population]], 0.05)), "")</f>
        <v>0.05</v>
      </c>
      <c r="Y50" s="318">
        <f>IFERROR(IF(tblPiNAnalysis[[#This Row],[Nutrition]]="", "", MROUND(tblPiNAnalysis[[#This Row],[Nutrition]]/tblPiNAnalysis[[#This Row],[Population]], 0.05)), "")</f>
        <v>0.1</v>
      </c>
      <c r="Z50" s="318">
        <f>IFERROR(IF(tblPiNAnalysis[[#This Row],[Food Security]]="", "", MROUND(tblPiNAnalysis[[#This Row],[Food Security]]/tblPiNAnalysis[[#This Row],[Population]], 0.05)), "")</f>
        <v>0.5</v>
      </c>
      <c r="AA50" s="318">
        <f>IFERROR(IF(tblPiNAnalysis[[#This Row],[Health]]="", "", MROUND(tblPiNAnalysis[[#This Row],[Health]]/tblPiNAnalysis[[#This Row],[Population]], 0.05)), "")</f>
        <v>0.05</v>
      </c>
      <c r="AB50" s="319">
        <f>IFERROR(IF(tblPiNAnalysis[[#This Row],[Protection]]="", "", MROUND(tblPiNAnalysis[[#This Row],[Protection]]/tblPiNAnalysis[[#This Row],[Population]], 0.05)), "")</f>
        <v>0</v>
      </c>
      <c r="AC50" s="319">
        <f>IFERROR(IF(tblPiNAnalysis[[#This Row],[Shelter]]="", "", MROUND(tblPiNAnalysis[[#This Row],[Shelter]]/tblPiNAnalysis[[#This Row],[Population]], 0.05)), "")</f>
        <v>0</v>
      </c>
      <c r="AD50" s="320">
        <f>IFERROR(IF(tblPiNAnalysis[[#This Row],[WASH]]="", "", MROUND(tblPiNAnalysis[[#This Row],[WASH]]/tblPiNAnalysis[[#This Row],[Population]], 0.05)), "")</f>
        <v>0</v>
      </c>
      <c r="AE50" s="318">
        <f>IFERROR(MROUND(tblPiNAnalysis[[#This Row],[CP]]/tblPiNAnalysis[[#This Row],[Population]], 0.05), "")</f>
        <v>0</v>
      </c>
      <c r="AF50" s="318">
        <f>IFERROR(MROUND(tblPiNAnalysis[[#This Row],[GBV]]/tblPiNAnalysis[[#This Row],[Population]], 0.05), "")</f>
        <v>0</v>
      </c>
      <c r="AG50" s="318">
        <f>IFERROR(MROUND(tblPiNAnalysis[[#This Row],[Migrants]]/tblPiNAnalysis[[#This Row],[Population]], 0.05), "")</f>
        <v>0</v>
      </c>
      <c r="AH50" s="318">
        <f>IFERROR(MROUND(tblPiNAnalysis[[#This Row],[_]]/tblPiNAnalysis[[#This Row],[Population]], 0.05), "")</f>
        <v>0</v>
      </c>
      <c r="AI50" s="321">
        <f>IFERROR(LARGE(tblPiNAnalysis[[#This Row],[CCCM]:[WASH]], 1), "")</f>
        <v>11265</v>
      </c>
      <c r="AJ50" s="322" t="str" cm="1">
        <f t="array" ref="AJ50">IF(tblPiNAnalysis[[#This Row],[Highest PiN]]="", "", _xlfn.TEXTJOIN(CHAR(10), TRUE, IF(tblPiNAnalysis[[#This Row],[Highest PiN]]=tblPiNAnalysis[[#This Row],[CCCM]:[WASH]], tblPiNAnalysis[[#Headers],[CCCM]:[WASH]], "")))</f>
        <v>Food Security</v>
      </c>
      <c r="AK50" s="323">
        <f>IF(tblPiNAnalysis[[#This Row],[Highest PiN]]="", "", tblPiNAnalysis[[#This Row],[Highest PiN]]/tblPiNAnalysis[[#This Row],[Population]])</f>
        <v>0.510838019227281</v>
      </c>
      <c r="AL50" s="265" t="str">
        <f>IF(SUM(tblPiNAnalysis[[#This Row],[CCCM]:[WASH]])=0, "",IF(COUNTIF(tblPiNAnalysis[[#This Row],[CCCM]:[WASH]],"=0")+COUNTIF(tblPiNAnalysis[[#This Row],[CCCM]:[WASH]],"")&gt;=zero_pin_thresh, "Flagged", ""))</f>
        <v/>
      </c>
      <c r="AM50" s="264" t="str">
        <f>IFERROR(IF(tblPiNAnalysis[[#This Row],[Highest PiN]]="", "", IF(tblPiNAnalysis[[#This Row],[Highest sector(s'') PiN %]]&gt;=flag_pin_perc, "Flagged", "")), "")</f>
        <v/>
      </c>
      <c r="AN50" s="266" t="str" cm="1">
        <f t="array" ref="AN50">IF(tblPiNAnalysis[[#This Row],[Highest PiN]]=0, "",  IF(OR(COUNTIF(tblPiNAnalysis[[#This Row],[Highest sector(s)]],tblSubSectorPopulation[Sector])), "Flagged", ""))</f>
        <v/>
      </c>
      <c r="AO50" s="45" cm="1">
        <f t="array" ref="AO5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2055</v>
      </c>
      <c r="AP50" s="326" t="str" cm="1">
        <f t="array" ref="AP50">IF(tblPiNAnalysis[[#This Row],[2nd Highest PiN]]="", "", _xlfn.TEXTJOIN(CHAR(10), TRUE, IF(tblPiNAnalysis[[#This Row],[2nd Highest PiN]]=tblPiNAnalysis[[#This Row],[CCCM]:[WASH]], tblPiNAnalysis[[#Headers],[CCCM]:[WASH]], "")))</f>
        <v>Nutrition</v>
      </c>
      <c r="AQ50" s="35">
        <f>IFERROR(tblPiNAnalysis[[#This Row],[2nd Highest PiN]]/tblPiNAnalysis[[#This Row],[Population]], "")</f>
        <v>9.3188826410302919E-2</v>
      </c>
      <c r="AR50" s="45">
        <f>IFERROR(tblPiNAnalysis[[#This Row],[Highest PiN]]-tblPiNAnalysis[[#This Row],[2nd Highest PiN]], "")</f>
        <v>9210</v>
      </c>
      <c r="AS50" s="38">
        <f>IFERROR(((tblPiNAnalysis[[#This Row],[Highest PiN]]-tblPiNAnalysis[[#This Row],[2nd Highest PiN]])/tblPiNAnalysis[[#This Row],[2nd Highest PiN]]),"")</f>
        <v>4.4817518248175183</v>
      </c>
      <c r="AT50" s="269" t="str" cm="1">
        <f t="array" ref="AT5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0" s="327" cm="1">
        <f t="array" ref="AU5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1474</v>
      </c>
      <c r="AV50" s="186" t="str" cm="1">
        <f t="array" ref="AV50">IF(tblPiNAnalysis[[#This Row],[3rd Highest PiN]]="", "", _xlfn.TEXTJOIN(CHAR(10), TRUE, IF(tblPiNAnalysis[[#This Row],[3rd Highest PiN]]=tblPiNAnalysis[[#This Row],[CCCM]:[WASH]], tblPiNAnalysis[[#Headers],[CCCM]:[WASH]], "")))</f>
        <v>Education</v>
      </c>
      <c r="AW50" s="186">
        <f>IFERROR(tblPiNAnalysis[[#This Row],[3rd Highest PiN]]/tblPiNAnalysis[[#This Row],[Population]], "")</f>
        <v>6.6842009795029925E-2</v>
      </c>
      <c r="AX50" s="44">
        <f>IFERROR(tblPiNAnalysis[[#This Row],[Highest PiN]]-tblPiNAnalysis[[#This Row],[3rd Highest PiN]],"")</f>
        <v>9791</v>
      </c>
      <c r="AY50" s="38">
        <f>IFERROR(tblPiNAnalysis[[#This Row],[Difference of PiN between Highest and 3rd Highest]]/tblPiNAnalysis[[#This Row],[3rd Highest PiN]], "")</f>
        <v>6.6424694708276801</v>
      </c>
      <c r="AZ50" s="325" t="str" cm="1">
        <f t="array" ref="AZ5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0" s="292" cm="1">
        <f t="array" ref="BA50">IFERROR(IF(tblPiNAnalysis[[#This Row],[ID]]="", "", INDEX(tblPiNHistorical[[CCCM]:[WASH]], MATCH(tblPiNAnalysis[[#This Row],[ID]],tblPiNHistorical[ID], 0),MATCH(_xlfn._xlws.FILTER(tblPiNAnalysis[[#Headers],[CCCM]:[WASH]], tblPiNAnalysis[[#This Row],[Highest PiN]]=tblPiNAnalysis[[#This Row],[CCCM]:[WASH]]), tblPiNHistorical[[#Headers],[CCCM]:[WASH]], 0))), "")</f>
        <v>0.1</v>
      </c>
      <c r="BB50" s="328" t="str" cm="1">
        <f t="array" ref="BB5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0" s="272" cm="1">
        <f t="array" ref="BC50">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50" s="329" t="str" cm="1">
        <f t="array" ref="BD5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0" s="371">
        <f>INDEX(tblSeverityAnalysis[Final Severity], MATCH(tblPiNAnalysis[[#This Row],[ID]],tblSeverityAnalysis[ID], 0))</f>
        <v>2</v>
      </c>
      <c r="BF50" s="60">
        <f>IF(tblPiNAnalysis[[#This Row],[Severity]]&gt;2,tblPiNAnalysis[[#This Row],[Highest PiN]],)</f>
        <v>0</v>
      </c>
      <c r="BG50" s="187"/>
      <c r="BH50" s="188"/>
      <c r="BI50" s="189">
        <f>COUNTIFS(tblPiNAnalysis[[#This Row],[Number of missing / zero PiNs greater than threshold - Data quality]:[Manual Flag]],"Flagged")</f>
        <v>2</v>
      </c>
      <c r="BJ50" s="346" t="str">
        <f>IF(tblPiNAnalysis[[#This Row],['# Flags]]&gt;0, "Flagged", "")</f>
        <v>Flagged</v>
      </c>
      <c r="BK50" s="339">
        <f>tblPiNAnalysis[[#This Row],[Preliminary PiN]]</f>
        <v>0</v>
      </c>
      <c r="BL50" s="326"/>
      <c r="BM50" s="383">
        <f>IF(OR(tblPiNAnalysis[[#This Row],[Severity]]=4,tblPiNAnalysis[[#This Row],[Severity]]=5),tblPiNAnalysis[[#This Row],[Final PiN]],0)</f>
        <v>0</v>
      </c>
      <c r="BN50" s="378">
        <f>IF(OR(tblPiNAnalysis[[#This Row],[Severity]]=4,tblPiNAnalysis[[#This Row],[Severity]]=5),100%, IF(tblPiNAnalysis[[#This Row],[Severity]]=3,50%,0%))*tblPiNAnalysis[[#This Row],[Final PiN]]</f>
        <v>0</v>
      </c>
      <c r="BO50" s="383">
        <f>IF(OR(tblPiNAnalysis[[#This Row],[Severity]]=4,tblPiNAnalysis[[#This Row],[Severity]]=5),100%, IF(AND(tblPiNAnalysis[[#This Row],[Severity]]=3,VLOOKUP(tblPiNAnalysis[[#This Row],[ID]],tblSeverityAnalysis[[ID]:[Highest Severity]],35,FALSE)&gt;3),50%,0%))*tblPiNAnalysis[[#This Row],[Final PiN]]</f>
        <v>0</v>
      </c>
    </row>
    <row r="51" spans="1:67" hidden="1">
      <c r="A5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Global_PopulationHT0371</v>
      </c>
      <c r="B51" s="304" t="s">
        <v>219</v>
      </c>
      <c r="C51" s="213" t="s">
        <v>220</v>
      </c>
      <c r="D51" s="213" t="s">
        <v>255</v>
      </c>
      <c r="E51" s="103" t="s">
        <v>256</v>
      </c>
      <c r="F51" s="99"/>
      <c r="G51" s="34"/>
      <c r="H51" s="357"/>
      <c r="I51" s="354">
        <v>76929</v>
      </c>
      <c r="J51" s="221" t="s">
        <v>156</v>
      </c>
      <c r="K51" s="316">
        <v>18052.5</v>
      </c>
      <c r="L51" s="308">
        <v>5215</v>
      </c>
      <c r="M51" s="308">
        <v>7962</v>
      </c>
      <c r="N51" s="308">
        <v>37506</v>
      </c>
      <c r="O51" s="308">
        <v>26544.557161006953</v>
      </c>
      <c r="P51" s="308">
        <v>11141.046666666669</v>
      </c>
      <c r="Q51" s="309">
        <v>40576</v>
      </c>
      <c r="R51" s="308">
        <v>25643</v>
      </c>
      <c r="S51" s="308"/>
      <c r="T51" s="308"/>
      <c r="U51" s="308"/>
      <c r="V51" s="308"/>
      <c r="W51" s="317">
        <f>IFERROR(IF(tblPiNAnalysis[[#This Row],[CCCM]]="", "", MROUND(tblPiNAnalysis[[#This Row],[CCCM]]/tblPiNAnalysis[[#This Row],[Population]], 0.05)), "")</f>
        <v>0.25</v>
      </c>
      <c r="X51" s="318">
        <f>IFERROR(IF(tblPiNAnalysis[[#This Row],[Education]]="", "", MROUND(tblPiNAnalysis[[#This Row],[Education]]/tblPiNAnalysis[[#This Row],[Population]], 0.05)), "")</f>
        <v>0.05</v>
      </c>
      <c r="Y51" s="318">
        <f>IFERROR(IF(tblPiNAnalysis[[#This Row],[Nutrition]]="", "", MROUND(tblPiNAnalysis[[#This Row],[Nutrition]]/tblPiNAnalysis[[#This Row],[Population]], 0.05)), "")</f>
        <v>0.1</v>
      </c>
      <c r="Z51" s="318">
        <f>IFERROR(IF(tblPiNAnalysis[[#This Row],[Food Security]]="", "", MROUND(tblPiNAnalysis[[#This Row],[Food Security]]/tblPiNAnalysis[[#This Row],[Population]], 0.05)), "")</f>
        <v>0.5</v>
      </c>
      <c r="AA51" s="318">
        <f>IFERROR(IF(tblPiNAnalysis[[#This Row],[Health]]="", "", MROUND(tblPiNAnalysis[[#This Row],[Health]]/tblPiNAnalysis[[#This Row],[Population]], 0.05)), "")</f>
        <v>0.35000000000000003</v>
      </c>
      <c r="AB51" s="319">
        <f>IFERROR(IF(tblPiNAnalysis[[#This Row],[Protection]]="", "", MROUND(tblPiNAnalysis[[#This Row],[Protection]]/tblPiNAnalysis[[#This Row],[Population]], 0.05)), "")</f>
        <v>0.15000000000000002</v>
      </c>
      <c r="AC51" s="319">
        <f>IFERROR(IF(tblPiNAnalysis[[#This Row],[Shelter]]="", "", MROUND(tblPiNAnalysis[[#This Row],[Shelter]]/tblPiNAnalysis[[#This Row],[Population]], 0.05)), "")</f>
        <v>0.55000000000000004</v>
      </c>
      <c r="AD51" s="320">
        <f>IFERROR(IF(tblPiNAnalysis[[#This Row],[WASH]]="", "", MROUND(tblPiNAnalysis[[#This Row],[WASH]]/tblPiNAnalysis[[#This Row],[Population]], 0.05)), "")</f>
        <v>0.35000000000000003</v>
      </c>
      <c r="AE51" s="318">
        <f>IFERROR(MROUND(tblPiNAnalysis[[#This Row],[CP]]/tblPiNAnalysis[[#This Row],[Population]], 0.05), "")</f>
        <v>0</v>
      </c>
      <c r="AF51" s="318">
        <f>IFERROR(MROUND(tblPiNAnalysis[[#This Row],[GBV]]/tblPiNAnalysis[[#This Row],[Population]], 0.05), "")</f>
        <v>0</v>
      </c>
      <c r="AG51" s="318">
        <f>IFERROR(MROUND(tblPiNAnalysis[[#This Row],[Migrants]]/tblPiNAnalysis[[#This Row],[Population]], 0.05), "")</f>
        <v>0</v>
      </c>
      <c r="AH51" s="318">
        <f>IFERROR(MROUND(tblPiNAnalysis[[#This Row],[_]]/tblPiNAnalysis[[#This Row],[Population]], 0.05), "")</f>
        <v>0</v>
      </c>
      <c r="AI51" s="321">
        <f>IFERROR(LARGE(tblPiNAnalysis[[#This Row],[CCCM]:[WASH]], 1), "")</f>
        <v>40576</v>
      </c>
      <c r="AJ51" s="322" t="str" cm="1">
        <f t="array" ref="AJ51">IF(tblPiNAnalysis[[#This Row],[Highest PiN]]="", "", _xlfn.TEXTJOIN(CHAR(10), TRUE, IF(tblPiNAnalysis[[#This Row],[Highest PiN]]=tblPiNAnalysis[[#This Row],[CCCM]:[WASH]], tblPiNAnalysis[[#Headers],[CCCM]:[WASH]], "")))</f>
        <v>Shelter</v>
      </c>
      <c r="AK51" s="323">
        <f>IF(tblPiNAnalysis[[#This Row],[Highest PiN]]="", "", tblPiNAnalysis[[#This Row],[Highest PiN]]/tblPiNAnalysis[[#This Row],[Population]])</f>
        <v>0.52744738655123558</v>
      </c>
      <c r="AL51" s="265" t="str">
        <f>IF(SUM(tblPiNAnalysis[[#This Row],[CCCM]:[WASH]])=0, "",IF(COUNTIF(tblPiNAnalysis[[#This Row],[CCCM]:[WASH]],"=0")+COUNTIF(tblPiNAnalysis[[#This Row],[CCCM]:[WASH]],"")&gt;=zero_pin_thresh, "Flagged", ""))</f>
        <v/>
      </c>
      <c r="AM51" s="264" t="str">
        <f>IFERROR(IF(tblPiNAnalysis[[#This Row],[Highest PiN]]="", "", IF(tblPiNAnalysis[[#This Row],[Highest sector(s'') PiN %]]&gt;=flag_pin_perc, "Flagged", "")), "")</f>
        <v/>
      </c>
      <c r="AN51" s="266" t="str" cm="1">
        <f t="array" ref="AN51">IF(tblPiNAnalysis[[#This Row],[Highest PiN]]=0, "",  IF(OR(COUNTIF(tblPiNAnalysis[[#This Row],[Highest sector(s)]],tblSubSectorPopulation[Sector])), "Flagged", ""))</f>
        <v/>
      </c>
      <c r="AO51" s="45" cm="1">
        <f t="array" ref="AO5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37506</v>
      </c>
      <c r="AP51" s="326" t="str" cm="1">
        <f t="array" ref="AP51">IF(tblPiNAnalysis[[#This Row],[2nd Highest PiN]]="", "", _xlfn.TEXTJOIN(CHAR(10), TRUE, IF(tblPiNAnalysis[[#This Row],[2nd Highest PiN]]=tblPiNAnalysis[[#This Row],[CCCM]:[WASH]], tblPiNAnalysis[[#Headers],[CCCM]:[WASH]], "")))</f>
        <v>Food Security</v>
      </c>
      <c r="AQ51" s="35">
        <f>IFERROR(tblPiNAnalysis[[#This Row],[2nd Highest PiN]]/tblPiNAnalysis[[#This Row],[Population]], "")</f>
        <v>0.48754045938462737</v>
      </c>
      <c r="AR51" s="45">
        <f>IFERROR(tblPiNAnalysis[[#This Row],[Highest PiN]]-tblPiNAnalysis[[#This Row],[2nd Highest PiN]], "")</f>
        <v>3070</v>
      </c>
      <c r="AS51" s="38">
        <f>IFERROR(((tblPiNAnalysis[[#This Row],[Highest PiN]]-tblPiNAnalysis[[#This Row],[2nd Highest PiN]])/tblPiNAnalysis[[#This Row],[2nd Highest PiN]]),"")</f>
        <v>8.1853570095451397E-2</v>
      </c>
      <c r="AT51" s="269" t="str" cm="1">
        <f t="array" ref="AT5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1" s="327" cm="1">
        <f t="array" ref="AU5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26544.557161006953</v>
      </c>
      <c r="AV51" s="186" t="str" cm="1">
        <f t="array" ref="AV51">IF(tblPiNAnalysis[[#This Row],[3rd Highest PiN]]="", "", _xlfn.TEXTJOIN(CHAR(10), TRUE, IF(tblPiNAnalysis[[#This Row],[3rd Highest PiN]]=tblPiNAnalysis[[#This Row],[CCCM]:[WASH]], tblPiNAnalysis[[#Headers],[CCCM]:[WASH]], "")))</f>
        <v>Health</v>
      </c>
      <c r="AW51" s="186">
        <f>IFERROR(tblPiNAnalysis[[#This Row],[3rd Highest PiN]]/tblPiNAnalysis[[#This Row],[Population]], "")</f>
        <v>0.34505267403718953</v>
      </c>
      <c r="AX51" s="44">
        <f>IFERROR(tblPiNAnalysis[[#This Row],[Highest PiN]]-tblPiNAnalysis[[#This Row],[3rd Highest PiN]],"")</f>
        <v>14031.442838993047</v>
      </c>
      <c r="AY51" s="38">
        <f>IFERROR(tblPiNAnalysis[[#This Row],[Difference of PiN between Highest and 3rd Highest]]/tblPiNAnalysis[[#This Row],[3rd Highest PiN]], "")</f>
        <v>0.5285996203999499</v>
      </c>
      <c r="AZ51" s="325" t="str" cm="1">
        <f t="array" ref="AZ5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1" s="292" cm="1">
        <f t="array" ref="BA51">IFERROR(IF(tblPiNAnalysis[[#This Row],[ID]]="", "", INDEX(tblPiNHistorical[[CCCM]:[WASH]], MATCH(tblPiNAnalysis[[#This Row],[ID]],tblPiNHistorical[ID], 0),MATCH(_xlfn._xlws.FILTER(tblPiNAnalysis[[#Headers],[CCCM]:[WASH]], tblPiNAnalysis[[#This Row],[Highest PiN]]=tblPiNAnalysis[[#This Row],[CCCM]:[WASH]]), tblPiNHistorical[[#Headers],[CCCM]:[WASH]], 0))), "")</f>
        <v>0.6</v>
      </c>
      <c r="BB51" s="328" t="str" cm="1">
        <f t="array" ref="BB5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1" s="272" cm="1">
        <f t="array" ref="BC5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51" s="329" t="str" cm="1">
        <f t="array" ref="BD5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1" s="371">
        <f>INDEX(tblSeverityAnalysis[Final Severity], MATCH(tblPiNAnalysis[[#This Row],[ID]],tblSeverityAnalysis[ID], 0))</f>
        <v>3</v>
      </c>
      <c r="BF51" s="60">
        <f>IF(tblPiNAnalysis[[#This Row],[Severity]]&gt;2,tblPiNAnalysis[[#This Row],[Highest PiN]],)</f>
        <v>40576</v>
      </c>
      <c r="BG51" s="187"/>
      <c r="BH51" s="188"/>
      <c r="BI51" s="189">
        <f>COUNTIFS(tblPiNAnalysis[[#This Row],[Number of missing / zero PiNs greater than threshold - Data quality]:[Manual Flag]],"Flagged")</f>
        <v>0</v>
      </c>
      <c r="BJ51" s="346" t="str">
        <f>IF(tblPiNAnalysis[[#This Row],['# Flags]]&gt;0, "Flagged", "")</f>
        <v/>
      </c>
      <c r="BK51" s="339">
        <f>tblPiNAnalysis[[#This Row],[Preliminary PiN]]</f>
        <v>40576</v>
      </c>
      <c r="BL51" s="326"/>
      <c r="BM51" s="383">
        <f>IF(OR(tblPiNAnalysis[[#This Row],[Severity]]=4,tblPiNAnalysis[[#This Row],[Severity]]=5),tblPiNAnalysis[[#This Row],[Final PiN]],0)</f>
        <v>0</v>
      </c>
      <c r="BN51" s="378">
        <f>IF(OR(tblPiNAnalysis[[#This Row],[Severity]]=4,tblPiNAnalysis[[#This Row],[Severity]]=5),100%, IF(tblPiNAnalysis[[#This Row],[Severity]]=3,50%,0%))*tblPiNAnalysis[[#This Row],[Final PiN]]</f>
        <v>20288</v>
      </c>
      <c r="BO51" s="383">
        <f>IF(OR(tblPiNAnalysis[[#This Row],[Severity]]=4,tblPiNAnalysis[[#This Row],[Severity]]=5),100%, IF(AND(tblPiNAnalysis[[#This Row],[Severity]]=3,VLOOKUP(tblPiNAnalysis[[#This Row],[ID]],tblSeverityAnalysis[[ID]:[Highest Severity]],35,FALSE)&gt;3),50%,0%))*tblPiNAnalysis[[#This Row],[Final PiN]]</f>
        <v>0</v>
      </c>
    </row>
    <row r="52" spans="1:67" hidden="1">
      <c r="A5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Global_PopulationHT0372</v>
      </c>
      <c r="B52" s="304" t="s">
        <v>219</v>
      </c>
      <c r="C52" s="213" t="s">
        <v>220</v>
      </c>
      <c r="D52" s="213" t="s">
        <v>257</v>
      </c>
      <c r="E52" s="103" t="s">
        <v>258</v>
      </c>
      <c r="F52" s="99"/>
      <c r="G52" s="34"/>
      <c r="H52" s="357"/>
      <c r="I52" s="354">
        <v>60535</v>
      </c>
      <c r="J52" s="221" t="s">
        <v>156</v>
      </c>
      <c r="K52" s="316">
        <v>8460</v>
      </c>
      <c r="L52" s="308">
        <v>4406</v>
      </c>
      <c r="M52" s="308">
        <v>5961</v>
      </c>
      <c r="N52" s="308">
        <v>29133</v>
      </c>
      <c r="O52" s="308">
        <v>10158.602063829787</v>
      </c>
      <c r="P52" s="308">
        <v>7321.42</v>
      </c>
      <c r="Q52" s="309">
        <v>15197</v>
      </c>
      <c r="R52" s="308">
        <v>45401.25</v>
      </c>
      <c r="S52" s="308"/>
      <c r="T52" s="308"/>
      <c r="U52" s="308"/>
      <c r="V52" s="308"/>
      <c r="W52" s="317">
        <f>IFERROR(IF(tblPiNAnalysis[[#This Row],[CCCM]]="", "", MROUND(tblPiNAnalysis[[#This Row],[CCCM]]/tblPiNAnalysis[[#This Row],[Population]], 0.05)), "")</f>
        <v>0.15000000000000002</v>
      </c>
      <c r="X52" s="318">
        <f>IFERROR(IF(tblPiNAnalysis[[#This Row],[Education]]="", "", MROUND(tblPiNAnalysis[[#This Row],[Education]]/tblPiNAnalysis[[#This Row],[Population]], 0.05)), "")</f>
        <v>0.05</v>
      </c>
      <c r="Y52" s="318">
        <f>IFERROR(IF(tblPiNAnalysis[[#This Row],[Nutrition]]="", "", MROUND(tblPiNAnalysis[[#This Row],[Nutrition]]/tblPiNAnalysis[[#This Row],[Population]], 0.05)), "")</f>
        <v>0.1</v>
      </c>
      <c r="Z52" s="318">
        <f>IFERROR(IF(tblPiNAnalysis[[#This Row],[Food Security]]="", "", MROUND(tblPiNAnalysis[[#This Row],[Food Security]]/tblPiNAnalysis[[#This Row],[Population]], 0.05)), "")</f>
        <v>0.5</v>
      </c>
      <c r="AA52" s="318">
        <f>IFERROR(IF(tblPiNAnalysis[[#This Row],[Health]]="", "", MROUND(tblPiNAnalysis[[#This Row],[Health]]/tblPiNAnalysis[[#This Row],[Population]], 0.05)), "")</f>
        <v>0.15000000000000002</v>
      </c>
      <c r="AB52" s="319">
        <f>IFERROR(IF(tblPiNAnalysis[[#This Row],[Protection]]="", "", MROUND(tblPiNAnalysis[[#This Row],[Protection]]/tblPiNAnalysis[[#This Row],[Population]], 0.05)), "")</f>
        <v>0.1</v>
      </c>
      <c r="AC52" s="319">
        <f>IFERROR(IF(tblPiNAnalysis[[#This Row],[Shelter]]="", "", MROUND(tblPiNAnalysis[[#This Row],[Shelter]]/tblPiNAnalysis[[#This Row],[Population]], 0.05)), "")</f>
        <v>0.25</v>
      </c>
      <c r="AD52" s="320">
        <f>IFERROR(IF(tblPiNAnalysis[[#This Row],[WASH]]="", "", MROUND(tblPiNAnalysis[[#This Row],[WASH]]/tblPiNAnalysis[[#This Row],[Population]], 0.05)), "")</f>
        <v>0.75</v>
      </c>
      <c r="AE52" s="318">
        <f>IFERROR(MROUND(tblPiNAnalysis[[#This Row],[CP]]/tblPiNAnalysis[[#This Row],[Population]], 0.05), "")</f>
        <v>0</v>
      </c>
      <c r="AF52" s="318">
        <f>IFERROR(MROUND(tblPiNAnalysis[[#This Row],[GBV]]/tblPiNAnalysis[[#This Row],[Population]], 0.05), "")</f>
        <v>0</v>
      </c>
      <c r="AG52" s="318">
        <f>IFERROR(MROUND(tblPiNAnalysis[[#This Row],[Migrants]]/tblPiNAnalysis[[#This Row],[Population]], 0.05), "")</f>
        <v>0</v>
      </c>
      <c r="AH52" s="318">
        <f>IFERROR(MROUND(tblPiNAnalysis[[#This Row],[_]]/tblPiNAnalysis[[#This Row],[Population]], 0.05), "")</f>
        <v>0</v>
      </c>
      <c r="AI52" s="321">
        <f>IFERROR(LARGE(tblPiNAnalysis[[#This Row],[CCCM]:[WASH]], 1), "")</f>
        <v>45401.25</v>
      </c>
      <c r="AJ52" s="322" t="str" cm="1">
        <f t="array" ref="AJ52">IF(tblPiNAnalysis[[#This Row],[Highest PiN]]="", "", _xlfn.TEXTJOIN(CHAR(10), TRUE, IF(tblPiNAnalysis[[#This Row],[Highest PiN]]=tblPiNAnalysis[[#This Row],[CCCM]:[WASH]], tblPiNAnalysis[[#Headers],[CCCM]:[WASH]], "")))</f>
        <v>WASH</v>
      </c>
      <c r="AK52" s="323">
        <f>IF(tblPiNAnalysis[[#This Row],[Highest PiN]]="", "", tblPiNAnalysis[[#This Row],[Highest PiN]]/tblPiNAnalysis[[#This Row],[Population]])</f>
        <v>0.75</v>
      </c>
      <c r="AL52" s="265" t="str">
        <f>IF(SUM(tblPiNAnalysis[[#This Row],[CCCM]:[WASH]])=0, "",IF(COUNTIF(tblPiNAnalysis[[#This Row],[CCCM]:[WASH]],"=0")+COUNTIF(tblPiNAnalysis[[#This Row],[CCCM]:[WASH]],"")&gt;=zero_pin_thresh, "Flagged", ""))</f>
        <v/>
      </c>
      <c r="AM52" s="264" t="str">
        <f>IFERROR(IF(tblPiNAnalysis[[#This Row],[Highest PiN]]="", "", IF(tblPiNAnalysis[[#This Row],[Highest sector(s'') PiN %]]&gt;=flag_pin_perc, "Flagged", "")), "")</f>
        <v/>
      </c>
      <c r="AN52" s="266" t="str" cm="1">
        <f t="array" ref="AN52">IF(tblPiNAnalysis[[#This Row],[Highest PiN]]=0, "",  IF(OR(COUNTIF(tblPiNAnalysis[[#This Row],[Highest sector(s)]],tblSubSectorPopulation[Sector])), "Flagged", ""))</f>
        <v/>
      </c>
      <c r="AO52" s="45" cm="1">
        <f t="array" ref="AO5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29133</v>
      </c>
      <c r="AP52" s="326" t="str" cm="1">
        <f t="array" ref="AP52">IF(tblPiNAnalysis[[#This Row],[2nd Highest PiN]]="", "", _xlfn.TEXTJOIN(CHAR(10), TRUE, IF(tblPiNAnalysis[[#This Row],[2nd Highest PiN]]=tblPiNAnalysis[[#This Row],[CCCM]:[WASH]], tblPiNAnalysis[[#Headers],[CCCM]:[WASH]], "")))</f>
        <v>Food Security</v>
      </c>
      <c r="AQ52" s="35">
        <f>IFERROR(tblPiNAnalysis[[#This Row],[2nd Highest PiN]]/tblPiNAnalysis[[#This Row],[Population]], "")</f>
        <v>0.48125877591476007</v>
      </c>
      <c r="AR52" s="45">
        <f>IFERROR(tblPiNAnalysis[[#This Row],[Highest PiN]]-tblPiNAnalysis[[#This Row],[2nd Highest PiN]], "")</f>
        <v>16268.25</v>
      </c>
      <c r="AS52" s="38">
        <f>IFERROR(((tblPiNAnalysis[[#This Row],[Highest PiN]]-tblPiNAnalysis[[#This Row],[2nd Highest PiN]])/tblPiNAnalysis[[#This Row],[2nd Highest PiN]]),"")</f>
        <v>0.55841313973844098</v>
      </c>
      <c r="AT52" s="269" t="str" cm="1">
        <f t="array" ref="AT5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2" s="327" cm="1">
        <f t="array" ref="AU5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15197</v>
      </c>
      <c r="AV52" s="186" t="str" cm="1">
        <f t="array" ref="AV52">IF(tblPiNAnalysis[[#This Row],[3rd Highest PiN]]="", "", _xlfn.TEXTJOIN(CHAR(10), TRUE, IF(tblPiNAnalysis[[#This Row],[3rd Highest PiN]]=tblPiNAnalysis[[#This Row],[CCCM]:[WASH]], tblPiNAnalysis[[#Headers],[CCCM]:[WASH]], "")))</f>
        <v>Shelter</v>
      </c>
      <c r="AW52" s="186">
        <f>IFERROR(tblPiNAnalysis[[#This Row],[3rd Highest PiN]]/tblPiNAnalysis[[#This Row],[Population]], "")</f>
        <v>0.25104485008672667</v>
      </c>
      <c r="AX52" s="44">
        <f>IFERROR(tblPiNAnalysis[[#This Row],[Highest PiN]]-tblPiNAnalysis[[#This Row],[3rd Highest PiN]],"")</f>
        <v>30204.25</v>
      </c>
      <c r="AY52" s="38">
        <f>IFERROR(tblPiNAnalysis[[#This Row],[Difference of PiN between Highest and 3rd Highest]]/tblPiNAnalysis[[#This Row],[3rd Highest PiN]], "")</f>
        <v>1.9875139830229651</v>
      </c>
      <c r="AZ52" s="325" t="str" cm="1">
        <f t="array" ref="AZ5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2" s="292" cm="1">
        <f t="array" ref="BA52">IFERROR(IF(tblPiNAnalysis[[#This Row],[ID]]="", "", INDEX(tblPiNHistorical[[CCCM]:[WASH]], MATCH(tblPiNAnalysis[[#This Row],[ID]],tblPiNHistorical[ID], 0),MATCH(_xlfn._xlws.FILTER(tblPiNAnalysis[[#Headers],[CCCM]:[WASH]], tblPiNAnalysis[[#This Row],[Highest PiN]]=tblPiNAnalysis[[#This Row],[CCCM]:[WASH]]), tblPiNHistorical[[#Headers],[CCCM]:[WASH]], 0))), "")</f>
        <v>1.7</v>
      </c>
      <c r="BB52" s="328" t="str" cm="1">
        <f t="array" ref="BB5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52" s="272" cm="1">
        <f t="array" ref="BC52">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52" s="329" t="str" cm="1">
        <f t="array" ref="BD5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2" s="371">
        <f>INDEX(tblSeverityAnalysis[Final Severity], MATCH(tblPiNAnalysis[[#This Row],[ID]],tblSeverityAnalysis[ID], 0))</f>
        <v>3</v>
      </c>
      <c r="BF52" s="60">
        <f>IF(tblPiNAnalysis[[#This Row],[Severity]]&gt;2,tblPiNAnalysis[[#This Row],[Highest PiN]],)</f>
        <v>45401.25</v>
      </c>
      <c r="BG52" s="187"/>
      <c r="BH52" s="188"/>
      <c r="BI52" s="189">
        <f>COUNTIFS(tblPiNAnalysis[[#This Row],[Number of missing / zero PiNs greater than threshold - Data quality]:[Manual Flag]],"Flagged")</f>
        <v>3</v>
      </c>
      <c r="BJ52" s="346" t="str">
        <f>IF(tblPiNAnalysis[[#This Row],['# Flags]]&gt;0, "Flagged", "")</f>
        <v>Flagged</v>
      </c>
      <c r="BK52" s="308">
        <v>29133</v>
      </c>
      <c r="BL52" s="326" t="s">
        <v>157</v>
      </c>
      <c r="BM52" s="383">
        <f>IF(OR(tblPiNAnalysis[[#This Row],[Severity]]=4,tblPiNAnalysis[[#This Row],[Severity]]=5),tblPiNAnalysis[[#This Row],[Final PiN]],0)</f>
        <v>0</v>
      </c>
      <c r="BN52" s="378">
        <f>IF(OR(tblPiNAnalysis[[#This Row],[Severity]]=4,tblPiNAnalysis[[#This Row],[Severity]]=5),100%, IF(tblPiNAnalysis[[#This Row],[Severity]]=3,50%,0%))*tblPiNAnalysis[[#This Row],[Final PiN]]</f>
        <v>14566.5</v>
      </c>
      <c r="BO52" s="383">
        <f>IF(OR(tblPiNAnalysis[[#This Row],[Severity]]=4,tblPiNAnalysis[[#This Row],[Severity]]=5),100%, IF(AND(tblPiNAnalysis[[#This Row],[Severity]]=3,VLOOKUP(tblPiNAnalysis[[#This Row],[ID]],tblSeverityAnalysis[[ID]:[Highest Severity]],35,FALSE)&gt;3),50%,0%))*tblPiNAnalysis[[#This Row],[Final PiN]]</f>
        <v>0</v>
      </c>
    </row>
    <row r="53" spans="1:67" hidden="1">
      <c r="A5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Global_PopulationHT0411</v>
      </c>
      <c r="B53" s="304" t="s">
        <v>259</v>
      </c>
      <c r="C53" s="213" t="s">
        <v>260</v>
      </c>
      <c r="D53" s="213" t="s">
        <v>261</v>
      </c>
      <c r="E53" s="103" t="s">
        <v>262</v>
      </c>
      <c r="F53" s="99"/>
      <c r="G53" s="34"/>
      <c r="H53" s="357"/>
      <c r="I53" s="354">
        <v>40129</v>
      </c>
      <c r="J53" s="221" t="s">
        <v>156</v>
      </c>
      <c r="K53" s="316">
        <v>1204.5</v>
      </c>
      <c r="L53" s="308">
        <v>4245</v>
      </c>
      <c r="M53" s="308">
        <v>3638</v>
      </c>
      <c r="N53" s="308">
        <v>18928</v>
      </c>
      <c r="O53" s="308">
        <v>2288.1797130759651</v>
      </c>
      <c r="P53" s="308">
        <v>2241.0575000000003</v>
      </c>
      <c r="Q53" s="309">
        <v>13711</v>
      </c>
      <c r="R53" s="308">
        <v>8360.2083333333339</v>
      </c>
      <c r="S53" s="308"/>
      <c r="T53" s="308"/>
      <c r="U53" s="308"/>
      <c r="V53" s="308"/>
      <c r="W53" s="317">
        <f>IFERROR(IF(tblPiNAnalysis[[#This Row],[CCCM]]="", "", MROUND(tblPiNAnalysis[[#This Row],[CCCM]]/tblPiNAnalysis[[#This Row],[Population]], 0.05)), "")</f>
        <v>0.05</v>
      </c>
      <c r="X53" s="318">
        <f>IFERROR(IF(tblPiNAnalysis[[#This Row],[Education]]="", "", MROUND(tblPiNAnalysis[[#This Row],[Education]]/tblPiNAnalysis[[#This Row],[Population]], 0.05)), "")</f>
        <v>0.1</v>
      </c>
      <c r="Y53" s="318">
        <f>IFERROR(IF(tblPiNAnalysis[[#This Row],[Nutrition]]="", "", MROUND(tblPiNAnalysis[[#This Row],[Nutrition]]/tblPiNAnalysis[[#This Row],[Population]], 0.05)), "")</f>
        <v>0.1</v>
      </c>
      <c r="Z53" s="318">
        <f>IFERROR(IF(tblPiNAnalysis[[#This Row],[Food Security]]="", "", MROUND(tblPiNAnalysis[[#This Row],[Food Security]]/tblPiNAnalysis[[#This Row],[Population]], 0.05)), "")</f>
        <v>0.45</v>
      </c>
      <c r="AA53" s="318">
        <f>IFERROR(IF(tblPiNAnalysis[[#This Row],[Health]]="", "", MROUND(tblPiNAnalysis[[#This Row],[Health]]/tblPiNAnalysis[[#This Row],[Population]], 0.05)), "")</f>
        <v>0.05</v>
      </c>
      <c r="AB53" s="319">
        <f>IFERROR(IF(tblPiNAnalysis[[#This Row],[Protection]]="", "", MROUND(tblPiNAnalysis[[#This Row],[Protection]]/tblPiNAnalysis[[#This Row],[Population]], 0.05)), "")</f>
        <v>0.05</v>
      </c>
      <c r="AC53" s="319">
        <f>IFERROR(IF(tblPiNAnalysis[[#This Row],[Shelter]]="", "", MROUND(tblPiNAnalysis[[#This Row],[Shelter]]/tblPiNAnalysis[[#This Row],[Population]], 0.05)), "")</f>
        <v>0.35000000000000003</v>
      </c>
      <c r="AD53" s="320">
        <f>IFERROR(IF(tblPiNAnalysis[[#This Row],[WASH]]="", "", MROUND(tblPiNAnalysis[[#This Row],[WASH]]/tblPiNAnalysis[[#This Row],[Population]], 0.05)), "")</f>
        <v>0.2</v>
      </c>
      <c r="AE53" s="318">
        <f>IFERROR(MROUND(tblPiNAnalysis[[#This Row],[CP]]/tblPiNAnalysis[[#This Row],[Population]], 0.05), "")</f>
        <v>0</v>
      </c>
      <c r="AF53" s="318">
        <f>IFERROR(MROUND(tblPiNAnalysis[[#This Row],[GBV]]/tblPiNAnalysis[[#This Row],[Population]], 0.05), "")</f>
        <v>0</v>
      </c>
      <c r="AG53" s="318">
        <f>IFERROR(MROUND(tblPiNAnalysis[[#This Row],[Migrants]]/tblPiNAnalysis[[#This Row],[Population]], 0.05), "")</f>
        <v>0</v>
      </c>
      <c r="AH53" s="318">
        <f>IFERROR(MROUND(tblPiNAnalysis[[#This Row],[_]]/tblPiNAnalysis[[#This Row],[Population]], 0.05), "")</f>
        <v>0</v>
      </c>
      <c r="AI53" s="321">
        <f>IFERROR(LARGE(tblPiNAnalysis[[#This Row],[CCCM]:[WASH]], 1), "")</f>
        <v>18928</v>
      </c>
      <c r="AJ53" s="322" t="str" cm="1">
        <f t="array" ref="AJ53">IF(tblPiNAnalysis[[#This Row],[Highest PiN]]="", "", _xlfn.TEXTJOIN(CHAR(10), TRUE, IF(tblPiNAnalysis[[#This Row],[Highest PiN]]=tblPiNAnalysis[[#This Row],[CCCM]:[WASH]], tblPiNAnalysis[[#Headers],[CCCM]:[WASH]], "")))</f>
        <v>Food Security</v>
      </c>
      <c r="AK53" s="323">
        <f>IF(tblPiNAnalysis[[#This Row],[Highest PiN]]="", "", tblPiNAnalysis[[#This Row],[Highest PiN]]/tblPiNAnalysis[[#This Row],[Population]])</f>
        <v>0.47167883575469111</v>
      </c>
      <c r="AL53" s="265" t="str">
        <f>IF(SUM(tblPiNAnalysis[[#This Row],[CCCM]:[WASH]])=0, "",IF(COUNTIF(tblPiNAnalysis[[#This Row],[CCCM]:[WASH]],"=0")+COUNTIF(tblPiNAnalysis[[#This Row],[CCCM]:[WASH]],"")&gt;=zero_pin_thresh, "Flagged", ""))</f>
        <v/>
      </c>
      <c r="AM53" s="264" t="str">
        <f>IFERROR(IF(tblPiNAnalysis[[#This Row],[Highest PiN]]="", "", IF(tblPiNAnalysis[[#This Row],[Highest sector(s'') PiN %]]&gt;=flag_pin_perc, "Flagged", "")), "")</f>
        <v/>
      </c>
      <c r="AN53" s="266" t="str" cm="1">
        <f t="array" ref="AN53">IF(tblPiNAnalysis[[#This Row],[Highest PiN]]=0, "",  IF(OR(COUNTIF(tblPiNAnalysis[[#This Row],[Highest sector(s)]],tblSubSectorPopulation[Sector])), "Flagged", ""))</f>
        <v/>
      </c>
      <c r="AO53" s="45" cm="1">
        <f t="array" ref="AO5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13711</v>
      </c>
      <c r="AP53" s="326" t="str" cm="1">
        <f t="array" ref="AP53">IF(tblPiNAnalysis[[#This Row],[2nd Highest PiN]]="", "", _xlfn.TEXTJOIN(CHAR(10), TRUE, IF(tblPiNAnalysis[[#This Row],[2nd Highest PiN]]=tblPiNAnalysis[[#This Row],[CCCM]:[WASH]], tblPiNAnalysis[[#Headers],[CCCM]:[WASH]], "")))</f>
        <v>Shelter</v>
      </c>
      <c r="AQ53" s="35">
        <f>IFERROR(tblPiNAnalysis[[#This Row],[2nd Highest PiN]]/tblPiNAnalysis[[#This Row],[Population]], "")</f>
        <v>0.34167310423882979</v>
      </c>
      <c r="AR53" s="45">
        <f>IFERROR(tblPiNAnalysis[[#This Row],[Highest PiN]]-tblPiNAnalysis[[#This Row],[2nd Highest PiN]], "")</f>
        <v>5217</v>
      </c>
      <c r="AS53" s="38">
        <f>IFERROR(((tblPiNAnalysis[[#This Row],[Highest PiN]]-tblPiNAnalysis[[#This Row],[2nd Highest PiN]])/tblPiNAnalysis[[#This Row],[2nd Highest PiN]]),"")</f>
        <v>0.38049741083801325</v>
      </c>
      <c r="AT53" s="269" t="str" cm="1">
        <f t="array" ref="AT5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3" s="327" cm="1">
        <f t="array" ref="AU5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8360.2083333333339</v>
      </c>
      <c r="AV53" s="186" t="str" cm="1">
        <f t="array" ref="AV53">IF(tblPiNAnalysis[[#This Row],[3rd Highest PiN]]="", "", _xlfn.TEXTJOIN(CHAR(10), TRUE, IF(tblPiNAnalysis[[#This Row],[3rd Highest PiN]]=tblPiNAnalysis[[#This Row],[CCCM]:[WASH]], tblPiNAnalysis[[#Headers],[CCCM]:[WASH]], "")))</f>
        <v>WASH</v>
      </c>
      <c r="AW53" s="186">
        <f>IFERROR(tblPiNAnalysis[[#This Row],[3rd Highest PiN]]/tblPiNAnalysis[[#This Row],[Population]], "")</f>
        <v>0.20833333333333334</v>
      </c>
      <c r="AX53" s="44">
        <f>IFERROR(tblPiNAnalysis[[#This Row],[Highest PiN]]-tblPiNAnalysis[[#This Row],[3rd Highest PiN]],"")</f>
        <v>10567.791666666666</v>
      </c>
      <c r="AY53" s="38">
        <f>IFERROR(tblPiNAnalysis[[#This Row],[Difference of PiN between Highest and 3rd Highest]]/tblPiNAnalysis[[#This Row],[3rd Highest PiN]], "")</f>
        <v>1.2640584116225173</v>
      </c>
      <c r="AZ53" s="325" t="str" cm="1">
        <f t="array" ref="AZ5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3" s="292" cm="1">
        <f t="array" ref="BA53">IFERROR(IF(tblPiNAnalysis[[#This Row],[ID]]="", "", INDEX(tblPiNHistorical[[CCCM]:[WASH]], MATCH(tblPiNAnalysis[[#This Row],[ID]],tblPiNHistorical[ID], 0),MATCH(_xlfn._xlws.FILTER(tblPiNAnalysis[[#Headers],[CCCM]:[WASH]], tblPiNAnalysis[[#This Row],[Highest PiN]]=tblPiNAnalysis[[#This Row],[CCCM]:[WASH]]), tblPiNHistorical[[#Headers],[CCCM]:[WASH]], 0))), "")</f>
        <v>0.3</v>
      </c>
      <c r="BB53" s="328" t="str" cm="1">
        <f t="array" ref="BB5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3" s="272" cm="1">
        <f t="array" ref="BC53">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53" s="329" t="str" cm="1">
        <f t="array" ref="BD5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3" s="371">
        <f>INDEX(tblSeverityAnalysis[Final Severity], MATCH(tblPiNAnalysis[[#This Row],[ID]],tblSeverityAnalysis[ID], 0))</f>
        <v>3</v>
      </c>
      <c r="BF53" s="60">
        <f>IF(tblPiNAnalysis[[#This Row],[Severity]]&gt;2,tblPiNAnalysis[[#This Row],[Highest PiN]],)</f>
        <v>18928</v>
      </c>
      <c r="BG53" s="187"/>
      <c r="BH53" s="188"/>
      <c r="BI53" s="189">
        <f>COUNTIFS(tblPiNAnalysis[[#This Row],[Number of missing / zero PiNs greater than threshold - Data quality]:[Manual Flag]],"Flagged")</f>
        <v>1</v>
      </c>
      <c r="BJ53" s="346" t="str">
        <f>IF(tblPiNAnalysis[[#This Row],['# Flags]]&gt;0, "Flagged", "")</f>
        <v>Flagged</v>
      </c>
      <c r="BK53" s="339">
        <f>tblPiNAnalysis[[#This Row],[Preliminary PiN]]</f>
        <v>18928</v>
      </c>
      <c r="BL53" s="326"/>
      <c r="BM53" s="383">
        <f>IF(OR(tblPiNAnalysis[[#This Row],[Severity]]=4,tblPiNAnalysis[[#This Row],[Severity]]=5),tblPiNAnalysis[[#This Row],[Final PiN]],0)</f>
        <v>0</v>
      </c>
      <c r="BN53" s="378">
        <f>IF(OR(tblPiNAnalysis[[#This Row],[Severity]]=4,tblPiNAnalysis[[#This Row],[Severity]]=5),100%, IF(tblPiNAnalysis[[#This Row],[Severity]]=3,50%,0%))*tblPiNAnalysis[[#This Row],[Final PiN]]</f>
        <v>9464</v>
      </c>
      <c r="BO53" s="383">
        <f>IF(OR(tblPiNAnalysis[[#This Row],[Severity]]=4,tblPiNAnalysis[[#This Row],[Severity]]=5),100%, IF(AND(tblPiNAnalysis[[#This Row],[Severity]]=3,VLOOKUP(tblPiNAnalysis[[#This Row],[ID]],tblSeverityAnalysis[[ID]:[Highest Severity]],35,FALSE)&gt;3),50%,0%))*tblPiNAnalysis[[#This Row],[Final PiN]]</f>
        <v>9464</v>
      </c>
    </row>
    <row r="54" spans="1:67" hidden="1">
      <c r="A5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Global_PopulationHT0412</v>
      </c>
      <c r="B54" s="304" t="s">
        <v>259</v>
      </c>
      <c r="C54" s="213" t="s">
        <v>260</v>
      </c>
      <c r="D54" s="213" t="s">
        <v>263</v>
      </c>
      <c r="E54" s="103" t="s">
        <v>264</v>
      </c>
      <c r="F54" s="99"/>
      <c r="G54" s="34"/>
      <c r="H54" s="357"/>
      <c r="I54" s="354">
        <v>17054</v>
      </c>
      <c r="J54" s="221" t="s">
        <v>156</v>
      </c>
      <c r="K54" s="316">
        <v>277.5</v>
      </c>
      <c r="L54" s="308">
        <v>2116</v>
      </c>
      <c r="M54" s="308">
        <v>1387</v>
      </c>
      <c r="N54" s="308">
        <v>8049</v>
      </c>
      <c r="O54" s="308">
        <v>306.37435675675675</v>
      </c>
      <c r="P54" s="308">
        <v>575</v>
      </c>
      <c r="Q54" s="309">
        <v>7311</v>
      </c>
      <c r="R54" s="308">
        <v>5684.6666666666661</v>
      </c>
      <c r="S54" s="308"/>
      <c r="T54" s="308"/>
      <c r="U54" s="308"/>
      <c r="V54" s="308"/>
      <c r="W54" s="317">
        <f>IFERROR(IF(tblPiNAnalysis[[#This Row],[CCCM]]="", "", MROUND(tblPiNAnalysis[[#This Row],[CCCM]]/tblPiNAnalysis[[#This Row],[Population]], 0.05)), "")</f>
        <v>0</v>
      </c>
      <c r="X54" s="318">
        <f>IFERROR(IF(tblPiNAnalysis[[#This Row],[Education]]="", "", MROUND(tblPiNAnalysis[[#This Row],[Education]]/tblPiNAnalysis[[#This Row],[Population]], 0.05)), "")</f>
        <v>0.1</v>
      </c>
      <c r="Y54" s="318">
        <f>IFERROR(IF(tblPiNAnalysis[[#This Row],[Nutrition]]="", "", MROUND(tblPiNAnalysis[[#This Row],[Nutrition]]/tblPiNAnalysis[[#This Row],[Population]], 0.05)), "")</f>
        <v>0.1</v>
      </c>
      <c r="Z54" s="318">
        <f>IFERROR(IF(tblPiNAnalysis[[#This Row],[Food Security]]="", "", MROUND(tblPiNAnalysis[[#This Row],[Food Security]]/tblPiNAnalysis[[#This Row],[Population]], 0.05)), "")</f>
        <v>0.45</v>
      </c>
      <c r="AA54" s="318">
        <f>IFERROR(IF(tblPiNAnalysis[[#This Row],[Health]]="", "", MROUND(tblPiNAnalysis[[#This Row],[Health]]/tblPiNAnalysis[[#This Row],[Population]], 0.05)), "")</f>
        <v>0</v>
      </c>
      <c r="AB54" s="319">
        <f>IFERROR(IF(tblPiNAnalysis[[#This Row],[Protection]]="", "", MROUND(tblPiNAnalysis[[#This Row],[Protection]]/tblPiNAnalysis[[#This Row],[Population]], 0.05)), "")</f>
        <v>0.05</v>
      </c>
      <c r="AC54" s="319">
        <f>IFERROR(IF(tblPiNAnalysis[[#This Row],[Shelter]]="", "", MROUND(tblPiNAnalysis[[#This Row],[Shelter]]/tblPiNAnalysis[[#This Row],[Population]], 0.05)), "")</f>
        <v>0.45</v>
      </c>
      <c r="AD54" s="320">
        <f>IFERROR(IF(tblPiNAnalysis[[#This Row],[WASH]]="", "", MROUND(tblPiNAnalysis[[#This Row],[WASH]]/tblPiNAnalysis[[#This Row],[Population]], 0.05)), "")</f>
        <v>0.35000000000000003</v>
      </c>
      <c r="AE54" s="318">
        <f>IFERROR(MROUND(tblPiNAnalysis[[#This Row],[CP]]/tblPiNAnalysis[[#This Row],[Population]], 0.05), "")</f>
        <v>0</v>
      </c>
      <c r="AF54" s="318">
        <f>IFERROR(MROUND(tblPiNAnalysis[[#This Row],[GBV]]/tblPiNAnalysis[[#This Row],[Population]], 0.05), "")</f>
        <v>0</v>
      </c>
      <c r="AG54" s="318">
        <f>IFERROR(MROUND(tblPiNAnalysis[[#This Row],[Migrants]]/tblPiNAnalysis[[#This Row],[Population]], 0.05), "")</f>
        <v>0</v>
      </c>
      <c r="AH54" s="318">
        <f>IFERROR(MROUND(tblPiNAnalysis[[#This Row],[_]]/tblPiNAnalysis[[#This Row],[Population]], 0.05), "")</f>
        <v>0</v>
      </c>
      <c r="AI54" s="321">
        <f>IFERROR(LARGE(tblPiNAnalysis[[#This Row],[CCCM]:[WASH]], 1), "")</f>
        <v>8049</v>
      </c>
      <c r="AJ54" s="322" t="str" cm="1">
        <f t="array" ref="AJ54">IF(tblPiNAnalysis[[#This Row],[Highest PiN]]="", "", _xlfn.TEXTJOIN(CHAR(10), TRUE, IF(tblPiNAnalysis[[#This Row],[Highest PiN]]=tblPiNAnalysis[[#This Row],[CCCM]:[WASH]], tblPiNAnalysis[[#Headers],[CCCM]:[WASH]], "")))</f>
        <v>Food Security</v>
      </c>
      <c r="AK54" s="323">
        <f>IF(tblPiNAnalysis[[#This Row],[Highest PiN]]="", "", tblPiNAnalysis[[#This Row],[Highest PiN]]/tblPiNAnalysis[[#This Row],[Population]])</f>
        <v>0.47197138501231384</v>
      </c>
      <c r="AL54" s="265" t="str">
        <f>IF(SUM(tblPiNAnalysis[[#This Row],[CCCM]:[WASH]])=0, "",IF(COUNTIF(tblPiNAnalysis[[#This Row],[CCCM]:[WASH]],"=0")+COUNTIF(tblPiNAnalysis[[#This Row],[CCCM]:[WASH]],"")&gt;=zero_pin_thresh, "Flagged", ""))</f>
        <v/>
      </c>
      <c r="AM54" s="264" t="str">
        <f>IFERROR(IF(tblPiNAnalysis[[#This Row],[Highest PiN]]="", "", IF(tblPiNAnalysis[[#This Row],[Highest sector(s'') PiN %]]&gt;=flag_pin_perc, "Flagged", "")), "")</f>
        <v/>
      </c>
      <c r="AN54" s="266" t="str" cm="1">
        <f t="array" ref="AN54">IF(tblPiNAnalysis[[#This Row],[Highest PiN]]=0, "",  IF(OR(COUNTIF(tblPiNAnalysis[[#This Row],[Highest sector(s)]],tblSubSectorPopulation[Sector])), "Flagged", ""))</f>
        <v/>
      </c>
      <c r="AO54" s="45" cm="1">
        <f t="array" ref="AO5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7311</v>
      </c>
      <c r="AP54" s="326" t="str" cm="1">
        <f t="array" ref="AP54">IF(tblPiNAnalysis[[#This Row],[2nd Highest PiN]]="", "", _xlfn.TEXTJOIN(CHAR(10), TRUE, IF(tblPiNAnalysis[[#This Row],[2nd Highest PiN]]=tblPiNAnalysis[[#This Row],[CCCM]:[WASH]], tblPiNAnalysis[[#Headers],[CCCM]:[WASH]], "")))</f>
        <v>Shelter</v>
      </c>
      <c r="AQ54" s="35">
        <f>IFERROR(tblPiNAnalysis[[#This Row],[2nd Highest PiN]]/tblPiNAnalysis[[#This Row],[Population]], "")</f>
        <v>0.42869707986396155</v>
      </c>
      <c r="AR54" s="45">
        <f>IFERROR(tblPiNAnalysis[[#This Row],[Highest PiN]]-tblPiNAnalysis[[#This Row],[2nd Highest PiN]], "")</f>
        <v>738</v>
      </c>
      <c r="AS54" s="38">
        <f>IFERROR(((tblPiNAnalysis[[#This Row],[Highest PiN]]-tblPiNAnalysis[[#This Row],[2nd Highest PiN]])/tblPiNAnalysis[[#This Row],[2nd Highest PiN]]),"")</f>
        <v>0.10094378334017234</v>
      </c>
      <c r="AT54" s="269" t="str" cm="1">
        <f t="array" ref="AT5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4" s="327" cm="1">
        <f t="array" ref="AU5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5684.6666666666661</v>
      </c>
      <c r="AV54" s="186" t="str" cm="1">
        <f t="array" ref="AV54">IF(tblPiNAnalysis[[#This Row],[3rd Highest PiN]]="", "", _xlfn.TEXTJOIN(CHAR(10), TRUE, IF(tblPiNAnalysis[[#This Row],[3rd Highest PiN]]=tblPiNAnalysis[[#This Row],[CCCM]:[WASH]], tblPiNAnalysis[[#Headers],[CCCM]:[WASH]], "")))</f>
        <v>WASH</v>
      </c>
      <c r="AW54" s="186">
        <f>IFERROR(tblPiNAnalysis[[#This Row],[3rd Highest PiN]]/tblPiNAnalysis[[#This Row],[Population]], "")</f>
        <v>0.33333333333333331</v>
      </c>
      <c r="AX54" s="44">
        <f>IFERROR(tblPiNAnalysis[[#This Row],[Highest PiN]]-tblPiNAnalysis[[#This Row],[3rd Highest PiN]],"")</f>
        <v>2364.3333333333339</v>
      </c>
      <c r="AY54" s="38">
        <f>IFERROR(tblPiNAnalysis[[#This Row],[Difference of PiN between Highest and 3rd Highest]]/tblPiNAnalysis[[#This Row],[3rd Highest PiN]], "")</f>
        <v>0.41591415503694162</v>
      </c>
      <c r="AZ54" s="325" t="str" cm="1">
        <f t="array" ref="AZ5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4" s="292" cm="1">
        <f t="array" ref="BA54">IFERROR(IF(tblPiNAnalysis[[#This Row],[ID]]="", "", INDEX(tblPiNHistorical[[CCCM]:[WASH]], MATCH(tblPiNAnalysis[[#This Row],[ID]],tblPiNHistorical[ID], 0),MATCH(_xlfn._xlws.FILTER(tblPiNAnalysis[[#Headers],[CCCM]:[WASH]], tblPiNAnalysis[[#This Row],[Highest PiN]]=tblPiNAnalysis[[#This Row],[CCCM]:[WASH]]), tblPiNHistorical[[#Headers],[CCCM]:[WASH]], 0))), "")</f>
        <v>0</v>
      </c>
      <c r="BB54" s="328" t="str" cm="1">
        <f t="array" ref="BB5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4" s="272" cm="1">
        <f t="array" ref="BC54">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54" s="329" t="str" cm="1">
        <f t="array" ref="BD5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4" s="371">
        <f>INDEX(tblSeverityAnalysis[Final Severity], MATCH(tblPiNAnalysis[[#This Row],[ID]],tblSeverityAnalysis[ID], 0))</f>
        <v>3</v>
      </c>
      <c r="BF54" s="60">
        <f>IF(tblPiNAnalysis[[#This Row],[Severity]]&gt;2,tblPiNAnalysis[[#This Row],[Highest PiN]],)</f>
        <v>8049</v>
      </c>
      <c r="BG54" s="187"/>
      <c r="BH54" s="188"/>
      <c r="BI54" s="189">
        <f>COUNTIFS(tblPiNAnalysis[[#This Row],[Number of missing / zero PiNs greater than threshold - Data quality]:[Manual Flag]],"Flagged")</f>
        <v>0</v>
      </c>
      <c r="BJ54" s="346" t="str">
        <f>IF(tblPiNAnalysis[[#This Row],['# Flags]]&gt;0, "Flagged", "")</f>
        <v/>
      </c>
      <c r="BK54" s="339">
        <f>tblPiNAnalysis[[#This Row],[Preliminary PiN]]</f>
        <v>8049</v>
      </c>
      <c r="BL54" s="326"/>
      <c r="BM54" s="383">
        <f>IF(OR(tblPiNAnalysis[[#This Row],[Severity]]=4,tblPiNAnalysis[[#This Row],[Severity]]=5),tblPiNAnalysis[[#This Row],[Final PiN]],0)</f>
        <v>0</v>
      </c>
      <c r="BN54" s="378">
        <f>IF(OR(tblPiNAnalysis[[#This Row],[Severity]]=4,tblPiNAnalysis[[#This Row],[Severity]]=5),100%, IF(tblPiNAnalysis[[#This Row],[Severity]]=3,50%,0%))*tblPiNAnalysis[[#This Row],[Final PiN]]</f>
        <v>4024.5</v>
      </c>
      <c r="BO54" s="383">
        <f>IF(OR(tblPiNAnalysis[[#This Row],[Severity]]=4,tblPiNAnalysis[[#This Row],[Severity]]=5),100%, IF(AND(tblPiNAnalysis[[#This Row],[Severity]]=3,VLOOKUP(tblPiNAnalysis[[#This Row],[ID]],tblSeverityAnalysis[[ID]:[Highest Severity]],35,FALSE)&gt;3),50%,0%))*tblPiNAnalysis[[#This Row],[Final PiN]]</f>
        <v>0</v>
      </c>
    </row>
    <row r="55" spans="1:67" hidden="1">
      <c r="A5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Global_PopulationHT0413</v>
      </c>
      <c r="B55" s="304" t="s">
        <v>259</v>
      </c>
      <c r="C55" s="213" t="s">
        <v>260</v>
      </c>
      <c r="D55" s="213" t="s">
        <v>265</v>
      </c>
      <c r="E55" s="103" t="s">
        <v>266</v>
      </c>
      <c r="F55" s="99"/>
      <c r="G55" s="34"/>
      <c r="H55" s="357"/>
      <c r="I55" s="354">
        <v>13700</v>
      </c>
      <c r="J55" s="221" t="s">
        <v>156</v>
      </c>
      <c r="K55" s="316">
        <v>709.5</v>
      </c>
      <c r="L55" s="308">
        <v>1518</v>
      </c>
      <c r="M55" s="308">
        <v>1129</v>
      </c>
      <c r="N55" s="308">
        <v>6352</v>
      </c>
      <c r="O55" s="308">
        <v>783.35858097251582</v>
      </c>
      <c r="P55" s="308">
        <v>524.29999999999995</v>
      </c>
      <c r="Q55" s="309">
        <v>10370</v>
      </c>
      <c r="R55" s="308">
        <v>6850</v>
      </c>
      <c r="S55" s="308"/>
      <c r="T55" s="308"/>
      <c r="U55" s="308"/>
      <c r="V55" s="308"/>
      <c r="W55" s="317">
        <f>IFERROR(IF(tblPiNAnalysis[[#This Row],[CCCM]]="", "", MROUND(tblPiNAnalysis[[#This Row],[CCCM]]/tblPiNAnalysis[[#This Row],[Population]], 0.05)), "")</f>
        <v>0.05</v>
      </c>
      <c r="X55" s="318">
        <f>IFERROR(IF(tblPiNAnalysis[[#This Row],[Education]]="", "", MROUND(tblPiNAnalysis[[#This Row],[Education]]/tblPiNAnalysis[[#This Row],[Population]], 0.05)), "")</f>
        <v>0.1</v>
      </c>
      <c r="Y55" s="318">
        <f>IFERROR(IF(tblPiNAnalysis[[#This Row],[Nutrition]]="", "", MROUND(tblPiNAnalysis[[#This Row],[Nutrition]]/tblPiNAnalysis[[#This Row],[Population]], 0.05)), "")</f>
        <v>0.1</v>
      </c>
      <c r="Z55" s="318">
        <f>IFERROR(IF(tblPiNAnalysis[[#This Row],[Food Security]]="", "", MROUND(tblPiNAnalysis[[#This Row],[Food Security]]/tblPiNAnalysis[[#This Row],[Population]], 0.05)), "")</f>
        <v>0.45</v>
      </c>
      <c r="AA55" s="318">
        <f>IFERROR(IF(tblPiNAnalysis[[#This Row],[Health]]="", "", MROUND(tblPiNAnalysis[[#This Row],[Health]]/tblPiNAnalysis[[#This Row],[Population]], 0.05)), "")</f>
        <v>0.05</v>
      </c>
      <c r="AB55" s="319">
        <f>IFERROR(IF(tblPiNAnalysis[[#This Row],[Protection]]="", "", MROUND(tblPiNAnalysis[[#This Row],[Protection]]/tblPiNAnalysis[[#This Row],[Population]], 0.05)), "")</f>
        <v>0.05</v>
      </c>
      <c r="AC55" s="319">
        <f>IFERROR(IF(tblPiNAnalysis[[#This Row],[Shelter]]="", "", MROUND(tblPiNAnalysis[[#This Row],[Shelter]]/tblPiNAnalysis[[#This Row],[Population]], 0.05)), "")</f>
        <v>0.75</v>
      </c>
      <c r="AD55" s="320">
        <f>IFERROR(IF(tblPiNAnalysis[[#This Row],[WASH]]="", "", MROUND(tblPiNAnalysis[[#This Row],[WASH]]/tblPiNAnalysis[[#This Row],[Population]], 0.05)), "")</f>
        <v>0.5</v>
      </c>
      <c r="AE55" s="318">
        <f>IFERROR(MROUND(tblPiNAnalysis[[#This Row],[CP]]/tblPiNAnalysis[[#This Row],[Population]], 0.05), "")</f>
        <v>0</v>
      </c>
      <c r="AF55" s="318">
        <f>IFERROR(MROUND(tblPiNAnalysis[[#This Row],[GBV]]/tblPiNAnalysis[[#This Row],[Population]], 0.05), "")</f>
        <v>0</v>
      </c>
      <c r="AG55" s="318">
        <f>IFERROR(MROUND(tblPiNAnalysis[[#This Row],[Migrants]]/tblPiNAnalysis[[#This Row],[Population]], 0.05), "")</f>
        <v>0</v>
      </c>
      <c r="AH55" s="318">
        <f>IFERROR(MROUND(tblPiNAnalysis[[#This Row],[_]]/tblPiNAnalysis[[#This Row],[Population]], 0.05), "")</f>
        <v>0</v>
      </c>
      <c r="AI55" s="321">
        <f>IFERROR(LARGE(tblPiNAnalysis[[#This Row],[CCCM]:[WASH]], 1), "")</f>
        <v>10370</v>
      </c>
      <c r="AJ55" s="322" t="str" cm="1">
        <f t="array" ref="AJ55">IF(tblPiNAnalysis[[#This Row],[Highest PiN]]="", "", _xlfn.TEXTJOIN(CHAR(10), TRUE, IF(tblPiNAnalysis[[#This Row],[Highest PiN]]=tblPiNAnalysis[[#This Row],[CCCM]:[WASH]], tblPiNAnalysis[[#Headers],[CCCM]:[WASH]], "")))</f>
        <v>Shelter</v>
      </c>
      <c r="AK55" s="323">
        <f>IF(tblPiNAnalysis[[#This Row],[Highest PiN]]="", "", tblPiNAnalysis[[#This Row],[Highest PiN]]/tblPiNAnalysis[[#This Row],[Population]])</f>
        <v>0.75693430656934302</v>
      </c>
      <c r="AL55" s="265" t="str">
        <f>IF(SUM(tblPiNAnalysis[[#This Row],[CCCM]:[WASH]])=0, "",IF(COUNTIF(tblPiNAnalysis[[#This Row],[CCCM]:[WASH]],"=0")+COUNTIF(tblPiNAnalysis[[#This Row],[CCCM]:[WASH]],"")&gt;=zero_pin_thresh, "Flagged", ""))</f>
        <v/>
      </c>
      <c r="AM55" s="264" t="str">
        <f>IFERROR(IF(tblPiNAnalysis[[#This Row],[Highest PiN]]="", "", IF(tblPiNAnalysis[[#This Row],[Highest sector(s'') PiN %]]&gt;=flag_pin_perc, "Flagged", "")), "")</f>
        <v/>
      </c>
      <c r="AN55" s="266" t="str" cm="1">
        <f t="array" ref="AN55">IF(tblPiNAnalysis[[#This Row],[Highest PiN]]=0, "",  IF(OR(COUNTIF(tblPiNAnalysis[[#This Row],[Highest sector(s)]],tblSubSectorPopulation[Sector])), "Flagged", ""))</f>
        <v/>
      </c>
      <c r="AO55" s="45" cm="1">
        <f t="array" ref="AO5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6850</v>
      </c>
      <c r="AP55" s="326" t="str" cm="1">
        <f t="array" ref="AP55">IF(tblPiNAnalysis[[#This Row],[2nd Highest PiN]]="", "", _xlfn.TEXTJOIN(CHAR(10), TRUE, IF(tblPiNAnalysis[[#This Row],[2nd Highest PiN]]=tblPiNAnalysis[[#This Row],[CCCM]:[WASH]], tblPiNAnalysis[[#Headers],[CCCM]:[WASH]], "")))</f>
        <v>WASH</v>
      </c>
      <c r="AQ55" s="35">
        <f>IFERROR(tblPiNAnalysis[[#This Row],[2nd Highest PiN]]/tblPiNAnalysis[[#This Row],[Population]], "")</f>
        <v>0.5</v>
      </c>
      <c r="AR55" s="45">
        <f>IFERROR(tblPiNAnalysis[[#This Row],[Highest PiN]]-tblPiNAnalysis[[#This Row],[2nd Highest PiN]], "")</f>
        <v>3520</v>
      </c>
      <c r="AS55" s="38">
        <f>IFERROR(((tblPiNAnalysis[[#This Row],[Highest PiN]]-tblPiNAnalysis[[#This Row],[2nd Highest PiN]])/tblPiNAnalysis[[#This Row],[2nd Highest PiN]]),"")</f>
        <v>0.51386861313868615</v>
      </c>
      <c r="AT55" s="269" t="str" cm="1">
        <f t="array" ref="AT5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5" s="327" cm="1">
        <f t="array" ref="AU5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6352</v>
      </c>
      <c r="AV55" s="186" t="str" cm="1">
        <f t="array" ref="AV55">IF(tblPiNAnalysis[[#This Row],[3rd Highest PiN]]="", "", _xlfn.TEXTJOIN(CHAR(10), TRUE, IF(tblPiNAnalysis[[#This Row],[3rd Highest PiN]]=tblPiNAnalysis[[#This Row],[CCCM]:[WASH]], tblPiNAnalysis[[#Headers],[CCCM]:[WASH]], "")))</f>
        <v>Food Security</v>
      </c>
      <c r="AW55" s="186">
        <f>IFERROR(tblPiNAnalysis[[#This Row],[3rd Highest PiN]]/tblPiNAnalysis[[#This Row],[Population]], "")</f>
        <v>0.46364963503649637</v>
      </c>
      <c r="AX55" s="44">
        <f>IFERROR(tblPiNAnalysis[[#This Row],[Highest PiN]]-tblPiNAnalysis[[#This Row],[3rd Highest PiN]],"")</f>
        <v>4018</v>
      </c>
      <c r="AY55" s="38">
        <f>IFERROR(tblPiNAnalysis[[#This Row],[Difference of PiN between Highest and 3rd Highest]]/tblPiNAnalysis[[#This Row],[3rd Highest PiN]], "")</f>
        <v>0.63255667506297231</v>
      </c>
      <c r="AZ55" s="325" t="str" cm="1">
        <f t="array" ref="AZ5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5" s="292" cm="1">
        <f t="array" ref="BA55">IFERROR(IF(tblPiNAnalysis[[#This Row],[ID]]="", "", INDEX(tblPiNHistorical[[CCCM]:[WASH]], MATCH(tblPiNAnalysis[[#This Row],[ID]],tblPiNHistorical[ID], 0),MATCH(_xlfn._xlws.FILTER(tblPiNAnalysis[[#Headers],[CCCM]:[WASH]], tblPiNAnalysis[[#This Row],[Highest PiN]]=tblPiNAnalysis[[#This Row],[CCCM]:[WASH]]), tblPiNHistorical[[#Headers],[CCCM]:[WASH]], 0))), "")</f>
        <v>0</v>
      </c>
      <c r="BB55" s="328" t="str" cm="1">
        <f t="array" ref="BB5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5" s="272" cm="1">
        <f t="array" ref="BC55">IFERROR(IF(tblPiNAnalysis[[#This Row],[ID]]="", "", INDEX(tblPiNHistorical[[CCCM]:[WASH]], MATCH(tblPiNAnalysis[[#This Row],[ID]],tblPiNHistorical[ID], 0),MATCH(_xlfn._xlws.FILTER(tblPiNAnalysis[[#Headers],[CCCM]:[WASH]], tblPiNAnalysis[[#This Row],[2nd Highest PiN]]=tblPiNAnalysis[[#This Row],[CCCM]:[WASH]]), tblPiNHistorical[[#Headers],[CCCM]:[WASH]], 0))), "")</f>
        <v>2.8</v>
      </c>
      <c r="BD55" s="329" t="str" cm="1">
        <f t="array" ref="BD5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55" s="371">
        <f>INDEX(tblSeverityAnalysis[Final Severity], MATCH(tblPiNAnalysis[[#This Row],[ID]],tblSeverityAnalysis[ID], 0))</f>
        <v>3</v>
      </c>
      <c r="BF55" s="60">
        <f>IF(tblPiNAnalysis[[#This Row],[Severity]]&gt;2,tblPiNAnalysis[[#This Row],[Highest PiN]],)</f>
        <v>10370</v>
      </c>
      <c r="BG55" s="187"/>
      <c r="BH55" s="188"/>
      <c r="BI55" s="189">
        <f>COUNTIFS(tblPiNAnalysis[[#This Row],[Number of missing / zero PiNs greater than threshold - Data quality]:[Manual Flag]],"Flagged")</f>
        <v>2</v>
      </c>
      <c r="BJ55" s="346" t="str">
        <f>IF(tblPiNAnalysis[[#This Row],['# Flags]]&gt;0, "Flagged", "")</f>
        <v>Flagged</v>
      </c>
      <c r="BK55" s="339">
        <f>tblPiNAnalysis[[#This Row],[Preliminary PiN]]</f>
        <v>10370</v>
      </c>
      <c r="BL55" s="326"/>
      <c r="BM55" s="383">
        <f>IF(OR(tblPiNAnalysis[[#This Row],[Severity]]=4,tblPiNAnalysis[[#This Row],[Severity]]=5),tblPiNAnalysis[[#This Row],[Final PiN]],0)</f>
        <v>0</v>
      </c>
      <c r="BN55" s="378">
        <f>IF(OR(tblPiNAnalysis[[#This Row],[Severity]]=4,tblPiNAnalysis[[#This Row],[Severity]]=5),100%, IF(tblPiNAnalysis[[#This Row],[Severity]]=3,50%,0%))*tblPiNAnalysis[[#This Row],[Final PiN]]</f>
        <v>5185</v>
      </c>
      <c r="BO55" s="383">
        <f>IF(OR(tblPiNAnalysis[[#This Row],[Severity]]=4,tblPiNAnalysis[[#This Row],[Severity]]=5),100%, IF(AND(tblPiNAnalysis[[#This Row],[Severity]]=3,VLOOKUP(tblPiNAnalysis[[#This Row],[ID]],tblSeverityAnalysis[[ID]:[Highest Severity]],35,FALSE)&gt;3),50%,0%))*tblPiNAnalysis[[#This Row],[Final PiN]]</f>
        <v>5185</v>
      </c>
    </row>
    <row r="56" spans="1:67" hidden="1">
      <c r="A5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Global_PopulationHT0421</v>
      </c>
      <c r="B56" s="304" t="s">
        <v>259</v>
      </c>
      <c r="C56" s="213" t="s">
        <v>260</v>
      </c>
      <c r="D56" s="213" t="s">
        <v>267</v>
      </c>
      <c r="E56" s="103" t="s">
        <v>268</v>
      </c>
      <c r="F56" s="99"/>
      <c r="G56" s="34"/>
      <c r="H56" s="357"/>
      <c r="I56" s="354">
        <v>123320</v>
      </c>
      <c r="J56" s="221" t="s">
        <v>156</v>
      </c>
      <c r="K56" s="316">
        <v>4008</v>
      </c>
      <c r="L56" s="308">
        <v>13269</v>
      </c>
      <c r="M56" s="308">
        <v>13127</v>
      </c>
      <c r="N56" s="308">
        <v>46645</v>
      </c>
      <c r="O56" s="308">
        <v>4934.9243359281436</v>
      </c>
      <c r="P56" s="308">
        <v>5400.8103896103894</v>
      </c>
      <c r="Q56" s="309">
        <v>45530</v>
      </c>
      <c r="R56" s="308">
        <v>22716.842105263157</v>
      </c>
      <c r="S56" s="308"/>
      <c r="T56" s="308"/>
      <c r="U56" s="308"/>
      <c r="V56" s="308"/>
      <c r="W56" s="317">
        <f>IFERROR(IF(tblPiNAnalysis[[#This Row],[CCCM]]="", "", MROUND(tblPiNAnalysis[[#This Row],[CCCM]]/tblPiNAnalysis[[#This Row],[Population]], 0.05)), "")</f>
        <v>0.05</v>
      </c>
      <c r="X56" s="318">
        <f>IFERROR(IF(tblPiNAnalysis[[#This Row],[Education]]="", "", MROUND(tblPiNAnalysis[[#This Row],[Education]]/tblPiNAnalysis[[#This Row],[Population]], 0.05)), "")</f>
        <v>0.1</v>
      </c>
      <c r="Y56" s="318">
        <f>IFERROR(IF(tblPiNAnalysis[[#This Row],[Nutrition]]="", "", MROUND(tblPiNAnalysis[[#This Row],[Nutrition]]/tblPiNAnalysis[[#This Row],[Population]], 0.05)), "")</f>
        <v>0.1</v>
      </c>
      <c r="Z56" s="318">
        <f>IFERROR(IF(tblPiNAnalysis[[#This Row],[Food Security]]="", "", MROUND(tblPiNAnalysis[[#This Row],[Food Security]]/tblPiNAnalysis[[#This Row],[Population]], 0.05)), "")</f>
        <v>0.4</v>
      </c>
      <c r="AA56" s="318">
        <f>IFERROR(IF(tblPiNAnalysis[[#This Row],[Health]]="", "", MROUND(tblPiNAnalysis[[#This Row],[Health]]/tblPiNAnalysis[[#This Row],[Population]], 0.05)), "")</f>
        <v>0.05</v>
      </c>
      <c r="AB56" s="319">
        <f>IFERROR(IF(tblPiNAnalysis[[#This Row],[Protection]]="", "", MROUND(tblPiNAnalysis[[#This Row],[Protection]]/tblPiNAnalysis[[#This Row],[Population]], 0.05)), "")</f>
        <v>0.05</v>
      </c>
      <c r="AC56" s="319">
        <f>IFERROR(IF(tblPiNAnalysis[[#This Row],[Shelter]]="", "", MROUND(tblPiNAnalysis[[#This Row],[Shelter]]/tblPiNAnalysis[[#This Row],[Population]], 0.05)), "")</f>
        <v>0.35000000000000003</v>
      </c>
      <c r="AD56" s="320">
        <f>IFERROR(IF(tblPiNAnalysis[[#This Row],[WASH]]="", "", MROUND(tblPiNAnalysis[[#This Row],[WASH]]/tblPiNAnalysis[[#This Row],[Population]], 0.05)), "")</f>
        <v>0.2</v>
      </c>
      <c r="AE56" s="318">
        <f>IFERROR(MROUND(tblPiNAnalysis[[#This Row],[CP]]/tblPiNAnalysis[[#This Row],[Population]], 0.05), "")</f>
        <v>0</v>
      </c>
      <c r="AF56" s="318">
        <f>IFERROR(MROUND(tblPiNAnalysis[[#This Row],[GBV]]/tblPiNAnalysis[[#This Row],[Population]], 0.05), "")</f>
        <v>0</v>
      </c>
      <c r="AG56" s="318">
        <f>IFERROR(MROUND(tblPiNAnalysis[[#This Row],[Migrants]]/tblPiNAnalysis[[#This Row],[Population]], 0.05), "")</f>
        <v>0</v>
      </c>
      <c r="AH56" s="318">
        <f>IFERROR(MROUND(tblPiNAnalysis[[#This Row],[_]]/tblPiNAnalysis[[#This Row],[Population]], 0.05), "")</f>
        <v>0</v>
      </c>
      <c r="AI56" s="321">
        <f>IFERROR(LARGE(tblPiNAnalysis[[#This Row],[CCCM]:[WASH]], 1), "")</f>
        <v>46645</v>
      </c>
      <c r="AJ56" s="322" t="str" cm="1">
        <f t="array" ref="AJ56">IF(tblPiNAnalysis[[#This Row],[Highest PiN]]="", "", _xlfn.TEXTJOIN(CHAR(10), TRUE, IF(tblPiNAnalysis[[#This Row],[Highest PiN]]=tblPiNAnalysis[[#This Row],[CCCM]:[WASH]], tblPiNAnalysis[[#Headers],[CCCM]:[WASH]], "")))</f>
        <v>Food Security</v>
      </c>
      <c r="AK56" s="323">
        <f>IF(tblPiNAnalysis[[#This Row],[Highest PiN]]="", "", tblPiNAnalysis[[#This Row],[Highest PiN]]/tblPiNAnalysis[[#This Row],[Population]])</f>
        <v>0.37824359390204348</v>
      </c>
      <c r="AL56" s="265" t="str">
        <f>IF(SUM(tblPiNAnalysis[[#This Row],[CCCM]:[WASH]])=0, "",IF(COUNTIF(tblPiNAnalysis[[#This Row],[CCCM]:[WASH]],"=0")+COUNTIF(tblPiNAnalysis[[#This Row],[CCCM]:[WASH]],"")&gt;=zero_pin_thresh, "Flagged", ""))</f>
        <v/>
      </c>
      <c r="AM56" s="264" t="str">
        <f>IFERROR(IF(tblPiNAnalysis[[#This Row],[Highest PiN]]="", "", IF(tblPiNAnalysis[[#This Row],[Highest sector(s'') PiN %]]&gt;=flag_pin_perc, "Flagged", "")), "")</f>
        <v/>
      </c>
      <c r="AN56" s="266" t="str" cm="1">
        <f t="array" ref="AN56">IF(tblPiNAnalysis[[#This Row],[Highest PiN]]=0, "",  IF(OR(COUNTIF(tblPiNAnalysis[[#This Row],[Highest sector(s)]],tblSubSectorPopulation[Sector])), "Flagged", ""))</f>
        <v/>
      </c>
      <c r="AO56" s="45" cm="1">
        <f t="array" ref="AO5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45530</v>
      </c>
      <c r="AP56" s="326" t="str" cm="1">
        <f t="array" ref="AP56">IF(tblPiNAnalysis[[#This Row],[2nd Highest PiN]]="", "", _xlfn.TEXTJOIN(CHAR(10), TRUE, IF(tblPiNAnalysis[[#This Row],[2nd Highest PiN]]=tblPiNAnalysis[[#This Row],[CCCM]:[WASH]], tblPiNAnalysis[[#Headers],[CCCM]:[WASH]], "")))</f>
        <v>Shelter</v>
      </c>
      <c r="AQ56" s="35">
        <f>IFERROR(tblPiNAnalysis[[#This Row],[2nd Highest PiN]]/tblPiNAnalysis[[#This Row],[Population]], "")</f>
        <v>0.36920207590009729</v>
      </c>
      <c r="AR56" s="45">
        <f>IFERROR(tblPiNAnalysis[[#This Row],[Highest PiN]]-tblPiNAnalysis[[#This Row],[2nd Highest PiN]], "")</f>
        <v>1115</v>
      </c>
      <c r="AS56" s="38">
        <f>IFERROR(((tblPiNAnalysis[[#This Row],[Highest PiN]]-tblPiNAnalysis[[#This Row],[2nd Highest PiN]])/tblPiNAnalysis[[#This Row],[2nd Highest PiN]]),"")</f>
        <v>2.4489347682846475E-2</v>
      </c>
      <c r="AT56" s="269" t="str" cm="1">
        <f t="array" ref="AT5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6" s="327" cm="1">
        <f t="array" ref="AU5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22716.842105263157</v>
      </c>
      <c r="AV56" s="186" t="str" cm="1">
        <f t="array" ref="AV56">IF(tblPiNAnalysis[[#This Row],[3rd Highest PiN]]="", "", _xlfn.TEXTJOIN(CHAR(10), TRUE, IF(tblPiNAnalysis[[#This Row],[3rd Highest PiN]]=tblPiNAnalysis[[#This Row],[CCCM]:[WASH]], tblPiNAnalysis[[#Headers],[CCCM]:[WASH]], "")))</f>
        <v>WASH</v>
      </c>
      <c r="AW56" s="186">
        <f>IFERROR(tblPiNAnalysis[[#This Row],[3rd Highest PiN]]/tblPiNAnalysis[[#This Row],[Population]], "")</f>
        <v>0.18421052631578946</v>
      </c>
      <c r="AX56" s="44">
        <f>IFERROR(tblPiNAnalysis[[#This Row],[Highest PiN]]-tblPiNAnalysis[[#This Row],[3rd Highest PiN]],"")</f>
        <v>23928.157894736843</v>
      </c>
      <c r="AY56" s="38">
        <f>IFERROR(tblPiNAnalysis[[#This Row],[Difference of PiN between Highest and 3rd Highest]]/tblPiNAnalysis[[#This Row],[3rd Highest PiN]], "")</f>
        <v>1.0533223668968075</v>
      </c>
      <c r="AZ56" s="325" t="str" cm="1">
        <f t="array" ref="AZ5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6" s="292" cm="1">
        <f t="array" ref="BA56">IFERROR(IF(tblPiNAnalysis[[#This Row],[ID]]="", "", INDEX(tblPiNHistorical[[CCCM]:[WASH]], MATCH(tblPiNAnalysis[[#This Row],[ID]],tblPiNHistorical[ID], 0),MATCH(_xlfn._xlws.FILTER(tblPiNAnalysis[[#Headers],[CCCM]:[WASH]], tblPiNAnalysis[[#This Row],[Highest PiN]]=tblPiNAnalysis[[#This Row],[CCCM]:[WASH]]), tblPiNHistorical[[#Headers],[CCCM]:[WASH]], 0))), "")</f>
        <v>0</v>
      </c>
      <c r="BB56" s="328" t="str" cm="1">
        <f t="array" ref="BB5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6" s="272" cm="1">
        <f t="array" ref="BC56">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56" s="329" t="str" cm="1">
        <f t="array" ref="BD5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6" s="371">
        <f>INDEX(tblSeverityAnalysis[Final Severity], MATCH(tblPiNAnalysis[[#This Row],[ID]],tblSeverityAnalysis[ID], 0))</f>
        <v>3</v>
      </c>
      <c r="BF56" s="60">
        <f>IF(tblPiNAnalysis[[#This Row],[Severity]]&gt;2,tblPiNAnalysis[[#This Row],[Highest PiN]],)</f>
        <v>46645</v>
      </c>
      <c r="BG56" s="187"/>
      <c r="BH56" s="188"/>
      <c r="BI56" s="189">
        <f>COUNTIFS(tblPiNAnalysis[[#This Row],[Number of missing / zero PiNs greater than threshold - Data quality]:[Manual Flag]],"Flagged")</f>
        <v>1</v>
      </c>
      <c r="BJ56" s="346" t="str">
        <f>IF(tblPiNAnalysis[[#This Row],['# Flags]]&gt;0, "Flagged", "")</f>
        <v>Flagged</v>
      </c>
      <c r="BK56" s="339">
        <f>tblPiNAnalysis[[#This Row],[Preliminary PiN]]</f>
        <v>46645</v>
      </c>
      <c r="BL56" s="326"/>
      <c r="BM56" s="383">
        <f>IF(OR(tblPiNAnalysis[[#This Row],[Severity]]=4,tblPiNAnalysis[[#This Row],[Severity]]=5),tblPiNAnalysis[[#This Row],[Final PiN]],0)</f>
        <v>0</v>
      </c>
      <c r="BN56" s="378">
        <f>IF(OR(tblPiNAnalysis[[#This Row],[Severity]]=4,tblPiNAnalysis[[#This Row],[Severity]]=5),100%, IF(tblPiNAnalysis[[#This Row],[Severity]]=3,50%,0%))*tblPiNAnalysis[[#This Row],[Final PiN]]</f>
        <v>23322.5</v>
      </c>
      <c r="BO56" s="383">
        <f>IF(OR(tblPiNAnalysis[[#This Row],[Severity]]=4,tblPiNAnalysis[[#This Row],[Severity]]=5),100%, IF(AND(tblPiNAnalysis[[#This Row],[Severity]]=3,VLOOKUP(tblPiNAnalysis[[#This Row],[ID]],tblSeverityAnalysis[[ID]:[Highest Severity]],35,FALSE)&gt;3),50%,0%))*tblPiNAnalysis[[#This Row],[Final PiN]]</f>
        <v>0</v>
      </c>
    </row>
    <row r="57" spans="1:67" hidden="1">
      <c r="A5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Global_PopulationHT0422</v>
      </c>
      <c r="B57" s="304" t="s">
        <v>259</v>
      </c>
      <c r="C57" s="213" t="s">
        <v>260</v>
      </c>
      <c r="D57" s="213" t="s">
        <v>269</v>
      </c>
      <c r="E57" s="103" t="s">
        <v>270</v>
      </c>
      <c r="F57" s="99"/>
      <c r="G57" s="34"/>
      <c r="H57" s="357"/>
      <c r="I57" s="354">
        <v>22559</v>
      </c>
      <c r="J57" s="221" t="s">
        <v>156</v>
      </c>
      <c r="K57" s="316">
        <v>141</v>
      </c>
      <c r="L57" s="308">
        <v>2578</v>
      </c>
      <c r="M57" s="308">
        <v>1959</v>
      </c>
      <c r="N57" s="308">
        <v>10654</v>
      </c>
      <c r="O57" s="308">
        <v>299.21416595744682</v>
      </c>
      <c r="P57" s="308">
        <v>247.48</v>
      </c>
      <c r="Q57" s="309">
        <v>0</v>
      </c>
      <c r="R57" s="308">
        <v>5639.75</v>
      </c>
      <c r="S57" s="308"/>
      <c r="T57" s="308"/>
      <c r="U57" s="308"/>
      <c r="V57" s="308"/>
      <c r="W57" s="317">
        <f>IFERROR(IF(tblPiNAnalysis[[#This Row],[CCCM]]="", "", MROUND(tblPiNAnalysis[[#This Row],[CCCM]]/tblPiNAnalysis[[#This Row],[Population]], 0.05)), "")</f>
        <v>0</v>
      </c>
      <c r="X57" s="318">
        <f>IFERROR(IF(tblPiNAnalysis[[#This Row],[Education]]="", "", MROUND(tblPiNAnalysis[[#This Row],[Education]]/tblPiNAnalysis[[#This Row],[Population]], 0.05)), "")</f>
        <v>0.1</v>
      </c>
      <c r="Y57" s="318">
        <f>IFERROR(IF(tblPiNAnalysis[[#This Row],[Nutrition]]="", "", MROUND(tblPiNAnalysis[[#This Row],[Nutrition]]/tblPiNAnalysis[[#This Row],[Population]], 0.05)), "")</f>
        <v>0.1</v>
      </c>
      <c r="Z57" s="318">
        <f>IFERROR(IF(tblPiNAnalysis[[#This Row],[Food Security]]="", "", MROUND(tblPiNAnalysis[[#This Row],[Food Security]]/tblPiNAnalysis[[#This Row],[Population]], 0.05)), "")</f>
        <v>0.45</v>
      </c>
      <c r="AA57" s="318">
        <f>IFERROR(IF(tblPiNAnalysis[[#This Row],[Health]]="", "", MROUND(tblPiNAnalysis[[#This Row],[Health]]/tblPiNAnalysis[[#This Row],[Population]], 0.05)), "")</f>
        <v>0</v>
      </c>
      <c r="AB57" s="319">
        <f>IFERROR(IF(tblPiNAnalysis[[#This Row],[Protection]]="", "", MROUND(tblPiNAnalysis[[#This Row],[Protection]]/tblPiNAnalysis[[#This Row],[Population]], 0.05)), "")</f>
        <v>0</v>
      </c>
      <c r="AC57" s="319">
        <f>IFERROR(IF(tblPiNAnalysis[[#This Row],[Shelter]]="", "", MROUND(tblPiNAnalysis[[#This Row],[Shelter]]/tblPiNAnalysis[[#This Row],[Population]], 0.05)), "")</f>
        <v>0</v>
      </c>
      <c r="AD57" s="320">
        <f>IFERROR(IF(tblPiNAnalysis[[#This Row],[WASH]]="", "", MROUND(tblPiNAnalysis[[#This Row],[WASH]]/tblPiNAnalysis[[#This Row],[Population]], 0.05)), "")</f>
        <v>0.25</v>
      </c>
      <c r="AE57" s="318">
        <f>IFERROR(MROUND(tblPiNAnalysis[[#This Row],[CP]]/tblPiNAnalysis[[#This Row],[Population]], 0.05), "")</f>
        <v>0</v>
      </c>
      <c r="AF57" s="318">
        <f>IFERROR(MROUND(tblPiNAnalysis[[#This Row],[GBV]]/tblPiNAnalysis[[#This Row],[Population]], 0.05), "")</f>
        <v>0</v>
      </c>
      <c r="AG57" s="318">
        <f>IFERROR(MROUND(tblPiNAnalysis[[#This Row],[Migrants]]/tblPiNAnalysis[[#This Row],[Population]], 0.05), "")</f>
        <v>0</v>
      </c>
      <c r="AH57" s="318">
        <f>IFERROR(MROUND(tblPiNAnalysis[[#This Row],[_]]/tblPiNAnalysis[[#This Row],[Population]], 0.05), "")</f>
        <v>0</v>
      </c>
      <c r="AI57" s="321">
        <f>IFERROR(LARGE(tblPiNAnalysis[[#This Row],[CCCM]:[WASH]], 1), "")</f>
        <v>10654</v>
      </c>
      <c r="AJ57" s="322" t="str" cm="1">
        <f t="array" ref="AJ57">IF(tblPiNAnalysis[[#This Row],[Highest PiN]]="", "", _xlfn.TEXTJOIN(CHAR(10), TRUE, IF(tblPiNAnalysis[[#This Row],[Highest PiN]]=tblPiNAnalysis[[#This Row],[CCCM]:[WASH]], tblPiNAnalysis[[#Headers],[CCCM]:[WASH]], "")))</f>
        <v>Food Security</v>
      </c>
      <c r="AK57" s="323">
        <f>IF(tblPiNAnalysis[[#This Row],[Highest PiN]]="", "", tblPiNAnalysis[[#This Row],[Highest PiN]]/tblPiNAnalysis[[#This Row],[Population]])</f>
        <v>0.47227270712354269</v>
      </c>
      <c r="AL57" s="265" t="str">
        <f>IF(SUM(tblPiNAnalysis[[#This Row],[CCCM]:[WASH]])=0, "",IF(COUNTIF(tblPiNAnalysis[[#This Row],[CCCM]:[WASH]],"=0")+COUNTIF(tblPiNAnalysis[[#This Row],[CCCM]:[WASH]],"")&gt;=zero_pin_thresh, "Flagged", ""))</f>
        <v/>
      </c>
      <c r="AM57" s="264" t="str">
        <f>IFERROR(IF(tblPiNAnalysis[[#This Row],[Highest PiN]]="", "", IF(tblPiNAnalysis[[#This Row],[Highest sector(s'') PiN %]]&gt;=flag_pin_perc, "Flagged", "")), "")</f>
        <v/>
      </c>
      <c r="AN57" s="266" t="str" cm="1">
        <f t="array" ref="AN57">IF(tblPiNAnalysis[[#This Row],[Highest PiN]]=0, "",  IF(OR(COUNTIF(tblPiNAnalysis[[#This Row],[Highest sector(s)]],tblSubSectorPopulation[Sector])), "Flagged", ""))</f>
        <v/>
      </c>
      <c r="AO57" s="45" cm="1">
        <f t="array" ref="AO5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5639.75</v>
      </c>
      <c r="AP57" s="326" t="str" cm="1">
        <f t="array" ref="AP57">IF(tblPiNAnalysis[[#This Row],[2nd Highest PiN]]="", "", _xlfn.TEXTJOIN(CHAR(10), TRUE, IF(tblPiNAnalysis[[#This Row],[2nd Highest PiN]]=tblPiNAnalysis[[#This Row],[CCCM]:[WASH]], tblPiNAnalysis[[#Headers],[CCCM]:[WASH]], "")))</f>
        <v>WASH</v>
      </c>
      <c r="AQ57" s="35">
        <f>IFERROR(tblPiNAnalysis[[#This Row],[2nd Highest PiN]]/tblPiNAnalysis[[#This Row],[Population]], "")</f>
        <v>0.25</v>
      </c>
      <c r="AR57" s="45">
        <f>IFERROR(tblPiNAnalysis[[#This Row],[Highest PiN]]-tblPiNAnalysis[[#This Row],[2nd Highest PiN]], "")</f>
        <v>5014.25</v>
      </c>
      <c r="AS57" s="38">
        <f>IFERROR(((tblPiNAnalysis[[#This Row],[Highest PiN]]-tblPiNAnalysis[[#This Row],[2nd Highest PiN]])/tblPiNAnalysis[[#This Row],[2nd Highest PiN]]),"")</f>
        <v>0.88909082849417087</v>
      </c>
      <c r="AT57" s="269" t="str" cm="1">
        <f t="array" ref="AT5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57" s="327" cm="1">
        <f t="array" ref="AU5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2578</v>
      </c>
      <c r="AV57" s="186" t="str" cm="1">
        <f t="array" ref="AV57">IF(tblPiNAnalysis[[#This Row],[3rd Highest PiN]]="", "", _xlfn.TEXTJOIN(CHAR(10), TRUE, IF(tblPiNAnalysis[[#This Row],[3rd Highest PiN]]=tblPiNAnalysis[[#This Row],[CCCM]:[WASH]], tblPiNAnalysis[[#Headers],[CCCM]:[WASH]], "")))</f>
        <v>Education</v>
      </c>
      <c r="AW57" s="186">
        <f>IFERROR(tblPiNAnalysis[[#This Row],[3rd Highest PiN]]/tblPiNAnalysis[[#This Row],[Population]], "")</f>
        <v>0.11427811516467928</v>
      </c>
      <c r="AX57" s="44">
        <f>IFERROR(tblPiNAnalysis[[#This Row],[Highest PiN]]-tblPiNAnalysis[[#This Row],[3rd Highest PiN]],"")</f>
        <v>8076</v>
      </c>
      <c r="AY57" s="38">
        <f>IFERROR(tblPiNAnalysis[[#This Row],[Difference of PiN between Highest and 3rd Highest]]/tblPiNAnalysis[[#This Row],[3rd Highest PiN]], "")</f>
        <v>3.1326609775019394</v>
      </c>
      <c r="AZ57" s="325" t="str" cm="1">
        <f t="array" ref="AZ5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7" s="292" cm="1">
        <f t="array" ref="BA57">IFERROR(IF(tblPiNAnalysis[[#This Row],[ID]]="", "", INDEX(tblPiNHistorical[[CCCM]:[WASH]], MATCH(tblPiNAnalysis[[#This Row],[ID]],tblPiNHistorical[ID], 0),MATCH(_xlfn._xlws.FILTER(tblPiNAnalysis[[#Headers],[CCCM]:[WASH]], tblPiNAnalysis[[#This Row],[Highest PiN]]=tblPiNAnalysis[[#This Row],[CCCM]:[WASH]]), tblPiNHistorical[[#Headers],[CCCM]:[WASH]], 0))), "")</f>
        <v>0</v>
      </c>
      <c r="BB57" s="328" t="str" cm="1">
        <f t="array" ref="BB5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7" s="272" cm="1">
        <f t="array" ref="BC57">IFERROR(IF(tblPiNAnalysis[[#This Row],[ID]]="", "", INDEX(tblPiNHistorical[[CCCM]:[WASH]], MATCH(tblPiNAnalysis[[#This Row],[ID]],tblPiNHistorical[ID], 0),MATCH(_xlfn._xlws.FILTER(tblPiNAnalysis[[#Headers],[CCCM]:[WASH]], tblPiNAnalysis[[#This Row],[2nd Highest PiN]]=tblPiNAnalysis[[#This Row],[CCCM]:[WASH]]), tblPiNHistorical[[#Headers],[CCCM]:[WASH]], 0))), "")</f>
        <v>1.8</v>
      </c>
      <c r="BD57" s="329" t="str" cm="1">
        <f t="array" ref="BD5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57" s="371">
        <f>INDEX(tblSeverityAnalysis[Final Severity], MATCH(tblPiNAnalysis[[#This Row],[ID]],tblSeverityAnalysis[ID], 0))</f>
        <v>3</v>
      </c>
      <c r="BF57" s="60">
        <f>IF(tblPiNAnalysis[[#This Row],[Severity]]&gt;2,tblPiNAnalysis[[#This Row],[Highest PiN]],)</f>
        <v>10654</v>
      </c>
      <c r="BG57" s="187"/>
      <c r="BH57" s="188"/>
      <c r="BI57" s="189">
        <f>COUNTIFS(tblPiNAnalysis[[#This Row],[Number of missing / zero PiNs greater than threshold - Data quality]:[Manual Flag]],"Flagged")</f>
        <v>3</v>
      </c>
      <c r="BJ57" s="346" t="str">
        <f>IF(tblPiNAnalysis[[#This Row],['# Flags]]&gt;0, "Flagged", "")</f>
        <v>Flagged</v>
      </c>
      <c r="BK57" s="339">
        <f>tblPiNAnalysis[[#This Row],[Preliminary PiN]]</f>
        <v>10654</v>
      </c>
      <c r="BL57" s="326"/>
      <c r="BM57" s="383">
        <f>IF(OR(tblPiNAnalysis[[#This Row],[Severity]]=4,tblPiNAnalysis[[#This Row],[Severity]]=5),tblPiNAnalysis[[#This Row],[Final PiN]],0)</f>
        <v>0</v>
      </c>
      <c r="BN57" s="378">
        <f>IF(OR(tblPiNAnalysis[[#This Row],[Severity]]=4,tblPiNAnalysis[[#This Row],[Severity]]=5),100%, IF(tblPiNAnalysis[[#This Row],[Severity]]=3,50%,0%))*tblPiNAnalysis[[#This Row],[Final PiN]]</f>
        <v>5327</v>
      </c>
      <c r="BO57" s="383">
        <f>IF(OR(tblPiNAnalysis[[#This Row],[Severity]]=4,tblPiNAnalysis[[#This Row],[Severity]]=5),100%, IF(AND(tblPiNAnalysis[[#This Row],[Severity]]=3,VLOOKUP(tblPiNAnalysis[[#This Row],[ID]],tblSeverityAnalysis[[ID]:[Highest Severity]],35,FALSE)&gt;3),50%,0%))*tblPiNAnalysis[[#This Row],[Final PiN]]</f>
        <v>0</v>
      </c>
    </row>
    <row r="58" spans="1:67" hidden="1">
      <c r="A5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Global_PopulationHT0423</v>
      </c>
      <c r="B58" s="304" t="s">
        <v>259</v>
      </c>
      <c r="C58" s="213" t="s">
        <v>260</v>
      </c>
      <c r="D58" s="213" t="s">
        <v>271</v>
      </c>
      <c r="E58" s="103" t="s">
        <v>272</v>
      </c>
      <c r="F58" s="99"/>
      <c r="G58" s="34"/>
      <c r="H58" s="357"/>
      <c r="I58" s="354">
        <v>24682</v>
      </c>
      <c r="J58" s="221" t="s">
        <v>156</v>
      </c>
      <c r="K58" s="316">
        <v>115.5</v>
      </c>
      <c r="L58" s="308">
        <v>2889</v>
      </c>
      <c r="M58" s="308">
        <v>2130</v>
      </c>
      <c r="N58" s="308">
        <v>11529</v>
      </c>
      <c r="O58" s="308">
        <v>424.69701818181818</v>
      </c>
      <c r="P58" s="308">
        <v>201.46</v>
      </c>
      <c r="Q58" s="309">
        <v>6850</v>
      </c>
      <c r="R58" s="308">
        <v>12341</v>
      </c>
      <c r="S58" s="308"/>
      <c r="T58" s="308"/>
      <c r="U58" s="308"/>
      <c r="V58" s="308"/>
      <c r="W58" s="317">
        <f>IFERROR(IF(tblPiNAnalysis[[#This Row],[CCCM]]="", "", MROUND(tblPiNAnalysis[[#This Row],[CCCM]]/tblPiNAnalysis[[#This Row],[Population]], 0.05)), "")</f>
        <v>0</v>
      </c>
      <c r="X58" s="318">
        <f>IFERROR(IF(tblPiNAnalysis[[#This Row],[Education]]="", "", MROUND(tblPiNAnalysis[[#This Row],[Education]]/tblPiNAnalysis[[#This Row],[Population]], 0.05)), "")</f>
        <v>0.1</v>
      </c>
      <c r="Y58" s="318">
        <f>IFERROR(IF(tblPiNAnalysis[[#This Row],[Nutrition]]="", "", MROUND(tblPiNAnalysis[[#This Row],[Nutrition]]/tblPiNAnalysis[[#This Row],[Population]], 0.05)), "")</f>
        <v>0.1</v>
      </c>
      <c r="Z58" s="318">
        <f>IFERROR(IF(tblPiNAnalysis[[#This Row],[Food Security]]="", "", MROUND(tblPiNAnalysis[[#This Row],[Food Security]]/tblPiNAnalysis[[#This Row],[Population]], 0.05)), "")</f>
        <v>0.45</v>
      </c>
      <c r="AA58" s="318">
        <f>IFERROR(IF(tblPiNAnalysis[[#This Row],[Health]]="", "", MROUND(tblPiNAnalysis[[#This Row],[Health]]/tblPiNAnalysis[[#This Row],[Population]], 0.05)), "")</f>
        <v>0</v>
      </c>
      <c r="AB58" s="319">
        <f>IFERROR(IF(tblPiNAnalysis[[#This Row],[Protection]]="", "", MROUND(tblPiNAnalysis[[#This Row],[Protection]]/tblPiNAnalysis[[#This Row],[Population]], 0.05)), "")</f>
        <v>0</v>
      </c>
      <c r="AC58" s="319">
        <f>IFERROR(IF(tblPiNAnalysis[[#This Row],[Shelter]]="", "", MROUND(tblPiNAnalysis[[#This Row],[Shelter]]/tblPiNAnalysis[[#This Row],[Population]], 0.05)), "")</f>
        <v>0.30000000000000004</v>
      </c>
      <c r="AD58" s="320">
        <f>IFERROR(IF(tblPiNAnalysis[[#This Row],[WASH]]="", "", MROUND(tblPiNAnalysis[[#This Row],[WASH]]/tblPiNAnalysis[[#This Row],[Population]], 0.05)), "")</f>
        <v>0.5</v>
      </c>
      <c r="AE58" s="318">
        <f>IFERROR(MROUND(tblPiNAnalysis[[#This Row],[CP]]/tblPiNAnalysis[[#This Row],[Population]], 0.05), "")</f>
        <v>0</v>
      </c>
      <c r="AF58" s="318">
        <f>IFERROR(MROUND(tblPiNAnalysis[[#This Row],[GBV]]/tblPiNAnalysis[[#This Row],[Population]], 0.05), "")</f>
        <v>0</v>
      </c>
      <c r="AG58" s="318">
        <f>IFERROR(MROUND(tblPiNAnalysis[[#This Row],[Migrants]]/tblPiNAnalysis[[#This Row],[Population]], 0.05), "")</f>
        <v>0</v>
      </c>
      <c r="AH58" s="318">
        <f>IFERROR(MROUND(tblPiNAnalysis[[#This Row],[_]]/tblPiNAnalysis[[#This Row],[Population]], 0.05), "")</f>
        <v>0</v>
      </c>
      <c r="AI58" s="321">
        <f>IFERROR(LARGE(tblPiNAnalysis[[#This Row],[CCCM]:[WASH]], 1), "")</f>
        <v>12341</v>
      </c>
      <c r="AJ58" s="322" t="str" cm="1">
        <f t="array" ref="AJ58">IF(tblPiNAnalysis[[#This Row],[Highest PiN]]="", "", _xlfn.TEXTJOIN(CHAR(10), TRUE, IF(tblPiNAnalysis[[#This Row],[Highest PiN]]=tblPiNAnalysis[[#This Row],[CCCM]:[WASH]], tblPiNAnalysis[[#Headers],[CCCM]:[WASH]], "")))</f>
        <v>WASH</v>
      </c>
      <c r="AK58" s="323">
        <f>IF(tblPiNAnalysis[[#This Row],[Highest PiN]]="", "", tblPiNAnalysis[[#This Row],[Highest PiN]]/tblPiNAnalysis[[#This Row],[Population]])</f>
        <v>0.5</v>
      </c>
      <c r="AL58" s="265" t="str">
        <f>IF(SUM(tblPiNAnalysis[[#This Row],[CCCM]:[WASH]])=0, "",IF(COUNTIF(tblPiNAnalysis[[#This Row],[CCCM]:[WASH]],"=0")+COUNTIF(tblPiNAnalysis[[#This Row],[CCCM]:[WASH]],"")&gt;=zero_pin_thresh, "Flagged", ""))</f>
        <v/>
      </c>
      <c r="AM58" s="264" t="str">
        <f>IFERROR(IF(tblPiNAnalysis[[#This Row],[Highest PiN]]="", "", IF(tblPiNAnalysis[[#This Row],[Highest sector(s'') PiN %]]&gt;=flag_pin_perc, "Flagged", "")), "")</f>
        <v/>
      </c>
      <c r="AN58" s="266" t="str" cm="1">
        <f t="array" ref="AN58">IF(tblPiNAnalysis[[#This Row],[Highest PiN]]=0, "",  IF(OR(COUNTIF(tblPiNAnalysis[[#This Row],[Highest sector(s)]],tblSubSectorPopulation[Sector])), "Flagged", ""))</f>
        <v/>
      </c>
      <c r="AO58" s="45" cm="1">
        <f t="array" ref="AO5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11529</v>
      </c>
      <c r="AP58" s="326" t="str" cm="1">
        <f t="array" ref="AP58">IF(tblPiNAnalysis[[#This Row],[2nd Highest PiN]]="", "", _xlfn.TEXTJOIN(CHAR(10), TRUE, IF(tblPiNAnalysis[[#This Row],[2nd Highest PiN]]=tblPiNAnalysis[[#This Row],[CCCM]:[WASH]], tblPiNAnalysis[[#Headers],[CCCM]:[WASH]], "")))</f>
        <v>Food Security</v>
      </c>
      <c r="AQ58" s="35">
        <f>IFERROR(tblPiNAnalysis[[#This Row],[2nd Highest PiN]]/tblPiNAnalysis[[#This Row],[Population]], "")</f>
        <v>0.4671015314804311</v>
      </c>
      <c r="AR58" s="45">
        <f>IFERROR(tblPiNAnalysis[[#This Row],[Highest PiN]]-tblPiNAnalysis[[#This Row],[2nd Highest PiN]], "")</f>
        <v>812</v>
      </c>
      <c r="AS58" s="38">
        <f>IFERROR(((tblPiNAnalysis[[#This Row],[Highest PiN]]-tblPiNAnalysis[[#This Row],[2nd Highest PiN]])/tblPiNAnalysis[[#This Row],[2nd Highest PiN]]),"")</f>
        <v>7.0431086824529449E-2</v>
      </c>
      <c r="AT58" s="269" t="str" cm="1">
        <f t="array" ref="AT5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8" s="327" cm="1">
        <f t="array" ref="AU5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6850</v>
      </c>
      <c r="AV58" s="186" t="str" cm="1">
        <f t="array" ref="AV58">IF(tblPiNAnalysis[[#This Row],[3rd Highest PiN]]="", "", _xlfn.TEXTJOIN(CHAR(10), TRUE, IF(tblPiNAnalysis[[#This Row],[3rd Highest PiN]]=tblPiNAnalysis[[#This Row],[CCCM]:[WASH]], tblPiNAnalysis[[#Headers],[CCCM]:[WASH]], "")))</f>
        <v>Shelter</v>
      </c>
      <c r="AW58" s="186">
        <f>IFERROR(tblPiNAnalysis[[#This Row],[3rd Highest PiN]]/tblPiNAnalysis[[#This Row],[Population]], "")</f>
        <v>0.27753018393971313</v>
      </c>
      <c r="AX58" s="44">
        <f>IFERROR(tblPiNAnalysis[[#This Row],[Highest PiN]]-tblPiNAnalysis[[#This Row],[3rd Highest PiN]],"")</f>
        <v>5491</v>
      </c>
      <c r="AY58" s="38">
        <f>IFERROR(tblPiNAnalysis[[#This Row],[Difference of PiN between Highest and 3rd Highest]]/tblPiNAnalysis[[#This Row],[3rd Highest PiN]], "")</f>
        <v>0.80160583941605834</v>
      </c>
      <c r="AZ58" s="325" t="str" cm="1">
        <f t="array" ref="AZ5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58" s="292" cm="1">
        <f t="array" ref="BA58">IFERROR(IF(tblPiNAnalysis[[#This Row],[ID]]="", "", INDEX(tblPiNHistorical[[CCCM]:[WASH]], MATCH(tblPiNAnalysis[[#This Row],[ID]],tblPiNHistorical[ID], 0),MATCH(_xlfn._xlws.FILTER(tblPiNAnalysis[[#Headers],[CCCM]:[WASH]], tblPiNAnalysis[[#This Row],[Highest PiN]]=tblPiNAnalysis[[#This Row],[CCCM]:[WASH]]), tblPiNHistorical[[#Headers],[CCCM]:[WASH]], 0))), "")</f>
        <v>3.3</v>
      </c>
      <c r="BB58" s="328" t="str" cm="1">
        <f t="array" ref="BB5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58" s="272" cm="1">
        <f t="array" ref="BC58">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58" s="329" t="str" cm="1">
        <f t="array" ref="BD5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8" s="371">
        <f>INDEX(tblSeverityAnalysis[Final Severity], MATCH(tblPiNAnalysis[[#This Row],[ID]],tblSeverityAnalysis[ID], 0))</f>
        <v>3</v>
      </c>
      <c r="BF58" s="60">
        <f>IF(tblPiNAnalysis[[#This Row],[Severity]]&gt;2,tblPiNAnalysis[[#This Row],[Highest PiN]],)</f>
        <v>12341</v>
      </c>
      <c r="BG58" s="187"/>
      <c r="BH58" s="188"/>
      <c r="BI58" s="189">
        <f>COUNTIFS(tblPiNAnalysis[[#This Row],[Number of missing / zero PiNs greater than threshold - Data quality]:[Manual Flag]],"Flagged")</f>
        <v>2</v>
      </c>
      <c r="BJ58" s="346" t="str">
        <f>IF(tblPiNAnalysis[[#This Row],['# Flags]]&gt;0, "Flagged", "")</f>
        <v>Flagged</v>
      </c>
      <c r="BK58" s="339">
        <f>tblPiNAnalysis[[#This Row],[Preliminary PiN]]</f>
        <v>12341</v>
      </c>
      <c r="BL58" s="326"/>
      <c r="BM58" s="383">
        <f>IF(OR(tblPiNAnalysis[[#This Row],[Severity]]=4,tblPiNAnalysis[[#This Row],[Severity]]=5),tblPiNAnalysis[[#This Row],[Final PiN]],0)</f>
        <v>0</v>
      </c>
      <c r="BN58" s="378">
        <f>IF(OR(tblPiNAnalysis[[#This Row],[Severity]]=4,tblPiNAnalysis[[#This Row],[Severity]]=5),100%, IF(tblPiNAnalysis[[#This Row],[Severity]]=3,50%,0%))*tblPiNAnalysis[[#This Row],[Final PiN]]</f>
        <v>6170.5</v>
      </c>
      <c r="BO58" s="383">
        <f>IF(OR(tblPiNAnalysis[[#This Row],[Severity]]=4,tblPiNAnalysis[[#This Row],[Severity]]=5),100%, IF(AND(tblPiNAnalysis[[#This Row],[Severity]]=3,VLOOKUP(tblPiNAnalysis[[#This Row],[ID]],tblSeverityAnalysis[[ID]:[Highest Severity]],35,FALSE)&gt;3),50%,0%))*tblPiNAnalysis[[#This Row],[Final PiN]]</f>
        <v>0</v>
      </c>
    </row>
    <row r="59" spans="1:67" hidden="1">
      <c r="A5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Global_PopulationHT0431</v>
      </c>
      <c r="B59" s="304" t="s">
        <v>259</v>
      </c>
      <c r="C59" s="213" t="s">
        <v>260</v>
      </c>
      <c r="D59" s="213" t="s">
        <v>273</v>
      </c>
      <c r="E59" s="103" t="s">
        <v>274</v>
      </c>
      <c r="F59" s="99"/>
      <c r="G59" s="34"/>
      <c r="H59" s="357"/>
      <c r="I59" s="354">
        <v>57212</v>
      </c>
      <c r="J59" s="221" t="s">
        <v>156</v>
      </c>
      <c r="K59" s="316">
        <v>1003.5</v>
      </c>
      <c r="L59" s="308">
        <v>6402</v>
      </c>
      <c r="M59" s="308">
        <v>4938</v>
      </c>
      <c r="N59" s="308">
        <v>26897</v>
      </c>
      <c r="O59" s="308">
        <v>1247.6117865470853</v>
      </c>
      <c r="P59" s="308">
        <v>2563.9899999999998</v>
      </c>
      <c r="Q59" s="309">
        <v>30422</v>
      </c>
      <c r="R59" s="308">
        <v>23838.333333333336</v>
      </c>
      <c r="S59" s="308"/>
      <c r="T59" s="308"/>
      <c r="U59" s="308"/>
      <c r="V59" s="308"/>
      <c r="W59" s="317">
        <f>IFERROR(IF(tblPiNAnalysis[[#This Row],[CCCM]]="", "", MROUND(tblPiNAnalysis[[#This Row],[CCCM]]/tblPiNAnalysis[[#This Row],[Population]], 0.05)), "")</f>
        <v>0</v>
      </c>
      <c r="X59" s="318">
        <f>IFERROR(IF(tblPiNAnalysis[[#This Row],[Education]]="", "", MROUND(tblPiNAnalysis[[#This Row],[Education]]/tblPiNAnalysis[[#This Row],[Population]], 0.05)), "")</f>
        <v>0.1</v>
      </c>
      <c r="Y59" s="318">
        <f>IFERROR(IF(tblPiNAnalysis[[#This Row],[Nutrition]]="", "", MROUND(tblPiNAnalysis[[#This Row],[Nutrition]]/tblPiNAnalysis[[#This Row],[Population]], 0.05)), "")</f>
        <v>0.1</v>
      </c>
      <c r="Z59" s="318">
        <f>IFERROR(IF(tblPiNAnalysis[[#This Row],[Food Security]]="", "", MROUND(tblPiNAnalysis[[#This Row],[Food Security]]/tblPiNAnalysis[[#This Row],[Population]], 0.05)), "")</f>
        <v>0.45</v>
      </c>
      <c r="AA59" s="318">
        <f>IFERROR(IF(tblPiNAnalysis[[#This Row],[Health]]="", "", MROUND(tblPiNAnalysis[[#This Row],[Health]]/tblPiNAnalysis[[#This Row],[Population]], 0.05)), "")</f>
        <v>0</v>
      </c>
      <c r="AB59" s="319">
        <f>IFERROR(IF(tblPiNAnalysis[[#This Row],[Protection]]="", "", MROUND(tblPiNAnalysis[[#This Row],[Protection]]/tblPiNAnalysis[[#This Row],[Population]], 0.05)), "")</f>
        <v>0.05</v>
      </c>
      <c r="AC59" s="319">
        <f>IFERROR(IF(tblPiNAnalysis[[#This Row],[Shelter]]="", "", MROUND(tblPiNAnalysis[[#This Row],[Shelter]]/tblPiNAnalysis[[#This Row],[Population]], 0.05)), "")</f>
        <v>0.55000000000000004</v>
      </c>
      <c r="AD59" s="320">
        <f>IFERROR(IF(tblPiNAnalysis[[#This Row],[WASH]]="", "", MROUND(tblPiNAnalysis[[#This Row],[WASH]]/tblPiNAnalysis[[#This Row],[Population]], 0.05)), "")</f>
        <v>0.4</v>
      </c>
      <c r="AE59" s="318">
        <f>IFERROR(MROUND(tblPiNAnalysis[[#This Row],[CP]]/tblPiNAnalysis[[#This Row],[Population]], 0.05), "")</f>
        <v>0</v>
      </c>
      <c r="AF59" s="318">
        <f>IFERROR(MROUND(tblPiNAnalysis[[#This Row],[GBV]]/tblPiNAnalysis[[#This Row],[Population]], 0.05), "")</f>
        <v>0</v>
      </c>
      <c r="AG59" s="318">
        <f>IFERROR(MROUND(tblPiNAnalysis[[#This Row],[Migrants]]/tblPiNAnalysis[[#This Row],[Population]], 0.05), "")</f>
        <v>0</v>
      </c>
      <c r="AH59" s="318">
        <f>IFERROR(MROUND(tblPiNAnalysis[[#This Row],[_]]/tblPiNAnalysis[[#This Row],[Population]], 0.05), "")</f>
        <v>0</v>
      </c>
      <c r="AI59" s="321">
        <f>IFERROR(LARGE(tblPiNAnalysis[[#This Row],[CCCM]:[WASH]], 1), "")</f>
        <v>30422</v>
      </c>
      <c r="AJ59" s="322" t="str" cm="1">
        <f t="array" ref="AJ59">IF(tblPiNAnalysis[[#This Row],[Highest PiN]]="", "", _xlfn.TEXTJOIN(CHAR(10), TRUE, IF(tblPiNAnalysis[[#This Row],[Highest PiN]]=tblPiNAnalysis[[#This Row],[CCCM]:[WASH]], tblPiNAnalysis[[#Headers],[CCCM]:[WASH]], "")))</f>
        <v>Shelter</v>
      </c>
      <c r="AK59" s="323">
        <f>IF(tblPiNAnalysis[[#This Row],[Highest PiN]]="", "", tblPiNAnalysis[[#This Row],[Highest PiN]]/tblPiNAnalysis[[#This Row],[Population]])</f>
        <v>0.5317415926728658</v>
      </c>
      <c r="AL59" s="265" t="str">
        <f>IF(SUM(tblPiNAnalysis[[#This Row],[CCCM]:[WASH]])=0, "",IF(COUNTIF(tblPiNAnalysis[[#This Row],[CCCM]:[WASH]],"=0")+COUNTIF(tblPiNAnalysis[[#This Row],[CCCM]:[WASH]],"")&gt;=zero_pin_thresh, "Flagged", ""))</f>
        <v/>
      </c>
      <c r="AM59" s="264" t="str">
        <f>IFERROR(IF(tblPiNAnalysis[[#This Row],[Highest PiN]]="", "", IF(tblPiNAnalysis[[#This Row],[Highest sector(s'') PiN %]]&gt;=flag_pin_perc, "Flagged", "")), "")</f>
        <v/>
      </c>
      <c r="AN59" s="266" t="str" cm="1">
        <f t="array" ref="AN59">IF(tblPiNAnalysis[[#This Row],[Highest PiN]]=0, "",  IF(OR(COUNTIF(tblPiNAnalysis[[#This Row],[Highest sector(s)]],tblSubSectorPopulation[Sector])), "Flagged", ""))</f>
        <v/>
      </c>
      <c r="AO59" s="45" cm="1">
        <f t="array" ref="AO5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26897</v>
      </c>
      <c r="AP59" s="326" t="str" cm="1">
        <f t="array" ref="AP59">IF(tblPiNAnalysis[[#This Row],[2nd Highest PiN]]="", "", _xlfn.TEXTJOIN(CHAR(10), TRUE, IF(tblPiNAnalysis[[#This Row],[2nd Highest PiN]]=tblPiNAnalysis[[#This Row],[CCCM]:[WASH]], tblPiNAnalysis[[#Headers],[CCCM]:[WASH]], "")))</f>
        <v>Food Security</v>
      </c>
      <c r="AQ59" s="35">
        <f>IFERROR(tblPiNAnalysis[[#This Row],[2nd Highest PiN]]/tblPiNAnalysis[[#This Row],[Population]], "")</f>
        <v>0.47012864434034818</v>
      </c>
      <c r="AR59" s="45">
        <f>IFERROR(tblPiNAnalysis[[#This Row],[Highest PiN]]-tblPiNAnalysis[[#This Row],[2nd Highest PiN]], "")</f>
        <v>3525</v>
      </c>
      <c r="AS59" s="38">
        <f>IFERROR(((tblPiNAnalysis[[#This Row],[Highest PiN]]-tblPiNAnalysis[[#This Row],[2nd Highest PiN]])/tblPiNAnalysis[[#This Row],[2nd Highest PiN]]),"")</f>
        <v>0.13105550804922483</v>
      </c>
      <c r="AT59" s="269" t="str" cm="1">
        <f t="array" ref="AT5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59" s="327" cm="1">
        <f t="array" ref="AU5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23838.333333333336</v>
      </c>
      <c r="AV59" s="186" t="str" cm="1">
        <f t="array" ref="AV59">IF(tblPiNAnalysis[[#This Row],[3rd Highest PiN]]="", "", _xlfn.TEXTJOIN(CHAR(10), TRUE, IF(tblPiNAnalysis[[#This Row],[3rd Highest PiN]]=tblPiNAnalysis[[#This Row],[CCCM]:[WASH]], tblPiNAnalysis[[#Headers],[CCCM]:[WASH]], "")))</f>
        <v>WASH</v>
      </c>
      <c r="AW59" s="186">
        <f>IFERROR(tblPiNAnalysis[[#This Row],[3rd Highest PiN]]/tblPiNAnalysis[[#This Row],[Population]], "")</f>
        <v>0.41666666666666669</v>
      </c>
      <c r="AX59" s="44">
        <f>IFERROR(tblPiNAnalysis[[#This Row],[Highest PiN]]-tblPiNAnalysis[[#This Row],[3rd Highest PiN]],"")</f>
        <v>6583.6666666666642</v>
      </c>
      <c r="AY59" s="38">
        <f>IFERROR(tblPiNAnalysis[[#This Row],[Difference of PiN between Highest and 3rd Highest]]/tblPiNAnalysis[[#This Row],[3rd Highest PiN]], "")</f>
        <v>0.27617982241487787</v>
      </c>
      <c r="AZ59" s="325" t="str" cm="1">
        <f t="array" ref="AZ5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59" s="292" cm="1">
        <f t="array" ref="BA59">IFERROR(IF(tblPiNAnalysis[[#This Row],[ID]]="", "", INDEX(tblPiNHistorical[[CCCM]:[WASH]], MATCH(tblPiNAnalysis[[#This Row],[ID]],tblPiNHistorical[ID], 0),MATCH(_xlfn._xlws.FILTER(tblPiNAnalysis[[#Headers],[CCCM]:[WASH]], tblPiNAnalysis[[#This Row],[Highest PiN]]=tblPiNAnalysis[[#This Row],[CCCM]:[WASH]]), tblPiNHistorical[[#Headers],[CCCM]:[WASH]], 0))), "")</f>
        <v>0.4</v>
      </c>
      <c r="BB59" s="328" t="str" cm="1">
        <f t="array" ref="BB5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59" s="272" cm="1">
        <f t="array" ref="BC59">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59" s="329" t="str" cm="1">
        <f t="array" ref="BD5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59" s="371">
        <f>INDEX(tblSeverityAnalysis[Final Severity], MATCH(tblPiNAnalysis[[#This Row],[ID]],tblSeverityAnalysis[ID], 0))</f>
        <v>3</v>
      </c>
      <c r="BF59" s="60">
        <f>IF(tblPiNAnalysis[[#This Row],[Severity]]&gt;2,tblPiNAnalysis[[#This Row],[Highest PiN]],)</f>
        <v>30422</v>
      </c>
      <c r="BG59" s="187"/>
      <c r="BH59" s="188"/>
      <c r="BI59" s="189">
        <f>COUNTIFS(tblPiNAnalysis[[#This Row],[Number of missing / zero PiNs greater than threshold - Data quality]:[Manual Flag]],"Flagged")</f>
        <v>0</v>
      </c>
      <c r="BJ59" s="346" t="str">
        <f>IF(tblPiNAnalysis[[#This Row],['# Flags]]&gt;0, "Flagged", "")</f>
        <v/>
      </c>
      <c r="BK59" s="339">
        <f>tblPiNAnalysis[[#This Row],[Preliminary PiN]]</f>
        <v>30422</v>
      </c>
      <c r="BL59" s="326"/>
      <c r="BM59" s="383">
        <f>IF(OR(tblPiNAnalysis[[#This Row],[Severity]]=4,tblPiNAnalysis[[#This Row],[Severity]]=5),tblPiNAnalysis[[#This Row],[Final PiN]],0)</f>
        <v>0</v>
      </c>
      <c r="BN59" s="378">
        <f>IF(OR(tblPiNAnalysis[[#This Row],[Severity]]=4,tblPiNAnalysis[[#This Row],[Severity]]=5),100%, IF(tblPiNAnalysis[[#This Row],[Severity]]=3,50%,0%))*tblPiNAnalysis[[#This Row],[Final PiN]]</f>
        <v>15211</v>
      </c>
      <c r="BO59" s="383">
        <f>IF(OR(tblPiNAnalysis[[#This Row],[Severity]]=4,tblPiNAnalysis[[#This Row],[Severity]]=5),100%, IF(AND(tblPiNAnalysis[[#This Row],[Severity]]=3,VLOOKUP(tblPiNAnalysis[[#This Row],[ID]],tblSeverityAnalysis[[ID]:[Highest Severity]],35,FALSE)&gt;3),50%,0%))*tblPiNAnalysis[[#This Row],[Final PiN]]</f>
        <v>0</v>
      </c>
    </row>
    <row r="60" spans="1:67" hidden="1">
      <c r="A6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Global_PopulationHT0432</v>
      </c>
      <c r="B60" s="304" t="s">
        <v>259</v>
      </c>
      <c r="C60" s="213" t="s">
        <v>260</v>
      </c>
      <c r="D60" s="213" t="s">
        <v>275</v>
      </c>
      <c r="E60" s="103" t="s">
        <v>276</v>
      </c>
      <c r="F60" s="99"/>
      <c r="G60" s="34"/>
      <c r="H60" s="357"/>
      <c r="I60" s="354">
        <v>32812</v>
      </c>
      <c r="J60" s="221" t="s">
        <v>156</v>
      </c>
      <c r="K60" s="316">
        <v>847.5</v>
      </c>
      <c r="L60" s="308">
        <v>3821</v>
      </c>
      <c r="M60" s="308">
        <v>2687</v>
      </c>
      <c r="N60" s="308">
        <v>15408</v>
      </c>
      <c r="O60" s="308">
        <v>989.48795575221232</v>
      </c>
      <c r="P60" s="308">
        <v>621.84</v>
      </c>
      <c r="Q60" s="309">
        <v>12731</v>
      </c>
      <c r="R60" s="308">
        <v>1069.75</v>
      </c>
      <c r="S60" s="308"/>
      <c r="T60" s="308"/>
      <c r="U60" s="308"/>
      <c r="V60" s="308"/>
      <c r="W60" s="317">
        <f>IFERROR(IF(tblPiNAnalysis[[#This Row],[CCCM]]="", "", MROUND(tblPiNAnalysis[[#This Row],[CCCM]]/tblPiNAnalysis[[#This Row],[Population]], 0.05)), "")</f>
        <v>0.05</v>
      </c>
      <c r="X60" s="318">
        <f>IFERROR(IF(tblPiNAnalysis[[#This Row],[Education]]="", "", MROUND(tblPiNAnalysis[[#This Row],[Education]]/tblPiNAnalysis[[#This Row],[Population]], 0.05)), "")</f>
        <v>0.1</v>
      </c>
      <c r="Y60" s="318">
        <f>IFERROR(IF(tblPiNAnalysis[[#This Row],[Nutrition]]="", "", MROUND(tblPiNAnalysis[[#This Row],[Nutrition]]/tblPiNAnalysis[[#This Row],[Population]], 0.05)), "")</f>
        <v>0.1</v>
      </c>
      <c r="Z60" s="318">
        <f>IFERROR(IF(tblPiNAnalysis[[#This Row],[Food Security]]="", "", MROUND(tblPiNAnalysis[[#This Row],[Food Security]]/tblPiNAnalysis[[#This Row],[Population]], 0.05)), "")</f>
        <v>0.45</v>
      </c>
      <c r="AA60" s="318">
        <f>IFERROR(IF(tblPiNAnalysis[[#This Row],[Health]]="", "", MROUND(tblPiNAnalysis[[#This Row],[Health]]/tblPiNAnalysis[[#This Row],[Population]], 0.05)), "")</f>
        <v>0.05</v>
      </c>
      <c r="AB60" s="319">
        <f>IFERROR(IF(tblPiNAnalysis[[#This Row],[Protection]]="", "", MROUND(tblPiNAnalysis[[#This Row],[Protection]]/tblPiNAnalysis[[#This Row],[Population]], 0.05)), "")</f>
        <v>0</v>
      </c>
      <c r="AC60" s="319">
        <f>IFERROR(IF(tblPiNAnalysis[[#This Row],[Shelter]]="", "", MROUND(tblPiNAnalysis[[#This Row],[Shelter]]/tblPiNAnalysis[[#This Row],[Population]], 0.05)), "")</f>
        <v>0.4</v>
      </c>
      <c r="AD60" s="320">
        <f>IFERROR(IF(tblPiNAnalysis[[#This Row],[WASH]]="", "", MROUND(tblPiNAnalysis[[#This Row],[WASH]]/tblPiNAnalysis[[#This Row],[Population]], 0.05)), "")</f>
        <v>0.05</v>
      </c>
      <c r="AE60" s="318">
        <f>IFERROR(MROUND(tblPiNAnalysis[[#This Row],[CP]]/tblPiNAnalysis[[#This Row],[Population]], 0.05), "")</f>
        <v>0</v>
      </c>
      <c r="AF60" s="318">
        <f>IFERROR(MROUND(tblPiNAnalysis[[#This Row],[GBV]]/tblPiNAnalysis[[#This Row],[Population]], 0.05), "")</f>
        <v>0</v>
      </c>
      <c r="AG60" s="318">
        <f>IFERROR(MROUND(tblPiNAnalysis[[#This Row],[Migrants]]/tblPiNAnalysis[[#This Row],[Population]], 0.05), "")</f>
        <v>0</v>
      </c>
      <c r="AH60" s="318">
        <f>IFERROR(MROUND(tblPiNAnalysis[[#This Row],[_]]/tblPiNAnalysis[[#This Row],[Population]], 0.05), "")</f>
        <v>0</v>
      </c>
      <c r="AI60" s="321">
        <f>IFERROR(LARGE(tblPiNAnalysis[[#This Row],[CCCM]:[WASH]], 1), "")</f>
        <v>15408</v>
      </c>
      <c r="AJ60" s="322" t="str" cm="1">
        <f t="array" ref="AJ60">IF(tblPiNAnalysis[[#This Row],[Highest PiN]]="", "", _xlfn.TEXTJOIN(CHAR(10), TRUE, IF(tblPiNAnalysis[[#This Row],[Highest PiN]]=tblPiNAnalysis[[#This Row],[CCCM]:[WASH]], tblPiNAnalysis[[#Headers],[CCCM]:[WASH]], "")))</f>
        <v>Food Security</v>
      </c>
      <c r="AK60" s="323">
        <f>IF(tblPiNAnalysis[[#This Row],[Highest PiN]]="", "", tblPiNAnalysis[[#This Row],[Highest PiN]]/tblPiNAnalysis[[#This Row],[Population]])</f>
        <v>0.46958429842740462</v>
      </c>
      <c r="AL60" s="265" t="str">
        <f>IF(SUM(tblPiNAnalysis[[#This Row],[CCCM]:[WASH]])=0, "",IF(COUNTIF(tblPiNAnalysis[[#This Row],[CCCM]:[WASH]],"=0")+COUNTIF(tblPiNAnalysis[[#This Row],[CCCM]:[WASH]],"")&gt;=zero_pin_thresh, "Flagged", ""))</f>
        <v/>
      </c>
      <c r="AM60" s="264" t="str">
        <f>IFERROR(IF(tblPiNAnalysis[[#This Row],[Highest PiN]]="", "", IF(tblPiNAnalysis[[#This Row],[Highest sector(s'') PiN %]]&gt;=flag_pin_perc, "Flagged", "")), "")</f>
        <v/>
      </c>
      <c r="AN60" s="266" t="str" cm="1">
        <f t="array" ref="AN60">IF(tblPiNAnalysis[[#This Row],[Highest PiN]]=0, "",  IF(OR(COUNTIF(tblPiNAnalysis[[#This Row],[Highest sector(s)]],tblSubSectorPopulation[Sector])), "Flagged", ""))</f>
        <v/>
      </c>
      <c r="AO60" s="45" cm="1">
        <f t="array" ref="AO6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12731</v>
      </c>
      <c r="AP60" s="326" t="str" cm="1">
        <f t="array" ref="AP60">IF(tblPiNAnalysis[[#This Row],[2nd Highest PiN]]="", "", _xlfn.TEXTJOIN(CHAR(10), TRUE, IF(tblPiNAnalysis[[#This Row],[2nd Highest PiN]]=tblPiNAnalysis[[#This Row],[CCCM]:[WASH]], tblPiNAnalysis[[#Headers],[CCCM]:[WASH]], "")))</f>
        <v>Shelter</v>
      </c>
      <c r="AQ60" s="35">
        <f>IFERROR(tblPiNAnalysis[[#This Row],[2nd Highest PiN]]/tblPiNAnalysis[[#This Row],[Population]], "")</f>
        <v>0.3879982933073266</v>
      </c>
      <c r="AR60" s="45">
        <f>IFERROR(tblPiNAnalysis[[#This Row],[Highest PiN]]-tblPiNAnalysis[[#This Row],[2nd Highest PiN]], "")</f>
        <v>2677</v>
      </c>
      <c r="AS60" s="38">
        <f>IFERROR(((tblPiNAnalysis[[#This Row],[Highest PiN]]-tblPiNAnalysis[[#This Row],[2nd Highest PiN]])/tblPiNAnalysis[[#This Row],[2nd Highest PiN]]),"")</f>
        <v>0.21027413400361322</v>
      </c>
      <c r="AT60" s="269" t="str" cm="1">
        <f t="array" ref="AT6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0" s="327" cm="1">
        <f t="array" ref="AU6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3821</v>
      </c>
      <c r="AV60" s="186" t="str" cm="1">
        <f t="array" ref="AV60">IF(tblPiNAnalysis[[#This Row],[3rd Highest PiN]]="", "", _xlfn.TEXTJOIN(CHAR(10), TRUE, IF(tblPiNAnalysis[[#This Row],[3rd Highest PiN]]=tblPiNAnalysis[[#This Row],[CCCM]:[WASH]], tblPiNAnalysis[[#Headers],[CCCM]:[WASH]], "")))</f>
        <v>Education</v>
      </c>
      <c r="AW60" s="186">
        <f>IFERROR(tblPiNAnalysis[[#This Row],[3rd Highest PiN]]/tblPiNAnalysis[[#This Row],[Population]], "")</f>
        <v>0.11645129830549798</v>
      </c>
      <c r="AX60" s="44">
        <f>IFERROR(tblPiNAnalysis[[#This Row],[Highest PiN]]-tblPiNAnalysis[[#This Row],[3rd Highest PiN]],"")</f>
        <v>11587</v>
      </c>
      <c r="AY60" s="38">
        <f>IFERROR(tblPiNAnalysis[[#This Row],[Difference of PiN between Highest and 3rd Highest]]/tblPiNAnalysis[[#This Row],[3rd Highest PiN]], "")</f>
        <v>3.0324522376341272</v>
      </c>
      <c r="AZ60" s="325" t="str" cm="1">
        <f t="array" ref="AZ6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0" s="292" cm="1">
        <f t="array" ref="BA60">IFERROR(IF(tblPiNAnalysis[[#This Row],[ID]]="", "", INDEX(tblPiNHistorical[[CCCM]:[WASH]], MATCH(tblPiNAnalysis[[#This Row],[ID]],tblPiNHistorical[ID], 0),MATCH(_xlfn._xlws.FILTER(tblPiNAnalysis[[#Headers],[CCCM]:[WASH]], tblPiNAnalysis[[#This Row],[Highest PiN]]=tblPiNAnalysis[[#This Row],[CCCM]:[WASH]]), tblPiNHistorical[[#Headers],[CCCM]:[WASH]], 0))), "")</f>
        <v>0</v>
      </c>
      <c r="BB60" s="328" t="str" cm="1">
        <f t="array" ref="BB6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0" s="272" cm="1">
        <f t="array" ref="BC60">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60" s="329" t="str" cm="1">
        <f t="array" ref="BD6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0" s="371">
        <f>INDEX(tblSeverityAnalysis[Final Severity], MATCH(tblPiNAnalysis[[#This Row],[ID]],tblSeverityAnalysis[ID], 0))</f>
        <v>3</v>
      </c>
      <c r="BF60" s="60">
        <f>IF(tblPiNAnalysis[[#This Row],[Severity]]&gt;2,tblPiNAnalysis[[#This Row],[Highest PiN]],)</f>
        <v>15408</v>
      </c>
      <c r="BG60" s="187"/>
      <c r="BH60" s="188"/>
      <c r="BI60" s="189">
        <f>COUNTIFS(tblPiNAnalysis[[#This Row],[Number of missing / zero PiNs greater than threshold - Data quality]:[Manual Flag]],"Flagged")</f>
        <v>1</v>
      </c>
      <c r="BJ60" s="346" t="str">
        <f>IF(tblPiNAnalysis[[#This Row],['# Flags]]&gt;0, "Flagged", "")</f>
        <v>Flagged</v>
      </c>
      <c r="BK60" s="339">
        <f>tblPiNAnalysis[[#This Row],[Preliminary PiN]]</f>
        <v>15408</v>
      </c>
      <c r="BL60" s="326"/>
      <c r="BM60" s="383">
        <f>IF(OR(tblPiNAnalysis[[#This Row],[Severity]]=4,tblPiNAnalysis[[#This Row],[Severity]]=5),tblPiNAnalysis[[#This Row],[Final PiN]],0)</f>
        <v>0</v>
      </c>
      <c r="BN60" s="378">
        <f>IF(OR(tblPiNAnalysis[[#This Row],[Severity]]=4,tblPiNAnalysis[[#This Row],[Severity]]=5),100%, IF(tblPiNAnalysis[[#This Row],[Severity]]=3,50%,0%))*tblPiNAnalysis[[#This Row],[Final PiN]]</f>
        <v>7704</v>
      </c>
      <c r="BO60" s="383">
        <f>IF(OR(tblPiNAnalysis[[#This Row],[Severity]]=4,tblPiNAnalysis[[#This Row],[Severity]]=5),100%, IF(AND(tblPiNAnalysis[[#This Row],[Severity]]=3,VLOOKUP(tblPiNAnalysis[[#This Row],[ID]],tblSeverityAnalysis[[ID]:[Highest Severity]],35,FALSE)&gt;3),50%,0%))*tblPiNAnalysis[[#This Row],[Final PiN]]</f>
        <v>0</v>
      </c>
    </row>
    <row r="61" spans="1:67" hidden="1">
      <c r="A6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Global_PopulationHT0433</v>
      </c>
      <c r="B61" s="304" t="s">
        <v>259</v>
      </c>
      <c r="C61" s="213" t="s">
        <v>260</v>
      </c>
      <c r="D61" s="213" t="s">
        <v>277</v>
      </c>
      <c r="E61" s="103" t="s">
        <v>278</v>
      </c>
      <c r="F61" s="99"/>
      <c r="G61" s="34"/>
      <c r="H61" s="357"/>
      <c r="I61" s="354">
        <v>35373</v>
      </c>
      <c r="J61" s="221" t="s">
        <v>156</v>
      </c>
      <c r="K61" s="316">
        <v>334.5</v>
      </c>
      <c r="L61" s="308">
        <v>3888</v>
      </c>
      <c r="M61" s="308">
        <v>3029</v>
      </c>
      <c r="N61" s="308">
        <v>16669</v>
      </c>
      <c r="O61" s="308">
        <v>563.56117757847539</v>
      </c>
      <c r="P61" s="308">
        <v>581.02</v>
      </c>
      <c r="Q61" s="309">
        <v>9506</v>
      </c>
      <c r="R61" s="308">
        <v>277.25</v>
      </c>
      <c r="S61" s="308"/>
      <c r="T61" s="308"/>
      <c r="U61" s="308"/>
      <c r="V61" s="308"/>
      <c r="W61" s="317">
        <f>IFERROR(IF(tblPiNAnalysis[[#This Row],[CCCM]]="", "", MROUND(tblPiNAnalysis[[#This Row],[CCCM]]/tblPiNAnalysis[[#This Row],[Population]], 0.05)), "")</f>
        <v>0</v>
      </c>
      <c r="X61" s="318">
        <f>IFERROR(IF(tblPiNAnalysis[[#This Row],[Education]]="", "", MROUND(tblPiNAnalysis[[#This Row],[Education]]/tblPiNAnalysis[[#This Row],[Population]], 0.05)), "")</f>
        <v>0.1</v>
      </c>
      <c r="Y61" s="318">
        <f>IFERROR(IF(tblPiNAnalysis[[#This Row],[Nutrition]]="", "", MROUND(tblPiNAnalysis[[#This Row],[Nutrition]]/tblPiNAnalysis[[#This Row],[Population]], 0.05)), "")</f>
        <v>0.1</v>
      </c>
      <c r="Z61" s="318">
        <f>IFERROR(IF(tblPiNAnalysis[[#This Row],[Food Security]]="", "", MROUND(tblPiNAnalysis[[#This Row],[Food Security]]/tblPiNAnalysis[[#This Row],[Population]], 0.05)), "")</f>
        <v>0.45</v>
      </c>
      <c r="AA61" s="318">
        <f>IFERROR(IF(tblPiNAnalysis[[#This Row],[Health]]="", "", MROUND(tblPiNAnalysis[[#This Row],[Health]]/tblPiNAnalysis[[#This Row],[Population]], 0.05)), "")</f>
        <v>0</v>
      </c>
      <c r="AB61" s="319">
        <f>IFERROR(IF(tblPiNAnalysis[[#This Row],[Protection]]="", "", MROUND(tblPiNAnalysis[[#This Row],[Protection]]/tblPiNAnalysis[[#This Row],[Population]], 0.05)), "")</f>
        <v>0</v>
      </c>
      <c r="AC61" s="319">
        <f>IFERROR(IF(tblPiNAnalysis[[#This Row],[Shelter]]="", "", MROUND(tblPiNAnalysis[[#This Row],[Shelter]]/tblPiNAnalysis[[#This Row],[Population]], 0.05)), "")</f>
        <v>0.25</v>
      </c>
      <c r="AD61" s="320">
        <f>IFERROR(IF(tblPiNAnalysis[[#This Row],[WASH]]="", "", MROUND(tblPiNAnalysis[[#This Row],[WASH]]/tblPiNAnalysis[[#This Row],[Population]], 0.05)), "")</f>
        <v>0</v>
      </c>
      <c r="AE61" s="318">
        <f>IFERROR(MROUND(tblPiNAnalysis[[#This Row],[CP]]/tblPiNAnalysis[[#This Row],[Population]], 0.05), "")</f>
        <v>0</v>
      </c>
      <c r="AF61" s="318">
        <f>IFERROR(MROUND(tblPiNAnalysis[[#This Row],[GBV]]/tblPiNAnalysis[[#This Row],[Population]], 0.05), "")</f>
        <v>0</v>
      </c>
      <c r="AG61" s="318">
        <f>IFERROR(MROUND(tblPiNAnalysis[[#This Row],[Migrants]]/tblPiNAnalysis[[#This Row],[Population]], 0.05), "")</f>
        <v>0</v>
      </c>
      <c r="AH61" s="318">
        <f>IFERROR(MROUND(tblPiNAnalysis[[#This Row],[_]]/tblPiNAnalysis[[#This Row],[Population]], 0.05), "")</f>
        <v>0</v>
      </c>
      <c r="AI61" s="321">
        <f>IFERROR(LARGE(tblPiNAnalysis[[#This Row],[CCCM]:[WASH]], 1), "")</f>
        <v>16669</v>
      </c>
      <c r="AJ61" s="322" t="str" cm="1">
        <f t="array" ref="AJ61">IF(tblPiNAnalysis[[#This Row],[Highest PiN]]="", "", _xlfn.TEXTJOIN(CHAR(10), TRUE, IF(tblPiNAnalysis[[#This Row],[Highest PiN]]=tblPiNAnalysis[[#This Row],[CCCM]:[WASH]], tblPiNAnalysis[[#Headers],[CCCM]:[WASH]], "")))</f>
        <v>Food Security</v>
      </c>
      <c r="AK61" s="323">
        <f>IF(tblPiNAnalysis[[#This Row],[Highest PiN]]="", "", tblPiNAnalysis[[#This Row],[Highest PiN]]/tblPiNAnalysis[[#This Row],[Population]])</f>
        <v>0.47123512283379981</v>
      </c>
      <c r="AL61" s="265" t="str">
        <f>IF(SUM(tblPiNAnalysis[[#This Row],[CCCM]:[WASH]])=0, "",IF(COUNTIF(tblPiNAnalysis[[#This Row],[CCCM]:[WASH]],"=0")+COUNTIF(tblPiNAnalysis[[#This Row],[CCCM]:[WASH]],"")&gt;=zero_pin_thresh, "Flagged", ""))</f>
        <v/>
      </c>
      <c r="AM61" s="264" t="str">
        <f>IFERROR(IF(tblPiNAnalysis[[#This Row],[Highest PiN]]="", "", IF(tblPiNAnalysis[[#This Row],[Highest sector(s'') PiN %]]&gt;=flag_pin_perc, "Flagged", "")), "")</f>
        <v/>
      </c>
      <c r="AN61" s="266" t="str" cm="1">
        <f t="array" ref="AN61">IF(tblPiNAnalysis[[#This Row],[Highest PiN]]=0, "",  IF(OR(COUNTIF(tblPiNAnalysis[[#This Row],[Highest sector(s)]],tblSubSectorPopulation[Sector])), "Flagged", ""))</f>
        <v/>
      </c>
      <c r="AO61" s="45" cm="1">
        <f t="array" ref="AO6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9506</v>
      </c>
      <c r="AP61" s="326" t="str" cm="1">
        <f t="array" ref="AP61">IF(tblPiNAnalysis[[#This Row],[2nd Highest PiN]]="", "", _xlfn.TEXTJOIN(CHAR(10), TRUE, IF(tblPiNAnalysis[[#This Row],[2nd Highest PiN]]=tblPiNAnalysis[[#This Row],[CCCM]:[WASH]], tblPiNAnalysis[[#Headers],[CCCM]:[WASH]], "")))</f>
        <v>Shelter</v>
      </c>
      <c r="AQ61" s="35">
        <f>IFERROR(tblPiNAnalysis[[#This Row],[2nd Highest PiN]]/tblPiNAnalysis[[#This Row],[Population]], "")</f>
        <v>0.26873604161366016</v>
      </c>
      <c r="AR61" s="45">
        <f>IFERROR(tblPiNAnalysis[[#This Row],[Highest PiN]]-tblPiNAnalysis[[#This Row],[2nd Highest PiN]], "")</f>
        <v>7163</v>
      </c>
      <c r="AS61" s="38">
        <f>IFERROR(((tblPiNAnalysis[[#This Row],[Highest PiN]]-tblPiNAnalysis[[#This Row],[2nd Highest PiN]])/tblPiNAnalysis[[#This Row],[2nd Highest PiN]]),"")</f>
        <v>0.75352409004839049</v>
      </c>
      <c r="AT61" s="269" t="str" cm="1">
        <f t="array" ref="AT6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61" s="327" cm="1">
        <f t="array" ref="AU6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3888</v>
      </c>
      <c r="AV61" s="186" t="str" cm="1">
        <f t="array" ref="AV61">IF(tblPiNAnalysis[[#This Row],[3rd Highest PiN]]="", "", _xlfn.TEXTJOIN(CHAR(10), TRUE, IF(tblPiNAnalysis[[#This Row],[3rd Highest PiN]]=tblPiNAnalysis[[#This Row],[CCCM]:[WASH]], tblPiNAnalysis[[#Headers],[CCCM]:[WASH]], "")))</f>
        <v>Education</v>
      </c>
      <c r="AW61" s="186">
        <f>IFERROR(tblPiNAnalysis[[#This Row],[3rd Highest PiN]]/tblPiNAnalysis[[#This Row],[Population]], "")</f>
        <v>0.10991434144686625</v>
      </c>
      <c r="AX61" s="44">
        <f>IFERROR(tblPiNAnalysis[[#This Row],[Highest PiN]]-tblPiNAnalysis[[#This Row],[3rd Highest PiN]],"")</f>
        <v>12781</v>
      </c>
      <c r="AY61" s="38">
        <f>IFERROR(tblPiNAnalysis[[#This Row],[Difference of PiN between Highest and 3rd Highest]]/tblPiNAnalysis[[#This Row],[3rd Highest PiN]], "")</f>
        <v>3.2872942386831276</v>
      </c>
      <c r="AZ61" s="325" t="str" cm="1">
        <f t="array" ref="AZ6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1" s="292" cm="1">
        <f t="array" ref="BA61">IFERROR(IF(tblPiNAnalysis[[#This Row],[ID]]="", "", INDEX(tblPiNHistorical[[CCCM]:[WASH]], MATCH(tblPiNAnalysis[[#This Row],[ID]],tblPiNHistorical[ID], 0),MATCH(_xlfn._xlws.FILTER(tblPiNAnalysis[[#Headers],[CCCM]:[WASH]], tblPiNAnalysis[[#This Row],[Highest PiN]]=tblPiNAnalysis[[#This Row],[CCCM]:[WASH]]), tblPiNHistorical[[#Headers],[CCCM]:[WASH]], 0))), "")</f>
        <v>0</v>
      </c>
      <c r="BB61" s="328" t="str" cm="1">
        <f t="array" ref="BB6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1" s="272" cm="1">
        <f t="array" ref="BC61">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61" s="329" t="str" cm="1">
        <f t="array" ref="BD6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1" s="371">
        <f>INDEX(tblSeverityAnalysis[Final Severity], MATCH(tblPiNAnalysis[[#This Row],[ID]],tblSeverityAnalysis[ID], 0))</f>
        <v>3</v>
      </c>
      <c r="BF61" s="60">
        <f>IF(tblPiNAnalysis[[#This Row],[Severity]]&gt;2,tblPiNAnalysis[[#This Row],[Highest PiN]],)</f>
        <v>16669</v>
      </c>
      <c r="BG61" s="187"/>
      <c r="BH61" s="188"/>
      <c r="BI61" s="189">
        <f>COUNTIFS(tblPiNAnalysis[[#This Row],[Number of missing / zero PiNs greater than threshold - Data quality]:[Manual Flag]],"Flagged")</f>
        <v>2</v>
      </c>
      <c r="BJ61" s="346" t="str">
        <f>IF(tblPiNAnalysis[[#This Row],['# Flags]]&gt;0, "Flagged", "")</f>
        <v>Flagged</v>
      </c>
      <c r="BK61" s="339">
        <f>tblPiNAnalysis[[#This Row],[Preliminary PiN]]</f>
        <v>16669</v>
      </c>
      <c r="BL61" s="326"/>
      <c r="BM61" s="383">
        <f>IF(OR(tblPiNAnalysis[[#This Row],[Severity]]=4,tblPiNAnalysis[[#This Row],[Severity]]=5),tblPiNAnalysis[[#This Row],[Final PiN]],0)</f>
        <v>0</v>
      </c>
      <c r="BN61" s="378">
        <f>IF(OR(tblPiNAnalysis[[#This Row],[Severity]]=4,tblPiNAnalysis[[#This Row],[Severity]]=5),100%, IF(tblPiNAnalysis[[#This Row],[Severity]]=3,50%,0%))*tblPiNAnalysis[[#This Row],[Final PiN]]</f>
        <v>8334.5</v>
      </c>
      <c r="BO61" s="383">
        <f>IF(OR(tblPiNAnalysis[[#This Row],[Severity]]=4,tblPiNAnalysis[[#This Row],[Severity]]=5),100%, IF(AND(tblPiNAnalysis[[#This Row],[Severity]]=3,VLOOKUP(tblPiNAnalysis[[#This Row],[ID]],tblSeverityAnalysis[[ID]:[Highest Severity]],35,FALSE)&gt;3),50%,0%))*tblPiNAnalysis[[#This Row],[Final PiN]]</f>
        <v>0</v>
      </c>
    </row>
    <row r="62" spans="1:67" hidden="1">
      <c r="A6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Global_PopulationHT0434</v>
      </c>
      <c r="B62" s="304" t="s">
        <v>259</v>
      </c>
      <c r="C62" s="213" t="s">
        <v>260</v>
      </c>
      <c r="D62" s="213" t="s">
        <v>279</v>
      </c>
      <c r="E62" s="103" t="s">
        <v>280</v>
      </c>
      <c r="F62" s="99"/>
      <c r="G62" s="34"/>
      <c r="H62" s="357"/>
      <c r="I62" s="354">
        <v>9005</v>
      </c>
      <c r="J62" s="221" t="s">
        <v>156</v>
      </c>
      <c r="K62" s="316">
        <v>825</v>
      </c>
      <c r="L62" s="308">
        <v>1023</v>
      </c>
      <c r="M62" s="308">
        <v>1071</v>
      </c>
      <c r="N62" s="308">
        <v>4240</v>
      </c>
      <c r="O62" s="308">
        <v>890.39296363636356</v>
      </c>
      <c r="P62" s="308">
        <v>301.64</v>
      </c>
      <c r="Q62" s="309">
        <v>0</v>
      </c>
      <c r="R62" s="308">
        <v>3782.1</v>
      </c>
      <c r="S62" s="308"/>
      <c r="T62" s="308"/>
      <c r="U62" s="308"/>
      <c r="V62" s="308"/>
      <c r="W62" s="317">
        <f>IFERROR(IF(tblPiNAnalysis[[#This Row],[CCCM]]="", "", MROUND(tblPiNAnalysis[[#This Row],[CCCM]]/tblPiNAnalysis[[#This Row],[Population]], 0.05)), "")</f>
        <v>0.1</v>
      </c>
      <c r="X62" s="318">
        <f>IFERROR(IF(tblPiNAnalysis[[#This Row],[Education]]="", "", MROUND(tblPiNAnalysis[[#This Row],[Education]]/tblPiNAnalysis[[#This Row],[Population]], 0.05)), "")</f>
        <v>0.1</v>
      </c>
      <c r="Y62" s="318">
        <f>IFERROR(IF(tblPiNAnalysis[[#This Row],[Nutrition]]="", "", MROUND(tblPiNAnalysis[[#This Row],[Nutrition]]/tblPiNAnalysis[[#This Row],[Population]], 0.05)), "")</f>
        <v>0.1</v>
      </c>
      <c r="Z62" s="318">
        <f>IFERROR(IF(tblPiNAnalysis[[#This Row],[Food Security]]="", "", MROUND(tblPiNAnalysis[[#This Row],[Food Security]]/tblPiNAnalysis[[#This Row],[Population]], 0.05)), "")</f>
        <v>0.45</v>
      </c>
      <c r="AA62" s="318">
        <f>IFERROR(IF(tblPiNAnalysis[[#This Row],[Health]]="", "", MROUND(tblPiNAnalysis[[#This Row],[Health]]/tblPiNAnalysis[[#This Row],[Population]], 0.05)), "")</f>
        <v>0.1</v>
      </c>
      <c r="AB62" s="319">
        <f>IFERROR(IF(tblPiNAnalysis[[#This Row],[Protection]]="", "", MROUND(tblPiNAnalysis[[#This Row],[Protection]]/tblPiNAnalysis[[#This Row],[Population]], 0.05)), "")</f>
        <v>0.05</v>
      </c>
      <c r="AC62" s="319">
        <f>IFERROR(IF(tblPiNAnalysis[[#This Row],[Shelter]]="", "", MROUND(tblPiNAnalysis[[#This Row],[Shelter]]/tblPiNAnalysis[[#This Row],[Population]], 0.05)), "")</f>
        <v>0</v>
      </c>
      <c r="AD62" s="320">
        <f>IFERROR(IF(tblPiNAnalysis[[#This Row],[WASH]]="", "", MROUND(tblPiNAnalysis[[#This Row],[WASH]]/tblPiNAnalysis[[#This Row],[Population]], 0.05)), "")</f>
        <v>0.4</v>
      </c>
      <c r="AE62" s="318">
        <f>IFERROR(MROUND(tblPiNAnalysis[[#This Row],[CP]]/tblPiNAnalysis[[#This Row],[Population]], 0.05), "")</f>
        <v>0</v>
      </c>
      <c r="AF62" s="318">
        <f>IFERROR(MROUND(tblPiNAnalysis[[#This Row],[GBV]]/tblPiNAnalysis[[#This Row],[Population]], 0.05), "")</f>
        <v>0</v>
      </c>
      <c r="AG62" s="318">
        <f>IFERROR(MROUND(tblPiNAnalysis[[#This Row],[Migrants]]/tblPiNAnalysis[[#This Row],[Population]], 0.05), "")</f>
        <v>0</v>
      </c>
      <c r="AH62" s="318">
        <f>IFERROR(MROUND(tblPiNAnalysis[[#This Row],[_]]/tblPiNAnalysis[[#This Row],[Population]], 0.05), "")</f>
        <v>0</v>
      </c>
      <c r="AI62" s="321">
        <f>IFERROR(LARGE(tblPiNAnalysis[[#This Row],[CCCM]:[WASH]], 1), "")</f>
        <v>4240</v>
      </c>
      <c r="AJ62" s="322" t="str" cm="1">
        <f t="array" ref="AJ62">IF(tblPiNAnalysis[[#This Row],[Highest PiN]]="", "", _xlfn.TEXTJOIN(CHAR(10), TRUE, IF(tblPiNAnalysis[[#This Row],[Highest PiN]]=tblPiNAnalysis[[#This Row],[CCCM]:[WASH]], tblPiNAnalysis[[#Headers],[CCCM]:[WASH]], "")))</f>
        <v>Food Security</v>
      </c>
      <c r="AK62" s="323">
        <f>IF(tblPiNAnalysis[[#This Row],[Highest PiN]]="", "", tblPiNAnalysis[[#This Row],[Highest PiN]]/tblPiNAnalysis[[#This Row],[Population]])</f>
        <v>0.47084952803997782</v>
      </c>
      <c r="AL62" s="265" t="str">
        <f>IF(SUM(tblPiNAnalysis[[#This Row],[CCCM]:[WASH]])=0, "",IF(COUNTIF(tblPiNAnalysis[[#This Row],[CCCM]:[WASH]],"=0")+COUNTIF(tblPiNAnalysis[[#This Row],[CCCM]:[WASH]],"")&gt;=zero_pin_thresh, "Flagged", ""))</f>
        <v/>
      </c>
      <c r="AM62" s="264" t="str">
        <f>IFERROR(IF(tblPiNAnalysis[[#This Row],[Highest PiN]]="", "", IF(tblPiNAnalysis[[#This Row],[Highest sector(s'') PiN %]]&gt;=flag_pin_perc, "Flagged", "")), "")</f>
        <v/>
      </c>
      <c r="AN62" s="266" t="str" cm="1">
        <f t="array" ref="AN62">IF(tblPiNAnalysis[[#This Row],[Highest PiN]]=0, "",  IF(OR(COUNTIF(tblPiNAnalysis[[#This Row],[Highest sector(s)]],tblSubSectorPopulation[Sector])), "Flagged", ""))</f>
        <v/>
      </c>
      <c r="AO62" s="45" cm="1">
        <f t="array" ref="AO6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3782.1</v>
      </c>
      <c r="AP62" s="326" t="str" cm="1">
        <f t="array" ref="AP62">IF(tblPiNAnalysis[[#This Row],[2nd Highest PiN]]="", "", _xlfn.TEXTJOIN(CHAR(10), TRUE, IF(tblPiNAnalysis[[#This Row],[2nd Highest PiN]]=tblPiNAnalysis[[#This Row],[CCCM]:[WASH]], tblPiNAnalysis[[#Headers],[CCCM]:[WASH]], "")))</f>
        <v>WASH</v>
      </c>
      <c r="AQ62" s="35">
        <f>IFERROR(tblPiNAnalysis[[#This Row],[2nd Highest PiN]]/tblPiNAnalysis[[#This Row],[Population]], "")</f>
        <v>0.42</v>
      </c>
      <c r="AR62" s="45">
        <f>IFERROR(tblPiNAnalysis[[#This Row],[Highest PiN]]-tblPiNAnalysis[[#This Row],[2nd Highest PiN]], "")</f>
        <v>457.90000000000009</v>
      </c>
      <c r="AS62" s="38">
        <f>IFERROR(((tblPiNAnalysis[[#This Row],[Highest PiN]]-tblPiNAnalysis[[#This Row],[2nd Highest PiN]])/tblPiNAnalysis[[#This Row],[2nd Highest PiN]]),"")</f>
        <v>0.12107030485709</v>
      </c>
      <c r="AT62" s="269" t="str" cm="1">
        <f t="array" ref="AT6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2" s="327" cm="1">
        <f t="array" ref="AU6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1071</v>
      </c>
      <c r="AV62" s="186" t="str" cm="1">
        <f t="array" ref="AV62">IF(tblPiNAnalysis[[#This Row],[3rd Highest PiN]]="", "", _xlfn.TEXTJOIN(CHAR(10), TRUE, IF(tblPiNAnalysis[[#This Row],[3rd Highest PiN]]=tblPiNAnalysis[[#This Row],[CCCM]:[WASH]], tblPiNAnalysis[[#Headers],[CCCM]:[WASH]], "")))</f>
        <v>Nutrition</v>
      </c>
      <c r="AW62" s="186">
        <f>IFERROR(tblPiNAnalysis[[#This Row],[3rd Highest PiN]]/tblPiNAnalysis[[#This Row],[Population]], "")</f>
        <v>0.11893392559689062</v>
      </c>
      <c r="AX62" s="44">
        <f>IFERROR(tblPiNAnalysis[[#This Row],[Highest PiN]]-tblPiNAnalysis[[#This Row],[3rd Highest PiN]],"")</f>
        <v>3169</v>
      </c>
      <c r="AY62" s="38">
        <f>IFERROR(tblPiNAnalysis[[#This Row],[Difference of PiN between Highest and 3rd Highest]]/tblPiNAnalysis[[#This Row],[3rd Highest PiN]], "")</f>
        <v>2.9589169000933708</v>
      </c>
      <c r="AZ62" s="325" t="str" cm="1">
        <f t="array" ref="AZ6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2" s="292" cm="1">
        <f t="array" ref="BA62">IFERROR(IF(tblPiNAnalysis[[#This Row],[ID]]="", "", INDEX(tblPiNHistorical[[CCCM]:[WASH]], MATCH(tblPiNAnalysis[[#This Row],[ID]],tblPiNHistorical[ID], 0),MATCH(_xlfn._xlws.FILTER(tblPiNAnalysis[[#Headers],[CCCM]:[WASH]], tblPiNAnalysis[[#This Row],[Highest PiN]]=tblPiNAnalysis[[#This Row],[CCCM]:[WASH]]), tblPiNHistorical[[#Headers],[CCCM]:[WASH]], 0))), "")</f>
        <v>0</v>
      </c>
      <c r="BB62" s="328" t="str" cm="1">
        <f t="array" ref="BB6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2" s="272" cm="1">
        <f t="array" ref="BC62">IFERROR(IF(tblPiNAnalysis[[#This Row],[ID]]="", "", INDEX(tblPiNHistorical[[CCCM]:[WASH]], MATCH(tblPiNAnalysis[[#This Row],[ID]],tblPiNHistorical[ID], 0),MATCH(_xlfn._xlws.FILTER(tblPiNAnalysis[[#Headers],[CCCM]:[WASH]], tblPiNAnalysis[[#This Row],[2nd Highest PiN]]=tblPiNAnalysis[[#This Row],[CCCM]:[WASH]]), tblPiNHistorical[[#Headers],[CCCM]:[WASH]], 0))), "")</f>
        <v>1.6</v>
      </c>
      <c r="BD62" s="329" t="str" cm="1">
        <f t="array" ref="BD6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62" s="371">
        <f>INDEX(tblSeverityAnalysis[Final Severity], MATCH(tblPiNAnalysis[[#This Row],[ID]],tblSeverityAnalysis[ID], 0))</f>
        <v>2</v>
      </c>
      <c r="BF62" s="60">
        <f>IF(tblPiNAnalysis[[#This Row],[Severity]]&gt;2,tblPiNAnalysis[[#This Row],[Highest PiN]],)</f>
        <v>0</v>
      </c>
      <c r="BG62" s="187"/>
      <c r="BH62" s="188"/>
      <c r="BI62" s="189">
        <f>COUNTIFS(tblPiNAnalysis[[#This Row],[Number of missing / zero PiNs greater than threshold - Data quality]:[Manual Flag]],"Flagged")</f>
        <v>2</v>
      </c>
      <c r="BJ62" s="346" t="str">
        <f>IF(tblPiNAnalysis[[#This Row],['# Flags]]&gt;0, "Flagged", "")</f>
        <v>Flagged</v>
      </c>
      <c r="BK62" s="339">
        <f>tblPiNAnalysis[[#This Row],[Preliminary PiN]]</f>
        <v>0</v>
      </c>
      <c r="BL62" s="326"/>
      <c r="BM62" s="383">
        <f>IF(OR(tblPiNAnalysis[[#This Row],[Severity]]=4,tblPiNAnalysis[[#This Row],[Severity]]=5),tblPiNAnalysis[[#This Row],[Final PiN]],0)</f>
        <v>0</v>
      </c>
      <c r="BN62" s="378">
        <f>IF(OR(tblPiNAnalysis[[#This Row],[Severity]]=4,tblPiNAnalysis[[#This Row],[Severity]]=5),100%, IF(tblPiNAnalysis[[#This Row],[Severity]]=3,50%,0%))*tblPiNAnalysis[[#This Row],[Final PiN]]</f>
        <v>0</v>
      </c>
      <c r="BO62" s="383">
        <f>IF(OR(tblPiNAnalysis[[#This Row],[Severity]]=4,tblPiNAnalysis[[#This Row],[Severity]]=5),100%, IF(AND(tblPiNAnalysis[[#This Row],[Severity]]=3,VLOOKUP(tblPiNAnalysis[[#This Row],[ID]],tblSeverityAnalysis[[ID]:[Highest Severity]],35,FALSE)&gt;3),50%,0%))*tblPiNAnalysis[[#This Row],[Final PiN]]</f>
        <v>0</v>
      </c>
    </row>
    <row r="63" spans="1:67" hidden="1">
      <c r="A6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Global_PopulationHT0441</v>
      </c>
      <c r="B63" s="304" t="s">
        <v>259</v>
      </c>
      <c r="C63" s="213" t="s">
        <v>260</v>
      </c>
      <c r="D63" s="213" t="s">
        <v>281</v>
      </c>
      <c r="E63" s="103" t="s">
        <v>282</v>
      </c>
      <c r="F63" s="99"/>
      <c r="G63" s="34"/>
      <c r="H63" s="357"/>
      <c r="I63" s="354">
        <v>27514</v>
      </c>
      <c r="J63" s="221" t="s">
        <v>156</v>
      </c>
      <c r="K63" s="316">
        <v>39</v>
      </c>
      <c r="L63" s="308">
        <v>2997</v>
      </c>
      <c r="M63" s="308">
        <v>2077</v>
      </c>
      <c r="N63" s="308">
        <v>40972</v>
      </c>
      <c r="O63" s="308">
        <v>213.76438461538461</v>
      </c>
      <c r="P63" s="308">
        <v>316.08999999999997</v>
      </c>
      <c r="Q63" s="309">
        <v>21047</v>
      </c>
      <c r="R63" s="308">
        <v>27514</v>
      </c>
      <c r="S63" s="308"/>
      <c r="T63" s="308"/>
      <c r="U63" s="308"/>
      <c r="V63" s="308"/>
      <c r="W63" s="317">
        <f>IFERROR(IF(tblPiNAnalysis[[#This Row],[CCCM]]="", "", MROUND(tblPiNAnalysis[[#This Row],[CCCM]]/tblPiNAnalysis[[#This Row],[Population]], 0.05)), "")</f>
        <v>0</v>
      </c>
      <c r="X63" s="318">
        <f>IFERROR(IF(tblPiNAnalysis[[#This Row],[Education]]="", "", MROUND(tblPiNAnalysis[[#This Row],[Education]]/tblPiNAnalysis[[#This Row],[Population]], 0.05)), "")</f>
        <v>0.1</v>
      </c>
      <c r="Y63" s="318">
        <f>IFERROR(IF(tblPiNAnalysis[[#This Row],[Nutrition]]="", "", MROUND(tblPiNAnalysis[[#This Row],[Nutrition]]/tblPiNAnalysis[[#This Row],[Population]], 0.05)), "")</f>
        <v>0.1</v>
      </c>
      <c r="Z63" s="318">
        <f>IFERROR(IF(tblPiNAnalysis[[#This Row],[Food Security]]="", "", MROUND(tblPiNAnalysis[[#This Row],[Food Security]]/tblPiNAnalysis[[#This Row],[Population]], 0.05)), "")</f>
        <v>1.5</v>
      </c>
      <c r="AA63" s="318">
        <f>IFERROR(IF(tblPiNAnalysis[[#This Row],[Health]]="", "", MROUND(tblPiNAnalysis[[#This Row],[Health]]/tblPiNAnalysis[[#This Row],[Population]], 0.05)), "")</f>
        <v>0</v>
      </c>
      <c r="AB63" s="319">
        <f>IFERROR(IF(tblPiNAnalysis[[#This Row],[Protection]]="", "", MROUND(tblPiNAnalysis[[#This Row],[Protection]]/tblPiNAnalysis[[#This Row],[Population]], 0.05)), "")</f>
        <v>0</v>
      </c>
      <c r="AC63" s="319">
        <f>IFERROR(IF(tblPiNAnalysis[[#This Row],[Shelter]]="", "", MROUND(tblPiNAnalysis[[#This Row],[Shelter]]/tblPiNAnalysis[[#This Row],[Population]], 0.05)), "")</f>
        <v>0.75</v>
      </c>
      <c r="AD63" s="320">
        <f>IFERROR(IF(tblPiNAnalysis[[#This Row],[WASH]]="", "", MROUND(tblPiNAnalysis[[#This Row],[WASH]]/tblPiNAnalysis[[#This Row],[Population]], 0.05)), "")</f>
        <v>1</v>
      </c>
      <c r="AE63" s="318">
        <f>IFERROR(MROUND(tblPiNAnalysis[[#This Row],[CP]]/tblPiNAnalysis[[#This Row],[Population]], 0.05), "")</f>
        <v>0</v>
      </c>
      <c r="AF63" s="318">
        <f>IFERROR(MROUND(tblPiNAnalysis[[#This Row],[GBV]]/tblPiNAnalysis[[#This Row],[Population]], 0.05), "")</f>
        <v>0</v>
      </c>
      <c r="AG63" s="318">
        <f>IFERROR(MROUND(tblPiNAnalysis[[#This Row],[Migrants]]/tblPiNAnalysis[[#This Row],[Population]], 0.05), "")</f>
        <v>0</v>
      </c>
      <c r="AH63" s="318">
        <f>IFERROR(MROUND(tblPiNAnalysis[[#This Row],[_]]/tblPiNAnalysis[[#This Row],[Population]], 0.05), "")</f>
        <v>0</v>
      </c>
      <c r="AI63" s="321">
        <f>IFERROR(LARGE(tblPiNAnalysis[[#This Row],[CCCM]:[WASH]], 1), "")</f>
        <v>40972</v>
      </c>
      <c r="AJ63" s="322" t="str" cm="1">
        <f t="array" ref="AJ63">IF(tblPiNAnalysis[[#This Row],[Highest PiN]]="", "", _xlfn.TEXTJOIN(CHAR(10), TRUE, IF(tblPiNAnalysis[[#This Row],[Highest PiN]]=tblPiNAnalysis[[#This Row],[CCCM]:[WASH]], tblPiNAnalysis[[#Headers],[CCCM]:[WASH]], "")))</f>
        <v>Food Security</v>
      </c>
      <c r="AK63" s="323">
        <f>IF(tblPiNAnalysis[[#This Row],[Highest PiN]]="", "", tblPiNAnalysis[[#This Row],[Highest PiN]]/tblPiNAnalysis[[#This Row],[Population]])</f>
        <v>1.4891328051173949</v>
      </c>
      <c r="AL63" s="265" t="str">
        <f>IF(SUM(tblPiNAnalysis[[#This Row],[CCCM]:[WASH]])=0, "",IF(COUNTIF(tblPiNAnalysis[[#This Row],[CCCM]:[WASH]],"=0")+COUNTIF(tblPiNAnalysis[[#This Row],[CCCM]:[WASH]],"")&gt;=zero_pin_thresh, "Flagged", ""))</f>
        <v/>
      </c>
      <c r="AM63" s="264" t="str">
        <f>IFERROR(IF(tblPiNAnalysis[[#This Row],[Highest PiN]]="", "", IF(tblPiNAnalysis[[#This Row],[Highest sector(s'') PiN %]]&gt;=flag_pin_perc, "Flagged", "")), "")</f>
        <v>Flagged</v>
      </c>
      <c r="AN63" s="266" t="str" cm="1">
        <f t="array" ref="AN63">IF(tblPiNAnalysis[[#This Row],[Highest PiN]]=0, "",  IF(OR(COUNTIF(tblPiNAnalysis[[#This Row],[Highest sector(s)]],tblSubSectorPopulation[Sector])), "Flagged", ""))</f>
        <v/>
      </c>
      <c r="AO63" s="45" cm="1">
        <f t="array" ref="AO6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27514</v>
      </c>
      <c r="AP63" s="326" t="str" cm="1">
        <f t="array" ref="AP63">IF(tblPiNAnalysis[[#This Row],[2nd Highest PiN]]="", "", _xlfn.TEXTJOIN(CHAR(10), TRUE, IF(tblPiNAnalysis[[#This Row],[2nd Highest PiN]]=tblPiNAnalysis[[#This Row],[CCCM]:[WASH]], tblPiNAnalysis[[#Headers],[CCCM]:[WASH]], "")))</f>
        <v>WASH</v>
      </c>
      <c r="AQ63" s="35">
        <f>IFERROR(tblPiNAnalysis[[#This Row],[2nd Highest PiN]]/tblPiNAnalysis[[#This Row],[Population]], "")</f>
        <v>1</v>
      </c>
      <c r="AR63" s="45">
        <f>IFERROR(tblPiNAnalysis[[#This Row],[Highest PiN]]-tblPiNAnalysis[[#This Row],[2nd Highest PiN]], "")</f>
        <v>13458</v>
      </c>
      <c r="AS63" s="38">
        <f>IFERROR(((tblPiNAnalysis[[#This Row],[Highest PiN]]-tblPiNAnalysis[[#This Row],[2nd Highest PiN]])/tblPiNAnalysis[[#This Row],[2nd Highest PiN]]),"")</f>
        <v>0.48913280511739476</v>
      </c>
      <c r="AT63" s="269" t="str" cm="1">
        <f t="array" ref="AT6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3" s="327" cm="1">
        <f t="array" ref="AU6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21047</v>
      </c>
      <c r="AV63" s="186" t="str" cm="1">
        <f t="array" ref="AV63">IF(tblPiNAnalysis[[#This Row],[3rd Highest PiN]]="", "", _xlfn.TEXTJOIN(CHAR(10), TRUE, IF(tblPiNAnalysis[[#This Row],[3rd Highest PiN]]=tblPiNAnalysis[[#This Row],[CCCM]:[WASH]], tblPiNAnalysis[[#Headers],[CCCM]:[WASH]], "")))</f>
        <v>Shelter</v>
      </c>
      <c r="AW63" s="186">
        <f>IFERROR(tblPiNAnalysis[[#This Row],[3rd Highest PiN]]/tblPiNAnalysis[[#This Row],[Population]], "")</f>
        <v>0.76495602238860216</v>
      </c>
      <c r="AX63" s="44">
        <f>IFERROR(tblPiNAnalysis[[#This Row],[Highest PiN]]-tblPiNAnalysis[[#This Row],[3rd Highest PiN]],"")</f>
        <v>19925</v>
      </c>
      <c r="AY63" s="38">
        <f>IFERROR(tblPiNAnalysis[[#This Row],[Difference of PiN between Highest and 3rd Highest]]/tblPiNAnalysis[[#This Row],[3rd Highest PiN]], "")</f>
        <v>0.9466907397728892</v>
      </c>
      <c r="AZ63" s="325" t="str" cm="1">
        <f t="array" ref="AZ6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3" s="292" cm="1">
        <f t="array" ref="BA63">IFERROR(IF(tblPiNAnalysis[[#This Row],[ID]]="", "", INDEX(tblPiNHistorical[[CCCM]:[WASH]], MATCH(tblPiNAnalysis[[#This Row],[ID]],tblPiNHistorical[ID], 0),MATCH(_xlfn._xlws.FILTER(tblPiNAnalysis[[#Headers],[CCCM]:[WASH]], tblPiNAnalysis[[#This Row],[Highest PiN]]=tblPiNAnalysis[[#This Row],[CCCM]:[WASH]]), tblPiNHistorical[[#Headers],[CCCM]:[WASH]], 0))), "")</f>
        <v>-0.1</v>
      </c>
      <c r="BB63" s="328" t="str" cm="1">
        <f t="array" ref="BB6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3" s="272" cm="1">
        <f t="array" ref="BC63">IFERROR(IF(tblPiNAnalysis[[#This Row],[ID]]="", "", INDEX(tblPiNHistorical[[CCCM]:[WASH]], MATCH(tblPiNAnalysis[[#This Row],[ID]],tblPiNHistorical[ID], 0),MATCH(_xlfn._xlws.FILTER(tblPiNAnalysis[[#Headers],[CCCM]:[WASH]], tblPiNAnalysis[[#This Row],[2nd Highest PiN]]=tblPiNAnalysis[[#This Row],[CCCM]:[WASH]]), tblPiNHistorical[[#Headers],[CCCM]:[WASH]], 0))), "")</f>
        <v>4.2</v>
      </c>
      <c r="BD63" s="329" t="str" cm="1">
        <f t="array" ref="BD6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63" s="371">
        <f>INDEX(tblSeverityAnalysis[Final Severity], MATCH(tblPiNAnalysis[[#This Row],[ID]],tblSeverityAnalysis[ID], 0))</f>
        <v>3</v>
      </c>
      <c r="BF63" s="60">
        <f>IF(tblPiNAnalysis[[#This Row],[Severity]]&gt;2,tblPiNAnalysis[[#This Row],[Highest PiN]],)</f>
        <v>40972</v>
      </c>
      <c r="BG63" s="187"/>
      <c r="BH63" s="188"/>
      <c r="BI63" s="189">
        <f>COUNTIFS(tblPiNAnalysis[[#This Row],[Number of missing / zero PiNs greater than threshold - Data quality]:[Manual Flag]],"Flagged")</f>
        <v>3</v>
      </c>
      <c r="BJ63" s="346" t="str">
        <f>IF(tblPiNAnalysis[[#This Row],['# Flags]]&gt;0, "Flagged", "")</f>
        <v>Flagged</v>
      </c>
      <c r="BK63" s="308">
        <v>27514</v>
      </c>
      <c r="BL63" s="326" t="s">
        <v>157</v>
      </c>
      <c r="BM63" s="383">
        <f>IF(OR(tblPiNAnalysis[[#This Row],[Severity]]=4,tblPiNAnalysis[[#This Row],[Severity]]=5),tblPiNAnalysis[[#This Row],[Final PiN]],0)</f>
        <v>0</v>
      </c>
      <c r="BN63" s="378">
        <f>IF(OR(tblPiNAnalysis[[#This Row],[Severity]]=4,tblPiNAnalysis[[#This Row],[Severity]]=5),100%, IF(tblPiNAnalysis[[#This Row],[Severity]]=3,50%,0%))*tblPiNAnalysis[[#This Row],[Final PiN]]</f>
        <v>13757</v>
      </c>
      <c r="BO63" s="383">
        <f>IF(OR(tblPiNAnalysis[[#This Row],[Severity]]=4,tblPiNAnalysis[[#This Row],[Severity]]=5),100%, IF(AND(tblPiNAnalysis[[#This Row],[Severity]]=3,VLOOKUP(tblPiNAnalysis[[#This Row],[ID]],tblSeverityAnalysis[[ID]:[Highest Severity]],35,FALSE)&gt;3),50%,0%))*tblPiNAnalysis[[#This Row],[Final PiN]]</f>
        <v>0</v>
      </c>
    </row>
    <row r="64" spans="1:67" hidden="1">
      <c r="A6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Global_PopulationHT0442</v>
      </c>
      <c r="B64" s="304" t="s">
        <v>259</v>
      </c>
      <c r="C64" s="213" t="s">
        <v>260</v>
      </c>
      <c r="D64" s="213" t="s">
        <v>283</v>
      </c>
      <c r="E64" s="103" t="s">
        <v>284</v>
      </c>
      <c r="F64" s="99"/>
      <c r="G64" s="34"/>
      <c r="H64" s="357"/>
      <c r="I64" s="354">
        <v>15825</v>
      </c>
      <c r="J64" s="221" t="s">
        <v>156</v>
      </c>
      <c r="K64" s="316">
        <v>183</v>
      </c>
      <c r="L64" s="308">
        <v>1892</v>
      </c>
      <c r="M64" s="308">
        <v>1587</v>
      </c>
      <c r="N64" s="308">
        <v>7484</v>
      </c>
      <c r="O64" s="308">
        <v>378.8779344262295</v>
      </c>
      <c r="P64" s="308">
        <v>553.06000000000006</v>
      </c>
      <c r="Q64" s="309">
        <v>7595</v>
      </c>
      <c r="R64" s="308">
        <v>6330</v>
      </c>
      <c r="S64" s="308"/>
      <c r="T64" s="308"/>
      <c r="U64" s="308"/>
      <c r="V64" s="308"/>
      <c r="W64" s="317">
        <f>IFERROR(IF(tblPiNAnalysis[[#This Row],[CCCM]]="", "", MROUND(tblPiNAnalysis[[#This Row],[CCCM]]/tblPiNAnalysis[[#This Row],[Population]], 0.05)), "")</f>
        <v>0</v>
      </c>
      <c r="X64" s="318">
        <f>IFERROR(IF(tblPiNAnalysis[[#This Row],[Education]]="", "", MROUND(tblPiNAnalysis[[#This Row],[Education]]/tblPiNAnalysis[[#This Row],[Population]], 0.05)), "")</f>
        <v>0.1</v>
      </c>
      <c r="Y64" s="318">
        <f>IFERROR(IF(tblPiNAnalysis[[#This Row],[Nutrition]]="", "", MROUND(tblPiNAnalysis[[#This Row],[Nutrition]]/tblPiNAnalysis[[#This Row],[Population]], 0.05)), "")</f>
        <v>0.1</v>
      </c>
      <c r="Z64" s="318">
        <f>IFERROR(IF(tblPiNAnalysis[[#This Row],[Food Security]]="", "", MROUND(tblPiNAnalysis[[#This Row],[Food Security]]/tblPiNAnalysis[[#This Row],[Population]], 0.05)), "")</f>
        <v>0.45</v>
      </c>
      <c r="AA64" s="318">
        <f>IFERROR(IF(tblPiNAnalysis[[#This Row],[Health]]="", "", MROUND(tblPiNAnalysis[[#This Row],[Health]]/tblPiNAnalysis[[#This Row],[Population]], 0.05)), "")</f>
        <v>0</v>
      </c>
      <c r="AB64" s="319">
        <f>IFERROR(IF(tblPiNAnalysis[[#This Row],[Protection]]="", "", MROUND(tblPiNAnalysis[[#This Row],[Protection]]/tblPiNAnalysis[[#This Row],[Population]], 0.05)), "")</f>
        <v>0.05</v>
      </c>
      <c r="AC64" s="319">
        <f>IFERROR(IF(tblPiNAnalysis[[#This Row],[Shelter]]="", "", MROUND(tblPiNAnalysis[[#This Row],[Shelter]]/tblPiNAnalysis[[#This Row],[Population]], 0.05)), "")</f>
        <v>0.5</v>
      </c>
      <c r="AD64" s="320">
        <f>IFERROR(IF(tblPiNAnalysis[[#This Row],[WASH]]="", "", MROUND(tblPiNAnalysis[[#This Row],[WASH]]/tblPiNAnalysis[[#This Row],[Population]], 0.05)), "")</f>
        <v>0.4</v>
      </c>
      <c r="AE64" s="318">
        <f>IFERROR(MROUND(tblPiNAnalysis[[#This Row],[CP]]/tblPiNAnalysis[[#This Row],[Population]], 0.05), "")</f>
        <v>0</v>
      </c>
      <c r="AF64" s="318">
        <f>IFERROR(MROUND(tblPiNAnalysis[[#This Row],[GBV]]/tblPiNAnalysis[[#This Row],[Population]], 0.05), "")</f>
        <v>0</v>
      </c>
      <c r="AG64" s="318">
        <f>IFERROR(MROUND(tblPiNAnalysis[[#This Row],[Migrants]]/tblPiNAnalysis[[#This Row],[Population]], 0.05), "")</f>
        <v>0</v>
      </c>
      <c r="AH64" s="318">
        <f>IFERROR(MROUND(tblPiNAnalysis[[#This Row],[_]]/tblPiNAnalysis[[#This Row],[Population]], 0.05), "")</f>
        <v>0</v>
      </c>
      <c r="AI64" s="321">
        <f>IFERROR(LARGE(tblPiNAnalysis[[#This Row],[CCCM]:[WASH]], 1), "")</f>
        <v>7595</v>
      </c>
      <c r="AJ64" s="322" t="str" cm="1">
        <f t="array" ref="AJ64">IF(tblPiNAnalysis[[#This Row],[Highest PiN]]="", "", _xlfn.TEXTJOIN(CHAR(10), TRUE, IF(tblPiNAnalysis[[#This Row],[Highest PiN]]=tblPiNAnalysis[[#This Row],[CCCM]:[WASH]], tblPiNAnalysis[[#Headers],[CCCM]:[WASH]], "")))</f>
        <v>Shelter</v>
      </c>
      <c r="AK64" s="323">
        <f>IF(tblPiNAnalysis[[#This Row],[Highest PiN]]="", "", tblPiNAnalysis[[#This Row],[Highest PiN]]/tblPiNAnalysis[[#This Row],[Population]])</f>
        <v>0.47993680884676143</v>
      </c>
      <c r="AL64" s="265" t="str">
        <f>IF(SUM(tblPiNAnalysis[[#This Row],[CCCM]:[WASH]])=0, "",IF(COUNTIF(tblPiNAnalysis[[#This Row],[CCCM]:[WASH]],"=0")+COUNTIF(tblPiNAnalysis[[#This Row],[CCCM]:[WASH]],"")&gt;=zero_pin_thresh, "Flagged", ""))</f>
        <v/>
      </c>
      <c r="AM64" s="264" t="str">
        <f>IFERROR(IF(tblPiNAnalysis[[#This Row],[Highest PiN]]="", "", IF(tblPiNAnalysis[[#This Row],[Highest sector(s'') PiN %]]&gt;=flag_pin_perc, "Flagged", "")), "")</f>
        <v/>
      </c>
      <c r="AN64" s="266" t="str" cm="1">
        <f t="array" ref="AN64">IF(tblPiNAnalysis[[#This Row],[Highest PiN]]=0, "",  IF(OR(COUNTIF(tblPiNAnalysis[[#This Row],[Highest sector(s)]],tblSubSectorPopulation[Sector])), "Flagged", ""))</f>
        <v/>
      </c>
      <c r="AO64" s="45" cm="1">
        <f t="array" ref="AO6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7484</v>
      </c>
      <c r="AP64" s="326" t="str" cm="1">
        <f t="array" ref="AP64">IF(tblPiNAnalysis[[#This Row],[2nd Highest PiN]]="", "", _xlfn.TEXTJOIN(CHAR(10), TRUE, IF(tblPiNAnalysis[[#This Row],[2nd Highest PiN]]=tblPiNAnalysis[[#This Row],[CCCM]:[WASH]], tblPiNAnalysis[[#Headers],[CCCM]:[WASH]], "")))</f>
        <v>Food Security</v>
      </c>
      <c r="AQ64" s="35">
        <f>IFERROR(tblPiNAnalysis[[#This Row],[2nd Highest PiN]]/tblPiNAnalysis[[#This Row],[Population]], "")</f>
        <v>0.47292259083728277</v>
      </c>
      <c r="AR64" s="45">
        <f>IFERROR(tblPiNAnalysis[[#This Row],[Highest PiN]]-tblPiNAnalysis[[#This Row],[2nd Highest PiN]], "")</f>
        <v>111</v>
      </c>
      <c r="AS64" s="38">
        <f>IFERROR(((tblPiNAnalysis[[#This Row],[Highest PiN]]-tblPiNAnalysis[[#This Row],[2nd Highest PiN]])/tblPiNAnalysis[[#This Row],[2nd Highest PiN]]),"")</f>
        <v>1.4831640833778728E-2</v>
      </c>
      <c r="AT64" s="269" t="str" cm="1">
        <f t="array" ref="AT6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4" s="327" cm="1">
        <f t="array" ref="AU6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6330</v>
      </c>
      <c r="AV64" s="186" t="str" cm="1">
        <f t="array" ref="AV64">IF(tblPiNAnalysis[[#This Row],[3rd Highest PiN]]="", "", _xlfn.TEXTJOIN(CHAR(10), TRUE, IF(tblPiNAnalysis[[#This Row],[3rd Highest PiN]]=tblPiNAnalysis[[#This Row],[CCCM]:[WASH]], tblPiNAnalysis[[#Headers],[CCCM]:[WASH]], "")))</f>
        <v>WASH</v>
      </c>
      <c r="AW64" s="186">
        <f>IFERROR(tblPiNAnalysis[[#This Row],[3rd Highest PiN]]/tblPiNAnalysis[[#This Row],[Population]], "")</f>
        <v>0.4</v>
      </c>
      <c r="AX64" s="44">
        <f>IFERROR(tblPiNAnalysis[[#This Row],[Highest PiN]]-tblPiNAnalysis[[#This Row],[3rd Highest PiN]],"")</f>
        <v>1265</v>
      </c>
      <c r="AY64" s="38">
        <f>IFERROR(tblPiNAnalysis[[#This Row],[Difference of PiN between Highest and 3rd Highest]]/tblPiNAnalysis[[#This Row],[3rd Highest PiN]], "")</f>
        <v>0.19984202211690363</v>
      </c>
      <c r="AZ64" s="325" t="str" cm="1">
        <f t="array" ref="AZ6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4" s="292" cm="1">
        <f t="array" ref="BA64">IFERROR(IF(tblPiNAnalysis[[#This Row],[ID]]="", "", INDEX(tblPiNHistorical[[CCCM]:[WASH]], MATCH(tblPiNAnalysis[[#This Row],[ID]],tblPiNHistorical[ID], 0),MATCH(_xlfn._xlws.FILTER(tblPiNAnalysis[[#Headers],[CCCM]:[WASH]], tblPiNAnalysis[[#This Row],[Highest PiN]]=tblPiNAnalysis[[#This Row],[CCCM]:[WASH]]), tblPiNHistorical[[#Headers],[CCCM]:[WASH]], 0))), "")</f>
        <v>0.3</v>
      </c>
      <c r="BB64" s="328" t="str" cm="1">
        <f t="array" ref="BB6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4" s="272" cm="1">
        <f t="array" ref="BC6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64" s="329" t="str" cm="1">
        <f t="array" ref="BD6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4" s="371">
        <f>INDEX(tblSeverityAnalysis[Final Severity], MATCH(tblPiNAnalysis[[#This Row],[ID]],tblSeverityAnalysis[ID], 0))</f>
        <v>3</v>
      </c>
      <c r="BF64" s="60">
        <f>IF(tblPiNAnalysis[[#This Row],[Severity]]&gt;2,tblPiNAnalysis[[#This Row],[Highest PiN]],)</f>
        <v>7595</v>
      </c>
      <c r="BG64" s="187"/>
      <c r="BH64" s="188"/>
      <c r="BI64" s="189">
        <f>COUNTIFS(tblPiNAnalysis[[#This Row],[Number of missing / zero PiNs greater than threshold - Data quality]:[Manual Flag]],"Flagged")</f>
        <v>0</v>
      </c>
      <c r="BJ64" s="346" t="str">
        <f>IF(tblPiNAnalysis[[#This Row],['# Flags]]&gt;0, "Flagged", "")</f>
        <v/>
      </c>
      <c r="BK64" s="339">
        <f>tblPiNAnalysis[[#This Row],[Preliminary PiN]]</f>
        <v>7595</v>
      </c>
      <c r="BL64" s="326"/>
      <c r="BM64" s="383">
        <f>IF(OR(tblPiNAnalysis[[#This Row],[Severity]]=4,tblPiNAnalysis[[#This Row],[Severity]]=5),tblPiNAnalysis[[#This Row],[Final PiN]],0)</f>
        <v>0</v>
      </c>
      <c r="BN64" s="378">
        <f>IF(OR(tblPiNAnalysis[[#This Row],[Severity]]=4,tblPiNAnalysis[[#This Row],[Severity]]=5),100%, IF(tblPiNAnalysis[[#This Row],[Severity]]=3,50%,0%))*tblPiNAnalysis[[#This Row],[Final PiN]]</f>
        <v>3797.5</v>
      </c>
      <c r="BO64" s="383">
        <f>IF(OR(tblPiNAnalysis[[#This Row],[Severity]]=4,tblPiNAnalysis[[#This Row],[Severity]]=5),100%, IF(AND(tblPiNAnalysis[[#This Row],[Severity]]=3,VLOOKUP(tblPiNAnalysis[[#This Row],[ID]],tblSeverityAnalysis[[ID]:[Highest Severity]],35,FALSE)&gt;3),50%,0%))*tblPiNAnalysis[[#This Row],[Final PiN]]</f>
        <v>0</v>
      </c>
    </row>
    <row r="65" spans="1:67" hidden="1">
      <c r="A6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Global_PopulationHT0443</v>
      </c>
      <c r="B65" s="304" t="s">
        <v>259</v>
      </c>
      <c r="C65" s="213" t="s">
        <v>260</v>
      </c>
      <c r="D65" s="213" t="s">
        <v>285</v>
      </c>
      <c r="E65" s="103" t="s">
        <v>286</v>
      </c>
      <c r="F65" s="99"/>
      <c r="G65" s="34"/>
      <c r="H65" s="357"/>
      <c r="I65" s="354">
        <v>40343</v>
      </c>
      <c r="J65" s="221" t="s">
        <v>156</v>
      </c>
      <c r="K65" s="316">
        <v>271.5</v>
      </c>
      <c r="L65" s="308">
        <v>4735</v>
      </c>
      <c r="M65" s="308">
        <v>3312</v>
      </c>
      <c r="N65" s="308">
        <v>19074</v>
      </c>
      <c r="O65" s="308">
        <v>648.80215801104976</v>
      </c>
      <c r="P65" s="308">
        <v>843.84833333333336</v>
      </c>
      <c r="Q65" s="309">
        <v>17695</v>
      </c>
      <c r="R65" s="308">
        <v>16809.583333333336</v>
      </c>
      <c r="S65" s="308"/>
      <c r="T65" s="308"/>
      <c r="U65" s="308"/>
      <c r="V65" s="308"/>
      <c r="W65" s="317">
        <f>IFERROR(IF(tblPiNAnalysis[[#This Row],[CCCM]]="", "", MROUND(tblPiNAnalysis[[#This Row],[CCCM]]/tblPiNAnalysis[[#This Row],[Population]], 0.05)), "")</f>
        <v>0</v>
      </c>
      <c r="X65" s="318">
        <f>IFERROR(IF(tblPiNAnalysis[[#This Row],[Education]]="", "", MROUND(tblPiNAnalysis[[#This Row],[Education]]/tblPiNAnalysis[[#This Row],[Population]], 0.05)), "")</f>
        <v>0.1</v>
      </c>
      <c r="Y65" s="318">
        <f>IFERROR(IF(tblPiNAnalysis[[#This Row],[Nutrition]]="", "", MROUND(tblPiNAnalysis[[#This Row],[Nutrition]]/tblPiNAnalysis[[#This Row],[Population]], 0.05)), "")</f>
        <v>0.1</v>
      </c>
      <c r="Z65" s="318">
        <f>IFERROR(IF(tblPiNAnalysis[[#This Row],[Food Security]]="", "", MROUND(tblPiNAnalysis[[#This Row],[Food Security]]/tblPiNAnalysis[[#This Row],[Population]], 0.05)), "")</f>
        <v>0.45</v>
      </c>
      <c r="AA65" s="318">
        <f>IFERROR(IF(tblPiNAnalysis[[#This Row],[Health]]="", "", MROUND(tblPiNAnalysis[[#This Row],[Health]]/tblPiNAnalysis[[#This Row],[Population]], 0.05)), "")</f>
        <v>0</v>
      </c>
      <c r="AB65" s="319">
        <f>IFERROR(IF(tblPiNAnalysis[[#This Row],[Protection]]="", "", MROUND(tblPiNAnalysis[[#This Row],[Protection]]/tblPiNAnalysis[[#This Row],[Population]], 0.05)), "")</f>
        <v>0</v>
      </c>
      <c r="AC65" s="319">
        <f>IFERROR(IF(tblPiNAnalysis[[#This Row],[Shelter]]="", "", MROUND(tblPiNAnalysis[[#This Row],[Shelter]]/tblPiNAnalysis[[#This Row],[Population]], 0.05)), "")</f>
        <v>0.45</v>
      </c>
      <c r="AD65" s="320">
        <f>IFERROR(IF(tblPiNAnalysis[[#This Row],[WASH]]="", "", MROUND(tblPiNAnalysis[[#This Row],[WASH]]/tblPiNAnalysis[[#This Row],[Population]], 0.05)), "")</f>
        <v>0.4</v>
      </c>
      <c r="AE65" s="318">
        <f>IFERROR(MROUND(tblPiNAnalysis[[#This Row],[CP]]/tblPiNAnalysis[[#This Row],[Population]], 0.05), "")</f>
        <v>0</v>
      </c>
      <c r="AF65" s="318">
        <f>IFERROR(MROUND(tblPiNAnalysis[[#This Row],[GBV]]/tblPiNAnalysis[[#This Row],[Population]], 0.05), "")</f>
        <v>0</v>
      </c>
      <c r="AG65" s="318">
        <f>IFERROR(MROUND(tblPiNAnalysis[[#This Row],[Migrants]]/tblPiNAnalysis[[#This Row],[Population]], 0.05), "")</f>
        <v>0</v>
      </c>
      <c r="AH65" s="318">
        <f>IFERROR(MROUND(tblPiNAnalysis[[#This Row],[_]]/tblPiNAnalysis[[#This Row],[Population]], 0.05), "")</f>
        <v>0</v>
      </c>
      <c r="AI65" s="321">
        <f>IFERROR(LARGE(tblPiNAnalysis[[#This Row],[CCCM]:[WASH]], 1), "")</f>
        <v>19074</v>
      </c>
      <c r="AJ65" s="322" t="str" cm="1">
        <f t="array" ref="AJ65">IF(tblPiNAnalysis[[#This Row],[Highest PiN]]="", "", _xlfn.TEXTJOIN(CHAR(10), TRUE, IF(tblPiNAnalysis[[#This Row],[Highest PiN]]=tblPiNAnalysis[[#This Row],[CCCM]:[WASH]], tblPiNAnalysis[[#Headers],[CCCM]:[WASH]], "")))</f>
        <v>Food Security</v>
      </c>
      <c r="AK65" s="323">
        <f>IF(tblPiNAnalysis[[#This Row],[Highest PiN]]="", "", tblPiNAnalysis[[#This Row],[Highest PiN]]/tblPiNAnalysis[[#This Row],[Population]])</f>
        <v>0.47279577621892271</v>
      </c>
      <c r="AL65" s="265" t="str">
        <f>IF(SUM(tblPiNAnalysis[[#This Row],[CCCM]:[WASH]])=0, "",IF(COUNTIF(tblPiNAnalysis[[#This Row],[CCCM]:[WASH]],"=0")+COUNTIF(tblPiNAnalysis[[#This Row],[CCCM]:[WASH]],"")&gt;=zero_pin_thresh, "Flagged", ""))</f>
        <v/>
      </c>
      <c r="AM65" s="264" t="str">
        <f>IFERROR(IF(tblPiNAnalysis[[#This Row],[Highest PiN]]="", "", IF(tblPiNAnalysis[[#This Row],[Highest sector(s'') PiN %]]&gt;=flag_pin_perc, "Flagged", "")), "")</f>
        <v/>
      </c>
      <c r="AN65" s="266" t="str" cm="1">
        <f t="array" ref="AN65">IF(tblPiNAnalysis[[#This Row],[Highest PiN]]=0, "",  IF(OR(COUNTIF(tblPiNAnalysis[[#This Row],[Highest sector(s)]],tblSubSectorPopulation[Sector])), "Flagged", ""))</f>
        <v/>
      </c>
      <c r="AO65" s="45" cm="1">
        <f t="array" ref="AO6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17695</v>
      </c>
      <c r="AP65" s="326" t="str" cm="1">
        <f t="array" ref="AP65">IF(tblPiNAnalysis[[#This Row],[2nd Highest PiN]]="", "", _xlfn.TEXTJOIN(CHAR(10), TRUE, IF(tblPiNAnalysis[[#This Row],[2nd Highest PiN]]=tblPiNAnalysis[[#This Row],[CCCM]:[WASH]], tblPiNAnalysis[[#Headers],[CCCM]:[WASH]], "")))</f>
        <v>Shelter</v>
      </c>
      <c r="AQ65" s="35">
        <f>IFERROR(tblPiNAnalysis[[#This Row],[2nd Highest PiN]]/tblPiNAnalysis[[#This Row],[Population]], "")</f>
        <v>0.43861388592816597</v>
      </c>
      <c r="AR65" s="45">
        <f>IFERROR(tblPiNAnalysis[[#This Row],[Highest PiN]]-tblPiNAnalysis[[#This Row],[2nd Highest PiN]], "")</f>
        <v>1379</v>
      </c>
      <c r="AS65" s="38">
        <f>IFERROR(((tblPiNAnalysis[[#This Row],[Highest PiN]]-tblPiNAnalysis[[#This Row],[2nd Highest PiN]])/tblPiNAnalysis[[#This Row],[2nd Highest PiN]]),"")</f>
        <v>7.7931619101441085E-2</v>
      </c>
      <c r="AT65" s="269" t="str" cm="1">
        <f t="array" ref="AT6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5" s="327" cm="1">
        <f t="array" ref="AU6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16809.583333333336</v>
      </c>
      <c r="AV65" s="186" t="str" cm="1">
        <f t="array" ref="AV65">IF(tblPiNAnalysis[[#This Row],[3rd Highest PiN]]="", "", _xlfn.TEXTJOIN(CHAR(10), TRUE, IF(tblPiNAnalysis[[#This Row],[3rd Highest PiN]]=tblPiNAnalysis[[#This Row],[CCCM]:[WASH]], tblPiNAnalysis[[#Headers],[CCCM]:[WASH]], "")))</f>
        <v>WASH</v>
      </c>
      <c r="AW65" s="186">
        <f>IFERROR(tblPiNAnalysis[[#This Row],[3rd Highest PiN]]/tblPiNAnalysis[[#This Row],[Population]], "")</f>
        <v>0.41666666666666674</v>
      </c>
      <c r="AX65" s="44">
        <f>IFERROR(tblPiNAnalysis[[#This Row],[Highest PiN]]-tblPiNAnalysis[[#This Row],[3rd Highest PiN]],"")</f>
        <v>2264.4166666666642</v>
      </c>
      <c r="AY65" s="38">
        <f>IFERROR(tblPiNAnalysis[[#This Row],[Difference of PiN between Highest and 3rd Highest]]/tblPiNAnalysis[[#This Row],[3rd Highest PiN]], "")</f>
        <v>0.1347098629254144</v>
      </c>
      <c r="AZ65" s="325" t="str" cm="1">
        <f t="array" ref="AZ6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5" s="292" cm="1">
        <f t="array" ref="BA65">IFERROR(IF(tblPiNAnalysis[[#This Row],[ID]]="", "", INDEX(tblPiNHistorical[[CCCM]:[WASH]], MATCH(tblPiNAnalysis[[#This Row],[ID]],tblPiNHistorical[ID], 0),MATCH(_xlfn._xlws.FILTER(tblPiNAnalysis[[#Headers],[CCCM]:[WASH]], tblPiNAnalysis[[#This Row],[Highest PiN]]=tblPiNAnalysis[[#This Row],[CCCM]:[WASH]]), tblPiNHistorical[[#Headers],[CCCM]:[WASH]], 0))), "")</f>
        <v>0</v>
      </c>
      <c r="BB65" s="328" t="str" cm="1">
        <f t="array" ref="BB6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5" s="272" cm="1">
        <f t="array" ref="BC65">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65" s="329" t="str" cm="1">
        <f t="array" ref="BD6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5" s="371">
        <f>INDEX(tblSeverityAnalysis[Final Severity], MATCH(tblPiNAnalysis[[#This Row],[ID]],tblSeverityAnalysis[ID], 0))</f>
        <v>3</v>
      </c>
      <c r="BF65" s="60">
        <f>IF(tblPiNAnalysis[[#This Row],[Severity]]&gt;2,tblPiNAnalysis[[#This Row],[Highest PiN]],)</f>
        <v>19074</v>
      </c>
      <c r="BG65" s="187"/>
      <c r="BH65" s="188"/>
      <c r="BI65" s="189">
        <f>COUNTIFS(tblPiNAnalysis[[#This Row],[Number of missing / zero PiNs greater than threshold - Data quality]:[Manual Flag]],"Flagged")</f>
        <v>0</v>
      </c>
      <c r="BJ65" s="346" t="str">
        <f>IF(tblPiNAnalysis[[#This Row],['# Flags]]&gt;0, "Flagged", "")</f>
        <v/>
      </c>
      <c r="BK65" s="339">
        <f>tblPiNAnalysis[[#This Row],[Preliminary PiN]]</f>
        <v>19074</v>
      </c>
      <c r="BL65" s="326"/>
      <c r="BM65" s="383">
        <f>IF(OR(tblPiNAnalysis[[#This Row],[Severity]]=4,tblPiNAnalysis[[#This Row],[Severity]]=5),tblPiNAnalysis[[#This Row],[Final PiN]],0)</f>
        <v>0</v>
      </c>
      <c r="BN65" s="378">
        <f>IF(OR(tblPiNAnalysis[[#This Row],[Severity]]=4,tblPiNAnalysis[[#This Row],[Severity]]=5),100%, IF(tblPiNAnalysis[[#This Row],[Severity]]=3,50%,0%))*tblPiNAnalysis[[#This Row],[Final PiN]]</f>
        <v>9537</v>
      </c>
      <c r="BO65" s="383">
        <f>IF(OR(tblPiNAnalysis[[#This Row],[Severity]]=4,tblPiNAnalysis[[#This Row],[Severity]]=5),100%, IF(AND(tblPiNAnalysis[[#This Row],[Severity]]=3,VLOOKUP(tblPiNAnalysis[[#This Row],[ID]],tblSeverityAnalysis[[ID]:[Highest Severity]],35,FALSE)&gt;3),50%,0%))*tblPiNAnalysis[[#This Row],[Final PiN]]</f>
        <v>0</v>
      </c>
    </row>
    <row r="66" spans="1:67" hidden="1">
      <c r="A6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Global_PopulationHT0511</v>
      </c>
      <c r="B66" s="304" t="s">
        <v>287</v>
      </c>
      <c r="C66" s="213" t="s">
        <v>288</v>
      </c>
      <c r="D66" s="213" t="s">
        <v>289</v>
      </c>
      <c r="E66" s="103" t="s">
        <v>290</v>
      </c>
      <c r="F66" s="99"/>
      <c r="G66" s="34"/>
      <c r="H66" s="357"/>
      <c r="I66" s="354">
        <v>366051</v>
      </c>
      <c r="J66" s="221" t="s">
        <v>156</v>
      </c>
      <c r="K66" s="316">
        <v>13219.5</v>
      </c>
      <c r="L66" s="308">
        <v>64224</v>
      </c>
      <c r="M66" s="308">
        <v>35059</v>
      </c>
      <c r="N66" s="308">
        <v>181505</v>
      </c>
      <c r="O66" s="308">
        <v>212278.1252992677</v>
      </c>
      <c r="P66" s="308">
        <v>34522.5</v>
      </c>
      <c r="Q66" s="309">
        <v>147258</v>
      </c>
      <c r="R66" s="308">
        <v>106487.56363636363</v>
      </c>
      <c r="S66" s="308"/>
      <c r="T66" s="308"/>
      <c r="U66" s="308"/>
      <c r="V66" s="308"/>
      <c r="W66" s="317">
        <f>IFERROR(IF(tblPiNAnalysis[[#This Row],[CCCM]]="", "", MROUND(tblPiNAnalysis[[#This Row],[CCCM]]/tblPiNAnalysis[[#This Row],[Population]], 0.05)), "")</f>
        <v>0.05</v>
      </c>
      <c r="X66" s="318">
        <f>IFERROR(IF(tblPiNAnalysis[[#This Row],[Education]]="", "", MROUND(tblPiNAnalysis[[#This Row],[Education]]/tblPiNAnalysis[[#This Row],[Population]], 0.05)), "")</f>
        <v>0.2</v>
      </c>
      <c r="Y66" s="318">
        <f>IFERROR(IF(tblPiNAnalysis[[#This Row],[Nutrition]]="", "", MROUND(tblPiNAnalysis[[#This Row],[Nutrition]]/tblPiNAnalysis[[#This Row],[Population]], 0.05)), "")</f>
        <v>0.1</v>
      </c>
      <c r="Z66" s="318">
        <f>IFERROR(IF(tblPiNAnalysis[[#This Row],[Food Security]]="", "", MROUND(tblPiNAnalysis[[#This Row],[Food Security]]/tblPiNAnalysis[[#This Row],[Population]], 0.05)), "")</f>
        <v>0.5</v>
      </c>
      <c r="AA66" s="318">
        <f>IFERROR(IF(tblPiNAnalysis[[#This Row],[Health]]="", "", MROUND(tblPiNAnalysis[[#This Row],[Health]]/tblPiNAnalysis[[#This Row],[Population]], 0.05)), "")</f>
        <v>0.60000000000000009</v>
      </c>
      <c r="AB66" s="319">
        <f>IFERROR(IF(tblPiNAnalysis[[#This Row],[Protection]]="", "", MROUND(tblPiNAnalysis[[#This Row],[Protection]]/tblPiNAnalysis[[#This Row],[Population]], 0.05)), "")</f>
        <v>0.1</v>
      </c>
      <c r="AC66" s="319">
        <f>IFERROR(IF(tblPiNAnalysis[[#This Row],[Shelter]]="", "", MROUND(tblPiNAnalysis[[#This Row],[Shelter]]/tblPiNAnalysis[[#This Row],[Population]], 0.05)), "")</f>
        <v>0.4</v>
      </c>
      <c r="AD66" s="320">
        <f>IFERROR(IF(tblPiNAnalysis[[#This Row],[WASH]]="", "", MROUND(tblPiNAnalysis[[#This Row],[WASH]]/tblPiNAnalysis[[#This Row],[Population]], 0.05)), "")</f>
        <v>0.30000000000000004</v>
      </c>
      <c r="AE66" s="318">
        <f>IFERROR(MROUND(tblPiNAnalysis[[#This Row],[CP]]/tblPiNAnalysis[[#This Row],[Population]], 0.05), "")</f>
        <v>0</v>
      </c>
      <c r="AF66" s="318">
        <f>IFERROR(MROUND(tblPiNAnalysis[[#This Row],[GBV]]/tblPiNAnalysis[[#This Row],[Population]], 0.05), "")</f>
        <v>0</v>
      </c>
      <c r="AG66" s="318">
        <f>IFERROR(MROUND(tblPiNAnalysis[[#This Row],[Migrants]]/tblPiNAnalysis[[#This Row],[Population]], 0.05), "")</f>
        <v>0</v>
      </c>
      <c r="AH66" s="318">
        <f>IFERROR(MROUND(tblPiNAnalysis[[#This Row],[_]]/tblPiNAnalysis[[#This Row],[Population]], 0.05), "")</f>
        <v>0</v>
      </c>
      <c r="AI66" s="321">
        <f>IFERROR(LARGE(tblPiNAnalysis[[#This Row],[CCCM]:[WASH]], 1), "")</f>
        <v>212278.1252992677</v>
      </c>
      <c r="AJ66" s="322" t="str" cm="1">
        <f t="array" ref="AJ66">IF(tblPiNAnalysis[[#This Row],[Highest PiN]]="", "", _xlfn.TEXTJOIN(CHAR(10), TRUE, IF(tblPiNAnalysis[[#This Row],[Highest PiN]]=tblPiNAnalysis[[#This Row],[CCCM]:[WASH]], tblPiNAnalysis[[#Headers],[CCCM]:[WASH]], "")))</f>
        <v>Health</v>
      </c>
      <c r="AK66" s="323">
        <f>IF(tblPiNAnalysis[[#This Row],[Highest PiN]]="", "", tblPiNAnalysis[[#This Row],[Highest PiN]]/tblPiNAnalysis[[#This Row],[Population]])</f>
        <v>0.57991407016854946</v>
      </c>
      <c r="AL66" s="265" t="str">
        <f>IF(SUM(tblPiNAnalysis[[#This Row],[CCCM]:[WASH]])=0, "",IF(COUNTIF(tblPiNAnalysis[[#This Row],[CCCM]:[WASH]],"=0")+COUNTIF(tblPiNAnalysis[[#This Row],[CCCM]:[WASH]],"")&gt;=zero_pin_thresh, "Flagged", ""))</f>
        <v/>
      </c>
      <c r="AM66" s="264" t="str">
        <f>IFERROR(IF(tblPiNAnalysis[[#This Row],[Highest PiN]]="", "", IF(tblPiNAnalysis[[#This Row],[Highest sector(s'') PiN %]]&gt;=flag_pin_perc, "Flagged", "")), "")</f>
        <v/>
      </c>
      <c r="AN66" s="266" t="str" cm="1">
        <f t="array" ref="AN66">IF(tblPiNAnalysis[[#This Row],[Highest PiN]]=0, "",  IF(OR(COUNTIF(tblPiNAnalysis[[#This Row],[Highest sector(s)]],tblSubSectorPopulation[Sector])), "Flagged", ""))</f>
        <v/>
      </c>
      <c r="AO66" s="45" cm="1">
        <f t="array" ref="AO6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181505</v>
      </c>
      <c r="AP66" s="326" t="str" cm="1">
        <f t="array" ref="AP66">IF(tblPiNAnalysis[[#This Row],[2nd Highest PiN]]="", "", _xlfn.TEXTJOIN(CHAR(10), TRUE, IF(tblPiNAnalysis[[#This Row],[2nd Highest PiN]]=tblPiNAnalysis[[#This Row],[CCCM]:[WASH]], tblPiNAnalysis[[#Headers],[CCCM]:[WASH]], "")))</f>
        <v>Food Security</v>
      </c>
      <c r="AQ66" s="35">
        <f>IFERROR(tblPiNAnalysis[[#This Row],[2nd Highest PiN]]/tblPiNAnalysis[[#This Row],[Population]], "")</f>
        <v>0.49584620722249084</v>
      </c>
      <c r="AR66" s="45">
        <f>IFERROR(tblPiNAnalysis[[#This Row],[Highest PiN]]-tblPiNAnalysis[[#This Row],[2nd Highest PiN]], "")</f>
        <v>30773.125299267704</v>
      </c>
      <c r="AS66" s="38">
        <f>IFERROR(((tblPiNAnalysis[[#This Row],[Highest PiN]]-tblPiNAnalysis[[#This Row],[2nd Highest PiN]])/tblPiNAnalysis[[#This Row],[2nd Highest PiN]]),"")</f>
        <v>0.16954422908056363</v>
      </c>
      <c r="AT66" s="269" t="str" cm="1">
        <f t="array" ref="AT6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6" s="327" cm="1">
        <f t="array" ref="AU6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147258</v>
      </c>
      <c r="AV66" s="186" t="str" cm="1">
        <f t="array" ref="AV66">IF(tblPiNAnalysis[[#This Row],[3rd Highest PiN]]="", "", _xlfn.TEXTJOIN(CHAR(10), TRUE, IF(tblPiNAnalysis[[#This Row],[3rd Highest PiN]]=tblPiNAnalysis[[#This Row],[CCCM]:[WASH]], tblPiNAnalysis[[#Headers],[CCCM]:[WASH]], "")))</f>
        <v>Shelter</v>
      </c>
      <c r="AW66" s="186">
        <f>IFERROR(tblPiNAnalysis[[#This Row],[3rd Highest PiN]]/tblPiNAnalysis[[#This Row],[Population]], "")</f>
        <v>0.40228820574182284</v>
      </c>
      <c r="AX66" s="44">
        <f>IFERROR(tblPiNAnalysis[[#This Row],[Highest PiN]]-tblPiNAnalysis[[#This Row],[3rd Highest PiN]],"")</f>
        <v>65020.125299267704</v>
      </c>
      <c r="AY66" s="38">
        <f>IFERROR(tblPiNAnalysis[[#This Row],[Difference of PiN between Highest and 3rd Highest]]/tblPiNAnalysis[[#This Row],[3rd Highest PiN]], "")</f>
        <v>0.44153883184117471</v>
      </c>
      <c r="AZ66" s="325" t="str" cm="1">
        <f t="array" ref="AZ6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6" s="292" cm="1">
        <f t="array" ref="BA66">IFERROR(IF(tblPiNAnalysis[[#This Row],[ID]]="", "", INDEX(tblPiNHistorical[[CCCM]:[WASH]], MATCH(tblPiNAnalysis[[#This Row],[ID]],tblPiNHistorical[ID], 0),MATCH(_xlfn._xlws.FILTER(tblPiNAnalysis[[#Headers],[CCCM]:[WASH]], tblPiNAnalysis[[#This Row],[Highest PiN]]=tblPiNAnalysis[[#This Row],[CCCM]:[WASH]]), tblPiNHistorical[[#Headers],[CCCM]:[WASH]], 0))), "")</f>
        <v>1.2</v>
      </c>
      <c r="BB66" s="328" t="str" cm="1">
        <f t="array" ref="BB6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66" s="272" cm="1">
        <f t="array" ref="BC66">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66" s="329" t="str" cm="1">
        <f t="array" ref="BD6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6" s="371">
        <f>INDEX(tblSeverityAnalysis[Final Severity], MATCH(tblPiNAnalysis[[#This Row],[ID]],tblSeverityAnalysis[ID], 0))</f>
        <v>3</v>
      </c>
      <c r="BF66" s="60">
        <f>IF(tblPiNAnalysis[[#This Row],[Severity]]&gt;2,tblPiNAnalysis[[#This Row],[Highest PiN]],)</f>
        <v>212278.1252992677</v>
      </c>
      <c r="BG66" s="187"/>
      <c r="BH66" s="188"/>
      <c r="BI66" s="189">
        <f>COUNTIFS(tblPiNAnalysis[[#This Row],[Number of missing / zero PiNs greater than threshold - Data quality]:[Manual Flag]],"Flagged")</f>
        <v>1</v>
      </c>
      <c r="BJ66" s="346" t="str">
        <f>IF(tblPiNAnalysis[[#This Row],['# Flags]]&gt;0, "Flagged", "")</f>
        <v>Flagged</v>
      </c>
      <c r="BK66" s="339">
        <f>tblPiNAnalysis[[#This Row],[Preliminary PiN]]</f>
        <v>212278.1252992677</v>
      </c>
      <c r="BL66" s="326"/>
      <c r="BM66" s="383">
        <f>IF(OR(tblPiNAnalysis[[#This Row],[Severity]]=4,tblPiNAnalysis[[#This Row],[Severity]]=5),tblPiNAnalysis[[#This Row],[Final PiN]],0)</f>
        <v>0</v>
      </c>
      <c r="BN66" s="378">
        <f>IF(OR(tblPiNAnalysis[[#This Row],[Severity]]=4,tblPiNAnalysis[[#This Row],[Severity]]=5),100%, IF(tblPiNAnalysis[[#This Row],[Severity]]=3,50%,0%))*tblPiNAnalysis[[#This Row],[Final PiN]]</f>
        <v>106139.06264963385</v>
      </c>
      <c r="BO66" s="383">
        <f>IF(OR(tblPiNAnalysis[[#This Row],[Severity]]=4,tblPiNAnalysis[[#This Row],[Severity]]=5),100%, IF(AND(tblPiNAnalysis[[#This Row],[Severity]]=3,VLOOKUP(tblPiNAnalysis[[#This Row],[ID]],tblSeverityAnalysis[[ID]:[Highest Severity]],35,FALSE)&gt;3),50%,0%))*tblPiNAnalysis[[#This Row],[Final PiN]]</f>
        <v>106139.06264963385</v>
      </c>
    </row>
    <row r="67" spans="1:67" hidden="1">
      <c r="A6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Global_PopulationHT0512</v>
      </c>
      <c r="B67" s="304" t="s">
        <v>287</v>
      </c>
      <c r="C67" s="213" t="s">
        <v>288</v>
      </c>
      <c r="D67" s="213" t="s">
        <v>291</v>
      </c>
      <c r="E67" s="103" t="s">
        <v>292</v>
      </c>
      <c r="F67" s="99"/>
      <c r="G67" s="34"/>
      <c r="H67" s="357"/>
      <c r="I67" s="354">
        <v>52529</v>
      </c>
      <c r="J67" s="221" t="s">
        <v>156</v>
      </c>
      <c r="K67" s="316">
        <v>5227.5</v>
      </c>
      <c r="L67" s="308">
        <v>9459</v>
      </c>
      <c r="M67" s="308">
        <v>4832</v>
      </c>
      <c r="N67" s="308">
        <v>32196</v>
      </c>
      <c r="O67" s="308">
        <v>7238.2067871233867</v>
      </c>
      <c r="P67" s="308">
        <v>5185.1674999999996</v>
      </c>
      <c r="Q67" s="309">
        <v>0</v>
      </c>
      <c r="R67" s="308">
        <v>3485</v>
      </c>
      <c r="S67" s="308"/>
      <c r="T67" s="308"/>
      <c r="U67" s="308"/>
      <c r="V67" s="308"/>
      <c r="W67" s="317">
        <f>IFERROR(IF(tblPiNAnalysis[[#This Row],[CCCM]]="", "", MROUND(tblPiNAnalysis[[#This Row],[CCCM]]/tblPiNAnalysis[[#This Row],[Population]], 0.05)), "")</f>
        <v>0.1</v>
      </c>
      <c r="X67" s="318">
        <f>IFERROR(IF(tblPiNAnalysis[[#This Row],[Education]]="", "", MROUND(tblPiNAnalysis[[#This Row],[Education]]/tblPiNAnalysis[[#This Row],[Population]], 0.05)), "")</f>
        <v>0.2</v>
      </c>
      <c r="Y67" s="318">
        <f>IFERROR(IF(tblPiNAnalysis[[#This Row],[Nutrition]]="", "", MROUND(tblPiNAnalysis[[#This Row],[Nutrition]]/tblPiNAnalysis[[#This Row],[Population]], 0.05)), "")</f>
        <v>0.1</v>
      </c>
      <c r="Z67" s="318">
        <f>IFERROR(IF(tblPiNAnalysis[[#This Row],[Food Security]]="", "", MROUND(tblPiNAnalysis[[#This Row],[Food Security]]/tblPiNAnalysis[[#This Row],[Population]], 0.05)), "")</f>
        <v>0.60000000000000009</v>
      </c>
      <c r="AA67" s="318">
        <f>IFERROR(IF(tblPiNAnalysis[[#This Row],[Health]]="", "", MROUND(tblPiNAnalysis[[#This Row],[Health]]/tblPiNAnalysis[[#This Row],[Population]], 0.05)), "")</f>
        <v>0.15000000000000002</v>
      </c>
      <c r="AB67" s="319">
        <f>IFERROR(IF(tblPiNAnalysis[[#This Row],[Protection]]="", "", MROUND(tblPiNAnalysis[[#This Row],[Protection]]/tblPiNAnalysis[[#This Row],[Population]], 0.05)), "")</f>
        <v>0.1</v>
      </c>
      <c r="AC67" s="319">
        <f>IFERROR(IF(tblPiNAnalysis[[#This Row],[Shelter]]="", "", MROUND(tblPiNAnalysis[[#This Row],[Shelter]]/tblPiNAnalysis[[#This Row],[Population]], 0.05)), "")</f>
        <v>0</v>
      </c>
      <c r="AD67" s="320">
        <f>IFERROR(IF(tblPiNAnalysis[[#This Row],[WASH]]="", "", MROUND(tblPiNAnalysis[[#This Row],[WASH]]/tblPiNAnalysis[[#This Row],[Population]], 0.05)), "")</f>
        <v>0.05</v>
      </c>
      <c r="AE67" s="318">
        <f>IFERROR(MROUND(tblPiNAnalysis[[#This Row],[CP]]/tblPiNAnalysis[[#This Row],[Population]], 0.05), "")</f>
        <v>0</v>
      </c>
      <c r="AF67" s="318">
        <f>IFERROR(MROUND(tblPiNAnalysis[[#This Row],[GBV]]/tblPiNAnalysis[[#This Row],[Population]], 0.05), "")</f>
        <v>0</v>
      </c>
      <c r="AG67" s="318">
        <f>IFERROR(MROUND(tblPiNAnalysis[[#This Row],[Migrants]]/tblPiNAnalysis[[#This Row],[Population]], 0.05), "")</f>
        <v>0</v>
      </c>
      <c r="AH67" s="318">
        <f>IFERROR(MROUND(tblPiNAnalysis[[#This Row],[_]]/tblPiNAnalysis[[#This Row],[Population]], 0.05), "")</f>
        <v>0</v>
      </c>
      <c r="AI67" s="321">
        <f>IFERROR(LARGE(tblPiNAnalysis[[#This Row],[CCCM]:[WASH]], 1), "")</f>
        <v>32196</v>
      </c>
      <c r="AJ67" s="322" t="str" cm="1">
        <f t="array" ref="AJ67">IF(tblPiNAnalysis[[#This Row],[Highest PiN]]="", "", _xlfn.TEXTJOIN(CHAR(10), TRUE, IF(tblPiNAnalysis[[#This Row],[Highest PiN]]=tblPiNAnalysis[[#This Row],[CCCM]:[WASH]], tblPiNAnalysis[[#Headers],[CCCM]:[WASH]], "")))</f>
        <v>Food Security</v>
      </c>
      <c r="AK67" s="323">
        <f>IF(tblPiNAnalysis[[#This Row],[Highest PiN]]="", "", tblPiNAnalysis[[#This Row],[Highest PiN]]/tblPiNAnalysis[[#This Row],[Population]])</f>
        <v>0.61291857830912444</v>
      </c>
      <c r="AL67" s="265" t="str">
        <f>IF(SUM(tblPiNAnalysis[[#This Row],[CCCM]:[WASH]])=0, "",IF(COUNTIF(tblPiNAnalysis[[#This Row],[CCCM]:[WASH]],"=0")+COUNTIF(tblPiNAnalysis[[#This Row],[CCCM]:[WASH]],"")&gt;=zero_pin_thresh, "Flagged", ""))</f>
        <v/>
      </c>
      <c r="AM67" s="264" t="str">
        <f>IFERROR(IF(tblPiNAnalysis[[#This Row],[Highest PiN]]="", "", IF(tblPiNAnalysis[[#This Row],[Highest sector(s'') PiN %]]&gt;=flag_pin_perc, "Flagged", "")), "")</f>
        <v/>
      </c>
      <c r="AN67" s="266" t="str" cm="1">
        <f t="array" ref="AN67">IF(tblPiNAnalysis[[#This Row],[Highest PiN]]=0, "",  IF(OR(COUNTIF(tblPiNAnalysis[[#This Row],[Highest sector(s)]],tblSubSectorPopulation[Sector])), "Flagged", ""))</f>
        <v/>
      </c>
      <c r="AO67" s="45" cm="1">
        <f t="array" ref="AO6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9459</v>
      </c>
      <c r="AP67" s="326" t="str" cm="1">
        <f t="array" ref="AP67">IF(tblPiNAnalysis[[#This Row],[2nd Highest PiN]]="", "", _xlfn.TEXTJOIN(CHAR(10), TRUE, IF(tblPiNAnalysis[[#This Row],[2nd Highest PiN]]=tblPiNAnalysis[[#This Row],[CCCM]:[WASH]], tblPiNAnalysis[[#Headers],[CCCM]:[WASH]], "")))</f>
        <v>Education</v>
      </c>
      <c r="AQ67" s="35">
        <f>IFERROR(tblPiNAnalysis[[#This Row],[2nd Highest PiN]]/tblPiNAnalysis[[#This Row],[Population]], "")</f>
        <v>0.18007196025052827</v>
      </c>
      <c r="AR67" s="45">
        <f>IFERROR(tblPiNAnalysis[[#This Row],[Highest PiN]]-tblPiNAnalysis[[#This Row],[2nd Highest PiN]], "")</f>
        <v>22737</v>
      </c>
      <c r="AS67" s="38">
        <f>IFERROR(((tblPiNAnalysis[[#This Row],[Highest PiN]]-tblPiNAnalysis[[#This Row],[2nd Highest PiN]])/tblPiNAnalysis[[#This Row],[2nd Highest PiN]]),"")</f>
        <v>2.403742467491278</v>
      </c>
      <c r="AT67" s="269" t="str" cm="1">
        <f t="array" ref="AT6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67" s="327" cm="1">
        <f t="array" ref="AU6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7238.2067871233867</v>
      </c>
      <c r="AV67" s="186" t="str" cm="1">
        <f t="array" ref="AV67">IF(tblPiNAnalysis[[#This Row],[3rd Highest PiN]]="", "", _xlfn.TEXTJOIN(CHAR(10), TRUE, IF(tblPiNAnalysis[[#This Row],[3rd Highest PiN]]=tblPiNAnalysis[[#This Row],[CCCM]:[WASH]], tblPiNAnalysis[[#Headers],[CCCM]:[WASH]], "")))</f>
        <v>Health</v>
      </c>
      <c r="AW67" s="186">
        <f>IFERROR(tblPiNAnalysis[[#This Row],[3rd Highest PiN]]/tblPiNAnalysis[[#This Row],[Population]], "")</f>
        <v>0.1377944904171674</v>
      </c>
      <c r="AX67" s="44">
        <f>IFERROR(tblPiNAnalysis[[#This Row],[Highest PiN]]-tblPiNAnalysis[[#This Row],[3rd Highest PiN]],"")</f>
        <v>24957.793212876612</v>
      </c>
      <c r="AY67" s="38">
        <f>IFERROR(tblPiNAnalysis[[#This Row],[Difference of PiN between Highest and 3rd Highest]]/tblPiNAnalysis[[#This Row],[3rd Highest PiN]], "")</f>
        <v>3.4480630281627191</v>
      </c>
      <c r="AZ67" s="325" t="str" cm="1">
        <f t="array" ref="AZ6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7" s="292" cm="1">
        <f t="array" ref="BA67">IFERROR(IF(tblPiNAnalysis[[#This Row],[ID]]="", "", INDEX(tblPiNHistorical[[CCCM]:[WASH]], MATCH(tblPiNAnalysis[[#This Row],[ID]],tblPiNHistorical[ID], 0),MATCH(_xlfn._xlws.FILTER(tblPiNAnalysis[[#Headers],[CCCM]:[WASH]], tblPiNAnalysis[[#This Row],[Highest PiN]]=tblPiNAnalysis[[#This Row],[CCCM]:[WASH]]), tblPiNHistorical[[#Headers],[CCCM]:[WASH]], 0))), "")</f>
        <v>0.2</v>
      </c>
      <c r="BB67" s="328" t="str" cm="1">
        <f t="array" ref="BB6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7" s="272" cm="1">
        <f t="array" ref="BC67">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67" s="329" t="str" cm="1">
        <f t="array" ref="BD6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7" s="371">
        <f>INDEX(tblSeverityAnalysis[Final Severity], MATCH(tblPiNAnalysis[[#This Row],[ID]],tblSeverityAnalysis[ID], 0))</f>
        <v>3</v>
      </c>
      <c r="BF67" s="60">
        <f>IF(tblPiNAnalysis[[#This Row],[Severity]]&gt;2,tblPiNAnalysis[[#This Row],[Highest PiN]],)</f>
        <v>32196</v>
      </c>
      <c r="BG67" s="187"/>
      <c r="BH67" s="188"/>
      <c r="BI67" s="189">
        <f>COUNTIFS(tblPiNAnalysis[[#This Row],[Number of missing / zero PiNs greater than threshold - Data quality]:[Manual Flag]],"Flagged")</f>
        <v>2</v>
      </c>
      <c r="BJ67" s="346" t="str">
        <f>IF(tblPiNAnalysis[[#This Row],['# Flags]]&gt;0, "Flagged", "")</f>
        <v>Flagged</v>
      </c>
      <c r="BK67" s="339">
        <f>tblPiNAnalysis[[#This Row],[Preliminary PiN]]</f>
        <v>32196</v>
      </c>
      <c r="BL67" s="326"/>
      <c r="BM67" s="383">
        <f>IF(OR(tblPiNAnalysis[[#This Row],[Severity]]=4,tblPiNAnalysis[[#This Row],[Severity]]=5),tblPiNAnalysis[[#This Row],[Final PiN]],0)</f>
        <v>0</v>
      </c>
      <c r="BN67" s="378">
        <f>IF(OR(tblPiNAnalysis[[#This Row],[Severity]]=4,tblPiNAnalysis[[#This Row],[Severity]]=5),100%, IF(tblPiNAnalysis[[#This Row],[Severity]]=3,50%,0%))*tblPiNAnalysis[[#This Row],[Final PiN]]</f>
        <v>16098</v>
      </c>
      <c r="BO67" s="383">
        <f>IF(OR(tblPiNAnalysis[[#This Row],[Severity]]=4,tblPiNAnalysis[[#This Row],[Severity]]=5),100%, IF(AND(tblPiNAnalysis[[#This Row],[Severity]]=3,VLOOKUP(tblPiNAnalysis[[#This Row],[ID]],tblSeverityAnalysis[[ID]:[Highest Severity]],35,FALSE)&gt;3),50%,0%))*tblPiNAnalysis[[#This Row],[Final PiN]]</f>
        <v>16098</v>
      </c>
    </row>
    <row r="68" spans="1:67" hidden="1">
      <c r="A6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Global_PopulationHT0513</v>
      </c>
      <c r="B68" s="304" t="s">
        <v>287</v>
      </c>
      <c r="C68" s="213" t="s">
        <v>288</v>
      </c>
      <c r="D68" s="213" t="s">
        <v>293</v>
      </c>
      <c r="E68" s="103" t="s">
        <v>294</v>
      </c>
      <c r="F68" s="99"/>
      <c r="G68" s="34"/>
      <c r="H68" s="357"/>
      <c r="I68" s="354">
        <v>44802</v>
      </c>
      <c r="J68" s="221" t="s">
        <v>156</v>
      </c>
      <c r="K68" s="316">
        <v>697.5</v>
      </c>
      <c r="L68" s="308">
        <v>7816</v>
      </c>
      <c r="M68" s="308">
        <v>4106</v>
      </c>
      <c r="N68" s="308">
        <v>24196</v>
      </c>
      <c r="O68" s="308">
        <v>23187.769083870968</v>
      </c>
      <c r="P68" s="308">
        <v>667.3</v>
      </c>
      <c r="Q68" s="309">
        <v>0</v>
      </c>
      <c r="R68" s="308">
        <v>40322</v>
      </c>
      <c r="S68" s="308"/>
      <c r="T68" s="308"/>
      <c r="U68" s="308"/>
      <c r="V68" s="308"/>
      <c r="W68" s="317">
        <f>IFERROR(IF(tblPiNAnalysis[[#This Row],[CCCM]]="", "", MROUND(tblPiNAnalysis[[#This Row],[CCCM]]/tblPiNAnalysis[[#This Row],[Population]], 0.05)), "")</f>
        <v>0</v>
      </c>
      <c r="X68" s="318">
        <f>IFERROR(IF(tblPiNAnalysis[[#This Row],[Education]]="", "", MROUND(tblPiNAnalysis[[#This Row],[Education]]/tblPiNAnalysis[[#This Row],[Population]], 0.05)), "")</f>
        <v>0.15000000000000002</v>
      </c>
      <c r="Y68" s="318">
        <f>IFERROR(IF(tblPiNAnalysis[[#This Row],[Nutrition]]="", "", MROUND(tblPiNAnalysis[[#This Row],[Nutrition]]/tblPiNAnalysis[[#This Row],[Population]], 0.05)), "")</f>
        <v>0.1</v>
      </c>
      <c r="Z68" s="318">
        <f>IFERROR(IF(tblPiNAnalysis[[#This Row],[Food Security]]="", "", MROUND(tblPiNAnalysis[[#This Row],[Food Security]]/tblPiNAnalysis[[#This Row],[Population]], 0.05)), "")</f>
        <v>0.55000000000000004</v>
      </c>
      <c r="AA68" s="318">
        <f>IFERROR(IF(tblPiNAnalysis[[#This Row],[Health]]="", "", MROUND(tblPiNAnalysis[[#This Row],[Health]]/tblPiNAnalysis[[#This Row],[Population]], 0.05)), "")</f>
        <v>0.5</v>
      </c>
      <c r="AB68" s="319">
        <f>IFERROR(IF(tblPiNAnalysis[[#This Row],[Protection]]="", "", MROUND(tblPiNAnalysis[[#This Row],[Protection]]/tblPiNAnalysis[[#This Row],[Population]], 0.05)), "")</f>
        <v>0</v>
      </c>
      <c r="AC68" s="319">
        <f>IFERROR(IF(tblPiNAnalysis[[#This Row],[Shelter]]="", "", MROUND(tblPiNAnalysis[[#This Row],[Shelter]]/tblPiNAnalysis[[#This Row],[Population]], 0.05)), "")</f>
        <v>0</v>
      </c>
      <c r="AD68" s="320">
        <f>IFERROR(IF(tblPiNAnalysis[[#This Row],[WASH]]="", "", MROUND(tblPiNAnalysis[[#This Row],[WASH]]/tblPiNAnalysis[[#This Row],[Population]], 0.05)), "")</f>
        <v>0.9</v>
      </c>
      <c r="AE68" s="318">
        <f>IFERROR(MROUND(tblPiNAnalysis[[#This Row],[CP]]/tblPiNAnalysis[[#This Row],[Population]], 0.05), "")</f>
        <v>0</v>
      </c>
      <c r="AF68" s="318">
        <f>IFERROR(MROUND(tblPiNAnalysis[[#This Row],[GBV]]/tblPiNAnalysis[[#This Row],[Population]], 0.05), "")</f>
        <v>0</v>
      </c>
      <c r="AG68" s="318">
        <f>IFERROR(MROUND(tblPiNAnalysis[[#This Row],[Migrants]]/tblPiNAnalysis[[#This Row],[Population]], 0.05), "")</f>
        <v>0</v>
      </c>
      <c r="AH68" s="318">
        <f>IFERROR(MROUND(tblPiNAnalysis[[#This Row],[_]]/tblPiNAnalysis[[#This Row],[Population]], 0.05), "")</f>
        <v>0</v>
      </c>
      <c r="AI68" s="321">
        <f>IFERROR(LARGE(tblPiNAnalysis[[#This Row],[CCCM]:[WASH]], 1), "")</f>
        <v>40322</v>
      </c>
      <c r="AJ68" s="322" t="str" cm="1">
        <f t="array" ref="AJ68">IF(tblPiNAnalysis[[#This Row],[Highest PiN]]="", "", _xlfn.TEXTJOIN(CHAR(10), TRUE, IF(tblPiNAnalysis[[#This Row],[Highest PiN]]=tblPiNAnalysis[[#This Row],[CCCM]:[WASH]], tblPiNAnalysis[[#Headers],[CCCM]:[WASH]], "")))</f>
        <v>WASH</v>
      </c>
      <c r="AK68" s="323">
        <f>IF(tblPiNAnalysis[[#This Row],[Highest PiN]]="", "", tblPiNAnalysis[[#This Row],[Highest PiN]]/tblPiNAnalysis[[#This Row],[Population]])</f>
        <v>0.90000446408642476</v>
      </c>
      <c r="AL68" s="265" t="str">
        <f>IF(SUM(tblPiNAnalysis[[#This Row],[CCCM]:[WASH]])=0, "",IF(COUNTIF(tblPiNAnalysis[[#This Row],[CCCM]:[WASH]],"=0")+COUNTIF(tblPiNAnalysis[[#This Row],[CCCM]:[WASH]],"")&gt;=zero_pin_thresh, "Flagged", ""))</f>
        <v/>
      </c>
      <c r="AM68" s="264" t="str">
        <f>IFERROR(IF(tblPiNAnalysis[[#This Row],[Highest PiN]]="", "", IF(tblPiNAnalysis[[#This Row],[Highest sector(s'') PiN %]]&gt;=flag_pin_perc, "Flagged", "")), "")</f>
        <v>Flagged</v>
      </c>
      <c r="AN68" s="266" t="str" cm="1">
        <f t="array" ref="AN68">IF(tblPiNAnalysis[[#This Row],[Highest PiN]]=0, "",  IF(OR(COUNTIF(tblPiNAnalysis[[#This Row],[Highest sector(s)]],tblSubSectorPopulation[Sector])), "Flagged", ""))</f>
        <v/>
      </c>
      <c r="AO68" s="45" cm="1">
        <f t="array" ref="AO6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24196</v>
      </c>
      <c r="AP68" s="326" t="str" cm="1">
        <f t="array" ref="AP68">IF(tblPiNAnalysis[[#This Row],[2nd Highest PiN]]="", "", _xlfn.TEXTJOIN(CHAR(10), TRUE, IF(tblPiNAnalysis[[#This Row],[2nd Highest PiN]]=tblPiNAnalysis[[#This Row],[CCCM]:[WASH]], tblPiNAnalysis[[#Headers],[CCCM]:[WASH]], "")))</f>
        <v>Food Security</v>
      </c>
      <c r="AQ68" s="35">
        <f>IFERROR(tblPiNAnalysis[[#This Row],[2nd Highest PiN]]/tblPiNAnalysis[[#This Row],[Population]], "")</f>
        <v>0.54006517566180079</v>
      </c>
      <c r="AR68" s="45">
        <f>IFERROR(tblPiNAnalysis[[#This Row],[Highest PiN]]-tblPiNAnalysis[[#This Row],[2nd Highest PiN]], "")</f>
        <v>16126</v>
      </c>
      <c r="AS68" s="38">
        <f>IFERROR(((tblPiNAnalysis[[#This Row],[Highest PiN]]-tblPiNAnalysis[[#This Row],[2nd Highest PiN]])/tblPiNAnalysis[[#This Row],[2nd Highest PiN]]),"")</f>
        <v>0.6664737973218714</v>
      </c>
      <c r="AT68" s="269" t="str" cm="1">
        <f t="array" ref="AT6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68" s="327" cm="1">
        <f t="array" ref="AU6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23187.769083870968</v>
      </c>
      <c r="AV68" s="186" t="str" cm="1">
        <f t="array" ref="AV68">IF(tblPiNAnalysis[[#This Row],[3rd Highest PiN]]="", "", _xlfn.TEXTJOIN(CHAR(10), TRUE, IF(tblPiNAnalysis[[#This Row],[3rd Highest PiN]]=tblPiNAnalysis[[#This Row],[CCCM]:[WASH]], tblPiNAnalysis[[#Headers],[CCCM]:[WASH]], "")))</f>
        <v>Health</v>
      </c>
      <c r="AW68" s="186">
        <f>IFERROR(tblPiNAnalysis[[#This Row],[3rd Highest PiN]]/tblPiNAnalysis[[#This Row],[Population]], "")</f>
        <v>0.51756102593346209</v>
      </c>
      <c r="AX68" s="44">
        <f>IFERROR(tblPiNAnalysis[[#This Row],[Highest PiN]]-tblPiNAnalysis[[#This Row],[3rd Highest PiN]],"")</f>
        <v>17134.230916129032</v>
      </c>
      <c r="AY68" s="38">
        <f>IFERROR(tblPiNAnalysis[[#This Row],[Difference of PiN between Highest and 3rd Highest]]/tblPiNAnalysis[[#This Row],[3rd Highest PiN]], "")</f>
        <v>0.73893399809847693</v>
      </c>
      <c r="AZ68" s="325" t="str" cm="1">
        <f t="array" ref="AZ6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68" s="292" cm="1">
        <f t="array" ref="BA68">IFERROR(IF(tblPiNAnalysis[[#This Row],[ID]]="", "", INDEX(tblPiNHistorical[[CCCM]:[WASH]], MATCH(tblPiNAnalysis[[#This Row],[ID]],tblPiNHistorical[ID], 0),MATCH(_xlfn._xlws.FILTER(tblPiNAnalysis[[#Headers],[CCCM]:[WASH]], tblPiNAnalysis[[#This Row],[Highest PiN]]=tblPiNAnalysis[[#This Row],[CCCM]:[WASH]]), tblPiNHistorical[[#Headers],[CCCM]:[WASH]], 0))), "")</f>
        <v>5.0999999999999996</v>
      </c>
      <c r="BB68" s="328" t="str" cm="1">
        <f t="array" ref="BB6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68" s="272" cm="1">
        <f t="array" ref="BC68">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68" s="329" t="str" cm="1">
        <f t="array" ref="BD6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68" s="371">
        <f>INDEX(tblSeverityAnalysis[Final Severity], MATCH(tblPiNAnalysis[[#This Row],[ID]],tblSeverityAnalysis[ID], 0))</f>
        <v>4</v>
      </c>
      <c r="BF68" s="60">
        <f>IF(tblPiNAnalysis[[#This Row],[Severity]]&gt;2,tblPiNAnalysis[[#This Row],[Highest PiN]],)</f>
        <v>40322</v>
      </c>
      <c r="BG68" s="187"/>
      <c r="BH68" s="188"/>
      <c r="BI68" s="189">
        <f>COUNTIFS(tblPiNAnalysis[[#This Row],[Number of missing / zero PiNs greater than threshold - Data quality]:[Manual Flag]],"Flagged")</f>
        <v>3</v>
      </c>
      <c r="BJ68" s="346" t="str">
        <f>IF(tblPiNAnalysis[[#This Row],['# Flags]]&gt;0, "Flagged", "")</f>
        <v>Flagged</v>
      </c>
      <c r="BK68" s="339">
        <v>24196</v>
      </c>
      <c r="BL68" s="326" t="s">
        <v>157</v>
      </c>
      <c r="BM68" s="383">
        <f>IF(OR(tblPiNAnalysis[[#This Row],[Severity]]=4,tblPiNAnalysis[[#This Row],[Severity]]=5),tblPiNAnalysis[[#This Row],[Final PiN]],0)</f>
        <v>24196</v>
      </c>
      <c r="BN68" s="378">
        <f>IF(OR(tblPiNAnalysis[[#This Row],[Severity]]=4,tblPiNAnalysis[[#This Row],[Severity]]=5),100%, IF(tblPiNAnalysis[[#This Row],[Severity]]=3,50%,0%))*tblPiNAnalysis[[#This Row],[Final PiN]]</f>
        <v>24196</v>
      </c>
      <c r="BO68" s="383">
        <f>IF(OR(tblPiNAnalysis[[#This Row],[Severity]]=4,tblPiNAnalysis[[#This Row],[Severity]]=5),100%, IF(AND(tblPiNAnalysis[[#This Row],[Severity]]=3,VLOOKUP(tblPiNAnalysis[[#This Row],[ID]],tblSeverityAnalysis[[ID]:[Highest Severity]],35,FALSE)&gt;3),50%,0%))*tblPiNAnalysis[[#This Row],[Final PiN]]</f>
        <v>24196</v>
      </c>
    </row>
    <row r="69" spans="1:67" hidden="1">
      <c r="A6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Global_PopulationHT0521</v>
      </c>
      <c r="B69" s="304" t="s">
        <v>287</v>
      </c>
      <c r="C69" s="213" t="s">
        <v>288</v>
      </c>
      <c r="D69" s="213" t="s">
        <v>295</v>
      </c>
      <c r="E69" s="103" t="s">
        <v>296</v>
      </c>
      <c r="F69" s="99"/>
      <c r="G69" s="34"/>
      <c r="H69" s="357"/>
      <c r="I69" s="354">
        <v>162808</v>
      </c>
      <c r="J69" s="221" t="s">
        <v>156</v>
      </c>
      <c r="K69" s="316">
        <v>10507.5</v>
      </c>
      <c r="L69" s="308">
        <v>30817</v>
      </c>
      <c r="M69" s="308">
        <v>15021</v>
      </c>
      <c r="N69" s="308">
        <v>100158</v>
      </c>
      <c r="O69" s="308">
        <v>93090.876232262672</v>
      </c>
      <c r="P69" s="308">
        <v>17323.375</v>
      </c>
      <c r="Q69" s="309">
        <v>38830</v>
      </c>
      <c r="R69" s="308">
        <v>7005</v>
      </c>
      <c r="S69" s="308"/>
      <c r="T69" s="308"/>
      <c r="U69" s="308"/>
      <c r="V69" s="308"/>
      <c r="W69" s="317">
        <f>IFERROR(IF(tblPiNAnalysis[[#This Row],[CCCM]]="", "", MROUND(tblPiNAnalysis[[#This Row],[CCCM]]/tblPiNAnalysis[[#This Row],[Population]], 0.05)), "")</f>
        <v>0.05</v>
      </c>
      <c r="X69" s="318">
        <f>IFERROR(IF(tblPiNAnalysis[[#This Row],[Education]]="", "", MROUND(tblPiNAnalysis[[#This Row],[Education]]/tblPiNAnalysis[[#This Row],[Population]], 0.05)), "")</f>
        <v>0.2</v>
      </c>
      <c r="Y69" s="318">
        <f>IFERROR(IF(tblPiNAnalysis[[#This Row],[Nutrition]]="", "", MROUND(tblPiNAnalysis[[#This Row],[Nutrition]]/tblPiNAnalysis[[#This Row],[Population]], 0.05)), "")</f>
        <v>0.1</v>
      </c>
      <c r="Z69" s="318">
        <f>IFERROR(IF(tblPiNAnalysis[[#This Row],[Food Security]]="", "", MROUND(tblPiNAnalysis[[#This Row],[Food Security]]/tblPiNAnalysis[[#This Row],[Population]], 0.05)), "")</f>
        <v>0.60000000000000009</v>
      </c>
      <c r="AA69" s="318">
        <f>IFERROR(IF(tblPiNAnalysis[[#This Row],[Health]]="", "", MROUND(tblPiNAnalysis[[#This Row],[Health]]/tblPiNAnalysis[[#This Row],[Population]], 0.05)), "")</f>
        <v>0.55000000000000004</v>
      </c>
      <c r="AB69" s="319">
        <f>IFERROR(IF(tblPiNAnalysis[[#This Row],[Protection]]="", "", MROUND(tblPiNAnalysis[[#This Row],[Protection]]/tblPiNAnalysis[[#This Row],[Population]], 0.05)), "")</f>
        <v>0.1</v>
      </c>
      <c r="AC69" s="319">
        <f>IFERROR(IF(tblPiNAnalysis[[#This Row],[Shelter]]="", "", MROUND(tblPiNAnalysis[[#This Row],[Shelter]]/tblPiNAnalysis[[#This Row],[Population]], 0.05)), "")</f>
        <v>0.25</v>
      </c>
      <c r="AD69" s="320">
        <f>IFERROR(IF(tblPiNAnalysis[[#This Row],[WASH]]="", "", MROUND(tblPiNAnalysis[[#This Row],[WASH]]/tblPiNAnalysis[[#This Row],[Population]], 0.05)), "")</f>
        <v>0.05</v>
      </c>
      <c r="AE69" s="318">
        <f>IFERROR(MROUND(tblPiNAnalysis[[#This Row],[CP]]/tblPiNAnalysis[[#This Row],[Population]], 0.05), "")</f>
        <v>0</v>
      </c>
      <c r="AF69" s="318">
        <f>IFERROR(MROUND(tblPiNAnalysis[[#This Row],[GBV]]/tblPiNAnalysis[[#This Row],[Population]], 0.05), "")</f>
        <v>0</v>
      </c>
      <c r="AG69" s="318">
        <f>IFERROR(MROUND(tblPiNAnalysis[[#This Row],[Migrants]]/tblPiNAnalysis[[#This Row],[Population]], 0.05), "")</f>
        <v>0</v>
      </c>
      <c r="AH69" s="318">
        <f>IFERROR(MROUND(tblPiNAnalysis[[#This Row],[_]]/tblPiNAnalysis[[#This Row],[Population]], 0.05), "")</f>
        <v>0</v>
      </c>
      <c r="AI69" s="321">
        <f>IFERROR(LARGE(tblPiNAnalysis[[#This Row],[CCCM]:[WASH]], 1), "")</f>
        <v>100158</v>
      </c>
      <c r="AJ69" s="322" t="str" cm="1">
        <f t="array" ref="AJ69">IF(tblPiNAnalysis[[#This Row],[Highest PiN]]="", "", _xlfn.TEXTJOIN(CHAR(10), TRUE, IF(tblPiNAnalysis[[#This Row],[Highest PiN]]=tblPiNAnalysis[[#This Row],[CCCM]:[WASH]], tblPiNAnalysis[[#Headers],[CCCM]:[WASH]], "")))</f>
        <v>Food Security</v>
      </c>
      <c r="AK69" s="323">
        <f>IF(tblPiNAnalysis[[#This Row],[Highest PiN]]="", "", tblPiNAnalysis[[#This Row],[Highest PiN]]/tblPiNAnalysis[[#This Row],[Population]])</f>
        <v>0.615190899710088</v>
      </c>
      <c r="AL69" s="265" t="str">
        <f>IF(SUM(tblPiNAnalysis[[#This Row],[CCCM]:[WASH]])=0, "",IF(COUNTIF(tblPiNAnalysis[[#This Row],[CCCM]:[WASH]],"=0")+COUNTIF(tblPiNAnalysis[[#This Row],[CCCM]:[WASH]],"")&gt;=zero_pin_thresh, "Flagged", ""))</f>
        <v/>
      </c>
      <c r="AM69" s="264" t="str">
        <f>IFERROR(IF(tblPiNAnalysis[[#This Row],[Highest PiN]]="", "", IF(tblPiNAnalysis[[#This Row],[Highest sector(s'') PiN %]]&gt;=flag_pin_perc, "Flagged", "")), "")</f>
        <v/>
      </c>
      <c r="AN69" s="266" t="str" cm="1">
        <f t="array" ref="AN69">IF(tblPiNAnalysis[[#This Row],[Highest PiN]]=0, "",  IF(OR(COUNTIF(tblPiNAnalysis[[#This Row],[Highest sector(s)]],tblSubSectorPopulation[Sector])), "Flagged", ""))</f>
        <v/>
      </c>
      <c r="AO69" s="45" cm="1">
        <f t="array" ref="AO6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93090.876232262672</v>
      </c>
      <c r="AP69" s="326" t="str" cm="1">
        <f t="array" ref="AP69">IF(tblPiNAnalysis[[#This Row],[2nd Highest PiN]]="", "", _xlfn.TEXTJOIN(CHAR(10), TRUE, IF(tblPiNAnalysis[[#This Row],[2nd Highest PiN]]=tblPiNAnalysis[[#This Row],[CCCM]:[WASH]], tblPiNAnalysis[[#Headers],[CCCM]:[WASH]], "")))</f>
        <v>Health</v>
      </c>
      <c r="AQ69" s="35">
        <f>IFERROR(tblPiNAnalysis[[#This Row],[2nd Highest PiN]]/tblPiNAnalysis[[#This Row],[Population]], "")</f>
        <v>0.57178318161431052</v>
      </c>
      <c r="AR69" s="45">
        <f>IFERROR(tblPiNAnalysis[[#This Row],[Highest PiN]]-tblPiNAnalysis[[#This Row],[2nd Highest PiN]], "")</f>
        <v>7067.1237677373283</v>
      </c>
      <c r="AS69" s="38">
        <f>IFERROR(((tblPiNAnalysis[[#This Row],[Highest PiN]]-tblPiNAnalysis[[#This Row],[2nd Highest PiN]])/tblPiNAnalysis[[#This Row],[2nd Highest PiN]]),"")</f>
        <v>7.5916395395234898E-2</v>
      </c>
      <c r="AT69" s="269" t="str" cm="1">
        <f t="array" ref="AT6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69" s="327" cm="1">
        <f t="array" ref="AU6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38830</v>
      </c>
      <c r="AV69" s="186" t="str" cm="1">
        <f t="array" ref="AV69">IF(tblPiNAnalysis[[#This Row],[3rd Highest PiN]]="", "", _xlfn.TEXTJOIN(CHAR(10), TRUE, IF(tblPiNAnalysis[[#This Row],[3rd Highest PiN]]=tblPiNAnalysis[[#This Row],[CCCM]:[WASH]], tblPiNAnalysis[[#Headers],[CCCM]:[WASH]], "")))</f>
        <v>Shelter</v>
      </c>
      <c r="AW69" s="186">
        <f>IFERROR(tblPiNAnalysis[[#This Row],[3rd Highest PiN]]/tblPiNAnalysis[[#This Row],[Population]], "")</f>
        <v>0.23850179352365977</v>
      </c>
      <c r="AX69" s="44">
        <f>IFERROR(tblPiNAnalysis[[#This Row],[Highest PiN]]-tblPiNAnalysis[[#This Row],[3rd Highest PiN]],"")</f>
        <v>61328</v>
      </c>
      <c r="AY69" s="38">
        <f>IFERROR(tblPiNAnalysis[[#This Row],[Difference of PiN between Highest and 3rd Highest]]/tblPiNAnalysis[[#This Row],[3rd Highest PiN]], "")</f>
        <v>1.5793973731650786</v>
      </c>
      <c r="AZ69" s="325" t="str" cm="1">
        <f t="array" ref="AZ6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69" s="292" cm="1">
        <f t="array" ref="BA69">IFERROR(IF(tblPiNAnalysis[[#This Row],[ID]]="", "", INDEX(tblPiNHistorical[[CCCM]:[WASH]], MATCH(tblPiNAnalysis[[#This Row],[ID]],tblPiNHistorical[ID], 0),MATCH(_xlfn._xlws.FILTER(tblPiNAnalysis[[#Headers],[CCCM]:[WASH]], tblPiNAnalysis[[#This Row],[Highest PiN]]=tblPiNAnalysis[[#This Row],[CCCM]:[WASH]]), tblPiNHistorical[[#Headers],[CCCM]:[WASH]], 0))), "")</f>
        <v>0.2</v>
      </c>
      <c r="BB69" s="328" t="str" cm="1">
        <f t="array" ref="BB6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69" s="272" cm="1">
        <f t="array" ref="BC69">IFERROR(IF(tblPiNAnalysis[[#This Row],[ID]]="", "", INDEX(tblPiNHistorical[[CCCM]:[WASH]], MATCH(tblPiNAnalysis[[#This Row],[ID]],tblPiNHistorical[ID], 0),MATCH(_xlfn._xlws.FILTER(tblPiNAnalysis[[#Headers],[CCCM]:[WASH]], tblPiNAnalysis[[#This Row],[2nd Highest PiN]]=tblPiNAnalysis[[#This Row],[CCCM]:[WASH]]), tblPiNHistorical[[#Headers],[CCCM]:[WASH]], 0))), "")</f>
        <v>1</v>
      </c>
      <c r="BD69" s="329" t="str" cm="1">
        <f t="array" ref="BD6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69" s="371">
        <f>INDEX(tblSeverityAnalysis[Final Severity], MATCH(tblPiNAnalysis[[#This Row],[ID]],tblSeverityAnalysis[ID], 0))</f>
        <v>4</v>
      </c>
      <c r="BF69" s="60">
        <f>IF(tblPiNAnalysis[[#This Row],[Severity]]&gt;2,tblPiNAnalysis[[#This Row],[Highest PiN]],)</f>
        <v>100158</v>
      </c>
      <c r="BG69" s="187"/>
      <c r="BH69" s="188"/>
      <c r="BI69" s="189">
        <f>COUNTIFS(tblPiNAnalysis[[#This Row],[Number of missing / zero PiNs greater than threshold - Data quality]:[Manual Flag]],"Flagged")</f>
        <v>2</v>
      </c>
      <c r="BJ69" s="346" t="str">
        <f>IF(tblPiNAnalysis[[#This Row],['# Flags]]&gt;0, "Flagged", "")</f>
        <v>Flagged</v>
      </c>
      <c r="BK69" s="339">
        <f>tblPiNAnalysis[[#This Row],[Preliminary PiN]]</f>
        <v>100158</v>
      </c>
      <c r="BL69" s="326"/>
      <c r="BM69" s="383">
        <f>IF(OR(tblPiNAnalysis[[#This Row],[Severity]]=4,tblPiNAnalysis[[#This Row],[Severity]]=5),tblPiNAnalysis[[#This Row],[Final PiN]],0)</f>
        <v>100158</v>
      </c>
      <c r="BN69" s="378">
        <f>IF(OR(tblPiNAnalysis[[#This Row],[Severity]]=4,tblPiNAnalysis[[#This Row],[Severity]]=5),100%, IF(tblPiNAnalysis[[#This Row],[Severity]]=3,50%,0%))*tblPiNAnalysis[[#This Row],[Final PiN]]</f>
        <v>100158</v>
      </c>
      <c r="BO69" s="383">
        <f>IF(OR(tblPiNAnalysis[[#This Row],[Severity]]=4,tblPiNAnalysis[[#This Row],[Severity]]=5),100%, IF(AND(tblPiNAnalysis[[#This Row],[Severity]]=3,VLOOKUP(tblPiNAnalysis[[#This Row],[ID]],tblSeverityAnalysis[[ID]:[Highest Severity]],35,FALSE)&gt;3),50%,0%))*tblPiNAnalysis[[#This Row],[Final PiN]]</f>
        <v>100158</v>
      </c>
    </row>
    <row r="70" spans="1:67" hidden="1">
      <c r="A7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Global_PopulationHT0522</v>
      </c>
      <c r="B70" s="304" t="s">
        <v>287</v>
      </c>
      <c r="C70" s="213" t="s">
        <v>288</v>
      </c>
      <c r="D70" s="213" t="s">
        <v>297</v>
      </c>
      <c r="E70" s="103" t="s">
        <v>298</v>
      </c>
      <c r="F70" s="99"/>
      <c r="G70" s="34"/>
      <c r="H70" s="357"/>
      <c r="I70" s="354">
        <v>32784</v>
      </c>
      <c r="J70" s="221" t="s">
        <v>156</v>
      </c>
      <c r="K70" s="316">
        <v>3025.5</v>
      </c>
      <c r="L70" s="308">
        <v>6424</v>
      </c>
      <c r="M70" s="308">
        <v>2918</v>
      </c>
      <c r="N70" s="308">
        <v>21430</v>
      </c>
      <c r="O70" s="308">
        <v>4258.3241624194352</v>
      </c>
      <c r="P70" s="308">
        <v>4415.6454545454544</v>
      </c>
      <c r="Q70" s="309">
        <v>18293</v>
      </c>
      <c r="R70" s="308">
        <v>2253.636363636364</v>
      </c>
      <c r="S70" s="308"/>
      <c r="T70" s="308"/>
      <c r="U70" s="308"/>
      <c r="V70" s="308"/>
      <c r="W70" s="317">
        <f>IFERROR(IF(tblPiNAnalysis[[#This Row],[CCCM]]="", "", MROUND(tblPiNAnalysis[[#This Row],[CCCM]]/tblPiNAnalysis[[#This Row],[Population]], 0.05)), "")</f>
        <v>0.1</v>
      </c>
      <c r="X70" s="318">
        <f>IFERROR(IF(tblPiNAnalysis[[#This Row],[Education]]="", "", MROUND(tblPiNAnalysis[[#This Row],[Education]]/tblPiNAnalysis[[#This Row],[Population]], 0.05)), "")</f>
        <v>0.2</v>
      </c>
      <c r="Y70" s="318">
        <f>IFERROR(IF(tblPiNAnalysis[[#This Row],[Nutrition]]="", "", MROUND(tblPiNAnalysis[[#This Row],[Nutrition]]/tblPiNAnalysis[[#This Row],[Population]], 0.05)), "")</f>
        <v>0.1</v>
      </c>
      <c r="Z70" s="318">
        <f>IFERROR(IF(tblPiNAnalysis[[#This Row],[Food Security]]="", "", MROUND(tblPiNAnalysis[[#This Row],[Food Security]]/tblPiNAnalysis[[#This Row],[Population]], 0.05)), "")</f>
        <v>0.65</v>
      </c>
      <c r="AA70" s="318">
        <f>IFERROR(IF(tblPiNAnalysis[[#This Row],[Health]]="", "", MROUND(tblPiNAnalysis[[#This Row],[Health]]/tblPiNAnalysis[[#This Row],[Population]], 0.05)), "")</f>
        <v>0.15000000000000002</v>
      </c>
      <c r="AB70" s="319">
        <f>IFERROR(IF(tblPiNAnalysis[[#This Row],[Protection]]="", "", MROUND(tblPiNAnalysis[[#This Row],[Protection]]/tblPiNAnalysis[[#This Row],[Population]], 0.05)), "")</f>
        <v>0.15000000000000002</v>
      </c>
      <c r="AC70" s="319">
        <f>IFERROR(IF(tblPiNAnalysis[[#This Row],[Shelter]]="", "", MROUND(tblPiNAnalysis[[#This Row],[Shelter]]/tblPiNAnalysis[[#This Row],[Population]], 0.05)), "")</f>
        <v>0.55000000000000004</v>
      </c>
      <c r="AD70" s="320">
        <f>IFERROR(IF(tblPiNAnalysis[[#This Row],[WASH]]="", "", MROUND(tblPiNAnalysis[[#This Row],[WASH]]/tblPiNAnalysis[[#This Row],[Population]], 0.05)), "")</f>
        <v>0.05</v>
      </c>
      <c r="AE70" s="318">
        <f>IFERROR(MROUND(tblPiNAnalysis[[#This Row],[CP]]/tblPiNAnalysis[[#This Row],[Population]], 0.05), "")</f>
        <v>0</v>
      </c>
      <c r="AF70" s="318">
        <f>IFERROR(MROUND(tblPiNAnalysis[[#This Row],[GBV]]/tblPiNAnalysis[[#This Row],[Population]], 0.05), "")</f>
        <v>0</v>
      </c>
      <c r="AG70" s="318">
        <f>IFERROR(MROUND(tblPiNAnalysis[[#This Row],[Migrants]]/tblPiNAnalysis[[#This Row],[Population]], 0.05), "")</f>
        <v>0</v>
      </c>
      <c r="AH70" s="318">
        <f>IFERROR(MROUND(tblPiNAnalysis[[#This Row],[_]]/tblPiNAnalysis[[#This Row],[Population]], 0.05), "")</f>
        <v>0</v>
      </c>
      <c r="AI70" s="321">
        <f>IFERROR(LARGE(tblPiNAnalysis[[#This Row],[CCCM]:[WASH]], 1), "")</f>
        <v>21430</v>
      </c>
      <c r="AJ70" s="322" t="str" cm="1">
        <f t="array" ref="AJ70">IF(tblPiNAnalysis[[#This Row],[Highest PiN]]="", "", _xlfn.TEXTJOIN(CHAR(10), TRUE, IF(tblPiNAnalysis[[#This Row],[Highest PiN]]=tblPiNAnalysis[[#This Row],[CCCM]:[WASH]], tblPiNAnalysis[[#Headers],[CCCM]:[WASH]], "")))</f>
        <v>Food Security</v>
      </c>
      <c r="AK70" s="323">
        <f>IF(tblPiNAnalysis[[#This Row],[Highest PiN]]="", "", tblPiNAnalysis[[#This Row],[Highest PiN]]/tblPiNAnalysis[[#This Row],[Population]])</f>
        <v>0.65367252318204006</v>
      </c>
      <c r="AL70" s="265" t="str">
        <f>IF(SUM(tblPiNAnalysis[[#This Row],[CCCM]:[WASH]])=0, "",IF(COUNTIF(tblPiNAnalysis[[#This Row],[CCCM]:[WASH]],"=0")+COUNTIF(tblPiNAnalysis[[#This Row],[CCCM]:[WASH]],"")&gt;=zero_pin_thresh, "Flagged", ""))</f>
        <v/>
      </c>
      <c r="AM70" s="264" t="str">
        <f>IFERROR(IF(tblPiNAnalysis[[#This Row],[Highest PiN]]="", "", IF(tblPiNAnalysis[[#This Row],[Highest sector(s'') PiN %]]&gt;=flag_pin_perc, "Flagged", "")), "")</f>
        <v/>
      </c>
      <c r="AN70" s="266" t="str" cm="1">
        <f t="array" ref="AN70">IF(tblPiNAnalysis[[#This Row],[Highest PiN]]=0, "",  IF(OR(COUNTIF(tblPiNAnalysis[[#This Row],[Highest sector(s)]],tblSubSectorPopulation[Sector])), "Flagged", ""))</f>
        <v/>
      </c>
      <c r="AO70" s="45" cm="1">
        <f t="array" ref="AO7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18293</v>
      </c>
      <c r="AP70" s="326" t="str" cm="1">
        <f t="array" ref="AP70">IF(tblPiNAnalysis[[#This Row],[2nd Highest PiN]]="", "", _xlfn.TEXTJOIN(CHAR(10), TRUE, IF(tblPiNAnalysis[[#This Row],[2nd Highest PiN]]=tblPiNAnalysis[[#This Row],[CCCM]:[WASH]], tblPiNAnalysis[[#Headers],[CCCM]:[WASH]], "")))</f>
        <v>Shelter</v>
      </c>
      <c r="AQ70" s="35">
        <f>IFERROR(tblPiNAnalysis[[#This Row],[2nd Highest PiN]]/tblPiNAnalysis[[#This Row],[Population]], "")</f>
        <v>0.55798560273304054</v>
      </c>
      <c r="AR70" s="45">
        <f>IFERROR(tblPiNAnalysis[[#This Row],[Highest PiN]]-tblPiNAnalysis[[#This Row],[2nd Highest PiN]], "")</f>
        <v>3137</v>
      </c>
      <c r="AS70" s="38">
        <f>IFERROR(((tblPiNAnalysis[[#This Row],[Highest PiN]]-tblPiNAnalysis[[#This Row],[2nd Highest PiN]])/tblPiNAnalysis[[#This Row],[2nd Highest PiN]]),"")</f>
        <v>0.17148636090307767</v>
      </c>
      <c r="AT70" s="269" t="str" cm="1">
        <f t="array" ref="AT7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0" s="327" cm="1">
        <f t="array" ref="AU7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6424</v>
      </c>
      <c r="AV70" s="186" t="str" cm="1">
        <f t="array" ref="AV70">IF(tblPiNAnalysis[[#This Row],[3rd Highest PiN]]="", "", _xlfn.TEXTJOIN(CHAR(10), TRUE, IF(tblPiNAnalysis[[#This Row],[3rd Highest PiN]]=tblPiNAnalysis[[#This Row],[CCCM]:[WASH]], tblPiNAnalysis[[#Headers],[CCCM]:[WASH]], "")))</f>
        <v>Education</v>
      </c>
      <c r="AW70" s="186">
        <f>IFERROR(tblPiNAnalysis[[#This Row],[3rd Highest PiN]]/tblPiNAnalysis[[#This Row],[Population]], "")</f>
        <v>0.19594924353343093</v>
      </c>
      <c r="AX70" s="44">
        <f>IFERROR(tblPiNAnalysis[[#This Row],[Highest PiN]]-tblPiNAnalysis[[#This Row],[3rd Highest PiN]],"")</f>
        <v>15006</v>
      </c>
      <c r="AY70" s="38">
        <f>IFERROR(tblPiNAnalysis[[#This Row],[Difference of PiN between Highest and 3rd Highest]]/tblPiNAnalysis[[#This Row],[3rd Highest PiN]], "")</f>
        <v>2.3359277708592776</v>
      </c>
      <c r="AZ70" s="325" t="str" cm="1">
        <f t="array" ref="AZ7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0" s="292" cm="1">
        <f t="array" ref="BA70">IFERROR(IF(tblPiNAnalysis[[#This Row],[ID]]="", "", INDEX(tblPiNHistorical[[CCCM]:[WASH]], MATCH(tblPiNAnalysis[[#This Row],[ID]],tblPiNHistorical[ID], 0),MATCH(_xlfn._xlws.FILTER(tblPiNAnalysis[[#Headers],[CCCM]:[WASH]], tblPiNAnalysis[[#This Row],[Highest PiN]]=tblPiNAnalysis[[#This Row],[CCCM]:[WASH]]), tblPiNHistorical[[#Headers],[CCCM]:[WASH]], 0))), "")</f>
        <v>0.4</v>
      </c>
      <c r="BB70" s="328" t="str" cm="1">
        <f t="array" ref="BB7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0" s="272" cm="1">
        <f t="array" ref="BC70">IFERROR(IF(tblPiNAnalysis[[#This Row],[ID]]="", "", INDEX(tblPiNHistorical[[CCCM]:[WASH]], MATCH(tblPiNAnalysis[[#This Row],[ID]],tblPiNHistorical[ID], 0),MATCH(_xlfn._xlws.FILTER(tblPiNAnalysis[[#Headers],[CCCM]:[WASH]], tblPiNAnalysis[[#This Row],[2nd Highest PiN]]=tblPiNAnalysis[[#This Row],[CCCM]:[WASH]]), tblPiNHistorical[[#Headers],[CCCM]:[WASH]], 0))), "")</f>
        <v>1.1000000000000001</v>
      </c>
      <c r="BD70" s="329" t="str" cm="1">
        <f t="array" ref="BD7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70" s="371">
        <f>INDEX(tblSeverityAnalysis[Final Severity], MATCH(tblPiNAnalysis[[#This Row],[ID]],tblSeverityAnalysis[ID], 0))</f>
        <v>3</v>
      </c>
      <c r="BF70" s="60">
        <f>IF(tblPiNAnalysis[[#This Row],[Severity]]&gt;2,tblPiNAnalysis[[#This Row],[Highest PiN]],)</f>
        <v>21430</v>
      </c>
      <c r="BG70" s="187"/>
      <c r="BH70" s="188"/>
      <c r="BI70" s="189">
        <f>COUNTIFS(tblPiNAnalysis[[#This Row],[Number of missing / zero PiNs greater than threshold - Data quality]:[Manual Flag]],"Flagged")</f>
        <v>2</v>
      </c>
      <c r="BJ70" s="346" t="str">
        <f>IF(tblPiNAnalysis[[#This Row],['# Flags]]&gt;0, "Flagged", "")</f>
        <v>Flagged</v>
      </c>
      <c r="BK70" s="339">
        <f>tblPiNAnalysis[[#This Row],[Preliminary PiN]]</f>
        <v>21430</v>
      </c>
      <c r="BL70" s="326"/>
      <c r="BM70" s="383">
        <f>IF(OR(tblPiNAnalysis[[#This Row],[Severity]]=4,tblPiNAnalysis[[#This Row],[Severity]]=5),tblPiNAnalysis[[#This Row],[Final PiN]],0)</f>
        <v>0</v>
      </c>
      <c r="BN70" s="378">
        <f>IF(OR(tblPiNAnalysis[[#This Row],[Severity]]=4,tblPiNAnalysis[[#This Row],[Severity]]=5),100%, IF(tblPiNAnalysis[[#This Row],[Severity]]=3,50%,0%))*tblPiNAnalysis[[#This Row],[Final PiN]]</f>
        <v>10715</v>
      </c>
      <c r="BO70" s="383">
        <f>IF(OR(tblPiNAnalysis[[#This Row],[Severity]]=4,tblPiNAnalysis[[#This Row],[Severity]]=5),100%, IF(AND(tblPiNAnalysis[[#This Row],[Severity]]=3,VLOOKUP(tblPiNAnalysis[[#This Row],[ID]],tblSeverityAnalysis[[ID]:[Highest Severity]],35,FALSE)&gt;3),50%,0%))*tblPiNAnalysis[[#This Row],[Final PiN]]</f>
        <v>10715</v>
      </c>
    </row>
    <row r="71" spans="1:67" hidden="1">
      <c r="A7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Global_PopulationHT0523</v>
      </c>
      <c r="B71" s="304" t="s">
        <v>287</v>
      </c>
      <c r="C71" s="213" t="s">
        <v>288</v>
      </c>
      <c r="D71" s="213" t="s">
        <v>299</v>
      </c>
      <c r="E71" s="103" t="s">
        <v>300</v>
      </c>
      <c r="F71" s="99"/>
      <c r="G71" s="34"/>
      <c r="H71" s="357"/>
      <c r="I71" s="354">
        <v>47668</v>
      </c>
      <c r="J71" s="221" t="s">
        <v>156</v>
      </c>
      <c r="K71" s="316">
        <v>6000</v>
      </c>
      <c r="L71" s="308">
        <v>9422</v>
      </c>
      <c r="M71" s="308">
        <v>5015</v>
      </c>
      <c r="N71" s="308">
        <v>29756</v>
      </c>
      <c r="O71" s="308">
        <v>8299.0041500000007</v>
      </c>
      <c r="P71" s="308">
        <v>8679</v>
      </c>
      <c r="Q71" s="309">
        <v>21108</v>
      </c>
      <c r="R71" s="308">
        <v>4000</v>
      </c>
      <c r="S71" s="308"/>
      <c r="T71" s="308"/>
      <c r="U71" s="308"/>
      <c r="V71" s="308"/>
      <c r="W71" s="317">
        <f>IFERROR(IF(tblPiNAnalysis[[#This Row],[CCCM]]="", "", MROUND(tblPiNAnalysis[[#This Row],[CCCM]]/tblPiNAnalysis[[#This Row],[Population]], 0.05)), "")</f>
        <v>0.15000000000000002</v>
      </c>
      <c r="X71" s="318">
        <f>IFERROR(IF(tblPiNAnalysis[[#This Row],[Education]]="", "", MROUND(tblPiNAnalysis[[#This Row],[Education]]/tblPiNAnalysis[[#This Row],[Population]], 0.05)), "")</f>
        <v>0.2</v>
      </c>
      <c r="Y71" s="318">
        <f>IFERROR(IF(tblPiNAnalysis[[#This Row],[Nutrition]]="", "", MROUND(tblPiNAnalysis[[#This Row],[Nutrition]]/tblPiNAnalysis[[#This Row],[Population]], 0.05)), "")</f>
        <v>0.1</v>
      </c>
      <c r="Z71" s="318">
        <f>IFERROR(IF(tblPiNAnalysis[[#This Row],[Food Security]]="", "", MROUND(tblPiNAnalysis[[#This Row],[Food Security]]/tblPiNAnalysis[[#This Row],[Population]], 0.05)), "")</f>
        <v>0.60000000000000009</v>
      </c>
      <c r="AA71" s="318">
        <f>IFERROR(IF(tblPiNAnalysis[[#This Row],[Health]]="", "", MROUND(tblPiNAnalysis[[#This Row],[Health]]/tblPiNAnalysis[[#This Row],[Population]], 0.05)), "")</f>
        <v>0.15000000000000002</v>
      </c>
      <c r="AB71" s="319">
        <f>IFERROR(IF(tblPiNAnalysis[[#This Row],[Protection]]="", "", MROUND(tblPiNAnalysis[[#This Row],[Protection]]/tblPiNAnalysis[[#This Row],[Population]], 0.05)), "")</f>
        <v>0.2</v>
      </c>
      <c r="AC71" s="319">
        <f>IFERROR(IF(tblPiNAnalysis[[#This Row],[Shelter]]="", "", MROUND(tblPiNAnalysis[[#This Row],[Shelter]]/tblPiNAnalysis[[#This Row],[Population]], 0.05)), "")</f>
        <v>0.45</v>
      </c>
      <c r="AD71" s="320">
        <f>IFERROR(IF(tblPiNAnalysis[[#This Row],[WASH]]="", "", MROUND(tblPiNAnalysis[[#This Row],[WASH]]/tblPiNAnalysis[[#This Row],[Population]], 0.05)), "")</f>
        <v>0.1</v>
      </c>
      <c r="AE71" s="318">
        <f>IFERROR(MROUND(tblPiNAnalysis[[#This Row],[CP]]/tblPiNAnalysis[[#This Row],[Population]], 0.05), "")</f>
        <v>0</v>
      </c>
      <c r="AF71" s="318">
        <f>IFERROR(MROUND(tblPiNAnalysis[[#This Row],[GBV]]/tblPiNAnalysis[[#This Row],[Population]], 0.05), "")</f>
        <v>0</v>
      </c>
      <c r="AG71" s="318">
        <f>IFERROR(MROUND(tblPiNAnalysis[[#This Row],[Migrants]]/tblPiNAnalysis[[#This Row],[Population]], 0.05), "")</f>
        <v>0</v>
      </c>
      <c r="AH71" s="318">
        <f>IFERROR(MROUND(tblPiNAnalysis[[#This Row],[_]]/tblPiNAnalysis[[#This Row],[Population]], 0.05), "")</f>
        <v>0</v>
      </c>
      <c r="AI71" s="321">
        <f>IFERROR(LARGE(tblPiNAnalysis[[#This Row],[CCCM]:[WASH]], 1), "")</f>
        <v>29756</v>
      </c>
      <c r="AJ71" s="322" t="str" cm="1">
        <f t="array" ref="AJ71">IF(tblPiNAnalysis[[#This Row],[Highest PiN]]="", "", _xlfn.TEXTJOIN(CHAR(10), TRUE, IF(tblPiNAnalysis[[#This Row],[Highest PiN]]=tblPiNAnalysis[[#This Row],[CCCM]:[WASH]], tblPiNAnalysis[[#Headers],[CCCM]:[WASH]], "")))</f>
        <v>Food Security</v>
      </c>
      <c r="AK71" s="323">
        <f>IF(tblPiNAnalysis[[#This Row],[Highest PiN]]="", "", tblPiNAnalysis[[#This Row],[Highest PiN]]/tblPiNAnalysis[[#This Row],[Population]])</f>
        <v>0.62423428715280693</v>
      </c>
      <c r="AL71" s="265" t="str">
        <f>IF(SUM(tblPiNAnalysis[[#This Row],[CCCM]:[WASH]])=0, "",IF(COUNTIF(tblPiNAnalysis[[#This Row],[CCCM]:[WASH]],"=0")+COUNTIF(tblPiNAnalysis[[#This Row],[CCCM]:[WASH]],"")&gt;=zero_pin_thresh, "Flagged", ""))</f>
        <v/>
      </c>
      <c r="AM71" s="264" t="str">
        <f>IFERROR(IF(tblPiNAnalysis[[#This Row],[Highest PiN]]="", "", IF(tblPiNAnalysis[[#This Row],[Highest sector(s'') PiN %]]&gt;=flag_pin_perc, "Flagged", "")), "")</f>
        <v/>
      </c>
      <c r="AN71" s="266" t="str" cm="1">
        <f t="array" ref="AN71">IF(tblPiNAnalysis[[#This Row],[Highest PiN]]=0, "",  IF(OR(COUNTIF(tblPiNAnalysis[[#This Row],[Highest sector(s)]],tblSubSectorPopulation[Sector])), "Flagged", ""))</f>
        <v/>
      </c>
      <c r="AO71" s="45" cm="1">
        <f t="array" ref="AO7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21108</v>
      </c>
      <c r="AP71" s="326" t="str" cm="1">
        <f t="array" ref="AP71">IF(tblPiNAnalysis[[#This Row],[2nd Highest PiN]]="", "", _xlfn.TEXTJOIN(CHAR(10), TRUE, IF(tblPiNAnalysis[[#This Row],[2nd Highest PiN]]=tblPiNAnalysis[[#This Row],[CCCM]:[WASH]], tblPiNAnalysis[[#Headers],[CCCM]:[WASH]], "")))</f>
        <v>Shelter</v>
      </c>
      <c r="AQ71" s="35">
        <f>IFERROR(tblPiNAnalysis[[#This Row],[2nd Highest PiN]]/tblPiNAnalysis[[#This Row],[Population]], "")</f>
        <v>0.44281278845346983</v>
      </c>
      <c r="AR71" s="45">
        <f>IFERROR(tblPiNAnalysis[[#This Row],[Highest PiN]]-tblPiNAnalysis[[#This Row],[2nd Highest PiN]], "")</f>
        <v>8648</v>
      </c>
      <c r="AS71" s="38">
        <f>IFERROR(((tblPiNAnalysis[[#This Row],[Highest PiN]]-tblPiNAnalysis[[#This Row],[2nd Highest PiN]])/tblPiNAnalysis[[#This Row],[2nd Highest PiN]]),"")</f>
        <v>0.40970248247110103</v>
      </c>
      <c r="AT71" s="269" t="str" cm="1">
        <f t="array" ref="AT7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1" s="327" cm="1">
        <f t="array" ref="AU7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9422</v>
      </c>
      <c r="AV71" s="186" t="str" cm="1">
        <f t="array" ref="AV71">IF(tblPiNAnalysis[[#This Row],[3rd Highest PiN]]="", "", _xlfn.TEXTJOIN(CHAR(10), TRUE, IF(tblPiNAnalysis[[#This Row],[3rd Highest PiN]]=tblPiNAnalysis[[#This Row],[CCCM]:[WASH]], tblPiNAnalysis[[#Headers],[CCCM]:[WASH]], "")))</f>
        <v>Education</v>
      </c>
      <c r="AW71" s="186">
        <f>IFERROR(tblPiNAnalysis[[#This Row],[3rd Highest PiN]]/tblPiNAnalysis[[#This Row],[Population]], "")</f>
        <v>0.19765880674666442</v>
      </c>
      <c r="AX71" s="44">
        <f>IFERROR(tblPiNAnalysis[[#This Row],[Highest PiN]]-tblPiNAnalysis[[#This Row],[3rd Highest PiN]],"")</f>
        <v>20334</v>
      </c>
      <c r="AY71" s="38">
        <f>IFERROR(tblPiNAnalysis[[#This Row],[Difference of PiN between Highest and 3rd Highest]]/tblPiNAnalysis[[#This Row],[3rd Highest PiN]], "")</f>
        <v>2.1581405221821268</v>
      </c>
      <c r="AZ71" s="325" t="str" cm="1">
        <f t="array" ref="AZ7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1" s="292" cm="1">
        <f t="array" ref="BA71">IFERROR(IF(tblPiNAnalysis[[#This Row],[ID]]="", "", INDEX(tblPiNHistorical[[CCCM]:[WASH]], MATCH(tblPiNAnalysis[[#This Row],[ID]],tblPiNHistorical[ID], 0),MATCH(_xlfn._xlws.FILTER(tblPiNAnalysis[[#Headers],[CCCM]:[WASH]], tblPiNAnalysis[[#This Row],[Highest PiN]]=tblPiNAnalysis[[#This Row],[CCCM]:[WASH]]), tblPiNHistorical[[#Headers],[CCCM]:[WASH]], 0))), "")</f>
        <v>0.4</v>
      </c>
      <c r="BB71" s="328" t="str" cm="1">
        <f t="array" ref="BB7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1" s="272" cm="1">
        <f t="array" ref="BC7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71" s="329" t="str" cm="1">
        <f t="array" ref="BD7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1" s="371">
        <f>INDEX(tblSeverityAnalysis[Final Severity], MATCH(tblPiNAnalysis[[#This Row],[ID]],tblSeverityAnalysis[ID], 0))</f>
        <v>3</v>
      </c>
      <c r="BF71" s="60">
        <f>IF(tblPiNAnalysis[[#This Row],[Severity]]&gt;2,tblPiNAnalysis[[#This Row],[Highest PiN]],)</f>
        <v>29756</v>
      </c>
      <c r="BG71" s="187"/>
      <c r="BH71" s="188"/>
      <c r="BI71" s="189">
        <f>COUNTIFS(tblPiNAnalysis[[#This Row],[Number of missing / zero PiNs greater than threshold - Data quality]:[Manual Flag]],"Flagged")</f>
        <v>1</v>
      </c>
      <c r="BJ71" s="346" t="str">
        <f>IF(tblPiNAnalysis[[#This Row],['# Flags]]&gt;0, "Flagged", "")</f>
        <v>Flagged</v>
      </c>
      <c r="BK71" s="339">
        <f>tblPiNAnalysis[[#This Row],[Preliminary PiN]]</f>
        <v>29756</v>
      </c>
      <c r="BL71" s="326"/>
      <c r="BM71" s="383">
        <f>IF(OR(tblPiNAnalysis[[#This Row],[Severity]]=4,tblPiNAnalysis[[#This Row],[Severity]]=5),tblPiNAnalysis[[#This Row],[Final PiN]],0)</f>
        <v>0</v>
      </c>
      <c r="BN71" s="378">
        <f>IF(OR(tblPiNAnalysis[[#This Row],[Severity]]=4,tblPiNAnalysis[[#This Row],[Severity]]=5),100%, IF(tblPiNAnalysis[[#This Row],[Severity]]=3,50%,0%))*tblPiNAnalysis[[#This Row],[Final PiN]]</f>
        <v>14878</v>
      </c>
      <c r="BO71" s="383">
        <f>IF(OR(tblPiNAnalysis[[#This Row],[Severity]]=4,tblPiNAnalysis[[#This Row],[Severity]]=5),100%, IF(AND(tblPiNAnalysis[[#This Row],[Severity]]=3,VLOOKUP(tblPiNAnalysis[[#This Row],[ID]],tblSeverityAnalysis[[ID]:[Highest Severity]],35,FALSE)&gt;3),50%,0%))*tblPiNAnalysis[[#This Row],[Final PiN]]</f>
        <v>14878</v>
      </c>
    </row>
    <row r="72" spans="1:67" hidden="1">
      <c r="A7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Global_PopulationHT0531</v>
      </c>
      <c r="B72" s="304" t="s">
        <v>287</v>
      </c>
      <c r="C72" s="213" t="s">
        <v>288</v>
      </c>
      <c r="D72" s="213" t="s">
        <v>301</v>
      </c>
      <c r="E72" s="103" t="s">
        <v>302</v>
      </c>
      <c r="F72" s="99"/>
      <c r="G72" s="34"/>
      <c r="H72" s="357"/>
      <c r="I72" s="354">
        <v>281577</v>
      </c>
      <c r="J72" s="221" t="s">
        <v>156</v>
      </c>
      <c r="K72" s="316">
        <v>22929</v>
      </c>
      <c r="L72" s="308">
        <v>50169</v>
      </c>
      <c r="M72" s="308">
        <v>26276</v>
      </c>
      <c r="N72" s="308">
        <v>182838</v>
      </c>
      <c r="O72" s="308">
        <v>164189.82598143382</v>
      </c>
      <c r="P72" s="308">
        <v>23324.988809523806</v>
      </c>
      <c r="Q72" s="309">
        <v>91784</v>
      </c>
      <c r="R72" s="308">
        <v>210065.38095238095</v>
      </c>
      <c r="S72" s="308"/>
      <c r="T72" s="308"/>
      <c r="U72" s="308"/>
      <c r="V72" s="308"/>
      <c r="W72" s="317">
        <f>IFERROR(IF(tblPiNAnalysis[[#This Row],[CCCM]]="", "", MROUND(tblPiNAnalysis[[#This Row],[CCCM]]/tblPiNAnalysis[[#This Row],[Population]], 0.05)), "")</f>
        <v>0.1</v>
      </c>
      <c r="X72" s="318">
        <f>IFERROR(IF(tblPiNAnalysis[[#This Row],[Education]]="", "", MROUND(tblPiNAnalysis[[#This Row],[Education]]/tblPiNAnalysis[[#This Row],[Population]], 0.05)), "")</f>
        <v>0.2</v>
      </c>
      <c r="Y72" s="318">
        <f>IFERROR(IF(tblPiNAnalysis[[#This Row],[Nutrition]]="", "", MROUND(tblPiNAnalysis[[#This Row],[Nutrition]]/tblPiNAnalysis[[#This Row],[Population]], 0.05)), "")</f>
        <v>0.1</v>
      </c>
      <c r="Z72" s="318">
        <f>IFERROR(IF(tblPiNAnalysis[[#This Row],[Food Security]]="", "", MROUND(tblPiNAnalysis[[#This Row],[Food Security]]/tblPiNAnalysis[[#This Row],[Population]], 0.05)), "")</f>
        <v>0.65</v>
      </c>
      <c r="AA72" s="318">
        <f>IFERROR(IF(tblPiNAnalysis[[#This Row],[Health]]="", "", MROUND(tblPiNAnalysis[[#This Row],[Health]]/tblPiNAnalysis[[#This Row],[Population]], 0.05)), "")</f>
        <v>0.60000000000000009</v>
      </c>
      <c r="AB72" s="319">
        <f>IFERROR(IF(tblPiNAnalysis[[#This Row],[Protection]]="", "", MROUND(tblPiNAnalysis[[#This Row],[Protection]]/tblPiNAnalysis[[#This Row],[Population]], 0.05)), "")</f>
        <v>0.1</v>
      </c>
      <c r="AC72" s="319">
        <f>IFERROR(IF(tblPiNAnalysis[[#This Row],[Shelter]]="", "", MROUND(tblPiNAnalysis[[#This Row],[Shelter]]/tblPiNAnalysis[[#This Row],[Population]], 0.05)), "")</f>
        <v>0.35000000000000003</v>
      </c>
      <c r="AD72" s="320">
        <f>IFERROR(IF(tblPiNAnalysis[[#This Row],[WASH]]="", "", MROUND(tblPiNAnalysis[[#This Row],[WASH]]/tblPiNAnalysis[[#This Row],[Population]], 0.05)), "")</f>
        <v>0.75</v>
      </c>
      <c r="AE72" s="318">
        <f>IFERROR(MROUND(tblPiNAnalysis[[#This Row],[CP]]/tblPiNAnalysis[[#This Row],[Population]], 0.05), "")</f>
        <v>0</v>
      </c>
      <c r="AF72" s="318">
        <f>IFERROR(MROUND(tblPiNAnalysis[[#This Row],[GBV]]/tblPiNAnalysis[[#This Row],[Population]], 0.05), "")</f>
        <v>0</v>
      </c>
      <c r="AG72" s="318">
        <f>IFERROR(MROUND(tblPiNAnalysis[[#This Row],[Migrants]]/tblPiNAnalysis[[#This Row],[Population]], 0.05), "")</f>
        <v>0</v>
      </c>
      <c r="AH72" s="318">
        <f>IFERROR(MROUND(tblPiNAnalysis[[#This Row],[_]]/tblPiNAnalysis[[#This Row],[Population]], 0.05), "")</f>
        <v>0</v>
      </c>
      <c r="AI72" s="321">
        <f>IFERROR(LARGE(tblPiNAnalysis[[#This Row],[CCCM]:[WASH]], 1), "")</f>
        <v>210065.38095238095</v>
      </c>
      <c r="AJ72" s="322" t="str" cm="1">
        <f t="array" ref="AJ72">IF(tblPiNAnalysis[[#This Row],[Highest PiN]]="", "", _xlfn.TEXTJOIN(CHAR(10), TRUE, IF(tblPiNAnalysis[[#This Row],[Highest PiN]]=tblPiNAnalysis[[#This Row],[CCCM]:[WASH]], tblPiNAnalysis[[#Headers],[CCCM]:[WASH]], "")))</f>
        <v>WASH</v>
      </c>
      <c r="AK72" s="323">
        <f>IF(tblPiNAnalysis[[#This Row],[Highest PiN]]="", "", tblPiNAnalysis[[#This Row],[Highest PiN]]/tblPiNAnalysis[[#This Row],[Population]])</f>
        <v>0.74603174603174605</v>
      </c>
      <c r="AL72" s="265" t="str">
        <f>IF(SUM(tblPiNAnalysis[[#This Row],[CCCM]:[WASH]])=0, "",IF(COUNTIF(tblPiNAnalysis[[#This Row],[CCCM]:[WASH]],"=0")+COUNTIF(tblPiNAnalysis[[#This Row],[CCCM]:[WASH]],"")&gt;=zero_pin_thresh, "Flagged", ""))</f>
        <v/>
      </c>
      <c r="AM72" s="264" t="str">
        <f>IFERROR(IF(tblPiNAnalysis[[#This Row],[Highest PiN]]="", "", IF(tblPiNAnalysis[[#This Row],[Highest sector(s'') PiN %]]&gt;=flag_pin_perc, "Flagged", "")), "")</f>
        <v/>
      </c>
      <c r="AN72" s="266" t="str" cm="1">
        <f t="array" ref="AN72">IF(tblPiNAnalysis[[#This Row],[Highest PiN]]=0, "",  IF(OR(COUNTIF(tblPiNAnalysis[[#This Row],[Highest sector(s)]],tblSubSectorPopulation[Sector])), "Flagged", ""))</f>
        <v/>
      </c>
      <c r="AO72" s="45" cm="1">
        <f t="array" ref="AO7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182838</v>
      </c>
      <c r="AP72" s="326" t="str" cm="1">
        <f t="array" ref="AP72">IF(tblPiNAnalysis[[#This Row],[2nd Highest PiN]]="", "", _xlfn.TEXTJOIN(CHAR(10), TRUE, IF(tblPiNAnalysis[[#This Row],[2nd Highest PiN]]=tblPiNAnalysis[[#This Row],[CCCM]:[WASH]], tblPiNAnalysis[[#Headers],[CCCM]:[WASH]], "")))</f>
        <v>Food Security</v>
      </c>
      <c r="AQ72" s="35">
        <f>IFERROR(tblPiNAnalysis[[#This Row],[2nd Highest PiN]]/tblPiNAnalysis[[#This Row],[Population]], "")</f>
        <v>0.64933570568618881</v>
      </c>
      <c r="AR72" s="45">
        <f>IFERROR(tblPiNAnalysis[[#This Row],[Highest PiN]]-tblPiNAnalysis[[#This Row],[2nd Highest PiN]], "")</f>
        <v>27227.380952380947</v>
      </c>
      <c r="AS72" s="38">
        <f>IFERROR(((tblPiNAnalysis[[#This Row],[Highest PiN]]-tblPiNAnalysis[[#This Row],[2nd Highest PiN]])/tblPiNAnalysis[[#This Row],[2nd Highest PiN]]),"")</f>
        <v>0.1489153291568544</v>
      </c>
      <c r="AT72" s="269" t="str" cm="1">
        <f t="array" ref="AT7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2" s="327" cm="1">
        <f t="array" ref="AU7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164189.82598143382</v>
      </c>
      <c r="AV72" s="186" t="str" cm="1">
        <f t="array" ref="AV72">IF(tblPiNAnalysis[[#This Row],[3rd Highest PiN]]="", "", _xlfn.TEXTJOIN(CHAR(10), TRUE, IF(tblPiNAnalysis[[#This Row],[3rd Highest PiN]]=tblPiNAnalysis[[#This Row],[CCCM]:[WASH]], tblPiNAnalysis[[#Headers],[CCCM]:[WASH]], "")))</f>
        <v>Health</v>
      </c>
      <c r="AW72" s="186">
        <f>IFERROR(tblPiNAnalysis[[#This Row],[3rd Highest PiN]]/tblPiNAnalysis[[#This Row],[Population]], "")</f>
        <v>0.58310808759747357</v>
      </c>
      <c r="AX72" s="44">
        <f>IFERROR(tblPiNAnalysis[[#This Row],[Highest PiN]]-tblPiNAnalysis[[#This Row],[3rd Highest PiN]],"")</f>
        <v>45875.554970947123</v>
      </c>
      <c r="AY72" s="38">
        <f>IFERROR(tblPiNAnalysis[[#This Row],[Difference of PiN between Highest and 3rd Highest]]/tblPiNAnalysis[[#This Row],[3rd Highest PiN]], "")</f>
        <v>0.27940558860288101</v>
      </c>
      <c r="AZ72" s="325" t="str" cm="1">
        <f t="array" ref="AZ7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2" s="292" cm="1">
        <f t="array" ref="BA72">IFERROR(IF(tblPiNAnalysis[[#This Row],[ID]]="", "", INDEX(tblPiNHistorical[[CCCM]:[WASH]], MATCH(tblPiNAnalysis[[#This Row],[ID]],tblPiNHistorical[ID], 0),MATCH(_xlfn._xlws.FILTER(tblPiNAnalysis[[#Headers],[CCCM]:[WASH]], tblPiNAnalysis[[#This Row],[Highest PiN]]=tblPiNAnalysis[[#This Row],[CCCM]:[WASH]]), tblPiNHistorical[[#Headers],[CCCM]:[WASH]], 0))), "")</f>
        <v>1.5</v>
      </c>
      <c r="BB72" s="328" t="str" cm="1">
        <f t="array" ref="BB7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72" s="272" cm="1">
        <f t="array" ref="BC72">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72" s="329" t="str" cm="1">
        <f t="array" ref="BD7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2" s="371">
        <f>INDEX(tblSeverityAnalysis[Final Severity], MATCH(tblPiNAnalysis[[#This Row],[ID]],tblSeverityAnalysis[ID], 0))</f>
        <v>3</v>
      </c>
      <c r="BF72" s="60">
        <f>IF(tblPiNAnalysis[[#This Row],[Severity]]&gt;2,tblPiNAnalysis[[#This Row],[Highest PiN]],)</f>
        <v>210065.38095238095</v>
      </c>
      <c r="BG72" s="187"/>
      <c r="BH72" s="188"/>
      <c r="BI72" s="189">
        <f>COUNTIFS(tblPiNAnalysis[[#This Row],[Number of missing / zero PiNs greater than threshold - Data quality]:[Manual Flag]],"Flagged")</f>
        <v>1</v>
      </c>
      <c r="BJ72" s="346" t="str">
        <f>IF(tblPiNAnalysis[[#This Row],['# Flags]]&gt;0, "Flagged", "")</f>
        <v>Flagged</v>
      </c>
      <c r="BK72" s="339">
        <f>tblPiNAnalysis[[#This Row],[Preliminary PiN]]</f>
        <v>210065.38095238095</v>
      </c>
      <c r="BL72" s="326"/>
      <c r="BM72" s="383">
        <f>IF(OR(tblPiNAnalysis[[#This Row],[Severity]]=4,tblPiNAnalysis[[#This Row],[Severity]]=5),tblPiNAnalysis[[#This Row],[Final PiN]],0)</f>
        <v>0</v>
      </c>
      <c r="BN72" s="378">
        <f>IF(OR(tblPiNAnalysis[[#This Row],[Severity]]=4,tblPiNAnalysis[[#This Row],[Severity]]=5),100%, IF(tblPiNAnalysis[[#This Row],[Severity]]=3,50%,0%))*tblPiNAnalysis[[#This Row],[Final PiN]]</f>
        <v>105032.69047619047</v>
      </c>
      <c r="BO72" s="383">
        <f>IF(OR(tblPiNAnalysis[[#This Row],[Severity]]=4,tblPiNAnalysis[[#This Row],[Severity]]=5),100%, IF(AND(tblPiNAnalysis[[#This Row],[Severity]]=3,VLOOKUP(tblPiNAnalysis[[#This Row],[ID]],tblSeverityAnalysis[[ID]:[Highest Severity]],35,FALSE)&gt;3),50%,0%))*tblPiNAnalysis[[#This Row],[Final PiN]]</f>
        <v>105032.69047619047</v>
      </c>
    </row>
    <row r="73" spans="1:67" hidden="1">
      <c r="A7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Global_PopulationHT0532</v>
      </c>
      <c r="B73" s="304" t="s">
        <v>287</v>
      </c>
      <c r="C73" s="213" t="s">
        <v>288</v>
      </c>
      <c r="D73" s="213" t="s">
        <v>303</v>
      </c>
      <c r="E73" s="103" t="s">
        <v>304</v>
      </c>
      <c r="F73" s="99"/>
      <c r="G73" s="34"/>
      <c r="H73" s="357"/>
      <c r="I73" s="354">
        <v>146485</v>
      </c>
      <c r="J73" s="221" t="s">
        <v>156</v>
      </c>
      <c r="K73" s="316">
        <v>68287.5</v>
      </c>
      <c r="L73" s="308">
        <v>26466</v>
      </c>
      <c r="M73" s="308">
        <v>17079</v>
      </c>
      <c r="N73" s="308">
        <v>99298</v>
      </c>
      <c r="O73" s="308">
        <v>97883.125571579323</v>
      </c>
      <c r="P73" s="308">
        <v>88027.609210526309</v>
      </c>
      <c r="Q73" s="309">
        <v>42047</v>
      </c>
      <c r="R73" s="308">
        <v>69387.631578947359</v>
      </c>
      <c r="S73" s="308"/>
      <c r="T73" s="308"/>
      <c r="U73" s="308"/>
      <c r="V73" s="308"/>
      <c r="W73" s="317">
        <f>IFERROR(IF(tblPiNAnalysis[[#This Row],[CCCM]]="", "", MROUND(tblPiNAnalysis[[#This Row],[CCCM]]/tblPiNAnalysis[[#This Row],[Population]], 0.05)), "")</f>
        <v>0.45</v>
      </c>
      <c r="X73" s="318">
        <f>IFERROR(IF(tblPiNAnalysis[[#This Row],[Education]]="", "", MROUND(tblPiNAnalysis[[#This Row],[Education]]/tblPiNAnalysis[[#This Row],[Population]], 0.05)), "")</f>
        <v>0.2</v>
      </c>
      <c r="Y73" s="318">
        <f>IFERROR(IF(tblPiNAnalysis[[#This Row],[Nutrition]]="", "", MROUND(tblPiNAnalysis[[#This Row],[Nutrition]]/tblPiNAnalysis[[#This Row],[Population]], 0.05)), "")</f>
        <v>0.1</v>
      </c>
      <c r="Z73" s="318">
        <f>IFERROR(IF(tblPiNAnalysis[[#This Row],[Food Security]]="", "", MROUND(tblPiNAnalysis[[#This Row],[Food Security]]/tblPiNAnalysis[[#This Row],[Population]], 0.05)), "")</f>
        <v>0.70000000000000007</v>
      </c>
      <c r="AA73" s="318">
        <f>IFERROR(IF(tblPiNAnalysis[[#This Row],[Health]]="", "", MROUND(tblPiNAnalysis[[#This Row],[Health]]/tblPiNAnalysis[[#This Row],[Population]], 0.05)), "")</f>
        <v>0.65</v>
      </c>
      <c r="AB73" s="319">
        <f>IFERROR(IF(tblPiNAnalysis[[#This Row],[Protection]]="", "", MROUND(tblPiNAnalysis[[#This Row],[Protection]]/tblPiNAnalysis[[#This Row],[Population]], 0.05)), "")</f>
        <v>0.60000000000000009</v>
      </c>
      <c r="AC73" s="319">
        <f>IFERROR(IF(tblPiNAnalysis[[#This Row],[Shelter]]="", "", MROUND(tblPiNAnalysis[[#This Row],[Shelter]]/tblPiNAnalysis[[#This Row],[Population]], 0.05)), "")</f>
        <v>0.30000000000000004</v>
      </c>
      <c r="AD73" s="320">
        <f>IFERROR(IF(tblPiNAnalysis[[#This Row],[WASH]]="", "", MROUND(tblPiNAnalysis[[#This Row],[WASH]]/tblPiNAnalysis[[#This Row],[Population]], 0.05)), "")</f>
        <v>0.45</v>
      </c>
      <c r="AE73" s="318">
        <f>IFERROR(MROUND(tblPiNAnalysis[[#This Row],[CP]]/tblPiNAnalysis[[#This Row],[Population]], 0.05), "")</f>
        <v>0</v>
      </c>
      <c r="AF73" s="318">
        <f>IFERROR(MROUND(tblPiNAnalysis[[#This Row],[GBV]]/tblPiNAnalysis[[#This Row],[Population]], 0.05), "")</f>
        <v>0</v>
      </c>
      <c r="AG73" s="318">
        <f>IFERROR(MROUND(tblPiNAnalysis[[#This Row],[Migrants]]/tblPiNAnalysis[[#This Row],[Population]], 0.05), "")</f>
        <v>0</v>
      </c>
      <c r="AH73" s="318">
        <f>IFERROR(MROUND(tblPiNAnalysis[[#This Row],[_]]/tblPiNAnalysis[[#This Row],[Population]], 0.05), "")</f>
        <v>0</v>
      </c>
      <c r="AI73" s="321">
        <f>IFERROR(LARGE(tblPiNAnalysis[[#This Row],[CCCM]:[WASH]], 1), "")</f>
        <v>99298</v>
      </c>
      <c r="AJ73" s="322" t="str" cm="1">
        <f t="array" ref="AJ73">IF(tblPiNAnalysis[[#This Row],[Highest PiN]]="", "", _xlfn.TEXTJOIN(CHAR(10), TRUE, IF(tblPiNAnalysis[[#This Row],[Highest PiN]]=tblPiNAnalysis[[#This Row],[CCCM]:[WASH]], tblPiNAnalysis[[#Headers],[CCCM]:[WASH]], "")))</f>
        <v>Food Security</v>
      </c>
      <c r="AK73" s="323">
        <f>IF(tblPiNAnalysis[[#This Row],[Highest PiN]]="", "", tblPiNAnalysis[[#This Row],[Highest PiN]]/tblPiNAnalysis[[#This Row],[Population]])</f>
        <v>0.67787145441512786</v>
      </c>
      <c r="AL73" s="265" t="str">
        <f>IF(SUM(tblPiNAnalysis[[#This Row],[CCCM]:[WASH]])=0, "",IF(COUNTIF(tblPiNAnalysis[[#This Row],[CCCM]:[WASH]],"=0")+COUNTIF(tblPiNAnalysis[[#This Row],[CCCM]:[WASH]],"")&gt;=zero_pin_thresh, "Flagged", ""))</f>
        <v/>
      </c>
      <c r="AM73" s="264" t="str">
        <f>IFERROR(IF(tblPiNAnalysis[[#This Row],[Highest PiN]]="", "", IF(tblPiNAnalysis[[#This Row],[Highest sector(s'') PiN %]]&gt;=flag_pin_perc, "Flagged", "")), "")</f>
        <v/>
      </c>
      <c r="AN73" s="266" t="str" cm="1">
        <f t="array" ref="AN73">IF(tblPiNAnalysis[[#This Row],[Highest PiN]]=0, "",  IF(OR(COUNTIF(tblPiNAnalysis[[#This Row],[Highest sector(s)]],tblSubSectorPopulation[Sector])), "Flagged", ""))</f>
        <v/>
      </c>
      <c r="AO73" s="45" cm="1">
        <f t="array" ref="AO7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97883.125571579323</v>
      </c>
      <c r="AP73" s="326" t="str" cm="1">
        <f t="array" ref="AP73">IF(tblPiNAnalysis[[#This Row],[2nd Highest PiN]]="", "", _xlfn.TEXTJOIN(CHAR(10), TRUE, IF(tblPiNAnalysis[[#This Row],[2nd Highest PiN]]=tblPiNAnalysis[[#This Row],[CCCM]:[WASH]], tblPiNAnalysis[[#Headers],[CCCM]:[WASH]], "")))</f>
        <v>Health</v>
      </c>
      <c r="AQ73" s="35">
        <f>IFERROR(tblPiNAnalysis[[#This Row],[2nd Highest PiN]]/tblPiNAnalysis[[#This Row],[Population]], "")</f>
        <v>0.66821261952813815</v>
      </c>
      <c r="AR73" s="45">
        <f>IFERROR(tblPiNAnalysis[[#This Row],[Highest PiN]]-tblPiNAnalysis[[#This Row],[2nd Highest PiN]], "")</f>
        <v>1414.8744284206768</v>
      </c>
      <c r="AS73" s="38">
        <f>IFERROR(((tblPiNAnalysis[[#This Row],[Highest PiN]]-tblPiNAnalysis[[#This Row],[2nd Highest PiN]])/tblPiNAnalysis[[#This Row],[2nd Highest PiN]]),"")</f>
        <v>1.4454732827120615E-2</v>
      </c>
      <c r="AT73" s="269" t="str" cm="1">
        <f t="array" ref="AT7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3" s="327" cm="1">
        <f t="array" ref="AU7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88027.609210526309</v>
      </c>
      <c r="AV73" s="186" t="str" cm="1">
        <f t="array" ref="AV73">IF(tblPiNAnalysis[[#This Row],[3rd Highest PiN]]="", "", _xlfn.TEXTJOIN(CHAR(10), TRUE, IF(tblPiNAnalysis[[#This Row],[3rd Highest PiN]]=tblPiNAnalysis[[#This Row],[CCCM]:[WASH]], tblPiNAnalysis[[#Headers],[CCCM]:[WASH]], "")))</f>
        <v>Protection</v>
      </c>
      <c r="AW73" s="186">
        <f>IFERROR(tblPiNAnalysis[[#This Row],[3rd Highest PiN]]/tblPiNAnalysis[[#This Row],[Population]], "")</f>
        <v>0.60093258156484497</v>
      </c>
      <c r="AX73" s="44">
        <f>IFERROR(tblPiNAnalysis[[#This Row],[Highest PiN]]-tblPiNAnalysis[[#This Row],[3rd Highest PiN]],"")</f>
        <v>11270.390789473691</v>
      </c>
      <c r="AY73" s="38">
        <f>IFERROR(tblPiNAnalysis[[#This Row],[Difference of PiN between Highest and 3rd Highest]]/tblPiNAnalysis[[#This Row],[3rd Highest PiN]], "")</f>
        <v>0.12803245357396328</v>
      </c>
      <c r="AZ73" s="325" t="str" cm="1">
        <f t="array" ref="AZ7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3" s="292" cm="1">
        <f t="array" ref="BA73">IFERROR(IF(tblPiNAnalysis[[#This Row],[ID]]="", "", INDEX(tblPiNHistorical[[CCCM]:[WASH]], MATCH(tblPiNAnalysis[[#This Row],[ID]],tblPiNHistorical[ID], 0),MATCH(_xlfn._xlws.FILTER(tblPiNAnalysis[[#Headers],[CCCM]:[WASH]], tblPiNAnalysis[[#This Row],[Highest PiN]]=tblPiNAnalysis[[#This Row],[CCCM]:[WASH]]), tblPiNHistorical[[#Headers],[CCCM]:[WASH]], 0))), "")</f>
        <v>0.4</v>
      </c>
      <c r="BB73" s="328" t="str" cm="1">
        <f t="array" ref="BB7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3" s="272" cm="1">
        <f t="array" ref="BC73">IFERROR(IF(tblPiNAnalysis[[#This Row],[ID]]="", "", INDEX(tblPiNHistorical[[CCCM]:[WASH]], MATCH(tblPiNAnalysis[[#This Row],[ID]],tblPiNHistorical[ID], 0),MATCH(_xlfn._xlws.FILTER(tblPiNAnalysis[[#Headers],[CCCM]:[WASH]], tblPiNAnalysis[[#This Row],[2nd Highest PiN]]=tblPiNAnalysis[[#This Row],[CCCM]:[WASH]]), tblPiNHistorical[[#Headers],[CCCM]:[WASH]], 0))), "")</f>
        <v>0.8</v>
      </c>
      <c r="BD73" s="329" t="str" cm="1">
        <f t="array" ref="BD7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3" s="371">
        <f>INDEX(tblSeverityAnalysis[Final Severity], MATCH(tblPiNAnalysis[[#This Row],[ID]],tblSeverityAnalysis[ID], 0))</f>
        <v>4</v>
      </c>
      <c r="BF73" s="60">
        <f>IF(tblPiNAnalysis[[#This Row],[Severity]]&gt;2,tblPiNAnalysis[[#This Row],[Highest PiN]],)</f>
        <v>99298</v>
      </c>
      <c r="BG73" s="187"/>
      <c r="BH73" s="188"/>
      <c r="BI73" s="189">
        <f>COUNTIFS(tblPiNAnalysis[[#This Row],[Number of missing / zero PiNs greater than threshold - Data quality]:[Manual Flag]],"Flagged")</f>
        <v>0</v>
      </c>
      <c r="BJ73" s="346" t="str">
        <f>IF(tblPiNAnalysis[[#This Row],['# Flags]]&gt;0, "Flagged", "")</f>
        <v/>
      </c>
      <c r="BK73" s="339">
        <f>tblPiNAnalysis[[#This Row],[Preliminary PiN]]</f>
        <v>99298</v>
      </c>
      <c r="BL73" s="326"/>
      <c r="BM73" s="383">
        <f>IF(OR(tblPiNAnalysis[[#This Row],[Severity]]=4,tblPiNAnalysis[[#This Row],[Severity]]=5),tblPiNAnalysis[[#This Row],[Final PiN]],0)</f>
        <v>99298</v>
      </c>
      <c r="BN73" s="378">
        <f>IF(OR(tblPiNAnalysis[[#This Row],[Severity]]=4,tblPiNAnalysis[[#This Row],[Severity]]=5),100%, IF(tblPiNAnalysis[[#This Row],[Severity]]=3,50%,0%))*tblPiNAnalysis[[#This Row],[Final PiN]]</f>
        <v>99298</v>
      </c>
      <c r="BO73" s="383">
        <f>IF(OR(tblPiNAnalysis[[#This Row],[Severity]]=4,tblPiNAnalysis[[#This Row],[Severity]]=5),100%, IF(AND(tblPiNAnalysis[[#This Row],[Severity]]=3,VLOOKUP(tblPiNAnalysis[[#This Row],[ID]],tblSeverityAnalysis[[ID]:[Highest Severity]],35,FALSE)&gt;3),50%,0%))*tblPiNAnalysis[[#This Row],[Final PiN]]</f>
        <v>99298</v>
      </c>
    </row>
    <row r="74" spans="1:67" hidden="1">
      <c r="A7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Global_PopulationHT0533</v>
      </c>
      <c r="B74" s="304" t="s">
        <v>287</v>
      </c>
      <c r="C74" s="213" t="s">
        <v>288</v>
      </c>
      <c r="D74" s="213" t="s">
        <v>305</v>
      </c>
      <c r="E74" s="103" t="s">
        <v>306</v>
      </c>
      <c r="F74" s="99"/>
      <c r="G74" s="34"/>
      <c r="H74" s="357"/>
      <c r="I74" s="354">
        <v>32609</v>
      </c>
      <c r="J74" s="221" t="s">
        <v>156</v>
      </c>
      <c r="K74" s="316">
        <v>2742</v>
      </c>
      <c r="L74" s="308">
        <v>5547</v>
      </c>
      <c r="M74" s="308">
        <v>3112</v>
      </c>
      <c r="N74" s="308">
        <v>21636</v>
      </c>
      <c r="O74" s="308">
        <v>36140.377531455146</v>
      </c>
      <c r="P74" s="308">
        <v>1588.4450000000002</v>
      </c>
      <c r="Q74" s="309">
        <v>0</v>
      </c>
      <c r="R74" s="308">
        <v>29348</v>
      </c>
      <c r="S74" s="308"/>
      <c r="T74" s="308"/>
      <c r="U74" s="308"/>
      <c r="V74" s="308"/>
      <c r="W74" s="317">
        <f>IFERROR(IF(tblPiNAnalysis[[#This Row],[CCCM]]="", "", MROUND(tblPiNAnalysis[[#This Row],[CCCM]]/tblPiNAnalysis[[#This Row],[Population]], 0.05)), "")</f>
        <v>0.1</v>
      </c>
      <c r="X74" s="318">
        <f>IFERROR(IF(tblPiNAnalysis[[#This Row],[Education]]="", "", MROUND(tblPiNAnalysis[[#This Row],[Education]]/tblPiNAnalysis[[#This Row],[Population]], 0.05)), "")</f>
        <v>0.15000000000000002</v>
      </c>
      <c r="Y74" s="318">
        <f>IFERROR(IF(tblPiNAnalysis[[#This Row],[Nutrition]]="", "", MROUND(tblPiNAnalysis[[#This Row],[Nutrition]]/tblPiNAnalysis[[#This Row],[Population]], 0.05)), "")</f>
        <v>0.1</v>
      </c>
      <c r="Z74" s="318">
        <f>IFERROR(IF(tblPiNAnalysis[[#This Row],[Food Security]]="", "", MROUND(tblPiNAnalysis[[#This Row],[Food Security]]/tblPiNAnalysis[[#This Row],[Population]], 0.05)), "")</f>
        <v>0.65</v>
      </c>
      <c r="AA74" s="318">
        <f>IFERROR(IF(tblPiNAnalysis[[#This Row],[Health]]="", "", MROUND(tblPiNAnalysis[[#This Row],[Health]]/tblPiNAnalysis[[#This Row],[Population]], 0.05)), "")</f>
        <v>1.1000000000000001</v>
      </c>
      <c r="AB74" s="319">
        <f>IFERROR(IF(tblPiNAnalysis[[#This Row],[Protection]]="", "", MROUND(tblPiNAnalysis[[#This Row],[Protection]]/tblPiNAnalysis[[#This Row],[Population]], 0.05)), "")</f>
        <v>0.05</v>
      </c>
      <c r="AC74" s="319">
        <f>IFERROR(IF(tblPiNAnalysis[[#This Row],[Shelter]]="", "", MROUND(tblPiNAnalysis[[#This Row],[Shelter]]/tblPiNAnalysis[[#This Row],[Population]], 0.05)), "")</f>
        <v>0</v>
      </c>
      <c r="AD74" s="320">
        <f>IFERROR(IF(tblPiNAnalysis[[#This Row],[WASH]]="", "", MROUND(tblPiNAnalysis[[#This Row],[WASH]]/tblPiNAnalysis[[#This Row],[Population]], 0.05)), "")</f>
        <v>0.9</v>
      </c>
      <c r="AE74" s="318">
        <f>IFERROR(MROUND(tblPiNAnalysis[[#This Row],[CP]]/tblPiNAnalysis[[#This Row],[Population]], 0.05), "")</f>
        <v>0</v>
      </c>
      <c r="AF74" s="318">
        <f>IFERROR(MROUND(tblPiNAnalysis[[#This Row],[GBV]]/tblPiNAnalysis[[#This Row],[Population]], 0.05), "")</f>
        <v>0</v>
      </c>
      <c r="AG74" s="318">
        <f>IFERROR(MROUND(tblPiNAnalysis[[#This Row],[Migrants]]/tblPiNAnalysis[[#This Row],[Population]], 0.05), "")</f>
        <v>0</v>
      </c>
      <c r="AH74" s="318">
        <f>IFERROR(MROUND(tblPiNAnalysis[[#This Row],[_]]/tblPiNAnalysis[[#This Row],[Population]], 0.05), "")</f>
        <v>0</v>
      </c>
      <c r="AI74" s="321">
        <f>IFERROR(LARGE(tblPiNAnalysis[[#This Row],[CCCM]:[WASH]], 1), "")</f>
        <v>36140.377531455146</v>
      </c>
      <c r="AJ74" s="322" t="str" cm="1">
        <f t="array" ref="AJ74">IF(tblPiNAnalysis[[#This Row],[Highest PiN]]="", "", _xlfn.TEXTJOIN(CHAR(10), TRUE, IF(tblPiNAnalysis[[#This Row],[Highest PiN]]=tblPiNAnalysis[[#This Row],[CCCM]:[WASH]], tblPiNAnalysis[[#Headers],[CCCM]:[WASH]], "")))</f>
        <v>Health</v>
      </c>
      <c r="AK74" s="323">
        <f>IF(tblPiNAnalysis[[#This Row],[Highest PiN]]="", "", tblPiNAnalysis[[#This Row],[Highest PiN]]/tblPiNAnalysis[[#This Row],[Population]])</f>
        <v>1.1082945668820003</v>
      </c>
      <c r="AL74" s="265" t="str">
        <f>IF(SUM(tblPiNAnalysis[[#This Row],[CCCM]:[WASH]])=0, "",IF(COUNTIF(tblPiNAnalysis[[#This Row],[CCCM]:[WASH]],"=0")+COUNTIF(tblPiNAnalysis[[#This Row],[CCCM]:[WASH]],"")&gt;=zero_pin_thresh, "Flagged", ""))</f>
        <v/>
      </c>
      <c r="AM74" s="264" t="str">
        <f>IFERROR(IF(tblPiNAnalysis[[#This Row],[Highest PiN]]="", "", IF(tblPiNAnalysis[[#This Row],[Highest sector(s'') PiN %]]&gt;=flag_pin_perc, "Flagged", "")), "")</f>
        <v>Flagged</v>
      </c>
      <c r="AN74" s="266" t="str" cm="1">
        <f t="array" ref="AN74">IF(tblPiNAnalysis[[#This Row],[Highest PiN]]=0, "",  IF(OR(COUNTIF(tblPiNAnalysis[[#This Row],[Highest sector(s)]],tblSubSectorPopulation[Sector])), "Flagged", ""))</f>
        <v/>
      </c>
      <c r="AO74" s="45" cm="1">
        <f t="array" ref="AO7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29348</v>
      </c>
      <c r="AP74" s="326" t="str" cm="1">
        <f t="array" ref="AP74">IF(tblPiNAnalysis[[#This Row],[2nd Highest PiN]]="", "", _xlfn.TEXTJOIN(CHAR(10), TRUE, IF(tblPiNAnalysis[[#This Row],[2nd Highest PiN]]=tblPiNAnalysis[[#This Row],[CCCM]:[WASH]], tblPiNAnalysis[[#Headers],[CCCM]:[WASH]], "")))</f>
        <v>WASH</v>
      </c>
      <c r="AQ74" s="35">
        <f>IFERROR(tblPiNAnalysis[[#This Row],[2nd Highest PiN]]/tblPiNAnalysis[[#This Row],[Population]], "")</f>
        <v>0.8999969333619553</v>
      </c>
      <c r="AR74" s="45">
        <f>IFERROR(tblPiNAnalysis[[#This Row],[Highest PiN]]-tblPiNAnalysis[[#This Row],[2nd Highest PiN]], "")</f>
        <v>6792.3775314551458</v>
      </c>
      <c r="AS74" s="38">
        <f>IFERROR(((tblPiNAnalysis[[#This Row],[Highest PiN]]-tblPiNAnalysis[[#This Row],[2nd Highest PiN]])/tblPiNAnalysis[[#This Row],[2nd Highest PiN]]),"")</f>
        <v>0.23144260363415381</v>
      </c>
      <c r="AT74" s="269" t="str" cm="1">
        <f t="array" ref="AT7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4" s="327" cm="1">
        <f t="array" ref="AU7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21636</v>
      </c>
      <c r="AV74" s="186" t="str" cm="1">
        <f t="array" ref="AV74">IF(tblPiNAnalysis[[#This Row],[3rd Highest PiN]]="", "", _xlfn.TEXTJOIN(CHAR(10), TRUE, IF(tblPiNAnalysis[[#This Row],[3rd Highest PiN]]=tblPiNAnalysis[[#This Row],[CCCM]:[WASH]], tblPiNAnalysis[[#Headers],[CCCM]:[WASH]], "")))</f>
        <v>Food Security</v>
      </c>
      <c r="AW74" s="186">
        <f>IFERROR(tblPiNAnalysis[[#This Row],[3rd Highest PiN]]/tblPiNAnalysis[[#This Row],[Population]], "")</f>
        <v>0.66349780735379804</v>
      </c>
      <c r="AX74" s="44">
        <f>IFERROR(tblPiNAnalysis[[#This Row],[Highest PiN]]-tblPiNAnalysis[[#This Row],[3rd Highest PiN]],"")</f>
        <v>14504.377531455146</v>
      </c>
      <c r="AY74" s="38">
        <f>IFERROR(tblPiNAnalysis[[#This Row],[Difference of PiN between Highest and 3rd Highest]]/tblPiNAnalysis[[#This Row],[3rd Highest PiN]], "")</f>
        <v>0.670381657027877</v>
      </c>
      <c r="AZ74" s="325" t="str" cm="1">
        <f t="array" ref="AZ7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4" s="292" cm="1">
        <f t="array" ref="BA74">IFERROR(IF(tblPiNAnalysis[[#This Row],[ID]]="", "", INDEX(tblPiNHistorical[[CCCM]:[WASH]], MATCH(tblPiNAnalysis[[#This Row],[ID]],tblPiNHistorical[ID], 0),MATCH(_xlfn._xlws.FILTER(tblPiNAnalysis[[#Headers],[CCCM]:[WASH]], tblPiNAnalysis[[#This Row],[Highest PiN]]=tblPiNAnalysis[[#This Row],[CCCM]:[WASH]]), tblPiNHistorical[[#Headers],[CCCM]:[WASH]], 0))), "")</f>
        <v>2.8</v>
      </c>
      <c r="BB74" s="328" t="str" cm="1">
        <f t="array" ref="BB7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74" s="272" cm="1">
        <f t="array" ref="BC74">IFERROR(IF(tblPiNAnalysis[[#This Row],[ID]]="", "", INDEX(tblPiNHistorical[[CCCM]:[WASH]], MATCH(tblPiNAnalysis[[#This Row],[ID]],tblPiNHistorical[ID], 0),MATCH(_xlfn._xlws.FILTER(tblPiNAnalysis[[#Headers],[CCCM]:[WASH]], tblPiNAnalysis[[#This Row],[2nd Highest PiN]]=tblPiNAnalysis[[#This Row],[CCCM]:[WASH]]), tblPiNHistorical[[#Headers],[CCCM]:[WASH]], 0))), "")</f>
        <v>2.2999999999999998</v>
      </c>
      <c r="BD74" s="329" t="str" cm="1">
        <f t="array" ref="BD7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74" s="371">
        <f>INDEX(tblSeverityAnalysis[Final Severity], MATCH(tblPiNAnalysis[[#This Row],[ID]],tblSeverityAnalysis[ID], 0))</f>
        <v>4</v>
      </c>
      <c r="BF74" s="60">
        <f>IF(tblPiNAnalysis[[#This Row],[Severity]]&gt;2,tblPiNAnalysis[[#This Row],[Highest PiN]],)</f>
        <v>36140.377531455146</v>
      </c>
      <c r="BG74" s="187"/>
      <c r="BH74" s="188"/>
      <c r="BI74" s="189">
        <f>COUNTIFS(tblPiNAnalysis[[#This Row],[Number of missing / zero PiNs greater than threshold - Data quality]:[Manual Flag]],"Flagged")</f>
        <v>3</v>
      </c>
      <c r="BJ74" s="346" t="str">
        <f>IF(tblPiNAnalysis[[#This Row],['# Flags]]&gt;0, "Flagged", "")</f>
        <v>Flagged</v>
      </c>
      <c r="BK74" s="339">
        <f>tblPiNAnalysis[[#This Row],[Preliminary PiN]]</f>
        <v>36140.377531455146</v>
      </c>
      <c r="BL74" s="326"/>
      <c r="BM74" s="383">
        <f>IF(OR(tblPiNAnalysis[[#This Row],[Severity]]=4,tblPiNAnalysis[[#This Row],[Severity]]=5),tblPiNAnalysis[[#This Row],[Final PiN]],0)</f>
        <v>36140.377531455146</v>
      </c>
      <c r="BN74" s="378">
        <f>IF(OR(tblPiNAnalysis[[#This Row],[Severity]]=4,tblPiNAnalysis[[#This Row],[Severity]]=5),100%, IF(tblPiNAnalysis[[#This Row],[Severity]]=3,50%,0%))*tblPiNAnalysis[[#This Row],[Final PiN]]</f>
        <v>36140.377531455146</v>
      </c>
      <c r="BO74" s="383">
        <f>IF(OR(tblPiNAnalysis[[#This Row],[Severity]]=4,tblPiNAnalysis[[#This Row],[Severity]]=5),100%, IF(AND(tblPiNAnalysis[[#This Row],[Severity]]=3,VLOOKUP(tblPiNAnalysis[[#This Row],[ID]],tblSeverityAnalysis[[ID]:[Highest Severity]],35,FALSE)&gt;3),50%,0%))*tblPiNAnalysis[[#This Row],[Final PiN]]</f>
        <v>36140.377531455146</v>
      </c>
    </row>
    <row r="75" spans="1:67" hidden="1">
      <c r="A7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Global_PopulationHT0541</v>
      </c>
      <c r="B75" s="304" t="s">
        <v>287</v>
      </c>
      <c r="C75" s="213" t="s">
        <v>288</v>
      </c>
      <c r="D75" s="213" t="s">
        <v>307</v>
      </c>
      <c r="E75" s="103" t="s">
        <v>308</v>
      </c>
      <c r="F75" s="99"/>
      <c r="G75" s="34"/>
      <c r="H75" s="357"/>
      <c r="I75" s="354">
        <v>185387</v>
      </c>
      <c r="J75" s="221" t="s">
        <v>156</v>
      </c>
      <c r="K75" s="316">
        <v>25059</v>
      </c>
      <c r="L75" s="308">
        <v>32898</v>
      </c>
      <c r="M75" s="308">
        <v>18491</v>
      </c>
      <c r="N75" s="308">
        <v>97464</v>
      </c>
      <c r="O75" s="308">
        <v>211363.49810871962</v>
      </c>
      <c r="P75" s="308">
        <v>43669.45</v>
      </c>
      <c r="Q75" s="309">
        <v>0</v>
      </c>
      <c r="R75" s="308">
        <v>46346.75</v>
      </c>
      <c r="S75" s="308"/>
      <c r="T75" s="308"/>
      <c r="U75" s="308"/>
      <c r="V75" s="308"/>
      <c r="W75" s="317">
        <f>IFERROR(IF(tblPiNAnalysis[[#This Row],[CCCM]]="", "", MROUND(tblPiNAnalysis[[#This Row],[CCCM]]/tblPiNAnalysis[[#This Row],[Population]], 0.05)), "")</f>
        <v>0.15000000000000002</v>
      </c>
      <c r="X75" s="318">
        <f>IFERROR(IF(tblPiNAnalysis[[#This Row],[Education]]="", "", MROUND(tblPiNAnalysis[[#This Row],[Education]]/tblPiNAnalysis[[#This Row],[Population]], 0.05)), "")</f>
        <v>0.2</v>
      </c>
      <c r="Y75" s="318">
        <f>IFERROR(IF(tblPiNAnalysis[[#This Row],[Nutrition]]="", "", MROUND(tblPiNAnalysis[[#This Row],[Nutrition]]/tblPiNAnalysis[[#This Row],[Population]], 0.05)), "")</f>
        <v>0.1</v>
      </c>
      <c r="Z75" s="318">
        <f>IFERROR(IF(tblPiNAnalysis[[#This Row],[Food Security]]="", "", MROUND(tblPiNAnalysis[[#This Row],[Food Security]]/tblPiNAnalysis[[#This Row],[Population]], 0.05)), "")</f>
        <v>0.55000000000000004</v>
      </c>
      <c r="AA75" s="318">
        <f>IFERROR(IF(tblPiNAnalysis[[#This Row],[Health]]="", "", MROUND(tblPiNAnalysis[[#This Row],[Health]]/tblPiNAnalysis[[#This Row],[Population]], 0.05)), "")</f>
        <v>1.1500000000000001</v>
      </c>
      <c r="AB75" s="319">
        <f>IFERROR(IF(tblPiNAnalysis[[#This Row],[Protection]]="", "", MROUND(tblPiNAnalysis[[#This Row],[Protection]]/tblPiNAnalysis[[#This Row],[Population]], 0.05)), "")</f>
        <v>0.25</v>
      </c>
      <c r="AC75" s="319">
        <f>IFERROR(IF(tblPiNAnalysis[[#This Row],[Shelter]]="", "", MROUND(tblPiNAnalysis[[#This Row],[Shelter]]/tblPiNAnalysis[[#This Row],[Population]], 0.05)), "")</f>
        <v>0</v>
      </c>
      <c r="AD75" s="320">
        <f>IFERROR(IF(tblPiNAnalysis[[#This Row],[WASH]]="", "", MROUND(tblPiNAnalysis[[#This Row],[WASH]]/tblPiNAnalysis[[#This Row],[Population]], 0.05)), "")</f>
        <v>0.25</v>
      </c>
      <c r="AE75" s="318">
        <f>IFERROR(MROUND(tblPiNAnalysis[[#This Row],[CP]]/tblPiNAnalysis[[#This Row],[Population]], 0.05), "")</f>
        <v>0</v>
      </c>
      <c r="AF75" s="318">
        <f>IFERROR(MROUND(tblPiNAnalysis[[#This Row],[GBV]]/tblPiNAnalysis[[#This Row],[Population]], 0.05), "")</f>
        <v>0</v>
      </c>
      <c r="AG75" s="318">
        <f>IFERROR(MROUND(tblPiNAnalysis[[#This Row],[Migrants]]/tblPiNAnalysis[[#This Row],[Population]], 0.05), "")</f>
        <v>0</v>
      </c>
      <c r="AH75" s="318">
        <f>IFERROR(MROUND(tblPiNAnalysis[[#This Row],[_]]/tblPiNAnalysis[[#This Row],[Population]], 0.05), "")</f>
        <v>0</v>
      </c>
      <c r="AI75" s="321">
        <f>IFERROR(LARGE(tblPiNAnalysis[[#This Row],[CCCM]:[WASH]], 1), "")</f>
        <v>211363.49810871962</v>
      </c>
      <c r="AJ75" s="322" t="str" cm="1">
        <f t="array" ref="AJ75">IF(tblPiNAnalysis[[#This Row],[Highest PiN]]="", "", _xlfn.TEXTJOIN(CHAR(10), TRUE, IF(tblPiNAnalysis[[#This Row],[Highest PiN]]=tblPiNAnalysis[[#This Row],[CCCM]:[WASH]], tblPiNAnalysis[[#Headers],[CCCM]:[WASH]], "")))</f>
        <v>Health</v>
      </c>
      <c r="AK75" s="323">
        <f>IF(tblPiNAnalysis[[#This Row],[Highest PiN]]="", "", tblPiNAnalysis[[#This Row],[Highest PiN]]/tblPiNAnalysis[[#This Row],[Population]])</f>
        <v>1.1401203865897804</v>
      </c>
      <c r="AL75" s="265" t="str">
        <f>IF(SUM(tblPiNAnalysis[[#This Row],[CCCM]:[WASH]])=0, "",IF(COUNTIF(tblPiNAnalysis[[#This Row],[CCCM]:[WASH]],"=0")+COUNTIF(tblPiNAnalysis[[#This Row],[CCCM]:[WASH]],"")&gt;=zero_pin_thresh, "Flagged", ""))</f>
        <v/>
      </c>
      <c r="AM75" s="264" t="str">
        <f>IFERROR(IF(tblPiNAnalysis[[#This Row],[Highest PiN]]="", "", IF(tblPiNAnalysis[[#This Row],[Highest sector(s'') PiN %]]&gt;=flag_pin_perc, "Flagged", "")), "")</f>
        <v>Flagged</v>
      </c>
      <c r="AN75" s="266" t="str" cm="1">
        <f t="array" ref="AN75">IF(tblPiNAnalysis[[#This Row],[Highest PiN]]=0, "",  IF(OR(COUNTIF(tblPiNAnalysis[[#This Row],[Highest sector(s)]],tblSubSectorPopulation[Sector])), "Flagged", ""))</f>
        <v/>
      </c>
      <c r="AO75" s="45" cm="1">
        <f t="array" ref="AO7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97464</v>
      </c>
      <c r="AP75" s="326" t="str" cm="1">
        <f t="array" ref="AP75">IF(tblPiNAnalysis[[#This Row],[2nd Highest PiN]]="", "", _xlfn.TEXTJOIN(CHAR(10), TRUE, IF(tblPiNAnalysis[[#This Row],[2nd Highest PiN]]=tblPiNAnalysis[[#This Row],[CCCM]:[WASH]], tblPiNAnalysis[[#Headers],[CCCM]:[WASH]], "")))</f>
        <v>Food Security</v>
      </c>
      <c r="AQ75" s="35">
        <f>IFERROR(tblPiNAnalysis[[#This Row],[2nd Highest PiN]]/tblPiNAnalysis[[#This Row],[Population]], "")</f>
        <v>0.52573265655089085</v>
      </c>
      <c r="AR75" s="45">
        <f>IFERROR(tblPiNAnalysis[[#This Row],[Highest PiN]]-tblPiNAnalysis[[#This Row],[2nd Highest PiN]], "")</f>
        <v>113899.49810871962</v>
      </c>
      <c r="AS75" s="38">
        <f>IFERROR(((tblPiNAnalysis[[#This Row],[Highest PiN]]-tblPiNAnalysis[[#This Row],[2nd Highest PiN]])/tblPiNAnalysis[[#This Row],[2nd Highest PiN]]),"")</f>
        <v>1.1686314753008251</v>
      </c>
      <c r="AT75" s="269" t="str" cm="1">
        <f t="array" ref="AT7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75" s="327" cm="1">
        <f t="array" ref="AU7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46346.75</v>
      </c>
      <c r="AV75" s="186" t="str" cm="1">
        <f t="array" ref="AV75">IF(tblPiNAnalysis[[#This Row],[3rd Highest PiN]]="", "", _xlfn.TEXTJOIN(CHAR(10), TRUE, IF(tblPiNAnalysis[[#This Row],[3rd Highest PiN]]=tblPiNAnalysis[[#This Row],[CCCM]:[WASH]], tblPiNAnalysis[[#Headers],[CCCM]:[WASH]], "")))</f>
        <v>WASH</v>
      </c>
      <c r="AW75" s="186">
        <f>IFERROR(tblPiNAnalysis[[#This Row],[3rd Highest PiN]]/tblPiNAnalysis[[#This Row],[Population]], "")</f>
        <v>0.25</v>
      </c>
      <c r="AX75" s="44">
        <f>IFERROR(tblPiNAnalysis[[#This Row],[Highest PiN]]-tblPiNAnalysis[[#This Row],[3rd Highest PiN]],"")</f>
        <v>165016.74810871962</v>
      </c>
      <c r="AY75" s="38">
        <f>IFERROR(tblPiNAnalysis[[#This Row],[Difference of PiN between Highest and 3rd Highest]]/tblPiNAnalysis[[#This Row],[3rd Highest PiN]], "")</f>
        <v>3.5604815463591217</v>
      </c>
      <c r="AZ75" s="325" t="str" cm="1">
        <f t="array" ref="AZ7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5" s="292" cm="1">
        <f t="array" ref="BA75">IFERROR(IF(tblPiNAnalysis[[#This Row],[ID]]="", "", INDEX(tblPiNHistorical[[CCCM]:[WASH]], MATCH(tblPiNAnalysis[[#This Row],[ID]],tblPiNHistorical[ID], 0),MATCH(_xlfn._xlws.FILTER(tblPiNAnalysis[[#Headers],[CCCM]:[WASH]], tblPiNAnalysis[[#This Row],[Highest PiN]]=tblPiNAnalysis[[#This Row],[CCCM]:[WASH]]), tblPiNHistorical[[#Headers],[CCCM]:[WASH]], 0))), "")</f>
        <v>3.7</v>
      </c>
      <c r="BB75" s="328" t="str" cm="1">
        <f t="array" ref="BB7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75" s="272" cm="1">
        <f t="array" ref="BC75">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75" s="329" t="str" cm="1">
        <f t="array" ref="BD7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5" s="371">
        <f>INDEX(tblSeverityAnalysis[Final Severity], MATCH(tblPiNAnalysis[[#This Row],[ID]],tblSeverityAnalysis[ID], 0))</f>
        <v>3</v>
      </c>
      <c r="BF75" s="60">
        <f>IF(tblPiNAnalysis[[#This Row],[Severity]]&gt;2,tblPiNAnalysis[[#This Row],[Highest PiN]],)</f>
        <v>211363.49810871962</v>
      </c>
      <c r="BG75" s="187"/>
      <c r="BH75" s="188"/>
      <c r="BI75" s="189">
        <f>COUNTIFS(tblPiNAnalysis[[#This Row],[Number of missing / zero PiNs greater than threshold - Data quality]:[Manual Flag]],"Flagged")</f>
        <v>4</v>
      </c>
      <c r="BJ75" s="346" t="str">
        <f>IF(tblPiNAnalysis[[#This Row],['# Flags]]&gt;0, "Flagged", "")</f>
        <v>Flagged</v>
      </c>
      <c r="BK75" s="308">
        <v>97464</v>
      </c>
      <c r="BL75" s="326" t="s">
        <v>157</v>
      </c>
      <c r="BM75" s="383">
        <f>IF(OR(tblPiNAnalysis[[#This Row],[Severity]]=4,tblPiNAnalysis[[#This Row],[Severity]]=5),tblPiNAnalysis[[#This Row],[Final PiN]],0)</f>
        <v>0</v>
      </c>
      <c r="BN75" s="378">
        <f>IF(OR(tblPiNAnalysis[[#This Row],[Severity]]=4,tblPiNAnalysis[[#This Row],[Severity]]=5),100%, IF(tblPiNAnalysis[[#This Row],[Severity]]=3,50%,0%))*tblPiNAnalysis[[#This Row],[Final PiN]]</f>
        <v>48732</v>
      </c>
      <c r="BO75" s="383">
        <f>IF(OR(tblPiNAnalysis[[#This Row],[Severity]]=4,tblPiNAnalysis[[#This Row],[Severity]]=5),100%, IF(AND(tblPiNAnalysis[[#This Row],[Severity]]=3,VLOOKUP(tblPiNAnalysis[[#This Row],[ID]],tblSeverityAnalysis[[ID]:[Highest Severity]],35,FALSE)&gt;3),50%,0%))*tblPiNAnalysis[[#This Row],[Final PiN]]</f>
        <v>48732</v>
      </c>
    </row>
    <row r="76" spans="1:67" hidden="1">
      <c r="A7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Global_PopulationHT0542</v>
      </c>
      <c r="B76" s="304" t="s">
        <v>287</v>
      </c>
      <c r="C76" s="213" t="s">
        <v>288</v>
      </c>
      <c r="D76" s="213" t="s">
        <v>309</v>
      </c>
      <c r="E76" s="103" t="s">
        <v>310</v>
      </c>
      <c r="F76" s="99"/>
      <c r="G76" s="34"/>
      <c r="H76" s="357"/>
      <c r="I76" s="354">
        <v>165494</v>
      </c>
      <c r="J76" s="221" t="s">
        <v>156</v>
      </c>
      <c r="K76" s="316">
        <v>3450</v>
      </c>
      <c r="L76" s="308">
        <v>28566</v>
      </c>
      <c r="M76" s="308">
        <v>16131</v>
      </c>
      <c r="N76" s="308">
        <v>91483</v>
      </c>
      <c r="O76" s="308">
        <v>92460.077393043481</v>
      </c>
      <c r="P76" s="308">
        <v>2467.2000000000003</v>
      </c>
      <c r="Q76" s="309">
        <v>7812</v>
      </c>
      <c r="R76" s="308">
        <v>55165</v>
      </c>
      <c r="S76" s="308"/>
      <c r="T76" s="308"/>
      <c r="U76" s="308"/>
      <c r="V76" s="308"/>
      <c r="W76" s="317">
        <f>IFERROR(IF(tblPiNAnalysis[[#This Row],[CCCM]]="", "", MROUND(tblPiNAnalysis[[#This Row],[CCCM]]/tblPiNAnalysis[[#This Row],[Population]], 0.05)), "")</f>
        <v>0</v>
      </c>
      <c r="X76" s="318">
        <f>IFERROR(IF(tblPiNAnalysis[[#This Row],[Education]]="", "", MROUND(tblPiNAnalysis[[#This Row],[Education]]/tblPiNAnalysis[[#This Row],[Population]], 0.05)), "")</f>
        <v>0.15000000000000002</v>
      </c>
      <c r="Y76" s="318">
        <f>IFERROR(IF(tblPiNAnalysis[[#This Row],[Nutrition]]="", "", MROUND(tblPiNAnalysis[[#This Row],[Nutrition]]/tblPiNAnalysis[[#This Row],[Population]], 0.05)), "")</f>
        <v>0.1</v>
      </c>
      <c r="Z76" s="318">
        <f>IFERROR(IF(tblPiNAnalysis[[#This Row],[Food Security]]="", "", MROUND(tblPiNAnalysis[[#This Row],[Food Security]]/tblPiNAnalysis[[#This Row],[Population]], 0.05)), "")</f>
        <v>0.55000000000000004</v>
      </c>
      <c r="AA76" s="318">
        <f>IFERROR(IF(tblPiNAnalysis[[#This Row],[Health]]="", "", MROUND(tblPiNAnalysis[[#This Row],[Health]]/tblPiNAnalysis[[#This Row],[Population]], 0.05)), "")</f>
        <v>0.55000000000000004</v>
      </c>
      <c r="AB76" s="319">
        <f>IFERROR(IF(tblPiNAnalysis[[#This Row],[Protection]]="", "", MROUND(tblPiNAnalysis[[#This Row],[Protection]]/tblPiNAnalysis[[#This Row],[Population]], 0.05)), "")</f>
        <v>0</v>
      </c>
      <c r="AC76" s="319">
        <f>IFERROR(IF(tblPiNAnalysis[[#This Row],[Shelter]]="", "", MROUND(tblPiNAnalysis[[#This Row],[Shelter]]/tblPiNAnalysis[[#This Row],[Population]], 0.05)), "")</f>
        <v>0.05</v>
      </c>
      <c r="AD76" s="320">
        <f>IFERROR(IF(tblPiNAnalysis[[#This Row],[WASH]]="", "", MROUND(tblPiNAnalysis[[#This Row],[WASH]]/tblPiNAnalysis[[#This Row],[Population]], 0.05)), "")</f>
        <v>0.35000000000000003</v>
      </c>
      <c r="AE76" s="318">
        <f>IFERROR(MROUND(tblPiNAnalysis[[#This Row],[CP]]/tblPiNAnalysis[[#This Row],[Population]], 0.05), "")</f>
        <v>0</v>
      </c>
      <c r="AF76" s="318">
        <f>IFERROR(MROUND(tblPiNAnalysis[[#This Row],[GBV]]/tblPiNAnalysis[[#This Row],[Population]], 0.05), "")</f>
        <v>0</v>
      </c>
      <c r="AG76" s="318">
        <f>IFERROR(MROUND(tblPiNAnalysis[[#This Row],[Migrants]]/tblPiNAnalysis[[#This Row],[Population]], 0.05), "")</f>
        <v>0</v>
      </c>
      <c r="AH76" s="318">
        <f>IFERROR(MROUND(tblPiNAnalysis[[#This Row],[_]]/tblPiNAnalysis[[#This Row],[Population]], 0.05), "")</f>
        <v>0</v>
      </c>
      <c r="AI76" s="321">
        <f>IFERROR(LARGE(tblPiNAnalysis[[#This Row],[CCCM]:[WASH]], 1), "")</f>
        <v>92460.077393043481</v>
      </c>
      <c r="AJ76" s="322" t="str" cm="1">
        <f t="array" ref="AJ76">IF(tblPiNAnalysis[[#This Row],[Highest PiN]]="", "", _xlfn.TEXTJOIN(CHAR(10), TRUE, IF(tblPiNAnalysis[[#This Row],[Highest PiN]]=tblPiNAnalysis[[#This Row],[CCCM]:[WASH]], tblPiNAnalysis[[#Headers],[CCCM]:[WASH]], "")))</f>
        <v>Health</v>
      </c>
      <c r="AK76" s="323">
        <f>IF(tblPiNAnalysis[[#This Row],[Highest PiN]]="", "", tblPiNAnalysis[[#This Row],[Highest PiN]]/tblPiNAnalysis[[#This Row],[Population]])</f>
        <v>0.55869141716946524</v>
      </c>
      <c r="AL76" s="265" t="str">
        <f>IF(SUM(tblPiNAnalysis[[#This Row],[CCCM]:[WASH]])=0, "",IF(COUNTIF(tblPiNAnalysis[[#This Row],[CCCM]:[WASH]],"=0")+COUNTIF(tblPiNAnalysis[[#This Row],[CCCM]:[WASH]],"")&gt;=zero_pin_thresh, "Flagged", ""))</f>
        <v/>
      </c>
      <c r="AM76" s="264" t="str">
        <f>IFERROR(IF(tblPiNAnalysis[[#This Row],[Highest PiN]]="", "", IF(tblPiNAnalysis[[#This Row],[Highest sector(s'') PiN %]]&gt;=flag_pin_perc, "Flagged", "")), "")</f>
        <v/>
      </c>
      <c r="AN76" s="266" t="str" cm="1">
        <f t="array" ref="AN76">IF(tblPiNAnalysis[[#This Row],[Highest PiN]]=0, "",  IF(OR(COUNTIF(tblPiNAnalysis[[#This Row],[Highest sector(s)]],tblSubSectorPopulation[Sector])), "Flagged", ""))</f>
        <v/>
      </c>
      <c r="AO76" s="45" cm="1">
        <f t="array" ref="AO7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91483</v>
      </c>
      <c r="AP76" s="326" t="str" cm="1">
        <f t="array" ref="AP76">IF(tblPiNAnalysis[[#This Row],[2nd Highest PiN]]="", "", _xlfn.TEXTJOIN(CHAR(10), TRUE, IF(tblPiNAnalysis[[#This Row],[2nd Highest PiN]]=tblPiNAnalysis[[#This Row],[CCCM]:[WASH]], tblPiNAnalysis[[#Headers],[CCCM]:[WASH]], "")))</f>
        <v>Food Security</v>
      </c>
      <c r="AQ76" s="35">
        <f>IFERROR(tblPiNAnalysis[[#This Row],[2nd Highest PiN]]/tblPiNAnalysis[[#This Row],[Population]], "")</f>
        <v>0.55278741223246763</v>
      </c>
      <c r="AR76" s="45">
        <f>IFERROR(tblPiNAnalysis[[#This Row],[Highest PiN]]-tblPiNAnalysis[[#This Row],[2nd Highest PiN]], "")</f>
        <v>977.0773930434807</v>
      </c>
      <c r="AS76" s="38">
        <f>IFERROR(((tblPiNAnalysis[[#This Row],[Highest PiN]]-tblPiNAnalysis[[#This Row],[2nd Highest PiN]])/tblPiNAnalysis[[#This Row],[2nd Highest PiN]]),"")</f>
        <v>1.0680425795431728E-2</v>
      </c>
      <c r="AT76" s="269" t="str" cm="1">
        <f t="array" ref="AT7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6" s="327" cm="1">
        <f t="array" ref="AU7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55165</v>
      </c>
      <c r="AV76" s="186" t="str" cm="1">
        <f t="array" ref="AV76">IF(tblPiNAnalysis[[#This Row],[3rd Highest PiN]]="", "", _xlfn.TEXTJOIN(CHAR(10), TRUE, IF(tblPiNAnalysis[[#This Row],[3rd Highest PiN]]=tblPiNAnalysis[[#This Row],[CCCM]:[WASH]], tblPiNAnalysis[[#Headers],[CCCM]:[WASH]], "")))</f>
        <v>WASH</v>
      </c>
      <c r="AW76" s="186">
        <f>IFERROR(tblPiNAnalysis[[#This Row],[3rd Highest PiN]]/tblPiNAnalysis[[#This Row],[Population]], "")</f>
        <v>0.33333534750504551</v>
      </c>
      <c r="AX76" s="44">
        <f>IFERROR(tblPiNAnalysis[[#This Row],[Highest PiN]]-tblPiNAnalysis[[#This Row],[3rd Highest PiN]],"")</f>
        <v>37295.077393043481</v>
      </c>
      <c r="AY76" s="38">
        <f>IFERROR(tblPiNAnalysis[[#This Row],[Difference of PiN between Highest and 3rd Highest]]/tblPiNAnalysis[[#This Row],[3rd Highest PiN]], "")</f>
        <v>0.67606412386555748</v>
      </c>
      <c r="AZ76" s="325" t="str" cm="1">
        <f t="array" ref="AZ7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6" s="292" cm="1">
        <f t="array" ref="BA76">IFERROR(IF(tblPiNAnalysis[[#This Row],[ID]]="", "", INDEX(tblPiNHistorical[[CCCM]:[WASH]], MATCH(tblPiNAnalysis[[#This Row],[ID]],tblPiNHistorical[ID], 0),MATCH(_xlfn._xlws.FILTER(tblPiNAnalysis[[#Headers],[CCCM]:[WASH]], tblPiNAnalysis[[#This Row],[Highest PiN]]=tblPiNAnalysis[[#This Row],[CCCM]:[WASH]]), tblPiNHistorical[[#Headers],[CCCM]:[WASH]], 0))), "")</f>
        <v>1.3</v>
      </c>
      <c r="BB76" s="328" t="str" cm="1">
        <f t="array" ref="BB7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76" s="272" cm="1">
        <f t="array" ref="BC76">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76" s="329" t="str" cm="1">
        <f t="array" ref="BD7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6" s="371">
        <f>INDEX(tblSeverityAnalysis[Final Severity], MATCH(tblPiNAnalysis[[#This Row],[ID]],tblSeverityAnalysis[ID], 0))</f>
        <v>4</v>
      </c>
      <c r="BF76" s="60">
        <f>IF(tblPiNAnalysis[[#This Row],[Severity]]&gt;2,tblPiNAnalysis[[#This Row],[Highest PiN]],)</f>
        <v>92460.077393043481</v>
      </c>
      <c r="BG76" s="187"/>
      <c r="BH76" s="188"/>
      <c r="BI76" s="189">
        <f>COUNTIFS(tblPiNAnalysis[[#This Row],[Number of missing / zero PiNs greater than threshold - Data quality]:[Manual Flag]],"Flagged")</f>
        <v>1</v>
      </c>
      <c r="BJ76" s="346" t="str">
        <f>IF(tblPiNAnalysis[[#This Row],['# Flags]]&gt;0, "Flagged", "")</f>
        <v>Flagged</v>
      </c>
      <c r="BK76" s="339">
        <f>tblPiNAnalysis[[#This Row],[Preliminary PiN]]</f>
        <v>92460.077393043481</v>
      </c>
      <c r="BL76" s="326"/>
      <c r="BM76" s="383">
        <f>IF(OR(tblPiNAnalysis[[#This Row],[Severity]]=4,tblPiNAnalysis[[#This Row],[Severity]]=5),tblPiNAnalysis[[#This Row],[Final PiN]],0)</f>
        <v>92460.077393043481</v>
      </c>
      <c r="BN76" s="378">
        <f>IF(OR(tblPiNAnalysis[[#This Row],[Severity]]=4,tblPiNAnalysis[[#This Row],[Severity]]=5),100%, IF(tblPiNAnalysis[[#This Row],[Severity]]=3,50%,0%))*tblPiNAnalysis[[#This Row],[Final PiN]]</f>
        <v>92460.077393043481</v>
      </c>
      <c r="BO76" s="383">
        <f>IF(OR(tblPiNAnalysis[[#This Row],[Severity]]=4,tblPiNAnalysis[[#This Row],[Severity]]=5),100%, IF(AND(tblPiNAnalysis[[#This Row],[Severity]]=3,VLOOKUP(tblPiNAnalysis[[#This Row],[ID]],tblSeverityAnalysis[[ID]:[Highest Severity]],35,FALSE)&gt;3),50%,0%))*tblPiNAnalysis[[#This Row],[Final PiN]]</f>
        <v>92460.077393043481</v>
      </c>
    </row>
    <row r="77" spans="1:67" hidden="1">
      <c r="A7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Global_PopulationHT0543</v>
      </c>
      <c r="B77" s="304" t="s">
        <v>287</v>
      </c>
      <c r="C77" s="213" t="s">
        <v>288</v>
      </c>
      <c r="D77" s="213" t="s">
        <v>311</v>
      </c>
      <c r="E77" s="103" t="s">
        <v>312</v>
      </c>
      <c r="F77" s="99"/>
      <c r="G77" s="34"/>
      <c r="H77" s="357"/>
      <c r="I77" s="354">
        <v>23598</v>
      </c>
      <c r="J77" s="221" t="s">
        <v>156</v>
      </c>
      <c r="K77" s="316">
        <v>1620</v>
      </c>
      <c r="L77" s="308">
        <v>3383</v>
      </c>
      <c r="M77" s="308">
        <v>2241</v>
      </c>
      <c r="N77" s="308">
        <v>12450</v>
      </c>
      <c r="O77" s="308">
        <v>13545.861355555557</v>
      </c>
      <c r="P77" s="308">
        <v>727.84</v>
      </c>
      <c r="Q77" s="309">
        <v>0</v>
      </c>
      <c r="R77" s="308">
        <v>5900</v>
      </c>
      <c r="S77" s="308"/>
      <c r="T77" s="308"/>
      <c r="U77" s="308"/>
      <c r="V77" s="308"/>
      <c r="W77" s="317">
        <f>IFERROR(IF(tblPiNAnalysis[[#This Row],[CCCM]]="", "", MROUND(tblPiNAnalysis[[#This Row],[CCCM]]/tblPiNAnalysis[[#This Row],[Population]], 0.05)), "")</f>
        <v>0.05</v>
      </c>
      <c r="X77" s="318">
        <f>IFERROR(IF(tblPiNAnalysis[[#This Row],[Education]]="", "", MROUND(tblPiNAnalysis[[#This Row],[Education]]/tblPiNAnalysis[[#This Row],[Population]], 0.05)), "")</f>
        <v>0.15000000000000002</v>
      </c>
      <c r="Y77" s="318">
        <f>IFERROR(IF(tblPiNAnalysis[[#This Row],[Nutrition]]="", "", MROUND(tblPiNAnalysis[[#This Row],[Nutrition]]/tblPiNAnalysis[[#This Row],[Population]], 0.05)), "")</f>
        <v>0.1</v>
      </c>
      <c r="Z77" s="318">
        <f>IFERROR(IF(tblPiNAnalysis[[#This Row],[Food Security]]="", "", MROUND(tblPiNAnalysis[[#This Row],[Food Security]]/tblPiNAnalysis[[#This Row],[Population]], 0.05)), "")</f>
        <v>0.55000000000000004</v>
      </c>
      <c r="AA77" s="318">
        <f>IFERROR(IF(tblPiNAnalysis[[#This Row],[Health]]="", "", MROUND(tblPiNAnalysis[[#This Row],[Health]]/tblPiNAnalysis[[#This Row],[Population]], 0.05)), "")</f>
        <v>0.55000000000000004</v>
      </c>
      <c r="AB77" s="319">
        <f>IFERROR(IF(tblPiNAnalysis[[#This Row],[Protection]]="", "", MROUND(tblPiNAnalysis[[#This Row],[Protection]]/tblPiNAnalysis[[#This Row],[Population]], 0.05)), "")</f>
        <v>0.05</v>
      </c>
      <c r="AC77" s="319">
        <f>IFERROR(IF(tblPiNAnalysis[[#This Row],[Shelter]]="", "", MROUND(tblPiNAnalysis[[#This Row],[Shelter]]/tblPiNAnalysis[[#This Row],[Population]], 0.05)), "")</f>
        <v>0</v>
      </c>
      <c r="AD77" s="320">
        <f>IFERROR(IF(tblPiNAnalysis[[#This Row],[WASH]]="", "", MROUND(tblPiNAnalysis[[#This Row],[WASH]]/tblPiNAnalysis[[#This Row],[Population]], 0.05)), "")</f>
        <v>0.25</v>
      </c>
      <c r="AE77" s="318">
        <f>IFERROR(MROUND(tblPiNAnalysis[[#This Row],[CP]]/tblPiNAnalysis[[#This Row],[Population]], 0.05), "")</f>
        <v>0</v>
      </c>
      <c r="AF77" s="318">
        <f>IFERROR(MROUND(tblPiNAnalysis[[#This Row],[GBV]]/tblPiNAnalysis[[#This Row],[Population]], 0.05), "")</f>
        <v>0</v>
      </c>
      <c r="AG77" s="318">
        <f>IFERROR(MROUND(tblPiNAnalysis[[#This Row],[Migrants]]/tblPiNAnalysis[[#This Row],[Population]], 0.05), "")</f>
        <v>0</v>
      </c>
      <c r="AH77" s="318">
        <f>IFERROR(MROUND(tblPiNAnalysis[[#This Row],[_]]/tblPiNAnalysis[[#This Row],[Population]], 0.05), "")</f>
        <v>0</v>
      </c>
      <c r="AI77" s="321">
        <f>IFERROR(LARGE(tblPiNAnalysis[[#This Row],[CCCM]:[WASH]], 1), "")</f>
        <v>13545.861355555557</v>
      </c>
      <c r="AJ77" s="322" t="str" cm="1">
        <f t="array" ref="AJ77">IF(tblPiNAnalysis[[#This Row],[Highest PiN]]="", "", _xlfn.TEXTJOIN(CHAR(10), TRUE, IF(tblPiNAnalysis[[#This Row],[Highest PiN]]=tblPiNAnalysis[[#This Row],[CCCM]:[WASH]], tblPiNAnalysis[[#Headers],[CCCM]:[WASH]], "")))</f>
        <v>Health</v>
      </c>
      <c r="AK77" s="323">
        <f>IF(tblPiNAnalysis[[#This Row],[Highest PiN]]="", "", tblPiNAnalysis[[#This Row],[Highest PiN]]/tblPiNAnalysis[[#This Row],[Population]])</f>
        <v>0.57402582233899302</v>
      </c>
      <c r="AL77" s="265" t="str">
        <f>IF(SUM(tblPiNAnalysis[[#This Row],[CCCM]:[WASH]])=0, "",IF(COUNTIF(tblPiNAnalysis[[#This Row],[CCCM]:[WASH]],"=0")+COUNTIF(tblPiNAnalysis[[#This Row],[CCCM]:[WASH]],"")&gt;=zero_pin_thresh, "Flagged", ""))</f>
        <v/>
      </c>
      <c r="AM77" s="264" t="str">
        <f>IFERROR(IF(tblPiNAnalysis[[#This Row],[Highest PiN]]="", "", IF(tblPiNAnalysis[[#This Row],[Highest sector(s'') PiN %]]&gt;=flag_pin_perc, "Flagged", "")), "")</f>
        <v/>
      </c>
      <c r="AN77" s="266" t="str" cm="1">
        <f t="array" ref="AN77">IF(tblPiNAnalysis[[#This Row],[Highest PiN]]=0, "",  IF(OR(COUNTIF(tblPiNAnalysis[[#This Row],[Highest sector(s)]],tblSubSectorPopulation[Sector])), "Flagged", ""))</f>
        <v/>
      </c>
      <c r="AO77" s="45" cm="1">
        <f t="array" ref="AO7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12450</v>
      </c>
      <c r="AP77" s="326" t="str" cm="1">
        <f t="array" ref="AP77">IF(tblPiNAnalysis[[#This Row],[2nd Highest PiN]]="", "", _xlfn.TEXTJOIN(CHAR(10), TRUE, IF(tblPiNAnalysis[[#This Row],[2nd Highest PiN]]=tblPiNAnalysis[[#This Row],[CCCM]:[WASH]], tblPiNAnalysis[[#Headers],[CCCM]:[WASH]], "")))</f>
        <v>Food Security</v>
      </c>
      <c r="AQ77" s="35">
        <f>IFERROR(tblPiNAnalysis[[#This Row],[2nd Highest PiN]]/tblPiNAnalysis[[#This Row],[Population]], "")</f>
        <v>0.52758708365115692</v>
      </c>
      <c r="AR77" s="45">
        <f>IFERROR(tblPiNAnalysis[[#This Row],[Highest PiN]]-tblPiNAnalysis[[#This Row],[2nd Highest PiN]], "")</f>
        <v>1095.8613555555567</v>
      </c>
      <c r="AS77" s="38">
        <f>IFERROR(((tblPiNAnalysis[[#This Row],[Highest PiN]]-tblPiNAnalysis[[#This Row],[2nd Highest PiN]])/tblPiNAnalysis[[#This Row],[2nd Highest PiN]]),"")</f>
        <v>8.802099241410094E-2</v>
      </c>
      <c r="AT77" s="269" t="str" cm="1">
        <f t="array" ref="AT7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7" s="327" cm="1">
        <f t="array" ref="AU7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5900</v>
      </c>
      <c r="AV77" s="186" t="str" cm="1">
        <f t="array" ref="AV77">IF(tblPiNAnalysis[[#This Row],[3rd Highest PiN]]="", "", _xlfn.TEXTJOIN(CHAR(10), TRUE, IF(tblPiNAnalysis[[#This Row],[3rd Highest PiN]]=tblPiNAnalysis[[#This Row],[CCCM]:[WASH]], tblPiNAnalysis[[#Headers],[CCCM]:[WASH]], "")))</f>
        <v>WASH</v>
      </c>
      <c r="AW77" s="186">
        <f>IFERROR(tblPiNAnalysis[[#This Row],[3rd Highest PiN]]/tblPiNAnalysis[[#This Row],[Population]], "")</f>
        <v>0.25002118823629121</v>
      </c>
      <c r="AX77" s="44">
        <f>IFERROR(tblPiNAnalysis[[#This Row],[Highest PiN]]-tblPiNAnalysis[[#This Row],[3rd Highest PiN]],"")</f>
        <v>7645.8613555555567</v>
      </c>
      <c r="AY77" s="38">
        <f>IFERROR(tblPiNAnalysis[[#This Row],[Difference of PiN between Highest and 3rd Highest]]/tblPiNAnalysis[[#This Row],[3rd Highest PiN]], "")</f>
        <v>1.2959087043314503</v>
      </c>
      <c r="AZ77" s="325" t="str" cm="1">
        <f t="array" ref="AZ7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7" s="292" cm="1">
        <f t="array" ref="BA77">IFERROR(IF(tblPiNAnalysis[[#This Row],[ID]]="", "", INDEX(tblPiNHistorical[[CCCM]:[WASH]], MATCH(tblPiNAnalysis[[#This Row],[ID]],tblPiNHistorical[ID], 0),MATCH(_xlfn._xlws.FILTER(tblPiNAnalysis[[#Headers],[CCCM]:[WASH]], tblPiNAnalysis[[#This Row],[Highest PiN]]=tblPiNAnalysis[[#This Row],[CCCM]:[WASH]]), tblPiNHistorical[[#Headers],[CCCM]:[WASH]], 0))), "")</f>
        <v>0.9</v>
      </c>
      <c r="BB77" s="328" t="str" cm="1">
        <f t="array" ref="BB7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7" s="272" cm="1">
        <f t="array" ref="BC77">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77" s="329" t="str" cm="1">
        <f t="array" ref="BD7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7" s="371">
        <f>INDEX(tblSeverityAnalysis[Final Severity], MATCH(tblPiNAnalysis[[#This Row],[ID]],tblSeverityAnalysis[ID], 0))</f>
        <v>3</v>
      </c>
      <c r="BF77" s="60">
        <f>IF(tblPiNAnalysis[[#This Row],[Severity]]&gt;2,tblPiNAnalysis[[#This Row],[Highest PiN]],)</f>
        <v>13545.861355555557</v>
      </c>
      <c r="BG77" s="187"/>
      <c r="BH77" s="188"/>
      <c r="BI77" s="189">
        <f>COUNTIFS(tblPiNAnalysis[[#This Row],[Number of missing / zero PiNs greater than threshold - Data quality]:[Manual Flag]],"Flagged")</f>
        <v>1</v>
      </c>
      <c r="BJ77" s="346" t="str">
        <f>IF(tblPiNAnalysis[[#This Row],['# Flags]]&gt;0, "Flagged", "")</f>
        <v>Flagged</v>
      </c>
      <c r="BK77" s="339">
        <f>tblPiNAnalysis[[#This Row],[Preliminary PiN]]</f>
        <v>13545.861355555557</v>
      </c>
      <c r="BL77" s="326"/>
      <c r="BM77" s="383">
        <f>IF(OR(tblPiNAnalysis[[#This Row],[Severity]]=4,tblPiNAnalysis[[#This Row],[Severity]]=5),tblPiNAnalysis[[#This Row],[Final PiN]],0)</f>
        <v>0</v>
      </c>
      <c r="BN77" s="378">
        <f>IF(OR(tblPiNAnalysis[[#This Row],[Severity]]=4,tblPiNAnalysis[[#This Row],[Severity]]=5),100%, IF(tblPiNAnalysis[[#This Row],[Severity]]=3,50%,0%))*tblPiNAnalysis[[#This Row],[Final PiN]]</f>
        <v>6772.9306777777783</v>
      </c>
      <c r="BO77" s="383">
        <f>IF(OR(tblPiNAnalysis[[#This Row],[Severity]]=4,tblPiNAnalysis[[#This Row],[Severity]]=5),100%, IF(AND(tblPiNAnalysis[[#This Row],[Severity]]=3,VLOOKUP(tblPiNAnalysis[[#This Row],[ID]],tblSeverityAnalysis[[ID]:[Highest Severity]],35,FALSE)&gt;3),50%,0%))*tblPiNAnalysis[[#This Row],[Final PiN]]</f>
        <v>6772.9306777777783</v>
      </c>
    </row>
    <row r="78" spans="1:67" hidden="1">
      <c r="A7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Global_PopulationHT0544</v>
      </c>
      <c r="B78" s="304" t="s">
        <v>287</v>
      </c>
      <c r="C78" s="213" t="s">
        <v>288</v>
      </c>
      <c r="D78" s="213" t="s">
        <v>313</v>
      </c>
      <c r="E78" s="103" t="s">
        <v>314</v>
      </c>
      <c r="F78" s="99"/>
      <c r="G78" s="34"/>
      <c r="H78" s="357"/>
      <c r="I78" s="354">
        <v>37602</v>
      </c>
      <c r="J78" s="221" t="s">
        <v>156</v>
      </c>
      <c r="K78" s="316">
        <v>475.5</v>
      </c>
      <c r="L78" s="308">
        <v>6054</v>
      </c>
      <c r="M78" s="308">
        <v>3353</v>
      </c>
      <c r="N78" s="308">
        <v>19839</v>
      </c>
      <c r="O78" s="308">
        <v>19399.401461829653</v>
      </c>
      <c r="P78" s="308">
        <v>207.7</v>
      </c>
      <c r="Q78" s="309">
        <v>0</v>
      </c>
      <c r="R78" s="308">
        <v>9401</v>
      </c>
      <c r="S78" s="308"/>
      <c r="T78" s="308"/>
      <c r="U78" s="308"/>
      <c r="V78" s="308"/>
      <c r="W78" s="317">
        <f>IFERROR(IF(tblPiNAnalysis[[#This Row],[CCCM]]="", "", MROUND(tblPiNAnalysis[[#This Row],[CCCM]]/tblPiNAnalysis[[#This Row],[Population]], 0.05)), "")</f>
        <v>0</v>
      </c>
      <c r="X78" s="318">
        <f>IFERROR(IF(tblPiNAnalysis[[#This Row],[Education]]="", "", MROUND(tblPiNAnalysis[[#This Row],[Education]]/tblPiNAnalysis[[#This Row],[Population]], 0.05)), "")</f>
        <v>0.15000000000000002</v>
      </c>
      <c r="Y78" s="318">
        <f>IFERROR(IF(tblPiNAnalysis[[#This Row],[Nutrition]]="", "", MROUND(tblPiNAnalysis[[#This Row],[Nutrition]]/tblPiNAnalysis[[#This Row],[Population]], 0.05)), "")</f>
        <v>0.1</v>
      </c>
      <c r="Z78" s="318">
        <f>IFERROR(IF(tblPiNAnalysis[[#This Row],[Food Security]]="", "", MROUND(tblPiNAnalysis[[#This Row],[Food Security]]/tblPiNAnalysis[[#This Row],[Population]], 0.05)), "")</f>
        <v>0.55000000000000004</v>
      </c>
      <c r="AA78" s="318">
        <f>IFERROR(IF(tblPiNAnalysis[[#This Row],[Health]]="", "", MROUND(tblPiNAnalysis[[#This Row],[Health]]/tblPiNAnalysis[[#This Row],[Population]], 0.05)), "")</f>
        <v>0.5</v>
      </c>
      <c r="AB78" s="319">
        <f>IFERROR(IF(tblPiNAnalysis[[#This Row],[Protection]]="", "", MROUND(tblPiNAnalysis[[#This Row],[Protection]]/tblPiNAnalysis[[#This Row],[Population]], 0.05)), "")</f>
        <v>0</v>
      </c>
      <c r="AC78" s="319">
        <f>IFERROR(IF(tblPiNAnalysis[[#This Row],[Shelter]]="", "", MROUND(tblPiNAnalysis[[#This Row],[Shelter]]/tblPiNAnalysis[[#This Row],[Population]], 0.05)), "")</f>
        <v>0</v>
      </c>
      <c r="AD78" s="320">
        <f>IFERROR(IF(tblPiNAnalysis[[#This Row],[WASH]]="", "", MROUND(tblPiNAnalysis[[#This Row],[WASH]]/tblPiNAnalysis[[#This Row],[Population]], 0.05)), "")</f>
        <v>0.25</v>
      </c>
      <c r="AE78" s="318">
        <f>IFERROR(MROUND(tblPiNAnalysis[[#This Row],[CP]]/tblPiNAnalysis[[#This Row],[Population]], 0.05), "")</f>
        <v>0</v>
      </c>
      <c r="AF78" s="318">
        <f>IFERROR(MROUND(tblPiNAnalysis[[#This Row],[GBV]]/tblPiNAnalysis[[#This Row],[Population]], 0.05), "")</f>
        <v>0</v>
      </c>
      <c r="AG78" s="318">
        <f>IFERROR(MROUND(tblPiNAnalysis[[#This Row],[Migrants]]/tblPiNAnalysis[[#This Row],[Population]], 0.05), "")</f>
        <v>0</v>
      </c>
      <c r="AH78" s="318">
        <f>IFERROR(MROUND(tblPiNAnalysis[[#This Row],[_]]/tblPiNAnalysis[[#This Row],[Population]], 0.05), "")</f>
        <v>0</v>
      </c>
      <c r="AI78" s="321">
        <f>IFERROR(LARGE(tblPiNAnalysis[[#This Row],[CCCM]:[WASH]], 1), "")</f>
        <v>19839</v>
      </c>
      <c r="AJ78" s="322" t="str" cm="1">
        <f t="array" ref="AJ78">IF(tblPiNAnalysis[[#This Row],[Highest PiN]]="", "", _xlfn.TEXTJOIN(CHAR(10), TRUE, IF(tblPiNAnalysis[[#This Row],[Highest PiN]]=tblPiNAnalysis[[#This Row],[CCCM]:[WASH]], tblPiNAnalysis[[#Headers],[CCCM]:[WASH]], "")))</f>
        <v>Food Security</v>
      </c>
      <c r="AK78" s="323">
        <f>IF(tblPiNAnalysis[[#This Row],[Highest PiN]]="", "", tblPiNAnalysis[[#This Row],[Highest PiN]]/tblPiNAnalysis[[#This Row],[Population]])</f>
        <v>0.52760491463220038</v>
      </c>
      <c r="AL78" s="265" t="str">
        <f>IF(SUM(tblPiNAnalysis[[#This Row],[CCCM]:[WASH]])=0, "",IF(COUNTIF(tblPiNAnalysis[[#This Row],[CCCM]:[WASH]],"=0")+COUNTIF(tblPiNAnalysis[[#This Row],[CCCM]:[WASH]],"")&gt;=zero_pin_thresh, "Flagged", ""))</f>
        <v/>
      </c>
      <c r="AM78" s="264" t="str">
        <f>IFERROR(IF(tblPiNAnalysis[[#This Row],[Highest PiN]]="", "", IF(tblPiNAnalysis[[#This Row],[Highest sector(s'') PiN %]]&gt;=flag_pin_perc, "Flagged", "")), "")</f>
        <v/>
      </c>
      <c r="AN78" s="266" t="str" cm="1">
        <f t="array" ref="AN78">IF(tblPiNAnalysis[[#This Row],[Highest PiN]]=0, "",  IF(OR(COUNTIF(tblPiNAnalysis[[#This Row],[Highest sector(s)]],tblSubSectorPopulation[Sector])), "Flagged", ""))</f>
        <v/>
      </c>
      <c r="AO78" s="45" cm="1">
        <f t="array" ref="AO7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19399.401461829653</v>
      </c>
      <c r="AP78" s="326" t="str" cm="1">
        <f t="array" ref="AP78">IF(tblPiNAnalysis[[#This Row],[2nd Highest PiN]]="", "", _xlfn.TEXTJOIN(CHAR(10), TRUE, IF(tblPiNAnalysis[[#This Row],[2nd Highest PiN]]=tblPiNAnalysis[[#This Row],[CCCM]:[WASH]], tblPiNAnalysis[[#Headers],[CCCM]:[WASH]], "")))</f>
        <v>Health</v>
      </c>
      <c r="AQ78" s="35">
        <f>IFERROR(tblPiNAnalysis[[#This Row],[2nd Highest PiN]]/tblPiNAnalysis[[#This Row],[Population]], "")</f>
        <v>0.51591408600153321</v>
      </c>
      <c r="AR78" s="45">
        <f>IFERROR(tblPiNAnalysis[[#This Row],[Highest PiN]]-tblPiNAnalysis[[#This Row],[2nd Highest PiN]], "")</f>
        <v>439.59853817034673</v>
      </c>
      <c r="AS78" s="38">
        <f>IFERROR(((tblPiNAnalysis[[#This Row],[Highest PiN]]-tblPiNAnalysis[[#This Row],[2nd Highest PiN]])/tblPiNAnalysis[[#This Row],[2nd Highest PiN]]),"")</f>
        <v>2.2660417592537726E-2</v>
      </c>
      <c r="AT78" s="269" t="str" cm="1">
        <f t="array" ref="AT7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8" s="327" cm="1">
        <f t="array" ref="AU7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9401</v>
      </c>
      <c r="AV78" s="186" t="str" cm="1">
        <f t="array" ref="AV78">IF(tblPiNAnalysis[[#This Row],[3rd Highest PiN]]="", "", _xlfn.TEXTJOIN(CHAR(10), TRUE, IF(tblPiNAnalysis[[#This Row],[3rd Highest PiN]]=tblPiNAnalysis[[#This Row],[CCCM]:[WASH]], tblPiNAnalysis[[#Headers],[CCCM]:[WASH]], "")))</f>
        <v>WASH</v>
      </c>
      <c r="AW78" s="186">
        <f>IFERROR(tblPiNAnalysis[[#This Row],[3rd Highest PiN]]/tblPiNAnalysis[[#This Row],[Population]], "")</f>
        <v>0.25001329716504439</v>
      </c>
      <c r="AX78" s="44">
        <f>IFERROR(tblPiNAnalysis[[#This Row],[Highest PiN]]-tblPiNAnalysis[[#This Row],[3rd Highest PiN]],"")</f>
        <v>10438</v>
      </c>
      <c r="AY78" s="38">
        <f>IFERROR(tblPiNAnalysis[[#This Row],[Difference of PiN between Highest and 3rd Highest]]/tblPiNAnalysis[[#This Row],[3rd Highest PiN]], "")</f>
        <v>1.1103074141048825</v>
      </c>
      <c r="AZ78" s="325" t="str" cm="1">
        <f t="array" ref="AZ7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78" s="292" cm="1">
        <f t="array" ref="BA78">IFERROR(IF(tblPiNAnalysis[[#This Row],[ID]]="", "", INDEX(tblPiNHistorical[[CCCM]:[WASH]], MATCH(tblPiNAnalysis[[#This Row],[ID]],tblPiNHistorical[ID], 0),MATCH(_xlfn._xlws.FILTER(tblPiNAnalysis[[#Headers],[CCCM]:[WASH]], tblPiNAnalysis[[#This Row],[Highest PiN]]=tblPiNAnalysis[[#This Row],[CCCM]:[WASH]]), tblPiNHistorical[[#Headers],[CCCM]:[WASH]], 0))), "")</f>
        <v>0.1</v>
      </c>
      <c r="BB78" s="328" t="str" cm="1">
        <f t="array" ref="BB7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78" s="272" cm="1">
        <f t="array" ref="BC78">IFERROR(IF(tblPiNAnalysis[[#This Row],[ID]]="", "", INDEX(tblPiNHistorical[[CCCM]:[WASH]], MATCH(tblPiNAnalysis[[#This Row],[ID]],tblPiNHistorical[ID], 0),MATCH(_xlfn._xlws.FILTER(tblPiNAnalysis[[#Headers],[CCCM]:[WASH]], tblPiNAnalysis[[#This Row],[2nd Highest PiN]]=tblPiNAnalysis[[#This Row],[CCCM]:[WASH]]), tblPiNHistorical[[#Headers],[CCCM]:[WASH]], 0))), "")</f>
        <v>1.4</v>
      </c>
      <c r="BD78" s="329" t="str" cm="1">
        <f t="array" ref="BD7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78" s="371">
        <f>INDEX(tblSeverityAnalysis[Final Severity], MATCH(tblPiNAnalysis[[#This Row],[ID]],tblSeverityAnalysis[ID], 0))</f>
        <v>3</v>
      </c>
      <c r="BF78" s="60">
        <f>IF(tblPiNAnalysis[[#This Row],[Severity]]&gt;2,tblPiNAnalysis[[#This Row],[Highest PiN]],)</f>
        <v>19839</v>
      </c>
      <c r="BG78" s="187"/>
      <c r="BH78" s="188"/>
      <c r="BI78" s="189">
        <f>COUNTIFS(tblPiNAnalysis[[#This Row],[Number of missing / zero PiNs greater than threshold - Data quality]:[Manual Flag]],"Flagged")</f>
        <v>2</v>
      </c>
      <c r="BJ78" s="346" t="str">
        <f>IF(tblPiNAnalysis[[#This Row],['# Flags]]&gt;0, "Flagged", "")</f>
        <v>Flagged</v>
      </c>
      <c r="BK78" s="339">
        <f>tblPiNAnalysis[[#This Row],[Preliminary PiN]]</f>
        <v>19839</v>
      </c>
      <c r="BL78" s="326"/>
      <c r="BM78" s="383">
        <f>IF(OR(tblPiNAnalysis[[#This Row],[Severity]]=4,tblPiNAnalysis[[#This Row],[Severity]]=5),tblPiNAnalysis[[#This Row],[Final PiN]],0)</f>
        <v>0</v>
      </c>
      <c r="BN78" s="378">
        <f>IF(OR(tblPiNAnalysis[[#This Row],[Severity]]=4,tblPiNAnalysis[[#This Row],[Severity]]=5),100%, IF(tblPiNAnalysis[[#This Row],[Severity]]=3,50%,0%))*tblPiNAnalysis[[#This Row],[Final PiN]]</f>
        <v>9919.5</v>
      </c>
      <c r="BO78" s="383">
        <f>IF(OR(tblPiNAnalysis[[#This Row],[Severity]]=4,tblPiNAnalysis[[#This Row],[Severity]]=5),100%, IF(AND(tblPiNAnalysis[[#This Row],[Severity]]=3,VLOOKUP(tblPiNAnalysis[[#This Row],[ID]],tblSeverityAnalysis[[ID]:[Highest Severity]],35,FALSE)&gt;3),50%,0%))*tblPiNAnalysis[[#This Row],[Final PiN]]</f>
        <v>9919.5</v>
      </c>
    </row>
    <row r="79" spans="1:67" hidden="1">
      <c r="A7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Global_PopulationHT0551</v>
      </c>
      <c r="B79" s="304" t="s">
        <v>287</v>
      </c>
      <c r="C79" s="213" t="s">
        <v>288</v>
      </c>
      <c r="D79" s="213" t="s">
        <v>315</v>
      </c>
      <c r="E79" s="103" t="s">
        <v>316</v>
      </c>
      <c r="F79" s="99"/>
      <c r="G79" s="34"/>
      <c r="H79" s="357"/>
      <c r="I79" s="354">
        <v>154615</v>
      </c>
      <c r="J79" s="221" t="s">
        <v>156</v>
      </c>
      <c r="K79" s="316">
        <v>17863.5</v>
      </c>
      <c r="L79" s="308">
        <v>29083</v>
      </c>
      <c r="M79" s="308">
        <v>15698</v>
      </c>
      <c r="N79" s="308">
        <v>94606</v>
      </c>
      <c r="O79" s="308">
        <v>102402.52618295033</v>
      </c>
      <c r="P79" s="308">
        <v>26391.817073170732</v>
      </c>
      <c r="Q79" s="309">
        <v>78384</v>
      </c>
      <c r="R79" s="308">
        <v>81172.875</v>
      </c>
      <c r="S79" s="308"/>
      <c r="T79" s="308"/>
      <c r="U79" s="308"/>
      <c r="V79" s="308"/>
      <c r="W79" s="317">
        <f>IFERROR(IF(tblPiNAnalysis[[#This Row],[CCCM]]="", "", MROUND(tblPiNAnalysis[[#This Row],[CCCM]]/tblPiNAnalysis[[#This Row],[Population]], 0.05)), "")</f>
        <v>0.1</v>
      </c>
      <c r="X79" s="318">
        <f>IFERROR(IF(tblPiNAnalysis[[#This Row],[Education]]="", "", MROUND(tblPiNAnalysis[[#This Row],[Education]]/tblPiNAnalysis[[#This Row],[Population]], 0.05)), "")</f>
        <v>0.2</v>
      </c>
      <c r="Y79" s="318">
        <f>IFERROR(IF(tblPiNAnalysis[[#This Row],[Nutrition]]="", "", MROUND(tblPiNAnalysis[[#This Row],[Nutrition]]/tblPiNAnalysis[[#This Row],[Population]], 0.05)), "")</f>
        <v>0.1</v>
      </c>
      <c r="Z79" s="318">
        <f>IFERROR(IF(tblPiNAnalysis[[#This Row],[Food Security]]="", "", MROUND(tblPiNAnalysis[[#This Row],[Food Security]]/tblPiNAnalysis[[#This Row],[Population]], 0.05)), "")</f>
        <v>0.60000000000000009</v>
      </c>
      <c r="AA79" s="318">
        <f>IFERROR(IF(tblPiNAnalysis[[#This Row],[Health]]="", "", MROUND(tblPiNAnalysis[[#This Row],[Health]]/tblPiNAnalysis[[#This Row],[Population]], 0.05)), "")</f>
        <v>0.65</v>
      </c>
      <c r="AB79" s="319">
        <f>IFERROR(IF(tblPiNAnalysis[[#This Row],[Protection]]="", "", MROUND(tblPiNAnalysis[[#This Row],[Protection]]/tblPiNAnalysis[[#This Row],[Population]], 0.05)), "")</f>
        <v>0.15000000000000002</v>
      </c>
      <c r="AC79" s="319">
        <f>IFERROR(IF(tblPiNAnalysis[[#This Row],[Shelter]]="", "", MROUND(tblPiNAnalysis[[#This Row],[Shelter]]/tblPiNAnalysis[[#This Row],[Population]], 0.05)), "")</f>
        <v>0.5</v>
      </c>
      <c r="AD79" s="320">
        <f>IFERROR(IF(tblPiNAnalysis[[#This Row],[WASH]]="", "", MROUND(tblPiNAnalysis[[#This Row],[WASH]]/tblPiNAnalysis[[#This Row],[Population]], 0.05)), "")</f>
        <v>0.55000000000000004</v>
      </c>
      <c r="AE79" s="318">
        <f>IFERROR(MROUND(tblPiNAnalysis[[#This Row],[CP]]/tblPiNAnalysis[[#This Row],[Population]], 0.05), "")</f>
        <v>0</v>
      </c>
      <c r="AF79" s="318">
        <f>IFERROR(MROUND(tblPiNAnalysis[[#This Row],[GBV]]/tblPiNAnalysis[[#This Row],[Population]], 0.05), "")</f>
        <v>0</v>
      </c>
      <c r="AG79" s="318">
        <f>IFERROR(MROUND(tblPiNAnalysis[[#This Row],[Migrants]]/tblPiNAnalysis[[#This Row],[Population]], 0.05), "")</f>
        <v>0</v>
      </c>
      <c r="AH79" s="318">
        <f>IFERROR(MROUND(tblPiNAnalysis[[#This Row],[_]]/tblPiNAnalysis[[#This Row],[Population]], 0.05), "")</f>
        <v>0</v>
      </c>
      <c r="AI79" s="321">
        <f>IFERROR(LARGE(tblPiNAnalysis[[#This Row],[CCCM]:[WASH]], 1), "")</f>
        <v>102402.52618295033</v>
      </c>
      <c r="AJ79" s="322" t="str" cm="1">
        <f t="array" ref="AJ79">IF(tblPiNAnalysis[[#This Row],[Highest PiN]]="", "", _xlfn.TEXTJOIN(CHAR(10), TRUE, IF(tblPiNAnalysis[[#This Row],[Highest PiN]]=tblPiNAnalysis[[#This Row],[CCCM]:[WASH]], tblPiNAnalysis[[#Headers],[CCCM]:[WASH]], "")))</f>
        <v>Health</v>
      </c>
      <c r="AK79" s="323">
        <f>IF(tblPiNAnalysis[[#This Row],[Highest PiN]]="", "", tblPiNAnalysis[[#This Row],[Highest PiN]]/tblPiNAnalysis[[#This Row],[Population]])</f>
        <v>0.66230654323933857</v>
      </c>
      <c r="AL79" s="265" t="str">
        <f>IF(SUM(tblPiNAnalysis[[#This Row],[CCCM]:[WASH]])=0, "",IF(COUNTIF(tblPiNAnalysis[[#This Row],[CCCM]:[WASH]],"=0")+COUNTIF(tblPiNAnalysis[[#This Row],[CCCM]:[WASH]],"")&gt;=zero_pin_thresh, "Flagged", ""))</f>
        <v/>
      </c>
      <c r="AM79" s="264" t="str">
        <f>IFERROR(IF(tblPiNAnalysis[[#This Row],[Highest PiN]]="", "", IF(tblPiNAnalysis[[#This Row],[Highest sector(s'') PiN %]]&gt;=flag_pin_perc, "Flagged", "")), "")</f>
        <v/>
      </c>
      <c r="AN79" s="266" t="str" cm="1">
        <f t="array" ref="AN79">IF(tblPiNAnalysis[[#This Row],[Highest PiN]]=0, "",  IF(OR(COUNTIF(tblPiNAnalysis[[#This Row],[Highest sector(s)]],tblSubSectorPopulation[Sector])), "Flagged", ""))</f>
        <v/>
      </c>
      <c r="AO79" s="45" cm="1">
        <f t="array" ref="AO7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94606</v>
      </c>
      <c r="AP79" s="326" t="str" cm="1">
        <f t="array" ref="AP79">IF(tblPiNAnalysis[[#This Row],[2nd Highest PiN]]="", "", _xlfn.TEXTJOIN(CHAR(10), TRUE, IF(tblPiNAnalysis[[#This Row],[2nd Highest PiN]]=tblPiNAnalysis[[#This Row],[CCCM]:[WASH]], tblPiNAnalysis[[#Headers],[CCCM]:[WASH]], "")))</f>
        <v>Food Security</v>
      </c>
      <c r="AQ79" s="35">
        <f>IFERROR(tblPiNAnalysis[[#This Row],[2nd Highest PiN]]/tblPiNAnalysis[[#This Row],[Population]], "")</f>
        <v>0.61188112408239825</v>
      </c>
      <c r="AR79" s="45">
        <f>IFERROR(tblPiNAnalysis[[#This Row],[Highest PiN]]-tblPiNAnalysis[[#This Row],[2nd Highest PiN]], "")</f>
        <v>7796.5261829503288</v>
      </c>
      <c r="AS79" s="38">
        <f>IFERROR(((tblPiNAnalysis[[#This Row],[Highest PiN]]-tblPiNAnalysis[[#This Row],[2nd Highest PiN]])/tblPiNAnalysis[[#This Row],[2nd Highest PiN]]),"")</f>
        <v>8.2410483298631473E-2</v>
      </c>
      <c r="AT79" s="269" t="str" cm="1">
        <f t="array" ref="AT7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79" s="327" cm="1">
        <f t="array" ref="AU7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81172.875</v>
      </c>
      <c r="AV79" s="186" t="str" cm="1">
        <f t="array" ref="AV79">IF(tblPiNAnalysis[[#This Row],[3rd Highest PiN]]="", "", _xlfn.TEXTJOIN(CHAR(10), TRUE, IF(tblPiNAnalysis[[#This Row],[3rd Highest PiN]]=tblPiNAnalysis[[#This Row],[CCCM]:[WASH]], tblPiNAnalysis[[#Headers],[CCCM]:[WASH]], "")))</f>
        <v>WASH</v>
      </c>
      <c r="AW79" s="186">
        <f>IFERROR(tblPiNAnalysis[[#This Row],[3rd Highest PiN]]/tblPiNAnalysis[[#This Row],[Population]], "")</f>
        <v>0.52500000000000002</v>
      </c>
      <c r="AX79" s="44">
        <f>IFERROR(tblPiNAnalysis[[#This Row],[Highest PiN]]-tblPiNAnalysis[[#This Row],[3rd Highest PiN]],"")</f>
        <v>21229.651182950329</v>
      </c>
      <c r="AY79" s="38">
        <f>IFERROR(tblPiNAnalysis[[#This Row],[Difference of PiN between Highest and 3rd Highest]]/tblPiNAnalysis[[#This Row],[3rd Highest PiN]], "")</f>
        <v>0.26153627283683534</v>
      </c>
      <c r="AZ79" s="325" t="str" cm="1">
        <f t="array" ref="AZ7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79" s="292" cm="1">
        <f t="array" ref="BA79">IFERROR(IF(tblPiNAnalysis[[#This Row],[ID]]="", "", INDEX(tblPiNHistorical[[CCCM]:[WASH]], MATCH(tblPiNAnalysis[[#This Row],[ID]],tblPiNHistorical[ID], 0),MATCH(_xlfn._xlws.FILTER(tblPiNAnalysis[[#Headers],[CCCM]:[WASH]], tblPiNAnalysis[[#This Row],[Highest PiN]]=tblPiNAnalysis[[#This Row],[CCCM]:[WASH]]), tblPiNHistorical[[#Headers],[CCCM]:[WASH]], 0))), "")</f>
        <v>1.7</v>
      </c>
      <c r="BB79" s="328" t="str" cm="1">
        <f t="array" ref="BB7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79" s="272" cm="1">
        <f t="array" ref="BC79">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79" s="329" t="str" cm="1">
        <f t="array" ref="BD7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79" s="371">
        <f>INDEX(tblSeverityAnalysis[Final Severity], MATCH(tblPiNAnalysis[[#This Row],[ID]],tblSeverityAnalysis[ID], 0))</f>
        <v>3</v>
      </c>
      <c r="BF79" s="60">
        <f>IF(tblPiNAnalysis[[#This Row],[Severity]]&gt;2,tblPiNAnalysis[[#This Row],[Highest PiN]],)</f>
        <v>102402.52618295033</v>
      </c>
      <c r="BG79" s="187"/>
      <c r="BH79" s="188"/>
      <c r="BI79" s="189">
        <f>COUNTIFS(tblPiNAnalysis[[#This Row],[Number of missing / zero PiNs greater than threshold - Data quality]:[Manual Flag]],"Flagged")</f>
        <v>1</v>
      </c>
      <c r="BJ79" s="346" t="str">
        <f>IF(tblPiNAnalysis[[#This Row],['# Flags]]&gt;0, "Flagged", "")</f>
        <v>Flagged</v>
      </c>
      <c r="BK79" s="339">
        <f>tblPiNAnalysis[[#This Row],[Preliminary PiN]]</f>
        <v>102402.52618295033</v>
      </c>
      <c r="BL79" s="326"/>
      <c r="BM79" s="383">
        <f>IF(OR(tblPiNAnalysis[[#This Row],[Severity]]=4,tblPiNAnalysis[[#This Row],[Severity]]=5),tblPiNAnalysis[[#This Row],[Final PiN]],0)</f>
        <v>0</v>
      </c>
      <c r="BN79" s="378">
        <f>IF(OR(tblPiNAnalysis[[#This Row],[Severity]]=4,tblPiNAnalysis[[#This Row],[Severity]]=5),100%, IF(tblPiNAnalysis[[#This Row],[Severity]]=3,50%,0%))*tblPiNAnalysis[[#This Row],[Final PiN]]</f>
        <v>51201.263091475164</v>
      </c>
      <c r="BO79" s="383">
        <f>IF(OR(tblPiNAnalysis[[#This Row],[Severity]]=4,tblPiNAnalysis[[#This Row],[Severity]]=5),100%, IF(AND(tblPiNAnalysis[[#This Row],[Severity]]=3,VLOOKUP(tblPiNAnalysis[[#This Row],[ID]],tblSeverityAnalysis[[ID]:[Highest Severity]],35,FALSE)&gt;3),50%,0%))*tblPiNAnalysis[[#This Row],[Final PiN]]</f>
        <v>51201.263091475164</v>
      </c>
    </row>
    <row r="80" spans="1:67" hidden="1">
      <c r="A8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Global_PopulationHT0552</v>
      </c>
      <c r="B80" s="304" t="s">
        <v>287</v>
      </c>
      <c r="C80" s="213" t="s">
        <v>288</v>
      </c>
      <c r="D80" s="213" t="s">
        <v>317</v>
      </c>
      <c r="E80" s="103" t="s">
        <v>318</v>
      </c>
      <c r="F80" s="99"/>
      <c r="G80" s="34"/>
      <c r="H80" s="357"/>
      <c r="I80" s="354">
        <v>39659</v>
      </c>
      <c r="J80" s="221" t="s">
        <v>156</v>
      </c>
      <c r="K80" s="316">
        <v>1740</v>
      </c>
      <c r="L80" s="308">
        <v>7388</v>
      </c>
      <c r="M80" s="308">
        <v>3455</v>
      </c>
      <c r="N80" s="308">
        <v>23921</v>
      </c>
      <c r="O80" s="308">
        <v>2476.6710413793107</v>
      </c>
      <c r="P80" s="308">
        <v>3252.8399999999997</v>
      </c>
      <c r="Q80" s="309">
        <v>21631</v>
      </c>
      <c r="R80" s="308">
        <v>19829.5</v>
      </c>
      <c r="S80" s="308"/>
      <c r="T80" s="308"/>
      <c r="U80" s="308"/>
      <c r="V80" s="308"/>
      <c r="W80" s="317">
        <f>IFERROR(IF(tblPiNAnalysis[[#This Row],[CCCM]]="", "", MROUND(tblPiNAnalysis[[#This Row],[CCCM]]/tblPiNAnalysis[[#This Row],[Population]], 0.05)), "")</f>
        <v>0.05</v>
      </c>
      <c r="X80" s="318">
        <f>IFERROR(IF(tblPiNAnalysis[[#This Row],[Education]]="", "", MROUND(tblPiNAnalysis[[#This Row],[Education]]/tblPiNAnalysis[[#This Row],[Population]], 0.05)), "")</f>
        <v>0.2</v>
      </c>
      <c r="Y80" s="318">
        <f>IFERROR(IF(tblPiNAnalysis[[#This Row],[Nutrition]]="", "", MROUND(tblPiNAnalysis[[#This Row],[Nutrition]]/tblPiNAnalysis[[#This Row],[Population]], 0.05)), "")</f>
        <v>0.1</v>
      </c>
      <c r="Z80" s="318">
        <f>IFERROR(IF(tblPiNAnalysis[[#This Row],[Food Security]]="", "", MROUND(tblPiNAnalysis[[#This Row],[Food Security]]/tblPiNAnalysis[[#This Row],[Population]], 0.05)), "")</f>
        <v>0.60000000000000009</v>
      </c>
      <c r="AA80" s="318">
        <f>IFERROR(IF(tblPiNAnalysis[[#This Row],[Health]]="", "", MROUND(tblPiNAnalysis[[#This Row],[Health]]/tblPiNAnalysis[[#This Row],[Population]], 0.05)), "")</f>
        <v>0.05</v>
      </c>
      <c r="AB80" s="319">
        <f>IFERROR(IF(tblPiNAnalysis[[#This Row],[Protection]]="", "", MROUND(tblPiNAnalysis[[#This Row],[Protection]]/tblPiNAnalysis[[#This Row],[Population]], 0.05)), "")</f>
        <v>0.1</v>
      </c>
      <c r="AC80" s="319">
        <f>IFERROR(IF(tblPiNAnalysis[[#This Row],[Shelter]]="", "", MROUND(tblPiNAnalysis[[#This Row],[Shelter]]/tblPiNAnalysis[[#This Row],[Population]], 0.05)), "")</f>
        <v>0.55000000000000004</v>
      </c>
      <c r="AD80" s="320">
        <f>IFERROR(IF(tblPiNAnalysis[[#This Row],[WASH]]="", "", MROUND(tblPiNAnalysis[[#This Row],[WASH]]/tblPiNAnalysis[[#This Row],[Population]], 0.05)), "")</f>
        <v>0.5</v>
      </c>
      <c r="AE80" s="318">
        <f>IFERROR(MROUND(tblPiNAnalysis[[#This Row],[CP]]/tblPiNAnalysis[[#This Row],[Population]], 0.05), "")</f>
        <v>0</v>
      </c>
      <c r="AF80" s="318">
        <f>IFERROR(MROUND(tblPiNAnalysis[[#This Row],[GBV]]/tblPiNAnalysis[[#This Row],[Population]], 0.05), "")</f>
        <v>0</v>
      </c>
      <c r="AG80" s="318">
        <f>IFERROR(MROUND(tblPiNAnalysis[[#This Row],[Migrants]]/tblPiNAnalysis[[#This Row],[Population]], 0.05), "")</f>
        <v>0</v>
      </c>
      <c r="AH80" s="318">
        <f>IFERROR(MROUND(tblPiNAnalysis[[#This Row],[_]]/tblPiNAnalysis[[#This Row],[Population]], 0.05), "")</f>
        <v>0</v>
      </c>
      <c r="AI80" s="321">
        <f>IFERROR(LARGE(tblPiNAnalysis[[#This Row],[CCCM]:[WASH]], 1), "")</f>
        <v>23921</v>
      </c>
      <c r="AJ80" s="322" t="str" cm="1">
        <f t="array" ref="AJ80">IF(tblPiNAnalysis[[#This Row],[Highest PiN]]="", "", _xlfn.TEXTJOIN(CHAR(10), TRUE, IF(tblPiNAnalysis[[#This Row],[Highest PiN]]=tblPiNAnalysis[[#This Row],[CCCM]:[WASH]], tblPiNAnalysis[[#Headers],[CCCM]:[WASH]], "")))</f>
        <v>Food Security</v>
      </c>
      <c r="AK80" s="323">
        <f>IF(tblPiNAnalysis[[#This Row],[Highest PiN]]="", "", tblPiNAnalysis[[#This Row],[Highest PiN]]/tblPiNAnalysis[[#This Row],[Population]])</f>
        <v>0.60316699866360723</v>
      </c>
      <c r="AL80" s="265" t="str">
        <f>IF(SUM(tblPiNAnalysis[[#This Row],[CCCM]:[WASH]])=0, "",IF(COUNTIF(tblPiNAnalysis[[#This Row],[CCCM]:[WASH]],"=0")+COUNTIF(tblPiNAnalysis[[#This Row],[CCCM]:[WASH]],"")&gt;=zero_pin_thresh, "Flagged", ""))</f>
        <v/>
      </c>
      <c r="AM80" s="264" t="str">
        <f>IFERROR(IF(tblPiNAnalysis[[#This Row],[Highest PiN]]="", "", IF(tblPiNAnalysis[[#This Row],[Highest sector(s'') PiN %]]&gt;=flag_pin_perc, "Flagged", "")), "")</f>
        <v/>
      </c>
      <c r="AN80" s="266" t="str" cm="1">
        <f t="array" ref="AN80">IF(tblPiNAnalysis[[#This Row],[Highest PiN]]=0, "",  IF(OR(COUNTIF(tblPiNAnalysis[[#This Row],[Highest sector(s)]],tblSubSectorPopulation[Sector])), "Flagged", ""))</f>
        <v/>
      </c>
      <c r="AO80" s="45" cm="1">
        <f t="array" ref="AO8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21631</v>
      </c>
      <c r="AP80" s="326" t="str" cm="1">
        <f t="array" ref="AP80">IF(tblPiNAnalysis[[#This Row],[2nd Highest PiN]]="", "", _xlfn.TEXTJOIN(CHAR(10), TRUE, IF(tblPiNAnalysis[[#This Row],[2nd Highest PiN]]=tblPiNAnalysis[[#This Row],[CCCM]:[WASH]], tblPiNAnalysis[[#Headers],[CCCM]:[WASH]], "")))</f>
        <v>Shelter</v>
      </c>
      <c r="AQ80" s="35">
        <f>IFERROR(tblPiNAnalysis[[#This Row],[2nd Highest PiN]]/tblPiNAnalysis[[#This Row],[Population]], "")</f>
        <v>0.54542474595930301</v>
      </c>
      <c r="AR80" s="45">
        <f>IFERROR(tblPiNAnalysis[[#This Row],[Highest PiN]]-tblPiNAnalysis[[#This Row],[2nd Highest PiN]], "")</f>
        <v>2290</v>
      </c>
      <c r="AS80" s="38">
        <f>IFERROR(((tblPiNAnalysis[[#This Row],[Highest PiN]]-tblPiNAnalysis[[#This Row],[2nd Highest PiN]])/tblPiNAnalysis[[#This Row],[2nd Highest PiN]]),"")</f>
        <v>0.10586658037076419</v>
      </c>
      <c r="AT80" s="269" t="str" cm="1">
        <f t="array" ref="AT8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0" s="327" cm="1">
        <f t="array" ref="AU8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19829.5</v>
      </c>
      <c r="AV80" s="186" t="str" cm="1">
        <f t="array" ref="AV80">IF(tblPiNAnalysis[[#This Row],[3rd Highest PiN]]="", "", _xlfn.TEXTJOIN(CHAR(10), TRUE, IF(tblPiNAnalysis[[#This Row],[3rd Highest PiN]]=tblPiNAnalysis[[#This Row],[CCCM]:[WASH]], tblPiNAnalysis[[#Headers],[CCCM]:[WASH]], "")))</f>
        <v>WASH</v>
      </c>
      <c r="AW80" s="186">
        <f>IFERROR(tblPiNAnalysis[[#This Row],[3rd Highest PiN]]/tblPiNAnalysis[[#This Row],[Population]], "")</f>
        <v>0.5</v>
      </c>
      <c r="AX80" s="44">
        <f>IFERROR(tblPiNAnalysis[[#This Row],[Highest PiN]]-tblPiNAnalysis[[#This Row],[3rd Highest PiN]],"")</f>
        <v>4091.5</v>
      </c>
      <c r="AY80" s="38">
        <f>IFERROR(tblPiNAnalysis[[#This Row],[Difference of PiN between Highest and 3rd Highest]]/tblPiNAnalysis[[#This Row],[3rd Highest PiN]], "")</f>
        <v>0.2063339973272145</v>
      </c>
      <c r="AZ80" s="325" t="str" cm="1">
        <f t="array" ref="AZ8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0" s="292" cm="1">
        <f t="array" ref="BA80">IFERROR(IF(tblPiNAnalysis[[#This Row],[ID]]="", "", INDEX(tblPiNHistorical[[CCCM]:[WASH]], MATCH(tblPiNAnalysis[[#This Row],[ID]],tblPiNHistorical[ID], 0),MATCH(_xlfn._xlws.FILTER(tblPiNAnalysis[[#Headers],[CCCM]:[WASH]], tblPiNAnalysis[[#This Row],[Highest PiN]]=tblPiNAnalysis[[#This Row],[CCCM]:[WASH]]), tblPiNHistorical[[#Headers],[CCCM]:[WASH]], 0))), "")</f>
        <v>0.2</v>
      </c>
      <c r="BB80" s="328" t="str" cm="1">
        <f t="array" ref="BB8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0" s="272" cm="1">
        <f t="array" ref="BC80">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80" s="329" t="str" cm="1">
        <f t="array" ref="BD8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0" s="371">
        <f>INDEX(tblSeverityAnalysis[Final Severity], MATCH(tblPiNAnalysis[[#This Row],[ID]],tblSeverityAnalysis[ID], 0))</f>
        <v>3</v>
      </c>
      <c r="BF80" s="60">
        <f>IF(tblPiNAnalysis[[#This Row],[Severity]]&gt;2,tblPiNAnalysis[[#This Row],[Highest PiN]],)</f>
        <v>23921</v>
      </c>
      <c r="BG80" s="187"/>
      <c r="BH80" s="188"/>
      <c r="BI80" s="189">
        <f>COUNTIFS(tblPiNAnalysis[[#This Row],[Number of missing / zero PiNs greater than threshold - Data quality]:[Manual Flag]],"Flagged")</f>
        <v>0</v>
      </c>
      <c r="BJ80" s="346" t="str">
        <f>IF(tblPiNAnalysis[[#This Row],['# Flags]]&gt;0, "Flagged", "")</f>
        <v/>
      </c>
      <c r="BK80" s="339">
        <f>tblPiNAnalysis[[#This Row],[Preliminary PiN]]</f>
        <v>23921</v>
      </c>
      <c r="BL80" s="326"/>
      <c r="BM80" s="383">
        <f>IF(OR(tblPiNAnalysis[[#This Row],[Severity]]=4,tblPiNAnalysis[[#This Row],[Severity]]=5),tblPiNAnalysis[[#This Row],[Final PiN]],0)</f>
        <v>0</v>
      </c>
      <c r="BN80" s="378">
        <f>IF(OR(tblPiNAnalysis[[#This Row],[Severity]]=4,tblPiNAnalysis[[#This Row],[Severity]]=5),100%, IF(tblPiNAnalysis[[#This Row],[Severity]]=3,50%,0%))*tblPiNAnalysis[[#This Row],[Final PiN]]</f>
        <v>11960.5</v>
      </c>
      <c r="BO80" s="383">
        <f>IF(OR(tblPiNAnalysis[[#This Row],[Severity]]=4,tblPiNAnalysis[[#This Row],[Severity]]=5),100%, IF(AND(tblPiNAnalysis[[#This Row],[Severity]]=3,VLOOKUP(tblPiNAnalysis[[#This Row],[ID]],tblSeverityAnalysis[[ID]:[Highest Severity]],35,FALSE)&gt;3),50%,0%))*tblPiNAnalysis[[#This Row],[Final PiN]]</f>
        <v>11960.5</v>
      </c>
    </row>
    <row r="81" spans="1:67" hidden="1">
      <c r="A8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Global_PopulationHT0611</v>
      </c>
      <c r="B81" s="304" t="s">
        <v>319</v>
      </c>
      <c r="C81" s="213" t="s">
        <v>320</v>
      </c>
      <c r="D81" s="213" t="s">
        <v>321</v>
      </c>
      <c r="E81" s="103" t="s">
        <v>322</v>
      </c>
      <c r="F81" s="99"/>
      <c r="G81" s="34"/>
      <c r="H81" s="357"/>
      <c r="I81" s="354">
        <v>163137</v>
      </c>
      <c r="J81" s="221" t="s">
        <v>156</v>
      </c>
      <c r="K81" s="316">
        <v>51927</v>
      </c>
      <c r="L81" s="308">
        <v>30134</v>
      </c>
      <c r="M81" s="308">
        <v>15910</v>
      </c>
      <c r="N81" s="308">
        <v>77761</v>
      </c>
      <c r="O81" s="308">
        <v>63066.289696516265</v>
      </c>
      <c r="P81" s="308">
        <v>76492.140714285721</v>
      </c>
      <c r="Q81" s="309">
        <v>71005</v>
      </c>
      <c r="R81" s="308">
        <v>49320.488372093023</v>
      </c>
      <c r="S81" s="308"/>
      <c r="T81" s="308"/>
      <c r="U81" s="308"/>
      <c r="V81" s="308"/>
      <c r="W81" s="317">
        <f>IFERROR(IF(tblPiNAnalysis[[#This Row],[CCCM]]="", "", MROUND(tblPiNAnalysis[[#This Row],[CCCM]]/tblPiNAnalysis[[#This Row],[Population]], 0.05)), "")</f>
        <v>0.30000000000000004</v>
      </c>
      <c r="X81" s="318">
        <f>IFERROR(IF(tblPiNAnalysis[[#This Row],[Education]]="", "", MROUND(tblPiNAnalysis[[#This Row],[Education]]/tblPiNAnalysis[[#This Row],[Population]], 0.05)), "")</f>
        <v>0.2</v>
      </c>
      <c r="Y81" s="318">
        <f>IFERROR(IF(tblPiNAnalysis[[#This Row],[Nutrition]]="", "", MROUND(tblPiNAnalysis[[#This Row],[Nutrition]]/tblPiNAnalysis[[#This Row],[Population]], 0.05)), "")</f>
        <v>0.1</v>
      </c>
      <c r="Z81" s="318">
        <f>IFERROR(IF(tblPiNAnalysis[[#This Row],[Food Security]]="", "", MROUND(tblPiNAnalysis[[#This Row],[Food Security]]/tblPiNAnalysis[[#This Row],[Population]], 0.05)), "")</f>
        <v>0.5</v>
      </c>
      <c r="AA81" s="318">
        <f>IFERROR(IF(tblPiNAnalysis[[#This Row],[Health]]="", "", MROUND(tblPiNAnalysis[[#This Row],[Health]]/tblPiNAnalysis[[#This Row],[Population]], 0.05)), "")</f>
        <v>0.4</v>
      </c>
      <c r="AB81" s="319">
        <f>IFERROR(IF(tblPiNAnalysis[[#This Row],[Protection]]="", "", MROUND(tblPiNAnalysis[[#This Row],[Protection]]/tblPiNAnalysis[[#This Row],[Population]], 0.05)), "")</f>
        <v>0.45</v>
      </c>
      <c r="AC81" s="319">
        <f>IFERROR(IF(tblPiNAnalysis[[#This Row],[Shelter]]="", "", MROUND(tblPiNAnalysis[[#This Row],[Shelter]]/tblPiNAnalysis[[#This Row],[Population]], 0.05)), "")</f>
        <v>0.45</v>
      </c>
      <c r="AD81" s="320">
        <f>IFERROR(IF(tblPiNAnalysis[[#This Row],[WASH]]="", "", MROUND(tblPiNAnalysis[[#This Row],[WASH]]/tblPiNAnalysis[[#This Row],[Population]], 0.05)), "")</f>
        <v>0.30000000000000004</v>
      </c>
      <c r="AE81" s="318">
        <f>IFERROR(MROUND(tblPiNAnalysis[[#This Row],[CP]]/tblPiNAnalysis[[#This Row],[Population]], 0.05), "")</f>
        <v>0</v>
      </c>
      <c r="AF81" s="318">
        <f>IFERROR(MROUND(tblPiNAnalysis[[#This Row],[GBV]]/tblPiNAnalysis[[#This Row],[Population]], 0.05), "")</f>
        <v>0</v>
      </c>
      <c r="AG81" s="318">
        <f>IFERROR(MROUND(tblPiNAnalysis[[#This Row],[Migrants]]/tblPiNAnalysis[[#This Row],[Population]], 0.05), "")</f>
        <v>0</v>
      </c>
      <c r="AH81" s="318">
        <f>IFERROR(MROUND(tblPiNAnalysis[[#This Row],[_]]/tblPiNAnalysis[[#This Row],[Population]], 0.05), "")</f>
        <v>0</v>
      </c>
      <c r="AI81" s="321">
        <f>IFERROR(LARGE(tblPiNAnalysis[[#This Row],[CCCM]:[WASH]], 1), "")</f>
        <v>77761</v>
      </c>
      <c r="AJ81" s="322" t="str" cm="1">
        <f t="array" ref="AJ81">IF(tblPiNAnalysis[[#This Row],[Highest PiN]]="", "", _xlfn.TEXTJOIN(CHAR(10), TRUE, IF(tblPiNAnalysis[[#This Row],[Highest PiN]]=tblPiNAnalysis[[#This Row],[CCCM]:[WASH]], tblPiNAnalysis[[#Headers],[CCCM]:[WASH]], "")))</f>
        <v>Food Security</v>
      </c>
      <c r="AK81" s="323">
        <f>IF(tblPiNAnalysis[[#This Row],[Highest PiN]]="", "", tblPiNAnalysis[[#This Row],[Highest PiN]]/tblPiNAnalysis[[#This Row],[Population]])</f>
        <v>0.47666072074391463</v>
      </c>
      <c r="AL81" s="265" t="str">
        <f>IF(SUM(tblPiNAnalysis[[#This Row],[CCCM]:[WASH]])=0, "",IF(COUNTIF(tblPiNAnalysis[[#This Row],[CCCM]:[WASH]],"=0")+COUNTIF(tblPiNAnalysis[[#This Row],[CCCM]:[WASH]],"")&gt;=zero_pin_thresh, "Flagged", ""))</f>
        <v/>
      </c>
      <c r="AM81" s="264" t="str">
        <f>IFERROR(IF(tblPiNAnalysis[[#This Row],[Highest PiN]]="", "", IF(tblPiNAnalysis[[#This Row],[Highest sector(s'') PiN %]]&gt;=flag_pin_perc, "Flagged", "")), "")</f>
        <v/>
      </c>
      <c r="AN81" s="266" t="str" cm="1">
        <f t="array" ref="AN81">IF(tblPiNAnalysis[[#This Row],[Highest PiN]]=0, "",  IF(OR(COUNTIF(tblPiNAnalysis[[#This Row],[Highest sector(s)]],tblSubSectorPopulation[Sector])), "Flagged", ""))</f>
        <v/>
      </c>
      <c r="AO81" s="45" cm="1">
        <f t="array" ref="AO8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76492.140714285721</v>
      </c>
      <c r="AP81" s="326" t="str" cm="1">
        <f t="array" ref="AP81">IF(tblPiNAnalysis[[#This Row],[2nd Highest PiN]]="", "", _xlfn.TEXTJOIN(CHAR(10), TRUE, IF(tblPiNAnalysis[[#This Row],[2nd Highest PiN]]=tblPiNAnalysis[[#This Row],[CCCM]:[WASH]], tblPiNAnalysis[[#Headers],[CCCM]:[WASH]], "")))</f>
        <v>Protection</v>
      </c>
      <c r="AQ81" s="35">
        <f>IFERROR(tblPiNAnalysis[[#This Row],[2nd Highest PiN]]/tblPiNAnalysis[[#This Row],[Population]], "")</f>
        <v>0.46888284518095663</v>
      </c>
      <c r="AR81" s="45">
        <f>IFERROR(tblPiNAnalysis[[#This Row],[Highest PiN]]-tblPiNAnalysis[[#This Row],[2nd Highest PiN]], "")</f>
        <v>1268.8592857142794</v>
      </c>
      <c r="AS81" s="38">
        <f>IFERROR(((tblPiNAnalysis[[#This Row],[Highest PiN]]-tblPiNAnalysis[[#This Row],[2nd Highest PiN]])/tblPiNAnalysis[[#This Row],[2nd Highest PiN]]),"")</f>
        <v>1.6588100082774993E-2</v>
      </c>
      <c r="AT81" s="269" t="str" cm="1">
        <f t="array" ref="AT8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1" s="327" cm="1">
        <f t="array" ref="AU8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71005</v>
      </c>
      <c r="AV81" s="186" t="str" cm="1">
        <f t="array" ref="AV81">IF(tblPiNAnalysis[[#This Row],[3rd Highest PiN]]="", "", _xlfn.TEXTJOIN(CHAR(10), TRUE, IF(tblPiNAnalysis[[#This Row],[3rd Highest PiN]]=tblPiNAnalysis[[#This Row],[CCCM]:[WASH]], tblPiNAnalysis[[#Headers],[CCCM]:[WASH]], "")))</f>
        <v>Shelter</v>
      </c>
      <c r="AW81" s="186">
        <f>IFERROR(tblPiNAnalysis[[#This Row],[3rd Highest PiN]]/tblPiNAnalysis[[#This Row],[Population]], "")</f>
        <v>0.4352476752668003</v>
      </c>
      <c r="AX81" s="44">
        <f>IFERROR(tblPiNAnalysis[[#This Row],[Highest PiN]]-tblPiNAnalysis[[#This Row],[3rd Highest PiN]],"")</f>
        <v>6756</v>
      </c>
      <c r="AY81" s="38">
        <f>IFERROR(tblPiNAnalysis[[#This Row],[Difference of PiN between Highest and 3rd Highest]]/tblPiNAnalysis[[#This Row],[3rd Highest PiN]], "")</f>
        <v>9.5148228997957884E-2</v>
      </c>
      <c r="AZ81" s="325" t="str" cm="1">
        <f t="array" ref="AZ8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1" s="292" cm="1">
        <f t="array" ref="BA81">IFERROR(IF(tblPiNAnalysis[[#This Row],[ID]]="", "", INDEX(tblPiNHistorical[[CCCM]:[WASH]], MATCH(tblPiNAnalysis[[#This Row],[ID]],tblPiNHistorical[ID], 0),MATCH(_xlfn._xlws.FILTER(tblPiNAnalysis[[#Headers],[CCCM]:[WASH]], tblPiNAnalysis[[#This Row],[Highest PiN]]=tblPiNAnalysis[[#This Row],[CCCM]:[WASH]]), tblPiNHistorical[[#Headers],[CCCM]:[WASH]], 0))), "")</f>
        <v>-0.1</v>
      </c>
      <c r="BB81" s="328" t="str" cm="1">
        <f t="array" ref="BB8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1" s="272" t="str" cm="1">
        <f t="array" ref="BC81">IFERROR(IF(tblPiNAnalysis[[#This Row],[ID]]="", "", INDEX(tblPiNHistorical[[CCCM]:[WASH]], MATCH(tblPiNAnalysis[[#This Row],[ID]],tblPiNHistorical[ID], 0),MATCH(_xlfn._xlws.FILTER(tblPiNAnalysis[[#Headers],[CCCM]:[WASH]], tblPiNAnalysis[[#This Row],[2nd Highest PiN]]=tblPiNAnalysis[[#This Row],[CCCM]:[WASH]]), tblPiNHistorical[[#Headers],[CCCM]:[WASH]], 0))), "")</f>
        <v/>
      </c>
      <c r="BD81" s="329" t="str" cm="1">
        <f t="array" ref="BD8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1" s="371">
        <f>INDEX(tblSeverityAnalysis[Final Severity], MATCH(tblPiNAnalysis[[#This Row],[ID]],tblSeverityAnalysis[ID], 0))</f>
        <v>3</v>
      </c>
      <c r="BF81" s="60">
        <f>IF(tblPiNAnalysis[[#This Row],[Severity]]&gt;2,tblPiNAnalysis[[#This Row],[Highest PiN]],)</f>
        <v>77761</v>
      </c>
      <c r="BG81" s="187"/>
      <c r="BH81" s="188"/>
      <c r="BI81" s="189">
        <f>COUNTIFS(tblPiNAnalysis[[#This Row],[Number of missing / zero PiNs greater than threshold - Data quality]:[Manual Flag]],"Flagged")</f>
        <v>0</v>
      </c>
      <c r="BJ81" s="346" t="str">
        <f>IF(tblPiNAnalysis[[#This Row],['# Flags]]&gt;0, "Flagged", "")</f>
        <v/>
      </c>
      <c r="BK81" s="339">
        <f>tblPiNAnalysis[[#This Row],[Preliminary PiN]]</f>
        <v>77761</v>
      </c>
      <c r="BL81" s="326"/>
      <c r="BM81" s="383">
        <f>IF(OR(tblPiNAnalysis[[#This Row],[Severity]]=4,tblPiNAnalysis[[#This Row],[Severity]]=5),tblPiNAnalysis[[#This Row],[Final PiN]],0)</f>
        <v>0</v>
      </c>
      <c r="BN81" s="378">
        <f>IF(OR(tblPiNAnalysis[[#This Row],[Severity]]=4,tblPiNAnalysis[[#This Row],[Severity]]=5),100%, IF(tblPiNAnalysis[[#This Row],[Severity]]=3,50%,0%))*tblPiNAnalysis[[#This Row],[Final PiN]]</f>
        <v>38880.5</v>
      </c>
      <c r="BO81" s="383">
        <f>IF(OR(tblPiNAnalysis[[#This Row],[Severity]]=4,tblPiNAnalysis[[#This Row],[Severity]]=5),100%, IF(AND(tblPiNAnalysis[[#This Row],[Severity]]=3,VLOOKUP(tblPiNAnalysis[[#This Row],[ID]],tblSeverityAnalysis[[ID]:[Highest Severity]],35,FALSE)&gt;3),50%,0%))*tblPiNAnalysis[[#This Row],[Final PiN]]</f>
        <v>38880.5</v>
      </c>
    </row>
    <row r="82" spans="1:67" hidden="1">
      <c r="A8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Global_PopulationHT0612</v>
      </c>
      <c r="B82" s="304" t="s">
        <v>319</v>
      </c>
      <c r="C82" s="213" t="s">
        <v>320</v>
      </c>
      <c r="D82" s="213" t="s">
        <v>323</v>
      </c>
      <c r="E82" s="103" t="s">
        <v>324</v>
      </c>
      <c r="F82" s="99"/>
      <c r="G82" s="34"/>
      <c r="H82" s="357"/>
      <c r="I82" s="354">
        <v>78577</v>
      </c>
      <c r="J82" s="221" t="s">
        <v>156</v>
      </c>
      <c r="K82" s="316">
        <v>8542.5</v>
      </c>
      <c r="L82" s="308">
        <v>15557</v>
      </c>
      <c r="M82" s="308">
        <v>6643</v>
      </c>
      <c r="N82" s="308">
        <v>37921</v>
      </c>
      <c r="O82" s="308">
        <v>11614.991614925373</v>
      </c>
      <c r="P82" s="308">
        <v>15260</v>
      </c>
      <c r="Q82" s="309">
        <v>40703</v>
      </c>
      <c r="R82" s="308">
        <v>41744.03125</v>
      </c>
      <c r="S82" s="308"/>
      <c r="T82" s="308"/>
      <c r="U82" s="308"/>
      <c r="V82" s="308"/>
      <c r="W82" s="317">
        <f>IFERROR(IF(tblPiNAnalysis[[#This Row],[CCCM]]="", "", MROUND(tblPiNAnalysis[[#This Row],[CCCM]]/tblPiNAnalysis[[#This Row],[Population]], 0.05)), "")</f>
        <v>0.1</v>
      </c>
      <c r="X82" s="318">
        <f>IFERROR(IF(tblPiNAnalysis[[#This Row],[Education]]="", "", MROUND(tblPiNAnalysis[[#This Row],[Education]]/tblPiNAnalysis[[#This Row],[Population]], 0.05)), "")</f>
        <v>0.2</v>
      </c>
      <c r="Y82" s="318">
        <f>IFERROR(IF(tblPiNAnalysis[[#This Row],[Nutrition]]="", "", MROUND(tblPiNAnalysis[[#This Row],[Nutrition]]/tblPiNAnalysis[[#This Row],[Population]], 0.05)), "")</f>
        <v>0.1</v>
      </c>
      <c r="Z82" s="318">
        <f>IFERROR(IF(tblPiNAnalysis[[#This Row],[Food Security]]="", "", MROUND(tblPiNAnalysis[[#This Row],[Food Security]]/tblPiNAnalysis[[#This Row],[Population]], 0.05)), "")</f>
        <v>0.5</v>
      </c>
      <c r="AA82" s="318">
        <f>IFERROR(IF(tblPiNAnalysis[[#This Row],[Health]]="", "", MROUND(tblPiNAnalysis[[#This Row],[Health]]/tblPiNAnalysis[[#This Row],[Population]], 0.05)), "")</f>
        <v>0.15000000000000002</v>
      </c>
      <c r="AB82" s="319">
        <f>IFERROR(IF(tblPiNAnalysis[[#This Row],[Protection]]="", "", MROUND(tblPiNAnalysis[[#This Row],[Protection]]/tblPiNAnalysis[[#This Row],[Population]], 0.05)), "")</f>
        <v>0.2</v>
      </c>
      <c r="AC82" s="319">
        <f>IFERROR(IF(tblPiNAnalysis[[#This Row],[Shelter]]="", "", MROUND(tblPiNAnalysis[[#This Row],[Shelter]]/tblPiNAnalysis[[#This Row],[Population]], 0.05)), "")</f>
        <v>0.5</v>
      </c>
      <c r="AD82" s="320">
        <f>IFERROR(IF(tblPiNAnalysis[[#This Row],[WASH]]="", "", MROUND(tblPiNAnalysis[[#This Row],[WASH]]/tblPiNAnalysis[[#This Row],[Population]], 0.05)), "")</f>
        <v>0.55000000000000004</v>
      </c>
      <c r="AE82" s="318">
        <f>IFERROR(MROUND(tblPiNAnalysis[[#This Row],[CP]]/tblPiNAnalysis[[#This Row],[Population]], 0.05), "")</f>
        <v>0</v>
      </c>
      <c r="AF82" s="318">
        <f>IFERROR(MROUND(tblPiNAnalysis[[#This Row],[GBV]]/tblPiNAnalysis[[#This Row],[Population]], 0.05), "")</f>
        <v>0</v>
      </c>
      <c r="AG82" s="318">
        <f>IFERROR(MROUND(tblPiNAnalysis[[#This Row],[Migrants]]/tblPiNAnalysis[[#This Row],[Population]], 0.05), "")</f>
        <v>0</v>
      </c>
      <c r="AH82" s="318">
        <f>IFERROR(MROUND(tblPiNAnalysis[[#This Row],[_]]/tblPiNAnalysis[[#This Row],[Population]], 0.05), "")</f>
        <v>0</v>
      </c>
      <c r="AI82" s="321">
        <f>IFERROR(LARGE(tblPiNAnalysis[[#This Row],[CCCM]:[WASH]], 1), "")</f>
        <v>41744.03125</v>
      </c>
      <c r="AJ82" s="322" t="str" cm="1">
        <f t="array" ref="AJ82">IF(tblPiNAnalysis[[#This Row],[Highest PiN]]="", "", _xlfn.TEXTJOIN(CHAR(10), TRUE, IF(tblPiNAnalysis[[#This Row],[Highest PiN]]=tblPiNAnalysis[[#This Row],[CCCM]:[WASH]], tblPiNAnalysis[[#Headers],[CCCM]:[WASH]], "")))</f>
        <v>WASH</v>
      </c>
      <c r="AK82" s="323">
        <f>IF(tblPiNAnalysis[[#This Row],[Highest PiN]]="", "", tblPiNAnalysis[[#This Row],[Highest PiN]]/tblPiNAnalysis[[#This Row],[Population]])</f>
        <v>0.53125</v>
      </c>
      <c r="AL82" s="265" t="str">
        <f>IF(SUM(tblPiNAnalysis[[#This Row],[CCCM]:[WASH]])=0, "",IF(COUNTIF(tblPiNAnalysis[[#This Row],[CCCM]:[WASH]],"=0")+COUNTIF(tblPiNAnalysis[[#This Row],[CCCM]:[WASH]],"")&gt;=zero_pin_thresh, "Flagged", ""))</f>
        <v/>
      </c>
      <c r="AM82" s="264" t="str">
        <f>IFERROR(IF(tblPiNAnalysis[[#This Row],[Highest PiN]]="", "", IF(tblPiNAnalysis[[#This Row],[Highest sector(s'') PiN %]]&gt;=flag_pin_perc, "Flagged", "")), "")</f>
        <v/>
      </c>
      <c r="AN82" s="266" t="str" cm="1">
        <f t="array" ref="AN82">IF(tblPiNAnalysis[[#This Row],[Highest PiN]]=0, "",  IF(OR(COUNTIF(tblPiNAnalysis[[#This Row],[Highest sector(s)]],tblSubSectorPopulation[Sector])), "Flagged", ""))</f>
        <v/>
      </c>
      <c r="AO82" s="45" cm="1">
        <f t="array" ref="AO8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40703</v>
      </c>
      <c r="AP82" s="326" t="str" cm="1">
        <f t="array" ref="AP82">IF(tblPiNAnalysis[[#This Row],[2nd Highest PiN]]="", "", _xlfn.TEXTJOIN(CHAR(10), TRUE, IF(tblPiNAnalysis[[#This Row],[2nd Highest PiN]]=tblPiNAnalysis[[#This Row],[CCCM]:[WASH]], tblPiNAnalysis[[#Headers],[CCCM]:[WASH]], "")))</f>
        <v>Shelter</v>
      </c>
      <c r="AQ82" s="35">
        <f>IFERROR(tblPiNAnalysis[[#This Row],[2nd Highest PiN]]/tblPiNAnalysis[[#This Row],[Population]], "")</f>
        <v>0.51800145080621551</v>
      </c>
      <c r="AR82" s="45">
        <f>IFERROR(tblPiNAnalysis[[#This Row],[Highest PiN]]-tblPiNAnalysis[[#This Row],[2nd Highest PiN]], "")</f>
        <v>1041.03125</v>
      </c>
      <c r="AS82" s="38">
        <f>IFERROR(((tblPiNAnalysis[[#This Row],[Highest PiN]]-tblPiNAnalysis[[#This Row],[2nd Highest PiN]])/tblPiNAnalysis[[#This Row],[2nd Highest PiN]]),"")</f>
        <v>2.5576278161314889E-2</v>
      </c>
      <c r="AT82" s="269" t="str" cm="1">
        <f t="array" ref="AT8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2" s="327" cm="1">
        <f t="array" ref="AU8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37921</v>
      </c>
      <c r="AV82" s="186" t="str" cm="1">
        <f t="array" ref="AV82">IF(tblPiNAnalysis[[#This Row],[3rd Highest PiN]]="", "", _xlfn.TEXTJOIN(CHAR(10), TRUE, IF(tblPiNAnalysis[[#This Row],[3rd Highest PiN]]=tblPiNAnalysis[[#This Row],[CCCM]:[WASH]], tblPiNAnalysis[[#Headers],[CCCM]:[WASH]], "")))</f>
        <v>Food Security</v>
      </c>
      <c r="AW82" s="186">
        <f>IFERROR(tblPiNAnalysis[[#This Row],[3rd Highest PiN]]/tblPiNAnalysis[[#This Row],[Population]], "")</f>
        <v>0.48259668859844485</v>
      </c>
      <c r="AX82" s="44">
        <f>IFERROR(tblPiNAnalysis[[#This Row],[Highest PiN]]-tblPiNAnalysis[[#This Row],[3rd Highest PiN]],"")</f>
        <v>3823.03125</v>
      </c>
      <c r="AY82" s="38">
        <f>IFERROR(tblPiNAnalysis[[#This Row],[Difference of PiN between Highest and 3rd Highest]]/tblPiNAnalysis[[#This Row],[3rd Highest PiN]], "")</f>
        <v>0.10081567601065372</v>
      </c>
      <c r="AZ82" s="325" t="str" cm="1">
        <f t="array" ref="AZ8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2" s="292" cm="1">
        <f t="array" ref="BA82">IFERROR(IF(tblPiNAnalysis[[#This Row],[ID]]="", "", INDEX(tblPiNHistorical[[CCCM]:[WASH]], MATCH(tblPiNAnalysis[[#This Row],[ID]],tblPiNHistorical[ID], 0),MATCH(_xlfn._xlws.FILTER(tblPiNAnalysis[[#Headers],[CCCM]:[WASH]], tblPiNAnalysis[[#This Row],[Highest PiN]]=tblPiNAnalysis[[#This Row],[CCCM]:[WASH]]), tblPiNHistorical[[#Headers],[CCCM]:[WASH]], 0))), "")</f>
        <v>1.6</v>
      </c>
      <c r="BB82" s="328" t="str" cm="1">
        <f t="array" ref="BB8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2" s="272" cm="1">
        <f t="array" ref="BC82">IFERROR(IF(tblPiNAnalysis[[#This Row],[ID]]="", "", INDEX(tblPiNHistorical[[CCCM]:[WASH]], MATCH(tblPiNAnalysis[[#This Row],[ID]],tblPiNHistorical[ID], 0),MATCH(_xlfn._xlws.FILTER(tblPiNAnalysis[[#Headers],[CCCM]:[WASH]], tblPiNAnalysis[[#This Row],[2nd Highest PiN]]=tblPiNAnalysis[[#This Row],[CCCM]:[WASH]]), tblPiNHistorical[[#Headers],[CCCM]:[WASH]], 0))), "")</f>
        <v>1.2</v>
      </c>
      <c r="BD82" s="329" t="str" cm="1">
        <f t="array" ref="BD8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82" s="371">
        <f>INDEX(tblSeverityAnalysis[Final Severity], MATCH(tblPiNAnalysis[[#This Row],[ID]],tblSeverityAnalysis[ID], 0))</f>
        <v>3</v>
      </c>
      <c r="BF82" s="60">
        <f>IF(tblPiNAnalysis[[#This Row],[Severity]]&gt;2,tblPiNAnalysis[[#This Row],[Highest PiN]],)</f>
        <v>41744.03125</v>
      </c>
      <c r="BG82" s="187"/>
      <c r="BH82" s="188"/>
      <c r="BI82" s="189">
        <f>COUNTIFS(tblPiNAnalysis[[#This Row],[Number of missing / zero PiNs greater than threshold - Data quality]:[Manual Flag]],"Flagged")</f>
        <v>2</v>
      </c>
      <c r="BJ82" s="346" t="str">
        <f>IF(tblPiNAnalysis[[#This Row],['# Flags]]&gt;0, "Flagged", "")</f>
        <v>Flagged</v>
      </c>
      <c r="BK82" s="339">
        <f>tblPiNAnalysis[[#This Row],[Preliminary PiN]]</f>
        <v>41744.03125</v>
      </c>
      <c r="BL82" s="326"/>
      <c r="BM82" s="383">
        <f>IF(OR(tblPiNAnalysis[[#This Row],[Severity]]=4,tblPiNAnalysis[[#This Row],[Severity]]=5),tblPiNAnalysis[[#This Row],[Final PiN]],0)</f>
        <v>0</v>
      </c>
      <c r="BN82" s="378">
        <f>IF(OR(tblPiNAnalysis[[#This Row],[Severity]]=4,tblPiNAnalysis[[#This Row],[Severity]]=5),100%, IF(tblPiNAnalysis[[#This Row],[Severity]]=3,50%,0%))*tblPiNAnalysis[[#This Row],[Final PiN]]</f>
        <v>20872.015625</v>
      </c>
      <c r="BO82" s="383">
        <f>IF(OR(tblPiNAnalysis[[#This Row],[Severity]]=4,tblPiNAnalysis[[#This Row],[Severity]]=5),100%, IF(AND(tblPiNAnalysis[[#This Row],[Severity]]=3,VLOOKUP(tblPiNAnalysis[[#This Row],[ID]],tblSeverityAnalysis[[ID]:[Highest Severity]],35,FALSE)&gt;3),50%,0%))*tblPiNAnalysis[[#This Row],[Final PiN]]</f>
        <v>0</v>
      </c>
    </row>
    <row r="83" spans="1:67" hidden="1">
      <c r="A8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Global_PopulationHT0613</v>
      </c>
      <c r="B83" s="304" t="s">
        <v>319</v>
      </c>
      <c r="C83" s="213" t="s">
        <v>320</v>
      </c>
      <c r="D83" s="213" t="s">
        <v>325</v>
      </c>
      <c r="E83" s="103" t="s">
        <v>326</v>
      </c>
      <c r="F83" s="99"/>
      <c r="G83" s="34"/>
      <c r="H83" s="357"/>
      <c r="I83" s="354">
        <v>85152</v>
      </c>
      <c r="J83" s="221" t="s">
        <v>156</v>
      </c>
      <c r="K83" s="316">
        <v>10308</v>
      </c>
      <c r="L83" s="308">
        <v>17206</v>
      </c>
      <c r="M83" s="308">
        <v>7178</v>
      </c>
      <c r="N83" s="308">
        <v>39811</v>
      </c>
      <c r="O83" s="308">
        <v>13490.757369965078</v>
      </c>
      <c r="P83" s="308">
        <v>17602.349999999999</v>
      </c>
      <c r="Q83" s="309">
        <v>41479</v>
      </c>
      <c r="R83" s="308">
        <v>47685.120000000003</v>
      </c>
      <c r="S83" s="308"/>
      <c r="T83" s="308"/>
      <c r="U83" s="308"/>
      <c r="V83" s="308"/>
      <c r="W83" s="317">
        <f>IFERROR(IF(tblPiNAnalysis[[#This Row],[CCCM]]="", "", MROUND(tblPiNAnalysis[[#This Row],[CCCM]]/tblPiNAnalysis[[#This Row],[Population]], 0.05)), "")</f>
        <v>0.1</v>
      </c>
      <c r="X83" s="318">
        <f>IFERROR(IF(tblPiNAnalysis[[#This Row],[Education]]="", "", MROUND(tblPiNAnalysis[[#This Row],[Education]]/tblPiNAnalysis[[#This Row],[Population]], 0.05)), "")</f>
        <v>0.2</v>
      </c>
      <c r="Y83" s="318">
        <f>IFERROR(IF(tblPiNAnalysis[[#This Row],[Nutrition]]="", "", MROUND(tblPiNAnalysis[[#This Row],[Nutrition]]/tblPiNAnalysis[[#This Row],[Population]], 0.05)), "")</f>
        <v>0.1</v>
      </c>
      <c r="Z83" s="318">
        <f>IFERROR(IF(tblPiNAnalysis[[#This Row],[Food Security]]="", "", MROUND(tblPiNAnalysis[[#This Row],[Food Security]]/tblPiNAnalysis[[#This Row],[Population]], 0.05)), "")</f>
        <v>0.45</v>
      </c>
      <c r="AA83" s="318">
        <f>IFERROR(IF(tblPiNAnalysis[[#This Row],[Health]]="", "", MROUND(tblPiNAnalysis[[#This Row],[Health]]/tblPiNAnalysis[[#This Row],[Population]], 0.05)), "")</f>
        <v>0.15000000000000002</v>
      </c>
      <c r="AB83" s="319">
        <f>IFERROR(IF(tblPiNAnalysis[[#This Row],[Protection]]="", "", MROUND(tblPiNAnalysis[[#This Row],[Protection]]/tblPiNAnalysis[[#This Row],[Population]], 0.05)), "")</f>
        <v>0.2</v>
      </c>
      <c r="AC83" s="319">
        <f>IFERROR(IF(tblPiNAnalysis[[#This Row],[Shelter]]="", "", MROUND(tblPiNAnalysis[[#This Row],[Shelter]]/tblPiNAnalysis[[#This Row],[Population]], 0.05)), "")</f>
        <v>0.5</v>
      </c>
      <c r="AD83" s="320">
        <f>IFERROR(IF(tblPiNAnalysis[[#This Row],[WASH]]="", "", MROUND(tblPiNAnalysis[[#This Row],[WASH]]/tblPiNAnalysis[[#This Row],[Population]], 0.05)), "")</f>
        <v>0.55000000000000004</v>
      </c>
      <c r="AE83" s="318">
        <f>IFERROR(MROUND(tblPiNAnalysis[[#This Row],[CP]]/tblPiNAnalysis[[#This Row],[Population]], 0.05), "")</f>
        <v>0</v>
      </c>
      <c r="AF83" s="318">
        <f>IFERROR(MROUND(tblPiNAnalysis[[#This Row],[GBV]]/tblPiNAnalysis[[#This Row],[Population]], 0.05), "")</f>
        <v>0</v>
      </c>
      <c r="AG83" s="318">
        <f>IFERROR(MROUND(tblPiNAnalysis[[#This Row],[Migrants]]/tblPiNAnalysis[[#This Row],[Population]], 0.05), "")</f>
        <v>0</v>
      </c>
      <c r="AH83" s="318">
        <f>IFERROR(MROUND(tblPiNAnalysis[[#This Row],[_]]/tblPiNAnalysis[[#This Row],[Population]], 0.05), "")</f>
        <v>0</v>
      </c>
      <c r="AI83" s="321">
        <f>IFERROR(LARGE(tblPiNAnalysis[[#This Row],[CCCM]:[WASH]], 1), "")</f>
        <v>47685.120000000003</v>
      </c>
      <c r="AJ83" s="322" t="str" cm="1">
        <f t="array" ref="AJ83">IF(tblPiNAnalysis[[#This Row],[Highest PiN]]="", "", _xlfn.TEXTJOIN(CHAR(10), TRUE, IF(tblPiNAnalysis[[#This Row],[Highest PiN]]=tblPiNAnalysis[[#This Row],[CCCM]:[WASH]], tblPiNAnalysis[[#Headers],[CCCM]:[WASH]], "")))</f>
        <v>WASH</v>
      </c>
      <c r="AK83" s="323">
        <f>IF(tblPiNAnalysis[[#This Row],[Highest PiN]]="", "", tblPiNAnalysis[[#This Row],[Highest PiN]]/tblPiNAnalysis[[#This Row],[Population]])</f>
        <v>0.56000000000000005</v>
      </c>
      <c r="AL83" s="265" t="str">
        <f>IF(SUM(tblPiNAnalysis[[#This Row],[CCCM]:[WASH]])=0, "",IF(COUNTIF(tblPiNAnalysis[[#This Row],[CCCM]:[WASH]],"=0")+COUNTIF(tblPiNAnalysis[[#This Row],[CCCM]:[WASH]],"")&gt;=zero_pin_thresh, "Flagged", ""))</f>
        <v/>
      </c>
      <c r="AM83" s="264" t="str">
        <f>IFERROR(IF(tblPiNAnalysis[[#This Row],[Highest PiN]]="", "", IF(tblPiNAnalysis[[#This Row],[Highest sector(s'') PiN %]]&gt;=flag_pin_perc, "Flagged", "")), "")</f>
        <v/>
      </c>
      <c r="AN83" s="266" t="str" cm="1">
        <f t="array" ref="AN83">IF(tblPiNAnalysis[[#This Row],[Highest PiN]]=0, "",  IF(OR(COUNTIF(tblPiNAnalysis[[#This Row],[Highest sector(s)]],tblSubSectorPopulation[Sector])), "Flagged", ""))</f>
        <v/>
      </c>
      <c r="AO83" s="45" cm="1">
        <f t="array" ref="AO8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41479</v>
      </c>
      <c r="AP83" s="326" t="str" cm="1">
        <f t="array" ref="AP83">IF(tblPiNAnalysis[[#This Row],[2nd Highest PiN]]="", "", _xlfn.TEXTJOIN(CHAR(10), TRUE, IF(tblPiNAnalysis[[#This Row],[2nd Highest PiN]]=tblPiNAnalysis[[#This Row],[CCCM]:[WASH]], tblPiNAnalysis[[#Headers],[CCCM]:[WASH]], "")))</f>
        <v>Shelter</v>
      </c>
      <c r="AQ83" s="35">
        <f>IFERROR(tblPiNAnalysis[[#This Row],[2nd Highest PiN]]/tblPiNAnalysis[[#This Row],[Population]], "")</f>
        <v>0.48711715520481025</v>
      </c>
      <c r="AR83" s="45">
        <f>IFERROR(tblPiNAnalysis[[#This Row],[Highest PiN]]-tblPiNAnalysis[[#This Row],[2nd Highest PiN]], "")</f>
        <v>6206.1200000000026</v>
      </c>
      <c r="AS83" s="38">
        <f>IFERROR(((tblPiNAnalysis[[#This Row],[Highest PiN]]-tblPiNAnalysis[[#This Row],[2nd Highest PiN]])/tblPiNAnalysis[[#This Row],[2nd Highest PiN]]),"")</f>
        <v>0.14962077195689391</v>
      </c>
      <c r="AT83" s="269" t="str" cm="1">
        <f t="array" ref="AT8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3" s="327" cm="1">
        <f t="array" ref="AU8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39811</v>
      </c>
      <c r="AV83" s="186" t="str" cm="1">
        <f t="array" ref="AV83">IF(tblPiNAnalysis[[#This Row],[3rd Highest PiN]]="", "", _xlfn.TEXTJOIN(CHAR(10), TRUE, IF(tblPiNAnalysis[[#This Row],[3rd Highest PiN]]=tblPiNAnalysis[[#This Row],[CCCM]:[WASH]], tblPiNAnalysis[[#Headers],[CCCM]:[WASH]], "")))</f>
        <v>Food Security</v>
      </c>
      <c r="AW83" s="186">
        <f>IFERROR(tblPiNAnalysis[[#This Row],[3rd Highest PiN]]/tblPiNAnalysis[[#This Row],[Population]], "")</f>
        <v>0.46752865464111237</v>
      </c>
      <c r="AX83" s="44">
        <f>IFERROR(tblPiNAnalysis[[#This Row],[Highest PiN]]-tblPiNAnalysis[[#This Row],[3rd Highest PiN]],"")</f>
        <v>7874.1200000000026</v>
      </c>
      <c r="AY83" s="38">
        <f>IFERROR(tblPiNAnalysis[[#This Row],[Difference of PiN between Highest and 3rd Highest]]/tblPiNAnalysis[[#This Row],[3rd Highest PiN]], "")</f>
        <v>0.19778754615558519</v>
      </c>
      <c r="AZ83" s="325" t="str" cm="1">
        <f t="array" ref="AZ8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3" s="292" cm="1">
        <f t="array" ref="BA83">IFERROR(IF(tblPiNAnalysis[[#This Row],[ID]]="", "", INDEX(tblPiNHistorical[[CCCM]:[WASH]], MATCH(tblPiNAnalysis[[#This Row],[ID]],tblPiNHistorical[ID], 0),MATCH(_xlfn._xlws.FILTER(tblPiNAnalysis[[#Headers],[CCCM]:[WASH]], tblPiNAnalysis[[#This Row],[Highest PiN]]=tblPiNAnalysis[[#This Row],[CCCM]:[WASH]]), tblPiNHistorical[[#Headers],[CCCM]:[WASH]], 0))), "")</f>
        <v>1.1000000000000001</v>
      </c>
      <c r="BB83" s="328" t="str" cm="1">
        <f t="array" ref="BB8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3" s="272" cm="1">
        <f t="array" ref="BC83">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83" s="329" t="str" cm="1">
        <f t="array" ref="BD8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3" s="371">
        <f>INDEX(tblSeverityAnalysis[Final Severity], MATCH(tblPiNAnalysis[[#This Row],[ID]],tblSeverityAnalysis[ID], 0))</f>
        <v>3</v>
      </c>
      <c r="BF83" s="60">
        <f>IF(tblPiNAnalysis[[#This Row],[Severity]]&gt;2,tblPiNAnalysis[[#This Row],[Highest PiN]],)</f>
        <v>47685.120000000003</v>
      </c>
      <c r="BG83" s="187"/>
      <c r="BH83" s="188"/>
      <c r="BI83" s="189">
        <f>COUNTIFS(tblPiNAnalysis[[#This Row],[Number of missing / zero PiNs greater than threshold - Data quality]:[Manual Flag]],"Flagged")</f>
        <v>1</v>
      </c>
      <c r="BJ83" s="346" t="str">
        <f>IF(tblPiNAnalysis[[#This Row],['# Flags]]&gt;0, "Flagged", "")</f>
        <v>Flagged</v>
      </c>
      <c r="BK83" s="339">
        <f>tblPiNAnalysis[[#This Row],[Preliminary PiN]]</f>
        <v>47685.120000000003</v>
      </c>
      <c r="BL83" s="326"/>
      <c r="BM83" s="383">
        <f>IF(OR(tblPiNAnalysis[[#This Row],[Severity]]=4,tblPiNAnalysis[[#This Row],[Severity]]=5),tblPiNAnalysis[[#This Row],[Final PiN]],0)</f>
        <v>0</v>
      </c>
      <c r="BN83" s="378">
        <f>IF(OR(tblPiNAnalysis[[#This Row],[Severity]]=4,tblPiNAnalysis[[#This Row],[Severity]]=5),100%, IF(tblPiNAnalysis[[#This Row],[Severity]]=3,50%,0%))*tblPiNAnalysis[[#This Row],[Final PiN]]</f>
        <v>23842.560000000001</v>
      </c>
      <c r="BO83" s="383">
        <f>IF(OR(tblPiNAnalysis[[#This Row],[Severity]]=4,tblPiNAnalysis[[#This Row],[Severity]]=5),100%, IF(AND(tblPiNAnalysis[[#This Row],[Severity]]=3,VLOOKUP(tblPiNAnalysis[[#This Row],[ID]],tblSeverityAnalysis[[ID]:[Highest Severity]],35,FALSE)&gt;3),50%,0%))*tblPiNAnalysis[[#This Row],[Final PiN]]</f>
        <v>23842.560000000001</v>
      </c>
    </row>
    <row r="84" spans="1:67" hidden="1">
      <c r="A8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Global_PopulationHT0614</v>
      </c>
      <c r="B84" s="304" t="s">
        <v>319</v>
      </c>
      <c r="C84" s="213" t="s">
        <v>320</v>
      </c>
      <c r="D84" s="213" t="s">
        <v>327</v>
      </c>
      <c r="E84" s="103" t="s">
        <v>328</v>
      </c>
      <c r="F84" s="99"/>
      <c r="G84" s="34"/>
      <c r="H84" s="357"/>
      <c r="I84" s="354">
        <v>31774</v>
      </c>
      <c r="J84" s="221" t="s">
        <v>156</v>
      </c>
      <c r="K84" s="316">
        <v>5755.5</v>
      </c>
      <c r="L84" s="308">
        <v>6519</v>
      </c>
      <c r="M84" s="308">
        <v>2708</v>
      </c>
      <c r="N84" s="308">
        <v>14961</v>
      </c>
      <c r="O84" s="308">
        <v>7861.7353618973157</v>
      </c>
      <c r="P84" s="308">
        <v>6857.0199999999995</v>
      </c>
      <c r="Q84" s="309">
        <v>16060</v>
      </c>
      <c r="R84" s="308">
        <v>14827.866666666667</v>
      </c>
      <c r="S84" s="308"/>
      <c r="T84" s="308"/>
      <c r="U84" s="308"/>
      <c r="V84" s="308"/>
      <c r="W84" s="317">
        <f>IFERROR(IF(tblPiNAnalysis[[#This Row],[CCCM]]="", "", MROUND(tblPiNAnalysis[[#This Row],[CCCM]]/tblPiNAnalysis[[#This Row],[Population]], 0.05)), "")</f>
        <v>0.2</v>
      </c>
      <c r="X84" s="318">
        <f>IFERROR(IF(tblPiNAnalysis[[#This Row],[Education]]="", "", MROUND(tblPiNAnalysis[[#This Row],[Education]]/tblPiNAnalysis[[#This Row],[Population]], 0.05)), "")</f>
        <v>0.2</v>
      </c>
      <c r="Y84" s="318">
        <f>IFERROR(IF(tblPiNAnalysis[[#This Row],[Nutrition]]="", "", MROUND(tblPiNAnalysis[[#This Row],[Nutrition]]/tblPiNAnalysis[[#This Row],[Population]], 0.05)), "")</f>
        <v>0.1</v>
      </c>
      <c r="Z84" s="318">
        <f>IFERROR(IF(tblPiNAnalysis[[#This Row],[Food Security]]="", "", MROUND(tblPiNAnalysis[[#This Row],[Food Security]]/tblPiNAnalysis[[#This Row],[Population]], 0.05)), "")</f>
        <v>0.45</v>
      </c>
      <c r="AA84" s="318">
        <f>IFERROR(IF(tblPiNAnalysis[[#This Row],[Health]]="", "", MROUND(tblPiNAnalysis[[#This Row],[Health]]/tblPiNAnalysis[[#This Row],[Population]], 0.05)), "")</f>
        <v>0.25</v>
      </c>
      <c r="AB84" s="319">
        <f>IFERROR(IF(tblPiNAnalysis[[#This Row],[Protection]]="", "", MROUND(tblPiNAnalysis[[#This Row],[Protection]]/tblPiNAnalysis[[#This Row],[Population]], 0.05)), "")</f>
        <v>0.2</v>
      </c>
      <c r="AC84" s="319">
        <f>IFERROR(IF(tblPiNAnalysis[[#This Row],[Shelter]]="", "", MROUND(tblPiNAnalysis[[#This Row],[Shelter]]/tblPiNAnalysis[[#This Row],[Population]], 0.05)), "")</f>
        <v>0.5</v>
      </c>
      <c r="AD84" s="320">
        <f>IFERROR(IF(tblPiNAnalysis[[#This Row],[WASH]]="", "", MROUND(tblPiNAnalysis[[#This Row],[WASH]]/tblPiNAnalysis[[#This Row],[Population]], 0.05)), "")</f>
        <v>0.45</v>
      </c>
      <c r="AE84" s="318">
        <f>IFERROR(MROUND(tblPiNAnalysis[[#This Row],[CP]]/tblPiNAnalysis[[#This Row],[Population]], 0.05), "")</f>
        <v>0</v>
      </c>
      <c r="AF84" s="318">
        <f>IFERROR(MROUND(tblPiNAnalysis[[#This Row],[GBV]]/tblPiNAnalysis[[#This Row],[Population]], 0.05), "")</f>
        <v>0</v>
      </c>
      <c r="AG84" s="318">
        <f>IFERROR(MROUND(tblPiNAnalysis[[#This Row],[Migrants]]/tblPiNAnalysis[[#This Row],[Population]], 0.05), "")</f>
        <v>0</v>
      </c>
      <c r="AH84" s="318">
        <f>IFERROR(MROUND(tblPiNAnalysis[[#This Row],[_]]/tblPiNAnalysis[[#This Row],[Population]], 0.05), "")</f>
        <v>0</v>
      </c>
      <c r="AI84" s="321">
        <f>IFERROR(LARGE(tblPiNAnalysis[[#This Row],[CCCM]:[WASH]], 1), "")</f>
        <v>16060</v>
      </c>
      <c r="AJ84" s="322" t="str" cm="1">
        <f t="array" ref="AJ84">IF(tblPiNAnalysis[[#This Row],[Highest PiN]]="", "", _xlfn.TEXTJOIN(CHAR(10), TRUE, IF(tblPiNAnalysis[[#This Row],[Highest PiN]]=tblPiNAnalysis[[#This Row],[CCCM]:[WASH]], tblPiNAnalysis[[#Headers],[CCCM]:[WASH]], "")))</f>
        <v>Shelter</v>
      </c>
      <c r="AK84" s="323">
        <f>IF(tblPiNAnalysis[[#This Row],[Highest PiN]]="", "", tblPiNAnalysis[[#This Row],[Highest PiN]]/tblPiNAnalysis[[#This Row],[Population]])</f>
        <v>0.50544470321646628</v>
      </c>
      <c r="AL84" s="265" t="str">
        <f>IF(SUM(tblPiNAnalysis[[#This Row],[CCCM]:[WASH]])=0, "",IF(COUNTIF(tblPiNAnalysis[[#This Row],[CCCM]:[WASH]],"=0")+COUNTIF(tblPiNAnalysis[[#This Row],[CCCM]:[WASH]],"")&gt;=zero_pin_thresh, "Flagged", ""))</f>
        <v/>
      </c>
      <c r="AM84" s="264" t="str">
        <f>IFERROR(IF(tblPiNAnalysis[[#This Row],[Highest PiN]]="", "", IF(tblPiNAnalysis[[#This Row],[Highest sector(s'') PiN %]]&gt;=flag_pin_perc, "Flagged", "")), "")</f>
        <v/>
      </c>
      <c r="AN84" s="266" t="str" cm="1">
        <f t="array" ref="AN84">IF(tblPiNAnalysis[[#This Row],[Highest PiN]]=0, "",  IF(OR(COUNTIF(tblPiNAnalysis[[#This Row],[Highest sector(s)]],tblSubSectorPopulation[Sector])), "Flagged", ""))</f>
        <v/>
      </c>
      <c r="AO84" s="45" cm="1">
        <f t="array" ref="AO8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14961</v>
      </c>
      <c r="AP84" s="326" t="str" cm="1">
        <f t="array" ref="AP84">IF(tblPiNAnalysis[[#This Row],[2nd Highest PiN]]="", "", _xlfn.TEXTJOIN(CHAR(10), TRUE, IF(tblPiNAnalysis[[#This Row],[2nd Highest PiN]]=tblPiNAnalysis[[#This Row],[CCCM]:[WASH]], tblPiNAnalysis[[#Headers],[CCCM]:[WASH]], "")))</f>
        <v>Food Security</v>
      </c>
      <c r="AQ84" s="35">
        <f>IFERROR(tblPiNAnalysis[[#This Row],[2nd Highest PiN]]/tblPiNAnalysis[[#This Row],[Population]], "")</f>
        <v>0.47085667526908792</v>
      </c>
      <c r="AR84" s="45">
        <f>IFERROR(tblPiNAnalysis[[#This Row],[Highest PiN]]-tblPiNAnalysis[[#This Row],[2nd Highest PiN]], "")</f>
        <v>1099</v>
      </c>
      <c r="AS84" s="38">
        <f>IFERROR(((tblPiNAnalysis[[#This Row],[Highest PiN]]-tblPiNAnalysis[[#This Row],[2nd Highest PiN]])/tblPiNAnalysis[[#This Row],[2nd Highest PiN]]),"")</f>
        <v>7.345765657375844E-2</v>
      </c>
      <c r="AT84" s="269" t="str" cm="1">
        <f t="array" ref="AT8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4" s="327" cm="1">
        <f t="array" ref="AU8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14827.866666666667</v>
      </c>
      <c r="AV84" s="186" t="str" cm="1">
        <f t="array" ref="AV84">IF(tblPiNAnalysis[[#This Row],[3rd Highest PiN]]="", "", _xlfn.TEXTJOIN(CHAR(10), TRUE, IF(tblPiNAnalysis[[#This Row],[3rd Highest PiN]]=tblPiNAnalysis[[#This Row],[CCCM]:[WASH]], tblPiNAnalysis[[#Headers],[CCCM]:[WASH]], "")))</f>
        <v>WASH</v>
      </c>
      <c r="AW84" s="186">
        <f>IFERROR(tblPiNAnalysis[[#This Row],[3rd Highest PiN]]/tblPiNAnalysis[[#This Row],[Population]], "")</f>
        <v>0.46666666666666667</v>
      </c>
      <c r="AX84" s="44">
        <f>IFERROR(tblPiNAnalysis[[#This Row],[Highest PiN]]-tblPiNAnalysis[[#This Row],[3rd Highest PiN]],"")</f>
        <v>1232.1333333333332</v>
      </c>
      <c r="AY84" s="38">
        <f>IFERROR(tblPiNAnalysis[[#This Row],[Difference of PiN between Highest and 3rd Highest]]/tblPiNAnalysis[[#This Row],[3rd Highest PiN]], "")</f>
        <v>8.3095792606713473E-2</v>
      </c>
      <c r="AZ84" s="325" t="str" cm="1">
        <f t="array" ref="AZ8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4" s="292" cm="1">
        <f t="array" ref="BA84">IFERROR(IF(tblPiNAnalysis[[#This Row],[ID]]="", "", INDEX(tblPiNHistorical[[CCCM]:[WASH]], MATCH(tblPiNAnalysis[[#This Row],[ID]],tblPiNHistorical[ID], 0),MATCH(_xlfn._xlws.FILTER(tblPiNAnalysis[[#Headers],[CCCM]:[WASH]], tblPiNAnalysis[[#This Row],[Highest PiN]]=tblPiNAnalysis[[#This Row],[CCCM]:[WASH]]), tblPiNHistorical[[#Headers],[CCCM]:[WASH]], 0))), "")</f>
        <v>-0.1</v>
      </c>
      <c r="BB84" s="328" t="str" cm="1">
        <f t="array" ref="BB8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4" s="272" cm="1">
        <f t="array" ref="BC84">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84" s="329" t="str" cm="1">
        <f t="array" ref="BD8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4" s="371">
        <f>INDEX(tblSeverityAnalysis[Final Severity], MATCH(tblPiNAnalysis[[#This Row],[ID]],tblSeverityAnalysis[ID], 0))</f>
        <v>3</v>
      </c>
      <c r="BF84" s="60">
        <f>IF(tblPiNAnalysis[[#This Row],[Severity]]&gt;2,tblPiNAnalysis[[#This Row],[Highest PiN]],)</f>
        <v>16060</v>
      </c>
      <c r="BG84" s="187"/>
      <c r="BH84" s="188"/>
      <c r="BI84" s="189">
        <f>COUNTIFS(tblPiNAnalysis[[#This Row],[Number of missing / zero PiNs greater than threshold - Data quality]:[Manual Flag]],"Flagged")</f>
        <v>0</v>
      </c>
      <c r="BJ84" s="346" t="str">
        <f>IF(tblPiNAnalysis[[#This Row],['# Flags]]&gt;0, "Flagged", "")</f>
        <v/>
      </c>
      <c r="BK84" s="339">
        <f>tblPiNAnalysis[[#This Row],[Preliminary PiN]]</f>
        <v>16060</v>
      </c>
      <c r="BL84" s="326"/>
      <c r="BM84" s="383">
        <f>IF(OR(tblPiNAnalysis[[#This Row],[Severity]]=4,tblPiNAnalysis[[#This Row],[Severity]]=5),tblPiNAnalysis[[#This Row],[Final PiN]],0)</f>
        <v>0</v>
      </c>
      <c r="BN84" s="378">
        <f>IF(OR(tblPiNAnalysis[[#This Row],[Severity]]=4,tblPiNAnalysis[[#This Row],[Severity]]=5),100%, IF(tblPiNAnalysis[[#This Row],[Severity]]=3,50%,0%))*tblPiNAnalysis[[#This Row],[Final PiN]]</f>
        <v>8030</v>
      </c>
      <c r="BO84" s="383">
        <f>IF(OR(tblPiNAnalysis[[#This Row],[Severity]]=4,tblPiNAnalysis[[#This Row],[Severity]]=5),100%, IF(AND(tblPiNAnalysis[[#This Row],[Severity]]=3,VLOOKUP(tblPiNAnalysis[[#This Row],[ID]],tblSeverityAnalysis[[ID]:[Highest Severity]],35,FALSE)&gt;3),50%,0%))*tblPiNAnalysis[[#This Row],[Final PiN]]</f>
        <v>8030</v>
      </c>
    </row>
    <row r="85" spans="1:67" hidden="1">
      <c r="A8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Global_PopulationHT0621</v>
      </c>
      <c r="B85" s="304" t="s">
        <v>319</v>
      </c>
      <c r="C85" s="213" t="s">
        <v>320</v>
      </c>
      <c r="D85" s="213" t="s">
        <v>329</v>
      </c>
      <c r="E85" s="103" t="s">
        <v>330</v>
      </c>
      <c r="F85" s="99"/>
      <c r="G85" s="34"/>
      <c r="H85" s="357"/>
      <c r="I85" s="354">
        <v>129573</v>
      </c>
      <c r="J85" s="221" t="s">
        <v>156</v>
      </c>
      <c r="K85" s="316">
        <v>7125</v>
      </c>
      <c r="L85" s="308">
        <v>23428</v>
      </c>
      <c r="M85" s="308">
        <v>10740</v>
      </c>
      <c r="N85" s="308">
        <v>75469</v>
      </c>
      <c r="O85" s="308">
        <v>143669</v>
      </c>
      <c r="P85" s="308">
        <v>14096</v>
      </c>
      <c r="Q85" s="309">
        <v>39364</v>
      </c>
      <c r="R85" s="308">
        <v>32393.25</v>
      </c>
      <c r="S85" s="308"/>
      <c r="T85" s="308"/>
      <c r="U85" s="308"/>
      <c r="V85" s="308"/>
      <c r="W85" s="317">
        <f>IFERROR(IF(tblPiNAnalysis[[#This Row],[CCCM]]="", "", MROUND(tblPiNAnalysis[[#This Row],[CCCM]]/tblPiNAnalysis[[#This Row],[Population]], 0.05)), "")</f>
        <v>0.05</v>
      </c>
      <c r="X85" s="318">
        <f>IFERROR(IF(tblPiNAnalysis[[#This Row],[Education]]="", "", MROUND(tblPiNAnalysis[[#This Row],[Education]]/tblPiNAnalysis[[#This Row],[Population]], 0.05)), "")</f>
        <v>0.2</v>
      </c>
      <c r="Y85" s="318">
        <f>IFERROR(IF(tblPiNAnalysis[[#This Row],[Nutrition]]="", "", MROUND(tblPiNAnalysis[[#This Row],[Nutrition]]/tblPiNAnalysis[[#This Row],[Population]], 0.05)), "")</f>
        <v>0.1</v>
      </c>
      <c r="Z85" s="318">
        <f>IFERROR(IF(tblPiNAnalysis[[#This Row],[Food Security]]="", "", MROUND(tblPiNAnalysis[[#This Row],[Food Security]]/tblPiNAnalysis[[#This Row],[Population]], 0.05)), "")</f>
        <v>0.60000000000000009</v>
      </c>
      <c r="AA85" s="318">
        <f>IFERROR(IF(tblPiNAnalysis[[#This Row],[Health]]="", "", MROUND(tblPiNAnalysis[[#This Row],[Health]]/tblPiNAnalysis[[#This Row],[Population]], 0.05)), "")</f>
        <v>1.1000000000000001</v>
      </c>
      <c r="AB85" s="319">
        <f>IFERROR(IF(tblPiNAnalysis[[#This Row],[Protection]]="", "", MROUND(tblPiNAnalysis[[#This Row],[Protection]]/tblPiNAnalysis[[#This Row],[Population]], 0.05)), "")</f>
        <v>0.1</v>
      </c>
      <c r="AC85" s="319">
        <f>IFERROR(IF(tblPiNAnalysis[[#This Row],[Shelter]]="", "", MROUND(tblPiNAnalysis[[#This Row],[Shelter]]/tblPiNAnalysis[[#This Row],[Population]], 0.05)), "")</f>
        <v>0.30000000000000004</v>
      </c>
      <c r="AD85" s="320">
        <f>IFERROR(IF(tblPiNAnalysis[[#This Row],[WASH]]="", "", MROUND(tblPiNAnalysis[[#This Row],[WASH]]/tblPiNAnalysis[[#This Row],[Population]], 0.05)), "")</f>
        <v>0.25</v>
      </c>
      <c r="AE85" s="318">
        <f>IFERROR(MROUND(tblPiNAnalysis[[#This Row],[CP]]/tblPiNAnalysis[[#This Row],[Population]], 0.05), "")</f>
        <v>0</v>
      </c>
      <c r="AF85" s="318">
        <f>IFERROR(MROUND(tblPiNAnalysis[[#This Row],[GBV]]/tblPiNAnalysis[[#This Row],[Population]], 0.05), "")</f>
        <v>0</v>
      </c>
      <c r="AG85" s="318">
        <f>IFERROR(MROUND(tblPiNAnalysis[[#This Row],[Migrants]]/tblPiNAnalysis[[#This Row],[Population]], 0.05), "")</f>
        <v>0</v>
      </c>
      <c r="AH85" s="318">
        <f>IFERROR(MROUND(tblPiNAnalysis[[#This Row],[_]]/tblPiNAnalysis[[#This Row],[Population]], 0.05), "")</f>
        <v>0</v>
      </c>
      <c r="AI85" s="321">
        <f>IFERROR(LARGE(tblPiNAnalysis[[#This Row],[CCCM]:[WASH]], 1), "")</f>
        <v>143669</v>
      </c>
      <c r="AJ85" s="322" t="str" cm="1">
        <f t="array" ref="AJ85">IF(tblPiNAnalysis[[#This Row],[Highest PiN]]="", "", _xlfn.TEXTJOIN(CHAR(10), TRUE, IF(tblPiNAnalysis[[#This Row],[Highest PiN]]=tblPiNAnalysis[[#This Row],[CCCM]:[WASH]], tblPiNAnalysis[[#Headers],[CCCM]:[WASH]], "")))</f>
        <v>Health</v>
      </c>
      <c r="AK85" s="323">
        <f>IF(tblPiNAnalysis[[#This Row],[Highest PiN]]="", "", tblPiNAnalysis[[#This Row],[Highest PiN]]/tblPiNAnalysis[[#This Row],[Population]])</f>
        <v>1.1087880962854917</v>
      </c>
      <c r="AL85" s="265" t="str">
        <f>IF(SUM(tblPiNAnalysis[[#This Row],[CCCM]:[WASH]])=0, "",IF(COUNTIF(tblPiNAnalysis[[#This Row],[CCCM]:[WASH]],"=0")+COUNTIF(tblPiNAnalysis[[#This Row],[CCCM]:[WASH]],"")&gt;=zero_pin_thresh, "Flagged", ""))</f>
        <v/>
      </c>
      <c r="AM85" s="264" t="str">
        <f>IFERROR(IF(tblPiNAnalysis[[#This Row],[Highest PiN]]="", "", IF(tblPiNAnalysis[[#This Row],[Highest sector(s'') PiN %]]&gt;=flag_pin_perc, "Flagged", "")), "")</f>
        <v>Flagged</v>
      </c>
      <c r="AN85" s="266" t="str" cm="1">
        <f t="array" ref="AN85">IF(tblPiNAnalysis[[#This Row],[Highest PiN]]=0, "",  IF(OR(COUNTIF(tblPiNAnalysis[[#This Row],[Highest sector(s)]],tblSubSectorPopulation[Sector])), "Flagged", ""))</f>
        <v/>
      </c>
      <c r="AO85" s="45" cm="1">
        <f t="array" ref="AO8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75469</v>
      </c>
      <c r="AP85" s="326" t="str" cm="1">
        <f t="array" ref="AP85">IF(tblPiNAnalysis[[#This Row],[2nd Highest PiN]]="", "", _xlfn.TEXTJOIN(CHAR(10), TRUE, IF(tblPiNAnalysis[[#This Row],[2nd Highest PiN]]=tblPiNAnalysis[[#This Row],[CCCM]:[WASH]], tblPiNAnalysis[[#Headers],[CCCM]:[WASH]], "")))</f>
        <v>Food Security</v>
      </c>
      <c r="AQ85" s="35">
        <f>IFERROR(tblPiNAnalysis[[#This Row],[2nd Highest PiN]]/tblPiNAnalysis[[#This Row],[Population]], "")</f>
        <v>0.58244387333780956</v>
      </c>
      <c r="AR85" s="45">
        <f>IFERROR(tblPiNAnalysis[[#This Row],[Highest PiN]]-tblPiNAnalysis[[#This Row],[2nd Highest PiN]], "")</f>
        <v>68200</v>
      </c>
      <c r="AS85" s="38">
        <f>IFERROR(((tblPiNAnalysis[[#This Row],[Highest PiN]]-tblPiNAnalysis[[#This Row],[2nd Highest PiN]])/tblPiNAnalysis[[#This Row],[2nd Highest PiN]]),"")</f>
        <v>0.90368230664246252</v>
      </c>
      <c r="AT85" s="269" t="str" cm="1">
        <f t="array" ref="AT8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85" s="327" cm="1">
        <f t="array" ref="AU8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39364</v>
      </c>
      <c r="AV85" s="186" t="str" cm="1">
        <f t="array" ref="AV85">IF(tblPiNAnalysis[[#This Row],[3rd Highest PiN]]="", "", _xlfn.TEXTJOIN(CHAR(10), TRUE, IF(tblPiNAnalysis[[#This Row],[3rd Highest PiN]]=tblPiNAnalysis[[#This Row],[CCCM]:[WASH]], tblPiNAnalysis[[#Headers],[CCCM]:[WASH]], "")))</f>
        <v>Shelter</v>
      </c>
      <c r="AW85" s="186">
        <f>IFERROR(tblPiNAnalysis[[#This Row],[3rd Highest PiN]]/tblPiNAnalysis[[#This Row],[Population]], "")</f>
        <v>0.30379785912188495</v>
      </c>
      <c r="AX85" s="44">
        <f>IFERROR(tblPiNAnalysis[[#This Row],[Highest PiN]]-tblPiNAnalysis[[#This Row],[3rd Highest PiN]],"")</f>
        <v>104305</v>
      </c>
      <c r="AY85" s="38">
        <f>IFERROR(tblPiNAnalysis[[#This Row],[Difference of PiN between Highest and 3rd Highest]]/tblPiNAnalysis[[#This Row],[3rd Highest PiN]], "")</f>
        <v>2.6497561223452899</v>
      </c>
      <c r="AZ85" s="325" t="str" cm="1">
        <f t="array" ref="AZ8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85" s="292" cm="1">
        <f t="array" ref="BA85">IFERROR(IF(tblPiNAnalysis[[#This Row],[ID]]="", "", INDEX(tblPiNHistorical[[CCCM]:[WASH]], MATCH(tblPiNAnalysis[[#This Row],[ID]],tblPiNHistorical[ID], 0),MATCH(_xlfn._xlws.FILTER(tblPiNAnalysis[[#Headers],[CCCM]:[WASH]], tblPiNAnalysis[[#This Row],[Highest PiN]]=tblPiNAnalysis[[#This Row],[CCCM]:[WASH]]), tblPiNHistorical[[#Headers],[CCCM]:[WASH]], 0))), "")</f>
        <v>2.4</v>
      </c>
      <c r="BB85" s="328" t="str" cm="1">
        <f t="array" ref="BB8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5" s="272" cm="1">
        <f t="array" ref="BC85">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85" s="329" t="str" cm="1">
        <f t="array" ref="BD8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5" s="371">
        <f>INDEX(tblSeverityAnalysis[Final Severity], MATCH(tblPiNAnalysis[[#This Row],[ID]],tblSeverityAnalysis[ID], 0))</f>
        <v>4</v>
      </c>
      <c r="BF85" s="60">
        <f>IF(tblPiNAnalysis[[#This Row],[Severity]]&gt;2,tblPiNAnalysis[[#This Row],[Highest PiN]],)</f>
        <v>143669</v>
      </c>
      <c r="BG85" s="187"/>
      <c r="BH85" s="188"/>
      <c r="BI85" s="189">
        <f>COUNTIFS(tblPiNAnalysis[[#This Row],[Number of missing / zero PiNs greater than threshold - Data quality]:[Manual Flag]],"Flagged")</f>
        <v>4</v>
      </c>
      <c r="BJ85" s="346" t="str">
        <f>IF(tblPiNAnalysis[[#This Row],['# Flags]]&gt;0, "Flagged", "")</f>
        <v>Flagged</v>
      </c>
      <c r="BK85" s="339">
        <v>75469</v>
      </c>
      <c r="BL85" s="326" t="s">
        <v>157</v>
      </c>
      <c r="BM85" s="383">
        <f>IF(OR(tblPiNAnalysis[[#This Row],[Severity]]=4,tblPiNAnalysis[[#This Row],[Severity]]=5),tblPiNAnalysis[[#This Row],[Final PiN]],0)</f>
        <v>75469</v>
      </c>
      <c r="BN85" s="378">
        <f>IF(OR(tblPiNAnalysis[[#This Row],[Severity]]=4,tblPiNAnalysis[[#This Row],[Severity]]=5),100%, IF(tblPiNAnalysis[[#This Row],[Severity]]=3,50%,0%))*tblPiNAnalysis[[#This Row],[Final PiN]]</f>
        <v>75469</v>
      </c>
      <c r="BO85" s="383">
        <f>IF(OR(tblPiNAnalysis[[#This Row],[Severity]]=4,tblPiNAnalysis[[#This Row],[Severity]]=5),100%, IF(AND(tblPiNAnalysis[[#This Row],[Severity]]=3,VLOOKUP(tblPiNAnalysis[[#This Row],[ID]],tblSeverityAnalysis[[ID]:[Highest Severity]],35,FALSE)&gt;3),50%,0%))*tblPiNAnalysis[[#This Row],[Final PiN]]</f>
        <v>75469</v>
      </c>
    </row>
    <row r="86" spans="1:67" hidden="1">
      <c r="A8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Global_PopulationHT0622</v>
      </c>
      <c r="B86" s="304" t="s">
        <v>319</v>
      </c>
      <c r="C86" s="213" t="s">
        <v>320</v>
      </c>
      <c r="D86" s="213" t="s">
        <v>331</v>
      </c>
      <c r="E86" s="103" t="s">
        <v>332</v>
      </c>
      <c r="F86" s="99"/>
      <c r="G86" s="34"/>
      <c r="H86" s="357"/>
      <c r="I86" s="354">
        <v>52389</v>
      </c>
      <c r="J86" s="221" t="s">
        <v>156</v>
      </c>
      <c r="K86" s="316">
        <v>787.5</v>
      </c>
      <c r="L86" s="308">
        <v>9836</v>
      </c>
      <c r="M86" s="308">
        <v>4245</v>
      </c>
      <c r="N86" s="308">
        <v>30162</v>
      </c>
      <c r="O86" s="308">
        <v>53967.58765714286</v>
      </c>
      <c r="P86" s="308">
        <v>976.1</v>
      </c>
      <c r="Q86" s="309">
        <v>0</v>
      </c>
      <c r="R86" s="308">
        <v>48722</v>
      </c>
      <c r="S86" s="308"/>
      <c r="T86" s="308"/>
      <c r="U86" s="308"/>
      <c r="V86" s="308"/>
      <c r="W86" s="317">
        <f>IFERROR(IF(tblPiNAnalysis[[#This Row],[CCCM]]="", "", MROUND(tblPiNAnalysis[[#This Row],[CCCM]]/tblPiNAnalysis[[#This Row],[Population]], 0.05)), "")</f>
        <v>0</v>
      </c>
      <c r="X86" s="318">
        <f>IFERROR(IF(tblPiNAnalysis[[#This Row],[Education]]="", "", MROUND(tblPiNAnalysis[[#This Row],[Education]]/tblPiNAnalysis[[#This Row],[Population]], 0.05)), "")</f>
        <v>0.2</v>
      </c>
      <c r="Y86" s="318">
        <f>IFERROR(IF(tblPiNAnalysis[[#This Row],[Nutrition]]="", "", MROUND(tblPiNAnalysis[[#This Row],[Nutrition]]/tblPiNAnalysis[[#This Row],[Population]], 0.05)), "")</f>
        <v>0.1</v>
      </c>
      <c r="Z86" s="318">
        <f>IFERROR(IF(tblPiNAnalysis[[#This Row],[Food Security]]="", "", MROUND(tblPiNAnalysis[[#This Row],[Food Security]]/tblPiNAnalysis[[#This Row],[Population]], 0.05)), "")</f>
        <v>0.60000000000000009</v>
      </c>
      <c r="AA86" s="318">
        <f>IFERROR(IF(tblPiNAnalysis[[#This Row],[Health]]="", "", MROUND(tblPiNAnalysis[[#This Row],[Health]]/tblPiNAnalysis[[#This Row],[Population]], 0.05)), "")</f>
        <v>1.05</v>
      </c>
      <c r="AB86" s="319">
        <f>IFERROR(IF(tblPiNAnalysis[[#This Row],[Protection]]="", "", MROUND(tblPiNAnalysis[[#This Row],[Protection]]/tblPiNAnalysis[[#This Row],[Population]], 0.05)), "")</f>
        <v>0</v>
      </c>
      <c r="AC86" s="319">
        <f>IFERROR(IF(tblPiNAnalysis[[#This Row],[Shelter]]="", "", MROUND(tblPiNAnalysis[[#This Row],[Shelter]]/tblPiNAnalysis[[#This Row],[Population]], 0.05)), "")</f>
        <v>0</v>
      </c>
      <c r="AD86" s="320">
        <f>IFERROR(IF(tblPiNAnalysis[[#This Row],[WASH]]="", "", MROUND(tblPiNAnalysis[[#This Row],[WASH]]/tblPiNAnalysis[[#This Row],[Population]], 0.05)), "")</f>
        <v>0.95000000000000007</v>
      </c>
      <c r="AE86" s="318">
        <f>IFERROR(MROUND(tblPiNAnalysis[[#This Row],[CP]]/tblPiNAnalysis[[#This Row],[Population]], 0.05), "")</f>
        <v>0</v>
      </c>
      <c r="AF86" s="318">
        <f>IFERROR(MROUND(tblPiNAnalysis[[#This Row],[GBV]]/tblPiNAnalysis[[#This Row],[Population]], 0.05), "")</f>
        <v>0</v>
      </c>
      <c r="AG86" s="318">
        <f>IFERROR(MROUND(tblPiNAnalysis[[#This Row],[Migrants]]/tblPiNAnalysis[[#This Row],[Population]], 0.05), "")</f>
        <v>0</v>
      </c>
      <c r="AH86" s="318">
        <f>IFERROR(MROUND(tblPiNAnalysis[[#This Row],[_]]/tblPiNAnalysis[[#This Row],[Population]], 0.05), "")</f>
        <v>0</v>
      </c>
      <c r="AI86" s="321">
        <f>IFERROR(LARGE(tblPiNAnalysis[[#This Row],[CCCM]:[WASH]], 1), "")</f>
        <v>53967.58765714286</v>
      </c>
      <c r="AJ86" s="322" t="str" cm="1">
        <f t="array" ref="AJ86">IF(tblPiNAnalysis[[#This Row],[Highest PiN]]="", "", _xlfn.TEXTJOIN(CHAR(10), TRUE, IF(tblPiNAnalysis[[#This Row],[Highest PiN]]=tblPiNAnalysis[[#This Row],[CCCM]:[WASH]], tblPiNAnalysis[[#Headers],[CCCM]:[WASH]], "")))</f>
        <v>Health</v>
      </c>
      <c r="AK86" s="323">
        <f>IF(tblPiNAnalysis[[#This Row],[Highest PiN]]="", "", tblPiNAnalysis[[#This Row],[Highest PiN]]/tblPiNAnalysis[[#This Row],[Population]])</f>
        <v>1.0301320440768647</v>
      </c>
      <c r="AL86" s="265" t="str">
        <f>IF(SUM(tblPiNAnalysis[[#This Row],[CCCM]:[WASH]])=0, "",IF(COUNTIF(tblPiNAnalysis[[#This Row],[CCCM]:[WASH]],"=0")+COUNTIF(tblPiNAnalysis[[#This Row],[CCCM]:[WASH]],"")&gt;=zero_pin_thresh, "Flagged", ""))</f>
        <v/>
      </c>
      <c r="AM86" s="264" t="str">
        <f>IFERROR(IF(tblPiNAnalysis[[#This Row],[Highest PiN]]="", "", IF(tblPiNAnalysis[[#This Row],[Highest sector(s'') PiN %]]&gt;=flag_pin_perc, "Flagged", "")), "")</f>
        <v>Flagged</v>
      </c>
      <c r="AN86" s="266" t="str" cm="1">
        <f t="array" ref="AN86">IF(tblPiNAnalysis[[#This Row],[Highest PiN]]=0, "",  IF(OR(COUNTIF(tblPiNAnalysis[[#This Row],[Highest sector(s)]],tblSubSectorPopulation[Sector])), "Flagged", ""))</f>
        <v/>
      </c>
      <c r="AO86" s="45" cm="1">
        <f t="array" ref="AO8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48722</v>
      </c>
      <c r="AP86" s="326" t="str" cm="1">
        <f t="array" ref="AP86">IF(tblPiNAnalysis[[#This Row],[2nd Highest PiN]]="", "", _xlfn.TEXTJOIN(CHAR(10), TRUE, IF(tblPiNAnalysis[[#This Row],[2nd Highest PiN]]=tblPiNAnalysis[[#This Row],[CCCM]:[WASH]], tblPiNAnalysis[[#Headers],[CCCM]:[WASH]], "")))</f>
        <v>WASH</v>
      </c>
      <c r="AQ86" s="35">
        <f>IFERROR(tblPiNAnalysis[[#This Row],[2nd Highest PiN]]/tblPiNAnalysis[[#This Row],[Population]], "")</f>
        <v>0.93000439023459125</v>
      </c>
      <c r="AR86" s="45">
        <f>IFERROR(tblPiNAnalysis[[#This Row],[Highest PiN]]-tblPiNAnalysis[[#This Row],[2nd Highest PiN]], "")</f>
        <v>5245.5876571428598</v>
      </c>
      <c r="AS86" s="38">
        <f>IFERROR(((tblPiNAnalysis[[#This Row],[Highest PiN]]-tblPiNAnalysis[[#This Row],[2nd Highest PiN]])/tblPiNAnalysis[[#This Row],[2nd Highest PiN]]),"")</f>
        <v>0.10766363567059767</v>
      </c>
      <c r="AT86" s="269" t="str" cm="1">
        <f t="array" ref="AT8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6" s="327" cm="1">
        <f t="array" ref="AU8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30162</v>
      </c>
      <c r="AV86" s="186" t="str" cm="1">
        <f t="array" ref="AV86">IF(tblPiNAnalysis[[#This Row],[3rd Highest PiN]]="", "", _xlfn.TEXTJOIN(CHAR(10), TRUE, IF(tblPiNAnalysis[[#This Row],[3rd Highest PiN]]=tblPiNAnalysis[[#This Row],[CCCM]:[WASH]], tblPiNAnalysis[[#Headers],[CCCM]:[WASH]], "")))</f>
        <v>Food Security</v>
      </c>
      <c r="AW86" s="186">
        <f>IFERROR(tblPiNAnalysis[[#This Row],[3rd Highest PiN]]/tblPiNAnalysis[[#This Row],[Population]], "")</f>
        <v>0.5757315466987345</v>
      </c>
      <c r="AX86" s="44">
        <f>IFERROR(tblPiNAnalysis[[#This Row],[Highest PiN]]-tblPiNAnalysis[[#This Row],[3rd Highest PiN]],"")</f>
        <v>23805.58765714286</v>
      </c>
      <c r="AY86" s="38">
        <f>IFERROR(tblPiNAnalysis[[#This Row],[Difference of PiN between Highest and 3rd Highest]]/tblPiNAnalysis[[#This Row],[3rd Highest PiN]], "")</f>
        <v>0.78925759754468738</v>
      </c>
      <c r="AZ86" s="325" t="str" cm="1">
        <f t="array" ref="AZ8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6" s="292" cm="1">
        <f t="array" ref="BA86">IFERROR(IF(tblPiNAnalysis[[#This Row],[ID]]="", "", INDEX(tblPiNHistorical[[CCCM]:[WASH]], MATCH(tblPiNAnalysis[[#This Row],[ID]],tblPiNHistorical[ID], 0),MATCH(_xlfn._xlws.FILTER(tblPiNAnalysis[[#Headers],[CCCM]:[WASH]], tblPiNAnalysis[[#This Row],[Highest PiN]]=tblPiNAnalysis[[#This Row],[CCCM]:[WASH]]), tblPiNHistorical[[#Headers],[CCCM]:[WASH]], 0))), "")</f>
        <v>1.6</v>
      </c>
      <c r="BB86" s="328" t="str" cm="1">
        <f t="array" ref="BB8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6" s="272" cm="1">
        <f t="array" ref="BC86">IFERROR(IF(tblPiNAnalysis[[#This Row],[ID]]="", "", INDEX(tblPiNHistorical[[CCCM]:[WASH]], MATCH(tblPiNAnalysis[[#This Row],[ID]],tblPiNHistorical[ID], 0),MATCH(_xlfn._xlws.FILTER(tblPiNAnalysis[[#Headers],[CCCM]:[WASH]], tblPiNAnalysis[[#This Row],[2nd Highest PiN]]=tblPiNAnalysis[[#This Row],[CCCM]:[WASH]]), tblPiNHistorical[[#Headers],[CCCM]:[WASH]], 0))), "")</f>
        <v>1.3</v>
      </c>
      <c r="BD86" s="329" t="str" cm="1">
        <f t="array" ref="BD8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86" s="371">
        <f>INDEX(tblSeverityAnalysis[Final Severity], MATCH(tblPiNAnalysis[[#This Row],[ID]],tblSeverityAnalysis[ID], 0))</f>
        <v>4</v>
      </c>
      <c r="BF86" s="60">
        <f>IF(tblPiNAnalysis[[#This Row],[Severity]]&gt;2,tblPiNAnalysis[[#This Row],[Highest PiN]],)</f>
        <v>53967.58765714286</v>
      </c>
      <c r="BG86" s="187"/>
      <c r="BH86" s="188"/>
      <c r="BI86" s="189">
        <f>COUNTIFS(tblPiNAnalysis[[#This Row],[Number of missing / zero PiNs greater than threshold - Data quality]:[Manual Flag]],"Flagged")</f>
        <v>3</v>
      </c>
      <c r="BJ86" s="346" t="str">
        <f>IF(tblPiNAnalysis[[#This Row],['# Flags]]&gt;0, "Flagged", "")</f>
        <v>Flagged</v>
      </c>
      <c r="BK86" s="339">
        <f>tblPiNAnalysis[[#This Row],[Preliminary PiN]]</f>
        <v>53967.58765714286</v>
      </c>
      <c r="BL86" s="326"/>
      <c r="BM86" s="383">
        <f>IF(OR(tblPiNAnalysis[[#This Row],[Severity]]=4,tblPiNAnalysis[[#This Row],[Severity]]=5),tblPiNAnalysis[[#This Row],[Final PiN]],0)</f>
        <v>53967.58765714286</v>
      </c>
      <c r="BN86" s="378">
        <f>IF(OR(tblPiNAnalysis[[#This Row],[Severity]]=4,tblPiNAnalysis[[#This Row],[Severity]]=5),100%, IF(tblPiNAnalysis[[#This Row],[Severity]]=3,50%,0%))*tblPiNAnalysis[[#This Row],[Final PiN]]</f>
        <v>53967.58765714286</v>
      </c>
      <c r="BO86" s="383">
        <f>IF(OR(tblPiNAnalysis[[#This Row],[Severity]]=4,tblPiNAnalysis[[#This Row],[Severity]]=5),100%, IF(AND(tblPiNAnalysis[[#This Row],[Severity]]=3,VLOOKUP(tblPiNAnalysis[[#This Row],[ID]],tblSeverityAnalysis[[ID]:[Highest Severity]],35,FALSE)&gt;3),50%,0%))*tblPiNAnalysis[[#This Row],[Final PiN]]</f>
        <v>53967.58765714286</v>
      </c>
    </row>
    <row r="87" spans="1:67" hidden="1">
      <c r="A8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Global_PopulationHT0623</v>
      </c>
      <c r="B87" s="304" t="s">
        <v>319</v>
      </c>
      <c r="C87" s="213" t="s">
        <v>320</v>
      </c>
      <c r="D87" s="213" t="s">
        <v>333</v>
      </c>
      <c r="E87" s="103" t="s">
        <v>334</v>
      </c>
      <c r="F87" s="99"/>
      <c r="G87" s="34"/>
      <c r="H87" s="357"/>
      <c r="I87" s="354">
        <v>79705</v>
      </c>
      <c r="J87" s="221" t="s">
        <v>156</v>
      </c>
      <c r="K87" s="316">
        <v>19608</v>
      </c>
      <c r="L87" s="308">
        <v>15728</v>
      </c>
      <c r="M87" s="308">
        <v>7225</v>
      </c>
      <c r="N87" s="308">
        <v>43253</v>
      </c>
      <c r="O87" s="308">
        <v>35708.605059832087</v>
      </c>
      <c r="P87" s="308">
        <v>26800.55</v>
      </c>
      <c r="Q87" s="309">
        <v>39996</v>
      </c>
      <c r="R87" s="308">
        <v>59778.75</v>
      </c>
      <c r="S87" s="308"/>
      <c r="T87" s="308"/>
      <c r="U87" s="308"/>
      <c r="V87" s="308"/>
      <c r="W87" s="317">
        <f>IFERROR(IF(tblPiNAnalysis[[#This Row],[CCCM]]="", "", MROUND(tblPiNAnalysis[[#This Row],[CCCM]]/tblPiNAnalysis[[#This Row],[Population]], 0.05)), "")</f>
        <v>0.25</v>
      </c>
      <c r="X87" s="318">
        <f>IFERROR(IF(tblPiNAnalysis[[#This Row],[Education]]="", "", MROUND(tblPiNAnalysis[[#This Row],[Education]]/tblPiNAnalysis[[#This Row],[Population]], 0.05)), "")</f>
        <v>0.2</v>
      </c>
      <c r="Y87" s="318">
        <f>IFERROR(IF(tblPiNAnalysis[[#This Row],[Nutrition]]="", "", MROUND(tblPiNAnalysis[[#This Row],[Nutrition]]/tblPiNAnalysis[[#This Row],[Population]], 0.05)), "")</f>
        <v>0.1</v>
      </c>
      <c r="Z87" s="318">
        <f>IFERROR(IF(tblPiNAnalysis[[#This Row],[Food Security]]="", "", MROUND(tblPiNAnalysis[[#This Row],[Food Security]]/tblPiNAnalysis[[#This Row],[Population]], 0.05)), "")</f>
        <v>0.55000000000000004</v>
      </c>
      <c r="AA87" s="318">
        <f>IFERROR(IF(tblPiNAnalysis[[#This Row],[Health]]="", "", MROUND(tblPiNAnalysis[[#This Row],[Health]]/tblPiNAnalysis[[#This Row],[Population]], 0.05)), "")</f>
        <v>0.45</v>
      </c>
      <c r="AB87" s="319">
        <f>IFERROR(IF(tblPiNAnalysis[[#This Row],[Protection]]="", "", MROUND(tblPiNAnalysis[[#This Row],[Protection]]/tblPiNAnalysis[[#This Row],[Population]], 0.05)), "")</f>
        <v>0.35000000000000003</v>
      </c>
      <c r="AC87" s="319">
        <f>IFERROR(IF(tblPiNAnalysis[[#This Row],[Shelter]]="", "", MROUND(tblPiNAnalysis[[#This Row],[Shelter]]/tblPiNAnalysis[[#This Row],[Population]], 0.05)), "")</f>
        <v>0.5</v>
      </c>
      <c r="AD87" s="320">
        <f>IFERROR(IF(tblPiNAnalysis[[#This Row],[WASH]]="", "", MROUND(tblPiNAnalysis[[#This Row],[WASH]]/tblPiNAnalysis[[#This Row],[Population]], 0.05)), "")</f>
        <v>0.75</v>
      </c>
      <c r="AE87" s="318">
        <f>IFERROR(MROUND(tblPiNAnalysis[[#This Row],[CP]]/tblPiNAnalysis[[#This Row],[Population]], 0.05), "")</f>
        <v>0</v>
      </c>
      <c r="AF87" s="318">
        <f>IFERROR(MROUND(tblPiNAnalysis[[#This Row],[GBV]]/tblPiNAnalysis[[#This Row],[Population]], 0.05), "")</f>
        <v>0</v>
      </c>
      <c r="AG87" s="318">
        <f>IFERROR(MROUND(tblPiNAnalysis[[#This Row],[Migrants]]/tblPiNAnalysis[[#This Row],[Population]], 0.05), "")</f>
        <v>0</v>
      </c>
      <c r="AH87" s="318">
        <f>IFERROR(MROUND(tblPiNAnalysis[[#This Row],[_]]/tblPiNAnalysis[[#This Row],[Population]], 0.05), "")</f>
        <v>0</v>
      </c>
      <c r="AI87" s="321">
        <f>IFERROR(LARGE(tblPiNAnalysis[[#This Row],[CCCM]:[WASH]], 1), "")</f>
        <v>59778.75</v>
      </c>
      <c r="AJ87" s="322" t="str" cm="1">
        <f t="array" ref="AJ87">IF(tblPiNAnalysis[[#This Row],[Highest PiN]]="", "", _xlfn.TEXTJOIN(CHAR(10), TRUE, IF(tblPiNAnalysis[[#This Row],[Highest PiN]]=tblPiNAnalysis[[#This Row],[CCCM]:[WASH]], tblPiNAnalysis[[#Headers],[CCCM]:[WASH]], "")))</f>
        <v>WASH</v>
      </c>
      <c r="AK87" s="323">
        <f>IF(tblPiNAnalysis[[#This Row],[Highest PiN]]="", "", tblPiNAnalysis[[#This Row],[Highest PiN]]/tblPiNAnalysis[[#This Row],[Population]])</f>
        <v>0.75</v>
      </c>
      <c r="AL87" s="265" t="str">
        <f>IF(SUM(tblPiNAnalysis[[#This Row],[CCCM]:[WASH]])=0, "",IF(COUNTIF(tblPiNAnalysis[[#This Row],[CCCM]:[WASH]],"=0")+COUNTIF(tblPiNAnalysis[[#This Row],[CCCM]:[WASH]],"")&gt;=zero_pin_thresh, "Flagged", ""))</f>
        <v/>
      </c>
      <c r="AM87" s="264" t="str">
        <f>IFERROR(IF(tblPiNAnalysis[[#This Row],[Highest PiN]]="", "", IF(tblPiNAnalysis[[#This Row],[Highest sector(s'') PiN %]]&gt;=flag_pin_perc, "Flagged", "")), "")</f>
        <v/>
      </c>
      <c r="AN87" s="266" t="str" cm="1">
        <f t="array" ref="AN87">IF(tblPiNAnalysis[[#This Row],[Highest PiN]]=0, "",  IF(OR(COUNTIF(tblPiNAnalysis[[#This Row],[Highest sector(s)]],tblSubSectorPopulation[Sector])), "Flagged", ""))</f>
        <v/>
      </c>
      <c r="AO87" s="45" cm="1">
        <f t="array" ref="AO8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43253</v>
      </c>
      <c r="AP87" s="326" t="str" cm="1">
        <f t="array" ref="AP87">IF(tblPiNAnalysis[[#This Row],[2nd Highest PiN]]="", "", _xlfn.TEXTJOIN(CHAR(10), TRUE, IF(tblPiNAnalysis[[#This Row],[2nd Highest PiN]]=tblPiNAnalysis[[#This Row],[CCCM]:[WASH]], tblPiNAnalysis[[#Headers],[CCCM]:[WASH]], "")))</f>
        <v>Food Security</v>
      </c>
      <c r="AQ87" s="35">
        <f>IFERROR(tblPiNAnalysis[[#This Row],[2nd Highest PiN]]/tblPiNAnalysis[[#This Row],[Population]], "")</f>
        <v>0.54266357192146042</v>
      </c>
      <c r="AR87" s="45">
        <f>IFERROR(tblPiNAnalysis[[#This Row],[Highest PiN]]-tblPiNAnalysis[[#This Row],[2nd Highest PiN]], "")</f>
        <v>16525.75</v>
      </c>
      <c r="AS87" s="38">
        <f>IFERROR(((tblPiNAnalysis[[#This Row],[Highest PiN]]-tblPiNAnalysis[[#This Row],[2nd Highest PiN]])/tblPiNAnalysis[[#This Row],[2nd Highest PiN]]),"")</f>
        <v>0.38207176380829078</v>
      </c>
      <c r="AT87" s="269" t="str" cm="1">
        <f t="array" ref="AT8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7" s="327" cm="1">
        <f t="array" ref="AU8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39996</v>
      </c>
      <c r="AV87" s="186" t="str" cm="1">
        <f t="array" ref="AV87">IF(tblPiNAnalysis[[#This Row],[3rd Highest PiN]]="", "", _xlfn.TEXTJOIN(CHAR(10), TRUE, IF(tblPiNAnalysis[[#This Row],[3rd Highest PiN]]=tblPiNAnalysis[[#This Row],[CCCM]:[WASH]], tblPiNAnalysis[[#Headers],[CCCM]:[WASH]], "")))</f>
        <v>Shelter</v>
      </c>
      <c r="AW87" s="186">
        <f>IFERROR(tblPiNAnalysis[[#This Row],[3rd Highest PiN]]/tblPiNAnalysis[[#This Row],[Population]], "")</f>
        <v>0.50180038893419487</v>
      </c>
      <c r="AX87" s="44">
        <f>IFERROR(tblPiNAnalysis[[#This Row],[Highest PiN]]-tblPiNAnalysis[[#This Row],[3rd Highest PiN]],"")</f>
        <v>19782.75</v>
      </c>
      <c r="AY87" s="38">
        <f>IFERROR(tblPiNAnalysis[[#This Row],[Difference of PiN between Highest and 3rd Highest]]/tblPiNAnalysis[[#This Row],[3rd Highest PiN]], "")</f>
        <v>0.4946182118211821</v>
      </c>
      <c r="AZ87" s="325" t="str" cm="1">
        <f t="array" ref="AZ8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7" s="292" cm="1">
        <f t="array" ref="BA87">IFERROR(IF(tblPiNAnalysis[[#This Row],[ID]]="", "", INDEX(tblPiNHistorical[[CCCM]:[WASH]], MATCH(tblPiNAnalysis[[#This Row],[ID]],tblPiNHistorical[ID], 0),MATCH(_xlfn._xlws.FILTER(tblPiNAnalysis[[#Headers],[CCCM]:[WASH]], tblPiNAnalysis[[#This Row],[Highest PiN]]=tblPiNAnalysis[[#This Row],[CCCM]:[WASH]]), tblPiNHistorical[[#Headers],[CCCM]:[WASH]], 0))), "")</f>
        <v>1</v>
      </c>
      <c r="BB87" s="328" t="str" cm="1">
        <f t="array" ref="BB8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87" s="272" cm="1">
        <f t="array" ref="BC87">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87" s="329" t="str" cm="1">
        <f t="array" ref="BD8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7" s="371">
        <f>INDEX(tblSeverityAnalysis[Final Severity], MATCH(tblPiNAnalysis[[#This Row],[ID]],tblSeverityAnalysis[ID], 0))</f>
        <v>3</v>
      </c>
      <c r="BF87" s="60">
        <f>IF(tblPiNAnalysis[[#This Row],[Severity]]&gt;2,tblPiNAnalysis[[#This Row],[Highest PiN]],)</f>
        <v>59778.75</v>
      </c>
      <c r="BG87" s="187"/>
      <c r="BH87" s="188"/>
      <c r="BI87" s="189">
        <f>COUNTIFS(tblPiNAnalysis[[#This Row],[Number of missing / zero PiNs greater than threshold - Data quality]:[Manual Flag]],"Flagged")</f>
        <v>1</v>
      </c>
      <c r="BJ87" s="346" t="str">
        <f>IF(tblPiNAnalysis[[#This Row],['# Flags]]&gt;0, "Flagged", "")</f>
        <v>Flagged</v>
      </c>
      <c r="BK87" s="339">
        <f>tblPiNAnalysis[[#This Row],[Preliminary PiN]]</f>
        <v>59778.75</v>
      </c>
      <c r="BL87" s="326"/>
      <c r="BM87" s="383">
        <f>IF(OR(tblPiNAnalysis[[#This Row],[Severity]]=4,tblPiNAnalysis[[#This Row],[Severity]]=5),tblPiNAnalysis[[#This Row],[Final PiN]],0)</f>
        <v>0</v>
      </c>
      <c r="BN87" s="378">
        <f>IF(OR(tblPiNAnalysis[[#This Row],[Severity]]=4,tblPiNAnalysis[[#This Row],[Severity]]=5),100%, IF(tblPiNAnalysis[[#This Row],[Severity]]=3,50%,0%))*tblPiNAnalysis[[#This Row],[Final PiN]]</f>
        <v>29889.375</v>
      </c>
      <c r="BO87" s="383">
        <f>IF(OR(tblPiNAnalysis[[#This Row],[Severity]]=4,tblPiNAnalysis[[#This Row],[Severity]]=5),100%, IF(AND(tblPiNAnalysis[[#This Row],[Severity]]=3,VLOOKUP(tblPiNAnalysis[[#This Row],[ID]],tblSeverityAnalysis[[ID]:[Highest Severity]],35,FALSE)&gt;3),50%,0%))*tblPiNAnalysis[[#This Row],[Final PiN]]</f>
        <v>29889.375</v>
      </c>
    </row>
    <row r="88" spans="1:67" hidden="1">
      <c r="A8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Global_PopulationHT0631</v>
      </c>
      <c r="B88" s="304" t="s">
        <v>319</v>
      </c>
      <c r="C88" s="213" t="s">
        <v>320</v>
      </c>
      <c r="D88" s="213" t="s">
        <v>335</v>
      </c>
      <c r="E88" s="103" t="s">
        <v>336</v>
      </c>
      <c r="F88" s="99"/>
      <c r="G88" s="34"/>
      <c r="H88" s="357"/>
      <c r="I88" s="354">
        <v>65198</v>
      </c>
      <c r="J88" s="221" t="s">
        <v>156</v>
      </c>
      <c r="K88" s="316">
        <v>8235</v>
      </c>
      <c r="L88" s="308">
        <v>12816</v>
      </c>
      <c r="M88" s="308">
        <v>5482</v>
      </c>
      <c r="N88" s="308">
        <v>35415</v>
      </c>
      <c r="O88" s="308">
        <v>40915.644261202186</v>
      </c>
      <c r="P88" s="308">
        <v>19549.5</v>
      </c>
      <c r="Q88" s="309">
        <v>26155</v>
      </c>
      <c r="R88" s="308">
        <v>24449.25</v>
      </c>
      <c r="S88" s="308"/>
      <c r="T88" s="308"/>
      <c r="U88" s="308"/>
      <c r="V88" s="308"/>
      <c r="W88" s="317">
        <f>IFERROR(IF(tblPiNAnalysis[[#This Row],[CCCM]]="", "", MROUND(tblPiNAnalysis[[#This Row],[CCCM]]/tblPiNAnalysis[[#This Row],[Population]], 0.05)), "")</f>
        <v>0.15000000000000002</v>
      </c>
      <c r="X88" s="318">
        <f>IFERROR(IF(tblPiNAnalysis[[#This Row],[Education]]="", "", MROUND(tblPiNAnalysis[[#This Row],[Education]]/tblPiNAnalysis[[#This Row],[Population]], 0.05)), "")</f>
        <v>0.2</v>
      </c>
      <c r="Y88" s="318">
        <f>IFERROR(IF(tblPiNAnalysis[[#This Row],[Nutrition]]="", "", MROUND(tblPiNAnalysis[[#This Row],[Nutrition]]/tblPiNAnalysis[[#This Row],[Population]], 0.05)), "")</f>
        <v>0.1</v>
      </c>
      <c r="Z88" s="318">
        <f>IFERROR(IF(tblPiNAnalysis[[#This Row],[Food Security]]="", "", MROUND(tblPiNAnalysis[[#This Row],[Food Security]]/tblPiNAnalysis[[#This Row],[Population]], 0.05)), "")</f>
        <v>0.55000000000000004</v>
      </c>
      <c r="AA88" s="318">
        <f>IFERROR(IF(tblPiNAnalysis[[#This Row],[Health]]="", "", MROUND(tblPiNAnalysis[[#This Row],[Health]]/tblPiNAnalysis[[#This Row],[Population]], 0.05)), "")</f>
        <v>0.65</v>
      </c>
      <c r="AB88" s="319">
        <f>IFERROR(IF(tblPiNAnalysis[[#This Row],[Protection]]="", "", MROUND(tblPiNAnalysis[[#This Row],[Protection]]/tblPiNAnalysis[[#This Row],[Population]], 0.05)), "")</f>
        <v>0.30000000000000004</v>
      </c>
      <c r="AC88" s="319">
        <f>IFERROR(IF(tblPiNAnalysis[[#This Row],[Shelter]]="", "", MROUND(tblPiNAnalysis[[#This Row],[Shelter]]/tblPiNAnalysis[[#This Row],[Population]], 0.05)), "")</f>
        <v>0.4</v>
      </c>
      <c r="AD88" s="320">
        <f>IFERROR(IF(tblPiNAnalysis[[#This Row],[WASH]]="", "", MROUND(tblPiNAnalysis[[#This Row],[WASH]]/tblPiNAnalysis[[#This Row],[Population]], 0.05)), "")</f>
        <v>0.4</v>
      </c>
      <c r="AE88" s="318">
        <f>IFERROR(MROUND(tblPiNAnalysis[[#This Row],[CP]]/tblPiNAnalysis[[#This Row],[Population]], 0.05), "")</f>
        <v>0</v>
      </c>
      <c r="AF88" s="318">
        <f>IFERROR(MROUND(tblPiNAnalysis[[#This Row],[GBV]]/tblPiNAnalysis[[#This Row],[Population]], 0.05), "")</f>
        <v>0</v>
      </c>
      <c r="AG88" s="318">
        <f>IFERROR(MROUND(tblPiNAnalysis[[#This Row],[Migrants]]/tblPiNAnalysis[[#This Row],[Population]], 0.05), "")</f>
        <v>0</v>
      </c>
      <c r="AH88" s="318">
        <f>IFERROR(MROUND(tblPiNAnalysis[[#This Row],[_]]/tblPiNAnalysis[[#This Row],[Population]], 0.05), "")</f>
        <v>0</v>
      </c>
      <c r="AI88" s="321">
        <f>IFERROR(LARGE(tblPiNAnalysis[[#This Row],[CCCM]:[WASH]], 1), "")</f>
        <v>40915.644261202186</v>
      </c>
      <c r="AJ88" s="322" t="str" cm="1">
        <f t="array" ref="AJ88">IF(tblPiNAnalysis[[#This Row],[Highest PiN]]="", "", _xlfn.TEXTJOIN(CHAR(10), TRUE, IF(tblPiNAnalysis[[#This Row],[Highest PiN]]=tblPiNAnalysis[[#This Row],[CCCM]:[WASH]], tblPiNAnalysis[[#Headers],[CCCM]:[WASH]], "")))</f>
        <v>Health</v>
      </c>
      <c r="AK88" s="323">
        <f>IF(tblPiNAnalysis[[#This Row],[Highest PiN]]="", "", tblPiNAnalysis[[#This Row],[Highest PiN]]/tblPiNAnalysis[[#This Row],[Population]])</f>
        <v>0.62755980645421927</v>
      </c>
      <c r="AL88" s="265" t="str">
        <f>IF(SUM(tblPiNAnalysis[[#This Row],[CCCM]:[WASH]])=0, "",IF(COUNTIF(tblPiNAnalysis[[#This Row],[CCCM]:[WASH]],"=0")+COUNTIF(tblPiNAnalysis[[#This Row],[CCCM]:[WASH]],"")&gt;=zero_pin_thresh, "Flagged", ""))</f>
        <v/>
      </c>
      <c r="AM88" s="264" t="str">
        <f>IFERROR(IF(tblPiNAnalysis[[#This Row],[Highest PiN]]="", "", IF(tblPiNAnalysis[[#This Row],[Highest sector(s'') PiN %]]&gt;=flag_pin_perc, "Flagged", "")), "")</f>
        <v/>
      </c>
      <c r="AN88" s="266" t="str" cm="1">
        <f t="array" ref="AN88">IF(tblPiNAnalysis[[#This Row],[Highest PiN]]=0, "",  IF(OR(COUNTIF(tblPiNAnalysis[[#This Row],[Highest sector(s)]],tblSubSectorPopulation[Sector])), "Flagged", ""))</f>
        <v/>
      </c>
      <c r="AO88" s="45" cm="1">
        <f t="array" ref="AO8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35415</v>
      </c>
      <c r="AP88" s="326" t="str" cm="1">
        <f t="array" ref="AP88">IF(tblPiNAnalysis[[#This Row],[2nd Highest PiN]]="", "", _xlfn.TEXTJOIN(CHAR(10), TRUE, IF(tblPiNAnalysis[[#This Row],[2nd Highest PiN]]=tblPiNAnalysis[[#This Row],[CCCM]:[WASH]], tblPiNAnalysis[[#Headers],[CCCM]:[WASH]], "")))</f>
        <v>Food Security</v>
      </c>
      <c r="AQ88" s="35">
        <f>IFERROR(tblPiNAnalysis[[#This Row],[2nd Highest PiN]]/tblPiNAnalysis[[#This Row],[Population]], "")</f>
        <v>0.54319150894199209</v>
      </c>
      <c r="AR88" s="45">
        <f>IFERROR(tblPiNAnalysis[[#This Row],[Highest PiN]]-tblPiNAnalysis[[#This Row],[2nd Highest PiN]], "")</f>
        <v>5500.6442612021856</v>
      </c>
      <c r="AS88" s="38">
        <f>IFERROR(((tblPiNAnalysis[[#This Row],[Highest PiN]]-tblPiNAnalysis[[#This Row],[2nd Highest PiN]])/tblPiNAnalysis[[#This Row],[2nd Highest PiN]]),"")</f>
        <v>0.15531961771007161</v>
      </c>
      <c r="AT88" s="269" t="str" cm="1">
        <f t="array" ref="AT8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8" s="327" cm="1">
        <f t="array" ref="AU8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26155</v>
      </c>
      <c r="AV88" s="186" t="str" cm="1">
        <f t="array" ref="AV88">IF(tblPiNAnalysis[[#This Row],[3rd Highest PiN]]="", "", _xlfn.TEXTJOIN(CHAR(10), TRUE, IF(tblPiNAnalysis[[#This Row],[3rd Highest PiN]]=tblPiNAnalysis[[#This Row],[CCCM]:[WASH]], tblPiNAnalysis[[#Headers],[CCCM]:[WASH]], "")))</f>
        <v>Shelter</v>
      </c>
      <c r="AW88" s="186">
        <f>IFERROR(tblPiNAnalysis[[#This Row],[3rd Highest PiN]]/tblPiNAnalysis[[#This Row],[Population]], "")</f>
        <v>0.40116261235007211</v>
      </c>
      <c r="AX88" s="44">
        <f>IFERROR(tblPiNAnalysis[[#This Row],[Highest PiN]]-tblPiNAnalysis[[#This Row],[3rd Highest PiN]],"")</f>
        <v>14760.644261202186</v>
      </c>
      <c r="AY88" s="38">
        <f>IFERROR(tblPiNAnalysis[[#This Row],[Difference of PiN between Highest and 3rd Highest]]/tblPiNAnalysis[[#This Row],[3rd Highest PiN]], "")</f>
        <v>0.5643526767808138</v>
      </c>
      <c r="AZ88" s="325" t="str" cm="1">
        <f t="array" ref="AZ8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8" s="292" cm="1">
        <f t="array" ref="BA88">IFERROR(IF(tblPiNAnalysis[[#This Row],[ID]]="", "", INDEX(tblPiNHistorical[[CCCM]:[WASH]], MATCH(tblPiNAnalysis[[#This Row],[ID]],tblPiNHistorical[ID], 0),MATCH(_xlfn._xlws.FILTER(tblPiNAnalysis[[#Headers],[CCCM]:[WASH]], tblPiNAnalysis[[#This Row],[Highest PiN]]=tblPiNAnalysis[[#This Row],[CCCM]:[WASH]]), tblPiNHistorical[[#Headers],[CCCM]:[WASH]], 0))), "")</f>
        <v>0.3</v>
      </c>
      <c r="BB88" s="328" t="str" cm="1">
        <f t="array" ref="BB8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8" s="272" cm="1">
        <f t="array" ref="BC88">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88" s="329" t="str" cm="1">
        <f t="array" ref="BD8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88" s="371">
        <f>INDEX(tblSeverityAnalysis[Final Severity], MATCH(tblPiNAnalysis[[#This Row],[ID]],tblSeverityAnalysis[ID], 0))</f>
        <v>4</v>
      </c>
      <c r="BF88" s="60">
        <f>IF(tblPiNAnalysis[[#This Row],[Severity]]&gt;2,tblPiNAnalysis[[#This Row],[Highest PiN]],)</f>
        <v>40915.644261202186</v>
      </c>
      <c r="BG88" s="187"/>
      <c r="BH88" s="188"/>
      <c r="BI88" s="189">
        <f>COUNTIFS(tblPiNAnalysis[[#This Row],[Number of missing / zero PiNs greater than threshold - Data quality]:[Manual Flag]],"Flagged")</f>
        <v>0</v>
      </c>
      <c r="BJ88" s="346" t="str">
        <f>IF(tblPiNAnalysis[[#This Row],['# Flags]]&gt;0, "Flagged", "")</f>
        <v/>
      </c>
      <c r="BK88" s="339">
        <f>tblPiNAnalysis[[#This Row],[Preliminary PiN]]</f>
        <v>40915.644261202186</v>
      </c>
      <c r="BL88" s="326"/>
      <c r="BM88" s="383">
        <f>IF(OR(tblPiNAnalysis[[#This Row],[Severity]]=4,tblPiNAnalysis[[#This Row],[Severity]]=5),tblPiNAnalysis[[#This Row],[Final PiN]],0)</f>
        <v>40915.644261202186</v>
      </c>
      <c r="BN88" s="378">
        <f>IF(OR(tblPiNAnalysis[[#This Row],[Severity]]=4,tblPiNAnalysis[[#This Row],[Severity]]=5),100%, IF(tblPiNAnalysis[[#This Row],[Severity]]=3,50%,0%))*tblPiNAnalysis[[#This Row],[Final PiN]]</f>
        <v>40915.644261202186</v>
      </c>
      <c r="BO88" s="383">
        <f>IF(OR(tblPiNAnalysis[[#This Row],[Severity]]=4,tblPiNAnalysis[[#This Row],[Severity]]=5),100%, IF(AND(tblPiNAnalysis[[#This Row],[Severity]]=3,VLOOKUP(tblPiNAnalysis[[#This Row],[ID]],tblSeverityAnalysis[[ID]:[Highest Severity]],35,FALSE)&gt;3),50%,0%))*tblPiNAnalysis[[#This Row],[Final PiN]]</f>
        <v>40915.644261202186</v>
      </c>
    </row>
    <row r="89" spans="1:67" hidden="1">
      <c r="A8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Global_PopulationHT0632</v>
      </c>
      <c r="B89" s="304" t="s">
        <v>319</v>
      </c>
      <c r="C89" s="213" t="s">
        <v>320</v>
      </c>
      <c r="D89" s="213" t="s">
        <v>337</v>
      </c>
      <c r="E89" s="103" t="s">
        <v>338</v>
      </c>
      <c r="F89" s="99"/>
      <c r="G89" s="34"/>
      <c r="H89" s="357"/>
      <c r="I89" s="354">
        <v>123067</v>
      </c>
      <c r="J89" s="221" t="s">
        <v>156</v>
      </c>
      <c r="K89" s="316">
        <v>165361.5</v>
      </c>
      <c r="L89" s="308">
        <v>23811</v>
      </c>
      <c r="M89" s="308">
        <v>17891</v>
      </c>
      <c r="N89" s="308">
        <v>66866</v>
      </c>
      <c r="O89" s="308">
        <v>175306.74852968712</v>
      </c>
      <c r="P89" s="308">
        <v>220698.15</v>
      </c>
      <c r="Q89" s="309">
        <v>85526</v>
      </c>
      <c r="R89" s="308">
        <v>110241</v>
      </c>
      <c r="S89" s="308"/>
      <c r="T89" s="308"/>
      <c r="U89" s="308"/>
      <c r="V89" s="308"/>
      <c r="W89" s="317">
        <f>IFERROR(IF(tblPiNAnalysis[[#This Row],[CCCM]]="", "", MROUND(tblPiNAnalysis[[#This Row],[CCCM]]/tblPiNAnalysis[[#This Row],[Population]], 0.05)), "")</f>
        <v>1.35</v>
      </c>
      <c r="X89" s="318">
        <f>IFERROR(IF(tblPiNAnalysis[[#This Row],[Education]]="", "", MROUND(tblPiNAnalysis[[#This Row],[Education]]/tblPiNAnalysis[[#This Row],[Population]], 0.05)), "")</f>
        <v>0.2</v>
      </c>
      <c r="Y89" s="318">
        <f>IFERROR(IF(tblPiNAnalysis[[#This Row],[Nutrition]]="", "", MROUND(tblPiNAnalysis[[#This Row],[Nutrition]]/tblPiNAnalysis[[#This Row],[Population]], 0.05)), "")</f>
        <v>0.15000000000000002</v>
      </c>
      <c r="Z89" s="318">
        <f>IFERROR(IF(tblPiNAnalysis[[#This Row],[Food Security]]="", "", MROUND(tblPiNAnalysis[[#This Row],[Food Security]]/tblPiNAnalysis[[#This Row],[Population]], 0.05)), "")</f>
        <v>0.55000000000000004</v>
      </c>
      <c r="AA89" s="318">
        <f>IFERROR(IF(tblPiNAnalysis[[#This Row],[Health]]="", "", MROUND(tblPiNAnalysis[[#This Row],[Health]]/tblPiNAnalysis[[#This Row],[Population]], 0.05)), "")</f>
        <v>1.4000000000000001</v>
      </c>
      <c r="AB89" s="319">
        <f>IFERROR(IF(tblPiNAnalysis[[#This Row],[Protection]]="", "", MROUND(tblPiNAnalysis[[#This Row],[Protection]]/tblPiNAnalysis[[#This Row],[Population]], 0.05)), "")</f>
        <v>1.8</v>
      </c>
      <c r="AC89" s="319">
        <f>IFERROR(IF(tblPiNAnalysis[[#This Row],[Shelter]]="", "", MROUND(tblPiNAnalysis[[#This Row],[Shelter]]/tblPiNAnalysis[[#This Row],[Population]], 0.05)), "")</f>
        <v>0.70000000000000007</v>
      </c>
      <c r="AD89" s="320">
        <f>IFERROR(IF(tblPiNAnalysis[[#This Row],[WASH]]="", "", MROUND(tblPiNAnalysis[[#This Row],[WASH]]/tblPiNAnalysis[[#This Row],[Population]], 0.05)), "")</f>
        <v>0.9</v>
      </c>
      <c r="AE89" s="318">
        <f>IFERROR(MROUND(tblPiNAnalysis[[#This Row],[CP]]/tblPiNAnalysis[[#This Row],[Population]], 0.05), "")</f>
        <v>0</v>
      </c>
      <c r="AF89" s="318">
        <f>IFERROR(MROUND(tblPiNAnalysis[[#This Row],[GBV]]/tblPiNAnalysis[[#This Row],[Population]], 0.05), "")</f>
        <v>0</v>
      </c>
      <c r="AG89" s="318">
        <f>IFERROR(MROUND(tblPiNAnalysis[[#This Row],[Migrants]]/tblPiNAnalysis[[#This Row],[Population]], 0.05), "")</f>
        <v>0</v>
      </c>
      <c r="AH89" s="318">
        <f>IFERROR(MROUND(tblPiNAnalysis[[#This Row],[_]]/tblPiNAnalysis[[#This Row],[Population]], 0.05), "")</f>
        <v>0</v>
      </c>
      <c r="AI89" s="321">
        <f>IFERROR(LARGE(tblPiNAnalysis[[#This Row],[CCCM]:[WASH]], 1), "")</f>
        <v>220698.15</v>
      </c>
      <c r="AJ89" s="322" t="str" cm="1">
        <f t="array" ref="AJ89">IF(tblPiNAnalysis[[#This Row],[Highest PiN]]="", "", _xlfn.TEXTJOIN(CHAR(10), TRUE, IF(tblPiNAnalysis[[#This Row],[Highest PiN]]=tblPiNAnalysis[[#This Row],[CCCM]:[WASH]], tblPiNAnalysis[[#Headers],[CCCM]:[WASH]], "")))</f>
        <v>Protection</v>
      </c>
      <c r="AK89" s="323">
        <f>IF(tblPiNAnalysis[[#This Row],[Highest PiN]]="", "", tblPiNAnalysis[[#This Row],[Highest PiN]]/tblPiNAnalysis[[#This Row],[Population]])</f>
        <v>1.7933170549375543</v>
      </c>
      <c r="AL89" s="265" t="str">
        <f>IF(SUM(tblPiNAnalysis[[#This Row],[CCCM]:[WASH]])=0, "",IF(COUNTIF(tblPiNAnalysis[[#This Row],[CCCM]:[WASH]],"=0")+COUNTIF(tblPiNAnalysis[[#This Row],[CCCM]:[WASH]],"")&gt;=zero_pin_thresh, "Flagged", ""))</f>
        <v/>
      </c>
      <c r="AM89" s="264" t="str">
        <f>IFERROR(IF(tblPiNAnalysis[[#This Row],[Highest PiN]]="", "", IF(tblPiNAnalysis[[#This Row],[Highest sector(s'') PiN %]]&gt;=flag_pin_perc, "Flagged", "")), "")</f>
        <v>Flagged</v>
      </c>
      <c r="AN89" s="266" t="str" cm="1">
        <f t="array" ref="AN89">IF(tblPiNAnalysis[[#This Row],[Highest PiN]]=0, "",  IF(OR(COUNTIF(tblPiNAnalysis[[#This Row],[Highest sector(s)]],tblSubSectorPopulation[Sector])), "Flagged", ""))</f>
        <v/>
      </c>
      <c r="AO89" s="45" cm="1">
        <f t="array" ref="AO8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175306.74852968712</v>
      </c>
      <c r="AP89" s="326" t="str" cm="1">
        <f t="array" ref="AP89">IF(tblPiNAnalysis[[#This Row],[2nd Highest PiN]]="", "", _xlfn.TEXTJOIN(CHAR(10), TRUE, IF(tblPiNAnalysis[[#This Row],[2nd Highest PiN]]=tblPiNAnalysis[[#This Row],[CCCM]:[WASH]], tblPiNAnalysis[[#Headers],[CCCM]:[WASH]], "")))</f>
        <v>Health</v>
      </c>
      <c r="AQ89" s="35">
        <f>IFERROR(tblPiNAnalysis[[#This Row],[2nd Highest PiN]]/tblPiNAnalysis[[#This Row],[Population]], "")</f>
        <v>1.4244821806795251</v>
      </c>
      <c r="AR89" s="45">
        <f>IFERROR(tblPiNAnalysis[[#This Row],[Highest PiN]]-tblPiNAnalysis[[#This Row],[2nd Highest PiN]], "")</f>
        <v>45391.401470312878</v>
      </c>
      <c r="AS89" s="38">
        <f>IFERROR(((tblPiNAnalysis[[#This Row],[Highest PiN]]-tblPiNAnalysis[[#This Row],[2nd Highest PiN]])/tblPiNAnalysis[[#This Row],[2nd Highest PiN]]),"")</f>
        <v>0.25892557959698925</v>
      </c>
      <c r="AT89" s="269" t="str" cm="1">
        <f t="array" ref="AT8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89" s="327" cm="1">
        <f t="array" ref="AU8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165361.5</v>
      </c>
      <c r="AV89" s="186" t="str" cm="1">
        <f t="array" ref="AV89">IF(tblPiNAnalysis[[#This Row],[3rd Highest PiN]]="", "", _xlfn.TEXTJOIN(CHAR(10), TRUE, IF(tblPiNAnalysis[[#This Row],[3rd Highest PiN]]=tblPiNAnalysis[[#This Row],[CCCM]:[WASH]], tblPiNAnalysis[[#Headers],[CCCM]:[WASH]], "")))</f>
        <v>CCCM</v>
      </c>
      <c r="AW89" s="186">
        <f>IFERROR(tblPiNAnalysis[[#This Row],[3rd Highest PiN]]/tblPiNAnalysis[[#This Row],[Population]], "")</f>
        <v>1.3436705209357505</v>
      </c>
      <c r="AX89" s="44">
        <f>IFERROR(tblPiNAnalysis[[#This Row],[Highest PiN]]-tblPiNAnalysis[[#This Row],[3rd Highest PiN]],"")</f>
        <v>55336.649999999994</v>
      </c>
      <c r="AY89" s="38">
        <f>IFERROR(tblPiNAnalysis[[#This Row],[Difference of PiN between Highest and 3rd Highest]]/tblPiNAnalysis[[#This Row],[3rd Highest PiN]], "")</f>
        <v>0.33464046951678594</v>
      </c>
      <c r="AZ89" s="325" t="str" cm="1">
        <f t="array" ref="AZ8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89" s="292" t="str" cm="1">
        <f t="array" ref="BA89">IFERROR(IF(tblPiNAnalysis[[#This Row],[ID]]="", "", INDEX(tblPiNHistorical[[CCCM]:[WASH]], MATCH(tblPiNAnalysis[[#This Row],[ID]],tblPiNHistorical[ID], 0),MATCH(_xlfn._xlws.FILTER(tblPiNAnalysis[[#Headers],[CCCM]:[WASH]], tblPiNAnalysis[[#This Row],[Highest PiN]]=tblPiNAnalysis[[#This Row],[CCCM]:[WASH]]), tblPiNHistorical[[#Headers],[CCCM]:[WASH]], 0))), "")</f>
        <v/>
      </c>
      <c r="BB89" s="328" t="str" cm="1">
        <f t="array" ref="BB8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89" s="272" cm="1">
        <f t="array" ref="BC89">IFERROR(IF(tblPiNAnalysis[[#This Row],[ID]]="", "", INDEX(tblPiNHistorical[[CCCM]:[WASH]], MATCH(tblPiNAnalysis[[#This Row],[ID]],tblPiNHistorical[ID], 0),MATCH(_xlfn._xlws.FILTER(tblPiNAnalysis[[#Headers],[CCCM]:[WASH]], tblPiNAnalysis[[#This Row],[2nd Highest PiN]]=tblPiNAnalysis[[#This Row],[CCCM]:[WASH]]), tblPiNHistorical[[#Headers],[CCCM]:[WASH]], 0))), "")</f>
        <v>2.1</v>
      </c>
      <c r="BD89" s="329" t="str" cm="1">
        <f t="array" ref="BD8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89" s="371">
        <f>INDEX(tblSeverityAnalysis[Final Severity], MATCH(tblPiNAnalysis[[#This Row],[ID]],tblSeverityAnalysis[ID], 0))</f>
        <v>4</v>
      </c>
      <c r="BF89" s="60">
        <f>IF(tblPiNAnalysis[[#This Row],[Severity]]&gt;2,tblPiNAnalysis[[#This Row],[Highest PiN]],)</f>
        <v>220698.15</v>
      </c>
      <c r="BG89" s="187"/>
      <c r="BH89" s="188"/>
      <c r="BI89" s="189">
        <f>COUNTIFS(tblPiNAnalysis[[#This Row],[Number of missing / zero PiNs greater than threshold - Data quality]:[Manual Flag]],"Flagged")</f>
        <v>2</v>
      </c>
      <c r="BJ89" s="346" t="str">
        <f>IF(tblPiNAnalysis[[#This Row],['# Flags]]&gt;0, "Flagged", "")</f>
        <v>Flagged</v>
      </c>
      <c r="BK89" s="308">
        <v>175306.74852968712</v>
      </c>
      <c r="BL89" s="326" t="s">
        <v>157</v>
      </c>
      <c r="BM89" s="383">
        <f>IF(OR(tblPiNAnalysis[[#This Row],[Severity]]=4,tblPiNAnalysis[[#This Row],[Severity]]=5),tblPiNAnalysis[[#This Row],[Final PiN]],0)</f>
        <v>175306.74852968712</v>
      </c>
      <c r="BN89" s="378">
        <f>IF(OR(tblPiNAnalysis[[#This Row],[Severity]]=4,tblPiNAnalysis[[#This Row],[Severity]]=5),100%, IF(tblPiNAnalysis[[#This Row],[Severity]]=3,50%,0%))*tblPiNAnalysis[[#This Row],[Final PiN]]</f>
        <v>175306.74852968712</v>
      </c>
      <c r="BO89" s="383">
        <f>IF(OR(tblPiNAnalysis[[#This Row],[Severity]]=4,tblPiNAnalysis[[#This Row],[Severity]]=5),100%, IF(AND(tblPiNAnalysis[[#This Row],[Severity]]=3,VLOOKUP(tblPiNAnalysis[[#This Row],[ID]],tblSeverityAnalysis[[ID]:[Highest Severity]],35,FALSE)&gt;3),50%,0%))*tblPiNAnalysis[[#This Row],[Final PiN]]</f>
        <v>175306.74852968712</v>
      </c>
    </row>
    <row r="90" spans="1:67" hidden="1">
      <c r="A9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Global_PopulationHT0633</v>
      </c>
      <c r="B90" s="304" t="s">
        <v>319</v>
      </c>
      <c r="C90" s="213" t="s">
        <v>320</v>
      </c>
      <c r="D90" s="213" t="s">
        <v>339</v>
      </c>
      <c r="E90" s="103" t="s">
        <v>340</v>
      </c>
      <c r="F90" s="99"/>
      <c r="G90" s="34"/>
      <c r="H90" s="357"/>
      <c r="I90" s="354">
        <v>46902</v>
      </c>
      <c r="J90" s="221" t="s">
        <v>156</v>
      </c>
      <c r="K90" s="316">
        <v>7314</v>
      </c>
      <c r="L90" s="308">
        <v>7989</v>
      </c>
      <c r="M90" s="308">
        <v>4180</v>
      </c>
      <c r="N90" s="308">
        <v>27947</v>
      </c>
      <c r="O90" s="308">
        <v>7006.9163017227247</v>
      </c>
      <c r="P90" s="308">
        <v>10311.87875</v>
      </c>
      <c r="Q90" s="309">
        <v>25568</v>
      </c>
      <c r="R90" s="308">
        <v>23451</v>
      </c>
      <c r="S90" s="308"/>
      <c r="T90" s="308"/>
      <c r="U90" s="308"/>
      <c r="V90" s="308"/>
      <c r="W90" s="317">
        <f>IFERROR(IF(tblPiNAnalysis[[#This Row],[CCCM]]="", "", MROUND(tblPiNAnalysis[[#This Row],[CCCM]]/tblPiNAnalysis[[#This Row],[Population]], 0.05)), "")</f>
        <v>0.15000000000000002</v>
      </c>
      <c r="X90" s="318">
        <f>IFERROR(IF(tblPiNAnalysis[[#This Row],[Education]]="", "", MROUND(tblPiNAnalysis[[#This Row],[Education]]/tblPiNAnalysis[[#This Row],[Population]], 0.05)), "")</f>
        <v>0.15000000000000002</v>
      </c>
      <c r="Y90" s="318">
        <f>IFERROR(IF(tblPiNAnalysis[[#This Row],[Nutrition]]="", "", MROUND(tblPiNAnalysis[[#This Row],[Nutrition]]/tblPiNAnalysis[[#This Row],[Population]], 0.05)), "")</f>
        <v>0.1</v>
      </c>
      <c r="Z90" s="318">
        <f>IFERROR(IF(tblPiNAnalysis[[#This Row],[Food Security]]="", "", MROUND(tblPiNAnalysis[[#This Row],[Food Security]]/tblPiNAnalysis[[#This Row],[Population]], 0.05)), "")</f>
        <v>0.60000000000000009</v>
      </c>
      <c r="AA90" s="318">
        <f>IFERROR(IF(tblPiNAnalysis[[#This Row],[Health]]="", "", MROUND(tblPiNAnalysis[[#This Row],[Health]]/tblPiNAnalysis[[#This Row],[Population]], 0.05)), "")</f>
        <v>0.15000000000000002</v>
      </c>
      <c r="AB90" s="319">
        <f>IFERROR(IF(tblPiNAnalysis[[#This Row],[Protection]]="", "", MROUND(tblPiNAnalysis[[#This Row],[Protection]]/tblPiNAnalysis[[#This Row],[Population]], 0.05)), "")</f>
        <v>0.2</v>
      </c>
      <c r="AC90" s="319">
        <f>IFERROR(IF(tblPiNAnalysis[[#This Row],[Shelter]]="", "", MROUND(tblPiNAnalysis[[#This Row],[Shelter]]/tblPiNAnalysis[[#This Row],[Population]], 0.05)), "")</f>
        <v>0.55000000000000004</v>
      </c>
      <c r="AD90" s="320">
        <f>IFERROR(IF(tblPiNAnalysis[[#This Row],[WASH]]="", "", MROUND(tblPiNAnalysis[[#This Row],[WASH]]/tblPiNAnalysis[[#This Row],[Population]], 0.05)), "")</f>
        <v>0.5</v>
      </c>
      <c r="AE90" s="318">
        <f>IFERROR(MROUND(tblPiNAnalysis[[#This Row],[CP]]/tblPiNAnalysis[[#This Row],[Population]], 0.05), "")</f>
        <v>0</v>
      </c>
      <c r="AF90" s="318">
        <f>IFERROR(MROUND(tblPiNAnalysis[[#This Row],[GBV]]/tblPiNAnalysis[[#This Row],[Population]], 0.05), "")</f>
        <v>0</v>
      </c>
      <c r="AG90" s="318">
        <f>IFERROR(MROUND(tblPiNAnalysis[[#This Row],[Migrants]]/tblPiNAnalysis[[#This Row],[Population]], 0.05), "")</f>
        <v>0</v>
      </c>
      <c r="AH90" s="318">
        <f>IFERROR(MROUND(tblPiNAnalysis[[#This Row],[_]]/tblPiNAnalysis[[#This Row],[Population]], 0.05), "")</f>
        <v>0</v>
      </c>
      <c r="AI90" s="321">
        <f>IFERROR(LARGE(tblPiNAnalysis[[#This Row],[CCCM]:[WASH]], 1), "")</f>
        <v>27947</v>
      </c>
      <c r="AJ90" s="322" t="str" cm="1">
        <f t="array" ref="AJ90">IF(tblPiNAnalysis[[#This Row],[Highest PiN]]="", "", _xlfn.TEXTJOIN(CHAR(10), TRUE, IF(tblPiNAnalysis[[#This Row],[Highest PiN]]=tblPiNAnalysis[[#This Row],[CCCM]:[WASH]], tblPiNAnalysis[[#Headers],[CCCM]:[WASH]], "")))</f>
        <v>Food Security</v>
      </c>
      <c r="AK90" s="323">
        <f>IF(tblPiNAnalysis[[#This Row],[Highest PiN]]="", "", tblPiNAnalysis[[#This Row],[Highest PiN]]/tblPiNAnalysis[[#This Row],[Population]])</f>
        <v>0.59585945162253207</v>
      </c>
      <c r="AL90" s="265" t="str">
        <f>IF(SUM(tblPiNAnalysis[[#This Row],[CCCM]:[WASH]])=0, "",IF(COUNTIF(tblPiNAnalysis[[#This Row],[CCCM]:[WASH]],"=0")+COUNTIF(tblPiNAnalysis[[#This Row],[CCCM]:[WASH]],"")&gt;=zero_pin_thresh, "Flagged", ""))</f>
        <v/>
      </c>
      <c r="AM90" s="264" t="str">
        <f>IFERROR(IF(tblPiNAnalysis[[#This Row],[Highest PiN]]="", "", IF(tblPiNAnalysis[[#This Row],[Highest sector(s'') PiN %]]&gt;=flag_pin_perc, "Flagged", "")), "")</f>
        <v/>
      </c>
      <c r="AN90" s="266" t="str" cm="1">
        <f t="array" ref="AN90">IF(tblPiNAnalysis[[#This Row],[Highest PiN]]=0, "",  IF(OR(COUNTIF(tblPiNAnalysis[[#This Row],[Highest sector(s)]],tblSubSectorPopulation[Sector])), "Flagged", ""))</f>
        <v/>
      </c>
      <c r="AO90" s="45" cm="1">
        <f t="array" ref="AO9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25568</v>
      </c>
      <c r="AP90" s="326" t="str" cm="1">
        <f t="array" ref="AP90">IF(tblPiNAnalysis[[#This Row],[2nd Highest PiN]]="", "", _xlfn.TEXTJOIN(CHAR(10), TRUE, IF(tblPiNAnalysis[[#This Row],[2nd Highest PiN]]=tblPiNAnalysis[[#This Row],[CCCM]:[WASH]], tblPiNAnalysis[[#Headers],[CCCM]:[WASH]], "")))</f>
        <v>Shelter</v>
      </c>
      <c r="AQ90" s="35">
        <f>IFERROR(tblPiNAnalysis[[#This Row],[2nd Highest PiN]]/tblPiNAnalysis[[#This Row],[Population]], "")</f>
        <v>0.54513666794592985</v>
      </c>
      <c r="AR90" s="45">
        <f>IFERROR(tblPiNAnalysis[[#This Row],[Highest PiN]]-tblPiNAnalysis[[#This Row],[2nd Highest PiN]], "")</f>
        <v>2379</v>
      </c>
      <c r="AS90" s="38">
        <f>IFERROR(((tblPiNAnalysis[[#This Row],[Highest PiN]]-tblPiNAnalysis[[#This Row],[2nd Highest PiN]])/tblPiNAnalysis[[#This Row],[2nd Highest PiN]]),"")</f>
        <v>9.3045994993742179E-2</v>
      </c>
      <c r="AT90" s="269" t="str" cm="1">
        <f t="array" ref="AT9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0" s="327" cm="1">
        <f t="array" ref="AU9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23451</v>
      </c>
      <c r="AV90" s="186" t="str" cm="1">
        <f t="array" ref="AV90">IF(tblPiNAnalysis[[#This Row],[3rd Highest PiN]]="", "", _xlfn.TEXTJOIN(CHAR(10), TRUE, IF(tblPiNAnalysis[[#This Row],[3rd Highest PiN]]=tblPiNAnalysis[[#This Row],[CCCM]:[WASH]], tblPiNAnalysis[[#Headers],[CCCM]:[WASH]], "")))</f>
        <v>WASH</v>
      </c>
      <c r="AW90" s="186">
        <f>IFERROR(tblPiNAnalysis[[#This Row],[3rd Highest PiN]]/tblPiNAnalysis[[#This Row],[Population]], "")</f>
        <v>0.5</v>
      </c>
      <c r="AX90" s="44">
        <f>IFERROR(tblPiNAnalysis[[#This Row],[Highest PiN]]-tblPiNAnalysis[[#This Row],[3rd Highest PiN]],"")</f>
        <v>4496</v>
      </c>
      <c r="AY90" s="38">
        <f>IFERROR(tblPiNAnalysis[[#This Row],[Difference of PiN between Highest and 3rd Highest]]/tblPiNAnalysis[[#This Row],[3rd Highest PiN]], "")</f>
        <v>0.19171890324506419</v>
      </c>
      <c r="AZ90" s="325" t="str" cm="1">
        <f t="array" ref="AZ9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0" s="292" cm="1">
        <f t="array" ref="BA90">IFERROR(IF(tblPiNAnalysis[[#This Row],[ID]]="", "", INDEX(tblPiNHistorical[[CCCM]:[WASH]], MATCH(tblPiNAnalysis[[#This Row],[ID]],tblPiNHistorical[ID], 0),MATCH(_xlfn._xlws.FILTER(tblPiNAnalysis[[#Headers],[CCCM]:[WASH]], tblPiNAnalysis[[#This Row],[Highest PiN]]=tblPiNAnalysis[[#This Row],[CCCM]:[WASH]]), tblPiNHistorical[[#Headers],[CCCM]:[WASH]], 0))), "")</f>
        <v>0.4</v>
      </c>
      <c r="BB90" s="328" t="str" cm="1">
        <f t="array" ref="BB9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0" s="272" cm="1">
        <f t="array" ref="BC90">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90" s="329" t="str" cm="1">
        <f t="array" ref="BD9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0" s="371">
        <f>INDEX(tblSeverityAnalysis[Final Severity], MATCH(tblPiNAnalysis[[#This Row],[ID]],tblSeverityAnalysis[ID], 0))</f>
        <v>3</v>
      </c>
      <c r="BF90" s="60">
        <f>IF(tblPiNAnalysis[[#This Row],[Severity]]&gt;2,tblPiNAnalysis[[#This Row],[Highest PiN]],)</f>
        <v>27947</v>
      </c>
      <c r="BG90" s="187"/>
      <c r="BH90" s="188"/>
      <c r="BI90" s="189">
        <f>COUNTIFS(tblPiNAnalysis[[#This Row],[Number of missing / zero PiNs greater than threshold - Data quality]:[Manual Flag]],"Flagged")</f>
        <v>0</v>
      </c>
      <c r="BJ90" s="346" t="str">
        <f>IF(tblPiNAnalysis[[#This Row],['# Flags]]&gt;0, "Flagged", "")</f>
        <v/>
      </c>
      <c r="BK90" s="339">
        <f>tblPiNAnalysis[[#This Row],[Preliminary PiN]]</f>
        <v>27947</v>
      </c>
      <c r="BL90" s="326"/>
      <c r="BM90" s="383">
        <f>IF(OR(tblPiNAnalysis[[#This Row],[Severity]]=4,tblPiNAnalysis[[#This Row],[Severity]]=5),tblPiNAnalysis[[#This Row],[Final PiN]],0)</f>
        <v>0</v>
      </c>
      <c r="BN90" s="378">
        <f>IF(OR(tblPiNAnalysis[[#This Row],[Severity]]=4,tblPiNAnalysis[[#This Row],[Severity]]=5),100%, IF(tblPiNAnalysis[[#This Row],[Severity]]=3,50%,0%))*tblPiNAnalysis[[#This Row],[Final PiN]]</f>
        <v>13973.5</v>
      </c>
      <c r="BO90" s="383">
        <f>IF(OR(tblPiNAnalysis[[#This Row],[Severity]]=4,tblPiNAnalysis[[#This Row],[Severity]]=5),100%, IF(AND(tblPiNAnalysis[[#This Row],[Severity]]=3,VLOOKUP(tblPiNAnalysis[[#This Row],[ID]],tblSeverityAnalysis[[ID]:[Highest Severity]],35,FALSE)&gt;3),50%,0%))*tblPiNAnalysis[[#This Row],[Final PiN]]</f>
        <v>13973.5</v>
      </c>
    </row>
    <row r="91" spans="1:67" hidden="1">
      <c r="A9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Global_PopulationHT0641</v>
      </c>
      <c r="B91" s="304" t="s">
        <v>319</v>
      </c>
      <c r="C91" s="213" t="s">
        <v>320</v>
      </c>
      <c r="D91" s="213" t="s">
        <v>341</v>
      </c>
      <c r="E91" s="103" t="s">
        <v>342</v>
      </c>
      <c r="F91" s="99"/>
      <c r="G91" s="34"/>
      <c r="H91" s="357"/>
      <c r="I91" s="354">
        <v>73041</v>
      </c>
      <c r="J91" s="221" t="s">
        <v>156</v>
      </c>
      <c r="K91" s="316">
        <v>1032</v>
      </c>
      <c r="L91" s="308">
        <v>15004</v>
      </c>
      <c r="M91" s="308">
        <v>5736</v>
      </c>
      <c r="N91" s="308">
        <v>36370</v>
      </c>
      <c r="O91" s="308">
        <v>1524.398023255814</v>
      </c>
      <c r="P91" s="308">
        <v>3050</v>
      </c>
      <c r="Q91" s="309">
        <v>44281</v>
      </c>
      <c r="R91" s="308">
        <v>6086.75</v>
      </c>
      <c r="S91" s="308"/>
      <c r="T91" s="308"/>
      <c r="U91" s="308"/>
      <c r="V91" s="308"/>
      <c r="W91" s="317">
        <f>IFERROR(IF(tblPiNAnalysis[[#This Row],[CCCM]]="", "", MROUND(tblPiNAnalysis[[#This Row],[CCCM]]/tblPiNAnalysis[[#This Row],[Population]], 0.05)), "")</f>
        <v>0</v>
      </c>
      <c r="X91" s="318">
        <f>IFERROR(IF(tblPiNAnalysis[[#This Row],[Education]]="", "", MROUND(tblPiNAnalysis[[#This Row],[Education]]/tblPiNAnalysis[[#This Row],[Population]], 0.05)), "")</f>
        <v>0.2</v>
      </c>
      <c r="Y91" s="318">
        <f>IFERROR(IF(tblPiNAnalysis[[#This Row],[Nutrition]]="", "", MROUND(tblPiNAnalysis[[#This Row],[Nutrition]]/tblPiNAnalysis[[#This Row],[Population]], 0.05)), "")</f>
        <v>0.1</v>
      </c>
      <c r="Z91" s="318">
        <f>IFERROR(IF(tblPiNAnalysis[[#This Row],[Food Security]]="", "", MROUND(tblPiNAnalysis[[#This Row],[Food Security]]/tblPiNAnalysis[[#This Row],[Population]], 0.05)), "")</f>
        <v>0.5</v>
      </c>
      <c r="AA91" s="318">
        <f>IFERROR(IF(tblPiNAnalysis[[#This Row],[Health]]="", "", MROUND(tblPiNAnalysis[[#This Row],[Health]]/tblPiNAnalysis[[#This Row],[Population]], 0.05)), "")</f>
        <v>0</v>
      </c>
      <c r="AB91" s="319">
        <f>IFERROR(IF(tblPiNAnalysis[[#This Row],[Protection]]="", "", MROUND(tblPiNAnalysis[[#This Row],[Protection]]/tblPiNAnalysis[[#This Row],[Population]], 0.05)), "")</f>
        <v>0.05</v>
      </c>
      <c r="AC91" s="319">
        <f>IFERROR(IF(tblPiNAnalysis[[#This Row],[Shelter]]="", "", MROUND(tblPiNAnalysis[[#This Row],[Shelter]]/tblPiNAnalysis[[#This Row],[Population]], 0.05)), "")</f>
        <v>0.60000000000000009</v>
      </c>
      <c r="AD91" s="320">
        <f>IFERROR(IF(tblPiNAnalysis[[#This Row],[WASH]]="", "", MROUND(tblPiNAnalysis[[#This Row],[WASH]]/tblPiNAnalysis[[#This Row],[Population]], 0.05)), "")</f>
        <v>0.1</v>
      </c>
      <c r="AE91" s="318">
        <f>IFERROR(MROUND(tblPiNAnalysis[[#This Row],[CP]]/tblPiNAnalysis[[#This Row],[Population]], 0.05), "")</f>
        <v>0</v>
      </c>
      <c r="AF91" s="318">
        <f>IFERROR(MROUND(tblPiNAnalysis[[#This Row],[GBV]]/tblPiNAnalysis[[#This Row],[Population]], 0.05), "")</f>
        <v>0</v>
      </c>
      <c r="AG91" s="318">
        <f>IFERROR(MROUND(tblPiNAnalysis[[#This Row],[Migrants]]/tblPiNAnalysis[[#This Row],[Population]], 0.05), "")</f>
        <v>0</v>
      </c>
      <c r="AH91" s="318">
        <f>IFERROR(MROUND(tblPiNAnalysis[[#This Row],[_]]/tblPiNAnalysis[[#This Row],[Population]], 0.05), "")</f>
        <v>0</v>
      </c>
      <c r="AI91" s="321">
        <f>IFERROR(LARGE(tblPiNAnalysis[[#This Row],[CCCM]:[WASH]], 1), "")</f>
        <v>44281</v>
      </c>
      <c r="AJ91" s="322" t="str" cm="1">
        <f t="array" ref="AJ91">IF(tblPiNAnalysis[[#This Row],[Highest PiN]]="", "", _xlfn.TEXTJOIN(CHAR(10), TRUE, IF(tblPiNAnalysis[[#This Row],[Highest PiN]]=tblPiNAnalysis[[#This Row],[CCCM]:[WASH]], tblPiNAnalysis[[#Headers],[CCCM]:[WASH]], "")))</f>
        <v>Shelter</v>
      </c>
      <c r="AK91" s="323">
        <f>IF(tblPiNAnalysis[[#This Row],[Highest PiN]]="", "", tblPiNAnalysis[[#This Row],[Highest PiN]]/tblPiNAnalysis[[#This Row],[Population]])</f>
        <v>0.60624854533755013</v>
      </c>
      <c r="AL91" s="265" t="str">
        <f>IF(SUM(tblPiNAnalysis[[#This Row],[CCCM]:[WASH]])=0, "",IF(COUNTIF(tblPiNAnalysis[[#This Row],[CCCM]:[WASH]],"=0")+COUNTIF(tblPiNAnalysis[[#This Row],[CCCM]:[WASH]],"")&gt;=zero_pin_thresh, "Flagged", ""))</f>
        <v/>
      </c>
      <c r="AM91" s="264" t="str">
        <f>IFERROR(IF(tblPiNAnalysis[[#This Row],[Highest PiN]]="", "", IF(tblPiNAnalysis[[#This Row],[Highest sector(s'') PiN %]]&gt;=flag_pin_perc, "Flagged", "")), "")</f>
        <v/>
      </c>
      <c r="AN91" s="266" t="str" cm="1">
        <f t="array" ref="AN91">IF(tblPiNAnalysis[[#This Row],[Highest PiN]]=0, "",  IF(OR(COUNTIF(tblPiNAnalysis[[#This Row],[Highest sector(s)]],tblSubSectorPopulation[Sector])), "Flagged", ""))</f>
        <v/>
      </c>
      <c r="AO91" s="45" cm="1">
        <f t="array" ref="AO9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36370</v>
      </c>
      <c r="AP91" s="326" t="str" cm="1">
        <f t="array" ref="AP91">IF(tblPiNAnalysis[[#This Row],[2nd Highest PiN]]="", "", _xlfn.TEXTJOIN(CHAR(10), TRUE, IF(tblPiNAnalysis[[#This Row],[2nd Highest PiN]]=tblPiNAnalysis[[#This Row],[CCCM]:[WASH]], tblPiNAnalysis[[#Headers],[CCCM]:[WASH]], "")))</f>
        <v>Food Security</v>
      </c>
      <c r="AQ91" s="35">
        <f>IFERROR(tblPiNAnalysis[[#This Row],[2nd Highest PiN]]/tblPiNAnalysis[[#This Row],[Population]], "")</f>
        <v>0.49793951342396736</v>
      </c>
      <c r="AR91" s="45">
        <f>IFERROR(tblPiNAnalysis[[#This Row],[Highest PiN]]-tblPiNAnalysis[[#This Row],[2nd Highest PiN]], "")</f>
        <v>7911</v>
      </c>
      <c r="AS91" s="38">
        <f>IFERROR(((tblPiNAnalysis[[#This Row],[Highest PiN]]-tblPiNAnalysis[[#This Row],[2nd Highest PiN]])/tblPiNAnalysis[[#This Row],[2nd Highest PiN]]),"")</f>
        <v>0.21751443497387957</v>
      </c>
      <c r="AT91" s="269" t="str" cm="1">
        <f t="array" ref="AT9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1" s="327" cm="1">
        <f t="array" ref="AU9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15004</v>
      </c>
      <c r="AV91" s="186" t="str" cm="1">
        <f t="array" ref="AV91">IF(tblPiNAnalysis[[#This Row],[3rd Highest PiN]]="", "", _xlfn.TEXTJOIN(CHAR(10), TRUE, IF(tblPiNAnalysis[[#This Row],[3rd Highest PiN]]=tblPiNAnalysis[[#This Row],[CCCM]:[WASH]], tblPiNAnalysis[[#Headers],[CCCM]:[WASH]], "")))</f>
        <v>Education</v>
      </c>
      <c r="AW91" s="186">
        <f>IFERROR(tblPiNAnalysis[[#This Row],[3rd Highest PiN]]/tblPiNAnalysis[[#This Row],[Population]], "")</f>
        <v>0.20541887433085526</v>
      </c>
      <c r="AX91" s="44">
        <f>IFERROR(tblPiNAnalysis[[#This Row],[Highest PiN]]-tblPiNAnalysis[[#This Row],[3rd Highest PiN]],"")</f>
        <v>29277</v>
      </c>
      <c r="AY91" s="38">
        <f>IFERROR(tblPiNAnalysis[[#This Row],[Difference of PiN between Highest and 3rd Highest]]/tblPiNAnalysis[[#This Row],[3rd Highest PiN]], "")</f>
        <v>1.9512796587576646</v>
      </c>
      <c r="AZ91" s="325" t="str" cm="1">
        <f t="array" ref="AZ9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1" s="292" cm="1">
        <f t="array" ref="BA91">IFERROR(IF(tblPiNAnalysis[[#This Row],[ID]]="", "", INDEX(tblPiNHistorical[[CCCM]:[WASH]], MATCH(tblPiNAnalysis[[#This Row],[ID]],tblPiNHistorical[ID], 0),MATCH(_xlfn._xlws.FILTER(tblPiNAnalysis[[#Headers],[CCCM]:[WASH]], tblPiNAnalysis[[#This Row],[Highest PiN]]=tblPiNAnalysis[[#This Row],[CCCM]:[WASH]]), tblPiNHistorical[[#Headers],[CCCM]:[WASH]], 0))), "")</f>
        <v>0.8</v>
      </c>
      <c r="BB91" s="328" t="str" cm="1">
        <f t="array" ref="BB9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1" s="272" cm="1">
        <f t="array" ref="BC91">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91" s="329" t="str" cm="1">
        <f t="array" ref="BD9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1" s="371">
        <f>INDEX(tblSeverityAnalysis[Final Severity], MATCH(tblPiNAnalysis[[#This Row],[ID]],tblSeverityAnalysis[ID], 0))</f>
        <v>3</v>
      </c>
      <c r="BF91" s="60">
        <f>IF(tblPiNAnalysis[[#This Row],[Severity]]&gt;2,tblPiNAnalysis[[#This Row],[Highest PiN]],)</f>
        <v>44281</v>
      </c>
      <c r="BG91" s="187"/>
      <c r="BH91" s="188"/>
      <c r="BI91" s="189">
        <f>COUNTIFS(tblPiNAnalysis[[#This Row],[Number of missing / zero PiNs greater than threshold - Data quality]:[Manual Flag]],"Flagged")</f>
        <v>1</v>
      </c>
      <c r="BJ91" s="346" t="str">
        <f>IF(tblPiNAnalysis[[#This Row],['# Flags]]&gt;0, "Flagged", "")</f>
        <v>Flagged</v>
      </c>
      <c r="BK91" s="339">
        <f>tblPiNAnalysis[[#This Row],[Preliminary PiN]]</f>
        <v>44281</v>
      </c>
      <c r="BL91" s="326"/>
      <c r="BM91" s="383">
        <f>IF(OR(tblPiNAnalysis[[#This Row],[Severity]]=4,tblPiNAnalysis[[#This Row],[Severity]]=5),tblPiNAnalysis[[#This Row],[Final PiN]],0)</f>
        <v>0</v>
      </c>
      <c r="BN91" s="378">
        <f>IF(OR(tblPiNAnalysis[[#This Row],[Severity]]=4,tblPiNAnalysis[[#This Row],[Severity]]=5),100%, IF(tblPiNAnalysis[[#This Row],[Severity]]=3,50%,0%))*tblPiNAnalysis[[#This Row],[Final PiN]]</f>
        <v>22140.5</v>
      </c>
      <c r="BO91" s="383">
        <f>IF(OR(tblPiNAnalysis[[#This Row],[Severity]]=4,tblPiNAnalysis[[#This Row],[Severity]]=5),100%, IF(AND(tblPiNAnalysis[[#This Row],[Severity]]=3,VLOOKUP(tblPiNAnalysis[[#This Row],[ID]],tblSeverityAnalysis[[ID]:[Highest Severity]],35,FALSE)&gt;3),50%,0%))*tblPiNAnalysis[[#This Row],[Final PiN]]</f>
        <v>0</v>
      </c>
    </row>
    <row r="92" spans="1:67" hidden="1">
      <c r="A9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Global_PopulationHT0642</v>
      </c>
      <c r="B92" s="304" t="s">
        <v>319</v>
      </c>
      <c r="C92" s="213" t="s">
        <v>320</v>
      </c>
      <c r="D92" s="213" t="s">
        <v>343</v>
      </c>
      <c r="E92" s="103" t="s">
        <v>344</v>
      </c>
      <c r="F92" s="99"/>
      <c r="G92" s="34"/>
      <c r="H92" s="357"/>
      <c r="I92" s="354">
        <v>85148</v>
      </c>
      <c r="J92" s="221" t="s">
        <v>156</v>
      </c>
      <c r="K92" s="316">
        <v>12891</v>
      </c>
      <c r="L92" s="308">
        <v>17776</v>
      </c>
      <c r="M92" s="308">
        <v>7320</v>
      </c>
      <c r="N92" s="308">
        <v>40676</v>
      </c>
      <c r="O92" s="308">
        <v>17875.690066278803</v>
      </c>
      <c r="P92" s="308">
        <v>19038.68</v>
      </c>
      <c r="Q92" s="309">
        <v>48734</v>
      </c>
      <c r="R92" s="308">
        <v>21287</v>
      </c>
      <c r="S92" s="308"/>
      <c r="T92" s="308"/>
      <c r="U92" s="308"/>
      <c r="V92" s="308"/>
      <c r="W92" s="317">
        <f>IFERROR(IF(tblPiNAnalysis[[#This Row],[CCCM]]="", "", MROUND(tblPiNAnalysis[[#This Row],[CCCM]]/tblPiNAnalysis[[#This Row],[Population]], 0.05)), "")</f>
        <v>0.15000000000000002</v>
      </c>
      <c r="X92" s="318">
        <f>IFERROR(IF(tblPiNAnalysis[[#This Row],[Education]]="", "", MROUND(tblPiNAnalysis[[#This Row],[Education]]/tblPiNAnalysis[[#This Row],[Population]], 0.05)), "")</f>
        <v>0.2</v>
      </c>
      <c r="Y92" s="318">
        <f>IFERROR(IF(tblPiNAnalysis[[#This Row],[Nutrition]]="", "", MROUND(tblPiNAnalysis[[#This Row],[Nutrition]]/tblPiNAnalysis[[#This Row],[Population]], 0.05)), "")</f>
        <v>0.1</v>
      </c>
      <c r="Z92" s="318">
        <f>IFERROR(IF(tblPiNAnalysis[[#This Row],[Food Security]]="", "", MROUND(tblPiNAnalysis[[#This Row],[Food Security]]/tblPiNAnalysis[[#This Row],[Population]], 0.05)), "")</f>
        <v>0.5</v>
      </c>
      <c r="AA92" s="318">
        <f>IFERROR(IF(tblPiNAnalysis[[#This Row],[Health]]="", "", MROUND(tblPiNAnalysis[[#This Row],[Health]]/tblPiNAnalysis[[#This Row],[Population]], 0.05)), "")</f>
        <v>0.2</v>
      </c>
      <c r="AB92" s="319">
        <f>IFERROR(IF(tblPiNAnalysis[[#This Row],[Protection]]="", "", MROUND(tblPiNAnalysis[[#This Row],[Protection]]/tblPiNAnalysis[[#This Row],[Population]], 0.05)), "")</f>
        <v>0.2</v>
      </c>
      <c r="AC92" s="319">
        <f>IFERROR(IF(tblPiNAnalysis[[#This Row],[Shelter]]="", "", MROUND(tblPiNAnalysis[[#This Row],[Shelter]]/tblPiNAnalysis[[#This Row],[Population]], 0.05)), "")</f>
        <v>0.55000000000000004</v>
      </c>
      <c r="AD92" s="320">
        <f>IFERROR(IF(tblPiNAnalysis[[#This Row],[WASH]]="", "", MROUND(tblPiNAnalysis[[#This Row],[WASH]]/tblPiNAnalysis[[#This Row],[Population]], 0.05)), "")</f>
        <v>0.25</v>
      </c>
      <c r="AE92" s="318">
        <f>IFERROR(MROUND(tblPiNAnalysis[[#This Row],[CP]]/tblPiNAnalysis[[#This Row],[Population]], 0.05), "")</f>
        <v>0</v>
      </c>
      <c r="AF92" s="318">
        <f>IFERROR(MROUND(tblPiNAnalysis[[#This Row],[GBV]]/tblPiNAnalysis[[#This Row],[Population]], 0.05), "")</f>
        <v>0</v>
      </c>
      <c r="AG92" s="318">
        <f>IFERROR(MROUND(tblPiNAnalysis[[#This Row],[Migrants]]/tblPiNAnalysis[[#This Row],[Population]], 0.05), "")</f>
        <v>0</v>
      </c>
      <c r="AH92" s="318">
        <f>IFERROR(MROUND(tblPiNAnalysis[[#This Row],[_]]/tblPiNAnalysis[[#This Row],[Population]], 0.05), "")</f>
        <v>0</v>
      </c>
      <c r="AI92" s="321">
        <f>IFERROR(LARGE(tblPiNAnalysis[[#This Row],[CCCM]:[WASH]], 1), "")</f>
        <v>48734</v>
      </c>
      <c r="AJ92" s="322" t="str" cm="1">
        <f t="array" ref="AJ92">IF(tblPiNAnalysis[[#This Row],[Highest PiN]]="", "", _xlfn.TEXTJOIN(CHAR(10), TRUE, IF(tblPiNAnalysis[[#This Row],[Highest PiN]]=tblPiNAnalysis[[#This Row],[CCCM]:[WASH]], tblPiNAnalysis[[#Headers],[CCCM]:[WASH]], "")))</f>
        <v>Shelter</v>
      </c>
      <c r="AK92" s="323">
        <f>IF(tblPiNAnalysis[[#This Row],[Highest PiN]]="", "", tblPiNAnalysis[[#This Row],[Highest PiN]]/tblPiNAnalysis[[#This Row],[Population]])</f>
        <v>0.57234462347911874</v>
      </c>
      <c r="AL92" s="265" t="str">
        <f>IF(SUM(tblPiNAnalysis[[#This Row],[CCCM]:[WASH]])=0, "",IF(COUNTIF(tblPiNAnalysis[[#This Row],[CCCM]:[WASH]],"=0")+COUNTIF(tblPiNAnalysis[[#This Row],[CCCM]:[WASH]],"")&gt;=zero_pin_thresh, "Flagged", ""))</f>
        <v/>
      </c>
      <c r="AM92" s="264" t="str">
        <f>IFERROR(IF(tblPiNAnalysis[[#This Row],[Highest PiN]]="", "", IF(tblPiNAnalysis[[#This Row],[Highest sector(s'') PiN %]]&gt;=flag_pin_perc, "Flagged", "")), "")</f>
        <v/>
      </c>
      <c r="AN92" s="266" t="str" cm="1">
        <f t="array" ref="AN92">IF(tblPiNAnalysis[[#This Row],[Highest PiN]]=0, "",  IF(OR(COUNTIF(tblPiNAnalysis[[#This Row],[Highest sector(s)]],tblSubSectorPopulation[Sector])), "Flagged", ""))</f>
        <v/>
      </c>
      <c r="AO92" s="45" cm="1">
        <f t="array" ref="AO9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40676</v>
      </c>
      <c r="AP92" s="326" t="str" cm="1">
        <f t="array" ref="AP92">IF(tblPiNAnalysis[[#This Row],[2nd Highest PiN]]="", "", _xlfn.TEXTJOIN(CHAR(10), TRUE, IF(tblPiNAnalysis[[#This Row],[2nd Highest PiN]]=tblPiNAnalysis[[#This Row],[CCCM]:[WASH]], tblPiNAnalysis[[#Headers],[CCCM]:[WASH]], "")))</f>
        <v>Food Security</v>
      </c>
      <c r="AQ92" s="35">
        <f>IFERROR(tblPiNAnalysis[[#This Row],[2nd Highest PiN]]/tblPiNAnalysis[[#This Row],[Population]], "")</f>
        <v>0.47770940010334945</v>
      </c>
      <c r="AR92" s="45">
        <f>IFERROR(tblPiNAnalysis[[#This Row],[Highest PiN]]-tblPiNAnalysis[[#This Row],[2nd Highest PiN]], "")</f>
        <v>8058</v>
      </c>
      <c r="AS92" s="38">
        <f>IFERROR(((tblPiNAnalysis[[#This Row],[Highest PiN]]-tblPiNAnalysis[[#This Row],[2nd Highest PiN]])/tblPiNAnalysis[[#This Row],[2nd Highest PiN]]),"")</f>
        <v>0.19810207493362178</v>
      </c>
      <c r="AT92" s="269" t="str" cm="1">
        <f t="array" ref="AT9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2" s="327" cm="1">
        <f t="array" ref="AU9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21287</v>
      </c>
      <c r="AV92" s="186" t="str" cm="1">
        <f t="array" ref="AV92">IF(tblPiNAnalysis[[#This Row],[3rd Highest PiN]]="", "", _xlfn.TEXTJOIN(CHAR(10), TRUE, IF(tblPiNAnalysis[[#This Row],[3rd Highest PiN]]=tblPiNAnalysis[[#This Row],[CCCM]:[WASH]], tblPiNAnalysis[[#Headers],[CCCM]:[WASH]], "")))</f>
        <v>WASH</v>
      </c>
      <c r="AW92" s="186">
        <f>IFERROR(tblPiNAnalysis[[#This Row],[3rd Highest PiN]]/tblPiNAnalysis[[#This Row],[Population]], "")</f>
        <v>0.25</v>
      </c>
      <c r="AX92" s="44">
        <f>IFERROR(tblPiNAnalysis[[#This Row],[Highest PiN]]-tblPiNAnalysis[[#This Row],[3rd Highest PiN]],"")</f>
        <v>27447</v>
      </c>
      <c r="AY92" s="38">
        <f>IFERROR(tblPiNAnalysis[[#This Row],[Difference of PiN between Highest and 3rd Highest]]/tblPiNAnalysis[[#This Row],[3rd Highest PiN]], "")</f>
        <v>1.2893784939164747</v>
      </c>
      <c r="AZ92" s="325" t="str" cm="1">
        <f t="array" ref="AZ9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2" s="292" cm="1">
        <f t="array" ref="BA92">IFERROR(IF(tblPiNAnalysis[[#This Row],[ID]]="", "", INDEX(tblPiNHistorical[[CCCM]:[WASH]], MATCH(tblPiNAnalysis[[#This Row],[ID]],tblPiNHistorical[ID], 0),MATCH(_xlfn._xlws.FILTER(tblPiNAnalysis[[#Headers],[CCCM]:[WASH]], tblPiNAnalysis[[#This Row],[Highest PiN]]=tblPiNAnalysis[[#This Row],[CCCM]:[WASH]]), tblPiNHistorical[[#Headers],[CCCM]:[WASH]], 0))), "")</f>
        <v>0.2</v>
      </c>
      <c r="BB92" s="328" t="str" cm="1">
        <f t="array" ref="BB9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2" s="272" cm="1">
        <f t="array" ref="BC92">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92" s="329" t="str" cm="1">
        <f t="array" ref="BD9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2" s="371">
        <f>INDEX(tblSeverityAnalysis[Final Severity], MATCH(tblPiNAnalysis[[#This Row],[ID]],tblSeverityAnalysis[ID], 0))</f>
        <v>3</v>
      </c>
      <c r="BF92" s="60">
        <f>IF(tblPiNAnalysis[[#This Row],[Severity]]&gt;2,tblPiNAnalysis[[#This Row],[Highest PiN]],)</f>
        <v>48734</v>
      </c>
      <c r="BG92" s="187"/>
      <c r="BH92" s="188"/>
      <c r="BI92" s="189">
        <f>COUNTIFS(tblPiNAnalysis[[#This Row],[Number of missing / zero PiNs greater than threshold - Data quality]:[Manual Flag]],"Flagged")</f>
        <v>1</v>
      </c>
      <c r="BJ92" s="346" t="str">
        <f>IF(tblPiNAnalysis[[#This Row],['# Flags]]&gt;0, "Flagged", "")</f>
        <v>Flagged</v>
      </c>
      <c r="BK92" s="339">
        <f>tblPiNAnalysis[[#This Row],[Preliminary PiN]]</f>
        <v>48734</v>
      </c>
      <c r="BL92" s="326"/>
      <c r="BM92" s="383">
        <f>IF(OR(tblPiNAnalysis[[#This Row],[Severity]]=4,tblPiNAnalysis[[#This Row],[Severity]]=5),tblPiNAnalysis[[#This Row],[Final PiN]],0)</f>
        <v>0</v>
      </c>
      <c r="BN92" s="378">
        <f>IF(OR(tblPiNAnalysis[[#This Row],[Severity]]=4,tblPiNAnalysis[[#This Row],[Severity]]=5),100%, IF(tblPiNAnalysis[[#This Row],[Severity]]=3,50%,0%))*tblPiNAnalysis[[#This Row],[Final PiN]]</f>
        <v>24367</v>
      </c>
      <c r="BO92" s="383">
        <f>IF(OR(tblPiNAnalysis[[#This Row],[Severity]]=4,tblPiNAnalysis[[#This Row],[Severity]]=5),100%, IF(AND(tblPiNAnalysis[[#This Row],[Severity]]=3,VLOOKUP(tblPiNAnalysis[[#This Row],[ID]],tblSeverityAnalysis[[ID]:[Highest Severity]],35,FALSE)&gt;3),50%,0%))*tblPiNAnalysis[[#This Row],[Final PiN]]</f>
        <v>0</v>
      </c>
    </row>
    <row r="93" spans="1:67" hidden="1">
      <c r="A9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Global_PopulationHT0711</v>
      </c>
      <c r="B93" s="304" t="s">
        <v>345</v>
      </c>
      <c r="C93" s="213" t="s">
        <v>346</v>
      </c>
      <c r="D93" s="213" t="s">
        <v>347</v>
      </c>
      <c r="E93" s="103" t="s">
        <v>348</v>
      </c>
      <c r="F93" s="99"/>
      <c r="G93" s="34"/>
      <c r="H93" s="357"/>
      <c r="I93" s="354">
        <v>207439</v>
      </c>
      <c r="J93" s="221" t="s">
        <v>156</v>
      </c>
      <c r="K93" s="316">
        <v>68691</v>
      </c>
      <c r="L93" s="308">
        <v>23591</v>
      </c>
      <c r="M93" s="308">
        <v>22325</v>
      </c>
      <c r="N93" s="308">
        <v>106777</v>
      </c>
      <c r="O93" s="308">
        <v>57479.033933712526</v>
      </c>
      <c r="P93" s="308">
        <v>46497.501052631582</v>
      </c>
      <c r="Q93" s="309">
        <v>97831</v>
      </c>
      <c r="R93" s="308">
        <v>46967.32075471698</v>
      </c>
      <c r="S93" s="308"/>
      <c r="T93" s="308"/>
      <c r="U93" s="308"/>
      <c r="V93" s="308"/>
      <c r="W93" s="317">
        <f>IFERROR(IF(tblPiNAnalysis[[#This Row],[CCCM]]="", "", MROUND(tblPiNAnalysis[[#This Row],[CCCM]]/tblPiNAnalysis[[#This Row],[Population]], 0.05)), "")</f>
        <v>0.35000000000000003</v>
      </c>
      <c r="X93" s="318">
        <f>IFERROR(IF(tblPiNAnalysis[[#This Row],[Education]]="", "", MROUND(tblPiNAnalysis[[#This Row],[Education]]/tblPiNAnalysis[[#This Row],[Population]], 0.05)), "")</f>
        <v>0.1</v>
      </c>
      <c r="Y93" s="318">
        <f>IFERROR(IF(tblPiNAnalysis[[#This Row],[Nutrition]]="", "", MROUND(tblPiNAnalysis[[#This Row],[Nutrition]]/tblPiNAnalysis[[#This Row],[Population]], 0.05)), "")</f>
        <v>0.1</v>
      </c>
      <c r="Z93" s="318">
        <f>IFERROR(IF(tblPiNAnalysis[[#This Row],[Food Security]]="", "", MROUND(tblPiNAnalysis[[#This Row],[Food Security]]/tblPiNAnalysis[[#This Row],[Population]], 0.05)), "")</f>
        <v>0.5</v>
      </c>
      <c r="AA93" s="318">
        <f>IFERROR(IF(tblPiNAnalysis[[#This Row],[Health]]="", "", MROUND(tblPiNAnalysis[[#This Row],[Health]]/tblPiNAnalysis[[#This Row],[Population]], 0.05)), "")</f>
        <v>0.30000000000000004</v>
      </c>
      <c r="AB93" s="319">
        <f>IFERROR(IF(tblPiNAnalysis[[#This Row],[Protection]]="", "", MROUND(tblPiNAnalysis[[#This Row],[Protection]]/tblPiNAnalysis[[#This Row],[Population]], 0.05)), "")</f>
        <v>0.2</v>
      </c>
      <c r="AC93" s="319">
        <f>IFERROR(IF(tblPiNAnalysis[[#This Row],[Shelter]]="", "", MROUND(tblPiNAnalysis[[#This Row],[Shelter]]/tblPiNAnalysis[[#This Row],[Population]], 0.05)), "")</f>
        <v>0.45</v>
      </c>
      <c r="AD93" s="320">
        <f>IFERROR(IF(tblPiNAnalysis[[#This Row],[WASH]]="", "", MROUND(tblPiNAnalysis[[#This Row],[WASH]]/tblPiNAnalysis[[#This Row],[Population]], 0.05)), "")</f>
        <v>0.25</v>
      </c>
      <c r="AE93" s="318">
        <f>IFERROR(MROUND(tblPiNAnalysis[[#This Row],[CP]]/tblPiNAnalysis[[#This Row],[Population]], 0.05), "")</f>
        <v>0</v>
      </c>
      <c r="AF93" s="318">
        <f>IFERROR(MROUND(tblPiNAnalysis[[#This Row],[GBV]]/tblPiNAnalysis[[#This Row],[Population]], 0.05), "")</f>
        <v>0</v>
      </c>
      <c r="AG93" s="318">
        <f>IFERROR(MROUND(tblPiNAnalysis[[#This Row],[Migrants]]/tblPiNAnalysis[[#This Row],[Population]], 0.05), "")</f>
        <v>0</v>
      </c>
      <c r="AH93" s="318">
        <f>IFERROR(MROUND(tblPiNAnalysis[[#This Row],[_]]/tblPiNAnalysis[[#This Row],[Population]], 0.05), "")</f>
        <v>0</v>
      </c>
      <c r="AI93" s="321">
        <f>IFERROR(LARGE(tblPiNAnalysis[[#This Row],[CCCM]:[WASH]], 1), "")</f>
        <v>106777</v>
      </c>
      <c r="AJ93" s="322" t="str" cm="1">
        <f t="array" ref="AJ93">IF(tblPiNAnalysis[[#This Row],[Highest PiN]]="", "", _xlfn.TEXTJOIN(CHAR(10), TRUE, IF(tblPiNAnalysis[[#This Row],[Highest PiN]]=tblPiNAnalysis[[#This Row],[CCCM]:[WASH]], tblPiNAnalysis[[#Headers],[CCCM]:[WASH]], "")))</f>
        <v>Food Security</v>
      </c>
      <c r="AK93" s="323">
        <f>IF(tblPiNAnalysis[[#This Row],[Highest PiN]]="", "", tblPiNAnalysis[[#This Row],[Highest PiN]]/tblPiNAnalysis[[#This Row],[Population]])</f>
        <v>0.51473927275006148</v>
      </c>
      <c r="AL93" s="265" t="str">
        <f>IF(SUM(tblPiNAnalysis[[#This Row],[CCCM]:[WASH]])=0, "",IF(COUNTIF(tblPiNAnalysis[[#This Row],[CCCM]:[WASH]],"=0")+COUNTIF(tblPiNAnalysis[[#This Row],[CCCM]:[WASH]],"")&gt;=zero_pin_thresh, "Flagged", ""))</f>
        <v/>
      </c>
      <c r="AM93" s="264" t="str">
        <f>IFERROR(IF(tblPiNAnalysis[[#This Row],[Highest PiN]]="", "", IF(tblPiNAnalysis[[#This Row],[Highest sector(s'') PiN %]]&gt;=flag_pin_perc, "Flagged", "")), "")</f>
        <v/>
      </c>
      <c r="AN93" s="266" t="str" cm="1">
        <f t="array" ref="AN93">IF(tblPiNAnalysis[[#This Row],[Highest PiN]]=0, "",  IF(OR(COUNTIF(tblPiNAnalysis[[#This Row],[Highest sector(s)]],tblSubSectorPopulation[Sector])), "Flagged", ""))</f>
        <v/>
      </c>
      <c r="AO93" s="45" cm="1">
        <f t="array" ref="AO9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97831</v>
      </c>
      <c r="AP93" s="326" t="str" cm="1">
        <f t="array" ref="AP93">IF(tblPiNAnalysis[[#This Row],[2nd Highest PiN]]="", "", _xlfn.TEXTJOIN(CHAR(10), TRUE, IF(tblPiNAnalysis[[#This Row],[2nd Highest PiN]]=tblPiNAnalysis[[#This Row],[CCCM]:[WASH]], tblPiNAnalysis[[#Headers],[CCCM]:[WASH]], "")))</f>
        <v>Shelter</v>
      </c>
      <c r="AQ93" s="35">
        <f>IFERROR(tblPiNAnalysis[[#This Row],[2nd Highest PiN]]/tblPiNAnalysis[[#This Row],[Population]], "")</f>
        <v>0.47161334175347935</v>
      </c>
      <c r="AR93" s="45">
        <f>IFERROR(tblPiNAnalysis[[#This Row],[Highest PiN]]-tblPiNAnalysis[[#This Row],[2nd Highest PiN]], "")</f>
        <v>8946</v>
      </c>
      <c r="AS93" s="38">
        <f>IFERROR(((tblPiNAnalysis[[#This Row],[Highest PiN]]-tblPiNAnalysis[[#This Row],[2nd Highest PiN]])/tblPiNAnalysis[[#This Row],[2nd Highest PiN]]),"")</f>
        <v>9.1443407508867328E-2</v>
      </c>
      <c r="AT93" s="269" t="str" cm="1">
        <f t="array" ref="AT9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3" s="327" cm="1">
        <f t="array" ref="AU9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68691</v>
      </c>
      <c r="AV93" s="186" t="str" cm="1">
        <f t="array" ref="AV93">IF(tblPiNAnalysis[[#This Row],[3rd Highest PiN]]="", "", _xlfn.TEXTJOIN(CHAR(10), TRUE, IF(tblPiNAnalysis[[#This Row],[3rd Highest PiN]]=tblPiNAnalysis[[#This Row],[CCCM]:[WASH]], tblPiNAnalysis[[#Headers],[CCCM]:[WASH]], "")))</f>
        <v>CCCM</v>
      </c>
      <c r="AW93" s="186">
        <f>IFERROR(tblPiNAnalysis[[#This Row],[3rd Highest PiN]]/tblPiNAnalysis[[#This Row],[Population]], "")</f>
        <v>0.33113831053948389</v>
      </c>
      <c r="AX93" s="44">
        <f>IFERROR(tblPiNAnalysis[[#This Row],[Highest PiN]]-tblPiNAnalysis[[#This Row],[3rd Highest PiN]],"")</f>
        <v>38086</v>
      </c>
      <c r="AY93" s="38">
        <f>IFERROR(tblPiNAnalysis[[#This Row],[Difference of PiN between Highest and 3rd Highest]]/tblPiNAnalysis[[#This Row],[3rd Highest PiN]], "")</f>
        <v>0.55445400416357316</v>
      </c>
      <c r="AZ93" s="325" t="str" cm="1">
        <f t="array" ref="AZ9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3" s="292" cm="1">
        <f t="array" ref="BA93">IFERROR(IF(tblPiNAnalysis[[#This Row],[ID]]="", "", INDEX(tblPiNHistorical[[CCCM]:[WASH]], MATCH(tblPiNAnalysis[[#This Row],[ID]],tblPiNHistorical[ID], 0),MATCH(_xlfn._xlws.FILTER(tblPiNAnalysis[[#Headers],[CCCM]:[WASH]], tblPiNAnalysis[[#This Row],[Highest PiN]]=tblPiNAnalysis[[#This Row],[CCCM]:[WASH]]), tblPiNHistorical[[#Headers],[CCCM]:[WASH]], 0))), "")</f>
        <v>-0.2</v>
      </c>
      <c r="BB93" s="328" t="str" cm="1">
        <f t="array" ref="BB9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3" s="272" cm="1">
        <f t="array" ref="BC93">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93" s="329" t="str" cm="1">
        <f t="array" ref="BD9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3" s="371">
        <f>INDEX(tblSeverityAnalysis[Final Severity], MATCH(tblPiNAnalysis[[#This Row],[ID]],tblSeverityAnalysis[ID], 0))</f>
        <v>3</v>
      </c>
      <c r="BF93" s="60">
        <f>IF(tblPiNAnalysis[[#This Row],[Severity]]&gt;2,tblPiNAnalysis[[#This Row],[Highest PiN]],)</f>
        <v>106777</v>
      </c>
      <c r="BG93" s="187"/>
      <c r="BH93" s="188"/>
      <c r="BI93" s="189">
        <f>COUNTIFS(tblPiNAnalysis[[#This Row],[Number of missing / zero PiNs greater than threshold - Data quality]:[Manual Flag]],"Flagged")</f>
        <v>0</v>
      </c>
      <c r="BJ93" s="346" t="str">
        <f>IF(tblPiNAnalysis[[#This Row],['# Flags]]&gt;0, "Flagged", "")</f>
        <v/>
      </c>
      <c r="BK93" s="339">
        <f>tblPiNAnalysis[[#This Row],[Preliminary PiN]]</f>
        <v>106777</v>
      </c>
      <c r="BL93" s="326"/>
      <c r="BM93" s="383">
        <f>IF(OR(tblPiNAnalysis[[#This Row],[Severity]]=4,tblPiNAnalysis[[#This Row],[Severity]]=5),tblPiNAnalysis[[#This Row],[Final PiN]],0)</f>
        <v>0</v>
      </c>
      <c r="BN93" s="378">
        <f>IF(OR(tblPiNAnalysis[[#This Row],[Severity]]=4,tblPiNAnalysis[[#This Row],[Severity]]=5),100%, IF(tblPiNAnalysis[[#This Row],[Severity]]=3,50%,0%))*tblPiNAnalysis[[#This Row],[Final PiN]]</f>
        <v>53388.5</v>
      </c>
      <c r="BO93" s="383">
        <f>IF(OR(tblPiNAnalysis[[#This Row],[Severity]]=4,tblPiNAnalysis[[#This Row],[Severity]]=5),100%, IF(AND(tblPiNAnalysis[[#This Row],[Severity]]=3,VLOOKUP(tblPiNAnalysis[[#This Row],[ID]],tblSeverityAnalysis[[ID]:[Highest Severity]],35,FALSE)&gt;3),50%,0%))*tblPiNAnalysis[[#This Row],[Final PiN]]</f>
        <v>0</v>
      </c>
    </row>
    <row r="94" spans="1:67" hidden="1">
      <c r="A9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Global_PopulationHT0712</v>
      </c>
      <c r="B94" s="304" t="s">
        <v>345</v>
      </c>
      <c r="C94" s="213" t="s">
        <v>346</v>
      </c>
      <c r="D94" s="213" t="s">
        <v>349</v>
      </c>
      <c r="E94" s="103" t="s">
        <v>350</v>
      </c>
      <c r="F94" s="99"/>
      <c r="G94" s="34"/>
      <c r="H94" s="357"/>
      <c r="I94" s="354">
        <v>93827</v>
      </c>
      <c r="J94" s="221" t="s">
        <v>156</v>
      </c>
      <c r="K94" s="316">
        <v>25672.5</v>
      </c>
      <c r="L94" s="308">
        <v>11405</v>
      </c>
      <c r="M94" s="308">
        <v>9670</v>
      </c>
      <c r="N94" s="308">
        <v>50616</v>
      </c>
      <c r="O94" s="308">
        <v>21410.506818612259</v>
      </c>
      <c r="P94" s="308">
        <v>18696.607499999998</v>
      </c>
      <c r="Q94" s="309">
        <v>58964</v>
      </c>
      <c r="R94" s="308">
        <v>18156.387096774193</v>
      </c>
      <c r="S94" s="308"/>
      <c r="T94" s="308"/>
      <c r="U94" s="308"/>
      <c r="V94" s="308"/>
      <c r="W94" s="317">
        <f>IFERROR(IF(tblPiNAnalysis[[#This Row],[CCCM]]="", "", MROUND(tblPiNAnalysis[[#This Row],[CCCM]]/tblPiNAnalysis[[#This Row],[Population]], 0.05)), "")</f>
        <v>0.25</v>
      </c>
      <c r="X94" s="318">
        <f>IFERROR(IF(tblPiNAnalysis[[#This Row],[Education]]="", "", MROUND(tblPiNAnalysis[[#This Row],[Education]]/tblPiNAnalysis[[#This Row],[Population]], 0.05)), "")</f>
        <v>0.1</v>
      </c>
      <c r="Y94" s="318">
        <f>IFERROR(IF(tblPiNAnalysis[[#This Row],[Nutrition]]="", "", MROUND(tblPiNAnalysis[[#This Row],[Nutrition]]/tblPiNAnalysis[[#This Row],[Population]], 0.05)), "")</f>
        <v>0.1</v>
      </c>
      <c r="Z94" s="318">
        <f>IFERROR(IF(tblPiNAnalysis[[#This Row],[Food Security]]="", "", MROUND(tblPiNAnalysis[[#This Row],[Food Security]]/tblPiNAnalysis[[#This Row],[Population]], 0.05)), "")</f>
        <v>0.55000000000000004</v>
      </c>
      <c r="AA94" s="318">
        <f>IFERROR(IF(tblPiNAnalysis[[#This Row],[Health]]="", "", MROUND(tblPiNAnalysis[[#This Row],[Health]]/tblPiNAnalysis[[#This Row],[Population]], 0.05)), "")</f>
        <v>0.25</v>
      </c>
      <c r="AB94" s="319">
        <f>IFERROR(IF(tblPiNAnalysis[[#This Row],[Protection]]="", "", MROUND(tblPiNAnalysis[[#This Row],[Protection]]/tblPiNAnalysis[[#This Row],[Population]], 0.05)), "")</f>
        <v>0.2</v>
      </c>
      <c r="AC94" s="319">
        <f>IFERROR(IF(tblPiNAnalysis[[#This Row],[Shelter]]="", "", MROUND(tblPiNAnalysis[[#This Row],[Shelter]]/tblPiNAnalysis[[#This Row],[Population]], 0.05)), "")</f>
        <v>0.65</v>
      </c>
      <c r="AD94" s="320">
        <f>IFERROR(IF(tblPiNAnalysis[[#This Row],[WASH]]="", "", MROUND(tblPiNAnalysis[[#This Row],[WASH]]/tblPiNAnalysis[[#This Row],[Population]], 0.05)), "")</f>
        <v>0.2</v>
      </c>
      <c r="AE94" s="318">
        <f>IFERROR(MROUND(tblPiNAnalysis[[#This Row],[CP]]/tblPiNAnalysis[[#This Row],[Population]], 0.05), "")</f>
        <v>0</v>
      </c>
      <c r="AF94" s="318">
        <f>IFERROR(MROUND(tblPiNAnalysis[[#This Row],[GBV]]/tblPiNAnalysis[[#This Row],[Population]], 0.05), "")</f>
        <v>0</v>
      </c>
      <c r="AG94" s="318">
        <f>IFERROR(MROUND(tblPiNAnalysis[[#This Row],[Migrants]]/tblPiNAnalysis[[#This Row],[Population]], 0.05), "")</f>
        <v>0</v>
      </c>
      <c r="AH94" s="318">
        <f>IFERROR(MROUND(tblPiNAnalysis[[#This Row],[_]]/tblPiNAnalysis[[#This Row],[Population]], 0.05), "")</f>
        <v>0</v>
      </c>
      <c r="AI94" s="321">
        <f>IFERROR(LARGE(tblPiNAnalysis[[#This Row],[CCCM]:[WASH]], 1), "")</f>
        <v>58964</v>
      </c>
      <c r="AJ94" s="322" t="str" cm="1">
        <f t="array" ref="AJ94">IF(tblPiNAnalysis[[#This Row],[Highest PiN]]="", "", _xlfn.TEXTJOIN(CHAR(10), TRUE, IF(tblPiNAnalysis[[#This Row],[Highest PiN]]=tblPiNAnalysis[[#This Row],[CCCM]:[WASH]], tblPiNAnalysis[[#Headers],[CCCM]:[WASH]], "")))</f>
        <v>Shelter</v>
      </c>
      <c r="AK94" s="323">
        <f>IF(tblPiNAnalysis[[#This Row],[Highest PiN]]="", "", tblPiNAnalysis[[#This Row],[Highest PiN]]/tblPiNAnalysis[[#This Row],[Population]])</f>
        <v>0.62843318021465033</v>
      </c>
      <c r="AL94" s="265" t="str">
        <f>IF(SUM(tblPiNAnalysis[[#This Row],[CCCM]:[WASH]])=0, "",IF(COUNTIF(tblPiNAnalysis[[#This Row],[CCCM]:[WASH]],"=0")+COUNTIF(tblPiNAnalysis[[#This Row],[CCCM]:[WASH]],"")&gt;=zero_pin_thresh, "Flagged", ""))</f>
        <v/>
      </c>
      <c r="AM94" s="264" t="str">
        <f>IFERROR(IF(tblPiNAnalysis[[#This Row],[Highest PiN]]="", "", IF(tblPiNAnalysis[[#This Row],[Highest sector(s'') PiN %]]&gt;=flag_pin_perc, "Flagged", "")), "")</f>
        <v/>
      </c>
      <c r="AN94" s="266" t="str" cm="1">
        <f t="array" ref="AN94">IF(tblPiNAnalysis[[#This Row],[Highest PiN]]=0, "",  IF(OR(COUNTIF(tblPiNAnalysis[[#This Row],[Highest sector(s)]],tblSubSectorPopulation[Sector])), "Flagged", ""))</f>
        <v/>
      </c>
      <c r="AO94" s="45" cm="1">
        <f t="array" ref="AO9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50616</v>
      </c>
      <c r="AP94" s="326" t="str" cm="1">
        <f t="array" ref="AP94">IF(tblPiNAnalysis[[#This Row],[2nd Highest PiN]]="", "", _xlfn.TEXTJOIN(CHAR(10), TRUE, IF(tblPiNAnalysis[[#This Row],[2nd Highest PiN]]=tblPiNAnalysis[[#This Row],[CCCM]:[WASH]], tblPiNAnalysis[[#Headers],[CCCM]:[WASH]], "")))</f>
        <v>Food Security</v>
      </c>
      <c r="AQ94" s="35">
        <f>IFERROR(tblPiNAnalysis[[#This Row],[2nd Highest PiN]]/tblPiNAnalysis[[#This Row],[Population]], "")</f>
        <v>0.53946092276210478</v>
      </c>
      <c r="AR94" s="45">
        <f>IFERROR(tblPiNAnalysis[[#This Row],[Highest PiN]]-tblPiNAnalysis[[#This Row],[2nd Highest PiN]], "")</f>
        <v>8348</v>
      </c>
      <c r="AS94" s="38">
        <f>IFERROR(((tblPiNAnalysis[[#This Row],[Highest PiN]]-tblPiNAnalysis[[#This Row],[2nd Highest PiN]])/tblPiNAnalysis[[#This Row],[2nd Highest PiN]]),"")</f>
        <v>0.16492808598071756</v>
      </c>
      <c r="AT94" s="269" t="str" cm="1">
        <f t="array" ref="AT9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4" s="327" cm="1">
        <f t="array" ref="AU9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25672.5</v>
      </c>
      <c r="AV94" s="186" t="str" cm="1">
        <f t="array" ref="AV94">IF(tblPiNAnalysis[[#This Row],[3rd Highest PiN]]="", "", _xlfn.TEXTJOIN(CHAR(10), TRUE, IF(tblPiNAnalysis[[#This Row],[3rd Highest PiN]]=tblPiNAnalysis[[#This Row],[CCCM]:[WASH]], tblPiNAnalysis[[#Headers],[CCCM]:[WASH]], "")))</f>
        <v>CCCM</v>
      </c>
      <c r="AW94" s="186">
        <f>IFERROR(tblPiNAnalysis[[#This Row],[3rd Highest PiN]]/tblPiNAnalysis[[#This Row],[Population]], "")</f>
        <v>0.27361527065769981</v>
      </c>
      <c r="AX94" s="44">
        <f>IFERROR(tblPiNAnalysis[[#This Row],[Highest PiN]]-tblPiNAnalysis[[#This Row],[3rd Highest PiN]],"")</f>
        <v>33291.5</v>
      </c>
      <c r="AY94" s="38">
        <f>IFERROR(tblPiNAnalysis[[#This Row],[Difference of PiN between Highest and 3rd Highest]]/tblPiNAnalysis[[#This Row],[3rd Highest PiN]], "")</f>
        <v>1.2967767065926574</v>
      </c>
      <c r="AZ94" s="325" t="str" cm="1">
        <f t="array" ref="AZ9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4" s="292" cm="1">
        <f t="array" ref="BA94">IFERROR(IF(tblPiNAnalysis[[#This Row],[ID]]="", "", INDEX(tblPiNHistorical[[CCCM]:[WASH]], MATCH(tblPiNAnalysis[[#This Row],[ID]],tblPiNHistorical[ID], 0),MATCH(_xlfn._xlws.FILTER(tblPiNAnalysis[[#Headers],[CCCM]:[WASH]], tblPiNAnalysis[[#This Row],[Highest PiN]]=tblPiNAnalysis[[#This Row],[CCCM]:[WASH]]), tblPiNHistorical[[#Headers],[CCCM]:[WASH]], 0))), "")</f>
        <v>0.7</v>
      </c>
      <c r="BB94" s="328" t="str" cm="1">
        <f t="array" ref="BB9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4" s="272" cm="1">
        <f t="array" ref="BC94">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94" s="329" t="str" cm="1">
        <f t="array" ref="BD9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4" s="371">
        <f>INDEX(tblSeverityAnalysis[Final Severity], MATCH(tblPiNAnalysis[[#This Row],[ID]],tblSeverityAnalysis[ID], 0))</f>
        <v>3</v>
      </c>
      <c r="BF94" s="60">
        <f>IF(tblPiNAnalysis[[#This Row],[Severity]]&gt;2,tblPiNAnalysis[[#This Row],[Highest PiN]],)</f>
        <v>58964</v>
      </c>
      <c r="BG94" s="187"/>
      <c r="BH94" s="188"/>
      <c r="BI94" s="189">
        <f>COUNTIFS(tblPiNAnalysis[[#This Row],[Number of missing / zero PiNs greater than threshold - Data quality]:[Manual Flag]],"Flagged")</f>
        <v>1</v>
      </c>
      <c r="BJ94" s="346" t="str">
        <f>IF(tblPiNAnalysis[[#This Row],['# Flags]]&gt;0, "Flagged", "")</f>
        <v>Flagged</v>
      </c>
      <c r="BK94" s="339">
        <f>tblPiNAnalysis[[#This Row],[Preliminary PiN]]</f>
        <v>58964</v>
      </c>
      <c r="BL94" s="326"/>
      <c r="BM94" s="383">
        <f>IF(OR(tblPiNAnalysis[[#This Row],[Severity]]=4,tblPiNAnalysis[[#This Row],[Severity]]=5),tblPiNAnalysis[[#This Row],[Final PiN]],0)</f>
        <v>0</v>
      </c>
      <c r="BN94" s="378">
        <f>IF(OR(tblPiNAnalysis[[#This Row],[Severity]]=4,tblPiNAnalysis[[#This Row],[Severity]]=5),100%, IF(tblPiNAnalysis[[#This Row],[Severity]]=3,50%,0%))*tblPiNAnalysis[[#This Row],[Final PiN]]</f>
        <v>29482</v>
      </c>
      <c r="BO94" s="383">
        <f>IF(OR(tblPiNAnalysis[[#This Row],[Severity]]=4,tblPiNAnalysis[[#This Row],[Severity]]=5),100%, IF(AND(tblPiNAnalysis[[#This Row],[Severity]]=3,VLOOKUP(tblPiNAnalysis[[#This Row],[ID]],tblSeverityAnalysis[[ID]:[Highest Severity]],35,FALSE)&gt;3),50%,0%))*tblPiNAnalysis[[#This Row],[Final PiN]]</f>
        <v>29482</v>
      </c>
    </row>
    <row r="95" spans="1:67" hidden="1">
      <c r="A9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Global_PopulationHT0713</v>
      </c>
      <c r="B95" s="304" t="s">
        <v>345</v>
      </c>
      <c r="C95" s="213" t="s">
        <v>346</v>
      </c>
      <c r="D95" s="213" t="s">
        <v>351</v>
      </c>
      <c r="E95" s="103" t="s">
        <v>352</v>
      </c>
      <c r="F95" s="99"/>
      <c r="G95" s="34"/>
      <c r="H95" s="357"/>
      <c r="I95" s="354">
        <v>41237</v>
      </c>
      <c r="J95" s="221" t="s">
        <v>156</v>
      </c>
      <c r="K95" s="316">
        <v>15000</v>
      </c>
      <c r="L95" s="308">
        <v>5137</v>
      </c>
      <c r="M95" s="308">
        <v>4308</v>
      </c>
      <c r="N95" s="308">
        <v>23775</v>
      </c>
      <c r="O95" s="308">
        <v>17756.139327272725</v>
      </c>
      <c r="P95" s="308">
        <v>5037.92</v>
      </c>
      <c r="Q95" s="309">
        <v>24354</v>
      </c>
      <c r="R95" s="308">
        <v>15118.5</v>
      </c>
      <c r="S95" s="308"/>
      <c r="T95" s="308"/>
      <c r="U95" s="308"/>
      <c r="V95" s="308"/>
      <c r="W95" s="317">
        <f>IFERROR(IF(tblPiNAnalysis[[#This Row],[CCCM]]="", "", MROUND(tblPiNAnalysis[[#This Row],[CCCM]]/tblPiNAnalysis[[#This Row],[Population]], 0.05)), "")</f>
        <v>0.35000000000000003</v>
      </c>
      <c r="X95" s="318">
        <f>IFERROR(IF(tblPiNAnalysis[[#This Row],[Education]]="", "", MROUND(tblPiNAnalysis[[#This Row],[Education]]/tblPiNAnalysis[[#This Row],[Population]], 0.05)), "")</f>
        <v>0.1</v>
      </c>
      <c r="Y95" s="318">
        <f>IFERROR(IF(tblPiNAnalysis[[#This Row],[Nutrition]]="", "", MROUND(tblPiNAnalysis[[#This Row],[Nutrition]]/tblPiNAnalysis[[#This Row],[Population]], 0.05)), "")</f>
        <v>0.1</v>
      </c>
      <c r="Z95" s="318">
        <f>IFERROR(IF(tblPiNAnalysis[[#This Row],[Food Security]]="", "", MROUND(tblPiNAnalysis[[#This Row],[Food Security]]/tblPiNAnalysis[[#This Row],[Population]], 0.05)), "")</f>
        <v>0.60000000000000009</v>
      </c>
      <c r="AA95" s="318">
        <f>IFERROR(IF(tblPiNAnalysis[[#This Row],[Health]]="", "", MROUND(tblPiNAnalysis[[#This Row],[Health]]/tblPiNAnalysis[[#This Row],[Population]], 0.05)), "")</f>
        <v>0.45</v>
      </c>
      <c r="AB95" s="319">
        <f>IFERROR(IF(tblPiNAnalysis[[#This Row],[Protection]]="", "", MROUND(tblPiNAnalysis[[#This Row],[Protection]]/tblPiNAnalysis[[#This Row],[Population]], 0.05)), "")</f>
        <v>0.1</v>
      </c>
      <c r="AC95" s="319">
        <f>IFERROR(IF(tblPiNAnalysis[[#This Row],[Shelter]]="", "", MROUND(tblPiNAnalysis[[#This Row],[Shelter]]/tblPiNAnalysis[[#This Row],[Population]], 0.05)), "")</f>
        <v>0.60000000000000009</v>
      </c>
      <c r="AD95" s="320">
        <f>IFERROR(IF(tblPiNAnalysis[[#This Row],[WASH]]="", "", MROUND(tblPiNAnalysis[[#This Row],[WASH]]/tblPiNAnalysis[[#This Row],[Population]], 0.05)), "")</f>
        <v>0.35000000000000003</v>
      </c>
      <c r="AE95" s="318">
        <f>IFERROR(MROUND(tblPiNAnalysis[[#This Row],[CP]]/tblPiNAnalysis[[#This Row],[Population]], 0.05), "")</f>
        <v>0</v>
      </c>
      <c r="AF95" s="318">
        <f>IFERROR(MROUND(tblPiNAnalysis[[#This Row],[GBV]]/tblPiNAnalysis[[#This Row],[Population]], 0.05), "")</f>
        <v>0</v>
      </c>
      <c r="AG95" s="318">
        <f>IFERROR(MROUND(tblPiNAnalysis[[#This Row],[Migrants]]/tblPiNAnalysis[[#This Row],[Population]], 0.05), "")</f>
        <v>0</v>
      </c>
      <c r="AH95" s="318">
        <f>IFERROR(MROUND(tblPiNAnalysis[[#This Row],[_]]/tblPiNAnalysis[[#This Row],[Population]], 0.05), "")</f>
        <v>0</v>
      </c>
      <c r="AI95" s="321">
        <f>IFERROR(LARGE(tblPiNAnalysis[[#This Row],[CCCM]:[WASH]], 1), "")</f>
        <v>24354</v>
      </c>
      <c r="AJ95" s="322" t="str" cm="1">
        <f t="array" ref="AJ95">IF(tblPiNAnalysis[[#This Row],[Highest PiN]]="", "", _xlfn.TEXTJOIN(CHAR(10), TRUE, IF(tblPiNAnalysis[[#This Row],[Highest PiN]]=tblPiNAnalysis[[#This Row],[CCCM]:[WASH]], tblPiNAnalysis[[#Headers],[CCCM]:[WASH]], "")))</f>
        <v>Shelter</v>
      </c>
      <c r="AK95" s="323">
        <f>IF(tblPiNAnalysis[[#This Row],[Highest PiN]]="", "", tblPiNAnalysis[[#This Row],[Highest PiN]]/tblPiNAnalysis[[#This Row],[Population]])</f>
        <v>0.5905861241118413</v>
      </c>
      <c r="AL95" s="265" t="str">
        <f>IF(SUM(tblPiNAnalysis[[#This Row],[CCCM]:[WASH]])=0, "",IF(COUNTIF(tblPiNAnalysis[[#This Row],[CCCM]:[WASH]],"=0")+COUNTIF(tblPiNAnalysis[[#This Row],[CCCM]:[WASH]],"")&gt;=zero_pin_thresh, "Flagged", ""))</f>
        <v/>
      </c>
      <c r="AM95" s="264" t="str">
        <f>IFERROR(IF(tblPiNAnalysis[[#This Row],[Highest PiN]]="", "", IF(tblPiNAnalysis[[#This Row],[Highest sector(s'') PiN %]]&gt;=flag_pin_perc, "Flagged", "")), "")</f>
        <v/>
      </c>
      <c r="AN95" s="266" t="str" cm="1">
        <f t="array" ref="AN95">IF(tblPiNAnalysis[[#This Row],[Highest PiN]]=0, "",  IF(OR(COUNTIF(tblPiNAnalysis[[#This Row],[Highest sector(s)]],tblSubSectorPopulation[Sector])), "Flagged", ""))</f>
        <v/>
      </c>
      <c r="AO95" s="45" cm="1">
        <f t="array" ref="AO9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23775</v>
      </c>
      <c r="AP95" s="326" t="str" cm="1">
        <f t="array" ref="AP95">IF(tblPiNAnalysis[[#This Row],[2nd Highest PiN]]="", "", _xlfn.TEXTJOIN(CHAR(10), TRUE, IF(tblPiNAnalysis[[#This Row],[2nd Highest PiN]]=tblPiNAnalysis[[#This Row],[CCCM]:[WASH]], tblPiNAnalysis[[#Headers],[CCCM]:[WASH]], "")))</f>
        <v>Food Security</v>
      </c>
      <c r="AQ95" s="35">
        <f>IFERROR(tblPiNAnalysis[[#This Row],[2nd Highest PiN]]/tblPiNAnalysis[[#This Row],[Population]], "")</f>
        <v>0.57654533549967257</v>
      </c>
      <c r="AR95" s="45">
        <f>IFERROR(tblPiNAnalysis[[#This Row],[Highest PiN]]-tblPiNAnalysis[[#This Row],[2nd Highest PiN]], "")</f>
        <v>579</v>
      </c>
      <c r="AS95" s="38">
        <f>IFERROR(((tblPiNAnalysis[[#This Row],[Highest PiN]]-tblPiNAnalysis[[#This Row],[2nd Highest PiN]])/tblPiNAnalysis[[#This Row],[2nd Highest PiN]]),"")</f>
        <v>2.4353312302839117E-2</v>
      </c>
      <c r="AT95" s="269" t="str" cm="1">
        <f t="array" ref="AT9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5" s="327" cm="1">
        <f t="array" ref="AU9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17756.139327272725</v>
      </c>
      <c r="AV95" s="186" t="str" cm="1">
        <f t="array" ref="AV95">IF(tblPiNAnalysis[[#This Row],[3rd Highest PiN]]="", "", _xlfn.TEXTJOIN(CHAR(10), TRUE, IF(tblPiNAnalysis[[#This Row],[3rd Highest PiN]]=tblPiNAnalysis[[#This Row],[CCCM]:[WASH]], tblPiNAnalysis[[#Headers],[CCCM]:[WASH]], "")))</f>
        <v>Health</v>
      </c>
      <c r="AW95" s="186">
        <f>IFERROR(tblPiNAnalysis[[#This Row],[3rd Highest PiN]]/tblPiNAnalysis[[#This Row],[Population]], "")</f>
        <v>0.43058756280216132</v>
      </c>
      <c r="AX95" s="44">
        <f>IFERROR(tblPiNAnalysis[[#This Row],[Highest PiN]]-tblPiNAnalysis[[#This Row],[3rd Highest PiN]],"")</f>
        <v>6597.8606727272745</v>
      </c>
      <c r="AY95" s="38">
        <f>IFERROR(tblPiNAnalysis[[#This Row],[Difference of PiN between Highest and 3rd Highest]]/tblPiNAnalysis[[#This Row],[3rd Highest PiN]], "")</f>
        <v>0.37158193856888827</v>
      </c>
      <c r="AZ95" s="325" t="str" cm="1">
        <f t="array" ref="AZ9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5" s="292" cm="1">
        <f t="array" ref="BA95">IFERROR(IF(tblPiNAnalysis[[#This Row],[ID]]="", "", INDEX(tblPiNHistorical[[CCCM]:[WASH]], MATCH(tblPiNAnalysis[[#This Row],[ID]],tblPiNHistorical[ID], 0),MATCH(_xlfn._xlws.FILTER(tblPiNAnalysis[[#Headers],[CCCM]:[WASH]], tblPiNAnalysis[[#This Row],[Highest PiN]]=tblPiNAnalysis[[#This Row],[CCCM]:[WASH]]), tblPiNHistorical[[#Headers],[CCCM]:[WASH]], 0))), "")</f>
        <v>0.3</v>
      </c>
      <c r="BB95" s="328" t="str" cm="1">
        <f t="array" ref="BB9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5" s="272" cm="1">
        <f t="array" ref="BC95">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95" s="329" t="str" cm="1">
        <f t="array" ref="BD9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5" s="371">
        <f>INDEX(tblSeverityAnalysis[Final Severity], MATCH(tblPiNAnalysis[[#This Row],[ID]],tblSeverityAnalysis[ID], 0))</f>
        <v>3</v>
      </c>
      <c r="BF95" s="60">
        <f>IF(tblPiNAnalysis[[#This Row],[Severity]]&gt;2,tblPiNAnalysis[[#This Row],[Highest PiN]],)</f>
        <v>24354</v>
      </c>
      <c r="BG95" s="187"/>
      <c r="BH95" s="188"/>
      <c r="BI95" s="189">
        <f>COUNTIFS(tblPiNAnalysis[[#This Row],[Number of missing / zero PiNs greater than threshold - Data quality]:[Manual Flag]],"Flagged")</f>
        <v>0</v>
      </c>
      <c r="BJ95" s="346" t="str">
        <f>IF(tblPiNAnalysis[[#This Row],['# Flags]]&gt;0, "Flagged", "")</f>
        <v/>
      </c>
      <c r="BK95" s="339">
        <f>tblPiNAnalysis[[#This Row],[Preliminary PiN]]</f>
        <v>24354</v>
      </c>
      <c r="BL95" s="326"/>
      <c r="BM95" s="383">
        <f>IF(OR(tblPiNAnalysis[[#This Row],[Severity]]=4,tblPiNAnalysis[[#This Row],[Severity]]=5),tblPiNAnalysis[[#This Row],[Final PiN]],0)</f>
        <v>0</v>
      </c>
      <c r="BN95" s="378">
        <f>IF(OR(tblPiNAnalysis[[#This Row],[Severity]]=4,tblPiNAnalysis[[#This Row],[Severity]]=5),100%, IF(tblPiNAnalysis[[#This Row],[Severity]]=3,50%,0%))*tblPiNAnalysis[[#This Row],[Final PiN]]</f>
        <v>12177</v>
      </c>
      <c r="BO95" s="383">
        <f>IF(OR(tblPiNAnalysis[[#This Row],[Severity]]=4,tblPiNAnalysis[[#This Row],[Severity]]=5),100%, IF(AND(tblPiNAnalysis[[#This Row],[Severity]]=3,VLOOKUP(tblPiNAnalysis[[#This Row],[ID]],tblSeverityAnalysis[[ID]:[Highest Severity]],35,FALSE)&gt;3),50%,0%))*tblPiNAnalysis[[#This Row],[Final PiN]]</f>
        <v>0</v>
      </c>
    </row>
    <row r="96" spans="1:67" hidden="1">
      <c r="A9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Global_PopulationHT0714</v>
      </c>
      <c r="B96" s="304" t="s">
        <v>345</v>
      </c>
      <c r="C96" s="213" t="s">
        <v>346</v>
      </c>
      <c r="D96" s="213" t="s">
        <v>353</v>
      </c>
      <c r="E96" s="103" t="s">
        <v>354</v>
      </c>
      <c r="F96" s="99"/>
      <c r="G96" s="34"/>
      <c r="H96" s="357"/>
      <c r="I96" s="354">
        <v>51550</v>
      </c>
      <c r="J96" s="221" t="s">
        <v>156</v>
      </c>
      <c r="K96" s="316">
        <v>6900</v>
      </c>
      <c r="L96" s="308">
        <v>6109</v>
      </c>
      <c r="M96" s="308">
        <v>4966</v>
      </c>
      <c r="N96" s="308">
        <v>29966</v>
      </c>
      <c r="O96" s="308">
        <v>8963.3172086956529</v>
      </c>
      <c r="P96" s="308">
        <v>4672.1085714285709</v>
      </c>
      <c r="Q96" s="309">
        <v>20994</v>
      </c>
      <c r="R96" s="308">
        <v>5523.2142857142853</v>
      </c>
      <c r="S96" s="308"/>
      <c r="T96" s="308"/>
      <c r="U96" s="308"/>
      <c r="V96" s="308"/>
      <c r="W96" s="317">
        <f>IFERROR(IF(tblPiNAnalysis[[#This Row],[CCCM]]="", "", MROUND(tblPiNAnalysis[[#This Row],[CCCM]]/tblPiNAnalysis[[#This Row],[Population]], 0.05)), "")</f>
        <v>0.15000000000000002</v>
      </c>
      <c r="X96" s="318">
        <f>IFERROR(IF(tblPiNAnalysis[[#This Row],[Education]]="", "", MROUND(tblPiNAnalysis[[#This Row],[Education]]/tblPiNAnalysis[[#This Row],[Population]], 0.05)), "")</f>
        <v>0.1</v>
      </c>
      <c r="Y96" s="318">
        <f>IFERROR(IF(tblPiNAnalysis[[#This Row],[Nutrition]]="", "", MROUND(tblPiNAnalysis[[#This Row],[Nutrition]]/tblPiNAnalysis[[#This Row],[Population]], 0.05)), "")</f>
        <v>0.1</v>
      </c>
      <c r="Z96" s="318">
        <f>IFERROR(IF(tblPiNAnalysis[[#This Row],[Food Security]]="", "", MROUND(tblPiNAnalysis[[#This Row],[Food Security]]/tblPiNAnalysis[[#This Row],[Population]], 0.05)), "")</f>
        <v>0.60000000000000009</v>
      </c>
      <c r="AA96" s="318">
        <f>IFERROR(IF(tblPiNAnalysis[[#This Row],[Health]]="", "", MROUND(tblPiNAnalysis[[#This Row],[Health]]/tblPiNAnalysis[[#This Row],[Population]], 0.05)), "")</f>
        <v>0.15000000000000002</v>
      </c>
      <c r="AB96" s="319">
        <f>IFERROR(IF(tblPiNAnalysis[[#This Row],[Protection]]="", "", MROUND(tblPiNAnalysis[[#This Row],[Protection]]/tblPiNAnalysis[[#This Row],[Population]], 0.05)), "")</f>
        <v>0.1</v>
      </c>
      <c r="AC96" s="319">
        <f>IFERROR(IF(tblPiNAnalysis[[#This Row],[Shelter]]="", "", MROUND(tblPiNAnalysis[[#This Row],[Shelter]]/tblPiNAnalysis[[#This Row],[Population]], 0.05)), "")</f>
        <v>0.4</v>
      </c>
      <c r="AD96" s="320">
        <f>IFERROR(IF(tblPiNAnalysis[[#This Row],[WASH]]="", "", MROUND(tblPiNAnalysis[[#This Row],[WASH]]/tblPiNAnalysis[[#This Row],[Population]], 0.05)), "")</f>
        <v>0.1</v>
      </c>
      <c r="AE96" s="318">
        <f>IFERROR(MROUND(tblPiNAnalysis[[#This Row],[CP]]/tblPiNAnalysis[[#This Row],[Population]], 0.05), "")</f>
        <v>0</v>
      </c>
      <c r="AF96" s="318">
        <f>IFERROR(MROUND(tblPiNAnalysis[[#This Row],[GBV]]/tblPiNAnalysis[[#This Row],[Population]], 0.05), "")</f>
        <v>0</v>
      </c>
      <c r="AG96" s="318">
        <f>IFERROR(MROUND(tblPiNAnalysis[[#This Row],[Migrants]]/tblPiNAnalysis[[#This Row],[Population]], 0.05), "")</f>
        <v>0</v>
      </c>
      <c r="AH96" s="318">
        <f>IFERROR(MROUND(tblPiNAnalysis[[#This Row],[_]]/tblPiNAnalysis[[#This Row],[Population]], 0.05), "")</f>
        <v>0</v>
      </c>
      <c r="AI96" s="321">
        <f>IFERROR(LARGE(tblPiNAnalysis[[#This Row],[CCCM]:[WASH]], 1), "")</f>
        <v>29966</v>
      </c>
      <c r="AJ96" s="322" t="str" cm="1">
        <f t="array" ref="AJ96">IF(tblPiNAnalysis[[#This Row],[Highest PiN]]="", "", _xlfn.TEXTJOIN(CHAR(10), TRUE, IF(tblPiNAnalysis[[#This Row],[Highest PiN]]=tblPiNAnalysis[[#This Row],[CCCM]:[WASH]], tblPiNAnalysis[[#Headers],[CCCM]:[WASH]], "")))</f>
        <v>Food Security</v>
      </c>
      <c r="AK96" s="323">
        <f>IF(tblPiNAnalysis[[#This Row],[Highest PiN]]="", "", tblPiNAnalysis[[#This Row],[Highest PiN]]/tblPiNAnalysis[[#This Row],[Population]])</f>
        <v>0.58129970902036854</v>
      </c>
      <c r="AL96" s="265" t="str">
        <f>IF(SUM(tblPiNAnalysis[[#This Row],[CCCM]:[WASH]])=0, "",IF(COUNTIF(tblPiNAnalysis[[#This Row],[CCCM]:[WASH]],"=0")+COUNTIF(tblPiNAnalysis[[#This Row],[CCCM]:[WASH]],"")&gt;=zero_pin_thresh, "Flagged", ""))</f>
        <v/>
      </c>
      <c r="AM96" s="264" t="str">
        <f>IFERROR(IF(tblPiNAnalysis[[#This Row],[Highest PiN]]="", "", IF(tblPiNAnalysis[[#This Row],[Highest sector(s'') PiN %]]&gt;=flag_pin_perc, "Flagged", "")), "")</f>
        <v/>
      </c>
      <c r="AN96" s="266" t="str" cm="1">
        <f t="array" ref="AN96">IF(tblPiNAnalysis[[#This Row],[Highest PiN]]=0, "",  IF(OR(COUNTIF(tblPiNAnalysis[[#This Row],[Highest sector(s)]],tblSubSectorPopulation[Sector])), "Flagged", ""))</f>
        <v/>
      </c>
      <c r="AO96" s="45" cm="1">
        <f t="array" ref="AO9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20994</v>
      </c>
      <c r="AP96" s="326" t="str" cm="1">
        <f t="array" ref="AP96">IF(tblPiNAnalysis[[#This Row],[2nd Highest PiN]]="", "", _xlfn.TEXTJOIN(CHAR(10), TRUE, IF(tblPiNAnalysis[[#This Row],[2nd Highest PiN]]=tblPiNAnalysis[[#This Row],[CCCM]:[WASH]], tblPiNAnalysis[[#Headers],[CCCM]:[WASH]], "")))</f>
        <v>Shelter</v>
      </c>
      <c r="AQ96" s="35">
        <f>IFERROR(tblPiNAnalysis[[#This Row],[2nd Highest PiN]]/tblPiNAnalysis[[#This Row],[Population]], "")</f>
        <v>0.40725509214354993</v>
      </c>
      <c r="AR96" s="45">
        <f>IFERROR(tblPiNAnalysis[[#This Row],[Highest PiN]]-tblPiNAnalysis[[#This Row],[2nd Highest PiN]], "")</f>
        <v>8972</v>
      </c>
      <c r="AS96" s="38">
        <f>IFERROR(((tblPiNAnalysis[[#This Row],[Highest PiN]]-tblPiNAnalysis[[#This Row],[2nd Highest PiN]])/tblPiNAnalysis[[#This Row],[2nd Highest PiN]]),"")</f>
        <v>0.42736019815185289</v>
      </c>
      <c r="AT96" s="269" t="str" cm="1">
        <f t="array" ref="AT9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6" s="327" cm="1">
        <f t="array" ref="AU9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8963.3172086956529</v>
      </c>
      <c r="AV96" s="186" t="str" cm="1">
        <f t="array" ref="AV96">IF(tblPiNAnalysis[[#This Row],[3rd Highest PiN]]="", "", _xlfn.TEXTJOIN(CHAR(10), TRUE, IF(tblPiNAnalysis[[#This Row],[3rd Highest PiN]]=tblPiNAnalysis[[#This Row],[CCCM]:[WASH]], tblPiNAnalysis[[#Headers],[CCCM]:[WASH]], "")))</f>
        <v>Health</v>
      </c>
      <c r="AW96" s="186">
        <f>IFERROR(tblPiNAnalysis[[#This Row],[3rd Highest PiN]]/tblPiNAnalysis[[#This Row],[Population]], "")</f>
        <v>0.17387618251591955</v>
      </c>
      <c r="AX96" s="44">
        <f>IFERROR(tblPiNAnalysis[[#This Row],[Highest PiN]]-tblPiNAnalysis[[#This Row],[3rd Highest PiN]],"")</f>
        <v>21002.682791304345</v>
      </c>
      <c r="AY96" s="38">
        <f>IFERROR(tblPiNAnalysis[[#This Row],[Difference of PiN between Highest and 3rd Highest]]/tblPiNAnalysis[[#This Row],[3rd Highest PiN]], "")</f>
        <v>2.3431819160576901</v>
      </c>
      <c r="AZ96" s="325" t="str" cm="1">
        <f t="array" ref="AZ9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6" s="292" cm="1">
        <f t="array" ref="BA96">IFERROR(IF(tblPiNAnalysis[[#This Row],[ID]]="", "", INDEX(tblPiNHistorical[[CCCM]:[WASH]], MATCH(tblPiNAnalysis[[#This Row],[ID]],tblPiNHistorical[ID], 0),MATCH(_xlfn._xlws.FILTER(tblPiNAnalysis[[#Headers],[CCCM]:[WASH]], tblPiNAnalysis[[#This Row],[Highest PiN]]=tblPiNAnalysis[[#This Row],[CCCM]:[WASH]]), tblPiNHistorical[[#Headers],[CCCM]:[WASH]], 0))), "")</f>
        <v>0.1</v>
      </c>
      <c r="BB96" s="328" t="str" cm="1">
        <f t="array" ref="BB9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6" s="272" cm="1">
        <f t="array" ref="BC96">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96" s="329" t="str" cm="1">
        <f t="array" ref="BD9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6" s="371">
        <f>INDEX(tblSeverityAnalysis[Final Severity], MATCH(tblPiNAnalysis[[#This Row],[ID]],tblSeverityAnalysis[ID], 0))</f>
        <v>3</v>
      </c>
      <c r="BF96" s="60">
        <f>IF(tblPiNAnalysis[[#This Row],[Severity]]&gt;2,tblPiNAnalysis[[#This Row],[Highest PiN]],)</f>
        <v>29966</v>
      </c>
      <c r="BG96" s="187"/>
      <c r="BH96" s="188"/>
      <c r="BI96" s="189">
        <f>COUNTIFS(tblPiNAnalysis[[#This Row],[Number of missing / zero PiNs greater than threshold - Data quality]:[Manual Flag]],"Flagged")</f>
        <v>1</v>
      </c>
      <c r="BJ96" s="346" t="str">
        <f>IF(tblPiNAnalysis[[#This Row],['# Flags]]&gt;0, "Flagged", "")</f>
        <v>Flagged</v>
      </c>
      <c r="BK96" s="339">
        <f>tblPiNAnalysis[[#This Row],[Preliminary PiN]]</f>
        <v>29966</v>
      </c>
      <c r="BL96" s="326"/>
      <c r="BM96" s="383">
        <f>IF(OR(tblPiNAnalysis[[#This Row],[Severity]]=4,tblPiNAnalysis[[#This Row],[Severity]]=5),tblPiNAnalysis[[#This Row],[Final PiN]],0)</f>
        <v>0</v>
      </c>
      <c r="BN96" s="378">
        <f>IF(OR(tblPiNAnalysis[[#This Row],[Severity]]=4,tblPiNAnalysis[[#This Row],[Severity]]=5),100%, IF(tblPiNAnalysis[[#This Row],[Severity]]=3,50%,0%))*tblPiNAnalysis[[#This Row],[Final PiN]]</f>
        <v>14983</v>
      </c>
      <c r="BO96" s="383">
        <f>IF(OR(tblPiNAnalysis[[#This Row],[Severity]]=4,tblPiNAnalysis[[#This Row],[Severity]]=5),100%, IF(AND(tblPiNAnalysis[[#This Row],[Severity]]=3,VLOOKUP(tblPiNAnalysis[[#This Row],[ID]],tblSeverityAnalysis[[ID]:[Highest Severity]],35,FALSE)&gt;3),50%,0%))*tblPiNAnalysis[[#This Row],[Final PiN]]</f>
        <v>0</v>
      </c>
    </row>
    <row r="97" spans="1:67" ht="24.6" hidden="1">
      <c r="A9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Global_PopulationHT0715</v>
      </c>
      <c r="B97" s="304" t="s">
        <v>345</v>
      </c>
      <c r="C97" s="213" t="s">
        <v>346</v>
      </c>
      <c r="D97" s="213" t="s">
        <v>355</v>
      </c>
      <c r="E97" s="103" t="s">
        <v>356</v>
      </c>
      <c r="F97" s="99"/>
      <c r="G97" s="34"/>
      <c r="H97" s="357"/>
      <c r="I97" s="354">
        <v>27507</v>
      </c>
      <c r="J97" s="221" t="s">
        <v>156</v>
      </c>
      <c r="K97" s="316">
        <v>6979.5</v>
      </c>
      <c r="L97" s="308">
        <v>3461</v>
      </c>
      <c r="M97" s="308">
        <v>2813</v>
      </c>
      <c r="N97" s="308">
        <v>15923</v>
      </c>
      <c r="O97" s="308">
        <v>8723.3928551472163</v>
      </c>
      <c r="P97" s="308">
        <v>9511</v>
      </c>
      <c r="Q97" s="309">
        <v>20835</v>
      </c>
      <c r="R97" s="308">
        <v>9511</v>
      </c>
      <c r="S97" s="308"/>
      <c r="T97" s="308"/>
      <c r="U97" s="308"/>
      <c r="V97" s="308"/>
      <c r="W97" s="317">
        <f>IFERROR(IF(tblPiNAnalysis[[#This Row],[CCCM]]="", "", MROUND(tblPiNAnalysis[[#This Row],[CCCM]]/tblPiNAnalysis[[#This Row],[Population]], 0.05)), "")</f>
        <v>0.25</v>
      </c>
      <c r="X97" s="318">
        <f>IFERROR(IF(tblPiNAnalysis[[#This Row],[Education]]="", "", MROUND(tblPiNAnalysis[[#This Row],[Education]]/tblPiNAnalysis[[#This Row],[Population]], 0.05)), "")</f>
        <v>0.15000000000000002</v>
      </c>
      <c r="Y97" s="318">
        <f>IFERROR(IF(tblPiNAnalysis[[#This Row],[Nutrition]]="", "", MROUND(tblPiNAnalysis[[#This Row],[Nutrition]]/tblPiNAnalysis[[#This Row],[Population]], 0.05)), "")</f>
        <v>0.1</v>
      </c>
      <c r="Z97" s="318">
        <f>IFERROR(IF(tblPiNAnalysis[[#This Row],[Food Security]]="", "", MROUND(tblPiNAnalysis[[#This Row],[Food Security]]/tblPiNAnalysis[[#This Row],[Population]], 0.05)), "")</f>
        <v>0.60000000000000009</v>
      </c>
      <c r="AA97" s="318">
        <f>IFERROR(IF(tblPiNAnalysis[[#This Row],[Health]]="", "", MROUND(tblPiNAnalysis[[#This Row],[Health]]/tblPiNAnalysis[[#This Row],[Population]], 0.05)), "")</f>
        <v>0.30000000000000004</v>
      </c>
      <c r="AB97" s="319">
        <f>IFERROR(IF(tblPiNAnalysis[[#This Row],[Protection]]="", "", MROUND(tblPiNAnalysis[[#This Row],[Protection]]/tblPiNAnalysis[[#This Row],[Population]], 0.05)), "")</f>
        <v>0.35000000000000003</v>
      </c>
      <c r="AC97" s="319">
        <f>IFERROR(IF(tblPiNAnalysis[[#This Row],[Shelter]]="", "", MROUND(tblPiNAnalysis[[#This Row],[Shelter]]/tblPiNAnalysis[[#This Row],[Population]], 0.05)), "")</f>
        <v>0.75</v>
      </c>
      <c r="AD97" s="320">
        <f>IFERROR(IF(tblPiNAnalysis[[#This Row],[WASH]]="", "", MROUND(tblPiNAnalysis[[#This Row],[WASH]]/tblPiNAnalysis[[#This Row],[Population]], 0.05)), "")</f>
        <v>0.35000000000000003</v>
      </c>
      <c r="AE97" s="318">
        <f>IFERROR(MROUND(tblPiNAnalysis[[#This Row],[CP]]/tblPiNAnalysis[[#This Row],[Population]], 0.05), "")</f>
        <v>0</v>
      </c>
      <c r="AF97" s="318">
        <f>IFERROR(MROUND(tblPiNAnalysis[[#This Row],[GBV]]/tblPiNAnalysis[[#This Row],[Population]], 0.05), "")</f>
        <v>0</v>
      </c>
      <c r="AG97" s="318">
        <f>IFERROR(MROUND(tblPiNAnalysis[[#This Row],[Migrants]]/tblPiNAnalysis[[#This Row],[Population]], 0.05), "")</f>
        <v>0</v>
      </c>
      <c r="AH97" s="318">
        <f>IFERROR(MROUND(tblPiNAnalysis[[#This Row],[_]]/tblPiNAnalysis[[#This Row],[Population]], 0.05), "")</f>
        <v>0</v>
      </c>
      <c r="AI97" s="321">
        <f>IFERROR(LARGE(tblPiNAnalysis[[#This Row],[CCCM]:[WASH]], 1), "")</f>
        <v>20835</v>
      </c>
      <c r="AJ97" s="322" t="str" cm="1">
        <f t="array" ref="AJ97">IF(tblPiNAnalysis[[#This Row],[Highest PiN]]="", "", _xlfn.TEXTJOIN(CHAR(10), TRUE, IF(tblPiNAnalysis[[#This Row],[Highest PiN]]=tblPiNAnalysis[[#This Row],[CCCM]:[WASH]], tblPiNAnalysis[[#Headers],[CCCM]:[WASH]], "")))</f>
        <v>Shelter</v>
      </c>
      <c r="AK97" s="323">
        <f>IF(tblPiNAnalysis[[#This Row],[Highest PiN]]="", "", tblPiNAnalysis[[#This Row],[Highest PiN]]/tblPiNAnalysis[[#This Row],[Population]])</f>
        <v>0.75744355982113643</v>
      </c>
      <c r="AL97" s="265" t="str">
        <f>IF(SUM(tblPiNAnalysis[[#This Row],[CCCM]:[WASH]])=0, "",IF(COUNTIF(tblPiNAnalysis[[#This Row],[CCCM]:[WASH]],"=0")+COUNTIF(tblPiNAnalysis[[#This Row],[CCCM]:[WASH]],"")&gt;=zero_pin_thresh, "Flagged", ""))</f>
        <v/>
      </c>
      <c r="AM97" s="264" t="str">
        <f>IFERROR(IF(tblPiNAnalysis[[#This Row],[Highest PiN]]="", "", IF(tblPiNAnalysis[[#This Row],[Highest sector(s'') PiN %]]&gt;=flag_pin_perc, "Flagged", "")), "")</f>
        <v/>
      </c>
      <c r="AN97" s="266" t="str" cm="1">
        <f t="array" ref="AN97">IF(tblPiNAnalysis[[#This Row],[Highest PiN]]=0, "",  IF(OR(COUNTIF(tblPiNAnalysis[[#This Row],[Highest sector(s)]],tblSubSectorPopulation[Sector])), "Flagged", ""))</f>
        <v/>
      </c>
      <c r="AO97" s="45" cm="1">
        <f t="array" ref="AO9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15923</v>
      </c>
      <c r="AP97" s="326" t="str" cm="1">
        <f t="array" ref="AP97">IF(tblPiNAnalysis[[#This Row],[2nd Highest PiN]]="", "", _xlfn.TEXTJOIN(CHAR(10), TRUE, IF(tblPiNAnalysis[[#This Row],[2nd Highest PiN]]=tblPiNAnalysis[[#This Row],[CCCM]:[WASH]], tblPiNAnalysis[[#Headers],[CCCM]:[WASH]], "")))</f>
        <v>Food Security</v>
      </c>
      <c r="AQ97" s="35">
        <f>IFERROR(tblPiNAnalysis[[#This Row],[2nd Highest PiN]]/tblPiNAnalysis[[#This Row],[Population]], "")</f>
        <v>0.57887083287890351</v>
      </c>
      <c r="AR97" s="45">
        <f>IFERROR(tblPiNAnalysis[[#This Row],[Highest PiN]]-tblPiNAnalysis[[#This Row],[2nd Highest PiN]], "")</f>
        <v>4912</v>
      </c>
      <c r="AS97" s="38">
        <f>IFERROR(((tblPiNAnalysis[[#This Row],[Highest PiN]]-tblPiNAnalysis[[#This Row],[2nd Highest PiN]])/tblPiNAnalysis[[#This Row],[2nd Highest PiN]]),"")</f>
        <v>0.308484582051121</v>
      </c>
      <c r="AT97" s="269" t="str" cm="1">
        <f t="array" ref="AT9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7" s="327" cm="1">
        <f t="array" ref="AU9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9511</v>
      </c>
      <c r="AV97" s="186" t="str" cm="1">
        <f t="array" ref="AV97">IF(tblPiNAnalysis[[#This Row],[3rd Highest PiN]]="", "", _xlfn.TEXTJOIN(CHAR(10), TRUE, IF(tblPiNAnalysis[[#This Row],[3rd Highest PiN]]=tblPiNAnalysis[[#This Row],[CCCM]:[WASH]], tblPiNAnalysis[[#Headers],[CCCM]:[WASH]], "")))</f>
        <v>Protection
WASH</v>
      </c>
      <c r="AW97" s="186">
        <f>IFERROR(tblPiNAnalysis[[#This Row],[3rd Highest PiN]]/tblPiNAnalysis[[#This Row],[Population]], "")</f>
        <v>0.34576653215545133</v>
      </c>
      <c r="AX97" s="44">
        <f>IFERROR(tblPiNAnalysis[[#This Row],[Highest PiN]]-tblPiNAnalysis[[#This Row],[3rd Highest PiN]],"")</f>
        <v>11324</v>
      </c>
      <c r="AY97" s="38">
        <f>IFERROR(tblPiNAnalysis[[#This Row],[Difference of PiN between Highest and 3rd Highest]]/tblPiNAnalysis[[#This Row],[3rd Highest PiN]], "")</f>
        <v>1.1906213857638523</v>
      </c>
      <c r="AZ97" s="325" t="str" cm="1">
        <f t="array" ref="AZ9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7" s="292" cm="1">
        <f t="array" ref="BA97">IFERROR(IF(tblPiNAnalysis[[#This Row],[ID]]="", "", INDEX(tblPiNHistorical[[CCCM]:[WASH]], MATCH(tblPiNAnalysis[[#This Row],[ID]],tblPiNHistorical[ID], 0),MATCH(_xlfn._xlws.FILTER(tblPiNAnalysis[[#Headers],[CCCM]:[WASH]], tblPiNAnalysis[[#This Row],[Highest PiN]]=tblPiNAnalysis[[#This Row],[CCCM]:[WASH]]), tblPiNHistorical[[#Headers],[CCCM]:[WASH]], 0))), "")</f>
        <v>0.6</v>
      </c>
      <c r="BB97" s="328" t="str" cm="1">
        <f t="array" ref="BB9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7" s="272" cm="1">
        <f t="array" ref="BC97">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97" s="329" t="str" cm="1">
        <f t="array" ref="BD9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7" s="371">
        <f>INDEX(tblSeverityAnalysis[Final Severity], MATCH(tblPiNAnalysis[[#This Row],[ID]],tblSeverityAnalysis[ID], 0))</f>
        <v>3</v>
      </c>
      <c r="BF97" s="60">
        <f>IF(tblPiNAnalysis[[#This Row],[Severity]]&gt;2,tblPiNAnalysis[[#This Row],[Highest PiN]],)</f>
        <v>20835</v>
      </c>
      <c r="BG97" s="187"/>
      <c r="BH97" s="188"/>
      <c r="BI97" s="189">
        <f>COUNTIFS(tblPiNAnalysis[[#This Row],[Number of missing / zero PiNs greater than threshold - Data quality]:[Manual Flag]],"Flagged")</f>
        <v>1</v>
      </c>
      <c r="BJ97" s="346" t="str">
        <f>IF(tblPiNAnalysis[[#This Row],['# Flags]]&gt;0, "Flagged", "")</f>
        <v>Flagged</v>
      </c>
      <c r="BK97" s="339">
        <f>tblPiNAnalysis[[#This Row],[Preliminary PiN]]</f>
        <v>20835</v>
      </c>
      <c r="BL97" s="326"/>
      <c r="BM97" s="383">
        <f>IF(OR(tblPiNAnalysis[[#This Row],[Severity]]=4,tblPiNAnalysis[[#This Row],[Severity]]=5),tblPiNAnalysis[[#This Row],[Final PiN]],0)</f>
        <v>0</v>
      </c>
      <c r="BN97" s="378">
        <f>IF(OR(tblPiNAnalysis[[#This Row],[Severity]]=4,tblPiNAnalysis[[#This Row],[Severity]]=5),100%, IF(tblPiNAnalysis[[#This Row],[Severity]]=3,50%,0%))*tblPiNAnalysis[[#This Row],[Final PiN]]</f>
        <v>10417.5</v>
      </c>
      <c r="BO97" s="383">
        <f>IF(OR(tblPiNAnalysis[[#This Row],[Severity]]=4,tblPiNAnalysis[[#This Row],[Severity]]=5),100%, IF(AND(tblPiNAnalysis[[#This Row],[Severity]]=3,VLOOKUP(tblPiNAnalysis[[#This Row],[ID]],tblSeverityAnalysis[[ID]:[Highest Severity]],35,FALSE)&gt;3),50%,0%))*tblPiNAnalysis[[#This Row],[Final PiN]]</f>
        <v>0</v>
      </c>
    </row>
    <row r="98" spans="1:67" hidden="1">
      <c r="A9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Global_PopulationHT0716</v>
      </c>
      <c r="B98" s="304" t="s">
        <v>345</v>
      </c>
      <c r="C98" s="213" t="s">
        <v>346</v>
      </c>
      <c r="D98" s="213" t="s">
        <v>357</v>
      </c>
      <c r="E98" s="103" t="s">
        <v>358</v>
      </c>
      <c r="F98" s="99"/>
      <c r="G98" s="34"/>
      <c r="H98" s="357"/>
      <c r="I98" s="354">
        <v>17491</v>
      </c>
      <c r="J98" s="221" t="s">
        <v>156</v>
      </c>
      <c r="K98" s="316">
        <v>400.5</v>
      </c>
      <c r="L98" s="308">
        <v>2290</v>
      </c>
      <c r="M98" s="308">
        <v>1494</v>
      </c>
      <c r="N98" s="308">
        <v>11269</v>
      </c>
      <c r="O98" s="308">
        <v>500.3211003745318</v>
      </c>
      <c r="P98" s="308">
        <v>141.18</v>
      </c>
      <c r="Q98" s="309">
        <v>0</v>
      </c>
      <c r="R98" s="308">
        <v>4372.75</v>
      </c>
      <c r="S98" s="308"/>
      <c r="T98" s="308"/>
      <c r="U98" s="308"/>
      <c r="V98" s="308"/>
      <c r="W98" s="317">
        <f>IFERROR(IF(tblPiNAnalysis[[#This Row],[CCCM]]="", "", MROUND(tblPiNAnalysis[[#This Row],[CCCM]]/tblPiNAnalysis[[#This Row],[Population]], 0.05)), "")</f>
        <v>0</v>
      </c>
      <c r="X98" s="318">
        <f>IFERROR(IF(tblPiNAnalysis[[#This Row],[Education]]="", "", MROUND(tblPiNAnalysis[[#This Row],[Education]]/tblPiNAnalysis[[#This Row],[Population]], 0.05)), "")</f>
        <v>0.15000000000000002</v>
      </c>
      <c r="Y98" s="318">
        <f>IFERROR(IF(tblPiNAnalysis[[#This Row],[Nutrition]]="", "", MROUND(tblPiNAnalysis[[#This Row],[Nutrition]]/tblPiNAnalysis[[#This Row],[Population]], 0.05)), "")</f>
        <v>0.1</v>
      </c>
      <c r="Z98" s="318">
        <f>IFERROR(IF(tblPiNAnalysis[[#This Row],[Food Security]]="", "", MROUND(tblPiNAnalysis[[#This Row],[Food Security]]/tblPiNAnalysis[[#This Row],[Population]], 0.05)), "")</f>
        <v>0.65</v>
      </c>
      <c r="AA98" s="318">
        <f>IFERROR(IF(tblPiNAnalysis[[#This Row],[Health]]="", "", MROUND(tblPiNAnalysis[[#This Row],[Health]]/tblPiNAnalysis[[#This Row],[Population]], 0.05)), "")</f>
        <v>0.05</v>
      </c>
      <c r="AB98" s="319">
        <f>IFERROR(IF(tblPiNAnalysis[[#This Row],[Protection]]="", "", MROUND(tblPiNAnalysis[[#This Row],[Protection]]/tblPiNAnalysis[[#This Row],[Population]], 0.05)), "")</f>
        <v>0</v>
      </c>
      <c r="AC98" s="319">
        <f>IFERROR(IF(tblPiNAnalysis[[#This Row],[Shelter]]="", "", MROUND(tblPiNAnalysis[[#This Row],[Shelter]]/tblPiNAnalysis[[#This Row],[Population]], 0.05)), "")</f>
        <v>0</v>
      </c>
      <c r="AD98" s="320">
        <f>IFERROR(IF(tblPiNAnalysis[[#This Row],[WASH]]="", "", MROUND(tblPiNAnalysis[[#This Row],[WASH]]/tblPiNAnalysis[[#This Row],[Population]], 0.05)), "")</f>
        <v>0.25</v>
      </c>
      <c r="AE98" s="318">
        <f>IFERROR(MROUND(tblPiNAnalysis[[#This Row],[CP]]/tblPiNAnalysis[[#This Row],[Population]], 0.05), "")</f>
        <v>0</v>
      </c>
      <c r="AF98" s="318">
        <f>IFERROR(MROUND(tblPiNAnalysis[[#This Row],[GBV]]/tblPiNAnalysis[[#This Row],[Population]], 0.05), "")</f>
        <v>0</v>
      </c>
      <c r="AG98" s="318">
        <f>IFERROR(MROUND(tblPiNAnalysis[[#This Row],[Migrants]]/tblPiNAnalysis[[#This Row],[Population]], 0.05), "")</f>
        <v>0</v>
      </c>
      <c r="AH98" s="318">
        <f>IFERROR(MROUND(tblPiNAnalysis[[#This Row],[_]]/tblPiNAnalysis[[#This Row],[Population]], 0.05), "")</f>
        <v>0</v>
      </c>
      <c r="AI98" s="321">
        <f>IFERROR(LARGE(tblPiNAnalysis[[#This Row],[CCCM]:[WASH]], 1), "")</f>
        <v>11269</v>
      </c>
      <c r="AJ98" s="322" t="str" cm="1">
        <f t="array" ref="AJ98">IF(tblPiNAnalysis[[#This Row],[Highest PiN]]="", "", _xlfn.TEXTJOIN(CHAR(10), TRUE, IF(tblPiNAnalysis[[#This Row],[Highest PiN]]=tblPiNAnalysis[[#This Row],[CCCM]:[WASH]], tblPiNAnalysis[[#Headers],[CCCM]:[WASH]], "")))</f>
        <v>Food Security</v>
      </c>
      <c r="AK98" s="323">
        <f>IF(tblPiNAnalysis[[#This Row],[Highest PiN]]="", "", tblPiNAnalysis[[#This Row],[Highest PiN]]/tblPiNAnalysis[[#This Row],[Population]])</f>
        <v>0.64427419815905318</v>
      </c>
      <c r="AL98" s="265" t="str">
        <f>IF(SUM(tblPiNAnalysis[[#This Row],[CCCM]:[WASH]])=0, "",IF(COUNTIF(tblPiNAnalysis[[#This Row],[CCCM]:[WASH]],"=0")+COUNTIF(tblPiNAnalysis[[#This Row],[CCCM]:[WASH]],"")&gt;=zero_pin_thresh, "Flagged", ""))</f>
        <v/>
      </c>
      <c r="AM98" s="264" t="str">
        <f>IFERROR(IF(tblPiNAnalysis[[#This Row],[Highest PiN]]="", "", IF(tblPiNAnalysis[[#This Row],[Highest sector(s'') PiN %]]&gt;=flag_pin_perc, "Flagged", "")), "")</f>
        <v/>
      </c>
      <c r="AN98" s="266" t="str" cm="1">
        <f t="array" ref="AN98">IF(tblPiNAnalysis[[#This Row],[Highest PiN]]=0, "",  IF(OR(COUNTIF(tblPiNAnalysis[[#This Row],[Highest sector(s)]],tblSubSectorPopulation[Sector])), "Flagged", ""))</f>
        <v/>
      </c>
      <c r="AO98" s="45" cm="1">
        <f t="array" ref="AO9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4372.75</v>
      </c>
      <c r="AP98" s="326" t="str" cm="1">
        <f t="array" ref="AP98">IF(tblPiNAnalysis[[#This Row],[2nd Highest PiN]]="", "", _xlfn.TEXTJOIN(CHAR(10), TRUE, IF(tblPiNAnalysis[[#This Row],[2nd Highest PiN]]=tblPiNAnalysis[[#This Row],[CCCM]:[WASH]], tblPiNAnalysis[[#Headers],[CCCM]:[WASH]], "")))</f>
        <v>WASH</v>
      </c>
      <c r="AQ98" s="35">
        <f>IFERROR(tblPiNAnalysis[[#This Row],[2nd Highest PiN]]/tblPiNAnalysis[[#This Row],[Population]], "")</f>
        <v>0.25</v>
      </c>
      <c r="AR98" s="45">
        <f>IFERROR(tblPiNAnalysis[[#This Row],[Highest PiN]]-tblPiNAnalysis[[#This Row],[2nd Highest PiN]], "")</f>
        <v>6896.25</v>
      </c>
      <c r="AS98" s="38">
        <f>IFERROR(((tblPiNAnalysis[[#This Row],[Highest PiN]]-tblPiNAnalysis[[#This Row],[2nd Highest PiN]])/tblPiNAnalysis[[#This Row],[2nd Highest PiN]]),"")</f>
        <v>1.5770967926362129</v>
      </c>
      <c r="AT98" s="269" t="str" cm="1">
        <f t="array" ref="AT9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98" s="327" cm="1">
        <f t="array" ref="AU9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2290</v>
      </c>
      <c r="AV98" s="186" t="str" cm="1">
        <f t="array" ref="AV98">IF(tblPiNAnalysis[[#This Row],[3rd Highest PiN]]="", "", _xlfn.TEXTJOIN(CHAR(10), TRUE, IF(tblPiNAnalysis[[#This Row],[3rd Highest PiN]]=tblPiNAnalysis[[#This Row],[CCCM]:[WASH]], tblPiNAnalysis[[#Headers],[CCCM]:[WASH]], "")))</f>
        <v>Education</v>
      </c>
      <c r="AW98" s="186">
        <f>IFERROR(tblPiNAnalysis[[#This Row],[3rd Highest PiN]]/tblPiNAnalysis[[#This Row],[Population]], "")</f>
        <v>0.13092447544451433</v>
      </c>
      <c r="AX98" s="44">
        <f>IFERROR(tblPiNAnalysis[[#This Row],[Highest PiN]]-tblPiNAnalysis[[#This Row],[3rd Highest PiN]],"")</f>
        <v>8979</v>
      </c>
      <c r="AY98" s="38">
        <f>IFERROR(tblPiNAnalysis[[#This Row],[Difference of PiN between Highest and 3rd Highest]]/tblPiNAnalysis[[#This Row],[3rd Highest PiN]], "")</f>
        <v>3.9209606986899561</v>
      </c>
      <c r="AZ98" s="325" t="str" cm="1">
        <f t="array" ref="AZ9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98" s="292" cm="1">
        <f t="array" ref="BA98">IFERROR(IF(tblPiNAnalysis[[#This Row],[ID]]="", "", INDEX(tblPiNHistorical[[CCCM]:[WASH]], MATCH(tblPiNAnalysis[[#This Row],[ID]],tblPiNHistorical[ID], 0),MATCH(_xlfn._xlws.FILTER(tblPiNAnalysis[[#Headers],[CCCM]:[WASH]], tblPiNAnalysis[[#This Row],[Highest PiN]]=tblPiNAnalysis[[#This Row],[CCCM]:[WASH]]), tblPiNHistorical[[#Headers],[CCCM]:[WASH]], 0))), "")</f>
        <v>0.5</v>
      </c>
      <c r="BB98" s="328" t="str" cm="1">
        <f t="array" ref="BB9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8" s="272" cm="1">
        <f t="array" ref="BC98">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98" s="329" t="str" cm="1">
        <f t="array" ref="BD9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98" s="371">
        <f>INDEX(tblSeverityAnalysis[Final Severity], MATCH(tblPiNAnalysis[[#This Row],[ID]],tblSeverityAnalysis[ID], 0))</f>
        <v>2</v>
      </c>
      <c r="BF98" s="60">
        <f>IF(tblPiNAnalysis[[#This Row],[Severity]]&gt;2,tblPiNAnalysis[[#This Row],[Highest PiN]],)</f>
        <v>0</v>
      </c>
      <c r="BG98" s="187"/>
      <c r="BH98" s="188"/>
      <c r="BI98" s="189">
        <f>COUNTIFS(tblPiNAnalysis[[#This Row],[Number of missing / zero PiNs greater than threshold - Data quality]:[Manual Flag]],"Flagged")</f>
        <v>2</v>
      </c>
      <c r="BJ98" s="346" t="str">
        <f>IF(tblPiNAnalysis[[#This Row],['# Flags]]&gt;0, "Flagged", "")</f>
        <v>Flagged</v>
      </c>
      <c r="BK98" s="339">
        <f>tblPiNAnalysis[[#This Row],[Preliminary PiN]]</f>
        <v>0</v>
      </c>
      <c r="BL98" s="326"/>
      <c r="BM98" s="383">
        <f>IF(OR(tblPiNAnalysis[[#This Row],[Severity]]=4,tblPiNAnalysis[[#This Row],[Severity]]=5),tblPiNAnalysis[[#This Row],[Final PiN]],0)</f>
        <v>0</v>
      </c>
      <c r="BN98" s="378">
        <f>IF(OR(tblPiNAnalysis[[#This Row],[Severity]]=4,tblPiNAnalysis[[#This Row],[Severity]]=5),100%, IF(tblPiNAnalysis[[#This Row],[Severity]]=3,50%,0%))*tblPiNAnalysis[[#This Row],[Final PiN]]</f>
        <v>0</v>
      </c>
      <c r="BO98" s="383">
        <f>IF(OR(tblPiNAnalysis[[#This Row],[Severity]]=4,tblPiNAnalysis[[#This Row],[Severity]]=5),100%, IF(AND(tblPiNAnalysis[[#This Row],[Severity]]=3,VLOOKUP(tblPiNAnalysis[[#This Row],[ID]],tblSeverityAnalysis[[ID]:[Highest Severity]],35,FALSE)&gt;3),50%,0%))*tblPiNAnalysis[[#This Row],[Final PiN]]</f>
        <v>0</v>
      </c>
    </row>
    <row r="99" spans="1:67" hidden="1">
      <c r="A9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Global_PopulationHT0721</v>
      </c>
      <c r="B99" s="304" t="s">
        <v>345</v>
      </c>
      <c r="C99" s="213" t="s">
        <v>346</v>
      </c>
      <c r="D99" s="213" t="s">
        <v>359</v>
      </c>
      <c r="E99" s="103" t="s">
        <v>360</v>
      </c>
      <c r="F99" s="99"/>
      <c r="G99" s="34"/>
      <c r="H99" s="357"/>
      <c r="I99" s="354">
        <v>25431</v>
      </c>
      <c r="J99" s="221" t="s">
        <v>156</v>
      </c>
      <c r="K99" s="316">
        <v>7837.5</v>
      </c>
      <c r="L99" s="308">
        <v>3154</v>
      </c>
      <c r="M99" s="308">
        <v>2822</v>
      </c>
      <c r="N99" s="308">
        <v>13976</v>
      </c>
      <c r="O99" s="308">
        <v>7524.3443942583735</v>
      </c>
      <c r="P99" s="308">
        <v>4171.47</v>
      </c>
      <c r="Q99" s="309">
        <v>13364</v>
      </c>
      <c r="R99" s="308">
        <v>6357.75</v>
      </c>
      <c r="S99" s="308"/>
      <c r="T99" s="308"/>
      <c r="U99" s="308"/>
      <c r="V99" s="308"/>
      <c r="W99" s="317">
        <f>IFERROR(IF(tblPiNAnalysis[[#This Row],[CCCM]]="", "", MROUND(tblPiNAnalysis[[#This Row],[CCCM]]/tblPiNAnalysis[[#This Row],[Population]], 0.05)), "")</f>
        <v>0.30000000000000004</v>
      </c>
      <c r="X99" s="318">
        <f>IFERROR(IF(tblPiNAnalysis[[#This Row],[Education]]="", "", MROUND(tblPiNAnalysis[[#This Row],[Education]]/tblPiNAnalysis[[#This Row],[Population]], 0.05)), "")</f>
        <v>0.1</v>
      </c>
      <c r="Y99" s="318">
        <f>IFERROR(IF(tblPiNAnalysis[[#This Row],[Nutrition]]="", "", MROUND(tblPiNAnalysis[[#This Row],[Nutrition]]/tblPiNAnalysis[[#This Row],[Population]], 0.05)), "")</f>
        <v>0.1</v>
      </c>
      <c r="Z99" s="318">
        <f>IFERROR(IF(tblPiNAnalysis[[#This Row],[Food Security]]="", "", MROUND(tblPiNAnalysis[[#This Row],[Food Security]]/tblPiNAnalysis[[#This Row],[Population]], 0.05)), "")</f>
        <v>0.55000000000000004</v>
      </c>
      <c r="AA99" s="318">
        <f>IFERROR(IF(tblPiNAnalysis[[#This Row],[Health]]="", "", MROUND(tblPiNAnalysis[[#This Row],[Health]]/tblPiNAnalysis[[#This Row],[Population]], 0.05)), "")</f>
        <v>0.30000000000000004</v>
      </c>
      <c r="AB99" s="319">
        <f>IFERROR(IF(tblPiNAnalysis[[#This Row],[Protection]]="", "", MROUND(tblPiNAnalysis[[#This Row],[Protection]]/tblPiNAnalysis[[#This Row],[Population]], 0.05)), "")</f>
        <v>0.15000000000000002</v>
      </c>
      <c r="AC99" s="319">
        <f>IFERROR(IF(tblPiNAnalysis[[#This Row],[Shelter]]="", "", MROUND(tblPiNAnalysis[[#This Row],[Shelter]]/tblPiNAnalysis[[#This Row],[Population]], 0.05)), "")</f>
        <v>0.55000000000000004</v>
      </c>
      <c r="AD99" s="320">
        <f>IFERROR(IF(tblPiNAnalysis[[#This Row],[WASH]]="", "", MROUND(tblPiNAnalysis[[#This Row],[WASH]]/tblPiNAnalysis[[#This Row],[Population]], 0.05)), "")</f>
        <v>0.25</v>
      </c>
      <c r="AE99" s="318">
        <f>IFERROR(MROUND(tblPiNAnalysis[[#This Row],[CP]]/tblPiNAnalysis[[#This Row],[Population]], 0.05), "")</f>
        <v>0</v>
      </c>
      <c r="AF99" s="318">
        <f>IFERROR(MROUND(tblPiNAnalysis[[#This Row],[GBV]]/tblPiNAnalysis[[#This Row],[Population]], 0.05), "")</f>
        <v>0</v>
      </c>
      <c r="AG99" s="318">
        <f>IFERROR(MROUND(tblPiNAnalysis[[#This Row],[Migrants]]/tblPiNAnalysis[[#This Row],[Population]], 0.05), "")</f>
        <v>0</v>
      </c>
      <c r="AH99" s="318">
        <f>IFERROR(MROUND(tblPiNAnalysis[[#This Row],[_]]/tblPiNAnalysis[[#This Row],[Population]], 0.05), "")</f>
        <v>0</v>
      </c>
      <c r="AI99" s="321">
        <f>IFERROR(LARGE(tblPiNAnalysis[[#This Row],[CCCM]:[WASH]], 1), "")</f>
        <v>13976</v>
      </c>
      <c r="AJ99" s="322" t="str" cm="1">
        <f t="array" ref="AJ99">IF(tblPiNAnalysis[[#This Row],[Highest PiN]]="", "", _xlfn.TEXTJOIN(CHAR(10), TRUE, IF(tblPiNAnalysis[[#This Row],[Highest PiN]]=tblPiNAnalysis[[#This Row],[CCCM]:[WASH]], tblPiNAnalysis[[#Headers],[CCCM]:[WASH]], "")))</f>
        <v>Food Security</v>
      </c>
      <c r="AK99" s="323">
        <f>IF(tblPiNAnalysis[[#This Row],[Highest PiN]]="", "", tblPiNAnalysis[[#This Row],[Highest PiN]]/tblPiNAnalysis[[#This Row],[Population]])</f>
        <v>0.54956549093625895</v>
      </c>
      <c r="AL99" s="265" t="str">
        <f>IF(SUM(tblPiNAnalysis[[#This Row],[CCCM]:[WASH]])=0, "",IF(COUNTIF(tblPiNAnalysis[[#This Row],[CCCM]:[WASH]],"=0")+COUNTIF(tblPiNAnalysis[[#This Row],[CCCM]:[WASH]],"")&gt;=zero_pin_thresh, "Flagged", ""))</f>
        <v/>
      </c>
      <c r="AM99" s="264" t="str">
        <f>IFERROR(IF(tblPiNAnalysis[[#This Row],[Highest PiN]]="", "", IF(tblPiNAnalysis[[#This Row],[Highest sector(s'') PiN %]]&gt;=flag_pin_perc, "Flagged", "")), "")</f>
        <v/>
      </c>
      <c r="AN99" s="266" t="str" cm="1">
        <f t="array" ref="AN99">IF(tblPiNAnalysis[[#This Row],[Highest PiN]]=0, "",  IF(OR(COUNTIF(tblPiNAnalysis[[#This Row],[Highest sector(s)]],tblSubSectorPopulation[Sector])), "Flagged", ""))</f>
        <v/>
      </c>
      <c r="AO99" s="45" cm="1">
        <f t="array" ref="AO9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13364</v>
      </c>
      <c r="AP99" s="326" t="str" cm="1">
        <f t="array" ref="AP99">IF(tblPiNAnalysis[[#This Row],[2nd Highest PiN]]="", "", _xlfn.TEXTJOIN(CHAR(10), TRUE, IF(tblPiNAnalysis[[#This Row],[2nd Highest PiN]]=tblPiNAnalysis[[#This Row],[CCCM]:[WASH]], tblPiNAnalysis[[#Headers],[CCCM]:[WASH]], "")))</f>
        <v>Shelter</v>
      </c>
      <c r="AQ99" s="35">
        <f>IFERROR(tblPiNAnalysis[[#This Row],[2nd Highest PiN]]/tblPiNAnalysis[[#This Row],[Population]], "")</f>
        <v>0.52550037355982859</v>
      </c>
      <c r="AR99" s="45">
        <f>IFERROR(tblPiNAnalysis[[#This Row],[Highest PiN]]-tblPiNAnalysis[[#This Row],[2nd Highest PiN]], "")</f>
        <v>612</v>
      </c>
      <c r="AS99" s="38">
        <f>IFERROR(((tblPiNAnalysis[[#This Row],[Highest PiN]]-tblPiNAnalysis[[#This Row],[2nd Highest PiN]])/tblPiNAnalysis[[#This Row],[2nd Highest PiN]]),"")</f>
        <v>4.579467225381622E-2</v>
      </c>
      <c r="AT99" s="269" t="str" cm="1">
        <f t="array" ref="AT9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99" s="327" cm="1">
        <f t="array" ref="AU9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7837.5</v>
      </c>
      <c r="AV99" s="186" t="str" cm="1">
        <f t="array" ref="AV99">IF(tblPiNAnalysis[[#This Row],[3rd Highest PiN]]="", "", _xlfn.TEXTJOIN(CHAR(10), TRUE, IF(tblPiNAnalysis[[#This Row],[3rd Highest PiN]]=tblPiNAnalysis[[#This Row],[CCCM]:[WASH]], tblPiNAnalysis[[#Headers],[CCCM]:[WASH]], "")))</f>
        <v>CCCM</v>
      </c>
      <c r="AW99" s="186">
        <f>IFERROR(tblPiNAnalysis[[#This Row],[3rd Highest PiN]]/tblPiNAnalysis[[#This Row],[Population]], "")</f>
        <v>0.30818685855845229</v>
      </c>
      <c r="AX99" s="44">
        <f>IFERROR(tblPiNAnalysis[[#This Row],[Highest PiN]]-tblPiNAnalysis[[#This Row],[3rd Highest PiN]],"")</f>
        <v>6138.5</v>
      </c>
      <c r="AY99" s="38">
        <f>IFERROR(tblPiNAnalysis[[#This Row],[Difference of PiN between Highest and 3rd Highest]]/tblPiNAnalysis[[#This Row],[3rd Highest PiN]], "")</f>
        <v>0.7832216905901116</v>
      </c>
      <c r="AZ99" s="325" t="str" cm="1">
        <f t="array" ref="AZ9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99" s="292" cm="1">
        <f t="array" ref="BA99">IFERROR(IF(tblPiNAnalysis[[#This Row],[ID]]="", "", INDEX(tblPiNHistorical[[CCCM]:[WASH]], MATCH(tblPiNAnalysis[[#This Row],[ID]],tblPiNHistorical[ID], 0),MATCH(_xlfn._xlws.FILTER(tblPiNAnalysis[[#Headers],[CCCM]:[WASH]], tblPiNAnalysis[[#This Row],[Highest PiN]]=tblPiNAnalysis[[#This Row],[CCCM]:[WASH]]), tblPiNHistorical[[#Headers],[CCCM]:[WASH]], 0))), "")</f>
        <v>0.5</v>
      </c>
      <c r="BB99" s="328" t="str" cm="1">
        <f t="array" ref="BB9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99" s="272" cm="1">
        <f t="array" ref="BC99">IFERROR(IF(tblPiNAnalysis[[#This Row],[ID]]="", "", INDEX(tblPiNHistorical[[CCCM]:[WASH]], MATCH(tblPiNAnalysis[[#This Row],[ID]],tblPiNHistorical[ID], 0),MATCH(_xlfn._xlws.FILTER(tblPiNAnalysis[[#Headers],[CCCM]:[WASH]], tblPiNAnalysis[[#This Row],[2nd Highest PiN]]=tblPiNAnalysis[[#This Row],[CCCM]:[WASH]]), tblPiNHistorical[[#Headers],[CCCM]:[WASH]], 0))), "")</f>
        <v>1.5</v>
      </c>
      <c r="BD99" s="329" t="str" cm="1">
        <f t="array" ref="BD9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99" s="371">
        <f>INDEX(tblSeverityAnalysis[Final Severity], MATCH(tblPiNAnalysis[[#This Row],[ID]],tblSeverityAnalysis[ID], 0))</f>
        <v>3</v>
      </c>
      <c r="BF99" s="60">
        <f>IF(tblPiNAnalysis[[#This Row],[Severity]]&gt;2,tblPiNAnalysis[[#This Row],[Highest PiN]],)</f>
        <v>13976</v>
      </c>
      <c r="BG99" s="187"/>
      <c r="BH99" s="188"/>
      <c r="BI99" s="189">
        <f>COUNTIFS(tblPiNAnalysis[[#This Row],[Number of missing / zero PiNs greater than threshold - Data quality]:[Manual Flag]],"Flagged")</f>
        <v>1</v>
      </c>
      <c r="BJ99" s="346" t="str">
        <f>IF(tblPiNAnalysis[[#This Row],['# Flags]]&gt;0, "Flagged", "")</f>
        <v>Flagged</v>
      </c>
      <c r="BK99" s="339">
        <f>tblPiNAnalysis[[#This Row],[Preliminary PiN]]</f>
        <v>13976</v>
      </c>
      <c r="BL99" s="326"/>
      <c r="BM99" s="383">
        <f>IF(OR(tblPiNAnalysis[[#This Row],[Severity]]=4,tblPiNAnalysis[[#This Row],[Severity]]=5),tblPiNAnalysis[[#This Row],[Final PiN]],0)</f>
        <v>0</v>
      </c>
      <c r="BN99" s="378">
        <f>IF(OR(tblPiNAnalysis[[#This Row],[Severity]]=4,tblPiNAnalysis[[#This Row],[Severity]]=5),100%, IF(tblPiNAnalysis[[#This Row],[Severity]]=3,50%,0%))*tblPiNAnalysis[[#This Row],[Final PiN]]</f>
        <v>6988</v>
      </c>
      <c r="BO99" s="383">
        <f>IF(OR(tblPiNAnalysis[[#This Row],[Severity]]=4,tblPiNAnalysis[[#This Row],[Severity]]=5),100%, IF(AND(tblPiNAnalysis[[#This Row],[Severity]]=3,VLOOKUP(tblPiNAnalysis[[#This Row],[ID]],tblSeverityAnalysis[[ID]:[Highest Severity]],35,FALSE)&gt;3),50%,0%))*tblPiNAnalysis[[#This Row],[Final PiN]]</f>
        <v>0</v>
      </c>
    </row>
    <row r="100" spans="1:67" hidden="1">
      <c r="A10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Global_PopulationHT0722</v>
      </c>
      <c r="B100" s="304" t="s">
        <v>345</v>
      </c>
      <c r="C100" s="213" t="s">
        <v>346</v>
      </c>
      <c r="D100" s="213" t="s">
        <v>361</v>
      </c>
      <c r="E100" s="103" t="s">
        <v>362</v>
      </c>
      <c r="F100" s="99"/>
      <c r="G100" s="34"/>
      <c r="H100" s="357"/>
      <c r="I100" s="354">
        <v>35362</v>
      </c>
      <c r="J100" s="221" t="s">
        <v>156</v>
      </c>
      <c r="K100" s="316">
        <v>10500</v>
      </c>
      <c r="L100" s="308">
        <v>4620</v>
      </c>
      <c r="M100" s="308">
        <v>3555</v>
      </c>
      <c r="N100" s="308">
        <v>18710</v>
      </c>
      <c r="O100" s="308">
        <v>13020.064371428572</v>
      </c>
      <c r="P100" s="308">
        <v>14158</v>
      </c>
      <c r="Q100" s="309">
        <v>8999</v>
      </c>
      <c r="R100" s="308">
        <v>7000</v>
      </c>
      <c r="S100" s="308"/>
      <c r="T100" s="308"/>
      <c r="U100" s="308"/>
      <c r="V100" s="308"/>
      <c r="W100" s="317">
        <f>IFERROR(IF(tblPiNAnalysis[[#This Row],[CCCM]]="", "", MROUND(tblPiNAnalysis[[#This Row],[CCCM]]/tblPiNAnalysis[[#This Row],[Population]], 0.05)), "")</f>
        <v>0.30000000000000004</v>
      </c>
      <c r="X100" s="318">
        <f>IFERROR(IF(tblPiNAnalysis[[#This Row],[Education]]="", "", MROUND(tblPiNAnalysis[[#This Row],[Education]]/tblPiNAnalysis[[#This Row],[Population]], 0.05)), "")</f>
        <v>0.15000000000000002</v>
      </c>
      <c r="Y100" s="318">
        <f>IFERROR(IF(tblPiNAnalysis[[#This Row],[Nutrition]]="", "", MROUND(tblPiNAnalysis[[#This Row],[Nutrition]]/tblPiNAnalysis[[#This Row],[Population]], 0.05)), "")</f>
        <v>0.1</v>
      </c>
      <c r="Z100" s="318">
        <f>IFERROR(IF(tblPiNAnalysis[[#This Row],[Food Security]]="", "", MROUND(tblPiNAnalysis[[#This Row],[Food Security]]/tblPiNAnalysis[[#This Row],[Population]], 0.05)), "")</f>
        <v>0.55000000000000004</v>
      </c>
      <c r="AA100" s="318">
        <f>IFERROR(IF(tblPiNAnalysis[[#This Row],[Health]]="", "", MROUND(tblPiNAnalysis[[#This Row],[Health]]/tblPiNAnalysis[[#This Row],[Population]], 0.05)), "")</f>
        <v>0.35000000000000003</v>
      </c>
      <c r="AB100" s="319">
        <f>IFERROR(IF(tblPiNAnalysis[[#This Row],[Protection]]="", "", MROUND(tblPiNAnalysis[[#This Row],[Protection]]/tblPiNAnalysis[[#This Row],[Population]], 0.05)), "")</f>
        <v>0.4</v>
      </c>
      <c r="AC100" s="319">
        <f>IFERROR(IF(tblPiNAnalysis[[#This Row],[Shelter]]="", "", MROUND(tblPiNAnalysis[[#This Row],[Shelter]]/tblPiNAnalysis[[#This Row],[Population]], 0.05)), "")</f>
        <v>0.25</v>
      </c>
      <c r="AD100" s="320">
        <f>IFERROR(IF(tblPiNAnalysis[[#This Row],[WASH]]="", "", MROUND(tblPiNAnalysis[[#This Row],[WASH]]/tblPiNAnalysis[[#This Row],[Population]], 0.05)), "")</f>
        <v>0.2</v>
      </c>
      <c r="AE100" s="318">
        <f>IFERROR(MROUND(tblPiNAnalysis[[#This Row],[CP]]/tblPiNAnalysis[[#This Row],[Population]], 0.05), "")</f>
        <v>0</v>
      </c>
      <c r="AF100" s="318">
        <f>IFERROR(MROUND(tblPiNAnalysis[[#This Row],[GBV]]/tblPiNAnalysis[[#This Row],[Population]], 0.05), "")</f>
        <v>0</v>
      </c>
      <c r="AG100" s="318">
        <f>IFERROR(MROUND(tblPiNAnalysis[[#This Row],[Migrants]]/tblPiNAnalysis[[#This Row],[Population]], 0.05), "")</f>
        <v>0</v>
      </c>
      <c r="AH100" s="318">
        <f>IFERROR(MROUND(tblPiNAnalysis[[#This Row],[_]]/tblPiNAnalysis[[#This Row],[Population]], 0.05), "")</f>
        <v>0</v>
      </c>
      <c r="AI100" s="321">
        <f>IFERROR(LARGE(tblPiNAnalysis[[#This Row],[CCCM]:[WASH]], 1), "")</f>
        <v>18710</v>
      </c>
      <c r="AJ100" s="322" t="str" cm="1">
        <f t="array" ref="AJ100">IF(tblPiNAnalysis[[#This Row],[Highest PiN]]="", "", _xlfn.TEXTJOIN(CHAR(10), TRUE, IF(tblPiNAnalysis[[#This Row],[Highest PiN]]=tblPiNAnalysis[[#This Row],[CCCM]:[WASH]], tblPiNAnalysis[[#Headers],[CCCM]:[WASH]], "")))</f>
        <v>Food Security</v>
      </c>
      <c r="AK100" s="323">
        <f>IF(tblPiNAnalysis[[#This Row],[Highest PiN]]="", "", tblPiNAnalysis[[#This Row],[Highest PiN]]/tblPiNAnalysis[[#This Row],[Population]])</f>
        <v>0.52909903286013238</v>
      </c>
      <c r="AL100" s="265" t="str">
        <f>IF(SUM(tblPiNAnalysis[[#This Row],[CCCM]:[WASH]])=0, "",IF(COUNTIF(tblPiNAnalysis[[#This Row],[CCCM]:[WASH]],"=0")+COUNTIF(tblPiNAnalysis[[#This Row],[CCCM]:[WASH]],"")&gt;=zero_pin_thresh, "Flagged", ""))</f>
        <v/>
      </c>
      <c r="AM100" s="264" t="str">
        <f>IFERROR(IF(tblPiNAnalysis[[#This Row],[Highest PiN]]="", "", IF(tblPiNAnalysis[[#This Row],[Highest sector(s'') PiN %]]&gt;=flag_pin_perc, "Flagged", "")), "")</f>
        <v/>
      </c>
      <c r="AN100" s="266" t="str" cm="1">
        <f t="array" ref="AN100">IF(tblPiNAnalysis[[#This Row],[Highest PiN]]=0, "",  IF(OR(COUNTIF(tblPiNAnalysis[[#This Row],[Highest sector(s)]],tblSubSectorPopulation[Sector])), "Flagged", ""))</f>
        <v/>
      </c>
      <c r="AO100" s="45" cm="1">
        <f t="array" ref="AO10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14158</v>
      </c>
      <c r="AP100" s="326" t="str" cm="1">
        <f t="array" ref="AP100">IF(tblPiNAnalysis[[#This Row],[2nd Highest PiN]]="", "", _xlfn.TEXTJOIN(CHAR(10), TRUE, IF(tblPiNAnalysis[[#This Row],[2nd Highest PiN]]=tblPiNAnalysis[[#This Row],[CCCM]:[WASH]], tblPiNAnalysis[[#Headers],[CCCM]:[WASH]], "")))</f>
        <v>Protection</v>
      </c>
      <c r="AQ100" s="35">
        <f>IFERROR(tblPiNAnalysis[[#This Row],[2nd Highest PiN]]/tblPiNAnalysis[[#This Row],[Population]], "")</f>
        <v>0.40037328205418243</v>
      </c>
      <c r="AR100" s="45">
        <f>IFERROR(tblPiNAnalysis[[#This Row],[Highest PiN]]-tblPiNAnalysis[[#This Row],[2nd Highest PiN]], "")</f>
        <v>4552</v>
      </c>
      <c r="AS100" s="38">
        <f>IFERROR(((tblPiNAnalysis[[#This Row],[Highest PiN]]-tblPiNAnalysis[[#This Row],[2nd Highest PiN]])/tblPiNAnalysis[[#This Row],[2nd Highest PiN]]),"")</f>
        <v>0.32151433818335923</v>
      </c>
      <c r="AT100" s="269" t="str" cm="1">
        <f t="array" ref="AT10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0" s="327" cm="1">
        <f t="array" ref="AU10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13020.064371428572</v>
      </c>
      <c r="AV100" s="186" t="str" cm="1">
        <f t="array" ref="AV100">IF(tblPiNAnalysis[[#This Row],[3rd Highest PiN]]="", "", _xlfn.TEXTJOIN(CHAR(10), TRUE, IF(tblPiNAnalysis[[#This Row],[3rd Highest PiN]]=tblPiNAnalysis[[#This Row],[CCCM]:[WASH]], tblPiNAnalysis[[#Headers],[CCCM]:[WASH]], "")))</f>
        <v>Health</v>
      </c>
      <c r="AW100" s="186">
        <f>IFERROR(tblPiNAnalysis[[#This Row],[3rd Highest PiN]]/tblPiNAnalysis[[#This Row],[Population]], "")</f>
        <v>0.36819366470868653</v>
      </c>
      <c r="AX100" s="44">
        <f>IFERROR(tblPiNAnalysis[[#This Row],[Highest PiN]]-tblPiNAnalysis[[#This Row],[3rd Highest PiN]],"")</f>
        <v>5689.9356285714275</v>
      </c>
      <c r="AY100" s="38">
        <f>IFERROR(tblPiNAnalysis[[#This Row],[Difference of PiN between Highest and 3rd Highest]]/tblPiNAnalysis[[#This Row],[3rd Highest PiN]], "")</f>
        <v>0.43701286462588534</v>
      </c>
      <c r="AZ100" s="325" t="str" cm="1">
        <f t="array" ref="AZ10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0" s="292" cm="1">
        <f t="array" ref="BA100">IFERROR(IF(tblPiNAnalysis[[#This Row],[ID]]="", "", INDEX(tblPiNHistorical[[CCCM]:[WASH]], MATCH(tblPiNAnalysis[[#This Row],[ID]],tblPiNHistorical[ID], 0),MATCH(_xlfn._xlws.FILTER(tblPiNAnalysis[[#Headers],[CCCM]:[WASH]], tblPiNAnalysis[[#This Row],[Highest PiN]]=tblPiNAnalysis[[#This Row],[CCCM]:[WASH]]), tblPiNHistorical[[#Headers],[CCCM]:[WASH]], 0))), "")</f>
        <v>0.5</v>
      </c>
      <c r="BB100" s="328" t="str" cm="1">
        <f t="array" ref="BB10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0" s="272" t="str" cm="1">
        <f t="array" ref="BC10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00" s="329" t="str" cm="1">
        <f t="array" ref="BD10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0" s="371">
        <f>INDEX(tblSeverityAnalysis[Final Severity], MATCH(tblPiNAnalysis[[#This Row],[ID]],tblSeverityAnalysis[ID], 0))</f>
        <v>3</v>
      </c>
      <c r="BF100" s="60">
        <f>IF(tblPiNAnalysis[[#This Row],[Severity]]&gt;2,tblPiNAnalysis[[#This Row],[Highest PiN]],)</f>
        <v>18710</v>
      </c>
      <c r="BG100" s="187"/>
      <c r="BH100" s="188"/>
      <c r="BI100" s="189">
        <f>COUNTIFS(tblPiNAnalysis[[#This Row],[Number of missing / zero PiNs greater than threshold - Data quality]:[Manual Flag]],"Flagged")</f>
        <v>0</v>
      </c>
      <c r="BJ100" s="346" t="str">
        <f>IF(tblPiNAnalysis[[#This Row],['# Flags]]&gt;0, "Flagged", "")</f>
        <v/>
      </c>
      <c r="BK100" s="339">
        <f>tblPiNAnalysis[[#This Row],[Preliminary PiN]]</f>
        <v>18710</v>
      </c>
      <c r="BL100" s="326"/>
      <c r="BM100" s="383">
        <f>IF(OR(tblPiNAnalysis[[#This Row],[Severity]]=4,tblPiNAnalysis[[#This Row],[Severity]]=5),tblPiNAnalysis[[#This Row],[Final PiN]],0)</f>
        <v>0</v>
      </c>
      <c r="BN100" s="378">
        <f>IF(OR(tblPiNAnalysis[[#This Row],[Severity]]=4,tblPiNAnalysis[[#This Row],[Severity]]=5),100%, IF(tblPiNAnalysis[[#This Row],[Severity]]=3,50%,0%))*tblPiNAnalysis[[#This Row],[Final PiN]]</f>
        <v>9355</v>
      </c>
      <c r="BO100" s="383">
        <f>IF(OR(tblPiNAnalysis[[#This Row],[Severity]]=4,tblPiNAnalysis[[#This Row],[Severity]]=5),100%, IF(AND(tblPiNAnalysis[[#This Row],[Severity]]=3,VLOOKUP(tblPiNAnalysis[[#This Row],[ID]],tblSeverityAnalysis[[ID]:[Highest Severity]],35,FALSE)&gt;3),50%,0%))*tblPiNAnalysis[[#This Row],[Final PiN]]</f>
        <v>9355</v>
      </c>
    </row>
    <row r="101" spans="1:67" hidden="1">
      <c r="A10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Global_PopulationHT0723</v>
      </c>
      <c r="B101" s="304" t="s">
        <v>345</v>
      </c>
      <c r="C101" s="213" t="s">
        <v>346</v>
      </c>
      <c r="D101" s="213" t="s">
        <v>363</v>
      </c>
      <c r="E101" s="103" t="s">
        <v>364</v>
      </c>
      <c r="F101" s="99"/>
      <c r="G101" s="34"/>
      <c r="H101" s="357"/>
      <c r="I101" s="354">
        <v>35838</v>
      </c>
      <c r="J101" s="221" t="s">
        <v>156</v>
      </c>
      <c r="K101" s="316">
        <v>6450</v>
      </c>
      <c r="L101" s="308">
        <v>4569</v>
      </c>
      <c r="M101" s="308">
        <v>3293</v>
      </c>
      <c r="N101" s="308">
        <v>21354</v>
      </c>
      <c r="O101" s="308">
        <v>8189.334023255813</v>
      </c>
      <c r="P101" s="308">
        <v>2153.84</v>
      </c>
      <c r="Q101" s="309">
        <v>0</v>
      </c>
      <c r="R101" s="308">
        <v>6462</v>
      </c>
      <c r="S101" s="308"/>
      <c r="T101" s="308"/>
      <c r="U101" s="308"/>
      <c r="V101" s="308"/>
      <c r="W101" s="317">
        <f>IFERROR(IF(tblPiNAnalysis[[#This Row],[CCCM]]="", "", MROUND(tblPiNAnalysis[[#This Row],[CCCM]]/tblPiNAnalysis[[#This Row],[Population]], 0.05)), "")</f>
        <v>0.2</v>
      </c>
      <c r="X101" s="318">
        <f>IFERROR(IF(tblPiNAnalysis[[#This Row],[Education]]="", "", MROUND(tblPiNAnalysis[[#This Row],[Education]]/tblPiNAnalysis[[#This Row],[Population]], 0.05)), "")</f>
        <v>0.15000000000000002</v>
      </c>
      <c r="Y101" s="318">
        <f>IFERROR(IF(tblPiNAnalysis[[#This Row],[Nutrition]]="", "", MROUND(tblPiNAnalysis[[#This Row],[Nutrition]]/tblPiNAnalysis[[#This Row],[Population]], 0.05)), "")</f>
        <v>0.1</v>
      </c>
      <c r="Z101" s="318">
        <f>IFERROR(IF(tblPiNAnalysis[[#This Row],[Food Security]]="", "", MROUND(tblPiNAnalysis[[#This Row],[Food Security]]/tblPiNAnalysis[[#This Row],[Population]], 0.05)), "")</f>
        <v>0.60000000000000009</v>
      </c>
      <c r="AA101" s="318">
        <f>IFERROR(IF(tblPiNAnalysis[[#This Row],[Health]]="", "", MROUND(tblPiNAnalysis[[#This Row],[Health]]/tblPiNAnalysis[[#This Row],[Population]], 0.05)), "")</f>
        <v>0.25</v>
      </c>
      <c r="AB101" s="319">
        <f>IFERROR(IF(tblPiNAnalysis[[#This Row],[Protection]]="", "", MROUND(tblPiNAnalysis[[#This Row],[Protection]]/tblPiNAnalysis[[#This Row],[Population]], 0.05)), "")</f>
        <v>0.05</v>
      </c>
      <c r="AC101" s="319">
        <f>IFERROR(IF(tblPiNAnalysis[[#This Row],[Shelter]]="", "", MROUND(tblPiNAnalysis[[#This Row],[Shelter]]/tblPiNAnalysis[[#This Row],[Population]], 0.05)), "")</f>
        <v>0</v>
      </c>
      <c r="AD101" s="320">
        <f>IFERROR(IF(tblPiNAnalysis[[#This Row],[WASH]]="", "", MROUND(tblPiNAnalysis[[#This Row],[WASH]]/tblPiNAnalysis[[#This Row],[Population]], 0.05)), "")</f>
        <v>0.2</v>
      </c>
      <c r="AE101" s="318">
        <f>IFERROR(MROUND(tblPiNAnalysis[[#This Row],[CP]]/tblPiNAnalysis[[#This Row],[Population]], 0.05), "")</f>
        <v>0</v>
      </c>
      <c r="AF101" s="318">
        <f>IFERROR(MROUND(tblPiNAnalysis[[#This Row],[GBV]]/tblPiNAnalysis[[#This Row],[Population]], 0.05), "")</f>
        <v>0</v>
      </c>
      <c r="AG101" s="318">
        <f>IFERROR(MROUND(tblPiNAnalysis[[#This Row],[Migrants]]/tblPiNAnalysis[[#This Row],[Population]], 0.05), "")</f>
        <v>0</v>
      </c>
      <c r="AH101" s="318">
        <f>IFERROR(MROUND(tblPiNAnalysis[[#This Row],[_]]/tblPiNAnalysis[[#This Row],[Population]], 0.05), "")</f>
        <v>0</v>
      </c>
      <c r="AI101" s="321">
        <f>IFERROR(LARGE(tblPiNAnalysis[[#This Row],[CCCM]:[WASH]], 1), "")</f>
        <v>21354</v>
      </c>
      <c r="AJ101" s="322" t="str" cm="1">
        <f t="array" ref="AJ101">IF(tblPiNAnalysis[[#This Row],[Highest PiN]]="", "", _xlfn.TEXTJOIN(CHAR(10), TRUE, IF(tblPiNAnalysis[[#This Row],[Highest PiN]]=tblPiNAnalysis[[#This Row],[CCCM]:[WASH]], tblPiNAnalysis[[#Headers],[CCCM]:[WASH]], "")))</f>
        <v>Food Security</v>
      </c>
      <c r="AK101" s="323">
        <f>IF(tblPiNAnalysis[[#This Row],[Highest PiN]]="", "", tblPiNAnalysis[[#This Row],[Highest PiN]]/tblPiNAnalysis[[#This Row],[Population]])</f>
        <v>0.59584798258831406</v>
      </c>
      <c r="AL101" s="265" t="str">
        <f>IF(SUM(tblPiNAnalysis[[#This Row],[CCCM]:[WASH]])=0, "",IF(COUNTIF(tblPiNAnalysis[[#This Row],[CCCM]:[WASH]],"=0")+COUNTIF(tblPiNAnalysis[[#This Row],[CCCM]:[WASH]],"")&gt;=zero_pin_thresh, "Flagged", ""))</f>
        <v/>
      </c>
      <c r="AM101" s="264" t="str">
        <f>IFERROR(IF(tblPiNAnalysis[[#This Row],[Highest PiN]]="", "", IF(tblPiNAnalysis[[#This Row],[Highest sector(s'') PiN %]]&gt;=flag_pin_perc, "Flagged", "")), "")</f>
        <v/>
      </c>
      <c r="AN101" s="266" t="str" cm="1">
        <f t="array" ref="AN101">IF(tblPiNAnalysis[[#This Row],[Highest PiN]]=0, "",  IF(OR(COUNTIF(tblPiNAnalysis[[#This Row],[Highest sector(s)]],tblSubSectorPopulation[Sector])), "Flagged", ""))</f>
        <v/>
      </c>
      <c r="AO101" s="45" cm="1">
        <f t="array" ref="AO10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8189.334023255813</v>
      </c>
      <c r="AP101" s="326" t="str" cm="1">
        <f t="array" ref="AP101">IF(tblPiNAnalysis[[#This Row],[2nd Highest PiN]]="", "", _xlfn.TEXTJOIN(CHAR(10), TRUE, IF(tblPiNAnalysis[[#This Row],[2nd Highest PiN]]=tblPiNAnalysis[[#This Row],[CCCM]:[WASH]], tblPiNAnalysis[[#Headers],[CCCM]:[WASH]], "")))</f>
        <v>Health</v>
      </c>
      <c r="AQ101" s="35">
        <f>IFERROR(tblPiNAnalysis[[#This Row],[2nd Highest PiN]]/tblPiNAnalysis[[#This Row],[Population]], "")</f>
        <v>0.22850979472224492</v>
      </c>
      <c r="AR101" s="45">
        <f>IFERROR(tblPiNAnalysis[[#This Row],[Highest PiN]]-tblPiNAnalysis[[#This Row],[2nd Highest PiN]], "")</f>
        <v>13164.665976744187</v>
      </c>
      <c r="AS101" s="38">
        <f>IFERROR(((tblPiNAnalysis[[#This Row],[Highest PiN]]-tblPiNAnalysis[[#This Row],[2nd Highest PiN]])/tblPiNAnalysis[[#This Row],[2nd Highest PiN]]),"")</f>
        <v>1.6075380414768261</v>
      </c>
      <c r="AT101" s="269" t="str" cm="1">
        <f t="array" ref="AT10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1" s="327" cm="1">
        <f t="array" ref="AU10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6462</v>
      </c>
      <c r="AV101" s="186" t="str" cm="1">
        <f t="array" ref="AV101">IF(tblPiNAnalysis[[#This Row],[3rd Highest PiN]]="", "", _xlfn.TEXTJOIN(CHAR(10), TRUE, IF(tblPiNAnalysis[[#This Row],[3rd Highest PiN]]=tblPiNAnalysis[[#This Row],[CCCM]:[WASH]], tblPiNAnalysis[[#Headers],[CCCM]:[WASH]], "")))</f>
        <v>WASH</v>
      </c>
      <c r="AW101" s="186">
        <f>IFERROR(tblPiNAnalysis[[#This Row],[3rd Highest PiN]]/tblPiNAnalysis[[#This Row],[Population]], "")</f>
        <v>0.18031140130587645</v>
      </c>
      <c r="AX101" s="44">
        <f>IFERROR(tblPiNAnalysis[[#This Row],[Highest PiN]]-tblPiNAnalysis[[#This Row],[3rd Highest PiN]],"")</f>
        <v>14892</v>
      </c>
      <c r="AY101" s="38">
        <f>IFERROR(tblPiNAnalysis[[#This Row],[Difference of PiN between Highest and 3rd Highest]]/tblPiNAnalysis[[#This Row],[3rd Highest PiN]], "")</f>
        <v>2.3045496750232126</v>
      </c>
      <c r="AZ101" s="325" t="str" cm="1">
        <f t="array" ref="AZ10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1" s="292" cm="1">
        <f t="array" ref="BA101">IFERROR(IF(tblPiNAnalysis[[#This Row],[ID]]="", "", INDEX(tblPiNHistorical[[CCCM]:[WASH]], MATCH(tblPiNAnalysis[[#This Row],[ID]],tblPiNHistorical[ID], 0),MATCH(_xlfn._xlws.FILTER(tblPiNAnalysis[[#Headers],[CCCM]:[WASH]], tblPiNAnalysis[[#This Row],[Highest PiN]]=tblPiNAnalysis[[#This Row],[CCCM]:[WASH]]), tblPiNHistorical[[#Headers],[CCCM]:[WASH]], 0))), "")</f>
        <v>0.5</v>
      </c>
      <c r="BB101" s="328" t="str" cm="1">
        <f t="array" ref="BB10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1" s="272" cm="1">
        <f t="array" ref="BC101">IFERROR(IF(tblPiNAnalysis[[#This Row],[ID]]="", "", INDEX(tblPiNHistorical[[CCCM]:[WASH]], MATCH(tblPiNAnalysis[[#This Row],[ID]],tblPiNHistorical[ID], 0),MATCH(_xlfn._xlws.FILTER(tblPiNAnalysis[[#Headers],[CCCM]:[WASH]], tblPiNAnalysis[[#This Row],[2nd Highest PiN]]=tblPiNAnalysis[[#This Row],[CCCM]:[WASH]]), tblPiNHistorical[[#Headers],[CCCM]:[WASH]], 0))), "")</f>
        <v>-0.4</v>
      </c>
      <c r="BD101" s="329" t="str" cm="1">
        <f t="array" ref="BD10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1" s="371">
        <f>INDEX(tblSeverityAnalysis[Final Severity], MATCH(tblPiNAnalysis[[#This Row],[ID]],tblSeverityAnalysis[ID], 0))</f>
        <v>3</v>
      </c>
      <c r="BF101" s="60">
        <f>IF(tblPiNAnalysis[[#This Row],[Severity]]&gt;2,tblPiNAnalysis[[#This Row],[Highest PiN]],)</f>
        <v>21354</v>
      </c>
      <c r="BG101" s="187"/>
      <c r="BH101" s="188"/>
      <c r="BI101" s="189">
        <f>COUNTIFS(tblPiNAnalysis[[#This Row],[Number of missing / zero PiNs greater than threshold - Data quality]:[Manual Flag]],"Flagged")</f>
        <v>2</v>
      </c>
      <c r="BJ101" s="346" t="str">
        <f>IF(tblPiNAnalysis[[#This Row],['# Flags]]&gt;0, "Flagged", "")</f>
        <v>Flagged</v>
      </c>
      <c r="BK101" s="339">
        <f>tblPiNAnalysis[[#This Row],[Preliminary PiN]]</f>
        <v>21354</v>
      </c>
      <c r="BL101" s="326"/>
      <c r="BM101" s="383">
        <f>IF(OR(tblPiNAnalysis[[#This Row],[Severity]]=4,tblPiNAnalysis[[#This Row],[Severity]]=5),tblPiNAnalysis[[#This Row],[Final PiN]],0)</f>
        <v>0</v>
      </c>
      <c r="BN101" s="378">
        <f>IF(OR(tblPiNAnalysis[[#This Row],[Severity]]=4,tblPiNAnalysis[[#This Row],[Severity]]=5),100%, IF(tblPiNAnalysis[[#This Row],[Severity]]=3,50%,0%))*tblPiNAnalysis[[#This Row],[Final PiN]]</f>
        <v>10677</v>
      </c>
      <c r="BO101" s="383">
        <f>IF(OR(tblPiNAnalysis[[#This Row],[Severity]]=4,tblPiNAnalysis[[#This Row],[Severity]]=5),100%, IF(AND(tblPiNAnalysis[[#This Row],[Severity]]=3,VLOOKUP(tblPiNAnalysis[[#This Row],[ID]],tblSeverityAnalysis[[ID]:[Highest Severity]],35,FALSE)&gt;3),50%,0%))*tblPiNAnalysis[[#This Row],[Final PiN]]</f>
        <v>0</v>
      </c>
    </row>
    <row r="102" spans="1:67" hidden="1">
      <c r="A10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Global_PopulationHT0731</v>
      </c>
      <c r="B102" s="304" t="s">
        <v>345</v>
      </c>
      <c r="C102" s="213" t="s">
        <v>346</v>
      </c>
      <c r="D102" s="213" t="s">
        <v>365</v>
      </c>
      <c r="E102" s="103" t="s">
        <v>366</v>
      </c>
      <c r="F102" s="99"/>
      <c r="G102" s="34"/>
      <c r="H102" s="357"/>
      <c r="I102" s="354">
        <v>123719</v>
      </c>
      <c r="J102" s="221" t="s">
        <v>156</v>
      </c>
      <c r="K102" s="316">
        <v>40338</v>
      </c>
      <c r="L102" s="308">
        <v>14308</v>
      </c>
      <c r="M102" s="308">
        <v>13986</v>
      </c>
      <c r="N102" s="308">
        <v>69332</v>
      </c>
      <c r="O102" s="308">
        <v>60234.867224757727</v>
      </c>
      <c r="P102" s="308">
        <v>33799.900327868854</v>
      </c>
      <c r="Q102" s="309">
        <v>60059</v>
      </c>
      <c r="R102" s="308">
        <v>26892</v>
      </c>
      <c r="S102" s="308"/>
      <c r="T102" s="308"/>
      <c r="U102" s="308"/>
      <c r="V102" s="308"/>
      <c r="W102" s="317">
        <f>IFERROR(IF(tblPiNAnalysis[[#This Row],[CCCM]]="", "", MROUND(tblPiNAnalysis[[#This Row],[CCCM]]/tblPiNAnalysis[[#This Row],[Population]], 0.05)), "")</f>
        <v>0.35000000000000003</v>
      </c>
      <c r="X102" s="318">
        <f>IFERROR(IF(tblPiNAnalysis[[#This Row],[Education]]="", "", MROUND(tblPiNAnalysis[[#This Row],[Education]]/tblPiNAnalysis[[#This Row],[Population]], 0.05)), "")</f>
        <v>0.1</v>
      </c>
      <c r="Y102" s="318">
        <f>IFERROR(IF(tblPiNAnalysis[[#This Row],[Nutrition]]="", "", MROUND(tblPiNAnalysis[[#This Row],[Nutrition]]/tblPiNAnalysis[[#This Row],[Population]], 0.05)), "")</f>
        <v>0.1</v>
      </c>
      <c r="Z102" s="318">
        <f>IFERROR(IF(tblPiNAnalysis[[#This Row],[Food Security]]="", "", MROUND(tblPiNAnalysis[[#This Row],[Food Security]]/tblPiNAnalysis[[#This Row],[Population]], 0.05)), "")</f>
        <v>0.55000000000000004</v>
      </c>
      <c r="AA102" s="318">
        <f>IFERROR(IF(tblPiNAnalysis[[#This Row],[Health]]="", "", MROUND(tblPiNAnalysis[[#This Row],[Health]]/tblPiNAnalysis[[#This Row],[Population]], 0.05)), "")</f>
        <v>0.5</v>
      </c>
      <c r="AB102" s="319">
        <f>IFERROR(IF(tblPiNAnalysis[[#This Row],[Protection]]="", "", MROUND(tblPiNAnalysis[[#This Row],[Protection]]/tblPiNAnalysis[[#This Row],[Population]], 0.05)), "")</f>
        <v>0.25</v>
      </c>
      <c r="AC102" s="319">
        <f>IFERROR(IF(tblPiNAnalysis[[#This Row],[Shelter]]="", "", MROUND(tblPiNAnalysis[[#This Row],[Shelter]]/tblPiNAnalysis[[#This Row],[Population]], 0.05)), "")</f>
        <v>0.5</v>
      </c>
      <c r="AD102" s="320">
        <f>IFERROR(IF(tblPiNAnalysis[[#This Row],[WASH]]="", "", MROUND(tblPiNAnalysis[[#This Row],[WASH]]/tblPiNAnalysis[[#This Row],[Population]], 0.05)), "")</f>
        <v>0.2</v>
      </c>
      <c r="AE102" s="318">
        <f>IFERROR(MROUND(tblPiNAnalysis[[#This Row],[CP]]/tblPiNAnalysis[[#This Row],[Population]], 0.05), "")</f>
        <v>0</v>
      </c>
      <c r="AF102" s="318">
        <f>IFERROR(MROUND(tblPiNAnalysis[[#This Row],[GBV]]/tblPiNAnalysis[[#This Row],[Population]], 0.05), "")</f>
        <v>0</v>
      </c>
      <c r="AG102" s="318">
        <f>IFERROR(MROUND(tblPiNAnalysis[[#This Row],[Migrants]]/tblPiNAnalysis[[#This Row],[Population]], 0.05), "")</f>
        <v>0</v>
      </c>
      <c r="AH102" s="318">
        <f>IFERROR(MROUND(tblPiNAnalysis[[#This Row],[_]]/tblPiNAnalysis[[#This Row],[Population]], 0.05), "")</f>
        <v>0</v>
      </c>
      <c r="AI102" s="321">
        <f>IFERROR(LARGE(tblPiNAnalysis[[#This Row],[CCCM]:[WASH]], 1), "")</f>
        <v>69332</v>
      </c>
      <c r="AJ102" s="322" t="str" cm="1">
        <f t="array" ref="AJ102">IF(tblPiNAnalysis[[#This Row],[Highest PiN]]="", "", _xlfn.TEXTJOIN(CHAR(10), TRUE, IF(tblPiNAnalysis[[#This Row],[Highest PiN]]=tblPiNAnalysis[[#This Row],[CCCM]:[WASH]], tblPiNAnalysis[[#Headers],[CCCM]:[WASH]], "")))</f>
        <v>Food Security</v>
      </c>
      <c r="AK102" s="323">
        <f>IF(tblPiNAnalysis[[#This Row],[Highest PiN]]="", "", tblPiNAnalysis[[#This Row],[Highest PiN]]/tblPiNAnalysis[[#This Row],[Population]])</f>
        <v>0.56039896863052563</v>
      </c>
      <c r="AL102" s="265" t="str">
        <f>IF(SUM(tblPiNAnalysis[[#This Row],[CCCM]:[WASH]])=0, "",IF(COUNTIF(tblPiNAnalysis[[#This Row],[CCCM]:[WASH]],"=0")+COUNTIF(tblPiNAnalysis[[#This Row],[CCCM]:[WASH]],"")&gt;=zero_pin_thresh, "Flagged", ""))</f>
        <v/>
      </c>
      <c r="AM102" s="264" t="str">
        <f>IFERROR(IF(tblPiNAnalysis[[#This Row],[Highest PiN]]="", "", IF(tblPiNAnalysis[[#This Row],[Highest sector(s'') PiN %]]&gt;=flag_pin_perc, "Flagged", "")), "")</f>
        <v/>
      </c>
      <c r="AN102" s="266" t="str" cm="1">
        <f t="array" ref="AN102">IF(tblPiNAnalysis[[#This Row],[Highest PiN]]=0, "",  IF(OR(COUNTIF(tblPiNAnalysis[[#This Row],[Highest sector(s)]],tblSubSectorPopulation[Sector])), "Flagged", ""))</f>
        <v/>
      </c>
      <c r="AO102" s="45" cm="1">
        <f t="array" ref="AO10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60234.867224757727</v>
      </c>
      <c r="AP102" s="326" t="str" cm="1">
        <f t="array" ref="AP102">IF(tblPiNAnalysis[[#This Row],[2nd Highest PiN]]="", "", _xlfn.TEXTJOIN(CHAR(10), TRUE, IF(tblPiNAnalysis[[#This Row],[2nd Highest PiN]]=tblPiNAnalysis[[#This Row],[CCCM]:[WASH]], tblPiNAnalysis[[#Headers],[CCCM]:[WASH]], "")))</f>
        <v>Health</v>
      </c>
      <c r="AQ102" s="35">
        <f>IFERROR(tblPiNAnalysis[[#This Row],[2nd Highest PiN]]/tblPiNAnalysis[[#This Row],[Population]], "")</f>
        <v>0.48686836480053775</v>
      </c>
      <c r="AR102" s="45">
        <f>IFERROR(tblPiNAnalysis[[#This Row],[Highest PiN]]-tblPiNAnalysis[[#This Row],[2nd Highest PiN]], "")</f>
        <v>9097.1327752422731</v>
      </c>
      <c r="AS102" s="38">
        <f>IFERROR(((tblPiNAnalysis[[#This Row],[Highest PiN]]-tblPiNAnalysis[[#This Row],[2nd Highest PiN]])/tblPiNAnalysis[[#This Row],[2nd Highest PiN]]),"")</f>
        <v>0.15102768868565167</v>
      </c>
      <c r="AT102" s="269" t="str" cm="1">
        <f t="array" ref="AT10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2" s="327" cm="1">
        <f t="array" ref="AU10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60059</v>
      </c>
      <c r="AV102" s="186" t="str" cm="1">
        <f t="array" ref="AV102">IF(tblPiNAnalysis[[#This Row],[3rd Highest PiN]]="", "", _xlfn.TEXTJOIN(CHAR(10), TRUE, IF(tblPiNAnalysis[[#This Row],[3rd Highest PiN]]=tblPiNAnalysis[[#This Row],[CCCM]:[WASH]], tblPiNAnalysis[[#Headers],[CCCM]:[WASH]], "")))</f>
        <v>Shelter</v>
      </c>
      <c r="AW102" s="186">
        <f>IFERROR(tblPiNAnalysis[[#This Row],[3rd Highest PiN]]/tblPiNAnalysis[[#This Row],[Population]], "")</f>
        <v>0.48544685941528787</v>
      </c>
      <c r="AX102" s="44">
        <f>IFERROR(tblPiNAnalysis[[#This Row],[Highest PiN]]-tblPiNAnalysis[[#This Row],[3rd Highest PiN]],"")</f>
        <v>9273</v>
      </c>
      <c r="AY102" s="38">
        <f>IFERROR(tblPiNAnalysis[[#This Row],[Difference of PiN between Highest and 3rd Highest]]/tblPiNAnalysis[[#This Row],[3rd Highest PiN]], "")</f>
        <v>0.154398175127791</v>
      </c>
      <c r="AZ102" s="325" t="str" cm="1">
        <f t="array" ref="AZ10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2" s="292" cm="1">
        <f t="array" ref="BA102">IFERROR(IF(tblPiNAnalysis[[#This Row],[ID]]="", "", INDEX(tblPiNHistorical[[CCCM]:[WASH]], MATCH(tblPiNAnalysis[[#This Row],[ID]],tblPiNHistorical[ID], 0),MATCH(_xlfn._xlws.FILTER(tblPiNAnalysis[[#Headers],[CCCM]:[WASH]], tblPiNAnalysis[[#This Row],[Highest PiN]]=tblPiNAnalysis[[#This Row],[CCCM]:[WASH]]), tblPiNHistorical[[#Headers],[CCCM]:[WASH]], 0))), "")</f>
        <v>0.1</v>
      </c>
      <c r="BB102" s="328" t="str" cm="1">
        <f t="array" ref="BB10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2" s="272" cm="1">
        <f t="array" ref="BC102">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102" s="329" t="str" cm="1">
        <f t="array" ref="BD10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2" s="371">
        <f>INDEX(tblSeverityAnalysis[Final Severity], MATCH(tblPiNAnalysis[[#This Row],[ID]],tblSeverityAnalysis[ID], 0))</f>
        <v>3</v>
      </c>
      <c r="BF102" s="60">
        <f>IF(tblPiNAnalysis[[#This Row],[Severity]]&gt;2,tblPiNAnalysis[[#This Row],[Highest PiN]],)</f>
        <v>69332</v>
      </c>
      <c r="BG102" s="187"/>
      <c r="BH102" s="188"/>
      <c r="BI102" s="189">
        <f>COUNTIFS(tblPiNAnalysis[[#This Row],[Number of missing / zero PiNs greater than threshold - Data quality]:[Manual Flag]],"Flagged")</f>
        <v>0</v>
      </c>
      <c r="BJ102" s="346" t="str">
        <f>IF(tblPiNAnalysis[[#This Row],['# Flags]]&gt;0, "Flagged", "")</f>
        <v/>
      </c>
      <c r="BK102" s="339">
        <f>tblPiNAnalysis[[#This Row],[Preliminary PiN]]</f>
        <v>69332</v>
      </c>
      <c r="BL102" s="326"/>
      <c r="BM102" s="383">
        <f>IF(OR(tblPiNAnalysis[[#This Row],[Severity]]=4,tblPiNAnalysis[[#This Row],[Severity]]=5),tblPiNAnalysis[[#This Row],[Final PiN]],0)</f>
        <v>0</v>
      </c>
      <c r="BN102" s="378">
        <f>IF(OR(tblPiNAnalysis[[#This Row],[Severity]]=4,tblPiNAnalysis[[#This Row],[Severity]]=5),100%, IF(tblPiNAnalysis[[#This Row],[Severity]]=3,50%,0%))*tblPiNAnalysis[[#This Row],[Final PiN]]</f>
        <v>34666</v>
      </c>
      <c r="BO102" s="383">
        <f>IF(OR(tblPiNAnalysis[[#This Row],[Severity]]=4,tblPiNAnalysis[[#This Row],[Severity]]=5),100%, IF(AND(tblPiNAnalysis[[#This Row],[Severity]]=3,VLOOKUP(tblPiNAnalysis[[#This Row],[ID]],tblSeverityAnalysis[[ID]:[Highest Severity]],35,FALSE)&gt;3),50%,0%))*tblPiNAnalysis[[#This Row],[Final PiN]]</f>
        <v>0</v>
      </c>
    </row>
    <row r="103" spans="1:67" hidden="1">
      <c r="A10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Global_PopulationHT0732</v>
      </c>
      <c r="B103" s="304" t="s">
        <v>345</v>
      </c>
      <c r="C103" s="213" t="s">
        <v>346</v>
      </c>
      <c r="D103" s="213" t="s">
        <v>367</v>
      </c>
      <c r="E103" s="103" t="s">
        <v>368</v>
      </c>
      <c r="F103" s="99"/>
      <c r="G103" s="34"/>
      <c r="H103" s="357"/>
      <c r="I103" s="354">
        <v>80295</v>
      </c>
      <c r="J103" s="221" t="s">
        <v>156</v>
      </c>
      <c r="K103" s="316">
        <v>22591.5</v>
      </c>
      <c r="L103" s="308">
        <v>9967</v>
      </c>
      <c r="M103" s="308">
        <v>7726</v>
      </c>
      <c r="N103" s="308">
        <v>43192</v>
      </c>
      <c r="O103" s="308">
        <v>24316.284666891454</v>
      </c>
      <c r="P103" s="308">
        <v>15203.71</v>
      </c>
      <c r="Q103" s="309">
        <v>49907</v>
      </c>
      <c r="R103" s="308">
        <v>29441.499999999996</v>
      </c>
      <c r="S103" s="308"/>
      <c r="T103" s="308"/>
      <c r="U103" s="308"/>
      <c r="V103" s="308"/>
      <c r="W103" s="317">
        <f>IFERROR(IF(tblPiNAnalysis[[#This Row],[CCCM]]="", "", MROUND(tblPiNAnalysis[[#This Row],[CCCM]]/tblPiNAnalysis[[#This Row],[Population]], 0.05)), "")</f>
        <v>0.30000000000000004</v>
      </c>
      <c r="X103" s="318">
        <f>IFERROR(IF(tblPiNAnalysis[[#This Row],[Education]]="", "", MROUND(tblPiNAnalysis[[#This Row],[Education]]/tblPiNAnalysis[[#This Row],[Population]], 0.05)), "")</f>
        <v>0.1</v>
      </c>
      <c r="Y103" s="318">
        <f>IFERROR(IF(tblPiNAnalysis[[#This Row],[Nutrition]]="", "", MROUND(tblPiNAnalysis[[#This Row],[Nutrition]]/tblPiNAnalysis[[#This Row],[Population]], 0.05)), "")</f>
        <v>0.1</v>
      </c>
      <c r="Z103" s="318">
        <f>IFERROR(IF(tblPiNAnalysis[[#This Row],[Food Security]]="", "", MROUND(tblPiNAnalysis[[#This Row],[Food Security]]/tblPiNAnalysis[[#This Row],[Population]], 0.05)), "")</f>
        <v>0.55000000000000004</v>
      </c>
      <c r="AA103" s="318">
        <f>IFERROR(IF(tblPiNAnalysis[[#This Row],[Health]]="", "", MROUND(tblPiNAnalysis[[#This Row],[Health]]/tblPiNAnalysis[[#This Row],[Population]], 0.05)), "")</f>
        <v>0.30000000000000004</v>
      </c>
      <c r="AB103" s="319">
        <f>IFERROR(IF(tblPiNAnalysis[[#This Row],[Protection]]="", "", MROUND(tblPiNAnalysis[[#This Row],[Protection]]/tblPiNAnalysis[[#This Row],[Population]], 0.05)), "")</f>
        <v>0.2</v>
      </c>
      <c r="AC103" s="319">
        <f>IFERROR(IF(tblPiNAnalysis[[#This Row],[Shelter]]="", "", MROUND(tblPiNAnalysis[[#This Row],[Shelter]]/tblPiNAnalysis[[#This Row],[Population]], 0.05)), "")</f>
        <v>0.60000000000000009</v>
      </c>
      <c r="AD103" s="320">
        <f>IFERROR(IF(tblPiNAnalysis[[#This Row],[WASH]]="", "", MROUND(tblPiNAnalysis[[#This Row],[WASH]]/tblPiNAnalysis[[#This Row],[Population]], 0.05)), "")</f>
        <v>0.35000000000000003</v>
      </c>
      <c r="AE103" s="318">
        <f>IFERROR(MROUND(tblPiNAnalysis[[#This Row],[CP]]/tblPiNAnalysis[[#This Row],[Population]], 0.05), "")</f>
        <v>0</v>
      </c>
      <c r="AF103" s="318">
        <f>IFERROR(MROUND(tblPiNAnalysis[[#This Row],[GBV]]/tblPiNAnalysis[[#This Row],[Population]], 0.05), "")</f>
        <v>0</v>
      </c>
      <c r="AG103" s="318">
        <f>IFERROR(MROUND(tblPiNAnalysis[[#This Row],[Migrants]]/tblPiNAnalysis[[#This Row],[Population]], 0.05), "")</f>
        <v>0</v>
      </c>
      <c r="AH103" s="318">
        <f>IFERROR(MROUND(tblPiNAnalysis[[#This Row],[_]]/tblPiNAnalysis[[#This Row],[Population]], 0.05), "")</f>
        <v>0</v>
      </c>
      <c r="AI103" s="321">
        <f>IFERROR(LARGE(tblPiNAnalysis[[#This Row],[CCCM]:[WASH]], 1), "")</f>
        <v>49907</v>
      </c>
      <c r="AJ103" s="322" t="str" cm="1">
        <f t="array" ref="AJ103">IF(tblPiNAnalysis[[#This Row],[Highest PiN]]="", "", _xlfn.TEXTJOIN(CHAR(10), TRUE, IF(tblPiNAnalysis[[#This Row],[Highest PiN]]=tblPiNAnalysis[[#This Row],[CCCM]:[WASH]], tblPiNAnalysis[[#Headers],[CCCM]:[WASH]], "")))</f>
        <v>Shelter</v>
      </c>
      <c r="AK103" s="323">
        <f>IF(tblPiNAnalysis[[#This Row],[Highest PiN]]="", "", tblPiNAnalysis[[#This Row],[Highest PiN]]/tblPiNAnalysis[[#This Row],[Population]])</f>
        <v>0.62154555078149321</v>
      </c>
      <c r="AL103" s="265" t="str">
        <f>IF(SUM(tblPiNAnalysis[[#This Row],[CCCM]:[WASH]])=0, "",IF(COUNTIF(tblPiNAnalysis[[#This Row],[CCCM]:[WASH]],"=0")+COUNTIF(tblPiNAnalysis[[#This Row],[CCCM]:[WASH]],"")&gt;=zero_pin_thresh, "Flagged", ""))</f>
        <v/>
      </c>
      <c r="AM103" s="264" t="str">
        <f>IFERROR(IF(tblPiNAnalysis[[#This Row],[Highest PiN]]="", "", IF(tblPiNAnalysis[[#This Row],[Highest sector(s'') PiN %]]&gt;=flag_pin_perc, "Flagged", "")), "")</f>
        <v/>
      </c>
      <c r="AN103" s="266" t="str" cm="1">
        <f t="array" ref="AN103">IF(tblPiNAnalysis[[#This Row],[Highest PiN]]=0, "",  IF(OR(COUNTIF(tblPiNAnalysis[[#This Row],[Highest sector(s)]],tblSubSectorPopulation[Sector])), "Flagged", ""))</f>
        <v/>
      </c>
      <c r="AO103" s="45" cm="1">
        <f t="array" ref="AO10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43192</v>
      </c>
      <c r="AP103" s="326" t="str" cm="1">
        <f t="array" ref="AP103">IF(tblPiNAnalysis[[#This Row],[2nd Highest PiN]]="", "", _xlfn.TEXTJOIN(CHAR(10), TRUE, IF(tblPiNAnalysis[[#This Row],[2nd Highest PiN]]=tblPiNAnalysis[[#This Row],[CCCM]:[WASH]], tblPiNAnalysis[[#Headers],[CCCM]:[WASH]], "")))</f>
        <v>Food Security</v>
      </c>
      <c r="AQ103" s="35">
        <f>IFERROR(tblPiNAnalysis[[#This Row],[2nd Highest PiN]]/tblPiNAnalysis[[#This Row],[Population]], "")</f>
        <v>0.53791643315274928</v>
      </c>
      <c r="AR103" s="45">
        <f>IFERROR(tblPiNAnalysis[[#This Row],[Highest PiN]]-tblPiNAnalysis[[#This Row],[2nd Highest PiN]], "")</f>
        <v>6715</v>
      </c>
      <c r="AS103" s="38">
        <f>IFERROR(((tblPiNAnalysis[[#This Row],[Highest PiN]]-tblPiNAnalysis[[#This Row],[2nd Highest PiN]])/tblPiNAnalysis[[#This Row],[2nd Highest PiN]]),"")</f>
        <v>0.15546860529727727</v>
      </c>
      <c r="AT103" s="269" t="str" cm="1">
        <f t="array" ref="AT10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3" s="327" cm="1">
        <f t="array" ref="AU10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29441.499999999996</v>
      </c>
      <c r="AV103" s="186" t="str" cm="1">
        <f t="array" ref="AV103">IF(tblPiNAnalysis[[#This Row],[3rd Highest PiN]]="", "", _xlfn.TEXTJOIN(CHAR(10), TRUE, IF(tblPiNAnalysis[[#This Row],[3rd Highest PiN]]=tblPiNAnalysis[[#This Row],[CCCM]:[WASH]], tblPiNAnalysis[[#Headers],[CCCM]:[WASH]], "")))</f>
        <v>WASH</v>
      </c>
      <c r="AW103" s="186">
        <f>IFERROR(tblPiNAnalysis[[#This Row],[3rd Highest PiN]]/tblPiNAnalysis[[#This Row],[Population]], "")</f>
        <v>0.36666666666666664</v>
      </c>
      <c r="AX103" s="44">
        <f>IFERROR(tblPiNAnalysis[[#This Row],[Highest PiN]]-tblPiNAnalysis[[#This Row],[3rd Highest PiN]],"")</f>
        <v>20465.500000000004</v>
      </c>
      <c r="AY103" s="38">
        <f>IFERROR(tblPiNAnalysis[[#This Row],[Difference of PiN between Highest and 3rd Highest]]/tblPiNAnalysis[[#This Row],[3rd Highest PiN]], "")</f>
        <v>0.6951242294040727</v>
      </c>
      <c r="AZ103" s="325" t="str" cm="1">
        <f t="array" ref="AZ10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3" s="292" cm="1">
        <f t="array" ref="BA103">IFERROR(IF(tblPiNAnalysis[[#This Row],[ID]]="", "", INDEX(tblPiNHistorical[[CCCM]:[WASH]], MATCH(tblPiNAnalysis[[#This Row],[ID]],tblPiNHistorical[ID], 0),MATCH(_xlfn._xlws.FILTER(tblPiNAnalysis[[#Headers],[CCCM]:[WASH]], tblPiNAnalysis[[#This Row],[Highest PiN]]=tblPiNAnalysis[[#This Row],[CCCM]:[WASH]]), tblPiNHistorical[[#Headers],[CCCM]:[WASH]], 0))), "")</f>
        <v>0.4</v>
      </c>
      <c r="BB103" s="328" t="str" cm="1">
        <f t="array" ref="BB10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3" s="272" cm="1">
        <f t="array" ref="BC103">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03" s="329" t="str" cm="1">
        <f t="array" ref="BD10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3" s="371">
        <f>INDEX(tblSeverityAnalysis[Final Severity], MATCH(tblPiNAnalysis[[#This Row],[ID]],tblSeverityAnalysis[ID], 0))</f>
        <v>3</v>
      </c>
      <c r="BF103" s="60">
        <f>IF(tblPiNAnalysis[[#This Row],[Severity]]&gt;2,tblPiNAnalysis[[#This Row],[Highest PiN]],)</f>
        <v>49907</v>
      </c>
      <c r="BG103" s="187"/>
      <c r="BH103" s="188"/>
      <c r="BI103" s="189">
        <f>COUNTIFS(tblPiNAnalysis[[#This Row],[Number of missing / zero PiNs greater than threshold - Data quality]:[Manual Flag]],"Flagged")</f>
        <v>0</v>
      </c>
      <c r="BJ103" s="346" t="str">
        <f>IF(tblPiNAnalysis[[#This Row],['# Flags]]&gt;0, "Flagged", "")</f>
        <v/>
      </c>
      <c r="BK103" s="339">
        <f>tblPiNAnalysis[[#This Row],[Preliminary PiN]]</f>
        <v>49907</v>
      </c>
      <c r="BL103" s="326"/>
      <c r="BM103" s="383">
        <f>IF(OR(tblPiNAnalysis[[#This Row],[Severity]]=4,tblPiNAnalysis[[#This Row],[Severity]]=5),tblPiNAnalysis[[#This Row],[Final PiN]],0)</f>
        <v>0</v>
      </c>
      <c r="BN103" s="378">
        <f>IF(OR(tblPiNAnalysis[[#This Row],[Severity]]=4,tblPiNAnalysis[[#This Row],[Severity]]=5),100%, IF(tblPiNAnalysis[[#This Row],[Severity]]=3,50%,0%))*tblPiNAnalysis[[#This Row],[Final PiN]]</f>
        <v>24953.5</v>
      </c>
      <c r="BO103" s="383">
        <f>IF(OR(tblPiNAnalysis[[#This Row],[Severity]]=4,tblPiNAnalysis[[#This Row],[Severity]]=5),100%, IF(AND(tblPiNAnalysis[[#This Row],[Severity]]=3,VLOOKUP(tblPiNAnalysis[[#This Row],[ID]],tblSeverityAnalysis[[ID]:[Highest Severity]],35,FALSE)&gt;3),50%,0%))*tblPiNAnalysis[[#This Row],[Final PiN]]</f>
        <v>0</v>
      </c>
    </row>
    <row r="104" spans="1:67" hidden="1">
      <c r="A10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Global_PopulationHT0733</v>
      </c>
      <c r="B104" s="304" t="s">
        <v>345</v>
      </c>
      <c r="C104" s="213" t="s">
        <v>346</v>
      </c>
      <c r="D104" s="213" t="s">
        <v>369</v>
      </c>
      <c r="E104" s="103" t="s">
        <v>370</v>
      </c>
      <c r="F104" s="99"/>
      <c r="G104" s="34"/>
      <c r="H104" s="357"/>
      <c r="I104" s="354">
        <v>63397</v>
      </c>
      <c r="J104" s="221" t="s">
        <v>156</v>
      </c>
      <c r="K104" s="316">
        <v>36769.5</v>
      </c>
      <c r="L104" s="308">
        <v>7729</v>
      </c>
      <c r="M104" s="308">
        <v>7536</v>
      </c>
      <c r="N104" s="308">
        <v>32390</v>
      </c>
      <c r="O104" s="308">
        <v>26588.659165699828</v>
      </c>
      <c r="P104" s="308">
        <v>24726.3</v>
      </c>
      <c r="Q104" s="309">
        <v>45881</v>
      </c>
      <c r="R104" s="308">
        <v>47547.75</v>
      </c>
      <c r="S104" s="308"/>
      <c r="T104" s="308"/>
      <c r="U104" s="308"/>
      <c r="V104" s="308"/>
      <c r="W104" s="317">
        <f>IFERROR(IF(tblPiNAnalysis[[#This Row],[CCCM]]="", "", MROUND(tblPiNAnalysis[[#This Row],[CCCM]]/tblPiNAnalysis[[#This Row],[Population]], 0.05)), "")</f>
        <v>0.60000000000000009</v>
      </c>
      <c r="X104" s="318">
        <f>IFERROR(IF(tblPiNAnalysis[[#This Row],[Education]]="", "", MROUND(tblPiNAnalysis[[#This Row],[Education]]/tblPiNAnalysis[[#This Row],[Population]], 0.05)), "")</f>
        <v>0.1</v>
      </c>
      <c r="Y104" s="318">
        <f>IFERROR(IF(tblPiNAnalysis[[#This Row],[Nutrition]]="", "", MROUND(tblPiNAnalysis[[#This Row],[Nutrition]]/tblPiNAnalysis[[#This Row],[Population]], 0.05)), "")</f>
        <v>0.1</v>
      </c>
      <c r="Z104" s="318">
        <f>IFERROR(IF(tblPiNAnalysis[[#This Row],[Food Security]]="", "", MROUND(tblPiNAnalysis[[#This Row],[Food Security]]/tblPiNAnalysis[[#This Row],[Population]], 0.05)), "")</f>
        <v>0.5</v>
      </c>
      <c r="AA104" s="318">
        <f>IFERROR(IF(tblPiNAnalysis[[#This Row],[Health]]="", "", MROUND(tblPiNAnalysis[[#This Row],[Health]]/tblPiNAnalysis[[#This Row],[Population]], 0.05)), "")</f>
        <v>0.4</v>
      </c>
      <c r="AB104" s="319">
        <f>IFERROR(IF(tblPiNAnalysis[[#This Row],[Protection]]="", "", MROUND(tblPiNAnalysis[[#This Row],[Protection]]/tblPiNAnalysis[[#This Row],[Population]], 0.05)), "")</f>
        <v>0.4</v>
      </c>
      <c r="AC104" s="319">
        <f>IFERROR(IF(tblPiNAnalysis[[#This Row],[Shelter]]="", "", MROUND(tblPiNAnalysis[[#This Row],[Shelter]]/tblPiNAnalysis[[#This Row],[Population]], 0.05)), "")</f>
        <v>0.70000000000000007</v>
      </c>
      <c r="AD104" s="320">
        <f>IFERROR(IF(tblPiNAnalysis[[#This Row],[WASH]]="", "", MROUND(tblPiNAnalysis[[#This Row],[WASH]]/tblPiNAnalysis[[#This Row],[Population]], 0.05)), "")</f>
        <v>0.75</v>
      </c>
      <c r="AE104" s="318">
        <f>IFERROR(MROUND(tblPiNAnalysis[[#This Row],[CP]]/tblPiNAnalysis[[#This Row],[Population]], 0.05), "")</f>
        <v>0</v>
      </c>
      <c r="AF104" s="318">
        <f>IFERROR(MROUND(tblPiNAnalysis[[#This Row],[GBV]]/tblPiNAnalysis[[#This Row],[Population]], 0.05), "")</f>
        <v>0</v>
      </c>
      <c r="AG104" s="318">
        <f>IFERROR(MROUND(tblPiNAnalysis[[#This Row],[Migrants]]/tblPiNAnalysis[[#This Row],[Population]], 0.05), "")</f>
        <v>0</v>
      </c>
      <c r="AH104" s="318">
        <f>IFERROR(MROUND(tblPiNAnalysis[[#This Row],[_]]/tblPiNAnalysis[[#This Row],[Population]], 0.05), "")</f>
        <v>0</v>
      </c>
      <c r="AI104" s="321">
        <f>IFERROR(LARGE(tblPiNAnalysis[[#This Row],[CCCM]:[WASH]], 1), "")</f>
        <v>47547.75</v>
      </c>
      <c r="AJ104" s="322" t="str" cm="1">
        <f t="array" ref="AJ104">IF(tblPiNAnalysis[[#This Row],[Highest PiN]]="", "", _xlfn.TEXTJOIN(CHAR(10), TRUE, IF(tblPiNAnalysis[[#This Row],[Highest PiN]]=tblPiNAnalysis[[#This Row],[CCCM]:[WASH]], tblPiNAnalysis[[#Headers],[CCCM]:[WASH]], "")))</f>
        <v>WASH</v>
      </c>
      <c r="AK104" s="323">
        <f>IF(tblPiNAnalysis[[#This Row],[Highest PiN]]="", "", tblPiNAnalysis[[#This Row],[Highest PiN]]/tblPiNAnalysis[[#This Row],[Population]])</f>
        <v>0.75</v>
      </c>
      <c r="AL104" s="265" t="str">
        <f>IF(SUM(tblPiNAnalysis[[#This Row],[CCCM]:[WASH]])=0, "",IF(COUNTIF(tblPiNAnalysis[[#This Row],[CCCM]:[WASH]],"=0")+COUNTIF(tblPiNAnalysis[[#This Row],[CCCM]:[WASH]],"")&gt;=zero_pin_thresh, "Flagged", ""))</f>
        <v/>
      </c>
      <c r="AM104" s="264" t="str">
        <f>IFERROR(IF(tblPiNAnalysis[[#This Row],[Highest PiN]]="", "", IF(tblPiNAnalysis[[#This Row],[Highest sector(s'') PiN %]]&gt;=flag_pin_perc, "Flagged", "")), "")</f>
        <v/>
      </c>
      <c r="AN104" s="266" t="str" cm="1">
        <f t="array" ref="AN104">IF(tblPiNAnalysis[[#This Row],[Highest PiN]]=0, "",  IF(OR(COUNTIF(tblPiNAnalysis[[#This Row],[Highest sector(s)]],tblSubSectorPopulation[Sector])), "Flagged", ""))</f>
        <v/>
      </c>
      <c r="AO104" s="45" cm="1">
        <f t="array" ref="AO10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45881</v>
      </c>
      <c r="AP104" s="326" t="str" cm="1">
        <f t="array" ref="AP104">IF(tblPiNAnalysis[[#This Row],[2nd Highest PiN]]="", "", _xlfn.TEXTJOIN(CHAR(10), TRUE, IF(tblPiNAnalysis[[#This Row],[2nd Highest PiN]]=tblPiNAnalysis[[#This Row],[CCCM]:[WASH]], tblPiNAnalysis[[#Headers],[CCCM]:[WASH]], "")))</f>
        <v>Shelter</v>
      </c>
      <c r="AQ104" s="35">
        <f>IFERROR(tblPiNAnalysis[[#This Row],[2nd Highest PiN]]/tblPiNAnalysis[[#This Row],[Population]], "")</f>
        <v>0.72370932378503716</v>
      </c>
      <c r="AR104" s="45">
        <f>IFERROR(tblPiNAnalysis[[#This Row],[Highest PiN]]-tblPiNAnalysis[[#This Row],[2nd Highest PiN]], "")</f>
        <v>1666.75</v>
      </c>
      <c r="AS104" s="38">
        <f>IFERROR(((tblPiNAnalysis[[#This Row],[Highest PiN]]-tblPiNAnalysis[[#This Row],[2nd Highest PiN]])/tblPiNAnalysis[[#This Row],[2nd Highest PiN]]),"")</f>
        <v>3.6327673764739214E-2</v>
      </c>
      <c r="AT104" s="269" t="str" cm="1">
        <f t="array" ref="AT10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4" s="327" cm="1">
        <f t="array" ref="AU10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36769.5</v>
      </c>
      <c r="AV104" s="186" t="str" cm="1">
        <f t="array" ref="AV104">IF(tblPiNAnalysis[[#This Row],[3rd Highest PiN]]="", "", _xlfn.TEXTJOIN(CHAR(10), TRUE, IF(tblPiNAnalysis[[#This Row],[3rd Highest PiN]]=tblPiNAnalysis[[#This Row],[CCCM]:[WASH]], tblPiNAnalysis[[#Headers],[CCCM]:[WASH]], "")))</f>
        <v>CCCM</v>
      </c>
      <c r="AW104" s="186">
        <f>IFERROR(tblPiNAnalysis[[#This Row],[3rd Highest PiN]]/tblPiNAnalysis[[#This Row],[Population]], "")</f>
        <v>0.57998801205104344</v>
      </c>
      <c r="AX104" s="44">
        <f>IFERROR(tblPiNAnalysis[[#This Row],[Highest PiN]]-tblPiNAnalysis[[#This Row],[3rd Highest PiN]],"")</f>
        <v>10778.25</v>
      </c>
      <c r="AY104" s="38">
        <f>IFERROR(tblPiNAnalysis[[#This Row],[Difference of PiN between Highest and 3rd Highest]]/tblPiNAnalysis[[#This Row],[3rd Highest PiN]], "")</f>
        <v>0.29313017582507239</v>
      </c>
      <c r="AZ104" s="325" t="str" cm="1">
        <f t="array" ref="AZ10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4" s="292" cm="1">
        <f t="array" ref="BA104">IFERROR(IF(tblPiNAnalysis[[#This Row],[ID]]="", "", INDEX(tblPiNHistorical[[CCCM]:[WASH]], MATCH(tblPiNAnalysis[[#This Row],[ID]],tblPiNHistorical[ID], 0),MATCH(_xlfn._xlws.FILTER(tblPiNAnalysis[[#Headers],[CCCM]:[WASH]], tblPiNAnalysis[[#This Row],[Highest PiN]]=tblPiNAnalysis[[#This Row],[CCCM]:[WASH]]), tblPiNHistorical[[#Headers],[CCCM]:[WASH]], 0))), "")</f>
        <v>0.5</v>
      </c>
      <c r="BB104" s="328" t="str" cm="1">
        <f t="array" ref="BB10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4" s="272" cm="1">
        <f t="array" ref="BC104">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04" s="329" t="str" cm="1">
        <f t="array" ref="BD10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4" s="371">
        <f>INDEX(tblSeverityAnalysis[Final Severity], MATCH(tblPiNAnalysis[[#This Row],[ID]],tblSeverityAnalysis[ID], 0))</f>
        <v>3</v>
      </c>
      <c r="BF104" s="60">
        <f>IF(tblPiNAnalysis[[#This Row],[Severity]]&gt;2,tblPiNAnalysis[[#This Row],[Highest PiN]],)</f>
        <v>47547.75</v>
      </c>
      <c r="BG104" s="187"/>
      <c r="BH104" s="188"/>
      <c r="BI104" s="189">
        <f>COUNTIFS(tblPiNAnalysis[[#This Row],[Number of missing / zero PiNs greater than threshold - Data quality]:[Manual Flag]],"Flagged")</f>
        <v>0</v>
      </c>
      <c r="BJ104" s="346" t="str">
        <f>IF(tblPiNAnalysis[[#This Row],['# Flags]]&gt;0, "Flagged", "")</f>
        <v/>
      </c>
      <c r="BK104" s="339">
        <f>tblPiNAnalysis[[#This Row],[Preliminary PiN]]</f>
        <v>47547.75</v>
      </c>
      <c r="BL104" s="326"/>
      <c r="BM104" s="383">
        <f>IF(OR(tblPiNAnalysis[[#This Row],[Severity]]=4,tblPiNAnalysis[[#This Row],[Severity]]=5),tblPiNAnalysis[[#This Row],[Final PiN]],0)</f>
        <v>0</v>
      </c>
      <c r="BN104" s="378">
        <f>IF(OR(tblPiNAnalysis[[#This Row],[Severity]]=4,tblPiNAnalysis[[#This Row],[Severity]]=5),100%, IF(tblPiNAnalysis[[#This Row],[Severity]]=3,50%,0%))*tblPiNAnalysis[[#This Row],[Final PiN]]</f>
        <v>23773.875</v>
      </c>
      <c r="BO104" s="383">
        <f>IF(OR(tblPiNAnalysis[[#This Row],[Severity]]=4,tblPiNAnalysis[[#This Row],[Severity]]=5),100%, IF(AND(tblPiNAnalysis[[#This Row],[Severity]]=3,VLOOKUP(tblPiNAnalysis[[#This Row],[ID]],tblSeverityAnalysis[[ID]:[Highest Severity]],35,FALSE)&gt;3),50%,0%))*tblPiNAnalysis[[#This Row],[Final PiN]]</f>
        <v>0</v>
      </c>
    </row>
    <row r="105" spans="1:67" hidden="1">
      <c r="A10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Global_PopulationHT0741</v>
      </c>
      <c r="B105" s="304" t="s">
        <v>345</v>
      </c>
      <c r="C105" s="213" t="s">
        <v>346</v>
      </c>
      <c r="D105" s="213" t="s">
        <v>371</v>
      </c>
      <c r="E105" s="103" t="s">
        <v>372</v>
      </c>
      <c r="F105" s="99"/>
      <c r="G105" s="34"/>
      <c r="H105" s="357"/>
      <c r="I105" s="354">
        <v>25395</v>
      </c>
      <c r="J105" s="221" t="s">
        <v>156</v>
      </c>
      <c r="K105" s="316">
        <v>4450.5</v>
      </c>
      <c r="L105" s="308">
        <v>3322</v>
      </c>
      <c r="M105" s="308">
        <v>2343</v>
      </c>
      <c r="N105" s="308">
        <v>15589</v>
      </c>
      <c r="O105" s="308">
        <v>5594.127825965621</v>
      </c>
      <c r="P105" s="308">
        <v>3101.29</v>
      </c>
      <c r="Q105" s="309">
        <v>6381</v>
      </c>
      <c r="R105" s="308">
        <v>2971.8</v>
      </c>
      <c r="S105" s="308"/>
      <c r="T105" s="308"/>
      <c r="U105" s="308"/>
      <c r="V105" s="308"/>
      <c r="W105" s="317">
        <f>IFERROR(IF(tblPiNAnalysis[[#This Row],[CCCM]]="", "", MROUND(tblPiNAnalysis[[#This Row],[CCCM]]/tblPiNAnalysis[[#This Row],[Population]], 0.05)), "")</f>
        <v>0.2</v>
      </c>
      <c r="X105" s="318">
        <f>IFERROR(IF(tblPiNAnalysis[[#This Row],[Education]]="", "", MROUND(tblPiNAnalysis[[#This Row],[Education]]/tblPiNAnalysis[[#This Row],[Population]], 0.05)), "")</f>
        <v>0.15000000000000002</v>
      </c>
      <c r="Y105" s="318">
        <f>IFERROR(IF(tblPiNAnalysis[[#This Row],[Nutrition]]="", "", MROUND(tblPiNAnalysis[[#This Row],[Nutrition]]/tblPiNAnalysis[[#This Row],[Population]], 0.05)), "")</f>
        <v>0.1</v>
      </c>
      <c r="Z105" s="318">
        <f>IFERROR(IF(tblPiNAnalysis[[#This Row],[Food Security]]="", "", MROUND(tblPiNAnalysis[[#This Row],[Food Security]]/tblPiNAnalysis[[#This Row],[Population]], 0.05)), "")</f>
        <v>0.60000000000000009</v>
      </c>
      <c r="AA105" s="318">
        <f>IFERROR(IF(tblPiNAnalysis[[#This Row],[Health]]="", "", MROUND(tblPiNAnalysis[[#This Row],[Health]]/tblPiNAnalysis[[#This Row],[Population]], 0.05)), "")</f>
        <v>0.2</v>
      </c>
      <c r="AB105" s="319">
        <f>IFERROR(IF(tblPiNAnalysis[[#This Row],[Protection]]="", "", MROUND(tblPiNAnalysis[[#This Row],[Protection]]/tblPiNAnalysis[[#This Row],[Population]], 0.05)), "")</f>
        <v>0.1</v>
      </c>
      <c r="AC105" s="319">
        <f>IFERROR(IF(tblPiNAnalysis[[#This Row],[Shelter]]="", "", MROUND(tblPiNAnalysis[[#This Row],[Shelter]]/tblPiNAnalysis[[#This Row],[Population]], 0.05)), "")</f>
        <v>0.25</v>
      </c>
      <c r="AD105" s="320">
        <f>IFERROR(IF(tblPiNAnalysis[[#This Row],[WASH]]="", "", MROUND(tblPiNAnalysis[[#This Row],[WASH]]/tblPiNAnalysis[[#This Row],[Population]], 0.05)), "")</f>
        <v>0.1</v>
      </c>
      <c r="AE105" s="318">
        <f>IFERROR(MROUND(tblPiNAnalysis[[#This Row],[CP]]/tblPiNAnalysis[[#This Row],[Population]], 0.05), "")</f>
        <v>0</v>
      </c>
      <c r="AF105" s="318">
        <f>IFERROR(MROUND(tblPiNAnalysis[[#This Row],[GBV]]/tblPiNAnalysis[[#This Row],[Population]], 0.05), "")</f>
        <v>0</v>
      </c>
      <c r="AG105" s="318">
        <f>IFERROR(MROUND(tblPiNAnalysis[[#This Row],[Migrants]]/tblPiNAnalysis[[#This Row],[Population]], 0.05), "")</f>
        <v>0</v>
      </c>
      <c r="AH105" s="318">
        <f>IFERROR(MROUND(tblPiNAnalysis[[#This Row],[_]]/tblPiNAnalysis[[#This Row],[Population]], 0.05), "")</f>
        <v>0</v>
      </c>
      <c r="AI105" s="321">
        <f>IFERROR(LARGE(tblPiNAnalysis[[#This Row],[CCCM]:[WASH]], 1), "")</f>
        <v>15589</v>
      </c>
      <c r="AJ105" s="322" t="str" cm="1">
        <f t="array" ref="AJ105">IF(tblPiNAnalysis[[#This Row],[Highest PiN]]="", "", _xlfn.TEXTJOIN(CHAR(10), TRUE, IF(tblPiNAnalysis[[#This Row],[Highest PiN]]=tblPiNAnalysis[[#This Row],[CCCM]:[WASH]], tblPiNAnalysis[[#Headers],[CCCM]:[WASH]], "")))</f>
        <v>Food Security</v>
      </c>
      <c r="AK105" s="323">
        <f>IF(tblPiNAnalysis[[#This Row],[Highest PiN]]="", "", tblPiNAnalysis[[#This Row],[Highest PiN]]/tblPiNAnalysis[[#This Row],[Population]])</f>
        <v>0.61386099625910617</v>
      </c>
      <c r="AL105" s="265" t="str">
        <f>IF(SUM(tblPiNAnalysis[[#This Row],[CCCM]:[WASH]])=0, "",IF(COUNTIF(tblPiNAnalysis[[#This Row],[CCCM]:[WASH]],"=0")+COUNTIF(tblPiNAnalysis[[#This Row],[CCCM]:[WASH]],"")&gt;=zero_pin_thresh, "Flagged", ""))</f>
        <v/>
      </c>
      <c r="AM105" s="264" t="str">
        <f>IFERROR(IF(tblPiNAnalysis[[#This Row],[Highest PiN]]="", "", IF(tblPiNAnalysis[[#This Row],[Highest sector(s'') PiN %]]&gt;=flag_pin_perc, "Flagged", "")), "")</f>
        <v/>
      </c>
      <c r="AN105" s="266" t="str" cm="1">
        <f t="array" ref="AN105">IF(tblPiNAnalysis[[#This Row],[Highest PiN]]=0, "",  IF(OR(COUNTIF(tblPiNAnalysis[[#This Row],[Highest sector(s)]],tblSubSectorPopulation[Sector])), "Flagged", ""))</f>
        <v/>
      </c>
      <c r="AO105" s="45" cm="1">
        <f t="array" ref="AO10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6381</v>
      </c>
      <c r="AP105" s="326" t="str" cm="1">
        <f t="array" ref="AP105">IF(tblPiNAnalysis[[#This Row],[2nd Highest PiN]]="", "", _xlfn.TEXTJOIN(CHAR(10), TRUE, IF(tblPiNAnalysis[[#This Row],[2nd Highest PiN]]=tblPiNAnalysis[[#This Row],[CCCM]:[WASH]], tblPiNAnalysis[[#Headers],[CCCM]:[WASH]], "")))</f>
        <v>Shelter</v>
      </c>
      <c r="AQ105" s="35">
        <f>IFERROR(tblPiNAnalysis[[#This Row],[2nd Highest PiN]]/tblPiNAnalysis[[#This Row],[Population]], "")</f>
        <v>0.25126993502658002</v>
      </c>
      <c r="AR105" s="45">
        <f>IFERROR(tblPiNAnalysis[[#This Row],[Highest PiN]]-tblPiNAnalysis[[#This Row],[2nd Highest PiN]], "")</f>
        <v>9208</v>
      </c>
      <c r="AS105" s="38">
        <f>IFERROR(((tblPiNAnalysis[[#This Row],[Highest PiN]]-tblPiNAnalysis[[#This Row],[2nd Highest PiN]])/tblPiNAnalysis[[#This Row],[2nd Highest PiN]]),"")</f>
        <v>1.4430340072089014</v>
      </c>
      <c r="AT105" s="269" t="str" cm="1">
        <f t="array" ref="AT10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5" s="327" cm="1">
        <f t="array" ref="AU10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5594.127825965621</v>
      </c>
      <c r="AV105" s="186" t="str" cm="1">
        <f t="array" ref="AV105">IF(tblPiNAnalysis[[#This Row],[3rd Highest PiN]]="", "", _xlfn.TEXTJOIN(CHAR(10), TRUE, IF(tblPiNAnalysis[[#This Row],[3rd Highest PiN]]=tblPiNAnalysis[[#This Row],[CCCM]:[WASH]], tblPiNAnalysis[[#Headers],[CCCM]:[WASH]], "")))</f>
        <v>Health</v>
      </c>
      <c r="AW105" s="186">
        <f>IFERROR(tblPiNAnalysis[[#This Row],[3rd Highest PiN]]/tblPiNAnalysis[[#This Row],[Population]], "")</f>
        <v>0.22028461610417882</v>
      </c>
      <c r="AX105" s="44">
        <f>IFERROR(tblPiNAnalysis[[#This Row],[Highest PiN]]-tblPiNAnalysis[[#This Row],[3rd Highest PiN]],"")</f>
        <v>9994.872174034379</v>
      </c>
      <c r="AY105" s="38">
        <f>IFERROR(tblPiNAnalysis[[#This Row],[Difference of PiN between Highest and 3rd Highest]]/tblPiNAnalysis[[#This Row],[3rd Highest PiN]], "")</f>
        <v>1.7866721113597599</v>
      </c>
      <c r="AZ105" s="325" t="str" cm="1">
        <f t="array" ref="AZ10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5" s="292" cm="1">
        <f t="array" ref="BA105">IFERROR(IF(tblPiNAnalysis[[#This Row],[ID]]="", "", INDEX(tblPiNHistorical[[CCCM]:[WASH]], MATCH(tblPiNAnalysis[[#This Row],[ID]],tblPiNHistorical[ID], 0),MATCH(_xlfn._xlws.FILTER(tblPiNAnalysis[[#Headers],[CCCM]:[WASH]], tblPiNAnalysis[[#This Row],[Highest PiN]]=tblPiNAnalysis[[#This Row],[CCCM]:[WASH]]), tblPiNHistorical[[#Headers],[CCCM]:[WASH]], 0))), "")</f>
        <v>0.5</v>
      </c>
      <c r="BB105" s="328" t="str" cm="1">
        <f t="array" ref="BB10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5" s="272" cm="1">
        <f t="array" ref="BC105">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05" s="329" t="str" cm="1">
        <f t="array" ref="BD10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5" s="371">
        <f>INDEX(tblSeverityAnalysis[Final Severity], MATCH(tblPiNAnalysis[[#This Row],[ID]],tblSeverityAnalysis[ID], 0))</f>
        <v>3</v>
      </c>
      <c r="BF105" s="60">
        <f>IF(tblPiNAnalysis[[#This Row],[Severity]]&gt;2,tblPiNAnalysis[[#This Row],[Highest PiN]],)</f>
        <v>15589</v>
      </c>
      <c r="BG105" s="187"/>
      <c r="BH105" s="188"/>
      <c r="BI105" s="189">
        <f>COUNTIFS(tblPiNAnalysis[[#This Row],[Number of missing / zero PiNs greater than threshold - Data quality]:[Manual Flag]],"Flagged")</f>
        <v>2</v>
      </c>
      <c r="BJ105" s="346" t="str">
        <f>IF(tblPiNAnalysis[[#This Row],['# Flags]]&gt;0, "Flagged", "")</f>
        <v>Flagged</v>
      </c>
      <c r="BK105" s="339">
        <f>tblPiNAnalysis[[#This Row],[Preliminary PiN]]</f>
        <v>15589</v>
      </c>
      <c r="BL105" s="326"/>
      <c r="BM105" s="383">
        <f>IF(OR(tblPiNAnalysis[[#This Row],[Severity]]=4,tblPiNAnalysis[[#This Row],[Severity]]=5),tblPiNAnalysis[[#This Row],[Final PiN]],0)</f>
        <v>0</v>
      </c>
      <c r="BN105" s="378">
        <f>IF(OR(tblPiNAnalysis[[#This Row],[Severity]]=4,tblPiNAnalysis[[#This Row],[Severity]]=5),100%, IF(tblPiNAnalysis[[#This Row],[Severity]]=3,50%,0%))*tblPiNAnalysis[[#This Row],[Final PiN]]</f>
        <v>7794.5</v>
      </c>
      <c r="BO105" s="383">
        <f>IF(OR(tblPiNAnalysis[[#This Row],[Severity]]=4,tblPiNAnalysis[[#This Row],[Severity]]=5),100%, IF(AND(tblPiNAnalysis[[#This Row],[Severity]]=3,VLOOKUP(tblPiNAnalysis[[#This Row],[ID]],tblSeverityAnalysis[[ID]:[Highest Severity]],35,FALSE)&gt;3),50%,0%))*tblPiNAnalysis[[#This Row],[Final PiN]]</f>
        <v>0</v>
      </c>
    </row>
    <row r="106" spans="1:67" hidden="1">
      <c r="A10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Global_PopulationHT0742</v>
      </c>
      <c r="B106" s="304" t="s">
        <v>345</v>
      </c>
      <c r="C106" s="213" t="s">
        <v>346</v>
      </c>
      <c r="D106" s="213" t="s">
        <v>373</v>
      </c>
      <c r="E106" s="103" t="s">
        <v>374</v>
      </c>
      <c r="F106" s="99"/>
      <c r="G106" s="34"/>
      <c r="H106" s="357"/>
      <c r="I106" s="354">
        <v>26647</v>
      </c>
      <c r="J106" s="221" t="s">
        <v>156</v>
      </c>
      <c r="K106" s="316">
        <v>11437.5</v>
      </c>
      <c r="L106" s="308">
        <v>3725</v>
      </c>
      <c r="M106" s="308">
        <v>2696</v>
      </c>
      <c r="N106" s="308">
        <v>9754</v>
      </c>
      <c r="O106" s="308">
        <v>15410.983019672132</v>
      </c>
      <c r="P106" s="308">
        <v>3842.74</v>
      </c>
      <c r="Q106" s="309">
        <v>21418</v>
      </c>
      <c r="R106" s="308">
        <v>15376</v>
      </c>
      <c r="S106" s="308"/>
      <c r="T106" s="308"/>
      <c r="U106" s="308"/>
      <c r="V106" s="308"/>
      <c r="W106" s="317">
        <f>IFERROR(IF(tblPiNAnalysis[[#This Row],[CCCM]]="", "", MROUND(tblPiNAnalysis[[#This Row],[CCCM]]/tblPiNAnalysis[[#This Row],[Population]], 0.05)), "")</f>
        <v>0.45</v>
      </c>
      <c r="X106" s="318">
        <f>IFERROR(IF(tblPiNAnalysis[[#This Row],[Education]]="", "", MROUND(tblPiNAnalysis[[#This Row],[Education]]/tblPiNAnalysis[[#This Row],[Population]], 0.05)), "")</f>
        <v>0.15000000000000002</v>
      </c>
      <c r="Y106" s="318">
        <f>IFERROR(IF(tblPiNAnalysis[[#This Row],[Nutrition]]="", "", MROUND(tblPiNAnalysis[[#This Row],[Nutrition]]/tblPiNAnalysis[[#This Row],[Population]], 0.05)), "")</f>
        <v>0.1</v>
      </c>
      <c r="Z106" s="318">
        <f>IFERROR(IF(tblPiNAnalysis[[#This Row],[Food Security]]="", "", MROUND(tblPiNAnalysis[[#This Row],[Food Security]]/tblPiNAnalysis[[#This Row],[Population]], 0.05)), "")</f>
        <v>0.35000000000000003</v>
      </c>
      <c r="AA106" s="318">
        <f>IFERROR(IF(tblPiNAnalysis[[#This Row],[Health]]="", "", MROUND(tblPiNAnalysis[[#This Row],[Health]]/tblPiNAnalysis[[#This Row],[Population]], 0.05)), "")</f>
        <v>0.60000000000000009</v>
      </c>
      <c r="AB106" s="319">
        <f>IFERROR(IF(tblPiNAnalysis[[#This Row],[Protection]]="", "", MROUND(tblPiNAnalysis[[#This Row],[Protection]]/tblPiNAnalysis[[#This Row],[Population]], 0.05)), "")</f>
        <v>0.15000000000000002</v>
      </c>
      <c r="AC106" s="319">
        <f>IFERROR(IF(tblPiNAnalysis[[#This Row],[Shelter]]="", "", MROUND(tblPiNAnalysis[[#This Row],[Shelter]]/tblPiNAnalysis[[#This Row],[Population]], 0.05)), "")</f>
        <v>0.8</v>
      </c>
      <c r="AD106" s="320">
        <f>IFERROR(IF(tblPiNAnalysis[[#This Row],[WASH]]="", "", MROUND(tblPiNAnalysis[[#This Row],[WASH]]/tblPiNAnalysis[[#This Row],[Population]], 0.05)), "")</f>
        <v>0.60000000000000009</v>
      </c>
      <c r="AE106" s="318">
        <f>IFERROR(MROUND(tblPiNAnalysis[[#This Row],[CP]]/tblPiNAnalysis[[#This Row],[Population]], 0.05), "")</f>
        <v>0</v>
      </c>
      <c r="AF106" s="318">
        <f>IFERROR(MROUND(tblPiNAnalysis[[#This Row],[GBV]]/tblPiNAnalysis[[#This Row],[Population]], 0.05), "")</f>
        <v>0</v>
      </c>
      <c r="AG106" s="318">
        <f>IFERROR(MROUND(tblPiNAnalysis[[#This Row],[Migrants]]/tblPiNAnalysis[[#This Row],[Population]], 0.05), "")</f>
        <v>0</v>
      </c>
      <c r="AH106" s="318">
        <f>IFERROR(MROUND(tblPiNAnalysis[[#This Row],[_]]/tblPiNAnalysis[[#This Row],[Population]], 0.05), "")</f>
        <v>0</v>
      </c>
      <c r="AI106" s="321">
        <f>IFERROR(LARGE(tblPiNAnalysis[[#This Row],[CCCM]:[WASH]], 1), "")</f>
        <v>21418</v>
      </c>
      <c r="AJ106" s="322" t="str" cm="1">
        <f t="array" ref="AJ106">IF(tblPiNAnalysis[[#This Row],[Highest PiN]]="", "", _xlfn.TEXTJOIN(CHAR(10), TRUE, IF(tblPiNAnalysis[[#This Row],[Highest PiN]]=tblPiNAnalysis[[#This Row],[CCCM]:[WASH]], tblPiNAnalysis[[#Headers],[CCCM]:[WASH]], "")))</f>
        <v>Shelter</v>
      </c>
      <c r="AK106" s="323">
        <f>IF(tblPiNAnalysis[[#This Row],[Highest PiN]]="", "", tblPiNAnalysis[[#This Row],[Highest PiN]]/tblPiNAnalysis[[#This Row],[Population]])</f>
        <v>0.80376777873681837</v>
      </c>
      <c r="AL106" s="265" t="str">
        <f>IF(SUM(tblPiNAnalysis[[#This Row],[CCCM]:[WASH]])=0, "",IF(COUNTIF(tblPiNAnalysis[[#This Row],[CCCM]:[WASH]],"=0")+COUNTIF(tblPiNAnalysis[[#This Row],[CCCM]:[WASH]],"")&gt;=zero_pin_thresh, "Flagged", ""))</f>
        <v/>
      </c>
      <c r="AM106" s="264" t="str">
        <f>IFERROR(IF(tblPiNAnalysis[[#This Row],[Highest PiN]]="", "", IF(tblPiNAnalysis[[#This Row],[Highest sector(s'') PiN %]]&gt;=flag_pin_perc, "Flagged", "")), "")</f>
        <v/>
      </c>
      <c r="AN106" s="266" t="str" cm="1">
        <f t="array" ref="AN106">IF(tblPiNAnalysis[[#This Row],[Highest PiN]]=0, "",  IF(OR(COUNTIF(tblPiNAnalysis[[#This Row],[Highest sector(s)]],tblSubSectorPopulation[Sector])), "Flagged", ""))</f>
        <v/>
      </c>
      <c r="AO106" s="45" cm="1">
        <f t="array" ref="AO10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15410.983019672132</v>
      </c>
      <c r="AP106" s="326" t="str" cm="1">
        <f t="array" ref="AP106">IF(tblPiNAnalysis[[#This Row],[2nd Highest PiN]]="", "", _xlfn.TEXTJOIN(CHAR(10), TRUE, IF(tblPiNAnalysis[[#This Row],[2nd Highest PiN]]=tblPiNAnalysis[[#This Row],[CCCM]:[WASH]], tblPiNAnalysis[[#Headers],[CCCM]:[WASH]], "")))</f>
        <v>Health</v>
      </c>
      <c r="AQ106" s="35">
        <f>IFERROR(tblPiNAnalysis[[#This Row],[2nd Highest PiN]]/tblPiNAnalysis[[#This Row],[Population]], "")</f>
        <v>0.5783383877987065</v>
      </c>
      <c r="AR106" s="45">
        <f>IFERROR(tblPiNAnalysis[[#This Row],[Highest PiN]]-tblPiNAnalysis[[#This Row],[2nd Highest PiN]], "")</f>
        <v>6007.0169803278677</v>
      </c>
      <c r="AS106" s="38">
        <f>IFERROR(((tblPiNAnalysis[[#This Row],[Highest PiN]]-tblPiNAnalysis[[#This Row],[2nd Highest PiN]])/tblPiNAnalysis[[#This Row],[2nd Highest PiN]]),"")</f>
        <v>0.38978804743733125</v>
      </c>
      <c r="AT106" s="269" t="str" cm="1">
        <f t="array" ref="AT10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6" s="327" cm="1">
        <f t="array" ref="AU10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15376</v>
      </c>
      <c r="AV106" s="186" t="str" cm="1">
        <f t="array" ref="AV106">IF(tblPiNAnalysis[[#This Row],[3rd Highest PiN]]="", "", _xlfn.TEXTJOIN(CHAR(10), TRUE, IF(tblPiNAnalysis[[#This Row],[3rd Highest PiN]]=tblPiNAnalysis[[#This Row],[CCCM]:[WASH]], tblPiNAnalysis[[#Headers],[CCCM]:[WASH]], "")))</f>
        <v>WASH</v>
      </c>
      <c r="AW106" s="186">
        <f>IFERROR(tblPiNAnalysis[[#This Row],[3rd Highest PiN]]/tblPiNAnalysis[[#This Row],[Population]], "")</f>
        <v>0.5770255563478065</v>
      </c>
      <c r="AX106" s="44">
        <f>IFERROR(tblPiNAnalysis[[#This Row],[Highest PiN]]-tblPiNAnalysis[[#This Row],[3rd Highest PiN]],"")</f>
        <v>6042</v>
      </c>
      <c r="AY106" s="38">
        <f>IFERROR(tblPiNAnalysis[[#This Row],[Difference of PiN between Highest and 3rd Highest]]/tblPiNAnalysis[[#This Row],[3rd Highest PiN]], "")</f>
        <v>0.3929500520291363</v>
      </c>
      <c r="AZ106" s="325" t="str" cm="1">
        <f t="array" ref="AZ10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6" s="292" cm="1">
        <f t="array" ref="BA106">IFERROR(IF(tblPiNAnalysis[[#This Row],[ID]]="", "", INDEX(tblPiNHistorical[[CCCM]:[WASH]], MATCH(tblPiNAnalysis[[#This Row],[ID]],tblPiNHistorical[ID], 0),MATCH(_xlfn._xlws.FILTER(tblPiNAnalysis[[#Headers],[CCCM]:[WASH]], tblPiNAnalysis[[#This Row],[Highest PiN]]=tblPiNAnalysis[[#This Row],[CCCM]:[WASH]]), tblPiNHistorical[[#Headers],[CCCM]:[WASH]], 0))), "")</f>
        <v>0.6</v>
      </c>
      <c r="BB106" s="328" t="str" cm="1">
        <f t="array" ref="BB10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6" s="272" cm="1">
        <f t="array" ref="BC106">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06" s="329" t="str" cm="1">
        <f t="array" ref="BD10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6" s="371">
        <f>INDEX(tblSeverityAnalysis[Final Severity], MATCH(tblPiNAnalysis[[#This Row],[ID]],tblSeverityAnalysis[ID], 0))</f>
        <v>3</v>
      </c>
      <c r="BF106" s="60">
        <f>IF(tblPiNAnalysis[[#This Row],[Severity]]&gt;2,tblPiNAnalysis[[#This Row],[Highest PiN]],)</f>
        <v>21418</v>
      </c>
      <c r="BG106" s="187"/>
      <c r="BH106" s="188"/>
      <c r="BI106" s="189">
        <f>COUNTIFS(tblPiNAnalysis[[#This Row],[Number of missing / zero PiNs greater than threshold - Data quality]:[Manual Flag]],"Flagged")</f>
        <v>0</v>
      </c>
      <c r="BJ106" s="346" t="str">
        <f>IF(tblPiNAnalysis[[#This Row],['# Flags]]&gt;0, "Flagged", "")</f>
        <v/>
      </c>
      <c r="BK106" s="339">
        <f>tblPiNAnalysis[[#This Row],[Preliminary PiN]]</f>
        <v>21418</v>
      </c>
      <c r="BL106" s="326"/>
      <c r="BM106" s="383">
        <f>IF(OR(tblPiNAnalysis[[#This Row],[Severity]]=4,tblPiNAnalysis[[#This Row],[Severity]]=5),tblPiNAnalysis[[#This Row],[Final PiN]],0)</f>
        <v>0</v>
      </c>
      <c r="BN106" s="378">
        <f>IF(OR(tblPiNAnalysis[[#This Row],[Severity]]=4,tblPiNAnalysis[[#This Row],[Severity]]=5),100%, IF(tblPiNAnalysis[[#This Row],[Severity]]=3,50%,0%))*tblPiNAnalysis[[#This Row],[Final PiN]]</f>
        <v>10709</v>
      </c>
      <c r="BO106" s="383">
        <f>IF(OR(tblPiNAnalysis[[#This Row],[Severity]]=4,tblPiNAnalysis[[#This Row],[Severity]]=5),100%, IF(AND(tblPiNAnalysis[[#This Row],[Severity]]=3,VLOOKUP(tblPiNAnalysis[[#This Row],[ID]],tblSeverityAnalysis[[ID]:[Highest Severity]],35,FALSE)&gt;3),50%,0%))*tblPiNAnalysis[[#This Row],[Final PiN]]</f>
        <v>0</v>
      </c>
    </row>
    <row r="107" spans="1:67" hidden="1">
      <c r="A10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Global_PopulationHT0743</v>
      </c>
      <c r="B107" s="304" t="s">
        <v>345</v>
      </c>
      <c r="C107" s="213" t="s">
        <v>346</v>
      </c>
      <c r="D107" s="213" t="s">
        <v>375</v>
      </c>
      <c r="E107" s="103" t="s">
        <v>376</v>
      </c>
      <c r="F107" s="99"/>
      <c r="G107" s="34"/>
      <c r="H107" s="357"/>
      <c r="I107" s="354">
        <v>28335</v>
      </c>
      <c r="J107" s="221" t="s">
        <v>156</v>
      </c>
      <c r="K107" s="316">
        <v>7956</v>
      </c>
      <c r="L107" s="308">
        <v>4015</v>
      </c>
      <c r="M107" s="308">
        <v>2721</v>
      </c>
      <c r="N107" s="308">
        <v>13461</v>
      </c>
      <c r="O107" s="308">
        <v>9941.3962865761696</v>
      </c>
      <c r="P107" s="308">
        <v>2655.93</v>
      </c>
      <c r="Q107" s="309">
        <v>21298</v>
      </c>
      <c r="R107" s="308">
        <v>5315.25</v>
      </c>
      <c r="S107" s="308"/>
      <c r="T107" s="308"/>
      <c r="U107" s="308"/>
      <c r="V107" s="308"/>
      <c r="W107" s="317">
        <f>IFERROR(IF(tblPiNAnalysis[[#This Row],[CCCM]]="", "", MROUND(tblPiNAnalysis[[#This Row],[CCCM]]/tblPiNAnalysis[[#This Row],[Population]], 0.05)), "")</f>
        <v>0.30000000000000004</v>
      </c>
      <c r="X107" s="318">
        <f>IFERROR(IF(tblPiNAnalysis[[#This Row],[Education]]="", "", MROUND(tblPiNAnalysis[[#This Row],[Education]]/tblPiNAnalysis[[#This Row],[Population]], 0.05)), "")</f>
        <v>0.15000000000000002</v>
      </c>
      <c r="Y107" s="318">
        <f>IFERROR(IF(tblPiNAnalysis[[#This Row],[Nutrition]]="", "", MROUND(tblPiNAnalysis[[#This Row],[Nutrition]]/tblPiNAnalysis[[#This Row],[Population]], 0.05)), "")</f>
        <v>0.1</v>
      </c>
      <c r="Z107" s="318">
        <f>IFERROR(IF(tblPiNAnalysis[[#This Row],[Food Security]]="", "", MROUND(tblPiNAnalysis[[#This Row],[Food Security]]/tblPiNAnalysis[[#This Row],[Population]], 0.05)), "")</f>
        <v>0.5</v>
      </c>
      <c r="AA107" s="318">
        <f>IFERROR(IF(tblPiNAnalysis[[#This Row],[Health]]="", "", MROUND(tblPiNAnalysis[[#This Row],[Health]]/tblPiNAnalysis[[#This Row],[Population]], 0.05)), "")</f>
        <v>0.35000000000000003</v>
      </c>
      <c r="AB107" s="319">
        <f>IFERROR(IF(tblPiNAnalysis[[#This Row],[Protection]]="", "", MROUND(tblPiNAnalysis[[#This Row],[Protection]]/tblPiNAnalysis[[#This Row],[Population]], 0.05)), "")</f>
        <v>0.1</v>
      </c>
      <c r="AC107" s="319">
        <f>IFERROR(IF(tblPiNAnalysis[[#This Row],[Shelter]]="", "", MROUND(tblPiNAnalysis[[#This Row],[Shelter]]/tblPiNAnalysis[[#This Row],[Population]], 0.05)), "")</f>
        <v>0.75</v>
      </c>
      <c r="AD107" s="320">
        <f>IFERROR(IF(tblPiNAnalysis[[#This Row],[WASH]]="", "", MROUND(tblPiNAnalysis[[#This Row],[WASH]]/tblPiNAnalysis[[#This Row],[Population]], 0.05)), "")</f>
        <v>0.2</v>
      </c>
      <c r="AE107" s="318">
        <f>IFERROR(MROUND(tblPiNAnalysis[[#This Row],[CP]]/tblPiNAnalysis[[#This Row],[Population]], 0.05), "")</f>
        <v>0</v>
      </c>
      <c r="AF107" s="318">
        <f>IFERROR(MROUND(tblPiNAnalysis[[#This Row],[GBV]]/tblPiNAnalysis[[#This Row],[Population]], 0.05), "")</f>
        <v>0</v>
      </c>
      <c r="AG107" s="318">
        <f>IFERROR(MROUND(tblPiNAnalysis[[#This Row],[Migrants]]/tblPiNAnalysis[[#This Row],[Population]], 0.05), "")</f>
        <v>0</v>
      </c>
      <c r="AH107" s="318">
        <f>IFERROR(MROUND(tblPiNAnalysis[[#This Row],[_]]/tblPiNAnalysis[[#This Row],[Population]], 0.05), "")</f>
        <v>0</v>
      </c>
      <c r="AI107" s="321">
        <f>IFERROR(LARGE(tblPiNAnalysis[[#This Row],[CCCM]:[WASH]], 1), "")</f>
        <v>21298</v>
      </c>
      <c r="AJ107" s="322" t="str" cm="1">
        <f t="array" ref="AJ107">IF(tblPiNAnalysis[[#This Row],[Highest PiN]]="", "", _xlfn.TEXTJOIN(CHAR(10), TRUE, IF(tblPiNAnalysis[[#This Row],[Highest PiN]]=tblPiNAnalysis[[#This Row],[CCCM]:[WASH]], tblPiNAnalysis[[#Headers],[CCCM]:[WASH]], "")))</f>
        <v>Shelter</v>
      </c>
      <c r="AK107" s="323">
        <f>IF(tblPiNAnalysis[[#This Row],[Highest PiN]]="", "", tblPiNAnalysis[[#This Row],[Highest PiN]]/tblPiNAnalysis[[#This Row],[Population]])</f>
        <v>0.7516499029468855</v>
      </c>
      <c r="AL107" s="265" t="str">
        <f>IF(SUM(tblPiNAnalysis[[#This Row],[CCCM]:[WASH]])=0, "",IF(COUNTIF(tblPiNAnalysis[[#This Row],[CCCM]:[WASH]],"=0")+COUNTIF(tblPiNAnalysis[[#This Row],[CCCM]:[WASH]],"")&gt;=zero_pin_thresh, "Flagged", ""))</f>
        <v/>
      </c>
      <c r="AM107" s="264" t="str">
        <f>IFERROR(IF(tblPiNAnalysis[[#This Row],[Highest PiN]]="", "", IF(tblPiNAnalysis[[#This Row],[Highest sector(s'') PiN %]]&gt;=flag_pin_perc, "Flagged", "")), "")</f>
        <v/>
      </c>
      <c r="AN107" s="266" t="str" cm="1">
        <f t="array" ref="AN107">IF(tblPiNAnalysis[[#This Row],[Highest PiN]]=0, "",  IF(OR(COUNTIF(tblPiNAnalysis[[#This Row],[Highest sector(s)]],tblSubSectorPopulation[Sector])), "Flagged", ""))</f>
        <v/>
      </c>
      <c r="AO107" s="45" cm="1">
        <f t="array" ref="AO10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13461</v>
      </c>
      <c r="AP107" s="326" t="str" cm="1">
        <f t="array" ref="AP107">IF(tblPiNAnalysis[[#This Row],[2nd Highest PiN]]="", "", _xlfn.TEXTJOIN(CHAR(10), TRUE, IF(tblPiNAnalysis[[#This Row],[2nd Highest PiN]]=tblPiNAnalysis[[#This Row],[CCCM]:[WASH]], tblPiNAnalysis[[#Headers],[CCCM]:[WASH]], "")))</f>
        <v>Food Security</v>
      </c>
      <c r="AQ107" s="35">
        <f>IFERROR(tblPiNAnalysis[[#This Row],[2nd Highest PiN]]/tblPiNAnalysis[[#This Row],[Population]], "")</f>
        <v>0.47506617257808365</v>
      </c>
      <c r="AR107" s="45">
        <f>IFERROR(tblPiNAnalysis[[#This Row],[Highest PiN]]-tblPiNAnalysis[[#This Row],[2nd Highest PiN]], "")</f>
        <v>7837</v>
      </c>
      <c r="AS107" s="38">
        <f>IFERROR(((tblPiNAnalysis[[#This Row],[Highest PiN]]-tblPiNAnalysis[[#This Row],[2nd Highest PiN]])/tblPiNAnalysis[[#This Row],[2nd Highest PiN]]),"")</f>
        <v>0.58220043087437778</v>
      </c>
      <c r="AT107" s="269" t="str" cm="1">
        <f t="array" ref="AT10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07" s="327" cm="1">
        <f t="array" ref="AU10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9941.3962865761696</v>
      </c>
      <c r="AV107" s="186" t="str" cm="1">
        <f t="array" ref="AV107">IF(tblPiNAnalysis[[#This Row],[3rd Highest PiN]]="", "", _xlfn.TEXTJOIN(CHAR(10), TRUE, IF(tblPiNAnalysis[[#This Row],[3rd Highest PiN]]=tblPiNAnalysis[[#This Row],[CCCM]:[WASH]], tblPiNAnalysis[[#Headers],[CCCM]:[WASH]], "")))</f>
        <v>Health</v>
      </c>
      <c r="AW107" s="186">
        <f>IFERROR(tblPiNAnalysis[[#This Row],[3rd Highest PiN]]/tblPiNAnalysis[[#This Row],[Population]], "")</f>
        <v>0.35085217175140887</v>
      </c>
      <c r="AX107" s="44">
        <f>IFERROR(tblPiNAnalysis[[#This Row],[Highest PiN]]-tblPiNAnalysis[[#This Row],[3rd Highest PiN]],"")</f>
        <v>11356.60371342383</v>
      </c>
      <c r="AY107" s="38">
        <f>IFERROR(tblPiNAnalysis[[#This Row],[Difference of PiN between Highest and 3rd Highest]]/tblPiNAnalysis[[#This Row],[3rd Highest PiN]], "")</f>
        <v>1.1423549958227306</v>
      </c>
      <c r="AZ107" s="325" t="str" cm="1">
        <f t="array" ref="AZ10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7" s="292" cm="1">
        <f t="array" ref="BA107">IFERROR(IF(tblPiNAnalysis[[#This Row],[ID]]="", "", INDEX(tblPiNHistorical[[CCCM]:[WASH]], MATCH(tblPiNAnalysis[[#This Row],[ID]],tblPiNHistorical[ID], 0),MATCH(_xlfn._xlws.FILTER(tblPiNAnalysis[[#Headers],[CCCM]:[WASH]], tblPiNAnalysis[[#This Row],[Highest PiN]]=tblPiNAnalysis[[#This Row],[CCCM]:[WASH]]), tblPiNHistorical[[#Headers],[CCCM]:[WASH]], 0))), "")</f>
        <v>1.1000000000000001</v>
      </c>
      <c r="BB107" s="328" t="str" cm="1">
        <f t="array" ref="BB10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07" s="272" cm="1">
        <f t="array" ref="BC107">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07" s="329" t="str" cm="1">
        <f t="array" ref="BD10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7" s="371">
        <f>INDEX(tblSeverityAnalysis[Final Severity], MATCH(tblPiNAnalysis[[#This Row],[ID]],tblSeverityAnalysis[ID], 0))</f>
        <v>3</v>
      </c>
      <c r="BF107" s="60">
        <f>IF(tblPiNAnalysis[[#This Row],[Severity]]&gt;2,tblPiNAnalysis[[#This Row],[Highest PiN]],)</f>
        <v>21298</v>
      </c>
      <c r="BG107" s="187"/>
      <c r="BH107" s="188"/>
      <c r="BI107" s="189">
        <f>COUNTIFS(tblPiNAnalysis[[#This Row],[Number of missing / zero PiNs greater than threshold - Data quality]:[Manual Flag]],"Flagged")</f>
        <v>3</v>
      </c>
      <c r="BJ107" s="346" t="str">
        <f>IF(tblPiNAnalysis[[#This Row],['# Flags]]&gt;0, "Flagged", "")</f>
        <v>Flagged</v>
      </c>
      <c r="BK107" s="339">
        <f>tblPiNAnalysis[[#This Row],[Preliminary PiN]]</f>
        <v>21298</v>
      </c>
      <c r="BL107" s="326"/>
      <c r="BM107" s="383">
        <f>IF(OR(tblPiNAnalysis[[#This Row],[Severity]]=4,tblPiNAnalysis[[#This Row],[Severity]]=5),tblPiNAnalysis[[#This Row],[Final PiN]],0)</f>
        <v>0</v>
      </c>
      <c r="BN107" s="378">
        <f>IF(OR(tblPiNAnalysis[[#This Row],[Severity]]=4,tblPiNAnalysis[[#This Row],[Severity]]=5),100%, IF(tblPiNAnalysis[[#This Row],[Severity]]=3,50%,0%))*tblPiNAnalysis[[#This Row],[Final PiN]]</f>
        <v>10649</v>
      </c>
      <c r="BO107" s="383">
        <f>IF(OR(tblPiNAnalysis[[#This Row],[Severity]]=4,tblPiNAnalysis[[#This Row],[Severity]]=5),100%, IF(AND(tblPiNAnalysis[[#This Row],[Severity]]=3,VLOOKUP(tblPiNAnalysis[[#This Row],[ID]],tblSeverityAnalysis[[ID]:[Highest Severity]],35,FALSE)&gt;3),50%,0%))*tblPiNAnalysis[[#This Row],[Final PiN]]</f>
        <v>10649</v>
      </c>
    </row>
    <row r="108" spans="1:67" hidden="1">
      <c r="A10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Global_PopulationHT0751</v>
      </c>
      <c r="B108" s="304" t="s">
        <v>345</v>
      </c>
      <c r="C108" s="213" t="s">
        <v>346</v>
      </c>
      <c r="D108" s="213" t="s">
        <v>377</v>
      </c>
      <c r="E108" s="103" t="s">
        <v>378</v>
      </c>
      <c r="F108" s="99"/>
      <c r="G108" s="34"/>
      <c r="H108" s="357"/>
      <c r="I108" s="354">
        <v>32835</v>
      </c>
      <c r="J108" s="221" t="s">
        <v>156</v>
      </c>
      <c r="K108" s="316">
        <v>7819.5</v>
      </c>
      <c r="L108" s="308">
        <v>4438</v>
      </c>
      <c r="M108" s="308">
        <v>3060</v>
      </c>
      <c r="N108" s="308">
        <v>17827</v>
      </c>
      <c r="O108" s="308">
        <v>9800.3110294647995</v>
      </c>
      <c r="P108" s="308">
        <v>3486.2133333333331</v>
      </c>
      <c r="Q108" s="309">
        <v>16450</v>
      </c>
      <c r="R108" s="308">
        <v>5213</v>
      </c>
      <c r="S108" s="308"/>
      <c r="T108" s="308"/>
      <c r="U108" s="308"/>
      <c r="V108" s="308"/>
      <c r="W108" s="317">
        <f>IFERROR(IF(tblPiNAnalysis[[#This Row],[CCCM]]="", "", MROUND(tblPiNAnalysis[[#This Row],[CCCM]]/tblPiNAnalysis[[#This Row],[Population]], 0.05)), "")</f>
        <v>0.25</v>
      </c>
      <c r="X108" s="318">
        <f>IFERROR(IF(tblPiNAnalysis[[#This Row],[Education]]="", "", MROUND(tblPiNAnalysis[[#This Row],[Education]]/tblPiNAnalysis[[#This Row],[Population]], 0.05)), "")</f>
        <v>0.15000000000000002</v>
      </c>
      <c r="Y108" s="318">
        <f>IFERROR(IF(tblPiNAnalysis[[#This Row],[Nutrition]]="", "", MROUND(tblPiNAnalysis[[#This Row],[Nutrition]]/tblPiNAnalysis[[#This Row],[Population]], 0.05)), "")</f>
        <v>0.1</v>
      </c>
      <c r="Z108" s="318">
        <f>IFERROR(IF(tblPiNAnalysis[[#This Row],[Food Security]]="", "", MROUND(tblPiNAnalysis[[#This Row],[Food Security]]/tblPiNAnalysis[[#This Row],[Population]], 0.05)), "")</f>
        <v>0.55000000000000004</v>
      </c>
      <c r="AA108" s="318">
        <f>IFERROR(IF(tblPiNAnalysis[[#This Row],[Health]]="", "", MROUND(tblPiNAnalysis[[#This Row],[Health]]/tblPiNAnalysis[[#This Row],[Population]], 0.05)), "")</f>
        <v>0.30000000000000004</v>
      </c>
      <c r="AB108" s="319">
        <f>IFERROR(IF(tblPiNAnalysis[[#This Row],[Protection]]="", "", MROUND(tblPiNAnalysis[[#This Row],[Protection]]/tblPiNAnalysis[[#This Row],[Population]], 0.05)), "")</f>
        <v>0.1</v>
      </c>
      <c r="AC108" s="319">
        <f>IFERROR(IF(tblPiNAnalysis[[#This Row],[Shelter]]="", "", MROUND(tblPiNAnalysis[[#This Row],[Shelter]]/tblPiNAnalysis[[#This Row],[Population]], 0.05)), "")</f>
        <v>0.5</v>
      </c>
      <c r="AD108" s="320">
        <f>IFERROR(IF(tblPiNAnalysis[[#This Row],[WASH]]="", "", MROUND(tblPiNAnalysis[[#This Row],[WASH]]/tblPiNAnalysis[[#This Row],[Population]], 0.05)), "")</f>
        <v>0.15000000000000002</v>
      </c>
      <c r="AE108" s="318">
        <f>IFERROR(MROUND(tblPiNAnalysis[[#This Row],[CP]]/tblPiNAnalysis[[#This Row],[Population]], 0.05), "")</f>
        <v>0</v>
      </c>
      <c r="AF108" s="318">
        <f>IFERROR(MROUND(tblPiNAnalysis[[#This Row],[GBV]]/tblPiNAnalysis[[#This Row],[Population]], 0.05), "")</f>
        <v>0</v>
      </c>
      <c r="AG108" s="318">
        <f>IFERROR(MROUND(tblPiNAnalysis[[#This Row],[Migrants]]/tblPiNAnalysis[[#This Row],[Population]], 0.05), "")</f>
        <v>0</v>
      </c>
      <c r="AH108" s="318">
        <f>IFERROR(MROUND(tblPiNAnalysis[[#This Row],[_]]/tblPiNAnalysis[[#This Row],[Population]], 0.05), "")</f>
        <v>0</v>
      </c>
      <c r="AI108" s="321">
        <f>IFERROR(LARGE(tblPiNAnalysis[[#This Row],[CCCM]:[WASH]], 1), "")</f>
        <v>17827</v>
      </c>
      <c r="AJ108" s="322" t="str" cm="1">
        <f t="array" ref="AJ108">IF(tblPiNAnalysis[[#This Row],[Highest PiN]]="", "", _xlfn.TEXTJOIN(CHAR(10), TRUE, IF(tblPiNAnalysis[[#This Row],[Highest PiN]]=tblPiNAnalysis[[#This Row],[CCCM]:[WASH]], tblPiNAnalysis[[#Headers],[CCCM]:[WASH]], "")))</f>
        <v>Food Security</v>
      </c>
      <c r="AK108" s="323">
        <f>IF(tblPiNAnalysis[[#This Row],[Highest PiN]]="", "", tblPiNAnalysis[[#This Row],[Highest PiN]]/tblPiNAnalysis[[#This Row],[Population]])</f>
        <v>0.54292675498705645</v>
      </c>
      <c r="AL108" s="265" t="str">
        <f>IF(SUM(tblPiNAnalysis[[#This Row],[CCCM]:[WASH]])=0, "",IF(COUNTIF(tblPiNAnalysis[[#This Row],[CCCM]:[WASH]],"=0")+COUNTIF(tblPiNAnalysis[[#This Row],[CCCM]:[WASH]],"")&gt;=zero_pin_thresh, "Flagged", ""))</f>
        <v/>
      </c>
      <c r="AM108" s="264" t="str">
        <f>IFERROR(IF(tblPiNAnalysis[[#This Row],[Highest PiN]]="", "", IF(tblPiNAnalysis[[#This Row],[Highest sector(s'') PiN %]]&gt;=flag_pin_perc, "Flagged", "")), "")</f>
        <v/>
      </c>
      <c r="AN108" s="266" t="str" cm="1">
        <f t="array" ref="AN108">IF(tblPiNAnalysis[[#This Row],[Highest PiN]]=0, "",  IF(OR(COUNTIF(tblPiNAnalysis[[#This Row],[Highest sector(s)]],tblSubSectorPopulation[Sector])), "Flagged", ""))</f>
        <v/>
      </c>
      <c r="AO108" s="45" cm="1">
        <f t="array" ref="AO10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16450</v>
      </c>
      <c r="AP108" s="326" t="str" cm="1">
        <f t="array" ref="AP108">IF(tblPiNAnalysis[[#This Row],[2nd Highest PiN]]="", "", _xlfn.TEXTJOIN(CHAR(10), TRUE, IF(tblPiNAnalysis[[#This Row],[2nd Highest PiN]]=tblPiNAnalysis[[#This Row],[CCCM]:[WASH]], tblPiNAnalysis[[#Headers],[CCCM]:[WASH]], "")))</f>
        <v>Shelter</v>
      </c>
      <c r="AQ108" s="35">
        <f>IFERROR(tblPiNAnalysis[[#This Row],[2nd Highest PiN]]/tblPiNAnalysis[[#This Row],[Population]], "")</f>
        <v>0.50098979747220951</v>
      </c>
      <c r="AR108" s="45">
        <f>IFERROR(tblPiNAnalysis[[#This Row],[Highest PiN]]-tblPiNAnalysis[[#This Row],[2nd Highest PiN]], "")</f>
        <v>1377</v>
      </c>
      <c r="AS108" s="38">
        <f>IFERROR(((tblPiNAnalysis[[#This Row],[Highest PiN]]-tblPiNAnalysis[[#This Row],[2nd Highest PiN]])/tblPiNAnalysis[[#This Row],[2nd Highest PiN]]),"")</f>
        <v>8.3708206686930089E-2</v>
      </c>
      <c r="AT108" s="269" t="str" cm="1">
        <f t="array" ref="AT10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8" s="327" cm="1">
        <f t="array" ref="AU10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9800.3110294647995</v>
      </c>
      <c r="AV108" s="186" t="str" cm="1">
        <f t="array" ref="AV108">IF(tblPiNAnalysis[[#This Row],[3rd Highest PiN]]="", "", _xlfn.TEXTJOIN(CHAR(10), TRUE, IF(tblPiNAnalysis[[#This Row],[3rd Highest PiN]]=tblPiNAnalysis[[#This Row],[CCCM]:[WASH]], tblPiNAnalysis[[#Headers],[CCCM]:[WASH]], "")))</f>
        <v>Health</v>
      </c>
      <c r="AW108" s="186">
        <f>IFERROR(tblPiNAnalysis[[#This Row],[3rd Highest PiN]]/tblPiNAnalysis[[#This Row],[Population]], "")</f>
        <v>0.29847147950250646</v>
      </c>
      <c r="AX108" s="44">
        <f>IFERROR(tblPiNAnalysis[[#This Row],[Highest PiN]]-tblPiNAnalysis[[#This Row],[3rd Highest PiN]],"")</f>
        <v>8026.6889705352005</v>
      </c>
      <c r="AY108" s="38">
        <f>IFERROR(tblPiNAnalysis[[#This Row],[Difference of PiN between Highest and 3rd Highest]]/tblPiNAnalysis[[#This Row],[3rd Highest PiN]], "")</f>
        <v>0.81902390101730704</v>
      </c>
      <c r="AZ108" s="325" t="str" cm="1">
        <f t="array" ref="AZ10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08" s="292" cm="1">
        <f t="array" ref="BA108">IFERROR(IF(tblPiNAnalysis[[#This Row],[ID]]="", "", INDEX(tblPiNHistorical[[CCCM]:[WASH]], MATCH(tblPiNAnalysis[[#This Row],[ID]],tblPiNHistorical[ID], 0),MATCH(_xlfn._xlws.FILTER(tblPiNAnalysis[[#Headers],[CCCM]:[WASH]], tblPiNAnalysis[[#This Row],[Highest PiN]]=tblPiNAnalysis[[#This Row],[CCCM]:[WASH]]), tblPiNHistorical[[#Headers],[CCCM]:[WASH]], 0))), "")</f>
        <v>0.3</v>
      </c>
      <c r="BB108" s="328" t="str" cm="1">
        <f t="array" ref="BB10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8" s="272" cm="1">
        <f t="array" ref="BC108">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08" s="329" t="str" cm="1">
        <f t="array" ref="BD10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8" s="371">
        <f>INDEX(tblSeverityAnalysis[Final Severity], MATCH(tblPiNAnalysis[[#This Row],[ID]],tblSeverityAnalysis[ID], 0))</f>
        <v>3</v>
      </c>
      <c r="BF108" s="60">
        <f>IF(tblPiNAnalysis[[#This Row],[Severity]]&gt;2,tblPiNAnalysis[[#This Row],[Highest PiN]],)</f>
        <v>17827</v>
      </c>
      <c r="BG108" s="187"/>
      <c r="BH108" s="188"/>
      <c r="BI108" s="189">
        <f>COUNTIFS(tblPiNAnalysis[[#This Row],[Number of missing / zero PiNs greater than threshold - Data quality]:[Manual Flag]],"Flagged")</f>
        <v>1</v>
      </c>
      <c r="BJ108" s="346" t="str">
        <f>IF(tblPiNAnalysis[[#This Row],['# Flags]]&gt;0, "Flagged", "")</f>
        <v>Flagged</v>
      </c>
      <c r="BK108" s="339">
        <f>tblPiNAnalysis[[#This Row],[Preliminary PiN]]</f>
        <v>17827</v>
      </c>
      <c r="BL108" s="326"/>
      <c r="BM108" s="383">
        <f>IF(OR(tblPiNAnalysis[[#This Row],[Severity]]=4,tblPiNAnalysis[[#This Row],[Severity]]=5),tblPiNAnalysis[[#This Row],[Final PiN]],0)</f>
        <v>0</v>
      </c>
      <c r="BN108" s="378">
        <f>IF(OR(tblPiNAnalysis[[#This Row],[Severity]]=4,tblPiNAnalysis[[#This Row],[Severity]]=5),100%, IF(tblPiNAnalysis[[#This Row],[Severity]]=3,50%,0%))*tblPiNAnalysis[[#This Row],[Final PiN]]</f>
        <v>8913.5</v>
      </c>
      <c r="BO108" s="383">
        <f>IF(OR(tblPiNAnalysis[[#This Row],[Severity]]=4,tblPiNAnalysis[[#This Row],[Severity]]=5),100%, IF(AND(tblPiNAnalysis[[#This Row],[Severity]]=3,VLOOKUP(tblPiNAnalysis[[#This Row],[ID]],tblSeverityAnalysis[[ID]:[Highest Severity]],35,FALSE)&gt;3),50%,0%))*tblPiNAnalysis[[#This Row],[Final PiN]]</f>
        <v>0</v>
      </c>
    </row>
    <row r="109" spans="1:67" hidden="1">
      <c r="A10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Global_PopulationHT0752</v>
      </c>
      <c r="B109" s="304" t="s">
        <v>345</v>
      </c>
      <c r="C109" s="213" t="s">
        <v>346</v>
      </c>
      <c r="D109" s="213" t="s">
        <v>379</v>
      </c>
      <c r="E109" s="103" t="s">
        <v>380</v>
      </c>
      <c r="F109" s="99"/>
      <c r="G109" s="34"/>
      <c r="H109" s="357"/>
      <c r="I109" s="354">
        <v>39577</v>
      </c>
      <c r="J109" s="221" t="s">
        <v>156</v>
      </c>
      <c r="K109" s="316">
        <v>15825</v>
      </c>
      <c r="L109" s="308">
        <v>5272</v>
      </c>
      <c r="M109" s="308">
        <v>4056</v>
      </c>
      <c r="N109" s="308">
        <v>21874</v>
      </c>
      <c r="O109" s="308">
        <v>20639.865952606633</v>
      </c>
      <c r="P109" s="308">
        <v>5664.6</v>
      </c>
      <c r="Q109" s="309">
        <v>0</v>
      </c>
      <c r="R109" s="308">
        <v>11965.2</v>
      </c>
      <c r="S109" s="308"/>
      <c r="T109" s="308"/>
      <c r="U109" s="308"/>
      <c r="V109" s="308"/>
      <c r="W109" s="317">
        <f>IFERROR(IF(tblPiNAnalysis[[#This Row],[CCCM]]="", "", MROUND(tblPiNAnalysis[[#This Row],[CCCM]]/tblPiNAnalysis[[#This Row],[Population]], 0.05)), "")</f>
        <v>0.4</v>
      </c>
      <c r="X109" s="318">
        <f>IFERROR(IF(tblPiNAnalysis[[#This Row],[Education]]="", "", MROUND(tblPiNAnalysis[[#This Row],[Education]]/tblPiNAnalysis[[#This Row],[Population]], 0.05)), "")</f>
        <v>0.15000000000000002</v>
      </c>
      <c r="Y109" s="318">
        <f>IFERROR(IF(tblPiNAnalysis[[#This Row],[Nutrition]]="", "", MROUND(tblPiNAnalysis[[#This Row],[Nutrition]]/tblPiNAnalysis[[#This Row],[Population]], 0.05)), "")</f>
        <v>0.1</v>
      </c>
      <c r="Z109" s="318">
        <f>IFERROR(IF(tblPiNAnalysis[[#This Row],[Food Security]]="", "", MROUND(tblPiNAnalysis[[#This Row],[Food Security]]/tblPiNAnalysis[[#This Row],[Population]], 0.05)), "")</f>
        <v>0.55000000000000004</v>
      </c>
      <c r="AA109" s="318">
        <f>IFERROR(IF(tblPiNAnalysis[[#This Row],[Health]]="", "", MROUND(tblPiNAnalysis[[#This Row],[Health]]/tblPiNAnalysis[[#This Row],[Population]], 0.05)), "")</f>
        <v>0.5</v>
      </c>
      <c r="AB109" s="319">
        <f>IFERROR(IF(tblPiNAnalysis[[#This Row],[Protection]]="", "", MROUND(tblPiNAnalysis[[#This Row],[Protection]]/tblPiNAnalysis[[#This Row],[Population]], 0.05)), "")</f>
        <v>0.15000000000000002</v>
      </c>
      <c r="AC109" s="319">
        <f>IFERROR(IF(tblPiNAnalysis[[#This Row],[Shelter]]="", "", MROUND(tblPiNAnalysis[[#This Row],[Shelter]]/tblPiNAnalysis[[#This Row],[Population]], 0.05)), "")</f>
        <v>0</v>
      </c>
      <c r="AD109" s="320">
        <f>IFERROR(IF(tblPiNAnalysis[[#This Row],[WASH]]="", "", MROUND(tblPiNAnalysis[[#This Row],[WASH]]/tblPiNAnalysis[[#This Row],[Population]], 0.05)), "")</f>
        <v>0.30000000000000004</v>
      </c>
      <c r="AE109" s="318">
        <f>IFERROR(MROUND(tblPiNAnalysis[[#This Row],[CP]]/tblPiNAnalysis[[#This Row],[Population]], 0.05), "")</f>
        <v>0</v>
      </c>
      <c r="AF109" s="318">
        <f>IFERROR(MROUND(tblPiNAnalysis[[#This Row],[GBV]]/tblPiNAnalysis[[#This Row],[Population]], 0.05), "")</f>
        <v>0</v>
      </c>
      <c r="AG109" s="318">
        <f>IFERROR(MROUND(tblPiNAnalysis[[#This Row],[Migrants]]/tblPiNAnalysis[[#This Row],[Population]], 0.05), "")</f>
        <v>0</v>
      </c>
      <c r="AH109" s="318">
        <f>IFERROR(MROUND(tblPiNAnalysis[[#This Row],[_]]/tblPiNAnalysis[[#This Row],[Population]], 0.05), "")</f>
        <v>0</v>
      </c>
      <c r="AI109" s="321">
        <f>IFERROR(LARGE(tblPiNAnalysis[[#This Row],[CCCM]:[WASH]], 1), "")</f>
        <v>21874</v>
      </c>
      <c r="AJ109" s="322" t="str" cm="1">
        <f t="array" ref="AJ109">IF(tblPiNAnalysis[[#This Row],[Highest PiN]]="", "", _xlfn.TEXTJOIN(CHAR(10), TRUE, IF(tblPiNAnalysis[[#This Row],[Highest PiN]]=tblPiNAnalysis[[#This Row],[CCCM]:[WASH]], tblPiNAnalysis[[#Headers],[CCCM]:[WASH]], "")))</f>
        <v>Food Security</v>
      </c>
      <c r="AK109" s="323">
        <f>IF(tblPiNAnalysis[[#This Row],[Highest PiN]]="", "", tblPiNAnalysis[[#This Row],[Highest PiN]]/tblPiNAnalysis[[#This Row],[Population]])</f>
        <v>0.55269474694898557</v>
      </c>
      <c r="AL109" s="265" t="str">
        <f>IF(SUM(tblPiNAnalysis[[#This Row],[CCCM]:[WASH]])=0, "",IF(COUNTIF(tblPiNAnalysis[[#This Row],[CCCM]:[WASH]],"=0")+COUNTIF(tblPiNAnalysis[[#This Row],[CCCM]:[WASH]],"")&gt;=zero_pin_thresh, "Flagged", ""))</f>
        <v/>
      </c>
      <c r="AM109" s="264" t="str">
        <f>IFERROR(IF(tblPiNAnalysis[[#This Row],[Highest PiN]]="", "", IF(tblPiNAnalysis[[#This Row],[Highest sector(s'') PiN %]]&gt;=flag_pin_perc, "Flagged", "")), "")</f>
        <v/>
      </c>
      <c r="AN109" s="266" t="str" cm="1">
        <f t="array" ref="AN109">IF(tblPiNAnalysis[[#This Row],[Highest PiN]]=0, "",  IF(OR(COUNTIF(tblPiNAnalysis[[#This Row],[Highest sector(s)]],tblSubSectorPopulation[Sector])), "Flagged", ""))</f>
        <v/>
      </c>
      <c r="AO109" s="45" cm="1">
        <f t="array" ref="AO10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20639.865952606633</v>
      </c>
      <c r="AP109" s="326" t="str" cm="1">
        <f t="array" ref="AP109">IF(tblPiNAnalysis[[#This Row],[2nd Highest PiN]]="", "", _xlfn.TEXTJOIN(CHAR(10), TRUE, IF(tblPiNAnalysis[[#This Row],[2nd Highest PiN]]=tblPiNAnalysis[[#This Row],[CCCM]:[WASH]], tblPiNAnalysis[[#Headers],[CCCM]:[WASH]], "")))</f>
        <v>Health</v>
      </c>
      <c r="AQ109" s="35">
        <f>IFERROR(tblPiNAnalysis[[#This Row],[2nd Highest PiN]]/tblPiNAnalysis[[#This Row],[Population]], "")</f>
        <v>0.5215116343484002</v>
      </c>
      <c r="AR109" s="45">
        <f>IFERROR(tblPiNAnalysis[[#This Row],[Highest PiN]]-tblPiNAnalysis[[#This Row],[2nd Highest PiN]], "")</f>
        <v>1234.1340473933669</v>
      </c>
      <c r="AS109" s="38">
        <f>IFERROR(((tblPiNAnalysis[[#This Row],[Highest PiN]]-tblPiNAnalysis[[#This Row],[2nd Highest PiN]])/tblPiNAnalysis[[#This Row],[2nd Highest PiN]]),"")</f>
        <v>5.9793704582539048E-2</v>
      </c>
      <c r="AT109" s="269" t="str" cm="1">
        <f t="array" ref="AT10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09" s="327" cm="1">
        <f t="array" ref="AU10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15825</v>
      </c>
      <c r="AV109" s="186" t="str" cm="1">
        <f t="array" ref="AV109">IF(tblPiNAnalysis[[#This Row],[3rd Highest PiN]]="", "", _xlfn.TEXTJOIN(CHAR(10), TRUE, IF(tblPiNAnalysis[[#This Row],[3rd Highest PiN]]=tblPiNAnalysis[[#This Row],[CCCM]:[WASH]], tblPiNAnalysis[[#Headers],[CCCM]:[WASH]], "")))</f>
        <v>CCCM</v>
      </c>
      <c r="AW109" s="186">
        <f>IFERROR(tblPiNAnalysis[[#This Row],[3rd Highest PiN]]/tblPiNAnalysis[[#This Row],[Population]], "")</f>
        <v>0.39985345023624835</v>
      </c>
      <c r="AX109" s="44">
        <f>IFERROR(tblPiNAnalysis[[#This Row],[Highest PiN]]-tblPiNAnalysis[[#This Row],[3rd Highest PiN]],"")</f>
        <v>6049</v>
      </c>
      <c r="AY109" s="38">
        <f>IFERROR(tblPiNAnalysis[[#This Row],[Difference of PiN between Highest and 3rd Highest]]/tblPiNAnalysis[[#This Row],[3rd Highest PiN]], "")</f>
        <v>0.38224328593996842</v>
      </c>
      <c r="AZ109" s="325" t="str" cm="1">
        <f t="array" ref="AZ10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09" s="292" cm="1">
        <f t="array" ref="BA109">IFERROR(IF(tblPiNAnalysis[[#This Row],[ID]]="", "", INDEX(tblPiNHistorical[[CCCM]:[WASH]], MATCH(tblPiNAnalysis[[#This Row],[ID]],tblPiNHistorical[ID], 0),MATCH(_xlfn._xlws.FILTER(tblPiNAnalysis[[#Headers],[CCCM]:[WASH]], tblPiNAnalysis[[#This Row],[Highest PiN]]=tblPiNAnalysis[[#This Row],[CCCM]:[WASH]]), tblPiNHistorical[[#Headers],[CCCM]:[WASH]], 0))), "")</f>
        <v>0.5</v>
      </c>
      <c r="BB109" s="328" t="str" cm="1">
        <f t="array" ref="BB10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09" s="272" cm="1">
        <f t="array" ref="BC109">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09" s="329" t="str" cm="1">
        <f t="array" ref="BD10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09" s="371">
        <f>INDEX(tblSeverityAnalysis[Final Severity], MATCH(tblPiNAnalysis[[#This Row],[ID]],tblSeverityAnalysis[ID], 0))</f>
        <v>3</v>
      </c>
      <c r="BF109" s="60">
        <f>IF(tblPiNAnalysis[[#This Row],[Severity]]&gt;2,tblPiNAnalysis[[#This Row],[Highest PiN]],)</f>
        <v>21874</v>
      </c>
      <c r="BG109" s="187"/>
      <c r="BH109" s="188"/>
      <c r="BI109" s="189">
        <f>COUNTIFS(tblPiNAnalysis[[#This Row],[Number of missing / zero PiNs greater than threshold - Data quality]:[Manual Flag]],"Flagged")</f>
        <v>0</v>
      </c>
      <c r="BJ109" s="346" t="str">
        <f>IF(tblPiNAnalysis[[#This Row],['# Flags]]&gt;0, "Flagged", "")</f>
        <v/>
      </c>
      <c r="BK109" s="308">
        <v>21874</v>
      </c>
      <c r="BL109" s="326" t="s">
        <v>157</v>
      </c>
      <c r="BM109" s="383">
        <f>IF(OR(tblPiNAnalysis[[#This Row],[Severity]]=4,tblPiNAnalysis[[#This Row],[Severity]]=5),tblPiNAnalysis[[#This Row],[Final PiN]],0)</f>
        <v>0</v>
      </c>
      <c r="BN109" s="378">
        <f>IF(OR(tblPiNAnalysis[[#This Row],[Severity]]=4,tblPiNAnalysis[[#This Row],[Severity]]=5),100%, IF(tblPiNAnalysis[[#This Row],[Severity]]=3,50%,0%))*tblPiNAnalysis[[#This Row],[Final PiN]]</f>
        <v>10937</v>
      </c>
      <c r="BO109" s="383">
        <f>IF(OR(tblPiNAnalysis[[#This Row],[Severity]]=4,tblPiNAnalysis[[#This Row],[Severity]]=5),100%, IF(AND(tblPiNAnalysis[[#This Row],[Severity]]=3,VLOOKUP(tblPiNAnalysis[[#This Row],[ID]],tblSeverityAnalysis[[ID]:[Highest Severity]],35,FALSE)&gt;3),50%,0%))*tblPiNAnalysis[[#This Row],[Final PiN]]</f>
        <v>0</v>
      </c>
    </row>
    <row r="110" spans="1:67" hidden="1">
      <c r="A11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Global_PopulationHT0753</v>
      </c>
      <c r="B110" s="304" t="s">
        <v>345</v>
      </c>
      <c r="C110" s="213" t="s">
        <v>346</v>
      </c>
      <c r="D110" s="213" t="s">
        <v>381</v>
      </c>
      <c r="E110" s="103" t="s">
        <v>382</v>
      </c>
      <c r="F110" s="99"/>
      <c r="G110" s="34"/>
      <c r="H110" s="357"/>
      <c r="I110" s="354">
        <v>28474</v>
      </c>
      <c r="J110" s="221" t="s">
        <v>156</v>
      </c>
      <c r="K110" s="316">
        <v>5742</v>
      </c>
      <c r="L110" s="308">
        <v>3658</v>
      </c>
      <c r="M110" s="308">
        <v>2590</v>
      </c>
      <c r="N110" s="308">
        <v>17036</v>
      </c>
      <c r="O110" s="308">
        <v>7091.8891999999996</v>
      </c>
      <c r="P110" s="308">
        <v>17113.25</v>
      </c>
      <c r="Q110" s="309">
        <v>21356</v>
      </c>
      <c r="R110" s="308">
        <v>8805.5</v>
      </c>
      <c r="S110" s="308"/>
      <c r="T110" s="308"/>
      <c r="U110" s="308"/>
      <c r="V110" s="308"/>
      <c r="W110" s="317">
        <f>IFERROR(IF(tblPiNAnalysis[[#This Row],[CCCM]]="", "", MROUND(tblPiNAnalysis[[#This Row],[CCCM]]/tblPiNAnalysis[[#This Row],[Population]], 0.05)), "")</f>
        <v>0.2</v>
      </c>
      <c r="X110" s="318">
        <f>IFERROR(IF(tblPiNAnalysis[[#This Row],[Education]]="", "", MROUND(tblPiNAnalysis[[#This Row],[Education]]/tblPiNAnalysis[[#This Row],[Population]], 0.05)), "")</f>
        <v>0.15000000000000002</v>
      </c>
      <c r="Y110" s="318">
        <f>IFERROR(IF(tblPiNAnalysis[[#This Row],[Nutrition]]="", "", MROUND(tblPiNAnalysis[[#This Row],[Nutrition]]/tblPiNAnalysis[[#This Row],[Population]], 0.05)), "")</f>
        <v>0.1</v>
      </c>
      <c r="Z110" s="318">
        <f>IFERROR(IF(tblPiNAnalysis[[#This Row],[Food Security]]="", "", MROUND(tblPiNAnalysis[[#This Row],[Food Security]]/tblPiNAnalysis[[#This Row],[Population]], 0.05)), "")</f>
        <v>0.60000000000000009</v>
      </c>
      <c r="AA110" s="318">
        <f>IFERROR(IF(tblPiNAnalysis[[#This Row],[Health]]="", "", MROUND(tblPiNAnalysis[[#This Row],[Health]]/tblPiNAnalysis[[#This Row],[Population]], 0.05)), "")</f>
        <v>0.25</v>
      </c>
      <c r="AB110" s="319">
        <f>IFERROR(IF(tblPiNAnalysis[[#This Row],[Protection]]="", "", MROUND(tblPiNAnalysis[[#This Row],[Protection]]/tblPiNAnalysis[[#This Row],[Population]], 0.05)), "")</f>
        <v>0.60000000000000009</v>
      </c>
      <c r="AC110" s="319">
        <f>IFERROR(IF(tblPiNAnalysis[[#This Row],[Shelter]]="", "", MROUND(tblPiNAnalysis[[#This Row],[Shelter]]/tblPiNAnalysis[[#This Row],[Population]], 0.05)), "")</f>
        <v>0.75</v>
      </c>
      <c r="AD110" s="320">
        <f>IFERROR(IF(tblPiNAnalysis[[#This Row],[WASH]]="", "", MROUND(tblPiNAnalysis[[#This Row],[WASH]]/tblPiNAnalysis[[#This Row],[Population]], 0.05)), "")</f>
        <v>0.30000000000000004</v>
      </c>
      <c r="AE110" s="318">
        <f>IFERROR(MROUND(tblPiNAnalysis[[#This Row],[CP]]/tblPiNAnalysis[[#This Row],[Population]], 0.05), "")</f>
        <v>0</v>
      </c>
      <c r="AF110" s="318">
        <f>IFERROR(MROUND(tblPiNAnalysis[[#This Row],[GBV]]/tblPiNAnalysis[[#This Row],[Population]], 0.05), "")</f>
        <v>0</v>
      </c>
      <c r="AG110" s="318">
        <f>IFERROR(MROUND(tblPiNAnalysis[[#This Row],[Migrants]]/tblPiNAnalysis[[#This Row],[Population]], 0.05), "")</f>
        <v>0</v>
      </c>
      <c r="AH110" s="318">
        <f>IFERROR(MROUND(tblPiNAnalysis[[#This Row],[_]]/tblPiNAnalysis[[#This Row],[Population]], 0.05), "")</f>
        <v>0</v>
      </c>
      <c r="AI110" s="321">
        <f>IFERROR(LARGE(tblPiNAnalysis[[#This Row],[CCCM]:[WASH]], 1), "")</f>
        <v>21356</v>
      </c>
      <c r="AJ110" s="322" t="str" cm="1">
        <f t="array" ref="AJ110">IF(tblPiNAnalysis[[#This Row],[Highest PiN]]="", "", _xlfn.TEXTJOIN(CHAR(10), TRUE, IF(tblPiNAnalysis[[#This Row],[Highest PiN]]=tblPiNAnalysis[[#This Row],[CCCM]:[WASH]], tblPiNAnalysis[[#Headers],[CCCM]:[WASH]], "")))</f>
        <v>Shelter</v>
      </c>
      <c r="AK110" s="323">
        <f>IF(tblPiNAnalysis[[#This Row],[Highest PiN]]="", "", tblPiNAnalysis[[#This Row],[Highest PiN]]/tblPiNAnalysis[[#This Row],[Population]])</f>
        <v>0.75001755987918806</v>
      </c>
      <c r="AL110" s="265" t="str">
        <f>IF(SUM(tblPiNAnalysis[[#This Row],[CCCM]:[WASH]])=0, "",IF(COUNTIF(tblPiNAnalysis[[#This Row],[CCCM]:[WASH]],"=0")+COUNTIF(tblPiNAnalysis[[#This Row],[CCCM]:[WASH]],"")&gt;=zero_pin_thresh, "Flagged", ""))</f>
        <v/>
      </c>
      <c r="AM110" s="264" t="str">
        <f>IFERROR(IF(tblPiNAnalysis[[#This Row],[Highest PiN]]="", "", IF(tblPiNAnalysis[[#This Row],[Highest sector(s'') PiN %]]&gt;=flag_pin_perc, "Flagged", "")), "")</f>
        <v/>
      </c>
      <c r="AN110" s="266" t="str" cm="1">
        <f t="array" ref="AN110">IF(tblPiNAnalysis[[#This Row],[Highest PiN]]=0, "",  IF(OR(COUNTIF(tblPiNAnalysis[[#This Row],[Highest sector(s)]],tblSubSectorPopulation[Sector])), "Flagged", ""))</f>
        <v/>
      </c>
      <c r="AO110" s="45" cm="1">
        <f t="array" ref="AO11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17113.25</v>
      </c>
      <c r="AP110" s="326" t="str" cm="1">
        <f t="array" ref="AP110">IF(tblPiNAnalysis[[#This Row],[2nd Highest PiN]]="", "", _xlfn.TEXTJOIN(CHAR(10), TRUE, IF(tblPiNAnalysis[[#This Row],[2nd Highest PiN]]=tblPiNAnalysis[[#This Row],[CCCM]:[WASH]], tblPiNAnalysis[[#Headers],[CCCM]:[WASH]], "")))</f>
        <v>Protection</v>
      </c>
      <c r="AQ110" s="35">
        <f>IFERROR(tblPiNAnalysis[[#This Row],[2nd Highest PiN]]/tblPiNAnalysis[[#This Row],[Population]], "")</f>
        <v>0.60101320502914934</v>
      </c>
      <c r="AR110" s="45">
        <f>IFERROR(tblPiNAnalysis[[#This Row],[Highest PiN]]-tblPiNAnalysis[[#This Row],[2nd Highest PiN]], "")</f>
        <v>4242.75</v>
      </c>
      <c r="AS110" s="38">
        <f>IFERROR(((tblPiNAnalysis[[#This Row],[Highest PiN]]-tblPiNAnalysis[[#This Row],[2nd Highest PiN]])/tblPiNAnalysis[[#This Row],[2nd Highest PiN]]),"")</f>
        <v>0.24792193183644251</v>
      </c>
      <c r="AT110" s="269" t="str" cm="1">
        <f t="array" ref="AT11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0" s="327" cm="1">
        <f t="array" ref="AU11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17036</v>
      </c>
      <c r="AV110" s="186" t="str" cm="1">
        <f t="array" ref="AV110">IF(tblPiNAnalysis[[#This Row],[3rd Highest PiN]]="", "", _xlfn.TEXTJOIN(CHAR(10), TRUE, IF(tblPiNAnalysis[[#This Row],[3rd Highest PiN]]=tblPiNAnalysis[[#This Row],[CCCM]:[WASH]], tblPiNAnalysis[[#Headers],[CCCM]:[WASH]], "")))</f>
        <v>Food Security</v>
      </c>
      <c r="AW110" s="186">
        <f>IFERROR(tblPiNAnalysis[[#This Row],[3rd Highest PiN]]/tblPiNAnalysis[[#This Row],[Population]], "")</f>
        <v>0.59830020369459858</v>
      </c>
      <c r="AX110" s="44">
        <f>IFERROR(tblPiNAnalysis[[#This Row],[Highest PiN]]-tblPiNAnalysis[[#This Row],[3rd Highest PiN]],"")</f>
        <v>4320</v>
      </c>
      <c r="AY110" s="38">
        <f>IFERROR(tblPiNAnalysis[[#This Row],[Difference of PiN between Highest and 3rd Highest]]/tblPiNAnalysis[[#This Row],[3rd Highest PiN]], "")</f>
        <v>0.25358065273538388</v>
      </c>
      <c r="AZ110" s="325" t="str" cm="1">
        <f t="array" ref="AZ11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0" s="292" cm="1">
        <f t="array" ref="BA110">IFERROR(IF(tblPiNAnalysis[[#This Row],[ID]]="", "", INDEX(tblPiNHistorical[[CCCM]:[WASH]], MATCH(tblPiNAnalysis[[#This Row],[ID]],tblPiNHistorical[ID], 0),MATCH(_xlfn._xlws.FILTER(tblPiNAnalysis[[#Headers],[CCCM]:[WASH]], tblPiNAnalysis[[#This Row],[Highest PiN]]=tblPiNAnalysis[[#This Row],[CCCM]:[WASH]]), tblPiNHistorical[[#Headers],[CCCM]:[WASH]], 0))), "")</f>
        <v>0.4</v>
      </c>
      <c r="BB110" s="328" t="str" cm="1">
        <f t="array" ref="BB11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0" s="272" t="str" cm="1">
        <f t="array" ref="BC11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0" s="329" t="str" cm="1">
        <f t="array" ref="BD11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0" s="371">
        <f>INDEX(tblSeverityAnalysis[Final Severity], MATCH(tblPiNAnalysis[[#This Row],[ID]],tblSeverityAnalysis[ID], 0))</f>
        <v>3</v>
      </c>
      <c r="BF110" s="60">
        <f>IF(tblPiNAnalysis[[#This Row],[Severity]]&gt;2,tblPiNAnalysis[[#This Row],[Highest PiN]],)</f>
        <v>21356</v>
      </c>
      <c r="BG110" s="187"/>
      <c r="BH110" s="188"/>
      <c r="BI110" s="189">
        <f>COUNTIFS(tblPiNAnalysis[[#This Row],[Number of missing / zero PiNs greater than threshold - Data quality]:[Manual Flag]],"Flagged")</f>
        <v>0</v>
      </c>
      <c r="BJ110" s="346" t="str">
        <f>IF(tblPiNAnalysis[[#This Row],['# Flags]]&gt;0, "Flagged", "")</f>
        <v/>
      </c>
      <c r="BK110" s="339">
        <f>tblPiNAnalysis[[#This Row],[Preliminary PiN]]</f>
        <v>21356</v>
      </c>
      <c r="BL110" s="326"/>
      <c r="BM110" s="383">
        <f>IF(OR(tblPiNAnalysis[[#This Row],[Severity]]=4,tblPiNAnalysis[[#This Row],[Severity]]=5),tblPiNAnalysis[[#This Row],[Final PiN]],0)</f>
        <v>0</v>
      </c>
      <c r="BN110" s="378">
        <f>IF(OR(tblPiNAnalysis[[#This Row],[Severity]]=4,tblPiNAnalysis[[#This Row],[Severity]]=5),100%, IF(tblPiNAnalysis[[#This Row],[Severity]]=3,50%,0%))*tblPiNAnalysis[[#This Row],[Final PiN]]</f>
        <v>10678</v>
      </c>
      <c r="BO110" s="383">
        <f>IF(OR(tblPiNAnalysis[[#This Row],[Severity]]=4,tblPiNAnalysis[[#This Row],[Severity]]=5),100%, IF(AND(tblPiNAnalysis[[#This Row],[Severity]]=3,VLOOKUP(tblPiNAnalysis[[#This Row],[ID]],tblSeverityAnalysis[[ID]:[Highest Severity]],35,FALSE)&gt;3),50%,0%))*tblPiNAnalysis[[#This Row],[Final PiN]]</f>
        <v>0</v>
      </c>
    </row>
    <row r="111" spans="1:67" ht="24.6" hidden="1">
      <c r="A11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Global_PopulationHT0811</v>
      </c>
      <c r="B111" s="304" t="s">
        <v>383</v>
      </c>
      <c r="C111" s="213" t="s">
        <v>384</v>
      </c>
      <c r="D111" s="213" t="s">
        <v>385</v>
      </c>
      <c r="E111" s="103" t="s">
        <v>386</v>
      </c>
      <c r="F111" s="99"/>
      <c r="G111" s="34"/>
      <c r="H111" s="357"/>
      <c r="I111" s="354">
        <v>155299</v>
      </c>
      <c r="J111" s="221" t="s">
        <v>156</v>
      </c>
      <c r="K111" s="316">
        <v>39376.5</v>
      </c>
      <c r="L111" s="308">
        <v>14068</v>
      </c>
      <c r="M111" s="308">
        <v>14733</v>
      </c>
      <c r="N111" s="308">
        <v>91325</v>
      </c>
      <c r="O111" s="308">
        <v>45616.728934378574</v>
      </c>
      <c r="P111" s="308">
        <v>30199.30301507538</v>
      </c>
      <c r="Q111" s="309">
        <v>62950</v>
      </c>
      <c r="R111" s="308">
        <v>33341.028248587572</v>
      </c>
      <c r="S111" s="308"/>
      <c r="T111" s="308"/>
      <c r="U111" s="308"/>
      <c r="V111" s="308"/>
      <c r="W111" s="317">
        <f>IFERROR(IF(tblPiNAnalysis[[#This Row],[CCCM]]="", "", MROUND(tblPiNAnalysis[[#This Row],[CCCM]]/tblPiNAnalysis[[#This Row],[Population]], 0.05)), "")</f>
        <v>0.25</v>
      </c>
      <c r="X111" s="318">
        <f>IFERROR(IF(tblPiNAnalysis[[#This Row],[Education]]="", "", MROUND(tblPiNAnalysis[[#This Row],[Education]]/tblPiNAnalysis[[#This Row],[Population]], 0.05)), "")</f>
        <v>0.1</v>
      </c>
      <c r="Y111" s="318">
        <f>IFERROR(IF(tblPiNAnalysis[[#This Row],[Nutrition]]="", "", MROUND(tblPiNAnalysis[[#This Row],[Nutrition]]/tblPiNAnalysis[[#This Row],[Population]], 0.05)), "")</f>
        <v>0.1</v>
      </c>
      <c r="Z111" s="318">
        <f>IFERROR(IF(tblPiNAnalysis[[#This Row],[Food Security]]="", "", MROUND(tblPiNAnalysis[[#This Row],[Food Security]]/tblPiNAnalysis[[#This Row],[Population]], 0.05)), "")</f>
        <v>0.60000000000000009</v>
      </c>
      <c r="AA111" s="318">
        <f>IFERROR(IF(tblPiNAnalysis[[#This Row],[Health]]="", "", MROUND(tblPiNAnalysis[[#This Row],[Health]]/tblPiNAnalysis[[#This Row],[Population]], 0.05)), "")</f>
        <v>0.30000000000000004</v>
      </c>
      <c r="AB111" s="319">
        <f>IFERROR(IF(tblPiNAnalysis[[#This Row],[Protection]]="", "", MROUND(tblPiNAnalysis[[#This Row],[Protection]]/tblPiNAnalysis[[#This Row],[Population]], 0.05)), "")</f>
        <v>0.2</v>
      </c>
      <c r="AC111" s="319">
        <f>IFERROR(IF(tblPiNAnalysis[[#This Row],[Shelter]]="", "", MROUND(tblPiNAnalysis[[#This Row],[Shelter]]/tblPiNAnalysis[[#This Row],[Population]], 0.05)), "")</f>
        <v>0.4</v>
      </c>
      <c r="AD111" s="320">
        <f>IFERROR(IF(tblPiNAnalysis[[#This Row],[WASH]]="", "", MROUND(tblPiNAnalysis[[#This Row],[WASH]]/tblPiNAnalysis[[#This Row],[Population]], 0.05)), "")</f>
        <v>0.2</v>
      </c>
      <c r="AE111" s="318">
        <f>IFERROR(MROUND(tblPiNAnalysis[[#This Row],[CP]]/tblPiNAnalysis[[#This Row],[Population]], 0.05), "")</f>
        <v>0</v>
      </c>
      <c r="AF111" s="318">
        <f>IFERROR(MROUND(tblPiNAnalysis[[#This Row],[GBV]]/tblPiNAnalysis[[#This Row],[Population]], 0.05), "")</f>
        <v>0</v>
      </c>
      <c r="AG111" s="318">
        <f>IFERROR(MROUND(tblPiNAnalysis[[#This Row],[Migrants]]/tblPiNAnalysis[[#This Row],[Population]], 0.05), "")</f>
        <v>0</v>
      </c>
      <c r="AH111" s="318">
        <f>IFERROR(MROUND(tblPiNAnalysis[[#This Row],[_]]/tblPiNAnalysis[[#This Row],[Population]], 0.05), "")</f>
        <v>0</v>
      </c>
      <c r="AI111" s="321">
        <f>IFERROR(LARGE(tblPiNAnalysis[[#This Row],[CCCM]:[WASH]], 1), "")</f>
        <v>91325</v>
      </c>
      <c r="AJ111" s="322" t="str" cm="1">
        <f t="array" ref="AJ111">IF(tblPiNAnalysis[[#This Row],[Highest PiN]]="", "", _xlfn.TEXTJOIN(CHAR(10), TRUE, IF(tblPiNAnalysis[[#This Row],[Highest PiN]]=tblPiNAnalysis[[#This Row],[CCCM]:[WASH]], tblPiNAnalysis[[#Headers],[CCCM]:[WASH]], "")))</f>
        <v>Food Security</v>
      </c>
      <c r="AK111" s="323">
        <f>IF(tblPiNAnalysis[[#This Row],[Highest PiN]]="", "", tblPiNAnalysis[[#This Row],[Highest PiN]]/tblPiNAnalysis[[#This Row],[Population]])</f>
        <v>0.58805916329145713</v>
      </c>
      <c r="AL111" s="265" t="str">
        <f>IF(SUM(tblPiNAnalysis[[#This Row],[CCCM]:[WASH]])=0, "",IF(COUNTIF(tblPiNAnalysis[[#This Row],[CCCM]:[WASH]],"=0")+COUNTIF(tblPiNAnalysis[[#This Row],[CCCM]:[WASH]],"")&gt;=zero_pin_thresh, "Flagged", ""))</f>
        <v/>
      </c>
      <c r="AM111" s="264" t="str">
        <f>IFERROR(IF(tblPiNAnalysis[[#This Row],[Highest PiN]]="", "", IF(tblPiNAnalysis[[#This Row],[Highest sector(s'') PiN %]]&gt;=flag_pin_perc, "Flagged", "")), "")</f>
        <v/>
      </c>
      <c r="AN111" s="266" t="str" cm="1">
        <f t="array" ref="AN111">IF(tblPiNAnalysis[[#This Row],[Highest PiN]]=0, "",  IF(OR(COUNTIF(tblPiNAnalysis[[#This Row],[Highest sector(s)]],tblSubSectorPopulation[Sector])), "Flagged", ""))</f>
        <v/>
      </c>
      <c r="AO111" s="45" cm="1">
        <f t="array" ref="AO11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62950</v>
      </c>
      <c r="AP111" s="326" t="str" cm="1">
        <f t="array" ref="AP111">IF(tblPiNAnalysis[[#This Row],[2nd Highest PiN]]="", "", _xlfn.TEXTJOIN(CHAR(10), TRUE, IF(tblPiNAnalysis[[#This Row],[2nd Highest PiN]]=tblPiNAnalysis[[#This Row],[CCCM]:[WASH]], tblPiNAnalysis[[#Headers],[CCCM]:[WASH]], "")))</f>
        <v>Shelter</v>
      </c>
      <c r="AQ111" s="35">
        <f>IFERROR(tblPiNAnalysis[[#This Row],[2nd Highest PiN]]/tblPiNAnalysis[[#This Row],[Population]], "")</f>
        <v>0.4053471046175442</v>
      </c>
      <c r="AR111" s="45">
        <f>IFERROR(tblPiNAnalysis[[#This Row],[Highest PiN]]-tblPiNAnalysis[[#This Row],[2nd Highest PiN]], "")</f>
        <v>28375</v>
      </c>
      <c r="AS111" s="38">
        <f>IFERROR(((tblPiNAnalysis[[#This Row],[Highest PiN]]-tblPiNAnalysis[[#This Row],[2nd Highest PiN]])/tblPiNAnalysis[[#This Row],[2nd Highest PiN]]),"")</f>
        <v>0.45075456711675932</v>
      </c>
      <c r="AT111" s="269" t="str" cm="1">
        <f t="array" ref="AT11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1" s="327" cm="1">
        <f t="array" ref="AU11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45616.728934378574</v>
      </c>
      <c r="AV111" s="186" t="str" cm="1">
        <f t="array" ref="AV111">IF(tblPiNAnalysis[[#This Row],[3rd Highest PiN]]="", "", _xlfn.TEXTJOIN(CHAR(10), TRUE, IF(tblPiNAnalysis[[#This Row],[3rd Highest PiN]]=tblPiNAnalysis[[#This Row],[CCCM]:[WASH]], tblPiNAnalysis[[#Headers],[CCCM]:[WASH]], "")))</f>
        <v>Health</v>
      </c>
      <c r="AW111" s="186">
        <f>IFERROR(tblPiNAnalysis[[#This Row],[3rd Highest PiN]]/tblPiNAnalysis[[#This Row],[Population]], "")</f>
        <v>0.29373485298925667</v>
      </c>
      <c r="AX111" s="44">
        <f>IFERROR(tblPiNAnalysis[[#This Row],[Highest PiN]]-tblPiNAnalysis[[#This Row],[3rd Highest PiN]],"")</f>
        <v>45708.271065621426</v>
      </c>
      <c r="AY111" s="38">
        <f>IFERROR(tblPiNAnalysis[[#This Row],[Difference of PiN between Highest and 3rd Highest]]/tblPiNAnalysis[[#This Row],[3rd Highest PiN]], "")</f>
        <v>1.0020067666705024</v>
      </c>
      <c r="AZ111" s="325" t="str" cm="1">
        <f t="array" ref="AZ11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1" s="292" cm="1">
        <f t="array" ref="BA111">IFERROR(IF(tblPiNAnalysis[[#This Row],[ID]]="", "", INDEX(tblPiNHistorical[[CCCM]:[WASH]], MATCH(tblPiNAnalysis[[#This Row],[ID]],tblPiNHistorical[ID], 0),MATCH(_xlfn._xlws.FILTER(tblPiNAnalysis[[#Headers],[CCCM]:[WASH]], tblPiNAnalysis[[#This Row],[Highest PiN]]=tblPiNAnalysis[[#This Row],[CCCM]:[WASH]]), tblPiNHistorical[[#Headers],[CCCM]:[WASH]], 0))), "")</f>
        <v>-0.1</v>
      </c>
      <c r="BB111" s="328" t="str" cm="1">
        <f t="array" ref="BB11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1" s="272" cm="1">
        <f t="array" ref="BC11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11" s="329" t="str" cm="1">
        <f t="array" ref="BD11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1" s="371">
        <f>INDEX(tblSeverityAnalysis[Final Severity], MATCH(tblPiNAnalysis[[#This Row],[ID]],tblSeverityAnalysis[ID], 0))</f>
        <v>3</v>
      </c>
      <c r="BF111" s="60">
        <f>IF(tblPiNAnalysis[[#This Row],[Severity]]&gt;2,tblPiNAnalysis[[#This Row],[Highest PiN]],)</f>
        <v>91325</v>
      </c>
      <c r="BG111" s="187"/>
      <c r="BH111" s="188"/>
      <c r="BI111" s="189">
        <f>COUNTIFS(tblPiNAnalysis[[#This Row],[Number of missing / zero PiNs greater than threshold - Data quality]:[Manual Flag]],"Flagged")</f>
        <v>1</v>
      </c>
      <c r="BJ111" s="346" t="str">
        <f>IF(tblPiNAnalysis[[#This Row],['# Flags]]&gt;0, "Flagged", "")</f>
        <v>Flagged</v>
      </c>
      <c r="BK111" s="339">
        <f>tblPiNAnalysis[[#This Row],[Preliminary PiN]]</f>
        <v>91325</v>
      </c>
      <c r="BL111" s="326"/>
      <c r="BM111" s="383">
        <f>IF(OR(tblPiNAnalysis[[#This Row],[Severity]]=4,tblPiNAnalysis[[#This Row],[Severity]]=5),tblPiNAnalysis[[#This Row],[Final PiN]],0)</f>
        <v>0</v>
      </c>
      <c r="BN111" s="378">
        <f>IF(OR(tblPiNAnalysis[[#This Row],[Severity]]=4,tblPiNAnalysis[[#This Row],[Severity]]=5),100%, IF(tblPiNAnalysis[[#This Row],[Severity]]=3,50%,0%))*tblPiNAnalysis[[#This Row],[Final PiN]]</f>
        <v>45662.5</v>
      </c>
      <c r="BO111" s="383">
        <f>IF(OR(tblPiNAnalysis[[#This Row],[Severity]]=4,tblPiNAnalysis[[#This Row],[Severity]]=5),100%, IF(AND(tblPiNAnalysis[[#This Row],[Severity]]=3,VLOOKUP(tblPiNAnalysis[[#This Row],[ID]],tblSeverityAnalysis[[ID]:[Highest Severity]],35,FALSE)&gt;3),50%,0%))*tblPiNAnalysis[[#This Row],[Final PiN]]</f>
        <v>0</v>
      </c>
    </row>
    <row r="112" spans="1:67" ht="24.6" hidden="1">
      <c r="A11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Global_PopulationHT0812</v>
      </c>
      <c r="B112" s="304" t="s">
        <v>383</v>
      </c>
      <c r="C112" s="213" t="s">
        <v>384</v>
      </c>
      <c r="D112" s="213" t="s">
        <v>387</v>
      </c>
      <c r="E112" s="103" t="s">
        <v>388</v>
      </c>
      <c r="F112" s="99"/>
      <c r="G112" s="34"/>
      <c r="H112" s="357"/>
      <c r="I112" s="354">
        <v>47470</v>
      </c>
      <c r="J112" s="221" t="s">
        <v>156</v>
      </c>
      <c r="K112" s="316">
        <v>26850</v>
      </c>
      <c r="L112" s="308">
        <v>4868</v>
      </c>
      <c r="M112" s="308">
        <v>5056</v>
      </c>
      <c r="N112" s="308">
        <v>25028</v>
      </c>
      <c r="O112" s="308">
        <v>29664.757591061454</v>
      </c>
      <c r="P112" s="308">
        <v>27109.86</v>
      </c>
      <c r="Q112" s="309">
        <v>34290</v>
      </c>
      <c r="R112" s="308">
        <v>32635.625</v>
      </c>
      <c r="S112" s="308"/>
      <c r="T112" s="308"/>
      <c r="U112" s="308"/>
      <c r="V112" s="308"/>
      <c r="W112" s="317">
        <f>IFERROR(IF(tblPiNAnalysis[[#This Row],[CCCM]]="", "", MROUND(tblPiNAnalysis[[#This Row],[CCCM]]/tblPiNAnalysis[[#This Row],[Population]], 0.05)), "")</f>
        <v>0.55000000000000004</v>
      </c>
      <c r="X112" s="318">
        <f>IFERROR(IF(tblPiNAnalysis[[#This Row],[Education]]="", "", MROUND(tblPiNAnalysis[[#This Row],[Education]]/tblPiNAnalysis[[#This Row],[Population]], 0.05)), "")</f>
        <v>0.1</v>
      </c>
      <c r="Y112" s="318">
        <f>IFERROR(IF(tblPiNAnalysis[[#This Row],[Nutrition]]="", "", MROUND(tblPiNAnalysis[[#This Row],[Nutrition]]/tblPiNAnalysis[[#This Row],[Population]], 0.05)), "")</f>
        <v>0.1</v>
      </c>
      <c r="Z112" s="318">
        <f>IFERROR(IF(tblPiNAnalysis[[#This Row],[Food Security]]="", "", MROUND(tblPiNAnalysis[[#This Row],[Food Security]]/tblPiNAnalysis[[#This Row],[Population]], 0.05)), "")</f>
        <v>0.55000000000000004</v>
      </c>
      <c r="AA112" s="318">
        <f>IFERROR(IF(tblPiNAnalysis[[#This Row],[Health]]="", "", MROUND(tblPiNAnalysis[[#This Row],[Health]]/tblPiNAnalysis[[#This Row],[Population]], 0.05)), "")</f>
        <v>0.60000000000000009</v>
      </c>
      <c r="AB112" s="319">
        <f>IFERROR(IF(tblPiNAnalysis[[#This Row],[Protection]]="", "", MROUND(tblPiNAnalysis[[#This Row],[Protection]]/tblPiNAnalysis[[#This Row],[Population]], 0.05)), "")</f>
        <v>0.55000000000000004</v>
      </c>
      <c r="AC112" s="319">
        <f>IFERROR(IF(tblPiNAnalysis[[#This Row],[Shelter]]="", "", MROUND(tblPiNAnalysis[[#This Row],[Shelter]]/tblPiNAnalysis[[#This Row],[Population]], 0.05)), "")</f>
        <v>0.70000000000000007</v>
      </c>
      <c r="AD112" s="320">
        <f>IFERROR(IF(tblPiNAnalysis[[#This Row],[WASH]]="", "", MROUND(tblPiNAnalysis[[#This Row],[WASH]]/tblPiNAnalysis[[#This Row],[Population]], 0.05)), "")</f>
        <v>0.70000000000000007</v>
      </c>
      <c r="AE112" s="318">
        <f>IFERROR(MROUND(tblPiNAnalysis[[#This Row],[CP]]/tblPiNAnalysis[[#This Row],[Population]], 0.05), "")</f>
        <v>0</v>
      </c>
      <c r="AF112" s="318">
        <f>IFERROR(MROUND(tblPiNAnalysis[[#This Row],[GBV]]/tblPiNAnalysis[[#This Row],[Population]], 0.05), "")</f>
        <v>0</v>
      </c>
      <c r="AG112" s="318">
        <f>IFERROR(MROUND(tblPiNAnalysis[[#This Row],[Migrants]]/tblPiNAnalysis[[#This Row],[Population]], 0.05), "")</f>
        <v>0</v>
      </c>
      <c r="AH112" s="318">
        <f>IFERROR(MROUND(tblPiNAnalysis[[#This Row],[_]]/tblPiNAnalysis[[#This Row],[Population]], 0.05), "")</f>
        <v>0</v>
      </c>
      <c r="AI112" s="321">
        <f>IFERROR(LARGE(tblPiNAnalysis[[#This Row],[CCCM]:[WASH]], 1), "")</f>
        <v>34290</v>
      </c>
      <c r="AJ112" s="322" t="str" cm="1">
        <f t="array" ref="AJ112">IF(tblPiNAnalysis[[#This Row],[Highest PiN]]="", "", _xlfn.TEXTJOIN(CHAR(10), TRUE, IF(tblPiNAnalysis[[#This Row],[Highest PiN]]=tblPiNAnalysis[[#This Row],[CCCM]:[WASH]], tblPiNAnalysis[[#Headers],[CCCM]:[WASH]], "")))</f>
        <v>Shelter</v>
      </c>
      <c r="AK112" s="323">
        <f>IF(tblPiNAnalysis[[#This Row],[Highest PiN]]="", "", tblPiNAnalysis[[#This Row],[Highest PiN]]/tblPiNAnalysis[[#This Row],[Population]])</f>
        <v>0.72235095850010533</v>
      </c>
      <c r="AL112" s="265" t="str">
        <f>IF(SUM(tblPiNAnalysis[[#This Row],[CCCM]:[WASH]])=0, "",IF(COUNTIF(tblPiNAnalysis[[#This Row],[CCCM]:[WASH]],"=0")+COUNTIF(tblPiNAnalysis[[#This Row],[CCCM]:[WASH]],"")&gt;=zero_pin_thresh, "Flagged", ""))</f>
        <v/>
      </c>
      <c r="AM112" s="264" t="str">
        <f>IFERROR(IF(tblPiNAnalysis[[#This Row],[Highest PiN]]="", "", IF(tblPiNAnalysis[[#This Row],[Highest sector(s'') PiN %]]&gt;=flag_pin_perc, "Flagged", "")), "")</f>
        <v/>
      </c>
      <c r="AN112" s="266" t="str" cm="1">
        <f t="array" ref="AN112">IF(tblPiNAnalysis[[#This Row],[Highest PiN]]=0, "",  IF(OR(COUNTIF(tblPiNAnalysis[[#This Row],[Highest sector(s)]],tblSubSectorPopulation[Sector])), "Flagged", ""))</f>
        <v/>
      </c>
      <c r="AO112" s="45" cm="1">
        <f t="array" ref="AO11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32635.625</v>
      </c>
      <c r="AP112" s="326" t="str" cm="1">
        <f t="array" ref="AP112">IF(tblPiNAnalysis[[#This Row],[2nd Highest PiN]]="", "", _xlfn.TEXTJOIN(CHAR(10), TRUE, IF(tblPiNAnalysis[[#This Row],[2nd Highest PiN]]=tblPiNAnalysis[[#This Row],[CCCM]:[WASH]], tblPiNAnalysis[[#Headers],[CCCM]:[WASH]], "")))</f>
        <v>WASH</v>
      </c>
      <c r="AQ112" s="35">
        <f>IFERROR(tblPiNAnalysis[[#This Row],[2nd Highest PiN]]/tblPiNAnalysis[[#This Row],[Population]], "")</f>
        <v>0.6875</v>
      </c>
      <c r="AR112" s="45">
        <f>IFERROR(tblPiNAnalysis[[#This Row],[Highest PiN]]-tblPiNAnalysis[[#This Row],[2nd Highest PiN]], "")</f>
        <v>1654.375</v>
      </c>
      <c r="AS112" s="38">
        <f>IFERROR(((tblPiNAnalysis[[#This Row],[Highest PiN]]-tblPiNAnalysis[[#This Row],[2nd Highest PiN]])/tblPiNAnalysis[[#This Row],[2nd Highest PiN]]),"")</f>
        <v>5.0692303272880476E-2</v>
      </c>
      <c r="AT112" s="269" t="str" cm="1">
        <f t="array" ref="AT11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2" s="327" cm="1">
        <f t="array" ref="AU11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29664.757591061454</v>
      </c>
      <c r="AV112" s="186" t="str" cm="1">
        <f t="array" ref="AV112">IF(tblPiNAnalysis[[#This Row],[3rd Highest PiN]]="", "", _xlfn.TEXTJOIN(CHAR(10), TRUE, IF(tblPiNAnalysis[[#This Row],[3rd Highest PiN]]=tblPiNAnalysis[[#This Row],[CCCM]:[WASH]], tblPiNAnalysis[[#Headers],[CCCM]:[WASH]], "")))</f>
        <v>Health</v>
      </c>
      <c r="AW112" s="186">
        <f>IFERROR(tblPiNAnalysis[[#This Row],[3rd Highest PiN]]/tblPiNAnalysis[[#This Row],[Population]], "")</f>
        <v>0.62491589616729415</v>
      </c>
      <c r="AX112" s="44">
        <f>IFERROR(tblPiNAnalysis[[#This Row],[Highest PiN]]-tblPiNAnalysis[[#This Row],[3rd Highest PiN]],"")</f>
        <v>4625.2424089385459</v>
      </c>
      <c r="AY112" s="38">
        <f>IFERROR(tblPiNAnalysis[[#This Row],[Difference of PiN between Highest and 3rd Highest]]/tblPiNAnalysis[[#This Row],[3rd Highest PiN]], "")</f>
        <v>0.15591708089103745</v>
      </c>
      <c r="AZ112" s="325" t="str" cm="1">
        <f t="array" ref="AZ11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2" s="292" cm="1">
        <f t="array" ref="BA112">IFERROR(IF(tblPiNAnalysis[[#This Row],[ID]]="", "", INDEX(tblPiNHistorical[[CCCM]:[WASH]], MATCH(tblPiNAnalysis[[#This Row],[ID]],tblPiNHistorical[ID], 0),MATCH(_xlfn._xlws.FILTER(tblPiNAnalysis[[#Headers],[CCCM]:[WASH]], tblPiNAnalysis[[#This Row],[Highest PiN]]=tblPiNAnalysis[[#This Row],[CCCM]:[WASH]]), tblPiNHistorical[[#Headers],[CCCM]:[WASH]], 0))), "")</f>
        <v>0.9</v>
      </c>
      <c r="BB112" s="328" t="str" cm="1">
        <f t="array" ref="BB11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2" s="272" cm="1">
        <f t="array" ref="BC112">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12" s="329" t="str" cm="1">
        <f t="array" ref="BD11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2" s="371">
        <f>INDEX(tblSeverityAnalysis[Final Severity], MATCH(tblPiNAnalysis[[#This Row],[ID]],tblSeverityAnalysis[ID], 0))</f>
        <v>3</v>
      </c>
      <c r="BF112" s="60">
        <f>IF(tblPiNAnalysis[[#This Row],[Severity]]&gt;2,tblPiNAnalysis[[#This Row],[Highest PiN]],)</f>
        <v>34290</v>
      </c>
      <c r="BG112" s="187"/>
      <c r="BH112" s="188"/>
      <c r="BI112" s="189">
        <f>COUNTIFS(tblPiNAnalysis[[#This Row],[Number of missing / zero PiNs greater than threshold - Data quality]:[Manual Flag]],"Flagged")</f>
        <v>0</v>
      </c>
      <c r="BJ112" s="346" t="str">
        <f>IF(tblPiNAnalysis[[#This Row],['# Flags]]&gt;0, "Flagged", "")</f>
        <v/>
      </c>
      <c r="BK112" s="339">
        <f>tblPiNAnalysis[[#This Row],[Preliminary PiN]]</f>
        <v>34290</v>
      </c>
      <c r="BL112" s="326"/>
      <c r="BM112" s="383">
        <f>IF(OR(tblPiNAnalysis[[#This Row],[Severity]]=4,tblPiNAnalysis[[#This Row],[Severity]]=5),tblPiNAnalysis[[#This Row],[Final PiN]],0)</f>
        <v>0</v>
      </c>
      <c r="BN112" s="378">
        <f>IF(OR(tblPiNAnalysis[[#This Row],[Severity]]=4,tblPiNAnalysis[[#This Row],[Severity]]=5),100%, IF(tblPiNAnalysis[[#This Row],[Severity]]=3,50%,0%))*tblPiNAnalysis[[#This Row],[Final PiN]]</f>
        <v>17145</v>
      </c>
      <c r="BO112" s="383">
        <f>IF(OR(tblPiNAnalysis[[#This Row],[Severity]]=4,tblPiNAnalysis[[#This Row],[Severity]]=5),100%, IF(AND(tblPiNAnalysis[[#This Row],[Severity]]=3,VLOOKUP(tblPiNAnalysis[[#This Row],[ID]],tblSeverityAnalysis[[ID]:[Highest Severity]],35,FALSE)&gt;3),50%,0%))*tblPiNAnalysis[[#This Row],[Final PiN]]</f>
        <v>0</v>
      </c>
    </row>
    <row r="113" spans="1:67" ht="24.6" hidden="1">
      <c r="A11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Global_PopulationHT0813</v>
      </c>
      <c r="B113" s="304" t="s">
        <v>383</v>
      </c>
      <c r="C113" s="213" t="s">
        <v>384</v>
      </c>
      <c r="D113" s="213" t="s">
        <v>389</v>
      </c>
      <c r="E113" s="103" t="s">
        <v>390</v>
      </c>
      <c r="F113" s="99"/>
      <c r="G113" s="34"/>
      <c r="H113" s="357"/>
      <c r="I113" s="354">
        <v>10653</v>
      </c>
      <c r="J113" s="221" t="s">
        <v>156</v>
      </c>
      <c r="K113" s="316">
        <v>4860</v>
      </c>
      <c r="L113" s="308">
        <v>1024</v>
      </c>
      <c r="M113" s="308">
        <v>1105</v>
      </c>
      <c r="N113" s="308">
        <v>5720</v>
      </c>
      <c r="O113" s="308">
        <v>4908.1043259259259</v>
      </c>
      <c r="P113" s="308">
        <v>1638.96</v>
      </c>
      <c r="Q113" s="309">
        <v>0</v>
      </c>
      <c r="R113" s="308">
        <v>4525.71</v>
      </c>
      <c r="S113" s="308"/>
      <c r="T113" s="308"/>
      <c r="U113" s="308"/>
      <c r="V113" s="308"/>
      <c r="W113" s="317">
        <f>IFERROR(IF(tblPiNAnalysis[[#This Row],[CCCM]]="", "", MROUND(tblPiNAnalysis[[#This Row],[CCCM]]/tblPiNAnalysis[[#This Row],[Population]], 0.05)), "")</f>
        <v>0.45</v>
      </c>
      <c r="X113" s="318">
        <f>IFERROR(IF(tblPiNAnalysis[[#This Row],[Education]]="", "", MROUND(tblPiNAnalysis[[#This Row],[Education]]/tblPiNAnalysis[[#This Row],[Population]], 0.05)), "")</f>
        <v>0.1</v>
      </c>
      <c r="Y113" s="318">
        <f>IFERROR(IF(tblPiNAnalysis[[#This Row],[Nutrition]]="", "", MROUND(tblPiNAnalysis[[#This Row],[Nutrition]]/tblPiNAnalysis[[#This Row],[Population]], 0.05)), "")</f>
        <v>0.1</v>
      </c>
      <c r="Z113" s="318">
        <f>IFERROR(IF(tblPiNAnalysis[[#This Row],[Food Security]]="", "", MROUND(tblPiNAnalysis[[#This Row],[Food Security]]/tblPiNAnalysis[[#This Row],[Population]], 0.05)), "")</f>
        <v>0.55000000000000004</v>
      </c>
      <c r="AA113" s="318">
        <f>IFERROR(IF(tblPiNAnalysis[[#This Row],[Health]]="", "", MROUND(tblPiNAnalysis[[#This Row],[Health]]/tblPiNAnalysis[[#This Row],[Population]], 0.05)), "")</f>
        <v>0.45</v>
      </c>
      <c r="AB113" s="319">
        <f>IFERROR(IF(tblPiNAnalysis[[#This Row],[Protection]]="", "", MROUND(tblPiNAnalysis[[#This Row],[Protection]]/tblPiNAnalysis[[#This Row],[Population]], 0.05)), "")</f>
        <v>0.15000000000000002</v>
      </c>
      <c r="AC113" s="319">
        <f>IFERROR(IF(tblPiNAnalysis[[#This Row],[Shelter]]="", "", MROUND(tblPiNAnalysis[[#This Row],[Shelter]]/tblPiNAnalysis[[#This Row],[Population]], 0.05)), "")</f>
        <v>0</v>
      </c>
      <c r="AD113" s="320">
        <f>IFERROR(IF(tblPiNAnalysis[[#This Row],[WASH]]="", "", MROUND(tblPiNAnalysis[[#This Row],[WASH]]/tblPiNAnalysis[[#This Row],[Population]], 0.05)), "")</f>
        <v>0.4</v>
      </c>
      <c r="AE113" s="318">
        <f>IFERROR(MROUND(tblPiNAnalysis[[#This Row],[CP]]/tblPiNAnalysis[[#This Row],[Population]], 0.05), "")</f>
        <v>0</v>
      </c>
      <c r="AF113" s="318">
        <f>IFERROR(MROUND(tblPiNAnalysis[[#This Row],[GBV]]/tblPiNAnalysis[[#This Row],[Population]], 0.05), "")</f>
        <v>0</v>
      </c>
      <c r="AG113" s="318">
        <f>IFERROR(MROUND(tblPiNAnalysis[[#This Row],[Migrants]]/tblPiNAnalysis[[#This Row],[Population]], 0.05), "")</f>
        <v>0</v>
      </c>
      <c r="AH113" s="318">
        <f>IFERROR(MROUND(tblPiNAnalysis[[#This Row],[_]]/tblPiNAnalysis[[#This Row],[Population]], 0.05), "")</f>
        <v>0</v>
      </c>
      <c r="AI113" s="321">
        <f>IFERROR(LARGE(tblPiNAnalysis[[#This Row],[CCCM]:[WASH]], 1), "")</f>
        <v>5720</v>
      </c>
      <c r="AJ113" s="322" t="str" cm="1">
        <f t="array" ref="AJ113">IF(tblPiNAnalysis[[#This Row],[Highest PiN]]="", "", _xlfn.TEXTJOIN(CHAR(10), TRUE, IF(tblPiNAnalysis[[#This Row],[Highest PiN]]=tblPiNAnalysis[[#This Row],[CCCM]:[WASH]], tblPiNAnalysis[[#Headers],[CCCM]:[WASH]], "")))</f>
        <v>Food Security</v>
      </c>
      <c r="AK113" s="323">
        <f>IF(tblPiNAnalysis[[#This Row],[Highest PiN]]="", "", tblPiNAnalysis[[#This Row],[Highest PiN]]/tblPiNAnalysis[[#This Row],[Population]])</f>
        <v>0.5369379517506806</v>
      </c>
      <c r="AL113" s="265" t="str">
        <f>IF(SUM(tblPiNAnalysis[[#This Row],[CCCM]:[WASH]])=0, "",IF(COUNTIF(tblPiNAnalysis[[#This Row],[CCCM]:[WASH]],"=0")+COUNTIF(tblPiNAnalysis[[#This Row],[CCCM]:[WASH]],"")&gt;=zero_pin_thresh, "Flagged", ""))</f>
        <v/>
      </c>
      <c r="AM113" s="264" t="str">
        <f>IFERROR(IF(tblPiNAnalysis[[#This Row],[Highest PiN]]="", "", IF(tblPiNAnalysis[[#This Row],[Highest sector(s'') PiN %]]&gt;=flag_pin_perc, "Flagged", "")), "")</f>
        <v/>
      </c>
      <c r="AN113" s="266" t="str" cm="1">
        <f t="array" ref="AN113">IF(tblPiNAnalysis[[#This Row],[Highest PiN]]=0, "",  IF(OR(COUNTIF(tblPiNAnalysis[[#This Row],[Highest sector(s)]],tblSubSectorPopulation[Sector])), "Flagged", ""))</f>
        <v/>
      </c>
      <c r="AO113" s="45" cm="1">
        <f t="array" ref="AO11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4908.1043259259259</v>
      </c>
      <c r="AP113" s="326" t="str" cm="1">
        <f t="array" ref="AP113">IF(tblPiNAnalysis[[#This Row],[2nd Highest PiN]]="", "", _xlfn.TEXTJOIN(CHAR(10), TRUE, IF(tblPiNAnalysis[[#This Row],[2nd Highest PiN]]=tblPiNAnalysis[[#This Row],[CCCM]:[WASH]], tblPiNAnalysis[[#Headers],[CCCM]:[WASH]], "")))</f>
        <v>Health</v>
      </c>
      <c r="AQ113" s="35">
        <f>IFERROR(tblPiNAnalysis[[#This Row],[2nd Highest PiN]]/tblPiNAnalysis[[#This Row],[Population]], "")</f>
        <v>0.46072508457016109</v>
      </c>
      <c r="AR113" s="45">
        <f>IFERROR(tblPiNAnalysis[[#This Row],[Highest PiN]]-tblPiNAnalysis[[#This Row],[2nd Highest PiN]], "")</f>
        <v>811.89567407407412</v>
      </c>
      <c r="AS113" s="38">
        <f>IFERROR(((tblPiNAnalysis[[#This Row],[Highest PiN]]-tblPiNAnalysis[[#This Row],[2nd Highest PiN]])/tblPiNAnalysis[[#This Row],[2nd Highest PiN]]),"")</f>
        <v>0.16541940027342594</v>
      </c>
      <c r="AT113" s="269" t="str" cm="1">
        <f t="array" ref="AT11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3" s="327" cm="1">
        <f t="array" ref="AU11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4860</v>
      </c>
      <c r="AV113" s="186" t="str" cm="1">
        <f t="array" ref="AV113">IF(tblPiNAnalysis[[#This Row],[3rd Highest PiN]]="", "", _xlfn.TEXTJOIN(CHAR(10), TRUE, IF(tblPiNAnalysis[[#This Row],[3rd Highest PiN]]=tblPiNAnalysis[[#This Row],[CCCM]:[WASH]], tblPiNAnalysis[[#Headers],[CCCM]:[WASH]], "")))</f>
        <v>CCCM</v>
      </c>
      <c r="AW113" s="186">
        <f>IFERROR(tblPiNAnalysis[[#This Row],[3rd Highest PiN]]/tblPiNAnalysis[[#This Row],[Population]], "")</f>
        <v>0.45620951844550833</v>
      </c>
      <c r="AX113" s="44">
        <f>IFERROR(tblPiNAnalysis[[#This Row],[Highest PiN]]-tblPiNAnalysis[[#This Row],[3rd Highest PiN]],"")</f>
        <v>860</v>
      </c>
      <c r="AY113" s="38">
        <f>IFERROR(tblPiNAnalysis[[#This Row],[Difference of PiN between Highest and 3rd Highest]]/tblPiNAnalysis[[#This Row],[3rd Highest PiN]], "")</f>
        <v>0.17695473251028807</v>
      </c>
      <c r="AZ113" s="325" t="str" cm="1">
        <f t="array" ref="AZ11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3" s="292" cm="1">
        <f t="array" ref="BA113">IFERROR(IF(tblPiNAnalysis[[#This Row],[ID]]="", "", INDEX(tblPiNHistorical[[CCCM]:[WASH]], MATCH(tblPiNAnalysis[[#This Row],[ID]],tblPiNHistorical[ID], 0),MATCH(_xlfn._xlws.FILTER(tblPiNAnalysis[[#Headers],[CCCM]:[WASH]], tblPiNAnalysis[[#This Row],[Highest PiN]]=tblPiNAnalysis[[#This Row],[CCCM]:[WASH]]), tblPiNHistorical[[#Headers],[CCCM]:[WASH]], 0))), "")</f>
        <v>0.1</v>
      </c>
      <c r="BB113" s="328" t="str" cm="1">
        <f t="array" ref="BB11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3" s="272" cm="1">
        <f t="array" ref="BC113">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113" s="329" t="str" cm="1">
        <f t="array" ref="BD11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3" s="371">
        <f>INDEX(tblSeverityAnalysis[Final Severity], MATCH(tblPiNAnalysis[[#This Row],[ID]],tblSeverityAnalysis[ID], 0))</f>
        <v>2</v>
      </c>
      <c r="BF113" s="60">
        <f>IF(tblPiNAnalysis[[#This Row],[Severity]]&gt;2,tblPiNAnalysis[[#This Row],[Highest PiN]],)</f>
        <v>0</v>
      </c>
      <c r="BG113" s="187"/>
      <c r="BH113" s="188"/>
      <c r="BI113" s="189">
        <f>COUNTIFS(tblPiNAnalysis[[#This Row],[Number of missing / zero PiNs greater than threshold - Data quality]:[Manual Flag]],"Flagged")</f>
        <v>0</v>
      </c>
      <c r="BJ113" s="346" t="str">
        <f>IF(tblPiNAnalysis[[#This Row],['# Flags]]&gt;0, "Flagged", "")</f>
        <v/>
      </c>
      <c r="BK113" s="339">
        <f>tblPiNAnalysis[[#This Row],[Preliminary PiN]]</f>
        <v>0</v>
      </c>
      <c r="BL113" s="326"/>
      <c r="BM113" s="383">
        <f>IF(OR(tblPiNAnalysis[[#This Row],[Severity]]=4,tblPiNAnalysis[[#This Row],[Severity]]=5),tblPiNAnalysis[[#This Row],[Final PiN]],0)</f>
        <v>0</v>
      </c>
      <c r="BN113" s="378">
        <f>IF(OR(tblPiNAnalysis[[#This Row],[Severity]]=4,tblPiNAnalysis[[#This Row],[Severity]]=5),100%, IF(tblPiNAnalysis[[#This Row],[Severity]]=3,50%,0%))*tblPiNAnalysis[[#This Row],[Final PiN]]</f>
        <v>0</v>
      </c>
      <c r="BO113" s="383">
        <f>IF(OR(tblPiNAnalysis[[#This Row],[Severity]]=4,tblPiNAnalysis[[#This Row],[Severity]]=5),100%, IF(AND(tblPiNAnalysis[[#This Row],[Severity]]=3,VLOOKUP(tblPiNAnalysis[[#This Row],[ID]],tblSeverityAnalysis[[ID]:[Highest Severity]],35,FALSE)&gt;3),50%,0%))*tblPiNAnalysis[[#This Row],[Final PiN]]</f>
        <v>0</v>
      </c>
    </row>
    <row r="114" spans="1:67" ht="24.6" hidden="1">
      <c r="A11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Global_PopulationHT0814</v>
      </c>
      <c r="B114" s="304" t="s">
        <v>383</v>
      </c>
      <c r="C114" s="213" t="s">
        <v>384</v>
      </c>
      <c r="D114" s="213" t="s">
        <v>391</v>
      </c>
      <c r="E114" s="103" t="s">
        <v>392</v>
      </c>
      <c r="F114" s="99"/>
      <c r="G114" s="34"/>
      <c r="H114" s="357"/>
      <c r="I114" s="354">
        <v>36686</v>
      </c>
      <c r="J114" s="221" t="s">
        <v>156</v>
      </c>
      <c r="K114" s="316">
        <v>9367.5</v>
      </c>
      <c r="L114" s="308">
        <v>3588</v>
      </c>
      <c r="M114" s="308">
        <v>3354</v>
      </c>
      <c r="N114" s="308">
        <v>21821</v>
      </c>
      <c r="O114" s="308">
        <v>15612.5</v>
      </c>
      <c r="P114" s="308">
        <v>5044.0384615384619</v>
      </c>
      <c r="Q114" s="309">
        <v>18694</v>
      </c>
      <c r="R114" s="308">
        <v>6245</v>
      </c>
      <c r="S114" s="308"/>
      <c r="T114" s="308"/>
      <c r="U114" s="308"/>
      <c r="V114" s="308"/>
      <c r="W114" s="317">
        <f>IFERROR(IF(tblPiNAnalysis[[#This Row],[CCCM]]="", "", MROUND(tblPiNAnalysis[[#This Row],[CCCM]]/tblPiNAnalysis[[#This Row],[Population]], 0.05)), "")</f>
        <v>0.25</v>
      </c>
      <c r="X114" s="318">
        <f>IFERROR(IF(tblPiNAnalysis[[#This Row],[Education]]="", "", MROUND(tblPiNAnalysis[[#This Row],[Education]]/tblPiNAnalysis[[#This Row],[Population]], 0.05)), "")</f>
        <v>0.1</v>
      </c>
      <c r="Y114" s="318">
        <f>IFERROR(IF(tblPiNAnalysis[[#This Row],[Nutrition]]="", "", MROUND(tblPiNAnalysis[[#This Row],[Nutrition]]/tblPiNAnalysis[[#This Row],[Population]], 0.05)), "")</f>
        <v>0.1</v>
      </c>
      <c r="Z114" s="318">
        <f>IFERROR(IF(tblPiNAnalysis[[#This Row],[Food Security]]="", "", MROUND(tblPiNAnalysis[[#This Row],[Food Security]]/tblPiNAnalysis[[#This Row],[Population]], 0.05)), "")</f>
        <v>0.60000000000000009</v>
      </c>
      <c r="AA114" s="318">
        <f>IFERROR(IF(tblPiNAnalysis[[#This Row],[Health]]="", "", MROUND(tblPiNAnalysis[[#This Row],[Health]]/tblPiNAnalysis[[#This Row],[Population]], 0.05)), "")</f>
        <v>0.45</v>
      </c>
      <c r="AB114" s="319">
        <f>IFERROR(IF(tblPiNAnalysis[[#This Row],[Protection]]="", "", MROUND(tblPiNAnalysis[[#This Row],[Protection]]/tblPiNAnalysis[[#This Row],[Population]], 0.05)), "")</f>
        <v>0.15000000000000002</v>
      </c>
      <c r="AC114" s="319">
        <f>IFERROR(IF(tblPiNAnalysis[[#This Row],[Shelter]]="", "", MROUND(tblPiNAnalysis[[#This Row],[Shelter]]/tblPiNAnalysis[[#This Row],[Population]], 0.05)), "")</f>
        <v>0.5</v>
      </c>
      <c r="AD114" s="320">
        <f>IFERROR(IF(tblPiNAnalysis[[#This Row],[WASH]]="", "", MROUND(tblPiNAnalysis[[#This Row],[WASH]]/tblPiNAnalysis[[#This Row],[Population]], 0.05)), "")</f>
        <v>0.15000000000000002</v>
      </c>
      <c r="AE114" s="318">
        <f>IFERROR(MROUND(tblPiNAnalysis[[#This Row],[CP]]/tblPiNAnalysis[[#This Row],[Population]], 0.05), "")</f>
        <v>0</v>
      </c>
      <c r="AF114" s="318">
        <f>IFERROR(MROUND(tblPiNAnalysis[[#This Row],[GBV]]/tblPiNAnalysis[[#This Row],[Population]], 0.05), "")</f>
        <v>0</v>
      </c>
      <c r="AG114" s="318">
        <f>IFERROR(MROUND(tblPiNAnalysis[[#This Row],[Migrants]]/tblPiNAnalysis[[#This Row],[Population]], 0.05), "")</f>
        <v>0</v>
      </c>
      <c r="AH114" s="318">
        <f>IFERROR(MROUND(tblPiNAnalysis[[#This Row],[_]]/tblPiNAnalysis[[#This Row],[Population]], 0.05), "")</f>
        <v>0</v>
      </c>
      <c r="AI114" s="321">
        <f>IFERROR(LARGE(tblPiNAnalysis[[#This Row],[CCCM]:[WASH]], 1), "")</f>
        <v>21821</v>
      </c>
      <c r="AJ114" s="322" t="str" cm="1">
        <f t="array" ref="AJ114">IF(tblPiNAnalysis[[#This Row],[Highest PiN]]="", "", _xlfn.TEXTJOIN(CHAR(10), TRUE, IF(tblPiNAnalysis[[#This Row],[Highest PiN]]=tblPiNAnalysis[[#This Row],[CCCM]:[WASH]], tblPiNAnalysis[[#Headers],[CCCM]:[WASH]], "")))</f>
        <v>Food Security</v>
      </c>
      <c r="AK114" s="323">
        <f>IF(tblPiNAnalysis[[#This Row],[Highest PiN]]="", "", tblPiNAnalysis[[#This Row],[Highest PiN]]/tblPiNAnalysis[[#This Row],[Population]])</f>
        <v>0.59480455759690343</v>
      </c>
      <c r="AL114" s="265" t="str">
        <f>IF(SUM(tblPiNAnalysis[[#This Row],[CCCM]:[WASH]])=0, "",IF(COUNTIF(tblPiNAnalysis[[#This Row],[CCCM]:[WASH]],"=0")+COUNTIF(tblPiNAnalysis[[#This Row],[CCCM]:[WASH]],"")&gt;=zero_pin_thresh, "Flagged", ""))</f>
        <v/>
      </c>
      <c r="AM114" s="264" t="str">
        <f>IFERROR(IF(tblPiNAnalysis[[#This Row],[Highest PiN]]="", "", IF(tblPiNAnalysis[[#This Row],[Highest sector(s'') PiN %]]&gt;=flag_pin_perc, "Flagged", "")), "")</f>
        <v/>
      </c>
      <c r="AN114" s="266" t="str" cm="1">
        <f t="array" ref="AN114">IF(tblPiNAnalysis[[#This Row],[Highest PiN]]=0, "",  IF(OR(COUNTIF(tblPiNAnalysis[[#This Row],[Highest sector(s)]],tblSubSectorPopulation[Sector])), "Flagged", ""))</f>
        <v/>
      </c>
      <c r="AO114" s="45" cm="1">
        <f t="array" ref="AO11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18694</v>
      </c>
      <c r="AP114" s="326" t="str" cm="1">
        <f t="array" ref="AP114">IF(tblPiNAnalysis[[#This Row],[2nd Highest PiN]]="", "", _xlfn.TEXTJOIN(CHAR(10), TRUE, IF(tblPiNAnalysis[[#This Row],[2nd Highest PiN]]=tblPiNAnalysis[[#This Row],[CCCM]:[WASH]], tblPiNAnalysis[[#Headers],[CCCM]:[WASH]], "")))</f>
        <v>Shelter</v>
      </c>
      <c r="AQ114" s="35">
        <f>IFERROR(tblPiNAnalysis[[#This Row],[2nd Highest PiN]]/tblPiNAnalysis[[#This Row],[Population]], "")</f>
        <v>0.50956768249468465</v>
      </c>
      <c r="AR114" s="45">
        <f>IFERROR(tblPiNAnalysis[[#This Row],[Highest PiN]]-tblPiNAnalysis[[#This Row],[2nd Highest PiN]], "")</f>
        <v>3127</v>
      </c>
      <c r="AS114" s="38">
        <f>IFERROR(((tblPiNAnalysis[[#This Row],[Highest PiN]]-tblPiNAnalysis[[#This Row],[2nd Highest PiN]])/tblPiNAnalysis[[#This Row],[2nd Highest PiN]]),"")</f>
        <v>0.1672729217930887</v>
      </c>
      <c r="AT114" s="269" t="str" cm="1">
        <f t="array" ref="AT11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4" s="327" cm="1">
        <f t="array" ref="AU11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15612.5</v>
      </c>
      <c r="AV114" s="186" t="str" cm="1">
        <f t="array" ref="AV114">IF(tblPiNAnalysis[[#This Row],[3rd Highest PiN]]="", "", _xlfn.TEXTJOIN(CHAR(10), TRUE, IF(tblPiNAnalysis[[#This Row],[3rd Highest PiN]]=tblPiNAnalysis[[#This Row],[CCCM]:[WASH]], tblPiNAnalysis[[#Headers],[CCCM]:[WASH]], "")))</f>
        <v>Health</v>
      </c>
      <c r="AW114" s="186">
        <f>IFERROR(tblPiNAnalysis[[#This Row],[3rd Highest PiN]]/tblPiNAnalysis[[#This Row],[Population]], "")</f>
        <v>0.42557106253066562</v>
      </c>
      <c r="AX114" s="44">
        <f>IFERROR(tblPiNAnalysis[[#This Row],[Highest PiN]]-tblPiNAnalysis[[#This Row],[3rd Highest PiN]],"")</f>
        <v>6208.5</v>
      </c>
      <c r="AY114" s="38">
        <f>IFERROR(tblPiNAnalysis[[#This Row],[Difference of PiN between Highest and 3rd Highest]]/tblPiNAnalysis[[#This Row],[3rd Highest PiN]], "")</f>
        <v>0.39766212970376302</v>
      </c>
      <c r="AZ114" s="325" t="str" cm="1">
        <f t="array" ref="AZ11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4" s="292" cm="1">
        <f t="array" ref="BA114">IFERROR(IF(tblPiNAnalysis[[#This Row],[ID]]="", "", INDEX(tblPiNHistorical[[CCCM]:[WASH]], MATCH(tblPiNAnalysis[[#This Row],[ID]],tblPiNHistorical[ID], 0),MATCH(_xlfn._xlws.FILTER(tblPiNAnalysis[[#Headers],[CCCM]:[WASH]], tblPiNAnalysis[[#This Row],[Highest PiN]]=tblPiNAnalysis[[#This Row],[CCCM]:[WASH]]), tblPiNHistorical[[#Headers],[CCCM]:[WASH]], 0))), "")</f>
        <v>0.1</v>
      </c>
      <c r="BB114" s="328" t="str" cm="1">
        <f t="array" ref="BB11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4" s="272" cm="1">
        <f t="array" ref="BC114">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14" s="329" t="str" cm="1">
        <f t="array" ref="BD11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4" s="371">
        <f>INDEX(tblSeverityAnalysis[Final Severity], MATCH(tblPiNAnalysis[[#This Row],[ID]],tblSeverityAnalysis[ID], 0))</f>
        <v>3</v>
      </c>
      <c r="BF114" s="60">
        <f>IF(tblPiNAnalysis[[#This Row],[Severity]]&gt;2,tblPiNAnalysis[[#This Row],[Highest PiN]],)</f>
        <v>21821</v>
      </c>
      <c r="BG114" s="187"/>
      <c r="BH114" s="188"/>
      <c r="BI114" s="189">
        <f>COUNTIFS(tblPiNAnalysis[[#This Row],[Number of missing / zero PiNs greater than threshold - Data quality]:[Manual Flag]],"Flagged")</f>
        <v>0</v>
      </c>
      <c r="BJ114" s="346" t="str">
        <f>IF(tblPiNAnalysis[[#This Row],['# Flags]]&gt;0, "Flagged", "")</f>
        <v/>
      </c>
      <c r="BK114" s="339">
        <f>tblPiNAnalysis[[#This Row],[Preliminary PiN]]</f>
        <v>21821</v>
      </c>
      <c r="BL114" s="326"/>
      <c r="BM114" s="383">
        <f>IF(OR(tblPiNAnalysis[[#This Row],[Severity]]=4,tblPiNAnalysis[[#This Row],[Severity]]=5),tblPiNAnalysis[[#This Row],[Final PiN]],0)</f>
        <v>0</v>
      </c>
      <c r="BN114" s="378">
        <f>IF(OR(tblPiNAnalysis[[#This Row],[Severity]]=4,tblPiNAnalysis[[#This Row],[Severity]]=5),100%, IF(tblPiNAnalysis[[#This Row],[Severity]]=3,50%,0%))*tblPiNAnalysis[[#This Row],[Final PiN]]</f>
        <v>10910.5</v>
      </c>
      <c r="BO114" s="383">
        <f>IF(OR(tblPiNAnalysis[[#This Row],[Severity]]=4,tblPiNAnalysis[[#This Row],[Severity]]=5),100%, IF(AND(tblPiNAnalysis[[#This Row],[Severity]]=3,VLOOKUP(tblPiNAnalysis[[#This Row],[ID]],tblSeverityAnalysis[[ID]:[Highest Severity]],35,FALSE)&gt;3),50%,0%))*tblPiNAnalysis[[#This Row],[Final PiN]]</f>
        <v>0</v>
      </c>
    </row>
    <row r="115" spans="1:67" ht="24.6" hidden="1">
      <c r="A11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Global_PopulationHT0815</v>
      </c>
      <c r="B115" s="304" t="s">
        <v>383</v>
      </c>
      <c r="C115" s="213" t="s">
        <v>384</v>
      </c>
      <c r="D115" s="213" t="s">
        <v>393</v>
      </c>
      <c r="E115" s="103" t="s">
        <v>394</v>
      </c>
      <c r="F115" s="99"/>
      <c r="G115" s="34"/>
      <c r="H115" s="357"/>
      <c r="I115" s="354">
        <v>35368</v>
      </c>
      <c r="J115" s="221" t="s">
        <v>156</v>
      </c>
      <c r="K115" s="316">
        <v>12750</v>
      </c>
      <c r="L115" s="308">
        <v>3753</v>
      </c>
      <c r="M115" s="308">
        <v>3353</v>
      </c>
      <c r="N115" s="308">
        <v>19335</v>
      </c>
      <c r="O115" s="308">
        <v>10272.420635294118</v>
      </c>
      <c r="P115" s="308">
        <v>4268.96</v>
      </c>
      <c r="Q115" s="309">
        <v>0</v>
      </c>
      <c r="R115" s="308">
        <v>11784.509999999998</v>
      </c>
      <c r="S115" s="308"/>
      <c r="T115" s="308"/>
      <c r="U115" s="308"/>
      <c r="V115" s="308"/>
      <c r="W115" s="317">
        <f>IFERROR(IF(tblPiNAnalysis[[#This Row],[CCCM]]="", "", MROUND(tblPiNAnalysis[[#This Row],[CCCM]]/tblPiNAnalysis[[#This Row],[Population]], 0.05)), "")</f>
        <v>0.35000000000000003</v>
      </c>
      <c r="X115" s="318">
        <f>IFERROR(IF(tblPiNAnalysis[[#This Row],[Education]]="", "", MROUND(tblPiNAnalysis[[#This Row],[Education]]/tblPiNAnalysis[[#This Row],[Population]], 0.05)), "")</f>
        <v>0.1</v>
      </c>
      <c r="Y115" s="318">
        <f>IFERROR(IF(tblPiNAnalysis[[#This Row],[Nutrition]]="", "", MROUND(tblPiNAnalysis[[#This Row],[Nutrition]]/tblPiNAnalysis[[#This Row],[Population]], 0.05)), "")</f>
        <v>0.1</v>
      </c>
      <c r="Z115" s="318">
        <f>IFERROR(IF(tblPiNAnalysis[[#This Row],[Food Security]]="", "", MROUND(tblPiNAnalysis[[#This Row],[Food Security]]/tblPiNAnalysis[[#This Row],[Population]], 0.05)), "")</f>
        <v>0.55000000000000004</v>
      </c>
      <c r="AA115" s="318">
        <f>IFERROR(IF(tblPiNAnalysis[[#This Row],[Health]]="", "", MROUND(tblPiNAnalysis[[#This Row],[Health]]/tblPiNAnalysis[[#This Row],[Population]], 0.05)), "")</f>
        <v>0.30000000000000004</v>
      </c>
      <c r="AB115" s="319">
        <f>IFERROR(IF(tblPiNAnalysis[[#This Row],[Protection]]="", "", MROUND(tblPiNAnalysis[[#This Row],[Protection]]/tblPiNAnalysis[[#This Row],[Population]], 0.05)), "")</f>
        <v>0.1</v>
      </c>
      <c r="AC115" s="319">
        <f>IFERROR(IF(tblPiNAnalysis[[#This Row],[Shelter]]="", "", MROUND(tblPiNAnalysis[[#This Row],[Shelter]]/tblPiNAnalysis[[#This Row],[Population]], 0.05)), "")</f>
        <v>0</v>
      </c>
      <c r="AD115" s="320">
        <f>IFERROR(IF(tblPiNAnalysis[[#This Row],[WASH]]="", "", MROUND(tblPiNAnalysis[[#This Row],[WASH]]/tblPiNAnalysis[[#This Row],[Population]], 0.05)), "")</f>
        <v>0.35000000000000003</v>
      </c>
      <c r="AE115" s="318">
        <f>IFERROR(MROUND(tblPiNAnalysis[[#This Row],[CP]]/tblPiNAnalysis[[#This Row],[Population]], 0.05), "")</f>
        <v>0</v>
      </c>
      <c r="AF115" s="318">
        <f>IFERROR(MROUND(tblPiNAnalysis[[#This Row],[GBV]]/tblPiNAnalysis[[#This Row],[Population]], 0.05), "")</f>
        <v>0</v>
      </c>
      <c r="AG115" s="318">
        <f>IFERROR(MROUND(tblPiNAnalysis[[#This Row],[Migrants]]/tblPiNAnalysis[[#This Row],[Population]], 0.05), "")</f>
        <v>0</v>
      </c>
      <c r="AH115" s="318">
        <f>IFERROR(MROUND(tblPiNAnalysis[[#This Row],[_]]/tblPiNAnalysis[[#This Row],[Population]], 0.05), "")</f>
        <v>0</v>
      </c>
      <c r="AI115" s="321">
        <f>IFERROR(LARGE(tblPiNAnalysis[[#This Row],[CCCM]:[WASH]], 1), "")</f>
        <v>19335</v>
      </c>
      <c r="AJ115" s="322" t="str" cm="1">
        <f t="array" ref="AJ115">IF(tblPiNAnalysis[[#This Row],[Highest PiN]]="", "", _xlfn.TEXTJOIN(CHAR(10), TRUE, IF(tblPiNAnalysis[[#This Row],[Highest PiN]]=tblPiNAnalysis[[#This Row],[CCCM]:[WASH]], tblPiNAnalysis[[#Headers],[CCCM]:[WASH]], "")))</f>
        <v>Food Security</v>
      </c>
      <c r="AK115" s="323">
        <f>IF(tblPiNAnalysis[[#This Row],[Highest PiN]]="", "", tblPiNAnalysis[[#This Row],[Highest PiN]]/tblPiNAnalysis[[#This Row],[Population]])</f>
        <v>0.54668061524541955</v>
      </c>
      <c r="AL115" s="265" t="str">
        <f>IF(SUM(tblPiNAnalysis[[#This Row],[CCCM]:[WASH]])=0, "",IF(COUNTIF(tblPiNAnalysis[[#This Row],[CCCM]:[WASH]],"=0")+COUNTIF(tblPiNAnalysis[[#This Row],[CCCM]:[WASH]],"")&gt;=zero_pin_thresh, "Flagged", ""))</f>
        <v/>
      </c>
      <c r="AM115" s="264" t="str">
        <f>IFERROR(IF(tblPiNAnalysis[[#This Row],[Highest PiN]]="", "", IF(tblPiNAnalysis[[#This Row],[Highest sector(s'') PiN %]]&gt;=flag_pin_perc, "Flagged", "")), "")</f>
        <v/>
      </c>
      <c r="AN115" s="266" t="str" cm="1">
        <f t="array" ref="AN115">IF(tblPiNAnalysis[[#This Row],[Highest PiN]]=0, "",  IF(OR(COUNTIF(tblPiNAnalysis[[#This Row],[Highest sector(s)]],tblSubSectorPopulation[Sector])), "Flagged", ""))</f>
        <v/>
      </c>
      <c r="AO115" s="45" cm="1">
        <f t="array" ref="AO11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12750</v>
      </c>
      <c r="AP115" s="326" t="str" cm="1">
        <f t="array" ref="AP115">IF(tblPiNAnalysis[[#This Row],[2nd Highest PiN]]="", "", _xlfn.TEXTJOIN(CHAR(10), TRUE, IF(tblPiNAnalysis[[#This Row],[2nd Highest PiN]]=tblPiNAnalysis[[#This Row],[CCCM]:[WASH]], tblPiNAnalysis[[#Headers],[CCCM]:[WASH]], "")))</f>
        <v>CCCM</v>
      </c>
      <c r="AQ115" s="35">
        <f>IFERROR(tblPiNAnalysis[[#This Row],[2nd Highest PiN]]/tblPiNAnalysis[[#This Row],[Population]], "")</f>
        <v>0.36049536304003621</v>
      </c>
      <c r="AR115" s="45">
        <f>IFERROR(tblPiNAnalysis[[#This Row],[Highest PiN]]-tblPiNAnalysis[[#This Row],[2nd Highest PiN]], "")</f>
        <v>6585</v>
      </c>
      <c r="AS115" s="38">
        <f>IFERROR(((tblPiNAnalysis[[#This Row],[Highest PiN]]-tblPiNAnalysis[[#This Row],[2nd Highest PiN]])/tblPiNAnalysis[[#This Row],[2nd Highest PiN]]),"")</f>
        <v>0.51647058823529413</v>
      </c>
      <c r="AT115" s="269" t="str" cm="1">
        <f t="array" ref="AT11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15" s="327" cm="1">
        <f t="array" ref="AU11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11784.509999999998</v>
      </c>
      <c r="AV115" s="186" t="str" cm="1">
        <f t="array" ref="AV115">IF(tblPiNAnalysis[[#This Row],[3rd Highest PiN]]="", "", _xlfn.TEXTJOIN(CHAR(10), TRUE, IF(tblPiNAnalysis[[#This Row],[3rd Highest PiN]]=tblPiNAnalysis[[#This Row],[CCCM]:[WASH]], tblPiNAnalysis[[#Headers],[CCCM]:[WASH]], "")))</f>
        <v>WASH</v>
      </c>
      <c r="AW115" s="186">
        <f>IFERROR(tblPiNAnalysis[[#This Row],[3rd Highest PiN]]/tblPiNAnalysis[[#This Row],[Population]], "")</f>
        <v>0.33319695770187735</v>
      </c>
      <c r="AX115" s="44">
        <f>IFERROR(tblPiNAnalysis[[#This Row],[Highest PiN]]-tblPiNAnalysis[[#This Row],[3rd Highest PiN]],"")</f>
        <v>7550.4900000000016</v>
      </c>
      <c r="AY115" s="38">
        <f>IFERROR(tblPiNAnalysis[[#This Row],[Difference of PiN between Highest and 3rd Highest]]/tblPiNAnalysis[[#This Row],[3rd Highest PiN]], "")</f>
        <v>0.64071310559369909</v>
      </c>
      <c r="AZ115" s="325" t="str" cm="1">
        <f t="array" ref="AZ11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5" s="292" cm="1">
        <f t="array" ref="BA115">IFERROR(IF(tblPiNAnalysis[[#This Row],[ID]]="", "", INDEX(tblPiNHistorical[[CCCM]:[WASH]], MATCH(tblPiNAnalysis[[#This Row],[ID]],tblPiNHistorical[ID], 0),MATCH(_xlfn._xlws.FILTER(tblPiNAnalysis[[#Headers],[CCCM]:[WASH]], tblPiNAnalysis[[#This Row],[Highest PiN]]=tblPiNAnalysis[[#This Row],[CCCM]:[WASH]]), tblPiNHistorical[[#Headers],[CCCM]:[WASH]], 0))), "")</f>
        <v>0.1</v>
      </c>
      <c r="BB115" s="328" t="str" cm="1">
        <f t="array" ref="BB11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5" s="272" cm="1">
        <f t="array" ref="BC115">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15" s="329" t="str" cm="1">
        <f t="array" ref="BD11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5" s="371">
        <f>INDEX(tblSeverityAnalysis[Final Severity], MATCH(tblPiNAnalysis[[#This Row],[ID]],tblSeverityAnalysis[ID], 0))</f>
        <v>2</v>
      </c>
      <c r="BF115" s="60">
        <f>IF(tblPiNAnalysis[[#This Row],[Severity]]&gt;2,tblPiNAnalysis[[#This Row],[Highest PiN]],)</f>
        <v>0</v>
      </c>
      <c r="BG115" s="187"/>
      <c r="BH115" s="188"/>
      <c r="BI115" s="189">
        <f>COUNTIFS(tblPiNAnalysis[[#This Row],[Number of missing / zero PiNs greater than threshold - Data quality]:[Manual Flag]],"Flagged")</f>
        <v>1</v>
      </c>
      <c r="BJ115" s="346" t="str">
        <f>IF(tblPiNAnalysis[[#This Row],['# Flags]]&gt;0, "Flagged", "")</f>
        <v>Flagged</v>
      </c>
      <c r="BK115" s="339">
        <f>tblPiNAnalysis[[#This Row],[Preliminary PiN]]</f>
        <v>0</v>
      </c>
      <c r="BL115" s="326"/>
      <c r="BM115" s="383">
        <f>IF(OR(tblPiNAnalysis[[#This Row],[Severity]]=4,tblPiNAnalysis[[#This Row],[Severity]]=5),tblPiNAnalysis[[#This Row],[Final PiN]],0)</f>
        <v>0</v>
      </c>
      <c r="BN115" s="378">
        <f>IF(OR(tblPiNAnalysis[[#This Row],[Severity]]=4,tblPiNAnalysis[[#This Row],[Severity]]=5),100%, IF(tblPiNAnalysis[[#This Row],[Severity]]=3,50%,0%))*tblPiNAnalysis[[#This Row],[Final PiN]]</f>
        <v>0</v>
      </c>
      <c r="BO115" s="383">
        <f>IF(OR(tblPiNAnalysis[[#This Row],[Severity]]=4,tblPiNAnalysis[[#This Row],[Severity]]=5),100%, IF(AND(tblPiNAnalysis[[#This Row],[Severity]]=3,VLOOKUP(tblPiNAnalysis[[#This Row],[ID]],tblSeverityAnalysis[[ID]:[Highest Severity]],35,FALSE)&gt;3),50%,0%))*tblPiNAnalysis[[#This Row],[Final PiN]]</f>
        <v>0</v>
      </c>
    </row>
    <row r="116" spans="1:67" ht="24.6" hidden="1">
      <c r="A11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Global_PopulationHT0821</v>
      </c>
      <c r="B116" s="304" t="s">
        <v>383</v>
      </c>
      <c r="C116" s="213" t="s">
        <v>384</v>
      </c>
      <c r="D116" s="213" t="s">
        <v>395</v>
      </c>
      <c r="E116" s="103" t="s">
        <v>396</v>
      </c>
      <c r="F116" s="99"/>
      <c r="G116" s="34"/>
      <c r="H116" s="357"/>
      <c r="I116" s="354">
        <v>49099</v>
      </c>
      <c r="J116" s="221" t="s">
        <v>156</v>
      </c>
      <c r="K116" s="316">
        <v>26805</v>
      </c>
      <c r="L116" s="308">
        <v>4862</v>
      </c>
      <c r="M116" s="308">
        <v>5153</v>
      </c>
      <c r="N116" s="308">
        <v>24666</v>
      </c>
      <c r="O116" s="308">
        <v>32392.962384522179</v>
      </c>
      <c r="P116" s="308">
        <v>14402.26</v>
      </c>
      <c r="Q116" s="309">
        <v>27835</v>
      </c>
      <c r="R116" s="308">
        <v>17870</v>
      </c>
      <c r="S116" s="308"/>
      <c r="T116" s="308"/>
      <c r="U116" s="308"/>
      <c r="V116" s="308"/>
      <c r="W116" s="317">
        <f>IFERROR(IF(tblPiNAnalysis[[#This Row],[CCCM]]="", "", MROUND(tblPiNAnalysis[[#This Row],[CCCM]]/tblPiNAnalysis[[#This Row],[Population]], 0.05)), "")</f>
        <v>0.55000000000000004</v>
      </c>
      <c r="X116" s="318">
        <f>IFERROR(IF(tblPiNAnalysis[[#This Row],[Education]]="", "", MROUND(tblPiNAnalysis[[#This Row],[Education]]/tblPiNAnalysis[[#This Row],[Population]], 0.05)), "")</f>
        <v>0.1</v>
      </c>
      <c r="Y116" s="318">
        <f>IFERROR(IF(tblPiNAnalysis[[#This Row],[Nutrition]]="", "", MROUND(tblPiNAnalysis[[#This Row],[Nutrition]]/tblPiNAnalysis[[#This Row],[Population]], 0.05)), "")</f>
        <v>0.1</v>
      </c>
      <c r="Z116" s="318">
        <f>IFERROR(IF(tblPiNAnalysis[[#This Row],[Food Security]]="", "", MROUND(tblPiNAnalysis[[#This Row],[Food Security]]/tblPiNAnalysis[[#This Row],[Population]], 0.05)), "")</f>
        <v>0.5</v>
      </c>
      <c r="AA116" s="318">
        <f>IFERROR(IF(tblPiNAnalysis[[#This Row],[Health]]="", "", MROUND(tblPiNAnalysis[[#This Row],[Health]]/tblPiNAnalysis[[#This Row],[Population]], 0.05)), "")</f>
        <v>0.65</v>
      </c>
      <c r="AB116" s="319">
        <f>IFERROR(IF(tblPiNAnalysis[[#This Row],[Protection]]="", "", MROUND(tblPiNAnalysis[[#This Row],[Protection]]/tblPiNAnalysis[[#This Row],[Population]], 0.05)), "")</f>
        <v>0.30000000000000004</v>
      </c>
      <c r="AC116" s="319">
        <f>IFERROR(IF(tblPiNAnalysis[[#This Row],[Shelter]]="", "", MROUND(tblPiNAnalysis[[#This Row],[Shelter]]/tblPiNAnalysis[[#This Row],[Population]], 0.05)), "")</f>
        <v>0.55000000000000004</v>
      </c>
      <c r="AD116" s="320">
        <f>IFERROR(IF(tblPiNAnalysis[[#This Row],[WASH]]="", "", MROUND(tblPiNAnalysis[[#This Row],[WASH]]/tblPiNAnalysis[[#This Row],[Population]], 0.05)), "")</f>
        <v>0.35000000000000003</v>
      </c>
      <c r="AE116" s="318">
        <f>IFERROR(MROUND(tblPiNAnalysis[[#This Row],[CP]]/tblPiNAnalysis[[#This Row],[Population]], 0.05), "")</f>
        <v>0</v>
      </c>
      <c r="AF116" s="318">
        <f>IFERROR(MROUND(tblPiNAnalysis[[#This Row],[GBV]]/tblPiNAnalysis[[#This Row],[Population]], 0.05), "")</f>
        <v>0</v>
      </c>
      <c r="AG116" s="318">
        <f>IFERROR(MROUND(tblPiNAnalysis[[#This Row],[Migrants]]/tblPiNAnalysis[[#This Row],[Population]], 0.05), "")</f>
        <v>0</v>
      </c>
      <c r="AH116" s="318">
        <f>IFERROR(MROUND(tblPiNAnalysis[[#This Row],[_]]/tblPiNAnalysis[[#This Row],[Population]], 0.05), "")</f>
        <v>0</v>
      </c>
      <c r="AI116" s="321">
        <f>IFERROR(LARGE(tblPiNAnalysis[[#This Row],[CCCM]:[WASH]], 1), "")</f>
        <v>32392.962384522179</v>
      </c>
      <c r="AJ116" s="322" t="str" cm="1">
        <f t="array" ref="AJ116">IF(tblPiNAnalysis[[#This Row],[Highest PiN]]="", "", _xlfn.TEXTJOIN(CHAR(10), TRUE, IF(tblPiNAnalysis[[#This Row],[Highest PiN]]=tblPiNAnalysis[[#This Row],[CCCM]:[WASH]], tblPiNAnalysis[[#Headers],[CCCM]:[WASH]], "")))</f>
        <v>Health</v>
      </c>
      <c r="AK116" s="323">
        <f>IF(tblPiNAnalysis[[#This Row],[Highest PiN]]="", "", tblPiNAnalysis[[#This Row],[Highest PiN]]/tblPiNAnalysis[[#This Row],[Population]])</f>
        <v>0.65974790493741586</v>
      </c>
      <c r="AL116" s="265" t="str">
        <f>IF(SUM(tblPiNAnalysis[[#This Row],[CCCM]:[WASH]])=0, "",IF(COUNTIF(tblPiNAnalysis[[#This Row],[CCCM]:[WASH]],"=0")+COUNTIF(tblPiNAnalysis[[#This Row],[CCCM]:[WASH]],"")&gt;=zero_pin_thresh, "Flagged", ""))</f>
        <v/>
      </c>
      <c r="AM116" s="264" t="str">
        <f>IFERROR(IF(tblPiNAnalysis[[#This Row],[Highest PiN]]="", "", IF(tblPiNAnalysis[[#This Row],[Highest sector(s'') PiN %]]&gt;=flag_pin_perc, "Flagged", "")), "")</f>
        <v/>
      </c>
      <c r="AN116" s="266" t="str" cm="1">
        <f t="array" ref="AN116">IF(tblPiNAnalysis[[#This Row],[Highest PiN]]=0, "",  IF(OR(COUNTIF(tblPiNAnalysis[[#This Row],[Highest sector(s)]],tblSubSectorPopulation[Sector])), "Flagged", ""))</f>
        <v/>
      </c>
      <c r="AO116" s="45" cm="1">
        <f t="array" ref="AO11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27835</v>
      </c>
      <c r="AP116" s="326" t="str" cm="1">
        <f t="array" ref="AP116">IF(tblPiNAnalysis[[#This Row],[2nd Highest PiN]]="", "", _xlfn.TEXTJOIN(CHAR(10), TRUE, IF(tblPiNAnalysis[[#This Row],[2nd Highest PiN]]=tblPiNAnalysis[[#This Row],[CCCM]:[WASH]], tblPiNAnalysis[[#Headers],[CCCM]:[WASH]], "")))</f>
        <v>Shelter</v>
      </c>
      <c r="AQ116" s="35">
        <f>IFERROR(tblPiNAnalysis[[#This Row],[2nd Highest PiN]]/tblPiNAnalysis[[#This Row],[Population]], "")</f>
        <v>0.56691582313285405</v>
      </c>
      <c r="AR116" s="45">
        <f>IFERROR(tblPiNAnalysis[[#This Row],[Highest PiN]]-tblPiNAnalysis[[#This Row],[2nd Highest PiN]], "")</f>
        <v>4557.9623845221795</v>
      </c>
      <c r="AS116" s="38">
        <f>IFERROR(((tblPiNAnalysis[[#This Row],[Highest PiN]]-tblPiNAnalysis[[#This Row],[2nd Highest PiN]])/tblPiNAnalysis[[#This Row],[2nd Highest PiN]]),"")</f>
        <v>0.16374932223898614</v>
      </c>
      <c r="AT116" s="269" t="str" cm="1">
        <f t="array" ref="AT11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6" s="327" cm="1">
        <f t="array" ref="AU11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26805</v>
      </c>
      <c r="AV116" s="186" t="str" cm="1">
        <f t="array" ref="AV116">IF(tblPiNAnalysis[[#This Row],[3rd Highest PiN]]="", "", _xlfn.TEXTJOIN(CHAR(10), TRUE, IF(tblPiNAnalysis[[#This Row],[3rd Highest PiN]]=tblPiNAnalysis[[#This Row],[CCCM]:[WASH]], tblPiNAnalysis[[#Headers],[CCCM]:[WASH]], "")))</f>
        <v>CCCM</v>
      </c>
      <c r="AW116" s="186">
        <f>IFERROR(tblPiNAnalysis[[#This Row],[3rd Highest PiN]]/tblPiNAnalysis[[#This Row],[Population]], "")</f>
        <v>0.54593779914051199</v>
      </c>
      <c r="AX116" s="44">
        <f>IFERROR(tblPiNAnalysis[[#This Row],[Highest PiN]]-tblPiNAnalysis[[#This Row],[3rd Highest PiN]],"")</f>
        <v>5587.9623845221795</v>
      </c>
      <c r="AY116" s="38">
        <f>IFERROR(tblPiNAnalysis[[#This Row],[Difference of PiN between Highest and 3rd Highest]]/tblPiNAnalysis[[#This Row],[3rd Highest PiN]], "")</f>
        <v>0.20846716599597759</v>
      </c>
      <c r="AZ116" s="325" t="str" cm="1">
        <f t="array" ref="AZ11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6" s="292" cm="1">
        <f t="array" ref="BA116">IFERROR(IF(tblPiNAnalysis[[#This Row],[ID]]="", "", INDEX(tblPiNHistorical[[CCCM]:[WASH]], MATCH(tblPiNAnalysis[[#This Row],[ID]],tblPiNHistorical[ID], 0),MATCH(_xlfn._xlws.FILTER(tblPiNAnalysis[[#Headers],[CCCM]:[WASH]], tblPiNAnalysis[[#This Row],[Highest PiN]]=tblPiNAnalysis[[#This Row],[CCCM]:[WASH]]), tblPiNHistorical[[#Headers],[CCCM]:[WASH]], 0))), "")</f>
        <v>-0.2</v>
      </c>
      <c r="BB116" s="328" t="str" cm="1">
        <f t="array" ref="BB11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6" s="272" cm="1">
        <f t="array" ref="BC116">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16" s="329" t="str" cm="1">
        <f t="array" ref="BD11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6" s="371">
        <f>INDEX(tblSeverityAnalysis[Final Severity], MATCH(tblPiNAnalysis[[#This Row],[ID]],tblSeverityAnalysis[ID], 0))</f>
        <v>3</v>
      </c>
      <c r="BF116" s="60">
        <f>IF(tblPiNAnalysis[[#This Row],[Severity]]&gt;2,tblPiNAnalysis[[#This Row],[Highest PiN]],)</f>
        <v>32392.962384522179</v>
      </c>
      <c r="BG116" s="187"/>
      <c r="BH116" s="188"/>
      <c r="BI116" s="189">
        <f>COUNTIFS(tblPiNAnalysis[[#This Row],[Number of missing / zero PiNs greater than threshold - Data quality]:[Manual Flag]],"Flagged")</f>
        <v>0</v>
      </c>
      <c r="BJ116" s="346" t="str">
        <f>IF(tblPiNAnalysis[[#This Row],['# Flags]]&gt;0, "Flagged", "")</f>
        <v/>
      </c>
      <c r="BK116" s="339">
        <f>tblPiNAnalysis[[#This Row],[Preliminary PiN]]</f>
        <v>32392.962384522179</v>
      </c>
      <c r="BL116" s="326"/>
      <c r="BM116" s="383">
        <f>IF(OR(tblPiNAnalysis[[#This Row],[Severity]]=4,tblPiNAnalysis[[#This Row],[Severity]]=5),tblPiNAnalysis[[#This Row],[Final PiN]],0)</f>
        <v>0</v>
      </c>
      <c r="BN116" s="378">
        <f>IF(OR(tblPiNAnalysis[[#This Row],[Severity]]=4,tblPiNAnalysis[[#This Row],[Severity]]=5),100%, IF(tblPiNAnalysis[[#This Row],[Severity]]=3,50%,0%))*tblPiNAnalysis[[#This Row],[Final PiN]]</f>
        <v>16196.48119226109</v>
      </c>
      <c r="BO116" s="383">
        <f>IF(OR(tblPiNAnalysis[[#This Row],[Severity]]=4,tblPiNAnalysis[[#This Row],[Severity]]=5),100%, IF(AND(tblPiNAnalysis[[#This Row],[Severity]]=3,VLOOKUP(tblPiNAnalysis[[#This Row],[ID]],tblSeverityAnalysis[[ID]:[Highest Severity]],35,FALSE)&gt;3),50%,0%))*tblPiNAnalysis[[#This Row],[Final PiN]]</f>
        <v>0</v>
      </c>
    </row>
    <row r="117" spans="1:67" ht="24.6" hidden="1">
      <c r="A11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Global_PopulationHT0822</v>
      </c>
      <c r="B117" s="304" t="s">
        <v>383</v>
      </c>
      <c r="C117" s="213" t="s">
        <v>384</v>
      </c>
      <c r="D117" s="213" t="s">
        <v>397</v>
      </c>
      <c r="E117" s="103" t="s">
        <v>398</v>
      </c>
      <c r="F117" s="99"/>
      <c r="G117" s="34"/>
      <c r="H117" s="357"/>
      <c r="I117" s="354">
        <v>41207</v>
      </c>
      <c r="J117" s="221" t="s">
        <v>156</v>
      </c>
      <c r="K117" s="316">
        <v>9150</v>
      </c>
      <c r="L117" s="308">
        <v>3932</v>
      </c>
      <c r="M117" s="308">
        <v>3655</v>
      </c>
      <c r="N117" s="308">
        <v>25740</v>
      </c>
      <c r="O117" s="308">
        <v>10223.376190163934</v>
      </c>
      <c r="P117" s="308">
        <v>7818.5450000000001</v>
      </c>
      <c r="Q117" s="309">
        <v>13989</v>
      </c>
      <c r="R117" s="308">
        <v>19229.933333333334</v>
      </c>
      <c r="S117" s="308"/>
      <c r="T117" s="308"/>
      <c r="U117" s="308"/>
      <c r="V117" s="308"/>
      <c r="W117" s="317">
        <f>IFERROR(IF(tblPiNAnalysis[[#This Row],[CCCM]]="", "", MROUND(tblPiNAnalysis[[#This Row],[CCCM]]/tblPiNAnalysis[[#This Row],[Population]], 0.05)), "")</f>
        <v>0.2</v>
      </c>
      <c r="X117" s="318">
        <f>IFERROR(IF(tblPiNAnalysis[[#This Row],[Education]]="", "", MROUND(tblPiNAnalysis[[#This Row],[Education]]/tblPiNAnalysis[[#This Row],[Population]], 0.05)), "")</f>
        <v>0.1</v>
      </c>
      <c r="Y117" s="318">
        <f>IFERROR(IF(tblPiNAnalysis[[#This Row],[Nutrition]]="", "", MROUND(tblPiNAnalysis[[#This Row],[Nutrition]]/tblPiNAnalysis[[#This Row],[Population]], 0.05)), "")</f>
        <v>0.1</v>
      </c>
      <c r="Z117" s="318">
        <f>IFERROR(IF(tblPiNAnalysis[[#This Row],[Food Security]]="", "", MROUND(tblPiNAnalysis[[#This Row],[Food Security]]/tblPiNAnalysis[[#This Row],[Population]], 0.05)), "")</f>
        <v>0.60000000000000009</v>
      </c>
      <c r="AA117" s="318">
        <f>IFERROR(IF(tblPiNAnalysis[[#This Row],[Health]]="", "", MROUND(tblPiNAnalysis[[#This Row],[Health]]/tblPiNAnalysis[[#This Row],[Population]], 0.05)), "")</f>
        <v>0.25</v>
      </c>
      <c r="AB117" s="319">
        <f>IFERROR(IF(tblPiNAnalysis[[#This Row],[Protection]]="", "", MROUND(tblPiNAnalysis[[#This Row],[Protection]]/tblPiNAnalysis[[#This Row],[Population]], 0.05)), "")</f>
        <v>0.2</v>
      </c>
      <c r="AC117" s="319">
        <f>IFERROR(IF(tblPiNAnalysis[[#This Row],[Shelter]]="", "", MROUND(tblPiNAnalysis[[#This Row],[Shelter]]/tblPiNAnalysis[[#This Row],[Population]], 0.05)), "")</f>
        <v>0.35000000000000003</v>
      </c>
      <c r="AD117" s="320">
        <f>IFERROR(IF(tblPiNAnalysis[[#This Row],[WASH]]="", "", MROUND(tblPiNAnalysis[[#This Row],[WASH]]/tblPiNAnalysis[[#This Row],[Population]], 0.05)), "")</f>
        <v>0.45</v>
      </c>
      <c r="AE117" s="318">
        <f>IFERROR(MROUND(tblPiNAnalysis[[#This Row],[CP]]/tblPiNAnalysis[[#This Row],[Population]], 0.05), "")</f>
        <v>0</v>
      </c>
      <c r="AF117" s="318">
        <f>IFERROR(MROUND(tblPiNAnalysis[[#This Row],[GBV]]/tblPiNAnalysis[[#This Row],[Population]], 0.05), "")</f>
        <v>0</v>
      </c>
      <c r="AG117" s="318">
        <f>IFERROR(MROUND(tblPiNAnalysis[[#This Row],[Migrants]]/tblPiNAnalysis[[#This Row],[Population]], 0.05), "")</f>
        <v>0</v>
      </c>
      <c r="AH117" s="318">
        <f>IFERROR(MROUND(tblPiNAnalysis[[#This Row],[_]]/tblPiNAnalysis[[#This Row],[Population]], 0.05), "")</f>
        <v>0</v>
      </c>
      <c r="AI117" s="321">
        <f>IFERROR(LARGE(tblPiNAnalysis[[#This Row],[CCCM]:[WASH]], 1), "")</f>
        <v>25740</v>
      </c>
      <c r="AJ117" s="322" t="str" cm="1">
        <f t="array" ref="AJ117">IF(tblPiNAnalysis[[#This Row],[Highest PiN]]="", "", _xlfn.TEXTJOIN(CHAR(10), TRUE, IF(tblPiNAnalysis[[#This Row],[Highest PiN]]=tblPiNAnalysis[[#This Row],[CCCM]:[WASH]], tblPiNAnalysis[[#Headers],[CCCM]:[WASH]], "")))</f>
        <v>Food Security</v>
      </c>
      <c r="AK117" s="323">
        <f>IF(tblPiNAnalysis[[#This Row],[Highest PiN]]="", "", tblPiNAnalysis[[#This Row],[Highest PiN]]/tblPiNAnalysis[[#This Row],[Population]])</f>
        <v>0.62465115150338535</v>
      </c>
      <c r="AL117" s="265" t="str">
        <f>IF(SUM(tblPiNAnalysis[[#This Row],[CCCM]:[WASH]])=0, "",IF(COUNTIF(tblPiNAnalysis[[#This Row],[CCCM]:[WASH]],"=0")+COUNTIF(tblPiNAnalysis[[#This Row],[CCCM]:[WASH]],"")&gt;=zero_pin_thresh, "Flagged", ""))</f>
        <v/>
      </c>
      <c r="AM117" s="264" t="str">
        <f>IFERROR(IF(tblPiNAnalysis[[#This Row],[Highest PiN]]="", "", IF(tblPiNAnalysis[[#This Row],[Highest sector(s'') PiN %]]&gt;=flag_pin_perc, "Flagged", "")), "")</f>
        <v/>
      </c>
      <c r="AN117" s="266" t="str" cm="1">
        <f t="array" ref="AN117">IF(tblPiNAnalysis[[#This Row],[Highest PiN]]=0, "",  IF(OR(COUNTIF(tblPiNAnalysis[[#This Row],[Highest sector(s)]],tblSubSectorPopulation[Sector])), "Flagged", ""))</f>
        <v/>
      </c>
      <c r="AO117" s="45" cm="1">
        <f t="array" ref="AO11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19229.933333333334</v>
      </c>
      <c r="AP117" s="326" t="str" cm="1">
        <f t="array" ref="AP117">IF(tblPiNAnalysis[[#This Row],[2nd Highest PiN]]="", "", _xlfn.TEXTJOIN(CHAR(10), TRUE, IF(tblPiNAnalysis[[#This Row],[2nd Highest PiN]]=tblPiNAnalysis[[#This Row],[CCCM]:[WASH]], tblPiNAnalysis[[#Headers],[CCCM]:[WASH]], "")))</f>
        <v>WASH</v>
      </c>
      <c r="AQ117" s="35">
        <f>IFERROR(tblPiNAnalysis[[#This Row],[2nd Highest PiN]]/tblPiNAnalysis[[#This Row],[Population]], "")</f>
        <v>0.46666666666666667</v>
      </c>
      <c r="AR117" s="45">
        <f>IFERROR(tblPiNAnalysis[[#This Row],[Highest PiN]]-tblPiNAnalysis[[#This Row],[2nd Highest PiN]], "")</f>
        <v>6510.0666666666657</v>
      </c>
      <c r="AS117" s="38">
        <f>IFERROR(((tblPiNAnalysis[[#This Row],[Highest PiN]]-tblPiNAnalysis[[#This Row],[2nd Highest PiN]])/tblPiNAnalysis[[#This Row],[2nd Highest PiN]]),"")</f>
        <v>0.33853818179296852</v>
      </c>
      <c r="AT117" s="269" t="str" cm="1">
        <f t="array" ref="AT11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7" s="327" cm="1">
        <f t="array" ref="AU11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13989</v>
      </c>
      <c r="AV117" s="186" t="str" cm="1">
        <f t="array" ref="AV117">IF(tblPiNAnalysis[[#This Row],[3rd Highest PiN]]="", "", _xlfn.TEXTJOIN(CHAR(10), TRUE, IF(tblPiNAnalysis[[#This Row],[3rd Highest PiN]]=tblPiNAnalysis[[#This Row],[CCCM]:[WASH]], tblPiNAnalysis[[#Headers],[CCCM]:[WASH]], "")))</f>
        <v>Shelter</v>
      </c>
      <c r="AW117" s="186">
        <f>IFERROR(tblPiNAnalysis[[#This Row],[3rd Highest PiN]]/tblPiNAnalysis[[#This Row],[Population]], "")</f>
        <v>0.33948115611425245</v>
      </c>
      <c r="AX117" s="44">
        <f>IFERROR(tblPiNAnalysis[[#This Row],[Highest PiN]]-tblPiNAnalysis[[#This Row],[3rd Highest PiN]],"")</f>
        <v>11751</v>
      </c>
      <c r="AY117" s="38">
        <f>IFERROR(tblPiNAnalysis[[#This Row],[Difference of PiN between Highest and 3rd Highest]]/tblPiNAnalysis[[#This Row],[3rd Highest PiN]], "")</f>
        <v>0.84001715633712204</v>
      </c>
      <c r="AZ117" s="325" t="str" cm="1">
        <f t="array" ref="AZ11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7" s="292" cm="1">
        <f t="array" ref="BA117">IFERROR(IF(tblPiNAnalysis[[#This Row],[ID]]="", "", INDEX(tblPiNHistorical[[CCCM]:[WASH]], MATCH(tblPiNAnalysis[[#This Row],[ID]],tblPiNHistorical[ID], 0),MATCH(_xlfn._xlws.FILTER(tblPiNAnalysis[[#Headers],[CCCM]:[WASH]], tblPiNAnalysis[[#This Row],[Highest PiN]]=tblPiNAnalysis[[#This Row],[CCCM]:[WASH]]), tblPiNHistorical[[#Headers],[CCCM]:[WASH]], 0))), "")</f>
        <v>0.1</v>
      </c>
      <c r="BB117" s="328" t="str" cm="1">
        <f t="array" ref="BB11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7" s="272" cm="1">
        <f t="array" ref="BC117">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117" s="329" t="str" cm="1">
        <f t="array" ref="BD11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7" s="371">
        <f>INDEX(tblSeverityAnalysis[Final Severity], MATCH(tblPiNAnalysis[[#This Row],[ID]],tblSeverityAnalysis[ID], 0))</f>
        <v>3</v>
      </c>
      <c r="BF117" s="60">
        <f>IF(tblPiNAnalysis[[#This Row],[Severity]]&gt;2,tblPiNAnalysis[[#This Row],[Highest PiN]],)</f>
        <v>25740</v>
      </c>
      <c r="BG117" s="187"/>
      <c r="BH117" s="188"/>
      <c r="BI117" s="189">
        <f>COUNTIFS(tblPiNAnalysis[[#This Row],[Number of missing / zero PiNs greater than threshold - Data quality]:[Manual Flag]],"Flagged")</f>
        <v>1</v>
      </c>
      <c r="BJ117" s="346" t="str">
        <f>IF(tblPiNAnalysis[[#This Row],['# Flags]]&gt;0, "Flagged", "")</f>
        <v>Flagged</v>
      </c>
      <c r="BK117" s="339">
        <f>tblPiNAnalysis[[#This Row],[Preliminary PiN]]</f>
        <v>25740</v>
      </c>
      <c r="BL117" s="326"/>
      <c r="BM117" s="383">
        <f>IF(OR(tblPiNAnalysis[[#This Row],[Severity]]=4,tblPiNAnalysis[[#This Row],[Severity]]=5),tblPiNAnalysis[[#This Row],[Final PiN]],0)</f>
        <v>0</v>
      </c>
      <c r="BN117" s="378">
        <f>IF(OR(tblPiNAnalysis[[#This Row],[Severity]]=4,tblPiNAnalysis[[#This Row],[Severity]]=5),100%, IF(tblPiNAnalysis[[#This Row],[Severity]]=3,50%,0%))*tblPiNAnalysis[[#This Row],[Final PiN]]</f>
        <v>12870</v>
      </c>
      <c r="BO117" s="383">
        <f>IF(OR(tblPiNAnalysis[[#This Row],[Severity]]=4,tblPiNAnalysis[[#This Row],[Severity]]=5),100%, IF(AND(tblPiNAnalysis[[#This Row],[Severity]]=3,VLOOKUP(tblPiNAnalysis[[#This Row],[ID]],tblSeverityAnalysis[[ID]:[Highest Severity]],35,FALSE)&gt;3),50%,0%))*tblPiNAnalysis[[#This Row],[Final PiN]]</f>
        <v>0</v>
      </c>
    </row>
    <row r="118" spans="1:67" ht="24.6" hidden="1">
      <c r="A11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Global_PopulationHT0823</v>
      </c>
      <c r="B118" s="304" t="s">
        <v>383</v>
      </c>
      <c r="C118" s="213" t="s">
        <v>384</v>
      </c>
      <c r="D118" s="213" t="s">
        <v>399</v>
      </c>
      <c r="E118" s="103" t="s">
        <v>400</v>
      </c>
      <c r="F118" s="99"/>
      <c r="G118" s="34"/>
      <c r="H118" s="357"/>
      <c r="I118" s="354">
        <v>24756</v>
      </c>
      <c r="J118" s="221" t="s">
        <v>156</v>
      </c>
      <c r="K118" s="316">
        <v>2250</v>
      </c>
      <c r="L118" s="308">
        <v>2361</v>
      </c>
      <c r="M118" s="308">
        <v>1999</v>
      </c>
      <c r="N118" s="308">
        <v>15528</v>
      </c>
      <c r="O118" s="308">
        <v>2425.8443333333335</v>
      </c>
      <c r="P118" s="308">
        <v>3142</v>
      </c>
      <c r="Q118" s="309">
        <v>0</v>
      </c>
      <c r="R118" s="308">
        <v>1500</v>
      </c>
      <c r="S118" s="308"/>
      <c r="T118" s="308"/>
      <c r="U118" s="308"/>
      <c r="V118" s="308"/>
      <c r="W118" s="317">
        <f>IFERROR(IF(tblPiNAnalysis[[#This Row],[CCCM]]="", "", MROUND(tblPiNAnalysis[[#This Row],[CCCM]]/tblPiNAnalysis[[#This Row],[Population]], 0.05)), "")</f>
        <v>0.1</v>
      </c>
      <c r="X118" s="318">
        <f>IFERROR(IF(tblPiNAnalysis[[#This Row],[Education]]="", "", MROUND(tblPiNAnalysis[[#This Row],[Education]]/tblPiNAnalysis[[#This Row],[Population]], 0.05)), "")</f>
        <v>0.1</v>
      </c>
      <c r="Y118" s="318">
        <f>IFERROR(IF(tblPiNAnalysis[[#This Row],[Nutrition]]="", "", MROUND(tblPiNAnalysis[[#This Row],[Nutrition]]/tblPiNAnalysis[[#This Row],[Population]], 0.05)), "")</f>
        <v>0.1</v>
      </c>
      <c r="Z118" s="318">
        <f>IFERROR(IF(tblPiNAnalysis[[#This Row],[Food Security]]="", "", MROUND(tblPiNAnalysis[[#This Row],[Food Security]]/tblPiNAnalysis[[#This Row],[Population]], 0.05)), "")</f>
        <v>0.65</v>
      </c>
      <c r="AA118" s="318">
        <f>IFERROR(IF(tblPiNAnalysis[[#This Row],[Health]]="", "", MROUND(tblPiNAnalysis[[#This Row],[Health]]/tblPiNAnalysis[[#This Row],[Population]], 0.05)), "")</f>
        <v>0.1</v>
      </c>
      <c r="AB118" s="319">
        <f>IFERROR(IF(tblPiNAnalysis[[#This Row],[Protection]]="", "", MROUND(tblPiNAnalysis[[#This Row],[Protection]]/tblPiNAnalysis[[#This Row],[Population]], 0.05)), "")</f>
        <v>0.15000000000000002</v>
      </c>
      <c r="AC118" s="319">
        <f>IFERROR(IF(tblPiNAnalysis[[#This Row],[Shelter]]="", "", MROUND(tblPiNAnalysis[[#This Row],[Shelter]]/tblPiNAnalysis[[#This Row],[Population]], 0.05)), "")</f>
        <v>0</v>
      </c>
      <c r="AD118" s="320">
        <f>IFERROR(IF(tblPiNAnalysis[[#This Row],[WASH]]="", "", MROUND(tblPiNAnalysis[[#This Row],[WASH]]/tblPiNAnalysis[[#This Row],[Population]], 0.05)), "")</f>
        <v>0.05</v>
      </c>
      <c r="AE118" s="318">
        <f>IFERROR(MROUND(tblPiNAnalysis[[#This Row],[CP]]/tblPiNAnalysis[[#This Row],[Population]], 0.05), "")</f>
        <v>0</v>
      </c>
      <c r="AF118" s="318">
        <f>IFERROR(MROUND(tblPiNAnalysis[[#This Row],[GBV]]/tblPiNAnalysis[[#This Row],[Population]], 0.05), "")</f>
        <v>0</v>
      </c>
      <c r="AG118" s="318">
        <f>IFERROR(MROUND(tblPiNAnalysis[[#This Row],[Migrants]]/tblPiNAnalysis[[#This Row],[Population]], 0.05), "")</f>
        <v>0</v>
      </c>
      <c r="AH118" s="318">
        <f>IFERROR(MROUND(tblPiNAnalysis[[#This Row],[_]]/tblPiNAnalysis[[#This Row],[Population]], 0.05), "")</f>
        <v>0</v>
      </c>
      <c r="AI118" s="321">
        <f>IFERROR(LARGE(tblPiNAnalysis[[#This Row],[CCCM]:[WASH]], 1), "")</f>
        <v>15528</v>
      </c>
      <c r="AJ118" s="322" t="str" cm="1">
        <f t="array" ref="AJ118">IF(tblPiNAnalysis[[#This Row],[Highest PiN]]="", "", _xlfn.TEXTJOIN(CHAR(10), TRUE, IF(tblPiNAnalysis[[#This Row],[Highest PiN]]=tblPiNAnalysis[[#This Row],[CCCM]:[WASH]], tblPiNAnalysis[[#Headers],[CCCM]:[WASH]], "")))</f>
        <v>Food Security</v>
      </c>
      <c r="AK118" s="323">
        <f>IF(tblPiNAnalysis[[#This Row],[Highest PiN]]="", "", tblPiNAnalysis[[#This Row],[Highest PiN]]/tblPiNAnalysis[[#This Row],[Population]])</f>
        <v>0.62724188075618037</v>
      </c>
      <c r="AL118" s="265" t="str">
        <f>IF(SUM(tblPiNAnalysis[[#This Row],[CCCM]:[WASH]])=0, "",IF(COUNTIF(tblPiNAnalysis[[#This Row],[CCCM]:[WASH]],"=0")+COUNTIF(tblPiNAnalysis[[#This Row],[CCCM]:[WASH]],"")&gt;=zero_pin_thresh, "Flagged", ""))</f>
        <v/>
      </c>
      <c r="AM118" s="264" t="str">
        <f>IFERROR(IF(tblPiNAnalysis[[#This Row],[Highest PiN]]="", "", IF(tblPiNAnalysis[[#This Row],[Highest sector(s'') PiN %]]&gt;=flag_pin_perc, "Flagged", "")), "")</f>
        <v/>
      </c>
      <c r="AN118" s="266" t="str" cm="1">
        <f t="array" ref="AN118">IF(tblPiNAnalysis[[#This Row],[Highest PiN]]=0, "",  IF(OR(COUNTIF(tblPiNAnalysis[[#This Row],[Highest sector(s)]],tblSubSectorPopulation[Sector])), "Flagged", ""))</f>
        <v/>
      </c>
      <c r="AO118" s="45" cm="1">
        <f t="array" ref="AO11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3142</v>
      </c>
      <c r="AP118" s="326" t="str" cm="1">
        <f t="array" ref="AP118">IF(tblPiNAnalysis[[#This Row],[2nd Highest PiN]]="", "", _xlfn.TEXTJOIN(CHAR(10), TRUE, IF(tblPiNAnalysis[[#This Row],[2nd Highest PiN]]=tblPiNAnalysis[[#This Row],[CCCM]:[WASH]], tblPiNAnalysis[[#Headers],[CCCM]:[WASH]], "")))</f>
        <v>Protection</v>
      </c>
      <c r="AQ118" s="35">
        <f>IFERROR(tblPiNAnalysis[[#This Row],[2nd Highest PiN]]/tblPiNAnalysis[[#This Row],[Population]], "")</f>
        <v>0.12691872677330748</v>
      </c>
      <c r="AR118" s="45">
        <f>IFERROR(tblPiNAnalysis[[#This Row],[Highest PiN]]-tblPiNAnalysis[[#This Row],[2nd Highest PiN]], "")</f>
        <v>12386</v>
      </c>
      <c r="AS118" s="38">
        <f>IFERROR(((tblPiNAnalysis[[#This Row],[Highest PiN]]-tblPiNAnalysis[[#This Row],[2nd Highest PiN]])/tblPiNAnalysis[[#This Row],[2nd Highest PiN]]),"")</f>
        <v>3.9420751113940167</v>
      </c>
      <c r="AT118" s="269" t="str" cm="1">
        <f t="array" ref="AT11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18" s="327" cm="1">
        <f t="array" ref="AU11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2425.8443333333335</v>
      </c>
      <c r="AV118" s="186" t="str" cm="1">
        <f t="array" ref="AV118">IF(tblPiNAnalysis[[#This Row],[3rd Highest PiN]]="", "", _xlfn.TEXTJOIN(CHAR(10), TRUE, IF(tblPiNAnalysis[[#This Row],[3rd Highest PiN]]=tblPiNAnalysis[[#This Row],[CCCM]:[WASH]], tblPiNAnalysis[[#Headers],[CCCM]:[WASH]], "")))</f>
        <v>Health</v>
      </c>
      <c r="AW118" s="186">
        <f>IFERROR(tblPiNAnalysis[[#This Row],[3rd Highest PiN]]/tblPiNAnalysis[[#This Row],[Population]], "")</f>
        <v>9.7990157268271663E-2</v>
      </c>
      <c r="AX118" s="44">
        <f>IFERROR(tblPiNAnalysis[[#This Row],[Highest PiN]]-tblPiNAnalysis[[#This Row],[3rd Highest PiN]],"")</f>
        <v>13102.155666666666</v>
      </c>
      <c r="AY118" s="38">
        <f>IFERROR(tblPiNAnalysis[[#This Row],[Difference of PiN between Highest and 3rd Highest]]/tblPiNAnalysis[[#This Row],[3rd Highest PiN]], "")</f>
        <v>5.4010702527903334</v>
      </c>
      <c r="AZ118" s="325" t="str" cm="1">
        <f t="array" ref="AZ11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18" s="292" cm="1">
        <f t="array" ref="BA118">IFERROR(IF(tblPiNAnalysis[[#This Row],[ID]]="", "", INDEX(tblPiNHistorical[[CCCM]:[WASH]], MATCH(tblPiNAnalysis[[#This Row],[ID]],tblPiNHistorical[ID], 0),MATCH(_xlfn._xlws.FILTER(tblPiNAnalysis[[#Headers],[CCCM]:[WASH]], tblPiNAnalysis[[#This Row],[Highest PiN]]=tblPiNAnalysis[[#This Row],[CCCM]:[WASH]]), tblPiNHistorical[[#Headers],[CCCM]:[WASH]], 0))), "")</f>
        <v>0.1</v>
      </c>
      <c r="BB118" s="328" t="str" cm="1">
        <f t="array" ref="BB11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8" s="272" t="str" cm="1">
        <f t="array" ref="BC118">IFERROR(IF(tblPiNAnalysis[[#This Row],[ID]]="", "", INDEX(tblPiNHistorical[[CCCM]:[WASH]], MATCH(tblPiNAnalysis[[#This Row],[ID]],tblPiNHistorical[ID], 0),MATCH(_xlfn._xlws.FILTER(tblPiNAnalysis[[#Headers],[CCCM]:[WASH]], tblPiNAnalysis[[#This Row],[2nd Highest PiN]]=tblPiNAnalysis[[#This Row],[CCCM]:[WASH]]), tblPiNHistorical[[#Headers],[CCCM]:[WASH]], 0))), "")</f>
        <v/>
      </c>
      <c r="BD118" s="329" t="str" cm="1">
        <f t="array" ref="BD11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8" s="371">
        <f>INDEX(tblSeverityAnalysis[Final Severity], MATCH(tblPiNAnalysis[[#This Row],[ID]],tblSeverityAnalysis[ID], 0))</f>
        <v>2</v>
      </c>
      <c r="BF118" s="60">
        <f>IF(tblPiNAnalysis[[#This Row],[Severity]]&gt;2,tblPiNAnalysis[[#This Row],[Highest PiN]],)</f>
        <v>0</v>
      </c>
      <c r="BG118" s="187"/>
      <c r="BH118" s="188"/>
      <c r="BI118" s="189">
        <f>COUNTIFS(tblPiNAnalysis[[#This Row],[Number of missing / zero PiNs greater than threshold - Data quality]:[Manual Flag]],"Flagged")</f>
        <v>2</v>
      </c>
      <c r="BJ118" s="346" t="str">
        <f>IF(tblPiNAnalysis[[#This Row],['# Flags]]&gt;0, "Flagged", "")</f>
        <v>Flagged</v>
      </c>
      <c r="BK118" s="339">
        <f>tblPiNAnalysis[[#This Row],[Preliminary PiN]]</f>
        <v>0</v>
      </c>
      <c r="BL118" s="326"/>
      <c r="BM118" s="383">
        <f>IF(OR(tblPiNAnalysis[[#This Row],[Severity]]=4,tblPiNAnalysis[[#This Row],[Severity]]=5),tblPiNAnalysis[[#This Row],[Final PiN]],0)</f>
        <v>0</v>
      </c>
      <c r="BN118" s="378">
        <f>IF(OR(tblPiNAnalysis[[#This Row],[Severity]]=4,tblPiNAnalysis[[#This Row],[Severity]]=5),100%, IF(tblPiNAnalysis[[#This Row],[Severity]]=3,50%,0%))*tblPiNAnalysis[[#This Row],[Final PiN]]</f>
        <v>0</v>
      </c>
      <c r="BO118" s="383">
        <f>IF(OR(tblPiNAnalysis[[#This Row],[Severity]]=4,tblPiNAnalysis[[#This Row],[Severity]]=5),100%, IF(AND(tblPiNAnalysis[[#This Row],[Severity]]=3,VLOOKUP(tblPiNAnalysis[[#This Row],[ID]],tblSeverityAnalysis[[ID]:[Highest Severity]],35,FALSE)&gt;3),50%,0%))*tblPiNAnalysis[[#This Row],[Final PiN]]</f>
        <v>0</v>
      </c>
    </row>
    <row r="119" spans="1:67" ht="24.6" hidden="1">
      <c r="A11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Global_PopulationHT0831</v>
      </c>
      <c r="B119" s="304" t="s">
        <v>383</v>
      </c>
      <c r="C119" s="213" t="s">
        <v>384</v>
      </c>
      <c r="D119" s="213" t="s">
        <v>401</v>
      </c>
      <c r="E119" s="103" t="s">
        <v>402</v>
      </c>
      <c r="F119" s="99"/>
      <c r="G119" s="34"/>
      <c r="H119" s="357"/>
      <c r="I119" s="354">
        <v>28292</v>
      </c>
      <c r="J119" s="221" t="s">
        <v>156</v>
      </c>
      <c r="K119" s="316">
        <v>10875</v>
      </c>
      <c r="L119" s="308">
        <v>2815</v>
      </c>
      <c r="M119" s="308">
        <v>2791</v>
      </c>
      <c r="N119" s="308">
        <v>13398</v>
      </c>
      <c r="O119" s="308">
        <v>12104.774124137932</v>
      </c>
      <c r="P119" s="308">
        <v>3636.28</v>
      </c>
      <c r="Q119" s="309">
        <v>0</v>
      </c>
      <c r="R119" s="308">
        <v>7250</v>
      </c>
      <c r="S119" s="308"/>
      <c r="T119" s="308"/>
      <c r="U119" s="308"/>
      <c r="V119" s="308"/>
      <c r="W119" s="317">
        <f>IFERROR(IF(tblPiNAnalysis[[#This Row],[CCCM]]="", "", MROUND(tblPiNAnalysis[[#This Row],[CCCM]]/tblPiNAnalysis[[#This Row],[Population]], 0.05)), "")</f>
        <v>0.4</v>
      </c>
      <c r="X119" s="318">
        <f>IFERROR(IF(tblPiNAnalysis[[#This Row],[Education]]="", "", MROUND(tblPiNAnalysis[[#This Row],[Education]]/tblPiNAnalysis[[#This Row],[Population]], 0.05)), "")</f>
        <v>0.1</v>
      </c>
      <c r="Y119" s="318">
        <f>IFERROR(IF(tblPiNAnalysis[[#This Row],[Nutrition]]="", "", MROUND(tblPiNAnalysis[[#This Row],[Nutrition]]/tblPiNAnalysis[[#This Row],[Population]], 0.05)), "")</f>
        <v>0.1</v>
      </c>
      <c r="Z119" s="318">
        <f>IFERROR(IF(tblPiNAnalysis[[#This Row],[Food Security]]="", "", MROUND(tblPiNAnalysis[[#This Row],[Food Security]]/tblPiNAnalysis[[#This Row],[Population]], 0.05)), "")</f>
        <v>0.45</v>
      </c>
      <c r="AA119" s="318">
        <f>IFERROR(IF(tblPiNAnalysis[[#This Row],[Health]]="", "", MROUND(tblPiNAnalysis[[#This Row],[Health]]/tblPiNAnalysis[[#This Row],[Population]], 0.05)), "")</f>
        <v>0.45</v>
      </c>
      <c r="AB119" s="319">
        <f>IFERROR(IF(tblPiNAnalysis[[#This Row],[Protection]]="", "", MROUND(tblPiNAnalysis[[#This Row],[Protection]]/tblPiNAnalysis[[#This Row],[Population]], 0.05)), "")</f>
        <v>0.15000000000000002</v>
      </c>
      <c r="AC119" s="319">
        <f>IFERROR(IF(tblPiNAnalysis[[#This Row],[Shelter]]="", "", MROUND(tblPiNAnalysis[[#This Row],[Shelter]]/tblPiNAnalysis[[#This Row],[Population]], 0.05)), "")</f>
        <v>0</v>
      </c>
      <c r="AD119" s="320">
        <f>IFERROR(IF(tblPiNAnalysis[[#This Row],[WASH]]="", "", MROUND(tblPiNAnalysis[[#This Row],[WASH]]/tblPiNAnalysis[[#This Row],[Population]], 0.05)), "")</f>
        <v>0.25</v>
      </c>
      <c r="AE119" s="318">
        <f>IFERROR(MROUND(tblPiNAnalysis[[#This Row],[CP]]/tblPiNAnalysis[[#This Row],[Population]], 0.05), "")</f>
        <v>0</v>
      </c>
      <c r="AF119" s="318">
        <f>IFERROR(MROUND(tblPiNAnalysis[[#This Row],[GBV]]/tblPiNAnalysis[[#This Row],[Population]], 0.05), "")</f>
        <v>0</v>
      </c>
      <c r="AG119" s="318">
        <f>IFERROR(MROUND(tblPiNAnalysis[[#This Row],[Migrants]]/tblPiNAnalysis[[#This Row],[Population]], 0.05), "")</f>
        <v>0</v>
      </c>
      <c r="AH119" s="318">
        <f>IFERROR(MROUND(tblPiNAnalysis[[#This Row],[_]]/tblPiNAnalysis[[#This Row],[Population]], 0.05), "")</f>
        <v>0</v>
      </c>
      <c r="AI119" s="321">
        <f>IFERROR(LARGE(tblPiNAnalysis[[#This Row],[CCCM]:[WASH]], 1), "")</f>
        <v>13398</v>
      </c>
      <c r="AJ119" s="322" t="str" cm="1">
        <f t="array" ref="AJ119">IF(tblPiNAnalysis[[#This Row],[Highest PiN]]="", "", _xlfn.TEXTJOIN(CHAR(10), TRUE, IF(tblPiNAnalysis[[#This Row],[Highest PiN]]=tblPiNAnalysis[[#This Row],[CCCM]:[WASH]], tblPiNAnalysis[[#Headers],[CCCM]:[WASH]], "")))</f>
        <v>Food Security</v>
      </c>
      <c r="AK119" s="323">
        <f>IF(tblPiNAnalysis[[#This Row],[Highest PiN]]="", "", tblPiNAnalysis[[#This Row],[Highest PiN]]/tblPiNAnalysis[[#This Row],[Population]])</f>
        <v>0.4735614307931571</v>
      </c>
      <c r="AL119" s="265" t="str">
        <f>IF(SUM(tblPiNAnalysis[[#This Row],[CCCM]:[WASH]])=0, "",IF(COUNTIF(tblPiNAnalysis[[#This Row],[CCCM]:[WASH]],"=0")+COUNTIF(tblPiNAnalysis[[#This Row],[CCCM]:[WASH]],"")&gt;=zero_pin_thresh, "Flagged", ""))</f>
        <v/>
      </c>
      <c r="AM119" s="264" t="str">
        <f>IFERROR(IF(tblPiNAnalysis[[#This Row],[Highest PiN]]="", "", IF(tblPiNAnalysis[[#This Row],[Highest sector(s'') PiN %]]&gt;=flag_pin_perc, "Flagged", "")), "")</f>
        <v/>
      </c>
      <c r="AN119" s="266" t="str" cm="1">
        <f t="array" ref="AN119">IF(tblPiNAnalysis[[#This Row],[Highest PiN]]=0, "",  IF(OR(COUNTIF(tblPiNAnalysis[[#This Row],[Highest sector(s)]],tblSubSectorPopulation[Sector])), "Flagged", ""))</f>
        <v/>
      </c>
      <c r="AO119" s="45" cm="1">
        <f t="array" ref="AO11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12104.774124137932</v>
      </c>
      <c r="AP119" s="326" t="str" cm="1">
        <f t="array" ref="AP119">IF(tblPiNAnalysis[[#This Row],[2nd Highest PiN]]="", "", _xlfn.TEXTJOIN(CHAR(10), TRUE, IF(tblPiNAnalysis[[#This Row],[2nd Highest PiN]]=tblPiNAnalysis[[#This Row],[CCCM]:[WASH]], tblPiNAnalysis[[#Headers],[CCCM]:[WASH]], "")))</f>
        <v>Health</v>
      </c>
      <c r="AQ119" s="35">
        <f>IFERROR(tblPiNAnalysis[[#This Row],[2nd Highest PiN]]/tblPiNAnalysis[[#This Row],[Population]], "")</f>
        <v>0.4278514818371954</v>
      </c>
      <c r="AR119" s="45">
        <f>IFERROR(tblPiNAnalysis[[#This Row],[Highest PiN]]-tblPiNAnalysis[[#This Row],[2nd Highest PiN]], "")</f>
        <v>1293.2258758620683</v>
      </c>
      <c r="AS119" s="38">
        <f>IFERROR(((tblPiNAnalysis[[#This Row],[Highest PiN]]-tblPiNAnalysis[[#This Row],[2nd Highest PiN]])/tblPiNAnalysis[[#This Row],[2nd Highest PiN]]),"")</f>
        <v>0.10683601879718414</v>
      </c>
      <c r="AT119" s="269" t="str" cm="1">
        <f t="array" ref="AT11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19" s="327" cm="1">
        <f t="array" ref="AU11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10875</v>
      </c>
      <c r="AV119" s="186" t="str" cm="1">
        <f t="array" ref="AV119">IF(tblPiNAnalysis[[#This Row],[3rd Highest PiN]]="", "", _xlfn.TEXTJOIN(CHAR(10), TRUE, IF(tblPiNAnalysis[[#This Row],[3rd Highest PiN]]=tblPiNAnalysis[[#This Row],[CCCM]:[WASH]], tblPiNAnalysis[[#Headers],[CCCM]:[WASH]], "")))</f>
        <v>CCCM</v>
      </c>
      <c r="AW119" s="186">
        <f>IFERROR(tblPiNAnalysis[[#This Row],[3rd Highest PiN]]/tblPiNAnalysis[[#This Row],[Population]], "")</f>
        <v>0.38438427824119892</v>
      </c>
      <c r="AX119" s="44">
        <f>IFERROR(tblPiNAnalysis[[#This Row],[Highest PiN]]-tblPiNAnalysis[[#This Row],[3rd Highest PiN]],"")</f>
        <v>2523</v>
      </c>
      <c r="AY119" s="38">
        <f>IFERROR(tblPiNAnalysis[[#This Row],[Difference of PiN between Highest and 3rd Highest]]/tblPiNAnalysis[[#This Row],[3rd Highest PiN]], "")</f>
        <v>0.23200000000000001</v>
      </c>
      <c r="AZ119" s="325" t="str" cm="1">
        <f t="array" ref="AZ11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19" s="292" cm="1">
        <f t="array" ref="BA119">IFERROR(IF(tblPiNAnalysis[[#This Row],[ID]]="", "", INDEX(tblPiNHistorical[[CCCM]:[WASH]], MATCH(tblPiNAnalysis[[#This Row],[ID]],tblPiNHistorical[ID], 0),MATCH(_xlfn._xlws.FILTER(tblPiNAnalysis[[#Headers],[CCCM]:[WASH]], tblPiNAnalysis[[#This Row],[Highest PiN]]=tblPiNAnalysis[[#This Row],[CCCM]:[WASH]]), tblPiNHistorical[[#Headers],[CCCM]:[WASH]], 0))), "")</f>
        <v>0.1</v>
      </c>
      <c r="BB119" s="328" t="str" cm="1">
        <f t="array" ref="BB11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19" s="272" cm="1">
        <f t="array" ref="BC119">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19" s="329" t="str" cm="1">
        <f t="array" ref="BD11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19" s="371">
        <f>INDEX(tblSeverityAnalysis[Final Severity], MATCH(tblPiNAnalysis[[#This Row],[ID]],tblSeverityAnalysis[ID], 0))</f>
        <v>3</v>
      </c>
      <c r="BF119" s="60">
        <f>IF(tblPiNAnalysis[[#This Row],[Severity]]&gt;2,tblPiNAnalysis[[#This Row],[Highest PiN]],)</f>
        <v>13398</v>
      </c>
      <c r="BG119" s="187"/>
      <c r="BH119" s="188"/>
      <c r="BI119" s="189">
        <f>COUNTIFS(tblPiNAnalysis[[#This Row],[Number of missing / zero PiNs greater than threshold - Data quality]:[Manual Flag]],"Flagged")</f>
        <v>0</v>
      </c>
      <c r="BJ119" s="346" t="str">
        <f>IF(tblPiNAnalysis[[#This Row],['# Flags]]&gt;0, "Flagged", "")</f>
        <v/>
      </c>
      <c r="BK119" s="339">
        <f>tblPiNAnalysis[[#This Row],[Preliminary PiN]]</f>
        <v>13398</v>
      </c>
      <c r="BL119" s="326"/>
      <c r="BM119" s="383">
        <f>IF(OR(tblPiNAnalysis[[#This Row],[Severity]]=4,tblPiNAnalysis[[#This Row],[Severity]]=5),tblPiNAnalysis[[#This Row],[Final PiN]],0)</f>
        <v>0</v>
      </c>
      <c r="BN119" s="378">
        <f>IF(OR(tblPiNAnalysis[[#This Row],[Severity]]=4,tblPiNAnalysis[[#This Row],[Severity]]=5),100%, IF(tblPiNAnalysis[[#This Row],[Severity]]=3,50%,0%))*tblPiNAnalysis[[#This Row],[Final PiN]]</f>
        <v>6699</v>
      </c>
      <c r="BO119" s="383">
        <f>IF(OR(tblPiNAnalysis[[#This Row],[Severity]]=4,tblPiNAnalysis[[#This Row],[Severity]]=5),100%, IF(AND(tblPiNAnalysis[[#This Row],[Severity]]=3,VLOOKUP(tblPiNAnalysis[[#This Row],[ID]],tblSeverityAnalysis[[ID]:[Highest Severity]],35,FALSE)&gt;3),50%,0%))*tblPiNAnalysis[[#This Row],[Final PiN]]</f>
        <v>0</v>
      </c>
    </row>
    <row r="120" spans="1:67" ht="24.6" hidden="1">
      <c r="A12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Global_PopulationHT0832</v>
      </c>
      <c r="B120" s="304" t="s">
        <v>383</v>
      </c>
      <c r="C120" s="213" t="s">
        <v>384</v>
      </c>
      <c r="D120" s="213" t="s">
        <v>403</v>
      </c>
      <c r="E120" s="103" t="s">
        <v>404</v>
      </c>
      <c r="F120" s="99"/>
      <c r="G120" s="34"/>
      <c r="H120" s="357"/>
      <c r="I120" s="354">
        <v>41589</v>
      </c>
      <c r="J120" s="221" t="s">
        <v>156</v>
      </c>
      <c r="K120" s="316">
        <v>13498.5</v>
      </c>
      <c r="L120" s="308">
        <v>3754</v>
      </c>
      <c r="M120" s="308">
        <v>4003</v>
      </c>
      <c r="N120" s="308">
        <v>24533</v>
      </c>
      <c r="O120" s="308">
        <v>14407.269</v>
      </c>
      <c r="P120" s="308">
        <v>9772.01</v>
      </c>
      <c r="Q120" s="309">
        <v>9597</v>
      </c>
      <c r="R120" s="308">
        <v>8999</v>
      </c>
      <c r="S120" s="308"/>
      <c r="T120" s="308"/>
      <c r="U120" s="308"/>
      <c r="V120" s="308"/>
      <c r="W120" s="317">
        <f>IFERROR(IF(tblPiNAnalysis[[#This Row],[CCCM]]="", "", MROUND(tblPiNAnalysis[[#This Row],[CCCM]]/tblPiNAnalysis[[#This Row],[Population]], 0.05)), "")</f>
        <v>0.30000000000000004</v>
      </c>
      <c r="X120" s="318">
        <f>IFERROR(IF(tblPiNAnalysis[[#This Row],[Education]]="", "", MROUND(tblPiNAnalysis[[#This Row],[Education]]/tblPiNAnalysis[[#This Row],[Population]], 0.05)), "")</f>
        <v>0.1</v>
      </c>
      <c r="Y120" s="318">
        <f>IFERROR(IF(tblPiNAnalysis[[#This Row],[Nutrition]]="", "", MROUND(tblPiNAnalysis[[#This Row],[Nutrition]]/tblPiNAnalysis[[#This Row],[Population]], 0.05)), "")</f>
        <v>0.1</v>
      </c>
      <c r="Z120" s="318">
        <f>IFERROR(IF(tblPiNAnalysis[[#This Row],[Food Security]]="", "", MROUND(tblPiNAnalysis[[#This Row],[Food Security]]/tblPiNAnalysis[[#This Row],[Population]], 0.05)), "")</f>
        <v>0.60000000000000009</v>
      </c>
      <c r="AA120" s="318">
        <f>IFERROR(IF(tblPiNAnalysis[[#This Row],[Health]]="", "", MROUND(tblPiNAnalysis[[#This Row],[Health]]/tblPiNAnalysis[[#This Row],[Population]], 0.05)), "")</f>
        <v>0.35000000000000003</v>
      </c>
      <c r="AB120" s="319">
        <f>IFERROR(IF(tblPiNAnalysis[[#This Row],[Protection]]="", "", MROUND(tblPiNAnalysis[[#This Row],[Protection]]/tblPiNAnalysis[[#This Row],[Population]], 0.05)), "")</f>
        <v>0.25</v>
      </c>
      <c r="AC120" s="319">
        <f>IFERROR(IF(tblPiNAnalysis[[#This Row],[Shelter]]="", "", MROUND(tblPiNAnalysis[[#This Row],[Shelter]]/tblPiNAnalysis[[#This Row],[Population]], 0.05)), "")</f>
        <v>0.25</v>
      </c>
      <c r="AD120" s="320">
        <f>IFERROR(IF(tblPiNAnalysis[[#This Row],[WASH]]="", "", MROUND(tblPiNAnalysis[[#This Row],[WASH]]/tblPiNAnalysis[[#This Row],[Population]], 0.05)), "")</f>
        <v>0.2</v>
      </c>
      <c r="AE120" s="318">
        <f>IFERROR(MROUND(tblPiNAnalysis[[#This Row],[CP]]/tblPiNAnalysis[[#This Row],[Population]], 0.05), "")</f>
        <v>0</v>
      </c>
      <c r="AF120" s="318">
        <f>IFERROR(MROUND(tblPiNAnalysis[[#This Row],[GBV]]/tblPiNAnalysis[[#This Row],[Population]], 0.05), "")</f>
        <v>0</v>
      </c>
      <c r="AG120" s="318">
        <f>IFERROR(MROUND(tblPiNAnalysis[[#This Row],[Migrants]]/tblPiNAnalysis[[#This Row],[Population]], 0.05), "")</f>
        <v>0</v>
      </c>
      <c r="AH120" s="318">
        <f>IFERROR(MROUND(tblPiNAnalysis[[#This Row],[_]]/tblPiNAnalysis[[#This Row],[Population]], 0.05), "")</f>
        <v>0</v>
      </c>
      <c r="AI120" s="321">
        <f>IFERROR(LARGE(tblPiNAnalysis[[#This Row],[CCCM]:[WASH]], 1), "")</f>
        <v>24533</v>
      </c>
      <c r="AJ120" s="322" t="str" cm="1">
        <f t="array" ref="AJ120">IF(tblPiNAnalysis[[#This Row],[Highest PiN]]="", "", _xlfn.TEXTJOIN(CHAR(10), TRUE, IF(tblPiNAnalysis[[#This Row],[Highest PiN]]=tblPiNAnalysis[[#This Row],[CCCM]:[WASH]], tblPiNAnalysis[[#Headers],[CCCM]:[WASH]], "")))</f>
        <v>Food Security</v>
      </c>
      <c r="AK120" s="323">
        <f>IF(tblPiNAnalysis[[#This Row],[Highest PiN]]="", "", tblPiNAnalysis[[#This Row],[Highest PiN]]/tblPiNAnalysis[[#This Row],[Population]])</f>
        <v>0.58989155786385827</v>
      </c>
      <c r="AL120" s="265" t="str">
        <f>IF(SUM(tblPiNAnalysis[[#This Row],[CCCM]:[WASH]])=0, "",IF(COUNTIF(tblPiNAnalysis[[#This Row],[CCCM]:[WASH]],"=0")+COUNTIF(tblPiNAnalysis[[#This Row],[CCCM]:[WASH]],"")&gt;=zero_pin_thresh, "Flagged", ""))</f>
        <v/>
      </c>
      <c r="AM120" s="264" t="str">
        <f>IFERROR(IF(tblPiNAnalysis[[#This Row],[Highest PiN]]="", "", IF(tblPiNAnalysis[[#This Row],[Highest sector(s'') PiN %]]&gt;=flag_pin_perc, "Flagged", "")), "")</f>
        <v/>
      </c>
      <c r="AN120" s="266" t="str" cm="1">
        <f t="array" ref="AN120">IF(tblPiNAnalysis[[#This Row],[Highest PiN]]=0, "",  IF(OR(COUNTIF(tblPiNAnalysis[[#This Row],[Highest sector(s)]],tblSubSectorPopulation[Sector])), "Flagged", ""))</f>
        <v/>
      </c>
      <c r="AO120" s="45" cm="1">
        <f t="array" ref="AO12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14407.269</v>
      </c>
      <c r="AP120" s="326" t="str" cm="1">
        <f t="array" ref="AP120">IF(tblPiNAnalysis[[#This Row],[2nd Highest PiN]]="", "", _xlfn.TEXTJOIN(CHAR(10), TRUE, IF(tblPiNAnalysis[[#This Row],[2nd Highest PiN]]=tblPiNAnalysis[[#This Row],[CCCM]:[WASH]], tblPiNAnalysis[[#Headers],[CCCM]:[WASH]], "")))</f>
        <v>Health</v>
      </c>
      <c r="AQ120" s="35">
        <f>IFERROR(tblPiNAnalysis[[#This Row],[2nd Highest PiN]]/tblPiNAnalysis[[#This Row],[Population]], "")</f>
        <v>0.3464201832215249</v>
      </c>
      <c r="AR120" s="45">
        <f>IFERROR(tblPiNAnalysis[[#This Row],[Highest PiN]]-tblPiNAnalysis[[#This Row],[2nd Highest PiN]], "")</f>
        <v>10125.731</v>
      </c>
      <c r="AS120" s="38">
        <f>IFERROR(((tblPiNAnalysis[[#This Row],[Highest PiN]]-tblPiNAnalysis[[#This Row],[2nd Highest PiN]])/tblPiNAnalysis[[#This Row],[2nd Highest PiN]]),"")</f>
        <v>0.70282098571214291</v>
      </c>
      <c r="AT120" s="269" t="str" cm="1">
        <f t="array" ref="AT12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0" s="327" cm="1">
        <f t="array" ref="AU12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13498.5</v>
      </c>
      <c r="AV120" s="186" t="str" cm="1">
        <f t="array" ref="AV120">IF(tblPiNAnalysis[[#This Row],[3rd Highest PiN]]="", "", _xlfn.TEXTJOIN(CHAR(10), TRUE, IF(tblPiNAnalysis[[#This Row],[3rd Highest PiN]]=tblPiNAnalysis[[#This Row],[CCCM]:[WASH]], tblPiNAnalysis[[#Headers],[CCCM]:[WASH]], "")))</f>
        <v>CCCM</v>
      </c>
      <c r="AW120" s="186">
        <f>IFERROR(tblPiNAnalysis[[#This Row],[3rd Highest PiN]]/tblPiNAnalysis[[#This Row],[Population]], "")</f>
        <v>0.32456899660968047</v>
      </c>
      <c r="AX120" s="44">
        <f>IFERROR(tblPiNAnalysis[[#This Row],[Highest PiN]]-tblPiNAnalysis[[#This Row],[3rd Highest PiN]],"")</f>
        <v>11034.5</v>
      </c>
      <c r="AY120" s="38">
        <f>IFERROR(tblPiNAnalysis[[#This Row],[Difference of PiN between Highest and 3rd Highest]]/tblPiNAnalysis[[#This Row],[3rd Highest PiN]], "")</f>
        <v>0.81746119939252515</v>
      </c>
      <c r="AZ120" s="325" t="str" cm="1">
        <f t="array" ref="AZ12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0" s="292" cm="1">
        <f t="array" ref="BA120">IFERROR(IF(tblPiNAnalysis[[#This Row],[ID]]="", "", INDEX(tblPiNHistorical[[CCCM]:[WASH]], MATCH(tblPiNAnalysis[[#This Row],[ID]],tblPiNHistorical[ID], 0),MATCH(_xlfn._xlws.FILTER(tblPiNAnalysis[[#Headers],[CCCM]:[WASH]], tblPiNAnalysis[[#This Row],[Highest PiN]]=tblPiNAnalysis[[#This Row],[CCCM]:[WASH]]), tblPiNHistorical[[#Headers],[CCCM]:[WASH]], 0))), "")</f>
        <v>0.1</v>
      </c>
      <c r="BB120" s="328" t="str" cm="1">
        <f t="array" ref="BB12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0" s="272" cm="1">
        <f t="array" ref="BC120">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120" s="329" t="str" cm="1">
        <f t="array" ref="BD12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0" s="371">
        <f>INDEX(tblSeverityAnalysis[Final Severity], MATCH(tblPiNAnalysis[[#This Row],[ID]],tblSeverityAnalysis[ID], 0))</f>
        <v>3</v>
      </c>
      <c r="BF120" s="60">
        <f>IF(tblPiNAnalysis[[#This Row],[Severity]]&gt;2,tblPiNAnalysis[[#This Row],[Highest PiN]],)</f>
        <v>24533</v>
      </c>
      <c r="BG120" s="187"/>
      <c r="BH120" s="188"/>
      <c r="BI120" s="189">
        <f>COUNTIFS(tblPiNAnalysis[[#This Row],[Number of missing / zero PiNs greater than threshold - Data quality]:[Manual Flag]],"Flagged")</f>
        <v>2</v>
      </c>
      <c r="BJ120" s="346" t="str">
        <f>IF(tblPiNAnalysis[[#This Row],['# Flags]]&gt;0, "Flagged", "")</f>
        <v>Flagged</v>
      </c>
      <c r="BK120" s="339">
        <f>tblPiNAnalysis[[#This Row],[Preliminary PiN]]</f>
        <v>24533</v>
      </c>
      <c r="BL120" s="326"/>
      <c r="BM120" s="383">
        <f>IF(OR(tblPiNAnalysis[[#This Row],[Severity]]=4,tblPiNAnalysis[[#This Row],[Severity]]=5),tblPiNAnalysis[[#This Row],[Final PiN]],0)</f>
        <v>0</v>
      </c>
      <c r="BN120" s="378">
        <f>IF(OR(tblPiNAnalysis[[#This Row],[Severity]]=4,tblPiNAnalysis[[#This Row],[Severity]]=5),100%, IF(tblPiNAnalysis[[#This Row],[Severity]]=3,50%,0%))*tblPiNAnalysis[[#This Row],[Final PiN]]</f>
        <v>12266.5</v>
      </c>
      <c r="BO120" s="383">
        <f>IF(OR(tblPiNAnalysis[[#This Row],[Severity]]=4,tblPiNAnalysis[[#This Row],[Severity]]=5),100%, IF(AND(tblPiNAnalysis[[#This Row],[Severity]]=3,VLOOKUP(tblPiNAnalysis[[#This Row],[ID]],tblSeverityAnalysis[[ID]:[Highest Severity]],35,FALSE)&gt;3),50%,0%))*tblPiNAnalysis[[#This Row],[Final PiN]]</f>
        <v>0</v>
      </c>
    </row>
    <row r="121" spans="1:67" ht="24.6" hidden="1">
      <c r="A12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Global_PopulationHT0833</v>
      </c>
      <c r="B121" s="304" t="s">
        <v>383</v>
      </c>
      <c r="C121" s="213" t="s">
        <v>384</v>
      </c>
      <c r="D121" s="213" t="s">
        <v>405</v>
      </c>
      <c r="E121" s="103" t="s">
        <v>406</v>
      </c>
      <c r="F121" s="99"/>
      <c r="G121" s="34"/>
      <c r="H121" s="357"/>
      <c r="I121" s="354">
        <v>35380</v>
      </c>
      <c r="J121" s="221" t="s">
        <v>156</v>
      </c>
      <c r="K121" s="316">
        <v>7359</v>
      </c>
      <c r="L121" s="308">
        <v>3261</v>
      </c>
      <c r="M121" s="308">
        <v>3129</v>
      </c>
      <c r="N121" s="308">
        <v>23077</v>
      </c>
      <c r="O121" s="308">
        <v>8062.6266278026897</v>
      </c>
      <c r="P121" s="308">
        <v>5374.4769230769243</v>
      </c>
      <c r="Q121" s="309">
        <v>20764</v>
      </c>
      <c r="R121" s="308">
        <v>4969</v>
      </c>
      <c r="S121" s="308"/>
      <c r="T121" s="308"/>
      <c r="U121" s="308"/>
      <c r="V121" s="308"/>
      <c r="W121" s="317">
        <f>IFERROR(IF(tblPiNAnalysis[[#This Row],[CCCM]]="", "", MROUND(tblPiNAnalysis[[#This Row],[CCCM]]/tblPiNAnalysis[[#This Row],[Population]], 0.05)), "")</f>
        <v>0.2</v>
      </c>
      <c r="X121" s="318">
        <f>IFERROR(IF(tblPiNAnalysis[[#This Row],[Education]]="", "", MROUND(tblPiNAnalysis[[#This Row],[Education]]/tblPiNAnalysis[[#This Row],[Population]], 0.05)), "")</f>
        <v>0.1</v>
      </c>
      <c r="Y121" s="318">
        <f>IFERROR(IF(tblPiNAnalysis[[#This Row],[Nutrition]]="", "", MROUND(tblPiNAnalysis[[#This Row],[Nutrition]]/tblPiNAnalysis[[#This Row],[Population]], 0.05)), "")</f>
        <v>0.1</v>
      </c>
      <c r="Z121" s="318">
        <f>IFERROR(IF(tblPiNAnalysis[[#This Row],[Food Security]]="", "", MROUND(tblPiNAnalysis[[#This Row],[Food Security]]/tblPiNAnalysis[[#This Row],[Population]], 0.05)), "")</f>
        <v>0.65</v>
      </c>
      <c r="AA121" s="318">
        <f>IFERROR(IF(tblPiNAnalysis[[#This Row],[Health]]="", "", MROUND(tblPiNAnalysis[[#This Row],[Health]]/tblPiNAnalysis[[#This Row],[Population]], 0.05)), "")</f>
        <v>0.25</v>
      </c>
      <c r="AB121" s="319">
        <f>IFERROR(IF(tblPiNAnalysis[[#This Row],[Protection]]="", "", MROUND(tblPiNAnalysis[[#This Row],[Protection]]/tblPiNAnalysis[[#This Row],[Population]], 0.05)), "")</f>
        <v>0.15000000000000002</v>
      </c>
      <c r="AC121" s="319">
        <f>IFERROR(IF(tblPiNAnalysis[[#This Row],[Shelter]]="", "", MROUND(tblPiNAnalysis[[#This Row],[Shelter]]/tblPiNAnalysis[[#This Row],[Population]], 0.05)), "")</f>
        <v>0.60000000000000009</v>
      </c>
      <c r="AD121" s="320">
        <f>IFERROR(IF(tblPiNAnalysis[[#This Row],[WASH]]="", "", MROUND(tblPiNAnalysis[[#This Row],[WASH]]/tblPiNAnalysis[[#This Row],[Population]], 0.05)), "")</f>
        <v>0.15000000000000002</v>
      </c>
      <c r="AE121" s="318">
        <f>IFERROR(MROUND(tblPiNAnalysis[[#This Row],[CP]]/tblPiNAnalysis[[#This Row],[Population]], 0.05), "")</f>
        <v>0</v>
      </c>
      <c r="AF121" s="318">
        <f>IFERROR(MROUND(tblPiNAnalysis[[#This Row],[GBV]]/tblPiNAnalysis[[#This Row],[Population]], 0.05), "")</f>
        <v>0</v>
      </c>
      <c r="AG121" s="318">
        <f>IFERROR(MROUND(tblPiNAnalysis[[#This Row],[Migrants]]/tblPiNAnalysis[[#This Row],[Population]], 0.05), "")</f>
        <v>0</v>
      </c>
      <c r="AH121" s="318">
        <f>IFERROR(MROUND(tblPiNAnalysis[[#This Row],[_]]/tblPiNAnalysis[[#This Row],[Population]], 0.05), "")</f>
        <v>0</v>
      </c>
      <c r="AI121" s="321">
        <f>IFERROR(LARGE(tblPiNAnalysis[[#This Row],[CCCM]:[WASH]], 1), "")</f>
        <v>23077</v>
      </c>
      <c r="AJ121" s="322" t="str" cm="1">
        <f t="array" ref="AJ121">IF(tblPiNAnalysis[[#This Row],[Highest PiN]]="", "", _xlfn.TEXTJOIN(CHAR(10), TRUE, IF(tblPiNAnalysis[[#This Row],[Highest PiN]]=tblPiNAnalysis[[#This Row],[CCCM]:[WASH]], tblPiNAnalysis[[#Headers],[CCCM]:[WASH]], "")))</f>
        <v>Food Security</v>
      </c>
      <c r="AK121" s="323">
        <f>IF(tblPiNAnalysis[[#This Row],[Highest PiN]]="", "", tblPiNAnalysis[[#This Row],[Highest PiN]]/tblPiNAnalysis[[#This Row],[Population]])</f>
        <v>0.65226116449971738</v>
      </c>
      <c r="AL121" s="265" t="str">
        <f>IF(SUM(tblPiNAnalysis[[#This Row],[CCCM]:[WASH]])=0, "",IF(COUNTIF(tblPiNAnalysis[[#This Row],[CCCM]:[WASH]],"=0")+COUNTIF(tblPiNAnalysis[[#This Row],[CCCM]:[WASH]],"")&gt;=zero_pin_thresh, "Flagged", ""))</f>
        <v/>
      </c>
      <c r="AM121" s="264" t="str">
        <f>IFERROR(IF(tblPiNAnalysis[[#This Row],[Highest PiN]]="", "", IF(tblPiNAnalysis[[#This Row],[Highest sector(s'') PiN %]]&gt;=flag_pin_perc, "Flagged", "")), "")</f>
        <v/>
      </c>
      <c r="AN121" s="266" t="str" cm="1">
        <f t="array" ref="AN121">IF(tblPiNAnalysis[[#This Row],[Highest PiN]]=0, "",  IF(OR(COUNTIF(tblPiNAnalysis[[#This Row],[Highest sector(s)]],tblSubSectorPopulation[Sector])), "Flagged", ""))</f>
        <v/>
      </c>
      <c r="AO121" s="45" cm="1">
        <f t="array" ref="AO12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20764</v>
      </c>
      <c r="AP121" s="326" t="str" cm="1">
        <f t="array" ref="AP121">IF(tblPiNAnalysis[[#This Row],[2nd Highest PiN]]="", "", _xlfn.TEXTJOIN(CHAR(10), TRUE, IF(tblPiNAnalysis[[#This Row],[2nd Highest PiN]]=tblPiNAnalysis[[#This Row],[CCCM]:[WASH]], tblPiNAnalysis[[#Headers],[CCCM]:[WASH]], "")))</f>
        <v>Shelter</v>
      </c>
      <c r="AQ121" s="35">
        <f>IFERROR(tblPiNAnalysis[[#This Row],[2nd Highest PiN]]/tblPiNAnalysis[[#This Row],[Population]], "")</f>
        <v>0.58688524590163937</v>
      </c>
      <c r="AR121" s="45">
        <f>IFERROR(tblPiNAnalysis[[#This Row],[Highest PiN]]-tblPiNAnalysis[[#This Row],[2nd Highest PiN]], "")</f>
        <v>2313</v>
      </c>
      <c r="AS121" s="38">
        <f>IFERROR(((tblPiNAnalysis[[#This Row],[Highest PiN]]-tblPiNAnalysis[[#This Row],[2nd Highest PiN]])/tblPiNAnalysis[[#This Row],[2nd Highest PiN]]),"")</f>
        <v>0.11139472163359661</v>
      </c>
      <c r="AT121" s="269" t="str" cm="1">
        <f t="array" ref="AT12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1" s="327" cm="1">
        <f t="array" ref="AU12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8062.6266278026897</v>
      </c>
      <c r="AV121" s="186" t="str" cm="1">
        <f t="array" ref="AV121">IF(tblPiNAnalysis[[#This Row],[3rd Highest PiN]]="", "", _xlfn.TEXTJOIN(CHAR(10), TRUE, IF(tblPiNAnalysis[[#This Row],[3rd Highest PiN]]=tblPiNAnalysis[[#This Row],[CCCM]:[WASH]], tblPiNAnalysis[[#Headers],[CCCM]:[WASH]], "")))</f>
        <v>Health</v>
      </c>
      <c r="AW121" s="186">
        <f>IFERROR(tblPiNAnalysis[[#This Row],[3rd Highest PiN]]/tblPiNAnalysis[[#This Row],[Population]], "")</f>
        <v>0.22788656381579112</v>
      </c>
      <c r="AX121" s="44">
        <f>IFERROR(tblPiNAnalysis[[#This Row],[Highest PiN]]-tblPiNAnalysis[[#This Row],[3rd Highest PiN]],"")</f>
        <v>15014.373372197311</v>
      </c>
      <c r="AY121" s="38">
        <f>IFERROR(tblPiNAnalysis[[#This Row],[Difference of PiN between Highest and 3rd Highest]]/tblPiNAnalysis[[#This Row],[3rd Highest PiN]], "")</f>
        <v>1.8622186125328717</v>
      </c>
      <c r="AZ121" s="325" t="str" cm="1">
        <f t="array" ref="AZ12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1" s="292" cm="1">
        <f t="array" ref="BA121">IFERROR(IF(tblPiNAnalysis[[#This Row],[ID]]="", "", INDEX(tblPiNHistorical[[CCCM]:[WASH]], MATCH(tblPiNAnalysis[[#This Row],[ID]],tblPiNHistorical[ID], 0),MATCH(_xlfn._xlws.FILTER(tblPiNAnalysis[[#Headers],[CCCM]:[WASH]], tblPiNAnalysis[[#This Row],[Highest PiN]]=tblPiNAnalysis[[#This Row],[CCCM]:[WASH]]), tblPiNHistorical[[#Headers],[CCCM]:[WASH]], 0))), "")</f>
        <v>0.1</v>
      </c>
      <c r="BB121" s="328" t="str" cm="1">
        <f t="array" ref="BB12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1" s="272" cm="1">
        <f t="array" ref="BC121">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21" s="329" t="str" cm="1">
        <f t="array" ref="BD12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1" s="371">
        <f>INDEX(tblSeverityAnalysis[Final Severity], MATCH(tblPiNAnalysis[[#This Row],[ID]],tblSeverityAnalysis[ID], 0))</f>
        <v>3</v>
      </c>
      <c r="BF121" s="60">
        <f>IF(tblPiNAnalysis[[#This Row],[Severity]]&gt;2,tblPiNAnalysis[[#This Row],[Highest PiN]],)</f>
        <v>23077</v>
      </c>
      <c r="BG121" s="187"/>
      <c r="BH121" s="188"/>
      <c r="BI121" s="189">
        <f>COUNTIFS(tblPiNAnalysis[[#This Row],[Number of missing / zero PiNs greater than threshold - Data quality]:[Manual Flag]],"Flagged")</f>
        <v>1</v>
      </c>
      <c r="BJ121" s="346" t="str">
        <f>IF(tblPiNAnalysis[[#This Row],['# Flags]]&gt;0, "Flagged", "")</f>
        <v>Flagged</v>
      </c>
      <c r="BK121" s="339">
        <f>tblPiNAnalysis[[#This Row],[Preliminary PiN]]</f>
        <v>23077</v>
      </c>
      <c r="BL121" s="326"/>
      <c r="BM121" s="383">
        <f>IF(OR(tblPiNAnalysis[[#This Row],[Severity]]=4,tblPiNAnalysis[[#This Row],[Severity]]=5),tblPiNAnalysis[[#This Row],[Final PiN]],0)</f>
        <v>0</v>
      </c>
      <c r="BN121" s="378">
        <f>IF(OR(tblPiNAnalysis[[#This Row],[Severity]]=4,tblPiNAnalysis[[#This Row],[Severity]]=5),100%, IF(tblPiNAnalysis[[#This Row],[Severity]]=3,50%,0%))*tblPiNAnalysis[[#This Row],[Final PiN]]</f>
        <v>11538.5</v>
      </c>
      <c r="BO121" s="383">
        <f>IF(OR(tblPiNAnalysis[[#This Row],[Severity]]=4,tblPiNAnalysis[[#This Row],[Severity]]=5),100%, IF(AND(tblPiNAnalysis[[#This Row],[Severity]]=3,VLOOKUP(tblPiNAnalysis[[#This Row],[ID]],tblSeverityAnalysis[[ID]:[Highest Severity]],35,FALSE)&gt;3),50%,0%))*tblPiNAnalysis[[#This Row],[Final PiN]]</f>
        <v>0</v>
      </c>
    </row>
    <row r="122" spans="1:67" ht="24.6" hidden="1">
      <c r="A12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Global_PopulationHT0834</v>
      </c>
      <c r="B122" s="304" t="s">
        <v>383</v>
      </c>
      <c r="C122" s="213" t="s">
        <v>384</v>
      </c>
      <c r="D122" s="213" t="s">
        <v>407</v>
      </c>
      <c r="E122" s="103" t="s">
        <v>408</v>
      </c>
      <c r="F122" s="99"/>
      <c r="G122" s="34"/>
      <c r="H122" s="357"/>
      <c r="I122" s="354">
        <v>48575</v>
      </c>
      <c r="J122" s="221" t="s">
        <v>156</v>
      </c>
      <c r="K122" s="316">
        <v>26437.5</v>
      </c>
      <c r="L122" s="308">
        <v>4535</v>
      </c>
      <c r="M122" s="308">
        <v>5492</v>
      </c>
      <c r="N122" s="308">
        <v>31135</v>
      </c>
      <c r="O122" s="308">
        <v>30145.287036676797</v>
      </c>
      <c r="P122" s="308">
        <v>24513.255000000001</v>
      </c>
      <c r="Q122" s="309">
        <v>39291</v>
      </c>
      <c r="R122" s="308">
        <v>17625</v>
      </c>
      <c r="S122" s="308"/>
      <c r="T122" s="308"/>
      <c r="U122" s="308"/>
      <c r="V122" s="308"/>
      <c r="W122" s="317">
        <f>IFERROR(IF(tblPiNAnalysis[[#This Row],[CCCM]]="", "", MROUND(tblPiNAnalysis[[#This Row],[CCCM]]/tblPiNAnalysis[[#This Row],[Population]], 0.05)), "")</f>
        <v>0.55000000000000004</v>
      </c>
      <c r="X122" s="318">
        <f>IFERROR(IF(tblPiNAnalysis[[#This Row],[Education]]="", "", MROUND(tblPiNAnalysis[[#This Row],[Education]]/tblPiNAnalysis[[#This Row],[Population]], 0.05)), "")</f>
        <v>0.1</v>
      </c>
      <c r="Y122" s="318">
        <f>IFERROR(IF(tblPiNAnalysis[[#This Row],[Nutrition]]="", "", MROUND(tblPiNAnalysis[[#This Row],[Nutrition]]/tblPiNAnalysis[[#This Row],[Population]], 0.05)), "")</f>
        <v>0.1</v>
      </c>
      <c r="Z122" s="318">
        <f>IFERROR(IF(tblPiNAnalysis[[#This Row],[Food Security]]="", "", MROUND(tblPiNAnalysis[[#This Row],[Food Security]]/tblPiNAnalysis[[#This Row],[Population]], 0.05)), "")</f>
        <v>0.65</v>
      </c>
      <c r="AA122" s="318">
        <f>IFERROR(IF(tblPiNAnalysis[[#This Row],[Health]]="", "", MROUND(tblPiNAnalysis[[#This Row],[Health]]/tblPiNAnalysis[[#This Row],[Population]], 0.05)), "")</f>
        <v>0.60000000000000009</v>
      </c>
      <c r="AB122" s="319">
        <f>IFERROR(IF(tblPiNAnalysis[[#This Row],[Protection]]="", "", MROUND(tblPiNAnalysis[[#This Row],[Protection]]/tblPiNAnalysis[[#This Row],[Population]], 0.05)), "")</f>
        <v>0.5</v>
      </c>
      <c r="AC122" s="319">
        <f>IFERROR(IF(tblPiNAnalysis[[#This Row],[Shelter]]="", "", MROUND(tblPiNAnalysis[[#This Row],[Shelter]]/tblPiNAnalysis[[#This Row],[Population]], 0.05)), "")</f>
        <v>0.8</v>
      </c>
      <c r="AD122" s="320">
        <f>IFERROR(IF(tblPiNAnalysis[[#This Row],[WASH]]="", "", MROUND(tblPiNAnalysis[[#This Row],[WASH]]/tblPiNAnalysis[[#This Row],[Population]], 0.05)), "")</f>
        <v>0.35000000000000003</v>
      </c>
      <c r="AE122" s="318">
        <f>IFERROR(MROUND(tblPiNAnalysis[[#This Row],[CP]]/tblPiNAnalysis[[#This Row],[Population]], 0.05), "")</f>
        <v>0</v>
      </c>
      <c r="AF122" s="318">
        <f>IFERROR(MROUND(tblPiNAnalysis[[#This Row],[GBV]]/tblPiNAnalysis[[#This Row],[Population]], 0.05), "")</f>
        <v>0</v>
      </c>
      <c r="AG122" s="318">
        <f>IFERROR(MROUND(tblPiNAnalysis[[#This Row],[Migrants]]/tblPiNAnalysis[[#This Row],[Population]], 0.05), "")</f>
        <v>0</v>
      </c>
      <c r="AH122" s="318">
        <f>IFERROR(MROUND(tblPiNAnalysis[[#This Row],[_]]/tblPiNAnalysis[[#This Row],[Population]], 0.05), "")</f>
        <v>0</v>
      </c>
      <c r="AI122" s="321">
        <f>IFERROR(LARGE(tblPiNAnalysis[[#This Row],[CCCM]:[WASH]], 1), "")</f>
        <v>39291</v>
      </c>
      <c r="AJ122" s="322" t="str" cm="1">
        <f t="array" ref="AJ122">IF(tblPiNAnalysis[[#This Row],[Highest PiN]]="", "", _xlfn.TEXTJOIN(CHAR(10), TRUE, IF(tblPiNAnalysis[[#This Row],[Highest PiN]]=tblPiNAnalysis[[#This Row],[CCCM]:[WASH]], tblPiNAnalysis[[#Headers],[CCCM]:[WASH]], "")))</f>
        <v>Shelter</v>
      </c>
      <c r="AK122" s="323">
        <f>IF(tblPiNAnalysis[[#This Row],[Highest PiN]]="", "", tblPiNAnalysis[[#This Row],[Highest PiN]]/tblPiNAnalysis[[#This Row],[Population]])</f>
        <v>0.80887287699433863</v>
      </c>
      <c r="AL122" s="265" t="str">
        <f>IF(SUM(tblPiNAnalysis[[#This Row],[CCCM]:[WASH]])=0, "",IF(COUNTIF(tblPiNAnalysis[[#This Row],[CCCM]:[WASH]],"=0")+COUNTIF(tblPiNAnalysis[[#This Row],[CCCM]:[WASH]],"")&gt;=zero_pin_thresh, "Flagged", ""))</f>
        <v/>
      </c>
      <c r="AM122" s="264" t="str">
        <f>IFERROR(IF(tblPiNAnalysis[[#This Row],[Highest PiN]]="", "", IF(tblPiNAnalysis[[#This Row],[Highest sector(s'') PiN %]]&gt;=flag_pin_perc, "Flagged", "")), "")</f>
        <v/>
      </c>
      <c r="AN122" s="266" t="str" cm="1">
        <f t="array" ref="AN122">IF(tblPiNAnalysis[[#This Row],[Highest PiN]]=0, "",  IF(OR(COUNTIF(tblPiNAnalysis[[#This Row],[Highest sector(s)]],tblSubSectorPopulation[Sector])), "Flagged", ""))</f>
        <v/>
      </c>
      <c r="AO122" s="45" cm="1">
        <f t="array" ref="AO12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31135</v>
      </c>
      <c r="AP122" s="326" t="str" cm="1">
        <f t="array" ref="AP122">IF(tblPiNAnalysis[[#This Row],[2nd Highest PiN]]="", "", _xlfn.TEXTJOIN(CHAR(10), TRUE, IF(tblPiNAnalysis[[#This Row],[2nd Highest PiN]]=tblPiNAnalysis[[#This Row],[CCCM]:[WASH]], tblPiNAnalysis[[#Headers],[CCCM]:[WASH]], "")))</f>
        <v>Food Security</v>
      </c>
      <c r="AQ122" s="35">
        <f>IFERROR(tblPiNAnalysis[[#This Row],[2nd Highest PiN]]/tblPiNAnalysis[[#This Row],[Population]], "")</f>
        <v>0.64096757591353581</v>
      </c>
      <c r="AR122" s="45">
        <f>IFERROR(tblPiNAnalysis[[#This Row],[Highest PiN]]-tblPiNAnalysis[[#This Row],[2nd Highest PiN]], "")</f>
        <v>8156</v>
      </c>
      <c r="AS122" s="38">
        <f>IFERROR(((tblPiNAnalysis[[#This Row],[Highest PiN]]-tblPiNAnalysis[[#This Row],[2nd Highest PiN]])/tblPiNAnalysis[[#This Row],[2nd Highest PiN]]),"")</f>
        <v>0.26195599807290831</v>
      </c>
      <c r="AT122" s="269" t="str" cm="1">
        <f t="array" ref="AT12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2" s="327" cm="1">
        <f t="array" ref="AU12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30145.287036676797</v>
      </c>
      <c r="AV122" s="186" t="str" cm="1">
        <f t="array" ref="AV122">IF(tblPiNAnalysis[[#This Row],[3rd Highest PiN]]="", "", _xlfn.TEXTJOIN(CHAR(10), TRUE, IF(tblPiNAnalysis[[#This Row],[3rd Highest PiN]]=tblPiNAnalysis[[#This Row],[CCCM]:[WASH]], tblPiNAnalysis[[#Headers],[CCCM]:[WASH]], "")))</f>
        <v>Health</v>
      </c>
      <c r="AW122" s="186">
        <f>IFERROR(tblPiNAnalysis[[#This Row],[3rd Highest PiN]]/tblPiNAnalysis[[#This Row],[Population]], "")</f>
        <v>0.62059263070873483</v>
      </c>
      <c r="AX122" s="44">
        <f>IFERROR(tblPiNAnalysis[[#This Row],[Highest PiN]]-tblPiNAnalysis[[#This Row],[3rd Highest PiN]],"")</f>
        <v>9145.7129633232034</v>
      </c>
      <c r="AY122" s="38">
        <f>IFERROR(tblPiNAnalysis[[#This Row],[Difference of PiN between Highest and 3rd Highest]]/tblPiNAnalysis[[#This Row],[3rd Highest PiN]], "")</f>
        <v>0.30338782152566368</v>
      </c>
      <c r="AZ122" s="325" t="str" cm="1">
        <f t="array" ref="AZ12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2" s="292" cm="1">
        <f t="array" ref="BA122">IFERROR(IF(tblPiNAnalysis[[#This Row],[ID]]="", "", INDEX(tblPiNHistorical[[CCCM]:[WASH]], MATCH(tblPiNAnalysis[[#This Row],[ID]],tblPiNHistorical[ID], 0),MATCH(_xlfn._xlws.FILTER(tblPiNAnalysis[[#Headers],[CCCM]:[WASH]], tblPiNAnalysis[[#This Row],[Highest PiN]]=tblPiNAnalysis[[#This Row],[CCCM]:[WASH]]), tblPiNHistorical[[#Headers],[CCCM]:[WASH]], 0))), "")</f>
        <v>0.6</v>
      </c>
      <c r="BB122" s="328" t="str" cm="1">
        <f t="array" ref="BB12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2" s="272" cm="1">
        <f t="array" ref="BC122">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22" s="329" t="str" cm="1">
        <f t="array" ref="BD12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2" s="371">
        <f>INDEX(tblSeverityAnalysis[Final Severity], MATCH(tblPiNAnalysis[[#This Row],[ID]],tblSeverityAnalysis[ID], 0))</f>
        <v>3</v>
      </c>
      <c r="BF122" s="60">
        <f>IF(tblPiNAnalysis[[#This Row],[Severity]]&gt;2,tblPiNAnalysis[[#This Row],[Highest PiN]],)</f>
        <v>39291</v>
      </c>
      <c r="BG122" s="187"/>
      <c r="BH122" s="188"/>
      <c r="BI122" s="189">
        <f>COUNTIFS(tblPiNAnalysis[[#This Row],[Number of missing / zero PiNs greater than threshold - Data quality]:[Manual Flag]],"Flagged")</f>
        <v>0</v>
      </c>
      <c r="BJ122" s="346" t="str">
        <f>IF(tblPiNAnalysis[[#This Row],['# Flags]]&gt;0, "Flagged", "")</f>
        <v/>
      </c>
      <c r="BK122" s="339">
        <f>tblPiNAnalysis[[#This Row],[Preliminary PiN]]</f>
        <v>39291</v>
      </c>
      <c r="BL122" s="326"/>
      <c r="BM122" s="383">
        <f>IF(OR(tblPiNAnalysis[[#This Row],[Severity]]=4,tblPiNAnalysis[[#This Row],[Severity]]=5),tblPiNAnalysis[[#This Row],[Final PiN]],0)</f>
        <v>0</v>
      </c>
      <c r="BN122" s="378">
        <f>IF(OR(tblPiNAnalysis[[#This Row],[Severity]]=4,tblPiNAnalysis[[#This Row],[Severity]]=5),100%, IF(tblPiNAnalysis[[#This Row],[Severity]]=3,50%,0%))*tblPiNAnalysis[[#This Row],[Final PiN]]</f>
        <v>19645.5</v>
      </c>
      <c r="BO122" s="383">
        <f>IF(OR(tblPiNAnalysis[[#This Row],[Severity]]=4,tblPiNAnalysis[[#This Row],[Severity]]=5),100%, IF(AND(tblPiNAnalysis[[#This Row],[Severity]]=3,VLOOKUP(tblPiNAnalysis[[#This Row],[ID]],tblSeverityAnalysis[[ID]:[Highest Severity]],35,FALSE)&gt;3),50%,0%))*tblPiNAnalysis[[#This Row],[Final PiN]]</f>
        <v>0</v>
      </c>
    </row>
    <row r="123" spans="1:67" hidden="1">
      <c r="A12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Global_PopulationHT0911</v>
      </c>
      <c r="B123" s="304" t="s">
        <v>409</v>
      </c>
      <c r="C123" s="213" t="s">
        <v>410</v>
      </c>
      <c r="D123" s="213" t="s">
        <v>411</v>
      </c>
      <c r="E123" s="103" t="s">
        <v>412</v>
      </c>
      <c r="F123" s="99"/>
      <c r="G123" s="34"/>
      <c r="H123" s="357"/>
      <c r="I123" s="354">
        <v>210942</v>
      </c>
      <c r="J123" s="221" t="s">
        <v>156</v>
      </c>
      <c r="K123" s="316">
        <v>1375.5</v>
      </c>
      <c r="L123" s="308">
        <v>29957</v>
      </c>
      <c r="M123" s="308">
        <v>19140</v>
      </c>
      <c r="N123" s="308">
        <v>145340</v>
      </c>
      <c r="O123" s="308">
        <v>6104.804923009815</v>
      </c>
      <c r="P123" s="308">
        <v>12694.867524752473</v>
      </c>
      <c r="Q123" s="309">
        <v>125354</v>
      </c>
      <c r="R123" s="308">
        <v>58478.970297029693</v>
      </c>
      <c r="S123" s="308"/>
      <c r="T123" s="308"/>
      <c r="U123" s="308"/>
      <c r="V123" s="308"/>
      <c r="W123" s="317">
        <f>IFERROR(IF(tblPiNAnalysis[[#This Row],[CCCM]]="", "", MROUND(tblPiNAnalysis[[#This Row],[CCCM]]/tblPiNAnalysis[[#This Row],[Population]], 0.05)), "")</f>
        <v>0</v>
      </c>
      <c r="X123" s="318">
        <f>IFERROR(IF(tblPiNAnalysis[[#This Row],[Education]]="", "", MROUND(tblPiNAnalysis[[#This Row],[Education]]/tblPiNAnalysis[[#This Row],[Population]], 0.05)), "")</f>
        <v>0.15000000000000002</v>
      </c>
      <c r="Y123" s="318">
        <f>IFERROR(IF(tblPiNAnalysis[[#This Row],[Nutrition]]="", "", MROUND(tblPiNAnalysis[[#This Row],[Nutrition]]/tblPiNAnalysis[[#This Row],[Population]], 0.05)), "")</f>
        <v>0.1</v>
      </c>
      <c r="Z123" s="318">
        <f>IFERROR(IF(tblPiNAnalysis[[#This Row],[Food Security]]="", "", MROUND(tblPiNAnalysis[[#This Row],[Food Security]]/tblPiNAnalysis[[#This Row],[Population]], 0.05)), "")</f>
        <v>0.70000000000000007</v>
      </c>
      <c r="AA123" s="318">
        <f>IFERROR(IF(tblPiNAnalysis[[#This Row],[Health]]="", "", MROUND(tblPiNAnalysis[[#This Row],[Health]]/tblPiNAnalysis[[#This Row],[Population]], 0.05)), "")</f>
        <v>0.05</v>
      </c>
      <c r="AB123" s="319">
        <f>IFERROR(IF(tblPiNAnalysis[[#This Row],[Protection]]="", "", MROUND(tblPiNAnalysis[[#This Row],[Protection]]/tblPiNAnalysis[[#This Row],[Population]], 0.05)), "")</f>
        <v>0.05</v>
      </c>
      <c r="AC123" s="319">
        <f>IFERROR(IF(tblPiNAnalysis[[#This Row],[Shelter]]="", "", MROUND(tblPiNAnalysis[[#This Row],[Shelter]]/tblPiNAnalysis[[#This Row],[Population]], 0.05)), "")</f>
        <v>0.60000000000000009</v>
      </c>
      <c r="AD123" s="320">
        <f>IFERROR(IF(tblPiNAnalysis[[#This Row],[WASH]]="", "", MROUND(tblPiNAnalysis[[#This Row],[WASH]]/tblPiNAnalysis[[#This Row],[Population]], 0.05)), "")</f>
        <v>0.30000000000000004</v>
      </c>
      <c r="AE123" s="318">
        <f>IFERROR(MROUND(tblPiNAnalysis[[#This Row],[CP]]/tblPiNAnalysis[[#This Row],[Population]], 0.05), "")</f>
        <v>0</v>
      </c>
      <c r="AF123" s="318">
        <f>IFERROR(MROUND(tblPiNAnalysis[[#This Row],[GBV]]/tblPiNAnalysis[[#This Row],[Population]], 0.05), "")</f>
        <v>0</v>
      </c>
      <c r="AG123" s="318">
        <f>IFERROR(MROUND(tblPiNAnalysis[[#This Row],[Migrants]]/tblPiNAnalysis[[#This Row],[Population]], 0.05), "")</f>
        <v>0</v>
      </c>
      <c r="AH123" s="318">
        <f>IFERROR(MROUND(tblPiNAnalysis[[#This Row],[_]]/tblPiNAnalysis[[#This Row],[Population]], 0.05), "")</f>
        <v>0</v>
      </c>
      <c r="AI123" s="321">
        <f>IFERROR(LARGE(tblPiNAnalysis[[#This Row],[CCCM]:[WASH]], 1), "")</f>
        <v>145340</v>
      </c>
      <c r="AJ123" s="322" t="str" cm="1">
        <f t="array" ref="AJ123">IF(tblPiNAnalysis[[#This Row],[Highest PiN]]="", "", _xlfn.TEXTJOIN(CHAR(10), TRUE, IF(tblPiNAnalysis[[#This Row],[Highest PiN]]=tblPiNAnalysis[[#This Row],[CCCM]:[WASH]], tblPiNAnalysis[[#Headers],[CCCM]:[WASH]], "")))</f>
        <v>Food Security</v>
      </c>
      <c r="AK123" s="323">
        <f>IF(tblPiNAnalysis[[#This Row],[Highest PiN]]="", "", tblPiNAnalysis[[#This Row],[Highest PiN]]/tblPiNAnalysis[[#This Row],[Population]])</f>
        <v>0.68900456049530201</v>
      </c>
      <c r="AL123" s="265" t="str">
        <f>IF(SUM(tblPiNAnalysis[[#This Row],[CCCM]:[WASH]])=0, "",IF(COUNTIF(tblPiNAnalysis[[#This Row],[CCCM]:[WASH]],"=0")+COUNTIF(tblPiNAnalysis[[#This Row],[CCCM]:[WASH]],"")&gt;=zero_pin_thresh, "Flagged", ""))</f>
        <v/>
      </c>
      <c r="AM123" s="264" t="str">
        <f>IFERROR(IF(tblPiNAnalysis[[#This Row],[Highest PiN]]="", "", IF(tblPiNAnalysis[[#This Row],[Highest sector(s'') PiN %]]&gt;=flag_pin_perc, "Flagged", "")), "")</f>
        <v/>
      </c>
      <c r="AN123" s="266" t="str" cm="1">
        <f t="array" ref="AN123">IF(tblPiNAnalysis[[#This Row],[Highest PiN]]=0, "",  IF(OR(COUNTIF(tblPiNAnalysis[[#This Row],[Highest sector(s)]],tblSubSectorPopulation[Sector])), "Flagged", ""))</f>
        <v/>
      </c>
      <c r="AO123" s="45" cm="1">
        <f t="array" ref="AO12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125354</v>
      </c>
      <c r="AP123" s="326" t="str" cm="1">
        <f t="array" ref="AP123">IF(tblPiNAnalysis[[#This Row],[2nd Highest PiN]]="", "", _xlfn.TEXTJOIN(CHAR(10), TRUE, IF(tblPiNAnalysis[[#This Row],[2nd Highest PiN]]=tblPiNAnalysis[[#This Row],[CCCM]:[WASH]], tblPiNAnalysis[[#Headers],[CCCM]:[WASH]], "")))</f>
        <v>Shelter</v>
      </c>
      <c r="AQ123" s="35">
        <f>IFERROR(tblPiNAnalysis[[#This Row],[2nd Highest PiN]]/tblPiNAnalysis[[#This Row],[Population]], "")</f>
        <v>0.59425813730788557</v>
      </c>
      <c r="AR123" s="45">
        <f>IFERROR(tblPiNAnalysis[[#This Row],[Highest PiN]]-tblPiNAnalysis[[#This Row],[2nd Highest PiN]], "")</f>
        <v>19986</v>
      </c>
      <c r="AS123" s="38">
        <f>IFERROR(((tblPiNAnalysis[[#This Row],[Highest PiN]]-tblPiNAnalysis[[#This Row],[2nd Highest PiN]])/tblPiNAnalysis[[#This Row],[2nd Highest PiN]]),"")</f>
        <v>0.15943647590025048</v>
      </c>
      <c r="AT123" s="269" t="str" cm="1">
        <f t="array" ref="AT12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3" s="327" cm="1">
        <f t="array" ref="AU12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58478.970297029693</v>
      </c>
      <c r="AV123" s="186" t="str" cm="1">
        <f t="array" ref="AV123">IF(tblPiNAnalysis[[#This Row],[3rd Highest PiN]]="", "", _xlfn.TEXTJOIN(CHAR(10), TRUE, IF(tblPiNAnalysis[[#This Row],[3rd Highest PiN]]=tblPiNAnalysis[[#This Row],[CCCM]:[WASH]], tblPiNAnalysis[[#Headers],[CCCM]:[WASH]], "")))</f>
        <v>WASH</v>
      </c>
      <c r="AW123" s="186">
        <f>IFERROR(tblPiNAnalysis[[#This Row],[3rd Highest PiN]]/tblPiNAnalysis[[#This Row],[Population]], "")</f>
        <v>0.2772277227722772</v>
      </c>
      <c r="AX123" s="44">
        <f>IFERROR(tblPiNAnalysis[[#This Row],[Highest PiN]]-tblPiNAnalysis[[#This Row],[3rd Highest PiN]],"")</f>
        <v>86861.029702970307</v>
      </c>
      <c r="AY123" s="38">
        <f>IFERROR(tblPiNAnalysis[[#This Row],[Difference of PiN between Highest and 3rd Highest]]/tblPiNAnalysis[[#This Row],[3rd Highest PiN]], "")</f>
        <v>1.4853378789294827</v>
      </c>
      <c r="AZ123" s="325" t="str" cm="1">
        <f t="array" ref="AZ12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3" s="292" cm="1">
        <f t="array" ref="BA123">IFERROR(IF(tblPiNAnalysis[[#This Row],[ID]]="", "", INDEX(tblPiNHistorical[[CCCM]:[WASH]], MATCH(tblPiNAnalysis[[#This Row],[ID]],tblPiNHistorical[ID], 0),MATCH(_xlfn._xlws.FILTER(tblPiNAnalysis[[#Headers],[CCCM]:[WASH]], tblPiNAnalysis[[#This Row],[Highest PiN]]=tblPiNAnalysis[[#This Row],[CCCM]:[WASH]]), tblPiNHistorical[[#Headers],[CCCM]:[WASH]], 0))), "")</f>
        <v>0.1</v>
      </c>
      <c r="BB123" s="328" t="str" cm="1">
        <f t="array" ref="BB12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3" s="272" cm="1">
        <f t="array" ref="BC123">IFERROR(IF(tblPiNAnalysis[[#This Row],[ID]]="", "", INDEX(tblPiNHistorical[[CCCM]:[WASH]], MATCH(tblPiNAnalysis[[#This Row],[ID]],tblPiNHistorical[ID], 0),MATCH(_xlfn._xlws.FILTER(tblPiNAnalysis[[#Headers],[CCCM]:[WASH]], tblPiNAnalysis[[#This Row],[2nd Highest PiN]]=tblPiNAnalysis[[#This Row],[CCCM]:[WASH]]), tblPiNHistorical[[#Headers],[CCCM]:[WASH]], 0))), "")</f>
        <v>1.1000000000000001</v>
      </c>
      <c r="BD123" s="329" t="str" cm="1">
        <f t="array" ref="BD12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123" s="371">
        <f>INDEX(tblSeverityAnalysis[Final Severity], MATCH(tblPiNAnalysis[[#This Row],[ID]],tblSeverityAnalysis[ID], 0))</f>
        <v>3</v>
      </c>
      <c r="BF123" s="60">
        <f>IF(tblPiNAnalysis[[#This Row],[Severity]]&gt;2,tblPiNAnalysis[[#This Row],[Highest PiN]],)</f>
        <v>145340</v>
      </c>
      <c r="BG123" s="187"/>
      <c r="BH123" s="188"/>
      <c r="BI123" s="189">
        <f>COUNTIFS(tblPiNAnalysis[[#This Row],[Number of missing / zero PiNs greater than threshold - Data quality]:[Manual Flag]],"Flagged")</f>
        <v>2</v>
      </c>
      <c r="BJ123" s="346" t="str">
        <f>IF(tblPiNAnalysis[[#This Row],['# Flags]]&gt;0, "Flagged", "")</f>
        <v>Flagged</v>
      </c>
      <c r="BK123" s="339">
        <f>tblPiNAnalysis[[#This Row],[Preliminary PiN]]</f>
        <v>145340</v>
      </c>
      <c r="BL123" s="326"/>
      <c r="BM123" s="383">
        <f>IF(OR(tblPiNAnalysis[[#This Row],[Severity]]=4,tblPiNAnalysis[[#This Row],[Severity]]=5),tblPiNAnalysis[[#This Row],[Final PiN]],0)</f>
        <v>0</v>
      </c>
      <c r="BN123" s="378">
        <f>IF(OR(tblPiNAnalysis[[#This Row],[Severity]]=4,tblPiNAnalysis[[#This Row],[Severity]]=5),100%, IF(tblPiNAnalysis[[#This Row],[Severity]]=3,50%,0%))*tblPiNAnalysis[[#This Row],[Final PiN]]</f>
        <v>72670</v>
      </c>
      <c r="BO123" s="383">
        <f>IF(OR(tblPiNAnalysis[[#This Row],[Severity]]=4,tblPiNAnalysis[[#This Row],[Severity]]=5),100%, IF(AND(tblPiNAnalysis[[#This Row],[Severity]]=3,VLOOKUP(tblPiNAnalysis[[#This Row],[ID]],tblSeverityAnalysis[[ID]:[Highest Severity]],35,FALSE)&gt;3),50%,0%))*tblPiNAnalysis[[#This Row],[Final PiN]]</f>
        <v>72670</v>
      </c>
    </row>
    <row r="124" spans="1:67" hidden="1">
      <c r="A12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Global_PopulationHT0912</v>
      </c>
      <c r="B124" s="304" t="s">
        <v>409</v>
      </c>
      <c r="C124" s="213" t="s">
        <v>410</v>
      </c>
      <c r="D124" s="213" t="s">
        <v>413</v>
      </c>
      <c r="E124" s="103" t="s">
        <v>414</v>
      </c>
      <c r="F124" s="99"/>
      <c r="G124" s="34"/>
      <c r="H124" s="357"/>
      <c r="I124" s="354">
        <v>40156</v>
      </c>
      <c r="J124" s="221" t="s">
        <v>156</v>
      </c>
      <c r="K124" s="316">
        <v>232.5</v>
      </c>
      <c r="L124" s="308">
        <v>6153</v>
      </c>
      <c r="M124" s="308">
        <v>3388</v>
      </c>
      <c r="N124" s="308">
        <v>28112</v>
      </c>
      <c r="O124" s="308">
        <v>815.9592322580645</v>
      </c>
      <c r="P124" s="308">
        <v>1663.4799999999998</v>
      </c>
      <c r="Q124" s="309">
        <v>23808</v>
      </c>
      <c r="R124" s="308">
        <v>30117</v>
      </c>
      <c r="S124" s="308"/>
      <c r="T124" s="308"/>
      <c r="U124" s="308"/>
      <c r="V124" s="308"/>
      <c r="W124" s="317">
        <f>IFERROR(IF(tblPiNAnalysis[[#This Row],[CCCM]]="", "", MROUND(tblPiNAnalysis[[#This Row],[CCCM]]/tblPiNAnalysis[[#This Row],[Population]], 0.05)), "")</f>
        <v>0</v>
      </c>
      <c r="X124" s="318">
        <f>IFERROR(IF(tblPiNAnalysis[[#This Row],[Education]]="", "", MROUND(tblPiNAnalysis[[#This Row],[Education]]/tblPiNAnalysis[[#This Row],[Population]], 0.05)), "")</f>
        <v>0.15000000000000002</v>
      </c>
      <c r="Y124" s="318">
        <f>IFERROR(IF(tblPiNAnalysis[[#This Row],[Nutrition]]="", "", MROUND(tblPiNAnalysis[[#This Row],[Nutrition]]/tblPiNAnalysis[[#This Row],[Population]], 0.05)), "")</f>
        <v>0.1</v>
      </c>
      <c r="Z124" s="318">
        <f>IFERROR(IF(tblPiNAnalysis[[#This Row],[Food Security]]="", "", MROUND(tblPiNAnalysis[[#This Row],[Food Security]]/tblPiNAnalysis[[#This Row],[Population]], 0.05)), "")</f>
        <v>0.70000000000000007</v>
      </c>
      <c r="AA124" s="318">
        <f>IFERROR(IF(tblPiNAnalysis[[#This Row],[Health]]="", "", MROUND(tblPiNAnalysis[[#This Row],[Health]]/tblPiNAnalysis[[#This Row],[Population]], 0.05)), "")</f>
        <v>0</v>
      </c>
      <c r="AB124" s="319">
        <f>IFERROR(IF(tblPiNAnalysis[[#This Row],[Protection]]="", "", MROUND(tblPiNAnalysis[[#This Row],[Protection]]/tblPiNAnalysis[[#This Row],[Population]], 0.05)), "")</f>
        <v>0.05</v>
      </c>
      <c r="AC124" s="319">
        <f>IFERROR(IF(tblPiNAnalysis[[#This Row],[Shelter]]="", "", MROUND(tblPiNAnalysis[[#This Row],[Shelter]]/tblPiNAnalysis[[#This Row],[Population]], 0.05)), "")</f>
        <v>0.60000000000000009</v>
      </c>
      <c r="AD124" s="320">
        <f>IFERROR(IF(tblPiNAnalysis[[#This Row],[WASH]]="", "", MROUND(tblPiNAnalysis[[#This Row],[WASH]]/tblPiNAnalysis[[#This Row],[Population]], 0.05)), "")</f>
        <v>0.75</v>
      </c>
      <c r="AE124" s="318">
        <f>IFERROR(MROUND(tblPiNAnalysis[[#This Row],[CP]]/tblPiNAnalysis[[#This Row],[Population]], 0.05), "")</f>
        <v>0</v>
      </c>
      <c r="AF124" s="318">
        <f>IFERROR(MROUND(tblPiNAnalysis[[#This Row],[GBV]]/tblPiNAnalysis[[#This Row],[Population]], 0.05), "")</f>
        <v>0</v>
      </c>
      <c r="AG124" s="318">
        <f>IFERROR(MROUND(tblPiNAnalysis[[#This Row],[Migrants]]/tblPiNAnalysis[[#This Row],[Population]], 0.05), "")</f>
        <v>0</v>
      </c>
      <c r="AH124" s="318">
        <f>IFERROR(MROUND(tblPiNAnalysis[[#This Row],[_]]/tblPiNAnalysis[[#This Row],[Population]], 0.05), "")</f>
        <v>0</v>
      </c>
      <c r="AI124" s="321">
        <f>IFERROR(LARGE(tblPiNAnalysis[[#This Row],[CCCM]:[WASH]], 1), "")</f>
        <v>30117</v>
      </c>
      <c r="AJ124" s="322" t="str" cm="1">
        <f t="array" ref="AJ124">IF(tblPiNAnalysis[[#This Row],[Highest PiN]]="", "", _xlfn.TEXTJOIN(CHAR(10), TRUE, IF(tblPiNAnalysis[[#This Row],[Highest PiN]]=tblPiNAnalysis[[#This Row],[CCCM]:[WASH]], tblPiNAnalysis[[#Headers],[CCCM]:[WASH]], "")))</f>
        <v>WASH</v>
      </c>
      <c r="AK124" s="323">
        <f>IF(tblPiNAnalysis[[#This Row],[Highest PiN]]="", "", tblPiNAnalysis[[#This Row],[Highest PiN]]/tblPiNAnalysis[[#This Row],[Population]])</f>
        <v>0.75</v>
      </c>
      <c r="AL124" s="265" t="str">
        <f>IF(SUM(tblPiNAnalysis[[#This Row],[CCCM]:[WASH]])=0, "",IF(COUNTIF(tblPiNAnalysis[[#This Row],[CCCM]:[WASH]],"=0")+COUNTIF(tblPiNAnalysis[[#This Row],[CCCM]:[WASH]],"")&gt;=zero_pin_thresh, "Flagged", ""))</f>
        <v/>
      </c>
      <c r="AM124" s="264" t="str">
        <f>IFERROR(IF(tblPiNAnalysis[[#This Row],[Highest PiN]]="", "", IF(tblPiNAnalysis[[#This Row],[Highest sector(s'') PiN %]]&gt;=flag_pin_perc, "Flagged", "")), "")</f>
        <v/>
      </c>
      <c r="AN124" s="266" t="str" cm="1">
        <f t="array" ref="AN124">IF(tblPiNAnalysis[[#This Row],[Highest PiN]]=0, "",  IF(OR(COUNTIF(tblPiNAnalysis[[#This Row],[Highest sector(s)]],tblSubSectorPopulation[Sector])), "Flagged", ""))</f>
        <v/>
      </c>
      <c r="AO124" s="45" cm="1">
        <f t="array" ref="AO12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28112</v>
      </c>
      <c r="AP124" s="326" t="str" cm="1">
        <f t="array" ref="AP124">IF(tblPiNAnalysis[[#This Row],[2nd Highest PiN]]="", "", _xlfn.TEXTJOIN(CHAR(10), TRUE, IF(tblPiNAnalysis[[#This Row],[2nd Highest PiN]]=tblPiNAnalysis[[#This Row],[CCCM]:[WASH]], tblPiNAnalysis[[#Headers],[CCCM]:[WASH]], "")))</f>
        <v>Food Security</v>
      </c>
      <c r="AQ124" s="35">
        <f>IFERROR(tblPiNAnalysis[[#This Row],[2nd Highest PiN]]/tblPiNAnalysis[[#This Row],[Population]], "")</f>
        <v>0.70006972806056378</v>
      </c>
      <c r="AR124" s="45">
        <f>IFERROR(tblPiNAnalysis[[#This Row],[Highest PiN]]-tblPiNAnalysis[[#This Row],[2nd Highest PiN]], "")</f>
        <v>2005</v>
      </c>
      <c r="AS124" s="38">
        <f>IFERROR(((tblPiNAnalysis[[#This Row],[Highest PiN]]-tblPiNAnalysis[[#This Row],[2nd Highest PiN]])/tblPiNAnalysis[[#This Row],[2nd Highest PiN]]),"")</f>
        <v>7.1321855435401246E-2</v>
      </c>
      <c r="AT124" s="269" t="str" cm="1">
        <f t="array" ref="AT12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4" s="327" cm="1">
        <f t="array" ref="AU12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23808</v>
      </c>
      <c r="AV124" s="186" t="str" cm="1">
        <f t="array" ref="AV124">IF(tblPiNAnalysis[[#This Row],[3rd Highest PiN]]="", "", _xlfn.TEXTJOIN(CHAR(10), TRUE, IF(tblPiNAnalysis[[#This Row],[3rd Highest PiN]]=tblPiNAnalysis[[#This Row],[CCCM]:[WASH]], tblPiNAnalysis[[#Headers],[CCCM]:[WASH]], "")))</f>
        <v>Shelter</v>
      </c>
      <c r="AW124" s="186">
        <f>IFERROR(tblPiNAnalysis[[#This Row],[3rd Highest PiN]]/tblPiNAnalysis[[#This Row],[Population]], "")</f>
        <v>0.59288773782249227</v>
      </c>
      <c r="AX124" s="44">
        <f>IFERROR(tblPiNAnalysis[[#This Row],[Highest PiN]]-tblPiNAnalysis[[#This Row],[3rd Highest PiN]],"")</f>
        <v>6309</v>
      </c>
      <c r="AY124" s="38">
        <f>IFERROR(tblPiNAnalysis[[#This Row],[Difference of PiN between Highest and 3rd Highest]]/tblPiNAnalysis[[#This Row],[3rd Highest PiN]], "")</f>
        <v>0.26499495967741937</v>
      </c>
      <c r="AZ124" s="325" t="str" cm="1">
        <f t="array" ref="AZ12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24" s="292" cm="1">
        <f t="array" ref="BA124">IFERROR(IF(tblPiNAnalysis[[#This Row],[ID]]="", "", INDEX(tblPiNHistorical[[CCCM]:[WASH]], MATCH(tblPiNAnalysis[[#This Row],[ID]],tblPiNHistorical[ID], 0),MATCH(_xlfn._xlws.FILTER(tblPiNAnalysis[[#Headers],[CCCM]:[WASH]], tblPiNAnalysis[[#This Row],[Highest PiN]]=tblPiNAnalysis[[#This Row],[CCCM]:[WASH]]), tblPiNHistorical[[#Headers],[CCCM]:[WASH]], 0))), "")</f>
        <v>7.8</v>
      </c>
      <c r="BB124" s="328" t="str" cm="1">
        <f t="array" ref="BB12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24" s="272" cm="1">
        <f t="array" ref="BC124">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24" s="329" t="str" cm="1">
        <f t="array" ref="BD12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4" s="371">
        <f>INDEX(tblSeverityAnalysis[Final Severity], MATCH(tblPiNAnalysis[[#This Row],[ID]],tblSeverityAnalysis[ID], 0))</f>
        <v>3</v>
      </c>
      <c r="BF124" s="60">
        <f>IF(tblPiNAnalysis[[#This Row],[Severity]]&gt;2,tblPiNAnalysis[[#This Row],[Highest PiN]],)</f>
        <v>30117</v>
      </c>
      <c r="BG124" s="187"/>
      <c r="BH124" s="188"/>
      <c r="BI124" s="189">
        <f>COUNTIFS(tblPiNAnalysis[[#This Row],[Number of missing / zero PiNs greater than threshold - Data quality]:[Manual Flag]],"Flagged")</f>
        <v>1</v>
      </c>
      <c r="BJ124" s="346" t="str">
        <f>IF(tblPiNAnalysis[[#This Row],['# Flags]]&gt;0, "Flagged", "")</f>
        <v>Flagged</v>
      </c>
      <c r="BK124" s="339">
        <f>tblPiNAnalysis[[#This Row],[Preliminary PiN]]</f>
        <v>30117</v>
      </c>
      <c r="BL124" s="326"/>
      <c r="BM124" s="383">
        <f>IF(OR(tblPiNAnalysis[[#This Row],[Severity]]=4,tblPiNAnalysis[[#This Row],[Severity]]=5),tblPiNAnalysis[[#This Row],[Final PiN]],0)</f>
        <v>0</v>
      </c>
      <c r="BN124" s="378">
        <f>IF(OR(tblPiNAnalysis[[#This Row],[Severity]]=4,tblPiNAnalysis[[#This Row],[Severity]]=5),100%, IF(tblPiNAnalysis[[#This Row],[Severity]]=3,50%,0%))*tblPiNAnalysis[[#This Row],[Final PiN]]</f>
        <v>15058.5</v>
      </c>
      <c r="BO124" s="383">
        <f>IF(OR(tblPiNAnalysis[[#This Row],[Severity]]=4,tblPiNAnalysis[[#This Row],[Severity]]=5),100%, IF(AND(tblPiNAnalysis[[#This Row],[Severity]]=3,VLOOKUP(tblPiNAnalysis[[#This Row],[ID]],tblSeverityAnalysis[[ID]:[Highest Severity]],35,FALSE)&gt;3),50%,0%))*tblPiNAnalysis[[#This Row],[Final PiN]]</f>
        <v>15058.5</v>
      </c>
    </row>
    <row r="125" spans="1:67" hidden="1">
      <c r="A12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Global_PopulationHT0913</v>
      </c>
      <c r="B125" s="304" t="s">
        <v>409</v>
      </c>
      <c r="C125" s="213" t="s">
        <v>410</v>
      </c>
      <c r="D125" s="213" t="s">
        <v>415</v>
      </c>
      <c r="E125" s="103" t="s">
        <v>416</v>
      </c>
      <c r="F125" s="99"/>
      <c r="G125" s="34"/>
      <c r="H125" s="357"/>
      <c r="I125" s="354">
        <v>65669</v>
      </c>
      <c r="J125" s="221" t="s">
        <v>156</v>
      </c>
      <c r="K125" s="316">
        <v>2844</v>
      </c>
      <c r="L125" s="308">
        <v>10106</v>
      </c>
      <c r="M125" s="308">
        <v>5604</v>
      </c>
      <c r="N125" s="308">
        <v>30163</v>
      </c>
      <c r="O125" s="308">
        <v>3683.6619215189876</v>
      </c>
      <c r="P125" s="308">
        <v>2680.8</v>
      </c>
      <c r="Q125" s="309">
        <v>55600</v>
      </c>
      <c r="R125" s="308">
        <v>55300.210526315786</v>
      </c>
      <c r="S125" s="308"/>
      <c r="T125" s="308"/>
      <c r="U125" s="308"/>
      <c r="V125" s="308"/>
      <c r="W125" s="317">
        <f>IFERROR(IF(tblPiNAnalysis[[#This Row],[CCCM]]="", "", MROUND(tblPiNAnalysis[[#This Row],[CCCM]]/tblPiNAnalysis[[#This Row],[Population]], 0.05)), "")</f>
        <v>0.05</v>
      </c>
      <c r="X125" s="318">
        <f>IFERROR(IF(tblPiNAnalysis[[#This Row],[Education]]="", "", MROUND(tblPiNAnalysis[[#This Row],[Education]]/tblPiNAnalysis[[#This Row],[Population]], 0.05)), "")</f>
        <v>0.15000000000000002</v>
      </c>
      <c r="Y125" s="318">
        <f>IFERROR(IF(tblPiNAnalysis[[#This Row],[Nutrition]]="", "", MROUND(tblPiNAnalysis[[#This Row],[Nutrition]]/tblPiNAnalysis[[#This Row],[Population]], 0.05)), "")</f>
        <v>0.1</v>
      </c>
      <c r="Z125" s="318">
        <f>IFERROR(IF(tblPiNAnalysis[[#This Row],[Food Security]]="", "", MROUND(tblPiNAnalysis[[#This Row],[Food Security]]/tblPiNAnalysis[[#This Row],[Population]], 0.05)), "")</f>
        <v>0.45</v>
      </c>
      <c r="AA125" s="318">
        <f>IFERROR(IF(tblPiNAnalysis[[#This Row],[Health]]="", "", MROUND(tblPiNAnalysis[[#This Row],[Health]]/tblPiNAnalysis[[#This Row],[Population]], 0.05)), "")</f>
        <v>0.05</v>
      </c>
      <c r="AB125" s="319">
        <f>IFERROR(IF(tblPiNAnalysis[[#This Row],[Protection]]="", "", MROUND(tblPiNAnalysis[[#This Row],[Protection]]/tblPiNAnalysis[[#This Row],[Population]], 0.05)), "")</f>
        <v>0.05</v>
      </c>
      <c r="AC125" s="319">
        <f>IFERROR(IF(tblPiNAnalysis[[#This Row],[Shelter]]="", "", MROUND(tblPiNAnalysis[[#This Row],[Shelter]]/tblPiNAnalysis[[#This Row],[Population]], 0.05)), "")</f>
        <v>0.85000000000000009</v>
      </c>
      <c r="AD125" s="320">
        <f>IFERROR(IF(tblPiNAnalysis[[#This Row],[WASH]]="", "", MROUND(tblPiNAnalysis[[#This Row],[WASH]]/tblPiNAnalysis[[#This Row],[Population]], 0.05)), "")</f>
        <v>0.85000000000000009</v>
      </c>
      <c r="AE125" s="318">
        <f>IFERROR(MROUND(tblPiNAnalysis[[#This Row],[CP]]/tblPiNAnalysis[[#This Row],[Population]], 0.05), "")</f>
        <v>0</v>
      </c>
      <c r="AF125" s="318">
        <f>IFERROR(MROUND(tblPiNAnalysis[[#This Row],[GBV]]/tblPiNAnalysis[[#This Row],[Population]], 0.05), "")</f>
        <v>0</v>
      </c>
      <c r="AG125" s="318">
        <f>IFERROR(MROUND(tblPiNAnalysis[[#This Row],[Migrants]]/tblPiNAnalysis[[#This Row],[Population]], 0.05), "")</f>
        <v>0</v>
      </c>
      <c r="AH125" s="318">
        <f>IFERROR(MROUND(tblPiNAnalysis[[#This Row],[_]]/tblPiNAnalysis[[#This Row],[Population]], 0.05), "")</f>
        <v>0</v>
      </c>
      <c r="AI125" s="321">
        <f>IFERROR(LARGE(tblPiNAnalysis[[#This Row],[CCCM]:[WASH]], 1), "")</f>
        <v>55600</v>
      </c>
      <c r="AJ125" s="322" t="str" cm="1">
        <f t="array" ref="AJ125">IF(tblPiNAnalysis[[#This Row],[Highest PiN]]="", "", _xlfn.TEXTJOIN(CHAR(10), TRUE, IF(tblPiNAnalysis[[#This Row],[Highest PiN]]=tblPiNAnalysis[[#This Row],[CCCM]:[WASH]], tblPiNAnalysis[[#Headers],[CCCM]:[WASH]], "")))</f>
        <v>Shelter</v>
      </c>
      <c r="AK125" s="323">
        <f>IF(tblPiNAnalysis[[#This Row],[Highest PiN]]="", "", tblPiNAnalysis[[#This Row],[Highest PiN]]/tblPiNAnalysis[[#This Row],[Population]])</f>
        <v>0.84667042287837491</v>
      </c>
      <c r="AL125" s="265" t="str">
        <f>IF(SUM(tblPiNAnalysis[[#This Row],[CCCM]:[WASH]])=0, "",IF(COUNTIF(tblPiNAnalysis[[#This Row],[CCCM]:[WASH]],"=0")+COUNTIF(tblPiNAnalysis[[#This Row],[CCCM]:[WASH]],"")&gt;=zero_pin_thresh, "Flagged", ""))</f>
        <v/>
      </c>
      <c r="AM125" s="264" t="str">
        <f>IFERROR(IF(tblPiNAnalysis[[#This Row],[Highest PiN]]="", "", IF(tblPiNAnalysis[[#This Row],[Highest sector(s'') PiN %]]&gt;=flag_pin_perc, "Flagged", "")), "")</f>
        <v/>
      </c>
      <c r="AN125" s="266" t="str" cm="1">
        <f t="array" ref="AN125">IF(tblPiNAnalysis[[#This Row],[Highest PiN]]=0, "",  IF(OR(COUNTIF(tblPiNAnalysis[[#This Row],[Highest sector(s)]],tblSubSectorPopulation[Sector])), "Flagged", ""))</f>
        <v/>
      </c>
      <c r="AO125" s="45" cm="1">
        <f t="array" ref="AO12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55300.210526315786</v>
      </c>
      <c r="AP125" s="326" t="str" cm="1">
        <f t="array" ref="AP125">IF(tblPiNAnalysis[[#This Row],[2nd Highest PiN]]="", "", _xlfn.TEXTJOIN(CHAR(10), TRUE, IF(tblPiNAnalysis[[#This Row],[2nd Highest PiN]]=tblPiNAnalysis[[#This Row],[CCCM]:[WASH]], tblPiNAnalysis[[#Headers],[CCCM]:[WASH]], "")))</f>
        <v>WASH</v>
      </c>
      <c r="AQ125" s="35">
        <f>IFERROR(tblPiNAnalysis[[#This Row],[2nd Highest PiN]]/tblPiNAnalysis[[#This Row],[Population]], "")</f>
        <v>0.84210526315789469</v>
      </c>
      <c r="AR125" s="45">
        <f>IFERROR(tblPiNAnalysis[[#This Row],[Highest PiN]]-tblPiNAnalysis[[#This Row],[2nd Highest PiN]], "")</f>
        <v>299.78947368421359</v>
      </c>
      <c r="AS125" s="38">
        <f>IFERROR(((tblPiNAnalysis[[#This Row],[Highest PiN]]-tblPiNAnalysis[[#This Row],[2nd Highest PiN]])/tblPiNAnalysis[[#This Row],[2nd Highest PiN]]),"")</f>
        <v>5.4211271680702257E-3</v>
      </c>
      <c r="AT125" s="269" t="str" cm="1">
        <f t="array" ref="AT12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5" s="327" cm="1">
        <f t="array" ref="AU12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30163</v>
      </c>
      <c r="AV125" s="186" t="str" cm="1">
        <f t="array" ref="AV125">IF(tblPiNAnalysis[[#This Row],[3rd Highest PiN]]="", "", _xlfn.TEXTJOIN(CHAR(10), TRUE, IF(tblPiNAnalysis[[#This Row],[3rd Highest PiN]]=tblPiNAnalysis[[#This Row],[CCCM]:[WASH]], tblPiNAnalysis[[#Headers],[CCCM]:[WASH]], "")))</f>
        <v>Food Security</v>
      </c>
      <c r="AW125" s="186">
        <f>IFERROR(tblPiNAnalysis[[#This Row],[3rd Highest PiN]]/tblPiNAnalysis[[#This Row],[Population]], "")</f>
        <v>0.4593187044115184</v>
      </c>
      <c r="AX125" s="44">
        <f>IFERROR(tblPiNAnalysis[[#This Row],[Highest PiN]]-tblPiNAnalysis[[#This Row],[3rd Highest PiN]],"")</f>
        <v>25437</v>
      </c>
      <c r="AY125" s="38">
        <f>IFERROR(tblPiNAnalysis[[#This Row],[Difference of PiN between Highest and 3rd Highest]]/tblPiNAnalysis[[#This Row],[3rd Highest PiN]], "")</f>
        <v>0.84331797235023043</v>
      </c>
      <c r="AZ125" s="325" t="str" cm="1">
        <f t="array" ref="AZ12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5" s="292" cm="1">
        <f t="array" ref="BA125">IFERROR(IF(tblPiNAnalysis[[#This Row],[ID]]="", "", INDEX(tblPiNHistorical[[CCCM]:[WASH]], MATCH(tblPiNAnalysis[[#This Row],[ID]],tblPiNHistorical[ID], 0),MATCH(_xlfn._xlws.FILTER(tblPiNAnalysis[[#Headers],[CCCM]:[WASH]], tblPiNAnalysis[[#This Row],[Highest PiN]]=tblPiNAnalysis[[#This Row],[CCCM]:[WASH]]), tblPiNHistorical[[#Headers],[CCCM]:[WASH]], 0))), "")</f>
        <v>1.6</v>
      </c>
      <c r="BB125" s="328" t="str" cm="1">
        <f t="array" ref="BB12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25" s="272" cm="1">
        <f t="array" ref="BC125">IFERROR(IF(tblPiNAnalysis[[#This Row],[ID]]="", "", INDEX(tblPiNHistorical[[CCCM]:[WASH]], MATCH(tblPiNAnalysis[[#This Row],[ID]],tblPiNHistorical[ID], 0),MATCH(_xlfn._xlws.FILTER(tblPiNAnalysis[[#Headers],[CCCM]:[WASH]], tblPiNAnalysis[[#This Row],[2nd Highest PiN]]=tblPiNAnalysis[[#This Row],[CCCM]:[WASH]]), tblPiNHistorical[[#Headers],[CCCM]:[WASH]], 0))), "")</f>
        <v>2</v>
      </c>
      <c r="BD125" s="329" t="str" cm="1">
        <f t="array" ref="BD12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125" s="371">
        <f>INDEX(tblSeverityAnalysis[Final Severity], MATCH(tblPiNAnalysis[[#This Row],[ID]],tblSeverityAnalysis[ID], 0))</f>
        <v>3</v>
      </c>
      <c r="BF125" s="60">
        <f>IF(tblPiNAnalysis[[#This Row],[Severity]]&gt;2,tblPiNAnalysis[[#This Row],[Highest PiN]],)</f>
        <v>55600</v>
      </c>
      <c r="BG125" s="187"/>
      <c r="BH125" s="188"/>
      <c r="BI125" s="189">
        <f>COUNTIFS(tblPiNAnalysis[[#This Row],[Number of missing / zero PiNs greater than threshold - Data quality]:[Manual Flag]],"Flagged")</f>
        <v>3</v>
      </c>
      <c r="BJ125" s="346" t="str">
        <f>IF(tblPiNAnalysis[[#This Row],['# Flags]]&gt;0, "Flagged", "")</f>
        <v>Flagged</v>
      </c>
      <c r="BK125" s="339">
        <f>tblPiNAnalysis[[#This Row],[Preliminary PiN]]</f>
        <v>55600</v>
      </c>
      <c r="BL125" s="326"/>
      <c r="BM125" s="383">
        <f>IF(OR(tblPiNAnalysis[[#This Row],[Severity]]=4,tblPiNAnalysis[[#This Row],[Severity]]=5),tblPiNAnalysis[[#This Row],[Final PiN]],0)</f>
        <v>0</v>
      </c>
      <c r="BN125" s="378">
        <f>IF(OR(tblPiNAnalysis[[#This Row],[Severity]]=4,tblPiNAnalysis[[#This Row],[Severity]]=5),100%, IF(tblPiNAnalysis[[#This Row],[Severity]]=3,50%,0%))*tblPiNAnalysis[[#This Row],[Final PiN]]</f>
        <v>27800</v>
      </c>
      <c r="BO125" s="383">
        <f>IF(OR(tblPiNAnalysis[[#This Row],[Severity]]=4,tblPiNAnalysis[[#This Row],[Severity]]=5),100%, IF(AND(tblPiNAnalysis[[#This Row],[Severity]]=3,VLOOKUP(tblPiNAnalysis[[#This Row],[ID]],tblSeverityAnalysis[[ID]:[Highest Severity]],35,FALSE)&gt;3),50%,0%))*tblPiNAnalysis[[#This Row],[Final PiN]]</f>
        <v>27800</v>
      </c>
    </row>
    <row r="126" spans="1:67" hidden="1">
      <c r="A12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Global_PopulationHT0914</v>
      </c>
      <c r="B126" s="304" t="s">
        <v>409</v>
      </c>
      <c r="C126" s="213" t="s">
        <v>410</v>
      </c>
      <c r="D126" s="213" t="s">
        <v>417</v>
      </c>
      <c r="E126" s="103" t="s">
        <v>418</v>
      </c>
      <c r="F126" s="99"/>
      <c r="G126" s="34"/>
      <c r="H126" s="357"/>
      <c r="I126" s="354">
        <v>31537</v>
      </c>
      <c r="J126" s="221" t="s">
        <v>156</v>
      </c>
      <c r="K126" s="316">
        <v>435</v>
      </c>
      <c r="L126" s="308">
        <v>4893</v>
      </c>
      <c r="M126" s="308">
        <v>2529</v>
      </c>
      <c r="N126" s="308">
        <v>35171</v>
      </c>
      <c r="O126" s="308">
        <v>556.85776551724132</v>
      </c>
      <c r="P126" s="308">
        <v>569.87</v>
      </c>
      <c r="Q126" s="309">
        <v>19774</v>
      </c>
      <c r="R126" s="308">
        <v>290</v>
      </c>
      <c r="S126" s="308"/>
      <c r="T126" s="308"/>
      <c r="U126" s="308"/>
      <c r="V126" s="308"/>
      <c r="W126" s="317">
        <f>IFERROR(IF(tblPiNAnalysis[[#This Row],[CCCM]]="", "", MROUND(tblPiNAnalysis[[#This Row],[CCCM]]/tblPiNAnalysis[[#This Row],[Population]], 0.05)), "")</f>
        <v>0</v>
      </c>
      <c r="X126" s="318">
        <f>IFERROR(IF(tblPiNAnalysis[[#This Row],[Education]]="", "", MROUND(tblPiNAnalysis[[#This Row],[Education]]/tblPiNAnalysis[[#This Row],[Population]], 0.05)), "")</f>
        <v>0.15000000000000002</v>
      </c>
      <c r="Y126" s="318">
        <f>IFERROR(IF(tblPiNAnalysis[[#This Row],[Nutrition]]="", "", MROUND(tblPiNAnalysis[[#This Row],[Nutrition]]/tblPiNAnalysis[[#This Row],[Population]], 0.05)), "")</f>
        <v>0.1</v>
      </c>
      <c r="Z126" s="318">
        <f>IFERROR(IF(tblPiNAnalysis[[#This Row],[Food Security]]="", "", MROUND(tblPiNAnalysis[[#This Row],[Food Security]]/tblPiNAnalysis[[#This Row],[Population]], 0.05)), "")</f>
        <v>1.1000000000000001</v>
      </c>
      <c r="AA126" s="318">
        <f>IFERROR(IF(tblPiNAnalysis[[#This Row],[Health]]="", "", MROUND(tblPiNAnalysis[[#This Row],[Health]]/tblPiNAnalysis[[#This Row],[Population]], 0.05)), "")</f>
        <v>0</v>
      </c>
      <c r="AB126" s="319">
        <f>IFERROR(IF(tblPiNAnalysis[[#This Row],[Protection]]="", "", MROUND(tblPiNAnalysis[[#This Row],[Protection]]/tblPiNAnalysis[[#This Row],[Population]], 0.05)), "")</f>
        <v>0</v>
      </c>
      <c r="AC126" s="319">
        <f>IFERROR(IF(tblPiNAnalysis[[#This Row],[Shelter]]="", "", MROUND(tblPiNAnalysis[[#This Row],[Shelter]]/tblPiNAnalysis[[#This Row],[Population]], 0.05)), "")</f>
        <v>0.65</v>
      </c>
      <c r="AD126" s="320">
        <f>IFERROR(IF(tblPiNAnalysis[[#This Row],[WASH]]="", "", MROUND(tblPiNAnalysis[[#This Row],[WASH]]/tblPiNAnalysis[[#This Row],[Population]], 0.05)), "")</f>
        <v>0</v>
      </c>
      <c r="AE126" s="318">
        <f>IFERROR(MROUND(tblPiNAnalysis[[#This Row],[CP]]/tblPiNAnalysis[[#This Row],[Population]], 0.05), "")</f>
        <v>0</v>
      </c>
      <c r="AF126" s="318">
        <f>IFERROR(MROUND(tblPiNAnalysis[[#This Row],[GBV]]/tblPiNAnalysis[[#This Row],[Population]], 0.05), "")</f>
        <v>0</v>
      </c>
      <c r="AG126" s="318">
        <f>IFERROR(MROUND(tblPiNAnalysis[[#This Row],[Migrants]]/tblPiNAnalysis[[#This Row],[Population]], 0.05), "")</f>
        <v>0</v>
      </c>
      <c r="AH126" s="318">
        <f>IFERROR(MROUND(tblPiNAnalysis[[#This Row],[_]]/tblPiNAnalysis[[#This Row],[Population]], 0.05), "")</f>
        <v>0</v>
      </c>
      <c r="AI126" s="321">
        <f>IFERROR(LARGE(tblPiNAnalysis[[#This Row],[CCCM]:[WASH]], 1), "")</f>
        <v>35171</v>
      </c>
      <c r="AJ126" s="322" t="str" cm="1">
        <f t="array" ref="AJ126">IF(tblPiNAnalysis[[#This Row],[Highest PiN]]="", "", _xlfn.TEXTJOIN(CHAR(10), TRUE, IF(tblPiNAnalysis[[#This Row],[Highest PiN]]=tblPiNAnalysis[[#This Row],[CCCM]:[WASH]], tblPiNAnalysis[[#Headers],[CCCM]:[WASH]], "")))</f>
        <v>Food Security</v>
      </c>
      <c r="AK126" s="323">
        <f>IF(tblPiNAnalysis[[#This Row],[Highest PiN]]="", "", tblPiNAnalysis[[#This Row],[Highest PiN]]/tblPiNAnalysis[[#This Row],[Population]])</f>
        <v>1.1152297301582268</v>
      </c>
      <c r="AL126" s="265" t="str">
        <f>IF(SUM(tblPiNAnalysis[[#This Row],[CCCM]:[WASH]])=0, "",IF(COUNTIF(tblPiNAnalysis[[#This Row],[CCCM]:[WASH]],"=0")+COUNTIF(tblPiNAnalysis[[#This Row],[CCCM]:[WASH]],"")&gt;=zero_pin_thresh, "Flagged", ""))</f>
        <v/>
      </c>
      <c r="AM126" s="264" t="str">
        <f>IFERROR(IF(tblPiNAnalysis[[#This Row],[Highest PiN]]="", "", IF(tblPiNAnalysis[[#This Row],[Highest sector(s'') PiN %]]&gt;=flag_pin_perc, "Flagged", "")), "")</f>
        <v>Flagged</v>
      </c>
      <c r="AN126" s="266" t="str" cm="1">
        <f t="array" ref="AN126">IF(tblPiNAnalysis[[#This Row],[Highest PiN]]=0, "",  IF(OR(COUNTIF(tblPiNAnalysis[[#This Row],[Highest sector(s)]],tblSubSectorPopulation[Sector])), "Flagged", ""))</f>
        <v/>
      </c>
      <c r="AO126" s="45" cm="1">
        <f t="array" ref="AO12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19774</v>
      </c>
      <c r="AP126" s="326" t="str" cm="1">
        <f t="array" ref="AP126">IF(tblPiNAnalysis[[#This Row],[2nd Highest PiN]]="", "", _xlfn.TEXTJOIN(CHAR(10), TRUE, IF(tblPiNAnalysis[[#This Row],[2nd Highest PiN]]=tblPiNAnalysis[[#This Row],[CCCM]:[WASH]], tblPiNAnalysis[[#Headers],[CCCM]:[WASH]], "")))</f>
        <v>Shelter</v>
      </c>
      <c r="AQ126" s="35">
        <f>IFERROR(tblPiNAnalysis[[#This Row],[2nd Highest PiN]]/tblPiNAnalysis[[#This Row],[Population]], "")</f>
        <v>0.62700954434473788</v>
      </c>
      <c r="AR126" s="45">
        <f>IFERROR(tblPiNAnalysis[[#This Row],[Highest PiN]]-tblPiNAnalysis[[#This Row],[2nd Highest PiN]], "")</f>
        <v>15397</v>
      </c>
      <c r="AS126" s="38">
        <f>IFERROR(((tblPiNAnalysis[[#This Row],[Highest PiN]]-tblPiNAnalysis[[#This Row],[2nd Highest PiN]])/tblPiNAnalysis[[#This Row],[2nd Highest PiN]]),"")</f>
        <v>0.77864873065641749</v>
      </c>
      <c r="AT126" s="269" t="str" cm="1">
        <f t="array" ref="AT12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6" s="327" cm="1">
        <f t="array" ref="AU12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4893</v>
      </c>
      <c r="AV126" s="186" t="str" cm="1">
        <f t="array" ref="AV126">IF(tblPiNAnalysis[[#This Row],[3rd Highest PiN]]="", "", _xlfn.TEXTJOIN(CHAR(10), TRUE, IF(tblPiNAnalysis[[#This Row],[3rd Highest PiN]]=tblPiNAnalysis[[#This Row],[CCCM]:[WASH]], tblPiNAnalysis[[#Headers],[CCCM]:[WASH]], "")))</f>
        <v>Education</v>
      </c>
      <c r="AW126" s="186">
        <f>IFERROR(tblPiNAnalysis[[#This Row],[3rd Highest PiN]]/tblPiNAnalysis[[#This Row],[Population]], "")</f>
        <v>0.15515109236769509</v>
      </c>
      <c r="AX126" s="44">
        <f>IFERROR(tblPiNAnalysis[[#This Row],[Highest PiN]]-tblPiNAnalysis[[#This Row],[3rd Highest PiN]],"")</f>
        <v>30278</v>
      </c>
      <c r="AY126" s="38">
        <f>IFERROR(tblPiNAnalysis[[#This Row],[Difference of PiN between Highest and 3rd Highest]]/tblPiNAnalysis[[#This Row],[3rd Highest PiN]], "")</f>
        <v>6.1880237073370123</v>
      </c>
      <c r="AZ126" s="325" t="str" cm="1">
        <f t="array" ref="AZ12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6" s="292" cm="1">
        <f t="array" ref="BA126">IFERROR(IF(tblPiNAnalysis[[#This Row],[ID]]="", "", INDEX(tblPiNHistorical[[CCCM]:[WASH]], MATCH(tblPiNAnalysis[[#This Row],[ID]],tblPiNHistorical[ID], 0),MATCH(_xlfn._xlws.FILTER(tblPiNAnalysis[[#Headers],[CCCM]:[WASH]], tblPiNAnalysis[[#This Row],[Highest PiN]]=tblPiNAnalysis[[#This Row],[CCCM]:[WASH]]), tblPiNHistorical[[#Headers],[CCCM]:[WASH]], 0))), "")</f>
        <v>0.8</v>
      </c>
      <c r="BB126" s="328" t="str" cm="1">
        <f t="array" ref="BB12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6" s="272" t="str" cm="1">
        <f t="array" ref="BC126">IFERROR(IF(tblPiNAnalysis[[#This Row],[ID]]="", "", INDEX(tblPiNHistorical[[CCCM]:[WASH]], MATCH(tblPiNAnalysis[[#This Row],[ID]],tblPiNHistorical[ID], 0),MATCH(_xlfn._xlws.FILTER(tblPiNAnalysis[[#Headers],[CCCM]:[WASH]], tblPiNAnalysis[[#This Row],[2nd Highest PiN]]=tblPiNAnalysis[[#This Row],[CCCM]:[WASH]]), tblPiNHistorical[[#Headers],[CCCM]:[WASH]], 0))), "")</f>
        <v/>
      </c>
      <c r="BD126" s="329" t="str" cm="1">
        <f t="array" ref="BD12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6" s="371">
        <f>INDEX(tblSeverityAnalysis[Final Severity], MATCH(tblPiNAnalysis[[#This Row],[ID]],tblSeverityAnalysis[ID], 0))</f>
        <v>3</v>
      </c>
      <c r="BF126" s="60">
        <f>IF(tblPiNAnalysis[[#This Row],[Severity]]&gt;2,tblPiNAnalysis[[#This Row],[Highest PiN]],)</f>
        <v>35171</v>
      </c>
      <c r="BG126" s="187"/>
      <c r="BH126" s="188"/>
      <c r="BI126" s="189">
        <f>COUNTIFS(tblPiNAnalysis[[#This Row],[Number of missing / zero PiNs greater than threshold - Data quality]:[Manual Flag]],"Flagged")</f>
        <v>3</v>
      </c>
      <c r="BJ126" s="346" t="str">
        <f>IF(tblPiNAnalysis[[#This Row],['# Flags]]&gt;0, "Flagged", "")</f>
        <v>Flagged</v>
      </c>
      <c r="BK126" s="309">
        <v>19774</v>
      </c>
      <c r="BL126" s="326" t="s">
        <v>157</v>
      </c>
      <c r="BM126" s="383">
        <f>IF(OR(tblPiNAnalysis[[#This Row],[Severity]]=4,tblPiNAnalysis[[#This Row],[Severity]]=5),tblPiNAnalysis[[#This Row],[Final PiN]],0)</f>
        <v>0</v>
      </c>
      <c r="BN126" s="378">
        <f>IF(OR(tblPiNAnalysis[[#This Row],[Severity]]=4,tblPiNAnalysis[[#This Row],[Severity]]=5),100%, IF(tblPiNAnalysis[[#This Row],[Severity]]=3,50%,0%))*tblPiNAnalysis[[#This Row],[Final PiN]]</f>
        <v>9887</v>
      </c>
      <c r="BO126" s="383">
        <f>IF(OR(tblPiNAnalysis[[#This Row],[Severity]]=4,tblPiNAnalysis[[#This Row],[Severity]]=5),100%, IF(AND(tblPiNAnalysis[[#This Row],[Severity]]=3,VLOOKUP(tblPiNAnalysis[[#This Row],[ID]],tblSeverityAnalysis[[ID]:[Highest Severity]],35,FALSE)&gt;3),50%,0%))*tblPiNAnalysis[[#This Row],[Final PiN]]</f>
        <v>9887</v>
      </c>
    </row>
    <row r="127" spans="1:67" hidden="1">
      <c r="A12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Global_PopulationHT0921</v>
      </c>
      <c r="B127" s="304" t="s">
        <v>409</v>
      </c>
      <c r="C127" s="213" t="s">
        <v>410</v>
      </c>
      <c r="D127" s="213" t="s">
        <v>419</v>
      </c>
      <c r="E127" s="103" t="s">
        <v>420</v>
      </c>
      <c r="F127" s="99"/>
      <c r="G127" s="34"/>
      <c r="H127" s="357"/>
      <c r="I127" s="354">
        <v>120555</v>
      </c>
      <c r="J127" s="221" t="s">
        <v>156</v>
      </c>
      <c r="K127" s="316">
        <v>5785.5</v>
      </c>
      <c r="L127" s="308">
        <v>17520</v>
      </c>
      <c r="M127" s="308">
        <v>10288</v>
      </c>
      <c r="N127" s="308">
        <v>84152</v>
      </c>
      <c r="O127" s="308">
        <v>7802.3654683432715</v>
      </c>
      <c r="P127" s="308">
        <v>8197.4066666666677</v>
      </c>
      <c r="Q127" s="309">
        <v>67329</v>
      </c>
      <c r="R127" s="308">
        <v>32148</v>
      </c>
      <c r="S127" s="308"/>
      <c r="T127" s="308"/>
      <c r="U127" s="308"/>
      <c r="V127" s="308"/>
      <c r="W127" s="317">
        <f>IFERROR(IF(tblPiNAnalysis[[#This Row],[CCCM]]="", "", MROUND(tblPiNAnalysis[[#This Row],[CCCM]]/tblPiNAnalysis[[#This Row],[Population]], 0.05)), "")</f>
        <v>0.05</v>
      </c>
      <c r="X127" s="318">
        <f>IFERROR(IF(tblPiNAnalysis[[#This Row],[Education]]="", "", MROUND(tblPiNAnalysis[[#This Row],[Education]]/tblPiNAnalysis[[#This Row],[Population]], 0.05)), "")</f>
        <v>0.15000000000000002</v>
      </c>
      <c r="Y127" s="318">
        <f>IFERROR(IF(tblPiNAnalysis[[#This Row],[Nutrition]]="", "", MROUND(tblPiNAnalysis[[#This Row],[Nutrition]]/tblPiNAnalysis[[#This Row],[Population]], 0.05)), "")</f>
        <v>0.1</v>
      </c>
      <c r="Z127" s="318">
        <f>IFERROR(IF(tblPiNAnalysis[[#This Row],[Food Security]]="", "", MROUND(tblPiNAnalysis[[#This Row],[Food Security]]/tblPiNAnalysis[[#This Row],[Population]], 0.05)), "")</f>
        <v>0.70000000000000007</v>
      </c>
      <c r="AA127" s="318">
        <f>IFERROR(IF(tblPiNAnalysis[[#This Row],[Health]]="", "", MROUND(tblPiNAnalysis[[#This Row],[Health]]/tblPiNAnalysis[[#This Row],[Population]], 0.05)), "")</f>
        <v>0.05</v>
      </c>
      <c r="AB127" s="319">
        <f>IFERROR(IF(tblPiNAnalysis[[#This Row],[Protection]]="", "", MROUND(tblPiNAnalysis[[#This Row],[Protection]]/tblPiNAnalysis[[#This Row],[Population]], 0.05)), "")</f>
        <v>0.05</v>
      </c>
      <c r="AC127" s="319">
        <f>IFERROR(IF(tblPiNAnalysis[[#This Row],[Shelter]]="", "", MROUND(tblPiNAnalysis[[#This Row],[Shelter]]/tblPiNAnalysis[[#This Row],[Population]], 0.05)), "")</f>
        <v>0.55000000000000004</v>
      </c>
      <c r="AD127" s="320">
        <f>IFERROR(IF(tblPiNAnalysis[[#This Row],[WASH]]="", "", MROUND(tblPiNAnalysis[[#This Row],[WASH]]/tblPiNAnalysis[[#This Row],[Population]], 0.05)), "")</f>
        <v>0.25</v>
      </c>
      <c r="AE127" s="318">
        <f>IFERROR(MROUND(tblPiNAnalysis[[#This Row],[CP]]/tblPiNAnalysis[[#This Row],[Population]], 0.05), "")</f>
        <v>0</v>
      </c>
      <c r="AF127" s="318">
        <f>IFERROR(MROUND(tblPiNAnalysis[[#This Row],[GBV]]/tblPiNAnalysis[[#This Row],[Population]], 0.05), "")</f>
        <v>0</v>
      </c>
      <c r="AG127" s="318">
        <f>IFERROR(MROUND(tblPiNAnalysis[[#This Row],[Migrants]]/tblPiNAnalysis[[#This Row],[Population]], 0.05), "")</f>
        <v>0</v>
      </c>
      <c r="AH127" s="318">
        <f>IFERROR(MROUND(tblPiNAnalysis[[#This Row],[_]]/tblPiNAnalysis[[#This Row],[Population]], 0.05), "")</f>
        <v>0</v>
      </c>
      <c r="AI127" s="321">
        <f>IFERROR(LARGE(tblPiNAnalysis[[#This Row],[CCCM]:[WASH]], 1), "")</f>
        <v>84152</v>
      </c>
      <c r="AJ127" s="322" t="str" cm="1">
        <f t="array" ref="AJ127">IF(tblPiNAnalysis[[#This Row],[Highest PiN]]="", "", _xlfn.TEXTJOIN(CHAR(10), TRUE, IF(tblPiNAnalysis[[#This Row],[Highest PiN]]=tblPiNAnalysis[[#This Row],[CCCM]:[WASH]], tblPiNAnalysis[[#Headers],[CCCM]:[WASH]], "")))</f>
        <v>Food Security</v>
      </c>
      <c r="AK127" s="323">
        <f>IF(tblPiNAnalysis[[#This Row],[Highest PiN]]="", "", tblPiNAnalysis[[#This Row],[Highest PiN]]/tblPiNAnalysis[[#This Row],[Population]])</f>
        <v>0.69803823980755675</v>
      </c>
      <c r="AL127" s="265" t="str">
        <f>IF(SUM(tblPiNAnalysis[[#This Row],[CCCM]:[WASH]])=0, "",IF(COUNTIF(tblPiNAnalysis[[#This Row],[CCCM]:[WASH]],"=0")+COUNTIF(tblPiNAnalysis[[#This Row],[CCCM]:[WASH]],"")&gt;=zero_pin_thresh, "Flagged", ""))</f>
        <v/>
      </c>
      <c r="AM127" s="264" t="str">
        <f>IFERROR(IF(tblPiNAnalysis[[#This Row],[Highest PiN]]="", "", IF(tblPiNAnalysis[[#This Row],[Highest sector(s'') PiN %]]&gt;=flag_pin_perc, "Flagged", "")), "")</f>
        <v/>
      </c>
      <c r="AN127" s="266" t="str" cm="1">
        <f t="array" ref="AN127">IF(tblPiNAnalysis[[#This Row],[Highest PiN]]=0, "",  IF(OR(COUNTIF(tblPiNAnalysis[[#This Row],[Highest sector(s)]],tblSubSectorPopulation[Sector])), "Flagged", ""))</f>
        <v/>
      </c>
      <c r="AO127" s="45" cm="1">
        <f t="array" ref="AO12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67329</v>
      </c>
      <c r="AP127" s="326" t="str" cm="1">
        <f t="array" ref="AP127">IF(tblPiNAnalysis[[#This Row],[2nd Highest PiN]]="", "", _xlfn.TEXTJOIN(CHAR(10), TRUE, IF(tblPiNAnalysis[[#This Row],[2nd Highest PiN]]=tblPiNAnalysis[[#This Row],[CCCM]:[WASH]], tblPiNAnalysis[[#Headers],[CCCM]:[WASH]], "")))</f>
        <v>Shelter</v>
      </c>
      <c r="AQ127" s="35">
        <f>IFERROR(tblPiNAnalysis[[#This Row],[2nd Highest PiN]]/tblPiNAnalysis[[#This Row],[Population]], "")</f>
        <v>0.55849197461739453</v>
      </c>
      <c r="AR127" s="45">
        <f>IFERROR(tblPiNAnalysis[[#This Row],[Highest PiN]]-tblPiNAnalysis[[#This Row],[2nd Highest PiN]], "")</f>
        <v>16823</v>
      </c>
      <c r="AS127" s="38">
        <f>IFERROR(((tblPiNAnalysis[[#This Row],[Highest PiN]]-tblPiNAnalysis[[#This Row],[2nd Highest PiN]])/tblPiNAnalysis[[#This Row],[2nd Highest PiN]]),"")</f>
        <v>0.24986261492076223</v>
      </c>
      <c r="AT127" s="269" t="str" cm="1">
        <f t="array" ref="AT12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7" s="327" cm="1">
        <f t="array" ref="AU12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32148</v>
      </c>
      <c r="AV127" s="186" t="str" cm="1">
        <f t="array" ref="AV127">IF(tblPiNAnalysis[[#This Row],[3rd Highest PiN]]="", "", _xlfn.TEXTJOIN(CHAR(10), TRUE, IF(tblPiNAnalysis[[#This Row],[3rd Highest PiN]]=tblPiNAnalysis[[#This Row],[CCCM]:[WASH]], tblPiNAnalysis[[#Headers],[CCCM]:[WASH]], "")))</f>
        <v>WASH</v>
      </c>
      <c r="AW127" s="186">
        <f>IFERROR(tblPiNAnalysis[[#This Row],[3rd Highest PiN]]/tblPiNAnalysis[[#This Row],[Population]], "")</f>
        <v>0.26666666666666666</v>
      </c>
      <c r="AX127" s="44">
        <f>IFERROR(tblPiNAnalysis[[#This Row],[Highest PiN]]-tblPiNAnalysis[[#This Row],[3rd Highest PiN]],"")</f>
        <v>52004</v>
      </c>
      <c r="AY127" s="38">
        <f>IFERROR(tblPiNAnalysis[[#This Row],[Difference of PiN between Highest and 3rd Highest]]/tblPiNAnalysis[[#This Row],[3rd Highest PiN]], "")</f>
        <v>1.6176433992783377</v>
      </c>
      <c r="AZ127" s="325" t="str" cm="1">
        <f t="array" ref="AZ12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7" s="292" cm="1">
        <f t="array" ref="BA127">IFERROR(IF(tblPiNAnalysis[[#This Row],[ID]]="", "", INDEX(tblPiNHistorical[[CCCM]:[WASH]], MATCH(tblPiNAnalysis[[#This Row],[ID]],tblPiNHistorical[ID], 0),MATCH(_xlfn._xlws.FILTER(tblPiNAnalysis[[#Headers],[CCCM]:[WASH]], tblPiNAnalysis[[#This Row],[Highest PiN]]=tblPiNAnalysis[[#This Row],[CCCM]:[WASH]]), tblPiNHistorical[[#Headers],[CCCM]:[WASH]], 0))), "")</f>
        <v>0.1</v>
      </c>
      <c r="BB127" s="328" t="str" cm="1">
        <f t="array" ref="BB12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7" s="272" cm="1">
        <f t="array" ref="BC127">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27" s="329" t="str" cm="1">
        <f t="array" ref="BD12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7" s="371">
        <f>INDEX(tblSeverityAnalysis[Final Severity], MATCH(tblPiNAnalysis[[#This Row],[ID]],tblSeverityAnalysis[ID], 0))</f>
        <v>3</v>
      </c>
      <c r="BF127" s="60">
        <f>IF(tblPiNAnalysis[[#This Row],[Severity]]&gt;2,tblPiNAnalysis[[#This Row],[Highest PiN]],)</f>
        <v>84152</v>
      </c>
      <c r="BG127" s="187"/>
      <c r="BH127" s="188"/>
      <c r="BI127" s="189">
        <f>COUNTIFS(tblPiNAnalysis[[#This Row],[Number of missing / zero PiNs greater than threshold - Data quality]:[Manual Flag]],"Flagged")</f>
        <v>1</v>
      </c>
      <c r="BJ127" s="346" t="str">
        <f>IF(tblPiNAnalysis[[#This Row],['# Flags]]&gt;0, "Flagged", "")</f>
        <v>Flagged</v>
      </c>
      <c r="BK127" s="339">
        <f>tblPiNAnalysis[[#This Row],[Preliminary PiN]]</f>
        <v>84152</v>
      </c>
      <c r="BL127" s="326"/>
      <c r="BM127" s="383">
        <f>IF(OR(tblPiNAnalysis[[#This Row],[Severity]]=4,tblPiNAnalysis[[#This Row],[Severity]]=5),tblPiNAnalysis[[#This Row],[Final PiN]],0)</f>
        <v>0</v>
      </c>
      <c r="BN127" s="378">
        <f>IF(OR(tblPiNAnalysis[[#This Row],[Severity]]=4,tblPiNAnalysis[[#This Row],[Severity]]=5),100%, IF(tblPiNAnalysis[[#This Row],[Severity]]=3,50%,0%))*tblPiNAnalysis[[#This Row],[Final PiN]]</f>
        <v>42076</v>
      </c>
      <c r="BO127" s="383">
        <f>IF(OR(tblPiNAnalysis[[#This Row],[Severity]]=4,tblPiNAnalysis[[#This Row],[Severity]]=5),100%, IF(AND(tblPiNAnalysis[[#This Row],[Severity]]=3,VLOOKUP(tblPiNAnalysis[[#This Row],[ID]],tblSeverityAnalysis[[ID]:[Highest Severity]],35,FALSE)&gt;3),50%,0%))*tblPiNAnalysis[[#This Row],[Final PiN]]</f>
        <v>42076</v>
      </c>
    </row>
    <row r="128" spans="1:67" hidden="1">
      <c r="A12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Global_PopulationHT0922</v>
      </c>
      <c r="B128" s="304" t="s">
        <v>409</v>
      </c>
      <c r="C128" s="213" t="s">
        <v>410</v>
      </c>
      <c r="D128" s="213" t="s">
        <v>421</v>
      </c>
      <c r="E128" s="103" t="s">
        <v>422</v>
      </c>
      <c r="F128" s="99"/>
      <c r="G128" s="34"/>
      <c r="H128" s="357"/>
      <c r="I128" s="354">
        <v>31659</v>
      </c>
      <c r="J128" s="221" t="s">
        <v>156</v>
      </c>
      <c r="K128" s="316">
        <v>1734</v>
      </c>
      <c r="L128" s="308">
        <v>4764</v>
      </c>
      <c r="M128" s="308">
        <v>2566</v>
      </c>
      <c r="N128" s="308">
        <v>21855</v>
      </c>
      <c r="O128" s="308">
        <v>2450.8612705882351</v>
      </c>
      <c r="P128" s="308">
        <v>3031.0215384615385</v>
      </c>
      <c r="Q128" s="309">
        <v>14755</v>
      </c>
      <c r="R128" s="308">
        <v>7914.75</v>
      </c>
      <c r="S128" s="308"/>
      <c r="T128" s="308"/>
      <c r="U128" s="308"/>
      <c r="V128" s="308"/>
      <c r="W128" s="317">
        <f>IFERROR(IF(tblPiNAnalysis[[#This Row],[CCCM]]="", "", MROUND(tblPiNAnalysis[[#This Row],[CCCM]]/tblPiNAnalysis[[#This Row],[Population]], 0.05)), "")</f>
        <v>0.05</v>
      </c>
      <c r="X128" s="318">
        <f>IFERROR(IF(tblPiNAnalysis[[#This Row],[Education]]="", "", MROUND(tblPiNAnalysis[[#This Row],[Education]]/tblPiNAnalysis[[#This Row],[Population]], 0.05)), "")</f>
        <v>0.15000000000000002</v>
      </c>
      <c r="Y128" s="318">
        <f>IFERROR(IF(tblPiNAnalysis[[#This Row],[Nutrition]]="", "", MROUND(tblPiNAnalysis[[#This Row],[Nutrition]]/tblPiNAnalysis[[#This Row],[Population]], 0.05)), "")</f>
        <v>0.1</v>
      </c>
      <c r="Z128" s="318">
        <f>IFERROR(IF(tblPiNAnalysis[[#This Row],[Food Security]]="", "", MROUND(tblPiNAnalysis[[#This Row],[Food Security]]/tblPiNAnalysis[[#This Row],[Population]], 0.05)), "")</f>
        <v>0.70000000000000007</v>
      </c>
      <c r="AA128" s="318">
        <f>IFERROR(IF(tblPiNAnalysis[[#This Row],[Health]]="", "", MROUND(tblPiNAnalysis[[#This Row],[Health]]/tblPiNAnalysis[[#This Row],[Population]], 0.05)), "")</f>
        <v>0.1</v>
      </c>
      <c r="AB128" s="319">
        <f>IFERROR(IF(tblPiNAnalysis[[#This Row],[Protection]]="", "", MROUND(tblPiNAnalysis[[#This Row],[Protection]]/tblPiNAnalysis[[#This Row],[Population]], 0.05)), "")</f>
        <v>0.1</v>
      </c>
      <c r="AC128" s="319">
        <f>IFERROR(IF(tblPiNAnalysis[[#This Row],[Shelter]]="", "", MROUND(tblPiNAnalysis[[#This Row],[Shelter]]/tblPiNAnalysis[[#This Row],[Population]], 0.05)), "")</f>
        <v>0.45</v>
      </c>
      <c r="AD128" s="320">
        <f>IFERROR(IF(tblPiNAnalysis[[#This Row],[WASH]]="", "", MROUND(tblPiNAnalysis[[#This Row],[WASH]]/tblPiNAnalysis[[#This Row],[Population]], 0.05)), "")</f>
        <v>0.25</v>
      </c>
      <c r="AE128" s="318">
        <f>IFERROR(MROUND(tblPiNAnalysis[[#This Row],[CP]]/tblPiNAnalysis[[#This Row],[Population]], 0.05), "")</f>
        <v>0</v>
      </c>
      <c r="AF128" s="318">
        <f>IFERROR(MROUND(tblPiNAnalysis[[#This Row],[GBV]]/tblPiNAnalysis[[#This Row],[Population]], 0.05), "")</f>
        <v>0</v>
      </c>
      <c r="AG128" s="318">
        <f>IFERROR(MROUND(tblPiNAnalysis[[#This Row],[Migrants]]/tblPiNAnalysis[[#This Row],[Population]], 0.05), "")</f>
        <v>0</v>
      </c>
      <c r="AH128" s="318">
        <f>IFERROR(MROUND(tblPiNAnalysis[[#This Row],[_]]/tblPiNAnalysis[[#This Row],[Population]], 0.05), "")</f>
        <v>0</v>
      </c>
      <c r="AI128" s="321">
        <f>IFERROR(LARGE(tblPiNAnalysis[[#This Row],[CCCM]:[WASH]], 1), "")</f>
        <v>21855</v>
      </c>
      <c r="AJ128" s="322" t="str" cm="1">
        <f t="array" ref="AJ128">IF(tblPiNAnalysis[[#This Row],[Highest PiN]]="", "", _xlfn.TEXTJOIN(CHAR(10), TRUE, IF(tblPiNAnalysis[[#This Row],[Highest PiN]]=tblPiNAnalysis[[#This Row],[CCCM]:[WASH]], tblPiNAnalysis[[#Headers],[CCCM]:[WASH]], "")))</f>
        <v>Food Security</v>
      </c>
      <c r="AK128" s="323">
        <f>IF(tblPiNAnalysis[[#This Row],[Highest PiN]]="", "", tblPiNAnalysis[[#This Row],[Highest PiN]]/tblPiNAnalysis[[#This Row],[Population]])</f>
        <v>0.69032502605894064</v>
      </c>
      <c r="AL128" s="265" t="str">
        <f>IF(SUM(tblPiNAnalysis[[#This Row],[CCCM]:[WASH]])=0, "",IF(COUNTIF(tblPiNAnalysis[[#This Row],[CCCM]:[WASH]],"=0")+COUNTIF(tblPiNAnalysis[[#This Row],[CCCM]:[WASH]],"")&gt;=zero_pin_thresh, "Flagged", ""))</f>
        <v/>
      </c>
      <c r="AM128" s="264" t="str">
        <f>IFERROR(IF(tblPiNAnalysis[[#This Row],[Highest PiN]]="", "", IF(tblPiNAnalysis[[#This Row],[Highest sector(s'') PiN %]]&gt;=flag_pin_perc, "Flagged", "")), "")</f>
        <v/>
      </c>
      <c r="AN128" s="266" t="str" cm="1">
        <f t="array" ref="AN128">IF(tblPiNAnalysis[[#This Row],[Highest PiN]]=0, "",  IF(OR(COUNTIF(tblPiNAnalysis[[#This Row],[Highest sector(s)]],tblSubSectorPopulation[Sector])), "Flagged", ""))</f>
        <v/>
      </c>
      <c r="AO128" s="45" cm="1">
        <f t="array" ref="AO12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14755</v>
      </c>
      <c r="AP128" s="326" t="str" cm="1">
        <f t="array" ref="AP128">IF(tblPiNAnalysis[[#This Row],[2nd Highest PiN]]="", "", _xlfn.TEXTJOIN(CHAR(10), TRUE, IF(tblPiNAnalysis[[#This Row],[2nd Highest PiN]]=tblPiNAnalysis[[#This Row],[CCCM]:[WASH]], tblPiNAnalysis[[#Headers],[CCCM]:[WASH]], "")))</f>
        <v>Shelter</v>
      </c>
      <c r="AQ128" s="35">
        <f>IFERROR(tblPiNAnalysis[[#This Row],[2nd Highest PiN]]/tblPiNAnalysis[[#This Row],[Population]], "")</f>
        <v>0.46606020404940146</v>
      </c>
      <c r="AR128" s="45">
        <f>IFERROR(tblPiNAnalysis[[#This Row],[Highest PiN]]-tblPiNAnalysis[[#This Row],[2nd Highest PiN]], "")</f>
        <v>7100</v>
      </c>
      <c r="AS128" s="38">
        <f>IFERROR(((tblPiNAnalysis[[#This Row],[Highest PiN]]-tblPiNAnalysis[[#This Row],[2nd Highest PiN]])/tblPiNAnalysis[[#This Row],[2nd Highest PiN]]),"")</f>
        <v>0.48119281599457808</v>
      </c>
      <c r="AT128" s="269" t="str" cm="1">
        <f t="array" ref="AT12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28" s="327" cm="1">
        <f t="array" ref="AU12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7914.75</v>
      </c>
      <c r="AV128" s="186" t="str" cm="1">
        <f t="array" ref="AV128">IF(tblPiNAnalysis[[#This Row],[3rd Highest PiN]]="", "", _xlfn.TEXTJOIN(CHAR(10), TRUE, IF(tblPiNAnalysis[[#This Row],[3rd Highest PiN]]=tblPiNAnalysis[[#This Row],[CCCM]:[WASH]], tblPiNAnalysis[[#Headers],[CCCM]:[WASH]], "")))</f>
        <v>WASH</v>
      </c>
      <c r="AW128" s="186">
        <f>IFERROR(tblPiNAnalysis[[#This Row],[3rd Highest PiN]]/tblPiNAnalysis[[#This Row],[Population]], "")</f>
        <v>0.25</v>
      </c>
      <c r="AX128" s="44">
        <f>IFERROR(tblPiNAnalysis[[#This Row],[Highest PiN]]-tblPiNAnalysis[[#This Row],[3rd Highest PiN]],"")</f>
        <v>13940.25</v>
      </c>
      <c r="AY128" s="38">
        <f>IFERROR(tblPiNAnalysis[[#This Row],[Difference of PiN between Highest and 3rd Highest]]/tblPiNAnalysis[[#This Row],[3rd Highest PiN]], "")</f>
        <v>1.7613001042357623</v>
      </c>
      <c r="AZ128" s="325" t="str" cm="1">
        <f t="array" ref="AZ12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8" s="292" cm="1">
        <f t="array" ref="BA128">IFERROR(IF(tblPiNAnalysis[[#This Row],[ID]]="", "", INDEX(tblPiNHistorical[[CCCM]:[WASH]], MATCH(tblPiNAnalysis[[#This Row],[ID]],tblPiNHistorical[ID], 0),MATCH(_xlfn._xlws.FILTER(tblPiNAnalysis[[#Headers],[CCCM]:[WASH]], tblPiNAnalysis[[#This Row],[Highest PiN]]=tblPiNAnalysis[[#This Row],[CCCM]:[WASH]]), tblPiNHistorical[[#Headers],[CCCM]:[WASH]], 0))), "")</f>
        <v>0.1</v>
      </c>
      <c r="BB128" s="328" t="str" cm="1">
        <f t="array" ref="BB12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8" s="272" cm="1">
        <f t="array" ref="BC128">IFERROR(IF(tblPiNAnalysis[[#This Row],[ID]]="", "", INDEX(tblPiNHistorical[[CCCM]:[WASH]], MATCH(tblPiNAnalysis[[#This Row],[ID]],tblPiNHistorical[ID], 0),MATCH(_xlfn._xlws.FILTER(tblPiNAnalysis[[#Headers],[CCCM]:[WASH]], tblPiNAnalysis[[#This Row],[2nd Highest PiN]]=tblPiNAnalysis[[#This Row],[CCCM]:[WASH]]), tblPiNHistorical[[#Headers],[CCCM]:[WASH]], 0))), "")</f>
        <v>0.9</v>
      </c>
      <c r="BD128" s="329" t="str" cm="1">
        <f t="array" ref="BD12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8" s="371">
        <f>INDEX(tblSeverityAnalysis[Final Severity], MATCH(tblPiNAnalysis[[#This Row],[ID]],tblSeverityAnalysis[ID], 0))</f>
        <v>3</v>
      </c>
      <c r="BF128" s="60">
        <f>IF(tblPiNAnalysis[[#This Row],[Severity]]&gt;2,tblPiNAnalysis[[#This Row],[Highest PiN]],)</f>
        <v>21855</v>
      </c>
      <c r="BG128" s="187"/>
      <c r="BH128" s="188"/>
      <c r="BI128" s="189">
        <f>COUNTIFS(tblPiNAnalysis[[#This Row],[Number of missing / zero PiNs greater than threshold - Data quality]:[Manual Flag]],"Flagged")</f>
        <v>1</v>
      </c>
      <c r="BJ128" s="346" t="str">
        <f>IF(tblPiNAnalysis[[#This Row],['# Flags]]&gt;0, "Flagged", "")</f>
        <v>Flagged</v>
      </c>
      <c r="BK128" s="339">
        <f>tblPiNAnalysis[[#This Row],[Preliminary PiN]]</f>
        <v>21855</v>
      </c>
      <c r="BL128" s="326"/>
      <c r="BM128" s="383">
        <f>IF(OR(tblPiNAnalysis[[#This Row],[Severity]]=4,tblPiNAnalysis[[#This Row],[Severity]]=5),tblPiNAnalysis[[#This Row],[Final PiN]],0)</f>
        <v>0</v>
      </c>
      <c r="BN128" s="378">
        <f>IF(OR(tblPiNAnalysis[[#This Row],[Severity]]=4,tblPiNAnalysis[[#This Row],[Severity]]=5),100%, IF(tblPiNAnalysis[[#This Row],[Severity]]=3,50%,0%))*tblPiNAnalysis[[#This Row],[Final PiN]]</f>
        <v>10927.5</v>
      </c>
      <c r="BO128" s="383">
        <f>IF(OR(tblPiNAnalysis[[#This Row],[Severity]]=4,tblPiNAnalysis[[#This Row],[Severity]]=5),100%, IF(AND(tblPiNAnalysis[[#This Row],[Severity]]=3,VLOOKUP(tblPiNAnalysis[[#This Row],[ID]],tblSeverityAnalysis[[ID]:[Highest Severity]],35,FALSE)&gt;3),50%,0%))*tblPiNAnalysis[[#This Row],[Final PiN]]</f>
        <v>10927.5</v>
      </c>
    </row>
    <row r="129" spans="1:67" hidden="1">
      <c r="A12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Global_PopulationHT0931</v>
      </c>
      <c r="B129" s="304" t="s">
        <v>409</v>
      </c>
      <c r="C129" s="213" t="s">
        <v>410</v>
      </c>
      <c r="D129" s="213" t="s">
        <v>423</v>
      </c>
      <c r="E129" s="103" t="s">
        <v>424</v>
      </c>
      <c r="F129" s="99"/>
      <c r="G129" s="34"/>
      <c r="H129" s="357"/>
      <c r="I129" s="354">
        <v>36005</v>
      </c>
      <c r="J129" s="221" t="s">
        <v>156</v>
      </c>
      <c r="K129" s="316">
        <v>2997</v>
      </c>
      <c r="L129" s="308">
        <v>5672</v>
      </c>
      <c r="M129" s="308">
        <v>2945</v>
      </c>
      <c r="N129" s="308">
        <v>22608</v>
      </c>
      <c r="O129" s="308">
        <v>3899.2186926926925</v>
      </c>
      <c r="P129" s="308">
        <v>3315.36</v>
      </c>
      <c r="Q129" s="309">
        <v>9380</v>
      </c>
      <c r="R129" s="308">
        <v>1998</v>
      </c>
      <c r="S129" s="308"/>
      <c r="T129" s="308"/>
      <c r="U129" s="308"/>
      <c r="V129" s="308"/>
      <c r="W129" s="317">
        <f>IFERROR(IF(tblPiNAnalysis[[#This Row],[CCCM]]="", "", MROUND(tblPiNAnalysis[[#This Row],[CCCM]]/tblPiNAnalysis[[#This Row],[Population]], 0.05)), "")</f>
        <v>0.1</v>
      </c>
      <c r="X129" s="318">
        <f>IFERROR(IF(tblPiNAnalysis[[#This Row],[Education]]="", "", MROUND(tblPiNAnalysis[[#This Row],[Education]]/tblPiNAnalysis[[#This Row],[Population]], 0.05)), "")</f>
        <v>0.15000000000000002</v>
      </c>
      <c r="Y129" s="318">
        <f>IFERROR(IF(tblPiNAnalysis[[#This Row],[Nutrition]]="", "", MROUND(tblPiNAnalysis[[#This Row],[Nutrition]]/tblPiNAnalysis[[#This Row],[Population]], 0.05)), "")</f>
        <v>0.1</v>
      </c>
      <c r="Z129" s="318">
        <f>IFERROR(IF(tblPiNAnalysis[[#This Row],[Food Security]]="", "", MROUND(tblPiNAnalysis[[#This Row],[Food Security]]/tblPiNAnalysis[[#This Row],[Population]], 0.05)), "")</f>
        <v>0.65</v>
      </c>
      <c r="AA129" s="318">
        <f>IFERROR(IF(tblPiNAnalysis[[#This Row],[Health]]="", "", MROUND(tblPiNAnalysis[[#This Row],[Health]]/tblPiNAnalysis[[#This Row],[Population]], 0.05)), "")</f>
        <v>0.1</v>
      </c>
      <c r="AB129" s="319">
        <f>IFERROR(IF(tblPiNAnalysis[[#This Row],[Protection]]="", "", MROUND(tblPiNAnalysis[[#This Row],[Protection]]/tblPiNAnalysis[[#This Row],[Population]], 0.05)), "")</f>
        <v>0.1</v>
      </c>
      <c r="AC129" s="319">
        <f>IFERROR(IF(tblPiNAnalysis[[#This Row],[Shelter]]="", "", MROUND(tblPiNAnalysis[[#This Row],[Shelter]]/tblPiNAnalysis[[#This Row],[Population]], 0.05)), "")</f>
        <v>0.25</v>
      </c>
      <c r="AD129" s="320">
        <f>IFERROR(IF(tblPiNAnalysis[[#This Row],[WASH]]="", "", MROUND(tblPiNAnalysis[[#This Row],[WASH]]/tblPiNAnalysis[[#This Row],[Population]], 0.05)), "")</f>
        <v>0.05</v>
      </c>
      <c r="AE129" s="318">
        <f>IFERROR(MROUND(tblPiNAnalysis[[#This Row],[CP]]/tblPiNAnalysis[[#This Row],[Population]], 0.05), "")</f>
        <v>0</v>
      </c>
      <c r="AF129" s="318">
        <f>IFERROR(MROUND(tblPiNAnalysis[[#This Row],[GBV]]/tblPiNAnalysis[[#This Row],[Population]], 0.05), "")</f>
        <v>0</v>
      </c>
      <c r="AG129" s="318">
        <f>IFERROR(MROUND(tblPiNAnalysis[[#This Row],[Migrants]]/tblPiNAnalysis[[#This Row],[Population]], 0.05), "")</f>
        <v>0</v>
      </c>
      <c r="AH129" s="318">
        <f>IFERROR(MROUND(tblPiNAnalysis[[#This Row],[_]]/tblPiNAnalysis[[#This Row],[Population]], 0.05), "")</f>
        <v>0</v>
      </c>
      <c r="AI129" s="321">
        <f>IFERROR(LARGE(tblPiNAnalysis[[#This Row],[CCCM]:[WASH]], 1), "")</f>
        <v>22608</v>
      </c>
      <c r="AJ129" s="322" t="str" cm="1">
        <f t="array" ref="AJ129">IF(tblPiNAnalysis[[#This Row],[Highest PiN]]="", "", _xlfn.TEXTJOIN(CHAR(10), TRUE, IF(tblPiNAnalysis[[#This Row],[Highest PiN]]=tblPiNAnalysis[[#This Row],[CCCM]:[WASH]], tblPiNAnalysis[[#Headers],[CCCM]:[WASH]], "")))</f>
        <v>Food Security</v>
      </c>
      <c r="AK129" s="323">
        <f>IF(tblPiNAnalysis[[#This Row],[Highest PiN]]="", "", tblPiNAnalysis[[#This Row],[Highest PiN]]/tblPiNAnalysis[[#This Row],[Population]])</f>
        <v>0.62791278989029298</v>
      </c>
      <c r="AL129" s="265" t="str">
        <f>IF(SUM(tblPiNAnalysis[[#This Row],[CCCM]:[WASH]])=0, "",IF(COUNTIF(tblPiNAnalysis[[#This Row],[CCCM]:[WASH]],"=0")+COUNTIF(tblPiNAnalysis[[#This Row],[CCCM]:[WASH]],"")&gt;=zero_pin_thresh, "Flagged", ""))</f>
        <v/>
      </c>
      <c r="AM129" s="264" t="str">
        <f>IFERROR(IF(tblPiNAnalysis[[#This Row],[Highest PiN]]="", "", IF(tblPiNAnalysis[[#This Row],[Highest sector(s'') PiN %]]&gt;=flag_pin_perc, "Flagged", "")), "")</f>
        <v/>
      </c>
      <c r="AN129" s="266" t="str" cm="1">
        <f t="array" ref="AN129">IF(tblPiNAnalysis[[#This Row],[Highest PiN]]=0, "",  IF(OR(COUNTIF(tblPiNAnalysis[[#This Row],[Highest sector(s)]],tblSubSectorPopulation[Sector])), "Flagged", ""))</f>
        <v/>
      </c>
      <c r="AO129" s="45" cm="1">
        <f t="array" ref="AO12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9380</v>
      </c>
      <c r="AP129" s="326" t="str" cm="1">
        <f t="array" ref="AP129">IF(tblPiNAnalysis[[#This Row],[2nd Highest PiN]]="", "", _xlfn.TEXTJOIN(CHAR(10), TRUE, IF(tblPiNAnalysis[[#This Row],[2nd Highest PiN]]=tblPiNAnalysis[[#This Row],[CCCM]:[WASH]], tblPiNAnalysis[[#Headers],[CCCM]:[WASH]], "")))</f>
        <v>Shelter</v>
      </c>
      <c r="AQ129" s="35">
        <f>IFERROR(tblPiNAnalysis[[#This Row],[2nd Highest PiN]]/tblPiNAnalysis[[#This Row],[Population]], "")</f>
        <v>0.26051937230940148</v>
      </c>
      <c r="AR129" s="45">
        <f>IFERROR(tblPiNAnalysis[[#This Row],[Highest PiN]]-tblPiNAnalysis[[#This Row],[2nd Highest PiN]], "")</f>
        <v>13228</v>
      </c>
      <c r="AS129" s="38">
        <f>IFERROR(((tblPiNAnalysis[[#This Row],[Highest PiN]]-tblPiNAnalysis[[#This Row],[2nd Highest PiN]])/tblPiNAnalysis[[#This Row],[2nd Highest PiN]]),"")</f>
        <v>1.4102345415778252</v>
      </c>
      <c r="AT129" s="269" t="str" cm="1">
        <f t="array" ref="AT12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29" s="327" cm="1">
        <f t="array" ref="AU12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5672</v>
      </c>
      <c r="AV129" s="186" t="str" cm="1">
        <f t="array" ref="AV129">IF(tblPiNAnalysis[[#This Row],[3rd Highest PiN]]="", "", _xlfn.TEXTJOIN(CHAR(10), TRUE, IF(tblPiNAnalysis[[#This Row],[3rd Highest PiN]]=tblPiNAnalysis[[#This Row],[CCCM]:[WASH]], tblPiNAnalysis[[#Headers],[CCCM]:[WASH]], "")))</f>
        <v>Education</v>
      </c>
      <c r="AW129" s="186">
        <f>IFERROR(tblPiNAnalysis[[#This Row],[3rd Highest PiN]]/tblPiNAnalysis[[#This Row],[Population]], "")</f>
        <v>0.15753367587835024</v>
      </c>
      <c r="AX129" s="44">
        <f>IFERROR(tblPiNAnalysis[[#This Row],[Highest PiN]]-tblPiNAnalysis[[#This Row],[3rd Highest PiN]],"")</f>
        <v>16936</v>
      </c>
      <c r="AY129" s="38">
        <f>IFERROR(tblPiNAnalysis[[#This Row],[Difference of PiN between Highest and 3rd Highest]]/tblPiNAnalysis[[#This Row],[3rd Highest PiN]], "")</f>
        <v>2.9858956276445698</v>
      </c>
      <c r="AZ129" s="325" t="str" cm="1">
        <f t="array" ref="AZ12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29" s="292" cm="1">
        <f t="array" ref="BA129">IFERROR(IF(tblPiNAnalysis[[#This Row],[ID]]="", "", INDEX(tblPiNHistorical[[CCCM]:[WASH]], MATCH(tblPiNAnalysis[[#This Row],[ID]],tblPiNHistorical[ID], 0),MATCH(_xlfn._xlws.FILTER(tblPiNAnalysis[[#Headers],[CCCM]:[WASH]], tblPiNAnalysis[[#This Row],[Highest PiN]]=tblPiNAnalysis[[#This Row],[CCCM]:[WASH]]), tblPiNHistorical[[#Headers],[CCCM]:[WASH]], 0))), "")</f>
        <v>0</v>
      </c>
      <c r="BB129" s="328" t="str" cm="1">
        <f t="array" ref="BB12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29" s="272" cm="1">
        <f t="array" ref="BC129">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29" s="329" t="str" cm="1">
        <f t="array" ref="BD12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29" s="371">
        <f>INDEX(tblSeverityAnalysis[Final Severity], MATCH(tblPiNAnalysis[[#This Row],[ID]],tblSeverityAnalysis[ID], 0))</f>
        <v>3</v>
      </c>
      <c r="BF129" s="60">
        <f>IF(tblPiNAnalysis[[#This Row],[Severity]]&gt;2,tblPiNAnalysis[[#This Row],[Highest PiN]],)</f>
        <v>22608</v>
      </c>
      <c r="BG129" s="187"/>
      <c r="BH129" s="188"/>
      <c r="BI129" s="189">
        <f>COUNTIFS(tblPiNAnalysis[[#This Row],[Number of missing / zero PiNs greater than threshold - Data quality]:[Manual Flag]],"Flagged")</f>
        <v>2</v>
      </c>
      <c r="BJ129" s="346" t="str">
        <f>IF(tblPiNAnalysis[[#This Row],['# Flags]]&gt;0, "Flagged", "")</f>
        <v>Flagged</v>
      </c>
      <c r="BK129" s="339">
        <f>tblPiNAnalysis[[#This Row],[Preliminary PiN]]</f>
        <v>22608</v>
      </c>
      <c r="BL129" s="326"/>
      <c r="BM129" s="383">
        <f>IF(OR(tblPiNAnalysis[[#This Row],[Severity]]=4,tblPiNAnalysis[[#This Row],[Severity]]=5),tblPiNAnalysis[[#This Row],[Final PiN]],0)</f>
        <v>0</v>
      </c>
      <c r="BN129" s="378">
        <f>IF(OR(tblPiNAnalysis[[#This Row],[Severity]]=4,tblPiNAnalysis[[#This Row],[Severity]]=5),100%, IF(tblPiNAnalysis[[#This Row],[Severity]]=3,50%,0%))*tblPiNAnalysis[[#This Row],[Final PiN]]</f>
        <v>11304</v>
      </c>
      <c r="BO129" s="383">
        <f>IF(OR(tblPiNAnalysis[[#This Row],[Severity]]=4,tblPiNAnalysis[[#This Row],[Severity]]=5),100%, IF(AND(tblPiNAnalysis[[#This Row],[Severity]]=3,VLOOKUP(tblPiNAnalysis[[#This Row],[ID]],tblSeverityAnalysis[[ID]:[Highest Severity]],35,FALSE)&gt;3),50%,0%))*tblPiNAnalysis[[#This Row],[Final PiN]]</f>
        <v>11304</v>
      </c>
    </row>
    <row r="130" spans="1:67" hidden="1">
      <c r="A13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Global_PopulationHT0932</v>
      </c>
      <c r="B130" s="304" t="s">
        <v>409</v>
      </c>
      <c r="C130" s="213" t="s">
        <v>410</v>
      </c>
      <c r="D130" s="213" t="s">
        <v>425</v>
      </c>
      <c r="E130" s="103" t="s">
        <v>426</v>
      </c>
      <c r="F130" s="99"/>
      <c r="G130" s="34"/>
      <c r="H130" s="357"/>
      <c r="I130" s="354">
        <v>28588</v>
      </c>
      <c r="J130" s="221" t="s">
        <v>156</v>
      </c>
      <c r="K130" s="316">
        <v>1287</v>
      </c>
      <c r="L130" s="308">
        <v>4748</v>
      </c>
      <c r="M130" s="308">
        <v>2323</v>
      </c>
      <c r="N130" s="308">
        <v>18215</v>
      </c>
      <c r="O130" s="308">
        <v>2092.1029613053611</v>
      </c>
      <c r="P130" s="308">
        <v>1313.88</v>
      </c>
      <c r="Q130" s="309">
        <v>22896</v>
      </c>
      <c r="R130" s="308">
        <v>28588</v>
      </c>
      <c r="S130" s="308"/>
      <c r="T130" s="308"/>
      <c r="U130" s="308"/>
      <c r="V130" s="308"/>
      <c r="W130" s="317">
        <f>IFERROR(IF(tblPiNAnalysis[[#This Row],[CCCM]]="", "", MROUND(tblPiNAnalysis[[#This Row],[CCCM]]/tblPiNAnalysis[[#This Row],[Population]], 0.05)), "")</f>
        <v>0.05</v>
      </c>
      <c r="X130" s="318">
        <f>IFERROR(IF(tblPiNAnalysis[[#This Row],[Education]]="", "", MROUND(tblPiNAnalysis[[#This Row],[Education]]/tblPiNAnalysis[[#This Row],[Population]], 0.05)), "")</f>
        <v>0.15000000000000002</v>
      </c>
      <c r="Y130" s="318">
        <f>IFERROR(IF(tblPiNAnalysis[[#This Row],[Nutrition]]="", "", MROUND(tblPiNAnalysis[[#This Row],[Nutrition]]/tblPiNAnalysis[[#This Row],[Population]], 0.05)), "")</f>
        <v>0.1</v>
      </c>
      <c r="Z130" s="318">
        <f>IFERROR(IF(tblPiNAnalysis[[#This Row],[Food Security]]="", "", MROUND(tblPiNAnalysis[[#This Row],[Food Security]]/tblPiNAnalysis[[#This Row],[Population]], 0.05)), "")</f>
        <v>0.65</v>
      </c>
      <c r="AA130" s="318">
        <f>IFERROR(IF(tblPiNAnalysis[[#This Row],[Health]]="", "", MROUND(tblPiNAnalysis[[#This Row],[Health]]/tblPiNAnalysis[[#This Row],[Population]], 0.05)), "")</f>
        <v>0.05</v>
      </c>
      <c r="AB130" s="319">
        <f>IFERROR(IF(tblPiNAnalysis[[#This Row],[Protection]]="", "", MROUND(tblPiNAnalysis[[#This Row],[Protection]]/tblPiNAnalysis[[#This Row],[Population]], 0.05)), "")</f>
        <v>0.05</v>
      </c>
      <c r="AC130" s="319">
        <f>IFERROR(IF(tblPiNAnalysis[[#This Row],[Shelter]]="", "", MROUND(tblPiNAnalysis[[#This Row],[Shelter]]/tblPiNAnalysis[[#This Row],[Population]], 0.05)), "")</f>
        <v>0.8</v>
      </c>
      <c r="AD130" s="320">
        <f>IFERROR(IF(tblPiNAnalysis[[#This Row],[WASH]]="", "", MROUND(tblPiNAnalysis[[#This Row],[WASH]]/tblPiNAnalysis[[#This Row],[Population]], 0.05)), "")</f>
        <v>1</v>
      </c>
      <c r="AE130" s="318">
        <f>IFERROR(MROUND(tblPiNAnalysis[[#This Row],[CP]]/tblPiNAnalysis[[#This Row],[Population]], 0.05), "")</f>
        <v>0</v>
      </c>
      <c r="AF130" s="318">
        <f>IFERROR(MROUND(tblPiNAnalysis[[#This Row],[GBV]]/tblPiNAnalysis[[#This Row],[Population]], 0.05), "")</f>
        <v>0</v>
      </c>
      <c r="AG130" s="318">
        <f>IFERROR(MROUND(tblPiNAnalysis[[#This Row],[Migrants]]/tblPiNAnalysis[[#This Row],[Population]], 0.05), "")</f>
        <v>0</v>
      </c>
      <c r="AH130" s="318">
        <f>IFERROR(MROUND(tblPiNAnalysis[[#This Row],[_]]/tblPiNAnalysis[[#This Row],[Population]], 0.05), "")</f>
        <v>0</v>
      </c>
      <c r="AI130" s="321">
        <f>IFERROR(LARGE(tblPiNAnalysis[[#This Row],[CCCM]:[WASH]], 1), "")</f>
        <v>28588</v>
      </c>
      <c r="AJ130" s="322" t="str" cm="1">
        <f t="array" ref="AJ130">IF(tblPiNAnalysis[[#This Row],[Highest PiN]]="", "", _xlfn.TEXTJOIN(CHAR(10), TRUE, IF(tblPiNAnalysis[[#This Row],[Highest PiN]]=tblPiNAnalysis[[#This Row],[CCCM]:[WASH]], tblPiNAnalysis[[#Headers],[CCCM]:[WASH]], "")))</f>
        <v>WASH</v>
      </c>
      <c r="AK130" s="323">
        <f>IF(tblPiNAnalysis[[#This Row],[Highest PiN]]="", "", tblPiNAnalysis[[#This Row],[Highest PiN]]/tblPiNAnalysis[[#This Row],[Population]])</f>
        <v>1</v>
      </c>
      <c r="AL130" s="265" t="str">
        <f>IF(SUM(tblPiNAnalysis[[#This Row],[CCCM]:[WASH]])=0, "",IF(COUNTIF(tblPiNAnalysis[[#This Row],[CCCM]:[WASH]],"=0")+COUNTIF(tblPiNAnalysis[[#This Row],[CCCM]:[WASH]],"")&gt;=zero_pin_thresh, "Flagged", ""))</f>
        <v/>
      </c>
      <c r="AM130" s="264" t="str">
        <f>IFERROR(IF(tblPiNAnalysis[[#This Row],[Highest PiN]]="", "", IF(tblPiNAnalysis[[#This Row],[Highest sector(s'') PiN %]]&gt;=flag_pin_perc, "Flagged", "")), "")</f>
        <v>Flagged</v>
      </c>
      <c r="AN130" s="266" t="str" cm="1">
        <f t="array" ref="AN130">IF(tblPiNAnalysis[[#This Row],[Highest PiN]]=0, "",  IF(OR(COUNTIF(tblPiNAnalysis[[#This Row],[Highest sector(s)]],tblSubSectorPopulation[Sector])), "Flagged", ""))</f>
        <v/>
      </c>
      <c r="AO130" s="45" cm="1">
        <f t="array" ref="AO13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22896</v>
      </c>
      <c r="AP130" s="326" t="str" cm="1">
        <f t="array" ref="AP130">IF(tblPiNAnalysis[[#This Row],[2nd Highest PiN]]="", "", _xlfn.TEXTJOIN(CHAR(10), TRUE, IF(tblPiNAnalysis[[#This Row],[2nd Highest PiN]]=tblPiNAnalysis[[#This Row],[CCCM]:[WASH]], tblPiNAnalysis[[#Headers],[CCCM]:[WASH]], "")))</f>
        <v>Shelter</v>
      </c>
      <c r="AQ130" s="35">
        <f>IFERROR(tblPiNAnalysis[[#This Row],[2nd Highest PiN]]/tblPiNAnalysis[[#This Row],[Population]], "")</f>
        <v>0.80089548062123972</v>
      </c>
      <c r="AR130" s="45">
        <f>IFERROR(tblPiNAnalysis[[#This Row],[Highest PiN]]-tblPiNAnalysis[[#This Row],[2nd Highest PiN]], "")</f>
        <v>5692</v>
      </c>
      <c r="AS130" s="38">
        <f>IFERROR(((tblPiNAnalysis[[#This Row],[Highest PiN]]-tblPiNAnalysis[[#This Row],[2nd Highest PiN]])/tblPiNAnalysis[[#This Row],[2nd Highest PiN]]),"")</f>
        <v>0.24860237596086654</v>
      </c>
      <c r="AT130" s="269" t="str" cm="1">
        <f t="array" ref="AT13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0" s="327" cm="1">
        <f t="array" ref="AU13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18215</v>
      </c>
      <c r="AV130" s="186" t="str" cm="1">
        <f t="array" ref="AV130">IF(tblPiNAnalysis[[#This Row],[3rd Highest PiN]]="", "", _xlfn.TEXTJOIN(CHAR(10), TRUE, IF(tblPiNAnalysis[[#This Row],[3rd Highest PiN]]=tblPiNAnalysis[[#This Row],[CCCM]:[WASH]], tblPiNAnalysis[[#Headers],[CCCM]:[WASH]], "")))</f>
        <v>Food Security</v>
      </c>
      <c r="AW130" s="186">
        <f>IFERROR(tblPiNAnalysis[[#This Row],[3rd Highest PiN]]/tblPiNAnalysis[[#This Row],[Population]], "")</f>
        <v>0.63715544983909334</v>
      </c>
      <c r="AX130" s="44">
        <f>IFERROR(tblPiNAnalysis[[#This Row],[Highest PiN]]-tblPiNAnalysis[[#This Row],[3rd Highest PiN]],"")</f>
        <v>10373</v>
      </c>
      <c r="AY130" s="38">
        <f>IFERROR(tblPiNAnalysis[[#This Row],[Difference of PiN between Highest and 3rd Highest]]/tblPiNAnalysis[[#This Row],[3rd Highest PiN]], "")</f>
        <v>0.56947570683502613</v>
      </c>
      <c r="AZ130" s="325" t="str" cm="1">
        <f t="array" ref="AZ13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0" s="292" cm="1">
        <f t="array" ref="BA130">IFERROR(IF(tblPiNAnalysis[[#This Row],[ID]]="", "", INDEX(tblPiNHistorical[[CCCM]:[WASH]], MATCH(tblPiNAnalysis[[#This Row],[ID]],tblPiNHistorical[ID], 0),MATCH(_xlfn._xlws.FILTER(tblPiNAnalysis[[#Headers],[CCCM]:[WASH]], tblPiNAnalysis[[#This Row],[Highest PiN]]=tblPiNAnalysis[[#This Row],[CCCM]:[WASH]]), tblPiNHistorical[[#Headers],[CCCM]:[WASH]], 0))), "")</f>
        <v>5.3</v>
      </c>
      <c r="BB130" s="328" t="str" cm="1">
        <f t="array" ref="BB13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30" s="272" t="str" cm="1">
        <f t="array" ref="BC130">IFERROR(IF(tblPiNAnalysis[[#This Row],[ID]]="", "", INDEX(tblPiNHistorical[[CCCM]:[WASH]], MATCH(tblPiNAnalysis[[#This Row],[ID]],tblPiNHistorical[ID], 0),MATCH(_xlfn._xlws.FILTER(tblPiNAnalysis[[#Headers],[CCCM]:[WASH]], tblPiNAnalysis[[#This Row],[2nd Highest PiN]]=tblPiNAnalysis[[#This Row],[CCCM]:[WASH]]), tblPiNHistorical[[#Headers],[CCCM]:[WASH]], 0))), "")</f>
        <v/>
      </c>
      <c r="BD130" s="329" t="str" cm="1">
        <f t="array" ref="BD13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0" s="371">
        <f>INDEX(tblSeverityAnalysis[Final Severity], MATCH(tblPiNAnalysis[[#This Row],[ID]],tblSeverityAnalysis[ID], 0))</f>
        <v>3</v>
      </c>
      <c r="BF130" s="60">
        <f>IF(tblPiNAnalysis[[#This Row],[Severity]]&gt;2,tblPiNAnalysis[[#This Row],[Highest PiN]],)</f>
        <v>28588</v>
      </c>
      <c r="BG130" s="187"/>
      <c r="BH130" s="188"/>
      <c r="BI130" s="189">
        <f>COUNTIFS(tblPiNAnalysis[[#This Row],[Number of missing / zero PiNs greater than threshold - Data quality]:[Manual Flag]],"Flagged")</f>
        <v>2</v>
      </c>
      <c r="BJ130" s="346" t="str">
        <f>IF(tblPiNAnalysis[[#This Row],['# Flags]]&gt;0, "Flagged", "")</f>
        <v>Flagged</v>
      </c>
      <c r="BK130" s="339">
        <f>tblPiNAnalysis[[#This Row],[Preliminary PiN]]</f>
        <v>28588</v>
      </c>
      <c r="BL130" s="326"/>
      <c r="BM130" s="383">
        <f>IF(OR(tblPiNAnalysis[[#This Row],[Severity]]=4,tblPiNAnalysis[[#This Row],[Severity]]=5),tblPiNAnalysis[[#This Row],[Final PiN]],0)</f>
        <v>0</v>
      </c>
      <c r="BN130" s="378">
        <f>IF(OR(tblPiNAnalysis[[#This Row],[Severity]]=4,tblPiNAnalysis[[#This Row],[Severity]]=5),100%, IF(tblPiNAnalysis[[#This Row],[Severity]]=3,50%,0%))*tblPiNAnalysis[[#This Row],[Final PiN]]</f>
        <v>14294</v>
      </c>
      <c r="BO130" s="383">
        <f>IF(OR(tblPiNAnalysis[[#This Row],[Severity]]=4,tblPiNAnalysis[[#This Row],[Severity]]=5),100%, IF(AND(tblPiNAnalysis[[#This Row],[Severity]]=3,VLOOKUP(tblPiNAnalysis[[#This Row],[ID]],tblSeverityAnalysis[[ID]:[Highest Severity]],35,FALSE)&gt;3),50%,0%))*tblPiNAnalysis[[#This Row],[Final PiN]]</f>
        <v>14294</v>
      </c>
    </row>
    <row r="131" spans="1:67" hidden="1">
      <c r="A13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Global_PopulationHT0933</v>
      </c>
      <c r="B131" s="304" t="s">
        <v>409</v>
      </c>
      <c r="C131" s="213" t="s">
        <v>410</v>
      </c>
      <c r="D131" s="213" t="s">
        <v>427</v>
      </c>
      <c r="E131" s="103" t="s">
        <v>428</v>
      </c>
      <c r="F131" s="99"/>
      <c r="G131" s="34"/>
      <c r="H131" s="357"/>
      <c r="I131" s="354">
        <v>37868</v>
      </c>
      <c r="J131" s="221" t="s">
        <v>156</v>
      </c>
      <c r="K131" s="316">
        <v>3105</v>
      </c>
      <c r="L131" s="308">
        <v>6078</v>
      </c>
      <c r="M131" s="308">
        <v>3159</v>
      </c>
      <c r="N131" s="308">
        <v>24053</v>
      </c>
      <c r="O131" s="308">
        <v>4040.9408840579708</v>
      </c>
      <c r="P131" s="308">
        <v>1069.08</v>
      </c>
      <c r="Q131" s="309">
        <v>0</v>
      </c>
      <c r="R131" s="308">
        <v>2070</v>
      </c>
      <c r="S131" s="308"/>
      <c r="T131" s="308"/>
      <c r="U131" s="308"/>
      <c r="V131" s="308"/>
      <c r="W131" s="317">
        <f>IFERROR(IF(tblPiNAnalysis[[#This Row],[CCCM]]="", "", MROUND(tblPiNAnalysis[[#This Row],[CCCM]]/tblPiNAnalysis[[#This Row],[Population]], 0.05)), "")</f>
        <v>0.1</v>
      </c>
      <c r="X131" s="318">
        <f>IFERROR(IF(tblPiNAnalysis[[#This Row],[Education]]="", "", MROUND(tblPiNAnalysis[[#This Row],[Education]]/tblPiNAnalysis[[#This Row],[Population]], 0.05)), "")</f>
        <v>0.15000000000000002</v>
      </c>
      <c r="Y131" s="318">
        <f>IFERROR(IF(tblPiNAnalysis[[#This Row],[Nutrition]]="", "", MROUND(tblPiNAnalysis[[#This Row],[Nutrition]]/tblPiNAnalysis[[#This Row],[Population]], 0.05)), "")</f>
        <v>0.1</v>
      </c>
      <c r="Z131" s="318">
        <f>IFERROR(IF(tblPiNAnalysis[[#This Row],[Food Security]]="", "", MROUND(tblPiNAnalysis[[#This Row],[Food Security]]/tblPiNAnalysis[[#This Row],[Population]], 0.05)), "")</f>
        <v>0.65</v>
      </c>
      <c r="AA131" s="318">
        <f>IFERROR(IF(tblPiNAnalysis[[#This Row],[Health]]="", "", MROUND(tblPiNAnalysis[[#This Row],[Health]]/tblPiNAnalysis[[#This Row],[Population]], 0.05)), "")</f>
        <v>0.1</v>
      </c>
      <c r="AB131" s="319">
        <f>IFERROR(IF(tblPiNAnalysis[[#This Row],[Protection]]="", "", MROUND(tblPiNAnalysis[[#This Row],[Protection]]/tblPiNAnalysis[[#This Row],[Population]], 0.05)), "")</f>
        <v>0.05</v>
      </c>
      <c r="AC131" s="319">
        <f>IFERROR(IF(tblPiNAnalysis[[#This Row],[Shelter]]="", "", MROUND(tblPiNAnalysis[[#This Row],[Shelter]]/tblPiNAnalysis[[#This Row],[Population]], 0.05)), "")</f>
        <v>0</v>
      </c>
      <c r="AD131" s="320">
        <f>IFERROR(IF(tblPiNAnalysis[[#This Row],[WASH]]="", "", MROUND(tblPiNAnalysis[[#This Row],[WASH]]/tblPiNAnalysis[[#This Row],[Population]], 0.05)), "")</f>
        <v>0.05</v>
      </c>
      <c r="AE131" s="318">
        <f>IFERROR(MROUND(tblPiNAnalysis[[#This Row],[CP]]/tblPiNAnalysis[[#This Row],[Population]], 0.05), "")</f>
        <v>0</v>
      </c>
      <c r="AF131" s="318">
        <f>IFERROR(MROUND(tblPiNAnalysis[[#This Row],[GBV]]/tblPiNAnalysis[[#This Row],[Population]], 0.05), "")</f>
        <v>0</v>
      </c>
      <c r="AG131" s="318">
        <f>IFERROR(MROUND(tblPiNAnalysis[[#This Row],[Migrants]]/tblPiNAnalysis[[#This Row],[Population]], 0.05), "")</f>
        <v>0</v>
      </c>
      <c r="AH131" s="318">
        <f>IFERROR(MROUND(tblPiNAnalysis[[#This Row],[_]]/tblPiNAnalysis[[#This Row],[Population]], 0.05), "")</f>
        <v>0</v>
      </c>
      <c r="AI131" s="321">
        <f>IFERROR(LARGE(tblPiNAnalysis[[#This Row],[CCCM]:[WASH]], 1), "")</f>
        <v>24053</v>
      </c>
      <c r="AJ131" s="322" t="str" cm="1">
        <f t="array" ref="AJ131">IF(tblPiNAnalysis[[#This Row],[Highest PiN]]="", "", _xlfn.TEXTJOIN(CHAR(10), TRUE, IF(tblPiNAnalysis[[#This Row],[Highest PiN]]=tblPiNAnalysis[[#This Row],[CCCM]:[WASH]], tblPiNAnalysis[[#Headers],[CCCM]:[WASH]], "")))</f>
        <v>Food Security</v>
      </c>
      <c r="AK131" s="323">
        <f>IF(tblPiNAnalysis[[#This Row],[Highest PiN]]="", "", tblPiNAnalysis[[#This Row],[Highest PiN]]/tblPiNAnalysis[[#This Row],[Population]])</f>
        <v>0.63518009929227848</v>
      </c>
      <c r="AL131" s="265" t="str">
        <f>IF(SUM(tblPiNAnalysis[[#This Row],[CCCM]:[WASH]])=0, "",IF(COUNTIF(tblPiNAnalysis[[#This Row],[CCCM]:[WASH]],"=0")+COUNTIF(tblPiNAnalysis[[#This Row],[CCCM]:[WASH]],"")&gt;=zero_pin_thresh, "Flagged", ""))</f>
        <v/>
      </c>
      <c r="AM131" s="264" t="str">
        <f>IFERROR(IF(tblPiNAnalysis[[#This Row],[Highest PiN]]="", "", IF(tblPiNAnalysis[[#This Row],[Highest sector(s'') PiN %]]&gt;=flag_pin_perc, "Flagged", "")), "")</f>
        <v/>
      </c>
      <c r="AN131" s="266" t="str" cm="1">
        <f t="array" ref="AN131">IF(tblPiNAnalysis[[#This Row],[Highest PiN]]=0, "",  IF(OR(COUNTIF(tblPiNAnalysis[[#This Row],[Highest sector(s)]],tblSubSectorPopulation[Sector])), "Flagged", ""))</f>
        <v/>
      </c>
      <c r="AO131" s="45" cm="1">
        <f t="array" ref="AO13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6078</v>
      </c>
      <c r="AP131" s="326" t="str" cm="1">
        <f t="array" ref="AP131">IF(tblPiNAnalysis[[#This Row],[2nd Highest PiN]]="", "", _xlfn.TEXTJOIN(CHAR(10), TRUE, IF(tblPiNAnalysis[[#This Row],[2nd Highest PiN]]=tblPiNAnalysis[[#This Row],[CCCM]:[WASH]], tblPiNAnalysis[[#Headers],[CCCM]:[WASH]], "")))</f>
        <v>Education</v>
      </c>
      <c r="AQ131" s="35">
        <f>IFERROR(tblPiNAnalysis[[#This Row],[2nd Highest PiN]]/tblPiNAnalysis[[#This Row],[Population]], "")</f>
        <v>0.16050491179888032</v>
      </c>
      <c r="AR131" s="45">
        <f>IFERROR(tblPiNAnalysis[[#This Row],[Highest PiN]]-tblPiNAnalysis[[#This Row],[2nd Highest PiN]], "")</f>
        <v>17975</v>
      </c>
      <c r="AS131" s="38">
        <f>IFERROR(((tblPiNAnalysis[[#This Row],[Highest PiN]]-tblPiNAnalysis[[#This Row],[2nd Highest PiN]])/tblPiNAnalysis[[#This Row],[2nd Highest PiN]]),"")</f>
        <v>2.9573872984534386</v>
      </c>
      <c r="AT131" s="269" t="str" cm="1">
        <f t="array" ref="AT13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1" s="327" cm="1">
        <f t="array" ref="AU13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4040.9408840579708</v>
      </c>
      <c r="AV131" s="186" t="str" cm="1">
        <f t="array" ref="AV131">IF(tblPiNAnalysis[[#This Row],[3rd Highest PiN]]="", "", _xlfn.TEXTJOIN(CHAR(10), TRUE, IF(tblPiNAnalysis[[#This Row],[3rd Highest PiN]]=tblPiNAnalysis[[#This Row],[CCCM]:[WASH]], tblPiNAnalysis[[#Headers],[CCCM]:[WASH]], "")))</f>
        <v>Health</v>
      </c>
      <c r="AW131" s="186">
        <f>IFERROR(tblPiNAnalysis[[#This Row],[3rd Highest PiN]]/tblPiNAnalysis[[#This Row],[Population]], "")</f>
        <v>0.10671123069763312</v>
      </c>
      <c r="AX131" s="44">
        <f>IFERROR(tblPiNAnalysis[[#This Row],[Highest PiN]]-tblPiNAnalysis[[#This Row],[3rd Highest PiN]],"")</f>
        <v>20012.059115942029</v>
      </c>
      <c r="AY131" s="38">
        <f>IFERROR(tblPiNAnalysis[[#This Row],[Difference of PiN between Highest and 3rd Highest]]/tblPiNAnalysis[[#This Row],[3rd Highest PiN]], "")</f>
        <v>4.9523266214787167</v>
      </c>
      <c r="AZ131" s="325" t="str" cm="1">
        <f t="array" ref="AZ13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1" s="292" cm="1">
        <f t="array" ref="BA131">IFERROR(IF(tblPiNAnalysis[[#This Row],[ID]]="", "", INDEX(tblPiNHistorical[[CCCM]:[WASH]], MATCH(tblPiNAnalysis[[#This Row],[ID]],tblPiNHistorical[ID], 0),MATCH(_xlfn._xlws.FILTER(tblPiNAnalysis[[#Headers],[CCCM]:[WASH]], tblPiNAnalysis[[#This Row],[Highest PiN]]=tblPiNAnalysis[[#This Row],[CCCM]:[WASH]]), tblPiNHistorical[[#Headers],[CCCM]:[WASH]], 0))), "")</f>
        <v>0</v>
      </c>
      <c r="BB131" s="328" t="str" cm="1">
        <f t="array" ref="BB13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1" s="272" cm="1">
        <f t="array" ref="BC131">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31" s="329" t="str" cm="1">
        <f t="array" ref="BD13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1" s="371">
        <f>INDEX(tblSeverityAnalysis[Final Severity], MATCH(tblPiNAnalysis[[#This Row],[ID]],tblSeverityAnalysis[ID], 0))</f>
        <v>2</v>
      </c>
      <c r="BF131" s="60">
        <f>IF(tblPiNAnalysis[[#This Row],[Severity]]&gt;2,tblPiNAnalysis[[#This Row],[Highest PiN]],)</f>
        <v>0</v>
      </c>
      <c r="BG131" s="187"/>
      <c r="BH131" s="188"/>
      <c r="BI131" s="189">
        <f>COUNTIFS(tblPiNAnalysis[[#This Row],[Number of missing / zero PiNs greater than threshold - Data quality]:[Manual Flag]],"Flagged")</f>
        <v>2</v>
      </c>
      <c r="BJ131" s="346" t="str">
        <f>IF(tblPiNAnalysis[[#This Row],['# Flags]]&gt;0, "Flagged", "")</f>
        <v>Flagged</v>
      </c>
      <c r="BK131" s="339">
        <f>tblPiNAnalysis[[#This Row],[Preliminary PiN]]</f>
        <v>0</v>
      </c>
      <c r="BL131" s="326"/>
      <c r="BM131" s="383">
        <f>IF(OR(tblPiNAnalysis[[#This Row],[Severity]]=4,tblPiNAnalysis[[#This Row],[Severity]]=5),tblPiNAnalysis[[#This Row],[Final PiN]],0)</f>
        <v>0</v>
      </c>
      <c r="BN131" s="378">
        <f>IF(OR(tblPiNAnalysis[[#This Row],[Severity]]=4,tblPiNAnalysis[[#This Row],[Severity]]=5),100%, IF(tblPiNAnalysis[[#This Row],[Severity]]=3,50%,0%))*tblPiNAnalysis[[#This Row],[Final PiN]]</f>
        <v>0</v>
      </c>
      <c r="BO131" s="383">
        <f>IF(OR(tblPiNAnalysis[[#This Row],[Severity]]=4,tblPiNAnalysis[[#This Row],[Severity]]=5),100%, IF(AND(tblPiNAnalysis[[#This Row],[Severity]]=3,VLOOKUP(tblPiNAnalysis[[#This Row],[ID]],tblSeverityAnalysis[[ID]:[Highest Severity]],35,FALSE)&gt;3),50%,0%))*tblPiNAnalysis[[#This Row],[Final PiN]]</f>
        <v>0</v>
      </c>
    </row>
    <row r="132" spans="1:67" hidden="1">
      <c r="A13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Global_PopulationHT0934</v>
      </c>
      <c r="B132" s="304" t="s">
        <v>409</v>
      </c>
      <c r="C132" s="213" t="s">
        <v>410</v>
      </c>
      <c r="D132" s="213" t="s">
        <v>429</v>
      </c>
      <c r="E132" s="103" t="s">
        <v>430</v>
      </c>
      <c r="F132" s="99"/>
      <c r="G132" s="34"/>
      <c r="H132" s="357"/>
      <c r="I132" s="354">
        <v>156750</v>
      </c>
      <c r="J132" s="221" t="s">
        <v>156</v>
      </c>
      <c r="K132" s="316">
        <v>8872.5</v>
      </c>
      <c r="L132" s="308">
        <v>23802</v>
      </c>
      <c r="M132" s="308">
        <v>13759</v>
      </c>
      <c r="N132" s="308">
        <v>99087</v>
      </c>
      <c r="O132" s="308">
        <v>11856.367598647505</v>
      </c>
      <c r="P132" s="308">
        <v>8513.9177777777786</v>
      </c>
      <c r="Q132" s="309">
        <v>98939</v>
      </c>
      <c r="R132" s="308">
        <v>5915</v>
      </c>
      <c r="S132" s="308"/>
      <c r="T132" s="308"/>
      <c r="U132" s="308"/>
      <c r="V132" s="308"/>
      <c r="W132" s="317">
        <f>IFERROR(IF(tblPiNAnalysis[[#This Row],[CCCM]]="", "", MROUND(tblPiNAnalysis[[#This Row],[CCCM]]/tblPiNAnalysis[[#This Row],[Population]], 0.05)), "")</f>
        <v>0.05</v>
      </c>
      <c r="X132" s="318">
        <f>IFERROR(IF(tblPiNAnalysis[[#This Row],[Education]]="", "", MROUND(tblPiNAnalysis[[#This Row],[Education]]/tblPiNAnalysis[[#This Row],[Population]], 0.05)), "")</f>
        <v>0.15000000000000002</v>
      </c>
      <c r="Y132" s="318">
        <f>IFERROR(IF(tblPiNAnalysis[[#This Row],[Nutrition]]="", "", MROUND(tblPiNAnalysis[[#This Row],[Nutrition]]/tblPiNAnalysis[[#This Row],[Population]], 0.05)), "")</f>
        <v>0.1</v>
      </c>
      <c r="Z132" s="318">
        <f>IFERROR(IF(tblPiNAnalysis[[#This Row],[Food Security]]="", "", MROUND(tblPiNAnalysis[[#This Row],[Food Security]]/tblPiNAnalysis[[#This Row],[Population]], 0.05)), "")</f>
        <v>0.65</v>
      </c>
      <c r="AA132" s="318">
        <f>IFERROR(IF(tblPiNAnalysis[[#This Row],[Health]]="", "", MROUND(tblPiNAnalysis[[#This Row],[Health]]/tblPiNAnalysis[[#This Row],[Population]], 0.05)), "")</f>
        <v>0.1</v>
      </c>
      <c r="AB132" s="319">
        <f>IFERROR(IF(tblPiNAnalysis[[#This Row],[Protection]]="", "", MROUND(tblPiNAnalysis[[#This Row],[Protection]]/tblPiNAnalysis[[#This Row],[Population]], 0.05)), "")</f>
        <v>0.05</v>
      </c>
      <c r="AC132" s="319">
        <f>IFERROR(IF(tblPiNAnalysis[[#This Row],[Shelter]]="", "", MROUND(tblPiNAnalysis[[#This Row],[Shelter]]/tblPiNAnalysis[[#This Row],[Population]], 0.05)), "")</f>
        <v>0.65</v>
      </c>
      <c r="AD132" s="320">
        <f>IFERROR(IF(tblPiNAnalysis[[#This Row],[WASH]]="", "", MROUND(tblPiNAnalysis[[#This Row],[WASH]]/tblPiNAnalysis[[#This Row],[Population]], 0.05)), "")</f>
        <v>0.05</v>
      </c>
      <c r="AE132" s="318">
        <f>IFERROR(MROUND(tblPiNAnalysis[[#This Row],[CP]]/tblPiNAnalysis[[#This Row],[Population]], 0.05), "")</f>
        <v>0</v>
      </c>
      <c r="AF132" s="318">
        <f>IFERROR(MROUND(tblPiNAnalysis[[#This Row],[GBV]]/tblPiNAnalysis[[#This Row],[Population]], 0.05), "")</f>
        <v>0</v>
      </c>
      <c r="AG132" s="318">
        <f>IFERROR(MROUND(tblPiNAnalysis[[#This Row],[Migrants]]/tblPiNAnalysis[[#This Row],[Population]], 0.05), "")</f>
        <v>0</v>
      </c>
      <c r="AH132" s="318">
        <f>IFERROR(MROUND(tblPiNAnalysis[[#This Row],[_]]/tblPiNAnalysis[[#This Row],[Population]], 0.05), "")</f>
        <v>0</v>
      </c>
      <c r="AI132" s="321">
        <f>IFERROR(LARGE(tblPiNAnalysis[[#This Row],[CCCM]:[WASH]], 1), "")</f>
        <v>99087</v>
      </c>
      <c r="AJ132" s="322" t="str" cm="1">
        <f t="array" ref="AJ132">IF(tblPiNAnalysis[[#This Row],[Highest PiN]]="", "", _xlfn.TEXTJOIN(CHAR(10), TRUE, IF(tblPiNAnalysis[[#This Row],[Highest PiN]]=tblPiNAnalysis[[#This Row],[CCCM]:[WASH]], tblPiNAnalysis[[#Headers],[CCCM]:[WASH]], "")))</f>
        <v>Food Security</v>
      </c>
      <c r="AK132" s="323">
        <f>IF(tblPiNAnalysis[[#This Row],[Highest PiN]]="", "", tblPiNAnalysis[[#This Row],[Highest PiN]]/tblPiNAnalysis[[#This Row],[Population]])</f>
        <v>0.63213397129186599</v>
      </c>
      <c r="AL132" s="265" t="str">
        <f>IF(SUM(tblPiNAnalysis[[#This Row],[CCCM]:[WASH]])=0, "",IF(COUNTIF(tblPiNAnalysis[[#This Row],[CCCM]:[WASH]],"=0")+COUNTIF(tblPiNAnalysis[[#This Row],[CCCM]:[WASH]],"")&gt;=zero_pin_thresh, "Flagged", ""))</f>
        <v/>
      </c>
      <c r="AM132" s="264" t="str">
        <f>IFERROR(IF(tblPiNAnalysis[[#This Row],[Highest PiN]]="", "", IF(tblPiNAnalysis[[#This Row],[Highest sector(s'') PiN %]]&gt;=flag_pin_perc, "Flagged", "")), "")</f>
        <v/>
      </c>
      <c r="AN132" s="266" t="str" cm="1">
        <f t="array" ref="AN132">IF(tblPiNAnalysis[[#This Row],[Highest PiN]]=0, "",  IF(OR(COUNTIF(tblPiNAnalysis[[#This Row],[Highest sector(s)]],tblSubSectorPopulation[Sector])), "Flagged", ""))</f>
        <v/>
      </c>
      <c r="AO132" s="45" cm="1">
        <f t="array" ref="AO13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98939</v>
      </c>
      <c r="AP132" s="326" t="str" cm="1">
        <f t="array" ref="AP132">IF(tblPiNAnalysis[[#This Row],[2nd Highest PiN]]="", "", _xlfn.TEXTJOIN(CHAR(10), TRUE, IF(tblPiNAnalysis[[#This Row],[2nd Highest PiN]]=tblPiNAnalysis[[#This Row],[CCCM]:[WASH]], tblPiNAnalysis[[#Headers],[CCCM]:[WASH]], "")))</f>
        <v>Shelter</v>
      </c>
      <c r="AQ132" s="35">
        <f>IFERROR(tblPiNAnalysis[[#This Row],[2nd Highest PiN]]/tblPiNAnalysis[[#This Row],[Population]], "")</f>
        <v>0.63118979266347686</v>
      </c>
      <c r="AR132" s="45">
        <f>IFERROR(tblPiNAnalysis[[#This Row],[Highest PiN]]-tblPiNAnalysis[[#This Row],[2nd Highest PiN]], "")</f>
        <v>148</v>
      </c>
      <c r="AS132" s="38">
        <f>IFERROR(((tblPiNAnalysis[[#This Row],[Highest PiN]]-tblPiNAnalysis[[#This Row],[2nd Highest PiN]])/tblPiNAnalysis[[#This Row],[2nd Highest PiN]]),"")</f>
        <v>1.4958711933615663E-3</v>
      </c>
      <c r="AT132" s="269" t="str" cm="1">
        <f t="array" ref="AT13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2" s="327" cm="1">
        <f t="array" ref="AU13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23802</v>
      </c>
      <c r="AV132" s="186" t="str" cm="1">
        <f t="array" ref="AV132">IF(tblPiNAnalysis[[#This Row],[3rd Highest PiN]]="", "", _xlfn.TEXTJOIN(CHAR(10), TRUE, IF(tblPiNAnalysis[[#This Row],[3rd Highest PiN]]=tblPiNAnalysis[[#This Row],[CCCM]:[WASH]], tblPiNAnalysis[[#Headers],[CCCM]:[WASH]], "")))</f>
        <v>Education</v>
      </c>
      <c r="AW132" s="186">
        <f>IFERROR(tblPiNAnalysis[[#This Row],[3rd Highest PiN]]/tblPiNAnalysis[[#This Row],[Population]], "")</f>
        <v>0.15184688995215312</v>
      </c>
      <c r="AX132" s="44">
        <f>IFERROR(tblPiNAnalysis[[#This Row],[Highest PiN]]-tblPiNAnalysis[[#This Row],[3rd Highest PiN]],"")</f>
        <v>75285</v>
      </c>
      <c r="AY132" s="38">
        <f>IFERROR(tblPiNAnalysis[[#This Row],[Difference of PiN between Highest and 3rd Highest]]/tblPiNAnalysis[[#This Row],[3rd Highest PiN]], "")</f>
        <v>3.1629694983614822</v>
      </c>
      <c r="AZ132" s="325" t="str" cm="1">
        <f t="array" ref="AZ13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2" s="292" cm="1">
        <f t="array" ref="BA132">IFERROR(IF(tblPiNAnalysis[[#This Row],[ID]]="", "", INDEX(tblPiNHistorical[[CCCM]:[WASH]], MATCH(tblPiNAnalysis[[#This Row],[ID]],tblPiNHistorical[ID], 0),MATCH(_xlfn._xlws.FILTER(tblPiNAnalysis[[#Headers],[CCCM]:[WASH]], tblPiNAnalysis[[#This Row],[Highest PiN]]=tblPiNAnalysis[[#This Row],[CCCM]:[WASH]]), tblPiNHistorical[[#Headers],[CCCM]:[WASH]], 0))), "")</f>
        <v>0</v>
      </c>
      <c r="BB132" s="328" t="str" cm="1">
        <f t="array" ref="BB13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2" s="272" cm="1">
        <f t="array" ref="BC132">IFERROR(IF(tblPiNAnalysis[[#This Row],[ID]]="", "", INDEX(tblPiNHistorical[[CCCM]:[WASH]], MATCH(tblPiNAnalysis[[#This Row],[ID]],tblPiNHistorical[ID], 0),MATCH(_xlfn._xlws.FILTER(tblPiNAnalysis[[#Headers],[CCCM]:[WASH]], tblPiNAnalysis[[#This Row],[2nd Highest PiN]]=tblPiNAnalysis[[#This Row],[CCCM]:[WASH]]), tblPiNHistorical[[#Headers],[CCCM]:[WASH]], 0))), "")</f>
        <v>0.8</v>
      </c>
      <c r="BD132" s="329" t="str" cm="1">
        <f t="array" ref="BD13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2" s="371">
        <f>INDEX(tblSeverityAnalysis[Final Severity], MATCH(tblPiNAnalysis[[#This Row],[ID]],tblSeverityAnalysis[ID], 0))</f>
        <v>3</v>
      </c>
      <c r="BF132" s="60">
        <f>IF(tblPiNAnalysis[[#This Row],[Severity]]&gt;2,tblPiNAnalysis[[#This Row],[Highest PiN]],)</f>
        <v>99087</v>
      </c>
      <c r="BG132" s="187"/>
      <c r="BH132" s="188"/>
      <c r="BI132" s="189">
        <f>COUNTIFS(tblPiNAnalysis[[#This Row],[Number of missing / zero PiNs greater than threshold - Data quality]:[Manual Flag]],"Flagged")</f>
        <v>1</v>
      </c>
      <c r="BJ132" s="346" t="str">
        <f>IF(tblPiNAnalysis[[#This Row],['# Flags]]&gt;0, "Flagged", "")</f>
        <v>Flagged</v>
      </c>
      <c r="BK132" s="339">
        <f>tblPiNAnalysis[[#This Row],[Preliminary PiN]]</f>
        <v>99087</v>
      </c>
      <c r="BL132" s="326"/>
      <c r="BM132" s="383">
        <f>IF(OR(tblPiNAnalysis[[#This Row],[Severity]]=4,tblPiNAnalysis[[#This Row],[Severity]]=5),tblPiNAnalysis[[#This Row],[Final PiN]],0)</f>
        <v>0</v>
      </c>
      <c r="BN132" s="378">
        <f>IF(OR(tblPiNAnalysis[[#This Row],[Severity]]=4,tblPiNAnalysis[[#This Row],[Severity]]=5),100%, IF(tblPiNAnalysis[[#This Row],[Severity]]=3,50%,0%))*tblPiNAnalysis[[#This Row],[Final PiN]]</f>
        <v>49543.5</v>
      </c>
      <c r="BO132" s="383">
        <f>IF(OR(tblPiNAnalysis[[#This Row],[Severity]]=4,tblPiNAnalysis[[#This Row],[Severity]]=5),100%, IF(AND(tblPiNAnalysis[[#This Row],[Severity]]=3,VLOOKUP(tblPiNAnalysis[[#This Row],[ID]],tblSeverityAnalysis[[ID]:[Highest Severity]],35,FALSE)&gt;3),50%,0%))*tblPiNAnalysis[[#This Row],[Final PiN]]</f>
        <v>49543.5</v>
      </c>
    </row>
    <row r="133" spans="1:67" hidden="1">
      <c r="A13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Global_PopulationHT1011</v>
      </c>
      <c r="B133" s="304" t="s">
        <v>431</v>
      </c>
      <c r="C133" s="213" t="s">
        <v>432</v>
      </c>
      <c r="D133" s="213" t="s">
        <v>433</v>
      </c>
      <c r="E133" s="103" t="s">
        <v>434</v>
      </c>
      <c r="F133" s="99"/>
      <c r="G133" s="34"/>
      <c r="H133" s="357"/>
      <c r="I133" s="354">
        <v>70617</v>
      </c>
      <c r="J133" s="221" t="s">
        <v>156</v>
      </c>
      <c r="K133" s="316">
        <v>17385</v>
      </c>
      <c r="L133" s="308">
        <v>3278</v>
      </c>
      <c r="M133" s="308">
        <v>7165</v>
      </c>
      <c r="N133" s="308">
        <v>42799</v>
      </c>
      <c r="O133" s="308">
        <v>20245.448306278067</v>
      </c>
      <c r="P133" s="308">
        <v>9629.2638297872327</v>
      </c>
      <c r="Q133" s="309">
        <v>31460</v>
      </c>
      <c r="R133" s="308">
        <v>14908.033333333333</v>
      </c>
      <c r="S133" s="308"/>
      <c r="T133" s="308"/>
      <c r="U133" s="308"/>
      <c r="V133" s="308"/>
      <c r="W133" s="317">
        <f>IFERROR(IF(tblPiNAnalysis[[#This Row],[CCCM]]="", "", MROUND(tblPiNAnalysis[[#This Row],[CCCM]]/tblPiNAnalysis[[#This Row],[Population]], 0.05)), "")</f>
        <v>0.25</v>
      </c>
      <c r="X133" s="318">
        <f>IFERROR(IF(tblPiNAnalysis[[#This Row],[Education]]="", "", MROUND(tblPiNAnalysis[[#This Row],[Education]]/tblPiNAnalysis[[#This Row],[Population]], 0.05)), "")</f>
        <v>0.05</v>
      </c>
      <c r="Y133" s="318">
        <f>IFERROR(IF(tblPiNAnalysis[[#This Row],[Nutrition]]="", "", MROUND(tblPiNAnalysis[[#This Row],[Nutrition]]/tblPiNAnalysis[[#This Row],[Population]], 0.05)), "")</f>
        <v>0.1</v>
      </c>
      <c r="Z133" s="318">
        <f>IFERROR(IF(tblPiNAnalysis[[#This Row],[Food Security]]="", "", MROUND(tblPiNAnalysis[[#This Row],[Food Security]]/tblPiNAnalysis[[#This Row],[Population]], 0.05)), "")</f>
        <v>0.60000000000000009</v>
      </c>
      <c r="AA133" s="318">
        <f>IFERROR(IF(tblPiNAnalysis[[#This Row],[Health]]="", "", MROUND(tblPiNAnalysis[[#This Row],[Health]]/tblPiNAnalysis[[#This Row],[Population]], 0.05)), "")</f>
        <v>0.30000000000000004</v>
      </c>
      <c r="AB133" s="319">
        <f>IFERROR(IF(tblPiNAnalysis[[#This Row],[Protection]]="", "", MROUND(tblPiNAnalysis[[#This Row],[Protection]]/tblPiNAnalysis[[#This Row],[Population]], 0.05)), "")</f>
        <v>0.15000000000000002</v>
      </c>
      <c r="AC133" s="319">
        <f>IFERROR(IF(tblPiNAnalysis[[#This Row],[Shelter]]="", "", MROUND(tblPiNAnalysis[[#This Row],[Shelter]]/tblPiNAnalysis[[#This Row],[Population]], 0.05)), "")</f>
        <v>0.45</v>
      </c>
      <c r="AD133" s="320">
        <f>IFERROR(IF(tblPiNAnalysis[[#This Row],[WASH]]="", "", MROUND(tblPiNAnalysis[[#This Row],[WASH]]/tblPiNAnalysis[[#This Row],[Population]], 0.05)), "")</f>
        <v>0.2</v>
      </c>
      <c r="AE133" s="318">
        <f>IFERROR(MROUND(tblPiNAnalysis[[#This Row],[CP]]/tblPiNAnalysis[[#This Row],[Population]], 0.05), "")</f>
        <v>0</v>
      </c>
      <c r="AF133" s="318">
        <f>IFERROR(MROUND(tblPiNAnalysis[[#This Row],[GBV]]/tblPiNAnalysis[[#This Row],[Population]], 0.05), "")</f>
        <v>0</v>
      </c>
      <c r="AG133" s="318">
        <f>IFERROR(MROUND(tblPiNAnalysis[[#This Row],[Migrants]]/tblPiNAnalysis[[#This Row],[Population]], 0.05), "")</f>
        <v>0</v>
      </c>
      <c r="AH133" s="318">
        <f>IFERROR(MROUND(tblPiNAnalysis[[#This Row],[_]]/tblPiNAnalysis[[#This Row],[Population]], 0.05), "")</f>
        <v>0</v>
      </c>
      <c r="AI133" s="321">
        <f>IFERROR(LARGE(tblPiNAnalysis[[#This Row],[CCCM]:[WASH]], 1), "")</f>
        <v>42799</v>
      </c>
      <c r="AJ133" s="322" t="str" cm="1">
        <f t="array" ref="AJ133">IF(tblPiNAnalysis[[#This Row],[Highest PiN]]="", "", _xlfn.TEXTJOIN(CHAR(10), TRUE, IF(tblPiNAnalysis[[#This Row],[Highest PiN]]=tblPiNAnalysis[[#This Row],[CCCM]:[WASH]], tblPiNAnalysis[[#Headers],[CCCM]:[WASH]], "")))</f>
        <v>Food Security</v>
      </c>
      <c r="AK133" s="323">
        <f>IF(tblPiNAnalysis[[#This Row],[Highest PiN]]="", "", tblPiNAnalysis[[#This Row],[Highest PiN]]/tblPiNAnalysis[[#This Row],[Population]])</f>
        <v>0.60607219224832543</v>
      </c>
      <c r="AL133" s="265" t="str">
        <f>IF(SUM(tblPiNAnalysis[[#This Row],[CCCM]:[WASH]])=0, "",IF(COUNTIF(tblPiNAnalysis[[#This Row],[CCCM]:[WASH]],"=0")+COUNTIF(tblPiNAnalysis[[#This Row],[CCCM]:[WASH]],"")&gt;=zero_pin_thresh, "Flagged", ""))</f>
        <v/>
      </c>
      <c r="AM133" s="264" t="str">
        <f>IFERROR(IF(tblPiNAnalysis[[#This Row],[Highest PiN]]="", "", IF(tblPiNAnalysis[[#This Row],[Highest sector(s'') PiN %]]&gt;=flag_pin_perc, "Flagged", "")), "")</f>
        <v/>
      </c>
      <c r="AN133" s="266" t="str" cm="1">
        <f t="array" ref="AN133">IF(tblPiNAnalysis[[#This Row],[Highest PiN]]=0, "",  IF(OR(COUNTIF(tblPiNAnalysis[[#This Row],[Highest sector(s)]],tblSubSectorPopulation[Sector])), "Flagged", ""))</f>
        <v/>
      </c>
      <c r="AO133" s="45" cm="1">
        <f t="array" ref="AO13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31460</v>
      </c>
      <c r="AP133" s="326" t="str" cm="1">
        <f t="array" ref="AP133">IF(tblPiNAnalysis[[#This Row],[2nd Highest PiN]]="", "", _xlfn.TEXTJOIN(CHAR(10), TRUE, IF(tblPiNAnalysis[[#This Row],[2nd Highest PiN]]=tblPiNAnalysis[[#This Row],[CCCM]:[WASH]], tblPiNAnalysis[[#Headers],[CCCM]:[WASH]], "")))</f>
        <v>Shelter</v>
      </c>
      <c r="AQ133" s="35">
        <f>IFERROR(tblPiNAnalysis[[#This Row],[2nd Highest PiN]]/tblPiNAnalysis[[#This Row],[Population]], "")</f>
        <v>0.44550179135335682</v>
      </c>
      <c r="AR133" s="45">
        <f>IFERROR(tblPiNAnalysis[[#This Row],[Highest PiN]]-tblPiNAnalysis[[#This Row],[2nd Highest PiN]], "")</f>
        <v>11339</v>
      </c>
      <c r="AS133" s="38">
        <f>IFERROR(((tblPiNAnalysis[[#This Row],[Highest PiN]]-tblPiNAnalysis[[#This Row],[2nd Highest PiN]])/tblPiNAnalysis[[#This Row],[2nd Highest PiN]]),"")</f>
        <v>0.36042593769866499</v>
      </c>
      <c r="AT133" s="269" t="str" cm="1">
        <f t="array" ref="AT13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3" s="327" cm="1">
        <f t="array" ref="AU13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20245.448306278067</v>
      </c>
      <c r="AV133" s="186" t="str" cm="1">
        <f t="array" ref="AV133">IF(tblPiNAnalysis[[#This Row],[3rd Highest PiN]]="", "", _xlfn.TEXTJOIN(CHAR(10), TRUE, IF(tblPiNAnalysis[[#This Row],[3rd Highest PiN]]=tblPiNAnalysis[[#This Row],[CCCM]:[WASH]], tblPiNAnalysis[[#Headers],[CCCM]:[WASH]], "")))</f>
        <v>Health</v>
      </c>
      <c r="AW133" s="186">
        <f>IFERROR(tblPiNAnalysis[[#This Row],[3rd Highest PiN]]/tblPiNAnalysis[[#This Row],[Population]], "")</f>
        <v>0.28669368999360023</v>
      </c>
      <c r="AX133" s="44">
        <f>IFERROR(tblPiNAnalysis[[#This Row],[Highest PiN]]-tblPiNAnalysis[[#This Row],[3rd Highest PiN]],"")</f>
        <v>22553.551693721933</v>
      </c>
      <c r="AY133" s="38">
        <f>IFERROR(tblPiNAnalysis[[#This Row],[Difference of PiN between Highest and 3rd Highest]]/tblPiNAnalysis[[#This Row],[3rd Highest PiN]], "")</f>
        <v>1.1140060399022198</v>
      </c>
      <c r="AZ133" s="325" t="str" cm="1">
        <f t="array" ref="AZ13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3" s="292" cm="1">
        <f t="array" ref="BA133">IFERROR(IF(tblPiNAnalysis[[#This Row],[ID]]="", "", INDEX(tblPiNHistorical[[CCCM]:[WASH]], MATCH(tblPiNAnalysis[[#This Row],[ID]],tblPiNHistorical[ID], 0),MATCH(_xlfn._xlws.FILTER(tblPiNAnalysis[[#Headers],[CCCM]:[WASH]], tblPiNAnalysis[[#This Row],[Highest PiN]]=tblPiNAnalysis[[#This Row],[CCCM]:[WASH]]), tblPiNHistorical[[#Headers],[CCCM]:[WASH]], 0))), "")</f>
        <v>-0.3</v>
      </c>
      <c r="BB133" s="328" t="str" cm="1">
        <f t="array" ref="BB13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3" s="272" cm="1">
        <f t="array" ref="BC133">IFERROR(IF(tblPiNAnalysis[[#This Row],[ID]]="", "", INDEX(tblPiNHistorical[[CCCM]:[WASH]], MATCH(tblPiNAnalysis[[#This Row],[ID]],tblPiNHistorical[ID], 0),MATCH(_xlfn._xlws.FILTER(tblPiNAnalysis[[#Headers],[CCCM]:[WASH]], tblPiNAnalysis[[#This Row],[2nd Highest PiN]]=tblPiNAnalysis[[#This Row],[CCCM]:[WASH]]), tblPiNHistorical[[#Headers],[CCCM]:[WASH]], 0))), "")</f>
        <v>0.2</v>
      </c>
      <c r="BD133" s="329" t="str" cm="1">
        <f t="array" ref="BD13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3" s="371">
        <f>INDEX(tblSeverityAnalysis[Final Severity], MATCH(tblPiNAnalysis[[#This Row],[ID]],tblSeverityAnalysis[ID], 0))</f>
        <v>3</v>
      </c>
      <c r="BF133" s="60">
        <f>IF(tblPiNAnalysis[[#This Row],[Severity]]&gt;2,tblPiNAnalysis[[#This Row],[Highest PiN]],)</f>
        <v>42799</v>
      </c>
      <c r="BG133" s="187"/>
      <c r="BH133" s="188"/>
      <c r="BI133" s="189">
        <f>COUNTIFS(tblPiNAnalysis[[#This Row],[Number of missing / zero PiNs greater than threshold - Data quality]:[Manual Flag]],"Flagged")</f>
        <v>1</v>
      </c>
      <c r="BJ133" s="346" t="str">
        <f>IF(tblPiNAnalysis[[#This Row],['# Flags]]&gt;0, "Flagged", "")</f>
        <v>Flagged</v>
      </c>
      <c r="BK133" s="339">
        <f>tblPiNAnalysis[[#This Row],[Preliminary PiN]]</f>
        <v>42799</v>
      </c>
      <c r="BL133" s="326"/>
      <c r="BM133" s="383">
        <f>IF(OR(tblPiNAnalysis[[#This Row],[Severity]]=4,tblPiNAnalysis[[#This Row],[Severity]]=5),tblPiNAnalysis[[#This Row],[Final PiN]],0)</f>
        <v>0</v>
      </c>
      <c r="BN133" s="378">
        <f>IF(OR(tblPiNAnalysis[[#This Row],[Severity]]=4,tblPiNAnalysis[[#This Row],[Severity]]=5),100%, IF(tblPiNAnalysis[[#This Row],[Severity]]=3,50%,0%))*tblPiNAnalysis[[#This Row],[Final PiN]]</f>
        <v>21399.5</v>
      </c>
      <c r="BO133" s="383">
        <f>IF(OR(tblPiNAnalysis[[#This Row],[Severity]]=4,tblPiNAnalysis[[#This Row],[Severity]]=5),100%, IF(AND(tblPiNAnalysis[[#This Row],[Severity]]=3,VLOOKUP(tblPiNAnalysis[[#This Row],[ID]],tblSeverityAnalysis[[ID]:[Highest Severity]],35,FALSE)&gt;3),50%,0%))*tblPiNAnalysis[[#This Row],[Final PiN]]</f>
        <v>0</v>
      </c>
    </row>
    <row r="134" spans="1:67" hidden="1">
      <c r="A13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Global_PopulationHT1012</v>
      </c>
      <c r="B134" s="304" t="s">
        <v>431</v>
      </c>
      <c r="C134" s="213" t="s">
        <v>432</v>
      </c>
      <c r="D134" s="213" t="s">
        <v>435</v>
      </c>
      <c r="E134" s="103" t="s">
        <v>436</v>
      </c>
      <c r="F134" s="99"/>
      <c r="G134" s="34"/>
      <c r="H134" s="357"/>
      <c r="I134" s="354">
        <v>34943</v>
      </c>
      <c r="J134" s="221" t="s">
        <v>156</v>
      </c>
      <c r="K134" s="316">
        <v>12717</v>
      </c>
      <c r="L134" s="308">
        <v>1863</v>
      </c>
      <c r="M134" s="308">
        <v>3333</v>
      </c>
      <c r="N134" s="308">
        <v>19719</v>
      </c>
      <c r="O134" s="308">
        <v>16401.644649175585</v>
      </c>
      <c r="P134" s="308">
        <v>6657.12</v>
      </c>
      <c r="Q134" s="309">
        <v>15098</v>
      </c>
      <c r="R134" s="308">
        <v>19655.4375</v>
      </c>
      <c r="S134" s="308"/>
      <c r="T134" s="308"/>
      <c r="U134" s="308"/>
      <c r="V134" s="308"/>
      <c r="W134" s="317">
        <f>IFERROR(IF(tblPiNAnalysis[[#This Row],[CCCM]]="", "", MROUND(tblPiNAnalysis[[#This Row],[CCCM]]/tblPiNAnalysis[[#This Row],[Population]], 0.05)), "")</f>
        <v>0.35000000000000003</v>
      </c>
      <c r="X134" s="318">
        <f>IFERROR(IF(tblPiNAnalysis[[#This Row],[Education]]="", "", MROUND(tblPiNAnalysis[[#This Row],[Education]]/tblPiNAnalysis[[#This Row],[Population]], 0.05)), "")</f>
        <v>0.05</v>
      </c>
      <c r="Y134" s="318">
        <f>IFERROR(IF(tblPiNAnalysis[[#This Row],[Nutrition]]="", "", MROUND(tblPiNAnalysis[[#This Row],[Nutrition]]/tblPiNAnalysis[[#This Row],[Population]], 0.05)), "")</f>
        <v>0.1</v>
      </c>
      <c r="Z134" s="318">
        <f>IFERROR(IF(tblPiNAnalysis[[#This Row],[Food Security]]="", "", MROUND(tblPiNAnalysis[[#This Row],[Food Security]]/tblPiNAnalysis[[#This Row],[Population]], 0.05)), "")</f>
        <v>0.55000000000000004</v>
      </c>
      <c r="AA134" s="318">
        <f>IFERROR(IF(tblPiNAnalysis[[#This Row],[Health]]="", "", MROUND(tblPiNAnalysis[[#This Row],[Health]]/tblPiNAnalysis[[#This Row],[Population]], 0.05)), "")</f>
        <v>0.45</v>
      </c>
      <c r="AB134" s="319">
        <f>IFERROR(IF(tblPiNAnalysis[[#This Row],[Protection]]="", "", MROUND(tblPiNAnalysis[[#This Row],[Protection]]/tblPiNAnalysis[[#This Row],[Population]], 0.05)), "")</f>
        <v>0.2</v>
      </c>
      <c r="AC134" s="319">
        <f>IFERROR(IF(tblPiNAnalysis[[#This Row],[Shelter]]="", "", MROUND(tblPiNAnalysis[[#This Row],[Shelter]]/tblPiNAnalysis[[#This Row],[Population]], 0.05)), "")</f>
        <v>0.45</v>
      </c>
      <c r="AD134" s="320">
        <f>IFERROR(IF(tblPiNAnalysis[[#This Row],[WASH]]="", "", MROUND(tblPiNAnalysis[[#This Row],[WASH]]/tblPiNAnalysis[[#This Row],[Population]], 0.05)), "")</f>
        <v>0.55000000000000004</v>
      </c>
      <c r="AE134" s="318">
        <f>IFERROR(MROUND(tblPiNAnalysis[[#This Row],[CP]]/tblPiNAnalysis[[#This Row],[Population]], 0.05), "")</f>
        <v>0</v>
      </c>
      <c r="AF134" s="318">
        <f>IFERROR(MROUND(tblPiNAnalysis[[#This Row],[GBV]]/tblPiNAnalysis[[#This Row],[Population]], 0.05), "")</f>
        <v>0</v>
      </c>
      <c r="AG134" s="318">
        <f>IFERROR(MROUND(tblPiNAnalysis[[#This Row],[Migrants]]/tblPiNAnalysis[[#This Row],[Population]], 0.05), "")</f>
        <v>0</v>
      </c>
      <c r="AH134" s="318">
        <f>IFERROR(MROUND(tblPiNAnalysis[[#This Row],[_]]/tblPiNAnalysis[[#This Row],[Population]], 0.05), "")</f>
        <v>0</v>
      </c>
      <c r="AI134" s="321">
        <f>IFERROR(LARGE(tblPiNAnalysis[[#This Row],[CCCM]:[WASH]], 1), "")</f>
        <v>19719</v>
      </c>
      <c r="AJ134" s="322" t="str" cm="1">
        <f t="array" ref="AJ134">IF(tblPiNAnalysis[[#This Row],[Highest PiN]]="", "", _xlfn.TEXTJOIN(CHAR(10), TRUE, IF(tblPiNAnalysis[[#This Row],[Highest PiN]]=tblPiNAnalysis[[#This Row],[CCCM]:[WASH]], tblPiNAnalysis[[#Headers],[CCCM]:[WASH]], "")))</f>
        <v>Food Security</v>
      </c>
      <c r="AK134" s="323">
        <f>IF(tblPiNAnalysis[[#This Row],[Highest PiN]]="", "", tblPiNAnalysis[[#This Row],[Highest PiN]]/tblPiNAnalysis[[#This Row],[Population]])</f>
        <v>0.56431903385513549</v>
      </c>
      <c r="AL134" s="265" t="str">
        <f>IF(SUM(tblPiNAnalysis[[#This Row],[CCCM]:[WASH]])=0, "",IF(COUNTIF(tblPiNAnalysis[[#This Row],[CCCM]:[WASH]],"=0")+COUNTIF(tblPiNAnalysis[[#This Row],[CCCM]:[WASH]],"")&gt;=zero_pin_thresh, "Flagged", ""))</f>
        <v/>
      </c>
      <c r="AM134" s="264" t="str">
        <f>IFERROR(IF(tblPiNAnalysis[[#This Row],[Highest PiN]]="", "", IF(tblPiNAnalysis[[#This Row],[Highest sector(s'') PiN %]]&gt;=flag_pin_perc, "Flagged", "")), "")</f>
        <v/>
      </c>
      <c r="AN134" s="266" t="str" cm="1">
        <f t="array" ref="AN134">IF(tblPiNAnalysis[[#This Row],[Highest PiN]]=0, "",  IF(OR(COUNTIF(tblPiNAnalysis[[#This Row],[Highest sector(s)]],tblSubSectorPopulation[Sector])), "Flagged", ""))</f>
        <v/>
      </c>
      <c r="AO134" s="45" cm="1">
        <f t="array" ref="AO13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19655.4375</v>
      </c>
      <c r="AP134" s="326" t="str" cm="1">
        <f t="array" ref="AP134">IF(tblPiNAnalysis[[#This Row],[2nd Highest PiN]]="", "", _xlfn.TEXTJOIN(CHAR(10), TRUE, IF(tblPiNAnalysis[[#This Row],[2nd Highest PiN]]=tblPiNAnalysis[[#This Row],[CCCM]:[WASH]], tblPiNAnalysis[[#Headers],[CCCM]:[WASH]], "")))</f>
        <v>WASH</v>
      </c>
      <c r="AQ134" s="35">
        <f>IFERROR(tblPiNAnalysis[[#This Row],[2nd Highest PiN]]/tblPiNAnalysis[[#This Row],[Population]], "")</f>
        <v>0.5625</v>
      </c>
      <c r="AR134" s="45">
        <f>IFERROR(tblPiNAnalysis[[#This Row],[Highest PiN]]-tblPiNAnalysis[[#This Row],[2nd Highest PiN]], "")</f>
        <v>63.5625</v>
      </c>
      <c r="AS134" s="38">
        <f>IFERROR(((tblPiNAnalysis[[#This Row],[Highest PiN]]-tblPiNAnalysis[[#This Row],[2nd Highest PiN]])/tblPiNAnalysis[[#This Row],[2nd Highest PiN]]),"")</f>
        <v>3.2338379646853449E-3</v>
      </c>
      <c r="AT134" s="269" t="str" cm="1">
        <f t="array" ref="AT13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4" s="327" cm="1">
        <f t="array" ref="AU13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16401.644649175585</v>
      </c>
      <c r="AV134" s="186" t="str" cm="1">
        <f t="array" ref="AV134">IF(tblPiNAnalysis[[#This Row],[3rd Highest PiN]]="", "", _xlfn.TEXTJOIN(CHAR(10), TRUE, IF(tblPiNAnalysis[[#This Row],[3rd Highest PiN]]=tblPiNAnalysis[[#This Row],[CCCM]:[WASH]], tblPiNAnalysis[[#Headers],[CCCM]:[WASH]], "")))</f>
        <v>Health</v>
      </c>
      <c r="AW134" s="186">
        <f>IFERROR(tblPiNAnalysis[[#This Row],[3rd Highest PiN]]/tblPiNAnalysis[[#This Row],[Population]], "")</f>
        <v>0.46938284203347125</v>
      </c>
      <c r="AX134" s="44">
        <f>IFERROR(tblPiNAnalysis[[#This Row],[Highest PiN]]-tblPiNAnalysis[[#This Row],[3rd Highest PiN]],"")</f>
        <v>3317.3553508244149</v>
      </c>
      <c r="AY134" s="38">
        <f>IFERROR(tblPiNAnalysis[[#This Row],[Difference of PiN between Highest and 3rd Highest]]/tblPiNAnalysis[[#This Row],[3rd Highest PiN]], "")</f>
        <v>0.20225748220872222</v>
      </c>
      <c r="AZ134" s="325" t="str" cm="1">
        <f t="array" ref="AZ13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4" s="292" cm="1">
        <f t="array" ref="BA134">IFERROR(IF(tblPiNAnalysis[[#This Row],[ID]]="", "", INDEX(tblPiNHistorical[[CCCM]:[WASH]], MATCH(tblPiNAnalysis[[#This Row],[ID]],tblPiNHistorical[ID], 0),MATCH(_xlfn._xlws.FILTER(tblPiNAnalysis[[#Headers],[CCCM]:[WASH]], tblPiNAnalysis[[#This Row],[Highest PiN]]=tblPiNAnalysis[[#This Row],[CCCM]:[WASH]]), tblPiNHistorical[[#Headers],[CCCM]:[WASH]], 0))), "")</f>
        <v>0.1</v>
      </c>
      <c r="BB134" s="328" t="str" cm="1">
        <f t="array" ref="BB13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4" s="272" cm="1">
        <f t="array" ref="BC134">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34" s="329" t="str" cm="1">
        <f t="array" ref="BD13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4" s="371">
        <f>INDEX(tblSeverityAnalysis[Final Severity], MATCH(tblPiNAnalysis[[#This Row],[ID]],tblSeverityAnalysis[ID], 0))</f>
        <v>2</v>
      </c>
      <c r="BF134" s="60">
        <f>IF(tblPiNAnalysis[[#This Row],[Severity]]&gt;2,tblPiNAnalysis[[#This Row],[Highest PiN]],)</f>
        <v>0</v>
      </c>
      <c r="BG134" s="187"/>
      <c r="BH134" s="188"/>
      <c r="BI134" s="189">
        <f>COUNTIFS(tblPiNAnalysis[[#This Row],[Number of missing / zero PiNs greater than threshold - Data quality]:[Manual Flag]],"Flagged")</f>
        <v>0</v>
      </c>
      <c r="BJ134" s="346" t="str">
        <f>IF(tblPiNAnalysis[[#This Row],['# Flags]]&gt;0, "Flagged", "")</f>
        <v/>
      </c>
      <c r="BK134" s="339">
        <f>tblPiNAnalysis[[#This Row],[Preliminary PiN]]</f>
        <v>0</v>
      </c>
      <c r="BL134" s="326"/>
      <c r="BM134" s="383">
        <f>IF(OR(tblPiNAnalysis[[#This Row],[Severity]]=4,tblPiNAnalysis[[#This Row],[Severity]]=5),tblPiNAnalysis[[#This Row],[Final PiN]],0)</f>
        <v>0</v>
      </c>
      <c r="BN134" s="378">
        <f>IF(OR(tblPiNAnalysis[[#This Row],[Severity]]=4,tblPiNAnalysis[[#This Row],[Severity]]=5),100%, IF(tblPiNAnalysis[[#This Row],[Severity]]=3,50%,0%))*tblPiNAnalysis[[#This Row],[Final PiN]]</f>
        <v>0</v>
      </c>
      <c r="BO134" s="383">
        <f>IF(OR(tblPiNAnalysis[[#This Row],[Severity]]=4,tblPiNAnalysis[[#This Row],[Severity]]=5),100%, IF(AND(tblPiNAnalysis[[#This Row],[Severity]]=3,VLOOKUP(tblPiNAnalysis[[#This Row],[ID]],tblSeverityAnalysis[[ID]:[Highest Severity]],35,FALSE)&gt;3),50%,0%))*tblPiNAnalysis[[#This Row],[Final PiN]]</f>
        <v>0</v>
      </c>
    </row>
    <row r="135" spans="1:67" hidden="1">
      <c r="A135"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Global_PopulationHT1013</v>
      </c>
      <c r="B135" s="304" t="s">
        <v>431</v>
      </c>
      <c r="C135" s="213" t="s">
        <v>432</v>
      </c>
      <c r="D135" s="213" t="s">
        <v>437</v>
      </c>
      <c r="E135" s="103" t="s">
        <v>438</v>
      </c>
      <c r="F135" s="99"/>
      <c r="G135" s="34"/>
      <c r="H135" s="357"/>
      <c r="I135" s="354">
        <v>38319</v>
      </c>
      <c r="J135" s="221" t="s">
        <v>156</v>
      </c>
      <c r="K135" s="316">
        <v>8670</v>
      </c>
      <c r="L135" s="308">
        <v>1870</v>
      </c>
      <c r="M135" s="308">
        <v>3811</v>
      </c>
      <c r="N135" s="308">
        <v>20972</v>
      </c>
      <c r="O135" s="308">
        <v>4968.714248442906</v>
      </c>
      <c r="P135" s="308">
        <v>3948.1</v>
      </c>
      <c r="Q135" s="309">
        <v>16025</v>
      </c>
      <c r="R135" s="308">
        <v>14499.081081081082</v>
      </c>
      <c r="S135" s="308"/>
      <c r="T135" s="308"/>
      <c r="U135" s="308"/>
      <c r="V135" s="308"/>
      <c r="W135" s="317">
        <f>IFERROR(IF(tblPiNAnalysis[[#This Row],[CCCM]]="", "", MROUND(tblPiNAnalysis[[#This Row],[CCCM]]/tblPiNAnalysis[[#This Row],[Population]], 0.05)), "")</f>
        <v>0.25</v>
      </c>
      <c r="X135" s="318">
        <f>IFERROR(IF(tblPiNAnalysis[[#This Row],[Education]]="", "", MROUND(tblPiNAnalysis[[#This Row],[Education]]/tblPiNAnalysis[[#This Row],[Population]], 0.05)), "")</f>
        <v>0.05</v>
      </c>
      <c r="Y135" s="318">
        <f>IFERROR(IF(tblPiNAnalysis[[#This Row],[Nutrition]]="", "", MROUND(tblPiNAnalysis[[#This Row],[Nutrition]]/tblPiNAnalysis[[#This Row],[Population]], 0.05)), "")</f>
        <v>0.1</v>
      </c>
      <c r="Z135" s="318">
        <f>IFERROR(IF(tblPiNAnalysis[[#This Row],[Food Security]]="", "", MROUND(tblPiNAnalysis[[#This Row],[Food Security]]/tblPiNAnalysis[[#This Row],[Population]], 0.05)), "")</f>
        <v>0.55000000000000004</v>
      </c>
      <c r="AA135" s="318">
        <f>IFERROR(IF(tblPiNAnalysis[[#This Row],[Health]]="", "", MROUND(tblPiNAnalysis[[#This Row],[Health]]/tblPiNAnalysis[[#This Row],[Population]], 0.05)), "")</f>
        <v>0.15000000000000002</v>
      </c>
      <c r="AB135" s="319">
        <f>IFERROR(IF(tblPiNAnalysis[[#This Row],[Protection]]="", "", MROUND(tblPiNAnalysis[[#This Row],[Protection]]/tblPiNAnalysis[[#This Row],[Population]], 0.05)), "")</f>
        <v>0.1</v>
      </c>
      <c r="AC135" s="319">
        <f>IFERROR(IF(tblPiNAnalysis[[#This Row],[Shelter]]="", "", MROUND(tblPiNAnalysis[[#This Row],[Shelter]]/tblPiNAnalysis[[#This Row],[Population]], 0.05)), "")</f>
        <v>0.4</v>
      </c>
      <c r="AD135" s="320">
        <f>IFERROR(IF(tblPiNAnalysis[[#This Row],[WASH]]="", "", MROUND(tblPiNAnalysis[[#This Row],[WASH]]/tblPiNAnalysis[[#This Row],[Population]], 0.05)), "")</f>
        <v>0.4</v>
      </c>
      <c r="AE135" s="318">
        <f>IFERROR(MROUND(tblPiNAnalysis[[#This Row],[CP]]/tblPiNAnalysis[[#This Row],[Population]], 0.05), "")</f>
        <v>0</v>
      </c>
      <c r="AF135" s="318">
        <f>IFERROR(MROUND(tblPiNAnalysis[[#This Row],[GBV]]/tblPiNAnalysis[[#This Row],[Population]], 0.05), "")</f>
        <v>0</v>
      </c>
      <c r="AG135" s="318">
        <f>IFERROR(MROUND(tblPiNAnalysis[[#This Row],[Migrants]]/tblPiNAnalysis[[#This Row],[Population]], 0.05), "")</f>
        <v>0</v>
      </c>
      <c r="AH135" s="318">
        <f>IFERROR(MROUND(tblPiNAnalysis[[#This Row],[_]]/tblPiNAnalysis[[#This Row],[Population]], 0.05), "")</f>
        <v>0</v>
      </c>
      <c r="AI135" s="321">
        <f>IFERROR(LARGE(tblPiNAnalysis[[#This Row],[CCCM]:[WASH]], 1), "")</f>
        <v>20972</v>
      </c>
      <c r="AJ135" s="322" t="str" cm="1">
        <f t="array" ref="AJ135">IF(tblPiNAnalysis[[#This Row],[Highest PiN]]="", "", _xlfn.TEXTJOIN(CHAR(10), TRUE, IF(tblPiNAnalysis[[#This Row],[Highest PiN]]=tblPiNAnalysis[[#This Row],[CCCM]:[WASH]], tblPiNAnalysis[[#Headers],[CCCM]:[WASH]], "")))</f>
        <v>Food Security</v>
      </c>
      <c r="AK135" s="323">
        <f>IF(tblPiNAnalysis[[#This Row],[Highest PiN]]="", "", tblPiNAnalysis[[#This Row],[Highest PiN]]/tblPiNAnalysis[[#This Row],[Population]])</f>
        <v>0.54730029489287302</v>
      </c>
      <c r="AL135" s="265" t="str">
        <f>IF(SUM(tblPiNAnalysis[[#This Row],[CCCM]:[WASH]])=0, "",IF(COUNTIF(tblPiNAnalysis[[#This Row],[CCCM]:[WASH]],"=0")+COUNTIF(tblPiNAnalysis[[#This Row],[CCCM]:[WASH]],"")&gt;=zero_pin_thresh, "Flagged", ""))</f>
        <v/>
      </c>
      <c r="AM135" s="264" t="str">
        <f>IFERROR(IF(tblPiNAnalysis[[#This Row],[Highest PiN]]="", "", IF(tblPiNAnalysis[[#This Row],[Highest sector(s'') PiN %]]&gt;=flag_pin_perc, "Flagged", "")), "")</f>
        <v/>
      </c>
      <c r="AN135" s="266" t="str" cm="1">
        <f t="array" ref="AN135">IF(tblPiNAnalysis[[#This Row],[Highest PiN]]=0, "",  IF(OR(COUNTIF(tblPiNAnalysis[[#This Row],[Highest sector(s)]],tblSubSectorPopulation[Sector])), "Flagged", ""))</f>
        <v/>
      </c>
      <c r="AO135" s="45" cm="1">
        <f t="array" ref="AO135">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16025</v>
      </c>
      <c r="AP135" s="326" t="str" cm="1">
        <f t="array" ref="AP135">IF(tblPiNAnalysis[[#This Row],[2nd Highest PiN]]="", "", _xlfn.TEXTJOIN(CHAR(10), TRUE, IF(tblPiNAnalysis[[#This Row],[2nd Highest PiN]]=tblPiNAnalysis[[#This Row],[CCCM]:[WASH]], tblPiNAnalysis[[#Headers],[CCCM]:[WASH]], "")))</f>
        <v>Shelter</v>
      </c>
      <c r="AQ135" s="35">
        <f>IFERROR(tblPiNAnalysis[[#This Row],[2nd Highest PiN]]/tblPiNAnalysis[[#This Row],[Population]], "")</f>
        <v>0.41819984863905635</v>
      </c>
      <c r="AR135" s="45">
        <f>IFERROR(tblPiNAnalysis[[#This Row],[Highest PiN]]-tblPiNAnalysis[[#This Row],[2nd Highest PiN]], "")</f>
        <v>4947</v>
      </c>
      <c r="AS135" s="38">
        <f>IFERROR(((tblPiNAnalysis[[#This Row],[Highest PiN]]-tblPiNAnalysis[[#This Row],[2nd Highest PiN]])/tblPiNAnalysis[[#This Row],[2nd Highest PiN]]),"")</f>
        <v>0.30870514820592826</v>
      </c>
      <c r="AT135" s="269" t="str" cm="1">
        <f t="array" ref="AT135">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5" s="327" cm="1">
        <f t="array" ref="AU135">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14499.081081081082</v>
      </c>
      <c r="AV135" s="186" t="str" cm="1">
        <f t="array" ref="AV135">IF(tblPiNAnalysis[[#This Row],[3rd Highest PiN]]="", "", _xlfn.TEXTJOIN(CHAR(10), TRUE, IF(tblPiNAnalysis[[#This Row],[3rd Highest PiN]]=tblPiNAnalysis[[#This Row],[CCCM]:[WASH]], tblPiNAnalysis[[#Headers],[CCCM]:[WASH]], "")))</f>
        <v>WASH</v>
      </c>
      <c r="AW135" s="186">
        <f>IFERROR(tblPiNAnalysis[[#This Row],[3rd Highest PiN]]/tblPiNAnalysis[[#This Row],[Population]], "")</f>
        <v>0.3783783783783784</v>
      </c>
      <c r="AX135" s="44">
        <f>IFERROR(tblPiNAnalysis[[#This Row],[Highest PiN]]-tblPiNAnalysis[[#This Row],[3rd Highest PiN]],"")</f>
        <v>6472.9189189189183</v>
      </c>
      <c r="AY135" s="38">
        <f>IFERROR(tblPiNAnalysis[[#This Row],[Difference of PiN between Highest and 3rd Highest]]/tblPiNAnalysis[[#This Row],[3rd Highest PiN]], "")</f>
        <v>0.44643649364544996</v>
      </c>
      <c r="AZ135" s="325" t="str" cm="1">
        <f t="array" ref="AZ135">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5" s="292" cm="1">
        <f t="array" ref="BA135">IFERROR(IF(tblPiNAnalysis[[#This Row],[ID]]="", "", INDEX(tblPiNHistorical[[CCCM]:[WASH]], MATCH(tblPiNAnalysis[[#This Row],[ID]],tblPiNHistorical[ID], 0),MATCH(_xlfn._xlws.FILTER(tblPiNAnalysis[[#Headers],[CCCM]:[WASH]], tblPiNAnalysis[[#This Row],[Highest PiN]]=tblPiNAnalysis[[#This Row],[CCCM]:[WASH]]), tblPiNHistorical[[#Headers],[CCCM]:[WASH]], 0))), "")</f>
        <v>0</v>
      </c>
      <c r="BB135" s="328" t="str" cm="1">
        <f t="array" ref="BB135">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5" s="272" cm="1">
        <f t="array" ref="BC135">IFERROR(IF(tblPiNAnalysis[[#This Row],[ID]]="", "", INDEX(tblPiNHistorical[[CCCM]:[WASH]], MATCH(tblPiNAnalysis[[#This Row],[ID]],tblPiNHistorical[ID], 0),MATCH(_xlfn._xlws.FILTER(tblPiNAnalysis[[#Headers],[CCCM]:[WASH]], tblPiNAnalysis[[#This Row],[2nd Highest PiN]]=tblPiNAnalysis[[#This Row],[CCCM]:[WASH]]), tblPiNHistorical[[#Headers],[CCCM]:[WASH]], 0))), "")</f>
        <v>-0.1</v>
      </c>
      <c r="BD135" s="329" t="str" cm="1">
        <f t="array" ref="BD135">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5" s="371">
        <f>INDEX(tblSeverityAnalysis[Final Severity], MATCH(tblPiNAnalysis[[#This Row],[ID]],tblSeverityAnalysis[ID], 0))</f>
        <v>3</v>
      </c>
      <c r="BF135" s="60">
        <f>IF(tblPiNAnalysis[[#This Row],[Severity]]&gt;2,tblPiNAnalysis[[#This Row],[Highest PiN]],)</f>
        <v>20972</v>
      </c>
      <c r="BG135" s="187"/>
      <c r="BH135" s="188"/>
      <c r="BI135" s="189">
        <f>COUNTIFS(tblPiNAnalysis[[#This Row],[Number of missing / zero PiNs greater than threshold - Data quality]:[Manual Flag]],"Flagged")</f>
        <v>0</v>
      </c>
      <c r="BJ135" s="346" t="str">
        <f>IF(tblPiNAnalysis[[#This Row],['# Flags]]&gt;0, "Flagged", "")</f>
        <v/>
      </c>
      <c r="BK135" s="339">
        <f>tblPiNAnalysis[[#This Row],[Preliminary PiN]]</f>
        <v>20972</v>
      </c>
      <c r="BL135" s="326"/>
      <c r="BM135" s="383">
        <f>IF(OR(tblPiNAnalysis[[#This Row],[Severity]]=4,tblPiNAnalysis[[#This Row],[Severity]]=5),tblPiNAnalysis[[#This Row],[Final PiN]],0)</f>
        <v>0</v>
      </c>
      <c r="BN135" s="378">
        <f>IF(OR(tblPiNAnalysis[[#This Row],[Severity]]=4,tblPiNAnalysis[[#This Row],[Severity]]=5),100%, IF(tblPiNAnalysis[[#This Row],[Severity]]=3,50%,0%))*tblPiNAnalysis[[#This Row],[Final PiN]]</f>
        <v>10486</v>
      </c>
      <c r="BO135" s="383">
        <f>IF(OR(tblPiNAnalysis[[#This Row],[Severity]]=4,tblPiNAnalysis[[#This Row],[Severity]]=5),100%, IF(AND(tblPiNAnalysis[[#This Row],[Severity]]=3,VLOOKUP(tblPiNAnalysis[[#This Row],[ID]],tblSeverityAnalysis[[ID]:[Highest Severity]],35,FALSE)&gt;3),50%,0%))*tblPiNAnalysis[[#This Row],[Final PiN]]</f>
        <v>0</v>
      </c>
    </row>
    <row r="136" spans="1:67" hidden="1">
      <c r="A136"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Global_PopulationHT1014</v>
      </c>
      <c r="B136" s="304" t="s">
        <v>431</v>
      </c>
      <c r="C136" s="213" t="s">
        <v>432</v>
      </c>
      <c r="D136" s="213" t="s">
        <v>439</v>
      </c>
      <c r="E136" s="103" t="s">
        <v>440</v>
      </c>
      <c r="F136" s="99"/>
      <c r="G136" s="34"/>
      <c r="H136" s="357"/>
      <c r="I136" s="354">
        <v>19644</v>
      </c>
      <c r="J136" s="221" t="s">
        <v>156</v>
      </c>
      <c r="K136" s="316">
        <v>7198.5</v>
      </c>
      <c r="L136" s="308">
        <v>959</v>
      </c>
      <c r="M136" s="308">
        <v>1918</v>
      </c>
      <c r="N136" s="308">
        <v>10882</v>
      </c>
      <c r="O136" s="308">
        <v>6784.0373896645142</v>
      </c>
      <c r="P136" s="308">
        <v>2403.34</v>
      </c>
      <c r="Q136" s="309">
        <v>4927</v>
      </c>
      <c r="R136" s="308">
        <v>4799</v>
      </c>
      <c r="S136" s="308"/>
      <c r="T136" s="308"/>
      <c r="U136" s="308"/>
      <c r="V136" s="308"/>
      <c r="W136" s="317">
        <f>IFERROR(IF(tblPiNAnalysis[[#This Row],[CCCM]]="", "", MROUND(tblPiNAnalysis[[#This Row],[CCCM]]/tblPiNAnalysis[[#This Row],[Population]], 0.05)), "")</f>
        <v>0.35000000000000003</v>
      </c>
      <c r="X136" s="318">
        <f>IFERROR(IF(tblPiNAnalysis[[#This Row],[Education]]="", "", MROUND(tblPiNAnalysis[[#This Row],[Education]]/tblPiNAnalysis[[#This Row],[Population]], 0.05)), "")</f>
        <v>0.05</v>
      </c>
      <c r="Y136" s="318">
        <f>IFERROR(IF(tblPiNAnalysis[[#This Row],[Nutrition]]="", "", MROUND(tblPiNAnalysis[[#This Row],[Nutrition]]/tblPiNAnalysis[[#This Row],[Population]], 0.05)), "")</f>
        <v>0.1</v>
      </c>
      <c r="Z136" s="318">
        <f>IFERROR(IF(tblPiNAnalysis[[#This Row],[Food Security]]="", "", MROUND(tblPiNAnalysis[[#This Row],[Food Security]]/tblPiNAnalysis[[#This Row],[Population]], 0.05)), "")</f>
        <v>0.55000000000000004</v>
      </c>
      <c r="AA136" s="318">
        <f>IFERROR(IF(tblPiNAnalysis[[#This Row],[Health]]="", "", MROUND(tblPiNAnalysis[[#This Row],[Health]]/tblPiNAnalysis[[#This Row],[Population]], 0.05)), "")</f>
        <v>0.35000000000000003</v>
      </c>
      <c r="AB136" s="319">
        <f>IFERROR(IF(tblPiNAnalysis[[#This Row],[Protection]]="", "", MROUND(tblPiNAnalysis[[#This Row],[Protection]]/tblPiNAnalysis[[#This Row],[Population]], 0.05)), "")</f>
        <v>0.1</v>
      </c>
      <c r="AC136" s="319">
        <f>IFERROR(IF(tblPiNAnalysis[[#This Row],[Shelter]]="", "", MROUND(tblPiNAnalysis[[#This Row],[Shelter]]/tblPiNAnalysis[[#This Row],[Population]], 0.05)), "")</f>
        <v>0.25</v>
      </c>
      <c r="AD136" s="320">
        <f>IFERROR(IF(tblPiNAnalysis[[#This Row],[WASH]]="", "", MROUND(tblPiNAnalysis[[#This Row],[WASH]]/tblPiNAnalysis[[#This Row],[Population]], 0.05)), "")</f>
        <v>0.25</v>
      </c>
      <c r="AE136" s="318">
        <f>IFERROR(MROUND(tblPiNAnalysis[[#This Row],[CP]]/tblPiNAnalysis[[#This Row],[Population]], 0.05), "")</f>
        <v>0</v>
      </c>
      <c r="AF136" s="318">
        <f>IFERROR(MROUND(tblPiNAnalysis[[#This Row],[GBV]]/tblPiNAnalysis[[#This Row],[Population]], 0.05), "")</f>
        <v>0</v>
      </c>
      <c r="AG136" s="318">
        <f>IFERROR(MROUND(tblPiNAnalysis[[#This Row],[Migrants]]/tblPiNAnalysis[[#This Row],[Population]], 0.05), "")</f>
        <v>0</v>
      </c>
      <c r="AH136" s="318">
        <f>IFERROR(MROUND(tblPiNAnalysis[[#This Row],[_]]/tblPiNAnalysis[[#This Row],[Population]], 0.05), "")</f>
        <v>0</v>
      </c>
      <c r="AI136" s="321">
        <f>IFERROR(LARGE(tblPiNAnalysis[[#This Row],[CCCM]:[WASH]], 1), "")</f>
        <v>10882</v>
      </c>
      <c r="AJ136" s="322" t="str" cm="1">
        <f t="array" ref="AJ136">IF(tblPiNAnalysis[[#This Row],[Highest PiN]]="", "", _xlfn.TEXTJOIN(CHAR(10), TRUE, IF(tblPiNAnalysis[[#This Row],[Highest PiN]]=tblPiNAnalysis[[#This Row],[CCCM]:[WASH]], tblPiNAnalysis[[#Headers],[CCCM]:[WASH]], "")))</f>
        <v>Food Security</v>
      </c>
      <c r="AK136" s="323">
        <f>IF(tblPiNAnalysis[[#This Row],[Highest PiN]]="", "", tblPiNAnalysis[[#This Row],[Highest PiN]]/tblPiNAnalysis[[#This Row],[Population]])</f>
        <v>0.55396049684381998</v>
      </c>
      <c r="AL136" s="265" t="str">
        <f>IF(SUM(tblPiNAnalysis[[#This Row],[CCCM]:[WASH]])=0, "",IF(COUNTIF(tblPiNAnalysis[[#This Row],[CCCM]:[WASH]],"=0")+COUNTIF(tblPiNAnalysis[[#This Row],[CCCM]:[WASH]],"")&gt;=zero_pin_thresh, "Flagged", ""))</f>
        <v/>
      </c>
      <c r="AM136" s="264" t="str">
        <f>IFERROR(IF(tblPiNAnalysis[[#This Row],[Highest PiN]]="", "", IF(tblPiNAnalysis[[#This Row],[Highest sector(s'') PiN %]]&gt;=flag_pin_perc, "Flagged", "")), "")</f>
        <v/>
      </c>
      <c r="AN136" s="266" t="str" cm="1">
        <f t="array" ref="AN136">IF(tblPiNAnalysis[[#This Row],[Highest PiN]]=0, "",  IF(OR(COUNTIF(tblPiNAnalysis[[#This Row],[Highest sector(s)]],tblSubSectorPopulation[Sector])), "Flagged", ""))</f>
        <v/>
      </c>
      <c r="AO136" s="45" cm="1">
        <f t="array" ref="AO136">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7198.5</v>
      </c>
      <c r="AP136" s="326" t="str" cm="1">
        <f t="array" ref="AP136">IF(tblPiNAnalysis[[#This Row],[2nd Highest PiN]]="", "", _xlfn.TEXTJOIN(CHAR(10), TRUE, IF(tblPiNAnalysis[[#This Row],[2nd Highest PiN]]=tblPiNAnalysis[[#This Row],[CCCM]:[WASH]], tblPiNAnalysis[[#Headers],[CCCM]:[WASH]], "")))</f>
        <v>CCCM</v>
      </c>
      <c r="AQ136" s="35">
        <f>IFERROR(tblPiNAnalysis[[#This Row],[2nd Highest PiN]]/tblPiNAnalysis[[#This Row],[Population]], "")</f>
        <v>0.36644777031154552</v>
      </c>
      <c r="AR136" s="45">
        <f>IFERROR(tblPiNAnalysis[[#This Row],[Highest PiN]]-tblPiNAnalysis[[#This Row],[2nd Highest PiN]], "")</f>
        <v>3683.5</v>
      </c>
      <c r="AS136" s="38">
        <f>IFERROR(((tblPiNAnalysis[[#This Row],[Highest PiN]]-tblPiNAnalysis[[#This Row],[2nd Highest PiN]])/tblPiNAnalysis[[#This Row],[2nd Highest PiN]]),"")</f>
        <v>0.51170382718621932</v>
      </c>
      <c r="AT136" s="269" t="str" cm="1">
        <f t="array" ref="AT136">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6" s="327" cm="1">
        <f t="array" ref="AU136">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6784.0373896645142</v>
      </c>
      <c r="AV136" s="186" t="str" cm="1">
        <f t="array" ref="AV136">IF(tblPiNAnalysis[[#This Row],[3rd Highest PiN]]="", "", _xlfn.TEXTJOIN(CHAR(10), TRUE, IF(tblPiNAnalysis[[#This Row],[3rd Highest PiN]]=tblPiNAnalysis[[#This Row],[CCCM]:[WASH]], tblPiNAnalysis[[#Headers],[CCCM]:[WASH]], "")))</f>
        <v>Health</v>
      </c>
      <c r="AW136" s="186">
        <f>IFERROR(tblPiNAnalysis[[#This Row],[3rd Highest PiN]]/tblPiNAnalysis[[#This Row],[Population]], "")</f>
        <v>0.34534908316353669</v>
      </c>
      <c r="AX136" s="44">
        <f>IFERROR(tblPiNAnalysis[[#This Row],[Highest PiN]]-tblPiNAnalysis[[#This Row],[3rd Highest PiN]],"")</f>
        <v>4097.9626103354858</v>
      </c>
      <c r="AY136" s="38">
        <f>IFERROR(tblPiNAnalysis[[#This Row],[Difference of PiN between Highest and 3rd Highest]]/tblPiNAnalysis[[#This Row],[3rd Highest PiN]], "")</f>
        <v>0.60405955553528268</v>
      </c>
      <c r="AZ136" s="325" t="str" cm="1">
        <f t="array" ref="AZ136">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36" s="292" cm="1">
        <f t="array" ref="BA136">IFERROR(IF(tblPiNAnalysis[[#This Row],[ID]]="", "", INDEX(tblPiNHistorical[[CCCM]:[WASH]], MATCH(tblPiNAnalysis[[#This Row],[ID]],tblPiNHistorical[ID], 0),MATCH(_xlfn._xlws.FILTER(tblPiNAnalysis[[#Headers],[CCCM]:[WASH]], tblPiNAnalysis[[#This Row],[Highest PiN]]=tblPiNAnalysis[[#This Row],[CCCM]:[WASH]]), tblPiNHistorical[[#Headers],[CCCM]:[WASH]], 0))), "")</f>
        <v>0</v>
      </c>
      <c r="BB136" s="328" t="str" cm="1">
        <f t="array" ref="BB136">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6" s="272" cm="1">
        <f t="array" ref="BC136">IFERROR(IF(tblPiNAnalysis[[#This Row],[ID]]="", "", INDEX(tblPiNHistorical[[CCCM]:[WASH]], MATCH(tblPiNAnalysis[[#This Row],[ID]],tblPiNHistorical[ID], 0),MATCH(_xlfn._xlws.FILTER(tblPiNAnalysis[[#Headers],[CCCM]:[WASH]], tblPiNAnalysis[[#This Row],[2nd Highest PiN]]=tblPiNAnalysis[[#This Row],[CCCM]:[WASH]]), tblPiNHistorical[[#Headers],[CCCM]:[WASH]], 0))), "")</f>
        <v>1.6</v>
      </c>
      <c r="BD136" s="329" t="str" cm="1">
        <f t="array" ref="BD136">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Flagged</v>
      </c>
      <c r="BE136" s="371">
        <f>INDEX(tblSeverityAnalysis[Final Severity], MATCH(tblPiNAnalysis[[#This Row],[ID]],tblSeverityAnalysis[ID], 0))</f>
        <v>3</v>
      </c>
      <c r="BF136" s="60">
        <f>IF(tblPiNAnalysis[[#This Row],[Severity]]&gt;2,tblPiNAnalysis[[#This Row],[Highest PiN]],)</f>
        <v>10882</v>
      </c>
      <c r="BG136" s="187"/>
      <c r="BH136" s="188"/>
      <c r="BI136" s="189">
        <f>COUNTIFS(tblPiNAnalysis[[#This Row],[Number of missing / zero PiNs greater than threshold - Data quality]:[Manual Flag]],"Flagged")</f>
        <v>2</v>
      </c>
      <c r="BJ136" s="346" t="str">
        <f>IF(tblPiNAnalysis[[#This Row],['# Flags]]&gt;0, "Flagged", "")</f>
        <v>Flagged</v>
      </c>
      <c r="BK136" s="339">
        <f>tblPiNAnalysis[[#This Row],[Preliminary PiN]]</f>
        <v>10882</v>
      </c>
      <c r="BL136" s="326"/>
      <c r="BM136" s="383">
        <f>IF(OR(tblPiNAnalysis[[#This Row],[Severity]]=4,tblPiNAnalysis[[#This Row],[Severity]]=5),tblPiNAnalysis[[#This Row],[Final PiN]],0)</f>
        <v>0</v>
      </c>
      <c r="BN136" s="378">
        <f>IF(OR(tblPiNAnalysis[[#This Row],[Severity]]=4,tblPiNAnalysis[[#This Row],[Severity]]=5),100%, IF(tblPiNAnalysis[[#This Row],[Severity]]=3,50%,0%))*tblPiNAnalysis[[#This Row],[Final PiN]]</f>
        <v>5441</v>
      </c>
      <c r="BO136" s="383">
        <f>IF(OR(tblPiNAnalysis[[#This Row],[Severity]]=4,tblPiNAnalysis[[#This Row],[Severity]]=5),100%, IF(AND(tblPiNAnalysis[[#This Row],[Severity]]=3,VLOOKUP(tblPiNAnalysis[[#This Row],[ID]],tblSeverityAnalysis[[ID]:[Highest Severity]],35,FALSE)&gt;3),50%,0%))*tblPiNAnalysis[[#This Row],[Final PiN]]</f>
        <v>5441</v>
      </c>
    </row>
    <row r="137" spans="1:67" hidden="1">
      <c r="A137"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Global_PopulationHT1021</v>
      </c>
      <c r="B137" s="304" t="s">
        <v>431</v>
      </c>
      <c r="C137" s="213" t="s">
        <v>432</v>
      </c>
      <c r="D137" s="213" t="s">
        <v>441</v>
      </c>
      <c r="E137" s="103" t="s">
        <v>442</v>
      </c>
      <c r="F137" s="99"/>
      <c r="G137" s="34"/>
      <c r="H137" s="357"/>
      <c r="I137" s="354">
        <v>37907</v>
      </c>
      <c r="J137" s="221" t="s">
        <v>156</v>
      </c>
      <c r="K137" s="316">
        <v>6043.5</v>
      </c>
      <c r="L137" s="308">
        <v>1899</v>
      </c>
      <c r="M137" s="308">
        <v>3167</v>
      </c>
      <c r="N137" s="308">
        <v>23656</v>
      </c>
      <c r="O137" s="308">
        <v>5785.0971022089852</v>
      </c>
      <c r="P137" s="308">
        <v>2577.4028571428571</v>
      </c>
      <c r="Q137" s="309">
        <v>15006</v>
      </c>
      <c r="R137" s="308">
        <v>12228.064516129032</v>
      </c>
      <c r="S137" s="308"/>
      <c r="T137" s="308"/>
      <c r="U137" s="308"/>
      <c r="V137" s="308"/>
      <c r="W137" s="317">
        <f>IFERROR(IF(tblPiNAnalysis[[#This Row],[CCCM]]="", "", MROUND(tblPiNAnalysis[[#This Row],[CCCM]]/tblPiNAnalysis[[#This Row],[Population]], 0.05)), "")</f>
        <v>0.15000000000000002</v>
      </c>
      <c r="X137" s="318">
        <f>IFERROR(IF(tblPiNAnalysis[[#This Row],[Education]]="", "", MROUND(tblPiNAnalysis[[#This Row],[Education]]/tblPiNAnalysis[[#This Row],[Population]], 0.05)), "")</f>
        <v>0.05</v>
      </c>
      <c r="Y137" s="318">
        <f>IFERROR(IF(tblPiNAnalysis[[#This Row],[Nutrition]]="", "", MROUND(tblPiNAnalysis[[#This Row],[Nutrition]]/tblPiNAnalysis[[#This Row],[Population]], 0.05)), "")</f>
        <v>0.1</v>
      </c>
      <c r="Z137" s="318">
        <f>IFERROR(IF(tblPiNAnalysis[[#This Row],[Food Security]]="", "", MROUND(tblPiNAnalysis[[#This Row],[Food Security]]/tblPiNAnalysis[[#This Row],[Population]], 0.05)), "")</f>
        <v>0.60000000000000009</v>
      </c>
      <c r="AA137" s="318">
        <f>IFERROR(IF(tblPiNAnalysis[[#This Row],[Health]]="", "", MROUND(tblPiNAnalysis[[#This Row],[Health]]/tblPiNAnalysis[[#This Row],[Population]], 0.05)), "")</f>
        <v>0.15000000000000002</v>
      </c>
      <c r="AB137" s="319">
        <f>IFERROR(IF(tblPiNAnalysis[[#This Row],[Protection]]="", "", MROUND(tblPiNAnalysis[[#This Row],[Protection]]/tblPiNAnalysis[[#This Row],[Population]], 0.05)), "")</f>
        <v>0.05</v>
      </c>
      <c r="AC137" s="319">
        <f>IFERROR(IF(tblPiNAnalysis[[#This Row],[Shelter]]="", "", MROUND(tblPiNAnalysis[[#This Row],[Shelter]]/tblPiNAnalysis[[#This Row],[Population]], 0.05)), "")</f>
        <v>0.4</v>
      </c>
      <c r="AD137" s="320">
        <f>IFERROR(IF(tblPiNAnalysis[[#This Row],[WASH]]="", "", MROUND(tblPiNAnalysis[[#This Row],[WASH]]/tblPiNAnalysis[[#This Row],[Population]], 0.05)), "")</f>
        <v>0.30000000000000004</v>
      </c>
      <c r="AE137" s="318">
        <f>IFERROR(MROUND(tblPiNAnalysis[[#This Row],[CP]]/tblPiNAnalysis[[#This Row],[Population]], 0.05), "")</f>
        <v>0</v>
      </c>
      <c r="AF137" s="318">
        <f>IFERROR(MROUND(tblPiNAnalysis[[#This Row],[GBV]]/tblPiNAnalysis[[#This Row],[Population]], 0.05), "")</f>
        <v>0</v>
      </c>
      <c r="AG137" s="318">
        <f>IFERROR(MROUND(tblPiNAnalysis[[#This Row],[Migrants]]/tblPiNAnalysis[[#This Row],[Population]], 0.05), "")</f>
        <v>0</v>
      </c>
      <c r="AH137" s="318">
        <f>IFERROR(MROUND(tblPiNAnalysis[[#This Row],[_]]/tblPiNAnalysis[[#This Row],[Population]], 0.05), "")</f>
        <v>0</v>
      </c>
      <c r="AI137" s="321">
        <f>IFERROR(LARGE(tblPiNAnalysis[[#This Row],[CCCM]:[WASH]], 1), "")</f>
        <v>23656</v>
      </c>
      <c r="AJ137" s="322" t="str" cm="1">
        <f t="array" ref="AJ137">IF(tblPiNAnalysis[[#This Row],[Highest PiN]]="", "", _xlfn.TEXTJOIN(CHAR(10), TRUE, IF(tblPiNAnalysis[[#This Row],[Highest PiN]]=tblPiNAnalysis[[#This Row],[CCCM]:[WASH]], tblPiNAnalysis[[#Headers],[CCCM]:[WASH]], "")))</f>
        <v>Food Security</v>
      </c>
      <c r="AK137" s="323">
        <f>IF(tblPiNAnalysis[[#This Row],[Highest PiN]]="", "", tblPiNAnalysis[[#This Row],[Highest PiN]]/tblPiNAnalysis[[#This Row],[Population]])</f>
        <v>0.62405360487508899</v>
      </c>
      <c r="AL137" s="265" t="str">
        <f>IF(SUM(tblPiNAnalysis[[#This Row],[CCCM]:[WASH]])=0, "",IF(COUNTIF(tblPiNAnalysis[[#This Row],[CCCM]:[WASH]],"=0")+COUNTIF(tblPiNAnalysis[[#This Row],[CCCM]:[WASH]],"")&gt;=zero_pin_thresh, "Flagged", ""))</f>
        <v/>
      </c>
      <c r="AM137" s="264" t="str">
        <f>IFERROR(IF(tblPiNAnalysis[[#This Row],[Highest PiN]]="", "", IF(tblPiNAnalysis[[#This Row],[Highest sector(s'') PiN %]]&gt;=flag_pin_perc, "Flagged", "")), "")</f>
        <v/>
      </c>
      <c r="AN137" s="266" t="str" cm="1">
        <f t="array" ref="AN137">IF(tblPiNAnalysis[[#This Row],[Highest PiN]]=0, "",  IF(OR(COUNTIF(tblPiNAnalysis[[#This Row],[Highest sector(s)]],tblSubSectorPopulation[Sector])), "Flagged", ""))</f>
        <v/>
      </c>
      <c r="AO137" s="45" cm="1">
        <f t="array" ref="AO137">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15006</v>
      </c>
      <c r="AP137" s="326" t="str" cm="1">
        <f t="array" ref="AP137">IF(tblPiNAnalysis[[#This Row],[2nd Highest PiN]]="", "", _xlfn.TEXTJOIN(CHAR(10), TRUE, IF(tblPiNAnalysis[[#This Row],[2nd Highest PiN]]=tblPiNAnalysis[[#This Row],[CCCM]:[WASH]], tblPiNAnalysis[[#Headers],[CCCM]:[WASH]], "")))</f>
        <v>Shelter</v>
      </c>
      <c r="AQ137" s="35">
        <f>IFERROR(tblPiNAnalysis[[#This Row],[2nd Highest PiN]]/tblPiNAnalysis[[#This Row],[Population]], "")</f>
        <v>0.39586356081990132</v>
      </c>
      <c r="AR137" s="45">
        <f>IFERROR(tblPiNAnalysis[[#This Row],[Highest PiN]]-tblPiNAnalysis[[#This Row],[2nd Highest PiN]], "")</f>
        <v>8650</v>
      </c>
      <c r="AS137" s="38">
        <f>IFERROR(((tblPiNAnalysis[[#This Row],[Highest PiN]]-tblPiNAnalysis[[#This Row],[2nd Highest PiN]])/tblPiNAnalysis[[#This Row],[2nd Highest PiN]]),"")</f>
        <v>0.57643609222977477</v>
      </c>
      <c r="AT137" s="269" t="str" cm="1">
        <f t="array" ref="AT137">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7" s="327" cm="1">
        <f t="array" ref="AU137">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12228.064516129032</v>
      </c>
      <c r="AV137" s="186" t="str" cm="1">
        <f t="array" ref="AV137">IF(tblPiNAnalysis[[#This Row],[3rd Highest PiN]]="", "", _xlfn.TEXTJOIN(CHAR(10), TRUE, IF(tblPiNAnalysis[[#This Row],[3rd Highest PiN]]=tblPiNAnalysis[[#This Row],[CCCM]:[WASH]], tblPiNAnalysis[[#Headers],[CCCM]:[WASH]], "")))</f>
        <v>WASH</v>
      </c>
      <c r="AW137" s="186">
        <f>IFERROR(tblPiNAnalysis[[#This Row],[3rd Highest PiN]]/tblPiNAnalysis[[#This Row],[Population]], "")</f>
        <v>0.32258064516129031</v>
      </c>
      <c r="AX137" s="44">
        <f>IFERROR(tblPiNAnalysis[[#This Row],[Highest PiN]]-tblPiNAnalysis[[#This Row],[3rd Highest PiN]],"")</f>
        <v>11427.935483870968</v>
      </c>
      <c r="AY137" s="38">
        <f>IFERROR(tblPiNAnalysis[[#This Row],[Difference of PiN between Highest and 3rd Highest]]/tblPiNAnalysis[[#This Row],[3rd Highest PiN]], "")</f>
        <v>0.93456617511277607</v>
      </c>
      <c r="AZ137" s="325" t="str" cm="1">
        <f t="array" ref="AZ137">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7" s="292" cm="1">
        <f t="array" ref="BA137">IFERROR(IF(tblPiNAnalysis[[#This Row],[ID]]="", "", INDEX(tblPiNHistorical[[CCCM]:[WASH]], MATCH(tblPiNAnalysis[[#This Row],[ID]],tblPiNHistorical[ID], 0),MATCH(_xlfn._xlws.FILTER(tblPiNAnalysis[[#Headers],[CCCM]:[WASH]], tblPiNAnalysis[[#This Row],[Highest PiN]]=tblPiNAnalysis[[#This Row],[CCCM]:[WASH]]), tblPiNHistorical[[#Headers],[CCCM]:[WASH]], 0))), "")</f>
        <v>0.1</v>
      </c>
      <c r="BB137" s="328" t="str" cm="1">
        <f t="array" ref="BB137">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7" s="272" cm="1">
        <f t="array" ref="BC137">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37" s="329" t="str" cm="1">
        <f t="array" ref="BD137">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7" s="371">
        <f>INDEX(tblSeverityAnalysis[Final Severity], MATCH(tblPiNAnalysis[[#This Row],[ID]],tblSeverityAnalysis[ID], 0))</f>
        <v>3</v>
      </c>
      <c r="BF137" s="60">
        <f>IF(tblPiNAnalysis[[#This Row],[Severity]]&gt;2,tblPiNAnalysis[[#This Row],[Highest PiN]],)</f>
        <v>23656</v>
      </c>
      <c r="BG137" s="187"/>
      <c r="BH137" s="188"/>
      <c r="BI137" s="189">
        <f>COUNTIFS(tblPiNAnalysis[[#This Row],[Number of missing / zero PiNs greater than threshold - Data quality]:[Manual Flag]],"Flagged")</f>
        <v>2</v>
      </c>
      <c r="BJ137" s="346" t="str">
        <f>IF(tblPiNAnalysis[[#This Row],['# Flags]]&gt;0, "Flagged", "")</f>
        <v>Flagged</v>
      </c>
      <c r="BK137" s="339">
        <f>tblPiNAnalysis[[#This Row],[Preliminary PiN]]</f>
        <v>23656</v>
      </c>
      <c r="BL137" s="326"/>
      <c r="BM137" s="383">
        <f>IF(OR(tblPiNAnalysis[[#This Row],[Severity]]=4,tblPiNAnalysis[[#This Row],[Severity]]=5),tblPiNAnalysis[[#This Row],[Final PiN]],0)</f>
        <v>0</v>
      </c>
      <c r="BN137" s="378">
        <f>IF(OR(tblPiNAnalysis[[#This Row],[Severity]]=4,tblPiNAnalysis[[#This Row],[Severity]]=5),100%, IF(tblPiNAnalysis[[#This Row],[Severity]]=3,50%,0%))*tblPiNAnalysis[[#This Row],[Final PiN]]</f>
        <v>11828</v>
      </c>
      <c r="BO137" s="383">
        <f>IF(OR(tblPiNAnalysis[[#This Row],[Severity]]=4,tblPiNAnalysis[[#This Row],[Severity]]=5),100%, IF(AND(tblPiNAnalysis[[#This Row],[Severity]]=3,VLOOKUP(tblPiNAnalysis[[#This Row],[ID]],tblSeverityAnalysis[[ID]:[Highest Severity]],35,FALSE)&gt;3),50%,0%))*tblPiNAnalysis[[#This Row],[Final PiN]]</f>
        <v>0</v>
      </c>
    </row>
    <row r="138" spans="1:67" hidden="1">
      <c r="A138"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Global_PopulationHT1022</v>
      </c>
      <c r="B138" s="304" t="s">
        <v>431</v>
      </c>
      <c r="C138" s="213" t="s">
        <v>432</v>
      </c>
      <c r="D138" s="213" t="s">
        <v>443</v>
      </c>
      <c r="E138" s="103" t="s">
        <v>444</v>
      </c>
      <c r="F138" s="99"/>
      <c r="G138" s="34"/>
      <c r="H138" s="357"/>
      <c r="I138" s="354">
        <v>33793</v>
      </c>
      <c r="J138" s="221" t="s">
        <v>156</v>
      </c>
      <c r="K138" s="316">
        <v>5395.5</v>
      </c>
      <c r="L138" s="308">
        <v>1709</v>
      </c>
      <c r="M138" s="308">
        <v>2906</v>
      </c>
      <c r="N138" s="308">
        <v>20214</v>
      </c>
      <c r="O138" s="308">
        <v>4920.304594161802</v>
      </c>
      <c r="P138" s="308">
        <v>2387.355</v>
      </c>
      <c r="Q138" s="309">
        <v>19451</v>
      </c>
      <c r="R138" s="308">
        <v>5249.75</v>
      </c>
      <c r="S138" s="308"/>
      <c r="T138" s="308"/>
      <c r="U138" s="308"/>
      <c r="V138" s="308"/>
      <c r="W138" s="317">
        <f>IFERROR(IF(tblPiNAnalysis[[#This Row],[CCCM]]="", "", MROUND(tblPiNAnalysis[[#This Row],[CCCM]]/tblPiNAnalysis[[#This Row],[Population]], 0.05)), "")</f>
        <v>0.15000000000000002</v>
      </c>
      <c r="X138" s="318">
        <f>IFERROR(IF(tblPiNAnalysis[[#This Row],[Education]]="", "", MROUND(tblPiNAnalysis[[#This Row],[Education]]/tblPiNAnalysis[[#This Row],[Population]], 0.05)), "")</f>
        <v>0.05</v>
      </c>
      <c r="Y138" s="318">
        <f>IFERROR(IF(tblPiNAnalysis[[#This Row],[Nutrition]]="", "", MROUND(tblPiNAnalysis[[#This Row],[Nutrition]]/tblPiNAnalysis[[#This Row],[Population]], 0.05)), "")</f>
        <v>0.1</v>
      </c>
      <c r="Z138" s="318">
        <f>IFERROR(IF(tblPiNAnalysis[[#This Row],[Food Security]]="", "", MROUND(tblPiNAnalysis[[#This Row],[Food Security]]/tblPiNAnalysis[[#This Row],[Population]], 0.05)), "")</f>
        <v>0.60000000000000009</v>
      </c>
      <c r="AA138" s="318">
        <f>IFERROR(IF(tblPiNAnalysis[[#This Row],[Health]]="", "", MROUND(tblPiNAnalysis[[#This Row],[Health]]/tblPiNAnalysis[[#This Row],[Population]], 0.05)), "")</f>
        <v>0.15000000000000002</v>
      </c>
      <c r="AB138" s="319">
        <f>IFERROR(IF(tblPiNAnalysis[[#This Row],[Protection]]="", "", MROUND(tblPiNAnalysis[[#This Row],[Protection]]/tblPiNAnalysis[[#This Row],[Population]], 0.05)), "")</f>
        <v>0.05</v>
      </c>
      <c r="AC138" s="319">
        <f>IFERROR(IF(tblPiNAnalysis[[#This Row],[Shelter]]="", "", MROUND(tblPiNAnalysis[[#This Row],[Shelter]]/tblPiNAnalysis[[#This Row],[Population]], 0.05)), "")</f>
        <v>0.60000000000000009</v>
      </c>
      <c r="AD138" s="320">
        <f>IFERROR(IF(tblPiNAnalysis[[#This Row],[WASH]]="", "", MROUND(tblPiNAnalysis[[#This Row],[WASH]]/tblPiNAnalysis[[#This Row],[Population]], 0.05)), "")</f>
        <v>0.15000000000000002</v>
      </c>
      <c r="AE138" s="318">
        <f>IFERROR(MROUND(tblPiNAnalysis[[#This Row],[CP]]/tblPiNAnalysis[[#This Row],[Population]], 0.05), "")</f>
        <v>0</v>
      </c>
      <c r="AF138" s="318">
        <f>IFERROR(MROUND(tblPiNAnalysis[[#This Row],[GBV]]/tblPiNAnalysis[[#This Row],[Population]], 0.05), "")</f>
        <v>0</v>
      </c>
      <c r="AG138" s="318">
        <f>IFERROR(MROUND(tblPiNAnalysis[[#This Row],[Migrants]]/tblPiNAnalysis[[#This Row],[Population]], 0.05), "")</f>
        <v>0</v>
      </c>
      <c r="AH138" s="318">
        <f>IFERROR(MROUND(tblPiNAnalysis[[#This Row],[_]]/tblPiNAnalysis[[#This Row],[Population]], 0.05), "")</f>
        <v>0</v>
      </c>
      <c r="AI138" s="321">
        <f>IFERROR(LARGE(tblPiNAnalysis[[#This Row],[CCCM]:[WASH]], 1), "")</f>
        <v>20214</v>
      </c>
      <c r="AJ138" s="322" t="str" cm="1">
        <f t="array" ref="AJ138">IF(tblPiNAnalysis[[#This Row],[Highest PiN]]="", "", _xlfn.TEXTJOIN(CHAR(10), TRUE, IF(tblPiNAnalysis[[#This Row],[Highest PiN]]=tblPiNAnalysis[[#This Row],[CCCM]:[WASH]], tblPiNAnalysis[[#Headers],[CCCM]:[WASH]], "")))</f>
        <v>Food Security</v>
      </c>
      <c r="AK138" s="323">
        <f>IF(tblPiNAnalysis[[#This Row],[Highest PiN]]="", "", tblPiNAnalysis[[#This Row],[Highest PiN]]/tblPiNAnalysis[[#This Row],[Population]])</f>
        <v>0.59817121889148639</v>
      </c>
      <c r="AL138" s="265" t="str">
        <f>IF(SUM(tblPiNAnalysis[[#This Row],[CCCM]:[WASH]])=0, "",IF(COUNTIF(tblPiNAnalysis[[#This Row],[CCCM]:[WASH]],"=0")+COUNTIF(tblPiNAnalysis[[#This Row],[CCCM]:[WASH]],"")&gt;=zero_pin_thresh, "Flagged", ""))</f>
        <v/>
      </c>
      <c r="AM138" s="264" t="str">
        <f>IFERROR(IF(tblPiNAnalysis[[#This Row],[Highest PiN]]="", "", IF(tblPiNAnalysis[[#This Row],[Highest sector(s'') PiN %]]&gt;=flag_pin_perc, "Flagged", "")), "")</f>
        <v/>
      </c>
      <c r="AN138" s="266" t="str" cm="1">
        <f t="array" ref="AN138">IF(tblPiNAnalysis[[#This Row],[Highest PiN]]=0, "",  IF(OR(COUNTIF(tblPiNAnalysis[[#This Row],[Highest sector(s)]],tblSubSectorPopulation[Sector])), "Flagged", ""))</f>
        <v/>
      </c>
      <c r="AO138" s="45" cm="1">
        <f t="array" ref="AO138">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19451</v>
      </c>
      <c r="AP138" s="326" t="str" cm="1">
        <f t="array" ref="AP138">IF(tblPiNAnalysis[[#This Row],[2nd Highest PiN]]="", "", _xlfn.TEXTJOIN(CHAR(10), TRUE, IF(tblPiNAnalysis[[#This Row],[2nd Highest PiN]]=tblPiNAnalysis[[#This Row],[CCCM]:[WASH]], tblPiNAnalysis[[#Headers],[CCCM]:[WASH]], "")))</f>
        <v>Shelter</v>
      </c>
      <c r="AQ138" s="35">
        <f>IFERROR(tblPiNAnalysis[[#This Row],[2nd Highest PiN]]/tblPiNAnalysis[[#This Row],[Population]], "")</f>
        <v>0.57559257834462763</v>
      </c>
      <c r="AR138" s="45">
        <f>IFERROR(tblPiNAnalysis[[#This Row],[Highest PiN]]-tblPiNAnalysis[[#This Row],[2nd Highest PiN]], "")</f>
        <v>763</v>
      </c>
      <c r="AS138" s="38">
        <f>IFERROR(((tblPiNAnalysis[[#This Row],[Highest PiN]]-tblPiNAnalysis[[#This Row],[2nd Highest PiN]])/tblPiNAnalysis[[#This Row],[2nd Highest PiN]]),"")</f>
        <v>3.9226774973009103E-2</v>
      </c>
      <c r="AT138" s="269" t="str" cm="1">
        <f t="array" ref="AT138">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38" s="327" cm="1">
        <f t="array" ref="AU138">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5395.5</v>
      </c>
      <c r="AV138" s="186" t="str" cm="1">
        <f t="array" ref="AV138">IF(tblPiNAnalysis[[#This Row],[3rd Highest PiN]]="", "", _xlfn.TEXTJOIN(CHAR(10), TRUE, IF(tblPiNAnalysis[[#This Row],[3rd Highest PiN]]=tblPiNAnalysis[[#This Row],[CCCM]:[WASH]], tblPiNAnalysis[[#Headers],[CCCM]:[WASH]], "")))</f>
        <v>CCCM</v>
      </c>
      <c r="AW138" s="186">
        <f>IFERROR(tblPiNAnalysis[[#This Row],[3rd Highest PiN]]/tblPiNAnalysis[[#This Row],[Population]], "")</f>
        <v>0.15966324386707306</v>
      </c>
      <c r="AX138" s="44">
        <f>IFERROR(tblPiNAnalysis[[#This Row],[Highest PiN]]-tblPiNAnalysis[[#This Row],[3rd Highest PiN]],"")</f>
        <v>14818.5</v>
      </c>
      <c r="AY138" s="38">
        <f>IFERROR(tblPiNAnalysis[[#This Row],[Difference of PiN between Highest and 3rd Highest]]/tblPiNAnalysis[[#This Row],[3rd Highest PiN]], "")</f>
        <v>2.7464553794829025</v>
      </c>
      <c r="AZ138" s="325" t="str" cm="1">
        <f t="array" ref="AZ138">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8" s="292" cm="1">
        <f t="array" ref="BA138">IFERROR(IF(tblPiNAnalysis[[#This Row],[ID]]="", "", INDEX(tblPiNHistorical[[CCCM]:[WASH]], MATCH(tblPiNAnalysis[[#This Row],[ID]],tblPiNHistorical[ID], 0),MATCH(_xlfn._xlws.FILTER(tblPiNAnalysis[[#Headers],[CCCM]:[WASH]], tblPiNAnalysis[[#This Row],[Highest PiN]]=tblPiNAnalysis[[#This Row],[CCCM]:[WASH]]), tblPiNHistorical[[#Headers],[CCCM]:[WASH]], 0))), "")</f>
        <v>0</v>
      </c>
      <c r="BB138" s="328" t="str" cm="1">
        <f t="array" ref="BB138">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8" s="272" cm="1">
        <f t="array" ref="BC138">IFERROR(IF(tblPiNAnalysis[[#This Row],[ID]]="", "", INDEX(tblPiNHistorical[[CCCM]:[WASH]], MATCH(tblPiNAnalysis[[#This Row],[ID]],tblPiNHistorical[ID], 0),MATCH(_xlfn._xlws.FILTER(tblPiNAnalysis[[#Headers],[CCCM]:[WASH]], tblPiNAnalysis[[#This Row],[2nd Highest PiN]]=tblPiNAnalysis[[#This Row],[CCCM]:[WASH]]), tblPiNHistorical[[#Headers],[CCCM]:[WASH]], 0))), "")</f>
        <v>0.3</v>
      </c>
      <c r="BD138" s="329" t="str" cm="1">
        <f t="array" ref="BD138">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8" s="371">
        <f>INDEX(tblSeverityAnalysis[Final Severity], MATCH(tblPiNAnalysis[[#This Row],[ID]],tblSeverityAnalysis[ID], 0))</f>
        <v>3</v>
      </c>
      <c r="BF138" s="60">
        <f>IF(tblPiNAnalysis[[#This Row],[Severity]]&gt;2,tblPiNAnalysis[[#This Row],[Highest PiN]],)</f>
        <v>20214</v>
      </c>
      <c r="BG138" s="187"/>
      <c r="BH138" s="188"/>
      <c r="BI138" s="189">
        <f>COUNTIFS(tblPiNAnalysis[[#This Row],[Number of missing / zero PiNs greater than threshold - Data quality]:[Manual Flag]],"Flagged")</f>
        <v>1</v>
      </c>
      <c r="BJ138" s="346" t="str">
        <f>IF(tblPiNAnalysis[[#This Row],['# Flags]]&gt;0, "Flagged", "")</f>
        <v>Flagged</v>
      </c>
      <c r="BK138" s="339">
        <f>tblPiNAnalysis[[#This Row],[Preliminary PiN]]</f>
        <v>20214</v>
      </c>
      <c r="BL138" s="326"/>
      <c r="BM138" s="383">
        <f>IF(OR(tblPiNAnalysis[[#This Row],[Severity]]=4,tblPiNAnalysis[[#This Row],[Severity]]=5),tblPiNAnalysis[[#This Row],[Final PiN]],0)</f>
        <v>0</v>
      </c>
      <c r="BN138" s="378">
        <f>IF(OR(tblPiNAnalysis[[#This Row],[Severity]]=4,tblPiNAnalysis[[#This Row],[Severity]]=5),100%, IF(tblPiNAnalysis[[#This Row],[Severity]]=3,50%,0%))*tblPiNAnalysis[[#This Row],[Final PiN]]</f>
        <v>10107</v>
      </c>
      <c r="BO138" s="383">
        <f>IF(OR(tblPiNAnalysis[[#This Row],[Severity]]=4,tblPiNAnalysis[[#This Row],[Severity]]=5),100%, IF(AND(tblPiNAnalysis[[#This Row],[Severity]]=3,VLOOKUP(tblPiNAnalysis[[#This Row],[ID]],tblSeverityAnalysis[[ID]:[Highest Severity]],35,FALSE)&gt;3),50%,0%))*tblPiNAnalysis[[#This Row],[Final PiN]]</f>
        <v>0</v>
      </c>
    </row>
    <row r="139" spans="1:67" hidden="1">
      <c r="A139"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Global_PopulationHT1023</v>
      </c>
      <c r="B139" s="304" t="s">
        <v>431</v>
      </c>
      <c r="C139" s="213" t="s">
        <v>432</v>
      </c>
      <c r="D139" s="213" t="s">
        <v>445</v>
      </c>
      <c r="E139" s="103" t="s">
        <v>446</v>
      </c>
      <c r="F139" s="99"/>
      <c r="G139" s="34"/>
      <c r="H139" s="357"/>
      <c r="I139" s="354">
        <v>45890</v>
      </c>
      <c r="J139" s="221" t="s">
        <v>156</v>
      </c>
      <c r="K139" s="316">
        <v>7630.5</v>
      </c>
      <c r="L139" s="308">
        <v>2373</v>
      </c>
      <c r="M139" s="308">
        <v>4274</v>
      </c>
      <c r="N139" s="308">
        <v>26940</v>
      </c>
      <c r="O139" s="308">
        <v>7123.852742834677</v>
      </c>
      <c r="P139" s="308">
        <v>5158.04</v>
      </c>
      <c r="Q139" s="309">
        <v>11584</v>
      </c>
      <c r="R139" s="308">
        <v>11472.5</v>
      </c>
      <c r="S139" s="308"/>
      <c r="T139" s="308"/>
      <c r="U139" s="308"/>
      <c r="V139" s="308"/>
      <c r="W139" s="317">
        <f>IFERROR(IF(tblPiNAnalysis[[#This Row],[CCCM]]="", "", MROUND(tblPiNAnalysis[[#This Row],[CCCM]]/tblPiNAnalysis[[#This Row],[Population]], 0.05)), "")</f>
        <v>0.15000000000000002</v>
      </c>
      <c r="X139" s="318">
        <f>IFERROR(IF(tblPiNAnalysis[[#This Row],[Education]]="", "", MROUND(tblPiNAnalysis[[#This Row],[Education]]/tblPiNAnalysis[[#This Row],[Population]], 0.05)), "")</f>
        <v>0.05</v>
      </c>
      <c r="Y139" s="318">
        <f>IFERROR(IF(tblPiNAnalysis[[#This Row],[Nutrition]]="", "", MROUND(tblPiNAnalysis[[#This Row],[Nutrition]]/tblPiNAnalysis[[#This Row],[Population]], 0.05)), "")</f>
        <v>0.1</v>
      </c>
      <c r="Z139" s="318">
        <f>IFERROR(IF(tblPiNAnalysis[[#This Row],[Food Security]]="", "", MROUND(tblPiNAnalysis[[#This Row],[Food Security]]/tblPiNAnalysis[[#This Row],[Population]], 0.05)), "")</f>
        <v>0.60000000000000009</v>
      </c>
      <c r="AA139" s="318">
        <f>IFERROR(IF(tblPiNAnalysis[[#This Row],[Health]]="", "", MROUND(tblPiNAnalysis[[#This Row],[Health]]/tblPiNAnalysis[[#This Row],[Population]], 0.05)), "")</f>
        <v>0.15000000000000002</v>
      </c>
      <c r="AB139" s="319">
        <f>IFERROR(IF(tblPiNAnalysis[[#This Row],[Protection]]="", "", MROUND(tblPiNAnalysis[[#This Row],[Protection]]/tblPiNAnalysis[[#This Row],[Population]], 0.05)), "")</f>
        <v>0.1</v>
      </c>
      <c r="AC139" s="319">
        <f>IFERROR(IF(tblPiNAnalysis[[#This Row],[Shelter]]="", "", MROUND(tblPiNAnalysis[[#This Row],[Shelter]]/tblPiNAnalysis[[#This Row],[Population]], 0.05)), "")</f>
        <v>0.25</v>
      </c>
      <c r="AD139" s="320">
        <f>IFERROR(IF(tblPiNAnalysis[[#This Row],[WASH]]="", "", MROUND(tblPiNAnalysis[[#This Row],[WASH]]/tblPiNAnalysis[[#This Row],[Population]], 0.05)), "")</f>
        <v>0.25</v>
      </c>
      <c r="AE139" s="318">
        <f>IFERROR(MROUND(tblPiNAnalysis[[#This Row],[CP]]/tblPiNAnalysis[[#This Row],[Population]], 0.05), "")</f>
        <v>0</v>
      </c>
      <c r="AF139" s="318">
        <f>IFERROR(MROUND(tblPiNAnalysis[[#This Row],[GBV]]/tblPiNAnalysis[[#This Row],[Population]], 0.05), "")</f>
        <v>0</v>
      </c>
      <c r="AG139" s="318">
        <f>IFERROR(MROUND(tblPiNAnalysis[[#This Row],[Migrants]]/tblPiNAnalysis[[#This Row],[Population]], 0.05), "")</f>
        <v>0</v>
      </c>
      <c r="AH139" s="318">
        <f>IFERROR(MROUND(tblPiNAnalysis[[#This Row],[_]]/tblPiNAnalysis[[#This Row],[Population]], 0.05), "")</f>
        <v>0</v>
      </c>
      <c r="AI139" s="321">
        <f>IFERROR(LARGE(tblPiNAnalysis[[#This Row],[CCCM]:[WASH]], 1), "")</f>
        <v>26940</v>
      </c>
      <c r="AJ139" s="322" t="str" cm="1">
        <f t="array" ref="AJ139">IF(tblPiNAnalysis[[#This Row],[Highest PiN]]="", "", _xlfn.TEXTJOIN(CHAR(10), TRUE, IF(tblPiNAnalysis[[#This Row],[Highest PiN]]=tblPiNAnalysis[[#This Row],[CCCM]:[WASH]], tblPiNAnalysis[[#Headers],[CCCM]:[WASH]], "")))</f>
        <v>Food Security</v>
      </c>
      <c r="AK139" s="323">
        <f>IF(tblPiNAnalysis[[#This Row],[Highest PiN]]="", "", tblPiNAnalysis[[#This Row],[Highest PiN]]/tblPiNAnalysis[[#This Row],[Population]])</f>
        <v>0.58705600348659837</v>
      </c>
      <c r="AL139" s="265" t="str">
        <f>IF(SUM(tblPiNAnalysis[[#This Row],[CCCM]:[WASH]])=0, "",IF(COUNTIF(tblPiNAnalysis[[#This Row],[CCCM]:[WASH]],"=0")+COUNTIF(tblPiNAnalysis[[#This Row],[CCCM]:[WASH]],"")&gt;=zero_pin_thresh, "Flagged", ""))</f>
        <v/>
      </c>
      <c r="AM139" s="264" t="str">
        <f>IFERROR(IF(tblPiNAnalysis[[#This Row],[Highest PiN]]="", "", IF(tblPiNAnalysis[[#This Row],[Highest sector(s'') PiN %]]&gt;=flag_pin_perc, "Flagged", "")), "")</f>
        <v/>
      </c>
      <c r="AN139" s="266" t="str" cm="1">
        <f t="array" ref="AN139">IF(tblPiNAnalysis[[#This Row],[Highest PiN]]=0, "",  IF(OR(COUNTIF(tblPiNAnalysis[[#This Row],[Highest sector(s)]],tblSubSectorPopulation[Sector])), "Flagged", ""))</f>
        <v/>
      </c>
      <c r="AO139" s="45" cm="1">
        <f t="array" ref="AO139">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11584</v>
      </c>
      <c r="AP139" s="326" t="str" cm="1">
        <f t="array" ref="AP139">IF(tblPiNAnalysis[[#This Row],[2nd Highest PiN]]="", "", _xlfn.TEXTJOIN(CHAR(10), TRUE, IF(tblPiNAnalysis[[#This Row],[2nd Highest PiN]]=tblPiNAnalysis[[#This Row],[CCCM]:[WASH]], tblPiNAnalysis[[#Headers],[CCCM]:[WASH]], "")))</f>
        <v>Shelter</v>
      </c>
      <c r="AQ139" s="35">
        <f>IFERROR(tblPiNAnalysis[[#This Row],[2nd Highest PiN]]/tblPiNAnalysis[[#This Row],[Population]], "")</f>
        <v>0.25242972325125301</v>
      </c>
      <c r="AR139" s="45">
        <f>IFERROR(tblPiNAnalysis[[#This Row],[Highest PiN]]-tblPiNAnalysis[[#This Row],[2nd Highest PiN]], "")</f>
        <v>15356</v>
      </c>
      <c r="AS139" s="38">
        <f>IFERROR(((tblPiNAnalysis[[#This Row],[Highest PiN]]-tblPiNAnalysis[[#This Row],[2nd Highest PiN]])/tblPiNAnalysis[[#This Row],[2nd Highest PiN]]),"")</f>
        <v>1.3256215469613259</v>
      </c>
      <c r="AT139" s="269" t="str" cm="1">
        <f t="array" ref="AT139">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39" s="327" cm="1">
        <f t="array" ref="AU139">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11472.5</v>
      </c>
      <c r="AV139" s="186" t="str" cm="1">
        <f t="array" ref="AV139">IF(tblPiNAnalysis[[#This Row],[3rd Highest PiN]]="", "", _xlfn.TEXTJOIN(CHAR(10), TRUE, IF(tblPiNAnalysis[[#This Row],[3rd Highest PiN]]=tblPiNAnalysis[[#This Row],[CCCM]:[WASH]], tblPiNAnalysis[[#Headers],[CCCM]:[WASH]], "")))</f>
        <v>WASH</v>
      </c>
      <c r="AW139" s="186">
        <f>IFERROR(tblPiNAnalysis[[#This Row],[3rd Highest PiN]]/tblPiNAnalysis[[#This Row],[Population]], "")</f>
        <v>0.25</v>
      </c>
      <c r="AX139" s="44">
        <f>IFERROR(tblPiNAnalysis[[#This Row],[Highest PiN]]-tblPiNAnalysis[[#This Row],[3rd Highest PiN]],"")</f>
        <v>15467.5</v>
      </c>
      <c r="AY139" s="38">
        <f>IFERROR(tblPiNAnalysis[[#This Row],[Difference of PiN between Highest and 3rd Highest]]/tblPiNAnalysis[[#This Row],[3rd Highest PiN]], "")</f>
        <v>1.3482240139463935</v>
      </c>
      <c r="AZ139" s="325" t="str" cm="1">
        <f t="array" ref="AZ139">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39" s="292" cm="1">
        <f t="array" ref="BA139">IFERROR(IF(tblPiNAnalysis[[#This Row],[ID]]="", "", INDEX(tblPiNHistorical[[CCCM]:[WASH]], MATCH(tblPiNAnalysis[[#This Row],[ID]],tblPiNHistorical[ID], 0),MATCH(_xlfn._xlws.FILTER(tblPiNAnalysis[[#Headers],[CCCM]:[WASH]], tblPiNAnalysis[[#This Row],[Highest PiN]]=tblPiNAnalysis[[#This Row],[CCCM]:[WASH]]), tblPiNHistorical[[#Headers],[CCCM]:[WASH]], 0))), "")</f>
        <v>0</v>
      </c>
      <c r="BB139" s="328" t="str" cm="1">
        <f t="array" ref="BB139">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39" s="272" cm="1">
        <f t="array" ref="BC139">IFERROR(IF(tblPiNAnalysis[[#This Row],[ID]]="", "", INDEX(tblPiNHistorical[[CCCM]:[WASH]], MATCH(tblPiNAnalysis[[#This Row],[ID]],tblPiNHistorical[ID], 0),MATCH(_xlfn._xlws.FILTER(tblPiNAnalysis[[#Headers],[CCCM]:[WASH]], tblPiNAnalysis[[#This Row],[2nd Highest PiN]]=tblPiNAnalysis[[#This Row],[CCCM]:[WASH]]), tblPiNHistorical[[#Headers],[CCCM]:[WASH]], 0))), "")</f>
        <v>-0.5</v>
      </c>
      <c r="BD139" s="329" t="str" cm="1">
        <f t="array" ref="BD139">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39" s="371">
        <f>INDEX(tblSeverityAnalysis[Final Severity], MATCH(tblPiNAnalysis[[#This Row],[ID]],tblSeverityAnalysis[ID], 0))</f>
        <v>3</v>
      </c>
      <c r="BF139" s="60">
        <f>IF(tblPiNAnalysis[[#This Row],[Severity]]&gt;2,tblPiNAnalysis[[#This Row],[Highest PiN]],)</f>
        <v>26940</v>
      </c>
      <c r="BG139" s="187"/>
      <c r="BH139" s="188"/>
      <c r="BI139" s="189">
        <f>COUNTIFS(tblPiNAnalysis[[#This Row],[Number of missing / zero PiNs greater than threshold - Data quality]:[Manual Flag]],"Flagged")</f>
        <v>2</v>
      </c>
      <c r="BJ139" s="346" t="str">
        <f>IF(tblPiNAnalysis[[#This Row],['# Flags]]&gt;0, "Flagged", "")</f>
        <v>Flagged</v>
      </c>
      <c r="BK139" s="339">
        <f>tblPiNAnalysis[[#This Row],[Preliminary PiN]]</f>
        <v>26940</v>
      </c>
      <c r="BL139" s="326"/>
      <c r="BM139" s="383">
        <f>IF(OR(tblPiNAnalysis[[#This Row],[Severity]]=4,tblPiNAnalysis[[#This Row],[Severity]]=5),tblPiNAnalysis[[#This Row],[Final PiN]],0)</f>
        <v>0</v>
      </c>
      <c r="BN139" s="378">
        <f>IF(OR(tblPiNAnalysis[[#This Row],[Severity]]=4,tblPiNAnalysis[[#This Row],[Severity]]=5),100%, IF(tblPiNAnalysis[[#This Row],[Severity]]=3,50%,0%))*tblPiNAnalysis[[#This Row],[Final PiN]]</f>
        <v>13470</v>
      </c>
      <c r="BO139" s="383">
        <f>IF(OR(tblPiNAnalysis[[#This Row],[Severity]]=4,tblPiNAnalysis[[#This Row],[Severity]]=5),100%, IF(AND(tblPiNAnalysis[[#This Row],[Severity]]=3,VLOOKUP(tblPiNAnalysis[[#This Row],[ID]],tblSeverityAnalysis[[ID]:[Highest Severity]],35,FALSE)&gt;3),50%,0%))*tblPiNAnalysis[[#This Row],[Final PiN]]</f>
        <v>0</v>
      </c>
    </row>
    <row r="140" spans="1:67" hidden="1">
      <c r="A140"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Global_PopulationHT1024</v>
      </c>
      <c r="B140" s="304" t="s">
        <v>431</v>
      </c>
      <c r="C140" s="213" t="s">
        <v>432</v>
      </c>
      <c r="D140" s="213" t="s">
        <v>447</v>
      </c>
      <c r="E140" s="103" t="s">
        <v>448</v>
      </c>
      <c r="F140" s="99"/>
      <c r="G140" s="34"/>
      <c r="H140" s="357"/>
      <c r="I140" s="354">
        <v>23479</v>
      </c>
      <c r="J140" s="221" t="s">
        <v>156</v>
      </c>
      <c r="K140" s="316">
        <v>5619</v>
      </c>
      <c r="L140" s="308">
        <v>1204</v>
      </c>
      <c r="M140" s="308">
        <v>2337</v>
      </c>
      <c r="N140" s="308">
        <v>13933</v>
      </c>
      <c r="O140" s="308">
        <v>5184.8062</v>
      </c>
      <c r="P140" s="308">
        <v>1873</v>
      </c>
      <c r="Q140" s="309">
        <v>5870</v>
      </c>
      <c r="R140" s="308">
        <v>3746</v>
      </c>
      <c r="S140" s="308"/>
      <c r="T140" s="308"/>
      <c r="U140" s="308"/>
      <c r="V140" s="308"/>
      <c r="W140" s="317">
        <f>IFERROR(IF(tblPiNAnalysis[[#This Row],[CCCM]]="", "", MROUND(tblPiNAnalysis[[#This Row],[CCCM]]/tblPiNAnalysis[[#This Row],[Population]], 0.05)), "")</f>
        <v>0.25</v>
      </c>
      <c r="X140" s="318">
        <f>IFERROR(IF(tblPiNAnalysis[[#This Row],[Education]]="", "", MROUND(tblPiNAnalysis[[#This Row],[Education]]/tblPiNAnalysis[[#This Row],[Population]], 0.05)), "")</f>
        <v>0.05</v>
      </c>
      <c r="Y140" s="318">
        <f>IFERROR(IF(tblPiNAnalysis[[#This Row],[Nutrition]]="", "", MROUND(tblPiNAnalysis[[#This Row],[Nutrition]]/tblPiNAnalysis[[#This Row],[Population]], 0.05)), "")</f>
        <v>0.1</v>
      </c>
      <c r="Z140" s="318">
        <f>IFERROR(IF(tblPiNAnalysis[[#This Row],[Food Security]]="", "", MROUND(tblPiNAnalysis[[#This Row],[Food Security]]/tblPiNAnalysis[[#This Row],[Population]], 0.05)), "")</f>
        <v>0.60000000000000009</v>
      </c>
      <c r="AA140" s="318">
        <f>IFERROR(IF(tblPiNAnalysis[[#This Row],[Health]]="", "", MROUND(tblPiNAnalysis[[#This Row],[Health]]/tblPiNAnalysis[[#This Row],[Population]], 0.05)), "")</f>
        <v>0.2</v>
      </c>
      <c r="AB140" s="319">
        <f>IFERROR(IF(tblPiNAnalysis[[#This Row],[Protection]]="", "", MROUND(tblPiNAnalysis[[#This Row],[Protection]]/tblPiNAnalysis[[#This Row],[Population]], 0.05)), "")</f>
        <v>0.1</v>
      </c>
      <c r="AC140" s="319">
        <f>IFERROR(IF(tblPiNAnalysis[[#This Row],[Shelter]]="", "", MROUND(tblPiNAnalysis[[#This Row],[Shelter]]/tblPiNAnalysis[[#This Row],[Population]], 0.05)), "")</f>
        <v>0.25</v>
      </c>
      <c r="AD140" s="320">
        <f>IFERROR(IF(tblPiNAnalysis[[#This Row],[WASH]]="", "", MROUND(tblPiNAnalysis[[#This Row],[WASH]]/tblPiNAnalysis[[#This Row],[Population]], 0.05)), "")</f>
        <v>0.15000000000000002</v>
      </c>
      <c r="AE140" s="318">
        <f>IFERROR(MROUND(tblPiNAnalysis[[#This Row],[CP]]/tblPiNAnalysis[[#This Row],[Population]], 0.05), "")</f>
        <v>0</v>
      </c>
      <c r="AF140" s="318">
        <f>IFERROR(MROUND(tblPiNAnalysis[[#This Row],[GBV]]/tblPiNAnalysis[[#This Row],[Population]], 0.05), "")</f>
        <v>0</v>
      </c>
      <c r="AG140" s="318">
        <f>IFERROR(MROUND(tblPiNAnalysis[[#This Row],[Migrants]]/tblPiNAnalysis[[#This Row],[Population]], 0.05), "")</f>
        <v>0</v>
      </c>
      <c r="AH140" s="318">
        <f>IFERROR(MROUND(tblPiNAnalysis[[#This Row],[_]]/tblPiNAnalysis[[#This Row],[Population]], 0.05), "")</f>
        <v>0</v>
      </c>
      <c r="AI140" s="321">
        <f>IFERROR(LARGE(tblPiNAnalysis[[#This Row],[CCCM]:[WASH]], 1), "")</f>
        <v>13933</v>
      </c>
      <c r="AJ140" s="322" t="str" cm="1">
        <f t="array" ref="AJ140">IF(tblPiNAnalysis[[#This Row],[Highest PiN]]="", "", _xlfn.TEXTJOIN(CHAR(10), TRUE, IF(tblPiNAnalysis[[#This Row],[Highest PiN]]=tblPiNAnalysis[[#This Row],[CCCM]:[WASH]], tblPiNAnalysis[[#Headers],[CCCM]:[WASH]], "")))</f>
        <v>Food Security</v>
      </c>
      <c r="AK140" s="323">
        <f>IF(tblPiNAnalysis[[#This Row],[Highest PiN]]="", "", tblPiNAnalysis[[#This Row],[Highest PiN]]/tblPiNAnalysis[[#This Row],[Population]])</f>
        <v>0.59342391072873635</v>
      </c>
      <c r="AL140" s="265" t="str">
        <f>IF(SUM(tblPiNAnalysis[[#This Row],[CCCM]:[WASH]])=0, "",IF(COUNTIF(tblPiNAnalysis[[#This Row],[CCCM]:[WASH]],"=0")+COUNTIF(tblPiNAnalysis[[#This Row],[CCCM]:[WASH]],"")&gt;=zero_pin_thresh, "Flagged", ""))</f>
        <v/>
      </c>
      <c r="AM140" s="264" t="str">
        <f>IFERROR(IF(tblPiNAnalysis[[#This Row],[Highest PiN]]="", "", IF(tblPiNAnalysis[[#This Row],[Highest sector(s'') PiN %]]&gt;=flag_pin_perc, "Flagged", "")), "")</f>
        <v/>
      </c>
      <c r="AN140" s="266" t="str" cm="1">
        <f t="array" ref="AN140">IF(tblPiNAnalysis[[#This Row],[Highest PiN]]=0, "",  IF(OR(COUNTIF(tblPiNAnalysis[[#This Row],[Highest sector(s)]],tblSubSectorPopulation[Sector])), "Flagged", ""))</f>
        <v/>
      </c>
      <c r="AO140" s="45" cm="1">
        <f t="array" ref="AO140">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5870</v>
      </c>
      <c r="AP140" s="326" t="str" cm="1">
        <f t="array" ref="AP140">IF(tblPiNAnalysis[[#This Row],[2nd Highest PiN]]="", "", _xlfn.TEXTJOIN(CHAR(10), TRUE, IF(tblPiNAnalysis[[#This Row],[2nd Highest PiN]]=tblPiNAnalysis[[#This Row],[CCCM]:[WASH]], tblPiNAnalysis[[#Headers],[CCCM]:[WASH]], "")))</f>
        <v>Shelter</v>
      </c>
      <c r="AQ140" s="35">
        <f>IFERROR(tblPiNAnalysis[[#This Row],[2nd Highest PiN]]/tblPiNAnalysis[[#This Row],[Population]], "")</f>
        <v>0.25001064781293925</v>
      </c>
      <c r="AR140" s="45">
        <f>IFERROR(tblPiNAnalysis[[#This Row],[Highest PiN]]-tblPiNAnalysis[[#This Row],[2nd Highest PiN]], "")</f>
        <v>8063</v>
      </c>
      <c r="AS140" s="38">
        <f>IFERROR(((tblPiNAnalysis[[#This Row],[Highest PiN]]-tblPiNAnalysis[[#This Row],[2nd Highest PiN]])/tblPiNAnalysis[[#This Row],[2nd Highest PiN]]),"")</f>
        <v>1.3735945485519592</v>
      </c>
      <c r="AT140" s="269" t="str" cm="1">
        <f t="array" ref="AT140">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Flagged</v>
      </c>
      <c r="AU140" s="327" cm="1">
        <f t="array" ref="AU140">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5619</v>
      </c>
      <c r="AV140" s="186" t="str" cm="1">
        <f t="array" ref="AV140">IF(tblPiNAnalysis[[#This Row],[3rd Highest PiN]]="", "", _xlfn.TEXTJOIN(CHAR(10), TRUE, IF(tblPiNAnalysis[[#This Row],[3rd Highest PiN]]=tblPiNAnalysis[[#This Row],[CCCM]:[WASH]], tblPiNAnalysis[[#Headers],[CCCM]:[WASH]], "")))</f>
        <v>CCCM</v>
      </c>
      <c r="AW140" s="186">
        <f>IFERROR(tblPiNAnalysis[[#This Row],[3rd Highest PiN]]/tblPiNAnalysis[[#This Row],[Population]], "")</f>
        <v>0.23932024362196005</v>
      </c>
      <c r="AX140" s="44">
        <f>IFERROR(tblPiNAnalysis[[#This Row],[Highest PiN]]-tblPiNAnalysis[[#This Row],[3rd Highest PiN]],"")</f>
        <v>8314</v>
      </c>
      <c r="AY140" s="38">
        <f>IFERROR(tblPiNAnalysis[[#This Row],[Difference of PiN between Highest and 3rd Highest]]/tblPiNAnalysis[[#This Row],[3rd Highest PiN]], "")</f>
        <v>1.4796227086670226</v>
      </c>
      <c r="AZ140" s="325" t="str" cm="1">
        <f t="array" ref="AZ140">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Flagged</v>
      </c>
      <c r="BA140" s="292" cm="1">
        <f t="array" ref="BA140">IFERROR(IF(tblPiNAnalysis[[#This Row],[ID]]="", "", INDEX(tblPiNHistorical[[CCCM]:[WASH]], MATCH(tblPiNAnalysis[[#This Row],[ID]],tblPiNHistorical[ID], 0),MATCH(_xlfn._xlws.FILTER(tblPiNAnalysis[[#Headers],[CCCM]:[WASH]], tblPiNAnalysis[[#This Row],[Highest PiN]]=tblPiNAnalysis[[#This Row],[CCCM]:[WASH]]), tblPiNHistorical[[#Headers],[CCCM]:[WASH]], 0))), "")</f>
        <v>0</v>
      </c>
      <c r="BB140" s="328" t="str" cm="1">
        <f t="array" ref="BB140">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0" s="272" cm="1">
        <f t="array" ref="BC140">IFERROR(IF(tblPiNAnalysis[[#This Row],[ID]]="", "", INDEX(tblPiNHistorical[[CCCM]:[WASH]], MATCH(tblPiNAnalysis[[#This Row],[ID]],tblPiNHistorical[ID], 0),MATCH(_xlfn._xlws.FILTER(tblPiNAnalysis[[#Headers],[CCCM]:[WASH]], tblPiNAnalysis[[#This Row],[2nd Highest PiN]]=tblPiNAnalysis[[#This Row],[CCCM]:[WASH]]), tblPiNHistorical[[#Headers],[CCCM]:[WASH]], 0))), "")</f>
        <v>-0.6</v>
      </c>
      <c r="BD140" s="329" t="str" cm="1">
        <f t="array" ref="BD140">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0" s="371">
        <f>INDEX(tblSeverityAnalysis[Final Severity], MATCH(tblPiNAnalysis[[#This Row],[ID]],tblSeverityAnalysis[ID], 0))</f>
        <v>3</v>
      </c>
      <c r="BF140" s="60">
        <f>IF(tblPiNAnalysis[[#This Row],[Severity]]&gt;2,tblPiNAnalysis[[#This Row],[Highest PiN]],)</f>
        <v>13933</v>
      </c>
      <c r="BG140" s="187"/>
      <c r="BH140" s="188"/>
      <c r="BI140" s="189">
        <f>COUNTIFS(tblPiNAnalysis[[#This Row],[Number of missing / zero PiNs greater than threshold - Data quality]:[Manual Flag]],"Flagged")</f>
        <v>2</v>
      </c>
      <c r="BJ140" s="346" t="str">
        <f>IF(tblPiNAnalysis[[#This Row],['# Flags]]&gt;0, "Flagged", "")</f>
        <v>Flagged</v>
      </c>
      <c r="BK140" s="339">
        <f>tblPiNAnalysis[[#This Row],[Preliminary PiN]]</f>
        <v>13933</v>
      </c>
      <c r="BL140" s="326"/>
      <c r="BM140" s="383">
        <f>IF(OR(tblPiNAnalysis[[#This Row],[Severity]]=4,tblPiNAnalysis[[#This Row],[Severity]]=5),tblPiNAnalysis[[#This Row],[Final PiN]],0)</f>
        <v>0</v>
      </c>
      <c r="BN140" s="378">
        <f>IF(OR(tblPiNAnalysis[[#This Row],[Severity]]=4,tblPiNAnalysis[[#This Row],[Severity]]=5),100%, IF(tblPiNAnalysis[[#This Row],[Severity]]=3,50%,0%))*tblPiNAnalysis[[#This Row],[Final PiN]]</f>
        <v>6966.5</v>
      </c>
      <c r="BO140" s="383">
        <f>IF(OR(tblPiNAnalysis[[#This Row],[Severity]]=4,tblPiNAnalysis[[#This Row],[Severity]]=5),100%, IF(AND(tblPiNAnalysis[[#This Row],[Severity]]=3,VLOOKUP(tblPiNAnalysis[[#This Row],[ID]],tblSeverityAnalysis[[ID]:[Highest Severity]],35,FALSE)&gt;3),50%,0%))*tblPiNAnalysis[[#This Row],[Final PiN]]</f>
        <v>0</v>
      </c>
    </row>
    <row r="141" spans="1:67" hidden="1">
      <c r="A141"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Global_PopulationHT1025</v>
      </c>
      <c r="B141" s="304" t="s">
        <v>431</v>
      </c>
      <c r="C141" s="213" t="s">
        <v>432</v>
      </c>
      <c r="D141" s="213" t="s">
        <v>449</v>
      </c>
      <c r="E141" s="103" t="s">
        <v>450</v>
      </c>
      <c r="F141" s="99"/>
      <c r="G141" s="34"/>
      <c r="H141" s="357"/>
      <c r="I141" s="354">
        <v>32168</v>
      </c>
      <c r="J141" s="221" t="s">
        <v>156</v>
      </c>
      <c r="K141" s="316">
        <v>11580</v>
      </c>
      <c r="L141" s="308">
        <v>1663</v>
      </c>
      <c r="M141" s="308">
        <v>3195</v>
      </c>
      <c r="N141" s="308">
        <v>17105</v>
      </c>
      <c r="O141" s="308">
        <v>15930.226511968272</v>
      </c>
      <c r="P141" s="308">
        <v>3886.64</v>
      </c>
      <c r="Q141" s="309">
        <v>20301</v>
      </c>
      <c r="R141" s="308">
        <v>7720</v>
      </c>
      <c r="S141" s="308"/>
      <c r="T141" s="308"/>
      <c r="U141" s="308"/>
      <c r="V141" s="308"/>
      <c r="W141" s="317">
        <f>IFERROR(IF(tblPiNAnalysis[[#This Row],[CCCM]]="", "", MROUND(tblPiNAnalysis[[#This Row],[CCCM]]/tblPiNAnalysis[[#This Row],[Population]], 0.05)), "")</f>
        <v>0.35000000000000003</v>
      </c>
      <c r="X141" s="318">
        <f>IFERROR(IF(tblPiNAnalysis[[#This Row],[Education]]="", "", MROUND(tblPiNAnalysis[[#This Row],[Education]]/tblPiNAnalysis[[#This Row],[Population]], 0.05)), "")</f>
        <v>0.05</v>
      </c>
      <c r="Y141" s="318">
        <f>IFERROR(IF(tblPiNAnalysis[[#This Row],[Nutrition]]="", "", MROUND(tblPiNAnalysis[[#This Row],[Nutrition]]/tblPiNAnalysis[[#This Row],[Population]], 0.05)), "")</f>
        <v>0.1</v>
      </c>
      <c r="Z141" s="318">
        <f>IFERROR(IF(tblPiNAnalysis[[#This Row],[Food Security]]="", "", MROUND(tblPiNAnalysis[[#This Row],[Food Security]]/tblPiNAnalysis[[#This Row],[Population]], 0.05)), "")</f>
        <v>0.55000000000000004</v>
      </c>
      <c r="AA141" s="318">
        <f>IFERROR(IF(tblPiNAnalysis[[#This Row],[Health]]="", "", MROUND(tblPiNAnalysis[[#This Row],[Health]]/tblPiNAnalysis[[#This Row],[Population]], 0.05)), "")</f>
        <v>0.5</v>
      </c>
      <c r="AB141" s="319">
        <f>IFERROR(IF(tblPiNAnalysis[[#This Row],[Protection]]="", "", MROUND(tblPiNAnalysis[[#This Row],[Protection]]/tblPiNAnalysis[[#This Row],[Population]], 0.05)), "")</f>
        <v>0.1</v>
      </c>
      <c r="AC141" s="319">
        <f>IFERROR(IF(tblPiNAnalysis[[#This Row],[Shelter]]="", "", MROUND(tblPiNAnalysis[[#This Row],[Shelter]]/tblPiNAnalysis[[#This Row],[Population]], 0.05)), "")</f>
        <v>0.65</v>
      </c>
      <c r="AD141" s="320">
        <f>IFERROR(IF(tblPiNAnalysis[[#This Row],[WASH]]="", "", MROUND(tblPiNAnalysis[[#This Row],[WASH]]/tblPiNAnalysis[[#This Row],[Population]], 0.05)), "")</f>
        <v>0.25</v>
      </c>
      <c r="AE141" s="318">
        <f>IFERROR(MROUND(tblPiNAnalysis[[#This Row],[CP]]/tblPiNAnalysis[[#This Row],[Population]], 0.05), "")</f>
        <v>0</v>
      </c>
      <c r="AF141" s="318">
        <f>IFERROR(MROUND(tblPiNAnalysis[[#This Row],[GBV]]/tblPiNAnalysis[[#This Row],[Population]], 0.05), "")</f>
        <v>0</v>
      </c>
      <c r="AG141" s="318">
        <f>IFERROR(MROUND(tblPiNAnalysis[[#This Row],[Migrants]]/tblPiNAnalysis[[#This Row],[Population]], 0.05), "")</f>
        <v>0</v>
      </c>
      <c r="AH141" s="318">
        <f>IFERROR(MROUND(tblPiNAnalysis[[#This Row],[_]]/tblPiNAnalysis[[#This Row],[Population]], 0.05), "")</f>
        <v>0</v>
      </c>
      <c r="AI141" s="321">
        <f>IFERROR(LARGE(tblPiNAnalysis[[#This Row],[CCCM]:[WASH]], 1), "")</f>
        <v>20301</v>
      </c>
      <c r="AJ141" s="322" t="str" cm="1">
        <f t="array" ref="AJ141">IF(tblPiNAnalysis[[#This Row],[Highest PiN]]="", "", _xlfn.TEXTJOIN(CHAR(10), TRUE, IF(tblPiNAnalysis[[#This Row],[Highest PiN]]=tblPiNAnalysis[[#This Row],[CCCM]:[WASH]], tblPiNAnalysis[[#Headers],[CCCM]:[WASH]], "")))</f>
        <v>Shelter</v>
      </c>
      <c r="AK141" s="323">
        <f>IF(tblPiNAnalysis[[#This Row],[Highest PiN]]="", "", tblPiNAnalysis[[#This Row],[Highest PiN]]/tblPiNAnalysis[[#This Row],[Population]])</f>
        <v>0.63109301168863463</v>
      </c>
      <c r="AL141" s="265" t="str">
        <f>IF(SUM(tblPiNAnalysis[[#This Row],[CCCM]:[WASH]])=0, "",IF(COUNTIF(tblPiNAnalysis[[#This Row],[CCCM]:[WASH]],"=0")+COUNTIF(tblPiNAnalysis[[#This Row],[CCCM]:[WASH]],"")&gt;=zero_pin_thresh, "Flagged", ""))</f>
        <v/>
      </c>
      <c r="AM141" s="264" t="str">
        <f>IFERROR(IF(tblPiNAnalysis[[#This Row],[Highest PiN]]="", "", IF(tblPiNAnalysis[[#This Row],[Highest sector(s'') PiN %]]&gt;=flag_pin_perc, "Flagged", "")), "")</f>
        <v/>
      </c>
      <c r="AN141" s="266" t="str" cm="1">
        <f t="array" ref="AN141">IF(tblPiNAnalysis[[#This Row],[Highest PiN]]=0, "",  IF(OR(COUNTIF(tblPiNAnalysis[[#This Row],[Highest sector(s)]],tblSubSectorPopulation[Sector])), "Flagged", ""))</f>
        <v/>
      </c>
      <c r="AO141" s="45" cm="1">
        <f t="array" ref="AO141">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17105</v>
      </c>
      <c r="AP141" s="326" t="str" cm="1">
        <f t="array" ref="AP141">IF(tblPiNAnalysis[[#This Row],[2nd Highest PiN]]="", "", _xlfn.TEXTJOIN(CHAR(10), TRUE, IF(tblPiNAnalysis[[#This Row],[2nd Highest PiN]]=tblPiNAnalysis[[#This Row],[CCCM]:[WASH]], tblPiNAnalysis[[#Headers],[CCCM]:[WASH]], "")))</f>
        <v>Food Security</v>
      </c>
      <c r="AQ141" s="35">
        <f>IFERROR(tblPiNAnalysis[[#This Row],[2nd Highest PiN]]/tblPiNAnalysis[[#This Row],[Population]], "")</f>
        <v>0.53173961701069383</v>
      </c>
      <c r="AR141" s="45">
        <f>IFERROR(tblPiNAnalysis[[#This Row],[Highest PiN]]-tblPiNAnalysis[[#This Row],[2nd Highest PiN]], "")</f>
        <v>3196</v>
      </c>
      <c r="AS141" s="38">
        <f>IFERROR(((tblPiNAnalysis[[#This Row],[Highest PiN]]-tblPiNAnalysis[[#This Row],[2nd Highest PiN]])/tblPiNAnalysis[[#This Row],[2nd Highest PiN]]),"")</f>
        <v>0.18684595147617655</v>
      </c>
      <c r="AT141" s="269" t="str" cm="1">
        <f t="array" ref="AT141">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1" s="327" cm="1">
        <f t="array" ref="AU141">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15930.226511968272</v>
      </c>
      <c r="AV141" s="186" t="str" cm="1">
        <f t="array" ref="AV141">IF(tblPiNAnalysis[[#This Row],[3rd Highest PiN]]="", "", _xlfn.TEXTJOIN(CHAR(10), TRUE, IF(tblPiNAnalysis[[#This Row],[3rd Highest PiN]]=tblPiNAnalysis[[#This Row],[CCCM]:[WASH]], tblPiNAnalysis[[#Headers],[CCCM]:[WASH]], "")))</f>
        <v>Health</v>
      </c>
      <c r="AW141" s="186">
        <f>IFERROR(tblPiNAnalysis[[#This Row],[3rd Highest PiN]]/tblPiNAnalysis[[#This Row],[Population]], "")</f>
        <v>0.49521967520418653</v>
      </c>
      <c r="AX141" s="44">
        <f>IFERROR(tblPiNAnalysis[[#This Row],[Highest PiN]]-tblPiNAnalysis[[#This Row],[3rd Highest PiN]],"")</f>
        <v>4370.7734880317275</v>
      </c>
      <c r="AY141" s="38">
        <f>IFERROR(tblPiNAnalysis[[#This Row],[Difference of PiN between Highest and 3rd Highest]]/tblPiNAnalysis[[#This Row],[3rd Highest PiN]], "")</f>
        <v>0.27436982674088123</v>
      </c>
      <c r="AZ141" s="325" t="str" cm="1">
        <f t="array" ref="AZ141">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1" s="292" cm="1">
        <f t="array" ref="BA141">IFERROR(IF(tblPiNAnalysis[[#This Row],[ID]]="", "", INDEX(tblPiNHistorical[[CCCM]:[WASH]], MATCH(tblPiNAnalysis[[#This Row],[ID]],tblPiNHistorical[ID], 0),MATCH(_xlfn._xlws.FILTER(tblPiNAnalysis[[#Headers],[CCCM]:[WASH]], tblPiNAnalysis[[#This Row],[Highest PiN]]=tblPiNAnalysis[[#This Row],[CCCM]:[WASH]]), tblPiNHistorical[[#Headers],[CCCM]:[WASH]], 0))), "")</f>
        <v>0.4</v>
      </c>
      <c r="BB141" s="328" t="str" cm="1">
        <f t="array" ref="BB141">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1" s="272" cm="1">
        <f t="array" ref="BC141">IFERROR(IF(tblPiNAnalysis[[#This Row],[ID]]="", "", INDEX(tblPiNHistorical[[CCCM]:[WASH]], MATCH(tblPiNAnalysis[[#This Row],[ID]],tblPiNHistorical[ID], 0),MATCH(_xlfn._xlws.FILTER(tblPiNAnalysis[[#Headers],[CCCM]:[WASH]], tblPiNAnalysis[[#This Row],[2nd Highest PiN]]=tblPiNAnalysis[[#This Row],[CCCM]:[WASH]]), tblPiNHistorical[[#Headers],[CCCM]:[WASH]], 0))), "")</f>
        <v>0</v>
      </c>
      <c r="BD141" s="329" t="str" cm="1">
        <f t="array" ref="BD141">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1" s="371">
        <f>INDEX(tblSeverityAnalysis[Final Severity], MATCH(tblPiNAnalysis[[#This Row],[ID]],tblSeverityAnalysis[ID], 0))</f>
        <v>3</v>
      </c>
      <c r="BF141" s="60">
        <f>IF(tblPiNAnalysis[[#This Row],[Severity]]&gt;2,tblPiNAnalysis[[#This Row],[Highest PiN]],)</f>
        <v>20301</v>
      </c>
      <c r="BG141" s="187"/>
      <c r="BH141" s="188"/>
      <c r="BI141" s="189">
        <f>COUNTIFS(tblPiNAnalysis[[#This Row],[Number of missing / zero PiNs greater than threshold - Data quality]:[Manual Flag]],"Flagged")</f>
        <v>0</v>
      </c>
      <c r="BJ141" s="346" t="str">
        <f>IF(tblPiNAnalysis[[#This Row],['# Flags]]&gt;0, "Flagged", "")</f>
        <v/>
      </c>
      <c r="BK141" s="339">
        <f>tblPiNAnalysis[[#This Row],[Preliminary PiN]]</f>
        <v>20301</v>
      </c>
      <c r="BL141" s="326"/>
      <c r="BM141" s="383">
        <f>IF(OR(tblPiNAnalysis[[#This Row],[Severity]]=4,tblPiNAnalysis[[#This Row],[Severity]]=5),tblPiNAnalysis[[#This Row],[Final PiN]],0)</f>
        <v>0</v>
      </c>
      <c r="BN141" s="378">
        <f>IF(OR(tblPiNAnalysis[[#This Row],[Severity]]=4,tblPiNAnalysis[[#This Row],[Severity]]=5),100%, IF(tblPiNAnalysis[[#This Row],[Severity]]=3,50%,0%))*tblPiNAnalysis[[#This Row],[Final PiN]]</f>
        <v>10150.5</v>
      </c>
      <c r="BO141" s="383">
        <f>IF(OR(tblPiNAnalysis[[#This Row],[Severity]]=4,tblPiNAnalysis[[#This Row],[Severity]]=5),100%, IF(AND(tblPiNAnalysis[[#This Row],[Severity]]=3,VLOOKUP(tblPiNAnalysis[[#This Row],[ID]],tblSeverityAnalysis[[ID]:[Highest Severity]],35,FALSE)&gt;3),50%,0%))*tblPiNAnalysis[[#This Row],[Final PiN]]</f>
        <v>0</v>
      </c>
    </row>
    <row r="142" spans="1:67" hidden="1">
      <c r="A142"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Global_PopulationHT1031</v>
      </c>
      <c r="B142" s="304" t="s">
        <v>431</v>
      </c>
      <c r="C142" s="213" t="s">
        <v>432</v>
      </c>
      <c r="D142" s="213" t="s">
        <v>451</v>
      </c>
      <c r="E142" s="103" t="s">
        <v>452</v>
      </c>
      <c r="F142" s="99"/>
      <c r="G142" s="34"/>
      <c r="H142" s="357"/>
      <c r="I142" s="354">
        <v>45622</v>
      </c>
      <c r="J142" s="221" t="s">
        <v>156</v>
      </c>
      <c r="K142" s="316">
        <v>9244.5</v>
      </c>
      <c r="L142" s="308">
        <v>2362</v>
      </c>
      <c r="M142" s="308">
        <v>3957</v>
      </c>
      <c r="N142" s="308">
        <v>25895</v>
      </c>
      <c r="O142" s="308">
        <v>5390.4708983936398</v>
      </c>
      <c r="P142" s="308">
        <v>3123.26</v>
      </c>
      <c r="Q142" s="309">
        <v>22985</v>
      </c>
      <c r="R142" s="308">
        <v>17108.25</v>
      </c>
      <c r="S142" s="308"/>
      <c r="T142" s="308"/>
      <c r="U142" s="308"/>
      <c r="V142" s="308"/>
      <c r="W142" s="317">
        <f>IFERROR(IF(tblPiNAnalysis[[#This Row],[CCCM]]="", "", MROUND(tblPiNAnalysis[[#This Row],[CCCM]]/tblPiNAnalysis[[#This Row],[Population]], 0.05)), "")</f>
        <v>0.2</v>
      </c>
      <c r="X142" s="318">
        <f>IFERROR(IF(tblPiNAnalysis[[#This Row],[Education]]="", "", MROUND(tblPiNAnalysis[[#This Row],[Education]]/tblPiNAnalysis[[#This Row],[Population]], 0.05)), "")</f>
        <v>0.05</v>
      </c>
      <c r="Y142" s="318">
        <f>IFERROR(IF(tblPiNAnalysis[[#This Row],[Nutrition]]="", "", MROUND(tblPiNAnalysis[[#This Row],[Nutrition]]/tblPiNAnalysis[[#This Row],[Population]], 0.05)), "")</f>
        <v>0.1</v>
      </c>
      <c r="Z142" s="318">
        <f>IFERROR(IF(tblPiNAnalysis[[#This Row],[Food Security]]="", "", MROUND(tblPiNAnalysis[[#This Row],[Food Security]]/tblPiNAnalysis[[#This Row],[Population]], 0.05)), "")</f>
        <v>0.55000000000000004</v>
      </c>
      <c r="AA142" s="318">
        <f>IFERROR(IF(tblPiNAnalysis[[#This Row],[Health]]="", "", MROUND(tblPiNAnalysis[[#This Row],[Health]]/tblPiNAnalysis[[#This Row],[Population]], 0.05)), "")</f>
        <v>0.1</v>
      </c>
      <c r="AB142" s="319">
        <f>IFERROR(IF(tblPiNAnalysis[[#This Row],[Protection]]="", "", MROUND(tblPiNAnalysis[[#This Row],[Protection]]/tblPiNAnalysis[[#This Row],[Population]], 0.05)), "")</f>
        <v>0.05</v>
      </c>
      <c r="AC142" s="319">
        <f>IFERROR(IF(tblPiNAnalysis[[#This Row],[Shelter]]="", "", MROUND(tblPiNAnalysis[[#This Row],[Shelter]]/tblPiNAnalysis[[#This Row],[Population]], 0.05)), "")</f>
        <v>0.5</v>
      </c>
      <c r="AD142" s="320">
        <f>IFERROR(IF(tblPiNAnalysis[[#This Row],[WASH]]="", "", MROUND(tblPiNAnalysis[[#This Row],[WASH]]/tblPiNAnalysis[[#This Row],[Population]], 0.05)), "")</f>
        <v>0.4</v>
      </c>
      <c r="AE142" s="318">
        <f>IFERROR(MROUND(tblPiNAnalysis[[#This Row],[CP]]/tblPiNAnalysis[[#This Row],[Population]], 0.05), "")</f>
        <v>0</v>
      </c>
      <c r="AF142" s="318">
        <f>IFERROR(MROUND(tblPiNAnalysis[[#This Row],[GBV]]/tblPiNAnalysis[[#This Row],[Population]], 0.05), "")</f>
        <v>0</v>
      </c>
      <c r="AG142" s="318">
        <f>IFERROR(MROUND(tblPiNAnalysis[[#This Row],[Migrants]]/tblPiNAnalysis[[#This Row],[Population]], 0.05), "")</f>
        <v>0</v>
      </c>
      <c r="AH142" s="318">
        <f>IFERROR(MROUND(tblPiNAnalysis[[#This Row],[_]]/tblPiNAnalysis[[#This Row],[Population]], 0.05), "")</f>
        <v>0</v>
      </c>
      <c r="AI142" s="321">
        <f>IFERROR(LARGE(tblPiNAnalysis[[#This Row],[CCCM]:[WASH]], 1), "")</f>
        <v>25895</v>
      </c>
      <c r="AJ142" s="322" t="str" cm="1">
        <f t="array" ref="AJ142">IF(tblPiNAnalysis[[#This Row],[Highest PiN]]="", "", _xlfn.TEXTJOIN(CHAR(10), TRUE, IF(tblPiNAnalysis[[#This Row],[Highest PiN]]=tblPiNAnalysis[[#This Row],[CCCM]:[WASH]], tblPiNAnalysis[[#Headers],[CCCM]:[WASH]], "")))</f>
        <v>Food Security</v>
      </c>
      <c r="AK142" s="323">
        <f>IF(tblPiNAnalysis[[#This Row],[Highest PiN]]="", "", tblPiNAnalysis[[#This Row],[Highest PiN]]/tblPiNAnalysis[[#This Row],[Population]])</f>
        <v>0.56759896541142429</v>
      </c>
      <c r="AL142" s="265" t="str">
        <f>IF(SUM(tblPiNAnalysis[[#This Row],[CCCM]:[WASH]])=0, "",IF(COUNTIF(tblPiNAnalysis[[#This Row],[CCCM]:[WASH]],"=0")+COUNTIF(tblPiNAnalysis[[#This Row],[CCCM]:[WASH]],"")&gt;=zero_pin_thresh, "Flagged", ""))</f>
        <v/>
      </c>
      <c r="AM142" s="264" t="str">
        <f>IFERROR(IF(tblPiNAnalysis[[#This Row],[Highest PiN]]="", "", IF(tblPiNAnalysis[[#This Row],[Highest sector(s'') PiN %]]&gt;=flag_pin_perc, "Flagged", "")), "")</f>
        <v/>
      </c>
      <c r="AN142" s="266" t="str" cm="1">
        <f t="array" ref="AN142">IF(tblPiNAnalysis[[#This Row],[Highest PiN]]=0, "",  IF(OR(COUNTIF(tblPiNAnalysis[[#This Row],[Highest sector(s)]],tblSubSectorPopulation[Sector])), "Flagged", ""))</f>
        <v/>
      </c>
      <c r="AO142" s="45" cm="1">
        <f t="array" ref="AO142">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22985</v>
      </c>
      <c r="AP142" s="326" t="str" cm="1">
        <f t="array" ref="AP142">IF(tblPiNAnalysis[[#This Row],[2nd Highest PiN]]="", "", _xlfn.TEXTJOIN(CHAR(10), TRUE, IF(tblPiNAnalysis[[#This Row],[2nd Highest PiN]]=tblPiNAnalysis[[#This Row],[CCCM]:[WASH]], tblPiNAnalysis[[#Headers],[CCCM]:[WASH]], "")))</f>
        <v>Shelter</v>
      </c>
      <c r="AQ142" s="35">
        <f>IFERROR(tblPiNAnalysis[[#This Row],[2nd Highest PiN]]/tblPiNAnalysis[[#This Row],[Population]], "")</f>
        <v>0.50381394941037216</v>
      </c>
      <c r="AR142" s="45">
        <f>IFERROR(tblPiNAnalysis[[#This Row],[Highest PiN]]-tblPiNAnalysis[[#This Row],[2nd Highest PiN]], "")</f>
        <v>2910</v>
      </c>
      <c r="AS142" s="38">
        <f>IFERROR(((tblPiNAnalysis[[#This Row],[Highest PiN]]-tblPiNAnalysis[[#This Row],[2nd Highest PiN]])/tblPiNAnalysis[[#This Row],[2nd Highest PiN]]),"")</f>
        <v>0.12660430715684143</v>
      </c>
      <c r="AT142" s="269" t="str" cm="1">
        <f t="array" ref="AT142">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2" s="327" cm="1">
        <f t="array" ref="AU142">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17108.25</v>
      </c>
      <c r="AV142" s="186" t="str" cm="1">
        <f t="array" ref="AV142">IF(tblPiNAnalysis[[#This Row],[3rd Highest PiN]]="", "", _xlfn.TEXTJOIN(CHAR(10), TRUE, IF(tblPiNAnalysis[[#This Row],[3rd Highest PiN]]=tblPiNAnalysis[[#This Row],[CCCM]:[WASH]], tblPiNAnalysis[[#Headers],[CCCM]:[WASH]], "")))</f>
        <v>WASH</v>
      </c>
      <c r="AW142" s="186">
        <f>IFERROR(tblPiNAnalysis[[#This Row],[3rd Highest PiN]]/tblPiNAnalysis[[#This Row],[Population]], "")</f>
        <v>0.375</v>
      </c>
      <c r="AX142" s="44">
        <f>IFERROR(tblPiNAnalysis[[#This Row],[Highest PiN]]-tblPiNAnalysis[[#This Row],[3rd Highest PiN]],"")</f>
        <v>8786.75</v>
      </c>
      <c r="AY142" s="38">
        <f>IFERROR(tblPiNAnalysis[[#This Row],[Difference of PiN between Highest and 3rd Highest]]/tblPiNAnalysis[[#This Row],[3rd Highest PiN]], "")</f>
        <v>0.51359724109713145</v>
      </c>
      <c r="AZ142" s="325" t="str" cm="1">
        <f t="array" ref="AZ142">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2" s="292" cm="1">
        <f t="array" ref="BA142">IFERROR(IF(tblPiNAnalysis[[#This Row],[ID]]="", "", INDEX(tblPiNHistorical[[CCCM]:[WASH]], MATCH(tblPiNAnalysis[[#This Row],[ID]],tblPiNHistorical[ID], 0),MATCH(_xlfn._xlws.FILTER(tblPiNAnalysis[[#Headers],[CCCM]:[WASH]], tblPiNAnalysis[[#This Row],[Highest PiN]]=tblPiNAnalysis[[#This Row],[CCCM]:[WASH]]), tblPiNHistorical[[#Headers],[CCCM]:[WASH]], 0))), "")</f>
        <v>0</v>
      </c>
      <c r="BB142" s="328" t="str" cm="1">
        <f t="array" ref="BB142">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2" s="272" cm="1">
        <f t="array" ref="BC142">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142" s="329" t="str" cm="1">
        <f t="array" ref="BD142">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2" s="371">
        <f>INDEX(tblSeverityAnalysis[Final Severity], MATCH(tblPiNAnalysis[[#This Row],[ID]],tblSeverityAnalysis[ID], 0))</f>
        <v>3</v>
      </c>
      <c r="BF142" s="60">
        <f>IF(tblPiNAnalysis[[#This Row],[Severity]]&gt;2,tblPiNAnalysis[[#This Row],[Highest PiN]],)</f>
        <v>25895</v>
      </c>
      <c r="BG142" s="187"/>
      <c r="BH142" s="188"/>
      <c r="BI142" s="189">
        <f>COUNTIFS(tblPiNAnalysis[[#This Row],[Number of missing / zero PiNs greater than threshold - Data quality]:[Manual Flag]],"Flagged")</f>
        <v>0</v>
      </c>
      <c r="BJ142" s="346" t="str">
        <f>IF(tblPiNAnalysis[[#This Row],['# Flags]]&gt;0, "Flagged", "")</f>
        <v/>
      </c>
      <c r="BK142" s="339">
        <f>tblPiNAnalysis[[#This Row],[Preliminary PiN]]</f>
        <v>25895</v>
      </c>
      <c r="BL142" s="326"/>
      <c r="BM142" s="383">
        <f>IF(OR(tblPiNAnalysis[[#This Row],[Severity]]=4,tblPiNAnalysis[[#This Row],[Severity]]=5),tblPiNAnalysis[[#This Row],[Final PiN]],0)</f>
        <v>0</v>
      </c>
      <c r="BN142" s="378">
        <f>IF(OR(tblPiNAnalysis[[#This Row],[Severity]]=4,tblPiNAnalysis[[#This Row],[Severity]]=5),100%, IF(tblPiNAnalysis[[#This Row],[Severity]]=3,50%,0%))*tblPiNAnalysis[[#This Row],[Final PiN]]</f>
        <v>12947.5</v>
      </c>
      <c r="BO142" s="383">
        <f>IF(OR(tblPiNAnalysis[[#This Row],[Severity]]=4,tblPiNAnalysis[[#This Row],[Severity]]=5),100%, IF(AND(tblPiNAnalysis[[#This Row],[Severity]]=3,VLOOKUP(tblPiNAnalysis[[#This Row],[ID]],tblSeverityAnalysis[[ID]:[Highest Severity]],35,FALSE)&gt;3),50%,0%))*tblPiNAnalysis[[#This Row],[Final PiN]]</f>
        <v>12947.5</v>
      </c>
    </row>
    <row r="143" spans="1:67" hidden="1">
      <c r="A143"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Global_PopulationHT1032</v>
      </c>
      <c r="B143" s="304" t="s">
        <v>431</v>
      </c>
      <c r="C143" s="213" t="s">
        <v>432</v>
      </c>
      <c r="D143" s="213" t="s">
        <v>453</v>
      </c>
      <c r="E143" s="103" t="s">
        <v>454</v>
      </c>
      <c r="F143" s="99"/>
      <c r="G143" s="34"/>
      <c r="H143" s="357"/>
      <c r="I143" s="354">
        <v>6460</v>
      </c>
      <c r="J143" s="221" t="s">
        <v>156</v>
      </c>
      <c r="K143" s="316">
        <v>5175</v>
      </c>
      <c r="L143" s="308">
        <v>332</v>
      </c>
      <c r="M143" s="308">
        <v>721</v>
      </c>
      <c r="N143" s="308">
        <v>3651</v>
      </c>
      <c r="O143" s="308">
        <v>5114.4588550724638</v>
      </c>
      <c r="P143" s="308">
        <v>3473.76</v>
      </c>
      <c r="Q143" s="309">
        <v>6504</v>
      </c>
      <c r="R143" s="308">
        <v>6944</v>
      </c>
      <c r="S143" s="308"/>
      <c r="T143" s="308"/>
      <c r="U143" s="308"/>
      <c r="V143" s="308"/>
      <c r="W143" s="317">
        <f>IFERROR(IF(tblPiNAnalysis[[#This Row],[CCCM]]="", "", MROUND(tblPiNAnalysis[[#This Row],[CCCM]]/tblPiNAnalysis[[#This Row],[Population]], 0.05)), "")</f>
        <v>0.8</v>
      </c>
      <c r="X143" s="318">
        <f>IFERROR(IF(tblPiNAnalysis[[#This Row],[Education]]="", "", MROUND(tblPiNAnalysis[[#This Row],[Education]]/tblPiNAnalysis[[#This Row],[Population]], 0.05)), "")</f>
        <v>0.05</v>
      </c>
      <c r="Y143" s="318">
        <f>IFERROR(IF(tblPiNAnalysis[[#This Row],[Nutrition]]="", "", MROUND(tblPiNAnalysis[[#This Row],[Nutrition]]/tblPiNAnalysis[[#This Row],[Population]], 0.05)), "")</f>
        <v>0.1</v>
      </c>
      <c r="Z143" s="318">
        <f>IFERROR(IF(tblPiNAnalysis[[#This Row],[Food Security]]="", "", MROUND(tblPiNAnalysis[[#This Row],[Food Security]]/tblPiNAnalysis[[#This Row],[Population]], 0.05)), "")</f>
        <v>0.55000000000000004</v>
      </c>
      <c r="AA143" s="318">
        <f>IFERROR(IF(tblPiNAnalysis[[#This Row],[Health]]="", "", MROUND(tblPiNAnalysis[[#This Row],[Health]]/tblPiNAnalysis[[#This Row],[Population]], 0.05)), "")</f>
        <v>0.8</v>
      </c>
      <c r="AB143" s="319">
        <f>IFERROR(IF(tblPiNAnalysis[[#This Row],[Protection]]="", "", MROUND(tblPiNAnalysis[[#This Row],[Protection]]/tblPiNAnalysis[[#This Row],[Population]], 0.05)), "")</f>
        <v>0.55000000000000004</v>
      </c>
      <c r="AC143" s="319">
        <f>IFERROR(IF(tblPiNAnalysis[[#This Row],[Shelter]]="", "", MROUND(tblPiNAnalysis[[#This Row],[Shelter]]/tblPiNAnalysis[[#This Row],[Population]], 0.05)), "")</f>
        <v>1</v>
      </c>
      <c r="AD143" s="320">
        <f>IFERROR(IF(tblPiNAnalysis[[#This Row],[WASH]]="", "", MROUND(tblPiNAnalysis[[#This Row],[WASH]]/tblPiNAnalysis[[#This Row],[Population]], 0.05)), "")</f>
        <v>1.05</v>
      </c>
      <c r="AE143" s="318">
        <f>IFERROR(MROUND(tblPiNAnalysis[[#This Row],[CP]]/tblPiNAnalysis[[#This Row],[Population]], 0.05), "")</f>
        <v>0</v>
      </c>
      <c r="AF143" s="318">
        <f>IFERROR(MROUND(tblPiNAnalysis[[#This Row],[GBV]]/tblPiNAnalysis[[#This Row],[Population]], 0.05), "")</f>
        <v>0</v>
      </c>
      <c r="AG143" s="318">
        <f>IFERROR(MROUND(tblPiNAnalysis[[#This Row],[Migrants]]/tblPiNAnalysis[[#This Row],[Population]], 0.05), "")</f>
        <v>0</v>
      </c>
      <c r="AH143" s="318">
        <f>IFERROR(MROUND(tblPiNAnalysis[[#This Row],[_]]/tblPiNAnalysis[[#This Row],[Population]], 0.05), "")</f>
        <v>0</v>
      </c>
      <c r="AI143" s="321">
        <f>IFERROR(LARGE(tblPiNAnalysis[[#This Row],[CCCM]:[WASH]], 1), "")</f>
        <v>6944</v>
      </c>
      <c r="AJ143" s="322" t="str" cm="1">
        <f t="array" ref="AJ143">IF(tblPiNAnalysis[[#This Row],[Highest PiN]]="", "", _xlfn.TEXTJOIN(CHAR(10), TRUE, IF(tblPiNAnalysis[[#This Row],[Highest PiN]]=tblPiNAnalysis[[#This Row],[CCCM]:[WASH]], tblPiNAnalysis[[#Headers],[CCCM]:[WASH]], "")))</f>
        <v>WASH</v>
      </c>
      <c r="AK143" s="323">
        <f>IF(tblPiNAnalysis[[#This Row],[Highest PiN]]="", "", tblPiNAnalysis[[#This Row],[Highest PiN]]/tblPiNAnalysis[[#This Row],[Population]])</f>
        <v>1.074922600619195</v>
      </c>
      <c r="AL143" s="265" t="str">
        <f>IF(SUM(tblPiNAnalysis[[#This Row],[CCCM]:[WASH]])=0, "",IF(COUNTIF(tblPiNAnalysis[[#This Row],[CCCM]:[WASH]],"=0")+COUNTIF(tblPiNAnalysis[[#This Row],[CCCM]:[WASH]],"")&gt;=zero_pin_thresh, "Flagged", ""))</f>
        <v/>
      </c>
      <c r="AM143" s="264" t="str">
        <f>IFERROR(IF(tblPiNAnalysis[[#This Row],[Highest PiN]]="", "", IF(tblPiNAnalysis[[#This Row],[Highest sector(s'') PiN %]]&gt;=flag_pin_perc, "Flagged", "")), "")</f>
        <v>Flagged</v>
      </c>
      <c r="AN143" s="266" t="str" cm="1">
        <f t="array" ref="AN143">IF(tblPiNAnalysis[[#This Row],[Highest PiN]]=0, "",  IF(OR(COUNTIF(tblPiNAnalysis[[#This Row],[Highest sector(s)]],tblSubSectorPopulation[Sector])), "Flagged", ""))</f>
        <v/>
      </c>
      <c r="AO143" s="45" cm="1">
        <f t="array" ref="AO143">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6504</v>
      </c>
      <c r="AP143" s="326" t="str" cm="1">
        <f t="array" ref="AP143">IF(tblPiNAnalysis[[#This Row],[2nd Highest PiN]]="", "", _xlfn.TEXTJOIN(CHAR(10), TRUE, IF(tblPiNAnalysis[[#This Row],[2nd Highest PiN]]=tblPiNAnalysis[[#This Row],[CCCM]:[WASH]], tblPiNAnalysis[[#Headers],[CCCM]:[WASH]], "")))</f>
        <v>Shelter</v>
      </c>
      <c r="AQ143" s="35">
        <f>IFERROR(tblPiNAnalysis[[#This Row],[2nd Highest PiN]]/tblPiNAnalysis[[#This Row],[Population]], "")</f>
        <v>1.0068111455108359</v>
      </c>
      <c r="AR143" s="45">
        <f>IFERROR(tblPiNAnalysis[[#This Row],[Highest PiN]]-tblPiNAnalysis[[#This Row],[2nd Highest PiN]], "")</f>
        <v>440</v>
      </c>
      <c r="AS143" s="38">
        <f>IFERROR(((tblPiNAnalysis[[#This Row],[Highest PiN]]-tblPiNAnalysis[[#This Row],[2nd Highest PiN]])/tblPiNAnalysis[[#This Row],[2nd Highest PiN]]),"")</f>
        <v>6.7650676506765067E-2</v>
      </c>
      <c r="AT143" s="269" t="str" cm="1">
        <f t="array" ref="AT143">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3" s="327" cm="1">
        <f t="array" ref="AU143">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5175</v>
      </c>
      <c r="AV143" s="186" t="str" cm="1">
        <f t="array" ref="AV143">IF(tblPiNAnalysis[[#This Row],[3rd Highest PiN]]="", "", _xlfn.TEXTJOIN(CHAR(10), TRUE, IF(tblPiNAnalysis[[#This Row],[3rd Highest PiN]]=tblPiNAnalysis[[#This Row],[CCCM]:[WASH]], tblPiNAnalysis[[#Headers],[CCCM]:[WASH]], "")))</f>
        <v>CCCM</v>
      </c>
      <c r="AW143" s="186">
        <f>IFERROR(tblPiNAnalysis[[#This Row],[3rd Highest PiN]]/tblPiNAnalysis[[#This Row],[Population]], "")</f>
        <v>0.80108359133126938</v>
      </c>
      <c r="AX143" s="44">
        <f>IFERROR(tblPiNAnalysis[[#This Row],[Highest PiN]]-tblPiNAnalysis[[#This Row],[3rd Highest PiN]],"")</f>
        <v>1769</v>
      </c>
      <c r="AY143" s="38">
        <f>IFERROR(tblPiNAnalysis[[#This Row],[Difference of PiN between Highest and 3rd Highest]]/tblPiNAnalysis[[#This Row],[3rd Highest PiN]], "")</f>
        <v>0.34183574879227052</v>
      </c>
      <c r="AZ143" s="325" t="str" cm="1">
        <f t="array" ref="AZ143">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3" s="292" cm="1">
        <f t="array" ref="BA143">IFERROR(IF(tblPiNAnalysis[[#This Row],[ID]]="", "", INDEX(tblPiNHistorical[[CCCM]:[WASH]], MATCH(tblPiNAnalysis[[#This Row],[ID]],tblPiNHistorical[ID], 0),MATCH(_xlfn._xlws.FILTER(tblPiNAnalysis[[#Headers],[CCCM]:[WASH]], tblPiNAnalysis[[#This Row],[Highest PiN]]=tblPiNAnalysis[[#This Row],[CCCM]:[WASH]]), tblPiNHistorical[[#Headers],[CCCM]:[WASH]], 0))), "")</f>
        <v>2</v>
      </c>
      <c r="BB143" s="328" t="str" cm="1">
        <f t="array" ref="BB143">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Flagged</v>
      </c>
      <c r="BC143" s="272" cm="1">
        <f t="array" ref="BC143">IFERROR(IF(tblPiNAnalysis[[#This Row],[ID]]="", "", INDEX(tblPiNHistorical[[CCCM]:[WASH]], MATCH(tblPiNAnalysis[[#This Row],[ID]],tblPiNHistorical[ID], 0),MATCH(_xlfn._xlws.FILTER(tblPiNAnalysis[[#Headers],[CCCM]:[WASH]], tblPiNAnalysis[[#This Row],[2nd Highest PiN]]=tblPiNAnalysis[[#This Row],[CCCM]:[WASH]]), tblPiNHistorical[[#Headers],[CCCM]:[WASH]], 0))), "")</f>
        <v>0.7</v>
      </c>
      <c r="BD143" s="329" t="str" cm="1">
        <f t="array" ref="BD143">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3" s="371">
        <f>INDEX(tblSeverityAnalysis[Final Severity], MATCH(tblPiNAnalysis[[#This Row],[ID]],tblSeverityAnalysis[ID], 0))</f>
        <v>3</v>
      </c>
      <c r="BF143" s="60">
        <f>IF(tblPiNAnalysis[[#This Row],[Severity]]&gt;2,tblPiNAnalysis[[#This Row],[Highest PiN]],)</f>
        <v>6944</v>
      </c>
      <c r="BG143" s="187"/>
      <c r="BH143" s="188"/>
      <c r="BI143" s="189">
        <f>COUNTIFS(tblPiNAnalysis[[#This Row],[Number of missing / zero PiNs greater than threshold - Data quality]:[Manual Flag]],"Flagged")</f>
        <v>2</v>
      </c>
      <c r="BJ143" s="346" t="str">
        <f>IF(tblPiNAnalysis[[#This Row],['# Flags]]&gt;0, "Flagged", "")</f>
        <v>Flagged</v>
      </c>
      <c r="BK143" s="339">
        <f>tblPiNAnalysis[[#This Row],[Preliminary PiN]]</f>
        <v>6944</v>
      </c>
      <c r="BL143" s="326"/>
      <c r="BM143" s="383">
        <f>IF(OR(tblPiNAnalysis[[#This Row],[Severity]]=4,tblPiNAnalysis[[#This Row],[Severity]]=5),tblPiNAnalysis[[#This Row],[Final PiN]],0)</f>
        <v>0</v>
      </c>
      <c r="BN143" s="378">
        <f>IF(OR(tblPiNAnalysis[[#This Row],[Severity]]=4,tblPiNAnalysis[[#This Row],[Severity]]=5),100%, IF(tblPiNAnalysis[[#This Row],[Severity]]=3,50%,0%))*tblPiNAnalysis[[#This Row],[Final PiN]]</f>
        <v>3472</v>
      </c>
      <c r="BO143" s="383">
        <f>IF(OR(tblPiNAnalysis[[#This Row],[Severity]]=4,tblPiNAnalysis[[#This Row],[Severity]]=5),100%, IF(AND(tblPiNAnalysis[[#This Row],[Severity]]=3,VLOOKUP(tblPiNAnalysis[[#This Row],[ID]],tblSeverityAnalysis[[ID]:[Highest Severity]],35,FALSE)&gt;3),50%,0%))*tblPiNAnalysis[[#This Row],[Final PiN]]</f>
        <v>0</v>
      </c>
    </row>
    <row r="144" spans="1:67" hidden="1">
      <c r="A144" s="31" t="str">
        <f>IFERROR(_xlfn.CONCAT(IF(tblPiNAnalysis[[#This Row],[Population Group]]="", "",tblPiNAnalysis[[#This Row],[Population Group]] ), IF(tblPiNAnalysis[[#This Row],[Pocket of need]]&lt;&gt;"",tblPiNAnalysis[[#This Row],[Pocket of need]],), _xlfn.IFS(tblPiNAnalysis[[#This Row],[Admin 3 P-Code]]&lt;&gt;"", tblPiNAnalysis[[#This Row],[Admin 3 P-Code]], tblPiNAnalysis[[#This Row],[Admin 2 P-Code]]&lt;&gt;"", tblPiNAnalysis[[#This Row],[Admin 2 P-Code]], tblPiNAnalysis[[#This Row],[Admin 1 P-Code]]&lt;&gt;"", tblPiNAnalysis[[#This Row],[Admin 1 P-Code]])),"")</f>
        <v>IDPsIDPs sitesHT01xx</v>
      </c>
      <c r="B144" s="304" t="s">
        <v>152</v>
      </c>
      <c r="C144" s="213" t="s">
        <v>153</v>
      </c>
      <c r="D144" s="213" t="s">
        <v>455</v>
      </c>
      <c r="E144" s="103" t="s">
        <v>456</v>
      </c>
      <c r="F144" s="99"/>
      <c r="G144" s="34"/>
      <c r="H144" s="357" t="s">
        <v>457</v>
      </c>
      <c r="I144" s="96"/>
      <c r="J144" s="96" t="s">
        <v>458</v>
      </c>
      <c r="K144" s="316"/>
      <c r="L144" s="308"/>
      <c r="M144" s="308"/>
      <c r="N144" s="308">
        <v>146984</v>
      </c>
      <c r="O144" s="308"/>
      <c r="P144" s="308"/>
      <c r="Q144" s="309"/>
      <c r="R144" s="308"/>
      <c r="S144" s="308"/>
      <c r="T144" s="308"/>
      <c r="U144" s="308"/>
      <c r="V144" s="308"/>
      <c r="W144" s="317" t="str">
        <f>IFERROR(IF(tblPiNAnalysis[[#This Row],[CCCM]]="", "", MROUND(tblPiNAnalysis[[#This Row],[CCCM]]/tblPiNAnalysis[[#This Row],[Population]], 0.05)), "")</f>
        <v/>
      </c>
      <c r="X144" s="318" t="str">
        <f>IFERROR(IF(tblPiNAnalysis[[#This Row],[Education]]="", "", MROUND(tblPiNAnalysis[[#This Row],[Education]]/tblPiNAnalysis[[#This Row],[Population]], 0.05)), "")</f>
        <v/>
      </c>
      <c r="Y144" s="318" t="str">
        <f>IFERROR(IF(tblPiNAnalysis[[#This Row],[Nutrition]]="", "", MROUND(tblPiNAnalysis[[#This Row],[Nutrition]]/tblPiNAnalysis[[#This Row],[Population]], 0.05)), "")</f>
        <v/>
      </c>
      <c r="Z144" s="318" t="str">
        <f>IFERROR(IF(tblPiNAnalysis[[#This Row],[Food Security]]="", "", MROUND(tblPiNAnalysis[[#This Row],[Food Security]]/tblPiNAnalysis[[#This Row],[Population]], 0.05)), "")</f>
        <v/>
      </c>
      <c r="AA144" s="318" t="str">
        <f>IFERROR(IF(tblPiNAnalysis[[#This Row],[Health]]="", "", MROUND(tblPiNAnalysis[[#This Row],[Health]]/tblPiNAnalysis[[#This Row],[Population]], 0.05)), "")</f>
        <v/>
      </c>
      <c r="AB144" s="319" t="str">
        <f>IFERROR(IF(tblPiNAnalysis[[#This Row],[Protection]]="", "", MROUND(tblPiNAnalysis[[#This Row],[Protection]]/tblPiNAnalysis[[#This Row],[Population]], 0.05)), "")</f>
        <v/>
      </c>
      <c r="AC144" s="319" t="str">
        <f>IFERROR(IF(tblPiNAnalysis[[#This Row],[Shelter]]="", "", MROUND(tblPiNAnalysis[[#This Row],[Shelter]]/tblPiNAnalysis[[#This Row],[Population]], 0.05)), "")</f>
        <v/>
      </c>
      <c r="AD144" s="320" t="str">
        <f>IFERROR(IF(tblPiNAnalysis[[#This Row],[WASH]]="", "", MROUND(tblPiNAnalysis[[#This Row],[WASH]]/tblPiNAnalysis[[#This Row],[Population]], 0.05)), "")</f>
        <v/>
      </c>
      <c r="AE144" s="318" t="str">
        <f>IFERROR(MROUND(tblPiNAnalysis[[#This Row],[CP]]/tblPiNAnalysis[[#This Row],[Population]], 0.05), "")</f>
        <v/>
      </c>
      <c r="AF144" s="318" t="str">
        <f>IFERROR(MROUND(tblPiNAnalysis[[#This Row],[GBV]]/tblPiNAnalysis[[#This Row],[Population]], 0.05), "")</f>
        <v/>
      </c>
      <c r="AG144" s="318" t="str">
        <f>IFERROR(MROUND(tblPiNAnalysis[[#This Row],[Migrants]]/tblPiNAnalysis[[#This Row],[Population]], 0.05), "")</f>
        <v/>
      </c>
      <c r="AH144" s="318" t="str">
        <f>IFERROR(MROUND(tblPiNAnalysis[[#This Row],[_]]/tblPiNAnalysis[[#This Row],[Population]], 0.05), "")</f>
        <v/>
      </c>
      <c r="AI144" s="321">
        <f>IFERROR(LARGE(tblPiNAnalysis[[#This Row],[CCCM]:[WASH]], 1), "")</f>
        <v>146984</v>
      </c>
      <c r="AJ144" s="322" t="str" cm="1">
        <f t="array" ref="AJ144">IF(tblPiNAnalysis[[#This Row],[Highest PiN]]="", "", _xlfn.TEXTJOIN(CHAR(10), TRUE, IF(tblPiNAnalysis[[#This Row],[Highest PiN]]=tblPiNAnalysis[[#This Row],[CCCM]:[WASH]], tblPiNAnalysis[[#Headers],[CCCM]:[WASH]], "")))</f>
        <v>Food Security</v>
      </c>
      <c r="AK144" s="323" t="e">
        <f>IF(tblPiNAnalysis[[#This Row],[Highest PiN]]="", "", tblPiNAnalysis[[#This Row],[Highest PiN]]/tblPiNAnalysis[[#This Row],[Population]])</f>
        <v>#DIV/0!</v>
      </c>
      <c r="AL144" s="265" t="str">
        <f>IF(SUM(tblPiNAnalysis[[#This Row],[CCCM]:[WASH]])=0, "",IF(COUNTIF(tblPiNAnalysis[[#This Row],[CCCM]:[WASH]],"=0")+COUNTIF(tblPiNAnalysis[[#This Row],[CCCM]:[WASH]],"")&gt;=zero_pin_thresh, "Flagged", ""))</f>
        <v>Flagged</v>
      </c>
      <c r="AM144" s="264" t="str">
        <f>IFERROR(IF(tblPiNAnalysis[[#This Row],[Highest PiN]]="", "", IF(tblPiNAnalysis[[#This Row],[Highest sector(s'') PiN %]]&gt;=flag_pin_perc, "Flagged", "")), "")</f>
        <v/>
      </c>
      <c r="AN144" s="266" t="str" cm="1">
        <f t="array" ref="AN144">IF(tblPiNAnalysis[[#This Row],[Highest PiN]]=0, "",  IF(OR(COUNTIF(tblPiNAnalysis[[#This Row],[Highest sector(s)]],tblSubSectorPopulation[Sector])), "Flagged", ""))</f>
        <v/>
      </c>
      <c r="AO144" s="45" t="str" cm="1">
        <f t="array" ref="AO144">IFERROR(_xlfn.IFS(tblPiNAnalysis[[#This Row],[Highest PiN]]="", "", LARGE(tblPiNAnalysis[[#This Row],[CCCM]:[WASH]], 2) &lt; tblPiNAnalysis[[#This Row],[Highest PiN]], LARGE(tblPiNAnalysis[[#This Row],[CCCM]:[WASH]], 2), LARGE(tblPiNAnalysis[[#This Row],[CCCM]:[WASH]], 3) &lt; tblPiNAnalysis[[#This Row],[Highest PiN]], LARGE(tblPiNAnalysis[[#This Row],[CCCM]:[WASH]], 3), LARGE(tblPiNAnalysis[[#This Row],[CCCM]:[WASH]], 4) &lt; tblPiNAnalysis[[#This Row],[Highest PiN]], LARGE(tblPiNAnalysis[[#This Row],[CCCM]:[WASH]], 4), LARGE(tblPiNAnalysis[[#This Row],[CCCM]:[WASH]], 5) &lt; tblPiNAnalysis[[#This Row],[Highest PiN]], LARGE(tblPiNAnalysis[[#This Row],[CCCM]:[WASH]], 5), LARGE(tblPiNAnalysis[[#This Row],[CCCM]:[WASH]], 6) &lt; tblPiNAnalysis[[#This Row],[Highest PiN]], LARGE(tblPiNAnalysis[[#This Row],[CCCM]:[WASH]], 6), LARGE(tblPiNAnalysis[[#This Row],[CCCM]:[WASH]], 7) &lt;tblPiNAnalysis[[#This Row],[Highest PiN]], LARGE(tblPiNAnalysis[[#This Row],[CCCM]:[WASH]], 7), LARGE(tblPiNAnalysis[[#This Row],[CCCM]:[WASH]], 8) &lt;= tblPiNAnalysis[[#This Row],[Highest PiN]], LARGE(tblPiNAnalysis[[#This Row],[CCCM]:[WASH]], 8)), "NA")</f>
        <v>NA</v>
      </c>
      <c r="AP144" s="326" t="str" cm="1">
        <f t="array" ref="AP144">IF(tblPiNAnalysis[[#This Row],[2nd Highest PiN]]="", "", _xlfn.TEXTJOIN(CHAR(10), TRUE, IF(tblPiNAnalysis[[#This Row],[2nd Highest PiN]]=tblPiNAnalysis[[#This Row],[CCCM]:[WASH]], tblPiNAnalysis[[#Headers],[CCCM]:[WASH]], "")))</f>
        <v/>
      </c>
      <c r="AQ144" s="35" t="str">
        <f>IFERROR(tblPiNAnalysis[[#This Row],[2nd Highest PiN]]/tblPiNAnalysis[[#This Row],[Population]], "")</f>
        <v/>
      </c>
      <c r="AR144" s="45" t="str">
        <f>IFERROR(tblPiNAnalysis[[#This Row],[Highest PiN]]-tblPiNAnalysis[[#This Row],[2nd Highest PiN]], "")</f>
        <v/>
      </c>
      <c r="AS144" s="38" t="str">
        <f>IFERROR(((tblPiNAnalysis[[#This Row],[Highest PiN]]-tblPiNAnalysis[[#This Row],[2nd Highest PiN]])/tblPiNAnalysis[[#This Row],[2nd Highest PiN]]),"")</f>
        <v/>
      </c>
      <c r="AT144" s="38" t="str" cm="1">
        <f t="array" ref="AT144">_xlfn.IFS(tblPiNAnalysis[[#This Row],[% Difference between Highest and 2nd Highest]]="", "", SUM(IF(IF(tblPiNAnalysis[[#This Row],[Highest PiN]]=tblPiNAnalysis[[#This Row],[CCCM]:[WASH]], tblPiNAnalysis[[#Headers],[CCCM]:[WASH]], "")&lt;&gt;"", 1, 0))&gt;1, "",tblPiNAnalysis[[#This Row],[% Difference between Highest and 2nd Highest]]&gt;=perc_1st_2nd, "Flagged", TRUE(), "")</f>
        <v/>
      </c>
      <c r="AU144" s="327" t="str" cm="1">
        <f t="array" ref="AU144">IFERROR(_xlfn.IFS(tblPiNAnalysis[[#This Row],[2nd Highest PiN]]="", "", LARGE(tblPiNAnalysis[[#This Row],[CCCM]:[WASH]], 3) &lt; tblPiNAnalysis[[#This Row],[2nd Highest PiN]], LARGE(tblPiNAnalysis[[#This Row],[CCCM]:[WASH]], 3), LARGE(tblPiNAnalysis[[#This Row],[CCCM]:[WASH]], 4) &lt; tblPiNAnalysis[[#This Row],[2nd Highest PiN]], LARGE(tblPiNAnalysis[[#This Row],[CCCM]:[WASH]], 4), LARGE(tblPiNAnalysis[[#This Row],[CCCM]:[WASH]], 5) &lt; tblPiNAnalysis[[#This Row],[2nd Highest PiN]], LARGE(tblPiNAnalysis[[#This Row],[CCCM]:[WASH]], 5), LARGE(tblPiNAnalysis[[#This Row],[CCCM]:[WASH]], 6) &lt; tblPiNAnalysis[[#This Row],[2nd Highest PiN]], LARGE(tblPiNAnalysis[[#This Row],[CCCM]:[WASH]], 6), LARGE(tblPiNAnalysis[[#This Row],[CCCM]:[WASH]], 7) &lt;tblPiNAnalysis[[#This Row],[2nd Highest PiN]], LARGE(tblPiNAnalysis[[#This Row],[CCCM]:[WASH]], 7), LARGE(tblPiNAnalysis[[#This Row],[CCCM]:[WASH]], 8) &lt;= tblPiNAnalysis[[#This Row],[2nd Highest PiN]], LARGE(tblPiNAnalysis[[#This Row],[CCCM]:[WASH]], 8)), "NA")</f>
        <v>NA</v>
      </c>
      <c r="AV144" s="186" t="str" cm="1">
        <f t="array" ref="AV144">IF(tblPiNAnalysis[[#This Row],[3rd Highest PiN]]="", "", _xlfn.TEXTJOIN(CHAR(10), TRUE, IF(tblPiNAnalysis[[#This Row],[3rd Highest PiN]]=tblPiNAnalysis[[#This Row],[CCCM]:[WASH]], tblPiNAnalysis[[#Headers],[CCCM]:[WASH]], "")))</f>
        <v/>
      </c>
      <c r="AW144" s="186" t="str">
        <f>IFERROR(tblPiNAnalysis[[#This Row],[3rd Highest PiN]]/tblPiNAnalysis[[#This Row],[Population]], "")</f>
        <v/>
      </c>
      <c r="AX144" s="44" t="str">
        <f>IFERROR(tblPiNAnalysis[[#This Row],[Highest PiN]]-tblPiNAnalysis[[#This Row],[3rd Highest PiN]],"")</f>
        <v/>
      </c>
      <c r="AY144" s="38" t="str">
        <f>IFERROR(tblPiNAnalysis[[#This Row],[Difference of PiN between Highest and 3rd Highest]]/tblPiNAnalysis[[#This Row],[3rd Highest PiN]], "")</f>
        <v/>
      </c>
      <c r="AZ144" s="325" t="str" cm="1">
        <f t="array" ref="AZ144">_xlfn.IFS(tblPiNAnalysis[[#This Row],[Difference of PiN between Highest and 3rd Highest]]="", "", SUM(IF(IF(tblPiNAnalysis[[#This Row],[Highest PiN]]=tblPiNAnalysis[[#This Row],[CCCM]:[WASH]], tblPiNAnalysis[[#Headers],[CCCM]:[WASH]], "")&lt;&gt;"", 1, 0))&gt;1, "",tblPiNAnalysis[[#This Row],[% Difference between Highest and 3rd Highest]]&gt;=perc_1st_3rd, "Flagged", 1=1, "")</f>
        <v/>
      </c>
      <c r="BA144" s="292" t="str" cm="1">
        <f t="array" ref="BA144">IFERROR(IF(tblPiNAnalysis[[#This Row],[ID]]="", "", INDEX(tblPiNHistorical[[CCCM]:[WASH]], MATCH(tblPiNAnalysis[[#This Row],[ID]],tblPiNHistorical[ID], 0),MATCH(_xlfn._xlws.FILTER(tblPiNAnalysis[[#Headers],[CCCM]:[WASH]], tblPiNAnalysis[[#This Row],[Highest PiN]]=tblPiNAnalysis[[#This Row],[CCCM]:[WASH]]), tblPiNHistorical[[#Headers],[CCCM]:[WASH]], 0))), "")</f>
        <v/>
      </c>
      <c r="BB144" s="328" t="str" cm="1">
        <f t="array" ref="BB144">IFERROR(IF(SUM(IF(ABS(INDEX(tblPiNHistorical[[CCCM]:[WASH]], MATCH(tblPiNAnalysis[[#This Row],[ID]],tblPiNHistorical[ID], 0),MATCH(_xlfn._xlws.FILTER(tblPiNAnalysis[[#Headers],[CCCM]:[WASH]], tblPiNAnalysis[[#This Row],[Highest PiN]]=tblPiNAnalysis[[#This Row],[CCCM]:[WASH]]), tblPiNHistorical[[#Headers],[CCCM]:[WASH]], 0)))&gt;=flag_pin_historical, 1, 0))&gt;0, "Flagged", ""), "")</f>
        <v/>
      </c>
      <c r="BC144" s="272" t="str" cm="1">
        <f t="array" ref="BC144">IFERROR(IF(tblPiNAnalysis[[#This Row],[ID]]="", "", INDEX(tblPiNHistorical[[CCCM]:[WASH]], MATCH(tblPiNAnalysis[[#This Row],[ID]],tblPiNHistorical[ID], 0),MATCH(_xlfn._xlws.FILTER(tblPiNAnalysis[[#Headers],[CCCM]:[WASH]], tblPiNAnalysis[[#This Row],[2nd Highest PiN]]=tblPiNAnalysis[[#This Row],[CCCM]:[WASH]]), tblPiNHistorical[[#Headers],[CCCM]:[WASH]], 0))), "")</f>
        <v/>
      </c>
      <c r="BD144" s="329" t="str" cm="1">
        <f t="array" ref="BD144">IFERROR(IF(SUM(IF(ABS(INDEX(tblPiNHistorical[[CCCM]:[WASH]], MATCH(tblPiNAnalysis[[#This Row],[ID]],tblPiNHistorical[ID], 0),MATCH(_xlfn._xlws.FILTER(tblPiNAnalysis[[#Headers],[CCCM]:[WASH]], tblPiNAnalysis[[#This Row],[2nd Highest PiN]]=tblPiNAnalysis[[#This Row],[CCCM]:[WASH]]), tblPiNHistorical[[#Headers],[CCCM]:[WASH]], 0)))&gt;=flag_pin_historical, 1, 0))&gt;0, "Flagged", ""), "")</f>
        <v/>
      </c>
      <c r="BE144" s="371">
        <f>INDEX(tblSeverityAnalysis[Final Severity], MATCH(tblPiNAnalysis[[#This Row],[ID]],tblSeverityAnalysis[ID], 0))</f>
        <v>4</v>
      </c>
      <c r="BF144" s="60">
        <f>IF(tblPiNAnalysis[[#This Row],[Severity]]&gt;2,tblPiNAnalysis[[#This Row],[Highest PiN]],)</f>
        <v>146984</v>
      </c>
      <c r="BG144" s="187"/>
      <c r="BH144" s="188"/>
      <c r="BI144" s="189">
        <f>COUNTIFS(tblPiNAnalysis[[#This Row],[Number of missing / zero PiNs greater than threshold - Data quality]:[Manual Flag]],"Flagged")</f>
        <v>1</v>
      </c>
      <c r="BJ144" s="346" t="str">
        <f>IF(tblPiNAnalysis[[#This Row],['# Flags]]&gt;0, "Flagged", "")</f>
        <v>Flagged</v>
      </c>
      <c r="BK144" s="322">
        <f>tblPiNAnalysis[[#This Row],[Preliminary PiN]]</f>
        <v>146984</v>
      </c>
      <c r="BL144" s="326"/>
      <c r="BM144" s="383">
        <f>IF(OR(tblPiNAnalysis[[#This Row],[Severity]]=4,tblPiNAnalysis[[#This Row],[Severity]]=5),tblPiNAnalysis[[#This Row],[Final PiN]],0)</f>
        <v>146984</v>
      </c>
      <c r="BN144" s="378">
        <f>IF(OR(tblPiNAnalysis[[#This Row],[Severity]]=4,tblPiNAnalysis[[#This Row],[Severity]]=5),100%, IF(tblPiNAnalysis[[#This Row],[Severity]]=3,50%,0%))*tblPiNAnalysis[[#This Row],[Final PiN]]</f>
        <v>146984</v>
      </c>
      <c r="BO144" s="383">
        <f>IF(OR(tblPiNAnalysis[[#This Row],[Severity]]=4,tblPiNAnalysis[[#This Row],[Severity]]=5),100%, IF(AND(tblPiNAnalysis[[#This Row],[Severity]]=3,VLOOKUP(tblPiNAnalysis[[#This Row],[ID]],tblSeverityAnalysis[[ID]:[Highest Severity]],35,FALSE)&gt;3),50%,0%))*tblPiNAnalysis[[#This Row],[Final PiN]]</f>
        <v>146984</v>
      </c>
    </row>
    <row r="145" spans="1:67">
      <c r="A145" s="395" t="s">
        <v>459</v>
      </c>
      <c r="B145" s="396"/>
      <c r="C145" s="397"/>
      <c r="D145" s="397"/>
      <c r="E145" s="395"/>
      <c r="F145" s="398"/>
      <c r="G145" s="399"/>
      <c r="H145" s="400"/>
      <c r="I145" s="421">
        <f>SUBTOTAL(109,tblPiNAnalysis[Population])</f>
        <v>1068599</v>
      </c>
      <c r="J145" s="399"/>
      <c r="K145" s="420">
        <f>SUBTOTAL(109,tblPiNAnalysis[CCCM])</f>
        <v>250951.5</v>
      </c>
      <c r="L145" s="420">
        <f>SUBTOTAL(109,tblPiNAnalysis[Education])</f>
        <v>134265</v>
      </c>
      <c r="M145" s="420">
        <f>SUBTOTAL(109,tblPiNAnalysis[Nutrition])</f>
        <v>134269</v>
      </c>
      <c r="N145" s="420">
        <f>SUBTOTAL(109,tblPiNAnalysis[Food Security])</f>
        <v>381940</v>
      </c>
      <c r="O145" s="420">
        <f>SUBTOTAL(109,tblPiNAnalysis[Health])</f>
        <v>841561.98309332819</v>
      </c>
      <c r="P145" s="420">
        <f>SUBTOTAL(109,tblPiNAnalysis[Protection])</f>
        <v>282517.61666666664</v>
      </c>
      <c r="Q145" s="420">
        <f>SUBTOTAL(109,tblPiNAnalysis[Shelter])</f>
        <v>264312</v>
      </c>
      <c r="R145" s="420">
        <f>SUBTOTAL(109,tblPiNAnalysis[WASH])</f>
        <v>235216.5</v>
      </c>
      <c r="S145" s="401"/>
      <c r="T145" s="401"/>
      <c r="U145" s="401"/>
      <c r="V145" s="401"/>
      <c r="W145" s="402"/>
      <c r="X145" s="401"/>
      <c r="Y145" s="401"/>
      <c r="Z145" s="401"/>
      <c r="AA145" s="401"/>
      <c r="AB145" s="401"/>
      <c r="AC145" s="401"/>
      <c r="AD145" s="403"/>
      <c r="AE145" s="401"/>
      <c r="AF145" s="401"/>
      <c r="AG145" s="401"/>
      <c r="AH145" s="401"/>
      <c r="AI145" s="419">
        <f>SUBTOTAL(109,tblPiNAnalysis[Highest PiN])</f>
        <v>841561.98309332819</v>
      </c>
      <c r="AJ145" s="405"/>
      <c r="AK145" s="405"/>
      <c r="AL145" s="406"/>
      <c r="AM145" s="405"/>
      <c r="AN145" s="407"/>
      <c r="AO145" s="417">
        <f>SUBTOTAL(109,tblPiNAnalysis[2nd Highest PiN])</f>
        <v>401812</v>
      </c>
      <c r="AP145" s="405"/>
      <c r="AQ145" s="405"/>
      <c r="AR145" s="404"/>
      <c r="AS145" s="405"/>
      <c r="AT145" s="405"/>
      <c r="AU145" s="418">
        <f>SUBTOTAL(109,tblPiNAnalysis[3rd Highest PiN])</f>
        <v>300392.01666666666</v>
      </c>
      <c r="AV145" s="408"/>
      <c r="AW145" s="408"/>
      <c r="AX145" s="417"/>
      <c r="AY145" s="405"/>
      <c r="AZ145" s="407"/>
      <c r="BA145" s="409"/>
      <c r="BB145" s="409"/>
      <c r="BC145" s="409"/>
      <c r="BD145" s="410"/>
      <c r="BE145" s="416"/>
      <c r="BF145" s="415">
        <f>SUBTOTAL(109,tblPiNAnalysis[Preliminary PiN])</f>
        <v>841561.98309332819</v>
      </c>
      <c r="BG145" s="404"/>
      <c r="BH145" s="406"/>
      <c r="BI145" s="414">
        <f>SUBTOTAL(109,tblPiNAnalysis['# Flags])</f>
        <v>5</v>
      </c>
      <c r="BJ145" s="411"/>
      <c r="BK145" s="413">
        <f>SUBTOTAL(109,tblPiNAnalysis[Final PiN])</f>
        <v>429408.89144608658</v>
      </c>
      <c r="BL145" s="405"/>
      <c r="BM145" s="412">
        <f>SUBTOTAL(109,tblPiNAnalysis[PIN PRIORITIZED])</f>
        <v>429408.89144608658</v>
      </c>
      <c r="BN145" s="412">
        <f>SUBTOTAL(109,tblPiNAnalysis[Preliminary TARGET
100% Sev 4&amp;5 + 50% Sev 3])</f>
        <v>429408.89144608658</v>
      </c>
      <c r="BO145" s="412">
        <f>SUBTOTAL(109,tblPiNAnalysis[Preliminary TARGET
100% Sev 4&amp;5 + 50% PIN in Sev 3 Intersect AND EXISTS Sect Sec &gt;=4  ])</f>
        <v>429408.89144608658</v>
      </c>
    </row>
    <row r="147" spans="1:67">
      <c r="A147" s="65"/>
      <c r="B147" s="101"/>
      <c r="C147" s="101"/>
      <c r="D147" s="101"/>
      <c r="E147" s="101"/>
      <c r="F147" s="20"/>
      <c r="G147" s="20"/>
      <c r="H147" s="20"/>
      <c r="I147" s="21"/>
      <c r="J147" s="21"/>
      <c r="L147" s="21"/>
      <c r="M147" s="21"/>
      <c r="N147" s="21"/>
      <c r="O147" s="21"/>
      <c r="P147" s="21"/>
      <c r="Q147" s="21"/>
      <c r="R147" s="21"/>
      <c r="S147" s="21"/>
      <c r="T147" s="21"/>
      <c r="U147" s="21"/>
      <c r="V147" s="21"/>
      <c r="W147" s="21"/>
      <c r="X147" s="21"/>
      <c r="Y147" s="21"/>
      <c r="Z147" s="21"/>
      <c r="AA147" s="21"/>
      <c r="AF147" s="21"/>
      <c r="AG147" s="21"/>
      <c r="AH147" s="21"/>
      <c r="AI147" s="21"/>
      <c r="AJ147" s="21"/>
      <c r="AK147" s="21"/>
      <c r="AL147" s="17"/>
      <c r="AM147" s="21"/>
      <c r="AP147" s="17"/>
      <c r="AR147" s="17"/>
      <c r="AS147" s="17"/>
      <c r="AU147" s="606"/>
      <c r="AV147" s="17"/>
      <c r="AX147" s="17"/>
      <c r="BF147" s="22">
        <v>7467225.457688693</v>
      </c>
      <c r="BG147" t="s">
        <v>460</v>
      </c>
      <c r="BJ147" s="17"/>
      <c r="BK147" s="21">
        <v>6456947.4655900588</v>
      </c>
      <c r="BL147" t="s">
        <v>461</v>
      </c>
      <c r="BO147" s="17"/>
    </row>
  </sheetData>
  <mergeCells count="17">
    <mergeCell ref="BE2:BF2"/>
    <mergeCell ref="BA2:BD2"/>
    <mergeCell ref="BI1:BJ1"/>
    <mergeCell ref="B2:G2"/>
    <mergeCell ref="I2:J2"/>
    <mergeCell ref="BK2:BL2"/>
    <mergeCell ref="K2:R2"/>
    <mergeCell ref="AO2:AQ2"/>
    <mergeCell ref="BG2:BH2"/>
    <mergeCell ref="AR2:AT2"/>
    <mergeCell ref="BI2:BJ2"/>
    <mergeCell ref="AU2:AW2"/>
    <mergeCell ref="AX2:AZ2"/>
    <mergeCell ref="AI2:AN2"/>
    <mergeCell ref="S2:V2"/>
    <mergeCell ref="W2:AD2"/>
    <mergeCell ref="AE2:AH2"/>
  </mergeCells>
  <phoneticPr fontId="9" type="noConversion"/>
  <conditionalFormatting sqref="AL4:BJ144">
    <cfRule type="containsText" dxfId="392" priority="4" operator="containsText" text="Flagged">
      <formula>NOT(ISERROR(SEARCH("Flagged",AL4)))</formula>
    </cfRule>
  </conditionalFormatting>
  <pageMargins left="0.7" right="0.7" top="0.75" bottom="0.75" header="0.3" footer="0.3"/>
  <pageSetup paperSize="9"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E15B-4A90-4D7A-AE3A-79F27D5C8718}">
  <sheetPr codeName="Sheet3">
    <tabColor theme="7" tint="0.59999389629810485"/>
  </sheetPr>
  <dimension ref="A1:BE143"/>
  <sheetViews>
    <sheetView showGridLines="0" tabSelected="1" zoomScaleNormal="100" workbookViewId="0">
      <pane ySplit="3" topLeftCell="A4" activePane="bottomLeft" state="frozen"/>
      <selection pane="bottomLeft" activeCell="T17" sqref="T17"/>
      <selection activeCell="R19" sqref="R19"/>
    </sheetView>
  </sheetViews>
  <sheetFormatPr defaultColWidth="8.5703125" defaultRowHeight="14.45"/>
  <cols>
    <col min="1" max="1" width="25.5703125" customWidth="1"/>
    <col min="2" max="2" width="16.28515625" style="14" customWidth="1"/>
    <col min="3" max="3" width="16.7109375" style="14" customWidth="1"/>
    <col min="4" max="4" width="24.85546875" style="14" customWidth="1"/>
    <col min="5" max="5" width="18" style="14" customWidth="1"/>
    <col min="6" max="6" width="14.5703125" style="14" hidden="1" customWidth="1"/>
    <col min="7" max="7" width="18.140625" style="14" hidden="1" customWidth="1"/>
    <col min="8" max="8" width="18.140625" style="14" customWidth="1"/>
    <col min="9" max="9" width="14.140625" style="15" customWidth="1"/>
    <col min="10" max="10" width="20.140625" style="15" customWidth="1"/>
    <col min="11" max="11" width="18.42578125" style="15" bestFit="1" customWidth="1"/>
    <col min="12" max="12" width="18.42578125" style="15" customWidth="1"/>
    <col min="13" max="13" width="18.140625" style="15" customWidth="1"/>
    <col min="14" max="18" width="13.140625" style="15" customWidth="1"/>
    <col min="19" max="20" width="13.42578125" style="15" customWidth="1"/>
    <col min="21" max="22" width="16.140625" style="15" customWidth="1"/>
    <col min="23" max="23" width="13.42578125" style="15" customWidth="1"/>
    <col min="24" max="24" width="15.7109375" style="15" customWidth="1"/>
    <col min="25" max="25" width="13.42578125" style="15" customWidth="1"/>
    <col min="26" max="26" width="14.42578125" style="15" customWidth="1"/>
    <col min="27" max="27" width="18.42578125" style="15" customWidth="1"/>
    <col min="28" max="34" width="18.42578125" customWidth="1"/>
    <col min="35" max="36" width="14.42578125" style="15" customWidth="1"/>
    <col min="37" max="37" width="17.28515625" style="74" customWidth="1"/>
    <col min="38" max="39" width="14.42578125" style="15" customWidth="1"/>
    <col min="40" max="40" width="14.42578125" style="74" customWidth="1"/>
    <col min="41" max="41" width="19.140625" style="22" customWidth="1"/>
    <col min="42" max="42" width="14.42578125" style="74" customWidth="1"/>
    <col min="43" max="43" width="14.42578125" style="15" customWidth="1"/>
    <col min="44" max="44" width="14.42578125" style="74" customWidth="1"/>
    <col min="45" max="45" width="14.42578125" style="15" customWidth="1"/>
    <col min="46" max="46" width="14.42578125" style="74" customWidth="1"/>
    <col min="47" max="47" width="14.42578125" style="15" customWidth="1"/>
    <col min="48" max="48" width="14.42578125" style="74" customWidth="1"/>
    <col min="49" max="49" width="20.140625" style="19" customWidth="1"/>
    <col min="50" max="50" width="25.42578125" style="13" customWidth="1"/>
    <col min="51" max="51" width="27.28515625" customWidth="1"/>
    <col min="52" max="52" width="22.140625" customWidth="1"/>
    <col min="53" max="53" width="16" style="13" customWidth="1"/>
    <col min="54" max="54" width="11.140625" customWidth="1"/>
    <col min="55" max="55" width="12.5703125" style="16" customWidth="1"/>
    <col min="56" max="56" width="20" style="15" bestFit="1" customWidth="1"/>
    <col min="57" max="57" width="46.140625" style="13" customWidth="1"/>
  </cols>
  <sheetData>
    <row r="1" spans="1:57" ht="30" customHeight="1" thickBot="1">
      <c r="B1" s="20"/>
      <c r="C1" s="20"/>
      <c r="D1" s="20"/>
      <c r="E1" s="20"/>
      <c r="F1" s="20"/>
      <c r="G1" s="20"/>
      <c r="H1" s="20"/>
      <c r="I1" s="21"/>
      <c r="J1" s="21"/>
      <c r="K1" s="21"/>
      <c r="L1" s="21"/>
      <c r="M1" s="21"/>
      <c r="N1" s="21"/>
      <c r="O1" s="21"/>
      <c r="P1" s="21"/>
      <c r="Q1" s="21"/>
      <c r="R1" s="21"/>
      <c r="S1" s="21"/>
      <c r="T1" s="21"/>
      <c r="U1" s="21"/>
      <c r="V1" s="21"/>
      <c r="W1" s="21"/>
      <c r="X1" s="21"/>
      <c r="Y1" s="21"/>
      <c r="Z1" s="21"/>
      <c r="AA1" s="21"/>
      <c r="AB1" s="21"/>
      <c r="AC1" s="21"/>
      <c r="AD1" s="21"/>
      <c r="AE1" s="21"/>
      <c r="AF1" s="21"/>
      <c r="AG1" s="21"/>
      <c r="AH1" s="22"/>
      <c r="AI1" s="73"/>
      <c r="AJ1" s="73"/>
      <c r="AK1" s="73"/>
      <c r="AL1" s="73"/>
      <c r="AM1" s="73"/>
      <c r="AN1" s="73"/>
      <c r="AO1" s="73"/>
      <c r="AP1" s="19"/>
      <c r="AQ1"/>
      <c r="AR1"/>
      <c r="AS1"/>
      <c r="AT1"/>
      <c r="AU1"/>
      <c r="AV1"/>
      <c r="AW1"/>
      <c r="AX1"/>
      <c r="BA1"/>
      <c r="BC1"/>
      <c r="BD1"/>
      <c r="BE1"/>
    </row>
    <row r="2" spans="1:57" ht="50.45" customHeight="1" thickTop="1" thickBot="1">
      <c r="A2" s="68"/>
      <c r="B2" s="557" t="s">
        <v>75</v>
      </c>
      <c r="C2" s="558"/>
      <c r="D2" s="558"/>
      <c r="E2" s="558"/>
      <c r="F2" s="558"/>
      <c r="G2" s="559"/>
      <c r="H2" s="298"/>
      <c r="I2" s="535" t="s">
        <v>76</v>
      </c>
      <c r="J2" s="535"/>
      <c r="K2" s="538" t="s">
        <v>462</v>
      </c>
      <c r="L2" s="538"/>
      <c r="M2" s="538"/>
      <c r="N2" s="538"/>
      <c r="O2" s="538"/>
      <c r="P2" s="538"/>
      <c r="Q2" s="538"/>
      <c r="R2" s="538"/>
      <c r="S2" s="538" t="s">
        <v>463</v>
      </c>
      <c r="T2" s="538"/>
      <c r="U2" s="538"/>
      <c r="V2" s="538"/>
      <c r="W2" s="538"/>
      <c r="X2" s="538"/>
      <c r="Y2" s="538"/>
      <c r="Z2" s="538"/>
      <c r="AA2" s="554" t="s">
        <v>464</v>
      </c>
      <c r="AB2" s="555"/>
      <c r="AC2" s="555"/>
      <c r="AD2" s="555"/>
      <c r="AE2" s="555"/>
      <c r="AF2" s="555"/>
      <c r="AG2" s="555"/>
      <c r="AH2" s="556"/>
      <c r="AI2" s="554" t="s">
        <v>465</v>
      </c>
      <c r="AJ2" s="555"/>
      <c r="AK2" s="555"/>
      <c r="AL2" s="555"/>
      <c r="AM2" s="555"/>
      <c r="AN2" s="555"/>
      <c r="AO2" s="555"/>
      <c r="AP2" s="556"/>
      <c r="AQ2"/>
      <c r="AR2"/>
      <c r="AS2"/>
      <c r="AT2"/>
      <c r="AU2"/>
      <c r="AV2"/>
      <c r="AW2"/>
      <c r="AX2"/>
      <c r="BA2"/>
      <c r="BC2"/>
      <c r="BD2"/>
      <c r="BE2"/>
    </row>
    <row r="3" spans="1:57" ht="93.75" customHeight="1" thickTop="1" thickBot="1">
      <c r="A3" s="142" t="s">
        <v>88</v>
      </c>
      <c r="B3" s="46" t="s">
        <v>89</v>
      </c>
      <c r="C3" s="47" t="s">
        <v>90</v>
      </c>
      <c r="D3" s="47" t="s">
        <v>91</v>
      </c>
      <c r="E3" s="47" t="s">
        <v>92</v>
      </c>
      <c r="F3" s="47" t="s">
        <v>93</v>
      </c>
      <c r="G3" s="47" t="s">
        <v>94</v>
      </c>
      <c r="H3" s="47" t="s">
        <v>95</v>
      </c>
      <c r="I3" s="47" t="s">
        <v>96</v>
      </c>
      <c r="J3" s="48" t="s">
        <v>97</v>
      </c>
      <c r="K3" s="72" t="s">
        <v>466</v>
      </c>
      <c r="L3" s="190" t="s">
        <v>467</v>
      </c>
      <c r="M3" s="49" t="s">
        <v>468</v>
      </c>
      <c r="N3" s="49" t="s">
        <v>469</v>
      </c>
      <c r="O3" s="49" t="s">
        <v>470</v>
      </c>
      <c r="P3" s="49" t="s">
        <v>471</v>
      </c>
      <c r="Q3" s="49" t="s">
        <v>472</v>
      </c>
      <c r="R3" s="50" t="s">
        <v>473</v>
      </c>
      <c r="S3" s="69" t="s">
        <v>474</v>
      </c>
      <c r="T3" s="191" t="s">
        <v>475</v>
      </c>
      <c r="U3" s="70" t="s">
        <v>476</v>
      </c>
      <c r="V3" s="70" t="s">
        <v>477</v>
      </c>
      <c r="W3" s="70" t="s">
        <v>478</v>
      </c>
      <c r="X3" s="70" t="s">
        <v>479</v>
      </c>
      <c r="Y3" s="70" t="s">
        <v>480</v>
      </c>
      <c r="Z3" s="71" t="s">
        <v>481</v>
      </c>
      <c r="AA3" s="76" t="s">
        <v>482</v>
      </c>
      <c r="AB3" s="78" t="s">
        <v>483</v>
      </c>
      <c r="AC3" s="78" t="s">
        <v>484</v>
      </c>
      <c r="AD3" s="78" t="s">
        <v>485</v>
      </c>
      <c r="AE3" s="78" t="s">
        <v>486</v>
      </c>
      <c r="AF3" s="78" t="s">
        <v>487</v>
      </c>
      <c r="AG3" s="77" t="s">
        <v>488</v>
      </c>
      <c r="AH3" s="165" t="s">
        <v>489</v>
      </c>
      <c r="AI3" s="164" t="s">
        <v>98</v>
      </c>
      <c r="AJ3" s="77" t="s">
        <v>58</v>
      </c>
      <c r="AK3" s="77" t="s">
        <v>60</v>
      </c>
      <c r="AL3" s="77" t="s">
        <v>99</v>
      </c>
      <c r="AM3" s="77" t="s">
        <v>100</v>
      </c>
      <c r="AN3" s="77" t="s">
        <v>490</v>
      </c>
      <c r="AO3" s="77" t="s">
        <v>102</v>
      </c>
      <c r="AP3" s="79" t="s">
        <v>103</v>
      </c>
      <c r="AQ3"/>
      <c r="AR3"/>
      <c r="AS3"/>
      <c r="AT3"/>
      <c r="AU3"/>
      <c r="AV3"/>
      <c r="AW3"/>
      <c r="AX3"/>
      <c r="BA3"/>
      <c r="BC3"/>
      <c r="BD3"/>
      <c r="BE3"/>
    </row>
    <row r="4" spans="1:57" s="240" customFormat="1" ht="14.65" thickTop="1">
      <c r="A4" s="244"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Global_PopulationHT0111</v>
      </c>
      <c r="B4" s="245" t="s">
        <v>152</v>
      </c>
      <c r="C4" s="246" t="s">
        <v>153</v>
      </c>
      <c r="D4" s="246" t="s">
        <v>154</v>
      </c>
      <c r="E4" s="246" t="s">
        <v>155</v>
      </c>
      <c r="F4" s="99"/>
      <c r="G4" s="36"/>
      <c r="H4" s="36"/>
      <c r="I4" s="247">
        <v>926906</v>
      </c>
      <c r="J4" s="241" t="s">
        <v>156</v>
      </c>
      <c r="K4" s="223">
        <v>147618</v>
      </c>
      <c r="L4" s="248">
        <v>123178</v>
      </c>
      <c r="M4" s="242">
        <v>106617</v>
      </c>
      <c r="N4" s="242">
        <v>461032</v>
      </c>
      <c r="O4" s="242">
        <v>364055</v>
      </c>
      <c r="P4" s="242">
        <v>202430</v>
      </c>
      <c r="Q4" s="243">
        <v>165905</v>
      </c>
      <c r="R4" s="242">
        <v>403488.62441452662</v>
      </c>
      <c r="S4" s="230">
        <f>IFERROR(INDEX(tblPiNAnalysis[CCCM], MATCH(tblPiNHistorical[[#This Row],[ID]], tblPiNAnalysis[ID], 0)), "")</f>
        <v>245716.5</v>
      </c>
      <c r="T4" s="231">
        <f>IFERROR(INDEX(tblPiNAnalysis[Education], MATCH(tblPiNHistorical[[#This Row],[ID]], tblPiNAnalysis[ID], 0)), "")</f>
        <v>120467</v>
      </c>
      <c r="U4" s="214">
        <f>IFERROR(INDEX(tblPiNAnalysis[Nutrition], MATCH(tblPiNHistorical[[#This Row],[ID]], tblPiNAnalysis[ID], 0)), "")</f>
        <v>118634</v>
      </c>
      <c r="V4" s="214">
        <f>IFERROR(INDEX(tblPiNAnalysis[Food Security], MATCH(tblPiNHistorical[[#This Row],[ID]], tblPiNAnalysis[ID], 0)), "")</f>
        <v>353355</v>
      </c>
      <c r="W4" s="214">
        <f>IFERROR(INDEX(tblPiNAnalysis[Health], MATCH(tblPiNHistorical[[#This Row],[ID]], tblPiNAnalysis[ID], 0)), "")</f>
        <v>765508.09164724161</v>
      </c>
      <c r="X4" s="214">
        <f>IFERROR(INDEX(tblPiNAnalysis[Protection], MATCH(tblPiNHistorical[[#This Row],[ID]], tblPiNAnalysis[ID], 0)), "")</f>
        <v>271807.01666666666</v>
      </c>
      <c r="Y4" s="214">
        <f>IFERROR(INDEX(tblPiNAnalysis[Shelter], MATCH(tblPiNHistorical[[#This Row],[ID]], tblPiNAnalysis[ID], 0)), "")</f>
        <v>215855</v>
      </c>
      <c r="Z4" s="225">
        <f>IFERROR(INDEX(tblPiNAnalysis[WASH], MATCH(tblPiNHistorical[[#This Row],[ID]], tblPiNAnalysis[ID], 0)), "")</f>
        <v>231726.5</v>
      </c>
      <c r="AA4" s="249">
        <f>IF(OR(tblPiNHistorical[[#This Row],[CCCM - old]]="", tblPiNHistorical[[#This Row],[CCCM - old]]=0, tblPiNHistorical[[#This Row],[CCCM - new]]="", tblPiNHistorical[[#This Row],[CCCM - new]]=0), "", tblPiNHistorical[[#This Row],[CCCM - new]]-tblPiNHistorical[[#This Row],[CCCM - old]])</f>
        <v>98098.5</v>
      </c>
      <c r="AB4" s="250">
        <f>IF(OR(tblPiNHistorical[[#This Row],[Education - old]]="", tblPiNHistorical[[#This Row],[Education - old]]=0, tblPiNHistorical[[#This Row],[Education - new]]="", tblPiNHistorical[[#This Row],[Education - new]]=0), "", tblPiNHistorical[[#This Row],[Education - new]]-tblPiNHistorical[[#This Row],[Education - old]])</f>
        <v>-2711</v>
      </c>
      <c r="AC4" s="250">
        <f>IF(OR(tblPiNHistorical[[#This Row],[Nutrition - old]]="", tblPiNHistorical[[#This Row],[Nutrition - old]]=0, tblPiNHistorical[[#This Row],[Nutrition - new]]="", tblPiNHistorical[[#This Row],[Nutrition - new]]=0), "", tblPiNHistorical[[#This Row],[Nutrition - new]]-tblPiNHistorical[[#This Row],[Nutrition - old]])</f>
        <v>12017</v>
      </c>
      <c r="AD4" s="250">
        <f>IF(OR(tblPiNHistorical[[#This Row],[Food Security - old]]="", tblPiNHistorical[[#This Row],[Food Security - old]]=0, tblPiNHistorical[[#This Row],[Food Security - new]]="", tblPiNHistorical[[#This Row],[Food Security - new]]=0), "", tblPiNHistorical[[#This Row],[Food Security - new]]-tblPiNHistorical[[#This Row],[Food Security - old]])</f>
        <v>-107677</v>
      </c>
      <c r="AE4" s="250">
        <f>IF(OR(tblPiNHistorical[[#This Row],[Health - old]]="", tblPiNHistorical[[#This Row],[Health - old]]=0, tblPiNHistorical[[#This Row],[Health - new]]="", tblPiNHistorical[[#This Row],[Health - new]]=0), "", tblPiNHistorical[[#This Row],[Health - new]]-tblPiNHistorical[[#This Row],[Health - old]])</f>
        <v>401453.09164724161</v>
      </c>
      <c r="AF4" s="25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69377.016666666663</v>
      </c>
      <c r="AG4" s="250">
        <f>IF(OR(tblPiNHistorical[[#This Row],[Shelter - old]]="", tblPiNHistorical[[#This Row],[Shelter - old]]=0, tblPiNHistorical[[#This Row],[Shelter - new]]="", tblPiNHistorical[[#This Row],[Shelter - new]]=0), "", tblPiNHistorical[[#This Row],[Shelter - new]]-tblPiNHistorical[[#This Row],[Shelter - old]])</f>
        <v>49950</v>
      </c>
      <c r="AH4" s="251">
        <f>IF(OR(tblPiNHistorical[[#This Row],[WASH - old]]="", tblPiNHistorical[[#This Row],[WASH - old]]=0, tblPiNHistorical[[#This Row],[WASH - new]]="", tblPiNHistorical[[#This Row],[WASH - new]]=0), "", tblPiNHistorical[[#This Row],[WASH - new]]-tblPiNHistorical[[#This Row],[WASH - old]])</f>
        <v>-171762.12441452662</v>
      </c>
      <c r="AI4" s="252">
        <f>IFERROR(ROUND((tblPiNHistorical[[#This Row],[CCCM - new]] - tblPiNHistorical[[#This Row],[CCCM - old]])/tblPiNHistorical[[#This Row],[CCCM - old]], 1), "")</f>
        <v>0.7</v>
      </c>
      <c r="AJ4" s="253">
        <f>IFERROR(ROUND((tblPiNHistorical[[#This Row],[Education - new]]-tblPiNHistorical[[#This Row],[Education - old]])/tblPiNHistorical[[#This Row],[Education - old]], 1), "")</f>
        <v>0</v>
      </c>
      <c r="AK4" s="253">
        <f>IFERROR(ROUND((tblPiNHistorical[[#This Row],[Nutrition - new]]-tblPiNHistorical[[#This Row],[Nutrition - old]])/tblPiNHistorical[[#This Row],[Nutrition - old]], 1), "")</f>
        <v>0.1</v>
      </c>
      <c r="AL4" s="253">
        <f>IFERROR(ROUND((tblPiNHistorical[[#This Row],[Food Security - new]]-tblPiNHistorical[[#This Row],[Food Security - old]])/tblPiNHistorical[[#This Row],[Food Security - old]], 1), "")</f>
        <v>-0.2</v>
      </c>
      <c r="AM4" s="253">
        <f>IFERROR(ROUND((tblPiNHistorical[[#This Row],[Health - new]]-tblPiNHistorical[[#This Row],[Health - old]])/tblPiNHistorical[[#This Row],[Health - old]], 1), "")</f>
        <v>1.1000000000000001</v>
      </c>
      <c r="AN4" s="253">
        <f>IFERROR(ROUND((tblPiNHistorical[[#This Row],[Overarching Protection - new]]-tblPiNHistorical[[#This Row],[Overarching Protection - old]])/tblPiNHistorical[[#This Row],[Overarching Protection - old]], 1), "")</f>
        <v>0.3</v>
      </c>
      <c r="AO4" s="253">
        <f>IFERROR(ROUND((tblPiNHistorical[[#This Row],[Shelter - new]]-tblPiNHistorical[[#This Row],[Shelter - old]])/tblPiNHistorical[[#This Row],[Shelter - old]], 1), "")</f>
        <v>0.3</v>
      </c>
      <c r="AP4" s="254">
        <f>IFERROR(ROUND((tblPiNHistorical[[#This Row],[WASH - new]]-tblPiNHistorical[[#This Row],[WASH - old]])/tblPiNHistorical[[#This Row],[WASH - old]], 1), "")</f>
        <v>-0.4</v>
      </c>
    </row>
    <row r="5" spans="1:57" s="240" customFormat="1">
      <c r="A5" s="244"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Global_PopulationHT0112</v>
      </c>
      <c r="B5" s="245" t="s">
        <v>152</v>
      </c>
      <c r="C5" s="246" t="s">
        <v>153</v>
      </c>
      <c r="D5" s="246" t="s">
        <v>158</v>
      </c>
      <c r="E5" s="246" t="s">
        <v>159</v>
      </c>
      <c r="F5" s="99"/>
      <c r="G5" s="36"/>
      <c r="H5" s="36"/>
      <c r="I5" s="247">
        <v>435779</v>
      </c>
      <c r="J5" s="241" t="s">
        <v>156</v>
      </c>
      <c r="K5" s="223">
        <v>72923</v>
      </c>
      <c r="L5" s="248">
        <v>39625</v>
      </c>
      <c r="M5" s="242">
        <v>48274</v>
      </c>
      <c r="N5" s="242">
        <v>174768</v>
      </c>
      <c r="O5" s="242">
        <v>155594</v>
      </c>
      <c r="P5" s="242">
        <v>94639</v>
      </c>
      <c r="Q5" s="243">
        <v>52615</v>
      </c>
      <c r="R5" s="242">
        <v>184457.37241174746</v>
      </c>
      <c r="S5" s="230">
        <f>IFERROR(INDEX(tblPiNAnalysis[CCCM], MATCH(tblPiNHistorical[[#This Row],[ID]], tblPiNAnalysis[ID], 0)), "")</f>
        <v>115017</v>
      </c>
      <c r="T5" s="231">
        <f>IFERROR(INDEX(tblPiNAnalysis[Education], MATCH(tblPiNHistorical[[#This Row],[ID]], tblPiNAnalysis[ID], 0)), "")</f>
        <v>43362</v>
      </c>
      <c r="U5" s="214">
        <f>IFERROR(INDEX(tblPiNAnalysis[Nutrition], MATCH(tblPiNHistorical[[#This Row],[ID]], tblPiNAnalysis[ID], 0)), "")</f>
        <v>54404</v>
      </c>
      <c r="V5" s="214">
        <f>IFERROR(INDEX(tblPiNAnalysis[Food Security], MATCH(tblPiNHistorical[[#This Row],[ID]], tblPiNAnalysis[ID], 0)), "")</f>
        <v>85276</v>
      </c>
      <c r="W5" s="214">
        <f>IFERROR(INDEX(tblPiNAnalysis[Health], MATCH(tblPiNHistorical[[#This Row],[ID]], tblPiNAnalysis[ID], 0)), "")</f>
        <v>108429.19404600158</v>
      </c>
      <c r="X5" s="214">
        <f>IFERROR(INDEX(tblPiNAnalysis[Protection], MATCH(tblPiNHistorical[[#This Row],[ID]], tblPiNAnalysis[ID], 0)), "")</f>
        <v>136209.016</v>
      </c>
      <c r="Y5" s="214">
        <f>IFERROR(INDEX(tblPiNAnalysis[Shelter], MATCH(tblPiNHistorical[[#This Row],[ID]], tblPiNAnalysis[ID], 0)), "")</f>
        <v>174122</v>
      </c>
      <c r="Z5" s="225">
        <f>IFERROR(INDEX(tblPiNAnalysis[WASH], MATCH(tblPiNHistorical[[#This Row],[ID]], tblPiNAnalysis[ID], 0)), "")</f>
        <v>76678</v>
      </c>
      <c r="AA5" s="249">
        <f>IF(OR(tblPiNHistorical[[#This Row],[CCCM - old]]="", tblPiNHistorical[[#This Row],[CCCM - old]]=0, tblPiNHistorical[[#This Row],[CCCM - new]]="", tblPiNHistorical[[#This Row],[CCCM - new]]=0), "", tblPiNHistorical[[#This Row],[CCCM - new]]-tblPiNHistorical[[#This Row],[CCCM - old]])</f>
        <v>42094</v>
      </c>
      <c r="AB5" s="250">
        <f>IF(OR(tblPiNHistorical[[#This Row],[Education - old]]="", tblPiNHistorical[[#This Row],[Education - old]]=0, tblPiNHistorical[[#This Row],[Education - new]]="", tblPiNHistorical[[#This Row],[Education - new]]=0), "", tblPiNHistorical[[#This Row],[Education - new]]-tblPiNHistorical[[#This Row],[Education - old]])</f>
        <v>3737</v>
      </c>
      <c r="AC5" s="250">
        <f>IF(OR(tblPiNHistorical[[#This Row],[Nutrition - old]]="", tblPiNHistorical[[#This Row],[Nutrition - old]]=0, tblPiNHistorical[[#This Row],[Nutrition - new]]="", tblPiNHistorical[[#This Row],[Nutrition - new]]=0), "", tblPiNHistorical[[#This Row],[Nutrition - new]]-tblPiNHistorical[[#This Row],[Nutrition - old]])</f>
        <v>6130</v>
      </c>
      <c r="AD5" s="250">
        <f>IF(OR(tblPiNHistorical[[#This Row],[Food Security - old]]="", tblPiNHistorical[[#This Row],[Food Security - old]]=0, tblPiNHistorical[[#This Row],[Food Security - new]]="", tblPiNHistorical[[#This Row],[Food Security - new]]=0), "", tblPiNHistorical[[#This Row],[Food Security - new]]-tblPiNHistorical[[#This Row],[Food Security - old]])</f>
        <v>-89492</v>
      </c>
      <c r="AE5" s="250">
        <f>IF(OR(tblPiNHistorical[[#This Row],[Health - old]]="", tblPiNHistorical[[#This Row],[Health - old]]=0, tblPiNHistorical[[#This Row],[Health - new]]="", tblPiNHistorical[[#This Row],[Health - new]]=0), "", tblPiNHistorical[[#This Row],[Health - new]]-tblPiNHistorical[[#This Row],[Health - old]])</f>
        <v>-47164.805953998424</v>
      </c>
      <c r="AF5" s="25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41570.016000000003</v>
      </c>
      <c r="AG5" s="250">
        <f>IF(OR(tblPiNHistorical[[#This Row],[Shelter - old]]="", tblPiNHistorical[[#This Row],[Shelter - old]]=0, tblPiNHistorical[[#This Row],[Shelter - new]]="", tblPiNHistorical[[#This Row],[Shelter - new]]=0), "", tblPiNHistorical[[#This Row],[Shelter - new]]-tblPiNHistorical[[#This Row],[Shelter - old]])</f>
        <v>121507</v>
      </c>
      <c r="AH5" s="251">
        <f>IF(OR(tblPiNHistorical[[#This Row],[WASH - old]]="", tblPiNHistorical[[#This Row],[WASH - old]]=0, tblPiNHistorical[[#This Row],[WASH - new]]="", tblPiNHistorical[[#This Row],[WASH - new]]=0), "", tblPiNHistorical[[#This Row],[WASH - new]]-tblPiNHistorical[[#This Row],[WASH - old]])</f>
        <v>-107779.37241174746</v>
      </c>
      <c r="AI5" s="252">
        <f>IFERROR(ROUND((tblPiNHistorical[[#This Row],[CCCM - new]] - tblPiNHistorical[[#This Row],[CCCM - old]])/tblPiNHistorical[[#This Row],[CCCM - old]], 1), "")</f>
        <v>0.6</v>
      </c>
      <c r="AJ5" s="253">
        <f>IFERROR(ROUND((tblPiNHistorical[[#This Row],[Education - new]]-tblPiNHistorical[[#This Row],[Education - old]])/tblPiNHistorical[[#This Row],[Education - old]], 1), "")</f>
        <v>0.1</v>
      </c>
      <c r="AK5" s="253">
        <f>IFERROR(ROUND((tblPiNHistorical[[#This Row],[Nutrition - new]]-tblPiNHistorical[[#This Row],[Nutrition - old]])/tblPiNHistorical[[#This Row],[Nutrition - old]], 1), "")</f>
        <v>0.1</v>
      </c>
      <c r="AL5" s="253">
        <f>IFERROR(ROUND((tblPiNHistorical[[#This Row],[Food Security - new]]-tblPiNHistorical[[#This Row],[Food Security - old]])/tblPiNHistorical[[#This Row],[Food Security - old]], 1), "")</f>
        <v>-0.5</v>
      </c>
      <c r="AM5" s="253">
        <f>IFERROR(ROUND((tblPiNHistorical[[#This Row],[Health - new]]-tblPiNHistorical[[#This Row],[Health - old]])/tblPiNHistorical[[#This Row],[Health - old]], 1), "")</f>
        <v>-0.3</v>
      </c>
      <c r="AN5" s="253">
        <f>IFERROR(ROUND((tblPiNHistorical[[#This Row],[Overarching Protection - new]]-tblPiNHistorical[[#This Row],[Overarching Protection - old]])/tblPiNHistorical[[#This Row],[Overarching Protection - old]], 1), "")</f>
        <v>0.4</v>
      </c>
      <c r="AO5" s="253">
        <f>IFERROR(ROUND((tblPiNHistorical[[#This Row],[Shelter - new]]-tblPiNHistorical[[#This Row],[Shelter - old]])/tblPiNHistorical[[#This Row],[Shelter - old]], 1), "")</f>
        <v>2.2999999999999998</v>
      </c>
      <c r="AP5" s="254">
        <f>IFERROR(ROUND((tblPiNHistorical[[#This Row],[WASH - new]]-tblPiNHistorical[[#This Row],[WASH - old]])/tblPiNHistorical[[#This Row],[WASH - old]], 1), "")</f>
        <v>-0.6</v>
      </c>
    </row>
    <row r="6" spans="1:57" s="240" customFormat="1">
      <c r="A6" s="244"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Global_PopulationHT0113</v>
      </c>
      <c r="B6" s="245" t="s">
        <v>152</v>
      </c>
      <c r="C6" s="246" t="s">
        <v>153</v>
      </c>
      <c r="D6" s="246" t="s">
        <v>160</v>
      </c>
      <c r="E6" s="246" t="s">
        <v>161</v>
      </c>
      <c r="F6" s="99"/>
      <c r="G6" s="36"/>
      <c r="H6" s="36"/>
      <c r="I6" s="247">
        <v>460506</v>
      </c>
      <c r="J6" s="241" t="s">
        <v>156</v>
      </c>
      <c r="K6" s="223">
        <v>14145</v>
      </c>
      <c r="L6" s="248">
        <v>68800</v>
      </c>
      <c r="M6" s="242">
        <v>53505</v>
      </c>
      <c r="N6" s="242">
        <v>120573</v>
      </c>
      <c r="O6" s="242">
        <v>61230</v>
      </c>
      <c r="P6" s="242">
        <v>51181</v>
      </c>
      <c r="Q6" s="243">
        <v>35000</v>
      </c>
      <c r="R6" s="242">
        <v>61089.506586152609</v>
      </c>
      <c r="S6" s="230">
        <f>IFERROR(INDEX(tblPiNAnalysis[CCCM], MATCH(tblPiNHistorical[[#This Row],[ID]], tblPiNAnalysis[ID], 0)), "")</f>
        <v>14433</v>
      </c>
      <c r="T6" s="231">
        <f>IFERROR(INDEX(tblPiNAnalysis[Education], MATCH(tblPiNHistorical[[#This Row],[ID]], tblPiNAnalysis[ID], 0)), "")</f>
        <v>73069</v>
      </c>
      <c r="U6" s="214">
        <f>IFERROR(INDEX(tblPiNAnalysis[Nutrition], MATCH(tblPiNHistorical[[#This Row],[ID]], tblPiNAnalysis[ID], 0)), "")</f>
        <v>54178</v>
      </c>
      <c r="V6" s="214">
        <f>IFERROR(INDEX(tblPiNAnalysis[Food Security], MATCH(tblPiNHistorical[[#This Row],[ID]], tblPiNAnalysis[ID], 0)), "")</f>
        <v>115527</v>
      </c>
      <c r="W6" s="214">
        <f>IFERROR(INDEX(tblPiNAnalysis[Health], MATCH(tblPiNHistorical[[#This Row],[ID]], tblPiNAnalysis[ID], 0)), "")</f>
        <v>317267.19035006355</v>
      </c>
      <c r="X6" s="214">
        <f>IFERROR(INDEX(tblPiNAnalysis[Protection], MATCH(tblPiNHistorical[[#This Row],[ID]], tblPiNAnalysis[ID], 0)), "")</f>
        <v>19185.277999999998</v>
      </c>
      <c r="Y6" s="214">
        <f>IFERROR(INDEX(tblPiNAnalysis[Shelter], MATCH(tblPiNHistorical[[#This Row],[ID]], tblPiNAnalysis[ID], 0)), "")</f>
        <v>91474</v>
      </c>
      <c r="Z6" s="225">
        <f>IFERROR(INDEX(tblPiNAnalysis[WASH], MATCH(tblPiNHistorical[[#This Row],[ID]], tblPiNAnalysis[ID], 0)), "")</f>
        <v>41445.54</v>
      </c>
      <c r="AA6" s="249">
        <f>IF(OR(tblPiNHistorical[[#This Row],[CCCM - old]]="", tblPiNHistorical[[#This Row],[CCCM - old]]=0, tblPiNHistorical[[#This Row],[CCCM - new]]="", tblPiNHistorical[[#This Row],[CCCM - new]]=0), "", tblPiNHistorical[[#This Row],[CCCM - new]]-tblPiNHistorical[[#This Row],[CCCM - old]])</f>
        <v>288</v>
      </c>
      <c r="AB6" s="250">
        <f>IF(OR(tblPiNHistorical[[#This Row],[Education - old]]="", tblPiNHistorical[[#This Row],[Education - old]]=0, tblPiNHistorical[[#This Row],[Education - new]]="", tblPiNHistorical[[#This Row],[Education - new]]=0), "", tblPiNHistorical[[#This Row],[Education - new]]-tblPiNHistorical[[#This Row],[Education - old]])</f>
        <v>4269</v>
      </c>
      <c r="AC6" s="250">
        <f>IF(OR(tblPiNHistorical[[#This Row],[Nutrition - old]]="", tblPiNHistorical[[#This Row],[Nutrition - old]]=0, tblPiNHistorical[[#This Row],[Nutrition - new]]="", tblPiNHistorical[[#This Row],[Nutrition - new]]=0), "", tblPiNHistorical[[#This Row],[Nutrition - new]]-tblPiNHistorical[[#This Row],[Nutrition - old]])</f>
        <v>673</v>
      </c>
      <c r="AD6" s="250">
        <f>IF(OR(tblPiNHistorical[[#This Row],[Food Security - old]]="", tblPiNHistorical[[#This Row],[Food Security - old]]=0, tblPiNHistorical[[#This Row],[Food Security - new]]="", tblPiNHistorical[[#This Row],[Food Security - new]]=0), "", tblPiNHistorical[[#This Row],[Food Security - new]]-tblPiNHistorical[[#This Row],[Food Security - old]])</f>
        <v>-5046</v>
      </c>
      <c r="AE6" s="250">
        <f>IF(OR(tblPiNHistorical[[#This Row],[Health - old]]="", tblPiNHistorical[[#This Row],[Health - old]]=0, tblPiNHistorical[[#This Row],[Health - new]]="", tblPiNHistorical[[#This Row],[Health - new]]=0), "", tblPiNHistorical[[#This Row],[Health - new]]-tblPiNHistorical[[#This Row],[Health - old]])</f>
        <v>256037.19035006355</v>
      </c>
      <c r="AF6" s="25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-31995.722000000002</v>
      </c>
      <c r="AG6" s="250">
        <f>IF(OR(tblPiNHistorical[[#This Row],[Shelter - old]]="", tblPiNHistorical[[#This Row],[Shelter - old]]=0, tblPiNHistorical[[#This Row],[Shelter - new]]="", tblPiNHistorical[[#This Row],[Shelter - new]]=0), "", tblPiNHistorical[[#This Row],[Shelter - new]]-tblPiNHistorical[[#This Row],[Shelter - old]])</f>
        <v>56474</v>
      </c>
      <c r="AH6" s="251">
        <f>IF(OR(tblPiNHistorical[[#This Row],[WASH - old]]="", tblPiNHistorical[[#This Row],[WASH - old]]=0, tblPiNHistorical[[#This Row],[WASH - new]]="", tblPiNHistorical[[#This Row],[WASH - new]]=0), "", tblPiNHistorical[[#This Row],[WASH - new]]-tblPiNHistorical[[#This Row],[WASH - old]])</f>
        <v>-19643.966586152608</v>
      </c>
      <c r="AI6" s="252">
        <f>IFERROR(ROUND((tblPiNHistorical[[#This Row],[CCCM - new]] - tblPiNHistorical[[#This Row],[CCCM - old]])/tblPiNHistorical[[#This Row],[CCCM - old]], 1), "")</f>
        <v>0</v>
      </c>
      <c r="AJ6" s="253">
        <f>IFERROR(ROUND((tblPiNHistorical[[#This Row],[Education - new]]-tblPiNHistorical[[#This Row],[Education - old]])/tblPiNHistorical[[#This Row],[Education - old]], 1), "")</f>
        <v>0.1</v>
      </c>
      <c r="AK6" s="253">
        <f>IFERROR(ROUND((tblPiNHistorical[[#This Row],[Nutrition - new]]-tblPiNHistorical[[#This Row],[Nutrition - old]])/tblPiNHistorical[[#This Row],[Nutrition - old]], 1), "")</f>
        <v>0</v>
      </c>
      <c r="AL6" s="253">
        <f>IFERROR(ROUND((tblPiNHistorical[[#This Row],[Food Security - new]]-tblPiNHistorical[[#This Row],[Food Security - old]])/tblPiNHistorical[[#This Row],[Food Security - old]], 1), "")</f>
        <v>0</v>
      </c>
      <c r="AM6" s="253">
        <f>IFERROR(ROUND((tblPiNHistorical[[#This Row],[Health - new]]-tblPiNHistorical[[#This Row],[Health - old]])/tblPiNHistorical[[#This Row],[Health - old]], 1), "")</f>
        <v>4.2</v>
      </c>
      <c r="AN6" s="253">
        <f>IFERROR(ROUND((tblPiNHistorical[[#This Row],[Overarching Protection - new]]-tblPiNHistorical[[#This Row],[Overarching Protection - old]])/tblPiNHistorical[[#This Row],[Overarching Protection - old]], 1), "")</f>
        <v>-0.6</v>
      </c>
      <c r="AO6" s="253">
        <f>IFERROR(ROUND((tblPiNHistorical[[#This Row],[Shelter - new]]-tblPiNHistorical[[#This Row],[Shelter - old]])/tblPiNHistorical[[#This Row],[Shelter - old]], 1), "")</f>
        <v>1.6</v>
      </c>
      <c r="AP6" s="254">
        <f>IFERROR(ROUND((tblPiNHistorical[[#This Row],[WASH - new]]-tblPiNHistorical[[#This Row],[WASH - old]])/tblPiNHistorical[[#This Row],[WASH - old]], 1), "")</f>
        <v>-0.3</v>
      </c>
    </row>
    <row r="7" spans="1:57" s="240" customFormat="1">
      <c r="A7" s="244"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Global_PopulationHT0114</v>
      </c>
      <c r="B7" s="245" t="s">
        <v>152</v>
      </c>
      <c r="C7" s="246" t="s">
        <v>153</v>
      </c>
      <c r="D7" s="246" t="s">
        <v>162</v>
      </c>
      <c r="E7" s="246" t="s">
        <v>163</v>
      </c>
      <c r="F7" s="99"/>
      <c r="G7" s="36"/>
      <c r="H7" s="36"/>
      <c r="I7" s="247">
        <v>394895</v>
      </c>
      <c r="J7" s="241" t="s">
        <v>156</v>
      </c>
      <c r="K7" s="223">
        <v>6894</v>
      </c>
      <c r="L7" s="248">
        <v>39391</v>
      </c>
      <c r="M7" s="242">
        <v>37187</v>
      </c>
      <c r="N7" s="242">
        <v>81775</v>
      </c>
      <c r="O7" s="242">
        <v>64415</v>
      </c>
      <c r="P7" s="242">
        <v>57727</v>
      </c>
      <c r="Q7" s="243">
        <v>91635</v>
      </c>
      <c r="R7" s="242">
        <v>31480.008935225997</v>
      </c>
      <c r="S7" s="230">
        <f>IFERROR(INDEX(tblPiNAnalysis[CCCM], MATCH(tblPiNHistorical[[#This Row],[ID]], tblPiNAnalysis[ID], 0)), "")</f>
        <v>30757.5</v>
      </c>
      <c r="T7" s="231">
        <f>IFERROR(INDEX(tblPiNAnalysis[Education], MATCH(tblPiNHistorical[[#This Row],[ID]], tblPiNAnalysis[ID], 0)), "")</f>
        <v>24780</v>
      </c>
      <c r="U7" s="214">
        <f>IFERROR(INDEX(tblPiNAnalysis[Nutrition], MATCH(tblPiNHistorical[[#This Row],[ID]], tblPiNAnalysis[ID], 0)), "")</f>
        <v>38803</v>
      </c>
      <c r="V7" s="214">
        <f>IFERROR(INDEX(tblPiNAnalysis[Food Security], MATCH(tblPiNHistorical[[#This Row],[ID]], tblPiNAnalysis[ID], 0)), "")</f>
        <v>97113</v>
      </c>
      <c r="W7" s="214">
        <f>IFERROR(INDEX(tblPiNAnalysis[Health], MATCH(tblPiNHistorical[[#This Row],[ID]], tblPiNAnalysis[ID], 0)), "")</f>
        <v>103609.90086886453</v>
      </c>
      <c r="X7" s="214">
        <f>IFERROR(INDEX(tblPiNAnalysis[Protection], MATCH(tblPiNHistorical[[#This Row],[ID]], tblPiNAnalysis[ID], 0)), "")</f>
        <v>42634.5</v>
      </c>
      <c r="Y7" s="214">
        <f>IFERROR(INDEX(tblPiNAnalysis[Shelter], MATCH(tblPiNHistorical[[#This Row],[ID]], tblPiNAnalysis[ID], 0)), "")</f>
        <v>116694</v>
      </c>
      <c r="Z7" s="225">
        <f>IFERROR(INDEX(tblPiNAnalysis[WASH], MATCH(tblPiNHistorical[[#This Row],[ID]], tblPiNAnalysis[ID], 0)), "")</f>
        <v>60092.717391304352</v>
      </c>
      <c r="AA7" s="249">
        <f>IF(OR(tblPiNHistorical[[#This Row],[CCCM - old]]="", tblPiNHistorical[[#This Row],[CCCM - old]]=0, tblPiNHistorical[[#This Row],[CCCM - new]]="", tblPiNHistorical[[#This Row],[CCCM - new]]=0), "", tblPiNHistorical[[#This Row],[CCCM - new]]-tblPiNHistorical[[#This Row],[CCCM - old]])</f>
        <v>23863.5</v>
      </c>
      <c r="AB7" s="250">
        <f>IF(OR(tblPiNHistorical[[#This Row],[Education - old]]="", tblPiNHistorical[[#This Row],[Education - old]]=0, tblPiNHistorical[[#This Row],[Education - new]]="", tblPiNHistorical[[#This Row],[Education - new]]=0), "", tblPiNHistorical[[#This Row],[Education - new]]-tblPiNHistorical[[#This Row],[Education - old]])</f>
        <v>-14611</v>
      </c>
      <c r="AC7" s="250">
        <f>IF(OR(tblPiNHistorical[[#This Row],[Nutrition - old]]="", tblPiNHistorical[[#This Row],[Nutrition - old]]=0, tblPiNHistorical[[#This Row],[Nutrition - new]]="", tblPiNHistorical[[#This Row],[Nutrition - new]]=0), "", tblPiNHistorical[[#This Row],[Nutrition - new]]-tblPiNHistorical[[#This Row],[Nutrition - old]])</f>
        <v>1616</v>
      </c>
      <c r="AD7" s="250">
        <f>IF(OR(tblPiNHistorical[[#This Row],[Food Security - old]]="", tblPiNHistorical[[#This Row],[Food Security - old]]=0, tblPiNHistorical[[#This Row],[Food Security - new]]="", tblPiNHistorical[[#This Row],[Food Security - new]]=0), "", tblPiNHistorical[[#This Row],[Food Security - new]]-tblPiNHistorical[[#This Row],[Food Security - old]])</f>
        <v>15338</v>
      </c>
      <c r="AE7" s="250">
        <f>IF(OR(tblPiNHistorical[[#This Row],[Health - old]]="", tblPiNHistorical[[#This Row],[Health - old]]=0, tblPiNHistorical[[#This Row],[Health - new]]="", tblPiNHistorical[[#This Row],[Health - new]]=0), "", tblPiNHistorical[[#This Row],[Health - new]]-tblPiNHistorical[[#This Row],[Health - old]])</f>
        <v>39194.900868864526</v>
      </c>
      <c r="AF7" s="250">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-15092.5</v>
      </c>
      <c r="AG7" s="250">
        <f>IF(OR(tblPiNHistorical[[#This Row],[Shelter - old]]="", tblPiNHistorical[[#This Row],[Shelter - old]]=0, tblPiNHistorical[[#This Row],[Shelter - new]]="", tblPiNHistorical[[#This Row],[Shelter - new]]=0), "", tblPiNHistorical[[#This Row],[Shelter - new]]-tblPiNHistorical[[#This Row],[Shelter - old]])</f>
        <v>25059</v>
      </c>
      <c r="AH7" s="251">
        <f>IF(OR(tblPiNHistorical[[#This Row],[WASH - old]]="", tblPiNHistorical[[#This Row],[WASH - old]]=0, tblPiNHistorical[[#This Row],[WASH - new]]="", tblPiNHistorical[[#This Row],[WASH - new]]=0), "", tblPiNHistorical[[#This Row],[WASH - new]]-tblPiNHistorical[[#This Row],[WASH - old]])</f>
        <v>28612.708456078355</v>
      </c>
      <c r="AI7" s="252">
        <f>IFERROR(ROUND((tblPiNHistorical[[#This Row],[CCCM - new]] - tblPiNHistorical[[#This Row],[CCCM - old]])/tblPiNHistorical[[#This Row],[CCCM - old]], 1), "")</f>
        <v>3.5</v>
      </c>
      <c r="AJ7" s="253">
        <f>IFERROR(ROUND((tblPiNHistorical[[#This Row],[Education - new]]-tblPiNHistorical[[#This Row],[Education - old]])/tblPiNHistorical[[#This Row],[Education - old]], 1), "")</f>
        <v>-0.4</v>
      </c>
      <c r="AK7" s="253">
        <f>IFERROR(ROUND((tblPiNHistorical[[#This Row],[Nutrition - new]]-tblPiNHistorical[[#This Row],[Nutrition - old]])/tblPiNHistorical[[#This Row],[Nutrition - old]], 1), "")</f>
        <v>0</v>
      </c>
      <c r="AL7" s="253">
        <f>IFERROR(ROUND((tblPiNHistorical[[#This Row],[Food Security - new]]-tblPiNHistorical[[#This Row],[Food Security - old]])/tblPiNHistorical[[#This Row],[Food Security - old]], 1), "")</f>
        <v>0.2</v>
      </c>
      <c r="AM7" s="253">
        <f>IFERROR(ROUND((tblPiNHistorical[[#This Row],[Health - new]]-tblPiNHistorical[[#This Row],[Health - old]])/tblPiNHistorical[[#This Row],[Health - old]], 1), "")</f>
        <v>0.6</v>
      </c>
      <c r="AN7" s="253">
        <f>IFERROR(ROUND((tblPiNHistorical[[#This Row],[Overarching Protection - new]]-tblPiNHistorical[[#This Row],[Overarching Protection - old]])/tblPiNHistorical[[#This Row],[Overarching Protection - old]], 1), "")</f>
        <v>-0.3</v>
      </c>
      <c r="AO7" s="253">
        <f>IFERROR(ROUND((tblPiNHistorical[[#This Row],[Shelter - new]]-tblPiNHistorical[[#This Row],[Shelter - old]])/tblPiNHistorical[[#This Row],[Shelter - old]], 1), "")</f>
        <v>0.3</v>
      </c>
      <c r="AP7" s="254">
        <f>IFERROR(ROUND((tblPiNHistorical[[#This Row],[WASH - new]]-tblPiNHistorical[[#This Row],[WASH - old]])/tblPiNHistorical[[#This Row],[WASH - old]], 1), "")</f>
        <v>0.9</v>
      </c>
    </row>
    <row r="8" spans="1:57">
      <c r="A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Global_PopulationHT0115</v>
      </c>
      <c r="B8" s="304" t="s">
        <v>152</v>
      </c>
      <c r="C8" s="213" t="s">
        <v>153</v>
      </c>
      <c r="D8" s="213" t="s">
        <v>164</v>
      </c>
      <c r="E8" s="103" t="s">
        <v>165</v>
      </c>
      <c r="F8" s="99"/>
      <c r="G8" s="34"/>
      <c r="H8" s="331"/>
      <c r="I8" s="96">
        <v>63006</v>
      </c>
      <c r="J8" s="241" t="s">
        <v>156</v>
      </c>
      <c r="K8" s="305">
        <v>281</v>
      </c>
      <c r="L8" s="306">
        <v>10346</v>
      </c>
      <c r="M8" s="308">
        <v>5878</v>
      </c>
      <c r="N8" s="308">
        <v>25027</v>
      </c>
      <c r="O8" s="308">
        <v>13706</v>
      </c>
      <c r="P8" s="308">
        <v>13147</v>
      </c>
      <c r="Q8" s="309">
        <v>0</v>
      </c>
      <c r="R8" s="308">
        <v>3816.4560166024189</v>
      </c>
      <c r="S8" s="308">
        <f>IFERROR(INDEX(tblPiNAnalysis[CCCM], MATCH(tblPiNHistorical[[#This Row],[ID]], tblPiNAnalysis[ID], 0)), "")</f>
        <v>2266.5</v>
      </c>
      <c r="T8" s="310">
        <f>IFERROR(INDEX(tblPiNAnalysis[Education], MATCH(tblPiNHistorical[[#This Row],[ID]], tblPiNAnalysis[ID], 0)), "")</f>
        <v>8318</v>
      </c>
      <c r="U8" s="308">
        <f>IFERROR(INDEX(tblPiNAnalysis[Nutrition], MATCH(tblPiNHistorical[[#This Row],[ID]], tblPiNAnalysis[ID], 0)), "")</f>
        <v>6000</v>
      </c>
      <c r="V8" s="308">
        <f>IFERROR(INDEX(tblPiNAnalysis[Food Security], MATCH(tblPiNHistorical[[#This Row],[ID]], tblPiNAnalysis[ID], 0)), "")</f>
        <v>24684</v>
      </c>
      <c r="W8" s="308">
        <f>IFERROR(INDEX(tblPiNAnalysis[Health], MATCH(tblPiNHistorical[[#This Row],[ID]], tblPiNAnalysis[ID], 0)), "")</f>
        <v>1928.822707081403</v>
      </c>
      <c r="X8" s="308">
        <f>IFERROR(INDEX(tblPiNAnalysis[Protection], MATCH(tblPiNHistorical[[#This Row],[ID]], tblPiNAnalysis[ID], 0)), "")</f>
        <v>1305.4349999999999</v>
      </c>
      <c r="Y8" s="308">
        <f>IFERROR(INDEX(tblPiNAnalysis[Shelter], MATCH(tblPiNHistorical[[#This Row],[ID]], tblPiNAnalysis[ID], 0)), "")</f>
        <v>2267</v>
      </c>
      <c r="Z8" s="308">
        <f>IFERROR(INDEX(tblPiNAnalysis[WASH], MATCH(tblPiNHistorical[[#This Row],[ID]], tblPiNAnalysis[ID], 0)), "")</f>
        <v>56705</v>
      </c>
      <c r="AA8" s="311">
        <f>IF(OR(tblPiNHistorical[[#This Row],[CCCM - old]]="", tblPiNHistorical[[#This Row],[CCCM - old]]=0, tblPiNHistorical[[#This Row],[CCCM - new]]="", tblPiNHistorical[[#This Row],[CCCM - new]]=0), "", tblPiNHistorical[[#This Row],[CCCM - new]]-tblPiNHistorical[[#This Row],[CCCM - old]])</f>
        <v>1985.5</v>
      </c>
      <c r="AB8" s="312">
        <f>IF(OR(tblPiNHistorical[[#This Row],[Education - old]]="", tblPiNHistorical[[#This Row],[Education - old]]=0, tblPiNHistorical[[#This Row],[Education - new]]="", tblPiNHistorical[[#This Row],[Education - new]]=0), "", tblPiNHistorical[[#This Row],[Education - new]]-tblPiNHistorical[[#This Row],[Education - old]])</f>
        <v>-2028</v>
      </c>
      <c r="AC8" s="312">
        <f>IF(OR(tblPiNHistorical[[#This Row],[Nutrition - old]]="", tblPiNHistorical[[#This Row],[Nutrition - old]]=0, tblPiNHistorical[[#This Row],[Nutrition - new]]="", tblPiNHistorical[[#This Row],[Nutrition - new]]=0), "", tblPiNHistorical[[#This Row],[Nutrition - new]]-tblPiNHistorical[[#This Row],[Nutrition - old]])</f>
        <v>122</v>
      </c>
      <c r="AD8" s="312">
        <f>IF(OR(tblPiNHistorical[[#This Row],[Food Security - old]]="", tblPiNHistorical[[#This Row],[Food Security - old]]=0, tblPiNHistorical[[#This Row],[Food Security - new]]="", tblPiNHistorical[[#This Row],[Food Security - new]]=0), "", tblPiNHistorical[[#This Row],[Food Security - new]]-tblPiNHistorical[[#This Row],[Food Security - old]])</f>
        <v>-343</v>
      </c>
      <c r="AE8" s="312">
        <f>IF(OR(tblPiNHistorical[[#This Row],[Health - old]]="", tblPiNHistorical[[#This Row],[Health - old]]=0, tblPiNHistorical[[#This Row],[Health - new]]="", tblPiNHistorical[[#This Row],[Health - new]]=0), "", tblPiNHistorical[[#This Row],[Health - new]]-tblPiNHistorical[[#This Row],[Health - old]])</f>
        <v>-11777.177292918597</v>
      </c>
      <c r="AF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-11841.565000000001</v>
      </c>
      <c r="AG8" s="312" t="str">
        <f>IF(OR(tblPiNHistorical[[#This Row],[Shelter - old]]="", tblPiNHistorical[[#This Row],[Shelter - old]]=0, tblPiNHistorical[[#This Row],[Shelter - new]]="", tblPiNHistorical[[#This Row],[Shelter - new]]=0), "", tblPiNHistorical[[#This Row],[Shelter - new]]-tblPiNHistorical[[#This Row],[Shelter - old]])</f>
        <v/>
      </c>
      <c r="AH8" s="313">
        <f>IF(OR(tblPiNHistorical[[#This Row],[WASH - old]]="", tblPiNHistorical[[#This Row],[WASH - old]]=0, tblPiNHistorical[[#This Row],[WASH - new]]="", tblPiNHistorical[[#This Row],[WASH - new]]=0), "", tblPiNHistorical[[#This Row],[WASH - new]]-tblPiNHistorical[[#This Row],[WASH - old]])</f>
        <v>52888.543983397583</v>
      </c>
      <c r="AI8" s="314">
        <f>IFERROR(ROUND((tblPiNHistorical[[#This Row],[CCCM - new]] - tblPiNHistorical[[#This Row],[CCCM - old]])/tblPiNHistorical[[#This Row],[CCCM - old]], 1), "")</f>
        <v>7.1</v>
      </c>
      <c r="AJ8" s="315">
        <f>IFERROR(ROUND((tblPiNHistorical[[#This Row],[Education - new]]-tblPiNHistorical[[#This Row],[Education - old]])/tblPiNHistorical[[#This Row],[Education - old]], 1), "")</f>
        <v>-0.2</v>
      </c>
      <c r="AK8" s="315">
        <f>IFERROR(ROUND((tblPiNHistorical[[#This Row],[Nutrition - new]]-tblPiNHistorical[[#This Row],[Nutrition - old]])/tblPiNHistorical[[#This Row],[Nutrition - old]], 1), "")</f>
        <v>0</v>
      </c>
      <c r="AL8" s="315">
        <f>IFERROR(ROUND((tblPiNHistorical[[#This Row],[Food Security - new]]-tblPiNHistorical[[#This Row],[Food Security - old]])/tblPiNHistorical[[#This Row],[Food Security - old]], 1), "")</f>
        <v>0</v>
      </c>
      <c r="AM8" s="315">
        <f>IFERROR(ROUND((tblPiNHistorical[[#This Row],[Health - new]]-tblPiNHistorical[[#This Row],[Health - old]])/tblPiNHistorical[[#This Row],[Health - old]], 1), "")</f>
        <v>-0.9</v>
      </c>
      <c r="AN8" s="315">
        <f>IFERROR(ROUND((tblPiNHistorical[[#This Row],[Overarching Protection - new]]-tblPiNHistorical[[#This Row],[Overarching Protection - old]])/tblPiNHistorical[[#This Row],[Overarching Protection - old]], 1), "")</f>
        <v>-0.9</v>
      </c>
      <c r="AO8" s="315" t="str">
        <f>IFERROR(ROUND((tblPiNHistorical[[#This Row],[Shelter - new]]-tblPiNHistorical[[#This Row],[Shelter - old]])/tblPiNHistorical[[#This Row],[Shelter - old]], 1), "")</f>
        <v/>
      </c>
      <c r="AP8" s="37">
        <f>IFERROR(ROUND((tblPiNHistorical[[#This Row],[WASH - new]]-tblPiNHistorical[[#This Row],[WASH - old]])/tblPiNHistorical[[#This Row],[WASH - old]], 1), "")</f>
        <v>13.9</v>
      </c>
      <c r="AQ8" s="21"/>
      <c r="AR8" s="73"/>
      <c r="AS8" s="21"/>
      <c r="AT8" s="73"/>
      <c r="AU8" s="21"/>
      <c r="AV8" s="73"/>
      <c r="AX8" s="17"/>
      <c r="BA8" s="17"/>
      <c r="BC8" s="24"/>
      <c r="BD8" s="21"/>
      <c r="BE8" s="17"/>
    </row>
    <row r="9" spans="1:57">
      <c r="A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Global_PopulationHT0116</v>
      </c>
      <c r="B9" s="304" t="s">
        <v>152</v>
      </c>
      <c r="C9" s="213" t="s">
        <v>153</v>
      </c>
      <c r="D9" s="213" t="s">
        <v>166</v>
      </c>
      <c r="E9" s="103" t="s">
        <v>167</v>
      </c>
      <c r="F9" s="99"/>
      <c r="G9" s="34"/>
      <c r="H9" s="331"/>
      <c r="I9" s="96">
        <v>3987</v>
      </c>
      <c r="J9" s="241" t="s">
        <v>156</v>
      </c>
      <c r="K9" s="305">
        <v>0</v>
      </c>
      <c r="L9" s="306">
        <v>621</v>
      </c>
      <c r="M9" s="308">
        <v>2224</v>
      </c>
      <c r="N9" s="308">
        <v>17870</v>
      </c>
      <c r="O9" s="308">
        <v>1559</v>
      </c>
      <c r="P9" s="308">
        <v>2077</v>
      </c>
      <c r="Q9" s="309">
        <v>0</v>
      </c>
      <c r="R9" s="308">
        <v>3958.4348979662736</v>
      </c>
      <c r="S9" s="308">
        <f>IFERROR(INDEX(tblPiNAnalysis[CCCM], MATCH(tblPiNHistorical[[#This Row],[ID]], tblPiNAnalysis[ID], 0)), "")</f>
        <v>0</v>
      </c>
      <c r="T9" s="310">
        <f>IFERROR(INDEX(tblPiNAnalysis[Education], MATCH(tblPiNHistorical[[#This Row],[ID]], tblPiNAnalysis[ID], 0)), "")</f>
        <v>279</v>
      </c>
      <c r="U9" s="308">
        <f>IFERROR(INDEX(tblPiNAnalysis[Nutrition], MATCH(tblPiNHistorical[[#This Row],[ID]], tblPiNAnalysis[ID], 0)), "")</f>
        <v>2224</v>
      </c>
      <c r="V9" s="308">
        <f>IFERROR(INDEX(tblPiNAnalysis[Food Security], MATCH(tblPiNHistorical[[#This Row],[ID]], tblPiNAnalysis[ID], 0)), "")</f>
        <v>13743</v>
      </c>
      <c r="W9" s="308">
        <f>IFERROR(INDEX(tblPiNAnalysis[Health], MATCH(tblPiNHistorical[[#This Row],[ID]], tblPiNAnalysis[ID], 0)), "")</f>
        <v>4097.050413844996</v>
      </c>
      <c r="X9" s="308">
        <f>IFERROR(INDEX(tblPiNAnalysis[Protection], MATCH(tblPiNHistorical[[#This Row],[ID]], tblPiNAnalysis[ID], 0)), "")</f>
        <v>485.28000000000003</v>
      </c>
      <c r="Y9" s="308">
        <f>IFERROR(INDEX(tblPiNAnalysis[Shelter], MATCH(tblPiNHistorical[[#This Row],[ID]], tblPiNAnalysis[ID], 0)), "")</f>
        <v>0</v>
      </c>
      <c r="Z9" s="308">
        <f>IFERROR(INDEX(tblPiNAnalysis[WASH], MATCH(tblPiNHistorical[[#This Row],[ID]], tblPiNAnalysis[ID], 0)), "")</f>
        <v>997</v>
      </c>
      <c r="AA9" s="311" t="str">
        <f>IF(OR(tblPiNHistorical[[#This Row],[CCCM - old]]="", tblPiNHistorical[[#This Row],[CCCM - old]]=0, tblPiNHistorical[[#This Row],[CCCM - new]]="", tblPiNHistorical[[#This Row],[CCCM - new]]=0), "", tblPiNHistorical[[#This Row],[CCCM - new]]-tblPiNHistorical[[#This Row],[CCCM - old]])</f>
        <v/>
      </c>
      <c r="AB9" s="312">
        <f>IF(OR(tblPiNHistorical[[#This Row],[Education - old]]="", tblPiNHistorical[[#This Row],[Education - old]]=0, tblPiNHistorical[[#This Row],[Education - new]]="", tblPiNHistorical[[#This Row],[Education - new]]=0), "", tblPiNHistorical[[#This Row],[Education - new]]-tblPiNHistorical[[#This Row],[Education - old]])</f>
        <v>-342</v>
      </c>
      <c r="AC9" s="312">
        <f>IF(OR(tblPiNHistorical[[#This Row],[Nutrition - old]]="", tblPiNHistorical[[#This Row],[Nutrition - old]]=0, tblPiNHistorical[[#This Row],[Nutrition - new]]="", tblPiNHistorical[[#This Row],[Nutrition - new]]=0), "", tblPiNHistorical[[#This Row],[Nutrition - new]]-tblPiNHistorical[[#This Row],[Nutrition - old]])</f>
        <v>0</v>
      </c>
      <c r="AD9" s="312">
        <f>IF(OR(tblPiNHistorical[[#This Row],[Food Security - old]]="", tblPiNHistorical[[#This Row],[Food Security - old]]=0, tblPiNHistorical[[#This Row],[Food Security - new]]="", tblPiNHistorical[[#This Row],[Food Security - new]]=0), "", tblPiNHistorical[[#This Row],[Food Security - new]]-tblPiNHistorical[[#This Row],[Food Security - old]])</f>
        <v>-4127</v>
      </c>
      <c r="AE9" s="312">
        <f>IF(OR(tblPiNHistorical[[#This Row],[Health - old]]="", tblPiNHistorical[[#This Row],[Health - old]]=0, tblPiNHistorical[[#This Row],[Health - new]]="", tblPiNHistorical[[#This Row],[Health - new]]=0), "", tblPiNHistorical[[#This Row],[Health - new]]-tblPiNHistorical[[#This Row],[Health - old]])</f>
        <v>2538.050413844996</v>
      </c>
      <c r="AF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-1591.72</v>
      </c>
      <c r="AG9" s="312" t="str">
        <f>IF(OR(tblPiNHistorical[[#This Row],[Shelter - old]]="", tblPiNHistorical[[#This Row],[Shelter - old]]=0, tblPiNHistorical[[#This Row],[Shelter - new]]="", tblPiNHistorical[[#This Row],[Shelter - new]]=0), "", tblPiNHistorical[[#This Row],[Shelter - new]]-tblPiNHistorical[[#This Row],[Shelter - old]])</f>
        <v/>
      </c>
      <c r="AH9" s="313">
        <f>IF(OR(tblPiNHistorical[[#This Row],[WASH - old]]="", tblPiNHistorical[[#This Row],[WASH - old]]=0, tblPiNHistorical[[#This Row],[WASH - new]]="", tblPiNHistorical[[#This Row],[WASH - new]]=0), "", tblPiNHistorical[[#This Row],[WASH - new]]-tblPiNHistorical[[#This Row],[WASH - old]])</f>
        <v>-2961.4348979662736</v>
      </c>
      <c r="AI9" s="314" t="str">
        <f>IFERROR(ROUND((tblPiNHistorical[[#This Row],[CCCM - new]] - tblPiNHistorical[[#This Row],[CCCM - old]])/tblPiNHistorical[[#This Row],[CCCM - old]], 1), "")</f>
        <v/>
      </c>
      <c r="AJ9" s="315">
        <f>IFERROR(ROUND((tblPiNHistorical[[#This Row],[Education - new]]-tblPiNHistorical[[#This Row],[Education - old]])/tblPiNHistorical[[#This Row],[Education - old]], 1), "")</f>
        <v>-0.6</v>
      </c>
      <c r="AK9" s="315">
        <f>IFERROR(ROUND((tblPiNHistorical[[#This Row],[Nutrition - new]]-tblPiNHistorical[[#This Row],[Nutrition - old]])/tblPiNHistorical[[#This Row],[Nutrition - old]], 1), "")</f>
        <v>0</v>
      </c>
      <c r="AL9" s="315">
        <f>IFERROR(ROUND((tblPiNHistorical[[#This Row],[Food Security - new]]-tblPiNHistorical[[#This Row],[Food Security - old]])/tblPiNHistorical[[#This Row],[Food Security - old]], 1), "")</f>
        <v>-0.2</v>
      </c>
      <c r="AM9" s="315">
        <f>IFERROR(ROUND((tblPiNHistorical[[#This Row],[Health - new]]-tblPiNHistorical[[#This Row],[Health - old]])/tblPiNHistorical[[#This Row],[Health - old]], 1), "")</f>
        <v>1.6</v>
      </c>
      <c r="AN9" s="315">
        <f>IFERROR(ROUND((tblPiNHistorical[[#This Row],[Overarching Protection - new]]-tblPiNHistorical[[#This Row],[Overarching Protection - old]])/tblPiNHistorical[[#This Row],[Overarching Protection - old]], 1), "")</f>
        <v>-0.8</v>
      </c>
      <c r="AO9" s="315" t="str">
        <f>IFERROR(ROUND((tblPiNHistorical[[#This Row],[Shelter - new]]-tblPiNHistorical[[#This Row],[Shelter - old]])/tblPiNHistorical[[#This Row],[Shelter - old]], 1), "")</f>
        <v/>
      </c>
      <c r="AP9" s="37">
        <f>IFERROR(ROUND((tblPiNHistorical[[#This Row],[WASH - new]]-tblPiNHistorical[[#This Row],[WASH - old]])/tblPiNHistorical[[#This Row],[WASH - old]], 1), "")</f>
        <v>-0.7</v>
      </c>
      <c r="AQ9" s="21"/>
      <c r="AR9" s="73"/>
      <c r="AS9" s="21"/>
      <c r="AT9" s="73"/>
      <c r="AU9" s="21"/>
      <c r="AV9" s="73"/>
      <c r="AX9" s="17"/>
      <c r="BA9" s="17"/>
      <c r="BC9" s="24"/>
      <c r="BD9" s="21"/>
      <c r="BE9" s="17"/>
    </row>
    <row r="10" spans="1:57">
      <c r="A1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Global_PopulationHT0117</v>
      </c>
      <c r="B10" s="304" t="s">
        <v>152</v>
      </c>
      <c r="C10" s="213" t="s">
        <v>153</v>
      </c>
      <c r="D10" s="213" t="s">
        <v>169</v>
      </c>
      <c r="E10" s="103" t="s">
        <v>170</v>
      </c>
      <c r="F10" s="99"/>
      <c r="G10" s="34"/>
      <c r="H10" s="331"/>
      <c r="I10" s="96">
        <v>287439</v>
      </c>
      <c r="J10" s="241" t="s">
        <v>156</v>
      </c>
      <c r="K10" s="305">
        <v>6077</v>
      </c>
      <c r="L10" s="306">
        <v>57454</v>
      </c>
      <c r="M10" s="308">
        <v>34445</v>
      </c>
      <c r="N10" s="308">
        <v>154679</v>
      </c>
      <c r="O10" s="308">
        <v>32826</v>
      </c>
      <c r="P10" s="308">
        <v>60691</v>
      </c>
      <c r="Q10" s="309">
        <v>88798</v>
      </c>
      <c r="R10" s="308">
        <v>51377.659694333699</v>
      </c>
      <c r="S10" s="308">
        <f>IFERROR(INDEX(tblPiNAnalysis[CCCM], MATCH(tblPiNHistorical[[#This Row],[ID]], tblPiNAnalysis[ID], 0)), "")</f>
        <v>21180</v>
      </c>
      <c r="T10" s="310">
        <f>IFERROR(INDEX(tblPiNAnalysis[Education], MATCH(tblPiNHistorical[[#This Row],[ID]], tblPiNAnalysis[ID], 0)), "")</f>
        <v>41745</v>
      </c>
      <c r="U10" s="308">
        <f>IFERROR(INDEX(tblPiNAnalysis[Nutrition], MATCH(tblPiNHistorical[[#This Row],[ID]], tblPiNAnalysis[ID], 0)), "")</f>
        <v>35634</v>
      </c>
      <c r="V10" s="308">
        <f>IFERROR(INDEX(tblPiNAnalysis[Food Security], MATCH(tblPiNHistorical[[#This Row],[ID]], tblPiNAnalysis[ID], 0)), "")</f>
        <v>173258</v>
      </c>
      <c r="W10" s="308">
        <f>IFERROR(INDEX(tblPiNAnalysis[Health], MATCH(tblPiNHistorical[[#This Row],[ID]], tblPiNAnalysis[ID], 0)), "")</f>
        <v>186993.02407016576</v>
      </c>
      <c r="X10" s="308">
        <f>IFERROR(INDEX(tblPiNAnalysis[Protection], MATCH(tblPiNHistorical[[#This Row],[ID]], tblPiNAnalysis[ID], 0)), "")</f>
        <v>23633.069615384615</v>
      </c>
      <c r="Y10" s="308">
        <f>IFERROR(INDEX(tblPiNAnalysis[Shelter], MATCH(tblPiNHistorical[[#This Row],[ID]], tblPiNAnalysis[ID], 0)), "")</f>
        <v>94007</v>
      </c>
      <c r="Z10" s="308">
        <f>IFERROR(INDEX(tblPiNAnalysis[WASH], MATCH(tblPiNHistorical[[#This Row],[ID]], tblPiNAnalysis[ID], 0)), "")</f>
        <v>136742.82524271845</v>
      </c>
      <c r="AA10" s="311">
        <f>IF(OR(tblPiNHistorical[[#This Row],[CCCM - old]]="", tblPiNHistorical[[#This Row],[CCCM - old]]=0, tblPiNHistorical[[#This Row],[CCCM - new]]="", tblPiNHistorical[[#This Row],[CCCM - new]]=0), "", tblPiNHistorical[[#This Row],[CCCM - new]]-tblPiNHistorical[[#This Row],[CCCM - old]])</f>
        <v>15103</v>
      </c>
      <c r="AB10" s="312">
        <f>IF(OR(tblPiNHistorical[[#This Row],[Education - old]]="", tblPiNHistorical[[#This Row],[Education - old]]=0, tblPiNHistorical[[#This Row],[Education - new]]="", tblPiNHistorical[[#This Row],[Education - new]]=0), "", tblPiNHistorical[[#This Row],[Education - new]]-tblPiNHistorical[[#This Row],[Education - old]])</f>
        <v>-15709</v>
      </c>
      <c r="AC10" s="312">
        <f>IF(OR(tblPiNHistorical[[#This Row],[Nutrition - old]]="", tblPiNHistorical[[#This Row],[Nutrition - old]]=0, tblPiNHistorical[[#This Row],[Nutrition - new]]="", tblPiNHistorical[[#This Row],[Nutrition - new]]=0), "", tblPiNHistorical[[#This Row],[Nutrition - new]]-tblPiNHistorical[[#This Row],[Nutrition - old]])</f>
        <v>1189</v>
      </c>
      <c r="AD10" s="312">
        <f>IF(OR(tblPiNHistorical[[#This Row],[Food Security - old]]="", tblPiNHistorical[[#This Row],[Food Security - old]]=0, tblPiNHistorical[[#This Row],[Food Security - new]]="", tblPiNHistorical[[#This Row],[Food Security - new]]=0), "", tblPiNHistorical[[#This Row],[Food Security - new]]-tblPiNHistorical[[#This Row],[Food Security - old]])</f>
        <v>18579</v>
      </c>
      <c r="AE10" s="312">
        <f>IF(OR(tblPiNHistorical[[#This Row],[Health - old]]="", tblPiNHistorical[[#This Row],[Health - old]]=0, tblPiNHistorical[[#This Row],[Health - new]]="", tblPiNHistorical[[#This Row],[Health - new]]=0), "", tblPiNHistorical[[#This Row],[Health - new]]-tblPiNHistorical[[#This Row],[Health - old]])</f>
        <v>154167.02407016576</v>
      </c>
      <c r="AF1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-37057.930384615385</v>
      </c>
      <c r="AG10" s="312">
        <f>IF(OR(tblPiNHistorical[[#This Row],[Shelter - old]]="", tblPiNHistorical[[#This Row],[Shelter - old]]=0, tblPiNHistorical[[#This Row],[Shelter - new]]="", tblPiNHistorical[[#This Row],[Shelter - new]]=0), "", tblPiNHistorical[[#This Row],[Shelter - new]]-tblPiNHistorical[[#This Row],[Shelter - old]])</f>
        <v>5209</v>
      </c>
      <c r="AH10" s="313">
        <f>IF(OR(tblPiNHistorical[[#This Row],[WASH - old]]="", tblPiNHistorical[[#This Row],[WASH - old]]=0, tblPiNHistorical[[#This Row],[WASH - new]]="", tblPiNHistorical[[#This Row],[WASH - new]]=0), "", tblPiNHistorical[[#This Row],[WASH - new]]-tblPiNHistorical[[#This Row],[WASH - old]])</f>
        <v>85365.165548384743</v>
      </c>
      <c r="AI10" s="314">
        <f>IFERROR(ROUND((tblPiNHistorical[[#This Row],[CCCM - new]] - tblPiNHistorical[[#This Row],[CCCM - old]])/tblPiNHistorical[[#This Row],[CCCM - old]], 1), "")</f>
        <v>2.5</v>
      </c>
      <c r="AJ10" s="315">
        <f>IFERROR(ROUND((tblPiNHistorical[[#This Row],[Education - new]]-tblPiNHistorical[[#This Row],[Education - old]])/tblPiNHistorical[[#This Row],[Education - old]], 1), "")</f>
        <v>-0.3</v>
      </c>
      <c r="AK10" s="315">
        <f>IFERROR(ROUND((tblPiNHistorical[[#This Row],[Nutrition - new]]-tblPiNHistorical[[#This Row],[Nutrition - old]])/tblPiNHistorical[[#This Row],[Nutrition - old]], 1), "")</f>
        <v>0</v>
      </c>
      <c r="AL10" s="315">
        <f>IFERROR(ROUND((tblPiNHistorical[[#This Row],[Food Security - new]]-tblPiNHistorical[[#This Row],[Food Security - old]])/tblPiNHistorical[[#This Row],[Food Security - old]], 1), "")</f>
        <v>0.1</v>
      </c>
      <c r="AM10" s="315">
        <f>IFERROR(ROUND((tblPiNHistorical[[#This Row],[Health - new]]-tblPiNHistorical[[#This Row],[Health - old]])/tblPiNHistorical[[#This Row],[Health - old]], 1), "")</f>
        <v>4.7</v>
      </c>
      <c r="AN10" s="315">
        <f>IFERROR(ROUND((tblPiNHistorical[[#This Row],[Overarching Protection - new]]-tblPiNHistorical[[#This Row],[Overarching Protection - old]])/tblPiNHistorical[[#This Row],[Overarching Protection - old]], 1), "")</f>
        <v>-0.6</v>
      </c>
      <c r="AO10" s="315">
        <f>IFERROR(ROUND((tblPiNHistorical[[#This Row],[Shelter - new]]-tblPiNHistorical[[#This Row],[Shelter - old]])/tblPiNHistorical[[#This Row],[Shelter - old]], 1), "")</f>
        <v>0.1</v>
      </c>
      <c r="AP10" s="37">
        <f>IFERROR(ROUND((tblPiNHistorical[[#This Row],[WASH - new]]-tblPiNHistorical[[#This Row],[WASH - old]])/tblPiNHistorical[[#This Row],[WASH - old]], 1), "")</f>
        <v>1.7</v>
      </c>
      <c r="AQ10" s="21"/>
      <c r="AR10" s="73"/>
      <c r="AS10" s="21"/>
      <c r="AT10" s="73"/>
      <c r="AU10" s="21"/>
      <c r="AV10" s="73"/>
      <c r="AX10" s="17"/>
      <c r="BA10" s="17"/>
      <c r="BC10" s="24"/>
      <c r="BD10" s="21"/>
      <c r="BE10" s="17"/>
    </row>
    <row r="11" spans="1:57">
      <c r="A1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Global_PopulationHT0118</v>
      </c>
      <c r="B11" s="304" t="s">
        <v>152</v>
      </c>
      <c r="C11" s="213" t="s">
        <v>153</v>
      </c>
      <c r="D11" s="213" t="s">
        <v>171</v>
      </c>
      <c r="E11" s="103" t="s">
        <v>172</v>
      </c>
      <c r="F11" s="99"/>
      <c r="G11" s="34"/>
      <c r="H11" s="331"/>
      <c r="I11" s="96">
        <v>141693</v>
      </c>
      <c r="J11" s="241" t="s">
        <v>156</v>
      </c>
      <c r="K11" s="305">
        <v>7362</v>
      </c>
      <c r="L11" s="306">
        <v>34195</v>
      </c>
      <c r="M11" s="308">
        <v>15429</v>
      </c>
      <c r="N11" s="308">
        <v>24984</v>
      </c>
      <c r="O11" s="308">
        <v>40944</v>
      </c>
      <c r="P11" s="308">
        <v>30858</v>
      </c>
      <c r="Q11" s="309">
        <v>43949</v>
      </c>
      <c r="R11" s="308">
        <v>25569.520671556274</v>
      </c>
      <c r="S11" s="308">
        <f>IFERROR(INDEX(tblPiNAnalysis[CCCM], MATCH(tblPiNHistorical[[#This Row],[ID]], tblPiNAnalysis[ID], 0)), "")</f>
        <v>5235</v>
      </c>
      <c r="T11" s="310">
        <f>IFERROR(INDEX(tblPiNAnalysis[Education], MATCH(tblPiNHistorical[[#This Row],[ID]], tblPiNAnalysis[ID], 0)), "")</f>
        <v>13798</v>
      </c>
      <c r="U11" s="308">
        <f>IFERROR(INDEX(tblPiNAnalysis[Nutrition], MATCH(tblPiNHistorical[[#This Row],[ID]], tblPiNAnalysis[ID], 0)), "")</f>
        <v>15635</v>
      </c>
      <c r="V11" s="308">
        <f>IFERROR(INDEX(tblPiNAnalysis[Food Security], MATCH(tblPiNHistorical[[#This Row],[ID]], tblPiNAnalysis[ID], 0)), "")</f>
        <v>28585</v>
      </c>
      <c r="W11" s="308">
        <f>IFERROR(INDEX(tblPiNAnalysis[Health], MATCH(tblPiNHistorical[[#This Row],[ID]], tblPiNAnalysis[ID], 0)), "")</f>
        <v>76053.891446086564</v>
      </c>
      <c r="X11" s="308">
        <f>IFERROR(INDEX(tblPiNAnalysis[Protection], MATCH(tblPiNHistorical[[#This Row],[ID]], tblPiNAnalysis[ID], 0)), "")</f>
        <v>10710.6</v>
      </c>
      <c r="Y11" s="308">
        <f>IFERROR(INDEX(tblPiNAnalysis[Shelter], MATCH(tblPiNHistorical[[#This Row],[ID]], tblPiNAnalysis[ID], 0)), "")</f>
        <v>48457</v>
      </c>
      <c r="Z11" s="308">
        <f>IFERROR(INDEX(tblPiNAnalysis[WASH], MATCH(tblPiNHistorical[[#This Row],[ID]], tblPiNAnalysis[ID], 0)), "")</f>
        <v>3490</v>
      </c>
      <c r="AA11" s="311">
        <f>IF(OR(tblPiNHistorical[[#This Row],[CCCM - old]]="", tblPiNHistorical[[#This Row],[CCCM - old]]=0, tblPiNHistorical[[#This Row],[CCCM - new]]="", tblPiNHistorical[[#This Row],[CCCM - new]]=0), "", tblPiNHistorical[[#This Row],[CCCM - new]]-tblPiNHistorical[[#This Row],[CCCM - old]])</f>
        <v>-2127</v>
      </c>
      <c r="AB11" s="312">
        <f>IF(OR(tblPiNHistorical[[#This Row],[Education - old]]="", tblPiNHistorical[[#This Row],[Education - old]]=0, tblPiNHistorical[[#This Row],[Education - new]]="", tblPiNHistorical[[#This Row],[Education - new]]=0), "", tblPiNHistorical[[#This Row],[Education - new]]-tblPiNHistorical[[#This Row],[Education - old]])</f>
        <v>-20397</v>
      </c>
      <c r="AC11" s="312">
        <f>IF(OR(tblPiNHistorical[[#This Row],[Nutrition - old]]="", tblPiNHistorical[[#This Row],[Nutrition - old]]=0, tblPiNHistorical[[#This Row],[Nutrition - new]]="", tblPiNHistorical[[#This Row],[Nutrition - new]]=0), "", tblPiNHistorical[[#This Row],[Nutrition - new]]-tblPiNHistorical[[#This Row],[Nutrition - old]])</f>
        <v>206</v>
      </c>
      <c r="AD11" s="312">
        <f>IF(OR(tblPiNHistorical[[#This Row],[Food Security - old]]="", tblPiNHistorical[[#This Row],[Food Security - old]]=0, tblPiNHistorical[[#This Row],[Food Security - new]]="", tblPiNHistorical[[#This Row],[Food Security - new]]=0), "", tblPiNHistorical[[#This Row],[Food Security - new]]-tblPiNHistorical[[#This Row],[Food Security - old]])</f>
        <v>3601</v>
      </c>
      <c r="AE11" s="312">
        <f>IF(OR(tblPiNHistorical[[#This Row],[Health - old]]="", tblPiNHistorical[[#This Row],[Health - old]]=0, tblPiNHistorical[[#This Row],[Health - new]]="", tblPiNHistorical[[#This Row],[Health - new]]=0), "", tblPiNHistorical[[#This Row],[Health - new]]-tblPiNHistorical[[#This Row],[Health - old]])</f>
        <v>35109.891446086564</v>
      </c>
      <c r="AF1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-20147.400000000001</v>
      </c>
      <c r="AG11" s="312">
        <f>IF(OR(tblPiNHistorical[[#This Row],[Shelter - old]]="", tblPiNHistorical[[#This Row],[Shelter - old]]=0, tblPiNHistorical[[#This Row],[Shelter - new]]="", tblPiNHistorical[[#This Row],[Shelter - new]]=0), "", tblPiNHistorical[[#This Row],[Shelter - new]]-tblPiNHistorical[[#This Row],[Shelter - old]])</f>
        <v>4508</v>
      </c>
      <c r="AH11" s="313">
        <f>IF(OR(tblPiNHistorical[[#This Row],[WASH - old]]="", tblPiNHistorical[[#This Row],[WASH - old]]=0, tblPiNHistorical[[#This Row],[WASH - new]]="", tblPiNHistorical[[#This Row],[WASH - new]]=0), "", tblPiNHistorical[[#This Row],[WASH - new]]-tblPiNHistorical[[#This Row],[WASH - old]])</f>
        <v>-22079.520671556274</v>
      </c>
      <c r="AI11" s="314">
        <f>IFERROR(ROUND((tblPiNHistorical[[#This Row],[CCCM - new]] - tblPiNHistorical[[#This Row],[CCCM - old]])/tblPiNHistorical[[#This Row],[CCCM - old]], 1), "")</f>
        <v>-0.3</v>
      </c>
      <c r="AJ11" s="315">
        <f>IFERROR(ROUND((tblPiNHistorical[[#This Row],[Education - new]]-tblPiNHistorical[[#This Row],[Education - old]])/tblPiNHistorical[[#This Row],[Education - old]], 1), "")</f>
        <v>-0.6</v>
      </c>
      <c r="AK11" s="315">
        <f>IFERROR(ROUND((tblPiNHistorical[[#This Row],[Nutrition - new]]-tblPiNHistorical[[#This Row],[Nutrition - old]])/tblPiNHistorical[[#This Row],[Nutrition - old]], 1), "")</f>
        <v>0</v>
      </c>
      <c r="AL11" s="315">
        <f>IFERROR(ROUND((tblPiNHistorical[[#This Row],[Food Security - new]]-tblPiNHistorical[[#This Row],[Food Security - old]])/tblPiNHistorical[[#This Row],[Food Security - old]], 1), "")</f>
        <v>0.1</v>
      </c>
      <c r="AM11" s="315">
        <f>IFERROR(ROUND((tblPiNHistorical[[#This Row],[Health - new]]-tblPiNHistorical[[#This Row],[Health - old]])/tblPiNHistorical[[#This Row],[Health - old]], 1), "")</f>
        <v>0.9</v>
      </c>
      <c r="AN11" s="315">
        <f>IFERROR(ROUND((tblPiNHistorical[[#This Row],[Overarching Protection - new]]-tblPiNHistorical[[#This Row],[Overarching Protection - old]])/tblPiNHistorical[[#This Row],[Overarching Protection - old]], 1), "")</f>
        <v>-0.7</v>
      </c>
      <c r="AO11" s="315">
        <f>IFERROR(ROUND((tblPiNHistorical[[#This Row],[Shelter - new]]-tblPiNHistorical[[#This Row],[Shelter - old]])/tblPiNHistorical[[#This Row],[Shelter - old]], 1), "")</f>
        <v>0.1</v>
      </c>
      <c r="AP11" s="37">
        <f>IFERROR(ROUND((tblPiNHistorical[[#This Row],[WASH - new]]-tblPiNHistorical[[#This Row],[WASH - old]])/tblPiNHistorical[[#This Row],[WASH - old]], 1), "")</f>
        <v>-0.9</v>
      </c>
      <c r="AQ11" s="21"/>
      <c r="AR11" s="73"/>
      <c r="AS11" s="21"/>
      <c r="AT11" s="73"/>
      <c r="AU11" s="21"/>
      <c r="AV11" s="73"/>
      <c r="AX11" s="17"/>
      <c r="BA11" s="17"/>
      <c r="BC11" s="24"/>
      <c r="BD11" s="21"/>
      <c r="BE11" s="17"/>
    </row>
    <row r="12" spans="1:57">
      <c r="A1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Global_PopulationHT0121</v>
      </c>
      <c r="B12" s="304" t="s">
        <v>152</v>
      </c>
      <c r="C12" s="213" t="s">
        <v>153</v>
      </c>
      <c r="D12" s="213" t="s">
        <v>173</v>
      </c>
      <c r="E12" s="103" t="s">
        <v>174</v>
      </c>
      <c r="F12" s="99"/>
      <c r="G12" s="34"/>
      <c r="H12" s="331"/>
      <c r="I12" s="96">
        <v>233614</v>
      </c>
      <c r="J12" s="241" t="s">
        <v>156</v>
      </c>
      <c r="K12" s="305">
        <v>22466</v>
      </c>
      <c r="L12" s="306">
        <v>40217</v>
      </c>
      <c r="M12" s="308">
        <v>19839</v>
      </c>
      <c r="N12" s="308">
        <v>97952</v>
      </c>
      <c r="O12" s="308">
        <v>82221</v>
      </c>
      <c r="P12" s="308">
        <v>58020</v>
      </c>
      <c r="Q12" s="309">
        <v>98601</v>
      </c>
      <c r="R12" s="308">
        <v>58575.457340197419</v>
      </c>
      <c r="S12" s="308">
        <f>IFERROR(INDEX(tblPiNAnalysis[CCCM], MATCH(tblPiNHistorical[[#This Row],[ID]], tblPiNAnalysis[ID], 0)), "")</f>
        <v>79632</v>
      </c>
      <c r="T12" s="310">
        <f>IFERROR(INDEX(tblPiNAnalysis[Education], MATCH(tblPiNHistorical[[#This Row],[ID]], tblPiNAnalysis[ID], 0)), "")</f>
        <v>33382</v>
      </c>
      <c r="U12" s="308">
        <f>IFERROR(INDEX(tblPiNAnalysis[Nutrition], MATCH(tblPiNHistorical[[#This Row],[ID]], tblPiNAnalysis[ID], 0)), "")</f>
        <v>24021</v>
      </c>
      <c r="V12" s="308">
        <f>IFERROR(INDEX(tblPiNAnalysis[Food Security], MATCH(tblPiNHistorical[[#This Row],[ID]], tblPiNAnalysis[ID], 0)), "")</f>
        <v>75329</v>
      </c>
      <c r="W12" s="308">
        <f>IFERROR(INDEX(tblPiNAnalysis[Health], MATCH(tblPiNHistorical[[#This Row],[ID]], tblPiNAnalysis[ID], 0)), "")</f>
        <v>83154.772223354434</v>
      </c>
      <c r="X12" s="308">
        <f>IFERROR(INDEX(tblPiNAnalysis[Protection], MATCH(tblPiNHistorical[[#This Row],[ID]], tblPiNAnalysis[ID], 0)), "")</f>
        <v>88424.565000000002</v>
      </c>
      <c r="Y12" s="308">
        <f>IFERROR(INDEX(tblPiNAnalysis[Shelter], MATCH(tblPiNHistorical[[#This Row],[ID]], tblPiNAnalysis[ID], 0)), "")</f>
        <v>139420</v>
      </c>
      <c r="Z12" s="308">
        <f>IFERROR(INDEX(tblPiNAnalysis[WASH], MATCH(tblPiNHistorical[[#This Row],[ID]], tblPiNAnalysis[ID], 0)), "")</f>
        <v>53088</v>
      </c>
      <c r="AA12" s="311">
        <f>IF(OR(tblPiNHistorical[[#This Row],[CCCM - old]]="", tblPiNHistorical[[#This Row],[CCCM - old]]=0, tblPiNHistorical[[#This Row],[CCCM - new]]="", tblPiNHistorical[[#This Row],[CCCM - new]]=0), "", tblPiNHistorical[[#This Row],[CCCM - new]]-tblPiNHistorical[[#This Row],[CCCM - old]])</f>
        <v>57166</v>
      </c>
      <c r="AB12" s="312">
        <f>IF(OR(tblPiNHistorical[[#This Row],[Education - old]]="", tblPiNHistorical[[#This Row],[Education - old]]=0, tblPiNHistorical[[#This Row],[Education - new]]="", tblPiNHistorical[[#This Row],[Education - new]]=0), "", tblPiNHistorical[[#This Row],[Education - new]]-tblPiNHistorical[[#This Row],[Education - old]])</f>
        <v>-6835</v>
      </c>
      <c r="AC12" s="312">
        <f>IF(OR(tblPiNHistorical[[#This Row],[Nutrition - old]]="", tblPiNHistorical[[#This Row],[Nutrition - old]]=0, tblPiNHistorical[[#This Row],[Nutrition - new]]="", tblPiNHistorical[[#This Row],[Nutrition - new]]=0), "", tblPiNHistorical[[#This Row],[Nutrition - new]]-tblPiNHistorical[[#This Row],[Nutrition - old]])</f>
        <v>4182</v>
      </c>
      <c r="AD12" s="312">
        <f>IF(OR(tblPiNHistorical[[#This Row],[Food Security - old]]="", tblPiNHistorical[[#This Row],[Food Security - old]]=0, tblPiNHistorical[[#This Row],[Food Security - new]]="", tblPiNHistorical[[#This Row],[Food Security - new]]=0), "", tblPiNHistorical[[#This Row],[Food Security - new]]-tblPiNHistorical[[#This Row],[Food Security - old]])</f>
        <v>-22623</v>
      </c>
      <c r="AE12" s="312">
        <f>IF(OR(tblPiNHistorical[[#This Row],[Health - old]]="", tblPiNHistorical[[#This Row],[Health - old]]=0, tblPiNHistorical[[#This Row],[Health - new]]="", tblPiNHistorical[[#This Row],[Health - new]]=0), "", tblPiNHistorical[[#This Row],[Health - new]]-tblPiNHistorical[[#This Row],[Health - old]])</f>
        <v>933.77222335443366</v>
      </c>
      <c r="AF1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30404.565000000002</v>
      </c>
      <c r="AG12" s="312">
        <f>IF(OR(tblPiNHistorical[[#This Row],[Shelter - old]]="", tblPiNHistorical[[#This Row],[Shelter - old]]=0, tblPiNHistorical[[#This Row],[Shelter - new]]="", tblPiNHistorical[[#This Row],[Shelter - new]]=0), "", tblPiNHistorical[[#This Row],[Shelter - new]]-tblPiNHistorical[[#This Row],[Shelter - old]])</f>
        <v>40819</v>
      </c>
      <c r="AH12" s="313">
        <f>IF(OR(tblPiNHistorical[[#This Row],[WASH - old]]="", tblPiNHistorical[[#This Row],[WASH - old]]=0, tblPiNHistorical[[#This Row],[WASH - new]]="", tblPiNHistorical[[#This Row],[WASH - new]]=0), "", tblPiNHistorical[[#This Row],[WASH - new]]-tblPiNHistorical[[#This Row],[WASH - old]])</f>
        <v>-5487.4573401974194</v>
      </c>
      <c r="AI12" s="314">
        <f>IFERROR(ROUND((tblPiNHistorical[[#This Row],[CCCM - new]] - tblPiNHistorical[[#This Row],[CCCM - old]])/tblPiNHistorical[[#This Row],[CCCM - old]], 1), "")</f>
        <v>2.5</v>
      </c>
      <c r="AJ12" s="315">
        <f>IFERROR(ROUND((tblPiNHistorical[[#This Row],[Education - new]]-tblPiNHistorical[[#This Row],[Education - old]])/tblPiNHistorical[[#This Row],[Education - old]], 1), "")</f>
        <v>-0.2</v>
      </c>
      <c r="AK12" s="315">
        <f>IFERROR(ROUND((tblPiNHistorical[[#This Row],[Nutrition - new]]-tblPiNHistorical[[#This Row],[Nutrition - old]])/tblPiNHistorical[[#This Row],[Nutrition - old]], 1), "")</f>
        <v>0.2</v>
      </c>
      <c r="AL12" s="315">
        <f>IFERROR(ROUND((tblPiNHistorical[[#This Row],[Food Security - new]]-tblPiNHistorical[[#This Row],[Food Security - old]])/tblPiNHistorical[[#This Row],[Food Security - old]], 1), "")</f>
        <v>-0.2</v>
      </c>
      <c r="AM12" s="315">
        <f>IFERROR(ROUND((tblPiNHistorical[[#This Row],[Health - new]]-tblPiNHistorical[[#This Row],[Health - old]])/tblPiNHistorical[[#This Row],[Health - old]], 1), "")</f>
        <v>0</v>
      </c>
      <c r="AN12" s="315">
        <f>IFERROR(ROUND((tblPiNHistorical[[#This Row],[Overarching Protection - new]]-tblPiNHistorical[[#This Row],[Overarching Protection - old]])/tblPiNHistorical[[#This Row],[Overarching Protection - old]], 1), "")</f>
        <v>0.5</v>
      </c>
      <c r="AO12" s="315">
        <f>IFERROR(ROUND((tblPiNHistorical[[#This Row],[Shelter - new]]-tblPiNHistorical[[#This Row],[Shelter - old]])/tblPiNHistorical[[#This Row],[Shelter - old]], 1), "")</f>
        <v>0.4</v>
      </c>
      <c r="AP12" s="37">
        <f>IFERROR(ROUND((tblPiNHistorical[[#This Row],[WASH - new]]-tblPiNHistorical[[#This Row],[WASH - old]])/tblPiNHistorical[[#This Row],[WASH - old]], 1), "")</f>
        <v>-0.1</v>
      </c>
      <c r="AQ12" s="21"/>
      <c r="AR12" s="73"/>
      <c r="AS12" s="21"/>
      <c r="AT12" s="73"/>
      <c r="AU12" s="21"/>
      <c r="AV12" s="73"/>
      <c r="AX12" s="17"/>
      <c r="BA12" s="17"/>
      <c r="BC12" s="24"/>
      <c r="BD12" s="21"/>
      <c r="BE12" s="17"/>
    </row>
    <row r="13" spans="1:57">
      <c r="A1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Global_PopulationHT0122</v>
      </c>
      <c r="B13" s="304" t="s">
        <v>152</v>
      </c>
      <c r="C13" s="213" t="s">
        <v>153</v>
      </c>
      <c r="D13" s="213" t="s">
        <v>175</v>
      </c>
      <c r="E13" s="103" t="s">
        <v>176</v>
      </c>
      <c r="F13" s="99"/>
      <c r="G13" s="34"/>
      <c r="H13" s="331"/>
      <c r="I13" s="96">
        <v>194867</v>
      </c>
      <c r="J13" s="241" t="s">
        <v>156</v>
      </c>
      <c r="K13" s="305">
        <v>11238</v>
      </c>
      <c r="L13" s="306">
        <v>33448</v>
      </c>
      <c r="M13" s="308">
        <v>14940</v>
      </c>
      <c r="N13" s="308">
        <v>84791</v>
      </c>
      <c r="O13" s="308">
        <v>56424</v>
      </c>
      <c r="P13" s="308">
        <v>40671</v>
      </c>
      <c r="Q13" s="309">
        <v>0</v>
      </c>
      <c r="R13" s="308">
        <v>34719.858663779029</v>
      </c>
      <c r="S13" s="308">
        <f>IFERROR(INDEX(tblPiNAnalysis[CCCM], MATCH(tblPiNHistorical[[#This Row],[ID]], tblPiNAnalysis[ID], 0)), "")</f>
        <v>3706.5</v>
      </c>
      <c r="T13" s="310">
        <f>IFERROR(INDEX(tblPiNAnalysis[Education], MATCH(tblPiNHistorical[[#This Row],[ID]], tblPiNAnalysis[ID], 0)), "")</f>
        <v>27623</v>
      </c>
      <c r="U13" s="308">
        <f>IFERROR(INDEX(tblPiNAnalysis[Nutrition], MATCH(tblPiNHistorical[[#This Row],[ID]], tblPiNAnalysis[ID], 0)), "")</f>
        <v>15075</v>
      </c>
      <c r="V13" s="308">
        <f>IFERROR(INDEX(tblPiNAnalysis[Food Security], MATCH(tblPiNHistorical[[#This Row],[ID]], tblPiNAnalysis[ID], 0)), "")</f>
        <v>65207</v>
      </c>
      <c r="W13" s="308">
        <f>IFERROR(INDEX(tblPiNAnalysis[Health], MATCH(tblPiNHistorical[[#This Row],[ID]], tblPiNAnalysis[ID], 0)), "")</f>
        <v>4028.2253111290975</v>
      </c>
      <c r="X13" s="308">
        <f>IFERROR(INDEX(tblPiNAnalysis[Protection], MATCH(tblPiNHistorical[[#This Row],[ID]], tblPiNAnalysis[ID], 0)), "")</f>
        <v>2779.18</v>
      </c>
      <c r="Y13" s="308">
        <f>IFERROR(INDEX(tblPiNAnalysis[Shelter], MATCH(tblPiNHistorical[[#This Row],[ID]], tblPiNAnalysis[ID], 0)), "")</f>
        <v>79274</v>
      </c>
      <c r="Z13" s="308">
        <f>IFERROR(INDEX(tblPiNAnalysis[WASH], MATCH(tblPiNHistorical[[#This Row],[ID]], tblPiNAnalysis[ID], 0)), "")</f>
        <v>64955.666666666664</v>
      </c>
      <c r="AA13" s="311">
        <f>IF(OR(tblPiNHistorical[[#This Row],[CCCM - old]]="", tblPiNHistorical[[#This Row],[CCCM - old]]=0, tblPiNHistorical[[#This Row],[CCCM - new]]="", tblPiNHistorical[[#This Row],[CCCM - new]]=0), "", tblPiNHistorical[[#This Row],[CCCM - new]]-tblPiNHistorical[[#This Row],[CCCM - old]])</f>
        <v>-7531.5</v>
      </c>
      <c r="AB13" s="312">
        <f>IF(OR(tblPiNHistorical[[#This Row],[Education - old]]="", tblPiNHistorical[[#This Row],[Education - old]]=0, tblPiNHistorical[[#This Row],[Education - new]]="", tblPiNHistorical[[#This Row],[Education - new]]=0), "", tblPiNHistorical[[#This Row],[Education - new]]-tblPiNHistorical[[#This Row],[Education - old]])</f>
        <v>-5825</v>
      </c>
      <c r="AC13" s="312">
        <f>IF(OR(tblPiNHistorical[[#This Row],[Nutrition - old]]="", tblPiNHistorical[[#This Row],[Nutrition - old]]=0, tblPiNHistorical[[#This Row],[Nutrition - new]]="", tblPiNHistorical[[#This Row],[Nutrition - new]]=0), "", tblPiNHistorical[[#This Row],[Nutrition - new]]-tblPiNHistorical[[#This Row],[Nutrition - old]])</f>
        <v>135</v>
      </c>
      <c r="AD13" s="312">
        <f>IF(OR(tblPiNHistorical[[#This Row],[Food Security - old]]="", tblPiNHistorical[[#This Row],[Food Security - old]]=0, tblPiNHistorical[[#This Row],[Food Security - new]]="", tblPiNHistorical[[#This Row],[Food Security - new]]=0), "", tblPiNHistorical[[#This Row],[Food Security - new]]-tblPiNHistorical[[#This Row],[Food Security - old]])</f>
        <v>-19584</v>
      </c>
      <c r="AE13" s="312">
        <f>IF(OR(tblPiNHistorical[[#This Row],[Health - old]]="", tblPiNHistorical[[#This Row],[Health - old]]=0, tblPiNHistorical[[#This Row],[Health - new]]="", tblPiNHistorical[[#This Row],[Health - new]]=0), "", tblPiNHistorical[[#This Row],[Health - new]]-tblPiNHistorical[[#This Row],[Health - old]])</f>
        <v>-52395.774688870901</v>
      </c>
      <c r="AF1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-37891.82</v>
      </c>
      <c r="AG13" s="312" t="str">
        <f>IF(OR(tblPiNHistorical[[#This Row],[Shelter - old]]="", tblPiNHistorical[[#This Row],[Shelter - old]]=0, tblPiNHistorical[[#This Row],[Shelter - new]]="", tblPiNHistorical[[#This Row],[Shelter - new]]=0), "", tblPiNHistorical[[#This Row],[Shelter - new]]-tblPiNHistorical[[#This Row],[Shelter - old]])</f>
        <v/>
      </c>
      <c r="AH13" s="313">
        <f>IF(OR(tblPiNHistorical[[#This Row],[WASH - old]]="", tblPiNHistorical[[#This Row],[WASH - old]]=0, tblPiNHistorical[[#This Row],[WASH - new]]="", tblPiNHistorical[[#This Row],[WASH - new]]=0), "", tblPiNHistorical[[#This Row],[WASH - new]]-tblPiNHistorical[[#This Row],[WASH - old]])</f>
        <v>30235.808002887636</v>
      </c>
      <c r="AI13" s="314">
        <f>IFERROR(ROUND((tblPiNHistorical[[#This Row],[CCCM - new]] - tblPiNHistorical[[#This Row],[CCCM - old]])/tblPiNHistorical[[#This Row],[CCCM - old]], 1), "")</f>
        <v>-0.7</v>
      </c>
      <c r="AJ13" s="315">
        <f>IFERROR(ROUND((tblPiNHistorical[[#This Row],[Education - new]]-tblPiNHistorical[[#This Row],[Education - old]])/tblPiNHistorical[[#This Row],[Education - old]], 1), "")</f>
        <v>-0.2</v>
      </c>
      <c r="AK13" s="315">
        <f>IFERROR(ROUND((tblPiNHistorical[[#This Row],[Nutrition - new]]-tblPiNHistorical[[#This Row],[Nutrition - old]])/tblPiNHistorical[[#This Row],[Nutrition - old]], 1), "")</f>
        <v>0</v>
      </c>
      <c r="AL13" s="315">
        <f>IFERROR(ROUND((tblPiNHistorical[[#This Row],[Food Security - new]]-tblPiNHistorical[[#This Row],[Food Security - old]])/tblPiNHistorical[[#This Row],[Food Security - old]], 1), "")</f>
        <v>-0.2</v>
      </c>
      <c r="AM13" s="315">
        <f>IFERROR(ROUND((tblPiNHistorical[[#This Row],[Health - new]]-tblPiNHistorical[[#This Row],[Health - old]])/tblPiNHistorical[[#This Row],[Health - old]], 1), "")</f>
        <v>-0.9</v>
      </c>
      <c r="AN13" s="315">
        <f>IFERROR(ROUND((tblPiNHistorical[[#This Row],[Overarching Protection - new]]-tblPiNHistorical[[#This Row],[Overarching Protection - old]])/tblPiNHistorical[[#This Row],[Overarching Protection - old]], 1), "")</f>
        <v>-0.9</v>
      </c>
      <c r="AO13" s="315" t="str">
        <f>IFERROR(ROUND((tblPiNHistorical[[#This Row],[Shelter - new]]-tblPiNHistorical[[#This Row],[Shelter - old]])/tblPiNHistorical[[#This Row],[Shelter - old]], 1), "")</f>
        <v/>
      </c>
      <c r="AP13" s="37">
        <f>IFERROR(ROUND((tblPiNHistorical[[#This Row],[WASH - new]]-tblPiNHistorical[[#This Row],[WASH - old]])/tblPiNHistorical[[#This Row],[WASH - old]], 1), "")</f>
        <v>0.9</v>
      </c>
      <c r="AQ13" s="21"/>
      <c r="AR13" s="73"/>
      <c r="AS13" s="21"/>
      <c r="AT13" s="73"/>
      <c r="AU13" s="21"/>
      <c r="AV13" s="73"/>
      <c r="AX13" s="17"/>
      <c r="BA13" s="17"/>
      <c r="BC13" s="24"/>
      <c r="BD13" s="21"/>
      <c r="BE13" s="17"/>
    </row>
    <row r="14" spans="1:57">
      <c r="A1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Global_PopulationHT0123</v>
      </c>
      <c r="B14" s="304" t="s">
        <v>152</v>
      </c>
      <c r="C14" s="213" t="s">
        <v>153</v>
      </c>
      <c r="D14" s="213" t="s">
        <v>177</v>
      </c>
      <c r="E14" s="103" t="s">
        <v>178</v>
      </c>
      <c r="F14" s="99"/>
      <c r="G14" s="34"/>
      <c r="H14" s="331"/>
      <c r="I14" s="96">
        <v>157549</v>
      </c>
      <c r="J14" s="241" t="s">
        <v>156</v>
      </c>
      <c r="K14" s="305">
        <v>12297</v>
      </c>
      <c r="L14" s="306">
        <v>26893</v>
      </c>
      <c r="M14" s="308">
        <v>12267</v>
      </c>
      <c r="N14" s="308">
        <v>66916</v>
      </c>
      <c r="O14" s="308">
        <v>49954</v>
      </c>
      <c r="P14" s="308">
        <v>34674</v>
      </c>
      <c r="Q14" s="309">
        <v>55024</v>
      </c>
      <c r="R14" s="308">
        <v>32141.18269261056</v>
      </c>
      <c r="S14" s="308">
        <f>IFERROR(INDEX(tblPiNAnalysis[CCCM], MATCH(tblPiNHistorical[[#This Row],[ID]], tblPiNAnalysis[ID], 0)), "")</f>
        <v>10194</v>
      </c>
      <c r="T14" s="310">
        <f>IFERROR(INDEX(tblPiNAnalysis[Education], MATCH(tblPiNHistorical[[#This Row],[ID]], tblPiNAnalysis[ID], 0)), "")</f>
        <v>22238</v>
      </c>
      <c r="U14" s="308">
        <f>IFERROR(INDEX(tblPiNAnalysis[Nutrition], MATCH(tblPiNHistorical[[#This Row],[ID]], tblPiNAnalysis[ID], 0)), "")</f>
        <v>12725</v>
      </c>
      <c r="V14" s="308">
        <f>IFERROR(INDEX(tblPiNAnalysis[Food Security], MATCH(tblPiNHistorical[[#This Row],[ID]], tblPiNAnalysis[ID], 0)), "")</f>
        <v>51461</v>
      </c>
      <c r="W14" s="308">
        <f>IFERROR(INDEX(tblPiNAnalysis[Health], MATCH(tblPiNHistorical[[#This Row],[ID]], tblPiNAnalysis[ID], 0)), "")</f>
        <v>11213.248783284285</v>
      </c>
      <c r="X14" s="308">
        <f>IFERROR(INDEX(tblPiNAnalysis[Protection], MATCH(tblPiNHistorical[[#This Row],[ID]], tblPiNAnalysis[ID], 0)), "")</f>
        <v>9745.9791304347818</v>
      </c>
      <c r="Y14" s="308">
        <f>IFERROR(INDEX(tblPiNAnalysis[Shelter], MATCH(tblPiNHistorical[[#This Row],[ID]], tblPiNAnalysis[ID], 0)), "")</f>
        <v>69621</v>
      </c>
      <c r="Z14" s="308">
        <f>IFERROR(INDEX(tblPiNAnalysis[WASH], MATCH(tblPiNHistorical[[#This Row],[ID]], tblPiNAnalysis[ID], 0)), "")</f>
        <v>6796</v>
      </c>
      <c r="AA14" s="311">
        <f>IF(OR(tblPiNHistorical[[#This Row],[CCCM - old]]="", tblPiNHistorical[[#This Row],[CCCM - old]]=0, tblPiNHistorical[[#This Row],[CCCM - new]]="", tblPiNHistorical[[#This Row],[CCCM - new]]=0), "", tblPiNHistorical[[#This Row],[CCCM - new]]-tblPiNHistorical[[#This Row],[CCCM - old]])</f>
        <v>-2103</v>
      </c>
      <c r="AB14" s="312">
        <f>IF(OR(tblPiNHistorical[[#This Row],[Education - old]]="", tblPiNHistorical[[#This Row],[Education - old]]=0, tblPiNHistorical[[#This Row],[Education - new]]="", tblPiNHistorical[[#This Row],[Education - new]]=0), "", tblPiNHistorical[[#This Row],[Education - new]]-tblPiNHistorical[[#This Row],[Education - old]])</f>
        <v>-4655</v>
      </c>
      <c r="AC14" s="312">
        <f>IF(OR(tblPiNHistorical[[#This Row],[Nutrition - old]]="", tblPiNHistorical[[#This Row],[Nutrition - old]]=0, tblPiNHistorical[[#This Row],[Nutrition - new]]="", tblPiNHistorical[[#This Row],[Nutrition - new]]=0), "", tblPiNHistorical[[#This Row],[Nutrition - new]]-tblPiNHistorical[[#This Row],[Nutrition - old]])</f>
        <v>458</v>
      </c>
      <c r="AD14" s="312">
        <f>IF(OR(tblPiNHistorical[[#This Row],[Food Security - old]]="", tblPiNHistorical[[#This Row],[Food Security - old]]=0, tblPiNHistorical[[#This Row],[Food Security - new]]="", tblPiNHistorical[[#This Row],[Food Security - new]]=0), "", tblPiNHistorical[[#This Row],[Food Security - new]]-tblPiNHistorical[[#This Row],[Food Security - old]])</f>
        <v>-15455</v>
      </c>
      <c r="AE14" s="312">
        <f>IF(OR(tblPiNHistorical[[#This Row],[Health - old]]="", tblPiNHistorical[[#This Row],[Health - old]]=0, tblPiNHistorical[[#This Row],[Health - new]]="", tblPiNHistorical[[#This Row],[Health - new]]=0), "", tblPiNHistorical[[#This Row],[Health - new]]-tblPiNHistorical[[#This Row],[Health - old]])</f>
        <v>-38740.751216715711</v>
      </c>
      <c r="AF1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-24928.020869565218</v>
      </c>
      <c r="AG14" s="312">
        <f>IF(OR(tblPiNHistorical[[#This Row],[Shelter - old]]="", tblPiNHistorical[[#This Row],[Shelter - old]]=0, tblPiNHistorical[[#This Row],[Shelter - new]]="", tblPiNHistorical[[#This Row],[Shelter - new]]=0), "", tblPiNHistorical[[#This Row],[Shelter - new]]-tblPiNHistorical[[#This Row],[Shelter - old]])</f>
        <v>14597</v>
      </c>
      <c r="AH14" s="313">
        <f>IF(OR(tblPiNHistorical[[#This Row],[WASH - old]]="", tblPiNHistorical[[#This Row],[WASH - old]]=0, tblPiNHistorical[[#This Row],[WASH - new]]="", tblPiNHistorical[[#This Row],[WASH - new]]=0), "", tblPiNHistorical[[#This Row],[WASH - new]]-tblPiNHistorical[[#This Row],[WASH - old]])</f>
        <v>-25345.18269261056</v>
      </c>
      <c r="AI14" s="314">
        <f>IFERROR(ROUND((tblPiNHistorical[[#This Row],[CCCM - new]] - tblPiNHistorical[[#This Row],[CCCM - old]])/tblPiNHistorical[[#This Row],[CCCM - old]], 1), "")</f>
        <v>-0.2</v>
      </c>
      <c r="AJ14" s="315">
        <f>IFERROR(ROUND((tblPiNHistorical[[#This Row],[Education - new]]-tblPiNHistorical[[#This Row],[Education - old]])/tblPiNHistorical[[#This Row],[Education - old]], 1), "")</f>
        <v>-0.2</v>
      </c>
      <c r="AK14" s="315">
        <f>IFERROR(ROUND((tblPiNHistorical[[#This Row],[Nutrition - new]]-tblPiNHistorical[[#This Row],[Nutrition - old]])/tblPiNHistorical[[#This Row],[Nutrition - old]], 1), "")</f>
        <v>0</v>
      </c>
      <c r="AL14" s="315">
        <f>IFERROR(ROUND((tblPiNHistorical[[#This Row],[Food Security - new]]-tblPiNHistorical[[#This Row],[Food Security - old]])/tblPiNHistorical[[#This Row],[Food Security - old]], 1), "")</f>
        <v>-0.2</v>
      </c>
      <c r="AM14" s="315">
        <f>IFERROR(ROUND((tblPiNHistorical[[#This Row],[Health - new]]-tblPiNHistorical[[#This Row],[Health - old]])/tblPiNHistorical[[#This Row],[Health - old]], 1), "")</f>
        <v>-0.8</v>
      </c>
      <c r="AN14" s="315">
        <f>IFERROR(ROUND((tblPiNHistorical[[#This Row],[Overarching Protection - new]]-tblPiNHistorical[[#This Row],[Overarching Protection - old]])/tblPiNHistorical[[#This Row],[Overarching Protection - old]], 1), "")</f>
        <v>-0.7</v>
      </c>
      <c r="AO14" s="315">
        <f>IFERROR(ROUND((tblPiNHistorical[[#This Row],[Shelter - new]]-tblPiNHistorical[[#This Row],[Shelter - old]])/tblPiNHistorical[[#This Row],[Shelter - old]], 1), "")</f>
        <v>0.3</v>
      </c>
      <c r="AP14" s="37">
        <f>IFERROR(ROUND((tblPiNHistorical[[#This Row],[WASH - new]]-tblPiNHistorical[[#This Row],[WASH - old]])/tblPiNHistorical[[#This Row],[WASH - old]], 1), "")</f>
        <v>-0.8</v>
      </c>
      <c r="AQ14" s="21"/>
      <c r="AR14" s="73"/>
      <c r="AS14" s="21"/>
      <c r="AT14" s="73"/>
      <c r="AU14" s="21"/>
      <c r="AV14" s="73"/>
      <c r="AX14" s="17"/>
      <c r="BA14" s="17"/>
      <c r="BC14" s="24"/>
      <c r="BD14" s="21"/>
      <c r="BE14" s="17"/>
    </row>
    <row r="15" spans="1:57">
      <c r="A1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Global_PopulationHT0131</v>
      </c>
      <c r="B15" s="304" t="s">
        <v>152</v>
      </c>
      <c r="C15" s="213" t="s">
        <v>153</v>
      </c>
      <c r="D15" s="213" t="s">
        <v>179</v>
      </c>
      <c r="E15" s="103" t="s">
        <v>180</v>
      </c>
      <c r="F15" s="99"/>
      <c r="G15" s="34"/>
      <c r="H15" s="331"/>
      <c r="I15" s="96">
        <v>129879</v>
      </c>
      <c r="J15" s="241" t="s">
        <v>156</v>
      </c>
      <c r="K15" s="305">
        <v>6378</v>
      </c>
      <c r="L15" s="306">
        <v>22983</v>
      </c>
      <c r="M15" s="308">
        <v>64637</v>
      </c>
      <c r="N15" s="308">
        <v>70407</v>
      </c>
      <c r="O15" s="308">
        <v>22712</v>
      </c>
      <c r="P15" s="308">
        <v>57266</v>
      </c>
      <c r="Q15" s="309">
        <v>35853</v>
      </c>
      <c r="R15" s="308">
        <v>31358.620252232162</v>
      </c>
      <c r="S15" s="308">
        <f>IFERROR(INDEX(tblPiNAnalysis[CCCM], MATCH(tblPiNHistorical[[#This Row],[ID]], tblPiNAnalysis[ID], 0)), "")</f>
        <v>7776</v>
      </c>
      <c r="T15" s="310">
        <f>IFERROR(INDEX(tblPiNAnalysis[Education], MATCH(tblPiNHistorical[[#This Row],[ID]], tblPiNAnalysis[ID], 0)), "")</f>
        <v>17630</v>
      </c>
      <c r="U15" s="308">
        <f>IFERROR(INDEX(tblPiNAnalysis[Nutrition], MATCH(tblPiNHistorical[[#This Row],[ID]], tblPiNAnalysis[ID], 0)), "")</f>
        <v>16055</v>
      </c>
      <c r="V15" s="308">
        <f>IFERROR(INDEX(tblPiNAnalysis[Food Security], MATCH(tblPiNHistorical[[#This Row],[ID]], tblPiNAnalysis[ID], 0)), "")</f>
        <v>56942</v>
      </c>
      <c r="W15" s="308">
        <f>IFERROR(INDEX(tblPiNAnalysis[Health], MATCH(tblPiNHistorical[[#This Row],[ID]], tblPiNAnalysis[ID], 0)), "")</f>
        <v>115362.66459598063</v>
      </c>
      <c r="X15" s="308">
        <f>IFERROR(INDEX(tblPiNAnalysis[Protection], MATCH(tblPiNHistorical[[#This Row],[ID]], tblPiNAnalysis[ID], 0)), "")</f>
        <v>20433.5</v>
      </c>
      <c r="Y15" s="308">
        <f>IFERROR(INDEX(tblPiNAnalysis[Shelter], MATCH(tblPiNHistorical[[#This Row],[ID]], tblPiNAnalysis[ID], 0)), "")</f>
        <v>47702</v>
      </c>
      <c r="Z15" s="308">
        <f>IFERROR(INDEX(tblPiNAnalysis[WASH], MATCH(tblPiNHistorical[[#This Row],[ID]], tblPiNAnalysis[ID], 0)), "")</f>
        <v>31058.021739130436</v>
      </c>
      <c r="AA15" s="311">
        <f>IF(OR(tblPiNHistorical[[#This Row],[CCCM - old]]="", tblPiNHistorical[[#This Row],[CCCM - old]]=0, tblPiNHistorical[[#This Row],[CCCM - new]]="", tblPiNHistorical[[#This Row],[CCCM - new]]=0), "", tblPiNHistorical[[#This Row],[CCCM - new]]-tblPiNHistorical[[#This Row],[CCCM - old]])</f>
        <v>1398</v>
      </c>
      <c r="AB15" s="312">
        <f>IF(OR(tblPiNHistorical[[#This Row],[Education - old]]="", tblPiNHistorical[[#This Row],[Education - old]]=0, tblPiNHistorical[[#This Row],[Education - new]]="", tblPiNHistorical[[#This Row],[Education - new]]=0), "", tblPiNHistorical[[#This Row],[Education - new]]-tblPiNHistorical[[#This Row],[Education - old]])</f>
        <v>-5353</v>
      </c>
      <c r="AC15" s="312">
        <f>IF(OR(tblPiNHistorical[[#This Row],[Nutrition - old]]="", tblPiNHistorical[[#This Row],[Nutrition - old]]=0, tblPiNHistorical[[#This Row],[Nutrition - new]]="", tblPiNHistorical[[#This Row],[Nutrition - new]]=0), "", tblPiNHistorical[[#This Row],[Nutrition - new]]-tblPiNHistorical[[#This Row],[Nutrition - old]])</f>
        <v>-48582</v>
      </c>
      <c r="AD15" s="312">
        <f>IF(OR(tblPiNHistorical[[#This Row],[Food Security - old]]="", tblPiNHistorical[[#This Row],[Food Security - old]]=0, tblPiNHistorical[[#This Row],[Food Security - new]]="", tblPiNHistorical[[#This Row],[Food Security - new]]=0), "", tblPiNHistorical[[#This Row],[Food Security - new]]-tblPiNHistorical[[#This Row],[Food Security - old]])</f>
        <v>-13465</v>
      </c>
      <c r="AE15" s="312">
        <f>IF(OR(tblPiNHistorical[[#This Row],[Health - old]]="", tblPiNHistorical[[#This Row],[Health - old]]=0, tblPiNHistorical[[#This Row],[Health - new]]="", tblPiNHistorical[[#This Row],[Health - new]]=0), "", tblPiNHistorical[[#This Row],[Health - new]]-tblPiNHistorical[[#This Row],[Health - old]])</f>
        <v>92650.664595980634</v>
      </c>
      <c r="AF1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-36832.5</v>
      </c>
      <c r="AG15" s="312">
        <f>IF(OR(tblPiNHistorical[[#This Row],[Shelter - old]]="", tblPiNHistorical[[#This Row],[Shelter - old]]=0, tblPiNHistorical[[#This Row],[Shelter - new]]="", tblPiNHistorical[[#This Row],[Shelter - new]]=0), "", tblPiNHistorical[[#This Row],[Shelter - new]]-tblPiNHistorical[[#This Row],[Shelter - old]])</f>
        <v>11849</v>
      </c>
      <c r="AH15" s="313">
        <f>IF(OR(tblPiNHistorical[[#This Row],[WASH - old]]="", tblPiNHistorical[[#This Row],[WASH - old]]=0, tblPiNHistorical[[#This Row],[WASH - new]]="", tblPiNHistorical[[#This Row],[WASH - new]]=0), "", tblPiNHistorical[[#This Row],[WASH - new]]-tblPiNHistorical[[#This Row],[WASH - old]])</f>
        <v>-300.59851310172598</v>
      </c>
      <c r="AI15" s="314">
        <f>IFERROR(ROUND((tblPiNHistorical[[#This Row],[CCCM - new]] - tblPiNHistorical[[#This Row],[CCCM - old]])/tblPiNHistorical[[#This Row],[CCCM - old]], 1), "")</f>
        <v>0.2</v>
      </c>
      <c r="AJ15" s="315">
        <f>IFERROR(ROUND((tblPiNHistorical[[#This Row],[Education - new]]-tblPiNHistorical[[#This Row],[Education - old]])/tblPiNHistorical[[#This Row],[Education - old]], 1), "")</f>
        <v>-0.2</v>
      </c>
      <c r="AK15" s="315">
        <f>IFERROR(ROUND((tblPiNHistorical[[#This Row],[Nutrition - new]]-tblPiNHistorical[[#This Row],[Nutrition - old]])/tblPiNHistorical[[#This Row],[Nutrition - old]], 1), "")</f>
        <v>-0.8</v>
      </c>
      <c r="AL15" s="315">
        <f>IFERROR(ROUND((tblPiNHistorical[[#This Row],[Food Security - new]]-tblPiNHistorical[[#This Row],[Food Security - old]])/tblPiNHistorical[[#This Row],[Food Security - old]], 1), "")</f>
        <v>-0.2</v>
      </c>
      <c r="AM15" s="315">
        <f>IFERROR(ROUND((tblPiNHistorical[[#This Row],[Health - new]]-tblPiNHistorical[[#This Row],[Health - old]])/tblPiNHistorical[[#This Row],[Health - old]], 1), "")</f>
        <v>4.0999999999999996</v>
      </c>
      <c r="AN15" s="315">
        <f>IFERROR(ROUND((tblPiNHistorical[[#This Row],[Overarching Protection - new]]-tblPiNHistorical[[#This Row],[Overarching Protection - old]])/tblPiNHistorical[[#This Row],[Overarching Protection - old]], 1), "")</f>
        <v>-0.6</v>
      </c>
      <c r="AO15" s="315">
        <f>IFERROR(ROUND((tblPiNHistorical[[#This Row],[Shelter - new]]-tblPiNHistorical[[#This Row],[Shelter - old]])/tblPiNHistorical[[#This Row],[Shelter - old]], 1), "")</f>
        <v>0.3</v>
      </c>
      <c r="AP15" s="37">
        <f>IFERROR(ROUND((tblPiNHistorical[[#This Row],[WASH - new]]-tblPiNHistorical[[#This Row],[WASH - old]])/tblPiNHistorical[[#This Row],[WASH - old]], 1), "")</f>
        <v>0</v>
      </c>
      <c r="AQ15" s="21"/>
      <c r="AR15" s="73"/>
      <c r="AS15" s="21"/>
      <c r="AT15" s="73"/>
      <c r="AU15" s="21"/>
      <c r="AV15" s="73"/>
      <c r="AX15" s="17"/>
      <c r="BA15" s="17"/>
      <c r="BC15" s="24"/>
      <c r="BD15" s="21"/>
      <c r="BE15" s="17"/>
    </row>
    <row r="16" spans="1:57">
      <c r="A1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Global_PopulationHT0132</v>
      </c>
      <c r="B16" s="304" t="s">
        <v>152</v>
      </c>
      <c r="C16" s="213" t="s">
        <v>153</v>
      </c>
      <c r="D16" s="213" t="s">
        <v>181</v>
      </c>
      <c r="E16" s="103" t="s">
        <v>182</v>
      </c>
      <c r="F16" s="99"/>
      <c r="G16" s="34"/>
      <c r="H16" s="331"/>
      <c r="I16" s="96">
        <v>54753</v>
      </c>
      <c r="J16" s="241" t="s">
        <v>156</v>
      </c>
      <c r="K16" s="305">
        <v>285</v>
      </c>
      <c r="L16" s="306">
        <v>8888</v>
      </c>
      <c r="M16" s="308">
        <v>6102</v>
      </c>
      <c r="N16" s="308">
        <v>25962</v>
      </c>
      <c r="O16" s="308">
        <v>12865</v>
      </c>
      <c r="P16" s="308">
        <v>16342</v>
      </c>
      <c r="Q16" s="309">
        <v>0</v>
      </c>
      <c r="R16" s="308">
        <v>10125.659342654631</v>
      </c>
      <c r="S16" s="308">
        <f>IFERROR(INDEX(tblPiNAnalysis[CCCM], MATCH(tblPiNHistorical[[#This Row],[ID]], tblPiNAnalysis[ID], 0)), "")</f>
        <v>0</v>
      </c>
      <c r="T16" s="310">
        <f>IFERROR(INDEX(tblPiNAnalysis[Education], MATCH(tblPiNHistorical[[#This Row],[ID]], tblPiNAnalysis[ID], 0)), "")</f>
        <v>7389</v>
      </c>
      <c r="U16" s="308">
        <f>IFERROR(INDEX(tblPiNAnalysis[Nutrition], MATCH(tblPiNHistorical[[#This Row],[ID]], tblPiNAnalysis[ID], 0)), "")</f>
        <v>6098</v>
      </c>
      <c r="V16" s="308">
        <f>IFERROR(INDEX(tblPiNAnalysis[Food Security], MATCH(tblPiNHistorical[[#This Row],[ID]], tblPiNAnalysis[ID], 0)), "")</f>
        <v>19966</v>
      </c>
      <c r="W16" s="308">
        <f>IFERROR(INDEX(tblPiNAnalysis[Health], MATCH(tblPiNHistorical[[#This Row],[ID]], tblPiNAnalysis[ID], 0)), "")</f>
        <v>27480.456879075118</v>
      </c>
      <c r="X16" s="308">
        <f>IFERROR(INDEX(tblPiNAnalysis[Protection], MATCH(tblPiNHistorical[[#This Row],[ID]], tblPiNAnalysis[ID], 0)), "")</f>
        <v>2148</v>
      </c>
      <c r="Y16" s="308">
        <f>IFERROR(INDEX(tblPiNAnalysis[Shelter], MATCH(tblPiNHistorical[[#This Row],[ID]], tblPiNAnalysis[ID], 0)), "")</f>
        <v>35000</v>
      </c>
      <c r="Z16" s="308">
        <f>IFERROR(INDEX(tblPiNAnalysis[WASH], MATCH(tblPiNHistorical[[#This Row],[ID]], tblPiNAnalysis[ID], 0)), "")</f>
        <v>40152.200000000004</v>
      </c>
      <c r="AA16" s="311" t="str">
        <f>IF(OR(tblPiNHistorical[[#This Row],[CCCM - old]]="", tblPiNHistorical[[#This Row],[CCCM - old]]=0, tblPiNHistorical[[#This Row],[CCCM - new]]="", tblPiNHistorical[[#This Row],[CCCM - new]]=0), "", tblPiNHistorical[[#This Row],[CCCM - new]]-tblPiNHistorical[[#This Row],[CCCM - old]])</f>
        <v/>
      </c>
      <c r="AB16" s="312">
        <f>IF(OR(tblPiNHistorical[[#This Row],[Education - old]]="", tblPiNHistorical[[#This Row],[Education - old]]=0, tblPiNHistorical[[#This Row],[Education - new]]="", tblPiNHistorical[[#This Row],[Education - new]]=0), "", tblPiNHistorical[[#This Row],[Education - new]]-tblPiNHistorical[[#This Row],[Education - old]])</f>
        <v>-1499</v>
      </c>
      <c r="AC16" s="312">
        <f>IF(OR(tblPiNHistorical[[#This Row],[Nutrition - old]]="", tblPiNHistorical[[#This Row],[Nutrition - old]]=0, tblPiNHistorical[[#This Row],[Nutrition - new]]="", tblPiNHistorical[[#This Row],[Nutrition - new]]=0), "", tblPiNHistorical[[#This Row],[Nutrition - new]]-tblPiNHistorical[[#This Row],[Nutrition - old]])</f>
        <v>-4</v>
      </c>
      <c r="AD16" s="312">
        <f>IF(OR(tblPiNHistorical[[#This Row],[Food Security - old]]="", tblPiNHistorical[[#This Row],[Food Security - old]]=0, tblPiNHistorical[[#This Row],[Food Security - new]]="", tblPiNHistorical[[#This Row],[Food Security - new]]=0), "", tblPiNHistorical[[#This Row],[Food Security - new]]-tblPiNHistorical[[#This Row],[Food Security - old]])</f>
        <v>-5996</v>
      </c>
      <c r="AE16" s="312">
        <f>IF(OR(tblPiNHistorical[[#This Row],[Health - old]]="", tblPiNHistorical[[#This Row],[Health - old]]=0, tblPiNHistorical[[#This Row],[Health - new]]="", tblPiNHistorical[[#This Row],[Health - new]]=0), "", tblPiNHistorical[[#This Row],[Health - new]]-tblPiNHistorical[[#This Row],[Health - old]])</f>
        <v>14615.456879075118</v>
      </c>
      <c r="AF1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-14194</v>
      </c>
      <c r="AG16" s="312" t="str">
        <f>IF(OR(tblPiNHistorical[[#This Row],[Shelter - old]]="", tblPiNHistorical[[#This Row],[Shelter - old]]=0, tblPiNHistorical[[#This Row],[Shelter - new]]="", tblPiNHistorical[[#This Row],[Shelter - new]]=0), "", tblPiNHistorical[[#This Row],[Shelter - new]]-tblPiNHistorical[[#This Row],[Shelter - old]])</f>
        <v/>
      </c>
      <c r="AH16" s="313">
        <f>IF(OR(tblPiNHistorical[[#This Row],[WASH - old]]="", tblPiNHistorical[[#This Row],[WASH - old]]=0, tblPiNHistorical[[#This Row],[WASH - new]]="", tblPiNHistorical[[#This Row],[WASH - new]]=0), "", tblPiNHistorical[[#This Row],[WASH - new]]-tblPiNHistorical[[#This Row],[WASH - old]])</f>
        <v>30026.540657345373</v>
      </c>
      <c r="AI16" s="314">
        <f>IFERROR(ROUND((tblPiNHistorical[[#This Row],[CCCM - new]] - tblPiNHistorical[[#This Row],[CCCM - old]])/tblPiNHistorical[[#This Row],[CCCM - old]], 1), "")</f>
        <v>-1</v>
      </c>
      <c r="AJ16" s="315">
        <f>IFERROR(ROUND((tblPiNHistorical[[#This Row],[Education - new]]-tblPiNHistorical[[#This Row],[Education - old]])/tblPiNHistorical[[#This Row],[Education - old]], 1), "")</f>
        <v>-0.2</v>
      </c>
      <c r="AK16" s="315">
        <f>IFERROR(ROUND((tblPiNHistorical[[#This Row],[Nutrition - new]]-tblPiNHistorical[[#This Row],[Nutrition - old]])/tblPiNHistorical[[#This Row],[Nutrition - old]], 1), "")</f>
        <v>0</v>
      </c>
      <c r="AL16" s="315">
        <f>IFERROR(ROUND((tblPiNHistorical[[#This Row],[Food Security - new]]-tblPiNHistorical[[#This Row],[Food Security - old]])/tblPiNHistorical[[#This Row],[Food Security - old]], 1), "")</f>
        <v>-0.2</v>
      </c>
      <c r="AM16" s="315">
        <f>IFERROR(ROUND((tblPiNHistorical[[#This Row],[Health - new]]-tblPiNHistorical[[#This Row],[Health - old]])/tblPiNHistorical[[#This Row],[Health - old]], 1), "")</f>
        <v>1.1000000000000001</v>
      </c>
      <c r="AN16" s="315">
        <f>IFERROR(ROUND((tblPiNHistorical[[#This Row],[Overarching Protection - new]]-tblPiNHistorical[[#This Row],[Overarching Protection - old]])/tblPiNHistorical[[#This Row],[Overarching Protection - old]], 1), "")</f>
        <v>-0.9</v>
      </c>
      <c r="AO16" s="315" t="str">
        <f>IFERROR(ROUND((tblPiNHistorical[[#This Row],[Shelter - new]]-tblPiNHistorical[[#This Row],[Shelter - old]])/tblPiNHistorical[[#This Row],[Shelter - old]], 1), "")</f>
        <v/>
      </c>
      <c r="AP16" s="37">
        <f>IFERROR(ROUND((tblPiNHistorical[[#This Row],[WASH - new]]-tblPiNHistorical[[#This Row],[WASH - old]])/tblPiNHistorical[[#This Row],[WASH - old]], 1), "")</f>
        <v>3</v>
      </c>
      <c r="AQ16" s="21"/>
      <c r="AR16" s="73"/>
      <c r="AS16" s="21"/>
      <c r="AT16" s="73"/>
      <c r="AU16" s="21"/>
      <c r="AV16" s="73"/>
      <c r="AX16" s="17"/>
      <c r="BA16" s="17"/>
      <c r="BC16" s="24"/>
      <c r="BD16" s="21"/>
      <c r="BE16" s="17"/>
    </row>
    <row r="17" spans="1:42">
      <c r="A1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Global_PopulationHT0133</v>
      </c>
      <c r="B17" s="304" t="s">
        <v>152</v>
      </c>
      <c r="C17" s="213" t="s">
        <v>153</v>
      </c>
      <c r="D17" s="213" t="s">
        <v>183</v>
      </c>
      <c r="E17" s="103" t="s">
        <v>184</v>
      </c>
      <c r="F17" s="99"/>
      <c r="G17" s="34"/>
      <c r="H17" s="331"/>
      <c r="I17" s="96">
        <v>65036</v>
      </c>
      <c r="J17" s="241" t="s">
        <v>156</v>
      </c>
      <c r="K17" s="305">
        <v>15873</v>
      </c>
      <c r="L17" s="306">
        <v>10820</v>
      </c>
      <c r="M17" s="308">
        <v>12913</v>
      </c>
      <c r="N17" s="308">
        <v>30655</v>
      </c>
      <c r="O17" s="308">
        <v>39062</v>
      </c>
      <c r="P17" s="308">
        <v>16469</v>
      </c>
      <c r="Q17" s="309">
        <v>15000</v>
      </c>
      <c r="R17" s="308">
        <v>38970.076031850884</v>
      </c>
      <c r="S17" s="308">
        <f>IFERROR(INDEX(tblPiNAnalysis[CCCM], MATCH(tblPiNHistorical[[#This Row],[ID]], tblPiNAnalysis[ID], 0)), "")</f>
        <v>0</v>
      </c>
      <c r="T17" s="310">
        <f>IFERROR(INDEX(tblPiNAnalysis[Education], MATCH(tblPiNHistorical[[#This Row],[ID]], tblPiNAnalysis[ID], 0)), "")</f>
        <v>9074</v>
      </c>
      <c r="U17" s="308">
        <f>IFERROR(INDEX(tblPiNAnalysis[Nutrition], MATCH(tblPiNHistorical[[#This Row],[ID]], tblPiNAnalysis[ID], 0)), "")</f>
        <v>12257</v>
      </c>
      <c r="V17" s="308">
        <f>IFERROR(INDEX(tblPiNAnalysis[Food Security], MATCH(tblPiNHistorical[[#This Row],[ID]], tblPiNAnalysis[ID], 0)), "")</f>
        <v>23575</v>
      </c>
      <c r="W17" s="308">
        <f>IFERROR(INDEX(tblPiNAnalysis[Health], MATCH(tblPiNHistorical[[#This Row],[ID]], tblPiNAnalysis[ID], 0)), "")</f>
        <v>32626.149025155297</v>
      </c>
      <c r="X17" s="308">
        <f>IFERROR(INDEX(tblPiNAnalysis[Protection], MATCH(tblPiNHistorical[[#This Row],[ID]], tblPiNAnalysis[ID], 0)), "")</f>
        <v>397.92</v>
      </c>
      <c r="Y17" s="308">
        <f>IFERROR(INDEX(tblPiNAnalysis[Shelter], MATCH(tblPiNHistorical[[#This Row],[ID]], tblPiNAnalysis[ID], 0)), "")</f>
        <v>0</v>
      </c>
      <c r="Z17" s="308">
        <f>IFERROR(INDEX(tblPiNAnalysis[WASH], MATCH(tblPiNHistorical[[#This Row],[ID]], tblPiNAnalysis[ID], 0)), "")</f>
        <v>58532.4</v>
      </c>
      <c r="AA17" s="311" t="str">
        <f>IF(OR(tblPiNHistorical[[#This Row],[CCCM - old]]="", tblPiNHistorical[[#This Row],[CCCM - old]]=0, tblPiNHistorical[[#This Row],[CCCM - new]]="", tblPiNHistorical[[#This Row],[CCCM - new]]=0), "", tblPiNHistorical[[#This Row],[CCCM - new]]-tblPiNHistorical[[#This Row],[CCCM - old]])</f>
        <v/>
      </c>
      <c r="AB17" s="312">
        <f>IF(OR(tblPiNHistorical[[#This Row],[Education - old]]="", tblPiNHistorical[[#This Row],[Education - old]]=0, tblPiNHistorical[[#This Row],[Education - new]]="", tblPiNHistorical[[#This Row],[Education - new]]=0), "", tblPiNHistorical[[#This Row],[Education - new]]-tblPiNHistorical[[#This Row],[Education - old]])</f>
        <v>-1746</v>
      </c>
      <c r="AC17" s="312">
        <f>IF(OR(tblPiNHistorical[[#This Row],[Nutrition - old]]="", tblPiNHistorical[[#This Row],[Nutrition - old]]=0, tblPiNHistorical[[#This Row],[Nutrition - new]]="", tblPiNHistorical[[#This Row],[Nutrition - new]]=0), "", tblPiNHistorical[[#This Row],[Nutrition - new]]-tblPiNHistorical[[#This Row],[Nutrition - old]])</f>
        <v>-656</v>
      </c>
      <c r="AD17" s="312">
        <f>IF(OR(tblPiNHistorical[[#This Row],[Food Security - old]]="", tblPiNHistorical[[#This Row],[Food Security - old]]=0, tblPiNHistorical[[#This Row],[Food Security - new]]="", tblPiNHistorical[[#This Row],[Food Security - new]]=0), "", tblPiNHistorical[[#This Row],[Food Security - new]]-tblPiNHistorical[[#This Row],[Food Security - old]])</f>
        <v>-7080</v>
      </c>
      <c r="AE17" s="312">
        <f>IF(OR(tblPiNHistorical[[#This Row],[Health - old]]="", tblPiNHistorical[[#This Row],[Health - old]]=0, tblPiNHistorical[[#This Row],[Health - new]]="", tblPiNHistorical[[#This Row],[Health - new]]=0), "", tblPiNHistorical[[#This Row],[Health - new]]-tblPiNHistorical[[#This Row],[Health - old]])</f>
        <v>-6435.8509748447032</v>
      </c>
      <c r="AF1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-16071.08</v>
      </c>
      <c r="AG17" s="312" t="str">
        <f>IF(OR(tblPiNHistorical[[#This Row],[Shelter - old]]="", tblPiNHistorical[[#This Row],[Shelter - old]]=0, tblPiNHistorical[[#This Row],[Shelter - new]]="", tblPiNHistorical[[#This Row],[Shelter - new]]=0), "", tblPiNHistorical[[#This Row],[Shelter - new]]-tblPiNHistorical[[#This Row],[Shelter - old]])</f>
        <v/>
      </c>
      <c r="AH17" s="313">
        <f>IF(OR(tblPiNHistorical[[#This Row],[WASH - old]]="", tblPiNHistorical[[#This Row],[WASH - old]]=0, tblPiNHistorical[[#This Row],[WASH - new]]="", tblPiNHistorical[[#This Row],[WASH - new]]=0), "", tblPiNHistorical[[#This Row],[WASH - new]]-tblPiNHistorical[[#This Row],[WASH - old]])</f>
        <v>19562.323968149118</v>
      </c>
      <c r="AI17" s="314">
        <f>IFERROR(ROUND((tblPiNHistorical[[#This Row],[CCCM - new]] - tblPiNHistorical[[#This Row],[CCCM - old]])/tblPiNHistorical[[#This Row],[CCCM - old]], 1), "")</f>
        <v>-1</v>
      </c>
      <c r="AJ17" s="315">
        <f>IFERROR(ROUND((tblPiNHistorical[[#This Row],[Education - new]]-tblPiNHistorical[[#This Row],[Education - old]])/tblPiNHistorical[[#This Row],[Education - old]], 1), "")</f>
        <v>-0.2</v>
      </c>
      <c r="AK17" s="315">
        <f>IFERROR(ROUND((tblPiNHistorical[[#This Row],[Nutrition - new]]-tblPiNHistorical[[#This Row],[Nutrition - old]])/tblPiNHistorical[[#This Row],[Nutrition - old]], 1), "")</f>
        <v>-0.1</v>
      </c>
      <c r="AL17" s="315">
        <f>IFERROR(ROUND((tblPiNHistorical[[#This Row],[Food Security - new]]-tblPiNHistorical[[#This Row],[Food Security - old]])/tblPiNHistorical[[#This Row],[Food Security - old]], 1), "")</f>
        <v>-0.2</v>
      </c>
      <c r="AM17" s="315">
        <f>IFERROR(ROUND((tblPiNHistorical[[#This Row],[Health - new]]-tblPiNHistorical[[#This Row],[Health - old]])/tblPiNHistorical[[#This Row],[Health - old]], 1), "")</f>
        <v>-0.2</v>
      </c>
      <c r="AN17" s="315">
        <f>IFERROR(ROUND((tblPiNHistorical[[#This Row],[Overarching Protection - new]]-tblPiNHistorical[[#This Row],[Overarching Protection - old]])/tblPiNHistorical[[#This Row],[Overarching Protection - old]], 1), "")</f>
        <v>-1</v>
      </c>
      <c r="AO17" s="315">
        <f>IFERROR(ROUND((tblPiNHistorical[[#This Row],[Shelter - new]]-tblPiNHistorical[[#This Row],[Shelter - old]])/tblPiNHistorical[[#This Row],[Shelter - old]], 1), "")</f>
        <v>-1</v>
      </c>
      <c r="AP17" s="37">
        <f>IFERROR(ROUND((tblPiNHistorical[[#This Row],[WASH - new]]-tblPiNHistorical[[#This Row],[WASH - old]])/tblPiNHistorical[[#This Row],[WASH - old]], 1), "")</f>
        <v>0.5</v>
      </c>
    </row>
    <row r="18" spans="1:42">
      <c r="A1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Global_PopulationHT0134</v>
      </c>
      <c r="B18" s="304" t="s">
        <v>152</v>
      </c>
      <c r="C18" s="213" t="s">
        <v>153</v>
      </c>
      <c r="D18" s="213" t="s">
        <v>185</v>
      </c>
      <c r="E18" s="103" t="s">
        <v>186</v>
      </c>
      <c r="F18" s="99"/>
      <c r="G18" s="34"/>
      <c r="H18" s="331"/>
      <c r="I18" s="96">
        <v>66185</v>
      </c>
      <c r="J18" s="241" t="s">
        <v>156</v>
      </c>
      <c r="K18" s="305">
        <v>1391</v>
      </c>
      <c r="L18" s="306">
        <v>12367</v>
      </c>
      <c r="M18" s="308">
        <v>5826</v>
      </c>
      <c r="N18" s="308">
        <v>29246</v>
      </c>
      <c r="O18" s="308">
        <v>31519</v>
      </c>
      <c r="P18" s="308">
        <v>16224</v>
      </c>
      <c r="Q18" s="309">
        <v>0</v>
      </c>
      <c r="R18" s="308">
        <v>22993.582514744481</v>
      </c>
      <c r="S18" s="308">
        <f>IFERROR(INDEX(tblPiNAnalysis[CCCM], MATCH(tblPiNHistorical[[#This Row],[ID]], tblPiNAnalysis[ID], 0)), "")</f>
        <v>3213</v>
      </c>
      <c r="T18" s="310">
        <f>IFERROR(INDEX(tblPiNAnalysis[Education], MATCH(tblPiNHistorical[[#This Row],[ID]], tblPiNAnalysis[ID], 0)), "")</f>
        <v>9632</v>
      </c>
      <c r="U18" s="308">
        <f>IFERROR(INDEX(tblPiNAnalysis[Nutrition], MATCH(tblPiNHistorical[[#This Row],[ID]], tblPiNAnalysis[ID], 0)), "")</f>
        <v>6002</v>
      </c>
      <c r="V18" s="308">
        <f>IFERROR(INDEX(tblPiNAnalysis[Food Security], MATCH(tblPiNHistorical[[#This Row],[ID]], tblPiNAnalysis[ID], 0)), "")</f>
        <v>22492</v>
      </c>
      <c r="W18" s="308">
        <f>IFERROR(INDEX(tblPiNAnalysis[Health], MATCH(tblPiNHistorical[[#This Row],[ID]], tblPiNAnalysis[ID], 0)), "")</f>
        <v>4149.1964010270776</v>
      </c>
      <c r="X18" s="308">
        <f>IFERROR(INDEX(tblPiNAnalysis[Protection], MATCH(tblPiNHistorical[[#This Row],[ID]], tblPiNAnalysis[ID], 0)), "")</f>
        <v>5714.8249999999998</v>
      </c>
      <c r="Y18" s="308">
        <f>IFERROR(INDEX(tblPiNAnalysis[Shelter], MATCH(tblPiNHistorical[[#This Row],[ID]], tblPiNAnalysis[ID], 0)), "")</f>
        <v>0</v>
      </c>
      <c r="Z18" s="308">
        <f>IFERROR(INDEX(tblPiNAnalysis[WASH], MATCH(tblPiNHistorical[[#This Row],[ID]], tblPiNAnalysis[ID], 0)), "")</f>
        <v>33092.5</v>
      </c>
      <c r="AA18" s="311">
        <f>IF(OR(tblPiNHistorical[[#This Row],[CCCM - old]]="", tblPiNHistorical[[#This Row],[CCCM - old]]=0, tblPiNHistorical[[#This Row],[CCCM - new]]="", tblPiNHistorical[[#This Row],[CCCM - new]]=0), "", tblPiNHistorical[[#This Row],[CCCM - new]]-tblPiNHistorical[[#This Row],[CCCM - old]])</f>
        <v>1822</v>
      </c>
      <c r="AB18" s="312">
        <f>IF(OR(tblPiNHistorical[[#This Row],[Education - old]]="", tblPiNHistorical[[#This Row],[Education - old]]=0, tblPiNHistorical[[#This Row],[Education - new]]="", tblPiNHistorical[[#This Row],[Education - new]]=0), "", tblPiNHistorical[[#This Row],[Education - new]]-tblPiNHistorical[[#This Row],[Education - old]])</f>
        <v>-2735</v>
      </c>
      <c r="AC18" s="312">
        <f>IF(OR(tblPiNHistorical[[#This Row],[Nutrition - old]]="", tblPiNHistorical[[#This Row],[Nutrition - old]]=0, tblPiNHistorical[[#This Row],[Nutrition - new]]="", tblPiNHistorical[[#This Row],[Nutrition - new]]=0), "", tblPiNHistorical[[#This Row],[Nutrition - new]]-tblPiNHistorical[[#This Row],[Nutrition - old]])</f>
        <v>176</v>
      </c>
      <c r="AD18" s="312">
        <f>IF(OR(tblPiNHistorical[[#This Row],[Food Security - old]]="", tblPiNHistorical[[#This Row],[Food Security - old]]=0, tblPiNHistorical[[#This Row],[Food Security - new]]="", tblPiNHistorical[[#This Row],[Food Security - new]]=0), "", tblPiNHistorical[[#This Row],[Food Security - new]]-tblPiNHistorical[[#This Row],[Food Security - old]])</f>
        <v>-6754</v>
      </c>
      <c r="AE18" s="312">
        <f>IF(OR(tblPiNHistorical[[#This Row],[Health - old]]="", tblPiNHistorical[[#This Row],[Health - old]]=0, tblPiNHistorical[[#This Row],[Health - new]]="", tblPiNHistorical[[#This Row],[Health - new]]=0), "", tblPiNHistorical[[#This Row],[Health - new]]-tblPiNHistorical[[#This Row],[Health - old]])</f>
        <v>-27369.803598972921</v>
      </c>
      <c r="AF1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-10509.174999999999</v>
      </c>
      <c r="AG18" s="312" t="str">
        <f>IF(OR(tblPiNHistorical[[#This Row],[Shelter - old]]="", tblPiNHistorical[[#This Row],[Shelter - old]]=0, tblPiNHistorical[[#This Row],[Shelter - new]]="", tblPiNHistorical[[#This Row],[Shelter - new]]=0), "", tblPiNHistorical[[#This Row],[Shelter - new]]-tblPiNHistorical[[#This Row],[Shelter - old]])</f>
        <v/>
      </c>
      <c r="AH18" s="313">
        <f>IF(OR(tblPiNHistorical[[#This Row],[WASH - old]]="", tblPiNHistorical[[#This Row],[WASH - old]]=0, tblPiNHistorical[[#This Row],[WASH - new]]="", tblPiNHistorical[[#This Row],[WASH - new]]=0), "", tblPiNHistorical[[#This Row],[WASH - new]]-tblPiNHistorical[[#This Row],[WASH - old]])</f>
        <v>10098.917485255519</v>
      </c>
      <c r="AI18" s="314">
        <f>IFERROR(ROUND((tblPiNHistorical[[#This Row],[CCCM - new]] - tblPiNHistorical[[#This Row],[CCCM - old]])/tblPiNHistorical[[#This Row],[CCCM - old]], 1), "")</f>
        <v>1.3</v>
      </c>
      <c r="AJ18" s="315">
        <f>IFERROR(ROUND((tblPiNHistorical[[#This Row],[Education - new]]-tblPiNHistorical[[#This Row],[Education - old]])/tblPiNHistorical[[#This Row],[Education - old]], 1), "")</f>
        <v>-0.2</v>
      </c>
      <c r="AK18" s="315">
        <f>IFERROR(ROUND((tblPiNHistorical[[#This Row],[Nutrition - new]]-tblPiNHistorical[[#This Row],[Nutrition - old]])/tblPiNHistorical[[#This Row],[Nutrition - old]], 1), "")</f>
        <v>0</v>
      </c>
      <c r="AL18" s="315">
        <f>IFERROR(ROUND((tblPiNHistorical[[#This Row],[Food Security - new]]-tblPiNHistorical[[#This Row],[Food Security - old]])/tblPiNHistorical[[#This Row],[Food Security - old]], 1), "")</f>
        <v>-0.2</v>
      </c>
      <c r="AM18" s="315">
        <f>IFERROR(ROUND((tblPiNHistorical[[#This Row],[Health - new]]-tblPiNHistorical[[#This Row],[Health - old]])/tblPiNHistorical[[#This Row],[Health - old]], 1), "")</f>
        <v>-0.9</v>
      </c>
      <c r="AN18" s="315">
        <f>IFERROR(ROUND((tblPiNHistorical[[#This Row],[Overarching Protection - new]]-tblPiNHistorical[[#This Row],[Overarching Protection - old]])/tblPiNHistorical[[#This Row],[Overarching Protection - old]], 1), "")</f>
        <v>-0.6</v>
      </c>
      <c r="AO18" s="315" t="str">
        <f>IFERROR(ROUND((tblPiNHistorical[[#This Row],[Shelter - new]]-tblPiNHistorical[[#This Row],[Shelter - old]])/tblPiNHistorical[[#This Row],[Shelter - old]], 1), "")</f>
        <v/>
      </c>
      <c r="AP18" s="37">
        <f>IFERROR(ROUND((tblPiNHistorical[[#This Row],[WASH - new]]-tblPiNHistorical[[#This Row],[WASH - old]])/tblPiNHistorical[[#This Row],[WASH - old]], 1), "")</f>
        <v>0.4</v>
      </c>
    </row>
    <row r="19" spans="1:42">
      <c r="A1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Global_PopulationHT0135</v>
      </c>
      <c r="B19" s="304" t="s">
        <v>152</v>
      </c>
      <c r="C19" s="213" t="s">
        <v>153</v>
      </c>
      <c r="D19" s="213" t="s">
        <v>187</v>
      </c>
      <c r="E19" s="103" t="s">
        <v>188</v>
      </c>
      <c r="F19" s="99"/>
      <c r="G19" s="34"/>
      <c r="H19" s="331"/>
      <c r="I19" s="96">
        <v>54717</v>
      </c>
      <c r="J19" s="241" t="s">
        <v>156</v>
      </c>
      <c r="K19" s="305">
        <v>0</v>
      </c>
      <c r="L19" s="306">
        <v>10517</v>
      </c>
      <c r="M19" s="308">
        <v>7193</v>
      </c>
      <c r="N19" s="308">
        <v>21798</v>
      </c>
      <c r="O19" s="308">
        <v>14123</v>
      </c>
      <c r="P19" s="308">
        <v>11159</v>
      </c>
      <c r="Q19" s="309">
        <v>17680</v>
      </c>
      <c r="R19" s="308">
        <v>5681.2645432064528</v>
      </c>
      <c r="S19" s="308">
        <f>IFERROR(INDEX(tblPiNAnalysis[CCCM], MATCH(tblPiNHistorical[[#This Row],[ID]], tblPiNAnalysis[ID], 0)), "")</f>
        <v>0</v>
      </c>
      <c r="T19" s="310">
        <f>IFERROR(INDEX(tblPiNAnalysis[Education], MATCH(tblPiNHistorical[[#This Row],[ID]], tblPiNAnalysis[ID], 0)), "")</f>
        <v>8873</v>
      </c>
      <c r="U19" s="308">
        <f>IFERROR(INDEX(tblPiNAnalysis[Nutrition], MATCH(tblPiNHistorical[[#This Row],[ID]], tblPiNAnalysis[ID], 0)), "")</f>
        <v>7193</v>
      </c>
      <c r="V19" s="308">
        <f>IFERROR(INDEX(tblPiNAnalysis[Food Security], MATCH(tblPiNHistorical[[#This Row],[ID]], tblPiNAnalysis[ID], 0)), "")</f>
        <v>21499</v>
      </c>
      <c r="W19" s="308">
        <f>IFERROR(INDEX(tblPiNAnalysis[Health], MATCH(tblPiNHistorical[[#This Row],[ID]], tblPiNAnalysis[ID], 0)), "")</f>
        <v>169.32927609335309</v>
      </c>
      <c r="X19" s="308">
        <f>IFERROR(INDEX(tblPiNAnalysis[Protection], MATCH(tblPiNHistorical[[#This Row],[ID]], tblPiNAnalysis[ID], 0)), "")</f>
        <v>2820.5499999999997</v>
      </c>
      <c r="Y19" s="308">
        <f>IFERROR(INDEX(tblPiNAnalysis[Shelter], MATCH(tblPiNHistorical[[#This Row],[ID]], tblPiNAnalysis[ID], 0)), "")</f>
        <v>44007</v>
      </c>
      <c r="Z19" s="308">
        <f>IFERROR(INDEX(tblPiNAnalysis[WASH], MATCH(tblPiNHistorical[[#This Row],[ID]], tblPiNAnalysis[ID], 0)), "")</f>
        <v>1484.5</v>
      </c>
      <c r="AA19" s="311" t="str">
        <f>IF(OR(tblPiNHistorical[[#This Row],[CCCM - old]]="", tblPiNHistorical[[#This Row],[CCCM - old]]=0, tblPiNHistorical[[#This Row],[CCCM - new]]="", tblPiNHistorical[[#This Row],[CCCM - new]]=0), "", tblPiNHistorical[[#This Row],[CCCM - new]]-tblPiNHistorical[[#This Row],[CCCM - old]])</f>
        <v/>
      </c>
      <c r="AB19" s="312">
        <f>IF(OR(tblPiNHistorical[[#This Row],[Education - old]]="", tblPiNHistorical[[#This Row],[Education - old]]=0, tblPiNHistorical[[#This Row],[Education - new]]="", tblPiNHistorical[[#This Row],[Education - new]]=0), "", tblPiNHistorical[[#This Row],[Education - new]]-tblPiNHistorical[[#This Row],[Education - old]])</f>
        <v>-1644</v>
      </c>
      <c r="AC19" s="312">
        <f>IF(OR(tblPiNHistorical[[#This Row],[Nutrition - old]]="", tblPiNHistorical[[#This Row],[Nutrition - old]]=0, tblPiNHistorical[[#This Row],[Nutrition - new]]="", tblPiNHistorical[[#This Row],[Nutrition - new]]=0), "", tblPiNHistorical[[#This Row],[Nutrition - new]]-tblPiNHistorical[[#This Row],[Nutrition - old]])</f>
        <v>0</v>
      </c>
      <c r="AD19" s="312">
        <f>IF(OR(tblPiNHistorical[[#This Row],[Food Security - old]]="", tblPiNHistorical[[#This Row],[Food Security - old]]=0, tblPiNHistorical[[#This Row],[Food Security - new]]="", tblPiNHistorical[[#This Row],[Food Security - new]]=0), "", tblPiNHistorical[[#This Row],[Food Security - new]]-tblPiNHistorical[[#This Row],[Food Security - old]])</f>
        <v>-299</v>
      </c>
      <c r="AE19" s="312">
        <f>IF(OR(tblPiNHistorical[[#This Row],[Health - old]]="", tblPiNHistorical[[#This Row],[Health - old]]=0, tblPiNHistorical[[#This Row],[Health - new]]="", tblPiNHistorical[[#This Row],[Health - new]]=0), "", tblPiNHistorical[[#This Row],[Health - new]]-tblPiNHistorical[[#This Row],[Health - old]])</f>
        <v>-13953.670723906647</v>
      </c>
      <c r="AF1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-8338.4500000000007</v>
      </c>
      <c r="AG19" s="312">
        <f>IF(OR(tblPiNHistorical[[#This Row],[Shelter - old]]="", tblPiNHistorical[[#This Row],[Shelter - old]]=0, tblPiNHistorical[[#This Row],[Shelter - new]]="", tblPiNHistorical[[#This Row],[Shelter - new]]=0), "", tblPiNHistorical[[#This Row],[Shelter - new]]-tblPiNHistorical[[#This Row],[Shelter - old]])</f>
        <v>26327</v>
      </c>
      <c r="AH19" s="313">
        <f>IF(OR(tblPiNHistorical[[#This Row],[WASH - old]]="", tblPiNHistorical[[#This Row],[WASH - old]]=0, tblPiNHistorical[[#This Row],[WASH - new]]="", tblPiNHistorical[[#This Row],[WASH - new]]=0), "", tblPiNHistorical[[#This Row],[WASH - new]]-tblPiNHistorical[[#This Row],[WASH - old]])</f>
        <v>-4196.7645432064528</v>
      </c>
      <c r="AI19" s="314" t="str">
        <f>IFERROR(ROUND((tblPiNHistorical[[#This Row],[CCCM - new]] - tblPiNHistorical[[#This Row],[CCCM - old]])/tblPiNHistorical[[#This Row],[CCCM - old]], 1), "")</f>
        <v/>
      </c>
      <c r="AJ19" s="315">
        <f>IFERROR(ROUND((tblPiNHistorical[[#This Row],[Education - new]]-tblPiNHistorical[[#This Row],[Education - old]])/tblPiNHistorical[[#This Row],[Education - old]], 1), "")</f>
        <v>-0.2</v>
      </c>
      <c r="AK19" s="315">
        <f>IFERROR(ROUND((tblPiNHistorical[[#This Row],[Nutrition - new]]-tblPiNHistorical[[#This Row],[Nutrition - old]])/tblPiNHistorical[[#This Row],[Nutrition - old]], 1), "")</f>
        <v>0</v>
      </c>
      <c r="AL19" s="315">
        <f>IFERROR(ROUND((tblPiNHistorical[[#This Row],[Food Security - new]]-tblPiNHistorical[[#This Row],[Food Security - old]])/tblPiNHistorical[[#This Row],[Food Security - old]], 1), "")</f>
        <v>0</v>
      </c>
      <c r="AM19" s="315">
        <f>IFERROR(ROUND((tblPiNHistorical[[#This Row],[Health - new]]-tblPiNHistorical[[#This Row],[Health - old]])/tblPiNHistorical[[#This Row],[Health - old]], 1), "")</f>
        <v>-1</v>
      </c>
      <c r="AN19" s="315">
        <f>IFERROR(ROUND((tblPiNHistorical[[#This Row],[Overarching Protection - new]]-tblPiNHistorical[[#This Row],[Overarching Protection - old]])/tblPiNHistorical[[#This Row],[Overarching Protection - old]], 1), "")</f>
        <v>-0.7</v>
      </c>
      <c r="AO19" s="315">
        <f>IFERROR(ROUND((tblPiNHistorical[[#This Row],[Shelter - new]]-tblPiNHistorical[[#This Row],[Shelter - old]])/tblPiNHistorical[[#This Row],[Shelter - old]], 1), "")</f>
        <v>1.5</v>
      </c>
      <c r="AP19" s="37">
        <f>IFERROR(ROUND((tblPiNHistorical[[#This Row],[WASH - new]]-tblPiNHistorical[[#This Row],[WASH - old]])/tblPiNHistorical[[#This Row],[WASH - old]], 1), "")</f>
        <v>-0.7</v>
      </c>
    </row>
    <row r="20" spans="1:42">
      <c r="A2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Global_PopulationHT0141</v>
      </c>
      <c r="B20" s="304" t="s">
        <v>152</v>
      </c>
      <c r="C20" s="213" t="s">
        <v>153</v>
      </c>
      <c r="D20" s="213" t="s">
        <v>189</v>
      </c>
      <c r="E20" s="103" t="s">
        <v>190</v>
      </c>
      <c r="F20" s="99"/>
      <c r="G20" s="34"/>
      <c r="H20" s="331"/>
      <c r="I20" s="96">
        <v>142752</v>
      </c>
      <c r="J20" s="241" t="s">
        <v>156</v>
      </c>
      <c r="K20" s="305">
        <v>18480</v>
      </c>
      <c r="L20" s="306">
        <v>26093</v>
      </c>
      <c r="M20" s="308">
        <v>12712</v>
      </c>
      <c r="N20" s="308">
        <v>56781</v>
      </c>
      <c r="O20" s="308">
        <v>56608</v>
      </c>
      <c r="P20" s="308">
        <v>24861</v>
      </c>
      <c r="Q20" s="309">
        <v>12320</v>
      </c>
      <c r="R20" s="308">
        <v>49736.873315665303</v>
      </c>
      <c r="S20" s="308">
        <f>IFERROR(INDEX(tblPiNAnalysis[CCCM], MATCH(tblPiNHistorical[[#This Row],[ID]], tblPiNAnalysis[ID], 0)), "")</f>
        <v>21285</v>
      </c>
      <c r="T20" s="310">
        <f>IFERROR(INDEX(tblPiNAnalysis[Education], MATCH(tblPiNHistorical[[#This Row],[ID]], tblPiNAnalysis[ID], 0)), "")</f>
        <v>20889</v>
      </c>
      <c r="U20" s="308">
        <f>IFERROR(INDEX(tblPiNAnalysis[Nutrition], MATCH(tblPiNHistorical[[#This Row],[ID]], tblPiNAnalysis[ID], 0)), "")</f>
        <v>13728</v>
      </c>
      <c r="V20" s="308">
        <f>IFERROR(INDEX(tblPiNAnalysis[Food Security], MATCH(tblPiNHistorical[[#This Row],[ID]], tblPiNAnalysis[ID], 0)), "")</f>
        <v>76948</v>
      </c>
      <c r="W20" s="308">
        <f>IFERROR(INDEX(tblPiNAnalysis[Health], MATCH(tblPiNHistorical[[#This Row],[ID]], tblPiNAnalysis[ID], 0)), "")</f>
        <v>69645.720280986614</v>
      </c>
      <c r="X20" s="308">
        <f>IFERROR(INDEX(tblPiNAnalysis[Protection], MATCH(tblPiNHistorical[[#This Row],[ID]], tblPiNAnalysis[ID], 0)), "")</f>
        <v>34171.811764705883</v>
      </c>
      <c r="Y20" s="308">
        <f>IFERROR(INDEX(tblPiNAnalysis[Shelter], MATCH(tblPiNHistorical[[#This Row],[ID]], tblPiNAnalysis[ID], 0)), "")</f>
        <v>0</v>
      </c>
      <c r="Z20" s="308">
        <f>IFERROR(INDEX(tblPiNAnalysis[WASH], MATCH(tblPiNHistorical[[#This Row],[ID]], tblPiNAnalysis[ID], 0)), "")</f>
        <v>23792</v>
      </c>
      <c r="AA20" s="311">
        <f>IF(OR(tblPiNHistorical[[#This Row],[CCCM - old]]="", tblPiNHistorical[[#This Row],[CCCM - old]]=0, tblPiNHistorical[[#This Row],[CCCM - new]]="", tblPiNHistorical[[#This Row],[CCCM - new]]=0), "", tblPiNHistorical[[#This Row],[CCCM - new]]-tblPiNHistorical[[#This Row],[CCCM - old]])</f>
        <v>2805</v>
      </c>
      <c r="AB20" s="312">
        <f>IF(OR(tblPiNHistorical[[#This Row],[Education - old]]="", tblPiNHistorical[[#This Row],[Education - old]]=0, tblPiNHistorical[[#This Row],[Education - new]]="", tblPiNHistorical[[#This Row],[Education - new]]=0), "", tblPiNHistorical[[#This Row],[Education - new]]-tblPiNHistorical[[#This Row],[Education - old]])</f>
        <v>-5204</v>
      </c>
      <c r="AC20" s="312">
        <f>IF(OR(tblPiNHistorical[[#This Row],[Nutrition - old]]="", tblPiNHistorical[[#This Row],[Nutrition - old]]=0, tblPiNHistorical[[#This Row],[Nutrition - new]]="", tblPiNHistorical[[#This Row],[Nutrition - new]]=0), "", tblPiNHistorical[[#This Row],[Nutrition - new]]-tblPiNHistorical[[#This Row],[Nutrition - old]])</f>
        <v>1016</v>
      </c>
      <c r="AD20" s="312">
        <f>IF(OR(tblPiNHistorical[[#This Row],[Food Security - old]]="", tblPiNHistorical[[#This Row],[Food Security - old]]=0, tblPiNHistorical[[#This Row],[Food Security - new]]="", tblPiNHistorical[[#This Row],[Food Security - new]]=0), "", tblPiNHistorical[[#This Row],[Food Security - new]]-tblPiNHistorical[[#This Row],[Food Security - old]])</f>
        <v>20167</v>
      </c>
      <c r="AE20" s="312">
        <f>IF(OR(tblPiNHistorical[[#This Row],[Health - old]]="", tblPiNHistorical[[#This Row],[Health - old]]=0, tblPiNHistorical[[#This Row],[Health - new]]="", tblPiNHistorical[[#This Row],[Health - new]]=0), "", tblPiNHistorical[[#This Row],[Health - new]]-tblPiNHistorical[[#This Row],[Health - old]])</f>
        <v>13037.720280986614</v>
      </c>
      <c r="AF2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9310.8117647058825</v>
      </c>
      <c r="AG20" s="312" t="str">
        <f>IF(OR(tblPiNHistorical[[#This Row],[Shelter - old]]="", tblPiNHistorical[[#This Row],[Shelter - old]]=0, tblPiNHistorical[[#This Row],[Shelter - new]]="", tblPiNHistorical[[#This Row],[Shelter - new]]=0), "", tblPiNHistorical[[#This Row],[Shelter - new]]-tblPiNHistorical[[#This Row],[Shelter - old]])</f>
        <v/>
      </c>
      <c r="AH20" s="313">
        <f>IF(OR(tblPiNHistorical[[#This Row],[WASH - old]]="", tblPiNHistorical[[#This Row],[WASH - old]]=0, tblPiNHistorical[[#This Row],[WASH - new]]="", tblPiNHistorical[[#This Row],[WASH - new]]=0), "", tblPiNHistorical[[#This Row],[WASH - new]]-tblPiNHistorical[[#This Row],[WASH - old]])</f>
        <v>-25944.873315665303</v>
      </c>
      <c r="AI20" s="314">
        <f>IFERROR(ROUND((tblPiNHistorical[[#This Row],[CCCM - new]] - tblPiNHistorical[[#This Row],[CCCM - old]])/tblPiNHistorical[[#This Row],[CCCM - old]], 1), "")</f>
        <v>0.2</v>
      </c>
      <c r="AJ20" s="315">
        <f>IFERROR(ROUND((tblPiNHistorical[[#This Row],[Education - new]]-tblPiNHistorical[[#This Row],[Education - old]])/tblPiNHistorical[[#This Row],[Education - old]], 1), "")</f>
        <v>-0.2</v>
      </c>
      <c r="AK20" s="315">
        <f>IFERROR(ROUND((tblPiNHistorical[[#This Row],[Nutrition - new]]-tblPiNHistorical[[#This Row],[Nutrition - old]])/tblPiNHistorical[[#This Row],[Nutrition - old]], 1), "")</f>
        <v>0.1</v>
      </c>
      <c r="AL20" s="315">
        <f>IFERROR(ROUND((tblPiNHistorical[[#This Row],[Food Security - new]]-tblPiNHistorical[[#This Row],[Food Security - old]])/tblPiNHistorical[[#This Row],[Food Security - old]], 1), "")</f>
        <v>0.4</v>
      </c>
      <c r="AM20" s="315">
        <f>IFERROR(ROUND((tblPiNHistorical[[#This Row],[Health - new]]-tblPiNHistorical[[#This Row],[Health - old]])/tblPiNHistorical[[#This Row],[Health - old]], 1), "")</f>
        <v>0.2</v>
      </c>
      <c r="AN20" s="315">
        <f>IFERROR(ROUND((tblPiNHistorical[[#This Row],[Overarching Protection - new]]-tblPiNHistorical[[#This Row],[Overarching Protection - old]])/tblPiNHistorical[[#This Row],[Overarching Protection - old]], 1), "")</f>
        <v>0.4</v>
      </c>
      <c r="AO20" s="315">
        <f>IFERROR(ROUND((tblPiNHistorical[[#This Row],[Shelter - new]]-tblPiNHistorical[[#This Row],[Shelter - old]])/tblPiNHistorical[[#This Row],[Shelter - old]], 1), "")</f>
        <v>-1</v>
      </c>
      <c r="AP20" s="37">
        <f>IFERROR(ROUND((tblPiNHistorical[[#This Row],[WASH - new]]-tblPiNHistorical[[#This Row],[WASH - old]])/tblPiNHistorical[[#This Row],[WASH - old]], 1), "")</f>
        <v>-0.5</v>
      </c>
    </row>
    <row r="21" spans="1:42">
      <c r="A2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Global_PopulationHT0142</v>
      </c>
      <c r="B21" s="304" t="s">
        <v>152</v>
      </c>
      <c r="C21" s="213" t="s">
        <v>153</v>
      </c>
      <c r="D21" s="213" t="s">
        <v>191</v>
      </c>
      <c r="E21" s="103" t="s">
        <v>192</v>
      </c>
      <c r="F21" s="99"/>
      <c r="G21" s="34"/>
      <c r="H21" s="331"/>
      <c r="I21" s="96">
        <v>65302</v>
      </c>
      <c r="J21" s="241" t="s">
        <v>156</v>
      </c>
      <c r="K21" s="305">
        <v>15545</v>
      </c>
      <c r="L21" s="306">
        <v>11473</v>
      </c>
      <c r="M21" s="308">
        <v>9318</v>
      </c>
      <c r="N21" s="308">
        <v>29738</v>
      </c>
      <c r="O21" s="308">
        <v>37070</v>
      </c>
      <c r="P21" s="308">
        <v>22927</v>
      </c>
      <c r="Q21" s="309">
        <v>10363</v>
      </c>
      <c r="R21" s="308">
        <v>43939.296722209518</v>
      </c>
      <c r="S21" s="308">
        <f>IFERROR(INDEX(tblPiNAnalysis[CCCM], MATCH(tblPiNHistorical[[#This Row],[ID]], tblPiNAnalysis[ID], 0)), "")</f>
        <v>17856</v>
      </c>
      <c r="T21" s="310">
        <f>IFERROR(INDEX(tblPiNAnalysis[Education], MATCH(tblPiNHistorical[[#This Row],[ID]], tblPiNAnalysis[ID], 0)), "")</f>
        <v>9208</v>
      </c>
      <c r="U21" s="308">
        <f>IFERROR(INDEX(tblPiNAnalysis[Nutrition], MATCH(tblPiNHistorical[[#This Row],[ID]], tblPiNAnalysis[ID], 0)), "")</f>
        <v>10181</v>
      </c>
      <c r="V21" s="308">
        <f>IFERROR(INDEX(tblPiNAnalysis[Food Security], MATCH(tblPiNHistorical[[#This Row],[ID]], tblPiNAnalysis[ID], 0)), "")</f>
        <v>40300</v>
      </c>
      <c r="W21" s="308">
        <f>IFERROR(INDEX(tblPiNAnalysis[Health], MATCH(tblPiNHistorical[[#This Row],[ID]], tblPiNAnalysis[ID], 0)), "")</f>
        <v>78335.732880786294</v>
      </c>
      <c r="X21" s="308">
        <f>IFERROR(INDEX(tblPiNAnalysis[Protection], MATCH(tblPiNHistorical[[#This Row],[ID]], tblPiNAnalysis[ID], 0)), "")</f>
        <v>55257.85</v>
      </c>
      <c r="Y21" s="308">
        <f>IFERROR(INDEX(tblPiNAnalysis[Shelter], MATCH(tblPiNHistorical[[#This Row],[ID]], tblPiNAnalysis[ID], 0)), "")</f>
        <v>33946</v>
      </c>
      <c r="Z21" s="308">
        <f>IFERROR(INDEX(tblPiNAnalysis[WASH], MATCH(tblPiNHistorical[[#This Row],[ID]], tblPiNAnalysis[ID], 0)), "")</f>
        <v>32651</v>
      </c>
      <c r="AA21" s="311">
        <f>IF(OR(tblPiNHistorical[[#This Row],[CCCM - old]]="", tblPiNHistorical[[#This Row],[CCCM - old]]=0, tblPiNHistorical[[#This Row],[CCCM - new]]="", tblPiNHistorical[[#This Row],[CCCM - new]]=0), "", tblPiNHistorical[[#This Row],[CCCM - new]]-tblPiNHistorical[[#This Row],[CCCM - old]])</f>
        <v>2311</v>
      </c>
      <c r="AB21" s="312">
        <f>IF(OR(tblPiNHistorical[[#This Row],[Education - old]]="", tblPiNHistorical[[#This Row],[Education - old]]=0, tblPiNHistorical[[#This Row],[Education - new]]="", tblPiNHistorical[[#This Row],[Education - new]]=0), "", tblPiNHistorical[[#This Row],[Education - new]]-tblPiNHistorical[[#This Row],[Education - old]])</f>
        <v>-2265</v>
      </c>
      <c r="AC21" s="312">
        <f>IF(OR(tblPiNHistorical[[#This Row],[Nutrition - old]]="", tblPiNHistorical[[#This Row],[Nutrition - old]]=0, tblPiNHistorical[[#This Row],[Nutrition - new]]="", tblPiNHistorical[[#This Row],[Nutrition - new]]=0), "", tblPiNHistorical[[#This Row],[Nutrition - new]]-tblPiNHistorical[[#This Row],[Nutrition - old]])</f>
        <v>863</v>
      </c>
      <c r="AD21" s="312">
        <f>IF(OR(tblPiNHistorical[[#This Row],[Food Security - old]]="", tblPiNHistorical[[#This Row],[Food Security - old]]=0, tblPiNHistorical[[#This Row],[Food Security - new]]="", tblPiNHistorical[[#This Row],[Food Security - new]]=0), "", tblPiNHistorical[[#This Row],[Food Security - new]]-tblPiNHistorical[[#This Row],[Food Security - old]])</f>
        <v>10562</v>
      </c>
      <c r="AE21" s="312">
        <f>IF(OR(tblPiNHistorical[[#This Row],[Health - old]]="", tblPiNHistorical[[#This Row],[Health - old]]=0, tblPiNHistorical[[#This Row],[Health - new]]="", tblPiNHistorical[[#This Row],[Health - new]]=0), "", tblPiNHistorical[[#This Row],[Health - new]]-tblPiNHistorical[[#This Row],[Health - old]])</f>
        <v>41265.732880786294</v>
      </c>
      <c r="AF2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32330.85</v>
      </c>
      <c r="AG21" s="312">
        <f>IF(OR(tblPiNHistorical[[#This Row],[Shelter - old]]="", tblPiNHistorical[[#This Row],[Shelter - old]]=0, tblPiNHistorical[[#This Row],[Shelter - new]]="", tblPiNHistorical[[#This Row],[Shelter - new]]=0), "", tblPiNHistorical[[#This Row],[Shelter - new]]-tblPiNHistorical[[#This Row],[Shelter - old]])</f>
        <v>23583</v>
      </c>
      <c r="AH21" s="313">
        <f>IF(OR(tblPiNHistorical[[#This Row],[WASH - old]]="", tblPiNHistorical[[#This Row],[WASH - old]]=0, tblPiNHistorical[[#This Row],[WASH - new]]="", tblPiNHistorical[[#This Row],[WASH - new]]=0), "", tblPiNHistorical[[#This Row],[WASH - new]]-tblPiNHistorical[[#This Row],[WASH - old]])</f>
        <v>-11288.296722209518</v>
      </c>
      <c r="AI21" s="314">
        <f>IFERROR(ROUND((tblPiNHistorical[[#This Row],[CCCM - new]] - tblPiNHistorical[[#This Row],[CCCM - old]])/tblPiNHistorical[[#This Row],[CCCM - old]], 1), "")</f>
        <v>0.1</v>
      </c>
      <c r="AJ21" s="315">
        <f>IFERROR(ROUND((tblPiNHistorical[[#This Row],[Education - new]]-tblPiNHistorical[[#This Row],[Education - old]])/tblPiNHistorical[[#This Row],[Education - old]], 1), "")</f>
        <v>-0.2</v>
      </c>
      <c r="AK21" s="315">
        <f>IFERROR(ROUND((tblPiNHistorical[[#This Row],[Nutrition - new]]-tblPiNHistorical[[#This Row],[Nutrition - old]])/tblPiNHistorical[[#This Row],[Nutrition - old]], 1), "")</f>
        <v>0.1</v>
      </c>
      <c r="AL21" s="315">
        <f>IFERROR(ROUND((tblPiNHistorical[[#This Row],[Food Security - new]]-tblPiNHistorical[[#This Row],[Food Security - old]])/tblPiNHistorical[[#This Row],[Food Security - old]], 1), "")</f>
        <v>0.4</v>
      </c>
      <c r="AM21" s="315">
        <f>IFERROR(ROUND((tblPiNHistorical[[#This Row],[Health - new]]-tblPiNHistorical[[#This Row],[Health - old]])/tblPiNHistorical[[#This Row],[Health - old]], 1), "")</f>
        <v>1.1000000000000001</v>
      </c>
      <c r="AN21" s="315">
        <f>IFERROR(ROUND((tblPiNHistorical[[#This Row],[Overarching Protection - new]]-tblPiNHistorical[[#This Row],[Overarching Protection - old]])/tblPiNHistorical[[#This Row],[Overarching Protection - old]], 1), "")</f>
        <v>1.4</v>
      </c>
      <c r="AO21" s="315">
        <f>IFERROR(ROUND((tblPiNHistorical[[#This Row],[Shelter - new]]-tblPiNHistorical[[#This Row],[Shelter - old]])/tblPiNHistorical[[#This Row],[Shelter - old]], 1), "")</f>
        <v>2.2999999999999998</v>
      </c>
      <c r="AP21" s="37">
        <f>IFERROR(ROUND((tblPiNHistorical[[#This Row],[WASH - new]]-tblPiNHistorical[[#This Row],[WASH - old]])/tblPiNHistorical[[#This Row],[WASH - old]], 1), "")</f>
        <v>-0.3</v>
      </c>
    </row>
    <row r="22" spans="1:42">
      <c r="A2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Global_PopulationHT0151</v>
      </c>
      <c r="B22" s="304" t="s">
        <v>152</v>
      </c>
      <c r="C22" s="213" t="s">
        <v>153</v>
      </c>
      <c r="D22" s="213" t="s">
        <v>193</v>
      </c>
      <c r="E22" s="103" t="s">
        <v>194</v>
      </c>
      <c r="F22" s="99"/>
      <c r="G22" s="34"/>
      <c r="H22" s="331"/>
      <c r="I22" s="96">
        <v>70156</v>
      </c>
      <c r="J22" s="241" t="s">
        <v>156</v>
      </c>
      <c r="K22" s="305">
        <v>2583</v>
      </c>
      <c r="L22" s="306">
        <v>13372</v>
      </c>
      <c r="M22" s="308">
        <v>6911</v>
      </c>
      <c r="N22" s="308">
        <v>40890</v>
      </c>
      <c r="O22" s="308">
        <v>17872</v>
      </c>
      <c r="P22" s="308">
        <v>12190</v>
      </c>
      <c r="Q22" s="309">
        <v>42771</v>
      </c>
      <c r="R22" s="308">
        <v>10527.929455823907</v>
      </c>
      <c r="S22" s="308">
        <f>IFERROR(INDEX(tblPiNAnalysis[CCCM], MATCH(tblPiNHistorical[[#This Row],[ID]], tblPiNAnalysis[ID], 0)), "")</f>
        <v>4567.5</v>
      </c>
      <c r="T22" s="310">
        <f>IFERROR(INDEX(tblPiNAnalysis[Education], MATCH(tblPiNHistorical[[#This Row],[ID]], tblPiNAnalysis[ID], 0)), "")</f>
        <v>11207</v>
      </c>
      <c r="U22" s="308">
        <f>IFERROR(INDEX(tblPiNAnalysis[Nutrition], MATCH(tblPiNHistorical[[#This Row],[ID]], tblPiNAnalysis[ID], 0)), "")</f>
        <v>7145</v>
      </c>
      <c r="V22" s="308">
        <f>IFERROR(INDEX(tblPiNAnalysis[Food Security], MATCH(tblPiNHistorical[[#This Row],[ID]], tblPiNAnalysis[ID], 0)), "")</f>
        <v>43900</v>
      </c>
      <c r="W22" s="308">
        <f>IFERROR(INDEX(tblPiNAnalysis[Health], MATCH(tblPiNHistorical[[#This Row],[ID]], tblPiNAnalysis[ID], 0)), "")</f>
        <v>5324.4157182266008</v>
      </c>
      <c r="X22" s="308">
        <f>IFERROR(INDEX(tblPiNAnalysis[Protection], MATCH(tblPiNHistorical[[#This Row],[ID]], tblPiNAnalysis[ID], 0)), "")</f>
        <v>3271.13</v>
      </c>
      <c r="Y22" s="308">
        <f>IFERROR(INDEX(tblPiNAnalysis[Shelter], MATCH(tblPiNHistorical[[#This Row],[ID]], tblPiNAnalysis[ID], 0)), "")</f>
        <v>0</v>
      </c>
      <c r="Z22" s="308">
        <f>IFERROR(INDEX(tblPiNAnalysis[WASH], MATCH(tblPiNHistorical[[#This Row],[ID]], tblPiNAnalysis[ID], 0)), "")</f>
        <v>3045</v>
      </c>
      <c r="AA22" s="311">
        <f>IF(OR(tblPiNHistorical[[#This Row],[CCCM - old]]="", tblPiNHistorical[[#This Row],[CCCM - old]]=0, tblPiNHistorical[[#This Row],[CCCM - new]]="", tblPiNHistorical[[#This Row],[CCCM - new]]=0), "", tblPiNHistorical[[#This Row],[CCCM - new]]-tblPiNHistorical[[#This Row],[CCCM - old]])</f>
        <v>1984.5</v>
      </c>
      <c r="AB22" s="312">
        <f>IF(OR(tblPiNHistorical[[#This Row],[Education - old]]="", tblPiNHistorical[[#This Row],[Education - old]]=0, tblPiNHistorical[[#This Row],[Education - new]]="", tblPiNHistorical[[#This Row],[Education - new]]=0), "", tblPiNHistorical[[#This Row],[Education - new]]-tblPiNHistorical[[#This Row],[Education - old]])</f>
        <v>-2165</v>
      </c>
      <c r="AC22" s="312">
        <f>IF(OR(tblPiNHistorical[[#This Row],[Nutrition - old]]="", tblPiNHistorical[[#This Row],[Nutrition - old]]=0, tblPiNHistorical[[#This Row],[Nutrition - new]]="", tblPiNHistorical[[#This Row],[Nutrition - new]]=0), "", tblPiNHistorical[[#This Row],[Nutrition - new]]-tblPiNHistorical[[#This Row],[Nutrition - old]])</f>
        <v>234</v>
      </c>
      <c r="AD22" s="312">
        <f>IF(OR(tblPiNHistorical[[#This Row],[Food Security - old]]="", tblPiNHistorical[[#This Row],[Food Security - old]]=0, tblPiNHistorical[[#This Row],[Food Security - new]]="", tblPiNHistorical[[#This Row],[Food Security - new]]=0), "", tblPiNHistorical[[#This Row],[Food Security - new]]-tblPiNHistorical[[#This Row],[Food Security - old]])</f>
        <v>3010</v>
      </c>
      <c r="AE22" s="312">
        <f>IF(OR(tblPiNHistorical[[#This Row],[Health - old]]="", tblPiNHistorical[[#This Row],[Health - old]]=0, tblPiNHistorical[[#This Row],[Health - new]]="", tblPiNHistorical[[#This Row],[Health - new]]=0), "", tblPiNHistorical[[#This Row],[Health - new]]-tblPiNHistorical[[#This Row],[Health - old]])</f>
        <v>-12547.584281773399</v>
      </c>
      <c r="AF2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-8918.869999999999</v>
      </c>
      <c r="AG22" s="312" t="str">
        <f>IF(OR(tblPiNHistorical[[#This Row],[Shelter - old]]="", tblPiNHistorical[[#This Row],[Shelter - old]]=0, tblPiNHistorical[[#This Row],[Shelter - new]]="", tblPiNHistorical[[#This Row],[Shelter - new]]=0), "", tblPiNHistorical[[#This Row],[Shelter - new]]-tblPiNHistorical[[#This Row],[Shelter - old]])</f>
        <v/>
      </c>
      <c r="AH22" s="313">
        <f>IF(OR(tblPiNHistorical[[#This Row],[WASH - old]]="", tblPiNHistorical[[#This Row],[WASH - old]]=0, tblPiNHistorical[[#This Row],[WASH - new]]="", tblPiNHistorical[[#This Row],[WASH - new]]=0), "", tblPiNHistorical[[#This Row],[WASH - new]]-tblPiNHistorical[[#This Row],[WASH - old]])</f>
        <v>-7482.9294558239071</v>
      </c>
      <c r="AI22" s="314">
        <f>IFERROR(ROUND((tblPiNHistorical[[#This Row],[CCCM - new]] - tblPiNHistorical[[#This Row],[CCCM - old]])/tblPiNHistorical[[#This Row],[CCCM - old]], 1), "")</f>
        <v>0.8</v>
      </c>
      <c r="AJ22" s="315">
        <f>IFERROR(ROUND((tblPiNHistorical[[#This Row],[Education - new]]-tblPiNHistorical[[#This Row],[Education - old]])/tblPiNHistorical[[#This Row],[Education - old]], 1), "")</f>
        <v>-0.2</v>
      </c>
      <c r="AK22" s="315">
        <f>IFERROR(ROUND((tblPiNHistorical[[#This Row],[Nutrition - new]]-tblPiNHistorical[[#This Row],[Nutrition - old]])/tblPiNHistorical[[#This Row],[Nutrition - old]], 1), "")</f>
        <v>0</v>
      </c>
      <c r="AL22" s="315">
        <f>IFERROR(ROUND((tblPiNHistorical[[#This Row],[Food Security - new]]-tblPiNHistorical[[#This Row],[Food Security - old]])/tblPiNHistorical[[#This Row],[Food Security - old]], 1), "")</f>
        <v>0.1</v>
      </c>
      <c r="AM22" s="315">
        <f>IFERROR(ROUND((tblPiNHistorical[[#This Row],[Health - new]]-tblPiNHistorical[[#This Row],[Health - old]])/tblPiNHistorical[[#This Row],[Health - old]], 1), "")</f>
        <v>-0.7</v>
      </c>
      <c r="AN22" s="315">
        <f>IFERROR(ROUND((tblPiNHistorical[[#This Row],[Overarching Protection - new]]-tblPiNHistorical[[#This Row],[Overarching Protection - old]])/tblPiNHistorical[[#This Row],[Overarching Protection - old]], 1), "")</f>
        <v>-0.7</v>
      </c>
      <c r="AO22" s="315">
        <f>IFERROR(ROUND((tblPiNHistorical[[#This Row],[Shelter - new]]-tblPiNHistorical[[#This Row],[Shelter - old]])/tblPiNHistorical[[#This Row],[Shelter - old]], 1), "")</f>
        <v>-1</v>
      </c>
      <c r="AP22" s="37">
        <f>IFERROR(ROUND((tblPiNHistorical[[#This Row],[WASH - new]]-tblPiNHistorical[[#This Row],[WASH - old]])/tblPiNHistorical[[#This Row],[WASH - old]], 1), "")</f>
        <v>-0.7</v>
      </c>
    </row>
    <row r="23" spans="1:42">
      <c r="A2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Global_PopulationHT0152</v>
      </c>
      <c r="B23" s="304" t="s">
        <v>152</v>
      </c>
      <c r="C23" s="213" t="s">
        <v>153</v>
      </c>
      <c r="D23" s="213" t="s">
        <v>195</v>
      </c>
      <c r="E23" s="103" t="s">
        <v>196</v>
      </c>
      <c r="F23" s="99"/>
      <c r="G23" s="34"/>
      <c r="H23" s="331"/>
      <c r="I23" s="96">
        <v>26818</v>
      </c>
      <c r="J23" s="241" t="s">
        <v>156</v>
      </c>
      <c r="K23" s="305">
        <v>2180</v>
      </c>
      <c r="L23" s="306">
        <v>4958</v>
      </c>
      <c r="M23" s="308">
        <v>2777</v>
      </c>
      <c r="N23" s="308">
        <v>16026</v>
      </c>
      <c r="O23" s="308">
        <v>8672</v>
      </c>
      <c r="P23" s="308">
        <v>5449</v>
      </c>
      <c r="Q23" s="309">
        <v>9253</v>
      </c>
      <c r="R23" s="308">
        <v>6971.365544176093</v>
      </c>
      <c r="S23" s="308">
        <f>IFERROR(INDEX(tblPiNAnalysis[CCCM], MATCH(tblPiNHistorical[[#This Row],[ID]], tblPiNAnalysis[ID], 0)), "")</f>
        <v>7309.5</v>
      </c>
      <c r="T23" s="310">
        <f>IFERROR(INDEX(tblPiNAnalysis[Education], MATCH(tblPiNHistorical[[#This Row],[ID]], tblPiNAnalysis[ID], 0)), "")</f>
        <v>4232</v>
      </c>
      <c r="U23" s="308">
        <f>IFERROR(INDEX(tblPiNAnalysis[Nutrition], MATCH(tblPiNHistorical[[#This Row],[ID]], tblPiNAnalysis[ID], 0)), "")</f>
        <v>3169</v>
      </c>
      <c r="V23" s="308">
        <f>IFERROR(INDEX(tblPiNAnalysis[Food Security], MATCH(tblPiNHistorical[[#This Row],[ID]], tblPiNAnalysis[ID], 0)), "")</f>
        <v>17205</v>
      </c>
      <c r="W23" s="308">
        <f>IFERROR(INDEX(tblPiNAnalysis[Health], MATCH(tblPiNHistorical[[#This Row],[ID]], tblPiNAnalysis[ID], 0)), "")</f>
        <v>6420.8235858813869</v>
      </c>
      <c r="X23" s="308">
        <f>IFERROR(INDEX(tblPiNAnalysis[Protection], MATCH(tblPiNHistorical[[#This Row],[ID]], tblPiNAnalysis[ID], 0)), "")</f>
        <v>5697.19</v>
      </c>
      <c r="Y23" s="308">
        <f>IFERROR(INDEX(tblPiNAnalysis[Shelter], MATCH(tblPiNHistorical[[#This Row],[ID]], tblPiNAnalysis[ID], 0)), "")</f>
        <v>0</v>
      </c>
      <c r="Z23" s="308">
        <f>IFERROR(INDEX(tblPiNAnalysis[WASH], MATCH(tblPiNHistorical[[#This Row],[ID]], tblPiNAnalysis[ID], 0)), "")</f>
        <v>7392.75</v>
      </c>
      <c r="AA23" s="311">
        <f>IF(OR(tblPiNHistorical[[#This Row],[CCCM - old]]="", tblPiNHistorical[[#This Row],[CCCM - old]]=0, tblPiNHistorical[[#This Row],[CCCM - new]]="", tblPiNHistorical[[#This Row],[CCCM - new]]=0), "", tblPiNHistorical[[#This Row],[CCCM - new]]-tblPiNHistorical[[#This Row],[CCCM - old]])</f>
        <v>5129.5</v>
      </c>
      <c r="AB23" s="312">
        <f>IF(OR(tblPiNHistorical[[#This Row],[Education - old]]="", tblPiNHistorical[[#This Row],[Education - old]]=0, tblPiNHistorical[[#This Row],[Education - new]]="", tblPiNHistorical[[#This Row],[Education - new]]=0), "", tblPiNHistorical[[#This Row],[Education - new]]-tblPiNHistorical[[#This Row],[Education - old]])</f>
        <v>-726</v>
      </c>
      <c r="AC23" s="312">
        <f>IF(OR(tblPiNHistorical[[#This Row],[Nutrition - old]]="", tblPiNHistorical[[#This Row],[Nutrition - old]]=0, tblPiNHistorical[[#This Row],[Nutrition - new]]="", tblPiNHistorical[[#This Row],[Nutrition - new]]=0), "", tblPiNHistorical[[#This Row],[Nutrition - new]]-tblPiNHistorical[[#This Row],[Nutrition - old]])</f>
        <v>392</v>
      </c>
      <c r="AD23" s="312">
        <f>IF(OR(tblPiNHistorical[[#This Row],[Food Security - old]]="", tblPiNHistorical[[#This Row],[Food Security - old]]=0, tblPiNHistorical[[#This Row],[Food Security - new]]="", tblPiNHistorical[[#This Row],[Food Security - new]]=0), "", tblPiNHistorical[[#This Row],[Food Security - new]]-tblPiNHistorical[[#This Row],[Food Security - old]])</f>
        <v>1179</v>
      </c>
      <c r="AE23" s="312">
        <f>IF(OR(tblPiNHistorical[[#This Row],[Health - old]]="", tblPiNHistorical[[#This Row],[Health - old]]=0, tblPiNHistorical[[#This Row],[Health - new]]="", tblPiNHistorical[[#This Row],[Health - new]]=0), "", tblPiNHistorical[[#This Row],[Health - new]]-tblPiNHistorical[[#This Row],[Health - old]])</f>
        <v>-2251.1764141186131</v>
      </c>
      <c r="AF2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248.1899999999996</v>
      </c>
      <c r="AG23" s="312" t="str">
        <f>IF(OR(tblPiNHistorical[[#This Row],[Shelter - old]]="", tblPiNHistorical[[#This Row],[Shelter - old]]=0, tblPiNHistorical[[#This Row],[Shelter - new]]="", tblPiNHistorical[[#This Row],[Shelter - new]]=0), "", tblPiNHistorical[[#This Row],[Shelter - new]]-tblPiNHistorical[[#This Row],[Shelter - old]])</f>
        <v/>
      </c>
      <c r="AH23" s="313">
        <f>IF(OR(tblPiNHistorical[[#This Row],[WASH - old]]="", tblPiNHistorical[[#This Row],[WASH - old]]=0, tblPiNHistorical[[#This Row],[WASH - new]]="", tblPiNHistorical[[#This Row],[WASH - new]]=0), "", tblPiNHistorical[[#This Row],[WASH - new]]-tblPiNHistorical[[#This Row],[WASH - old]])</f>
        <v>421.38445582390705</v>
      </c>
      <c r="AI23" s="314">
        <f>IFERROR(ROUND((tblPiNHistorical[[#This Row],[CCCM - new]] - tblPiNHistorical[[#This Row],[CCCM - old]])/tblPiNHistorical[[#This Row],[CCCM - old]], 1), "")</f>
        <v>2.4</v>
      </c>
      <c r="AJ23" s="315">
        <f>IFERROR(ROUND((tblPiNHistorical[[#This Row],[Education - new]]-tblPiNHistorical[[#This Row],[Education - old]])/tblPiNHistorical[[#This Row],[Education - old]], 1), "")</f>
        <v>-0.1</v>
      </c>
      <c r="AK23" s="315">
        <f>IFERROR(ROUND((tblPiNHistorical[[#This Row],[Nutrition - new]]-tblPiNHistorical[[#This Row],[Nutrition - old]])/tblPiNHistorical[[#This Row],[Nutrition - old]], 1), "")</f>
        <v>0.1</v>
      </c>
      <c r="AL23" s="315">
        <f>IFERROR(ROUND((tblPiNHistorical[[#This Row],[Food Security - new]]-tblPiNHistorical[[#This Row],[Food Security - old]])/tblPiNHistorical[[#This Row],[Food Security - old]], 1), "")</f>
        <v>0.1</v>
      </c>
      <c r="AM23" s="315">
        <f>IFERROR(ROUND((tblPiNHistorical[[#This Row],[Health - new]]-tblPiNHistorical[[#This Row],[Health - old]])/tblPiNHistorical[[#This Row],[Health - old]], 1), "")</f>
        <v>-0.3</v>
      </c>
      <c r="AN23" s="315">
        <f>IFERROR(ROUND((tblPiNHistorical[[#This Row],[Overarching Protection - new]]-tblPiNHistorical[[#This Row],[Overarching Protection - old]])/tblPiNHistorical[[#This Row],[Overarching Protection - old]], 1), "")</f>
        <v>0</v>
      </c>
      <c r="AO23" s="315">
        <f>IFERROR(ROUND((tblPiNHistorical[[#This Row],[Shelter - new]]-tblPiNHistorical[[#This Row],[Shelter - old]])/tblPiNHistorical[[#This Row],[Shelter - old]], 1), "")</f>
        <v>-1</v>
      </c>
      <c r="AP23" s="37">
        <f>IFERROR(ROUND((tblPiNHistorical[[#This Row],[WASH - new]]-tblPiNHistorical[[#This Row],[WASH - old]])/tblPiNHistorical[[#This Row],[WASH - old]], 1), "")</f>
        <v>0.1</v>
      </c>
    </row>
    <row r="24" spans="1:42">
      <c r="A2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Global_PopulationHT0211</v>
      </c>
      <c r="B24" s="304" t="s">
        <v>197</v>
      </c>
      <c r="C24" s="213" t="s">
        <v>198</v>
      </c>
      <c r="D24" s="213" t="s">
        <v>199</v>
      </c>
      <c r="E24" s="103" t="s">
        <v>200</v>
      </c>
      <c r="F24" s="99"/>
      <c r="G24" s="34"/>
      <c r="H24" s="331"/>
      <c r="I24" s="96">
        <v>258099</v>
      </c>
      <c r="J24" s="241" t="s">
        <v>156</v>
      </c>
      <c r="K24" s="305">
        <v>52466</v>
      </c>
      <c r="L24" s="306">
        <v>24182</v>
      </c>
      <c r="M24" s="308">
        <v>22960</v>
      </c>
      <c r="N24" s="308">
        <v>123165</v>
      </c>
      <c r="O24" s="308">
        <v>148487</v>
      </c>
      <c r="P24" s="308">
        <v>41360</v>
      </c>
      <c r="Q24" s="309">
        <v>110098</v>
      </c>
      <c r="R24" s="308">
        <v>133005.28876471266</v>
      </c>
      <c r="S24" s="308">
        <f>IFERROR(INDEX(tblPiNAnalysis[CCCM], MATCH(tblPiNHistorical[[#This Row],[ID]], tblPiNAnalysis[ID], 0)), "")</f>
        <v>97578</v>
      </c>
      <c r="T24" s="310">
        <f>IFERROR(INDEX(tblPiNAnalysis[Education], MATCH(tblPiNHistorical[[#This Row],[ID]], tblPiNAnalysis[ID], 0)), "")</f>
        <v>12501</v>
      </c>
      <c r="U24" s="308">
        <f>IFERROR(INDEX(tblPiNAnalysis[Nutrition], MATCH(tblPiNHistorical[[#This Row],[ID]], tblPiNAnalysis[ID], 0)), "")</f>
        <v>27825</v>
      </c>
      <c r="V24" s="308">
        <f>IFERROR(INDEX(tblPiNAnalysis[Food Security], MATCH(tblPiNHistorical[[#This Row],[ID]], tblPiNAnalysis[ID], 0)), "")</f>
        <v>128308</v>
      </c>
      <c r="W24" s="308">
        <f>IFERROR(INDEX(tblPiNAnalysis[Health], MATCH(tblPiNHistorical[[#This Row],[ID]], tblPiNAnalysis[ID], 0)), "")</f>
        <v>136949.10476657443</v>
      </c>
      <c r="X24" s="308">
        <f>IFERROR(INDEX(tblPiNAnalysis[Protection], MATCH(tblPiNHistorical[[#This Row],[ID]], tblPiNAnalysis[ID], 0)), "")</f>
        <v>85639.652307692319</v>
      </c>
      <c r="Y24" s="308">
        <f>IFERROR(INDEX(tblPiNAnalysis[Shelter], MATCH(tblPiNHistorical[[#This Row],[ID]], tblPiNAnalysis[ID], 0)), "")</f>
        <v>118927</v>
      </c>
      <c r="Z24" s="308">
        <f>IFERROR(INDEX(tblPiNAnalysis[WASH], MATCH(tblPiNHistorical[[#This Row],[ID]], tblPiNAnalysis[ID], 0)), "")</f>
        <v>65052</v>
      </c>
      <c r="AA24" s="311">
        <f>IF(OR(tblPiNHistorical[[#This Row],[CCCM - old]]="", tblPiNHistorical[[#This Row],[CCCM - old]]=0, tblPiNHistorical[[#This Row],[CCCM - new]]="", tblPiNHistorical[[#This Row],[CCCM - new]]=0), "", tblPiNHistorical[[#This Row],[CCCM - new]]-tblPiNHistorical[[#This Row],[CCCM - old]])</f>
        <v>45112</v>
      </c>
      <c r="AB24" s="312">
        <f>IF(OR(tblPiNHistorical[[#This Row],[Education - old]]="", tblPiNHistorical[[#This Row],[Education - old]]=0, tblPiNHistorical[[#This Row],[Education - new]]="", tblPiNHistorical[[#This Row],[Education - new]]=0), "", tblPiNHistorical[[#This Row],[Education - new]]-tblPiNHistorical[[#This Row],[Education - old]])</f>
        <v>-11681</v>
      </c>
      <c r="AC24" s="312">
        <f>IF(OR(tblPiNHistorical[[#This Row],[Nutrition - old]]="", tblPiNHistorical[[#This Row],[Nutrition - old]]=0, tblPiNHistorical[[#This Row],[Nutrition - new]]="", tblPiNHistorical[[#This Row],[Nutrition - new]]=0), "", tblPiNHistorical[[#This Row],[Nutrition - new]]-tblPiNHistorical[[#This Row],[Nutrition - old]])</f>
        <v>4865</v>
      </c>
      <c r="AD24" s="312">
        <f>IF(OR(tblPiNHistorical[[#This Row],[Food Security - old]]="", tblPiNHistorical[[#This Row],[Food Security - old]]=0, tblPiNHistorical[[#This Row],[Food Security - new]]="", tblPiNHistorical[[#This Row],[Food Security - new]]=0), "", tblPiNHistorical[[#This Row],[Food Security - new]]-tblPiNHistorical[[#This Row],[Food Security - old]])</f>
        <v>5143</v>
      </c>
      <c r="AE24" s="312">
        <f>IF(OR(tblPiNHistorical[[#This Row],[Health - old]]="", tblPiNHistorical[[#This Row],[Health - old]]=0, tblPiNHistorical[[#This Row],[Health - new]]="", tblPiNHistorical[[#This Row],[Health - new]]=0), "", tblPiNHistorical[[#This Row],[Health - new]]-tblPiNHistorical[[#This Row],[Health - old]])</f>
        <v>-11537.895233425574</v>
      </c>
      <c r="AF2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44279.652307692319</v>
      </c>
      <c r="AG24" s="312">
        <f>IF(OR(tblPiNHistorical[[#This Row],[Shelter - old]]="", tblPiNHistorical[[#This Row],[Shelter - old]]=0, tblPiNHistorical[[#This Row],[Shelter - new]]="", tblPiNHistorical[[#This Row],[Shelter - new]]=0), "", tblPiNHistorical[[#This Row],[Shelter - new]]-tblPiNHistorical[[#This Row],[Shelter - old]])</f>
        <v>8829</v>
      </c>
      <c r="AH24" s="313">
        <f>IF(OR(tblPiNHistorical[[#This Row],[WASH - old]]="", tblPiNHistorical[[#This Row],[WASH - old]]=0, tblPiNHistorical[[#This Row],[WASH - new]]="", tblPiNHistorical[[#This Row],[WASH - new]]=0), "", tblPiNHistorical[[#This Row],[WASH - new]]-tblPiNHistorical[[#This Row],[WASH - old]])</f>
        <v>-67953.288764712663</v>
      </c>
      <c r="AI24" s="314">
        <f>IFERROR(ROUND((tblPiNHistorical[[#This Row],[CCCM - new]] - tblPiNHistorical[[#This Row],[CCCM - old]])/tblPiNHistorical[[#This Row],[CCCM - old]], 1), "")</f>
        <v>0.9</v>
      </c>
      <c r="AJ24" s="315">
        <f>IFERROR(ROUND((tblPiNHistorical[[#This Row],[Education - new]]-tblPiNHistorical[[#This Row],[Education - old]])/tblPiNHistorical[[#This Row],[Education - old]], 1), "")</f>
        <v>-0.5</v>
      </c>
      <c r="AK24" s="315">
        <f>IFERROR(ROUND((tblPiNHistorical[[#This Row],[Nutrition - new]]-tblPiNHistorical[[#This Row],[Nutrition - old]])/tblPiNHistorical[[#This Row],[Nutrition - old]], 1), "")</f>
        <v>0.2</v>
      </c>
      <c r="AL24" s="315">
        <f>IFERROR(ROUND((tblPiNHistorical[[#This Row],[Food Security - new]]-tblPiNHistorical[[#This Row],[Food Security - old]])/tblPiNHistorical[[#This Row],[Food Security - old]], 1), "")</f>
        <v>0</v>
      </c>
      <c r="AM24" s="315">
        <f>IFERROR(ROUND((tblPiNHistorical[[#This Row],[Health - new]]-tblPiNHistorical[[#This Row],[Health - old]])/tblPiNHistorical[[#This Row],[Health - old]], 1), "")</f>
        <v>-0.1</v>
      </c>
      <c r="AN24" s="315">
        <f>IFERROR(ROUND((tblPiNHistorical[[#This Row],[Overarching Protection - new]]-tblPiNHistorical[[#This Row],[Overarching Protection - old]])/tblPiNHistorical[[#This Row],[Overarching Protection - old]], 1), "")</f>
        <v>1.1000000000000001</v>
      </c>
      <c r="AO24" s="315">
        <f>IFERROR(ROUND((tblPiNHistorical[[#This Row],[Shelter - new]]-tblPiNHistorical[[#This Row],[Shelter - old]])/tblPiNHistorical[[#This Row],[Shelter - old]], 1), "")</f>
        <v>0.1</v>
      </c>
      <c r="AP24" s="37">
        <f>IFERROR(ROUND((tblPiNHistorical[[#This Row],[WASH - new]]-tblPiNHistorical[[#This Row],[WASH - old]])/tblPiNHistorical[[#This Row],[WASH - old]], 1), "")</f>
        <v>-0.5</v>
      </c>
    </row>
    <row r="25" spans="1:42">
      <c r="A2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Global_PopulationHT0212</v>
      </c>
      <c r="B25" s="304" t="s">
        <v>197</v>
      </c>
      <c r="C25" s="213" t="s">
        <v>198</v>
      </c>
      <c r="D25" s="213" t="s">
        <v>201</v>
      </c>
      <c r="E25" s="103" t="s">
        <v>202</v>
      </c>
      <c r="F25" s="99"/>
      <c r="G25" s="34"/>
      <c r="H25" s="331"/>
      <c r="I25" s="96">
        <v>92869</v>
      </c>
      <c r="J25" s="241" t="s">
        <v>156</v>
      </c>
      <c r="K25" s="305">
        <v>6090</v>
      </c>
      <c r="L25" s="306">
        <v>9178</v>
      </c>
      <c r="M25" s="308">
        <v>7782</v>
      </c>
      <c r="N25" s="308">
        <v>36557</v>
      </c>
      <c r="O25" s="308">
        <v>41292</v>
      </c>
      <c r="P25" s="308">
        <v>11847</v>
      </c>
      <c r="Q25" s="309">
        <v>25903</v>
      </c>
      <c r="R25" s="308">
        <v>29100.501609445531</v>
      </c>
      <c r="S25" s="308">
        <f>IFERROR(INDEX(tblPiNAnalysis[CCCM], MATCH(tblPiNHistorical[[#This Row],[ID]], tblPiNAnalysis[ID], 0)), "")</f>
        <v>14595</v>
      </c>
      <c r="T25" s="310">
        <f>IFERROR(INDEX(tblPiNAnalysis[Education], MATCH(tblPiNHistorical[[#This Row],[ID]], tblPiNAnalysis[ID], 0)), "")</f>
        <v>4511</v>
      </c>
      <c r="U25" s="308">
        <f>IFERROR(INDEX(tblPiNAnalysis[Nutrition], MATCH(tblPiNHistorical[[#This Row],[ID]], tblPiNAnalysis[ID], 0)), "")</f>
        <v>8543</v>
      </c>
      <c r="V25" s="308">
        <f>IFERROR(INDEX(tblPiNAnalysis[Food Security], MATCH(tblPiNHistorical[[#This Row],[ID]], tblPiNAnalysis[ID], 0)), "")</f>
        <v>50756</v>
      </c>
      <c r="W25" s="308">
        <f>IFERROR(INDEX(tblPiNAnalysis[Health], MATCH(tblPiNHistorical[[#This Row],[ID]], tblPiNAnalysis[ID], 0)), "")</f>
        <v>19661.349587667006</v>
      </c>
      <c r="X25" s="308">
        <f>IFERROR(INDEX(tblPiNAnalysis[Protection], MATCH(tblPiNHistorical[[#This Row],[ID]], tblPiNAnalysis[ID], 0)), "")</f>
        <v>20357.437777777777</v>
      </c>
      <c r="Y25" s="308">
        <f>IFERROR(INDEX(tblPiNAnalysis[Shelter], MATCH(tblPiNHistorical[[#This Row],[ID]], tblPiNAnalysis[ID], 0)), "")</f>
        <v>0</v>
      </c>
      <c r="Z25" s="308">
        <f>IFERROR(INDEX(tblPiNAnalysis[WASH], MATCH(tblPiNHistorical[[#This Row],[ID]], tblPiNAnalysis[ID], 0)), "")</f>
        <v>15084.5</v>
      </c>
      <c r="AA25" s="311">
        <f>IF(OR(tblPiNHistorical[[#This Row],[CCCM - old]]="", tblPiNHistorical[[#This Row],[CCCM - old]]=0, tblPiNHistorical[[#This Row],[CCCM - new]]="", tblPiNHistorical[[#This Row],[CCCM - new]]=0), "", tblPiNHistorical[[#This Row],[CCCM - new]]-tblPiNHistorical[[#This Row],[CCCM - old]])</f>
        <v>8505</v>
      </c>
      <c r="AB25" s="312">
        <f>IF(OR(tblPiNHistorical[[#This Row],[Education - old]]="", tblPiNHistorical[[#This Row],[Education - old]]=0, tblPiNHistorical[[#This Row],[Education - new]]="", tblPiNHistorical[[#This Row],[Education - new]]=0), "", tblPiNHistorical[[#This Row],[Education - new]]-tblPiNHistorical[[#This Row],[Education - old]])</f>
        <v>-4667</v>
      </c>
      <c r="AC25" s="312">
        <f>IF(OR(tblPiNHistorical[[#This Row],[Nutrition - old]]="", tblPiNHistorical[[#This Row],[Nutrition - old]]=0, tblPiNHistorical[[#This Row],[Nutrition - new]]="", tblPiNHistorical[[#This Row],[Nutrition - new]]=0), "", tblPiNHistorical[[#This Row],[Nutrition - new]]-tblPiNHistorical[[#This Row],[Nutrition - old]])</f>
        <v>761</v>
      </c>
      <c r="AD25" s="312">
        <f>IF(OR(tblPiNHistorical[[#This Row],[Food Security - old]]="", tblPiNHistorical[[#This Row],[Food Security - old]]=0, tblPiNHistorical[[#This Row],[Food Security - new]]="", tblPiNHistorical[[#This Row],[Food Security - new]]=0), "", tblPiNHistorical[[#This Row],[Food Security - new]]-tblPiNHistorical[[#This Row],[Food Security - old]])</f>
        <v>14199</v>
      </c>
      <c r="AE25" s="312">
        <f>IF(OR(tblPiNHistorical[[#This Row],[Health - old]]="", tblPiNHistorical[[#This Row],[Health - old]]=0, tblPiNHistorical[[#This Row],[Health - new]]="", tblPiNHistorical[[#This Row],[Health - new]]=0), "", tblPiNHistorical[[#This Row],[Health - new]]-tblPiNHistorical[[#This Row],[Health - old]])</f>
        <v>-21630.650412332994</v>
      </c>
      <c r="AF2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8510.4377777777772</v>
      </c>
      <c r="AG25" s="312" t="str">
        <f>IF(OR(tblPiNHistorical[[#This Row],[Shelter - old]]="", tblPiNHistorical[[#This Row],[Shelter - old]]=0, tblPiNHistorical[[#This Row],[Shelter - new]]="", tblPiNHistorical[[#This Row],[Shelter - new]]=0), "", tblPiNHistorical[[#This Row],[Shelter - new]]-tblPiNHistorical[[#This Row],[Shelter - old]])</f>
        <v/>
      </c>
      <c r="AH25" s="313">
        <f>IF(OR(tblPiNHistorical[[#This Row],[WASH - old]]="", tblPiNHistorical[[#This Row],[WASH - old]]=0, tblPiNHistorical[[#This Row],[WASH - new]]="", tblPiNHistorical[[#This Row],[WASH - new]]=0), "", tblPiNHistorical[[#This Row],[WASH - new]]-tblPiNHistorical[[#This Row],[WASH - old]])</f>
        <v>-14016.001609445531</v>
      </c>
      <c r="AI25" s="314">
        <f>IFERROR(ROUND((tblPiNHistorical[[#This Row],[CCCM - new]] - tblPiNHistorical[[#This Row],[CCCM - old]])/tblPiNHistorical[[#This Row],[CCCM - old]], 1), "")</f>
        <v>1.4</v>
      </c>
      <c r="AJ25" s="315">
        <f>IFERROR(ROUND((tblPiNHistorical[[#This Row],[Education - new]]-tblPiNHistorical[[#This Row],[Education - old]])/tblPiNHistorical[[#This Row],[Education - old]], 1), "")</f>
        <v>-0.5</v>
      </c>
      <c r="AK25" s="315">
        <f>IFERROR(ROUND((tblPiNHistorical[[#This Row],[Nutrition - new]]-tblPiNHistorical[[#This Row],[Nutrition - old]])/tblPiNHistorical[[#This Row],[Nutrition - old]], 1), "")</f>
        <v>0.1</v>
      </c>
      <c r="AL25" s="315">
        <f>IFERROR(ROUND((tblPiNHistorical[[#This Row],[Food Security - new]]-tblPiNHistorical[[#This Row],[Food Security - old]])/tblPiNHistorical[[#This Row],[Food Security - old]], 1), "")</f>
        <v>0.4</v>
      </c>
      <c r="AM25" s="315">
        <f>IFERROR(ROUND((tblPiNHistorical[[#This Row],[Health - new]]-tblPiNHistorical[[#This Row],[Health - old]])/tblPiNHistorical[[#This Row],[Health - old]], 1), "")</f>
        <v>-0.5</v>
      </c>
      <c r="AN25" s="315">
        <f>IFERROR(ROUND((tblPiNHistorical[[#This Row],[Overarching Protection - new]]-tblPiNHistorical[[#This Row],[Overarching Protection - old]])/tblPiNHistorical[[#This Row],[Overarching Protection - old]], 1), "")</f>
        <v>0.7</v>
      </c>
      <c r="AO25" s="315">
        <f>IFERROR(ROUND((tblPiNHistorical[[#This Row],[Shelter - new]]-tblPiNHistorical[[#This Row],[Shelter - old]])/tblPiNHistorical[[#This Row],[Shelter - old]], 1), "")</f>
        <v>-1</v>
      </c>
      <c r="AP25" s="37">
        <f>IFERROR(ROUND((tblPiNHistorical[[#This Row],[WASH - new]]-tblPiNHistorical[[#This Row],[WASH - old]])/tblPiNHistorical[[#This Row],[WASH - old]], 1), "")</f>
        <v>-0.5</v>
      </c>
    </row>
    <row r="26" spans="1:42">
      <c r="A2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Global_PopulationHT0213</v>
      </c>
      <c r="B26" s="304" t="s">
        <v>197</v>
      </c>
      <c r="C26" s="213" t="s">
        <v>198</v>
      </c>
      <c r="D26" s="213" t="s">
        <v>203</v>
      </c>
      <c r="E26" s="103" t="s">
        <v>204</v>
      </c>
      <c r="F26" s="99"/>
      <c r="G26" s="34"/>
      <c r="H26" s="331"/>
      <c r="I26" s="96">
        <v>49845</v>
      </c>
      <c r="J26" s="241" t="s">
        <v>156</v>
      </c>
      <c r="K26" s="305">
        <v>2825</v>
      </c>
      <c r="L26" s="306">
        <v>5095</v>
      </c>
      <c r="M26" s="308">
        <v>4218</v>
      </c>
      <c r="N26" s="308">
        <v>18674</v>
      </c>
      <c r="O26" s="308">
        <v>25804</v>
      </c>
      <c r="P26" s="308">
        <v>10658</v>
      </c>
      <c r="Q26" s="309">
        <v>16520</v>
      </c>
      <c r="R26" s="308">
        <v>19094.985413953997</v>
      </c>
      <c r="S26" s="308">
        <f>IFERROR(INDEX(tblPiNAnalysis[CCCM], MATCH(tblPiNHistorical[[#This Row],[ID]], tblPiNAnalysis[ID], 0)), "")</f>
        <v>6204</v>
      </c>
      <c r="T26" s="310">
        <f>IFERROR(INDEX(tblPiNAnalysis[Education], MATCH(tblPiNHistorical[[#This Row],[ID]], tblPiNAnalysis[ID], 0)), "")</f>
        <v>2513</v>
      </c>
      <c r="U26" s="308">
        <f>IFERROR(INDEX(tblPiNAnalysis[Nutrition], MATCH(tblPiNHistorical[[#This Row],[ID]], tblPiNAnalysis[ID], 0)), "")</f>
        <v>4522</v>
      </c>
      <c r="V26" s="308">
        <f>IFERROR(INDEX(tblPiNAnalysis[Food Security], MATCH(tblPiNHistorical[[#This Row],[ID]], tblPiNAnalysis[ID], 0)), "")</f>
        <v>26984</v>
      </c>
      <c r="W26" s="308">
        <f>IFERROR(INDEX(tblPiNAnalysis[Health], MATCH(tblPiNHistorical[[#This Row],[ID]], tblPiNAnalysis[ID], 0)), "")</f>
        <v>8041.3692015473889</v>
      </c>
      <c r="X26" s="308">
        <f>IFERROR(INDEX(tblPiNAnalysis[Protection], MATCH(tblPiNHistorical[[#This Row],[ID]], tblPiNAnalysis[ID], 0)), "")</f>
        <v>3413.6800000000003</v>
      </c>
      <c r="Y26" s="308">
        <f>IFERROR(INDEX(tblPiNAnalysis[Shelter], MATCH(tblPiNHistorical[[#This Row],[ID]], tblPiNAnalysis[ID], 0)), "")</f>
        <v>0</v>
      </c>
      <c r="Z26" s="308">
        <f>IFERROR(INDEX(tblPiNAnalysis[WASH], MATCH(tblPiNHistorical[[#This Row],[ID]], tblPiNAnalysis[ID], 0)), "")</f>
        <v>9969</v>
      </c>
      <c r="AA26" s="311">
        <f>IF(OR(tblPiNHistorical[[#This Row],[CCCM - old]]="", tblPiNHistorical[[#This Row],[CCCM - old]]=0, tblPiNHistorical[[#This Row],[CCCM - new]]="", tblPiNHistorical[[#This Row],[CCCM - new]]=0), "", tblPiNHistorical[[#This Row],[CCCM - new]]-tblPiNHistorical[[#This Row],[CCCM - old]])</f>
        <v>3379</v>
      </c>
      <c r="AB26" s="312">
        <f>IF(OR(tblPiNHistorical[[#This Row],[Education - old]]="", tblPiNHistorical[[#This Row],[Education - old]]=0, tblPiNHistorical[[#This Row],[Education - new]]="", tblPiNHistorical[[#This Row],[Education - new]]=0), "", tblPiNHistorical[[#This Row],[Education - new]]-tblPiNHistorical[[#This Row],[Education - old]])</f>
        <v>-2582</v>
      </c>
      <c r="AC26" s="312">
        <f>IF(OR(tblPiNHistorical[[#This Row],[Nutrition - old]]="", tblPiNHistorical[[#This Row],[Nutrition - old]]=0, tblPiNHistorical[[#This Row],[Nutrition - new]]="", tblPiNHistorical[[#This Row],[Nutrition - new]]=0), "", tblPiNHistorical[[#This Row],[Nutrition - new]]-tblPiNHistorical[[#This Row],[Nutrition - old]])</f>
        <v>304</v>
      </c>
      <c r="AD26" s="312">
        <f>IF(OR(tblPiNHistorical[[#This Row],[Food Security - old]]="", tblPiNHistorical[[#This Row],[Food Security - old]]=0, tblPiNHistorical[[#This Row],[Food Security - new]]="", tblPiNHistorical[[#This Row],[Food Security - new]]=0), "", tblPiNHistorical[[#This Row],[Food Security - new]]-tblPiNHistorical[[#This Row],[Food Security - old]])</f>
        <v>8310</v>
      </c>
      <c r="AE26" s="312">
        <f>IF(OR(tblPiNHistorical[[#This Row],[Health - old]]="", tblPiNHistorical[[#This Row],[Health - old]]=0, tblPiNHistorical[[#This Row],[Health - new]]="", tblPiNHistorical[[#This Row],[Health - new]]=0), "", tblPiNHistorical[[#This Row],[Health - new]]-tblPiNHistorical[[#This Row],[Health - old]])</f>
        <v>-17762.63079845261</v>
      </c>
      <c r="AF2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-7244.32</v>
      </c>
      <c r="AG26" s="312" t="str">
        <f>IF(OR(tblPiNHistorical[[#This Row],[Shelter - old]]="", tblPiNHistorical[[#This Row],[Shelter - old]]=0, tblPiNHistorical[[#This Row],[Shelter - new]]="", tblPiNHistorical[[#This Row],[Shelter - new]]=0), "", tblPiNHistorical[[#This Row],[Shelter - new]]-tblPiNHistorical[[#This Row],[Shelter - old]])</f>
        <v/>
      </c>
      <c r="AH26" s="313">
        <f>IF(OR(tblPiNHistorical[[#This Row],[WASH - old]]="", tblPiNHistorical[[#This Row],[WASH - old]]=0, tblPiNHistorical[[#This Row],[WASH - new]]="", tblPiNHistorical[[#This Row],[WASH - new]]=0), "", tblPiNHistorical[[#This Row],[WASH - new]]-tblPiNHistorical[[#This Row],[WASH - old]])</f>
        <v>-9125.9854139539966</v>
      </c>
      <c r="AI26" s="314">
        <f>IFERROR(ROUND((tblPiNHistorical[[#This Row],[CCCM - new]] - tblPiNHistorical[[#This Row],[CCCM - old]])/tblPiNHistorical[[#This Row],[CCCM - old]], 1), "")</f>
        <v>1.2</v>
      </c>
      <c r="AJ26" s="315">
        <f>IFERROR(ROUND((tblPiNHistorical[[#This Row],[Education - new]]-tblPiNHistorical[[#This Row],[Education - old]])/tblPiNHistorical[[#This Row],[Education - old]], 1), "")</f>
        <v>-0.5</v>
      </c>
      <c r="AK26" s="315">
        <f>IFERROR(ROUND((tblPiNHistorical[[#This Row],[Nutrition - new]]-tblPiNHistorical[[#This Row],[Nutrition - old]])/tblPiNHistorical[[#This Row],[Nutrition - old]], 1), "")</f>
        <v>0.1</v>
      </c>
      <c r="AL26" s="315">
        <f>IFERROR(ROUND((tblPiNHistorical[[#This Row],[Food Security - new]]-tblPiNHistorical[[#This Row],[Food Security - old]])/tblPiNHistorical[[#This Row],[Food Security - old]], 1), "")</f>
        <v>0.4</v>
      </c>
      <c r="AM26" s="315">
        <f>IFERROR(ROUND((tblPiNHistorical[[#This Row],[Health - new]]-tblPiNHistorical[[#This Row],[Health - old]])/tblPiNHistorical[[#This Row],[Health - old]], 1), "")</f>
        <v>-0.7</v>
      </c>
      <c r="AN26" s="315">
        <f>IFERROR(ROUND((tblPiNHistorical[[#This Row],[Overarching Protection - new]]-tblPiNHistorical[[#This Row],[Overarching Protection - old]])/tblPiNHistorical[[#This Row],[Overarching Protection - old]], 1), "")</f>
        <v>-0.7</v>
      </c>
      <c r="AO26" s="315">
        <f>IFERROR(ROUND((tblPiNHistorical[[#This Row],[Shelter - new]]-tblPiNHistorical[[#This Row],[Shelter - old]])/tblPiNHistorical[[#This Row],[Shelter - old]], 1), "")</f>
        <v>-1</v>
      </c>
      <c r="AP26" s="37">
        <f>IFERROR(ROUND((tblPiNHistorical[[#This Row],[WASH - new]]-tblPiNHistorical[[#This Row],[WASH - old]])/tblPiNHistorical[[#This Row],[WASH - old]], 1), "")</f>
        <v>-0.5</v>
      </c>
    </row>
    <row r="27" spans="1:42">
      <c r="A2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Global_PopulationHT0214</v>
      </c>
      <c r="B27" s="304" t="s">
        <v>197</v>
      </c>
      <c r="C27" s="213" t="s">
        <v>198</v>
      </c>
      <c r="D27" s="213" t="s">
        <v>205</v>
      </c>
      <c r="E27" s="103" t="s">
        <v>206</v>
      </c>
      <c r="F27" s="99"/>
      <c r="G27" s="34"/>
      <c r="H27" s="331"/>
      <c r="I27" s="96">
        <v>47372</v>
      </c>
      <c r="J27" s="241" t="s">
        <v>156</v>
      </c>
      <c r="K27" s="305">
        <v>6036</v>
      </c>
      <c r="L27" s="306">
        <v>4796</v>
      </c>
      <c r="M27" s="308">
        <v>4083</v>
      </c>
      <c r="N27" s="308">
        <v>15874</v>
      </c>
      <c r="O27" s="308">
        <v>21845</v>
      </c>
      <c r="P27" s="308">
        <v>4783</v>
      </c>
      <c r="Q27" s="309">
        <v>19350</v>
      </c>
      <c r="R27" s="308">
        <v>16954.241678358801</v>
      </c>
      <c r="S27" s="308">
        <f>IFERROR(INDEX(tblPiNAnalysis[CCCM], MATCH(tblPiNHistorical[[#This Row],[ID]], tblPiNAnalysis[ID], 0)), "")</f>
        <v>28959</v>
      </c>
      <c r="T27" s="310">
        <f>IFERROR(INDEX(tblPiNAnalysis[Education], MATCH(tblPiNHistorical[[#This Row],[ID]], tblPiNAnalysis[ID], 0)), "")</f>
        <v>2561</v>
      </c>
      <c r="U27" s="308">
        <f>IFERROR(INDEX(tblPiNAnalysis[Nutrition], MATCH(tblPiNHistorical[[#This Row],[ID]], tblPiNAnalysis[ID], 0)), "")</f>
        <v>5629</v>
      </c>
      <c r="V27" s="308">
        <f>IFERROR(INDEX(tblPiNAnalysis[Food Security], MATCH(tblPiNHistorical[[#This Row],[ID]], tblPiNAnalysis[ID], 0)), "")</f>
        <v>23964</v>
      </c>
      <c r="W27" s="308">
        <f>IFERROR(INDEX(tblPiNAnalysis[Health], MATCH(tblPiNHistorical[[#This Row],[ID]], tblPiNAnalysis[ID], 0)), "")</f>
        <v>40592.890716574009</v>
      </c>
      <c r="X27" s="308">
        <f>IFERROR(INDEX(tblPiNAnalysis[Protection], MATCH(tblPiNHistorical[[#This Row],[ID]], tblPiNAnalysis[ID], 0)), "")</f>
        <v>12474.174999999999</v>
      </c>
      <c r="Y27" s="308">
        <f>IFERROR(INDEX(tblPiNAnalysis[Shelter], MATCH(tblPiNHistorical[[#This Row],[ID]], tblPiNAnalysis[ID], 0)), "")</f>
        <v>35390</v>
      </c>
      <c r="Z27" s="308">
        <f>IFERROR(INDEX(tblPiNAnalysis[WASH], MATCH(tblPiNHistorical[[#This Row],[ID]], tblPiNAnalysis[ID], 0)), "")</f>
        <v>19306</v>
      </c>
      <c r="AA27" s="311">
        <f>IF(OR(tblPiNHistorical[[#This Row],[CCCM - old]]="", tblPiNHistorical[[#This Row],[CCCM - old]]=0, tblPiNHistorical[[#This Row],[CCCM - new]]="", tblPiNHistorical[[#This Row],[CCCM - new]]=0), "", tblPiNHistorical[[#This Row],[CCCM - new]]-tblPiNHistorical[[#This Row],[CCCM - old]])</f>
        <v>22923</v>
      </c>
      <c r="AB27" s="312">
        <f>IF(OR(tblPiNHistorical[[#This Row],[Education - old]]="", tblPiNHistorical[[#This Row],[Education - old]]=0, tblPiNHistorical[[#This Row],[Education - new]]="", tblPiNHistorical[[#This Row],[Education - new]]=0), "", tblPiNHistorical[[#This Row],[Education - new]]-tblPiNHistorical[[#This Row],[Education - old]])</f>
        <v>-2235</v>
      </c>
      <c r="AC27" s="312">
        <f>IF(OR(tblPiNHistorical[[#This Row],[Nutrition - old]]="", tblPiNHistorical[[#This Row],[Nutrition - old]]=0, tblPiNHistorical[[#This Row],[Nutrition - new]]="", tblPiNHistorical[[#This Row],[Nutrition - new]]=0), "", tblPiNHistorical[[#This Row],[Nutrition - new]]-tblPiNHistorical[[#This Row],[Nutrition - old]])</f>
        <v>1546</v>
      </c>
      <c r="AD27" s="312">
        <f>IF(OR(tblPiNHistorical[[#This Row],[Food Security - old]]="", tblPiNHistorical[[#This Row],[Food Security - old]]=0, tblPiNHistorical[[#This Row],[Food Security - new]]="", tblPiNHistorical[[#This Row],[Food Security - new]]=0), "", tblPiNHistorical[[#This Row],[Food Security - new]]-tblPiNHistorical[[#This Row],[Food Security - old]])</f>
        <v>8090</v>
      </c>
      <c r="AE27" s="312">
        <f>IF(OR(tblPiNHistorical[[#This Row],[Health - old]]="", tblPiNHistorical[[#This Row],[Health - old]]=0, tblPiNHistorical[[#This Row],[Health - new]]="", tblPiNHistorical[[#This Row],[Health - new]]=0), "", tblPiNHistorical[[#This Row],[Health - new]]-tblPiNHistorical[[#This Row],[Health - old]])</f>
        <v>18747.890716574009</v>
      </c>
      <c r="AF2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7691.1749999999993</v>
      </c>
      <c r="AG27" s="312">
        <f>IF(OR(tblPiNHistorical[[#This Row],[Shelter - old]]="", tblPiNHistorical[[#This Row],[Shelter - old]]=0, tblPiNHistorical[[#This Row],[Shelter - new]]="", tblPiNHistorical[[#This Row],[Shelter - new]]=0), "", tblPiNHistorical[[#This Row],[Shelter - new]]-tblPiNHistorical[[#This Row],[Shelter - old]])</f>
        <v>16040</v>
      </c>
      <c r="AH27" s="313">
        <f>IF(OR(tblPiNHistorical[[#This Row],[WASH - old]]="", tblPiNHistorical[[#This Row],[WASH - old]]=0, tblPiNHistorical[[#This Row],[WASH - new]]="", tblPiNHistorical[[#This Row],[WASH - new]]=0), "", tblPiNHistorical[[#This Row],[WASH - new]]-tblPiNHistorical[[#This Row],[WASH - old]])</f>
        <v>2351.7583216411986</v>
      </c>
      <c r="AI27" s="314">
        <f>IFERROR(ROUND((tblPiNHistorical[[#This Row],[CCCM - new]] - tblPiNHistorical[[#This Row],[CCCM - old]])/tblPiNHistorical[[#This Row],[CCCM - old]], 1), "")</f>
        <v>3.8</v>
      </c>
      <c r="AJ27" s="315">
        <f>IFERROR(ROUND((tblPiNHistorical[[#This Row],[Education - new]]-tblPiNHistorical[[#This Row],[Education - old]])/tblPiNHistorical[[#This Row],[Education - old]], 1), "")</f>
        <v>-0.5</v>
      </c>
      <c r="AK27" s="315">
        <f>IFERROR(ROUND((tblPiNHistorical[[#This Row],[Nutrition - new]]-tblPiNHistorical[[#This Row],[Nutrition - old]])/tblPiNHistorical[[#This Row],[Nutrition - old]], 1), "")</f>
        <v>0.4</v>
      </c>
      <c r="AL27" s="315">
        <f>IFERROR(ROUND((tblPiNHistorical[[#This Row],[Food Security - new]]-tblPiNHistorical[[#This Row],[Food Security - old]])/tblPiNHistorical[[#This Row],[Food Security - old]], 1), "")</f>
        <v>0.5</v>
      </c>
      <c r="AM27" s="315">
        <f>IFERROR(ROUND((tblPiNHistorical[[#This Row],[Health - new]]-tblPiNHistorical[[#This Row],[Health - old]])/tblPiNHistorical[[#This Row],[Health - old]], 1), "")</f>
        <v>0.9</v>
      </c>
      <c r="AN27" s="315">
        <f>IFERROR(ROUND((tblPiNHistorical[[#This Row],[Overarching Protection - new]]-tblPiNHistorical[[#This Row],[Overarching Protection - old]])/tblPiNHistorical[[#This Row],[Overarching Protection - old]], 1), "")</f>
        <v>1.6</v>
      </c>
      <c r="AO27" s="315">
        <f>IFERROR(ROUND((tblPiNHistorical[[#This Row],[Shelter - new]]-tblPiNHistorical[[#This Row],[Shelter - old]])/tblPiNHistorical[[#This Row],[Shelter - old]], 1), "")</f>
        <v>0.8</v>
      </c>
      <c r="AP27" s="37">
        <f>IFERROR(ROUND((tblPiNHistorical[[#This Row],[WASH - new]]-tblPiNHistorical[[#This Row],[WASH - old]])/tblPiNHistorical[[#This Row],[WASH - old]], 1), "")</f>
        <v>0.1</v>
      </c>
    </row>
    <row r="28" spans="1:42">
      <c r="A2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Global_PopulationHT0221</v>
      </c>
      <c r="B28" s="304" t="s">
        <v>197</v>
      </c>
      <c r="C28" s="213" t="s">
        <v>198</v>
      </c>
      <c r="D28" s="213" t="s">
        <v>207</v>
      </c>
      <c r="E28" s="103" t="s">
        <v>208</v>
      </c>
      <c r="F28" s="99"/>
      <c r="G28" s="34"/>
      <c r="H28" s="331"/>
      <c r="I28" s="96">
        <v>113034</v>
      </c>
      <c r="J28" s="241" t="s">
        <v>156</v>
      </c>
      <c r="K28" s="305">
        <v>14684</v>
      </c>
      <c r="L28" s="306">
        <v>11800</v>
      </c>
      <c r="M28" s="308">
        <v>9410</v>
      </c>
      <c r="N28" s="308">
        <v>39746</v>
      </c>
      <c r="O28" s="308">
        <v>49729</v>
      </c>
      <c r="P28" s="308">
        <v>13785</v>
      </c>
      <c r="Q28" s="309">
        <v>43231</v>
      </c>
      <c r="R28" s="308">
        <v>38024.586141310174</v>
      </c>
      <c r="S28" s="308">
        <f>IFERROR(INDEX(tblPiNAnalysis[CCCM], MATCH(tblPiNHistorical[[#This Row],[ID]], tblPiNAnalysis[ID], 0)), "")</f>
        <v>21283.5</v>
      </c>
      <c r="T28" s="310">
        <f>IFERROR(INDEX(tblPiNAnalysis[Education], MATCH(tblPiNHistorical[[#This Row],[ID]], tblPiNAnalysis[ID], 0)), "")</f>
        <v>6126</v>
      </c>
      <c r="U28" s="308">
        <f>IFERROR(INDEX(tblPiNAnalysis[Nutrition], MATCH(tblPiNHistorical[[#This Row],[ID]], tblPiNAnalysis[ID], 0)), "")</f>
        <v>10447</v>
      </c>
      <c r="V28" s="308">
        <f>IFERROR(INDEX(tblPiNAnalysis[Food Security], MATCH(tblPiNHistorical[[#This Row],[ID]], tblPiNAnalysis[ID], 0)), "")</f>
        <v>57856</v>
      </c>
      <c r="W28" s="308">
        <f>IFERROR(INDEX(tblPiNAnalysis[Health], MATCH(tblPiNHistorical[[#This Row],[ID]], tblPiNAnalysis[ID], 0)), "")</f>
        <v>29061.440102741559</v>
      </c>
      <c r="X28" s="308">
        <f>IFERROR(INDEX(tblPiNAnalysis[Protection], MATCH(tblPiNHistorical[[#This Row],[ID]], tblPiNAnalysis[ID], 0)), "")</f>
        <v>7723.78</v>
      </c>
      <c r="Y28" s="308">
        <f>IFERROR(INDEX(tblPiNAnalysis[Shelter], MATCH(tblPiNHistorical[[#This Row],[ID]], tblPiNAnalysis[ID], 0)), "")</f>
        <v>50343</v>
      </c>
      <c r="Z28" s="308">
        <f>IFERROR(INDEX(tblPiNAnalysis[WASH], MATCH(tblPiNHistorical[[#This Row],[ID]], tblPiNAnalysis[ID], 0)), "")</f>
        <v>14189</v>
      </c>
      <c r="AA28" s="311">
        <f>IF(OR(tblPiNHistorical[[#This Row],[CCCM - old]]="", tblPiNHistorical[[#This Row],[CCCM - old]]=0, tblPiNHistorical[[#This Row],[CCCM - new]]="", tblPiNHistorical[[#This Row],[CCCM - new]]=0), "", tblPiNHistorical[[#This Row],[CCCM - new]]-tblPiNHistorical[[#This Row],[CCCM - old]])</f>
        <v>6599.5</v>
      </c>
      <c r="AB28" s="312">
        <f>IF(OR(tblPiNHistorical[[#This Row],[Education - old]]="", tblPiNHistorical[[#This Row],[Education - old]]=0, tblPiNHistorical[[#This Row],[Education - new]]="", tblPiNHistorical[[#This Row],[Education - new]]=0), "", tblPiNHistorical[[#This Row],[Education - new]]-tblPiNHistorical[[#This Row],[Education - old]])</f>
        <v>-5674</v>
      </c>
      <c r="AC28" s="312">
        <f>IF(OR(tblPiNHistorical[[#This Row],[Nutrition - old]]="", tblPiNHistorical[[#This Row],[Nutrition - old]]=0, tblPiNHistorical[[#This Row],[Nutrition - new]]="", tblPiNHistorical[[#This Row],[Nutrition - new]]=0), "", tblPiNHistorical[[#This Row],[Nutrition - new]]-tblPiNHistorical[[#This Row],[Nutrition - old]])</f>
        <v>1037</v>
      </c>
      <c r="AD28" s="312">
        <f>IF(OR(tblPiNHistorical[[#This Row],[Food Security - old]]="", tblPiNHistorical[[#This Row],[Food Security - old]]=0, tblPiNHistorical[[#This Row],[Food Security - new]]="", tblPiNHistorical[[#This Row],[Food Security - new]]=0), "", tblPiNHistorical[[#This Row],[Food Security - new]]-tblPiNHistorical[[#This Row],[Food Security - old]])</f>
        <v>18110</v>
      </c>
      <c r="AE28" s="312">
        <f>IF(OR(tblPiNHistorical[[#This Row],[Health - old]]="", tblPiNHistorical[[#This Row],[Health - old]]=0, tblPiNHistorical[[#This Row],[Health - new]]="", tblPiNHistorical[[#This Row],[Health - new]]=0), "", tblPiNHistorical[[#This Row],[Health - new]]-tblPiNHistorical[[#This Row],[Health - old]])</f>
        <v>-20667.559897258441</v>
      </c>
      <c r="AF2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-6061.22</v>
      </c>
      <c r="AG28" s="312">
        <f>IF(OR(tblPiNHistorical[[#This Row],[Shelter - old]]="", tblPiNHistorical[[#This Row],[Shelter - old]]=0, tblPiNHistorical[[#This Row],[Shelter - new]]="", tblPiNHistorical[[#This Row],[Shelter - new]]=0), "", tblPiNHistorical[[#This Row],[Shelter - new]]-tblPiNHistorical[[#This Row],[Shelter - old]])</f>
        <v>7112</v>
      </c>
      <c r="AH28" s="313">
        <f>IF(OR(tblPiNHistorical[[#This Row],[WASH - old]]="", tblPiNHistorical[[#This Row],[WASH - old]]=0, tblPiNHistorical[[#This Row],[WASH - new]]="", tblPiNHistorical[[#This Row],[WASH - new]]=0), "", tblPiNHistorical[[#This Row],[WASH - new]]-tblPiNHistorical[[#This Row],[WASH - old]])</f>
        <v>-23835.586141310174</v>
      </c>
      <c r="AI28" s="314">
        <f>IFERROR(ROUND((tblPiNHistorical[[#This Row],[CCCM - new]] - tblPiNHistorical[[#This Row],[CCCM - old]])/tblPiNHistorical[[#This Row],[CCCM - old]], 1), "")</f>
        <v>0.4</v>
      </c>
      <c r="AJ28" s="315">
        <f>IFERROR(ROUND((tblPiNHistorical[[#This Row],[Education - new]]-tblPiNHistorical[[#This Row],[Education - old]])/tblPiNHistorical[[#This Row],[Education - old]], 1), "")</f>
        <v>-0.5</v>
      </c>
      <c r="AK28" s="315">
        <f>IFERROR(ROUND((tblPiNHistorical[[#This Row],[Nutrition - new]]-tblPiNHistorical[[#This Row],[Nutrition - old]])/tblPiNHistorical[[#This Row],[Nutrition - old]], 1), "")</f>
        <v>0.1</v>
      </c>
      <c r="AL28" s="315">
        <f>IFERROR(ROUND((tblPiNHistorical[[#This Row],[Food Security - new]]-tblPiNHistorical[[#This Row],[Food Security - old]])/tblPiNHistorical[[#This Row],[Food Security - old]], 1), "")</f>
        <v>0.5</v>
      </c>
      <c r="AM28" s="315">
        <f>IFERROR(ROUND((tblPiNHistorical[[#This Row],[Health - new]]-tblPiNHistorical[[#This Row],[Health - old]])/tblPiNHistorical[[#This Row],[Health - old]], 1), "")</f>
        <v>-0.4</v>
      </c>
      <c r="AN28" s="315">
        <f>IFERROR(ROUND((tblPiNHistorical[[#This Row],[Overarching Protection - new]]-tblPiNHistorical[[#This Row],[Overarching Protection - old]])/tblPiNHistorical[[#This Row],[Overarching Protection - old]], 1), "")</f>
        <v>-0.4</v>
      </c>
      <c r="AO28" s="315">
        <f>IFERROR(ROUND((tblPiNHistorical[[#This Row],[Shelter - new]]-tblPiNHistorical[[#This Row],[Shelter - old]])/tblPiNHistorical[[#This Row],[Shelter - old]], 1), "")</f>
        <v>0.2</v>
      </c>
      <c r="AP28" s="37">
        <f>IFERROR(ROUND((tblPiNHistorical[[#This Row],[WASH - new]]-tblPiNHistorical[[#This Row],[WASH - old]])/tblPiNHistorical[[#This Row],[WASH - old]], 1), "")</f>
        <v>-0.6</v>
      </c>
    </row>
    <row r="29" spans="1:42">
      <c r="A2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Global_PopulationHT0222</v>
      </c>
      <c r="B29" s="304" t="s">
        <v>197</v>
      </c>
      <c r="C29" s="213" t="s">
        <v>198</v>
      </c>
      <c r="D29" s="213" t="s">
        <v>209</v>
      </c>
      <c r="E29" s="103" t="s">
        <v>210</v>
      </c>
      <c r="F29" s="99"/>
      <c r="G29" s="34"/>
      <c r="H29" s="331"/>
      <c r="I29" s="96">
        <v>63370</v>
      </c>
      <c r="J29" s="241" t="s">
        <v>156</v>
      </c>
      <c r="K29" s="305">
        <v>7538</v>
      </c>
      <c r="L29" s="306">
        <v>6446</v>
      </c>
      <c r="M29" s="308">
        <v>5006</v>
      </c>
      <c r="N29" s="308">
        <v>23065</v>
      </c>
      <c r="O29" s="308">
        <v>27221</v>
      </c>
      <c r="P29" s="308">
        <v>9885</v>
      </c>
      <c r="Q29" s="309">
        <v>0</v>
      </c>
      <c r="R29" s="308">
        <v>20974.671910676894</v>
      </c>
      <c r="S29" s="308">
        <f>IFERROR(INDEX(tblPiNAnalysis[CCCM], MATCH(tblPiNHistorical[[#This Row],[ID]], tblPiNAnalysis[ID], 0)), "")</f>
        <v>21187.5</v>
      </c>
      <c r="T29" s="310">
        <f>IFERROR(INDEX(tblPiNAnalysis[Education], MATCH(tblPiNHistorical[[#This Row],[ID]], tblPiNAnalysis[ID], 0)), "")</f>
        <v>3407</v>
      </c>
      <c r="U29" s="308">
        <f>IFERROR(INDEX(tblPiNAnalysis[Nutrition], MATCH(tblPiNHistorical[[#This Row],[ID]], tblPiNAnalysis[ID], 0)), "")</f>
        <v>6059</v>
      </c>
      <c r="V29" s="308">
        <f>IFERROR(INDEX(tblPiNAnalysis[Food Security], MATCH(tblPiNHistorical[[#This Row],[ID]], tblPiNAnalysis[ID], 0)), "")</f>
        <v>32943</v>
      </c>
      <c r="W29" s="308">
        <f>IFERROR(INDEX(tblPiNAnalysis[Health], MATCH(tblPiNHistorical[[#This Row],[ID]], tblPiNAnalysis[ID], 0)), "")</f>
        <v>20780.091295575221</v>
      </c>
      <c r="X29" s="308">
        <f>IFERROR(INDEX(tblPiNAnalysis[Protection], MATCH(tblPiNHistorical[[#This Row],[ID]], tblPiNAnalysis[ID], 0)), "")</f>
        <v>7384.82</v>
      </c>
      <c r="Y29" s="308">
        <f>IFERROR(INDEX(tblPiNAnalysis[Shelter], MATCH(tblPiNHistorical[[#This Row],[ID]], tblPiNAnalysis[ID], 0)), "")</f>
        <v>0</v>
      </c>
      <c r="Z29" s="308">
        <f>IFERROR(INDEX(tblPiNAnalysis[WASH], MATCH(tblPiNHistorical[[#This Row],[ID]], tblPiNAnalysis[ID], 0)), "")</f>
        <v>16646.0625</v>
      </c>
      <c r="AA29" s="311">
        <f>IF(OR(tblPiNHistorical[[#This Row],[CCCM - old]]="", tblPiNHistorical[[#This Row],[CCCM - old]]=0, tblPiNHistorical[[#This Row],[CCCM - new]]="", tblPiNHistorical[[#This Row],[CCCM - new]]=0), "", tblPiNHistorical[[#This Row],[CCCM - new]]-tblPiNHistorical[[#This Row],[CCCM - old]])</f>
        <v>13649.5</v>
      </c>
      <c r="AB29" s="312">
        <f>IF(OR(tblPiNHistorical[[#This Row],[Education - old]]="", tblPiNHistorical[[#This Row],[Education - old]]=0, tblPiNHistorical[[#This Row],[Education - new]]="", tblPiNHistorical[[#This Row],[Education - new]]=0), "", tblPiNHistorical[[#This Row],[Education - new]]-tblPiNHistorical[[#This Row],[Education - old]])</f>
        <v>-3039</v>
      </c>
      <c r="AC29" s="312">
        <f>IF(OR(tblPiNHistorical[[#This Row],[Nutrition - old]]="", tblPiNHistorical[[#This Row],[Nutrition - old]]=0, tblPiNHistorical[[#This Row],[Nutrition - new]]="", tblPiNHistorical[[#This Row],[Nutrition - new]]=0), "", tblPiNHistorical[[#This Row],[Nutrition - new]]-tblPiNHistorical[[#This Row],[Nutrition - old]])</f>
        <v>1053</v>
      </c>
      <c r="AD29" s="312">
        <f>IF(OR(tblPiNHistorical[[#This Row],[Food Security - old]]="", tblPiNHistorical[[#This Row],[Food Security - old]]=0, tblPiNHistorical[[#This Row],[Food Security - new]]="", tblPiNHistorical[[#This Row],[Food Security - new]]=0), "", tblPiNHistorical[[#This Row],[Food Security - new]]-tblPiNHistorical[[#This Row],[Food Security - old]])</f>
        <v>9878</v>
      </c>
      <c r="AE29" s="312">
        <f>IF(OR(tblPiNHistorical[[#This Row],[Health - old]]="", tblPiNHistorical[[#This Row],[Health - old]]=0, tblPiNHistorical[[#This Row],[Health - new]]="", tblPiNHistorical[[#This Row],[Health - new]]=0), "", tblPiNHistorical[[#This Row],[Health - new]]-tblPiNHistorical[[#This Row],[Health - old]])</f>
        <v>-6440.908704424779</v>
      </c>
      <c r="AF2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-2500.1800000000003</v>
      </c>
      <c r="AG29" s="312" t="str">
        <f>IF(OR(tblPiNHistorical[[#This Row],[Shelter - old]]="", tblPiNHistorical[[#This Row],[Shelter - old]]=0, tblPiNHistorical[[#This Row],[Shelter - new]]="", tblPiNHistorical[[#This Row],[Shelter - new]]=0), "", tblPiNHistorical[[#This Row],[Shelter - new]]-tblPiNHistorical[[#This Row],[Shelter - old]])</f>
        <v/>
      </c>
      <c r="AH29" s="313">
        <f>IF(OR(tblPiNHistorical[[#This Row],[WASH - old]]="", tblPiNHistorical[[#This Row],[WASH - old]]=0, tblPiNHistorical[[#This Row],[WASH - new]]="", tblPiNHistorical[[#This Row],[WASH - new]]=0), "", tblPiNHistorical[[#This Row],[WASH - new]]-tblPiNHistorical[[#This Row],[WASH - old]])</f>
        <v>-4328.6094106768942</v>
      </c>
      <c r="AI29" s="314">
        <f>IFERROR(ROUND((tblPiNHistorical[[#This Row],[CCCM - new]] - tblPiNHistorical[[#This Row],[CCCM - old]])/tblPiNHistorical[[#This Row],[CCCM - old]], 1), "")</f>
        <v>1.8</v>
      </c>
      <c r="AJ29" s="315">
        <f>IFERROR(ROUND((tblPiNHistorical[[#This Row],[Education - new]]-tblPiNHistorical[[#This Row],[Education - old]])/tblPiNHistorical[[#This Row],[Education - old]], 1), "")</f>
        <v>-0.5</v>
      </c>
      <c r="AK29" s="315">
        <f>IFERROR(ROUND((tblPiNHistorical[[#This Row],[Nutrition - new]]-tblPiNHistorical[[#This Row],[Nutrition - old]])/tblPiNHistorical[[#This Row],[Nutrition - old]], 1), "")</f>
        <v>0.2</v>
      </c>
      <c r="AL29" s="315">
        <f>IFERROR(ROUND((tblPiNHistorical[[#This Row],[Food Security - new]]-tblPiNHistorical[[#This Row],[Food Security - old]])/tblPiNHistorical[[#This Row],[Food Security - old]], 1), "")</f>
        <v>0.4</v>
      </c>
      <c r="AM29" s="315">
        <f>IFERROR(ROUND((tblPiNHistorical[[#This Row],[Health - new]]-tblPiNHistorical[[#This Row],[Health - old]])/tblPiNHistorical[[#This Row],[Health - old]], 1), "")</f>
        <v>-0.2</v>
      </c>
      <c r="AN29" s="315">
        <f>IFERROR(ROUND((tblPiNHistorical[[#This Row],[Overarching Protection - new]]-tblPiNHistorical[[#This Row],[Overarching Protection - old]])/tblPiNHistorical[[#This Row],[Overarching Protection - old]], 1), "")</f>
        <v>-0.3</v>
      </c>
      <c r="AO29" s="315" t="str">
        <f>IFERROR(ROUND((tblPiNHistorical[[#This Row],[Shelter - new]]-tblPiNHistorical[[#This Row],[Shelter - old]])/tblPiNHistorical[[#This Row],[Shelter - old]], 1), "")</f>
        <v/>
      </c>
      <c r="AP29" s="37">
        <f>IFERROR(ROUND((tblPiNHistorical[[#This Row],[WASH - new]]-tblPiNHistorical[[#This Row],[WASH - old]])/tblPiNHistorical[[#This Row],[WASH - old]], 1), "")</f>
        <v>-0.2</v>
      </c>
    </row>
    <row r="30" spans="1:42">
      <c r="A3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Global_PopulationHT0231</v>
      </c>
      <c r="B30" s="304" t="s">
        <v>197</v>
      </c>
      <c r="C30" s="213" t="s">
        <v>198</v>
      </c>
      <c r="D30" s="213" t="s">
        <v>211</v>
      </c>
      <c r="E30" s="103" t="s">
        <v>212</v>
      </c>
      <c r="F30" s="99"/>
      <c r="G30" s="34"/>
      <c r="H30" s="331"/>
      <c r="I30" s="96">
        <v>95781</v>
      </c>
      <c r="J30" s="241" t="s">
        <v>156</v>
      </c>
      <c r="K30" s="305">
        <v>8187</v>
      </c>
      <c r="L30" s="306">
        <v>10088</v>
      </c>
      <c r="M30" s="308">
        <v>8511</v>
      </c>
      <c r="N30" s="308">
        <v>45508</v>
      </c>
      <c r="O30" s="308">
        <v>59751</v>
      </c>
      <c r="P30" s="308">
        <v>26562</v>
      </c>
      <c r="Q30" s="309">
        <v>21200</v>
      </c>
      <c r="R30" s="308">
        <v>52325.803398952623</v>
      </c>
      <c r="S30" s="308">
        <f>IFERROR(INDEX(tblPiNAnalysis[CCCM], MATCH(tblPiNHistorical[[#This Row],[ID]], tblPiNAnalysis[ID], 0)), "")</f>
        <v>16605</v>
      </c>
      <c r="T30" s="310">
        <f>IFERROR(INDEX(tblPiNAnalysis[Education], MATCH(tblPiNHistorical[[#This Row],[ID]], tblPiNAnalysis[ID], 0)), "")</f>
        <v>4832</v>
      </c>
      <c r="U30" s="308">
        <f>IFERROR(INDEX(tblPiNAnalysis[Nutrition], MATCH(tblPiNHistorical[[#This Row],[ID]], tblPiNAnalysis[ID], 0)), "")</f>
        <v>9364</v>
      </c>
      <c r="V30" s="308">
        <f>IFERROR(INDEX(tblPiNAnalysis[Food Security], MATCH(tblPiNHistorical[[#This Row],[ID]], tblPiNAnalysis[ID], 0)), "")</f>
        <v>54963</v>
      </c>
      <c r="W30" s="308">
        <f>IFERROR(INDEX(tblPiNAnalysis[Health], MATCH(tblPiNHistorical[[#This Row],[ID]], tblPiNAnalysis[ID], 0)), "")</f>
        <v>23146.363591147245</v>
      </c>
      <c r="X30" s="308">
        <f>IFERROR(INDEX(tblPiNAnalysis[Protection], MATCH(tblPiNHistorical[[#This Row],[ID]], tblPiNAnalysis[ID], 0)), "")</f>
        <v>14625.630000000001</v>
      </c>
      <c r="Y30" s="308">
        <f>IFERROR(INDEX(tblPiNAnalysis[Shelter], MATCH(tblPiNHistorical[[#This Row],[ID]], tblPiNAnalysis[ID], 0)), "")</f>
        <v>41241</v>
      </c>
      <c r="Z30" s="308">
        <f>IFERROR(INDEX(tblPiNAnalysis[WASH], MATCH(tblPiNHistorical[[#This Row],[ID]], tblPiNAnalysis[ID], 0)), "")</f>
        <v>22996.1875</v>
      </c>
      <c r="AA30" s="311">
        <f>IF(OR(tblPiNHistorical[[#This Row],[CCCM - old]]="", tblPiNHistorical[[#This Row],[CCCM - old]]=0, tblPiNHistorical[[#This Row],[CCCM - new]]="", tblPiNHistorical[[#This Row],[CCCM - new]]=0), "", tblPiNHistorical[[#This Row],[CCCM - new]]-tblPiNHistorical[[#This Row],[CCCM - old]])</f>
        <v>8418</v>
      </c>
      <c r="AB30" s="312">
        <f>IF(OR(tblPiNHistorical[[#This Row],[Education - old]]="", tblPiNHistorical[[#This Row],[Education - old]]=0, tblPiNHistorical[[#This Row],[Education - new]]="", tblPiNHistorical[[#This Row],[Education - new]]=0), "", tblPiNHistorical[[#This Row],[Education - new]]-tblPiNHistorical[[#This Row],[Education - old]])</f>
        <v>-5256</v>
      </c>
      <c r="AC30" s="312">
        <f>IF(OR(tblPiNHistorical[[#This Row],[Nutrition - old]]="", tblPiNHistorical[[#This Row],[Nutrition - old]]=0, tblPiNHistorical[[#This Row],[Nutrition - new]]="", tblPiNHistorical[[#This Row],[Nutrition - new]]=0), "", tblPiNHistorical[[#This Row],[Nutrition - new]]-tblPiNHistorical[[#This Row],[Nutrition - old]])</f>
        <v>853</v>
      </c>
      <c r="AD30" s="312">
        <f>IF(OR(tblPiNHistorical[[#This Row],[Food Security - old]]="", tblPiNHistorical[[#This Row],[Food Security - old]]=0, tblPiNHistorical[[#This Row],[Food Security - new]]="", tblPiNHistorical[[#This Row],[Food Security - new]]=0), "", tblPiNHistorical[[#This Row],[Food Security - new]]-tblPiNHistorical[[#This Row],[Food Security - old]])</f>
        <v>9455</v>
      </c>
      <c r="AE30" s="312">
        <f>IF(OR(tblPiNHistorical[[#This Row],[Health - old]]="", tblPiNHistorical[[#This Row],[Health - old]]=0, tblPiNHistorical[[#This Row],[Health - new]]="", tblPiNHistorical[[#This Row],[Health - new]]=0), "", tblPiNHistorical[[#This Row],[Health - new]]-tblPiNHistorical[[#This Row],[Health - old]])</f>
        <v>-36604.636408852755</v>
      </c>
      <c r="AF3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-11936.369999999999</v>
      </c>
      <c r="AG30" s="312">
        <f>IF(OR(tblPiNHistorical[[#This Row],[Shelter - old]]="", tblPiNHistorical[[#This Row],[Shelter - old]]=0, tblPiNHistorical[[#This Row],[Shelter - new]]="", tblPiNHistorical[[#This Row],[Shelter - new]]=0), "", tblPiNHistorical[[#This Row],[Shelter - new]]-tblPiNHistorical[[#This Row],[Shelter - old]])</f>
        <v>20041</v>
      </c>
      <c r="AH30" s="313">
        <f>IF(OR(tblPiNHistorical[[#This Row],[WASH - old]]="", tblPiNHistorical[[#This Row],[WASH - old]]=0, tblPiNHistorical[[#This Row],[WASH - new]]="", tblPiNHistorical[[#This Row],[WASH - new]]=0), "", tblPiNHistorical[[#This Row],[WASH - new]]-tblPiNHistorical[[#This Row],[WASH - old]])</f>
        <v>-29329.615898952623</v>
      </c>
      <c r="AI30" s="314">
        <f>IFERROR(ROUND((tblPiNHistorical[[#This Row],[CCCM - new]] - tblPiNHistorical[[#This Row],[CCCM - old]])/tblPiNHistorical[[#This Row],[CCCM - old]], 1), "")</f>
        <v>1</v>
      </c>
      <c r="AJ30" s="315">
        <f>IFERROR(ROUND((tblPiNHistorical[[#This Row],[Education - new]]-tblPiNHistorical[[#This Row],[Education - old]])/tblPiNHistorical[[#This Row],[Education - old]], 1), "")</f>
        <v>-0.5</v>
      </c>
      <c r="AK30" s="315">
        <f>IFERROR(ROUND((tblPiNHistorical[[#This Row],[Nutrition - new]]-tblPiNHistorical[[#This Row],[Nutrition - old]])/tblPiNHistorical[[#This Row],[Nutrition - old]], 1), "")</f>
        <v>0.1</v>
      </c>
      <c r="AL30" s="315">
        <f>IFERROR(ROUND((tblPiNHistorical[[#This Row],[Food Security - new]]-tblPiNHistorical[[#This Row],[Food Security - old]])/tblPiNHistorical[[#This Row],[Food Security - old]], 1), "")</f>
        <v>0.2</v>
      </c>
      <c r="AM30" s="315">
        <f>IFERROR(ROUND((tblPiNHistorical[[#This Row],[Health - new]]-tblPiNHistorical[[#This Row],[Health - old]])/tblPiNHistorical[[#This Row],[Health - old]], 1), "")</f>
        <v>-0.6</v>
      </c>
      <c r="AN30" s="315">
        <f>IFERROR(ROUND((tblPiNHistorical[[#This Row],[Overarching Protection - new]]-tblPiNHistorical[[#This Row],[Overarching Protection - old]])/tblPiNHistorical[[#This Row],[Overarching Protection - old]], 1), "")</f>
        <v>-0.4</v>
      </c>
      <c r="AO30" s="315">
        <f>IFERROR(ROUND((tblPiNHistorical[[#This Row],[Shelter - new]]-tblPiNHistorical[[#This Row],[Shelter - old]])/tblPiNHistorical[[#This Row],[Shelter - old]], 1), "")</f>
        <v>0.9</v>
      </c>
      <c r="AP30" s="37">
        <f>IFERROR(ROUND((tblPiNHistorical[[#This Row],[WASH - new]]-tblPiNHistorical[[#This Row],[WASH - old]])/tblPiNHistorical[[#This Row],[WASH - old]], 1), "")</f>
        <v>-0.6</v>
      </c>
    </row>
    <row r="31" spans="1:42">
      <c r="A3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Global_PopulationHT0232</v>
      </c>
      <c r="B31" s="304" t="s">
        <v>197</v>
      </c>
      <c r="C31" s="213" t="s">
        <v>198</v>
      </c>
      <c r="D31" s="213" t="s">
        <v>213</v>
      </c>
      <c r="E31" s="103" t="s">
        <v>214</v>
      </c>
      <c r="F31" s="99"/>
      <c r="G31" s="34"/>
      <c r="H31" s="331"/>
      <c r="I31" s="96">
        <v>25416</v>
      </c>
      <c r="J31" s="241" t="s">
        <v>156</v>
      </c>
      <c r="K31" s="305">
        <v>7575</v>
      </c>
      <c r="L31" s="306">
        <v>2886</v>
      </c>
      <c r="M31" s="308">
        <v>2044</v>
      </c>
      <c r="N31" s="308">
        <v>10221</v>
      </c>
      <c r="O31" s="308">
        <v>27371</v>
      </c>
      <c r="P31" s="308">
        <v>10568</v>
      </c>
      <c r="Q31" s="309">
        <v>7452</v>
      </c>
      <c r="R31" s="308">
        <v>32416.630584591905</v>
      </c>
      <c r="S31" s="308">
        <f>IFERROR(INDEX(tblPiNAnalysis[CCCM], MATCH(tblPiNHistorical[[#This Row],[ID]], tblPiNAnalysis[ID], 0)), "")</f>
        <v>8899.5</v>
      </c>
      <c r="T31" s="310">
        <f>IFERROR(INDEX(tblPiNAnalysis[Education], MATCH(tblPiNHistorical[[#This Row],[ID]], tblPiNAnalysis[ID], 0)), "")</f>
        <v>1209</v>
      </c>
      <c r="U31" s="308">
        <f>IFERROR(INDEX(tblPiNAnalysis[Nutrition], MATCH(tblPiNHistorical[[#This Row],[ID]], tblPiNAnalysis[ID], 0)), "")</f>
        <v>2465</v>
      </c>
      <c r="V31" s="308">
        <f>IFERROR(INDEX(tblPiNAnalysis[Food Security], MATCH(tblPiNHistorical[[#This Row],[ID]], tblPiNAnalysis[ID], 0)), "")</f>
        <v>12345</v>
      </c>
      <c r="W31" s="308">
        <f>IFERROR(INDEX(tblPiNAnalysis[Health], MATCH(tblPiNHistorical[[#This Row],[ID]], tblPiNAnalysis[ID], 0)), "")</f>
        <v>11559.685098971851</v>
      </c>
      <c r="X31" s="308">
        <f>IFERROR(INDEX(tblPiNAnalysis[Protection], MATCH(tblPiNHistorical[[#This Row],[ID]], tblPiNAnalysis[ID], 0)), "")</f>
        <v>6113.1</v>
      </c>
      <c r="Y31" s="308">
        <f>IFERROR(INDEX(tblPiNAnalysis[Shelter], MATCH(tblPiNHistorical[[#This Row],[ID]], tblPiNAnalysis[ID], 0)), "")</f>
        <v>10619</v>
      </c>
      <c r="Z31" s="308">
        <f>IFERROR(INDEX(tblPiNAnalysis[WASH], MATCH(tblPiNHistorical[[#This Row],[ID]], tblPiNAnalysis[ID], 0)), "")</f>
        <v>12708</v>
      </c>
      <c r="AA31" s="311">
        <f>IF(OR(tblPiNHistorical[[#This Row],[CCCM - old]]="", tblPiNHistorical[[#This Row],[CCCM - old]]=0, tblPiNHistorical[[#This Row],[CCCM - new]]="", tblPiNHistorical[[#This Row],[CCCM - new]]=0), "", tblPiNHistorical[[#This Row],[CCCM - new]]-tblPiNHistorical[[#This Row],[CCCM - old]])</f>
        <v>1324.5</v>
      </c>
      <c r="AB31" s="312">
        <f>IF(OR(tblPiNHistorical[[#This Row],[Education - old]]="", tblPiNHistorical[[#This Row],[Education - old]]=0, tblPiNHistorical[[#This Row],[Education - new]]="", tblPiNHistorical[[#This Row],[Education - new]]=0), "", tblPiNHistorical[[#This Row],[Education - new]]-tblPiNHistorical[[#This Row],[Education - old]])</f>
        <v>-1677</v>
      </c>
      <c r="AC31" s="312">
        <f>IF(OR(tblPiNHistorical[[#This Row],[Nutrition - old]]="", tblPiNHistorical[[#This Row],[Nutrition - old]]=0, tblPiNHistorical[[#This Row],[Nutrition - new]]="", tblPiNHistorical[[#This Row],[Nutrition - new]]=0), "", tblPiNHistorical[[#This Row],[Nutrition - new]]-tblPiNHistorical[[#This Row],[Nutrition - old]])</f>
        <v>421</v>
      </c>
      <c r="AD31" s="312">
        <f>IF(OR(tblPiNHistorical[[#This Row],[Food Security - old]]="", tblPiNHistorical[[#This Row],[Food Security - old]]=0, tblPiNHistorical[[#This Row],[Food Security - new]]="", tblPiNHistorical[[#This Row],[Food Security - new]]=0), "", tblPiNHistorical[[#This Row],[Food Security - new]]-tblPiNHistorical[[#This Row],[Food Security - old]])</f>
        <v>2124</v>
      </c>
      <c r="AE31" s="312">
        <f>IF(OR(tblPiNHistorical[[#This Row],[Health - old]]="", tblPiNHistorical[[#This Row],[Health - old]]=0, tblPiNHistorical[[#This Row],[Health - new]]="", tblPiNHistorical[[#This Row],[Health - new]]=0), "", tblPiNHistorical[[#This Row],[Health - new]]-tblPiNHistorical[[#This Row],[Health - old]])</f>
        <v>-15811.314901028149</v>
      </c>
      <c r="AF3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-4454.8999999999996</v>
      </c>
      <c r="AG31" s="312">
        <f>IF(OR(tblPiNHistorical[[#This Row],[Shelter - old]]="", tblPiNHistorical[[#This Row],[Shelter - old]]=0, tblPiNHistorical[[#This Row],[Shelter - new]]="", tblPiNHistorical[[#This Row],[Shelter - new]]=0), "", tblPiNHistorical[[#This Row],[Shelter - new]]-tblPiNHistorical[[#This Row],[Shelter - old]])</f>
        <v>3167</v>
      </c>
      <c r="AH31" s="313">
        <f>IF(OR(tblPiNHistorical[[#This Row],[WASH - old]]="", tblPiNHistorical[[#This Row],[WASH - old]]=0, tblPiNHistorical[[#This Row],[WASH - new]]="", tblPiNHistorical[[#This Row],[WASH - new]]=0), "", tblPiNHistorical[[#This Row],[WASH - new]]-tblPiNHistorical[[#This Row],[WASH - old]])</f>
        <v>-19708.630584591905</v>
      </c>
      <c r="AI31" s="314">
        <f>IFERROR(ROUND((tblPiNHistorical[[#This Row],[CCCM - new]] - tblPiNHistorical[[#This Row],[CCCM - old]])/tblPiNHistorical[[#This Row],[CCCM - old]], 1), "")</f>
        <v>0.2</v>
      </c>
      <c r="AJ31" s="315">
        <f>IFERROR(ROUND((tblPiNHistorical[[#This Row],[Education - new]]-tblPiNHistorical[[#This Row],[Education - old]])/tblPiNHistorical[[#This Row],[Education - old]], 1), "")</f>
        <v>-0.6</v>
      </c>
      <c r="AK31" s="315">
        <f>IFERROR(ROUND((tblPiNHistorical[[#This Row],[Nutrition - new]]-tblPiNHistorical[[#This Row],[Nutrition - old]])/tblPiNHistorical[[#This Row],[Nutrition - old]], 1), "")</f>
        <v>0.2</v>
      </c>
      <c r="AL31" s="315">
        <f>IFERROR(ROUND((tblPiNHistorical[[#This Row],[Food Security - new]]-tblPiNHistorical[[#This Row],[Food Security - old]])/tblPiNHistorical[[#This Row],[Food Security - old]], 1), "")</f>
        <v>0.2</v>
      </c>
      <c r="AM31" s="315">
        <f>IFERROR(ROUND((tblPiNHistorical[[#This Row],[Health - new]]-tblPiNHistorical[[#This Row],[Health - old]])/tblPiNHistorical[[#This Row],[Health - old]], 1), "")</f>
        <v>-0.6</v>
      </c>
      <c r="AN31" s="315">
        <f>IFERROR(ROUND((tblPiNHistorical[[#This Row],[Overarching Protection - new]]-tblPiNHistorical[[#This Row],[Overarching Protection - old]])/tblPiNHistorical[[#This Row],[Overarching Protection - old]], 1), "")</f>
        <v>-0.4</v>
      </c>
      <c r="AO31" s="315">
        <f>IFERROR(ROUND((tblPiNHistorical[[#This Row],[Shelter - new]]-tblPiNHistorical[[#This Row],[Shelter - old]])/tblPiNHistorical[[#This Row],[Shelter - old]], 1), "")</f>
        <v>0.4</v>
      </c>
      <c r="AP31" s="37">
        <f>IFERROR(ROUND((tblPiNHistorical[[#This Row],[WASH - new]]-tblPiNHistorical[[#This Row],[WASH - old]])/tblPiNHistorical[[#This Row],[WASH - old]], 1), "")</f>
        <v>-0.6</v>
      </c>
    </row>
    <row r="32" spans="1:42">
      <c r="A3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Global_PopulationHT0233</v>
      </c>
      <c r="B32" s="304" t="s">
        <v>197</v>
      </c>
      <c r="C32" s="213" t="s">
        <v>198</v>
      </c>
      <c r="D32" s="213" t="s">
        <v>215</v>
      </c>
      <c r="E32" s="103" t="s">
        <v>216</v>
      </c>
      <c r="F32" s="99"/>
      <c r="G32" s="34"/>
      <c r="H32" s="331"/>
      <c r="I32" s="96">
        <v>46178</v>
      </c>
      <c r="J32" s="241" t="s">
        <v>156</v>
      </c>
      <c r="K32" s="305">
        <v>6900</v>
      </c>
      <c r="L32" s="306">
        <v>4690</v>
      </c>
      <c r="M32" s="308">
        <v>3550</v>
      </c>
      <c r="N32" s="308">
        <v>19337</v>
      </c>
      <c r="O32" s="308">
        <v>47990</v>
      </c>
      <c r="P32" s="308">
        <v>27619</v>
      </c>
      <c r="Q32" s="309">
        <v>13859</v>
      </c>
      <c r="R32" s="308">
        <v>43960.496177169654</v>
      </c>
      <c r="S32" s="308">
        <f>IFERROR(INDEX(tblPiNAnalysis[CCCM], MATCH(tblPiNHistorical[[#This Row],[ID]], tblPiNAnalysis[ID], 0)), "")</f>
        <v>14400</v>
      </c>
      <c r="T32" s="310">
        <f>IFERROR(INDEX(tblPiNAnalysis[Education], MATCH(tblPiNHistorical[[#This Row],[ID]], tblPiNAnalysis[ID], 0)), "")</f>
        <v>1877</v>
      </c>
      <c r="U32" s="308">
        <f>IFERROR(INDEX(tblPiNAnalysis[Nutrition], MATCH(tblPiNHistorical[[#This Row],[ID]], tblPiNAnalysis[ID], 0)), "")</f>
        <v>4253</v>
      </c>
      <c r="V32" s="308">
        <f>IFERROR(INDEX(tblPiNAnalysis[Food Security], MATCH(tblPiNHistorical[[#This Row],[ID]], tblPiNAnalysis[ID], 0)), "")</f>
        <v>24634</v>
      </c>
      <c r="W32" s="308">
        <f>IFERROR(INDEX(tblPiNAnalysis[Health], MATCH(tblPiNHistorical[[#This Row],[ID]], tblPiNAnalysis[ID], 0)), "")</f>
        <v>19729.301466666664</v>
      </c>
      <c r="X32" s="308">
        <f>IFERROR(INDEX(tblPiNAnalysis[Protection], MATCH(tblPiNHistorical[[#This Row],[ID]], tblPiNAnalysis[ID], 0)), "")</f>
        <v>21806.46</v>
      </c>
      <c r="Y32" s="308">
        <f>IFERROR(INDEX(tblPiNAnalysis[Shelter], MATCH(tblPiNHistorical[[#This Row],[ID]], tblPiNAnalysis[ID], 0)), "")</f>
        <v>30428</v>
      </c>
      <c r="Z32" s="308">
        <f>IFERROR(INDEX(tblPiNAnalysis[WASH], MATCH(tblPiNHistorical[[#This Row],[ID]], tblPiNAnalysis[ID], 0)), "")</f>
        <v>12462.8</v>
      </c>
      <c r="AA32" s="311">
        <f>IF(OR(tblPiNHistorical[[#This Row],[CCCM - old]]="", tblPiNHistorical[[#This Row],[CCCM - old]]=0, tblPiNHistorical[[#This Row],[CCCM - new]]="", tblPiNHistorical[[#This Row],[CCCM - new]]=0), "", tblPiNHistorical[[#This Row],[CCCM - new]]-tblPiNHistorical[[#This Row],[CCCM - old]])</f>
        <v>7500</v>
      </c>
      <c r="AB32" s="312">
        <f>IF(OR(tblPiNHistorical[[#This Row],[Education - old]]="", tblPiNHistorical[[#This Row],[Education - old]]=0, tblPiNHistorical[[#This Row],[Education - new]]="", tblPiNHistorical[[#This Row],[Education - new]]=0), "", tblPiNHistorical[[#This Row],[Education - new]]-tblPiNHistorical[[#This Row],[Education - old]])</f>
        <v>-2813</v>
      </c>
      <c r="AC32" s="312">
        <f>IF(OR(tblPiNHistorical[[#This Row],[Nutrition - old]]="", tblPiNHistorical[[#This Row],[Nutrition - old]]=0, tblPiNHistorical[[#This Row],[Nutrition - new]]="", tblPiNHistorical[[#This Row],[Nutrition - new]]=0), "", tblPiNHistorical[[#This Row],[Nutrition - new]]-tblPiNHistorical[[#This Row],[Nutrition - old]])</f>
        <v>703</v>
      </c>
      <c r="AD32" s="312">
        <f>IF(OR(tblPiNHistorical[[#This Row],[Food Security - old]]="", tblPiNHistorical[[#This Row],[Food Security - old]]=0, tblPiNHistorical[[#This Row],[Food Security - new]]="", tblPiNHistorical[[#This Row],[Food Security - new]]=0), "", tblPiNHistorical[[#This Row],[Food Security - new]]-tblPiNHistorical[[#This Row],[Food Security - old]])</f>
        <v>5297</v>
      </c>
      <c r="AE32" s="312">
        <f>IF(OR(tblPiNHistorical[[#This Row],[Health - old]]="", tblPiNHistorical[[#This Row],[Health - old]]=0, tblPiNHistorical[[#This Row],[Health - new]]="", tblPiNHistorical[[#This Row],[Health - new]]=0), "", tblPiNHistorical[[#This Row],[Health - new]]-tblPiNHistorical[[#This Row],[Health - old]])</f>
        <v>-28260.698533333336</v>
      </c>
      <c r="AF3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-5812.5400000000009</v>
      </c>
      <c r="AG32" s="312">
        <f>IF(OR(tblPiNHistorical[[#This Row],[Shelter - old]]="", tblPiNHistorical[[#This Row],[Shelter - old]]=0, tblPiNHistorical[[#This Row],[Shelter - new]]="", tblPiNHistorical[[#This Row],[Shelter - new]]=0), "", tblPiNHistorical[[#This Row],[Shelter - new]]-tblPiNHistorical[[#This Row],[Shelter - old]])</f>
        <v>16569</v>
      </c>
      <c r="AH32" s="313">
        <f>IF(OR(tblPiNHistorical[[#This Row],[WASH - old]]="", tblPiNHistorical[[#This Row],[WASH - old]]=0, tblPiNHistorical[[#This Row],[WASH - new]]="", tblPiNHistorical[[#This Row],[WASH - new]]=0), "", tblPiNHistorical[[#This Row],[WASH - new]]-tblPiNHistorical[[#This Row],[WASH - old]])</f>
        <v>-31497.696177169655</v>
      </c>
      <c r="AI32" s="314">
        <f>IFERROR(ROUND((tblPiNHistorical[[#This Row],[CCCM - new]] - tblPiNHistorical[[#This Row],[CCCM - old]])/tblPiNHistorical[[#This Row],[CCCM - old]], 1), "")</f>
        <v>1.1000000000000001</v>
      </c>
      <c r="AJ32" s="315">
        <f>IFERROR(ROUND((tblPiNHistorical[[#This Row],[Education - new]]-tblPiNHistorical[[#This Row],[Education - old]])/tblPiNHistorical[[#This Row],[Education - old]], 1), "")</f>
        <v>-0.6</v>
      </c>
      <c r="AK32" s="315">
        <f>IFERROR(ROUND((tblPiNHistorical[[#This Row],[Nutrition - new]]-tblPiNHistorical[[#This Row],[Nutrition - old]])/tblPiNHistorical[[#This Row],[Nutrition - old]], 1), "")</f>
        <v>0.2</v>
      </c>
      <c r="AL32" s="315">
        <f>IFERROR(ROUND((tblPiNHistorical[[#This Row],[Food Security - new]]-tblPiNHistorical[[#This Row],[Food Security - old]])/tblPiNHistorical[[#This Row],[Food Security - old]], 1), "")</f>
        <v>0.3</v>
      </c>
      <c r="AM32" s="315">
        <f>IFERROR(ROUND((tblPiNHistorical[[#This Row],[Health - new]]-tblPiNHistorical[[#This Row],[Health - old]])/tblPiNHistorical[[#This Row],[Health - old]], 1), "")</f>
        <v>-0.6</v>
      </c>
      <c r="AN32" s="315">
        <f>IFERROR(ROUND((tblPiNHistorical[[#This Row],[Overarching Protection - new]]-tblPiNHistorical[[#This Row],[Overarching Protection - old]])/tblPiNHistorical[[#This Row],[Overarching Protection - old]], 1), "")</f>
        <v>-0.2</v>
      </c>
      <c r="AO32" s="315">
        <f>IFERROR(ROUND((tblPiNHistorical[[#This Row],[Shelter - new]]-tblPiNHistorical[[#This Row],[Shelter - old]])/tblPiNHistorical[[#This Row],[Shelter - old]], 1), "")</f>
        <v>1.2</v>
      </c>
      <c r="AP32" s="37">
        <f>IFERROR(ROUND((tblPiNHistorical[[#This Row],[WASH - new]]-tblPiNHistorical[[#This Row],[WASH - old]])/tblPiNHistorical[[#This Row],[WASH - old]], 1), "")</f>
        <v>-0.7</v>
      </c>
    </row>
    <row r="33" spans="1:42">
      <c r="A3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Global_PopulationHT0234</v>
      </c>
      <c r="B33" s="304" t="s">
        <v>197</v>
      </c>
      <c r="C33" s="213" t="s">
        <v>198</v>
      </c>
      <c r="D33" s="213" t="s">
        <v>217</v>
      </c>
      <c r="E33" s="103" t="s">
        <v>218</v>
      </c>
      <c r="F33" s="99"/>
      <c r="G33" s="34"/>
      <c r="H33" s="331"/>
      <c r="I33" s="96">
        <v>43459</v>
      </c>
      <c r="J33" s="241" t="s">
        <v>156</v>
      </c>
      <c r="K33" s="305">
        <v>11250</v>
      </c>
      <c r="L33" s="306">
        <v>4320</v>
      </c>
      <c r="M33" s="308">
        <v>3431</v>
      </c>
      <c r="N33" s="308">
        <v>15269</v>
      </c>
      <c r="O33" s="308">
        <v>77676</v>
      </c>
      <c r="P33" s="308">
        <v>51465</v>
      </c>
      <c r="Q33" s="309">
        <v>31070</v>
      </c>
      <c r="R33" s="308">
        <v>82091.637865784985</v>
      </c>
      <c r="S33" s="308">
        <f>IFERROR(INDEX(tblPiNAnalysis[CCCM], MATCH(tblPiNHistorical[[#This Row],[ID]], tblPiNAnalysis[ID], 0)), "")</f>
        <v>12225</v>
      </c>
      <c r="T33" s="310">
        <f>IFERROR(INDEX(tblPiNAnalysis[Education], MATCH(tblPiNHistorical[[#This Row],[ID]], tblPiNAnalysis[ID], 0)), "")</f>
        <v>1414</v>
      </c>
      <c r="U33" s="308">
        <f>IFERROR(INDEX(tblPiNAnalysis[Nutrition], MATCH(tblPiNHistorical[[#This Row],[ID]], tblPiNAnalysis[ID], 0)), "")</f>
        <v>4005</v>
      </c>
      <c r="V33" s="308">
        <f>IFERROR(INDEX(tblPiNAnalysis[Food Security], MATCH(tblPiNHistorical[[#This Row],[ID]], tblPiNAnalysis[ID], 0)), "")</f>
        <v>20691</v>
      </c>
      <c r="W33" s="308">
        <f>IFERROR(INDEX(tblPiNAnalysis[Health], MATCH(tblPiNHistorical[[#This Row],[ID]], tblPiNAnalysis[ID], 0)), "")</f>
        <v>17436.151412269937</v>
      </c>
      <c r="X33" s="308">
        <f>IFERROR(INDEX(tblPiNAnalysis[Protection], MATCH(tblPiNHistorical[[#This Row],[ID]], tblPiNAnalysis[ID], 0)), "")</f>
        <v>17557.88</v>
      </c>
      <c r="Y33" s="308">
        <f>IFERROR(INDEX(tblPiNAnalysis[Shelter], MATCH(tblPiNHistorical[[#This Row],[ID]], tblPiNAnalysis[ID], 0)), "")</f>
        <v>28287</v>
      </c>
      <c r="Z33" s="308">
        <f>IFERROR(INDEX(tblPiNAnalysis[WASH], MATCH(tblPiNHistorical[[#This Row],[ID]], tblPiNAnalysis[ID], 0)), "")</f>
        <v>10864.75</v>
      </c>
      <c r="AA33" s="311">
        <f>IF(OR(tblPiNHistorical[[#This Row],[CCCM - old]]="", tblPiNHistorical[[#This Row],[CCCM - old]]=0, tblPiNHistorical[[#This Row],[CCCM - new]]="", tblPiNHistorical[[#This Row],[CCCM - new]]=0), "", tblPiNHistorical[[#This Row],[CCCM - new]]-tblPiNHistorical[[#This Row],[CCCM - old]])</f>
        <v>975</v>
      </c>
      <c r="AB33" s="312">
        <f>IF(OR(tblPiNHistorical[[#This Row],[Education - old]]="", tblPiNHistorical[[#This Row],[Education - old]]=0, tblPiNHistorical[[#This Row],[Education - new]]="", tblPiNHistorical[[#This Row],[Education - new]]=0), "", tblPiNHistorical[[#This Row],[Education - new]]-tblPiNHistorical[[#This Row],[Education - old]])</f>
        <v>-2906</v>
      </c>
      <c r="AC33" s="312">
        <f>IF(OR(tblPiNHistorical[[#This Row],[Nutrition - old]]="", tblPiNHistorical[[#This Row],[Nutrition - old]]=0, tblPiNHistorical[[#This Row],[Nutrition - new]]="", tblPiNHistorical[[#This Row],[Nutrition - new]]=0), "", tblPiNHistorical[[#This Row],[Nutrition - new]]-tblPiNHistorical[[#This Row],[Nutrition - old]])</f>
        <v>574</v>
      </c>
      <c r="AD33" s="312">
        <f>IF(OR(tblPiNHistorical[[#This Row],[Food Security - old]]="", tblPiNHistorical[[#This Row],[Food Security - old]]=0, tblPiNHistorical[[#This Row],[Food Security - new]]="", tblPiNHistorical[[#This Row],[Food Security - new]]=0), "", tblPiNHistorical[[#This Row],[Food Security - new]]-tblPiNHistorical[[#This Row],[Food Security - old]])</f>
        <v>5422</v>
      </c>
      <c r="AE33" s="312">
        <f>IF(OR(tblPiNHistorical[[#This Row],[Health - old]]="", tblPiNHistorical[[#This Row],[Health - old]]=0, tblPiNHistorical[[#This Row],[Health - new]]="", tblPiNHistorical[[#This Row],[Health - new]]=0), "", tblPiNHistorical[[#This Row],[Health - new]]-tblPiNHistorical[[#This Row],[Health - old]])</f>
        <v>-60239.848587730063</v>
      </c>
      <c r="AF3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-33907.119999999995</v>
      </c>
      <c r="AG33" s="312">
        <f>IF(OR(tblPiNHistorical[[#This Row],[Shelter - old]]="", tblPiNHistorical[[#This Row],[Shelter - old]]=0, tblPiNHistorical[[#This Row],[Shelter - new]]="", tblPiNHistorical[[#This Row],[Shelter - new]]=0), "", tblPiNHistorical[[#This Row],[Shelter - new]]-tblPiNHistorical[[#This Row],[Shelter - old]])</f>
        <v>-2783</v>
      </c>
      <c r="AH33" s="313">
        <f>IF(OR(tblPiNHistorical[[#This Row],[WASH - old]]="", tblPiNHistorical[[#This Row],[WASH - old]]=0, tblPiNHistorical[[#This Row],[WASH - new]]="", tblPiNHistorical[[#This Row],[WASH - new]]=0), "", tblPiNHistorical[[#This Row],[WASH - new]]-tblPiNHistorical[[#This Row],[WASH - old]])</f>
        <v>-71226.887865784985</v>
      </c>
      <c r="AI33" s="314">
        <f>IFERROR(ROUND((tblPiNHistorical[[#This Row],[CCCM - new]] - tblPiNHistorical[[#This Row],[CCCM - old]])/tblPiNHistorical[[#This Row],[CCCM - old]], 1), "")</f>
        <v>0.1</v>
      </c>
      <c r="AJ33" s="315">
        <f>IFERROR(ROUND((tblPiNHistorical[[#This Row],[Education - new]]-tblPiNHistorical[[#This Row],[Education - old]])/tblPiNHistorical[[#This Row],[Education - old]], 1), "")</f>
        <v>-0.7</v>
      </c>
      <c r="AK33" s="315">
        <f>IFERROR(ROUND((tblPiNHistorical[[#This Row],[Nutrition - new]]-tblPiNHistorical[[#This Row],[Nutrition - old]])/tblPiNHistorical[[#This Row],[Nutrition - old]], 1), "")</f>
        <v>0.2</v>
      </c>
      <c r="AL33" s="315">
        <f>IFERROR(ROUND((tblPiNHistorical[[#This Row],[Food Security - new]]-tblPiNHistorical[[#This Row],[Food Security - old]])/tblPiNHistorical[[#This Row],[Food Security - old]], 1), "")</f>
        <v>0.4</v>
      </c>
      <c r="AM33" s="315">
        <f>IFERROR(ROUND((tblPiNHistorical[[#This Row],[Health - new]]-tblPiNHistorical[[#This Row],[Health - old]])/tblPiNHistorical[[#This Row],[Health - old]], 1), "")</f>
        <v>-0.8</v>
      </c>
      <c r="AN33" s="315">
        <f>IFERROR(ROUND((tblPiNHistorical[[#This Row],[Overarching Protection - new]]-tblPiNHistorical[[#This Row],[Overarching Protection - old]])/tblPiNHistorical[[#This Row],[Overarching Protection - old]], 1), "")</f>
        <v>-0.7</v>
      </c>
      <c r="AO33" s="315">
        <f>IFERROR(ROUND((tblPiNHistorical[[#This Row],[Shelter - new]]-tblPiNHistorical[[#This Row],[Shelter - old]])/tblPiNHistorical[[#This Row],[Shelter - old]], 1), "")</f>
        <v>-0.1</v>
      </c>
      <c r="AP33" s="37">
        <f>IFERROR(ROUND((tblPiNHistorical[[#This Row],[WASH - new]]-tblPiNHistorical[[#This Row],[WASH - old]])/tblPiNHistorical[[#This Row],[WASH - old]], 1), "")</f>
        <v>-0.9</v>
      </c>
    </row>
    <row r="34" spans="1:42">
      <c r="A3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Global_PopulationHT0311</v>
      </c>
      <c r="B34" s="304" t="s">
        <v>219</v>
      </c>
      <c r="C34" s="213" t="s">
        <v>220</v>
      </c>
      <c r="D34" s="213" t="s">
        <v>221</v>
      </c>
      <c r="E34" s="103" t="s">
        <v>222</v>
      </c>
      <c r="F34" s="99"/>
      <c r="G34" s="34"/>
      <c r="H34" s="331"/>
      <c r="I34" s="96">
        <v>303590</v>
      </c>
      <c r="J34" s="241" t="s">
        <v>156</v>
      </c>
      <c r="K34" s="305">
        <v>23760</v>
      </c>
      <c r="L34" s="306">
        <v>26859</v>
      </c>
      <c r="M34" s="308">
        <v>27934</v>
      </c>
      <c r="N34" s="308">
        <v>95544</v>
      </c>
      <c r="O34" s="308">
        <v>109547</v>
      </c>
      <c r="P34" s="308">
        <v>36539</v>
      </c>
      <c r="Q34" s="309">
        <v>123785</v>
      </c>
      <c r="R34" s="308">
        <v>88777.703294050531</v>
      </c>
      <c r="S34" s="308">
        <f>IFERROR(INDEX(tblPiNAnalysis[CCCM], MATCH(tblPiNHistorical[[#This Row],[ID]], tblPiNAnalysis[ID], 0)), "")</f>
        <v>80274</v>
      </c>
      <c r="T34" s="310">
        <f>IFERROR(INDEX(tblPiNAnalysis[Education], MATCH(tblPiNHistorical[[#This Row],[ID]], tblPiNAnalysis[ID], 0)), "")</f>
        <v>18555</v>
      </c>
      <c r="U34" s="308">
        <f>IFERROR(INDEX(tblPiNAnalysis[Nutrition], MATCH(tblPiNHistorical[[#This Row],[ID]], tblPiNAnalysis[ID], 0)), "")</f>
        <v>31869</v>
      </c>
      <c r="V34" s="308">
        <f>IFERROR(INDEX(tblPiNAnalysis[Food Security], MATCH(tblPiNHistorical[[#This Row],[ID]], tblPiNAnalysis[ID], 0)), "")</f>
        <v>115680</v>
      </c>
      <c r="W34" s="308">
        <f>IFERROR(INDEX(tblPiNAnalysis[Health], MATCH(tblPiNHistorical[[#This Row],[ID]], tblPiNAnalysis[ID], 0)), "")</f>
        <v>56716.903215877071</v>
      </c>
      <c r="X34" s="308">
        <f>IFERROR(INDEX(tblPiNAnalysis[Protection], MATCH(tblPiNHistorical[[#This Row],[ID]], tblPiNAnalysis[ID], 0)), "")</f>
        <v>48863.545263157896</v>
      </c>
      <c r="Y34" s="308">
        <f>IFERROR(INDEX(tblPiNAnalysis[Shelter], MATCH(tblPiNHistorical[[#This Row],[ID]], tblPiNAnalysis[ID], 0)), "")</f>
        <v>129787</v>
      </c>
      <c r="Z34" s="308">
        <f>IFERROR(INDEX(tblPiNAnalysis[WASH], MATCH(tblPiNHistorical[[#This Row],[ID]], tblPiNAnalysis[ID], 0)), "")</f>
        <v>53516</v>
      </c>
      <c r="AA34" s="311">
        <f>IF(OR(tblPiNHistorical[[#This Row],[CCCM - old]]="", tblPiNHistorical[[#This Row],[CCCM - old]]=0, tblPiNHistorical[[#This Row],[CCCM - new]]="", tblPiNHistorical[[#This Row],[CCCM - new]]=0), "", tblPiNHistorical[[#This Row],[CCCM - new]]-tblPiNHistorical[[#This Row],[CCCM - old]])</f>
        <v>56514</v>
      </c>
      <c r="AB34" s="312">
        <f>IF(OR(tblPiNHistorical[[#This Row],[Education - old]]="", tblPiNHistorical[[#This Row],[Education - old]]=0, tblPiNHistorical[[#This Row],[Education - new]]="", tblPiNHistorical[[#This Row],[Education - new]]=0), "", tblPiNHistorical[[#This Row],[Education - new]]-tblPiNHistorical[[#This Row],[Education - old]])</f>
        <v>-8304</v>
      </c>
      <c r="AC34" s="312">
        <f>IF(OR(tblPiNHistorical[[#This Row],[Nutrition - old]]="", tblPiNHistorical[[#This Row],[Nutrition - old]]=0, tblPiNHistorical[[#This Row],[Nutrition - new]]="", tblPiNHistorical[[#This Row],[Nutrition - new]]=0), "", tblPiNHistorical[[#This Row],[Nutrition - new]]-tblPiNHistorical[[#This Row],[Nutrition - old]])</f>
        <v>3935</v>
      </c>
      <c r="AD34" s="312">
        <f>IF(OR(tblPiNHistorical[[#This Row],[Food Security - old]]="", tblPiNHistorical[[#This Row],[Food Security - old]]=0, tblPiNHistorical[[#This Row],[Food Security - new]]="", tblPiNHistorical[[#This Row],[Food Security - new]]=0), "", tblPiNHistorical[[#This Row],[Food Security - new]]-tblPiNHistorical[[#This Row],[Food Security - old]])</f>
        <v>20136</v>
      </c>
      <c r="AE34" s="312">
        <f>IF(OR(tblPiNHistorical[[#This Row],[Health - old]]="", tblPiNHistorical[[#This Row],[Health - old]]=0, tblPiNHistorical[[#This Row],[Health - new]]="", tblPiNHistorical[[#This Row],[Health - new]]=0), "", tblPiNHistorical[[#This Row],[Health - new]]-tblPiNHistorical[[#This Row],[Health - old]])</f>
        <v>-52830.096784122929</v>
      </c>
      <c r="AF3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12324.545263157896</v>
      </c>
      <c r="AG34" s="312">
        <f>IF(OR(tblPiNHistorical[[#This Row],[Shelter - old]]="", tblPiNHistorical[[#This Row],[Shelter - old]]=0, tblPiNHistorical[[#This Row],[Shelter - new]]="", tblPiNHistorical[[#This Row],[Shelter - new]]=0), "", tblPiNHistorical[[#This Row],[Shelter - new]]-tblPiNHistorical[[#This Row],[Shelter - old]])</f>
        <v>6002</v>
      </c>
      <c r="AH34" s="313">
        <f>IF(OR(tblPiNHistorical[[#This Row],[WASH - old]]="", tblPiNHistorical[[#This Row],[WASH - old]]=0, tblPiNHistorical[[#This Row],[WASH - new]]="", tblPiNHistorical[[#This Row],[WASH - new]]=0), "", tblPiNHistorical[[#This Row],[WASH - new]]-tblPiNHistorical[[#This Row],[WASH - old]])</f>
        <v>-35261.703294050531</v>
      </c>
      <c r="AI34" s="314">
        <f>IFERROR(ROUND((tblPiNHistorical[[#This Row],[CCCM - new]] - tblPiNHistorical[[#This Row],[CCCM - old]])/tblPiNHistorical[[#This Row],[CCCM - old]], 1), "")</f>
        <v>2.4</v>
      </c>
      <c r="AJ34" s="315">
        <f>IFERROR(ROUND((tblPiNHistorical[[#This Row],[Education - new]]-tblPiNHistorical[[#This Row],[Education - old]])/tblPiNHistorical[[#This Row],[Education - old]], 1), "")</f>
        <v>-0.3</v>
      </c>
      <c r="AK34" s="315">
        <f>IFERROR(ROUND((tblPiNHistorical[[#This Row],[Nutrition - new]]-tblPiNHistorical[[#This Row],[Nutrition - old]])/tblPiNHistorical[[#This Row],[Nutrition - old]], 1), "")</f>
        <v>0.1</v>
      </c>
      <c r="AL34" s="315">
        <f>IFERROR(ROUND((tblPiNHistorical[[#This Row],[Food Security - new]]-tblPiNHistorical[[#This Row],[Food Security - old]])/tblPiNHistorical[[#This Row],[Food Security - old]], 1), "")</f>
        <v>0.2</v>
      </c>
      <c r="AM34" s="315">
        <f>IFERROR(ROUND((tblPiNHistorical[[#This Row],[Health - new]]-tblPiNHistorical[[#This Row],[Health - old]])/tblPiNHistorical[[#This Row],[Health - old]], 1), "")</f>
        <v>-0.5</v>
      </c>
      <c r="AN34" s="315">
        <f>IFERROR(ROUND((tblPiNHistorical[[#This Row],[Overarching Protection - new]]-tblPiNHistorical[[#This Row],[Overarching Protection - old]])/tblPiNHistorical[[#This Row],[Overarching Protection - old]], 1), "")</f>
        <v>0.3</v>
      </c>
      <c r="AO34" s="315">
        <f>IFERROR(ROUND((tblPiNHistorical[[#This Row],[Shelter - new]]-tblPiNHistorical[[#This Row],[Shelter - old]])/tblPiNHistorical[[#This Row],[Shelter - old]], 1), "")</f>
        <v>0</v>
      </c>
      <c r="AP34" s="37">
        <f>IFERROR(ROUND((tblPiNHistorical[[#This Row],[WASH - new]]-tblPiNHistorical[[#This Row],[WASH - old]])/tblPiNHistorical[[#This Row],[WASH - old]], 1), "")</f>
        <v>-0.4</v>
      </c>
    </row>
    <row r="35" spans="1:42">
      <c r="A3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Global_PopulationHT0312</v>
      </c>
      <c r="B35" s="304" t="s">
        <v>219</v>
      </c>
      <c r="C35" s="213" t="s">
        <v>220</v>
      </c>
      <c r="D35" s="213" t="s">
        <v>223</v>
      </c>
      <c r="E35" s="103" t="s">
        <v>224</v>
      </c>
      <c r="F35" s="99"/>
      <c r="G35" s="34"/>
      <c r="H35" s="331"/>
      <c r="I35" s="96">
        <v>29881</v>
      </c>
      <c r="J35" s="241" t="s">
        <v>156</v>
      </c>
      <c r="K35" s="305">
        <v>1800</v>
      </c>
      <c r="L35" s="306">
        <v>2610</v>
      </c>
      <c r="M35" s="308">
        <v>2757</v>
      </c>
      <c r="N35" s="308">
        <v>13412</v>
      </c>
      <c r="O35" s="308">
        <v>9640</v>
      </c>
      <c r="P35" s="308">
        <v>7924</v>
      </c>
      <c r="Q35" s="309">
        <v>19584</v>
      </c>
      <c r="R35" s="308">
        <v>7131.5439316251031</v>
      </c>
      <c r="S35" s="308">
        <f>IFERROR(INDEX(tblPiNAnalysis[CCCM], MATCH(tblPiNHistorical[[#This Row],[ID]], tblPiNAnalysis[ID], 0)), "")</f>
        <v>7230</v>
      </c>
      <c r="T35" s="310">
        <f>IFERROR(INDEX(tblPiNAnalysis[Education], MATCH(tblPiNHistorical[[#This Row],[ID]], tblPiNAnalysis[ID], 0)), "")</f>
        <v>1835</v>
      </c>
      <c r="U35" s="308">
        <f>IFERROR(INDEX(tblPiNAnalysis[Nutrition], MATCH(tblPiNHistorical[[#This Row],[ID]], tblPiNAnalysis[ID], 0)), "")</f>
        <v>3112</v>
      </c>
      <c r="V35" s="308">
        <f>IFERROR(INDEX(tblPiNAnalysis[Food Security], MATCH(tblPiNHistorical[[#This Row],[ID]], tblPiNAnalysis[ID], 0)), "")</f>
        <v>14747</v>
      </c>
      <c r="W35" s="308">
        <f>IFERROR(INDEX(tblPiNAnalysis[Health], MATCH(tblPiNHistorical[[#This Row],[ID]], tblPiNAnalysis[ID], 0)), "")</f>
        <v>8521.0572356846478</v>
      </c>
      <c r="X35" s="308">
        <f>IFERROR(INDEX(tblPiNAnalysis[Protection], MATCH(tblPiNHistorical[[#This Row],[ID]], tblPiNAnalysis[ID], 0)), "")</f>
        <v>2512.2399999999998</v>
      </c>
      <c r="Y35" s="308">
        <f>IFERROR(INDEX(tblPiNAnalysis[Shelter], MATCH(tblPiNHistorical[[#This Row],[ID]], tblPiNAnalysis[ID], 0)), "")</f>
        <v>0</v>
      </c>
      <c r="Z35" s="308">
        <f>IFERROR(INDEX(tblPiNAnalysis[WASH], MATCH(tblPiNHistorical[[#This Row],[ID]], tblPiNAnalysis[ID], 0)), "")</f>
        <v>5079.7700000000004</v>
      </c>
      <c r="AA35" s="311">
        <f>IF(OR(tblPiNHistorical[[#This Row],[CCCM - old]]="", tblPiNHistorical[[#This Row],[CCCM - old]]=0, tblPiNHistorical[[#This Row],[CCCM - new]]="", tblPiNHistorical[[#This Row],[CCCM - new]]=0), "", tblPiNHistorical[[#This Row],[CCCM - new]]-tblPiNHistorical[[#This Row],[CCCM - old]])</f>
        <v>5430</v>
      </c>
      <c r="AB35" s="312">
        <f>IF(OR(tblPiNHistorical[[#This Row],[Education - old]]="", tblPiNHistorical[[#This Row],[Education - old]]=0, tblPiNHistorical[[#This Row],[Education - new]]="", tblPiNHistorical[[#This Row],[Education - new]]=0), "", tblPiNHistorical[[#This Row],[Education - new]]-tblPiNHistorical[[#This Row],[Education - old]])</f>
        <v>-775</v>
      </c>
      <c r="AC35" s="312">
        <f>IF(OR(tblPiNHistorical[[#This Row],[Nutrition - old]]="", tblPiNHistorical[[#This Row],[Nutrition - old]]=0, tblPiNHistorical[[#This Row],[Nutrition - new]]="", tblPiNHistorical[[#This Row],[Nutrition - new]]=0), "", tblPiNHistorical[[#This Row],[Nutrition - new]]-tblPiNHistorical[[#This Row],[Nutrition - old]])</f>
        <v>355</v>
      </c>
      <c r="AD35" s="312">
        <f>IF(OR(tblPiNHistorical[[#This Row],[Food Security - old]]="", tblPiNHistorical[[#This Row],[Food Security - old]]=0, tblPiNHistorical[[#This Row],[Food Security - new]]="", tblPiNHistorical[[#This Row],[Food Security - new]]=0), "", tblPiNHistorical[[#This Row],[Food Security - new]]-tblPiNHistorical[[#This Row],[Food Security - old]])</f>
        <v>1335</v>
      </c>
      <c r="AE35" s="312">
        <f>IF(OR(tblPiNHistorical[[#This Row],[Health - old]]="", tblPiNHistorical[[#This Row],[Health - old]]=0, tblPiNHistorical[[#This Row],[Health - new]]="", tblPiNHistorical[[#This Row],[Health - new]]=0), "", tblPiNHistorical[[#This Row],[Health - new]]-tblPiNHistorical[[#This Row],[Health - old]])</f>
        <v>-1118.9427643153522</v>
      </c>
      <c r="AF3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-5411.76</v>
      </c>
      <c r="AG35" s="312" t="str">
        <f>IF(OR(tblPiNHistorical[[#This Row],[Shelter - old]]="", tblPiNHistorical[[#This Row],[Shelter - old]]=0, tblPiNHistorical[[#This Row],[Shelter - new]]="", tblPiNHistorical[[#This Row],[Shelter - new]]=0), "", tblPiNHistorical[[#This Row],[Shelter - new]]-tblPiNHistorical[[#This Row],[Shelter - old]])</f>
        <v/>
      </c>
      <c r="AH35" s="313">
        <f>IF(OR(tblPiNHistorical[[#This Row],[WASH - old]]="", tblPiNHistorical[[#This Row],[WASH - old]]=0, tblPiNHistorical[[#This Row],[WASH - new]]="", tblPiNHistorical[[#This Row],[WASH - new]]=0), "", tblPiNHistorical[[#This Row],[WASH - new]]-tblPiNHistorical[[#This Row],[WASH - old]])</f>
        <v>-2051.7739316251027</v>
      </c>
      <c r="AI35" s="314">
        <f>IFERROR(ROUND((tblPiNHistorical[[#This Row],[CCCM - new]] - tblPiNHistorical[[#This Row],[CCCM - old]])/tblPiNHistorical[[#This Row],[CCCM - old]], 1), "")</f>
        <v>3</v>
      </c>
      <c r="AJ35" s="315">
        <f>IFERROR(ROUND((tblPiNHistorical[[#This Row],[Education - new]]-tblPiNHistorical[[#This Row],[Education - old]])/tblPiNHistorical[[#This Row],[Education - old]], 1), "")</f>
        <v>-0.3</v>
      </c>
      <c r="AK35" s="315">
        <f>IFERROR(ROUND((tblPiNHistorical[[#This Row],[Nutrition - new]]-tblPiNHistorical[[#This Row],[Nutrition - old]])/tblPiNHistorical[[#This Row],[Nutrition - old]], 1), "")</f>
        <v>0.1</v>
      </c>
      <c r="AL35" s="315">
        <f>IFERROR(ROUND((tblPiNHistorical[[#This Row],[Food Security - new]]-tblPiNHistorical[[#This Row],[Food Security - old]])/tblPiNHistorical[[#This Row],[Food Security - old]], 1), "")</f>
        <v>0.1</v>
      </c>
      <c r="AM35" s="315">
        <f>IFERROR(ROUND((tblPiNHistorical[[#This Row],[Health - new]]-tblPiNHistorical[[#This Row],[Health - old]])/tblPiNHistorical[[#This Row],[Health - old]], 1), "")</f>
        <v>-0.1</v>
      </c>
      <c r="AN35" s="315">
        <f>IFERROR(ROUND((tblPiNHistorical[[#This Row],[Overarching Protection - new]]-tblPiNHistorical[[#This Row],[Overarching Protection - old]])/tblPiNHistorical[[#This Row],[Overarching Protection - old]], 1), "")</f>
        <v>-0.7</v>
      </c>
      <c r="AO35" s="315">
        <f>IFERROR(ROUND((tblPiNHistorical[[#This Row],[Shelter - new]]-tblPiNHistorical[[#This Row],[Shelter - old]])/tblPiNHistorical[[#This Row],[Shelter - old]], 1), "")</f>
        <v>-1</v>
      </c>
      <c r="AP35" s="37">
        <f>IFERROR(ROUND((tblPiNHistorical[[#This Row],[WASH - new]]-tblPiNHistorical[[#This Row],[WASH - old]])/tblPiNHistorical[[#This Row],[WASH - old]], 1), "")</f>
        <v>-0.3</v>
      </c>
    </row>
    <row r="36" spans="1:42">
      <c r="A3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Global_PopulationHT0313</v>
      </c>
      <c r="B36" s="304" t="s">
        <v>219</v>
      </c>
      <c r="C36" s="213" t="s">
        <v>220</v>
      </c>
      <c r="D36" s="213" t="s">
        <v>225</v>
      </c>
      <c r="E36" s="103" t="s">
        <v>226</v>
      </c>
      <c r="F36" s="99"/>
      <c r="G36" s="34"/>
      <c r="H36" s="331"/>
      <c r="I36" s="96">
        <v>61261</v>
      </c>
      <c r="J36" s="241" t="s">
        <v>156</v>
      </c>
      <c r="K36" s="305">
        <v>5150</v>
      </c>
      <c r="L36" s="306">
        <v>5852</v>
      </c>
      <c r="M36" s="308">
        <v>5392</v>
      </c>
      <c r="N36" s="308">
        <v>27034</v>
      </c>
      <c r="O36" s="308">
        <v>22408</v>
      </c>
      <c r="P36" s="308">
        <v>8828</v>
      </c>
      <c r="Q36" s="309">
        <v>33572</v>
      </c>
      <c r="R36" s="308">
        <v>17048.677463031043</v>
      </c>
      <c r="S36" s="308">
        <f>IFERROR(INDEX(tblPiNAnalysis[CCCM], MATCH(tblPiNHistorical[[#This Row],[ID]], tblPiNAnalysis[ID], 0)), "")</f>
        <v>9532.5</v>
      </c>
      <c r="T36" s="310">
        <f>IFERROR(INDEX(tblPiNAnalysis[Education], MATCH(tblPiNHistorical[[#This Row],[ID]], tblPiNAnalysis[ID], 0)), "")</f>
        <v>4018</v>
      </c>
      <c r="U36" s="308">
        <f>IFERROR(INDEX(tblPiNAnalysis[Nutrition], MATCH(tblPiNHistorical[[#This Row],[ID]], tblPiNAnalysis[ID], 0)), "")</f>
        <v>5852</v>
      </c>
      <c r="V36" s="308">
        <f>IFERROR(INDEX(tblPiNAnalysis[Food Security], MATCH(tblPiNHistorical[[#This Row],[ID]], tblPiNAnalysis[ID], 0)), "")</f>
        <v>29723</v>
      </c>
      <c r="W36" s="308">
        <f>IFERROR(INDEX(tblPiNAnalysis[Health], MATCH(tblPiNHistorical[[#This Row],[ID]], tblPiNAnalysis[ID], 0)), "")</f>
        <v>11620.172566325728</v>
      </c>
      <c r="X36" s="308">
        <f>IFERROR(INDEX(tblPiNAnalysis[Protection], MATCH(tblPiNHistorical[[#This Row],[ID]], tblPiNAnalysis[ID], 0)), "")</f>
        <v>8898.6066666666666</v>
      </c>
      <c r="Y36" s="308">
        <f>IFERROR(INDEX(tblPiNAnalysis[Shelter], MATCH(tblPiNHistorical[[#This Row],[ID]], tblPiNAnalysis[ID], 0)), "")</f>
        <v>0</v>
      </c>
      <c r="Z36" s="308">
        <f>IFERROR(INDEX(tblPiNAnalysis[WASH], MATCH(tblPiNHistorical[[#This Row],[ID]], tblPiNAnalysis[ID], 0)), "")</f>
        <v>10210.166666666666</v>
      </c>
      <c r="AA36" s="311">
        <f>IF(OR(tblPiNHistorical[[#This Row],[CCCM - old]]="", tblPiNHistorical[[#This Row],[CCCM - old]]=0, tblPiNHistorical[[#This Row],[CCCM - new]]="", tblPiNHistorical[[#This Row],[CCCM - new]]=0), "", tblPiNHistorical[[#This Row],[CCCM - new]]-tblPiNHistorical[[#This Row],[CCCM - old]])</f>
        <v>4382.5</v>
      </c>
      <c r="AB36" s="312">
        <f>IF(OR(tblPiNHistorical[[#This Row],[Education - old]]="", tblPiNHistorical[[#This Row],[Education - old]]=0, tblPiNHistorical[[#This Row],[Education - new]]="", tblPiNHistorical[[#This Row],[Education - new]]=0), "", tblPiNHistorical[[#This Row],[Education - new]]-tblPiNHistorical[[#This Row],[Education - old]])</f>
        <v>-1834</v>
      </c>
      <c r="AC36" s="312">
        <f>IF(OR(tblPiNHistorical[[#This Row],[Nutrition - old]]="", tblPiNHistorical[[#This Row],[Nutrition - old]]=0, tblPiNHistorical[[#This Row],[Nutrition - new]]="", tblPiNHistorical[[#This Row],[Nutrition - new]]=0), "", tblPiNHistorical[[#This Row],[Nutrition - new]]-tblPiNHistorical[[#This Row],[Nutrition - old]])</f>
        <v>460</v>
      </c>
      <c r="AD36" s="312">
        <f>IF(OR(tblPiNHistorical[[#This Row],[Food Security - old]]="", tblPiNHistorical[[#This Row],[Food Security - old]]=0, tblPiNHistorical[[#This Row],[Food Security - new]]="", tblPiNHistorical[[#This Row],[Food Security - new]]=0), "", tblPiNHistorical[[#This Row],[Food Security - new]]-tblPiNHistorical[[#This Row],[Food Security - old]])</f>
        <v>2689</v>
      </c>
      <c r="AE36" s="312">
        <f>IF(OR(tblPiNHistorical[[#This Row],[Health - old]]="", tblPiNHistorical[[#This Row],[Health - old]]=0, tblPiNHistorical[[#This Row],[Health - new]]="", tblPiNHistorical[[#This Row],[Health - new]]=0), "", tblPiNHistorical[[#This Row],[Health - new]]-tblPiNHistorical[[#This Row],[Health - old]])</f>
        <v>-10787.827433674272</v>
      </c>
      <c r="AF3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70.60666666666657</v>
      </c>
      <c r="AG36" s="312" t="str">
        <f>IF(OR(tblPiNHistorical[[#This Row],[Shelter - old]]="", tblPiNHistorical[[#This Row],[Shelter - old]]=0, tblPiNHistorical[[#This Row],[Shelter - new]]="", tblPiNHistorical[[#This Row],[Shelter - new]]=0), "", tblPiNHistorical[[#This Row],[Shelter - new]]-tblPiNHistorical[[#This Row],[Shelter - old]])</f>
        <v/>
      </c>
      <c r="AH36" s="313">
        <f>IF(OR(tblPiNHistorical[[#This Row],[WASH - old]]="", tblPiNHistorical[[#This Row],[WASH - old]]=0, tblPiNHistorical[[#This Row],[WASH - new]]="", tblPiNHistorical[[#This Row],[WASH - new]]=0), "", tblPiNHistorical[[#This Row],[WASH - new]]-tblPiNHistorical[[#This Row],[WASH - old]])</f>
        <v>-6838.5107963643768</v>
      </c>
      <c r="AI36" s="314">
        <f>IFERROR(ROUND((tblPiNHistorical[[#This Row],[CCCM - new]] - tblPiNHistorical[[#This Row],[CCCM - old]])/tblPiNHistorical[[#This Row],[CCCM - old]], 1), "")</f>
        <v>0.9</v>
      </c>
      <c r="AJ36" s="315">
        <f>IFERROR(ROUND((tblPiNHistorical[[#This Row],[Education - new]]-tblPiNHistorical[[#This Row],[Education - old]])/tblPiNHistorical[[#This Row],[Education - old]], 1), "")</f>
        <v>-0.3</v>
      </c>
      <c r="AK36" s="315">
        <f>IFERROR(ROUND((tblPiNHistorical[[#This Row],[Nutrition - new]]-tblPiNHistorical[[#This Row],[Nutrition - old]])/tblPiNHistorical[[#This Row],[Nutrition - old]], 1), "")</f>
        <v>0.1</v>
      </c>
      <c r="AL36" s="315">
        <f>IFERROR(ROUND((tblPiNHistorical[[#This Row],[Food Security - new]]-tblPiNHistorical[[#This Row],[Food Security - old]])/tblPiNHistorical[[#This Row],[Food Security - old]], 1), "")</f>
        <v>0.1</v>
      </c>
      <c r="AM36" s="315">
        <f>IFERROR(ROUND((tblPiNHistorical[[#This Row],[Health - new]]-tblPiNHistorical[[#This Row],[Health - old]])/tblPiNHistorical[[#This Row],[Health - old]], 1), "")</f>
        <v>-0.5</v>
      </c>
      <c r="AN36" s="315">
        <f>IFERROR(ROUND((tblPiNHistorical[[#This Row],[Overarching Protection - new]]-tblPiNHistorical[[#This Row],[Overarching Protection - old]])/tblPiNHistorical[[#This Row],[Overarching Protection - old]], 1), "")</f>
        <v>0</v>
      </c>
      <c r="AO36" s="315">
        <f>IFERROR(ROUND((tblPiNHistorical[[#This Row],[Shelter - new]]-tblPiNHistorical[[#This Row],[Shelter - old]])/tblPiNHistorical[[#This Row],[Shelter - old]], 1), "")</f>
        <v>-1</v>
      </c>
      <c r="AP36" s="37">
        <f>IFERROR(ROUND((tblPiNHistorical[[#This Row],[WASH - new]]-tblPiNHistorical[[#This Row],[WASH - old]])/tblPiNHistorical[[#This Row],[WASH - old]], 1), "")</f>
        <v>-0.4</v>
      </c>
    </row>
    <row r="37" spans="1:42">
      <c r="A3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Global_PopulationHT0321</v>
      </c>
      <c r="B37" s="304" t="s">
        <v>219</v>
      </c>
      <c r="C37" s="213" t="s">
        <v>220</v>
      </c>
      <c r="D37" s="213" t="s">
        <v>227</v>
      </c>
      <c r="E37" s="103" t="s">
        <v>228</v>
      </c>
      <c r="F37" s="99"/>
      <c r="G37" s="34"/>
      <c r="H37" s="331"/>
      <c r="I37" s="96">
        <v>59632</v>
      </c>
      <c r="J37" s="241" t="s">
        <v>156</v>
      </c>
      <c r="K37" s="305">
        <v>1538</v>
      </c>
      <c r="L37" s="306">
        <v>5287</v>
      </c>
      <c r="M37" s="308">
        <v>5524</v>
      </c>
      <c r="N37" s="308">
        <v>27408</v>
      </c>
      <c r="O37" s="308">
        <v>16270</v>
      </c>
      <c r="P37" s="308">
        <v>8598</v>
      </c>
      <c r="Q37" s="309">
        <v>31745</v>
      </c>
      <c r="R37" s="308">
        <v>10407.854172459134</v>
      </c>
      <c r="S37" s="308">
        <f>IFERROR(INDEX(tblPiNAnalysis[CCCM], MATCH(tblPiNHistorical[[#This Row],[ID]], tblPiNAnalysis[ID], 0)), "")</f>
        <v>6930</v>
      </c>
      <c r="T37" s="310">
        <f>IFERROR(INDEX(tblPiNAnalysis[Education], MATCH(tblPiNHistorical[[#This Row],[ID]], tblPiNAnalysis[ID], 0)), "")</f>
        <v>3660</v>
      </c>
      <c r="U37" s="308">
        <f>IFERROR(INDEX(tblPiNAnalysis[Nutrition], MATCH(tblPiNHistorical[[#This Row],[ID]], tblPiNAnalysis[ID], 0)), "")</f>
        <v>5866</v>
      </c>
      <c r="V37" s="308">
        <f>IFERROR(INDEX(tblPiNAnalysis[Food Security], MATCH(tblPiNHistorical[[#This Row],[ID]], tblPiNAnalysis[ID], 0)), "")</f>
        <v>30135</v>
      </c>
      <c r="W37" s="308">
        <f>IFERROR(INDEX(tblPiNAnalysis[Health], MATCH(tblPiNHistorical[[#This Row],[ID]], tblPiNAnalysis[ID], 0)), "")</f>
        <v>6096.9742025974028</v>
      </c>
      <c r="X37" s="308">
        <f>IFERROR(INDEX(tblPiNAnalysis[Protection], MATCH(tblPiNHistorical[[#This Row],[ID]], tblPiNAnalysis[ID], 0)), "")</f>
        <v>3791.9199999999996</v>
      </c>
      <c r="Y37" s="308">
        <f>IFERROR(INDEX(tblPiNAnalysis[Shelter], MATCH(tblPiNHistorical[[#This Row],[ID]], tblPiNAnalysis[ID], 0)), "")</f>
        <v>16456</v>
      </c>
      <c r="Z37" s="308">
        <f>IFERROR(INDEX(tblPiNAnalysis[WASH], MATCH(tblPiNHistorical[[#This Row],[ID]], tblPiNAnalysis[ID], 0)), "")</f>
        <v>6293</v>
      </c>
      <c r="AA37" s="311">
        <f>IF(OR(tblPiNHistorical[[#This Row],[CCCM - old]]="", tblPiNHistorical[[#This Row],[CCCM - old]]=0, tblPiNHistorical[[#This Row],[CCCM - new]]="", tblPiNHistorical[[#This Row],[CCCM - new]]=0), "", tblPiNHistorical[[#This Row],[CCCM - new]]-tblPiNHistorical[[#This Row],[CCCM - old]])</f>
        <v>5392</v>
      </c>
      <c r="AB37" s="312">
        <f>IF(OR(tblPiNHistorical[[#This Row],[Education - old]]="", tblPiNHistorical[[#This Row],[Education - old]]=0, tblPiNHistorical[[#This Row],[Education - new]]="", tblPiNHistorical[[#This Row],[Education - new]]=0), "", tblPiNHistorical[[#This Row],[Education - new]]-tblPiNHistorical[[#This Row],[Education - old]])</f>
        <v>-1627</v>
      </c>
      <c r="AC37" s="312">
        <f>IF(OR(tblPiNHistorical[[#This Row],[Nutrition - old]]="", tblPiNHistorical[[#This Row],[Nutrition - old]]=0, tblPiNHistorical[[#This Row],[Nutrition - new]]="", tblPiNHistorical[[#This Row],[Nutrition - new]]=0), "", tblPiNHistorical[[#This Row],[Nutrition - new]]-tblPiNHistorical[[#This Row],[Nutrition - old]])</f>
        <v>342</v>
      </c>
      <c r="AD37" s="312">
        <f>IF(OR(tblPiNHistorical[[#This Row],[Food Security - old]]="", tblPiNHistorical[[#This Row],[Food Security - old]]=0, tblPiNHistorical[[#This Row],[Food Security - new]]="", tblPiNHistorical[[#This Row],[Food Security - new]]=0), "", tblPiNHistorical[[#This Row],[Food Security - new]]-tblPiNHistorical[[#This Row],[Food Security - old]])</f>
        <v>2727</v>
      </c>
      <c r="AE37" s="312">
        <f>IF(OR(tblPiNHistorical[[#This Row],[Health - old]]="", tblPiNHistorical[[#This Row],[Health - old]]=0, tblPiNHistorical[[#This Row],[Health - new]]="", tblPiNHistorical[[#This Row],[Health - new]]=0), "", tblPiNHistorical[[#This Row],[Health - new]]-tblPiNHistorical[[#This Row],[Health - old]])</f>
        <v>-10173.025797402597</v>
      </c>
      <c r="AF3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-4806.08</v>
      </c>
      <c r="AG37" s="312">
        <f>IF(OR(tblPiNHistorical[[#This Row],[Shelter - old]]="", tblPiNHistorical[[#This Row],[Shelter - old]]=0, tblPiNHistorical[[#This Row],[Shelter - new]]="", tblPiNHistorical[[#This Row],[Shelter - new]]=0), "", tblPiNHistorical[[#This Row],[Shelter - new]]-tblPiNHistorical[[#This Row],[Shelter - old]])</f>
        <v>-15289</v>
      </c>
      <c r="AH37" s="313">
        <f>IF(OR(tblPiNHistorical[[#This Row],[WASH - old]]="", tblPiNHistorical[[#This Row],[WASH - old]]=0, tblPiNHistorical[[#This Row],[WASH - new]]="", tblPiNHistorical[[#This Row],[WASH - new]]=0), "", tblPiNHistorical[[#This Row],[WASH - new]]-tblPiNHistorical[[#This Row],[WASH - old]])</f>
        <v>-4114.8541724591341</v>
      </c>
      <c r="AI37" s="314">
        <f>IFERROR(ROUND((tblPiNHistorical[[#This Row],[CCCM - new]] - tblPiNHistorical[[#This Row],[CCCM - old]])/tblPiNHistorical[[#This Row],[CCCM - old]], 1), "")</f>
        <v>3.5</v>
      </c>
      <c r="AJ37" s="315">
        <f>IFERROR(ROUND((tblPiNHistorical[[#This Row],[Education - new]]-tblPiNHistorical[[#This Row],[Education - old]])/tblPiNHistorical[[#This Row],[Education - old]], 1), "")</f>
        <v>-0.3</v>
      </c>
      <c r="AK37" s="315">
        <f>IFERROR(ROUND((tblPiNHistorical[[#This Row],[Nutrition - new]]-tblPiNHistorical[[#This Row],[Nutrition - old]])/tblPiNHistorical[[#This Row],[Nutrition - old]], 1), "")</f>
        <v>0.1</v>
      </c>
      <c r="AL37" s="315">
        <f>IFERROR(ROUND((tblPiNHistorical[[#This Row],[Food Security - new]]-tblPiNHistorical[[#This Row],[Food Security - old]])/tblPiNHistorical[[#This Row],[Food Security - old]], 1), "")</f>
        <v>0.1</v>
      </c>
      <c r="AM37" s="315">
        <f>IFERROR(ROUND((tblPiNHistorical[[#This Row],[Health - new]]-tblPiNHistorical[[#This Row],[Health - old]])/tblPiNHistorical[[#This Row],[Health - old]], 1), "")</f>
        <v>-0.6</v>
      </c>
      <c r="AN37" s="315">
        <f>IFERROR(ROUND((tblPiNHistorical[[#This Row],[Overarching Protection - new]]-tblPiNHistorical[[#This Row],[Overarching Protection - old]])/tblPiNHistorical[[#This Row],[Overarching Protection - old]], 1), "")</f>
        <v>-0.6</v>
      </c>
      <c r="AO37" s="315">
        <f>IFERROR(ROUND((tblPiNHistorical[[#This Row],[Shelter - new]]-tblPiNHistorical[[#This Row],[Shelter - old]])/tblPiNHistorical[[#This Row],[Shelter - old]], 1), "")</f>
        <v>-0.5</v>
      </c>
      <c r="AP37" s="37">
        <f>IFERROR(ROUND((tblPiNHistorical[[#This Row],[WASH - new]]-tblPiNHistorical[[#This Row],[WASH - old]])/tblPiNHistorical[[#This Row],[WASH - old]], 1), "")</f>
        <v>-0.4</v>
      </c>
    </row>
    <row r="38" spans="1:42">
      <c r="A3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Global_PopulationHT0322</v>
      </c>
      <c r="B38" s="304" t="s">
        <v>219</v>
      </c>
      <c r="C38" s="213" t="s">
        <v>220</v>
      </c>
      <c r="D38" s="213" t="s">
        <v>229</v>
      </c>
      <c r="E38" s="103" t="s">
        <v>230</v>
      </c>
      <c r="F38" s="99"/>
      <c r="G38" s="34"/>
      <c r="H38" s="331"/>
      <c r="I38" s="96">
        <v>43982</v>
      </c>
      <c r="J38" s="241" t="s">
        <v>156</v>
      </c>
      <c r="K38" s="305">
        <v>1106</v>
      </c>
      <c r="L38" s="306">
        <v>4226</v>
      </c>
      <c r="M38" s="308">
        <v>4076</v>
      </c>
      <c r="N38" s="308">
        <v>20225</v>
      </c>
      <c r="O38" s="308">
        <v>11994</v>
      </c>
      <c r="P38" s="308">
        <v>11572</v>
      </c>
      <c r="Q38" s="309">
        <v>20455</v>
      </c>
      <c r="R38" s="308">
        <v>10860.744752691688</v>
      </c>
      <c r="S38" s="308">
        <f>IFERROR(INDEX(tblPiNAnalysis[CCCM], MATCH(tblPiNHistorical[[#This Row],[ID]], tblPiNAnalysis[ID], 0)), "")</f>
        <v>4372.5</v>
      </c>
      <c r="T38" s="310">
        <f>IFERROR(INDEX(tblPiNAnalysis[Education], MATCH(tblPiNHistorical[[#This Row],[ID]], tblPiNAnalysis[ID], 0)), "")</f>
        <v>2847</v>
      </c>
      <c r="U38" s="308">
        <f>IFERROR(INDEX(tblPiNAnalysis[Nutrition], MATCH(tblPiNHistorical[[#This Row],[ID]], tblPiNAnalysis[ID], 0)), "")</f>
        <v>4291</v>
      </c>
      <c r="V38" s="308">
        <f>IFERROR(INDEX(tblPiNAnalysis[Food Security], MATCH(tblPiNHistorical[[#This Row],[ID]], tblPiNAnalysis[ID], 0)), "")</f>
        <v>22237</v>
      </c>
      <c r="W38" s="308">
        <f>IFERROR(INDEX(tblPiNAnalysis[Health], MATCH(tblPiNHistorical[[#This Row],[ID]], tblPiNAnalysis[ID], 0)), "")</f>
        <v>4680.5900317895939</v>
      </c>
      <c r="X38" s="308">
        <f>IFERROR(INDEX(tblPiNAnalysis[Protection], MATCH(tblPiNHistorical[[#This Row],[ID]], tblPiNAnalysis[ID], 0)), "")</f>
        <v>1950.22</v>
      </c>
      <c r="Y38" s="308">
        <f>IFERROR(INDEX(tblPiNAnalysis[Shelter], MATCH(tblPiNHistorical[[#This Row],[ID]], tblPiNAnalysis[ID], 0)), "")</f>
        <v>0</v>
      </c>
      <c r="Z38" s="308">
        <f>IFERROR(INDEX(tblPiNAnalysis[WASH], MATCH(tblPiNHistorical[[#This Row],[ID]], tblPiNAnalysis[ID], 0)), "")</f>
        <v>2915</v>
      </c>
      <c r="AA38" s="311">
        <f>IF(OR(tblPiNHistorical[[#This Row],[CCCM - old]]="", tblPiNHistorical[[#This Row],[CCCM - old]]=0, tblPiNHistorical[[#This Row],[CCCM - new]]="", tblPiNHistorical[[#This Row],[CCCM - new]]=0), "", tblPiNHistorical[[#This Row],[CCCM - new]]-tblPiNHistorical[[#This Row],[CCCM - old]])</f>
        <v>3266.5</v>
      </c>
      <c r="AB38" s="312">
        <f>IF(OR(tblPiNHistorical[[#This Row],[Education - old]]="", tblPiNHistorical[[#This Row],[Education - old]]=0, tblPiNHistorical[[#This Row],[Education - new]]="", tblPiNHistorical[[#This Row],[Education - new]]=0), "", tblPiNHistorical[[#This Row],[Education - new]]-tblPiNHistorical[[#This Row],[Education - old]])</f>
        <v>-1379</v>
      </c>
      <c r="AC38" s="312">
        <f>IF(OR(tblPiNHistorical[[#This Row],[Nutrition - old]]="", tblPiNHistorical[[#This Row],[Nutrition - old]]=0, tblPiNHistorical[[#This Row],[Nutrition - new]]="", tblPiNHistorical[[#This Row],[Nutrition - new]]=0), "", tblPiNHistorical[[#This Row],[Nutrition - new]]-tblPiNHistorical[[#This Row],[Nutrition - old]])</f>
        <v>215</v>
      </c>
      <c r="AD38" s="312">
        <f>IF(OR(tblPiNHistorical[[#This Row],[Food Security - old]]="", tblPiNHistorical[[#This Row],[Food Security - old]]=0, tblPiNHistorical[[#This Row],[Food Security - new]]="", tblPiNHistorical[[#This Row],[Food Security - new]]=0), "", tblPiNHistorical[[#This Row],[Food Security - new]]-tblPiNHistorical[[#This Row],[Food Security - old]])</f>
        <v>2012</v>
      </c>
      <c r="AE38" s="312">
        <f>IF(OR(tblPiNHistorical[[#This Row],[Health - old]]="", tblPiNHistorical[[#This Row],[Health - old]]=0, tblPiNHistorical[[#This Row],[Health - new]]="", tblPiNHistorical[[#This Row],[Health - new]]=0), "", tblPiNHistorical[[#This Row],[Health - new]]-tblPiNHistorical[[#This Row],[Health - old]])</f>
        <v>-7313.4099682104061</v>
      </c>
      <c r="AF3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-9621.7800000000007</v>
      </c>
      <c r="AG38" s="312" t="str">
        <f>IF(OR(tblPiNHistorical[[#This Row],[Shelter - old]]="", tblPiNHistorical[[#This Row],[Shelter - old]]=0, tblPiNHistorical[[#This Row],[Shelter - new]]="", tblPiNHistorical[[#This Row],[Shelter - new]]=0), "", tblPiNHistorical[[#This Row],[Shelter - new]]-tblPiNHistorical[[#This Row],[Shelter - old]])</f>
        <v/>
      </c>
      <c r="AH38" s="313">
        <f>IF(OR(tblPiNHistorical[[#This Row],[WASH - old]]="", tblPiNHistorical[[#This Row],[WASH - old]]=0, tblPiNHistorical[[#This Row],[WASH - new]]="", tblPiNHistorical[[#This Row],[WASH - new]]=0), "", tblPiNHistorical[[#This Row],[WASH - new]]-tblPiNHistorical[[#This Row],[WASH - old]])</f>
        <v>-7945.7447526916876</v>
      </c>
      <c r="AI38" s="314">
        <f>IFERROR(ROUND((tblPiNHistorical[[#This Row],[CCCM - new]] - tblPiNHistorical[[#This Row],[CCCM - old]])/tblPiNHistorical[[#This Row],[CCCM - old]], 1), "")</f>
        <v>3</v>
      </c>
      <c r="AJ38" s="315">
        <f>IFERROR(ROUND((tblPiNHistorical[[#This Row],[Education - new]]-tblPiNHistorical[[#This Row],[Education - old]])/tblPiNHistorical[[#This Row],[Education - old]], 1), "")</f>
        <v>-0.3</v>
      </c>
      <c r="AK38" s="315">
        <f>IFERROR(ROUND((tblPiNHistorical[[#This Row],[Nutrition - new]]-tblPiNHistorical[[#This Row],[Nutrition - old]])/tblPiNHistorical[[#This Row],[Nutrition - old]], 1), "")</f>
        <v>0.1</v>
      </c>
      <c r="AL38" s="315">
        <f>IFERROR(ROUND((tblPiNHistorical[[#This Row],[Food Security - new]]-tblPiNHistorical[[#This Row],[Food Security - old]])/tblPiNHistorical[[#This Row],[Food Security - old]], 1), "")</f>
        <v>0.1</v>
      </c>
      <c r="AM38" s="315">
        <f>IFERROR(ROUND((tblPiNHistorical[[#This Row],[Health - new]]-tblPiNHistorical[[#This Row],[Health - old]])/tblPiNHistorical[[#This Row],[Health - old]], 1), "")</f>
        <v>-0.6</v>
      </c>
      <c r="AN38" s="315">
        <f>IFERROR(ROUND((tblPiNHistorical[[#This Row],[Overarching Protection - new]]-tblPiNHistorical[[#This Row],[Overarching Protection - old]])/tblPiNHistorical[[#This Row],[Overarching Protection - old]], 1), "")</f>
        <v>-0.8</v>
      </c>
      <c r="AO38" s="315">
        <f>IFERROR(ROUND((tblPiNHistorical[[#This Row],[Shelter - new]]-tblPiNHistorical[[#This Row],[Shelter - old]])/tblPiNHistorical[[#This Row],[Shelter - old]], 1), "")</f>
        <v>-1</v>
      </c>
      <c r="AP38" s="37">
        <f>IFERROR(ROUND((tblPiNHistorical[[#This Row],[WASH - new]]-tblPiNHistorical[[#This Row],[WASH - old]])/tblPiNHistorical[[#This Row],[WASH - old]], 1), "")</f>
        <v>-0.7</v>
      </c>
    </row>
    <row r="39" spans="1:42">
      <c r="A3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Global_PopulationHT0323</v>
      </c>
      <c r="B39" s="304" t="s">
        <v>219</v>
      </c>
      <c r="C39" s="213" t="s">
        <v>220</v>
      </c>
      <c r="D39" s="213" t="s">
        <v>231</v>
      </c>
      <c r="E39" s="103" t="s">
        <v>232</v>
      </c>
      <c r="F39" s="99"/>
      <c r="G39" s="34"/>
      <c r="H39" s="331"/>
      <c r="I39" s="96">
        <v>34193</v>
      </c>
      <c r="J39" s="241" t="s">
        <v>156</v>
      </c>
      <c r="K39" s="305">
        <v>983</v>
      </c>
      <c r="L39" s="306">
        <v>3241</v>
      </c>
      <c r="M39" s="308">
        <v>3167</v>
      </c>
      <c r="N39" s="308">
        <v>15684</v>
      </c>
      <c r="O39" s="308">
        <v>9644</v>
      </c>
      <c r="P39" s="308">
        <v>6757</v>
      </c>
      <c r="Q39" s="309">
        <v>11250</v>
      </c>
      <c r="R39" s="308">
        <v>6709.2074965592219</v>
      </c>
      <c r="S39" s="308">
        <f>IFERROR(INDEX(tblPiNAnalysis[CCCM], MATCH(tblPiNHistorical[[#This Row],[ID]], tblPiNAnalysis[ID], 0)), "")</f>
        <v>3136.5</v>
      </c>
      <c r="T39" s="310">
        <f>IFERROR(INDEX(tblPiNAnalysis[Education], MATCH(tblPiNHistorical[[#This Row],[ID]], tblPiNAnalysis[ID], 0)), "")</f>
        <v>2174</v>
      </c>
      <c r="U39" s="308">
        <f>IFERROR(INDEX(tblPiNAnalysis[Nutrition], MATCH(tblPiNHistorical[[#This Row],[ID]], tblPiNAnalysis[ID], 0)), "")</f>
        <v>3320</v>
      </c>
      <c r="V39" s="308">
        <f>IFERROR(INDEX(tblPiNAnalysis[Food Security], MATCH(tblPiNHistorical[[#This Row],[ID]], tblPiNAnalysis[ID], 0)), "")</f>
        <v>17244</v>
      </c>
      <c r="W39" s="308">
        <f>IFERROR(INDEX(tblPiNAnalysis[Health], MATCH(tblPiNHistorical[[#This Row],[ID]], tblPiNAnalysis[ID], 0)), "")</f>
        <v>2851.8176896221903</v>
      </c>
      <c r="X39" s="308">
        <f>IFERROR(INDEX(tblPiNAnalysis[Protection], MATCH(tblPiNHistorical[[#This Row],[ID]], tblPiNAnalysis[ID], 0)), "")</f>
        <v>3207.84</v>
      </c>
      <c r="Y39" s="308">
        <f>IFERROR(INDEX(tblPiNAnalysis[Shelter], MATCH(tblPiNHistorical[[#This Row],[ID]], tblPiNAnalysis[ID], 0)), "")</f>
        <v>0</v>
      </c>
      <c r="Z39" s="308">
        <f>IFERROR(INDEX(tblPiNAnalysis[WASH], MATCH(tblPiNHistorical[[#This Row],[ID]], tblPiNAnalysis[ID], 0)), "")</f>
        <v>4274.125</v>
      </c>
      <c r="AA39" s="311">
        <f>IF(OR(tblPiNHistorical[[#This Row],[CCCM - old]]="", tblPiNHistorical[[#This Row],[CCCM - old]]=0, tblPiNHistorical[[#This Row],[CCCM - new]]="", tblPiNHistorical[[#This Row],[CCCM - new]]=0), "", tblPiNHistorical[[#This Row],[CCCM - new]]-tblPiNHistorical[[#This Row],[CCCM - old]])</f>
        <v>2153.5</v>
      </c>
      <c r="AB39" s="312">
        <f>IF(OR(tblPiNHistorical[[#This Row],[Education - old]]="", tblPiNHistorical[[#This Row],[Education - old]]=0, tblPiNHistorical[[#This Row],[Education - new]]="", tblPiNHistorical[[#This Row],[Education - new]]=0), "", tblPiNHistorical[[#This Row],[Education - new]]-tblPiNHistorical[[#This Row],[Education - old]])</f>
        <v>-1067</v>
      </c>
      <c r="AC39" s="312">
        <f>IF(OR(tblPiNHistorical[[#This Row],[Nutrition - old]]="", tblPiNHistorical[[#This Row],[Nutrition - old]]=0, tblPiNHistorical[[#This Row],[Nutrition - new]]="", tblPiNHistorical[[#This Row],[Nutrition - new]]=0), "", tblPiNHistorical[[#This Row],[Nutrition - new]]-tblPiNHistorical[[#This Row],[Nutrition - old]])</f>
        <v>153</v>
      </c>
      <c r="AD39" s="312">
        <f>IF(OR(tblPiNHistorical[[#This Row],[Food Security - old]]="", tblPiNHistorical[[#This Row],[Food Security - old]]=0, tblPiNHistorical[[#This Row],[Food Security - new]]="", tblPiNHistorical[[#This Row],[Food Security - new]]=0), "", tblPiNHistorical[[#This Row],[Food Security - new]]-tblPiNHistorical[[#This Row],[Food Security - old]])</f>
        <v>1560</v>
      </c>
      <c r="AE39" s="312">
        <f>IF(OR(tblPiNHistorical[[#This Row],[Health - old]]="", tblPiNHistorical[[#This Row],[Health - old]]=0, tblPiNHistorical[[#This Row],[Health - new]]="", tblPiNHistorical[[#This Row],[Health - new]]=0), "", tblPiNHistorical[[#This Row],[Health - new]]-tblPiNHistorical[[#This Row],[Health - old]])</f>
        <v>-6792.1823103778097</v>
      </c>
      <c r="AF3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-3549.16</v>
      </c>
      <c r="AG39" s="312" t="str">
        <f>IF(OR(tblPiNHistorical[[#This Row],[Shelter - old]]="", tblPiNHistorical[[#This Row],[Shelter - old]]=0, tblPiNHistorical[[#This Row],[Shelter - new]]="", tblPiNHistorical[[#This Row],[Shelter - new]]=0), "", tblPiNHistorical[[#This Row],[Shelter - new]]-tblPiNHistorical[[#This Row],[Shelter - old]])</f>
        <v/>
      </c>
      <c r="AH39" s="313">
        <f>IF(OR(tblPiNHistorical[[#This Row],[WASH - old]]="", tblPiNHistorical[[#This Row],[WASH - old]]=0, tblPiNHistorical[[#This Row],[WASH - new]]="", tblPiNHistorical[[#This Row],[WASH - new]]=0), "", tblPiNHistorical[[#This Row],[WASH - new]]-tblPiNHistorical[[#This Row],[WASH - old]])</f>
        <v>-2435.0824965592219</v>
      </c>
      <c r="AI39" s="314">
        <f>IFERROR(ROUND((tblPiNHistorical[[#This Row],[CCCM - new]] - tblPiNHistorical[[#This Row],[CCCM - old]])/tblPiNHistorical[[#This Row],[CCCM - old]], 1), "")</f>
        <v>2.2000000000000002</v>
      </c>
      <c r="AJ39" s="315">
        <f>IFERROR(ROUND((tblPiNHistorical[[#This Row],[Education - new]]-tblPiNHistorical[[#This Row],[Education - old]])/tblPiNHistorical[[#This Row],[Education - old]], 1), "")</f>
        <v>-0.3</v>
      </c>
      <c r="AK39" s="315">
        <f>IFERROR(ROUND((tblPiNHistorical[[#This Row],[Nutrition - new]]-tblPiNHistorical[[#This Row],[Nutrition - old]])/tblPiNHistorical[[#This Row],[Nutrition - old]], 1), "")</f>
        <v>0</v>
      </c>
      <c r="AL39" s="315">
        <f>IFERROR(ROUND((tblPiNHistorical[[#This Row],[Food Security - new]]-tblPiNHistorical[[#This Row],[Food Security - old]])/tblPiNHistorical[[#This Row],[Food Security - old]], 1), "")</f>
        <v>0.1</v>
      </c>
      <c r="AM39" s="315">
        <f>IFERROR(ROUND((tblPiNHistorical[[#This Row],[Health - new]]-tblPiNHistorical[[#This Row],[Health - old]])/tblPiNHistorical[[#This Row],[Health - old]], 1), "")</f>
        <v>-0.7</v>
      </c>
      <c r="AN39" s="315">
        <f>IFERROR(ROUND((tblPiNHistorical[[#This Row],[Overarching Protection - new]]-tblPiNHistorical[[#This Row],[Overarching Protection - old]])/tblPiNHistorical[[#This Row],[Overarching Protection - old]], 1), "")</f>
        <v>-0.5</v>
      </c>
      <c r="AO39" s="315">
        <f>IFERROR(ROUND((tblPiNHistorical[[#This Row],[Shelter - new]]-tblPiNHistorical[[#This Row],[Shelter - old]])/tblPiNHistorical[[#This Row],[Shelter - old]], 1), "")</f>
        <v>-1</v>
      </c>
      <c r="AP39" s="37">
        <f>IFERROR(ROUND((tblPiNHistorical[[#This Row],[WASH - new]]-tblPiNHistorical[[#This Row],[WASH - old]])/tblPiNHistorical[[#This Row],[WASH - old]], 1), "")</f>
        <v>-0.4</v>
      </c>
    </row>
    <row r="40" spans="1:42">
      <c r="A4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Global_PopulationHT0331</v>
      </c>
      <c r="B40" s="304" t="s">
        <v>219</v>
      </c>
      <c r="C40" s="213" t="s">
        <v>220</v>
      </c>
      <c r="D40" s="213" t="s">
        <v>233</v>
      </c>
      <c r="E40" s="103" t="s">
        <v>234</v>
      </c>
      <c r="F40" s="99"/>
      <c r="G40" s="34"/>
      <c r="H40" s="331"/>
      <c r="I40" s="96">
        <v>43816</v>
      </c>
      <c r="J40" s="241" t="s">
        <v>156</v>
      </c>
      <c r="K40" s="305">
        <v>693</v>
      </c>
      <c r="L40" s="306">
        <v>3818</v>
      </c>
      <c r="M40" s="308">
        <v>4065</v>
      </c>
      <c r="N40" s="308">
        <v>22530</v>
      </c>
      <c r="O40" s="308">
        <v>11782</v>
      </c>
      <c r="P40" s="308">
        <v>5019</v>
      </c>
      <c r="Q40" s="309">
        <v>16258</v>
      </c>
      <c r="R40" s="308">
        <v>13424.725107807217</v>
      </c>
      <c r="S40" s="308">
        <f>IFERROR(INDEX(tblPiNAnalysis[CCCM], MATCH(tblPiNHistorical[[#This Row],[ID]], tblPiNAnalysis[ID], 0)), "")</f>
        <v>8400</v>
      </c>
      <c r="T40" s="310">
        <f>IFERROR(INDEX(tblPiNAnalysis[Education], MATCH(tblPiNHistorical[[#This Row],[ID]], tblPiNAnalysis[ID], 0)), "")</f>
        <v>2555</v>
      </c>
      <c r="U40" s="308">
        <f>IFERROR(INDEX(tblPiNAnalysis[Nutrition], MATCH(tblPiNHistorical[[#This Row],[ID]], tblPiNAnalysis[ID], 0)), "")</f>
        <v>4483</v>
      </c>
      <c r="V40" s="308">
        <f>IFERROR(INDEX(tblPiNAnalysis[Food Security], MATCH(tblPiNHistorical[[#This Row],[ID]], tblPiNAnalysis[ID], 0)), "")</f>
        <v>22294</v>
      </c>
      <c r="W40" s="308">
        <f>IFERROR(INDEX(tblPiNAnalysis[Health], MATCH(tblPiNHistorical[[#This Row],[ID]], tblPiNAnalysis[ID], 0)), "")</f>
        <v>9736.8090714285718</v>
      </c>
      <c r="X40" s="308">
        <f>IFERROR(INDEX(tblPiNAnalysis[Protection], MATCH(tblPiNHistorical[[#This Row],[ID]], tblPiNAnalysis[ID], 0)), "")</f>
        <v>3353.44</v>
      </c>
      <c r="Y40" s="308">
        <f>IFERROR(INDEX(tblPiNAnalysis[Shelter], MATCH(tblPiNHistorical[[#This Row],[ID]], tblPiNAnalysis[ID], 0)), "")</f>
        <v>13260</v>
      </c>
      <c r="Z40" s="308">
        <f>IFERROR(INDEX(tblPiNAnalysis[WASH], MATCH(tblPiNHistorical[[#This Row],[ID]], tblPiNAnalysis[ID], 0)), "")</f>
        <v>5600</v>
      </c>
      <c r="AA40" s="311">
        <f>IF(OR(tblPiNHistorical[[#This Row],[CCCM - old]]="", tblPiNHistorical[[#This Row],[CCCM - old]]=0, tblPiNHistorical[[#This Row],[CCCM - new]]="", tblPiNHistorical[[#This Row],[CCCM - new]]=0), "", tblPiNHistorical[[#This Row],[CCCM - new]]-tblPiNHistorical[[#This Row],[CCCM - old]])</f>
        <v>7707</v>
      </c>
      <c r="AB40" s="312">
        <f>IF(OR(tblPiNHistorical[[#This Row],[Education - old]]="", tblPiNHistorical[[#This Row],[Education - old]]=0, tblPiNHistorical[[#This Row],[Education - new]]="", tblPiNHistorical[[#This Row],[Education - new]]=0), "", tblPiNHistorical[[#This Row],[Education - new]]-tblPiNHistorical[[#This Row],[Education - old]])</f>
        <v>-1263</v>
      </c>
      <c r="AC40" s="312">
        <f>IF(OR(tblPiNHistorical[[#This Row],[Nutrition - old]]="", tblPiNHistorical[[#This Row],[Nutrition - old]]=0, tblPiNHistorical[[#This Row],[Nutrition - new]]="", tblPiNHistorical[[#This Row],[Nutrition - new]]=0), "", tblPiNHistorical[[#This Row],[Nutrition - new]]-tblPiNHistorical[[#This Row],[Nutrition - old]])</f>
        <v>418</v>
      </c>
      <c r="AD40" s="312">
        <f>IF(OR(tblPiNHistorical[[#This Row],[Food Security - old]]="", tblPiNHistorical[[#This Row],[Food Security - old]]=0, tblPiNHistorical[[#This Row],[Food Security - new]]="", tblPiNHistorical[[#This Row],[Food Security - new]]=0), "", tblPiNHistorical[[#This Row],[Food Security - new]]-tblPiNHistorical[[#This Row],[Food Security - old]])</f>
        <v>-236</v>
      </c>
      <c r="AE40" s="312">
        <f>IF(OR(tblPiNHistorical[[#This Row],[Health - old]]="", tblPiNHistorical[[#This Row],[Health - old]]=0, tblPiNHistorical[[#This Row],[Health - new]]="", tblPiNHistorical[[#This Row],[Health - new]]=0), "", tblPiNHistorical[[#This Row],[Health - new]]-tblPiNHistorical[[#This Row],[Health - old]])</f>
        <v>-2045.1909285714282</v>
      </c>
      <c r="AF4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-1665.56</v>
      </c>
      <c r="AG40" s="312">
        <f>IF(OR(tblPiNHistorical[[#This Row],[Shelter - old]]="", tblPiNHistorical[[#This Row],[Shelter - old]]=0, tblPiNHistorical[[#This Row],[Shelter - new]]="", tblPiNHistorical[[#This Row],[Shelter - new]]=0), "", tblPiNHistorical[[#This Row],[Shelter - new]]-tblPiNHistorical[[#This Row],[Shelter - old]])</f>
        <v>-2998</v>
      </c>
      <c r="AH40" s="313">
        <f>IF(OR(tblPiNHistorical[[#This Row],[WASH - old]]="", tblPiNHistorical[[#This Row],[WASH - old]]=0, tblPiNHistorical[[#This Row],[WASH - new]]="", tblPiNHistorical[[#This Row],[WASH - new]]=0), "", tblPiNHistorical[[#This Row],[WASH - new]]-tblPiNHistorical[[#This Row],[WASH - old]])</f>
        <v>-7824.7251078072168</v>
      </c>
      <c r="AI40" s="314">
        <f>IFERROR(ROUND((tblPiNHistorical[[#This Row],[CCCM - new]] - tblPiNHistorical[[#This Row],[CCCM - old]])/tblPiNHistorical[[#This Row],[CCCM - old]], 1), "")</f>
        <v>11.1</v>
      </c>
      <c r="AJ40" s="315">
        <f>IFERROR(ROUND((tblPiNHistorical[[#This Row],[Education - new]]-tblPiNHistorical[[#This Row],[Education - old]])/tblPiNHistorical[[#This Row],[Education - old]], 1), "")</f>
        <v>-0.3</v>
      </c>
      <c r="AK40" s="315">
        <f>IFERROR(ROUND((tblPiNHistorical[[#This Row],[Nutrition - new]]-tblPiNHistorical[[#This Row],[Nutrition - old]])/tblPiNHistorical[[#This Row],[Nutrition - old]], 1), "")</f>
        <v>0.1</v>
      </c>
      <c r="AL40" s="315">
        <f>IFERROR(ROUND((tblPiNHistorical[[#This Row],[Food Security - new]]-tblPiNHistorical[[#This Row],[Food Security - old]])/tblPiNHistorical[[#This Row],[Food Security - old]], 1), "")</f>
        <v>0</v>
      </c>
      <c r="AM40" s="315">
        <f>IFERROR(ROUND((tblPiNHistorical[[#This Row],[Health - new]]-tblPiNHistorical[[#This Row],[Health - old]])/tblPiNHistorical[[#This Row],[Health - old]], 1), "")</f>
        <v>-0.2</v>
      </c>
      <c r="AN40" s="315">
        <f>IFERROR(ROUND((tblPiNHistorical[[#This Row],[Overarching Protection - new]]-tblPiNHistorical[[#This Row],[Overarching Protection - old]])/tblPiNHistorical[[#This Row],[Overarching Protection - old]], 1), "")</f>
        <v>-0.3</v>
      </c>
      <c r="AO40" s="315">
        <f>IFERROR(ROUND((tblPiNHistorical[[#This Row],[Shelter - new]]-tblPiNHistorical[[#This Row],[Shelter - old]])/tblPiNHistorical[[#This Row],[Shelter - old]], 1), "")</f>
        <v>-0.2</v>
      </c>
      <c r="AP40" s="37">
        <f>IFERROR(ROUND((tblPiNHistorical[[#This Row],[WASH - new]]-tblPiNHistorical[[#This Row],[WASH - old]])/tblPiNHistorical[[#This Row],[WASH - old]], 1), "")</f>
        <v>-0.6</v>
      </c>
    </row>
    <row r="41" spans="1:42">
      <c r="A4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Global_PopulationHT0332</v>
      </c>
      <c r="B41" s="304" t="s">
        <v>219</v>
      </c>
      <c r="C41" s="213" t="s">
        <v>220</v>
      </c>
      <c r="D41" s="213" t="s">
        <v>235</v>
      </c>
      <c r="E41" s="103" t="s">
        <v>236</v>
      </c>
      <c r="F41" s="99"/>
      <c r="G41" s="34"/>
      <c r="H41" s="331"/>
      <c r="I41" s="96">
        <v>24534</v>
      </c>
      <c r="J41" s="241" t="s">
        <v>156</v>
      </c>
      <c r="K41" s="305">
        <v>249</v>
      </c>
      <c r="L41" s="306">
        <v>2318</v>
      </c>
      <c r="M41" s="308">
        <v>2278</v>
      </c>
      <c r="N41" s="308">
        <v>12665</v>
      </c>
      <c r="O41" s="308">
        <v>6481</v>
      </c>
      <c r="P41" s="308">
        <v>2700</v>
      </c>
      <c r="Q41" s="309">
        <v>18276</v>
      </c>
      <c r="R41" s="308">
        <v>2801.8575595790871</v>
      </c>
      <c r="S41" s="308">
        <f>IFERROR(INDEX(tblPiNAnalysis[CCCM], MATCH(tblPiNHistorical[[#This Row],[ID]], tblPiNAnalysis[ID], 0)), "")</f>
        <v>3994.5</v>
      </c>
      <c r="T41" s="310">
        <f>IFERROR(INDEX(tblPiNAnalysis[Education], MATCH(tblPiNHistorical[[#This Row],[ID]], tblPiNAnalysis[ID], 0)), "")</f>
        <v>1564</v>
      </c>
      <c r="U41" s="308">
        <f>IFERROR(INDEX(tblPiNAnalysis[Nutrition], MATCH(tblPiNHistorical[[#This Row],[ID]], tblPiNAnalysis[ID], 0)), "")</f>
        <v>2477</v>
      </c>
      <c r="V41" s="308">
        <f>IFERROR(INDEX(tblPiNAnalysis[Food Security], MATCH(tblPiNHistorical[[#This Row],[ID]], tblPiNAnalysis[ID], 0)), "")</f>
        <v>12532</v>
      </c>
      <c r="W41" s="308">
        <f>IFERROR(INDEX(tblPiNAnalysis[Health], MATCH(tblPiNHistorical[[#This Row],[ID]], tblPiNAnalysis[ID], 0)), "")</f>
        <v>4846.926175441231</v>
      </c>
      <c r="X41" s="308">
        <f>IFERROR(INDEX(tblPiNAnalysis[Protection], MATCH(tblPiNHistorical[[#This Row],[ID]], tblPiNAnalysis[ID], 0)), "")</f>
        <v>2684.686666666667</v>
      </c>
      <c r="Y41" s="308">
        <f>IFERROR(INDEX(tblPiNAnalysis[Shelter], MATCH(tblPiNHistorical[[#This Row],[ID]], tblPiNAnalysis[ID], 0)), "")</f>
        <v>11281</v>
      </c>
      <c r="Z41" s="308">
        <f>IFERROR(INDEX(tblPiNAnalysis[WASH], MATCH(tblPiNHistorical[[#This Row],[ID]], tblPiNAnalysis[ID], 0)), "")</f>
        <v>12267</v>
      </c>
      <c r="AA41" s="311">
        <f>IF(OR(tblPiNHistorical[[#This Row],[CCCM - old]]="", tblPiNHistorical[[#This Row],[CCCM - old]]=0, tblPiNHistorical[[#This Row],[CCCM - new]]="", tblPiNHistorical[[#This Row],[CCCM - new]]=0), "", tblPiNHistorical[[#This Row],[CCCM - new]]-tblPiNHistorical[[#This Row],[CCCM - old]])</f>
        <v>3745.5</v>
      </c>
      <c r="AB41" s="312">
        <f>IF(OR(tblPiNHistorical[[#This Row],[Education - old]]="", tblPiNHistorical[[#This Row],[Education - old]]=0, tblPiNHistorical[[#This Row],[Education - new]]="", tblPiNHistorical[[#This Row],[Education - new]]=0), "", tblPiNHistorical[[#This Row],[Education - new]]-tblPiNHistorical[[#This Row],[Education - old]])</f>
        <v>-754</v>
      </c>
      <c r="AC41" s="312">
        <f>IF(OR(tblPiNHistorical[[#This Row],[Nutrition - old]]="", tblPiNHistorical[[#This Row],[Nutrition - old]]=0, tblPiNHistorical[[#This Row],[Nutrition - new]]="", tblPiNHistorical[[#This Row],[Nutrition - new]]=0), "", tblPiNHistorical[[#This Row],[Nutrition - new]]-tblPiNHistorical[[#This Row],[Nutrition - old]])</f>
        <v>199</v>
      </c>
      <c r="AD41" s="312">
        <f>IF(OR(tblPiNHistorical[[#This Row],[Food Security - old]]="", tblPiNHistorical[[#This Row],[Food Security - old]]=0, tblPiNHistorical[[#This Row],[Food Security - new]]="", tblPiNHistorical[[#This Row],[Food Security - new]]=0), "", tblPiNHistorical[[#This Row],[Food Security - new]]-tblPiNHistorical[[#This Row],[Food Security - old]])</f>
        <v>-133</v>
      </c>
      <c r="AE41" s="312">
        <f>IF(OR(tblPiNHistorical[[#This Row],[Health - old]]="", tblPiNHistorical[[#This Row],[Health - old]]=0, tblPiNHistorical[[#This Row],[Health - new]]="", tblPiNHistorical[[#This Row],[Health - new]]=0), "", tblPiNHistorical[[#This Row],[Health - new]]-tblPiNHistorical[[#This Row],[Health - old]])</f>
        <v>-1634.073824558769</v>
      </c>
      <c r="AF4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-15.313333333333048</v>
      </c>
      <c r="AG41" s="312">
        <f>IF(OR(tblPiNHistorical[[#This Row],[Shelter - old]]="", tblPiNHistorical[[#This Row],[Shelter - old]]=0, tblPiNHistorical[[#This Row],[Shelter - new]]="", tblPiNHistorical[[#This Row],[Shelter - new]]=0), "", tblPiNHistorical[[#This Row],[Shelter - new]]-tblPiNHistorical[[#This Row],[Shelter - old]])</f>
        <v>-6995</v>
      </c>
      <c r="AH41" s="313">
        <f>IF(OR(tblPiNHistorical[[#This Row],[WASH - old]]="", tblPiNHistorical[[#This Row],[WASH - old]]=0, tblPiNHistorical[[#This Row],[WASH - new]]="", tblPiNHistorical[[#This Row],[WASH - new]]=0), "", tblPiNHistorical[[#This Row],[WASH - new]]-tblPiNHistorical[[#This Row],[WASH - old]])</f>
        <v>9465.1424404209138</v>
      </c>
      <c r="AI41" s="314">
        <f>IFERROR(ROUND((tblPiNHistorical[[#This Row],[CCCM - new]] - tblPiNHistorical[[#This Row],[CCCM - old]])/tblPiNHistorical[[#This Row],[CCCM - old]], 1), "")</f>
        <v>15</v>
      </c>
      <c r="AJ41" s="315">
        <f>IFERROR(ROUND((tblPiNHistorical[[#This Row],[Education - new]]-tblPiNHistorical[[#This Row],[Education - old]])/tblPiNHistorical[[#This Row],[Education - old]], 1), "")</f>
        <v>-0.3</v>
      </c>
      <c r="AK41" s="315">
        <f>IFERROR(ROUND((tblPiNHistorical[[#This Row],[Nutrition - new]]-tblPiNHistorical[[#This Row],[Nutrition - old]])/tblPiNHistorical[[#This Row],[Nutrition - old]], 1), "")</f>
        <v>0.1</v>
      </c>
      <c r="AL41" s="315">
        <f>IFERROR(ROUND((tblPiNHistorical[[#This Row],[Food Security - new]]-tblPiNHistorical[[#This Row],[Food Security - old]])/tblPiNHistorical[[#This Row],[Food Security - old]], 1), "")</f>
        <v>0</v>
      </c>
      <c r="AM41" s="315">
        <f>IFERROR(ROUND((tblPiNHistorical[[#This Row],[Health - new]]-tblPiNHistorical[[#This Row],[Health - old]])/tblPiNHistorical[[#This Row],[Health - old]], 1), "")</f>
        <v>-0.3</v>
      </c>
      <c r="AN41" s="315">
        <f>IFERROR(ROUND((tblPiNHistorical[[#This Row],[Overarching Protection - new]]-tblPiNHistorical[[#This Row],[Overarching Protection - old]])/tblPiNHistorical[[#This Row],[Overarching Protection - old]], 1), "")</f>
        <v>0</v>
      </c>
      <c r="AO41" s="315">
        <f>IFERROR(ROUND((tblPiNHistorical[[#This Row],[Shelter - new]]-tblPiNHistorical[[#This Row],[Shelter - old]])/tblPiNHistorical[[#This Row],[Shelter - old]], 1), "")</f>
        <v>-0.4</v>
      </c>
      <c r="AP41" s="37">
        <f>IFERROR(ROUND((tblPiNHistorical[[#This Row],[WASH - new]]-tblPiNHistorical[[#This Row],[WASH - old]])/tblPiNHistorical[[#This Row],[WASH - old]], 1), "")</f>
        <v>3.4</v>
      </c>
    </row>
    <row r="42" spans="1:42">
      <c r="A4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Global_PopulationHT0341</v>
      </c>
      <c r="B42" s="304" t="s">
        <v>219</v>
      </c>
      <c r="C42" s="213" t="s">
        <v>220</v>
      </c>
      <c r="D42" s="213" t="s">
        <v>237</v>
      </c>
      <c r="E42" s="103" t="s">
        <v>238</v>
      </c>
      <c r="F42" s="99"/>
      <c r="G42" s="34"/>
      <c r="H42" s="331"/>
      <c r="I42" s="96">
        <v>56607</v>
      </c>
      <c r="J42" s="241" t="s">
        <v>156</v>
      </c>
      <c r="K42" s="305">
        <v>398</v>
      </c>
      <c r="L42" s="306">
        <v>5543</v>
      </c>
      <c r="M42" s="308">
        <v>5256</v>
      </c>
      <c r="N42" s="308">
        <v>29281</v>
      </c>
      <c r="O42" s="308">
        <v>14982</v>
      </c>
      <c r="P42" s="308">
        <v>8248</v>
      </c>
      <c r="Q42" s="309">
        <v>13520</v>
      </c>
      <c r="R42" s="308">
        <v>12614.246154015649</v>
      </c>
      <c r="S42" s="308">
        <f>IFERROR(INDEX(tblPiNAnalysis[CCCM], MATCH(tblPiNHistorical[[#This Row],[ID]], tblPiNAnalysis[ID], 0)), "")</f>
        <v>3132</v>
      </c>
      <c r="T42" s="310">
        <f>IFERROR(INDEX(tblPiNAnalysis[Education], MATCH(tblPiNHistorical[[#This Row],[ID]], tblPiNAnalysis[ID], 0)), "")</f>
        <v>3649</v>
      </c>
      <c r="U42" s="308">
        <f>IFERROR(INDEX(tblPiNAnalysis[Nutrition], MATCH(tblPiNHistorical[[#This Row],[ID]], tblPiNAnalysis[ID], 0)), "")</f>
        <v>5412</v>
      </c>
      <c r="V42" s="308">
        <f>IFERROR(INDEX(tblPiNAnalysis[Food Security], MATCH(tblPiNHistorical[[#This Row],[ID]], tblPiNAnalysis[ID], 0)), "")</f>
        <v>28974</v>
      </c>
      <c r="W42" s="308">
        <f>IFERROR(INDEX(tblPiNAnalysis[Health], MATCH(tblPiNHistorical[[#This Row],[ID]], tblPiNAnalysis[ID], 0)), "")</f>
        <v>3975.5317609195399</v>
      </c>
      <c r="X42" s="308">
        <f>IFERROR(INDEX(tblPiNAnalysis[Protection], MATCH(tblPiNHistorical[[#This Row],[ID]], tblPiNAnalysis[ID], 0)), "")</f>
        <v>1950.84</v>
      </c>
      <c r="Y42" s="308">
        <f>IFERROR(INDEX(tblPiNAnalysis[Shelter], MATCH(tblPiNHistorical[[#This Row],[ID]], tblPiNAnalysis[ID], 0)), "")</f>
        <v>0</v>
      </c>
      <c r="Z42" s="308">
        <f>IFERROR(INDEX(tblPiNAnalysis[WASH], MATCH(tblPiNHistorical[[#This Row],[ID]], tblPiNAnalysis[ID], 0)), "")</f>
        <v>2088</v>
      </c>
      <c r="AA42" s="311">
        <f>IF(OR(tblPiNHistorical[[#This Row],[CCCM - old]]="", tblPiNHistorical[[#This Row],[CCCM - old]]=0, tblPiNHistorical[[#This Row],[CCCM - new]]="", tblPiNHistorical[[#This Row],[CCCM - new]]=0), "", tblPiNHistorical[[#This Row],[CCCM - new]]-tblPiNHistorical[[#This Row],[CCCM - old]])</f>
        <v>2734</v>
      </c>
      <c r="AB42" s="312">
        <f>IF(OR(tblPiNHistorical[[#This Row],[Education - old]]="", tblPiNHistorical[[#This Row],[Education - old]]=0, tblPiNHistorical[[#This Row],[Education - new]]="", tblPiNHistorical[[#This Row],[Education - new]]=0), "", tblPiNHistorical[[#This Row],[Education - new]]-tblPiNHistorical[[#This Row],[Education - old]])</f>
        <v>-1894</v>
      </c>
      <c r="AC42" s="312">
        <f>IF(OR(tblPiNHistorical[[#This Row],[Nutrition - old]]="", tblPiNHistorical[[#This Row],[Nutrition - old]]=0, tblPiNHistorical[[#This Row],[Nutrition - new]]="", tblPiNHistorical[[#This Row],[Nutrition - new]]=0), "", tblPiNHistorical[[#This Row],[Nutrition - new]]-tblPiNHistorical[[#This Row],[Nutrition - old]])</f>
        <v>156</v>
      </c>
      <c r="AD42" s="312">
        <f>IF(OR(tblPiNHistorical[[#This Row],[Food Security - old]]="", tblPiNHistorical[[#This Row],[Food Security - old]]=0, tblPiNHistorical[[#This Row],[Food Security - new]]="", tblPiNHistorical[[#This Row],[Food Security - new]]=0), "", tblPiNHistorical[[#This Row],[Food Security - new]]-tblPiNHistorical[[#This Row],[Food Security - old]])</f>
        <v>-307</v>
      </c>
      <c r="AE42" s="312">
        <f>IF(OR(tblPiNHistorical[[#This Row],[Health - old]]="", tblPiNHistorical[[#This Row],[Health - old]]=0, tblPiNHistorical[[#This Row],[Health - new]]="", tblPiNHistorical[[#This Row],[Health - new]]=0), "", tblPiNHistorical[[#This Row],[Health - new]]-tblPiNHistorical[[#This Row],[Health - old]])</f>
        <v>-11006.468239080459</v>
      </c>
      <c r="AF4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-6297.16</v>
      </c>
      <c r="AG42" s="312" t="str">
        <f>IF(OR(tblPiNHistorical[[#This Row],[Shelter - old]]="", tblPiNHistorical[[#This Row],[Shelter - old]]=0, tblPiNHistorical[[#This Row],[Shelter - new]]="", tblPiNHistorical[[#This Row],[Shelter - new]]=0), "", tblPiNHistorical[[#This Row],[Shelter - new]]-tblPiNHistorical[[#This Row],[Shelter - old]])</f>
        <v/>
      </c>
      <c r="AH42" s="313">
        <f>IF(OR(tblPiNHistorical[[#This Row],[WASH - old]]="", tblPiNHistorical[[#This Row],[WASH - old]]=0, tblPiNHistorical[[#This Row],[WASH - new]]="", tblPiNHistorical[[#This Row],[WASH - new]]=0), "", tblPiNHistorical[[#This Row],[WASH - new]]-tblPiNHistorical[[#This Row],[WASH - old]])</f>
        <v>-10526.246154015649</v>
      </c>
      <c r="AI42" s="314">
        <f>IFERROR(ROUND((tblPiNHistorical[[#This Row],[CCCM - new]] - tblPiNHistorical[[#This Row],[CCCM - old]])/tblPiNHistorical[[#This Row],[CCCM - old]], 1), "")</f>
        <v>6.9</v>
      </c>
      <c r="AJ42" s="315">
        <f>IFERROR(ROUND((tblPiNHistorical[[#This Row],[Education - new]]-tblPiNHistorical[[#This Row],[Education - old]])/tblPiNHistorical[[#This Row],[Education - old]], 1), "")</f>
        <v>-0.3</v>
      </c>
      <c r="AK42" s="315">
        <f>IFERROR(ROUND((tblPiNHistorical[[#This Row],[Nutrition - new]]-tblPiNHistorical[[#This Row],[Nutrition - old]])/tblPiNHistorical[[#This Row],[Nutrition - old]], 1), "")</f>
        <v>0</v>
      </c>
      <c r="AL42" s="315">
        <f>IFERROR(ROUND((tblPiNHistorical[[#This Row],[Food Security - new]]-tblPiNHistorical[[#This Row],[Food Security - old]])/tblPiNHistorical[[#This Row],[Food Security - old]], 1), "")</f>
        <v>0</v>
      </c>
      <c r="AM42" s="315">
        <f>IFERROR(ROUND((tblPiNHistorical[[#This Row],[Health - new]]-tblPiNHistorical[[#This Row],[Health - old]])/tblPiNHistorical[[#This Row],[Health - old]], 1), "")</f>
        <v>-0.7</v>
      </c>
      <c r="AN42" s="315">
        <f>IFERROR(ROUND((tblPiNHistorical[[#This Row],[Overarching Protection - new]]-tblPiNHistorical[[#This Row],[Overarching Protection - old]])/tblPiNHistorical[[#This Row],[Overarching Protection - old]], 1), "")</f>
        <v>-0.8</v>
      </c>
      <c r="AO42" s="315">
        <f>IFERROR(ROUND((tblPiNHistorical[[#This Row],[Shelter - new]]-tblPiNHistorical[[#This Row],[Shelter - old]])/tblPiNHistorical[[#This Row],[Shelter - old]], 1), "")</f>
        <v>-1</v>
      </c>
      <c r="AP42" s="37">
        <f>IFERROR(ROUND((tblPiNHistorical[[#This Row],[WASH - new]]-tblPiNHistorical[[#This Row],[WASH - old]])/tblPiNHistorical[[#This Row],[WASH - old]], 1), "")</f>
        <v>-0.8</v>
      </c>
    </row>
    <row r="43" spans="1:42">
      <c r="A4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Global_PopulationHT0342</v>
      </c>
      <c r="B43" s="304" t="s">
        <v>219</v>
      </c>
      <c r="C43" s="213" t="s">
        <v>220</v>
      </c>
      <c r="D43" s="213" t="s">
        <v>239</v>
      </c>
      <c r="E43" s="103" t="s">
        <v>240</v>
      </c>
      <c r="F43" s="99"/>
      <c r="G43" s="34"/>
      <c r="H43" s="331"/>
      <c r="I43" s="96">
        <v>36398</v>
      </c>
      <c r="J43" s="241" t="s">
        <v>156</v>
      </c>
      <c r="K43" s="305">
        <v>194</v>
      </c>
      <c r="L43" s="306">
        <v>3328</v>
      </c>
      <c r="M43" s="308">
        <v>3382</v>
      </c>
      <c r="N43" s="308">
        <v>18849</v>
      </c>
      <c r="O43" s="308">
        <v>9109</v>
      </c>
      <c r="P43" s="308">
        <v>3741</v>
      </c>
      <c r="Q43" s="309">
        <v>11250</v>
      </c>
      <c r="R43" s="308">
        <v>9880.1021359731785</v>
      </c>
      <c r="S43" s="308">
        <f>IFERROR(INDEX(tblPiNAnalysis[CCCM], MATCH(tblPiNHistorical[[#This Row],[ID]], tblPiNAnalysis[ID], 0)), "")</f>
        <v>535.5</v>
      </c>
      <c r="T43" s="310">
        <f>IFERROR(INDEX(tblPiNAnalysis[Education], MATCH(tblPiNHistorical[[#This Row],[ID]], tblPiNAnalysis[ID], 0)), "")</f>
        <v>2258</v>
      </c>
      <c r="U43" s="308">
        <f>IFERROR(INDEX(tblPiNAnalysis[Nutrition], MATCH(tblPiNHistorical[[#This Row],[ID]], tblPiNAnalysis[ID], 0)), "")</f>
        <v>3408</v>
      </c>
      <c r="V43" s="308">
        <f>IFERROR(INDEX(tblPiNAnalysis[Food Security], MATCH(tblPiNHistorical[[#This Row],[ID]], tblPiNAnalysis[ID], 0)), "")</f>
        <v>18652</v>
      </c>
      <c r="W43" s="308">
        <f>IFERROR(INDEX(tblPiNAnalysis[Health], MATCH(tblPiNHistorical[[#This Row],[ID]], tblPiNAnalysis[ID], 0)), "")</f>
        <v>1107.0445999999999</v>
      </c>
      <c r="X43" s="308">
        <f>IFERROR(INDEX(tblPiNAnalysis[Protection], MATCH(tblPiNHistorical[[#This Row],[ID]], tblPiNAnalysis[ID], 0)), "")</f>
        <v>1381.01</v>
      </c>
      <c r="Y43" s="308">
        <f>IFERROR(INDEX(tblPiNAnalysis[Shelter], MATCH(tblPiNHistorical[[#This Row],[ID]], tblPiNAnalysis[ID], 0)), "")</f>
        <v>13918</v>
      </c>
      <c r="Z43" s="308">
        <f>IFERROR(INDEX(tblPiNAnalysis[WASH], MATCH(tblPiNHistorical[[#This Row],[ID]], tblPiNAnalysis[ID], 0)), "")</f>
        <v>30331.666666666668</v>
      </c>
      <c r="AA43" s="311">
        <f>IF(OR(tblPiNHistorical[[#This Row],[CCCM - old]]="", tblPiNHistorical[[#This Row],[CCCM - old]]=0, tblPiNHistorical[[#This Row],[CCCM - new]]="", tblPiNHistorical[[#This Row],[CCCM - new]]=0), "", tblPiNHistorical[[#This Row],[CCCM - new]]-tblPiNHistorical[[#This Row],[CCCM - old]])</f>
        <v>341.5</v>
      </c>
      <c r="AB43" s="312">
        <f>IF(OR(tblPiNHistorical[[#This Row],[Education - old]]="", tblPiNHistorical[[#This Row],[Education - old]]=0, tblPiNHistorical[[#This Row],[Education - new]]="", tblPiNHistorical[[#This Row],[Education - new]]=0), "", tblPiNHistorical[[#This Row],[Education - new]]-tblPiNHistorical[[#This Row],[Education - old]])</f>
        <v>-1070</v>
      </c>
      <c r="AC43" s="312">
        <f>IF(OR(tblPiNHistorical[[#This Row],[Nutrition - old]]="", tblPiNHistorical[[#This Row],[Nutrition - old]]=0, tblPiNHistorical[[#This Row],[Nutrition - new]]="", tblPiNHistorical[[#This Row],[Nutrition - new]]=0), "", tblPiNHistorical[[#This Row],[Nutrition - new]]-tblPiNHistorical[[#This Row],[Nutrition - old]])</f>
        <v>26</v>
      </c>
      <c r="AD43" s="312">
        <f>IF(OR(tblPiNHistorical[[#This Row],[Food Security - old]]="", tblPiNHistorical[[#This Row],[Food Security - old]]=0, tblPiNHistorical[[#This Row],[Food Security - new]]="", tblPiNHistorical[[#This Row],[Food Security - new]]=0), "", tblPiNHistorical[[#This Row],[Food Security - new]]-tblPiNHistorical[[#This Row],[Food Security - old]])</f>
        <v>-197</v>
      </c>
      <c r="AE43" s="312">
        <f>IF(OR(tblPiNHistorical[[#This Row],[Health - old]]="", tblPiNHistorical[[#This Row],[Health - old]]=0, tblPiNHistorical[[#This Row],[Health - new]]="", tblPiNHistorical[[#This Row],[Health - new]]=0), "", tblPiNHistorical[[#This Row],[Health - new]]-tblPiNHistorical[[#This Row],[Health - old]])</f>
        <v>-8001.9553999999998</v>
      </c>
      <c r="AF4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-2359.9899999999998</v>
      </c>
      <c r="AG43" s="312">
        <f>IF(OR(tblPiNHistorical[[#This Row],[Shelter - old]]="", tblPiNHistorical[[#This Row],[Shelter - old]]=0, tblPiNHistorical[[#This Row],[Shelter - new]]="", tblPiNHistorical[[#This Row],[Shelter - new]]=0), "", tblPiNHistorical[[#This Row],[Shelter - new]]-tblPiNHistorical[[#This Row],[Shelter - old]])</f>
        <v>2668</v>
      </c>
      <c r="AH43" s="313">
        <f>IF(OR(tblPiNHistorical[[#This Row],[WASH - old]]="", tblPiNHistorical[[#This Row],[WASH - old]]=0, tblPiNHistorical[[#This Row],[WASH - new]]="", tblPiNHistorical[[#This Row],[WASH - new]]=0), "", tblPiNHistorical[[#This Row],[WASH - new]]-tblPiNHistorical[[#This Row],[WASH - old]])</f>
        <v>20451.564530693489</v>
      </c>
      <c r="AI43" s="314">
        <f>IFERROR(ROUND((tblPiNHistorical[[#This Row],[CCCM - new]] - tblPiNHistorical[[#This Row],[CCCM - old]])/tblPiNHistorical[[#This Row],[CCCM - old]], 1), "")</f>
        <v>1.8</v>
      </c>
      <c r="AJ43" s="315">
        <f>IFERROR(ROUND((tblPiNHistorical[[#This Row],[Education - new]]-tblPiNHistorical[[#This Row],[Education - old]])/tblPiNHistorical[[#This Row],[Education - old]], 1), "")</f>
        <v>-0.3</v>
      </c>
      <c r="AK43" s="315">
        <f>IFERROR(ROUND((tblPiNHistorical[[#This Row],[Nutrition - new]]-tblPiNHistorical[[#This Row],[Nutrition - old]])/tblPiNHistorical[[#This Row],[Nutrition - old]], 1), "")</f>
        <v>0</v>
      </c>
      <c r="AL43" s="315">
        <f>IFERROR(ROUND((tblPiNHistorical[[#This Row],[Food Security - new]]-tblPiNHistorical[[#This Row],[Food Security - old]])/tblPiNHistorical[[#This Row],[Food Security - old]], 1), "")</f>
        <v>0</v>
      </c>
      <c r="AM43" s="315">
        <f>IFERROR(ROUND((tblPiNHistorical[[#This Row],[Health - new]]-tblPiNHistorical[[#This Row],[Health - old]])/tblPiNHistorical[[#This Row],[Health - old]], 1), "")</f>
        <v>-0.9</v>
      </c>
      <c r="AN43" s="315">
        <f>IFERROR(ROUND((tblPiNHistorical[[#This Row],[Overarching Protection - new]]-tblPiNHistorical[[#This Row],[Overarching Protection - old]])/tblPiNHistorical[[#This Row],[Overarching Protection - old]], 1), "")</f>
        <v>-0.6</v>
      </c>
      <c r="AO43" s="315">
        <f>IFERROR(ROUND((tblPiNHistorical[[#This Row],[Shelter - new]]-tblPiNHistorical[[#This Row],[Shelter - old]])/tblPiNHistorical[[#This Row],[Shelter - old]], 1), "")</f>
        <v>0.2</v>
      </c>
      <c r="AP43" s="37">
        <f>IFERROR(ROUND((tblPiNHistorical[[#This Row],[WASH - new]]-tblPiNHistorical[[#This Row],[WASH - old]])/tblPiNHistorical[[#This Row],[WASH - old]], 1), "")</f>
        <v>2.1</v>
      </c>
    </row>
    <row r="44" spans="1:42">
      <c r="A4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Global_PopulationHT0343</v>
      </c>
      <c r="B44" s="304" t="s">
        <v>219</v>
      </c>
      <c r="C44" s="213" t="s">
        <v>220</v>
      </c>
      <c r="D44" s="213" t="s">
        <v>241</v>
      </c>
      <c r="E44" s="103" t="s">
        <v>242</v>
      </c>
      <c r="F44" s="99"/>
      <c r="G44" s="34"/>
      <c r="H44" s="331"/>
      <c r="I44" s="96">
        <v>29256</v>
      </c>
      <c r="J44" s="241" t="s">
        <v>156</v>
      </c>
      <c r="K44" s="305">
        <v>327</v>
      </c>
      <c r="L44" s="306">
        <v>2941</v>
      </c>
      <c r="M44" s="308">
        <v>2715</v>
      </c>
      <c r="N44" s="308">
        <v>15091</v>
      </c>
      <c r="O44" s="308">
        <v>7628</v>
      </c>
      <c r="P44" s="308">
        <v>2539</v>
      </c>
      <c r="Q44" s="309">
        <v>0</v>
      </c>
      <c r="R44" s="308">
        <v>3465.1062987386049</v>
      </c>
      <c r="S44" s="308">
        <f>IFERROR(INDEX(tblPiNAnalysis[CCCM], MATCH(tblPiNHistorical[[#This Row],[ID]], tblPiNAnalysis[ID], 0)), "")</f>
        <v>411</v>
      </c>
      <c r="T44" s="310">
        <f>IFERROR(INDEX(tblPiNAnalysis[Education], MATCH(tblPiNHistorical[[#This Row],[ID]], tblPiNAnalysis[ID], 0)), "")</f>
        <v>1913</v>
      </c>
      <c r="U44" s="308">
        <f>IFERROR(INDEX(tblPiNAnalysis[Nutrition], MATCH(tblPiNHistorical[[#This Row],[ID]], tblPiNAnalysis[ID], 0)), "")</f>
        <v>2734</v>
      </c>
      <c r="V44" s="308">
        <f>IFERROR(INDEX(tblPiNAnalysis[Food Security], MATCH(tblPiNHistorical[[#This Row],[ID]], tblPiNAnalysis[ID], 0)), "")</f>
        <v>14933</v>
      </c>
      <c r="W44" s="308">
        <f>IFERROR(INDEX(tblPiNAnalysis[Health], MATCH(tblPiNHistorical[[#This Row],[ID]], tblPiNAnalysis[ID], 0)), "")</f>
        <v>872.75493722627721</v>
      </c>
      <c r="X44" s="308">
        <f>IFERROR(INDEX(tblPiNAnalysis[Protection], MATCH(tblPiNHistorical[[#This Row],[ID]], tblPiNAnalysis[ID], 0)), "")</f>
        <v>1085.21</v>
      </c>
      <c r="Y44" s="308">
        <f>IFERROR(INDEX(tblPiNAnalysis[Shelter], MATCH(tblPiNHistorical[[#This Row],[ID]], tblPiNAnalysis[ID], 0)), "")</f>
        <v>15828</v>
      </c>
      <c r="Z44" s="308">
        <f>IFERROR(INDEX(tblPiNAnalysis[WASH], MATCH(tblPiNHistorical[[#This Row],[ID]], tblPiNAnalysis[ID], 0)), "")</f>
        <v>1529.5</v>
      </c>
      <c r="AA44" s="311">
        <f>IF(OR(tblPiNHistorical[[#This Row],[CCCM - old]]="", tblPiNHistorical[[#This Row],[CCCM - old]]=0, tblPiNHistorical[[#This Row],[CCCM - new]]="", tblPiNHistorical[[#This Row],[CCCM - new]]=0), "", tblPiNHistorical[[#This Row],[CCCM - new]]-tblPiNHistorical[[#This Row],[CCCM - old]])</f>
        <v>84</v>
      </c>
      <c r="AB44" s="312">
        <f>IF(OR(tblPiNHistorical[[#This Row],[Education - old]]="", tblPiNHistorical[[#This Row],[Education - old]]=0, tblPiNHistorical[[#This Row],[Education - new]]="", tblPiNHistorical[[#This Row],[Education - new]]=0), "", tblPiNHistorical[[#This Row],[Education - new]]-tblPiNHistorical[[#This Row],[Education - old]])</f>
        <v>-1028</v>
      </c>
      <c r="AC44" s="312">
        <f>IF(OR(tblPiNHistorical[[#This Row],[Nutrition - old]]="", tblPiNHistorical[[#This Row],[Nutrition - old]]=0, tblPiNHistorical[[#This Row],[Nutrition - new]]="", tblPiNHistorical[[#This Row],[Nutrition - new]]=0), "", tblPiNHistorical[[#This Row],[Nutrition - new]]-tblPiNHistorical[[#This Row],[Nutrition - old]])</f>
        <v>19</v>
      </c>
      <c r="AD44" s="312">
        <f>IF(OR(tblPiNHistorical[[#This Row],[Food Security - old]]="", tblPiNHistorical[[#This Row],[Food Security - old]]=0, tblPiNHistorical[[#This Row],[Food Security - new]]="", tblPiNHistorical[[#This Row],[Food Security - new]]=0), "", tblPiNHistorical[[#This Row],[Food Security - new]]-tblPiNHistorical[[#This Row],[Food Security - old]])</f>
        <v>-158</v>
      </c>
      <c r="AE44" s="312">
        <f>IF(OR(tblPiNHistorical[[#This Row],[Health - old]]="", tblPiNHistorical[[#This Row],[Health - old]]=0, tblPiNHistorical[[#This Row],[Health - new]]="", tblPiNHistorical[[#This Row],[Health - new]]=0), "", tblPiNHistorical[[#This Row],[Health - new]]-tblPiNHistorical[[#This Row],[Health - old]])</f>
        <v>-6755.2450627737226</v>
      </c>
      <c r="AF4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-1453.79</v>
      </c>
      <c r="AG44" s="312" t="str">
        <f>IF(OR(tblPiNHistorical[[#This Row],[Shelter - old]]="", tblPiNHistorical[[#This Row],[Shelter - old]]=0, tblPiNHistorical[[#This Row],[Shelter - new]]="", tblPiNHistorical[[#This Row],[Shelter - new]]=0), "", tblPiNHistorical[[#This Row],[Shelter - new]]-tblPiNHistorical[[#This Row],[Shelter - old]])</f>
        <v/>
      </c>
      <c r="AH44" s="313">
        <f>IF(OR(tblPiNHistorical[[#This Row],[WASH - old]]="", tblPiNHistorical[[#This Row],[WASH - old]]=0, tblPiNHistorical[[#This Row],[WASH - new]]="", tblPiNHistorical[[#This Row],[WASH - new]]=0), "", tblPiNHistorical[[#This Row],[WASH - new]]-tblPiNHistorical[[#This Row],[WASH - old]])</f>
        <v>-1935.6062987386049</v>
      </c>
      <c r="AI44" s="314">
        <f>IFERROR(ROUND((tblPiNHistorical[[#This Row],[CCCM - new]] - tblPiNHistorical[[#This Row],[CCCM - old]])/tblPiNHistorical[[#This Row],[CCCM - old]], 1), "")</f>
        <v>0.3</v>
      </c>
      <c r="AJ44" s="315">
        <f>IFERROR(ROUND((tblPiNHistorical[[#This Row],[Education - new]]-tblPiNHistorical[[#This Row],[Education - old]])/tblPiNHistorical[[#This Row],[Education - old]], 1), "")</f>
        <v>-0.3</v>
      </c>
      <c r="AK44" s="315">
        <f>IFERROR(ROUND((tblPiNHistorical[[#This Row],[Nutrition - new]]-tblPiNHistorical[[#This Row],[Nutrition - old]])/tblPiNHistorical[[#This Row],[Nutrition - old]], 1), "")</f>
        <v>0</v>
      </c>
      <c r="AL44" s="315">
        <f>IFERROR(ROUND((tblPiNHistorical[[#This Row],[Food Security - new]]-tblPiNHistorical[[#This Row],[Food Security - old]])/tblPiNHistorical[[#This Row],[Food Security - old]], 1), "")</f>
        <v>0</v>
      </c>
      <c r="AM44" s="315">
        <f>IFERROR(ROUND((tblPiNHistorical[[#This Row],[Health - new]]-tblPiNHistorical[[#This Row],[Health - old]])/tblPiNHistorical[[#This Row],[Health - old]], 1), "")</f>
        <v>-0.9</v>
      </c>
      <c r="AN44" s="315">
        <f>IFERROR(ROUND((tblPiNHistorical[[#This Row],[Overarching Protection - new]]-tblPiNHistorical[[#This Row],[Overarching Protection - old]])/tblPiNHistorical[[#This Row],[Overarching Protection - old]], 1), "")</f>
        <v>-0.6</v>
      </c>
      <c r="AO44" s="315" t="str">
        <f>IFERROR(ROUND((tblPiNHistorical[[#This Row],[Shelter - new]]-tblPiNHistorical[[#This Row],[Shelter - old]])/tblPiNHistorical[[#This Row],[Shelter - old]], 1), "")</f>
        <v/>
      </c>
      <c r="AP44" s="37">
        <f>IFERROR(ROUND((tblPiNHistorical[[#This Row],[WASH - new]]-tblPiNHistorical[[#This Row],[WASH - old]])/tblPiNHistorical[[#This Row],[WASH - old]], 1), "")</f>
        <v>-0.6</v>
      </c>
    </row>
    <row r="45" spans="1:42">
      <c r="A4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Global_PopulationHT0344</v>
      </c>
      <c r="B45" s="304" t="s">
        <v>219</v>
      </c>
      <c r="C45" s="213" t="s">
        <v>220</v>
      </c>
      <c r="D45" s="213" t="s">
        <v>243</v>
      </c>
      <c r="E45" s="103" t="s">
        <v>244</v>
      </c>
      <c r="F45" s="99"/>
      <c r="G45" s="34"/>
      <c r="H45" s="331"/>
      <c r="I45" s="96">
        <v>46806</v>
      </c>
      <c r="J45" s="241" t="s">
        <v>156</v>
      </c>
      <c r="K45" s="305">
        <v>2175</v>
      </c>
      <c r="L45" s="306">
        <v>4655</v>
      </c>
      <c r="M45" s="308">
        <v>4324</v>
      </c>
      <c r="N45" s="308">
        <v>23566</v>
      </c>
      <c r="O45" s="308">
        <v>14684</v>
      </c>
      <c r="P45" s="308">
        <v>7925</v>
      </c>
      <c r="Q45" s="309">
        <v>12630</v>
      </c>
      <c r="R45" s="308">
        <v>8684.3883580452566</v>
      </c>
      <c r="S45" s="308">
        <f>IFERROR(INDEX(tblPiNAnalysis[CCCM], MATCH(tblPiNHistorical[[#This Row],[ID]], tblPiNAnalysis[ID], 0)), "")</f>
        <v>5476.5</v>
      </c>
      <c r="T45" s="310">
        <f>IFERROR(INDEX(tblPiNAnalysis[Education], MATCH(tblPiNHistorical[[#This Row],[ID]], tblPiNAnalysis[ID], 0)), "")</f>
        <v>3206</v>
      </c>
      <c r="U45" s="308">
        <f>IFERROR(INDEX(tblPiNAnalysis[Nutrition], MATCH(tblPiNHistorical[[#This Row],[ID]], tblPiNAnalysis[ID], 0)), "")</f>
        <v>4591</v>
      </c>
      <c r="V45" s="308">
        <f>IFERROR(INDEX(tblPiNAnalysis[Food Security], MATCH(tblPiNHistorical[[#This Row],[ID]], tblPiNAnalysis[ID], 0)), "")</f>
        <v>23319</v>
      </c>
      <c r="W45" s="308">
        <f>IFERROR(INDEX(tblPiNAnalysis[Health], MATCH(tblPiNHistorical[[#This Row],[ID]], tblPiNAnalysis[ID], 0)), "")</f>
        <v>6184.1090275102715</v>
      </c>
      <c r="X45" s="308">
        <f>IFERROR(INDEX(tblPiNAnalysis[Protection], MATCH(tblPiNHistorical[[#This Row],[ID]], tblPiNAnalysis[ID], 0)), "")</f>
        <v>2211.96</v>
      </c>
      <c r="Y45" s="308">
        <f>IFERROR(INDEX(tblPiNAnalysis[Shelter], MATCH(tblPiNHistorical[[#This Row],[ID]], tblPiNAnalysis[ID], 0)), "")</f>
        <v>0</v>
      </c>
      <c r="Z45" s="308">
        <f>IFERROR(INDEX(tblPiNAnalysis[WASH], MATCH(tblPiNHistorical[[#This Row],[ID]], tblPiNAnalysis[ID], 0)), "")</f>
        <v>3651</v>
      </c>
      <c r="AA45" s="311">
        <f>IF(OR(tblPiNHistorical[[#This Row],[CCCM - old]]="", tblPiNHistorical[[#This Row],[CCCM - old]]=0, tblPiNHistorical[[#This Row],[CCCM - new]]="", tblPiNHistorical[[#This Row],[CCCM - new]]=0), "", tblPiNHistorical[[#This Row],[CCCM - new]]-tblPiNHistorical[[#This Row],[CCCM - old]])</f>
        <v>3301.5</v>
      </c>
      <c r="AB45" s="312">
        <f>IF(OR(tblPiNHistorical[[#This Row],[Education - old]]="", tblPiNHistorical[[#This Row],[Education - old]]=0, tblPiNHistorical[[#This Row],[Education - new]]="", tblPiNHistorical[[#This Row],[Education - new]]=0), "", tblPiNHistorical[[#This Row],[Education - new]]-tblPiNHistorical[[#This Row],[Education - old]])</f>
        <v>-1449</v>
      </c>
      <c r="AC45" s="312">
        <f>IF(OR(tblPiNHistorical[[#This Row],[Nutrition - old]]="", tblPiNHistorical[[#This Row],[Nutrition - old]]=0, tblPiNHistorical[[#This Row],[Nutrition - new]]="", tblPiNHistorical[[#This Row],[Nutrition - new]]=0), "", tblPiNHistorical[[#This Row],[Nutrition - new]]-tblPiNHistorical[[#This Row],[Nutrition - old]])</f>
        <v>267</v>
      </c>
      <c r="AD45" s="312">
        <f>IF(OR(tblPiNHistorical[[#This Row],[Food Security - old]]="", tblPiNHistorical[[#This Row],[Food Security - old]]=0, tblPiNHistorical[[#This Row],[Food Security - new]]="", tblPiNHistorical[[#This Row],[Food Security - new]]=0), "", tblPiNHistorical[[#This Row],[Food Security - new]]-tblPiNHistorical[[#This Row],[Food Security - old]])</f>
        <v>-247</v>
      </c>
      <c r="AE45" s="312">
        <f>IF(OR(tblPiNHistorical[[#This Row],[Health - old]]="", tblPiNHistorical[[#This Row],[Health - old]]=0, tblPiNHistorical[[#This Row],[Health - new]]="", tblPiNHistorical[[#This Row],[Health - new]]=0), "", tblPiNHistorical[[#This Row],[Health - new]]-tblPiNHistorical[[#This Row],[Health - old]])</f>
        <v>-8499.8909724897276</v>
      </c>
      <c r="AF4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-5713.04</v>
      </c>
      <c r="AG45" s="312" t="str">
        <f>IF(OR(tblPiNHistorical[[#This Row],[Shelter - old]]="", tblPiNHistorical[[#This Row],[Shelter - old]]=0, tblPiNHistorical[[#This Row],[Shelter - new]]="", tblPiNHistorical[[#This Row],[Shelter - new]]=0), "", tblPiNHistorical[[#This Row],[Shelter - new]]-tblPiNHistorical[[#This Row],[Shelter - old]])</f>
        <v/>
      </c>
      <c r="AH45" s="313">
        <f>IF(OR(tblPiNHistorical[[#This Row],[WASH - old]]="", tblPiNHistorical[[#This Row],[WASH - old]]=0, tblPiNHistorical[[#This Row],[WASH - new]]="", tblPiNHistorical[[#This Row],[WASH - new]]=0), "", tblPiNHistorical[[#This Row],[WASH - new]]-tblPiNHistorical[[#This Row],[WASH - old]])</f>
        <v>-5033.3883580452566</v>
      </c>
      <c r="AI45" s="314">
        <f>IFERROR(ROUND((tblPiNHistorical[[#This Row],[CCCM - new]] - tblPiNHistorical[[#This Row],[CCCM - old]])/tblPiNHistorical[[#This Row],[CCCM - old]], 1), "")</f>
        <v>1.5</v>
      </c>
      <c r="AJ45" s="315">
        <f>IFERROR(ROUND((tblPiNHistorical[[#This Row],[Education - new]]-tblPiNHistorical[[#This Row],[Education - old]])/tblPiNHistorical[[#This Row],[Education - old]], 1), "")</f>
        <v>-0.3</v>
      </c>
      <c r="AK45" s="315">
        <f>IFERROR(ROUND((tblPiNHistorical[[#This Row],[Nutrition - new]]-tblPiNHistorical[[#This Row],[Nutrition - old]])/tblPiNHistorical[[#This Row],[Nutrition - old]], 1), "")</f>
        <v>0.1</v>
      </c>
      <c r="AL45" s="315">
        <f>IFERROR(ROUND((tblPiNHistorical[[#This Row],[Food Security - new]]-tblPiNHistorical[[#This Row],[Food Security - old]])/tblPiNHistorical[[#This Row],[Food Security - old]], 1), "")</f>
        <v>0</v>
      </c>
      <c r="AM45" s="315">
        <f>IFERROR(ROUND((tblPiNHistorical[[#This Row],[Health - new]]-tblPiNHistorical[[#This Row],[Health - old]])/tblPiNHistorical[[#This Row],[Health - old]], 1), "")</f>
        <v>-0.6</v>
      </c>
      <c r="AN45" s="315">
        <f>IFERROR(ROUND((tblPiNHistorical[[#This Row],[Overarching Protection - new]]-tblPiNHistorical[[#This Row],[Overarching Protection - old]])/tblPiNHistorical[[#This Row],[Overarching Protection - old]], 1), "")</f>
        <v>-0.7</v>
      </c>
      <c r="AO45" s="315">
        <f>IFERROR(ROUND((tblPiNHistorical[[#This Row],[Shelter - new]]-tblPiNHistorical[[#This Row],[Shelter - old]])/tblPiNHistorical[[#This Row],[Shelter - old]], 1), "")</f>
        <v>-1</v>
      </c>
      <c r="AP45" s="37">
        <f>IFERROR(ROUND((tblPiNHistorical[[#This Row],[WASH - new]]-tblPiNHistorical[[#This Row],[WASH - old]])/tblPiNHistorical[[#This Row],[WASH - old]], 1), "")</f>
        <v>-0.6</v>
      </c>
    </row>
    <row r="46" spans="1:42">
      <c r="A4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Global_PopulationHT0345</v>
      </c>
      <c r="B46" s="304" t="s">
        <v>219</v>
      </c>
      <c r="C46" s="213" t="s">
        <v>220</v>
      </c>
      <c r="D46" s="213" t="s">
        <v>245</v>
      </c>
      <c r="E46" s="103" t="s">
        <v>246</v>
      </c>
      <c r="F46" s="99"/>
      <c r="G46" s="34"/>
      <c r="H46" s="331"/>
      <c r="I46" s="96">
        <v>11101</v>
      </c>
      <c r="J46" s="241" t="s">
        <v>156</v>
      </c>
      <c r="K46" s="305">
        <v>78</v>
      </c>
      <c r="L46" s="306">
        <v>1124</v>
      </c>
      <c r="M46" s="308">
        <v>1031</v>
      </c>
      <c r="N46" s="308">
        <v>5742</v>
      </c>
      <c r="O46" s="308">
        <v>2633</v>
      </c>
      <c r="P46" s="308">
        <v>2365</v>
      </c>
      <c r="Q46" s="309">
        <v>0</v>
      </c>
      <c r="R46" s="308">
        <v>951.35338417802063</v>
      </c>
      <c r="S46" s="308">
        <f>IFERROR(INDEX(tblPiNAnalysis[CCCM], MATCH(tblPiNHistorical[[#This Row],[ID]], tblPiNAnalysis[ID], 0)), "")</f>
        <v>241.5</v>
      </c>
      <c r="T46" s="310">
        <f>IFERROR(INDEX(tblPiNAnalysis[Education], MATCH(tblPiNHistorical[[#This Row],[ID]], tblPiNAnalysis[ID], 0)), "")</f>
        <v>711</v>
      </c>
      <c r="U46" s="308">
        <f>IFERROR(INDEX(tblPiNAnalysis[Nutrition], MATCH(tblPiNHistorical[[#This Row],[ID]], tblPiNAnalysis[ID], 0)), "")</f>
        <v>1043</v>
      </c>
      <c r="V46" s="308">
        <f>IFERROR(INDEX(tblPiNAnalysis[Food Security], MATCH(tblPiNHistorical[[#This Row],[ID]], tblPiNAnalysis[ID], 0)), "")</f>
        <v>5682</v>
      </c>
      <c r="W46" s="308">
        <f>IFERROR(INDEX(tblPiNAnalysis[Health], MATCH(tblPiNHistorical[[#This Row],[ID]], tblPiNAnalysis[ID], 0)), "")</f>
        <v>582.62875900621111</v>
      </c>
      <c r="X46" s="308">
        <f>IFERROR(INDEX(tblPiNAnalysis[Protection], MATCH(tblPiNHistorical[[#This Row],[ID]], tblPiNAnalysis[ID], 0)), "")</f>
        <v>342.1</v>
      </c>
      <c r="Y46" s="308">
        <f>IFERROR(INDEX(tblPiNAnalysis[Shelter], MATCH(tblPiNHistorical[[#This Row],[ID]], tblPiNAnalysis[ID], 0)), "")</f>
        <v>0</v>
      </c>
      <c r="Z46" s="308">
        <f>IFERROR(INDEX(tblPiNAnalysis[WASH], MATCH(tblPiNHistorical[[#This Row],[ID]], tblPiNAnalysis[ID], 0)), "")</f>
        <v>1242.56</v>
      </c>
      <c r="AA46" s="311">
        <f>IF(OR(tblPiNHistorical[[#This Row],[CCCM - old]]="", tblPiNHistorical[[#This Row],[CCCM - old]]=0, tblPiNHistorical[[#This Row],[CCCM - new]]="", tblPiNHistorical[[#This Row],[CCCM - new]]=0), "", tblPiNHistorical[[#This Row],[CCCM - new]]-tblPiNHistorical[[#This Row],[CCCM - old]])</f>
        <v>163.5</v>
      </c>
      <c r="AB46" s="312">
        <f>IF(OR(tblPiNHistorical[[#This Row],[Education - old]]="", tblPiNHistorical[[#This Row],[Education - old]]=0, tblPiNHistorical[[#This Row],[Education - new]]="", tblPiNHistorical[[#This Row],[Education - new]]=0), "", tblPiNHistorical[[#This Row],[Education - new]]-tblPiNHistorical[[#This Row],[Education - old]])</f>
        <v>-413</v>
      </c>
      <c r="AC46" s="312">
        <f>IF(OR(tblPiNHistorical[[#This Row],[Nutrition - old]]="", tblPiNHistorical[[#This Row],[Nutrition - old]]=0, tblPiNHistorical[[#This Row],[Nutrition - new]]="", tblPiNHistorical[[#This Row],[Nutrition - new]]=0), "", tblPiNHistorical[[#This Row],[Nutrition - new]]-tblPiNHistorical[[#This Row],[Nutrition - old]])</f>
        <v>12</v>
      </c>
      <c r="AD46" s="312">
        <f>IF(OR(tblPiNHistorical[[#This Row],[Food Security - old]]="", tblPiNHistorical[[#This Row],[Food Security - old]]=0, tblPiNHistorical[[#This Row],[Food Security - new]]="", tblPiNHistorical[[#This Row],[Food Security - new]]=0), "", tblPiNHistorical[[#This Row],[Food Security - new]]-tblPiNHistorical[[#This Row],[Food Security - old]])</f>
        <v>-60</v>
      </c>
      <c r="AE46" s="312">
        <f>IF(OR(tblPiNHistorical[[#This Row],[Health - old]]="", tblPiNHistorical[[#This Row],[Health - old]]=0, tblPiNHistorical[[#This Row],[Health - new]]="", tblPiNHistorical[[#This Row],[Health - new]]=0), "", tblPiNHistorical[[#This Row],[Health - new]]-tblPiNHistorical[[#This Row],[Health - old]])</f>
        <v>-2050.3712409937889</v>
      </c>
      <c r="AF4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-2022.9</v>
      </c>
      <c r="AG46" s="312" t="str">
        <f>IF(OR(tblPiNHistorical[[#This Row],[Shelter - old]]="", tblPiNHistorical[[#This Row],[Shelter - old]]=0, tblPiNHistorical[[#This Row],[Shelter - new]]="", tblPiNHistorical[[#This Row],[Shelter - new]]=0), "", tblPiNHistorical[[#This Row],[Shelter - new]]-tblPiNHistorical[[#This Row],[Shelter - old]])</f>
        <v/>
      </c>
      <c r="AH46" s="313">
        <f>IF(OR(tblPiNHistorical[[#This Row],[WASH - old]]="", tblPiNHistorical[[#This Row],[WASH - old]]=0, tblPiNHistorical[[#This Row],[WASH - new]]="", tblPiNHistorical[[#This Row],[WASH - new]]=0), "", tblPiNHistorical[[#This Row],[WASH - new]]-tblPiNHistorical[[#This Row],[WASH - old]])</f>
        <v>291.20661582197931</v>
      </c>
      <c r="AI46" s="314">
        <f>IFERROR(ROUND((tblPiNHistorical[[#This Row],[CCCM - new]] - tblPiNHistorical[[#This Row],[CCCM - old]])/tblPiNHistorical[[#This Row],[CCCM - old]], 1), "")</f>
        <v>2.1</v>
      </c>
      <c r="AJ46" s="315">
        <f>IFERROR(ROUND((tblPiNHistorical[[#This Row],[Education - new]]-tblPiNHistorical[[#This Row],[Education - old]])/tblPiNHistorical[[#This Row],[Education - old]], 1), "")</f>
        <v>-0.4</v>
      </c>
      <c r="AK46" s="315">
        <f>IFERROR(ROUND((tblPiNHistorical[[#This Row],[Nutrition - new]]-tblPiNHistorical[[#This Row],[Nutrition - old]])/tblPiNHistorical[[#This Row],[Nutrition - old]], 1), "")</f>
        <v>0</v>
      </c>
      <c r="AL46" s="315">
        <f>IFERROR(ROUND((tblPiNHistorical[[#This Row],[Food Security - new]]-tblPiNHistorical[[#This Row],[Food Security - old]])/tblPiNHistorical[[#This Row],[Food Security - old]], 1), "")</f>
        <v>0</v>
      </c>
      <c r="AM46" s="315">
        <f>IFERROR(ROUND((tblPiNHistorical[[#This Row],[Health - new]]-tblPiNHistorical[[#This Row],[Health - old]])/tblPiNHistorical[[#This Row],[Health - old]], 1), "")</f>
        <v>-0.8</v>
      </c>
      <c r="AN46" s="315">
        <f>IFERROR(ROUND((tblPiNHistorical[[#This Row],[Overarching Protection - new]]-tblPiNHistorical[[#This Row],[Overarching Protection - old]])/tblPiNHistorical[[#This Row],[Overarching Protection - old]], 1), "")</f>
        <v>-0.9</v>
      </c>
      <c r="AO46" s="315" t="str">
        <f>IFERROR(ROUND((tblPiNHistorical[[#This Row],[Shelter - new]]-tblPiNHistorical[[#This Row],[Shelter - old]])/tblPiNHistorical[[#This Row],[Shelter - old]], 1), "")</f>
        <v/>
      </c>
      <c r="AP46" s="37">
        <f>IFERROR(ROUND((tblPiNHistorical[[#This Row],[WASH - new]]-tblPiNHistorical[[#This Row],[WASH - old]])/tblPiNHistorical[[#This Row],[WASH - old]], 1), "")</f>
        <v>0.3</v>
      </c>
    </row>
    <row r="47" spans="1:42">
      <c r="A4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Global_PopulationHT0351</v>
      </c>
      <c r="B47" s="304" t="s">
        <v>219</v>
      </c>
      <c r="C47" s="213" t="s">
        <v>220</v>
      </c>
      <c r="D47" s="213" t="s">
        <v>247</v>
      </c>
      <c r="E47" s="103" t="s">
        <v>248</v>
      </c>
      <c r="F47" s="99"/>
      <c r="G47" s="34"/>
      <c r="H47" s="331"/>
      <c r="I47" s="96">
        <v>70765</v>
      </c>
      <c r="J47" s="241" t="s">
        <v>156</v>
      </c>
      <c r="K47" s="305">
        <v>933</v>
      </c>
      <c r="L47" s="306">
        <v>7248</v>
      </c>
      <c r="M47" s="308">
        <v>6567</v>
      </c>
      <c r="N47" s="308">
        <v>32807</v>
      </c>
      <c r="O47" s="308">
        <v>18204</v>
      </c>
      <c r="P47" s="308">
        <v>15209</v>
      </c>
      <c r="Q47" s="309">
        <v>26304</v>
      </c>
      <c r="R47" s="308">
        <v>10637.441941571309</v>
      </c>
      <c r="S47" s="308">
        <f>IFERROR(INDEX(tblPiNAnalysis[CCCM], MATCH(tblPiNHistorical[[#This Row],[ID]], tblPiNAnalysis[ID], 0)), "")</f>
        <v>5872.5</v>
      </c>
      <c r="T47" s="310">
        <f>IFERROR(INDEX(tblPiNAnalysis[Education], MATCH(tblPiNHistorical[[#This Row],[ID]], tblPiNAnalysis[ID], 0)), "")</f>
        <v>4835</v>
      </c>
      <c r="U47" s="308">
        <f>IFERROR(INDEX(tblPiNAnalysis[Nutrition], MATCH(tblPiNHistorical[[#This Row],[ID]], tblPiNAnalysis[ID], 0)), "")</f>
        <v>6858</v>
      </c>
      <c r="V47" s="308">
        <f>IFERROR(INDEX(tblPiNAnalysis[Food Security], MATCH(tblPiNHistorical[[#This Row],[ID]], tblPiNAnalysis[ID], 0)), "")</f>
        <v>36071</v>
      </c>
      <c r="W47" s="308">
        <f>IFERROR(INDEX(tblPiNAnalysis[Health], MATCH(tblPiNHistorical[[#This Row],[ID]], tblPiNAnalysis[ID], 0)), "")</f>
        <v>7420.8378257982122</v>
      </c>
      <c r="X47" s="308">
        <f>IFERROR(INDEX(tblPiNAnalysis[Protection], MATCH(tblPiNHistorical[[#This Row],[ID]], tblPiNAnalysis[ID], 0)), "")</f>
        <v>4147.08</v>
      </c>
      <c r="Y47" s="308">
        <f>IFERROR(INDEX(tblPiNAnalysis[Shelter], MATCH(tblPiNHistorical[[#This Row],[ID]], tblPiNAnalysis[ID], 0)), "")</f>
        <v>0</v>
      </c>
      <c r="Z47" s="308">
        <f>IFERROR(INDEX(tblPiNAnalysis[WASH], MATCH(tblPiNHistorical[[#This Row],[ID]], tblPiNAnalysis[ID], 0)), "")</f>
        <v>39313.888888888891</v>
      </c>
      <c r="AA47" s="311">
        <f>IF(OR(tblPiNHistorical[[#This Row],[CCCM - old]]="", tblPiNHistorical[[#This Row],[CCCM - old]]=0, tblPiNHistorical[[#This Row],[CCCM - new]]="", tblPiNHistorical[[#This Row],[CCCM - new]]=0), "", tblPiNHistorical[[#This Row],[CCCM - new]]-tblPiNHistorical[[#This Row],[CCCM - old]])</f>
        <v>4939.5</v>
      </c>
      <c r="AB47" s="312">
        <f>IF(OR(tblPiNHistorical[[#This Row],[Education - old]]="", tblPiNHistorical[[#This Row],[Education - old]]=0, tblPiNHistorical[[#This Row],[Education - new]]="", tblPiNHistorical[[#This Row],[Education - new]]=0), "", tblPiNHistorical[[#This Row],[Education - new]]-tblPiNHistorical[[#This Row],[Education - old]])</f>
        <v>-2413</v>
      </c>
      <c r="AC47" s="312">
        <f>IF(OR(tblPiNHistorical[[#This Row],[Nutrition - old]]="", tblPiNHistorical[[#This Row],[Nutrition - old]]=0, tblPiNHistorical[[#This Row],[Nutrition - new]]="", tblPiNHistorical[[#This Row],[Nutrition - new]]=0), "", tblPiNHistorical[[#This Row],[Nutrition - new]]-tblPiNHistorical[[#This Row],[Nutrition - old]])</f>
        <v>291</v>
      </c>
      <c r="AD47" s="312">
        <f>IF(OR(tblPiNHistorical[[#This Row],[Food Security - old]]="", tblPiNHistorical[[#This Row],[Food Security - old]]=0, tblPiNHistorical[[#This Row],[Food Security - new]]="", tblPiNHistorical[[#This Row],[Food Security - new]]=0), "", tblPiNHistorical[[#This Row],[Food Security - new]]-tblPiNHistorical[[#This Row],[Food Security - old]])</f>
        <v>3264</v>
      </c>
      <c r="AE47" s="312">
        <f>IF(OR(tblPiNHistorical[[#This Row],[Health - old]]="", tblPiNHistorical[[#This Row],[Health - old]]=0, tblPiNHistorical[[#This Row],[Health - new]]="", tblPiNHistorical[[#This Row],[Health - new]]=0), "", tblPiNHistorical[[#This Row],[Health - new]]-tblPiNHistorical[[#This Row],[Health - old]])</f>
        <v>-10783.162174201789</v>
      </c>
      <c r="AF4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-11061.92</v>
      </c>
      <c r="AG47" s="312" t="str">
        <f>IF(OR(tblPiNHistorical[[#This Row],[Shelter - old]]="", tblPiNHistorical[[#This Row],[Shelter - old]]=0, tblPiNHistorical[[#This Row],[Shelter - new]]="", tblPiNHistorical[[#This Row],[Shelter - new]]=0), "", tblPiNHistorical[[#This Row],[Shelter - new]]-tblPiNHistorical[[#This Row],[Shelter - old]])</f>
        <v/>
      </c>
      <c r="AH47" s="313">
        <f>IF(OR(tblPiNHistorical[[#This Row],[WASH - old]]="", tblPiNHistorical[[#This Row],[WASH - old]]=0, tblPiNHistorical[[#This Row],[WASH - new]]="", tblPiNHistorical[[#This Row],[WASH - new]]=0), "", tblPiNHistorical[[#This Row],[WASH - new]]-tblPiNHistorical[[#This Row],[WASH - old]])</f>
        <v>28676.446947317581</v>
      </c>
      <c r="AI47" s="314">
        <f>IFERROR(ROUND((tblPiNHistorical[[#This Row],[CCCM - new]] - tblPiNHistorical[[#This Row],[CCCM - old]])/tblPiNHistorical[[#This Row],[CCCM - old]], 1), "")</f>
        <v>5.3</v>
      </c>
      <c r="AJ47" s="315">
        <f>IFERROR(ROUND((tblPiNHistorical[[#This Row],[Education - new]]-tblPiNHistorical[[#This Row],[Education - old]])/tblPiNHistorical[[#This Row],[Education - old]], 1), "")</f>
        <v>-0.3</v>
      </c>
      <c r="AK47" s="315">
        <f>IFERROR(ROUND((tblPiNHistorical[[#This Row],[Nutrition - new]]-tblPiNHistorical[[#This Row],[Nutrition - old]])/tblPiNHistorical[[#This Row],[Nutrition - old]], 1), "")</f>
        <v>0</v>
      </c>
      <c r="AL47" s="315">
        <f>IFERROR(ROUND((tblPiNHistorical[[#This Row],[Food Security - new]]-tblPiNHistorical[[#This Row],[Food Security - old]])/tblPiNHistorical[[#This Row],[Food Security - old]], 1), "")</f>
        <v>0.1</v>
      </c>
      <c r="AM47" s="315">
        <f>IFERROR(ROUND((tblPiNHistorical[[#This Row],[Health - new]]-tblPiNHistorical[[#This Row],[Health - old]])/tblPiNHistorical[[#This Row],[Health - old]], 1), "")</f>
        <v>-0.6</v>
      </c>
      <c r="AN47" s="315">
        <f>IFERROR(ROUND((tblPiNHistorical[[#This Row],[Overarching Protection - new]]-tblPiNHistorical[[#This Row],[Overarching Protection - old]])/tblPiNHistorical[[#This Row],[Overarching Protection - old]], 1), "")</f>
        <v>-0.7</v>
      </c>
      <c r="AO47" s="315">
        <f>IFERROR(ROUND((tblPiNHistorical[[#This Row],[Shelter - new]]-tblPiNHistorical[[#This Row],[Shelter - old]])/tblPiNHistorical[[#This Row],[Shelter - old]], 1), "")</f>
        <v>-1</v>
      </c>
      <c r="AP47" s="37">
        <f>IFERROR(ROUND((tblPiNHistorical[[#This Row],[WASH - new]]-tblPiNHistorical[[#This Row],[WASH - old]])/tblPiNHistorical[[#This Row],[WASH - old]], 1), "")</f>
        <v>2.7</v>
      </c>
    </row>
    <row r="48" spans="1:42">
      <c r="A4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Global_PopulationHT0352</v>
      </c>
      <c r="B48" s="304" t="s">
        <v>219</v>
      </c>
      <c r="C48" s="213" t="s">
        <v>220</v>
      </c>
      <c r="D48" s="213" t="s">
        <v>249</v>
      </c>
      <c r="E48" s="103" t="s">
        <v>250</v>
      </c>
      <c r="F48" s="99"/>
      <c r="G48" s="34"/>
      <c r="H48" s="331"/>
      <c r="I48" s="96">
        <v>52745</v>
      </c>
      <c r="J48" s="241" t="s">
        <v>156</v>
      </c>
      <c r="K48" s="305">
        <v>695</v>
      </c>
      <c r="L48" s="306">
        <v>5070</v>
      </c>
      <c r="M48" s="308">
        <v>4894</v>
      </c>
      <c r="N48" s="308">
        <v>24452</v>
      </c>
      <c r="O48" s="308">
        <v>14687</v>
      </c>
      <c r="P48" s="308">
        <v>4805</v>
      </c>
      <c r="Q48" s="309">
        <v>0</v>
      </c>
      <c r="R48" s="308">
        <v>6852.0102883422342</v>
      </c>
      <c r="S48" s="308">
        <f>IFERROR(INDEX(tblPiNAnalysis[CCCM], MATCH(tblPiNHistorical[[#This Row],[ID]], tblPiNAnalysis[ID], 0)), "")</f>
        <v>1572</v>
      </c>
      <c r="T48" s="310">
        <f>IFERROR(INDEX(tblPiNAnalysis[Education], MATCH(tblPiNHistorical[[#This Row],[ID]], tblPiNAnalysis[ID], 0)), "")</f>
        <v>3437</v>
      </c>
      <c r="U48" s="308">
        <f>IFERROR(INDEX(tblPiNAnalysis[Nutrition], MATCH(tblPiNHistorical[[#This Row],[ID]], tblPiNAnalysis[ID], 0)), "")</f>
        <v>4971</v>
      </c>
      <c r="V48" s="308">
        <f>IFERROR(INDEX(tblPiNAnalysis[Food Security], MATCH(tblPiNHistorical[[#This Row],[ID]], tblPiNAnalysis[ID], 0)), "")</f>
        <v>26885</v>
      </c>
      <c r="W48" s="308">
        <f>IFERROR(INDEX(tblPiNAnalysis[Health], MATCH(tblPiNHistorical[[#This Row],[ID]], tblPiNAnalysis[ID], 0)), "")</f>
        <v>2334.7741068702289</v>
      </c>
      <c r="X48" s="308">
        <f>IFERROR(INDEX(tblPiNAnalysis[Protection], MATCH(tblPiNHistorical[[#This Row],[ID]], tblPiNAnalysis[ID], 0)), "")</f>
        <v>1759.44</v>
      </c>
      <c r="Y48" s="308">
        <f>IFERROR(INDEX(tblPiNAnalysis[Shelter], MATCH(tblPiNHistorical[[#This Row],[ID]], tblPiNAnalysis[ID], 0)), "")</f>
        <v>0</v>
      </c>
      <c r="Z48" s="308">
        <f>IFERROR(INDEX(tblPiNAnalysis[WASH], MATCH(tblPiNHistorical[[#This Row],[ID]], tblPiNAnalysis[ID], 0)), "")</f>
        <v>19779.375</v>
      </c>
      <c r="AA48" s="311">
        <f>IF(OR(tblPiNHistorical[[#This Row],[CCCM - old]]="", tblPiNHistorical[[#This Row],[CCCM - old]]=0, tblPiNHistorical[[#This Row],[CCCM - new]]="", tblPiNHistorical[[#This Row],[CCCM - new]]=0), "", tblPiNHistorical[[#This Row],[CCCM - new]]-tblPiNHistorical[[#This Row],[CCCM - old]])</f>
        <v>877</v>
      </c>
      <c r="AB48" s="312">
        <f>IF(OR(tblPiNHistorical[[#This Row],[Education - old]]="", tblPiNHistorical[[#This Row],[Education - old]]=0, tblPiNHistorical[[#This Row],[Education - new]]="", tblPiNHistorical[[#This Row],[Education - new]]=0), "", tblPiNHistorical[[#This Row],[Education - new]]-tblPiNHistorical[[#This Row],[Education - old]])</f>
        <v>-1633</v>
      </c>
      <c r="AC48" s="312">
        <f>IF(OR(tblPiNHistorical[[#This Row],[Nutrition - old]]="", tblPiNHistorical[[#This Row],[Nutrition - old]]=0, tblPiNHistorical[[#This Row],[Nutrition - new]]="", tblPiNHistorical[[#This Row],[Nutrition - new]]=0), "", tblPiNHistorical[[#This Row],[Nutrition - new]]-tblPiNHistorical[[#This Row],[Nutrition - old]])</f>
        <v>77</v>
      </c>
      <c r="AD48" s="312">
        <f>IF(OR(tblPiNHistorical[[#This Row],[Food Security - old]]="", tblPiNHistorical[[#This Row],[Food Security - old]]=0, tblPiNHistorical[[#This Row],[Food Security - new]]="", tblPiNHistorical[[#This Row],[Food Security - new]]=0), "", tblPiNHistorical[[#This Row],[Food Security - new]]-tblPiNHistorical[[#This Row],[Food Security - old]])</f>
        <v>2433</v>
      </c>
      <c r="AE48" s="312">
        <f>IF(OR(tblPiNHistorical[[#This Row],[Health - old]]="", tblPiNHistorical[[#This Row],[Health - old]]=0, tblPiNHistorical[[#This Row],[Health - new]]="", tblPiNHistorical[[#This Row],[Health - new]]=0), "", tblPiNHistorical[[#This Row],[Health - new]]-tblPiNHistorical[[#This Row],[Health - old]])</f>
        <v>-12352.225893129771</v>
      </c>
      <c r="AF4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-3045.56</v>
      </c>
      <c r="AG48" s="312" t="str">
        <f>IF(OR(tblPiNHistorical[[#This Row],[Shelter - old]]="", tblPiNHistorical[[#This Row],[Shelter - old]]=0, tblPiNHistorical[[#This Row],[Shelter - new]]="", tblPiNHistorical[[#This Row],[Shelter - new]]=0), "", tblPiNHistorical[[#This Row],[Shelter - new]]-tblPiNHistorical[[#This Row],[Shelter - old]])</f>
        <v/>
      </c>
      <c r="AH48" s="313">
        <f>IF(OR(tblPiNHistorical[[#This Row],[WASH - old]]="", tblPiNHistorical[[#This Row],[WASH - old]]=0, tblPiNHistorical[[#This Row],[WASH - new]]="", tblPiNHistorical[[#This Row],[WASH - new]]=0), "", tblPiNHistorical[[#This Row],[WASH - new]]-tblPiNHistorical[[#This Row],[WASH - old]])</f>
        <v>12927.364711657767</v>
      </c>
      <c r="AI48" s="314">
        <f>IFERROR(ROUND((tblPiNHistorical[[#This Row],[CCCM - new]] - tblPiNHistorical[[#This Row],[CCCM - old]])/tblPiNHistorical[[#This Row],[CCCM - old]], 1), "")</f>
        <v>1.3</v>
      </c>
      <c r="AJ48" s="315">
        <f>IFERROR(ROUND((tblPiNHistorical[[#This Row],[Education - new]]-tblPiNHistorical[[#This Row],[Education - old]])/tblPiNHistorical[[#This Row],[Education - old]], 1), "")</f>
        <v>-0.3</v>
      </c>
      <c r="AK48" s="315">
        <f>IFERROR(ROUND((tblPiNHistorical[[#This Row],[Nutrition - new]]-tblPiNHistorical[[#This Row],[Nutrition - old]])/tblPiNHistorical[[#This Row],[Nutrition - old]], 1), "")</f>
        <v>0</v>
      </c>
      <c r="AL48" s="315">
        <f>IFERROR(ROUND((tblPiNHistorical[[#This Row],[Food Security - new]]-tblPiNHistorical[[#This Row],[Food Security - old]])/tblPiNHistorical[[#This Row],[Food Security - old]], 1), "")</f>
        <v>0.1</v>
      </c>
      <c r="AM48" s="315">
        <f>IFERROR(ROUND((tblPiNHistorical[[#This Row],[Health - new]]-tblPiNHistorical[[#This Row],[Health - old]])/tblPiNHistorical[[#This Row],[Health - old]], 1), "")</f>
        <v>-0.8</v>
      </c>
      <c r="AN48" s="315">
        <f>IFERROR(ROUND((tblPiNHistorical[[#This Row],[Overarching Protection - new]]-tblPiNHistorical[[#This Row],[Overarching Protection - old]])/tblPiNHistorical[[#This Row],[Overarching Protection - old]], 1), "")</f>
        <v>-0.6</v>
      </c>
      <c r="AO48" s="315" t="str">
        <f>IFERROR(ROUND((tblPiNHistorical[[#This Row],[Shelter - new]]-tblPiNHistorical[[#This Row],[Shelter - old]])/tblPiNHistorical[[#This Row],[Shelter - old]], 1), "")</f>
        <v/>
      </c>
      <c r="AP48" s="37">
        <f>IFERROR(ROUND((tblPiNHistorical[[#This Row],[WASH - new]]-tblPiNHistorical[[#This Row],[WASH - old]])/tblPiNHistorical[[#This Row],[WASH - old]], 1), "")</f>
        <v>1.9</v>
      </c>
    </row>
    <row r="49" spans="1:42">
      <c r="A4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Global_PopulationHT0361</v>
      </c>
      <c r="B49" s="304" t="s">
        <v>219</v>
      </c>
      <c r="C49" s="213" t="s">
        <v>220</v>
      </c>
      <c r="D49" s="213" t="s">
        <v>251</v>
      </c>
      <c r="E49" s="103" t="s">
        <v>252</v>
      </c>
      <c r="F49" s="99"/>
      <c r="G49" s="34"/>
      <c r="H49" s="331"/>
      <c r="I49" s="96">
        <v>90050</v>
      </c>
      <c r="J49" s="241" t="s">
        <v>156</v>
      </c>
      <c r="K49" s="305">
        <v>963</v>
      </c>
      <c r="L49" s="306">
        <v>8078</v>
      </c>
      <c r="M49" s="308">
        <v>8360</v>
      </c>
      <c r="N49" s="308">
        <v>41818</v>
      </c>
      <c r="O49" s="308">
        <v>23856</v>
      </c>
      <c r="P49" s="308">
        <v>7661</v>
      </c>
      <c r="Q49" s="309">
        <v>26822</v>
      </c>
      <c r="R49" s="308">
        <v>15737.210553128865</v>
      </c>
      <c r="S49" s="308">
        <f>IFERROR(INDEX(tblPiNAnalysis[CCCM], MATCH(tblPiNHistorical[[#This Row],[ID]], tblPiNAnalysis[ID], 0)), "")</f>
        <v>10486.5</v>
      </c>
      <c r="T49" s="310">
        <f>IFERROR(INDEX(tblPiNAnalysis[Education], MATCH(tblPiNHistorical[[#This Row],[ID]], tblPiNAnalysis[ID], 0)), "")</f>
        <v>5528</v>
      </c>
      <c r="U49" s="308">
        <f>IFERROR(INDEX(tblPiNAnalysis[Nutrition], MATCH(tblPiNHistorical[[#This Row],[ID]], tblPiNAnalysis[ID], 0)), "")</f>
        <v>8881</v>
      </c>
      <c r="V49" s="308">
        <f>IFERROR(INDEX(tblPiNAnalysis[Food Security], MATCH(tblPiNHistorical[[#This Row],[ID]], tblPiNAnalysis[ID], 0)), "")</f>
        <v>45978</v>
      </c>
      <c r="W49" s="308">
        <f>IFERROR(INDEX(tblPiNAnalysis[Health], MATCH(tblPiNHistorical[[#This Row],[ID]], tblPiNAnalysis[ID], 0)), "")</f>
        <v>12470.221333600344</v>
      </c>
      <c r="X49" s="308">
        <f>IFERROR(INDEX(tblPiNAnalysis[Protection], MATCH(tblPiNHistorical[[#This Row],[ID]], tblPiNAnalysis[ID], 0)), "")</f>
        <v>8329.5</v>
      </c>
      <c r="Y49" s="308">
        <f>IFERROR(INDEX(tblPiNAnalysis[Shelter], MATCH(tblPiNHistorical[[#This Row],[ID]], tblPiNAnalysis[ID], 0)), "")</f>
        <v>25909</v>
      </c>
      <c r="Z49" s="308">
        <f>IFERROR(INDEX(tblPiNAnalysis[WASH], MATCH(tblPiNHistorical[[#This Row],[ID]], tblPiNAnalysis[ID], 0)), "")</f>
        <v>6991</v>
      </c>
      <c r="AA49" s="311">
        <f>IF(OR(tblPiNHistorical[[#This Row],[CCCM - old]]="", tblPiNHistorical[[#This Row],[CCCM - old]]=0, tblPiNHistorical[[#This Row],[CCCM - new]]="", tblPiNHistorical[[#This Row],[CCCM - new]]=0), "", tblPiNHistorical[[#This Row],[CCCM - new]]-tblPiNHistorical[[#This Row],[CCCM - old]])</f>
        <v>9523.5</v>
      </c>
      <c r="AB49" s="312">
        <f>IF(OR(tblPiNHistorical[[#This Row],[Education - old]]="", tblPiNHistorical[[#This Row],[Education - old]]=0, tblPiNHistorical[[#This Row],[Education - new]]="", tblPiNHistorical[[#This Row],[Education - new]]=0), "", tblPiNHistorical[[#This Row],[Education - new]]-tblPiNHistorical[[#This Row],[Education - old]])</f>
        <v>-2550</v>
      </c>
      <c r="AC49" s="312">
        <f>IF(OR(tblPiNHistorical[[#This Row],[Nutrition - old]]="", tblPiNHistorical[[#This Row],[Nutrition - old]]=0, tblPiNHistorical[[#This Row],[Nutrition - new]]="", tblPiNHistorical[[#This Row],[Nutrition - new]]=0), "", tblPiNHistorical[[#This Row],[Nutrition - new]]-tblPiNHistorical[[#This Row],[Nutrition - old]])</f>
        <v>521</v>
      </c>
      <c r="AD49" s="312">
        <f>IF(OR(tblPiNHistorical[[#This Row],[Food Security - old]]="", tblPiNHistorical[[#This Row],[Food Security - old]]=0, tblPiNHistorical[[#This Row],[Food Security - new]]="", tblPiNHistorical[[#This Row],[Food Security - new]]=0), "", tblPiNHistorical[[#This Row],[Food Security - new]]-tblPiNHistorical[[#This Row],[Food Security - old]])</f>
        <v>4160</v>
      </c>
      <c r="AE49" s="312">
        <f>IF(OR(tblPiNHistorical[[#This Row],[Health - old]]="", tblPiNHistorical[[#This Row],[Health - old]]=0, tblPiNHistorical[[#This Row],[Health - new]]="", tblPiNHistorical[[#This Row],[Health - new]]=0), "", tblPiNHistorical[[#This Row],[Health - new]]-tblPiNHistorical[[#This Row],[Health - old]])</f>
        <v>-11385.778666399656</v>
      </c>
      <c r="AF4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668.5</v>
      </c>
      <c r="AG49" s="312">
        <f>IF(OR(tblPiNHistorical[[#This Row],[Shelter - old]]="", tblPiNHistorical[[#This Row],[Shelter - old]]=0, tblPiNHistorical[[#This Row],[Shelter - new]]="", tblPiNHistorical[[#This Row],[Shelter - new]]=0), "", tblPiNHistorical[[#This Row],[Shelter - new]]-tblPiNHistorical[[#This Row],[Shelter - old]])</f>
        <v>-913</v>
      </c>
      <c r="AH49" s="313">
        <f>IF(OR(tblPiNHistorical[[#This Row],[WASH - old]]="", tblPiNHistorical[[#This Row],[WASH - old]]=0, tblPiNHistorical[[#This Row],[WASH - new]]="", tblPiNHistorical[[#This Row],[WASH - new]]=0), "", tblPiNHistorical[[#This Row],[WASH - new]]-tblPiNHistorical[[#This Row],[WASH - old]])</f>
        <v>-8746.2105531288653</v>
      </c>
      <c r="AI49" s="314">
        <f>IFERROR(ROUND((tblPiNHistorical[[#This Row],[CCCM - new]] - tblPiNHistorical[[#This Row],[CCCM - old]])/tblPiNHistorical[[#This Row],[CCCM - old]], 1), "")</f>
        <v>9.9</v>
      </c>
      <c r="AJ49" s="315">
        <f>IFERROR(ROUND((tblPiNHistorical[[#This Row],[Education - new]]-tblPiNHistorical[[#This Row],[Education - old]])/tblPiNHistorical[[#This Row],[Education - old]], 1), "")</f>
        <v>-0.3</v>
      </c>
      <c r="AK49" s="315">
        <f>IFERROR(ROUND((tblPiNHistorical[[#This Row],[Nutrition - new]]-tblPiNHistorical[[#This Row],[Nutrition - old]])/tblPiNHistorical[[#This Row],[Nutrition - old]], 1), "")</f>
        <v>0.1</v>
      </c>
      <c r="AL49" s="315">
        <f>IFERROR(ROUND((tblPiNHistorical[[#This Row],[Food Security - new]]-tblPiNHistorical[[#This Row],[Food Security - old]])/tblPiNHistorical[[#This Row],[Food Security - old]], 1), "")</f>
        <v>0.1</v>
      </c>
      <c r="AM49" s="315">
        <f>IFERROR(ROUND((tblPiNHistorical[[#This Row],[Health - new]]-tblPiNHistorical[[#This Row],[Health - old]])/tblPiNHistorical[[#This Row],[Health - old]], 1), "")</f>
        <v>-0.5</v>
      </c>
      <c r="AN49" s="315">
        <f>IFERROR(ROUND((tblPiNHistorical[[#This Row],[Overarching Protection - new]]-tblPiNHistorical[[#This Row],[Overarching Protection - old]])/tblPiNHistorical[[#This Row],[Overarching Protection - old]], 1), "")</f>
        <v>0.1</v>
      </c>
      <c r="AO49" s="315">
        <f>IFERROR(ROUND((tblPiNHistorical[[#This Row],[Shelter - new]]-tblPiNHistorical[[#This Row],[Shelter - old]])/tblPiNHistorical[[#This Row],[Shelter - old]], 1), "")</f>
        <v>0</v>
      </c>
      <c r="AP49" s="37">
        <f>IFERROR(ROUND((tblPiNHistorical[[#This Row],[WASH - new]]-tblPiNHistorical[[#This Row],[WASH - old]])/tblPiNHistorical[[#This Row],[WASH - old]], 1), "")</f>
        <v>-0.6</v>
      </c>
    </row>
    <row r="50" spans="1:42">
      <c r="A5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Global_PopulationHT0362</v>
      </c>
      <c r="B50" s="304" t="s">
        <v>219</v>
      </c>
      <c r="C50" s="213" t="s">
        <v>220</v>
      </c>
      <c r="D50" s="213" t="s">
        <v>253</v>
      </c>
      <c r="E50" s="103" t="s">
        <v>254</v>
      </c>
      <c r="F50" s="99"/>
      <c r="G50" s="34"/>
      <c r="H50" s="331"/>
      <c r="I50" s="96">
        <v>22052</v>
      </c>
      <c r="J50" s="241" t="s">
        <v>156</v>
      </c>
      <c r="K50" s="305">
        <v>219</v>
      </c>
      <c r="L50" s="306">
        <v>2182</v>
      </c>
      <c r="M50" s="308">
        <v>2048</v>
      </c>
      <c r="N50" s="308">
        <v>10245</v>
      </c>
      <c r="O50" s="308">
        <v>5401</v>
      </c>
      <c r="P50" s="308">
        <v>4441</v>
      </c>
      <c r="Q50" s="309">
        <v>6846</v>
      </c>
      <c r="R50" s="308">
        <v>2197.3907273187824</v>
      </c>
      <c r="S50" s="308">
        <f>IFERROR(INDEX(tblPiNAnalysis[CCCM], MATCH(tblPiNHistorical[[#This Row],[ID]], tblPiNAnalysis[ID], 0)), "")</f>
        <v>150</v>
      </c>
      <c r="T50" s="310">
        <f>IFERROR(INDEX(tblPiNAnalysis[Education], MATCH(tblPiNHistorical[[#This Row],[ID]], tblPiNAnalysis[ID], 0)), "")</f>
        <v>1474</v>
      </c>
      <c r="U50" s="308">
        <f>IFERROR(INDEX(tblPiNAnalysis[Nutrition], MATCH(tblPiNHistorical[[#This Row],[ID]], tblPiNAnalysis[ID], 0)), "")</f>
        <v>2055</v>
      </c>
      <c r="V50" s="308">
        <f>IFERROR(INDEX(tblPiNAnalysis[Food Security], MATCH(tblPiNHistorical[[#This Row],[ID]], tblPiNAnalysis[ID], 0)), "")</f>
        <v>11265</v>
      </c>
      <c r="W50" s="308">
        <f>IFERROR(INDEX(tblPiNAnalysis[Health], MATCH(tblPiNHistorical[[#This Row],[ID]], tblPiNAnalysis[ID], 0)), "")</f>
        <v>642.51900000000001</v>
      </c>
      <c r="X50" s="308">
        <f>IFERROR(INDEX(tblPiNAnalysis[Protection], MATCH(tblPiNHistorical[[#This Row],[ID]], tblPiNAnalysis[ID], 0)), "")</f>
        <v>288.8</v>
      </c>
      <c r="Y50" s="308">
        <f>IFERROR(INDEX(tblPiNAnalysis[Shelter], MATCH(tblPiNHistorical[[#This Row],[ID]], tblPiNAnalysis[ID], 0)), "")</f>
        <v>0</v>
      </c>
      <c r="Z50" s="308">
        <f>IFERROR(INDEX(tblPiNAnalysis[WASH], MATCH(tblPiNHistorical[[#This Row],[ID]], tblPiNAnalysis[ID], 0)), "")</f>
        <v>100</v>
      </c>
      <c r="AA50" s="311">
        <f>IF(OR(tblPiNHistorical[[#This Row],[CCCM - old]]="", tblPiNHistorical[[#This Row],[CCCM - old]]=0, tblPiNHistorical[[#This Row],[CCCM - new]]="", tblPiNHistorical[[#This Row],[CCCM - new]]=0), "", tblPiNHistorical[[#This Row],[CCCM - new]]-tblPiNHistorical[[#This Row],[CCCM - old]])</f>
        <v>-69</v>
      </c>
      <c r="AB50" s="312">
        <f>IF(OR(tblPiNHistorical[[#This Row],[Education - old]]="", tblPiNHistorical[[#This Row],[Education - old]]=0, tblPiNHistorical[[#This Row],[Education - new]]="", tblPiNHistorical[[#This Row],[Education - new]]=0), "", tblPiNHistorical[[#This Row],[Education - new]]-tblPiNHistorical[[#This Row],[Education - old]])</f>
        <v>-708</v>
      </c>
      <c r="AC50" s="312">
        <f>IF(OR(tblPiNHistorical[[#This Row],[Nutrition - old]]="", tblPiNHistorical[[#This Row],[Nutrition - old]]=0, tblPiNHistorical[[#This Row],[Nutrition - new]]="", tblPiNHistorical[[#This Row],[Nutrition - new]]=0), "", tblPiNHistorical[[#This Row],[Nutrition - new]]-tblPiNHistorical[[#This Row],[Nutrition - old]])</f>
        <v>7</v>
      </c>
      <c r="AD50" s="312">
        <f>IF(OR(tblPiNHistorical[[#This Row],[Food Security - old]]="", tblPiNHistorical[[#This Row],[Food Security - old]]=0, tblPiNHistorical[[#This Row],[Food Security - new]]="", tblPiNHistorical[[#This Row],[Food Security - new]]=0), "", tblPiNHistorical[[#This Row],[Food Security - new]]-tblPiNHistorical[[#This Row],[Food Security - old]])</f>
        <v>1020</v>
      </c>
      <c r="AE50" s="312">
        <f>IF(OR(tblPiNHistorical[[#This Row],[Health - old]]="", tblPiNHistorical[[#This Row],[Health - old]]=0, tblPiNHistorical[[#This Row],[Health - new]]="", tblPiNHistorical[[#This Row],[Health - new]]=0), "", tblPiNHistorical[[#This Row],[Health - new]]-tblPiNHistorical[[#This Row],[Health - old]])</f>
        <v>-4758.4809999999998</v>
      </c>
      <c r="AF5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-4152.2</v>
      </c>
      <c r="AG50" s="312" t="str">
        <f>IF(OR(tblPiNHistorical[[#This Row],[Shelter - old]]="", tblPiNHistorical[[#This Row],[Shelter - old]]=0, tblPiNHistorical[[#This Row],[Shelter - new]]="", tblPiNHistorical[[#This Row],[Shelter - new]]=0), "", tblPiNHistorical[[#This Row],[Shelter - new]]-tblPiNHistorical[[#This Row],[Shelter - old]])</f>
        <v/>
      </c>
      <c r="AH50" s="313">
        <f>IF(OR(tblPiNHistorical[[#This Row],[WASH - old]]="", tblPiNHistorical[[#This Row],[WASH - old]]=0, tblPiNHistorical[[#This Row],[WASH - new]]="", tblPiNHistorical[[#This Row],[WASH - new]]=0), "", tblPiNHistorical[[#This Row],[WASH - new]]-tblPiNHistorical[[#This Row],[WASH - old]])</f>
        <v>-2097.3907273187824</v>
      </c>
      <c r="AI50" s="314">
        <f>IFERROR(ROUND((tblPiNHistorical[[#This Row],[CCCM - new]] - tblPiNHistorical[[#This Row],[CCCM - old]])/tblPiNHistorical[[#This Row],[CCCM - old]], 1), "")</f>
        <v>-0.3</v>
      </c>
      <c r="AJ50" s="315">
        <f>IFERROR(ROUND((tblPiNHistorical[[#This Row],[Education - new]]-tblPiNHistorical[[#This Row],[Education - old]])/tblPiNHistorical[[#This Row],[Education - old]], 1), "")</f>
        <v>-0.3</v>
      </c>
      <c r="AK50" s="315">
        <f>IFERROR(ROUND((tblPiNHistorical[[#This Row],[Nutrition - new]]-tblPiNHistorical[[#This Row],[Nutrition - old]])/tblPiNHistorical[[#This Row],[Nutrition - old]], 1), "")</f>
        <v>0</v>
      </c>
      <c r="AL50" s="315">
        <f>IFERROR(ROUND((tblPiNHistorical[[#This Row],[Food Security - new]]-tblPiNHistorical[[#This Row],[Food Security - old]])/tblPiNHistorical[[#This Row],[Food Security - old]], 1), "")</f>
        <v>0.1</v>
      </c>
      <c r="AM50" s="315">
        <f>IFERROR(ROUND((tblPiNHistorical[[#This Row],[Health - new]]-tblPiNHistorical[[#This Row],[Health - old]])/tblPiNHistorical[[#This Row],[Health - old]], 1), "")</f>
        <v>-0.9</v>
      </c>
      <c r="AN50" s="315">
        <f>IFERROR(ROUND((tblPiNHistorical[[#This Row],[Overarching Protection - new]]-tblPiNHistorical[[#This Row],[Overarching Protection - old]])/tblPiNHistorical[[#This Row],[Overarching Protection - old]], 1), "")</f>
        <v>-0.9</v>
      </c>
      <c r="AO50" s="315">
        <f>IFERROR(ROUND((tblPiNHistorical[[#This Row],[Shelter - new]]-tblPiNHistorical[[#This Row],[Shelter - old]])/tblPiNHistorical[[#This Row],[Shelter - old]], 1), "")</f>
        <v>-1</v>
      </c>
      <c r="AP50" s="37">
        <f>IFERROR(ROUND((tblPiNHistorical[[#This Row],[WASH - new]]-tblPiNHistorical[[#This Row],[WASH - old]])/tblPiNHistorical[[#This Row],[WASH - old]], 1), "")</f>
        <v>-1</v>
      </c>
    </row>
    <row r="51" spans="1:42">
      <c r="A5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Global_PopulationHT0371</v>
      </c>
      <c r="B51" s="304" t="s">
        <v>219</v>
      </c>
      <c r="C51" s="213" t="s">
        <v>220</v>
      </c>
      <c r="D51" s="213" t="s">
        <v>255</v>
      </c>
      <c r="E51" s="103" t="s">
        <v>256</v>
      </c>
      <c r="F51" s="99"/>
      <c r="G51" s="34"/>
      <c r="H51" s="331"/>
      <c r="I51" s="96">
        <v>76929</v>
      </c>
      <c r="J51" s="241" t="s">
        <v>156</v>
      </c>
      <c r="K51" s="305">
        <v>5939</v>
      </c>
      <c r="L51" s="306">
        <v>7676</v>
      </c>
      <c r="M51" s="308">
        <v>7080</v>
      </c>
      <c r="N51" s="308">
        <v>34112</v>
      </c>
      <c r="O51" s="308">
        <v>28788</v>
      </c>
      <c r="P51" s="308">
        <v>6299</v>
      </c>
      <c r="Q51" s="309">
        <v>25540</v>
      </c>
      <c r="R51" s="308">
        <v>24320.9693272558</v>
      </c>
      <c r="S51" s="308">
        <f>IFERROR(INDEX(tblPiNAnalysis[CCCM], MATCH(tblPiNHistorical[[#This Row],[ID]], tblPiNAnalysis[ID], 0)), "")</f>
        <v>18052.5</v>
      </c>
      <c r="T51" s="310">
        <f>IFERROR(INDEX(tblPiNAnalysis[Education], MATCH(tblPiNHistorical[[#This Row],[ID]], tblPiNAnalysis[ID], 0)), "")</f>
        <v>5215</v>
      </c>
      <c r="U51" s="308">
        <f>IFERROR(INDEX(tblPiNAnalysis[Nutrition], MATCH(tblPiNHistorical[[#This Row],[ID]], tblPiNAnalysis[ID], 0)), "")</f>
        <v>7962</v>
      </c>
      <c r="V51" s="308">
        <f>IFERROR(INDEX(tblPiNAnalysis[Food Security], MATCH(tblPiNHistorical[[#This Row],[ID]], tblPiNAnalysis[ID], 0)), "")</f>
        <v>37506</v>
      </c>
      <c r="W51" s="308">
        <f>IFERROR(INDEX(tblPiNAnalysis[Health], MATCH(tblPiNHistorical[[#This Row],[ID]], tblPiNAnalysis[ID], 0)), "")</f>
        <v>26544.557161006953</v>
      </c>
      <c r="X51" s="308">
        <f>IFERROR(INDEX(tblPiNAnalysis[Protection], MATCH(tblPiNHistorical[[#This Row],[ID]], tblPiNAnalysis[ID], 0)), "")</f>
        <v>11141.046666666669</v>
      </c>
      <c r="Y51" s="308">
        <f>IFERROR(INDEX(tblPiNAnalysis[Shelter], MATCH(tblPiNHistorical[[#This Row],[ID]], tblPiNAnalysis[ID], 0)), "")</f>
        <v>40576</v>
      </c>
      <c r="Z51" s="308">
        <f>IFERROR(INDEX(tblPiNAnalysis[WASH], MATCH(tblPiNHistorical[[#This Row],[ID]], tblPiNAnalysis[ID], 0)), "")</f>
        <v>25643</v>
      </c>
      <c r="AA51" s="311">
        <f>IF(OR(tblPiNHistorical[[#This Row],[CCCM - old]]="", tblPiNHistorical[[#This Row],[CCCM - old]]=0, tblPiNHistorical[[#This Row],[CCCM - new]]="", tblPiNHistorical[[#This Row],[CCCM - new]]=0), "", tblPiNHistorical[[#This Row],[CCCM - new]]-tblPiNHistorical[[#This Row],[CCCM - old]])</f>
        <v>12113.5</v>
      </c>
      <c r="AB51" s="312">
        <f>IF(OR(tblPiNHistorical[[#This Row],[Education - old]]="", tblPiNHistorical[[#This Row],[Education - old]]=0, tblPiNHistorical[[#This Row],[Education - new]]="", tblPiNHistorical[[#This Row],[Education - new]]=0), "", tblPiNHistorical[[#This Row],[Education - new]]-tblPiNHistorical[[#This Row],[Education - old]])</f>
        <v>-2461</v>
      </c>
      <c r="AC51" s="312">
        <f>IF(OR(tblPiNHistorical[[#This Row],[Nutrition - old]]="", tblPiNHistorical[[#This Row],[Nutrition - old]]=0, tblPiNHistorical[[#This Row],[Nutrition - new]]="", tblPiNHistorical[[#This Row],[Nutrition - new]]=0), "", tblPiNHistorical[[#This Row],[Nutrition - new]]-tblPiNHistorical[[#This Row],[Nutrition - old]])</f>
        <v>882</v>
      </c>
      <c r="AD51" s="312">
        <f>IF(OR(tblPiNHistorical[[#This Row],[Food Security - old]]="", tblPiNHistorical[[#This Row],[Food Security - old]]=0, tblPiNHistorical[[#This Row],[Food Security - new]]="", tblPiNHistorical[[#This Row],[Food Security - new]]=0), "", tblPiNHistorical[[#This Row],[Food Security - new]]-tblPiNHistorical[[#This Row],[Food Security - old]])</f>
        <v>3394</v>
      </c>
      <c r="AE51" s="312">
        <f>IF(OR(tblPiNHistorical[[#This Row],[Health - old]]="", tblPiNHistorical[[#This Row],[Health - old]]=0, tblPiNHistorical[[#This Row],[Health - new]]="", tblPiNHistorical[[#This Row],[Health - new]]=0), "", tblPiNHistorical[[#This Row],[Health - new]]-tblPiNHistorical[[#This Row],[Health - old]])</f>
        <v>-2243.4428389930472</v>
      </c>
      <c r="AF5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4842.0466666666689</v>
      </c>
      <c r="AG51" s="312">
        <f>IF(OR(tblPiNHistorical[[#This Row],[Shelter - old]]="", tblPiNHistorical[[#This Row],[Shelter - old]]=0, tblPiNHistorical[[#This Row],[Shelter - new]]="", tblPiNHistorical[[#This Row],[Shelter - new]]=0), "", tblPiNHistorical[[#This Row],[Shelter - new]]-tblPiNHistorical[[#This Row],[Shelter - old]])</f>
        <v>15036</v>
      </c>
      <c r="AH51" s="313">
        <f>IF(OR(tblPiNHistorical[[#This Row],[WASH - old]]="", tblPiNHistorical[[#This Row],[WASH - old]]=0, tblPiNHistorical[[#This Row],[WASH - new]]="", tblPiNHistorical[[#This Row],[WASH - new]]=0), "", tblPiNHistorical[[#This Row],[WASH - new]]-tblPiNHistorical[[#This Row],[WASH - old]])</f>
        <v>1322.0306727442003</v>
      </c>
      <c r="AI51" s="314">
        <f>IFERROR(ROUND((tblPiNHistorical[[#This Row],[CCCM - new]] - tblPiNHistorical[[#This Row],[CCCM - old]])/tblPiNHistorical[[#This Row],[CCCM - old]], 1), "")</f>
        <v>2</v>
      </c>
      <c r="AJ51" s="315">
        <f>IFERROR(ROUND((tblPiNHistorical[[#This Row],[Education - new]]-tblPiNHistorical[[#This Row],[Education - old]])/tblPiNHistorical[[#This Row],[Education - old]], 1), "")</f>
        <v>-0.3</v>
      </c>
      <c r="AK51" s="315">
        <f>IFERROR(ROUND((tblPiNHistorical[[#This Row],[Nutrition - new]]-tblPiNHistorical[[#This Row],[Nutrition - old]])/tblPiNHistorical[[#This Row],[Nutrition - old]], 1), "")</f>
        <v>0.1</v>
      </c>
      <c r="AL51" s="315">
        <f>IFERROR(ROUND((tblPiNHistorical[[#This Row],[Food Security - new]]-tblPiNHistorical[[#This Row],[Food Security - old]])/tblPiNHistorical[[#This Row],[Food Security - old]], 1), "")</f>
        <v>0.1</v>
      </c>
      <c r="AM51" s="315">
        <f>IFERROR(ROUND((tblPiNHistorical[[#This Row],[Health - new]]-tblPiNHistorical[[#This Row],[Health - old]])/tblPiNHistorical[[#This Row],[Health - old]], 1), "")</f>
        <v>-0.1</v>
      </c>
      <c r="AN51" s="315">
        <f>IFERROR(ROUND((tblPiNHistorical[[#This Row],[Overarching Protection - new]]-tblPiNHistorical[[#This Row],[Overarching Protection - old]])/tblPiNHistorical[[#This Row],[Overarching Protection - old]], 1), "")</f>
        <v>0.8</v>
      </c>
      <c r="AO51" s="315">
        <f>IFERROR(ROUND((tblPiNHistorical[[#This Row],[Shelter - new]]-tblPiNHistorical[[#This Row],[Shelter - old]])/tblPiNHistorical[[#This Row],[Shelter - old]], 1), "")</f>
        <v>0.6</v>
      </c>
      <c r="AP51" s="37">
        <f>IFERROR(ROUND((tblPiNHistorical[[#This Row],[WASH - new]]-tblPiNHistorical[[#This Row],[WASH - old]])/tblPiNHistorical[[#This Row],[WASH - old]], 1), "")</f>
        <v>0.1</v>
      </c>
    </row>
    <row r="52" spans="1:42">
      <c r="A5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Global_PopulationHT0372</v>
      </c>
      <c r="B52" s="304" t="s">
        <v>219</v>
      </c>
      <c r="C52" s="213" t="s">
        <v>220</v>
      </c>
      <c r="D52" s="213" t="s">
        <v>257</v>
      </c>
      <c r="E52" s="103" t="s">
        <v>258</v>
      </c>
      <c r="F52" s="99"/>
      <c r="G52" s="34"/>
      <c r="H52" s="331"/>
      <c r="I52" s="96">
        <v>60535</v>
      </c>
      <c r="J52" s="241" t="s">
        <v>156</v>
      </c>
      <c r="K52" s="305">
        <v>5778</v>
      </c>
      <c r="L52" s="306">
        <v>6294</v>
      </c>
      <c r="M52" s="308">
        <v>5557</v>
      </c>
      <c r="N52" s="308">
        <v>26497</v>
      </c>
      <c r="O52" s="308">
        <v>21869</v>
      </c>
      <c r="P52" s="308">
        <v>5733</v>
      </c>
      <c r="Q52" s="309">
        <v>39314</v>
      </c>
      <c r="R52" s="308">
        <v>16822.044879991834</v>
      </c>
      <c r="S52" s="308">
        <f>IFERROR(INDEX(tblPiNAnalysis[CCCM], MATCH(tblPiNHistorical[[#This Row],[ID]], tblPiNAnalysis[ID], 0)), "")</f>
        <v>8460</v>
      </c>
      <c r="T52" s="310">
        <f>IFERROR(INDEX(tblPiNAnalysis[Education], MATCH(tblPiNHistorical[[#This Row],[ID]], tblPiNAnalysis[ID], 0)), "")</f>
        <v>4406</v>
      </c>
      <c r="U52" s="308">
        <f>IFERROR(INDEX(tblPiNAnalysis[Nutrition], MATCH(tblPiNHistorical[[#This Row],[ID]], tblPiNAnalysis[ID], 0)), "")</f>
        <v>5961</v>
      </c>
      <c r="V52" s="308">
        <f>IFERROR(INDEX(tblPiNAnalysis[Food Security], MATCH(tblPiNHistorical[[#This Row],[ID]], tblPiNAnalysis[ID], 0)), "")</f>
        <v>29133</v>
      </c>
      <c r="W52" s="308">
        <f>IFERROR(INDEX(tblPiNAnalysis[Health], MATCH(tblPiNHistorical[[#This Row],[ID]], tblPiNAnalysis[ID], 0)), "")</f>
        <v>10158.602063829787</v>
      </c>
      <c r="X52" s="308">
        <f>IFERROR(INDEX(tblPiNAnalysis[Protection], MATCH(tblPiNHistorical[[#This Row],[ID]], tblPiNAnalysis[ID], 0)), "")</f>
        <v>7321.42</v>
      </c>
      <c r="Y52" s="308">
        <f>IFERROR(INDEX(tblPiNAnalysis[Shelter], MATCH(tblPiNHistorical[[#This Row],[ID]], tblPiNAnalysis[ID], 0)), "")</f>
        <v>15197</v>
      </c>
      <c r="Z52" s="308">
        <f>IFERROR(INDEX(tblPiNAnalysis[WASH], MATCH(tblPiNHistorical[[#This Row],[ID]], tblPiNAnalysis[ID], 0)), "")</f>
        <v>45401.25</v>
      </c>
      <c r="AA52" s="311">
        <f>IF(OR(tblPiNHistorical[[#This Row],[CCCM - old]]="", tblPiNHistorical[[#This Row],[CCCM - old]]=0, tblPiNHistorical[[#This Row],[CCCM - new]]="", tblPiNHistorical[[#This Row],[CCCM - new]]=0), "", tblPiNHistorical[[#This Row],[CCCM - new]]-tblPiNHistorical[[#This Row],[CCCM - old]])</f>
        <v>2682</v>
      </c>
      <c r="AB52" s="312">
        <f>IF(OR(tblPiNHistorical[[#This Row],[Education - old]]="", tblPiNHistorical[[#This Row],[Education - old]]=0, tblPiNHistorical[[#This Row],[Education - new]]="", tblPiNHistorical[[#This Row],[Education - new]]=0), "", tblPiNHistorical[[#This Row],[Education - new]]-tblPiNHistorical[[#This Row],[Education - old]])</f>
        <v>-1888</v>
      </c>
      <c r="AC52" s="312">
        <f>IF(OR(tblPiNHistorical[[#This Row],[Nutrition - old]]="", tblPiNHistorical[[#This Row],[Nutrition - old]]=0, tblPiNHistorical[[#This Row],[Nutrition - new]]="", tblPiNHistorical[[#This Row],[Nutrition - new]]=0), "", tblPiNHistorical[[#This Row],[Nutrition - new]]-tblPiNHistorical[[#This Row],[Nutrition - old]])</f>
        <v>404</v>
      </c>
      <c r="AD52" s="312">
        <f>IF(OR(tblPiNHistorical[[#This Row],[Food Security - old]]="", tblPiNHistorical[[#This Row],[Food Security - old]]=0, tblPiNHistorical[[#This Row],[Food Security - new]]="", tblPiNHistorical[[#This Row],[Food Security - new]]=0), "", tblPiNHistorical[[#This Row],[Food Security - new]]-tblPiNHistorical[[#This Row],[Food Security - old]])</f>
        <v>2636</v>
      </c>
      <c r="AE52" s="312">
        <f>IF(OR(tblPiNHistorical[[#This Row],[Health - old]]="", tblPiNHistorical[[#This Row],[Health - old]]=0, tblPiNHistorical[[#This Row],[Health - new]]="", tblPiNHistorical[[#This Row],[Health - new]]=0), "", tblPiNHistorical[[#This Row],[Health - new]]-tblPiNHistorical[[#This Row],[Health - old]])</f>
        <v>-11710.397936170213</v>
      </c>
      <c r="AF5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1588.42</v>
      </c>
      <c r="AG52" s="312">
        <f>IF(OR(tblPiNHistorical[[#This Row],[Shelter - old]]="", tblPiNHistorical[[#This Row],[Shelter - old]]=0, tblPiNHistorical[[#This Row],[Shelter - new]]="", tblPiNHistorical[[#This Row],[Shelter - new]]=0), "", tblPiNHistorical[[#This Row],[Shelter - new]]-tblPiNHistorical[[#This Row],[Shelter - old]])</f>
        <v>-24117</v>
      </c>
      <c r="AH52" s="313">
        <f>IF(OR(tblPiNHistorical[[#This Row],[WASH - old]]="", tblPiNHistorical[[#This Row],[WASH - old]]=0, tblPiNHistorical[[#This Row],[WASH - new]]="", tblPiNHistorical[[#This Row],[WASH - new]]=0), "", tblPiNHistorical[[#This Row],[WASH - new]]-tblPiNHistorical[[#This Row],[WASH - old]])</f>
        <v>28579.205120008166</v>
      </c>
      <c r="AI52" s="314">
        <f>IFERROR(ROUND((tblPiNHistorical[[#This Row],[CCCM - new]] - tblPiNHistorical[[#This Row],[CCCM - old]])/tblPiNHistorical[[#This Row],[CCCM - old]], 1), "")</f>
        <v>0.5</v>
      </c>
      <c r="AJ52" s="315">
        <f>IFERROR(ROUND((tblPiNHistorical[[#This Row],[Education - new]]-tblPiNHistorical[[#This Row],[Education - old]])/tblPiNHistorical[[#This Row],[Education - old]], 1), "")</f>
        <v>-0.3</v>
      </c>
      <c r="AK52" s="315">
        <f>IFERROR(ROUND((tblPiNHistorical[[#This Row],[Nutrition - new]]-tblPiNHistorical[[#This Row],[Nutrition - old]])/tblPiNHistorical[[#This Row],[Nutrition - old]], 1), "")</f>
        <v>0.1</v>
      </c>
      <c r="AL52" s="315">
        <f>IFERROR(ROUND((tblPiNHistorical[[#This Row],[Food Security - new]]-tblPiNHistorical[[#This Row],[Food Security - old]])/tblPiNHistorical[[#This Row],[Food Security - old]], 1), "")</f>
        <v>0.1</v>
      </c>
      <c r="AM52" s="315">
        <f>IFERROR(ROUND((tblPiNHistorical[[#This Row],[Health - new]]-tblPiNHistorical[[#This Row],[Health - old]])/tblPiNHistorical[[#This Row],[Health - old]], 1), "")</f>
        <v>-0.5</v>
      </c>
      <c r="AN52" s="315">
        <f>IFERROR(ROUND((tblPiNHistorical[[#This Row],[Overarching Protection - new]]-tblPiNHistorical[[#This Row],[Overarching Protection - old]])/tblPiNHistorical[[#This Row],[Overarching Protection - old]], 1), "")</f>
        <v>0.3</v>
      </c>
      <c r="AO52" s="315">
        <f>IFERROR(ROUND((tblPiNHistorical[[#This Row],[Shelter - new]]-tblPiNHistorical[[#This Row],[Shelter - old]])/tblPiNHistorical[[#This Row],[Shelter - old]], 1), "")</f>
        <v>-0.6</v>
      </c>
      <c r="AP52" s="37">
        <f>IFERROR(ROUND((tblPiNHistorical[[#This Row],[WASH - new]]-tblPiNHistorical[[#This Row],[WASH - old]])/tblPiNHistorical[[#This Row],[WASH - old]], 1), "")</f>
        <v>1.7</v>
      </c>
    </row>
    <row r="53" spans="1:42">
      <c r="A5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Global_PopulationHT0411</v>
      </c>
      <c r="B53" s="304" t="s">
        <v>259</v>
      </c>
      <c r="C53" s="213" t="s">
        <v>260</v>
      </c>
      <c r="D53" s="213" t="s">
        <v>261</v>
      </c>
      <c r="E53" s="103" t="s">
        <v>262</v>
      </c>
      <c r="F53" s="99"/>
      <c r="G53" s="34"/>
      <c r="H53" s="331"/>
      <c r="I53" s="96">
        <v>40129</v>
      </c>
      <c r="J53" s="241" t="s">
        <v>156</v>
      </c>
      <c r="K53" s="305">
        <v>281</v>
      </c>
      <c r="L53" s="306">
        <v>3734</v>
      </c>
      <c r="M53" s="308">
        <v>3575</v>
      </c>
      <c r="N53" s="308">
        <v>14418</v>
      </c>
      <c r="O53" s="308">
        <v>9757</v>
      </c>
      <c r="P53" s="308">
        <v>5817</v>
      </c>
      <c r="Q53" s="309">
        <v>11319</v>
      </c>
      <c r="R53" s="308">
        <v>3686.5695276780511</v>
      </c>
      <c r="S53" s="308">
        <f>IFERROR(INDEX(tblPiNAnalysis[CCCM], MATCH(tblPiNHistorical[[#This Row],[ID]], tblPiNAnalysis[ID], 0)), "")</f>
        <v>1204.5</v>
      </c>
      <c r="T53" s="310">
        <f>IFERROR(INDEX(tblPiNAnalysis[Education], MATCH(tblPiNHistorical[[#This Row],[ID]], tblPiNAnalysis[ID], 0)), "")</f>
        <v>4245</v>
      </c>
      <c r="U53" s="308">
        <f>IFERROR(INDEX(tblPiNAnalysis[Nutrition], MATCH(tblPiNHistorical[[#This Row],[ID]], tblPiNAnalysis[ID], 0)), "")</f>
        <v>3638</v>
      </c>
      <c r="V53" s="308">
        <f>IFERROR(INDEX(tblPiNAnalysis[Food Security], MATCH(tblPiNHistorical[[#This Row],[ID]], tblPiNAnalysis[ID], 0)), "")</f>
        <v>18928</v>
      </c>
      <c r="W53" s="308">
        <f>IFERROR(INDEX(tblPiNAnalysis[Health], MATCH(tblPiNHistorical[[#This Row],[ID]], tblPiNAnalysis[ID], 0)), "")</f>
        <v>2288.1797130759651</v>
      </c>
      <c r="X53" s="308">
        <f>IFERROR(INDEX(tblPiNAnalysis[Protection], MATCH(tblPiNHistorical[[#This Row],[ID]], tblPiNAnalysis[ID], 0)), "")</f>
        <v>2241.0575000000003</v>
      </c>
      <c r="Y53" s="308">
        <f>IFERROR(INDEX(tblPiNAnalysis[Shelter], MATCH(tblPiNHistorical[[#This Row],[ID]], tblPiNAnalysis[ID], 0)), "")</f>
        <v>13711</v>
      </c>
      <c r="Z53" s="308">
        <f>IFERROR(INDEX(tblPiNAnalysis[WASH], MATCH(tblPiNHistorical[[#This Row],[ID]], tblPiNAnalysis[ID], 0)), "")</f>
        <v>8360.2083333333339</v>
      </c>
      <c r="AA53" s="311">
        <f>IF(OR(tblPiNHistorical[[#This Row],[CCCM - old]]="", tblPiNHistorical[[#This Row],[CCCM - old]]=0, tblPiNHistorical[[#This Row],[CCCM - new]]="", tblPiNHistorical[[#This Row],[CCCM - new]]=0), "", tblPiNHistorical[[#This Row],[CCCM - new]]-tblPiNHistorical[[#This Row],[CCCM - old]])</f>
        <v>923.5</v>
      </c>
      <c r="AB53" s="312">
        <f>IF(OR(tblPiNHistorical[[#This Row],[Education - old]]="", tblPiNHistorical[[#This Row],[Education - old]]=0, tblPiNHistorical[[#This Row],[Education - new]]="", tblPiNHistorical[[#This Row],[Education - new]]=0), "", tblPiNHistorical[[#This Row],[Education - new]]-tblPiNHistorical[[#This Row],[Education - old]])</f>
        <v>511</v>
      </c>
      <c r="AC53" s="312">
        <f>IF(OR(tblPiNHistorical[[#This Row],[Nutrition - old]]="", tblPiNHistorical[[#This Row],[Nutrition - old]]=0, tblPiNHistorical[[#This Row],[Nutrition - new]]="", tblPiNHistorical[[#This Row],[Nutrition - new]]=0), "", tblPiNHistorical[[#This Row],[Nutrition - new]]-tblPiNHistorical[[#This Row],[Nutrition - old]])</f>
        <v>63</v>
      </c>
      <c r="AD53" s="312">
        <f>IF(OR(tblPiNHistorical[[#This Row],[Food Security - old]]="", tblPiNHistorical[[#This Row],[Food Security - old]]=0, tblPiNHistorical[[#This Row],[Food Security - new]]="", tblPiNHistorical[[#This Row],[Food Security - new]]=0), "", tblPiNHistorical[[#This Row],[Food Security - new]]-tblPiNHistorical[[#This Row],[Food Security - old]])</f>
        <v>4510</v>
      </c>
      <c r="AE53" s="312">
        <f>IF(OR(tblPiNHistorical[[#This Row],[Health - old]]="", tblPiNHistorical[[#This Row],[Health - old]]=0, tblPiNHistorical[[#This Row],[Health - new]]="", tblPiNHistorical[[#This Row],[Health - new]]=0), "", tblPiNHistorical[[#This Row],[Health - new]]-tblPiNHistorical[[#This Row],[Health - old]])</f>
        <v>-7468.8202869240349</v>
      </c>
      <c r="AF5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-3575.9424999999997</v>
      </c>
      <c r="AG53" s="312">
        <f>IF(OR(tblPiNHistorical[[#This Row],[Shelter - old]]="", tblPiNHistorical[[#This Row],[Shelter - old]]=0, tblPiNHistorical[[#This Row],[Shelter - new]]="", tblPiNHistorical[[#This Row],[Shelter - new]]=0), "", tblPiNHistorical[[#This Row],[Shelter - new]]-tblPiNHistorical[[#This Row],[Shelter - old]])</f>
        <v>2392</v>
      </c>
      <c r="AH53" s="313">
        <f>IF(OR(tblPiNHistorical[[#This Row],[WASH - old]]="", tblPiNHistorical[[#This Row],[WASH - old]]=0, tblPiNHistorical[[#This Row],[WASH - new]]="", tblPiNHistorical[[#This Row],[WASH - new]]=0), "", tblPiNHistorical[[#This Row],[WASH - new]]-tblPiNHistorical[[#This Row],[WASH - old]])</f>
        <v>4673.6388056552823</v>
      </c>
      <c r="AI53" s="314">
        <f>IFERROR(ROUND((tblPiNHistorical[[#This Row],[CCCM - new]] - tblPiNHistorical[[#This Row],[CCCM - old]])/tblPiNHistorical[[#This Row],[CCCM - old]], 1), "")</f>
        <v>3.3</v>
      </c>
      <c r="AJ53" s="315">
        <f>IFERROR(ROUND((tblPiNHistorical[[#This Row],[Education - new]]-tblPiNHistorical[[#This Row],[Education - old]])/tblPiNHistorical[[#This Row],[Education - old]], 1), "")</f>
        <v>0.1</v>
      </c>
      <c r="AK53" s="315">
        <f>IFERROR(ROUND((tblPiNHistorical[[#This Row],[Nutrition - new]]-tblPiNHistorical[[#This Row],[Nutrition - old]])/tblPiNHistorical[[#This Row],[Nutrition - old]], 1), "")</f>
        <v>0</v>
      </c>
      <c r="AL53" s="315">
        <f>IFERROR(ROUND((tblPiNHistorical[[#This Row],[Food Security - new]]-tblPiNHistorical[[#This Row],[Food Security - old]])/tblPiNHistorical[[#This Row],[Food Security - old]], 1), "")</f>
        <v>0.3</v>
      </c>
      <c r="AM53" s="315">
        <f>IFERROR(ROUND((tblPiNHistorical[[#This Row],[Health - new]]-tblPiNHistorical[[#This Row],[Health - old]])/tblPiNHistorical[[#This Row],[Health - old]], 1), "")</f>
        <v>-0.8</v>
      </c>
      <c r="AN53" s="315">
        <f>IFERROR(ROUND((tblPiNHistorical[[#This Row],[Overarching Protection - new]]-tblPiNHistorical[[#This Row],[Overarching Protection - old]])/tblPiNHistorical[[#This Row],[Overarching Protection - old]], 1), "")</f>
        <v>-0.6</v>
      </c>
      <c r="AO53" s="315">
        <f>IFERROR(ROUND((tblPiNHistorical[[#This Row],[Shelter - new]]-tblPiNHistorical[[#This Row],[Shelter - old]])/tblPiNHistorical[[#This Row],[Shelter - old]], 1), "")</f>
        <v>0.2</v>
      </c>
      <c r="AP53" s="37">
        <f>IFERROR(ROUND((tblPiNHistorical[[#This Row],[WASH - new]]-tblPiNHistorical[[#This Row],[WASH - old]])/tblPiNHistorical[[#This Row],[WASH - old]], 1), "")</f>
        <v>1.3</v>
      </c>
    </row>
    <row r="54" spans="1:42">
      <c r="A5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Global_PopulationHT0412</v>
      </c>
      <c r="B54" s="304" t="s">
        <v>259</v>
      </c>
      <c r="C54" s="213" t="s">
        <v>260</v>
      </c>
      <c r="D54" s="213" t="s">
        <v>263</v>
      </c>
      <c r="E54" s="103" t="s">
        <v>264</v>
      </c>
      <c r="F54" s="99"/>
      <c r="G54" s="34"/>
      <c r="H54" s="331"/>
      <c r="I54" s="96">
        <v>17054</v>
      </c>
      <c r="J54" s="241" t="s">
        <v>156</v>
      </c>
      <c r="K54" s="305">
        <v>105</v>
      </c>
      <c r="L54" s="306">
        <v>1723</v>
      </c>
      <c r="M54" s="308">
        <v>1373</v>
      </c>
      <c r="N54" s="308">
        <v>8454</v>
      </c>
      <c r="O54" s="308">
        <v>3983</v>
      </c>
      <c r="P54" s="308">
        <v>1763</v>
      </c>
      <c r="Q54" s="309">
        <v>4250</v>
      </c>
      <c r="R54" s="308">
        <v>1161.7165966763114</v>
      </c>
      <c r="S54" s="308">
        <f>IFERROR(INDEX(tblPiNAnalysis[CCCM], MATCH(tblPiNHistorical[[#This Row],[ID]], tblPiNAnalysis[ID], 0)), "")</f>
        <v>277.5</v>
      </c>
      <c r="T54" s="310">
        <f>IFERROR(INDEX(tblPiNAnalysis[Education], MATCH(tblPiNHistorical[[#This Row],[ID]], tblPiNAnalysis[ID], 0)), "")</f>
        <v>2116</v>
      </c>
      <c r="U54" s="308">
        <f>IFERROR(INDEX(tblPiNAnalysis[Nutrition], MATCH(tblPiNHistorical[[#This Row],[ID]], tblPiNAnalysis[ID], 0)), "")</f>
        <v>1387</v>
      </c>
      <c r="V54" s="308">
        <f>IFERROR(INDEX(tblPiNAnalysis[Food Security], MATCH(tblPiNHistorical[[#This Row],[ID]], tblPiNAnalysis[ID], 0)), "")</f>
        <v>8049</v>
      </c>
      <c r="W54" s="308">
        <f>IFERROR(INDEX(tblPiNAnalysis[Health], MATCH(tblPiNHistorical[[#This Row],[ID]], tblPiNAnalysis[ID], 0)), "")</f>
        <v>306.37435675675675</v>
      </c>
      <c r="X54" s="308">
        <f>IFERROR(INDEX(tblPiNAnalysis[Protection], MATCH(tblPiNHistorical[[#This Row],[ID]], tblPiNAnalysis[ID], 0)), "")</f>
        <v>575</v>
      </c>
      <c r="Y54" s="308">
        <f>IFERROR(INDEX(tblPiNAnalysis[Shelter], MATCH(tblPiNHistorical[[#This Row],[ID]], tblPiNAnalysis[ID], 0)), "")</f>
        <v>7311</v>
      </c>
      <c r="Z54" s="308">
        <f>IFERROR(INDEX(tblPiNAnalysis[WASH], MATCH(tblPiNHistorical[[#This Row],[ID]], tblPiNAnalysis[ID], 0)), "")</f>
        <v>5684.6666666666661</v>
      </c>
      <c r="AA54" s="311">
        <f>IF(OR(tblPiNHistorical[[#This Row],[CCCM - old]]="", tblPiNHistorical[[#This Row],[CCCM - old]]=0, tblPiNHistorical[[#This Row],[CCCM - new]]="", tblPiNHistorical[[#This Row],[CCCM - new]]=0), "", tblPiNHistorical[[#This Row],[CCCM - new]]-tblPiNHistorical[[#This Row],[CCCM - old]])</f>
        <v>172.5</v>
      </c>
      <c r="AB54" s="312">
        <f>IF(OR(tblPiNHistorical[[#This Row],[Education - old]]="", tblPiNHistorical[[#This Row],[Education - old]]=0, tblPiNHistorical[[#This Row],[Education - new]]="", tblPiNHistorical[[#This Row],[Education - new]]=0), "", tblPiNHistorical[[#This Row],[Education - new]]-tblPiNHistorical[[#This Row],[Education - old]])</f>
        <v>393</v>
      </c>
      <c r="AC54" s="312">
        <f>IF(OR(tblPiNHistorical[[#This Row],[Nutrition - old]]="", tblPiNHistorical[[#This Row],[Nutrition - old]]=0, tblPiNHistorical[[#This Row],[Nutrition - new]]="", tblPiNHistorical[[#This Row],[Nutrition - new]]=0), "", tblPiNHistorical[[#This Row],[Nutrition - new]]-tblPiNHistorical[[#This Row],[Nutrition - old]])</f>
        <v>14</v>
      </c>
      <c r="AD54" s="312">
        <f>IF(OR(tblPiNHistorical[[#This Row],[Food Security - old]]="", tblPiNHistorical[[#This Row],[Food Security - old]]=0, tblPiNHistorical[[#This Row],[Food Security - new]]="", tblPiNHistorical[[#This Row],[Food Security - new]]=0), "", tblPiNHistorical[[#This Row],[Food Security - new]]-tblPiNHistorical[[#This Row],[Food Security - old]])</f>
        <v>-405</v>
      </c>
      <c r="AE54" s="312">
        <f>IF(OR(tblPiNHistorical[[#This Row],[Health - old]]="", tblPiNHistorical[[#This Row],[Health - old]]=0, tblPiNHistorical[[#This Row],[Health - new]]="", tblPiNHistorical[[#This Row],[Health - new]]=0), "", tblPiNHistorical[[#This Row],[Health - new]]-tblPiNHistorical[[#This Row],[Health - old]])</f>
        <v>-3676.6256432432433</v>
      </c>
      <c r="AF5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-1188</v>
      </c>
      <c r="AG54" s="312">
        <f>IF(OR(tblPiNHistorical[[#This Row],[Shelter - old]]="", tblPiNHistorical[[#This Row],[Shelter - old]]=0, tblPiNHistorical[[#This Row],[Shelter - new]]="", tblPiNHistorical[[#This Row],[Shelter - new]]=0), "", tblPiNHistorical[[#This Row],[Shelter - new]]-tblPiNHistorical[[#This Row],[Shelter - old]])</f>
        <v>3061</v>
      </c>
      <c r="AH54" s="313">
        <f>IF(OR(tblPiNHistorical[[#This Row],[WASH - old]]="", tblPiNHistorical[[#This Row],[WASH - old]]=0, tblPiNHistorical[[#This Row],[WASH - new]]="", tblPiNHistorical[[#This Row],[WASH - new]]=0), "", tblPiNHistorical[[#This Row],[WASH - new]]-tblPiNHistorical[[#This Row],[WASH - old]])</f>
        <v>4522.9500699903547</v>
      </c>
      <c r="AI54" s="314">
        <f>IFERROR(ROUND((tblPiNHistorical[[#This Row],[CCCM - new]] - tblPiNHistorical[[#This Row],[CCCM - old]])/tblPiNHistorical[[#This Row],[CCCM - old]], 1), "")</f>
        <v>1.6</v>
      </c>
      <c r="AJ54" s="315">
        <f>IFERROR(ROUND((tblPiNHistorical[[#This Row],[Education - new]]-tblPiNHistorical[[#This Row],[Education - old]])/tblPiNHistorical[[#This Row],[Education - old]], 1), "")</f>
        <v>0.2</v>
      </c>
      <c r="AK54" s="315">
        <f>IFERROR(ROUND((tblPiNHistorical[[#This Row],[Nutrition - new]]-tblPiNHistorical[[#This Row],[Nutrition - old]])/tblPiNHistorical[[#This Row],[Nutrition - old]], 1), "")</f>
        <v>0</v>
      </c>
      <c r="AL54" s="315">
        <f>IFERROR(ROUND((tblPiNHistorical[[#This Row],[Food Security - new]]-tblPiNHistorical[[#This Row],[Food Security - old]])/tblPiNHistorical[[#This Row],[Food Security - old]], 1), "")</f>
        <v>0</v>
      </c>
      <c r="AM54" s="315">
        <f>IFERROR(ROUND((tblPiNHistorical[[#This Row],[Health - new]]-tblPiNHistorical[[#This Row],[Health - old]])/tblPiNHistorical[[#This Row],[Health - old]], 1), "")</f>
        <v>-0.9</v>
      </c>
      <c r="AN54" s="315">
        <f>IFERROR(ROUND((tblPiNHistorical[[#This Row],[Overarching Protection - new]]-tblPiNHistorical[[#This Row],[Overarching Protection - old]])/tblPiNHistorical[[#This Row],[Overarching Protection - old]], 1), "")</f>
        <v>-0.7</v>
      </c>
      <c r="AO54" s="315">
        <f>IFERROR(ROUND((tblPiNHistorical[[#This Row],[Shelter - new]]-tblPiNHistorical[[#This Row],[Shelter - old]])/tblPiNHistorical[[#This Row],[Shelter - old]], 1), "")</f>
        <v>0.7</v>
      </c>
      <c r="AP54" s="37">
        <f>IFERROR(ROUND((tblPiNHistorical[[#This Row],[WASH - new]]-tblPiNHistorical[[#This Row],[WASH - old]])/tblPiNHistorical[[#This Row],[WASH - old]], 1), "")</f>
        <v>3.9</v>
      </c>
    </row>
    <row r="55" spans="1:42">
      <c r="A5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Global_PopulationHT0413</v>
      </c>
      <c r="B55" s="304" t="s">
        <v>259</v>
      </c>
      <c r="C55" s="213" t="s">
        <v>260</v>
      </c>
      <c r="D55" s="213" t="s">
        <v>265</v>
      </c>
      <c r="E55" s="103" t="s">
        <v>266</v>
      </c>
      <c r="F55" s="99"/>
      <c r="G55" s="34"/>
      <c r="H55" s="331"/>
      <c r="I55" s="96">
        <v>13700</v>
      </c>
      <c r="J55" s="241" t="s">
        <v>156</v>
      </c>
      <c r="K55" s="305">
        <v>441</v>
      </c>
      <c r="L55" s="306">
        <v>1284</v>
      </c>
      <c r="M55" s="308">
        <v>1095</v>
      </c>
      <c r="N55" s="308">
        <v>6295</v>
      </c>
      <c r="O55" s="308">
        <v>3749</v>
      </c>
      <c r="P55" s="308">
        <v>1150</v>
      </c>
      <c r="Q55" s="309">
        <v>10055</v>
      </c>
      <c r="R55" s="308">
        <v>1808.9264601929804</v>
      </c>
      <c r="S55" s="308">
        <f>IFERROR(INDEX(tblPiNAnalysis[CCCM], MATCH(tblPiNHistorical[[#This Row],[ID]], tblPiNAnalysis[ID], 0)), "")</f>
        <v>709.5</v>
      </c>
      <c r="T55" s="310">
        <f>IFERROR(INDEX(tblPiNAnalysis[Education], MATCH(tblPiNHistorical[[#This Row],[ID]], tblPiNAnalysis[ID], 0)), "")</f>
        <v>1518</v>
      </c>
      <c r="U55" s="308">
        <f>IFERROR(INDEX(tblPiNAnalysis[Nutrition], MATCH(tblPiNHistorical[[#This Row],[ID]], tblPiNAnalysis[ID], 0)), "")</f>
        <v>1129</v>
      </c>
      <c r="V55" s="308">
        <f>IFERROR(INDEX(tblPiNAnalysis[Food Security], MATCH(tblPiNHistorical[[#This Row],[ID]], tblPiNAnalysis[ID], 0)), "")</f>
        <v>6352</v>
      </c>
      <c r="W55" s="308">
        <f>IFERROR(INDEX(tblPiNAnalysis[Health], MATCH(tblPiNHistorical[[#This Row],[ID]], tblPiNAnalysis[ID], 0)), "")</f>
        <v>783.35858097251582</v>
      </c>
      <c r="X55" s="308">
        <f>IFERROR(INDEX(tblPiNAnalysis[Protection], MATCH(tblPiNHistorical[[#This Row],[ID]], tblPiNAnalysis[ID], 0)), "")</f>
        <v>524.29999999999995</v>
      </c>
      <c r="Y55" s="308">
        <f>IFERROR(INDEX(tblPiNAnalysis[Shelter], MATCH(tblPiNHistorical[[#This Row],[ID]], tblPiNAnalysis[ID], 0)), "")</f>
        <v>10370</v>
      </c>
      <c r="Z55" s="308">
        <f>IFERROR(INDEX(tblPiNAnalysis[WASH], MATCH(tblPiNHistorical[[#This Row],[ID]], tblPiNAnalysis[ID], 0)), "")</f>
        <v>6850</v>
      </c>
      <c r="AA55" s="311">
        <f>IF(OR(tblPiNHistorical[[#This Row],[CCCM - old]]="", tblPiNHistorical[[#This Row],[CCCM - old]]=0, tblPiNHistorical[[#This Row],[CCCM - new]]="", tblPiNHistorical[[#This Row],[CCCM - new]]=0), "", tblPiNHistorical[[#This Row],[CCCM - new]]-tblPiNHistorical[[#This Row],[CCCM - old]])</f>
        <v>268.5</v>
      </c>
      <c r="AB55" s="312">
        <f>IF(OR(tblPiNHistorical[[#This Row],[Education - old]]="", tblPiNHistorical[[#This Row],[Education - old]]=0, tblPiNHistorical[[#This Row],[Education - new]]="", tblPiNHistorical[[#This Row],[Education - new]]=0), "", tblPiNHistorical[[#This Row],[Education - new]]-tblPiNHistorical[[#This Row],[Education - old]])</f>
        <v>234</v>
      </c>
      <c r="AC55" s="312">
        <f>IF(OR(tblPiNHistorical[[#This Row],[Nutrition - old]]="", tblPiNHistorical[[#This Row],[Nutrition - old]]=0, tblPiNHistorical[[#This Row],[Nutrition - new]]="", tblPiNHistorical[[#This Row],[Nutrition - new]]=0), "", tblPiNHistorical[[#This Row],[Nutrition - new]]-tblPiNHistorical[[#This Row],[Nutrition - old]])</f>
        <v>34</v>
      </c>
      <c r="AD55" s="312">
        <f>IF(OR(tblPiNHistorical[[#This Row],[Food Security - old]]="", tblPiNHistorical[[#This Row],[Food Security - old]]=0, tblPiNHistorical[[#This Row],[Food Security - new]]="", tblPiNHistorical[[#This Row],[Food Security - new]]=0), "", tblPiNHistorical[[#This Row],[Food Security - new]]-tblPiNHistorical[[#This Row],[Food Security - old]])</f>
        <v>57</v>
      </c>
      <c r="AE55" s="312">
        <f>IF(OR(tblPiNHistorical[[#This Row],[Health - old]]="", tblPiNHistorical[[#This Row],[Health - old]]=0, tblPiNHistorical[[#This Row],[Health - new]]="", tblPiNHistorical[[#This Row],[Health - new]]=0), "", tblPiNHistorical[[#This Row],[Health - new]]-tblPiNHistorical[[#This Row],[Health - old]])</f>
        <v>-2965.6414190274841</v>
      </c>
      <c r="AF5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-625.70000000000005</v>
      </c>
      <c r="AG55" s="312">
        <f>IF(OR(tblPiNHistorical[[#This Row],[Shelter - old]]="", tblPiNHistorical[[#This Row],[Shelter - old]]=0, tblPiNHistorical[[#This Row],[Shelter - new]]="", tblPiNHistorical[[#This Row],[Shelter - new]]=0), "", tblPiNHistorical[[#This Row],[Shelter - new]]-tblPiNHistorical[[#This Row],[Shelter - old]])</f>
        <v>315</v>
      </c>
      <c r="AH55" s="313">
        <f>IF(OR(tblPiNHistorical[[#This Row],[WASH - old]]="", tblPiNHistorical[[#This Row],[WASH - old]]=0, tblPiNHistorical[[#This Row],[WASH - new]]="", tblPiNHistorical[[#This Row],[WASH - new]]=0), "", tblPiNHistorical[[#This Row],[WASH - new]]-tblPiNHistorical[[#This Row],[WASH - old]])</f>
        <v>5041.0735398070192</v>
      </c>
      <c r="AI55" s="314">
        <f>IFERROR(ROUND((tblPiNHistorical[[#This Row],[CCCM - new]] - tblPiNHistorical[[#This Row],[CCCM - old]])/tblPiNHistorical[[#This Row],[CCCM - old]], 1), "")</f>
        <v>0.6</v>
      </c>
      <c r="AJ55" s="315">
        <f>IFERROR(ROUND((tblPiNHistorical[[#This Row],[Education - new]]-tblPiNHistorical[[#This Row],[Education - old]])/tblPiNHistorical[[#This Row],[Education - old]], 1), "")</f>
        <v>0.2</v>
      </c>
      <c r="AK55" s="315">
        <f>IFERROR(ROUND((tblPiNHistorical[[#This Row],[Nutrition - new]]-tblPiNHistorical[[#This Row],[Nutrition - old]])/tblPiNHistorical[[#This Row],[Nutrition - old]], 1), "")</f>
        <v>0</v>
      </c>
      <c r="AL55" s="315">
        <f>IFERROR(ROUND((tblPiNHistorical[[#This Row],[Food Security - new]]-tblPiNHistorical[[#This Row],[Food Security - old]])/tblPiNHistorical[[#This Row],[Food Security - old]], 1), "")</f>
        <v>0</v>
      </c>
      <c r="AM55" s="315">
        <f>IFERROR(ROUND((tblPiNHistorical[[#This Row],[Health - new]]-tblPiNHistorical[[#This Row],[Health - old]])/tblPiNHistorical[[#This Row],[Health - old]], 1), "")</f>
        <v>-0.8</v>
      </c>
      <c r="AN55" s="315">
        <f>IFERROR(ROUND((tblPiNHistorical[[#This Row],[Overarching Protection - new]]-tblPiNHistorical[[#This Row],[Overarching Protection - old]])/tblPiNHistorical[[#This Row],[Overarching Protection - old]], 1), "")</f>
        <v>-0.5</v>
      </c>
      <c r="AO55" s="315">
        <f>IFERROR(ROUND((tblPiNHistorical[[#This Row],[Shelter - new]]-tblPiNHistorical[[#This Row],[Shelter - old]])/tblPiNHistorical[[#This Row],[Shelter - old]], 1), "")</f>
        <v>0</v>
      </c>
      <c r="AP55" s="37">
        <f>IFERROR(ROUND((tblPiNHistorical[[#This Row],[WASH - new]]-tblPiNHistorical[[#This Row],[WASH - old]])/tblPiNHistorical[[#This Row],[WASH - old]], 1), "")</f>
        <v>2.8</v>
      </c>
    </row>
    <row r="56" spans="1:42">
      <c r="A5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Global_PopulationHT0421</v>
      </c>
      <c r="B56" s="304" t="s">
        <v>259</v>
      </c>
      <c r="C56" s="213" t="s">
        <v>260</v>
      </c>
      <c r="D56" s="213" t="s">
        <v>267</v>
      </c>
      <c r="E56" s="103" t="s">
        <v>268</v>
      </c>
      <c r="F56" s="99"/>
      <c r="G56" s="34"/>
      <c r="H56" s="331"/>
      <c r="I56" s="96">
        <v>123320</v>
      </c>
      <c r="J56" s="241" t="s">
        <v>156</v>
      </c>
      <c r="K56" s="305">
        <v>333</v>
      </c>
      <c r="L56" s="306">
        <v>11831</v>
      </c>
      <c r="M56" s="308">
        <v>12903</v>
      </c>
      <c r="N56" s="308">
        <v>45450</v>
      </c>
      <c r="O56" s="308">
        <v>31212</v>
      </c>
      <c r="P56" s="308">
        <v>22959</v>
      </c>
      <c r="Q56" s="309">
        <v>43559</v>
      </c>
      <c r="R56" s="308">
        <v>23166.394552902886</v>
      </c>
      <c r="S56" s="308">
        <f>IFERROR(INDEX(tblPiNAnalysis[CCCM], MATCH(tblPiNHistorical[[#This Row],[ID]], tblPiNAnalysis[ID], 0)), "")</f>
        <v>4008</v>
      </c>
      <c r="T56" s="310">
        <f>IFERROR(INDEX(tblPiNAnalysis[Education], MATCH(tblPiNHistorical[[#This Row],[ID]], tblPiNAnalysis[ID], 0)), "")</f>
        <v>13269</v>
      </c>
      <c r="U56" s="308">
        <f>IFERROR(INDEX(tblPiNAnalysis[Nutrition], MATCH(tblPiNHistorical[[#This Row],[ID]], tblPiNAnalysis[ID], 0)), "")</f>
        <v>13127</v>
      </c>
      <c r="V56" s="308">
        <f>IFERROR(INDEX(tblPiNAnalysis[Food Security], MATCH(tblPiNHistorical[[#This Row],[ID]], tblPiNAnalysis[ID], 0)), "")</f>
        <v>46645</v>
      </c>
      <c r="W56" s="308">
        <f>IFERROR(INDEX(tblPiNAnalysis[Health], MATCH(tblPiNHistorical[[#This Row],[ID]], tblPiNAnalysis[ID], 0)), "")</f>
        <v>4934.9243359281436</v>
      </c>
      <c r="X56" s="308">
        <f>IFERROR(INDEX(tblPiNAnalysis[Protection], MATCH(tblPiNHistorical[[#This Row],[ID]], tblPiNAnalysis[ID], 0)), "")</f>
        <v>5400.8103896103894</v>
      </c>
      <c r="Y56" s="308">
        <f>IFERROR(INDEX(tblPiNAnalysis[Shelter], MATCH(tblPiNHistorical[[#This Row],[ID]], tblPiNAnalysis[ID], 0)), "")</f>
        <v>45530</v>
      </c>
      <c r="Z56" s="308">
        <f>IFERROR(INDEX(tblPiNAnalysis[WASH], MATCH(tblPiNHistorical[[#This Row],[ID]], tblPiNAnalysis[ID], 0)), "")</f>
        <v>22716.842105263157</v>
      </c>
      <c r="AA56" s="311">
        <f>IF(OR(tblPiNHistorical[[#This Row],[CCCM - old]]="", tblPiNHistorical[[#This Row],[CCCM - old]]=0, tblPiNHistorical[[#This Row],[CCCM - new]]="", tblPiNHistorical[[#This Row],[CCCM - new]]=0), "", tblPiNHistorical[[#This Row],[CCCM - new]]-tblPiNHistorical[[#This Row],[CCCM - old]])</f>
        <v>3675</v>
      </c>
      <c r="AB56" s="312">
        <f>IF(OR(tblPiNHistorical[[#This Row],[Education - old]]="", tblPiNHistorical[[#This Row],[Education - old]]=0, tblPiNHistorical[[#This Row],[Education - new]]="", tblPiNHistorical[[#This Row],[Education - new]]=0), "", tblPiNHistorical[[#This Row],[Education - new]]-tblPiNHistorical[[#This Row],[Education - old]])</f>
        <v>1438</v>
      </c>
      <c r="AC56" s="312">
        <f>IF(OR(tblPiNHistorical[[#This Row],[Nutrition - old]]="", tblPiNHistorical[[#This Row],[Nutrition - old]]=0, tblPiNHistorical[[#This Row],[Nutrition - new]]="", tblPiNHistorical[[#This Row],[Nutrition - new]]=0), "", tblPiNHistorical[[#This Row],[Nutrition - new]]-tblPiNHistorical[[#This Row],[Nutrition - old]])</f>
        <v>224</v>
      </c>
      <c r="AD56" s="312">
        <f>IF(OR(tblPiNHistorical[[#This Row],[Food Security - old]]="", tblPiNHistorical[[#This Row],[Food Security - old]]=0, tblPiNHistorical[[#This Row],[Food Security - new]]="", tblPiNHistorical[[#This Row],[Food Security - new]]=0), "", tblPiNHistorical[[#This Row],[Food Security - new]]-tblPiNHistorical[[#This Row],[Food Security - old]])</f>
        <v>1195</v>
      </c>
      <c r="AE56" s="312">
        <f>IF(OR(tblPiNHistorical[[#This Row],[Health - old]]="", tblPiNHistorical[[#This Row],[Health - old]]=0, tblPiNHistorical[[#This Row],[Health - new]]="", tblPiNHistorical[[#This Row],[Health - new]]=0), "", tblPiNHistorical[[#This Row],[Health - new]]-tblPiNHistorical[[#This Row],[Health - old]])</f>
        <v>-26277.075664071857</v>
      </c>
      <c r="AF5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-17558.189610389611</v>
      </c>
      <c r="AG56" s="312">
        <f>IF(OR(tblPiNHistorical[[#This Row],[Shelter - old]]="", tblPiNHistorical[[#This Row],[Shelter - old]]=0, tblPiNHistorical[[#This Row],[Shelter - new]]="", tblPiNHistorical[[#This Row],[Shelter - new]]=0), "", tblPiNHistorical[[#This Row],[Shelter - new]]-tblPiNHistorical[[#This Row],[Shelter - old]])</f>
        <v>1971</v>
      </c>
      <c r="AH56" s="313">
        <f>IF(OR(tblPiNHistorical[[#This Row],[WASH - old]]="", tblPiNHistorical[[#This Row],[WASH - old]]=0, tblPiNHistorical[[#This Row],[WASH - new]]="", tblPiNHistorical[[#This Row],[WASH - new]]=0), "", tblPiNHistorical[[#This Row],[WASH - new]]-tblPiNHistorical[[#This Row],[WASH - old]])</f>
        <v>-449.55244763972951</v>
      </c>
      <c r="AI56" s="314">
        <f>IFERROR(ROUND((tblPiNHistorical[[#This Row],[CCCM - new]] - tblPiNHistorical[[#This Row],[CCCM - old]])/tblPiNHistorical[[#This Row],[CCCM - old]], 1), "")</f>
        <v>11</v>
      </c>
      <c r="AJ56" s="315">
        <f>IFERROR(ROUND((tblPiNHistorical[[#This Row],[Education - new]]-tblPiNHistorical[[#This Row],[Education - old]])/tblPiNHistorical[[#This Row],[Education - old]], 1), "")</f>
        <v>0.1</v>
      </c>
      <c r="AK56" s="315">
        <f>IFERROR(ROUND((tblPiNHistorical[[#This Row],[Nutrition - new]]-tblPiNHistorical[[#This Row],[Nutrition - old]])/tblPiNHistorical[[#This Row],[Nutrition - old]], 1), "")</f>
        <v>0</v>
      </c>
      <c r="AL56" s="315">
        <f>IFERROR(ROUND((tblPiNHistorical[[#This Row],[Food Security - new]]-tblPiNHistorical[[#This Row],[Food Security - old]])/tblPiNHistorical[[#This Row],[Food Security - old]], 1), "")</f>
        <v>0</v>
      </c>
      <c r="AM56" s="315">
        <f>IFERROR(ROUND((tblPiNHistorical[[#This Row],[Health - new]]-tblPiNHistorical[[#This Row],[Health - old]])/tblPiNHistorical[[#This Row],[Health - old]], 1), "")</f>
        <v>-0.8</v>
      </c>
      <c r="AN56" s="315">
        <f>IFERROR(ROUND((tblPiNHistorical[[#This Row],[Overarching Protection - new]]-tblPiNHistorical[[#This Row],[Overarching Protection - old]])/tblPiNHistorical[[#This Row],[Overarching Protection - old]], 1), "")</f>
        <v>-0.8</v>
      </c>
      <c r="AO56" s="315">
        <f>IFERROR(ROUND((tblPiNHistorical[[#This Row],[Shelter - new]]-tblPiNHistorical[[#This Row],[Shelter - old]])/tblPiNHistorical[[#This Row],[Shelter - old]], 1), "")</f>
        <v>0</v>
      </c>
      <c r="AP56" s="37">
        <f>IFERROR(ROUND((tblPiNHistorical[[#This Row],[WASH - new]]-tblPiNHistorical[[#This Row],[WASH - old]])/tblPiNHistorical[[#This Row],[WASH - old]], 1), "")</f>
        <v>0</v>
      </c>
    </row>
    <row r="57" spans="1:42">
      <c r="A5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Global_PopulationHT0422</v>
      </c>
      <c r="B57" s="304" t="s">
        <v>259</v>
      </c>
      <c r="C57" s="213" t="s">
        <v>260</v>
      </c>
      <c r="D57" s="213" t="s">
        <v>269</v>
      </c>
      <c r="E57" s="103" t="s">
        <v>270</v>
      </c>
      <c r="F57" s="99"/>
      <c r="G57" s="34"/>
      <c r="H57" s="331"/>
      <c r="I57" s="96">
        <v>22559</v>
      </c>
      <c r="J57" s="241" t="s">
        <v>156</v>
      </c>
      <c r="K57" s="305">
        <v>119</v>
      </c>
      <c r="L57" s="306">
        <v>2123</v>
      </c>
      <c r="M57" s="308">
        <v>1952</v>
      </c>
      <c r="N57" s="308">
        <v>10980</v>
      </c>
      <c r="O57" s="308">
        <v>5519</v>
      </c>
      <c r="P57" s="308">
        <v>3758</v>
      </c>
      <c r="Q57" s="309">
        <v>0</v>
      </c>
      <c r="R57" s="308">
        <v>2007.9012352118632</v>
      </c>
      <c r="S57" s="308">
        <f>IFERROR(INDEX(tblPiNAnalysis[CCCM], MATCH(tblPiNHistorical[[#This Row],[ID]], tblPiNAnalysis[ID], 0)), "")</f>
        <v>141</v>
      </c>
      <c r="T57" s="310">
        <f>IFERROR(INDEX(tblPiNAnalysis[Education], MATCH(tblPiNHistorical[[#This Row],[ID]], tblPiNAnalysis[ID], 0)), "")</f>
        <v>2578</v>
      </c>
      <c r="U57" s="308">
        <f>IFERROR(INDEX(tblPiNAnalysis[Nutrition], MATCH(tblPiNHistorical[[#This Row],[ID]], tblPiNAnalysis[ID], 0)), "")</f>
        <v>1959</v>
      </c>
      <c r="V57" s="308">
        <f>IFERROR(INDEX(tblPiNAnalysis[Food Security], MATCH(tblPiNHistorical[[#This Row],[ID]], tblPiNAnalysis[ID], 0)), "")</f>
        <v>10654</v>
      </c>
      <c r="W57" s="308">
        <f>IFERROR(INDEX(tblPiNAnalysis[Health], MATCH(tblPiNHistorical[[#This Row],[ID]], tblPiNAnalysis[ID], 0)), "")</f>
        <v>299.21416595744682</v>
      </c>
      <c r="X57" s="308">
        <f>IFERROR(INDEX(tblPiNAnalysis[Protection], MATCH(tblPiNHistorical[[#This Row],[ID]], tblPiNAnalysis[ID], 0)), "")</f>
        <v>247.48</v>
      </c>
      <c r="Y57" s="308">
        <f>IFERROR(INDEX(tblPiNAnalysis[Shelter], MATCH(tblPiNHistorical[[#This Row],[ID]], tblPiNAnalysis[ID], 0)), "")</f>
        <v>0</v>
      </c>
      <c r="Z57" s="308">
        <f>IFERROR(INDEX(tblPiNAnalysis[WASH], MATCH(tblPiNHistorical[[#This Row],[ID]], tblPiNAnalysis[ID], 0)), "")</f>
        <v>5639.75</v>
      </c>
      <c r="AA57" s="311">
        <f>IF(OR(tblPiNHistorical[[#This Row],[CCCM - old]]="", tblPiNHistorical[[#This Row],[CCCM - old]]=0, tblPiNHistorical[[#This Row],[CCCM - new]]="", tblPiNHistorical[[#This Row],[CCCM - new]]=0), "", tblPiNHistorical[[#This Row],[CCCM - new]]-tblPiNHistorical[[#This Row],[CCCM - old]])</f>
        <v>22</v>
      </c>
      <c r="AB57" s="312">
        <f>IF(OR(tblPiNHistorical[[#This Row],[Education - old]]="", tblPiNHistorical[[#This Row],[Education - old]]=0, tblPiNHistorical[[#This Row],[Education - new]]="", tblPiNHistorical[[#This Row],[Education - new]]=0), "", tblPiNHistorical[[#This Row],[Education - new]]-tblPiNHistorical[[#This Row],[Education - old]])</f>
        <v>455</v>
      </c>
      <c r="AC57" s="312">
        <f>IF(OR(tblPiNHistorical[[#This Row],[Nutrition - old]]="", tblPiNHistorical[[#This Row],[Nutrition - old]]=0, tblPiNHistorical[[#This Row],[Nutrition - new]]="", tblPiNHistorical[[#This Row],[Nutrition - new]]=0), "", tblPiNHistorical[[#This Row],[Nutrition - new]]-tblPiNHistorical[[#This Row],[Nutrition - old]])</f>
        <v>7</v>
      </c>
      <c r="AD57" s="312">
        <f>IF(OR(tblPiNHistorical[[#This Row],[Food Security - old]]="", tblPiNHistorical[[#This Row],[Food Security - old]]=0, tblPiNHistorical[[#This Row],[Food Security - new]]="", tblPiNHistorical[[#This Row],[Food Security - new]]=0), "", tblPiNHistorical[[#This Row],[Food Security - new]]-tblPiNHistorical[[#This Row],[Food Security - old]])</f>
        <v>-326</v>
      </c>
      <c r="AE57" s="312">
        <f>IF(OR(tblPiNHistorical[[#This Row],[Health - old]]="", tblPiNHistorical[[#This Row],[Health - old]]=0, tblPiNHistorical[[#This Row],[Health - new]]="", tblPiNHistorical[[#This Row],[Health - new]]=0), "", tblPiNHistorical[[#This Row],[Health - new]]-tblPiNHistorical[[#This Row],[Health - old]])</f>
        <v>-5219.7858340425528</v>
      </c>
      <c r="AF5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-3510.52</v>
      </c>
      <c r="AG57" s="312" t="str">
        <f>IF(OR(tblPiNHistorical[[#This Row],[Shelter - old]]="", tblPiNHistorical[[#This Row],[Shelter - old]]=0, tblPiNHistorical[[#This Row],[Shelter - new]]="", tblPiNHistorical[[#This Row],[Shelter - new]]=0), "", tblPiNHistorical[[#This Row],[Shelter - new]]-tblPiNHistorical[[#This Row],[Shelter - old]])</f>
        <v/>
      </c>
      <c r="AH57" s="313">
        <f>IF(OR(tblPiNHistorical[[#This Row],[WASH - old]]="", tblPiNHistorical[[#This Row],[WASH - old]]=0, tblPiNHistorical[[#This Row],[WASH - new]]="", tblPiNHistorical[[#This Row],[WASH - new]]=0), "", tblPiNHistorical[[#This Row],[WASH - new]]-tblPiNHistorical[[#This Row],[WASH - old]])</f>
        <v>3631.8487647881366</v>
      </c>
      <c r="AI57" s="314">
        <f>IFERROR(ROUND((tblPiNHistorical[[#This Row],[CCCM - new]] - tblPiNHistorical[[#This Row],[CCCM - old]])/tblPiNHistorical[[#This Row],[CCCM - old]], 1), "")</f>
        <v>0.2</v>
      </c>
      <c r="AJ57" s="315">
        <f>IFERROR(ROUND((tblPiNHistorical[[#This Row],[Education - new]]-tblPiNHistorical[[#This Row],[Education - old]])/tblPiNHistorical[[#This Row],[Education - old]], 1), "")</f>
        <v>0.2</v>
      </c>
      <c r="AK57" s="315">
        <f>IFERROR(ROUND((tblPiNHistorical[[#This Row],[Nutrition - new]]-tblPiNHistorical[[#This Row],[Nutrition - old]])/tblPiNHistorical[[#This Row],[Nutrition - old]], 1), "")</f>
        <v>0</v>
      </c>
      <c r="AL57" s="315">
        <f>IFERROR(ROUND((tblPiNHistorical[[#This Row],[Food Security - new]]-tblPiNHistorical[[#This Row],[Food Security - old]])/tblPiNHistorical[[#This Row],[Food Security - old]], 1), "")</f>
        <v>0</v>
      </c>
      <c r="AM57" s="315">
        <f>IFERROR(ROUND((tblPiNHistorical[[#This Row],[Health - new]]-tblPiNHistorical[[#This Row],[Health - old]])/tblPiNHistorical[[#This Row],[Health - old]], 1), "")</f>
        <v>-0.9</v>
      </c>
      <c r="AN57" s="315">
        <f>IFERROR(ROUND((tblPiNHistorical[[#This Row],[Overarching Protection - new]]-tblPiNHistorical[[#This Row],[Overarching Protection - old]])/tblPiNHistorical[[#This Row],[Overarching Protection - old]], 1), "")</f>
        <v>-0.9</v>
      </c>
      <c r="AO57" s="315" t="str">
        <f>IFERROR(ROUND((tblPiNHistorical[[#This Row],[Shelter - new]]-tblPiNHistorical[[#This Row],[Shelter - old]])/tblPiNHistorical[[#This Row],[Shelter - old]], 1), "")</f>
        <v/>
      </c>
      <c r="AP57" s="37">
        <f>IFERROR(ROUND((tblPiNHistorical[[#This Row],[WASH - new]]-tblPiNHistorical[[#This Row],[WASH - old]])/tblPiNHistorical[[#This Row],[WASH - old]], 1), "")</f>
        <v>1.8</v>
      </c>
    </row>
    <row r="58" spans="1:42">
      <c r="A5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Global_PopulationHT0423</v>
      </c>
      <c r="B58" s="304" t="s">
        <v>259</v>
      </c>
      <c r="C58" s="213" t="s">
        <v>260</v>
      </c>
      <c r="D58" s="213" t="s">
        <v>271</v>
      </c>
      <c r="E58" s="103" t="s">
        <v>272</v>
      </c>
      <c r="F58" s="99"/>
      <c r="G58" s="34"/>
      <c r="H58" s="331"/>
      <c r="I58" s="96">
        <v>24682</v>
      </c>
      <c r="J58" s="241" t="s">
        <v>156</v>
      </c>
      <c r="K58" s="305">
        <v>527</v>
      </c>
      <c r="L58" s="306">
        <v>2591</v>
      </c>
      <c r="M58" s="308">
        <v>2127</v>
      </c>
      <c r="N58" s="308">
        <v>11424</v>
      </c>
      <c r="O58" s="308">
        <v>6669</v>
      </c>
      <c r="P58" s="308">
        <v>2702</v>
      </c>
      <c r="Q58" s="309">
        <v>6710</v>
      </c>
      <c r="R58" s="308">
        <v>2882.6633098000466</v>
      </c>
      <c r="S58" s="308">
        <f>IFERROR(INDEX(tblPiNAnalysis[CCCM], MATCH(tblPiNHistorical[[#This Row],[ID]], tblPiNAnalysis[ID], 0)), "")</f>
        <v>115.5</v>
      </c>
      <c r="T58" s="310">
        <f>IFERROR(INDEX(tblPiNAnalysis[Education], MATCH(tblPiNHistorical[[#This Row],[ID]], tblPiNAnalysis[ID], 0)), "")</f>
        <v>2889</v>
      </c>
      <c r="U58" s="308">
        <f>IFERROR(INDEX(tblPiNAnalysis[Nutrition], MATCH(tblPiNHistorical[[#This Row],[ID]], tblPiNAnalysis[ID], 0)), "")</f>
        <v>2130</v>
      </c>
      <c r="V58" s="308">
        <f>IFERROR(INDEX(tblPiNAnalysis[Food Security], MATCH(tblPiNHistorical[[#This Row],[ID]], tblPiNAnalysis[ID], 0)), "")</f>
        <v>11529</v>
      </c>
      <c r="W58" s="308">
        <f>IFERROR(INDEX(tblPiNAnalysis[Health], MATCH(tblPiNHistorical[[#This Row],[ID]], tblPiNAnalysis[ID], 0)), "")</f>
        <v>424.69701818181818</v>
      </c>
      <c r="X58" s="308">
        <f>IFERROR(INDEX(tblPiNAnalysis[Protection], MATCH(tblPiNHistorical[[#This Row],[ID]], tblPiNAnalysis[ID], 0)), "")</f>
        <v>201.46</v>
      </c>
      <c r="Y58" s="308">
        <f>IFERROR(INDEX(tblPiNAnalysis[Shelter], MATCH(tblPiNHistorical[[#This Row],[ID]], tblPiNAnalysis[ID], 0)), "")</f>
        <v>6850</v>
      </c>
      <c r="Z58" s="308">
        <f>IFERROR(INDEX(tblPiNAnalysis[WASH], MATCH(tblPiNHistorical[[#This Row],[ID]], tblPiNAnalysis[ID], 0)), "")</f>
        <v>12341</v>
      </c>
      <c r="AA58" s="311">
        <f>IF(OR(tblPiNHistorical[[#This Row],[CCCM - old]]="", tblPiNHistorical[[#This Row],[CCCM - old]]=0, tblPiNHistorical[[#This Row],[CCCM - new]]="", tblPiNHistorical[[#This Row],[CCCM - new]]=0), "", tblPiNHistorical[[#This Row],[CCCM - new]]-tblPiNHistorical[[#This Row],[CCCM - old]])</f>
        <v>-411.5</v>
      </c>
      <c r="AB58" s="312">
        <f>IF(OR(tblPiNHistorical[[#This Row],[Education - old]]="", tblPiNHistorical[[#This Row],[Education - old]]=0, tblPiNHistorical[[#This Row],[Education - new]]="", tblPiNHistorical[[#This Row],[Education - new]]=0), "", tblPiNHistorical[[#This Row],[Education - new]]-tblPiNHistorical[[#This Row],[Education - old]])</f>
        <v>298</v>
      </c>
      <c r="AC58" s="312">
        <f>IF(OR(tblPiNHistorical[[#This Row],[Nutrition - old]]="", tblPiNHistorical[[#This Row],[Nutrition - old]]=0, tblPiNHistorical[[#This Row],[Nutrition - new]]="", tblPiNHistorical[[#This Row],[Nutrition - new]]=0), "", tblPiNHistorical[[#This Row],[Nutrition - new]]-tblPiNHistorical[[#This Row],[Nutrition - old]])</f>
        <v>3</v>
      </c>
      <c r="AD58" s="312">
        <f>IF(OR(tblPiNHistorical[[#This Row],[Food Security - old]]="", tblPiNHistorical[[#This Row],[Food Security - old]]=0, tblPiNHistorical[[#This Row],[Food Security - new]]="", tblPiNHistorical[[#This Row],[Food Security - new]]=0), "", tblPiNHistorical[[#This Row],[Food Security - new]]-tblPiNHistorical[[#This Row],[Food Security - old]])</f>
        <v>105</v>
      </c>
      <c r="AE58" s="312">
        <f>IF(OR(tblPiNHistorical[[#This Row],[Health - old]]="", tblPiNHistorical[[#This Row],[Health - old]]=0, tblPiNHistorical[[#This Row],[Health - new]]="", tblPiNHistorical[[#This Row],[Health - new]]=0), "", tblPiNHistorical[[#This Row],[Health - new]]-tblPiNHistorical[[#This Row],[Health - old]])</f>
        <v>-6244.3029818181822</v>
      </c>
      <c r="AF5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-2500.54</v>
      </c>
      <c r="AG58" s="312">
        <f>IF(OR(tblPiNHistorical[[#This Row],[Shelter - old]]="", tblPiNHistorical[[#This Row],[Shelter - old]]=0, tblPiNHistorical[[#This Row],[Shelter - new]]="", tblPiNHistorical[[#This Row],[Shelter - new]]=0), "", tblPiNHistorical[[#This Row],[Shelter - new]]-tblPiNHistorical[[#This Row],[Shelter - old]])</f>
        <v>140</v>
      </c>
      <c r="AH58" s="313">
        <f>IF(OR(tblPiNHistorical[[#This Row],[WASH - old]]="", tblPiNHistorical[[#This Row],[WASH - old]]=0, tblPiNHistorical[[#This Row],[WASH - new]]="", tblPiNHistorical[[#This Row],[WASH - new]]=0), "", tblPiNHistorical[[#This Row],[WASH - new]]-tblPiNHistorical[[#This Row],[WASH - old]])</f>
        <v>9458.3366901999543</v>
      </c>
      <c r="AI58" s="314">
        <f>IFERROR(ROUND((tblPiNHistorical[[#This Row],[CCCM - new]] - tblPiNHistorical[[#This Row],[CCCM - old]])/tblPiNHistorical[[#This Row],[CCCM - old]], 1), "")</f>
        <v>-0.8</v>
      </c>
      <c r="AJ58" s="315">
        <f>IFERROR(ROUND((tblPiNHistorical[[#This Row],[Education - new]]-tblPiNHistorical[[#This Row],[Education - old]])/tblPiNHistorical[[#This Row],[Education - old]], 1), "")</f>
        <v>0.1</v>
      </c>
      <c r="AK58" s="315">
        <f>IFERROR(ROUND((tblPiNHistorical[[#This Row],[Nutrition - new]]-tblPiNHistorical[[#This Row],[Nutrition - old]])/tblPiNHistorical[[#This Row],[Nutrition - old]], 1), "")</f>
        <v>0</v>
      </c>
      <c r="AL58" s="315">
        <f>IFERROR(ROUND((tblPiNHistorical[[#This Row],[Food Security - new]]-tblPiNHistorical[[#This Row],[Food Security - old]])/tblPiNHistorical[[#This Row],[Food Security - old]], 1), "")</f>
        <v>0</v>
      </c>
      <c r="AM58" s="315">
        <f>IFERROR(ROUND((tblPiNHistorical[[#This Row],[Health - new]]-tblPiNHistorical[[#This Row],[Health - old]])/tblPiNHistorical[[#This Row],[Health - old]], 1), "")</f>
        <v>-0.9</v>
      </c>
      <c r="AN58" s="315">
        <f>IFERROR(ROUND((tblPiNHistorical[[#This Row],[Overarching Protection - new]]-tblPiNHistorical[[#This Row],[Overarching Protection - old]])/tblPiNHistorical[[#This Row],[Overarching Protection - old]], 1), "")</f>
        <v>-0.9</v>
      </c>
      <c r="AO58" s="315">
        <f>IFERROR(ROUND((tblPiNHistorical[[#This Row],[Shelter - new]]-tblPiNHistorical[[#This Row],[Shelter - old]])/tblPiNHistorical[[#This Row],[Shelter - old]], 1), "")</f>
        <v>0</v>
      </c>
      <c r="AP58" s="37">
        <f>IFERROR(ROUND((tblPiNHistorical[[#This Row],[WASH - new]]-tblPiNHistorical[[#This Row],[WASH - old]])/tblPiNHistorical[[#This Row],[WASH - old]], 1), "")</f>
        <v>3.3</v>
      </c>
    </row>
    <row r="59" spans="1:42">
      <c r="A5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Global_PopulationHT0431</v>
      </c>
      <c r="B59" s="304" t="s">
        <v>259</v>
      </c>
      <c r="C59" s="213" t="s">
        <v>260</v>
      </c>
      <c r="D59" s="213" t="s">
        <v>273</v>
      </c>
      <c r="E59" s="103" t="s">
        <v>274</v>
      </c>
      <c r="F59" s="99"/>
      <c r="G59" s="34"/>
      <c r="H59" s="331"/>
      <c r="I59" s="96">
        <v>57212</v>
      </c>
      <c r="J59" s="241" t="s">
        <v>156</v>
      </c>
      <c r="K59" s="305">
        <v>680</v>
      </c>
      <c r="L59" s="306">
        <v>5481</v>
      </c>
      <c r="M59" s="308">
        <v>4889</v>
      </c>
      <c r="N59" s="308">
        <v>26653</v>
      </c>
      <c r="O59" s="308">
        <v>14929</v>
      </c>
      <c r="P59" s="308">
        <v>6841</v>
      </c>
      <c r="Q59" s="309">
        <v>21622</v>
      </c>
      <c r="R59" s="308">
        <v>29796.386868542639</v>
      </c>
      <c r="S59" s="308">
        <f>IFERROR(INDEX(tblPiNAnalysis[CCCM], MATCH(tblPiNHistorical[[#This Row],[ID]], tblPiNAnalysis[ID], 0)), "")</f>
        <v>1003.5</v>
      </c>
      <c r="T59" s="310">
        <f>IFERROR(INDEX(tblPiNAnalysis[Education], MATCH(tblPiNHistorical[[#This Row],[ID]], tblPiNAnalysis[ID], 0)), "")</f>
        <v>6402</v>
      </c>
      <c r="U59" s="308">
        <f>IFERROR(INDEX(tblPiNAnalysis[Nutrition], MATCH(tblPiNHistorical[[#This Row],[ID]], tblPiNAnalysis[ID], 0)), "")</f>
        <v>4938</v>
      </c>
      <c r="V59" s="308">
        <f>IFERROR(INDEX(tblPiNAnalysis[Food Security], MATCH(tblPiNHistorical[[#This Row],[ID]], tblPiNAnalysis[ID], 0)), "")</f>
        <v>26897</v>
      </c>
      <c r="W59" s="308">
        <f>IFERROR(INDEX(tblPiNAnalysis[Health], MATCH(tblPiNHistorical[[#This Row],[ID]], tblPiNAnalysis[ID], 0)), "")</f>
        <v>1247.6117865470853</v>
      </c>
      <c r="X59" s="308">
        <f>IFERROR(INDEX(tblPiNAnalysis[Protection], MATCH(tblPiNHistorical[[#This Row],[ID]], tblPiNAnalysis[ID], 0)), "")</f>
        <v>2563.9899999999998</v>
      </c>
      <c r="Y59" s="308">
        <f>IFERROR(INDEX(tblPiNAnalysis[Shelter], MATCH(tblPiNHistorical[[#This Row],[ID]], tblPiNAnalysis[ID], 0)), "")</f>
        <v>30422</v>
      </c>
      <c r="Z59" s="308">
        <f>IFERROR(INDEX(tblPiNAnalysis[WASH], MATCH(tblPiNHistorical[[#This Row],[ID]], tblPiNAnalysis[ID], 0)), "")</f>
        <v>23838.333333333336</v>
      </c>
      <c r="AA59" s="311">
        <f>IF(OR(tblPiNHistorical[[#This Row],[CCCM - old]]="", tblPiNHistorical[[#This Row],[CCCM - old]]=0, tblPiNHistorical[[#This Row],[CCCM - new]]="", tblPiNHistorical[[#This Row],[CCCM - new]]=0), "", tblPiNHistorical[[#This Row],[CCCM - new]]-tblPiNHistorical[[#This Row],[CCCM - old]])</f>
        <v>323.5</v>
      </c>
      <c r="AB59" s="312">
        <f>IF(OR(tblPiNHistorical[[#This Row],[Education - old]]="", tblPiNHistorical[[#This Row],[Education - old]]=0, tblPiNHistorical[[#This Row],[Education - new]]="", tblPiNHistorical[[#This Row],[Education - new]]=0), "", tblPiNHistorical[[#This Row],[Education - new]]-tblPiNHistorical[[#This Row],[Education - old]])</f>
        <v>921</v>
      </c>
      <c r="AC59" s="312">
        <f>IF(OR(tblPiNHistorical[[#This Row],[Nutrition - old]]="", tblPiNHistorical[[#This Row],[Nutrition - old]]=0, tblPiNHistorical[[#This Row],[Nutrition - new]]="", tblPiNHistorical[[#This Row],[Nutrition - new]]=0), "", tblPiNHistorical[[#This Row],[Nutrition - new]]-tblPiNHistorical[[#This Row],[Nutrition - old]])</f>
        <v>49</v>
      </c>
      <c r="AD59" s="312">
        <f>IF(OR(tblPiNHistorical[[#This Row],[Food Security - old]]="", tblPiNHistorical[[#This Row],[Food Security - old]]=0, tblPiNHistorical[[#This Row],[Food Security - new]]="", tblPiNHistorical[[#This Row],[Food Security - new]]=0), "", tblPiNHistorical[[#This Row],[Food Security - new]]-tblPiNHistorical[[#This Row],[Food Security - old]])</f>
        <v>244</v>
      </c>
      <c r="AE59" s="312">
        <f>IF(OR(tblPiNHistorical[[#This Row],[Health - old]]="", tblPiNHistorical[[#This Row],[Health - old]]=0, tblPiNHistorical[[#This Row],[Health - new]]="", tblPiNHistorical[[#This Row],[Health - new]]=0), "", tblPiNHistorical[[#This Row],[Health - new]]-tblPiNHistorical[[#This Row],[Health - old]])</f>
        <v>-13681.388213452914</v>
      </c>
      <c r="AF5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-4277.01</v>
      </c>
      <c r="AG59" s="312">
        <f>IF(OR(tblPiNHistorical[[#This Row],[Shelter - old]]="", tblPiNHistorical[[#This Row],[Shelter - old]]=0, tblPiNHistorical[[#This Row],[Shelter - new]]="", tblPiNHistorical[[#This Row],[Shelter - new]]=0), "", tblPiNHistorical[[#This Row],[Shelter - new]]-tblPiNHistorical[[#This Row],[Shelter - old]])</f>
        <v>8800</v>
      </c>
      <c r="AH59" s="313">
        <f>IF(OR(tblPiNHistorical[[#This Row],[WASH - old]]="", tblPiNHistorical[[#This Row],[WASH - old]]=0, tblPiNHistorical[[#This Row],[WASH - new]]="", tblPiNHistorical[[#This Row],[WASH - new]]=0), "", tblPiNHistorical[[#This Row],[WASH - new]]-tblPiNHistorical[[#This Row],[WASH - old]])</f>
        <v>-5958.0535352093029</v>
      </c>
      <c r="AI59" s="314">
        <f>IFERROR(ROUND((tblPiNHistorical[[#This Row],[CCCM - new]] - tblPiNHistorical[[#This Row],[CCCM - old]])/tblPiNHistorical[[#This Row],[CCCM - old]], 1), "")</f>
        <v>0.5</v>
      </c>
      <c r="AJ59" s="315">
        <f>IFERROR(ROUND((tblPiNHistorical[[#This Row],[Education - new]]-tblPiNHistorical[[#This Row],[Education - old]])/tblPiNHistorical[[#This Row],[Education - old]], 1), "")</f>
        <v>0.2</v>
      </c>
      <c r="AK59" s="315">
        <f>IFERROR(ROUND((tblPiNHistorical[[#This Row],[Nutrition - new]]-tblPiNHistorical[[#This Row],[Nutrition - old]])/tblPiNHistorical[[#This Row],[Nutrition - old]], 1), "")</f>
        <v>0</v>
      </c>
      <c r="AL59" s="315">
        <f>IFERROR(ROUND((tblPiNHistorical[[#This Row],[Food Security - new]]-tblPiNHistorical[[#This Row],[Food Security - old]])/tblPiNHistorical[[#This Row],[Food Security - old]], 1), "")</f>
        <v>0</v>
      </c>
      <c r="AM59" s="315">
        <f>IFERROR(ROUND((tblPiNHistorical[[#This Row],[Health - new]]-tblPiNHistorical[[#This Row],[Health - old]])/tblPiNHistorical[[#This Row],[Health - old]], 1), "")</f>
        <v>-0.9</v>
      </c>
      <c r="AN59" s="315">
        <f>IFERROR(ROUND((tblPiNHistorical[[#This Row],[Overarching Protection - new]]-tblPiNHistorical[[#This Row],[Overarching Protection - old]])/tblPiNHistorical[[#This Row],[Overarching Protection - old]], 1), "")</f>
        <v>-0.6</v>
      </c>
      <c r="AO59" s="315">
        <f>IFERROR(ROUND((tblPiNHistorical[[#This Row],[Shelter - new]]-tblPiNHistorical[[#This Row],[Shelter - old]])/tblPiNHistorical[[#This Row],[Shelter - old]], 1), "")</f>
        <v>0.4</v>
      </c>
      <c r="AP59" s="37">
        <f>IFERROR(ROUND((tblPiNHistorical[[#This Row],[WASH - new]]-tblPiNHistorical[[#This Row],[WASH - old]])/tblPiNHistorical[[#This Row],[WASH - old]], 1), "")</f>
        <v>-0.2</v>
      </c>
    </row>
    <row r="60" spans="1:42">
      <c r="A6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Global_PopulationHT0432</v>
      </c>
      <c r="B60" s="304" t="s">
        <v>259</v>
      </c>
      <c r="C60" s="213" t="s">
        <v>260</v>
      </c>
      <c r="D60" s="213" t="s">
        <v>275</v>
      </c>
      <c r="E60" s="103" t="s">
        <v>276</v>
      </c>
      <c r="F60" s="99"/>
      <c r="G60" s="34"/>
      <c r="H60" s="331"/>
      <c r="I60" s="96">
        <v>32812</v>
      </c>
      <c r="J60" s="241" t="s">
        <v>156</v>
      </c>
      <c r="K60" s="305">
        <v>447</v>
      </c>
      <c r="L60" s="306">
        <v>3181</v>
      </c>
      <c r="M60" s="308">
        <v>2645</v>
      </c>
      <c r="N60" s="308">
        <v>15269</v>
      </c>
      <c r="O60" s="308">
        <v>8361</v>
      </c>
      <c r="P60" s="308">
        <v>2570</v>
      </c>
      <c r="Q60" s="309">
        <v>10210</v>
      </c>
      <c r="R60" s="308">
        <v>7110.6063896048381</v>
      </c>
      <c r="S60" s="308">
        <f>IFERROR(INDEX(tblPiNAnalysis[CCCM], MATCH(tblPiNHistorical[[#This Row],[ID]], tblPiNAnalysis[ID], 0)), "")</f>
        <v>847.5</v>
      </c>
      <c r="T60" s="310">
        <f>IFERROR(INDEX(tblPiNAnalysis[Education], MATCH(tblPiNHistorical[[#This Row],[ID]], tblPiNAnalysis[ID], 0)), "")</f>
        <v>3821</v>
      </c>
      <c r="U60" s="308">
        <f>IFERROR(INDEX(tblPiNAnalysis[Nutrition], MATCH(tblPiNHistorical[[#This Row],[ID]], tblPiNAnalysis[ID], 0)), "")</f>
        <v>2687</v>
      </c>
      <c r="V60" s="308">
        <f>IFERROR(INDEX(tblPiNAnalysis[Food Security], MATCH(tblPiNHistorical[[#This Row],[ID]], tblPiNAnalysis[ID], 0)), "")</f>
        <v>15408</v>
      </c>
      <c r="W60" s="308">
        <f>IFERROR(INDEX(tblPiNAnalysis[Health], MATCH(tblPiNHistorical[[#This Row],[ID]], tblPiNAnalysis[ID], 0)), "")</f>
        <v>989.48795575221232</v>
      </c>
      <c r="X60" s="308">
        <f>IFERROR(INDEX(tblPiNAnalysis[Protection], MATCH(tblPiNHistorical[[#This Row],[ID]], tblPiNAnalysis[ID], 0)), "")</f>
        <v>621.84</v>
      </c>
      <c r="Y60" s="308">
        <f>IFERROR(INDEX(tblPiNAnalysis[Shelter], MATCH(tblPiNHistorical[[#This Row],[ID]], tblPiNAnalysis[ID], 0)), "")</f>
        <v>12731</v>
      </c>
      <c r="Z60" s="308">
        <f>IFERROR(INDEX(tblPiNAnalysis[WASH], MATCH(tblPiNHistorical[[#This Row],[ID]], tblPiNAnalysis[ID], 0)), "")</f>
        <v>1069.75</v>
      </c>
      <c r="AA60" s="311">
        <f>IF(OR(tblPiNHistorical[[#This Row],[CCCM - old]]="", tblPiNHistorical[[#This Row],[CCCM - old]]=0, tblPiNHistorical[[#This Row],[CCCM - new]]="", tblPiNHistorical[[#This Row],[CCCM - new]]=0), "", tblPiNHistorical[[#This Row],[CCCM - new]]-tblPiNHistorical[[#This Row],[CCCM - old]])</f>
        <v>400.5</v>
      </c>
      <c r="AB60" s="312">
        <f>IF(OR(tblPiNHistorical[[#This Row],[Education - old]]="", tblPiNHistorical[[#This Row],[Education - old]]=0, tblPiNHistorical[[#This Row],[Education - new]]="", tblPiNHistorical[[#This Row],[Education - new]]=0), "", tblPiNHistorical[[#This Row],[Education - new]]-tblPiNHistorical[[#This Row],[Education - old]])</f>
        <v>640</v>
      </c>
      <c r="AC60" s="312">
        <f>IF(OR(tblPiNHistorical[[#This Row],[Nutrition - old]]="", tblPiNHistorical[[#This Row],[Nutrition - old]]=0, tblPiNHistorical[[#This Row],[Nutrition - new]]="", tblPiNHistorical[[#This Row],[Nutrition - new]]=0), "", tblPiNHistorical[[#This Row],[Nutrition - new]]-tblPiNHistorical[[#This Row],[Nutrition - old]])</f>
        <v>42</v>
      </c>
      <c r="AD60" s="312">
        <f>IF(OR(tblPiNHistorical[[#This Row],[Food Security - old]]="", tblPiNHistorical[[#This Row],[Food Security - old]]=0, tblPiNHistorical[[#This Row],[Food Security - new]]="", tblPiNHistorical[[#This Row],[Food Security - new]]=0), "", tblPiNHistorical[[#This Row],[Food Security - new]]-tblPiNHistorical[[#This Row],[Food Security - old]])</f>
        <v>139</v>
      </c>
      <c r="AE60" s="312">
        <f>IF(OR(tblPiNHistorical[[#This Row],[Health - old]]="", tblPiNHistorical[[#This Row],[Health - old]]=0, tblPiNHistorical[[#This Row],[Health - new]]="", tblPiNHistorical[[#This Row],[Health - new]]=0), "", tblPiNHistorical[[#This Row],[Health - new]]-tblPiNHistorical[[#This Row],[Health - old]])</f>
        <v>-7371.5120442477873</v>
      </c>
      <c r="AF6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-1948.1599999999999</v>
      </c>
      <c r="AG60" s="312">
        <f>IF(OR(tblPiNHistorical[[#This Row],[Shelter - old]]="", tblPiNHistorical[[#This Row],[Shelter - old]]=0, tblPiNHistorical[[#This Row],[Shelter - new]]="", tblPiNHistorical[[#This Row],[Shelter - new]]=0), "", tblPiNHistorical[[#This Row],[Shelter - new]]-tblPiNHistorical[[#This Row],[Shelter - old]])</f>
        <v>2521</v>
      </c>
      <c r="AH60" s="313">
        <f>IF(OR(tblPiNHistorical[[#This Row],[WASH - old]]="", tblPiNHistorical[[#This Row],[WASH - old]]=0, tblPiNHistorical[[#This Row],[WASH - new]]="", tblPiNHistorical[[#This Row],[WASH - new]]=0), "", tblPiNHistorical[[#This Row],[WASH - new]]-tblPiNHistorical[[#This Row],[WASH - old]])</f>
        <v>-6040.8563896048381</v>
      </c>
      <c r="AI60" s="314">
        <f>IFERROR(ROUND((tblPiNHistorical[[#This Row],[CCCM - new]] - tblPiNHistorical[[#This Row],[CCCM - old]])/tblPiNHistorical[[#This Row],[CCCM - old]], 1), "")</f>
        <v>0.9</v>
      </c>
      <c r="AJ60" s="315">
        <f>IFERROR(ROUND((tblPiNHistorical[[#This Row],[Education - new]]-tblPiNHistorical[[#This Row],[Education - old]])/tblPiNHistorical[[#This Row],[Education - old]], 1), "")</f>
        <v>0.2</v>
      </c>
      <c r="AK60" s="315">
        <f>IFERROR(ROUND((tblPiNHistorical[[#This Row],[Nutrition - new]]-tblPiNHistorical[[#This Row],[Nutrition - old]])/tblPiNHistorical[[#This Row],[Nutrition - old]], 1), "")</f>
        <v>0</v>
      </c>
      <c r="AL60" s="315">
        <f>IFERROR(ROUND((tblPiNHistorical[[#This Row],[Food Security - new]]-tblPiNHistorical[[#This Row],[Food Security - old]])/tblPiNHistorical[[#This Row],[Food Security - old]], 1), "")</f>
        <v>0</v>
      </c>
      <c r="AM60" s="315">
        <f>IFERROR(ROUND((tblPiNHistorical[[#This Row],[Health - new]]-tblPiNHistorical[[#This Row],[Health - old]])/tblPiNHistorical[[#This Row],[Health - old]], 1), "")</f>
        <v>-0.9</v>
      </c>
      <c r="AN60" s="315">
        <f>IFERROR(ROUND((tblPiNHistorical[[#This Row],[Overarching Protection - new]]-tblPiNHistorical[[#This Row],[Overarching Protection - old]])/tblPiNHistorical[[#This Row],[Overarching Protection - old]], 1), "")</f>
        <v>-0.8</v>
      </c>
      <c r="AO60" s="315">
        <f>IFERROR(ROUND((tblPiNHistorical[[#This Row],[Shelter - new]]-tblPiNHistorical[[#This Row],[Shelter - old]])/tblPiNHistorical[[#This Row],[Shelter - old]], 1), "")</f>
        <v>0.2</v>
      </c>
      <c r="AP60" s="37">
        <f>IFERROR(ROUND((tblPiNHistorical[[#This Row],[WASH - new]]-tblPiNHistorical[[#This Row],[WASH - old]])/tblPiNHistorical[[#This Row],[WASH - old]], 1), "")</f>
        <v>-0.8</v>
      </c>
    </row>
    <row r="61" spans="1:42">
      <c r="A6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Global_PopulationHT0433</v>
      </c>
      <c r="B61" s="304" t="s">
        <v>259</v>
      </c>
      <c r="C61" s="213" t="s">
        <v>260</v>
      </c>
      <c r="D61" s="213" t="s">
        <v>277</v>
      </c>
      <c r="E61" s="103" t="s">
        <v>278</v>
      </c>
      <c r="F61" s="99"/>
      <c r="G61" s="34"/>
      <c r="H61" s="331"/>
      <c r="I61" s="96">
        <v>35373</v>
      </c>
      <c r="J61" s="241" t="s">
        <v>156</v>
      </c>
      <c r="K61" s="305">
        <v>300</v>
      </c>
      <c r="L61" s="306">
        <v>3374</v>
      </c>
      <c r="M61" s="308">
        <v>3013</v>
      </c>
      <c r="N61" s="308">
        <v>16518</v>
      </c>
      <c r="O61" s="308">
        <v>8564</v>
      </c>
      <c r="P61" s="308">
        <v>3616</v>
      </c>
      <c r="Q61" s="309">
        <v>12540</v>
      </c>
      <c r="R61" s="308">
        <v>3504.352667878431</v>
      </c>
      <c r="S61" s="308">
        <f>IFERROR(INDEX(tblPiNAnalysis[CCCM], MATCH(tblPiNHistorical[[#This Row],[ID]], tblPiNAnalysis[ID], 0)), "")</f>
        <v>334.5</v>
      </c>
      <c r="T61" s="310">
        <f>IFERROR(INDEX(tblPiNAnalysis[Education], MATCH(tblPiNHistorical[[#This Row],[ID]], tblPiNAnalysis[ID], 0)), "")</f>
        <v>3888</v>
      </c>
      <c r="U61" s="308">
        <f>IFERROR(INDEX(tblPiNAnalysis[Nutrition], MATCH(tblPiNHistorical[[#This Row],[ID]], tblPiNAnalysis[ID], 0)), "")</f>
        <v>3029</v>
      </c>
      <c r="V61" s="308">
        <f>IFERROR(INDEX(tblPiNAnalysis[Food Security], MATCH(tblPiNHistorical[[#This Row],[ID]], tblPiNAnalysis[ID], 0)), "")</f>
        <v>16669</v>
      </c>
      <c r="W61" s="308">
        <f>IFERROR(INDEX(tblPiNAnalysis[Health], MATCH(tblPiNHistorical[[#This Row],[ID]], tblPiNAnalysis[ID], 0)), "")</f>
        <v>563.56117757847539</v>
      </c>
      <c r="X61" s="308">
        <f>IFERROR(INDEX(tblPiNAnalysis[Protection], MATCH(tblPiNHistorical[[#This Row],[ID]], tblPiNAnalysis[ID], 0)), "")</f>
        <v>581.02</v>
      </c>
      <c r="Y61" s="308">
        <f>IFERROR(INDEX(tblPiNAnalysis[Shelter], MATCH(tblPiNHistorical[[#This Row],[ID]], tblPiNAnalysis[ID], 0)), "")</f>
        <v>9506</v>
      </c>
      <c r="Z61" s="308">
        <f>IFERROR(INDEX(tblPiNAnalysis[WASH], MATCH(tblPiNHistorical[[#This Row],[ID]], tblPiNAnalysis[ID], 0)), "")</f>
        <v>277.25</v>
      </c>
      <c r="AA61" s="311">
        <f>IF(OR(tblPiNHistorical[[#This Row],[CCCM - old]]="", tblPiNHistorical[[#This Row],[CCCM - old]]=0, tblPiNHistorical[[#This Row],[CCCM - new]]="", tblPiNHistorical[[#This Row],[CCCM - new]]=0), "", tblPiNHistorical[[#This Row],[CCCM - new]]-tblPiNHistorical[[#This Row],[CCCM - old]])</f>
        <v>34.5</v>
      </c>
      <c r="AB61" s="312">
        <f>IF(OR(tblPiNHistorical[[#This Row],[Education - old]]="", tblPiNHistorical[[#This Row],[Education - old]]=0, tblPiNHistorical[[#This Row],[Education - new]]="", tblPiNHistorical[[#This Row],[Education - new]]=0), "", tblPiNHistorical[[#This Row],[Education - new]]-tblPiNHistorical[[#This Row],[Education - old]])</f>
        <v>514</v>
      </c>
      <c r="AC61" s="312">
        <f>IF(OR(tblPiNHistorical[[#This Row],[Nutrition - old]]="", tblPiNHistorical[[#This Row],[Nutrition - old]]=0, tblPiNHistorical[[#This Row],[Nutrition - new]]="", tblPiNHistorical[[#This Row],[Nutrition - new]]=0), "", tblPiNHistorical[[#This Row],[Nutrition - new]]-tblPiNHistorical[[#This Row],[Nutrition - old]])</f>
        <v>16</v>
      </c>
      <c r="AD61" s="312">
        <f>IF(OR(tblPiNHistorical[[#This Row],[Food Security - old]]="", tblPiNHistorical[[#This Row],[Food Security - old]]=0, tblPiNHistorical[[#This Row],[Food Security - new]]="", tblPiNHistorical[[#This Row],[Food Security - new]]=0), "", tblPiNHistorical[[#This Row],[Food Security - new]]-tblPiNHistorical[[#This Row],[Food Security - old]])</f>
        <v>151</v>
      </c>
      <c r="AE61" s="312">
        <f>IF(OR(tblPiNHistorical[[#This Row],[Health - old]]="", tblPiNHistorical[[#This Row],[Health - old]]=0, tblPiNHistorical[[#This Row],[Health - new]]="", tblPiNHistorical[[#This Row],[Health - new]]=0), "", tblPiNHistorical[[#This Row],[Health - new]]-tblPiNHistorical[[#This Row],[Health - old]])</f>
        <v>-8000.4388224215245</v>
      </c>
      <c r="AF6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-3034.98</v>
      </c>
      <c r="AG61" s="312">
        <f>IF(OR(tblPiNHistorical[[#This Row],[Shelter - old]]="", tblPiNHistorical[[#This Row],[Shelter - old]]=0, tblPiNHistorical[[#This Row],[Shelter - new]]="", tblPiNHistorical[[#This Row],[Shelter - new]]=0), "", tblPiNHistorical[[#This Row],[Shelter - new]]-tblPiNHistorical[[#This Row],[Shelter - old]])</f>
        <v>-3034</v>
      </c>
      <c r="AH61" s="313">
        <f>IF(OR(tblPiNHistorical[[#This Row],[WASH - old]]="", tblPiNHistorical[[#This Row],[WASH - old]]=0, tblPiNHistorical[[#This Row],[WASH - new]]="", tblPiNHistorical[[#This Row],[WASH - new]]=0), "", tblPiNHistorical[[#This Row],[WASH - new]]-tblPiNHistorical[[#This Row],[WASH - old]])</f>
        <v>-3227.102667878431</v>
      </c>
      <c r="AI61" s="314">
        <f>IFERROR(ROUND((tblPiNHistorical[[#This Row],[CCCM - new]] - tblPiNHistorical[[#This Row],[CCCM - old]])/tblPiNHistorical[[#This Row],[CCCM - old]], 1), "")</f>
        <v>0.1</v>
      </c>
      <c r="AJ61" s="315">
        <f>IFERROR(ROUND((tblPiNHistorical[[#This Row],[Education - new]]-tblPiNHistorical[[#This Row],[Education - old]])/tblPiNHistorical[[#This Row],[Education - old]], 1), "")</f>
        <v>0.2</v>
      </c>
      <c r="AK61" s="315">
        <f>IFERROR(ROUND((tblPiNHistorical[[#This Row],[Nutrition - new]]-tblPiNHistorical[[#This Row],[Nutrition - old]])/tblPiNHistorical[[#This Row],[Nutrition - old]], 1), "")</f>
        <v>0</v>
      </c>
      <c r="AL61" s="315">
        <f>IFERROR(ROUND((tblPiNHistorical[[#This Row],[Food Security - new]]-tblPiNHistorical[[#This Row],[Food Security - old]])/tblPiNHistorical[[#This Row],[Food Security - old]], 1), "")</f>
        <v>0</v>
      </c>
      <c r="AM61" s="315">
        <f>IFERROR(ROUND((tblPiNHistorical[[#This Row],[Health - new]]-tblPiNHistorical[[#This Row],[Health - old]])/tblPiNHistorical[[#This Row],[Health - old]], 1), "")</f>
        <v>-0.9</v>
      </c>
      <c r="AN61" s="315">
        <f>IFERROR(ROUND((tblPiNHistorical[[#This Row],[Overarching Protection - new]]-tblPiNHistorical[[#This Row],[Overarching Protection - old]])/tblPiNHistorical[[#This Row],[Overarching Protection - old]], 1), "")</f>
        <v>-0.8</v>
      </c>
      <c r="AO61" s="315">
        <f>IFERROR(ROUND((tblPiNHistorical[[#This Row],[Shelter - new]]-tblPiNHistorical[[#This Row],[Shelter - old]])/tblPiNHistorical[[#This Row],[Shelter - old]], 1), "")</f>
        <v>-0.2</v>
      </c>
      <c r="AP61" s="37">
        <f>IFERROR(ROUND((tblPiNHistorical[[#This Row],[WASH - new]]-tblPiNHistorical[[#This Row],[WASH - old]])/tblPiNHistorical[[#This Row],[WASH - old]], 1), "")</f>
        <v>-0.9</v>
      </c>
    </row>
    <row r="62" spans="1:42">
      <c r="A6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Global_PopulationHT0434</v>
      </c>
      <c r="B62" s="304" t="s">
        <v>259</v>
      </c>
      <c r="C62" s="213" t="s">
        <v>260</v>
      </c>
      <c r="D62" s="213" t="s">
        <v>279</v>
      </c>
      <c r="E62" s="103" t="s">
        <v>280</v>
      </c>
      <c r="F62" s="99"/>
      <c r="G62" s="34"/>
      <c r="H62" s="331"/>
      <c r="I62" s="96">
        <v>9005</v>
      </c>
      <c r="J62" s="241" t="s">
        <v>156</v>
      </c>
      <c r="K62" s="305">
        <v>83</v>
      </c>
      <c r="L62" s="306">
        <v>833</v>
      </c>
      <c r="M62" s="308">
        <v>1027</v>
      </c>
      <c r="N62" s="308">
        <v>4454</v>
      </c>
      <c r="O62" s="308">
        <v>2193</v>
      </c>
      <c r="P62" s="308">
        <v>2869</v>
      </c>
      <c r="Q62" s="309">
        <v>3402</v>
      </c>
      <c r="R62" s="308">
        <v>1434.8744211546982</v>
      </c>
      <c r="S62" s="308">
        <f>IFERROR(INDEX(tblPiNAnalysis[CCCM], MATCH(tblPiNHistorical[[#This Row],[ID]], tblPiNAnalysis[ID], 0)), "")</f>
        <v>825</v>
      </c>
      <c r="T62" s="310">
        <f>IFERROR(INDEX(tblPiNAnalysis[Education], MATCH(tblPiNHistorical[[#This Row],[ID]], tblPiNAnalysis[ID], 0)), "")</f>
        <v>1023</v>
      </c>
      <c r="U62" s="308">
        <f>IFERROR(INDEX(tblPiNAnalysis[Nutrition], MATCH(tblPiNHistorical[[#This Row],[ID]], tblPiNAnalysis[ID], 0)), "")</f>
        <v>1071</v>
      </c>
      <c r="V62" s="308">
        <f>IFERROR(INDEX(tblPiNAnalysis[Food Security], MATCH(tblPiNHistorical[[#This Row],[ID]], tblPiNAnalysis[ID], 0)), "")</f>
        <v>4240</v>
      </c>
      <c r="W62" s="308">
        <f>IFERROR(INDEX(tblPiNAnalysis[Health], MATCH(tblPiNHistorical[[#This Row],[ID]], tblPiNAnalysis[ID], 0)), "")</f>
        <v>890.39296363636356</v>
      </c>
      <c r="X62" s="308">
        <f>IFERROR(INDEX(tblPiNAnalysis[Protection], MATCH(tblPiNHistorical[[#This Row],[ID]], tblPiNAnalysis[ID], 0)), "")</f>
        <v>301.64</v>
      </c>
      <c r="Y62" s="308">
        <f>IFERROR(INDEX(tblPiNAnalysis[Shelter], MATCH(tblPiNHistorical[[#This Row],[ID]], tblPiNAnalysis[ID], 0)), "")</f>
        <v>0</v>
      </c>
      <c r="Z62" s="308">
        <f>IFERROR(INDEX(tblPiNAnalysis[WASH], MATCH(tblPiNHistorical[[#This Row],[ID]], tblPiNAnalysis[ID], 0)), "")</f>
        <v>3782.1</v>
      </c>
      <c r="AA62" s="311">
        <f>IF(OR(tblPiNHistorical[[#This Row],[CCCM - old]]="", tblPiNHistorical[[#This Row],[CCCM - old]]=0, tblPiNHistorical[[#This Row],[CCCM - new]]="", tblPiNHistorical[[#This Row],[CCCM - new]]=0), "", tblPiNHistorical[[#This Row],[CCCM - new]]-tblPiNHistorical[[#This Row],[CCCM - old]])</f>
        <v>742</v>
      </c>
      <c r="AB62" s="312">
        <f>IF(OR(tblPiNHistorical[[#This Row],[Education - old]]="", tblPiNHistorical[[#This Row],[Education - old]]=0, tblPiNHistorical[[#This Row],[Education - new]]="", tblPiNHistorical[[#This Row],[Education - new]]=0), "", tblPiNHistorical[[#This Row],[Education - new]]-tblPiNHistorical[[#This Row],[Education - old]])</f>
        <v>190</v>
      </c>
      <c r="AC62" s="312">
        <f>IF(OR(tblPiNHistorical[[#This Row],[Nutrition - old]]="", tblPiNHistorical[[#This Row],[Nutrition - old]]=0, tblPiNHistorical[[#This Row],[Nutrition - new]]="", tblPiNHistorical[[#This Row],[Nutrition - new]]=0), "", tblPiNHistorical[[#This Row],[Nutrition - new]]-tblPiNHistorical[[#This Row],[Nutrition - old]])</f>
        <v>44</v>
      </c>
      <c r="AD62" s="312">
        <f>IF(OR(tblPiNHistorical[[#This Row],[Food Security - old]]="", tblPiNHistorical[[#This Row],[Food Security - old]]=0, tblPiNHistorical[[#This Row],[Food Security - new]]="", tblPiNHistorical[[#This Row],[Food Security - new]]=0), "", tblPiNHistorical[[#This Row],[Food Security - new]]-tblPiNHistorical[[#This Row],[Food Security - old]])</f>
        <v>-214</v>
      </c>
      <c r="AE62" s="312">
        <f>IF(OR(tblPiNHistorical[[#This Row],[Health - old]]="", tblPiNHistorical[[#This Row],[Health - old]]=0, tblPiNHistorical[[#This Row],[Health - new]]="", tblPiNHistorical[[#This Row],[Health - new]]=0), "", tblPiNHistorical[[#This Row],[Health - new]]-tblPiNHistorical[[#This Row],[Health - old]])</f>
        <v>-1302.6070363636363</v>
      </c>
      <c r="AF6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-2567.36</v>
      </c>
      <c r="AG62" s="312" t="str">
        <f>IF(OR(tblPiNHistorical[[#This Row],[Shelter - old]]="", tblPiNHistorical[[#This Row],[Shelter - old]]=0, tblPiNHistorical[[#This Row],[Shelter - new]]="", tblPiNHistorical[[#This Row],[Shelter - new]]=0), "", tblPiNHistorical[[#This Row],[Shelter - new]]-tblPiNHistorical[[#This Row],[Shelter - old]])</f>
        <v/>
      </c>
      <c r="AH62" s="313">
        <f>IF(OR(tblPiNHistorical[[#This Row],[WASH - old]]="", tblPiNHistorical[[#This Row],[WASH - old]]=0, tblPiNHistorical[[#This Row],[WASH - new]]="", tblPiNHistorical[[#This Row],[WASH - new]]=0), "", tblPiNHistorical[[#This Row],[WASH - new]]-tblPiNHistorical[[#This Row],[WASH - old]])</f>
        <v>2347.2255788453017</v>
      </c>
      <c r="AI62" s="314">
        <f>IFERROR(ROUND((tblPiNHistorical[[#This Row],[CCCM - new]] - tblPiNHistorical[[#This Row],[CCCM - old]])/tblPiNHistorical[[#This Row],[CCCM - old]], 1), "")</f>
        <v>8.9</v>
      </c>
      <c r="AJ62" s="315">
        <f>IFERROR(ROUND((tblPiNHistorical[[#This Row],[Education - new]]-tblPiNHistorical[[#This Row],[Education - old]])/tblPiNHistorical[[#This Row],[Education - old]], 1), "")</f>
        <v>0.2</v>
      </c>
      <c r="AK62" s="315">
        <f>IFERROR(ROUND((tblPiNHistorical[[#This Row],[Nutrition - new]]-tblPiNHistorical[[#This Row],[Nutrition - old]])/tblPiNHistorical[[#This Row],[Nutrition - old]], 1), "")</f>
        <v>0</v>
      </c>
      <c r="AL62" s="315">
        <f>IFERROR(ROUND((tblPiNHistorical[[#This Row],[Food Security - new]]-tblPiNHistorical[[#This Row],[Food Security - old]])/tblPiNHistorical[[#This Row],[Food Security - old]], 1), "")</f>
        <v>0</v>
      </c>
      <c r="AM62" s="315">
        <f>IFERROR(ROUND((tblPiNHistorical[[#This Row],[Health - new]]-tblPiNHistorical[[#This Row],[Health - old]])/tblPiNHistorical[[#This Row],[Health - old]], 1), "")</f>
        <v>-0.6</v>
      </c>
      <c r="AN62" s="315">
        <f>IFERROR(ROUND((tblPiNHistorical[[#This Row],[Overarching Protection - new]]-tblPiNHistorical[[#This Row],[Overarching Protection - old]])/tblPiNHistorical[[#This Row],[Overarching Protection - old]], 1), "")</f>
        <v>-0.9</v>
      </c>
      <c r="AO62" s="315">
        <f>IFERROR(ROUND((tblPiNHistorical[[#This Row],[Shelter - new]]-tblPiNHistorical[[#This Row],[Shelter - old]])/tblPiNHistorical[[#This Row],[Shelter - old]], 1), "")</f>
        <v>-1</v>
      </c>
      <c r="AP62" s="37">
        <f>IFERROR(ROUND((tblPiNHistorical[[#This Row],[WASH - new]]-tblPiNHistorical[[#This Row],[WASH - old]])/tblPiNHistorical[[#This Row],[WASH - old]], 1), "")</f>
        <v>1.6</v>
      </c>
    </row>
    <row r="63" spans="1:42">
      <c r="A6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Global_PopulationHT0441</v>
      </c>
      <c r="B63" s="304" t="s">
        <v>259</v>
      </c>
      <c r="C63" s="213" t="s">
        <v>260</v>
      </c>
      <c r="D63" s="213" t="s">
        <v>281</v>
      </c>
      <c r="E63" s="103" t="s">
        <v>282</v>
      </c>
      <c r="F63" s="99"/>
      <c r="G63" s="34"/>
      <c r="H63" s="331"/>
      <c r="I63" s="96">
        <v>27514</v>
      </c>
      <c r="J63" s="241" t="s">
        <v>156</v>
      </c>
      <c r="K63" s="305">
        <v>318</v>
      </c>
      <c r="L63" s="306">
        <v>2558</v>
      </c>
      <c r="M63" s="308">
        <v>2076</v>
      </c>
      <c r="N63" s="308">
        <v>45468</v>
      </c>
      <c r="O63" s="308">
        <v>6840</v>
      </c>
      <c r="P63" s="308">
        <v>2133</v>
      </c>
      <c r="Q63" s="309">
        <v>12500</v>
      </c>
      <c r="R63" s="308">
        <v>5266.8100156990549</v>
      </c>
      <c r="S63" s="308">
        <f>IFERROR(INDEX(tblPiNAnalysis[CCCM], MATCH(tblPiNHistorical[[#This Row],[ID]], tblPiNAnalysis[ID], 0)), "")</f>
        <v>39</v>
      </c>
      <c r="T63" s="310">
        <f>IFERROR(INDEX(tblPiNAnalysis[Education], MATCH(tblPiNHistorical[[#This Row],[ID]], tblPiNAnalysis[ID], 0)), "")</f>
        <v>2997</v>
      </c>
      <c r="U63" s="308">
        <f>IFERROR(INDEX(tblPiNAnalysis[Nutrition], MATCH(tblPiNHistorical[[#This Row],[ID]], tblPiNAnalysis[ID], 0)), "")</f>
        <v>2077</v>
      </c>
      <c r="V63" s="308">
        <f>IFERROR(INDEX(tblPiNAnalysis[Food Security], MATCH(tblPiNHistorical[[#This Row],[ID]], tblPiNAnalysis[ID], 0)), "")</f>
        <v>40972</v>
      </c>
      <c r="W63" s="308">
        <f>IFERROR(INDEX(tblPiNAnalysis[Health], MATCH(tblPiNHistorical[[#This Row],[ID]], tblPiNAnalysis[ID], 0)), "")</f>
        <v>213.76438461538461</v>
      </c>
      <c r="X63" s="308">
        <f>IFERROR(INDEX(tblPiNAnalysis[Protection], MATCH(tblPiNHistorical[[#This Row],[ID]], tblPiNAnalysis[ID], 0)), "")</f>
        <v>316.08999999999997</v>
      </c>
      <c r="Y63" s="308">
        <f>IFERROR(INDEX(tblPiNAnalysis[Shelter], MATCH(tblPiNHistorical[[#This Row],[ID]], tblPiNAnalysis[ID], 0)), "")</f>
        <v>21047</v>
      </c>
      <c r="Z63" s="308">
        <f>IFERROR(INDEX(tblPiNAnalysis[WASH], MATCH(tblPiNHistorical[[#This Row],[ID]], tblPiNAnalysis[ID], 0)), "")</f>
        <v>27514</v>
      </c>
      <c r="AA63" s="311">
        <f>IF(OR(tblPiNHistorical[[#This Row],[CCCM - old]]="", tblPiNHistorical[[#This Row],[CCCM - old]]=0, tblPiNHistorical[[#This Row],[CCCM - new]]="", tblPiNHistorical[[#This Row],[CCCM - new]]=0), "", tblPiNHistorical[[#This Row],[CCCM - new]]-tblPiNHistorical[[#This Row],[CCCM - old]])</f>
        <v>-279</v>
      </c>
      <c r="AB63" s="312">
        <f>IF(OR(tblPiNHistorical[[#This Row],[Education - old]]="", tblPiNHistorical[[#This Row],[Education - old]]=0, tblPiNHistorical[[#This Row],[Education - new]]="", tblPiNHistorical[[#This Row],[Education - new]]=0), "", tblPiNHistorical[[#This Row],[Education - new]]-tblPiNHistorical[[#This Row],[Education - old]])</f>
        <v>439</v>
      </c>
      <c r="AC63" s="312">
        <f>IF(OR(tblPiNHistorical[[#This Row],[Nutrition - old]]="", tblPiNHistorical[[#This Row],[Nutrition - old]]=0, tblPiNHistorical[[#This Row],[Nutrition - new]]="", tblPiNHistorical[[#This Row],[Nutrition - new]]=0), "", tblPiNHistorical[[#This Row],[Nutrition - new]]-tblPiNHistorical[[#This Row],[Nutrition - old]])</f>
        <v>1</v>
      </c>
      <c r="AD63" s="312">
        <f>IF(OR(tblPiNHistorical[[#This Row],[Food Security - old]]="", tblPiNHistorical[[#This Row],[Food Security - old]]=0, tblPiNHistorical[[#This Row],[Food Security - new]]="", tblPiNHistorical[[#This Row],[Food Security - new]]=0), "", tblPiNHistorical[[#This Row],[Food Security - new]]-tblPiNHistorical[[#This Row],[Food Security - old]])</f>
        <v>-4496</v>
      </c>
      <c r="AE63" s="312">
        <f>IF(OR(tblPiNHistorical[[#This Row],[Health - old]]="", tblPiNHistorical[[#This Row],[Health - old]]=0, tblPiNHistorical[[#This Row],[Health - new]]="", tblPiNHistorical[[#This Row],[Health - new]]=0), "", tblPiNHistorical[[#This Row],[Health - new]]-tblPiNHistorical[[#This Row],[Health - old]])</f>
        <v>-6626.2356153846158</v>
      </c>
      <c r="AF6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-1816.91</v>
      </c>
      <c r="AG63" s="312">
        <f>IF(OR(tblPiNHistorical[[#This Row],[Shelter - old]]="", tblPiNHistorical[[#This Row],[Shelter - old]]=0, tblPiNHistorical[[#This Row],[Shelter - new]]="", tblPiNHistorical[[#This Row],[Shelter - new]]=0), "", tblPiNHistorical[[#This Row],[Shelter - new]]-tblPiNHistorical[[#This Row],[Shelter - old]])</f>
        <v>8547</v>
      </c>
      <c r="AH63" s="313">
        <f>IF(OR(tblPiNHistorical[[#This Row],[WASH - old]]="", tblPiNHistorical[[#This Row],[WASH - old]]=0, tblPiNHistorical[[#This Row],[WASH - new]]="", tblPiNHistorical[[#This Row],[WASH - new]]=0), "", tblPiNHistorical[[#This Row],[WASH - new]]-tblPiNHistorical[[#This Row],[WASH - old]])</f>
        <v>22247.189984300945</v>
      </c>
      <c r="AI63" s="314">
        <f>IFERROR(ROUND((tblPiNHistorical[[#This Row],[CCCM - new]] - tblPiNHistorical[[#This Row],[CCCM - old]])/tblPiNHistorical[[#This Row],[CCCM - old]], 1), "")</f>
        <v>-0.9</v>
      </c>
      <c r="AJ63" s="315">
        <f>IFERROR(ROUND((tblPiNHistorical[[#This Row],[Education - new]]-tblPiNHistorical[[#This Row],[Education - old]])/tblPiNHistorical[[#This Row],[Education - old]], 1), "")</f>
        <v>0.2</v>
      </c>
      <c r="AK63" s="315">
        <f>IFERROR(ROUND((tblPiNHistorical[[#This Row],[Nutrition - new]]-tblPiNHistorical[[#This Row],[Nutrition - old]])/tblPiNHistorical[[#This Row],[Nutrition - old]], 1), "")</f>
        <v>0</v>
      </c>
      <c r="AL63" s="315">
        <f>IFERROR(ROUND((tblPiNHistorical[[#This Row],[Food Security - new]]-tblPiNHistorical[[#This Row],[Food Security - old]])/tblPiNHistorical[[#This Row],[Food Security - old]], 1), "")</f>
        <v>-0.1</v>
      </c>
      <c r="AM63" s="315">
        <f>IFERROR(ROUND((tblPiNHistorical[[#This Row],[Health - new]]-tblPiNHistorical[[#This Row],[Health - old]])/tblPiNHistorical[[#This Row],[Health - old]], 1), "")</f>
        <v>-1</v>
      </c>
      <c r="AN63" s="315">
        <f>IFERROR(ROUND((tblPiNHistorical[[#This Row],[Overarching Protection - new]]-tblPiNHistorical[[#This Row],[Overarching Protection - old]])/tblPiNHistorical[[#This Row],[Overarching Protection - old]], 1), "")</f>
        <v>-0.9</v>
      </c>
      <c r="AO63" s="315">
        <f>IFERROR(ROUND((tblPiNHistorical[[#This Row],[Shelter - new]]-tblPiNHistorical[[#This Row],[Shelter - old]])/tblPiNHistorical[[#This Row],[Shelter - old]], 1), "")</f>
        <v>0.7</v>
      </c>
      <c r="AP63" s="37">
        <f>IFERROR(ROUND((tblPiNHistorical[[#This Row],[WASH - new]]-tblPiNHistorical[[#This Row],[WASH - old]])/tblPiNHistorical[[#This Row],[WASH - old]], 1), "")</f>
        <v>4.2</v>
      </c>
    </row>
    <row r="64" spans="1:42">
      <c r="A6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Global_PopulationHT0442</v>
      </c>
      <c r="B64" s="304" t="s">
        <v>259</v>
      </c>
      <c r="C64" s="213" t="s">
        <v>260</v>
      </c>
      <c r="D64" s="213" t="s">
        <v>283</v>
      </c>
      <c r="E64" s="103" t="s">
        <v>284</v>
      </c>
      <c r="F64" s="99"/>
      <c r="G64" s="34"/>
      <c r="H64" s="331"/>
      <c r="I64" s="96">
        <v>15825</v>
      </c>
      <c r="J64" s="241" t="s">
        <v>156</v>
      </c>
      <c r="K64" s="305">
        <v>50</v>
      </c>
      <c r="L64" s="306">
        <v>1755</v>
      </c>
      <c r="M64" s="308">
        <v>1577</v>
      </c>
      <c r="N64" s="308">
        <v>7861</v>
      </c>
      <c r="O64" s="308">
        <v>4097</v>
      </c>
      <c r="P64" s="308">
        <v>2439</v>
      </c>
      <c r="Q64" s="309">
        <v>6000</v>
      </c>
      <c r="R64" s="308">
        <v>1592.6780128225641</v>
      </c>
      <c r="S64" s="308">
        <f>IFERROR(INDEX(tblPiNAnalysis[CCCM], MATCH(tblPiNHistorical[[#This Row],[ID]], tblPiNAnalysis[ID], 0)), "")</f>
        <v>183</v>
      </c>
      <c r="T64" s="310">
        <f>IFERROR(INDEX(tblPiNAnalysis[Education], MATCH(tblPiNHistorical[[#This Row],[ID]], tblPiNAnalysis[ID], 0)), "")</f>
        <v>1892</v>
      </c>
      <c r="U64" s="308">
        <f>IFERROR(INDEX(tblPiNAnalysis[Nutrition], MATCH(tblPiNHistorical[[#This Row],[ID]], tblPiNAnalysis[ID], 0)), "")</f>
        <v>1587</v>
      </c>
      <c r="V64" s="308">
        <f>IFERROR(INDEX(tblPiNAnalysis[Food Security], MATCH(tblPiNHistorical[[#This Row],[ID]], tblPiNAnalysis[ID], 0)), "")</f>
        <v>7484</v>
      </c>
      <c r="W64" s="308">
        <f>IFERROR(INDEX(tblPiNAnalysis[Health], MATCH(tblPiNHistorical[[#This Row],[ID]], tblPiNAnalysis[ID], 0)), "")</f>
        <v>378.8779344262295</v>
      </c>
      <c r="X64" s="308">
        <f>IFERROR(INDEX(tblPiNAnalysis[Protection], MATCH(tblPiNHistorical[[#This Row],[ID]], tblPiNAnalysis[ID], 0)), "")</f>
        <v>553.06000000000006</v>
      </c>
      <c r="Y64" s="308">
        <f>IFERROR(INDEX(tblPiNAnalysis[Shelter], MATCH(tblPiNHistorical[[#This Row],[ID]], tblPiNAnalysis[ID], 0)), "")</f>
        <v>7595</v>
      </c>
      <c r="Z64" s="308">
        <f>IFERROR(INDEX(tblPiNAnalysis[WASH], MATCH(tblPiNHistorical[[#This Row],[ID]], tblPiNAnalysis[ID], 0)), "")</f>
        <v>6330</v>
      </c>
      <c r="AA64" s="311">
        <f>IF(OR(tblPiNHistorical[[#This Row],[CCCM - old]]="", tblPiNHistorical[[#This Row],[CCCM - old]]=0, tblPiNHistorical[[#This Row],[CCCM - new]]="", tblPiNHistorical[[#This Row],[CCCM - new]]=0), "", tblPiNHistorical[[#This Row],[CCCM - new]]-tblPiNHistorical[[#This Row],[CCCM - old]])</f>
        <v>133</v>
      </c>
      <c r="AB64" s="312">
        <f>IF(OR(tblPiNHistorical[[#This Row],[Education - old]]="", tblPiNHistorical[[#This Row],[Education - old]]=0, tblPiNHistorical[[#This Row],[Education - new]]="", tblPiNHistorical[[#This Row],[Education - new]]=0), "", tblPiNHistorical[[#This Row],[Education - new]]-tblPiNHistorical[[#This Row],[Education - old]])</f>
        <v>137</v>
      </c>
      <c r="AC64" s="312">
        <f>IF(OR(tblPiNHistorical[[#This Row],[Nutrition - old]]="", tblPiNHistorical[[#This Row],[Nutrition - old]]=0, tblPiNHistorical[[#This Row],[Nutrition - new]]="", tblPiNHistorical[[#This Row],[Nutrition - new]]=0), "", tblPiNHistorical[[#This Row],[Nutrition - new]]-tblPiNHistorical[[#This Row],[Nutrition - old]])</f>
        <v>10</v>
      </c>
      <c r="AD64" s="312">
        <f>IF(OR(tblPiNHistorical[[#This Row],[Food Security - old]]="", tblPiNHistorical[[#This Row],[Food Security - old]]=0, tblPiNHistorical[[#This Row],[Food Security - new]]="", tblPiNHistorical[[#This Row],[Food Security - new]]=0), "", tblPiNHistorical[[#This Row],[Food Security - new]]-tblPiNHistorical[[#This Row],[Food Security - old]])</f>
        <v>-377</v>
      </c>
      <c r="AE64" s="312">
        <f>IF(OR(tblPiNHistorical[[#This Row],[Health - old]]="", tblPiNHistorical[[#This Row],[Health - old]]=0, tblPiNHistorical[[#This Row],[Health - new]]="", tblPiNHistorical[[#This Row],[Health - new]]=0), "", tblPiNHistorical[[#This Row],[Health - new]]-tblPiNHistorical[[#This Row],[Health - old]])</f>
        <v>-3718.1220655737707</v>
      </c>
      <c r="AF6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-1885.94</v>
      </c>
      <c r="AG64" s="312">
        <f>IF(OR(tblPiNHistorical[[#This Row],[Shelter - old]]="", tblPiNHistorical[[#This Row],[Shelter - old]]=0, tblPiNHistorical[[#This Row],[Shelter - new]]="", tblPiNHistorical[[#This Row],[Shelter - new]]=0), "", tblPiNHistorical[[#This Row],[Shelter - new]]-tblPiNHistorical[[#This Row],[Shelter - old]])</f>
        <v>1595</v>
      </c>
      <c r="AH64" s="313">
        <f>IF(OR(tblPiNHistorical[[#This Row],[WASH - old]]="", tblPiNHistorical[[#This Row],[WASH - old]]=0, tblPiNHistorical[[#This Row],[WASH - new]]="", tblPiNHistorical[[#This Row],[WASH - new]]=0), "", tblPiNHistorical[[#This Row],[WASH - new]]-tblPiNHistorical[[#This Row],[WASH - old]])</f>
        <v>4737.3219871774363</v>
      </c>
      <c r="AI64" s="314">
        <f>IFERROR(ROUND((tblPiNHistorical[[#This Row],[CCCM - new]] - tblPiNHistorical[[#This Row],[CCCM - old]])/tblPiNHistorical[[#This Row],[CCCM - old]], 1), "")</f>
        <v>2.7</v>
      </c>
      <c r="AJ64" s="315">
        <f>IFERROR(ROUND((tblPiNHistorical[[#This Row],[Education - new]]-tblPiNHistorical[[#This Row],[Education - old]])/tblPiNHistorical[[#This Row],[Education - old]], 1), "")</f>
        <v>0.1</v>
      </c>
      <c r="AK64" s="315">
        <f>IFERROR(ROUND((tblPiNHistorical[[#This Row],[Nutrition - new]]-tblPiNHistorical[[#This Row],[Nutrition - old]])/tblPiNHistorical[[#This Row],[Nutrition - old]], 1), "")</f>
        <v>0</v>
      </c>
      <c r="AL64" s="315">
        <f>IFERROR(ROUND((tblPiNHistorical[[#This Row],[Food Security - new]]-tblPiNHistorical[[#This Row],[Food Security - old]])/tblPiNHistorical[[#This Row],[Food Security - old]], 1), "")</f>
        <v>0</v>
      </c>
      <c r="AM64" s="315">
        <f>IFERROR(ROUND((tblPiNHistorical[[#This Row],[Health - new]]-tblPiNHistorical[[#This Row],[Health - old]])/tblPiNHistorical[[#This Row],[Health - old]], 1), "")</f>
        <v>-0.9</v>
      </c>
      <c r="AN64" s="315">
        <f>IFERROR(ROUND((tblPiNHistorical[[#This Row],[Overarching Protection - new]]-tblPiNHistorical[[#This Row],[Overarching Protection - old]])/tblPiNHistorical[[#This Row],[Overarching Protection - old]], 1), "")</f>
        <v>-0.8</v>
      </c>
      <c r="AO64" s="315">
        <f>IFERROR(ROUND((tblPiNHistorical[[#This Row],[Shelter - new]]-tblPiNHistorical[[#This Row],[Shelter - old]])/tblPiNHistorical[[#This Row],[Shelter - old]], 1), "")</f>
        <v>0.3</v>
      </c>
      <c r="AP64" s="37">
        <f>IFERROR(ROUND((tblPiNHistorical[[#This Row],[WASH - new]]-tblPiNHistorical[[#This Row],[WASH - old]])/tblPiNHistorical[[#This Row],[WASH - old]], 1), "")</f>
        <v>3</v>
      </c>
    </row>
    <row r="65" spans="1:42">
      <c r="A6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Global_PopulationHT0443</v>
      </c>
      <c r="B65" s="304" t="s">
        <v>259</v>
      </c>
      <c r="C65" s="213" t="s">
        <v>260</v>
      </c>
      <c r="D65" s="213" t="s">
        <v>285</v>
      </c>
      <c r="E65" s="103" t="s">
        <v>286</v>
      </c>
      <c r="F65" s="99"/>
      <c r="G65" s="34"/>
      <c r="H65" s="331"/>
      <c r="I65" s="96">
        <v>40343</v>
      </c>
      <c r="J65" s="241" t="s">
        <v>156</v>
      </c>
      <c r="K65" s="305">
        <v>138</v>
      </c>
      <c r="L65" s="306">
        <v>4040</v>
      </c>
      <c r="M65" s="308">
        <v>3298</v>
      </c>
      <c r="N65" s="308">
        <v>18901</v>
      </c>
      <c r="O65" s="308">
        <v>9461</v>
      </c>
      <c r="P65" s="308">
        <v>3658</v>
      </c>
      <c r="Q65" s="309">
        <v>13000</v>
      </c>
      <c r="R65" s="308">
        <v>6075.6279946992563</v>
      </c>
      <c r="S65" s="308">
        <f>IFERROR(INDEX(tblPiNAnalysis[CCCM], MATCH(tblPiNHistorical[[#This Row],[ID]], tblPiNAnalysis[ID], 0)), "")</f>
        <v>271.5</v>
      </c>
      <c r="T65" s="310">
        <f>IFERROR(INDEX(tblPiNAnalysis[Education], MATCH(tblPiNHistorical[[#This Row],[ID]], tblPiNAnalysis[ID], 0)), "")</f>
        <v>4735</v>
      </c>
      <c r="U65" s="308">
        <f>IFERROR(INDEX(tblPiNAnalysis[Nutrition], MATCH(tblPiNHistorical[[#This Row],[ID]], tblPiNAnalysis[ID], 0)), "")</f>
        <v>3312</v>
      </c>
      <c r="V65" s="308">
        <f>IFERROR(INDEX(tblPiNAnalysis[Food Security], MATCH(tblPiNHistorical[[#This Row],[ID]], tblPiNAnalysis[ID], 0)), "")</f>
        <v>19074</v>
      </c>
      <c r="W65" s="308">
        <f>IFERROR(INDEX(tblPiNAnalysis[Health], MATCH(tblPiNHistorical[[#This Row],[ID]], tblPiNAnalysis[ID], 0)), "")</f>
        <v>648.80215801104976</v>
      </c>
      <c r="X65" s="308">
        <f>IFERROR(INDEX(tblPiNAnalysis[Protection], MATCH(tblPiNHistorical[[#This Row],[ID]], tblPiNAnalysis[ID], 0)), "")</f>
        <v>843.84833333333336</v>
      </c>
      <c r="Y65" s="308">
        <f>IFERROR(INDEX(tblPiNAnalysis[Shelter], MATCH(tblPiNHistorical[[#This Row],[ID]], tblPiNAnalysis[ID], 0)), "")</f>
        <v>17695</v>
      </c>
      <c r="Z65" s="308">
        <f>IFERROR(INDEX(tblPiNAnalysis[WASH], MATCH(tblPiNHistorical[[#This Row],[ID]], tblPiNAnalysis[ID], 0)), "")</f>
        <v>16809.583333333336</v>
      </c>
      <c r="AA65" s="311">
        <f>IF(OR(tblPiNHistorical[[#This Row],[CCCM - old]]="", tblPiNHistorical[[#This Row],[CCCM - old]]=0, tblPiNHistorical[[#This Row],[CCCM - new]]="", tblPiNHistorical[[#This Row],[CCCM - new]]=0), "", tblPiNHistorical[[#This Row],[CCCM - new]]-tblPiNHistorical[[#This Row],[CCCM - old]])</f>
        <v>133.5</v>
      </c>
      <c r="AB65" s="312">
        <f>IF(OR(tblPiNHistorical[[#This Row],[Education - old]]="", tblPiNHistorical[[#This Row],[Education - old]]=0, tblPiNHistorical[[#This Row],[Education - new]]="", tblPiNHistorical[[#This Row],[Education - new]]=0), "", tblPiNHistorical[[#This Row],[Education - new]]-tblPiNHistorical[[#This Row],[Education - old]])</f>
        <v>695</v>
      </c>
      <c r="AC65" s="312">
        <f>IF(OR(tblPiNHistorical[[#This Row],[Nutrition - old]]="", tblPiNHistorical[[#This Row],[Nutrition - old]]=0, tblPiNHistorical[[#This Row],[Nutrition - new]]="", tblPiNHistorical[[#This Row],[Nutrition - new]]=0), "", tblPiNHistorical[[#This Row],[Nutrition - new]]-tblPiNHistorical[[#This Row],[Nutrition - old]])</f>
        <v>14</v>
      </c>
      <c r="AD65" s="312">
        <f>IF(OR(tblPiNHistorical[[#This Row],[Food Security - old]]="", tblPiNHistorical[[#This Row],[Food Security - old]]=0, tblPiNHistorical[[#This Row],[Food Security - new]]="", tblPiNHistorical[[#This Row],[Food Security - new]]=0), "", tblPiNHistorical[[#This Row],[Food Security - new]]-tblPiNHistorical[[#This Row],[Food Security - old]])</f>
        <v>173</v>
      </c>
      <c r="AE65" s="312">
        <f>IF(OR(tblPiNHistorical[[#This Row],[Health - old]]="", tblPiNHistorical[[#This Row],[Health - old]]=0, tblPiNHistorical[[#This Row],[Health - new]]="", tblPiNHistorical[[#This Row],[Health - new]]=0), "", tblPiNHistorical[[#This Row],[Health - new]]-tblPiNHistorical[[#This Row],[Health - old]])</f>
        <v>-8812.197841988951</v>
      </c>
      <c r="AF6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-2814.1516666666666</v>
      </c>
      <c r="AG65" s="312">
        <f>IF(OR(tblPiNHistorical[[#This Row],[Shelter - old]]="", tblPiNHistorical[[#This Row],[Shelter - old]]=0, tblPiNHistorical[[#This Row],[Shelter - new]]="", tblPiNHistorical[[#This Row],[Shelter - new]]=0), "", tblPiNHistorical[[#This Row],[Shelter - new]]-tblPiNHistorical[[#This Row],[Shelter - old]])</f>
        <v>4695</v>
      </c>
      <c r="AH65" s="313">
        <f>IF(OR(tblPiNHistorical[[#This Row],[WASH - old]]="", tblPiNHistorical[[#This Row],[WASH - old]]=0, tblPiNHistorical[[#This Row],[WASH - new]]="", tblPiNHistorical[[#This Row],[WASH - new]]=0), "", tblPiNHistorical[[#This Row],[WASH - new]]-tblPiNHistorical[[#This Row],[WASH - old]])</f>
        <v>10733.955338634079</v>
      </c>
      <c r="AI65" s="314">
        <f>IFERROR(ROUND((tblPiNHistorical[[#This Row],[CCCM - new]] - tblPiNHistorical[[#This Row],[CCCM - old]])/tblPiNHistorical[[#This Row],[CCCM - old]], 1), "")</f>
        <v>1</v>
      </c>
      <c r="AJ65" s="315">
        <f>IFERROR(ROUND((tblPiNHistorical[[#This Row],[Education - new]]-tblPiNHistorical[[#This Row],[Education - old]])/tblPiNHistorical[[#This Row],[Education - old]], 1), "")</f>
        <v>0.2</v>
      </c>
      <c r="AK65" s="315">
        <f>IFERROR(ROUND((tblPiNHistorical[[#This Row],[Nutrition - new]]-tblPiNHistorical[[#This Row],[Nutrition - old]])/tblPiNHistorical[[#This Row],[Nutrition - old]], 1), "")</f>
        <v>0</v>
      </c>
      <c r="AL65" s="315">
        <f>IFERROR(ROUND((tblPiNHistorical[[#This Row],[Food Security - new]]-tblPiNHistorical[[#This Row],[Food Security - old]])/tblPiNHistorical[[#This Row],[Food Security - old]], 1), "")</f>
        <v>0</v>
      </c>
      <c r="AM65" s="315">
        <f>IFERROR(ROUND((tblPiNHistorical[[#This Row],[Health - new]]-tblPiNHistorical[[#This Row],[Health - old]])/tblPiNHistorical[[#This Row],[Health - old]], 1), "")</f>
        <v>-0.9</v>
      </c>
      <c r="AN65" s="315">
        <f>IFERROR(ROUND((tblPiNHistorical[[#This Row],[Overarching Protection - new]]-tblPiNHistorical[[#This Row],[Overarching Protection - old]])/tblPiNHistorical[[#This Row],[Overarching Protection - old]], 1), "")</f>
        <v>-0.8</v>
      </c>
      <c r="AO65" s="315">
        <f>IFERROR(ROUND((tblPiNHistorical[[#This Row],[Shelter - new]]-tblPiNHistorical[[#This Row],[Shelter - old]])/tblPiNHistorical[[#This Row],[Shelter - old]], 1), "")</f>
        <v>0.4</v>
      </c>
      <c r="AP65" s="37">
        <f>IFERROR(ROUND((tblPiNHistorical[[#This Row],[WASH - new]]-tblPiNHistorical[[#This Row],[WASH - old]])/tblPiNHistorical[[#This Row],[WASH - old]], 1), "")</f>
        <v>1.8</v>
      </c>
    </row>
    <row r="66" spans="1:42">
      <c r="A6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Global_PopulationHT0511</v>
      </c>
      <c r="B66" s="304" t="s">
        <v>287</v>
      </c>
      <c r="C66" s="213" t="s">
        <v>288</v>
      </c>
      <c r="D66" s="213" t="s">
        <v>289</v>
      </c>
      <c r="E66" s="103" t="s">
        <v>290</v>
      </c>
      <c r="F66" s="99"/>
      <c r="G66" s="34"/>
      <c r="H66" s="331"/>
      <c r="I66" s="96">
        <v>366051</v>
      </c>
      <c r="J66" s="241" t="s">
        <v>156</v>
      </c>
      <c r="K66" s="305">
        <v>7451</v>
      </c>
      <c r="L66" s="306">
        <v>41759</v>
      </c>
      <c r="M66" s="308">
        <v>34324</v>
      </c>
      <c r="N66" s="308">
        <v>193381</v>
      </c>
      <c r="O66" s="308">
        <v>98062</v>
      </c>
      <c r="P66" s="308">
        <v>79954</v>
      </c>
      <c r="Q66" s="309">
        <v>109244</v>
      </c>
      <c r="R66" s="308">
        <v>66347.864490414358</v>
      </c>
      <c r="S66" s="308">
        <f>IFERROR(INDEX(tblPiNAnalysis[CCCM], MATCH(tblPiNHistorical[[#This Row],[ID]], tblPiNAnalysis[ID], 0)), "")</f>
        <v>13219.5</v>
      </c>
      <c r="T66" s="310">
        <f>IFERROR(INDEX(tblPiNAnalysis[Education], MATCH(tblPiNHistorical[[#This Row],[ID]], tblPiNAnalysis[ID], 0)), "")</f>
        <v>64224</v>
      </c>
      <c r="U66" s="308">
        <f>IFERROR(INDEX(tblPiNAnalysis[Nutrition], MATCH(tblPiNHistorical[[#This Row],[ID]], tblPiNAnalysis[ID], 0)), "")</f>
        <v>35059</v>
      </c>
      <c r="V66" s="308">
        <f>IFERROR(INDEX(tblPiNAnalysis[Food Security], MATCH(tblPiNHistorical[[#This Row],[ID]], tblPiNAnalysis[ID], 0)), "")</f>
        <v>181505</v>
      </c>
      <c r="W66" s="308">
        <f>IFERROR(INDEX(tblPiNAnalysis[Health], MATCH(tblPiNHistorical[[#This Row],[ID]], tblPiNAnalysis[ID], 0)), "")</f>
        <v>212278.1252992677</v>
      </c>
      <c r="X66" s="308">
        <f>IFERROR(INDEX(tblPiNAnalysis[Protection], MATCH(tblPiNHistorical[[#This Row],[ID]], tblPiNAnalysis[ID], 0)), "")</f>
        <v>34522.5</v>
      </c>
      <c r="Y66" s="308">
        <f>IFERROR(INDEX(tblPiNAnalysis[Shelter], MATCH(tblPiNHistorical[[#This Row],[ID]], tblPiNAnalysis[ID], 0)), "")</f>
        <v>147258</v>
      </c>
      <c r="Z66" s="308">
        <f>IFERROR(INDEX(tblPiNAnalysis[WASH], MATCH(tblPiNHistorical[[#This Row],[ID]], tblPiNAnalysis[ID], 0)), "")</f>
        <v>106487.56363636363</v>
      </c>
      <c r="AA66" s="311">
        <f>IF(OR(tblPiNHistorical[[#This Row],[CCCM - old]]="", tblPiNHistorical[[#This Row],[CCCM - old]]=0, tblPiNHistorical[[#This Row],[CCCM - new]]="", tblPiNHistorical[[#This Row],[CCCM - new]]=0), "", tblPiNHistorical[[#This Row],[CCCM - new]]-tblPiNHistorical[[#This Row],[CCCM - old]])</f>
        <v>5768.5</v>
      </c>
      <c r="AB66" s="312">
        <f>IF(OR(tblPiNHistorical[[#This Row],[Education - old]]="", tblPiNHistorical[[#This Row],[Education - old]]=0, tblPiNHistorical[[#This Row],[Education - new]]="", tblPiNHistorical[[#This Row],[Education - new]]=0), "", tblPiNHistorical[[#This Row],[Education - new]]-tblPiNHistorical[[#This Row],[Education - old]])</f>
        <v>22465</v>
      </c>
      <c r="AC66" s="312">
        <f>IF(OR(tblPiNHistorical[[#This Row],[Nutrition - old]]="", tblPiNHistorical[[#This Row],[Nutrition - old]]=0, tblPiNHistorical[[#This Row],[Nutrition - new]]="", tblPiNHistorical[[#This Row],[Nutrition - new]]=0), "", tblPiNHistorical[[#This Row],[Nutrition - new]]-tblPiNHistorical[[#This Row],[Nutrition - old]])</f>
        <v>735</v>
      </c>
      <c r="AD66" s="312">
        <f>IF(OR(tblPiNHistorical[[#This Row],[Food Security - old]]="", tblPiNHistorical[[#This Row],[Food Security - old]]=0, tblPiNHistorical[[#This Row],[Food Security - new]]="", tblPiNHistorical[[#This Row],[Food Security - new]]=0), "", tblPiNHistorical[[#This Row],[Food Security - new]]-tblPiNHistorical[[#This Row],[Food Security - old]])</f>
        <v>-11876</v>
      </c>
      <c r="AE66" s="312">
        <f>IF(OR(tblPiNHistorical[[#This Row],[Health - old]]="", tblPiNHistorical[[#This Row],[Health - old]]=0, tblPiNHistorical[[#This Row],[Health - new]]="", tblPiNHistorical[[#This Row],[Health - new]]=0), "", tblPiNHistorical[[#This Row],[Health - new]]-tblPiNHistorical[[#This Row],[Health - old]])</f>
        <v>114216.1252992677</v>
      </c>
      <c r="AF6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-45431.5</v>
      </c>
      <c r="AG66" s="312">
        <f>IF(OR(tblPiNHistorical[[#This Row],[Shelter - old]]="", tblPiNHistorical[[#This Row],[Shelter - old]]=0, tblPiNHistorical[[#This Row],[Shelter - new]]="", tblPiNHistorical[[#This Row],[Shelter - new]]=0), "", tblPiNHistorical[[#This Row],[Shelter - new]]-tblPiNHistorical[[#This Row],[Shelter - old]])</f>
        <v>38014</v>
      </c>
      <c r="AH66" s="313">
        <f>IF(OR(tblPiNHistorical[[#This Row],[WASH - old]]="", tblPiNHistorical[[#This Row],[WASH - old]]=0, tblPiNHistorical[[#This Row],[WASH - new]]="", tblPiNHistorical[[#This Row],[WASH - new]]=0), "", tblPiNHistorical[[#This Row],[WASH - new]]-tblPiNHistorical[[#This Row],[WASH - old]])</f>
        <v>40139.699145949271</v>
      </c>
      <c r="AI66" s="314">
        <f>IFERROR(ROUND((tblPiNHistorical[[#This Row],[CCCM - new]] - tblPiNHistorical[[#This Row],[CCCM - old]])/tblPiNHistorical[[#This Row],[CCCM - old]], 1), "")</f>
        <v>0.8</v>
      </c>
      <c r="AJ66" s="315">
        <f>IFERROR(ROUND((tblPiNHistorical[[#This Row],[Education - new]]-tblPiNHistorical[[#This Row],[Education - old]])/tblPiNHistorical[[#This Row],[Education - old]], 1), "")</f>
        <v>0.5</v>
      </c>
      <c r="AK66" s="315">
        <f>IFERROR(ROUND((tblPiNHistorical[[#This Row],[Nutrition - new]]-tblPiNHistorical[[#This Row],[Nutrition - old]])/tblPiNHistorical[[#This Row],[Nutrition - old]], 1), "")</f>
        <v>0</v>
      </c>
      <c r="AL66" s="315">
        <f>IFERROR(ROUND((tblPiNHistorical[[#This Row],[Food Security - new]]-tblPiNHistorical[[#This Row],[Food Security - old]])/tblPiNHistorical[[#This Row],[Food Security - old]], 1), "")</f>
        <v>-0.1</v>
      </c>
      <c r="AM66" s="315">
        <f>IFERROR(ROUND((tblPiNHistorical[[#This Row],[Health - new]]-tblPiNHistorical[[#This Row],[Health - old]])/tblPiNHistorical[[#This Row],[Health - old]], 1), "")</f>
        <v>1.2</v>
      </c>
      <c r="AN66" s="315">
        <f>IFERROR(ROUND((tblPiNHistorical[[#This Row],[Overarching Protection - new]]-tblPiNHistorical[[#This Row],[Overarching Protection - old]])/tblPiNHistorical[[#This Row],[Overarching Protection - old]], 1), "")</f>
        <v>-0.6</v>
      </c>
      <c r="AO66" s="315">
        <f>IFERROR(ROUND((tblPiNHistorical[[#This Row],[Shelter - new]]-tblPiNHistorical[[#This Row],[Shelter - old]])/tblPiNHistorical[[#This Row],[Shelter - old]], 1), "")</f>
        <v>0.3</v>
      </c>
      <c r="AP66" s="37">
        <f>IFERROR(ROUND((tblPiNHistorical[[#This Row],[WASH - new]]-tblPiNHistorical[[#This Row],[WASH - old]])/tblPiNHistorical[[#This Row],[WASH - old]], 1), "")</f>
        <v>0.6</v>
      </c>
    </row>
    <row r="67" spans="1:42">
      <c r="A6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Global_PopulationHT0512</v>
      </c>
      <c r="B67" s="304" t="s">
        <v>287</v>
      </c>
      <c r="C67" s="213" t="s">
        <v>288</v>
      </c>
      <c r="D67" s="213" t="s">
        <v>291</v>
      </c>
      <c r="E67" s="103" t="s">
        <v>292</v>
      </c>
      <c r="F67" s="99"/>
      <c r="G67" s="34"/>
      <c r="H67" s="331"/>
      <c r="I67" s="96">
        <v>52529</v>
      </c>
      <c r="J67" s="241" t="s">
        <v>156</v>
      </c>
      <c r="K67" s="305">
        <v>1122</v>
      </c>
      <c r="L67" s="306">
        <v>6008</v>
      </c>
      <c r="M67" s="308">
        <v>4541</v>
      </c>
      <c r="N67" s="308">
        <v>27900</v>
      </c>
      <c r="O67" s="308">
        <v>13693</v>
      </c>
      <c r="P67" s="308">
        <v>4530</v>
      </c>
      <c r="Q67" s="309">
        <v>20000</v>
      </c>
      <c r="R67" s="308">
        <v>11674.542847278601</v>
      </c>
      <c r="S67" s="308">
        <f>IFERROR(INDEX(tblPiNAnalysis[CCCM], MATCH(tblPiNHistorical[[#This Row],[ID]], tblPiNAnalysis[ID], 0)), "")</f>
        <v>5227.5</v>
      </c>
      <c r="T67" s="310">
        <f>IFERROR(INDEX(tblPiNAnalysis[Education], MATCH(tblPiNHistorical[[#This Row],[ID]], tblPiNAnalysis[ID], 0)), "")</f>
        <v>9459</v>
      </c>
      <c r="U67" s="308">
        <f>IFERROR(INDEX(tblPiNAnalysis[Nutrition], MATCH(tblPiNHistorical[[#This Row],[ID]], tblPiNAnalysis[ID], 0)), "")</f>
        <v>4832</v>
      </c>
      <c r="V67" s="308">
        <f>IFERROR(INDEX(tblPiNAnalysis[Food Security], MATCH(tblPiNHistorical[[#This Row],[ID]], tblPiNAnalysis[ID], 0)), "")</f>
        <v>32196</v>
      </c>
      <c r="W67" s="308">
        <f>IFERROR(INDEX(tblPiNAnalysis[Health], MATCH(tblPiNHistorical[[#This Row],[ID]], tblPiNAnalysis[ID], 0)), "")</f>
        <v>7238.2067871233867</v>
      </c>
      <c r="X67" s="308">
        <f>IFERROR(INDEX(tblPiNAnalysis[Protection], MATCH(tblPiNHistorical[[#This Row],[ID]], tblPiNAnalysis[ID], 0)), "")</f>
        <v>5185.1674999999996</v>
      </c>
      <c r="Y67" s="308">
        <f>IFERROR(INDEX(tblPiNAnalysis[Shelter], MATCH(tblPiNHistorical[[#This Row],[ID]], tblPiNAnalysis[ID], 0)), "")</f>
        <v>0</v>
      </c>
      <c r="Z67" s="308">
        <f>IFERROR(INDEX(tblPiNAnalysis[WASH], MATCH(tblPiNHistorical[[#This Row],[ID]], tblPiNAnalysis[ID], 0)), "")</f>
        <v>3485</v>
      </c>
      <c r="AA67" s="311">
        <f>IF(OR(tblPiNHistorical[[#This Row],[CCCM - old]]="", tblPiNHistorical[[#This Row],[CCCM - old]]=0, tblPiNHistorical[[#This Row],[CCCM - new]]="", tblPiNHistorical[[#This Row],[CCCM - new]]=0), "", tblPiNHistorical[[#This Row],[CCCM - new]]-tblPiNHistorical[[#This Row],[CCCM - old]])</f>
        <v>4105.5</v>
      </c>
      <c r="AB67" s="312">
        <f>IF(OR(tblPiNHistorical[[#This Row],[Education - old]]="", tblPiNHistorical[[#This Row],[Education - old]]=0, tblPiNHistorical[[#This Row],[Education - new]]="", tblPiNHistorical[[#This Row],[Education - new]]=0), "", tblPiNHistorical[[#This Row],[Education - new]]-tblPiNHistorical[[#This Row],[Education - old]])</f>
        <v>3451</v>
      </c>
      <c r="AC67" s="312">
        <f>IF(OR(tblPiNHistorical[[#This Row],[Nutrition - old]]="", tblPiNHistorical[[#This Row],[Nutrition - old]]=0, tblPiNHistorical[[#This Row],[Nutrition - new]]="", tblPiNHistorical[[#This Row],[Nutrition - new]]=0), "", tblPiNHistorical[[#This Row],[Nutrition - new]]-tblPiNHistorical[[#This Row],[Nutrition - old]])</f>
        <v>291</v>
      </c>
      <c r="AD67" s="312">
        <f>IF(OR(tblPiNHistorical[[#This Row],[Food Security - old]]="", tblPiNHistorical[[#This Row],[Food Security - old]]=0, tblPiNHistorical[[#This Row],[Food Security - new]]="", tblPiNHistorical[[#This Row],[Food Security - new]]=0), "", tblPiNHistorical[[#This Row],[Food Security - new]]-tblPiNHistorical[[#This Row],[Food Security - old]])</f>
        <v>4296</v>
      </c>
      <c r="AE67" s="312">
        <f>IF(OR(tblPiNHistorical[[#This Row],[Health - old]]="", tblPiNHistorical[[#This Row],[Health - old]]=0, tblPiNHistorical[[#This Row],[Health - new]]="", tblPiNHistorical[[#This Row],[Health - new]]=0), "", tblPiNHistorical[[#This Row],[Health - new]]-tblPiNHistorical[[#This Row],[Health - old]])</f>
        <v>-6454.7932128766133</v>
      </c>
      <c r="AF6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655.16749999999956</v>
      </c>
      <c r="AG67" s="312" t="str">
        <f>IF(OR(tblPiNHistorical[[#This Row],[Shelter - old]]="", tblPiNHistorical[[#This Row],[Shelter - old]]=0, tblPiNHistorical[[#This Row],[Shelter - new]]="", tblPiNHistorical[[#This Row],[Shelter - new]]=0), "", tblPiNHistorical[[#This Row],[Shelter - new]]-tblPiNHistorical[[#This Row],[Shelter - old]])</f>
        <v/>
      </c>
      <c r="AH67" s="313">
        <f>IF(OR(tblPiNHistorical[[#This Row],[WASH - old]]="", tblPiNHistorical[[#This Row],[WASH - old]]=0, tblPiNHistorical[[#This Row],[WASH - new]]="", tblPiNHistorical[[#This Row],[WASH - new]]=0), "", tblPiNHistorical[[#This Row],[WASH - new]]-tblPiNHistorical[[#This Row],[WASH - old]])</f>
        <v>-8189.5428472786007</v>
      </c>
      <c r="AI67" s="314">
        <f>IFERROR(ROUND((tblPiNHistorical[[#This Row],[CCCM - new]] - tblPiNHistorical[[#This Row],[CCCM - old]])/tblPiNHistorical[[#This Row],[CCCM - old]], 1), "")</f>
        <v>3.7</v>
      </c>
      <c r="AJ67" s="315">
        <f>IFERROR(ROUND((tblPiNHistorical[[#This Row],[Education - new]]-tblPiNHistorical[[#This Row],[Education - old]])/tblPiNHistorical[[#This Row],[Education - old]], 1), "")</f>
        <v>0.6</v>
      </c>
      <c r="AK67" s="315">
        <f>IFERROR(ROUND((tblPiNHistorical[[#This Row],[Nutrition - new]]-tblPiNHistorical[[#This Row],[Nutrition - old]])/tblPiNHistorical[[#This Row],[Nutrition - old]], 1), "")</f>
        <v>0.1</v>
      </c>
      <c r="AL67" s="315">
        <f>IFERROR(ROUND((tblPiNHistorical[[#This Row],[Food Security - new]]-tblPiNHistorical[[#This Row],[Food Security - old]])/tblPiNHistorical[[#This Row],[Food Security - old]], 1), "")</f>
        <v>0.2</v>
      </c>
      <c r="AM67" s="315">
        <f>IFERROR(ROUND((tblPiNHistorical[[#This Row],[Health - new]]-tblPiNHistorical[[#This Row],[Health - old]])/tblPiNHistorical[[#This Row],[Health - old]], 1), "")</f>
        <v>-0.5</v>
      </c>
      <c r="AN67" s="315">
        <f>IFERROR(ROUND((tblPiNHistorical[[#This Row],[Overarching Protection - new]]-tblPiNHistorical[[#This Row],[Overarching Protection - old]])/tblPiNHistorical[[#This Row],[Overarching Protection - old]], 1), "")</f>
        <v>0.1</v>
      </c>
      <c r="AO67" s="315">
        <f>IFERROR(ROUND((tblPiNHistorical[[#This Row],[Shelter - new]]-tblPiNHistorical[[#This Row],[Shelter - old]])/tblPiNHistorical[[#This Row],[Shelter - old]], 1), "")</f>
        <v>-1</v>
      </c>
      <c r="AP67" s="37">
        <f>IFERROR(ROUND((tblPiNHistorical[[#This Row],[WASH - new]]-tblPiNHistorical[[#This Row],[WASH - old]])/tblPiNHistorical[[#This Row],[WASH - old]], 1), "")</f>
        <v>-0.7</v>
      </c>
    </row>
    <row r="68" spans="1:42">
      <c r="A6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Global_PopulationHT0513</v>
      </c>
      <c r="B68" s="304" t="s">
        <v>287</v>
      </c>
      <c r="C68" s="213" t="s">
        <v>288</v>
      </c>
      <c r="D68" s="213" t="s">
        <v>293</v>
      </c>
      <c r="E68" s="103" t="s">
        <v>294</v>
      </c>
      <c r="F68" s="99"/>
      <c r="G68" s="34"/>
      <c r="H68" s="331"/>
      <c r="I68" s="96">
        <v>44802</v>
      </c>
      <c r="J68" s="241" t="s">
        <v>156</v>
      </c>
      <c r="K68" s="305">
        <v>180</v>
      </c>
      <c r="L68" s="306">
        <v>4933</v>
      </c>
      <c r="M68" s="308">
        <v>4067</v>
      </c>
      <c r="N68" s="308">
        <v>22139</v>
      </c>
      <c r="O68" s="308">
        <v>11227</v>
      </c>
      <c r="P68" s="308">
        <v>4636</v>
      </c>
      <c r="Q68" s="309">
        <v>0</v>
      </c>
      <c r="R68" s="308">
        <v>6634.6187883378225</v>
      </c>
      <c r="S68" s="308">
        <f>IFERROR(INDEX(tblPiNAnalysis[CCCM], MATCH(tblPiNHistorical[[#This Row],[ID]], tblPiNAnalysis[ID], 0)), "")</f>
        <v>697.5</v>
      </c>
      <c r="T68" s="310">
        <f>IFERROR(INDEX(tblPiNAnalysis[Education], MATCH(tblPiNHistorical[[#This Row],[ID]], tblPiNAnalysis[ID], 0)), "")</f>
        <v>7816</v>
      </c>
      <c r="U68" s="308">
        <f>IFERROR(INDEX(tblPiNAnalysis[Nutrition], MATCH(tblPiNHistorical[[#This Row],[ID]], tblPiNAnalysis[ID], 0)), "")</f>
        <v>4106</v>
      </c>
      <c r="V68" s="308">
        <f>IFERROR(INDEX(tblPiNAnalysis[Food Security], MATCH(tblPiNHistorical[[#This Row],[ID]], tblPiNAnalysis[ID], 0)), "")</f>
        <v>24196</v>
      </c>
      <c r="W68" s="308">
        <f>IFERROR(INDEX(tblPiNAnalysis[Health], MATCH(tblPiNHistorical[[#This Row],[ID]], tblPiNAnalysis[ID], 0)), "")</f>
        <v>23187.769083870968</v>
      </c>
      <c r="X68" s="308">
        <f>IFERROR(INDEX(tblPiNAnalysis[Protection], MATCH(tblPiNHistorical[[#This Row],[ID]], tblPiNAnalysis[ID], 0)), "")</f>
        <v>667.3</v>
      </c>
      <c r="Y68" s="308">
        <f>IFERROR(INDEX(tblPiNAnalysis[Shelter], MATCH(tblPiNHistorical[[#This Row],[ID]], tblPiNAnalysis[ID], 0)), "")</f>
        <v>0</v>
      </c>
      <c r="Z68" s="308">
        <f>IFERROR(INDEX(tblPiNAnalysis[WASH], MATCH(tblPiNHistorical[[#This Row],[ID]], tblPiNAnalysis[ID], 0)), "")</f>
        <v>40322</v>
      </c>
      <c r="AA68" s="311">
        <f>IF(OR(tblPiNHistorical[[#This Row],[CCCM - old]]="", tblPiNHistorical[[#This Row],[CCCM - old]]=0, tblPiNHistorical[[#This Row],[CCCM - new]]="", tblPiNHistorical[[#This Row],[CCCM - new]]=0), "", tblPiNHistorical[[#This Row],[CCCM - new]]-tblPiNHistorical[[#This Row],[CCCM - old]])</f>
        <v>517.5</v>
      </c>
      <c r="AB68" s="312">
        <f>IF(OR(tblPiNHistorical[[#This Row],[Education - old]]="", tblPiNHistorical[[#This Row],[Education - old]]=0, tblPiNHistorical[[#This Row],[Education - new]]="", tblPiNHistorical[[#This Row],[Education - new]]=0), "", tblPiNHistorical[[#This Row],[Education - new]]-tblPiNHistorical[[#This Row],[Education - old]])</f>
        <v>2883</v>
      </c>
      <c r="AC68" s="312">
        <f>IF(OR(tblPiNHistorical[[#This Row],[Nutrition - old]]="", tblPiNHistorical[[#This Row],[Nutrition - old]]=0, tblPiNHistorical[[#This Row],[Nutrition - new]]="", tblPiNHistorical[[#This Row],[Nutrition - new]]=0), "", tblPiNHistorical[[#This Row],[Nutrition - new]]-tblPiNHistorical[[#This Row],[Nutrition - old]])</f>
        <v>39</v>
      </c>
      <c r="AD68" s="312">
        <f>IF(OR(tblPiNHistorical[[#This Row],[Food Security - old]]="", tblPiNHistorical[[#This Row],[Food Security - old]]=0, tblPiNHistorical[[#This Row],[Food Security - new]]="", tblPiNHistorical[[#This Row],[Food Security - new]]=0), "", tblPiNHistorical[[#This Row],[Food Security - new]]-tblPiNHistorical[[#This Row],[Food Security - old]])</f>
        <v>2057</v>
      </c>
      <c r="AE68" s="312">
        <f>IF(OR(tblPiNHistorical[[#This Row],[Health - old]]="", tblPiNHistorical[[#This Row],[Health - old]]=0, tblPiNHistorical[[#This Row],[Health - new]]="", tblPiNHistorical[[#This Row],[Health - new]]=0), "", tblPiNHistorical[[#This Row],[Health - new]]-tblPiNHistorical[[#This Row],[Health - old]])</f>
        <v>11960.769083870968</v>
      </c>
      <c r="AF6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-3968.7</v>
      </c>
      <c r="AG68" s="312" t="str">
        <f>IF(OR(tblPiNHistorical[[#This Row],[Shelter - old]]="", tblPiNHistorical[[#This Row],[Shelter - old]]=0, tblPiNHistorical[[#This Row],[Shelter - new]]="", tblPiNHistorical[[#This Row],[Shelter - new]]=0), "", tblPiNHistorical[[#This Row],[Shelter - new]]-tblPiNHistorical[[#This Row],[Shelter - old]])</f>
        <v/>
      </c>
      <c r="AH68" s="313">
        <f>IF(OR(tblPiNHistorical[[#This Row],[WASH - old]]="", tblPiNHistorical[[#This Row],[WASH - old]]=0, tblPiNHistorical[[#This Row],[WASH - new]]="", tblPiNHistorical[[#This Row],[WASH - new]]=0), "", tblPiNHistorical[[#This Row],[WASH - new]]-tblPiNHistorical[[#This Row],[WASH - old]])</f>
        <v>33687.381211662178</v>
      </c>
      <c r="AI68" s="314">
        <f>IFERROR(ROUND((tblPiNHistorical[[#This Row],[CCCM - new]] - tblPiNHistorical[[#This Row],[CCCM - old]])/tblPiNHistorical[[#This Row],[CCCM - old]], 1), "")</f>
        <v>2.9</v>
      </c>
      <c r="AJ68" s="315">
        <f>IFERROR(ROUND((tblPiNHistorical[[#This Row],[Education - new]]-tblPiNHistorical[[#This Row],[Education - old]])/tblPiNHistorical[[#This Row],[Education - old]], 1), "")</f>
        <v>0.6</v>
      </c>
      <c r="AK68" s="315">
        <f>IFERROR(ROUND((tblPiNHistorical[[#This Row],[Nutrition - new]]-tblPiNHistorical[[#This Row],[Nutrition - old]])/tblPiNHistorical[[#This Row],[Nutrition - old]], 1), "")</f>
        <v>0</v>
      </c>
      <c r="AL68" s="315">
        <f>IFERROR(ROUND((tblPiNHistorical[[#This Row],[Food Security - new]]-tblPiNHistorical[[#This Row],[Food Security - old]])/tblPiNHistorical[[#This Row],[Food Security - old]], 1), "")</f>
        <v>0.1</v>
      </c>
      <c r="AM68" s="315">
        <f>IFERROR(ROUND((tblPiNHistorical[[#This Row],[Health - new]]-tblPiNHistorical[[#This Row],[Health - old]])/tblPiNHistorical[[#This Row],[Health - old]], 1), "")</f>
        <v>1.1000000000000001</v>
      </c>
      <c r="AN68" s="315">
        <f>IFERROR(ROUND((tblPiNHistorical[[#This Row],[Overarching Protection - new]]-tblPiNHistorical[[#This Row],[Overarching Protection - old]])/tblPiNHistorical[[#This Row],[Overarching Protection - old]], 1), "")</f>
        <v>-0.9</v>
      </c>
      <c r="AO68" s="315" t="str">
        <f>IFERROR(ROUND((tblPiNHistorical[[#This Row],[Shelter - new]]-tblPiNHistorical[[#This Row],[Shelter - old]])/tblPiNHistorical[[#This Row],[Shelter - old]], 1), "")</f>
        <v/>
      </c>
      <c r="AP68" s="37">
        <f>IFERROR(ROUND((tblPiNHistorical[[#This Row],[WASH - new]]-tblPiNHistorical[[#This Row],[WASH - old]])/tblPiNHistorical[[#This Row],[WASH - old]], 1), "")</f>
        <v>5.0999999999999996</v>
      </c>
    </row>
    <row r="69" spans="1:42">
      <c r="A6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Global_PopulationHT0521</v>
      </c>
      <c r="B69" s="304" t="s">
        <v>287</v>
      </c>
      <c r="C69" s="213" t="s">
        <v>288</v>
      </c>
      <c r="D69" s="213" t="s">
        <v>295</v>
      </c>
      <c r="E69" s="103" t="s">
        <v>296</v>
      </c>
      <c r="F69" s="99"/>
      <c r="G69" s="34"/>
      <c r="H69" s="331"/>
      <c r="I69" s="96">
        <v>162808</v>
      </c>
      <c r="J69" s="241" t="s">
        <v>156</v>
      </c>
      <c r="K69" s="305">
        <v>7124</v>
      </c>
      <c r="L69" s="306">
        <v>20073</v>
      </c>
      <c r="M69" s="308">
        <v>14436</v>
      </c>
      <c r="N69" s="308">
        <v>82617</v>
      </c>
      <c r="O69" s="308">
        <v>46114</v>
      </c>
      <c r="P69" s="308">
        <v>16871</v>
      </c>
      <c r="Q69" s="309">
        <v>83250</v>
      </c>
      <c r="R69" s="308">
        <v>32396.272743311893</v>
      </c>
      <c r="S69" s="308">
        <f>IFERROR(INDEX(tblPiNAnalysis[CCCM], MATCH(tblPiNHistorical[[#This Row],[ID]], tblPiNAnalysis[ID], 0)), "")</f>
        <v>10507.5</v>
      </c>
      <c r="T69" s="310">
        <f>IFERROR(INDEX(tblPiNAnalysis[Education], MATCH(tblPiNHistorical[[#This Row],[ID]], tblPiNAnalysis[ID], 0)), "")</f>
        <v>30817</v>
      </c>
      <c r="U69" s="308">
        <f>IFERROR(INDEX(tblPiNAnalysis[Nutrition], MATCH(tblPiNHistorical[[#This Row],[ID]], tblPiNAnalysis[ID], 0)), "")</f>
        <v>15021</v>
      </c>
      <c r="V69" s="308">
        <f>IFERROR(INDEX(tblPiNAnalysis[Food Security], MATCH(tblPiNHistorical[[#This Row],[ID]], tblPiNAnalysis[ID], 0)), "")</f>
        <v>100158</v>
      </c>
      <c r="W69" s="308">
        <f>IFERROR(INDEX(tblPiNAnalysis[Health], MATCH(tblPiNHistorical[[#This Row],[ID]], tblPiNAnalysis[ID], 0)), "")</f>
        <v>93090.876232262672</v>
      </c>
      <c r="X69" s="308">
        <f>IFERROR(INDEX(tblPiNAnalysis[Protection], MATCH(tblPiNHistorical[[#This Row],[ID]], tblPiNAnalysis[ID], 0)), "")</f>
        <v>17323.375</v>
      </c>
      <c r="Y69" s="308">
        <f>IFERROR(INDEX(tblPiNAnalysis[Shelter], MATCH(tblPiNHistorical[[#This Row],[ID]], tblPiNAnalysis[ID], 0)), "")</f>
        <v>38830</v>
      </c>
      <c r="Z69" s="308">
        <f>IFERROR(INDEX(tblPiNAnalysis[WASH], MATCH(tblPiNHistorical[[#This Row],[ID]], tblPiNAnalysis[ID], 0)), "")</f>
        <v>7005</v>
      </c>
      <c r="AA69" s="311">
        <f>IF(OR(tblPiNHistorical[[#This Row],[CCCM - old]]="", tblPiNHistorical[[#This Row],[CCCM - old]]=0, tblPiNHistorical[[#This Row],[CCCM - new]]="", tblPiNHistorical[[#This Row],[CCCM - new]]=0), "", tblPiNHistorical[[#This Row],[CCCM - new]]-tblPiNHistorical[[#This Row],[CCCM - old]])</f>
        <v>3383.5</v>
      </c>
      <c r="AB69" s="312">
        <f>IF(OR(tblPiNHistorical[[#This Row],[Education - old]]="", tblPiNHistorical[[#This Row],[Education - old]]=0, tblPiNHistorical[[#This Row],[Education - new]]="", tblPiNHistorical[[#This Row],[Education - new]]=0), "", tblPiNHistorical[[#This Row],[Education - new]]-tblPiNHistorical[[#This Row],[Education - old]])</f>
        <v>10744</v>
      </c>
      <c r="AC69" s="312">
        <f>IF(OR(tblPiNHistorical[[#This Row],[Nutrition - old]]="", tblPiNHistorical[[#This Row],[Nutrition - old]]=0, tblPiNHistorical[[#This Row],[Nutrition - new]]="", tblPiNHistorical[[#This Row],[Nutrition - new]]=0), "", tblPiNHistorical[[#This Row],[Nutrition - new]]-tblPiNHistorical[[#This Row],[Nutrition - old]])</f>
        <v>585</v>
      </c>
      <c r="AD69" s="312">
        <f>IF(OR(tblPiNHistorical[[#This Row],[Food Security - old]]="", tblPiNHistorical[[#This Row],[Food Security - old]]=0, tblPiNHistorical[[#This Row],[Food Security - new]]="", tblPiNHistorical[[#This Row],[Food Security - new]]=0), "", tblPiNHistorical[[#This Row],[Food Security - new]]-tblPiNHistorical[[#This Row],[Food Security - old]])</f>
        <v>17541</v>
      </c>
      <c r="AE69" s="312">
        <f>IF(OR(tblPiNHistorical[[#This Row],[Health - old]]="", tblPiNHistorical[[#This Row],[Health - old]]=0, tblPiNHistorical[[#This Row],[Health - new]]="", tblPiNHistorical[[#This Row],[Health - new]]=0), "", tblPiNHistorical[[#This Row],[Health - new]]-tblPiNHistorical[[#This Row],[Health - old]])</f>
        <v>46976.876232262672</v>
      </c>
      <c r="AF6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452.375</v>
      </c>
      <c r="AG69" s="312">
        <f>IF(OR(tblPiNHistorical[[#This Row],[Shelter - old]]="", tblPiNHistorical[[#This Row],[Shelter - old]]=0, tblPiNHistorical[[#This Row],[Shelter - new]]="", tblPiNHistorical[[#This Row],[Shelter - new]]=0), "", tblPiNHistorical[[#This Row],[Shelter - new]]-tblPiNHistorical[[#This Row],[Shelter - old]])</f>
        <v>-44420</v>
      </c>
      <c r="AH69" s="313">
        <f>IF(OR(tblPiNHistorical[[#This Row],[WASH - old]]="", tblPiNHistorical[[#This Row],[WASH - old]]=0, tblPiNHistorical[[#This Row],[WASH - new]]="", tblPiNHistorical[[#This Row],[WASH - new]]=0), "", tblPiNHistorical[[#This Row],[WASH - new]]-tblPiNHistorical[[#This Row],[WASH - old]])</f>
        <v>-25391.272743311893</v>
      </c>
      <c r="AI69" s="314">
        <f>IFERROR(ROUND((tblPiNHistorical[[#This Row],[CCCM - new]] - tblPiNHistorical[[#This Row],[CCCM - old]])/tblPiNHistorical[[#This Row],[CCCM - old]], 1), "")</f>
        <v>0.5</v>
      </c>
      <c r="AJ69" s="315">
        <f>IFERROR(ROUND((tblPiNHistorical[[#This Row],[Education - new]]-tblPiNHistorical[[#This Row],[Education - old]])/tblPiNHistorical[[#This Row],[Education - old]], 1), "")</f>
        <v>0.5</v>
      </c>
      <c r="AK69" s="315">
        <f>IFERROR(ROUND((tblPiNHistorical[[#This Row],[Nutrition - new]]-tblPiNHistorical[[#This Row],[Nutrition - old]])/tblPiNHistorical[[#This Row],[Nutrition - old]], 1), "")</f>
        <v>0</v>
      </c>
      <c r="AL69" s="315">
        <f>IFERROR(ROUND((tblPiNHistorical[[#This Row],[Food Security - new]]-tblPiNHistorical[[#This Row],[Food Security - old]])/tblPiNHistorical[[#This Row],[Food Security - old]], 1), "")</f>
        <v>0.2</v>
      </c>
      <c r="AM69" s="315">
        <f>IFERROR(ROUND((tblPiNHistorical[[#This Row],[Health - new]]-tblPiNHistorical[[#This Row],[Health - old]])/tblPiNHistorical[[#This Row],[Health - old]], 1), "")</f>
        <v>1</v>
      </c>
      <c r="AN69" s="315">
        <f>IFERROR(ROUND((tblPiNHistorical[[#This Row],[Overarching Protection - new]]-tblPiNHistorical[[#This Row],[Overarching Protection - old]])/tblPiNHistorical[[#This Row],[Overarching Protection - old]], 1), "")</f>
        <v>0</v>
      </c>
      <c r="AO69" s="315">
        <f>IFERROR(ROUND((tblPiNHistorical[[#This Row],[Shelter - new]]-tblPiNHistorical[[#This Row],[Shelter - old]])/tblPiNHistorical[[#This Row],[Shelter - old]], 1), "")</f>
        <v>-0.5</v>
      </c>
      <c r="AP69" s="37">
        <f>IFERROR(ROUND((tblPiNHistorical[[#This Row],[WASH - new]]-tblPiNHistorical[[#This Row],[WASH - old]])/tblPiNHistorical[[#This Row],[WASH - old]], 1), "")</f>
        <v>-0.8</v>
      </c>
    </row>
    <row r="70" spans="1:42">
      <c r="A7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Global_PopulationHT0522</v>
      </c>
      <c r="B70" s="304" t="s">
        <v>287</v>
      </c>
      <c r="C70" s="213" t="s">
        <v>288</v>
      </c>
      <c r="D70" s="213" t="s">
        <v>297</v>
      </c>
      <c r="E70" s="103" t="s">
        <v>298</v>
      </c>
      <c r="F70" s="99"/>
      <c r="G70" s="34"/>
      <c r="H70" s="331"/>
      <c r="I70" s="96">
        <v>32784</v>
      </c>
      <c r="J70" s="241" t="s">
        <v>156</v>
      </c>
      <c r="K70" s="305">
        <v>3798</v>
      </c>
      <c r="L70" s="306">
        <v>4058</v>
      </c>
      <c r="M70" s="308">
        <v>2750</v>
      </c>
      <c r="N70" s="308">
        <v>15321</v>
      </c>
      <c r="O70" s="308">
        <v>13444</v>
      </c>
      <c r="P70" s="308">
        <v>2656</v>
      </c>
      <c r="Q70" s="309">
        <v>8551</v>
      </c>
      <c r="R70" s="308">
        <v>10354.964614984028</v>
      </c>
      <c r="S70" s="308">
        <f>IFERROR(INDEX(tblPiNAnalysis[CCCM], MATCH(tblPiNHistorical[[#This Row],[ID]], tblPiNAnalysis[ID], 0)), "")</f>
        <v>3025.5</v>
      </c>
      <c r="T70" s="310">
        <f>IFERROR(INDEX(tblPiNAnalysis[Education], MATCH(tblPiNHistorical[[#This Row],[ID]], tblPiNAnalysis[ID], 0)), "")</f>
        <v>6424</v>
      </c>
      <c r="U70" s="308">
        <f>IFERROR(INDEX(tblPiNAnalysis[Nutrition], MATCH(tblPiNHistorical[[#This Row],[ID]], tblPiNAnalysis[ID], 0)), "")</f>
        <v>2918</v>
      </c>
      <c r="V70" s="308">
        <f>IFERROR(INDEX(tblPiNAnalysis[Food Security], MATCH(tblPiNHistorical[[#This Row],[ID]], tblPiNAnalysis[ID], 0)), "")</f>
        <v>21430</v>
      </c>
      <c r="W70" s="308">
        <f>IFERROR(INDEX(tblPiNAnalysis[Health], MATCH(tblPiNHistorical[[#This Row],[ID]], tblPiNAnalysis[ID], 0)), "")</f>
        <v>4258.3241624194352</v>
      </c>
      <c r="X70" s="308">
        <f>IFERROR(INDEX(tblPiNAnalysis[Protection], MATCH(tblPiNHistorical[[#This Row],[ID]], tblPiNAnalysis[ID], 0)), "")</f>
        <v>4415.6454545454544</v>
      </c>
      <c r="Y70" s="308">
        <f>IFERROR(INDEX(tblPiNAnalysis[Shelter], MATCH(tblPiNHistorical[[#This Row],[ID]], tblPiNAnalysis[ID], 0)), "")</f>
        <v>18293</v>
      </c>
      <c r="Z70" s="308">
        <f>IFERROR(INDEX(tblPiNAnalysis[WASH], MATCH(tblPiNHistorical[[#This Row],[ID]], tblPiNAnalysis[ID], 0)), "")</f>
        <v>2253.636363636364</v>
      </c>
      <c r="AA70" s="311">
        <f>IF(OR(tblPiNHistorical[[#This Row],[CCCM - old]]="", tblPiNHistorical[[#This Row],[CCCM - old]]=0, tblPiNHistorical[[#This Row],[CCCM - new]]="", tblPiNHistorical[[#This Row],[CCCM - new]]=0), "", tblPiNHistorical[[#This Row],[CCCM - new]]-tblPiNHistorical[[#This Row],[CCCM - old]])</f>
        <v>-772.5</v>
      </c>
      <c r="AB70" s="312">
        <f>IF(OR(tblPiNHistorical[[#This Row],[Education - old]]="", tblPiNHistorical[[#This Row],[Education - old]]=0, tblPiNHistorical[[#This Row],[Education - new]]="", tblPiNHistorical[[#This Row],[Education - new]]=0), "", tblPiNHistorical[[#This Row],[Education - new]]-tblPiNHistorical[[#This Row],[Education - old]])</f>
        <v>2366</v>
      </c>
      <c r="AC70" s="312">
        <f>IF(OR(tblPiNHistorical[[#This Row],[Nutrition - old]]="", tblPiNHistorical[[#This Row],[Nutrition - old]]=0, tblPiNHistorical[[#This Row],[Nutrition - new]]="", tblPiNHistorical[[#This Row],[Nutrition - new]]=0), "", tblPiNHistorical[[#This Row],[Nutrition - new]]-tblPiNHistorical[[#This Row],[Nutrition - old]])</f>
        <v>168</v>
      </c>
      <c r="AD70" s="312">
        <f>IF(OR(tblPiNHistorical[[#This Row],[Food Security - old]]="", tblPiNHistorical[[#This Row],[Food Security - old]]=0, tblPiNHistorical[[#This Row],[Food Security - new]]="", tblPiNHistorical[[#This Row],[Food Security - new]]=0), "", tblPiNHistorical[[#This Row],[Food Security - new]]-tblPiNHistorical[[#This Row],[Food Security - old]])</f>
        <v>6109</v>
      </c>
      <c r="AE70" s="312">
        <f>IF(OR(tblPiNHistorical[[#This Row],[Health - old]]="", tblPiNHistorical[[#This Row],[Health - old]]=0, tblPiNHistorical[[#This Row],[Health - new]]="", tblPiNHistorical[[#This Row],[Health - new]]=0), "", tblPiNHistorical[[#This Row],[Health - new]]-tblPiNHistorical[[#This Row],[Health - old]])</f>
        <v>-9185.6758375805657</v>
      </c>
      <c r="AF7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1759.6454545454544</v>
      </c>
      <c r="AG70" s="312">
        <f>IF(OR(tblPiNHistorical[[#This Row],[Shelter - old]]="", tblPiNHistorical[[#This Row],[Shelter - old]]=0, tblPiNHistorical[[#This Row],[Shelter - new]]="", tblPiNHistorical[[#This Row],[Shelter - new]]=0), "", tblPiNHistorical[[#This Row],[Shelter - new]]-tblPiNHistorical[[#This Row],[Shelter - old]])</f>
        <v>9742</v>
      </c>
      <c r="AH70" s="313">
        <f>IF(OR(tblPiNHistorical[[#This Row],[WASH - old]]="", tblPiNHistorical[[#This Row],[WASH - old]]=0, tblPiNHistorical[[#This Row],[WASH - new]]="", tblPiNHistorical[[#This Row],[WASH - new]]=0), "", tblPiNHistorical[[#This Row],[WASH - new]]-tblPiNHistorical[[#This Row],[WASH - old]])</f>
        <v>-8101.3282513476643</v>
      </c>
      <c r="AI70" s="314">
        <f>IFERROR(ROUND((tblPiNHistorical[[#This Row],[CCCM - new]] - tblPiNHistorical[[#This Row],[CCCM - old]])/tblPiNHistorical[[#This Row],[CCCM - old]], 1), "")</f>
        <v>-0.2</v>
      </c>
      <c r="AJ70" s="315">
        <f>IFERROR(ROUND((tblPiNHistorical[[#This Row],[Education - new]]-tblPiNHistorical[[#This Row],[Education - old]])/tblPiNHistorical[[#This Row],[Education - old]], 1), "")</f>
        <v>0.6</v>
      </c>
      <c r="AK70" s="315">
        <f>IFERROR(ROUND((tblPiNHistorical[[#This Row],[Nutrition - new]]-tblPiNHistorical[[#This Row],[Nutrition - old]])/tblPiNHistorical[[#This Row],[Nutrition - old]], 1), "")</f>
        <v>0.1</v>
      </c>
      <c r="AL70" s="315">
        <f>IFERROR(ROUND((tblPiNHistorical[[#This Row],[Food Security - new]]-tblPiNHistorical[[#This Row],[Food Security - old]])/tblPiNHistorical[[#This Row],[Food Security - old]], 1), "")</f>
        <v>0.4</v>
      </c>
      <c r="AM70" s="315">
        <f>IFERROR(ROUND((tblPiNHistorical[[#This Row],[Health - new]]-tblPiNHistorical[[#This Row],[Health - old]])/tblPiNHistorical[[#This Row],[Health - old]], 1), "")</f>
        <v>-0.7</v>
      </c>
      <c r="AN70" s="315">
        <f>IFERROR(ROUND((tblPiNHistorical[[#This Row],[Overarching Protection - new]]-tblPiNHistorical[[#This Row],[Overarching Protection - old]])/tblPiNHistorical[[#This Row],[Overarching Protection - old]], 1), "")</f>
        <v>0.7</v>
      </c>
      <c r="AO70" s="315">
        <f>IFERROR(ROUND((tblPiNHistorical[[#This Row],[Shelter - new]]-tblPiNHistorical[[#This Row],[Shelter - old]])/tblPiNHistorical[[#This Row],[Shelter - old]], 1), "")</f>
        <v>1.1000000000000001</v>
      </c>
      <c r="AP70" s="37">
        <f>IFERROR(ROUND((tblPiNHistorical[[#This Row],[WASH - new]]-tblPiNHistorical[[#This Row],[WASH - old]])/tblPiNHistorical[[#This Row],[WASH - old]], 1), "")</f>
        <v>-0.8</v>
      </c>
    </row>
    <row r="71" spans="1:42">
      <c r="A7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Global_PopulationHT0523</v>
      </c>
      <c r="B71" s="304" t="s">
        <v>287</v>
      </c>
      <c r="C71" s="213" t="s">
        <v>288</v>
      </c>
      <c r="D71" s="213" t="s">
        <v>299</v>
      </c>
      <c r="E71" s="103" t="s">
        <v>300</v>
      </c>
      <c r="F71" s="99"/>
      <c r="G71" s="34"/>
      <c r="H71" s="331"/>
      <c r="I71" s="96">
        <v>47668</v>
      </c>
      <c r="J71" s="241" t="s">
        <v>156</v>
      </c>
      <c r="K71" s="305">
        <v>5334</v>
      </c>
      <c r="L71" s="306">
        <v>5906</v>
      </c>
      <c r="M71" s="308">
        <v>4681</v>
      </c>
      <c r="N71" s="308">
        <v>21274</v>
      </c>
      <c r="O71" s="308">
        <v>18046</v>
      </c>
      <c r="P71" s="308">
        <v>7758</v>
      </c>
      <c r="Q71" s="309">
        <v>19000</v>
      </c>
      <c r="R71" s="308">
        <v>14529.107848049145</v>
      </c>
      <c r="S71" s="308">
        <f>IFERROR(INDEX(tblPiNAnalysis[CCCM], MATCH(tblPiNHistorical[[#This Row],[ID]], tblPiNAnalysis[ID], 0)), "")</f>
        <v>6000</v>
      </c>
      <c r="T71" s="310">
        <f>IFERROR(INDEX(tblPiNAnalysis[Education], MATCH(tblPiNHistorical[[#This Row],[ID]], tblPiNAnalysis[ID], 0)), "")</f>
        <v>9422</v>
      </c>
      <c r="U71" s="308">
        <f>IFERROR(INDEX(tblPiNAnalysis[Nutrition], MATCH(tblPiNHistorical[[#This Row],[ID]], tblPiNAnalysis[ID], 0)), "")</f>
        <v>5015</v>
      </c>
      <c r="V71" s="308">
        <f>IFERROR(INDEX(tblPiNAnalysis[Food Security], MATCH(tblPiNHistorical[[#This Row],[ID]], tblPiNAnalysis[ID], 0)), "")</f>
        <v>29756</v>
      </c>
      <c r="W71" s="308">
        <f>IFERROR(INDEX(tblPiNAnalysis[Health], MATCH(tblPiNHistorical[[#This Row],[ID]], tblPiNAnalysis[ID], 0)), "")</f>
        <v>8299.0041500000007</v>
      </c>
      <c r="X71" s="308">
        <f>IFERROR(INDEX(tblPiNAnalysis[Protection], MATCH(tblPiNHistorical[[#This Row],[ID]], tblPiNAnalysis[ID], 0)), "")</f>
        <v>8679</v>
      </c>
      <c r="Y71" s="308">
        <f>IFERROR(INDEX(tblPiNAnalysis[Shelter], MATCH(tblPiNHistorical[[#This Row],[ID]], tblPiNAnalysis[ID], 0)), "")</f>
        <v>21108</v>
      </c>
      <c r="Z71" s="308">
        <f>IFERROR(INDEX(tblPiNAnalysis[WASH], MATCH(tblPiNHistorical[[#This Row],[ID]], tblPiNAnalysis[ID], 0)), "")</f>
        <v>4000</v>
      </c>
      <c r="AA71" s="311">
        <f>IF(OR(tblPiNHistorical[[#This Row],[CCCM - old]]="", tblPiNHistorical[[#This Row],[CCCM - old]]=0, tblPiNHistorical[[#This Row],[CCCM - new]]="", tblPiNHistorical[[#This Row],[CCCM - new]]=0), "", tblPiNHistorical[[#This Row],[CCCM - new]]-tblPiNHistorical[[#This Row],[CCCM - old]])</f>
        <v>666</v>
      </c>
      <c r="AB71" s="312">
        <f>IF(OR(tblPiNHistorical[[#This Row],[Education - old]]="", tblPiNHistorical[[#This Row],[Education - old]]=0, tblPiNHistorical[[#This Row],[Education - new]]="", tblPiNHistorical[[#This Row],[Education - new]]=0), "", tblPiNHistorical[[#This Row],[Education - new]]-tblPiNHistorical[[#This Row],[Education - old]])</f>
        <v>3516</v>
      </c>
      <c r="AC71" s="312">
        <f>IF(OR(tblPiNHistorical[[#This Row],[Nutrition - old]]="", tblPiNHistorical[[#This Row],[Nutrition - old]]=0, tblPiNHistorical[[#This Row],[Nutrition - new]]="", tblPiNHistorical[[#This Row],[Nutrition - new]]=0), "", tblPiNHistorical[[#This Row],[Nutrition - new]]-tblPiNHistorical[[#This Row],[Nutrition - old]])</f>
        <v>334</v>
      </c>
      <c r="AD71" s="312">
        <f>IF(OR(tblPiNHistorical[[#This Row],[Food Security - old]]="", tblPiNHistorical[[#This Row],[Food Security - old]]=0, tblPiNHistorical[[#This Row],[Food Security - new]]="", tblPiNHistorical[[#This Row],[Food Security - new]]=0), "", tblPiNHistorical[[#This Row],[Food Security - new]]-tblPiNHistorical[[#This Row],[Food Security - old]])</f>
        <v>8482</v>
      </c>
      <c r="AE71" s="312">
        <f>IF(OR(tblPiNHistorical[[#This Row],[Health - old]]="", tblPiNHistorical[[#This Row],[Health - old]]=0, tblPiNHistorical[[#This Row],[Health - new]]="", tblPiNHistorical[[#This Row],[Health - new]]=0), "", tblPiNHistorical[[#This Row],[Health - new]]-tblPiNHistorical[[#This Row],[Health - old]])</f>
        <v>-9746.9958499999993</v>
      </c>
      <c r="AF7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921</v>
      </c>
      <c r="AG71" s="312">
        <f>IF(OR(tblPiNHistorical[[#This Row],[Shelter - old]]="", tblPiNHistorical[[#This Row],[Shelter - old]]=0, tblPiNHistorical[[#This Row],[Shelter - new]]="", tblPiNHistorical[[#This Row],[Shelter - new]]=0), "", tblPiNHistorical[[#This Row],[Shelter - new]]-tblPiNHistorical[[#This Row],[Shelter - old]])</f>
        <v>2108</v>
      </c>
      <c r="AH71" s="313">
        <f>IF(OR(tblPiNHistorical[[#This Row],[WASH - old]]="", tblPiNHistorical[[#This Row],[WASH - old]]=0, tblPiNHistorical[[#This Row],[WASH - new]]="", tblPiNHistorical[[#This Row],[WASH - new]]=0), "", tblPiNHistorical[[#This Row],[WASH - new]]-tblPiNHistorical[[#This Row],[WASH - old]])</f>
        <v>-10529.107848049145</v>
      </c>
      <c r="AI71" s="314">
        <f>IFERROR(ROUND((tblPiNHistorical[[#This Row],[CCCM - new]] - tblPiNHistorical[[#This Row],[CCCM - old]])/tblPiNHistorical[[#This Row],[CCCM - old]], 1), "")</f>
        <v>0.1</v>
      </c>
      <c r="AJ71" s="315">
        <f>IFERROR(ROUND((tblPiNHistorical[[#This Row],[Education - new]]-tblPiNHistorical[[#This Row],[Education - old]])/tblPiNHistorical[[#This Row],[Education - old]], 1), "")</f>
        <v>0.6</v>
      </c>
      <c r="AK71" s="315">
        <f>IFERROR(ROUND((tblPiNHistorical[[#This Row],[Nutrition - new]]-tblPiNHistorical[[#This Row],[Nutrition - old]])/tblPiNHistorical[[#This Row],[Nutrition - old]], 1), "")</f>
        <v>0.1</v>
      </c>
      <c r="AL71" s="315">
        <f>IFERROR(ROUND((tblPiNHistorical[[#This Row],[Food Security - new]]-tblPiNHistorical[[#This Row],[Food Security - old]])/tblPiNHistorical[[#This Row],[Food Security - old]], 1), "")</f>
        <v>0.4</v>
      </c>
      <c r="AM71" s="315">
        <f>IFERROR(ROUND((tblPiNHistorical[[#This Row],[Health - new]]-tblPiNHistorical[[#This Row],[Health - old]])/tblPiNHistorical[[#This Row],[Health - old]], 1), "")</f>
        <v>-0.5</v>
      </c>
      <c r="AN71" s="315">
        <f>IFERROR(ROUND((tblPiNHistorical[[#This Row],[Overarching Protection - new]]-tblPiNHistorical[[#This Row],[Overarching Protection - old]])/tblPiNHistorical[[#This Row],[Overarching Protection - old]], 1), "")</f>
        <v>0.1</v>
      </c>
      <c r="AO71" s="315">
        <f>IFERROR(ROUND((tblPiNHistorical[[#This Row],[Shelter - new]]-tblPiNHistorical[[#This Row],[Shelter - old]])/tblPiNHistorical[[#This Row],[Shelter - old]], 1), "")</f>
        <v>0.1</v>
      </c>
      <c r="AP71" s="37">
        <f>IFERROR(ROUND((tblPiNHistorical[[#This Row],[WASH - new]]-tblPiNHistorical[[#This Row],[WASH - old]])/tblPiNHistorical[[#This Row],[WASH - old]], 1), "")</f>
        <v>-0.7</v>
      </c>
    </row>
    <row r="72" spans="1:42">
      <c r="A7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Global_PopulationHT0531</v>
      </c>
      <c r="B72" s="304" t="s">
        <v>287</v>
      </c>
      <c r="C72" s="213" t="s">
        <v>288</v>
      </c>
      <c r="D72" s="213" t="s">
        <v>301</v>
      </c>
      <c r="E72" s="103" t="s">
        <v>302</v>
      </c>
      <c r="F72" s="99"/>
      <c r="G72" s="34"/>
      <c r="H72" s="331"/>
      <c r="I72" s="96">
        <v>281577</v>
      </c>
      <c r="J72" s="241" t="s">
        <v>156</v>
      </c>
      <c r="K72" s="305">
        <v>15993</v>
      </c>
      <c r="L72" s="306">
        <v>31716</v>
      </c>
      <c r="M72" s="308">
        <v>24999</v>
      </c>
      <c r="N72" s="308">
        <v>130717</v>
      </c>
      <c r="O72" s="308">
        <v>85406</v>
      </c>
      <c r="P72" s="308">
        <v>38019</v>
      </c>
      <c r="Q72" s="309">
        <v>63548</v>
      </c>
      <c r="R72" s="308">
        <v>83044.288293903635</v>
      </c>
      <c r="S72" s="308">
        <f>IFERROR(INDEX(tblPiNAnalysis[CCCM], MATCH(tblPiNHistorical[[#This Row],[ID]], tblPiNAnalysis[ID], 0)), "")</f>
        <v>22929</v>
      </c>
      <c r="T72" s="310">
        <f>IFERROR(INDEX(tblPiNAnalysis[Education], MATCH(tblPiNHistorical[[#This Row],[ID]], tblPiNAnalysis[ID], 0)), "")</f>
        <v>50169</v>
      </c>
      <c r="U72" s="308">
        <f>IFERROR(INDEX(tblPiNAnalysis[Nutrition], MATCH(tblPiNHistorical[[#This Row],[ID]], tblPiNAnalysis[ID], 0)), "")</f>
        <v>26276</v>
      </c>
      <c r="V72" s="308">
        <f>IFERROR(INDEX(tblPiNAnalysis[Food Security], MATCH(tblPiNHistorical[[#This Row],[ID]], tblPiNAnalysis[ID], 0)), "")</f>
        <v>182838</v>
      </c>
      <c r="W72" s="308">
        <f>IFERROR(INDEX(tblPiNAnalysis[Health], MATCH(tblPiNHistorical[[#This Row],[ID]], tblPiNAnalysis[ID], 0)), "")</f>
        <v>164189.82598143382</v>
      </c>
      <c r="X72" s="308">
        <f>IFERROR(INDEX(tblPiNAnalysis[Protection], MATCH(tblPiNHistorical[[#This Row],[ID]], tblPiNAnalysis[ID], 0)), "")</f>
        <v>23324.988809523806</v>
      </c>
      <c r="Y72" s="308">
        <f>IFERROR(INDEX(tblPiNAnalysis[Shelter], MATCH(tblPiNHistorical[[#This Row],[ID]], tblPiNAnalysis[ID], 0)), "")</f>
        <v>91784</v>
      </c>
      <c r="Z72" s="308">
        <f>IFERROR(INDEX(tblPiNAnalysis[WASH], MATCH(tblPiNHistorical[[#This Row],[ID]], tblPiNAnalysis[ID], 0)), "")</f>
        <v>210065.38095238095</v>
      </c>
      <c r="AA72" s="311">
        <f>IF(OR(tblPiNHistorical[[#This Row],[CCCM - old]]="", tblPiNHistorical[[#This Row],[CCCM - old]]=0, tblPiNHistorical[[#This Row],[CCCM - new]]="", tblPiNHistorical[[#This Row],[CCCM - new]]=0), "", tblPiNHistorical[[#This Row],[CCCM - new]]-tblPiNHistorical[[#This Row],[CCCM - old]])</f>
        <v>6936</v>
      </c>
      <c r="AB72" s="312">
        <f>IF(OR(tblPiNHistorical[[#This Row],[Education - old]]="", tblPiNHistorical[[#This Row],[Education - old]]=0, tblPiNHistorical[[#This Row],[Education - new]]="", tblPiNHistorical[[#This Row],[Education - new]]=0), "", tblPiNHistorical[[#This Row],[Education - new]]-tblPiNHistorical[[#This Row],[Education - old]])</f>
        <v>18453</v>
      </c>
      <c r="AC72" s="312">
        <f>IF(OR(tblPiNHistorical[[#This Row],[Nutrition - old]]="", tblPiNHistorical[[#This Row],[Nutrition - old]]=0, tblPiNHistorical[[#This Row],[Nutrition - new]]="", tblPiNHistorical[[#This Row],[Nutrition - new]]=0), "", tblPiNHistorical[[#This Row],[Nutrition - new]]-tblPiNHistorical[[#This Row],[Nutrition - old]])</f>
        <v>1277</v>
      </c>
      <c r="AD72" s="312">
        <f>IF(OR(tblPiNHistorical[[#This Row],[Food Security - old]]="", tblPiNHistorical[[#This Row],[Food Security - old]]=0, tblPiNHistorical[[#This Row],[Food Security - new]]="", tblPiNHistorical[[#This Row],[Food Security - new]]=0), "", tblPiNHistorical[[#This Row],[Food Security - new]]-tblPiNHistorical[[#This Row],[Food Security - old]])</f>
        <v>52121</v>
      </c>
      <c r="AE72" s="312">
        <f>IF(OR(tblPiNHistorical[[#This Row],[Health - old]]="", tblPiNHistorical[[#This Row],[Health - old]]=0, tblPiNHistorical[[#This Row],[Health - new]]="", tblPiNHistorical[[#This Row],[Health - new]]=0), "", tblPiNHistorical[[#This Row],[Health - new]]-tblPiNHistorical[[#This Row],[Health - old]])</f>
        <v>78783.825981433823</v>
      </c>
      <c r="AF7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-14694.011190476194</v>
      </c>
      <c r="AG72" s="312">
        <f>IF(OR(tblPiNHistorical[[#This Row],[Shelter - old]]="", tblPiNHistorical[[#This Row],[Shelter - old]]=0, tblPiNHistorical[[#This Row],[Shelter - new]]="", tblPiNHistorical[[#This Row],[Shelter - new]]=0), "", tblPiNHistorical[[#This Row],[Shelter - new]]-tblPiNHistorical[[#This Row],[Shelter - old]])</f>
        <v>28236</v>
      </c>
      <c r="AH72" s="313">
        <f>IF(OR(tblPiNHistorical[[#This Row],[WASH - old]]="", tblPiNHistorical[[#This Row],[WASH - old]]=0, tblPiNHistorical[[#This Row],[WASH - new]]="", tblPiNHistorical[[#This Row],[WASH - new]]=0), "", tblPiNHistorical[[#This Row],[WASH - new]]-tblPiNHistorical[[#This Row],[WASH - old]])</f>
        <v>127021.09265847731</v>
      </c>
      <c r="AI72" s="314">
        <f>IFERROR(ROUND((tblPiNHistorical[[#This Row],[CCCM - new]] - tblPiNHistorical[[#This Row],[CCCM - old]])/tblPiNHistorical[[#This Row],[CCCM - old]], 1), "")</f>
        <v>0.4</v>
      </c>
      <c r="AJ72" s="315">
        <f>IFERROR(ROUND((tblPiNHistorical[[#This Row],[Education - new]]-tblPiNHistorical[[#This Row],[Education - old]])/tblPiNHistorical[[#This Row],[Education - old]], 1), "")</f>
        <v>0.6</v>
      </c>
      <c r="AK72" s="315">
        <f>IFERROR(ROUND((tblPiNHistorical[[#This Row],[Nutrition - new]]-tblPiNHistorical[[#This Row],[Nutrition - old]])/tblPiNHistorical[[#This Row],[Nutrition - old]], 1), "")</f>
        <v>0.1</v>
      </c>
      <c r="AL72" s="315">
        <f>IFERROR(ROUND((tblPiNHistorical[[#This Row],[Food Security - new]]-tblPiNHistorical[[#This Row],[Food Security - old]])/tblPiNHistorical[[#This Row],[Food Security - old]], 1), "")</f>
        <v>0.4</v>
      </c>
      <c r="AM72" s="315">
        <f>IFERROR(ROUND((tblPiNHistorical[[#This Row],[Health - new]]-tblPiNHistorical[[#This Row],[Health - old]])/tblPiNHistorical[[#This Row],[Health - old]], 1), "")</f>
        <v>0.9</v>
      </c>
      <c r="AN72" s="315">
        <f>IFERROR(ROUND((tblPiNHistorical[[#This Row],[Overarching Protection - new]]-tblPiNHistorical[[#This Row],[Overarching Protection - old]])/tblPiNHistorical[[#This Row],[Overarching Protection - old]], 1), "")</f>
        <v>-0.4</v>
      </c>
      <c r="AO72" s="315">
        <f>IFERROR(ROUND((tblPiNHistorical[[#This Row],[Shelter - new]]-tblPiNHistorical[[#This Row],[Shelter - old]])/tblPiNHistorical[[#This Row],[Shelter - old]], 1), "")</f>
        <v>0.4</v>
      </c>
      <c r="AP72" s="37">
        <f>IFERROR(ROUND((tblPiNHistorical[[#This Row],[WASH - new]]-tblPiNHistorical[[#This Row],[WASH - old]])/tblPiNHistorical[[#This Row],[WASH - old]], 1), "")</f>
        <v>1.5</v>
      </c>
    </row>
    <row r="73" spans="1:42">
      <c r="A7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Global_PopulationHT0532</v>
      </c>
      <c r="B73" s="304" t="s">
        <v>287</v>
      </c>
      <c r="C73" s="213" t="s">
        <v>288</v>
      </c>
      <c r="D73" s="213" t="s">
        <v>303</v>
      </c>
      <c r="E73" s="103" t="s">
        <v>304</v>
      </c>
      <c r="F73" s="99"/>
      <c r="G73" s="34"/>
      <c r="H73" s="331"/>
      <c r="I73" s="96">
        <v>146485</v>
      </c>
      <c r="J73" s="241" t="s">
        <v>156</v>
      </c>
      <c r="K73" s="305">
        <v>13572</v>
      </c>
      <c r="L73" s="306">
        <v>16884</v>
      </c>
      <c r="M73" s="308">
        <v>13276</v>
      </c>
      <c r="N73" s="308">
        <v>70992</v>
      </c>
      <c r="O73" s="308">
        <v>54776</v>
      </c>
      <c r="P73" s="308">
        <v>31358</v>
      </c>
      <c r="Q73" s="309">
        <v>80000</v>
      </c>
      <c r="R73" s="308">
        <v>60586.915544862713</v>
      </c>
      <c r="S73" s="308">
        <f>IFERROR(INDEX(tblPiNAnalysis[CCCM], MATCH(tblPiNHistorical[[#This Row],[ID]], tblPiNAnalysis[ID], 0)), "")</f>
        <v>68287.5</v>
      </c>
      <c r="T73" s="310">
        <f>IFERROR(INDEX(tblPiNAnalysis[Education], MATCH(tblPiNHistorical[[#This Row],[ID]], tblPiNAnalysis[ID], 0)), "")</f>
        <v>26466</v>
      </c>
      <c r="U73" s="308">
        <f>IFERROR(INDEX(tblPiNAnalysis[Nutrition], MATCH(tblPiNHistorical[[#This Row],[ID]], tblPiNAnalysis[ID], 0)), "")</f>
        <v>17079</v>
      </c>
      <c r="V73" s="308">
        <f>IFERROR(INDEX(tblPiNAnalysis[Food Security], MATCH(tblPiNHistorical[[#This Row],[ID]], tblPiNAnalysis[ID], 0)), "")</f>
        <v>99298</v>
      </c>
      <c r="W73" s="308">
        <f>IFERROR(INDEX(tblPiNAnalysis[Health], MATCH(tblPiNHistorical[[#This Row],[ID]], tblPiNAnalysis[ID], 0)), "")</f>
        <v>97883.125571579323</v>
      </c>
      <c r="X73" s="308">
        <f>IFERROR(INDEX(tblPiNAnalysis[Protection], MATCH(tblPiNHistorical[[#This Row],[ID]], tblPiNAnalysis[ID], 0)), "")</f>
        <v>88027.609210526309</v>
      </c>
      <c r="Y73" s="308">
        <f>IFERROR(INDEX(tblPiNAnalysis[Shelter], MATCH(tblPiNHistorical[[#This Row],[ID]], tblPiNAnalysis[ID], 0)), "")</f>
        <v>42047</v>
      </c>
      <c r="Z73" s="308">
        <f>IFERROR(INDEX(tblPiNAnalysis[WASH], MATCH(tblPiNHistorical[[#This Row],[ID]], tblPiNAnalysis[ID], 0)), "")</f>
        <v>69387.631578947359</v>
      </c>
      <c r="AA73" s="311">
        <f>IF(OR(tblPiNHistorical[[#This Row],[CCCM - old]]="", tblPiNHistorical[[#This Row],[CCCM - old]]=0, tblPiNHistorical[[#This Row],[CCCM - new]]="", tblPiNHistorical[[#This Row],[CCCM - new]]=0), "", tblPiNHistorical[[#This Row],[CCCM - new]]-tblPiNHistorical[[#This Row],[CCCM - old]])</f>
        <v>54715.5</v>
      </c>
      <c r="AB73" s="312">
        <f>IF(OR(tblPiNHistorical[[#This Row],[Education - old]]="", tblPiNHistorical[[#This Row],[Education - old]]=0, tblPiNHistorical[[#This Row],[Education - new]]="", tblPiNHistorical[[#This Row],[Education - new]]=0), "", tblPiNHistorical[[#This Row],[Education - new]]-tblPiNHistorical[[#This Row],[Education - old]])</f>
        <v>9582</v>
      </c>
      <c r="AC73" s="312">
        <f>IF(OR(tblPiNHistorical[[#This Row],[Nutrition - old]]="", tblPiNHistorical[[#This Row],[Nutrition - old]]=0, tblPiNHistorical[[#This Row],[Nutrition - new]]="", tblPiNHistorical[[#This Row],[Nutrition - new]]=0), "", tblPiNHistorical[[#This Row],[Nutrition - new]]-tblPiNHistorical[[#This Row],[Nutrition - old]])</f>
        <v>3803</v>
      </c>
      <c r="AD73" s="312">
        <f>IF(OR(tblPiNHistorical[[#This Row],[Food Security - old]]="", tblPiNHistorical[[#This Row],[Food Security - old]]=0, tblPiNHistorical[[#This Row],[Food Security - new]]="", tblPiNHistorical[[#This Row],[Food Security - new]]=0), "", tblPiNHistorical[[#This Row],[Food Security - new]]-tblPiNHistorical[[#This Row],[Food Security - old]])</f>
        <v>28306</v>
      </c>
      <c r="AE73" s="312">
        <f>IF(OR(tblPiNHistorical[[#This Row],[Health - old]]="", tblPiNHistorical[[#This Row],[Health - old]]=0, tblPiNHistorical[[#This Row],[Health - new]]="", tblPiNHistorical[[#This Row],[Health - new]]=0), "", tblPiNHistorical[[#This Row],[Health - new]]-tblPiNHistorical[[#This Row],[Health - old]])</f>
        <v>43107.125571579323</v>
      </c>
      <c r="AF7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56669.609210526309</v>
      </c>
      <c r="AG73" s="312">
        <f>IF(OR(tblPiNHistorical[[#This Row],[Shelter - old]]="", tblPiNHistorical[[#This Row],[Shelter - old]]=0, tblPiNHistorical[[#This Row],[Shelter - new]]="", tblPiNHistorical[[#This Row],[Shelter - new]]=0), "", tblPiNHistorical[[#This Row],[Shelter - new]]-tblPiNHistorical[[#This Row],[Shelter - old]])</f>
        <v>-37953</v>
      </c>
      <c r="AH73" s="313">
        <f>IF(OR(tblPiNHistorical[[#This Row],[WASH - old]]="", tblPiNHistorical[[#This Row],[WASH - old]]=0, tblPiNHistorical[[#This Row],[WASH - new]]="", tblPiNHistorical[[#This Row],[WASH - new]]=0), "", tblPiNHistorical[[#This Row],[WASH - new]]-tblPiNHistorical[[#This Row],[WASH - old]])</f>
        <v>8800.7160340846458</v>
      </c>
      <c r="AI73" s="314">
        <f>IFERROR(ROUND((tblPiNHistorical[[#This Row],[CCCM - new]] - tblPiNHistorical[[#This Row],[CCCM - old]])/tblPiNHistorical[[#This Row],[CCCM - old]], 1), "")</f>
        <v>4</v>
      </c>
      <c r="AJ73" s="315">
        <f>IFERROR(ROUND((tblPiNHistorical[[#This Row],[Education - new]]-tblPiNHistorical[[#This Row],[Education - old]])/tblPiNHistorical[[#This Row],[Education - old]], 1), "")</f>
        <v>0.6</v>
      </c>
      <c r="AK73" s="315">
        <f>IFERROR(ROUND((tblPiNHistorical[[#This Row],[Nutrition - new]]-tblPiNHistorical[[#This Row],[Nutrition - old]])/tblPiNHistorical[[#This Row],[Nutrition - old]], 1), "")</f>
        <v>0.3</v>
      </c>
      <c r="AL73" s="315">
        <f>IFERROR(ROUND((tblPiNHistorical[[#This Row],[Food Security - new]]-tblPiNHistorical[[#This Row],[Food Security - old]])/tblPiNHistorical[[#This Row],[Food Security - old]], 1), "")</f>
        <v>0.4</v>
      </c>
      <c r="AM73" s="315">
        <f>IFERROR(ROUND((tblPiNHistorical[[#This Row],[Health - new]]-tblPiNHistorical[[#This Row],[Health - old]])/tblPiNHistorical[[#This Row],[Health - old]], 1), "")</f>
        <v>0.8</v>
      </c>
      <c r="AN73" s="315">
        <f>IFERROR(ROUND((tblPiNHistorical[[#This Row],[Overarching Protection - new]]-tblPiNHistorical[[#This Row],[Overarching Protection - old]])/tblPiNHistorical[[#This Row],[Overarching Protection - old]], 1), "")</f>
        <v>1.8</v>
      </c>
      <c r="AO73" s="315">
        <f>IFERROR(ROUND((tblPiNHistorical[[#This Row],[Shelter - new]]-tblPiNHistorical[[#This Row],[Shelter - old]])/tblPiNHistorical[[#This Row],[Shelter - old]], 1), "")</f>
        <v>-0.5</v>
      </c>
      <c r="AP73" s="37">
        <f>IFERROR(ROUND((tblPiNHistorical[[#This Row],[WASH - new]]-tblPiNHistorical[[#This Row],[WASH - old]])/tblPiNHistorical[[#This Row],[WASH - old]], 1), "")</f>
        <v>0.1</v>
      </c>
    </row>
    <row r="74" spans="1:42">
      <c r="A7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Global_PopulationHT0533</v>
      </c>
      <c r="B74" s="304" t="s">
        <v>287</v>
      </c>
      <c r="C74" s="213" t="s">
        <v>288</v>
      </c>
      <c r="D74" s="213" t="s">
        <v>305</v>
      </c>
      <c r="E74" s="103" t="s">
        <v>306</v>
      </c>
      <c r="F74" s="99"/>
      <c r="G74" s="34"/>
      <c r="H74" s="331"/>
      <c r="I74" s="96">
        <v>32609</v>
      </c>
      <c r="J74" s="241" t="s">
        <v>156</v>
      </c>
      <c r="K74" s="305">
        <v>840</v>
      </c>
      <c r="L74" s="306">
        <v>3818</v>
      </c>
      <c r="M74" s="308">
        <v>2960</v>
      </c>
      <c r="N74" s="308">
        <v>15468</v>
      </c>
      <c r="O74" s="308">
        <v>9597</v>
      </c>
      <c r="P74" s="308">
        <v>3570</v>
      </c>
      <c r="Q74" s="309">
        <v>12034</v>
      </c>
      <c r="R74" s="308">
        <v>8885.866482471105</v>
      </c>
      <c r="S74" s="308">
        <f>IFERROR(INDEX(tblPiNAnalysis[CCCM], MATCH(tblPiNHistorical[[#This Row],[ID]], tblPiNAnalysis[ID], 0)), "")</f>
        <v>2742</v>
      </c>
      <c r="T74" s="310">
        <f>IFERROR(INDEX(tblPiNAnalysis[Education], MATCH(tblPiNHistorical[[#This Row],[ID]], tblPiNAnalysis[ID], 0)), "")</f>
        <v>5547</v>
      </c>
      <c r="U74" s="308">
        <f>IFERROR(INDEX(tblPiNAnalysis[Nutrition], MATCH(tblPiNHistorical[[#This Row],[ID]], tblPiNAnalysis[ID], 0)), "")</f>
        <v>3112</v>
      </c>
      <c r="V74" s="308">
        <f>IFERROR(INDEX(tblPiNAnalysis[Food Security], MATCH(tblPiNHistorical[[#This Row],[ID]], tblPiNAnalysis[ID], 0)), "")</f>
        <v>21636</v>
      </c>
      <c r="W74" s="308">
        <f>IFERROR(INDEX(tblPiNAnalysis[Health], MATCH(tblPiNHistorical[[#This Row],[ID]], tblPiNAnalysis[ID], 0)), "")</f>
        <v>36140.377531455146</v>
      </c>
      <c r="X74" s="308">
        <f>IFERROR(INDEX(tblPiNAnalysis[Protection], MATCH(tblPiNHistorical[[#This Row],[ID]], tblPiNAnalysis[ID], 0)), "")</f>
        <v>1588.4450000000002</v>
      </c>
      <c r="Y74" s="308">
        <f>IFERROR(INDEX(tblPiNAnalysis[Shelter], MATCH(tblPiNHistorical[[#This Row],[ID]], tblPiNAnalysis[ID], 0)), "")</f>
        <v>0</v>
      </c>
      <c r="Z74" s="308">
        <f>IFERROR(INDEX(tblPiNAnalysis[WASH], MATCH(tblPiNHistorical[[#This Row],[ID]], tblPiNAnalysis[ID], 0)), "")</f>
        <v>29348</v>
      </c>
      <c r="AA74" s="311">
        <f>IF(OR(tblPiNHistorical[[#This Row],[CCCM - old]]="", tblPiNHistorical[[#This Row],[CCCM - old]]=0, tblPiNHistorical[[#This Row],[CCCM - new]]="", tblPiNHistorical[[#This Row],[CCCM - new]]=0), "", tblPiNHistorical[[#This Row],[CCCM - new]]-tblPiNHistorical[[#This Row],[CCCM - old]])</f>
        <v>1902</v>
      </c>
      <c r="AB74" s="312">
        <f>IF(OR(tblPiNHistorical[[#This Row],[Education - old]]="", tblPiNHistorical[[#This Row],[Education - old]]=0, tblPiNHistorical[[#This Row],[Education - new]]="", tblPiNHistorical[[#This Row],[Education - new]]=0), "", tblPiNHistorical[[#This Row],[Education - new]]-tblPiNHistorical[[#This Row],[Education - old]])</f>
        <v>1729</v>
      </c>
      <c r="AC74" s="312">
        <f>IF(OR(tblPiNHistorical[[#This Row],[Nutrition - old]]="", tblPiNHistorical[[#This Row],[Nutrition - old]]=0, tblPiNHistorical[[#This Row],[Nutrition - new]]="", tblPiNHistorical[[#This Row],[Nutrition - new]]=0), "", tblPiNHistorical[[#This Row],[Nutrition - new]]-tblPiNHistorical[[#This Row],[Nutrition - old]])</f>
        <v>152</v>
      </c>
      <c r="AD74" s="312">
        <f>IF(OR(tblPiNHistorical[[#This Row],[Food Security - old]]="", tblPiNHistorical[[#This Row],[Food Security - old]]=0, tblPiNHistorical[[#This Row],[Food Security - new]]="", tblPiNHistorical[[#This Row],[Food Security - new]]=0), "", tblPiNHistorical[[#This Row],[Food Security - new]]-tblPiNHistorical[[#This Row],[Food Security - old]])</f>
        <v>6168</v>
      </c>
      <c r="AE74" s="312">
        <f>IF(OR(tblPiNHistorical[[#This Row],[Health - old]]="", tblPiNHistorical[[#This Row],[Health - old]]=0, tblPiNHistorical[[#This Row],[Health - new]]="", tblPiNHistorical[[#This Row],[Health - new]]=0), "", tblPiNHistorical[[#This Row],[Health - new]]-tblPiNHistorical[[#This Row],[Health - old]])</f>
        <v>26543.377531455146</v>
      </c>
      <c r="AF7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-1981.5549999999998</v>
      </c>
      <c r="AG74" s="312" t="str">
        <f>IF(OR(tblPiNHistorical[[#This Row],[Shelter - old]]="", tblPiNHistorical[[#This Row],[Shelter - old]]=0, tblPiNHistorical[[#This Row],[Shelter - new]]="", tblPiNHistorical[[#This Row],[Shelter - new]]=0), "", tblPiNHistorical[[#This Row],[Shelter - new]]-tblPiNHistorical[[#This Row],[Shelter - old]])</f>
        <v/>
      </c>
      <c r="AH74" s="313">
        <f>IF(OR(tblPiNHistorical[[#This Row],[WASH - old]]="", tblPiNHistorical[[#This Row],[WASH - old]]=0, tblPiNHistorical[[#This Row],[WASH - new]]="", tblPiNHistorical[[#This Row],[WASH - new]]=0), "", tblPiNHistorical[[#This Row],[WASH - new]]-tblPiNHistorical[[#This Row],[WASH - old]])</f>
        <v>20462.133517528895</v>
      </c>
      <c r="AI74" s="314">
        <f>IFERROR(ROUND((tblPiNHistorical[[#This Row],[CCCM - new]] - tblPiNHistorical[[#This Row],[CCCM - old]])/tblPiNHistorical[[#This Row],[CCCM - old]], 1), "")</f>
        <v>2.2999999999999998</v>
      </c>
      <c r="AJ74" s="315">
        <f>IFERROR(ROUND((tblPiNHistorical[[#This Row],[Education - new]]-tblPiNHistorical[[#This Row],[Education - old]])/tblPiNHistorical[[#This Row],[Education - old]], 1), "")</f>
        <v>0.5</v>
      </c>
      <c r="AK74" s="315">
        <f>IFERROR(ROUND((tblPiNHistorical[[#This Row],[Nutrition - new]]-tblPiNHistorical[[#This Row],[Nutrition - old]])/tblPiNHistorical[[#This Row],[Nutrition - old]], 1), "")</f>
        <v>0.1</v>
      </c>
      <c r="AL74" s="315">
        <f>IFERROR(ROUND((tblPiNHistorical[[#This Row],[Food Security - new]]-tblPiNHistorical[[#This Row],[Food Security - old]])/tblPiNHistorical[[#This Row],[Food Security - old]], 1), "")</f>
        <v>0.4</v>
      </c>
      <c r="AM74" s="315">
        <f>IFERROR(ROUND((tblPiNHistorical[[#This Row],[Health - new]]-tblPiNHistorical[[#This Row],[Health - old]])/tblPiNHistorical[[#This Row],[Health - old]], 1), "")</f>
        <v>2.8</v>
      </c>
      <c r="AN74" s="315">
        <f>IFERROR(ROUND((tblPiNHistorical[[#This Row],[Overarching Protection - new]]-tblPiNHistorical[[#This Row],[Overarching Protection - old]])/tblPiNHistorical[[#This Row],[Overarching Protection - old]], 1), "")</f>
        <v>-0.6</v>
      </c>
      <c r="AO74" s="315">
        <f>IFERROR(ROUND((tblPiNHistorical[[#This Row],[Shelter - new]]-tblPiNHistorical[[#This Row],[Shelter - old]])/tblPiNHistorical[[#This Row],[Shelter - old]], 1), "")</f>
        <v>-1</v>
      </c>
      <c r="AP74" s="37">
        <f>IFERROR(ROUND((tblPiNHistorical[[#This Row],[WASH - new]]-tblPiNHistorical[[#This Row],[WASH - old]])/tblPiNHistorical[[#This Row],[WASH - old]], 1), "")</f>
        <v>2.2999999999999998</v>
      </c>
    </row>
    <row r="75" spans="1:42">
      <c r="A7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Global_PopulationHT0541</v>
      </c>
      <c r="B75" s="304" t="s">
        <v>287</v>
      </c>
      <c r="C75" s="213" t="s">
        <v>288</v>
      </c>
      <c r="D75" s="213" t="s">
        <v>307</v>
      </c>
      <c r="E75" s="103" t="s">
        <v>308</v>
      </c>
      <c r="F75" s="99"/>
      <c r="G75" s="34"/>
      <c r="H75" s="331"/>
      <c r="I75" s="96">
        <v>185387</v>
      </c>
      <c r="J75" s="241" t="s">
        <v>156</v>
      </c>
      <c r="K75" s="305">
        <v>2874</v>
      </c>
      <c r="L75" s="306">
        <v>20966</v>
      </c>
      <c r="M75" s="308">
        <v>17095</v>
      </c>
      <c r="N75" s="308">
        <v>89175</v>
      </c>
      <c r="O75" s="308">
        <v>45084</v>
      </c>
      <c r="P75" s="308">
        <v>39414</v>
      </c>
      <c r="Q75" s="309">
        <v>42563</v>
      </c>
      <c r="R75" s="308">
        <v>27353.236861068955</v>
      </c>
      <c r="S75" s="308">
        <f>IFERROR(INDEX(tblPiNAnalysis[CCCM], MATCH(tblPiNHistorical[[#This Row],[ID]], tblPiNAnalysis[ID], 0)), "")</f>
        <v>25059</v>
      </c>
      <c r="T75" s="310">
        <f>IFERROR(INDEX(tblPiNAnalysis[Education], MATCH(tblPiNHistorical[[#This Row],[ID]], tblPiNAnalysis[ID], 0)), "")</f>
        <v>32898</v>
      </c>
      <c r="U75" s="308">
        <f>IFERROR(INDEX(tblPiNAnalysis[Nutrition], MATCH(tblPiNHistorical[[#This Row],[ID]], tblPiNAnalysis[ID], 0)), "")</f>
        <v>18491</v>
      </c>
      <c r="V75" s="308">
        <f>IFERROR(INDEX(tblPiNAnalysis[Food Security], MATCH(tblPiNHistorical[[#This Row],[ID]], tblPiNAnalysis[ID], 0)), "")</f>
        <v>97464</v>
      </c>
      <c r="W75" s="308">
        <f>IFERROR(INDEX(tblPiNAnalysis[Health], MATCH(tblPiNHistorical[[#This Row],[ID]], tblPiNAnalysis[ID], 0)), "")</f>
        <v>211363.49810871962</v>
      </c>
      <c r="X75" s="308">
        <f>IFERROR(INDEX(tblPiNAnalysis[Protection], MATCH(tblPiNHistorical[[#This Row],[ID]], tblPiNAnalysis[ID], 0)), "")</f>
        <v>43669.45</v>
      </c>
      <c r="Y75" s="308">
        <f>IFERROR(INDEX(tblPiNAnalysis[Shelter], MATCH(tblPiNHistorical[[#This Row],[ID]], tblPiNAnalysis[ID], 0)), "")</f>
        <v>0</v>
      </c>
      <c r="Z75" s="308">
        <f>IFERROR(INDEX(tblPiNAnalysis[WASH], MATCH(tblPiNHistorical[[#This Row],[ID]], tblPiNAnalysis[ID], 0)), "")</f>
        <v>46346.75</v>
      </c>
      <c r="AA75" s="311">
        <f>IF(OR(tblPiNHistorical[[#This Row],[CCCM - old]]="", tblPiNHistorical[[#This Row],[CCCM - old]]=0, tblPiNHistorical[[#This Row],[CCCM - new]]="", tblPiNHistorical[[#This Row],[CCCM - new]]=0), "", tblPiNHistorical[[#This Row],[CCCM - new]]-tblPiNHistorical[[#This Row],[CCCM - old]])</f>
        <v>22185</v>
      </c>
      <c r="AB75" s="312">
        <f>IF(OR(tblPiNHistorical[[#This Row],[Education - old]]="", tblPiNHistorical[[#This Row],[Education - old]]=0, tblPiNHistorical[[#This Row],[Education - new]]="", tblPiNHistorical[[#This Row],[Education - new]]=0), "", tblPiNHistorical[[#This Row],[Education - new]]-tblPiNHistorical[[#This Row],[Education - old]])</f>
        <v>11932</v>
      </c>
      <c r="AC75" s="312">
        <f>IF(OR(tblPiNHistorical[[#This Row],[Nutrition - old]]="", tblPiNHistorical[[#This Row],[Nutrition - old]]=0, tblPiNHistorical[[#This Row],[Nutrition - new]]="", tblPiNHistorical[[#This Row],[Nutrition - new]]=0), "", tblPiNHistorical[[#This Row],[Nutrition - new]]-tblPiNHistorical[[#This Row],[Nutrition - old]])</f>
        <v>1396</v>
      </c>
      <c r="AD75" s="312">
        <f>IF(OR(tblPiNHistorical[[#This Row],[Food Security - old]]="", tblPiNHistorical[[#This Row],[Food Security - old]]=0, tblPiNHistorical[[#This Row],[Food Security - new]]="", tblPiNHistorical[[#This Row],[Food Security - new]]=0), "", tblPiNHistorical[[#This Row],[Food Security - new]]-tblPiNHistorical[[#This Row],[Food Security - old]])</f>
        <v>8289</v>
      </c>
      <c r="AE75" s="312">
        <f>IF(OR(tblPiNHistorical[[#This Row],[Health - old]]="", tblPiNHistorical[[#This Row],[Health - old]]=0, tblPiNHistorical[[#This Row],[Health - new]]="", tblPiNHistorical[[#This Row],[Health - new]]=0), "", tblPiNHistorical[[#This Row],[Health - new]]-tblPiNHistorical[[#This Row],[Health - old]])</f>
        <v>166279.49810871962</v>
      </c>
      <c r="AF7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4255.4499999999971</v>
      </c>
      <c r="AG75" s="312" t="str">
        <f>IF(OR(tblPiNHistorical[[#This Row],[Shelter - old]]="", tblPiNHistorical[[#This Row],[Shelter - old]]=0, tblPiNHistorical[[#This Row],[Shelter - new]]="", tblPiNHistorical[[#This Row],[Shelter - new]]=0), "", tblPiNHistorical[[#This Row],[Shelter - new]]-tblPiNHistorical[[#This Row],[Shelter - old]])</f>
        <v/>
      </c>
      <c r="AH75" s="313">
        <f>IF(OR(tblPiNHistorical[[#This Row],[WASH - old]]="", tblPiNHistorical[[#This Row],[WASH - old]]=0, tblPiNHistorical[[#This Row],[WASH - new]]="", tblPiNHistorical[[#This Row],[WASH - new]]=0), "", tblPiNHistorical[[#This Row],[WASH - new]]-tblPiNHistorical[[#This Row],[WASH - old]])</f>
        <v>18993.513138931045</v>
      </c>
      <c r="AI75" s="314">
        <f>IFERROR(ROUND((tblPiNHistorical[[#This Row],[CCCM - new]] - tblPiNHistorical[[#This Row],[CCCM - old]])/tblPiNHistorical[[#This Row],[CCCM - old]], 1), "")</f>
        <v>7.7</v>
      </c>
      <c r="AJ75" s="315">
        <f>IFERROR(ROUND((tblPiNHistorical[[#This Row],[Education - new]]-tblPiNHistorical[[#This Row],[Education - old]])/tblPiNHistorical[[#This Row],[Education - old]], 1), "")</f>
        <v>0.6</v>
      </c>
      <c r="AK75" s="315">
        <f>IFERROR(ROUND((tblPiNHistorical[[#This Row],[Nutrition - new]]-tblPiNHistorical[[#This Row],[Nutrition - old]])/tblPiNHistorical[[#This Row],[Nutrition - old]], 1), "")</f>
        <v>0.1</v>
      </c>
      <c r="AL75" s="315">
        <f>IFERROR(ROUND((tblPiNHistorical[[#This Row],[Food Security - new]]-tblPiNHistorical[[#This Row],[Food Security - old]])/tblPiNHistorical[[#This Row],[Food Security - old]], 1), "")</f>
        <v>0.1</v>
      </c>
      <c r="AM75" s="315">
        <f>IFERROR(ROUND((tblPiNHistorical[[#This Row],[Health - new]]-tblPiNHistorical[[#This Row],[Health - old]])/tblPiNHistorical[[#This Row],[Health - old]], 1), "")</f>
        <v>3.7</v>
      </c>
      <c r="AN75" s="315">
        <f>IFERROR(ROUND((tblPiNHistorical[[#This Row],[Overarching Protection - new]]-tblPiNHistorical[[#This Row],[Overarching Protection - old]])/tblPiNHistorical[[#This Row],[Overarching Protection - old]], 1), "")</f>
        <v>0.1</v>
      </c>
      <c r="AO75" s="315">
        <f>IFERROR(ROUND((tblPiNHistorical[[#This Row],[Shelter - new]]-tblPiNHistorical[[#This Row],[Shelter - old]])/tblPiNHistorical[[#This Row],[Shelter - old]], 1), "")</f>
        <v>-1</v>
      </c>
      <c r="AP75" s="37">
        <f>IFERROR(ROUND((tblPiNHistorical[[#This Row],[WASH - new]]-tblPiNHistorical[[#This Row],[WASH - old]])/tblPiNHistorical[[#This Row],[WASH - old]], 1), "")</f>
        <v>0.7</v>
      </c>
    </row>
    <row r="76" spans="1:42">
      <c r="A7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Global_PopulationHT0542</v>
      </c>
      <c r="B76" s="304" t="s">
        <v>287</v>
      </c>
      <c r="C76" s="213" t="s">
        <v>288</v>
      </c>
      <c r="D76" s="213" t="s">
        <v>309</v>
      </c>
      <c r="E76" s="103" t="s">
        <v>310</v>
      </c>
      <c r="F76" s="99"/>
      <c r="G76" s="34"/>
      <c r="H76" s="331"/>
      <c r="I76" s="96">
        <v>165494</v>
      </c>
      <c r="J76" s="241" t="s">
        <v>156</v>
      </c>
      <c r="K76" s="305">
        <v>2733</v>
      </c>
      <c r="L76" s="306">
        <v>18310</v>
      </c>
      <c r="M76" s="308">
        <v>15939</v>
      </c>
      <c r="N76" s="308">
        <v>83703</v>
      </c>
      <c r="O76" s="308">
        <v>40556</v>
      </c>
      <c r="P76" s="308">
        <v>34994</v>
      </c>
      <c r="Q76" s="309">
        <v>0</v>
      </c>
      <c r="R76" s="308">
        <v>28574.671254674256</v>
      </c>
      <c r="S76" s="308">
        <f>IFERROR(INDEX(tblPiNAnalysis[CCCM], MATCH(tblPiNHistorical[[#This Row],[ID]], tblPiNAnalysis[ID], 0)), "")</f>
        <v>3450</v>
      </c>
      <c r="T76" s="310">
        <f>IFERROR(INDEX(tblPiNAnalysis[Education], MATCH(tblPiNHistorical[[#This Row],[ID]], tblPiNAnalysis[ID], 0)), "")</f>
        <v>28566</v>
      </c>
      <c r="U76" s="308">
        <f>IFERROR(INDEX(tblPiNAnalysis[Nutrition], MATCH(tblPiNHistorical[[#This Row],[ID]], tblPiNAnalysis[ID], 0)), "")</f>
        <v>16131</v>
      </c>
      <c r="V76" s="308">
        <f>IFERROR(INDEX(tblPiNAnalysis[Food Security], MATCH(tblPiNHistorical[[#This Row],[ID]], tblPiNAnalysis[ID], 0)), "")</f>
        <v>91483</v>
      </c>
      <c r="W76" s="308">
        <f>IFERROR(INDEX(tblPiNAnalysis[Health], MATCH(tblPiNHistorical[[#This Row],[ID]], tblPiNAnalysis[ID], 0)), "")</f>
        <v>92460.077393043481</v>
      </c>
      <c r="X76" s="308">
        <f>IFERROR(INDEX(tblPiNAnalysis[Protection], MATCH(tblPiNHistorical[[#This Row],[ID]], tblPiNAnalysis[ID], 0)), "")</f>
        <v>2467.2000000000003</v>
      </c>
      <c r="Y76" s="308">
        <f>IFERROR(INDEX(tblPiNAnalysis[Shelter], MATCH(tblPiNHistorical[[#This Row],[ID]], tblPiNAnalysis[ID], 0)), "")</f>
        <v>7812</v>
      </c>
      <c r="Z76" s="308">
        <f>IFERROR(INDEX(tblPiNAnalysis[WASH], MATCH(tblPiNHistorical[[#This Row],[ID]], tblPiNAnalysis[ID], 0)), "")</f>
        <v>55165</v>
      </c>
      <c r="AA76" s="311">
        <f>IF(OR(tblPiNHistorical[[#This Row],[CCCM - old]]="", tblPiNHistorical[[#This Row],[CCCM - old]]=0, tblPiNHistorical[[#This Row],[CCCM - new]]="", tblPiNHistorical[[#This Row],[CCCM - new]]=0), "", tblPiNHistorical[[#This Row],[CCCM - new]]-tblPiNHistorical[[#This Row],[CCCM - old]])</f>
        <v>717</v>
      </c>
      <c r="AB76" s="312">
        <f>IF(OR(tblPiNHistorical[[#This Row],[Education - old]]="", tblPiNHistorical[[#This Row],[Education - old]]=0, tblPiNHistorical[[#This Row],[Education - new]]="", tblPiNHistorical[[#This Row],[Education - new]]=0), "", tblPiNHistorical[[#This Row],[Education - new]]-tblPiNHistorical[[#This Row],[Education - old]])</f>
        <v>10256</v>
      </c>
      <c r="AC76" s="312">
        <f>IF(OR(tblPiNHistorical[[#This Row],[Nutrition - old]]="", tblPiNHistorical[[#This Row],[Nutrition - old]]=0, tblPiNHistorical[[#This Row],[Nutrition - new]]="", tblPiNHistorical[[#This Row],[Nutrition - new]]=0), "", tblPiNHistorical[[#This Row],[Nutrition - new]]-tblPiNHistorical[[#This Row],[Nutrition - old]])</f>
        <v>192</v>
      </c>
      <c r="AD76" s="312">
        <f>IF(OR(tblPiNHistorical[[#This Row],[Food Security - old]]="", tblPiNHistorical[[#This Row],[Food Security - old]]=0, tblPiNHistorical[[#This Row],[Food Security - new]]="", tblPiNHistorical[[#This Row],[Food Security - new]]=0), "", tblPiNHistorical[[#This Row],[Food Security - new]]-tblPiNHistorical[[#This Row],[Food Security - old]])</f>
        <v>7780</v>
      </c>
      <c r="AE76" s="312">
        <f>IF(OR(tblPiNHistorical[[#This Row],[Health - old]]="", tblPiNHistorical[[#This Row],[Health - old]]=0, tblPiNHistorical[[#This Row],[Health - new]]="", tblPiNHistorical[[#This Row],[Health - new]]=0), "", tblPiNHistorical[[#This Row],[Health - new]]-tblPiNHistorical[[#This Row],[Health - old]])</f>
        <v>51904.077393043481</v>
      </c>
      <c r="AF7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-32526.799999999999</v>
      </c>
      <c r="AG76" s="312" t="str">
        <f>IF(OR(tblPiNHistorical[[#This Row],[Shelter - old]]="", tblPiNHistorical[[#This Row],[Shelter - old]]=0, tblPiNHistorical[[#This Row],[Shelter - new]]="", tblPiNHistorical[[#This Row],[Shelter - new]]=0), "", tblPiNHistorical[[#This Row],[Shelter - new]]-tblPiNHistorical[[#This Row],[Shelter - old]])</f>
        <v/>
      </c>
      <c r="AH76" s="313">
        <f>IF(OR(tblPiNHistorical[[#This Row],[WASH - old]]="", tblPiNHistorical[[#This Row],[WASH - old]]=0, tblPiNHistorical[[#This Row],[WASH - new]]="", tblPiNHistorical[[#This Row],[WASH - new]]=0), "", tblPiNHistorical[[#This Row],[WASH - new]]-tblPiNHistorical[[#This Row],[WASH - old]])</f>
        <v>26590.328745325744</v>
      </c>
      <c r="AI76" s="314">
        <f>IFERROR(ROUND((tblPiNHistorical[[#This Row],[CCCM - new]] - tblPiNHistorical[[#This Row],[CCCM - old]])/tblPiNHistorical[[#This Row],[CCCM - old]], 1), "")</f>
        <v>0.3</v>
      </c>
      <c r="AJ76" s="315">
        <f>IFERROR(ROUND((tblPiNHistorical[[#This Row],[Education - new]]-tblPiNHistorical[[#This Row],[Education - old]])/tblPiNHistorical[[#This Row],[Education - old]], 1), "")</f>
        <v>0.6</v>
      </c>
      <c r="AK76" s="315">
        <f>IFERROR(ROUND((tblPiNHistorical[[#This Row],[Nutrition - new]]-tblPiNHistorical[[#This Row],[Nutrition - old]])/tblPiNHistorical[[#This Row],[Nutrition - old]], 1), "")</f>
        <v>0</v>
      </c>
      <c r="AL76" s="315">
        <f>IFERROR(ROUND((tblPiNHistorical[[#This Row],[Food Security - new]]-tblPiNHistorical[[#This Row],[Food Security - old]])/tblPiNHistorical[[#This Row],[Food Security - old]], 1), "")</f>
        <v>0.1</v>
      </c>
      <c r="AM76" s="315">
        <f>IFERROR(ROUND((tblPiNHistorical[[#This Row],[Health - new]]-tblPiNHistorical[[#This Row],[Health - old]])/tblPiNHistorical[[#This Row],[Health - old]], 1), "")</f>
        <v>1.3</v>
      </c>
      <c r="AN76" s="315">
        <f>IFERROR(ROUND((tblPiNHistorical[[#This Row],[Overarching Protection - new]]-tblPiNHistorical[[#This Row],[Overarching Protection - old]])/tblPiNHistorical[[#This Row],[Overarching Protection - old]], 1), "")</f>
        <v>-0.9</v>
      </c>
      <c r="AO76" s="315" t="str">
        <f>IFERROR(ROUND((tblPiNHistorical[[#This Row],[Shelter - new]]-tblPiNHistorical[[#This Row],[Shelter - old]])/tblPiNHistorical[[#This Row],[Shelter - old]], 1), "")</f>
        <v/>
      </c>
      <c r="AP76" s="37">
        <f>IFERROR(ROUND((tblPiNHistorical[[#This Row],[WASH - new]]-tblPiNHistorical[[#This Row],[WASH - old]])/tblPiNHistorical[[#This Row],[WASH - old]], 1), "")</f>
        <v>0.9</v>
      </c>
    </row>
    <row r="77" spans="1:42">
      <c r="A7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Global_PopulationHT0543</v>
      </c>
      <c r="B77" s="304" t="s">
        <v>287</v>
      </c>
      <c r="C77" s="213" t="s">
        <v>288</v>
      </c>
      <c r="D77" s="213" t="s">
        <v>311</v>
      </c>
      <c r="E77" s="103" t="s">
        <v>312</v>
      </c>
      <c r="F77" s="99"/>
      <c r="G77" s="34"/>
      <c r="H77" s="331"/>
      <c r="I77" s="96">
        <v>23598</v>
      </c>
      <c r="J77" s="241" t="s">
        <v>156</v>
      </c>
      <c r="K77" s="305">
        <v>1602</v>
      </c>
      <c r="L77" s="306">
        <v>2065</v>
      </c>
      <c r="M77" s="308">
        <v>2152</v>
      </c>
      <c r="N77" s="308">
        <v>11391</v>
      </c>
      <c r="O77" s="308">
        <v>7256</v>
      </c>
      <c r="P77" s="308">
        <v>4810</v>
      </c>
      <c r="Q77" s="309">
        <v>11000</v>
      </c>
      <c r="R77" s="308">
        <v>4994.534807172945</v>
      </c>
      <c r="S77" s="308">
        <f>IFERROR(INDEX(tblPiNAnalysis[CCCM], MATCH(tblPiNHistorical[[#This Row],[ID]], tblPiNAnalysis[ID], 0)), "")</f>
        <v>1620</v>
      </c>
      <c r="T77" s="310">
        <f>IFERROR(INDEX(tblPiNAnalysis[Education], MATCH(tblPiNHistorical[[#This Row],[ID]], tblPiNAnalysis[ID], 0)), "")</f>
        <v>3383</v>
      </c>
      <c r="U77" s="308">
        <f>IFERROR(INDEX(tblPiNAnalysis[Nutrition], MATCH(tblPiNHistorical[[#This Row],[ID]], tblPiNAnalysis[ID], 0)), "")</f>
        <v>2241</v>
      </c>
      <c r="V77" s="308">
        <f>IFERROR(INDEX(tblPiNAnalysis[Food Security], MATCH(tblPiNHistorical[[#This Row],[ID]], tblPiNAnalysis[ID], 0)), "")</f>
        <v>12450</v>
      </c>
      <c r="W77" s="308">
        <f>IFERROR(INDEX(tblPiNAnalysis[Health], MATCH(tblPiNHistorical[[#This Row],[ID]], tblPiNAnalysis[ID], 0)), "")</f>
        <v>13545.861355555557</v>
      </c>
      <c r="X77" s="308">
        <f>IFERROR(INDEX(tblPiNAnalysis[Protection], MATCH(tblPiNHistorical[[#This Row],[ID]], tblPiNAnalysis[ID], 0)), "")</f>
        <v>727.84</v>
      </c>
      <c r="Y77" s="308">
        <f>IFERROR(INDEX(tblPiNAnalysis[Shelter], MATCH(tblPiNHistorical[[#This Row],[ID]], tblPiNAnalysis[ID], 0)), "")</f>
        <v>0</v>
      </c>
      <c r="Z77" s="308">
        <f>IFERROR(INDEX(tblPiNAnalysis[WASH], MATCH(tblPiNHistorical[[#This Row],[ID]], tblPiNAnalysis[ID], 0)), "")</f>
        <v>5900</v>
      </c>
      <c r="AA77" s="311">
        <f>IF(OR(tblPiNHistorical[[#This Row],[CCCM - old]]="", tblPiNHistorical[[#This Row],[CCCM - old]]=0, tblPiNHistorical[[#This Row],[CCCM - new]]="", tblPiNHistorical[[#This Row],[CCCM - new]]=0), "", tblPiNHistorical[[#This Row],[CCCM - new]]-tblPiNHistorical[[#This Row],[CCCM - old]])</f>
        <v>18</v>
      </c>
      <c r="AB77" s="312">
        <f>IF(OR(tblPiNHistorical[[#This Row],[Education - old]]="", tblPiNHistorical[[#This Row],[Education - old]]=0, tblPiNHistorical[[#This Row],[Education - new]]="", tblPiNHistorical[[#This Row],[Education - new]]=0), "", tblPiNHistorical[[#This Row],[Education - new]]-tblPiNHistorical[[#This Row],[Education - old]])</f>
        <v>1318</v>
      </c>
      <c r="AC77" s="312">
        <f>IF(OR(tblPiNHistorical[[#This Row],[Nutrition - old]]="", tblPiNHistorical[[#This Row],[Nutrition - old]]=0, tblPiNHistorical[[#This Row],[Nutrition - new]]="", tblPiNHistorical[[#This Row],[Nutrition - new]]=0), "", tblPiNHistorical[[#This Row],[Nutrition - new]]-tblPiNHistorical[[#This Row],[Nutrition - old]])</f>
        <v>89</v>
      </c>
      <c r="AD77" s="312">
        <f>IF(OR(tblPiNHistorical[[#This Row],[Food Security - old]]="", tblPiNHistorical[[#This Row],[Food Security - old]]=0, tblPiNHistorical[[#This Row],[Food Security - new]]="", tblPiNHistorical[[#This Row],[Food Security - new]]=0), "", tblPiNHistorical[[#This Row],[Food Security - new]]-tblPiNHistorical[[#This Row],[Food Security - old]])</f>
        <v>1059</v>
      </c>
      <c r="AE77" s="312">
        <f>IF(OR(tblPiNHistorical[[#This Row],[Health - old]]="", tblPiNHistorical[[#This Row],[Health - old]]=0, tblPiNHistorical[[#This Row],[Health - new]]="", tblPiNHistorical[[#This Row],[Health - new]]=0), "", tblPiNHistorical[[#This Row],[Health - new]]-tblPiNHistorical[[#This Row],[Health - old]])</f>
        <v>6289.8613555555567</v>
      </c>
      <c r="AF7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-4082.16</v>
      </c>
      <c r="AG77" s="312" t="str">
        <f>IF(OR(tblPiNHistorical[[#This Row],[Shelter - old]]="", tblPiNHistorical[[#This Row],[Shelter - old]]=0, tblPiNHistorical[[#This Row],[Shelter - new]]="", tblPiNHistorical[[#This Row],[Shelter - new]]=0), "", tblPiNHistorical[[#This Row],[Shelter - new]]-tblPiNHistorical[[#This Row],[Shelter - old]])</f>
        <v/>
      </c>
      <c r="AH77" s="313">
        <f>IF(OR(tblPiNHistorical[[#This Row],[WASH - old]]="", tblPiNHistorical[[#This Row],[WASH - old]]=0, tblPiNHistorical[[#This Row],[WASH - new]]="", tblPiNHistorical[[#This Row],[WASH - new]]=0), "", tblPiNHistorical[[#This Row],[WASH - new]]-tblPiNHistorical[[#This Row],[WASH - old]])</f>
        <v>905.46519282705503</v>
      </c>
      <c r="AI77" s="314">
        <f>IFERROR(ROUND((tblPiNHistorical[[#This Row],[CCCM - new]] - tblPiNHistorical[[#This Row],[CCCM - old]])/tblPiNHistorical[[#This Row],[CCCM - old]], 1), "")</f>
        <v>0</v>
      </c>
      <c r="AJ77" s="315">
        <f>IFERROR(ROUND((tblPiNHistorical[[#This Row],[Education - new]]-tblPiNHistorical[[#This Row],[Education - old]])/tblPiNHistorical[[#This Row],[Education - old]], 1), "")</f>
        <v>0.6</v>
      </c>
      <c r="AK77" s="315">
        <f>IFERROR(ROUND((tblPiNHistorical[[#This Row],[Nutrition - new]]-tblPiNHistorical[[#This Row],[Nutrition - old]])/tblPiNHistorical[[#This Row],[Nutrition - old]], 1), "")</f>
        <v>0</v>
      </c>
      <c r="AL77" s="315">
        <f>IFERROR(ROUND((tblPiNHistorical[[#This Row],[Food Security - new]]-tblPiNHistorical[[#This Row],[Food Security - old]])/tblPiNHistorical[[#This Row],[Food Security - old]], 1), "")</f>
        <v>0.1</v>
      </c>
      <c r="AM77" s="315">
        <f>IFERROR(ROUND((tblPiNHistorical[[#This Row],[Health - new]]-tblPiNHistorical[[#This Row],[Health - old]])/tblPiNHistorical[[#This Row],[Health - old]], 1), "")</f>
        <v>0.9</v>
      </c>
      <c r="AN77" s="315">
        <f>IFERROR(ROUND((tblPiNHistorical[[#This Row],[Overarching Protection - new]]-tblPiNHistorical[[#This Row],[Overarching Protection - old]])/tblPiNHistorical[[#This Row],[Overarching Protection - old]], 1), "")</f>
        <v>-0.8</v>
      </c>
      <c r="AO77" s="315">
        <f>IFERROR(ROUND((tblPiNHistorical[[#This Row],[Shelter - new]]-tblPiNHistorical[[#This Row],[Shelter - old]])/tblPiNHistorical[[#This Row],[Shelter - old]], 1), "")</f>
        <v>-1</v>
      </c>
      <c r="AP77" s="37">
        <f>IFERROR(ROUND((tblPiNHistorical[[#This Row],[WASH - new]]-tblPiNHistorical[[#This Row],[WASH - old]])/tblPiNHistorical[[#This Row],[WASH - old]], 1), "")</f>
        <v>0.2</v>
      </c>
    </row>
    <row r="78" spans="1:42">
      <c r="A7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Global_PopulationHT0544</v>
      </c>
      <c r="B78" s="304" t="s">
        <v>287</v>
      </c>
      <c r="C78" s="213" t="s">
        <v>288</v>
      </c>
      <c r="D78" s="213" t="s">
        <v>313</v>
      </c>
      <c r="E78" s="103" t="s">
        <v>314</v>
      </c>
      <c r="F78" s="99"/>
      <c r="G78" s="34"/>
      <c r="H78" s="331"/>
      <c r="I78" s="96">
        <v>37602</v>
      </c>
      <c r="J78" s="241" t="s">
        <v>156</v>
      </c>
      <c r="K78" s="305">
        <v>120</v>
      </c>
      <c r="L78" s="306">
        <v>3903</v>
      </c>
      <c r="M78" s="308">
        <v>3326</v>
      </c>
      <c r="N78" s="308">
        <v>18152</v>
      </c>
      <c r="O78" s="308">
        <v>8237</v>
      </c>
      <c r="P78" s="308">
        <v>7974</v>
      </c>
      <c r="Q78" s="309">
        <v>12000</v>
      </c>
      <c r="R78" s="308">
        <v>3326.5987392491234</v>
      </c>
      <c r="S78" s="308">
        <f>IFERROR(INDEX(tblPiNAnalysis[CCCM], MATCH(tblPiNHistorical[[#This Row],[ID]], tblPiNAnalysis[ID], 0)), "")</f>
        <v>475.5</v>
      </c>
      <c r="T78" s="310">
        <f>IFERROR(INDEX(tblPiNAnalysis[Education], MATCH(tblPiNHistorical[[#This Row],[ID]], tblPiNAnalysis[ID], 0)), "")</f>
        <v>6054</v>
      </c>
      <c r="U78" s="308">
        <f>IFERROR(INDEX(tblPiNAnalysis[Nutrition], MATCH(tblPiNHistorical[[#This Row],[ID]], tblPiNAnalysis[ID], 0)), "")</f>
        <v>3353</v>
      </c>
      <c r="V78" s="308">
        <f>IFERROR(INDEX(tblPiNAnalysis[Food Security], MATCH(tblPiNHistorical[[#This Row],[ID]], tblPiNAnalysis[ID], 0)), "")</f>
        <v>19839</v>
      </c>
      <c r="W78" s="308">
        <f>IFERROR(INDEX(tblPiNAnalysis[Health], MATCH(tblPiNHistorical[[#This Row],[ID]], tblPiNAnalysis[ID], 0)), "")</f>
        <v>19399.401461829653</v>
      </c>
      <c r="X78" s="308">
        <f>IFERROR(INDEX(tblPiNAnalysis[Protection], MATCH(tblPiNHistorical[[#This Row],[ID]], tblPiNAnalysis[ID], 0)), "")</f>
        <v>207.7</v>
      </c>
      <c r="Y78" s="308">
        <f>IFERROR(INDEX(tblPiNAnalysis[Shelter], MATCH(tblPiNHistorical[[#This Row],[ID]], tblPiNAnalysis[ID], 0)), "")</f>
        <v>0</v>
      </c>
      <c r="Z78" s="308">
        <f>IFERROR(INDEX(tblPiNAnalysis[WASH], MATCH(tblPiNHistorical[[#This Row],[ID]], tblPiNAnalysis[ID], 0)), "")</f>
        <v>9401</v>
      </c>
      <c r="AA78" s="311">
        <f>IF(OR(tblPiNHistorical[[#This Row],[CCCM - old]]="", tblPiNHistorical[[#This Row],[CCCM - old]]=0, tblPiNHistorical[[#This Row],[CCCM - new]]="", tblPiNHistorical[[#This Row],[CCCM - new]]=0), "", tblPiNHistorical[[#This Row],[CCCM - new]]-tblPiNHistorical[[#This Row],[CCCM - old]])</f>
        <v>355.5</v>
      </c>
      <c r="AB78" s="312">
        <f>IF(OR(tblPiNHistorical[[#This Row],[Education - old]]="", tblPiNHistorical[[#This Row],[Education - old]]=0, tblPiNHistorical[[#This Row],[Education - new]]="", tblPiNHistorical[[#This Row],[Education - new]]=0), "", tblPiNHistorical[[#This Row],[Education - new]]-tblPiNHistorical[[#This Row],[Education - old]])</f>
        <v>2151</v>
      </c>
      <c r="AC78" s="312">
        <f>IF(OR(tblPiNHistorical[[#This Row],[Nutrition - old]]="", tblPiNHistorical[[#This Row],[Nutrition - old]]=0, tblPiNHistorical[[#This Row],[Nutrition - new]]="", tblPiNHistorical[[#This Row],[Nutrition - new]]=0), "", tblPiNHistorical[[#This Row],[Nutrition - new]]-tblPiNHistorical[[#This Row],[Nutrition - old]])</f>
        <v>27</v>
      </c>
      <c r="AD78" s="312">
        <f>IF(OR(tblPiNHistorical[[#This Row],[Food Security - old]]="", tblPiNHistorical[[#This Row],[Food Security - old]]=0, tblPiNHistorical[[#This Row],[Food Security - new]]="", tblPiNHistorical[[#This Row],[Food Security - new]]=0), "", tblPiNHistorical[[#This Row],[Food Security - new]]-tblPiNHistorical[[#This Row],[Food Security - old]])</f>
        <v>1687</v>
      </c>
      <c r="AE78" s="312">
        <f>IF(OR(tblPiNHistorical[[#This Row],[Health - old]]="", tblPiNHistorical[[#This Row],[Health - old]]=0, tblPiNHistorical[[#This Row],[Health - new]]="", tblPiNHistorical[[#This Row],[Health - new]]=0), "", tblPiNHistorical[[#This Row],[Health - new]]-tblPiNHistorical[[#This Row],[Health - old]])</f>
        <v>11162.401461829653</v>
      </c>
      <c r="AF7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-7766.3</v>
      </c>
      <c r="AG78" s="312" t="str">
        <f>IF(OR(tblPiNHistorical[[#This Row],[Shelter - old]]="", tblPiNHistorical[[#This Row],[Shelter - old]]=0, tblPiNHistorical[[#This Row],[Shelter - new]]="", tblPiNHistorical[[#This Row],[Shelter - new]]=0), "", tblPiNHistorical[[#This Row],[Shelter - new]]-tblPiNHistorical[[#This Row],[Shelter - old]])</f>
        <v/>
      </c>
      <c r="AH78" s="313">
        <f>IF(OR(tblPiNHistorical[[#This Row],[WASH - old]]="", tblPiNHistorical[[#This Row],[WASH - old]]=0, tblPiNHistorical[[#This Row],[WASH - new]]="", tblPiNHistorical[[#This Row],[WASH - new]]=0), "", tblPiNHistorical[[#This Row],[WASH - new]]-tblPiNHistorical[[#This Row],[WASH - old]])</f>
        <v>6074.4012607508766</v>
      </c>
      <c r="AI78" s="314">
        <f>IFERROR(ROUND((tblPiNHistorical[[#This Row],[CCCM - new]] - tblPiNHistorical[[#This Row],[CCCM - old]])/tblPiNHistorical[[#This Row],[CCCM - old]], 1), "")</f>
        <v>3</v>
      </c>
      <c r="AJ78" s="315">
        <f>IFERROR(ROUND((tblPiNHistorical[[#This Row],[Education - new]]-tblPiNHistorical[[#This Row],[Education - old]])/tblPiNHistorical[[#This Row],[Education - old]], 1), "")</f>
        <v>0.6</v>
      </c>
      <c r="AK78" s="315">
        <f>IFERROR(ROUND((tblPiNHistorical[[#This Row],[Nutrition - new]]-tblPiNHistorical[[#This Row],[Nutrition - old]])/tblPiNHistorical[[#This Row],[Nutrition - old]], 1), "")</f>
        <v>0</v>
      </c>
      <c r="AL78" s="315">
        <f>IFERROR(ROUND((tblPiNHistorical[[#This Row],[Food Security - new]]-tblPiNHistorical[[#This Row],[Food Security - old]])/tblPiNHistorical[[#This Row],[Food Security - old]], 1), "")</f>
        <v>0.1</v>
      </c>
      <c r="AM78" s="315">
        <f>IFERROR(ROUND((tblPiNHistorical[[#This Row],[Health - new]]-tblPiNHistorical[[#This Row],[Health - old]])/tblPiNHistorical[[#This Row],[Health - old]], 1), "")</f>
        <v>1.4</v>
      </c>
      <c r="AN78" s="315">
        <f>IFERROR(ROUND((tblPiNHistorical[[#This Row],[Overarching Protection - new]]-tblPiNHistorical[[#This Row],[Overarching Protection - old]])/tblPiNHistorical[[#This Row],[Overarching Protection - old]], 1), "")</f>
        <v>-1</v>
      </c>
      <c r="AO78" s="315">
        <f>IFERROR(ROUND((tblPiNHistorical[[#This Row],[Shelter - new]]-tblPiNHistorical[[#This Row],[Shelter - old]])/tblPiNHistorical[[#This Row],[Shelter - old]], 1), "")</f>
        <v>-1</v>
      </c>
      <c r="AP78" s="37">
        <f>IFERROR(ROUND((tblPiNHistorical[[#This Row],[WASH - new]]-tblPiNHistorical[[#This Row],[WASH - old]])/tblPiNHistorical[[#This Row],[WASH - old]], 1), "")</f>
        <v>1.8</v>
      </c>
    </row>
    <row r="79" spans="1:42">
      <c r="A7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Global_PopulationHT0551</v>
      </c>
      <c r="B79" s="304" t="s">
        <v>287</v>
      </c>
      <c r="C79" s="213" t="s">
        <v>288</v>
      </c>
      <c r="D79" s="213" t="s">
        <v>315</v>
      </c>
      <c r="E79" s="103" t="s">
        <v>316</v>
      </c>
      <c r="F79" s="99"/>
      <c r="G79" s="34"/>
      <c r="H79" s="331"/>
      <c r="I79" s="96">
        <v>154615</v>
      </c>
      <c r="J79" s="241" t="s">
        <v>156</v>
      </c>
      <c r="K79" s="305">
        <v>2607</v>
      </c>
      <c r="L79" s="306">
        <v>19315</v>
      </c>
      <c r="M79" s="308">
        <v>14702</v>
      </c>
      <c r="N79" s="308">
        <v>81984</v>
      </c>
      <c r="O79" s="308">
        <v>38075</v>
      </c>
      <c r="P79" s="308">
        <v>21892</v>
      </c>
      <c r="Q79" s="309">
        <v>75000</v>
      </c>
      <c r="R79" s="308">
        <v>67181.518349329795</v>
      </c>
      <c r="S79" s="308">
        <f>IFERROR(INDEX(tblPiNAnalysis[CCCM], MATCH(tblPiNHistorical[[#This Row],[ID]], tblPiNAnalysis[ID], 0)), "")</f>
        <v>17863.5</v>
      </c>
      <c r="T79" s="310">
        <f>IFERROR(INDEX(tblPiNAnalysis[Education], MATCH(tblPiNHistorical[[#This Row],[ID]], tblPiNAnalysis[ID], 0)), "")</f>
        <v>29083</v>
      </c>
      <c r="U79" s="308">
        <f>IFERROR(INDEX(tblPiNAnalysis[Nutrition], MATCH(tblPiNHistorical[[#This Row],[ID]], tblPiNAnalysis[ID], 0)), "")</f>
        <v>15698</v>
      </c>
      <c r="V79" s="308">
        <f>IFERROR(INDEX(tblPiNAnalysis[Food Security], MATCH(tblPiNHistorical[[#This Row],[ID]], tblPiNAnalysis[ID], 0)), "")</f>
        <v>94606</v>
      </c>
      <c r="W79" s="308">
        <f>IFERROR(INDEX(tblPiNAnalysis[Health], MATCH(tblPiNHistorical[[#This Row],[ID]], tblPiNAnalysis[ID], 0)), "")</f>
        <v>102402.52618295033</v>
      </c>
      <c r="X79" s="308">
        <f>IFERROR(INDEX(tblPiNAnalysis[Protection], MATCH(tblPiNHistorical[[#This Row],[ID]], tblPiNAnalysis[ID], 0)), "")</f>
        <v>26391.817073170732</v>
      </c>
      <c r="Y79" s="308">
        <f>IFERROR(INDEX(tblPiNAnalysis[Shelter], MATCH(tblPiNHistorical[[#This Row],[ID]], tblPiNAnalysis[ID], 0)), "")</f>
        <v>78384</v>
      </c>
      <c r="Z79" s="308">
        <f>IFERROR(INDEX(tblPiNAnalysis[WASH], MATCH(tblPiNHistorical[[#This Row],[ID]], tblPiNAnalysis[ID], 0)), "")</f>
        <v>81172.875</v>
      </c>
      <c r="AA79" s="311">
        <f>IF(OR(tblPiNHistorical[[#This Row],[CCCM - old]]="", tblPiNHistorical[[#This Row],[CCCM - old]]=0, tblPiNHistorical[[#This Row],[CCCM - new]]="", tblPiNHistorical[[#This Row],[CCCM - new]]=0), "", tblPiNHistorical[[#This Row],[CCCM - new]]-tblPiNHistorical[[#This Row],[CCCM - old]])</f>
        <v>15256.5</v>
      </c>
      <c r="AB79" s="312">
        <f>IF(OR(tblPiNHistorical[[#This Row],[Education - old]]="", tblPiNHistorical[[#This Row],[Education - old]]=0, tblPiNHistorical[[#This Row],[Education - new]]="", tblPiNHistorical[[#This Row],[Education - new]]=0), "", tblPiNHistorical[[#This Row],[Education - new]]-tblPiNHistorical[[#This Row],[Education - old]])</f>
        <v>9768</v>
      </c>
      <c r="AC79" s="312">
        <f>IF(OR(tblPiNHistorical[[#This Row],[Nutrition - old]]="", tblPiNHistorical[[#This Row],[Nutrition - old]]=0, tblPiNHistorical[[#This Row],[Nutrition - new]]="", tblPiNHistorical[[#This Row],[Nutrition - new]]=0), "", tblPiNHistorical[[#This Row],[Nutrition - new]]-tblPiNHistorical[[#This Row],[Nutrition - old]])</f>
        <v>996</v>
      </c>
      <c r="AD79" s="312">
        <f>IF(OR(tblPiNHistorical[[#This Row],[Food Security - old]]="", tblPiNHistorical[[#This Row],[Food Security - old]]=0, tblPiNHistorical[[#This Row],[Food Security - new]]="", tblPiNHistorical[[#This Row],[Food Security - new]]=0), "", tblPiNHistorical[[#This Row],[Food Security - new]]-tblPiNHistorical[[#This Row],[Food Security - old]])</f>
        <v>12622</v>
      </c>
      <c r="AE79" s="312">
        <f>IF(OR(tblPiNHistorical[[#This Row],[Health - old]]="", tblPiNHistorical[[#This Row],[Health - old]]=0, tblPiNHistorical[[#This Row],[Health - new]]="", tblPiNHistorical[[#This Row],[Health - new]]=0), "", tblPiNHistorical[[#This Row],[Health - new]]-tblPiNHistorical[[#This Row],[Health - old]])</f>
        <v>64327.526182950329</v>
      </c>
      <c r="AF7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4499.8170731707323</v>
      </c>
      <c r="AG79" s="312">
        <f>IF(OR(tblPiNHistorical[[#This Row],[Shelter - old]]="", tblPiNHistorical[[#This Row],[Shelter - old]]=0, tblPiNHistorical[[#This Row],[Shelter - new]]="", tblPiNHistorical[[#This Row],[Shelter - new]]=0), "", tblPiNHistorical[[#This Row],[Shelter - new]]-tblPiNHistorical[[#This Row],[Shelter - old]])</f>
        <v>3384</v>
      </c>
      <c r="AH79" s="313">
        <f>IF(OR(tblPiNHistorical[[#This Row],[WASH - old]]="", tblPiNHistorical[[#This Row],[WASH - old]]=0, tblPiNHistorical[[#This Row],[WASH - new]]="", tblPiNHistorical[[#This Row],[WASH - new]]=0), "", tblPiNHistorical[[#This Row],[WASH - new]]-tblPiNHistorical[[#This Row],[WASH - old]])</f>
        <v>13991.356650670205</v>
      </c>
      <c r="AI79" s="314">
        <f>IFERROR(ROUND((tblPiNHistorical[[#This Row],[CCCM - new]] - tblPiNHistorical[[#This Row],[CCCM - old]])/tblPiNHistorical[[#This Row],[CCCM - old]], 1), "")</f>
        <v>5.9</v>
      </c>
      <c r="AJ79" s="315">
        <f>IFERROR(ROUND((tblPiNHistorical[[#This Row],[Education - new]]-tblPiNHistorical[[#This Row],[Education - old]])/tblPiNHistorical[[#This Row],[Education - old]], 1), "")</f>
        <v>0.5</v>
      </c>
      <c r="AK79" s="315">
        <f>IFERROR(ROUND((tblPiNHistorical[[#This Row],[Nutrition - new]]-tblPiNHistorical[[#This Row],[Nutrition - old]])/tblPiNHistorical[[#This Row],[Nutrition - old]], 1), "")</f>
        <v>0.1</v>
      </c>
      <c r="AL79" s="315">
        <f>IFERROR(ROUND((tblPiNHistorical[[#This Row],[Food Security - new]]-tblPiNHistorical[[#This Row],[Food Security - old]])/tblPiNHistorical[[#This Row],[Food Security - old]], 1), "")</f>
        <v>0.2</v>
      </c>
      <c r="AM79" s="315">
        <f>IFERROR(ROUND((tblPiNHistorical[[#This Row],[Health - new]]-tblPiNHistorical[[#This Row],[Health - old]])/tblPiNHistorical[[#This Row],[Health - old]], 1), "")</f>
        <v>1.7</v>
      </c>
      <c r="AN79" s="315">
        <f>IFERROR(ROUND((tblPiNHistorical[[#This Row],[Overarching Protection - new]]-tblPiNHistorical[[#This Row],[Overarching Protection - old]])/tblPiNHistorical[[#This Row],[Overarching Protection - old]], 1), "")</f>
        <v>0.2</v>
      </c>
      <c r="AO79" s="315">
        <f>IFERROR(ROUND((tblPiNHistorical[[#This Row],[Shelter - new]]-tblPiNHistorical[[#This Row],[Shelter - old]])/tblPiNHistorical[[#This Row],[Shelter - old]], 1), "")</f>
        <v>0</v>
      </c>
      <c r="AP79" s="37">
        <f>IFERROR(ROUND((tblPiNHistorical[[#This Row],[WASH - new]]-tblPiNHistorical[[#This Row],[WASH - old]])/tblPiNHistorical[[#This Row],[WASH - old]], 1), "")</f>
        <v>0.2</v>
      </c>
    </row>
    <row r="80" spans="1:42">
      <c r="A8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Global_PopulationHT0552</v>
      </c>
      <c r="B80" s="304" t="s">
        <v>287</v>
      </c>
      <c r="C80" s="213" t="s">
        <v>288</v>
      </c>
      <c r="D80" s="213" t="s">
        <v>317</v>
      </c>
      <c r="E80" s="103" t="s">
        <v>318</v>
      </c>
      <c r="F80" s="99"/>
      <c r="G80" s="34"/>
      <c r="H80" s="331"/>
      <c r="I80" s="96">
        <v>39659</v>
      </c>
      <c r="J80" s="241" t="s">
        <v>156</v>
      </c>
      <c r="K80" s="305">
        <v>1500</v>
      </c>
      <c r="L80" s="306">
        <v>5050</v>
      </c>
      <c r="M80" s="308">
        <v>3358</v>
      </c>
      <c r="N80" s="308">
        <v>20730</v>
      </c>
      <c r="O80" s="308">
        <v>11685</v>
      </c>
      <c r="P80" s="308">
        <v>2913</v>
      </c>
      <c r="Q80" s="309">
        <v>19000</v>
      </c>
      <c r="R80" s="308">
        <v>24411.5460715267</v>
      </c>
      <c r="S80" s="308">
        <f>IFERROR(INDEX(tblPiNAnalysis[CCCM], MATCH(tblPiNHistorical[[#This Row],[ID]], tblPiNAnalysis[ID], 0)), "")</f>
        <v>1740</v>
      </c>
      <c r="T80" s="310">
        <f>IFERROR(INDEX(tblPiNAnalysis[Education], MATCH(tblPiNHistorical[[#This Row],[ID]], tblPiNAnalysis[ID], 0)), "")</f>
        <v>7388</v>
      </c>
      <c r="U80" s="308">
        <f>IFERROR(INDEX(tblPiNAnalysis[Nutrition], MATCH(tblPiNHistorical[[#This Row],[ID]], tblPiNAnalysis[ID], 0)), "")</f>
        <v>3455</v>
      </c>
      <c r="V80" s="308">
        <f>IFERROR(INDEX(tblPiNAnalysis[Food Security], MATCH(tblPiNHistorical[[#This Row],[ID]], tblPiNAnalysis[ID], 0)), "")</f>
        <v>23921</v>
      </c>
      <c r="W80" s="308">
        <f>IFERROR(INDEX(tblPiNAnalysis[Health], MATCH(tblPiNHistorical[[#This Row],[ID]], tblPiNAnalysis[ID], 0)), "")</f>
        <v>2476.6710413793107</v>
      </c>
      <c r="X80" s="308">
        <f>IFERROR(INDEX(tblPiNAnalysis[Protection], MATCH(tblPiNHistorical[[#This Row],[ID]], tblPiNAnalysis[ID], 0)), "")</f>
        <v>3252.8399999999997</v>
      </c>
      <c r="Y80" s="308">
        <f>IFERROR(INDEX(tblPiNAnalysis[Shelter], MATCH(tblPiNHistorical[[#This Row],[ID]], tblPiNAnalysis[ID], 0)), "")</f>
        <v>21631</v>
      </c>
      <c r="Z80" s="308">
        <f>IFERROR(INDEX(tblPiNAnalysis[WASH], MATCH(tblPiNHistorical[[#This Row],[ID]], tblPiNAnalysis[ID], 0)), "")</f>
        <v>19829.5</v>
      </c>
      <c r="AA80" s="311">
        <f>IF(OR(tblPiNHistorical[[#This Row],[CCCM - old]]="", tblPiNHistorical[[#This Row],[CCCM - old]]=0, tblPiNHistorical[[#This Row],[CCCM - new]]="", tblPiNHistorical[[#This Row],[CCCM - new]]=0), "", tblPiNHistorical[[#This Row],[CCCM - new]]-tblPiNHistorical[[#This Row],[CCCM - old]])</f>
        <v>240</v>
      </c>
      <c r="AB80" s="312">
        <f>IF(OR(tblPiNHistorical[[#This Row],[Education - old]]="", tblPiNHistorical[[#This Row],[Education - old]]=0, tblPiNHistorical[[#This Row],[Education - new]]="", tblPiNHistorical[[#This Row],[Education - new]]=0), "", tblPiNHistorical[[#This Row],[Education - new]]-tblPiNHistorical[[#This Row],[Education - old]])</f>
        <v>2338</v>
      </c>
      <c r="AC80" s="312">
        <f>IF(OR(tblPiNHistorical[[#This Row],[Nutrition - old]]="", tblPiNHistorical[[#This Row],[Nutrition - old]]=0, tblPiNHistorical[[#This Row],[Nutrition - new]]="", tblPiNHistorical[[#This Row],[Nutrition - new]]=0), "", tblPiNHistorical[[#This Row],[Nutrition - new]]-tblPiNHistorical[[#This Row],[Nutrition - old]])</f>
        <v>97</v>
      </c>
      <c r="AD80" s="312">
        <f>IF(OR(tblPiNHistorical[[#This Row],[Food Security - old]]="", tblPiNHistorical[[#This Row],[Food Security - old]]=0, tblPiNHistorical[[#This Row],[Food Security - new]]="", tblPiNHistorical[[#This Row],[Food Security - new]]=0), "", tblPiNHistorical[[#This Row],[Food Security - new]]-tblPiNHistorical[[#This Row],[Food Security - old]])</f>
        <v>3191</v>
      </c>
      <c r="AE80" s="312">
        <f>IF(OR(tblPiNHistorical[[#This Row],[Health - old]]="", tblPiNHistorical[[#This Row],[Health - old]]=0, tblPiNHistorical[[#This Row],[Health - new]]="", tblPiNHistorical[[#This Row],[Health - new]]=0), "", tblPiNHistorical[[#This Row],[Health - new]]-tblPiNHistorical[[#This Row],[Health - old]])</f>
        <v>-9208.3289586206884</v>
      </c>
      <c r="AF8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339.83999999999969</v>
      </c>
      <c r="AG80" s="312">
        <f>IF(OR(tblPiNHistorical[[#This Row],[Shelter - old]]="", tblPiNHistorical[[#This Row],[Shelter - old]]=0, tblPiNHistorical[[#This Row],[Shelter - new]]="", tblPiNHistorical[[#This Row],[Shelter - new]]=0), "", tblPiNHistorical[[#This Row],[Shelter - new]]-tblPiNHistorical[[#This Row],[Shelter - old]])</f>
        <v>2631</v>
      </c>
      <c r="AH80" s="313">
        <f>IF(OR(tblPiNHistorical[[#This Row],[WASH - old]]="", tblPiNHistorical[[#This Row],[WASH - old]]=0, tblPiNHistorical[[#This Row],[WASH - new]]="", tblPiNHistorical[[#This Row],[WASH - new]]=0), "", tblPiNHistorical[[#This Row],[WASH - new]]-tblPiNHistorical[[#This Row],[WASH - old]])</f>
        <v>-4582.0460715267</v>
      </c>
      <c r="AI80" s="314">
        <f>IFERROR(ROUND((tblPiNHistorical[[#This Row],[CCCM - new]] - tblPiNHistorical[[#This Row],[CCCM - old]])/tblPiNHistorical[[#This Row],[CCCM - old]], 1), "")</f>
        <v>0.2</v>
      </c>
      <c r="AJ80" s="315">
        <f>IFERROR(ROUND((tblPiNHistorical[[#This Row],[Education - new]]-tblPiNHistorical[[#This Row],[Education - old]])/tblPiNHistorical[[#This Row],[Education - old]], 1), "")</f>
        <v>0.5</v>
      </c>
      <c r="AK80" s="315">
        <f>IFERROR(ROUND((tblPiNHistorical[[#This Row],[Nutrition - new]]-tblPiNHistorical[[#This Row],[Nutrition - old]])/tblPiNHistorical[[#This Row],[Nutrition - old]], 1), "")</f>
        <v>0</v>
      </c>
      <c r="AL80" s="315">
        <f>IFERROR(ROUND((tblPiNHistorical[[#This Row],[Food Security - new]]-tblPiNHistorical[[#This Row],[Food Security - old]])/tblPiNHistorical[[#This Row],[Food Security - old]], 1), "")</f>
        <v>0.2</v>
      </c>
      <c r="AM80" s="315">
        <f>IFERROR(ROUND((tblPiNHistorical[[#This Row],[Health - new]]-tblPiNHistorical[[#This Row],[Health - old]])/tblPiNHistorical[[#This Row],[Health - old]], 1), "")</f>
        <v>-0.8</v>
      </c>
      <c r="AN80" s="315">
        <f>IFERROR(ROUND((tblPiNHistorical[[#This Row],[Overarching Protection - new]]-tblPiNHistorical[[#This Row],[Overarching Protection - old]])/tblPiNHistorical[[#This Row],[Overarching Protection - old]], 1), "")</f>
        <v>0.1</v>
      </c>
      <c r="AO80" s="315">
        <f>IFERROR(ROUND((tblPiNHistorical[[#This Row],[Shelter - new]]-tblPiNHistorical[[#This Row],[Shelter - old]])/tblPiNHistorical[[#This Row],[Shelter - old]], 1), "")</f>
        <v>0.1</v>
      </c>
      <c r="AP80" s="37">
        <f>IFERROR(ROUND((tblPiNHistorical[[#This Row],[WASH - new]]-tblPiNHistorical[[#This Row],[WASH - old]])/tblPiNHistorical[[#This Row],[WASH - old]], 1), "")</f>
        <v>-0.2</v>
      </c>
    </row>
    <row r="81" spans="1:42">
      <c r="A8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Global_PopulationHT0611</v>
      </c>
      <c r="B81" s="304" t="s">
        <v>319</v>
      </c>
      <c r="C81" s="213" t="s">
        <v>320</v>
      </c>
      <c r="D81" s="213" t="s">
        <v>321</v>
      </c>
      <c r="E81" s="103" t="s">
        <v>322</v>
      </c>
      <c r="F81" s="99"/>
      <c r="G81" s="34"/>
      <c r="H81" s="331"/>
      <c r="I81" s="96">
        <v>163137</v>
      </c>
      <c r="J81" s="241" t="s">
        <v>156</v>
      </c>
      <c r="K81" s="305">
        <v>11118</v>
      </c>
      <c r="L81" s="306">
        <v>21199</v>
      </c>
      <c r="M81" s="308">
        <v>13317</v>
      </c>
      <c r="N81" s="308">
        <v>86213</v>
      </c>
      <c r="O81" s="308">
        <v>59667</v>
      </c>
      <c r="P81" s="308">
        <v>26900</v>
      </c>
      <c r="Q81" s="309">
        <v>63880</v>
      </c>
      <c r="R81" s="308">
        <v>56560.224336713305</v>
      </c>
      <c r="S81" s="308">
        <f>IFERROR(INDEX(tblPiNAnalysis[CCCM], MATCH(tblPiNHistorical[[#This Row],[ID]], tblPiNAnalysis[ID], 0)), "")</f>
        <v>51927</v>
      </c>
      <c r="T81" s="310">
        <f>IFERROR(INDEX(tblPiNAnalysis[Education], MATCH(tblPiNHistorical[[#This Row],[ID]], tblPiNAnalysis[ID], 0)), "")</f>
        <v>30134</v>
      </c>
      <c r="U81" s="308">
        <f>IFERROR(INDEX(tblPiNAnalysis[Nutrition], MATCH(tblPiNHistorical[[#This Row],[ID]], tblPiNAnalysis[ID], 0)), "")</f>
        <v>15910</v>
      </c>
      <c r="V81" s="308">
        <f>IFERROR(INDEX(tblPiNAnalysis[Food Security], MATCH(tblPiNHistorical[[#This Row],[ID]], tblPiNAnalysis[ID], 0)), "")</f>
        <v>77761</v>
      </c>
      <c r="W81" s="308">
        <f>IFERROR(INDEX(tblPiNAnalysis[Health], MATCH(tblPiNHistorical[[#This Row],[ID]], tblPiNAnalysis[ID], 0)), "")</f>
        <v>63066.289696516265</v>
      </c>
      <c r="X81" s="308">
        <f>IFERROR(INDEX(tblPiNAnalysis[Protection], MATCH(tblPiNHistorical[[#This Row],[ID]], tblPiNAnalysis[ID], 0)), "")</f>
        <v>76492.140714285721</v>
      </c>
      <c r="Y81" s="308">
        <f>IFERROR(INDEX(tblPiNAnalysis[Shelter], MATCH(tblPiNHistorical[[#This Row],[ID]], tblPiNAnalysis[ID], 0)), "")</f>
        <v>71005</v>
      </c>
      <c r="Z81" s="308">
        <f>IFERROR(INDEX(tblPiNAnalysis[WASH], MATCH(tblPiNHistorical[[#This Row],[ID]], tblPiNAnalysis[ID], 0)), "")</f>
        <v>49320.488372093023</v>
      </c>
      <c r="AA81" s="311">
        <f>IF(OR(tblPiNHistorical[[#This Row],[CCCM - old]]="", tblPiNHistorical[[#This Row],[CCCM - old]]=0, tblPiNHistorical[[#This Row],[CCCM - new]]="", tblPiNHistorical[[#This Row],[CCCM - new]]=0), "", tblPiNHistorical[[#This Row],[CCCM - new]]-tblPiNHistorical[[#This Row],[CCCM - old]])</f>
        <v>40809</v>
      </c>
      <c r="AB81" s="312">
        <f>IF(OR(tblPiNHistorical[[#This Row],[Education - old]]="", tblPiNHistorical[[#This Row],[Education - old]]=0, tblPiNHistorical[[#This Row],[Education - new]]="", tblPiNHistorical[[#This Row],[Education - new]]=0), "", tblPiNHistorical[[#This Row],[Education - new]]-tblPiNHistorical[[#This Row],[Education - old]])</f>
        <v>8935</v>
      </c>
      <c r="AC81" s="312">
        <f>IF(OR(tblPiNHistorical[[#This Row],[Nutrition - old]]="", tblPiNHistorical[[#This Row],[Nutrition - old]]=0, tblPiNHistorical[[#This Row],[Nutrition - new]]="", tblPiNHistorical[[#This Row],[Nutrition - new]]=0), "", tblPiNHistorical[[#This Row],[Nutrition - new]]-tblPiNHistorical[[#This Row],[Nutrition - old]])</f>
        <v>2593</v>
      </c>
      <c r="AD81" s="312">
        <f>IF(OR(tblPiNHistorical[[#This Row],[Food Security - old]]="", tblPiNHistorical[[#This Row],[Food Security - old]]=0, tblPiNHistorical[[#This Row],[Food Security - new]]="", tblPiNHistorical[[#This Row],[Food Security - new]]=0), "", tblPiNHistorical[[#This Row],[Food Security - new]]-tblPiNHistorical[[#This Row],[Food Security - old]])</f>
        <v>-8452</v>
      </c>
      <c r="AE81" s="312">
        <f>IF(OR(tblPiNHistorical[[#This Row],[Health - old]]="", tblPiNHistorical[[#This Row],[Health - old]]=0, tblPiNHistorical[[#This Row],[Health - new]]="", tblPiNHistorical[[#This Row],[Health - new]]=0), "", tblPiNHistorical[[#This Row],[Health - new]]-tblPiNHistorical[[#This Row],[Health - old]])</f>
        <v>3399.2896965162654</v>
      </c>
      <c r="AF8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49592.140714285721</v>
      </c>
      <c r="AG81" s="312">
        <f>IF(OR(tblPiNHistorical[[#This Row],[Shelter - old]]="", tblPiNHistorical[[#This Row],[Shelter - old]]=0, tblPiNHistorical[[#This Row],[Shelter - new]]="", tblPiNHistorical[[#This Row],[Shelter - new]]=0), "", tblPiNHistorical[[#This Row],[Shelter - new]]-tblPiNHistorical[[#This Row],[Shelter - old]])</f>
        <v>7125</v>
      </c>
      <c r="AH81" s="313">
        <f>IF(OR(tblPiNHistorical[[#This Row],[WASH - old]]="", tblPiNHistorical[[#This Row],[WASH - old]]=0, tblPiNHistorical[[#This Row],[WASH - new]]="", tblPiNHistorical[[#This Row],[WASH - new]]=0), "", tblPiNHistorical[[#This Row],[WASH - new]]-tblPiNHistorical[[#This Row],[WASH - old]])</f>
        <v>-7239.7359646202822</v>
      </c>
      <c r="AI81" s="314">
        <f>IFERROR(ROUND((tblPiNHistorical[[#This Row],[CCCM - new]] - tblPiNHistorical[[#This Row],[CCCM - old]])/tblPiNHistorical[[#This Row],[CCCM - old]], 1), "")</f>
        <v>3.7</v>
      </c>
      <c r="AJ81" s="315">
        <f>IFERROR(ROUND((tblPiNHistorical[[#This Row],[Education - new]]-tblPiNHistorical[[#This Row],[Education - old]])/tblPiNHistorical[[#This Row],[Education - old]], 1), "")</f>
        <v>0.4</v>
      </c>
      <c r="AK81" s="315">
        <f>IFERROR(ROUND((tblPiNHistorical[[#This Row],[Nutrition - new]]-tblPiNHistorical[[#This Row],[Nutrition - old]])/tblPiNHistorical[[#This Row],[Nutrition - old]], 1), "")</f>
        <v>0.2</v>
      </c>
      <c r="AL81" s="315">
        <f>IFERROR(ROUND((tblPiNHistorical[[#This Row],[Food Security - new]]-tblPiNHistorical[[#This Row],[Food Security - old]])/tblPiNHistorical[[#This Row],[Food Security - old]], 1), "")</f>
        <v>-0.1</v>
      </c>
      <c r="AM81" s="315">
        <f>IFERROR(ROUND((tblPiNHistorical[[#This Row],[Health - new]]-tblPiNHistorical[[#This Row],[Health - old]])/tblPiNHistorical[[#This Row],[Health - old]], 1), "")</f>
        <v>0.1</v>
      </c>
      <c r="AN81" s="315">
        <f>IFERROR(ROUND((tblPiNHistorical[[#This Row],[Overarching Protection - new]]-tblPiNHistorical[[#This Row],[Overarching Protection - old]])/tblPiNHistorical[[#This Row],[Overarching Protection - old]], 1), "")</f>
        <v>1.8</v>
      </c>
      <c r="AO81" s="315">
        <f>IFERROR(ROUND((tblPiNHistorical[[#This Row],[Shelter - new]]-tblPiNHistorical[[#This Row],[Shelter - old]])/tblPiNHistorical[[#This Row],[Shelter - old]], 1), "")</f>
        <v>0.1</v>
      </c>
      <c r="AP81" s="37">
        <f>IFERROR(ROUND((tblPiNHistorical[[#This Row],[WASH - new]]-tblPiNHistorical[[#This Row],[WASH - old]])/tblPiNHistorical[[#This Row],[WASH - old]], 1), "")</f>
        <v>-0.1</v>
      </c>
    </row>
    <row r="82" spans="1:42">
      <c r="A8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Global_PopulationHT0612</v>
      </c>
      <c r="B82" s="304" t="s">
        <v>319</v>
      </c>
      <c r="C82" s="213" t="s">
        <v>320</v>
      </c>
      <c r="D82" s="213" t="s">
        <v>323</v>
      </c>
      <c r="E82" s="103" t="s">
        <v>324</v>
      </c>
      <c r="F82" s="99"/>
      <c r="G82" s="34"/>
      <c r="H82" s="331"/>
      <c r="I82" s="96">
        <v>78577</v>
      </c>
      <c r="J82" s="241" t="s">
        <v>156</v>
      </c>
      <c r="K82" s="305">
        <v>4001</v>
      </c>
      <c r="L82" s="306">
        <v>10657</v>
      </c>
      <c r="M82" s="308">
        <v>6216</v>
      </c>
      <c r="N82" s="308">
        <v>32106</v>
      </c>
      <c r="O82" s="308">
        <v>24670</v>
      </c>
      <c r="P82" s="308">
        <v>11931</v>
      </c>
      <c r="Q82" s="309">
        <v>18323</v>
      </c>
      <c r="R82" s="308">
        <v>16125.730992716382</v>
      </c>
      <c r="S82" s="308">
        <f>IFERROR(INDEX(tblPiNAnalysis[CCCM], MATCH(tblPiNHistorical[[#This Row],[ID]], tblPiNAnalysis[ID], 0)), "")</f>
        <v>8542.5</v>
      </c>
      <c r="T82" s="310">
        <f>IFERROR(INDEX(tblPiNAnalysis[Education], MATCH(tblPiNHistorical[[#This Row],[ID]], tblPiNAnalysis[ID], 0)), "")</f>
        <v>15557</v>
      </c>
      <c r="U82" s="308">
        <f>IFERROR(INDEX(tblPiNAnalysis[Nutrition], MATCH(tblPiNHistorical[[#This Row],[ID]], tblPiNAnalysis[ID], 0)), "")</f>
        <v>6643</v>
      </c>
      <c r="V82" s="308">
        <f>IFERROR(INDEX(tblPiNAnalysis[Food Security], MATCH(tblPiNHistorical[[#This Row],[ID]], tblPiNAnalysis[ID], 0)), "")</f>
        <v>37921</v>
      </c>
      <c r="W82" s="308">
        <f>IFERROR(INDEX(tblPiNAnalysis[Health], MATCH(tblPiNHistorical[[#This Row],[ID]], tblPiNAnalysis[ID], 0)), "")</f>
        <v>11614.991614925373</v>
      </c>
      <c r="X82" s="308">
        <f>IFERROR(INDEX(tblPiNAnalysis[Protection], MATCH(tblPiNHistorical[[#This Row],[ID]], tblPiNAnalysis[ID], 0)), "")</f>
        <v>15260</v>
      </c>
      <c r="Y82" s="308">
        <f>IFERROR(INDEX(tblPiNAnalysis[Shelter], MATCH(tblPiNHistorical[[#This Row],[ID]], tblPiNAnalysis[ID], 0)), "")</f>
        <v>40703</v>
      </c>
      <c r="Z82" s="308">
        <f>IFERROR(INDEX(tblPiNAnalysis[WASH], MATCH(tblPiNHistorical[[#This Row],[ID]], tblPiNAnalysis[ID], 0)), "")</f>
        <v>41744.03125</v>
      </c>
      <c r="AA82" s="311">
        <f>IF(OR(tblPiNHistorical[[#This Row],[CCCM - old]]="", tblPiNHistorical[[#This Row],[CCCM - old]]=0, tblPiNHistorical[[#This Row],[CCCM - new]]="", tblPiNHistorical[[#This Row],[CCCM - new]]=0), "", tblPiNHistorical[[#This Row],[CCCM - new]]-tblPiNHistorical[[#This Row],[CCCM - old]])</f>
        <v>4541.5</v>
      </c>
      <c r="AB82" s="312">
        <f>IF(OR(tblPiNHistorical[[#This Row],[Education - old]]="", tblPiNHistorical[[#This Row],[Education - old]]=0, tblPiNHistorical[[#This Row],[Education - new]]="", tblPiNHistorical[[#This Row],[Education - new]]=0), "", tblPiNHistorical[[#This Row],[Education - new]]-tblPiNHistorical[[#This Row],[Education - old]])</f>
        <v>4900</v>
      </c>
      <c r="AC82" s="312">
        <f>IF(OR(tblPiNHistorical[[#This Row],[Nutrition - old]]="", tblPiNHistorical[[#This Row],[Nutrition - old]]=0, tblPiNHistorical[[#This Row],[Nutrition - new]]="", tblPiNHistorical[[#This Row],[Nutrition - new]]=0), "", tblPiNHistorical[[#This Row],[Nutrition - new]]-tblPiNHistorical[[#This Row],[Nutrition - old]])</f>
        <v>427</v>
      </c>
      <c r="AD82" s="312">
        <f>IF(OR(tblPiNHistorical[[#This Row],[Food Security - old]]="", tblPiNHistorical[[#This Row],[Food Security - old]]=0, tblPiNHistorical[[#This Row],[Food Security - new]]="", tblPiNHistorical[[#This Row],[Food Security - new]]=0), "", tblPiNHistorical[[#This Row],[Food Security - new]]-tblPiNHistorical[[#This Row],[Food Security - old]])</f>
        <v>5815</v>
      </c>
      <c r="AE82" s="312">
        <f>IF(OR(tblPiNHistorical[[#This Row],[Health - old]]="", tblPiNHistorical[[#This Row],[Health - old]]=0, tblPiNHistorical[[#This Row],[Health - new]]="", tblPiNHistorical[[#This Row],[Health - new]]=0), "", tblPiNHistorical[[#This Row],[Health - new]]-tblPiNHistorical[[#This Row],[Health - old]])</f>
        <v>-13055.008385074627</v>
      </c>
      <c r="AF8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3329</v>
      </c>
      <c r="AG82" s="312">
        <f>IF(OR(tblPiNHistorical[[#This Row],[Shelter - old]]="", tblPiNHistorical[[#This Row],[Shelter - old]]=0, tblPiNHistorical[[#This Row],[Shelter - new]]="", tblPiNHistorical[[#This Row],[Shelter - new]]=0), "", tblPiNHistorical[[#This Row],[Shelter - new]]-tblPiNHistorical[[#This Row],[Shelter - old]])</f>
        <v>22380</v>
      </c>
      <c r="AH82" s="313">
        <f>IF(OR(tblPiNHistorical[[#This Row],[WASH - old]]="", tblPiNHistorical[[#This Row],[WASH - old]]=0, tblPiNHistorical[[#This Row],[WASH - new]]="", tblPiNHistorical[[#This Row],[WASH - new]]=0), "", tblPiNHistorical[[#This Row],[WASH - new]]-tblPiNHistorical[[#This Row],[WASH - old]])</f>
        <v>25618.300257283619</v>
      </c>
      <c r="AI82" s="314">
        <f>IFERROR(ROUND((tblPiNHistorical[[#This Row],[CCCM - new]] - tblPiNHistorical[[#This Row],[CCCM - old]])/tblPiNHistorical[[#This Row],[CCCM - old]], 1), "")</f>
        <v>1.1000000000000001</v>
      </c>
      <c r="AJ82" s="315">
        <f>IFERROR(ROUND((tblPiNHistorical[[#This Row],[Education - new]]-tblPiNHistorical[[#This Row],[Education - old]])/tblPiNHistorical[[#This Row],[Education - old]], 1), "")</f>
        <v>0.5</v>
      </c>
      <c r="AK82" s="315">
        <f>IFERROR(ROUND((tblPiNHistorical[[#This Row],[Nutrition - new]]-tblPiNHistorical[[#This Row],[Nutrition - old]])/tblPiNHistorical[[#This Row],[Nutrition - old]], 1), "")</f>
        <v>0.1</v>
      </c>
      <c r="AL82" s="315">
        <f>IFERROR(ROUND((tblPiNHistorical[[#This Row],[Food Security - new]]-tblPiNHistorical[[#This Row],[Food Security - old]])/tblPiNHistorical[[#This Row],[Food Security - old]], 1), "")</f>
        <v>0.2</v>
      </c>
      <c r="AM82" s="315">
        <f>IFERROR(ROUND((tblPiNHistorical[[#This Row],[Health - new]]-tblPiNHistorical[[#This Row],[Health - old]])/tblPiNHistorical[[#This Row],[Health - old]], 1), "")</f>
        <v>-0.5</v>
      </c>
      <c r="AN82" s="315">
        <f>IFERROR(ROUND((tblPiNHistorical[[#This Row],[Overarching Protection - new]]-tblPiNHistorical[[#This Row],[Overarching Protection - old]])/tblPiNHistorical[[#This Row],[Overarching Protection - old]], 1), "")</f>
        <v>0.3</v>
      </c>
      <c r="AO82" s="315">
        <f>IFERROR(ROUND((tblPiNHistorical[[#This Row],[Shelter - new]]-tblPiNHistorical[[#This Row],[Shelter - old]])/tblPiNHistorical[[#This Row],[Shelter - old]], 1), "")</f>
        <v>1.2</v>
      </c>
      <c r="AP82" s="37">
        <f>IFERROR(ROUND((tblPiNHistorical[[#This Row],[WASH - new]]-tblPiNHistorical[[#This Row],[WASH - old]])/tblPiNHistorical[[#This Row],[WASH - old]], 1), "")</f>
        <v>1.6</v>
      </c>
    </row>
    <row r="83" spans="1:42">
      <c r="A8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Global_PopulationHT0613</v>
      </c>
      <c r="B83" s="304" t="s">
        <v>319</v>
      </c>
      <c r="C83" s="213" t="s">
        <v>320</v>
      </c>
      <c r="D83" s="213" t="s">
        <v>325</v>
      </c>
      <c r="E83" s="103" t="s">
        <v>326</v>
      </c>
      <c r="F83" s="99"/>
      <c r="G83" s="34"/>
      <c r="H83" s="331"/>
      <c r="I83" s="96">
        <v>85152</v>
      </c>
      <c r="J83" s="241" t="s">
        <v>156</v>
      </c>
      <c r="K83" s="305">
        <v>8066</v>
      </c>
      <c r="L83" s="306">
        <v>11734</v>
      </c>
      <c r="M83" s="308">
        <v>6663</v>
      </c>
      <c r="N83" s="308">
        <v>33706</v>
      </c>
      <c r="O83" s="308">
        <v>33128</v>
      </c>
      <c r="P83" s="308">
        <v>11172</v>
      </c>
      <c r="Q83" s="309">
        <v>30600</v>
      </c>
      <c r="R83" s="308">
        <v>22654.053549279808</v>
      </c>
      <c r="S83" s="308">
        <f>IFERROR(INDEX(tblPiNAnalysis[CCCM], MATCH(tblPiNHistorical[[#This Row],[ID]], tblPiNAnalysis[ID], 0)), "")</f>
        <v>10308</v>
      </c>
      <c r="T83" s="310">
        <f>IFERROR(INDEX(tblPiNAnalysis[Education], MATCH(tblPiNHistorical[[#This Row],[ID]], tblPiNAnalysis[ID], 0)), "")</f>
        <v>17206</v>
      </c>
      <c r="U83" s="308">
        <f>IFERROR(INDEX(tblPiNAnalysis[Nutrition], MATCH(tblPiNHistorical[[#This Row],[ID]], tblPiNAnalysis[ID], 0)), "")</f>
        <v>7178</v>
      </c>
      <c r="V83" s="308">
        <f>IFERROR(INDEX(tblPiNAnalysis[Food Security], MATCH(tblPiNHistorical[[#This Row],[ID]], tblPiNAnalysis[ID], 0)), "")</f>
        <v>39811</v>
      </c>
      <c r="W83" s="308">
        <f>IFERROR(INDEX(tblPiNAnalysis[Health], MATCH(tblPiNHistorical[[#This Row],[ID]], tblPiNAnalysis[ID], 0)), "")</f>
        <v>13490.757369965078</v>
      </c>
      <c r="X83" s="308">
        <f>IFERROR(INDEX(tblPiNAnalysis[Protection], MATCH(tblPiNHistorical[[#This Row],[ID]], tblPiNAnalysis[ID], 0)), "")</f>
        <v>17602.349999999999</v>
      </c>
      <c r="Y83" s="308">
        <f>IFERROR(INDEX(tblPiNAnalysis[Shelter], MATCH(tblPiNHistorical[[#This Row],[ID]], tblPiNAnalysis[ID], 0)), "")</f>
        <v>41479</v>
      </c>
      <c r="Z83" s="308">
        <f>IFERROR(INDEX(tblPiNAnalysis[WASH], MATCH(tblPiNHistorical[[#This Row],[ID]], tblPiNAnalysis[ID], 0)), "")</f>
        <v>47685.120000000003</v>
      </c>
      <c r="AA83" s="311">
        <f>IF(OR(tblPiNHistorical[[#This Row],[CCCM - old]]="", tblPiNHistorical[[#This Row],[CCCM - old]]=0, tblPiNHistorical[[#This Row],[CCCM - new]]="", tblPiNHistorical[[#This Row],[CCCM - new]]=0), "", tblPiNHistorical[[#This Row],[CCCM - new]]-tblPiNHistorical[[#This Row],[CCCM - old]])</f>
        <v>2242</v>
      </c>
      <c r="AB83" s="312">
        <f>IF(OR(tblPiNHistorical[[#This Row],[Education - old]]="", tblPiNHistorical[[#This Row],[Education - old]]=0, tblPiNHistorical[[#This Row],[Education - new]]="", tblPiNHistorical[[#This Row],[Education - new]]=0), "", tblPiNHistorical[[#This Row],[Education - new]]-tblPiNHistorical[[#This Row],[Education - old]])</f>
        <v>5472</v>
      </c>
      <c r="AC83" s="312">
        <f>IF(OR(tblPiNHistorical[[#This Row],[Nutrition - old]]="", tblPiNHistorical[[#This Row],[Nutrition - old]]=0, tblPiNHistorical[[#This Row],[Nutrition - new]]="", tblPiNHistorical[[#This Row],[Nutrition - new]]=0), "", tblPiNHistorical[[#This Row],[Nutrition - new]]-tblPiNHistorical[[#This Row],[Nutrition - old]])</f>
        <v>515</v>
      </c>
      <c r="AD83" s="312">
        <f>IF(OR(tblPiNHistorical[[#This Row],[Food Security - old]]="", tblPiNHistorical[[#This Row],[Food Security - old]]=0, tblPiNHistorical[[#This Row],[Food Security - new]]="", tblPiNHistorical[[#This Row],[Food Security - new]]=0), "", tblPiNHistorical[[#This Row],[Food Security - new]]-tblPiNHistorical[[#This Row],[Food Security - old]])</f>
        <v>6105</v>
      </c>
      <c r="AE83" s="312">
        <f>IF(OR(tblPiNHistorical[[#This Row],[Health - old]]="", tblPiNHistorical[[#This Row],[Health - old]]=0, tblPiNHistorical[[#This Row],[Health - new]]="", tblPiNHistorical[[#This Row],[Health - new]]=0), "", tblPiNHistorical[[#This Row],[Health - new]]-tblPiNHistorical[[#This Row],[Health - old]])</f>
        <v>-19637.242630034922</v>
      </c>
      <c r="AF8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6430.3499999999985</v>
      </c>
      <c r="AG83" s="312">
        <f>IF(OR(tblPiNHistorical[[#This Row],[Shelter - old]]="", tblPiNHistorical[[#This Row],[Shelter - old]]=0, tblPiNHistorical[[#This Row],[Shelter - new]]="", tblPiNHistorical[[#This Row],[Shelter - new]]=0), "", tblPiNHistorical[[#This Row],[Shelter - new]]-tblPiNHistorical[[#This Row],[Shelter - old]])</f>
        <v>10879</v>
      </c>
      <c r="AH83" s="313">
        <f>IF(OR(tblPiNHistorical[[#This Row],[WASH - old]]="", tblPiNHistorical[[#This Row],[WASH - old]]=0, tblPiNHistorical[[#This Row],[WASH - new]]="", tblPiNHistorical[[#This Row],[WASH - new]]=0), "", tblPiNHistorical[[#This Row],[WASH - new]]-tblPiNHistorical[[#This Row],[WASH - old]])</f>
        <v>25031.066450720195</v>
      </c>
      <c r="AI83" s="314">
        <f>IFERROR(ROUND((tblPiNHistorical[[#This Row],[CCCM - new]] - tblPiNHistorical[[#This Row],[CCCM - old]])/tblPiNHistorical[[#This Row],[CCCM - old]], 1), "")</f>
        <v>0.3</v>
      </c>
      <c r="AJ83" s="315">
        <f>IFERROR(ROUND((tblPiNHistorical[[#This Row],[Education - new]]-tblPiNHistorical[[#This Row],[Education - old]])/tblPiNHistorical[[#This Row],[Education - old]], 1), "")</f>
        <v>0.5</v>
      </c>
      <c r="AK83" s="315">
        <f>IFERROR(ROUND((tblPiNHistorical[[#This Row],[Nutrition - new]]-tblPiNHistorical[[#This Row],[Nutrition - old]])/tblPiNHistorical[[#This Row],[Nutrition - old]], 1), "")</f>
        <v>0.1</v>
      </c>
      <c r="AL83" s="315">
        <f>IFERROR(ROUND((tblPiNHistorical[[#This Row],[Food Security - new]]-tblPiNHistorical[[#This Row],[Food Security - old]])/tblPiNHistorical[[#This Row],[Food Security - old]], 1), "")</f>
        <v>0.2</v>
      </c>
      <c r="AM83" s="315">
        <f>IFERROR(ROUND((tblPiNHistorical[[#This Row],[Health - new]]-tblPiNHistorical[[#This Row],[Health - old]])/tblPiNHistorical[[#This Row],[Health - old]], 1), "")</f>
        <v>-0.6</v>
      </c>
      <c r="AN83" s="315">
        <f>IFERROR(ROUND((tblPiNHistorical[[#This Row],[Overarching Protection - new]]-tblPiNHistorical[[#This Row],[Overarching Protection - old]])/tblPiNHistorical[[#This Row],[Overarching Protection - old]], 1), "")</f>
        <v>0.6</v>
      </c>
      <c r="AO83" s="315">
        <f>IFERROR(ROUND((tblPiNHistorical[[#This Row],[Shelter - new]]-tblPiNHistorical[[#This Row],[Shelter - old]])/tblPiNHistorical[[#This Row],[Shelter - old]], 1), "")</f>
        <v>0.4</v>
      </c>
      <c r="AP83" s="37">
        <f>IFERROR(ROUND((tblPiNHistorical[[#This Row],[WASH - new]]-tblPiNHistorical[[#This Row],[WASH - old]])/tblPiNHistorical[[#This Row],[WASH - old]], 1), "")</f>
        <v>1.1000000000000001</v>
      </c>
    </row>
    <row r="84" spans="1:42">
      <c r="A8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Global_PopulationHT0614</v>
      </c>
      <c r="B84" s="304" t="s">
        <v>319</v>
      </c>
      <c r="C84" s="213" t="s">
        <v>320</v>
      </c>
      <c r="D84" s="213" t="s">
        <v>327</v>
      </c>
      <c r="E84" s="103" t="s">
        <v>328</v>
      </c>
      <c r="F84" s="99"/>
      <c r="G84" s="34"/>
      <c r="H84" s="331"/>
      <c r="I84" s="96">
        <v>31774</v>
      </c>
      <c r="J84" s="241" t="s">
        <v>156</v>
      </c>
      <c r="K84" s="305">
        <v>2700</v>
      </c>
      <c r="L84" s="306">
        <v>4412</v>
      </c>
      <c r="M84" s="308">
        <v>2420</v>
      </c>
      <c r="N84" s="308">
        <v>12667</v>
      </c>
      <c r="O84" s="308">
        <v>11486</v>
      </c>
      <c r="P84" s="308">
        <v>3542</v>
      </c>
      <c r="Q84" s="309">
        <v>17000</v>
      </c>
      <c r="R84" s="308">
        <v>7937.7760078541996</v>
      </c>
      <c r="S84" s="308">
        <f>IFERROR(INDEX(tblPiNAnalysis[CCCM], MATCH(tblPiNHistorical[[#This Row],[ID]], tblPiNAnalysis[ID], 0)), "")</f>
        <v>5755.5</v>
      </c>
      <c r="T84" s="310">
        <f>IFERROR(INDEX(tblPiNAnalysis[Education], MATCH(tblPiNHistorical[[#This Row],[ID]], tblPiNAnalysis[ID], 0)), "")</f>
        <v>6519</v>
      </c>
      <c r="U84" s="308">
        <f>IFERROR(INDEX(tblPiNAnalysis[Nutrition], MATCH(tblPiNHistorical[[#This Row],[ID]], tblPiNAnalysis[ID], 0)), "")</f>
        <v>2708</v>
      </c>
      <c r="V84" s="308">
        <f>IFERROR(INDEX(tblPiNAnalysis[Food Security], MATCH(tblPiNHistorical[[#This Row],[ID]], tblPiNAnalysis[ID], 0)), "")</f>
        <v>14961</v>
      </c>
      <c r="W84" s="308">
        <f>IFERROR(INDEX(tblPiNAnalysis[Health], MATCH(tblPiNHistorical[[#This Row],[ID]], tblPiNAnalysis[ID], 0)), "")</f>
        <v>7861.7353618973157</v>
      </c>
      <c r="X84" s="308">
        <f>IFERROR(INDEX(tblPiNAnalysis[Protection], MATCH(tblPiNHistorical[[#This Row],[ID]], tblPiNAnalysis[ID], 0)), "")</f>
        <v>6857.0199999999995</v>
      </c>
      <c r="Y84" s="308">
        <f>IFERROR(INDEX(tblPiNAnalysis[Shelter], MATCH(tblPiNHistorical[[#This Row],[ID]], tblPiNAnalysis[ID], 0)), "")</f>
        <v>16060</v>
      </c>
      <c r="Z84" s="308">
        <f>IFERROR(INDEX(tblPiNAnalysis[WASH], MATCH(tblPiNHistorical[[#This Row],[ID]], tblPiNAnalysis[ID], 0)), "")</f>
        <v>14827.866666666667</v>
      </c>
      <c r="AA84" s="311">
        <f>IF(OR(tblPiNHistorical[[#This Row],[CCCM - old]]="", tblPiNHistorical[[#This Row],[CCCM - old]]=0, tblPiNHistorical[[#This Row],[CCCM - new]]="", tblPiNHistorical[[#This Row],[CCCM - new]]=0), "", tblPiNHistorical[[#This Row],[CCCM - new]]-tblPiNHistorical[[#This Row],[CCCM - old]])</f>
        <v>3055.5</v>
      </c>
      <c r="AB84" s="312">
        <f>IF(OR(tblPiNHistorical[[#This Row],[Education - old]]="", tblPiNHistorical[[#This Row],[Education - old]]=0, tblPiNHistorical[[#This Row],[Education - new]]="", tblPiNHistorical[[#This Row],[Education - new]]=0), "", tblPiNHistorical[[#This Row],[Education - new]]-tblPiNHistorical[[#This Row],[Education - old]])</f>
        <v>2107</v>
      </c>
      <c r="AC84" s="312">
        <f>IF(OR(tblPiNHistorical[[#This Row],[Nutrition - old]]="", tblPiNHistorical[[#This Row],[Nutrition - old]]=0, tblPiNHistorical[[#This Row],[Nutrition - new]]="", tblPiNHistorical[[#This Row],[Nutrition - new]]=0), "", tblPiNHistorical[[#This Row],[Nutrition - new]]-tblPiNHistorical[[#This Row],[Nutrition - old]])</f>
        <v>288</v>
      </c>
      <c r="AD84" s="312">
        <f>IF(OR(tblPiNHistorical[[#This Row],[Food Security - old]]="", tblPiNHistorical[[#This Row],[Food Security - old]]=0, tblPiNHistorical[[#This Row],[Food Security - new]]="", tblPiNHistorical[[#This Row],[Food Security - new]]=0), "", tblPiNHistorical[[#This Row],[Food Security - new]]-tblPiNHistorical[[#This Row],[Food Security - old]])</f>
        <v>2294</v>
      </c>
      <c r="AE84" s="312">
        <f>IF(OR(tblPiNHistorical[[#This Row],[Health - old]]="", tblPiNHistorical[[#This Row],[Health - old]]=0, tblPiNHistorical[[#This Row],[Health - new]]="", tblPiNHistorical[[#This Row],[Health - new]]=0), "", tblPiNHistorical[[#This Row],[Health - new]]-tblPiNHistorical[[#This Row],[Health - old]])</f>
        <v>-3624.2646381026843</v>
      </c>
      <c r="AF8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3315.0199999999995</v>
      </c>
      <c r="AG84" s="312">
        <f>IF(OR(tblPiNHistorical[[#This Row],[Shelter - old]]="", tblPiNHistorical[[#This Row],[Shelter - old]]=0, tblPiNHistorical[[#This Row],[Shelter - new]]="", tblPiNHistorical[[#This Row],[Shelter - new]]=0), "", tblPiNHistorical[[#This Row],[Shelter - new]]-tblPiNHistorical[[#This Row],[Shelter - old]])</f>
        <v>-940</v>
      </c>
      <c r="AH84" s="313">
        <f>IF(OR(tblPiNHistorical[[#This Row],[WASH - old]]="", tblPiNHistorical[[#This Row],[WASH - old]]=0, tblPiNHistorical[[#This Row],[WASH - new]]="", tblPiNHistorical[[#This Row],[WASH - new]]=0), "", tblPiNHistorical[[#This Row],[WASH - new]]-tblPiNHistorical[[#This Row],[WASH - old]])</f>
        <v>6890.0906588124672</v>
      </c>
      <c r="AI84" s="314">
        <f>IFERROR(ROUND((tblPiNHistorical[[#This Row],[CCCM - new]] - tblPiNHistorical[[#This Row],[CCCM - old]])/tblPiNHistorical[[#This Row],[CCCM - old]], 1), "")</f>
        <v>1.1000000000000001</v>
      </c>
      <c r="AJ84" s="315">
        <f>IFERROR(ROUND((tblPiNHistorical[[#This Row],[Education - new]]-tblPiNHistorical[[#This Row],[Education - old]])/tblPiNHistorical[[#This Row],[Education - old]], 1), "")</f>
        <v>0.5</v>
      </c>
      <c r="AK84" s="315">
        <f>IFERROR(ROUND((tblPiNHistorical[[#This Row],[Nutrition - new]]-tblPiNHistorical[[#This Row],[Nutrition - old]])/tblPiNHistorical[[#This Row],[Nutrition - old]], 1), "")</f>
        <v>0.1</v>
      </c>
      <c r="AL84" s="315">
        <f>IFERROR(ROUND((tblPiNHistorical[[#This Row],[Food Security - new]]-tblPiNHistorical[[#This Row],[Food Security - old]])/tblPiNHistorical[[#This Row],[Food Security - old]], 1), "")</f>
        <v>0.2</v>
      </c>
      <c r="AM84" s="315">
        <f>IFERROR(ROUND((tblPiNHistorical[[#This Row],[Health - new]]-tblPiNHistorical[[#This Row],[Health - old]])/tblPiNHistorical[[#This Row],[Health - old]], 1), "")</f>
        <v>-0.3</v>
      </c>
      <c r="AN84" s="315">
        <f>IFERROR(ROUND((tblPiNHistorical[[#This Row],[Overarching Protection - new]]-tblPiNHistorical[[#This Row],[Overarching Protection - old]])/tblPiNHistorical[[#This Row],[Overarching Protection - old]], 1), "")</f>
        <v>0.9</v>
      </c>
      <c r="AO84" s="315">
        <f>IFERROR(ROUND((tblPiNHistorical[[#This Row],[Shelter - new]]-tblPiNHistorical[[#This Row],[Shelter - old]])/tblPiNHistorical[[#This Row],[Shelter - old]], 1), "")</f>
        <v>-0.1</v>
      </c>
      <c r="AP84" s="37">
        <f>IFERROR(ROUND((tblPiNHistorical[[#This Row],[WASH - new]]-tblPiNHistorical[[#This Row],[WASH - old]])/tblPiNHistorical[[#This Row],[WASH - old]], 1), "")</f>
        <v>0.9</v>
      </c>
    </row>
    <row r="85" spans="1:42">
      <c r="A8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Global_PopulationHT0621</v>
      </c>
      <c r="B85" s="304" t="s">
        <v>319</v>
      </c>
      <c r="C85" s="213" t="s">
        <v>320</v>
      </c>
      <c r="D85" s="213" t="s">
        <v>329</v>
      </c>
      <c r="E85" s="103" t="s">
        <v>330</v>
      </c>
      <c r="F85" s="99"/>
      <c r="G85" s="34"/>
      <c r="H85" s="331"/>
      <c r="I85" s="96">
        <v>129573</v>
      </c>
      <c r="J85" s="241" t="s">
        <v>156</v>
      </c>
      <c r="K85" s="305">
        <v>5550</v>
      </c>
      <c r="L85" s="306">
        <v>15617</v>
      </c>
      <c r="M85" s="308">
        <v>10384</v>
      </c>
      <c r="N85" s="308">
        <v>53248</v>
      </c>
      <c r="O85" s="308">
        <v>42246</v>
      </c>
      <c r="P85" s="308">
        <v>27497</v>
      </c>
      <c r="Q85" s="309">
        <v>53214</v>
      </c>
      <c r="R85" s="308">
        <v>92666.016599014183</v>
      </c>
      <c r="S85" s="308">
        <f>IFERROR(INDEX(tblPiNAnalysis[CCCM], MATCH(tblPiNHistorical[[#This Row],[ID]], tblPiNAnalysis[ID], 0)), "")</f>
        <v>7125</v>
      </c>
      <c r="T85" s="310">
        <f>IFERROR(INDEX(tblPiNAnalysis[Education], MATCH(tblPiNHistorical[[#This Row],[ID]], tblPiNAnalysis[ID], 0)), "")</f>
        <v>23428</v>
      </c>
      <c r="U85" s="308">
        <f>IFERROR(INDEX(tblPiNAnalysis[Nutrition], MATCH(tblPiNHistorical[[#This Row],[ID]], tblPiNAnalysis[ID], 0)), "")</f>
        <v>10740</v>
      </c>
      <c r="V85" s="308">
        <f>IFERROR(INDEX(tblPiNAnalysis[Food Security], MATCH(tblPiNHistorical[[#This Row],[ID]], tblPiNAnalysis[ID], 0)), "")</f>
        <v>75469</v>
      </c>
      <c r="W85" s="308">
        <f>IFERROR(INDEX(tblPiNAnalysis[Health], MATCH(tblPiNHistorical[[#This Row],[ID]], tblPiNAnalysis[ID], 0)), "")</f>
        <v>143669</v>
      </c>
      <c r="X85" s="308">
        <f>IFERROR(INDEX(tblPiNAnalysis[Protection], MATCH(tblPiNHistorical[[#This Row],[ID]], tblPiNAnalysis[ID], 0)), "")</f>
        <v>14096</v>
      </c>
      <c r="Y85" s="308">
        <f>IFERROR(INDEX(tblPiNAnalysis[Shelter], MATCH(tblPiNHistorical[[#This Row],[ID]], tblPiNAnalysis[ID], 0)), "")</f>
        <v>39364</v>
      </c>
      <c r="Z85" s="308">
        <f>IFERROR(INDEX(tblPiNAnalysis[WASH], MATCH(tblPiNHistorical[[#This Row],[ID]], tblPiNAnalysis[ID], 0)), "")</f>
        <v>32393.25</v>
      </c>
      <c r="AA85" s="311">
        <f>IF(OR(tblPiNHistorical[[#This Row],[CCCM - old]]="", tblPiNHistorical[[#This Row],[CCCM - old]]=0, tblPiNHistorical[[#This Row],[CCCM - new]]="", tblPiNHistorical[[#This Row],[CCCM - new]]=0), "", tblPiNHistorical[[#This Row],[CCCM - new]]-tblPiNHistorical[[#This Row],[CCCM - old]])</f>
        <v>1575</v>
      </c>
      <c r="AB85" s="312">
        <f>IF(OR(tblPiNHistorical[[#This Row],[Education - old]]="", tblPiNHistorical[[#This Row],[Education - old]]=0, tblPiNHistorical[[#This Row],[Education - new]]="", tblPiNHistorical[[#This Row],[Education - new]]=0), "", tblPiNHistorical[[#This Row],[Education - new]]-tblPiNHistorical[[#This Row],[Education - old]])</f>
        <v>7811</v>
      </c>
      <c r="AC85" s="312">
        <f>IF(OR(tblPiNHistorical[[#This Row],[Nutrition - old]]="", tblPiNHistorical[[#This Row],[Nutrition - old]]=0, tblPiNHistorical[[#This Row],[Nutrition - new]]="", tblPiNHistorical[[#This Row],[Nutrition - new]]=0), "", tblPiNHistorical[[#This Row],[Nutrition - new]]-tblPiNHistorical[[#This Row],[Nutrition - old]])</f>
        <v>356</v>
      </c>
      <c r="AD85" s="312">
        <f>IF(OR(tblPiNHistorical[[#This Row],[Food Security - old]]="", tblPiNHistorical[[#This Row],[Food Security - old]]=0, tblPiNHistorical[[#This Row],[Food Security - new]]="", tblPiNHistorical[[#This Row],[Food Security - new]]=0), "", tblPiNHistorical[[#This Row],[Food Security - new]]-tblPiNHistorical[[#This Row],[Food Security - old]])</f>
        <v>22221</v>
      </c>
      <c r="AE85" s="312">
        <f>IF(OR(tblPiNHistorical[[#This Row],[Health - old]]="", tblPiNHistorical[[#This Row],[Health - old]]=0, tblPiNHistorical[[#This Row],[Health - new]]="", tblPiNHistorical[[#This Row],[Health - new]]=0), "", tblPiNHistorical[[#This Row],[Health - new]]-tblPiNHistorical[[#This Row],[Health - old]])</f>
        <v>101423</v>
      </c>
      <c r="AF8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-13401</v>
      </c>
      <c r="AG85" s="312">
        <f>IF(OR(tblPiNHistorical[[#This Row],[Shelter - old]]="", tblPiNHistorical[[#This Row],[Shelter - old]]=0, tblPiNHistorical[[#This Row],[Shelter - new]]="", tblPiNHistorical[[#This Row],[Shelter - new]]=0), "", tblPiNHistorical[[#This Row],[Shelter - new]]-tblPiNHistorical[[#This Row],[Shelter - old]])</f>
        <v>-13850</v>
      </c>
      <c r="AH85" s="313">
        <f>IF(OR(tblPiNHistorical[[#This Row],[WASH - old]]="", tblPiNHistorical[[#This Row],[WASH - old]]=0, tblPiNHistorical[[#This Row],[WASH - new]]="", tblPiNHistorical[[#This Row],[WASH - new]]=0), "", tblPiNHistorical[[#This Row],[WASH - new]]-tblPiNHistorical[[#This Row],[WASH - old]])</f>
        <v>-60272.766599014183</v>
      </c>
      <c r="AI85" s="314">
        <f>IFERROR(ROUND((tblPiNHistorical[[#This Row],[CCCM - new]] - tblPiNHistorical[[#This Row],[CCCM - old]])/tblPiNHistorical[[#This Row],[CCCM - old]], 1), "")</f>
        <v>0.3</v>
      </c>
      <c r="AJ85" s="315">
        <f>IFERROR(ROUND((tblPiNHistorical[[#This Row],[Education - new]]-tblPiNHistorical[[#This Row],[Education - old]])/tblPiNHistorical[[#This Row],[Education - old]], 1), "")</f>
        <v>0.5</v>
      </c>
      <c r="AK85" s="315">
        <f>IFERROR(ROUND((tblPiNHistorical[[#This Row],[Nutrition - new]]-tblPiNHistorical[[#This Row],[Nutrition - old]])/tblPiNHistorical[[#This Row],[Nutrition - old]], 1), "")</f>
        <v>0</v>
      </c>
      <c r="AL85" s="315">
        <f>IFERROR(ROUND((tblPiNHistorical[[#This Row],[Food Security - new]]-tblPiNHistorical[[#This Row],[Food Security - old]])/tblPiNHistorical[[#This Row],[Food Security - old]], 1), "")</f>
        <v>0.4</v>
      </c>
      <c r="AM85" s="315">
        <f>IFERROR(ROUND((tblPiNHistorical[[#This Row],[Health - new]]-tblPiNHistorical[[#This Row],[Health - old]])/tblPiNHistorical[[#This Row],[Health - old]], 1), "")</f>
        <v>2.4</v>
      </c>
      <c r="AN85" s="315">
        <f>IFERROR(ROUND((tblPiNHistorical[[#This Row],[Overarching Protection - new]]-tblPiNHistorical[[#This Row],[Overarching Protection - old]])/tblPiNHistorical[[#This Row],[Overarching Protection - old]], 1), "")</f>
        <v>-0.5</v>
      </c>
      <c r="AO85" s="315">
        <f>IFERROR(ROUND((tblPiNHistorical[[#This Row],[Shelter - new]]-tblPiNHistorical[[#This Row],[Shelter - old]])/tblPiNHistorical[[#This Row],[Shelter - old]], 1), "")</f>
        <v>-0.3</v>
      </c>
      <c r="AP85" s="37">
        <f>IFERROR(ROUND((tblPiNHistorical[[#This Row],[WASH - new]]-tblPiNHistorical[[#This Row],[WASH - old]])/tblPiNHistorical[[#This Row],[WASH - old]], 1), "")</f>
        <v>-0.7</v>
      </c>
    </row>
    <row r="86" spans="1:42">
      <c r="A8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Global_PopulationHT0622</v>
      </c>
      <c r="B86" s="304" t="s">
        <v>319</v>
      </c>
      <c r="C86" s="213" t="s">
        <v>320</v>
      </c>
      <c r="D86" s="213" t="s">
        <v>331</v>
      </c>
      <c r="E86" s="103" t="s">
        <v>332</v>
      </c>
      <c r="F86" s="99"/>
      <c r="G86" s="34"/>
      <c r="H86" s="331"/>
      <c r="I86" s="96">
        <v>52389</v>
      </c>
      <c r="J86" s="241" t="s">
        <v>156</v>
      </c>
      <c r="K86" s="305">
        <v>3096</v>
      </c>
      <c r="L86" s="306">
        <v>6784</v>
      </c>
      <c r="M86" s="308">
        <v>4206</v>
      </c>
      <c r="N86" s="308">
        <v>21281</v>
      </c>
      <c r="O86" s="308">
        <v>21047</v>
      </c>
      <c r="P86" s="308">
        <v>6960</v>
      </c>
      <c r="Q86" s="309">
        <v>25163</v>
      </c>
      <c r="R86" s="308">
        <v>20835.810765166192</v>
      </c>
      <c r="S86" s="308">
        <f>IFERROR(INDEX(tblPiNAnalysis[CCCM], MATCH(tblPiNHistorical[[#This Row],[ID]], tblPiNAnalysis[ID], 0)), "")</f>
        <v>787.5</v>
      </c>
      <c r="T86" s="310">
        <f>IFERROR(INDEX(tblPiNAnalysis[Education], MATCH(tblPiNHistorical[[#This Row],[ID]], tblPiNAnalysis[ID], 0)), "")</f>
        <v>9836</v>
      </c>
      <c r="U86" s="308">
        <f>IFERROR(INDEX(tblPiNAnalysis[Nutrition], MATCH(tblPiNHistorical[[#This Row],[ID]], tblPiNAnalysis[ID], 0)), "")</f>
        <v>4245</v>
      </c>
      <c r="V86" s="308">
        <f>IFERROR(INDEX(tblPiNAnalysis[Food Security], MATCH(tblPiNHistorical[[#This Row],[ID]], tblPiNAnalysis[ID], 0)), "")</f>
        <v>30162</v>
      </c>
      <c r="W86" s="308">
        <f>IFERROR(INDEX(tblPiNAnalysis[Health], MATCH(tblPiNHistorical[[#This Row],[ID]], tblPiNAnalysis[ID], 0)), "")</f>
        <v>53967.58765714286</v>
      </c>
      <c r="X86" s="308">
        <f>IFERROR(INDEX(tblPiNAnalysis[Protection], MATCH(tblPiNHistorical[[#This Row],[ID]], tblPiNAnalysis[ID], 0)), "")</f>
        <v>976.1</v>
      </c>
      <c r="Y86" s="308">
        <f>IFERROR(INDEX(tblPiNAnalysis[Shelter], MATCH(tblPiNHistorical[[#This Row],[ID]], tblPiNAnalysis[ID], 0)), "")</f>
        <v>0</v>
      </c>
      <c r="Z86" s="308">
        <f>IFERROR(INDEX(tblPiNAnalysis[WASH], MATCH(tblPiNHistorical[[#This Row],[ID]], tblPiNAnalysis[ID], 0)), "")</f>
        <v>48722</v>
      </c>
      <c r="AA86" s="311">
        <f>IF(OR(tblPiNHistorical[[#This Row],[CCCM - old]]="", tblPiNHistorical[[#This Row],[CCCM - old]]=0, tblPiNHistorical[[#This Row],[CCCM - new]]="", tblPiNHistorical[[#This Row],[CCCM - new]]=0), "", tblPiNHistorical[[#This Row],[CCCM - new]]-tblPiNHistorical[[#This Row],[CCCM - old]])</f>
        <v>-2308.5</v>
      </c>
      <c r="AB86" s="312">
        <f>IF(OR(tblPiNHistorical[[#This Row],[Education - old]]="", tblPiNHistorical[[#This Row],[Education - old]]=0, tblPiNHistorical[[#This Row],[Education - new]]="", tblPiNHistorical[[#This Row],[Education - new]]=0), "", tblPiNHistorical[[#This Row],[Education - new]]-tblPiNHistorical[[#This Row],[Education - old]])</f>
        <v>3052</v>
      </c>
      <c r="AC86" s="312">
        <f>IF(OR(tblPiNHistorical[[#This Row],[Nutrition - old]]="", tblPiNHistorical[[#This Row],[Nutrition - old]]=0, tblPiNHistorical[[#This Row],[Nutrition - new]]="", tblPiNHistorical[[#This Row],[Nutrition - new]]=0), "", tblPiNHistorical[[#This Row],[Nutrition - new]]-tblPiNHistorical[[#This Row],[Nutrition - old]])</f>
        <v>39</v>
      </c>
      <c r="AD86" s="312">
        <f>IF(OR(tblPiNHistorical[[#This Row],[Food Security - old]]="", tblPiNHistorical[[#This Row],[Food Security - old]]=0, tblPiNHistorical[[#This Row],[Food Security - new]]="", tblPiNHistorical[[#This Row],[Food Security - new]]=0), "", tblPiNHistorical[[#This Row],[Food Security - new]]-tblPiNHistorical[[#This Row],[Food Security - old]])</f>
        <v>8881</v>
      </c>
      <c r="AE86" s="312">
        <f>IF(OR(tblPiNHistorical[[#This Row],[Health - old]]="", tblPiNHistorical[[#This Row],[Health - old]]=0, tblPiNHistorical[[#This Row],[Health - new]]="", tblPiNHistorical[[#This Row],[Health - new]]=0), "", tblPiNHistorical[[#This Row],[Health - new]]-tblPiNHistorical[[#This Row],[Health - old]])</f>
        <v>32920.58765714286</v>
      </c>
      <c r="AF8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-5983.9</v>
      </c>
      <c r="AG86" s="312" t="str">
        <f>IF(OR(tblPiNHistorical[[#This Row],[Shelter - old]]="", tblPiNHistorical[[#This Row],[Shelter - old]]=0, tblPiNHistorical[[#This Row],[Shelter - new]]="", tblPiNHistorical[[#This Row],[Shelter - new]]=0), "", tblPiNHistorical[[#This Row],[Shelter - new]]-tblPiNHistorical[[#This Row],[Shelter - old]])</f>
        <v/>
      </c>
      <c r="AH86" s="313">
        <f>IF(OR(tblPiNHistorical[[#This Row],[WASH - old]]="", tblPiNHistorical[[#This Row],[WASH - old]]=0, tblPiNHistorical[[#This Row],[WASH - new]]="", tblPiNHistorical[[#This Row],[WASH - new]]=0), "", tblPiNHistorical[[#This Row],[WASH - new]]-tblPiNHistorical[[#This Row],[WASH - old]])</f>
        <v>27886.189234833808</v>
      </c>
      <c r="AI86" s="314">
        <f>IFERROR(ROUND((tblPiNHistorical[[#This Row],[CCCM - new]] - tblPiNHistorical[[#This Row],[CCCM - old]])/tblPiNHistorical[[#This Row],[CCCM - old]], 1), "")</f>
        <v>-0.7</v>
      </c>
      <c r="AJ86" s="315">
        <f>IFERROR(ROUND((tblPiNHistorical[[#This Row],[Education - new]]-tblPiNHistorical[[#This Row],[Education - old]])/tblPiNHistorical[[#This Row],[Education - old]], 1), "")</f>
        <v>0.4</v>
      </c>
      <c r="AK86" s="315">
        <f>IFERROR(ROUND((tblPiNHistorical[[#This Row],[Nutrition - new]]-tblPiNHistorical[[#This Row],[Nutrition - old]])/tblPiNHistorical[[#This Row],[Nutrition - old]], 1), "")</f>
        <v>0</v>
      </c>
      <c r="AL86" s="315">
        <f>IFERROR(ROUND((tblPiNHistorical[[#This Row],[Food Security - new]]-tblPiNHistorical[[#This Row],[Food Security - old]])/tblPiNHistorical[[#This Row],[Food Security - old]], 1), "")</f>
        <v>0.4</v>
      </c>
      <c r="AM86" s="315">
        <f>IFERROR(ROUND((tblPiNHistorical[[#This Row],[Health - new]]-tblPiNHistorical[[#This Row],[Health - old]])/tblPiNHistorical[[#This Row],[Health - old]], 1), "")</f>
        <v>1.6</v>
      </c>
      <c r="AN86" s="315">
        <f>IFERROR(ROUND((tblPiNHistorical[[#This Row],[Overarching Protection - new]]-tblPiNHistorical[[#This Row],[Overarching Protection - old]])/tblPiNHistorical[[#This Row],[Overarching Protection - old]], 1), "")</f>
        <v>-0.9</v>
      </c>
      <c r="AO86" s="315">
        <f>IFERROR(ROUND((tblPiNHistorical[[#This Row],[Shelter - new]]-tblPiNHistorical[[#This Row],[Shelter - old]])/tblPiNHistorical[[#This Row],[Shelter - old]], 1), "")</f>
        <v>-1</v>
      </c>
      <c r="AP86" s="37">
        <f>IFERROR(ROUND((tblPiNHistorical[[#This Row],[WASH - new]]-tblPiNHistorical[[#This Row],[WASH - old]])/tblPiNHistorical[[#This Row],[WASH - old]], 1), "")</f>
        <v>1.3</v>
      </c>
    </row>
    <row r="87" spans="1:42">
      <c r="A8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Global_PopulationHT0623</v>
      </c>
      <c r="B87" s="304" t="s">
        <v>319</v>
      </c>
      <c r="C87" s="213" t="s">
        <v>320</v>
      </c>
      <c r="D87" s="213" t="s">
        <v>333</v>
      </c>
      <c r="E87" s="103" t="s">
        <v>334</v>
      </c>
      <c r="F87" s="99"/>
      <c r="G87" s="34"/>
      <c r="H87" s="331"/>
      <c r="I87" s="96">
        <v>79705</v>
      </c>
      <c r="J87" s="241" t="s">
        <v>156</v>
      </c>
      <c r="K87" s="305">
        <v>11100</v>
      </c>
      <c r="L87" s="306">
        <v>10456</v>
      </c>
      <c r="M87" s="308">
        <v>6246</v>
      </c>
      <c r="N87" s="308">
        <v>30517</v>
      </c>
      <c r="O87" s="308">
        <v>34419</v>
      </c>
      <c r="P87" s="308">
        <v>7408</v>
      </c>
      <c r="Q87" s="309">
        <v>28451</v>
      </c>
      <c r="R87" s="308">
        <v>29841.193302683001</v>
      </c>
      <c r="S87" s="308">
        <f>IFERROR(INDEX(tblPiNAnalysis[CCCM], MATCH(tblPiNHistorical[[#This Row],[ID]], tblPiNAnalysis[ID], 0)), "")</f>
        <v>19608</v>
      </c>
      <c r="T87" s="310">
        <f>IFERROR(INDEX(tblPiNAnalysis[Education], MATCH(tblPiNHistorical[[#This Row],[ID]], tblPiNAnalysis[ID], 0)), "")</f>
        <v>15728</v>
      </c>
      <c r="U87" s="308">
        <f>IFERROR(INDEX(tblPiNAnalysis[Nutrition], MATCH(tblPiNHistorical[[#This Row],[ID]], tblPiNAnalysis[ID], 0)), "")</f>
        <v>7225</v>
      </c>
      <c r="V87" s="308">
        <f>IFERROR(INDEX(tblPiNAnalysis[Food Security], MATCH(tblPiNHistorical[[#This Row],[ID]], tblPiNAnalysis[ID], 0)), "")</f>
        <v>43253</v>
      </c>
      <c r="W87" s="308">
        <f>IFERROR(INDEX(tblPiNAnalysis[Health], MATCH(tblPiNHistorical[[#This Row],[ID]], tblPiNAnalysis[ID], 0)), "")</f>
        <v>35708.605059832087</v>
      </c>
      <c r="X87" s="308">
        <f>IFERROR(INDEX(tblPiNAnalysis[Protection], MATCH(tblPiNHistorical[[#This Row],[ID]], tblPiNAnalysis[ID], 0)), "")</f>
        <v>26800.55</v>
      </c>
      <c r="Y87" s="308">
        <f>IFERROR(INDEX(tblPiNAnalysis[Shelter], MATCH(tblPiNHistorical[[#This Row],[ID]], tblPiNAnalysis[ID], 0)), "")</f>
        <v>39996</v>
      </c>
      <c r="Z87" s="308">
        <f>IFERROR(INDEX(tblPiNAnalysis[WASH], MATCH(tblPiNHistorical[[#This Row],[ID]], tblPiNAnalysis[ID], 0)), "")</f>
        <v>59778.75</v>
      </c>
      <c r="AA87" s="311">
        <f>IF(OR(tblPiNHistorical[[#This Row],[CCCM - old]]="", tblPiNHistorical[[#This Row],[CCCM - old]]=0, tblPiNHistorical[[#This Row],[CCCM - new]]="", tblPiNHistorical[[#This Row],[CCCM - new]]=0), "", tblPiNHistorical[[#This Row],[CCCM - new]]-tblPiNHistorical[[#This Row],[CCCM - old]])</f>
        <v>8508</v>
      </c>
      <c r="AB87" s="312">
        <f>IF(OR(tblPiNHistorical[[#This Row],[Education - old]]="", tblPiNHistorical[[#This Row],[Education - old]]=0, tblPiNHistorical[[#This Row],[Education - new]]="", tblPiNHistorical[[#This Row],[Education - new]]=0), "", tblPiNHistorical[[#This Row],[Education - new]]-tblPiNHistorical[[#This Row],[Education - old]])</f>
        <v>5272</v>
      </c>
      <c r="AC87" s="312">
        <f>IF(OR(tblPiNHistorical[[#This Row],[Nutrition - old]]="", tblPiNHistorical[[#This Row],[Nutrition - old]]=0, tblPiNHistorical[[#This Row],[Nutrition - new]]="", tblPiNHistorical[[#This Row],[Nutrition - new]]=0), "", tblPiNHistorical[[#This Row],[Nutrition - new]]-tblPiNHistorical[[#This Row],[Nutrition - old]])</f>
        <v>979</v>
      </c>
      <c r="AD87" s="312">
        <f>IF(OR(tblPiNHistorical[[#This Row],[Food Security - old]]="", tblPiNHistorical[[#This Row],[Food Security - old]]=0, tblPiNHistorical[[#This Row],[Food Security - new]]="", tblPiNHistorical[[#This Row],[Food Security - new]]=0), "", tblPiNHistorical[[#This Row],[Food Security - new]]-tblPiNHistorical[[#This Row],[Food Security - old]])</f>
        <v>12736</v>
      </c>
      <c r="AE87" s="312">
        <f>IF(OR(tblPiNHistorical[[#This Row],[Health - old]]="", tblPiNHistorical[[#This Row],[Health - old]]=0, tblPiNHistorical[[#This Row],[Health - new]]="", tblPiNHistorical[[#This Row],[Health - new]]=0), "", tblPiNHistorical[[#This Row],[Health - new]]-tblPiNHistorical[[#This Row],[Health - old]])</f>
        <v>1289.6050598320871</v>
      </c>
      <c r="AF8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19392.55</v>
      </c>
      <c r="AG87" s="312">
        <f>IF(OR(tblPiNHistorical[[#This Row],[Shelter - old]]="", tblPiNHistorical[[#This Row],[Shelter - old]]=0, tblPiNHistorical[[#This Row],[Shelter - new]]="", tblPiNHistorical[[#This Row],[Shelter - new]]=0), "", tblPiNHistorical[[#This Row],[Shelter - new]]-tblPiNHistorical[[#This Row],[Shelter - old]])</f>
        <v>11545</v>
      </c>
      <c r="AH87" s="313">
        <f>IF(OR(tblPiNHistorical[[#This Row],[WASH - old]]="", tblPiNHistorical[[#This Row],[WASH - old]]=0, tblPiNHistorical[[#This Row],[WASH - new]]="", tblPiNHistorical[[#This Row],[WASH - new]]=0), "", tblPiNHistorical[[#This Row],[WASH - new]]-tblPiNHistorical[[#This Row],[WASH - old]])</f>
        <v>29937.556697316999</v>
      </c>
      <c r="AI87" s="314">
        <f>IFERROR(ROUND((tblPiNHistorical[[#This Row],[CCCM - new]] - tblPiNHistorical[[#This Row],[CCCM - old]])/tblPiNHistorical[[#This Row],[CCCM - old]], 1), "")</f>
        <v>0.8</v>
      </c>
      <c r="AJ87" s="315">
        <f>IFERROR(ROUND((tblPiNHistorical[[#This Row],[Education - new]]-tblPiNHistorical[[#This Row],[Education - old]])/tblPiNHistorical[[#This Row],[Education - old]], 1), "")</f>
        <v>0.5</v>
      </c>
      <c r="AK87" s="315">
        <f>IFERROR(ROUND((tblPiNHistorical[[#This Row],[Nutrition - new]]-tblPiNHistorical[[#This Row],[Nutrition - old]])/tblPiNHistorical[[#This Row],[Nutrition - old]], 1), "")</f>
        <v>0.2</v>
      </c>
      <c r="AL87" s="315">
        <f>IFERROR(ROUND((tblPiNHistorical[[#This Row],[Food Security - new]]-tblPiNHistorical[[#This Row],[Food Security - old]])/tblPiNHistorical[[#This Row],[Food Security - old]], 1), "")</f>
        <v>0.4</v>
      </c>
      <c r="AM87" s="315">
        <f>IFERROR(ROUND((tblPiNHistorical[[#This Row],[Health - new]]-tblPiNHistorical[[#This Row],[Health - old]])/tblPiNHistorical[[#This Row],[Health - old]], 1), "")</f>
        <v>0</v>
      </c>
      <c r="AN87" s="315">
        <f>IFERROR(ROUND((tblPiNHistorical[[#This Row],[Overarching Protection - new]]-tblPiNHistorical[[#This Row],[Overarching Protection - old]])/tblPiNHistorical[[#This Row],[Overarching Protection - old]], 1), "")</f>
        <v>2.6</v>
      </c>
      <c r="AO87" s="315">
        <f>IFERROR(ROUND((tblPiNHistorical[[#This Row],[Shelter - new]]-tblPiNHistorical[[#This Row],[Shelter - old]])/tblPiNHistorical[[#This Row],[Shelter - old]], 1), "")</f>
        <v>0.4</v>
      </c>
      <c r="AP87" s="37">
        <f>IFERROR(ROUND((tblPiNHistorical[[#This Row],[WASH - new]]-tblPiNHistorical[[#This Row],[WASH - old]])/tblPiNHistorical[[#This Row],[WASH - old]], 1), "")</f>
        <v>1</v>
      </c>
    </row>
    <row r="88" spans="1:42">
      <c r="A8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Global_PopulationHT0631</v>
      </c>
      <c r="B88" s="304" t="s">
        <v>319</v>
      </c>
      <c r="C88" s="213" t="s">
        <v>320</v>
      </c>
      <c r="D88" s="213" t="s">
        <v>335</v>
      </c>
      <c r="E88" s="103" t="s">
        <v>336</v>
      </c>
      <c r="F88" s="99"/>
      <c r="G88" s="34"/>
      <c r="H88" s="331"/>
      <c r="I88" s="96">
        <v>65198</v>
      </c>
      <c r="J88" s="241" t="s">
        <v>156</v>
      </c>
      <c r="K88" s="305">
        <v>9000</v>
      </c>
      <c r="L88" s="306">
        <v>8523</v>
      </c>
      <c r="M88" s="308">
        <v>5071</v>
      </c>
      <c r="N88" s="308">
        <v>24987</v>
      </c>
      <c r="O88" s="308">
        <v>31074</v>
      </c>
      <c r="P88" s="308">
        <v>6713</v>
      </c>
      <c r="Q88" s="309">
        <v>17108</v>
      </c>
      <c r="R88" s="308">
        <v>46838.460986114893</v>
      </c>
      <c r="S88" s="308">
        <f>IFERROR(INDEX(tblPiNAnalysis[CCCM], MATCH(tblPiNHistorical[[#This Row],[ID]], tblPiNAnalysis[ID], 0)), "")</f>
        <v>8235</v>
      </c>
      <c r="T88" s="310">
        <f>IFERROR(INDEX(tblPiNAnalysis[Education], MATCH(tblPiNHistorical[[#This Row],[ID]], tblPiNAnalysis[ID], 0)), "")</f>
        <v>12816</v>
      </c>
      <c r="U88" s="308">
        <f>IFERROR(INDEX(tblPiNAnalysis[Nutrition], MATCH(tblPiNHistorical[[#This Row],[ID]], tblPiNAnalysis[ID], 0)), "")</f>
        <v>5482</v>
      </c>
      <c r="V88" s="308">
        <f>IFERROR(INDEX(tblPiNAnalysis[Food Security], MATCH(tblPiNHistorical[[#This Row],[ID]], tblPiNAnalysis[ID], 0)), "")</f>
        <v>35415</v>
      </c>
      <c r="W88" s="308">
        <f>IFERROR(INDEX(tblPiNAnalysis[Health], MATCH(tblPiNHistorical[[#This Row],[ID]], tblPiNAnalysis[ID], 0)), "")</f>
        <v>40915.644261202186</v>
      </c>
      <c r="X88" s="308">
        <f>IFERROR(INDEX(tblPiNAnalysis[Protection], MATCH(tblPiNHistorical[[#This Row],[ID]], tblPiNAnalysis[ID], 0)), "")</f>
        <v>19549.5</v>
      </c>
      <c r="Y88" s="308">
        <f>IFERROR(INDEX(tblPiNAnalysis[Shelter], MATCH(tblPiNHistorical[[#This Row],[ID]], tblPiNAnalysis[ID], 0)), "")</f>
        <v>26155</v>
      </c>
      <c r="Z88" s="308">
        <f>IFERROR(INDEX(tblPiNAnalysis[WASH], MATCH(tblPiNHistorical[[#This Row],[ID]], tblPiNAnalysis[ID], 0)), "")</f>
        <v>24449.25</v>
      </c>
      <c r="AA88" s="311">
        <f>IF(OR(tblPiNHistorical[[#This Row],[CCCM - old]]="", tblPiNHistorical[[#This Row],[CCCM - old]]=0, tblPiNHistorical[[#This Row],[CCCM - new]]="", tblPiNHistorical[[#This Row],[CCCM - new]]=0), "", tblPiNHistorical[[#This Row],[CCCM - new]]-tblPiNHistorical[[#This Row],[CCCM - old]])</f>
        <v>-765</v>
      </c>
      <c r="AB88" s="312">
        <f>IF(OR(tblPiNHistorical[[#This Row],[Education - old]]="", tblPiNHistorical[[#This Row],[Education - old]]=0, tblPiNHistorical[[#This Row],[Education - new]]="", tblPiNHistorical[[#This Row],[Education - new]]=0), "", tblPiNHistorical[[#This Row],[Education - new]]-tblPiNHistorical[[#This Row],[Education - old]])</f>
        <v>4293</v>
      </c>
      <c r="AC88" s="312">
        <f>IF(OR(tblPiNHistorical[[#This Row],[Nutrition - old]]="", tblPiNHistorical[[#This Row],[Nutrition - old]]=0, tblPiNHistorical[[#This Row],[Nutrition - new]]="", tblPiNHistorical[[#This Row],[Nutrition - new]]=0), "", tblPiNHistorical[[#This Row],[Nutrition - new]]-tblPiNHistorical[[#This Row],[Nutrition - old]])</f>
        <v>411</v>
      </c>
      <c r="AD88" s="312">
        <f>IF(OR(tblPiNHistorical[[#This Row],[Food Security - old]]="", tblPiNHistorical[[#This Row],[Food Security - old]]=0, tblPiNHistorical[[#This Row],[Food Security - new]]="", tblPiNHistorical[[#This Row],[Food Security - new]]=0), "", tblPiNHistorical[[#This Row],[Food Security - new]]-tblPiNHistorical[[#This Row],[Food Security - old]])</f>
        <v>10428</v>
      </c>
      <c r="AE88" s="312">
        <f>IF(OR(tblPiNHistorical[[#This Row],[Health - old]]="", tblPiNHistorical[[#This Row],[Health - old]]=0, tblPiNHistorical[[#This Row],[Health - new]]="", tblPiNHistorical[[#This Row],[Health - new]]=0), "", tblPiNHistorical[[#This Row],[Health - new]]-tblPiNHistorical[[#This Row],[Health - old]])</f>
        <v>9841.6442612021856</v>
      </c>
      <c r="AF8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12836.5</v>
      </c>
      <c r="AG88" s="312">
        <f>IF(OR(tblPiNHistorical[[#This Row],[Shelter - old]]="", tblPiNHistorical[[#This Row],[Shelter - old]]=0, tblPiNHistorical[[#This Row],[Shelter - new]]="", tblPiNHistorical[[#This Row],[Shelter - new]]=0), "", tblPiNHistorical[[#This Row],[Shelter - new]]-tblPiNHistorical[[#This Row],[Shelter - old]])</f>
        <v>9047</v>
      </c>
      <c r="AH88" s="313">
        <f>IF(OR(tblPiNHistorical[[#This Row],[WASH - old]]="", tblPiNHistorical[[#This Row],[WASH - old]]=0, tblPiNHistorical[[#This Row],[WASH - new]]="", tblPiNHistorical[[#This Row],[WASH - new]]=0), "", tblPiNHistorical[[#This Row],[WASH - new]]-tblPiNHistorical[[#This Row],[WASH - old]])</f>
        <v>-22389.210986114893</v>
      </c>
      <c r="AI88" s="314">
        <f>IFERROR(ROUND((tblPiNHistorical[[#This Row],[CCCM - new]] - tblPiNHistorical[[#This Row],[CCCM - old]])/tblPiNHistorical[[#This Row],[CCCM - old]], 1), "")</f>
        <v>-0.1</v>
      </c>
      <c r="AJ88" s="315">
        <f>IFERROR(ROUND((tblPiNHistorical[[#This Row],[Education - new]]-tblPiNHistorical[[#This Row],[Education - old]])/tblPiNHistorical[[#This Row],[Education - old]], 1), "")</f>
        <v>0.5</v>
      </c>
      <c r="AK88" s="315">
        <f>IFERROR(ROUND((tblPiNHistorical[[#This Row],[Nutrition - new]]-tblPiNHistorical[[#This Row],[Nutrition - old]])/tblPiNHistorical[[#This Row],[Nutrition - old]], 1), "")</f>
        <v>0.1</v>
      </c>
      <c r="AL88" s="315">
        <f>IFERROR(ROUND((tblPiNHistorical[[#This Row],[Food Security - new]]-tblPiNHistorical[[#This Row],[Food Security - old]])/tblPiNHistorical[[#This Row],[Food Security - old]], 1), "")</f>
        <v>0.4</v>
      </c>
      <c r="AM88" s="315">
        <f>IFERROR(ROUND((tblPiNHistorical[[#This Row],[Health - new]]-tblPiNHistorical[[#This Row],[Health - old]])/tblPiNHistorical[[#This Row],[Health - old]], 1), "")</f>
        <v>0.3</v>
      </c>
      <c r="AN88" s="315">
        <f>IFERROR(ROUND((tblPiNHistorical[[#This Row],[Overarching Protection - new]]-tblPiNHistorical[[#This Row],[Overarching Protection - old]])/tblPiNHistorical[[#This Row],[Overarching Protection - old]], 1), "")</f>
        <v>1.9</v>
      </c>
      <c r="AO88" s="315">
        <f>IFERROR(ROUND((tblPiNHistorical[[#This Row],[Shelter - new]]-tblPiNHistorical[[#This Row],[Shelter - old]])/tblPiNHistorical[[#This Row],[Shelter - old]], 1), "")</f>
        <v>0.5</v>
      </c>
      <c r="AP88" s="37">
        <f>IFERROR(ROUND((tblPiNHistorical[[#This Row],[WASH - new]]-tblPiNHistorical[[#This Row],[WASH - old]])/tblPiNHistorical[[#This Row],[WASH - old]], 1), "")</f>
        <v>-0.5</v>
      </c>
    </row>
    <row r="89" spans="1:42">
      <c r="A8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Global_PopulationHT0632</v>
      </c>
      <c r="B89" s="304" t="s">
        <v>319</v>
      </c>
      <c r="C89" s="213" t="s">
        <v>320</v>
      </c>
      <c r="D89" s="213" t="s">
        <v>337</v>
      </c>
      <c r="E89" s="103" t="s">
        <v>338</v>
      </c>
      <c r="F89" s="99"/>
      <c r="G89" s="34"/>
      <c r="H89" s="331"/>
      <c r="I89" s="96">
        <v>123067</v>
      </c>
      <c r="J89" s="241" t="s">
        <v>156</v>
      </c>
      <c r="K89" s="305">
        <v>16950</v>
      </c>
      <c r="L89" s="306">
        <v>15654</v>
      </c>
      <c r="M89" s="308">
        <v>9633</v>
      </c>
      <c r="N89" s="308">
        <v>47178</v>
      </c>
      <c r="O89" s="308">
        <v>56397</v>
      </c>
      <c r="P89" s="308">
        <v>18145</v>
      </c>
      <c r="Q89" s="309">
        <v>38451</v>
      </c>
      <c r="R89" s="308">
        <v>46966.247654661282</v>
      </c>
      <c r="S89" s="308">
        <f>IFERROR(INDEX(tblPiNAnalysis[CCCM], MATCH(tblPiNHistorical[[#This Row],[ID]], tblPiNAnalysis[ID], 0)), "")</f>
        <v>165361.5</v>
      </c>
      <c r="T89" s="310">
        <f>IFERROR(INDEX(tblPiNAnalysis[Education], MATCH(tblPiNHistorical[[#This Row],[ID]], tblPiNAnalysis[ID], 0)), "")</f>
        <v>23811</v>
      </c>
      <c r="U89" s="308">
        <f>IFERROR(INDEX(tblPiNAnalysis[Nutrition], MATCH(tblPiNHistorical[[#This Row],[ID]], tblPiNAnalysis[ID], 0)), "")</f>
        <v>17891</v>
      </c>
      <c r="V89" s="308">
        <f>IFERROR(INDEX(tblPiNAnalysis[Food Security], MATCH(tblPiNHistorical[[#This Row],[ID]], tblPiNAnalysis[ID], 0)), "")</f>
        <v>66866</v>
      </c>
      <c r="W89" s="308">
        <f>IFERROR(INDEX(tblPiNAnalysis[Health], MATCH(tblPiNHistorical[[#This Row],[ID]], tblPiNAnalysis[ID], 0)), "")</f>
        <v>175306.74852968712</v>
      </c>
      <c r="X89" s="308">
        <f>IFERROR(INDEX(tblPiNAnalysis[Protection], MATCH(tblPiNHistorical[[#This Row],[ID]], tblPiNAnalysis[ID], 0)), "")</f>
        <v>220698.15</v>
      </c>
      <c r="Y89" s="308">
        <f>IFERROR(INDEX(tblPiNAnalysis[Shelter], MATCH(tblPiNHistorical[[#This Row],[ID]], tblPiNAnalysis[ID], 0)), "")</f>
        <v>85526</v>
      </c>
      <c r="Z89" s="308">
        <f>IFERROR(INDEX(tblPiNAnalysis[WASH], MATCH(tblPiNHistorical[[#This Row],[ID]], tblPiNAnalysis[ID], 0)), "")</f>
        <v>110241</v>
      </c>
      <c r="AA89" s="311">
        <f>IF(OR(tblPiNHistorical[[#This Row],[CCCM - old]]="", tblPiNHistorical[[#This Row],[CCCM - old]]=0, tblPiNHistorical[[#This Row],[CCCM - new]]="", tblPiNHistorical[[#This Row],[CCCM - new]]=0), "", tblPiNHistorical[[#This Row],[CCCM - new]]-tblPiNHistorical[[#This Row],[CCCM - old]])</f>
        <v>148411.5</v>
      </c>
      <c r="AB89" s="312">
        <f>IF(OR(tblPiNHistorical[[#This Row],[Education - old]]="", tblPiNHistorical[[#This Row],[Education - old]]=0, tblPiNHistorical[[#This Row],[Education - new]]="", tblPiNHistorical[[#This Row],[Education - new]]=0), "", tblPiNHistorical[[#This Row],[Education - new]]-tblPiNHistorical[[#This Row],[Education - old]])</f>
        <v>8157</v>
      </c>
      <c r="AC89" s="312">
        <f>IF(OR(tblPiNHistorical[[#This Row],[Nutrition - old]]="", tblPiNHistorical[[#This Row],[Nutrition - old]]=0, tblPiNHistorical[[#This Row],[Nutrition - new]]="", tblPiNHistorical[[#This Row],[Nutrition - new]]=0), "", tblPiNHistorical[[#This Row],[Nutrition - new]]-tblPiNHistorical[[#This Row],[Nutrition - old]])</f>
        <v>8258</v>
      </c>
      <c r="AD89" s="312">
        <f>IF(OR(tblPiNHistorical[[#This Row],[Food Security - old]]="", tblPiNHistorical[[#This Row],[Food Security - old]]=0, tblPiNHistorical[[#This Row],[Food Security - new]]="", tblPiNHistorical[[#This Row],[Food Security - new]]=0), "", tblPiNHistorical[[#This Row],[Food Security - new]]-tblPiNHistorical[[#This Row],[Food Security - old]])</f>
        <v>19688</v>
      </c>
      <c r="AE89" s="312">
        <f>IF(OR(tblPiNHistorical[[#This Row],[Health - old]]="", tblPiNHistorical[[#This Row],[Health - old]]=0, tblPiNHistorical[[#This Row],[Health - new]]="", tblPiNHistorical[[#This Row],[Health - new]]=0), "", tblPiNHistorical[[#This Row],[Health - new]]-tblPiNHistorical[[#This Row],[Health - old]])</f>
        <v>118909.74852968712</v>
      </c>
      <c r="AF8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202553.15</v>
      </c>
      <c r="AG89" s="312">
        <f>IF(OR(tblPiNHistorical[[#This Row],[Shelter - old]]="", tblPiNHistorical[[#This Row],[Shelter - old]]=0, tblPiNHistorical[[#This Row],[Shelter - new]]="", tblPiNHistorical[[#This Row],[Shelter - new]]=0), "", tblPiNHistorical[[#This Row],[Shelter - new]]-tblPiNHistorical[[#This Row],[Shelter - old]])</f>
        <v>47075</v>
      </c>
      <c r="AH89" s="313">
        <f>IF(OR(tblPiNHistorical[[#This Row],[WASH - old]]="", tblPiNHistorical[[#This Row],[WASH - old]]=0, tblPiNHistorical[[#This Row],[WASH - new]]="", tblPiNHistorical[[#This Row],[WASH - new]]=0), "", tblPiNHistorical[[#This Row],[WASH - new]]-tblPiNHistorical[[#This Row],[WASH - old]])</f>
        <v>63274.752345338718</v>
      </c>
      <c r="AI89" s="314">
        <f>IFERROR(ROUND((tblPiNHistorical[[#This Row],[CCCM - new]] - tblPiNHistorical[[#This Row],[CCCM - old]])/tblPiNHistorical[[#This Row],[CCCM - old]], 1), "")</f>
        <v>8.8000000000000007</v>
      </c>
      <c r="AJ89" s="315">
        <f>IFERROR(ROUND((tblPiNHistorical[[#This Row],[Education - new]]-tblPiNHistorical[[#This Row],[Education - old]])/tblPiNHistorical[[#This Row],[Education - old]], 1), "")</f>
        <v>0.5</v>
      </c>
      <c r="AK89" s="315">
        <f>IFERROR(ROUND((tblPiNHistorical[[#This Row],[Nutrition - new]]-tblPiNHistorical[[#This Row],[Nutrition - old]])/tblPiNHistorical[[#This Row],[Nutrition - old]], 1), "")</f>
        <v>0.9</v>
      </c>
      <c r="AL89" s="315">
        <f>IFERROR(ROUND((tblPiNHistorical[[#This Row],[Food Security - new]]-tblPiNHistorical[[#This Row],[Food Security - old]])/tblPiNHistorical[[#This Row],[Food Security - old]], 1), "")</f>
        <v>0.4</v>
      </c>
      <c r="AM89" s="315">
        <f>IFERROR(ROUND((tblPiNHistorical[[#This Row],[Health - new]]-tblPiNHistorical[[#This Row],[Health - old]])/tblPiNHistorical[[#This Row],[Health - old]], 1), "")</f>
        <v>2.1</v>
      </c>
      <c r="AN89" s="315">
        <f>IFERROR(ROUND((tblPiNHistorical[[#This Row],[Overarching Protection - new]]-tblPiNHistorical[[#This Row],[Overarching Protection - old]])/tblPiNHistorical[[#This Row],[Overarching Protection - old]], 1), "")</f>
        <v>11.2</v>
      </c>
      <c r="AO89" s="315">
        <f>IFERROR(ROUND((tblPiNHistorical[[#This Row],[Shelter - new]]-tblPiNHistorical[[#This Row],[Shelter - old]])/tblPiNHistorical[[#This Row],[Shelter - old]], 1), "")</f>
        <v>1.2</v>
      </c>
      <c r="AP89" s="37">
        <f>IFERROR(ROUND((tblPiNHistorical[[#This Row],[WASH - new]]-tblPiNHistorical[[#This Row],[WASH - old]])/tblPiNHistorical[[#This Row],[WASH - old]], 1), "")</f>
        <v>1.3</v>
      </c>
    </row>
    <row r="90" spans="1:42">
      <c r="A9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Global_PopulationHT0633</v>
      </c>
      <c r="B90" s="304" t="s">
        <v>319</v>
      </c>
      <c r="C90" s="213" t="s">
        <v>320</v>
      </c>
      <c r="D90" s="213" t="s">
        <v>339</v>
      </c>
      <c r="E90" s="103" t="s">
        <v>340</v>
      </c>
      <c r="F90" s="99"/>
      <c r="G90" s="34"/>
      <c r="H90" s="331"/>
      <c r="I90" s="96">
        <v>46902</v>
      </c>
      <c r="J90" s="241" t="s">
        <v>156</v>
      </c>
      <c r="K90" s="305">
        <v>482</v>
      </c>
      <c r="L90" s="306">
        <v>5438</v>
      </c>
      <c r="M90" s="308">
        <v>3815</v>
      </c>
      <c r="N90" s="308">
        <v>19718</v>
      </c>
      <c r="O90" s="308">
        <v>14653</v>
      </c>
      <c r="P90" s="308">
        <v>3779</v>
      </c>
      <c r="Q90" s="309">
        <v>23291</v>
      </c>
      <c r="R90" s="308">
        <v>9301.576416485299</v>
      </c>
      <c r="S90" s="308">
        <f>IFERROR(INDEX(tblPiNAnalysis[CCCM], MATCH(tblPiNHistorical[[#This Row],[ID]], tblPiNAnalysis[ID], 0)), "")</f>
        <v>7314</v>
      </c>
      <c r="T90" s="310">
        <f>IFERROR(INDEX(tblPiNAnalysis[Education], MATCH(tblPiNHistorical[[#This Row],[ID]], tblPiNAnalysis[ID], 0)), "")</f>
        <v>7989</v>
      </c>
      <c r="U90" s="308">
        <f>IFERROR(INDEX(tblPiNAnalysis[Nutrition], MATCH(tblPiNHistorical[[#This Row],[ID]], tblPiNAnalysis[ID], 0)), "")</f>
        <v>4180</v>
      </c>
      <c r="V90" s="308">
        <f>IFERROR(INDEX(tblPiNAnalysis[Food Security], MATCH(tblPiNHistorical[[#This Row],[ID]], tblPiNAnalysis[ID], 0)), "")</f>
        <v>27947</v>
      </c>
      <c r="W90" s="308">
        <f>IFERROR(INDEX(tblPiNAnalysis[Health], MATCH(tblPiNHistorical[[#This Row],[ID]], tblPiNAnalysis[ID], 0)), "")</f>
        <v>7006.9163017227247</v>
      </c>
      <c r="X90" s="308">
        <f>IFERROR(INDEX(tblPiNAnalysis[Protection], MATCH(tblPiNHistorical[[#This Row],[ID]], tblPiNAnalysis[ID], 0)), "")</f>
        <v>10311.87875</v>
      </c>
      <c r="Y90" s="308">
        <f>IFERROR(INDEX(tblPiNAnalysis[Shelter], MATCH(tblPiNHistorical[[#This Row],[ID]], tblPiNAnalysis[ID], 0)), "")</f>
        <v>25568</v>
      </c>
      <c r="Z90" s="308">
        <f>IFERROR(INDEX(tblPiNAnalysis[WASH], MATCH(tblPiNHistorical[[#This Row],[ID]], tblPiNAnalysis[ID], 0)), "")</f>
        <v>23451</v>
      </c>
      <c r="AA90" s="311">
        <f>IF(OR(tblPiNHistorical[[#This Row],[CCCM - old]]="", tblPiNHistorical[[#This Row],[CCCM - old]]=0, tblPiNHistorical[[#This Row],[CCCM - new]]="", tblPiNHistorical[[#This Row],[CCCM - new]]=0), "", tblPiNHistorical[[#This Row],[CCCM - new]]-tblPiNHistorical[[#This Row],[CCCM - old]])</f>
        <v>6832</v>
      </c>
      <c r="AB90" s="312">
        <f>IF(OR(tblPiNHistorical[[#This Row],[Education - old]]="", tblPiNHistorical[[#This Row],[Education - old]]=0, tblPiNHistorical[[#This Row],[Education - new]]="", tblPiNHistorical[[#This Row],[Education - new]]=0), "", tblPiNHistorical[[#This Row],[Education - new]]-tblPiNHistorical[[#This Row],[Education - old]])</f>
        <v>2551</v>
      </c>
      <c r="AC90" s="312">
        <f>IF(OR(tblPiNHistorical[[#This Row],[Nutrition - old]]="", tblPiNHistorical[[#This Row],[Nutrition - old]]=0, tblPiNHistorical[[#This Row],[Nutrition - new]]="", tblPiNHistorical[[#This Row],[Nutrition - new]]=0), "", tblPiNHistorical[[#This Row],[Nutrition - new]]-tblPiNHistorical[[#This Row],[Nutrition - old]])</f>
        <v>365</v>
      </c>
      <c r="AD90" s="312">
        <f>IF(OR(tblPiNHistorical[[#This Row],[Food Security - old]]="", tblPiNHistorical[[#This Row],[Food Security - old]]=0, tblPiNHistorical[[#This Row],[Food Security - new]]="", tblPiNHistorical[[#This Row],[Food Security - new]]=0), "", tblPiNHistorical[[#This Row],[Food Security - new]]-tblPiNHistorical[[#This Row],[Food Security - old]])</f>
        <v>8229</v>
      </c>
      <c r="AE90" s="312">
        <f>IF(OR(tblPiNHistorical[[#This Row],[Health - old]]="", tblPiNHistorical[[#This Row],[Health - old]]=0, tblPiNHistorical[[#This Row],[Health - new]]="", tblPiNHistorical[[#This Row],[Health - new]]=0), "", tblPiNHistorical[[#This Row],[Health - new]]-tblPiNHistorical[[#This Row],[Health - old]])</f>
        <v>-7646.0836982772753</v>
      </c>
      <c r="AF9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6532.8787499999999</v>
      </c>
      <c r="AG90" s="312">
        <f>IF(OR(tblPiNHistorical[[#This Row],[Shelter - old]]="", tblPiNHistorical[[#This Row],[Shelter - old]]=0, tblPiNHistorical[[#This Row],[Shelter - new]]="", tblPiNHistorical[[#This Row],[Shelter - new]]=0), "", tblPiNHistorical[[#This Row],[Shelter - new]]-tblPiNHistorical[[#This Row],[Shelter - old]])</f>
        <v>2277</v>
      </c>
      <c r="AH90" s="313">
        <f>IF(OR(tblPiNHistorical[[#This Row],[WASH - old]]="", tblPiNHistorical[[#This Row],[WASH - old]]=0, tblPiNHistorical[[#This Row],[WASH - new]]="", tblPiNHistorical[[#This Row],[WASH - new]]=0), "", tblPiNHistorical[[#This Row],[WASH - new]]-tblPiNHistorical[[#This Row],[WASH - old]])</f>
        <v>14149.423583514701</v>
      </c>
      <c r="AI90" s="314">
        <f>IFERROR(ROUND((tblPiNHistorical[[#This Row],[CCCM - new]] - tblPiNHistorical[[#This Row],[CCCM - old]])/tblPiNHistorical[[#This Row],[CCCM - old]], 1), "")</f>
        <v>14.2</v>
      </c>
      <c r="AJ90" s="315">
        <f>IFERROR(ROUND((tblPiNHistorical[[#This Row],[Education - new]]-tblPiNHistorical[[#This Row],[Education - old]])/tblPiNHistorical[[#This Row],[Education - old]], 1), "")</f>
        <v>0.5</v>
      </c>
      <c r="AK90" s="315">
        <f>IFERROR(ROUND((tblPiNHistorical[[#This Row],[Nutrition - new]]-tblPiNHistorical[[#This Row],[Nutrition - old]])/tblPiNHistorical[[#This Row],[Nutrition - old]], 1), "")</f>
        <v>0.1</v>
      </c>
      <c r="AL90" s="315">
        <f>IFERROR(ROUND((tblPiNHistorical[[#This Row],[Food Security - new]]-tblPiNHistorical[[#This Row],[Food Security - old]])/tblPiNHistorical[[#This Row],[Food Security - old]], 1), "")</f>
        <v>0.4</v>
      </c>
      <c r="AM90" s="315">
        <f>IFERROR(ROUND((tblPiNHistorical[[#This Row],[Health - new]]-tblPiNHistorical[[#This Row],[Health - old]])/tblPiNHistorical[[#This Row],[Health - old]], 1), "")</f>
        <v>-0.5</v>
      </c>
      <c r="AN90" s="315">
        <f>IFERROR(ROUND((tblPiNHistorical[[#This Row],[Overarching Protection - new]]-tblPiNHistorical[[#This Row],[Overarching Protection - old]])/tblPiNHistorical[[#This Row],[Overarching Protection - old]], 1), "")</f>
        <v>1.7</v>
      </c>
      <c r="AO90" s="315">
        <f>IFERROR(ROUND((tblPiNHistorical[[#This Row],[Shelter - new]]-tblPiNHistorical[[#This Row],[Shelter - old]])/tblPiNHistorical[[#This Row],[Shelter - old]], 1), "")</f>
        <v>0.1</v>
      </c>
      <c r="AP90" s="37">
        <f>IFERROR(ROUND((tblPiNHistorical[[#This Row],[WASH - new]]-tblPiNHistorical[[#This Row],[WASH - old]])/tblPiNHistorical[[#This Row],[WASH - old]], 1), "")</f>
        <v>1.5</v>
      </c>
    </row>
    <row r="91" spans="1:42">
      <c r="A9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Global_PopulationHT0641</v>
      </c>
      <c r="B91" s="304" t="s">
        <v>319</v>
      </c>
      <c r="C91" s="213" t="s">
        <v>320</v>
      </c>
      <c r="D91" s="213" t="s">
        <v>341</v>
      </c>
      <c r="E91" s="103" t="s">
        <v>342</v>
      </c>
      <c r="F91" s="99"/>
      <c r="G91" s="34"/>
      <c r="H91" s="331"/>
      <c r="I91" s="96">
        <v>73041</v>
      </c>
      <c r="J91" s="241" t="s">
        <v>156</v>
      </c>
      <c r="K91" s="305">
        <v>456</v>
      </c>
      <c r="L91" s="306">
        <v>10058</v>
      </c>
      <c r="M91" s="308">
        <v>5685</v>
      </c>
      <c r="N91" s="308">
        <v>30793</v>
      </c>
      <c r="O91" s="308">
        <v>18034</v>
      </c>
      <c r="P91" s="308">
        <v>9755</v>
      </c>
      <c r="Q91" s="309">
        <v>25000</v>
      </c>
      <c r="R91" s="308">
        <v>6099.4932207226802</v>
      </c>
      <c r="S91" s="308">
        <f>IFERROR(INDEX(tblPiNAnalysis[CCCM], MATCH(tblPiNHistorical[[#This Row],[ID]], tblPiNAnalysis[ID], 0)), "")</f>
        <v>1032</v>
      </c>
      <c r="T91" s="310">
        <f>IFERROR(INDEX(tblPiNAnalysis[Education], MATCH(tblPiNHistorical[[#This Row],[ID]], tblPiNAnalysis[ID], 0)), "")</f>
        <v>15004</v>
      </c>
      <c r="U91" s="308">
        <f>IFERROR(INDEX(tblPiNAnalysis[Nutrition], MATCH(tblPiNHistorical[[#This Row],[ID]], tblPiNAnalysis[ID], 0)), "")</f>
        <v>5736</v>
      </c>
      <c r="V91" s="308">
        <f>IFERROR(INDEX(tblPiNAnalysis[Food Security], MATCH(tblPiNHistorical[[#This Row],[ID]], tblPiNAnalysis[ID], 0)), "")</f>
        <v>36370</v>
      </c>
      <c r="W91" s="308">
        <f>IFERROR(INDEX(tblPiNAnalysis[Health], MATCH(tblPiNHistorical[[#This Row],[ID]], tblPiNAnalysis[ID], 0)), "")</f>
        <v>1524.398023255814</v>
      </c>
      <c r="X91" s="308">
        <f>IFERROR(INDEX(tblPiNAnalysis[Protection], MATCH(tblPiNHistorical[[#This Row],[ID]], tblPiNAnalysis[ID], 0)), "")</f>
        <v>3050</v>
      </c>
      <c r="Y91" s="308">
        <f>IFERROR(INDEX(tblPiNAnalysis[Shelter], MATCH(tblPiNHistorical[[#This Row],[ID]], tblPiNAnalysis[ID], 0)), "")</f>
        <v>44281</v>
      </c>
      <c r="Z91" s="308">
        <f>IFERROR(INDEX(tblPiNAnalysis[WASH], MATCH(tblPiNHistorical[[#This Row],[ID]], tblPiNAnalysis[ID], 0)), "")</f>
        <v>6086.75</v>
      </c>
      <c r="AA91" s="311">
        <f>IF(OR(tblPiNHistorical[[#This Row],[CCCM - old]]="", tblPiNHistorical[[#This Row],[CCCM - old]]=0, tblPiNHistorical[[#This Row],[CCCM - new]]="", tblPiNHistorical[[#This Row],[CCCM - new]]=0), "", tblPiNHistorical[[#This Row],[CCCM - new]]-tblPiNHistorical[[#This Row],[CCCM - old]])</f>
        <v>576</v>
      </c>
      <c r="AB91" s="312">
        <f>IF(OR(tblPiNHistorical[[#This Row],[Education - old]]="", tblPiNHistorical[[#This Row],[Education - old]]=0, tblPiNHistorical[[#This Row],[Education - new]]="", tblPiNHistorical[[#This Row],[Education - new]]=0), "", tblPiNHistorical[[#This Row],[Education - new]]-tblPiNHistorical[[#This Row],[Education - old]])</f>
        <v>4946</v>
      </c>
      <c r="AC91" s="312">
        <f>IF(OR(tblPiNHistorical[[#This Row],[Nutrition - old]]="", tblPiNHistorical[[#This Row],[Nutrition - old]]=0, tblPiNHistorical[[#This Row],[Nutrition - new]]="", tblPiNHistorical[[#This Row],[Nutrition - new]]=0), "", tblPiNHistorical[[#This Row],[Nutrition - new]]-tblPiNHistorical[[#This Row],[Nutrition - old]])</f>
        <v>51</v>
      </c>
      <c r="AD91" s="312">
        <f>IF(OR(tblPiNHistorical[[#This Row],[Food Security - old]]="", tblPiNHistorical[[#This Row],[Food Security - old]]=0, tblPiNHistorical[[#This Row],[Food Security - new]]="", tblPiNHistorical[[#This Row],[Food Security - new]]=0), "", tblPiNHistorical[[#This Row],[Food Security - new]]-tblPiNHistorical[[#This Row],[Food Security - old]])</f>
        <v>5577</v>
      </c>
      <c r="AE91" s="312">
        <f>IF(OR(tblPiNHistorical[[#This Row],[Health - old]]="", tblPiNHistorical[[#This Row],[Health - old]]=0, tblPiNHistorical[[#This Row],[Health - new]]="", tblPiNHistorical[[#This Row],[Health - new]]=0), "", tblPiNHistorical[[#This Row],[Health - new]]-tblPiNHistorical[[#This Row],[Health - old]])</f>
        <v>-16509.601976744187</v>
      </c>
      <c r="AF9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-6705</v>
      </c>
      <c r="AG91" s="312">
        <f>IF(OR(tblPiNHistorical[[#This Row],[Shelter - old]]="", tblPiNHistorical[[#This Row],[Shelter - old]]=0, tblPiNHistorical[[#This Row],[Shelter - new]]="", tblPiNHistorical[[#This Row],[Shelter - new]]=0), "", tblPiNHistorical[[#This Row],[Shelter - new]]-tblPiNHistorical[[#This Row],[Shelter - old]])</f>
        <v>19281</v>
      </c>
      <c r="AH91" s="313">
        <f>IF(OR(tblPiNHistorical[[#This Row],[WASH - old]]="", tblPiNHistorical[[#This Row],[WASH - old]]=0, tblPiNHistorical[[#This Row],[WASH - new]]="", tblPiNHistorical[[#This Row],[WASH - new]]=0), "", tblPiNHistorical[[#This Row],[WASH - new]]-tblPiNHistorical[[#This Row],[WASH - old]])</f>
        <v>-12.743220722680235</v>
      </c>
      <c r="AI91" s="314">
        <f>IFERROR(ROUND((tblPiNHistorical[[#This Row],[CCCM - new]] - tblPiNHistorical[[#This Row],[CCCM - old]])/tblPiNHistorical[[#This Row],[CCCM - old]], 1), "")</f>
        <v>1.3</v>
      </c>
      <c r="AJ91" s="315">
        <f>IFERROR(ROUND((tblPiNHistorical[[#This Row],[Education - new]]-tblPiNHistorical[[#This Row],[Education - old]])/tblPiNHistorical[[#This Row],[Education - old]], 1), "")</f>
        <v>0.5</v>
      </c>
      <c r="AK91" s="315">
        <f>IFERROR(ROUND((tblPiNHistorical[[#This Row],[Nutrition - new]]-tblPiNHistorical[[#This Row],[Nutrition - old]])/tblPiNHistorical[[#This Row],[Nutrition - old]], 1), "")</f>
        <v>0</v>
      </c>
      <c r="AL91" s="315">
        <f>IFERROR(ROUND((tblPiNHistorical[[#This Row],[Food Security - new]]-tblPiNHistorical[[#This Row],[Food Security - old]])/tblPiNHistorical[[#This Row],[Food Security - old]], 1), "")</f>
        <v>0.2</v>
      </c>
      <c r="AM91" s="315">
        <f>IFERROR(ROUND((tblPiNHistorical[[#This Row],[Health - new]]-tblPiNHistorical[[#This Row],[Health - old]])/tblPiNHistorical[[#This Row],[Health - old]], 1), "")</f>
        <v>-0.9</v>
      </c>
      <c r="AN91" s="315">
        <f>IFERROR(ROUND((tblPiNHistorical[[#This Row],[Overarching Protection - new]]-tblPiNHistorical[[#This Row],[Overarching Protection - old]])/tblPiNHistorical[[#This Row],[Overarching Protection - old]], 1), "")</f>
        <v>-0.7</v>
      </c>
      <c r="AO91" s="315">
        <f>IFERROR(ROUND((tblPiNHistorical[[#This Row],[Shelter - new]]-tblPiNHistorical[[#This Row],[Shelter - old]])/tblPiNHistorical[[#This Row],[Shelter - old]], 1), "")</f>
        <v>0.8</v>
      </c>
      <c r="AP91" s="37">
        <f>IFERROR(ROUND((tblPiNHistorical[[#This Row],[WASH - new]]-tblPiNHistorical[[#This Row],[WASH - old]])/tblPiNHistorical[[#This Row],[WASH - old]], 1), "")</f>
        <v>0</v>
      </c>
    </row>
    <row r="92" spans="1:42">
      <c r="A9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Global_PopulationHT0642</v>
      </c>
      <c r="B92" s="304" t="s">
        <v>319</v>
      </c>
      <c r="C92" s="213" t="s">
        <v>320</v>
      </c>
      <c r="D92" s="213" t="s">
        <v>343</v>
      </c>
      <c r="E92" s="103" t="s">
        <v>344</v>
      </c>
      <c r="F92" s="99"/>
      <c r="G92" s="34"/>
      <c r="H92" s="331"/>
      <c r="I92" s="96">
        <v>85148</v>
      </c>
      <c r="J92" s="241" t="s">
        <v>156</v>
      </c>
      <c r="K92" s="305">
        <v>5550</v>
      </c>
      <c r="L92" s="306">
        <v>12504</v>
      </c>
      <c r="M92" s="308">
        <v>6676</v>
      </c>
      <c r="N92" s="308">
        <v>34438</v>
      </c>
      <c r="O92" s="308">
        <v>30579</v>
      </c>
      <c r="P92" s="308">
        <v>11539</v>
      </c>
      <c r="Q92" s="309">
        <v>40724</v>
      </c>
      <c r="R92" s="308">
        <v>19495.251740089068</v>
      </c>
      <c r="S92" s="308">
        <f>IFERROR(INDEX(tblPiNAnalysis[CCCM], MATCH(tblPiNHistorical[[#This Row],[ID]], tblPiNAnalysis[ID], 0)), "")</f>
        <v>12891</v>
      </c>
      <c r="T92" s="310">
        <f>IFERROR(INDEX(tblPiNAnalysis[Education], MATCH(tblPiNHistorical[[#This Row],[ID]], tblPiNAnalysis[ID], 0)), "")</f>
        <v>17776</v>
      </c>
      <c r="U92" s="308">
        <f>IFERROR(INDEX(tblPiNAnalysis[Nutrition], MATCH(tblPiNHistorical[[#This Row],[ID]], tblPiNAnalysis[ID], 0)), "")</f>
        <v>7320</v>
      </c>
      <c r="V92" s="308">
        <f>IFERROR(INDEX(tblPiNAnalysis[Food Security], MATCH(tblPiNHistorical[[#This Row],[ID]], tblPiNAnalysis[ID], 0)), "")</f>
        <v>40676</v>
      </c>
      <c r="W92" s="308">
        <f>IFERROR(INDEX(tblPiNAnalysis[Health], MATCH(tblPiNHistorical[[#This Row],[ID]], tblPiNAnalysis[ID], 0)), "")</f>
        <v>17875.690066278803</v>
      </c>
      <c r="X92" s="308">
        <f>IFERROR(INDEX(tblPiNAnalysis[Protection], MATCH(tblPiNHistorical[[#This Row],[ID]], tblPiNAnalysis[ID], 0)), "")</f>
        <v>19038.68</v>
      </c>
      <c r="Y92" s="308">
        <f>IFERROR(INDEX(tblPiNAnalysis[Shelter], MATCH(tblPiNHistorical[[#This Row],[ID]], tblPiNAnalysis[ID], 0)), "")</f>
        <v>48734</v>
      </c>
      <c r="Z92" s="308">
        <f>IFERROR(INDEX(tblPiNAnalysis[WASH], MATCH(tblPiNHistorical[[#This Row],[ID]], tblPiNAnalysis[ID], 0)), "")</f>
        <v>21287</v>
      </c>
      <c r="AA92" s="311">
        <f>IF(OR(tblPiNHistorical[[#This Row],[CCCM - old]]="", tblPiNHistorical[[#This Row],[CCCM - old]]=0, tblPiNHistorical[[#This Row],[CCCM - new]]="", tblPiNHistorical[[#This Row],[CCCM - new]]=0), "", tblPiNHistorical[[#This Row],[CCCM - new]]-tblPiNHistorical[[#This Row],[CCCM - old]])</f>
        <v>7341</v>
      </c>
      <c r="AB92" s="312">
        <f>IF(OR(tblPiNHistorical[[#This Row],[Education - old]]="", tblPiNHistorical[[#This Row],[Education - old]]=0, tblPiNHistorical[[#This Row],[Education - new]]="", tblPiNHistorical[[#This Row],[Education - new]]=0), "", tblPiNHistorical[[#This Row],[Education - new]]-tblPiNHistorical[[#This Row],[Education - old]])</f>
        <v>5272</v>
      </c>
      <c r="AC92" s="312">
        <f>IF(OR(tblPiNHistorical[[#This Row],[Nutrition - old]]="", tblPiNHistorical[[#This Row],[Nutrition - old]]=0, tblPiNHistorical[[#This Row],[Nutrition - new]]="", tblPiNHistorical[[#This Row],[Nutrition - new]]=0), "", tblPiNHistorical[[#This Row],[Nutrition - new]]-tblPiNHistorical[[#This Row],[Nutrition - old]])</f>
        <v>644</v>
      </c>
      <c r="AD92" s="312">
        <f>IF(OR(tblPiNHistorical[[#This Row],[Food Security - old]]="", tblPiNHistorical[[#This Row],[Food Security - old]]=0, tblPiNHistorical[[#This Row],[Food Security - new]]="", tblPiNHistorical[[#This Row],[Food Security - new]]=0), "", tblPiNHistorical[[#This Row],[Food Security - new]]-tblPiNHistorical[[#This Row],[Food Security - old]])</f>
        <v>6238</v>
      </c>
      <c r="AE92" s="312">
        <f>IF(OR(tblPiNHistorical[[#This Row],[Health - old]]="", tblPiNHistorical[[#This Row],[Health - old]]=0, tblPiNHistorical[[#This Row],[Health - new]]="", tblPiNHistorical[[#This Row],[Health - new]]=0), "", tblPiNHistorical[[#This Row],[Health - new]]-tblPiNHistorical[[#This Row],[Health - old]])</f>
        <v>-12703.309933721197</v>
      </c>
      <c r="AF9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7499.68</v>
      </c>
      <c r="AG92" s="312">
        <f>IF(OR(tblPiNHistorical[[#This Row],[Shelter - old]]="", tblPiNHistorical[[#This Row],[Shelter - old]]=0, tblPiNHistorical[[#This Row],[Shelter - new]]="", tblPiNHistorical[[#This Row],[Shelter - new]]=0), "", tblPiNHistorical[[#This Row],[Shelter - new]]-tblPiNHistorical[[#This Row],[Shelter - old]])</f>
        <v>8010</v>
      </c>
      <c r="AH92" s="313">
        <f>IF(OR(tblPiNHistorical[[#This Row],[WASH - old]]="", tblPiNHistorical[[#This Row],[WASH - old]]=0, tblPiNHistorical[[#This Row],[WASH - new]]="", tblPiNHistorical[[#This Row],[WASH - new]]=0), "", tblPiNHistorical[[#This Row],[WASH - new]]-tblPiNHistorical[[#This Row],[WASH - old]])</f>
        <v>1791.7482599109317</v>
      </c>
      <c r="AI92" s="314">
        <f>IFERROR(ROUND((tblPiNHistorical[[#This Row],[CCCM - new]] - tblPiNHistorical[[#This Row],[CCCM - old]])/tblPiNHistorical[[#This Row],[CCCM - old]], 1), "")</f>
        <v>1.3</v>
      </c>
      <c r="AJ92" s="315">
        <f>IFERROR(ROUND((tblPiNHistorical[[#This Row],[Education - new]]-tblPiNHistorical[[#This Row],[Education - old]])/tblPiNHistorical[[#This Row],[Education - old]], 1), "")</f>
        <v>0.4</v>
      </c>
      <c r="AK92" s="315">
        <f>IFERROR(ROUND((tblPiNHistorical[[#This Row],[Nutrition - new]]-tblPiNHistorical[[#This Row],[Nutrition - old]])/tblPiNHistorical[[#This Row],[Nutrition - old]], 1), "")</f>
        <v>0.1</v>
      </c>
      <c r="AL92" s="315">
        <f>IFERROR(ROUND((tblPiNHistorical[[#This Row],[Food Security - new]]-tblPiNHistorical[[#This Row],[Food Security - old]])/tblPiNHistorical[[#This Row],[Food Security - old]], 1), "")</f>
        <v>0.2</v>
      </c>
      <c r="AM92" s="315">
        <f>IFERROR(ROUND((tblPiNHistorical[[#This Row],[Health - new]]-tblPiNHistorical[[#This Row],[Health - old]])/tblPiNHistorical[[#This Row],[Health - old]], 1), "")</f>
        <v>-0.4</v>
      </c>
      <c r="AN92" s="315">
        <f>IFERROR(ROUND((tblPiNHistorical[[#This Row],[Overarching Protection - new]]-tblPiNHistorical[[#This Row],[Overarching Protection - old]])/tblPiNHistorical[[#This Row],[Overarching Protection - old]], 1), "")</f>
        <v>0.6</v>
      </c>
      <c r="AO92" s="315">
        <f>IFERROR(ROUND((tblPiNHistorical[[#This Row],[Shelter - new]]-tblPiNHistorical[[#This Row],[Shelter - old]])/tblPiNHistorical[[#This Row],[Shelter - old]], 1), "")</f>
        <v>0.2</v>
      </c>
      <c r="AP92" s="37">
        <f>IFERROR(ROUND((tblPiNHistorical[[#This Row],[WASH - new]]-tblPiNHistorical[[#This Row],[WASH - old]])/tblPiNHistorical[[#This Row],[WASH - old]], 1), "")</f>
        <v>0.1</v>
      </c>
    </row>
    <row r="93" spans="1:42">
      <c r="A9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Global_PopulationHT0711</v>
      </c>
      <c r="B93" s="304" t="s">
        <v>345</v>
      </c>
      <c r="C93" s="213" t="s">
        <v>346</v>
      </c>
      <c r="D93" s="213" t="s">
        <v>347</v>
      </c>
      <c r="E93" s="103" t="s">
        <v>348</v>
      </c>
      <c r="F93" s="99"/>
      <c r="G93" s="34"/>
      <c r="H93" s="331"/>
      <c r="I93" s="96">
        <v>207439</v>
      </c>
      <c r="J93" s="241" t="s">
        <v>156</v>
      </c>
      <c r="K93" s="305">
        <v>55220</v>
      </c>
      <c r="L93" s="306">
        <v>4633</v>
      </c>
      <c r="M93" s="308">
        <v>19015</v>
      </c>
      <c r="N93" s="308">
        <v>137197</v>
      </c>
      <c r="O93" s="308">
        <v>130006</v>
      </c>
      <c r="P93" s="308">
        <v>40186</v>
      </c>
      <c r="Q93" s="309">
        <v>82674</v>
      </c>
      <c r="R93" s="308">
        <v>127026.86720079124</v>
      </c>
      <c r="S93" s="308">
        <f>IFERROR(INDEX(tblPiNAnalysis[CCCM], MATCH(tblPiNHistorical[[#This Row],[ID]], tblPiNAnalysis[ID], 0)), "")</f>
        <v>68691</v>
      </c>
      <c r="T93" s="310">
        <f>IFERROR(INDEX(tblPiNAnalysis[Education], MATCH(tblPiNHistorical[[#This Row],[ID]], tblPiNAnalysis[ID], 0)), "")</f>
        <v>23591</v>
      </c>
      <c r="U93" s="308">
        <f>IFERROR(INDEX(tblPiNAnalysis[Nutrition], MATCH(tblPiNHistorical[[#This Row],[ID]], tblPiNAnalysis[ID], 0)), "")</f>
        <v>22325</v>
      </c>
      <c r="V93" s="308">
        <f>IFERROR(INDEX(tblPiNAnalysis[Food Security], MATCH(tblPiNHistorical[[#This Row],[ID]], tblPiNAnalysis[ID], 0)), "")</f>
        <v>106777</v>
      </c>
      <c r="W93" s="308">
        <f>IFERROR(INDEX(tblPiNAnalysis[Health], MATCH(tblPiNHistorical[[#This Row],[ID]], tblPiNAnalysis[ID], 0)), "")</f>
        <v>57479.033933712526</v>
      </c>
      <c r="X93" s="308">
        <f>IFERROR(INDEX(tblPiNAnalysis[Protection], MATCH(tblPiNHistorical[[#This Row],[ID]], tblPiNAnalysis[ID], 0)), "")</f>
        <v>46497.501052631582</v>
      </c>
      <c r="Y93" s="308">
        <f>IFERROR(INDEX(tblPiNAnalysis[Shelter], MATCH(tblPiNHistorical[[#This Row],[ID]], tblPiNAnalysis[ID], 0)), "")</f>
        <v>97831</v>
      </c>
      <c r="Z93" s="308">
        <f>IFERROR(INDEX(tblPiNAnalysis[WASH], MATCH(tblPiNHistorical[[#This Row],[ID]], tblPiNAnalysis[ID], 0)), "")</f>
        <v>46967.32075471698</v>
      </c>
      <c r="AA93" s="311">
        <f>IF(OR(tblPiNHistorical[[#This Row],[CCCM - old]]="", tblPiNHistorical[[#This Row],[CCCM - old]]=0, tblPiNHistorical[[#This Row],[CCCM - new]]="", tblPiNHistorical[[#This Row],[CCCM - new]]=0), "", tblPiNHistorical[[#This Row],[CCCM - new]]-tblPiNHistorical[[#This Row],[CCCM - old]])</f>
        <v>13471</v>
      </c>
      <c r="AB93" s="312">
        <f>IF(OR(tblPiNHistorical[[#This Row],[Education - old]]="", tblPiNHistorical[[#This Row],[Education - old]]=0, tblPiNHistorical[[#This Row],[Education - new]]="", tblPiNHistorical[[#This Row],[Education - new]]=0), "", tblPiNHistorical[[#This Row],[Education - new]]-tblPiNHistorical[[#This Row],[Education - old]])</f>
        <v>18958</v>
      </c>
      <c r="AC93" s="312">
        <f>IF(OR(tblPiNHistorical[[#This Row],[Nutrition - old]]="", tblPiNHistorical[[#This Row],[Nutrition - old]]=0, tblPiNHistorical[[#This Row],[Nutrition - new]]="", tblPiNHistorical[[#This Row],[Nutrition - new]]=0), "", tblPiNHistorical[[#This Row],[Nutrition - new]]-tblPiNHistorical[[#This Row],[Nutrition - old]])</f>
        <v>3310</v>
      </c>
      <c r="AD93" s="312">
        <f>IF(OR(tblPiNHistorical[[#This Row],[Food Security - old]]="", tblPiNHistorical[[#This Row],[Food Security - old]]=0, tblPiNHistorical[[#This Row],[Food Security - new]]="", tblPiNHistorical[[#This Row],[Food Security - new]]=0), "", tblPiNHistorical[[#This Row],[Food Security - new]]-tblPiNHistorical[[#This Row],[Food Security - old]])</f>
        <v>-30420</v>
      </c>
      <c r="AE93" s="312">
        <f>IF(OR(tblPiNHistorical[[#This Row],[Health - old]]="", tblPiNHistorical[[#This Row],[Health - old]]=0, tblPiNHistorical[[#This Row],[Health - new]]="", tblPiNHistorical[[#This Row],[Health - new]]=0), "", tblPiNHistorical[[#This Row],[Health - new]]-tblPiNHistorical[[#This Row],[Health - old]])</f>
        <v>-72526.966066287481</v>
      </c>
      <c r="AF9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6311.5010526315818</v>
      </c>
      <c r="AG93" s="312">
        <f>IF(OR(tblPiNHistorical[[#This Row],[Shelter - old]]="", tblPiNHistorical[[#This Row],[Shelter - old]]=0, tblPiNHistorical[[#This Row],[Shelter - new]]="", tblPiNHistorical[[#This Row],[Shelter - new]]=0), "", tblPiNHistorical[[#This Row],[Shelter - new]]-tblPiNHistorical[[#This Row],[Shelter - old]])</f>
        <v>15157</v>
      </c>
      <c r="AH93" s="313">
        <f>IF(OR(tblPiNHistorical[[#This Row],[WASH - old]]="", tblPiNHistorical[[#This Row],[WASH - old]]=0, tblPiNHistorical[[#This Row],[WASH - new]]="", tblPiNHistorical[[#This Row],[WASH - new]]=0), "", tblPiNHistorical[[#This Row],[WASH - new]]-tblPiNHistorical[[#This Row],[WASH - old]])</f>
        <v>-80059.546446074266</v>
      </c>
      <c r="AI93" s="314">
        <f>IFERROR(ROUND((tblPiNHistorical[[#This Row],[CCCM - new]] - tblPiNHistorical[[#This Row],[CCCM - old]])/tblPiNHistorical[[#This Row],[CCCM - old]], 1), "")</f>
        <v>0.2</v>
      </c>
      <c r="AJ93" s="315">
        <f>IFERROR(ROUND((tblPiNHistorical[[#This Row],[Education - new]]-tblPiNHistorical[[#This Row],[Education - old]])/tblPiNHistorical[[#This Row],[Education - old]], 1), "")</f>
        <v>4.0999999999999996</v>
      </c>
      <c r="AK93" s="315">
        <f>IFERROR(ROUND((tblPiNHistorical[[#This Row],[Nutrition - new]]-tblPiNHistorical[[#This Row],[Nutrition - old]])/tblPiNHistorical[[#This Row],[Nutrition - old]], 1), "")</f>
        <v>0.2</v>
      </c>
      <c r="AL93" s="315">
        <f>IFERROR(ROUND((tblPiNHistorical[[#This Row],[Food Security - new]]-tblPiNHistorical[[#This Row],[Food Security - old]])/tblPiNHistorical[[#This Row],[Food Security - old]], 1), "")</f>
        <v>-0.2</v>
      </c>
      <c r="AM93" s="315">
        <f>IFERROR(ROUND((tblPiNHistorical[[#This Row],[Health - new]]-tblPiNHistorical[[#This Row],[Health - old]])/tblPiNHistorical[[#This Row],[Health - old]], 1), "")</f>
        <v>-0.6</v>
      </c>
      <c r="AN93" s="315">
        <f>IFERROR(ROUND((tblPiNHistorical[[#This Row],[Overarching Protection - new]]-tblPiNHistorical[[#This Row],[Overarching Protection - old]])/tblPiNHistorical[[#This Row],[Overarching Protection - old]], 1), "")</f>
        <v>0.2</v>
      </c>
      <c r="AO93" s="315">
        <f>IFERROR(ROUND((tblPiNHistorical[[#This Row],[Shelter - new]]-tblPiNHistorical[[#This Row],[Shelter - old]])/tblPiNHistorical[[#This Row],[Shelter - old]], 1), "")</f>
        <v>0.2</v>
      </c>
      <c r="AP93" s="37">
        <f>IFERROR(ROUND((tblPiNHistorical[[#This Row],[WASH - new]]-tblPiNHistorical[[#This Row],[WASH - old]])/tblPiNHistorical[[#This Row],[WASH - old]], 1), "")</f>
        <v>-0.6</v>
      </c>
    </row>
    <row r="94" spans="1:42">
      <c r="A9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Global_PopulationHT0712</v>
      </c>
      <c r="B94" s="304" t="s">
        <v>345</v>
      </c>
      <c r="C94" s="213" t="s">
        <v>346</v>
      </c>
      <c r="D94" s="213" t="s">
        <v>349</v>
      </c>
      <c r="E94" s="103" t="s">
        <v>350</v>
      </c>
      <c r="F94" s="99"/>
      <c r="G94" s="34"/>
      <c r="H94" s="331"/>
      <c r="I94" s="96">
        <v>93827</v>
      </c>
      <c r="J94" s="241" t="s">
        <v>156</v>
      </c>
      <c r="K94" s="305">
        <v>12608</v>
      </c>
      <c r="L94" s="306">
        <v>4435</v>
      </c>
      <c r="M94" s="308">
        <v>8356</v>
      </c>
      <c r="N94" s="308">
        <v>45587</v>
      </c>
      <c r="O94" s="308">
        <v>39610</v>
      </c>
      <c r="P94" s="308">
        <v>18489</v>
      </c>
      <c r="Q94" s="309">
        <v>33794</v>
      </c>
      <c r="R94" s="308">
        <v>32227.538409784458</v>
      </c>
      <c r="S94" s="308">
        <f>IFERROR(INDEX(tblPiNAnalysis[CCCM], MATCH(tblPiNHistorical[[#This Row],[ID]], tblPiNAnalysis[ID], 0)), "")</f>
        <v>25672.5</v>
      </c>
      <c r="T94" s="310">
        <f>IFERROR(INDEX(tblPiNAnalysis[Education], MATCH(tblPiNHistorical[[#This Row],[ID]], tblPiNAnalysis[ID], 0)), "")</f>
        <v>11405</v>
      </c>
      <c r="U94" s="308">
        <f>IFERROR(INDEX(tblPiNAnalysis[Nutrition], MATCH(tblPiNHistorical[[#This Row],[ID]], tblPiNAnalysis[ID], 0)), "")</f>
        <v>9670</v>
      </c>
      <c r="V94" s="308">
        <f>IFERROR(INDEX(tblPiNAnalysis[Food Security], MATCH(tblPiNHistorical[[#This Row],[ID]], tblPiNAnalysis[ID], 0)), "")</f>
        <v>50616</v>
      </c>
      <c r="W94" s="308">
        <f>IFERROR(INDEX(tblPiNAnalysis[Health], MATCH(tblPiNHistorical[[#This Row],[ID]], tblPiNAnalysis[ID], 0)), "")</f>
        <v>21410.506818612259</v>
      </c>
      <c r="X94" s="308">
        <f>IFERROR(INDEX(tblPiNAnalysis[Protection], MATCH(tblPiNHistorical[[#This Row],[ID]], tblPiNAnalysis[ID], 0)), "")</f>
        <v>18696.607499999998</v>
      </c>
      <c r="Y94" s="308">
        <f>IFERROR(INDEX(tblPiNAnalysis[Shelter], MATCH(tblPiNHistorical[[#This Row],[ID]], tblPiNAnalysis[ID], 0)), "")</f>
        <v>58964</v>
      </c>
      <c r="Z94" s="308">
        <f>IFERROR(INDEX(tblPiNAnalysis[WASH], MATCH(tblPiNHistorical[[#This Row],[ID]], tblPiNAnalysis[ID], 0)), "")</f>
        <v>18156.387096774193</v>
      </c>
      <c r="AA94" s="311">
        <f>IF(OR(tblPiNHistorical[[#This Row],[CCCM - old]]="", tblPiNHistorical[[#This Row],[CCCM - old]]=0, tblPiNHistorical[[#This Row],[CCCM - new]]="", tblPiNHistorical[[#This Row],[CCCM - new]]=0), "", tblPiNHistorical[[#This Row],[CCCM - new]]-tblPiNHistorical[[#This Row],[CCCM - old]])</f>
        <v>13064.5</v>
      </c>
      <c r="AB94" s="312">
        <f>IF(OR(tblPiNHistorical[[#This Row],[Education - old]]="", tblPiNHistorical[[#This Row],[Education - old]]=0, tblPiNHistorical[[#This Row],[Education - new]]="", tblPiNHistorical[[#This Row],[Education - new]]=0), "", tblPiNHistorical[[#This Row],[Education - new]]-tblPiNHistorical[[#This Row],[Education - old]])</f>
        <v>6970</v>
      </c>
      <c r="AC94" s="312">
        <f>IF(OR(tblPiNHistorical[[#This Row],[Nutrition - old]]="", tblPiNHistorical[[#This Row],[Nutrition - old]]=0, tblPiNHistorical[[#This Row],[Nutrition - new]]="", tblPiNHistorical[[#This Row],[Nutrition - new]]=0), "", tblPiNHistorical[[#This Row],[Nutrition - new]]-tblPiNHistorical[[#This Row],[Nutrition - old]])</f>
        <v>1314</v>
      </c>
      <c r="AD94" s="312">
        <f>IF(OR(tblPiNHistorical[[#This Row],[Food Security - old]]="", tblPiNHistorical[[#This Row],[Food Security - old]]=0, tblPiNHistorical[[#This Row],[Food Security - new]]="", tblPiNHistorical[[#This Row],[Food Security - new]]=0), "", tblPiNHistorical[[#This Row],[Food Security - new]]-tblPiNHistorical[[#This Row],[Food Security - old]])</f>
        <v>5029</v>
      </c>
      <c r="AE94" s="312">
        <f>IF(OR(tblPiNHistorical[[#This Row],[Health - old]]="", tblPiNHistorical[[#This Row],[Health - old]]=0, tblPiNHistorical[[#This Row],[Health - new]]="", tblPiNHistorical[[#This Row],[Health - new]]=0), "", tblPiNHistorical[[#This Row],[Health - new]]-tblPiNHistorical[[#This Row],[Health - old]])</f>
        <v>-18199.493181387741</v>
      </c>
      <c r="AF9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207.60749999999825</v>
      </c>
      <c r="AG94" s="312">
        <f>IF(OR(tblPiNHistorical[[#This Row],[Shelter - old]]="", tblPiNHistorical[[#This Row],[Shelter - old]]=0, tblPiNHistorical[[#This Row],[Shelter - new]]="", tblPiNHistorical[[#This Row],[Shelter - new]]=0), "", tblPiNHistorical[[#This Row],[Shelter - new]]-tblPiNHistorical[[#This Row],[Shelter - old]])</f>
        <v>25170</v>
      </c>
      <c r="AH94" s="313">
        <f>IF(OR(tblPiNHistorical[[#This Row],[WASH - old]]="", tblPiNHistorical[[#This Row],[WASH - old]]=0, tblPiNHistorical[[#This Row],[WASH - new]]="", tblPiNHistorical[[#This Row],[WASH - new]]=0), "", tblPiNHistorical[[#This Row],[WASH - new]]-tblPiNHistorical[[#This Row],[WASH - old]])</f>
        <v>-14071.151313010265</v>
      </c>
      <c r="AI94" s="314">
        <f>IFERROR(ROUND((tblPiNHistorical[[#This Row],[CCCM - new]] - tblPiNHistorical[[#This Row],[CCCM - old]])/tblPiNHistorical[[#This Row],[CCCM - old]], 1), "")</f>
        <v>1</v>
      </c>
      <c r="AJ94" s="315">
        <f>IFERROR(ROUND((tblPiNHistorical[[#This Row],[Education - new]]-tblPiNHistorical[[#This Row],[Education - old]])/tblPiNHistorical[[#This Row],[Education - old]], 1), "")</f>
        <v>1.6</v>
      </c>
      <c r="AK94" s="315">
        <f>IFERROR(ROUND((tblPiNHistorical[[#This Row],[Nutrition - new]]-tblPiNHistorical[[#This Row],[Nutrition - old]])/tblPiNHistorical[[#This Row],[Nutrition - old]], 1), "")</f>
        <v>0.2</v>
      </c>
      <c r="AL94" s="315">
        <f>IFERROR(ROUND((tblPiNHistorical[[#This Row],[Food Security - new]]-tblPiNHistorical[[#This Row],[Food Security - old]])/tblPiNHistorical[[#This Row],[Food Security - old]], 1), "")</f>
        <v>0.1</v>
      </c>
      <c r="AM94" s="315">
        <f>IFERROR(ROUND((tblPiNHistorical[[#This Row],[Health - new]]-tblPiNHistorical[[#This Row],[Health - old]])/tblPiNHistorical[[#This Row],[Health - old]], 1), "")</f>
        <v>-0.5</v>
      </c>
      <c r="AN94" s="315">
        <f>IFERROR(ROUND((tblPiNHistorical[[#This Row],[Overarching Protection - new]]-tblPiNHistorical[[#This Row],[Overarching Protection - old]])/tblPiNHistorical[[#This Row],[Overarching Protection - old]], 1), "")</f>
        <v>0</v>
      </c>
      <c r="AO94" s="315">
        <f>IFERROR(ROUND((tblPiNHistorical[[#This Row],[Shelter - new]]-tblPiNHistorical[[#This Row],[Shelter - old]])/tblPiNHistorical[[#This Row],[Shelter - old]], 1), "")</f>
        <v>0.7</v>
      </c>
      <c r="AP94" s="37">
        <f>IFERROR(ROUND((tblPiNHistorical[[#This Row],[WASH - new]]-tblPiNHistorical[[#This Row],[WASH - old]])/tblPiNHistorical[[#This Row],[WASH - old]], 1), "")</f>
        <v>-0.4</v>
      </c>
    </row>
    <row r="95" spans="1:42">
      <c r="A9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Global_PopulationHT0713</v>
      </c>
      <c r="B95" s="304" t="s">
        <v>345</v>
      </c>
      <c r="C95" s="213" t="s">
        <v>346</v>
      </c>
      <c r="D95" s="213" t="s">
        <v>351</v>
      </c>
      <c r="E95" s="103" t="s">
        <v>352</v>
      </c>
      <c r="F95" s="99"/>
      <c r="G95" s="34"/>
      <c r="H95" s="331"/>
      <c r="I95" s="96">
        <v>41237</v>
      </c>
      <c r="J95" s="241" t="s">
        <v>156</v>
      </c>
      <c r="K95" s="305">
        <v>4410</v>
      </c>
      <c r="L95" s="306">
        <v>3780</v>
      </c>
      <c r="M95" s="308">
        <v>3512</v>
      </c>
      <c r="N95" s="308">
        <v>18684</v>
      </c>
      <c r="O95" s="308">
        <v>15904</v>
      </c>
      <c r="P95" s="308">
        <v>10284</v>
      </c>
      <c r="Q95" s="309">
        <v>18383</v>
      </c>
      <c r="R95" s="308">
        <v>11838.122384974724</v>
      </c>
      <c r="S95" s="308">
        <f>IFERROR(INDEX(tblPiNAnalysis[CCCM], MATCH(tblPiNHistorical[[#This Row],[ID]], tblPiNAnalysis[ID], 0)), "")</f>
        <v>15000</v>
      </c>
      <c r="T95" s="310">
        <f>IFERROR(INDEX(tblPiNAnalysis[Education], MATCH(tblPiNHistorical[[#This Row],[ID]], tblPiNAnalysis[ID], 0)), "")</f>
        <v>5137</v>
      </c>
      <c r="U95" s="308">
        <f>IFERROR(INDEX(tblPiNAnalysis[Nutrition], MATCH(tblPiNHistorical[[#This Row],[ID]], tblPiNAnalysis[ID], 0)), "")</f>
        <v>4308</v>
      </c>
      <c r="V95" s="308">
        <f>IFERROR(INDEX(tblPiNAnalysis[Food Security], MATCH(tblPiNHistorical[[#This Row],[ID]], tblPiNAnalysis[ID], 0)), "")</f>
        <v>23775</v>
      </c>
      <c r="W95" s="308">
        <f>IFERROR(INDEX(tblPiNAnalysis[Health], MATCH(tblPiNHistorical[[#This Row],[ID]], tblPiNAnalysis[ID], 0)), "")</f>
        <v>17756.139327272725</v>
      </c>
      <c r="X95" s="308">
        <f>IFERROR(INDEX(tblPiNAnalysis[Protection], MATCH(tblPiNHistorical[[#This Row],[ID]], tblPiNAnalysis[ID], 0)), "")</f>
        <v>5037.92</v>
      </c>
      <c r="Y95" s="308">
        <f>IFERROR(INDEX(tblPiNAnalysis[Shelter], MATCH(tblPiNHistorical[[#This Row],[ID]], tblPiNAnalysis[ID], 0)), "")</f>
        <v>24354</v>
      </c>
      <c r="Z95" s="308">
        <f>IFERROR(INDEX(tblPiNAnalysis[WASH], MATCH(tblPiNHistorical[[#This Row],[ID]], tblPiNAnalysis[ID], 0)), "")</f>
        <v>15118.5</v>
      </c>
      <c r="AA95" s="311">
        <f>IF(OR(tblPiNHistorical[[#This Row],[CCCM - old]]="", tblPiNHistorical[[#This Row],[CCCM - old]]=0, tblPiNHistorical[[#This Row],[CCCM - new]]="", tblPiNHistorical[[#This Row],[CCCM - new]]=0), "", tblPiNHistorical[[#This Row],[CCCM - new]]-tblPiNHistorical[[#This Row],[CCCM - old]])</f>
        <v>10590</v>
      </c>
      <c r="AB95" s="312">
        <f>IF(OR(tblPiNHistorical[[#This Row],[Education - old]]="", tblPiNHistorical[[#This Row],[Education - old]]=0, tblPiNHistorical[[#This Row],[Education - new]]="", tblPiNHistorical[[#This Row],[Education - new]]=0), "", tblPiNHistorical[[#This Row],[Education - new]]-tblPiNHistorical[[#This Row],[Education - old]])</f>
        <v>1357</v>
      </c>
      <c r="AC95" s="312">
        <f>IF(OR(tblPiNHistorical[[#This Row],[Nutrition - old]]="", tblPiNHistorical[[#This Row],[Nutrition - old]]=0, tblPiNHistorical[[#This Row],[Nutrition - new]]="", tblPiNHistorical[[#This Row],[Nutrition - new]]=0), "", tblPiNHistorical[[#This Row],[Nutrition - new]]-tblPiNHistorical[[#This Row],[Nutrition - old]])</f>
        <v>796</v>
      </c>
      <c r="AD95" s="312">
        <f>IF(OR(tblPiNHistorical[[#This Row],[Food Security - old]]="", tblPiNHistorical[[#This Row],[Food Security - old]]=0, tblPiNHistorical[[#This Row],[Food Security - new]]="", tblPiNHistorical[[#This Row],[Food Security - new]]=0), "", tblPiNHistorical[[#This Row],[Food Security - new]]-tblPiNHistorical[[#This Row],[Food Security - old]])</f>
        <v>5091</v>
      </c>
      <c r="AE95" s="312">
        <f>IF(OR(tblPiNHistorical[[#This Row],[Health - old]]="", tblPiNHistorical[[#This Row],[Health - old]]=0, tblPiNHistorical[[#This Row],[Health - new]]="", tblPiNHistorical[[#This Row],[Health - new]]=0), "", tblPiNHistorical[[#This Row],[Health - new]]-tblPiNHistorical[[#This Row],[Health - old]])</f>
        <v>1852.1393272727255</v>
      </c>
      <c r="AF9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-5246.08</v>
      </c>
      <c r="AG95" s="312">
        <f>IF(OR(tblPiNHistorical[[#This Row],[Shelter - old]]="", tblPiNHistorical[[#This Row],[Shelter - old]]=0, tblPiNHistorical[[#This Row],[Shelter - new]]="", tblPiNHistorical[[#This Row],[Shelter - new]]=0), "", tblPiNHistorical[[#This Row],[Shelter - new]]-tblPiNHistorical[[#This Row],[Shelter - old]])</f>
        <v>5971</v>
      </c>
      <c r="AH95" s="313">
        <f>IF(OR(tblPiNHistorical[[#This Row],[WASH - old]]="", tblPiNHistorical[[#This Row],[WASH - old]]=0, tblPiNHistorical[[#This Row],[WASH - new]]="", tblPiNHistorical[[#This Row],[WASH - new]]=0), "", tblPiNHistorical[[#This Row],[WASH - new]]-tblPiNHistorical[[#This Row],[WASH - old]])</f>
        <v>3280.3776150252761</v>
      </c>
      <c r="AI95" s="314">
        <f>IFERROR(ROUND((tblPiNHistorical[[#This Row],[CCCM - new]] - tblPiNHistorical[[#This Row],[CCCM - old]])/tblPiNHistorical[[#This Row],[CCCM - old]], 1), "")</f>
        <v>2.4</v>
      </c>
      <c r="AJ95" s="315">
        <f>IFERROR(ROUND((tblPiNHistorical[[#This Row],[Education - new]]-tblPiNHistorical[[#This Row],[Education - old]])/tblPiNHistorical[[#This Row],[Education - old]], 1), "")</f>
        <v>0.4</v>
      </c>
      <c r="AK95" s="315">
        <f>IFERROR(ROUND((tblPiNHistorical[[#This Row],[Nutrition - new]]-tblPiNHistorical[[#This Row],[Nutrition - old]])/tblPiNHistorical[[#This Row],[Nutrition - old]], 1), "")</f>
        <v>0.2</v>
      </c>
      <c r="AL95" s="315">
        <f>IFERROR(ROUND((tblPiNHistorical[[#This Row],[Food Security - new]]-tblPiNHistorical[[#This Row],[Food Security - old]])/tblPiNHistorical[[#This Row],[Food Security - old]], 1), "")</f>
        <v>0.3</v>
      </c>
      <c r="AM95" s="315">
        <f>IFERROR(ROUND((tblPiNHistorical[[#This Row],[Health - new]]-tblPiNHistorical[[#This Row],[Health - old]])/tblPiNHistorical[[#This Row],[Health - old]], 1), "")</f>
        <v>0.1</v>
      </c>
      <c r="AN95" s="315">
        <f>IFERROR(ROUND((tblPiNHistorical[[#This Row],[Overarching Protection - new]]-tblPiNHistorical[[#This Row],[Overarching Protection - old]])/tblPiNHistorical[[#This Row],[Overarching Protection - old]], 1), "")</f>
        <v>-0.5</v>
      </c>
      <c r="AO95" s="315">
        <f>IFERROR(ROUND((tblPiNHistorical[[#This Row],[Shelter - new]]-tblPiNHistorical[[#This Row],[Shelter - old]])/tblPiNHistorical[[#This Row],[Shelter - old]], 1), "")</f>
        <v>0.3</v>
      </c>
      <c r="AP95" s="37">
        <f>IFERROR(ROUND((tblPiNHistorical[[#This Row],[WASH - new]]-tblPiNHistorical[[#This Row],[WASH - old]])/tblPiNHistorical[[#This Row],[WASH - old]], 1), "")</f>
        <v>0.3</v>
      </c>
    </row>
    <row r="96" spans="1:42">
      <c r="A9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Global_PopulationHT0714</v>
      </c>
      <c r="B96" s="304" t="s">
        <v>345</v>
      </c>
      <c r="C96" s="213" t="s">
        <v>346</v>
      </c>
      <c r="D96" s="213" t="s">
        <v>353</v>
      </c>
      <c r="E96" s="103" t="s">
        <v>354</v>
      </c>
      <c r="F96" s="99"/>
      <c r="G96" s="34"/>
      <c r="H96" s="331"/>
      <c r="I96" s="96">
        <v>51550</v>
      </c>
      <c r="J96" s="241" t="s">
        <v>156</v>
      </c>
      <c r="K96" s="305">
        <v>1553</v>
      </c>
      <c r="L96" s="306">
        <v>5018</v>
      </c>
      <c r="M96" s="308">
        <v>4595</v>
      </c>
      <c r="N96" s="308">
        <v>26989</v>
      </c>
      <c r="O96" s="308">
        <v>13876</v>
      </c>
      <c r="P96" s="308">
        <v>10714</v>
      </c>
      <c r="Q96" s="309">
        <v>19845</v>
      </c>
      <c r="R96" s="308">
        <v>11400.842922142037</v>
      </c>
      <c r="S96" s="308">
        <f>IFERROR(INDEX(tblPiNAnalysis[CCCM], MATCH(tblPiNHistorical[[#This Row],[ID]], tblPiNAnalysis[ID], 0)), "")</f>
        <v>6900</v>
      </c>
      <c r="T96" s="310">
        <f>IFERROR(INDEX(tblPiNAnalysis[Education], MATCH(tblPiNHistorical[[#This Row],[ID]], tblPiNAnalysis[ID], 0)), "")</f>
        <v>6109</v>
      </c>
      <c r="U96" s="308">
        <f>IFERROR(INDEX(tblPiNAnalysis[Nutrition], MATCH(tblPiNHistorical[[#This Row],[ID]], tblPiNAnalysis[ID], 0)), "")</f>
        <v>4966</v>
      </c>
      <c r="V96" s="308">
        <f>IFERROR(INDEX(tblPiNAnalysis[Food Security], MATCH(tblPiNHistorical[[#This Row],[ID]], tblPiNAnalysis[ID], 0)), "")</f>
        <v>29966</v>
      </c>
      <c r="W96" s="308">
        <f>IFERROR(INDEX(tblPiNAnalysis[Health], MATCH(tblPiNHistorical[[#This Row],[ID]], tblPiNAnalysis[ID], 0)), "")</f>
        <v>8963.3172086956529</v>
      </c>
      <c r="X96" s="308">
        <f>IFERROR(INDEX(tblPiNAnalysis[Protection], MATCH(tblPiNHistorical[[#This Row],[ID]], tblPiNAnalysis[ID], 0)), "")</f>
        <v>4672.1085714285709</v>
      </c>
      <c r="Y96" s="308">
        <f>IFERROR(INDEX(tblPiNAnalysis[Shelter], MATCH(tblPiNHistorical[[#This Row],[ID]], tblPiNAnalysis[ID], 0)), "")</f>
        <v>20994</v>
      </c>
      <c r="Z96" s="308">
        <f>IFERROR(INDEX(tblPiNAnalysis[WASH], MATCH(tblPiNHistorical[[#This Row],[ID]], tblPiNAnalysis[ID], 0)), "")</f>
        <v>5523.2142857142853</v>
      </c>
      <c r="AA96" s="311">
        <f>IF(OR(tblPiNHistorical[[#This Row],[CCCM - old]]="", tblPiNHistorical[[#This Row],[CCCM - old]]=0, tblPiNHistorical[[#This Row],[CCCM - new]]="", tblPiNHistorical[[#This Row],[CCCM - new]]=0), "", tblPiNHistorical[[#This Row],[CCCM - new]]-tblPiNHistorical[[#This Row],[CCCM - old]])</f>
        <v>5347</v>
      </c>
      <c r="AB96" s="312">
        <f>IF(OR(tblPiNHistorical[[#This Row],[Education - old]]="", tblPiNHistorical[[#This Row],[Education - old]]=0, tblPiNHistorical[[#This Row],[Education - new]]="", tblPiNHistorical[[#This Row],[Education - new]]=0), "", tblPiNHistorical[[#This Row],[Education - new]]-tblPiNHistorical[[#This Row],[Education - old]])</f>
        <v>1091</v>
      </c>
      <c r="AC96" s="312">
        <f>IF(OR(tblPiNHistorical[[#This Row],[Nutrition - old]]="", tblPiNHistorical[[#This Row],[Nutrition - old]]=0, tblPiNHistorical[[#This Row],[Nutrition - new]]="", tblPiNHistorical[[#This Row],[Nutrition - new]]=0), "", tblPiNHistorical[[#This Row],[Nutrition - new]]-tblPiNHistorical[[#This Row],[Nutrition - old]])</f>
        <v>371</v>
      </c>
      <c r="AD96" s="312">
        <f>IF(OR(tblPiNHistorical[[#This Row],[Food Security - old]]="", tblPiNHistorical[[#This Row],[Food Security - old]]=0, tblPiNHistorical[[#This Row],[Food Security - new]]="", tblPiNHistorical[[#This Row],[Food Security - new]]=0), "", tblPiNHistorical[[#This Row],[Food Security - new]]-tblPiNHistorical[[#This Row],[Food Security - old]])</f>
        <v>2977</v>
      </c>
      <c r="AE96" s="312">
        <f>IF(OR(tblPiNHistorical[[#This Row],[Health - old]]="", tblPiNHistorical[[#This Row],[Health - old]]=0, tblPiNHistorical[[#This Row],[Health - new]]="", tblPiNHistorical[[#This Row],[Health - new]]=0), "", tblPiNHistorical[[#This Row],[Health - new]]-tblPiNHistorical[[#This Row],[Health - old]])</f>
        <v>-4912.6827913043471</v>
      </c>
      <c r="AF9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-6041.8914285714291</v>
      </c>
      <c r="AG96" s="312">
        <f>IF(OR(tblPiNHistorical[[#This Row],[Shelter - old]]="", tblPiNHistorical[[#This Row],[Shelter - old]]=0, tblPiNHistorical[[#This Row],[Shelter - new]]="", tblPiNHistorical[[#This Row],[Shelter - new]]=0), "", tblPiNHistorical[[#This Row],[Shelter - new]]-tblPiNHistorical[[#This Row],[Shelter - old]])</f>
        <v>1149</v>
      </c>
      <c r="AH96" s="313">
        <f>IF(OR(tblPiNHistorical[[#This Row],[WASH - old]]="", tblPiNHistorical[[#This Row],[WASH - old]]=0, tblPiNHistorical[[#This Row],[WASH - new]]="", tblPiNHistorical[[#This Row],[WASH - new]]=0), "", tblPiNHistorical[[#This Row],[WASH - new]]-tblPiNHistorical[[#This Row],[WASH - old]])</f>
        <v>-5877.6286364277521</v>
      </c>
      <c r="AI96" s="314">
        <f>IFERROR(ROUND((tblPiNHistorical[[#This Row],[CCCM - new]] - tblPiNHistorical[[#This Row],[CCCM - old]])/tblPiNHistorical[[#This Row],[CCCM - old]], 1), "")</f>
        <v>3.4</v>
      </c>
      <c r="AJ96" s="315">
        <f>IFERROR(ROUND((tblPiNHistorical[[#This Row],[Education - new]]-tblPiNHistorical[[#This Row],[Education - old]])/tblPiNHistorical[[#This Row],[Education - old]], 1), "")</f>
        <v>0.2</v>
      </c>
      <c r="AK96" s="315">
        <f>IFERROR(ROUND((tblPiNHistorical[[#This Row],[Nutrition - new]]-tblPiNHistorical[[#This Row],[Nutrition - old]])/tblPiNHistorical[[#This Row],[Nutrition - old]], 1), "")</f>
        <v>0.1</v>
      </c>
      <c r="AL96" s="315">
        <f>IFERROR(ROUND((tblPiNHistorical[[#This Row],[Food Security - new]]-tblPiNHistorical[[#This Row],[Food Security - old]])/tblPiNHistorical[[#This Row],[Food Security - old]], 1), "")</f>
        <v>0.1</v>
      </c>
      <c r="AM96" s="315">
        <f>IFERROR(ROUND((tblPiNHistorical[[#This Row],[Health - new]]-tblPiNHistorical[[#This Row],[Health - old]])/tblPiNHistorical[[#This Row],[Health - old]], 1), "")</f>
        <v>-0.4</v>
      </c>
      <c r="AN96" s="315">
        <f>IFERROR(ROUND((tblPiNHistorical[[#This Row],[Overarching Protection - new]]-tblPiNHistorical[[#This Row],[Overarching Protection - old]])/tblPiNHistorical[[#This Row],[Overarching Protection - old]], 1), "")</f>
        <v>-0.6</v>
      </c>
      <c r="AO96" s="315">
        <f>IFERROR(ROUND((tblPiNHistorical[[#This Row],[Shelter - new]]-tblPiNHistorical[[#This Row],[Shelter - old]])/tblPiNHistorical[[#This Row],[Shelter - old]], 1), "")</f>
        <v>0.1</v>
      </c>
      <c r="AP96" s="37">
        <f>IFERROR(ROUND((tblPiNHistorical[[#This Row],[WASH - new]]-tblPiNHistorical[[#This Row],[WASH - old]])/tblPiNHistorical[[#This Row],[WASH - old]], 1), "")</f>
        <v>-0.5</v>
      </c>
    </row>
    <row r="97" spans="1:42">
      <c r="A9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Global_PopulationHT0715</v>
      </c>
      <c r="B97" s="304" t="s">
        <v>345</v>
      </c>
      <c r="C97" s="213" t="s">
        <v>346</v>
      </c>
      <c r="D97" s="213" t="s">
        <v>355</v>
      </c>
      <c r="E97" s="103" t="s">
        <v>356</v>
      </c>
      <c r="F97" s="99"/>
      <c r="G97" s="34"/>
      <c r="H97" s="331"/>
      <c r="I97" s="96">
        <v>27507</v>
      </c>
      <c r="J97" s="241" t="s">
        <v>156</v>
      </c>
      <c r="K97" s="305">
        <v>2906</v>
      </c>
      <c r="L97" s="306">
        <v>2810</v>
      </c>
      <c r="M97" s="308">
        <v>2451</v>
      </c>
      <c r="N97" s="308">
        <v>14341</v>
      </c>
      <c r="O97" s="308">
        <v>10431</v>
      </c>
      <c r="P97" s="308">
        <v>4524</v>
      </c>
      <c r="Q97" s="309">
        <v>12785</v>
      </c>
      <c r="R97" s="308">
        <v>9232.0098417256668</v>
      </c>
      <c r="S97" s="308">
        <f>IFERROR(INDEX(tblPiNAnalysis[CCCM], MATCH(tblPiNHistorical[[#This Row],[ID]], tblPiNAnalysis[ID], 0)), "")</f>
        <v>6979.5</v>
      </c>
      <c r="T97" s="310">
        <f>IFERROR(INDEX(tblPiNAnalysis[Education], MATCH(tblPiNHistorical[[#This Row],[ID]], tblPiNAnalysis[ID], 0)), "")</f>
        <v>3461</v>
      </c>
      <c r="U97" s="308">
        <f>IFERROR(INDEX(tblPiNAnalysis[Nutrition], MATCH(tblPiNHistorical[[#This Row],[ID]], tblPiNAnalysis[ID], 0)), "")</f>
        <v>2813</v>
      </c>
      <c r="V97" s="308">
        <f>IFERROR(INDEX(tblPiNAnalysis[Food Security], MATCH(tblPiNHistorical[[#This Row],[ID]], tblPiNAnalysis[ID], 0)), "")</f>
        <v>15923</v>
      </c>
      <c r="W97" s="308">
        <f>IFERROR(INDEX(tblPiNAnalysis[Health], MATCH(tblPiNHistorical[[#This Row],[ID]], tblPiNAnalysis[ID], 0)), "")</f>
        <v>8723.3928551472163</v>
      </c>
      <c r="X97" s="308">
        <f>IFERROR(INDEX(tblPiNAnalysis[Protection], MATCH(tblPiNHistorical[[#This Row],[ID]], tblPiNAnalysis[ID], 0)), "")</f>
        <v>9511</v>
      </c>
      <c r="Y97" s="308">
        <f>IFERROR(INDEX(tblPiNAnalysis[Shelter], MATCH(tblPiNHistorical[[#This Row],[ID]], tblPiNAnalysis[ID], 0)), "")</f>
        <v>20835</v>
      </c>
      <c r="Z97" s="308">
        <f>IFERROR(INDEX(tblPiNAnalysis[WASH], MATCH(tblPiNHistorical[[#This Row],[ID]], tblPiNAnalysis[ID], 0)), "")</f>
        <v>9511</v>
      </c>
      <c r="AA97" s="311">
        <f>IF(OR(tblPiNHistorical[[#This Row],[CCCM - old]]="", tblPiNHistorical[[#This Row],[CCCM - old]]=0, tblPiNHistorical[[#This Row],[CCCM - new]]="", tblPiNHistorical[[#This Row],[CCCM - new]]=0), "", tblPiNHistorical[[#This Row],[CCCM - new]]-tblPiNHistorical[[#This Row],[CCCM - old]])</f>
        <v>4073.5</v>
      </c>
      <c r="AB97" s="312">
        <f>IF(OR(tblPiNHistorical[[#This Row],[Education - old]]="", tblPiNHistorical[[#This Row],[Education - old]]=0, tblPiNHistorical[[#This Row],[Education - new]]="", tblPiNHistorical[[#This Row],[Education - new]]=0), "", tblPiNHistorical[[#This Row],[Education - new]]-tblPiNHistorical[[#This Row],[Education - old]])</f>
        <v>651</v>
      </c>
      <c r="AC97" s="312">
        <f>IF(OR(tblPiNHistorical[[#This Row],[Nutrition - old]]="", tblPiNHistorical[[#This Row],[Nutrition - old]]=0, tblPiNHistorical[[#This Row],[Nutrition - new]]="", tblPiNHistorical[[#This Row],[Nutrition - new]]=0), "", tblPiNHistorical[[#This Row],[Nutrition - new]]-tblPiNHistorical[[#This Row],[Nutrition - old]])</f>
        <v>362</v>
      </c>
      <c r="AD97" s="312">
        <f>IF(OR(tblPiNHistorical[[#This Row],[Food Security - old]]="", tblPiNHistorical[[#This Row],[Food Security - old]]=0, tblPiNHistorical[[#This Row],[Food Security - new]]="", tblPiNHistorical[[#This Row],[Food Security - new]]=0), "", tblPiNHistorical[[#This Row],[Food Security - new]]-tblPiNHistorical[[#This Row],[Food Security - old]])</f>
        <v>1582</v>
      </c>
      <c r="AE97" s="312">
        <f>IF(OR(tblPiNHistorical[[#This Row],[Health - old]]="", tblPiNHistorical[[#This Row],[Health - old]]=0, tblPiNHistorical[[#This Row],[Health - new]]="", tblPiNHistorical[[#This Row],[Health - new]]=0), "", tblPiNHistorical[[#This Row],[Health - new]]-tblPiNHistorical[[#This Row],[Health - old]])</f>
        <v>-1707.6071448527837</v>
      </c>
      <c r="AF9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4987</v>
      </c>
      <c r="AG97" s="312">
        <f>IF(OR(tblPiNHistorical[[#This Row],[Shelter - old]]="", tblPiNHistorical[[#This Row],[Shelter - old]]=0, tblPiNHistorical[[#This Row],[Shelter - new]]="", tblPiNHistorical[[#This Row],[Shelter - new]]=0), "", tblPiNHistorical[[#This Row],[Shelter - new]]-tblPiNHistorical[[#This Row],[Shelter - old]])</f>
        <v>8050</v>
      </c>
      <c r="AH97" s="313">
        <f>IF(OR(tblPiNHistorical[[#This Row],[WASH - old]]="", tblPiNHistorical[[#This Row],[WASH - old]]=0, tblPiNHistorical[[#This Row],[WASH - new]]="", tblPiNHistorical[[#This Row],[WASH - new]]=0), "", tblPiNHistorical[[#This Row],[WASH - new]]-tblPiNHistorical[[#This Row],[WASH - old]])</f>
        <v>278.99015827433323</v>
      </c>
      <c r="AI97" s="314">
        <f>IFERROR(ROUND((tblPiNHistorical[[#This Row],[CCCM - new]] - tblPiNHistorical[[#This Row],[CCCM - old]])/tblPiNHistorical[[#This Row],[CCCM - old]], 1), "")</f>
        <v>1.4</v>
      </c>
      <c r="AJ97" s="315">
        <f>IFERROR(ROUND((tblPiNHistorical[[#This Row],[Education - new]]-tblPiNHistorical[[#This Row],[Education - old]])/tblPiNHistorical[[#This Row],[Education - old]], 1), "")</f>
        <v>0.2</v>
      </c>
      <c r="AK97" s="315">
        <f>IFERROR(ROUND((tblPiNHistorical[[#This Row],[Nutrition - new]]-tblPiNHistorical[[#This Row],[Nutrition - old]])/tblPiNHistorical[[#This Row],[Nutrition - old]], 1), "")</f>
        <v>0.1</v>
      </c>
      <c r="AL97" s="315">
        <f>IFERROR(ROUND((tblPiNHistorical[[#This Row],[Food Security - new]]-tblPiNHistorical[[#This Row],[Food Security - old]])/tblPiNHistorical[[#This Row],[Food Security - old]], 1), "")</f>
        <v>0.1</v>
      </c>
      <c r="AM97" s="315">
        <f>IFERROR(ROUND((tblPiNHistorical[[#This Row],[Health - new]]-tblPiNHistorical[[#This Row],[Health - old]])/tblPiNHistorical[[#This Row],[Health - old]], 1), "")</f>
        <v>-0.2</v>
      </c>
      <c r="AN97" s="315">
        <f>IFERROR(ROUND((tblPiNHistorical[[#This Row],[Overarching Protection - new]]-tblPiNHistorical[[#This Row],[Overarching Protection - old]])/tblPiNHistorical[[#This Row],[Overarching Protection - old]], 1), "")</f>
        <v>1.1000000000000001</v>
      </c>
      <c r="AO97" s="315">
        <f>IFERROR(ROUND((tblPiNHistorical[[#This Row],[Shelter - new]]-tblPiNHistorical[[#This Row],[Shelter - old]])/tblPiNHistorical[[#This Row],[Shelter - old]], 1), "")</f>
        <v>0.6</v>
      </c>
      <c r="AP97" s="37">
        <f>IFERROR(ROUND((tblPiNHistorical[[#This Row],[WASH - new]]-tblPiNHistorical[[#This Row],[WASH - old]])/tblPiNHistorical[[#This Row],[WASH - old]], 1), "")</f>
        <v>0</v>
      </c>
    </row>
    <row r="98" spans="1:42">
      <c r="A9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Global_PopulationHT0716</v>
      </c>
      <c r="B98" s="304" t="s">
        <v>345</v>
      </c>
      <c r="C98" s="213" t="s">
        <v>346</v>
      </c>
      <c r="D98" s="213" t="s">
        <v>357</v>
      </c>
      <c r="E98" s="103" t="s">
        <v>358</v>
      </c>
      <c r="F98" s="99"/>
      <c r="G98" s="34"/>
      <c r="H98" s="331"/>
      <c r="I98" s="96">
        <v>17491</v>
      </c>
      <c r="J98" s="241" t="s">
        <v>156</v>
      </c>
      <c r="K98" s="305">
        <v>338</v>
      </c>
      <c r="L98" s="306">
        <v>1926</v>
      </c>
      <c r="M98" s="308">
        <v>1475</v>
      </c>
      <c r="N98" s="308">
        <v>7549</v>
      </c>
      <c r="O98" s="308">
        <v>4502</v>
      </c>
      <c r="P98" s="308">
        <v>1840</v>
      </c>
      <c r="Q98" s="309">
        <v>5000</v>
      </c>
      <c r="R98" s="308">
        <v>8959.1728228455286</v>
      </c>
      <c r="S98" s="308">
        <f>IFERROR(INDEX(tblPiNAnalysis[CCCM], MATCH(tblPiNHistorical[[#This Row],[ID]], tblPiNAnalysis[ID], 0)), "")</f>
        <v>400.5</v>
      </c>
      <c r="T98" s="310">
        <f>IFERROR(INDEX(tblPiNAnalysis[Education], MATCH(tblPiNHistorical[[#This Row],[ID]], tblPiNAnalysis[ID], 0)), "")</f>
        <v>2290</v>
      </c>
      <c r="U98" s="308">
        <f>IFERROR(INDEX(tblPiNAnalysis[Nutrition], MATCH(tblPiNHistorical[[#This Row],[ID]], tblPiNAnalysis[ID], 0)), "")</f>
        <v>1494</v>
      </c>
      <c r="V98" s="308">
        <f>IFERROR(INDEX(tblPiNAnalysis[Food Security], MATCH(tblPiNHistorical[[#This Row],[ID]], tblPiNAnalysis[ID], 0)), "")</f>
        <v>11269</v>
      </c>
      <c r="W98" s="308">
        <f>IFERROR(INDEX(tblPiNAnalysis[Health], MATCH(tblPiNHistorical[[#This Row],[ID]], tblPiNAnalysis[ID], 0)), "")</f>
        <v>500.3211003745318</v>
      </c>
      <c r="X98" s="308">
        <f>IFERROR(INDEX(tblPiNAnalysis[Protection], MATCH(tblPiNHistorical[[#This Row],[ID]], tblPiNAnalysis[ID], 0)), "")</f>
        <v>141.18</v>
      </c>
      <c r="Y98" s="308">
        <f>IFERROR(INDEX(tblPiNAnalysis[Shelter], MATCH(tblPiNHistorical[[#This Row],[ID]], tblPiNAnalysis[ID], 0)), "")</f>
        <v>0</v>
      </c>
      <c r="Z98" s="308">
        <f>IFERROR(INDEX(tblPiNAnalysis[WASH], MATCH(tblPiNHistorical[[#This Row],[ID]], tblPiNAnalysis[ID], 0)), "")</f>
        <v>4372.75</v>
      </c>
      <c r="AA98" s="311">
        <f>IF(OR(tblPiNHistorical[[#This Row],[CCCM - old]]="", tblPiNHistorical[[#This Row],[CCCM - old]]=0, tblPiNHistorical[[#This Row],[CCCM - new]]="", tblPiNHistorical[[#This Row],[CCCM - new]]=0), "", tblPiNHistorical[[#This Row],[CCCM - new]]-tblPiNHistorical[[#This Row],[CCCM - old]])</f>
        <v>62.5</v>
      </c>
      <c r="AB98" s="312">
        <f>IF(OR(tblPiNHistorical[[#This Row],[Education - old]]="", tblPiNHistorical[[#This Row],[Education - old]]=0, tblPiNHistorical[[#This Row],[Education - new]]="", tblPiNHistorical[[#This Row],[Education - new]]=0), "", tblPiNHistorical[[#This Row],[Education - new]]-tblPiNHistorical[[#This Row],[Education - old]])</f>
        <v>364</v>
      </c>
      <c r="AC98" s="312">
        <f>IF(OR(tblPiNHistorical[[#This Row],[Nutrition - old]]="", tblPiNHistorical[[#This Row],[Nutrition - old]]=0, tblPiNHistorical[[#This Row],[Nutrition - new]]="", tblPiNHistorical[[#This Row],[Nutrition - new]]=0), "", tblPiNHistorical[[#This Row],[Nutrition - new]]-tblPiNHistorical[[#This Row],[Nutrition - old]])</f>
        <v>19</v>
      </c>
      <c r="AD98" s="312">
        <f>IF(OR(tblPiNHistorical[[#This Row],[Food Security - old]]="", tblPiNHistorical[[#This Row],[Food Security - old]]=0, tblPiNHistorical[[#This Row],[Food Security - new]]="", tblPiNHistorical[[#This Row],[Food Security - new]]=0), "", tblPiNHistorical[[#This Row],[Food Security - new]]-tblPiNHistorical[[#This Row],[Food Security - old]])</f>
        <v>3720</v>
      </c>
      <c r="AE98" s="312">
        <f>IF(OR(tblPiNHistorical[[#This Row],[Health - old]]="", tblPiNHistorical[[#This Row],[Health - old]]=0, tblPiNHistorical[[#This Row],[Health - new]]="", tblPiNHistorical[[#This Row],[Health - new]]=0), "", tblPiNHistorical[[#This Row],[Health - new]]-tblPiNHistorical[[#This Row],[Health - old]])</f>
        <v>-4001.6788996254681</v>
      </c>
      <c r="AF9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-1698.82</v>
      </c>
      <c r="AG98" s="312" t="str">
        <f>IF(OR(tblPiNHistorical[[#This Row],[Shelter - old]]="", tblPiNHistorical[[#This Row],[Shelter - old]]=0, tblPiNHistorical[[#This Row],[Shelter - new]]="", tblPiNHistorical[[#This Row],[Shelter - new]]=0), "", tblPiNHistorical[[#This Row],[Shelter - new]]-tblPiNHistorical[[#This Row],[Shelter - old]])</f>
        <v/>
      </c>
      <c r="AH98" s="313">
        <f>IF(OR(tblPiNHistorical[[#This Row],[WASH - old]]="", tblPiNHistorical[[#This Row],[WASH - old]]=0, tblPiNHistorical[[#This Row],[WASH - new]]="", tblPiNHistorical[[#This Row],[WASH - new]]=0), "", tblPiNHistorical[[#This Row],[WASH - new]]-tblPiNHistorical[[#This Row],[WASH - old]])</f>
        <v>-4586.4228228455286</v>
      </c>
      <c r="AI98" s="314">
        <f>IFERROR(ROUND((tblPiNHistorical[[#This Row],[CCCM - new]] - tblPiNHistorical[[#This Row],[CCCM - old]])/tblPiNHistorical[[#This Row],[CCCM - old]], 1), "")</f>
        <v>0.2</v>
      </c>
      <c r="AJ98" s="315">
        <f>IFERROR(ROUND((tblPiNHistorical[[#This Row],[Education - new]]-tblPiNHistorical[[#This Row],[Education - old]])/tblPiNHistorical[[#This Row],[Education - old]], 1), "")</f>
        <v>0.2</v>
      </c>
      <c r="AK98" s="315">
        <f>IFERROR(ROUND((tblPiNHistorical[[#This Row],[Nutrition - new]]-tblPiNHistorical[[#This Row],[Nutrition - old]])/tblPiNHistorical[[#This Row],[Nutrition - old]], 1), "")</f>
        <v>0</v>
      </c>
      <c r="AL98" s="315">
        <f>IFERROR(ROUND((tblPiNHistorical[[#This Row],[Food Security - new]]-tblPiNHistorical[[#This Row],[Food Security - old]])/tblPiNHistorical[[#This Row],[Food Security - old]], 1), "")</f>
        <v>0.5</v>
      </c>
      <c r="AM98" s="315">
        <f>IFERROR(ROUND((tblPiNHistorical[[#This Row],[Health - new]]-tblPiNHistorical[[#This Row],[Health - old]])/tblPiNHistorical[[#This Row],[Health - old]], 1), "")</f>
        <v>-0.9</v>
      </c>
      <c r="AN98" s="315">
        <f>IFERROR(ROUND((tblPiNHistorical[[#This Row],[Overarching Protection - new]]-tblPiNHistorical[[#This Row],[Overarching Protection - old]])/tblPiNHistorical[[#This Row],[Overarching Protection - old]], 1), "")</f>
        <v>-0.9</v>
      </c>
      <c r="AO98" s="315">
        <f>IFERROR(ROUND((tblPiNHistorical[[#This Row],[Shelter - new]]-tblPiNHistorical[[#This Row],[Shelter - old]])/tblPiNHistorical[[#This Row],[Shelter - old]], 1), "")</f>
        <v>-1</v>
      </c>
      <c r="AP98" s="37">
        <f>IFERROR(ROUND((tblPiNHistorical[[#This Row],[WASH - new]]-tblPiNHistorical[[#This Row],[WASH - old]])/tblPiNHistorical[[#This Row],[WASH - old]], 1), "")</f>
        <v>-0.5</v>
      </c>
    </row>
    <row r="99" spans="1:42">
      <c r="A9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Global_PopulationHT0721</v>
      </c>
      <c r="B99" s="304" t="s">
        <v>345</v>
      </c>
      <c r="C99" s="213" t="s">
        <v>346</v>
      </c>
      <c r="D99" s="213" t="s">
        <v>359</v>
      </c>
      <c r="E99" s="103" t="s">
        <v>360</v>
      </c>
      <c r="F99" s="99"/>
      <c r="G99" s="34"/>
      <c r="H99" s="331"/>
      <c r="I99" s="96">
        <v>25431</v>
      </c>
      <c r="J99" s="241" t="s">
        <v>156</v>
      </c>
      <c r="K99" s="305">
        <v>5943</v>
      </c>
      <c r="L99" s="306">
        <v>2624</v>
      </c>
      <c r="M99" s="308">
        <v>2441</v>
      </c>
      <c r="N99" s="308">
        <v>9363</v>
      </c>
      <c r="O99" s="308">
        <v>14707</v>
      </c>
      <c r="P99" s="308">
        <v>6011</v>
      </c>
      <c r="Q99" s="309">
        <v>5367</v>
      </c>
      <c r="R99" s="308">
        <v>15033.054713038018</v>
      </c>
      <c r="S99" s="308">
        <f>IFERROR(INDEX(tblPiNAnalysis[CCCM], MATCH(tblPiNHistorical[[#This Row],[ID]], tblPiNAnalysis[ID], 0)), "")</f>
        <v>7837.5</v>
      </c>
      <c r="T99" s="310">
        <f>IFERROR(INDEX(tblPiNAnalysis[Education], MATCH(tblPiNHistorical[[#This Row],[ID]], tblPiNAnalysis[ID], 0)), "")</f>
        <v>3154</v>
      </c>
      <c r="U99" s="308">
        <f>IFERROR(INDEX(tblPiNAnalysis[Nutrition], MATCH(tblPiNHistorical[[#This Row],[ID]], tblPiNAnalysis[ID], 0)), "")</f>
        <v>2822</v>
      </c>
      <c r="V99" s="308">
        <f>IFERROR(INDEX(tblPiNAnalysis[Food Security], MATCH(tblPiNHistorical[[#This Row],[ID]], tblPiNAnalysis[ID], 0)), "")</f>
        <v>13976</v>
      </c>
      <c r="W99" s="308">
        <f>IFERROR(INDEX(tblPiNAnalysis[Health], MATCH(tblPiNHistorical[[#This Row],[ID]], tblPiNAnalysis[ID], 0)), "")</f>
        <v>7524.3443942583735</v>
      </c>
      <c r="X99" s="308">
        <f>IFERROR(INDEX(tblPiNAnalysis[Protection], MATCH(tblPiNHistorical[[#This Row],[ID]], tblPiNAnalysis[ID], 0)), "")</f>
        <v>4171.47</v>
      </c>
      <c r="Y99" s="308">
        <f>IFERROR(INDEX(tblPiNAnalysis[Shelter], MATCH(tblPiNHistorical[[#This Row],[ID]], tblPiNAnalysis[ID], 0)), "")</f>
        <v>13364</v>
      </c>
      <c r="Z99" s="308">
        <f>IFERROR(INDEX(tblPiNAnalysis[WASH], MATCH(tblPiNHistorical[[#This Row],[ID]], tblPiNAnalysis[ID], 0)), "")</f>
        <v>6357.75</v>
      </c>
      <c r="AA99" s="311">
        <f>IF(OR(tblPiNHistorical[[#This Row],[CCCM - old]]="", tblPiNHistorical[[#This Row],[CCCM - old]]=0, tblPiNHistorical[[#This Row],[CCCM - new]]="", tblPiNHistorical[[#This Row],[CCCM - new]]=0), "", tblPiNHistorical[[#This Row],[CCCM - new]]-tblPiNHistorical[[#This Row],[CCCM - old]])</f>
        <v>1894.5</v>
      </c>
      <c r="AB99" s="312">
        <f>IF(OR(tblPiNHistorical[[#This Row],[Education - old]]="", tblPiNHistorical[[#This Row],[Education - old]]=0, tblPiNHistorical[[#This Row],[Education - new]]="", tblPiNHistorical[[#This Row],[Education - new]]=0), "", tblPiNHistorical[[#This Row],[Education - new]]-tblPiNHistorical[[#This Row],[Education - old]])</f>
        <v>530</v>
      </c>
      <c r="AC99" s="312">
        <f>IF(OR(tblPiNHistorical[[#This Row],[Nutrition - old]]="", tblPiNHistorical[[#This Row],[Nutrition - old]]=0, tblPiNHistorical[[#This Row],[Nutrition - new]]="", tblPiNHistorical[[#This Row],[Nutrition - new]]=0), "", tblPiNHistorical[[#This Row],[Nutrition - new]]-tblPiNHistorical[[#This Row],[Nutrition - old]])</f>
        <v>381</v>
      </c>
      <c r="AD99" s="312">
        <f>IF(OR(tblPiNHistorical[[#This Row],[Food Security - old]]="", tblPiNHistorical[[#This Row],[Food Security - old]]=0, tblPiNHistorical[[#This Row],[Food Security - new]]="", tblPiNHistorical[[#This Row],[Food Security - new]]=0), "", tblPiNHistorical[[#This Row],[Food Security - new]]-tblPiNHistorical[[#This Row],[Food Security - old]])</f>
        <v>4613</v>
      </c>
      <c r="AE99" s="312">
        <f>IF(OR(tblPiNHistorical[[#This Row],[Health - old]]="", tblPiNHistorical[[#This Row],[Health - old]]=0, tblPiNHistorical[[#This Row],[Health - new]]="", tblPiNHistorical[[#This Row],[Health - new]]=0), "", tblPiNHistorical[[#This Row],[Health - new]]-tblPiNHistorical[[#This Row],[Health - old]])</f>
        <v>-7182.6556057416265</v>
      </c>
      <c r="AF9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-1839.5299999999997</v>
      </c>
      <c r="AG99" s="312">
        <f>IF(OR(tblPiNHistorical[[#This Row],[Shelter - old]]="", tblPiNHistorical[[#This Row],[Shelter - old]]=0, tblPiNHistorical[[#This Row],[Shelter - new]]="", tblPiNHistorical[[#This Row],[Shelter - new]]=0), "", tblPiNHistorical[[#This Row],[Shelter - new]]-tblPiNHistorical[[#This Row],[Shelter - old]])</f>
        <v>7997</v>
      </c>
      <c r="AH99" s="313">
        <f>IF(OR(tblPiNHistorical[[#This Row],[WASH - old]]="", tblPiNHistorical[[#This Row],[WASH - old]]=0, tblPiNHistorical[[#This Row],[WASH - new]]="", tblPiNHistorical[[#This Row],[WASH - new]]=0), "", tblPiNHistorical[[#This Row],[WASH - new]]-tblPiNHistorical[[#This Row],[WASH - old]])</f>
        <v>-8675.3047130380182</v>
      </c>
      <c r="AI99" s="314">
        <f>IFERROR(ROUND((tblPiNHistorical[[#This Row],[CCCM - new]] - tblPiNHistorical[[#This Row],[CCCM - old]])/tblPiNHistorical[[#This Row],[CCCM - old]], 1), "")</f>
        <v>0.3</v>
      </c>
      <c r="AJ99" s="315">
        <f>IFERROR(ROUND((tblPiNHistorical[[#This Row],[Education - new]]-tblPiNHistorical[[#This Row],[Education - old]])/tblPiNHistorical[[#This Row],[Education - old]], 1), "")</f>
        <v>0.2</v>
      </c>
      <c r="AK99" s="315">
        <f>IFERROR(ROUND((tblPiNHistorical[[#This Row],[Nutrition - new]]-tblPiNHistorical[[#This Row],[Nutrition - old]])/tblPiNHistorical[[#This Row],[Nutrition - old]], 1), "")</f>
        <v>0.2</v>
      </c>
      <c r="AL99" s="315">
        <f>IFERROR(ROUND((tblPiNHistorical[[#This Row],[Food Security - new]]-tblPiNHistorical[[#This Row],[Food Security - old]])/tblPiNHistorical[[#This Row],[Food Security - old]], 1), "")</f>
        <v>0.5</v>
      </c>
      <c r="AM99" s="315">
        <f>IFERROR(ROUND((tblPiNHistorical[[#This Row],[Health - new]]-tblPiNHistorical[[#This Row],[Health - old]])/tblPiNHistorical[[#This Row],[Health - old]], 1), "")</f>
        <v>-0.5</v>
      </c>
      <c r="AN99" s="315">
        <f>IFERROR(ROUND((tblPiNHistorical[[#This Row],[Overarching Protection - new]]-tblPiNHistorical[[#This Row],[Overarching Protection - old]])/tblPiNHistorical[[#This Row],[Overarching Protection - old]], 1), "")</f>
        <v>-0.3</v>
      </c>
      <c r="AO99" s="315">
        <f>IFERROR(ROUND((tblPiNHistorical[[#This Row],[Shelter - new]]-tblPiNHistorical[[#This Row],[Shelter - old]])/tblPiNHistorical[[#This Row],[Shelter - old]], 1), "")</f>
        <v>1.5</v>
      </c>
      <c r="AP99" s="37">
        <f>IFERROR(ROUND((tblPiNHistorical[[#This Row],[WASH - new]]-tblPiNHistorical[[#This Row],[WASH - old]])/tblPiNHistorical[[#This Row],[WASH - old]], 1), "")</f>
        <v>-0.6</v>
      </c>
    </row>
    <row r="100" spans="1:42">
      <c r="A10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Global_PopulationHT0722</v>
      </c>
      <c r="B100" s="304" t="s">
        <v>345</v>
      </c>
      <c r="C100" s="213" t="s">
        <v>346</v>
      </c>
      <c r="D100" s="213" t="s">
        <v>361</v>
      </c>
      <c r="E100" s="103" t="s">
        <v>362</v>
      </c>
      <c r="F100" s="99"/>
      <c r="G100" s="34"/>
      <c r="H100" s="331"/>
      <c r="I100" s="96">
        <v>35362</v>
      </c>
      <c r="J100" s="241" t="s">
        <v>156</v>
      </c>
      <c r="K100" s="305">
        <v>9900</v>
      </c>
      <c r="L100" s="306">
        <v>3593</v>
      </c>
      <c r="M100" s="308">
        <v>3063</v>
      </c>
      <c r="N100" s="308">
        <v>12534</v>
      </c>
      <c r="O100" s="308">
        <v>22514</v>
      </c>
      <c r="P100" s="308">
        <v>7231</v>
      </c>
      <c r="Q100" s="309">
        <v>16324</v>
      </c>
      <c r="R100" s="308">
        <v>22174.211422736673</v>
      </c>
      <c r="S100" s="308">
        <f>IFERROR(INDEX(tblPiNAnalysis[CCCM], MATCH(tblPiNHistorical[[#This Row],[ID]], tblPiNAnalysis[ID], 0)), "")</f>
        <v>10500</v>
      </c>
      <c r="T100" s="310">
        <f>IFERROR(INDEX(tblPiNAnalysis[Education], MATCH(tblPiNHistorical[[#This Row],[ID]], tblPiNAnalysis[ID], 0)), "")</f>
        <v>4620</v>
      </c>
      <c r="U100" s="308">
        <f>IFERROR(INDEX(tblPiNAnalysis[Nutrition], MATCH(tblPiNHistorical[[#This Row],[ID]], tblPiNAnalysis[ID], 0)), "")</f>
        <v>3555</v>
      </c>
      <c r="V100" s="308">
        <f>IFERROR(INDEX(tblPiNAnalysis[Food Security], MATCH(tblPiNHistorical[[#This Row],[ID]], tblPiNAnalysis[ID], 0)), "")</f>
        <v>18710</v>
      </c>
      <c r="W100" s="308">
        <f>IFERROR(INDEX(tblPiNAnalysis[Health], MATCH(tblPiNHistorical[[#This Row],[ID]], tblPiNAnalysis[ID], 0)), "")</f>
        <v>13020.064371428572</v>
      </c>
      <c r="X100" s="308">
        <f>IFERROR(INDEX(tblPiNAnalysis[Protection], MATCH(tblPiNHistorical[[#This Row],[ID]], tblPiNAnalysis[ID], 0)), "")</f>
        <v>14158</v>
      </c>
      <c r="Y100" s="308">
        <f>IFERROR(INDEX(tblPiNAnalysis[Shelter], MATCH(tblPiNHistorical[[#This Row],[ID]], tblPiNAnalysis[ID], 0)), "")</f>
        <v>8999</v>
      </c>
      <c r="Z100" s="308">
        <f>IFERROR(INDEX(tblPiNAnalysis[WASH], MATCH(tblPiNHistorical[[#This Row],[ID]], tblPiNAnalysis[ID], 0)), "")</f>
        <v>7000</v>
      </c>
      <c r="AA100" s="311">
        <f>IF(OR(tblPiNHistorical[[#This Row],[CCCM - old]]="", tblPiNHistorical[[#This Row],[CCCM - old]]=0, tblPiNHistorical[[#This Row],[CCCM - new]]="", tblPiNHistorical[[#This Row],[CCCM - new]]=0), "", tblPiNHistorical[[#This Row],[CCCM - new]]-tblPiNHistorical[[#This Row],[CCCM - old]])</f>
        <v>600</v>
      </c>
      <c r="AB100" s="312">
        <f>IF(OR(tblPiNHistorical[[#This Row],[Education - old]]="", tblPiNHistorical[[#This Row],[Education - old]]=0, tblPiNHistorical[[#This Row],[Education - new]]="", tblPiNHistorical[[#This Row],[Education - new]]=0), "", tblPiNHistorical[[#This Row],[Education - new]]-tblPiNHistorical[[#This Row],[Education - old]])</f>
        <v>1027</v>
      </c>
      <c r="AC100" s="312">
        <f>IF(OR(tblPiNHistorical[[#This Row],[Nutrition - old]]="", tblPiNHistorical[[#This Row],[Nutrition - old]]=0, tblPiNHistorical[[#This Row],[Nutrition - new]]="", tblPiNHistorical[[#This Row],[Nutrition - new]]=0), "", tblPiNHistorical[[#This Row],[Nutrition - new]]-tblPiNHistorical[[#This Row],[Nutrition - old]])</f>
        <v>492</v>
      </c>
      <c r="AD100" s="312">
        <f>IF(OR(tblPiNHistorical[[#This Row],[Food Security - old]]="", tblPiNHistorical[[#This Row],[Food Security - old]]=0, tblPiNHistorical[[#This Row],[Food Security - new]]="", tblPiNHistorical[[#This Row],[Food Security - new]]=0), "", tblPiNHistorical[[#This Row],[Food Security - new]]-tblPiNHistorical[[#This Row],[Food Security - old]])</f>
        <v>6176</v>
      </c>
      <c r="AE100" s="312">
        <f>IF(OR(tblPiNHistorical[[#This Row],[Health - old]]="", tblPiNHistorical[[#This Row],[Health - old]]=0, tblPiNHistorical[[#This Row],[Health - new]]="", tblPiNHistorical[[#This Row],[Health - new]]=0), "", tblPiNHistorical[[#This Row],[Health - new]]-tblPiNHistorical[[#This Row],[Health - old]])</f>
        <v>-9493.9356285714275</v>
      </c>
      <c r="AF10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6927</v>
      </c>
      <c r="AG100" s="312">
        <f>IF(OR(tblPiNHistorical[[#This Row],[Shelter - old]]="", tblPiNHistorical[[#This Row],[Shelter - old]]=0, tblPiNHistorical[[#This Row],[Shelter - new]]="", tblPiNHistorical[[#This Row],[Shelter - new]]=0), "", tblPiNHistorical[[#This Row],[Shelter - new]]-tblPiNHistorical[[#This Row],[Shelter - old]])</f>
        <v>-7325</v>
      </c>
      <c r="AH100" s="313">
        <f>IF(OR(tblPiNHistorical[[#This Row],[WASH - old]]="", tblPiNHistorical[[#This Row],[WASH - old]]=0, tblPiNHistorical[[#This Row],[WASH - new]]="", tblPiNHistorical[[#This Row],[WASH - new]]=0), "", tblPiNHistorical[[#This Row],[WASH - new]]-tblPiNHistorical[[#This Row],[WASH - old]])</f>
        <v>-15174.211422736673</v>
      </c>
      <c r="AI100" s="314">
        <f>IFERROR(ROUND((tblPiNHistorical[[#This Row],[CCCM - new]] - tblPiNHistorical[[#This Row],[CCCM - old]])/tblPiNHistorical[[#This Row],[CCCM - old]], 1), "")</f>
        <v>0.1</v>
      </c>
      <c r="AJ100" s="315">
        <f>IFERROR(ROUND((tblPiNHistorical[[#This Row],[Education - new]]-tblPiNHistorical[[#This Row],[Education - old]])/tblPiNHistorical[[#This Row],[Education - old]], 1), "")</f>
        <v>0.3</v>
      </c>
      <c r="AK100" s="315">
        <f>IFERROR(ROUND((tblPiNHistorical[[#This Row],[Nutrition - new]]-tblPiNHistorical[[#This Row],[Nutrition - old]])/tblPiNHistorical[[#This Row],[Nutrition - old]], 1), "")</f>
        <v>0.2</v>
      </c>
      <c r="AL100" s="315">
        <f>IFERROR(ROUND((tblPiNHistorical[[#This Row],[Food Security - new]]-tblPiNHistorical[[#This Row],[Food Security - old]])/tblPiNHistorical[[#This Row],[Food Security - old]], 1), "")</f>
        <v>0.5</v>
      </c>
      <c r="AM100" s="315">
        <f>IFERROR(ROUND((tblPiNHistorical[[#This Row],[Health - new]]-tblPiNHistorical[[#This Row],[Health - old]])/tblPiNHistorical[[#This Row],[Health - old]], 1), "")</f>
        <v>-0.4</v>
      </c>
      <c r="AN100" s="315">
        <f>IFERROR(ROUND((tblPiNHistorical[[#This Row],[Overarching Protection - new]]-tblPiNHistorical[[#This Row],[Overarching Protection - old]])/tblPiNHistorical[[#This Row],[Overarching Protection - old]], 1), "")</f>
        <v>1</v>
      </c>
      <c r="AO100" s="315">
        <f>IFERROR(ROUND((tblPiNHistorical[[#This Row],[Shelter - new]]-tblPiNHistorical[[#This Row],[Shelter - old]])/tblPiNHistorical[[#This Row],[Shelter - old]], 1), "")</f>
        <v>-0.4</v>
      </c>
      <c r="AP100" s="37">
        <f>IFERROR(ROUND((tblPiNHistorical[[#This Row],[WASH - new]]-tblPiNHistorical[[#This Row],[WASH - old]])/tblPiNHistorical[[#This Row],[WASH - old]], 1), "")</f>
        <v>-0.7</v>
      </c>
    </row>
    <row r="101" spans="1:42">
      <c r="A10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Global_PopulationHT0723</v>
      </c>
      <c r="B101" s="304" t="s">
        <v>345</v>
      </c>
      <c r="C101" s="213" t="s">
        <v>346</v>
      </c>
      <c r="D101" s="213" t="s">
        <v>363</v>
      </c>
      <c r="E101" s="103" t="s">
        <v>364</v>
      </c>
      <c r="F101" s="99"/>
      <c r="G101" s="34"/>
      <c r="H101" s="331"/>
      <c r="I101" s="96">
        <v>35838</v>
      </c>
      <c r="J101" s="241" t="s">
        <v>156</v>
      </c>
      <c r="K101" s="305">
        <v>4617</v>
      </c>
      <c r="L101" s="306">
        <v>3796</v>
      </c>
      <c r="M101" s="308">
        <v>2977</v>
      </c>
      <c r="N101" s="308">
        <v>14305</v>
      </c>
      <c r="O101" s="308">
        <v>14718</v>
      </c>
      <c r="P101" s="308">
        <v>4510</v>
      </c>
      <c r="Q101" s="309">
        <v>20570</v>
      </c>
      <c r="R101" s="308">
        <v>11643.437913140875</v>
      </c>
      <c r="S101" s="308">
        <f>IFERROR(INDEX(tblPiNAnalysis[CCCM], MATCH(tblPiNHistorical[[#This Row],[ID]], tblPiNAnalysis[ID], 0)), "")</f>
        <v>6450</v>
      </c>
      <c r="T101" s="310">
        <f>IFERROR(INDEX(tblPiNAnalysis[Education], MATCH(tblPiNHistorical[[#This Row],[ID]], tblPiNAnalysis[ID], 0)), "")</f>
        <v>4569</v>
      </c>
      <c r="U101" s="308">
        <f>IFERROR(INDEX(tblPiNAnalysis[Nutrition], MATCH(tblPiNHistorical[[#This Row],[ID]], tblPiNAnalysis[ID], 0)), "")</f>
        <v>3293</v>
      </c>
      <c r="V101" s="308">
        <f>IFERROR(INDEX(tblPiNAnalysis[Food Security], MATCH(tblPiNHistorical[[#This Row],[ID]], tblPiNAnalysis[ID], 0)), "")</f>
        <v>21354</v>
      </c>
      <c r="W101" s="308">
        <f>IFERROR(INDEX(tblPiNAnalysis[Health], MATCH(tblPiNHistorical[[#This Row],[ID]], tblPiNAnalysis[ID], 0)), "")</f>
        <v>8189.334023255813</v>
      </c>
      <c r="X101" s="308">
        <f>IFERROR(INDEX(tblPiNAnalysis[Protection], MATCH(tblPiNHistorical[[#This Row],[ID]], tblPiNAnalysis[ID], 0)), "")</f>
        <v>2153.84</v>
      </c>
      <c r="Y101" s="308">
        <f>IFERROR(INDEX(tblPiNAnalysis[Shelter], MATCH(tblPiNHistorical[[#This Row],[ID]], tblPiNAnalysis[ID], 0)), "")</f>
        <v>0</v>
      </c>
      <c r="Z101" s="308">
        <f>IFERROR(INDEX(tblPiNAnalysis[WASH], MATCH(tblPiNHistorical[[#This Row],[ID]], tblPiNAnalysis[ID], 0)), "")</f>
        <v>6462</v>
      </c>
      <c r="AA101" s="311">
        <f>IF(OR(tblPiNHistorical[[#This Row],[CCCM - old]]="", tblPiNHistorical[[#This Row],[CCCM - old]]=0, tblPiNHistorical[[#This Row],[CCCM - new]]="", tblPiNHistorical[[#This Row],[CCCM - new]]=0), "", tblPiNHistorical[[#This Row],[CCCM - new]]-tblPiNHistorical[[#This Row],[CCCM - old]])</f>
        <v>1833</v>
      </c>
      <c r="AB101" s="312">
        <f>IF(OR(tblPiNHistorical[[#This Row],[Education - old]]="", tblPiNHistorical[[#This Row],[Education - old]]=0, tblPiNHistorical[[#This Row],[Education - new]]="", tblPiNHistorical[[#This Row],[Education - new]]=0), "", tblPiNHistorical[[#This Row],[Education - new]]-tblPiNHistorical[[#This Row],[Education - old]])</f>
        <v>773</v>
      </c>
      <c r="AC101" s="312">
        <f>IF(OR(tblPiNHistorical[[#This Row],[Nutrition - old]]="", tblPiNHistorical[[#This Row],[Nutrition - old]]=0, tblPiNHistorical[[#This Row],[Nutrition - new]]="", tblPiNHistorical[[#This Row],[Nutrition - new]]=0), "", tblPiNHistorical[[#This Row],[Nutrition - new]]-tblPiNHistorical[[#This Row],[Nutrition - old]])</f>
        <v>316</v>
      </c>
      <c r="AD101" s="312">
        <f>IF(OR(tblPiNHistorical[[#This Row],[Food Security - old]]="", tblPiNHistorical[[#This Row],[Food Security - old]]=0, tblPiNHistorical[[#This Row],[Food Security - new]]="", tblPiNHistorical[[#This Row],[Food Security - new]]=0), "", tblPiNHistorical[[#This Row],[Food Security - new]]-tblPiNHistorical[[#This Row],[Food Security - old]])</f>
        <v>7049</v>
      </c>
      <c r="AE101" s="312">
        <f>IF(OR(tblPiNHistorical[[#This Row],[Health - old]]="", tblPiNHistorical[[#This Row],[Health - old]]=0, tblPiNHistorical[[#This Row],[Health - new]]="", tblPiNHistorical[[#This Row],[Health - new]]=0), "", tblPiNHistorical[[#This Row],[Health - new]]-tblPiNHistorical[[#This Row],[Health - old]])</f>
        <v>-6528.665976744187</v>
      </c>
      <c r="AF10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-2356.16</v>
      </c>
      <c r="AG101" s="312" t="str">
        <f>IF(OR(tblPiNHistorical[[#This Row],[Shelter - old]]="", tblPiNHistorical[[#This Row],[Shelter - old]]=0, tblPiNHistorical[[#This Row],[Shelter - new]]="", tblPiNHistorical[[#This Row],[Shelter - new]]=0), "", tblPiNHistorical[[#This Row],[Shelter - new]]-tblPiNHistorical[[#This Row],[Shelter - old]])</f>
        <v/>
      </c>
      <c r="AH101" s="313">
        <f>IF(OR(tblPiNHistorical[[#This Row],[WASH - old]]="", tblPiNHistorical[[#This Row],[WASH - old]]=0, tblPiNHistorical[[#This Row],[WASH - new]]="", tblPiNHistorical[[#This Row],[WASH - new]]=0), "", tblPiNHistorical[[#This Row],[WASH - new]]-tblPiNHistorical[[#This Row],[WASH - old]])</f>
        <v>-5181.437913140875</v>
      </c>
      <c r="AI101" s="314">
        <f>IFERROR(ROUND((tblPiNHistorical[[#This Row],[CCCM - new]] - tblPiNHistorical[[#This Row],[CCCM - old]])/tblPiNHistorical[[#This Row],[CCCM - old]], 1), "")</f>
        <v>0.4</v>
      </c>
      <c r="AJ101" s="315">
        <f>IFERROR(ROUND((tblPiNHistorical[[#This Row],[Education - new]]-tblPiNHistorical[[#This Row],[Education - old]])/tblPiNHistorical[[#This Row],[Education - old]], 1), "")</f>
        <v>0.2</v>
      </c>
      <c r="AK101" s="315">
        <f>IFERROR(ROUND((tblPiNHistorical[[#This Row],[Nutrition - new]]-tblPiNHistorical[[#This Row],[Nutrition - old]])/tblPiNHistorical[[#This Row],[Nutrition - old]], 1), "")</f>
        <v>0.1</v>
      </c>
      <c r="AL101" s="315">
        <f>IFERROR(ROUND((tblPiNHistorical[[#This Row],[Food Security - new]]-tblPiNHistorical[[#This Row],[Food Security - old]])/tblPiNHistorical[[#This Row],[Food Security - old]], 1), "")</f>
        <v>0.5</v>
      </c>
      <c r="AM101" s="315">
        <f>IFERROR(ROUND((tblPiNHistorical[[#This Row],[Health - new]]-tblPiNHistorical[[#This Row],[Health - old]])/tblPiNHistorical[[#This Row],[Health - old]], 1), "")</f>
        <v>-0.4</v>
      </c>
      <c r="AN101" s="315">
        <f>IFERROR(ROUND((tblPiNHistorical[[#This Row],[Overarching Protection - new]]-tblPiNHistorical[[#This Row],[Overarching Protection - old]])/tblPiNHistorical[[#This Row],[Overarching Protection - old]], 1), "")</f>
        <v>-0.5</v>
      </c>
      <c r="AO101" s="315">
        <f>IFERROR(ROUND((tblPiNHistorical[[#This Row],[Shelter - new]]-tblPiNHistorical[[#This Row],[Shelter - old]])/tblPiNHistorical[[#This Row],[Shelter - old]], 1), "")</f>
        <v>-1</v>
      </c>
      <c r="AP101" s="37">
        <f>IFERROR(ROUND((tblPiNHistorical[[#This Row],[WASH - new]]-tblPiNHistorical[[#This Row],[WASH - old]])/tblPiNHistorical[[#This Row],[WASH - old]], 1), "")</f>
        <v>-0.4</v>
      </c>
    </row>
    <row r="102" spans="1:42">
      <c r="A10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Global_PopulationHT0731</v>
      </c>
      <c r="B102" s="304" t="s">
        <v>345</v>
      </c>
      <c r="C102" s="213" t="s">
        <v>346</v>
      </c>
      <c r="D102" s="213" t="s">
        <v>365</v>
      </c>
      <c r="E102" s="103" t="s">
        <v>366</v>
      </c>
      <c r="F102" s="99"/>
      <c r="G102" s="34"/>
      <c r="H102" s="331"/>
      <c r="I102" s="96">
        <v>123719</v>
      </c>
      <c r="J102" s="241" t="s">
        <v>156</v>
      </c>
      <c r="K102" s="305">
        <v>12444</v>
      </c>
      <c r="L102" s="306">
        <v>17604</v>
      </c>
      <c r="M102" s="308">
        <v>11850</v>
      </c>
      <c r="N102" s="308">
        <v>64429</v>
      </c>
      <c r="O102" s="308">
        <v>45894</v>
      </c>
      <c r="P102" s="308">
        <v>26979</v>
      </c>
      <c r="Q102" s="309">
        <v>50332</v>
      </c>
      <c r="R102" s="308">
        <v>41170.588389133874</v>
      </c>
      <c r="S102" s="308">
        <f>IFERROR(INDEX(tblPiNAnalysis[CCCM], MATCH(tblPiNHistorical[[#This Row],[ID]], tblPiNAnalysis[ID], 0)), "")</f>
        <v>40338</v>
      </c>
      <c r="T102" s="310">
        <f>IFERROR(INDEX(tblPiNAnalysis[Education], MATCH(tblPiNHistorical[[#This Row],[ID]], tblPiNAnalysis[ID], 0)), "")</f>
        <v>14308</v>
      </c>
      <c r="U102" s="308">
        <f>IFERROR(INDEX(tblPiNAnalysis[Nutrition], MATCH(tblPiNHistorical[[#This Row],[ID]], tblPiNAnalysis[ID], 0)), "")</f>
        <v>13986</v>
      </c>
      <c r="V102" s="308">
        <f>IFERROR(INDEX(tblPiNAnalysis[Food Security], MATCH(tblPiNHistorical[[#This Row],[ID]], tblPiNAnalysis[ID], 0)), "")</f>
        <v>69332</v>
      </c>
      <c r="W102" s="308">
        <f>IFERROR(INDEX(tblPiNAnalysis[Health], MATCH(tblPiNHistorical[[#This Row],[ID]], tblPiNAnalysis[ID], 0)), "")</f>
        <v>60234.867224757727</v>
      </c>
      <c r="X102" s="308">
        <f>IFERROR(INDEX(tblPiNAnalysis[Protection], MATCH(tblPiNHistorical[[#This Row],[ID]], tblPiNAnalysis[ID], 0)), "")</f>
        <v>33799.900327868854</v>
      </c>
      <c r="Y102" s="308">
        <f>IFERROR(INDEX(tblPiNAnalysis[Shelter], MATCH(tblPiNHistorical[[#This Row],[ID]], tblPiNAnalysis[ID], 0)), "")</f>
        <v>60059</v>
      </c>
      <c r="Z102" s="308">
        <f>IFERROR(INDEX(tblPiNAnalysis[WASH], MATCH(tblPiNHistorical[[#This Row],[ID]], tblPiNAnalysis[ID], 0)), "")</f>
        <v>26892</v>
      </c>
      <c r="AA102" s="311">
        <f>IF(OR(tblPiNHistorical[[#This Row],[CCCM - old]]="", tblPiNHistorical[[#This Row],[CCCM - old]]=0, tblPiNHistorical[[#This Row],[CCCM - new]]="", tblPiNHistorical[[#This Row],[CCCM - new]]=0), "", tblPiNHistorical[[#This Row],[CCCM - new]]-tblPiNHistorical[[#This Row],[CCCM - old]])</f>
        <v>27894</v>
      </c>
      <c r="AB102" s="312">
        <f>IF(OR(tblPiNHistorical[[#This Row],[Education - old]]="", tblPiNHistorical[[#This Row],[Education - old]]=0, tblPiNHistorical[[#This Row],[Education - new]]="", tblPiNHistorical[[#This Row],[Education - new]]=0), "", tblPiNHistorical[[#This Row],[Education - new]]-tblPiNHistorical[[#This Row],[Education - old]])</f>
        <v>-3296</v>
      </c>
      <c r="AC102" s="312">
        <f>IF(OR(tblPiNHistorical[[#This Row],[Nutrition - old]]="", tblPiNHistorical[[#This Row],[Nutrition - old]]=0, tblPiNHistorical[[#This Row],[Nutrition - new]]="", tblPiNHistorical[[#This Row],[Nutrition - new]]=0), "", tblPiNHistorical[[#This Row],[Nutrition - new]]-tblPiNHistorical[[#This Row],[Nutrition - old]])</f>
        <v>2136</v>
      </c>
      <c r="AD102" s="312">
        <f>IF(OR(tblPiNHistorical[[#This Row],[Food Security - old]]="", tblPiNHistorical[[#This Row],[Food Security - old]]=0, tblPiNHistorical[[#This Row],[Food Security - new]]="", tblPiNHistorical[[#This Row],[Food Security - new]]=0), "", tblPiNHistorical[[#This Row],[Food Security - new]]-tblPiNHistorical[[#This Row],[Food Security - old]])</f>
        <v>4903</v>
      </c>
      <c r="AE102" s="312">
        <f>IF(OR(tblPiNHistorical[[#This Row],[Health - old]]="", tblPiNHistorical[[#This Row],[Health - old]]=0, tblPiNHistorical[[#This Row],[Health - new]]="", tblPiNHistorical[[#This Row],[Health - new]]=0), "", tblPiNHistorical[[#This Row],[Health - new]]-tblPiNHistorical[[#This Row],[Health - old]])</f>
        <v>14340.867224757727</v>
      </c>
      <c r="AF10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6820.9003278688542</v>
      </c>
      <c r="AG102" s="312">
        <f>IF(OR(tblPiNHistorical[[#This Row],[Shelter - old]]="", tblPiNHistorical[[#This Row],[Shelter - old]]=0, tblPiNHistorical[[#This Row],[Shelter - new]]="", tblPiNHistorical[[#This Row],[Shelter - new]]=0), "", tblPiNHistorical[[#This Row],[Shelter - new]]-tblPiNHistorical[[#This Row],[Shelter - old]])</f>
        <v>9727</v>
      </c>
      <c r="AH102" s="313">
        <f>IF(OR(tblPiNHistorical[[#This Row],[WASH - old]]="", tblPiNHistorical[[#This Row],[WASH - old]]=0, tblPiNHistorical[[#This Row],[WASH - new]]="", tblPiNHistorical[[#This Row],[WASH - new]]=0), "", tblPiNHistorical[[#This Row],[WASH - new]]-tblPiNHistorical[[#This Row],[WASH - old]])</f>
        <v>-14278.588389133874</v>
      </c>
      <c r="AI102" s="314">
        <f>IFERROR(ROUND((tblPiNHistorical[[#This Row],[CCCM - new]] - tblPiNHistorical[[#This Row],[CCCM - old]])/tblPiNHistorical[[#This Row],[CCCM - old]], 1), "")</f>
        <v>2.2000000000000002</v>
      </c>
      <c r="AJ102" s="315">
        <f>IFERROR(ROUND((tblPiNHistorical[[#This Row],[Education - new]]-tblPiNHistorical[[#This Row],[Education - old]])/tblPiNHistorical[[#This Row],[Education - old]], 1), "")</f>
        <v>-0.2</v>
      </c>
      <c r="AK102" s="315">
        <f>IFERROR(ROUND((tblPiNHistorical[[#This Row],[Nutrition - new]]-tblPiNHistorical[[#This Row],[Nutrition - old]])/tblPiNHistorical[[#This Row],[Nutrition - old]], 1), "")</f>
        <v>0.2</v>
      </c>
      <c r="AL102" s="315">
        <f>IFERROR(ROUND((tblPiNHistorical[[#This Row],[Food Security - new]]-tblPiNHistorical[[#This Row],[Food Security - old]])/tblPiNHistorical[[#This Row],[Food Security - old]], 1), "")</f>
        <v>0.1</v>
      </c>
      <c r="AM102" s="315">
        <f>IFERROR(ROUND((tblPiNHistorical[[#This Row],[Health - new]]-tblPiNHistorical[[#This Row],[Health - old]])/tblPiNHistorical[[#This Row],[Health - old]], 1), "")</f>
        <v>0.3</v>
      </c>
      <c r="AN102" s="315">
        <f>IFERROR(ROUND((tblPiNHistorical[[#This Row],[Overarching Protection - new]]-tblPiNHistorical[[#This Row],[Overarching Protection - old]])/tblPiNHistorical[[#This Row],[Overarching Protection - old]], 1), "")</f>
        <v>0.3</v>
      </c>
      <c r="AO102" s="315">
        <f>IFERROR(ROUND((tblPiNHistorical[[#This Row],[Shelter - new]]-tblPiNHistorical[[#This Row],[Shelter - old]])/tblPiNHistorical[[#This Row],[Shelter - old]], 1), "")</f>
        <v>0.2</v>
      </c>
      <c r="AP102" s="37">
        <f>IFERROR(ROUND((tblPiNHistorical[[#This Row],[WASH - new]]-tblPiNHistorical[[#This Row],[WASH - old]])/tblPiNHistorical[[#This Row],[WASH - old]], 1), "")</f>
        <v>-0.3</v>
      </c>
    </row>
    <row r="103" spans="1:42">
      <c r="A10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Global_PopulationHT0732</v>
      </c>
      <c r="B103" s="304" t="s">
        <v>345</v>
      </c>
      <c r="C103" s="213" t="s">
        <v>346</v>
      </c>
      <c r="D103" s="213" t="s">
        <v>367</v>
      </c>
      <c r="E103" s="103" t="s">
        <v>368</v>
      </c>
      <c r="F103" s="99"/>
      <c r="G103" s="34"/>
      <c r="H103" s="331"/>
      <c r="I103" s="96">
        <v>80295</v>
      </c>
      <c r="J103" s="241" t="s">
        <v>156</v>
      </c>
      <c r="K103" s="305">
        <v>11102</v>
      </c>
      <c r="L103" s="306">
        <v>12149</v>
      </c>
      <c r="M103" s="308">
        <v>6570</v>
      </c>
      <c r="N103" s="308">
        <v>38901</v>
      </c>
      <c r="O103" s="308">
        <v>34199</v>
      </c>
      <c r="P103" s="308">
        <v>10656</v>
      </c>
      <c r="Q103" s="309">
        <v>35000</v>
      </c>
      <c r="R103" s="308">
        <v>31696.298728384812</v>
      </c>
      <c r="S103" s="308">
        <f>IFERROR(INDEX(tblPiNAnalysis[CCCM], MATCH(tblPiNHistorical[[#This Row],[ID]], tblPiNAnalysis[ID], 0)), "")</f>
        <v>22591.5</v>
      </c>
      <c r="T103" s="310">
        <f>IFERROR(INDEX(tblPiNAnalysis[Education], MATCH(tblPiNHistorical[[#This Row],[ID]], tblPiNAnalysis[ID], 0)), "")</f>
        <v>9967</v>
      </c>
      <c r="U103" s="308">
        <f>IFERROR(INDEX(tblPiNAnalysis[Nutrition], MATCH(tblPiNHistorical[[#This Row],[ID]], tblPiNAnalysis[ID], 0)), "")</f>
        <v>7726</v>
      </c>
      <c r="V103" s="308">
        <f>IFERROR(INDEX(tblPiNAnalysis[Food Security], MATCH(tblPiNHistorical[[#This Row],[ID]], tblPiNAnalysis[ID], 0)), "")</f>
        <v>43192</v>
      </c>
      <c r="W103" s="308">
        <f>IFERROR(INDEX(tblPiNAnalysis[Health], MATCH(tblPiNHistorical[[#This Row],[ID]], tblPiNAnalysis[ID], 0)), "")</f>
        <v>24316.284666891454</v>
      </c>
      <c r="X103" s="308">
        <f>IFERROR(INDEX(tblPiNAnalysis[Protection], MATCH(tblPiNHistorical[[#This Row],[ID]], tblPiNAnalysis[ID], 0)), "")</f>
        <v>15203.71</v>
      </c>
      <c r="Y103" s="308">
        <f>IFERROR(INDEX(tblPiNAnalysis[Shelter], MATCH(tblPiNHistorical[[#This Row],[ID]], tblPiNAnalysis[ID], 0)), "")</f>
        <v>49907</v>
      </c>
      <c r="Z103" s="308">
        <f>IFERROR(INDEX(tblPiNAnalysis[WASH], MATCH(tblPiNHistorical[[#This Row],[ID]], tblPiNAnalysis[ID], 0)), "")</f>
        <v>29441.499999999996</v>
      </c>
      <c r="AA103" s="311">
        <f>IF(OR(tblPiNHistorical[[#This Row],[CCCM - old]]="", tblPiNHistorical[[#This Row],[CCCM - old]]=0, tblPiNHistorical[[#This Row],[CCCM - new]]="", tblPiNHistorical[[#This Row],[CCCM - new]]=0), "", tblPiNHistorical[[#This Row],[CCCM - new]]-tblPiNHistorical[[#This Row],[CCCM - old]])</f>
        <v>11489.5</v>
      </c>
      <c r="AB103" s="312">
        <f>IF(OR(tblPiNHistorical[[#This Row],[Education - old]]="", tblPiNHistorical[[#This Row],[Education - old]]=0, tblPiNHistorical[[#This Row],[Education - new]]="", tblPiNHistorical[[#This Row],[Education - new]]=0), "", tblPiNHistorical[[#This Row],[Education - new]]-tblPiNHistorical[[#This Row],[Education - old]])</f>
        <v>-2182</v>
      </c>
      <c r="AC103" s="312">
        <f>IF(OR(tblPiNHistorical[[#This Row],[Nutrition - old]]="", tblPiNHistorical[[#This Row],[Nutrition - old]]=0, tblPiNHistorical[[#This Row],[Nutrition - new]]="", tblPiNHistorical[[#This Row],[Nutrition - new]]=0), "", tblPiNHistorical[[#This Row],[Nutrition - new]]-tblPiNHistorical[[#This Row],[Nutrition - old]])</f>
        <v>1156</v>
      </c>
      <c r="AD103" s="312">
        <f>IF(OR(tblPiNHistorical[[#This Row],[Food Security - old]]="", tblPiNHistorical[[#This Row],[Food Security - old]]=0, tblPiNHistorical[[#This Row],[Food Security - new]]="", tblPiNHistorical[[#This Row],[Food Security - new]]=0), "", tblPiNHistorical[[#This Row],[Food Security - new]]-tblPiNHistorical[[#This Row],[Food Security - old]])</f>
        <v>4291</v>
      </c>
      <c r="AE103" s="312">
        <f>IF(OR(tblPiNHistorical[[#This Row],[Health - old]]="", tblPiNHistorical[[#This Row],[Health - old]]=0, tblPiNHistorical[[#This Row],[Health - new]]="", tblPiNHistorical[[#This Row],[Health - new]]=0), "", tblPiNHistorical[[#This Row],[Health - new]]-tblPiNHistorical[[#This Row],[Health - old]])</f>
        <v>-9882.7153331085465</v>
      </c>
      <c r="AF10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4547.7099999999991</v>
      </c>
      <c r="AG103" s="312">
        <f>IF(OR(tblPiNHistorical[[#This Row],[Shelter - old]]="", tblPiNHistorical[[#This Row],[Shelter - old]]=0, tblPiNHistorical[[#This Row],[Shelter - new]]="", tblPiNHistorical[[#This Row],[Shelter - new]]=0), "", tblPiNHistorical[[#This Row],[Shelter - new]]-tblPiNHistorical[[#This Row],[Shelter - old]])</f>
        <v>14907</v>
      </c>
      <c r="AH103" s="313">
        <f>IF(OR(tblPiNHistorical[[#This Row],[WASH - old]]="", tblPiNHistorical[[#This Row],[WASH - old]]=0, tblPiNHistorical[[#This Row],[WASH - new]]="", tblPiNHistorical[[#This Row],[WASH - new]]=0), "", tblPiNHistorical[[#This Row],[WASH - new]]-tblPiNHistorical[[#This Row],[WASH - old]])</f>
        <v>-2254.7987283848161</v>
      </c>
      <c r="AI103" s="314">
        <f>IFERROR(ROUND((tblPiNHistorical[[#This Row],[CCCM - new]] - tblPiNHistorical[[#This Row],[CCCM - old]])/tblPiNHistorical[[#This Row],[CCCM - old]], 1), "")</f>
        <v>1</v>
      </c>
      <c r="AJ103" s="315">
        <f>IFERROR(ROUND((tblPiNHistorical[[#This Row],[Education - new]]-tblPiNHistorical[[#This Row],[Education - old]])/tblPiNHistorical[[#This Row],[Education - old]], 1), "")</f>
        <v>-0.2</v>
      </c>
      <c r="AK103" s="315">
        <f>IFERROR(ROUND((tblPiNHistorical[[#This Row],[Nutrition - new]]-tblPiNHistorical[[#This Row],[Nutrition - old]])/tblPiNHistorical[[#This Row],[Nutrition - old]], 1), "")</f>
        <v>0.2</v>
      </c>
      <c r="AL103" s="315">
        <f>IFERROR(ROUND((tblPiNHistorical[[#This Row],[Food Security - new]]-tblPiNHistorical[[#This Row],[Food Security - old]])/tblPiNHistorical[[#This Row],[Food Security - old]], 1), "")</f>
        <v>0.1</v>
      </c>
      <c r="AM103" s="315">
        <f>IFERROR(ROUND((tblPiNHistorical[[#This Row],[Health - new]]-tblPiNHistorical[[#This Row],[Health - old]])/tblPiNHistorical[[#This Row],[Health - old]], 1), "")</f>
        <v>-0.3</v>
      </c>
      <c r="AN103" s="315">
        <f>IFERROR(ROUND((tblPiNHistorical[[#This Row],[Overarching Protection - new]]-tblPiNHistorical[[#This Row],[Overarching Protection - old]])/tblPiNHistorical[[#This Row],[Overarching Protection - old]], 1), "")</f>
        <v>0.4</v>
      </c>
      <c r="AO103" s="315">
        <f>IFERROR(ROUND((tblPiNHistorical[[#This Row],[Shelter - new]]-tblPiNHistorical[[#This Row],[Shelter - old]])/tblPiNHistorical[[#This Row],[Shelter - old]], 1), "")</f>
        <v>0.4</v>
      </c>
      <c r="AP103" s="37">
        <f>IFERROR(ROUND((tblPiNHistorical[[#This Row],[WASH - new]]-tblPiNHistorical[[#This Row],[WASH - old]])/tblPiNHistorical[[#This Row],[WASH - old]], 1), "")</f>
        <v>-0.1</v>
      </c>
    </row>
    <row r="104" spans="1:42">
      <c r="A10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Global_PopulationHT0733</v>
      </c>
      <c r="B104" s="304" t="s">
        <v>345</v>
      </c>
      <c r="C104" s="213" t="s">
        <v>346</v>
      </c>
      <c r="D104" s="213" t="s">
        <v>369</v>
      </c>
      <c r="E104" s="103" t="s">
        <v>370</v>
      </c>
      <c r="F104" s="99"/>
      <c r="G104" s="34"/>
      <c r="H104" s="331"/>
      <c r="I104" s="96">
        <v>63397</v>
      </c>
      <c r="J104" s="241" t="s">
        <v>156</v>
      </c>
      <c r="K104" s="305">
        <v>13028</v>
      </c>
      <c r="L104" s="306">
        <v>6542</v>
      </c>
      <c r="M104" s="308">
        <v>5606</v>
      </c>
      <c r="N104" s="308">
        <v>29172</v>
      </c>
      <c r="O104" s="308">
        <v>33476</v>
      </c>
      <c r="P104" s="308">
        <v>11840</v>
      </c>
      <c r="Q104" s="309">
        <v>41034</v>
      </c>
      <c r="R104" s="308">
        <v>31998.629247887213</v>
      </c>
      <c r="S104" s="308">
        <f>IFERROR(INDEX(tblPiNAnalysis[CCCM], MATCH(tblPiNHistorical[[#This Row],[ID]], tblPiNAnalysis[ID], 0)), "")</f>
        <v>36769.5</v>
      </c>
      <c r="T104" s="310">
        <f>IFERROR(INDEX(tblPiNAnalysis[Education], MATCH(tblPiNHistorical[[#This Row],[ID]], tblPiNAnalysis[ID], 0)), "")</f>
        <v>7729</v>
      </c>
      <c r="U104" s="308">
        <f>IFERROR(INDEX(tblPiNAnalysis[Nutrition], MATCH(tblPiNHistorical[[#This Row],[ID]], tblPiNAnalysis[ID], 0)), "")</f>
        <v>7536</v>
      </c>
      <c r="V104" s="308">
        <f>IFERROR(INDEX(tblPiNAnalysis[Food Security], MATCH(tblPiNHistorical[[#This Row],[ID]], tblPiNAnalysis[ID], 0)), "")</f>
        <v>32390</v>
      </c>
      <c r="W104" s="308">
        <f>IFERROR(INDEX(tblPiNAnalysis[Health], MATCH(tblPiNHistorical[[#This Row],[ID]], tblPiNAnalysis[ID], 0)), "")</f>
        <v>26588.659165699828</v>
      </c>
      <c r="X104" s="308">
        <f>IFERROR(INDEX(tblPiNAnalysis[Protection], MATCH(tblPiNHistorical[[#This Row],[ID]], tblPiNAnalysis[ID], 0)), "")</f>
        <v>24726.3</v>
      </c>
      <c r="Y104" s="308">
        <f>IFERROR(INDEX(tblPiNAnalysis[Shelter], MATCH(tblPiNHistorical[[#This Row],[ID]], tblPiNAnalysis[ID], 0)), "")</f>
        <v>45881</v>
      </c>
      <c r="Z104" s="308">
        <f>IFERROR(INDEX(tblPiNAnalysis[WASH], MATCH(tblPiNHistorical[[#This Row],[ID]], tblPiNAnalysis[ID], 0)), "")</f>
        <v>47547.75</v>
      </c>
      <c r="AA104" s="311">
        <f>IF(OR(tblPiNHistorical[[#This Row],[CCCM - old]]="", tblPiNHistorical[[#This Row],[CCCM - old]]=0, tblPiNHistorical[[#This Row],[CCCM - new]]="", tblPiNHistorical[[#This Row],[CCCM - new]]=0), "", tblPiNHistorical[[#This Row],[CCCM - new]]-tblPiNHistorical[[#This Row],[CCCM - old]])</f>
        <v>23741.5</v>
      </c>
      <c r="AB104" s="312">
        <f>IF(OR(tblPiNHistorical[[#This Row],[Education - old]]="", tblPiNHistorical[[#This Row],[Education - old]]=0, tblPiNHistorical[[#This Row],[Education - new]]="", tblPiNHistorical[[#This Row],[Education - new]]=0), "", tblPiNHistorical[[#This Row],[Education - new]]-tblPiNHistorical[[#This Row],[Education - old]])</f>
        <v>1187</v>
      </c>
      <c r="AC104" s="312">
        <f>IF(OR(tblPiNHistorical[[#This Row],[Nutrition - old]]="", tblPiNHistorical[[#This Row],[Nutrition - old]]=0, tblPiNHistorical[[#This Row],[Nutrition - new]]="", tblPiNHistorical[[#This Row],[Nutrition - new]]=0), "", tblPiNHistorical[[#This Row],[Nutrition - new]]-tblPiNHistorical[[#This Row],[Nutrition - old]])</f>
        <v>1930</v>
      </c>
      <c r="AD104" s="312">
        <f>IF(OR(tblPiNHistorical[[#This Row],[Food Security - old]]="", tblPiNHistorical[[#This Row],[Food Security - old]]=0, tblPiNHistorical[[#This Row],[Food Security - new]]="", tblPiNHistorical[[#This Row],[Food Security - new]]=0), "", tblPiNHistorical[[#This Row],[Food Security - new]]-tblPiNHistorical[[#This Row],[Food Security - old]])</f>
        <v>3218</v>
      </c>
      <c r="AE104" s="312">
        <f>IF(OR(tblPiNHistorical[[#This Row],[Health - old]]="", tblPiNHistorical[[#This Row],[Health - old]]=0, tblPiNHistorical[[#This Row],[Health - new]]="", tblPiNHistorical[[#This Row],[Health - new]]=0), "", tblPiNHistorical[[#This Row],[Health - new]]-tblPiNHistorical[[#This Row],[Health - old]])</f>
        <v>-6887.340834300172</v>
      </c>
      <c r="AF10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12886.3</v>
      </c>
      <c r="AG104" s="312">
        <f>IF(OR(tblPiNHistorical[[#This Row],[Shelter - old]]="", tblPiNHistorical[[#This Row],[Shelter - old]]=0, tblPiNHistorical[[#This Row],[Shelter - new]]="", tblPiNHistorical[[#This Row],[Shelter - new]]=0), "", tblPiNHistorical[[#This Row],[Shelter - new]]-tblPiNHistorical[[#This Row],[Shelter - old]])</f>
        <v>4847</v>
      </c>
      <c r="AH104" s="313">
        <f>IF(OR(tblPiNHistorical[[#This Row],[WASH - old]]="", tblPiNHistorical[[#This Row],[WASH - old]]=0, tblPiNHistorical[[#This Row],[WASH - new]]="", tblPiNHistorical[[#This Row],[WASH - new]]=0), "", tblPiNHistorical[[#This Row],[WASH - new]]-tblPiNHistorical[[#This Row],[WASH - old]])</f>
        <v>15549.120752112787</v>
      </c>
      <c r="AI104" s="314">
        <f>IFERROR(ROUND((tblPiNHistorical[[#This Row],[CCCM - new]] - tblPiNHistorical[[#This Row],[CCCM - old]])/tblPiNHistorical[[#This Row],[CCCM - old]], 1), "")</f>
        <v>1.8</v>
      </c>
      <c r="AJ104" s="315">
        <f>IFERROR(ROUND((tblPiNHistorical[[#This Row],[Education - new]]-tblPiNHistorical[[#This Row],[Education - old]])/tblPiNHistorical[[#This Row],[Education - old]], 1), "")</f>
        <v>0.2</v>
      </c>
      <c r="AK104" s="315">
        <f>IFERROR(ROUND((tblPiNHistorical[[#This Row],[Nutrition - new]]-tblPiNHistorical[[#This Row],[Nutrition - old]])/tblPiNHistorical[[#This Row],[Nutrition - old]], 1), "")</f>
        <v>0.3</v>
      </c>
      <c r="AL104" s="315">
        <f>IFERROR(ROUND((tblPiNHistorical[[#This Row],[Food Security - new]]-tblPiNHistorical[[#This Row],[Food Security - old]])/tblPiNHistorical[[#This Row],[Food Security - old]], 1), "")</f>
        <v>0.1</v>
      </c>
      <c r="AM104" s="315">
        <f>IFERROR(ROUND((tblPiNHistorical[[#This Row],[Health - new]]-tblPiNHistorical[[#This Row],[Health - old]])/tblPiNHistorical[[#This Row],[Health - old]], 1), "")</f>
        <v>-0.2</v>
      </c>
      <c r="AN104" s="315">
        <f>IFERROR(ROUND((tblPiNHistorical[[#This Row],[Overarching Protection - new]]-tblPiNHistorical[[#This Row],[Overarching Protection - old]])/tblPiNHistorical[[#This Row],[Overarching Protection - old]], 1), "")</f>
        <v>1.1000000000000001</v>
      </c>
      <c r="AO104" s="315">
        <f>IFERROR(ROUND((tblPiNHistorical[[#This Row],[Shelter - new]]-tblPiNHistorical[[#This Row],[Shelter - old]])/tblPiNHistorical[[#This Row],[Shelter - old]], 1), "")</f>
        <v>0.1</v>
      </c>
      <c r="AP104" s="37">
        <f>IFERROR(ROUND((tblPiNHistorical[[#This Row],[WASH - new]]-tblPiNHistorical[[#This Row],[WASH - old]])/tblPiNHistorical[[#This Row],[WASH - old]], 1), "")</f>
        <v>0.5</v>
      </c>
    </row>
    <row r="105" spans="1:42">
      <c r="A10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Global_PopulationHT0741</v>
      </c>
      <c r="B105" s="304" t="s">
        <v>345</v>
      </c>
      <c r="C105" s="213" t="s">
        <v>346</v>
      </c>
      <c r="D105" s="213" t="s">
        <v>371</v>
      </c>
      <c r="E105" s="103" t="s">
        <v>372</v>
      </c>
      <c r="F105" s="99"/>
      <c r="G105" s="34"/>
      <c r="H105" s="331"/>
      <c r="I105" s="96">
        <v>25395</v>
      </c>
      <c r="J105" s="241" t="s">
        <v>156</v>
      </c>
      <c r="K105" s="305">
        <v>2234</v>
      </c>
      <c r="L105" s="306">
        <v>2844</v>
      </c>
      <c r="M105" s="308">
        <v>2116</v>
      </c>
      <c r="N105" s="308">
        <v>10443</v>
      </c>
      <c r="O105" s="308">
        <v>8896</v>
      </c>
      <c r="P105" s="308">
        <v>2783</v>
      </c>
      <c r="Q105" s="309">
        <v>11953</v>
      </c>
      <c r="R105" s="308">
        <v>6711.2942724050063</v>
      </c>
      <c r="S105" s="308">
        <f>IFERROR(INDEX(tblPiNAnalysis[CCCM], MATCH(tblPiNHistorical[[#This Row],[ID]], tblPiNAnalysis[ID], 0)), "")</f>
        <v>4450.5</v>
      </c>
      <c r="T105" s="310">
        <f>IFERROR(INDEX(tblPiNAnalysis[Education], MATCH(tblPiNHistorical[[#This Row],[ID]], tblPiNAnalysis[ID], 0)), "")</f>
        <v>3322</v>
      </c>
      <c r="U105" s="308">
        <f>IFERROR(INDEX(tblPiNAnalysis[Nutrition], MATCH(tblPiNHistorical[[#This Row],[ID]], tblPiNAnalysis[ID], 0)), "")</f>
        <v>2343</v>
      </c>
      <c r="V105" s="308">
        <f>IFERROR(INDEX(tblPiNAnalysis[Food Security], MATCH(tblPiNHistorical[[#This Row],[ID]], tblPiNAnalysis[ID], 0)), "")</f>
        <v>15589</v>
      </c>
      <c r="W105" s="308">
        <f>IFERROR(INDEX(tblPiNAnalysis[Health], MATCH(tblPiNHistorical[[#This Row],[ID]], tblPiNAnalysis[ID], 0)), "")</f>
        <v>5594.127825965621</v>
      </c>
      <c r="X105" s="308">
        <f>IFERROR(INDEX(tblPiNAnalysis[Protection], MATCH(tblPiNHistorical[[#This Row],[ID]], tblPiNAnalysis[ID], 0)), "")</f>
        <v>3101.29</v>
      </c>
      <c r="Y105" s="308">
        <f>IFERROR(INDEX(tblPiNAnalysis[Shelter], MATCH(tblPiNHistorical[[#This Row],[ID]], tblPiNAnalysis[ID], 0)), "")</f>
        <v>6381</v>
      </c>
      <c r="Z105" s="308">
        <f>IFERROR(INDEX(tblPiNAnalysis[WASH], MATCH(tblPiNHistorical[[#This Row],[ID]], tblPiNAnalysis[ID], 0)), "")</f>
        <v>2971.8</v>
      </c>
      <c r="AA105" s="311">
        <f>IF(OR(tblPiNHistorical[[#This Row],[CCCM - old]]="", tblPiNHistorical[[#This Row],[CCCM - old]]=0, tblPiNHistorical[[#This Row],[CCCM - new]]="", tblPiNHistorical[[#This Row],[CCCM - new]]=0), "", tblPiNHistorical[[#This Row],[CCCM - new]]-tblPiNHistorical[[#This Row],[CCCM - old]])</f>
        <v>2216.5</v>
      </c>
      <c r="AB105" s="312">
        <f>IF(OR(tblPiNHistorical[[#This Row],[Education - old]]="", tblPiNHistorical[[#This Row],[Education - old]]=0, tblPiNHistorical[[#This Row],[Education - new]]="", tblPiNHistorical[[#This Row],[Education - new]]=0), "", tblPiNHistorical[[#This Row],[Education - new]]-tblPiNHistorical[[#This Row],[Education - old]])</f>
        <v>478</v>
      </c>
      <c r="AC105" s="312">
        <f>IF(OR(tblPiNHistorical[[#This Row],[Nutrition - old]]="", tblPiNHistorical[[#This Row],[Nutrition - old]]=0, tblPiNHistorical[[#This Row],[Nutrition - new]]="", tblPiNHistorical[[#This Row],[Nutrition - new]]=0), "", tblPiNHistorical[[#This Row],[Nutrition - new]]-tblPiNHistorical[[#This Row],[Nutrition - old]])</f>
        <v>227</v>
      </c>
      <c r="AD105" s="312">
        <f>IF(OR(tblPiNHistorical[[#This Row],[Food Security - old]]="", tblPiNHistorical[[#This Row],[Food Security - old]]=0, tblPiNHistorical[[#This Row],[Food Security - new]]="", tblPiNHistorical[[#This Row],[Food Security - new]]=0), "", tblPiNHistorical[[#This Row],[Food Security - new]]-tblPiNHistorical[[#This Row],[Food Security - old]])</f>
        <v>5146</v>
      </c>
      <c r="AE105" s="312">
        <f>IF(OR(tblPiNHistorical[[#This Row],[Health - old]]="", tblPiNHistorical[[#This Row],[Health - old]]=0, tblPiNHistorical[[#This Row],[Health - new]]="", tblPiNHistorical[[#This Row],[Health - new]]=0), "", tblPiNHistorical[[#This Row],[Health - new]]-tblPiNHistorical[[#This Row],[Health - old]])</f>
        <v>-3301.872174034379</v>
      </c>
      <c r="AF10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318.28999999999996</v>
      </c>
      <c r="AG105" s="312">
        <f>IF(OR(tblPiNHistorical[[#This Row],[Shelter - old]]="", tblPiNHistorical[[#This Row],[Shelter - old]]=0, tblPiNHistorical[[#This Row],[Shelter - new]]="", tblPiNHistorical[[#This Row],[Shelter - new]]=0), "", tblPiNHistorical[[#This Row],[Shelter - new]]-tblPiNHistorical[[#This Row],[Shelter - old]])</f>
        <v>-5572</v>
      </c>
      <c r="AH105" s="313">
        <f>IF(OR(tblPiNHistorical[[#This Row],[WASH - old]]="", tblPiNHistorical[[#This Row],[WASH - old]]=0, tblPiNHistorical[[#This Row],[WASH - new]]="", tblPiNHistorical[[#This Row],[WASH - new]]=0), "", tblPiNHistorical[[#This Row],[WASH - new]]-tblPiNHistorical[[#This Row],[WASH - old]])</f>
        <v>-3739.4942724050061</v>
      </c>
      <c r="AI105" s="314">
        <f>IFERROR(ROUND((tblPiNHistorical[[#This Row],[CCCM - new]] - tblPiNHistorical[[#This Row],[CCCM - old]])/tblPiNHistorical[[#This Row],[CCCM - old]], 1), "")</f>
        <v>1</v>
      </c>
      <c r="AJ105" s="315">
        <f>IFERROR(ROUND((tblPiNHistorical[[#This Row],[Education - new]]-tblPiNHistorical[[#This Row],[Education - old]])/tblPiNHistorical[[#This Row],[Education - old]], 1), "")</f>
        <v>0.2</v>
      </c>
      <c r="AK105" s="315">
        <f>IFERROR(ROUND((tblPiNHistorical[[#This Row],[Nutrition - new]]-tblPiNHistorical[[#This Row],[Nutrition - old]])/tblPiNHistorical[[#This Row],[Nutrition - old]], 1), "")</f>
        <v>0.1</v>
      </c>
      <c r="AL105" s="315">
        <f>IFERROR(ROUND((tblPiNHistorical[[#This Row],[Food Security - new]]-tblPiNHistorical[[#This Row],[Food Security - old]])/tblPiNHistorical[[#This Row],[Food Security - old]], 1), "")</f>
        <v>0.5</v>
      </c>
      <c r="AM105" s="315">
        <f>IFERROR(ROUND((tblPiNHistorical[[#This Row],[Health - new]]-tblPiNHistorical[[#This Row],[Health - old]])/tblPiNHistorical[[#This Row],[Health - old]], 1), "")</f>
        <v>-0.4</v>
      </c>
      <c r="AN105" s="315">
        <f>IFERROR(ROUND((tblPiNHistorical[[#This Row],[Overarching Protection - new]]-tblPiNHistorical[[#This Row],[Overarching Protection - old]])/tblPiNHistorical[[#This Row],[Overarching Protection - old]], 1), "")</f>
        <v>0.1</v>
      </c>
      <c r="AO105" s="315">
        <f>IFERROR(ROUND((tblPiNHistorical[[#This Row],[Shelter - new]]-tblPiNHistorical[[#This Row],[Shelter - old]])/tblPiNHistorical[[#This Row],[Shelter - old]], 1), "")</f>
        <v>-0.5</v>
      </c>
      <c r="AP105" s="37">
        <f>IFERROR(ROUND((tblPiNHistorical[[#This Row],[WASH - new]]-tblPiNHistorical[[#This Row],[WASH - old]])/tblPiNHistorical[[#This Row],[WASH - old]], 1), "")</f>
        <v>-0.6</v>
      </c>
    </row>
    <row r="106" spans="1:42">
      <c r="A10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Global_PopulationHT0742</v>
      </c>
      <c r="B106" s="304" t="s">
        <v>345</v>
      </c>
      <c r="C106" s="213" t="s">
        <v>346</v>
      </c>
      <c r="D106" s="213" t="s">
        <v>373</v>
      </c>
      <c r="E106" s="103" t="s">
        <v>374</v>
      </c>
      <c r="F106" s="99"/>
      <c r="G106" s="34"/>
      <c r="H106" s="331"/>
      <c r="I106" s="96">
        <v>26647</v>
      </c>
      <c r="J106" s="241" t="s">
        <v>156</v>
      </c>
      <c r="K106" s="305">
        <v>8027</v>
      </c>
      <c r="L106" s="306">
        <v>982</v>
      </c>
      <c r="M106" s="308">
        <v>2134</v>
      </c>
      <c r="N106" s="308">
        <v>7537</v>
      </c>
      <c r="O106" s="308">
        <v>18671</v>
      </c>
      <c r="P106" s="308">
        <v>4559</v>
      </c>
      <c r="Q106" s="309">
        <v>13749</v>
      </c>
      <c r="R106" s="308">
        <v>17177.404206811698</v>
      </c>
      <c r="S106" s="308">
        <f>IFERROR(INDEX(tblPiNAnalysis[CCCM], MATCH(tblPiNHistorical[[#This Row],[ID]], tblPiNAnalysis[ID], 0)), "")</f>
        <v>11437.5</v>
      </c>
      <c r="T106" s="310">
        <f>IFERROR(INDEX(tblPiNAnalysis[Education], MATCH(tblPiNHistorical[[#This Row],[ID]], tblPiNAnalysis[ID], 0)), "")</f>
        <v>3725</v>
      </c>
      <c r="U106" s="308">
        <f>IFERROR(INDEX(tblPiNAnalysis[Nutrition], MATCH(tblPiNHistorical[[#This Row],[ID]], tblPiNAnalysis[ID], 0)), "")</f>
        <v>2696</v>
      </c>
      <c r="V106" s="308">
        <f>IFERROR(INDEX(tblPiNAnalysis[Food Security], MATCH(tblPiNHistorical[[#This Row],[ID]], tblPiNAnalysis[ID], 0)), "")</f>
        <v>9754</v>
      </c>
      <c r="W106" s="308">
        <f>IFERROR(INDEX(tblPiNAnalysis[Health], MATCH(tblPiNHistorical[[#This Row],[ID]], tblPiNAnalysis[ID], 0)), "")</f>
        <v>15410.983019672132</v>
      </c>
      <c r="X106" s="308">
        <f>IFERROR(INDEX(tblPiNAnalysis[Protection], MATCH(tblPiNHistorical[[#This Row],[ID]], tblPiNAnalysis[ID], 0)), "")</f>
        <v>3842.74</v>
      </c>
      <c r="Y106" s="308">
        <f>IFERROR(INDEX(tblPiNAnalysis[Shelter], MATCH(tblPiNHistorical[[#This Row],[ID]], tblPiNAnalysis[ID], 0)), "")</f>
        <v>21418</v>
      </c>
      <c r="Z106" s="308">
        <f>IFERROR(INDEX(tblPiNAnalysis[WASH], MATCH(tblPiNHistorical[[#This Row],[ID]], tblPiNAnalysis[ID], 0)), "")</f>
        <v>15376</v>
      </c>
      <c r="AA106" s="311">
        <f>IF(OR(tblPiNHistorical[[#This Row],[CCCM - old]]="", tblPiNHistorical[[#This Row],[CCCM - old]]=0, tblPiNHistorical[[#This Row],[CCCM - new]]="", tblPiNHistorical[[#This Row],[CCCM - new]]=0), "", tblPiNHistorical[[#This Row],[CCCM - new]]-tblPiNHistorical[[#This Row],[CCCM - old]])</f>
        <v>3410.5</v>
      </c>
      <c r="AB106" s="312">
        <f>IF(OR(tblPiNHistorical[[#This Row],[Education - old]]="", tblPiNHistorical[[#This Row],[Education - old]]=0, tblPiNHistorical[[#This Row],[Education - new]]="", tblPiNHistorical[[#This Row],[Education - new]]=0), "", tblPiNHistorical[[#This Row],[Education - new]]-tblPiNHistorical[[#This Row],[Education - old]])</f>
        <v>2743</v>
      </c>
      <c r="AC106" s="312">
        <f>IF(OR(tblPiNHistorical[[#This Row],[Nutrition - old]]="", tblPiNHistorical[[#This Row],[Nutrition - old]]=0, tblPiNHistorical[[#This Row],[Nutrition - new]]="", tblPiNHistorical[[#This Row],[Nutrition - new]]=0), "", tblPiNHistorical[[#This Row],[Nutrition - new]]-tblPiNHistorical[[#This Row],[Nutrition - old]])</f>
        <v>562</v>
      </c>
      <c r="AD106" s="312">
        <f>IF(OR(tblPiNHistorical[[#This Row],[Food Security - old]]="", tblPiNHistorical[[#This Row],[Food Security - old]]=0, tblPiNHistorical[[#This Row],[Food Security - new]]="", tblPiNHistorical[[#This Row],[Food Security - new]]=0), "", tblPiNHistorical[[#This Row],[Food Security - new]]-tblPiNHistorical[[#This Row],[Food Security - old]])</f>
        <v>2217</v>
      </c>
      <c r="AE106" s="312">
        <f>IF(OR(tblPiNHistorical[[#This Row],[Health - old]]="", tblPiNHistorical[[#This Row],[Health - old]]=0, tblPiNHistorical[[#This Row],[Health - new]]="", tblPiNHistorical[[#This Row],[Health - new]]=0), "", tblPiNHistorical[[#This Row],[Health - new]]-tblPiNHistorical[[#This Row],[Health - old]])</f>
        <v>-3260.0169803278677</v>
      </c>
      <c r="AF10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-716.26000000000022</v>
      </c>
      <c r="AG106" s="312">
        <f>IF(OR(tblPiNHistorical[[#This Row],[Shelter - old]]="", tblPiNHistorical[[#This Row],[Shelter - old]]=0, tblPiNHistorical[[#This Row],[Shelter - new]]="", tblPiNHistorical[[#This Row],[Shelter - new]]=0), "", tblPiNHistorical[[#This Row],[Shelter - new]]-tblPiNHistorical[[#This Row],[Shelter - old]])</f>
        <v>7669</v>
      </c>
      <c r="AH106" s="313">
        <f>IF(OR(tblPiNHistorical[[#This Row],[WASH - old]]="", tblPiNHistorical[[#This Row],[WASH - old]]=0, tblPiNHistorical[[#This Row],[WASH - new]]="", tblPiNHistorical[[#This Row],[WASH - new]]=0), "", tblPiNHistorical[[#This Row],[WASH - new]]-tblPiNHistorical[[#This Row],[WASH - old]])</f>
        <v>-1801.4042068116978</v>
      </c>
      <c r="AI106" s="314">
        <f>IFERROR(ROUND((tblPiNHistorical[[#This Row],[CCCM - new]] - tblPiNHistorical[[#This Row],[CCCM - old]])/tblPiNHistorical[[#This Row],[CCCM - old]], 1), "")</f>
        <v>0.4</v>
      </c>
      <c r="AJ106" s="315">
        <f>IFERROR(ROUND((tblPiNHistorical[[#This Row],[Education - new]]-tblPiNHistorical[[#This Row],[Education - old]])/tblPiNHistorical[[#This Row],[Education - old]], 1), "")</f>
        <v>2.8</v>
      </c>
      <c r="AK106" s="315">
        <f>IFERROR(ROUND((tblPiNHistorical[[#This Row],[Nutrition - new]]-tblPiNHistorical[[#This Row],[Nutrition - old]])/tblPiNHistorical[[#This Row],[Nutrition - old]], 1), "")</f>
        <v>0.3</v>
      </c>
      <c r="AL106" s="315">
        <f>IFERROR(ROUND((tblPiNHistorical[[#This Row],[Food Security - new]]-tblPiNHistorical[[#This Row],[Food Security - old]])/tblPiNHistorical[[#This Row],[Food Security - old]], 1), "")</f>
        <v>0.3</v>
      </c>
      <c r="AM106" s="315">
        <f>IFERROR(ROUND((tblPiNHistorical[[#This Row],[Health - new]]-tblPiNHistorical[[#This Row],[Health - old]])/tblPiNHistorical[[#This Row],[Health - old]], 1), "")</f>
        <v>-0.2</v>
      </c>
      <c r="AN106" s="315">
        <f>IFERROR(ROUND((tblPiNHistorical[[#This Row],[Overarching Protection - new]]-tblPiNHistorical[[#This Row],[Overarching Protection - old]])/tblPiNHistorical[[#This Row],[Overarching Protection - old]], 1), "")</f>
        <v>-0.2</v>
      </c>
      <c r="AO106" s="315">
        <f>IFERROR(ROUND((tblPiNHistorical[[#This Row],[Shelter - new]]-tblPiNHistorical[[#This Row],[Shelter - old]])/tblPiNHistorical[[#This Row],[Shelter - old]], 1), "")</f>
        <v>0.6</v>
      </c>
      <c r="AP106" s="37">
        <f>IFERROR(ROUND((tblPiNHistorical[[#This Row],[WASH - new]]-tblPiNHistorical[[#This Row],[WASH - old]])/tblPiNHistorical[[#This Row],[WASH - old]], 1), "")</f>
        <v>-0.1</v>
      </c>
    </row>
    <row r="107" spans="1:42">
      <c r="A10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Global_PopulationHT0743</v>
      </c>
      <c r="B107" s="304" t="s">
        <v>345</v>
      </c>
      <c r="C107" s="213" t="s">
        <v>346</v>
      </c>
      <c r="D107" s="213" t="s">
        <v>375</v>
      </c>
      <c r="E107" s="103" t="s">
        <v>376</v>
      </c>
      <c r="F107" s="99"/>
      <c r="G107" s="34"/>
      <c r="H107" s="331"/>
      <c r="I107" s="96">
        <v>28335</v>
      </c>
      <c r="J107" s="241" t="s">
        <v>156</v>
      </c>
      <c r="K107" s="305">
        <v>11394</v>
      </c>
      <c r="L107" s="306">
        <v>3315</v>
      </c>
      <c r="M107" s="308">
        <v>2385</v>
      </c>
      <c r="N107" s="308">
        <v>9017</v>
      </c>
      <c r="O107" s="308">
        <v>23103</v>
      </c>
      <c r="P107" s="308">
        <v>4260</v>
      </c>
      <c r="Q107" s="309">
        <v>10370</v>
      </c>
      <c r="R107" s="308">
        <v>24497.554126319934</v>
      </c>
      <c r="S107" s="308">
        <f>IFERROR(INDEX(tblPiNAnalysis[CCCM], MATCH(tblPiNHistorical[[#This Row],[ID]], tblPiNAnalysis[ID], 0)), "")</f>
        <v>7956</v>
      </c>
      <c r="T107" s="310">
        <f>IFERROR(INDEX(tblPiNAnalysis[Education], MATCH(tblPiNHistorical[[#This Row],[ID]], tblPiNAnalysis[ID], 0)), "")</f>
        <v>4015</v>
      </c>
      <c r="U107" s="308">
        <f>IFERROR(INDEX(tblPiNAnalysis[Nutrition], MATCH(tblPiNHistorical[[#This Row],[ID]], tblPiNAnalysis[ID], 0)), "")</f>
        <v>2721</v>
      </c>
      <c r="V107" s="308">
        <f>IFERROR(INDEX(tblPiNAnalysis[Food Security], MATCH(tblPiNHistorical[[#This Row],[ID]], tblPiNAnalysis[ID], 0)), "")</f>
        <v>13461</v>
      </c>
      <c r="W107" s="308">
        <f>IFERROR(INDEX(tblPiNAnalysis[Health], MATCH(tblPiNHistorical[[#This Row],[ID]], tblPiNAnalysis[ID], 0)), "")</f>
        <v>9941.3962865761696</v>
      </c>
      <c r="X107" s="308">
        <f>IFERROR(INDEX(tblPiNAnalysis[Protection], MATCH(tblPiNHistorical[[#This Row],[ID]], tblPiNAnalysis[ID], 0)), "")</f>
        <v>2655.93</v>
      </c>
      <c r="Y107" s="308">
        <f>IFERROR(INDEX(tblPiNAnalysis[Shelter], MATCH(tblPiNHistorical[[#This Row],[ID]], tblPiNAnalysis[ID], 0)), "")</f>
        <v>21298</v>
      </c>
      <c r="Z107" s="308">
        <f>IFERROR(INDEX(tblPiNAnalysis[WASH], MATCH(tblPiNHistorical[[#This Row],[ID]], tblPiNAnalysis[ID], 0)), "")</f>
        <v>5315.25</v>
      </c>
      <c r="AA107" s="311">
        <f>IF(OR(tblPiNHistorical[[#This Row],[CCCM - old]]="", tblPiNHistorical[[#This Row],[CCCM - old]]=0, tblPiNHistorical[[#This Row],[CCCM - new]]="", tblPiNHistorical[[#This Row],[CCCM - new]]=0), "", tblPiNHistorical[[#This Row],[CCCM - new]]-tblPiNHistorical[[#This Row],[CCCM - old]])</f>
        <v>-3438</v>
      </c>
      <c r="AB107" s="312">
        <f>IF(OR(tblPiNHistorical[[#This Row],[Education - old]]="", tblPiNHistorical[[#This Row],[Education - old]]=0, tblPiNHistorical[[#This Row],[Education - new]]="", tblPiNHistorical[[#This Row],[Education - new]]=0), "", tblPiNHistorical[[#This Row],[Education - new]]-tblPiNHistorical[[#This Row],[Education - old]])</f>
        <v>700</v>
      </c>
      <c r="AC107" s="312">
        <f>IF(OR(tblPiNHistorical[[#This Row],[Nutrition - old]]="", tblPiNHistorical[[#This Row],[Nutrition - old]]=0, tblPiNHistorical[[#This Row],[Nutrition - new]]="", tblPiNHistorical[[#This Row],[Nutrition - new]]=0), "", tblPiNHistorical[[#This Row],[Nutrition - new]]-tblPiNHistorical[[#This Row],[Nutrition - old]])</f>
        <v>336</v>
      </c>
      <c r="AD107" s="312">
        <f>IF(OR(tblPiNHistorical[[#This Row],[Food Security - old]]="", tblPiNHistorical[[#This Row],[Food Security - old]]=0, tblPiNHistorical[[#This Row],[Food Security - new]]="", tblPiNHistorical[[#This Row],[Food Security - new]]=0), "", tblPiNHistorical[[#This Row],[Food Security - new]]-tblPiNHistorical[[#This Row],[Food Security - old]])</f>
        <v>4444</v>
      </c>
      <c r="AE107" s="312">
        <f>IF(OR(tblPiNHistorical[[#This Row],[Health - old]]="", tblPiNHistorical[[#This Row],[Health - old]]=0, tblPiNHistorical[[#This Row],[Health - new]]="", tblPiNHistorical[[#This Row],[Health - new]]=0), "", tblPiNHistorical[[#This Row],[Health - new]]-tblPiNHistorical[[#This Row],[Health - old]])</f>
        <v>-13161.60371342383</v>
      </c>
      <c r="AF10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-1604.0700000000002</v>
      </c>
      <c r="AG107" s="312">
        <f>IF(OR(tblPiNHistorical[[#This Row],[Shelter - old]]="", tblPiNHistorical[[#This Row],[Shelter - old]]=0, tblPiNHistorical[[#This Row],[Shelter - new]]="", tblPiNHistorical[[#This Row],[Shelter - new]]=0), "", tblPiNHistorical[[#This Row],[Shelter - new]]-tblPiNHistorical[[#This Row],[Shelter - old]])</f>
        <v>10928</v>
      </c>
      <c r="AH107" s="313">
        <f>IF(OR(tblPiNHistorical[[#This Row],[WASH - old]]="", tblPiNHistorical[[#This Row],[WASH - old]]=0, tblPiNHistorical[[#This Row],[WASH - new]]="", tblPiNHistorical[[#This Row],[WASH - new]]=0), "", tblPiNHistorical[[#This Row],[WASH - new]]-tblPiNHistorical[[#This Row],[WASH - old]])</f>
        <v>-19182.304126319934</v>
      </c>
      <c r="AI107" s="314">
        <f>IFERROR(ROUND((tblPiNHistorical[[#This Row],[CCCM - new]] - tblPiNHistorical[[#This Row],[CCCM - old]])/tblPiNHistorical[[#This Row],[CCCM - old]], 1), "")</f>
        <v>-0.3</v>
      </c>
      <c r="AJ107" s="315">
        <f>IFERROR(ROUND((tblPiNHistorical[[#This Row],[Education - new]]-tblPiNHistorical[[#This Row],[Education - old]])/tblPiNHistorical[[#This Row],[Education - old]], 1), "")</f>
        <v>0.2</v>
      </c>
      <c r="AK107" s="315">
        <f>IFERROR(ROUND((tblPiNHistorical[[#This Row],[Nutrition - new]]-tblPiNHistorical[[#This Row],[Nutrition - old]])/tblPiNHistorical[[#This Row],[Nutrition - old]], 1), "")</f>
        <v>0.1</v>
      </c>
      <c r="AL107" s="315">
        <f>IFERROR(ROUND((tblPiNHistorical[[#This Row],[Food Security - new]]-tblPiNHistorical[[#This Row],[Food Security - old]])/tblPiNHistorical[[#This Row],[Food Security - old]], 1), "")</f>
        <v>0.5</v>
      </c>
      <c r="AM107" s="315">
        <f>IFERROR(ROUND((tblPiNHistorical[[#This Row],[Health - new]]-tblPiNHistorical[[#This Row],[Health - old]])/tblPiNHistorical[[#This Row],[Health - old]], 1), "")</f>
        <v>-0.6</v>
      </c>
      <c r="AN107" s="315">
        <f>IFERROR(ROUND((tblPiNHistorical[[#This Row],[Overarching Protection - new]]-tblPiNHistorical[[#This Row],[Overarching Protection - old]])/tblPiNHistorical[[#This Row],[Overarching Protection - old]], 1), "")</f>
        <v>-0.4</v>
      </c>
      <c r="AO107" s="315">
        <f>IFERROR(ROUND((tblPiNHistorical[[#This Row],[Shelter - new]]-tblPiNHistorical[[#This Row],[Shelter - old]])/tblPiNHistorical[[#This Row],[Shelter - old]], 1), "")</f>
        <v>1.1000000000000001</v>
      </c>
      <c r="AP107" s="37">
        <f>IFERROR(ROUND((tblPiNHistorical[[#This Row],[WASH - new]]-tblPiNHistorical[[#This Row],[WASH - old]])/tblPiNHistorical[[#This Row],[WASH - old]], 1), "")</f>
        <v>-0.8</v>
      </c>
    </row>
    <row r="108" spans="1:42">
      <c r="A10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Global_PopulationHT0751</v>
      </c>
      <c r="B108" s="304" t="s">
        <v>345</v>
      </c>
      <c r="C108" s="213" t="s">
        <v>346</v>
      </c>
      <c r="D108" s="213" t="s">
        <v>377</v>
      </c>
      <c r="E108" s="103" t="s">
        <v>378</v>
      </c>
      <c r="F108" s="99"/>
      <c r="G108" s="34"/>
      <c r="H108" s="331"/>
      <c r="I108" s="96">
        <v>32835</v>
      </c>
      <c r="J108" s="241" t="s">
        <v>156</v>
      </c>
      <c r="K108" s="305">
        <v>6705</v>
      </c>
      <c r="L108" s="306">
        <v>3702</v>
      </c>
      <c r="M108" s="308">
        <v>2687</v>
      </c>
      <c r="N108" s="308">
        <v>13428</v>
      </c>
      <c r="O108" s="308">
        <v>17451</v>
      </c>
      <c r="P108" s="308">
        <v>4946</v>
      </c>
      <c r="Q108" s="309">
        <v>14183</v>
      </c>
      <c r="R108" s="308">
        <v>15403.99126583577</v>
      </c>
      <c r="S108" s="308">
        <f>IFERROR(INDEX(tblPiNAnalysis[CCCM], MATCH(tblPiNHistorical[[#This Row],[ID]], tblPiNAnalysis[ID], 0)), "")</f>
        <v>7819.5</v>
      </c>
      <c r="T108" s="310">
        <f>IFERROR(INDEX(tblPiNAnalysis[Education], MATCH(tblPiNHistorical[[#This Row],[ID]], tblPiNAnalysis[ID], 0)), "")</f>
        <v>4438</v>
      </c>
      <c r="U108" s="308">
        <f>IFERROR(INDEX(tblPiNAnalysis[Nutrition], MATCH(tblPiNHistorical[[#This Row],[ID]], tblPiNAnalysis[ID], 0)), "")</f>
        <v>3060</v>
      </c>
      <c r="V108" s="308">
        <f>IFERROR(INDEX(tblPiNAnalysis[Food Security], MATCH(tblPiNHistorical[[#This Row],[ID]], tblPiNAnalysis[ID], 0)), "")</f>
        <v>17827</v>
      </c>
      <c r="W108" s="308">
        <f>IFERROR(INDEX(tblPiNAnalysis[Health], MATCH(tblPiNHistorical[[#This Row],[ID]], tblPiNAnalysis[ID], 0)), "")</f>
        <v>9800.3110294647995</v>
      </c>
      <c r="X108" s="308">
        <f>IFERROR(INDEX(tblPiNAnalysis[Protection], MATCH(tblPiNHistorical[[#This Row],[ID]], tblPiNAnalysis[ID], 0)), "")</f>
        <v>3486.2133333333331</v>
      </c>
      <c r="Y108" s="308">
        <f>IFERROR(INDEX(tblPiNAnalysis[Shelter], MATCH(tblPiNHistorical[[#This Row],[ID]], tblPiNAnalysis[ID], 0)), "")</f>
        <v>16450</v>
      </c>
      <c r="Z108" s="308">
        <f>IFERROR(INDEX(tblPiNAnalysis[WASH], MATCH(tblPiNHistorical[[#This Row],[ID]], tblPiNAnalysis[ID], 0)), "")</f>
        <v>5213</v>
      </c>
      <c r="AA108" s="311">
        <f>IF(OR(tblPiNHistorical[[#This Row],[CCCM - old]]="", tblPiNHistorical[[#This Row],[CCCM - old]]=0, tblPiNHistorical[[#This Row],[CCCM - new]]="", tblPiNHistorical[[#This Row],[CCCM - new]]=0), "", tblPiNHistorical[[#This Row],[CCCM - new]]-tblPiNHistorical[[#This Row],[CCCM - old]])</f>
        <v>1114.5</v>
      </c>
      <c r="AB108" s="312">
        <f>IF(OR(tblPiNHistorical[[#This Row],[Education - old]]="", tblPiNHistorical[[#This Row],[Education - old]]=0, tblPiNHistorical[[#This Row],[Education - new]]="", tblPiNHistorical[[#This Row],[Education - new]]=0), "", tblPiNHistorical[[#This Row],[Education - new]]-tblPiNHistorical[[#This Row],[Education - old]])</f>
        <v>736</v>
      </c>
      <c r="AC108" s="312">
        <f>IF(OR(tblPiNHistorical[[#This Row],[Nutrition - old]]="", tblPiNHistorical[[#This Row],[Nutrition - old]]=0, tblPiNHistorical[[#This Row],[Nutrition - new]]="", tblPiNHistorical[[#This Row],[Nutrition - new]]=0), "", tblPiNHistorical[[#This Row],[Nutrition - new]]-tblPiNHistorical[[#This Row],[Nutrition - old]])</f>
        <v>373</v>
      </c>
      <c r="AD108" s="312">
        <f>IF(OR(tblPiNHistorical[[#This Row],[Food Security - old]]="", tblPiNHistorical[[#This Row],[Food Security - old]]=0, tblPiNHistorical[[#This Row],[Food Security - new]]="", tblPiNHistorical[[#This Row],[Food Security - new]]=0), "", tblPiNHistorical[[#This Row],[Food Security - new]]-tblPiNHistorical[[#This Row],[Food Security - old]])</f>
        <v>4399</v>
      </c>
      <c r="AE108" s="312">
        <f>IF(OR(tblPiNHistorical[[#This Row],[Health - old]]="", tblPiNHistorical[[#This Row],[Health - old]]=0, tblPiNHistorical[[#This Row],[Health - new]]="", tblPiNHistorical[[#This Row],[Health - new]]=0), "", tblPiNHistorical[[#This Row],[Health - new]]-tblPiNHistorical[[#This Row],[Health - old]])</f>
        <v>-7650.6889705352005</v>
      </c>
      <c r="AF10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-1459.7866666666669</v>
      </c>
      <c r="AG108" s="312">
        <f>IF(OR(tblPiNHistorical[[#This Row],[Shelter - old]]="", tblPiNHistorical[[#This Row],[Shelter - old]]=0, tblPiNHistorical[[#This Row],[Shelter - new]]="", tblPiNHistorical[[#This Row],[Shelter - new]]=0), "", tblPiNHistorical[[#This Row],[Shelter - new]]-tblPiNHistorical[[#This Row],[Shelter - old]])</f>
        <v>2267</v>
      </c>
      <c r="AH108" s="313">
        <f>IF(OR(tblPiNHistorical[[#This Row],[WASH - old]]="", tblPiNHistorical[[#This Row],[WASH - old]]=0, tblPiNHistorical[[#This Row],[WASH - new]]="", tblPiNHistorical[[#This Row],[WASH - new]]=0), "", tblPiNHistorical[[#This Row],[WASH - new]]-tblPiNHistorical[[#This Row],[WASH - old]])</f>
        <v>-10190.99126583577</v>
      </c>
      <c r="AI108" s="314">
        <f>IFERROR(ROUND((tblPiNHistorical[[#This Row],[CCCM - new]] - tblPiNHistorical[[#This Row],[CCCM - old]])/tblPiNHistorical[[#This Row],[CCCM - old]], 1), "")</f>
        <v>0.2</v>
      </c>
      <c r="AJ108" s="315">
        <f>IFERROR(ROUND((tblPiNHistorical[[#This Row],[Education - new]]-tblPiNHistorical[[#This Row],[Education - old]])/tblPiNHistorical[[#This Row],[Education - old]], 1), "")</f>
        <v>0.2</v>
      </c>
      <c r="AK108" s="315">
        <f>IFERROR(ROUND((tblPiNHistorical[[#This Row],[Nutrition - new]]-tblPiNHistorical[[#This Row],[Nutrition - old]])/tblPiNHistorical[[#This Row],[Nutrition - old]], 1), "")</f>
        <v>0.1</v>
      </c>
      <c r="AL108" s="315">
        <f>IFERROR(ROUND((tblPiNHistorical[[#This Row],[Food Security - new]]-tblPiNHistorical[[#This Row],[Food Security - old]])/tblPiNHistorical[[#This Row],[Food Security - old]], 1), "")</f>
        <v>0.3</v>
      </c>
      <c r="AM108" s="315">
        <f>IFERROR(ROUND((tblPiNHistorical[[#This Row],[Health - new]]-tblPiNHistorical[[#This Row],[Health - old]])/tblPiNHistorical[[#This Row],[Health - old]], 1), "")</f>
        <v>-0.4</v>
      </c>
      <c r="AN108" s="315">
        <f>IFERROR(ROUND((tblPiNHistorical[[#This Row],[Overarching Protection - new]]-tblPiNHistorical[[#This Row],[Overarching Protection - old]])/tblPiNHistorical[[#This Row],[Overarching Protection - old]], 1), "")</f>
        <v>-0.3</v>
      </c>
      <c r="AO108" s="315">
        <f>IFERROR(ROUND((tblPiNHistorical[[#This Row],[Shelter - new]]-tblPiNHistorical[[#This Row],[Shelter - old]])/tblPiNHistorical[[#This Row],[Shelter - old]], 1), "")</f>
        <v>0.2</v>
      </c>
      <c r="AP108" s="37">
        <f>IFERROR(ROUND((tblPiNHistorical[[#This Row],[WASH - new]]-tblPiNHistorical[[#This Row],[WASH - old]])/tblPiNHistorical[[#This Row],[WASH - old]], 1), "")</f>
        <v>-0.7</v>
      </c>
    </row>
    <row r="109" spans="1:42">
      <c r="A10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Global_PopulationHT0752</v>
      </c>
      <c r="B109" s="304" t="s">
        <v>345</v>
      </c>
      <c r="C109" s="213" t="s">
        <v>346</v>
      </c>
      <c r="D109" s="213" t="s">
        <v>379</v>
      </c>
      <c r="E109" s="103" t="s">
        <v>380</v>
      </c>
      <c r="F109" s="99"/>
      <c r="G109" s="34"/>
      <c r="H109" s="331"/>
      <c r="I109" s="96">
        <v>39577</v>
      </c>
      <c r="J109" s="241" t="s">
        <v>156</v>
      </c>
      <c r="K109" s="305">
        <v>8966</v>
      </c>
      <c r="L109" s="306">
        <v>4396</v>
      </c>
      <c r="M109" s="308">
        <v>3258</v>
      </c>
      <c r="N109" s="308">
        <v>14654</v>
      </c>
      <c r="O109" s="308">
        <v>21987</v>
      </c>
      <c r="P109" s="308">
        <v>4950</v>
      </c>
      <c r="Q109" s="309">
        <v>5977</v>
      </c>
      <c r="R109" s="308">
        <v>20390.955157353605</v>
      </c>
      <c r="S109" s="308">
        <f>IFERROR(INDEX(tblPiNAnalysis[CCCM], MATCH(tblPiNHistorical[[#This Row],[ID]], tblPiNAnalysis[ID], 0)), "")</f>
        <v>15825</v>
      </c>
      <c r="T109" s="310">
        <f>IFERROR(INDEX(tblPiNAnalysis[Education], MATCH(tblPiNHistorical[[#This Row],[ID]], tblPiNAnalysis[ID], 0)), "")</f>
        <v>5272</v>
      </c>
      <c r="U109" s="308">
        <f>IFERROR(INDEX(tblPiNAnalysis[Nutrition], MATCH(tblPiNHistorical[[#This Row],[ID]], tblPiNAnalysis[ID], 0)), "")</f>
        <v>4056</v>
      </c>
      <c r="V109" s="308">
        <f>IFERROR(INDEX(tblPiNAnalysis[Food Security], MATCH(tblPiNHistorical[[#This Row],[ID]], tblPiNAnalysis[ID], 0)), "")</f>
        <v>21874</v>
      </c>
      <c r="W109" s="308">
        <f>IFERROR(INDEX(tblPiNAnalysis[Health], MATCH(tblPiNHistorical[[#This Row],[ID]], tblPiNAnalysis[ID], 0)), "")</f>
        <v>20639.865952606633</v>
      </c>
      <c r="X109" s="308">
        <f>IFERROR(INDEX(tblPiNAnalysis[Protection], MATCH(tblPiNHistorical[[#This Row],[ID]], tblPiNAnalysis[ID], 0)), "")</f>
        <v>5664.6</v>
      </c>
      <c r="Y109" s="308">
        <f>IFERROR(INDEX(tblPiNAnalysis[Shelter], MATCH(tblPiNHistorical[[#This Row],[ID]], tblPiNAnalysis[ID], 0)), "")</f>
        <v>0</v>
      </c>
      <c r="Z109" s="308">
        <f>IFERROR(INDEX(tblPiNAnalysis[WASH], MATCH(tblPiNHistorical[[#This Row],[ID]], tblPiNAnalysis[ID], 0)), "")</f>
        <v>11965.2</v>
      </c>
      <c r="AA109" s="311">
        <f>IF(OR(tblPiNHistorical[[#This Row],[CCCM - old]]="", tblPiNHistorical[[#This Row],[CCCM - old]]=0, tblPiNHistorical[[#This Row],[CCCM - new]]="", tblPiNHistorical[[#This Row],[CCCM - new]]=0), "", tblPiNHistorical[[#This Row],[CCCM - new]]-tblPiNHistorical[[#This Row],[CCCM - old]])</f>
        <v>6859</v>
      </c>
      <c r="AB109" s="312">
        <f>IF(OR(tblPiNHistorical[[#This Row],[Education - old]]="", tblPiNHistorical[[#This Row],[Education - old]]=0, tblPiNHistorical[[#This Row],[Education - new]]="", tblPiNHistorical[[#This Row],[Education - new]]=0), "", tblPiNHistorical[[#This Row],[Education - new]]-tblPiNHistorical[[#This Row],[Education - old]])</f>
        <v>876</v>
      </c>
      <c r="AC109" s="312">
        <f>IF(OR(tblPiNHistorical[[#This Row],[Nutrition - old]]="", tblPiNHistorical[[#This Row],[Nutrition - old]]=0, tblPiNHistorical[[#This Row],[Nutrition - new]]="", tblPiNHistorical[[#This Row],[Nutrition - new]]=0), "", tblPiNHistorical[[#This Row],[Nutrition - new]]-tblPiNHistorical[[#This Row],[Nutrition - old]])</f>
        <v>798</v>
      </c>
      <c r="AD109" s="312">
        <f>IF(OR(tblPiNHistorical[[#This Row],[Food Security - old]]="", tblPiNHistorical[[#This Row],[Food Security - old]]=0, tblPiNHistorical[[#This Row],[Food Security - new]]="", tblPiNHistorical[[#This Row],[Food Security - new]]=0), "", tblPiNHistorical[[#This Row],[Food Security - new]]-tblPiNHistorical[[#This Row],[Food Security - old]])</f>
        <v>7220</v>
      </c>
      <c r="AE109" s="312">
        <f>IF(OR(tblPiNHistorical[[#This Row],[Health - old]]="", tblPiNHistorical[[#This Row],[Health - old]]=0, tblPiNHistorical[[#This Row],[Health - new]]="", tblPiNHistorical[[#This Row],[Health - new]]=0), "", tblPiNHistorical[[#This Row],[Health - new]]-tblPiNHistorical[[#This Row],[Health - old]])</f>
        <v>-1347.1340473933669</v>
      </c>
      <c r="AF10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714.60000000000036</v>
      </c>
      <c r="AG109" s="312" t="str">
        <f>IF(OR(tblPiNHistorical[[#This Row],[Shelter - old]]="", tblPiNHistorical[[#This Row],[Shelter - old]]=0, tblPiNHistorical[[#This Row],[Shelter - new]]="", tblPiNHistorical[[#This Row],[Shelter - new]]=0), "", tblPiNHistorical[[#This Row],[Shelter - new]]-tblPiNHistorical[[#This Row],[Shelter - old]])</f>
        <v/>
      </c>
      <c r="AH109" s="313">
        <f>IF(OR(tblPiNHistorical[[#This Row],[WASH - old]]="", tblPiNHistorical[[#This Row],[WASH - old]]=0, tblPiNHistorical[[#This Row],[WASH - new]]="", tblPiNHistorical[[#This Row],[WASH - new]]=0), "", tblPiNHistorical[[#This Row],[WASH - new]]-tblPiNHistorical[[#This Row],[WASH - old]])</f>
        <v>-8425.7551573536039</v>
      </c>
      <c r="AI109" s="314">
        <f>IFERROR(ROUND((tblPiNHistorical[[#This Row],[CCCM - new]] - tblPiNHistorical[[#This Row],[CCCM - old]])/tblPiNHistorical[[#This Row],[CCCM - old]], 1), "")</f>
        <v>0.8</v>
      </c>
      <c r="AJ109" s="315">
        <f>IFERROR(ROUND((tblPiNHistorical[[#This Row],[Education - new]]-tblPiNHistorical[[#This Row],[Education - old]])/tblPiNHistorical[[#This Row],[Education - old]], 1), "")</f>
        <v>0.2</v>
      </c>
      <c r="AK109" s="315">
        <f>IFERROR(ROUND((tblPiNHistorical[[#This Row],[Nutrition - new]]-tblPiNHistorical[[#This Row],[Nutrition - old]])/tblPiNHistorical[[#This Row],[Nutrition - old]], 1), "")</f>
        <v>0.2</v>
      </c>
      <c r="AL109" s="315">
        <f>IFERROR(ROUND((tblPiNHistorical[[#This Row],[Food Security - new]]-tblPiNHistorical[[#This Row],[Food Security - old]])/tblPiNHistorical[[#This Row],[Food Security - old]], 1), "")</f>
        <v>0.5</v>
      </c>
      <c r="AM109" s="315">
        <f>IFERROR(ROUND((tblPiNHistorical[[#This Row],[Health - new]]-tblPiNHistorical[[#This Row],[Health - old]])/tblPiNHistorical[[#This Row],[Health - old]], 1), "")</f>
        <v>-0.1</v>
      </c>
      <c r="AN109" s="315">
        <f>IFERROR(ROUND((tblPiNHistorical[[#This Row],[Overarching Protection - new]]-tblPiNHistorical[[#This Row],[Overarching Protection - old]])/tblPiNHistorical[[#This Row],[Overarching Protection - old]], 1), "")</f>
        <v>0.1</v>
      </c>
      <c r="AO109" s="315">
        <f>IFERROR(ROUND((tblPiNHistorical[[#This Row],[Shelter - new]]-tblPiNHistorical[[#This Row],[Shelter - old]])/tblPiNHistorical[[#This Row],[Shelter - old]], 1), "")</f>
        <v>-1</v>
      </c>
      <c r="AP109" s="37">
        <f>IFERROR(ROUND((tblPiNHistorical[[#This Row],[WASH - new]]-tblPiNHistorical[[#This Row],[WASH - old]])/tblPiNHistorical[[#This Row],[WASH - old]], 1), "")</f>
        <v>-0.4</v>
      </c>
    </row>
    <row r="110" spans="1:42">
      <c r="A11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Global_PopulationHT0753</v>
      </c>
      <c r="B110" s="304" t="s">
        <v>345</v>
      </c>
      <c r="C110" s="213" t="s">
        <v>346</v>
      </c>
      <c r="D110" s="213" t="s">
        <v>381</v>
      </c>
      <c r="E110" s="103" t="s">
        <v>382</v>
      </c>
      <c r="F110" s="99"/>
      <c r="G110" s="34"/>
      <c r="H110" s="331"/>
      <c r="I110" s="96">
        <v>28474</v>
      </c>
      <c r="J110" s="241" t="s">
        <v>156</v>
      </c>
      <c r="K110" s="305">
        <v>3513</v>
      </c>
      <c r="L110" s="306">
        <v>3092</v>
      </c>
      <c r="M110" s="308">
        <v>2303</v>
      </c>
      <c r="N110" s="308">
        <v>11412</v>
      </c>
      <c r="O110" s="308">
        <v>21446</v>
      </c>
      <c r="P110" s="308">
        <v>2308</v>
      </c>
      <c r="Q110" s="309">
        <v>15000</v>
      </c>
      <c r="R110" s="308">
        <v>8755.2540245919772</v>
      </c>
      <c r="S110" s="308">
        <f>IFERROR(INDEX(tblPiNAnalysis[CCCM], MATCH(tblPiNHistorical[[#This Row],[ID]], tblPiNAnalysis[ID], 0)), "")</f>
        <v>5742</v>
      </c>
      <c r="T110" s="310">
        <f>IFERROR(INDEX(tblPiNAnalysis[Education], MATCH(tblPiNHistorical[[#This Row],[ID]], tblPiNAnalysis[ID], 0)), "")</f>
        <v>3658</v>
      </c>
      <c r="U110" s="308">
        <f>IFERROR(INDEX(tblPiNAnalysis[Nutrition], MATCH(tblPiNHistorical[[#This Row],[ID]], tblPiNAnalysis[ID], 0)), "")</f>
        <v>2590</v>
      </c>
      <c r="V110" s="308">
        <f>IFERROR(INDEX(tblPiNAnalysis[Food Security], MATCH(tblPiNHistorical[[#This Row],[ID]], tblPiNAnalysis[ID], 0)), "")</f>
        <v>17036</v>
      </c>
      <c r="W110" s="308">
        <f>IFERROR(INDEX(tblPiNAnalysis[Health], MATCH(tblPiNHistorical[[#This Row],[ID]], tblPiNAnalysis[ID], 0)), "")</f>
        <v>7091.8891999999996</v>
      </c>
      <c r="X110" s="308">
        <f>IFERROR(INDEX(tblPiNAnalysis[Protection], MATCH(tblPiNHistorical[[#This Row],[ID]], tblPiNAnalysis[ID], 0)), "")</f>
        <v>17113.25</v>
      </c>
      <c r="Y110" s="308">
        <f>IFERROR(INDEX(tblPiNAnalysis[Shelter], MATCH(tblPiNHistorical[[#This Row],[ID]], tblPiNAnalysis[ID], 0)), "")</f>
        <v>21356</v>
      </c>
      <c r="Z110" s="308">
        <f>IFERROR(INDEX(tblPiNAnalysis[WASH], MATCH(tblPiNHistorical[[#This Row],[ID]], tblPiNAnalysis[ID], 0)), "")</f>
        <v>8805.5</v>
      </c>
      <c r="AA110" s="311">
        <f>IF(OR(tblPiNHistorical[[#This Row],[CCCM - old]]="", tblPiNHistorical[[#This Row],[CCCM - old]]=0, tblPiNHistorical[[#This Row],[CCCM - new]]="", tblPiNHistorical[[#This Row],[CCCM - new]]=0), "", tblPiNHistorical[[#This Row],[CCCM - new]]-tblPiNHistorical[[#This Row],[CCCM - old]])</f>
        <v>2229</v>
      </c>
      <c r="AB110" s="312">
        <f>IF(OR(tblPiNHistorical[[#This Row],[Education - old]]="", tblPiNHistorical[[#This Row],[Education - old]]=0, tblPiNHistorical[[#This Row],[Education - new]]="", tblPiNHistorical[[#This Row],[Education - new]]=0), "", tblPiNHistorical[[#This Row],[Education - new]]-tblPiNHistorical[[#This Row],[Education - old]])</f>
        <v>566</v>
      </c>
      <c r="AC110" s="312">
        <f>IF(OR(tblPiNHistorical[[#This Row],[Nutrition - old]]="", tblPiNHistorical[[#This Row],[Nutrition - old]]=0, tblPiNHistorical[[#This Row],[Nutrition - new]]="", tblPiNHistorical[[#This Row],[Nutrition - new]]=0), "", tblPiNHistorical[[#This Row],[Nutrition - new]]-tblPiNHistorical[[#This Row],[Nutrition - old]])</f>
        <v>287</v>
      </c>
      <c r="AD110" s="312">
        <f>IF(OR(tblPiNHistorical[[#This Row],[Food Security - old]]="", tblPiNHistorical[[#This Row],[Food Security - old]]=0, tblPiNHistorical[[#This Row],[Food Security - new]]="", tblPiNHistorical[[#This Row],[Food Security - new]]=0), "", tblPiNHistorical[[#This Row],[Food Security - new]]-tblPiNHistorical[[#This Row],[Food Security - old]])</f>
        <v>5624</v>
      </c>
      <c r="AE110" s="312">
        <f>IF(OR(tblPiNHistorical[[#This Row],[Health - old]]="", tblPiNHistorical[[#This Row],[Health - old]]=0, tblPiNHistorical[[#This Row],[Health - new]]="", tblPiNHistorical[[#This Row],[Health - new]]=0), "", tblPiNHistorical[[#This Row],[Health - new]]-tblPiNHistorical[[#This Row],[Health - old]])</f>
        <v>-14354.1108</v>
      </c>
      <c r="AF11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14805.25</v>
      </c>
      <c r="AG110" s="312">
        <f>IF(OR(tblPiNHistorical[[#This Row],[Shelter - old]]="", tblPiNHistorical[[#This Row],[Shelter - old]]=0, tblPiNHistorical[[#This Row],[Shelter - new]]="", tblPiNHistorical[[#This Row],[Shelter - new]]=0), "", tblPiNHistorical[[#This Row],[Shelter - new]]-tblPiNHistorical[[#This Row],[Shelter - old]])</f>
        <v>6356</v>
      </c>
      <c r="AH110" s="313">
        <f>IF(OR(tblPiNHistorical[[#This Row],[WASH - old]]="", tblPiNHistorical[[#This Row],[WASH - old]]=0, tblPiNHistorical[[#This Row],[WASH - new]]="", tblPiNHistorical[[#This Row],[WASH - new]]=0), "", tblPiNHistorical[[#This Row],[WASH - new]]-tblPiNHistorical[[#This Row],[WASH - old]])</f>
        <v>50.245975408022787</v>
      </c>
      <c r="AI110" s="314">
        <f>IFERROR(ROUND((tblPiNHistorical[[#This Row],[CCCM - new]] - tblPiNHistorical[[#This Row],[CCCM - old]])/tblPiNHistorical[[#This Row],[CCCM - old]], 1), "")</f>
        <v>0.6</v>
      </c>
      <c r="AJ110" s="315">
        <f>IFERROR(ROUND((tblPiNHistorical[[#This Row],[Education - new]]-tblPiNHistorical[[#This Row],[Education - old]])/tblPiNHistorical[[#This Row],[Education - old]], 1), "")</f>
        <v>0.2</v>
      </c>
      <c r="AK110" s="315">
        <f>IFERROR(ROUND((tblPiNHistorical[[#This Row],[Nutrition - new]]-tblPiNHistorical[[#This Row],[Nutrition - old]])/tblPiNHistorical[[#This Row],[Nutrition - old]], 1), "")</f>
        <v>0.1</v>
      </c>
      <c r="AL110" s="315">
        <f>IFERROR(ROUND((tblPiNHistorical[[#This Row],[Food Security - new]]-tblPiNHistorical[[#This Row],[Food Security - old]])/tblPiNHistorical[[#This Row],[Food Security - old]], 1), "")</f>
        <v>0.5</v>
      </c>
      <c r="AM110" s="315">
        <f>IFERROR(ROUND((tblPiNHistorical[[#This Row],[Health - new]]-tblPiNHistorical[[#This Row],[Health - old]])/tblPiNHistorical[[#This Row],[Health - old]], 1), "")</f>
        <v>-0.7</v>
      </c>
      <c r="AN110" s="315">
        <f>IFERROR(ROUND((tblPiNHistorical[[#This Row],[Overarching Protection - new]]-tblPiNHistorical[[#This Row],[Overarching Protection - old]])/tblPiNHistorical[[#This Row],[Overarching Protection - old]], 1), "")</f>
        <v>6.4</v>
      </c>
      <c r="AO110" s="315">
        <f>IFERROR(ROUND((tblPiNHistorical[[#This Row],[Shelter - new]]-tblPiNHistorical[[#This Row],[Shelter - old]])/tblPiNHistorical[[#This Row],[Shelter - old]], 1), "")</f>
        <v>0.4</v>
      </c>
      <c r="AP110" s="37">
        <f>IFERROR(ROUND((tblPiNHistorical[[#This Row],[WASH - new]]-tblPiNHistorical[[#This Row],[WASH - old]])/tblPiNHistorical[[#This Row],[WASH - old]], 1), "")</f>
        <v>0</v>
      </c>
    </row>
    <row r="111" spans="1:42">
      <c r="A11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Global_PopulationHT0811</v>
      </c>
      <c r="B111" s="304" t="s">
        <v>383</v>
      </c>
      <c r="C111" s="213" t="s">
        <v>384</v>
      </c>
      <c r="D111" s="213" t="s">
        <v>385</v>
      </c>
      <c r="E111" s="103" t="s">
        <v>386</v>
      </c>
      <c r="F111" s="99"/>
      <c r="G111" s="34"/>
      <c r="H111" s="331"/>
      <c r="I111" s="96">
        <v>155299</v>
      </c>
      <c r="J111" s="241" t="s">
        <v>156</v>
      </c>
      <c r="K111" s="305">
        <v>28808</v>
      </c>
      <c r="L111" s="306">
        <v>17671</v>
      </c>
      <c r="M111" s="308">
        <v>12977</v>
      </c>
      <c r="N111" s="308">
        <v>99595</v>
      </c>
      <c r="O111" s="308">
        <v>78424</v>
      </c>
      <c r="P111" s="308">
        <v>28837</v>
      </c>
      <c r="Q111" s="309">
        <v>70344</v>
      </c>
      <c r="R111" s="308">
        <v>79895.461387966468</v>
      </c>
      <c r="S111" s="308">
        <f>IFERROR(INDEX(tblPiNAnalysis[CCCM], MATCH(tblPiNHistorical[[#This Row],[ID]], tblPiNAnalysis[ID], 0)), "")</f>
        <v>39376.5</v>
      </c>
      <c r="T111" s="310">
        <f>IFERROR(INDEX(tblPiNAnalysis[Education], MATCH(tblPiNHistorical[[#This Row],[ID]], tblPiNAnalysis[ID], 0)), "")</f>
        <v>14068</v>
      </c>
      <c r="U111" s="308">
        <f>IFERROR(INDEX(tblPiNAnalysis[Nutrition], MATCH(tblPiNHistorical[[#This Row],[ID]], tblPiNAnalysis[ID], 0)), "")</f>
        <v>14733</v>
      </c>
      <c r="V111" s="308">
        <f>IFERROR(INDEX(tblPiNAnalysis[Food Security], MATCH(tblPiNHistorical[[#This Row],[ID]], tblPiNAnalysis[ID], 0)), "")</f>
        <v>91325</v>
      </c>
      <c r="W111" s="308">
        <f>IFERROR(INDEX(tblPiNAnalysis[Health], MATCH(tblPiNHistorical[[#This Row],[ID]], tblPiNAnalysis[ID], 0)), "")</f>
        <v>45616.728934378574</v>
      </c>
      <c r="X111" s="308">
        <f>IFERROR(INDEX(tblPiNAnalysis[Protection], MATCH(tblPiNHistorical[[#This Row],[ID]], tblPiNAnalysis[ID], 0)), "")</f>
        <v>30199.30301507538</v>
      </c>
      <c r="Y111" s="308">
        <f>IFERROR(INDEX(tblPiNAnalysis[Shelter], MATCH(tblPiNHistorical[[#This Row],[ID]], tblPiNAnalysis[ID], 0)), "")</f>
        <v>62950</v>
      </c>
      <c r="Z111" s="308">
        <f>IFERROR(INDEX(tblPiNAnalysis[WASH], MATCH(tblPiNHistorical[[#This Row],[ID]], tblPiNAnalysis[ID], 0)), "")</f>
        <v>33341.028248587572</v>
      </c>
      <c r="AA111" s="311">
        <f>IF(OR(tblPiNHistorical[[#This Row],[CCCM - old]]="", tblPiNHistorical[[#This Row],[CCCM - old]]=0, tblPiNHistorical[[#This Row],[CCCM - new]]="", tblPiNHistorical[[#This Row],[CCCM - new]]=0), "", tblPiNHistorical[[#This Row],[CCCM - new]]-tblPiNHistorical[[#This Row],[CCCM - old]])</f>
        <v>10568.5</v>
      </c>
      <c r="AB111" s="312">
        <f>IF(OR(tblPiNHistorical[[#This Row],[Education - old]]="", tblPiNHistorical[[#This Row],[Education - old]]=0, tblPiNHistorical[[#This Row],[Education - new]]="", tblPiNHistorical[[#This Row],[Education - new]]=0), "", tblPiNHistorical[[#This Row],[Education - new]]-tblPiNHistorical[[#This Row],[Education - old]])</f>
        <v>-3603</v>
      </c>
      <c r="AC111" s="312">
        <f>IF(OR(tblPiNHistorical[[#This Row],[Nutrition - old]]="", tblPiNHistorical[[#This Row],[Nutrition - old]]=0, tblPiNHistorical[[#This Row],[Nutrition - new]]="", tblPiNHistorical[[#This Row],[Nutrition - new]]=0), "", tblPiNHistorical[[#This Row],[Nutrition - new]]-tblPiNHistorical[[#This Row],[Nutrition - old]])</f>
        <v>1756</v>
      </c>
      <c r="AD111" s="312">
        <f>IF(OR(tblPiNHistorical[[#This Row],[Food Security - old]]="", tblPiNHistorical[[#This Row],[Food Security - old]]=0, tblPiNHistorical[[#This Row],[Food Security - new]]="", tblPiNHistorical[[#This Row],[Food Security - new]]=0), "", tblPiNHistorical[[#This Row],[Food Security - new]]-tblPiNHistorical[[#This Row],[Food Security - old]])</f>
        <v>-8270</v>
      </c>
      <c r="AE111" s="312">
        <f>IF(OR(tblPiNHistorical[[#This Row],[Health - old]]="", tblPiNHistorical[[#This Row],[Health - old]]=0, tblPiNHistorical[[#This Row],[Health - new]]="", tblPiNHistorical[[#This Row],[Health - new]]=0), "", tblPiNHistorical[[#This Row],[Health - new]]-tblPiNHistorical[[#This Row],[Health - old]])</f>
        <v>-32807.271065621426</v>
      </c>
      <c r="AF11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1362.3030150753802</v>
      </c>
      <c r="AG111" s="312">
        <f>IF(OR(tblPiNHistorical[[#This Row],[Shelter - old]]="", tblPiNHistorical[[#This Row],[Shelter - old]]=0, tblPiNHistorical[[#This Row],[Shelter - new]]="", tblPiNHistorical[[#This Row],[Shelter - new]]=0), "", tblPiNHistorical[[#This Row],[Shelter - new]]-tblPiNHistorical[[#This Row],[Shelter - old]])</f>
        <v>-7394</v>
      </c>
      <c r="AH111" s="313">
        <f>IF(OR(tblPiNHistorical[[#This Row],[WASH - old]]="", tblPiNHistorical[[#This Row],[WASH - old]]=0, tblPiNHistorical[[#This Row],[WASH - new]]="", tblPiNHistorical[[#This Row],[WASH - new]]=0), "", tblPiNHistorical[[#This Row],[WASH - new]]-tblPiNHistorical[[#This Row],[WASH - old]])</f>
        <v>-46554.433139378896</v>
      </c>
      <c r="AI111" s="314">
        <f>IFERROR(ROUND((tblPiNHistorical[[#This Row],[CCCM - new]] - tblPiNHistorical[[#This Row],[CCCM - old]])/tblPiNHistorical[[#This Row],[CCCM - old]], 1), "")</f>
        <v>0.4</v>
      </c>
      <c r="AJ111" s="315">
        <f>IFERROR(ROUND((tblPiNHistorical[[#This Row],[Education - new]]-tblPiNHistorical[[#This Row],[Education - old]])/tblPiNHistorical[[#This Row],[Education - old]], 1), "")</f>
        <v>-0.2</v>
      </c>
      <c r="AK111" s="315">
        <f>IFERROR(ROUND((tblPiNHistorical[[#This Row],[Nutrition - new]]-tblPiNHistorical[[#This Row],[Nutrition - old]])/tblPiNHistorical[[#This Row],[Nutrition - old]], 1), "")</f>
        <v>0.1</v>
      </c>
      <c r="AL111" s="315">
        <f>IFERROR(ROUND((tblPiNHistorical[[#This Row],[Food Security - new]]-tblPiNHistorical[[#This Row],[Food Security - old]])/tblPiNHistorical[[#This Row],[Food Security - old]], 1), "")</f>
        <v>-0.1</v>
      </c>
      <c r="AM111" s="315">
        <f>IFERROR(ROUND((tblPiNHistorical[[#This Row],[Health - new]]-tblPiNHistorical[[#This Row],[Health - old]])/tblPiNHistorical[[#This Row],[Health - old]], 1), "")</f>
        <v>-0.4</v>
      </c>
      <c r="AN111" s="315">
        <f>IFERROR(ROUND((tblPiNHistorical[[#This Row],[Overarching Protection - new]]-tblPiNHistorical[[#This Row],[Overarching Protection - old]])/tblPiNHistorical[[#This Row],[Overarching Protection - old]], 1), "")</f>
        <v>0</v>
      </c>
      <c r="AO111" s="315">
        <f>IFERROR(ROUND((tblPiNHistorical[[#This Row],[Shelter - new]]-tblPiNHistorical[[#This Row],[Shelter - old]])/tblPiNHistorical[[#This Row],[Shelter - old]], 1), "")</f>
        <v>-0.1</v>
      </c>
      <c r="AP111" s="37">
        <f>IFERROR(ROUND((tblPiNHistorical[[#This Row],[WASH - new]]-tblPiNHistorical[[#This Row],[WASH - old]])/tblPiNHistorical[[#This Row],[WASH - old]], 1), "")</f>
        <v>-0.6</v>
      </c>
    </row>
    <row r="112" spans="1:42">
      <c r="A11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Global_PopulationHT0812</v>
      </c>
      <c r="B112" s="304" t="s">
        <v>383</v>
      </c>
      <c r="C112" s="213" t="s">
        <v>384</v>
      </c>
      <c r="D112" s="213" t="s">
        <v>387</v>
      </c>
      <c r="E112" s="103" t="s">
        <v>388</v>
      </c>
      <c r="F112" s="99"/>
      <c r="G112" s="34"/>
      <c r="H112" s="331"/>
      <c r="I112" s="96">
        <v>47470</v>
      </c>
      <c r="J112" s="241" t="s">
        <v>156</v>
      </c>
      <c r="K112" s="305">
        <v>13875</v>
      </c>
      <c r="L112" s="306">
        <v>6042</v>
      </c>
      <c r="M112" s="308">
        <v>3909</v>
      </c>
      <c r="N112" s="308">
        <v>22574</v>
      </c>
      <c r="O112" s="308">
        <v>31057</v>
      </c>
      <c r="P112" s="308">
        <v>5410</v>
      </c>
      <c r="Q112" s="309">
        <v>17875</v>
      </c>
      <c r="R112" s="308">
        <v>40386.065261187046</v>
      </c>
      <c r="S112" s="308">
        <f>IFERROR(INDEX(tblPiNAnalysis[CCCM], MATCH(tblPiNHistorical[[#This Row],[ID]], tblPiNAnalysis[ID], 0)), "")</f>
        <v>26850</v>
      </c>
      <c r="T112" s="310">
        <f>IFERROR(INDEX(tblPiNAnalysis[Education], MATCH(tblPiNHistorical[[#This Row],[ID]], tblPiNAnalysis[ID], 0)), "")</f>
        <v>4868</v>
      </c>
      <c r="U112" s="308">
        <f>IFERROR(INDEX(tblPiNAnalysis[Nutrition], MATCH(tblPiNHistorical[[#This Row],[ID]], tblPiNAnalysis[ID], 0)), "")</f>
        <v>5056</v>
      </c>
      <c r="V112" s="308">
        <f>IFERROR(INDEX(tblPiNAnalysis[Food Security], MATCH(tblPiNHistorical[[#This Row],[ID]], tblPiNAnalysis[ID], 0)), "")</f>
        <v>25028</v>
      </c>
      <c r="W112" s="308">
        <f>IFERROR(INDEX(tblPiNAnalysis[Health], MATCH(tblPiNHistorical[[#This Row],[ID]], tblPiNAnalysis[ID], 0)), "")</f>
        <v>29664.757591061454</v>
      </c>
      <c r="X112" s="308">
        <f>IFERROR(INDEX(tblPiNAnalysis[Protection], MATCH(tblPiNHistorical[[#This Row],[ID]], tblPiNAnalysis[ID], 0)), "")</f>
        <v>27109.86</v>
      </c>
      <c r="Y112" s="308">
        <f>IFERROR(INDEX(tblPiNAnalysis[Shelter], MATCH(tblPiNHistorical[[#This Row],[ID]], tblPiNAnalysis[ID], 0)), "")</f>
        <v>34290</v>
      </c>
      <c r="Z112" s="308">
        <f>IFERROR(INDEX(tblPiNAnalysis[WASH], MATCH(tblPiNHistorical[[#This Row],[ID]], tblPiNAnalysis[ID], 0)), "")</f>
        <v>32635.625</v>
      </c>
      <c r="AA112" s="311">
        <f>IF(OR(tblPiNHistorical[[#This Row],[CCCM - old]]="", tblPiNHistorical[[#This Row],[CCCM - old]]=0, tblPiNHistorical[[#This Row],[CCCM - new]]="", tblPiNHistorical[[#This Row],[CCCM - new]]=0), "", tblPiNHistorical[[#This Row],[CCCM - new]]-tblPiNHistorical[[#This Row],[CCCM - old]])</f>
        <v>12975</v>
      </c>
      <c r="AB112" s="312">
        <f>IF(OR(tblPiNHistorical[[#This Row],[Education - old]]="", tblPiNHistorical[[#This Row],[Education - old]]=0, tblPiNHistorical[[#This Row],[Education - new]]="", tblPiNHistorical[[#This Row],[Education - new]]=0), "", tblPiNHistorical[[#This Row],[Education - new]]-tblPiNHistorical[[#This Row],[Education - old]])</f>
        <v>-1174</v>
      </c>
      <c r="AC112" s="312">
        <f>IF(OR(tblPiNHistorical[[#This Row],[Nutrition - old]]="", tblPiNHistorical[[#This Row],[Nutrition - old]]=0, tblPiNHistorical[[#This Row],[Nutrition - new]]="", tblPiNHistorical[[#This Row],[Nutrition - new]]=0), "", tblPiNHistorical[[#This Row],[Nutrition - new]]-tblPiNHistorical[[#This Row],[Nutrition - old]])</f>
        <v>1147</v>
      </c>
      <c r="AD112" s="312">
        <f>IF(OR(tblPiNHistorical[[#This Row],[Food Security - old]]="", tblPiNHistorical[[#This Row],[Food Security - old]]=0, tblPiNHistorical[[#This Row],[Food Security - new]]="", tblPiNHistorical[[#This Row],[Food Security - new]]=0), "", tblPiNHistorical[[#This Row],[Food Security - new]]-tblPiNHistorical[[#This Row],[Food Security - old]])</f>
        <v>2454</v>
      </c>
      <c r="AE112" s="312">
        <f>IF(OR(tblPiNHistorical[[#This Row],[Health - old]]="", tblPiNHistorical[[#This Row],[Health - old]]=0, tblPiNHistorical[[#This Row],[Health - new]]="", tblPiNHistorical[[#This Row],[Health - new]]=0), "", tblPiNHistorical[[#This Row],[Health - new]]-tblPiNHistorical[[#This Row],[Health - old]])</f>
        <v>-1392.2424089385459</v>
      </c>
      <c r="AF11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21699.86</v>
      </c>
      <c r="AG112" s="312">
        <f>IF(OR(tblPiNHistorical[[#This Row],[Shelter - old]]="", tblPiNHistorical[[#This Row],[Shelter - old]]=0, tblPiNHistorical[[#This Row],[Shelter - new]]="", tblPiNHistorical[[#This Row],[Shelter - new]]=0), "", tblPiNHistorical[[#This Row],[Shelter - new]]-tblPiNHistorical[[#This Row],[Shelter - old]])</f>
        <v>16415</v>
      </c>
      <c r="AH112" s="313">
        <f>IF(OR(tblPiNHistorical[[#This Row],[WASH - old]]="", tblPiNHistorical[[#This Row],[WASH - old]]=0, tblPiNHistorical[[#This Row],[WASH - new]]="", tblPiNHistorical[[#This Row],[WASH - new]]=0), "", tblPiNHistorical[[#This Row],[WASH - new]]-tblPiNHistorical[[#This Row],[WASH - old]])</f>
        <v>-7750.4402611870464</v>
      </c>
      <c r="AI112" s="314">
        <f>IFERROR(ROUND((tblPiNHistorical[[#This Row],[CCCM - new]] - tblPiNHistorical[[#This Row],[CCCM - old]])/tblPiNHistorical[[#This Row],[CCCM - old]], 1), "")</f>
        <v>0.9</v>
      </c>
      <c r="AJ112" s="315">
        <f>IFERROR(ROUND((tblPiNHistorical[[#This Row],[Education - new]]-tblPiNHistorical[[#This Row],[Education - old]])/tblPiNHistorical[[#This Row],[Education - old]], 1), "")</f>
        <v>-0.2</v>
      </c>
      <c r="AK112" s="315">
        <f>IFERROR(ROUND((tblPiNHistorical[[#This Row],[Nutrition - new]]-tblPiNHistorical[[#This Row],[Nutrition - old]])/tblPiNHistorical[[#This Row],[Nutrition - old]], 1), "")</f>
        <v>0.3</v>
      </c>
      <c r="AL112" s="315">
        <f>IFERROR(ROUND((tblPiNHistorical[[#This Row],[Food Security - new]]-tblPiNHistorical[[#This Row],[Food Security - old]])/tblPiNHistorical[[#This Row],[Food Security - old]], 1), "")</f>
        <v>0.1</v>
      </c>
      <c r="AM112" s="315">
        <f>IFERROR(ROUND((tblPiNHistorical[[#This Row],[Health - new]]-tblPiNHistorical[[#This Row],[Health - old]])/tblPiNHistorical[[#This Row],[Health - old]], 1), "")</f>
        <v>0</v>
      </c>
      <c r="AN112" s="315">
        <f>IFERROR(ROUND((tblPiNHistorical[[#This Row],[Overarching Protection - new]]-tblPiNHistorical[[#This Row],[Overarching Protection - old]])/tblPiNHistorical[[#This Row],[Overarching Protection - old]], 1), "")</f>
        <v>4</v>
      </c>
      <c r="AO112" s="315">
        <f>IFERROR(ROUND((tblPiNHistorical[[#This Row],[Shelter - new]]-tblPiNHistorical[[#This Row],[Shelter - old]])/tblPiNHistorical[[#This Row],[Shelter - old]], 1), "")</f>
        <v>0.9</v>
      </c>
      <c r="AP112" s="37">
        <f>IFERROR(ROUND((tblPiNHistorical[[#This Row],[WASH - new]]-tblPiNHistorical[[#This Row],[WASH - old]])/tblPiNHistorical[[#This Row],[WASH - old]], 1), "")</f>
        <v>-0.2</v>
      </c>
    </row>
    <row r="113" spans="1:42">
      <c r="A11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Global_PopulationHT0813</v>
      </c>
      <c r="B113" s="304" t="s">
        <v>383</v>
      </c>
      <c r="C113" s="213" t="s">
        <v>384</v>
      </c>
      <c r="D113" s="213" t="s">
        <v>389</v>
      </c>
      <c r="E113" s="103" t="s">
        <v>390</v>
      </c>
      <c r="F113" s="99"/>
      <c r="G113" s="34"/>
      <c r="H113" s="331"/>
      <c r="I113" s="96">
        <v>10653</v>
      </c>
      <c r="J113" s="241" t="s">
        <v>156</v>
      </c>
      <c r="K113" s="305">
        <v>2880</v>
      </c>
      <c r="L113" s="306">
        <v>1229</v>
      </c>
      <c r="M113" s="308">
        <v>882</v>
      </c>
      <c r="N113" s="308">
        <v>5159</v>
      </c>
      <c r="O113" s="308">
        <v>6836</v>
      </c>
      <c r="P113" s="308">
        <v>1427</v>
      </c>
      <c r="Q113" s="309">
        <v>1920</v>
      </c>
      <c r="R113" s="308">
        <v>6926.7131603425332</v>
      </c>
      <c r="S113" s="308">
        <f>IFERROR(INDEX(tblPiNAnalysis[CCCM], MATCH(tblPiNHistorical[[#This Row],[ID]], tblPiNAnalysis[ID], 0)), "")</f>
        <v>4860</v>
      </c>
      <c r="T113" s="310">
        <f>IFERROR(INDEX(tblPiNAnalysis[Education], MATCH(tblPiNHistorical[[#This Row],[ID]], tblPiNAnalysis[ID], 0)), "")</f>
        <v>1024</v>
      </c>
      <c r="U113" s="308">
        <f>IFERROR(INDEX(tblPiNAnalysis[Nutrition], MATCH(tblPiNHistorical[[#This Row],[ID]], tblPiNAnalysis[ID], 0)), "")</f>
        <v>1105</v>
      </c>
      <c r="V113" s="308">
        <f>IFERROR(INDEX(tblPiNAnalysis[Food Security], MATCH(tblPiNHistorical[[#This Row],[ID]], tblPiNAnalysis[ID], 0)), "")</f>
        <v>5720</v>
      </c>
      <c r="W113" s="308">
        <f>IFERROR(INDEX(tblPiNAnalysis[Health], MATCH(tblPiNHistorical[[#This Row],[ID]], tblPiNAnalysis[ID], 0)), "")</f>
        <v>4908.1043259259259</v>
      </c>
      <c r="X113" s="308">
        <f>IFERROR(INDEX(tblPiNAnalysis[Protection], MATCH(tblPiNHistorical[[#This Row],[ID]], tblPiNAnalysis[ID], 0)), "")</f>
        <v>1638.96</v>
      </c>
      <c r="Y113" s="308">
        <f>IFERROR(INDEX(tblPiNAnalysis[Shelter], MATCH(tblPiNHistorical[[#This Row],[ID]], tblPiNAnalysis[ID], 0)), "")</f>
        <v>0</v>
      </c>
      <c r="Z113" s="308">
        <f>IFERROR(INDEX(tblPiNAnalysis[WASH], MATCH(tblPiNHistorical[[#This Row],[ID]], tblPiNAnalysis[ID], 0)), "")</f>
        <v>4525.71</v>
      </c>
      <c r="AA113" s="311">
        <f>IF(OR(tblPiNHistorical[[#This Row],[CCCM - old]]="", tblPiNHistorical[[#This Row],[CCCM - old]]=0, tblPiNHistorical[[#This Row],[CCCM - new]]="", tblPiNHistorical[[#This Row],[CCCM - new]]=0), "", tblPiNHistorical[[#This Row],[CCCM - new]]-tblPiNHistorical[[#This Row],[CCCM - old]])</f>
        <v>1980</v>
      </c>
      <c r="AB113" s="312">
        <f>IF(OR(tblPiNHistorical[[#This Row],[Education - old]]="", tblPiNHistorical[[#This Row],[Education - old]]=0, tblPiNHistorical[[#This Row],[Education - new]]="", tblPiNHistorical[[#This Row],[Education - new]]=0), "", tblPiNHistorical[[#This Row],[Education - new]]-tblPiNHistorical[[#This Row],[Education - old]])</f>
        <v>-205</v>
      </c>
      <c r="AC113" s="312">
        <f>IF(OR(tblPiNHistorical[[#This Row],[Nutrition - old]]="", tblPiNHistorical[[#This Row],[Nutrition - old]]=0, tblPiNHistorical[[#This Row],[Nutrition - new]]="", tblPiNHistorical[[#This Row],[Nutrition - new]]=0), "", tblPiNHistorical[[#This Row],[Nutrition - new]]-tblPiNHistorical[[#This Row],[Nutrition - old]])</f>
        <v>223</v>
      </c>
      <c r="AD113" s="312">
        <f>IF(OR(tblPiNHistorical[[#This Row],[Food Security - old]]="", tblPiNHistorical[[#This Row],[Food Security - old]]=0, tblPiNHistorical[[#This Row],[Food Security - new]]="", tblPiNHistorical[[#This Row],[Food Security - new]]=0), "", tblPiNHistorical[[#This Row],[Food Security - new]]-tblPiNHistorical[[#This Row],[Food Security - old]])</f>
        <v>561</v>
      </c>
      <c r="AE113" s="312">
        <f>IF(OR(tblPiNHistorical[[#This Row],[Health - old]]="", tblPiNHistorical[[#This Row],[Health - old]]=0, tblPiNHistorical[[#This Row],[Health - new]]="", tblPiNHistorical[[#This Row],[Health - new]]=0), "", tblPiNHistorical[[#This Row],[Health - new]]-tblPiNHistorical[[#This Row],[Health - old]])</f>
        <v>-1927.8956740740741</v>
      </c>
      <c r="AF11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211.96000000000004</v>
      </c>
      <c r="AG113" s="312" t="str">
        <f>IF(OR(tblPiNHistorical[[#This Row],[Shelter - old]]="", tblPiNHistorical[[#This Row],[Shelter - old]]=0, tblPiNHistorical[[#This Row],[Shelter - new]]="", tblPiNHistorical[[#This Row],[Shelter - new]]=0), "", tblPiNHistorical[[#This Row],[Shelter - new]]-tblPiNHistorical[[#This Row],[Shelter - old]])</f>
        <v/>
      </c>
      <c r="AH113" s="313">
        <f>IF(OR(tblPiNHistorical[[#This Row],[WASH - old]]="", tblPiNHistorical[[#This Row],[WASH - old]]=0, tblPiNHistorical[[#This Row],[WASH - new]]="", tblPiNHistorical[[#This Row],[WASH - new]]=0), "", tblPiNHistorical[[#This Row],[WASH - new]]-tblPiNHistorical[[#This Row],[WASH - old]])</f>
        <v>-2401.0031603425332</v>
      </c>
      <c r="AI113" s="314">
        <f>IFERROR(ROUND((tblPiNHistorical[[#This Row],[CCCM - new]] - tblPiNHistorical[[#This Row],[CCCM - old]])/tblPiNHistorical[[#This Row],[CCCM - old]], 1), "")</f>
        <v>0.7</v>
      </c>
      <c r="AJ113" s="315">
        <f>IFERROR(ROUND((tblPiNHistorical[[#This Row],[Education - new]]-tblPiNHistorical[[#This Row],[Education - old]])/tblPiNHistorical[[#This Row],[Education - old]], 1), "")</f>
        <v>-0.2</v>
      </c>
      <c r="AK113" s="315">
        <f>IFERROR(ROUND((tblPiNHistorical[[#This Row],[Nutrition - new]]-tblPiNHistorical[[#This Row],[Nutrition - old]])/tblPiNHistorical[[#This Row],[Nutrition - old]], 1), "")</f>
        <v>0.3</v>
      </c>
      <c r="AL113" s="315">
        <f>IFERROR(ROUND((tblPiNHistorical[[#This Row],[Food Security - new]]-tblPiNHistorical[[#This Row],[Food Security - old]])/tblPiNHistorical[[#This Row],[Food Security - old]], 1), "")</f>
        <v>0.1</v>
      </c>
      <c r="AM113" s="315">
        <f>IFERROR(ROUND((tblPiNHistorical[[#This Row],[Health - new]]-tblPiNHistorical[[#This Row],[Health - old]])/tblPiNHistorical[[#This Row],[Health - old]], 1), "")</f>
        <v>-0.3</v>
      </c>
      <c r="AN113" s="315">
        <f>IFERROR(ROUND((tblPiNHistorical[[#This Row],[Overarching Protection - new]]-tblPiNHistorical[[#This Row],[Overarching Protection - old]])/tblPiNHistorical[[#This Row],[Overarching Protection - old]], 1), "")</f>
        <v>0.1</v>
      </c>
      <c r="AO113" s="315">
        <f>IFERROR(ROUND((tblPiNHistorical[[#This Row],[Shelter - new]]-tblPiNHistorical[[#This Row],[Shelter - old]])/tblPiNHistorical[[#This Row],[Shelter - old]], 1), "")</f>
        <v>-1</v>
      </c>
      <c r="AP113" s="37">
        <f>IFERROR(ROUND((tblPiNHistorical[[#This Row],[WASH - new]]-tblPiNHistorical[[#This Row],[WASH - old]])/tblPiNHistorical[[#This Row],[WASH - old]], 1), "")</f>
        <v>-0.3</v>
      </c>
    </row>
    <row r="114" spans="1:42">
      <c r="A11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Global_PopulationHT0814</v>
      </c>
      <c r="B114" s="304" t="s">
        <v>383</v>
      </c>
      <c r="C114" s="213" t="s">
        <v>384</v>
      </c>
      <c r="D114" s="213" t="s">
        <v>391</v>
      </c>
      <c r="E114" s="103" t="s">
        <v>392</v>
      </c>
      <c r="F114" s="99"/>
      <c r="G114" s="34"/>
      <c r="H114" s="331"/>
      <c r="I114" s="96">
        <v>36686</v>
      </c>
      <c r="J114" s="241" t="s">
        <v>156</v>
      </c>
      <c r="K114" s="305">
        <v>7668</v>
      </c>
      <c r="L114" s="306">
        <v>4372</v>
      </c>
      <c r="M114" s="308">
        <v>3020</v>
      </c>
      <c r="N114" s="308">
        <v>19590</v>
      </c>
      <c r="O114" s="308">
        <v>19423</v>
      </c>
      <c r="P114" s="308">
        <v>5109</v>
      </c>
      <c r="Q114" s="309">
        <v>15787</v>
      </c>
      <c r="R114" s="308">
        <v>20870.061005815031</v>
      </c>
      <c r="S114" s="308">
        <f>IFERROR(INDEX(tblPiNAnalysis[CCCM], MATCH(tblPiNHistorical[[#This Row],[ID]], tblPiNAnalysis[ID], 0)), "")</f>
        <v>9367.5</v>
      </c>
      <c r="T114" s="310">
        <f>IFERROR(INDEX(tblPiNAnalysis[Education], MATCH(tblPiNHistorical[[#This Row],[ID]], tblPiNAnalysis[ID], 0)), "")</f>
        <v>3588</v>
      </c>
      <c r="U114" s="308">
        <f>IFERROR(INDEX(tblPiNAnalysis[Nutrition], MATCH(tblPiNHistorical[[#This Row],[ID]], tblPiNAnalysis[ID], 0)), "")</f>
        <v>3354</v>
      </c>
      <c r="V114" s="308">
        <f>IFERROR(INDEX(tblPiNAnalysis[Food Security], MATCH(tblPiNHistorical[[#This Row],[ID]], tblPiNAnalysis[ID], 0)), "")</f>
        <v>21821</v>
      </c>
      <c r="W114" s="308">
        <f>IFERROR(INDEX(tblPiNAnalysis[Health], MATCH(tblPiNHistorical[[#This Row],[ID]], tblPiNAnalysis[ID], 0)), "")</f>
        <v>15612.5</v>
      </c>
      <c r="X114" s="308">
        <f>IFERROR(INDEX(tblPiNAnalysis[Protection], MATCH(tblPiNHistorical[[#This Row],[ID]], tblPiNAnalysis[ID], 0)), "")</f>
        <v>5044.0384615384619</v>
      </c>
      <c r="Y114" s="308">
        <f>IFERROR(INDEX(tblPiNAnalysis[Shelter], MATCH(tblPiNHistorical[[#This Row],[ID]], tblPiNAnalysis[ID], 0)), "")</f>
        <v>18694</v>
      </c>
      <c r="Z114" s="308">
        <f>IFERROR(INDEX(tblPiNAnalysis[WASH], MATCH(tblPiNHistorical[[#This Row],[ID]], tblPiNAnalysis[ID], 0)), "")</f>
        <v>6245</v>
      </c>
      <c r="AA114" s="311">
        <f>IF(OR(tblPiNHistorical[[#This Row],[CCCM - old]]="", tblPiNHistorical[[#This Row],[CCCM - old]]=0, tblPiNHistorical[[#This Row],[CCCM - new]]="", tblPiNHistorical[[#This Row],[CCCM - new]]=0), "", tblPiNHistorical[[#This Row],[CCCM - new]]-tblPiNHistorical[[#This Row],[CCCM - old]])</f>
        <v>1699.5</v>
      </c>
      <c r="AB114" s="312">
        <f>IF(OR(tblPiNHistorical[[#This Row],[Education - old]]="", tblPiNHistorical[[#This Row],[Education - old]]=0, tblPiNHistorical[[#This Row],[Education - new]]="", tblPiNHistorical[[#This Row],[Education - new]]=0), "", tblPiNHistorical[[#This Row],[Education - new]]-tblPiNHistorical[[#This Row],[Education - old]])</f>
        <v>-784</v>
      </c>
      <c r="AC114" s="312">
        <f>IF(OR(tblPiNHistorical[[#This Row],[Nutrition - old]]="", tblPiNHistorical[[#This Row],[Nutrition - old]]=0, tblPiNHistorical[[#This Row],[Nutrition - new]]="", tblPiNHistorical[[#This Row],[Nutrition - new]]=0), "", tblPiNHistorical[[#This Row],[Nutrition - new]]-tblPiNHistorical[[#This Row],[Nutrition - old]])</f>
        <v>334</v>
      </c>
      <c r="AD114" s="312">
        <f>IF(OR(tblPiNHistorical[[#This Row],[Food Security - old]]="", tblPiNHistorical[[#This Row],[Food Security - old]]=0, tblPiNHistorical[[#This Row],[Food Security - new]]="", tblPiNHistorical[[#This Row],[Food Security - new]]=0), "", tblPiNHistorical[[#This Row],[Food Security - new]]-tblPiNHistorical[[#This Row],[Food Security - old]])</f>
        <v>2231</v>
      </c>
      <c r="AE114" s="312">
        <f>IF(OR(tblPiNHistorical[[#This Row],[Health - old]]="", tblPiNHistorical[[#This Row],[Health - old]]=0, tblPiNHistorical[[#This Row],[Health - new]]="", tblPiNHistorical[[#This Row],[Health - new]]=0), "", tblPiNHistorical[[#This Row],[Health - new]]-tblPiNHistorical[[#This Row],[Health - old]])</f>
        <v>-3810.5</v>
      </c>
      <c r="AF11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-64.961538461538112</v>
      </c>
      <c r="AG114" s="312">
        <f>IF(OR(tblPiNHistorical[[#This Row],[Shelter - old]]="", tblPiNHistorical[[#This Row],[Shelter - old]]=0, tblPiNHistorical[[#This Row],[Shelter - new]]="", tblPiNHistorical[[#This Row],[Shelter - new]]=0), "", tblPiNHistorical[[#This Row],[Shelter - new]]-tblPiNHistorical[[#This Row],[Shelter - old]])</f>
        <v>2907</v>
      </c>
      <c r="AH114" s="313">
        <f>IF(OR(tblPiNHistorical[[#This Row],[WASH - old]]="", tblPiNHistorical[[#This Row],[WASH - old]]=0, tblPiNHistorical[[#This Row],[WASH - new]]="", tblPiNHistorical[[#This Row],[WASH - new]]=0), "", tblPiNHistorical[[#This Row],[WASH - new]]-tblPiNHistorical[[#This Row],[WASH - old]])</f>
        <v>-14625.061005815031</v>
      </c>
      <c r="AI114" s="314">
        <f>IFERROR(ROUND((tblPiNHistorical[[#This Row],[CCCM - new]] - tblPiNHistorical[[#This Row],[CCCM - old]])/tblPiNHistorical[[#This Row],[CCCM - old]], 1), "")</f>
        <v>0.2</v>
      </c>
      <c r="AJ114" s="315">
        <f>IFERROR(ROUND((tblPiNHistorical[[#This Row],[Education - new]]-tblPiNHistorical[[#This Row],[Education - old]])/tblPiNHistorical[[#This Row],[Education - old]], 1), "")</f>
        <v>-0.2</v>
      </c>
      <c r="AK114" s="315">
        <f>IFERROR(ROUND((tblPiNHistorical[[#This Row],[Nutrition - new]]-tblPiNHistorical[[#This Row],[Nutrition - old]])/tblPiNHistorical[[#This Row],[Nutrition - old]], 1), "")</f>
        <v>0.1</v>
      </c>
      <c r="AL114" s="315">
        <f>IFERROR(ROUND((tblPiNHistorical[[#This Row],[Food Security - new]]-tblPiNHistorical[[#This Row],[Food Security - old]])/tblPiNHistorical[[#This Row],[Food Security - old]], 1), "")</f>
        <v>0.1</v>
      </c>
      <c r="AM114" s="315">
        <f>IFERROR(ROUND((tblPiNHistorical[[#This Row],[Health - new]]-tblPiNHistorical[[#This Row],[Health - old]])/tblPiNHistorical[[#This Row],[Health - old]], 1), "")</f>
        <v>-0.2</v>
      </c>
      <c r="AN114" s="315">
        <f>IFERROR(ROUND((tblPiNHistorical[[#This Row],[Overarching Protection - new]]-tblPiNHistorical[[#This Row],[Overarching Protection - old]])/tblPiNHistorical[[#This Row],[Overarching Protection - old]], 1), "")</f>
        <v>0</v>
      </c>
      <c r="AO114" s="315">
        <f>IFERROR(ROUND((tblPiNHistorical[[#This Row],[Shelter - new]]-tblPiNHistorical[[#This Row],[Shelter - old]])/tblPiNHistorical[[#This Row],[Shelter - old]], 1), "")</f>
        <v>0.2</v>
      </c>
      <c r="AP114" s="37">
        <f>IFERROR(ROUND((tblPiNHistorical[[#This Row],[WASH - new]]-tblPiNHistorical[[#This Row],[WASH - old]])/tblPiNHistorical[[#This Row],[WASH - old]], 1), "")</f>
        <v>-0.7</v>
      </c>
    </row>
    <row r="115" spans="1:42">
      <c r="A11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Global_PopulationHT0815</v>
      </c>
      <c r="B115" s="304" t="s">
        <v>383</v>
      </c>
      <c r="C115" s="213" t="s">
        <v>384</v>
      </c>
      <c r="D115" s="213" t="s">
        <v>393</v>
      </c>
      <c r="E115" s="103" t="s">
        <v>394</v>
      </c>
      <c r="F115" s="99"/>
      <c r="G115" s="34"/>
      <c r="H115" s="331"/>
      <c r="I115" s="96">
        <v>35368</v>
      </c>
      <c r="J115" s="241" t="s">
        <v>156</v>
      </c>
      <c r="K115" s="305">
        <v>12750</v>
      </c>
      <c r="L115" s="306">
        <v>4279</v>
      </c>
      <c r="M115" s="308">
        <v>2926</v>
      </c>
      <c r="N115" s="308">
        <v>17295</v>
      </c>
      <c r="O115" s="308">
        <v>26838</v>
      </c>
      <c r="P115" s="308">
        <v>7036</v>
      </c>
      <c r="Q115" s="309">
        <v>15000</v>
      </c>
      <c r="R115" s="308">
        <v>29277.474974801109</v>
      </c>
      <c r="S115" s="308">
        <f>IFERROR(INDEX(tblPiNAnalysis[CCCM], MATCH(tblPiNHistorical[[#This Row],[ID]], tblPiNAnalysis[ID], 0)), "")</f>
        <v>12750</v>
      </c>
      <c r="T115" s="310">
        <f>IFERROR(INDEX(tblPiNAnalysis[Education], MATCH(tblPiNHistorical[[#This Row],[ID]], tblPiNAnalysis[ID], 0)), "")</f>
        <v>3753</v>
      </c>
      <c r="U115" s="308">
        <f>IFERROR(INDEX(tblPiNAnalysis[Nutrition], MATCH(tblPiNHistorical[[#This Row],[ID]], tblPiNAnalysis[ID], 0)), "")</f>
        <v>3353</v>
      </c>
      <c r="V115" s="308">
        <f>IFERROR(INDEX(tblPiNAnalysis[Food Security], MATCH(tblPiNHistorical[[#This Row],[ID]], tblPiNAnalysis[ID], 0)), "")</f>
        <v>19335</v>
      </c>
      <c r="W115" s="308">
        <f>IFERROR(INDEX(tblPiNAnalysis[Health], MATCH(tblPiNHistorical[[#This Row],[ID]], tblPiNAnalysis[ID], 0)), "")</f>
        <v>10272.420635294118</v>
      </c>
      <c r="X115" s="308">
        <f>IFERROR(INDEX(tblPiNAnalysis[Protection], MATCH(tblPiNHistorical[[#This Row],[ID]], tblPiNAnalysis[ID], 0)), "")</f>
        <v>4268.96</v>
      </c>
      <c r="Y115" s="308">
        <f>IFERROR(INDEX(tblPiNAnalysis[Shelter], MATCH(tblPiNHistorical[[#This Row],[ID]], tblPiNAnalysis[ID], 0)), "")</f>
        <v>0</v>
      </c>
      <c r="Z115" s="308">
        <f>IFERROR(INDEX(tblPiNAnalysis[WASH], MATCH(tblPiNHistorical[[#This Row],[ID]], tblPiNAnalysis[ID], 0)), "")</f>
        <v>11784.509999999998</v>
      </c>
      <c r="AA115" s="311">
        <f>IF(OR(tblPiNHistorical[[#This Row],[CCCM - old]]="", tblPiNHistorical[[#This Row],[CCCM - old]]=0, tblPiNHistorical[[#This Row],[CCCM - new]]="", tblPiNHistorical[[#This Row],[CCCM - new]]=0), "", tblPiNHistorical[[#This Row],[CCCM - new]]-tblPiNHistorical[[#This Row],[CCCM - old]])</f>
        <v>0</v>
      </c>
      <c r="AB115" s="312">
        <f>IF(OR(tblPiNHistorical[[#This Row],[Education - old]]="", tblPiNHistorical[[#This Row],[Education - old]]=0, tblPiNHistorical[[#This Row],[Education - new]]="", tblPiNHistorical[[#This Row],[Education - new]]=0), "", tblPiNHistorical[[#This Row],[Education - new]]-tblPiNHistorical[[#This Row],[Education - old]])</f>
        <v>-526</v>
      </c>
      <c r="AC115" s="312">
        <f>IF(OR(tblPiNHistorical[[#This Row],[Nutrition - old]]="", tblPiNHistorical[[#This Row],[Nutrition - old]]=0, tblPiNHistorical[[#This Row],[Nutrition - new]]="", tblPiNHistorical[[#This Row],[Nutrition - new]]=0), "", tblPiNHistorical[[#This Row],[Nutrition - new]]-tblPiNHistorical[[#This Row],[Nutrition - old]])</f>
        <v>427</v>
      </c>
      <c r="AD115" s="312">
        <f>IF(OR(tblPiNHistorical[[#This Row],[Food Security - old]]="", tblPiNHistorical[[#This Row],[Food Security - old]]=0, tblPiNHistorical[[#This Row],[Food Security - new]]="", tblPiNHistorical[[#This Row],[Food Security - new]]=0), "", tblPiNHistorical[[#This Row],[Food Security - new]]-tblPiNHistorical[[#This Row],[Food Security - old]])</f>
        <v>2040</v>
      </c>
      <c r="AE115" s="312">
        <f>IF(OR(tblPiNHistorical[[#This Row],[Health - old]]="", tblPiNHistorical[[#This Row],[Health - old]]=0, tblPiNHistorical[[#This Row],[Health - new]]="", tblPiNHistorical[[#This Row],[Health - new]]=0), "", tblPiNHistorical[[#This Row],[Health - new]]-tblPiNHistorical[[#This Row],[Health - old]])</f>
        <v>-16565.579364705882</v>
      </c>
      <c r="AF11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-2767.04</v>
      </c>
      <c r="AG115" s="312" t="str">
        <f>IF(OR(tblPiNHistorical[[#This Row],[Shelter - old]]="", tblPiNHistorical[[#This Row],[Shelter - old]]=0, tblPiNHistorical[[#This Row],[Shelter - new]]="", tblPiNHistorical[[#This Row],[Shelter - new]]=0), "", tblPiNHistorical[[#This Row],[Shelter - new]]-tblPiNHistorical[[#This Row],[Shelter - old]])</f>
        <v/>
      </c>
      <c r="AH115" s="313">
        <f>IF(OR(tblPiNHistorical[[#This Row],[WASH - old]]="", tblPiNHistorical[[#This Row],[WASH - old]]=0, tblPiNHistorical[[#This Row],[WASH - new]]="", tblPiNHistorical[[#This Row],[WASH - new]]=0), "", tblPiNHistorical[[#This Row],[WASH - new]]-tblPiNHistorical[[#This Row],[WASH - old]])</f>
        <v>-17492.964974801111</v>
      </c>
      <c r="AI115" s="314">
        <f>IFERROR(ROUND((tblPiNHistorical[[#This Row],[CCCM - new]] - tblPiNHistorical[[#This Row],[CCCM - old]])/tblPiNHistorical[[#This Row],[CCCM - old]], 1), "")</f>
        <v>0</v>
      </c>
      <c r="AJ115" s="315">
        <f>IFERROR(ROUND((tblPiNHistorical[[#This Row],[Education - new]]-tblPiNHistorical[[#This Row],[Education - old]])/tblPiNHistorical[[#This Row],[Education - old]], 1), "")</f>
        <v>-0.1</v>
      </c>
      <c r="AK115" s="315">
        <f>IFERROR(ROUND((tblPiNHistorical[[#This Row],[Nutrition - new]]-tblPiNHistorical[[#This Row],[Nutrition - old]])/tblPiNHistorical[[#This Row],[Nutrition - old]], 1), "")</f>
        <v>0.1</v>
      </c>
      <c r="AL115" s="315">
        <f>IFERROR(ROUND((tblPiNHistorical[[#This Row],[Food Security - new]]-tblPiNHistorical[[#This Row],[Food Security - old]])/tblPiNHistorical[[#This Row],[Food Security - old]], 1), "")</f>
        <v>0.1</v>
      </c>
      <c r="AM115" s="315">
        <f>IFERROR(ROUND((tblPiNHistorical[[#This Row],[Health - new]]-tblPiNHistorical[[#This Row],[Health - old]])/tblPiNHistorical[[#This Row],[Health - old]], 1), "")</f>
        <v>-0.6</v>
      </c>
      <c r="AN115" s="315">
        <f>IFERROR(ROUND((tblPiNHistorical[[#This Row],[Overarching Protection - new]]-tblPiNHistorical[[#This Row],[Overarching Protection - old]])/tblPiNHistorical[[#This Row],[Overarching Protection - old]], 1), "")</f>
        <v>-0.4</v>
      </c>
      <c r="AO115" s="315">
        <f>IFERROR(ROUND((tblPiNHistorical[[#This Row],[Shelter - new]]-tblPiNHistorical[[#This Row],[Shelter - old]])/tblPiNHistorical[[#This Row],[Shelter - old]], 1), "")</f>
        <v>-1</v>
      </c>
      <c r="AP115" s="37">
        <f>IFERROR(ROUND((tblPiNHistorical[[#This Row],[WASH - new]]-tblPiNHistorical[[#This Row],[WASH - old]])/tblPiNHistorical[[#This Row],[WASH - old]], 1), "")</f>
        <v>-0.6</v>
      </c>
    </row>
    <row r="116" spans="1:42">
      <c r="A11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Global_PopulationHT0821</v>
      </c>
      <c r="B116" s="304" t="s">
        <v>383</v>
      </c>
      <c r="C116" s="213" t="s">
        <v>384</v>
      </c>
      <c r="D116" s="213" t="s">
        <v>395</v>
      </c>
      <c r="E116" s="103" t="s">
        <v>396</v>
      </c>
      <c r="F116" s="99"/>
      <c r="G116" s="34"/>
      <c r="H116" s="331"/>
      <c r="I116" s="96">
        <v>49099</v>
      </c>
      <c r="J116" s="241" t="s">
        <v>156</v>
      </c>
      <c r="K116" s="305">
        <v>18195</v>
      </c>
      <c r="L116" s="306">
        <v>5931</v>
      </c>
      <c r="M116" s="308">
        <v>4057</v>
      </c>
      <c r="N116" s="308">
        <v>22208</v>
      </c>
      <c r="O116" s="308">
        <v>39854</v>
      </c>
      <c r="P116" s="308">
        <v>6508</v>
      </c>
      <c r="Q116" s="309">
        <v>27128</v>
      </c>
      <c r="R116" s="308">
        <v>41488.257621110592</v>
      </c>
      <c r="S116" s="308">
        <f>IFERROR(INDEX(tblPiNAnalysis[CCCM], MATCH(tblPiNHistorical[[#This Row],[ID]], tblPiNAnalysis[ID], 0)), "")</f>
        <v>26805</v>
      </c>
      <c r="T116" s="310">
        <f>IFERROR(INDEX(tblPiNAnalysis[Education], MATCH(tblPiNHistorical[[#This Row],[ID]], tblPiNAnalysis[ID], 0)), "")</f>
        <v>4862</v>
      </c>
      <c r="U116" s="308">
        <f>IFERROR(INDEX(tblPiNAnalysis[Nutrition], MATCH(tblPiNHistorical[[#This Row],[ID]], tblPiNAnalysis[ID], 0)), "")</f>
        <v>5153</v>
      </c>
      <c r="V116" s="308">
        <f>IFERROR(INDEX(tblPiNAnalysis[Food Security], MATCH(tblPiNHistorical[[#This Row],[ID]], tblPiNAnalysis[ID], 0)), "")</f>
        <v>24666</v>
      </c>
      <c r="W116" s="308">
        <f>IFERROR(INDEX(tblPiNAnalysis[Health], MATCH(tblPiNHistorical[[#This Row],[ID]], tblPiNAnalysis[ID], 0)), "")</f>
        <v>32392.962384522179</v>
      </c>
      <c r="X116" s="308">
        <f>IFERROR(INDEX(tblPiNAnalysis[Protection], MATCH(tblPiNHistorical[[#This Row],[ID]], tblPiNAnalysis[ID], 0)), "")</f>
        <v>14402.26</v>
      </c>
      <c r="Y116" s="308">
        <f>IFERROR(INDEX(tblPiNAnalysis[Shelter], MATCH(tblPiNHistorical[[#This Row],[ID]], tblPiNAnalysis[ID], 0)), "")</f>
        <v>27835</v>
      </c>
      <c r="Z116" s="308">
        <f>IFERROR(INDEX(tblPiNAnalysis[WASH], MATCH(tblPiNHistorical[[#This Row],[ID]], tblPiNAnalysis[ID], 0)), "")</f>
        <v>17870</v>
      </c>
      <c r="AA116" s="311">
        <f>IF(OR(tblPiNHistorical[[#This Row],[CCCM - old]]="", tblPiNHistorical[[#This Row],[CCCM - old]]=0, tblPiNHistorical[[#This Row],[CCCM - new]]="", tblPiNHistorical[[#This Row],[CCCM - new]]=0), "", tblPiNHistorical[[#This Row],[CCCM - new]]-tblPiNHistorical[[#This Row],[CCCM - old]])</f>
        <v>8610</v>
      </c>
      <c r="AB116" s="312">
        <f>IF(OR(tblPiNHistorical[[#This Row],[Education - old]]="", tblPiNHistorical[[#This Row],[Education - old]]=0, tblPiNHistorical[[#This Row],[Education - new]]="", tblPiNHistorical[[#This Row],[Education - new]]=0), "", tblPiNHistorical[[#This Row],[Education - new]]-tblPiNHistorical[[#This Row],[Education - old]])</f>
        <v>-1069</v>
      </c>
      <c r="AC116" s="312">
        <f>IF(OR(tblPiNHistorical[[#This Row],[Nutrition - old]]="", tblPiNHistorical[[#This Row],[Nutrition - old]]=0, tblPiNHistorical[[#This Row],[Nutrition - new]]="", tblPiNHistorical[[#This Row],[Nutrition - new]]=0), "", tblPiNHistorical[[#This Row],[Nutrition - new]]-tblPiNHistorical[[#This Row],[Nutrition - old]])</f>
        <v>1096</v>
      </c>
      <c r="AD116" s="312">
        <f>IF(OR(tblPiNHistorical[[#This Row],[Food Security - old]]="", tblPiNHistorical[[#This Row],[Food Security - old]]=0, tblPiNHistorical[[#This Row],[Food Security - new]]="", tblPiNHistorical[[#This Row],[Food Security - new]]=0), "", tblPiNHistorical[[#This Row],[Food Security - new]]-tblPiNHistorical[[#This Row],[Food Security - old]])</f>
        <v>2458</v>
      </c>
      <c r="AE116" s="312">
        <f>IF(OR(tblPiNHistorical[[#This Row],[Health - old]]="", tblPiNHistorical[[#This Row],[Health - old]]=0, tblPiNHistorical[[#This Row],[Health - new]]="", tblPiNHistorical[[#This Row],[Health - new]]=0), "", tblPiNHistorical[[#This Row],[Health - new]]-tblPiNHistorical[[#This Row],[Health - old]])</f>
        <v>-7461.0376154778205</v>
      </c>
      <c r="AF11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7894.26</v>
      </c>
      <c r="AG116" s="312">
        <f>IF(OR(tblPiNHistorical[[#This Row],[Shelter - old]]="", tblPiNHistorical[[#This Row],[Shelter - old]]=0, tblPiNHistorical[[#This Row],[Shelter - new]]="", tblPiNHistorical[[#This Row],[Shelter - new]]=0), "", tblPiNHistorical[[#This Row],[Shelter - new]]-tblPiNHistorical[[#This Row],[Shelter - old]])</f>
        <v>707</v>
      </c>
      <c r="AH116" s="313">
        <f>IF(OR(tblPiNHistorical[[#This Row],[WASH - old]]="", tblPiNHistorical[[#This Row],[WASH - old]]=0, tblPiNHistorical[[#This Row],[WASH - new]]="", tblPiNHistorical[[#This Row],[WASH - new]]=0), "", tblPiNHistorical[[#This Row],[WASH - new]]-tblPiNHistorical[[#This Row],[WASH - old]])</f>
        <v>-23618.257621110592</v>
      </c>
      <c r="AI116" s="314">
        <f>IFERROR(ROUND((tblPiNHistorical[[#This Row],[CCCM - new]] - tblPiNHistorical[[#This Row],[CCCM - old]])/tblPiNHistorical[[#This Row],[CCCM - old]], 1), "")</f>
        <v>0.5</v>
      </c>
      <c r="AJ116" s="315">
        <f>IFERROR(ROUND((tblPiNHistorical[[#This Row],[Education - new]]-tblPiNHistorical[[#This Row],[Education - old]])/tblPiNHistorical[[#This Row],[Education - old]], 1), "")</f>
        <v>-0.2</v>
      </c>
      <c r="AK116" s="315">
        <f>IFERROR(ROUND((tblPiNHistorical[[#This Row],[Nutrition - new]]-tblPiNHistorical[[#This Row],[Nutrition - old]])/tblPiNHistorical[[#This Row],[Nutrition - old]], 1), "")</f>
        <v>0.3</v>
      </c>
      <c r="AL116" s="315">
        <f>IFERROR(ROUND((tblPiNHistorical[[#This Row],[Food Security - new]]-tblPiNHistorical[[#This Row],[Food Security - old]])/tblPiNHistorical[[#This Row],[Food Security - old]], 1), "")</f>
        <v>0.1</v>
      </c>
      <c r="AM116" s="315">
        <f>IFERROR(ROUND((tblPiNHistorical[[#This Row],[Health - new]]-tblPiNHistorical[[#This Row],[Health - old]])/tblPiNHistorical[[#This Row],[Health - old]], 1), "")</f>
        <v>-0.2</v>
      </c>
      <c r="AN116" s="315">
        <f>IFERROR(ROUND((tblPiNHistorical[[#This Row],[Overarching Protection - new]]-tblPiNHistorical[[#This Row],[Overarching Protection - old]])/tblPiNHistorical[[#This Row],[Overarching Protection - old]], 1), "")</f>
        <v>1.2</v>
      </c>
      <c r="AO116" s="315">
        <f>IFERROR(ROUND((tblPiNHistorical[[#This Row],[Shelter - new]]-tblPiNHistorical[[#This Row],[Shelter - old]])/tblPiNHistorical[[#This Row],[Shelter - old]], 1), "")</f>
        <v>0</v>
      </c>
      <c r="AP116" s="37">
        <f>IFERROR(ROUND((tblPiNHistorical[[#This Row],[WASH - new]]-tblPiNHistorical[[#This Row],[WASH - old]])/tblPiNHistorical[[#This Row],[WASH - old]], 1), "")</f>
        <v>-0.6</v>
      </c>
    </row>
    <row r="117" spans="1:42">
      <c r="A11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Global_PopulationHT0822</v>
      </c>
      <c r="B117" s="304" t="s">
        <v>383</v>
      </c>
      <c r="C117" s="213" t="s">
        <v>384</v>
      </c>
      <c r="D117" s="213" t="s">
        <v>397</v>
      </c>
      <c r="E117" s="103" t="s">
        <v>398</v>
      </c>
      <c r="F117" s="99"/>
      <c r="G117" s="34"/>
      <c r="H117" s="331"/>
      <c r="I117" s="96">
        <v>41207</v>
      </c>
      <c r="J117" s="241" t="s">
        <v>156</v>
      </c>
      <c r="K117" s="305">
        <v>2985</v>
      </c>
      <c r="L117" s="306">
        <v>4815</v>
      </c>
      <c r="M117" s="308">
        <v>3341</v>
      </c>
      <c r="N117" s="308">
        <v>23216</v>
      </c>
      <c r="O117" s="308">
        <v>13670</v>
      </c>
      <c r="P117" s="308">
        <v>4692</v>
      </c>
      <c r="Q117" s="309">
        <v>11936</v>
      </c>
      <c r="R117" s="308">
        <v>12390.328035853367</v>
      </c>
      <c r="S117" s="308">
        <f>IFERROR(INDEX(tblPiNAnalysis[CCCM], MATCH(tblPiNHistorical[[#This Row],[ID]], tblPiNAnalysis[ID], 0)), "")</f>
        <v>9150</v>
      </c>
      <c r="T117" s="310">
        <f>IFERROR(INDEX(tblPiNAnalysis[Education], MATCH(tblPiNHistorical[[#This Row],[ID]], tblPiNAnalysis[ID], 0)), "")</f>
        <v>3932</v>
      </c>
      <c r="U117" s="308">
        <f>IFERROR(INDEX(tblPiNAnalysis[Nutrition], MATCH(tblPiNHistorical[[#This Row],[ID]], tblPiNAnalysis[ID], 0)), "")</f>
        <v>3655</v>
      </c>
      <c r="V117" s="308">
        <f>IFERROR(INDEX(tblPiNAnalysis[Food Security], MATCH(tblPiNHistorical[[#This Row],[ID]], tblPiNAnalysis[ID], 0)), "")</f>
        <v>25740</v>
      </c>
      <c r="W117" s="308">
        <f>IFERROR(INDEX(tblPiNAnalysis[Health], MATCH(tblPiNHistorical[[#This Row],[ID]], tblPiNAnalysis[ID], 0)), "")</f>
        <v>10223.376190163934</v>
      </c>
      <c r="X117" s="308">
        <f>IFERROR(INDEX(tblPiNAnalysis[Protection], MATCH(tblPiNHistorical[[#This Row],[ID]], tblPiNAnalysis[ID], 0)), "")</f>
        <v>7818.5450000000001</v>
      </c>
      <c r="Y117" s="308">
        <f>IFERROR(INDEX(tblPiNAnalysis[Shelter], MATCH(tblPiNHistorical[[#This Row],[ID]], tblPiNAnalysis[ID], 0)), "")</f>
        <v>13989</v>
      </c>
      <c r="Z117" s="308">
        <f>IFERROR(INDEX(tblPiNAnalysis[WASH], MATCH(tblPiNHistorical[[#This Row],[ID]], tblPiNAnalysis[ID], 0)), "")</f>
        <v>19229.933333333334</v>
      </c>
      <c r="AA117" s="311">
        <f>IF(OR(tblPiNHistorical[[#This Row],[CCCM - old]]="", tblPiNHistorical[[#This Row],[CCCM - old]]=0, tblPiNHistorical[[#This Row],[CCCM - new]]="", tblPiNHistorical[[#This Row],[CCCM - new]]=0), "", tblPiNHistorical[[#This Row],[CCCM - new]]-tblPiNHistorical[[#This Row],[CCCM - old]])</f>
        <v>6165</v>
      </c>
      <c r="AB117" s="312">
        <f>IF(OR(tblPiNHistorical[[#This Row],[Education - old]]="", tblPiNHistorical[[#This Row],[Education - old]]=0, tblPiNHistorical[[#This Row],[Education - new]]="", tblPiNHistorical[[#This Row],[Education - new]]=0), "", tblPiNHistorical[[#This Row],[Education - new]]-tblPiNHistorical[[#This Row],[Education - old]])</f>
        <v>-883</v>
      </c>
      <c r="AC117" s="312">
        <f>IF(OR(tblPiNHistorical[[#This Row],[Nutrition - old]]="", tblPiNHistorical[[#This Row],[Nutrition - old]]=0, tblPiNHistorical[[#This Row],[Nutrition - new]]="", tblPiNHistorical[[#This Row],[Nutrition - new]]=0), "", tblPiNHistorical[[#This Row],[Nutrition - new]]-tblPiNHistorical[[#This Row],[Nutrition - old]])</f>
        <v>314</v>
      </c>
      <c r="AD117" s="312">
        <f>IF(OR(tblPiNHistorical[[#This Row],[Food Security - old]]="", tblPiNHistorical[[#This Row],[Food Security - old]]=0, tblPiNHistorical[[#This Row],[Food Security - new]]="", tblPiNHistorical[[#This Row],[Food Security - new]]=0), "", tblPiNHistorical[[#This Row],[Food Security - new]]-tblPiNHistorical[[#This Row],[Food Security - old]])</f>
        <v>2524</v>
      </c>
      <c r="AE117" s="312">
        <f>IF(OR(tblPiNHistorical[[#This Row],[Health - old]]="", tblPiNHistorical[[#This Row],[Health - old]]=0, tblPiNHistorical[[#This Row],[Health - new]]="", tblPiNHistorical[[#This Row],[Health - new]]=0), "", tblPiNHistorical[[#This Row],[Health - new]]-tblPiNHistorical[[#This Row],[Health - old]])</f>
        <v>-3446.6238098360664</v>
      </c>
      <c r="AF11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3126.5450000000001</v>
      </c>
      <c r="AG117" s="312">
        <f>IF(OR(tblPiNHistorical[[#This Row],[Shelter - old]]="", tblPiNHistorical[[#This Row],[Shelter - old]]=0, tblPiNHistorical[[#This Row],[Shelter - new]]="", tblPiNHistorical[[#This Row],[Shelter - new]]=0), "", tblPiNHistorical[[#This Row],[Shelter - new]]-tblPiNHistorical[[#This Row],[Shelter - old]])</f>
        <v>2053</v>
      </c>
      <c r="AH117" s="313">
        <f>IF(OR(tblPiNHistorical[[#This Row],[WASH - old]]="", tblPiNHistorical[[#This Row],[WASH - old]]=0, tblPiNHistorical[[#This Row],[WASH - new]]="", tblPiNHistorical[[#This Row],[WASH - new]]=0), "", tblPiNHistorical[[#This Row],[WASH - new]]-tblPiNHistorical[[#This Row],[WASH - old]])</f>
        <v>6839.6052974799677</v>
      </c>
      <c r="AI117" s="314">
        <f>IFERROR(ROUND((tblPiNHistorical[[#This Row],[CCCM - new]] - tblPiNHistorical[[#This Row],[CCCM - old]])/tblPiNHistorical[[#This Row],[CCCM - old]], 1), "")</f>
        <v>2.1</v>
      </c>
      <c r="AJ117" s="315">
        <f>IFERROR(ROUND((tblPiNHistorical[[#This Row],[Education - new]]-tblPiNHistorical[[#This Row],[Education - old]])/tblPiNHistorical[[#This Row],[Education - old]], 1), "")</f>
        <v>-0.2</v>
      </c>
      <c r="AK117" s="315">
        <f>IFERROR(ROUND((tblPiNHistorical[[#This Row],[Nutrition - new]]-tblPiNHistorical[[#This Row],[Nutrition - old]])/tblPiNHistorical[[#This Row],[Nutrition - old]], 1), "")</f>
        <v>0.1</v>
      </c>
      <c r="AL117" s="315">
        <f>IFERROR(ROUND((tblPiNHistorical[[#This Row],[Food Security - new]]-tblPiNHistorical[[#This Row],[Food Security - old]])/tblPiNHistorical[[#This Row],[Food Security - old]], 1), "")</f>
        <v>0.1</v>
      </c>
      <c r="AM117" s="315">
        <f>IFERROR(ROUND((tblPiNHistorical[[#This Row],[Health - new]]-tblPiNHistorical[[#This Row],[Health - old]])/tblPiNHistorical[[#This Row],[Health - old]], 1), "")</f>
        <v>-0.3</v>
      </c>
      <c r="AN117" s="315">
        <f>IFERROR(ROUND((tblPiNHistorical[[#This Row],[Overarching Protection - new]]-tblPiNHistorical[[#This Row],[Overarching Protection - old]])/tblPiNHistorical[[#This Row],[Overarching Protection - old]], 1), "")</f>
        <v>0.7</v>
      </c>
      <c r="AO117" s="315">
        <f>IFERROR(ROUND((tblPiNHistorical[[#This Row],[Shelter - new]]-tblPiNHistorical[[#This Row],[Shelter - old]])/tblPiNHistorical[[#This Row],[Shelter - old]], 1), "")</f>
        <v>0.2</v>
      </c>
      <c r="AP117" s="37">
        <f>IFERROR(ROUND((tblPiNHistorical[[#This Row],[WASH - new]]-tblPiNHistorical[[#This Row],[WASH - old]])/tblPiNHistorical[[#This Row],[WASH - old]], 1), "")</f>
        <v>0.6</v>
      </c>
    </row>
    <row r="118" spans="1:42">
      <c r="A11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Global_PopulationHT0823</v>
      </c>
      <c r="B118" s="304" t="s">
        <v>383</v>
      </c>
      <c r="C118" s="213" t="s">
        <v>384</v>
      </c>
      <c r="D118" s="213" t="s">
        <v>399</v>
      </c>
      <c r="E118" s="103" t="s">
        <v>400</v>
      </c>
      <c r="F118" s="99"/>
      <c r="G118" s="34"/>
      <c r="H118" s="331"/>
      <c r="I118" s="96">
        <v>24756</v>
      </c>
      <c r="J118" s="241" t="s">
        <v>156</v>
      </c>
      <c r="K118" s="305">
        <v>1650</v>
      </c>
      <c r="L118" s="306">
        <v>3062</v>
      </c>
      <c r="M118" s="308">
        <v>1978</v>
      </c>
      <c r="N118" s="308">
        <v>14005</v>
      </c>
      <c r="O118" s="308">
        <v>7971</v>
      </c>
      <c r="P118" s="308">
        <v>2092</v>
      </c>
      <c r="Q118" s="309">
        <v>15000</v>
      </c>
      <c r="R118" s="308">
        <v>7194.6490238443239</v>
      </c>
      <c r="S118" s="308">
        <f>IFERROR(INDEX(tblPiNAnalysis[CCCM], MATCH(tblPiNHistorical[[#This Row],[ID]], tblPiNAnalysis[ID], 0)), "")</f>
        <v>2250</v>
      </c>
      <c r="T118" s="310">
        <f>IFERROR(INDEX(tblPiNAnalysis[Education], MATCH(tblPiNHistorical[[#This Row],[ID]], tblPiNAnalysis[ID], 0)), "")</f>
        <v>2361</v>
      </c>
      <c r="U118" s="308">
        <f>IFERROR(INDEX(tblPiNAnalysis[Nutrition], MATCH(tblPiNHistorical[[#This Row],[ID]], tblPiNAnalysis[ID], 0)), "")</f>
        <v>1999</v>
      </c>
      <c r="V118" s="308">
        <f>IFERROR(INDEX(tblPiNAnalysis[Food Security], MATCH(tblPiNHistorical[[#This Row],[ID]], tblPiNAnalysis[ID], 0)), "")</f>
        <v>15528</v>
      </c>
      <c r="W118" s="308">
        <f>IFERROR(INDEX(tblPiNAnalysis[Health], MATCH(tblPiNHistorical[[#This Row],[ID]], tblPiNAnalysis[ID], 0)), "")</f>
        <v>2425.8443333333335</v>
      </c>
      <c r="X118" s="308">
        <f>IFERROR(INDEX(tblPiNAnalysis[Protection], MATCH(tblPiNHistorical[[#This Row],[ID]], tblPiNAnalysis[ID], 0)), "")</f>
        <v>3142</v>
      </c>
      <c r="Y118" s="308">
        <f>IFERROR(INDEX(tblPiNAnalysis[Shelter], MATCH(tblPiNHistorical[[#This Row],[ID]], tblPiNAnalysis[ID], 0)), "")</f>
        <v>0</v>
      </c>
      <c r="Z118" s="308">
        <f>IFERROR(INDEX(tblPiNAnalysis[WASH], MATCH(tblPiNHistorical[[#This Row],[ID]], tblPiNAnalysis[ID], 0)), "")</f>
        <v>1500</v>
      </c>
      <c r="AA118" s="311">
        <f>IF(OR(tblPiNHistorical[[#This Row],[CCCM - old]]="", tblPiNHistorical[[#This Row],[CCCM - old]]=0, tblPiNHistorical[[#This Row],[CCCM - new]]="", tblPiNHistorical[[#This Row],[CCCM - new]]=0), "", tblPiNHistorical[[#This Row],[CCCM - new]]-tblPiNHistorical[[#This Row],[CCCM - old]])</f>
        <v>600</v>
      </c>
      <c r="AB118" s="312">
        <f>IF(OR(tblPiNHistorical[[#This Row],[Education - old]]="", tblPiNHistorical[[#This Row],[Education - old]]=0, tblPiNHistorical[[#This Row],[Education - new]]="", tblPiNHistorical[[#This Row],[Education - new]]=0), "", tblPiNHistorical[[#This Row],[Education - new]]-tblPiNHistorical[[#This Row],[Education - old]])</f>
        <v>-701</v>
      </c>
      <c r="AC118" s="312">
        <f>IF(OR(tblPiNHistorical[[#This Row],[Nutrition - old]]="", tblPiNHistorical[[#This Row],[Nutrition - old]]=0, tblPiNHistorical[[#This Row],[Nutrition - new]]="", tblPiNHistorical[[#This Row],[Nutrition - new]]=0), "", tblPiNHistorical[[#This Row],[Nutrition - new]]-tblPiNHistorical[[#This Row],[Nutrition - old]])</f>
        <v>21</v>
      </c>
      <c r="AD118" s="312">
        <f>IF(OR(tblPiNHistorical[[#This Row],[Food Security - old]]="", tblPiNHistorical[[#This Row],[Food Security - old]]=0, tblPiNHistorical[[#This Row],[Food Security - new]]="", tblPiNHistorical[[#This Row],[Food Security - new]]=0), "", tblPiNHistorical[[#This Row],[Food Security - new]]-tblPiNHistorical[[#This Row],[Food Security - old]])</f>
        <v>1523</v>
      </c>
      <c r="AE118" s="312">
        <f>IF(OR(tblPiNHistorical[[#This Row],[Health - old]]="", tblPiNHistorical[[#This Row],[Health - old]]=0, tblPiNHistorical[[#This Row],[Health - new]]="", tblPiNHistorical[[#This Row],[Health - new]]=0), "", tblPiNHistorical[[#This Row],[Health - new]]-tblPiNHistorical[[#This Row],[Health - old]])</f>
        <v>-5545.1556666666665</v>
      </c>
      <c r="AF11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1050</v>
      </c>
      <c r="AG118" s="312" t="str">
        <f>IF(OR(tblPiNHistorical[[#This Row],[Shelter - old]]="", tblPiNHistorical[[#This Row],[Shelter - old]]=0, tblPiNHistorical[[#This Row],[Shelter - new]]="", tblPiNHistorical[[#This Row],[Shelter - new]]=0), "", tblPiNHistorical[[#This Row],[Shelter - new]]-tblPiNHistorical[[#This Row],[Shelter - old]])</f>
        <v/>
      </c>
      <c r="AH118" s="313">
        <f>IF(OR(tblPiNHistorical[[#This Row],[WASH - old]]="", tblPiNHistorical[[#This Row],[WASH - old]]=0, tblPiNHistorical[[#This Row],[WASH - new]]="", tblPiNHistorical[[#This Row],[WASH - new]]=0), "", tblPiNHistorical[[#This Row],[WASH - new]]-tblPiNHistorical[[#This Row],[WASH - old]])</f>
        <v>-5694.6490238443239</v>
      </c>
      <c r="AI118" s="314">
        <f>IFERROR(ROUND((tblPiNHistorical[[#This Row],[CCCM - new]] - tblPiNHistorical[[#This Row],[CCCM - old]])/tblPiNHistorical[[#This Row],[CCCM - old]], 1), "")</f>
        <v>0.4</v>
      </c>
      <c r="AJ118" s="315">
        <f>IFERROR(ROUND((tblPiNHistorical[[#This Row],[Education - new]]-tblPiNHistorical[[#This Row],[Education - old]])/tblPiNHistorical[[#This Row],[Education - old]], 1), "")</f>
        <v>-0.2</v>
      </c>
      <c r="AK118" s="315">
        <f>IFERROR(ROUND((tblPiNHistorical[[#This Row],[Nutrition - new]]-tblPiNHistorical[[#This Row],[Nutrition - old]])/tblPiNHistorical[[#This Row],[Nutrition - old]], 1), "")</f>
        <v>0</v>
      </c>
      <c r="AL118" s="315">
        <f>IFERROR(ROUND((tblPiNHistorical[[#This Row],[Food Security - new]]-tblPiNHistorical[[#This Row],[Food Security - old]])/tblPiNHistorical[[#This Row],[Food Security - old]], 1), "")</f>
        <v>0.1</v>
      </c>
      <c r="AM118" s="315">
        <f>IFERROR(ROUND((tblPiNHistorical[[#This Row],[Health - new]]-tblPiNHistorical[[#This Row],[Health - old]])/tblPiNHistorical[[#This Row],[Health - old]], 1), "")</f>
        <v>-0.7</v>
      </c>
      <c r="AN118" s="315">
        <f>IFERROR(ROUND((tblPiNHistorical[[#This Row],[Overarching Protection - new]]-tblPiNHistorical[[#This Row],[Overarching Protection - old]])/tblPiNHistorical[[#This Row],[Overarching Protection - old]], 1), "")</f>
        <v>0.5</v>
      </c>
      <c r="AO118" s="315">
        <f>IFERROR(ROUND((tblPiNHistorical[[#This Row],[Shelter - new]]-tblPiNHistorical[[#This Row],[Shelter - old]])/tblPiNHistorical[[#This Row],[Shelter - old]], 1), "")</f>
        <v>-1</v>
      </c>
      <c r="AP118" s="37">
        <f>IFERROR(ROUND((tblPiNHistorical[[#This Row],[WASH - new]]-tblPiNHistorical[[#This Row],[WASH - old]])/tblPiNHistorical[[#This Row],[WASH - old]], 1), "")</f>
        <v>-0.8</v>
      </c>
    </row>
    <row r="119" spans="1:42">
      <c r="A11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Global_PopulationHT0831</v>
      </c>
      <c r="B119" s="304" t="s">
        <v>383</v>
      </c>
      <c r="C119" s="213" t="s">
        <v>384</v>
      </c>
      <c r="D119" s="213" t="s">
        <v>401</v>
      </c>
      <c r="E119" s="103" t="s">
        <v>402</v>
      </c>
      <c r="F119" s="99"/>
      <c r="G119" s="34"/>
      <c r="H119" s="331"/>
      <c r="I119" s="96">
        <v>28292</v>
      </c>
      <c r="J119" s="241" t="s">
        <v>156</v>
      </c>
      <c r="K119" s="305">
        <v>12600</v>
      </c>
      <c r="L119" s="306">
        <v>3448</v>
      </c>
      <c r="M119" s="308">
        <v>2392</v>
      </c>
      <c r="N119" s="308">
        <v>12051</v>
      </c>
      <c r="O119" s="308">
        <v>24955</v>
      </c>
      <c r="P119" s="308">
        <v>7992</v>
      </c>
      <c r="Q119" s="309">
        <v>20726</v>
      </c>
      <c r="R119" s="308">
        <v>32959.398910486285</v>
      </c>
      <c r="S119" s="308">
        <f>IFERROR(INDEX(tblPiNAnalysis[CCCM], MATCH(tblPiNHistorical[[#This Row],[ID]], tblPiNAnalysis[ID], 0)), "")</f>
        <v>10875</v>
      </c>
      <c r="T119" s="310">
        <f>IFERROR(INDEX(tblPiNAnalysis[Education], MATCH(tblPiNHistorical[[#This Row],[ID]], tblPiNAnalysis[ID], 0)), "")</f>
        <v>2815</v>
      </c>
      <c r="U119" s="308">
        <f>IFERROR(INDEX(tblPiNAnalysis[Nutrition], MATCH(tblPiNHistorical[[#This Row],[ID]], tblPiNAnalysis[ID], 0)), "")</f>
        <v>2791</v>
      </c>
      <c r="V119" s="308">
        <f>IFERROR(INDEX(tblPiNAnalysis[Food Security], MATCH(tblPiNHistorical[[#This Row],[ID]], tblPiNAnalysis[ID], 0)), "")</f>
        <v>13398</v>
      </c>
      <c r="W119" s="308">
        <f>IFERROR(INDEX(tblPiNAnalysis[Health], MATCH(tblPiNHistorical[[#This Row],[ID]], tblPiNAnalysis[ID], 0)), "")</f>
        <v>12104.774124137932</v>
      </c>
      <c r="X119" s="308">
        <f>IFERROR(INDEX(tblPiNAnalysis[Protection], MATCH(tblPiNHistorical[[#This Row],[ID]], tblPiNAnalysis[ID], 0)), "")</f>
        <v>3636.28</v>
      </c>
      <c r="Y119" s="308">
        <f>IFERROR(INDEX(tblPiNAnalysis[Shelter], MATCH(tblPiNHistorical[[#This Row],[ID]], tblPiNAnalysis[ID], 0)), "")</f>
        <v>0</v>
      </c>
      <c r="Z119" s="308">
        <f>IFERROR(INDEX(tblPiNAnalysis[WASH], MATCH(tblPiNHistorical[[#This Row],[ID]], tblPiNAnalysis[ID], 0)), "")</f>
        <v>7250</v>
      </c>
      <c r="AA119" s="311">
        <f>IF(OR(tblPiNHistorical[[#This Row],[CCCM - old]]="", tblPiNHistorical[[#This Row],[CCCM - old]]=0, tblPiNHistorical[[#This Row],[CCCM - new]]="", tblPiNHistorical[[#This Row],[CCCM - new]]=0), "", tblPiNHistorical[[#This Row],[CCCM - new]]-tblPiNHistorical[[#This Row],[CCCM - old]])</f>
        <v>-1725</v>
      </c>
      <c r="AB119" s="312">
        <f>IF(OR(tblPiNHistorical[[#This Row],[Education - old]]="", tblPiNHistorical[[#This Row],[Education - old]]=0, tblPiNHistorical[[#This Row],[Education - new]]="", tblPiNHistorical[[#This Row],[Education - new]]=0), "", tblPiNHistorical[[#This Row],[Education - new]]-tblPiNHistorical[[#This Row],[Education - old]])</f>
        <v>-633</v>
      </c>
      <c r="AC119" s="312">
        <f>IF(OR(tblPiNHistorical[[#This Row],[Nutrition - old]]="", tblPiNHistorical[[#This Row],[Nutrition - old]]=0, tblPiNHistorical[[#This Row],[Nutrition - new]]="", tblPiNHistorical[[#This Row],[Nutrition - new]]=0), "", tblPiNHistorical[[#This Row],[Nutrition - new]]-tblPiNHistorical[[#This Row],[Nutrition - old]])</f>
        <v>399</v>
      </c>
      <c r="AD119" s="312">
        <f>IF(OR(tblPiNHistorical[[#This Row],[Food Security - old]]="", tblPiNHistorical[[#This Row],[Food Security - old]]=0, tblPiNHistorical[[#This Row],[Food Security - new]]="", tblPiNHistorical[[#This Row],[Food Security - new]]=0), "", tblPiNHistorical[[#This Row],[Food Security - new]]-tblPiNHistorical[[#This Row],[Food Security - old]])</f>
        <v>1347</v>
      </c>
      <c r="AE119" s="312">
        <f>IF(OR(tblPiNHistorical[[#This Row],[Health - old]]="", tblPiNHistorical[[#This Row],[Health - old]]=0, tblPiNHistorical[[#This Row],[Health - new]]="", tblPiNHistorical[[#This Row],[Health - new]]=0), "", tblPiNHistorical[[#This Row],[Health - new]]-tblPiNHistorical[[#This Row],[Health - old]])</f>
        <v>-12850.225875862068</v>
      </c>
      <c r="AF11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-4355.7199999999993</v>
      </c>
      <c r="AG119" s="312" t="str">
        <f>IF(OR(tblPiNHistorical[[#This Row],[Shelter - old]]="", tblPiNHistorical[[#This Row],[Shelter - old]]=0, tblPiNHistorical[[#This Row],[Shelter - new]]="", tblPiNHistorical[[#This Row],[Shelter - new]]=0), "", tblPiNHistorical[[#This Row],[Shelter - new]]-tblPiNHistorical[[#This Row],[Shelter - old]])</f>
        <v/>
      </c>
      <c r="AH119" s="313">
        <f>IF(OR(tblPiNHistorical[[#This Row],[WASH - old]]="", tblPiNHistorical[[#This Row],[WASH - old]]=0, tblPiNHistorical[[#This Row],[WASH - new]]="", tblPiNHistorical[[#This Row],[WASH - new]]=0), "", tblPiNHistorical[[#This Row],[WASH - new]]-tblPiNHistorical[[#This Row],[WASH - old]])</f>
        <v>-25709.398910486285</v>
      </c>
      <c r="AI119" s="314">
        <f>IFERROR(ROUND((tblPiNHistorical[[#This Row],[CCCM - new]] - tblPiNHistorical[[#This Row],[CCCM - old]])/tblPiNHistorical[[#This Row],[CCCM - old]], 1), "")</f>
        <v>-0.1</v>
      </c>
      <c r="AJ119" s="315">
        <f>IFERROR(ROUND((tblPiNHistorical[[#This Row],[Education - new]]-tblPiNHistorical[[#This Row],[Education - old]])/tblPiNHistorical[[#This Row],[Education - old]], 1), "")</f>
        <v>-0.2</v>
      </c>
      <c r="AK119" s="315">
        <f>IFERROR(ROUND((tblPiNHistorical[[#This Row],[Nutrition - new]]-tblPiNHistorical[[#This Row],[Nutrition - old]])/tblPiNHistorical[[#This Row],[Nutrition - old]], 1), "")</f>
        <v>0.2</v>
      </c>
      <c r="AL119" s="315">
        <f>IFERROR(ROUND((tblPiNHistorical[[#This Row],[Food Security - new]]-tblPiNHistorical[[#This Row],[Food Security - old]])/tblPiNHistorical[[#This Row],[Food Security - old]], 1), "")</f>
        <v>0.1</v>
      </c>
      <c r="AM119" s="315">
        <f>IFERROR(ROUND((tblPiNHistorical[[#This Row],[Health - new]]-tblPiNHistorical[[#This Row],[Health - old]])/tblPiNHistorical[[#This Row],[Health - old]], 1), "")</f>
        <v>-0.5</v>
      </c>
      <c r="AN119" s="315">
        <f>IFERROR(ROUND((tblPiNHistorical[[#This Row],[Overarching Protection - new]]-tblPiNHistorical[[#This Row],[Overarching Protection - old]])/tblPiNHistorical[[#This Row],[Overarching Protection - old]], 1), "")</f>
        <v>-0.5</v>
      </c>
      <c r="AO119" s="315">
        <f>IFERROR(ROUND((tblPiNHistorical[[#This Row],[Shelter - new]]-tblPiNHistorical[[#This Row],[Shelter - old]])/tblPiNHistorical[[#This Row],[Shelter - old]], 1), "")</f>
        <v>-1</v>
      </c>
      <c r="AP119" s="37">
        <f>IFERROR(ROUND((tblPiNHistorical[[#This Row],[WASH - new]]-tblPiNHistorical[[#This Row],[WASH - old]])/tblPiNHistorical[[#This Row],[WASH - old]], 1), "")</f>
        <v>-0.8</v>
      </c>
    </row>
    <row r="120" spans="1:42">
      <c r="A12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Global_PopulationHT0832</v>
      </c>
      <c r="B120" s="304" t="s">
        <v>383</v>
      </c>
      <c r="C120" s="213" t="s">
        <v>384</v>
      </c>
      <c r="D120" s="213" t="s">
        <v>403</v>
      </c>
      <c r="E120" s="103" t="s">
        <v>404</v>
      </c>
      <c r="F120" s="99"/>
      <c r="G120" s="34"/>
      <c r="H120" s="331"/>
      <c r="I120" s="96">
        <v>41589</v>
      </c>
      <c r="J120" s="241" t="s">
        <v>156</v>
      </c>
      <c r="K120" s="305">
        <v>8036</v>
      </c>
      <c r="L120" s="306">
        <v>4898</v>
      </c>
      <c r="M120" s="308">
        <v>3417</v>
      </c>
      <c r="N120" s="308">
        <v>22064</v>
      </c>
      <c r="O120" s="308">
        <v>21046</v>
      </c>
      <c r="P120" s="308">
        <v>6914</v>
      </c>
      <c r="Q120" s="309">
        <v>1555</v>
      </c>
      <c r="R120" s="308">
        <v>20169.374506098869</v>
      </c>
      <c r="S120" s="308">
        <f>IFERROR(INDEX(tblPiNAnalysis[CCCM], MATCH(tblPiNHistorical[[#This Row],[ID]], tblPiNAnalysis[ID], 0)), "")</f>
        <v>13498.5</v>
      </c>
      <c r="T120" s="310">
        <f>IFERROR(INDEX(tblPiNAnalysis[Education], MATCH(tblPiNHistorical[[#This Row],[ID]], tblPiNAnalysis[ID], 0)), "")</f>
        <v>3754</v>
      </c>
      <c r="U120" s="308">
        <f>IFERROR(INDEX(tblPiNAnalysis[Nutrition], MATCH(tblPiNHistorical[[#This Row],[ID]], tblPiNAnalysis[ID], 0)), "")</f>
        <v>4003</v>
      </c>
      <c r="V120" s="308">
        <f>IFERROR(INDEX(tblPiNAnalysis[Food Security], MATCH(tblPiNHistorical[[#This Row],[ID]], tblPiNAnalysis[ID], 0)), "")</f>
        <v>24533</v>
      </c>
      <c r="W120" s="308">
        <f>IFERROR(INDEX(tblPiNAnalysis[Health], MATCH(tblPiNHistorical[[#This Row],[ID]], tblPiNAnalysis[ID], 0)), "")</f>
        <v>14407.269</v>
      </c>
      <c r="X120" s="308">
        <f>IFERROR(INDEX(tblPiNAnalysis[Protection], MATCH(tblPiNHistorical[[#This Row],[ID]], tblPiNAnalysis[ID], 0)), "")</f>
        <v>9772.01</v>
      </c>
      <c r="Y120" s="308">
        <f>IFERROR(INDEX(tblPiNAnalysis[Shelter], MATCH(tblPiNHistorical[[#This Row],[ID]], tblPiNAnalysis[ID], 0)), "")</f>
        <v>9597</v>
      </c>
      <c r="Z120" s="308">
        <f>IFERROR(INDEX(tblPiNAnalysis[WASH], MATCH(tblPiNHistorical[[#This Row],[ID]], tblPiNAnalysis[ID], 0)), "")</f>
        <v>8999</v>
      </c>
      <c r="AA120" s="311">
        <f>IF(OR(tblPiNHistorical[[#This Row],[CCCM - old]]="", tblPiNHistorical[[#This Row],[CCCM - old]]=0, tblPiNHistorical[[#This Row],[CCCM - new]]="", tblPiNHistorical[[#This Row],[CCCM - new]]=0), "", tblPiNHistorical[[#This Row],[CCCM - new]]-tblPiNHistorical[[#This Row],[CCCM - old]])</f>
        <v>5462.5</v>
      </c>
      <c r="AB120" s="312">
        <f>IF(OR(tblPiNHistorical[[#This Row],[Education - old]]="", tblPiNHistorical[[#This Row],[Education - old]]=0, tblPiNHistorical[[#This Row],[Education - new]]="", tblPiNHistorical[[#This Row],[Education - new]]=0), "", tblPiNHistorical[[#This Row],[Education - new]]-tblPiNHistorical[[#This Row],[Education - old]])</f>
        <v>-1144</v>
      </c>
      <c r="AC120" s="312">
        <f>IF(OR(tblPiNHistorical[[#This Row],[Nutrition - old]]="", tblPiNHistorical[[#This Row],[Nutrition - old]]=0, tblPiNHistorical[[#This Row],[Nutrition - new]]="", tblPiNHistorical[[#This Row],[Nutrition - new]]=0), "", tblPiNHistorical[[#This Row],[Nutrition - new]]-tblPiNHistorical[[#This Row],[Nutrition - old]])</f>
        <v>586</v>
      </c>
      <c r="AD120" s="312">
        <f>IF(OR(tblPiNHistorical[[#This Row],[Food Security - old]]="", tblPiNHistorical[[#This Row],[Food Security - old]]=0, tblPiNHistorical[[#This Row],[Food Security - new]]="", tblPiNHistorical[[#This Row],[Food Security - new]]=0), "", tblPiNHistorical[[#This Row],[Food Security - new]]-tblPiNHistorical[[#This Row],[Food Security - old]])</f>
        <v>2469</v>
      </c>
      <c r="AE120" s="312">
        <f>IF(OR(tblPiNHistorical[[#This Row],[Health - old]]="", tblPiNHistorical[[#This Row],[Health - old]]=0, tblPiNHistorical[[#This Row],[Health - new]]="", tblPiNHistorical[[#This Row],[Health - new]]=0), "", tblPiNHistorical[[#This Row],[Health - new]]-tblPiNHistorical[[#This Row],[Health - old]])</f>
        <v>-6638.7309999999998</v>
      </c>
      <c r="AF12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2858.01</v>
      </c>
      <c r="AG120" s="312">
        <f>IF(OR(tblPiNHistorical[[#This Row],[Shelter - old]]="", tblPiNHistorical[[#This Row],[Shelter - old]]=0, tblPiNHistorical[[#This Row],[Shelter - new]]="", tblPiNHistorical[[#This Row],[Shelter - new]]=0), "", tblPiNHistorical[[#This Row],[Shelter - new]]-tblPiNHistorical[[#This Row],[Shelter - old]])</f>
        <v>8042</v>
      </c>
      <c r="AH120" s="313">
        <f>IF(OR(tblPiNHistorical[[#This Row],[WASH - old]]="", tblPiNHistorical[[#This Row],[WASH - old]]=0, tblPiNHistorical[[#This Row],[WASH - new]]="", tblPiNHistorical[[#This Row],[WASH - new]]=0), "", tblPiNHistorical[[#This Row],[WASH - new]]-tblPiNHistorical[[#This Row],[WASH - old]])</f>
        <v>-11170.374506098869</v>
      </c>
      <c r="AI120" s="314">
        <f>IFERROR(ROUND((tblPiNHistorical[[#This Row],[CCCM - new]] - tblPiNHistorical[[#This Row],[CCCM - old]])/tblPiNHistorical[[#This Row],[CCCM - old]], 1), "")</f>
        <v>0.7</v>
      </c>
      <c r="AJ120" s="315">
        <f>IFERROR(ROUND((tblPiNHistorical[[#This Row],[Education - new]]-tblPiNHistorical[[#This Row],[Education - old]])/tblPiNHistorical[[#This Row],[Education - old]], 1), "")</f>
        <v>-0.2</v>
      </c>
      <c r="AK120" s="315">
        <f>IFERROR(ROUND((tblPiNHistorical[[#This Row],[Nutrition - new]]-tblPiNHistorical[[#This Row],[Nutrition - old]])/tblPiNHistorical[[#This Row],[Nutrition - old]], 1), "")</f>
        <v>0.2</v>
      </c>
      <c r="AL120" s="315">
        <f>IFERROR(ROUND((tblPiNHistorical[[#This Row],[Food Security - new]]-tblPiNHistorical[[#This Row],[Food Security - old]])/tblPiNHistorical[[#This Row],[Food Security - old]], 1), "")</f>
        <v>0.1</v>
      </c>
      <c r="AM120" s="315">
        <f>IFERROR(ROUND((tblPiNHistorical[[#This Row],[Health - new]]-tblPiNHistorical[[#This Row],[Health - old]])/tblPiNHistorical[[#This Row],[Health - old]], 1), "")</f>
        <v>-0.3</v>
      </c>
      <c r="AN120" s="315">
        <f>IFERROR(ROUND((tblPiNHistorical[[#This Row],[Overarching Protection - new]]-tblPiNHistorical[[#This Row],[Overarching Protection - old]])/tblPiNHistorical[[#This Row],[Overarching Protection - old]], 1), "")</f>
        <v>0.4</v>
      </c>
      <c r="AO120" s="315">
        <f>IFERROR(ROUND((tblPiNHistorical[[#This Row],[Shelter - new]]-tblPiNHistorical[[#This Row],[Shelter - old]])/tblPiNHistorical[[#This Row],[Shelter - old]], 1), "")</f>
        <v>5.2</v>
      </c>
      <c r="AP120" s="37">
        <f>IFERROR(ROUND((tblPiNHistorical[[#This Row],[WASH - new]]-tblPiNHistorical[[#This Row],[WASH - old]])/tblPiNHistorical[[#This Row],[WASH - old]], 1), "")</f>
        <v>-0.6</v>
      </c>
    </row>
    <row r="121" spans="1:42">
      <c r="A12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Global_PopulationHT0833</v>
      </c>
      <c r="B121" s="304" t="s">
        <v>383</v>
      </c>
      <c r="C121" s="213" t="s">
        <v>384</v>
      </c>
      <c r="D121" s="213" t="s">
        <v>405</v>
      </c>
      <c r="E121" s="103" t="s">
        <v>406</v>
      </c>
      <c r="F121" s="99"/>
      <c r="G121" s="34"/>
      <c r="H121" s="331"/>
      <c r="I121" s="96">
        <v>35380</v>
      </c>
      <c r="J121" s="241" t="s">
        <v>156</v>
      </c>
      <c r="K121" s="305">
        <v>5093</v>
      </c>
      <c r="L121" s="306">
        <v>3992</v>
      </c>
      <c r="M121" s="308">
        <v>2892</v>
      </c>
      <c r="N121" s="308">
        <v>20642</v>
      </c>
      <c r="O121" s="308">
        <v>15400</v>
      </c>
      <c r="P121" s="308">
        <v>6183</v>
      </c>
      <c r="Q121" s="309">
        <v>20165</v>
      </c>
      <c r="R121" s="308">
        <v>13774.369160387987</v>
      </c>
      <c r="S121" s="308">
        <f>IFERROR(INDEX(tblPiNAnalysis[CCCM], MATCH(tblPiNHistorical[[#This Row],[ID]], tblPiNAnalysis[ID], 0)), "")</f>
        <v>7359</v>
      </c>
      <c r="T121" s="310">
        <f>IFERROR(INDEX(tblPiNAnalysis[Education], MATCH(tblPiNHistorical[[#This Row],[ID]], tblPiNAnalysis[ID], 0)), "")</f>
        <v>3261</v>
      </c>
      <c r="U121" s="308">
        <f>IFERROR(INDEX(tblPiNAnalysis[Nutrition], MATCH(tblPiNHistorical[[#This Row],[ID]], tblPiNAnalysis[ID], 0)), "")</f>
        <v>3129</v>
      </c>
      <c r="V121" s="308">
        <f>IFERROR(INDEX(tblPiNAnalysis[Food Security], MATCH(tblPiNHistorical[[#This Row],[ID]], tblPiNAnalysis[ID], 0)), "")</f>
        <v>23077</v>
      </c>
      <c r="W121" s="308">
        <f>IFERROR(INDEX(tblPiNAnalysis[Health], MATCH(tblPiNHistorical[[#This Row],[ID]], tblPiNAnalysis[ID], 0)), "")</f>
        <v>8062.6266278026897</v>
      </c>
      <c r="X121" s="308">
        <f>IFERROR(INDEX(tblPiNAnalysis[Protection], MATCH(tblPiNHistorical[[#This Row],[ID]], tblPiNAnalysis[ID], 0)), "")</f>
        <v>5374.4769230769243</v>
      </c>
      <c r="Y121" s="308">
        <f>IFERROR(INDEX(tblPiNAnalysis[Shelter], MATCH(tblPiNHistorical[[#This Row],[ID]], tblPiNAnalysis[ID], 0)), "")</f>
        <v>20764</v>
      </c>
      <c r="Z121" s="308">
        <f>IFERROR(INDEX(tblPiNAnalysis[WASH], MATCH(tblPiNHistorical[[#This Row],[ID]], tblPiNAnalysis[ID], 0)), "")</f>
        <v>4969</v>
      </c>
      <c r="AA121" s="311">
        <f>IF(OR(tblPiNHistorical[[#This Row],[CCCM - old]]="", tblPiNHistorical[[#This Row],[CCCM - old]]=0, tblPiNHistorical[[#This Row],[CCCM - new]]="", tblPiNHistorical[[#This Row],[CCCM - new]]=0), "", tblPiNHistorical[[#This Row],[CCCM - new]]-tblPiNHistorical[[#This Row],[CCCM - old]])</f>
        <v>2266</v>
      </c>
      <c r="AB121" s="312">
        <f>IF(OR(tblPiNHistorical[[#This Row],[Education - old]]="", tblPiNHistorical[[#This Row],[Education - old]]=0, tblPiNHistorical[[#This Row],[Education - new]]="", tblPiNHistorical[[#This Row],[Education - new]]=0), "", tblPiNHistorical[[#This Row],[Education - new]]-tblPiNHistorical[[#This Row],[Education - old]])</f>
        <v>-731</v>
      </c>
      <c r="AC121" s="312">
        <f>IF(OR(tblPiNHistorical[[#This Row],[Nutrition - old]]="", tblPiNHistorical[[#This Row],[Nutrition - old]]=0, tblPiNHistorical[[#This Row],[Nutrition - new]]="", tblPiNHistorical[[#This Row],[Nutrition - new]]=0), "", tblPiNHistorical[[#This Row],[Nutrition - new]]-tblPiNHistorical[[#This Row],[Nutrition - old]])</f>
        <v>237</v>
      </c>
      <c r="AD121" s="312">
        <f>IF(OR(tblPiNHistorical[[#This Row],[Food Security - old]]="", tblPiNHistorical[[#This Row],[Food Security - old]]=0, tblPiNHistorical[[#This Row],[Food Security - new]]="", tblPiNHistorical[[#This Row],[Food Security - new]]=0), "", tblPiNHistorical[[#This Row],[Food Security - new]]-tblPiNHistorical[[#This Row],[Food Security - old]])</f>
        <v>2435</v>
      </c>
      <c r="AE121" s="312">
        <f>IF(OR(tblPiNHistorical[[#This Row],[Health - old]]="", tblPiNHistorical[[#This Row],[Health - old]]=0, tblPiNHistorical[[#This Row],[Health - new]]="", tblPiNHistorical[[#This Row],[Health - new]]=0), "", tblPiNHistorical[[#This Row],[Health - new]]-tblPiNHistorical[[#This Row],[Health - old]])</f>
        <v>-7337.3733721973103</v>
      </c>
      <c r="AF12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-808.52307692307568</v>
      </c>
      <c r="AG121" s="312">
        <f>IF(OR(tblPiNHistorical[[#This Row],[Shelter - old]]="", tblPiNHistorical[[#This Row],[Shelter - old]]=0, tblPiNHistorical[[#This Row],[Shelter - new]]="", tblPiNHistorical[[#This Row],[Shelter - new]]=0), "", tblPiNHistorical[[#This Row],[Shelter - new]]-tblPiNHistorical[[#This Row],[Shelter - old]])</f>
        <v>599</v>
      </c>
      <c r="AH121" s="313">
        <f>IF(OR(tblPiNHistorical[[#This Row],[WASH - old]]="", tblPiNHistorical[[#This Row],[WASH - old]]=0, tblPiNHistorical[[#This Row],[WASH - new]]="", tblPiNHistorical[[#This Row],[WASH - new]]=0), "", tblPiNHistorical[[#This Row],[WASH - new]]-tblPiNHistorical[[#This Row],[WASH - old]])</f>
        <v>-8805.369160387987</v>
      </c>
      <c r="AI121" s="314">
        <f>IFERROR(ROUND((tblPiNHistorical[[#This Row],[CCCM - new]] - tblPiNHistorical[[#This Row],[CCCM - old]])/tblPiNHistorical[[#This Row],[CCCM - old]], 1), "")</f>
        <v>0.4</v>
      </c>
      <c r="AJ121" s="315">
        <f>IFERROR(ROUND((tblPiNHistorical[[#This Row],[Education - new]]-tblPiNHistorical[[#This Row],[Education - old]])/tblPiNHistorical[[#This Row],[Education - old]], 1), "")</f>
        <v>-0.2</v>
      </c>
      <c r="AK121" s="315">
        <f>IFERROR(ROUND((tblPiNHistorical[[#This Row],[Nutrition - new]]-tblPiNHistorical[[#This Row],[Nutrition - old]])/tblPiNHistorical[[#This Row],[Nutrition - old]], 1), "")</f>
        <v>0.1</v>
      </c>
      <c r="AL121" s="315">
        <f>IFERROR(ROUND((tblPiNHistorical[[#This Row],[Food Security - new]]-tblPiNHistorical[[#This Row],[Food Security - old]])/tblPiNHistorical[[#This Row],[Food Security - old]], 1), "")</f>
        <v>0.1</v>
      </c>
      <c r="AM121" s="315">
        <f>IFERROR(ROUND((tblPiNHistorical[[#This Row],[Health - new]]-tblPiNHistorical[[#This Row],[Health - old]])/tblPiNHistorical[[#This Row],[Health - old]], 1), "")</f>
        <v>-0.5</v>
      </c>
      <c r="AN121" s="315">
        <f>IFERROR(ROUND((tblPiNHistorical[[#This Row],[Overarching Protection - new]]-tblPiNHistorical[[#This Row],[Overarching Protection - old]])/tblPiNHistorical[[#This Row],[Overarching Protection - old]], 1), "")</f>
        <v>-0.1</v>
      </c>
      <c r="AO121" s="315">
        <f>IFERROR(ROUND((tblPiNHistorical[[#This Row],[Shelter - new]]-tblPiNHistorical[[#This Row],[Shelter - old]])/tblPiNHistorical[[#This Row],[Shelter - old]], 1), "")</f>
        <v>0</v>
      </c>
      <c r="AP121" s="37">
        <f>IFERROR(ROUND((tblPiNHistorical[[#This Row],[WASH - new]]-tblPiNHistorical[[#This Row],[WASH - old]])/tblPiNHistorical[[#This Row],[WASH - old]], 1), "")</f>
        <v>-0.6</v>
      </c>
    </row>
    <row r="122" spans="1:42">
      <c r="A12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Global_PopulationHT0834</v>
      </c>
      <c r="B122" s="304" t="s">
        <v>383</v>
      </c>
      <c r="C122" s="213" t="s">
        <v>384</v>
      </c>
      <c r="D122" s="213" t="s">
        <v>407</v>
      </c>
      <c r="E122" s="103" t="s">
        <v>408</v>
      </c>
      <c r="F122" s="99"/>
      <c r="G122" s="34"/>
      <c r="H122" s="331"/>
      <c r="I122" s="96">
        <v>48575</v>
      </c>
      <c r="J122" s="241" t="s">
        <v>156</v>
      </c>
      <c r="K122" s="305">
        <v>5045</v>
      </c>
      <c r="L122" s="306">
        <v>5545</v>
      </c>
      <c r="M122" s="308">
        <v>4047</v>
      </c>
      <c r="N122" s="308">
        <v>27962</v>
      </c>
      <c r="O122" s="308">
        <v>18231</v>
      </c>
      <c r="P122" s="308">
        <v>8703</v>
      </c>
      <c r="Q122" s="309">
        <v>24221</v>
      </c>
      <c r="R122" s="308">
        <v>18130.888101505359</v>
      </c>
      <c r="S122" s="308">
        <f>IFERROR(INDEX(tblPiNAnalysis[CCCM], MATCH(tblPiNHistorical[[#This Row],[ID]], tblPiNAnalysis[ID], 0)), "")</f>
        <v>26437.5</v>
      </c>
      <c r="T122" s="310">
        <f>IFERROR(INDEX(tblPiNAnalysis[Education], MATCH(tblPiNHistorical[[#This Row],[ID]], tblPiNAnalysis[ID], 0)), "")</f>
        <v>4535</v>
      </c>
      <c r="U122" s="308">
        <f>IFERROR(INDEX(tblPiNAnalysis[Nutrition], MATCH(tblPiNHistorical[[#This Row],[ID]], tblPiNAnalysis[ID], 0)), "")</f>
        <v>5492</v>
      </c>
      <c r="V122" s="308">
        <f>IFERROR(INDEX(tblPiNAnalysis[Food Security], MATCH(tblPiNHistorical[[#This Row],[ID]], tblPiNAnalysis[ID], 0)), "")</f>
        <v>31135</v>
      </c>
      <c r="W122" s="308">
        <f>IFERROR(INDEX(tblPiNAnalysis[Health], MATCH(tblPiNHistorical[[#This Row],[ID]], tblPiNAnalysis[ID], 0)), "")</f>
        <v>30145.287036676797</v>
      </c>
      <c r="X122" s="308">
        <f>IFERROR(INDEX(tblPiNAnalysis[Protection], MATCH(tblPiNHistorical[[#This Row],[ID]], tblPiNAnalysis[ID], 0)), "")</f>
        <v>24513.255000000001</v>
      </c>
      <c r="Y122" s="308">
        <f>IFERROR(INDEX(tblPiNAnalysis[Shelter], MATCH(tblPiNHistorical[[#This Row],[ID]], tblPiNAnalysis[ID], 0)), "")</f>
        <v>39291</v>
      </c>
      <c r="Z122" s="308">
        <f>IFERROR(INDEX(tblPiNAnalysis[WASH], MATCH(tblPiNHistorical[[#This Row],[ID]], tblPiNAnalysis[ID], 0)), "")</f>
        <v>17625</v>
      </c>
      <c r="AA122" s="311">
        <f>IF(OR(tblPiNHistorical[[#This Row],[CCCM - old]]="", tblPiNHistorical[[#This Row],[CCCM - old]]=0, tblPiNHistorical[[#This Row],[CCCM - new]]="", tblPiNHistorical[[#This Row],[CCCM - new]]=0), "", tblPiNHistorical[[#This Row],[CCCM - new]]-tblPiNHistorical[[#This Row],[CCCM - old]])</f>
        <v>21392.5</v>
      </c>
      <c r="AB122" s="312">
        <f>IF(OR(tblPiNHistorical[[#This Row],[Education - old]]="", tblPiNHistorical[[#This Row],[Education - old]]=0, tblPiNHistorical[[#This Row],[Education - new]]="", tblPiNHistorical[[#This Row],[Education - new]]=0), "", tblPiNHistorical[[#This Row],[Education - new]]-tblPiNHistorical[[#This Row],[Education - old]])</f>
        <v>-1010</v>
      </c>
      <c r="AC122" s="312">
        <f>IF(OR(tblPiNHistorical[[#This Row],[Nutrition - old]]="", tblPiNHistorical[[#This Row],[Nutrition - old]]=0, tblPiNHistorical[[#This Row],[Nutrition - new]]="", tblPiNHistorical[[#This Row],[Nutrition - new]]=0), "", tblPiNHistorical[[#This Row],[Nutrition - new]]-tblPiNHistorical[[#This Row],[Nutrition - old]])</f>
        <v>1445</v>
      </c>
      <c r="AD122" s="312">
        <f>IF(OR(tblPiNHistorical[[#This Row],[Food Security - old]]="", tblPiNHistorical[[#This Row],[Food Security - old]]=0, tblPiNHistorical[[#This Row],[Food Security - new]]="", tblPiNHistorical[[#This Row],[Food Security - new]]=0), "", tblPiNHistorical[[#This Row],[Food Security - new]]-tblPiNHistorical[[#This Row],[Food Security - old]])</f>
        <v>3173</v>
      </c>
      <c r="AE122" s="312">
        <f>IF(OR(tblPiNHistorical[[#This Row],[Health - old]]="", tblPiNHistorical[[#This Row],[Health - old]]=0, tblPiNHistorical[[#This Row],[Health - new]]="", tblPiNHistorical[[#This Row],[Health - new]]=0), "", tblPiNHistorical[[#This Row],[Health - new]]-tblPiNHistorical[[#This Row],[Health - old]])</f>
        <v>11914.287036676797</v>
      </c>
      <c r="AF12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15810.255000000001</v>
      </c>
      <c r="AG122" s="312">
        <f>IF(OR(tblPiNHistorical[[#This Row],[Shelter - old]]="", tblPiNHistorical[[#This Row],[Shelter - old]]=0, tblPiNHistorical[[#This Row],[Shelter - new]]="", tblPiNHistorical[[#This Row],[Shelter - new]]=0), "", tblPiNHistorical[[#This Row],[Shelter - new]]-tblPiNHistorical[[#This Row],[Shelter - old]])</f>
        <v>15070</v>
      </c>
      <c r="AH122" s="313">
        <f>IF(OR(tblPiNHistorical[[#This Row],[WASH - old]]="", tblPiNHistorical[[#This Row],[WASH - old]]=0, tblPiNHistorical[[#This Row],[WASH - new]]="", tblPiNHistorical[[#This Row],[WASH - new]]=0), "", tblPiNHistorical[[#This Row],[WASH - new]]-tblPiNHistorical[[#This Row],[WASH - old]])</f>
        <v>-505.88810150535937</v>
      </c>
      <c r="AI122" s="314">
        <f>IFERROR(ROUND((tblPiNHistorical[[#This Row],[CCCM - new]] - tblPiNHistorical[[#This Row],[CCCM - old]])/tblPiNHistorical[[#This Row],[CCCM - old]], 1), "")</f>
        <v>4.2</v>
      </c>
      <c r="AJ122" s="315">
        <f>IFERROR(ROUND((tblPiNHistorical[[#This Row],[Education - new]]-tblPiNHistorical[[#This Row],[Education - old]])/tblPiNHistorical[[#This Row],[Education - old]], 1), "")</f>
        <v>-0.2</v>
      </c>
      <c r="AK122" s="315">
        <f>IFERROR(ROUND((tblPiNHistorical[[#This Row],[Nutrition - new]]-tblPiNHistorical[[#This Row],[Nutrition - old]])/tblPiNHistorical[[#This Row],[Nutrition - old]], 1), "")</f>
        <v>0.4</v>
      </c>
      <c r="AL122" s="315">
        <f>IFERROR(ROUND((tblPiNHistorical[[#This Row],[Food Security - new]]-tblPiNHistorical[[#This Row],[Food Security - old]])/tblPiNHistorical[[#This Row],[Food Security - old]], 1), "")</f>
        <v>0.1</v>
      </c>
      <c r="AM122" s="315">
        <f>IFERROR(ROUND((tblPiNHistorical[[#This Row],[Health - new]]-tblPiNHistorical[[#This Row],[Health - old]])/tblPiNHistorical[[#This Row],[Health - old]], 1), "")</f>
        <v>0.7</v>
      </c>
      <c r="AN122" s="315">
        <f>IFERROR(ROUND((tblPiNHistorical[[#This Row],[Overarching Protection - new]]-tblPiNHistorical[[#This Row],[Overarching Protection - old]])/tblPiNHistorical[[#This Row],[Overarching Protection - old]], 1), "")</f>
        <v>1.8</v>
      </c>
      <c r="AO122" s="315">
        <f>IFERROR(ROUND((tblPiNHistorical[[#This Row],[Shelter - new]]-tblPiNHistorical[[#This Row],[Shelter - old]])/tblPiNHistorical[[#This Row],[Shelter - old]], 1), "")</f>
        <v>0.6</v>
      </c>
      <c r="AP122" s="37">
        <f>IFERROR(ROUND((tblPiNHistorical[[#This Row],[WASH - new]]-tblPiNHistorical[[#This Row],[WASH - old]])/tblPiNHistorical[[#This Row],[WASH - old]], 1), "")</f>
        <v>0</v>
      </c>
    </row>
    <row r="123" spans="1:42">
      <c r="A12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Global_PopulationHT0911</v>
      </c>
      <c r="B123" s="304" t="s">
        <v>409</v>
      </c>
      <c r="C123" s="213" t="s">
        <v>410</v>
      </c>
      <c r="D123" s="213" t="s">
        <v>411</v>
      </c>
      <c r="E123" s="103" t="s">
        <v>412</v>
      </c>
      <c r="F123" s="99"/>
      <c r="G123" s="34"/>
      <c r="H123" s="331"/>
      <c r="I123" s="96">
        <v>210942</v>
      </c>
      <c r="J123" s="241" t="s">
        <v>156</v>
      </c>
      <c r="K123" s="305">
        <v>753</v>
      </c>
      <c r="L123" s="306">
        <v>28509</v>
      </c>
      <c r="M123" s="308">
        <v>19072</v>
      </c>
      <c r="N123" s="308">
        <v>138288</v>
      </c>
      <c r="O123" s="308">
        <v>55681</v>
      </c>
      <c r="P123" s="308">
        <v>45987</v>
      </c>
      <c r="Q123" s="309">
        <v>60704</v>
      </c>
      <c r="R123" s="308">
        <v>39298.704105336612</v>
      </c>
      <c r="S123" s="308">
        <f>IFERROR(INDEX(tblPiNAnalysis[CCCM], MATCH(tblPiNHistorical[[#This Row],[ID]], tblPiNAnalysis[ID], 0)), "")</f>
        <v>1375.5</v>
      </c>
      <c r="T123" s="310">
        <f>IFERROR(INDEX(tblPiNAnalysis[Education], MATCH(tblPiNHistorical[[#This Row],[ID]], tblPiNAnalysis[ID], 0)), "")</f>
        <v>29957</v>
      </c>
      <c r="U123" s="308">
        <f>IFERROR(INDEX(tblPiNAnalysis[Nutrition], MATCH(tblPiNHistorical[[#This Row],[ID]], tblPiNAnalysis[ID], 0)), "")</f>
        <v>19140</v>
      </c>
      <c r="V123" s="308">
        <f>IFERROR(INDEX(tblPiNAnalysis[Food Security], MATCH(tblPiNHistorical[[#This Row],[ID]], tblPiNAnalysis[ID], 0)), "")</f>
        <v>145340</v>
      </c>
      <c r="W123" s="308">
        <f>IFERROR(INDEX(tblPiNAnalysis[Health], MATCH(tblPiNHistorical[[#This Row],[ID]], tblPiNAnalysis[ID], 0)), "")</f>
        <v>6104.804923009815</v>
      </c>
      <c r="X123" s="308">
        <f>IFERROR(INDEX(tblPiNAnalysis[Protection], MATCH(tblPiNHistorical[[#This Row],[ID]], tblPiNAnalysis[ID], 0)), "")</f>
        <v>12694.867524752473</v>
      </c>
      <c r="Y123" s="308">
        <f>IFERROR(INDEX(tblPiNAnalysis[Shelter], MATCH(tblPiNHistorical[[#This Row],[ID]], tblPiNAnalysis[ID], 0)), "")</f>
        <v>125354</v>
      </c>
      <c r="Z123" s="308">
        <f>IFERROR(INDEX(tblPiNAnalysis[WASH], MATCH(tblPiNHistorical[[#This Row],[ID]], tblPiNAnalysis[ID], 0)), "")</f>
        <v>58478.970297029693</v>
      </c>
      <c r="AA123" s="311">
        <f>IF(OR(tblPiNHistorical[[#This Row],[CCCM - old]]="", tblPiNHistorical[[#This Row],[CCCM - old]]=0, tblPiNHistorical[[#This Row],[CCCM - new]]="", tblPiNHistorical[[#This Row],[CCCM - new]]=0), "", tblPiNHistorical[[#This Row],[CCCM - new]]-tblPiNHistorical[[#This Row],[CCCM - old]])</f>
        <v>622.5</v>
      </c>
      <c r="AB123" s="312">
        <f>IF(OR(tblPiNHistorical[[#This Row],[Education - old]]="", tblPiNHistorical[[#This Row],[Education - old]]=0, tblPiNHistorical[[#This Row],[Education - new]]="", tblPiNHistorical[[#This Row],[Education - new]]=0), "", tblPiNHistorical[[#This Row],[Education - new]]-tblPiNHistorical[[#This Row],[Education - old]])</f>
        <v>1448</v>
      </c>
      <c r="AC123" s="312">
        <f>IF(OR(tblPiNHistorical[[#This Row],[Nutrition - old]]="", tblPiNHistorical[[#This Row],[Nutrition - old]]=0, tblPiNHistorical[[#This Row],[Nutrition - new]]="", tblPiNHistorical[[#This Row],[Nutrition - new]]=0), "", tblPiNHistorical[[#This Row],[Nutrition - new]]-tblPiNHistorical[[#This Row],[Nutrition - old]])</f>
        <v>68</v>
      </c>
      <c r="AD123" s="312">
        <f>IF(OR(tblPiNHistorical[[#This Row],[Food Security - old]]="", tblPiNHistorical[[#This Row],[Food Security - old]]=0, tblPiNHistorical[[#This Row],[Food Security - new]]="", tblPiNHistorical[[#This Row],[Food Security - new]]=0), "", tblPiNHistorical[[#This Row],[Food Security - new]]-tblPiNHistorical[[#This Row],[Food Security - old]])</f>
        <v>7052</v>
      </c>
      <c r="AE123" s="312">
        <f>IF(OR(tblPiNHistorical[[#This Row],[Health - old]]="", tblPiNHistorical[[#This Row],[Health - old]]=0, tblPiNHistorical[[#This Row],[Health - new]]="", tblPiNHistorical[[#This Row],[Health - new]]=0), "", tblPiNHistorical[[#This Row],[Health - new]]-tblPiNHistorical[[#This Row],[Health - old]])</f>
        <v>-49576.195076990189</v>
      </c>
      <c r="AF12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-33292.132475247527</v>
      </c>
      <c r="AG123" s="312">
        <f>IF(OR(tblPiNHistorical[[#This Row],[Shelter - old]]="", tblPiNHistorical[[#This Row],[Shelter - old]]=0, tblPiNHistorical[[#This Row],[Shelter - new]]="", tblPiNHistorical[[#This Row],[Shelter - new]]=0), "", tblPiNHistorical[[#This Row],[Shelter - new]]-tblPiNHistorical[[#This Row],[Shelter - old]])</f>
        <v>64650</v>
      </c>
      <c r="AH123" s="313">
        <f>IF(OR(tblPiNHistorical[[#This Row],[WASH - old]]="", tblPiNHistorical[[#This Row],[WASH - old]]=0, tblPiNHistorical[[#This Row],[WASH - new]]="", tblPiNHistorical[[#This Row],[WASH - new]]=0), "", tblPiNHistorical[[#This Row],[WASH - new]]-tblPiNHistorical[[#This Row],[WASH - old]])</f>
        <v>19180.266191693081</v>
      </c>
      <c r="AI123" s="314">
        <f>IFERROR(ROUND((tblPiNHistorical[[#This Row],[CCCM - new]] - tblPiNHistorical[[#This Row],[CCCM - old]])/tblPiNHistorical[[#This Row],[CCCM - old]], 1), "")</f>
        <v>0.8</v>
      </c>
      <c r="AJ123" s="315">
        <f>IFERROR(ROUND((tblPiNHistorical[[#This Row],[Education - new]]-tblPiNHistorical[[#This Row],[Education - old]])/tblPiNHistorical[[#This Row],[Education - old]], 1), "")</f>
        <v>0.1</v>
      </c>
      <c r="AK123" s="315">
        <f>IFERROR(ROUND((tblPiNHistorical[[#This Row],[Nutrition - new]]-tblPiNHistorical[[#This Row],[Nutrition - old]])/tblPiNHistorical[[#This Row],[Nutrition - old]], 1), "")</f>
        <v>0</v>
      </c>
      <c r="AL123" s="315">
        <f>IFERROR(ROUND((tblPiNHistorical[[#This Row],[Food Security - new]]-tblPiNHistorical[[#This Row],[Food Security - old]])/tblPiNHistorical[[#This Row],[Food Security - old]], 1), "")</f>
        <v>0.1</v>
      </c>
      <c r="AM123" s="315">
        <f>IFERROR(ROUND((tblPiNHistorical[[#This Row],[Health - new]]-tblPiNHistorical[[#This Row],[Health - old]])/tblPiNHistorical[[#This Row],[Health - old]], 1), "")</f>
        <v>-0.9</v>
      </c>
      <c r="AN123" s="315">
        <f>IFERROR(ROUND((tblPiNHistorical[[#This Row],[Overarching Protection - new]]-tblPiNHistorical[[#This Row],[Overarching Protection - old]])/tblPiNHistorical[[#This Row],[Overarching Protection - old]], 1), "")</f>
        <v>-0.7</v>
      </c>
      <c r="AO123" s="315">
        <f>IFERROR(ROUND((tblPiNHistorical[[#This Row],[Shelter - new]]-tblPiNHistorical[[#This Row],[Shelter - old]])/tblPiNHistorical[[#This Row],[Shelter - old]], 1), "")</f>
        <v>1.1000000000000001</v>
      </c>
      <c r="AP123" s="37">
        <f>IFERROR(ROUND((tblPiNHistorical[[#This Row],[WASH - new]]-tblPiNHistorical[[#This Row],[WASH - old]])/tblPiNHistorical[[#This Row],[WASH - old]], 1), "")</f>
        <v>0.5</v>
      </c>
    </row>
    <row r="124" spans="1:42">
      <c r="A12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Global_PopulationHT0912</v>
      </c>
      <c r="B124" s="304" t="s">
        <v>409</v>
      </c>
      <c r="C124" s="213" t="s">
        <v>410</v>
      </c>
      <c r="D124" s="213" t="s">
        <v>413</v>
      </c>
      <c r="E124" s="103" t="s">
        <v>414</v>
      </c>
      <c r="F124" s="99"/>
      <c r="G124" s="34"/>
      <c r="H124" s="331"/>
      <c r="I124" s="96">
        <v>40156</v>
      </c>
      <c r="J124" s="241" t="s">
        <v>156</v>
      </c>
      <c r="K124" s="305">
        <v>89</v>
      </c>
      <c r="L124" s="306">
        <v>5630</v>
      </c>
      <c r="M124" s="308">
        <v>3376</v>
      </c>
      <c r="N124" s="308">
        <v>25406</v>
      </c>
      <c r="O124" s="308">
        <v>9726</v>
      </c>
      <c r="P124" s="308">
        <v>5590</v>
      </c>
      <c r="Q124" s="309">
        <v>0</v>
      </c>
      <c r="R124" s="308">
        <v>3420.4734351117936</v>
      </c>
      <c r="S124" s="308">
        <f>IFERROR(INDEX(tblPiNAnalysis[CCCM], MATCH(tblPiNHistorical[[#This Row],[ID]], tblPiNAnalysis[ID], 0)), "")</f>
        <v>232.5</v>
      </c>
      <c r="T124" s="310">
        <f>IFERROR(INDEX(tblPiNAnalysis[Education], MATCH(tblPiNHistorical[[#This Row],[ID]], tblPiNAnalysis[ID], 0)), "")</f>
        <v>6153</v>
      </c>
      <c r="U124" s="308">
        <f>IFERROR(INDEX(tblPiNAnalysis[Nutrition], MATCH(tblPiNHistorical[[#This Row],[ID]], tblPiNAnalysis[ID], 0)), "")</f>
        <v>3388</v>
      </c>
      <c r="V124" s="308">
        <f>IFERROR(INDEX(tblPiNAnalysis[Food Security], MATCH(tblPiNHistorical[[#This Row],[ID]], tblPiNAnalysis[ID], 0)), "")</f>
        <v>28112</v>
      </c>
      <c r="W124" s="308">
        <f>IFERROR(INDEX(tblPiNAnalysis[Health], MATCH(tblPiNHistorical[[#This Row],[ID]], tblPiNAnalysis[ID], 0)), "")</f>
        <v>815.9592322580645</v>
      </c>
      <c r="X124" s="308">
        <f>IFERROR(INDEX(tblPiNAnalysis[Protection], MATCH(tblPiNHistorical[[#This Row],[ID]], tblPiNAnalysis[ID], 0)), "")</f>
        <v>1663.4799999999998</v>
      </c>
      <c r="Y124" s="308">
        <f>IFERROR(INDEX(tblPiNAnalysis[Shelter], MATCH(tblPiNHistorical[[#This Row],[ID]], tblPiNAnalysis[ID], 0)), "")</f>
        <v>23808</v>
      </c>
      <c r="Z124" s="308">
        <f>IFERROR(INDEX(tblPiNAnalysis[WASH], MATCH(tblPiNHistorical[[#This Row],[ID]], tblPiNAnalysis[ID], 0)), "")</f>
        <v>30117</v>
      </c>
      <c r="AA124" s="311">
        <f>IF(OR(tblPiNHistorical[[#This Row],[CCCM - old]]="", tblPiNHistorical[[#This Row],[CCCM - old]]=0, tblPiNHistorical[[#This Row],[CCCM - new]]="", tblPiNHistorical[[#This Row],[CCCM - new]]=0), "", tblPiNHistorical[[#This Row],[CCCM - new]]-tblPiNHistorical[[#This Row],[CCCM - old]])</f>
        <v>143.5</v>
      </c>
      <c r="AB124" s="312">
        <f>IF(OR(tblPiNHistorical[[#This Row],[Education - old]]="", tblPiNHistorical[[#This Row],[Education - old]]=0, tblPiNHistorical[[#This Row],[Education - new]]="", tblPiNHistorical[[#This Row],[Education - new]]=0), "", tblPiNHistorical[[#This Row],[Education - new]]-tblPiNHistorical[[#This Row],[Education - old]])</f>
        <v>523</v>
      </c>
      <c r="AC124" s="312">
        <f>IF(OR(tblPiNHistorical[[#This Row],[Nutrition - old]]="", tblPiNHistorical[[#This Row],[Nutrition - old]]=0, tblPiNHistorical[[#This Row],[Nutrition - new]]="", tblPiNHistorical[[#This Row],[Nutrition - new]]=0), "", tblPiNHistorical[[#This Row],[Nutrition - new]]-tblPiNHistorical[[#This Row],[Nutrition - old]])</f>
        <v>12</v>
      </c>
      <c r="AD124" s="312">
        <f>IF(OR(tblPiNHistorical[[#This Row],[Food Security - old]]="", tblPiNHistorical[[#This Row],[Food Security - old]]=0, tblPiNHistorical[[#This Row],[Food Security - new]]="", tblPiNHistorical[[#This Row],[Food Security - new]]=0), "", tblPiNHistorical[[#This Row],[Food Security - new]]-tblPiNHistorical[[#This Row],[Food Security - old]])</f>
        <v>2706</v>
      </c>
      <c r="AE124" s="312">
        <f>IF(OR(tblPiNHistorical[[#This Row],[Health - old]]="", tblPiNHistorical[[#This Row],[Health - old]]=0, tblPiNHistorical[[#This Row],[Health - new]]="", tblPiNHistorical[[#This Row],[Health - new]]=0), "", tblPiNHistorical[[#This Row],[Health - new]]-tblPiNHistorical[[#This Row],[Health - old]])</f>
        <v>-8910.0407677419353</v>
      </c>
      <c r="AF12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-3926.5200000000004</v>
      </c>
      <c r="AG124" s="312" t="str">
        <f>IF(OR(tblPiNHistorical[[#This Row],[Shelter - old]]="", tblPiNHistorical[[#This Row],[Shelter - old]]=0, tblPiNHistorical[[#This Row],[Shelter - new]]="", tblPiNHistorical[[#This Row],[Shelter - new]]=0), "", tblPiNHistorical[[#This Row],[Shelter - new]]-tblPiNHistorical[[#This Row],[Shelter - old]])</f>
        <v/>
      </c>
      <c r="AH124" s="313">
        <f>IF(OR(tblPiNHistorical[[#This Row],[WASH - old]]="", tblPiNHistorical[[#This Row],[WASH - old]]=0, tblPiNHistorical[[#This Row],[WASH - new]]="", tblPiNHistorical[[#This Row],[WASH - new]]=0), "", tblPiNHistorical[[#This Row],[WASH - new]]-tblPiNHistorical[[#This Row],[WASH - old]])</f>
        <v>26696.526564888205</v>
      </c>
      <c r="AI124" s="314">
        <f>IFERROR(ROUND((tblPiNHistorical[[#This Row],[CCCM - new]] - tblPiNHistorical[[#This Row],[CCCM - old]])/tblPiNHistorical[[#This Row],[CCCM - old]], 1), "")</f>
        <v>1.6</v>
      </c>
      <c r="AJ124" s="315">
        <f>IFERROR(ROUND((tblPiNHistorical[[#This Row],[Education - new]]-tblPiNHistorical[[#This Row],[Education - old]])/tblPiNHistorical[[#This Row],[Education - old]], 1), "")</f>
        <v>0.1</v>
      </c>
      <c r="AK124" s="315">
        <f>IFERROR(ROUND((tblPiNHistorical[[#This Row],[Nutrition - new]]-tblPiNHistorical[[#This Row],[Nutrition - old]])/tblPiNHistorical[[#This Row],[Nutrition - old]], 1), "")</f>
        <v>0</v>
      </c>
      <c r="AL124" s="315">
        <f>IFERROR(ROUND((tblPiNHistorical[[#This Row],[Food Security - new]]-tblPiNHistorical[[#This Row],[Food Security - old]])/tblPiNHistorical[[#This Row],[Food Security - old]], 1), "")</f>
        <v>0.1</v>
      </c>
      <c r="AM124" s="315">
        <f>IFERROR(ROUND((tblPiNHistorical[[#This Row],[Health - new]]-tblPiNHistorical[[#This Row],[Health - old]])/tblPiNHistorical[[#This Row],[Health - old]], 1), "")</f>
        <v>-0.9</v>
      </c>
      <c r="AN124" s="315">
        <f>IFERROR(ROUND((tblPiNHistorical[[#This Row],[Overarching Protection - new]]-tblPiNHistorical[[#This Row],[Overarching Protection - old]])/tblPiNHistorical[[#This Row],[Overarching Protection - old]], 1), "")</f>
        <v>-0.7</v>
      </c>
      <c r="AO124" s="315" t="str">
        <f>IFERROR(ROUND((tblPiNHistorical[[#This Row],[Shelter - new]]-tblPiNHistorical[[#This Row],[Shelter - old]])/tblPiNHistorical[[#This Row],[Shelter - old]], 1), "")</f>
        <v/>
      </c>
      <c r="AP124" s="37">
        <f>IFERROR(ROUND((tblPiNHistorical[[#This Row],[WASH - new]]-tblPiNHistorical[[#This Row],[WASH - old]])/tblPiNHistorical[[#This Row],[WASH - old]], 1), "")</f>
        <v>7.8</v>
      </c>
    </row>
    <row r="125" spans="1:42">
      <c r="A12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Global_PopulationHT0913</v>
      </c>
      <c r="B125" s="304" t="s">
        <v>409</v>
      </c>
      <c r="C125" s="213" t="s">
        <v>410</v>
      </c>
      <c r="D125" s="213" t="s">
        <v>415</v>
      </c>
      <c r="E125" s="103" t="s">
        <v>416</v>
      </c>
      <c r="F125" s="99"/>
      <c r="G125" s="34"/>
      <c r="H125" s="331"/>
      <c r="I125" s="96">
        <v>65669</v>
      </c>
      <c r="J125" s="241" t="s">
        <v>156</v>
      </c>
      <c r="K125" s="305">
        <v>1604</v>
      </c>
      <c r="L125" s="306">
        <v>9110</v>
      </c>
      <c r="M125" s="308">
        <v>5458</v>
      </c>
      <c r="N125" s="308">
        <v>41471</v>
      </c>
      <c r="O125" s="308">
        <v>16993</v>
      </c>
      <c r="P125" s="308">
        <v>14160</v>
      </c>
      <c r="Q125" s="309">
        <v>21499</v>
      </c>
      <c r="R125" s="308">
        <v>18444.858431469918</v>
      </c>
      <c r="S125" s="308">
        <f>IFERROR(INDEX(tblPiNAnalysis[CCCM], MATCH(tblPiNHistorical[[#This Row],[ID]], tblPiNAnalysis[ID], 0)), "")</f>
        <v>2844</v>
      </c>
      <c r="T125" s="310">
        <f>IFERROR(INDEX(tblPiNAnalysis[Education], MATCH(tblPiNHistorical[[#This Row],[ID]], tblPiNAnalysis[ID], 0)), "")</f>
        <v>10106</v>
      </c>
      <c r="U125" s="308">
        <f>IFERROR(INDEX(tblPiNAnalysis[Nutrition], MATCH(tblPiNHistorical[[#This Row],[ID]], tblPiNAnalysis[ID], 0)), "")</f>
        <v>5604</v>
      </c>
      <c r="V125" s="308">
        <f>IFERROR(INDEX(tblPiNAnalysis[Food Security], MATCH(tblPiNHistorical[[#This Row],[ID]], tblPiNAnalysis[ID], 0)), "")</f>
        <v>30163</v>
      </c>
      <c r="W125" s="308">
        <f>IFERROR(INDEX(tblPiNAnalysis[Health], MATCH(tblPiNHistorical[[#This Row],[ID]], tblPiNAnalysis[ID], 0)), "")</f>
        <v>3683.6619215189876</v>
      </c>
      <c r="X125" s="308">
        <f>IFERROR(INDEX(tblPiNAnalysis[Protection], MATCH(tblPiNHistorical[[#This Row],[ID]], tblPiNAnalysis[ID], 0)), "")</f>
        <v>2680.8</v>
      </c>
      <c r="Y125" s="308">
        <f>IFERROR(INDEX(tblPiNAnalysis[Shelter], MATCH(tblPiNHistorical[[#This Row],[ID]], tblPiNAnalysis[ID], 0)), "")</f>
        <v>55600</v>
      </c>
      <c r="Z125" s="308">
        <f>IFERROR(INDEX(tblPiNAnalysis[WASH], MATCH(tblPiNHistorical[[#This Row],[ID]], tblPiNAnalysis[ID], 0)), "")</f>
        <v>55300.210526315786</v>
      </c>
      <c r="AA125" s="311">
        <f>IF(OR(tblPiNHistorical[[#This Row],[CCCM - old]]="", tblPiNHistorical[[#This Row],[CCCM - old]]=0, tblPiNHistorical[[#This Row],[CCCM - new]]="", tblPiNHistorical[[#This Row],[CCCM - new]]=0), "", tblPiNHistorical[[#This Row],[CCCM - new]]-tblPiNHistorical[[#This Row],[CCCM - old]])</f>
        <v>1240</v>
      </c>
      <c r="AB125" s="312">
        <f>IF(OR(tblPiNHistorical[[#This Row],[Education - old]]="", tblPiNHistorical[[#This Row],[Education - old]]=0, tblPiNHistorical[[#This Row],[Education - new]]="", tblPiNHistorical[[#This Row],[Education - new]]=0), "", tblPiNHistorical[[#This Row],[Education - new]]-tblPiNHistorical[[#This Row],[Education - old]])</f>
        <v>996</v>
      </c>
      <c r="AC125" s="312">
        <f>IF(OR(tblPiNHistorical[[#This Row],[Nutrition - old]]="", tblPiNHistorical[[#This Row],[Nutrition - old]]=0, tblPiNHistorical[[#This Row],[Nutrition - new]]="", tblPiNHistorical[[#This Row],[Nutrition - new]]=0), "", tblPiNHistorical[[#This Row],[Nutrition - new]]-tblPiNHistorical[[#This Row],[Nutrition - old]])</f>
        <v>146</v>
      </c>
      <c r="AD125" s="312">
        <f>IF(OR(tblPiNHistorical[[#This Row],[Food Security - old]]="", tblPiNHistorical[[#This Row],[Food Security - old]]=0, tblPiNHistorical[[#This Row],[Food Security - new]]="", tblPiNHistorical[[#This Row],[Food Security - new]]=0), "", tblPiNHistorical[[#This Row],[Food Security - new]]-tblPiNHistorical[[#This Row],[Food Security - old]])</f>
        <v>-11308</v>
      </c>
      <c r="AE125" s="312">
        <f>IF(OR(tblPiNHistorical[[#This Row],[Health - old]]="", tblPiNHistorical[[#This Row],[Health - old]]=0, tblPiNHistorical[[#This Row],[Health - new]]="", tblPiNHistorical[[#This Row],[Health - new]]=0), "", tblPiNHistorical[[#This Row],[Health - new]]-tblPiNHistorical[[#This Row],[Health - old]])</f>
        <v>-13309.338078481012</v>
      </c>
      <c r="AF12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-11479.2</v>
      </c>
      <c r="AG125" s="312">
        <f>IF(OR(tblPiNHistorical[[#This Row],[Shelter - old]]="", tblPiNHistorical[[#This Row],[Shelter - old]]=0, tblPiNHistorical[[#This Row],[Shelter - new]]="", tblPiNHistorical[[#This Row],[Shelter - new]]=0), "", tblPiNHistorical[[#This Row],[Shelter - new]]-tblPiNHistorical[[#This Row],[Shelter - old]])</f>
        <v>34101</v>
      </c>
      <c r="AH125" s="313">
        <f>IF(OR(tblPiNHistorical[[#This Row],[WASH - old]]="", tblPiNHistorical[[#This Row],[WASH - old]]=0, tblPiNHistorical[[#This Row],[WASH - new]]="", tblPiNHistorical[[#This Row],[WASH - new]]=0), "", tblPiNHistorical[[#This Row],[WASH - new]]-tblPiNHistorical[[#This Row],[WASH - old]])</f>
        <v>36855.352094845868</v>
      </c>
      <c r="AI125" s="314">
        <f>IFERROR(ROUND((tblPiNHistorical[[#This Row],[CCCM - new]] - tblPiNHistorical[[#This Row],[CCCM - old]])/tblPiNHistorical[[#This Row],[CCCM - old]], 1), "")</f>
        <v>0.8</v>
      </c>
      <c r="AJ125" s="315">
        <f>IFERROR(ROUND((tblPiNHistorical[[#This Row],[Education - new]]-tblPiNHistorical[[#This Row],[Education - old]])/tblPiNHistorical[[#This Row],[Education - old]], 1), "")</f>
        <v>0.1</v>
      </c>
      <c r="AK125" s="315">
        <f>IFERROR(ROUND((tblPiNHistorical[[#This Row],[Nutrition - new]]-tblPiNHistorical[[#This Row],[Nutrition - old]])/tblPiNHistorical[[#This Row],[Nutrition - old]], 1), "")</f>
        <v>0</v>
      </c>
      <c r="AL125" s="315">
        <f>IFERROR(ROUND((tblPiNHistorical[[#This Row],[Food Security - new]]-tblPiNHistorical[[#This Row],[Food Security - old]])/tblPiNHistorical[[#This Row],[Food Security - old]], 1), "")</f>
        <v>-0.3</v>
      </c>
      <c r="AM125" s="315">
        <f>IFERROR(ROUND((tblPiNHistorical[[#This Row],[Health - new]]-tblPiNHistorical[[#This Row],[Health - old]])/tblPiNHistorical[[#This Row],[Health - old]], 1), "")</f>
        <v>-0.8</v>
      </c>
      <c r="AN125" s="315">
        <f>IFERROR(ROUND((tblPiNHistorical[[#This Row],[Overarching Protection - new]]-tblPiNHistorical[[#This Row],[Overarching Protection - old]])/tblPiNHistorical[[#This Row],[Overarching Protection - old]], 1), "")</f>
        <v>-0.8</v>
      </c>
      <c r="AO125" s="315">
        <f>IFERROR(ROUND((tblPiNHistorical[[#This Row],[Shelter - new]]-tblPiNHistorical[[#This Row],[Shelter - old]])/tblPiNHistorical[[#This Row],[Shelter - old]], 1), "")</f>
        <v>1.6</v>
      </c>
      <c r="AP125" s="37">
        <f>IFERROR(ROUND((tblPiNHistorical[[#This Row],[WASH - new]]-tblPiNHistorical[[#This Row],[WASH - old]])/tblPiNHistorical[[#This Row],[WASH - old]], 1), "")</f>
        <v>2</v>
      </c>
    </row>
    <row r="126" spans="1:42">
      <c r="A12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Global_PopulationHT0914</v>
      </c>
      <c r="B126" s="304" t="s">
        <v>409</v>
      </c>
      <c r="C126" s="213" t="s">
        <v>410</v>
      </c>
      <c r="D126" s="213" t="s">
        <v>417</v>
      </c>
      <c r="E126" s="103" t="s">
        <v>418</v>
      </c>
      <c r="F126" s="99"/>
      <c r="G126" s="34"/>
      <c r="H126" s="331"/>
      <c r="I126" s="96">
        <v>31537</v>
      </c>
      <c r="J126" s="241" t="s">
        <v>156</v>
      </c>
      <c r="K126" s="305">
        <v>317</v>
      </c>
      <c r="L126" s="306">
        <v>4486</v>
      </c>
      <c r="M126" s="308">
        <v>2507</v>
      </c>
      <c r="N126" s="308">
        <v>19845</v>
      </c>
      <c r="O126" s="308">
        <v>7503</v>
      </c>
      <c r="P126" s="308">
        <v>2811</v>
      </c>
      <c r="Q126" s="309">
        <v>0</v>
      </c>
      <c r="R126" s="308">
        <v>5919.8929180469959</v>
      </c>
      <c r="S126" s="308">
        <f>IFERROR(INDEX(tblPiNAnalysis[CCCM], MATCH(tblPiNHistorical[[#This Row],[ID]], tblPiNAnalysis[ID], 0)), "")</f>
        <v>435</v>
      </c>
      <c r="T126" s="310">
        <f>IFERROR(INDEX(tblPiNAnalysis[Education], MATCH(tblPiNHistorical[[#This Row],[ID]], tblPiNAnalysis[ID], 0)), "")</f>
        <v>4893</v>
      </c>
      <c r="U126" s="308">
        <f>IFERROR(INDEX(tblPiNAnalysis[Nutrition], MATCH(tblPiNHistorical[[#This Row],[ID]], tblPiNAnalysis[ID], 0)), "")</f>
        <v>2529</v>
      </c>
      <c r="V126" s="308">
        <f>IFERROR(INDEX(tblPiNAnalysis[Food Security], MATCH(tblPiNHistorical[[#This Row],[ID]], tblPiNAnalysis[ID], 0)), "")</f>
        <v>35171</v>
      </c>
      <c r="W126" s="308">
        <f>IFERROR(INDEX(tblPiNAnalysis[Health], MATCH(tblPiNHistorical[[#This Row],[ID]], tblPiNAnalysis[ID], 0)), "")</f>
        <v>556.85776551724132</v>
      </c>
      <c r="X126" s="308">
        <f>IFERROR(INDEX(tblPiNAnalysis[Protection], MATCH(tblPiNHistorical[[#This Row],[ID]], tblPiNAnalysis[ID], 0)), "")</f>
        <v>569.87</v>
      </c>
      <c r="Y126" s="308">
        <f>IFERROR(INDEX(tblPiNAnalysis[Shelter], MATCH(tblPiNHistorical[[#This Row],[ID]], tblPiNAnalysis[ID], 0)), "")</f>
        <v>19774</v>
      </c>
      <c r="Z126" s="308">
        <f>IFERROR(INDEX(tblPiNAnalysis[WASH], MATCH(tblPiNHistorical[[#This Row],[ID]], tblPiNAnalysis[ID], 0)), "")</f>
        <v>290</v>
      </c>
      <c r="AA126" s="311">
        <f>IF(OR(tblPiNHistorical[[#This Row],[CCCM - old]]="", tblPiNHistorical[[#This Row],[CCCM - old]]=0, tblPiNHistorical[[#This Row],[CCCM - new]]="", tblPiNHistorical[[#This Row],[CCCM - new]]=0), "", tblPiNHistorical[[#This Row],[CCCM - new]]-tblPiNHistorical[[#This Row],[CCCM - old]])</f>
        <v>118</v>
      </c>
      <c r="AB126" s="312">
        <f>IF(OR(tblPiNHistorical[[#This Row],[Education - old]]="", tblPiNHistorical[[#This Row],[Education - old]]=0, tblPiNHistorical[[#This Row],[Education - new]]="", tblPiNHistorical[[#This Row],[Education - new]]=0), "", tblPiNHistorical[[#This Row],[Education - new]]-tblPiNHistorical[[#This Row],[Education - old]])</f>
        <v>407</v>
      </c>
      <c r="AC126" s="312">
        <f>IF(OR(tblPiNHistorical[[#This Row],[Nutrition - old]]="", tblPiNHistorical[[#This Row],[Nutrition - old]]=0, tblPiNHistorical[[#This Row],[Nutrition - new]]="", tblPiNHistorical[[#This Row],[Nutrition - new]]=0), "", tblPiNHistorical[[#This Row],[Nutrition - new]]-tblPiNHistorical[[#This Row],[Nutrition - old]])</f>
        <v>22</v>
      </c>
      <c r="AD126" s="312">
        <f>IF(OR(tblPiNHistorical[[#This Row],[Food Security - old]]="", tblPiNHistorical[[#This Row],[Food Security - old]]=0, tblPiNHistorical[[#This Row],[Food Security - new]]="", tblPiNHistorical[[#This Row],[Food Security - new]]=0), "", tblPiNHistorical[[#This Row],[Food Security - new]]-tblPiNHistorical[[#This Row],[Food Security - old]])</f>
        <v>15326</v>
      </c>
      <c r="AE126" s="312">
        <f>IF(OR(tblPiNHistorical[[#This Row],[Health - old]]="", tblPiNHistorical[[#This Row],[Health - old]]=0, tblPiNHistorical[[#This Row],[Health - new]]="", tblPiNHistorical[[#This Row],[Health - new]]=0), "", tblPiNHistorical[[#This Row],[Health - new]]-tblPiNHistorical[[#This Row],[Health - old]])</f>
        <v>-6946.1422344827588</v>
      </c>
      <c r="AF12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-2241.13</v>
      </c>
      <c r="AG126" s="312" t="str">
        <f>IF(OR(tblPiNHistorical[[#This Row],[Shelter - old]]="", tblPiNHistorical[[#This Row],[Shelter - old]]=0, tblPiNHistorical[[#This Row],[Shelter - new]]="", tblPiNHistorical[[#This Row],[Shelter - new]]=0), "", tblPiNHistorical[[#This Row],[Shelter - new]]-tblPiNHistorical[[#This Row],[Shelter - old]])</f>
        <v/>
      </c>
      <c r="AH126" s="313">
        <f>IF(OR(tblPiNHistorical[[#This Row],[WASH - old]]="", tblPiNHistorical[[#This Row],[WASH - old]]=0, tblPiNHistorical[[#This Row],[WASH - new]]="", tblPiNHistorical[[#This Row],[WASH - new]]=0), "", tblPiNHistorical[[#This Row],[WASH - new]]-tblPiNHistorical[[#This Row],[WASH - old]])</f>
        <v>-5629.8929180469959</v>
      </c>
      <c r="AI126" s="314">
        <f>IFERROR(ROUND((tblPiNHistorical[[#This Row],[CCCM - new]] - tblPiNHistorical[[#This Row],[CCCM - old]])/tblPiNHistorical[[#This Row],[CCCM - old]], 1), "")</f>
        <v>0.4</v>
      </c>
      <c r="AJ126" s="315">
        <f>IFERROR(ROUND((tblPiNHistorical[[#This Row],[Education - new]]-tblPiNHistorical[[#This Row],[Education - old]])/tblPiNHistorical[[#This Row],[Education - old]], 1), "")</f>
        <v>0.1</v>
      </c>
      <c r="AK126" s="315">
        <f>IFERROR(ROUND((tblPiNHistorical[[#This Row],[Nutrition - new]]-tblPiNHistorical[[#This Row],[Nutrition - old]])/tblPiNHistorical[[#This Row],[Nutrition - old]], 1), "")</f>
        <v>0</v>
      </c>
      <c r="AL126" s="315">
        <f>IFERROR(ROUND((tblPiNHistorical[[#This Row],[Food Security - new]]-tblPiNHistorical[[#This Row],[Food Security - old]])/tblPiNHistorical[[#This Row],[Food Security - old]], 1), "")</f>
        <v>0.8</v>
      </c>
      <c r="AM126" s="315">
        <f>IFERROR(ROUND((tblPiNHistorical[[#This Row],[Health - new]]-tblPiNHistorical[[#This Row],[Health - old]])/tblPiNHistorical[[#This Row],[Health - old]], 1), "")</f>
        <v>-0.9</v>
      </c>
      <c r="AN126" s="315">
        <f>IFERROR(ROUND((tblPiNHistorical[[#This Row],[Overarching Protection - new]]-tblPiNHistorical[[#This Row],[Overarching Protection - old]])/tblPiNHistorical[[#This Row],[Overarching Protection - old]], 1), "")</f>
        <v>-0.8</v>
      </c>
      <c r="AO126" s="315" t="str">
        <f>IFERROR(ROUND((tblPiNHistorical[[#This Row],[Shelter - new]]-tblPiNHistorical[[#This Row],[Shelter - old]])/tblPiNHistorical[[#This Row],[Shelter - old]], 1), "")</f>
        <v/>
      </c>
      <c r="AP126" s="37">
        <f>IFERROR(ROUND((tblPiNHistorical[[#This Row],[WASH - new]]-tblPiNHistorical[[#This Row],[WASH - old]])/tblPiNHistorical[[#This Row],[WASH - old]], 1), "")</f>
        <v>-1</v>
      </c>
    </row>
    <row r="127" spans="1:42">
      <c r="A12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Global_PopulationHT0921</v>
      </c>
      <c r="B127" s="304" t="s">
        <v>409</v>
      </c>
      <c r="C127" s="213" t="s">
        <v>410</v>
      </c>
      <c r="D127" s="213" t="s">
        <v>419</v>
      </c>
      <c r="E127" s="103" t="s">
        <v>420</v>
      </c>
      <c r="F127" s="99"/>
      <c r="G127" s="34"/>
      <c r="H127" s="331"/>
      <c r="I127" s="96">
        <v>120555</v>
      </c>
      <c r="J127" s="241" t="s">
        <v>156</v>
      </c>
      <c r="K127" s="305">
        <v>3452</v>
      </c>
      <c r="L127" s="306">
        <v>16335</v>
      </c>
      <c r="M127" s="308">
        <v>10003</v>
      </c>
      <c r="N127" s="308">
        <v>76052</v>
      </c>
      <c r="O127" s="308">
        <v>35236</v>
      </c>
      <c r="P127" s="308">
        <v>26366</v>
      </c>
      <c r="Q127" s="309">
        <v>56353</v>
      </c>
      <c r="R127" s="308">
        <v>24576.195796867847</v>
      </c>
      <c r="S127" s="308">
        <f>IFERROR(INDEX(tblPiNAnalysis[CCCM], MATCH(tblPiNHistorical[[#This Row],[ID]], tblPiNAnalysis[ID], 0)), "")</f>
        <v>5785.5</v>
      </c>
      <c r="T127" s="310">
        <f>IFERROR(INDEX(tblPiNAnalysis[Education], MATCH(tblPiNHistorical[[#This Row],[ID]], tblPiNAnalysis[ID], 0)), "")</f>
        <v>17520</v>
      </c>
      <c r="U127" s="308">
        <f>IFERROR(INDEX(tblPiNAnalysis[Nutrition], MATCH(tblPiNHistorical[[#This Row],[ID]], tblPiNAnalysis[ID], 0)), "")</f>
        <v>10288</v>
      </c>
      <c r="V127" s="308">
        <f>IFERROR(INDEX(tblPiNAnalysis[Food Security], MATCH(tblPiNHistorical[[#This Row],[ID]], tblPiNAnalysis[ID], 0)), "")</f>
        <v>84152</v>
      </c>
      <c r="W127" s="308">
        <f>IFERROR(INDEX(tblPiNAnalysis[Health], MATCH(tblPiNHistorical[[#This Row],[ID]], tblPiNAnalysis[ID], 0)), "")</f>
        <v>7802.3654683432715</v>
      </c>
      <c r="X127" s="308">
        <f>IFERROR(INDEX(tblPiNAnalysis[Protection], MATCH(tblPiNHistorical[[#This Row],[ID]], tblPiNAnalysis[ID], 0)), "")</f>
        <v>8197.4066666666677</v>
      </c>
      <c r="Y127" s="308">
        <f>IFERROR(INDEX(tblPiNAnalysis[Shelter], MATCH(tblPiNHistorical[[#This Row],[ID]], tblPiNAnalysis[ID], 0)), "")</f>
        <v>67329</v>
      </c>
      <c r="Z127" s="308">
        <f>IFERROR(INDEX(tblPiNAnalysis[WASH], MATCH(tblPiNHistorical[[#This Row],[ID]], tblPiNAnalysis[ID], 0)), "")</f>
        <v>32148</v>
      </c>
      <c r="AA127" s="311">
        <f>IF(OR(tblPiNHistorical[[#This Row],[CCCM - old]]="", tblPiNHistorical[[#This Row],[CCCM - old]]=0, tblPiNHistorical[[#This Row],[CCCM - new]]="", tblPiNHistorical[[#This Row],[CCCM - new]]=0), "", tblPiNHistorical[[#This Row],[CCCM - new]]-tblPiNHistorical[[#This Row],[CCCM - old]])</f>
        <v>2333.5</v>
      </c>
      <c r="AB127" s="312">
        <f>IF(OR(tblPiNHistorical[[#This Row],[Education - old]]="", tblPiNHistorical[[#This Row],[Education - old]]=0, tblPiNHistorical[[#This Row],[Education - new]]="", tblPiNHistorical[[#This Row],[Education - new]]=0), "", tblPiNHistorical[[#This Row],[Education - new]]-tblPiNHistorical[[#This Row],[Education - old]])</f>
        <v>1185</v>
      </c>
      <c r="AC127" s="312">
        <f>IF(OR(tblPiNHistorical[[#This Row],[Nutrition - old]]="", tblPiNHistorical[[#This Row],[Nutrition - old]]=0, tblPiNHistorical[[#This Row],[Nutrition - new]]="", tblPiNHistorical[[#This Row],[Nutrition - new]]=0), "", tblPiNHistorical[[#This Row],[Nutrition - new]]-tblPiNHistorical[[#This Row],[Nutrition - old]])</f>
        <v>285</v>
      </c>
      <c r="AD127" s="312">
        <f>IF(OR(tblPiNHistorical[[#This Row],[Food Security - old]]="", tblPiNHistorical[[#This Row],[Food Security - old]]=0, tblPiNHistorical[[#This Row],[Food Security - new]]="", tblPiNHistorical[[#This Row],[Food Security - new]]=0), "", tblPiNHistorical[[#This Row],[Food Security - new]]-tblPiNHistorical[[#This Row],[Food Security - old]])</f>
        <v>8100</v>
      </c>
      <c r="AE127" s="312">
        <f>IF(OR(tblPiNHistorical[[#This Row],[Health - old]]="", tblPiNHistorical[[#This Row],[Health - old]]=0, tblPiNHistorical[[#This Row],[Health - new]]="", tblPiNHistorical[[#This Row],[Health - new]]=0), "", tblPiNHistorical[[#This Row],[Health - new]]-tblPiNHistorical[[#This Row],[Health - old]])</f>
        <v>-27433.634531656728</v>
      </c>
      <c r="AF12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-18168.593333333331</v>
      </c>
      <c r="AG127" s="312">
        <f>IF(OR(tblPiNHistorical[[#This Row],[Shelter - old]]="", tblPiNHistorical[[#This Row],[Shelter - old]]=0, tblPiNHistorical[[#This Row],[Shelter - new]]="", tblPiNHistorical[[#This Row],[Shelter - new]]=0), "", tblPiNHistorical[[#This Row],[Shelter - new]]-tblPiNHistorical[[#This Row],[Shelter - old]])</f>
        <v>10976</v>
      </c>
      <c r="AH127" s="313">
        <f>IF(OR(tblPiNHistorical[[#This Row],[WASH - old]]="", tblPiNHistorical[[#This Row],[WASH - old]]=0, tblPiNHistorical[[#This Row],[WASH - new]]="", tblPiNHistorical[[#This Row],[WASH - new]]=0), "", tblPiNHistorical[[#This Row],[WASH - new]]-tblPiNHistorical[[#This Row],[WASH - old]])</f>
        <v>7571.8042031321529</v>
      </c>
      <c r="AI127" s="314">
        <f>IFERROR(ROUND((tblPiNHistorical[[#This Row],[CCCM - new]] - tblPiNHistorical[[#This Row],[CCCM - old]])/tblPiNHistorical[[#This Row],[CCCM - old]], 1), "")</f>
        <v>0.7</v>
      </c>
      <c r="AJ127" s="315">
        <f>IFERROR(ROUND((tblPiNHistorical[[#This Row],[Education - new]]-tblPiNHistorical[[#This Row],[Education - old]])/tblPiNHistorical[[#This Row],[Education - old]], 1), "")</f>
        <v>0.1</v>
      </c>
      <c r="AK127" s="315">
        <f>IFERROR(ROUND((tblPiNHistorical[[#This Row],[Nutrition - new]]-tblPiNHistorical[[#This Row],[Nutrition - old]])/tblPiNHistorical[[#This Row],[Nutrition - old]], 1), "")</f>
        <v>0</v>
      </c>
      <c r="AL127" s="315">
        <f>IFERROR(ROUND((tblPiNHistorical[[#This Row],[Food Security - new]]-tblPiNHistorical[[#This Row],[Food Security - old]])/tblPiNHistorical[[#This Row],[Food Security - old]], 1), "")</f>
        <v>0.1</v>
      </c>
      <c r="AM127" s="315">
        <f>IFERROR(ROUND((tblPiNHistorical[[#This Row],[Health - new]]-tblPiNHistorical[[#This Row],[Health - old]])/tblPiNHistorical[[#This Row],[Health - old]], 1), "")</f>
        <v>-0.8</v>
      </c>
      <c r="AN127" s="315">
        <f>IFERROR(ROUND((tblPiNHistorical[[#This Row],[Overarching Protection - new]]-tblPiNHistorical[[#This Row],[Overarching Protection - old]])/tblPiNHistorical[[#This Row],[Overarching Protection - old]], 1), "")</f>
        <v>-0.7</v>
      </c>
      <c r="AO127" s="315">
        <f>IFERROR(ROUND((tblPiNHistorical[[#This Row],[Shelter - new]]-tblPiNHistorical[[#This Row],[Shelter - old]])/tblPiNHistorical[[#This Row],[Shelter - old]], 1), "")</f>
        <v>0.2</v>
      </c>
      <c r="AP127" s="37">
        <f>IFERROR(ROUND((tblPiNHistorical[[#This Row],[WASH - new]]-tblPiNHistorical[[#This Row],[WASH - old]])/tblPiNHistorical[[#This Row],[WASH - old]], 1), "")</f>
        <v>0.3</v>
      </c>
    </row>
    <row r="128" spans="1:42">
      <c r="A12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Global_PopulationHT0922</v>
      </c>
      <c r="B128" s="304" t="s">
        <v>409</v>
      </c>
      <c r="C128" s="213" t="s">
        <v>410</v>
      </c>
      <c r="D128" s="213" t="s">
        <v>421</v>
      </c>
      <c r="E128" s="103" t="s">
        <v>422</v>
      </c>
      <c r="F128" s="99"/>
      <c r="G128" s="34"/>
      <c r="H128" s="331"/>
      <c r="I128" s="96">
        <v>31659</v>
      </c>
      <c r="J128" s="241" t="s">
        <v>156</v>
      </c>
      <c r="K128" s="305">
        <v>1100</v>
      </c>
      <c r="L128" s="306">
        <v>4533</v>
      </c>
      <c r="M128" s="308">
        <v>2482</v>
      </c>
      <c r="N128" s="308">
        <v>19751</v>
      </c>
      <c r="O128" s="308">
        <v>9267</v>
      </c>
      <c r="P128" s="308">
        <v>6805</v>
      </c>
      <c r="Q128" s="309">
        <v>7732</v>
      </c>
      <c r="R128" s="308">
        <v>8776.6384311052589</v>
      </c>
      <c r="S128" s="308">
        <f>IFERROR(INDEX(tblPiNAnalysis[CCCM], MATCH(tblPiNHistorical[[#This Row],[ID]], tblPiNAnalysis[ID], 0)), "")</f>
        <v>1734</v>
      </c>
      <c r="T128" s="310">
        <f>IFERROR(INDEX(tblPiNAnalysis[Education], MATCH(tblPiNHistorical[[#This Row],[ID]], tblPiNAnalysis[ID], 0)), "")</f>
        <v>4764</v>
      </c>
      <c r="U128" s="308">
        <f>IFERROR(INDEX(tblPiNAnalysis[Nutrition], MATCH(tblPiNHistorical[[#This Row],[ID]], tblPiNAnalysis[ID], 0)), "")</f>
        <v>2566</v>
      </c>
      <c r="V128" s="308">
        <f>IFERROR(INDEX(tblPiNAnalysis[Food Security], MATCH(tblPiNHistorical[[#This Row],[ID]], tblPiNAnalysis[ID], 0)), "")</f>
        <v>21855</v>
      </c>
      <c r="W128" s="308">
        <f>IFERROR(INDEX(tblPiNAnalysis[Health], MATCH(tblPiNHistorical[[#This Row],[ID]], tblPiNAnalysis[ID], 0)), "")</f>
        <v>2450.8612705882351</v>
      </c>
      <c r="X128" s="308">
        <f>IFERROR(INDEX(tblPiNAnalysis[Protection], MATCH(tblPiNHistorical[[#This Row],[ID]], tblPiNAnalysis[ID], 0)), "")</f>
        <v>3031.0215384615385</v>
      </c>
      <c r="Y128" s="308">
        <f>IFERROR(INDEX(tblPiNAnalysis[Shelter], MATCH(tblPiNHistorical[[#This Row],[ID]], tblPiNAnalysis[ID], 0)), "")</f>
        <v>14755</v>
      </c>
      <c r="Z128" s="308">
        <f>IFERROR(INDEX(tblPiNAnalysis[WASH], MATCH(tblPiNHistorical[[#This Row],[ID]], tblPiNAnalysis[ID], 0)), "")</f>
        <v>7914.75</v>
      </c>
      <c r="AA128" s="311">
        <f>IF(OR(tblPiNHistorical[[#This Row],[CCCM - old]]="", tblPiNHistorical[[#This Row],[CCCM - old]]=0, tblPiNHistorical[[#This Row],[CCCM - new]]="", tblPiNHistorical[[#This Row],[CCCM - new]]=0), "", tblPiNHistorical[[#This Row],[CCCM - new]]-tblPiNHistorical[[#This Row],[CCCM - old]])</f>
        <v>634</v>
      </c>
      <c r="AB128" s="312">
        <f>IF(OR(tblPiNHistorical[[#This Row],[Education - old]]="", tblPiNHistorical[[#This Row],[Education - old]]=0, tblPiNHistorical[[#This Row],[Education - new]]="", tblPiNHistorical[[#This Row],[Education - new]]=0), "", tblPiNHistorical[[#This Row],[Education - new]]-tblPiNHistorical[[#This Row],[Education - old]])</f>
        <v>231</v>
      </c>
      <c r="AC128" s="312">
        <f>IF(OR(tblPiNHistorical[[#This Row],[Nutrition - old]]="", tblPiNHistorical[[#This Row],[Nutrition - old]]=0, tblPiNHistorical[[#This Row],[Nutrition - new]]="", tblPiNHistorical[[#This Row],[Nutrition - new]]=0), "", tblPiNHistorical[[#This Row],[Nutrition - new]]-tblPiNHistorical[[#This Row],[Nutrition - old]])</f>
        <v>84</v>
      </c>
      <c r="AD128" s="312">
        <f>IF(OR(tblPiNHistorical[[#This Row],[Food Security - old]]="", tblPiNHistorical[[#This Row],[Food Security - old]]=0, tblPiNHistorical[[#This Row],[Food Security - new]]="", tblPiNHistorical[[#This Row],[Food Security - new]]=0), "", tblPiNHistorical[[#This Row],[Food Security - new]]-tblPiNHistorical[[#This Row],[Food Security - old]])</f>
        <v>2104</v>
      </c>
      <c r="AE128" s="312">
        <f>IF(OR(tblPiNHistorical[[#This Row],[Health - old]]="", tblPiNHistorical[[#This Row],[Health - old]]=0, tblPiNHistorical[[#This Row],[Health - new]]="", tblPiNHistorical[[#This Row],[Health - new]]=0), "", tblPiNHistorical[[#This Row],[Health - new]]-tblPiNHistorical[[#This Row],[Health - old]])</f>
        <v>-6816.1387294117649</v>
      </c>
      <c r="AF12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-3773.9784615384615</v>
      </c>
      <c r="AG128" s="312">
        <f>IF(OR(tblPiNHistorical[[#This Row],[Shelter - old]]="", tblPiNHistorical[[#This Row],[Shelter - old]]=0, tblPiNHistorical[[#This Row],[Shelter - new]]="", tblPiNHistorical[[#This Row],[Shelter - new]]=0), "", tblPiNHistorical[[#This Row],[Shelter - new]]-tblPiNHistorical[[#This Row],[Shelter - old]])</f>
        <v>7023</v>
      </c>
      <c r="AH128" s="313">
        <f>IF(OR(tblPiNHistorical[[#This Row],[WASH - old]]="", tblPiNHistorical[[#This Row],[WASH - old]]=0, tblPiNHistorical[[#This Row],[WASH - new]]="", tblPiNHistorical[[#This Row],[WASH - new]]=0), "", tblPiNHistorical[[#This Row],[WASH - new]]-tblPiNHistorical[[#This Row],[WASH - old]])</f>
        <v>-861.88843110525886</v>
      </c>
      <c r="AI128" s="314">
        <f>IFERROR(ROUND((tblPiNHistorical[[#This Row],[CCCM - new]] - tblPiNHistorical[[#This Row],[CCCM - old]])/tblPiNHistorical[[#This Row],[CCCM - old]], 1), "")</f>
        <v>0.6</v>
      </c>
      <c r="AJ128" s="315">
        <f>IFERROR(ROUND((tblPiNHistorical[[#This Row],[Education - new]]-tblPiNHistorical[[#This Row],[Education - old]])/tblPiNHistorical[[#This Row],[Education - old]], 1), "")</f>
        <v>0.1</v>
      </c>
      <c r="AK128" s="315">
        <f>IFERROR(ROUND((tblPiNHistorical[[#This Row],[Nutrition - new]]-tblPiNHistorical[[#This Row],[Nutrition - old]])/tblPiNHistorical[[#This Row],[Nutrition - old]], 1), "")</f>
        <v>0</v>
      </c>
      <c r="AL128" s="315">
        <f>IFERROR(ROUND((tblPiNHistorical[[#This Row],[Food Security - new]]-tblPiNHistorical[[#This Row],[Food Security - old]])/tblPiNHistorical[[#This Row],[Food Security - old]], 1), "")</f>
        <v>0.1</v>
      </c>
      <c r="AM128" s="315">
        <f>IFERROR(ROUND((tblPiNHistorical[[#This Row],[Health - new]]-tblPiNHistorical[[#This Row],[Health - old]])/tblPiNHistorical[[#This Row],[Health - old]], 1), "")</f>
        <v>-0.7</v>
      </c>
      <c r="AN128" s="315">
        <f>IFERROR(ROUND((tblPiNHistorical[[#This Row],[Overarching Protection - new]]-tblPiNHistorical[[#This Row],[Overarching Protection - old]])/tblPiNHistorical[[#This Row],[Overarching Protection - old]], 1), "")</f>
        <v>-0.6</v>
      </c>
      <c r="AO128" s="315">
        <f>IFERROR(ROUND((tblPiNHistorical[[#This Row],[Shelter - new]]-tblPiNHistorical[[#This Row],[Shelter - old]])/tblPiNHistorical[[#This Row],[Shelter - old]], 1), "")</f>
        <v>0.9</v>
      </c>
      <c r="AP128" s="37">
        <f>IFERROR(ROUND((tblPiNHistorical[[#This Row],[WASH - new]]-tblPiNHistorical[[#This Row],[WASH - old]])/tblPiNHistorical[[#This Row],[WASH - old]], 1), "")</f>
        <v>-0.1</v>
      </c>
    </row>
    <row r="129" spans="1:42">
      <c r="A12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Global_PopulationHT0931</v>
      </c>
      <c r="B129" s="304" t="s">
        <v>409</v>
      </c>
      <c r="C129" s="213" t="s">
        <v>410</v>
      </c>
      <c r="D129" s="213" t="s">
        <v>423</v>
      </c>
      <c r="E129" s="103" t="s">
        <v>424</v>
      </c>
      <c r="F129" s="99"/>
      <c r="G129" s="34"/>
      <c r="H129" s="331"/>
      <c r="I129" s="96">
        <v>36005</v>
      </c>
      <c r="J129" s="241" t="s">
        <v>156</v>
      </c>
      <c r="K129" s="305">
        <v>1580</v>
      </c>
      <c r="L129" s="306">
        <v>5113</v>
      </c>
      <c r="M129" s="308">
        <v>2795</v>
      </c>
      <c r="N129" s="308">
        <v>22134</v>
      </c>
      <c r="O129" s="308">
        <v>10452</v>
      </c>
      <c r="P129" s="308">
        <v>3707</v>
      </c>
      <c r="Q129" s="309">
        <v>20302</v>
      </c>
      <c r="R129" s="308">
        <v>7501.774366213258</v>
      </c>
      <c r="S129" s="308">
        <f>IFERROR(INDEX(tblPiNAnalysis[CCCM], MATCH(tblPiNHistorical[[#This Row],[ID]], tblPiNAnalysis[ID], 0)), "")</f>
        <v>2997</v>
      </c>
      <c r="T129" s="310">
        <f>IFERROR(INDEX(tblPiNAnalysis[Education], MATCH(tblPiNHistorical[[#This Row],[ID]], tblPiNAnalysis[ID], 0)), "")</f>
        <v>5672</v>
      </c>
      <c r="U129" s="308">
        <f>IFERROR(INDEX(tblPiNAnalysis[Nutrition], MATCH(tblPiNHistorical[[#This Row],[ID]], tblPiNAnalysis[ID], 0)), "")</f>
        <v>2945</v>
      </c>
      <c r="V129" s="308">
        <f>IFERROR(INDEX(tblPiNAnalysis[Food Security], MATCH(tblPiNHistorical[[#This Row],[ID]], tblPiNAnalysis[ID], 0)), "")</f>
        <v>22608</v>
      </c>
      <c r="W129" s="308">
        <f>IFERROR(INDEX(tblPiNAnalysis[Health], MATCH(tblPiNHistorical[[#This Row],[ID]], tblPiNAnalysis[ID], 0)), "")</f>
        <v>3899.2186926926925</v>
      </c>
      <c r="X129" s="308">
        <f>IFERROR(INDEX(tblPiNAnalysis[Protection], MATCH(tblPiNHistorical[[#This Row],[ID]], tblPiNAnalysis[ID], 0)), "")</f>
        <v>3315.36</v>
      </c>
      <c r="Y129" s="308">
        <f>IFERROR(INDEX(tblPiNAnalysis[Shelter], MATCH(tblPiNHistorical[[#This Row],[ID]], tblPiNAnalysis[ID], 0)), "")</f>
        <v>9380</v>
      </c>
      <c r="Z129" s="308">
        <f>IFERROR(INDEX(tblPiNAnalysis[WASH], MATCH(tblPiNHistorical[[#This Row],[ID]], tblPiNAnalysis[ID], 0)), "")</f>
        <v>1998</v>
      </c>
      <c r="AA129" s="311">
        <f>IF(OR(tblPiNHistorical[[#This Row],[CCCM - old]]="", tblPiNHistorical[[#This Row],[CCCM - old]]=0, tblPiNHistorical[[#This Row],[CCCM - new]]="", tblPiNHistorical[[#This Row],[CCCM - new]]=0), "", tblPiNHistorical[[#This Row],[CCCM - new]]-tblPiNHistorical[[#This Row],[CCCM - old]])</f>
        <v>1417</v>
      </c>
      <c r="AB129" s="312">
        <f>IF(OR(tblPiNHistorical[[#This Row],[Education - old]]="", tblPiNHistorical[[#This Row],[Education - old]]=0, tblPiNHistorical[[#This Row],[Education - new]]="", tblPiNHistorical[[#This Row],[Education - new]]=0), "", tblPiNHistorical[[#This Row],[Education - new]]-tblPiNHistorical[[#This Row],[Education - old]])</f>
        <v>559</v>
      </c>
      <c r="AC129" s="312">
        <f>IF(OR(tblPiNHistorical[[#This Row],[Nutrition - old]]="", tblPiNHistorical[[#This Row],[Nutrition - old]]=0, tblPiNHistorical[[#This Row],[Nutrition - new]]="", tblPiNHistorical[[#This Row],[Nutrition - new]]=0), "", tblPiNHistorical[[#This Row],[Nutrition - new]]-tblPiNHistorical[[#This Row],[Nutrition - old]])</f>
        <v>150</v>
      </c>
      <c r="AD129" s="312">
        <f>IF(OR(tblPiNHistorical[[#This Row],[Food Security - old]]="", tblPiNHistorical[[#This Row],[Food Security - old]]=0, tblPiNHistorical[[#This Row],[Food Security - new]]="", tblPiNHistorical[[#This Row],[Food Security - new]]=0), "", tblPiNHistorical[[#This Row],[Food Security - new]]-tblPiNHistorical[[#This Row],[Food Security - old]])</f>
        <v>474</v>
      </c>
      <c r="AE129" s="312">
        <f>IF(OR(tblPiNHistorical[[#This Row],[Health - old]]="", tblPiNHistorical[[#This Row],[Health - old]]=0, tblPiNHistorical[[#This Row],[Health - new]]="", tblPiNHistorical[[#This Row],[Health - new]]=0), "", tblPiNHistorical[[#This Row],[Health - new]]-tblPiNHistorical[[#This Row],[Health - old]])</f>
        <v>-6552.7813073073075</v>
      </c>
      <c r="AF12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-391.63999999999987</v>
      </c>
      <c r="AG129" s="312">
        <f>IF(OR(tblPiNHistorical[[#This Row],[Shelter - old]]="", tblPiNHistorical[[#This Row],[Shelter - old]]=0, tblPiNHistorical[[#This Row],[Shelter - new]]="", tblPiNHistorical[[#This Row],[Shelter - new]]=0), "", tblPiNHistorical[[#This Row],[Shelter - new]]-tblPiNHistorical[[#This Row],[Shelter - old]])</f>
        <v>-10922</v>
      </c>
      <c r="AH129" s="313">
        <f>IF(OR(tblPiNHistorical[[#This Row],[WASH - old]]="", tblPiNHistorical[[#This Row],[WASH - old]]=0, tblPiNHistorical[[#This Row],[WASH - new]]="", tblPiNHistorical[[#This Row],[WASH - new]]=0), "", tblPiNHistorical[[#This Row],[WASH - new]]-tblPiNHistorical[[#This Row],[WASH - old]])</f>
        <v>-5503.774366213258</v>
      </c>
      <c r="AI129" s="314">
        <f>IFERROR(ROUND((tblPiNHistorical[[#This Row],[CCCM - new]] - tblPiNHistorical[[#This Row],[CCCM - old]])/tblPiNHistorical[[#This Row],[CCCM - old]], 1), "")</f>
        <v>0.9</v>
      </c>
      <c r="AJ129" s="315">
        <f>IFERROR(ROUND((tblPiNHistorical[[#This Row],[Education - new]]-tblPiNHistorical[[#This Row],[Education - old]])/tblPiNHistorical[[#This Row],[Education - old]], 1), "")</f>
        <v>0.1</v>
      </c>
      <c r="AK129" s="315">
        <f>IFERROR(ROUND((tblPiNHistorical[[#This Row],[Nutrition - new]]-tblPiNHistorical[[#This Row],[Nutrition - old]])/tblPiNHistorical[[#This Row],[Nutrition - old]], 1), "")</f>
        <v>0.1</v>
      </c>
      <c r="AL129" s="315">
        <f>IFERROR(ROUND((tblPiNHistorical[[#This Row],[Food Security - new]]-tblPiNHistorical[[#This Row],[Food Security - old]])/tblPiNHistorical[[#This Row],[Food Security - old]], 1), "")</f>
        <v>0</v>
      </c>
      <c r="AM129" s="315">
        <f>IFERROR(ROUND((tblPiNHistorical[[#This Row],[Health - new]]-tblPiNHistorical[[#This Row],[Health - old]])/tblPiNHistorical[[#This Row],[Health - old]], 1), "")</f>
        <v>-0.6</v>
      </c>
      <c r="AN129" s="315">
        <f>IFERROR(ROUND((tblPiNHistorical[[#This Row],[Overarching Protection - new]]-tblPiNHistorical[[#This Row],[Overarching Protection - old]])/tblPiNHistorical[[#This Row],[Overarching Protection - old]], 1), "")</f>
        <v>-0.1</v>
      </c>
      <c r="AO129" s="315">
        <f>IFERROR(ROUND((tblPiNHistorical[[#This Row],[Shelter - new]]-tblPiNHistorical[[#This Row],[Shelter - old]])/tblPiNHistorical[[#This Row],[Shelter - old]], 1), "")</f>
        <v>-0.5</v>
      </c>
      <c r="AP129" s="37">
        <f>IFERROR(ROUND((tblPiNHistorical[[#This Row],[WASH - new]]-tblPiNHistorical[[#This Row],[WASH - old]])/tblPiNHistorical[[#This Row],[WASH - old]], 1), "")</f>
        <v>-0.7</v>
      </c>
    </row>
    <row r="130" spans="1:42">
      <c r="A13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Global_PopulationHT0932</v>
      </c>
      <c r="B130" s="304" t="s">
        <v>409</v>
      </c>
      <c r="C130" s="213" t="s">
        <v>410</v>
      </c>
      <c r="D130" s="213" t="s">
        <v>425</v>
      </c>
      <c r="E130" s="103" t="s">
        <v>426</v>
      </c>
      <c r="F130" s="99"/>
      <c r="G130" s="34"/>
      <c r="H130" s="331"/>
      <c r="I130" s="96">
        <v>28588</v>
      </c>
      <c r="J130" s="241" t="s">
        <v>156</v>
      </c>
      <c r="K130" s="305">
        <v>651</v>
      </c>
      <c r="L130" s="306">
        <v>4215</v>
      </c>
      <c r="M130" s="308">
        <v>2260</v>
      </c>
      <c r="N130" s="308">
        <v>17833</v>
      </c>
      <c r="O130" s="308">
        <v>7339</v>
      </c>
      <c r="P130" s="308">
        <v>3018</v>
      </c>
      <c r="Q130" s="309">
        <v>0</v>
      </c>
      <c r="R130" s="308">
        <v>4543.496789950068</v>
      </c>
      <c r="S130" s="308">
        <f>IFERROR(INDEX(tblPiNAnalysis[CCCM], MATCH(tblPiNHistorical[[#This Row],[ID]], tblPiNAnalysis[ID], 0)), "")</f>
        <v>1287</v>
      </c>
      <c r="T130" s="310">
        <f>IFERROR(INDEX(tblPiNAnalysis[Education], MATCH(tblPiNHistorical[[#This Row],[ID]], tblPiNAnalysis[ID], 0)), "")</f>
        <v>4748</v>
      </c>
      <c r="U130" s="308">
        <f>IFERROR(INDEX(tblPiNAnalysis[Nutrition], MATCH(tblPiNHistorical[[#This Row],[ID]], tblPiNAnalysis[ID], 0)), "")</f>
        <v>2323</v>
      </c>
      <c r="V130" s="308">
        <f>IFERROR(INDEX(tblPiNAnalysis[Food Security], MATCH(tblPiNHistorical[[#This Row],[ID]], tblPiNAnalysis[ID], 0)), "")</f>
        <v>18215</v>
      </c>
      <c r="W130" s="308">
        <f>IFERROR(INDEX(tblPiNAnalysis[Health], MATCH(tblPiNHistorical[[#This Row],[ID]], tblPiNAnalysis[ID], 0)), "")</f>
        <v>2092.1029613053611</v>
      </c>
      <c r="X130" s="308">
        <f>IFERROR(INDEX(tblPiNAnalysis[Protection], MATCH(tblPiNHistorical[[#This Row],[ID]], tblPiNAnalysis[ID], 0)), "")</f>
        <v>1313.88</v>
      </c>
      <c r="Y130" s="308">
        <f>IFERROR(INDEX(tblPiNAnalysis[Shelter], MATCH(tblPiNHistorical[[#This Row],[ID]], tblPiNAnalysis[ID], 0)), "")</f>
        <v>22896</v>
      </c>
      <c r="Z130" s="308">
        <f>IFERROR(INDEX(tblPiNAnalysis[WASH], MATCH(tblPiNHistorical[[#This Row],[ID]], tblPiNAnalysis[ID], 0)), "")</f>
        <v>28588</v>
      </c>
      <c r="AA130" s="311">
        <f>IF(OR(tblPiNHistorical[[#This Row],[CCCM - old]]="", tblPiNHistorical[[#This Row],[CCCM - old]]=0, tblPiNHistorical[[#This Row],[CCCM - new]]="", tblPiNHistorical[[#This Row],[CCCM - new]]=0), "", tblPiNHistorical[[#This Row],[CCCM - new]]-tblPiNHistorical[[#This Row],[CCCM - old]])</f>
        <v>636</v>
      </c>
      <c r="AB130" s="312">
        <f>IF(OR(tblPiNHistorical[[#This Row],[Education - old]]="", tblPiNHistorical[[#This Row],[Education - old]]=0, tblPiNHistorical[[#This Row],[Education - new]]="", tblPiNHistorical[[#This Row],[Education - new]]=0), "", tblPiNHistorical[[#This Row],[Education - new]]-tblPiNHistorical[[#This Row],[Education - old]])</f>
        <v>533</v>
      </c>
      <c r="AC130" s="312">
        <f>IF(OR(tblPiNHistorical[[#This Row],[Nutrition - old]]="", tblPiNHistorical[[#This Row],[Nutrition - old]]=0, tblPiNHistorical[[#This Row],[Nutrition - new]]="", tblPiNHistorical[[#This Row],[Nutrition - new]]=0), "", tblPiNHistorical[[#This Row],[Nutrition - new]]-tblPiNHistorical[[#This Row],[Nutrition - old]])</f>
        <v>63</v>
      </c>
      <c r="AD130" s="312">
        <f>IF(OR(tblPiNHistorical[[#This Row],[Food Security - old]]="", tblPiNHistorical[[#This Row],[Food Security - old]]=0, tblPiNHistorical[[#This Row],[Food Security - new]]="", tblPiNHistorical[[#This Row],[Food Security - new]]=0), "", tblPiNHistorical[[#This Row],[Food Security - new]]-tblPiNHistorical[[#This Row],[Food Security - old]])</f>
        <v>382</v>
      </c>
      <c r="AE130" s="312">
        <f>IF(OR(tblPiNHistorical[[#This Row],[Health - old]]="", tblPiNHistorical[[#This Row],[Health - old]]=0, tblPiNHistorical[[#This Row],[Health - new]]="", tblPiNHistorical[[#This Row],[Health - new]]=0), "", tblPiNHistorical[[#This Row],[Health - new]]-tblPiNHistorical[[#This Row],[Health - old]])</f>
        <v>-5246.8970386946385</v>
      </c>
      <c r="AF13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-1704.12</v>
      </c>
      <c r="AG130" s="312" t="str">
        <f>IF(OR(tblPiNHistorical[[#This Row],[Shelter - old]]="", tblPiNHistorical[[#This Row],[Shelter - old]]=0, tblPiNHistorical[[#This Row],[Shelter - new]]="", tblPiNHistorical[[#This Row],[Shelter - new]]=0), "", tblPiNHistorical[[#This Row],[Shelter - new]]-tblPiNHistorical[[#This Row],[Shelter - old]])</f>
        <v/>
      </c>
      <c r="AH130" s="313">
        <f>IF(OR(tblPiNHistorical[[#This Row],[WASH - old]]="", tblPiNHistorical[[#This Row],[WASH - old]]=0, tblPiNHistorical[[#This Row],[WASH - new]]="", tblPiNHistorical[[#This Row],[WASH - new]]=0), "", tblPiNHistorical[[#This Row],[WASH - new]]-tblPiNHistorical[[#This Row],[WASH - old]])</f>
        <v>24044.50321004993</v>
      </c>
      <c r="AI130" s="314">
        <f>IFERROR(ROUND((tblPiNHistorical[[#This Row],[CCCM - new]] - tblPiNHistorical[[#This Row],[CCCM - old]])/tblPiNHistorical[[#This Row],[CCCM - old]], 1), "")</f>
        <v>1</v>
      </c>
      <c r="AJ130" s="315">
        <f>IFERROR(ROUND((tblPiNHistorical[[#This Row],[Education - new]]-tblPiNHistorical[[#This Row],[Education - old]])/tblPiNHistorical[[#This Row],[Education - old]], 1), "")</f>
        <v>0.1</v>
      </c>
      <c r="AK130" s="315">
        <f>IFERROR(ROUND((tblPiNHistorical[[#This Row],[Nutrition - new]]-tblPiNHistorical[[#This Row],[Nutrition - old]])/tblPiNHistorical[[#This Row],[Nutrition - old]], 1), "")</f>
        <v>0</v>
      </c>
      <c r="AL130" s="315">
        <f>IFERROR(ROUND((tblPiNHistorical[[#This Row],[Food Security - new]]-tblPiNHistorical[[#This Row],[Food Security - old]])/tblPiNHistorical[[#This Row],[Food Security - old]], 1), "")</f>
        <v>0</v>
      </c>
      <c r="AM130" s="315">
        <f>IFERROR(ROUND((tblPiNHistorical[[#This Row],[Health - new]]-tblPiNHistorical[[#This Row],[Health - old]])/tblPiNHistorical[[#This Row],[Health - old]], 1), "")</f>
        <v>-0.7</v>
      </c>
      <c r="AN130" s="315">
        <f>IFERROR(ROUND((tblPiNHistorical[[#This Row],[Overarching Protection - new]]-tblPiNHistorical[[#This Row],[Overarching Protection - old]])/tblPiNHistorical[[#This Row],[Overarching Protection - old]], 1), "")</f>
        <v>-0.6</v>
      </c>
      <c r="AO130" s="315" t="str">
        <f>IFERROR(ROUND((tblPiNHistorical[[#This Row],[Shelter - new]]-tblPiNHistorical[[#This Row],[Shelter - old]])/tblPiNHistorical[[#This Row],[Shelter - old]], 1), "")</f>
        <v/>
      </c>
      <c r="AP130" s="37">
        <f>IFERROR(ROUND((tblPiNHistorical[[#This Row],[WASH - new]]-tblPiNHistorical[[#This Row],[WASH - old]])/tblPiNHistorical[[#This Row],[WASH - old]], 1), "")</f>
        <v>5.3</v>
      </c>
    </row>
    <row r="131" spans="1:42">
      <c r="A13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Global_PopulationHT0933</v>
      </c>
      <c r="B131" s="304" t="s">
        <v>409</v>
      </c>
      <c r="C131" s="213" t="s">
        <v>410</v>
      </c>
      <c r="D131" s="213" t="s">
        <v>427</v>
      </c>
      <c r="E131" s="103" t="s">
        <v>428</v>
      </c>
      <c r="F131" s="99"/>
      <c r="G131" s="34"/>
      <c r="H131" s="331"/>
      <c r="I131" s="96">
        <v>37868</v>
      </c>
      <c r="J131" s="241" t="s">
        <v>156</v>
      </c>
      <c r="K131" s="305">
        <v>1031</v>
      </c>
      <c r="L131" s="306">
        <v>5444</v>
      </c>
      <c r="M131" s="308">
        <v>2998</v>
      </c>
      <c r="N131" s="308">
        <v>23550</v>
      </c>
      <c r="O131" s="308">
        <v>10032</v>
      </c>
      <c r="P131" s="308">
        <v>3554</v>
      </c>
      <c r="Q131" s="309">
        <v>17238</v>
      </c>
      <c r="R131" s="308">
        <v>5450.2436776888362</v>
      </c>
      <c r="S131" s="308">
        <f>IFERROR(INDEX(tblPiNAnalysis[CCCM], MATCH(tblPiNHistorical[[#This Row],[ID]], tblPiNAnalysis[ID], 0)), "")</f>
        <v>3105</v>
      </c>
      <c r="T131" s="310">
        <f>IFERROR(INDEX(tblPiNAnalysis[Education], MATCH(tblPiNHistorical[[#This Row],[ID]], tblPiNAnalysis[ID], 0)), "")</f>
        <v>6078</v>
      </c>
      <c r="U131" s="308">
        <f>IFERROR(INDEX(tblPiNAnalysis[Nutrition], MATCH(tblPiNHistorical[[#This Row],[ID]], tblPiNAnalysis[ID], 0)), "")</f>
        <v>3159</v>
      </c>
      <c r="V131" s="308">
        <f>IFERROR(INDEX(tblPiNAnalysis[Food Security], MATCH(tblPiNHistorical[[#This Row],[ID]], tblPiNAnalysis[ID], 0)), "")</f>
        <v>24053</v>
      </c>
      <c r="W131" s="308">
        <f>IFERROR(INDEX(tblPiNAnalysis[Health], MATCH(tblPiNHistorical[[#This Row],[ID]], tblPiNAnalysis[ID], 0)), "")</f>
        <v>4040.9408840579708</v>
      </c>
      <c r="X131" s="308">
        <f>IFERROR(INDEX(tblPiNAnalysis[Protection], MATCH(tblPiNHistorical[[#This Row],[ID]], tblPiNAnalysis[ID], 0)), "")</f>
        <v>1069.08</v>
      </c>
      <c r="Y131" s="308">
        <f>IFERROR(INDEX(tblPiNAnalysis[Shelter], MATCH(tblPiNHistorical[[#This Row],[ID]], tblPiNAnalysis[ID], 0)), "")</f>
        <v>0</v>
      </c>
      <c r="Z131" s="308">
        <f>IFERROR(INDEX(tblPiNAnalysis[WASH], MATCH(tblPiNHistorical[[#This Row],[ID]], tblPiNAnalysis[ID], 0)), "")</f>
        <v>2070</v>
      </c>
      <c r="AA131" s="311">
        <f>IF(OR(tblPiNHistorical[[#This Row],[CCCM - old]]="", tblPiNHistorical[[#This Row],[CCCM - old]]=0, tblPiNHistorical[[#This Row],[CCCM - new]]="", tblPiNHistorical[[#This Row],[CCCM - new]]=0), "", tblPiNHistorical[[#This Row],[CCCM - new]]-tblPiNHistorical[[#This Row],[CCCM - old]])</f>
        <v>2074</v>
      </c>
      <c r="AB131" s="312">
        <f>IF(OR(tblPiNHistorical[[#This Row],[Education - old]]="", tblPiNHistorical[[#This Row],[Education - old]]=0, tblPiNHistorical[[#This Row],[Education - new]]="", tblPiNHistorical[[#This Row],[Education - new]]=0), "", tblPiNHistorical[[#This Row],[Education - new]]-tblPiNHistorical[[#This Row],[Education - old]])</f>
        <v>634</v>
      </c>
      <c r="AC131" s="312">
        <f>IF(OR(tblPiNHistorical[[#This Row],[Nutrition - old]]="", tblPiNHistorical[[#This Row],[Nutrition - old]]=0, tblPiNHistorical[[#This Row],[Nutrition - new]]="", tblPiNHistorical[[#This Row],[Nutrition - new]]=0), "", tblPiNHistorical[[#This Row],[Nutrition - new]]-tblPiNHistorical[[#This Row],[Nutrition - old]])</f>
        <v>161</v>
      </c>
      <c r="AD131" s="312">
        <f>IF(OR(tblPiNHistorical[[#This Row],[Food Security - old]]="", tblPiNHistorical[[#This Row],[Food Security - old]]=0, tblPiNHistorical[[#This Row],[Food Security - new]]="", tblPiNHistorical[[#This Row],[Food Security - new]]=0), "", tblPiNHistorical[[#This Row],[Food Security - new]]-tblPiNHistorical[[#This Row],[Food Security - old]])</f>
        <v>503</v>
      </c>
      <c r="AE131" s="312">
        <f>IF(OR(tblPiNHistorical[[#This Row],[Health - old]]="", tblPiNHistorical[[#This Row],[Health - old]]=0, tblPiNHistorical[[#This Row],[Health - new]]="", tblPiNHistorical[[#This Row],[Health - new]]=0), "", tblPiNHistorical[[#This Row],[Health - new]]-tblPiNHistorical[[#This Row],[Health - old]])</f>
        <v>-5991.0591159420292</v>
      </c>
      <c r="AF13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-2484.92</v>
      </c>
      <c r="AG131" s="312" t="str">
        <f>IF(OR(tblPiNHistorical[[#This Row],[Shelter - old]]="", tblPiNHistorical[[#This Row],[Shelter - old]]=0, tblPiNHistorical[[#This Row],[Shelter - new]]="", tblPiNHistorical[[#This Row],[Shelter - new]]=0), "", tblPiNHistorical[[#This Row],[Shelter - new]]-tblPiNHistorical[[#This Row],[Shelter - old]])</f>
        <v/>
      </c>
      <c r="AH131" s="313">
        <f>IF(OR(tblPiNHistorical[[#This Row],[WASH - old]]="", tblPiNHistorical[[#This Row],[WASH - old]]=0, tblPiNHistorical[[#This Row],[WASH - new]]="", tblPiNHistorical[[#This Row],[WASH - new]]=0), "", tblPiNHistorical[[#This Row],[WASH - new]]-tblPiNHistorical[[#This Row],[WASH - old]])</f>
        <v>-3380.2436776888362</v>
      </c>
      <c r="AI131" s="314">
        <f>IFERROR(ROUND((tblPiNHistorical[[#This Row],[CCCM - new]] - tblPiNHistorical[[#This Row],[CCCM - old]])/tblPiNHistorical[[#This Row],[CCCM - old]], 1), "")</f>
        <v>2</v>
      </c>
      <c r="AJ131" s="315">
        <f>IFERROR(ROUND((tblPiNHistorical[[#This Row],[Education - new]]-tblPiNHistorical[[#This Row],[Education - old]])/tblPiNHistorical[[#This Row],[Education - old]], 1), "")</f>
        <v>0.1</v>
      </c>
      <c r="AK131" s="315">
        <f>IFERROR(ROUND((tblPiNHistorical[[#This Row],[Nutrition - new]]-tblPiNHistorical[[#This Row],[Nutrition - old]])/tblPiNHistorical[[#This Row],[Nutrition - old]], 1), "")</f>
        <v>0.1</v>
      </c>
      <c r="AL131" s="315">
        <f>IFERROR(ROUND((tblPiNHistorical[[#This Row],[Food Security - new]]-tblPiNHistorical[[#This Row],[Food Security - old]])/tblPiNHistorical[[#This Row],[Food Security - old]], 1), "")</f>
        <v>0</v>
      </c>
      <c r="AM131" s="315">
        <f>IFERROR(ROUND((tblPiNHistorical[[#This Row],[Health - new]]-tblPiNHistorical[[#This Row],[Health - old]])/tblPiNHistorical[[#This Row],[Health - old]], 1), "")</f>
        <v>-0.6</v>
      </c>
      <c r="AN131" s="315">
        <f>IFERROR(ROUND((tblPiNHistorical[[#This Row],[Overarching Protection - new]]-tblPiNHistorical[[#This Row],[Overarching Protection - old]])/tblPiNHistorical[[#This Row],[Overarching Protection - old]], 1), "")</f>
        <v>-0.7</v>
      </c>
      <c r="AO131" s="315">
        <f>IFERROR(ROUND((tblPiNHistorical[[#This Row],[Shelter - new]]-tblPiNHistorical[[#This Row],[Shelter - old]])/tblPiNHistorical[[#This Row],[Shelter - old]], 1), "")</f>
        <v>-1</v>
      </c>
      <c r="AP131" s="37">
        <f>IFERROR(ROUND((tblPiNHistorical[[#This Row],[WASH - new]]-tblPiNHistorical[[#This Row],[WASH - old]])/tblPiNHistorical[[#This Row],[WASH - old]], 1), "")</f>
        <v>-0.6</v>
      </c>
    </row>
    <row r="132" spans="1:42">
      <c r="A13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Global_PopulationHT0934</v>
      </c>
      <c r="B132" s="304" t="s">
        <v>409</v>
      </c>
      <c r="C132" s="213" t="s">
        <v>410</v>
      </c>
      <c r="D132" s="213" t="s">
        <v>429</v>
      </c>
      <c r="E132" s="103" t="s">
        <v>430</v>
      </c>
      <c r="F132" s="99"/>
      <c r="G132" s="34"/>
      <c r="H132" s="331"/>
      <c r="I132" s="96">
        <v>156750</v>
      </c>
      <c r="J132" s="241" t="s">
        <v>156</v>
      </c>
      <c r="K132" s="305">
        <v>5364</v>
      </c>
      <c r="L132" s="306">
        <v>21503</v>
      </c>
      <c r="M132" s="308">
        <v>13315</v>
      </c>
      <c r="N132" s="308">
        <v>97012</v>
      </c>
      <c r="O132" s="308">
        <v>43603</v>
      </c>
      <c r="P132" s="308">
        <v>21213</v>
      </c>
      <c r="Q132" s="309">
        <v>53924</v>
      </c>
      <c r="R132" s="308">
        <v>16679.545091541371</v>
      </c>
      <c r="S132" s="308">
        <f>IFERROR(INDEX(tblPiNAnalysis[CCCM], MATCH(tblPiNHistorical[[#This Row],[ID]], tblPiNAnalysis[ID], 0)), "")</f>
        <v>8872.5</v>
      </c>
      <c r="T132" s="310">
        <f>IFERROR(INDEX(tblPiNAnalysis[Education], MATCH(tblPiNHistorical[[#This Row],[ID]], tblPiNAnalysis[ID], 0)), "")</f>
        <v>23802</v>
      </c>
      <c r="U132" s="308">
        <f>IFERROR(INDEX(tblPiNAnalysis[Nutrition], MATCH(tblPiNHistorical[[#This Row],[ID]], tblPiNAnalysis[ID], 0)), "")</f>
        <v>13759</v>
      </c>
      <c r="V132" s="308">
        <f>IFERROR(INDEX(tblPiNAnalysis[Food Security], MATCH(tblPiNHistorical[[#This Row],[ID]], tblPiNAnalysis[ID], 0)), "")</f>
        <v>99087</v>
      </c>
      <c r="W132" s="308">
        <f>IFERROR(INDEX(tblPiNAnalysis[Health], MATCH(tblPiNHistorical[[#This Row],[ID]], tblPiNAnalysis[ID], 0)), "")</f>
        <v>11856.367598647505</v>
      </c>
      <c r="X132" s="308">
        <f>IFERROR(INDEX(tblPiNAnalysis[Protection], MATCH(tblPiNHistorical[[#This Row],[ID]], tblPiNAnalysis[ID], 0)), "")</f>
        <v>8513.9177777777786</v>
      </c>
      <c r="Y132" s="308">
        <f>IFERROR(INDEX(tblPiNAnalysis[Shelter], MATCH(tblPiNHistorical[[#This Row],[ID]], tblPiNAnalysis[ID], 0)), "")</f>
        <v>98939</v>
      </c>
      <c r="Z132" s="308">
        <f>IFERROR(INDEX(tblPiNAnalysis[WASH], MATCH(tblPiNHistorical[[#This Row],[ID]], tblPiNAnalysis[ID], 0)), "")</f>
        <v>5915</v>
      </c>
      <c r="AA132" s="311">
        <f>IF(OR(tblPiNHistorical[[#This Row],[CCCM - old]]="", tblPiNHistorical[[#This Row],[CCCM - old]]=0, tblPiNHistorical[[#This Row],[CCCM - new]]="", tblPiNHistorical[[#This Row],[CCCM - new]]=0), "", tblPiNHistorical[[#This Row],[CCCM - new]]-tblPiNHistorical[[#This Row],[CCCM - old]])</f>
        <v>3508.5</v>
      </c>
      <c r="AB132" s="312">
        <f>IF(OR(tblPiNHistorical[[#This Row],[Education - old]]="", tblPiNHistorical[[#This Row],[Education - old]]=0, tblPiNHistorical[[#This Row],[Education - new]]="", tblPiNHistorical[[#This Row],[Education - new]]=0), "", tblPiNHistorical[[#This Row],[Education - new]]-tblPiNHistorical[[#This Row],[Education - old]])</f>
        <v>2299</v>
      </c>
      <c r="AC132" s="312">
        <f>IF(OR(tblPiNHistorical[[#This Row],[Nutrition - old]]="", tblPiNHistorical[[#This Row],[Nutrition - old]]=0, tblPiNHistorical[[#This Row],[Nutrition - new]]="", tblPiNHistorical[[#This Row],[Nutrition - new]]=0), "", tblPiNHistorical[[#This Row],[Nutrition - new]]-tblPiNHistorical[[#This Row],[Nutrition - old]])</f>
        <v>444</v>
      </c>
      <c r="AD132" s="312">
        <f>IF(OR(tblPiNHistorical[[#This Row],[Food Security - old]]="", tblPiNHistorical[[#This Row],[Food Security - old]]=0, tblPiNHistorical[[#This Row],[Food Security - new]]="", tblPiNHistorical[[#This Row],[Food Security - new]]=0), "", tblPiNHistorical[[#This Row],[Food Security - new]]-tblPiNHistorical[[#This Row],[Food Security - old]])</f>
        <v>2075</v>
      </c>
      <c r="AE132" s="312">
        <f>IF(OR(tblPiNHistorical[[#This Row],[Health - old]]="", tblPiNHistorical[[#This Row],[Health - old]]=0, tblPiNHistorical[[#This Row],[Health - new]]="", tblPiNHistorical[[#This Row],[Health - new]]=0), "", tblPiNHistorical[[#This Row],[Health - new]]-tblPiNHistorical[[#This Row],[Health - old]])</f>
        <v>-31746.632401352494</v>
      </c>
      <c r="AF13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-12699.082222222221</v>
      </c>
      <c r="AG132" s="312">
        <f>IF(OR(tblPiNHistorical[[#This Row],[Shelter - old]]="", tblPiNHistorical[[#This Row],[Shelter - old]]=0, tblPiNHistorical[[#This Row],[Shelter - new]]="", tblPiNHistorical[[#This Row],[Shelter - new]]=0), "", tblPiNHistorical[[#This Row],[Shelter - new]]-tblPiNHistorical[[#This Row],[Shelter - old]])</f>
        <v>45015</v>
      </c>
      <c r="AH132" s="313">
        <f>IF(OR(tblPiNHistorical[[#This Row],[WASH - old]]="", tblPiNHistorical[[#This Row],[WASH - old]]=0, tblPiNHistorical[[#This Row],[WASH - new]]="", tblPiNHistorical[[#This Row],[WASH - new]]=0), "", tblPiNHistorical[[#This Row],[WASH - new]]-tblPiNHistorical[[#This Row],[WASH - old]])</f>
        <v>-10764.545091541371</v>
      </c>
      <c r="AI132" s="314">
        <f>IFERROR(ROUND((tblPiNHistorical[[#This Row],[CCCM - new]] - tblPiNHistorical[[#This Row],[CCCM - old]])/tblPiNHistorical[[#This Row],[CCCM - old]], 1), "")</f>
        <v>0.7</v>
      </c>
      <c r="AJ132" s="315">
        <f>IFERROR(ROUND((tblPiNHistorical[[#This Row],[Education - new]]-tblPiNHistorical[[#This Row],[Education - old]])/tblPiNHistorical[[#This Row],[Education - old]], 1), "")</f>
        <v>0.1</v>
      </c>
      <c r="AK132" s="315">
        <f>IFERROR(ROUND((tblPiNHistorical[[#This Row],[Nutrition - new]]-tblPiNHistorical[[#This Row],[Nutrition - old]])/tblPiNHistorical[[#This Row],[Nutrition - old]], 1), "")</f>
        <v>0</v>
      </c>
      <c r="AL132" s="315">
        <f>IFERROR(ROUND((tblPiNHistorical[[#This Row],[Food Security - new]]-tblPiNHistorical[[#This Row],[Food Security - old]])/tblPiNHistorical[[#This Row],[Food Security - old]], 1), "")</f>
        <v>0</v>
      </c>
      <c r="AM132" s="315">
        <f>IFERROR(ROUND((tblPiNHistorical[[#This Row],[Health - new]]-tblPiNHistorical[[#This Row],[Health - old]])/tblPiNHistorical[[#This Row],[Health - old]], 1), "")</f>
        <v>-0.7</v>
      </c>
      <c r="AN132" s="315">
        <f>IFERROR(ROUND((tblPiNHistorical[[#This Row],[Overarching Protection - new]]-tblPiNHistorical[[#This Row],[Overarching Protection - old]])/tblPiNHistorical[[#This Row],[Overarching Protection - old]], 1), "")</f>
        <v>-0.6</v>
      </c>
      <c r="AO132" s="315">
        <f>IFERROR(ROUND((tblPiNHistorical[[#This Row],[Shelter - new]]-tblPiNHistorical[[#This Row],[Shelter - old]])/tblPiNHistorical[[#This Row],[Shelter - old]], 1), "")</f>
        <v>0.8</v>
      </c>
      <c r="AP132" s="37">
        <f>IFERROR(ROUND((tblPiNHistorical[[#This Row],[WASH - new]]-tblPiNHistorical[[#This Row],[WASH - old]])/tblPiNHistorical[[#This Row],[WASH - old]], 1), "")</f>
        <v>-0.6</v>
      </c>
    </row>
    <row r="133" spans="1:42">
      <c r="A13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Global_PopulationHT1011</v>
      </c>
      <c r="B133" s="304" t="s">
        <v>431</v>
      </c>
      <c r="C133" s="213" t="s">
        <v>432</v>
      </c>
      <c r="D133" s="213" t="s">
        <v>433</v>
      </c>
      <c r="E133" s="103" t="s">
        <v>434</v>
      </c>
      <c r="F133" s="99"/>
      <c r="G133" s="34"/>
      <c r="H133" s="331"/>
      <c r="I133" s="96">
        <v>70617</v>
      </c>
      <c r="J133" s="241" t="s">
        <v>156</v>
      </c>
      <c r="K133" s="305">
        <v>9461</v>
      </c>
      <c r="L133" s="306">
        <v>4529</v>
      </c>
      <c r="M133" s="308">
        <v>6576</v>
      </c>
      <c r="N133" s="308">
        <v>58834</v>
      </c>
      <c r="O133" s="308">
        <v>30464</v>
      </c>
      <c r="P133" s="308">
        <v>10945</v>
      </c>
      <c r="Q133" s="309">
        <v>26578</v>
      </c>
      <c r="R133" s="308">
        <v>34847.768776409357</v>
      </c>
      <c r="S133" s="308">
        <f>IFERROR(INDEX(tblPiNAnalysis[CCCM], MATCH(tblPiNHistorical[[#This Row],[ID]], tblPiNAnalysis[ID], 0)), "")</f>
        <v>17385</v>
      </c>
      <c r="T133" s="310">
        <f>IFERROR(INDEX(tblPiNAnalysis[Education], MATCH(tblPiNHistorical[[#This Row],[ID]], tblPiNAnalysis[ID], 0)), "")</f>
        <v>3278</v>
      </c>
      <c r="U133" s="308">
        <f>IFERROR(INDEX(tblPiNAnalysis[Nutrition], MATCH(tblPiNHistorical[[#This Row],[ID]], tblPiNAnalysis[ID], 0)), "")</f>
        <v>7165</v>
      </c>
      <c r="V133" s="308">
        <f>IFERROR(INDEX(tblPiNAnalysis[Food Security], MATCH(tblPiNHistorical[[#This Row],[ID]], tblPiNAnalysis[ID], 0)), "")</f>
        <v>42799</v>
      </c>
      <c r="W133" s="308">
        <f>IFERROR(INDEX(tblPiNAnalysis[Health], MATCH(tblPiNHistorical[[#This Row],[ID]], tblPiNAnalysis[ID], 0)), "")</f>
        <v>20245.448306278067</v>
      </c>
      <c r="X133" s="308">
        <f>IFERROR(INDEX(tblPiNAnalysis[Protection], MATCH(tblPiNHistorical[[#This Row],[ID]], tblPiNAnalysis[ID], 0)), "")</f>
        <v>9629.2638297872327</v>
      </c>
      <c r="Y133" s="308">
        <f>IFERROR(INDEX(tblPiNAnalysis[Shelter], MATCH(tblPiNHistorical[[#This Row],[ID]], tblPiNAnalysis[ID], 0)), "")</f>
        <v>31460</v>
      </c>
      <c r="Z133" s="308">
        <f>IFERROR(INDEX(tblPiNAnalysis[WASH], MATCH(tblPiNHistorical[[#This Row],[ID]], tblPiNAnalysis[ID], 0)), "")</f>
        <v>14908.033333333333</v>
      </c>
      <c r="AA133" s="311">
        <f>IF(OR(tblPiNHistorical[[#This Row],[CCCM - old]]="", tblPiNHistorical[[#This Row],[CCCM - old]]=0, tblPiNHistorical[[#This Row],[CCCM - new]]="", tblPiNHistorical[[#This Row],[CCCM - new]]=0), "", tblPiNHistorical[[#This Row],[CCCM - new]]-tblPiNHistorical[[#This Row],[CCCM - old]])</f>
        <v>7924</v>
      </c>
      <c r="AB133" s="312">
        <f>IF(OR(tblPiNHistorical[[#This Row],[Education - old]]="", tblPiNHistorical[[#This Row],[Education - old]]=0, tblPiNHistorical[[#This Row],[Education - new]]="", tblPiNHistorical[[#This Row],[Education - new]]=0), "", tblPiNHistorical[[#This Row],[Education - new]]-tblPiNHistorical[[#This Row],[Education - old]])</f>
        <v>-1251</v>
      </c>
      <c r="AC133" s="312">
        <f>IF(OR(tblPiNHistorical[[#This Row],[Nutrition - old]]="", tblPiNHistorical[[#This Row],[Nutrition - old]]=0, tblPiNHistorical[[#This Row],[Nutrition - new]]="", tblPiNHistorical[[#This Row],[Nutrition - new]]=0), "", tblPiNHistorical[[#This Row],[Nutrition - new]]-tblPiNHistorical[[#This Row],[Nutrition - old]])</f>
        <v>589</v>
      </c>
      <c r="AD133" s="312">
        <f>IF(OR(tblPiNHistorical[[#This Row],[Food Security - old]]="", tblPiNHistorical[[#This Row],[Food Security - old]]=0, tblPiNHistorical[[#This Row],[Food Security - new]]="", tblPiNHistorical[[#This Row],[Food Security - new]]=0), "", tblPiNHistorical[[#This Row],[Food Security - new]]-tblPiNHistorical[[#This Row],[Food Security - old]])</f>
        <v>-16035</v>
      </c>
      <c r="AE133" s="312">
        <f>IF(OR(tblPiNHistorical[[#This Row],[Health - old]]="", tblPiNHistorical[[#This Row],[Health - old]]=0, tblPiNHistorical[[#This Row],[Health - new]]="", tblPiNHistorical[[#This Row],[Health - new]]=0), "", tblPiNHistorical[[#This Row],[Health - new]]-tblPiNHistorical[[#This Row],[Health - old]])</f>
        <v>-10218.551693721933</v>
      </c>
      <c r="AF13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-1315.7361702127673</v>
      </c>
      <c r="AG133" s="312">
        <f>IF(OR(tblPiNHistorical[[#This Row],[Shelter - old]]="", tblPiNHistorical[[#This Row],[Shelter - old]]=0, tblPiNHistorical[[#This Row],[Shelter - new]]="", tblPiNHistorical[[#This Row],[Shelter - new]]=0), "", tblPiNHistorical[[#This Row],[Shelter - new]]-tblPiNHistorical[[#This Row],[Shelter - old]])</f>
        <v>4882</v>
      </c>
      <c r="AH133" s="313">
        <f>IF(OR(tblPiNHistorical[[#This Row],[WASH - old]]="", tblPiNHistorical[[#This Row],[WASH - old]]=0, tblPiNHistorical[[#This Row],[WASH - new]]="", tblPiNHistorical[[#This Row],[WASH - new]]=0), "", tblPiNHistorical[[#This Row],[WASH - new]]-tblPiNHistorical[[#This Row],[WASH - old]])</f>
        <v>-19939.735443076024</v>
      </c>
      <c r="AI133" s="314">
        <f>IFERROR(ROUND((tblPiNHistorical[[#This Row],[CCCM - new]] - tblPiNHistorical[[#This Row],[CCCM - old]])/tblPiNHistorical[[#This Row],[CCCM - old]], 1), "")</f>
        <v>0.8</v>
      </c>
      <c r="AJ133" s="315">
        <f>IFERROR(ROUND((tblPiNHistorical[[#This Row],[Education - new]]-tblPiNHistorical[[#This Row],[Education - old]])/tblPiNHistorical[[#This Row],[Education - old]], 1), "")</f>
        <v>-0.3</v>
      </c>
      <c r="AK133" s="315">
        <f>IFERROR(ROUND((tblPiNHistorical[[#This Row],[Nutrition - new]]-tblPiNHistorical[[#This Row],[Nutrition - old]])/tblPiNHistorical[[#This Row],[Nutrition - old]], 1), "")</f>
        <v>0.1</v>
      </c>
      <c r="AL133" s="315">
        <f>IFERROR(ROUND((tblPiNHistorical[[#This Row],[Food Security - new]]-tblPiNHistorical[[#This Row],[Food Security - old]])/tblPiNHistorical[[#This Row],[Food Security - old]], 1), "")</f>
        <v>-0.3</v>
      </c>
      <c r="AM133" s="315">
        <f>IFERROR(ROUND((tblPiNHistorical[[#This Row],[Health - new]]-tblPiNHistorical[[#This Row],[Health - old]])/tblPiNHistorical[[#This Row],[Health - old]], 1), "")</f>
        <v>-0.3</v>
      </c>
      <c r="AN133" s="315">
        <f>IFERROR(ROUND((tblPiNHistorical[[#This Row],[Overarching Protection - new]]-tblPiNHistorical[[#This Row],[Overarching Protection - old]])/tblPiNHistorical[[#This Row],[Overarching Protection - old]], 1), "")</f>
        <v>-0.1</v>
      </c>
      <c r="AO133" s="315">
        <f>IFERROR(ROUND((tblPiNHistorical[[#This Row],[Shelter - new]]-tblPiNHistorical[[#This Row],[Shelter - old]])/tblPiNHistorical[[#This Row],[Shelter - old]], 1), "")</f>
        <v>0.2</v>
      </c>
      <c r="AP133" s="37">
        <f>IFERROR(ROUND((tblPiNHistorical[[#This Row],[WASH - new]]-tblPiNHistorical[[#This Row],[WASH - old]])/tblPiNHistorical[[#This Row],[WASH - old]], 1), "")</f>
        <v>-0.6</v>
      </c>
    </row>
    <row r="134" spans="1:42">
      <c r="A134"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Global_PopulationHT1012</v>
      </c>
      <c r="B134" s="304" t="s">
        <v>431</v>
      </c>
      <c r="C134" s="213" t="s">
        <v>432</v>
      </c>
      <c r="D134" s="213" t="s">
        <v>435</v>
      </c>
      <c r="E134" s="103" t="s">
        <v>436</v>
      </c>
      <c r="F134" s="99"/>
      <c r="G134" s="34"/>
      <c r="H134" s="331"/>
      <c r="I134" s="96">
        <v>34943</v>
      </c>
      <c r="J134" s="241" t="s">
        <v>156</v>
      </c>
      <c r="K134" s="305">
        <v>8297</v>
      </c>
      <c r="L134" s="306">
        <v>2633</v>
      </c>
      <c r="M134" s="308">
        <v>2828</v>
      </c>
      <c r="N134" s="308">
        <v>18664</v>
      </c>
      <c r="O134" s="308">
        <v>20282</v>
      </c>
      <c r="P134" s="308">
        <v>5918</v>
      </c>
      <c r="Q134" s="309">
        <v>18108</v>
      </c>
      <c r="R134" s="308">
        <v>20451.746361168905</v>
      </c>
      <c r="S134" s="308">
        <f>IFERROR(INDEX(tblPiNAnalysis[CCCM], MATCH(tblPiNHistorical[[#This Row],[ID]], tblPiNAnalysis[ID], 0)), "")</f>
        <v>12717</v>
      </c>
      <c r="T134" s="310">
        <f>IFERROR(INDEX(tblPiNAnalysis[Education], MATCH(tblPiNHistorical[[#This Row],[ID]], tblPiNAnalysis[ID], 0)), "")</f>
        <v>1863</v>
      </c>
      <c r="U134" s="308">
        <f>IFERROR(INDEX(tblPiNAnalysis[Nutrition], MATCH(tblPiNHistorical[[#This Row],[ID]], tblPiNAnalysis[ID], 0)), "")</f>
        <v>3333</v>
      </c>
      <c r="V134" s="308">
        <f>IFERROR(INDEX(tblPiNAnalysis[Food Security], MATCH(tblPiNHistorical[[#This Row],[ID]], tblPiNAnalysis[ID], 0)), "")</f>
        <v>19719</v>
      </c>
      <c r="W134" s="308">
        <f>IFERROR(INDEX(tblPiNAnalysis[Health], MATCH(tblPiNHistorical[[#This Row],[ID]], tblPiNAnalysis[ID], 0)), "")</f>
        <v>16401.644649175585</v>
      </c>
      <c r="X134" s="308">
        <f>IFERROR(INDEX(tblPiNAnalysis[Protection], MATCH(tblPiNHistorical[[#This Row],[ID]], tblPiNAnalysis[ID], 0)), "")</f>
        <v>6657.12</v>
      </c>
      <c r="Y134" s="308">
        <f>IFERROR(INDEX(tblPiNAnalysis[Shelter], MATCH(tblPiNHistorical[[#This Row],[ID]], tblPiNAnalysis[ID], 0)), "")</f>
        <v>15098</v>
      </c>
      <c r="Z134" s="308">
        <f>IFERROR(INDEX(tblPiNAnalysis[WASH], MATCH(tblPiNHistorical[[#This Row],[ID]], tblPiNAnalysis[ID], 0)), "")</f>
        <v>19655.4375</v>
      </c>
      <c r="AA134" s="311">
        <f>IF(OR(tblPiNHistorical[[#This Row],[CCCM - old]]="", tblPiNHistorical[[#This Row],[CCCM - old]]=0, tblPiNHistorical[[#This Row],[CCCM - new]]="", tblPiNHistorical[[#This Row],[CCCM - new]]=0), "", tblPiNHistorical[[#This Row],[CCCM - new]]-tblPiNHistorical[[#This Row],[CCCM - old]])</f>
        <v>4420</v>
      </c>
      <c r="AB134" s="312">
        <f>IF(OR(tblPiNHistorical[[#This Row],[Education - old]]="", tblPiNHistorical[[#This Row],[Education - old]]=0, tblPiNHistorical[[#This Row],[Education - new]]="", tblPiNHistorical[[#This Row],[Education - new]]=0), "", tblPiNHistorical[[#This Row],[Education - new]]-tblPiNHistorical[[#This Row],[Education - old]])</f>
        <v>-770</v>
      </c>
      <c r="AC134" s="312">
        <f>IF(OR(tblPiNHistorical[[#This Row],[Nutrition - old]]="", tblPiNHistorical[[#This Row],[Nutrition - old]]=0, tblPiNHistorical[[#This Row],[Nutrition - new]]="", tblPiNHistorical[[#This Row],[Nutrition - new]]=0), "", tblPiNHistorical[[#This Row],[Nutrition - new]]-tblPiNHistorical[[#This Row],[Nutrition - old]])</f>
        <v>505</v>
      </c>
      <c r="AD134" s="312">
        <f>IF(OR(tblPiNHistorical[[#This Row],[Food Security - old]]="", tblPiNHistorical[[#This Row],[Food Security - old]]=0, tblPiNHistorical[[#This Row],[Food Security - new]]="", tblPiNHistorical[[#This Row],[Food Security - new]]=0), "", tblPiNHistorical[[#This Row],[Food Security - new]]-tblPiNHistorical[[#This Row],[Food Security - old]])</f>
        <v>1055</v>
      </c>
      <c r="AE134" s="312">
        <f>IF(OR(tblPiNHistorical[[#This Row],[Health - old]]="", tblPiNHistorical[[#This Row],[Health - old]]=0, tblPiNHistorical[[#This Row],[Health - new]]="", tblPiNHistorical[[#This Row],[Health - new]]=0), "", tblPiNHistorical[[#This Row],[Health - new]]-tblPiNHistorical[[#This Row],[Health - old]])</f>
        <v>-3880.3553508244149</v>
      </c>
      <c r="AF134"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739.11999999999989</v>
      </c>
      <c r="AG134" s="312">
        <f>IF(OR(tblPiNHistorical[[#This Row],[Shelter - old]]="", tblPiNHistorical[[#This Row],[Shelter - old]]=0, tblPiNHistorical[[#This Row],[Shelter - new]]="", tblPiNHistorical[[#This Row],[Shelter - new]]=0), "", tblPiNHistorical[[#This Row],[Shelter - new]]-tblPiNHistorical[[#This Row],[Shelter - old]])</f>
        <v>-3010</v>
      </c>
      <c r="AH134" s="313">
        <f>IF(OR(tblPiNHistorical[[#This Row],[WASH - old]]="", tblPiNHistorical[[#This Row],[WASH - old]]=0, tblPiNHistorical[[#This Row],[WASH - new]]="", tblPiNHistorical[[#This Row],[WASH - new]]=0), "", tblPiNHistorical[[#This Row],[WASH - new]]-tblPiNHistorical[[#This Row],[WASH - old]])</f>
        <v>-796.30886116890542</v>
      </c>
      <c r="AI134" s="314">
        <f>IFERROR(ROUND((tblPiNHistorical[[#This Row],[CCCM - new]] - tblPiNHistorical[[#This Row],[CCCM - old]])/tblPiNHistorical[[#This Row],[CCCM - old]], 1), "")</f>
        <v>0.5</v>
      </c>
      <c r="AJ134" s="315">
        <f>IFERROR(ROUND((tblPiNHistorical[[#This Row],[Education - new]]-tblPiNHistorical[[#This Row],[Education - old]])/tblPiNHistorical[[#This Row],[Education - old]], 1), "")</f>
        <v>-0.3</v>
      </c>
      <c r="AK134" s="315">
        <f>IFERROR(ROUND((tblPiNHistorical[[#This Row],[Nutrition - new]]-tblPiNHistorical[[#This Row],[Nutrition - old]])/tblPiNHistorical[[#This Row],[Nutrition - old]], 1), "")</f>
        <v>0.2</v>
      </c>
      <c r="AL134" s="315">
        <f>IFERROR(ROUND((tblPiNHistorical[[#This Row],[Food Security - new]]-tblPiNHistorical[[#This Row],[Food Security - old]])/tblPiNHistorical[[#This Row],[Food Security - old]], 1), "")</f>
        <v>0.1</v>
      </c>
      <c r="AM134" s="315">
        <f>IFERROR(ROUND((tblPiNHistorical[[#This Row],[Health - new]]-tblPiNHistorical[[#This Row],[Health - old]])/tblPiNHistorical[[#This Row],[Health - old]], 1), "")</f>
        <v>-0.2</v>
      </c>
      <c r="AN134" s="315">
        <f>IFERROR(ROUND((tblPiNHistorical[[#This Row],[Overarching Protection - new]]-tblPiNHistorical[[#This Row],[Overarching Protection - old]])/tblPiNHistorical[[#This Row],[Overarching Protection - old]], 1), "")</f>
        <v>0.1</v>
      </c>
      <c r="AO134" s="315">
        <f>IFERROR(ROUND((tblPiNHistorical[[#This Row],[Shelter - new]]-tblPiNHistorical[[#This Row],[Shelter - old]])/tblPiNHistorical[[#This Row],[Shelter - old]], 1), "")</f>
        <v>-0.2</v>
      </c>
      <c r="AP134" s="37">
        <f>IFERROR(ROUND((tblPiNHistorical[[#This Row],[WASH - new]]-tblPiNHistorical[[#This Row],[WASH - old]])/tblPiNHistorical[[#This Row],[WASH - old]], 1), "")</f>
        <v>0</v>
      </c>
    </row>
    <row r="135" spans="1:42">
      <c r="A135"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Global_PopulationHT1013</v>
      </c>
      <c r="B135" s="304" t="s">
        <v>431</v>
      </c>
      <c r="C135" s="213" t="s">
        <v>432</v>
      </c>
      <c r="D135" s="213" t="s">
        <v>437</v>
      </c>
      <c r="E135" s="103" t="s">
        <v>438</v>
      </c>
      <c r="F135" s="99"/>
      <c r="G135" s="34"/>
      <c r="H135" s="331"/>
      <c r="I135" s="96">
        <v>38319</v>
      </c>
      <c r="J135" s="241" t="s">
        <v>156</v>
      </c>
      <c r="K135" s="305">
        <v>5919</v>
      </c>
      <c r="L135" s="306">
        <v>2553</v>
      </c>
      <c r="M135" s="308">
        <v>3208</v>
      </c>
      <c r="N135" s="308">
        <v>21834</v>
      </c>
      <c r="O135" s="308">
        <v>17266</v>
      </c>
      <c r="P135" s="308">
        <v>5878</v>
      </c>
      <c r="Q135" s="309">
        <v>17526</v>
      </c>
      <c r="R135" s="308">
        <v>15220.526634619677</v>
      </c>
      <c r="S135" s="308">
        <f>IFERROR(INDEX(tblPiNAnalysis[CCCM], MATCH(tblPiNHistorical[[#This Row],[ID]], tblPiNAnalysis[ID], 0)), "")</f>
        <v>8670</v>
      </c>
      <c r="T135" s="310">
        <f>IFERROR(INDEX(tblPiNAnalysis[Education], MATCH(tblPiNHistorical[[#This Row],[ID]], tblPiNAnalysis[ID], 0)), "")</f>
        <v>1870</v>
      </c>
      <c r="U135" s="308">
        <f>IFERROR(INDEX(tblPiNAnalysis[Nutrition], MATCH(tblPiNHistorical[[#This Row],[ID]], tblPiNAnalysis[ID], 0)), "")</f>
        <v>3811</v>
      </c>
      <c r="V135" s="308">
        <f>IFERROR(INDEX(tblPiNAnalysis[Food Security], MATCH(tblPiNHistorical[[#This Row],[ID]], tblPiNAnalysis[ID], 0)), "")</f>
        <v>20972</v>
      </c>
      <c r="W135" s="308">
        <f>IFERROR(INDEX(tblPiNAnalysis[Health], MATCH(tblPiNHistorical[[#This Row],[ID]], tblPiNAnalysis[ID], 0)), "")</f>
        <v>4968.714248442906</v>
      </c>
      <c r="X135" s="308">
        <f>IFERROR(INDEX(tblPiNAnalysis[Protection], MATCH(tblPiNHistorical[[#This Row],[ID]], tblPiNAnalysis[ID], 0)), "")</f>
        <v>3948.1</v>
      </c>
      <c r="Y135" s="308">
        <f>IFERROR(INDEX(tblPiNAnalysis[Shelter], MATCH(tblPiNHistorical[[#This Row],[ID]], tblPiNAnalysis[ID], 0)), "")</f>
        <v>16025</v>
      </c>
      <c r="Z135" s="308">
        <f>IFERROR(INDEX(tblPiNAnalysis[WASH], MATCH(tblPiNHistorical[[#This Row],[ID]], tblPiNAnalysis[ID], 0)), "")</f>
        <v>14499.081081081082</v>
      </c>
      <c r="AA135" s="311">
        <f>IF(OR(tblPiNHistorical[[#This Row],[CCCM - old]]="", tblPiNHistorical[[#This Row],[CCCM - old]]=0, tblPiNHistorical[[#This Row],[CCCM - new]]="", tblPiNHistorical[[#This Row],[CCCM - new]]=0), "", tblPiNHistorical[[#This Row],[CCCM - new]]-tblPiNHistorical[[#This Row],[CCCM - old]])</f>
        <v>2751</v>
      </c>
      <c r="AB135" s="312">
        <f>IF(OR(tblPiNHistorical[[#This Row],[Education - old]]="", tblPiNHistorical[[#This Row],[Education - old]]=0, tblPiNHistorical[[#This Row],[Education - new]]="", tblPiNHistorical[[#This Row],[Education - new]]=0), "", tblPiNHistorical[[#This Row],[Education - new]]-tblPiNHistorical[[#This Row],[Education - old]])</f>
        <v>-683</v>
      </c>
      <c r="AC135" s="312">
        <f>IF(OR(tblPiNHistorical[[#This Row],[Nutrition - old]]="", tblPiNHistorical[[#This Row],[Nutrition - old]]=0, tblPiNHistorical[[#This Row],[Nutrition - new]]="", tblPiNHistorical[[#This Row],[Nutrition - new]]=0), "", tblPiNHistorical[[#This Row],[Nutrition - new]]-tblPiNHistorical[[#This Row],[Nutrition - old]])</f>
        <v>603</v>
      </c>
      <c r="AD135" s="312">
        <f>IF(OR(tblPiNHistorical[[#This Row],[Food Security - old]]="", tblPiNHistorical[[#This Row],[Food Security - old]]=0, tblPiNHistorical[[#This Row],[Food Security - new]]="", tblPiNHistorical[[#This Row],[Food Security - new]]=0), "", tblPiNHistorical[[#This Row],[Food Security - new]]-tblPiNHistorical[[#This Row],[Food Security - old]])</f>
        <v>-862</v>
      </c>
      <c r="AE135" s="312">
        <f>IF(OR(tblPiNHistorical[[#This Row],[Health - old]]="", tblPiNHistorical[[#This Row],[Health - old]]=0, tblPiNHistorical[[#This Row],[Health - new]]="", tblPiNHistorical[[#This Row],[Health - new]]=0), "", tblPiNHistorical[[#This Row],[Health - new]]-tblPiNHistorical[[#This Row],[Health - old]])</f>
        <v>-12297.285751557094</v>
      </c>
      <c r="AF135"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-1929.9</v>
      </c>
      <c r="AG135" s="312">
        <f>IF(OR(tblPiNHistorical[[#This Row],[Shelter - old]]="", tblPiNHistorical[[#This Row],[Shelter - old]]=0, tblPiNHistorical[[#This Row],[Shelter - new]]="", tblPiNHistorical[[#This Row],[Shelter - new]]=0), "", tblPiNHistorical[[#This Row],[Shelter - new]]-tblPiNHistorical[[#This Row],[Shelter - old]])</f>
        <v>-1501</v>
      </c>
      <c r="AH135" s="313">
        <f>IF(OR(tblPiNHistorical[[#This Row],[WASH - old]]="", tblPiNHistorical[[#This Row],[WASH - old]]=0, tblPiNHistorical[[#This Row],[WASH - new]]="", tblPiNHistorical[[#This Row],[WASH - new]]=0), "", tblPiNHistorical[[#This Row],[WASH - new]]-tblPiNHistorical[[#This Row],[WASH - old]])</f>
        <v>-721.44555353859505</v>
      </c>
      <c r="AI135" s="314">
        <f>IFERROR(ROUND((tblPiNHistorical[[#This Row],[CCCM - new]] - tblPiNHistorical[[#This Row],[CCCM - old]])/tblPiNHistorical[[#This Row],[CCCM - old]], 1), "")</f>
        <v>0.5</v>
      </c>
      <c r="AJ135" s="315">
        <f>IFERROR(ROUND((tblPiNHistorical[[#This Row],[Education - new]]-tblPiNHistorical[[#This Row],[Education - old]])/tblPiNHistorical[[#This Row],[Education - old]], 1), "")</f>
        <v>-0.3</v>
      </c>
      <c r="AK135" s="315">
        <f>IFERROR(ROUND((tblPiNHistorical[[#This Row],[Nutrition - new]]-tblPiNHistorical[[#This Row],[Nutrition - old]])/tblPiNHistorical[[#This Row],[Nutrition - old]], 1), "")</f>
        <v>0.2</v>
      </c>
      <c r="AL135" s="315">
        <f>IFERROR(ROUND((tblPiNHistorical[[#This Row],[Food Security - new]]-tblPiNHistorical[[#This Row],[Food Security - old]])/tblPiNHistorical[[#This Row],[Food Security - old]], 1), "")</f>
        <v>0</v>
      </c>
      <c r="AM135" s="315">
        <f>IFERROR(ROUND((tblPiNHistorical[[#This Row],[Health - new]]-tblPiNHistorical[[#This Row],[Health - old]])/tblPiNHistorical[[#This Row],[Health - old]], 1), "")</f>
        <v>-0.7</v>
      </c>
      <c r="AN135" s="315">
        <f>IFERROR(ROUND((tblPiNHistorical[[#This Row],[Overarching Protection - new]]-tblPiNHistorical[[#This Row],[Overarching Protection - old]])/tblPiNHistorical[[#This Row],[Overarching Protection - old]], 1), "")</f>
        <v>-0.3</v>
      </c>
      <c r="AO135" s="315">
        <f>IFERROR(ROUND((tblPiNHistorical[[#This Row],[Shelter - new]]-tblPiNHistorical[[#This Row],[Shelter - old]])/tblPiNHistorical[[#This Row],[Shelter - old]], 1), "")</f>
        <v>-0.1</v>
      </c>
      <c r="AP135" s="37">
        <f>IFERROR(ROUND((tblPiNHistorical[[#This Row],[WASH - new]]-tblPiNHistorical[[#This Row],[WASH - old]])/tblPiNHistorical[[#This Row],[WASH - old]], 1), "")</f>
        <v>0</v>
      </c>
    </row>
    <row r="136" spans="1:42">
      <c r="A136"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Global_PopulationHT1014</v>
      </c>
      <c r="B136" s="304" t="s">
        <v>431</v>
      </c>
      <c r="C136" s="213" t="s">
        <v>432</v>
      </c>
      <c r="D136" s="213" t="s">
        <v>439</v>
      </c>
      <c r="E136" s="103" t="s">
        <v>440</v>
      </c>
      <c r="F136" s="99"/>
      <c r="G136" s="34"/>
      <c r="H136" s="331"/>
      <c r="I136" s="96">
        <v>19644</v>
      </c>
      <c r="J136" s="241" t="s">
        <v>156</v>
      </c>
      <c r="K136" s="305">
        <v>2721</v>
      </c>
      <c r="L136" s="306">
        <v>1274</v>
      </c>
      <c r="M136" s="308">
        <v>1632</v>
      </c>
      <c r="N136" s="308">
        <v>11329</v>
      </c>
      <c r="O136" s="308">
        <v>8500</v>
      </c>
      <c r="P136" s="308">
        <v>4718</v>
      </c>
      <c r="Q136" s="309">
        <v>1814</v>
      </c>
      <c r="R136" s="308">
        <v>7737.8867482735177</v>
      </c>
      <c r="S136" s="308">
        <f>IFERROR(INDEX(tblPiNAnalysis[CCCM], MATCH(tblPiNHistorical[[#This Row],[ID]], tblPiNAnalysis[ID], 0)), "")</f>
        <v>7198.5</v>
      </c>
      <c r="T136" s="310">
        <f>IFERROR(INDEX(tblPiNAnalysis[Education], MATCH(tblPiNHistorical[[#This Row],[ID]], tblPiNAnalysis[ID], 0)), "")</f>
        <v>959</v>
      </c>
      <c r="U136" s="308">
        <f>IFERROR(INDEX(tblPiNAnalysis[Nutrition], MATCH(tblPiNHistorical[[#This Row],[ID]], tblPiNAnalysis[ID], 0)), "")</f>
        <v>1918</v>
      </c>
      <c r="V136" s="308">
        <f>IFERROR(INDEX(tblPiNAnalysis[Food Security], MATCH(tblPiNHistorical[[#This Row],[ID]], tblPiNAnalysis[ID], 0)), "")</f>
        <v>10882</v>
      </c>
      <c r="W136" s="308">
        <f>IFERROR(INDEX(tblPiNAnalysis[Health], MATCH(tblPiNHistorical[[#This Row],[ID]], tblPiNAnalysis[ID], 0)), "")</f>
        <v>6784.0373896645142</v>
      </c>
      <c r="X136" s="308">
        <f>IFERROR(INDEX(tblPiNAnalysis[Protection], MATCH(tblPiNHistorical[[#This Row],[ID]], tblPiNAnalysis[ID], 0)), "")</f>
        <v>2403.34</v>
      </c>
      <c r="Y136" s="308">
        <f>IFERROR(INDEX(tblPiNAnalysis[Shelter], MATCH(tblPiNHistorical[[#This Row],[ID]], tblPiNAnalysis[ID], 0)), "")</f>
        <v>4927</v>
      </c>
      <c r="Z136" s="308">
        <f>IFERROR(INDEX(tblPiNAnalysis[WASH], MATCH(tblPiNHistorical[[#This Row],[ID]], tblPiNAnalysis[ID], 0)), "")</f>
        <v>4799</v>
      </c>
      <c r="AA136" s="311">
        <f>IF(OR(tblPiNHistorical[[#This Row],[CCCM - old]]="", tblPiNHistorical[[#This Row],[CCCM - old]]=0, tblPiNHistorical[[#This Row],[CCCM - new]]="", tblPiNHistorical[[#This Row],[CCCM - new]]=0), "", tblPiNHistorical[[#This Row],[CCCM - new]]-tblPiNHistorical[[#This Row],[CCCM - old]])</f>
        <v>4477.5</v>
      </c>
      <c r="AB136" s="312">
        <f>IF(OR(tblPiNHistorical[[#This Row],[Education - old]]="", tblPiNHistorical[[#This Row],[Education - old]]=0, tblPiNHistorical[[#This Row],[Education - new]]="", tblPiNHistorical[[#This Row],[Education - new]]=0), "", tblPiNHistorical[[#This Row],[Education - new]]-tblPiNHistorical[[#This Row],[Education - old]])</f>
        <v>-315</v>
      </c>
      <c r="AC136" s="312">
        <f>IF(OR(tblPiNHistorical[[#This Row],[Nutrition - old]]="", tblPiNHistorical[[#This Row],[Nutrition - old]]=0, tblPiNHistorical[[#This Row],[Nutrition - new]]="", tblPiNHistorical[[#This Row],[Nutrition - new]]=0), "", tblPiNHistorical[[#This Row],[Nutrition - new]]-tblPiNHistorical[[#This Row],[Nutrition - old]])</f>
        <v>286</v>
      </c>
      <c r="AD136" s="312">
        <f>IF(OR(tblPiNHistorical[[#This Row],[Food Security - old]]="", tblPiNHistorical[[#This Row],[Food Security - old]]=0, tblPiNHistorical[[#This Row],[Food Security - new]]="", tblPiNHistorical[[#This Row],[Food Security - new]]=0), "", tblPiNHistorical[[#This Row],[Food Security - new]]-tblPiNHistorical[[#This Row],[Food Security - old]])</f>
        <v>-447</v>
      </c>
      <c r="AE136" s="312">
        <f>IF(OR(tblPiNHistorical[[#This Row],[Health - old]]="", tblPiNHistorical[[#This Row],[Health - old]]=0, tblPiNHistorical[[#This Row],[Health - new]]="", tblPiNHistorical[[#This Row],[Health - new]]=0), "", tblPiNHistorical[[#This Row],[Health - new]]-tblPiNHistorical[[#This Row],[Health - old]])</f>
        <v>-1715.9626103354858</v>
      </c>
      <c r="AF136"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-2314.66</v>
      </c>
      <c r="AG136" s="312">
        <f>IF(OR(tblPiNHistorical[[#This Row],[Shelter - old]]="", tblPiNHistorical[[#This Row],[Shelter - old]]=0, tblPiNHistorical[[#This Row],[Shelter - new]]="", tblPiNHistorical[[#This Row],[Shelter - new]]=0), "", tblPiNHistorical[[#This Row],[Shelter - new]]-tblPiNHistorical[[#This Row],[Shelter - old]])</f>
        <v>3113</v>
      </c>
      <c r="AH136" s="313">
        <f>IF(OR(tblPiNHistorical[[#This Row],[WASH - old]]="", tblPiNHistorical[[#This Row],[WASH - old]]=0, tblPiNHistorical[[#This Row],[WASH - new]]="", tblPiNHistorical[[#This Row],[WASH - new]]=0), "", tblPiNHistorical[[#This Row],[WASH - new]]-tblPiNHistorical[[#This Row],[WASH - old]])</f>
        <v>-2938.8867482735177</v>
      </c>
      <c r="AI136" s="314">
        <f>IFERROR(ROUND((tblPiNHistorical[[#This Row],[CCCM - new]] - tblPiNHistorical[[#This Row],[CCCM - old]])/tblPiNHistorical[[#This Row],[CCCM - old]], 1), "")</f>
        <v>1.6</v>
      </c>
      <c r="AJ136" s="315">
        <f>IFERROR(ROUND((tblPiNHistorical[[#This Row],[Education - new]]-tblPiNHistorical[[#This Row],[Education - old]])/tblPiNHistorical[[#This Row],[Education - old]], 1), "")</f>
        <v>-0.2</v>
      </c>
      <c r="AK136" s="315">
        <f>IFERROR(ROUND((tblPiNHistorical[[#This Row],[Nutrition - new]]-tblPiNHistorical[[#This Row],[Nutrition - old]])/tblPiNHistorical[[#This Row],[Nutrition - old]], 1), "")</f>
        <v>0.2</v>
      </c>
      <c r="AL136" s="315">
        <f>IFERROR(ROUND((tblPiNHistorical[[#This Row],[Food Security - new]]-tblPiNHistorical[[#This Row],[Food Security - old]])/tblPiNHistorical[[#This Row],[Food Security - old]], 1), "")</f>
        <v>0</v>
      </c>
      <c r="AM136" s="315">
        <f>IFERROR(ROUND((tblPiNHistorical[[#This Row],[Health - new]]-tblPiNHistorical[[#This Row],[Health - old]])/tblPiNHistorical[[#This Row],[Health - old]], 1), "")</f>
        <v>-0.2</v>
      </c>
      <c r="AN136" s="315">
        <f>IFERROR(ROUND((tblPiNHistorical[[#This Row],[Overarching Protection - new]]-tblPiNHistorical[[#This Row],[Overarching Protection - old]])/tblPiNHistorical[[#This Row],[Overarching Protection - old]], 1), "")</f>
        <v>-0.5</v>
      </c>
      <c r="AO136" s="315">
        <f>IFERROR(ROUND((tblPiNHistorical[[#This Row],[Shelter - new]]-tblPiNHistorical[[#This Row],[Shelter - old]])/tblPiNHistorical[[#This Row],[Shelter - old]], 1), "")</f>
        <v>1.7</v>
      </c>
      <c r="AP136" s="37">
        <f>IFERROR(ROUND((tblPiNHistorical[[#This Row],[WASH - new]]-tblPiNHistorical[[#This Row],[WASH - old]])/tblPiNHistorical[[#This Row],[WASH - old]], 1), "")</f>
        <v>-0.4</v>
      </c>
    </row>
    <row r="137" spans="1:42">
      <c r="A137"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Global_PopulationHT1021</v>
      </c>
      <c r="B137" s="304" t="s">
        <v>431</v>
      </c>
      <c r="C137" s="213" t="s">
        <v>432</v>
      </c>
      <c r="D137" s="213" t="s">
        <v>441</v>
      </c>
      <c r="E137" s="103" t="s">
        <v>442</v>
      </c>
      <c r="F137" s="99"/>
      <c r="G137" s="34"/>
      <c r="H137" s="331"/>
      <c r="I137" s="96">
        <v>37907</v>
      </c>
      <c r="J137" s="241" t="s">
        <v>156</v>
      </c>
      <c r="K137" s="305">
        <v>3486</v>
      </c>
      <c r="L137" s="306">
        <v>2594</v>
      </c>
      <c r="M137" s="308">
        <v>2953</v>
      </c>
      <c r="N137" s="308">
        <v>22389</v>
      </c>
      <c r="O137" s="308">
        <v>13912</v>
      </c>
      <c r="P137" s="308">
        <v>5803</v>
      </c>
      <c r="Q137" s="309">
        <v>15000</v>
      </c>
      <c r="R137" s="308">
        <v>19945.629516920271</v>
      </c>
      <c r="S137" s="308">
        <f>IFERROR(INDEX(tblPiNAnalysis[CCCM], MATCH(tblPiNHistorical[[#This Row],[ID]], tblPiNAnalysis[ID], 0)), "")</f>
        <v>6043.5</v>
      </c>
      <c r="T137" s="310">
        <f>IFERROR(INDEX(tblPiNAnalysis[Education], MATCH(tblPiNHistorical[[#This Row],[ID]], tblPiNAnalysis[ID], 0)), "")</f>
        <v>1899</v>
      </c>
      <c r="U137" s="308">
        <f>IFERROR(INDEX(tblPiNAnalysis[Nutrition], MATCH(tblPiNHistorical[[#This Row],[ID]], tblPiNAnalysis[ID], 0)), "")</f>
        <v>3167</v>
      </c>
      <c r="V137" s="308">
        <f>IFERROR(INDEX(tblPiNAnalysis[Food Security], MATCH(tblPiNHistorical[[#This Row],[ID]], tblPiNAnalysis[ID], 0)), "")</f>
        <v>23656</v>
      </c>
      <c r="W137" s="308">
        <f>IFERROR(INDEX(tblPiNAnalysis[Health], MATCH(tblPiNHistorical[[#This Row],[ID]], tblPiNAnalysis[ID], 0)), "")</f>
        <v>5785.0971022089852</v>
      </c>
      <c r="X137" s="308">
        <f>IFERROR(INDEX(tblPiNAnalysis[Protection], MATCH(tblPiNHistorical[[#This Row],[ID]], tblPiNAnalysis[ID], 0)), "")</f>
        <v>2577.4028571428571</v>
      </c>
      <c r="Y137" s="308">
        <f>IFERROR(INDEX(tblPiNAnalysis[Shelter], MATCH(tblPiNHistorical[[#This Row],[ID]], tblPiNAnalysis[ID], 0)), "")</f>
        <v>15006</v>
      </c>
      <c r="Z137" s="308">
        <f>IFERROR(INDEX(tblPiNAnalysis[WASH], MATCH(tblPiNHistorical[[#This Row],[ID]], tblPiNAnalysis[ID], 0)), "")</f>
        <v>12228.064516129032</v>
      </c>
      <c r="AA137" s="311">
        <f>IF(OR(tblPiNHistorical[[#This Row],[CCCM - old]]="", tblPiNHistorical[[#This Row],[CCCM - old]]=0, tblPiNHistorical[[#This Row],[CCCM - new]]="", tblPiNHistorical[[#This Row],[CCCM - new]]=0), "", tblPiNHistorical[[#This Row],[CCCM - new]]-tblPiNHistorical[[#This Row],[CCCM - old]])</f>
        <v>2557.5</v>
      </c>
      <c r="AB137" s="312">
        <f>IF(OR(tblPiNHistorical[[#This Row],[Education - old]]="", tblPiNHistorical[[#This Row],[Education - old]]=0, tblPiNHistorical[[#This Row],[Education - new]]="", tblPiNHistorical[[#This Row],[Education - new]]=0), "", tblPiNHistorical[[#This Row],[Education - new]]-tblPiNHistorical[[#This Row],[Education - old]])</f>
        <v>-695</v>
      </c>
      <c r="AC137" s="312">
        <f>IF(OR(tblPiNHistorical[[#This Row],[Nutrition - old]]="", tblPiNHistorical[[#This Row],[Nutrition - old]]=0, tblPiNHistorical[[#This Row],[Nutrition - new]]="", tblPiNHistorical[[#This Row],[Nutrition - new]]=0), "", tblPiNHistorical[[#This Row],[Nutrition - new]]-tblPiNHistorical[[#This Row],[Nutrition - old]])</f>
        <v>214</v>
      </c>
      <c r="AD137" s="312">
        <f>IF(OR(tblPiNHistorical[[#This Row],[Food Security - old]]="", tblPiNHistorical[[#This Row],[Food Security - old]]=0, tblPiNHistorical[[#This Row],[Food Security - new]]="", tblPiNHistorical[[#This Row],[Food Security - new]]=0), "", tblPiNHistorical[[#This Row],[Food Security - new]]-tblPiNHistorical[[#This Row],[Food Security - old]])</f>
        <v>1267</v>
      </c>
      <c r="AE137" s="312">
        <f>IF(OR(tblPiNHistorical[[#This Row],[Health - old]]="", tblPiNHistorical[[#This Row],[Health - old]]=0, tblPiNHistorical[[#This Row],[Health - new]]="", tblPiNHistorical[[#This Row],[Health - new]]=0), "", tblPiNHistorical[[#This Row],[Health - new]]-tblPiNHistorical[[#This Row],[Health - old]])</f>
        <v>-8126.9028977910148</v>
      </c>
      <c r="AF137"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-3225.5971428571429</v>
      </c>
      <c r="AG137" s="312">
        <f>IF(OR(tblPiNHistorical[[#This Row],[Shelter - old]]="", tblPiNHistorical[[#This Row],[Shelter - old]]=0, tblPiNHistorical[[#This Row],[Shelter - new]]="", tblPiNHistorical[[#This Row],[Shelter - new]]=0), "", tblPiNHistorical[[#This Row],[Shelter - new]]-tblPiNHistorical[[#This Row],[Shelter - old]])</f>
        <v>6</v>
      </c>
      <c r="AH137" s="313">
        <f>IF(OR(tblPiNHistorical[[#This Row],[WASH - old]]="", tblPiNHistorical[[#This Row],[WASH - old]]=0, tblPiNHistorical[[#This Row],[WASH - new]]="", tblPiNHistorical[[#This Row],[WASH - new]]=0), "", tblPiNHistorical[[#This Row],[WASH - new]]-tblPiNHistorical[[#This Row],[WASH - old]])</f>
        <v>-7717.5650007912391</v>
      </c>
      <c r="AI137" s="314">
        <f>IFERROR(ROUND((tblPiNHistorical[[#This Row],[CCCM - new]] - tblPiNHistorical[[#This Row],[CCCM - old]])/tblPiNHistorical[[#This Row],[CCCM - old]], 1), "")</f>
        <v>0.7</v>
      </c>
      <c r="AJ137" s="315">
        <f>IFERROR(ROUND((tblPiNHistorical[[#This Row],[Education - new]]-tblPiNHistorical[[#This Row],[Education - old]])/tblPiNHistorical[[#This Row],[Education - old]], 1), "")</f>
        <v>-0.3</v>
      </c>
      <c r="AK137" s="315">
        <f>IFERROR(ROUND((tblPiNHistorical[[#This Row],[Nutrition - new]]-tblPiNHistorical[[#This Row],[Nutrition - old]])/tblPiNHistorical[[#This Row],[Nutrition - old]], 1), "")</f>
        <v>0.1</v>
      </c>
      <c r="AL137" s="315">
        <f>IFERROR(ROUND((tblPiNHistorical[[#This Row],[Food Security - new]]-tblPiNHistorical[[#This Row],[Food Security - old]])/tblPiNHistorical[[#This Row],[Food Security - old]], 1), "")</f>
        <v>0.1</v>
      </c>
      <c r="AM137" s="315">
        <f>IFERROR(ROUND((tblPiNHistorical[[#This Row],[Health - new]]-tblPiNHistorical[[#This Row],[Health - old]])/tblPiNHistorical[[#This Row],[Health - old]], 1), "")</f>
        <v>-0.6</v>
      </c>
      <c r="AN137" s="315">
        <f>IFERROR(ROUND((tblPiNHistorical[[#This Row],[Overarching Protection - new]]-tblPiNHistorical[[#This Row],[Overarching Protection - old]])/tblPiNHistorical[[#This Row],[Overarching Protection - old]], 1), "")</f>
        <v>-0.6</v>
      </c>
      <c r="AO137" s="315">
        <f>IFERROR(ROUND((tblPiNHistorical[[#This Row],[Shelter - new]]-tblPiNHistorical[[#This Row],[Shelter - old]])/tblPiNHistorical[[#This Row],[Shelter - old]], 1), "")</f>
        <v>0</v>
      </c>
      <c r="AP137" s="37">
        <f>IFERROR(ROUND((tblPiNHistorical[[#This Row],[WASH - new]]-tblPiNHistorical[[#This Row],[WASH - old]])/tblPiNHistorical[[#This Row],[WASH - old]], 1), "")</f>
        <v>-0.4</v>
      </c>
    </row>
    <row r="138" spans="1:42">
      <c r="A138"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Global_PopulationHT1022</v>
      </c>
      <c r="B138" s="304" t="s">
        <v>431</v>
      </c>
      <c r="C138" s="213" t="s">
        <v>432</v>
      </c>
      <c r="D138" s="213" t="s">
        <v>443</v>
      </c>
      <c r="E138" s="103" t="s">
        <v>444</v>
      </c>
      <c r="F138" s="99"/>
      <c r="G138" s="34"/>
      <c r="H138" s="331"/>
      <c r="I138" s="96">
        <v>33793</v>
      </c>
      <c r="J138" s="241" t="s">
        <v>156</v>
      </c>
      <c r="K138" s="305">
        <v>4421</v>
      </c>
      <c r="L138" s="306">
        <v>2179</v>
      </c>
      <c r="M138" s="308">
        <v>2719</v>
      </c>
      <c r="N138" s="308">
        <v>19603</v>
      </c>
      <c r="O138" s="308">
        <v>14142</v>
      </c>
      <c r="P138" s="308">
        <v>4400</v>
      </c>
      <c r="Q138" s="309">
        <v>15000</v>
      </c>
      <c r="R138" s="308">
        <v>15895.990173042948</v>
      </c>
      <c r="S138" s="308">
        <f>IFERROR(INDEX(tblPiNAnalysis[CCCM], MATCH(tblPiNHistorical[[#This Row],[ID]], tblPiNAnalysis[ID], 0)), "")</f>
        <v>5395.5</v>
      </c>
      <c r="T138" s="310">
        <f>IFERROR(INDEX(tblPiNAnalysis[Education], MATCH(tblPiNHistorical[[#This Row],[ID]], tblPiNAnalysis[ID], 0)), "")</f>
        <v>1709</v>
      </c>
      <c r="U138" s="308">
        <f>IFERROR(INDEX(tblPiNAnalysis[Nutrition], MATCH(tblPiNHistorical[[#This Row],[ID]], tblPiNAnalysis[ID], 0)), "")</f>
        <v>2906</v>
      </c>
      <c r="V138" s="308">
        <f>IFERROR(INDEX(tblPiNAnalysis[Food Security], MATCH(tblPiNHistorical[[#This Row],[ID]], tblPiNAnalysis[ID], 0)), "")</f>
        <v>20214</v>
      </c>
      <c r="W138" s="308">
        <f>IFERROR(INDEX(tblPiNAnalysis[Health], MATCH(tblPiNHistorical[[#This Row],[ID]], tblPiNAnalysis[ID], 0)), "")</f>
        <v>4920.304594161802</v>
      </c>
      <c r="X138" s="308">
        <f>IFERROR(INDEX(tblPiNAnalysis[Protection], MATCH(tblPiNHistorical[[#This Row],[ID]], tblPiNAnalysis[ID], 0)), "")</f>
        <v>2387.355</v>
      </c>
      <c r="Y138" s="308">
        <f>IFERROR(INDEX(tblPiNAnalysis[Shelter], MATCH(tblPiNHistorical[[#This Row],[ID]], tblPiNAnalysis[ID], 0)), "")</f>
        <v>19451</v>
      </c>
      <c r="Z138" s="308">
        <f>IFERROR(INDEX(tblPiNAnalysis[WASH], MATCH(tblPiNHistorical[[#This Row],[ID]], tblPiNAnalysis[ID], 0)), "")</f>
        <v>5249.75</v>
      </c>
      <c r="AA138" s="311">
        <f>IF(OR(tblPiNHistorical[[#This Row],[CCCM - old]]="", tblPiNHistorical[[#This Row],[CCCM - old]]=0, tblPiNHistorical[[#This Row],[CCCM - new]]="", tblPiNHistorical[[#This Row],[CCCM - new]]=0), "", tblPiNHistorical[[#This Row],[CCCM - new]]-tblPiNHistorical[[#This Row],[CCCM - old]])</f>
        <v>974.5</v>
      </c>
      <c r="AB138" s="312">
        <f>IF(OR(tblPiNHistorical[[#This Row],[Education - old]]="", tblPiNHistorical[[#This Row],[Education - old]]=0, tblPiNHistorical[[#This Row],[Education - new]]="", tblPiNHistorical[[#This Row],[Education - new]]=0), "", tblPiNHistorical[[#This Row],[Education - new]]-tblPiNHistorical[[#This Row],[Education - old]])</f>
        <v>-470</v>
      </c>
      <c r="AC138" s="312">
        <f>IF(OR(tblPiNHistorical[[#This Row],[Nutrition - old]]="", tblPiNHistorical[[#This Row],[Nutrition - old]]=0, tblPiNHistorical[[#This Row],[Nutrition - new]]="", tblPiNHistorical[[#This Row],[Nutrition - new]]=0), "", tblPiNHistorical[[#This Row],[Nutrition - new]]-tblPiNHistorical[[#This Row],[Nutrition - old]])</f>
        <v>187</v>
      </c>
      <c r="AD138" s="312">
        <f>IF(OR(tblPiNHistorical[[#This Row],[Food Security - old]]="", tblPiNHistorical[[#This Row],[Food Security - old]]=0, tblPiNHistorical[[#This Row],[Food Security - new]]="", tblPiNHistorical[[#This Row],[Food Security - new]]=0), "", tblPiNHistorical[[#This Row],[Food Security - new]]-tblPiNHistorical[[#This Row],[Food Security - old]])</f>
        <v>611</v>
      </c>
      <c r="AE138" s="312">
        <f>IF(OR(tblPiNHistorical[[#This Row],[Health - old]]="", tblPiNHistorical[[#This Row],[Health - old]]=0, tblPiNHistorical[[#This Row],[Health - new]]="", tblPiNHistorical[[#This Row],[Health - new]]=0), "", tblPiNHistorical[[#This Row],[Health - new]]-tblPiNHistorical[[#This Row],[Health - old]])</f>
        <v>-9221.695405838198</v>
      </c>
      <c r="AF138"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-2012.645</v>
      </c>
      <c r="AG138" s="312">
        <f>IF(OR(tblPiNHistorical[[#This Row],[Shelter - old]]="", tblPiNHistorical[[#This Row],[Shelter - old]]=0, tblPiNHistorical[[#This Row],[Shelter - new]]="", tblPiNHistorical[[#This Row],[Shelter - new]]=0), "", tblPiNHistorical[[#This Row],[Shelter - new]]-tblPiNHistorical[[#This Row],[Shelter - old]])</f>
        <v>4451</v>
      </c>
      <c r="AH138" s="313">
        <f>IF(OR(tblPiNHistorical[[#This Row],[WASH - old]]="", tblPiNHistorical[[#This Row],[WASH - old]]=0, tblPiNHistorical[[#This Row],[WASH - new]]="", tblPiNHistorical[[#This Row],[WASH - new]]=0), "", tblPiNHistorical[[#This Row],[WASH - new]]-tblPiNHistorical[[#This Row],[WASH - old]])</f>
        <v>-10646.240173042948</v>
      </c>
      <c r="AI138" s="314">
        <f>IFERROR(ROUND((tblPiNHistorical[[#This Row],[CCCM - new]] - tblPiNHistorical[[#This Row],[CCCM - old]])/tblPiNHistorical[[#This Row],[CCCM - old]], 1), "")</f>
        <v>0.2</v>
      </c>
      <c r="AJ138" s="315">
        <f>IFERROR(ROUND((tblPiNHistorical[[#This Row],[Education - new]]-tblPiNHistorical[[#This Row],[Education - old]])/tblPiNHistorical[[#This Row],[Education - old]], 1), "")</f>
        <v>-0.2</v>
      </c>
      <c r="AK138" s="315">
        <f>IFERROR(ROUND((tblPiNHistorical[[#This Row],[Nutrition - new]]-tblPiNHistorical[[#This Row],[Nutrition - old]])/tblPiNHistorical[[#This Row],[Nutrition - old]], 1), "")</f>
        <v>0.1</v>
      </c>
      <c r="AL138" s="315">
        <f>IFERROR(ROUND((tblPiNHistorical[[#This Row],[Food Security - new]]-tblPiNHistorical[[#This Row],[Food Security - old]])/tblPiNHistorical[[#This Row],[Food Security - old]], 1), "")</f>
        <v>0</v>
      </c>
      <c r="AM138" s="315">
        <f>IFERROR(ROUND((tblPiNHistorical[[#This Row],[Health - new]]-tblPiNHistorical[[#This Row],[Health - old]])/tblPiNHistorical[[#This Row],[Health - old]], 1), "")</f>
        <v>-0.7</v>
      </c>
      <c r="AN138" s="315">
        <f>IFERROR(ROUND((tblPiNHistorical[[#This Row],[Overarching Protection - new]]-tblPiNHistorical[[#This Row],[Overarching Protection - old]])/tblPiNHistorical[[#This Row],[Overarching Protection - old]], 1), "")</f>
        <v>-0.5</v>
      </c>
      <c r="AO138" s="315">
        <f>IFERROR(ROUND((tblPiNHistorical[[#This Row],[Shelter - new]]-tblPiNHistorical[[#This Row],[Shelter - old]])/tblPiNHistorical[[#This Row],[Shelter - old]], 1), "")</f>
        <v>0.3</v>
      </c>
      <c r="AP138" s="37">
        <f>IFERROR(ROUND((tblPiNHistorical[[#This Row],[WASH - new]]-tblPiNHistorical[[#This Row],[WASH - old]])/tblPiNHistorical[[#This Row],[WASH - old]], 1), "")</f>
        <v>-0.7</v>
      </c>
    </row>
    <row r="139" spans="1:42">
      <c r="A139"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Global_PopulationHT1023</v>
      </c>
      <c r="B139" s="304" t="s">
        <v>431</v>
      </c>
      <c r="C139" s="213" t="s">
        <v>432</v>
      </c>
      <c r="D139" s="213" t="s">
        <v>445</v>
      </c>
      <c r="E139" s="103" t="s">
        <v>446</v>
      </c>
      <c r="F139" s="99"/>
      <c r="G139" s="34"/>
      <c r="H139" s="331"/>
      <c r="I139" s="96">
        <v>45890</v>
      </c>
      <c r="J139" s="241" t="s">
        <v>156</v>
      </c>
      <c r="K139" s="305">
        <v>5475</v>
      </c>
      <c r="L139" s="306">
        <v>3442</v>
      </c>
      <c r="M139" s="308">
        <v>3798</v>
      </c>
      <c r="N139" s="308">
        <v>26847</v>
      </c>
      <c r="O139" s="308">
        <v>18289</v>
      </c>
      <c r="P139" s="308">
        <v>5176</v>
      </c>
      <c r="Q139" s="309">
        <v>21120</v>
      </c>
      <c r="R139" s="308">
        <v>17957.144479138515</v>
      </c>
      <c r="S139" s="308">
        <f>IFERROR(INDEX(tblPiNAnalysis[CCCM], MATCH(tblPiNHistorical[[#This Row],[ID]], tblPiNAnalysis[ID], 0)), "")</f>
        <v>7630.5</v>
      </c>
      <c r="T139" s="310">
        <f>IFERROR(INDEX(tblPiNAnalysis[Education], MATCH(tblPiNHistorical[[#This Row],[ID]], tblPiNAnalysis[ID], 0)), "")</f>
        <v>2373</v>
      </c>
      <c r="U139" s="308">
        <f>IFERROR(INDEX(tblPiNAnalysis[Nutrition], MATCH(tblPiNHistorical[[#This Row],[ID]], tblPiNAnalysis[ID], 0)), "")</f>
        <v>4274</v>
      </c>
      <c r="V139" s="308">
        <f>IFERROR(INDEX(tblPiNAnalysis[Food Security], MATCH(tblPiNHistorical[[#This Row],[ID]], tblPiNAnalysis[ID], 0)), "")</f>
        <v>26940</v>
      </c>
      <c r="W139" s="308">
        <f>IFERROR(INDEX(tblPiNAnalysis[Health], MATCH(tblPiNHistorical[[#This Row],[ID]], tblPiNAnalysis[ID], 0)), "")</f>
        <v>7123.852742834677</v>
      </c>
      <c r="X139" s="308">
        <f>IFERROR(INDEX(tblPiNAnalysis[Protection], MATCH(tblPiNHistorical[[#This Row],[ID]], tblPiNAnalysis[ID], 0)), "")</f>
        <v>5158.04</v>
      </c>
      <c r="Y139" s="308">
        <f>IFERROR(INDEX(tblPiNAnalysis[Shelter], MATCH(tblPiNHistorical[[#This Row],[ID]], tblPiNAnalysis[ID], 0)), "")</f>
        <v>11584</v>
      </c>
      <c r="Z139" s="308">
        <f>IFERROR(INDEX(tblPiNAnalysis[WASH], MATCH(tblPiNHistorical[[#This Row],[ID]], tblPiNAnalysis[ID], 0)), "")</f>
        <v>11472.5</v>
      </c>
      <c r="AA139" s="311">
        <f>IF(OR(tblPiNHistorical[[#This Row],[CCCM - old]]="", tblPiNHistorical[[#This Row],[CCCM - old]]=0, tblPiNHistorical[[#This Row],[CCCM - new]]="", tblPiNHistorical[[#This Row],[CCCM - new]]=0), "", tblPiNHistorical[[#This Row],[CCCM - new]]-tblPiNHistorical[[#This Row],[CCCM - old]])</f>
        <v>2155.5</v>
      </c>
      <c r="AB139" s="312">
        <f>IF(OR(tblPiNHistorical[[#This Row],[Education - old]]="", tblPiNHistorical[[#This Row],[Education - old]]=0, tblPiNHistorical[[#This Row],[Education - new]]="", tblPiNHistorical[[#This Row],[Education - new]]=0), "", tblPiNHistorical[[#This Row],[Education - new]]-tblPiNHistorical[[#This Row],[Education - old]])</f>
        <v>-1069</v>
      </c>
      <c r="AC139" s="312">
        <f>IF(OR(tblPiNHistorical[[#This Row],[Nutrition - old]]="", tblPiNHistorical[[#This Row],[Nutrition - old]]=0, tblPiNHistorical[[#This Row],[Nutrition - new]]="", tblPiNHistorical[[#This Row],[Nutrition - new]]=0), "", tblPiNHistorical[[#This Row],[Nutrition - new]]-tblPiNHistorical[[#This Row],[Nutrition - old]])</f>
        <v>476</v>
      </c>
      <c r="AD139" s="312">
        <f>IF(OR(tblPiNHistorical[[#This Row],[Food Security - old]]="", tblPiNHistorical[[#This Row],[Food Security - old]]=0, tblPiNHistorical[[#This Row],[Food Security - new]]="", tblPiNHistorical[[#This Row],[Food Security - new]]=0), "", tblPiNHistorical[[#This Row],[Food Security - new]]-tblPiNHistorical[[#This Row],[Food Security - old]])</f>
        <v>93</v>
      </c>
      <c r="AE139" s="312">
        <f>IF(OR(tblPiNHistorical[[#This Row],[Health - old]]="", tblPiNHistorical[[#This Row],[Health - old]]=0, tblPiNHistorical[[#This Row],[Health - new]]="", tblPiNHistorical[[#This Row],[Health - new]]=0), "", tblPiNHistorical[[#This Row],[Health - new]]-tblPiNHistorical[[#This Row],[Health - old]])</f>
        <v>-11165.147257165323</v>
      </c>
      <c r="AF139"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-17.960000000000036</v>
      </c>
      <c r="AG139" s="312">
        <f>IF(OR(tblPiNHistorical[[#This Row],[Shelter - old]]="", tblPiNHistorical[[#This Row],[Shelter - old]]=0, tblPiNHistorical[[#This Row],[Shelter - new]]="", tblPiNHistorical[[#This Row],[Shelter - new]]=0), "", tblPiNHistorical[[#This Row],[Shelter - new]]-tblPiNHistorical[[#This Row],[Shelter - old]])</f>
        <v>-9536</v>
      </c>
      <c r="AH139" s="313">
        <f>IF(OR(tblPiNHistorical[[#This Row],[WASH - old]]="", tblPiNHistorical[[#This Row],[WASH - old]]=0, tblPiNHistorical[[#This Row],[WASH - new]]="", tblPiNHistorical[[#This Row],[WASH - new]]=0), "", tblPiNHistorical[[#This Row],[WASH - new]]-tblPiNHistorical[[#This Row],[WASH - old]])</f>
        <v>-6484.6444791385147</v>
      </c>
      <c r="AI139" s="314">
        <f>IFERROR(ROUND((tblPiNHistorical[[#This Row],[CCCM - new]] - tblPiNHistorical[[#This Row],[CCCM - old]])/tblPiNHistorical[[#This Row],[CCCM - old]], 1), "")</f>
        <v>0.4</v>
      </c>
      <c r="AJ139" s="315">
        <f>IFERROR(ROUND((tblPiNHistorical[[#This Row],[Education - new]]-tblPiNHistorical[[#This Row],[Education - old]])/tblPiNHistorical[[#This Row],[Education - old]], 1), "")</f>
        <v>-0.3</v>
      </c>
      <c r="AK139" s="315">
        <f>IFERROR(ROUND((tblPiNHistorical[[#This Row],[Nutrition - new]]-tblPiNHistorical[[#This Row],[Nutrition - old]])/tblPiNHistorical[[#This Row],[Nutrition - old]], 1), "")</f>
        <v>0.1</v>
      </c>
      <c r="AL139" s="315">
        <f>IFERROR(ROUND((tblPiNHistorical[[#This Row],[Food Security - new]]-tblPiNHistorical[[#This Row],[Food Security - old]])/tblPiNHistorical[[#This Row],[Food Security - old]], 1), "")</f>
        <v>0</v>
      </c>
      <c r="AM139" s="315">
        <f>IFERROR(ROUND((tblPiNHistorical[[#This Row],[Health - new]]-tblPiNHistorical[[#This Row],[Health - old]])/tblPiNHistorical[[#This Row],[Health - old]], 1), "")</f>
        <v>-0.6</v>
      </c>
      <c r="AN139" s="315">
        <f>IFERROR(ROUND((tblPiNHistorical[[#This Row],[Overarching Protection - new]]-tblPiNHistorical[[#This Row],[Overarching Protection - old]])/tblPiNHistorical[[#This Row],[Overarching Protection - old]], 1), "")</f>
        <v>0</v>
      </c>
      <c r="AO139" s="315">
        <f>IFERROR(ROUND((tblPiNHistorical[[#This Row],[Shelter - new]]-tblPiNHistorical[[#This Row],[Shelter - old]])/tblPiNHistorical[[#This Row],[Shelter - old]], 1), "")</f>
        <v>-0.5</v>
      </c>
      <c r="AP139" s="37">
        <f>IFERROR(ROUND((tblPiNHistorical[[#This Row],[WASH - new]]-tblPiNHistorical[[#This Row],[WASH - old]])/tblPiNHistorical[[#This Row],[WASH - old]], 1), "")</f>
        <v>-0.4</v>
      </c>
    </row>
    <row r="140" spans="1:42">
      <c r="A140"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Global_PopulationHT1024</v>
      </c>
      <c r="B140" s="304" t="s">
        <v>431</v>
      </c>
      <c r="C140" s="213" t="s">
        <v>432</v>
      </c>
      <c r="D140" s="213" t="s">
        <v>447</v>
      </c>
      <c r="E140" s="103" t="s">
        <v>448</v>
      </c>
      <c r="F140" s="99"/>
      <c r="G140" s="34"/>
      <c r="H140" s="331"/>
      <c r="I140" s="96">
        <v>23479</v>
      </c>
      <c r="J140" s="241" t="s">
        <v>156</v>
      </c>
      <c r="K140" s="305">
        <v>3252</v>
      </c>
      <c r="L140" s="306">
        <v>1622</v>
      </c>
      <c r="M140" s="308">
        <v>2246</v>
      </c>
      <c r="N140" s="308">
        <v>13542</v>
      </c>
      <c r="O140" s="308">
        <v>10054</v>
      </c>
      <c r="P140" s="308">
        <v>3988</v>
      </c>
      <c r="Q140" s="309">
        <v>13998</v>
      </c>
      <c r="R140" s="308">
        <v>10120.969524645465</v>
      </c>
      <c r="S140" s="308">
        <f>IFERROR(INDEX(tblPiNAnalysis[CCCM], MATCH(tblPiNHistorical[[#This Row],[ID]], tblPiNAnalysis[ID], 0)), "")</f>
        <v>5619</v>
      </c>
      <c r="T140" s="310">
        <f>IFERROR(INDEX(tblPiNAnalysis[Education], MATCH(tblPiNHistorical[[#This Row],[ID]], tblPiNAnalysis[ID], 0)), "")</f>
        <v>1204</v>
      </c>
      <c r="U140" s="308">
        <f>IFERROR(INDEX(tblPiNAnalysis[Nutrition], MATCH(tblPiNHistorical[[#This Row],[ID]], tblPiNAnalysis[ID], 0)), "")</f>
        <v>2337</v>
      </c>
      <c r="V140" s="308">
        <f>IFERROR(INDEX(tblPiNAnalysis[Food Security], MATCH(tblPiNHistorical[[#This Row],[ID]], tblPiNAnalysis[ID], 0)), "")</f>
        <v>13933</v>
      </c>
      <c r="W140" s="308">
        <f>IFERROR(INDEX(tblPiNAnalysis[Health], MATCH(tblPiNHistorical[[#This Row],[ID]], tblPiNAnalysis[ID], 0)), "")</f>
        <v>5184.8062</v>
      </c>
      <c r="X140" s="308">
        <f>IFERROR(INDEX(tblPiNAnalysis[Protection], MATCH(tblPiNHistorical[[#This Row],[ID]], tblPiNAnalysis[ID], 0)), "")</f>
        <v>1873</v>
      </c>
      <c r="Y140" s="308">
        <f>IFERROR(INDEX(tblPiNAnalysis[Shelter], MATCH(tblPiNHistorical[[#This Row],[ID]], tblPiNAnalysis[ID], 0)), "")</f>
        <v>5870</v>
      </c>
      <c r="Z140" s="308">
        <f>IFERROR(INDEX(tblPiNAnalysis[WASH], MATCH(tblPiNHistorical[[#This Row],[ID]], tblPiNAnalysis[ID], 0)), "")</f>
        <v>3746</v>
      </c>
      <c r="AA140" s="311">
        <f>IF(OR(tblPiNHistorical[[#This Row],[CCCM - old]]="", tblPiNHistorical[[#This Row],[CCCM - old]]=0, tblPiNHistorical[[#This Row],[CCCM - new]]="", tblPiNHistorical[[#This Row],[CCCM - new]]=0), "", tblPiNHistorical[[#This Row],[CCCM - new]]-tblPiNHistorical[[#This Row],[CCCM - old]])</f>
        <v>2367</v>
      </c>
      <c r="AB140" s="312">
        <f>IF(OR(tblPiNHistorical[[#This Row],[Education - old]]="", tblPiNHistorical[[#This Row],[Education - old]]=0, tblPiNHistorical[[#This Row],[Education - new]]="", tblPiNHistorical[[#This Row],[Education - new]]=0), "", tblPiNHistorical[[#This Row],[Education - new]]-tblPiNHistorical[[#This Row],[Education - old]])</f>
        <v>-418</v>
      </c>
      <c r="AC140" s="312">
        <f>IF(OR(tblPiNHistorical[[#This Row],[Nutrition - old]]="", tblPiNHistorical[[#This Row],[Nutrition - old]]=0, tblPiNHistorical[[#This Row],[Nutrition - new]]="", tblPiNHistorical[[#This Row],[Nutrition - new]]=0), "", tblPiNHistorical[[#This Row],[Nutrition - new]]-tblPiNHistorical[[#This Row],[Nutrition - old]])</f>
        <v>91</v>
      </c>
      <c r="AD140" s="312">
        <f>IF(OR(tblPiNHistorical[[#This Row],[Food Security - old]]="", tblPiNHistorical[[#This Row],[Food Security - old]]=0, tblPiNHistorical[[#This Row],[Food Security - new]]="", tblPiNHistorical[[#This Row],[Food Security - new]]=0), "", tblPiNHistorical[[#This Row],[Food Security - new]]-tblPiNHistorical[[#This Row],[Food Security - old]])</f>
        <v>391</v>
      </c>
      <c r="AE140" s="312">
        <f>IF(OR(tblPiNHistorical[[#This Row],[Health - old]]="", tblPiNHistorical[[#This Row],[Health - old]]=0, tblPiNHistorical[[#This Row],[Health - new]]="", tblPiNHistorical[[#This Row],[Health - new]]=0), "", tblPiNHistorical[[#This Row],[Health - new]]-tblPiNHistorical[[#This Row],[Health - old]])</f>
        <v>-4869.1938</v>
      </c>
      <c r="AF140"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-2115</v>
      </c>
      <c r="AG140" s="312">
        <f>IF(OR(tblPiNHistorical[[#This Row],[Shelter - old]]="", tblPiNHistorical[[#This Row],[Shelter - old]]=0, tblPiNHistorical[[#This Row],[Shelter - new]]="", tblPiNHistorical[[#This Row],[Shelter - new]]=0), "", tblPiNHistorical[[#This Row],[Shelter - new]]-tblPiNHistorical[[#This Row],[Shelter - old]])</f>
        <v>-8128</v>
      </c>
      <c r="AH140" s="313">
        <f>IF(OR(tblPiNHistorical[[#This Row],[WASH - old]]="", tblPiNHistorical[[#This Row],[WASH - old]]=0, tblPiNHistorical[[#This Row],[WASH - new]]="", tblPiNHistorical[[#This Row],[WASH - new]]=0), "", tblPiNHistorical[[#This Row],[WASH - new]]-tblPiNHistorical[[#This Row],[WASH - old]])</f>
        <v>-6374.9695246454648</v>
      </c>
      <c r="AI140" s="314">
        <f>IFERROR(ROUND((tblPiNHistorical[[#This Row],[CCCM - new]] - tblPiNHistorical[[#This Row],[CCCM - old]])/tblPiNHistorical[[#This Row],[CCCM - old]], 1), "")</f>
        <v>0.7</v>
      </c>
      <c r="AJ140" s="315">
        <f>IFERROR(ROUND((tblPiNHistorical[[#This Row],[Education - new]]-tblPiNHistorical[[#This Row],[Education - old]])/tblPiNHistorical[[#This Row],[Education - old]], 1), "")</f>
        <v>-0.3</v>
      </c>
      <c r="AK140" s="315">
        <f>IFERROR(ROUND((tblPiNHistorical[[#This Row],[Nutrition - new]]-tblPiNHistorical[[#This Row],[Nutrition - old]])/tblPiNHistorical[[#This Row],[Nutrition - old]], 1), "")</f>
        <v>0</v>
      </c>
      <c r="AL140" s="315">
        <f>IFERROR(ROUND((tblPiNHistorical[[#This Row],[Food Security - new]]-tblPiNHistorical[[#This Row],[Food Security - old]])/tblPiNHistorical[[#This Row],[Food Security - old]], 1), "")</f>
        <v>0</v>
      </c>
      <c r="AM140" s="315">
        <f>IFERROR(ROUND((tblPiNHistorical[[#This Row],[Health - new]]-tblPiNHistorical[[#This Row],[Health - old]])/tblPiNHistorical[[#This Row],[Health - old]], 1), "")</f>
        <v>-0.5</v>
      </c>
      <c r="AN140" s="315">
        <f>IFERROR(ROUND((tblPiNHistorical[[#This Row],[Overarching Protection - new]]-tblPiNHistorical[[#This Row],[Overarching Protection - old]])/tblPiNHistorical[[#This Row],[Overarching Protection - old]], 1), "")</f>
        <v>-0.5</v>
      </c>
      <c r="AO140" s="315">
        <f>IFERROR(ROUND((tblPiNHistorical[[#This Row],[Shelter - new]]-tblPiNHistorical[[#This Row],[Shelter - old]])/tblPiNHistorical[[#This Row],[Shelter - old]], 1), "")</f>
        <v>-0.6</v>
      </c>
      <c r="AP140" s="37">
        <f>IFERROR(ROUND((tblPiNHistorical[[#This Row],[WASH - new]]-tblPiNHistorical[[#This Row],[WASH - old]])/tblPiNHistorical[[#This Row],[WASH - old]], 1), "")</f>
        <v>-0.6</v>
      </c>
    </row>
    <row r="141" spans="1:42">
      <c r="A141"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Global_PopulationHT1025</v>
      </c>
      <c r="B141" s="304" t="s">
        <v>431</v>
      </c>
      <c r="C141" s="213" t="s">
        <v>432</v>
      </c>
      <c r="D141" s="213" t="s">
        <v>449</v>
      </c>
      <c r="E141" s="103" t="s">
        <v>450</v>
      </c>
      <c r="F141" s="99"/>
      <c r="G141" s="34"/>
      <c r="H141" s="331"/>
      <c r="I141" s="96">
        <v>32168</v>
      </c>
      <c r="J141" s="241" t="s">
        <v>156</v>
      </c>
      <c r="K141" s="305">
        <v>6186</v>
      </c>
      <c r="L141" s="306">
        <v>1885</v>
      </c>
      <c r="M141" s="308">
        <v>2652</v>
      </c>
      <c r="N141" s="308">
        <v>17809</v>
      </c>
      <c r="O141" s="308">
        <v>16387</v>
      </c>
      <c r="P141" s="308">
        <v>3641</v>
      </c>
      <c r="Q141" s="309">
        <v>15000</v>
      </c>
      <c r="R141" s="308">
        <v>15007.705280108208</v>
      </c>
      <c r="S141" s="308">
        <f>IFERROR(INDEX(tblPiNAnalysis[CCCM], MATCH(tblPiNHistorical[[#This Row],[ID]], tblPiNAnalysis[ID], 0)), "")</f>
        <v>11580</v>
      </c>
      <c r="T141" s="310">
        <f>IFERROR(INDEX(tblPiNAnalysis[Education], MATCH(tblPiNHistorical[[#This Row],[ID]], tblPiNAnalysis[ID], 0)), "")</f>
        <v>1663</v>
      </c>
      <c r="U141" s="308">
        <f>IFERROR(INDEX(tblPiNAnalysis[Nutrition], MATCH(tblPiNHistorical[[#This Row],[ID]], tblPiNAnalysis[ID], 0)), "")</f>
        <v>3195</v>
      </c>
      <c r="V141" s="308">
        <f>IFERROR(INDEX(tblPiNAnalysis[Food Security], MATCH(tblPiNHistorical[[#This Row],[ID]], tblPiNAnalysis[ID], 0)), "")</f>
        <v>17105</v>
      </c>
      <c r="W141" s="308">
        <f>IFERROR(INDEX(tblPiNAnalysis[Health], MATCH(tblPiNHistorical[[#This Row],[ID]], tblPiNAnalysis[ID], 0)), "")</f>
        <v>15930.226511968272</v>
      </c>
      <c r="X141" s="308">
        <f>IFERROR(INDEX(tblPiNAnalysis[Protection], MATCH(tblPiNHistorical[[#This Row],[ID]], tblPiNAnalysis[ID], 0)), "")</f>
        <v>3886.64</v>
      </c>
      <c r="Y141" s="308">
        <f>IFERROR(INDEX(tblPiNAnalysis[Shelter], MATCH(tblPiNHistorical[[#This Row],[ID]], tblPiNAnalysis[ID], 0)), "")</f>
        <v>20301</v>
      </c>
      <c r="Z141" s="308">
        <f>IFERROR(INDEX(tblPiNAnalysis[WASH], MATCH(tblPiNHistorical[[#This Row],[ID]], tblPiNAnalysis[ID], 0)), "")</f>
        <v>7720</v>
      </c>
      <c r="AA141" s="311">
        <f>IF(OR(tblPiNHistorical[[#This Row],[CCCM - old]]="", tblPiNHistorical[[#This Row],[CCCM - old]]=0, tblPiNHistorical[[#This Row],[CCCM - new]]="", tblPiNHistorical[[#This Row],[CCCM - new]]=0), "", tblPiNHistorical[[#This Row],[CCCM - new]]-tblPiNHistorical[[#This Row],[CCCM - old]])</f>
        <v>5394</v>
      </c>
      <c r="AB141" s="312">
        <f>IF(OR(tblPiNHistorical[[#This Row],[Education - old]]="", tblPiNHistorical[[#This Row],[Education - old]]=0, tblPiNHistorical[[#This Row],[Education - new]]="", tblPiNHistorical[[#This Row],[Education - new]]=0), "", tblPiNHistorical[[#This Row],[Education - new]]-tblPiNHistorical[[#This Row],[Education - old]])</f>
        <v>-222</v>
      </c>
      <c r="AC141" s="312">
        <f>IF(OR(tblPiNHistorical[[#This Row],[Nutrition - old]]="", tblPiNHistorical[[#This Row],[Nutrition - old]]=0, tblPiNHistorical[[#This Row],[Nutrition - new]]="", tblPiNHistorical[[#This Row],[Nutrition - new]]=0), "", tblPiNHistorical[[#This Row],[Nutrition - new]]-tblPiNHistorical[[#This Row],[Nutrition - old]])</f>
        <v>543</v>
      </c>
      <c r="AD141" s="312">
        <f>IF(OR(tblPiNHistorical[[#This Row],[Food Security - old]]="", tblPiNHistorical[[#This Row],[Food Security - old]]=0, tblPiNHistorical[[#This Row],[Food Security - new]]="", tblPiNHistorical[[#This Row],[Food Security - new]]=0), "", tblPiNHistorical[[#This Row],[Food Security - new]]-tblPiNHistorical[[#This Row],[Food Security - old]])</f>
        <v>-704</v>
      </c>
      <c r="AE141" s="312">
        <f>IF(OR(tblPiNHistorical[[#This Row],[Health - old]]="", tblPiNHistorical[[#This Row],[Health - old]]=0, tblPiNHistorical[[#This Row],[Health - new]]="", tblPiNHistorical[[#This Row],[Health - new]]=0), "", tblPiNHistorical[[#This Row],[Health - new]]-tblPiNHistorical[[#This Row],[Health - old]])</f>
        <v>-456.77348803172754</v>
      </c>
      <c r="AF141"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245.63999999999987</v>
      </c>
      <c r="AG141" s="312">
        <f>IF(OR(tblPiNHistorical[[#This Row],[Shelter - old]]="", tblPiNHistorical[[#This Row],[Shelter - old]]=0, tblPiNHistorical[[#This Row],[Shelter - new]]="", tblPiNHistorical[[#This Row],[Shelter - new]]=0), "", tblPiNHistorical[[#This Row],[Shelter - new]]-tblPiNHistorical[[#This Row],[Shelter - old]])</f>
        <v>5301</v>
      </c>
      <c r="AH141" s="313">
        <f>IF(OR(tblPiNHistorical[[#This Row],[WASH - old]]="", tblPiNHistorical[[#This Row],[WASH - old]]=0, tblPiNHistorical[[#This Row],[WASH - new]]="", tblPiNHistorical[[#This Row],[WASH - new]]=0), "", tblPiNHistorical[[#This Row],[WASH - new]]-tblPiNHistorical[[#This Row],[WASH - old]])</f>
        <v>-7287.7052801082082</v>
      </c>
      <c r="AI141" s="314">
        <f>IFERROR(ROUND((tblPiNHistorical[[#This Row],[CCCM - new]] - tblPiNHistorical[[#This Row],[CCCM - old]])/tblPiNHistorical[[#This Row],[CCCM - old]], 1), "")</f>
        <v>0.9</v>
      </c>
      <c r="AJ141" s="315">
        <f>IFERROR(ROUND((tblPiNHistorical[[#This Row],[Education - new]]-tblPiNHistorical[[#This Row],[Education - old]])/tblPiNHistorical[[#This Row],[Education - old]], 1), "")</f>
        <v>-0.1</v>
      </c>
      <c r="AK141" s="315">
        <f>IFERROR(ROUND((tblPiNHistorical[[#This Row],[Nutrition - new]]-tblPiNHistorical[[#This Row],[Nutrition - old]])/tblPiNHistorical[[#This Row],[Nutrition - old]], 1), "")</f>
        <v>0.2</v>
      </c>
      <c r="AL141" s="315">
        <f>IFERROR(ROUND((tblPiNHistorical[[#This Row],[Food Security - new]]-tblPiNHistorical[[#This Row],[Food Security - old]])/tblPiNHistorical[[#This Row],[Food Security - old]], 1), "")</f>
        <v>0</v>
      </c>
      <c r="AM141" s="315">
        <f>IFERROR(ROUND((tblPiNHistorical[[#This Row],[Health - new]]-tblPiNHistorical[[#This Row],[Health - old]])/tblPiNHistorical[[#This Row],[Health - old]], 1), "")</f>
        <v>0</v>
      </c>
      <c r="AN141" s="315">
        <f>IFERROR(ROUND((tblPiNHistorical[[#This Row],[Overarching Protection - new]]-tblPiNHistorical[[#This Row],[Overarching Protection - old]])/tblPiNHistorical[[#This Row],[Overarching Protection - old]], 1), "")</f>
        <v>0.1</v>
      </c>
      <c r="AO141" s="315">
        <f>IFERROR(ROUND((tblPiNHistorical[[#This Row],[Shelter - new]]-tblPiNHistorical[[#This Row],[Shelter - old]])/tblPiNHistorical[[#This Row],[Shelter - old]], 1), "")</f>
        <v>0.4</v>
      </c>
      <c r="AP141" s="37">
        <f>IFERROR(ROUND((tblPiNHistorical[[#This Row],[WASH - new]]-tblPiNHistorical[[#This Row],[WASH - old]])/tblPiNHistorical[[#This Row],[WASH - old]], 1), "")</f>
        <v>-0.5</v>
      </c>
    </row>
    <row r="142" spans="1:42">
      <c r="A142"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Global_PopulationHT1031</v>
      </c>
      <c r="B142" s="304" t="s">
        <v>431</v>
      </c>
      <c r="C142" s="213" t="s">
        <v>432</v>
      </c>
      <c r="D142" s="213" t="s">
        <v>451</v>
      </c>
      <c r="E142" s="103" t="s">
        <v>452</v>
      </c>
      <c r="F142" s="99"/>
      <c r="G142" s="34"/>
      <c r="H142" s="331"/>
      <c r="I142" s="96">
        <v>45622</v>
      </c>
      <c r="J142" s="241" t="s">
        <v>156</v>
      </c>
      <c r="K142" s="305">
        <v>4829</v>
      </c>
      <c r="L142" s="306">
        <v>3200</v>
      </c>
      <c r="M142" s="308">
        <v>3574</v>
      </c>
      <c r="N142" s="308">
        <v>26960</v>
      </c>
      <c r="O142" s="308">
        <v>17492</v>
      </c>
      <c r="P142" s="308">
        <v>4338</v>
      </c>
      <c r="Q142" s="309">
        <v>13251</v>
      </c>
      <c r="R142" s="308">
        <v>25714.79195198659</v>
      </c>
      <c r="S142" s="308">
        <f>IFERROR(INDEX(tblPiNAnalysis[CCCM], MATCH(tblPiNHistorical[[#This Row],[ID]], tblPiNAnalysis[ID], 0)), "")</f>
        <v>9244.5</v>
      </c>
      <c r="T142" s="310">
        <f>IFERROR(INDEX(tblPiNAnalysis[Education], MATCH(tblPiNHistorical[[#This Row],[ID]], tblPiNAnalysis[ID], 0)), "")</f>
        <v>2362</v>
      </c>
      <c r="U142" s="308">
        <f>IFERROR(INDEX(tblPiNAnalysis[Nutrition], MATCH(tblPiNHistorical[[#This Row],[ID]], tblPiNAnalysis[ID], 0)), "")</f>
        <v>3957</v>
      </c>
      <c r="V142" s="308">
        <f>IFERROR(INDEX(tblPiNAnalysis[Food Security], MATCH(tblPiNHistorical[[#This Row],[ID]], tblPiNAnalysis[ID], 0)), "")</f>
        <v>25895</v>
      </c>
      <c r="W142" s="308">
        <f>IFERROR(INDEX(tblPiNAnalysis[Health], MATCH(tblPiNHistorical[[#This Row],[ID]], tblPiNAnalysis[ID], 0)), "")</f>
        <v>5390.4708983936398</v>
      </c>
      <c r="X142" s="308">
        <f>IFERROR(INDEX(tblPiNAnalysis[Protection], MATCH(tblPiNHistorical[[#This Row],[ID]], tblPiNAnalysis[ID], 0)), "")</f>
        <v>3123.26</v>
      </c>
      <c r="Y142" s="308">
        <f>IFERROR(INDEX(tblPiNAnalysis[Shelter], MATCH(tblPiNHistorical[[#This Row],[ID]], tblPiNAnalysis[ID], 0)), "")</f>
        <v>22985</v>
      </c>
      <c r="Z142" s="308">
        <f>IFERROR(INDEX(tblPiNAnalysis[WASH], MATCH(tblPiNHistorical[[#This Row],[ID]], tblPiNAnalysis[ID], 0)), "")</f>
        <v>17108.25</v>
      </c>
      <c r="AA142" s="311">
        <f>IF(OR(tblPiNHistorical[[#This Row],[CCCM - old]]="", tblPiNHistorical[[#This Row],[CCCM - old]]=0, tblPiNHistorical[[#This Row],[CCCM - new]]="", tblPiNHistorical[[#This Row],[CCCM - new]]=0), "", tblPiNHistorical[[#This Row],[CCCM - new]]-tblPiNHistorical[[#This Row],[CCCM - old]])</f>
        <v>4415.5</v>
      </c>
      <c r="AB142" s="312">
        <f>IF(OR(tblPiNHistorical[[#This Row],[Education - old]]="", tblPiNHistorical[[#This Row],[Education - old]]=0, tblPiNHistorical[[#This Row],[Education - new]]="", tblPiNHistorical[[#This Row],[Education - new]]=0), "", tblPiNHistorical[[#This Row],[Education - new]]-tblPiNHistorical[[#This Row],[Education - old]])</f>
        <v>-838</v>
      </c>
      <c r="AC142" s="312">
        <f>IF(OR(tblPiNHistorical[[#This Row],[Nutrition - old]]="", tblPiNHistorical[[#This Row],[Nutrition - old]]=0, tblPiNHistorical[[#This Row],[Nutrition - new]]="", tblPiNHistorical[[#This Row],[Nutrition - new]]=0), "", tblPiNHistorical[[#This Row],[Nutrition - new]]-tblPiNHistorical[[#This Row],[Nutrition - old]])</f>
        <v>383</v>
      </c>
      <c r="AD142" s="312">
        <f>IF(OR(tblPiNHistorical[[#This Row],[Food Security - old]]="", tblPiNHistorical[[#This Row],[Food Security - old]]=0, tblPiNHistorical[[#This Row],[Food Security - new]]="", tblPiNHistorical[[#This Row],[Food Security - new]]=0), "", tblPiNHistorical[[#This Row],[Food Security - new]]-tblPiNHistorical[[#This Row],[Food Security - old]])</f>
        <v>-1065</v>
      </c>
      <c r="AE142" s="312">
        <f>IF(OR(tblPiNHistorical[[#This Row],[Health - old]]="", tblPiNHistorical[[#This Row],[Health - old]]=0, tblPiNHistorical[[#This Row],[Health - new]]="", tblPiNHistorical[[#This Row],[Health - new]]=0), "", tblPiNHistorical[[#This Row],[Health - new]]-tblPiNHistorical[[#This Row],[Health - old]])</f>
        <v>-12101.52910160636</v>
      </c>
      <c r="AF142"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-1214.7399999999998</v>
      </c>
      <c r="AG142" s="312">
        <f>IF(OR(tblPiNHistorical[[#This Row],[Shelter - old]]="", tblPiNHistorical[[#This Row],[Shelter - old]]=0, tblPiNHistorical[[#This Row],[Shelter - new]]="", tblPiNHistorical[[#This Row],[Shelter - new]]=0), "", tblPiNHistorical[[#This Row],[Shelter - new]]-tblPiNHistorical[[#This Row],[Shelter - old]])</f>
        <v>9734</v>
      </c>
      <c r="AH142" s="313">
        <f>IF(OR(tblPiNHistorical[[#This Row],[WASH - old]]="", tblPiNHistorical[[#This Row],[WASH - old]]=0, tblPiNHistorical[[#This Row],[WASH - new]]="", tblPiNHistorical[[#This Row],[WASH - new]]=0), "", tblPiNHistorical[[#This Row],[WASH - new]]-tblPiNHistorical[[#This Row],[WASH - old]])</f>
        <v>-8606.54195198659</v>
      </c>
      <c r="AI142" s="314">
        <f>IFERROR(ROUND((tblPiNHistorical[[#This Row],[CCCM - new]] - tblPiNHistorical[[#This Row],[CCCM - old]])/tblPiNHistorical[[#This Row],[CCCM - old]], 1), "")</f>
        <v>0.9</v>
      </c>
      <c r="AJ142" s="315">
        <f>IFERROR(ROUND((tblPiNHistorical[[#This Row],[Education - new]]-tblPiNHistorical[[#This Row],[Education - old]])/tblPiNHistorical[[#This Row],[Education - old]], 1), "")</f>
        <v>-0.3</v>
      </c>
      <c r="AK142" s="315">
        <f>IFERROR(ROUND((tblPiNHistorical[[#This Row],[Nutrition - new]]-tblPiNHistorical[[#This Row],[Nutrition - old]])/tblPiNHistorical[[#This Row],[Nutrition - old]], 1), "")</f>
        <v>0.1</v>
      </c>
      <c r="AL142" s="315">
        <f>IFERROR(ROUND((tblPiNHistorical[[#This Row],[Food Security - new]]-tblPiNHistorical[[#This Row],[Food Security - old]])/tblPiNHistorical[[#This Row],[Food Security - old]], 1), "")</f>
        <v>0</v>
      </c>
      <c r="AM142" s="315">
        <f>IFERROR(ROUND((tblPiNHistorical[[#This Row],[Health - new]]-tblPiNHistorical[[#This Row],[Health - old]])/tblPiNHistorical[[#This Row],[Health - old]], 1), "")</f>
        <v>-0.7</v>
      </c>
      <c r="AN142" s="315">
        <f>IFERROR(ROUND((tblPiNHistorical[[#This Row],[Overarching Protection - new]]-tblPiNHistorical[[#This Row],[Overarching Protection - old]])/tblPiNHistorical[[#This Row],[Overarching Protection - old]], 1), "")</f>
        <v>-0.3</v>
      </c>
      <c r="AO142" s="315">
        <f>IFERROR(ROUND((tblPiNHistorical[[#This Row],[Shelter - new]]-tblPiNHistorical[[#This Row],[Shelter - old]])/tblPiNHistorical[[#This Row],[Shelter - old]], 1), "")</f>
        <v>0.7</v>
      </c>
      <c r="AP142" s="37">
        <f>IFERROR(ROUND((tblPiNHistorical[[#This Row],[WASH - new]]-tblPiNHistorical[[#This Row],[WASH - old]])/tblPiNHistorical[[#This Row],[WASH - old]], 1), "")</f>
        <v>-0.3</v>
      </c>
    </row>
    <row r="143" spans="1:42">
      <c r="A143" s="303" t="str">
        <f>IFERROR(_xlfn.CONCAT(IF(tblPiNHistorical[[#This Row],[Population Group]]="", "",tblPiNHistorical[[#This Row],[Population Group]] ), IF(tblPiNHistorical[[#This Row],[Pocket of need]]&lt;&gt;"",tblPiNHistorical[[#This Row],[Pocket of need]],), _xlfn.IFS(tblPiNHistorical[[#This Row],[Admin 3 P-Code]]&lt;&gt;"", tblPiNHistorical[[#This Row],[Admin 3 P-Code]], tblPiNHistorical[[#This Row],[Admin 2 P-Code]]&lt;&gt;"", tblPiNHistorical[[#This Row],[Admin 2 P-Code]], tblPiNHistorical[[#This Row],[Admin 1 P-Code]]&lt;&gt;"", tblPiNHistorical[[#This Row],[Admin 1 P-Code]])),"")</f>
        <v>Global_PopulationHT1032</v>
      </c>
      <c r="B143" s="304" t="s">
        <v>431</v>
      </c>
      <c r="C143" s="213" t="s">
        <v>432</v>
      </c>
      <c r="D143" s="213" t="s">
        <v>453</v>
      </c>
      <c r="E143" s="103" t="s">
        <v>454</v>
      </c>
      <c r="F143" s="99"/>
      <c r="G143" s="34"/>
      <c r="H143" s="331"/>
      <c r="I143" s="96">
        <v>6460</v>
      </c>
      <c r="J143" s="241" t="s">
        <v>156</v>
      </c>
      <c r="K143" s="305">
        <v>720</v>
      </c>
      <c r="L143" s="307">
        <v>476</v>
      </c>
      <c r="M143" s="308">
        <v>524</v>
      </c>
      <c r="N143" s="308">
        <v>4303</v>
      </c>
      <c r="O143" s="308">
        <v>2713</v>
      </c>
      <c r="P143" s="308">
        <v>616</v>
      </c>
      <c r="Q143" s="309">
        <v>3738</v>
      </c>
      <c r="R143" s="308">
        <v>2323.3587491493968</v>
      </c>
      <c r="S143" s="308">
        <f>IFERROR(INDEX(tblPiNAnalysis[CCCM], MATCH(tblPiNHistorical[[#This Row],[ID]], tblPiNAnalysis[ID], 0)), "")</f>
        <v>5175</v>
      </c>
      <c r="T143" s="310">
        <f>IFERROR(INDEX(tblPiNAnalysis[Education], MATCH(tblPiNHistorical[[#This Row],[ID]], tblPiNAnalysis[ID], 0)), "")</f>
        <v>332</v>
      </c>
      <c r="U143" s="308">
        <f>IFERROR(INDEX(tblPiNAnalysis[Nutrition], MATCH(tblPiNHistorical[[#This Row],[ID]], tblPiNAnalysis[ID], 0)), "")</f>
        <v>721</v>
      </c>
      <c r="V143" s="308">
        <f>IFERROR(INDEX(tblPiNAnalysis[Food Security], MATCH(tblPiNHistorical[[#This Row],[ID]], tblPiNAnalysis[ID], 0)), "")</f>
        <v>3651</v>
      </c>
      <c r="W143" s="308">
        <f>IFERROR(INDEX(tblPiNAnalysis[Health], MATCH(tblPiNHistorical[[#This Row],[ID]], tblPiNAnalysis[ID], 0)), "")</f>
        <v>5114.4588550724638</v>
      </c>
      <c r="X143" s="308">
        <f>IFERROR(INDEX(tblPiNAnalysis[Protection], MATCH(tblPiNHistorical[[#This Row],[ID]], tblPiNAnalysis[ID], 0)), "")</f>
        <v>3473.76</v>
      </c>
      <c r="Y143" s="308">
        <f>IFERROR(INDEX(tblPiNAnalysis[Shelter], MATCH(tblPiNHistorical[[#This Row],[ID]], tblPiNAnalysis[ID], 0)), "")</f>
        <v>6504</v>
      </c>
      <c r="Z143" s="308">
        <f>IFERROR(INDEX(tblPiNAnalysis[WASH], MATCH(tblPiNHistorical[[#This Row],[ID]], tblPiNAnalysis[ID], 0)), "")</f>
        <v>6944</v>
      </c>
      <c r="AA143" s="311">
        <f>IF(OR(tblPiNHistorical[[#This Row],[CCCM - old]]="", tblPiNHistorical[[#This Row],[CCCM - old]]=0, tblPiNHistorical[[#This Row],[CCCM - new]]="", tblPiNHistorical[[#This Row],[CCCM - new]]=0), "", tblPiNHistorical[[#This Row],[CCCM - new]]-tblPiNHistorical[[#This Row],[CCCM - old]])</f>
        <v>4455</v>
      </c>
      <c r="AB143" s="312">
        <f>IF(OR(tblPiNHistorical[[#This Row],[Education - old]]="", tblPiNHistorical[[#This Row],[Education - old]]=0, tblPiNHistorical[[#This Row],[Education - new]]="", tblPiNHistorical[[#This Row],[Education - new]]=0), "", tblPiNHistorical[[#This Row],[Education - new]]-tblPiNHistorical[[#This Row],[Education - old]])</f>
        <v>-144</v>
      </c>
      <c r="AC143" s="312">
        <f>IF(OR(tblPiNHistorical[[#This Row],[Nutrition - old]]="", tblPiNHistorical[[#This Row],[Nutrition - old]]=0, tblPiNHistorical[[#This Row],[Nutrition - new]]="", tblPiNHistorical[[#This Row],[Nutrition - new]]=0), "", tblPiNHistorical[[#This Row],[Nutrition - new]]-tblPiNHistorical[[#This Row],[Nutrition - old]])</f>
        <v>197</v>
      </c>
      <c r="AD143" s="312">
        <f>IF(OR(tblPiNHistorical[[#This Row],[Food Security - old]]="", tblPiNHistorical[[#This Row],[Food Security - old]]=0, tblPiNHistorical[[#This Row],[Food Security - new]]="", tblPiNHistorical[[#This Row],[Food Security - new]]=0), "", tblPiNHistorical[[#This Row],[Food Security - new]]-tblPiNHistorical[[#This Row],[Food Security - old]])</f>
        <v>-652</v>
      </c>
      <c r="AE143" s="312">
        <f>IF(OR(tblPiNHistorical[[#This Row],[Health - old]]="", tblPiNHistorical[[#This Row],[Health - old]]=0, tblPiNHistorical[[#This Row],[Health - new]]="", tblPiNHistorical[[#This Row],[Health - new]]=0), "", tblPiNHistorical[[#This Row],[Health - new]]-tblPiNHistorical[[#This Row],[Health - old]])</f>
        <v>2401.4588550724638</v>
      </c>
      <c r="AF143" s="312">
        <f>IF(OR(tblPiNHistorical[[#This Row],[Overarching Protection - old]]="", tblPiNHistorical[[#This Row],[Overarching Protection - old]]=0, tblPiNHistorical[[#This Row],[Overarching Protection - new]]="", tblPiNHistorical[[#This Row],[Overarching Protection - new]]=0), "", tblPiNHistorical[[#This Row],[Overarching Protection - new]]-tblPiNHistorical[[#This Row],[Overarching Protection - old]])</f>
        <v>2857.76</v>
      </c>
      <c r="AG143" s="312">
        <f>IF(OR(tblPiNHistorical[[#This Row],[Shelter - old]]="", tblPiNHistorical[[#This Row],[Shelter - old]]=0, tblPiNHistorical[[#This Row],[Shelter - new]]="", tblPiNHistorical[[#This Row],[Shelter - new]]=0), "", tblPiNHistorical[[#This Row],[Shelter - new]]-tblPiNHistorical[[#This Row],[Shelter - old]])</f>
        <v>2766</v>
      </c>
      <c r="AH143" s="313">
        <f>IF(OR(tblPiNHistorical[[#This Row],[WASH - old]]="", tblPiNHistorical[[#This Row],[WASH - old]]=0, tblPiNHistorical[[#This Row],[WASH - new]]="", tblPiNHistorical[[#This Row],[WASH - new]]=0), "", tblPiNHistorical[[#This Row],[WASH - new]]-tblPiNHistorical[[#This Row],[WASH - old]])</f>
        <v>4620.6412508506037</v>
      </c>
      <c r="AI143" s="314">
        <f>IFERROR(ROUND((tblPiNHistorical[[#This Row],[CCCM - new]] - tblPiNHistorical[[#This Row],[CCCM - old]])/tblPiNHistorical[[#This Row],[CCCM - old]], 1), "")</f>
        <v>6.2</v>
      </c>
      <c r="AJ143" s="315">
        <f>IFERROR(ROUND((tblPiNHistorical[[#This Row],[Education - new]]-tblPiNHistorical[[#This Row],[Education - old]])/tblPiNHistorical[[#This Row],[Education - old]], 1), "")</f>
        <v>-0.3</v>
      </c>
      <c r="AK143" s="315">
        <f>IFERROR(ROUND((tblPiNHistorical[[#This Row],[Nutrition - new]]-tblPiNHistorical[[#This Row],[Nutrition - old]])/tblPiNHistorical[[#This Row],[Nutrition - old]], 1), "")</f>
        <v>0.4</v>
      </c>
      <c r="AL143" s="315">
        <f>IFERROR(ROUND((tblPiNHistorical[[#This Row],[Food Security - new]]-tblPiNHistorical[[#This Row],[Food Security - old]])/tblPiNHistorical[[#This Row],[Food Security - old]], 1), "")</f>
        <v>-0.2</v>
      </c>
      <c r="AM143" s="315">
        <f>IFERROR(ROUND((tblPiNHistorical[[#This Row],[Health - new]]-tblPiNHistorical[[#This Row],[Health - old]])/tblPiNHistorical[[#This Row],[Health - old]], 1), "")</f>
        <v>0.9</v>
      </c>
      <c r="AN143" s="315">
        <f>IFERROR(ROUND((tblPiNHistorical[[#This Row],[Overarching Protection - new]]-tblPiNHistorical[[#This Row],[Overarching Protection - old]])/tblPiNHistorical[[#This Row],[Overarching Protection - old]], 1), "")</f>
        <v>4.5999999999999996</v>
      </c>
      <c r="AO143" s="315">
        <f>IFERROR(ROUND((tblPiNHistorical[[#This Row],[Shelter - new]]-tblPiNHistorical[[#This Row],[Shelter - old]])/tblPiNHistorical[[#This Row],[Shelter - old]], 1), "")</f>
        <v>0.7</v>
      </c>
      <c r="AP143" s="37">
        <f>IFERROR(ROUND((tblPiNHistorical[[#This Row],[WASH - new]]-tblPiNHistorical[[#This Row],[WASH - old]])/tblPiNHistorical[[#This Row],[WASH - old]], 1), "")</f>
        <v>2</v>
      </c>
    </row>
  </sheetData>
  <mergeCells count="6">
    <mergeCell ref="AI2:AP2"/>
    <mergeCell ref="B2:G2"/>
    <mergeCell ref="I2:J2"/>
    <mergeCell ref="K2:R2"/>
    <mergeCell ref="S2:Z2"/>
    <mergeCell ref="AA2:AH2"/>
  </mergeCells>
  <phoneticPr fontId="9" type="noConversion"/>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notBetween" id="{44980C84-2A4A-4B13-B285-48DD8024EE62}">
            <xm:f>Thresholds!$D$13*-1</xm:f>
            <xm:f>Thresholds!$D$13</xm:f>
            <x14:dxf>
              <font>
                <color rgb="FFFF0000"/>
              </font>
              <fill>
                <patternFill patternType="none">
                  <bgColor auto="1"/>
                </patternFill>
              </fill>
            </x14:dxf>
          </x14:cfRule>
          <xm:sqref>AI4:AP143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7F7-6C31-4B6E-9251-013C1D64B81D}">
  <sheetPr codeName="Sheet4">
    <tabColor theme="7" tint="0.59999389629810485"/>
  </sheetPr>
  <dimension ref="A1:AB77"/>
  <sheetViews>
    <sheetView showGridLines="0" topLeftCell="P1" zoomScaleNormal="100" workbookViewId="0">
      <selection activeCell="AO11" sqref="AO11"/>
    </sheetView>
  </sheetViews>
  <sheetFormatPr defaultColWidth="8.7109375" defaultRowHeight="14.45"/>
  <cols>
    <col min="1" max="1" width="14.28515625" style="87" hidden="1" customWidth="1"/>
    <col min="2" max="2" width="21" style="89" hidden="1" customWidth="1"/>
    <col min="3" max="4" width="21" style="87" hidden="1" customWidth="1"/>
    <col min="5" max="5" width="10.28515625" style="87" hidden="1" customWidth="1"/>
    <col min="6" max="6" width="9" style="87" hidden="1" customWidth="1"/>
    <col min="7" max="7" width="9.140625" hidden="1" customWidth="1"/>
    <col min="8" max="8" width="12.140625" style="19" hidden="1" customWidth="1"/>
    <col min="9" max="9" width="14.42578125" hidden="1" customWidth="1"/>
    <col min="10" max="10" width="16.28515625" hidden="1" customWidth="1"/>
    <col min="11" max="11" width="13.28515625" hidden="1" customWidth="1"/>
    <col min="12" max="12" width="14.7109375" hidden="1" customWidth="1"/>
    <col min="13" max="14" width="9.140625" hidden="1" customWidth="1"/>
    <col min="15" max="15" width="8.7109375" hidden="1" customWidth="1"/>
    <col min="16" max="16" width="15.7109375" customWidth="1"/>
    <col min="17" max="17" width="28.7109375" customWidth="1"/>
    <col min="27" max="41" width="8.7109375" customWidth="1"/>
  </cols>
  <sheetData>
    <row r="1" spans="1:26">
      <c r="A1" s="86"/>
      <c r="B1" s="88"/>
      <c r="F1"/>
    </row>
    <row r="2" spans="1:26" ht="24.75" customHeight="1">
      <c r="A2" s="86"/>
      <c r="B2" s="88"/>
      <c r="F2"/>
      <c r="P2" s="90" t="s">
        <v>491</v>
      </c>
      <c r="Q2" s="91" t="s">
        <v>58</v>
      </c>
    </row>
    <row r="3" spans="1:26" ht="24.75" customHeight="1">
      <c r="A3" s="86"/>
      <c r="B3" s="88"/>
      <c r="F3"/>
      <c r="Z3" s="168"/>
    </row>
    <row r="4" spans="1:26" ht="24.75" customHeight="1">
      <c r="A4" s="86"/>
      <c r="B4" s="88"/>
      <c r="F4"/>
      <c r="Z4" s="168"/>
    </row>
    <row r="5" spans="1:26" ht="37.15" thickBot="1">
      <c r="A5" s="97" t="s">
        <v>492</v>
      </c>
      <c r="B5" s="97" t="str" cm="1">
        <f t="array" ref="B5:C5">TRANSPOSE(_xlfn.UNIQUE(tblPiNAnalysis[Population Group]))</f>
        <v>Global_Population</v>
      </c>
      <c r="C5" s="97" t="str">
        <v>IDPs</v>
      </c>
      <c r="D5" s="97"/>
      <c r="E5" s="97"/>
      <c r="F5" s="97"/>
      <c r="H5" s="137" t="s">
        <v>492</v>
      </c>
      <c r="I5" s="97" t="str" cm="1">
        <f t="array" ref="I5">TRANSPOSE(_xlfn.UNIQUE(tblPiNHistorical[Population Group]))</f>
        <v>Global_Population</v>
      </c>
      <c r="J5" s="97"/>
      <c r="K5" s="97"/>
      <c r="L5" s="97"/>
      <c r="M5" s="97"/>
      <c r="Z5" s="168"/>
    </row>
    <row r="6" spans="1:26" ht="14.65" thickTop="1">
      <c r="A6" s="93" cm="1">
        <f t="array" ref="A6:A10">_xlfn._xlws.SORT(_xlfn.UNIQUE(INDEX(tblPiNAnalysis[[CCCM%]:[WASH%]], 0, MATCH(_xlfn.CONCAT($Q$2, "%"), tblPiNAnalysis[[#Headers],[CCCM%]:[WASH%]], 0))))</f>
        <v>0.05</v>
      </c>
      <c r="B6" s="92" cm="1">
        <f t="array" ref="B6">IF($A6="", "", IF(SUM(IF(INDEX(_xlfn._xlws.FILTER(tblPiNAnalysis[[CCCM%]:[WASH%]], tblPiNAnalysis[Population Group]=B$5), 0, MATCH(_xlfn.CONCAT($Q$2, "%"), tblPiNAnalysis[[#Headers],[CCCM%]:[WASH%]], 0))=$A6, 1, 0))=0, "",SUM(IF(INDEX(_xlfn._xlws.FILTER(tblPiNAnalysis[[CCCM%]:[WASH%]], tblPiNAnalysis[Population Group]=B$5), 0, MATCH(_xlfn.CONCAT($Q$2, "%"), tblPiNAnalysis[[#Headers],[CCCM%]:[WASH%]], 0))=$A6, 1, 0))))</f>
        <v>42</v>
      </c>
      <c r="C6" s="92" t="str" cm="1">
        <f t="array" ref="C6">IFERROR(IF(OR($A6="", C$5=""), "", IF(SUM(IF(INDEX(_xlfn._xlws.FILTER(tblPiNAnalysis[[CCCM%]:[WASH%]], tblPiNAnalysis[Population Group]=C$5), 0, MATCH(_xlfn.CONCAT($Q$2, "%"), tblPiNAnalysis[[#Headers],[CCCM%]:[WASH%]], 0))=$A6, 1, 0))=0, "",SUM(IF(INDEX(_xlfn._xlws.FILTER(tblPiNAnalysis[[CCCM%]:[WASH%]], tblPiNAnalysis[Population Group]=C$5), 0, MATCH(_xlfn.CONCAT($Q$2, "%"), tblPiNAnalysis[[#Headers],[CCCM%]:[WASH%]], 0))=$A6, 1, 0)))), "")</f>
        <v/>
      </c>
      <c r="D6" s="92" t="str" cm="1">
        <f t="array" ref="D6">IFERROR(IF(OR($A6="", D$5=""), "", IF(SUM(IF(INDEX(_xlfn._xlws.FILTER(tblPiNAnalysis[[CCCM%]:[WASH%]], tblPiNAnalysis[Population Group]=D$5), 0, MATCH(_xlfn.CONCAT($Q$2, "%"), tblPiNAnalysis[[#Headers],[CCCM%]:[WASH%]], 0))=$A6, 1, 0))=0, "",SUM(IF(INDEX(_xlfn._xlws.FILTER(tblPiNAnalysis[[CCCM%]:[WASH%]], tblPiNAnalysis[Population Group]=D$5), 0, MATCH(_xlfn.CONCAT($Q$2, "%"), tblPiNAnalysis[[#Headers],[CCCM%]:[WASH%]], 0))=$A6, 1, 0)))), "")</f>
        <v/>
      </c>
      <c r="E6" s="92" t="str" cm="1">
        <f t="array" ref="E6">IFERROR(IF(OR($A6="", E$5=""), "", IF(SUM(IF(INDEX(_xlfn._xlws.FILTER(tblPiNAnalysis[[CCCM%]:[WASH%]], tblPiNAnalysis[Population Group]=E$5), 0, MATCH(_xlfn.CONCAT($Q$2, "%"), tblPiNAnalysis[[#Headers],[CCCM%]:[WASH%]], 0))=$A6, 1, 0))=0, "",SUM(IF(INDEX(_xlfn._xlws.FILTER(tblPiNAnalysis[[CCCM%]:[WASH%]], tblPiNAnalysis[Population Group]=E$5), 0, MATCH(_xlfn.CONCAT($Q$2, "%"), tblPiNAnalysis[[#Headers],[CCCM%]:[WASH%]], 0))=$A6, 1, 0)))), "")</f>
        <v/>
      </c>
      <c r="F6" s="92" t="str" cm="1">
        <f t="array" ref="F6">IFERROR(IF(OR($A6="", F$5=""), "", IF(SUM(IF(INDEX(_xlfn._xlws.FILTER(tblPiNAnalysis[[CCCM%]:[WASH%]], tblPiNAnalysis[CCCM]=F$5), 0, MATCH(_xlfn.CONCAT($Q$2, "%"), tblPiNAnalysis[[#Headers],[CCCM%]:[WASH%]], 0))=$A6, 1, 0))=0, "",SUM(IF(INDEX(_xlfn._xlws.FILTER(tblPiNAnalysis[[CCCM%]:[WASH%]], tblPiNAnalysis[CCCM]=F$5), 0, MATCH(_xlfn.CONCAT($Q$2, "%"), tblPiNAnalysis[[#Headers],[CCCM%]:[WASH%]], 0))=$A6, 1, 0)))), "")</f>
        <v/>
      </c>
      <c r="H6" s="93" cm="1">
        <f t="array" ref="H6:H20">_xlfn._xlws.SORT(_xlfn.UNIQUE(_xlfn._xlws.FILTER(INDEX(tblPiNHistorical[[CCCM]:[WASH]],0,MATCH($Q$2,tblPiNHistorical[[#Headers],[CCCM]:[WASH]],0)),INDEX(tblPiNHistorical[[CCCM]:[WASH]],0,MATCH($Q$2,tblPiNHistorical[[#Headers],[CCCM]:[WASH]],0))&lt;=2)))</f>
        <v>-0.7</v>
      </c>
      <c r="I6" s="92" cm="1">
        <f t="array" ref="I6">IF($H6="", "", IF($H6=2, SUM(IF(INDEX(_xlfn._xlws.FILTER(tblPiNHistorical[[CCCM]:[WASH]], tblPiNHistorical[Population Group]=I$5), 0, MATCH($Q$2, tblPiNHistorical[[#Headers],[CCCM]:[WASH]], 0))&gt;1.9, 1, 0)), IF(SUM(IF(INDEX(_xlfn._xlws.FILTER(tblPiNHistorical[[CCCM]:[WASH]], tblPiNHistorical[Population Group]=I$5), 0, MATCH($Q$2, tblPiNHistorical[[#Headers],[CCCM]:[WASH]], 0))=$H6, 1, 0))=0, "", SUM(IF(INDEX(_xlfn._xlws.FILTER(tblPiNHistorical[[CCCM]:[WASH]], tblPiNHistorical[Population Group]=I$5), 0, MATCH($Q$2, tblPiNHistorical[[#Headers],[CCCM]:[WASH]], 0))=$H6, 1, 0)))))</f>
        <v>1</v>
      </c>
      <c r="J6" s="92" t="str" cm="1">
        <f t="array" ref="J6">IFERROR(IF(OR($H6="", J5=""), "", IF($H6=2, SUM(IF(INDEX(_xlfn._xlws.FILTER(tblPiNHistorical[[CCCM]:[WASH]], tblPiNHistorical[Population Group]=J$5), 0, MATCH($Q$2, tblPiNHistorical[[#Headers],[CCCM]:[WASH]], 0))&gt;1.9, 1, 0)), IF(SUM(IF(INDEX(_xlfn._xlws.FILTER(tblPiNHistorical[[CCCM]:[WASH]], tblPiNHistorical[Population Group]=J$5), 0, MATCH($Q$2, tblPiNHistorical[[#Headers],[CCCM]:[WASH]], 0))=$H6, 1, 0))=0, "", SUM(IF(INDEX(_xlfn._xlws.FILTER(tblPiNHistorical[[CCCM]:[WASH]], tblPiNHistorical[Population Group]=J$5), 0, MATCH($Q$2, tblPiNHistorical[[#Headers],[CCCM]:[WASH]], 0))=$H6, 1, 0))))), "")</f>
        <v/>
      </c>
      <c r="K6" s="92" t="str" cm="1">
        <f t="array" ref="K6">IFERROR(IF(OR($H6="", K5=""), "", IF($H6=2, SUM(IF(INDEX(_xlfn._xlws.FILTER(tblPiNHistorical[[CCCM]:[WASH]], tblPiNHistorical[CCCM - old]=K$5), 0, MATCH($Q$2, tblPiNHistorical[[#Headers],[CCCM]:[WASH]], 0))&gt;1.9, 1, 0)), IF(SUM(IF(INDEX(_xlfn._xlws.FILTER(tblPiNHistorical[[CCCM]:[WASH]], tblPiNHistorical[CCCM - old]=K$5), 0, MATCH($Q$2, tblPiNHistorical[[#Headers],[CCCM]:[WASH]], 0))=$H6, 1, 0))=0, "", SUM(IF(INDEX(_xlfn._xlws.FILTER(tblPiNHistorical[[CCCM]:[WASH]], tblPiNHistorical[CCCM - old]=K$5), 0, MATCH($Q$2, tblPiNHistorical[[#Headers],[CCCM]:[WASH]], 0))=$H6, 1, 0))))), "")</f>
        <v/>
      </c>
      <c r="L6" s="92" t="str" cm="1">
        <f t="array" ref="L6">IFERROR(IF(OR($H6="", L5=""), "", IF($H6=2, SUM(IF(INDEX(_xlfn._xlws.FILTER(tblPiNHistorical[[CCCM]:[WASH]],#REF!= L$5), 0, MATCH($Q$2, tblPiNHistorical[[#Headers],[CCCM]:[WASH]], 0))&gt;1.9, 1, 0)), IF(SUM(IF(INDEX(_xlfn._xlws.FILTER(tblPiNHistorical[[CCCM]:[WASH]],#REF!= L$5), 0, MATCH($Q$2, tblPiNHistorical[[#Headers],[CCCM]:[WASH]], 0))=$H6, 1, 0))=0, "", SUM(IF(INDEX(_xlfn._xlws.FILTER(tblPiNHistorical[[CCCM]:[WASH]],#REF!= L$5), 0, MATCH($Q$2, tblPiNHistorical[[#Headers],[CCCM]:[WASH]], 0))=$H6, 1, 0))))), "")</f>
        <v/>
      </c>
      <c r="M6" s="92" t="str" cm="1">
        <f t="array" ref="M6">IFERROR(IF(OR($H6="", M5=""), "", IF($H6=2, SUM(IF(INDEX(_xlfn._xlws.FILTER(tblPiNHistorical[[CCCM]:[WASH]],#REF!= M$5), 0, MATCH($Q$2, tblPiNHistorical[[#Headers],[CCCM]:[WASH]], 0))&gt;1.9, 1, 0)), IF(SUM(IF(INDEX(_xlfn._xlws.FILTER(tblPiNHistorical[[CCCM]:[WASH]],#REF!= M$5), 0, MATCH($Q$2, tblPiNHistorical[[#Headers],[CCCM]:[WASH]], 0))=$H6, 1, 0))=0, "", SUM(IF(INDEX(_xlfn._xlws.FILTER(tblPiNHistorical[[CCCM]:[WASH]],#REF!= M$5), 0, MATCH($Q$2, tblPiNHistorical[[#Headers],[CCCM]:[WASH]], 0))=$H6, 1, 0))))), "")</f>
        <v/>
      </c>
      <c r="Z6" s="168"/>
    </row>
    <row r="7" spans="1:26">
      <c r="A7" s="94">
        <v>0.1</v>
      </c>
      <c r="B7" s="92" cm="1">
        <f t="array" ref="B7">IF($A7="", "", IF(SUM(IF(INDEX(_xlfn._xlws.FILTER(tblPiNAnalysis[[CCCM%]:[WASH%]], tblPiNAnalysis[Population Group]=B$5), 0, MATCH(_xlfn.CONCAT($Q$2, "%"), tblPiNAnalysis[[#Headers],[CCCM%]:[WASH%]], 0))=$A7, 1, 0))=0, "",SUM(IF(INDEX(_xlfn._xlws.FILTER(tblPiNAnalysis[[CCCM%]:[WASH%]], tblPiNAnalysis[Population Group]=B$5), 0, MATCH(_xlfn.CONCAT($Q$2, "%"), tblPiNAnalysis[[#Headers],[CCCM%]:[WASH%]], 0))=$A7, 1, 0))))</f>
        <v>35</v>
      </c>
      <c r="C7" s="92" t="str" cm="1">
        <f t="array" ref="C7">IFERROR(IF(OR($A7="", C$5=""), "", IF(SUM(IF(INDEX(_xlfn._xlws.FILTER(tblPiNAnalysis[[CCCM%]:[WASH%]], tblPiNAnalysis[Population Group]=C$5), 0, MATCH(_xlfn.CONCAT($Q$2, "%"), tblPiNAnalysis[[#Headers],[CCCM%]:[WASH%]], 0))=$A7, 1, 0))=0, "",SUM(IF(INDEX(_xlfn._xlws.FILTER(tblPiNAnalysis[[CCCM%]:[WASH%]], tblPiNAnalysis[Population Group]=C$5), 0, MATCH(_xlfn.CONCAT($Q$2, "%"), tblPiNAnalysis[[#Headers],[CCCM%]:[WASH%]], 0))=$A7, 1, 0)))), "")</f>
        <v/>
      </c>
      <c r="D7" s="92" t="str" cm="1">
        <f t="array" ref="D7">IFERROR(IF(OR($A7="", D$5=""), "", IF(SUM(IF(INDEX(_xlfn._xlws.FILTER(tblPiNAnalysis[[CCCM%]:[WASH%]], tblPiNAnalysis[Population Group]=D$5), 0, MATCH(_xlfn.CONCAT($Q$2, "%"), tblPiNAnalysis[[#Headers],[CCCM%]:[WASH%]], 0))=$A7, 1, 0))=0, "",SUM(IF(INDEX(_xlfn._xlws.FILTER(tblPiNAnalysis[[CCCM%]:[WASH%]], tblPiNAnalysis[Population Group]=D$5), 0, MATCH(_xlfn.CONCAT($Q$2, "%"), tblPiNAnalysis[[#Headers],[CCCM%]:[WASH%]], 0))=$A7, 1, 0)))), "")</f>
        <v/>
      </c>
      <c r="E7" s="92" t="str" cm="1">
        <f t="array" ref="E7">IFERROR(IF(OR($A7="", E$5=""), "", IF(SUM(IF(INDEX(_xlfn._xlws.FILTER(tblPiNAnalysis[[CCCM%]:[WASH%]], tblPiNAnalysis[Population Group]=E$5), 0, MATCH(_xlfn.CONCAT($Q$2, "%"), tblPiNAnalysis[[#Headers],[CCCM%]:[WASH%]], 0))=$A7, 1, 0))=0, "",SUM(IF(INDEX(_xlfn._xlws.FILTER(tblPiNAnalysis[[CCCM%]:[WASH%]], tblPiNAnalysis[Population Group]=E$5), 0, MATCH(_xlfn.CONCAT($Q$2, "%"), tblPiNAnalysis[[#Headers],[CCCM%]:[WASH%]], 0))=$A7, 1, 0)))), "")</f>
        <v/>
      </c>
      <c r="F7" s="92" t="str" cm="1">
        <f t="array" ref="F7">IFERROR(IF(OR($A7="", F$5=""), "", IF(SUM(IF(INDEX(_xlfn._xlws.FILTER(tblPiNAnalysis[[CCCM%]:[WASH%]], tblPiNAnalysis[CCCM]=F$5), 0, MATCH(_xlfn.CONCAT($Q$2, "%"), tblPiNAnalysis[[#Headers],[CCCM%]:[WASH%]], 0))=$A7, 1, 0))=0, "",SUM(IF(INDEX(_xlfn._xlws.FILTER(tblPiNAnalysis[[CCCM%]:[WASH%]], tblPiNAnalysis[CCCM]=F$5), 0, MATCH(_xlfn.CONCAT($Q$2, "%"), tblPiNAnalysis[[#Headers],[CCCM%]:[WASH%]], 0))=$A7, 1, 0)))), "")</f>
        <v/>
      </c>
      <c r="H7" s="94">
        <v>-0.6</v>
      </c>
      <c r="I7" s="92" cm="1">
        <f t="array" ref="I7">IF($H7="", "", IF($H7=2, SUM(IF(INDEX(_xlfn._xlws.FILTER(tblPiNHistorical[[CCCM]:[WASH]], tblPiNHistorical[Population Group]=I$5), 0, MATCH($Q$2, tblPiNHistorical[[#Headers],[CCCM]:[WASH]], 0))&gt;1.9, 1, 0)), IF(SUM(IF(INDEX(_xlfn._xlws.FILTER(tblPiNHistorical[[CCCM]:[WASH]], tblPiNHistorical[Population Group]=I$5), 0, MATCH($Q$2, tblPiNHistorical[[#Headers],[CCCM]:[WASH]], 0))=$H7, 1, 0))=0, "", SUM(IF(INDEX(_xlfn._xlws.FILTER(tblPiNHistorical[[CCCM]:[WASH]], tblPiNHistorical[Population Group]=I$5), 0, MATCH($Q$2, tblPiNHistorical[[#Headers],[CCCM]:[WASH]], 0))=$H7, 1, 0)))))</f>
        <v>4</v>
      </c>
      <c r="J7" s="92" t="str" cm="1">
        <f t="array" ref="J7">IFERROR(IF(OR($H7="", J6=""), "", IF($H7=2, SUM(IF(INDEX(_xlfn._xlws.FILTER(tblPiNHistorical[[CCCM]:[WASH]], tblPiNHistorical[Population Group]=J$5), 0, MATCH($Q$2, tblPiNHistorical[[#Headers],[CCCM]:[WASH]], 0))&gt;1.9, 1, 0)), IF(SUM(IF(INDEX(_xlfn._xlws.FILTER(tblPiNHistorical[[CCCM]:[WASH]], tblPiNHistorical[Population Group]=J$5), 0, MATCH($Q$2, tblPiNHistorical[[#Headers],[CCCM]:[WASH]], 0))=$H7, 1, 0))=0, "", SUM(IF(INDEX(_xlfn._xlws.FILTER(tblPiNHistorical[[CCCM]:[WASH]], tblPiNHistorical[Population Group]=J$5), 0, MATCH($Q$2, tblPiNHistorical[[#Headers],[CCCM]:[WASH]], 0))=$H7, 1, 0))))), "")</f>
        <v/>
      </c>
      <c r="K7" s="92" t="str" cm="1">
        <f t="array" ref="K7">IFERROR(IF(OR($H7="", K6=""), "", IF($H7=2, SUM(IF(INDEX(_xlfn._xlws.FILTER(tblPiNHistorical[[CCCM]:[WASH]], tblPiNHistorical[CCCM - old]=K$5), 0, MATCH($Q$2, tblPiNHistorical[[#Headers],[CCCM]:[WASH]], 0))&gt;1.9, 1, 0)), IF(SUM(IF(INDEX(_xlfn._xlws.FILTER(tblPiNHistorical[[CCCM]:[WASH]], tblPiNHistorical[CCCM - old]=K$5), 0, MATCH($Q$2, tblPiNHistorical[[#Headers],[CCCM]:[WASH]], 0))=$H7, 1, 0))=0, "", SUM(IF(INDEX(_xlfn._xlws.FILTER(tblPiNHistorical[[CCCM]:[WASH]], tblPiNHistorical[CCCM - old]=K$5), 0, MATCH($Q$2, tblPiNHistorical[[#Headers],[CCCM]:[WASH]], 0))=$H7, 1, 0))))), "")</f>
        <v/>
      </c>
      <c r="L7" s="92" t="str" cm="1">
        <f t="array" ref="L7">IFERROR(IF(OR($H7="", L6=""), "", IF($H7=2, SUM(IF(INDEX(_xlfn._xlws.FILTER(tblPiNHistorical[[CCCM]:[WASH]],#REF!= L$5), 0, MATCH($Q$2, tblPiNHistorical[[#Headers],[CCCM]:[WASH]], 0))&gt;1.9, 1, 0)), IF(SUM(IF(INDEX(_xlfn._xlws.FILTER(tblPiNHistorical[[CCCM]:[WASH]],#REF!= L$5), 0, MATCH($Q$2, tblPiNHistorical[[#Headers],[CCCM]:[WASH]], 0))=$H7, 1, 0))=0, "", SUM(IF(INDEX(_xlfn._xlws.FILTER(tblPiNHistorical[[CCCM]:[WASH]],#REF!= L$5), 0, MATCH($Q$2, tblPiNHistorical[[#Headers],[CCCM]:[WASH]], 0))=$H7, 1, 0))))), "")</f>
        <v/>
      </c>
      <c r="M7" s="92" t="str" cm="1">
        <f t="array" ref="M7">IFERROR(IF(OR($H7="", M6=""), "", IF($H7=2, SUM(IF(INDEX(_xlfn._xlws.FILTER(tblPiNHistorical[[CCCM]:[WASH]],#REF!= M$5), 0, MATCH($Q$2, tblPiNHistorical[[#Headers],[CCCM]:[WASH]], 0))&gt;1.9, 1, 0)), IF(SUM(IF(INDEX(_xlfn._xlws.FILTER(tblPiNHistorical[[CCCM]:[WASH]],#REF!= M$5), 0, MATCH($Q$2, tblPiNHistorical[[#Headers],[CCCM]:[WASH]], 0))=$H7, 1, 0))=0, "", SUM(IF(INDEX(_xlfn._xlws.FILTER(tblPiNHistorical[[CCCM]:[WASH]],#REF!= M$5), 0, MATCH($Q$2, tblPiNHistorical[[#Headers],[CCCM]:[WASH]], 0))=$H7, 1, 0))))), "")</f>
        <v/>
      </c>
      <c r="Z7" s="168"/>
    </row>
    <row r="8" spans="1:26">
      <c r="A8" s="94">
        <v>0.15000000000000002</v>
      </c>
      <c r="B8" s="92" cm="1">
        <f t="array" ref="B8">IF($A8="", "", IF(SUM(IF(INDEX(_xlfn._xlws.FILTER(tblPiNAnalysis[[CCCM%]:[WASH%]], tblPiNAnalysis[Population Group]=B$5), 0, MATCH(_xlfn.CONCAT($Q$2, "%"), tblPiNAnalysis[[#Headers],[CCCM%]:[WASH%]], 0))=$A8, 1, 0))=0, "",SUM(IF(INDEX(_xlfn._xlws.FILTER(tblPiNAnalysis[[CCCM%]:[WASH%]], tblPiNAnalysis[Population Group]=B$5), 0, MATCH(_xlfn.CONCAT($Q$2, "%"), tblPiNAnalysis[[#Headers],[CCCM%]:[WASH%]], 0))=$A8, 1, 0))))</f>
        <v>42</v>
      </c>
      <c r="C8" s="92" t="str" cm="1">
        <f t="array" ref="C8">IFERROR(IF(OR($A8="", C$5=""), "", IF(SUM(IF(INDEX(_xlfn._xlws.FILTER(tblPiNAnalysis[[CCCM%]:[WASH%]], tblPiNAnalysis[Population Group]=C$5), 0, MATCH(_xlfn.CONCAT($Q$2, "%"), tblPiNAnalysis[[#Headers],[CCCM%]:[WASH%]], 0))=$A8, 1, 0))=0, "",SUM(IF(INDEX(_xlfn._xlws.FILTER(tblPiNAnalysis[[CCCM%]:[WASH%]], tblPiNAnalysis[Population Group]=C$5), 0, MATCH(_xlfn.CONCAT($Q$2, "%"), tblPiNAnalysis[[#Headers],[CCCM%]:[WASH%]], 0))=$A8, 1, 0)))), "")</f>
        <v/>
      </c>
      <c r="D8" s="92" t="str" cm="1">
        <f t="array" ref="D8">IFERROR(IF(OR($A8="", D$5=""), "", IF(SUM(IF(INDEX(_xlfn._xlws.FILTER(tblPiNAnalysis[[CCCM%]:[WASH%]], tblPiNAnalysis[Population Group]=D$5), 0, MATCH(_xlfn.CONCAT($Q$2, "%"), tblPiNAnalysis[[#Headers],[CCCM%]:[WASH%]], 0))=$A8, 1, 0))=0, "",SUM(IF(INDEX(_xlfn._xlws.FILTER(tblPiNAnalysis[[CCCM%]:[WASH%]], tblPiNAnalysis[Population Group]=D$5), 0, MATCH(_xlfn.CONCAT($Q$2, "%"), tblPiNAnalysis[[#Headers],[CCCM%]:[WASH%]], 0))=$A8, 1, 0)))), "")</f>
        <v/>
      </c>
      <c r="E8" s="92" t="str" cm="1">
        <f t="array" ref="E8">IFERROR(IF(OR($A8="", E$5=""), "", IF(SUM(IF(INDEX(_xlfn._xlws.FILTER(tblPiNAnalysis[[CCCM%]:[WASH%]], tblPiNAnalysis[Population Group]=E$5), 0, MATCH(_xlfn.CONCAT($Q$2, "%"), tblPiNAnalysis[[#Headers],[CCCM%]:[WASH%]], 0))=$A8, 1, 0))=0, "",SUM(IF(INDEX(_xlfn._xlws.FILTER(tblPiNAnalysis[[CCCM%]:[WASH%]], tblPiNAnalysis[Population Group]=E$5), 0, MATCH(_xlfn.CONCAT($Q$2, "%"), tblPiNAnalysis[[#Headers],[CCCM%]:[WASH%]], 0))=$A8, 1, 0)))), "")</f>
        <v/>
      </c>
      <c r="F8" s="92" t="str" cm="1">
        <f t="array" ref="F8">IFERROR(IF(OR($A8="", F$5=""), "", IF(SUM(IF(INDEX(_xlfn._xlws.FILTER(tblPiNAnalysis[[CCCM%]:[WASH%]], tblPiNAnalysis[CCCM]=F$5), 0, MATCH(_xlfn.CONCAT($Q$2, "%"), tblPiNAnalysis[[#Headers],[CCCM%]:[WASH%]], 0))=$A8, 1, 0))=0, "",SUM(IF(INDEX(_xlfn._xlws.FILTER(tblPiNAnalysis[[CCCM%]:[WASH%]], tblPiNAnalysis[CCCM]=F$5), 0, MATCH(_xlfn.CONCAT($Q$2, "%"), tblPiNAnalysis[[#Headers],[CCCM%]:[WASH%]], 0))=$A8, 1, 0)))), "")</f>
        <v/>
      </c>
      <c r="H8" s="94">
        <v>-0.5</v>
      </c>
      <c r="I8" s="92" cm="1">
        <f t="array" ref="I8">IF($H8="", "", IF($H8=2, SUM(IF(INDEX(_xlfn._xlws.FILTER(tblPiNHistorical[[CCCM]:[WASH]], tblPiNHistorical[Population Group]=I$5), 0, MATCH($Q$2, tblPiNHistorical[[#Headers],[CCCM]:[WASH]], 0))&gt;1.9, 1, 0)), IF(SUM(IF(INDEX(_xlfn._xlws.FILTER(tblPiNHistorical[[CCCM]:[WASH]], tblPiNHistorical[Population Group]=I$5), 0, MATCH($Q$2, tblPiNHistorical[[#Headers],[CCCM]:[WASH]], 0))=$H8, 1, 0))=0, "", SUM(IF(INDEX(_xlfn._xlws.FILTER(tblPiNHistorical[[CCCM]:[WASH]], tblPiNHistorical[Population Group]=I$5), 0, MATCH($Q$2, tblPiNHistorical[[#Headers],[CCCM]:[WASH]], 0))=$H8, 1, 0)))))</f>
        <v>7</v>
      </c>
      <c r="J8" s="92" t="str" cm="1">
        <f t="array" ref="J8">IFERROR(IF(OR($H8="", J7=""), "", IF($H8=2, SUM(IF(INDEX(_xlfn._xlws.FILTER(tblPiNHistorical[[CCCM]:[WASH]], tblPiNHistorical[Population Group]=J$5), 0, MATCH($Q$2, tblPiNHistorical[[#Headers],[CCCM]:[WASH]], 0))&gt;1.9, 1, 0)), IF(SUM(IF(INDEX(_xlfn._xlws.FILTER(tblPiNHistorical[[CCCM]:[WASH]], tblPiNHistorical[Population Group]=J$5), 0, MATCH($Q$2, tblPiNHistorical[[#Headers],[CCCM]:[WASH]], 0))=$H8, 1, 0))=0, "", SUM(IF(INDEX(_xlfn._xlws.FILTER(tblPiNHistorical[[CCCM]:[WASH]], tblPiNHistorical[Population Group]=J$5), 0, MATCH($Q$2, tblPiNHistorical[[#Headers],[CCCM]:[WASH]], 0))=$H8, 1, 0))))), "")</f>
        <v/>
      </c>
      <c r="K8" s="92" t="str" cm="1">
        <f t="array" ref="K8">IFERROR(IF(OR($H8="", K7=""), "", IF($H8=2, SUM(IF(INDEX(_xlfn._xlws.FILTER(tblPiNHistorical[[CCCM]:[WASH]], tblPiNHistorical[CCCM - old]=K$5), 0, MATCH($Q$2, tblPiNHistorical[[#Headers],[CCCM]:[WASH]], 0))&gt;1.9, 1, 0)), IF(SUM(IF(INDEX(_xlfn._xlws.FILTER(tblPiNHistorical[[CCCM]:[WASH]], tblPiNHistorical[CCCM - old]=K$5), 0, MATCH($Q$2, tblPiNHistorical[[#Headers],[CCCM]:[WASH]], 0))=$H8, 1, 0))=0, "", SUM(IF(INDEX(_xlfn._xlws.FILTER(tblPiNHistorical[[CCCM]:[WASH]], tblPiNHistorical[CCCM - old]=K$5), 0, MATCH($Q$2, tblPiNHistorical[[#Headers],[CCCM]:[WASH]], 0))=$H8, 1, 0))))), "")</f>
        <v/>
      </c>
      <c r="L8" s="92" t="str" cm="1">
        <f t="array" ref="L8">IFERROR(IF(OR($H8="", L7=""), "", IF($H8=2, SUM(IF(INDEX(_xlfn._xlws.FILTER(tblPiNHistorical[[CCCM]:[WASH]],#REF!= L$5), 0, MATCH($Q$2, tblPiNHistorical[[#Headers],[CCCM]:[WASH]], 0))&gt;1.9, 1, 0)), IF(SUM(IF(INDEX(_xlfn._xlws.FILTER(tblPiNHistorical[[CCCM]:[WASH]],#REF!= L$5), 0, MATCH($Q$2, tblPiNHistorical[[#Headers],[CCCM]:[WASH]], 0))=$H8, 1, 0))=0, "", SUM(IF(INDEX(_xlfn._xlws.FILTER(tblPiNHistorical[[CCCM]:[WASH]],#REF!= L$5), 0, MATCH($Q$2, tblPiNHistorical[[#Headers],[CCCM]:[WASH]], 0))=$H8, 1, 0))))), "")</f>
        <v/>
      </c>
      <c r="M8" s="92" t="str" cm="1">
        <f t="array" ref="M8">IFERROR(IF(OR($H8="", M7=""), "", IF($H8=2, SUM(IF(INDEX(_xlfn._xlws.FILTER(tblPiNHistorical[[CCCM]:[WASH]],#REF!= M$5), 0, MATCH($Q$2, tblPiNHistorical[[#Headers],[CCCM]:[WASH]], 0))&gt;1.9, 1, 0)), IF(SUM(IF(INDEX(_xlfn._xlws.FILTER(tblPiNHistorical[[CCCM]:[WASH]],#REF!= M$5), 0, MATCH($Q$2, tblPiNHistorical[[#Headers],[CCCM]:[WASH]], 0))=$H8, 1, 0))=0, "", SUM(IF(INDEX(_xlfn._xlws.FILTER(tblPiNHistorical[[CCCM]:[WASH]],#REF!= M$5), 0, MATCH($Q$2, tblPiNHistorical[[#Headers],[CCCM]:[WASH]], 0))=$H8, 1, 0))))), "")</f>
        <v/>
      </c>
      <c r="Z8" s="168"/>
    </row>
    <row r="9" spans="1:26">
      <c r="A9" s="94">
        <v>0.2</v>
      </c>
      <c r="B9" s="92" cm="1">
        <f t="array" ref="B9">IF($A9="", "", IF(SUM(IF(INDEX(_xlfn._xlws.FILTER(tblPiNAnalysis[[CCCM%]:[WASH%]], tblPiNAnalysis[Population Group]=B$5), 0, MATCH(_xlfn.CONCAT($Q$2, "%"), tblPiNAnalysis[[#Headers],[CCCM%]:[WASH%]], 0))=$A9, 1, 0))=0, "",SUM(IF(INDEX(_xlfn._xlws.FILTER(tblPiNAnalysis[[CCCM%]:[WASH%]], tblPiNAnalysis[Population Group]=B$5), 0, MATCH(_xlfn.CONCAT($Q$2, "%"), tblPiNAnalysis[[#Headers],[CCCM%]:[WASH%]], 0))=$A9, 1, 0))))</f>
        <v>21</v>
      </c>
      <c r="C9" s="92" t="str" cm="1">
        <f t="array" ref="C9">IFERROR(IF(OR($A9="", C$5=""), "", IF(SUM(IF(INDEX(_xlfn._xlws.FILTER(tblPiNAnalysis[[CCCM%]:[WASH%]], tblPiNAnalysis[Population Group]=C$5), 0, MATCH(_xlfn.CONCAT($Q$2, "%"), tblPiNAnalysis[[#Headers],[CCCM%]:[WASH%]], 0))=$A9, 1, 0))=0, "",SUM(IF(INDEX(_xlfn._xlws.FILTER(tblPiNAnalysis[[CCCM%]:[WASH%]], tblPiNAnalysis[Population Group]=C$5), 0, MATCH(_xlfn.CONCAT($Q$2, "%"), tblPiNAnalysis[[#Headers],[CCCM%]:[WASH%]], 0))=$A9, 1, 0)))), "")</f>
        <v/>
      </c>
      <c r="D9" s="92" t="str" cm="1">
        <f t="array" ref="D9">IFERROR(IF(OR($A9="", D$5=""), "", IF(SUM(IF(INDEX(_xlfn._xlws.FILTER(tblPiNAnalysis[[CCCM%]:[WASH%]], tblPiNAnalysis[Population Group]=D$5), 0, MATCH(_xlfn.CONCAT($Q$2, "%"), tblPiNAnalysis[[#Headers],[CCCM%]:[WASH%]], 0))=$A9, 1, 0))=0, "",SUM(IF(INDEX(_xlfn._xlws.FILTER(tblPiNAnalysis[[CCCM%]:[WASH%]], tblPiNAnalysis[Population Group]=D$5), 0, MATCH(_xlfn.CONCAT($Q$2, "%"), tblPiNAnalysis[[#Headers],[CCCM%]:[WASH%]], 0))=$A9, 1, 0)))), "")</f>
        <v/>
      </c>
      <c r="E9" s="92" t="str" cm="1">
        <f t="array" ref="E9">IFERROR(IF(OR($A9="", E$5=""), "", IF(SUM(IF(INDEX(_xlfn._xlws.FILTER(tblPiNAnalysis[[CCCM%]:[WASH%]], tblPiNAnalysis[Population Group]=E$5), 0, MATCH(_xlfn.CONCAT($Q$2, "%"), tblPiNAnalysis[[#Headers],[CCCM%]:[WASH%]], 0))=$A9, 1, 0))=0, "",SUM(IF(INDEX(_xlfn._xlws.FILTER(tblPiNAnalysis[[CCCM%]:[WASH%]], tblPiNAnalysis[Population Group]=E$5), 0, MATCH(_xlfn.CONCAT($Q$2, "%"), tblPiNAnalysis[[#Headers],[CCCM%]:[WASH%]], 0))=$A9, 1, 0)))), "")</f>
        <v/>
      </c>
      <c r="F9" s="92" t="str" cm="1">
        <f t="array" ref="F9">IFERROR(IF(OR($A9="", F$5=""), "", IF(SUM(IF(INDEX(_xlfn._xlws.FILTER(tblPiNAnalysis[[CCCM%]:[WASH%]], tblPiNAnalysis[CCCM]=F$5), 0, MATCH(_xlfn.CONCAT($Q$2, "%"), tblPiNAnalysis[[#Headers],[CCCM%]:[WASH%]], 0))=$A9, 1, 0))=0, "",SUM(IF(INDEX(_xlfn._xlws.FILTER(tblPiNAnalysis[[CCCM%]:[WASH%]], tblPiNAnalysis[CCCM]=F$5), 0, MATCH(_xlfn.CONCAT($Q$2, "%"), tblPiNAnalysis[[#Headers],[CCCM%]:[WASH%]], 0))=$A9, 1, 0)))), "")</f>
        <v/>
      </c>
      <c r="H9" s="94">
        <v>-0.4</v>
      </c>
      <c r="I9" s="92" cm="1">
        <f t="array" ref="I9">IF($H9="", "", IF($H9=2, SUM(IF(INDEX(_xlfn._xlws.FILTER(tblPiNHistorical[[CCCM]:[WASH]], tblPiNHistorical[Population Group]=I$5), 0, MATCH($Q$2, tblPiNHistorical[[#Headers],[CCCM]:[WASH]], 0))&gt;1.9, 1, 0)), IF(SUM(IF(INDEX(_xlfn._xlws.FILTER(tblPiNHistorical[[CCCM]:[WASH]], tblPiNHistorical[Population Group]=I$5), 0, MATCH($Q$2, tblPiNHistorical[[#Headers],[CCCM]:[WASH]], 0))=$H9, 1, 0))=0, "", SUM(IF(INDEX(_xlfn._xlws.FILTER(tblPiNHistorical[[CCCM]:[WASH]], tblPiNHistorical[Population Group]=I$5), 0, MATCH($Q$2, tblPiNHistorical[[#Headers],[CCCM]:[WASH]], 0))=$H9, 1, 0)))))</f>
        <v>2</v>
      </c>
      <c r="J9" s="92" t="str" cm="1">
        <f t="array" ref="J9">IFERROR(IF(OR($H9="", J8=""), "", IF($H9=2, SUM(IF(INDEX(_xlfn._xlws.FILTER(tblPiNHistorical[[CCCM]:[WASH]], tblPiNHistorical[Population Group]=J$5), 0, MATCH($Q$2, tblPiNHistorical[[#Headers],[CCCM]:[WASH]], 0))&gt;1.9, 1, 0)), IF(SUM(IF(INDEX(_xlfn._xlws.FILTER(tblPiNHistorical[[CCCM]:[WASH]], tblPiNHistorical[Population Group]=J$5), 0, MATCH($Q$2, tblPiNHistorical[[#Headers],[CCCM]:[WASH]], 0))=$H9, 1, 0))=0, "", SUM(IF(INDEX(_xlfn._xlws.FILTER(tblPiNHistorical[[CCCM]:[WASH]], tblPiNHistorical[Population Group]=J$5), 0, MATCH($Q$2, tblPiNHistorical[[#Headers],[CCCM]:[WASH]], 0))=$H9, 1, 0))))), "")</f>
        <v/>
      </c>
      <c r="K9" s="92" t="str" cm="1">
        <f t="array" ref="K9">IFERROR(IF(OR($H9="", K8=""), "", IF($H9=2, SUM(IF(INDEX(_xlfn._xlws.FILTER(tblPiNHistorical[[CCCM]:[WASH]], tblPiNHistorical[CCCM - old]=K$5), 0, MATCH($Q$2, tblPiNHistorical[[#Headers],[CCCM]:[WASH]], 0))&gt;1.9, 1, 0)), IF(SUM(IF(INDEX(_xlfn._xlws.FILTER(tblPiNHistorical[[CCCM]:[WASH]], tblPiNHistorical[CCCM - old]=K$5), 0, MATCH($Q$2, tblPiNHistorical[[#Headers],[CCCM]:[WASH]], 0))=$H9, 1, 0))=0, "", SUM(IF(INDEX(_xlfn._xlws.FILTER(tblPiNHistorical[[CCCM]:[WASH]], tblPiNHistorical[CCCM - old]=K$5), 0, MATCH($Q$2, tblPiNHistorical[[#Headers],[CCCM]:[WASH]], 0))=$H9, 1, 0))))), "")</f>
        <v/>
      </c>
      <c r="L9" s="92" t="str" cm="1">
        <f t="array" ref="L9">IFERROR(IF(OR($H9="", L8=""), "", IF($H9=2, SUM(IF(INDEX(_xlfn._xlws.FILTER(tblPiNHistorical[[CCCM]:[WASH]],#REF!= L$5), 0, MATCH($Q$2, tblPiNHistorical[[#Headers],[CCCM]:[WASH]], 0))&gt;1.9, 1, 0)), IF(SUM(IF(INDEX(_xlfn._xlws.FILTER(tblPiNHistorical[[CCCM]:[WASH]],#REF!= L$5), 0, MATCH($Q$2, tblPiNHistorical[[#Headers],[CCCM]:[WASH]], 0))=$H9, 1, 0))=0, "", SUM(IF(INDEX(_xlfn._xlws.FILTER(tblPiNHistorical[[CCCM]:[WASH]],#REF!= L$5), 0, MATCH($Q$2, tblPiNHistorical[[#Headers],[CCCM]:[WASH]], 0))=$H9, 1, 0))))), "")</f>
        <v/>
      </c>
      <c r="M9" s="92" t="str" cm="1">
        <f t="array" ref="M9">IFERROR(IF(OR($H9="", M8=""), "", IF($H9=2, SUM(IF(INDEX(_xlfn._xlws.FILTER(tblPiNHistorical[[CCCM]:[WASH]],#REF!= M$5), 0, MATCH($Q$2, tblPiNHistorical[[#Headers],[CCCM]:[WASH]], 0))&gt;1.9, 1, 0)), IF(SUM(IF(INDEX(_xlfn._xlws.FILTER(tblPiNHistorical[[CCCM]:[WASH]],#REF!= M$5), 0, MATCH($Q$2, tblPiNHistorical[[#Headers],[CCCM]:[WASH]], 0))=$H9, 1, 0))=0, "", SUM(IF(INDEX(_xlfn._xlws.FILTER(tblPiNHistorical[[CCCM]:[WASH]],#REF!= M$5), 0, MATCH($Q$2, tblPiNHistorical[[#Headers],[CCCM]:[WASH]], 0))=$H9, 1, 0))))), "")</f>
        <v/>
      </c>
      <c r="Z9" s="168"/>
    </row>
    <row r="10" spans="1:26">
      <c r="A10" s="94" t="str">
        <v/>
      </c>
      <c r="B10" s="92" t="str" cm="1">
        <f t="array" ref="B10">IF($A10="", "", IF(SUM(IF(INDEX(_xlfn._xlws.FILTER(tblPiNAnalysis[[CCCM%]:[WASH%]], tblPiNAnalysis[Population Group]=B$5), 0, MATCH(_xlfn.CONCAT($Q$2, "%"), tblPiNAnalysis[[#Headers],[CCCM%]:[WASH%]], 0))=$A10, 1, 0))=0, "",SUM(IF(INDEX(_xlfn._xlws.FILTER(tblPiNAnalysis[[CCCM%]:[WASH%]], tblPiNAnalysis[Population Group]=B$5), 0, MATCH(_xlfn.CONCAT($Q$2, "%"), tblPiNAnalysis[[#Headers],[CCCM%]:[WASH%]], 0))=$A10, 1, 0))))</f>
        <v/>
      </c>
      <c r="C10" s="92" t="str" cm="1">
        <f t="array" ref="C10">IFERROR(IF(OR($A10="", C$5=""), "", IF(SUM(IF(INDEX(_xlfn._xlws.FILTER(tblPiNAnalysis[[CCCM%]:[WASH%]], tblPiNAnalysis[Population Group]=C$5), 0, MATCH(_xlfn.CONCAT($Q$2, "%"), tblPiNAnalysis[[#Headers],[CCCM%]:[WASH%]], 0))=$A10, 1, 0))=0, "",SUM(IF(INDEX(_xlfn._xlws.FILTER(tblPiNAnalysis[[CCCM%]:[WASH%]], tblPiNAnalysis[Population Group]=C$5), 0, MATCH(_xlfn.CONCAT($Q$2, "%"), tblPiNAnalysis[[#Headers],[CCCM%]:[WASH%]], 0))=$A10, 1, 0)))), "")</f>
        <v/>
      </c>
      <c r="D10" s="92" t="str" cm="1">
        <f t="array" ref="D10">IFERROR(IF(OR($A10="", D$5=""), "", IF(SUM(IF(INDEX(_xlfn._xlws.FILTER(tblPiNAnalysis[[CCCM%]:[WASH%]], tblPiNAnalysis[Population Group]=D$5), 0, MATCH(_xlfn.CONCAT($Q$2, "%"), tblPiNAnalysis[[#Headers],[CCCM%]:[WASH%]], 0))=$A10, 1, 0))=0, "",SUM(IF(INDEX(_xlfn._xlws.FILTER(tblPiNAnalysis[[CCCM%]:[WASH%]], tblPiNAnalysis[Population Group]=D$5), 0, MATCH(_xlfn.CONCAT($Q$2, "%"), tblPiNAnalysis[[#Headers],[CCCM%]:[WASH%]], 0))=$A10, 1, 0)))), "")</f>
        <v/>
      </c>
      <c r="E10" s="92" t="str" cm="1">
        <f t="array" ref="E10">IFERROR(IF(OR($A10="", E$5=""), "", IF(SUM(IF(INDEX(_xlfn._xlws.FILTER(tblPiNAnalysis[[CCCM%]:[WASH%]], tblPiNAnalysis[Population Group]=E$5), 0, MATCH(_xlfn.CONCAT($Q$2, "%"), tblPiNAnalysis[[#Headers],[CCCM%]:[WASH%]], 0))=$A10, 1, 0))=0, "",SUM(IF(INDEX(_xlfn._xlws.FILTER(tblPiNAnalysis[[CCCM%]:[WASH%]], tblPiNAnalysis[Population Group]=E$5), 0, MATCH(_xlfn.CONCAT($Q$2, "%"), tblPiNAnalysis[[#Headers],[CCCM%]:[WASH%]], 0))=$A10, 1, 0)))), "")</f>
        <v/>
      </c>
      <c r="F10" s="92" t="str" cm="1">
        <f t="array" ref="F10">IFERROR(IF(OR($A10="", F$5=""), "", IF(SUM(IF(INDEX(_xlfn._xlws.FILTER(tblPiNAnalysis[[CCCM%]:[WASH%]], tblPiNAnalysis[CCCM]=F$5), 0, MATCH(_xlfn.CONCAT($Q$2, "%"), tblPiNAnalysis[[#Headers],[CCCM%]:[WASH%]], 0))=$A10, 1, 0))=0, "",SUM(IF(INDEX(_xlfn._xlws.FILTER(tblPiNAnalysis[[CCCM%]:[WASH%]], tblPiNAnalysis[CCCM]=F$5), 0, MATCH(_xlfn.CONCAT($Q$2, "%"), tblPiNAnalysis[[#Headers],[CCCM%]:[WASH%]], 0))=$A10, 1, 0)))), "")</f>
        <v/>
      </c>
      <c r="H10" s="94">
        <v>-0.3</v>
      </c>
      <c r="I10" s="92" cm="1">
        <f t="array" ref="I10">IF($H10="", "", IF($H10=2, SUM(IF(INDEX(_xlfn._xlws.FILTER(tblPiNHistorical[[CCCM]:[WASH]], tblPiNHistorical[Population Group]=I$5), 0, MATCH($Q$2, tblPiNHistorical[[#Headers],[CCCM]:[WASH]], 0))&gt;1.9, 1, 0)), IF(SUM(IF(INDEX(_xlfn._xlws.FILTER(tblPiNHistorical[[CCCM]:[WASH]], tblPiNHistorical[Population Group]=I$5), 0, MATCH($Q$2, tblPiNHistorical[[#Headers],[CCCM]:[WASH]], 0))=$H10, 1, 0))=0, "", SUM(IF(INDEX(_xlfn._xlws.FILTER(tblPiNHistorical[[CCCM]:[WASH]], tblPiNHistorical[Population Group]=I$5), 0, MATCH($Q$2, tblPiNHistorical[[#Headers],[CCCM]:[WASH]], 0))=$H10, 1, 0)))))</f>
        <v>27</v>
      </c>
      <c r="J10" s="92" t="str" cm="1">
        <f t="array" ref="J10">IFERROR(IF(OR($H10="", J9=""), "", IF($H10=2, SUM(IF(INDEX(_xlfn._xlws.FILTER(tblPiNHistorical[[CCCM]:[WASH]], tblPiNHistorical[Population Group]=J$5), 0, MATCH($Q$2, tblPiNHistorical[[#Headers],[CCCM]:[WASH]], 0))&gt;1.9, 1, 0)), IF(SUM(IF(INDEX(_xlfn._xlws.FILTER(tblPiNHistorical[[CCCM]:[WASH]], tblPiNHistorical[Population Group]=J$5), 0, MATCH($Q$2, tblPiNHistorical[[#Headers],[CCCM]:[WASH]], 0))=$H10, 1, 0))=0, "", SUM(IF(INDEX(_xlfn._xlws.FILTER(tblPiNHistorical[[CCCM]:[WASH]], tblPiNHistorical[Population Group]=J$5), 0, MATCH($Q$2, tblPiNHistorical[[#Headers],[CCCM]:[WASH]], 0))=$H10, 1, 0))))), "")</f>
        <v/>
      </c>
      <c r="K10" s="92" t="str" cm="1">
        <f t="array" ref="K10">IFERROR(IF(OR($H10="", K9=""), "", IF($H10=2, SUM(IF(INDEX(_xlfn._xlws.FILTER(tblPiNHistorical[[CCCM]:[WASH]], tblPiNHistorical[CCCM - old]=K$5), 0, MATCH($Q$2, tblPiNHistorical[[#Headers],[CCCM]:[WASH]], 0))&gt;1.9, 1, 0)), IF(SUM(IF(INDEX(_xlfn._xlws.FILTER(tblPiNHistorical[[CCCM]:[WASH]], tblPiNHistorical[CCCM - old]=K$5), 0, MATCH($Q$2, tblPiNHistorical[[#Headers],[CCCM]:[WASH]], 0))=$H10, 1, 0))=0, "", SUM(IF(INDEX(_xlfn._xlws.FILTER(tblPiNHistorical[[CCCM]:[WASH]], tblPiNHistorical[CCCM - old]=K$5), 0, MATCH($Q$2, tblPiNHistorical[[#Headers],[CCCM]:[WASH]], 0))=$H10, 1, 0))))), "")</f>
        <v/>
      </c>
      <c r="L10" s="92" t="str" cm="1">
        <f t="array" ref="L10">IFERROR(IF(OR($H10="", L9=""), "", IF($H10=2, SUM(IF(INDEX(_xlfn._xlws.FILTER(tblPiNHistorical[[CCCM]:[WASH]],#REF!= L$5), 0, MATCH($Q$2, tblPiNHistorical[[#Headers],[CCCM]:[WASH]], 0))&gt;1.9, 1, 0)), IF(SUM(IF(INDEX(_xlfn._xlws.FILTER(tblPiNHistorical[[CCCM]:[WASH]],#REF!= L$5), 0, MATCH($Q$2, tblPiNHistorical[[#Headers],[CCCM]:[WASH]], 0))=$H10, 1, 0))=0, "", SUM(IF(INDEX(_xlfn._xlws.FILTER(tblPiNHistorical[[CCCM]:[WASH]],#REF!= L$5), 0, MATCH($Q$2, tblPiNHistorical[[#Headers],[CCCM]:[WASH]], 0))=$H10, 1, 0))))), "")</f>
        <v/>
      </c>
      <c r="M10" s="92" t="str" cm="1">
        <f t="array" ref="M10">IFERROR(IF(OR($H10="", M9=""), "", IF($H10=2, SUM(IF(INDEX(_xlfn._xlws.FILTER(tblPiNHistorical[[CCCM]:[WASH]],#REF!= M$5), 0, MATCH($Q$2, tblPiNHistorical[[#Headers],[CCCM]:[WASH]], 0))&gt;1.9, 1, 0)), IF(SUM(IF(INDEX(_xlfn._xlws.FILTER(tblPiNHistorical[[CCCM]:[WASH]],#REF!= M$5), 0, MATCH($Q$2, tblPiNHistorical[[#Headers],[CCCM]:[WASH]], 0))=$H10, 1, 0))=0, "", SUM(IF(INDEX(_xlfn._xlws.FILTER(tblPiNHistorical[[CCCM]:[WASH]],#REF!= M$5), 0, MATCH($Q$2, tblPiNHistorical[[#Headers],[CCCM]:[WASH]], 0))=$H10, 1, 0))))), "")</f>
        <v/>
      </c>
      <c r="Z10" s="168"/>
    </row>
    <row r="11" spans="1:26">
      <c r="A11" s="94"/>
      <c r="B11" s="92" t="str" cm="1">
        <f t="array" ref="B11">IF($A11="", "", IF(SUM(IF(INDEX(_xlfn._xlws.FILTER(tblPiNAnalysis[[CCCM%]:[WASH%]], tblPiNAnalysis[Population Group]=B$5), 0, MATCH(_xlfn.CONCAT($Q$2, "%"), tblPiNAnalysis[[#Headers],[CCCM%]:[WASH%]], 0))=$A11, 1, 0))=0, "",SUM(IF(INDEX(_xlfn._xlws.FILTER(tblPiNAnalysis[[CCCM%]:[WASH%]], tblPiNAnalysis[Population Group]=B$5), 0, MATCH(_xlfn.CONCAT($Q$2, "%"), tblPiNAnalysis[[#Headers],[CCCM%]:[WASH%]], 0))=$A11, 1, 0))))</f>
        <v/>
      </c>
      <c r="C11" s="92" t="str" cm="1">
        <f t="array" ref="C11">IFERROR(IF(OR($A11="", C$5=""), "", IF(SUM(IF(INDEX(_xlfn._xlws.FILTER(tblPiNAnalysis[[CCCM%]:[WASH%]], tblPiNAnalysis[Population Group]=C$5), 0, MATCH(_xlfn.CONCAT($Q$2, "%"), tblPiNAnalysis[[#Headers],[CCCM%]:[WASH%]], 0))=$A11, 1, 0))=0, "",SUM(IF(INDEX(_xlfn._xlws.FILTER(tblPiNAnalysis[[CCCM%]:[WASH%]], tblPiNAnalysis[Population Group]=C$5), 0, MATCH(_xlfn.CONCAT($Q$2, "%"), tblPiNAnalysis[[#Headers],[CCCM%]:[WASH%]], 0))=$A11, 1, 0)))), "")</f>
        <v/>
      </c>
      <c r="D11" s="92" t="str" cm="1">
        <f t="array" ref="D11">IFERROR(IF(OR($A11="", D$5=""), "", IF(SUM(IF(INDEX(_xlfn._xlws.FILTER(tblPiNAnalysis[[CCCM%]:[WASH%]], tblPiNAnalysis[Population Group]=D$5), 0, MATCH(_xlfn.CONCAT($Q$2, "%"), tblPiNAnalysis[[#Headers],[CCCM%]:[WASH%]], 0))=$A11, 1, 0))=0, "",SUM(IF(INDEX(_xlfn._xlws.FILTER(tblPiNAnalysis[[CCCM%]:[WASH%]], tblPiNAnalysis[Population Group]=D$5), 0, MATCH(_xlfn.CONCAT($Q$2, "%"), tblPiNAnalysis[[#Headers],[CCCM%]:[WASH%]], 0))=$A11, 1, 0)))), "")</f>
        <v/>
      </c>
      <c r="E11" s="92" t="str" cm="1">
        <f t="array" ref="E11">IFERROR(IF(OR($A11="", E$5=""), "", IF(SUM(IF(INDEX(_xlfn._xlws.FILTER(tblPiNAnalysis[[CCCM%]:[WASH%]], tblPiNAnalysis[Population Group]=E$5), 0, MATCH(_xlfn.CONCAT($Q$2, "%"), tblPiNAnalysis[[#Headers],[CCCM%]:[WASH%]], 0))=$A11, 1, 0))=0, "",SUM(IF(INDEX(_xlfn._xlws.FILTER(tblPiNAnalysis[[CCCM%]:[WASH%]], tblPiNAnalysis[Population Group]=E$5), 0, MATCH(_xlfn.CONCAT($Q$2, "%"), tblPiNAnalysis[[#Headers],[CCCM%]:[WASH%]], 0))=$A11, 1, 0)))), "")</f>
        <v/>
      </c>
      <c r="F11" s="92" t="str" cm="1">
        <f t="array" ref="F11">IFERROR(IF(OR($A11="", F$5=""), "", IF(SUM(IF(INDEX(_xlfn._xlws.FILTER(tblPiNAnalysis[[CCCM%]:[WASH%]], tblPiNAnalysis[CCCM]=F$5), 0, MATCH(_xlfn.CONCAT($Q$2, "%"), tblPiNAnalysis[[#Headers],[CCCM%]:[WASH%]], 0))=$A11, 1, 0))=0, "",SUM(IF(INDEX(_xlfn._xlws.FILTER(tblPiNAnalysis[[CCCM%]:[WASH%]], tblPiNAnalysis[CCCM]=F$5), 0, MATCH(_xlfn.CONCAT($Q$2, "%"), tblPiNAnalysis[[#Headers],[CCCM%]:[WASH%]], 0))=$A11, 1, 0)))), "")</f>
        <v/>
      </c>
      <c r="H11" s="94">
        <v>-0.2</v>
      </c>
      <c r="I11" s="92" cm="1">
        <f t="array" ref="I11">IF($H11="", "", IF($H11=2, SUM(IF(INDEX(_xlfn._xlws.FILTER(tblPiNHistorical[[CCCM]:[WASH]], tblPiNHistorical[Population Group]=I$5), 0, MATCH($Q$2, tblPiNHistorical[[#Headers],[CCCM]:[WASH]], 0))&gt;1.9, 1, 0)), IF(SUM(IF(INDEX(_xlfn._xlws.FILTER(tblPiNHistorical[[CCCM]:[WASH]], tblPiNHistorical[Population Group]=I$5), 0, MATCH($Q$2, tblPiNHistorical[[#Headers],[CCCM]:[WASH]], 0))=$H11, 1, 0))=0, "", SUM(IF(INDEX(_xlfn._xlws.FILTER(tblPiNHistorical[[CCCM]:[WASH]], tblPiNHistorical[Population Group]=I$5), 0, MATCH($Q$2, tblPiNHistorical[[#Headers],[CCCM]:[WASH]], 0))=$H11, 1, 0)))))</f>
        <v>27</v>
      </c>
      <c r="J11" s="92" t="str" cm="1">
        <f t="array" ref="J11">IFERROR(IF(OR($H11="", J10=""), "", IF($H11=2, SUM(IF(INDEX(_xlfn._xlws.FILTER(tblPiNHistorical[[CCCM]:[WASH]], tblPiNHistorical[Population Group]=J$5), 0, MATCH($Q$2, tblPiNHistorical[[#Headers],[CCCM]:[WASH]], 0))&gt;1.9, 1, 0)), IF(SUM(IF(INDEX(_xlfn._xlws.FILTER(tblPiNHistorical[[CCCM]:[WASH]], tblPiNHistorical[Population Group]=J$5), 0, MATCH($Q$2, tblPiNHistorical[[#Headers],[CCCM]:[WASH]], 0))=$H11, 1, 0))=0, "", SUM(IF(INDEX(_xlfn._xlws.FILTER(tblPiNHistorical[[CCCM]:[WASH]], tblPiNHistorical[Population Group]=J$5), 0, MATCH($Q$2, tblPiNHistorical[[#Headers],[CCCM]:[WASH]], 0))=$H11, 1, 0))))), "")</f>
        <v/>
      </c>
      <c r="K11" s="92" t="str" cm="1">
        <f t="array" ref="K11">IFERROR(IF(OR($H11="", K10=""), "", IF($H11=2, SUM(IF(INDEX(_xlfn._xlws.FILTER(tblPiNHistorical[[CCCM]:[WASH]], tblPiNHistorical[CCCM - old]=K$5), 0, MATCH($Q$2, tblPiNHistorical[[#Headers],[CCCM]:[WASH]], 0))&gt;1.9, 1, 0)), IF(SUM(IF(INDEX(_xlfn._xlws.FILTER(tblPiNHistorical[[CCCM]:[WASH]], tblPiNHistorical[CCCM - old]=K$5), 0, MATCH($Q$2, tblPiNHistorical[[#Headers],[CCCM]:[WASH]], 0))=$H11, 1, 0))=0, "", SUM(IF(INDEX(_xlfn._xlws.FILTER(tblPiNHistorical[[CCCM]:[WASH]], tblPiNHistorical[CCCM - old]=K$5), 0, MATCH($Q$2, tblPiNHistorical[[#Headers],[CCCM]:[WASH]], 0))=$H11, 1, 0))))), "")</f>
        <v/>
      </c>
      <c r="L11" s="92" t="str" cm="1">
        <f t="array" ref="L11">IFERROR(IF(OR($H11="", L10=""), "", IF($H11=2, SUM(IF(INDEX(_xlfn._xlws.FILTER(tblPiNHistorical[[CCCM]:[WASH]],#REF!= L$5), 0, MATCH($Q$2, tblPiNHistorical[[#Headers],[CCCM]:[WASH]], 0))&gt;1.9, 1, 0)), IF(SUM(IF(INDEX(_xlfn._xlws.FILTER(tblPiNHistorical[[CCCM]:[WASH]],#REF!= L$5), 0, MATCH($Q$2, tblPiNHistorical[[#Headers],[CCCM]:[WASH]], 0))=$H11, 1, 0))=0, "", SUM(IF(INDEX(_xlfn._xlws.FILTER(tblPiNHistorical[[CCCM]:[WASH]],#REF!= L$5), 0, MATCH($Q$2, tblPiNHistorical[[#Headers],[CCCM]:[WASH]], 0))=$H11, 1, 0))))), "")</f>
        <v/>
      </c>
      <c r="M11" s="92" t="str" cm="1">
        <f t="array" ref="M11">IFERROR(IF(OR($H11="", M10=""), "", IF($H11=2, SUM(IF(INDEX(_xlfn._xlws.FILTER(tblPiNHistorical[[CCCM]:[WASH]],#REF!= M$5), 0, MATCH($Q$2, tblPiNHistorical[[#Headers],[CCCM]:[WASH]], 0))&gt;1.9, 1, 0)), IF(SUM(IF(INDEX(_xlfn._xlws.FILTER(tblPiNHistorical[[CCCM]:[WASH]],#REF!= M$5), 0, MATCH($Q$2, tblPiNHistorical[[#Headers],[CCCM]:[WASH]], 0))=$H11, 1, 0))=0, "", SUM(IF(INDEX(_xlfn._xlws.FILTER(tblPiNHistorical[[CCCM]:[WASH]],#REF!= M$5), 0, MATCH($Q$2, tblPiNHistorical[[#Headers],[CCCM]:[WASH]], 0))=$H11, 1, 0))))), "")</f>
        <v/>
      </c>
      <c r="Z11" s="168"/>
    </row>
    <row r="12" spans="1:26">
      <c r="A12" s="94"/>
      <c r="B12" s="92" t="str" cm="1">
        <f t="array" ref="B12">IF($A12="", "", IF(SUM(IF(INDEX(_xlfn._xlws.FILTER(tblPiNAnalysis[[CCCM%]:[WASH%]], tblPiNAnalysis[Population Group]=B$5), 0, MATCH(_xlfn.CONCAT($Q$2, "%"), tblPiNAnalysis[[#Headers],[CCCM%]:[WASH%]], 0))=$A12, 1, 0))=0, "",SUM(IF(INDEX(_xlfn._xlws.FILTER(tblPiNAnalysis[[CCCM%]:[WASH%]], tblPiNAnalysis[Population Group]=B$5), 0, MATCH(_xlfn.CONCAT($Q$2, "%"), tblPiNAnalysis[[#Headers],[CCCM%]:[WASH%]], 0))=$A12, 1, 0))))</f>
        <v/>
      </c>
      <c r="C12" s="92" t="str" cm="1">
        <f t="array" ref="C12">IFERROR(IF(OR($A12="", C$5=""), "", IF(SUM(IF(INDEX(_xlfn._xlws.FILTER(tblPiNAnalysis[[CCCM%]:[WASH%]], tblPiNAnalysis[Population Group]=C$5), 0, MATCH(_xlfn.CONCAT($Q$2, "%"), tblPiNAnalysis[[#Headers],[CCCM%]:[WASH%]], 0))=$A12, 1, 0))=0, "",SUM(IF(INDEX(_xlfn._xlws.FILTER(tblPiNAnalysis[[CCCM%]:[WASH%]], tblPiNAnalysis[Population Group]=C$5), 0, MATCH(_xlfn.CONCAT($Q$2, "%"), tblPiNAnalysis[[#Headers],[CCCM%]:[WASH%]], 0))=$A12, 1, 0)))), "")</f>
        <v/>
      </c>
      <c r="D12" s="92" t="str" cm="1">
        <f t="array" ref="D12">IFERROR(IF(OR($A12="", D$5=""), "", IF(SUM(IF(INDEX(_xlfn._xlws.FILTER(tblPiNAnalysis[[CCCM%]:[WASH%]], tblPiNAnalysis[Population Group]=D$5), 0, MATCH(_xlfn.CONCAT($Q$2, "%"), tblPiNAnalysis[[#Headers],[CCCM%]:[WASH%]], 0))=$A12, 1, 0))=0, "",SUM(IF(INDEX(_xlfn._xlws.FILTER(tblPiNAnalysis[[CCCM%]:[WASH%]], tblPiNAnalysis[Population Group]=D$5), 0, MATCH(_xlfn.CONCAT($Q$2, "%"), tblPiNAnalysis[[#Headers],[CCCM%]:[WASH%]], 0))=$A12, 1, 0)))), "")</f>
        <v/>
      </c>
      <c r="E12" s="92" t="str" cm="1">
        <f t="array" ref="E12">IFERROR(IF(OR($A12="", E$5=""), "", IF(SUM(IF(INDEX(_xlfn._xlws.FILTER(tblPiNAnalysis[[CCCM%]:[WASH%]], tblPiNAnalysis[Population Group]=E$5), 0, MATCH(_xlfn.CONCAT($Q$2, "%"), tblPiNAnalysis[[#Headers],[CCCM%]:[WASH%]], 0))=$A12, 1, 0))=0, "",SUM(IF(INDEX(_xlfn._xlws.FILTER(tblPiNAnalysis[[CCCM%]:[WASH%]], tblPiNAnalysis[Population Group]=E$5), 0, MATCH(_xlfn.CONCAT($Q$2, "%"), tblPiNAnalysis[[#Headers],[CCCM%]:[WASH%]], 0))=$A12, 1, 0)))), "")</f>
        <v/>
      </c>
      <c r="F12" s="92" t="str" cm="1">
        <f t="array" ref="F12">IFERROR(IF(OR($A12="", F$5=""), "", IF(SUM(IF(INDEX(_xlfn._xlws.FILTER(tblPiNAnalysis[[CCCM%]:[WASH%]], tblPiNAnalysis[CCCM]=F$5), 0, MATCH(_xlfn.CONCAT($Q$2, "%"), tblPiNAnalysis[[#Headers],[CCCM%]:[WASH%]], 0))=$A12, 1, 0))=0, "",SUM(IF(INDEX(_xlfn._xlws.FILTER(tblPiNAnalysis[[CCCM%]:[WASH%]], tblPiNAnalysis[CCCM]=F$5), 0, MATCH(_xlfn.CONCAT($Q$2, "%"), tblPiNAnalysis[[#Headers],[CCCM%]:[WASH%]], 0))=$A12, 1, 0)))), "")</f>
        <v/>
      </c>
      <c r="H12" s="94">
        <v>-0.1</v>
      </c>
      <c r="I12" s="92" cm="1">
        <f t="array" ref="I12">IF($H12="", "", IF($H12=2, SUM(IF(INDEX(_xlfn._xlws.FILTER(tblPiNHistorical[[CCCM]:[WASH]], tblPiNHistorical[Population Group]=I$5), 0, MATCH($Q$2, tblPiNHistorical[[#Headers],[CCCM]:[WASH]], 0))&gt;1.9, 1, 0)), IF(SUM(IF(INDEX(_xlfn._xlws.FILTER(tblPiNHistorical[[CCCM]:[WASH]], tblPiNHistorical[Population Group]=I$5), 0, MATCH($Q$2, tblPiNHistorical[[#Headers],[CCCM]:[WASH]], 0))=$H12, 1, 0))=0, "", SUM(IF(INDEX(_xlfn._xlws.FILTER(tblPiNHistorical[[CCCM]:[WASH]], tblPiNHistorical[Population Group]=I$5), 0, MATCH($Q$2, tblPiNHistorical[[#Headers],[CCCM]:[WASH]], 0))=$H12, 1, 0)))))</f>
        <v>3</v>
      </c>
      <c r="J12" s="92" t="str" cm="1">
        <f t="array" ref="J12">IFERROR(IF(OR($H12="", J11=""), "", IF($H12=2, SUM(IF(INDEX(_xlfn._xlws.FILTER(tblPiNHistorical[[CCCM]:[WASH]], tblPiNHistorical[Population Group]=J$5), 0, MATCH($Q$2, tblPiNHistorical[[#Headers],[CCCM]:[WASH]], 0))&gt;1.9, 1, 0)), IF(SUM(IF(INDEX(_xlfn._xlws.FILTER(tblPiNHistorical[[CCCM]:[WASH]], tblPiNHistorical[Population Group]=J$5), 0, MATCH($Q$2, tblPiNHistorical[[#Headers],[CCCM]:[WASH]], 0))=$H12, 1, 0))=0, "", SUM(IF(INDEX(_xlfn._xlws.FILTER(tblPiNHistorical[[CCCM]:[WASH]], tblPiNHistorical[Population Group]=J$5), 0, MATCH($Q$2, tblPiNHistorical[[#Headers],[CCCM]:[WASH]], 0))=$H12, 1, 0))))), "")</f>
        <v/>
      </c>
      <c r="K12" s="92" t="str" cm="1">
        <f t="array" ref="K12">IFERROR(IF(OR($H12="", K11=""), "", IF($H12=2, SUM(IF(INDEX(_xlfn._xlws.FILTER(tblPiNHistorical[[CCCM]:[WASH]], tblPiNHistorical[CCCM - old]=K$5), 0, MATCH($Q$2, tblPiNHistorical[[#Headers],[CCCM]:[WASH]], 0))&gt;1.9, 1, 0)), IF(SUM(IF(INDEX(_xlfn._xlws.FILTER(tblPiNHistorical[[CCCM]:[WASH]], tblPiNHistorical[CCCM - old]=K$5), 0, MATCH($Q$2, tblPiNHistorical[[#Headers],[CCCM]:[WASH]], 0))=$H12, 1, 0))=0, "", SUM(IF(INDEX(_xlfn._xlws.FILTER(tblPiNHistorical[[CCCM]:[WASH]], tblPiNHistorical[CCCM - old]=K$5), 0, MATCH($Q$2, tblPiNHistorical[[#Headers],[CCCM]:[WASH]], 0))=$H12, 1, 0))))), "")</f>
        <v/>
      </c>
      <c r="L12" s="92" t="str" cm="1">
        <f t="array" ref="L12">IFERROR(IF(OR($H12="", L11=""), "", IF($H12=2, SUM(IF(INDEX(_xlfn._xlws.FILTER(tblPiNHistorical[[CCCM]:[WASH]],#REF!= L$5), 0, MATCH($Q$2, tblPiNHistorical[[#Headers],[CCCM]:[WASH]], 0))&gt;1.9, 1, 0)), IF(SUM(IF(INDEX(_xlfn._xlws.FILTER(tblPiNHistorical[[CCCM]:[WASH]],#REF!= L$5), 0, MATCH($Q$2, tblPiNHistorical[[#Headers],[CCCM]:[WASH]], 0))=$H12, 1, 0))=0, "", SUM(IF(INDEX(_xlfn._xlws.FILTER(tblPiNHistorical[[CCCM]:[WASH]],#REF!= L$5), 0, MATCH($Q$2, tblPiNHistorical[[#Headers],[CCCM]:[WASH]], 0))=$H12, 1, 0))))), "")</f>
        <v/>
      </c>
      <c r="M12" s="92" t="str" cm="1">
        <f t="array" ref="M12">IFERROR(IF(OR($H12="", M11=""), "", IF($H12=2, SUM(IF(INDEX(_xlfn._xlws.FILTER(tblPiNHistorical[[CCCM]:[WASH]],#REF!= M$5), 0, MATCH($Q$2, tblPiNHistorical[[#Headers],[CCCM]:[WASH]], 0))&gt;1.9, 1, 0)), IF(SUM(IF(INDEX(_xlfn._xlws.FILTER(tblPiNHistorical[[CCCM]:[WASH]],#REF!= M$5), 0, MATCH($Q$2, tblPiNHistorical[[#Headers],[CCCM]:[WASH]], 0))=$H12, 1, 0))=0, "", SUM(IF(INDEX(_xlfn._xlws.FILTER(tblPiNHistorical[[CCCM]:[WASH]],#REF!= M$5), 0, MATCH($Q$2, tblPiNHistorical[[#Headers],[CCCM]:[WASH]], 0))=$H12, 1, 0))))), "")</f>
        <v/>
      </c>
      <c r="Z12" s="168"/>
    </row>
    <row r="13" spans="1:26">
      <c r="A13" s="94"/>
      <c r="B13" s="92" t="str" cm="1">
        <f t="array" ref="B13">IF($A13="", "", IF(SUM(IF(INDEX(_xlfn._xlws.FILTER(tblPiNAnalysis[[CCCM%]:[WASH%]], tblPiNAnalysis[Population Group]=B$5), 0, MATCH(_xlfn.CONCAT($Q$2, "%"), tblPiNAnalysis[[#Headers],[CCCM%]:[WASH%]], 0))=$A13, 1, 0))=0, "",SUM(IF(INDEX(_xlfn._xlws.FILTER(tblPiNAnalysis[[CCCM%]:[WASH%]], tblPiNAnalysis[Population Group]=B$5), 0, MATCH(_xlfn.CONCAT($Q$2, "%"), tblPiNAnalysis[[#Headers],[CCCM%]:[WASH%]], 0))=$A13, 1, 0))))</f>
        <v/>
      </c>
      <c r="C13" s="92" t="str" cm="1">
        <f t="array" ref="C13">IFERROR(IF(OR($A13="", C$5=""), "", IF(SUM(IF(INDEX(_xlfn._xlws.FILTER(tblPiNAnalysis[[CCCM%]:[WASH%]], tblPiNAnalysis[Population Group]=C$5), 0, MATCH(_xlfn.CONCAT($Q$2, "%"), tblPiNAnalysis[[#Headers],[CCCM%]:[WASH%]], 0))=$A13, 1, 0))=0, "",SUM(IF(INDEX(_xlfn._xlws.FILTER(tblPiNAnalysis[[CCCM%]:[WASH%]], tblPiNAnalysis[Population Group]=C$5), 0, MATCH(_xlfn.CONCAT($Q$2, "%"), tblPiNAnalysis[[#Headers],[CCCM%]:[WASH%]], 0))=$A13, 1, 0)))), "")</f>
        <v/>
      </c>
      <c r="D13" s="92" t="str" cm="1">
        <f t="array" ref="D13">IFERROR(IF(OR($A13="", D$5=""), "", IF(SUM(IF(INDEX(_xlfn._xlws.FILTER(tblPiNAnalysis[[CCCM%]:[WASH%]], tblPiNAnalysis[Population Group]=D$5), 0, MATCH(_xlfn.CONCAT($Q$2, "%"), tblPiNAnalysis[[#Headers],[CCCM%]:[WASH%]], 0))=$A13, 1, 0))=0, "",SUM(IF(INDEX(_xlfn._xlws.FILTER(tblPiNAnalysis[[CCCM%]:[WASH%]], tblPiNAnalysis[Population Group]=D$5), 0, MATCH(_xlfn.CONCAT($Q$2, "%"), tblPiNAnalysis[[#Headers],[CCCM%]:[WASH%]], 0))=$A13, 1, 0)))), "")</f>
        <v/>
      </c>
      <c r="E13" s="92" t="str" cm="1">
        <f t="array" ref="E13">IFERROR(IF(OR($A13="", E$5=""), "", IF(SUM(IF(INDEX(_xlfn._xlws.FILTER(tblPiNAnalysis[[CCCM%]:[WASH%]], tblPiNAnalysis[Population Group]=E$5), 0, MATCH(_xlfn.CONCAT($Q$2, "%"), tblPiNAnalysis[[#Headers],[CCCM%]:[WASH%]], 0))=$A13, 1, 0))=0, "",SUM(IF(INDEX(_xlfn._xlws.FILTER(tblPiNAnalysis[[CCCM%]:[WASH%]], tblPiNAnalysis[Population Group]=E$5), 0, MATCH(_xlfn.CONCAT($Q$2, "%"), tblPiNAnalysis[[#Headers],[CCCM%]:[WASH%]], 0))=$A13, 1, 0)))), "")</f>
        <v/>
      </c>
      <c r="F13" s="92" t="str" cm="1">
        <f t="array" ref="F13">IFERROR(IF(OR($A13="", F$5=""), "", IF(SUM(IF(INDEX(_xlfn._xlws.FILTER(tblPiNAnalysis[[CCCM%]:[WASH%]], tblPiNAnalysis[CCCM]=F$5), 0, MATCH(_xlfn.CONCAT($Q$2, "%"), tblPiNAnalysis[[#Headers],[CCCM%]:[WASH%]], 0))=$A13, 1, 0))=0, "",SUM(IF(INDEX(_xlfn._xlws.FILTER(tblPiNAnalysis[[CCCM%]:[WASH%]], tblPiNAnalysis[CCCM]=F$5), 0, MATCH(_xlfn.CONCAT($Q$2, "%"), tblPiNAnalysis[[#Headers],[CCCM%]:[WASH%]], 0))=$A13, 1, 0)))), "")</f>
        <v/>
      </c>
      <c r="H13" s="94">
        <v>0</v>
      </c>
      <c r="I13" s="92" cm="1">
        <f t="array" ref="I13">IF($H13="", "", IF($H13=2, SUM(IF(INDEX(_xlfn._xlws.FILTER(tblPiNHistorical[[CCCM]:[WASH]], tblPiNHistorical[Population Group]=I$5), 0, MATCH($Q$2, tblPiNHistorical[[#Headers],[CCCM]:[WASH]], 0))&gt;1.9, 1, 0)), IF(SUM(IF(INDEX(_xlfn._xlws.FILTER(tblPiNHistorical[[CCCM]:[WASH]], tblPiNHistorical[Population Group]=I$5), 0, MATCH($Q$2, tblPiNHistorical[[#Headers],[CCCM]:[WASH]], 0))=$H13, 1, 0))=0, "", SUM(IF(INDEX(_xlfn._xlws.FILTER(tblPiNHistorical[[CCCM]:[WASH]], tblPiNHistorical[Population Group]=I$5), 0, MATCH($Q$2, tblPiNHistorical[[#Headers],[CCCM]:[WASH]], 0))=$H13, 1, 0)))))</f>
        <v>1</v>
      </c>
      <c r="J13" s="92" t="str" cm="1">
        <f t="array" ref="J13">IFERROR(IF(OR($H13="", J12=""), "", IF($H13=2, SUM(IF(INDEX(_xlfn._xlws.FILTER(tblPiNHistorical[[CCCM]:[WASH]], tblPiNHistorical[Population Group]=J$5), 0, MATCH($Q$2, tblPiNHistorical[[#Headers],[CCCM]:[WASH]], 0))&gt;1.9, 1, 0)), IF(SUM(IF(INDEX(_xlfn._xlws.FILTER(tblPiNHistorical[[CCCM]:[WASH]], tblPiNHistorical[Population Group]=J$5), 0, MATCH($Q$2, tblPiNHistorical[[#Headers],[CCCM]:[WASH]], 0))=$H13, 1, 0))=0, "", SUM(IF(INDEX(_xlfn._xlws.FILTER(tblPiNHistorical[[CCCM]:[WASH]], tblPiNHistorical[Population Group]=J$5), 0, MATCH($Q$2, tblPiNHistorical[[#Headers],[CCCM]:[WASH]], 0))=$H13, 1, 0))))), "")</f>
        <v/>
      </c>
      <c r="K13" s="92" t="str" cm="1">
        <f t="array" ref="K13">IFERROR(IF(OR($H13="", K12=""), "", IF($H13=2, SUM(IF(INDEX(_xlfn._xlws.FILTER(tblPiNHistorical[[CCCM]:[WASH]], tblPiNHistorical[CCCM - old]=K$5), 0, MATCH($Q$2, tblPiNHistorical[[#Headers],[CCCM]:[WASH]], 0))&gt;1.9, 1, 0)), IF(SUM(IF(INDEX(_xlfn._xlws.FILTER(tblPiNHistorical[[CCCM]:[WASH]], tblPiNHistorical[CCCM - old]=K$5), 0, MATCH($Q$2, tblPiNHistorical[[#Headers],[CCCM]:[WASH]], 0))=$H13, 1, 0))=0, "", SUM(IF(INDEX(_xlfn._xlws.FILTER(tblPiNHistorical[[CCCM]:[WASH]], tblPiNHistorical[CCCM - old]=K$5), 0, MATCH($Q$2, tblPiNHistorical[[#Headers],[CCCM]:[WASH]], 0))=$H13, 1, 0))))), "")</f>
        <v/>
      </c>
      <c r="L13" s="92" t="str" cm="1">
        <f t="array" ref="L13">IFERROR(IF(OR($H13="", L12=""), "", IF($H13=2, SUM(IF(INDEX(_xlfn._xlws.FILTER(tblPiNHistorical[[CCCM]:[WASH]],#REF!= L$5), 0, MATCH($Q$2, tblPiNHistorical[[#Headers],[CCCM]:[WASH]], 0))&gt;1.9, 1, 0)), IF(SUM(IF(INDEX(_xlfn._xlws.FILTER(tblPiNHistorical[[CCCM]:[WASH]],#REF!= L$5), 0, MATCH($Q$2, tblPiNHistorical[[#Headers],[CCCM]:[WASH]], 0))=$H13, 1, 0))=0, "", SUM(IF(INDEX(_xlfn._xlws.FILTER(tblPiNHistorical[[CCCM]:[WASH]],#REF!= L$5), 0, MATCH($Q$2, tblPiNHistorical[[#Headers],[CCCM]:[WASH]], 0))=$H13, 1, 0))))), "")</f>
        <v/>
      </c>
      <c r="M13" s="92" t="str" cm="1">
        <f t="array" ref="M13">IFERROR(IF(OR($H13="", M12=""), "", IF($H13=2, SUM(IF(INDEX(_xlfn._xlws.FILTER(tblPiNHistorical[[CCCM]:[WASH]],#REF!= M$5), 0, MATCH($Q$2, tblPiNHistorical[[#Headers],[CCCM]:[WASH]], 0))&gt;1.9, 1, 0)), IF(SUM(IF(INDEX(_xlfn._xlws.FILTER(tblPiNHistorical[[CCCM]:[WASH]],#REF!= M$5), 0, MATCH($Q$2, tblPiNHistorical[[#Headers],[CCCM]:[WASH]], 0))=$H13, 1, 0))=0, "", SUM(IF(INDEX(_xlfn._xlws.FILTER(tblPiNHistorical[[CCCM]:[WASH]],#REF!= M$5), 0, MATCH($Q$2, tblPiNHistorical[[#Headers],[CCCM]:[WASH]], 0))=$H13, 1, 0))))), "")</f>
        <v/>
      </c>
      <c r="Z13" s="168"/>
    </row>
    <row r="14" spans="1:26">
      <c r="A14" s="94"/>
      <c r="B14" s="92" t="str" cm="1">
        <f t="array" ref="B14">IF($A14="", "", IF(SUM(IF(INDEX(_xlfn._xlws.FILTER(tblPiNAnalysis[[CCCM%]:[WASH%]], tblPiNAnalysis[Population Group]=B$5), 0, MATCH(_xlfn.CONCAT($Q$2, "%"), tblPiNAnalysis[[#Headers],[CCCM%]:[WASH%]], 0))=$A14, 1, 0))=0, "",SUM(IF(INDEX(_xlfn._xlws.FILTER(tblPiNAnalysis[[CCCM%]:[WASH%]], tblPiNAnalysis[Population Group]=B$5), 0, MATCH(_xlfn.CONCAT($Q$2, "%"), tblPiNAnalysis[[#Headers],[CCCM%]:[WASH%]], 0))=$A14, 1, 0))))</f>
        <v/>
      </c>
      <c r="C14" s="92" t="str" cm="1">
        <f t="array" ref="C14">IFERROR(IF(OR($A14="", C$5=""), "", IF(SUM(IF(INDEX(_xlfn._xlws.FILTER(tblPiNAnalysis[[CCCM%]:[WASH%]], tblPiNAnalysis[Population Group]=C$5), 0, MATCH(_xlfn.CONCAT($Q$2, "%"), tblPiNAnalysis[[#Headers],[CCCM%]:[WASH%]], 0))=$A14, 1, 0))=0, "",SUM(IF(INDEX(_xlfn._xlws.FILTER(tblPiNAnalysis[[CCCM%]:[WASH%]], tblPiNAnalysis[Population Group]=C$5), 0, MATCH(_xlfn.CONCAT($Q$2, "%"), tblPiNAnalysis[[#Headers],[CCCM%]:[WASH%]], 0))=$A14, 1, 0)))), "")</f>
        <v/>
      </c>
      <c r="D14" s="92" t="str" cm="1">
        <f t="array" ref="D14">IFERROR(IF(OR($A14="", D$5=""), "", IF(SUM(IF(INDEX(_xlfn._xlws.FILTER(tblPiNAnalysis[[CCCM%]:[WASH%]], tblPiNAnalysis[Population Group]=D$5), 0, MATCH(_xlfn.CONCAT($Q$2, "%"), tblPiNAnalysis[[#Headers],[CCCM%]:[WASH%]], 0))=$A14, 1, 0))=0, "",SUM(IF(INDEX(_xlfn._xlws.FILTER(tblPiNAnalysis[[CCCM%]:[WASH%]], tblPiNAnalysis[Population Group]=D$5), 0, MATCH(_xlfn.CONCAT($Q$2, "%"), tblPiNAnalysis[[#Headers],[CCCM%]:[WASH%]], 0))=$A14, 1, 0)))), "")</f>
        <v/>
      </c>
      <c r="E14" s="92" t="str" cm="1">
        <f t="array" ref="E14">IFERROR(IF(OR($A14="", E$5=""), "", IF(SUM(IF(INDEX(_xlfn._xlws.FILTER(tblPiNAnalysis[[CCCM%]:[WASH%]], tblPiNAnalysis[Population Group]=E$5), 0, MATCH(_xlfn.CONCAT($Q$2, "%"), tblPiNAnalysis[[#Headers],[CCCM%]:[WASH%]], 0))=$A14, 1, 0))=0, "",SUM(IF(INDEX(_xlfn._xlws.FILTER(tblPiNAnalysis[[CCCM%]:[WASH%]], tblPiNAnalysis[Population Group]=E$5), 0, MATCH(_xlfn.CONCAT($Q$2, "%"), tblPiNAnalysis[[#Headers],[CCCM%]:[WASH%]], 0))=$A14, 1, 0)))), "")</f>
        <v/>
      </c>
      <c r="F14" s="92" t="str" cm="1">
        <f t="array" ref="F14">IFERROR(IF(OR($A14="", F$5=""), "", IF(SUM(IF(INDEX(_xlfn._xlws.FILTER(tblPiNAnalysis[[CCCM%]:[WASH%]], tblPiNAnalysis[CCCM]=F$5), 0, MATCH(_xlfn.CONCAT($Q$2, "%"), tblPiNAnalysis[[#Headers],[CCCM%]:[WASH%]], 0))=$A14, 1, 0))=0, "",SUM(IF(INDEX(_xlfn._xlws.FILTER(tblPiNAnalysis[[CCCM%]:[WASH%]], tblPiNAnalysis[CCCM]=F$5), 0, MATCH(_xlfn.CONCAT($Q$2, "%"), tblPiNAnalysis[[#Headers],[CCCM%]:[WASH%]], 0))=$A14, 1, 0)))), "")</f>
        <v/>
      </c>
      <c r="H14" s="94">
        <v>0.1</v>
      </c>
      <c r="I14" s="92" cm="1">
        <f t="array" ref="I14">IF($H14="", "", IF($H14=2, SUM(IF(INDEX(_xlfn._xlws.FILTER(tblPiNHistorical[[CCCM]:[WASH]], tblPiNHistorical[Population Group]=I$5), 0, MATCH($Q$2, tblPiNHistorical[[#Headers],[CCCM]:[WASH]], 0))&gt;1.9, 1, 0)), IF(SUM(IF(INDEX(_xlfn._xlws.FILTER(tblPiNHistorical[[CCCM]:[WASH]], tblPiNHistorical[Population Group]=I$5), 0, MATCH($Q$2, tblPiNHistorical[[#Headers],[CCCM]:[WASH]], 0))=$H14, 1, 0))=0, "", SUM(IF(INDEX(_xlfn._xlws.FILTER(tblPiNHistorical[[CCCM]:[WASH]], tblPiNHistorical[Population Group]=I$5), 0, MATCH($Q$2, tblPiNHistorical[[#Headers],[CCCM]:[WASH]], 0))=$H14, 1, 0)))))</f>
        <v>16</v>
      </c>
      <c r="J14" s="92" t="str" cm="1">
        <f t="array" ref="J14">IFERROR(IF(OR($H14="", J13=""), "", IF($H14=2, SUM(IF(INDEX(_xlfn._xlws.FILTER(tblPiNHistorical[[CCCM]:[WASH]], tblPiNHistorical[Population Group]=J$5), 0, MATCH($Q$2, tblPiNHistorical[[#Headers],[CCCM]:[WASH]], 0))&gt;1.9, 1, 0)), IF(SUM(IF(INDEX(_xlfn._xlws.FILTER(tblPiNHistorical[[CCCM]:[WASH]], tblPiNHistorical[Population Group]=J$5), 0, MATCH($Q$2, tblPiNHistorical[[#Headers],[CCCM]:[WASH]], 0))=$H14, 1, 0))=0, "", SUM(IF(INDEX(_xlfn._xlws.FILTER(tblPiNHistorical[[CCCM]:[WASH]], tblPiNHistorical[Population Group]=J$5), 0, MATCH($Q$2, tblPiNHistorical[[#Headers],[CCCM]:[WASH]], 0))=$H14, 1, 0))))), "")</f>
        <v/>
      </c>
      <c r="K14" s="92" t="str" cm="1">
        <f t="array" ref="K14">IFERROR(IF(OR($H14="", K13=""), "", IF($H14=2, SUM(IF(INDEX(_xlfn._xlws.FILTER(tblPiNHistorical[[CCCM]:[WASH]], tblPiNHistorical[CCCM - old]=K$5), 0, MATCH($Q$2, tblPiNHistorical[[#Headers],[CCCM]:[WASH]], 0))&gt;1.9, 1, 0)), IF(SUM(IF(INDEX(_xlfn._xlws.FILTER(tblPiNHistorical[[CCCM]:[WASH]], tblPiNHistorical[CCCM - old]=K$5), 0, MATCH($Q$2, tblPiNHistorical[[#Headers],[CCCM]:[WASH]], 0))=$H14, 1, 0))=0, "", SUM(IF(INDEX(_xlfn._xlws.FILTER(tblPiNHistorical[[CCCM]:[WASH]], tblPiNHistorical[CCCM - old]=K$5), 0, MATCH($Q$2, tblPiNHistorical[[#Headers],[CCCM]:[WASH]], 0))=$H14, 1, 0))))), "")</f>
        <v/>
      </c>
      <c r="L14" s="92" t="str" cm="1">
        <f t="array" ref="L14">IFERROR(IF(OR($H14="", L13=""), "", IF($H14=2, SUM(IF(INDEX(_xlfn._xlws.FILTER(tblPiNHistorical[[CCCM]:[WASH]],#REF!= L$5), 0, MATCH($Q$2, tblPiNHistorical[[#Headers],[CCCM]:[WASH]], 0))&gt;1.9, 1, 0)), IF(SUM(IF(INDEX(_xlfn._xlws.FILTER(tblPiNHistorical[[CCCM]:[WASH]],#REF!= L$5), 0, MATCH($Q$2, tblPiNHistorical[[#Headers],[CCCM]:[WASH]], 0))=$H14, 1, 0))=0, "", SUM(IF(INDEX(_xlfn._xlws.FILTER(tblPiNHistorical[[CCCM]:[WASH]],#REF!= L$5), 0, MATCH($Q$2, tblPiNHistorical[[#Headers],[CCCM]:[WASH]], 0))=$H14, 1, 0))))), "")</f>
        <v/>
      </c>
      <c r="M14" s="92" t="str" cm="1">
        <f t="array" ref="M14">IFERROR(IF(OR($H14="", M13=""), "", IF($H14=2, SUM(IF(INDEX(_xlfn._xlws.FILTER(tblPiNHistorical[[CCCM]:[WASH]],#REF!= M$5), 0, MATCH($Q$2, tblPiNHistorical[[#Headers],[CCCM]:[WASH]], 0))&gt;1.9, 1, 0)), IF(SUM(IF(INDEX(_xlfn._xlws.FILTER(tblPiNHistorical[[CCCM]:[WASH]],#REF!= M$5), 0, MATCH($Q$2, tblPiNHistorical[[#Headers],[CCCM]:[WASH]], 0))=$H14, 1, 0))=0, "", SUM(IF(INDEX(_xlfn._xlws.FILTER(tblPiNHistorical[[CCCM]:[WASH]],#REF!= M$5), 0, MATCH($Q$2, tblPiNHistorical[[#Headers],[CCCM]:[WASH]], 0))=$H14, 1, 0))))), "")</f>
        <v/>
      </c>
      <c r="Z14" s="168"/>
    </row>
    <row r="15" spans="1:26">
      <c r="A15" s="94"/>
      <c r="B15" s="92" t="str" cm="1">
        <f t="array" ref="B15">IF($A15="", "", IF(SUM(IF(INDEX(_xlfn._xlws.FILTER(tblPiNAnalysis[[CCCM%]:[WASH%]], tblPiNAnalysis[Population Group]=B$5), 0, MATCH(_xlfn.CONCAT($Q$2, "%"), tblPiNAnalysis[[#Headers],[CCCM%]:[WASH%]], 0))=$A15, 1, 0))=0, "",SUM(IF(INDEX(_xlfn._xlws.FILTER(tblPiNAnalysis[[CCCM%]:[WASH%]], tblPiNAnalysis[Population Group]=B$5), 0, MATCH(_xlfn.CONCAT($Q$2, "%"), tblPiNAnalysis[[#Headers],[CCCM%]:[WASH%]], 0))=$A15, 1, 0))))</f>
        <v/>
      </c>
      <c r="C15" s="92" t="str" cm="1">
        <f t="array" ref="C15">IFERROR(IF(OR($A15="", C$5=""), "", IF(SUM(IF(INDEX(_xlfn._xlws.FILTER(tblPiNAnalysis[[CCCM%]:[WASH%]], tblPiNAnalysis[Population Group]=C$5), 0, MATCH(_xlfn.CONCAT($Q$2, "%"), tblPiNAnalysis[[#Headers],[CCCM%]:[WASH%]], 0))=$A15, 1, 0))=0, "",SUM(IF(INDEX(_xlfn._xlws.FILTER(tblPiNAnalysis[[CCCM%]:[WASH%]], tblPiNAnalysis[Population Group]=C$5), 0, MATCH(_xlfn.CONCAT($Q$2, "%"), tblPiNAnalysis[[#Headers],[CCCM%]:[WASH%]], 0))=$A15, 1, 0)))), "")</f>
        <v/>
      </c>
      <c r="D15" s="92" t="str" cm="1">
        <f t="array" ref="D15">IFERROR(IF(OR($A15="", D$5=""), "", IF(SUM(IF(INDEX(_xlfn._xlws.FILTER(tblPiNAnalysis[[CCCM%]:[WASH%]], tblPiNAnalysis[Population Group]=D$5), 0, MATCH(_xlfn.CONCAT($Q$2, "%"), tblPiNAnalysis[[#Headers],[CCCM%]:[WASH%]], 0))=$A15, 1, 0))=0, "",SUM(IF(INDEX(_xlfn._xlws.FILTER(tblPiNAnalysis[[CCCM%]:[WASH%]], tblPiNAnalysis[Population Group]=D$5), 0, MATCH(_xlfn.CONCAT($Q$2, "%"), tblPiNAnalysis[[#Headers],[CCCM%]:[WASH%]], 0))=$A15, 1, 0)))), "")</f>
        <v/>
      </c>
      <c r="E15" s="92" t="str" cm="1">
        <f t="array" ref="E15">IFERROR(IF(OR($A15="", E$5=""), "", IF(SUM(IF(INDEX(_xlfn._xlws.FILTER(tblPiNAnalysis[[CCCM%]:[WASH%]], tblPiNAnalysis[Population Group]=E$5), 0, MATCH(_xlfn.CONCAT($Q$2, "%"), tblPiNAnalysis[[#Headers],[CCCM%]:[WASH%]], 0))=$A15, 1, 0))=0, "",SUM(IF(INDEX(_xlfn._xlws.FILTER(tblPiNAnalysis[[CCCM%]:[WASH%]], tblPiNAnalysis[Population Group]=E$5), 0, MATCH(_xlfn.CONCAT($Q$2, "%"), tblPiNAnalysis[[#Headers],[CCCM%]:[WASH%]], 0))=$A15, 1, 0)))), "")</f>
        <v/>
      </c>
      <c r="F15" s="92" t="str" cm="1">
        <f t="array" ref="F15">IFERROR(IF(OR($A15="", F$5=""), "", IF(SUM(IF(INDEX(_xlfn._xlws.FILTER(tblPiNAnalysis[[CCCM%]:[WASH%]], tblPiNAnalysis[CCCM]=F$5), 0, MATCH(_xlfn.CONCAT($Q$2, "%"), tblPiNAnalysis[[#Headers],[CCCM%]:[WASH%]], 0))=$A15, 1, 0))=0, "",SUM(IF(INDEX(_xlfn._xlws.FILTER(tblPiNAnalysis[[CCCM%]:[WASH%]], tblPiNAnalysis[CCCM]=F$5), 0, MATCH(_xlfn.CONCAT($Q$2, "%"), tblPiNAnalysis[[#Headers],[CCCM%]:[WASH%]], 0))=$A15, 1, 0)))), "")</f>
        <v/>
      </c>
      <c r="H15" s="94">
        <v>0.2</v>
      </c>
      <c r="I15" s="92" cm="1">
        <f t="array" ref="I15">IF($H15="", "", IF($H15=2, SUM(IF(INDEX(_xlfn._xlws.FILTER(tblPiNHistorical[[CCCM]:[WASH]], tblPiNHistorical[Population Group]=I$5), 0, MATCH($Q$2, tblPiNHistorical[[#Headers],[CCCM]:[WASH]], 0))&gt;1.9, 1, 0)), IF(SUM(IF(INDEX(_xlfn._xlws.FILTER(tblPiNHistorical[[CCCM]:[WASH]], tblPiNHistorical[Population Group]=I$5), 0, MATCH($Q$2, tblPiNHistorical[[#Headers],[CCCM]:[WASH]], 0))=$H15, 1, 0))=0, "", SUM(IF(INDEX(_xlfn._xlws.FILTER(tblPiNHistorical[[CCCM]:[WASH]], tblPiNHistorical[Population Group]=I$5), 0, MATCH($Q$2, tblPiNHistorical[[#Headers],[CCCM]:[WASH]], 0))=$H15, 1, 0)))))</f>
        <v>20</v>
      </c>
      <c r="J15" s="92" t="str" cm="1">
        <f t="array" ref="J15">IFERROR(IF(OR($H15="", J14=""), "", IF($H15=2, SUM(IF(INDEX(_xlfn._xlws.FILTER(tblPiNHistorical[[CCCM]:[WASH]], tblPiNHistorical[Population Group]=J$5), 0, MATCH($Q$2, tblPiNHistorical[[#Headers],[CCCM]:[WASH]], 0))&gt;1.9, 1, 0)), IF(SUM(IF(INDEX(_xlfn._xlws.FILTER(tblPiNHistorical[[CCCM]:[WASH]], tblPiNHistorical[Population Group]=J$5), 0, MATCH($Q$2, tblPiNHistorical[[#Headers],[CCCM]:[WASH]], 0))=$H15, 1, 0))=0, "", SUM(IF(INDEX(_xlfn._xlws.FILTER(tblPiNHistorical[[CCCM]:[WASH]], tblPiNHistorical[Population Group]=J$5), 0, MATCH($Q$2, tblPiNHistorical[[#Headers],[CCCM]:[WASH]], 0))=$H15, 1, 0))))), "")</f>
        <v/>
      </c>
      <c r="K15" s="92" t="str" cm="1">
        <f t="array" ref="K15">IFERROR(IF(OR($H15="", K14=""), "", IF($H15=2, SUM(IF(INDEX(_xlfn._xlws.FILTER(tblPiNHistorical[[CCCM]:[WASH]], tblPiNHistorical[CCCM - old]=K$5), 0, MATCH($Q$2, tblPiNHistorical[[#Headers],[CCCM]:[WASH]], 0))&gt;1.9, 1, 0)), IF(SUM(IF(INDEX(_xlfn._xlws.FILTER(tblPiNHistorical[[CCCM]:[WASH]], tblPiNHistorical[CCCM - old]=K$5), 0, MATCH($Q$2, tblPiNHistorical[[#Headers],[CCCM]:[WASH]], 0))=$H15, 1, 0))=0, "", SUM(IF(INDEX(_xlfn._xlws.FILTER(tblPiNHistorical[[CCCM]:[WASH]], tblPiNHistorical[CCCM - old]=K$5), 0, MATCH($Q$2, tblPiNHistorical[[#Headers],[CCCM]:[WASH]], 0))=$H15, 1, 0))))), "")</f>
        <v/>
      </c>
      <c r="L15" s="92" t="str" cm="1">
        <f t="array" ref="L15">IFERROR(IF(OR($H15="", L14=""), "", IF($H15=2, SUM(IF(INDEX(_xlfn._xlws.FILTER(tblPiNHistorical[[CCCM]:[WASH]],#REF!= L$5), 0, MATCH($Q$2, tblPiNHistorical[[#Headers],[CCCM]:[WASH]], 0))&gt;1.9, 1, 0)), IF(SUM(IF(INDEX(_xlfn._xlws.FILTER(tblPiNHistorical[[CCCM]:[WASH]],#REF!= L$5), 0, MATCH($Q$2, tblPiNHistorical[[#Headers],[CCCM]:[WASH]], 0))=$H15, 1, 0))=0, "", SUM(IF(INDEX(_xlfn._xlws.FILTER(tblPiNHistorical[[CCCM]:[WASH]],#REF!= L$5), 0, MATCH($Q$2, tblPiNHistorical[[#Headers],[CCCM]:[WASH]], 0))=$H15, 1, 0))))), "")</f>
        <v/>
      </c>
      <c r="M15" s="92" t="str" cm="1">
        <f t="array" ref="M15">IFERROR(IF(OR($H15="", M14=""), "", IF($H15=2, SUM(IF(INDEX(_xlfn._xlws.FILTER(tblPiNHistorical[[CCCM]:[WASH]],#REF!= M$5), 0, MATCH($Q$2, tblPiNHistorical[[#Headers],[CCCM]:[WASH]], 0))&gt;1.9, 1, 0)), IF(SUM(IF(INDEX(_xlfn._xlws.FILTER(tblPiNHistorical[[CCCM]:[WASH]],#REF!= M$5), 0, MATCH($Q$2, tblPiNHistorical[[#Headers],[CCCM]:[WASH]], 0))=$H15, 1, 0))=0, "", SUM(IF(INDEX(_xlfn._xlws.FILTER(tblPiNHistorical[[CCCM]:[WASH]],#REF!= M$5), 0, MATCH($Q$2, tblPiNHistorical[[#Headers],[CCCM]:[WASH]], 0))=$H15, 1, 0))))), "")</f>
        <v/>
      </c>
      <c r="Z15" s="168"/>
    </row>
    <row r="16" spans="1:26">
      <c r="A16" s="94"/>
      <c r="B16" s="92" t="str" cm="1">
        <f t="array" ref="B16">IF($A16="", "", IF(SUM(IF(INDEX(_xlfn._xlws.FILTER(tblPiNAnalysis[[CCCM%]:[WASH%]], tblPiNAnalysis[Population Group]=B$5), 0, MATCH(_xlfn.CONCAT($Q$2, "%"), tblPiNAnalysis[[#Headers],[CCCM%]:[WASH%]], 0))=$A16, 1, 0))=0, "",SUM(IF(INDEX(_xlfn._xlws.FILTER(tblPiNAnalysis[[CCCM%]:[WASH%]], tblPiNAnalysis[Population Group]=B$5), 0, MATCH(_xlfn.CONCAT($Q$2, "%"), tblPiNAnalysis[[#Headers],[CCCM%]:[WASH%]], 0))=$A16, 1, 0))))</f>
        <v/>
      </c>
      <c r="C16" s="92" t="str" cm="1">
        <f t="array" ref="C16">IFERROR(IF(OR($A16="", C$5=""), "", IF(SUM(IF(INDEX(_xlfn._xlws.FILTER(tblPiNAnalysis[[CCCM%]:[WASH%]], tblPiNAnalysis[Population Group]=C$5), 0, MATCH(_xlfn.CONCAT($Q$2, "%"), tblPiNAnalysis[[#Headers],[CCCM%]:[WASH%]], 0))=$A16, 1, 0))=0, "",SUM(IF(INDEX(_xlfn._xlws.FILTER(tblPiNAnalysis[[CCCM%]:[WASH%]], tblPiNAnalysis[Population Group]=C$5), 0, MATCH(_xlfn.CONCAT($Q$2, "%"), tblPiNAnalysis[[#Headers],[CCCM%]:[WASH%]], 0))=$A16, 1, 0)))), "")</f>
        <v/>
      </c>
      <c r="D16" s="92" t="str" cm="1">
        <f t="array" ref="D16">IFERROR(IF(OR($A16="", D$5=""), "", IF(SUM(IF(INDEX(_xlfn._xlws.FILTER(tblPiNAnalysis[[CCCM%]:[WASH%]], tblPiNAnalysis[Population Group]=D$5), 0, MATCH(_xlfn.CONCAT($Q$2, "%"), tblPiNAnalysis[[#Headers],[CCCM%]:[WASH%]], 0))=$A16, 1, 0))=0, "",SUM(IF(INDEX(_xlfn._xlws.FILTER(tblPiNAnalysis[[CCCM%]:[WASH%]], tblPiNAnalysis[Population Group]=D$5), 0, MATCH(_xlfn.CONCAT($Q$2, "%"), tblPiNAnalysis[[#Headers],[CCCM%]:[WASH%]], 0))=$A16, 1, 0)))), "")</f>
        <v/>
      </c>
      <c r="E16" s="92" t="str" cm="1">
        <f t="array" ref="E16">IFERROR(IF(OR($A16="", E$5=""), "", IF(SUM(IF(INDEX(_xlfn._xlws.FILTER(tblPiNAnalysis[[CCCM%]:[WASH%]], tblPiNAnalysis[Population Group]=E$5), 0, MATCH(_xlfn.CONCAT($Q$2, "%"), tblPiNAnalysis[[#Headers],[CCCM%]:[WASH%]], 0))=$A16, 1, 0))=0, "",SUM(IF(INDEX(_xlfn._xlws.FILTER(tblPiNAnalysis[[CCCM%]:[WASH%]], tblPiNAnalysis[Population Group]=E$5), 0, MATCH(_xlfn.CONCAT($Q$2, "%"), tblPiNAnalysis[[#Headers],[CCCM%]:[WASH%]], 0))=$A16, 1, 0)))), "")</f>
        <v/>
      </c>
      <c r="F16" s="92" t="str" cm="1">
        <f t="array" ref="F16">IFERROR(IF(OR($A16="", F$5=""), "", IF(SUM(IF(INDEX(_xlfn._xlws.FILTER(tblPiNAnalysis[[CCCM%]:[WASH%]], tblPiNAnalysis[CCCM]=F$5), 0, MATCH(_xlfn.CONCAT($Q$2, "%"), tblPiNAnalysis[[#Headers],[CCCM%]:[WASH%]], 0))=$A16, 1, 0))=0, "",SUM(IF(INDEX(_xlfn._xlws.FILTER(tblPiNAnalysis[[CCCM%]:[WASH%]], tblPiNAnalysis[CCCM]=F$5), 0, MATCH(_xlfn.CONCAT($Q$2, "%"), tblPiNAnalysis[[#Headers],[CCCM%]:[WASH%]], 0))=$A16, 1, 0)))), "")</f>
        <v/>
      </c>
      <c r="H16" s="94">
        <v>0.3</v>
      </c>
      <c r="I16" s="92" cm="1">
        <f t="array" ref="I16">IF($H16="", "", IF($H16=2, SUM(IF(INDEX(_xlfn._xlws.FILTER(tblPiNHistorical[[CCCM]:[WASH]], tblPiNHistorical[Population Group]=I$5), 0, MATCH($Q$2, tblPiNHistorical[[#Headers],[CCCM]:[WASH]], 0))&gt;1.9, 1, 0)), IF(SUM(IF(INDEX(_xlfn._xlws.FILTER(tblPiNHistorical[[CCCM]:[WASH]], tblPiNHistorical[Population Group]=I$5), 0, MATCH($Q$2, tblPiNHistorical[[#Headers],[CCCM]:[WASH]], 0))=$H16, 1, 0))=0, "", SUM(IF(INDEX(_xlfn._xlws.FILTER(tblPiNHistorical[[CCCM]:[WASH]], tblPiNHistorical[Population Group]=I$5), 0, MATCH($Q$2, tblPiNHistorical[[#Headers],[CCCM]:[WASH]], 0))=$H16, 1, 0)))))</f>
        <v>1</v>
      </c>
      <c r="J16" s="92" t="str" cm="1">
        <f t="array" ref="J16">IFERROR(IF(OR($H16="", J15=""), "", IF($H16=2, SUM(IF(INDEX(_xlfn._xlws.FILTER(tblPiNHistorical[[CCCM]:[WASH]], tblPiNHistorical[Population Group]=J$5), 0, MATCH($Q$2, tblPiNHistorical[[#Headers],[CCCM]:[WASH]], 0))&gt;1.9, 1, 0)), IF(SUM(IF(INDEX(_xlfn._xlws.FILTER(tblPiNHistorical[[CCCM]:[WASH]], tblPiNHistorical[Population Group]=J$5), 0, MATCH($Q$2, tblPiNHistorical[[#Headers],[CCCM]:[WASH]], 0))=$H16, 1, 0))=0, "", SUM(IF(INDEX(_xlfn._xlws.FILTER(tblPiNHistorical[[CCCM]:[WASH]], tblPiNHistorical[Population Group]=J$5), 0, MATCH($Q$2, tblPiNHistorical[[#Headers],[CCCM]:[WASH]], 0))=$H16, 1, 0))))), "")</f>
        <v/>
      </c>
      <c r="K16" s="92" t="str" cm="1">
        <f t="array" ref="K16">IFERROR(IF(OR($H16="", K15=""), "", IF($H16=2, SUM(IF(INDEX(_xlfn._xlws.FILTER(tblPiNHistorical[[CCCM]:[WASH]], tblPiNHistorical[CCCM - old]=K$5), 0, MATCH($Q$2, tblPiNHistorical[[#Headers],[CCCM]:[WASH]], 0))&gt;1.9, 1, 0)), IF(SUM(IF(INDEX(_xlfn._xlws.FILTER(tblPiNHistorical[[CCCM]:[WASH]], tblPiNHistorical[CCCM - old]=K$5), 0, MATCH($Q$2, tblPiNHistorical[[#Headers],[CCCM]:[WASH]], 0))=$H16, 1, 0))=0, "", SUM(IF(INDEX(_xlfn._xlws.FILTER(tblPiNHistorical[[CCCM]:[WASH]], tblPiNHistorical[CCCM - old]=K$5), 0, MATCH($Q$2, tblPiNHistorical[[#Headers],[CCCM]:[WASH]], 0))=$H16, 1, 0))))), "")</f>
        <v/>
      </c>
      <c r="L16" s="92" t="str" cm="1">
        <f t="array" ref="L16">IFERROR(IF(OR($H16="", L15=""), "", IF($H16=2, SUM(IF(INDEX(_xlfn._xlws.FILTER(tblPiNHistorical[[CCCM]:[WASH]],#REF!= L$5), 0, MATCH($Q$2, tblPiNHistorical[[#Headers],[CCCM]:[WASH]], 0))&gt;1.9, 1, 0)), IF(SUM(IF(INDEX(_xlfn._xlws.FILTER(tblPiNHistorical[[CCCM]:[WASH]],#REF!= L$5), 0, MATCH($Q$2, tblPiNHistorical[[#Headers],[CCCM]:[WASH]], 0))=$H16, 1, 0))=0, "", SUM(IF(INDEX(_xlfn._xlws.FILTER(tblPiNHistorical[[CCCM]:[WASH]],#REF!= L$5), 0, MATCH($Q$2, tblPiNHistorical[[#Headers],[CCCM]:[WASH]], 0))=$H16, 1, 0))))), "")</f>
        <v/>
      </c>
      <c r="M16" s="92" t="str" cm="1">
        <f t="array" ref="M16">IFERROR(IF(OR($H16="", M15=""), "", IF($H16=2, SUM(IF(INDEX(_xlfn._xlws.FILTER(tblPiNHistorical[[CCCM]:[WASH]],#REF!= M$5), 0, MATCH($Q$2, tblPiNHistorical[[#Headers],[CCCM]:[WASH]], 0))&gt;1.9, 1, 0)), IF(SUM(IF(INDEX(_xlfn._xlws.FILTER(tblPiNHistorical[[CCCM]:[WASH]],#REF!= M$5), 0, MATCH($Q$2, tblPiNHistorical[[#Headers],[CCCM]:[WASH]], 0))=$H16, 1, 0))=0, "", SUM(IF(INDEX(_xlfn._xlws.FILTER(tblPiNHistorical[[CCCM]:[WASH]],#REF!= M$5), 0, MATCH($Q$2, tblPiNHistorical[[#Headers],[CCCM]:[WASH]], 0))=$H16, 1, 0))))), "")</f>
        <v/>
      </c>
      <c r="Z16" s="168"/>
    </row>
    <row r="17" spans="1:28">
      <c r="A17" s="94"/>
      <c r="B17" s="92" t="str" cm="1">
        <f t="array" ref="B17">IF($A17="", "", IF(SUM(IF(INDEX(_xlfn._xlws.FILTER(tblPiNAnalysis[[CCCM%]:[WASH%]], tblPiNAnalysis[Population Group]=B$5), 0, MATCH(_xlfn.CONCAT($Q$2, "%"), tblPiNAnalysis[[#Headers],[CCCM%]:[WASH%]], 0))=$A17, 1, 0))=0, "",SUM(IF(INDEX(_xlfn._xlws.FILTER(tblPiNAnalysis[[CCCM%]:[WASH%]], tblPiNAnalysis[Population Group]=B$5), 0, MATCH(_xlfn.CONCAT($Q$2, "%"), tblPiNAnalysis[[#Headers],[CCCM%]:[WASH%]], 0))=$A17, 1, 0))))</f>
        <v/>
      </c>
      <c r="C17" s="92" t="str" cm="1">
        <f t="array" ref="C17">IFERROR(IF(OR($A17="", C$5=""), "", IF(SUM(IF(INDEX(_xlfn._xlws.FILTER(tblPiNAnalysis[[CCCM%]:[WASH%]], tblPiNAnalysis[Population Group]=C$5), 0, MATCH(_xlfn.CONCAT($Q$2, "%"), tblPiNAnalysis[[#Headers],[CCCM%]:[WASH%]], 0))=$A17, 1, 0))=0, "",SUM(IF(INDEX(_xlfn._xlws.FILTER(tblPiNAnalysis[[CCCM%]:[WASH%]], tblPiNAnalysis[Population Group]=C$5), 0, MATCH(_xlfn.CONCAT($Q$2, "%"), tblPiNAnalysis[[#Headers],[CCCM%]:[WASH%]], 0))=$A17, 1, 0)))), "")</f>
        <v/>
      </c>
      <c r="D17" s="92" t="str" cm="1">
        <f t="array" ref="D17">IFERROR(IF(OR($A17="", D$5=""), "", IF(SUM(IF(INDEX(_xlfn._xlws.FILTER(tblPiNAnalysis[[CCCM%]:[WASH%]], tblPiNAnalysis[Population Group]=D$5), 0, MATCH(_xlfn.CONCAT($Q$2, "%"), tblPiNAnalysis[[#Headers],[CCCM%]:[WASH%]], 0))=$A17, 1, 0))=0, "",SUM(IF(INDEX(_xlfn._xlws.FILTER(tblPiNAnalysis[[CCCM%]:[WASH%]], tblPiNAnalysis[Population Group]=D$5), 0, MATCH(_xlfn.CONCAT($Q$2, "%"), tblPiNAnalysis[[#Headers],[CCCM%]:[WASH%]], 0))=$A17, 1, 0)))), "")</f>
        <v/>
      </c>
      <c r="E17" s="92" t="str" cm="1">
        <f t="array" ref="E17">IFERROR(IF(OR($A17="", E$5=""), "", IF(SUM(IF(INDEX(_xlfn._xlws.FILTER(tblPiNAnalysis[[CCCM%]:[WASH%]], tblPiNAnalysis[Population Group]=E$5), 0, MATCH(_xlfn.CONCAT($Q$2, "%"), tblPiNAnalysis[[#Headers],[CCCM%]:[WASH%]], 0))=$A17, 1, 0))=0, "",SUM(IF(INDEX(_xlfn._xlws.FILTER(tblPiNAnalysis[[CCCM%]:[WASH%]], tblPiNAnalysis[Population Group]=E$5), 0, MATCH(_xlfn.CONCAT($Q$2, "%"), tblPiNAnalysis[[#Headers],[CCCM%]:[WASH%]], 0))=$A17, 1, 0)))), "")</f>
        <v/>
      </c>
      <c r="F17" s="92" t="str" cm="1">
        <f t="array" ref="F17">IFERROR(IF(OR($A17="", F$5=""), "", IF(SUM(IF(INDEX(_xlfn._xlws.FILTER(tblPiNAnalysis[[CCCM%]:[WASH%]], tblPiNAnalysis[CCCM]=F$5), 0, MATCH(_xlfn.CONCAT($Q$2, "%"), tblPiNAnalysis[[#Headers],[CCCM%]:[WASH%]], 0))=$A17, 1, 0))=0, "",SUM(IF(INDEX(_xlfn._xlws.FILTER(tblPiNAnalysis[[CCCM%]:[WASH%]], tblPiNAnalysis[CCCM]=F$5), 0, MATCH(_xlfn.CONCAT($Q$2, "%"), tblPiNAnalysis[[#Headers],[CCCM%]:[WASH%]], 0))=$A17, 1, 0)))), "")</f>
        <v/>
      </c>
      <c r="H17" s="94">
        <v>0.4</v>
      </c>
      <c r="I17" s="92" cm="1">
        <f t="array" ref="I17">IF($H17="", "", IF($H17=2, SUM(IF(INDEX(_xlfn._xlws.FILTER(tblPiNHistorical[[CCCM]:[WASH]], tblPiNHistorical[Population Group]=I$5), 0, MATCH($Q$2, tblPiNHistorical[[#Headers],[CCCM]:[WASH]], 0))&gt;1.9, 1, 0)), IF(SUM(IF(INDEX(_xlfn._xlws.FILTER(tblPiNHistorical[[CCCM]:[WASH]], tblPiNHistorical[Population Group]=I$5), 0, MATCH($Q$2, tblPiNHistorical[[#Headers],[CCCM]:[WASH]], 0))=$H17, 1, 0))=0, "", SUM(IF(INDEX(_xlfn._xlws.FILTER(tblPiNHistorical[[CCCM]:[WASH]], tblPiNHistorical[Population Group]=I$5), 0, MATCH($Q$2, tblPiNHistorical[[#Headers],[CCCM]:[WASH]], 0))=$H17, 1, 0)))))</f>
        <v>4</v>
      </c>
      <c r="J17" s="92" t="str" cm="1">
        <f t="array" ref="J17">IFERROR(IF(OR($H17="", J16=""), "", IF($H17=2, SUM(IF(INDEX(_xlfn._xlws.FILTER(tblPiNHistorical[[CCCM]:[WASH]], tblPiNHistorical[Population Group]=J$5), 0, MATCH($Q$2, tblPiNHistorical[[#Headers],[CCCM]:[WASH]], 0))&gt;1.9, 1, 0)), IF(SUM(IF(INDEX(_xlfn._xlws.FILTER(tblPiNHistorical[[CCCM]:[WASH]], tblPiNHistorical[Population Group]=J$5), 0, MATCH($Q$2, tblPiNHistorical[[#Headers],[CCCM]:[WASH]], 0))=$H17, 1, 0))=0, "", SUM(IF(INDEX(_xlfn._xlws.FILTER(tblPiNHistorical[[CCCM]:[WASH]], tblPiNHistorical[Population Group]=J$5), 0, MATCH($Q$2, tblPiNHistorical[[#Headers],[CCCM]:[WASH]], 0))=$H17, 1, 0))))), "")</f>
        <v/>
      </c>
      <c r="K17" s="92" t="str" cm="1">
        <f t="array" ref="K17">IFERROR(IF(OR($H17="", K16=""), "", IF($H17=2, SUM(IF(INDEX(_xlfn._xlws.FILTER(tblPiNHistorical[[CCCM]:[WASH]], tblPiNHistorical[CCCM - old]=K$5), 0, MATCH($Q$2, tblPiNHistorical[[#Headers],[CCCM]:[WASH]], 0))&gt;1.9, 1, 0)), IF(SUM(IF(INDEX(_xlfn._xlws.FILTER(tblPiNHistorical[[CCCM]:[WASH]], tblPiNHistorical[CCCM - old]=K$5), 0, MATCH($Q$2, tblPiNHistorical[[#Headers],[CCCM]:[WASH]], 0))=$H17, 1, 0))=0, "", SUM(IF(INDEX(_xlfn._xlws.FILTER(tblPiNHistorical[[CCCM]:[WASH]], tblPiNHistorical[CCCM - old]=K$5), 0, MATCH($Q$2, tblPiNHistorical[[#Headers],[CCCM]:[WASH]], 0))=$H17, 1, 0))))), "")</f>
        <v/>
      </c>
      <c r="L17" s="92" t="str" cm="1">
        <f t="array" ref="L17">IFERROR(IF(OR($H17="", L16=""), "", IF($H17=2, SUM(IF(INDEX(_xlfn._xlws.FILTER(tblPiNHistorical[[CCCM]:[WASH]],#REF!= L$5), 0, MATCH($Q$2, tblPiNHistorical[[#Headers],[CCCM]:[WASH]], 0))&gt;1.9, 1, 0)), IF(SUM(IF(INDEX(_xlfn._xlws.FILTER(tblPiNHistorical[[CCCM]:[WASH]],#REF!= L$5), 0, MATCH($Q$2, tblPiNHistorical[[#Headers],[CCCM]:[WASH]], 0))=$H17, 1, 0))=0, "", SUM(IF(INDEX(_xlfn._xlws.FILTER(tblPiNHistorical[[CCCM]:[WASH]],#REF!= L$5), 0, MATCH($Q$2, tblPiNHistorical[[#Headers],[CCCM]:[WASH]], 0))=$H17, 1, 0))))), "")</f>
        <v/>
      </c>
      <c r="M17" s="92" t="str" cm="1">
        <f t="array" ref="M17">IFERROR(IF(OR($H17="", M16=""), "", IF($H17=2, SUM(IF(INDEX(_xlfn._xlws.FILTER(tblPiNHistorical[[CCCM]:[WASH]],#REF!= M$5), 0, MATCH($Q$2, tblPiNHistorical[[#Headers],[CCCM]:[WASH]], 0))&gt;1.9, 1, 0)), IF(SUM(IF(INDEX(_xlfn._xlws.FILTER(tblPiNHistorical[[CCCM]:[WASH]],#REF!= M$5), 0, MATCH($Q$2, tblPiNHistorical[[#Headers],[CCCM]:[WASH]], 0))=$H17, 1, 0))=0, "", SUM(IF(INDEX(_xlfn._xlws.FILTER(tblPiNHistorical[[CCCM]:[WASH]],#REF!= M$5), 0, MATCH($Q$2, tblPiNHistorical[[#Headers],[CCCM]:[WASH]], 0))=$H17, 1, 0))))), "")</f>
        <v/>
      </c>
      <c r="Z17" s="168"/>
    </row>
    <row r="18" spans="1:28">
      <c r="A18" s="94"/>
      <c r="B18" s="92" t="str" cm="1">
        <f t="array" ref="B18">IF($A18="", "", IF(SUM(IF(INDEX(_xlfn._xlws.FILTER(tblPiNAnalysis[[CCCM%]:[WASH%]], tblPiNAnalysis[Population Group]=B$5), 0, MATCH(_xlfn.CONCAT($Q$2, "%"), tblPiNAnalysis[[#Headers],[CCCM%]:[WASH%]], 0))=$A18, 1, 0))=0, "",SUM(IF(INDEX(_xlfn._xlws.FILTER(tblPiNAnalysis[[CCCM%]:[WASH%]], tblPiNAnalysis[Population Group]=B$5), 0, MATCH(_xlfn.CONCAT($Q$2, "%"), tblPiNAnalysis[[#Headers],[CCCM%]:[WASH%]], 0))=$A18, 1, 0))))</f>
        <v/>
      </c>
      <c r="C18" s="92" t="str" cm="1">
        <f t="array" ref="C18">IFERROR(IF(OR($A18="", C$5=""), "", IF(SUM(IF(INDEX(_xlfn._xlws.FILTER(tblPiNAnalysis[[CCCM%]:[WASH%]], tblPiNAnalysis[Population Group]=C$5), 0, MATCH(_xlfn.CONCAT($Q$2, "%"), tblPiNAnalysis[[#Headers],[CCCM%]:[WASH%]], 0))=$A18, 1, 0))=0, "",SUM(IF(INDEX(_xlfn._xlws.FILTER(tblPiNAnalysis[[CCCM%]:[WASH%]], tblPiNAnalysis[Population Group]=C$5), 0, MATCH(_xlfn.CONCAT($Q$2, "%"), tblPiNAnalysis[[#Headers],[CCCM%]:[WASH%]], 0))=$A18, 1, 0)))), "")</f>
        <v/>
      </c>
      <c r="D18" s="92" t="str" cm="1">
        <f t="array" ref="D18">IFERROR(IF(OR($A18="", D$5=""), "", IF(SUM(IF(INDEX(_xlfn._xlws.FILTER(tblPiNAnalysis[[CCCM%]:[WASH%]], tblPiNAnalysis[Population Group]=D$5), 0, MATCH(_xlfn.CONCAT($Q$2, "%"), tblPiNAnalysis[[#Headers],[CCCM%]:[WASH%]], 0))=$A18, 1, 0))=0, "",SUM(IF(INDEX(_xlfn._xlws.FILTER(tblPiNAnalysis[[CCCM%]:[WASH%]], tblPiNAnalysis[Population Group]=D$5), 0, MATCH(_xlfn.CONCAT($Q$2, "%"), tblPiNAnalysis[[#Headers],[CCCM%]:[WASH%]], 0))=$A18, 1, 0)))), "")</f>
        <v/>
      </c>
      <c r="E18" s="92" t="str" cm="1">
        <f t="array" ref="E18">IFERROR(IF(OR($A18="", E$5=""), "", IF(SUM(IF(INDEX(_xlfn._xlws.FILTER(tblPiNAnalysis[[CCCM%]:[WASH%]], tblPiNAnalysis[Population Group]=E$5), 0, MATCH(_xlfn.CONCAT($Q$2, "%"), tblPiNAnalysis[[#Headers],[CCCM%]:[WASH%]], 0))=$A18, 1, 0))=0, "",SUM(IF(INDEX(_xlfn._xlws.FILTER(tblPiNAnalysis[[CCCM%]:[WASH%]], tblPiNAnalysis[Population Group]=E$5), 0, MATCH(_xlfn.CONCAT($Q$2, "%"), tblPiNAnalysis[[#Headers],[CCCM%]:[WASH%]], 0))=$A18, 1, 0)))), "")</f>
        <v/>
      </c>
      <c r="F18" s="92" t="str" cm="1">
        <f t="array" ref="F18">IFERROR(IF(OR($A18="", F$5=""), "", IF(SUM(IF(INDEX(_xlfn._xlws.FILTER(tblPiNAnalysis[[CCCM%]:[WASH%]], tblPiNAnalysis[CCCM]=F$5), 0, MATCH(_xlfn.CONCAT($Q$2, "%"), tblPiNAnalysis[[#Headers],[CCCM%]:[WASH%]], 0))=$A18, 1, 0))=0, "",SUM(IF(INDEX(_xlfn._xlws.FILTER(tblPiNAnalysis[[CCCM%]:[WASH%]], tblPiNAnalysis[CCCM]=F$5), 0, MATCH(_xlfn.CONCAT($Q$2, "%"), tblPiNAnalysis[[#Headers],[CCCM%]:[WASH%]], 0))=$A18, 1, 0)))), "")</f>
        <v/>
      </c>
      <c r="H18" s="94">
        <v>0.5</v>
      </c>
      <c r="I18" s="92" cm="1">
        <f t="array" ref="I18">IF($H18="", "", IF($H18=2, SUM(IF(INDEX(_xlfn._xlws.FILTER(tblPiNHistorical[[CCCM]:[WASH]], tblPiNHistorical[Population Group]=I$5), 0, MATCH($Q$2, tblPiNHistorical[[#Headers],[CCCM]:[WASH]], 0))&gt;1.9, 1, 0)), IF(SUM(IF(INDEX(_xlfn._xlws.FILTER(tblPiNHistorical[[CCCM]:[WASH]], tblPiNHistorical[Population Group]=I$5), 0, MATCH($Q$2, tblPiNHistorical[[#Headers],[CCCM]:[WASH]], 0))=$H18, 1, 0))=0, "", SUM(IF(INDEX(_xlfn._xlws.FILTER(tblPiNHistorical[[CCCM]:[WASH]], tblPiNHistorical[Population Group]=I$5), 0, MATCH($Q$2, tblPiNHistorical[[#Headers],[CCCM]:[WASH]], 0))=$H18, 1, 0)))))</f>
        <v>14</v>
      </c>
      <c r="J18" s="92" t="str" cm="1">
        <f t="array" ref="J18">IFERROR(IF(OR($H18="", J17=""), "", IF($H18=2, SUM(IF(INDEX(_xlfn._xlws.FILTER(tblPiNHistorical[[CCCM]:[WASH]], tblPiNHistorical[Population Group]=J$5), 0, MATCH($Q$2, tblPiNHistorical[[#Headers],[CCCM]:[WASH]], 0))&gt;1.9, 1, 0)), IF(SUM(IF(INDEX(_xlfn._xlws.FILTER(tblPiNHistorical[[CCCM]:[WASH]], tblPiNHistorical[Population Group]=J$5), 0, MATCH($Q$2, tblPiNHistorical[[#Headers],[CCCM]:[WASH]], 0))=$H18, 1, 0))=0, "", SUM(IF(INDEX(_xlfn._xlws.FILTER(tblPiNHistorical[[CCCM]:[WASH]], tblPiNHistorical[Population Group]=J$5), 0, MATCH($Q$2, tblPiNHistorical[[#Headers],[CCCM]:[WASH]], 0))=$H18, 1, 0))))), "")</f>
        <v/>
      </c>
      <c r="K18" s="92" t="str" cm="1">
        <f t="array" ref="K18">IFERROR(IF(OR($H18="", K17=""), "", IF($H18=2, SUM(IF(INDEX(_xlfn._xlws.FILTER(tblPiNHistorical[[CCCM]:[WASH]], tblPiNHistorical[CCCM - old]=K$5), 0, MATCH($Q$2, tblPiNHistorical[[#Headers],[CCCM]:[WASH]], 0))&gt;1.9, 1, 0)), IF(SUM(IF(INDEX(_xlfn._xlws.FILTER(tblPiNHistorical[[CCCM]:[WASH]], tblPiNHistorical[CCCM - old]=K$5), 0, MATCH($Q$2, tblPiNHistorical[[#Headers],[CCCM]:[WASH]], 0))=$H18, 1, 0))=0, "", SUM(IF(INDEX(_xlfn._xlws.FILTER(tblPiNHistorical[[CCCM]:[WASH]], tblPiNHistorical[CCCM - old]=K$5), 0, MATCH($Q$2, tblPiNHistorical[[#Headers],[CCCM]:[WASH]], 0))=$H18, 1, 0))))), "")</f>
        <v/>
      </c>
      <c r="L18" s="92" t="str" cm="1">
        <f t="array" ref="L18">IFERROR(IF(OR($H18="", L17=""), "", IF($H18=2, SUM(IF(INDEX(_xlfn._xlws.FILTER(tblPiNHistorical[[CCCM]:[WASH]],#REF!= L$5), 0, MATCH($Q$2, tblPiNHistorical[[#Headers],[CCCM]:[WASH]], 0))&gt;1.9, 1, 0)), IF(SUM(IF(INDEX(_xlfn._xlws.FILTER(tblPiNHistorical[[CCCM]:[WASH]],#REF!= L$5), 0, MATCH($Q$2, tblPiNHistorical[[#Headers],[CCCM]:[WASH]], 0))=$H18, 1, 0))=0, "", SUM(IF(INDEX(_xlfn._xlws.FILTER(tblPiNHistorical[[CCCM]:[WASH]],#REF!= L$5), 0, MATCH($Q$2, tblPiNHistorical[[#Headers],[CCCM]:[WASH]], 0))=$H18, 1, 0))))), "")</f>
        <v/>
      </c>
      <c r="M18" s="92" t="str" cm="1">
        <f t="array" ref="M18">IFERROR(IF(OR($H18="", M17=""), "", IF($H18=2, SUM(IF(INDEX(_xlfn._xlws.FILTER(tblPiNHistorical[[CCCM]:[WASH]],#REF!= M$5), 0, MATCH($Q$2, tblPiNHistorical[[#Headers],[CCCM]:[WASH]], 0))&gt;1.9, 1, 0)), IF(SUM(IF(INDEX(_xlfn._xlws.FILTER(tblPiNHistorical[[CCCM]:[WASH]],#REF!= M$5), 0, MATCH($Q$2, tblPiNHistorical[[#Headers],[CCCM]:[WASH]], 0))=$H18, 1, 0))=0, "", SUM(IF(INDEX(_xlfn._xlws.FILTER(tblPiNHistorical[[CCCM]:[WASH]],#REF!= M$5), 0, MATCH($Q$2, tblPiNHistorical[[#Headers],[CCCM]:[WASH]], 0))=$H18, 1, 0))))), "")</f>
        <v/>
      </c>
      <c r="Z18" s="168"/>
    </row>
    <row r="19" spans="1:28">
      <c r="A19" s="94"/>
      <c r="B19" s="92" t="str" cm="1">
        <f t="array" ref="B19">IF($A19="", "", IF(SUM(IF(INDEX(_xlfn._xlws.FILTER(tblPiNAnalysis[[CCCM%]:[WASH%]], tblPiNAnalysis[Population Group]=B$5), 0, MATCH(_xlfn.CONCAT($Q$2, "%"), tblPiNAnalysis[[#Headers],[CCCM%]:[WASH%]], 0))=$A19, 1, 0))=0, "",SUM(IF(INDEX(_xlfn._xlws.FILTER(tblPiNAnalysis[[CCCM%]:[WASH%]], tblPiNAnalysis[Population Group]=B$5), 0, MATCH(_xlfn.CONCAT($Q$2, "%"), tblPiNAnalysis[[#Headers],[CCCM%]:[WASH%]], 0))=$A19, 1, 0))))</f>
        <v/>
      </c>
      <c r="C19" s="92" t="str" cm="1">
        <f t="array" ref="C19">IFERROR(IF(OR($A19="", C$5=""), "", IF(SUM(IF(INDEX(_xlfn._xlws.FILTER(tblPiNAnalysis[[CCCM%]:[WASH%]], tblPiNAnalysis[Population Group]=C$5), 0, MATCH(_xlfn.CONCAT($Q$2, "%"), tblPiNAnalysis[[#Headers],[CCCM%]:[WASH%]], 0))=$A19, 1, 0))=0, "",SUM(IF(INDEX(_xlfn._xlws.FILTER(tblPiNAnalysis[[CCCM%]:[WASH%]], tblPiNAnalysis[Population Group]=C$5), 0, MATCH(_xlfn.CONCAT($Q$2, "%"), tblPiNAnalysis[[#Headers],[CCCM%]:[WASH%]], 0))=$A19, 1, 0)))), "")</f>
        <v/>
      </c>
      <c r="D19" s="92" t="str" cm="1">
        <f t="array" ref="D19">IFERROR(IF(OR($A19="", D$5=""), "", IF(SUM(IF(INDEX(_xlfn._xlws.FILTER(tblPiNAnalysis[[CCCM%]:[WASH%]], tblPiNAnalysis[Population Group]=D$5), 0, MATCH(_xlfn.CONCAT($Q$2, "%"), tblPiNAnalysis[[#Headers],[CCCM%]:[WASH%]], 0))=$A19, 1, 0))=0, "",SUM(IF(INDEX(_xlfn._xlws.FILTER(tblPiNAnalysis[[CCCM%]:[WASH%]], tblPiNAnalysis[Population Group]=D$5), 0, MATCH(_xlfn.CONCAT($Q$2, "%"), tblPiNAnalysis[[#Headers],[CCCM%]:[WASH%]], 0))=$A19, 1, 0)))), "")</f>
        <v/>
      </c>
      <c r="E19" s="92" t="str" cm="1">
        <f t="array" ref="E19">IFERROR(IF(OR($A19="", E$5=""), "", IF(SUM(IF(INDEX(_xlfn._xlws.FILTER(tblPiNAnalysis[[CCCM%]:[WASH%]], tblPiNAnalysis[Population Group]=E$5), 0, MATCH(_xlfn.CONCAT($Q$2, "%"), tblPiNAnalysis[[#Headers],[CCCM%]:[WASH%]], 0))=$A19, 1, 0))=0, "",SUM(IF(INDEX(_xlfn._xlws.FILTER(tblPiNAnalysis[[CCCM%]:[WASH%]], tblPiNAnalysis[Population Group]=E$5), 0, MATCH(_xlfn.CONCAT($Q$2, "%"), tblPiNAnalysis[[#Headers],[CCCM%]:[WASH%]], 0))=$A19, 1, 0)))), "")</f>
        <v/>
      </c>
      <c r="F19" s="92" t="str" cm="1">
        <f t="array" ref="F19">IFERROR(IF(OR($A19="", F$5=""), "", IF(SUM(IF(INDEX(_xlfn._xlws.FILTER(tblPiNAnalysis[[CCCM%]:[WASH%]], tblPiNAnalysis[CCCM]=F$5), 0, MATCH(_xlfn.CONCAT($Q$2, "%"), tblPiNAnalysis[[#Headers],[CCCM%]:[WASH%]], 0))=$A19, 1, 0))=0, "",SUM(IF(INDEX(_xlfn._xlws.FILTER(tblPiNAnalysis[[CCCM%]:[WASH%]], tblPiNAnalysis[CCCM]=F$5), 0, MATCH(_xlfn.CONCAT($Q$2, "%"), tblPiNAnalysis[[#Headers],[CCCM%]:[WASH%]], 0))=$A19, 1, 0)))), "")</f>
        <v/>
      </c>
      <c r="H19" s="94">
        <v>0.6</v>
      </c>
      <c r="I19" s="92" cm="1">
        <f t="array" ref="I19">IF($H19="", "", IF($H19=2, SUM(IF(INDEX(_xlfn._xlws.FILTER(tblPiNHistorical[[CCCM]:[WASH]], tblPiNHistorical[Population Group]=I$5), 0, MATCH($Q$2, tblPiNHistorical[[#Headers],[CCCM]:[WASH]], 0))&gt;1.9, 1, 0)), IF(SUM(IF(INDEX(_xlfn._xlws.FILTER(tblPiNHistorical[[CCCM]:[WASH]], tblPiNHistorical[Population Group]=I$5), 0, MATCH($Q$2, tblPiNHistorical[[#Headers],[CCCM]:[WASH]], 0))=$H19, 1, 0))=0, "", SUM(IF(INDEX(_xlfn._xlws.FILTER(tblPiNHistorical[[CCCM]:[WASH]], tblPiNHistorical[Population Group]=I$5), 0, MATCH($Q$2, tblPiNHistorical[[#Headers],[CCCM]:[WASH]], 0))=$H19, 1, 0)))))</f>
        <v>10</v>
      </c>
      <c r="J19" s="92" t="str" cm="1">
        <f t="array" ref="J19">IFERROR(IF(OR($H19="", J18=""), "", IF($H19=2, SUM(IF(INDEX(_xlfn._xlws.FILTER(tblPiNHistorical[[CCCM]:[WASH]], tblPiNHistorical[Population Group]=J$5), 0, MATCH($Q$2, tblPiNHistorical[[#Headers],[CCCM]:[WASH]], 0))&gt;1.9, 1, 0)), IF(SUM(IF(INDEX(_xlfn._xlws.FILTER(tblPiNHistorical[[CCCM]:[WASH]], tblPiNHistorical[Population Group]=J$5), 0, MATCH($Q$2, tblPiNHistorical[[#Headers],[CCCM]:[WASH]], 0))=$H19, 1, 0))=0, "", SUM(IF(INDEX(_xlfn._xlws.FILTER(tblPiNHistorical[[CCCM]:[WASH]], tblPiNHistorical[Population Group]=J$5), 0, MATCH($Q$2, tblPiNHistorical[[#Headers],[CCCM]:[WASH]], 0))=$H19, 1, 0))))), "")</f>
        <v/>
      </c>
      <c r="K19" s="92" t="str" cm="1">
        <f t="array" ref="K19">IFERROR(IF(OR($H19="", K18=""), "", IF($H19=2, SUM(IF(INDEX(_xlfn._xlws.FILTER(tblPiNHistorical[[CCCM]:[WASH]], tblPiNHistorical[CCCM - old]=K$5), 0, MATCH($Q$2, tblPiNHistorical[[#Headers],[CCCM]:[WASH]], 0))&gt;1.9, 1, 0)), IF(SUM(IF(INDEX(_xlfn._xlws.FILTER(tblPiNHistorical[[CCCM]:[WASH]], tblPiNHistorical[CCCM - old]=K$5), 0, MATCH($Q$2, tblPiNHistorical[[#Headers],[CCCM]:[WASH]], 0))=$H19, 1, 0))=0, "", SUM(IF(INDEX(_xlfn._xlws.FILTER(tblPiNHistorical[[CCCM]:[WASH]], tblPiNHistorical[CCCM - old]=K$5), 0, MATCH($Q$2, tblPiNHistorical[[#Headers],[CCCM]:[WASH]], 0))=$H19, 1, 0))))), "")</f>
        <v/>
      </c>
      <c r="L19" s="92" t="str" cm="1">
        <f t="array" ref="L19">IFERROR(IF(OR($H19="", L18=""), "", IF($H19=2, SUM(IF(INDEX(_xlfn._xlws.FILTER(tblPiNHistorical[[CCCM]:[WASH]],#REF!= L$5), 0, MATCH($Q$2, tblPiNHistorical[[#Headers],[CCCM]:[WASH]], 0))&gt;1.9, 1, 0)), IF(SUM(IF(INDEX(_xlfn._xlws.FILTER(tblPiNHistorical[[CCCM]:[WASH]],#REF!= L$5), 0, MATCH($Q$2, tblPiNHistorical[[#Headers],[CCCM]:[WASH]], 0))=$H19, 1, 0))=0, "", SUM(IF(INDEX(_xlfn._xlws.FILTER(tblPiNHistorical[[CCCM]:[WASH]],#REF!= L$5), 0, MATCH($Q$2, tblPiNHistorical[[#Headers],[CCCM]:[WASH]], 0))=$H19, 1, 0))))), "")</f>
        <v/>
      </c>
      <c r="M19" s="92" t="str" cm="1">
        <f t="array" ref="M19">IFERROR(IF(OR($H19="", M18=""), "", IF($H19=2, SUM(IF(INDEX(_xlfn._xlws.FILTER(tblPiNHistorical[[CCCM]:[WASH]],#REF!= M$5), 0, MATCH($Q$2, tblPiNHistorical[[#Headers],[CCCM]:[WASH]], 0))&gt;1.9, 1, 0)), IF(SUM(IF(INDEX(_xlfn._xlws.FILTER(tblPiNHistorical[[CCCM]:[WASH]],#REF!= M$5), 0, MATCH($Q$2, tblPiNHistorical[[#Headers],[CCCM]:[WASH]], 0))=$H19, 1, 0))=0, "", SUM(IF(INDEX(_xlfn._xlws.FILTER(tblPiNHistorical[[CCCM]:[WASH]],#REF!= M$5), 0, MATCH($Q$2, tblPiNHistorical[[#Headers],[CCCM]:[WASH]], 0))=$H19, 1, 0))))), "")</f>
        <v/>
      </c>
      <c r="Z19" s="168"/>
    </row>
    <row r="20" spans="1:28">
      <c r="A20" s="94"/>
      <c r="B20" s="92" t="str" cm="1">
        <f t="array" ref="B20">IF($A20="", "", IF(SUM(IF(INDEX(_xlfn._xlws.FILTER(tblPiNAnalysis[[CCCM%]:[WASH%]], tblPiNAnalysis[Population Group]=B$5), 0, MATCH(_xlfn.CONCAT($Q$2, "%"), tblPiNAnalysis[[#Headers],[CCCM%]:[WASH%]], 0))=$A20, 1, 0))=0, "",SUM(IF(INDEX(_xlfn._xlws.FILTER(tblPiNAnalysis[[CCCM%]:[WASH%]], tblPiNAnalysis[Population Group]=B$5), 0, MATCH(_xlfn.CONCAT($Q$2, "%"), tblPiNAnalysis[[#Headers],[CCCM%]:[WASH%]], 0))=$A20, 1, 0))))</f>
        <v/>
      </c>
      <c r="C20" s="92" t="str" cm="1">
        <f t="array" ref="C20">IFERROR(IF(OR($A20="", C$5=""), "", IF(SUM(IF(INDEX(_xlfn._xlws.FILTER(tblPiNAnalysis[[CCCM%]:[WASH%]], tblPiNAnalysis[Population Group]=C$5), 0, MATCH(_xlfn.CONCAT($Q$2, "%"), tblPiNAnalysis[[#Headers],[CCCM%]:[WASH%]], 0))=$A20, 1, 0))=0, "",SUM(IF(INDEX(_xlfn._xlws.FILTER(tblPiNAnalysis[[CCCM%]:[WASH%]], tblPiNAnalysis[Population Group]=C$5), 0, MATCH(_xlfn.CONCAT($Q$2, "%"), tblPiNAnalysis[[#Headers],[CCCM%]:[WASH%]], 0))=$A20, 1, 0)))), "")</f>
        <v/>
      </c>
      <c r="D20" s="92" t="str" cm="1">
        <f t="array" ref="D20">IFERROR(IF(OR($A20="", D$5=""), "", IF(SUM(IF(INDEX(_xlfn._xlws.FILTER(tblPiNAnalysis[[CCCM%]:[WASH%]], tblPiNAnalysis[Population Group]=D$5), 0, MATCH(_xlfn.CONCAT($Q$2, "%"), tblPiNAnalysis[[#Headers],[CCCM%]:[WASH%]], 0))=$A20, 1, 0))=0, "",SUM(IF(INDEX(_xlfn._xlws.FILTER(tblPiNAnalysis[[CCCM%]:[WASH%]], tblPiNAnalysis[Population Group]=D$5), 0, MATCH(_xlfn.CONCAT($Q$2, "%"), tblPiNAnalysis[[#Headers],[CCCM%]:[WASH%]], 0))=$A20, 1, 0)))), "")</f>
        <v/>
      </c>
      <c r="E20" s="92" t="str" cm="1">
        <f t="array" ref="E20">IFERROR(IF(OR($A20="", E$5=""), "", IF(SUM(IF(INDEX(_xlfn._xlws.FILTER(tblPiNAnalysis[[CCCM%]:[WASH%]], tblPiNAnalysis[Population Group]=E$5), 0, MATCH(_xlfn.CONCAT($Q$2, "%"), tblPiNAnalysis[[#Headers],[CCCM%]:[WASH%]], 0))=$A20, 1, 0))=0, "",SUM(IF(INDEX(_xlfn._xlws.FILTER(tblPiNAnalysis[[CCCM%]:[WASH%]], tblPiNAnalysis[Population Group]=E$5), 0, MATCH(_xlfn.CONCAT($Q$2, "%"), tblPiNAnalysis[[#Headers],[CCCM%]:[WASH%]], 0))=$A20, 1, 0)))), "")</f>
        <v/>
      </c>
      <c r="F20" s="92" t="str" cm="1">
        <f t="array" ref="F20">IFERROR(IF(OR($A20="", F$5=""), "", IF(SUM(IF(INDEX(_xlfn._xlws.FILTER(tblPiNAnalysis[[CCCM%]:[WASH%]], tblPiNAnalysis[CCCM]=F$5), 0, MATCH(_xlfn.CONCAT($Q$2, "%"), tblPiNAnalysis[[#Headers],[CCCM%]:[WASH%]], 0))=$A20, 1, 0))=0, "",SUM(IF(INDEX(_xlfn._xlws.FILTER(tblPiNAnalysis[[CCCM%]:[WASH%]], tblPiNAnalysis[CCCM]=F$5), 0, MATCH(_xlfn.CONCAT($Q$2, "%"), tblPiNAnalysis[[#Headers],[CCCM%]:[WASH%]], 0))=$A20, 1, 0)))), "")</f>
        <v/>
      </c>
      <c r="H20" s="94">
        <v>1.6</v>
      </c>
      <c r="I20" s="92" cm="1">
        <f t="array" ref="I20">IF($H20="", "", IF($H20=2, SUM(IF(INDEX(_xlfn._xlws.FILTER(tblPiNHistorical[[CCCM]:[WASH]], tblPiNHistorical[Population Group]=I$5), 0, MATCH($Q$2, tblPiNHistorical[[#Headers],[CCCM]:[WASH]], 0))&gt;1.9, 1, 0)), IF(SUM(IF(INDEX(_xlfn._xlws.FILTER(tblPiNHistorical[[CCCM]:[WASH]], tblPiNHistorical[Population Group]=I$5), 0, MATCH($Q$2, tblPiNHistorical[[#Headers],[CCCM]:[WASH]], 0))=$H20, 1, 0))=0, "", SUM(IF(INDEX(_xlfn._xlws.FILTER(tblPiNHistorical[[CCCM]:[WASH]], tblPiNHistorical[Population Group]=I$5), 0, MATCH($Q$2, tblPiNHistorical[[#Headers],[CCCM]:[WASH]], 0))=$H20, 1, 0)))))</f>
        <v>1</v>
      </c>
      <c r="J20" s="92" t="str" cm="1">
        <f t="array" ref="J20">IFERROR(IF(OR($H20="", J19=""), "", IF($H20=2, SUM(IF(INDEX(_xlfn._xlws.FILTER(tblPiNHistorical[[CCCM]:[WASH]], tblPiNHistorical[Population Group]=J$5), 0, MATCH($Q$2, tblPiNHistorical[[#Headers],[CCCM]:[WASH]], 0))&gt;1.9, 1, 0)), IF(SUM(IF(INDEX(_xlfn._xlws.FILTER(tblPiNHistorical[[CCCM]:[WASH]], tblPiNHistorical[Population Group]=J$5), 0, MATCH($Q$2, tblPiNHistorical[[#Headers],[CCCM]:[WASH]], 0))=$H20, 1, 0))=0, "", SUM(IF(INDEX(_xlfn._xlws.FILTER(tblPiNHistorical[[CCCM]:[WASH]], tblPiNHistorical[Population Group]=J$5), 0, MATCH($Q$2, tblPiNHistorical[[#Headers],[CCCM]:[WASH]], 0))=$H20, 1, 0))))), "")</f>
        <v/>
      </c>
      <c r="K20" s="92" t="str" cm="1">
        <f t="array" ref="K20">IFERROR(IF(OR($H20="", K19=""), "", IF($H20=2, SUM(IF(INDEX(_xlfn._xlws.FILTER(tblPiNHistorical[[CCCM]:[WASH]], tblPiNHistorical[CCCM - old]=K$5), 0, MATCH($Q$2, tblPiNHistorical[[#Headers],[CCCM]:[WASH]], 0))&gt;1.9, 1, 0)), IF(SUM(IF(INDEX(_xlfn._xlws.FILTER(tblPiNHistorical[[CCCM]:[WASH]], tblPiNHistorical[CCCM - old]=K$5), 0, MATCH($Q$2, tblPiNHistorical[[#Headers],[CCCM]:[WASH]], 0))=$H20, 1, 0))=0, "", SUM(IF(INDEX(_xlfn._xlws.FILTER(tblPiNHistorical[[CCCM]:[WASH]], tblPiNHistorical[CCCM - old]=K$5), 0, MATCH($Q$2, tblPiNHistorical[[#Headers],[CCCM]:[WASH]], 0))=$H20, 1, 0))))), "")</f>
        <v/>
      </c>
      <c r="L20" s="92" t="str" cm="1">
        <f t="array" ref="L20">IFERROR(IF(OR($H20="", L19=""), "", IF($H20=2, SUM(IF(INDEX(_xlfn._xlws.FILTER(tblPiNHistorical[[CCCM]:[WASH]],#REF!= L$5), 0, MATCH($Q$2, tblPiNHistorical[[#Headers],[CCCM]:[WASH]], 0))&gt;1.9, 1, 0)), IF(SUM(IF(INDEX(_xlfn._xlws.FILTER(tblPiNHistorical[[CCCM]:[WASH]],#REF!= L$5), 0, MATCH($Q$2, tblPiNHistorical[[#Headers],[CCCM]:[WASH]], 0))=$H20, 1, 0))=0, "", SUM(IF(INDEX(_xlfn._xlws.FILTER(tblPiNHistorical[[CCCM]:[WASH]],#REF!= L$5), 0, MATCH($Q$2, tblPiNHistorical[[#Headers],[CCCM]:[WASH]], 0))=$H20, 1, 0))))), "")</f>
        <v/>
      </c>
      <c r="M20" s="92" t="str" cm="1">
        <f t="array" ref="M20">IFERROR(IF(OR($H20="", M19=""), "", IF($H20=2, SUM(IF(INDEX(_xlfn._xlws.FILTER(tblPiNHistorical[[CCCM]:[WASH]],#REF!= M$5), 0, MATCH($Q$2, tblPiNHistorical[[#Headers],[CCCM]:[WASH]], 0))&gt;1.9, 1, 0)), IF(SUM(IF(INDEX(_xlfn._xlws.FILTER(tblPiNHistorical[[CCCM]:[WASH]],#REF!= M$5), 0, MATCH($Q$2, tblPiNHistorical[[#Headers],[CCCM]:[WASH]], 0))=$H20, 1, 0))=0, "", SUM(IF(INDEX(_xlfn._xlws.FILTER(tblPiNHistorical[[CCCM]:[WASH]],#REF!= M$5), 0, MATCH($Q$2, tblPiNHistorical[[#Headers],[CCCM]:[WASH]], 0))=$H20, 1, 0))))), "")</f>
        <v/>
      </c>
      <c r="Z20" s="168"/>
    </row>
    <row r="21" spans="1:28">
      <c r="A21" s="94"/>
      <c r="B21" s="92" t="str" cm="1">
        <f t="array" ref="B21">IF($A21="", "", IF(SUM(IF(INDEX(_xlfn._xlws.FILTER(tblPiNAnalysis[[CCCM%]:[WASH%]], tblPiNAnalysis[Population Group]=B$5), 0, MATCH(_xlfn.CONCAT($Q$2, "%"), tblPiNAnalysis[[#Headers],[CCCM%]:[WASH%]], 0))=$A21, 1, 0))=0, "",SUM(IF(INDEX(_xlfn._xlws.FILTER(tblPiNAnalysis[[CCCM%]:[WASH%]], tblPiNAnalysis[Population Group]=B$5), 0, MATCH(_xlfn.CONCAT($Q$2, "%"), tblPiNAnalysis[[#Headers],[CCCM%]:[WASH%]], 0))=$A21, 1, 0))))</f>
        <v/>
      </c>
      <c r="C21" s="92" t="str" cm="1">
        <f t="array" ref="C21">IFERROR(IF(OR($A21="", C$5=""), "", IF(SUM(IF(INDEX(_xlfn._xlws.FILTER(tblPiNAnalysis[[CCCM%]:[WASH%]], tblPiNAnalysis[Population Group]=C$5), 0, MATCH(_xlfn.CONCAT($Q$2, "%"), tblPiNAnalysis[[#Headers],[CCCM%]:[WASH%]], 0))=$A21, 1, 0))=0, "",SUM(IF(INDEX(_xlfn._xlws.FILTER(tblPiNAnalysis[[CCCM%]:[WASH%]], tblPiNAnalysis[Population Group]=C$5), 0, MATCH(_xlfn.CONCAT($Q$2, "%"), tblPiNAnalysis[[#Headers],[CCCM%]:[WASH%]], 0))=$A21, 1, 0)))), "")</f>
        <v/>
      </c>
      <c r="D21" s="92" t="str" cm="1">
        <f t="array" ref="D21">IFERROR(IF(OR($A21="", D$5=""), "", IF(SUM(IF(INDEX(_xlfn._xlws.FILTER(tblPiNAnalysis[[CCCM%]:[WASH%]], tblPiNAnalysis[Population Group]=D$5), 0, MATCH(_xlfn.CONCAT($Q$2, "%"), tblPiNAnalysis[[#Headers],[CCCM%]:[WASH%]], 0))=$A21, 1, 0))=0, "",SUM(IF(INDEX(_xlfn._xlws.FILTER(tblPiNAnalysis[[CCCM%]:[WASH%]], tblPiNAnalysis[Population Group]=D$5), 0, MATCH(_xlfn.CONCAT($Q$2, "%"), tblPiNAnalysis[[#Headers],[CCCM%]:[WASH%]], 0))=$A21, 1, 0)))), "")</f>
        <v/>
      </c>
      <c r="E21" s="92" t="str" cm="1">
        <f t="array" ref="E21">IFERROR(IF(OR($A21="", E$5=""), "", IF(SUM(IF(INDEX(_xlfn._xlws.FILTER(tblPiNAnalysis[[CCCM%]:[WASH%]], tblPiNAnalysis[Population Group]=E$5), 0, MATCH(_xlfn.CONCAT($Q$2, "%"), tblPiNAnalysis[[#Headers],[CCCM%]:[WASH%]], 0))=$A21, 1, 0))=0, "",SUM(IF(INDEX(_xlfn._xlws.FILTER(tblPiNAnalysis[[CCCM%]:[WASH%]], tblPiNAnalysis[Population Group]=E$5), 0, MATCH(_xlfn.CONCAT($Q$2, "%"), tblPiNAnalysis[[#Headers],[CCCM%]:[WASH%]], 0))=$A21, 1, 0)))), "")</f>
        <v/>
      </c>
      <c r="F21" s="92" t="str" cm="1">
        <f t="array" ref="F21">IFERROR(IF(OR($A21="", F$5=""), "", IF(SUM(IF(INDEX(_xlfn._xlws.FILTER(tblPiNAnalysis[[CCCM%]:[WASH%]], tblPiNAnalysis[CCCM]=F$5), 0, MATCH(_xlfn.CONCAT($Q$2, "%"), tblPiNAnalysis[[#Headers],[CCCM%]:[WASH%]], 0))=$A21, 1, 0))=0, "",SUM(IF(INDEX(_xlfn._xlws.FILTER(tblPiNAnalysis[[CCCM%]:[WASH%]], tblPiNAnalysis[CCCM]=F$5), 0, MATCH(_xlfn.CONCAT($Q$2, "%"), tblPiNAnalysis[[#Headers],[CCCM%]:[WASH%]], 0))=$A21, 1, 0)))), "")</f>
        <v/>
      </c>
      <c r="H21" s="94"/>
      <c r="I21" s="92" t="str" cm="1">
        <f t="array" ref="I21">IF($H21="", "", IF($H21=2, SUM(IF(INDEX(_xlfn._xlws.FILTER(tblPiNHistorical[[CCCM]:[WASH]], tblPiNHistorical[Population Group]=I$5), 0, MATCH($Q$2, tblPiNHistorical[[#Headers],[CCCM]:[WASH]], 0))&gt;1.9, 1, 0)), IF(SUM(IF(INDEX(_xlfn._xlws.FILTER(tblPiNHistorical[[CCCM]:[WASH]], tblPiNHistorical[Population Group]=I$5), 0, MATCH($Q$2, tblPiNHistorical[[#Headers],[CCCM]:[WASH]], 0))=$H21, 1, 0))=0, "", SUM(IF(INDEX(_xlfn._xlws.FILTER(tblPiNHistorical[[CCCM]:[WASH]], tblPiNHistorical[Population Group]=I$5), 0, MATCH($Q$2, tblPiNHistorical[[#Headers],[CCCM]:[WASH]], 0))=$H21, 1, 0)))))</f>
        <v/>
      </c>
      <c r="J21" s="92" t="str" cm="1">
        <f t="array" ref="J21">IFERROR(IF(OR($H21="", J20=""), "", IF($H21=2, SUM(IF(INDEX(_xlfn._xlws.FILTER(tblPiNHistorical[[CCCM]:[WASH]], tblPiNHistorical[Population Group]=J$5), 0, MATCH($Q$2, tblPiNHistorical[[#Headers],[CCCM]:[WASH]], 0))&gt;1.9, 1, 0)), IF(SUM(IF(INDEX(_xlfn._xlws.FILTER(tblPiNHistorical[[CCCM]:[WASH]], tblPiNHistorical[Population Group]=J$5), 0, MATCH($Q$2, tblPiNHistorical[[#Headers],[CCCM]:[WASH]], 0))=$H21, 1, 0))=0, "", SUM(IF(INDEX(_xlfn._xlws.FILTER(tblPiNHistorical[[CCCM]:[WASH]], tblPiNHistorical[Population Group]=J$5), 0, MATCH($Q$2, tblPiNHistorical[[#Headers],[CCCM]:[WASH]], 0))=$H21, 1, 0))))), "")</f>
        <v/>
      </c>
      <c r="K21" s="92" t="str" cm="1">
        <f t="array" ref="K21">IFERROR(IF(OR($H21="", K20=""), "", IF($H21=2, SUM(IF(INDEX(_xlfn._xlws.FILTER(tblPiNHistorical[[CCCM]:[WASH]], tblPiNHistorical[CCCM - old]=K$5), 0, MATCH($Q$2, tblPiNHistorical[[#Headers],[CCCM]:[WASH]], 0))&gt;1.9, 1, 0)), IF(SUM(IF(INDEX(_xlfn._xlws.FILTER(tblPiNHistorical[[CCCM]:[WASH]], tblPiNHistorical[CCCM - old]=K$5), 0, MATCH($Q$2, tblPiNHistorical[[#Headers],[CCCM]:[WASH]], 0))=$H21, 1, 0))=0, "", SUM(IF(INDEX(_xlfn._xlws.FILTER(tblPiNHistorical[[CCCM]:[WASH]], tblPiNHistorical[CCCM - old]=K$5), 0, MATCH($Q$2, tblPiNHistorical[[#Headers],[CCCM]:[WASH]], 0))=$H21, 1, 0))))), "")</f>
        <v/>
      </c>
      <c r="L21" s="92" t="str" cm="1">
        <f t="array" ref="L21">IFERROR(IF(OR($H21="", L20=""), "", IF($H21=2, SUM(IF(INDEX(_xlfn._xlws.FILTER(tblPiNHistorical[[CCCM]:[WASH]],#REF!= L$5), 0, MATCH($Q$2, tblPiNHistorical[[#Headers],[CCCM]:[WASH]], 0))&gt;1.9, 1, 0)), IF(SUM(IF(INDEX(_xlfn._xlws.FILTER(tblPiNHistorical[[CCCM]:[WASH]],#REF!= L$5), 0, MATCH($Q$2, tblPiNHistorical[[#Headers],[CCCM]:[WASH]], 0))=$H21, 1, 0))=0, "", SUM(IF(INDEX(_xlfn._xlws.FILTER(tblPiNHistorical[[CCCM]:[WASH]],#REF!= L$5), 0, MATCH($Q$2, tblPiNHistorical[[#Headers],[CCCM]:[WASH]], 0))=$H21, 1, 0))))), "")</f>
        <v/>
      </c>
      <c r="M21" s="92" t="str" cm="1">
        <f t="array" ref="M21">IFERROR(IF(OR($H21="", M20=""), "", IF($H21=2, SUM(IF(INDEX(_xlfn._xlws.FILTER(tblPiNHistorical[[CCCM]:[WASH]],#REF!= M$5), 0, MATCH($Q$2, tblPiNHistorical[[#Headers],[CCCM]:[WASH]], 0))&gt;1.9, 1, 0)), IF(SUM(IF(INDEX(_xlfn._xlws.FILTER(tblPiNHistorical[[CCCM]:[WASH]],#REF!= M$5), 0, MATCH($Q$2, tblPiNHistorical[[#Headers],[CCCM]:[WASH]], 0))=$H21, 1, 0))=0, "", SUM(IF(INDEX(_xlfn._xlws.FILTER(tblPiNHistorical[[CCCM]:[WASH]],#REF!= M$5), 0, MATCH($Q$2, tblPiNHistorical[[#Headers],[CCCM]:[WASH]], 0))=$H21, 1, 0))))), "")</f>
        <v/>
      </c>
      <c r="Z21" s="168"/>
    </row>
    <row r="22" spans="1:28">
      <c r="A22" s="94"/>
      <c r="B22" s="92" t="str" cm="1">
        <f t="array" ref="B22">IF($A22="", "", IF(SUM(IF(INDEX(_xlfn._xlws.FILTER(tblPiNAnalysis[[CCCM%]:[WASH%]], tblPiNAnalysis[Population Group]=B$5), 0, MATCH(_xlfn.CONCAT($Q$2, "%"), tblPiNAnalysis[[#Headers],[CCCM%]:[WASH%]], 0))=$A22, 1, 0))=0, "",SUM(IF(INDEX(_xlfn._xlws.FILTER(tblPiNAnalysis[[CCCM%]:[WASH%]], tblPiNAnalysis[Population Group]=B$5), 0, MATCH(_xlfn.CONCAT($Q$2, "%"), tblPiNAnalysis[[#Headers],[CCCM%]:[WASH%]], 0))=$A22, 1, 0))))</f>
        <v/>
      </c>
      <c r="C22" s="92" t="str" cm="1">
        <f t="array" ref="C22">IFERROR(IF(OR($A22="", C$5=""), "", IF(SUM(IF(INDEX(_xlfn._xlws.FILTER(tblPiNAnalysis[[CCCM%]:[WASH%]], tblPiNAnalysis[Population Group]=C$5), 0, MATCH(_xlfn.CONCAT($Q$2, "%"), tblPiNAnalysis[[#Headers],[CCCM%]:[WASH%]], 0))=$A22, 1, 0))=0, "",SUM(IF(INDEX(_xlfn._xlws.FILTER(tblPiNAnalysis[[CCCM%]:[WASH%]], tblPiNAnalysis[Population Group]=C$5), 0, MATCH(_xlfn.CONCAT($Q$2, "%"), tblPiNAnalysis[[#Headers],[CCCM%]:[WASH%]], 0))=$A22, 1, 0)))), "")</f>
        <v/>
      </c>
      <c r="D22" s="92" t="str" cm="1">
        <f t="array" ref="D22">IFERROR(IF(OR($A22="", D$5=""), "", IF(SUM(IF(INDEX(_xlfn._xlws.FILTER(tblPiNAnalysis[[CCCM%]:[WASH%]], tblPiNAnalysis[Population Group]=D$5), 0, MATCH(_xlfn.CONCAT($Q$2, "%"), tblPiNAnalysis[[#Headers],[CCCM%]:[WASH%]], 0))=$A22, 1, 0))=0, "",SUM(IF(INDEX(_xlfn._xlws.FILTER(tblPiNAnalysis[[CCCM%]:[WASH%]], tblPiNAnalysis[Population Group]=D$5), 0, MATCH(_xlfn.CONCAT($Q$2, "%"), tblPiNAnalysis[[#Headers],[CCCM%]:[WASH%]], 0))=$A22, 1, 0)))), "")</f>
        <v/>
      </c>
      <c r="E22" s="92" t="str" cm="1">
        <f t="array" ref="E22">IFERROR(IF(OR($A22="", E$5=""), "", IF(SUM(IF(INDEX(_xlfn._xlws.FILTER(tblPiNAnalysis[[CCCM%]:[WASH%]], tblPiNAnalysis[Population Group]=E$5), 0, MATCH(_xlfn.CONCAT($Q$2, "%"), tblPiNAnalysis[[#Headers],[CCCM%]:[WASH%]], 0))=$A22, 1, 0))=0, "",SUM(IF(INDEX(_xlfn._xlws.FILTER(tblPiNAnalysis[[CCCM%]:[WASH%]], tblPiNAnalysis[Population Group]=E$5), 0, MATCH(_xlfn.CONCAT($Q$2, "%"), tblPiNAnalysis[[#Headers],[CCCM%]:[WASH%]], 0))=$A22, 1, 0)))), "")</f>
        <v/>
      </c>
      <c r="F22" s="92" t="str" cm="1">
        <f t="array" ref="F22">IFERROR(IF(OR($A22="", F$5=""), "", IF(SUM(IF(INDEX(_xlfn._xlws.FILTER(tblPiNAnalysis[[CCCM%]:[WASH%]], tblPiNAnalysis[CCCM]=F$5), 0, MATCH(_xlfn.CONCAT($Q$2, "%"), tblPiNAnalysis[[#Headers],[CCCM%]:[WASH%]], 0))=$A22, 1, 0))=0, "",SUM(IF(INDEX(_xlfn._xlws.FILTER(tblPiNAnalysis[[CCCM%]:[WASH%]], tblPiNAnalysis[CCCM]=F$5), 0, MATCH(_xlfn.CONCAT($Q$2, "%"), tblPiNAnalysis[[#Headers],[CCCM%]:[WASH%]], 0))=$A22, 1, 0)))), "")</f>
        <v/>
      </c>
      <c r="H22" s="94"/>
      <c r="I22" s="92" t="str" cm="1">
        <f t="array" ref="I22">IF($H22="", "", IF($H22=2, SUM(IF(INDEX(_xlfn._xlws.FILTER(tblPiNHistorical[[CCCM]:[WASH]], tblPiNHistorical[Population Group]=I$5), 0, MATCH($Q$2, tblPiNHistorical[[#Headers],[CCCM]:[WASH]], 0))&gt;1.9, 1, 0)), IF(SUM(IF(INDEX(_xlfn._xlws.FILTER(tblPiNHistorical[[CCCM]:[WASH]], tblPiNHistorical[Population Group]=I$5), 0, MATCH($Q$2, tblPiNHistorical[[#Headers],[CCCM]:[WASH]], 0))=$H22, 1, 0))=0, "", SUM(IF(INDEX(_xlfn._xlws.FILTER(tblPiNHistorical[[CCCM]:[WASH]], tblPiNHistorical[Population Group]=I$5), 0, MATCH($Q$2, tblPiNHistorical[[#Headers],[CCCM]:[WASH]], 0))=$H22, 1, 0)))))</f>
        <v/>
      </c>
      <c r="J22" s="92" t="str" cm="1">
        <f t="array" ref="J22">IFERROR(IF(OR($H22="", J21=""), "", IF($H22=2, SUM(IF(INDEX(_xlfn._xlws.FILTER(tblPiNHistorical[[CCCM]:[WASH]], tblPiNHistorical[Population Group]=J$5), 0, MATCH($Q$2, tblPiNHistorical[[#Headers],[CCCM]:[WASH]], 0))&gt;1.9, 1, 0)), IF(SUM(IF(INDEX(_xlfn._xlws.FILTER(tblPiNHistorical[[CCCM]:[WASH]], tblPiNHistorical[Population Group]=J$5), 0, MATCH($Q$2, tblPiNHistorical[[#Headers],[CCCM]:[WASH]], 0))=$H22, 1, 0))=0, "", SUM(IF(INDEX(_xlfn._xlws.FILTER(tblPiNHistorical[[CCCM]:[WASH]], tblPiNHistorical[Population Group]=J$5), 0, MATCH($Q$2, tblPiNHistorical[[#Headers],[CCCM]:[WASH]], 0))=$H22, 1, 0))))), "")</f>
        <v/>
      </c>
      <c r="K22" s="92" t="str" cm="1">
        <f t="array" ref="K22">IFERROR(IF(OR($H22="", K21=""), "", IF($H22=2, SUM(IF(INDEX(_xlfn._xlws.FILTER(tblPiNHistorical[[CCCM]:[WASH]], tblPiNHistorical[CCCM - old]=K$5), 0, MATCH($Q$2, tblPiNHistorical[[#Headers],[CCCM]:[WASH]], 0))&gt;1.9, 1, 0)), IF(SUM(IF(INDEX(_xlfn._xlws.FILTER(tblPiNHistorical[[CCCM]:[WASH]], tblPiNHistorical[CCCM - old]=K$5), 0, MATCH($Q$2, tblPiNHistorical[[#Headers],[CCCM]:[WASH]], 0))=$H22, 1, 0))=0, "", SUM(IF(INDEX(_xlfn._xlws.FILTER(tblPiNHistorical[[CCCM]:[WASH]], tblPiNHistorical[CCCM - old]=K$5), 0, MATCH($Q$2, tblPiNHistorical[[#Headers],[CCCM]:[WASH]], 0))=$H22, 1, 0))))), "")</f>
        <v/>
      </c>
      <c r="L22" s="92" t="str" cm="1">
        <f t="array" ref="L22">IFERROR(IF(OR($H22="", L21=""), "", IF($H22=2, SUM(IF(INDEX(_xlfn._xlws.FILTER(tblPiNHistorical[[CCCM]:[WASH]],#REF!= L$5), 0, MATCH($Q$2, tblPiNHistorical[[#Headers],[CCCM]:[WASH]], 0))&gt;1.9, 1, 0)), IF(SUM(IF(INDEX(_xlfn._xlws.FILTER(tblPiNHistorical[[CCCM]:[WASH]],#REF!= L$5), 0, MATCH($Q$2, tblPiNHistorical[[#Headers],[CCCM]:[WASH]], 0))=$H22, 1, 0))=0, "", SUM(IF(INDEX(_xlfn._xlws.FILTER(tblPiNHistorical[[CCCM]:[WASH]],#REF!= L$5), 0, MATCH($Q$2, tblPiNHistorical[[#Headers],[CCCM]:[WASH]], 0))=$H22, 1, 0))))), "")</f>
        <v/>
      </c>
      <c r="M22" s="92" t="str" cm="1">
        <f t="array" ref="M22">IFERROR(IF(OR($H22="", M21=""), "", IF($H22=2, SUM(IF(INDEX(_xlfn._xlws.FILTER(tblPiNHistorical[[CCCM]:[WASH]],#REF!= M$5), 0, MATCH($Q$2, tblPiNHistorical[[#Headers],[CCCM]:[WASH]], 0))&gt;1.9, 1, 0)), IF(SUM(IF(INDEX(_xlfn._xlws.FILTER(tblPiNHistorical[[CCCM]:[WASH]],#REF!= M$5), 0, MATCH($Q$2, tblPiNHistorical[[#Headers],[CCCM]:[WASH]], 0))=$H22, 1, 0))=0, "", SUM(IF(INDEX(_xlfn._xlws.FILTER(tblPiNHistorical[[CCCM]:[WASH]],#REF!= M$5), 0, MATCH($Q$2, tblPiNHistorical[[#Headers],[CCCM]:[WASH]], 0))=$H22, 1, 0))))), "")</f>
        <v/>
      </c>
      <c r="Z22" s="168"/>
    </row>
    <row r="23" spans="1:28">
      <c r="A23" s="94"/>
      <c r="B23" s="92" t="str" cm="1">
        <f t="array" ref="B23">IF($A23="", "", IF(SUM(IF(INDEX(_xlfn._xlws.FILTER(tblPiNAnalysis[[CCCM%]:[WASH%]], tblPiNAnalysis[Population Group]=B$5), 0, MATCH(_xlfn.CONCAT($Q$2, "%"), tblPiNAnalysis[[#Headers],[CCCM%]:[WASH%]], 0))=$A23, 1, 0))=0, "",SUM(IF(INDEX(_xlfn._xlws.FILTER(tblPiNAnalysis[[CCCM%]:[WASH%]], tblPiNAnalysis[Population Group]=B$5), 0, MATCH(_xlfn.CONCAT($Q$2, "%"), tblPiNAnalysis[[#Headers],[CCCM%]:[WASH%]], 0))=$A23, 1, 0))))</f>
        <v/>
      </c>
      <c r="C23" s="92" t="str" cm="1">
        <f t="array" ref="C23">IFERROR(IF(OR($A23="", C$5=""), "", IF(SUM(IF(INDEX(_xlfn._xlws.FILTER(tblPiNAnalysis[[CCCM%]:[WASH%]], tblPiNAnalysis[Population Group]=C$5), 0, MATCH(_xlfn.CONCAT($Q$2, "%"), tblPiNAnalysis[[#Headers],[CCCM%]:[WASH%]], 0))=$A23, 1, 0))=0, "",SUM(IF(INDEX(_xlfn._xlws.FILTER(tblPiNAnalysis[[CCCM%]:[WASH%]], tblPiNAnalysis[Population Group]=C$5), 0, MATCH(_xlfn.CONCAT($Q$2, "%"), tblPiNAnalysis[[#Headers],[CCCM%]:[WASH%]], 0))=$A23, 1, 0)))), "")</f>
        <v/>
      </c>
      <c r="D23" s="92" t="str" cm="1">
        <f t="array" ref="D23">IFERROR(IF(OR($A23="", D$5=""), "", IF(SUM(IF(INDEX(_xlfn._xlws.FILTER(tblPiNAnalysis[[CCCM%]:[WASH%]], tblPiNAnalysis[Population Group]=D$5), 0, MATCH(_xlfn.CONCAT($Q$2, "%"), tblPiNAnalysis[[#Headers],[CCCM%]:[WASH%]], 0))=$A23, 1, 0))=0, "",SUM(IF(INDEX(_xlfn._xlws.FILTER(tblPiNAnalysis[[CCCM%]:[WASH%]], tblPiNAnalysis[Population Group]=D$5), 0, MATCH(_xlfn.CONCAT($Q$2, "%"), tblPiNAnalysis[[#Headers],[CCCM%]:[WASH%]], 0))=$A23, 1, 0)))), "")</f>
        <v/>
      </c>
      <c r="E23" s="92" t="str" cm="1">
        <f t="array" ref="E23">IFERROR(IF(OR($A23="", E$5=""), "", IF(SUM(IF(INDEX(_xlfn._xlws.FILTER(tblPiNAnalysis[[CCCM%]:[WASH%]], tblPiNAnalysis[Population Group]=E$5), 0, MATCH(_xlfn.CONCAT($Q$2, "%"), tblPiNAnalysis[[#Headers],[CCCM%]:[WASH%]], 0))=$A23, 1, 0))=0, "",SUM(IF(INDEX(_xlfn._xlws.FILTER(tblPiNAnalysis[[CCCM%]:[WASH%]], tblPiNAnalysis[Population Group]=E$5), 0, MATCH(_xlfn.CONCAT($Q$2, "%"), tblPiNAnalysis[[#Headers],[CCCM%]:[WASH%]], 0))=$A23, 1, 0)))), "")</f>
        <v/>
      </c>
      <c r="F23" s="92" t="str" cm="1">
        <f t="array" ref="F23">IFERROR(IF(OR($A23="", F$5=""), "", IF(SUM(IF(INDEX(_xlfn._xlws.FILTER(tblPiNAnalysis[[CCCM%]:[WASH%]], tblPiNAnalysis[CCCM]=F$5), 0, MATCH(_xlfn.CONCAT($Q$2, "%"), tblPiNAnalysis[[#Headers],[CCCM%]:[WASH%]], 0))=$A23, 1, 0))=0, "",SUM(IF(INDEX(_xlfn._xlws.FILTER(tblPiNAnalysis[[CCCM%]:[WASH%]], tblPiNAnalysis[CCCM]=F$5), 0, MATCH(_xlfn.CONCAT($Q$2, "%"), tblPiNAnalysis[[#Headers],[CCCM%]:[WASH%]], 0))=$A23, 1, 0)))), "")</f>
        <v/>
      </c>
      <c r="H23" s="94"/>
      <c r="I23" s="92" t="str" cm="1">
        <f t="array" ref="I23">IF($H23="", "", IF($H23=2, SUM(IF(INDEX(_xlfn._xlws.FILTER(tblPiNHistorical[[CCCM]:[WASH]], tblPiNHistorical[Population Group]=I$5), 0, MATCH($Q$2, tblPiNHistorical[[#Headers],[CCCM]:[WASH]], 0))&gt;1.9, 1, 0)), IF(SUM(IF(INDEX(_xlfn._xlws.FILTER(tblPiNHistorical[[CCCM]:[WASH]], tblPiNHistorical[Population Group]=I$5), 0, MATCH($Q$2, tblPiNHistorical[[#Headers],[CCCM]:[WASH]], 0))=$H23, 1, 0))=0, "", SUM(IF(INDEX(_xlfn._xlws.FILTER(tblPiNHistorical[[CCCM]:[WASH]], tblPiNHistorical[Population Group]=I$5), 0, MATCH($Q$2, tblPiNHistorical[[#Headers],[CCCM]:[WASH]], 0))=$H23, 1, 0)))))</f>
        <v/>
      </c>
      <c r="J23" s="92" t="str" cm="1">
        <f t="array" ref="J23">IFERROR(IF(OR($H23="", J22=""), "", IF($H23=2, SUM(IF(INDEX(_xlfn._xlws.FILTER(tblPiNHistorical[[CCCM]:[WASH]], tblPiNHistorical[Population Group]=J$5), 0, MATCH($Q$2, tblPiNHistorical[[#Headers],[CCCM]:[WASH]], 0))&gt;1.9, 1, 0)), IF(SUM(IF(INDEX(_xlfn._xlws.FILTER(tblPiNHistorical[[CCCM]:[WASH]], tblPiNHistorical[Population Group]=J$5), 0, MATCH($Q$2, tblPiNHistorical[[#Headers],[CCCM]:[WASH]], 0))=$H23, 1, 0))=0, "", SUM(IF(INDEX(_xlfn._xlws.FILTER(tblPiNHistorical[[CCCM]:[WASH]], tblPiNHistorical[Population Group]=J$5), 0, MATCH($Q$2, tblPiNHistorical[[#Headers],[CCCM]:[WASH]], 0))=$H23, 1, 0))))), "")</f>
        <v/>
      </c>
      <c r="K23" s="92" t="str" cm="1">
        <f t="array" ref="K23">IFERROR(IF(OR($H23="", K22=""), "", IF($H23=2, SUM(IF(INDEX(_xlfn._xlws.FILTER(tblPiNHistorical[[CCCM]:[WASH]], tblPiNHistorical[CCCM - old]=K$5), 0, MATCH($Q$2, tblPiNHistorical[[#Headers],[CCCM]:[WASH]], 0))&gt;1.9, 1, 0)), IF(SUM(IF(INDEX(_xlfn._xlws.FILTER(tblPiNHistorical[[CCCM]:[WASH]], tblPiNHistorical[CCCM - old]=K$5), 0, MATCH($Q$2, tblPiNHistorical[[#Headers],[CCCM]:[WASH]], 0))=$H23, 1, 0))=0, "", SUM(IF(INDEX(_xlfn._xlws.FILTER(tblPiNHistorical[[CCCM]:[WASH]], tblPiNHistorical[CCCM - old]=K$5), 0, MATCH($Q$2, tblPiNHistorical[[#Headers],[CCCM]:[WASH]], 0))=$H23, 1, 0))))), "")</f>
        <v/>
      </c>
      <c r="L23" s="92" t="str" cm="1">
        <f t="array" ref="L23">IFERROR(IF(OR($H23="", L22=""), "", IF($H23=2, SUM(IF(INDEX(_xlfn._xlws.FILTER(tblPiNHistorical[[CCCM]:[WASH]],#REF!= L$5), 0, MATCH($Q$2, tblPiNHistorical[[#Headers],[CCCM]:[WASH]], 0))&gt;1.9, 1, 0)), IF(SUM(IF(INDEX(_xlfn._xlws.FILTER(tblPiNHistorical[[CCCM]:[WASH]],#REF!= L$5), 0, MATCH($Q$2, tblPiNHistorical[[#Headers],[CCCM]:[WASH]], 0))=$H23, 1, 0))=0, "", SUM(IF(INDEX(_xlfn._xlws.FILTER(tblPiNHistorical[[CCCM]:[WASH]],#REF!= L$5), 0, MATCH($Q$2, tblPiNHistorical[[#Headers],[CCCM]:[WASH]], 0))=$H23, 1, 0))))), "")</f>
        <v/>
      </c>
      <c r="M23" s="92" t="str" cm="1">
        <f t="array" ref="M23">IFERROR(IF(OR($H23="", M22=""), "", IF($H23=2, SUM(IF(INDEX(_xlfn._xlws.FILTER(tblPiNHistorical[[CCCM]:[WASH]],#REF!= M$5), 0, MATCH($Q$2, tblPiNHistorical[[#Headers],[CCCM]:[WASH]], 0))&gt;1.9, 1, 0)), IF(SUM(IF(INDEX(_xlfn._xlws.FILTER(tblPiNHistorical[[CCCM]:[WASH]],#REF!= M$5), 0, MATCH($Q$2, tblPiNHistorical[[#Headers],[CCCM]:[WASH]], 0))=$H23, 1, 0))=0, "", SUM(IF(INDEX(_xlfn._xlws.FILTER(tblPiNHistorical[[CCCM]:[WASH]],#REF!= M$5), 0, MATCH($Q$2, tblPiNHistorical[[#Headers],[CCCM]:[WASH]], 0))=$H23, 1, 0))))), "")</f>
        <v/>
      </c>
      <c r="Z23" s="168"/>
    </row>
    <row r="24" spans="1:28">
      <c r="A24" s="94"/>
      <c r="B24" s="92" t="str" cm="1">
        <f t="array" ref="B24">IF($A24="", "", IF(SUM(IF(INDEX(_xlfn._xlws.FILTER(tblPiNAnalysis[[CCCM%]:[WASH%]], tblPiNAnalysis[Population Group]=B$5), 0, MATCH(_xlfn.CONCAT($Q$2, "%"), tblPiNAnalysis[[#Headers],[CCCM%]:[WASH%]], 0))=$A24, 1, 0))=0, "",SUM(IF(INDEX(_xlfn._xlws.FILTER(tblPiNAnalysis[[CCCM%]:[WASH%]], tblPiNAnalysis[Population Group]=B$5), 0, MATCH(_xlfn.CONCAT($Q$2, "%"), tblPiNAnalysis[[#Headers],[CCCM%]:[WASH%]], 0))=$A24, 1, 0))))</f>
        <v/>
      </c>
      <c r="C24" s="92" t="str" cm="1">
        <f t="array" ref="C24">IFERROR(IF(OR($A24="", C$5=""), "", IF(SUM(IF(INDEX(_xlfn._xlws.FILTER(tblPiNAnalysis[[CCCM%]:[WASH%]], tblPiNAnalysis[Population Group]=C$5), 0, MATCH(_xlfn.CONCAT($Q$2, "%"), tblPiNAnalysis[[#Headers],[CCCM%]:[WASH%]], 0))=$A24, 1, 0))=0, "",SUM(IF(INDEX(_xlfn._xlws.FILTER(tblPiNAnalysis[[CCCM%]:[WASH%]], tblPiNAnalysis[Population Group]=C$5), 0, MATCH(_xlfn.CONCAT($Q$2, "%"), tblPiNAnalysis[[#Headers],[CCCM%]:[WASH%]], 0))=$A24, 1, 0)))), "")</f>
        <v/>
      </c>
      <c r="D24" s="92" t="str" cm="1">
        <f t="array" ref="D24">IFERROR(IF(OR($A24="", D$5=""), "", IF(SUM(IF(INDEX(_xlfn._xlws.FILTER(tblPiNAnalysis[[CCCM%]:[WASH%]], tblPiNAnalysis[Population Group]=D$5), 0, MATCH(_xlfn.CONCAT($Q$2, "%"), tblPiNAnalysis[[#Headers],[CCCM%]:[WASH%]], 0))=$A24, 1, 0))=0, "",SUM(IF(INDEX(_xlfn._xlws.FILTER(tblPiNAnalysis[[CCCM%]:[WASH%]], tblPiNAnalysis[Population Group]=D$5), 0, MATCH(_xlfn.CONCAT($Q$2, "%"), tblPiNAnalysis[[#Headers],[CCCM%]:[WASH%]], 0))=$A24, 1, 0)))), "")</f>
        <v/>
      </c>
      <c r="E24" s="92" t="str" cm="1">
        <f t="array" ref="E24">IFERROR(IF(OR($A24="", E$5=""), "", IF(SUM(IF(INDEX(_xlfn._xlws.FILTER(tblPiNAnalysis[[CCCM%]:[WASH%]], tblPiNAnalysis[Population Group]=E$5), 0, MATCH(_xlfn.CONCAT($Q$2, "%"), tblPiNAnalysis[[#Headers],[CCCM%]:[WASH%]], 0))=$A24, 1, 0))=0, "",SUM(IF(INDEX(_xlfn._xlws.FILTER(tblPiNAnalysis[[CCCM%]:[WASH%]], tblPiNAnalysis[Population Group]=E$5), 0, MATCH(_xlfn.CONCAT($Q$2, "%"), tblPiNAnalysis[[#Headers],[CCCM%]:[WASH%]], 0))=$A24, 1, 0)))), "")</f>
        <v/>
      </c>
      <c r="F24" s="92" t="str" cm="1">
        <f t="array" ref="F24">IFERROR(IF(OR($A24="", F$5=""), "", IF(SUM(IF(INDEX(_xlfn._xlws.FILTER(tblPiNAnalysis[[CCCM%]:[WASH%]], tblPiNAnalysis[CCCM]=F$5), 0, MATCH(_xlfn.CONCAT($Q$2, "%"), tblPiNAnalysis[[#Headers],[CCCM%]:[WASH%]], 0))=$A24, 1, 0))=0, "",SUM(IF(INDEX(_xlfn._xlws.FILTER(tblPiNAnalysis[[CCCM%]:[WASH%]], tblPiNAnalysis[CCCM]=F$5), 0, MATCH(_xlfn.CONCAT($Q$2, "%"), tblPiNAnalysis[[#Headers],[CCCM%]:[WASH%]], 0))=$A24, 1, 0)))), "")</f>
        <v/>
      </c>
      <c r="H24" s="94"/>
      <c r="I24" s="92" t="str" cm="1">
        <f t="array" ref="I24">IF($H24="", "", IF($H24=2, SUM(IF(INDEX(_xlfn._xlws.FILTER(tblPiNHistorical[[CCCM]:[WASH]], tblPiNHistorical[Population Group]=I$5), 0, MATCH($Q$2, tblPiNHistorical[[#Headers],[CCCM]:[WASH]], 0))&gt;1.9, 1, 0)), IF(SUM(IF(INDEX(_xlfn._xlws.FILTER(tblPiNHistorical[[CCCM]:[WASH]], tblPiNHistorical[Population Group]=I$5), 0, MATCH($Q$2, tblPiNHistorical[[#Headers],[CCCM]:[WASH]], 0))=$H24, 1, 0))=0, "", SUM(IF(INDEX(_xlfn._xlws.FILTER(tblPiNHistorical[[CCCM]:[WASH]], tblPiNHistorical[Population Group]=I$5), 0, MATCH($Q$2, tblPiNHistorical[[#Headers],[CCCM]:[WASH]], 0))=$H24, 1, 0)))))</f>
        <v/>
      </c>
      <c r="J24" s="92" t="str" cm="1">
        <f t="array" ref="J24">IFERROR(IF(OR($H24="", J23=""), "", IF($H24=2, SUM(IF(INDEX(_xlfn._xlws.FILTER(tblPiNHistorical[[CCCM]:[WASH]], tblPiNHistorical[Population Group]=J$5), 0, MATCH($Q$2, tblPiNHistorical[[#Headers],[CCCM]:[WASH]], 0))&gt;1.9, 1, 0)), IF(SUM(IF(INDEX(_xlfn._xlws.FILTER(tblPiNHistorical[[CCCM]:[WASH]], tblPiNHistorical[Population Group]=J$5), 0, MATCH($Q$2, tblPiNHistorical[[#Headers],[CCCM]:[WASH]], 0))=$H24, 1, 0))=0, "", SUM(IF(INDEX(_xlfn._xlws.FILTER(tblPiNHistorical[[CCCM]:[WASH]], tblPiNHistorical[Population Group]=J$5), 0, MATCH($Q$2, tblPiNHistorical[[#Headers],[CCCM]:[WASH]], 0))=$H24, 1, 0))))), "")</f>
        <v/>
      </c>
      <c r="K24" s="92" t="str" cm="1">
        <f t="array" ref="K24">IFERROR(IF(OR($H24="", K23=""), "", IF($H24=2, SUM(IF(INDEX(_xlfn._xlws.FILTER(tblPiNHistorical[[CCCM]:[WASH]], tblPiNHistorical[CCCM - old]=K$5), 0, MATCH($Q$2, tblPiNHistorical[[#Headers],[CCCM]:[WASH]], 0))&gt;1.9, 1, 0)), IF(SUM(IF(INDEX(_xlfn._xlws.FILTER(tblPiNHistorical[[CCCM]:[WASH]], tblPiNHistorical[CCCM - old]=K$5), 0, MATCH($Q$2, tblPiNHistorical[[#Headers],[CCCM]:[WASH]], 0))=$H24, 1, 0))=0, "", SUM(IF(INDEX(_xlfn._xlws.FILTER(tblPiNHistorical[[CCCM]:[WASH]], tblPiNHistorical[CCCM - old]=K$5), 0, MATCH($Q$2, tblPiNHistorical[[#Headers],[CCCM]:[WASH]], 0))=$H24, 1, 0))))), "")</f>
        <v/>
      </c>
      <c r="L24" s="92" t="str" cm="1">
        <f t="array" ref="L24">IFERROR(IF(OR($H24="", L23=""), "", IF($H24=2, SUM(IF(INDEX(_xlfn._xlws.FILTER(tblPiNHistorical[[CCCM]:[WASH]],#REF!= L$5), 0, MATCH($Q$2, tblPiNHistorical[[#Headers],[CCCM]:[WASH]], 0))&gt;1.9, 1, 0)), IF(SUM(IF(INDEX(_xlfn._xlws.FILTER(tblPiNHistorical[[CCCM]:[WASH]],#REF!= L$5), 0, MATCH($Q$2, tblPiNHistorical[[#Headers],[CCCM]:[WASH]], 0))=$H24, 1, 0))=0, "", SUM(IF(INDEX(_xlfn._xlws.FILTER(tblPiNHistorical[[CCCM]:[WASH]],#REF!= L$5), 0, MATCH($Q$2, tblPiNHistorical[[#Headers],[CCCM]:[WASH]], 0))=$H24, 1, 0))))), "")</f>
        <v/>
      </c>
      <c r="M24" s="92" t="str" cm="1">
        <f t="array" ref="M24">IFERROR(IF(OR($H24="", M23=""), "", IF($H24=2, SUM(IF(INDEX(_xlfn._xlws.FILTER(tblPiNHistorical[[CCCM]:[WASH]],#REF!= M$5), 0, MATCH($Q$2, tblPiNHistorical[[#Headers],[CCCM]:[WASH]], 0))&gt;1.9, 1, 0)), IF(SUM(IF(INDEX(_xlfn._xlws.FILTER(tblPiNHistorical[[CCCM]:[WASH]],#REF!= M$5), 0, MATCH($Q$2, tblPiNHistorical[[#Headers],[CCCM]:[WASH]], 0))=$H24, 1, 0))=0, "", SUM(IF(INDEX(_xlfn._xlws.FILTER(tblPiNHistorical[[CCCM]:[WASH]],#REF!= M$5), 0, MATCH($Q$2, tblPiNHistorical[[#Headers],[CCCM]:[WASH]], 0))=$H24, 1, 0))))), "")</f>
        <v/>
      </c>
      <c r="Z24" s="168"/>
    </row>
    <row r="25" spans="1:28">
      <c r="A25" s="94"/>
      <c r="B25" s="92" t="str" cm="1">
        <f t="array" ref="B25">IF($A25="", "", IF(SUM(IF(INDEX(_xlfn._xlws.FILTER(tblPiNAnalysis[[CCCM%]:[WASH%]], tblPiNAnalysis[Population Group]=B$5), 0, MATCH(_xlfn.CONCAT($Q$2, "%"), tblPiNAnalysis[[#Headers],[CCCM%]:[WASH%]], 0))=$A25, 1, 0))=0, "",SUM(IF(INDEX(_xlfn._xlws.FILTER(tblPiNAnalysis[[CCCM%]:[WASH%]], tblPiNAnalysis[Population Group]=B$5), 0, MATCH(_xlfn.CONCAT($Q$2, "%"), tblPiNAnalysis[[#Headers],[CCCM%]:[WASH%]], 0))=$A25, 1, 0))))</f>
        <v/>
      </c>
      <c r="C25" s="92" t="str" cm="1">
        <f t="array" ref="C25">IFERROR(IF(OR($A25="", C$5=""), "", IF(SUM(IF(INDEX(_xlfn._xlws.FILTER(tblPiNAnalysis[[CCCM%]:[WASH%]], tblPiNAnalysis[Population Group]=C$5), 0, MATCH(_xlfn.CONCAT($Q$2, "%"), tblPiNAnalysis[[#Headers],[CCCM%]:[WASH%]], 0))=$A25, 1, 0))=0, "",SUM(IF(INDEX(_xlfn._xlws.FILTER(tblPiNAnalysis[[CCCM%]:[WASH%]], tblPiNAnalysis[Population Group]=C$5), 0, MATCH(_xlfn.CONCAT($Q$2, "%"), tblPiNAnalysis[[#Headers],[CCCM%]:[WASH%]], 0))=$A25, 1, 0)))), "")</f>
        <v/>
      </c>
      <c r="D25" s="92" t="str" cm="1">
        <f t="array" ref="D25">IFERROR(IF(OR($A25="", D$5=""), "", IF(SUM(IF(INDEX(_xlfn._xlws.FILTER(tblPiNAnalysis[[CCCM%]:[WASH%]], tblPiNAnalysis[Population Group]=D$5), 0, MATCH(_xlfn.CONCAT($Q$2, "%"), tblPiNAnalysis[[#Headers],[CCCM%]:[WASH%]], 0))=$A25, 1, 0))=0, "",SUM(IF(INDEX(_xlfn._xlws.FILTER(tblPiNAnalysis[[CCCM%]:[WASH%]], tblPiNAnalysis[Population Group]=D$5), 0, MATCH(_xlfn.CONCAT($Q$2, "%"), tblPiNAnalysis[[#Headers],[CCCM%]:[WASH%]], 0))=$A25, 1, 0)))), "")</f>
        <v/>
      </c>
      <c r="E25" s="92" t="str" cm="1">
        <f t="array" ref="E25">IFERROR(IF(OR($A25="", E$5=""), "", IF(SUM(IF(INDEX(_xlfn._xlws.FILTER(tblPiNAnalysis[[CCCM%]:[WASH%]], tblPiNAnalysis[Population Group]=E$5), 0, MATCH(_xlfn.CONCAT($Q$2, "%"), tblPiNAnalysis[[#Headers],[CCCM%]:[WASH%]], 0))=$A25, 1, 0))=0, "",SUM(IF(INDEX(_xlfn._xlws.FILTER(tblPiNAnalysis[[CCCM%]:[WASH%]], tblPiNAnalysis[Population Group]=E$5), 0, MATCH(_xlfn.CONCAT($Q$2, "%"), tblPiNAnalysis[[#Headers],[CCCM%]:[WASH%]], 0))=$A25, 1, 0)))), "")</f>
        <v/>
      </c>
      <c r="F25" s="92" t="str" cm="1">
        <f t="array" ref="F25">IFERROR(IF(OR($A25="", F$5=""), "", IF(SUM(IF(INDEX(_xlfn._xlws.FILTER(tblPiNAnalysis[[CCCM%]:[WASH%]], tblPiNAnalysis[CCCM]=F$5), 0, MATCH(_xlfn.CONCAT($Q$2, "%"), tblPiNAnalysis[[#Headers],[CCCM%]:[WASH%]], 0))=$A25, 1, 0))=0, "",SUM(IF(INDEX(_xlfn._xlws.FILTER(tblPiNAnalysis[[CCCM%]:[WASH%]], tblPiNAnalysis[CCCM]=F$5), 0, MATCH(_xlfn.CONCAT($Q$2, "%"), tblPiNAnalysis[[#Headers],[CCCM%]:[WASH%]], 0))=$A25, 1, 0)))), "")</f>
        <v/>
      </c>
      <c r="H25" s="94"/>
      <c r="I25" s="92" t="str" cm="1">
        <f t="array" ref="I25">IF($H25="", "", IF($H25=2, SUM(IF(INDEX(_xlfn._xlws.FILTER(tblPiNHistorical[[CCCM]:[WASH]], tblPiNHistorical[Population Group]=I$5), 0, MATCH($Q$2, tblPiNHistorical[[#Headers],[CCCM]:[WASH]], 0))&gt;1.9, 1, 0)), IF(SUM(IF(INDEX(_xlfn._xlws.FILTER(tblPiNHistorical[[CCCM]:[WASH]], tblPiNHistorical[Population Group]=I$5), 0, MATCH($Q$2, tblPiNHistorical[[#Headers],[CCCM]:[WASH]], 0))=$H25, 1, 0))=0, "", SUM(IF(INDEX(_xlfn._xlws.FILTER(tblPiNHistorical[[CCCM]:[WASH]], tblPiNHistorical[Population Group]=I$5), 0, MATCH($Q$2, tblPiNHistorical[[#Headers],[CCCM]:[WASH]], 0))=$H25, 1, 0)))))</f>
        <v/>
      </c>
      <c r="J25" s="92" t="str" cm="1">
        <f t="array" ref="J25">IFERROR(IF(OR($H25="", J24=""), "", IF($H25=2, SUM(IF(INDEX(_xlfn._xlws.FILTER(tblPiNHistorical[[CCCM]:[WASH]], tblPiNHistorical[Population Group]=J$5), 0, MATCH($Q$2, tblPiNHistorical[[#Headers],[CCCM]:[WASH]], 0))&gt;1.9, 1, 0)), IF(SUM(IF(INDEX(_xlfn._xlws.FILTER(tblPiNHistorical[[CCCM]:[WASH]], tblPiNHistorical[Population Group]=J$5), 0, MATCH($Q$2, tblPiNHistorical[[#Headers],[CCCM]:[WASH]], 0))=$H25, 1, 0))=0, "", SUM(IF(INDEX(_xlfn._xlws.FILTER(tblPiNHistorical[[CCCM]:[WASH]], tblPiNHistorical[Population Group]=J$5), 0, MATCH($Q$2, tblPiNHistorical[[#Headers],[CCCM]:[WASH]], 0))=$H25, 1, 0))))), "")</f>
        <v/>
      </c>
      <c r="K25" s="92" t="str" cm="1">
        <f t="array" ref="K25">IFERROR(IF(OR($H25="", K24=""), "", IF($H25=2, SUM(IF(INDEX(_xlfn._xlws.FILTER(tblPiNHistorical[[CCCM]:[WASH]], tblPiNHistorical[CCCM - old]=K$5), 0, MATCH($Q$2, tblPiNHistorical[[#Headers],[CCCM]:[WASH]], 0))&gt;1.9, 1, 0)), IF(SUM(IF(INDEX(_xlfn._xlws.FILTER(tblPiNHistorical[[CCCM]:[WASH]], tblPiNHistorical[CCCM - old]=K$5), 0, MATCH($Q$2, tblPiNHistorical[[#Headers],[CCCM]:[WASH]], 0))=$H25, 1, 0))=0, "", SUM(IF(INDEX(_xlfn._xlws.FILTER(tblPiNHistorical[[CCCM]:[WASH]], tblPiNHistorical[CCCM - old]=K$5), 0, MATCH($Q$2, tblPiNHistorical[[#Headers],[CCCM]:[WASH]], 0))=$H25, 1, 0))))), "")</f>
        <v/>
      </c>
      <c r="L25" s="92" t="str" cm="1">
        <f t="array" ref="L25">IFERROR(IF(OR($H25="", L24=""), "", IF($H25=2, SUM(IF(INDEX(_xlfn._xlws.FILTER(tblPiNHistorical[[CCCM]:[WASH]],#REF!= L$5), 0, MATCH($Q$2, tblPiNHistorical[[#Headers],[CCCM]:[WASH]], 0))&gt;1.9, 1, 0)), IF(SUM(IF(INDEX(_xlfn._xlws.FILTER(tblPiNHistorical[[CCCM]:[WASH]],#REF!= L$5), 0, MATCH($Q$2, tblPiNHistorical[[#Headers],[CCCM]:[WASH]], 0))=$H25, 1, 0))=0, "", SUM(IF(INDEX(_xlfn._xlws.FILTER(tblPiNHistorical[[CCCM]:[WASH]],#REF!= L$5), 0, MATCH($Q$2, tblPiNHistorical[[#Headers],[CCCM]:[WASH]], 0))=$H25, 1, 0))))), "")</f>
        <v/>
      </c>
      <c r="M25" s="92" t="str" cm="1">
        <f t="array" ref="M25">IFERROR(IF(OR($H25="", M24=""), "", IF($H25=2, SUM(IF(INDEX(_xlfn._xlws.FILTER(tblPiNHistorical[[CCCM]:[WASH]],#REF!= M$5), 0, MATCH($Q$2, tblPiNHistorical[[#Headers],[CCCM]:[WASH]], 0))&gt;1.9, 1, 0)), IF(SUM(IF(INDEX(_xlfn._xlws.FILTER(tblPiNHistorical[[CCCM]:[WASH]],#REF!= M$5), 0, MATCH($Q$2, tblPiNHistorical[[#Headers],[CCCM]:[WASH]], 0))=$H25, 1, 0))=0, "", SUM(IF(INDEX(_xlfn._xlws.FILTER(tblPiNHistorical[[CCCM]:[WASH]],#REF!= M$5), 0, MATCH($Q$2, tblPiNHistorical[[#Headers],[CCCM]:[WASH]], 0))=$H25, 1, 0))))), "")</f>
        <v/>
      </c>
      <c r="Z25" s="168"/>
    </row>
    <row r="26" spans="1:28">
      <c r="A26" s="94"/>
      <c r="B26" s="92" t="str" cm="1">
        <f t="array" ref="B26">IF($A26="", "", IF(SUM(IF(INDEX(_xlfn._xlws.FILTER(tblPiNAnalysis[[CCCM%]:[WASH%]], tblPiNAnalysis[Population Group]=B$5), 0, MATCH(_xlfn.CONCAT($Q$2, "%"), tblPiNAnalysis[[#Headers],[CCCM%]:[WASH%]], 0))=$A26, 1, 0))=0, "",SUM(IF(INDEX(_xlfn._xlws.FILTER(tblPiNAnalysis[[CCCM%]:[WASH%]], tblPiNAnalysis[Population Group]=B$5), 0, MATCH(_xlfn.CONCAT($Q$2, "%"), tblPiNAnalysis[[#Headers],[CCCM%]:[WASH%]], 0))=$A26, 1, 0))))</f>
        <v/>
      </c>
      <c r="C26" s="92" t="str" cm="1">
        <f t="array" ref="C26">IFERROR(IF(OR($A26="", C$5=""), "", IF(SUM(IF(INDEX(_xlfn._xlws.FILTER(tblPiNAnalysis[[CCCM%]:[WASH%]], tblPiNAnalysis[Population Group]=C$5), 0, MATCH(_xlfn.CONCAT($Q$2, "%"), tblPiNAnalysis[[#Headers],[CCCM%]:[WASH%]], 0))=$A26, 1, 0))=0, "",SUM(IF(INDEX(_xlfn._xlws.FILTER(tblPiNAnalysis[[CCCM%]:[WASH%]], tblPiNAnalysis[Population Group]=C$5), 0, MATCH(_xlfn.CONCAT($Q$2, "%"), tblPiNAnalysis[[#Headers],[CCCM%]:[WASH%]], 0))=$A26, 1, 0)))), "")</f>
        <v/>
      </c>
      <c r="D26" s="92" t="str" cm="1">
        <f t="array" ref="D26">IFERROR(IF(OR($A26="", D$5=""), "", IF(SUM(IF(INDEX(_xlfn._xlws.FILTER(tblPiNAnalysis[[CCCM%]:[WASH%]], tblPiNAnalysis[Population Group]=D$5), 0, MATCH(_xlfn.CONCAT($Q$2, "%"), tblPiNAnalysis[[#Headers],[CCCM%]:[WASH%]], 0))=$A26, 1, 0))=0, "",SUM(IF(INDEX(_xlfn._xlws.FILTER(tblPiNAnalysis[[CCCM%]:[WASH%]], tblPiNAnalysis[Population Group]=D$5), 0, MATCH(_xlfn.CONCAT($Q$2, "%"), tblPiNAnalysis[[#Headers],[CCCM%]:[WASH%]], 0))=$A26, 1, 0)))), "")</f>
        <v/>
      </c>
      <c r="E26" s="92" t="str" cm="1">
        <f t="array" ref="E26">IFERROR(IF(OR($A26="", E$5=""), "", IF(SUM(IF(INDEX(_xlfn._xlws.FILTER(tblPiNAnalysis[[CCCM%]:[WASH%]], tblPiNAnalysis[Population Group]=E$5), 0, MATCH(_xlfn.CONCAT($Q$2, "%"), tblPiNAnalysis[[#Headers],[CCCM%]:[WASH%]], 0))=$A26, 1, 0))=0, "",SUM(IF(INDEX(_xlfn._xlws.FILTER(tblPiNAnalysis[[CCCM%]:[WASH%]], tblPiNAnalysis[Population Group]=E$5), 0, MATCH(_xlfn.CONCAT($Q$2, "%"), tblPiNAnalysis[[#Headers],[CCCM%]:[WASH%]], 0))=$A26, 1, 0)))), "")</f>
        <v/>
      </c>
      <c r="F26" s="92" t="str" cm="1">
        <f t="array" ref="F26">IFERROR(IF(OR($A26="", F$5=""), "", IF(SUM(IF(INDEX(_xlfn._xlws.FILTER(tblPiNAnalysis[[CCCM%]:[WASH%]], tblPiNAnalysis[CCCM]=F$5), 0, MATCH(_xlfn.CONCAT($Q$2, "%"), tblPiNAnalysis[[#Headers],[CCCM%]:[WASH%]], 0))=$A26, 1, 0))=0, "",SUM(IF(INDEX(_xlfn._xlws.FILTER(tblPiNAnalysis[[CCCM%]:[WASH%]], tblPiNAnalysis[CCCM]=F$5), 0, MATCH(_xlfn.CONCAT($Q$2, "%"), tblPiNAnalysis[[#Headers],[CCCM%]:[WASH%]], 0))=$A26, 1, 0)))), "")</f>
        <v/>
      </c>
      <c r="H26" s="94"/>
      <c r="I26" s="92" t="str" cm="1">
        <f t="array" ref="I26">IF($H26="", "", IF($H26=2, SUM(IF(INDEX(_xlfn._xlws.FILTER(tblPiNHistorical[[CCCM]:[WASH]], tblPiNHistorical[Population Group]=I$5), 0, MATCH($Q$2, tblPiNHistorical[[#Headers],[CCCM]:[WASH]], 0))&gt;1.9, 1, 0)), IF(SUM(IF(INDEX(_xlfn._xlws.FILTER(tblPiNHistorical[[CCCM]:[WASH]], tblPiNHistorical[Population Group]=I$5), 0, MATCH($Q$2, tblPiNHistorical[[#Headers],[CCCM]:[WASH]], 0))=$H26, 1, 0))=0, "", SUM(IF(INDEX(_xlfn._xlws.FILTER(tblPiNHistorical[[CCCM]:[WASH]], tblPiNHistorical[Population Group]=I$5), 0, MATCH($Q$2, tblPiNHistorical[[#Headers],[CCCM]:[WASH]], 0))=$H26, 1, 0)))))</f>
        <v/>
      </c>
      <c r="J26" s="92" t="str" cm="1">
        <f t="array" ref="J26">IFERROR(IF(OR($H26="", J25=""), "", IF($H26=2, SUM(IF(INDEX(_xlfn._xlws.FILTER(tblPiNHistorical[[CCCM]:[WASH]], tblPiNHistorical[Population Group]=J$5), 0, MATCH($Q$2, tblPiNHistorical[[#Headers],[CCCM]:[WASH]], 0))&gt;1.9, 1, 0)), IF(SUM(IF(INDEX(_xlfn._xlws.FILTER(tblPiNHistorical[[CCCM]:[WASH]], tblPiNHistorical[Population Group]=J$5), 0, MATCH($Q$2, tblPiNHistorical[[#Headers],[CCCM]:[WASH]], 0))=$H26, 1, 0))=0, "", SUM(IF(INDEX(_xlfn._xlws.FILTER(tblPiNHistorical[[CCCM]:[WASH]], tblPiNHistorical[Population Group]=J$5), 0, MATCH($Q$2, tblPiNHistorical[[#Headers],[CCCM]:[WASH]], 0))=$H26, 1, 0))))), "")</f>
        <v/>
      </c>
      <c r="K26" s="92" t="str" cm="1">
        <f t="array" ref="K26">IFERROR(IF(OR($H26="", K25=""), "", IF($H26=2, SUM(IF(INDEX(_xlfn._xlws.FILTER(tblPiNHistorical[[CCCM]:[WASH]], tblPiNHistorical[CCCM - old]=K$5), 0, MATCH($Q$2, tblPiNHistorical[[#Headers],[CCCM]:[WASH]], 0))&gt;1.9, 1, 0)), IF(SUM(IF(INDEX(_xlfn._xlws.FILTER(tblPiNHistorical[[CCCM]:[WASH]], tblPiNHistorical[CCCM - old]=K$5), 0, MATCH($Q$2, tblPiNHistorical[[#Headers],[CCCM]:[WASH]], 0))=$H26, 1, 0))=0, "", SUM(IF(INDEX(_xlfn._xlws.FILTER(tblPiNHistorical[[CCCM]:[WASH]], tblPiNHistorical[CCCM - old]=K$5), 0, MATCH($Q$2, tblPiNHistorical[[#Headers],[CCCM]:[WASH]], 0))=$H26, 1, 0))))), "")</f>
        <v/>
      </c>
      <c r="L26" s="92" t="str" cm="1">
        <f t="array" ref="L26">IFERROR(IF(OR($H26="", L25=""), "", IF($H26=2, SUM(IF(INDEX(_xlfn._xlws.FILTER(tblPiNHistorical[[CCCM]:[WASH]],#REF!= L$5), 0, MATCH($Q$2, tblPiNHistorical[[#Headers],[CCCM]:[WASH]], 0))&gt;1.9, 1, 0)), IF(SUM(IF(INDEX(_xlfn._xlws.FILTER(tblPiNHistorical[[CCCM]:[WASH]],#REF!= L$5), 0, MATCH($Q$2, tblPiNHistorical[[#Headers],[CCCM]:[WASH]], 0))=$H26, 1, 0))=0, "", SUM(IF(INDEX(_xlfn._xlws.FILTER(tblPiNHistorical[[CCCM]:[WASH]],#REF!= L$5), 0, MATCH($Q$2, tblPiNHistorical[[#Headers],[CCCM]:[WASH]], 0))=$H26, 1, 0))))), "")</f>
        <v/>
      </c>
      <c r="M26" s="92" t="str" cm="1">
        <f t="array" ref="M26">IFERROR(IF(OR($H26="", M25=""), "", IF($H26=2, SUM(IF(INDEX(_xlfn._xlws.FILTER(tblPiNHistorical[[CCCM]:[WASH]],#REF!= M$5), 0, MATCH($Q$2, tblPiNHistorical[[#Headers],[CCCM]:[WASH]], 0))&gt;1.9, 1, 0)), IF(SUM(IF(INDEX(_xlfn._xlws.FILTER(tblPiNHistorical[[CCCM]:[WASH]],#REF!= M$5), 0, MATCH($Q$2, tblPiNHistorical[[#Headers],[CCCM]:[WASH]], 0))=$H26, 1, 0))=0, "", SUM(IF(INDEX(_xlfn._xlws.FILTER(tblPiNHistorical[[CCCM]:[WASH]],#REF!= M$5), 0, MATCH($Q$2, tblPiNHistorical[[#Headers],[CCCM]:[WASH]], 0))=$H26, 1, 0))))), "")</f>
        <v/>
      </c>
      <c r="Z26" s="168"/>
    </row>
    <row r="27" spans="1:28">
      <c r="A27" s="94"/>
      <c r="B27" s="92" t="str" cm="1">
        <f t="array" ref="B27">IF($A27="", "", IF(SUM(IF(INDEX(_xlfn._xlws.FILTER(tblPiNAnalysis[[CCCM%]:[WASH%]], tblPiNAnalysis[Population Group]=B$5), 0, MATCH(_xlfn.CONCAT($Q$2, "%"), tblPiNAnalysis[[#Headers],[CCCM%]:[WASH%]], 0))=$A27, 1, 0))=0, "",SUM(IF(INDEX(_xlfn._xlws.FILTER(tblPiNAnalysis[[CCCM%]:[WASH%]], tblPiNAnalysis[Population Group]=B$5), 0, MATCH(_xlfn.CONCAT($Q$2, "%"), tblPiNAnalysis[[#Headers],[CCCM%]:[WASH%]], 0))=$A27, 1, 0))))</f>
        <v/>
      </c>
      <c r="C27" s="92" t="str" cm="1">
        <f t="array" ref="C27">IFERROR(IF(OR($A27="", C$5=""), "", IF(SUM(IF(INDEX(_xlfn._xlws.FILTER(tblPiNAnalysis[[CCCM%]:[WASH%]], tblPiNAnalysis[Population Group]=C$5), 0, MATCH(_xlfn.CONCAT($Q$2, "%"), tblPiNAnalysis[[#Headers],[CCCM%]:[WASH%]], 0))=$A27, 1, 0))=0, "",SUM(IF(INDEX(_xlfn._xlws.FILTER(tblPiNAnalysis[[CCCM%]:[WASH%]], tblPiNAnalysis[Population Group]=C$5), 0, MATCH(_xlfn.CONCAT($Q$2, "%"), tblPiNAnalysis[[#Headers],[CCCM%]:[WASH%]], 0))=$A27, 1, 0)))), "")</f>
        <v/>
      </c>
      <c r="D27" s="92" t="str" cm="1">
        <f t="array" ref="D27">IFERROR(IF(OR($A27="", D$5=""), "", IF(SUM(IF(INDEX(_xlfn._xlws.FILTER(tblPiNAnalysis[[CCCM%]:[WASH%]], tblPiNAnalysis[Population Group]=D$5), 0, MATCH(_xlfn.CONCAT($Q$2, "%"), tblPiNAnalysis[[#Headers],[CCCM%]:[WASH%]], 0))=$A27, 1, 0))=0, "",SUM(IF(INDEX(_xlfn._xlws.FILTER(tblPiNAnalysis[[CCCM%]:[WASH%]], tblPiNAnalysis[Population Group]=D$5), 0, MATCH(_xlfn.CONCAT($Q$2, "%"), tblPiNAnalysis[[#Headers],[CCCM%]:[WASH%]], 0))=$A27, 1, 0)))), "")</f>
        <v/>
      </c>
      <c r="E27" s="92" t="str" cm="1">
        <f t="array" ref="E27">IFERROR(IF(OR($A27="", E$5=""), "", IF(SUM(IF(INDEX(_xlfn._xlws.FILTER(tblPiNAnalysis[[CCCM%]:[WASH%]], tblPiNAnalysis[Population Group]=E$5), 0, MATCH(_xlfn.CONCAT($Q$2, "%"), tblPiNAnalysis[[#Headers],[CCCM%]:[WASH%]], 0))=$A27, 1, 0))=0, "",SUM(IF(INDEX(_xlfn._xlws.FILTER(tblPiNAnalysis[[CCCM%]:[WASH%]], tblPiNAnalysis[Population Group]=E$5), 0, MATCH(_xlfn.CONCAT($Q$2, "%"), tblPiNAnalysis[[#Headers],[CCCM%]:[WASH%]], 0))=$A27, 1, 0)))), "")</f>
        <v/>
      </c>
      <c r="F27" s="92" t="str" cm="1">
        <f t="array" ref="F27">IFERROR(IF(OR($A27="", F$5=""), "", IF(SUM(IF(INDEX(_xlfn._xlws.FILTER(tblPiNAnalysis[[CCCM%]:[WASH%]], tblPiNAnalysis[CCCM]=F$5), 0, MATCH(_xlfn.CONCAT($Q$2, "%"), tblPiNAnalysis[[#Headers],[CCCM%]:[WASH%]], 0))=$A27, 1, 0))=0, "",SUM(IF(INDEX(_xlfn._xlws.FILTER(tblPiNAnalysis[[CCCM%]:[WASH%]], tblPiNAnalysis[CCCM]=F$5), 0, MATCH(_xlfn.CONCAT($Q$2, "%"), tblPiNAnalysis[[#Headers],[CCCM%]:[WASH%]], 0))=$A27, 1, 0)))), "")</f>
        <v/>
      </c>
      <c r="H27" s="94"/>
      <c r="I27" s="92" t="str" cm="1">
        <f t="array" ref="I27">IF($H27="", "", IF($H27=2, SUM(IF(INDEX(_xlfn._xlws.FILTER(tblPiNHistorical[[CCCM]:[WASH]], tblPiNHistorical[Population Group]=I$5), 0, MATCH($Q$2, tblPiNHistorical[[#Headers],[CCCM]:[WASH]], 0))&gt;1.9, 1, 0)), IF(SUM(IF(INDEX(_xlfn._xlws.FILTER(tblPiNHistorical[[CCCM]:[WASH]], tblPiNHistorical[Population Group]=I$5), 0, MATCH($Q$2, tblPiNHistorical[[#Headers],[CCCM]:[WASH]], 0))=$H27, 1, 0))=0, "", SUM(IF(INDEX(_xlfn._xlws.FILTER(tblPiNHistorical[[CCCM]:[WASH]], tblPiNHistorical[Population Group]=I$5), 0, MATCH($Q$2, tblPiNHistorical[[#Headers],[CCCM]:[WASH]], 0))=$H27, 1, 0)))))</f>
        <v/>
      </c>
      <c r="J27" s="92" t="str" cm="1">
        <f t="array" ref="J27">IFERROR(IF(OR($H27="", J26=""), "", IF($H27=2, SUM(IF(INDEX(_xlfn._xlws.FILTER(tblPiNHistorical[[CCCM]:[WASH]], tblPiNHistorical[Population Group]=J$5), 0, MATCH($Q$2, tblPiNHistorical[[#Headers],[CCCM]:[WASH]], 0))&gt;1.9, 1, 0)), IF(SUM(IF(INDEX(_xlfn._xlws.FILTER(tblPiNHistorical[[CCCM]:[WASH]], tblPiNHistorical[Population Group]=J$5), 0, MATCH($Q$2, tblPiNHistorical[[#Headers],[CCCM]:[WASH]], 0))=$H27, 1, 0))=0, "", SUM(IF(INDEX(_xlfn._xlws.FILTER(tblPiNHistorical[[CCCM]:[WASH]], tblPiNHistorical[Population Group]=J$5), 0, MATCH($Q$2, tblPiNHistorical[[#Headers],[CCCM]:[WASH]], 0))=$H27, 1, 0))))), "")</f>
        <v/>
      </c>
      <c r="K27" s="92" t="str" cm="1">
        <f t="array" ref="K27">IFERROR(IF(OR($H27="", K26=""), "", IF($H27=2, SUM(IF(INDEX(_xlfn._xlws.FILTER(tblPiNHistorical[[CCCM]:[WASH]], tblPiNHistorical[CCCM - old]=K$5), 0, MATCH($Q$2, tblPiNHistorical[[#Headers],[CCCM]:[WASH]], 0))&gt;1.9, 1, 0)), IF(SUM(IF(INDEX(_xlfn._xlws.FILTER(tblPiNHistorical[[CCCM]:[WASH]], tblPiNHistorical[CCCM - old]=K$5), 0, MATCH($Q$2, tblPiNHistorical[[#Headers],[CCCM]:[WASH]], 0))=$H27, 1, 0))=0, "", SUM(IF(INDEX(_xlfn._xlws.FILTER(tblPiNHistorical[[CCCM]:[WASH]], tblPiNHistorical[CCCM - old]=K$5), 0, MATCH($Q$2, tblPiNHistorical[[#Headers],[CCCM]:[WASH]], 0))=$H27, 1, 0))))), "")</f>
        <v/>
      </c>
      <c r="L27" s="92" t="str" cm="1">
        <f t="array" ref="L27">IFERROR(IF(OR($H27="", L26=""), "", IF($H27=2, SUM(IF(INDEX(_xlfn._xlws.FILTER(tblPiNHistorical[[CCCM]:[WASH]],#REF!= L$5), 0, MATCH($Q$2, tblPiNHistorical[[#Headers],[CCCM]:[WASH]], 0))&gt;1.9, 1, 0)), IF(SUM(IF(INDEX(_xlfn._xlws.FILTER(tblPiNHistorical[[CCCM]:[WASH]],#REF!= L$5), 0, MATCH($Q$2, tblPiNHistorical[[#Headers],[CCCM]:[WASH]], 0))=$H27, 1, 0))=0, "", SUM(IF(INDEX(_xlfn._xlws.FILTER(tblPiNHistorical[[CCCM]:[WASH]],#REF!= L$5), 0, MATCH($Q$2, tblPiNHistorical[[#Headers],[CCCM]:[WASH]], 0))=$H27, 1, 0))))), "")</f>
        <v/>
      </c>
      <c r="M27" s="92" t="str" cm="1">
        <f t="array" ref="M27">IFERROR(IF(OR($H27="", M26=""), "", IF($H27=2, SUM(IF(INDEX(_xlfn._xlws.FILTER(tblPiNHistorical[[CCCM]:[WASH]],#REF!= M$5), 0, MATCH($Q$2, tblPiNHistorical[[#Headers],[CCCM]:[WASH]], 0))&gt;1.9, 1, 0)), IF(SUM(IF(INDEX(_xlfn._xlws.FILTER(tblPiNHistorical[[CCCM]:[WASH]],#REF!= M$5), 0, MATCH($Q$2, tblPiNHistorical[[#Headers],[CCCM]:[WASH]], 0))=$H27, 1, 0))=0, "", SUM(IF(INDEX(_xlfn._xlws.FILTER(tblPiNHistorical[[CCCM]:[WASH]],#REF!= M$5), 0, MATCH($Q$2, tblPiNHistorical[[#Headers],[CCCM]:[WASH]], 0))=$H27, 1, 0))))), "")</f>
        <v/>
      </c>
      <c r="Z27" s="168"/>
    </row>
    <row r="28" spans="1:28">
      <c r="A28" s="94"/>
      <c r="B28" s="92" t="str" cm="1">
        <f t="array" ref="B28">IF($A28="", "", IF(SUM(IF(INDEX(_xlfn._xlws.FILTER(tblPiNAnalysis[[CCCM%]:[WASH%]], tblPiNAnalysis[Population Group]=B$5), 0, MATCH(_xlfn.CONCAT($Q$2, "%"), tblPiNAnalysis[[#Headers],[CCCM%]:[WASH%]], 0))=$A28, 1, 0))=0, "",SUM(IF(INDEX(_xlfn._xlws.FILTER(tblPiNAnalysis[[CCCM%]:[WASH%]], tblPiNAnalysis[Population Group]=B$5), 0, MATCH(_xlfn.CONCAT($Q$2, "%"), tblPiNAnalysis[[#Headers],[CCCM%]:[WASH%]], 0))=$A28, 1, 0))))</f>
        <v/>
      </c>
      <c r="C28" s="92" t="str" cm="1">
        <f t="array" ref="C28">IFERROR(IF(OR($A28="", C$5=""), "", IF(SUM(IF(INDEX(_xlfn._xlws.FILTER(tblPiNAnalysis[[CCCM%]:[WASH%]], tblPiNAnalysis[Population Group]=C$5), 0, MATCH(_xlfn.CONCAT($Q$2, "%"), tblPiNAnalysis[[#Headers],[CCCM%]:[WASH%]], 0))=$A28, 1, 0))=0, "",SUM(IF(INDEX(_xlfn._xlws.FILTER(tblPiNAnalysis[[CCCM%]:[WASH%]], tblPiNAnalysis[Population Group]=C$5), 0, MATCH(_xlfn.CONCAT($Q$2, "%"), tblPiNAnalysis[[#Headers],[CCCM%]:[WASH%]], 0))=$A28, 1, 0)))), "")</f>
        <v/>
      </c>
      <c r="D28" s="92" t="str" cm="1">
        <f t="array" ref="D28">IFERROR(IF(OR($A28="", D$5=""), "", IF(SUM(IF(INDEX(_xlfn._xlws.FILTER(tblPiNAnalysis[[CCCM%]:[WASH%]], tblPiNAnalysis[Population Group]=D$5), 0, MATCH(_xlfn.CONCAT($Q$2, "%"), tblPiNAnalysis[[#Headers],[CCCM%]:[WASH%]], 0))=$A28, 1, 0))=0, "",SUM(IF(INDEX(_xlfn._xlws.FILTER(tblPiNAnalysis[[CCCM%]:[WASH%]], tblPiNAnalysis[Population Group]=D$5), 0, MATCH(_xlfn.CONCAT($Q$2, "%"), tblPiNAnalysis[[#Headers],[CCCM%]:[WASH%]], 0))=$A28, 1, 0)))), "")</f>
        <v/>
      </c>
      <c r="E28" s="92" t="str" cm="1">
        <f t="array" ref="E28">IFERROR(IF(OR($A28="", E$5=""), "", IF(SUM(IF(INDEX(_xlfn._xlws.FILTER(tblPiNAnalysis[[CCCM%]:[WASH%]], tblPiNAnalysis[Population Group]=E$5), 0, MATCH(_xlfn.CONCAT($Q$2, "%"), tblPiNAnalysis[[#Headers],[CCCM%]:[WASH%]], 0))=$A28, 1, 0))=0, "",SUM(IF(INDEX(_xlfn._xlws.FILTER(tblPiNAnalysis[[CCCM%]:[WASH%]], tblPiNAnalysis[Population Group]=E$5), 0, MATCH(_xlfn.CONCAT($Q$2, "%"), tblPiNAnalysis[[#Headers],[CCCM%]:[WASH%]], 0))=$A28, 1, 0)))), "")</f>
        <v/>
      </c>
      <c r="F28" s="92" t="str" cm="1">
        <f t="array" ref="F28">IFERROR(IF(OR($A28="", F$5=""), "", IF(SUM(IF(INDEX(_xlfn._xlws.FILTER(tblPiNAnalysis[[CCCM%]:[WASH%]], tblPiNAnalysis[CCCM]=F$5), 0, MATCH(_xlfn.CONCAT($Q$2, "%"), tblPiNAnalysis[[#Headers],[CCCM%]:[WASH%]], 0))=$A28, 1, 0))=0, "",SUM(IF(INDEX(_xlfn._xlws.FILTER(tblPiNAnalysis[[CCCM%]:[WASH%]], tblPiNAnalysis[CCCM]=F$5), 0, MATCH(_xlfn.CONCAT($Q$2, "%"), tblPiNAnalysis[[#Headers],[CCCM%]:[WASH%]], 0))=$A28, 1, 0)))), "")</f>
        <v/>
      </c>
      <c r="H28" s="94"/>
      <c r="I28" s="92" t="str" cm="1">
        <f t="array" ref="I28">IF($H28="", "", IF($H28=2, SUM(IF(INDEX(_xlfn._xlws.FILTER(tblPiNHistorical[[CCCM]:[WASH]], tblPiNHistorical[Population Group]=I$5), 0, MATCH($Q$2, tblPiNHistorical[[#Headers],[CCCM]:[WASH]], 0))&gt;1.9, 1, 0)), IF(SUM(IF(INDEX(_xlfn._xlws.FILTER(tblPiNHistorical[[CCCM]:[WASH]], tblPiNHistorical[Population Group]=I$5), 0, MATCH($Q$2, tblPiNHistorical[[#Headers],[CCCM]:[WASH]], 0))=$H28, 1, 0))=0, "", SUM(IF(INDEX(_xlfn._xlws.FILTER(tblPiNHistorical[[CCCM]:[WASH]], tblPiNHistorical[Population Group]=I$5), 0, MATCH($Q$2, tblPiNHistorical[[#Headers],[CCCM]:[WASH]], 0))=$H28, 1, 0)))))</f>
        <v/>
      </c>
      <c r="J28" s="92" t="str" cm="1">
        <f t="array" ref="J28">IFERROR(IF(OR($H28="", J27=""), "", IF($H28=2, SUM(IF(INDEX(_xlfn._xlws.FILTER(tblPiNHistorical[[CCCM]:[WASH]], tblPiNHistorical[Population Group]=J$5), 0, MATCH($Q$2, tblPiNHistorical[[#Headers],[CCCM]:[WASH]], 0))&gt;1.9, 1, 0)), IF(SUM(IF(INDEX(_xlfn._xlws.FILTER(tblPiNHistorical[[CCCM]:[WASH]], tblPiNHistorical[Population Group]=J$5), 0, MATCH($Q$2, tblPiNHistorical[[#Headers],[CCCM]:[WASH]], 0))=$H28, 1, 0))=0, "", SUM(IF(INDEX(_xlfn._xlws.FILTER(tblPiNHistorical[[CCCM]:[WASH]], tblPiNHistorical[Population Group]=J$5), 0, MATCH($Q$2, tblPiNHistorical[[#Headers],[CCCM]:[WASH]], 0))=$H28, 1, 0))))), "")</f>
        <v/>
      </c>
      <c r="K28" s="92" t="str" cm="1">
        <f t="array" ref="K28">IFERROR(IF(OR($H28="", K27=""), "", IF($H28=2, SUM(IF(INDEX(_xlfn._xlws.FILTER(tblPiNHistorical[[CCCM]:[WASH]], tblPiNHistorical[CCCM - old]=K$5), 0, MATCH($Q$2, tblPiNHistorical[[#Headers],[CCCM]:[WASH]], 0))&gt;1.9, 1, 0)), IF(SUM(IF(INDEX(_xlfn._xlws.FILTER(tblPiNHistorical[[CCCM]:[WASH]], tblPiNHistorical[CCCM - old]=K$5), 0, MATCH($Q$2, tblPiNHistorical[[#Headers],[CCCM]:[WASH]], 0))=$H28, 1, 0))=0, "", SUM(IF(INDEX(_xlfn._xlws.FILTER(tblPiNHistorical[[CCCM]:[WASH]], tblPiNHistorical[CCCM - old]=K$5), 0, MATCH($Q$2, tblPiNHistorical[[#Headers],[CCCM]:[WASH]], 0))=$H28, 1, 0))))), "")</f>
        <v/>
      </c>
      <c r="L28" s="92" t="str" cm="1">
        <f t="array" ref="L28">IFERROR(IF(OR($H28="", L27=""), "", IF($H28=2, SUM(IF(INDEX(_xlfn._xlws.FILTER(tblPiNHistorical[[CCCM]:[WASH]],#REF!= L$5), 0, MATCH($Q$2, tblPiNHistorical[[#Headers],[CCCM]:[WASH]], 0))&gt;1.9, 1, 0)), IF(SUM(IF(INDEX(_xlfn._xlws.FILTER(tblPiNHistorical[[CCCM]:[WASH]],#REF!= L$5), 0, MATCH($Q$2, tblPiNHistorical[[#Headers],[CCCM]:[WASH]], 0))=$H28, 1, 0))=0, "", SUM(IF(INDEX(_xlfn._xlws.FILTER(tblPiNHistorical[[CCCM]:[WASH]],#REF!= L$5), 0, MATCH($Q$2, tblPiNHistorical[[#Headers],[CCCM]:[WASH]], 0))=$H28, 1, 0))))), "")</f>
        <v/>
      </c>
      <c r="M28" s="92" t="str" cm="1">
        <f t="array" ref="M28">IFERROR(IF(OR($H28="", M27=""), "", IF($H28=2, SUM(IF(INDEX(_xlfn._xlws.FILTER(tblPiNHistorical[[CCCM]:[WASH]],#REF!= M$5), 0, MATCH($Q$2, tblPiNHistorical[[#Headers],[CCCM]:[WASH]], 0))&gt;1.9, 1, 0)), IF(SUM(IF(INDEX(_xlfn._xlws.FILTER(tblPiNHistorical[[CCCM]:[WASH]],#REF!= M$5), 0, MATCH($Q$2, tblPiNHistorical[[#Headers],[CCCM]:[WASH]], 0))=$H28, 1, 0))=0, "", SUM(IF(INDEX(_xlfn._xlws.FILTER(tblPiNHistorical[[CCCM]:[WASH]],#REF!= M$5), 0, MATCH($Q$2, tblPiNHistorical[[#Headers],[CCCM]:[WASH]], 0))=$H28, 1, 0))))), "")</f>
        <v/>
      </c>
      <c r="Q28" t="s">
        <v>493</v>
      </c>
      <c r="Z28" s="168"/>
      <c r="AB28" t="s">
        <v>493</v>
      </c>
    </row>
    <row r="29" spans="1:28">
      <c r="A29" s="94"/>
      <c r="B29" s="92" t="str" cm="1">
        <f t="array" ref="B29">IF($A29="", "", IF(SUM(IF(INDEX(_xlfn._xlws.FILTER(tblPiNAnalysis[[CCCM%]:[WASH%]], tblPiNAnalysis[Population Group]=B$5), 0, MATCH(_xlfn.CONCAT($Q$2, "%"), tblPiNAnalysis[[#Headers],[CCCM%]:[WASH%]], 0))=$A29, 1, 0))=0, "",SUM(IF(INDEX(_xlfn._xlws.FILTER(tblPiNAnalysis[[CCCM%]:[WASH%]], tblPiNAnalysis[Population Group]=B$5), 0, MATCH(_xlfn.CONCAT($Q$2, "%"), tblPiNAnalysis[[#Headers],[CCCM%]:[WASH%]], 0))=$A29, 1, 0))))</f>
        <v/>
      </c>
      <c r="C29" s="92" t="str" cm="1">
        <f t="array" ref="C29">IFERROR(IF(OR($A29="", C$5=""), "", IF(SUM(IF(INDEX(_xlfn._xlws.FILTER(tblPiNAnalysis[[CCCM%]:[WASH%]], tblPiNAnalysis[Population Group]=C$5), 0, MATCH(_xlfn.CONCAT($Q$2, "%"), tblPiNAnalysis[[#Headers],[CCCM%]:[WASH%]], 0))=$A29, 1, 0))=0, "",SUM(IF(INDEX(_xlfn._xlws.FILTER(tblPiNAnalysis[[CCCM%]:[WASH%]], tblPiNAnalysis[Population Group]=C$5), 0, MATCH(_xlfn.CONCAT($Q$2, "%"), tblPiNAnalysis[[#Headers],[CCCM%]:[WASH%]], 0))=$A29, 1, 0)))), "")</f>
        <v/>
      </c>
      <c r="D29" s="92" t="str" cm="1">
        <f t="array" ref="D29">IFERROR(IF(OR($A29="", D$5=""), "", IF(SUM(IF(INDEX(_xlfn._xlws.FILTER(tblPiNAnalysis[[CCCM%]:[WASH%]], tblPiNAnalysis[Population Group]=D$5), 0, MATCH(_xlfn.CONCAT($Q$2, "%"), tblPiNAnalysis[[#Headers],[CCCM%]:[WASH%]], 0))=$A29, 1, 0))=0, "",SUM(IF(INDEX(_xlfn._xlws.FILTER(tblPiNAnalysis[[CCCM%]:[WASH%]], tblPiNAnalysis[Population Group]=D$5), 0, MATCH(_xlfn.CONCAT($Q$2, "%"), tblPiNAnalysis[[#Headers],[CCCM%]:[WASH%]], 0))=$A29, 1, 0)))), "")</f>
        <v/>
      </c>
      <c r="E29" s="92" t="str" cm="1">
        <f t="array" ref="E29">IFERROR(IF(OR($A29="", E$5=""), "", IF(SUM(IF(INDEX(_xlfn._xlws.FILTER(tblPiNAnalysis[[CCCM%]:[WASH%]], tblPiNAnalysis[Population Group]=E$5), 0, MATCH(_xlfn.CONCAT($Q$2, "%"), tblPiNAnalysis[[#Headers],[CCCM%]:[WASH%]], 0))=$A29, 1, 0))=0, "",SUM(IF(INDEX(_xlfn._xlws.FILTER(tblPiNAnalysis[[CCCM%]:[WASH%]], tblPiNAnalysis[Population Group]=E$5), 0, MATCH(_xlfn.CONCAT($Q$2, "%"), tblPiNAnalysis[[#Headers],[CCCM%]:[WASH%]], 0))=$A29, 1, 0)))), "")</f>
        <v/>
      </c>
      <c r="F29" s="92" t="str" cm="1">
        <f t="array" ref="F29">IFERROR(IF(OR($A29="", F$5=""), "", IF(SUM(IF(INDEX(_xlfn._xlws.FILTER(tblPiNAnalysis[[CCCM%]:[WASH%]], tblPiNAnalysis[CCCM]=F$5), 0, MATCH(_xlfn.CONCAT($Q$2, "%"), tblPiNAnalysis[[#Headers],[CCCM%]:[WASH%]], 0))=$A29, 1, 0))=0, "",SUM(IF(INDEX(_xlfn._xlws.FILTER(tblPiNAnalysis[[CCCM%]:[WASH%]], tblPiNAnalysis[CCCM]=F$5), 0, MATCH(_xlfn.CONCAT($Q$2, "%"), tblPiNAnalysis[[#Headers],[CCCM%]:[WASH%]], 0))=$A29, 1, 0)))), "")</f>
        <v/>
      </c>
      <c r="H29" s="94"/>
      <c r="I29" s="92" t="str" cm="1">
        <f t="array" ref="I29">IF($H29="", "", IF($H29=2, SUM(IF(INDEX(_xlfn._xlws.FILTER(tblPiNHistorical[[CCCM]:[WASH]], tblPiNHistorical[Population Group]=I$5), 0, MATCH($Q$2, tblPiNHistorical[[#Headers],[CCCM]:[WASH]], 0))&gt;1.9, 1, 0)), IF(SUM(IF(INDEX(_xlfn._xlws.FILTER(tblPiNHistorical[[CCCM]:[WASH]], tblPiNHistorical[Population Group]=I$5), 0, MATCH($Q$2, tblPiNHistorical[[#Headers],[CCCM]:[WASH]], 0))=$H29, 1, 0))=0, "", SUM(IF(INDEX(_xlfn._xlws.FILTER(tblPiNHistorical[[CCCM]:[WASH]], tblPiNHistorical[Population Group]=I$5), 0, MATCH($Q$2, tblPiNHistorical[[#Headers],[CCCM]:[WASH]], 0))=$H29, 1, 0)))))</f>
        <v/>
      </c>
      <c r="J29" s="92" t="str" cm="1">
        <f t="array" ref="J29">IFERROR(IF(OR($H29="", J28=""), "", IF($H29=2, SUM(IF(INDEX(_xlfn._xlws.FILTER(tblPiNHistorical[[CCCM]:[WASH]], tblPiNHistorical[Population Group]=J$5), 0, MATCH($Q$2, tblPiNHistorical[[#Headers],[CCCM]:[WASH]], 0))&gt;1.9, 1, 0)), IF(SUM(IF(INDEX(_xlfn._xlws.FILTER(tblPiNHistorical[[CCCM]:[WASH]], tblPiNHistorical[Population Group]=J$5), 0, MATCH($Q$2, tblPiNHistorical[[#Headers],[CCCM]:[WASH]], 0))=$H29, 1, 0))=0, "", SUM(IF(INDEX(_xlfn._xlws.FILTER(tblPiNHistorical[[CCCM]:[WASH]], tblPiNHistorical[Population Group]=J$5), 0, MATCH($Q$2, tblPiNHistorical[[#Headers],[CCCM]:[WASH]], 0))=$H29, 1, 0))))), "")</f>
        <v/>
      </c>
      <c r="K29" s="92" t="str" cm="1">
        <f t="array" ref="K29">IFERROR(IF(OR($H29="", K28=""), "", IF($H29=2, SUM(IF(INDEX(_xlfn._xlws.FILTER(tblPiNHistorical[[CCCM]:[WASH]], tblPiNHistorical[CCCM - old]=K$5), 0, MATCH($Q$2, tblPiNHistorical[[#Headers],[CCCM]:[WASH]], 0))&gt;1.9, 1, 0)), IF(SUM(IF(INDEX(_xlfn._xlws.FILTER(tblPiNHistorical[[CCCM]:[WASH]], tblPiNHistorical[CCCM - old]=K$5), 0, MATCH($Q$2, tblPiNHistorical[[#Headers],[CCCM]:[WASH]], 0))=$H29, 1, 0))=0, "", SUM(IF(INDEX(_xlfn._xlws.FILTER(tblPiNHistorical[[CCCM]:[WASH]], tblPiNHistorical[CCCM - old]=K$5), 0, MATCH($Q$2, tblPiNHistorical[[#Headers],[CCCM]:[WASH]], 0))=$H29, 1, 0))))), "")</f>
        <v/>
      </c>
      <c r="L29" s="92" t="str" cm="1">
        <f t="array" ref="L29">IFERROR(IF(OR($H29="", L28=""), "", IF($H29=2, SUM(IF(INDEX(_xlfn._xlws.FILTER(tblPiNHistorical[[CCCM]:[WASH]],#REF!= L$5), 0, MATCH($Q$2, tblPiNHistorical[[#Headers],[CCCM]:[WASH]], 0))&gt;1.9, 1, 0)), IF(SUM(IF(INDEX(_xlfn._xlws.FILTER(tblPiNHistorical[[CCCM]:[WASH]],#REF!= L$5), 0, MATCH($Q$2, tblPiNHistorical[[#Headers],[CCCM]:[WASH]], 0))=$H29, 1, 0))=0, "", SUM(IF(INDEX(_xlfn._xlws.FILTER(tblPiNHistorical[[CCCM]:[WASH]],#REF!= L$5), 0, MATCH($Q$2, tblPiNHistorical[[#Headers],[CCCM]:[WASH]], 0))=$H29, 1, 0))))), "")</f>
        <v/>
      </c>
      <c r="M29" s="92" t="str" cm="1">
        <f t="array" ref="M29">IFERROR(IF(OR($H29="", M28=""), "", IF($H29=2, SUM(IF(INDEX(_xlfn._xlws.FILTER(tblPiNHistorical[[CCCM]:[WASH]],#REF!= M$5), 0, MATCH($Q$2, tblPiNHistorical[[#Headers],[CCCM]:[WASH]], 0))&gt;1.9, 1, 0)), IF(SUM(IF(INDEX(_xlfn._xlws.FILTER(tblPiNHistorical[[CCCM]:[WASH]],#REF!= M$5), 0, MATCH($Q$2, tblPiNHistorical[[#Headers],[CCCM]:[WASH]], 0))=$H29, 1, 0))=0, "", SUM(IF(INDEX(_xlfn._xlws.FILTER(tblPiNHistorical[[CCCM]:[WASH]],#REF!= M$5), 0, MATCH($Q$2, tblPiNHistorical[[#Headers],[CCCM]:[WASH]], 0))=$H29, 1, 0))))), "")</f>
        <v/>
      </c>
      <c r="Q29" s="98" t="s">
        <v>494</v>
      </c>
      <c r="Z29" s="168"/>
      <c r="AB29" s="98" t="s">
        <v>494</v>
      </c>
    </row>
    <row r="30" spans="1:28">
      <c r="A30" s="94"/>
      <c r="B30" s="92" t="str" cm="1">
        <f t="array" ref="B30">IF($A30="", "", IF(SUM(IF(INDEX(_xlfn._xlws.FILTER(tblPiNAnalysis[[CCCM%]:[WASH%]], tblPiNAnalysis[Population Group]=B$5), 0, MATCH(_xlfn.CONCAT($Q$2, "%"), tblPiNAnalysis[[#Headers],[CCCM%]:[WASH%]], 0))=$A30, 1, 0))=0, "",SUM(IF(INDEX(_xlfn._xlws.FILTER(tblPiNAnalysis[[CCCM%]:[WASH%]], tblPiNAnalysis[Population Group]=B$5), 0, MATCH(_xlfn.CONCAT($Q$2, "%"), tblPiNAnalysis[[#Headers],[CCCM%]:[WASH%]], 0))=$A30, 1, 0))))</f>
        <v/>
      </c>
      <c r="C30" s="92" t="str" cm="1">
        <f t="array" ref="C30">IFERROR(IF(OR($A30="", C$5=""), "", IF(SUM(IF(INDEX(_xlfn._xlws.FILTER(tblPiNAnalysis[[CCCM%]:[WASH%]], tblPiNAnalysis[Population Group]=C$5), 0, MATCH(_xlfn.CONCAT($Q$2, "%"), tblPiNAnalysis[[#Headers],[CCCM%]:[WASH%]], 0))=$A30, 1, 0))=0, "",SUM(IF(INDEX(_xlfn._xlws.FILTER(tblPiNAnalysis[[CCCM%]:[WASH%]], tblPiNAnalysis[Population Group]=C$5), 0, MATCH(_xlfn.CONCAT($Q$2, "%"), tblPiNAnalysis[[#Headers],[CCCM%]:[WASH%]], 0))=$A30, 1, 0)))), "")</f>
        <v/>
      </c>
      <c r="D30" s="92" t="str" cm="1">
        <f t="array" ref="D30">IFERROR(IF(OR($A30="", D$5=""), "", IF(SUM(IF(INDEX(_xlfn._xlws.FILTER(tblPiNAnalysis[[CCCM%]:[WASH%]], tblPiNAnalysis[Population Group]=D$5), 0, MATCH(_xlfn.CONCAT($Q$2, "%"), tblPiNAnalysis[[#Headers],[CCCM%]:[WASH%]], 0))=$A30, 1, 0))=0, "",SUM(IF(INDEX(_xlfn._xlws.FILTER(tblPiNAnalysis[[CCCM%]:[WASH%]], tblPiNAnalysis[Population Group]=D$5), 0, MATCH(_xlfn.CONCAT($Q$2, "%"), tblPiNAnalysis[[#Headers],[CCCM%]:[WASH%]], 0))=$A30, 1, 0)))), "")</f>
        <v/>
      </c>
      <c r="E30" s="92" t="str" cm="1">
        <f t="array" ref="E30">IFERROR(IF(OR($A30="", E$5=""), "", IF(SUM(IF(INDEX(_xlfn._xlws.FILTER(tblPiNAnalysis[[CCCM%]:[WASH%]], tblPiNAnalysis[Population Group]=E$5), 0, MATCH(_xlfn.CONCAT($Q$2, "%"), tblPiNAnalysis[[#Headers],[CCCM%]:[WASH%]], 0))=$A30, 1, 0))=0, "",SUM(IF(INDEX(_xlfn._xlws.FILTER(tblPiNAnalysis[[CCCM%]:[WASH%]], tblPiNAnalysis[Population Group]=E$5), 0, MATCH(_xlfn.CONCAT($Q$2, "%"), tblPiNAnalysis[[#Headers],[CCCM%]:[WASH%]], 0))=$A30, 1, 0)))), "")</f>
        <v/>
      </c>
      <c r="F30" s="92" t="str" cm="1">
        <f t="array" ref="F30">IFERROR(IF(OR($A30="", F$5=""), "", IF(SUM(IF(INDEX(_xlfn._xlws.FILTER(tblPiNAnalysis[[CCCM%]:[WASH%]], tblPiNAnalysis[CCCM]=F$5), 0, MATCH(_xlfn.CONCAT($Q$2, "%"), tblPiNAnalysis[[#Headers],[CCCM%]:[WASH%]], 0))=$A30, 1, 0))=0, "",SUM(IF(INDEX(_xlfn._xlws.FILTER(tblPiNAnalysis[[CCCM%]:[WASH%]], tblPiNAnalysis[CCCM]=F$5), 0, MATCH(_xlfn.CONCAT($Q$2, "%"), tblPiNAnalysis[[#Headers],[CCCM%]:[WASH%]], 0))=$A30, 1, 0)))), "")</f>
        <v/>
      </c>
      <c r="H30" s="94"/>
      <c r="I30" s="92" t="str" cm="1">
        <f t="array" ref="I30">IF($H30="", "", IF($H30=2, SUM(IF(INDEX(_xlfn._xlws.FILTER(tblPiNHistorical[[CCCM]:[WASH]], tblPiNHistorical[Population Group]=I$5), 0, MATCH($Q$2, tblPiNHistorical[[#Headers],[CCCM]:[WASH]], 0))&gt;1.9, 1, 0)), IF(SUM(IF(INDEX(_xlfn._xlws.FILTER(tblPiNHistorical[[CCCM]:[WASH]], tblPiNHistorical[Population Group]=I$5), 0, MATCH($Q$2, tblPiNHistorical[[#Headers],[CCCM]:[WASH]], 0))=$H30, 1, 0))=0, "", SUM(IF(INDEX(_xlfn._xlws.FILTER(tblPiNHistorical[[CCCM]:[WASH]], tblPiNHistorical[Population Group]=I$5), 0, MATCH($Q$2, tblPiNHistorical[[#Headers],[CCCM]:[WASH]], 0))=$H30, 1, 0)))))</f>
        <v/>
      </c>
      <c r="J30" s="92" t="str" cm="1">
        <f t="array" ref="J30">IFERROR(IF(OR($H30="", J29=""), "", IF($H30=2, SUM(IF(INDEX(_xlfn._xlws.FILTER(tblPiNHistorical[[CCCM]:[WASH]], tblPiNHistorical[Population Group]=J$5), 0, MATCH($Q$2, tblPiNHistorical[[#Headers],[CCCM]:[WASH]], 0))&gt;1.9, 1, 0)), IF(SUM(IF(INDEX(_xlfn._xlws.FILTER(tblPiNHistorical[[CCCM]:[WASH]], tblPiNHistorical[Population Group]=J$5), 0, MATCH($Q$2, tblPiNHistorical[[#Headers],[CCCM]:[WASH]], 0))=$H30, 1, 0))=0, "", SUM(IF(INDEX(_xlfn._xlws.FILTER(tblPiNHistorical[[CCCM]:[WASH]], tblPiNHistorical[Population Group]=J$5), 0, MATCH($Q$2, tblPiNHistorical[[#Headers],[CCCM]:[WASH]], 0))=$H30, 1, 0))))), "")</f>
        <v/>
      </c>
      <c r="K30" s="92" t="str" cm="1">
        <f t="array" ref="K30">IFERROR(IF(OR($H30="", K29=""), "", IF($H30=2, SUM(IF(INDEX(_xlfn._xlws.FILTER(tblPiNHistorical[[CCCM]:[WASH]], tblPiNHistorical[CCCM - old]=K$5), 0, MATCH($Q$2, tblPiNHistorical[[#Headers],[CCCM]:[WASH]], 0))&gt;1.9, 1, 0)), IF(SUM(IF(INDEX(_xlfn._xlws.FILTER(tblPiNHistorical[[CCCM]:[WASH]], tblPiNHistorical[CCCM - old]=K$5), 0, MATCH($Q$2, tblPiNHistorical[[#Headers],[CCCM]:[WASH]], 0))=$H30, 1, 0))=0, "", SUM(IF(INDEX(_xlfn._xlws.FILTER(tblPiNHistorical[[CCCM]:[WASH]], tblPiNHistorical[CCCM - old]=K$5), 0, MATCH($Q$2, tblPiNHistorical[[#Headers],[CCCM]:[WASH]], 0))=$H30, 1, 0))))), "")</f>
        <v/>
      </c>
      <c r="L30" s="92" t="str" cm="1">
        <f t="array" ref="L30">IFERROR(IF(OR($H30="", L29=""), "", IF($H30=2, SUM(IF(INDEX(_xlfn._xlws.FILTER(tblPiNHistorical[[CCCM]:[WASH]],#REF!= L$5), 0, MATCH($Q$2, tblPiNHistorical[[#Headers],[CCCM]:[WASH]], 0))&gt;1.9, 1, 0)), IF(SUM(IF(INDEX(_xlfn._xlws.FILTER(tblPiNHistorical[[CCCM]:[WASH]],#REF!= L$5), 0, MATCH($Q$2, tblPiNHistorical[[#Headers],[CCCM]:[WASH]], 0))=$H30, 1, 0))=0, "", SUM(IF(INDEX(_xlfn._xlws.FILTER(tblPiNHistorical[[CCCM]:[WASH]],#REF!= L$5), 0, MATCH($Q$2, tblPiNHistorical[[#Headers],[CCCM]:[WASH]], 0))=$H30, 1, 0))))), "")</f>
        <v/>
      </c>
      <c r="M30" s="92" t="str" cm="1">
        <f t="array" ref="M30">IFERROR(IF(OR($H30="", M29=""), "", IF($H30=2, SUM(IF(INDEX(_xlfn._xlws.FILTER(tblPiNHistorical[[CCCM]:[WASH]],#REF!= M$5), 0, MATCH($Q$2, tblPiNHistorical[[#Headers],[CCCM]:[WASH]], 0))&gt;1.9, 1, 0)), IF(SUM(IF(INDEX(_xlfn._xlws.FILTER(tblPiNHistorical[[CCCM]:[WASH]],#REF!= M$5), 0, MATCH($Q$2, tblPiNHistorical[[#Headers],[CCCM]:[WASH]], 0))=$H30, 1, 0))=0, "", SUM(IF(INDEX(_xlfn._xlws.FILTER(tblPiNHistorical[[CCCM]:[WASH]],#REF!= M$5), 0, MATCH($Q$2, tblPiNHistorical[[#Headers],[CCCM]:[WASH]], 0))=$H30, 1, 0))))), "")</f>
        <v/>
      </c>
      <c r="Q30" t="str">
        <f>_xlfn.CONCAT("- ", MAXA(B$6:B$77)," units ", IF(OR(C$5="", C$5="NA"), "", _xlfn.CONCAT("of ", B$5, " population group ")), "have a % PiN at of ", INDEX(A$6:A$77, MATCH(MAXA(B$6:B$77), B$6:B$77, 0))*100, "%")</f>
        <v>- 42 units of Global_Population population group have a % PiN at of 5%</v>
      </c>
      <c r="Z30" s="168"/>
      <c r="AB30" t="str" cm="1">
        <f t="array" ref="AB30">_xlfn.CONCAT("- ", IF(IFERROR(MAXA(_xlfn._xlws.FILTER(I$6:I$77, H$6:H$77&gt;0)), 0) = 0, "", _xlfn.CONCAT(MAXA(_xlfn._xlws.FILTER(I$6:I$77, H$6:H$77&gt;0)), " units have ", INDEX(H$6:H$77, MATCH(MAXA(_xlfn._xlws.FILTER(I$6:I$77, H$6:H$77&gt;0)), I$6:I$77, 0))*100, "% PiN increase")), IF(OR(IFERROR(MAXA(_xlfn._xlws.FILTER(I$6:I$77, H$6:H$77&gt;0)), 0) = 0,IFERROR(MAXA(_xlfn._xlws.FILTER(I$6:I$77, H$6:H$77&lt;0)), 0) = 0), "", " and "), IF(IFERROR(MAXA(_xlfn._xlws.FILTER(I$6:I$77, H$6:H$77&lt;0)), 0)=0, "", _xlfn.CONCAT(MAXA(_xlfn._xlws.FILTER(I$6:I$77, H$6:H$77&lt;0)), " units have ", INDEX(H$6:H$77, MATCH(MAXA(_xlfn._xlws.FILTER(I$6:I$77, H$6:H$77&lt;0)), I$6:I$77, 0))*-100, "% PiN decrease")), " from ",  $Q$2, IF(OR(I$5="", I$5="NA"), "", _xlfn.CONCAT(" for the ", I$5," population group")))</f>
        <v>- 20 units have 20% PiN increase and 27 units have 30% PiN decrease from Education for the Global_Population population group</v>
      </c>
    </row>
    <row r="31" spans="1:28">
      <c r="A31" s="94"/>
      <c r="B31" s="92" t="str" cm="1">
        <f t="array" ref="B31">IF($A31="", "", IF(SUM(IF(INDEX(_xlfn._xlws.FILTER(tblPiNAnalysis[[CCCM%]:[WASH%]], tblPiNAnalysis[Population Group]=B$5), 0, MATCH(_xlfn.CONCAT($Q$2, "%"), tblPiNAnalysis[[#Headers],[CCCM%]:[WASH%]], 0))=$A31, 1, 0))=0, "",SUM(IF(INDEX(_xlfn._xlws.FILTER(tblPiNAnalysis[[CCCM%]:[WASH%]], tblPiNAnalysis[Population Group]=B$5), 0, MATCH(_xlfn.CONCAT($Q$2, "%"), tblPiNAnalysis[[#Headers],[CCCM%]:[WASH%]], 0))=$A31, 1, 0))))</f>
        <v/>
      </c>
      <c r="C31" s="92" t="str" cm="1">
        <f t="array" ref="C31">IFERROR(IF(OR($A31="", C$5=""), "", IF(SUM(IF(INDEX(_xlfn._xlws.FILTER(tblPiNAnalysis[[CCCM%]:[WASH%]], tblPiNAnalysis[Population Group]=C$5), 0, MATCH(_xlfn.CONCAT($Q$2, "%"), tblPiNAnalysis[[#Headers],[CCCM%]:[WASH%]], 0))=$A31, 1, 0))=0, "",SUM(IF(INDEX(_xlfn._xlws.FILTER(tblPiNAnalysis[[CCCM%]:[WASH%]], tblPiNAnalysis[Population Group]=C$5), 0, MATCH(_xlfn.CONCAT($Q$2, "%"), tblPiNAnalysis[[#Headers],[CCCM%]:[WASH%]], 0))=$A31, 1, 0)))), "")</f>
        <v/>
      </c>
      <c r="D31" s="92" t="str" cm="1">
        <f t="array" ref="D31">IFERROR(IF(OR($A31="", D$5=""), "", IF(SUM(IF(INDEX(_xlfn._xlws.FILTER(tblPiNAnalysis[[CCCM%]:[WASH%]], tblPiNAnalysis[Population Group]=D$5), 0, MATCH(_xlfn.CONCAT($Q$2, "%"), tblPiNAnalysis[[#Headers],[CCCM%]:[WASH%]], 0))=$A31, 1, 0))=0, "",SUM(IF(INDEX(_xlfn._xlws.FILTER(tblPiNAnalysis[[CCCM%]:[WASH%]], tblPiNAnalysis[Population Group]=D$5), 0, MATCH(_xlfn.CONCAT($Q$2, "%"), tblPiNAnalysis[[#Headers],[CCCM%]:[WASH%]], 0))=$A31, 1, 0)))), "")</f>
        <v/>
      </c>
      <c r="E31" s="92" t="str" cm="1">
        <f t="array" ref="E31">IFERROR(IF(OR($A31="", E$5=""), "", IF(SUM(IF(INDEX(_xlfn._xlws.FILTER(tblPiNAnalysis[[CCCM%]:[WASH%]], tblPiNAnalysis[Population Group]=E$5), 0, MATCH(_xlfn.CONCAT($Q$2, "%"), tblPiNAnalysis[[#Headers],[CCCM%]:[WASH%]], 0))=$A31, 1, 0))=0, "",SUM(IF(INDEX(_xlfn._xlws.FILTER(tblPiNAnalysis[[CCCM%]:[WASH%]], tblPiNAnalysis[Population Group]=E$5), 0, MATCH(_xlfn.CONCAT($Q$2, "%"), tblPiNAnalysis[[#Headers],[CCCM%]:[WASH%]], 0))=$A31, 1, 0)))), "")</f>
        <v/>
      </c>
      <c r="F31" s="92" t="str" cm="1">
        <f t="array" ref="F31">IFERROR(IF(OR($A31="", F$5=""), "", IF(SUM(IF(INDEX(_xlfn._xlws.FILTER(tblPiNAnalysis[[CCCM%]:[WASH%]], tblPiNAnalysis[CCCM]=F$5), 0, MATCH(_xlfn.CONCAT($Q$2, "%"), tblPiNAnalysis[[#Headers],[CCCM%]:[WASH%]], 0))=$A31, 1, 0))=0, "",SUM(IF(INDEX(_xlfn._xlws.FILTER(tblPiNAnalysis[[CCCM%]:[WASH%]], tblPiNAnalysis[CCCM]=F$5), 0, MATCH(_xlfn.CONCAT($Q$2, "%"), tblPiNAnalysis[[#Headers],[CCCM%]:[WASH%]], 0))=$A31, 1, 0)))), "")</f>
        <v/>
      </c>
      <c r="H31" s="94"/>
      <c r="I31" s="92" t="str" cm="1">
        <f t="array" ref="I31">IF($H31="", "", IF($H31=2, SUM(IF(INDEX(_xlfn._xlws.FILTER(tblPiNHistorical[[CCCM]:[WASH]], tblPiNHistorical[Population Group]=I$5), 0, MATCH($Q$2, tblPiNHistorical[[#Headers],[CCCM]:[WASH]], 0))&gt;1.9, 1, 0)), IF(SUM(IF(INDEX(_xlfn._xlws.FILTER(tblPiNHistorical[[CCCM]:[WASH]], tblPiNHistorical[Population Group]=I$5), 0, MATCH($Q$2, tblPiNHistorical[[#Headers],[CCCM]:[WASH]], 0))=$H31, 1, 0))=0, "", SUM(IF(INDEX(_xlfn._xlws.FILTER(tblPiNHistorical[[CCCM]:[WASH]], tblPiNHistorical[Population Group]=I$5), 0, MATCH($Q$2, tblPiNHistorical[[#Headers],[CCCM]:[WASH]], 0))=$H31, 1, 0)))))</f>
        <v/>
      </c>
      <c r="J31" s="92" t="str" cm="1">
        <f t="array" ref="J31">IFERROR(IF(OR($H31="", J30=""), "", IF($H31=2, SUM(IF(INDEX(_xlfn._xlws.FILTER(tblPiNHistorical[[CCCM]:[WASH]], tblPiNHistorical[Population Group]=J$5), 0, MATCH($Q$2, tblPiNHistorical[[#Headers],[CCCM]:[WASH]], 0))&gt;1.9, 1, 0)), IF(SUM(IF(INDEX(_xlfn._xlws.FILTER(tblPiNHistorical[[CCCM]:[WASH]], tblPiNHistorical[Population Group]=J$5), 0, MATCH($Q$2, tblPiNHistorical[[#Headers],[CCCM]:[WASH]], 0))=$H31, 1, 0))=0, "", SUM(IF(INDEX(_xlfn._xlws.FILTER(tblPiNHistorical[[CCCM]:[WASH]], tblPiNHistorical[Population Group]=J$5), 0, MATCH($Q$2, tblPiNHistorical[[#Headers],[CCCM]:[WASH]], 0))=$H31, 1, 0))))), "")</f>
        <v/>
      </c>
      <c r="K31" s="92" t="str" cm="1">
        <f t="array" ref="K31">IFERROR(IF(OR($H31="", K30=""), "", IF($H31=2, SUM(IF(INDEX(_xlfn._xlws.FILTER(tblPiNHistorical[[CCCM]:[WASH]], tblPiNHistorical[CCCM - old]=K$5), 0, MATCH($Q$2, tblPiNHistorical[[#Headers],[CCCM]:[WASH]], 0))&gt;1.9, 1, 0)), IF(SUM(IF(INDEX(_xlfn._xlws.FILTER(tblPiNHistorical[[CCCM]:[WASH]], tblPiNHistorical[CCCM - old]=K$5), 0, MATCH($Q$2, tblPiNHistorical[[#Headers],[CCCM]:[WASH]], 0))=$H31, 1, 0))=0, "", SUM(IF(INDEX(_xlfn._xlws.FILTER(tblPiNHistorical[[CCCM]:[WASH]], tblPiNHistorical[CCCM - old]=K$5), 0, MATCH($Q$2, tblPiNHistorical[[#Headers],[CCCM]:[WASH]], 0))=$H31, 1, 0))))), "")</f>
        <v/>
      </c>
      <c r="L31" s="92" t="str" cm="1">
        <f t="array" ref="L31">IFERROR(IF(OR($H31="", L30=""), "", IF($H31=2, SUM(IF(INDEX(_xlfn._xlws.FILTER(tblPiNHistorical[[CCCM]:[WASH]],#REF!= L$5), 0, MATCH($Q$2, tblPiNHistorical[[#Headers],[CCCM]:[WASH]], 0))&gt;1.9, 1, 0)), IF(SUM(IF(INDEX(_xlfn._xlws.FILTER(tblPiNHistorical[[CCCM]:[WASH]],#REF!= L$5), 0, MATCH($Q$2, tblPiNHistorical[[#Headers],[CCCM]:[WASH]], 0))=$H31, 1, 0))=0, "", SUM(IF(INDEX(_xlfn._xlws.FILTER(tblPiNHistorical[[CCCM]:[WASH]],#REF!= L$5), 0, MATCH($Q$2, tblPiNHistorical[[#Headers],[CCCM]:[WASH]], 0))=$H31, 1, 0))))), "")</f>
        <v/>
      </c>
      <c r="M31" s="92" t="str" cm="1">
        <f t="array" ref="M31">IFERROR(IF(OR($H31="", M30=""), "", IF($H31=2, SUM(IF(INDEX(_xlfn._xlws.FILTER(tblPiNHistorical[[CCCM]:[WASH]],#REF!= M$5), 0, MATCH($Q$2, tblPiNHistorical[[#Headers],[CCCM]:[WASH]], 0))&gt;1.9, 1, 0)), IF(SUM(IF(INDEX(_xlfn._xlws.FILTER(tblPiNHistorical[[CCCM]:[WASH]],#REF!= M$5), 0, MATCH($Q$2, tblPiNHistorical[[#Headers],[CCCM]:[WASH]], 0))=$H31, 1, 0))=0, "", SUM(IF(INDEX(_xlfn._xlws.FILTER(tblPiNHistorical[[CCCM]:[WASH]],#REF!= M$5), 0, MATCH($Q$2, tblPiNHistorical[[#Headers],[CCCM]:[WASH]], 0))=$H31, 1, 0))))), "")</f>
        <v/>
      </c>
      <c r="Q31" t="e">
        <f>IF(C$5 = "", "", _xlfn.CONCAT("- ", MAXA(C$6:C$77)," units of ", C$5, " population group have a % PiN at of ", INDEX(A$6:A$77, MATCH(MAXA(C$6:C$77), C$6:C$77, 0))*100, "%"))</f>
        <v>#N/A</v>
      </c>
      <c r="Z31" s="168"/>
      <c r="AB31" t="str" cm="1">
        <f t="array" ref="AB31">IF(J$5="", "", _xlfn.CONCAT("- ", IF(IFERROR(MAXA(_xlfn._xlws.FILTER(J$6:J$77, H$6:H$77&gt;0)), 0) = 0, "", _xlfn.CONCAT(MAXA(_xlfn._xlws.FILTER(J$6:J$77, H$6:H$77&gt;0)), " units have ", INDEX(H$6:H$77, MATCH(MAXA(_xlfn._xlws.FILTER(J$6:J$77, H$6:H$77&gt;0)), J$6:J$77, 0))*100, "% PiN increase")), IF(OR(IFERROR(MAXA(_xlfn._xlws.FILTER(J$6:J$77, H$6:H$77&gt;0)), 0) = 0,IFERROR(MAXA(_xlfn._xlws.FILTER(J$6:J$77, H$6:H$77&lt;0)), 0) = 0), "", " and "), IF(IFERROR(MAXA(_xlfn._xlws.FILTER(J$6:J$77, H$6:H$77&lt;0)), 0)=0, "", _xlfn.CONCAT(MAXA(_xlfn._xlws.FILTER(J$6:J$77, H$6:H$77&lt;0)), " units have ", INDEX(H$6:H$77, MATCH(MAXA(_xlfn._xlws.FILTER(J$6:J$77, H$6:H$77&lt;0)), J$6:J$77, 0))*-100, "% PiN decrease")), " from ",  $Q$2, IF(J$5="", "", _xlfn.CONCAT(" for the ", J$5," population group"))))</f>
        <v/>
      </c>
    </row>
    <row r="32" spans="1:28">
      <c r="A32" s="94"/>
      <c r="B32" s="92" t="str" cm="1">
        <f t="array" ref="B32">IF($A32="", "", IF(SUM(IF(INDEX(_xlfn._xlws.FILTER(tblPiNAnalysis[[CCCM%]:[WASH%]], tblPiNAnalysis[Population Group]=B$5), 0, MATCH(_xlfn.CONCAT($Q$2, "%"), tblPiNAnalysis[[#Headers],[CCCM%]:[WASH%]], 0))=$A32, 1, 0))=0, "",SUM(IF(INDEX(_xlfn._xlws.FILTER(tblPiNAnalysis[[CCCM%]:[WASH%]], tblPiNAnalysis[Population Group]=B$5), 0, MATCH(_xlfn.CONCAT($Q$2, "%"), tblPiNAnalysis[[#Headers],[CCCM%]:[WASH%]], 0))=$A32, 1, 0))))</f>
        <v/>
      </c>
      <c r="C32" s="92" t="str" cm="1">
        <f t="array" ref="C32">IFERROR(IF(OR($A32="", C$5=""), "", IF(SUM(IF(INDEX(_xlfn._xlws.FILTER(tblPiNAnalysis[[CCCM%]:[WASH%]], tblPiNAnalysis[Population Group]=C$5), 0, MATCH(_xlfn.CONCAT($Q$2, "%"), tblPiNAnalysis[[#Headers],[CCCM%]:[WASH%]], 0))=$A32, 1, 0))=0, "",SUM(IF(INDEX(_xlfn._xlws.FILTER(tblPiNAnalysis[[CCCM%]:[WASH%]], tblPiNAnalysis[Population Group]=C$5), 0, MATCH(_xlfn.CONCAT($Q$2, "%"), tblPiNAnalysis[[#Headers],[CCCM%]:[WASH%]], 0))=$A32, 1, 0)))), "")</f>
        <v/>
      </c>
      <c r="D32" s="92" t="str" cm="1">
        <f t="array" ref="D32">IFERROR(IF(OR($A32="", D$5=""), "", IF(SUM(IF(INDEX(_xlfn._xlws.FILTER(tblPiNAnalysis[[CCCM%]:[WASH%]], tblPiNAnalysis[Population Group]=D$5), 0, MATCH(_xlfn.CONCAT($Q$2, "%"), tblPiNAnalysis[[#Headers],[CCCM%]:[WASH%]], 0))=$A32, 1, 0))=0, "",SUM(IF(INDEX(_xlfn._xlws.FILTER(tblPiNAnalysis[[CCCM%]:[WASH%]], tblPiNAnalysis[Population Group]=D$5), 0, MATCH(_xlfn.CONCAT($Q$2, "%"), tblPiNAnalysis[[#Headers],[CCCM%]:[WASH%]], 0))=$A32, 1, 0)))), "")</f>
        <v/>
      </c>
      <c r="E32" s="92" t="str" cm="1">
        <f t="array" ref="E32">IFERROR(IF(OR($A32="", E$5=""), "", IF(SUM(IF(INDEX(_xlfn._xlws.FILTER(tblPiNAnalysis[[CCCM%]:[WASH%]], tblPiNAnalysis[Population Group]=E$5), 0, MATCH(_xlfn.CONCAT($Q$2, "%"), tblPiNAnalysis[[#Headers],[CCCM%]:[WASH%]], 0))=$A32, 1, 0))=0, "",SUM(IF(INDEX(_xlfn._xlws.FILTER(tblPiNAnalysis[[CCCM%]:[WASH%]], tblPiNAnalysis[Population Group]=E$5), 0, MATCH(_xlfn.CONCAT($Q$2, "%"), tblPiNAnalysis[[#Headers],[CCCM%]:[WASH%]], 0))=$A32, 1, 0)))), "")</f>
        <v/>
      </c>
      <c r="F32" s="92" t="str" cm="1">
        <f t="array" ref="F32">IFERROR(IF(OR($A32="", F$5=""), "", IF(SUM(IF(INDEX(_xlfn._xlws.FILTER(tblPiNAnalysis[[CCCM%]:[WASH%]], tblPiNAnalysis[CCCM]=F$5), 0, MATCH(_xlfn.CONCAT($Q$2, "%"), tblPiNAnalysis[[#Headers],[CCCM%]:[WASH%]], 0))=$A32, 1, 0))=0, "",SUM(IF(INDEX(_xlfn._xlws.FILTER(tblPiNAnalysis[[CCCM%]:[WASH%]], tblPiNAnalysis[CCCM]=F$5), 0, MATCH(_xlfn.CONCAT($Q$2, "%"), tblPiNAnalysis[[#Headers],[CCCM%]:[WASH%]], 0))=$A32, 1, 0)))), "")</f>
        <v/>
      </c>
      <c r="H32" s="94"/>
      <c r="I32" s="92" t="str" cm="1">
        <f t="array" ref="I32">IF($H32="", "", IF($H32=2, SUM(IF(INDEX(_xlfn._xlws.FILTER(tblPiNHistorical[[CCCM]:[WASH]], tblPiNHistorical[Population Group]=I$5), 0, MATCH($Q$2, tblPiNHistorical[[#Headers],[CCCM]:[WASH]], 0))&gt;1.9, 1, 0)), IF(SUM(IF(INDEX(_xlfn._xlws.FILTER(tblPiNHistorical[[CCCM]:[WASH]], tblPiNHistorical[Population Group]=I$5), 0, MATCH($Q$2, tblPiNHistorical[[#Headers],[CCCM]:[WASH]], 0))=$H32, 1, 0))=0, "", SUM(IF(INDEX(_xlfn._xlws.FILTER(tblPiNHistorical[[CCCM]:[WASH]], tblPiNHistorical[Population Group]=I$5), 0, MATCH($Q$2, tblPiNHistorical[[#Headers],[CCCM]:[WASH]], 0))=$H32, 1, 0)))))</f>
        <v/>
      </c>
      <c r="J32" s="92" t="str" cm="1">
        <f t="array" ref="J32">IFERROR(IF(OR($H32="", J31=""), "", IF($H32=2, SUM(IF(INDEX(_xlfn._xlws.FILTER(tblPiNHistorical[[CCCM]:[WASH]], tblPiNHistorical[Population Group]=J$5), 0, MATCH($Q$2, tblPiNHistorical[[#Headers],[CCCM]:[WASH]], 0))&gt;1.9, 1, 0)), IF(SUM(IF(INDEX(_xlfn._xlws.FILTER(tblPiNHistorical[[CCCM]:[WASH]], tblPiNHistorical[Population Group]=J$5), 0, MATCH($Q$2, tblPiNHistorical[[#Headers],[CCCM]:[WASH]], 0))=$H32, 1, 0))=0, "", SUM(IF(INDEX(_xlfn._xlws.FILTER(tblPiNHistorical[[CCCM]:[WASH]], tblPiNHistorical[Population Group]=J$5), 0, MATCH($Q$2, tblPiNHistorical[[#Headers],[CCCM]:[WASH]], 0))=$H32, 1, 0))))), "")</f>
        <v/>
      </c>
      <c r="K32" s="92" t="str" cm="1">
        <f t="array" ref="K32">IFERROR(IF(OR($H32="", K31=""), "", IF($H32=2, SUM(IF(INDEX(_xlfn._xlws.FILTER(tblPiNHistorical[[CCCM]:[WASH]], tblPiNHistorical[CCCM - old]=K$5), 0, MATCH($Q$2, tblPiNHistorical[[#Headers],[CCCM]:[WASH]], 0))&gt;1.9, 1, 0)), IF(SUM(IF(INDEX(_xlfn._xlws.FILTER(tblPiNHistorical[[CCCM]:[WASH]], tblPiNHistorical[CCCM - old]=K$5), 0, MATCH($Q$2, tblPiNHistorical[[#Headers],[CCCM]:[WASH]], 0))=$H32, 1, 0))=0, "", SUM(IF(INDEX(_xlfn._xlws.FILTER(tblPiNHistorical[[CCCM]:[WASH]], tblPiNHistorical[CCCM - old]=K$5), 0, MATCH($Q$2, tblPiNHistorical[[#Headers],[CCCM]:[WASH]], 0))=$H32, 1, 0))))), "")</f>
        <v/>
      </c>
      <c r="L32" s="92" t="str" cm="1">
        <f t="array" ref="L32">IFERROR(IF(OR($H32="", L31=""), "", IF($H32=2, SUM(IF(INDEX(_xlfn._xlws.FILTER(tblPiNHistorical[[CCCM]:[WASH]],#REF!= L$5), 0, MATCH($Q$2, tblPiNHistorical[[#Headers],[CCCM]:[WASH]], 0))&gt;1.9, 1, 0)), IF(SUM(IF(INDEX(_xlfn._xlws.FILTER(tblPiNHistorical[[CCCM]:[WASH]],#REF!= L$5), 0, MATCH($Q$2, tblPiNHistorical[[#Headers],[CCCM]:[WASH]], 0))=$H32, 1, 0))=0, "", SUM(IF(INDEX(_xlfn._xlws.FILTER(tblPiNHistorical[[CCCM]:[WASH]],#REF!= L$5), 0, MATCH($Q$2, tblPiNHistorical[[#Headers],[CCCM]:[WASH]], 0))=$H32, 1, 0))))), "")</f>
        <v/>
      </c>
      <c r="M32" s="92" t="str" cm="1">
        <f t="array" ref="M32">IFERROR(IF(OR($H32="", M31=""), "", IF($H32=2, SUM(IF(INDEX(_xlfn._xlws.FILTER(tblPiNHistorical[[CCCM]:[WASH]],#REF!= M$5), 0, MATCH($Q$2, tblPiNHistorical[[#Headers],[CCCM]:[WASH]], 0))&gt;1.9, 1, 0)), IF(SUM(IF(INDEX(_xlfn._xlws.FILTER(tblPiNHistorical[[CCCM]:[WASH]],#REF!= M$5), 0, MATCH($Q$2, tblPiNHistorical[[#Headers],[CCCM]:[WASH]], 0))=$H32, 1, 0))=0, "", SUM(IF(INDEX(_xlfn._xlws.FILTER(tblPiNHistorical[[CCCM]:[WASH]],#REF!= M$5), 0, MATCH($Q$2, tblPiNHistorical[[#Headers],[CCCM]:[WASH]], 0))=$H32, 1, 0))))), "")</f>
        <v/>
      </c>
      <c r="Q32" t="str">
        <f>IF(D$5 = "", "", _xlfn.CONCAT("- ", MAXA(D$6:D$77)," units of ", D$5, " population group have a % PiN at of ", INDEX(A$6:A$77, MATCH(MAXA(D$6:D$77), D$6:D$77, 0))*100, "%"))</f>
        <v/>
      </c>
      <c r="Z32" s="168"/>
      <c r="AB32" t="str" cm="1">
        <f t="array" ref="AB32">IF(K$5="", "", _xlfn.CONCAT("- ", IF(IFERROR(MAXA(_xlfn._xlws.FILTER(K$6:K$77, H$6:H$77&gt;0)), 0) = 0, "", _xlfn.CONCAT(MAXA(_xlfn._xlws.FILTER(K$6:K$77, H$6:H$77&gt;0)), " units have ", INDEX(H$6:H$77, MATCH(MAXA(_xlfn._xlws.FILTER(K$6:K$77, H$6:H$77&gt;0)), K$6:K$77, 0))*100, "% PiN increase")), IF(OR(IFERROR(MAXA(_xlfn._xlws.FILTER(K$6:K$77, H$6:H$77&gt;0)), 0) = 0,IFERROR(MAXA(_xlfn._xlws.FILTER(K$6:K$77, H$6:H$77&lt;0)), 0) = 0), "", " and "), IF(IFERROR(MAXA(_xlfn._xlws.FILTER(K$6:K$77, H$6:H$77&lt;0)), 0)=0, "", _xlfn.CONCAT(MAXA(_xlfn._xlws.FILTER(K$6:K$77, H$6:H$77&lt;0)), " units have ", INDEX(H$6:H$77, MATCH(MAXA(_xlfn._xlws.FILTER(K$6:K$77, H$6:H$77&lt;0)), K$6:K$77, 0))*-100, "% PiN decrease")), " from ",  $Q$2, IF(K$5="", "", _xlfn.CONCAT(" for the ", K$5," population group"))))</f>
        <v/>
      </c>
    </row>
    <row r="33" spans="1:28">
      <c r="A33" s="94"/>
      <c r="B33" s="92" t="str" cm="1">
        <f t="array" ref="B33">IF($A33="", "", IF(SUM(IF(INDEX(_xlfn._xlws.FILTER(tblPiNAnalysis[[CCCM%]:[WASH%]], tblPiNAnalysis[Population Group]=B$5), 0, MATCH(_xlfn.CONCAT($Q$2, "%"), tblPiNAnalysis[[#Headers],[CCCM%]:[WASH%]], 0))=$A33, 1, 0))=0, "",SUM(IF(INDEX(_xlfn._xlws.FILTER(tblPiNAnalysis[[CCCM%]:[WASH%]], tblPiNAnalysis[Population Group]=B$5), 0, MATCH(_xlfn.CONCAT($Q$2, "%"), tblPiNAnalysis[[#Headers],[CCCM%]:[WASH%]], 0))=$A33, 1, 0))))</f>
        <v/>
      </c>
      <c r="C33" s="92" t="str" cm="1">
        <f t="array" ref="C33">IFERROR(IF(OR($A33="", C$5=""), "", IF(SUM(IF(INDEX(_xlfn._xlws.FILTER(tblPiNAnalysis[[CCCM%]:[WASH%]], tblPiNAnalysis[Population Group]=C$5), 0, MATCH(_xlfn.CONCAT($Q$2, "%"), tblPiNAnalysis[[#Headers],[CCCM%]:[WASH%]], 0))=$A33, 1, 0))=0, "",SUM(IF(INDEX(_xlfn._xlws.FILTER(tblPiNAnalysis[[CCCM%]:[WASH%]], tblPiNAnalysis[Population Group]=C$5), 0, MATCH(_xlfn.CONCAT($Q$2, "%"), tblPiNAnalysis[[#Headers],[CCCM%]:[WASH%]], 0))=$A33, 1, 0)))), "")</f>
        <v/>
      </c>
      <c r="D33" s="92" t="str" cm="1">
        <f t="array" ref="D33">IFERROR(IF(OR($A33="", D$5=""), "", IF(SUM(IF(INDEX(_xlfn._xlws.FILTER(tblPiNAnalysis[[CCCM%]:[WASH%]], tblPiNAnalysis[Population Group]=D$5), 0, MATCH(_xlfn.CONCAT($Q$2, "%"), tblPiNAnalysis[[#Headers],[CCCM%]:[WASH%]], 0))=$A33, 1, 0))=0, "",SUM(IF(INDEX(_xlfn._xlws.FILTER(tblPiNAnalysis[[CCCM%]:[WASH%]], tblPiNAnalysis[Population Group]=D$5), 0, MATCH(_xlfn.CONCAT($Q$2, "%"), tblPiNAnalysis[[#Headers],[CCCM%]:[WASH%]], 0))=$A33, 1, 0)))), "")</f>
        <v/>
      </c>
      <c r="E33" s="92" t="str" cm="1">
        <f t="array" ref="E33">IFERROR(IF(OR($A33="", E$5=""), "", IF(SUM(IF(INDEX(_xlfn._xlws.FILTER(tblPiNAnalysis[[CCCM%]:[WASH%]], tblPiNAnalysis[Population Group]=E$5), 0, MATCH(_xlfn.CONCAT($Q$2, "%"), tblPiNAnalysis[[#Headers],[CCCM%]:[WASH%]], 0))=$A33, 1, 0))=0, "",SUM(IF(INDEX(_xlfn._xlws.FILTER(tblPiNAnalysis[[CCCM%]:[WASH%]], tblPiNAnalysis[Population Group]=E$5), 0, MATCH(_xlfn.CONCAT($Q$2, "%"), tblPiNAnalysis[[#Headers],[CCCM%]:[WASH%]], 0))=$A33, 1, 0)))), "")</f>
        <v/>
      </c>
      <c r="F33" s="92" t="str" cm="1">
        <f t="array" ref="F33">IFERROR(IF(OR($A33="", F$5=""), "", IF(SUM(IF(INDEX(_xlfn._xlws.FILTER(tblPiNAnalysis[[CCCM%]:[WASH%]], tblPiNAnalysis[CCCM]=F$5), 0, MATCH(_xlfn.CONCAT($Q$2, "%"), tblPiNAnalysis[[#Headers],[CCCM%]:[WASH%]], 0))=$A33, 1, 0))=0, "",SUM(IF(INDEX(_xlfn._xlws.FILTER(tblPiNAnalysis[[CCCM%]:[WASH%]], tblPiNAnalysis[CCCM]=F$5), 0, MATCH(_xlfn.CONCAT($Q$2, "%"), tblPiNAnalysis[[#Headers],[CCCM%]:[WASH%]], 0))=$A33, 1, 0)))), "")</f>
        <v/>
      </c>
      <c r="H33" s="94"/>
      <c r="I33" s="92" t="str" cm="1">
        <f t="array" ref="I33">IF($H33="", "", IF($H33=2, SUM(IF(INDEX(_xlfn._xlws.FILTER(tblPiNHistorical[[CCCM]:[WASH]], tblPiNHistorical[Population Group]=I$5), 0, MATCH($Q$2, tblPiNHistorical[[#Headers],[CCCM]:[WASH]], 0))&gt;1.9, 1, 0)), IF(SUM(IF(INDEX(_xlfn._xlws.FILTER(tblPiNHistorical[[CCCM]:[WASH]], tblPiNHistorical[Population Group]=I$5), 0, MATCH($Q$2, tblPiNHistorical[[#Headers],[CCCM]:[WASH]], 0))=$H33, 1, 0))=0, "", SUM(IF(INDEX(_xlfn._xlws.FILTER(tblPiNHistorical[[CCCM]:[WASH]], tblPiNHistorical[Population Group]=I$5), 0, MATCH($Q$2, tblPiNHistorical[[#Headers],[CCCM]:[WASH]], 0))=$H33, 1, 0)))))</f>
        <v/>
      </c>
      <c r="J33" s="92" t="str" cm="1">
        <f t="array" ref="J33">IFERROR(IF(OR($H33="", J32=""), "", IF($H33=2, SUM(IF(INDEX(_xlfn._xlws.FILTER(tblPiNHistorical[[CCCM]:[WASH]], tblPiNHistorical[Population Group]=J$5), 0, MATCH($Q$2, tblPiNHistorical[[#Headers],[CCCM]:[WASH]], 0))&gt;1.9, 1, 0)), IF(SUM(IF(INDEX(_xlfn._xlws.FILTER(tblPiNHistorical[[CCCM]:[WASH]], tblPiNHistorical[Population Group]=J$5), 0, MATCH($Q$2, tblPiNHistorical[[#Headers],[CCCM]:[WASH]], 0))=$H33, 1, 0))=0, "", SUM(IF(INDEX(_xlfn._xlws.FILTER(tblPiNHistorical[[CCCM]:[WASH]], tblPiNHistorical[Population Group]=J$5), 0, MATCH($Q$2, tblPiNHistorical[[#Headers],[CCCM]:[WASH]], 0))=$H33, 1, 0))))), "")</f>
        <v/>
      </c>
      <c r="K33" s="92" t="str" cm="1">
        <f t="array" ref="K33">IFERROR(IF(OR($H33="", K32=""), "", IF($H33=2, SUM(IF(INDEX(_xlfn._xlws.FILTER(tblPiNHistorical[[CCCM]:[WASH]], tblPiNHistorical[CCCM - old]=K$5), 0, MATCH($Q$2, tblPiNHistorical[[#Headers],[CCCM]:[WASH]], 0))&gt;1.9, 1, 0)), IF(SUM(IF(INDEX(_xlfn._xlws.FILTER(tblPiNHistorical[[CCCM]:[WASH]], tblPiNHistorical[CCCM - old]=K$5), 0, MATCH($Q$2, tblPiNHistorical[[#Headers],[CCCM]:[WASH]], 0))=$H33, 1, 0))=0, "", SUM(IF(INDEX(_xlfn._xlws.FILTER(tblPiNHistorical[[CCCM]:[WASH]], tblPiNHistorical[CCCM - old]=K$5), 0, MATCH($Q$2, tblPiNHistorical[[#Headers],[CCCM]:[WASH]], 0))=$H33, 1, 0))))), "")</f>
        <v/>
      </c>
      <c r="L33" s="92" t="str" cm="1">
        <f t="array" ref="L33">IFERROR(IF(OR($H33="", L32=""), "", IF($H33=2, SUM(IF(INDEX(_xlfn._xlws.FILTER(tblPiNHistorical[[CCCM]:[WASH]],#REF!= L$5), 0, MATCH($Q$2, tblPiNHistorical[[#Headers],[CCCM]:[WASH]], 0))&gt;1.9, 1, 0)), IF(SUM(IF(INDEX(_xlfn._xlws.FILTER(tblPiNHistorical[[CCCM]:[WASH]],#REF!= L$5), 0, MATCH($Q$2, tblPiNHistorical[[#Headers],[CCCM]:[WASH]], 0))=$H33, 1, 0))=0, "", SUM(IF(INDEX(_xlfn._xlws.FILTER(tblPiNHistorical[[CCCM]:[WASH]],#REF!= L$5), 0, MATCH($Q$2, tblPiNHistorical[[#Headers],[CCCM]:[WASH]], 0))=$H33, 1, 0))))), "")</f>
        <v/>
      </c>
      <c r="M33" s="92" t="str" cm="1">
        <f t="array" ref="M33">IFERROR(IF(OR($H33="", M32=""), "", IF($H33=2, SUM(IF(INDEX(_xlfn._xlws.FILTER(tblPiNHistorical[[CCCM]:[WASH]],#REF!= M$5), 0, MATCH($Q$2, tblPiNHistorical[[#Headers],[CCCM]:[WASH]], 0))&gt;1.9, 1, 0)), IF(SUM(IF(INDEX(_xlfn._xlws.FILTER(tblPiNHistorical[[CCCM]:[WASH]],#REF!= M$5), 0, MATCH($Q$2, tblPiNHistorical[[#Headers],[CCCM]:[WASH]], 0))=$H33, 1, 0))=0, "", SUM(IF(INDEX(_xlfn._xlws.FILTER(tblPiNHistorical[[CCCM]:[WASH]],#REF!= M$5), 0, MATCH($Q$2, tblPiNHistorical[[#Headers],[CCCM]:[WASH]], 0))=$H33, 1, 0))))), "")</f>
        <v/>
      </c>
      <c r="Q33" t="str">
        <f>IF(E$5 = "", "", _xlfn.CONCAT("- ", MAXA(E$6:E$77)," units of ", E$5, " population group have a % PiN at of ", INDEX(A$6:A$77, MATCH(MAXA(E$6:E$77), E$6:E$77, 0))*100, "%"))</f>
        <v/>
      </c>
      <c r="Z33" s="168"/>
      <c r="AB33" t="str" cm="1">
        <f t="array" ref="AB33">IF(L$5="", "", _xlfn.CONCAT("- ", IF(IFERROR(MAXA(_xlfn._xlws.FILTER(L$6:L$77, H$6:H$77&gt;0)), 0) = 0, "", _xlfn.CONCAT(MAXA(_xlfn._xlws.FILTER(L$6:L$77, H$6:H$77&gt;0)), " units have ", INDEX(H$6:H$77, MATCH(MAXA(_xlfn._xlws.FILTER(L$6:L$77, H$6:H$77&gt;0)), L$6:L$77, 0))*100, "% PiN increase")), IF(OR(IFERROR(MAXA(_xlfn._xlws.FILTER(L$6:L$77, H$6:H$77&gt;0)), 0) = 0,IFERROR(MAXA(_xlfn._xlws.FILTER(L$6:L$77, H$6:H$77&lt;0)), 0) = 0), "", " and "), IF(IFERROR(MAXA(_xlfn._xlws.FILTER(L$6:L$77, H$6:H$77&lt;0)), 0)=0, "", _xlfn.CONCAT(MAXA(_xlfn._xlws.FILTER(L$6:L$77, H$6:H$77&lt;0)), " units have ", INDEX(H$6:H$77, MATCH(MAXA(_xlfn._xlws.FILTER(L$6:L$77, H$6:H$77&lt;0)), L$6:L$77, 0))*-100, "% PiN decrease")), " from ",  $Q$2, IF(L$5="", "", _xlfn.CONCAT(" for the ", L$5," population group"))))</f>
        <v/>
      </c>
    </row>
    <row r="34" spans="1:28">
      <c r="A34" s="94"/>
      <c r="B34" s="92" t="str" cm="1">
        <f t="array" ref="B34">IF($A34="", "", IF(SUM(IF(INDEX(_xlfn._xlws.FILTER(tblPiNAnalysis[[CCCM%]:[WASH%]], tblPiNAnalysis[Population Group]=B$5), 0, MATCH(_xlfn.CONCAT($Q$2, "%"), tblPiNAnalysis[[#Headers],[CCCM%]:[WASH%]], 0))=$A34, 1, 0))=0, "",SUM(IF(INDEX(_xlfn._xlws.FILTER(tblPiNAnalysis[[CCCM%]:[WASH%]], tblPiNAnalysis[Population Group]=B$5), 0, MATCH(_xlfn.CONCAT($Q$2, "%"), tblPiNAnalysis[[#Headers],[CCCM%]:[WASH%]], 0))=$A34, 1, 0))))</f>
        <v/>
      </c>
      <c r="C34" s="92" t="str" cm="1">
        <f t="array" ref="C34">IFERROR(IF(OR($A34="", C$5=""), "", IF(SUM(IF(INDEX(_xlfn._xlws.FILTER(tblPiNAnalysis[[CCCM%]:[WASH%]], tblPiNAnalysis[Population Group]=C$5), 0, MATCH(_xlfn.CONCAT($Q$2, "%"), tblPiNAnalysis[[#Headers],[CCCM%]:[WASH%]], 0))=$A34, 1, 0))=0, "",SUM(IF(INDEX(_xlfn._xlws.FILTER(tblPiNAnalysis[[CCCM%]:[WASH%]], tblPiNAnalysis[Population Group]=C$5), 0, MATCH(_xlfn.CONCAT($Q$2, "%"), tblPiNAnalysis[[#Headers],[CCCM%]:[WASH%]], 0))=$A34, 1, 0)))), "")</f>
        <v/>
      </c>
      <c r="D34" s="92" t="str" cm="1">
        <f t="array" ref="D34">IFERROR(IF(OR($A34="", D$5=""), "", IF(SUM(IF(INDEX(_xlfn._xlws.FILTER(tblPiNAnalysis[[CCCM%]:[WASH%]], tblPiNAnalysis[Population Group]=D$5), 0, MATCH(_xlfn.CONCAT($Q$2, "%"), tblPiNAnalysis[[#Headers],[CCCM%]:[WASH%]], 0))=$A34, 1, 0))=0, "",SUM(IF(INDEX(_xlfn._xlws.FILTER(tblPiNAnalysis[[CCCM%]:[WASH%]], tblPiNAnalysis[Population Group]=D$5), 0, MATCH(_xlfn.CONCAT($Q$2, "%"), tblPiNAnalysis[[#Headers],[CCCM%]:[WASH%]], 0))=$A34, 1, 0)))), "")</f>
        <v/>
      </c>
      <c r="E34" s="92" t="str" cm="1">
        <f t="array" ref="E34">IFERROR(IF(OR($A34="", E$5=""), "", IF(SUM(IF(INDEX(_xlfn._xlws.FILTER(tblPiNAnalysis[[CCCM%]:[WASH%]], tblPiNAnalysis[Population Group]=E$5), 0, MATCH(_xlfn.CONCAT($Q$2, "%"), tblPiNAnalysis[[#Headers],[CCCM%]:[WASH%]], 0))=$A34, 1, 0))=0, "",SUM(IF(INDEX(_xlfn._xlws.FILTER(tblPiNAnalysis[[CCCM%]:[WASH%]], tblPiNAnalysis[Population Group]=E$5), 0, MATCH(_xlfn.CONCAT($Q$2, "%"), tblPiNAnalysis[[#Headers],[CCCM%]:[WASH%]], 0))=$A34, 1, 0)))), "")</f>
        <v/>
      </c>
      <c r="F34" s="92" t="str" cm="1">
        <f t="array" ref="F34">IFERROR(IF(OR($A34="", F$5=""), "", IF(SUM(IF(INDEX(_xlfn._xlws.FILTER(tblPiNAnalysis[[CCCM%]:[WASH%]], tblPiNAnalysis[CCCM]=F$5), 0, MATCH(_xlfn.CONCAT($Q$2, "%"), tblPiNAnalysis[[#Headers],[CCCM%]:[WASH%]], 0))=$A34, 1, 0))=0, "",SUM(IF(INDEX(_xlfn._xlws.FILTER(tblPiNAnalysis[[CCCM%]:[WASH%]], tblPiNAnalysis[CCCM]=F$5), 0, MATCH(_xlfn.CONCAT($Q$2, "%"), tblPiNAnalysis[[#Headers],[CCCM%]:[WASH%]], 0))=$A34, 1, 0)))), "")</f>
        <v/>
      </c>
      <c r="H34" s="94"/>
      <c r="I34" s="92" t="str" cm="1">
        <f t="array" ref="I34">IF($H34="", "", IF($H34=2, SUM(IF(INDEX(_xlfn._xlws.FILTER(tblPiNHistorical[[CCCM]:[WASH]], tblPiNHistorical[Population Group]=I$5), 0, MATCH($Q$2, tblPiNHistorical[[#Headers],[CCCM]:[WASH]], 0))&gt;1.9, 1, 0)), IF(SUM(IF(INDEX(_xlfn._xlws.FILTER(tblPiNHistorical[[CCCM]:[WASH]], tblPiNHistorical[Population Group]=I$5), 0, MATCH($Q$2, tblPiNHistorical[[#Headers],[CCCM]:[WASH]], 0))=$H34, 1, 0))=0, "", SUM(IF(INDEX(_xlfn._xlws.FILTER(tblPiNHistorical[[CCCM]:[WASH]], tblPiNHistorical[Population Group]=I$5), 0, MATCH($Q$2, tblPiNHistorical[[#Headers],[CCCM]:[WASH]], 0))=$H34, 1, 0)))))</f>
        <v/>
      </c>
      <c r="J34" s="92" t="str" cm="1">
        <f t="array" ref="J34">IFERROR(IF(OR($H34="", J33=""), "", IF($H34=2, SUM(IF(INDEX(_xlfn._xlws.FILTER(tblPiNHistorical[[CCCM]:[WASH]], tblPiNHistorical[Population Group]=J$5), 0, MATCH($Q$2, tblPiNHistorical[[#Headers],[CCCM]:[WASH]], 0))&gt;1.9, 1, 0)), IF(SUM(IF(INDEX(_xlfn._xlws.FILTER(tblPiNHistorical[[CCCM]:[WASH]], tblPiNHistorical[Population Group]=J$5), 0, MATCH($Q$2, tblPiNHistorical[[#Headers],[CCCM]:[WASH]], 0))=$H34, 1, 0))=0, "", SUM(IF(INDEX(_xlfn._xlws.FILTER(tblPiNHistorical[[CCCM]:[WASH]], tblPiNHistorical[Population Group]=J$5), 0, MATCH($Q$2, tblPiNHistorical[[#Headers],[CCCM]:[WASH]], 0))=$H34, 1, 0))))), "")</f>
        <v/>
      </c>
      <c r="K34" s="92" t="str" cm="1">
        <f t="array" ref="K34">IFERROR(IF(OR($H34="", K33=""), "", IF($H34=2, SUM(IF(INDEX(_xlfn._xlws.FILTER(tblPiNHistorical[[CCCM]:[WASH]], tblPiNHistorical[CCCM - old]=K$5), 0, MATCH($Q$2, tblPiNHistorical[[#Headers],[CCCM]:[WASH]], 0))&gt;1.9, 1, 0)), IF(SUM(IF(INDEX(_xlfn._xlws.FILTER(tblPiNHistorical[[CCCM]:[WASH]], tblPiNHistorical[CCCM - old]=K$5), 0, MATCH($Q$2, tblPiNHistorical[[#Headers],[CCCM]:[WASH]], 0))=$H34, 1, 0))=0, "", SUM(IF(INDEX(_xlfn._xlws.FILTER(tblPiNHistorical[[CCCM]:[WASH]], tblPiNHistorical[CCCM - old]=K$5), 0, MATCH($Q$2, tblPiNHistorical[[#Headers],[CCCM]:[WASH]], 0))=$H34, 1, 0))))), "")</f>
        <v/>
      </c>
      <c r="L34" s="92" t="str" cm="1">
        <f t="array" ref="L34">IFERROR(IF(OR($H34="", L33=""), "", IF($H34=2, SUM(IF(INDEX(_xlfn._xlws.FILTER(tblPiNHistorical[[CCCM]:[WASH]],#REF!= L$5), 0, MATCH($Q$2, tblPiNHistorical[[#Headers],[CCCM]:[WASH]], 0))&gt;1.9, 1, 0)), IF(SUM(IF(INDEX(_xlfn._xlws.FILTER(tblPiNHistorical[[CCCM]:[WASH]],#REF!= L$5), 0, MATCH($Q$2, tblPiNHistorical[[#Headers],[CCCM]:[WASH]], 0))=$H34, 1, 0))=0, "", SUM(IF(INDEX(_xlfn._xlws.FILTER(tblPiNHistorical[[CCCM]:[WASH]],#REF!= L$5), 0, MATCH($Q$2, tblPiNHistorical[[#Headers],[CCCM]:[WASH]], 0))=$H34, 1, 0))))), "")</f>
        <v/>
      </c>
      <c r="M34" s="92" t="str" cm="1">
        <f t="array" ref="M34">IFERROR(IF(OR($H34="", M33=""), "", IF($H34=2, SUM(IF(INDEX(_xlfn._xlws.FILTER(tblPiNHistorical[[CCCM]:[WASH]],#REF!= M$5), 0, MATCH($Q$2, tblPiNHistorical[[#Headers],[CCCM]:[WASH]], 0))&gt;1.9, 1, 0)), IF(SUM(IF(INDEX(_xlfn._xlws.FILTER(tblPiNHistorical[[CCCM]:[WASH]],#REF!= M$5), 0, MATCH($Q$2, tblPiNHistorical[[#Headers],[CCCM]:[WASH]], 0))=$H34, 1, 0))=0, "", SUM(IF(INDEX(_xlfn._xlws.FILTER(tblPiNHistorical[[CCCM]:[WASH]],#REF!= M$5), 0, MATCH($Q$2, tblPiNHistorical[[#Headers],[CCCM]:[WASH]], 0))=$H34, 1, 0))))), "")</f>
        <v/>
      </c>
      <c r="Q34" t="str">
        <f>IF(F$5 = "", "", _xlfn.CONCAT("- ", MAXA(F$6:F$77)," units of ", F$5, " population group have a % PiN at of ", INDEX(A$6:A$77, MATCH(MAXA(F$6:F$77), F$6:F$77, 0))*100, "%"))</f>
        <v/>
      </c>
      <c r="AB34" t="str" cm="1">
        <f t="array" ref="AB34">IF(M$5="", "", _xlfn.CONCAT("- ", IF(IFERROR(MAXA(_xlfn._xlws.FILTER(M$6:M$77, H$6:H$77&gt;0)), 0) = 0, "", _xlfn.CONCAT(MAXA(_xlfn._xlws.FILTER(M$6:M$77, H$6:H$77&gt;0)), " units have ", INDEX(H$6:H$77, MATCH(MAXA(_xlfn._xlws.FILTER(M$6:M$77, H$6:H$77&gt;0)), M$6:M$77, 0))*100, "% PiN increase")), IF(OR(IFERROR(MAXA(_xlfn._xlws.FILTER(M$6:M$77, H$6:H$77&gt;0)), 0) = 0,IFERROR(MAXA(_xlfn._xlws.FILTER(M$6:M$77, H$6:H$77&lt;0)), 0) = 0), "", " and "), IF(IFERROR(MAXA(_xlfn._xlws.FILTER(M$6:M$77, H$6:H$77&lt;0)), 0)=0, "", _xlfn.CONCAT(MAXA(_xlfn._xlws.FILTER(M$6:M$77, H$6:H$77&lt;0)), " units have ", INDEX(H$6:H$77, MATCH(MAXA(_xlfn._xlws.FILTER(M$6:M$77, H$6:H$77&lt;0)), M$6:M$77, 0))*-100, "% PiN decrease")), " from ",  $Q$2, IF(M$5="", "", _xlfn.CONCAT(" for the ", M$5," population group"))))</f>
        <v/>
      </c>
    </row>
    <row r="35" spans="1:28">
      <c r="A35" s="94"/>
      <c r="B35" s="92" t="str" cm="1">
        <f t="array" ref="B35">IF($A35="", "", IF(SUM(IF(INDEX(_xlfn._xlws.FILTER(tblPiNAnalysis[[CCCM%]:[WASH%]], tblPiNAnalysis[Population Group]=B$5), 0, MATCH(_xlfn.CONCAT($Q$2, "%"), tblPiNAnalysis[[#Headers],[CCCM%]:[WASH%]], 0))=$A35, 1, 0))=0, "",SUM(IF(INDEX(_xlfn._xlws.FILTER(tblPiNAnalysis[[CCCM%]:[WASH%]], tblPiNAnalysis[Population Group]=B$5), 0, MATCH(_xlfn.CONCAT($Q$2, "%"), tblPiNAnalysis[[#Headers],[CCCM%]:[WASH%]], 0))=$A35, 1, 0))))</f>
        <v/>
      </c>
      <c r="C35" s="92" t="str" cm="1">
        <f t="array" ref="C35">IFERROR(IF(OR($A35="", C$5=""), "", IF(SUM(IF(INDEX(_xlfn._xlws.FILTER(tblPiNAnalysis[[CCCM%]:[WASH%]], tblPiNAnalysis[Population Group]=C$5), 0, MATCH(_xlfn.CONCAT($Q$2, "%"), tblPiNAnalysis[[#Headers],[CCCM%]:[WASH%]], 0))=$A35, 1, 0))=0, "",SUM(IF(INDEX(_xlfn._xlws.FILTER(tblPiNAnalysis[[CCCM%]:[WASH%]], tblPiNAnalysis[Population Group]=C$5), 0, MATCH(_xlfn.CONCAT($Q$2, "%"), tblPiNAnalysis[[#Headers],[CCCM%]:[WASH%]], 0))=$A35, 1, 0)))), "")</f>
        <v/>
      </c>
      <c r="D35" s="92" t="str" cm="1">
        <f t="array" ref="D35">IFERROR(IF(OR($A35="", D$5=""), "", IF(SUM(IF(INDEX(_xlfn._xlws.FILTER(tblPiNAnalysis[[CCCM%]:[WASH%]], tblPiNAnalysis[Population Group]=D$5), 0, MATCH(_xlfn.CONCAT($Q$2, "%"), tblPiNAnalysis[[#Headers],[CCCM%]:[WASH%]], 0))=$A35, 1, 0))=0, "",SUM(IF(INDEX(_xlfn._xlws.FILTER(tblPiNAnalysis[[CCCM%]:[WASH%]], tblPiNAnalysis[Population Group]=D$5), 0, MATCH(_xlfn.CONCAT($Q$2, "%"), tblPiNAnalysis[[#Headers],[CCCM%]:[WASH%]], 0))=$A35, 1, 0)))), "")</f>
        <v/>
      </c>
      <c r="E35" s="92" t="str" cm="1">
        <f t="array" ref="E35">IFERROR(IF(OR($A35="", E$5=""), "", IF(SUM(IF(INDEX(_xlfn._xlws.FILTER(tblPiNAnalysis[[CCCM%]:[WASH%]], tblPiNAnalysis[Population Group]=E$5), 0, MATCH(_xlfn.CONCAT($Q$2, "%"), tblPiNAnalysis[[#Headers],[CCCM%]:[WASH%]], 0))=$A35, 1, 0))=0, "",SUM(IF(INDEX(_xlfn._xlws.FILTER(tblPiNAnalysis[[CCCM%]:[WASH%]], tblPiNAnalysis[Population Group]=E$5), 0, MATCH(_xlfn.CONCAT($Q$2, "%"), tblPiNAnalysis[[#Headers],[CCCM%]:[WASH%]], 0))=$A35, 1, 0)))), "")</f>
        <v/>
      </c>
      <c r="F35" s="92" t="str" cm="1">
        <f t="array" ref="F35">IFERROR(IF(OR($A35="", F$5=""), "", IF(SUM(IF(INDEX(_xlfn._xlws.FILTER(tblPiNAnalysis[[CCCM%]:[WASH%]], tblPiNAnalysis[CCCM]=F$5), 0, MATCH(_xlfn.CONCAT($Q$2, "%"), tblPiNAnalysis[[#Headers],[CCCM%]:[WASH%]], 0))=$A35, 1, 0))=0, "",SUM(IF(INDEX(_xlfn._xlws.FILTER(tblPiNAnalysis[[CCCM%]:[WASH%]], tblPiNAnalysis[CCCM]=F$5), 0, MATCH(_xlfn.CONCAT($Q$2, "%"), tblPiNAnalysis[[#Headers],[CCCM%]:[WASH%]], 0))=$A35, 1, 0)))), "")</f>
        <v/>
      </c>
      <c r="H35" s="94"/>
      <c r="I35" s="92" t="str" cm="1">
        <f t="array" ref="I35">IF($H35="", "", IF($H35=2, SUM(IF(INDEX(_xlfn._xlws.FILTER(tblPiNHistorical[[CCCM]:[WASH]], tblPiNHistorical[Population Group]=I$5), 0, MATCH($Q$2, tblPiNHistorical[[#Headers],[CCCM]:[WASH]], 0))&gt;1.9, 1, 0)), IF(SUM(IF(INDEX(_xlfn._xlws.FILTER(tblPiNHistorical[[CCCM]:[WASH]], tblPiNHistorical[Population Group]=I$5), 0, MATCH($Q$2, tblPiNHistorical[[#Headers],[CCCM]:[WASH]], 0))=$H35, 1, 0))=0, "", SUM(IF(INDEX(_xlfn._xlws.FILTER(tblPiNHistorical[[CCCM]:[WASH]], tblPiNHistorical[Population Group]=I$5), 0, MATCH($Q$2, tblPiNHistorical[[#Headers],[CCCM]:[WASH]], 0))=$H35, 1, 0)))))</f>
        <v/>
      </c>
      <c r="J35" s="92" t="str" cm="1">
        <f t="array" ref="J35">IFERROR(IF(OR($H35="", J34=""), "", IF($H35=2, SUM(IF(INDEX(_xlfn._xlws.FILTER(tblPiNHistorical[[CCCM]:[WASH]], tblPiNHistorical[Population Group]=J$5), 0, MATCH($Q$2, tblPiNHistorical[[#Headers],[CCCM]:[WASH]], 0))&gt;1.9, 1, 0)), IF(SUM(IF(INDEX(_xlfn._xlws.FILTER(tblPiNHistorical[[CCCM]:[WASH]], tblPiNHistorical[Population Group]=J$5), 0, MATCH($Q$2, tblPiNHistorical[[#Headers],[CCCM]:[WASH]], 0))=$H35, 1, 0))=0, "", SUM(IF(INDEX(_xlfn._xlws.FILTER(tblPiNHistorical[[CCCM]:[WASH]], tblPiNHistorical[Population Group]=J$5), 0, MATCH($Q$2, tblPiNHistorical[[#Headers],[CCCM]:[WASH]], 0))=$H35, 1, 0))))), "")</f>
        <v/>
      </c>
      <c r="K35" s="92" t="str" cm="1">
        <f t="array" ref="K35">IFERROR(IF(OR($H35="", K34=""), "", IF($H35=2, SUM(IF(INDEX(_xlfn._xlws.FILTER(tblPiNHistorical[[CCCM]:[WASH]], tblPiNHistorical[CCCM - old]=K$5), 0, MATCH($Q$2, tblPiNHistorical[[#Headers],[CCCM]:[WASH]], 0))&gt;1.9, 1, 0)), IF(SUM(IF(INDEX(_xlfn._xlws.FILTER(tblPiNHistorical[[CCCM]:[WASH]], tblPiNHistorical[CCCM - old]=K$5), 0, MATCH($Q$2, tblPiNHistorical[[#Headers],[CCCM]:[WASH]], 0))=$H35, 1, 0))=0, "", SUM(IF(INDEX(_xlfn._xlws.FILTER(tblPiNHistorical[[CCCM]:[WASH]], tblPiNHistorical[CCCM - old]=K$5), 0, MATCH($Q$2, tblPiNHistorical[[#Headers],[CCCM]:[WASH]], 0))=$H35, 1, 0))))), "")</f>
        <v/>
      </c>
      <c r="L35" s="92" t="str" cm="1">
        <f t="array" ref="L35">IFERROR(IF(OR($H35="", L34=""), "", IF($H35=2, SUM(IF(INDEX(_xlfn._xlws.FILTER(tblPiNHistorical[[CCCM]:[WASH]],#REF!= L$5), 0, MATCH($Q$2, tblPiNHistorical[[#Headers],[CCCM]:[WASH]], 0))&gt;1.9, 1, 0)), IF(SUM(IF(INDEX(_xlfn._xlws.FILTER(tblPiNHistorical[[CCCM]:[WASH]],#REF!= L$5), 0, MATCH($Q$2, tblPiNHistorical[[#Headers],[CCCM]:[WASH]], 0))=$H35, 1, 0))=0, "", SUM(IF(INDEX(_xlfn._xlws.FILTER(tblPiNHistorical[[CCCM]:[WASH]],#REF!= L$5), 0, MATCH($Q$2, tblPiNHistorical[[#Headers],[CCCM]:[WASH]], 0))=$H35, 1, 0))))), "")</f>
        <v/>
      </c>
      <c r="M35" s="92" t="str" cm="1">
        <f t="array" ref="M35">IFERROR(IF(OR($H35="", M34=""), "", IF($H35=2, SUM(IF(INDEX(_xlfn._xlws.FILTER(tblPiNHistorical[[CCCM]:[WASH]],#REF!= M$5), 0, MATCH($Q$2, tblPiNHistorical[[#Headers],[CCCM]:[WASH]], 0))&gt;1.9, 1, 0)), IF(SUM(IF(INDEX(_xlfn._xlws.FILTER(tblPiNHistorical[[CCCM]:[WASH]],#REF!= M$5), 0, MATCH($Q$2, tblPiNHistorical[[#Headers],[CCCM]:[WASH]], 0))=$H35, 1, 0))=0, "", SUM(IF(INDEX(_xlfn._xlws.FILTER(tblPiNHistorical[[CCCM]:[WASH]],#REF!= M$5), 0, MATCH($Q$2, tblPiNHistorical[[#Headers],[CCCM]:[WASH]], 0))=$H35, 1, 0))))), "")</f>
        <v/>
      </c>
    </row>
    <row r="36" spans="1:28">
      <c r="A36" s="94"/>
      <c r="B36" s="92" t="str" cm="1">
        <f t="array" ref="B36">IF($A36="", "", IF(SUM(IF(INDEX(_xlfn._xlws.FILTER(tblPiNAnalysis[[CCCM%]:[WASH%]], tblPiNAnalysis[Population Group]=B$5), 0, MATCH(_xlfn.CONCAT($Q$2, "%"), tblPiNAnalysis[[#Headers],[CCCM%]:[WASH%]], 0))=$A36, 1, 0))=0, "",SUM(IF(INDEX(_xlfn._xlws.FILTER(tblPiNAnalysis[[CCCM%]:[WASH%]], tblPiNAnalysis[Population Group]=B$5), 0, MATCH(_xlfn.CONCAT($Q$2, "%"), tblPiNAnalysis[[#Headers],[CCCM%]:[WASH%]], 0))=$A36, 1, 0))))</f>
        <v/>
      </c>
      <c r="C36" s="92" t="str" cm="1">
        <f t="array" ref="C36">IFERROR(IF(OR($A36="", C$5=""), "", IF(SUM(IF(INDEX(_xlfn._xlws.FILTER(tblPiNAnalysis[[CCCM%]:[WASH%]], tblPiNAnalysis[Population Group]=C$5), 0, MATCH(_xlfn.CONCAT($Q$2, "%"), tblPiNAnalysis[[#Headers],[CCCM%]:[WASH%]], 0))=$A36, 1, 0))=0, "",SUM(IF(INDEX(_xlfn._xlws.FILTER(tblPiNAnalysis[[CCCM%]:[WASH%]], tblPiNAnalysis[Population Group]=C$5), 0, MATCH(_xlfn.CONCAT($Q$2, "%"), tblPiNAnalysis[[#Headers],[CCCM%]:[WASH%]], 0))=$A36, 1, 0)))), "")</f>
        <v/>
      </c>
      <c r="D36" s="92" t="str" cm="1">
        <f t="array" ref="D36">IFERROR(IF(OR($A36="", D$5=""), "", IF(SUM(IF(INDEX(_xlfn._xlws.FILTER(tblPiNAnalysis[[CCCM%]:[WASH%]], tblPiNAnalysis[Population Group]=D$5), 0, MATCH(_xlfn.CONCAT($Q$2, "%"), tblPiNAnalysis[[#Headers],[CCCM%]:[WASH%]], 0))=$A36, 1, 0))=0, "",SUM(IF(INDEX(_xlfn._xlws.FILTER(tblPiNAnalysis[[CCCM%]:[WASH%]], tblPiNAnalysis[Population Group]=D$5), 0, MATCH(_xlfn.CONCAT($Q$2, "%"), tblPiNAnalysis[[#Headers],[CCCM%]:[WASH%]], 0))=$A36, 1, 0)))), "")</f>
        <v/>
      </c>
      <c r="E36" s="92" t="str" cm="1">
        <f t="array" ref="E36">IFERROR(IF(OR($A36="", E$5=""), "", IF(SUM(IF(INDEX(_xlfn._xlws.FILTER(tblPiNAnalysis[[CCCM%]:[WASH%]], tblPiNAnalysis[Population Group]=E$5), 0, MATCH(_xlfn.CONCAT($Q$2, "%"), tblPiNAnalysis[[#Headers],[CCCM%]:[WASH%]], 0))=$A36, 1, 0))=0, "",SUM(IF(INDEX(_xlfn._xlws.FILTER(tblPiNAnalysis[[CCCM%]:[WASH%]], tblPiNAnalysis[Population Group]=E$5), 0, MATCH(_xlfn.CONCAT($Q$2, "%"), tblPiNAnalysis[[#Headers],[CCCM%]:[WASH%]], 0))=$A36, 1, 0)))), "")</f>
        <v/>
      </c>
      <c r="F36" s="92" t="str" cm="1">
        <f t="array" ref="F36">IFERROR(IF(OR($A36="", F$5=""), "", IF(SUM(IF(INDEX(_xlfn._xlws.FILTER(tblPiNAnalysis[[CCCM%]:[WASH%]], tblPiNAnalysis[CCCM]=F$5), 0, MATCH(_xlfn.CONCAT($Q$2, "%"), tblPiNAnalysis[[#Headers],[CCCM%]:[WASH%]], 0))=$A36, 1, 0))=0, "",SUM(IF(INDEX(_xlfn._xlws.FILTER(tblPiNAnalysis[[CCCM%]:[WASH%]], tblPiNAnalysis[CCCM]=F$5), 0, MATCH(_xlfn.CONCAT($Q$2, "%"), tblPiNAnalysis[[#Headers],[CCCM%]:[WASH%]], 0))=$A36, 1, 0)))), "")</f>
        <v/>
      </c>
      <c r="H36" s="94"/>
      <c r="I36" s="92" t="str" cm="1">
        <f t="array" ref="I36">IF($H36="", "", IF($H36=2, SUM(IF(INDEX(_xlfn._xlws.FILTER(tblPiNHistorical[[CCCM]:[WASH]], tblPiNHistorical[Population Group]=I$5), 0, MATCH($Q$2, tblPiNHistorical[[#Headers],[CCCM]:[WASH]], 0))&gt;1.9, 1, 0)), IF(SUM(IF(INDEX(_xlfn._xlws.FILTER(tblPiNHistorical[[CCCM]:[WASH]], tblPiNHistorical[Population Group]=I$5), 0, MATCH($Q$2, tblPiNHistorical[[#Headers],[CCCM]:[WASH]], 0))=$H36, 1, 0))=0, "", SUM(IF(INDEX(_xlfn._xlws.FILTER(tblPiNHistorical[[CCCM]:[WASH]], tblPiNHistorical[Population Group]=I$5), 0, MATCH($Q$2, tblPiNHistorical[[#Headers],[CCCM]:[WASH]], 0))=$H36, 1, 0)))))</f>
        <v/>
      </c>
      <c r="J36" s="92" t="str" cm="1">
        <f t="array" ref="J36">IFERROR(IF(OR($H36="", J35=""), "", IF($H36=2, SUM(IF(INDEX(_xlfn._xlws.FILTER(tblPiNHistorical[[CCCM]:[WASH]], tblPiNHistorical[Population Group]=J$5), 0, MATCH($Q$2, tblPiNHistorical[[#Headers],[CCCM]:[WASH]], 0))&gt;1.9, 1, 0)), IF(SUM(IF(INDEX(_xlfn._xlws.FILTER(tblPiNHistorical[[CCCM]:[WASH]], tblPiNHistorical[Population Group]=J$5), 0, MATCH($Q$2, tblPiNHistorical[[#Headers],[CCCM]:[WASH]], 0))=$H36, 1, 0))=0, "", SUM(IF(INDEX(_xlfn._xlws.FILTER(tblPiNHistorical[[CCCM]:[WASH]], tblPiNHistorical[Population Group]=J$5), 0, MATCH($Q$2, tblPiNHistorical[[#Headers],[CCCM]:[WASH]], 0))=$H36, 1, 0))))), "")</f>
        <v/>
      </c>
      <c r="K36" s="92" t="str" cm="1">
        <f t="array" ref="K36">IFERROR(IF(OR($H36="", K35=""), "", IF($H36=2, SUM(IF(INDEX(_xlfn._xlws.FILTER(tblPiNHistorical[[CCCM]:[WASH]], tblPiNHistorical[CCCM - old]=K$5), 0, MATCH($Q$2, tblPiNHistorical[[#Headers],[CCCM]:[WASH]], 0))&gt;1.9, 1, 0)), IF(SUM(IF(INDEX(_xlfn._xlws.FILTER(tblPiNHistorical[[CCCM]:[WASH]], tblPiNHistorical[CCCM - old]=K$5), 0, MATCH($Q$2, tblPiNHistorical[[#Headers],[CCCM]:[WASH]], 0))=$H36, 1, 0))=0, "", SUM(IF(INDEX(_xlfn._xlws.FILTER(tblPiNHistorical[[CCCM]:[WASH]], tblPiNHistorical[CCCM - old]=K$5), 0, MATCH($Q$2, tblPiNHistorical[[#Headers],[CCCM]:[WASH]], 0))=$H36, 1, 0))))), "")</f>
        <v/>
      </c>
      <c r="L36" s="92" t="str" cm="1">
        <f t="array" ref="L36">IFERROR(IF(OR($H36="", L35=""), "", IF($H36=2, SUM(IF(INDEX(_xlfn._xlws.FILTER(tblPiNHistorical[[CCCM]:[WASH]],#REF!= L$5), 0, MATCH($Q$2, tblPiNHistorical[[#Headers],[CCCM]:[WASH]], 0))&gt;1.9, 1, 0)), IF(SUM(IF(INDEX(_xlfn._xlws.FILTER(tblPiNHistorical[[CCCM]:[WASH]],#REF!= L$5), 0, MATCH($Q$2, tblPiNHistorical[[#Headers],[CCCM]:[WASH]], 0))=$H36, 1, 0))=0, "", SUM(IF(INDEX(_xlfn._xlws.FILTER(tblPiNHistorical[[CCCM]:[WASH]],#REF!= L$5), 0, MATCH($Q$2, tblPiNHistorical[[#Headers],[CCCM]:[WASH]], 0))=$H36, 1, 0))))), "")</f>
        <v/>
      </c>
      <c r="M36" s="92" t="str" cm="1">
        <f t="array" ref="M36">IFERROR(IF(OR($H36="", M35=""), "", IF($H36=2, SUM(IF(INDEX(_xlfn._xlws.FILTER(tblPiNHistorical[[CCCM]:[WASH]],#REF!= M$5), 0, MATCH($Q$2, tblPiNHistorical[[#Headers],[CCCM]:[WASH]], 0))&gt;1.9, 1, 0)), IF(SUM(IF(INDEX(_xlfn._xlws.FILTER(tblPiNHistorical[[CCCM]:[WASH]],#REF!= M$5), 0, MATCH($Q$2, tblPiNHistorical[[#Headers],[CCCM]:[WASH]], 0))=$H36, 1, 0))=0, "", SUM(IF(INDEX(_xlfn._xlws.FILTER(tblPiNHistorical[[CCCM]:[WASH]],#REF!= M$5), 0, MATCH($Q$2, tblPiNHistorical[[#Headers],[CCCM]:[WASH]], 0))=$H36, 1, 0))))), "")</f>
        <v/>
      </c>
    </row>
    <row r="37" spans="1:28">
      <c r="A37" s="94"/>
      <c r="B37" s="92" t="str" cm="1">
        <f t="array" ref="B37">IF($A37="", "", IF(SUM(IF(INDEX(_xlfn._xlws.FILTER(tblPiNAnalysis[[CCCM%]:[WASH%]], tblPiNAnalysis[Population Group]=B$5), 0, MATCH(_xlfn.CONCAT($Q$2, "%"), tblPiNAnalysis[[#Headers],[CCCM%]:[WASH%]], 0))=$A37, 1, 0))=0, "",SUM(IF(INDEX(_xlfn._xlws.FILTER(tblPiNAnalysis[[CCCM%]:[WASH%]], tblPiNAnalysis[Population Group]=B$5), 0, MATCH(_xlfn.CONCAT($Q$2, "%"), tblPiNAnalysis[[#Headers],[CCCM%]:[WASH%]], 0))=$A37, 1, 0))))</f>
        <v/>
      </c>
      <c r="C37" s="92" t="str" cm="1">
        <f t="array" ref="C37">IFERROR(IF(OR($A37="", C$5=""), "", IF(SUM(IF(INDEX(_xlfn._xlws.FILTER(tblPiNAnalysis[[CCCM%]:[WASH%]], tblPiNAnalysis[Population Group]=C$5), 0, MATCH(_xlfn.CONCAT($Q$2, "%"), tblPiNAnalysis[[#Headers],[CCCM%]:[WASH%]], 0))=$A37, 1, 0))=0, "",SUM(IF(INDEX(_xlfn._xlws.FILTER(tblPiNAnalysis[[CCCM%]:[WASH%]], tblPiNAnalysis[Population Group]=C$5), 0, MATCH(_xlfn.CONCAT($Q$2, "%"), tblPiNAnalysis[[#Headers],[CCCM%]:[WASH%]], 0))=$A37, 1, 0)))), "")</f>
        <v/>
      </c>
      <c r="D37" s="92" t="str" cm="1">
        <f t="array" ref="D37">IFERROR(IF(OR($A37="", D$5=""), "", IF(SUM(IF(INDEX(_xlfn._xlws.FILTER(tblPiNAnalysis[[CCCM%]:[WASH%]], tblPiNAnalysis[Population Group]=D$5), 0, MATCH(_xlfn.CONCAT($Q$2, "%"), tblPiNAnalysis[[#Headers],[CCCM%]:[WASH%]], 0))=$A37, 1, 0))=0, "",SUM(IF(INDEX(_xlfn._xlws.FILTER(tblPiNAnalysis[[CCCM%]:[WASH%]], tblPiNAnalysis[Population Group]=D$5), 0, MATCH(_xlfn.CONCAT($Q$2, "%"), tblPiNAnalysis[[#Headers],[CCCM%]:[WASH%]], 0))=$A37, 1, 0)))), "")</f>
        <v/>
      </c>
      <c r="E37" s="92" t="str" cm="1">
        <f t="array" ref="E37">IFERROR(IF(OR($A37="", E$5=""), "", IF(SUM(IF(INDEX(_xlfn._xlws.FILTER(tblPiNAnalysis[[CCCM%]:[WASH%]], tblPiNAnalysis[Population Group]=E$5), 0, MATCH(_xlfn.CONCAT($Q$2, "%"), tblPiNAnalysis[[#Headers],[CCCM%]:[WASH%]], 0))=$A37, 1, 0))=0, "",SUM(IF(INDEX(_xlfn._xlws.FILTER(tblPiNAnalysis[[CCCM%]:[WASH%]], tblPiNAnalysis[Population Group]=E$5), 0, MATCH(_xlfn.CONCAT($Q$2, "%"), tblPiNAnalysis[[#Headers],[CCCM%]:[WASH%]], 0))=$A37, 1, 0)))), "")</f>
        <v/>
      </c>
      <c r="F37" s="92" t="str" cm="1">
        <f t="array" ref="F37">IFERROR(IF(OR($A37="", F$5=""), "", IF(SUM(IF(INDEX(_xlfn._xlws.FILTER(tblPiNAnalysis[[CCCM%]:[WASH%]], tblPiNAnalysis[CCCM]=F$5), 0, MATCH(_xlfn.CONCAT($Q$2, "%"), tblPiNAnalysis[[#Headers],[CCCM%]:[WASH%]], 0))=$A37, 1, 0))=0, "",SUM(IF(INDEX(_xlfn._xlws.FILTER(tblPiNAnalysis[[CCCM%]:[WASH%]], tblPiNAnalysis[CCCM]=F$5), 0, MATCH(_xlfn.CONCAT($Q$2, "%"), tblPiNAnalysis[[#Headers],[CCCM%]:[WASH%]], 0))=$A37, 1, 0)))), "")</f>
        <v/>
      </c>
      <c r="H37" s="94"/>
      <c r="I37" s="92" t="str" cm="1">
        <f t="array" ref="I37">IF($H37="", "", IF($H37=2, SUM(IF(INDEX(_xlfn._xlws.FILTER(tblPiNHistorical[[CCCM]:[WASH]], tblPiNHistorical[Population Group]=I$5), 0, MATCH($Q$2, tblPiNHistorical[[#Headers],[CCCM]:[WASH]], 0))&gt;1.9, 1, 0)), IF(SUM(IF(INDEX(_xlfn._xlws.FILTER(tblPiNHistorical[[CCCM]:[WASH]], tblPiNHistorical[Population Group]=I$5), 0, MATCH($Q$2, tblPiNHistorical[[#Headers],[CCCM]:[WASH]], 0))=$H37, 1, 0))=0, "", SUM(IF(INDEX(_xlfn._xlws.FILTER(tblPiNHistorical[[CCCM]:[WASH]], tblPiNHistorical[Population Group]=I$5), 0, MATCH($Q$2, tblPiNHistorical[[#Headers],[CCCM]:[WASH]], 0))=$H37, 1, 0)))))</f>
        <v/>
      </c>
      <c r="J37" s="92" t="str" cm="1">
        <f t="array" ref="J37">IFERROR(IF(OR($H37="", J36=""), "", IF($H37=2, SUM(IF(INDEX(_xlfn._xlws.FILTER(tblPiNHistorical[[CCCM]:[WASH]], tblPiNHistorical[Population Group]=J$5), 0, MATCH($Q$2, tblPiNHistorical[[#Headers],[CCCM]:[WASH]], 0))&gt;1.9, 1, 0)), IF(SUM(IF(INDEX(_xlfn._xlws.FILTER(tblPiNHistorical[[CCCM]:[WASH]], tblPiNHistorical[Population Group]=J$5), 0, MATCH($Q$2, tblPiNHistorical[[#Headers],[CCCM]:[WASH]], 0))=$H37, 1, 0))=0, "", SUM(IF(INDEX(_xlfn._xlws.FILTER(tblPiNHistorical[[CCCM]:[WASH]], tblPiNHistorical[Population Group]=J$5), 0, MATCH($Q$2, tblPiNHistorical[[#Headers],[CCCM]:[WASH]], 0))=$H37, 1, 0))))), "")</f>
        <v/>
      </c>
      <c r="K37" s="92" t="str" cm="1">
        <f t="array" ref="K37">IFERROR(IF(OR($H37="", K36=""), "", IF($H37=2, SUM(IF(INDEX(_xlfn._xlws.FILTER(tblPiNHistorical[[CCCM]:[WASH]], tblPiNHistorical[CCCM - old]=K$5), 0, MATCH($Q$2, tblPiNHistorical[[#Headers],[CCCM]:[WASH]], 0))&gt;1.9, 1, 0)), IF(SUM(IF(INDEX(_xlfn._xlws.FILTER(tblPiNHistorical[[CCCM]:[WASH]], tblPiNHistorical[CCCM - old]=K$5), 0, MATCH($Q$2, tblPiNHistorical[[#Headers],[CCCM]:[WASH]], 0))=$H37, 1, 0))=0, "", SUM(IF(INDEX(_xlfn._xlws.FILTER(tblPiNHistorical[[CCCM]:[WASH]], tblPiNHistorical[CCCM - old]=K$5), 0, MATCH($Q$2, tblPiNHistorical[[#Headers],[CCCM]:[WASH]], 0))=$H37, 1, 0))))), "")</f>
        <v/>
      </c>
      <c r="L37" s="92" t="str" cm="1">
        <f t="array" ref="L37">IFERROR(IF(OR($H37="", L36=""), "", IF($H37=2, SUM(IF(INDEX(_xlfn._xlws.FILTER(tblPiNHistorical[[CCCM]:[WASH]],#REF!= L$5), 0, MATCH($Q$2, tblPiNHistorical[[#Headers],[CCCM]:[WASH]], 0))&gt;1.9, 1, 0)), IF(SUM(IF(INDEX(_xlfn._xlws.FILTER(tblPiNHistorical[[CCCM]:[WASH]],#REF!= L$5), 0, MATCH($Q$2, tblPiNHistorical[[#Headers],[CCCM]:[WASH]], 0))=$H37, 1, 0))=0, "", SUM(IF(INDEX(_xlfn._xlws.FILTER(tblPiNHistorical[[CCCM]:[WASH]],#REF!= L$5), 0, MATCH($Q$2, tblPiNHistorical[[#Headers],[CCCM]:[WASH]], 0))=$H37, 1, 0))))), "")</f>
        <v/>
      </c>
      <c r="M37" s="92" t="str" cm="1">
        <f t="array" ref="M37">IFERROR(IF(OR($H37="", M36=""), "", IF($H37=2, SUM(IF(INDEX(_xlfn._xlws.FILTER(tblPiNHistorical[[CCCM]:[WASH]],#REF!= M$5), 0, MATCH($Q$2, tblPiNHistorical[[#Headers],[CCCM]:[WASH]], 0))&gt;1.9, 1, 0)), IF(SUM(IF(INDEX(_xlfn._xlws.FILTER(tblPiNHistorical[[CCCM]:[WASH]],#REF!= M$5), 0, MATCH($Q$2, tblPiNHistorical[[#Headers],[CCCM]:[WASH]], 0))=$H37, 1, 0))=0, "", SUM(IF(INDEX(_xlfn._xlws.FILTER(tblPiNHistorical[[CCCM]:[WASH]],#REF!= M$5), 0, MATCH($Q$2, tblPiNHistorical[[#Headers],[CCCM]:[WASH]], 0))=$H37, 1, 0))))), "")</f>
        <v/>
      </c>
    </row>
    <row r="38" spans="1:28">
      <c r="A38" s="94"/>
      <c r="B38" s="92" t="str" cm="1">
        <f t="array" ref="B38">IF($A38="", "", IF(SUM(IF(INDEX(_xlfn._xlws.FILTER(tblPiNAnalysis[[CCCM%]:[WASH%]], tblPiNAnalysis[Population Group]=B$5), 0, MATCH(_xlfn.CONCAT($Q$2, "%"), tblPiNAnalysis[[#Headers],[CCCM%]:[WASH%]], 0))=$A38, 1, 0))=0, "",SUM(IF(INDEX(_xlfn._xlws.FILTER(tblPiNAnalysis[[CCCM%]:[WASH%]], tblPiNAnalysis[Population Group]=B$5), 0, MATCH(_xlfn.CONCAT($Q$2, "%"), tblPiNAnalysis[[#Headers],[CCCM%]:[WASH%]], 0))=$A38, 1, 0))))</f>
        <v/>
      </c>
      <c r="C38" s="92" t="str" cm="1">
        <f t="array" ref="C38">IFERROR(IF(OR($A38="", C$5=""), "", IF(SUM(IF(INDEX(_xlfn._xlws.FILTER(tblPiNAnalysis[[CCCM%]:[WASH%]], tblPiNAnalysis[Population Group]=C$5), 0, MATCH(_xlfn.CONCAT($Q$2, "%"), tblPiNAnalysis[[#Headers],[CCCM%]:[WASH%]], 0))=$A38, 1, 0))=0, "",SUM(IF(INDEX(_xlfn._xlws.FILTER(tblPiNAnalysis[[CCCM%]:[WASH%]], tblPiNAnalysis[Population Group]=C$5), 0, MATCH(_xlfn.CONCAT($Q$2, "%"), tblPiNAnalysis[[#Headers],[CCCM%]:[WASH%]], 0))=$A38, 1, 0)))), "")</f>
        <v/>
      </c>
      <c r="D38" s="92" t="str" cm="1">
        <f t="array" ref="D38">IFERROR(IF(OR($A38="", D$5=""), "", IF(SUM(IF(INDEX(_xlfn._xlws.FILTER(tblPiNAnalysis[[CCCM%]:[WASH%]], tblPiNAnalysis[Population Group]=D$5), 0, MATCH(_xlfn.CONCAT($Q$2, "%"), tblPiNAnalysis[[#Headers],[CCCM%]:[WASH%]], 0))=$A38, 1, 0))=0, "",SUM(IF(INDEX(_xlfn._xlws.FILTER(tblPiNAnalysis[[CCCM%]:[WASH%]], tblPiNAnalysis[Population Group]=D$5), 0, MATCH(_xlfn.CONCAT($Q$2, "%"), tblPiNAnalysis[[#Headers],[CCCM%]:[WASH%]], 0))=$A38, 1, 0)))), "")</f>
        <v/>
      </c>
      <c r="E38" s="92" t="str" cm="1">
        <f t="array" ref="E38">IFERROR(IF(OR($A38="", E$5=""), "", IF(SUM(IF(INDEX(_xlfn._xlws.FILTER(tblPiNAnalysis[[CCCM%]:[WASH%]], tblPiNAnalysis[Population Group]=E$5), 0, MATCH(_xlfn.CONCAT($Q$2, "%"), tblPiNAnalysis[[#Headers],[CCCM%]:[WASH%]], 0))=$A38, 1, 0))=0, "",SUM(IF(INDEX(_xlfn._xlws.FILTER(tblPiNAnalysis[[CCCM%]:[WASH%]], tblPiNAnalysis[Population Group]=E$5), 0, MATCH(_xlfn.CONCAT($Q$2, "%"), tblPiNAnalysis[[#Headers],[CCCM%]:[WASH%]], 0))=$A38, 1, 0)))), "")</f>
        <v/>
      </c>
      <c r="F38" s="92" t="str" cm="1">
        <f t="array" ref="F38">IFERROR(IF(OR($A38="", F$5=""), "", IF(SUM(IF(INDEX(_xlfn._xlws.FILTER(tblPiNAnalysis[[CCCM%]:[WASH%]], tblPiNAnalysis[CCCM]=F$5), 0, MATCH(_xlfn.CONCAT($Q$2, "%"), tblPiNAnalysis[[#Headers],[CCCM%]:[WASH%]], 0))=$A38, 1, 0))=0, "",SUM(IF(INDEX(_xlfn._xlws.FILTER(tblPiNAnalysis[[CCCM%]:[WASH%]], tblPiNAnalysis[CCCM]=F$5), 0, MATCH(_xlfn.CONCAT($Q$2, "%"), tblPiNAnalysis[[#Headers],[CCCM%]:[WASH%]], 0))=$A38, 1, 0)))), "")</f>
        <v/>
      </c>
      <c r="H38" s="94"/>
      <c r="I38" s="92" t="str" cm="1">
        <f t="array" ref="I38">IF($H38="", "", IF($H38=2, SUM(IF(INDEX(_xlfn._xlws.FILTER(tblPiNHistorical[[CCCM]:[WASH]], tblPiNHistorical[Population Group]=I$5), 0, MATCH($Q$2, tblPiNHistorical[[#Headers],[CCCM]:[WASH]], 0))&gt;1.9, 1, 0)), IF(SUM(IF(INDEX(_xlfn._xlws.FILTER(tblPiNHistorical[[CCCM]:[WASH]], tblPiNHistorical[Population Group]=I$5), 0, MATCH($Q$2, tblPiNHistorical[[#Headers],[CCCM]:[WASH]], 0))=$H38, 1, 0))=0, "", SUM(IF(INDEX(_xlfn._xlws.FILTER(tblPiNHistorical[[CCCM]:[WASH]], tblPiNHistorical[Population Group]=I$5), 0, MATCH($Q$2, tblPiNHistorical[[#Headers],[CCCM]:[WASH]], 0))=$H38, 1, 0)))))</f>
        <v/>
      </c>
      <c r="J38" s="92" t="str" cm="1">
        <f t="array" ref="J38">IFERROR(IF(OR($H38="", J37=""), "", IF($H38=2, SUM(IF(INDEX(_xlfn._xlws.FILTER(tblPiNHistorical[[CCCM]:[WASH]], tblPiNHistorical[Population Group]=J$5), 0, MATCH($Q$2, tblPiNHistorical[[#Headers],[CCCM]:[WASH]], 0))&gt;1.9, 1, 0)), IF(SUM(IF(INDEX(_xlfn._xlws.FILTER(tblPiNHistorical[[CCCM]:[WASH]], tblPiNHistorical[Population Group]=J$5), 0, MATCH($Q$2, tblPiNHistorical[[#Headers],[CCCM]:[WASH]], 0))=$H38, 1, 0))=0, "", SUM(IF(INDEX(_xlfn._xlws.FILTER(tblPiNHistorical[[CCCM]:[WASH]], tblPiNHistorical[Population Group]=J$5), 0, MATCH($Q$2, tblPiNHistorical[[#Headers],[CCCM]:[WASH]], 0))=$H38, 1, 0))))), "")</f>
        <v/>
      </c>
      <c r="K38" s="92" t="str" cm="1">
        <f t="array" ref="K38">IFERROR(IF(OR($H38="", K37=""), "", IF($H38=2, SUM(IF(INDEX(_xlfn._xlws.FILTER(tblPiNHistorical[[CCCM]:[WASH]], tblPiNHistorical[CCCM - old]=K$5), 0, MATCH($Q$2, tblPiNHistorical[[#Headers],[CCCM]:[WASH]], 0))&gt;1.9, 1, 0)), IF(SUM(IF(INDEX(_xlfn._xlws.FILTER(tblPiNHistorical[[CCCM]:[WASH]], tblPiNHistorical[CCCM - old]=K$5), 0, MATCH($Q$2, tblPiNHistorical[[#Headers],[CCCM]:[WASH]], 0))=$H38, 1, 0))=0, "", SUM(IF(INDEX(_xlfn._xlws.FILTER(tblPiNHistorical[[CCCM]:[WASH]], tblPiNHistorical[CCCM - old]=K$5), 0, MATCH($Q$2, tblPiNHistorical[[#Headers],[CCCM]:[WASH]], 0))=$H38, 1, 0))))), "")</f>
        <v/>
      </c>
      <c r="L38" s="92" t="str" cm="1">
        <f t="array" ref="L38">IFERROR(IF(OR($H38="", L37=""), "", IF($H38=2, SUM(IF(INDEX(_xlfn._xlws.FILTER(tblPiNHistorical[[CCCM]:[WASH]],#REF!= L$5), 0, MATCH($Q$2, tblPiNHistorical[[#Headers],[CCCM]:[WASH]], 0))&gt;1.9, 1, 0)), IF(SUM(IF(INDEX(_xlfn._xlws.FILTER(tblPiNHistorical[[CCCM]:[WASH]],#REF!= L$5), 0, MATCH($Q$2, tblPiNHistorical[[#Headers],[CCCM]:[WASH]], 0))=$H38, 1, 0))=0, "", SUM(IF(INDEX(_xlfn._xlws.FILTER(tblPiNHistorical[[CCCM]:[WASH]],#REF!= L$5), 0, MATCH($Q$2, tblPiNHistorical[[#Headers],[CCCM]:[WASH]], 0))=$H38, 1, 0))))), "")</f>
        <v/>
      </c>
      <c r="M38" s="92" t="str" cm="1">
        <f t="array" ref="M38">IFERROR(IF(OR($H38="", M37=""), "", IF($H38=2, SUM(IF(INDEX(_xlfn._xlws.FILTER(tblPiNHistorical[[CCCM]:[WASH]],#REF!= M$5), 0, MATCH($Q$2, tblPiNHistorical[[#Headers],[CCCM]:[WASH]], 0))&gt;1.9, 1, 0)), IF(SUM(IF(INDEX(_xlfn._xlws.FILTER(tblPiNHistorical[[CCCM]:[WASH]],#REF!= M$5), 0, MATCH($Q$2, tblPiNHistorical[[#Headers],[CCCM]:[WASH]], 0))=$H38, 1, 0))=0, "", SUM(IF(INDEX(_xlfn._xlws.FILTER(tblPiNHistorical[[CCCM]:[WASH]],#REF!= M$5), 0, MATCH($Q$2, tblPiNHistorical[[#Headers],[CCCM]:[WASH]], 0))=$H38, 1, 0))))), "")</f>
        <v/>
      </c>
    </row>
    <row r="39" spans="1:28">
      <c r="A39" s="94"/>
      <c r="B39" s="92" t="str" cm="1">
        <f t="array" ref="B39">IF($A39="", "", IF(SUM(IF(INDEX(_xlfn._xlws.FILTER(tblPiNAnalysis[[CCCM%]:[WASH%]], tblPiNAnalysis[Population Group]=B$5), 0, MATCH(_xlfn.CONCAT($Q$2, "%"), tblPiNAnalysis[[#Headers],[CCCM%]:[WASH%]], 0))=$A39, 1, 0))=0, "",SUM(IF(INDEX(_xlfn._xlws.FILTER(tblPiNAnalysis[[CCCM%]:[WASH%]], tblPiNAnalysis[Population Group]=B$5), 0, MATCH(_xlfn.CONCAT($Q$2, "%"), tblPiNAnalysis[[#Headers],[CCCM%]:[WASH%]], 0))=$A39, 1, 0))))</f>
        <v/>
      </c>
      <c r="C39" s="92" t="str" cm="1">
        <f t="array" ref="C39">IFERROR(IF(OR($A39="", C$5=""), "", IF(SUM(IF(INDEX(_xlfn._xlws.FILTER(tblPiNAnalysis[[CCCM%]:[WASH%]], tblPiNAnalysis[Population Group]=C$5), 0, MATCH(_xlfn.CONCAT($Q$2, "%"), tblPiNAnalysis[[#Headers],[CCCM%]:[WASH%]], 0))=$A39, 1, 0))=0, "",SUM(IF(INDEX(_xlfn._xlws.FILTER(tblPiNAnalysis[[CCCM%]:[WASH%]], tblPiNAnalysis[Population Group]=C$5), 0, MATCH(_xlfn.CONCAT($Q$2, "%"), tblPiNAnalysis[[#Headers],[CCCM%]:[WASH%]], 0))=$A39, 1, 0)))), "")</f>
        <v/>
      </c>
      <c r="D39" s="92" t="str" cm="1">
        <f t="array" ref="D39">IFERROR(IF(OR($A39="", D$5=""), "", IF(SUM(IF(INDEX(_xlfn._xlws.FILTER(tblPiNAnalysis[[CCCM%]:[WASH%]], tblPiNAnalysis[Population Group]=D$5), 0, MATCH(_xlfn.CONCAT($Q$2, "%"), tblPiNAnalysis[[#Headers],[CCCM%]:[WASH%]], 0))=$A39, 1, 0))=0, "",SUM(IF(INDEX(_xlfn._xlws.FILTER(tblPiNAnalysis[[CCCM%]:[WASH%]], tblPiNAnalysis[Population Group]=D$5), 0, MATCH(_xlfn.CONCAT($Q$2, "%"), tblPiNAnalysis[[#Headers],[CCCM%]:[WASH%]], 0))=$A39, 1, 0)))), "")</f>
        <v/>
      </c>
      <c r="E39" s="92" t="str" cm="1">
        <f t="array" ref="E39">IFERROR(IF(OR($A39="", E$5=""), "", IF(SUM(IF(INDEX(_xlfn._xlws.FILTER(tblPiNAnalysis[[CCCM%]:[WASH%]], tblPiNAnalysis[Population Group]=E$5), 0, MATCH(_xlfn.CONCAT($Q$2, "%"), tblPiNAnalysis[[#Headers],[CCCM%]:[WASH%]], 0))=$A39, 1, 0))=0, "",SUM(IF(INDEX(_xlfn._xlws.FILTER(tblPiNAnalysis[[CCCM%]:[WASH%]], tblPiNAnalysis[Population Group]=E$5), 0, MATCH(_xlfn.CONCAT($Q$2, "%"), tblPiNAnalysis[[#Headers],[CCCM%]:[WASH%]], 0))=$A39, 1, 0)))), "")</f>
        <v/>
      </c>
      <c r="F39" s="92" t="str" cm="1">
        <f t="array" ref="F39">IFERROR(IF(OR($A39="", F$5=""), "", IF(SUM(IF(INDEX(_xlfn._xlws.FILTER(tblPiNAnalysis[[CCCM%]:[WASH%]], tblPiNAnalysis[CCCM]=F$5), 0, MATCH(_xlfn.CONCAT($Q$2, "%"), tblPiNAnalysis[[#Headers],[CCCM%]:[WASH%]], 0))=$A39, 1, 0))=0, "",SUM(IF(INDEX(_xlfn._xlws.FILTER(tblPiNAnalysis[[CCCM%]:[WASH%]], tblPiNAnalysis[CCCM]=F$5), 0, MATCH(_xlfn.CONCAT($Q$2, "%"), tblPiNAnalysis[[#Headers],[CCCM%]:[WASH%]], 0))=$A39, 1, 0)))), "")</f>
        <v/>
      </c>
      <c r="H39" s="94"/>
      <c r="I39" s="92" t="str" cm="1">
        <f t="array" ref="I39">IF($H39="", "", IF($H39=2, SUM(IF(INDEX(_xlfn._xlws.FILTER(tblPiNHistorical[[CCCM]:[WASH]], tblPiNHistorical[Population Group]=I$5), 0, MATCH($Q$2, tblPiNHistorical[[#Headers],[CCCM]:[WASH]], 0))&gt;1.9, 1, 0)), IF(SUM(IF(INDEX(_xlfn._xlws.FILTER(tblPiNHistorical[[CCCM]:[WASH]], tblPiNHistorical[Population Group]=I$5), 0, MATCH($Q$2, tblPiNHistorical[[#Headers],[CCCM]:[WASH]], 0))=$H39, 1, 0))=0, "", SUM(IF(INDEX(_xlfn._xlws.FILTER(tblPiNHistorical[[CCCM]:[WASH]], tblPiNHistorical[Population Group]=I$5), 0, MATCH($Q$2, tblPiNHistorical[[#Headers],[CCCM]:[WASH]], 0))=$H39, 1, 0)))))</f>
        <v/>
      </c>
      <c r="J39" s="92" t="str" cm="1">
        <f t="array" ref="J39">IFERROR(IF(OR($H39="", J38=""), "", IF($H39=2, SUM(IF(INDEX(_xlfn._xlws.FILTER(tblPiNHistorical[[CCCM]:[WASH]], tblPiNHistorical[Population Group]=J$5), 0, MATCH($Q$2, tblPiNHistorical[[#Headers],[CCCM]:[WASH]], 0))&gt;1.9, 1, 0)), IF(SUM(IF(INDEX(_xlfn._xlws.FILTER(tblPiNHistorical[[CCCM]:[WASH]], tblPiNHistorical[Population Group]=J$5), 0, MATCH($Q$2, tblPiNHistorical[[#Headers],[CCCM]:[WASH]], 0))=$H39, 1, 0))=0, "", SUM(IF(INDEX(_xlfn._xlws.FILTER(tblPiNHistorical[[CCCM]:[WASH]], tblPiNHistorical[Population Group]=J$5), 0, MATCH($Q$2, tblPiNHistorical[[#Headers],[CCCM]:[WASH]], 0))=$H39, 1, 0))))), "")</f>
        <v/>
      </c>
      <c r="K39" s="92" t="str" cm="1">
        <f t="array" ref="K39">IFERROR(IF(OR($H39="", K38=""), "", IF($H39=2, SUM(IF(INDEX(_xlfn._xlws.FILTER(tblPiNHistorical[[CCCM]:[WASH]], tblPiNHistorical[CCCM - old]=K$5), 0, MATCH($Q$2, tblPiNHistorical[[#Headers],[CCCM]:[WASH]], 0))&gt;1.9, 1, 0)), IF(SUM(IF(INDEX(_xlfn._xlws.FILTER(tblPiNHistorical[[CCCM]:[WASH]], tblPiNHistorical[CCCM - old]=K$5), 0, MATCH($Q$2, tblPiNHistorical[[#Headers],[CCCM]:[WASH]], 0))=$H39, 1, 0))=0, "", SUM(IF(INDEX(_xlfn._xlws.FILTER(tblPiNHistorical[[CCCM]:[WASH]], tblPiNHistorical[CCCM - old]=K$5), 0, MATCH($Q$2, tblPiNHistorical[[#Headers],[CCCM]:[WASH]], 0))=$H39, 1, 0))))), "")</f>
        <v/>
      </c>
      <c r="L39" s="92" t="str" cm="1">
        <f t="array" ref="L39">IFERROR(IF(OR($H39="", L38=""), "", IF($H39=2, SUM(IF(INDEX(_xlfn._xlws.FILTER(tblPiNHistorical[[CCCM]:[WASH]],#REF!= L$5), 0, MATCH($Q$2, tblPiNHistorical[[#Headers],[CCCM]:[WASH]], 0))&gt;1.9, 1, 0)), IF(SUM(IF(INDEX(_xlfn._xlws.FILTER(tblPiNHistorical[[CCCM]:[WASH]],#REF!= L$5), 0, MATCH($Q$2, tblPiNHistorical[[#Headers],[CCCM]:[WASH]], 0))=$H39, 1, 0))=0, "", SUM(IF(INDEX(_xlfn._xlws.FILTER(tblPiNHistorical[[CCCM]:[WASH]],#REF!= L$5), 0, MATCH($Q$2, tblPiNHistorical[[#Headers],[CCCM]:[WASH]], 0))=$H39, 1, 0))))), "")</f>
        <v/>
      </c>
      <c r="M39" s="92" t="str" cm="1">
        <f t="array" ref="M39">IFERROR(IF(OR($H39="", M38=""), "", IF($H39=2, SUM(IF(INDEX(_xlfn._xlws.FILTER(tblPiNHistorical[[CCCM]:[WASH]],#REF!= M$5), 0, MATCH($Q$2, tblPiNHistorical[[#Headers],[CCCM]:[WASH]], 0))&gt;1.9, 1, 0)), IF(SUM(IF(INDEX(_xlfn._xlws.FILTER(tblPiNHistorical[[CCCM]:[WASH]],#REF!= M$5), 0, MATCH($Q$2, tblPiNHistorical[[#Headers],[CCCM]:[WASH]], 0))=$H39, 1, 0))=0, "", SUM(IF(INDEX(_xlfn._xlws.FILTER(tblPiNHistorical[[CCCM]:[WASH]],#REF!= M$5), 0, MATCH($Q$2, tblPiNHistorical[[#Headers],[CCCM]:[WASH]], 0))=$H39, 1, 0))))), "")</f>
        <v/>
      </c>
    </row>
    <row r="40" spans="1:28">
      <c r="A40" s="94"/>
      <c r="B40" s="92" t="str" cm="1">
        <f t="array" ref="B40">IF($A40="", "", IF(SUM(IF(INDEX(_xlfn._xlws.FILTER(tblPiNAnalysis[[CCCM%]:[WASH%]], tblPiNAnalysis[Population Group]=B$5), 0, MATCH(_xlfn.CONCAT($Q$2, "%"), tblPiNAnalysis[[#Headers],[CCCM%]:[WASH%]], 0))=$A40, 1, 0))=0, "",SUM(IF(INDEX(_xlfn._xlws.FILTER(tblPiNAnalysis[[CCCM%]:[WASH%]], tblPiNAnalysis[Population Group]=B$5), 0, MATCH(_xlfn.CONCAT($Q$2, "%"), tblPiNAnalysis[[#Headers],[CCCM%]:[WASH%]], 0))=$A40, 1, 0))))</f>
        <v/>
      </c>
      <c r="C40" s="92" t="str" cm="1">
        <f t="array" ref="C40">IFERROR(IF(OR($A40="", C$5=""), "", IF(SUM(IF(INDEX(_xlfn._xlws.FILTER(tblPiNAnalysis[[CCCM%]:[WASH%]], tblPiNAnalysis[Population Group]=C$5), 0, MATCH(_xlfn.CONCAT($Q$2, "%"), tblPiNAnalysis[[#Headers],[CCCM%]:[WASH%]], 0))=$A40, 1, 0))=0, "",SUM(IF(INDEX(_xlfn._xlws.FILTER(tblPiNAnalysis[[CCCM%]:[WASH%]], tblPiNAnalysis[Population Group]=C$5), 0, MATCH(_xlfn.CONCAT($Q$2, "%"), tblPiNAnalysis[[#Headers],[CCCM%]:[WASH%]], 0))=$A40, 1, 0)))), "")</f>
        <v/>
      </c>
      <c r="D40" s="92" t="str" cm="1">
        <f t="array" ref="D40">IFERROR(IF(OR($A40="", D$5=""), "", IF(SUM(IF(INDEX(_xlfn._xlws.FILTER(tblPiNAnalysis[[CCCM%]:[WASH%]], tblPiNAnalysis[Population Group]=D$5), 0, MATCH(_xlfn.CONCAT($Q$2, "%"), tblPiNAnalysis[[#Headers],[CCCM%]:[WASH%]], 0))=$A40, 1, 0))=0, "",SUM(IF(INDEX(_xlfn._xlws.FILTER(tblPiNAnalysis[[CCCM%]:[WASH%]], tblPiNAnalysis[Population Group]=D$5), 0, MATCH(_xlfn.CONCAT($Q$2, "%"), tblPiNAnalysis[[#Headers],[CCCM%]:[WASH%]], 0))=$A40, 1, 0)))), "")</f>
        <v/>
      </c>
      <c r="E40" s="92" t="str" cm="1">
        <f t="array" ref="E40">IFERROR(IF(OR($A40="", E$5=""), "", IF(SUM(IF(INDEX(_xlfn._xlws.FILTER(tblPiNAnalysis[[CCCM%]:[WASH%]], tblPiNAnalysis[Population Group]=E$5), 0, MATCH(_xlfn.CONCAT($Q$2, "%"), tblPiNAnalysis[[#Headers],[CCCM%]:[WASH%]], 0))=$A40, 1, 0))=0, "",SUM(IF(INDEX(_xlfn._xlws.FILTER(tblPiNAnalysis[[CCCM%]:[WASH%]], tblPiNAnalysis[Population Group]=E$5), 0, MATCH(_xlfn.CONCAT($Q$2, "%"), tblPiNAnalysis[[#Headers],[CCCM%]:[WASH%]], 0))=$A40, 1, 0)))), "")</f>
        <v/>
      </c>
      <c r="F40" s="92" t="str" cm="1">
        <f t="array" ref="F40">IFERROR(IF(OR($A40="", F$5=""), "", IF(SUM(IF(INDEX(_xlfn._xlws.FILTER(tblPiNAnalysis[[CCCM%]:[WASH%]], tblPiNAnalysis[CCCM]=F$5), 0, MATCH(_xlfn.CONCAT($Q$2, "%"), tblPiNAnalysis[[#Headers],[CCCM%]:[WASH%]], 0))=$A40, 1, 0))=0, "",SUM(IF(INDEX(_xlfn._xlws.FILTER(tblPiNAnalysis[[CCCM%]:[WASH%]], tblPiNAnalysis[CCCM]=F$5), 0, MATCH(_xlfn.CONCAT($Q$2, "%"), tblPiNAnalysis[[#Headers],[CCCM%]:[WASH%]], 0))=$A40, 1, 0)))), "")</f>
        <v/>
      </c>
      <c r="H40" s="94"/>
      <c r="I40" s="92" t="str" cm="1">
        <f t="array" ref="I40">IF($H40="", "", IF($H40=2, SUM(IF(INDEX(_xlfn._xlws.FILTER(tblPiNHistorical[[CCCM]:[WASH]], tblPiNHistorical[Population Group]=I$5), 0, MATCH($Q$2, tblPiNHistorical[[#Headers],[CCCM]:[WASH]], 0))&gt;1.9, 1, 0)), IF(SUM(IF(INDEX(_xlfn._xlws.FILTER(tblPiNHistorical[[CCCM]:[WASH]], tblPiNHistorical[Population Group]=I$5), 0, MATCH($Q$2, tblPiNHistorical[[#Headers],[CCCM]:[WASH]], 0))=$H40, 1, 0))=0, "", SUM(IF(INDEX(_xlfn._xlws.FILTER(tblPiNHistorical[[CCCM]:[WASH]], tblPiNHistorical[Population Group]=I$5), 0, MATCH($Q$2, tblPiNHistorical[[#Headers],[CCCM]:[WASH]], 0))=$H40, 1, 0)))))</f>
        <v/>
      </c>
      <c r="J40" s="92" t="str" cm="1">
        <f t="array" ref="J40">IFERROR(IF(OR($H40="", J39=""), "", IF($H40=2, SUM(IF(INDEX(_xlfn._xlws.FILTER(tblPiNHistorical[[CCCM]:[WASH]], tblPiNHistorical[Population Group]=J$5), 0, MATCH($Q$2, tblPiNHistorical[[#Headers],[CCCM]:[WASH]], 0))&gt;1.9, 1, 0)), IF(SUM(IF(INDEX(_xlfn._xlws.FILTER(tblPiNHistorical[[CCCM]:[WASH]], tblPiNHistorical[Population Group]=J$5), 0, MATCH($Q$2, tblPiNHistorical[[#Headers],[CCCM]:[WASH]], 0))=$H40, 1, 0))=0, "", SUM(IF(INDEX(_xlfn._xlws.FILTER(tblPiNHistorical[[CCCM]:[WASH]], tblPiNHistorical[Population Group]=J$5), 0, MATCH($Q$2, tblPiNHistorical[[#Headers],[CCCM]:[WASH]], 0))=$H40, 1, 0))))), "")</f>
        <v/>
      </c>
      <c r="K40" s="92" t="str" cm="1">
        <f t="array" ref="K40">IFERROR(IF(OR($H40="", K39=""), "", IF($H40=2, SUM(IF(INDEX(_xlfn._xlws.FILTER(tblPiNHistorical[[CCCM]:[WASH]], tblPiNHistorical[CCCM - old]=K$5), 0, MATCH($Q$2, tblPiNHistorical[[#Headers],[CCCM]:[WASH]], 0))&gt;1.9, 1, 0)), IF(SUM(IF(INDEX(_xlfn._xlws.FILTER(tblPiNHistorical[[CCCM]:[WASH]], tblPiNHistorical[CCCM - old]=K$5), 0, MATCH($Q$2, tblPiNHistorical[[#Headers],[CCCM]:[WASH]], 0))=$H40, 1, 0))=0, "", SUM(IF(INDEX(_xlfn._xlws.FILTER(tblPiNHistorical[[CCCM]:[WASH]], tblPiNHistorical[CCCM - old]=K$5), 0, MATCH($Q$2, tblPiNHistorical[[#Headers],[CCCM]:[WASH]], 0))=$H40, 1, 0))))), "")</f>
        <v/>
      </c>
      <c r="L40" s="92" t="str" cm="1">
        <f t="array" ref="L40">IFERROR(IF(OR($H40="", L39=""), "", IF($H40=2, SUM(IF(INDEX(_xlfn._xlws.FILTER(tblPiNHistorical[[CCCM]:[WASH]],#REF!= L$5), 0, MATCH($Q$2, tblPiNHistorical[[#Headers],[CCCM]:[WASH]], 0))&gt;1.9, 1, 0)), IF(SUM(IF(INDEX(_xlfn._xlws.FILTER(tblPiNHistorical[[CCCM]:[WASH]],#REF!= L$5), 0, MATCH($Q$2, tblPiNHistorical[[#Headers],[CCCM]:[WASH]], 0))=$H40, 1, 0))=0, "", SUM(IF(INDEX(_xlfn._xlws.FILTER(tblPiNHistorical[[CCCM]:[WASH]],#REF!= L$5), 0, MATCH($Q$2, tblPiNHistorical[[#Headers],[CCCM]:[WASH]], 0))=$H40, 1, 0))))), "")</f>
        <v/>
      </c>
      <c r="M40" s="92" t="str" cm="1">
        <f t="array" ref="M40">IFERROR(IF(OR($H40="", M39=""), "", IF($H40=2, SUM(IF(INDEX(_xlfn._xlws.FILTER(tblPiNHistorical[[CCCM]:[WASH]],#REF!= M$5), 0, MATCH($Q$2, tblPiNHistorical[[#Headers],[CCCM]:[WASH]], 0))&gt;1.9, 1, 0)), IF(SUM(IF(INDEX(_xlfn._xlws.FILTER(tblPiNHistorical[[CCCM]:[WASH]],#REF!= M$5), 0, MATCH($Q$2, tblPiNHistorical[[#Headers],[CCCM]:[WASH]], 0))=$H40, 1, 0))=0, "", SUM(IF(INDEX(_xlfn._xlws.FILTER(tblPiNHistorical[[CCCM]:[WASH]],#REF!= M$5), 0, MATCH($Q$2, tblPiNHistorical[[#Headers],[CCCM]:[WASH]], 0))=$H40, 1, 0))))), "")</f>
        <v/>
      </c>
    </row>
    <row r="41" spans="1:28">
      <c r="A41" s="94"/>
      <c r="B41" s="92" t="str" cm="1">
        <f t="array" ref="B41">IF($A41="", "", IF(SUM(IF(INDEX(_xlfn._xlws.FILTER(tblPiNAnalysis[[CCCM%]:[WASH%]], tblPiNAnalysis[Population Group]=B$5), 0, MATCH(_xlfn.CONCAT($Q$2, "%"), tblPiNAnalysis[[#Headers],[CCCM%]:[WASH%]], 0))=$A41, 1, 0))=0, "",SUM(IF(INDEX(_xlfn._xlws.FILTER(tblPiNAnalysis[[CCCM%]:[WASH%]], tblPiNAnalysis[Population Group]=B$5), 0, MATCH(_xlfn.CONCAT($Q$2, "%"), tblPiNAnalysis[[#Headers],[CCCM%]:[WASH%]], 0))=$A41, 1, 0))))</f>
        <v/>
      </c>
      <c r="C41" s="92" t="str" cm="1">
        <f t="array" ref="C41">IFERROR(IF(OR($A41="", C$5=""), "", IF(SUM(IF(INDEX(_xlfn._xlws.FILTER(tblPiNAnalysis[[CCCM%]:[WASH%]], tblPiNAnalysis[Population Group]=C$5), 0, MATCH(_xlfn.CONCAT($Q$2, "%"), tblPiNAnalysis[[#Headers],[CCCM%]:[WASH%]], 0))=$A41, 1, 0))=0, "",SUM(IF(INDEX(_xlfn._xlws.FILTER(tblPiNAnalysis[[CCCM%]:[WASH%]], tblPiNAnalysis[Population Group]=C$5), 0, MATCH(_xlfn.CONCAT($Q$2, "%"), tblPiNAnalysis[[#Headers],[CCCM%]:[WASH%]], 0))=$A41, 1, 0)))), "")</f>
        <v/>
      </c>
      <c r="D41" s="92" t="str" cm="1">
        <f t="array" ref="D41">IFERROR(IF(OR($A41="", D$5=""), "", IF(SUM(IF(INDEX(_xlfn._xlws.FILTER(tblPiNAnalysis[[CCCM%]:[WASH%]], tblPiNAnalysis[Population Group]=D$5), 0, MATCH(_xlfn.CONCAT($Q$2, "%"), tblPiNAnalysis[[#Headers],[CCCM%]:[WASH%]], 0))=$A41, 1, 0))=0, "",SUM(IF(INDEX(_xlfn._xlws.FILTER(tblPiNAnalysis[[CCCM%]:[WASH%]], tblPiNAnalysis[Population Group]=D$5), 0, MATCH(_xlfn.CONCAT($Q$2, "%"), tblPiNAnalysis[[#Headers],[CCCM%]:[WASH%]], 0))=$A41, 1, 0)))), "")</f>
        <v/>
      </c>
      <c r="E41" s="92" t="str" cm="1">
        <f t="array" ref="E41">IFERROR(IF(OR($A41="", E$5=""), "", IF(SUM(IF(INDEX(_xlfn._xlws.FILTER(tblPiNAnalysis[[CCCM%]:[WASH%]], tblPiNAnalysis[Population Group]=E$5), 0, MATCH(_xlfn.CONCAT($Q$2, "%"), tblPiNAnalysis[[#Headers],[CCCM%]:[WASH%]], 0))=$A41, 1, 0))=0, "",SUM(IF(INDEX(_xlfn._xlws.FILTER(tblPiNAnalysis[[CCCM%]:[WASH%]], tblPiNAnalysis[Population Group]=E$5), 0, MATCH(_xlfn.CONCAT($Q$2, "%"), tblPiNAnalysis[[#Headers],[CCCM%]:[WASH%]], 0))=$A41, 1, 0)))), "")</f>
        <v/>
      </c>
      <c r="F41" s="92" t="str" cm="1">
        <f t="array" ref="F41">IFERROR(IF(OR($A41="", F$5=""), "", IF(SUM(IF(INDEX(_xlfn._xlws.FILTER(tblPiNAnalysis[[CCCM%]:[WASH%]], tblPiNAnalysis[CCCM]=F$5), 0, MATCH(_xlfn.CONCAT($Q$2, "%"), tblPiNAnalysis[[#Headers],[CCCM%]:[WASH%]], 0))=$A41, 1, 0))=0, "",SUM(IF(INDEX(_xlfn._xlws.FILTER(tblPiNAnalysis[[CCCM%]:[WASH%]], tblPiNAnalysis[CCCM]=F$5), 0, MATCH(_xlfn.CONCAT($Q$2, "%"), tblPiNAnalysis[[#Headers],[CCCM%]:[WASH%]], 0))=$A41, 1, 0)))), "")</f>
        <v/>
      </c>
      <c r="H41" s="94"/>
      <c r="I41" s="92" t="str" cm="1">
        <f t="array" ref="I41">IF($H41="", "", IF($H41=2, SUM(IF(INDEX(_xlfn._xlws.FILTER(tblPiNHistorical[[CCCM]:[WASH]], tblPiNHistorical[Population Group]=I$5), 0, MATCH($Q$2, tblPiNHistorical[[#Headers],[CCCM]:[WASH]], 0))&gt;1.9, 1, 0)), IF(SUM(IF(INDEX(_xlfn._xlws.FILTER(tblPiNHistorical[[CCCM]:[WASH]], tblPiNHistorical[Population Group]=I$5), 0, MATCH($Q$2, tblPiNHistorical[[#Headers],[CCCM]:[WASH]], 0))=$H41, 1, 0))=0, "", SUM(IF(INDEX(_xlfn._xlws.FILTER(tblPiNHistorical[[CCCM]:[WASH]], tblPiNHistorical[Population Group]=I$5), 0, MATCH($Q$2, tblPiNHistorical[[#Headers],[CCCM]:[WASH]], 0))=$H41, 1, 0)))))</f>
        <v/>
      </c>
      <c r="J41" s="92" t="str" cm="1">
        <f t="array" ref="J41">IFERROR(IF(OR($H41="", J40=""), "", IF($H41=2, SUM(IF(INDEX(_xlfn._xlws.FILTER(tblPiNHistorical[[CCCM]:[WASH]], tblPiNHistorical[Population Group]=J$5), 0, MATCH($Q$2, tblPiNHistorical[[#Headers],[CCCM]:[WASH]], 0))&gt;1.9, 1, 0)), IF(SUM(IF(INDEX(_xlfn._xlws.FILTER(tblPiNHistorical[[CCCM]:[WASH]], tblPiNHistorical[Population Group]=J$5), 0, MATCH($Q$2, tblPiNHistorical[[#Headers],[CCCM]:[WASH]], 0))=$H41, 1, 0))=0, "", SUM(IF(INDEX(_xlfn._xlws.FILTER(tblPiNHistorical[[CCCM]:[WASH]], tblPiNHistorical[Population Group]=J$5), 0, MATCH($Q$2, tblPiNHistorical[[#Headers],[CCCM]:[WASH]], 0))=$H41, 1, 0))))), "")</f>
        <v/>
      </c>
      <c r="K41" s="92" t="str" cm="1">
        <f t="array" ref="K41">IFERROR(IF(OR($H41="", K40=""), "", IF($H41=2, SUM(IF(INDEX(_xlfn._xlws.FILTER(tblPiNHistorical[[CCCM]:[WASH]], tblPiNHistorical[CCCM - old]=K$5), 0, MATCH($Q$2, tblPiNHistorical[[#Headers],[CCCM]:[WASH]], 0))&gt;1.9, 1, 0)), IF(SUM(IF(INDEX(_xlfn._xlws.FILTER(tblPiNHistorical[[CCCM]:[WASH]], tblPiNHistorical[CCCM - old]=K$5), 0, MATCH($Q$2, tblPiNHistorical[[#Headers],[CCCM]:[WASH]], 0))=$H41, 1, 0))=0, "", SUM(IF(INDEX(_xlfn._xlws.FILTER(tblPiNHistorical[[CCCM]:[WASH]], tblPiNHistorical[CCCM - old]=K$5), 0, MATCH($Q$2, tblPiNHistorical[[#Headers],[CCCM]:[WASH]], 0))=$H41, 1, 0))))), "")</f>
        <v/>
      </c>
      <c r="L41" s="92" t="str" cm="1">
        <f t="array" ref="L41">IFERROR(IF(OR($H41="", L40=""), "", IF($H41=2, SUM(IF(INDEX(_xlfn._xlws.FILTER(tblPiNHistorical[[CCCM]:[WASH]],#REF!= L$5), 0, MATCH($Q$2, tblPiNHistorical[[#Headers],[CCCM]:[WASH]], 0))&gt;1.9, 1, 0)), IF(SUM(IF(INDEX(_xlfn._xlws.FILTER(tblPiNHistorical[[CCCM]:[WASH]],#REF!= L$5), 0, MATCH($Q$2, tblPiNHistorical[[#Headers],[CCCM]:[WASH]], 0))=$H41, 1, 0))=0, "", SUM(IF(INDEX(_xlfn._xlws.FILTER(tblPiNHistorical[[CCCM]:[WASH]],#REF!= L$5), 0, MATCH($Q$2, tblPiNHistorical[[#Headers],[CCCM]:[WASH]], 0))=$H41, 1, 0))))), "")</f>
        <v/>
      </c>
      <c r="M41" s="92" t="str" cm="1">
        <f t="array" ref="M41">IFERROR(IF(OR($H41="", M40=""), "", IF($H41=2, SUM(IF(INDEX(_xlfn._xlws.FILTER(tblPiNHistorical[[CCCM]:[WASH]],#REF!= M$5), 0, MATCH($Q$2, tblPiNHistorical[[#Headers],[CCCM]:[WASH]], 0))&gt;1.9, 1, 0)), IF(SUM(IF(INDEX(_xlfn._xlws.FILTER(tblPiNHistorical[[CCCM]:[WASH]],#REF!= M$5), 0, MATCH($Q$2, tblPiNHistorical[[#Headers],[CCCM]:[WASH]], 0))=$H41, 1, 0))=0, "", SUM(IF(INDEX(_xlfn._xlws.FILTER(tblPiNHistorical[[CCCM]:[WASH]],#REF!= M$5), 0, MATCH($Q$2, tblPiNHistorical[[#Headers],[CCCM]:[WASH]], 0))=$H41, 1, 0))))), "")</f>
        <v/>
      </c>
    </row>
    <row r="42" spans="1:28">
      <c r="A42" s="94"/>
      <c r="B42" s="92" t="str" cm="1">
        <f t="array" ref="B42">IF($A42="", "", IF(SUM(IF(INDEX(_xlfn._xlws.FILTER(tblPiNAnalysis[[CCCM%]:[WASH%]], tblPiNAnalysis[Population Group]=B$5), 0, MATCH(_xlfn.CONCAT($Q$2, "%"), tblPiNAnalysis[[#Headers],[CCCM%]:[WASH%]], 0))=$A42, 1, 0))=0, "",SUM(IF(INDEX(_xlfn._xlws.FILTER(tblPiNAnalysis[[CCCM%]:[WASH%]], tblPiNAnalysis[Population Group]=B$5), 0, MATCH(_xlfn.CONCAT($Q$2, "%"), tblPiNAnalysis[[#Headers],[CCCM%]:[WASH%]], 0))=$A42, 1, 0))))</f>
        <v/>
      </c>
      <c r="C42" s="92" t="str" cm="1">
        <f t="array" ref="C42">IFERROR(IF(OR($A42="", C$5=""), "", IF(SUM(IF(INDEX(_xlfn._xlws.FILTER(tblPiNAnalysis[[CCCM%]:[WASH%]], tblPiNAnalysis[Population Group]=C$5), 0, MATCH(_xlfn.CONCAT($Q$2, "%"), tblPiNAnalysis[[#Headers],[CCCM%]:[WASH%]], 0))=$A42, 1, 0))=0, "",SUM(IF(INDEX(_xlfn._xlws.FILTER(tblPiNAnalysis[[CCCM%]:[WASH%]], tblPiNAnalysis[Population Group]=C$5), 0, MATCH(_xlfn.CONCAT($Q$2, "%"), tblPiNAnalysis[[#Headers],[CCCM%]:[WASH%]], 0))=$A42, 1, 0)))), "")</f>
        <v/>
      </c>
      <c r="D42" s="92" t="str" cm="1">
        <f t="array" ref="D42">IFERROR(IF(OR($A42="", D$5=""), "", IF(SUM(IF(INDEX(_xlfn._xlws.FILTER(tblPiNAnalysis[[CCCM%]:[WASH%]], tblPiNAnalysis[Population Group]=D$5), 0, MATCH(_xlfn.CONCAT($Q$2, "%"), tblPiNAnalysis[[#Headers],[CCCM%]:[WASH%]], 0))=$A42, 1, 0))=0, "",SUM(IF(INDEX(_xlfn._xlws.FILTER(tblPiNAnalysis[[CCCM%]:[WASH%]], tblPiNAnalysis[Population Group]=D$5), 0, MATCH(_xlfn.CONCAT($Q$2, "%"), tblPiNAnalysis[[#Headers],[CCCM%]:[WASH%]], 0))=$A42, 1, 0)))), "")</f>
        <v/>
      </c>
      <c r="E42" s="92" t="str" cm="1">
        <f t="array" ref="E42">IFERROR(IF(OR($A42="", E$5=""), "", IF(SUM(IF(INDEX(_xlfn._xlws.FILTER(tblPiNAnalysis[[CCCM%]:[WASH%]], tblPiNAnalysis[Population Group]=E$5), 0, MATCH(_xlfn.CONCAT($Q$2, "%"), tblPiNAnalysis[[#Headers],[CCCM%]:[WASH%]], 0))=$A42, 1, 0))=0, "",SUM(IF(INDEX(_xlfn._xlws.FILTER(tblPiNAnalysis[[CCCM%]:[WASH%]], tblPiNAnalysis[Population Group]=E$5), 0, MATCH(_xlfn.CONCAT($Q$2, "%"), tblPiNAnalysis[[#Headers],[CCCM%]:[WASH%]], 0))=$A42, 1, 0)))), "")</f>
        <v/>
      </c>
      <c r="F42" s="92" t="str" cm="1">
        <f t="array" ref="F42">IFERROR(IF(OR($A42="", F$5=""), "", IF(SUM(IF(INDEX(_xlfn._xlws.FILTER(tblPiNAnalysis[[CCCM%]:[WASH%]], tblPiNAnalysis[CCCM]=F$5), 0, MATCH(_xlfn.CONCAT($Q$2, "%"), tblPiNAnalysis[[#Headers],[CCCM%]:[WASH%]], 0))=$A42, 1, 0))=0, "",SUM(IF(INDEX(_xlfn._xlws.FILTER(tblPiNAnalysis[[CCCM%]:[WASH%]], tblPiNAnalysis[CCCM]=F$5), 0, MATCH(_xlfn.CONCAT($Q$2, "%"), tblPiNAnalysis[[#Headers],[CCCM%]:[WASH%]], 0))=$A42, 1, 0)))), "")</f>
        <v/>
      </c>
      <c r="H42" s="94"/>
      <c r="I42" s="92" t="str" cm="1">
        <f t="array" ref="I42">IF($H42="", "", IF($H42=2, SUM(IF(INDEX(_xlfn._xlws.FILTER(tblPiNHistorical[[CCCM]:[WASH]], tblPiNHistorical[Population Group]=I$5), 0, MATCH($Q$2, tblPiNHistorical[[#Headers],[CCCM]:[WASH]], 0))&gt;1.9, 1, 0)), IF(SUM(IF(INDEX(_xlfn._xlws.FILTER(tblPiNHistorical[[CCCM]:[WASH]], tblPiNHistorical[Population Group]=I$5), 0, MATCH($Q$2, tblPiNHistorical[[#Headers],[CCCM]:[WASH]], 0))=$H42, 1, 0))=0, "", SUM(IF(INDEX(_xlfn._xlws.FILTER(tblPiNHistorical[[CCCM]:[WASH]], tblPiNHistorical[Population Group]=I$5), 0, MATCH($Q$2, tblPiNHistorical[[#Headers],[CCCM]:[WASH]], 0))=$H42, 1, 0)))))</f>
        <v/>
      </c>
      <c r="J42" s="92" t="str" cm="1">
        <f t="array" ref="J42">IFERROR(IF(OR($H42="", J41=""), "", IF($H42=2, SUM(IF(INDEX(_xlfn._xlws.FILTER(tblPiNHistorical[[CCCM]:[WASH]], tblPiNHistorical[Population Group]=J$5), 0, MATCH($Q$2, tblPiNHistorical[[#Headers],[CCCM]:[WASH]], 0))&gt;1.9, 1, 0)), IF(SUM(IF(INDEX(_xlfn._xlws.FILTER(tblPiNHistorical[[CCCM]:[WASH]], tblPiNHistorical[Population Group]=J$5), 0, MATCH($Q$2, tblPiNHistorical[[#Headers],[CCCM]:[WASH]], 0))=$H42, 1, 0))=0, "", SUM(IF(INDEX(_xlfn._xlws.FILTER(tblPiNHistorical[[CCCM]:[WASH]], tblPiNHistorical[Population Group]=J$5), 0, MATCH($Q$2, tblPiNHistorical[[#Headers],[CCCM]:[WASH]], 0))=$H42, 1, 0))))), "")</f>
        <v/>
      </c>
      <c r="K42" s="92" t="str" cm="1">
        <f t="array" ref="K42">IFERROR(IF(OR($H42="", K41=""), "", IF($H42=2, SUM(IF(INDEX(_xlfn._xlws.FILTER(tblPiNHistorical[[CCCM]:[WASH]], tblPiNHistorical[CCCM - old]=K$5), 0, MATCH($Q$2, tblPiNHistorical[[#Headers],[CCCM]:[WASH]], 0))&gt;1.9, 1, 0)), IF(SUM(IF(INDEX(_xlfn._xlws.FILTER(tblPiNHistorical[[CCCM]:[WASH]], tblPiNHistorical[CCCM - old]=K$5), 0, MATCH($Q$2, tblPiNHistorical[[#Headers],[CCCM]:[WASH]], 0))=$H42, 1, 0))=0, "", SUM(IF(INDEX(_xlfn._xlws.FILTER(tblPiNHistorical[[CCCM]:[WASH]], tblPiNHistorical[CCCM - old]=K$5), 0, MATCH($Q$2, tblPiNHistorical[[#Headers],[CCCM]:[WASH]], 0))=$H42, 1, 0))))), "")</f>
        <v/>
      </c>
      <c r="L42" s="92" t="str" cm="1">
        <f t="array" ref="L42">IFERROR(IF(OR($H42="", L41=""), "", IF($H42=2, SUM(IF(INDEX(_xlfn._xlws.FILTER(tblPiNHistorical[[CCCM]:[WASH]],#REF!= L$5), 0, MATCH($Q$2, tblPiNHistorical[[#Headers],[CCCM]:[WASH]], 0))&gt;1.9, 1, 0)), IF(SUM(IF(INDEX(_xlfn._xlws.FILTER(tblPiNHistorical[[CCCM]:[WASH]],#REF!= L$5), 0, MATCH($Q$2, tblPiNHistorical[[#Headers],[CCCM]:[WASH]], 0))=$H42, 1, 0))=0, "", SUM(IF(INDEX(_xlfn._xlws.FILTER(tblPiNHistorical[[CCCM]:[WASH]],#REF!= L$5), 0, MATCH($Q$2, tblPiNHistorical[[#Headers],[CCCM]:[WASH]], 0))=$H42, 1, 0))))), "")</f>
        <v/>
      </c>
      <c r="M42" s="92" t="str" cm="1">
        <f t="array" ref="M42">IFERROR(IF(OR($H42="", M41=""), "", IF($H42=2, SUM(IF(INDEX(_xlfn._xlws.FILTER(tblPiNHistorical[[CCCM]:[WASH]],#REF!= M$5), 0, MATCH($Q$2, tblPiNHistorical[[#Headers],[CCCM]:[WASH]], 0))&gt;1.9, 1, 0)), IF(SUM(IF(INDEX(_xlfn._xlws.FILTER(tblPiNHistorical[[CCCM]:[WASH]],#REF!= M$5), 0, MATCH($Q$2, tblPiNHistorical[[#Headers],[CCCM]:[WASH]], 0))=$H42, 1, 0))=0, "", SUM(IF(INDEX(_xlfn._xlws.FILTER(tblPiNHistorical[[CCCM]:[WASH]],#REF!= M$5), 0, MATCH($Q$2, tblPiNHistorical[[#Headers],[CCCM]:[WASH]], 0))=$H42, 1, 0))))), "")</f>
        <v/>
      </c>
    </row>
    <row r="43" spans="1:28">
      <c r="A43" s="94"/>
      <c r="B43" s="92" t="str" cm="1">
        <f t="array" ref="B43">IF($A43="", "", IF(SUM(IF(INDEX(_xlfn._xlws.FILTER(tblPiNAnalysis[[CCCM%]:[WASH%]], tblPiNAnalysis[Population Group]=B$5), 0, MATCH(_xlfn.CONCAT($Q$2, "%"), tblPiNAnalysis[[#Headers],[CCCM%]:[WASH%]], 0))=$A43, 1, 0))=0, "",SUM(IF(INDEX(_xlfn._xlws.FILTER(tblPiNAnalysis[[CCCM%]:[WASH%]], tblPiNAnalysis[Population Group]=B$5), 0, MATCH(_xlfn.CONCAT($Q$2, "%"), tblPiNAnalysis[[#Headers],[CCCM%]:[WASH%]], 0))=$A43, 1, 0))))</f>
        <v/>
      </c>
      <c r="C43" s="92" t="str" cm="1">
        <f t="array" ref="C43">IFERROR(IF(OR($A43="", C$5=""), "", IF(SUM(IF(INDEX(_xlfn._xlws.FILTER(tblPiNAnalysis[[CCCM%]:[WASH%]], tblPiNAnalysis[Population Group]=C$5), 0, MATCH(_xlfn.CONCAT($Q$2, "%"), tblPiNAnalysis[[#Headers],[CCCM%]:[WASH%]], 0))=$A43, 1, 0))=0, "",SUM(IF(INDEX(_xlfn._xlws.FILTER(tblPiNAnalysis[[CCCM%]:[WASH%]], tblPiNAnalysis[Population Group]=C$5), 0, MATCH(_xlfn.CONCAT($Q$2, "%"), tblPiNAnalysis[[#Headers],[CCCM%]:[WASH%]], 0))=$A43, 1, 0)))), "")</f>
        <v/>
      </c>
      <c r="D43" s="92" t="str" cm="1">
        <f t="array" ref="D43">IFERROR(IF(OR($A43="", D$5=""), "", IF(SUM(IF(INDEX(_xlfn._xlws.FILTER(tblPiNAnalysis[[CCCM%]:[WASH%]], tblPiNAnalysis[Population Group]=D$5), 0, MATCH(_xlfn.CONCAT($Q$2, "%"), tblPiNAnalysis[[#Headers],[CCCM%]:[WASH%]], 0))=$A43, 1, 0))=0, "",SUM(IF(INDEX(_xlfn._xlws.FILTER(tblPiNAnalysis[[CCCM%]:[WASH%]], tblPiNAnalysis[Population Group]=D$5), 0, MATCH(_xlfn.CONCAT($Q$2, "%"), tblPiNAnalysis[[#Headers],[CCCM%]:[WASH%]], 0))=$A43, 1, 0)))), "")</f>
        <v/>
      </c>
      <c r="E43" s="92" t="str" cm="1">
        <f t="array" ref="E43">IFERROR(IF(OR($A43="", E$5=""), "", IF(SUM(IF(INDEX(_xlfn._xlws.FILTER(tblPiNAnalysis[[CCCM%]:[WASH%]], tblPiNAnalysis[Population Group]=E$5), 0, MATCH(_xlfn.CONCAT($Q$2, "%"), tblPiNAnalysis[[#Headers],[CCCM%]:[WASH%]], 0))=$A43, 1, 0))=0, "",SUM(IF(INDEX(_xlfn._xlws.FILTER(tblPiNAnalysis[[CCCM%]:[WASH%]], tblPiNAnalysis[Population Group]=E$5), 0, MATCH(_xlfn.CONCAT($Q$2, "%"), tblPiNAnalysis[[#Headers],[CCCM%]:[WASH%]], 0))=$A43, 1, 0)))), "")</f>
        <v/>
      </c>
      <c r="F43" s="92" t="str" cm="1">
        <f t="array" ref="F43">IFERROR(IF(OR($A43="", F$5=""), "", IF(SUM(IF(INDEX(_xlfn._xlws.FILTER(tblPiNAnalysis[[CCCM%]:[WASH%]], tblPiNAnalysis[CCCM]=F$5), 0, MATCH(_xlfn.CONCAT($Q$2, "%"), tblPiNAnalysis[[#Headers],[CCCM%]:[WASH%]], 0))=$A43, 1, 0))=0, "",SUM(IF(INDEX(_xlfn._xlws.FILTER(tblPiNAnalysis[[CCCM%]:[WASH%]], tblPiNAnalysis[CCCM]=F$5), 0, MATCH(_xlfn.CONCAT($Q$2, "%"), tblPiNAnalysis[[#Headers],[CCCM%]:[WASH%]], 0))=$A43, 1, 0)))), "")</f>
        <v/>
      </c>
      <c r="H43" s="94"/>
      <c r="I43" s="92" t="str" cm="1">
        <f t="array" ref="I43">IF($H43="", "", IF($H43=2, SUM(IF(INDEX(_xlfn._xlws.FILTER(tblPiNHistorical[[CCCM]:[WASH]], tblPiNHistorical[Population Group]=I$5), 0, MATCH($Q$2, tblPiNHistorical[[#Headers],[CCCM]:[WASH]], 0))&gt;1.9, 1, 0)), IF(SUM(IF(INDEX(_xlfn._xlws.FILTER(tblPiNHistorical[[CCCM]:[WASH]], tblPiNHistorical[Population Group]=I$5), 0, MATCH($Q$2, tblPiNHistorical[[#Headers],[CCCM]:[WASH]], 0))=$H43, 1, 0))=0, "", SUM(IF(INDEX(_xlfn._xlws.FILTER(tblPiNHistorical[[CCCM]:[WASH]], tblPiNHistorical[Population Group]=I$5), 0, MATCH($Q$2, tblPiNHistorical[[#Headers],[CCCM]:[WASH]], 0))=$H43, 1, 0)))))</f>
        <v/>
      </c>
      <c r="J43" s="92" t="str" cm="1">
        <f t="array" ref="J43">IFERROR(IF(OR($H43="", J42=""), "", IF($H43=2, SUM(IF(INDEX(_xlfn._xlws.FILTER(tblPiNHistorical[[CCCM]:[WASH]], tblPiNHistorical[Population Group]=J$5), 0, MATCH($Q$2, tblPiNHistorical[[#Headers],[CCCM]:[WASH]], 0))&gt;1.9, 1, 0)), IF(SUM(IF(INDEX(_xlfn._xlws.FILTER(tblPiNHistorical[[CCCM]:[WASH]], tblPiNHistorical[Population Group]=J$5), 0, MATCH($Q$2, tblPiNHistorical[[#Headers],[CCCM]:[WASH]], 0))=$H43, 1, 0))=0, "", SUM(IF(INDEX(_xlfn._xlws.FILTER(tblPiNHistorical[[CCCM]:[WASH]], tblPiNHistorical[Population Group]=J$5), 0, MATCH($Q$2, tblPiNHistorical[[#Headers],[CCCM]:[WASH]], 0))=$H43, 1, 0))))), "")</f>
        <v/>
      </c>
      <c r="K43" s="92" t="str" cm="1">
        <f t="array" ref="K43">IFERROR(IF(OR($H43="", K42=""), "", IF($H43=2, SUM(IF(INDEX(_xlfn._xlws.FILTER(tblPiNHistorical[[CCCM]:[WASH]], tblPiNHistorical[CCCM - old]=K$5), 0, MATCH($Q$2, tblPiNHistorical[[#Headers],[CCCM]:[WASH]], 0))&gt;1.9, 1, 0)), IF(SUM(IF(INDEX(_xlfn._xlws.FILTER(tblPiNHistorical[[CCCM]:[WASH]], tblPiNHistorical[CCCM - old]=K$5), 0, MATCH($Q$2, tblPiNHistorical[[#Headers],[CCCM]:[WASH]], 0))=$H43, 1, 0))=0, "", SUM(IF(INDEX(_xlfn._xlws.FILTER(tblPiNHistorical[[CCCM]:[WASH]], tblPiNHistorical[CCCM - old]=K$5), 0, MATCH($Q$2, tblPiNHistorical[[#Headers],[CCCM]:[WASH]], 0))=$H43, 1, 0))))), "")</f>
        <v/>
      </c>
      <c r="L43" s="92" t="str" cm="1">
        <f t="array" ref="L43">IFERROR(IF(OR($H43="", L42=""), "", IF($H43=2, SUM(IF(INDEX(_xlfn._xlws.FILTER(tblPiNHistorical[[CCCM]:[WASH]],#REF!= L$5), 0, MATCH($Q$2, tblPiNHistorical[[#Headers],[CCCM]:[WASH]], 0))&gt;1.9, 1, 0)), IF(SUM(IF(INDEX(_xlfn._xlws.FILTER(tblPiNHistorical[[CCCM]:[WASH]],#REF!= L$5), 0, MATCH($Q$2, tblPiNHistorical[[#Headers],[CCCM]:[WASH]], 0))=$H43, 1, 0))=0, "", SUM(IF(INDEX(_xlfn._xlws.FILTER(tblPiNHistorical[[CCCM]:[WASH]],#REF!= L$5), 0, MATCH($Q$2, tblPiNHistorical[[#Headers],[CCCM]:[WASH]], 0))=$H43, 1, 0))))), "")</f>
        <v/>
      </c>
      <c r="M43" s="92" t="str" cm="1">
        <f t="array" ref="M43">IFERROR(IF(OR($H43="", M42=""), "", IF($H43=2, SUM(IF(INDEX(_xlfn._xlws.FILTER(tblPiNHistorical[[CCCM]:[WASH]],#REF!= M$5), 0, MATCH($Q$2, tblPiNHistorical[[#Headers],[CCCM]:[WASH]], 0))&gt;1.9, 1, 0)), IF(SUM(IF(INDEX(_xlfn._xlws.FILTER(tblPiNHistorical[[CCCM]:[WASH]],#REF!= M$5), 0, MATCH($Q$2, tblPiNHistorical[[#Headers],[CCCM]:[WASH]], 0))=$H43, 1, 0))=0, "", SUM(IF(INDEX(_xlfn._xlws.FILTER(tblPiNHistorical[[CCCM]:[WASH]],#REF!= M$5), 0, MATCH($Q$2, tblPiNHistorical[[#Headers],[CCCM]:[WASH]], 0))=$H43, 1, 0))))), "")</f>
        <v/>
      </c>
    </row>
    <row r="44" spans="1:28">
      <c r="A44" s="94"/>
      <c r="B44" s="92" t="str" cm="1">
        <f t="array" ref="B44">IF($A44="", "", IF(SUM(IF(INDEX(_xlfn._xlws.FILTER(tblPiNAnalysis[[CCCM%]:[WASH%]], tblPiNAnalysis[Population Group]=B$5), 0, MATCH(_xlfn.CONCAT($Q$2, "%"), tblPiNAnalysis[[#Headers],[CCCM%]:[WASH%]], 0))=$A44, 1, 0))=0, "",SUM(IF(INDEX(_xlfn._xlws.FILTER(tblPiNAnalysis[[CCCM%]:[WASH%]], tblPiNAnalysis[Population Group]=B$5), 0, MATCH(_xlfn.CONCAT($Q$2, "%"), tblPiNAnalysis[[#Headers],[CCCM%]:[WASH%]], 0))=$A44, 1, 0))))</f>
        <v/>
      </c>
      <c r="C44" s="92" t="str" cm="1">
        <f t="array" ref="C44">IFERROR(IF(OR($A44="", C$5=""), "", IF(SUM(IF(INDEX(_xlfn._xlws.FILTER(tblPiNAnalysis[[CCCM%]:[WASH%]], tblPiNAnalysis[Population Group]=C$5), 0, MATCH(_xlfn.CONCAT($Q$2, "%"), tblPiNAnalysis[[#Headers],[CCCM%]:[WASH%]], 0))=$A44, 1, 0))=0, "",SUM(IF(INDEX(_xlfn._xlws.FILTER(tblPiNAnalysis[[CCCM%]:[WASH%]], tblPiNAnalysis[Population Group]=C$5), 0, MATCH(_xlfn.CONCAT($Q$2, "%"), tblPiNAnalysis[[#Headers],[CCCM%]:[WASH%]], 0))=$A44, 1, 0)))), "")</f>
        <v/>
      </c>
      <c r="D44" s="92" t="str" cm="1">
        <f t="array" ref="D44">IFERROR(IF(OR($A44="", D$5=""), "", IF(SUM(IF(INDEX(_xlfn._xlws.FILTER(tblPiNAnalysis[[CCCM%]:[WASH%]], tblPiNAnalysis[Population Group]=D$5), 0, MATCH(_xlfn.CONCAT($Q$2, "%"), tblPiNAnalysis[[#Headers],[CCCM%]:[WASH%]], 0))=$A44, 1, 0))=0, "",SUM(IF(INDEX(_xlfn._xlws.FILTER(tblPiNAnalysis[[CCCM%]:[WASH%]], tblPiNAnalysis[Population Group]=D$5), 0, MATCH(_xlfn.CONCAT($Q$2, "%"), tblPiNAnalysis[[#Headers],[CCCM%]:[WASH%]], 0))=$A44, 1, 0)))), "")</f>
        <v/>
      </c>
      <c r="E44" s="92" t="str" cm="1">
        <f t="array" ref="E44">IFERROR(IF(OR($A44="", E$5=""), "", IF(SUM(IF(INDEX(_xlfn._xlws.FILTER(tblPiNAnalysis[[CCCM%]:[WASH%]], tblPiNAnalysis[Population Group]=E$5), 0, MATCH(_xlfn.CONCAT($Q$2, "%"), tblPiNAnalysis[[#Headers],[CCCM%]:[WASH%]], 0))=$A44, 1, 0))=0, "",SUM(IF(INDEX(_xlfn._xlws.FILTER(tblPiNAnalysis[[CCCM%]:[WASH%]], tblPiNAnalysis[Population Group]=E$5), 0, MATCH(_xlfn.CONCAT($Q$2, "%"), tblPiNAnalysis[[#Headers],[CCCM%]:[WASH%]], 0))=$A44, 1, 0)))), "")</f>
        <v/>
      </c>
      <c r="F44" s="92" t="str" cm="1">
        <f t="array" ref="F44">IFERROR(IF(OR($A44="", F$5=""), "", IF(SUM(IF(INDEX(_xlfn._xlws.FILTER(tblPiNAnalysis[[CCCM%]:[WASH%]], tblPiNAnalysis[CCCM]=F$5), 0, MATCH(_xlfn.CONCAT($Q$2, "%"), tblPiNAnalysis[[#Headers],[CCCM%]:[WASH%]], 0))=$A44, 1, 0))=0, "",SUM(IF(INDEX(_xlfn._xlws.FILTER(tblPiNAnalysis[[CCCM%]:[WASH%]], tblPiNAnalysis[CCCM]=F$5), 0, MATCH(_xlfn.CONCAT($Q$2, "%"), tblPiNAnalysis[[#Headers],[CCCM%]:[WASH%]], 0))=$A44, 1, 0)))), "")</f>
        <v/>
      </c>
      <c r="H44" s="94"/>
      <c r="I44" s="92" t="str" cm="1">
        <f t="array" ref="I44">IF($H44="", "", IF($H44=2, SUM(IF(INDEX(_xlfn._xlws.FILTER(tblPiNHistorical[[CCCM]:[WASH]], tblPiNHistorical[Population Group]=I$5), 0, MATCH($Q$2, tblPiNHistorical[[#Headers],[CCCM]:[WASH]], 0))&gt;1.9, 1, 0)), IF(SUM(IF(INDEX(_xlfn._xlws.FILTER(tblPiNHistorical[[CCCM]:[WASH]], tblPiNHistorical[Population Group]=I$5), 0, MATCH($Q$2, tblPiNHistorical[[#Headers],[CCCM]:[WASH]], 0))=$H44, 1, 0))=0, "", SUM(IF(INDEX(_xlfn._xlws.FILTER(tblPiNHistorical[[CCCM]:[WASH]], tblPiNHistorical[Population Group]=I$5), 0, MATCH($Q$2, tblPiNHistorical[[#Headers],[CCCM]:[WASH]], 0))=$H44, 1, 0)))))</f>
        <v/>
      </c>
      <c r="J44" s="92" t="str" cm="1">
        <f t="array" ref="J44">IFERROR(IF(OR($H44="", J43=""), "", IF($H44=2, SUM(IF(INDEX(_xlfn._xlws.FILTER(tblPiNHistorical[[CCCM]:[WASH]], tblPiNHistorical[Population Group]=J$5), 0, MATCH($Q$2, tblPiNHistorical[[#Headers],[CCCM]:[WASH]], 0))&gt;1.9, 1, 0)), IF(SUM(IF(INDEX(_xlfn._xlws.FILTER(tblPiNHistorical[[CCCM]:[WASH]], tblPiNHistorical[Population Group]=J$5), 0, MATCH($Q$2, tblPiNHistorical[[#Headers],[CCCM]:[WASH]], 0))=$H44, 1, 0))=0, "", SUM(IF(INDEX(_xlfn._xlws.FILTER(tblPiNHistorical[[CCCM]:[WASH]], tblPiNHistorical[Population Group]=J$5), 0, MATCH($Q$2, tblPiNHistorical[[#Headers],[CCCM]:[WASH]], 0))=$H44, 1, 0))))), "")</f>
        <v/>
      </c>
      <c r="K44" s="92" t="str" cm="1">
        <f t="array" ref="K44">IFERROR(IF(OR($H44="", K43=""), "", IF($H44=2, SUM(IF(INDEX(_xlfn._xlws.FILTER(tblPiNHistorical[[CCCM]:[WASH]], tblPiNHistorical[CCCM - old]=K$5), 0, MATCH($Q$2, tblPiNHistorical[[#Headers],[CCCM]:[WASH]], 0))&gt;1.9, 1, 0)), IF(SUM(IF(INDEX(_xlfn._xlws.FILTER(tblPiNHistorical[[CCCM]:[WASH]], tblPiNHistorical[CCCM - old]=K$5), 0, MATCH($Q$2, tblPiNHistorical[[#Headers],[CCCM]:[WASH]], 0))=$H44, 1, 0))=0, "", SUM(IF(INDEX(_xlfn._xlws.FILTER(tblPiNHistorical[[CCCM]:[WASH]], tblPiNHistorical[CCCM - old]=K$5), 0, MATCH($Q$2, tblPiNHistorical[[#Headers],[CCCM]:[WASH]], 0))=$H44, 1, 0))))), "")</f>
        <v/>
      </c>
      <c r="L44" s="92" t="str" cm="1">
        <f t="array" ref="L44">IFERROR(IF(OR($H44="", L43=""), "", IF($H44=2, SUM(IF(INDEX(_xlfn._xlws.FILTER(tblPiNHistorical[[CCCM]:[WASH]],#REF!= L$5), 0, MATCH($Q$2, tblPiNHistorical[[#Headers],[CCCM]:[WASH]], 0))&gt;1.9, 1, 0)), IF(SUM(IF(INDEX(_xlfn._xlws.FILTER(tblPiNHistorical[[CCCM]:[WASH]],#REF!= L$5), 0, MATCH($Q$2, tblPiNHistorical[[#Headers],[CCCM]:[WASH]], 0))=$H44, 1, 0))=0, "", SUM(IF(INDEX(_xlfn._xlws.FILTER(tblPiNHistorical[[CCCM]:[WASH]],#REF!= L$5), 0, MATCH($Q$2, tblPiNHistorical[[#Headers],[CCCM]:[WASH]], 0))=$H44, 1, 0))))), "")</f>
        <v/>
      </c>
      <c r="M44" s="92" t="str" cm="1">
        <f t="array" ref="M44">IFERROR(IF(OR($H44="", M43=""), "", IF($H44=2, SUM(IF(INDEX(_xlfn._xlws.FILTER(tblPiNHistorical[[CCCM]:[WASH]],#REF!= M$5), 0, MATCH($Q$2, tblPiNHistorical[[#Headers],[CCCM]:[WASH]], 0))&gt;1.9, 1, 0)), IF(SUM(IF(INDEX(_xlfn._xlws.FILTER(tblPiNHistorical[[CCCM]:[WASH]],#REF!= M$5), 0, MATCH($Q$2, tblPiNHistorical[[#Headers],[CCCM]:[WASH]], 0))=$H44, 1, 0))=0, "", SUM(IF(INDEX(_xlfn._xlws.FILTER(tblPiNHistorical[[CCCM]:[WASH]],#REF!= M$5), 0, MATCH($Q$2, tblPiNHistorical[[#Headers],[CCCM]:[WASH]], 0))=$H44, 1, 0))))), "")</f>
        <v/>
      </c>
    </row>
    <row r="45" spans="1:28">
      <c r="A45" s="94"/>
      <c r="B45" s="92" t="str" cm="1">
        <f t="array" ref="B45">IF($A45="", "", IF(SUM(IF(INDEX(_xlfn._xlws.FILTER(tblPiNAnalysis[[CCCM%]:[WASH%]], tblPiNAnalysis[Population Group]=B$5), 0, MATCH(_xlfn.CONCAT($Q$2, "%"), tblPiNAnalysis[[#Headers],[CCCM%]:[WASH%]], 0))=$A45, 1, 0))=0, "",SUM(IF(INDEX(_xlfn._xlws.FILTER(tblPiNAnalysis[[CCCM%]:[WASH%]], tblPiNAnalysis[Population Group]=B$5), 0, MATCH(_xlfn.CONCAT($Q$2, "%"), tblPiNAnalysis[[#Headers],[CCCM%]:[WASH%]], 0))=$A45, 1, 0))))</f>
        <v/>
      </c>
      <c r="C45" s="92" t="str" cm="1">
        <f t="array" ref="C45">IFERROR(IF(OR($A45="", C$5=""), "", IF(SUM(IF(INDEX(_xlfn._xlws.FILTER(tblPiNAnalysis[[CCCM%]:[WASH%]], tblPiNAnalysis[Population Group]=C$5), 0, MATCH(_xlfn.CONCAT($Q$2, "%"), tblPiNAnalysis[[#Headers],[CCCM%]:[WASH%]], 0))=$A45, 1, 0))=0, "",SUM(IF(INDEX(_xlfn._xlws.FILTER(tblPiNAnalysis[[CCCM%]:[WASH%]], tblPiNAnalysis[Population Group]=C$5), 0, MATCH(_xlfn.CONCAT($Q$2, "%"), tblPiNAnalysis[[#Headers],[CCCM%]:[WASH%]], 0))=$A45, 1, 0)))), "")</f>
        <v/>
      </c>
      <c r="D45" s="92" t="str" cm="1">
        <f t="array" ref="D45">IFERROR(IF(OR($A45="", D$5=""), "", IF(SUM(IF(INDEX(_xlfn._xlws.FILTER(tblPiNAnalysis[[CCCM%]:[WASH%]], tblPiNAnalysis[Population Group]=D$5), 0, MATCH(_xlfn.CONCAT($Q$2, "%"), tblPiNAnalysis[[#Headers],[CCCM%]:[WASH%]], 0))=$A45, 1, 0))=0, "",SUM(IF(INDEX(_xlfn._xlws.FILTER(tblPiNAnalysis[[CCCM%]:[WASH%]], tblPiNAnalysis[Population Group]=D$5), 0, MATCH(_xlfn.CONCAT($Q$2, "%"), tblPiNAnalysis[[#Headers],[CCCM%]:[WASH%]], 0))=$A45, 1, 0)))), "")</f>
        <v/>
      </c>
      <c r="E45" s="92" t="str" cm="1">
        <f t="array" ref="E45">IFERROR(IF(OR($A45="", E$5=""), "", IF(SUM(IF(INDEX(_xlfn._xlws.FILTER(tblPiNAnalysis[[CCCM%]:[WASH%]], tblPiNAnalysis[Population Group]=E$5), 0, MATCH(_xlfn.CONCAT($Q$2, "%"), tblPiNAnalysis[[#Headers],[CCCM%]:[WASH%]], 0))=$A45, 1, 0))=0, "",SUM(IF(INDEX(_xlfn._xlws.FILTER(tblPiNAnalysis[[CCCM%]:[WASH%]], tblPiNAnalysis[Population Group]=E$5), 0, MATCH(_xlfn.CONCAT($Q$2, "%"), tblPiNAnalysis[[#Headers],[CCCM%]:[WASH%]], 0))=$A45, 1, 0)))), "")</f>
        <v/>
      </c>
      <c r="F45" s="92" t="str" cm="1">
        <f t="array" ref="F45">IFERROR(IF(OR($A45="", F$5=""), "", IF(SUM(IF(INDEX(_xlfn._xlws.FILTER(tblPiNAnalysis[[CCCM%]:[WASH%]], tblPiNAnalysis[CCCM]=F$5), 0, MATCH(_xlfn.CONCAT($Q$2, "%"), tblPiNAnalysis[[#Headers],[CCCM%]:[WASH%]], 0))=$A45, 1, 0))=0, "",SUM(IF(INDEX(_xlfn._xlws.FILTER(tblPiNAnalysis[[CCCM%]:[WASH%]], tblPiNAnalysis[CCCM]=F$5), 0, MATCH(_xlfn.CONCAT($Q$2, "%"), tblPiNAnalysis[[#Headers],[CCCM%]:[WASH%]], 0))=$A45, 1, 0)))), "")</f>
        <v/>
      </c>
      <c r="H45" s="94"/>
      <c r="I45" s="92" t="str" cm="1">
        <f t="array" ref="I45">IF($H45="", "", IF($H45=2, SUM(IF(INDEX(_xlfn._xlws.FILTER(tblPiNHistorical[[CCCM]:[WASH]], tblPiNHistorical[Population Group]=I$5), 0, MATCH($Q$2, tblPiNHistorical[[#Headers],[CCCM]:[WASH]], 0))&gt;1.9, 1, 0)), IF(SUM(IF(INDEX(_xlfn._xlws.FILTER(tblPiNHistorical[[CCCM]:[WASH]], tblPiNHistorical[Population Group]=I$5), 0, MATCH($Q$2, tblPiNHistorical[[#Headers],[CCCM]:[WASH]], 0))=$H45, 1, 0))=0, "", SUM(IF(INDEX(_xlfn._xlws.FILTER(tblPiNHistorical[[CCCM]:[WASH]], tblPiNHistorical[Population Group]=I$5), 0, MATCH($Q$2, tblPiNHistorical[[#Headers],[CCCM]:[WASH]], 0))=$H45, 1, 0)))))</f>
        <v/>
      </c>
      <c r="J45" s="92" t="str" cm="1">
        <f t="array" ref="J45">IFERROR(IF(OR($H45="", J44=""), "", IF($H45=2, SUM(IF(INDEX(_xlfn._xlws.FILTER(tblPiNHistorical[[CCCM]:[WASH]], tblPiNHistorical[Population Group]=J$5), 0, MATCH($Q$2, tblPiNHistorical[[#Headers],[CCCM]:[WASH]], 0))&gt;1.9, 1, 0)), IF(SUM(IF(INDEX(_xlfn._xlws.FILTER(tblPiNHistorical[[CCCM]:[WASH]], tblPiNHistorical[Population Group]=J$5), 0, MATCH($Q$2, tblPiNHistorical[[#Headers],[CCCM]:[WASH]], 0))=$H45, 1, 0))=0, "", SUM(IF(INDEX(_xlfn._xlws.FILTER(tblPiNHistorical[[CCCM]:[WASH]], tblPiNHistorical[Population Group]=J$5), 0, MATCH($Q$2, tblPiNHistorical[[#Headers],[CCCM]:[WASH]], 0))=$H45, 1, 0))))), "")</f>
        <v/>
      </c>
      <c r="K45" s="92" t="str" cm="1">
        <f t="array" ref="K45">IFERROR(IF(OR($H45="", K44=""), "", IF($H45=2, SUM(IF(INDEX(_xlfn._xlws.FILTER(tblPiNHistorical[[CCCM]:[WASH]], tblPiNHistorical[CCCM - old]=K$5), 0, MATCH($Q$2, tblPiNHistorical[[#Headers],[CCCM]:[WASH]], 0))&gt;1.9, 1, 0)), IF(SUM(IF(INDEX(_xlfn._xlws.FILTER(tblPiNHistorical[[CCCM]:[WASH]], tblPiNHistorical[CCCM - old]=K$5), 0, MATCH($Q$2, tblPiNHistorical[[#Headers],[CCCM]:[WASH]], 0))=$H45, 1, 0))=0, "", SUM(IF(INDEX(_xlfn._xlws.FILTER(tblPiNHistorical[[CCCM]:[WASH]], tblPiNHistorical[CCCM - old]=K$5), 0, MATCH($Q$2, tblPiNHistorical[[#Headers],[CCCM]:[WASH]], 0))=$H45, 1, 0))))), "")</f>
        <v/>
      </c>
      <c r="L45" s="92" t="str" cm="1">
        <f t="array" ref="L45">IFERROR(IF(OR($H45="", L44=""), "", IF($H45=2, SUM(IF(INDEX(_xlfn._xlws.FILTER(tblPiNHistorical[[CCCM]:[WASH]],#REF!= L$5), 0, MATCH($Q$2, tblPiNHistorical[[#Headers],[CCCM]:[WASH]], 0))&gt;1.9, 1, 0)), IF(SUM(IF(INDEX(_xlfn._xlws.FILTER(tblPiNHistorical[[CCCM]:[WASH]],#REF!= L$5), 0, MATCH($Q$2, tblPiNHistorical[[#Headers],[CCCM]:[WASH]], 0))=$H45, 1, 0))=0, "", SUM(IF(INDEX(_xlfn._xlws.FILTER(tblPiNHistorical[[CCCM]:[WASH]],#REF!= L$5), 0, MATCH($Q$2, tblPiNHistorical[[#Headers],[CCCM]:[WASH]], 0))=$H45, 1, 0))))), "")</f>
        <v/>
      </c>
      <c r="M45" s="92" t="str" cm="1">
        <f t="array" ref="M45">IFERROR(IF(OR($H45="", M44=""), "", IF($H45=2, SUM(IF(INDEX(_xlfn._xlws.FILTER(tblPiNHistorical[[CCCM]:[WASH]],#REF!= M$5), 0, MATCH($Q$2, tblPiNHistorical[[#Headers],[CCCM]:[WASH]], 0))&gt;1.9, 1, 0)), IF(SUM(IF(INDEX(_xlfn._xlws.FILTER(tblPiNHistorical[[CCCM]:[WASH]],#REF!= M$5), 0, MATCH($Q$2, tblPiNHistorical[[#Headers],[CCCM]:[WASH]], 0))=$H45, 1, 0))=0, "", SUM(IF(INDEX(_xlfn._xlws.FILTER(tblPiNHistorical[[CCCM]:[WASH]],#REF!= M$5), 0, MATCH($Q$2, tblPiNHistorical[[#Headers],[CCCM]:[WASH]], 0))=$H45, 1, 0))))), "")</f>
        <v/>
      </c>
    </row>
    <row r="46" spans="1:28">
      <c r="A46" s="94"/>
      <c r="B46" s="92" t="str" cm="1">
        <f t="array" ref="B46">IF($A46="", "", IF(SUM(IF(INDEX(_xlfn._xlws.FILTER(tblPiNAnalysis[[CCCM%]:[WASH%]], tblPiNAnalysis[Population Group]=B$5), 0, MATCH(_xlfn.CONCAT($Q$2, "%"), tblPiNAnalysis[[#Headers],[CCCM%]:[WASH%]], 0))=$A46, 1, 0))=0, "",SUM(IF(INDEX(_xlfn._xlws.FILTER(tblPiNAnalysis[[CCCM%]:[WASH%]], tblPiNAnalysis[Population Group]=B$5), 0, MATCH(_xlfn.CONCAT($Q$2, "%"), tblPiNAnalysis[[#Headers],[CCCM%]:[WASH%]], 0))=$A46, 1, 0))))</f>
        <v/>
      </c>
      <c r="C46" s="92" t="str" cm="1">
        <f t="array" ref="C46">IFERROR(IF(OR($A46="", C$5=""), "", IF(SUM(IF(INDEX(_xlfn._xlws.FILTER(tblPiNAnalysis[[CCCM%]:[WASH%]], tblPiNAnalysis[Population Group]=C$5), 0, MATCH(_xlfn.CONCAT($Q$2, "%"), tblPiNAnalysis[[#Headers],[CCCM%]:[WASH%]], 0))=$A46, 1, 0))=0, "",SUM(IF(INDEX(_xlfn._xlws.FILTER(tblPiNAnalysis[[CCCM%]:[WASH%]], tblPiNAnalysis[Population Group]=C$5), 0, MATCH(_xlfn.CONCAT($Q$2, "%"), tblPiNAnalysis[[#Headers],[CCCM%]:[WASH%]], 0))=$A46, 1, 0)))), "")</f>
        <v/>
      </c>
      <c r="D46" s="92" t="str" cm="1">
        <f t="array" ref="D46">IFERROR(IF(OR($A46="", D$5=""), "", IF(SUM(IF(INDEX(_xlfn._xlws.FILTER(tblPiNAnalysis[[CCCM%]:[WASH%]], tblPiNAnalysis[Population Group]=D$5), 0, MATCH(_xlfn.CONCAT($Q$2, "%"), tblPiNAnalysis[[#Headers],[CCCM%]:[WASH%]], 0))=$A46, 1, 0))=0, "",SUM(IF(INDEX(_xlfn._xlws.FILTER(tblPiNAnalysis[[CCCM%]:[WASH%]], tblPiNAnalysis[Population Group]=D$5), 0, MATCH(_xlfn.CONCAT($Q$2, "%"), tblPiNAnalysis[[#Headers],[CCCM%]:[WASH%]], 0))=$A46, 1, 0)))), "")</f>
        <v/>
      </c>
      <c r="E46" s="92" t="str" cm="1">
        <f t="array" ref="E46">IFERROR(IF(OR($A46="", E$5=""), "", IF(SUM(IF(INDEX(_xlfn._xlws.FILTER(tblPiNAnalysis[[CCCM%]:[WASH%]], tblPiNAnalysis[Population Group]=E$5), 0, MATCH(_xlfn.CONCAT($Q$2, "%"), tblPiNAnalysis[[#Headers],[CCCM%]:[WASH%]], 0))=$A46, 1, 0))=0, "",SUM(IF(INDEX(_xlfn._xlws.FILTER(tblPiNAnalysis[[CCCM%]:[WASH%]], tblPiNAnalysis[Population Group]=E$5), 0, MATCH(_xlfn.CONCAT($Q$2, "%"), tblPiNAnalysis[[#Headers],[CCCM%]:[WASH%]], 0))=$A46, 1, 0)))), "")</f>
        <v/>
      </c>
      <c r="F46" s="92" t="str" cm="1">
        <f t="array" ref="F46">IFERROR(IF(OR($A46="", F$5=""), "", IF(SUM(IF(INDEX(_xlfn._xlws.FILTER(tblPiNAnalysis[[CCCM%]:[WASH%]], tblPiNAnalysis[CCCM]=F$5), 0, MATCH(_xlfn.CONCAT($Q$2, "%"), tblPiNAnalysis[[#Headers],[CCCM%]:[WASH%]], 0))=$A46, 1, 0))=0, "",SUM(IF(INDEX(_xlfn._xlws.FILTER(tblPiNAnalysis[[CCCM%]:[WASH%]], tblPiNAnalysis[CCCM]=F$5), 0, MATCH(_xlfn.CONCAT($Q$2, "%"), tblPiNAnalysis[[#Headers],[CCCM%]:[WASH%]], 0))=$A46, 1, 0)))), "")</f>
        <v/>
      </c>
      <c r="H46" s="94"/>
      <c r="I46" s="92" t="str" cm="1">
        <f t="array" ref="I46">IF($H46="", "", IF($H46=2, SUM(IF(INDEX(_xlfn._xlws.FILTER(tblPiNHistorical[[CCCM]:[WASH]], tblPiNHistorical[Population Group]=I$5), 0, MATCH($Q$2, tblPiNHistorical[[#Headers],[CCCM]:[WASH]], 0))&gt;1.9, 1, 0)), IF(SUM(IF(INDEX(_xlfn._xlws.FILTER(tblPiNHistorical[[CCCM]:[WASH]], tblPiNHistorical[Population Group]=I$5), 0, MATCH($Q$2, tblPiNHistorical[[#Headers],[CCCM]:[WASH]], 0))=$H46, 1, 0))=0, "", SUM(IF(INDEX(_xlfn._xlws.FILTER(tblPiNHistorical[[CCCM]:[WASH]], tblPiNHistorical[Population Group]=I$5), 0, MATCH($Q$2, tblPiNHistorical[[#Headers],[CCCM]:[WASH]], 0))=$H46, 1, 0)))))</f>
        <v/>
      </c>
      <c r="J46" s="92" t="str" cm="1">
        <f t="array" ref="J46">IFERROR(IF(OR($H46="", J45=""), "", IF($H46=2, SUM(IF(INDEX(_xlfn._xlws.FILTER(tblPiNHistorical[[CCCM]:[WASH]], tblPiNHistorical[Population Group]=J$5), 0, MATCH($Q$2, tblPiNHistorical[[#Headers],[CCCM]:[WASH]], 0))&gt;1.9, 1, 0)), IF(SUM(IF(INDEX(_xlfn._xlws.FILTER(tblPiNHistorical[[CCCM]:[WASH]], tblPiNHistorical[Population Group]=J$5), 0, MATCH($Q$2, tblPiNHistorical[[#Headers],[CCCM]:[WASH]], 0))=$H46, 1, 0))=0, "", SUM(IF(INDEX(_xlfn._xlws.FILTER(tblPiNHistorical[[CCCM]:[WASH]], tblPiNHistorical[Population Group]=J$5), 0, MATCH($Q$2, tblPiNHistorical[[#Headers],[CCCM]:[WASH]], 0))=$H46, 1, 0))))), "")</f>
        <v/>
      </c>
      <c r="K46" s="92" t="str" cm="1">
        <f t="array" ref="K46">IFERROR(IF(OR($H46="", K45=""), "", IF($H46=2, SUM(IF(INDEX(_xlfn._xlws.FILTER(tblPiNHistorical[[CCCM]:[WASH]], tblPiNHistorical[CCCM - old]=K$5), 0, MATCH($Q$2, tblPiNHistorical[[#Headers],[CCCM]:[WASH]], 0))&gt;1.9, 1, 0)), IF(SUM(IF(INDEX(_xlfn._xlws.FILTER(tblPiNHistorical[[CCCM]:[WASH]], tblPiNHistorical[CCCM - old]=K$5), 0, MATCH($Q$2, tblPiNHistorical[[#Headers],[CCCM]:[WASH]], 0))=$H46, 1, 0))=0, "", SUM(IF(INDEX(_xlfn._xlws.FILTER(tblPiNHistorical[[CCCM]:[WASH]], tblPiNHistorical[CCCM - old]=K$5), 0, MATCH($Q$2, tblPiNHistorical[[#Headers],[CCCM]:[WASH]], 0))=$H46, 1, 0))))), "")</f>
        <v/>
      </c>
      <c r="L46" s="92" t="str" cm="1">
        <f t="array" ref="L46">IFERROR(IF(OR($H46="", L45=""), "", IF($H46=2, SUM(IF(INDEX(_xlfn._xlws.FILTER(tblPiNHistorical[[CCCM]:[WASH]],#REF!= L$5), 0, MATCH($Q$2, tblPiNHistorical[[#Headers],[CCCM]:[WASH]], 0))&gt;1.9, 1, 0)), IF(SUM(IF(INDEX(_xlfn._xlws.FILTER(tblPiNHistorical[[CCCM]:[WASH]],#REF!= L$5), 0, MATCH($Q$2, tblPiNHistorical[[#Headers],[CCCM]:[WASH]], 0))=$H46, 1, 0))=0, "", SUM(IF(INDEX(_xlfn._xlws.FILTER(tblPiNHistorical[[CCCM]:[WASH]],#REF!= L$5), 0, MATCH($Q$2, tblPiNHistorical[[#Headers],[CCCM]:[WASH]], 0))=$H46, 1, 0))))), "")</f>
        <v/>
      </c>
      <c r="M46" s="92" t="str" cm="1">
        <f t="array" ref="M46">IFERROR(IF(OR($H46="", M45=""), "", IF($H46=2, SUM(IF(INDEX(_xlfn._xlws.FILTER(tblPiNHistorical[[CCCM]:[WASH]],#REF!= M$5), 0, MATCH($Q$2, tblPiNHistorical[[#Headers],[CCCM]:[WASH]], 0))&gt;1.9, 1, 0)), IF(SUM(IF(INDEX(_xlfn._xlws.FILTER(tblPiNHistorical[[CCCM]:[WASH]],#REF!= M$5), 0, MATCH($Q$2, tblPiNHistorical[[#Headers],[CCCM]:[WASH]], 0))=$H46, 1, 0))=0, "", SUM(IF(INDEX(_xlfn._xlws.FILTER(tblPiNHistorical[[CCCM]:[WASH]],#REF!= M$5), 0, MATCH($Q$2, tblPiNHistorical[[#Headers],[CCCM]:[WASH]], 0))=$H46, 1, 0))))), "")</f>
        <v/>
      </c>
    </row>
    <row r="47" spans="1:28">
      <c r="A47" s="94"/>
      <c r="B47" s="92" t="str" cm="1">
        <f t="array" ref="B47">IF($A47="", "", IF(SUM(IF(INDEX(_xlfn._xlws.FILTER(tblPiNAnalysis[[CCCM%]:[WASH%]], tblPiNAnalysis[Population Group]=B$5), 0, MATCH(_xlfn.CONCAT($Q$2, "%"), tblPiNAnalysis[[#Headers],[CCCM%]:[WASH%]], 0))=$A47, 1, 0))=0, "",SUM(IF(INDEX(_xlfn._xlws.FILTER(tblPiNAnalysis[[CCCM%]:[WASH%]], tblPiNAnalysis[Population Group]=B$5), 0, MATCH(_xlfn.CONCAT($Q$2, "%"), tblPiNAnalysis[[#Headers],[CCCM%]:[WASH%]], 0))=$A47, 1, 0))))</f>
        <v/>
      </c>
      <c r="C47" s="92" t="str" cm="1">
        <f t="array" ref="C47">IFERROR(IF(OR($A47="", C$5=""), "", IF(SUM(IF(INDEX(_xlfn._xlws.FILTER(tblPiNAnalysis[[CCCM%]:[WASH%]], tblPiNAnalysis[Population Group]=C$5), 0, MATCH(_xlfn.CONCAT($Q$2, "%"), tblPiNAnalysis[[#Headers],[CCCM%]:[WASH%]], 0))=$A47, 1, 0))=0, "",SUM(IF(INDEX(_xlfn._xlws.FILTER(tblPiNAnalysis[[CCCM%]:[WASH%]], tblPiNAnalysis[Population Group]=C$5), 0, MATCH(_xlfn.CONCAT($Q$2, "%"), tblPiNAnalysis[[#Headers],[CCCM%]:[WASH%]], 0))=$A47, 1, 0)))), "")</f>
        <v/>
      </c>
      <c r="D47" s="92" t="str" cm="1">
        <f t="array" ref="D47">IFERROR(IF(OR($A47="", D$5=""), "", IF(SUM(IF(INDEX(_xlfn._xlws.FILTER(tblPiNAnalysis[[CCCM%]:[WASH%]], tblPiNAnalysis[Population Group]=D$5), 0, MATCH(_xlfn.CONCAT($Q$2, "%"), tblPiNAnalysis[[#Headers],[CCCM%]:[WASH%]], 0))=$A47, 1, 0))=0, "",SUM(IF(INDEX(_xlfn._xlws.FILTER(tblPiNAnalysis[[CCCM%]:[WASH%]], tblPiNAnalysis[Population Group]=D$5), 0, MATCH(_xlfn.CONCAT($Q$2, "%"), tblPiNAnalysis[[#Headers],[CCCM%]:[WASH%]], 0))=$A47, 1, 0)))), "")</f>
        <v/>
      </c>
      <c r="E47" s="92" t="str" cm="1">
        <f t="array" ref="E47">IFERROR(IF(OR($A47="", E$5=""), "", IF(SUM(IF(INDEX(_xlfn._xlws.FILTER(tblPiNAnalysis[[CCCM%]:[WASH%]], tblPiNAnalysis[Population Group]=E$5), 0, MATCH(_xlfn.CONCAT($Q$2, "%"), tblPiNAnalysis[[#Headers],[CCCM%]:[WASH%]], 0))=$A47, 1, 0))=0, "",SUM(IF(INDEX(_xlfn._xlws.FILTER(tblPiNAnalysis[[CCCM%]:[WASH%]], tblPiNAnalysis[Population Group]=E$5), 0, MATCH(_xlfn.CONCAT($Q$2, "%"), tblPiNAnalysis[[#Headers],[CCCM%]:[WASH%]], 0))=$A47, 1, 0)))), "")</f>
        <v/>
      </c>
      <c r="F47" s="92" t="str" cm="1">
        <f t="array" ref="F47">IFERROR(IF(OR($A47="", F$5=""), "", IF(SUM(IF(INDEX(_xlfn._xlws.FILTER(tblPiNAnalysis[[CCCM%]:[WASH%]], tblPiNAnalysis[CCCM]=F$5), 0, MATCH(_xlfn.CONCAT($Q$2, "%"), tblPiNAnalysis[[#Headers],[CCCM%]:[WASH%]], 0))=$A47, 1, 0))=0, "",SUM(IF(INDEX(_xlfn._xlws.FILTER(tblPiNAnalysis[[CCCM%]:[WASH%]], tblPiNAnalysis[CCCM]=F$5), 0, MATCH(_xlfn.CONCAT($Q$2, "%"), tblPiNAnalysis[[#Headers],[CCCM%]:[WASH%]], 0))=$A47, 1, 0)))), "")</f>
        <v/>
      </c>
      <c r="H47" s="94"/>
      <c r="I47" s="92" t="str" cm="1">
        <f t="array" ref="I47">IF($H47="", "", IF($H47=2, SUM(IF(INDEX(_xlfn._xlws.FILTER(tblPiNHistorical[[CCCM]:[WASH]], tblPiNHistorical[Population Group]=I$5), 0, MATCH($Q$2, tblPiNHistorical[[#Headers],[CCCM]:[WASH]], 0))&gt;1.9, 1, 0)), IF(SUM(IF(INDEX(_xlfn._xlws.FILTER(tblPiNHistorical[[CCCM]:[WASH]], tblPiNHistorical[Population Group]=I$5), 0, MATCH($Q$2, tblPiNHistorical[[#Headers],[CCCM]:[WASH]], 0))=$H47, 1, 0))=0, "", SUM(IF(INDEX(_xlfn._xlws.FILTER(tblPiNHistorical[[CCCM]:[WASH]], tblPiNHistorical[Population Group]=I$5), 0, MATCH($Q$2, tblPiNHistorical[[#Headers],[CCCM]:[WASH]], 0))=$H47, 1, 0)))))</f>
        <v/>
      </c>
      <c r="J47" s="92" t="str" cm="1">
        <f t="array" ref="J47">IFERROR(IF(OR($H47="", J46=""), "", IF($H47=2, SUM(IF(INDEX(_xlfn._xlws.FILTER(tblPiNHistorical[[CCCM]:[WASH]], tblPiNHistorical[Population Group]=J$5), 0, MATCH($Q$2, tblPiNHistorical[[#Headers],[CCCM]:[WASH]], 0))&gt;1.9, 1, 0)), IF(SUM(IF(INDEX(_xlfn._xlws.FILTER(tblPiNHistorical[[CCCM]:[WASH]], tblPiNHistorical[Population Group]=J$5), 0, MATCH($Q$2, tblPiNHistorical[[#Headers],[CCCM]:[WASH]], 0))=$H47, 1, 0))=0, "", SUM(IF(INDEX(_xlfn._xlws.FILTER(tblPiNHistorical[[CCCM]:[WASH]], tblPiNHistorical[Population Group]=J$5), 0, MATCH($Q$2, tblPiNHistorical[[#Headers],[CCCM]:[WASH]], 0))=$H47, 1, 0))))), "")</f>
        <v/>
      </c>
      <c r="K47" s="92" t="str" cm="1">
        <f t="array" ref="K47">IFERROR(IF(OR($H47="", K46=""), "", IF($H47=2, SUM(IF(INDEX(_xlfn._xlws.FILTER(tblPiNHistorical[[CCCM]:[WASH]], tblPiNHistorical[CCCM - old]=K$5), 0, MATCH($Q$2, tblPiNHistorical[[#Headers],[CCCM]:[WASH]], 0))&gt;1.9, 1, 0)), IF(SUM(IF(INDEX(_xlfn._xlws.FILTER(tblPiNHistorical[[CCCM]:[WASH]], tblPiNHistorical[CCCM - old]=K$5), 0, MATCH($Q$2, tblPiNHistorical[[#Headers],[CCCM]:[WASH]], 0))=$H47, 1, 0))=0, "", SUM(IF(INDEX(_xlfn._xlws.FILTER(tblPiNHistorical[[CCCM]:[WASH]], tblPiNHistorical[CCCM - old]=K$5), 0, MATCH($Q$2, tblPiNHistorical[[#Headers],[CCCM]:[WASH]], 0))=$H47, 1, 0))))), "")</f>
        <v/>
      </c>
      <c r="L47" s="92" t="str" cm="1">
        <f t="array" ref="L47">IFERROR(IF(OR($H47="", L46=""), "", IF($H47=2, SUM(IF(INDEX(_xlfn._xlws.FILTER(tblPiNHistorical[[CCCM]:[WASH]],#REF!= L$5), 0, MATCH($Q$2, tblPiNHistorical[[#Headers],[CCCM]:[WASH]], 0))&gt;1.9, 1, 0)), IF(SUM(IF(INDEX(_xlfn._xlws.FILTER(tblPiNHistorical[[CCCM]:[WASH]],#REF!= L$5), 0, MATCH($Q$2, tblPiNHistorical[[#Headers],[CCCM]:[WASH]], 0))=$H47, 1, 0))=0, "", SUM(IF(INDEX(_xlfn._xlws.FILTER(tblPiNHistorical[[CCCM]:[WASH]],#REF!= L$5), 0, MATCH($Q$2, tblPiNHistorical[[#Headers],[CCCM]:[WASH]], 0))=$H47, 1, 0))))), "")</f>
        <v/>
      </c>
      <c r="M47" s="92" t="str" cm="1">
        <f t="array" ref="M47">IFERROR(IF(OR($H47="", M46=""), "", IF($H47=2, SUM(IF(INDEX(_xlfn._xlws.FILTER(tblPiNHistorical[[CCCM]:[WASH]],#REF!= M$5), 0, MATCH($Q$2, tblPiNHistorical[[#Headers],[CCCM]:[WASH]], 0))&gt;1.9, 1, 0)), IF(SUM(IF(INDEX(_xlfn._xlws.FILTER(tblPiNHistorical[[CCCM]:[WASH]],#REF!= M$5), 0, MATCH($Q$2, tblPiNHistorical[[#Headers],[CCCM]:[WASH]], 0))=$H47, 1, 0))=0, "", SUM(IF(INDEX(_xlfn._xlws.FILTER(tblPiNHistorical[[CCCM]:[WASH]],#REF!= M$5), 0, MATCH($Q$2, tblPiNHistorical[[#Headers],[CCCM]:[WASH]], 0))=$H47, 1, 0))))), "")</f>
        <v/>
      </c>
    </row>
    <row r="48" spans="1:28">
      <c r="A48" s="94"/>
      <c r="B48" s="92" t="str" cm="1">
        <f t="array" ref="B48">IF($A48="", "", IF(SUM(IF(INDEX(_xlfn._xlws.FILTER(tblPiNAnalysis[[CCCM%]:[WASH%]], tblPiNAnalysis[Population Group]=B$5), 0, MATCH(_xlfn.CONCAT($Q$2, "%"), tblPiNAnalysis[[#Headers],[CCCM%]:[WASH%]], 0))=$A48, 1, 0))=0, "",SUM(IF(INDEX(_xlfn._xlws.FILTER(tblPiNAnalysis[[CCCM%]:[WASH%]], tblPiNAnalysis[Population Group]=B$5), 0, MATCH(_xlfn.CONCAT($Q$2, "%"), tblPiNAnalysis[[#Headers],[CCCM%]:[WASH%]], 0))=$A48, 1, 0))))</f>
        <v/>
      </c>
      <c r="C48" s="92" t="str" cm="1">
        <f t="array" ref="C48">IFERROR(IF(OR($A48="", C$5=""), "", IF(SUM(IF(INDEX(_xlfn._xlws.FILTER(tblPiNAnalysis[[CCCM%]:[WASH%]], tblPiNAnalysis[Population Group]=C$5), 0, MATCH(_xlfn.CONCAT($Q$2, "%"), tblPiNAnalysis[[#Headers],[CCCM%]:[WASH%]], 0))=$A48, 1, 0))=0, "",SUM(IF(INDEX(_xlfn._xlws.FILTER(tblPiNAnalysis[[CCCM%]:[WASH%]], tblPiNAnalysis[Population Group]=C$5), 0, MATCH(_xlfn.CONCAT($Q$2, "%"), tblPiNAnalysis[[#Headers],[CCCM%]:[WASH%]], 0))=$A48, 1, 0)))), "")</f>
        <v/>
      </c>
      <c r="D48" s="92" t="str" cm="1">
        <f t="array" ref="D48">IFERROR(IF(OR($A48="", D$5=""), "", IF(SUM(IF(INDEX(_xlfn._xlws.FILTER(tblPiNAnalysis[[CCCM%]:[WASH%]], tblPiNAnalysis[Population Group]=D$5), 0, MATCH(_xlfn.CONCAT($Q$2, "%"), tblPiNAnalysis[[#Headers],[CCCM%]:[WASH%]], 0))=$A48, 1, 0))=0, "",SUM(IF(INDEX(_xlfn._xlws.FILTER(tblPiNAnalysis[[CCCM%]:[WASH%]], tblPiNAnalysis[Population Group]=D$5), 0, MATCH(_xlfn.CONCAT($Q$2, "%"), tblPiNAnalysis[[#Headers],[CCCM%]:[WASH%]], 0))=$A48, 1, 0)))), "")</f>
        <v/>
      </c>
      <c r="E48" s="92" t="str" cm="1">
        <f t="array" ref="E48">IFERROR(IF(OR($A48="", E$5=""), "", IF(SUM(IF(INDEX(_xlfn._xlws.FILTER(tblPiNAnalysis[[CCCM%]:[WASH%]], tblPiNAnalysis[Population Group]=E$5), 0, MATCH(_xlfn.CONCAT($Q$2, "%"), tblPiNAnalysis[[#Headers],[CCCM%]:[WASH%]], 0))=$A48, 1, 0))=0, "",SUM(IF(INDEX(_xlfn._xlws.FILTER(tblPiNAnalysis[[CCCM%]:[WASH%]], tblPiNAnalysis[Population Group]=E$5), 0, MATCH(_xlfn.CONCAT($Q$2, "%"), tblPiNAnalysis[[#Headers],[CCCM%]:[WASH%]], 0))=$A48, 1, 0)))), "")</f>
        <v/>
      </c>
      <c r="F48" s="92" t="str" cm="1">
        <f t="array" ref="F48">IFERROR(IF(OR($A48="", F$5=""), "", IF(SUM(IF(INDEX(_xlfn._xlws.FILTER(tblPiNAnalysis[[CCCM%]:[WASH%]], tblPiNAnalysis[CCCM]=F$5), 0, MATCH(_xlfn.CONCAT($Q$2, "%"), tblPiNAnalysis[[#Headers],[CCCM%]:[WASH%]], 0))=$A48, 1, 0))=0, "",SUM(IF(INDEX(_xlfn._xlws.FILTER(tblPiNAnalysis[[CCCM%]:[WASH%]], tblPiNAnalysis[CCCM]=F$5), 0, MATCH(_xlfn.CONCAT($Q$2, "%"), tblPiNAnalysis[[#Headers],[CCCM%]:[WASH%]], 0))=$A48, 1, 0)))), "")</f>
        <v/>
      </c>
      <c r="H48" s="94"/>
      <c r="I48" s="92" t="str" cm="1">
        <f t="array" ref="I48">IF($H48="", "", IF($H48=2, SUM(IF(INDEX(_xlfn._xlws.FILTER(tblPiNHistorical[[CCCM]:[WASH]], tblPiNHistorical[Population Group]=I$5), 0, MATCH($Q$2, tblPiNHistorical[[#Headers],[CCCM]:[WASH]], 0))&gt;1.9, 1, 0)), IF(SUM(IF(INDEX(_xlfn._xlws.FILTER(tblPiNHistorical[[CCCM]:[WASH]], tblPiNHistorical[Population Group]=I$5), 0, MATCH($Q$2, tblPiNHistorical[[#Headers],[CCCM]:[WASH]], 0))=$H48, 1, 0))=0, "", SUM(IF(INDEX(_xlfn._xlws.FILTER(tblPiNHistorical[[CCCM]:[WASH]], tblPiNHistorical[Population Group]=I$5), 0, MATCH($Q$2, tblPiNHistorical[[#Headers],[CCCM]:[WASH]], 0))=$H48, 1, 0)))))</f>
        <v/>
      </c>
      <c r="J48" s="92" t="str" cm="1">
        <f t="array" ref="J48">IFERROR(IF(OR($H48="", J47=""), "", IF($H48=2, SUM(IF(INDEX(_xlfn._xlws.FILTER(tblPiNHistorical[[CCCM]:[WASH]], tblPiNHistorical[Population Group]=J$5), 0, MATCH($Q$2, tblPiNHistorical[[#Headers],[CCCM]:[WASH]], 0))&gt;1.9, 1, 0)), IF(SUM(IF(INDEX(_xlfn._xlws.FILTER(tblPiNHistorical[[CCCM]:[WASH]], tblPiNHistorical[Population Group]=J$5), 0, MATCH($Q$2, tblPiNHistorical[[#Headers],[CCCM]:[WASH]], 0))=$H48, 1, 0))=0, "", SUM(IF(INDEX(_xlfn._xlws.FILTER(tblPiNHistorical[[CCCM]:[WASH]], tblPiNHistorical[Population Group]=J$5), 0, MATCH($Q$2, tblPiNHistorical[[#Headers],[CCCM]:[WASH]], 0))=$H48, 1, 0))))), "")</f>
        <v/>
      </c>
      <c r="K48" s="92" t="str" cm="1">
        <f t="array" ref="K48">IFERROR(IF(OR($H48="", K47=""), "", IF($H48=2, SUM(IF(INDEX(_xlfn._xlws.FILTER(tblPiNHistorical[[CCCM]:[WASH]], tblPiNHistorical[CCCM - old]=K$5), 0, MATCH($Q$2, tblPiNHistorical[[#Headers],[CCCM]:[WASH]], 0))&gt;1.9, 1, 0)), IF(SUM(IF(INDEX(_xlfn._xlws.FILTER(tblPiNHistorical[[CCCM]:[WASH]], tblPiNHistorical[CCCM - old]=K$5), 0, MATCH($Q$2, tblPiNHistorical[[#Headers],[CCCM]:[WASH]], 0))=$H48, 1, 0))=0, "", SUM(IF(INDEX(_xlfn._xlws.FILTER(tblPiNHistorical[[CCCM]:[WASH]], tblPiNHistorical[CCCM - old]=K$5), 0, MATCH($Q$2, tblPiNHistorical[[#Headers],[CCCM]:[WASH]], 0))=$H48, 1, 0))))), "")</f>
        <v/>
      </c>
      <c r="L48" s="92" t="str" cm="1">
        <f t="array" ref="L48">IFERROR(IF(OR($H48="", L47=""), "", IF($H48=2, SUM(IF(INDEX(_xlfn._xlws.FILTER(tblPiNHistorical[[CCCM]:[WASH]],#REF!= L$5), 0, MATCH($Q$2, tblPiNHistorical[[#Headers],[CCCM]:[WASH]], 0))&gt;1.9, 1, 0)), IF(SUM(IF(INDEX(_xlfn._xlws.FILTER(tblPiNHistorical[[CCCM]:[WASH]],#REF!= L$5), 0, MATCH($Q$2, tblPiNHistorical[[#Headers],[CCCM]:[WASH]], 0))=$H48, 1, 0))=0, "", SUM(IF(INDEX(_xlfn._xlws.FILTER(tblPiNHistorical[[CCCM]:[WASH]],#REF!= L$5), 0, MATCH($Q$2, tblPiNHistorical[[#Headers],[CCCM]:[WASH]], 0))=$H48, 1, 0))))), "")</f>
        <v/>
      </c>
      <c r="M48" s="92" t="str" cm="1">
        <f t="array" ref="M48">IFERROR(IF(OR($H48="", M47=""), "", IF($H48=2, SUM(IF(INDEX(_xlfn._xlws.FILTER(tblPiNHistorical[[CCCM]:[WASH]],#REF!= M$5), 0, MATCH($Q$2, tblPiNHistorical[[#Headers],[CCCM]:[WASH]], 0))&gt;1.9, 1, 0)), IF(SUM(IF(INDEX(_xlfn._xlws.FILTER(tblPiNHistorical[[CCCM]:[WASH]],#REF!= M$5), 0, MATCH($Q$2, tblPiNHistorical[[#Headers],[CCCM]:[WASH]], 0))=$H48, 1, 0))=0, "", SUM(IF(INDEX(_xlfn._xlws.FILTER(tblPiNHistorical[[CCCM]:[WASH]],#REF!= M$5), 0, MATCH($Q$2, tblPiNHistorical[[#Headers],[CCCM]:[WASH]], 0))=$H48, 1, 0))))), "")</f>
        <v/>
      </c>
    </row>
    <row r="49" spans="1:13">
      <c r="A49" s="94"/>
      <c r="B49" s="92" t="str" cm="1">
        <f t="array" ref="B49">IF($A49="", "", IF(SUM(IF(INDEX(_xlfn._xlws.FILTER(tblPiNAnalysis[[CCCM%]:[WASH%]], tblPiNAnalysis[Population Group]=B$5), 0, MATCH(_xlfn.CONCAT($Q$2, "%"), tblPiNAnalysis[[#Headers],[CCCM%]:[WASH%]], 0))=$A49, 1, 0))=0, "",SUM(IF(INDEX(_xlfn._xlws.FILTER(tblPiNAnalysis[[CCCM%]:[WASH%]], tblPiNAnalysis[Population Group]=B$5), 0, MATCH(_xlfn.CONCAT($Q$2, "%"), tblPiNAnalysis[[#Headers],[CCCM%]:[WASH%]], 0))=$A49, 1, 0))))</f>
        <v/>
      </c>
      <c r="C49" s="92" t="str" cm="1">
        <f t="array" ref="C49">IFERROR(IF(OR($A49="", C$5=""), "", IF(SUM(IF(INDEX(_xlfn._xlws.FILTER(tblPiNAnalysis[[CCCM%]:[WASH%]], tblPiNAnalysis[Population Group]=C$5), 0, MATCH(_xlfn.CONCAT($Q$2, "%"), tblPiNAnalysis[[#Headers],[CCCM%]:[WASH%]], 0))=$A49, 1, 0))=0, "",SUM(IF(INDEX(_xlfn._xlws.FILTER(tblPiNAnalysis[[CCCM%]:[WASH%]], tblPiNAnalysis[Population Group]=C$5), 0, MATCH(_xlfn.CONCAT($Q$2, "%"), tblPiNAnalysis[[#Headers],[CCCM%]:[WASH%]], 0))=$A49, 1, 0)))), "")</f>
        <v/>
      </c>
      <c r="D49" s="92" t="str" cm="1">
        <f t="array" ref="D49">IFERROR(IF(OR($A49="", D$5=""), "", IF(SUM(IF(INDEX(_xlfn._xlws.FILTER(tblPiNAnalysis[[CCCM%]:[WASH%]], tblPiNAnalysis[Population Group]=D$5), 0, MATCH(_xlfn.CONCAT($Q$2, "%"), tblPiNAnalysis[[#Headers],[CCCM%]:[WASH%]], 0))=$A49, 1, 0))=0, "",SUM(IF(INDEX(_xlfn._xlws.FILTER(tblPiNAnalysis[[CCCM%]:[WASH%]], tblPiNAnalysis[Population Group]=D$5), 0, MATCH(_xlfn.CONCAT($Q$2, "%"), tblPiNAnalysis[[#Headers],[CCCM%]:[WASH%]], 0))=$A49, 1, 0)))), "")</f>
        <v/>
      </c>
      <c r="E49" s="92" t="str" cm="1">
        <f t="array" ref="E49">IFERROR(IF(OR($A49="", E$5=""), "", IF(SUM(IF(INDEX(_xlfn._xlws.FILTER(tblPiNAnalysis[[CCCM%]:[WASH%]], tblPiNAnalysis[Population Group]=E$5), 0, MATCH(_xlfn.CONCAT($Q$2, "%"), tblPiNAnalysis[[#Headers],[CCCM%]:[WASH%]], 0))=$A49, 1, 0))=0, "",SUM(IF(INDEX(_xlfn._xlws.FILTER(tblPiNAnalysis[[CCCM%]:[WASH%]], tblPiNAnalysis[Population Group]=E$5), 0, MATCH(_xlfn.CONCAT($Q$2, "%"), tblPiNAnalysis[[#Headers],[CCCM%]:[WASH%]], 0))=$A49, 1, 0)))), "")</f>
        <v/>
      </c>
      <c r="F49" s="92" t="str" cm="1">
        <f t="array" ref="F49">IFERROR(IF(OR($A49="", F$5=""), "", IF(SUM(IF(INDEX(_xlfn._xlws.FILTER(tblPiNAnalysis[[CCCM%]:[WASH%]], tblPiNAnalysis[CCCM]=F$5), 0, MATCH(_xlfn.CONCAT($Q$2, "%"), tblPiNAnalysis[[#Headers],[CCCM%]:[WASH%]], 0))=$A49, 1, 0))=0, "",SUM(IF(INDEX(_xlfn._xlws.FILTER(tblPiNAnalysis[[CCCM%]:[WASH%]], tblPiNAnalysis[CCCM]=F$5), 0, MATCH(_xlfn.CONCAT($Q$2, "%"), tblPiNAnalysis[[#Headers],[CCCM%]:[WASH%]], 0))=$A49, 1, 0)))), "")</f>
        <v/>
      </c>
      <c r="H49" s="94"/>
      <c r="I49" s="92" t="str" cm="1">
        <f t="array" ref="I49">IF($H49="", "", IF($H49=2, SUM(IF(INDEX(_xlfn._xlws.FILTER(tblPiNHistorical[[CCCM]:[WASH]], tblPiNHistorical[Population Group]=I$5), 0, MATCH($Q$2, tblPiNHistorical[[#Headers],[CCCM]:[WASH]], 0))&gt;1.9, 1, 0)), IF(SUM(IF(INDEX(_xlfn._xlws.FILTER(tblPiNHistorical[[CCCM]:[WASH]], tblPiNHistorical[Population Group]=I$5), 0, MATCH($Q$2, tblPiNHistorical[[#Headers],[CCCM]:[WASH]], 0))=$H49, 1, 0))=0, "", SUM(IF(INDEX(_xlfn._xlws.FILTER(tblPiNHistorical[[CCCM]:[WASH]], tblPiNHistorical[Population Group]=I$5), 0, MATCH($Q$2, tblPiNHistorical[[#Headers],[CCCM]:[WASH]], 0))=$H49, 1, 0)))))</f>
        <v/>
      </c>
      <c r="J49" s="92" t="str" cm="1">
        <f t="array" ref="J49">IFERROR(IF(OR($H49="", J48=""), "", IF($H49=2, SUM(IF(INDEX(_xlfn._xlws.FILTER(tblPiNHistorical[[CCCM]:[WASH]], tblPiNHistorical[Population Group]=J$5), 0, MATCH($Q$2, tblPiNHistorical[[#Headers],[CCCM]:[WASH]], 0))&gt;1.9, 1, 0)), IF(SUM(IF(INDEX(_xlfn._xlws.FILTER(tblPiNHistorical[[CCCM]:[WASH]], tblPiNHistorical[Population Group]=J$5), 0, MATCH($Q$2, tblPiNHistorical[[#Headers],[CCCM]:[WASH]], 0))=$H49, 1, 0))=0, "", SUM(IF(INDEX(_xlfn._xlws.FILTER(tblPiNHistorical[[CCCM]:[WASH]], tblPiNHistorical[Population Group]=J$5), 0, MATCH($Q$2, tblPiNHistorical[[#Headers],[CCCM]:[WASH]], 0))=$H49, 1, 0))))), "")</f>
        <v/>
      </c>
      <c r="K49" s="92" t="str" cm="1">
        <f t="array" ref="K49">IFERROR(IF(OR($H49="", K48=""), "", IF($H49=2, SUM(IF(INDEX(_xlfn._xlws.FILTER(tblPiNHistorical[[CCCM]:[WASH]], tblPiNHistorical[CCCM - old]=K$5), 0, MATCH($Q$2, tblPiNHistorical[[#Headers],[CCCM]:[WASH]], 0))&gt;1.9, 1, 0)), IF(SUM(IF(INDEX(_xlfn._xlws.FILTER(tblPiNHistorical[[CCCM]:[WASH]], tblPiNHistorical[CCCM - old]=K$5), 0, MATCH($Q$2, tblPiNHistorical[[#Headers],[CCCM]:[WASH]], 0))=$H49, 1, 0))=0, "", SUM(IF(INDEX(_xlfn._xlws.FILTER(tblPiNHistorical[[CCCM]:[WASH]], tblPiNHistorical[CCCM - old]=K$5), 0, MATCH($Q$2, tblPiNHistorical[[#Headers],[CCCM]:[WASH]], 0))=$H49, 1, 0))))), "")</f>
        <v/>
      </c>
      <c r="L49" s="92" t="str" cm="1">
        <f t="array" ref="L49">IFERROR(IF(OR($H49="", L48=""), "", IF($H49=2, SUM(IF(INDEX(_xlfn._xlws.FILTER(tblPiNHistorical[[CCCM]:[WASH]],#REF!= L$5), 0, MATCH($Q$2, tblPiNHistorical[[#Headers],[CCCM]:[WASH]], 0))&gt;1.9, 1, 0)), IF(SUM(IF(INDEX(_xlfn._xlws.FILTER(tblPiNHistorical[[CCCM]:[WASH]],#REF!= L$5), 0, MATCH($Q$2, tblPiNHistorical[[#Headers],[CCCM]:[WASH]], 0))=$H49, 1, 0))=0, "", SUM(IF(INDEX(_xlfn._xlws.FILTER(tblPiNHistorical[[CCCM]:[WASH]],#REF!= L$5), 0, MATCH($Q$2, tblPiNHistorical[[#Headers],[CCCM]:[WASH]], 0))=$H49, 1, 0))))), "")</f>
        <v/>
      </c>
      <c r="M49" s="92" t="str" cm="1">
        <f t="array" ref="M49">IFERROR(IF(OR($H49="", M48=""), "", IF($H49=2, SUM(IF(INDEX(_xlfn._xlws.FILTER(tblPiNHistorical[[CCCM]:[WASH]],#REF!= M$5), 0, MATCH($Q$2, tblPiNHistorical[[#Headers],[CCCM]:[WASH]], 0))&gt;1.9, 1, 0)), IF(SUM(IF(INDEX(_xlfn._xlws.FILTER(tblPiNHistorical[[CCCM]:[WASH]],#REF!= M$5), 0, MATCH($Q$2, tblPiNHistorical[[#Headers],[CCCM]:[WASH]], 0))=$H49, 1, 0))=0, "", SUM(IF(INDEX(_xlfn._xlws.FILTER(tblPiNHistorical[[CCCM]:[WASH]],#REF!= M$5), 0, MATCH($Q$2, tblPiNHistorical[[#Headers],[CCCM]:[WASH]], 0))=$H49, 1, 0))))), "")</f>
        <v/>
      </c>
    </row>
    <row r="50" spans="1:13">
      <c r="A50" s="94"/>
      <c r="B50" s="92" t="str" cm="1">
        <f t="array" ref="B50">IF($A50="", "", IF(SUM(IF(INDEX(_xlfn._xlws.FILTER(tblPiNAnalysis[[CCCM%]:[WASH%]], tblPiNAnalysis[Population Group]=B$5), 0, MATCH(_xlfn.CONCAT($Q$2, "%"), tblPiNAnalysis[[#Headers],[CCCM%]:[WASH%]], 0))=$A50, 1, 0))=0, "",SUM(IF(INDEX(_xlfn._xlws.FILTER(tblPiNAnalysis[[CCCM%]:[WASH%]], tblPiNAnalysis[Population Group]=B$5), 0, MATCH(_xlfn.CONCAT($Q$2, "%"), tblPiNAnalysis[[#Headers],[CCCM%]:[WASH%]], 0))=$A50, 1, 0))))</f>
        <v/>
      </c>
      <c r="C50" s="92" t="str" cm="1">
        <f t="array" ref="C50">IFERROR(IF(OR($A50="", C$5=""), "", IF(SUM(IF(INDEX(_xlfn._xlws.FILTER(tblPiNAnalysis[[CCCM%]:[WASH%]], tblPiNAnalysis[Population Group]=C$5), 0, MATCH(_xlfn.CONCAT($Q$2, "%"), tblPiNAnalysis[[#Headers],[CCCM%]:[WASH%]], 0))=$A50, 1, 0))=0, "",SUM(IF(INDEX(_xlfn._xlws.FILTER(tblPiNAnalysis[[CCCM%]:[WASH%]], tblPiNAnalysis[Population Group]=C$5), 0, MATCH(_xlfn.CONCAT($Q$2, "%"), tblPiNAnalysis[[#Headers],[CCCM%]:[WASH%]], 0))=$A50, 1, 0)))), "")</f>
        <v/>
      </c>
      <c r="D50" s="92" t="str" cm="1">
        <f t="array" ref="D50">IFERROR(IF(OR($A50="", D$5=""), "", IF(SUM(IF(INDEX(_xlfn._xlws.FILTER(tblPiNAnalysis[[CCCM%]:[WASH%]], tblPiNAnalysis[Population Group]=D$5), 0, MATCH(_xlfn.CONCAT($Q$2, "%"), tblPiNAnalysis[[#Headers],[CCCM%]:[WASH%]], 0))=$A50, 1, 0))=0, "",SUM(IF(INDEX(_xlfn._xlws.FILTER(tblPiNAnalysis[[CCCM%]:[WASH%]], tblPiNAnalysis[Population Group]=D$5), 0, MATCH(_xlfn.CONCAT($Q$2, "%"), tblPiNAnalysis[[#Headers],[CCCM%]:[WASH%]], 0))=$A50, 1, 0)))), "")</f>
        <v/>
      </c>
      <c r="E50" s="92" t="str" cm="1">
        <f t="array" ref="E50">IFERROR(IF(OR($A50="", E$5=""), "", IF(SUM(IF(INDEX(_xlfn._xlws.FILTER(tblPiNAnalysis[[CCCM%]:[WASH%]], tblPiNAnalysis[Population Group]=E$5), 0, MATCH(_xlfn.CONCAT($Q$2, "%"), tblPiNAnalysis[[#Headers],[CCCM%]:[WASH%]], 0))=$A50, 1, 0))=0, "",SUM(IF(INDEX(_xlfn._xlws.FILTER(tblPiNAnalysis[[CCCM%]:[WASH%]], tblPiNAnalysis[Population Group]=E$5), 0, MATCH(_xlfn.CONCAT($Q$2, "%"), tblPiNAnalysis[[#Headers],[CCCM%]:[WASH%]], 0))=$A50, 1, 0)))), "")</f>
        <v/>
      </c>
      <c r="F50" s="92" t="str" cm="1">
        <f t="array" ref="F50">IFERROR(IF(OR($A50="", F$5=""), "", IF(SUM(IF(INDEX(_xlfn._xlws.FILTER(tblPiNAnalysis[[CCCM%]:[WASH%]], tblPiNAnalysis[CCCM]=F$5), 0, MATCH(_xlfn.CONCAT($Q$2, "%"), tblPiNAnalysis[[#Headers],[CCCM%]:[WASH%]], 0))=$A50, 1, 0))=0, "",SUM(IF(INDEX(_xlfn._xlws.FILTER(tblPiNAnalysis[[CCCM%]:[WASH%]], tblPiNAnalysis[CCCM]=F$5), 0, MATCH(_xlfn.CONCAT($Q$2, "%"), tblPiNAnalysis[[#Headers],[CCCM%]:[WASH%]], 0))=$A50, 1, 0)))), "")</f>
        <v/>
      </c>
      <c r="H50" s="94"/>
      <c r="I50" s="92" t="str" cm="1">
        <f t="array" ref="I50">IF($H50="", "", IF($H50=2, SUM(IF(INDEX(_xlfn._xlws.FILTER(tblPiNHistorical[[CCCM]:[WASH]], tblPiNHistorical[Population Group]=I$5), 0, MATCH($Q$2, tblPiNHistorical[[#Headers],[CCCM]:[WASH]], 0))&gt;1.9, 1, 0)), IF(SUM(IF(INDEX(_xlfn._xlws.FILTER(tblPiNHistorical[[CCCM]:[WASH]], tblPiNHistorical[Population Group]=I$5), 0, MATCH($Q$2, tblPiNHistorical[[#Headers],[CCCM]:[WASH]], 0))=$H50, 1, 0))=0, "", SUM(IF(INDEX(_xlfn._xlws.FILTER(tblPiNHistorical[[CCCM]:[WASH]], tblPiNHistorical[Population Group]=I$5), 0, MATCH($Q$2, tblPiNHistorical[[#Headers],[CCCM]:[WASH]], 0))=$H50, 1, 0)))))</f>
        <v/>
      </c>
      <c r="J50" s="92" t="str" cm="1">
        <f t="array" ref="J50">IFERROR(IF(OR($H50="", J49=""), "", IF($H50=2, SUM(IF(INDEX(_xlfn._xlws.FILTER(tblPiNHistorical[[CCCM]:[WASH]], tblPiNHistorical[Population Group]=J$5), 0, MATCH($Q$2, tblPiNHistorical[[#Headers],[CCCM]:[WASH]], 0))&gt;1.9, 1, 0)), IF(SUM(IF(INDEX(_xlfn._xlws.FILTER(tblPiNHistorical[[CCCM]:[WASH]], tblPiNHistorical[Population Group]=J$5), 0, MATCH($Q$2, tblPiNHistorical[[#Headers],[CCCM]:[WASH]], 0))=$H50, 1, 0))=0, "", SUM(IF(INDEX(_xlfn._xlws.FILTER(tblPiNHistorical[[CCCM]:[WASH]], tblPiNHistorical[Population Group]=J$5), 0, MATCH($Q$2, tblPiNHistorical[[#Headers],[CCCM]:[WASH]], 0))=$H50, 1, 0))))), "")</f>
        <v/>
      </c>
      <c r="K50" s="92" t="str" cm="1">
        <f t="array" ref="K50">IFERROR(IF(OR($H50="", K49=""), "", IF($H50=2, SUM(IF(INDEX(_xlfn._xlws.FILTER(tblPiNHistorical[[CCCM]:[WASH]], tblPiNHistorical[CCCM - old]=K$5), 0, MATCH($Q$2, tblPiNHistorical[[#Headers],[CCCM]:[WASH]], 0))&gt;1.9, 1, 0)), IF(SUM(IF(INDEX(_xlfn._xlws.FILTER(tblPiNHistorical[[CCCM]:[WASH]], tblPiNHistorical[CCCM - old]=K$5), 0, MATCH($Q$2, tblPiNHistorical[[#Headers],[CCCM]:[WASH]], 0))=$H50, 1, 0))=0, "", SUM(IF(INDEX(_xlfn._xlws.FILTER(tblPiNHistorical[[CCCM]:[WASH]], tblPiNHistorical[CCCM - old]=K$5), 0, MATCH($Q$2, tblPiNHistorical[[#Headers],[CCCM]:[WASH]], 0))=$H50, 1, 0))))), "")</f>
        <v/>
      </c>
      <c r="L50" s="92" t="str" cm="1">
        <f t="array" ref="L50">IFERROR(IF(OR($H50="", L49=""), "", IF($H50=2, SUM(IF(INDEX(_xlfn._xlws.FILTER(tblPiNHistorical[[CCCM]:[WASH]],#REF!= L$5), 0, MATCH($Q$2, tblPiNHistorical[[#Headers],[CCCM]:[WASH]], 0))&gt;1.9, 1, 0)), IF(SUM(IF(INDEX(_xlfn._xlws.FILTER(tblPiNHistorical[[CCCM]:[WASH]],#REF!= L$5), 0, MATCH($Q$2, tblPiNHistorical[[#Headers],[CCCM]:[WASH]], 0))=$H50, 1, 0))=0, "", SUM(IF(INDEX(_xlfn._xlws.FILTER(tblPiNHistorical[[CCCM]:[WASH]],#REF!= L$5), 0, MATCH($Q$2, tblPiNHistorical[[#Headers],[CCCM]:[WASH]], 0))=$H50, 1, 0))))), "")</f>
        <v/>
      </c>
      <c r="M50" s="92" t="str" cm="1">
        <f t="array" ref="M50">IFERROR(IF(OR($H50="", M49=""), "", IF($H50=2, SUM(IF(INDEX(_xlfn._xlws.FILTER(tblPiNHistorical[[CCCM]:[WASH]],#REF!= M$5), 0, MATCH($Q$2, tblPiNHistorical[[#Headers],[CCCM]:[WASH]], 0))&gt;1.9, 1, 0)), IF(SUM(IF(INDEX(_xlfn._xlws.FILTER(tblPiNHistorical[[CCCM]:[WASH]],#REF!= M$5), 0, MATCH($Q$2, tblPiNHistorical[[#Headers],[CCCM]:[WASH]], 0))=$H50, 1, 0))=0, "", SUM(IF(INDEX(_xlfn._xlws.FILTER(tblPiNHistorical[[CCCM]:[WASH]],#REF!= M$5), 0, MATCH($Q$2, tblPiNHistorical[[#Headers],[CCCM]:[WASH]], 0))=$H50, 1, 0))))), "")</f>
        <v/>
      </c>
    </row>
    <row r="51" spans="1:13">
      <c r="A51" s="94"/>
      <c r="B51" s="92" t="str" cm="1">
        <f t="array" ref="B51">IF($A51="", "", IF(SUM(IF(INDEX(_xlfn._xlws.FILTER(tblPiNAnalysis[[CCCM%]:[WASH%]], tblPiNAnalysis[Population Group]=B$5), 0, MATCH(_xlfn.CONCAT($Q$2, "%"), tblPiNAnalysis[[#Headers],[CCCM%]:[WASH%]], 0))=$A51, 1, 0))=0, "",SUM(IF(INDEX(_xlfn._xlws.FILTER(tblPiNAnalysis[[CCCM%]:[WASH%]], tblPiNAnalysis[Population Group]=B$5), 0, MATCH(_xlfn.CONCAT($Q$2, "%"), tblPiNAnalysis[[#Headers],[CCCM%]:[WASH%]], 0))=$A51, 1, 0))))</f>
        <v/>
      </c>
      <c r="C51" s="92" t="str" cm="1">
        <f t="array" ref="C51">IFERROR(IF(OR($A51="", C$5=""), "", IF(SUM(IF(INDEX(_xlfn._xlws.FILTER(tblPiNAnalysis[[CCCM%]:[WASH%]], tblPiNAnalysis[Population Group]=C$5), 0, MATCH(_xlfn.CONCAT($Q$2, "%"), tblPiNAnalysis[[#Headers],[CCCM%]:[WASH%]], 0))=$A51, 1, 0))=0, "",SUM(IF(INDEX(_xlfn._xlws.FILTER(tblPiNAnalysis[[CCCM%]:[WASH%]], tblPiNAnalysis[Population Group]=C$5), 0, MATCH(_xlfn.CONCAT($Q$2, "%"), tblPiNAnalysis[[#Headers],[CCCM%]:[WASH%]], 0))=$A51, 1, 0)))), "")</f>
        <v/>
      </c>
      <c r="D51" s="92" t="str" cm="1">
        <f t="array" ref="D51">IFERROR(IF(OR($A51="", D$5=""), "", IF(SUM(IF(INDEX(_xlfn._xlws.FILTER(tblPiNAnalysis[[CCCM%]:[WASH%]], tblPiNAnalysis[Population Group]=D$5), 0, MATCH(_xlfn.CONCAT($Q$2, "%"), tblPiNAnalysis[[#Headers],[CCCM%]:[WASH%]], 0))=$A51, 1, 0))=0, "",SUM(IF(INDEX(_xlfn._xlws.FILTER(tblPiNAnalysis[[CCCM%]:[WASH%]], tblPiNAnalysis[Population Group]=D$5), 0, MATCH(_xlfn.CONCAT($Q$2, "%"), tblPiNAnalysis[[#Headers],[CCCM%]:[WASH%]], 0))=$A51, 1, 0)))), "")</f>
        <v/>
      </c>
      <c r="E51" s="92" t="str" cm="1">
        <f t="array" ref="E51">IFERROR(IF(OR($A51="", E$5=""), "", IF(SUM(IF(INDEX(_xlfn._xlws.FILTER(tblPiNAnalysis[[CCCM%]:[WASH%]], tblPiNAnalysis[Population Group]=E$5), 0, MATCH(_xlfn.CONCAT($Q$2, "%"), tblPiNAnalysis[[#Headers],[CCCM%]:[WASH%]], 0))=$A51, 1, 0))=0, "",SUM(IF(INDEX(_xlfn._xlws.FILTER(tblPiNAnalysis[[CCCM%]:[WASH%]], tblPiNAnalysis[Population Group]=E$5), 0, MATCH(_xlfn.CONCAT($Q$2, "%"), tblPiNAnalysis[[#Headers],[CCCM%]:[WASH%]], 0))=$A51, 1, 0)))), "")</f>
        <v/>
      </c>
      <c r="F51" s="92" t="str" cm="1">
        <f t="array" ref="F51">IFERROR(IF(OR($A51="", F$5=""), "", IF(SUM(IF(INDEX(_xlfn._xlws.FILTER(tblPiNAnalysis[[CCCM%]:[WASH%]], tblPiNAnalysis[CCCM]=F$5), 0, MATCH(_xlfn.CONCAT($Q$2, "%"), tblPiNAnalysis[[#Headers],[CCCM%]:[WASH%]], 0))=$A51, 1, 0))=0, "",SUM(IF(INDEX(_xlfn._xlws.FILTER(tblPiNAnalysis[[CCCM%]:[WASH%]], tblPiNAnalysis[CCCM]=F$5), 0, MATCH(_xlfn.CONCAT($Q$2, "%"), tblPiNAnalysis[[#Headers],[CCCM%]:[WASH%]], 0))=$A51, 1, 0)))), "")</f>
        <v/>
      </c>
      <c r="H51" s="94"/>
      <c r="I51" s="92" t="str" cm="1">
        <f t="array" ref="I51">IF($H51="", "", IF($H51=2, SUM(IF(INDEX(_xlfn._xlws.FILTER(tblPiNHistorical[[CCCM]:[WASH]], tblPiNHistorical[Population Group]=I$5), 0, MATCH($Q$2, tblPiNHistorical[[#Headers],[CCCM]:[WASH]], 0))&gt;1.9, 1, 0)), IF(SUM(IF(INDEX(_xlfn._xlws.FILTER(tblPiNHistorical[[CCCM]:[WASH]], tblPiNHistorical[Population Group]=I$5), 0, MATCH($Q$2, tblPiNHistorical[[#Headers],[CCCM]:[WASH]], 0))=$H51, 1, 0))=0, "", SUM(IF(INDEX(_xlfn._xlws.FILTER(tblPiNHistorical[[CCCM]:[WASH]], tblPiNHistorical[Population Group]=I$5), 0, MATCH($Q$2, tblPiNHistorical[[#Headers],[CCCM]:[WASH]], 0))=$H51, 1, 0)))))</f>
        <v/>
      </c>
      <c r="J51" s="92" t="str" cm="1">
        <f t="array" ref="J51">IFERROR(IF(OR($H51="", J50=""), "", IF($H51=2, SUM(IF(INDEX(_xlfn._xlws.FILTER(tblPiNHistorical[[CCCM]:[WASH]], tblPiNHistorical[Population Group]=J$5), 0, MATCH($Q$2, tblPiNHistorical[[#Headers],[CCCM]:[WASH]], 0))&gt;1.9, 1, 0)), IF(SUM(IF(INDEX(_xlfn._xlws.FILTER(tblPiNHistorical[[CCCM]:[WASH]], tblPiNHistorical[Population Group]=J$5), 0, MATCH($Q$2, tblPiNHistorical[[#Headers],[CCCM]:[WASH]], 0))=$H51, 1, 0))=0, "", SUM(IF(INDEX(_xlfn._xlws.FILTER(tblPiNHistorical[[CCCM]:[WASH]], tblPiNHistorical[Population Group]=J$5), 0, MATCH($Q$2, tblPiNHistorical[[#Headers],[CCCM]:[WASH]], 0))=$H51, 1, 0))))), "")</f>
        <v/>
      </c>
      <c r="K51" s="92" t="str" cm="1">
        <f t="array" ref="K51">IFERROR(IF(OR($H51="", K50=""), "", IF($H51=2, SUM(IF(INDEX(_xlfn._xlws.FILTER(tblPiNHistorical[[CCCM]:[WASH]], tblPiNHistorical[CCCM - old]=K$5), 0, MATCH($Q$2, tblPiNHistorical[[#Headers],[CCCM]:[WASH]], 0))&gt;1.9, 1, 0)), IF(SUM(IF(INDEX(_xlfn._xlws.FILTER(tblPiNHistorical[[CCCM]:[WASH]], tblPiNHistorical[CCCM - old]=K$5), 0, MATCH($Q$2, tblPiNHistorical[[#Headers],[CCCM]:[WASH]], 0))=$H51, 1, 0))=0, "", SUM(IF(INDEX(_xlfn._xlws.FILTER(tblPiNHistorical[[CCCM]:[WASH]], tblPiNHistorical[CCCM - old]=K$5), 0, MATCH($Q$2, tblPiNHistorical[[#Headers],[CCCM]:[WASH]], 0))=$H51, 1, 0))))), "")</f>
        <v/>
      </c>
      <c r="L51" s="92" t="str" cm="1">
        <f t="array" ref="L51">IFERROR(IF(OR($H51="", L50=""), "", IF($H51=2, SUM(IF(INDEX(_xlfn._xlws.FILTER(tblPiNHistorical[[CCCM]:[WASH]],#REF!= L$5), 0, MATCH($Q$2, tblPiNHistorical[[#Headers],[CCCM]:[WASH]], 0))&gt;1.9, 1, 0)), IF(SUM(IF(INDEX(_xlfn._xlws.FILTER(tblPiNHistorical[[CCCM]:[WASH]],#REF!= L$5), 0, MATCH($Q$2, tblPiNHistorical[[#Headers],[CCCM]:[WASH]], 0))=$H51, 1, 0))=0, "", SUM(IF(INDEX(_xlfn._xlws.FILTER(tblPiNHistorical[[CCCM]:[WASH]],#REF!= L$5), 0, MATCH($Q$2, tblPiNHistorical[[#Headers],[CCCM]:[WASH]], 0))=$H51, 1, 0))))), "")</f>
        <v/>
      </c>
      <c r="M51" s="92" t="str" cm="1">
        <f t="array" ref="M51">IFERROR(IF(OR($H51="", M50=""), "", IF($H51=2, SUM(IF(INDEX(_xlfn._xlws.FILTER(tblPiNHistorical[[CCCM]:[WASH]],#REF!= M$5), 0, MATCH($Q$2, tblPiNHistorical[[#Headers],[CCCM]:[WASH]], 0))&gt;1.9, 1, 0)), IF(SUM(IF(INDEX(_xlfn._xlws.FILTER(tblPiNHistorical[[CCCM]:[WASH]],#REF!= M$5), 0, MATCH($Q$2, tblPiNHistorical[[#Headers],[CCCM]:[WASH]], 0))=$H51, 1, 0))=0, "", SUM(IF(INDEX(_xlfn._xlws.FILTER(tblPiNHistorical[[CCCM]:[WASH]],#REF!= M$5), 0, MATCH($Q$2, tblPiNHistorical[[#Headers],[CCCM]:[WASH]], 0))=$H51, 1, 0))))), "")</f>
        <v/>
      </c>
    </row>
    <row r="52" spans="1:13">
      <c r="A52" s="94"/>
      <c r="B52" s="92" t="str" cm="1">
        <f t="array" ref="B52">IF($A52="", "", IF(SUM(IF(INDEX(_xlfn._xlws.FILTER(tblPiNAnalysis[[CCCM%]:[WASH%]], tblPiNAnalysis[Population Group]=B$5), 0, MATCH(_xlfn.CONCAT($Q$2, "%"), tblPiNAnalysis[[#Headers],[CCCM%]:[WASH%]], 0))=$A52, 1, 0))=0, "",SUM(IF(INDEX(_xlfn._xlws.FILTER(tblPiNAnalysis[[CCCM%]:[WASH%]], tblPiNAnalysis[Population Group]=B$5), 0, MATCH(_xlfn.CONCAT($Q$2, "%"), tblPiNAnalysis[[#Headers],[CCCM%]:[WASH%]], 0))=$A52, 1, 0))))</f>
        <v/>
      </c>
      <c r="C52" s="92" t="str" cm="1">
        <f t="array" ref="C52">IFERROR(IF(OR($A52="", C$5=""), "", IF(SUM(IF(INDEX(_xlfn._xlws.FILTER(tblPiNAnalysis[[CCCM%]:[WASH%]], tblPiNAnalysis[Population Group]=C$5), 0, MATCH(_xlfn.CONCAT($Q$2, "%"), tblPiNAnalysis[[#Headers],[CCCM%]:[WASH%]], 0))=$A52, 1, 0))=0, "",SUM(IF(INDEX(_xlfn._xlws.FILTER(tblPiNAnalysis[[CCCM%]:[WASH%]], tblPiNAnalysis[Population Group]=C$5), 0, MATCH(_xlfn.CONCAT($Q$2, "%"), tblPiNAnalysis[[#Headers],[CCCM%]:[WASH%]], 0))=$A52, 1, 0)))), "")</f>
        <v/>
      </c>
      <c r="D52" s="92" t="str" cm="1">
        <f t="array" ref="D52">IFERROR(IF(OR($A52="", D$5=""), "", IF(SUM(IF(INDEX(_xlfn._xlws.FILTER(tblPiNAnalysis[[CCCM%]:[WASH%]], tblPiNAnalysis[Population Group]=D$5), 0, MATCH(_xlfn.CONCAT($Q$2, "%"), tblPiNAnalysis[[#Headers],[CCCM%]:[WASH%]], 0))=$A52, 1, 0))=0, "",SUM(IF(INDEX(_xlfn._xlws.FILTER(tblPiNAnalysis[[CCCM%]:[WASH%]], tblPiNAnalysis[Population Group]=D$5), 0, MATCH(_xlfn.CONCAT($Q$2, "%"), tblPiNAnalysis[[#Headers],[CCCM%]:[WASH%]], 0))=$A52, 1, 0)))), "")</f>
        <v/>
      </c>
      <c r="E52" s="92" t="str" cm="1">
        <f t="array" ref="E52">IFERROR(IF(OR($A52="", E$5=""), "", IF(SUM(IF(INDEX(_xlfn._xlws.FILTER(tblPiNAnalysis[[CCCM%]:[WASH%]], tblPiNAnalysis[Population Group]=E$5), 0, MATCH(_xlfn.CONCAT($Q$2, "%"), tblPiNAnalysis[[#Headers],[CCCM%]:[WASH%]], 0))=$A52, 1, 0))=0, "",SUM(IF(INDEX(_xlfn._xlws.FILTER(tblPiNAnalysis[[CCCM%]:[WASH%]], tblPiNAnalysis[Population Group]=E$5), 0, MATCH(_xlfn.CONCAT($Q$2, "%"), tblPiNAnalysis[[#Headers],[CCCM%]:[WASH%]], 0))=$A52, 1, 0)))), "")</f>
        <v/>
      </c>
      <c r="F52" s="92" t="str" cm="1">
        <f t="array" ref="F52">IFERROR(IF(OR($A52="", F$5=""), "", IF(SUM(IF(INDEX(_xlfn._xlws.FILTER(tblPiNAnalysis[[CCCM%]:[WASH%]], tblPiNAnalysis[CCCM]=F$5), 0, MATCH(_xlfn.CONCAT($Q$2, "%"), tblPiNAnalysis[[#Headers],[CCCM%]:[WASH%]], 0))=$A52, 1, 0))=0, "",SUM(IF(INDEX(_xlfn._xlws.FILTER(tblPiNAnalysis[[CCCM%]:[WASH%]], tblPiNAnalysis[CCCM]=F$5), 0, MATCH(_xlfn.CONCAT($Q$2, "%"), tblPiNAnalysis[[#Headers],[CCCM%]:[WASH%]], 0))=$A52, 1, 0)))), "")</f>
        <v/>
      </c>
      <c r="H52" s="94"/>
      <c r="I52" s="92" t="str" cm="1">
        <f t="array" ref="I52">IF($H52="", "", IF($H52=2, SUM(IF(INDEX(_xlfn._xlws.FILTER(tblPiNHistorical[[CCCM]:[WASH]], tblPiNHistorical[Population Group]=I$5), 0, MATCH($Q$2, tblPiNHistorical[[#Headers],[CCCM]:[WASH]], 0))&gt;1.9, 1, 0)), IF(SUM(IF(INDEX(_xlfn._xlws.FILTER(tblPiNHistorical[[CCCM]:[WASH]], tblPiNHistorical[Population Group]=I$5), 0, MATCH($Q$2, tblPiNHistorical[[#Headers],[CCCM]:[WASH]], 0))=$H52, 1, 0))=0, "", SUM(IF(INDEX(_xlfn._xlws.FILTER(tblPiNHistorical[[CCCM]:[WASH]], tblPiNHistorical[Population Group]=I$5), 0, MATCH($Q$2, tblPiNHistorical[[#Headers],[CCCM]:[WASH]], 0))=$H52, 1, 0)))))</f>
        <v/>
      </c>
      <c r="J52" s="92" t="str" cm="1">
        <f t="array" ref="J52">IFERROR(IF(OR($H52="", J51=""), "", IF($H52=2, SUM(IF(INDEX(_xlfn._xlws.FILTER(tblPiNHistorical[[CCCM]:[WASH]], tblPiNHistorical[Population Group]=J$5), 0, MATCH($Q$2, tblPiNHistorical[[#Headers],[CCCM]:[WASH]], 0))&gt;1.9, 1, 0)), IF(SUM(IF(INDEX(_xlfn._xlws.FILTER(tblPiNHistorical[[CCCM]:[WASH]], tblPiNHistorical[Population Group]=J$5), 0, MATCH($Q$2, tblPiNHistorical[[#Headers],[CCCM]:[WASH]], 0))=$H52, 1, 0))=0, "", SUM(IF(INDEX(_xlfn._xlws.FILTER(tblPiNHistorical[[CCCM]:[WASH]], tblPiNHistorical[Population Group]=J$5), 0, MATCH($Q$2, tblPiNHistorical[[#Headers],[CCCM]:[WASH]], 0))=$H52, 1, 0))))), "")</f>
        <v/>
      </c>
      <c r="K52" s="92" t="str" cm="1">
        <f t="array" ref="K52">IFERROR(IF(OR($H52="", K51=""), "", IF($H52=2, SUM(IF(INDEX(_xlfn._xlws.FILTER(tblPiNHistorical[[CCCM]:[WASH]], tblPiNHistorical[CCCM - old]=K$5), 0, MATCH($Q$2, tblPiNHistorical[[#Headers],[CCCM]:[WASH]], 0))&gt;1.9, 1, 0)), IF(SUM(IF(INDEX(_xlfn._xlws.FILTER(tblPiNHistorical[[CCCM]:[WASH]], tblPiNHistorical[CCCM - old]=K$5), 0, MATCH($Q$2, tblPiNHistorical[[#Headers],[CCCM]:[WASH]], 0))=$H52, 1, 0))=0, "", SUM(IF(INDEX(_xlfn._xlws.FILTER(tblPiNHistorical[[CCCM]:[WASH]], tblPiNHistorical[CCCM - old]=K$5), 0, MATCH($Q$2, tblPiNHistorical[[#Headers],[CCCM]:[WASH]], 0))=$H52, 1, 0))))), "")</f>
        <v/>
      </c>
      <c r="L52" s="92" t="str" cm="1">
        <f t="array" ref="L52">IFERROR(IF(OR($H52="", L51=""), "", IF($H52=2, SUM(IF(INDEX(_xlfn._xlws.FILTER(tblPiNHistorical[[CCCM]:[WASH]],#REF!= L$5), 0, MATCH($Q$2, tblPiNHistorical[[#Headers],[CCCM]:[WASH]], 0))&gt;1.9, 1, 0)), IF(SUM(IF(INDEX(_xlfn._xlws.FILTER(tblPiNHistorical[[CCCM]:[WASH]],#REF!= L$5), 0, MATCH($Q$2, tblPiNHistorical[[#Headers],[CCCM]:[WASH]], 0))=$H52, 1, 0))=0, "", SUM(IF(INDEX(_xlfn._xlws.FILTER(tblPiNHistorical[[CCCM]:[WASH]],#REF!= L$5), 0, MATCH($Q$2, tblPiNHistorical[[#Headers],[CCCM]:[WASH]], 0))=$H52, 1, 0))))), "")</f>
        <v/>
      </c>
      <c r="M52" s="92" t="str" cm="1">
        <f t="array" ref="M52">IFERROR(IF(OR($H52="", M51=""), "", IF($H52=2, SUM(IF(INDEX(_xlfn._xlws.FILTER(tblPiNHistorical[[CCCM]:[WASH]],#REF!= M$5), 0, MATCH($Q$2, tblPiNHistorical[[#Headers],[CCCM]:[WASH]], 0))&gt;1.9, 1, 0)), IF(SUM(IF(INDEX(_xlfn._xlws.FILTER(tblPiNHistorical[[CCCM]:[WASH]],#REF!= M$5), 0, MATCH($Q$2, tblPiNHistorical[[#Headers],[CCCM]:[WASH]], 0))=$H52, 1, 0))=0, "", SUM(IF(INDEX(_xlfn._xlws.FILTER(tblPiNHistorical[[CCCM]:[WASH]],#REF!= M$5), 0, MATCH($Q$2, tblPiNHistorical[[#Headers],[CCCM]:[WASH]], 0))=$H52, 1, 0))))), "")</f>
        <v/>
      </c>
    </row>
    <row r="53" spans="1:13">
      <c r="A53" s="94"/>
      <c r="B53" s="92" t="str" cm="1">
        <f t="array" ref="B53">IF($A53="", "", IF(SUM(IF(INDEX(_xlfn._xlws.FILTER(tblPiNAnalysis[[CCCM%]:[WASH%]], tblPiNAnalysis[Population Group]=B$5), 0, MATCH(_xlfn.CONCAT($Q$2, "%"), tblPiNAnalysis[[#Headers],[CCCM%]:[WASH%]], 0))=$A53, 1, 0))=0, "",SUM(IF(INDEX(_xlfn._xlws.FILTER(tblPiNAnalysis[[CCCM%]:[WASH%]], tblPiNAnalysis[Population Group]=B$5), 0, MATCH(_xlfn.CONCAT($Q$2, "%"), tblPiNAnalysis[[#Headers],[CCCM%]:[WASH%]], 0))=$A53, 1, 0))))</f>
        <v/>
      </c>
      <c r="C53" s="92" t="str" cm="1">
        <f t="array" ref="C53">IFERROR(IF(OR($A53="", C$5=""), "", IF(SUM(IF(INDEX(_xlfn._xlws.FILTER(tblPiNAnalysis[[CCCM%]:[WASH%]], tblPiNAnalysis[Population Group]=C$5), 0, MATCH(_xlfn.CONCAT($Q$2, "%"), tblPiNAnalysis[[#Headers],[CCCM%]:[WASH%]], 0))=$A53, 1, 0))=0, "",SUM(IF(INDEX(_xlfn._xlws.FILTER(tblPiNAnalysis[[CCCM%]:[WASH%]], tblPiNAnalysis[Population Group]=C$5), 0, MATCH(_xlfn.CONCAT($Q$2, "%"), tblPiNAnalysis[[#Headers],[CCCM%]:[WASH%]], 0))=$A53, 1, 0)))), "")</f>
        <v/>
      </c>
      <c r="D53" s="92" t="str" cm="1">
        <f t="array" ref="D53">IFERROR(IF(OR($A53="", D$5=""), "", IF(SUM(IF(INDEX(_xlfn._xlws.FILTER(tblPiNAnalysis[[CCCM%]:[WASH%]], tblPiNAnalysis[Population Group]=D$5), 0, MATCH(_xlfn.CONCAT($Q$2, "%"), tblPiNAnalysis[[#Headers],[CCCM%]:[WASH%]], 0))=$A53, 1, 0))=0, "",SUM(IF(INDEX(_xlfn._xlws.FILTER(tblPiNAnalysis[[CCCM%]:[WASH%]], tblPiNAnalysis[Population Group]=D$5), 0, MATCH(_xlfn.CONCAT($Q$2, "%"), tblPiNAnalysis[[#Headers],[CCCM%]:[WASH%]], 0))=$A53, 1, 0)))), "")</f>
        <v/>
      </c>
      <c r="E53" s="92" t="str" cm="1">
        <f t="array" ref="E53">IFERROR(IF(OR($A53="", E$5=""), "", IF(SUM(IF(INDEX(_xlfn._xlws.FILTER(tblPiNAnalysis[[CCCM%]:[WASH%]], tblPiNAnalysis[Population Group]=E$5), 0, MATCH(_xlfn.CONCAT($Q$2, "%"), tblPiNAnalysis[[#Headers],[CCCM%]:[WASH%]], 0))=$A53, 1, 0))=0, "",SUM(IF(INDEX(_xlfn._xlws.FILTER(tblPiNAnalysis[[CCCM%]:[WASH%]], tblPiNAnalysis[Population Group]=E$5), 0, MATCH(_xlfn.CONCAT($Q$2, "%"), tblPiNAnalysis[[#Headers],[CCCM%]:[WASH%]], 0))=$A53, 1, 0)))), "")</f>
        <v/>
      </c>
      <c r="F53" s="92" t="str" cm="1">
        <f t="array" ref="F53">IFERROR(IF(OR($A53="", F$5=""), "", IF(SUM(IF(INDEX(_xlfn._xlws.FILTER(tblPiNAnalysis[[CCCM%]:[WASH%]], tblPiNAnalysis[CCCM]=F$5), 0, MATCH(_xlfn.CONCAT($Q$2, "%"), tblPiNAnalysis[[#Headers],[CCCM%]:[WASH%]], 0))=$A53, 1, 0))=0, "",SUM(IF(INDEX(_xlfn._xlws.FILTER(tblPiNAnalysis[[CCCM%]:[WASH%]], tblPiNAnalysis[CCCM]=F$5), 0, MATCH(_xlfn.CONCAT($Q$2, "%"), tblPiNAnalysis[[#Headers],[CCCM%]:[WASH%]], 0))=$A53, 1, 0)))), "")</f>
        <v/>
      </c>
      <c r="H53" s="94"/>
      <c r="I53" s="92" t="str" cm="1">
        <f t="array" ref="I53">IF($H53="", "", IF($H53=2, SUM(IF(INDEX(_xlfn._xlws.FILTER(tblPiNHistorical[[CCCM]:[WASH]], tblPiNHistorical[Population Group]=I$5), 0, MATCH($Q$2, tblPiNHistorical[[#Headers],[CCCM]:[WASH]], 0))&gt;1.9, 1, 0)), IF(SUM(IF(INDEX(_xlfn._xlws.FILTER(tblPiNHistorical[[CCCM]:[WASH]], tblPiNHistorical[Population Group]=I$5), 0, MATCH($Q$2, tblPiNHistorical[[#Headers],[CCCM]:[WASH]], 0))=$H53, 1, 0))=0, "", SUM(IF(INDEX(_xlfn._xlws.FILTER(tblPiNHistorical[[CCCM]:[WASH]], tblPiNHistorical[Population Group]=I$5), 0, MATCH($Q$2, tblPiNHistorical[[#Headers],[CCCM]:[WASH]], 0))=$H53, 1, 0)))))</f>
        <v/>
      </c>
      <c r="J53" s="92" t="str" cm="1">
        <f t="array" ref="J53">IFERROR(IF(OR($H53="", J52=""), "", IF($H53=2, SUM(IF(INDEX(_xlfn._xlws.FILTER(tblPiNHistorical[[CCCM]:[WASH]], tblPiNHistorical[Population Group]=J$5), 0, MATCH($Q$2, tblPiNHistorical[[#Headers],[CCCM]:[WASH]], 0))&gt;1.9, 1, 0)), IF(SUM(IF(INDEX(_xlfn._xlws.FILTER(tblPiNHistorical[[CCCM]:[WASH]], tblPiNHistorical[Population Group]=J$5), 0, MATCH($Q$2, tblPiNHistorical[[#Headers],[CCCM]:[WASH]], 0))=$H53, 1, 0))=0, "", SUM(IF(INDEX(_xlfn._xlws.FILTER(tblPiNHistorical[[CCCM]:[WASH]], tblPiNHistorical[Population Group]=J$5), 0, MATCH($Q$2, tblPiNHistorical[[#Headers],[CCCM]:[WASH]], 0))=$H53, 1, 0))))), "")</f>
        <v/>
      </c>
      <c r="K53" s="92" t="str" cm="1">
        <f t="array" ref="K53">IFERROR(IF(OR($H53="", K52=""), "", IF($H53=2, SUM(IF(INDEX(_xlfn._xlws.FILTER(tblPiNHistorical[[CCCM]:[WASH]], tblPiNHistorical[CCCM - old]=K$5), 0, MATCH($Q$2, tblPiNHistorical[[#Headers],[CCCM]:[WASH]], 0))&gt;1.9, 1, 0)), IF(SUM(IF(INDEX(_xlfn._xlws.FILTER(tblPiNHistorical[[CCCM]:[WASH]], tblPiNHistorical[CCCM - old]=K$5), 0, MATCH($Q$2, tblPiNHistorical[[#Headers],[CCCM]:[WASH]], 0))=$H53, 1, 0))=0, "", SUM(IF(INDEX(_xlfn._xlws.FILTER(tblPiNHistorical[[CCCM]:[WASH]], tblPiNHistorical[CCCM - old]=K$5), 0, MATCH($Q$2, tblPiNHistorical[[#Headers],[CCCM]:[WASH]], 0))=$H53, 1, 0))))), "")</f>
        <v/>
      </c>
      <c r="L53" s="92" t="str" cm="1">
        <f t="array" ref="L53">IFERROR(IF(OR($H53="", L52=""), "", IF($H53=2, SUM(IF(INDEX(_xlfn._xlws.FILTER(tblPiNHistorical[[CCCM]:[WASH]],#REF!= L$5), 0, MATCH($Q$2, tblPiNHistorical[[#Headers],[CCCM]:[WASH]], 0))&gt;1.9, 1, 0)), IF(SUM(IF(INDEX(_xlfn._xlws.FILTER(tblPiNHistorical[[CCCM]:[WASH]],#REF!= L$5), 0, MATCH($Q$2, tblPiNHistorical[[#Headers],[CCCM]:[WASH]], 0))=$H53, 1, 0))=0, "", SUM(IF(INDEX(_xlfn._xlws.FILTER(tblPiNHistorical[[CCCM]:[WASH]],#REF!= L$5), 0, MATCH($Q$2, tblPiNHistorical[[#Headers],[CCCM]:[WASH]], 0))=$H53, 1, 0))))), "")</f>
        <v/>
      </c>
      <c r="M53" s="92" t="str" cm="1">
        <f t="array" ref="M53">IFERROR(IF(OR($H53="", M52=""), "", IF($H53=2, SUM(IF(INDEX(_xlfn._xlws.FILTER(tblPiNHistorical[[CCCM]:[WASH]],#REF!= M$5), 0, MATCH($Q$2, tblPiNHistorical[[#Headers],[CCCM]:[WASH]], 0))&gt;1.9, 1, 0)), IF(SUM(IF(INDEX(_xlfn._xlws.FILTER(tblPiNHistorical[[CCCM]:[WASH]],#REF!= M$5), 0, MATCH($Q$2, tblPiNHistorical[[#Headers],[CCCM]:[WASH]], 0))=$H53, 1, 0))=0, "", SUM(IF(INDEX(_xlfn._xlws.FILTER(tblPiNHistorical[[CCCM]:[WASH]],#REF!= M$5), 0, MATCH($Q$2, tblPiNHistorical[[#Headers],[CCCM]:[WASH]], 0))=$H53, 1, 0))))), "")</f>
        <v/>
      </c>
    </row>
    <row r="54" spans="1:13">
      <c r="A54" s="94"/>
      <c r="B54" s="92" t="str" cm="1">
        <f t="array" ref="B54">IF($A54="", "", IF(SUM(IF(INDEX(_xlfn._xlws.FILTER(tblPiNAnalysis[[CCCM%]:[WASH%]], tblPiNAnalysis[Population Group]=B$5), 0, MATCH(_xlfn.CONCAT($Q$2, "%"), tblPiNAnalysis[[#Headers],[CCCM%]:[WASH%]], 0))=$A54, 1, 0))=0, "",SUM(IF(INDEX(_xlfn._xlws.FILTER(tblPiNAnalysis[[CCCM%]:[WASH%]], tblPiNAnalysis[Population Group]=B$5), 0, MATCH(_xlfn.CONCAT($Q$2, "%"), tblPiNAnalysis[[#Headers],[CCCM%]:[WASH%]], 0))=$A54, 1, 0))))</f>
        <v/>
      </c>
      <c r="C54" s="92" t="str" cm="1">
        <f t="array" ref="C54">IFERROR(IF(OR($A54="", C$5=""), "", IF(SUM(IF(INDEX(_xlfn._xlws.FILTER(tblPiNAnalysis[[CCCM%]:[WASH%]], tblPiNAnalysis[Population Group]=C$5), 0, MATCH(_xlfn.CONCAT($Q$2, "%"), tblPiNAnalysis[[#Headers],[CCCM%]:[WASH%]], 0))=$A54, 1, 0))=0, "",SUM(IF(INDEX(_xlfn._xlws.FILTER(tblPiNAnalysis[[CCCM%]:[WASH%]], tblPiNAnalysis[Population Group]=C$5), 0, MATCH(_xlfn.CONCAT($Q$2, "%"), tblPiNAnalysis[[#Headers],[CCCM%]:[WASH%]], 0))=$A54, 1, 0)))), "")</f>
        <v/>
      </c>
      <c r="D54" s="92" t="str" cm="1">
        <f t="array" ref="D54">IFERROR(IF(OR($A54="", D$5=""), "", IF(SUM(IF(INDEX(_xlfn._xlws.FILTER(tblPiNAnalysis[[CCCM%]:[WASH%]], tblPiNAnalysis[Population Group]=D$5), 0, MATCH(_xlfn.CONCAT($Q$2, "%"), tblPiNAnalysis[[#Headers],[CCCM%]:[WASH%]], 0))=$A54, 1, 0))=0, "",SUM(IF(INDEX(_xlfn._xlws.FILTER(tblPiNAnalysis[[CCCM%]:[WASH%]], tblPiNAnalysis[Population Group]=D$5), 0, MATCH(_xlfn.CONCAT($Q$2, "%"), tblPiNAnalysis[[#Headers],[CCCM%]:[WASH%]], 0))=$A54, 1, 0)))), "")</f>
        <v/>
      </c>
      <c r="E54" s="92" t="str" cm="1">
        <f t="array" ref="E54">IFERROR(IF(OR($A54="", E$5=""), "", IF(SUM(IF(INDEX(_xlfn._xlws.FILTER(tblPiNAnalysis[[CCCM%]:[WASH%]], tblPiNAnalysis[Population Group]=E$5), 0, MATCH(_xlfn.CONCAT($Q$2, "%"), tblPiNAnalysis[[#Headers],[CCCM%]:[WASH%]], 0))=$A54, 1, 0))=0, "",SUM(IF(INDEX(_xlfn._xlws.FILTER(tblPiNAnalysis[[CCCM%]:[WASH%]], tblPiNAnalysis[Population Group]=E$5), 0, MATCH(_xlfn.CONCAT($Q$2, "%"), tblPiNAnalysis[[#Headers],[CCCM%]:[WASH%]], 0))=$A54, 1, 0)))), "")</f>
        <v/>
      </c>
      <c r="F54" s="92" t="str" cm="1">
        <f t="array" ref="F54">IFERROR(IF(OR($A54="", F$5=""), "", IF(SUM(IF(INDEX(_xlfn._xlws.FILTER(tblPiNAnalysis[[CCCM%]:[WASH%]], tblPiNAnalysis[CCCM]=F$5), 0, MATCH(_xlfn.CONCAT($Q$2, "%"), tblPiNAnalysis[[#Headers],[CCCM%]:[WASH%]], 0))=$A54, 1, 0))=0, "",SUM(IF(INDEX(_xlfn._xlws.FILTER(tblPiNAnalysis[[CCCM%]:[WASH%]], tblPiNAnalysis[CCCM]=F$5), 0, MATCH(_xlfn.CONCAT($Q$2, "%"), tblPiNAnalysis[[#Headers],[CCCM%]:[WASH%]], 0))=$A54, 1, 0)))), "")</f>
        <v/>
      </c>
      <c r="H54" s="94"/>
      <c r="I54" s="92" t="str" cm="1">
        <f t="array" ref="I54">IF($H54="", "", IF($H54=2, SUM(IF(INDEX(_xlfn._xlws.FILTER(tblPiNHistorical[[CCCM]:[WASH]], tblPiNHistorical[Population Group]=I$5), 0, MATCH($Q$2, tblPiNHistorical[[#Headers],[CCCM]:[WASH]], 0))&gt;1.9, 1, 0)), IF(SUM(IF(INDEX(_xlfn._xlws.FILTER(tblPiNHistorical[[CCCM]:[WASH]], tblPiNHistorical[Population Group]=I$5), 0, MATCH($Q$2, tblPiNHistorical[[#Headers],[CCCM]:[WASH]], 0))=$H54, 1, 0))=0, "", SUM(IF(INDEX(_xlfn._xlws.FILTER(tblPiNHistorical[[CCCM]:[WASH]], tblPiNHistorical[Population Group]=I$5), 0, MATCH($Q$2, tblPiNHistorical[[#Headers],[CCCM]:[WASH]], 0))=$H54, 1, 0)))))</f>
        <v/>
      </c>
      <c r="J54" s="92" t="str" cm="1">
        <f t="array" ref="J54">IFERROR(IF(OR($H54="", J53=""), "", IF($H54=2, SUM(IF(INDEX(_xlfn._xlws.FILTER(tblPiNHistorical[[CCCM]:[WASH]], tblPiNHistorical[Population Group]=J$5), 0, MATCH($Q$2, tblPiNHistorical[[#Headers],[CCCM]:[WASH]], 0))&gt;1.9, 1, 0)), IF(SUM(IF(INDEX(_xlfn._xlws.FILTER(tblPiNHistorical[[CCCM]:[WASH]], tblPiNHistorical[Population Group]=J$5), 0, MATCH($Q$2, tblPiNHistorical[[#Headers],[CCCM]:[WASH]], 0))=$H54, 1, 0))=0, "", SUM(IF(INDEX(_xlfn._xlws.FILTER(tblPiNHistorical[[CCCM]:[WASH]], tblPiNHistorical[Population Group]=J$5), 0, MATCH($Q$2, tblPiNHistorical[[#Headers],[CCCM]:[WASH]], 0))=$H54, 1, 0))))), "")</f>
        <v/>
      </c>
      <c r="K54" s="92" t="str" cm="1">
        <f t="array" ref="K54">IFERROR(IF(OR($H54="", K53=""), "", IF($H54=2, SUM(IF(INDEX(_xlfn._xlws.FILTER(tblPiNHistorical[[CCCM]:[WASH]], tblPiNHistorical[CCCM - old]=K$5), 0, MATCH($Q$2, tblPiNHistorical[[#Headers],[CCCM]:[WASH]], 0))&gt;1.9, 1, 0)), IF(SUM(IF(INDEX(_xlfn._xlws.FILTER(tblPiNHistorical[[CCCM]:[WASH]], tblPiNHistorical[CCCM - old]=K$5), 0, MATCH($Q$2, tblPiNHistorical[[#Headers],[CCCM]:[WASH]], 0))=$H54, 1, 0))=0, "", SUM(IF(INDEX(_xlfn._xlws.FILTER(tblPiNHistorical[[CCCM]:[WASH]], tblPiNHistorical[CCCM - old]=K$5), 0, MATCH($Q$2, tblPiNHistorical[[#Headers],[CCCM]:[WASH]], 0))=$H54, 1, 0))))), "")</f>
        <v/>
      </c>
      <c r="L54" s="92" t="str" cm="1">
        <f t="array" ref="L54">IFERROR(IF(OR($H54="", L53=""), "", IF($H54=2, SUM(IF(INDEX(_xlfn._xlws.FILTER(tblPiNHistorical[[CCCM]:[WASH]],#REF!= L$5), 0, MATCH($Q$2, tblPiNHistorical[[#Headers],[CCCM]:[WASH]], 0))&gt;1.9, 1, 0)), IF(SUM(IF(INDEX(_xlfn._xlws.FILTER(tblPiNHistorical[[CCCM]:[WASH]],#REF!= L$5), 0, MATCH($Q$2, tblPiNHistorical[[#Headers],[CCCM]:[WASH]], 0))=$H54, 1, 0))=0, "", SUM(IF(INDEX(_xlfn._xlws.FILTER(tblPiNHistorical[[CCCM]:[WASH]],#REF!= L$5), 0, MATCH($Q$2, tblPiNHistorical[[#Headers],[CCCM]:[WASH]], 0))=$H54, 1, 0))))), "")</f>
        <v/>
      </c>
      <c r="M54" s="92" t="str" cm="1">
        <f t="array" ref="M54">IFERROR(IF(OR($H54="", M53=""), "", IF($H54=2, SUM(IF(INDEX(_xlfn._xlws.FILTER(tblPiNHistorical[[CCCM]:[WASH]],#REF!= M$5), 0, MATCH($Q$2, tblPiNHistorical[[#Headers],[CCCM]:[WASH]], 0))&gt;1.9, 1, 0)), IF(SUM(IF(INDEX(_xlfn._xlws.FILTER(tblPiNHistorical[[CCCM]:[WASH]],#REF!= M$5), 0, MATCH($Q$2, tblPiNHistorical[[#Headers],[CCCM]:[WASH]], 0))=$H54, 1, 0))=0, "", SUM(IF(INDEX(_xlfn._xlws.FILTER(tblPiNHistorical[[CCCM]:[WASH]],#REF!= M$5), 0, MATCH($Q$2, tblPiNHistorical[[#Headers],[CCCM]:[WASH]], 0))=$H54, 1, 0))))), "")</f>
        <v/>
      </c>
    </row>
    <row r="55" spans="1:13">
      <c r="A55" s="94"/>
      <c r="B55" s="92" t="str" cm="1">
        <f t="array" ref="B55">IF($A55="", "", IF(SUM(IF(INDEX(_xlfn._xlws.FILTER(tblPiNAnalysis[[CCCM%]:[WASH%]], tblPiNAnalysis[Population Group]=B$5), 0, MATCH(_xlfn.CONCAT($Q$2, "%"), tblPiNAnalysis[[#Headers],[CCCM%]:[WASH%]], 0))=$A55, 1, 0))=0, "",SUM(IF(INDEX(_xlfn._xlws.FILTER(tblPiNAnalysis[[CCCM%]:[WASH%]], tblPiNAnalysis[Population Group]=B$5), 0, MATCH(_xlfn.CONCAT($Q$2, "%"), tblPiNAnalysis[[#Headers],[CCCM%]:[WASH%]], 0))=$A55, 1, 0))))</f>
        <v/>
      </c>
      <c r="C55" s="92" t="str" cm="1">
        <f t="array" ref="C55">IFERROR(IF(OR($A55="", C$5=""), "", IF(SUM(IF(INDEX(_xlfn._xlws.FILTER(tblPiNAnalysis[[CCCM%]:[WASH%]], tblPiNAnalysis[Population Group]=C$5), 0, MATCH(_xlfn.CONCAT($Q$2, "%"), tblPiNAnalysis[[#Headers],[CCCM%]:[WASH%]], 0))=$A55, 1, 0))=0, "",SUM(IF(INDEX(_xlfn._xlws.FILTER(tblPiNAnalysis[[CCCM%]:[WASH%]], tblPiNAnalysis[Population Group]=C$5), 0, MATCH(_xlfn.CONCAT($Q$2, "%"), tblPiNAnalysis[[#Headers],[CCCM%]:[WASH%]], 0))=$A55, 1, 0)))), "")</f>
        <v/>
      </c>
      <c r="D55" s="92" t="str" cm="1">
        <f t="array" ref="D55">IFERROR(IF(OR($A55="", D$5=""), "", IF(SUM(IF(INDEX(_xlfn._xlws.FILTER(tblPiNAnalysis[[CCCM%]:[WASH%]], tblPiNAnalysis[Population Group]=D$5), 0, MATCH(_xlfn.CONCAT($Q$2, "%"), tblPiNAnalysis[[#Headers],[CCCM%]:[WASH%]], 0))=$A55, 1, 0))=0, "",SUM(IF(INDEX(_xlfn._xlws.FILTER(tblPiNAnalysis[[CCCM%]:[WASH%]], tblPiNAnalysis[Population Group]=D$5), 0, MATCH(_xlfn.CONCAT($Q$2, "%"), tblPiNAnalysis[[#Headers],[CCCM%]:[WASH%]], 0))=$A55, 1, 0)))), "")</f>
        <v/>
      </c>
      <c r="E55" s="92" t="str" cm="1">
        <f t="array" ref="E55">IFERROR(IF(OR($A55="", E$5=""), "", IF(SUM(IF(INDEX(_xlfn._xlws.FILTER(tblPiNAnalysis[[CCCM%]:[WASH%]], tblPiNAnalysis[Population Group]=E$5), 0, MATCH(_xlfn.CONCAT($Q$2, "%"), tblPiNAnalysis[[#Headers],[CCCM%]:[WASH%]], 0))=$A55, 1, 0))=0, "",SUM(IF(INDEX(_xlfn._xlws.FILTER(tblPiNAnalysis[[CCCM%]:[WASH%]], tblPiNAnalysis[Population Group]=E$5), 0, MATCH(_xlfn.CONCAT($Q$2, "%"), tblPiNAnalysis[[#Headers],[CCCM%]:[WASH%]], 0))=$A55, 1, 0)))), "")</f>
        <v/>
      </c>
      <c r="F55" s="92" t="str" cm="1">
        <f t="array" ref="F55">IFERROR(IF(OR($A55="", F$5=""), "", IF(SUM(IF(INDEX(_xlfn._xlws.FILTER(tblPiNAnalysis[[CCCM%]:[WASH%]], tblPiNAnalysis[CCCM]=F$5), 0, MATCH(_xlfn.CONCAT($Q$2, "%"), tblPiNAnalysis[[#Headers],[CCCM%]:[WASH%]], 0))=$A55, 1, 0))=0, "",SUM(IF(INDEX(_xlfn._xlws.FILTER(tblPiNAnalysis[[CCCM%]:[WASH%]], tblPiNAnalysis[CCCM]=F$5), 0, MATCH(_xlfn.CONCAT($Q$2, "%"), tblPiNAnalysis[[#Headers],[CCCM%]:[WASH%]], 0))=$A55, 1, 0)))), "")</f>
        <v/>
      </c>
      <c r="H55" s="94"/>
      <c r="I55" s="92" t="str" cm="1">
        <f t="array" ref="I55">IF($H55="", "", IF($H55=2, SUM(IF(INDEX(_xlfn._xlws.FILTER(tblPiNHistorical[[CCCM]:[WASH]], tblPiNHistorical[Population Group]=I$5), 0, MATCH($Q$2, tblPiNHistorical[[#Headers],[CCCM]:[WASH]], 0))&gt;1.9, 1, 0)), IF(SUM(IF(INDEX(_xlfn._xlws.FILTER(tblPiNHistorical[[CCCM]:[WASH]], tblPiNHistorical[Population Group]=I$5), 0, MATCH($Q$2, tblPiNHistorical[[#Headers],[CCCM]:[WASH]], 0))=$H55, 1, 0))=0, "", SUM(IF(INDEX(_xlfn._xlws.FILTER(tblPiNHistorical[[CCCM]:[WASH]], tblPiNHistorical[Population Group]=I$5), 0, MATCH($Q$2, tblPiNHistorical[[#Headers],[CCCM]:[WASH]], 0))=$H55, 1, 0)))))</f>
        <v/>
      </c>
      <c r="J55" s="92" t="str" cm="1">
        <f t="array" ref="J55">IFERROR(IF(OR($H55="", J54=""), "", IF($H55=2, SUM(IF(INDEX(_xlfn._xlws.FILTER(tblPiNHistorical[[CCCM]:[WASH]], tblPiNHistorical[Population Group]=J$5), 0, MATCH($Q$2, tblPiNHistorical[[#Headers],[CCCM]:[WASH]], 0))&gt;1.9, 1, 0)), IF(SUM(IF(INDEX(_xlfn._xlws.FILTER(tblPiNHistorical[[CCCM]:[WASH]], tblPiNHistorical[Population Group]=J$5), 0, MATCH($Q$2, tblPiNHistorical[[#Headers],[CCCM]:[WASH]], 0))=$H55, 1, 0))=0, "", SUM(IF(INDEX(_xlfn._xlws.FILTER(tblPiNHistorical[[CCCM]:[WASH]], tblPiNHistorical[Population Group]=J$5), 0, MATCH($Q$2, tblPiNHistorical[[#Headers],[CCCM]:[WASH]], 0))=$H55, 1, 0))))), "")</f>
        <v/>
      </c>
      <c r="K55" s="92" t="str" cm="1">
        <f t="array" ref="K55">IFERROR(IF(OR($H55="", K54=""), "", IF($H55=2, SUM(IF(INDEX(_xlfn._xlws.FILTER(tblPiNHistorical[[CCCM]:[WASH]], tblPiNHistorical[CCCM - old]=K$5), 0, MATCH($Q$2, tblPiNHistorical[[#Headers],[CCCM]:[WASH]], 0))&gt;1.9, 1, 0)), IF(SUM(IF(INDEX(_xlfn._xlws.FILTER(tblPiNHistorical[[CCCM]:[WASH]], tblPiNHistorical[CCCM - old]=K$5), 0, MATCH($Q$2, tblPiNHistorical[[#Headers],[CCCM]:[WASH]], 0))=$H55, 1, 0))=0, "", SUM(IF(INDEX(_xlfn._xlws.FILTER(tblPiNHistorical[[CCCM]:[WASH]], tblPiNHistorical[CCCM - old]=K$5), 0, MATCH($Q$2, tblPiNHistorical[[#Headers],[CCCM]:[WASH]], 0))=$H55, 1, 0))))), "")</f>
        <v/>
      </c>
      <c r="L55" s="92" t="str" cm="1">
        <f t="array" ref="L55">IFERROR(IF(OR($H55="", L54=""), "", IF($H55=2, SUM(IF(INDEX(_xlfn._xlws.FILTER(tblPiNHistorical[[CCCM]:[WASH]],#REF!= L$5), 0, MATCH($Q$2, tblPiNHistorical[[#Headers],[CCCM]:[WASH]], 0))&gt;1.9, 1, 0)), IF(SUM(IF(INDEX(_xlfn._xlws.FILTER(tblPiNHistorical[[CCCM]:[WASH]],#REF!= L$5), 0, MATCH($Q$2, tblPiNHistorical[[#Headers],[CCCM]:[WASH]], 0))=$H55, 1, 0))=0, "", SUM(IF(INDEX(_xlfn._xlws.FILTER(tblPiNHistorical[[CCCM]:[WASH]],#REF!= L$5), 0, MATCH($Q$2, tblPiNHistorical[[#Headers],[CCCM]:[WASH]], 0))=$H55, 1, 0))))), "")</f>
        <v/>
      </c>
      <c r="M55" s="92" t="str" cm="1">
        <f t="array" ref="M55">IFERROR(IF(OR($H55="", M54=""), "", IF($H55=2, SUM(IF(INDEX(_xlfn._xlws.FILTER(tblPiNHistorical[[CCCM]:[WASH]],#REF!= M$5), 0, MATCH($Q$2, tblPiNHistorical[[#Headers],[CCCM]:[WASH]], 0))&gt;1.9, 1, 0)), IF(SUM(IF(INDEX(_xlfn._xlws.FILTER(tblPiNHistorical[[CCCM]:[WASH]],#REF!= M$5), 0, MATCH($Q$2, tblPiNHistorical[[#Headers],[CCCM]:[WASH]], 0))=$H55, 1, 0))=0, "", SUM(IF(INDEX(_xlfn._xlws.FILTER(tblPiNHistorical[[CCCM]:[WASH]],#REF!= M$5), 0, MATCH($Q$2, tblPiNHistorical[[#Headers],[CCCM]:[WASH]], 0))=$H55, 1, 0))))), "")</f>
        <v/>
      </c>
    </row>
    <row r="56" spans="1:13">
      <c r="A56" s="94"/>
      <c r="B56" s="92" t="str" cm="1">
        <f t="array" ref="B56">IF($A56="", "", IF(SUM(IF(INDEX(_xlfn._xlws.FILTER(tblPiNAnalysis[[CCCM%]:[WASH%]], tblPiNAnalysis[Population Group]=B$5), 0, MATCH(_xlfn.CONCAT($Q$2, "%"), tblPiNAnalysis[[#Headers],[CCCM%]:[WASH%]], 0))=$A56, 1, 0))=0, "",SUM(IF(INDEX(_xlfn._xlws.FILTER(tblPiNAnalysis[[CCCM%]:[WASH%]], tblPiNAnalysis[Population Group]=B$5), 0, MATCH(_xlfn.CONCAT($Q$2, "%"), tblPiNAnalysis[[#Headers],[CCCM%]:[WASH%]], 0))=$A56, 1, 0))))</f>
        <v/>
      </c>
      <c r="C56" s="92" t="str" cm="1">
        <f t="array" ref="C56">IFERROR(IF(OR($A56="", C$5=""), "", IF(SUM(IF(INDEX(_xlfn._xlws.FILTER(tblPiNAnalysis[[CCCM%]:[WASH%]], tblPiNAnalysis[Population Group]=C$5), 0, MATCH(_xlfn.CONCAT($Q$2, "%"), tblPiNAnalysis[[#Headers],[CCCM%]:[WASH%]], 0))=$A56, 1, 0))=0, "",SUM(IF(INDEX(_xlfn._xlws.FILTER(tblPiNAnalysis[[CCCM%]:[WASH%]], tblPiNAnalysis[Population Group]=C$5), 0, MATCH(_xlfn.CONCAT($Q$2, "%"), tblPiNAnalysis[[#Headers],[CCCM%]:[WASH%]], 0))=$A56, 1, 0)))), "")</f>
        <v/>
      </c>
      <c r="D56" s="92" t="str" cm="1">
        <f t="array" ref="D56">IFERROR(IF(OR($A56="", D$5=""), "", IF(SUM(IF(INDEX(_xlfn._xlws.FILTER(tblPiNAnalysis[[CCCM%]:[WASH%]], tblPiNAnalysis[Population Group]=D$5), 0, MATCH(_xlfn.CONCAT($Q$2, "%"), tblPiNAnalysis[[#Headers],[CCCM%]:[WASH%]], 0))=$A56, 1, 0))=0, "",SUM(IF(INDEX(_xlfn._xlws.FILTER(tblPiNAnalysis[[CCCM%]:[WASH%]], tblPiNAnalysis[Population Group]=D$5), 0, MATCH(_xlfn.CONCAT($Q$2, "%"), tblPiNAnalysis[[#Headers],[CCCM%]:[WASH%]], 0))=$A56, 1, 0)))), "")</f>
        <v/>
      </c>
      <c r="E56" s="92" t="str" cm="1">
        <f t="array" ref="E56">IFERROR(IF(OR($A56="", E$5=""), "", IF(SUM(IF(INDEX(_xlfn._xlws.FILTER(tblPiNAnalysis[[CCCM%]:[WASH%]], tblPiNAnalysis[Population Group]=E$5), 0, MATCH(_xlfn.CONCAT($Q$2, "%"), tblPiNAnalysis[[#Headers],[CCCM%]:[WASH%]], 0))=$A56, 1, 0))=0, "",SUM(IF(INDEX(_xlfn._xlws.FILTER(tblPiNAnalysis[[CCCM%]:[WASH%]], tblPiNAnalysis[Population Group]=E$5), 0, MATCH(_xlfn.CONCAT($Q$2, "%"), tblPiNAnalysis[[#Headers],[CCCM%]:[WASH%]], 0))=$A56, 1, 0)))), "")</f>
        <v/>
      </c>
      <c r="F56" s="92" t="str" cm="1">
        <f t="array" ref="F56">IFERROR(IF(OR($A56="", F$5=""), "", IF(SUM(IF(INDEX(_xlfn._xlws.FILTER(tblPiNAnalysis[[CCCM%]:[WASH%]], tblPiNAnalysis[CCCM]=F$5), 0, MATCH(_xlfn.CONCAT($Q$2, "%"), tblPiNAnalysis[[#Headers],[CCCM%]:[WASH%]], 0))=$A56, 1, 0))=0, "",SUM(IF(INDEX(_xlfn._xlws.FILTER(tblPiNAnalysis[[CCCM%]:[WASH%]], tblPiNAnalysis[CCCM]=F$5), 0, MATCH(_xlfn.CONCAT($Q$2, "%"), tblPiNAnalysis[[#Headers],[CCCM%]:[WASH%]], 0))=$A56, 1, 0)))), "")</f>
        <v/>
      </c>
      <c r="H56" s="94"/>
      <c r="I56" s="92" t="str" cm="1">
        <f t="array" ref="I56">IF($H56="", "", IF($H56=2, SUM(IF(INDEX(_xlfn._xlws.FILTER(tblPiNHistorical[[CCCM]:[WASH]], tblPiNHistorical[Population Group]=I$5), 0, MATCH($Q$2, tblPiNHistorical[[#Headers],[CCCM]:[WASH]], 0))&gt;1.9, 1, 0)), IF(SUM(IF(INDEX(_xlfn._xlws.FILTER(tblPiNHistorical[[CCCM]:[WASH]], tblPiNHistorical[Population Group]=I$5), 0, MATCH($Q$2, tblPiNHistorical[[#Headers],[CCCM]:[WASH]], 0))=$H56, 1, 0))=0, "", SUM(IF(INDEX(_xlfn._xlws.FILTER(tblPiNHistorical[[CCCM]:[WASH]], tblPiNHistorical[Population Group]=I$5), 0, MATCH($Q$2, tblPiNHistorical[[#Headers],[CCCM]:[WASH]], 0))=$H56, 1, 0)))))</f>
        <v/>
      </c>
      <c r="J56" s="92" t="str" cm="1">
        <f t="array" ref="J56">IFERROR(IF(OR($H56="", J55=""), "", IF($H56=2, SUM(IF(INDEX(_xlfn._xlws.FILTER(tblPiNHistorical[[CCCM]:[WASH]], tblPiNHistorical[Population Group]=J$5), 0, MATCH($Q$2, tblPiNHistorical[[#Headers],[CCCM]:[WASH]], 0))&gt;1.9, 1, 0)), IF(SUM(IF(INDEX(_xlfn._xlws.FILTER(tblPiNHistorical[[CCCM]:[WASH]], tblPiNHistorical[Population Group]=J$5), 0, MATCH($Q$2, tblPiNHistorical[[#Headers],[CCCM]:[WASH]], 0))=$H56, 1, 0))=0, "", SUM(IF(INDEX(_xlfn._xlws.FILTER(tblPiNHistorical[[CCCM]:[WASH]], tblPiNHistorical[Population Group]=J$5), 0, MATCH($Q$2, tblPiNHistorical[[#Headers],[CCCM]:[WASH]], 0))=$H56, 1, 0))))), "")</f>
        <v/>
      </c>
      <c r="K56" s="92" t="str" cm="1">
        <f t="array" ref="K56">IFERROR(IF(OR($H56="", K55=""), "", IF($H56=2, SUM(IF(INDEX(_xlfn._xlws.FILTER(tblPiNHistorical[[CCCM]:[WASH]], tblPiNHistorical[CCCM - old]=K$5), 0, MATCH($Q$2, tblPiNHistorical[[#Headers],[CCCM]:[WASH]], 0))&gt;1.9, 1, 0)), IF(SUM(IF(INDEX(_xlfn._xlws.FILTER(tblPiNHistorical[[CCCM]:[WASH]], tblPiNHistorical[CCCM - old]=K$5), 0, MATCH($Q$2, tblPiNHistorical[[#Headers],[CCCM]:[WASH]], 0))=$H56, 1, 0))=0, "", SUM(IF(INDEX(_xlfn._xlws.FILTER(tblPiNHistorical[[CCCM]:[WASH]], tblPiNHistorical[CCCM - old]=K$5), 0, MATCH($Q$2, tblPiNHistorical[[#Headers],[CCCM]:[WASH]], 0))=$H56, 1, 0))))), "")</f>
        <v/>
      </c>
      <c r="L56" s="92" t="str" cm="1">
        <f t="array" ref="L56">IFERROR(IF(OR($H56="", L55=""), "", IF($H56=2, SUM(IF(INDEX(_xlfn._xlws.FILTER(tblPiNHistorical[[CCCM]:[WASH]],#REF!= L$5), 0, MATCH($Q$2, tblPiNHistorical[[#Headers],[CCCM]:[WASH]], 0))&gt;1.9, 1, 0)), IF(SUM(IF(INDEX(_xlfn._xlws.FILTER(tblPiNHistorical[[CCCM]:[WASH]],#REF!= L$5), 0, MATCH($Q$2, tblPiNHistorical[[#Headers],[CCCM]:[WASH]], 0))=$H56, 1, 0))=0, "", SUM(IF(INDEX(_xlfn._xlws.FILTER(tblPiNHistorical[[CCCM]:[WASH]],#REF!= L$5), 0, MATCH($Q$2, tblPiNHistorical[[#Headers],[CCCM]:[WASH]], 0))=$H56, 1, 0))))), "")</f>
        <v/>
      </c>
      <c r="M56" s="92" t="str" cm="1">
        <f t="array" ref="M56">IFERROR(IF(OR($H56="", M55=""), "", IF($H56=2, SUM(IF(INDEX(_xlfn._xlws.FILTER(tblPiNHistorical[[CCCM]:[WASH]],#REF!= M$5), 0, MATCH($Q$2, tblPiNHistorical[[#Headers],[CCCM]:[WASH]], 0))&gt;1.9, 1, 0)), IF(SUM(IF(INDEX(_xlfn._xlws.FILTER(tblPiNHistorical[[CCCM]:[WASH]],#REF!= M$5), 0, MATCH($Q$2, tblPiNHistorical[[#Headers],[CCCM]:[WASH]], 0))=$H56, 1, 0))=0, "", SUM(IF(INDEX(_xlfn._xlws.FILTER(tblPiNHistorical[[CCCM]:[WASH]],#REF!= M$5), 0, MATCH($Q$2, tblPiNHistorical[[#Headers],[CCCM]:[WASH]], 0))=$H56, 1, 0))))), "")</f>
        <v/>
      </c>
    </row>
    <row r="57" spans="1:13">
      <c r="A57" s="94"/>
      <c r="B57" s="92" t="str" cm="1">
        <f t="array" ref="B57">IF($A57="", "", IF(SUM(IF(INDEX(_xlfn._xlws.FILTER(tblPiNAnalysis[[CCCM%]:[WASH%]], tblPiNAnalysis[Population Group]=B$5), 0, MATCH(_xlfn.CONCAT($Q$2, "%"), tblPiNAnalysis[[#Headers],[CCCM%]:[WASH%]], 0))=$A57, 1, 0))=0, "",SUM(IF(INDEX(_xlfn._xlws.FILTER(tblPiNAnalysis[[CCCM%]:[WASH%]], tblPiNAnalysis[Population Group]=B$5), 0, MATCH(_xlfn.CONCAT($Q$2, "%"), tblPiNAnalysis[[#Headers],[CCCM%]:[WASH%]], 0))=$A57, 1, 0))))</f>
        <v/>
      </c>
      <c r="C57" s="92" t="str" cm="1">
        <f t="array" ref="C57">IFERROR(IF(OR($A57="", C$5=""), "", IF(SUM(IF(INDEX(_xlfn._xlws.FILTER(tblPiNAnalysis[[CCCM%]:[WASH%]], tblPiNAnalysis[Population Group]=C$5), 0, MATCH(_xlfn.CONCAT($Q$2, "%"), tblPiNAnalysis[[#Headers],[CCCM%]:[WASH%]], 0))=$A57, 1, 0))=0, "",SUM(IF(INDEX(_xlfn._xlws.FILTER(tblPiNAnalysis[[CCCM%]:[WASH%]], tblPiNAnalysis[Population Group]=C$5), 0, MATCH(_xlfn.CONCAT($Q$2, "%"), tblPiNAnalysis[[#Headers],[CCCM%]:[WASH%]], 0))=$A57, 1, 0)))), "")</f>
        <v/>
      </c>
      <c r="D57" s="92" t="str" cm="1">
        <f t="array" ref="D57">IFERROR(IF(OR($A57="", D$5=""), "", IF(SUM(IF(INDEX(_xlfn._xlws.FILTER(tblPiNAnalysis[[CCCM%]:[WASH%]], tblPiNAnalysis[Population Group]=D$5), 0, MATCH(_xlfn.CONCAT($Q$2, "%"), tblPiNAnalysis[[#Headers],[CCCM%]:[WASH%]], 0))=$A57, 1, 0))=0, "",SUM(IF(INDEX(_xlfn._xlws.FILTER(tblPiNAnalysis[[CCCM%]:[WASH%]], tblPiNAnalysis[Population Group]=D$5), 0, MATCH(_xlfn.CONCAT($Q$2, "%"), tblPiNAnalysis[[#Headers],[CCCM%]:[WASH%]], 0))=$A57, 1, 0)))), "")</f>
        <v/>
      </c>
      <c r="E57" s="92" t="str" cm="1">
        <f t="array" ref="E57">IFERROR(IF(OR($A57="", E$5=""), "", IF(SUM(IF(INDEX(_xlfn._xlws.FILTER(tblPiNAnalysis[[CCCM%]:[WASH%]], tblPiNAnalysis[Population Group]=E$5), 0, MATCH(_xlfn.CONCAT($Q$2, "%"), tblPiNAnalysis[[#Headers],[CCCM%]:[WASH%]], 0))=$A57, 1, 0))=0, "",SUM(IF(INDEX(_xlfn._xlws.FILTER(tblPiNAnalysis[[CCCM%]:[WASH%]], tblPiNAnalysis[Population Group]=E$5), 0, MATCH(_xlfn.CONCAT($Q$2, "%"), tblPiNAnalysis[[#Headers],[CCCM%]:[WASH%]], 0))=$A57, 1, 0)))), "")</f>
        <v/>
      </c>
      <c r="F57" s="92" t="str" cm="1">
        <f t="array" ref="F57">IFERROR(IF(OR($A57="", F$5=""), "", IF(SUM(IF(INDEX(_xlfn._xlws.FILTER(tblPiNAnalysis[[CCCM%]:[WASH%]], tblPiNAnalysis[CCCM]=F$5), 0, MATCH(_xlfn.CONCAT($Q$2, "%"), tblPiNAnalysis[[#Headers],[CCCM%]:[WASH%]], 0))=$A57, 1, 0))=0, "",SUM(IF(INDEX(_xlfn._xlws.FILTER(tblPiNAnalysis[[CCCM%]:[WASH%]], tblPiNAnalysis[CCCM]=F$5), 0, MATCH(_xlfn.CONCAT($Q$2, "%"), tblPiNAnalysis[[#Headers],[CCCM%]:[WASH%]], 0))=$A57, 1, 0)))), "")</f>
        <v/>
      </c>
      <c r="H57" s="94"/>
      <c r="I57" s="92" t="str" cm="1">
        <f t="array" ref="I57">IF($H57="", "", IF($H57=2, SUM(IF(INDEX(_xlfn._xlws.FILTER(tblPiNHistorical[[CCCM]:[WASH]], tblPiNHistorical[Population Group]=I$5), 0, MATCH($Q$2, tblPiNHistorical[[#Headers],[CCCM]:[WASH]], 0))&gt;1.9, 1, 0)), IF(SUM(IF(INDEX(_xlfn._xlws.FILTER(tblPiNHistorical[[CCCM]:[WASH]], tblPiNHistorical[Population Group]=I$5), 0, MATCH($Q$2, tblPiNHistorical[[#Headers],[CCCM]:[WASH]], 0))=$H57, 1, 0))=0, "", SUM(IF(INDEX(_xlfn._xlws.FILTER(tblPiNHistorical[[CCCM]:[WASH]], tblPiNHistorical[Population Group]=I$5), 0, MATCH($Q$2, tblPiNHistorical[[#Headers],[CCCM]:[WASH]], 0))=$H57, 1, 0)))))</f>
        <v/>
      </c>
      <c r="J57" s="92" t="str" cm="1">
        <f t="array" ref="J57">IFERROR(IF(OR($H57="", J56=""), "", IF($H57=2, SUM(IF(INDEX(_xlfn._xlws.FILTER(tblPiNHistorical[[CCCM]:[WASH]], tblPiNHistorical[Population Group]=J$5), 0, MATCH($Q$2, tblPiNHistorical[[#Headers],[CCCM]:[WASH]], 0))&gt;1.9, 1, 0)), IF(SUM(IF(INDEX(_xlfn._xlws.FILTER(tblPiNHistorical[[CCCM]:[WASH]], tblPiNHistorical[Population Group]=J$5), 0, MATCH($Q$2, tblPiNHistorical[[#Headers],[CCCM]:[WASH]], 0))=$H57, 1, 0))=0, "", SUM(IF(INDEX(_xlfn._xlws.FILTER(tblPiNHistorical[[CCCM]:[WASH]], tblPiNHistorical[Population Group]=J$5), 0, MATCH($Q$2, tblPiNHistorical[[#Headers],[CCCM]:[WASH]], 0))=$H57, 1, 0))))), "")</f>
        <v/>
      </c>
      <c r="K57" s="92" t="str" cm="1">
        <f t="array" ref="K57">IFERROR(IF(OR($H57="", K56=""), "", IF($H57=2, SUM(IF(INDEX(_xlfn._xlws.FILTER(tblPiNHistorical[[CCCM]:[WASH]], tblPiNHistorical[CCCM - old]=K$5), 0, MATCH($Q$2, tblPiNHistorical[[#Headers],[CCCM]:[WASH]], 0))&gt;1.9, 1, 0)), IF(SUM(IF(INDEX(_xlfn._xlws.FILTER(tblPiNHistorical[[CCCM]:[WASH]], tblPiNHistorical[CCCM - old]=K$5), 0, MATCH($Q$2, tblPiNHistorical[[#Headers],[CCCM]:[WASH]], 0))=$H57, 1, 0))=0, "", SUM(IF(INDEX(_xlfn._xlws.FILTER(tblPiNHistorical[[CCCM]:[WASH]], tblPiNHistorical[CCCM - old]=K$5), 0, MATCH($Q$2, tblPiNHistorical[[#Headers],[CCCM]:[WASH]], 0))=$H57, 1, 0))))), "")</f>
        <v/>
      </c>
      <c r="L57" s="92" t="str" cm="1">
        <f t="array" ref="L57">IFERROR(IF(OR($H57="", L56=""), "", IF($H57=2, SUM(IF(INDEX(_xlfn._xlws.FILTER(tblPiNHistorical[[CCCM]:[WASH]],#REF!= L$5), 0, MATCH($Q$2, tblPiNHistorical[[#Headers],[CCCM]:[WASH]], 0))&gt;1.9, 1, 0)), IF(SUM(IF(INDEX(_xlfn._xlws.FILTER(tblPiNHistorical[[CCCM]:[WASH]],#REF!= L$5), 0, MATCH($Q$2, tblPiNHistorical[[#Headers],[CCCM]:[WASH]], 0))=$H57, 1, 0))=0, "", SUM(IF(INDEX(_xlfn._xlws.FILTER(tblPiNHistorical[[CCCM]:[WASH]],#REF!= L$5), 0, MATCH($Q$2, tblPiNHistorical[[#Headers],[CCCM]:[WASH]], 0))=$H57, 1, 0))))), "")</f>
        <v/>
      </c>
      <c r="M57" s="92" t="str" cm="1">
        <f t="array" ref="M57">IFERROR(IF(OR($H57="", M56=""), "", IF($H57=2, SUM(IF(INDEX(_xlfn._xlws.FILTER(tblPiNHistorical[[CCCM]:[WASH]],#REF!= M$5), 0, MATCH($Q$2, tblPiNHistorical[[#Headers],[CCCM]:[WASH]], 0))&gt;1.9, 1, 0)), IF(SUM(IF(INDEX(_xlfn._xlws.FILTER(tblPiNHistorical[[CCCM]:[WASH]],#REF!= M$5), 0, MATCH($Q$2, tblPiNHistorical[[#Headers],[CCCM]:[WASH]], 0))=$H57, 1, 0))=0, "", SUM(IF(INDEX(_xlfn._xlws.FILTER(tblPiNHistorical[[CCCM]:[WASH]],#REF!= M$5), 0, MATCH($Q$2, tblPiNHistorical[[#Headers],[CCCM]:[WASH]], 0))=$H57, 1, 0))))), "")</f>
        <v/>
      </c>
    </row>
    <row r="58" spans="1:13">
      <c r="A58" s="94"/>
      <c r="B58" s="92" t="str" cm="1">
        <f t="array" ref="B58">IF($A58="", "", IF(SUM(IF(INDEX(_xlfn._xlws.FILTER(tblPiNAnalysis[[CCCM%]:[WASH%]], tblPiNAnalysis[Population Group]=B$5), 0, MATCH(_xlfn.CONCAT($Q$2, "%"), tblPiNAnalysis[[#Headers],[CCCM%]:[WASH%]], 0))=$A58, 1, 0))=0, "",SUM(IF(INDEX(_xlfn._xlws.FILTER(tblPiNAnalysis[[CCCM%]:[WASH%]], tblPiNAnalysis[Population Group]=B$5), 0, MATCH(_xlfn.CONCAT($Q$2, "%"), tblPiNAnalysis[[#Headers],[CCCM%]:[WASH%]], 0))=$A58, 1, 0))))</f>
        <v/>
      </c>
      <c r="C58" s="92" t="str" cm="1">
        <f t="array" ref="C58">IFERROR(IF(OR($A58="", C$5=""), "", IF(SUM(IF(INDEX(_xlfn._xlws.FILTER(tblPiNAnalysis[[CCCM%]:[WASH%]], tblPiNAnalysis[Population Group]=C$5), 0, MATCH(_xlfn.CONCAT($Q$2, "%"), tblPiNAnalysis[[#Headers],[CCCM%]:[WASH%]], 0))=$A58, 1, 0))=0, "",SUM(IF(INDEX(_xlfn._xlws.FILTER(tblPiNAnalysis[[CCCM%]:[WASH%]], tblPiNAnalysis[Population Group]=C$5), 0, MATCH(_xlfn.CONCAT($Q$2, "%"), tblPiNAnalysis[[#Headers],[CCCM%]:[WASH%]], 0))=$A58, 1, 0)))), "")</f>
        <v/>
      </c>
      <c r="D58" s="92" t="str" cm="1">
        <f t="array" ref="D58">IFERROR(IF(OR($A58="", D$5=""), "", IF(SUM(IF(INDEX(_xlfn._xlws.FILTER(tblPiNAnalysis[[CCCM%]:[WASH%]], tblPiNAnalysis[Population Group]=D$5), 0, MATCH(_xlfn.CONCAT($Q$2, "%"), tblPiNAnalysis[[#Headers],[CCCM%]:[WASH%]], 0))=$A58, 1, 0))=0, "",SUM(IF(INDEX(_xlfn._xlws.FILTER(tblPiNAnalysis[[CCCM%]:[WASH%]], tblPiNAnalysis[Population Group]=D$5), 0, MATCH(_xlfn.CONCAT($Q$2, "%"), tblPiNAnalysis[[#Headers],[CCCM%]:[WASH%]], 0))=$A58, 1, 0)))), "")</f>
        <v/>
      </c>
      <c r="E58" s="92" t="str" cm="1">
        <f t="array" ref="E58">IFERROR(IF(OR($A58="", E$5=""), "", IF(SUM(IF(INDEX(_xlfn._xlws.FILTER(tblPiNAnalysis[[CCCM%]:[WASH%]], tblPiNAnalysis[Population Group]=E$5), 0, MATCH(_xlfn.CONCAT($Q$2, "%"), tblPiNAnalysis[[#Headers],[CCCM%]:[WASH%]], 0))=$A58, 1, 0))=0, "",SUM(IF(INDEX(_xlfn._xlws.FILTER(tblPiNAnalysis[[CCCM%]:[WASH%]], tblPiNAnalysis[Population Group]=E$5), 0, MATCH(_xlfn.CONCAT($Q$2, "%"), tblPiNAnalysis[[#Headers],[CCCM%]:[WASH%]], 0))=$A58, 1, 0)))), "")</f>
        <v/>
      </c>
      <c r="F58" s="92" t="str" cm="1">
        <f t="array" ref="F58">IFERROR(IF(OR($A58="", F$5=""), "", IF(SUM(IF(INDEX(_xlfn._xlws.FILTER(tblPiNAnalysis[[CCCM%]:[WASH%]], tblPiNAnalysis[CCCM]=F$5), 0, MATCH(_xlfn.CONCAT($Q$2, "%"), tblPiNAnalysis[[#Headers],[CCCM%]:[WASH%]], 0))=$A58, 1, 0))=0, "",SUM(IF(INDEX(_xlfn._xlws.FILTER(tblPiNAnalysis[[CCCM%]:[WASH%]], tblPiNAnalysis[CCCM]=F$5), 0, MATCH(_xlfn.CONCAT($Q$2, "%"), tblPiNAnalysis[[#Headers],[CCCM%]:[WASH%]], 0))=$A58, 1, 0)))), "")</f>
        <v/>
      </c>
      <c r="H58" s="94"/>
      <c r="I58" s="92" t="str" cm="1">
        <f t="array" ref="I58">IF($H58="", "", IF($H58=2, SUM(IF(INDEX(_xlfn._xlws.FILTER(tblPiNHistorical[[CCCM]:[WASH]], tblPiNHistorical[Population Group]=I$5), 0, MATCH($Q$2, tblPiNHistorical[[#Headers],[CCCM]:[WASH]], 0))&gt;1.9, 1, 0)), IF(SUM(IF(INDEX(_xlfn._xlws.FILTER(tblPiNHistorical[[CCCM]:[WASH]], tblPiNHistorical[Population Group]=I$5), 0, MATCH($Q$2, tblPiNHistorical[[#Headers],[CCCM]:[WASH]], 0))=$H58, 1, 0))=0, "", SUM(IF(INDEX(_xlfn._xlws.FILTER(tblPiNHistorical[[CCCM]:[WASH]], tblPiNHistorical[Population Group]=I$5), 0, MATCH($Q$2, tblPiNHistorical[[#Headers],[CCCM]:[WASH]], 0))=$H58, 1, 0)))))</f>
        <v/>
      </c>
      <c r="J58" s="92" t="str" cm="1">
        <f t="array" ref="J58">IFERROR(IF(OR($H58="", J57=""), "", IF($H58=2, SUM(IF(INDEX(_xlfn._xlws.FILTER(tblPiNHistorical[[CCCM]:[WASH]], tblPiNHistorical[Population Group]=J$5), 0, MATCH($Q$2, tblPiNHistorical[[#Headers],[CCCM]:[WASH]], 0))&gt;1.9, 1, 0)), IF(SUM(IF(INDEX(_xlfn._xlws.FILTER(tblPiNHistorical[[CCCM]:[WASH]], tblPiNHistorical[Population Group]=J$5), 0, MATCH($Q$2, tblPiNHistorical[[#Headers],[CCCM]:[WASH]], 0))=$H58, 1, 0))=0, "", SUM(IF(INDEX(_xlfn._xlws.FILTER(tblPiNHistorical[[CCCM]:[WASH]], tblPiNHistorical[Population Group]=J$5), 0, MATCH($Q$2, tblPiNHistorical[[#Headers],[CCCM]:[WASH]], 0))=$H58, 1, 0))))), "")</f>
        <v/>
      </c>
      <c r="K58" s="92" t="str" cm="1">
        <f t="array" ref="K58">IFERROR(IF(OR($H58="", K57=""), "", IF($H58=2, SUM(IF(INDEX(_xlfn._xlws.FILTER(tblPiNHistorical[[CCCM]:[WASH]], tblPiNHistorical[CCCM - old]=K$5), 0, MATCH($Q$2, tblPiNHistorical[[#Headers],[CCCM]:[WASH]], 0))&gt;1.9, 1, 0)), IF(SUM(IF(INDEX(_xlfn._xlws.FILTER(tblPiNHistorical[[CCCM]:[WASH]], tblPiNHistorical[CCCM - old]=K$5), 0, MATCH($Q$2, tblPiNHistorical[[#Headers],[CCCM]:[WASH]], 0))=$H58, 1, 0))=0, "", SUM(IF(INDEX(_xlfn._xlws.FILTER(tblPiNHistorical[[CCCM]:[WASH]], tblPiNHistorical[CCCM - old]=K$5), 0, MATCH($Q$2, tblPiNHistorical[[#Headers],[CCCM]:[WASH]], 0))=$H58, 1, 0))))), "")</f>
        <v/>
      </c>
      <c r="L58" s="92" t="str" cm="1">
        <f t="array" ref="L58">IFERROR(IF(OR($H58="", L57=""), "", IF($H58=2, SUM(IF(INDEX(_xlfn._xlws.FILTER(tblPiNHistorical[[CCCM]:[WASH]],#REF!= L$5), 0, MATCH($Q$2, tblPiNHistorical[[#Headers],[CCCM]:[WASH]], 0))&gt;1.9, 1, 0)), IF(SUM(IF(INDEX(_xlfn._xlws.FILTER(tblPiNHistorical[[CCCM]:[WASH]],#REF!= L$5), 0, MATCH($Q$2, tblPiNHistorical[[#Headers],[CCCM]:[WASH]], 0))=$H58, 1, 0))=0, "", SUM(IF(INDEX(_xlfn._xlws.FILTER(tblPiNHistorical[[CCCM]:[WASH]],#REF!= L$5), 0, MATCH($Q$2, tblPiNHistorical[[#Headers],[CCCM]:[WASH]], 0))=$H58, 1, 0))))), "")</f>
        <v/>
      </c>
      <c r="M58" s="92" t="str" cm="1">
        <f t="array" ref="M58">IFERROR(IF(OR($H58="", M57=""), "", IF($H58=2, SUM(IF(INDEX(_xlfn._xlws.FILTER(tblPiNHistorical[[CCCM]:[WASH]],#REF!= M$5), 0, MATCH($Q$2, tblPiNHistorical[[#Headers],[CCCM]:[WASH]], 0))&gt;1.9, 1, 0)), IF(SUM(IF(INDEX(_xlfn._xlws.FILTER(tblPiNHistorical[[CCCM]:[WASH]],#REF!= M$5), 0, MATCH($Q$2, tblPiNHistorical[[#Headers],[CCCM]:[WASH]], 0))=$H58, 1, 0))=0, "", SUM(IF(INDEX(_xlfn._xlws.FILTER(tblPiNHistorical[[CCCM]:[WASH]],#REF!= M$5), 0, MATCH($Q$2, tblPiNHistorical[[#Headers],[CCCM]:[WASH]], 0))=$H58, 1, 0))))), "")</f>
        <v/>
      </c>
    </row>
    <row r="59" spans="1:13">
      <c r="A59" s="94"/>
      <c r="B59" s="92" t="str" cm="1">
        <f t="array" ref="B59">IF($A59="", "", IF(SUM(IF(INDEX(_xlfn._xlws.FILTER(tblPiNAnalysis[[CCCM%]:[WASH%]], tblPiNAnalysis[Population Group]=B$5), 0, MATCH(_xlfn.CONCAT($Q$2, "%"), tblPiNAnalysis[[#Headers],[CCCM%]:[WASH%]], 0))=$A59, 1, 0))=0, "",SUM(IF(INDEX(_xlfn._xlws.FILTER(tblPiNAnalysis[[CCCM%]:[WASH%]], tblPiNAnalysis[Population Group]=B$5), 0, MATCH(_xlfn.CONCAT($Q$2, "%"), tblPiNAnalysis[[#Headers],[CCCM%]:[WASH%]], 0))=$A59, 1, 0))))</f>
        <v/>
      </c>
      <c r="C59" s="92" t="str" cm="1">
        <f t="array" ref="C59">IFERROR(IF(OR($A59="", C$5=""), "", IF(SUM(IF(INDEX(_xlfn._xlws.FILTER(tblPiNAnalysis[[CCCM%]:[WASH%]], tblPiNAnalysis[Population Group]=C$5), 0, MATCH(_xlfn.CONCAT($Q$2, "%"), tblPiNAnalysis[[#Headers],[CCCM%]:[WASH%]], 0))=$A59, 1, 0))=0, "",SUM(IF(INDEX(_xlfn._xlws.FILTER(tblPiNAnalysis[[CCCM%]:[WASH%]], tblPiNAnalysis[Population Group]=C$5), 0, MATCH(_xlfn.CONCAT($Q$2, "%"), tblPiNAnalysis[[#Headers],[CCCM%]:[WASH%]], 0))=$A59, 1, 0)))), "")</f>
        <v/>
      </c>
      <c r="D59" s="92" t="str" cm="1">
        <f t="array" ref="D59">IFERROR(IF(OR($A59="", D$5=""), "", IF(SUM(IF(INDEX(_xlfn._xlws.FILTER(tblPiNAnalysis[[CCCM%]:[WASH%]], tblPiNAnalysis[Population Group]=D$5), 0, MATCH(_xlfn.CONCAT($Q$2, "%"), tblPiNAnalysis[[#Headers],[CCCM%]:[WASH%]], 0))=$A59, 1, 0))=0, "",SUM(IF(INDEX(_xlfn._xlws.FILTER(tblPiNAnalysis[[CCCM%]:[WASH%]], tblPiNAnalysis[Population Group]=D$5), 0, MATCH(_xlfn.CONCAT($Q$2, "%"), tblPiNAnalysis[[#Headers],[CCCM%]:[WASH%]], 0))=$A59, 1, 0)))), "")</f>
        <v/>
      </c>
      <c r="E59" s="92" t="str" cm="1">
        <f t="array" ref="E59">IFERROR(IF(OR($A59="", E$5=""), "", IF(SUM(IF(INDEX(_xlfn._xlws.FILTER(tblPiNAnalysis[[CCCM%]:[WASH%]], tblPiNAnalysis[Population Group]=E$5), 0, MATCH(_xlfn.CONCAT($Q$2, "%"), tblPiNAnalysis[[#Headers],[CCCM%]:[WASH%]], 0))=$A59, 1, 0))=0, "",SUM(IF(INDEX(_xlfn._xlws.FILTER(tblPiNAnalysis[[CCCM%]:[WASH%]], tblPiNAnalysis[Population Group]=E$5), 0, MATCH(_xlfn.CONCAT($Q$2, "%"), tblPiNAnalysis[[#Headers],[CCCM%]:[WASH%]], 0))=$A59, 1, 0)))), "")</f>
        <v/>
      </c>
      <c r="F59" s="92" t="str" cm="1">
        <f t="array" ref="F59">IFERROR(IF(OR($A59="", F$5=""), "", IF(SUM(IF(INDEX(_xlfn._xlws.FILTER(tblPiNAnalysis[[CCCM%]:[WASH%]], tblPiNAnalysis[CCCM]=F$5), 0, MATCH(_xlfn.CONCAT($Q$2, "%"), tblPiNAnalysis[[#Headers],[CCCM%]:[WASH%]], 0))=$A59, 1, 0))=0, "",SUM(IF(INDEX(_xlfn._xlws.FILTER(tblPiNAnalysis[[CCCM%]:[WASH%]], tblPiNAnalysis[CCCM]=F$5), 0, MATCH(_xlfn.CONCAT($Q$2, "%"), tblPiNAnalysis[[#Headers],[CCCM%]:[WASH%]], 0))=$A59, 1, 0)))), "")</f>
        <v/>
      </c>
      <c r="H59" s="94"/>
      <c r="I59" s="92" t="str" cm="1">
        <f t="array" ref="I59">IF($H59="", "", IF($H59=2, SUM(IF(INDEX(_xlfn._xlws.FILTER(tblPiNHistorical[[CCCM]:[WASH]], tblPiNHistorical[Population Group]=I$5), 0, MATCH($Q$2, tblPiNHistorical[[#Headers],[CCCM]:[WASH]], 0))&gt;1.9, 1, 0)), IF(SUM(IF(INDEX(_xlfn._xlws.FILTER(tblPiNHistorical[[CCCM]:[WASH]], tblPiNHistorical[Population Group]=I$5), 0, MATCH($Q$2, tblPiNHistorical[[#Headers],[CCCM]:[WASH]], 0))=$H59, 1, 0))=0, "", SUM(IF(INDEX(_xlfn._xlws.FILTER(tblPiNHistorical[[CCCM]:[WASH]], tblPiNHistorical[Population Group]=I$5), 0, MATCH($Q$2, tblPiNHistorical[[#Headers],[CCCM]:[WASH]], 0))=$H59, 1, 0)))))</f>
        <v/>
      </c>
      <c r="J59" s="92" t="str" cm="1">
        <f t="array" ref="J59">IFERROR(IF(OR($H59="", J58=""), "", IF($H59=2, SUM(IF(INDEX(_xlfn._xlws.FILTER(tblPiNHistorical[[CCCM]:[WASH]], tblPiNHistorical[Population Group]=J$5), 0, MATCH($Q$2, tblPiNHistorical[[#Headers],[CCCM]:[WASH]], 0))&gt;1.9, 1, 0)), IF(SUM(IF(INDEX(_xlfn._xlws.FILTER(tblPiNHistorical[[CCCM]:[WASH]], tblPiNHistorical[Population Group]=J$5), 0, MATCH($Q$2, tblPiNHistorical[[#Headers],[CCCM]:[WASH]], 0))=$H59, 1, 0))=0, "", SUM(IF(INDEX(_xlfn._xlws.FILTER(tblPiNHistorical[[CCCM]:[WASH]], tblPiNHistorical[Population Group]=J$5), 0, MATCH($Q$2, tblPiNHistorical[[#Headers],[CCCM]:[WASH]], 0))=$H59, 1, 0))))), "")</f>
        <v/>
      </c>
      <c r="K59" s="92" t="str" cm="1">
        <f t="array" ref="K59">IFERROR(IF(OR($H59="", K58=""), "", IF($H59=2, SUM(IF(INDEX(_xlfn._xlws.FILTER(tblPiNHistorical[[CCCM]:[WASH]], tblPiNHistorical[CCCM - old]=K$5), 0, MATCH($Q$2, tblPiNHistorical[[#Headers],[CCCM]:[WASH]], 0))&gt;1.9, 1, 0)), IF(SUM(IF(INDEX(_xlfn._xlws.FILTER(tblPiNHistorical[[CCCM]:[WASH]], tblPiNHistorical[CCCM - old]=K$5), 0, MATCH($Q$2, tblPiNHistorical[[#Headers],[CCCM]:[WASH]], 0))=$H59, 1, 0))=0, "", SUM(IF(INDEX(_xlfn._xlws.FILTER(tblPiNHistorical[[CCCM]:[WASH]], tblPiNHistorical[CCCM - old]=K$5), 0, MATCH($Q$2, tblPiNHistorical[[#Headers],[CCCM]:[WASH]], 0))=$H59, 1, 0))))), "")</f>
        <v/>
      </c>
      <c r="L59" s="92" t="str" cm="1">
        <f t="array" ref="L59">IFERROR(IF(OR($H59="", L58=""), "", IF($H59=2, SUM(IF(INDEX(_xlfn._xlws.FILTER(tblPiNHistorical[[CCCM]:[WASH]],#REF!= L$5), 0, MATCH($Q$2, tblPiNHistorical[[#Headers],[CCCM]:[WASH]], 0))&gt;1.9, 1, 0)), IF(SUM(IF(INDEX(_xlfn._xlws.FILTER(tblPiNHistorical[[CCCM]:[WASH]],#REF!= L$5), 0, MATCH($Q$2, tblPiNHistorical[[#Headers],[CCCM]:[WASH]], 0))=$H59, 1, 0))=0, "", SUM(IF(INDEX(_xlfn._xlws.FILTER(tblPiNHistorical[[CCCM]:[WASH]],#REF!= L$5), 0, MATCH($Q$2, tblPiNHistorical[[#Headers],[CCCM]:[WASH]], 0))=$H59, 1, 0))))), "")</f>
        <v/>
      </c>
      <c r="M59" s="92" t="str" cm="1">
        <f t="array" ref="M59">IFERROR(IF(OR($H59="", M58=""), "", IF($H59=2, SUM(IF(INDEX(_xlfn._xlws.FILTER(tblPiNHistorical[[CCCM]:[WASH]],#REF!= M$5), 0, MATCH($Q$2, tblPiNHistorical[[#Headers],[CCCM]:[WASH]], 0))&gt;1.9, 1, 0)), IF(SUM(IF(INDEX(_xlfn._xlws.FILTER(tblPiNHistorical[[CCCM]:[WASH]],#REF!= M$5), 0, MATCH($Q$2, tblPiNHistorical[[#Headers],[CCCM]:[WASH]], 0))=$H59, 1, 0))=0, "", SUM(IF(INDEX(_xlfn._xlws.FILTER(tblPiNHistorical[[CCCM]:[WASH]],#REF!= M$5), 0, MATCH($Q$2, tblPiNHistorical[[#Headers],[CCCM]:[WASH]], 0))=$H59, 1, 0))))), "")</f>
        <v/>
      </c>
    </row>
    <row r="60" spans="1:13">
      <c r="A60" s="94"/>
      <c r="B60" s="92" t="str" cm="1">
        <f t="array" ref="B60">IF($A60="", "", IF(SUM(IF(INDEX(_xlfn._xlws.FILTER(tblPiNAnalysis[[CCCM%]:[WASH%]], tblPiNAnalysis[Population Group]=B$5), 0, MATCH(_xlfn.CONCAT($Q$2, "%"), tblPiNAnalysis[[#Headers],[CCCM%]:[WASH%]], 0))=$A60, 1, 0))=0, "",SUM(IF(INDEX(_xlfn._xlws.FILTER(tblPiNAnalysis[[CCCM%]:[WASH%]], tblPiNAnalysis[Population Group]=B$5), 0, MATCH(_xlfn.CONCAT($Q$2, "%"), tblPiNAnalysis[[#Headers],[CCCM%]:[WASH%]], 0))=$A60, 1, 0))))</f>
        <v/>
      </c>
      <c r="C60" s="92" t="str" cm="1">
        <f t="array" ref="C60">IFERROR(IF(OR($A60="", C$5=""), "", IF(SUM(IF(INDEX(_xlfn._xlws.FILTER(tblPiNAnalysis[[CCCM%]:[WASH%]], tblPiNAnalysis[Population Group]=C$5), 0, MATCH(_xlfn.CONCAT($Q$2, "%"), tblPiNAnalysis[[#Headers],[CCCM%]:[WASH%]], 0))=$A60, 1, 0))=0, "",SUM(IF(INDEX(_xlfn._xlws.FILTER(tblPiNAnalysis[[CCCM%]:[WASH%]], tblPiNAnalysis[Population Group]=C$5), 0, MATCH(_xlfn.CONCAT($Q$2, "%"), tblPiNAnalysis[[#Headers],[CCCM%]:[WASH%]], 0))=$A60, 1, 0)))), "")</f>
        <v/>
      </c>
      <c r="D60" s="92" t="str" cm="1">
        <f t="array" ref="D60">IFERROR(IF(OR($A60="", D$5=""), "", IF(SUM(IF(INDEX(_xlfn._xlws.FILTER(tblPiNAnalysis[[CCCM%]:[WASH%]], tblPiNAnalysis[Population Group]=D$5), 0, MATCH(_xlfn.CONCAT($Q$2, "%"), tblPiNAnalysis[[#Headers],[CCCM%]:[WASH%]], 0))=$A60, 1, 0))=0, "",SUM(IF(INDEX(_xlfn._xlws.FILTER(tblPiNAnalysis[[CCCM%]:[WASH%]], tblPiNAnalysis[Population Group]=D$5), 0, MATCH(_xlfn.CONCAT($Q$2, "%"), tblPiNAnalysis[[#Headers],[CCCM%]:[WASH%]], 0))=$A60, 1, 0)))), "")</f>
        <v/>
      </c>
      <c r="E60" s="92" t="str" cm="1">
        <f t="array" ref="E60">IFERROR(IF(OR($A60="", E$5=""), "", IF(SUM(IF(INDEX(_xlfn._xlws.FILTER(tblPiNAnalysis[[CCCM%]:[WASH%]], tblPiNAnalysis[Population Group]=E$5), 0, MATCH(_xlfn.CONCAT($Q$2, "%"), tblPiNAnalysis[[#Headers],[CCCM%]:[WASH%]], 0))=$A60, 1, 0))=0, "",SUM(IF(INDEX(_xlfn._xlws.FILTER(tblPiNAnalysis[[CCCM%]:[WASH%]], tblPiNAnalysis[Population Group]=E$5), 0, MATCH(_xlfn.CONCAT($Q$2, "%"), tblPiNAnalysis[[#Headers],[CCCM%]:[WASH%]], 0))=$A60, 1, 0)))), "")</f>
        <v/>
      </c>
      <c r="F60" s="92" t="str" cm="1">
        <f t="array" ref="F60">IFERROR(IF(OR($A60="", F$5=""), "", IF(SUM(IF(INDEX(_xlfn._xlws.FILTER(tblPiNAnalysis[[CCCM%]:[WASH%]], tblPiNAnalysis[CCCM]=F$5), 0, MATCH(_xlfn.CONCAT($Q$2, "%"), tblPiNAnalysis[[#Headers],[CCCM%]:[WASH%]], 0))=$A60, 1, 0))=0, "",SUM(IF(INDEX(_xlfn._xlws.FILTER(tblPiNAnalysis[[CCCM%]:[WASH%]], tblPiNAnalysis[CCCM]=F$5), 0, MATCH(_xlfn.CONCAT($Q$2, "%"), tblPiNAnalysis[[#Headers],[CCCM%]:[WASH%]], 0))=$A60, 1, 0)))), "")</f>
        <v/>
      </c>
      <c r="H60" s="94"/>
      <c r="I60" s="92" t="str" cm="1">
        <f t="array" ref="I60">IF($H60="", "", IF($H60=2, SUM(IF(INDEX(_xlfn._xlws.FILTER(tblPiNHistorical[[CCCM]:[WASH]], tblPiNHistorical[Population Group]=I$5), 0, MATCH($Q$2, tblPiNHistorical[[#Headers],[CCCM]:[WASH]], 0))&gt;1.9, 1, 0)), IF(SUM(IF(INDEX(_xlfn._xlws.FILTER(tblPiNHistorical[[CCCM]:[WASH]], tblPiNHistorical[Population Group]=I$5), 0, MATCH($Q$2, tblPiNHistorical[[#Headers],[CCCM]:[WASH]], 0))=$H60, 1, 0))=0, "", SUM(IF(INDEX(_xlfn._xlws.FILTER(tblPiNHistorical[[CCCM]:[WASH]], tblPiNHistorical[Population Group]=I$5), 0, MATCH($Q$2, tblPiNHistorical[[#Headers],[CCCM]:[WASH]], 0))=$H60, 1, 0)))))</f>
        <v/>
      </c>
      <c r="J60" s="92" t="str" cm="1">
        <f t="array" ref="J60">IFERROR(IF(OR($H60="", J59=""), "", IF($H60=2, SUM(IF(INDEX(_xlfn._xlws.FILTER(tblPiNHistorical[[CCCM]:[WASH]], tblPiNHistorical[Population Group]=J$5), 0, MATCH($Q$2, tblPiNHistorical[[#Headers],[CCCM]:[WASH]], 0))&gt;1.9, 1, 0)), IF(SUM(IF(INDEX(_xlfn._xlws.FILTER(tblPiNHistorical[[CCCM]:[WASH]], tblPiNHistorical[Population Group]=J$5), 0, MATCH($Q$2, tblPiNHistorical[[#Headers],[CCCM]:[WASH]], 0))=$H60, 1, 0))=0, "", SUM(IF(INDEX(_xlfn._xlws.FILTER(tblPiNHistorical[[CCCM]:[WASH]], tblPiNHistorical[Population Group]=J$5), 0, MATCH($Q$2, tblPiNHistorical[[#Headers],[CCCM]:[WASH]], 0))=$H60, 1, 0))))), "")</f>
        <v/>
      </c>
      <c r="K60" s="92" t="str" cm="1">
        <f t="array" ref="K60">IFERROR(IF(OR($H60="", K59=""), "", IF($H60=2, SUM(IF(INDEX(_xlfn._xlws.FILTER(tblPiNHistorical[[CCCM]:[WASH]], tblPiNHistorical[CCCM - old]=K$5), 0, MATCH($Q$2, tblPiNHistorical[[#Headers],[CCCM]:[WASH]], 0))&gt;1.9, 1, 0)), IF(SUM(IF(INDEX(_xlfn._xlws.FILTER(tblPiNHistorical[[CCCM]:[WASH]], tblPiNHistorical[CCCM - old]=K$5), 0, MATCH($Q$2, tblPiNHistorical[[#Headers],[CCCM]:[WASH]], 0))=$H60, 1, 0))=0, "", SUM(IF(INDEX(_xlfn._xlws.FILTER(tblPiNHistorical[[CCCM]:[WASH]], tblPiNHistorical[CCCM - old]=K$5), 0, MATCH($Q$2, tblPiNHistorical[[#Headers],[CCCM]:[WASH]], 0))=$H60, 1, 0))))), "")</f>
        <v/>
      </c>
      <c r="L60" s="92" t="str" cm="1">
        <f t="array" ref="L60">IFERROR(IF(OR($H60="", L59=""), "", IF($H60=2, SUM(IF(INDEX(_xlfn._xlws.FILTER(tblPiNHistorical[[CCCM]:[WASH]],#REF!= L$5), 0, MATCH($Q$2, tblPiNHistorical[[#Headers],[CCCM]:[WASH]], 0))&gt;1.9, 1, 0)), IF(SUM(IF(INDEX(_xlfn._xlws.FILTER(tblPiNHistorical[[CCCM]:[WASH]],#REF!= L$5), 0, MATCH($Q$2, tblPiNHistorical[[#Headers],[CCCM]:[WASH]], 0))=$H60, 1, 0))=0, "", SUM(IF(INDEX(_xlfn._xlws.FILTER(tblPiNHistorical[[CCCM]:[WASH]],#REF!= L$5), 0, MATCH($Q$2, tblPiNHistorical[[#Headers],[CCCM]:[WASH]], 0))=$H60, 1, 0))))), "")</f>
        <v/>
      </c>
      <c r="M60" s="92" t="str" cm="1">
        <f t="array" ref="M60">IFERROR(IF(OR($H60="", M59=""), "", IF($H60=2, SUM(IF(INDEX(_xlfn._xlws.FILTER(tblPiNHistorical[[CCCM]:[WASH]],#REF!= M$5), 0, MATCH($Q$2, tblPiNHistorical[[#Headers],[CCCM]:[WASH]], 0))&gt;1.9, 1, 0)), IF(SUM(IF(INDEX(_xlfn._xlws.FILTER(tblPiNHistorical[[CCCM]:[WASH]],#REF!= M$5), 0, MATCH($Q$2, tblPiNHistorical[[#Headers],[CCCM]:[WASH]], 0))=$H60, 1, 0))=0, "", SUM(IF(INDEX(_xlfn._xlws.FILTER(tblPiNHistorical[[CCCM]:[WASH]],#REF!= M$5), 0, MATCH($Q$2, tblPiNHistorical[[#Headers],[CCCM]:[WASH]], 0))=$H60, 1, 0))))), "")</f>
        <v/>
      </c>
    </row>
    <row r="61" spans="1:13">
      <c r="A61" s="94"/>
      <c r="B61" s="92" t="str" cm="1">
        <f t="array" ref="B61">IF($A61="", "", IF(SUM(IF(INDEX(_xlfn._xlws.FILTER(tblPiNAnalysis[[CCCM%]:[WASH%]], tblPiNAnalysis[Population Group]=B$5), 0, MATCH(_xlfn.CONCAT($Q$2, "%"), tblPiNAnalysis[[#Headers],[CCCM%]:[WASH%]], 0))=$A61, 1, 0))=0, "",SUM(IF(INDEX(_xlfn._xlws.FILTER(tblPiNAnalysis[[CCCM%]:[WASH%]], tblPiNAnalysis[Population Group]=B$5), 0, MATCH(_xlfn.CONCAT($Q$2, "%"), tblPiNAnalysis[[#Headers],[CCCM%]:[WASH%]], 0))=$A61, 1, 0))))</f>
        <v/>
      </c>
      <c r="C61" s="92" t="str" cm="1">
        <f t="array" ref="C61">IFERROR(IF(OR($A61="", C$5=""), "", IF(SUM(IF(INDEX(_xlfn._xlws.FILTER(tblPiNAnalysis[[CCCM%]:[WASH%]], tblPiNAnalysis[Population Group]=C$5), 0, MATCH(_xlfn.CONCAT($Q$2, "%"), tblPiNAnalysis[[#Headers],[CCCM%]:[WASH%]], 0))=$A61, 1, 0))=0, "",SUM(IF(INDEX(_xlfn._xlws.FILTER(tblPiNAnalysis[[CCCM%]:[WASH%]], tblPiNAnalysis[Population Group]=C$5), 0, MATCH(_xlfn.CONCAT($Q$2, "%"), tblPiNAnalysis[[#Headers],[CCCM%]:[WASH%]], 0))=$A61, 1, 0)))), "")</f>
        <v/>
      </c>
      <c r="D61" s="92" t="str" cm="1">
        <f t="array" ref="D61">IFERROR(IF(OR($A61="", D$5=""), "", IF(SUM(IF(INDEX(_xlfn._xlws.FILTER(tblPiNAnalysis[[CCCM%]:[WASH%]], tblPiNAnalysis[Population Group]=D$5), 0, MATCH(_xlfn.CONCAT($Q$2, "%"), tblPiNAnalysis[[#Headers],[CCCM%]:[WASH%]], 0))=$A61, 1, 0))=0, "",SUM(IF(INDEX(_xlfn._xlws.FILTER(tblPiNAnalysis[[CCCM%]:[WASH%]], tblPiNAnalysis[Population Group]=D$5), 0, MATCH(_xlfn.CONCAT($Q$2, "%"), tblPiNAnalysis[[#Headers],[CCCM%]:[WASH%]], 0))=$A61, 1, 0)))), "")</f>
        <v/>
      </c>
      <c r="E61" s="92" t="str" cm="1">
        <f t="array" ref="E61">IFERROR(IF(OR($A61="", E$5=""), "", IF(SUM(IF(INDEX(_xlfn._xlws.FILTER(tblPiNAnalysis[[CCCM%]:[WASH%]], tblPiNAnalysis[Population Group]=E$5), 0, MATCH(_xlfn.CONCAT($Q$2, "%"), tblPiNAnalysis[[#Headers],[CCCM%]:[WASH%]], 0))=$A61, 1, 0))=0, "",SUM(IF(INDEX(_xlfn._xlws.FILTER(tblPiNAnalysis[[CCCM%]:[WASH%]], tblPiNAnalysis[Population Group]=E$5), 0, MATCH(_xlfn.CONCAT($Q$2, "%"), tblPiNAnalysis[[#Headers],[CCCM%]:[WASH%]], 0))=$A61, 1, 0)))), "")</f>
        <v/>
      </c>
      <c r="F61" s="92" t="str" cm="1">
        <f t="array" ref="F61">IFERROR(IF(OR($A61="", F$5=""), "", IF(SUM(IF(INDEX(_xlfn._xlws.FILTER(tblPiNAnalysis[[CCCM%]:[WASH%]], tblPiNAnalysis[CCCM]=F$5), 0, MATCH(_xlfn.CONCAT($Q$2, "%"), tblPiNAnalysis[[#Headers],[CCCM%]:[WASH%]], 0))=$A61, 1, 0))=0, "",SUM(IF(INDEX(_xlfn._xlws.FILTER(tblPiNAnalysis[[CCCM%]:[WASH%]], tblPiNAnalysis[CCCM]=F$5), 0, MATCH(_xlfn.CONCAT($Q$2, "%"), tblPiNAnalysis[[#Headers],[CCCM%]:[WASH%]], 0))=$A61, 1, 0)))), "")</f>
        <v/>
      </c>
      <c r="H61" s="94"/>
      <c r="I61" s="92" t="str" cm="1">
        <f t="array" ref="I61">IF($H61="", "", IF($H61=2, SUM(IF(INDEX(_xlfn._xlws.FILTER(tblPiNHistorical[[CCCM]:[WASH]], tblPiNHistorical[Population Group]=I$5), 0, MATCH($Q$2, tblPiNHistorical[[#Headers],[CCCM]:[WASH]], 0))&gt;1.9, 1, 0)), IF(SUM(IF(INDEX(_xlfn._xlws.FILTER(tblPiNHistorical[[CCCM]:[WASH]], tblPiNHistorical[Population Group]=I$5), 0, MATCH($Q$2, tblPiNHistorical[[#Headers],[CCCM]:[WASH]], 0))=$H61, 1, 0))=0, "", SUM(IF(INDEX(_xlfn._xlws.FILTER(tblPiNHistorical[[CCCM]:[WASH]], tblPiNHistorical[Population Group]=I$5), 0, MATCH($Q$2, tblPiNHistorical[[#Headers],[CCCM]:[WASH]], 0))=$H61, 1, 0)))))</f>
        <v/>
      </c>
      <c r="J61" s="92" t="str" cm="1">
        <f t="array" ref="J61">IFERROR(IF(OR($H61="", J60=""), "", IF($H61=2, SUM(IF(INDEX(_xlfn._xlws.FILTER(tblPiNHistorical[[CCCM]:[WASH]], tblPiNHistorical[Population Group]=J$5), 0, MATCH($Q$2, tblPiNHistorical[[#Headers],[CCCM]:[WASH]], 0))&gt;1.9, 1, 0)), IF(SUM(IF(INDEX(_xlfn._xlws.FILTER(tblPiNHistorical[[CCCM]:[WASH]], tblPiNHistorical[Population Group]=J$5), 0, MATCH($Q$2, tblPiNHistorical[[#Headers],[CCCM]:[WASH]], 0))=$H61, 1, 0))=0, "", SUM(IF(INDEX(_xlfn._xlws.FILTER(tblPiNHistorical[[CCCM]:[WASH]], tblPiNHistorical[Population Group]=J$5), 0, MATCH($Q$2, tblPiNHistorical[[#Headers],[CCCM]:[WASH]], 0))=$H61, 1, 0))))), "")</f>
        <v/>
      </c>
      <c r="K61" s="92" t="str" cm="1">
        <f t="array" ref="K61">IFERROR(IF(OR($H61="", K60=""), "", IF($H61=2, SUM(IF(INDEX(_xlfn._xlws.FILTER(tblPiNHistorical[[CCCM]:[WASH]], tblPiNHistorical[CCCM - old]=K$5), 0, MATCH($Q$2, tblPiNHistorical[[#Headers],[CCCM]:[WASH]], 0))&gt;1.9, 1, 0)), IF(SUM(IF(INDEX(_xlfn._xlws.FILTER(tblPiNHistorical[[CCCM]:[WASH]], tblPiNHistorical[CCCM - old]=K$5), 0, MATCH($Q$2, tblPiNHistorical[[#Headers],[CCCM]:[WASH]], 0))=$H61, 1, 0))=0, "", SUM(IF(INDEX(_xlfn._xlws.FILTER(tblPiNHistorical[[CCCM]:[WASH]], tblPiNHistorical[CCCM - old]=K$5), 0, MATCH($Q$2, tblPiNHistorical[[#Headers],[CCCM]:[WASH]], 0))=$H61, 1, 0))))), "")</f>
        <v/>
      </c>
      <c r="L61" s="92" t="str" cm="1">
        <f t="array" ref="L61">IFERROR(IF(OR($H61="", L60=""), "", IF($H61=2, SUM(IF(INDEX(_xlfn._xlws.FILTER(tblPiNHistorical[[CCCM]:[WASH]],#REF!= L$5), 0, MATCH($Q$2, tblPiNHistorical[[#Headers],[CCCM]:[WASH]], 0))&gt;1.9, 1, 0)), IF(SUM(IF(INDEX(_xlfn._xlws.FILTER(tblPiNHistorical[[CCCM]:[WASH]],#REF!= L$5), 0, MATCH($Q$2, tblPiNHistorical[[#Headers],[CCCM]:[WASH]], 0))=$H61, 1, 0))=0, "", SUM(IF(INDEX(_xlfn._xlws.FILTER(tblPiNHistorical[[CCCM]:[WASH]],#REF!= L$5), 0, MATCH($Q$2, tblPiNHistorical[[#Headers],[CCCM]:[WASH]], 0))=$H61, 1, 0))))), "")</f>
        <v/>
      </c>
      <c r="M61" s="92" t="str" cm="1">
        <f t="array" ref="M61">IFERROR(IF(OR($H61="", M60=""), "", IF($H61=2, SUM(IF(INDEX(_xlfn._xlws.FILTER(tblPiNHistorical[[CCCM]:[WASH]],#REF!= M$5), 0, MATCH($Q$2, tblPiNHistorical[[#Headers],[CCCM]:[WASH]], 0))&gt;1.9, 1, 0)), IF(SUM(IF(INDEX(_xlfn._xlws.FILTER(tblPiNHistorical[[CCCM]:[WASH]],#REF!= M$5), 0, MATCH($Q$2, tblPiNHistorical[[#Headers],[CCCM]:[WASH]], 0))=$H61, 1, 0))=0, "", SUM(IF(INDEX(_xlfn._xlws.FILTER(tblPiNHistorical[[CCCM]:[WASH]],#REF!= M$5), 0, MATCH($Q$2, tblPiNHistorical[[#Headers],[CCCM]:[WASH]], 0))=$H61, 1, 0))))), "")</f>
        <v/>
      </c>
    </row>
    <row r="62" spans="1:13">
      <c r="A62" s="94"/>
      <c r="B62" s="92" t="str" cm="1">
        <f t="array" ref="B62">IF($A62="", "", IF(SUM(IF(INDEX(_xlfn._xlws.FILTER(tblPiNAnalysis[[CCCM%]:[WASH%]], tblPiNAnalysis[Population Group]=B$5), 0, MATCH(_xlfn.CONCAT($Q$2, "%"), tblPiNAnalysis[[#Headers],[CCCM%]:[WASH%]], 0))=$A62, 1, 0))=0, "",SUM(IF(INDEX(_xlfn._xlws.FILTER(tblPiNAnalysis[[CCCM%]:[WASH%]], tblPiNAnalysis[Population Group]=B$5), 0, MATCH(_xlfn.CONCAT($Q$2, "%"), tblPiNAnalysis[[#Headers],[CCCM%]:[WASH%]], 0))=$A62, 1, 0))))</f>
        <v/>
      </c>
      <c r="C62" s="92" t="str" cm="1">
        <f t="array" ref="C62">IFERROR(IF(OR($A62="", C$5=""), "", IF(SUM(IF(INDEX(_xlfn._xlws.FILTER(tblPiNAnalysis[[CCCM%]:[WASH%]], tblPiNAnalysis[Population Group]=C$5), 0, MATCH(_xlfn.CONCAT($Q$2, "%"), tblPiNAnalysis[[#Headers],[CCCM%]:[WASH%]], 0))=$A62, 1, 0))=0, "",SUM(IF(INDEX(_xlfn._xlws.FILTER(tblPiNAnalysis[[CCCM%]:[WASH%]], tblPiNAnalysis[Population Group]=C$5), 0, MATCH(_xlfn.CONCAT($Q$2, "%"), tblPiNAnalysis[[#Headers],[CCCM%]:[WASH%]], 0))=$A62, 1, 0)))), "")</f>
        <v/>
      </c>
      <c r="D62" s="92" t="str" cm="1">
        <f t="array" ref="D62">IFERROR(IF(OR($A62="", D$5=""), "", IF(SUM(IF(INDEX(_xlfn._xlws.FILTER(tblPiNAnalysis[[CCCM%]:[WASH%]], tblPiNAnalysis[Population Group]=D$5), 0, MATCH(_xlfn.CONCAT($Q$2, "%"), tblPiNAnalysis[[#Headers],[CCCM%]:[WASH%]], 0))=$A62, 1, 0))=0, "",SUM(IF(INDEX(_xlfn._xlws.FILTER(tblPiNAnalysis[[CCCM%]:[WASH%]], tblPiNAnalysis[Population Group]=D$5), 0, MATCH(_xlfn.CONCAT($Q$2, "%"), tblPiNAnalysis[[#Headers],[CCCM%]:[WASH%]], 0))=$A62, 1, 0)))), "")</f>
        <v/>
      </c>
      <c r="E62" s="92" t="str" cm="1">
        <f t="array" ref="E62">IFERROR(IF(OR($A62="", E$5=""), "", IF(SUM(IF(INDEX(_xlfn._xlws.FILTER(tblPiNAnalysis[[CCCM%]:[WASH%]], tblPiNAnalysis[Population Group]=E$5), 0, MATCH(_xlfn.CONCAT($Q$2, "%"), tblPiNAnalysis[[#Headers],[CCCM%]:[WASH%]], 0))=$A62, 1, 0))=0, "",SUM(IF(INDEX(_xlfn._xlws.FILTER(tblPiNAnalysis[[CCCM%]:[WASH%]], tblPiNAnalysis[Population Group]=E$5), 0, MATCH(_xlfn.CONCAT($Q$2, "%"), tblPiNAnalysis[[#Headers],[CCCM%]:[WASH%]], 0))=$A62, 1, 0)))), "")</f>
        <v/>
      </c>
      <c r="F62" s="92" t="str" cm="1">
        <f t="array" ref="F62">IFERROR(IF(OR($A62="", F$5=""), "", IF(SUM(IF(INDEX(_xlfn._xlws.FILTER(tblPiNAnalysis[[CCCM%]:[WASH%]], tblPiNAnalysis[CCCM]=F$5), 0, MATCH(_xlfn.CONCAT($Q$2, "%"), tblPiNAnalysis[[#Headers],[CCCM%]:[WASH%]], 0))=$A62, 1, 0))=0, "",SUM(IF(INDEX(_xlfn._xlws.FILTER(tblPiNAnalysis[[CCCM%]:[WASH%]], tblPiNAnalysis[CCCM]=F$5), 0, MATCH(_xlfn.CONCAT($Q$2, "%"), tblPiNAnalysis[[#Headers],[CCCM%]:[WASH%]], 0))=$A62, 1, 0)))), "")</f>
        <v/>
      </c>
      <c r="H62" s="94"/>
      <c r="I62" s="92" t="str" cm="1">
        <f t="array" ref="I62">IF($H62="", "", IF($H62=2, SUM(IF(INDEX(_xlfn._xlws.FILTER(tblPiNHistorical[[CCCM]:[WASH]], tblPiNHistorical[Population Group]=I$5), 0, MATCH($Q$2, tblPiNHistorical[[#Headers],[CCCM]:[WASH]], 0))&gt;1.9, 1, 0)), IF(SUM(IF(INDEX(_xlfn._xlws.FILTER(tblPiNHistorical[[CCCM]:[WASH]], tblPiNHistorical[Population Group]=I$5), 0, MATCH($Q$2, tblPiNHistorical[[#Headers],[CCCM]:[WASH]], 0))=$H62, 1, 0))=0, "", SUM(IF(INDEX(_xlfn._xlws.FILTER(tblPiNHistorical[[CCCM]:[WASH]], tblPiNHistorical[Population Group]=I$5), 0, MATCH($Q$2, tblPiNHistorical[[#Headers],[CCCM]:[WASH]], 0))=$H62, 1, 0)))))</f>
        <v/>
      </c>
      <c r="J62" s="92" t="str" cm="1">
        <f t="array" ref="J62">IFERROR(IF(OR($H62="", J61=""), "", IF($H62=2, SUM(IF(INDEX(_xlfn._xlws.FILTER(tblPiNHistorical[[CCCM]:[WASH]], tblPiNHistorical[Population Group]=J$5), 0, MATCH($Q$2, tblPiNHistorical[[#Headers],[CCCM]:[WASH]], 0))&gt;1.9, 1, 0)), IF(SUM(IF(INDEX(_xlfn._xlws.FILTER(tblPiNHistorical[[CCCM]:[WASH]], tblPiNHistorical[Population Group]=J$5), 0, MATCH($Q$2, tblPiNHistorical[[#Headers],[CCCM]:[WASH]], 0))=$H62, 1, 0))=0, "", SUM(IF(INDEX(_xlfn._xlws.FILTER(tblPiNHistorical[[CCCM]:[WASH]], tblPiNHistorical[Population Group]=J$5), 0, MATCH($Q$2, tblPiNHistorical[[#Headers],[CCCM]:[WASH]], 0))=$H62, 1, 0))))), "")</f>
        <v/>
      </c>
      <c r="K62" s="92" t="str" cm="1">
        <f t="array" ref="K62">IFERROR(IF(OR($H62="", K61=""), "", IF($H62=2, SUM(IF(INDEX(_xlfn._xlws.FILTER(tblPiNHistorical[[CCCM]:[WASH]], tblPiNHistorical[CCCM - old]=K$5), 0, MATCH($Q$2, tblPiNHistorical[[#Headers],[CCCM]:[WASH]], 0))&gt;1.9, 1, 0)), IF(SUM(IF(INDEX(_xlfn._xlws.FILTER(tblPiNHistorical[[CCCM]:[WASH]], tblPiNHistorical[CCCM - old]=K$5), 0, MATCH($Q$2, tblPiNHistorical[[#Headers],[CCCM]:[WASH]], 0))=$H62, 1, 0))=0, "", SUM(IF(INDEX(_xlfn._xlws.FILTER(tblPiNHistorical[[CCCM]:[WASH]], tblPiNHistorical[CCCM - old]=K$5), 0, MATCH($Q$2, tblPiNHistorical[[#Headers],[CCCM]:[WASH]], 0))=$H62, 1, 0))))), "")</f>
        <v/>
      </c>
      <c r="L62" s="92" t="str" cm="1">
        <f t="array" ref="L62">IFERROR(IF(OR($H62="", L61=""), "", IF($H62=2, SUM(IF(INDEX(_xlfn._xlws.FILTER(tblPiNHistorical[[CCCM]:[WASH]],#REF!= L$5), 0, MATCH($Q$2, tblPiNHistorical[[#Headers],[CCCM]:[WASH]], 0))&gt;1.9, 1, 0)), IF(SUM(IF(INDEX(_xlfn._xlws.FILTER(tblPiNHistorical[[CCCM]:[WASH]],#REF!= L$5), 0, MATCH($Q$2, tblPiNHistorical[[#Headers],[CCCM]:[WASH]], 0))=$H62, 1, 0))=0, "", SUM(IF(INDEX(_xlfn._xlws.FILTER(tblPiNHistorical[[CCCM]:[WASH]],#REF!= L$5), 0, MATCH($Q$2, tblPiNHistorical[[#Headers],[CCCM]:[WASH]], 0))=$H62, 1, 0))))), "")</f>
        <v/>
      </c>
      <c r="M62" s="92" t="str" cm="1">
        <f t="array" ref="M62">IFERROR(IF(OR($H62="", M61=""), "", IF($H62=2, SUM(IF(INDEX(_xlfn._xlws.FILTER(tblPiNHistorical[[CCCM]:[WASH]],#REF!= M$5), 0, MATCH($Q$2, tblPiNHistorical[[#Headers],[CCCM]:[WASH]], 0))&gt;1.9, 1, 0)), IF(SUM(IF(INDEX(_xlfn._xlws.FILTER(tblPiNHistorical[[CCCM]:[WASH]],#REF!= M$5), 0, MATCH($Q$2, tblPiNHistorical[[#Headers],[CCCM]:[WASH]], 0))=$H62, 1, 0))=0, "", SUM(IF(INDEX(_xlfn._xlws.FILTER(tblPiNHistorical[[CCCM]:[WASH]],#REF!= M$5), 0, MATCH($Q$2, tblPiNHistorical[[#Headers],[CCCM]:[WASH]], 0))=$H62, 1, 0))))), "")</f>
        <v/>
      </c>
    </row>
    <row r="63" spans="1:13">
      <c r="A63" s="94"/>
      <c r="B63" s="92" t="str" cm="1">
        <f t="array" ref="B63">IF($A63="", "", IF(SUM(IF(INDEX(_xlfn._xlws.FILTER(tblPiNAnalysis[[CCCM%]:[WASH%]], tblPiNAnalysis[Population Group]=B$5), 0, MATCH(_xlfn.CONCAT($Q$2, "%"), tblPiNAnalysis[[#Headers],[CCCM%]:[WASH%]], 0))=$A63, 1, 0))=0, "",SUM(IF(INDEX(_xlfn._xlws.FILTER(tblPiNAnalysis[[CCCM%]:[WASH%]], tblPiNAnalysis[Population Group]=B$5), 0, MATCH(_xlfn.CONCAT($Q$2, "%"), tblPiNAnalysis[[#Headers],[CCCM%]:[WASH%]], 0))=$A63, 1, 0))))</f>
        <v/>
      </c>
      <c r="C63" s="92" t="str" cm="1">
        <f t="array" ref="C63">IFERROR(IF(OR($A63="", C$5=""), "", IF(SUM(IF(INDEX(_xlfn._xlws.FILTER(tblPiNAnalysis[[CCCM%]:[WASH%]], tblPiNAnalysis[Population Group]=C$5), 0, MATCH(_xlfn.CONCAT($Q$2, "%"), tblPiNAnalysis[[#Headers],[CCCM%]:[WASH%]], 0))=$A63, 1, 0))=0, "",SUM(IF(INDEX(_xlfn._xlws.FILTER(tblPiNAnalysis[[CCCM%]:[WASH%]], tblPiNAnalysis[Population Group]=C$5), 0, MATCH(_xlfn.CONCAT($Q$2, "%"), tblPiNAnalysis[[#Headers],[CCCM%]:[WASH%]], 0))=$A63, 1, 0)))), "")</f>
        <v/>
      </c>
      <c r="D63" s="92" t="str" cm="1">
        <f t="array" ref="D63">IFERROR(IF(OR($A63="", D$5=""), "", IF(SUM(IF(INDEX(_xlfn._xlws.FILTER(tblPiNAnalysis[[CCCM%]:[WASH%]], tblPiNAnalysis[Population Group]=D$5), 0, MATCH(_xlfn.CONCAT($Q$2, "%"), tblPiNAnalysis[[#Headers],[CCCM%]:[WASH%]], 0))=$A63, 1, 0))=0, "",SUM(IF(INDEX(_xlfn._xlws.FILTER(tblPiNAnalysis[[CCCM%]:[WASH%]], tblPiNAnalysis[Population Group]=D$5), 0, MATCH(_xlfn.CONCAT($Q$2, "%"), tblPiNAnalysis[[#Headers],[CCCM%]:[WASH%]], 0))=$A63, 1, 0)))), "")</f>
        <v/>
      </c>
      <c r="E63" s="92" t="str" cm="1">
        <f t="array" ref="E63">IFERROR(IF(OR($A63="", E$5=""), "", IF(SUM(IF(INDEX(_xlfn._xlws.FILTER(tblPiNAnalysis[[CCCM%]:[WASH%]], tblPiNAnalysis[Population Group]=E$5), 0, MATCH(_xlfn.CONCAT($Q$2, "%"), tblPiNAnalysis[[#Headers],[CCCM%]:[WASH%]], 0))=$A63, 1, 0))=0, "",SUM(IF(INDEX(_xlfn._xlws.FILTER(tblPiNAnalysis[[CCCM%]:[WASH%]], tblPiNAnalysis[Population Group]=E$5), 0, MATCH(_xlfn.CONCAT($Q$2, "%"), tblPiNAnalysis[[#Headers],[CCCM%]:[WASH%]], 0))=$A63, 1, 0)))), "")</f>
        <v/>
      </c>
      <c r="F63" s="92" t="str" cm="1">
        <f t="array" ref="F63">IFERROR(IF(OR($A63="", F$5=""), "", IF(SUM(IF(INDEX(_xlfn._xlws.FILTER(tblPiNAnalysis[[CCCM%]:[WASH%]], tblPiNAnalysis[CCCM]=F$5), 0, MATCH(_xlfn.CONCAT($Q$2, "%"), tblPiNAnalysis[[#Headers],[CCCM%]:[WASH%]], 0))=$A63, 1, 0))=0, "",SUM(IF(INDEX(_xlfn._xlws.FILTER(tblPiNAnalysis[[CCCM%]:[WASH%]], tblPiNAnalysis[CCCM]=F$5), 0, MATCH(_xlfn.CONCAT($Q$2, "%"), tblPiNAnalysis[[#Headers],[CCCM%]:[WASH%]], 0))=$A63, 1, 0)))), "")</f>
        <v/>
      </c>
      <c r="H63" s="94"/>
      <c r="I63" s="92" t="str" cm="1">
        <f t="array" ref="I63">IF($H63="", "", IF($H63=2, SUM(IF(INDEX(_xlfn._xlws.FILTER(tblPiNHistorical[[CCCM]:[WASH]], tblPiNHistorical[Population Group]=I$5), 0, MATCH($Q$2, tblPiNHistorical[[#Headers],[CCCM]:[WASH]], 0))&gt;1.9, 1, 0)), IF(SUM(IF(INDEX(_xlfn._xlws.FILTER(tblPiNHistorical[[CCCM]:[WASH]], tblPiNHistorical[Population Group]=I$5), 0, MATCH($Q$2, tblPiNHistorical[[#Headers],[CCCM]:[WASH]], 0))=$H63, 1, 0))=0, "", SUM(IF(INDEX(_xlfn._xlws.FILTER(tblPiNHistorical[[CCCM]:[WASH]], tblPiNHistorical[Population Group]=I$5), 0, MATCH($Q$2, tblPiNHistorical[[#Headers],[CCCM]:[WASH]], 0))=$H63, 1, 0)))))</f>
        <v/>
      </c>
      <c r="J63" s="92" t="str" cm="1">
        <f t="array" ref="J63">IFERROR(IF(OR($H63="", J62=""), "", IF($H63=2, SUM(IF(INDEX(_xlfn._xlws.FILTER(tblPiNHistorical[[CCCM]:[WASH]], tblPiNHistorical[Population Group]=J$5), 0, MATCH($Q$2, tblPiNHistorical[[#Headers],[CCCM]:[WASH]], 0))&gt;1.9, 1, 0)), IF(SUM(IF(INDEX(_xlfn._xlws.FILTER(tblPiNHistorical[[CCCM]:[WASH]], tblPiNHistorical[Population Group]=J$5), 0, MATCH($Q$2, tblPiNHistorical[[#Headers],[CCCM]:[WASH]], 0))=$H63, 1, 0))=0, "", SUM(IF(INDEX(_xlfn._xlws.FILTER(tblPiNHistorical[[CCCM]:[WASH]], tblPiNHistorical[Population Group]=J$5), 0, MATCH($Q$2, tblPiNHistorical[[#Headers],[CCCM]:[WASH]], 0))=$H63, 1, 0))))), "")</f>
        <v/>
      </c>
      <c r="K63" s="92" t="str" cm="1">
        <f t="array" ref="K63">IFERROR(IF(OR($H63="", K62=""), "", IF($H63=2, SUM(IF(INDEX(_xlfn._xlws.FILTER(tblPiNHistorical[[CCCM]:[WASH]], tblPiNHistorical[CCCM - old]=K$5), 0, MATCH($Q$2, tblPiNHistorical[[#Headers],[CCCM]:[WASH]], 0))&gt;1.9, 1, 0)), IF(SUM(IF(INDEX(_xlfn._xlws.FILTER(tblPiNHistorical[[CCCM]:[WASH]], tblPiNHistorical[CCCM - old]=K$5), 0, MATCH($Q$2, tblPiNHistorical[[#Headers],[CCCM]:[WASH]], 0))=$H63, 1, 0))=0, "", SUM(IF(INDEX(_xlfn._xlws.FILTER(tblPiNHistorical[[CCCM]:[WASH]], tblPiNHistorical[CCCM - old]=K$5), 0, MATCH($Q$2, tblPiNHistorical[[#Headers],[CCCM]:[WASH]], 0))=$H63, 1, 0))))), "")</f>
        <v/>
      </c>
      <c r="L63" s="92" t="str" cm="1">
        <f t="array" ref="L63">IFERROR(IF(OR($H63="", L62=""), "", IF($H63=2, SUM(IF(INDEX(_xlfn._xlws.FILTER(tblPiNHistorical[[CCCM]:[WASH]],#REF!= L$5), 0, MATCH($Q$2, tblPiNHistorical[[#Headers],[CCCM]:[WASH]], 0))&gt;1.9, 1, 0)), IF(SUM(IF(INDEX(_xlfn._xlws.FILTER(tblPiNHistorical[[CCCM]:[WASH]],#REF!= L$5), 0, MATCH($Q$2, tblPiNHistorical[[#Headers],[CCCM]:[WASH]], 0))=$H63, 1, 0))=0, "", SUM(IF(INDEX(_xlfn._xlws.FILTER(tblPiNHistorical[[CCCM]:[WASH]],#REF!= L$5), 0, MATCH($Q$2, tblPiNHistorical[[#Headers],[CCCM]:[WASH]], 0))=$H63, 1, 0))))), "")</f>
        <v/>
      </c>
      <c r="M63" s="92" t="str" cm="1">
        <f t="array" ref="M63">IFERROR(IF(OR($H63="", M62=""), "", IF($H63=2, SUM(IF(INDEX(_xlfn._xlws.FILTER(tblPiNHistorical[[CCCM]:[WASH]],#REF!= M$5), 0, MATCH($Q$2, tblPiNHistorical[[#Headers],[CCCM]:[WASH]], 0))&gt;1.9, 1, 0)), IF(SUM(IF(INDEX(_xlfn._xlws.FILTER(tblPiNHistorical[[CCCM]:[WASH]],#REF!= M$5), 0, MATCH($Q$2, tblPiNHistorical[[#Headers],[CCCM]:[WASH]], 0))=$H63, 1, 0))=0, "", SUM(IF(INDEX(_xlfn._xlws.FILTER(tblPiNHistorical[[CCCM]:[WASH]],#REF!= M$5), 0, MATCH($Q$2, tblPiNHistorical[[#Headers],[CCCM]:[WASH]], 0))=$H63, 1, 0))))), "")</f>
        <v/>
      </c>
    </row>
    <row r="64" spans="1:13">
      <c r="A64" s="94"/>
      <c r="B64" s="92" t="str" cm="1">
        <f t="array" ref="B64">IF($A64="", "", IF(SUM(IF(INDEX(_xlfn._xlws.FILTER(tblPiNAnalysis[[CCCM%]:[WASH%]], tblPiNAnalysis[Population Group]=B$5), 0, MATCH(_xlfn.CONCAT($Q$2, "%"), tblPiNAnalysis[[#Headers],[CCCM%]:[WASH%]], 0))=$A64, 1, 0))=0, "",SUM(IF(INDEX(_xlfn._xlws.FILTER(tblPiNAnalysis[[CCCM%]:[WASH%]], tblPiNAnalysis[Population Group]=B$5), 0, MATCH(_xlfn.CONCAT($Q$2, "%"), tblPiNAnalysis[[#Headers],[CCCM%]:[WASH%]], 0))=$A64, 1, 0))))</f>
        <v/>
      </c>
      <c r="C64" s="92" t="str" cm="1">
        <f t="array" ref="C64">IFERROR(IF(OR($A64="", C$5=""), "", IF(SUM(IF(INDEX(_xlfn._xlws.FILTER(tblPiNAnalysis[[CCCM%]:[WASH%]], tblPiNAnalysis[Population Group]=C$5), 0, MATCH(_xlfn.CONCAT($Q$2, "%"), tblPiNAnalysis[[#Headers],[CCCM%]:[WASH%]], 0))=$A64, 1, 0))=0, "",SUM(IF(INDEX(_xlfn._xlws.FILTER(tblPiNAnalysis[[CCCM%]:[WASH%]], tblPiNAnalysis[Population Group]=C$5), 0, MATCH(_xlfn.CONCAT($Q$2, "%"), tblPiNAnalysis[[#Headers],[CCCM%]:[WASH%]], 0))=$A64, 1, 0)))), "")</f>
        <v/>
      </c>
      <c r="D64" s="92" t="str" cm="1">
        <f t="array" ref="D64">IFERROR(IF(OR($A64="", D$5=""), "", IF(SUM(IF(INDEX(_xlfn._xlws.FILTER(tblPiNAnalysis[[CCCM%]:[WASH%]], tblPiNAnalysis[Population Group]=D$5), 0, MATCH(_xlfn.CONCAT($Q$2, "%"), tblPiNAnalysis[[#Headers],[CCCM%]:[WASH%]], 0))=$A64, 1, 0))=0, "",SUM(IF(INDEX(_xlfn._xlws.FILTER(tblPiNAnalysis[[CCCM%]:[WASH%]], tblPiNAnalysis[Population Group]=D$5), 0, MATCH(_xlfn.CONCAT($Q$2, "%"), tblPiNAnalysis[[#Headers],[CCCM%]:[WASH%]], 0))=$A64, 1, 0)))), "")</f>
        <v/>
      </c>
      <c r="E64" s="92" t="str" cm="1">
        <f t="array" ref="E64">IFERROR(IF(OR($A64="", E$5=""), "", IF(SUM(IF(INDEX(_xlfn._xlws.FILTER(tblPiNAnalysis[[CCCM%]:[WASH%]], tblPiNAnalysis[Population Group]=E$5), 0, MATCH(_xlfn.CONCAT($Q$2, "%"), tblPiNAnalysis[[#Headers],[CCCM%]:[WASH%]], 0))=$A64, 1, 0))=0, "",SUM(IF(INDEX(_xlfn._xlws.FILTER(tblPiNAnalysis[[CCCM%]:[WASH%]], tblPiNAnalysis[Population Group]=E$5), 0, MATCH(_xlfn.CONCAT($Q$2, "%"), tblPiNAnalysis[[#Headers],[CCCM%]:[WASH%]], 0))=$A64, 1, 0)))), "")</f>
        <v/>
      </c>
      <c r="F64" s="92" t="str" cm="1">
        <f t="array" ref="F64">IFERROR(IF(OR($A64="", F$5=""), "", IF(SUM(IF(INDEX(_xlfn._xlws.FILTER(tblPiNAnalysis[[CCCM%]:[WASH%]], tblPiNAnalysis[CCCM]=F$5), 0, MATCH(_xlfn.CONCAT($Q$2, "%"), tblPiNAnalysis[[#Headers],[CCCM%]:[WASH%]], 0))=$A64, 1, 0))=0, "",SUM(IF(INDEX(_xlfn._xlws.FILTER(tblPiNAnalysis[[CCCM%]:[WASH%]], tblPiNAnalysis[CCCM]=F$5), 0, MATCH(_xlfn.CONCAT($Q$2, "%"), tblPiNAnalysis[[#Headers],[CCCM%]:[WASH%]], 0))=$A64, 1, 0)))), "")</f>
        <v/>
      </c>
      <c r="H64" s="94"/>
      <c r="I64" s="92" t="str" cm="1">
        <f t="array" ref="I64">IF($H64="", "", IF($H64=2, SUM(IF(INDEX(_xlfn._xlws.FILTER(tblPiNHistorical[[CCCM]:[WASH]], tblPiNHistorical[Population Group]=I$5), 0, MATCH($Q$2, tblPiNHistorical[[#Headers],[CCCM]:[WASH]], 0))&gt;1.9, 1, 0)), IF(SUM(IF(INDEX(_xlfn._xlws.FILTER(tblPiNHistorical[[CCCM]:[WASH]], tblPiNHistorical[Population Group]=I$5), 0, MATCH($Q$2, tblPiNHistorical[[#Headers],[CCCM]:[WASH]], 0))=$H64, 1, 0))=0, "", SUM(IF(INDEX(_xlfn._xlws.FILTER(tblPiNHistorical[[CCCM]:[WASH]], tblPiNHistorical[Population Group]=I$5), 0, MATCH($Q$2, tblPiNHistorical[[#Headers],[CCCM]:[WASH]], 0))=$H64, 1, 0)))))</f>
        <v/>
      </c>
      <c r="J64" s="92" t="str" cm="1">
        <f t="array" ref="J64">IFERROR(IF(OR($H64="", J63=""), "", IF($H64=2, SUM(IF(INDEX(_xlfn._xlws.FILTER(tblPiNHistorical[[CCCM]:[WASH]], tblPiNHistorical[Population Group]=J$5), 0, MATCH($Q$2, tblPiNHistorical[[#Headers],[CCCM]:[WASH]], 0))&gt;1.9, 1, 0)), IF(SUM(IF(INDEX(_xlfn._xlws.FILTER(tblPiNHistorical[[CCCM]:[WASH]], tblPiNHistorical[Population Group]=J$5), 0, MATCH($Q$2, tblPiNHistorical[[#Headers],[CCCM]:[WASH]], 0))=$H64, 1, 0))=0, "", SUM(IF(INDEX(_xlfn._xlws.FILTER(tblPiNHistorical[[CCCM]:[WASH]], tblPiNHistorical[Population Group]=J$5), 0, MATCH($Q$2, tblPiNHistorical[[#Headers],[CCCM]:[WASH]], 0))=$H64, 1, 0))))), "")</f>
        <v/>
      </c>
      <c r="K64" s="92" t="str" cm="1">
        <f t="array" ref="K64">IFERROR(IF(OR($H64="", K63=""), "", IF($H64=2, SUM(IF(INDEX(_xlfn._xlws.FILTER(tblPiNHistorical[[CCCM]:[WASH]], tblPiNHistorical[CCCM - old]=K$5), 0, MATCH($Q$2, tblPiNHistorical[[#Headers],[CCCM]:[WASH]], 0))&gt;1.9, 1, 0)), IF(SUM(IF(INDEX(_xlfn._xlws.FILTER(tblPiNHistorical[[CCCM]:[WASH]], tblPiNHistorical[CCCM - old]=K$5), 0, MATCH($Q$2, tblPiNHistorical[[#Headers],[CCCM]:[WASH]], 0))=$H64, 1, 0))=0, "", SUM(IF(INDEX(_xlfn._xlws.FILTER(tblPiNHistorical[[CCCM]:[WASH]], tblPiNHistorical[CCCM - old]=K$5), 0, MATCH($Q$2, tblPiNHistorical[[#Headers],[CCCM]:[WASH]], 0))=$H64, 1, 0))))), "")</f>
        <v/>
      </c>
      <c r="L64" s="92" t="str" cm="1">
        <f t="array" ref="L64">IFERROR(IF(OR($H64="", L63=""), "", IF($H64=2, SUM(IF(INDEX(_xlfn._xlws.FILTER(tblPiNHistorical[[CCCM]:[WASH]],#REF!= L$5), 0, MATCH($Q$2, tblPiNHistorical[[#Headers],[CCCM]:[WASH]], 0))&gt;1.9, 1, 0)), IF(SUM(IF(INDEX(_xlfn._xlws.FILTER(tblPiNHistorical[[CCCM]:[WASH]],#REF!= L$5), 0, MATCH($Q$2, tblPiNHistorical[[#Headers],[CCCM]:[WASH]], 0))=$H64, 1, 0))=0, "", SUM(IF(INDEX(_xlfn._xlws.FILTER(tblPiNHistorical[[CCCM]:[WASH]],#REF!= L$5), 0, MATCH($Q$2, tblPiNHistorical[[#Headers],[CCCM]:[WASH]], 0))=$H64, 1, 0))))), "")</f>
        <v/>
      </c>
      <c r="M64" s="92" t="str" cm="1">
        <f t="array" ref="M64">IFERROR(IF(OR($H64="", M63=""), "", IF($H64=2, SUM(IF(INDEX(_xlfn._xlws.FILTER(tblPiNHistorical[[CCCM]:[WASH]],#REF!= M$5), 0, MATCH($Q$2, tblPiNHistorical[[#Headers],[CCCM]:[WASH]], 0))&gt;1.9, 1, 0)), IF(SUM(IF(INDEX(_xlfn._xlws.FILTER(tblPiNHistorical[[CCCM]:[WASH]],#REF!= M$5), 0, MATCH($Q$2, tblPiNHistorical[[#Headers],[CCCM]:[WASH]], 0))=$H64, 1, 0))=0, "", SUM(IF(INDEX(_xlfn._xlws.FILTER(tblPiNHistorical[[CCCM]:[WASH]],#REF!= M$5), 0, MATCH($Q$2, tblPiNHistorical[[#Headers],[CCCM]:[WASH]], 0))=$H64, 1, 0))))), "")</f>
        <v/>
      </c>
    </row>
    <row r="65" spans="1:13">
      <c r="A65" s="94"/>
      <c r="B65" s="92" t="str" cm="1">
        <f t="array" ref="B65">IF($A65="", "", IF(SUM(IF(INDEX(_xlfn._xlws.FILTER(tblPiNAnalysis[[CCCM%]:[WASH%]], tblPiNAnalysis[Population Group]=B$5), 0, MATCH(_xlfn.CONCAT($Q$2, "%"), tblPiNAnalysis[[#Headers],[CCCM%]:[WASH%]], 0))=$A65, 1, 0))=0, "",SUM(IF(INDEX(_xlfn._xlws.FILTER(tblPiNAnalysis[[CCCM%]:[WASH%]], tblPiNAnalysis[Population Group]=B$5), 0, MATCH(_xlfn.CONCAT($Q$2, "%"), tblPiNAnalysis[[#Headers],[CCCM%]:[WASH%]], 0))=$A65, 1, 0))))</f>
        <v/>
      </c>
      <c r="C65" s="92" t="str" cm="1">
        <f t="array" ref="C65">IFERROR(IF(OR($A65="", C$5=""), "", IF(SUM(IF(INDEX(_xlfn._xlws.FILTER(tblPiNAnalysis[[CCCM%]:[WASH%]], tblPiNAnalysis[Population Group]=C$5), 0, MATCH(_xlfn.CONCAT($Q$2, "%"), tblPiNAnalysis[[#Headers],[CCCM%]:[WASH%]], 0))=$A65, 1, 0))=0, "",SUM(IF(INDEX(_xlfn._xlws.FILTER(tblPiNAnalysis[[CCCM%]:[WASH%]], tblPiNAnalysis[Population Group]=C$5), 0, MATCH(_xlfn.CONCAT($Q$2, "%"), tblPiNAnalysis[[#Headers],[CCCM%]:[WASH%]], 0))=$A65, 1, 0)))), "")</f>
        <v/>
      </c>
      <c r="D65" s="92" t="str" cm="1">
        <f t="array" ref="D65">IFERROR(IF(OR($A65="", D$5=""), "", IF(SUM(IF(INDEX(_xlfn._xlws.FILTER(tblPiNAnalysis[[CCCM%]:[WASH%]], tblPiNAnalysis[Population Group]=D$5), 0, MATCH(_xlfn.CONCAT($Q$2, "%"), tblPiNAnalysis[[#Headers],[CCCM%]:[WASH%]], 0))=$A65, 1, 0))=0, "",SUM(IF(INDEX(_xlfn._xlws.FILTER(tblPiNAnalysis[[CCCM%]:[WASH%]], tblPiNAnalysis[Population Group]=D$5), 0, MATCH(_xlfn.CONCAT($Q$2, "%"), tblPiNAnalysis[[#Headers],[CCCM%]:[WASH%]], 0))=$A65, 1, 0)))), "")</f>
        <v/>
      </c>
      <c r="E65" s="92" t="str" cm="1">
        <f t="array" ref="E65">IFERROR(IF(OR($A65="", E$5=""), "", IF(SUM(IF(INDEX(_xlfn._xlws.FILTER(tblPiNAnalysis[[CCCM%]:[WASH%]], tblPiNAnalysis[Population Group]=E$5), 0, MATCH(_xlfn.CONCAT($Q$2, "%"), tblPiNAnalysis[[#Headers],[CCCM%]:[WASH%]], 0))=$A65, 1, 0))=0, "",SUM(IF(INDEX(_xlfn._xlws.FILTER(tblPiNAnalysis[[CCCM%]:[WASH%]], tblPiNAnalysis[Population Group]=E$5), 0, MATCH(_xlfn.CONCAT($Q$2, "%"), tblPiNAnalysis[[#Headers],[CCCM%]:[WASH%]], 0))=$A65, 1, 0)))), "")</f>
        <v/>
      </c>
      <c r="F65" s="92" t="str" cm="1">
        <f t="array" ref="F65">IFERROR(IF(OR($A65="", F$5=""), "", IF(SUM(IF(INDEX(_xlfn._xlws.FILTER(tblPiNAnalysis[[CCCM%]:[WASH%]], tblPiNAnalysis[CCCM]=F$5), 0, MATCH(_xlfn.CONCAT($Q$2, "%"), tblPiNAnalysis[[#Headers],[CCCM%]:[WASH%]], 0))=$A65, 1, 0))=0, "",SUM(IF(INDEX(_xlfn._xlws.FILTER(tblPiNAnalysis[[CCCM%]:[WASH%]], tblPiNAnalysis[CCCM]=F$5), 0, MATCH(_xlfn.CONCAT($Q$2, "%"), tblPiNAnalysis[[#Headers],[CCCM%]:[WASH%]], 0))=$A65, 1, 0)))), "")</f>
        <v/>
      </c>
      <c r="H65" s="94"/>
      <c r="I65" s="92" t="str" cm="1">
        <f t="array" ref="I65">IF($H65="", "", IF($H65=2, SUM(IF(INDEX(_xlfn._xlws.FILTER(tblPiNHistorical[[CCCM]:[WASH]], tblPiNHistorical[Population Group]=I$5), 0, MATCH($Q$2, tblPiNHistorical[[#Headers],[CCCM]:[WASH]], 0))&gt;1.9, 1, 0)), IF(SUM(IF(INDEX(_xlfn._xlws.FILTER(tblPiNHistorical[[CCCM]:[WASH]], tblPiNHistorical[Population Group]=I$5), 0, MATCH($Q$2, tblPiNHistorical[[#Headers],[CCCM]:[WASH]], 0))=$H65, 1, 0))=0, "", SUM(IF(INDEX(_xlfn._xlws.FILTER(tblPiNHistorical[[CCCM]:[WASH]], tblPiNHistorical[Population Group]=I$5), 0, MATCH($Q$2, tblPiNHistorical[[#Headers],[CCCM]:[WASH]], 0))=$H65, 1, 0)))))</f>
        <v/>
      </c>
      <c r="J65" s="92" t="str" cm="1">
        <f t="array" ref="J65">IFERROR(IF(OR($H65="", J64=""), "", IF($H65=2, SUM(IF(INDEX(_xlfn._xlws.FILTER(tblPiNHistorical[[CCCM]:[WASH]], tblPiNHistorical[Population Group]=J$5), 0, MATCH($Q$2, tblPiNHistorical[[#Headers],[CCCM]:[WASH]], 0))&gt;1.9, 1, 0)), IF(SUM(IF(INDEX(_xlfn._xlws.FILTER(tblPiNHistorical[[CCCM]:[WASH]], tblPiNHistorical[Population Group]=J$5), 0, MATCH($Q$2, tblPiNHistorical[[#Headers],[CCCM]:[WASH]], 0))=$H65, 1, 0))=0, "", SUM(IF(INDEX(_xlfn._xlws.FILTER(tblPiNHistorical[[CCCM]:[WASH]], tblPiNHistorical[Population Group]=J$5), 0, MATCH($Q$2, tblPiNHistorical[[#Headers],[CCCM]:[WASH]], 0))=$H65, 1, 0))))), "")</f>
        <v/>
      </c>
      <c r="K65" s="92" t="str" cm="1">
        <f t="array" ref="K65">IFERROR(IF(OR($H65="", K64=""), "", IF($H65=2, SUM(IF(INDEX(_xlfn._xlws.FILTER(tblPiNHistorical[[CCCM]:[WASH]], tblPiNHistorical[CCCM - old]=K$5), 0, MATCH($Q$2, tblPiNHistorical[[#Headers],[CCCM]:[WASH]], 0))&gt;1.9, 1, 0)), IF(SUM(IF(INDEX(_xlfn._xlws.FILTER(tblPiNHistorical[[CCCM]:[WASH]], tblPiNHistorical[CCCM - old]=K$5), 0, MATCH($Q$2, tblPiNHistorical[[#Headers],[CCCM]:[WASH]], 0))=$H65, 1, 0))=0, "", SUM(IF(INDEX(_xlfn._xlws.FILTER(tblPiNHistorical[[CCCM]:[WASH]], tblPiNHistorical[CCCM - old]=K$5), 0, MATCH($Q$2, tblPiNHistorical[[#Headers],[CCCM]:[WASH]], 0))=$H65, 1, 0))))), "")</f>
        <v/>
      </c>
      <c r="L65" s="92" t="str" cm="1">
        <f t="array" ref="L65">IFERROR(IF(OR($H65="", L64=""), "", IF($H65=2, SUM(IF(INDEX(_xlfn._xlws.FILTER(tblPiNHistorical[[CCCM]:[WASH]],#REF!= L$5), 0, MATCH($Q$2, tblPiNHistorical[[#Headers],[CCCM]:[WASH]], 0))&gt;1.9, 1, 0)), IF(SUM(IF(INDEX(_xlfn._xlws.FILTER(tblPiNHistorical[[CCCM]:[WASH]],#REF!= L$5), 0, MATCH($Q$2, tblPiNHistorical[[#Headers],[CCCM]:[WASH]], 0))=$H65, 1, 0))=0, "", SUM(IF(INDEX(_xlfn._xlws.FILTER(tblPiNHistorical[[CCCM]:[WASH]],#REF!= L$5), 0, MATCH($Q$2, tblPiNHistorical[[#Headers],[CCCM]:[WASH]], 0))=$H65, 1, 0))))), "")</f>
        <v/>
      </c>
      <c r="M65" s="92" t="str" cm="1">
        <f t="array" ref="M65">IFERROR(IF(OR($H65="", M64=""), "", IF($H65=2, SUM(IF(INDEX(_xlfn._xlws.FILTER(tblPiNHistorical[[CCCM]:[WASH]],#REF!= M$5), 0, MATCH($Q$2, tblPiNHistorical[[#Headers],[CCCM]:[WASH]], 0))&gt;1.9, 1, 0)), IF(SUM(IF(INDEX(_xlfn._xlws.FILTER(tblPiNHistorical[[CCCM]:[WASH]],#REF!= M$5), 0, MATCH($Q$2, tblPiNHistorical[[#Headers],[CCCM]:[WASH]], 0))=$H65, 1, 0))=0, "", SUM(IF(INDEX(_xlfn._xlws.FILTER(tblPiNHistorical[[CCCM]:[WASH]],#REF!= M$5), 0, MATCH($Q$2, tblPiNHistorical[[#Headers],[CCCM]:[WASH]], 0))=$H65, 1, 0))))), "")</f>
        <v/>
      </c>
    </row>
    <row r="66" spans="1:13">
      <c r="A66" s="94"/>
      <c r="B66" s="92" t="str" cm="1">
        <f t="array" ref="B66">IF($A66="", "", IF(SUM(IF(INDEX(_xlfn._xlws.FILTER(tblPiNAnalysis[[CCCM%]:[WASH%]], tblPiNAnalysis[Population Group]=B$5), 0, MATCH(_xlfn.CONCAT($Q$2, "%"), tblPiNAnalysis[[#Headers],[CCCM%]:[WASH%]], 0))=$A66, 1, 0))=0, "",SUM(IF(INDEX(_xlfn._xlws.FILTER(tblPiNAnalysis[[CCCM%]:[WASH%]], tblPiNAnalysis[Population Group]=B$5), 0, MATCH(_xlfn.CONCAT($Q$2, "%"), tblPiNAnalysis[[#Headers],[CCCM%]:[WASH%]], 0))=$A66, 1, 0))))</f>
        <v/>
      </c>
      <c r="C66" s="92" t="str" cm="1">
        <f t="array" ref="C66">IFERROR(IF(OR($A66="", C$5=""), "", IF(SUM(IF(INDEX(_xlfn._xlws.FILTER(tblPiNAnalysis[[CCCM%]:[WASH%]], tblPiNAnalysis[Population Group]=C$5), 0, MATCH(_xlfn.CONCAT($Q$2, "%"), tblPiNAnalysis[[#Headers],[CCCM%]:[WASH%]], 0))=$A66, 1, 0))=0, "",SUM(IF(INDEX(_xlfn._xlws.FILTER(tblPiNAnalysis[[CCCM%]:[WASH%]], tblPiNAnalysis[Population Group]=C$5), 0, MATCH(_xlfn.CONCAT($Q$2, "%"), tblPiNAnalysis[[#Headers],[CCCM%]:[WASH%]], 0))=$A66, 1, 0)))), "")</f>
        <v/>
      </c>
      <c r="D66" s="92" t="str" cm="1">
        <f t="array" ref="D66">IFERROR(IF(OR($A66="", D$5=""), "", IF(SUM(IF(INDEX(_xlfn._xlws.FILTER(tblPiNAnalysis[[CCCM%]:[WASH%]], tblPiNAnalysis[Population Group]=D$5), 0, MATCH(_xlfn.CONCAT($Q$2, "%"), tblPiNAnalysis[[#Headers],[CCCM%]:[WASH%]], 0))=$A66, 1, 0))=0, "",SUM(IF(INDEX(_xlfn._xlws.FILTER(tblPiNAnalysis[[CCCM%]:[WASH%]], tblPiNAnalysis[Population Group]=D$5), 0, MATCH(_xlfn.CONCAT($Q$2, "%"), tblPiNAnalysis[[#Headers],[CCCM%]:[WASH%]], 0))=$A66, 1, 0)))), "")</f>
        <v/>
      </c>
      <c r="E66" s="92" t="str" cm="1">
        <f t="array" ref="E66">IFERROR(IF(OR($A66="", E$5=""), "", IF(SUM(IF(INDEX(_xlfn._xlws.FILTER(tblPiNAnalysis[[CCCM%]:[WASH%]], tblPiNAnalysis[Population Group]=E$5), 0, MATCH(_xlfn.CONCAT($Q$2, "%"), tblPiNAnalysis[[#Headers],[CCCM%]:[WASH%]], 0))=$A66, 1, 0))=0, "",SUM(IF(INDEX(_xlfn._xlws.FILTER(tblPiNAnalysis[[CCCM%]:[WASH%]], tblPiNAnalysis[Population Group]=E$5), 0, MATCH(_xlfn.CONCAT($Q$2, "%"), tblPiNAnalysis[[#Headers],[CCCM%]:[WASH%]], 0))=$A66, 1, 0)))), "")</f>
        <v/>
      </c>
      <c r="F66" s="92" t="str" cm="1">
        <f t="array" ref="F66">IFERROR(IF(OR($A66="", F$5=""), "", IF(SUM(IF(INDEX(_xlfn._xlws.FILTER(tblPiNAnalysis[[CCCM%]:[WASH%]], tblPiNAnalysis[CCCM]=F$5), 0, MATCH(_xlfn.CONCAT($Q$2, "%"), tblPiNAnalysis[[#Headers],[CCCM%]:[WASH%]], 0))=$A66, 1, 0))=0, "",SUM(IF(INDEX(_xlfn._xlws.FILTER(tblPiNAnalysis[[CCCM%]:[WASH%]], tblPiNAnalysis[CCCM]=F$5), 0, MATCH(_xlfn.CONCAT($Q$2, "%"), tblPiNAnalysis[[#Headers],[CCCM%]:[WASH%]], 0))=$A66, 1, 0)))), "")</f>
        <v/>
      </c>
      <c r="H66" s="94"/>
      <c r="I66" s="92" t="str" cm="1">
        <f t="array" ref="I66">IF($H66="", "", IF($H66=2, SUM(IF(INDEX(_xlfn._xlws.FILTER(tblPiNHistorical[[CCCM]:[WASH]], tblPiNHistorical[Population Group]=I$5), 0, MATCH($Q$2, tblPiNHistorical[[#Headers],[CCCM]:[WASH]], 0))&gt;1.9, 1, 0)), IF(SUM(IF(INDEX(_xlfn._xlws.FILTER(tblPiNHistorical[[CCCM]:[WASH]], tblPiNHistorical[Population Group]=I$5), 0, MATCH($Q$2, tblPiNHistorical[[#Headers],[CCCM]:[WASH]], 0))=$H66, 1, 0))=0, "", SUM(IF(INDEX(_xlfn._xlws.FILTER(tblPiNHistorical[[CCCM]:[WASH]], tblPiNHistorical[Population Group]=I$5), 0, MATCH($Q$2, tblPiNHistorical[[#Headers],[CCCM]:[WASH]], 0))=$H66, 1, 0)))))</f>
        <v/>
      </c>
      <c r="J66" s="92" t="str" cm="1">
        <f t="array" ref="J66">IFERROR(IF(OR($H66="", J65=""), "", IF($H66=2, SUM(IF(INDEX(_xlfn._xlws.FILTER(tblPiNHistorical[[CCCM]:[WASH]], tblPiNHistorical[Population Group]=J$5), 0, MATCH($Q$2, tblPiNHistorical[[#Headers],[CCCM]:[WASH]], 0))&gt;1.9, 1, 0)), IF(SUM(IF(INDEX(_xlfn._xlws.FILTER(tblPiNHistorical[[CCCM]:[WASH]], tblPiNHistorical[Population Group]=J$5), 0, MATCH($Q$2, tblPiNHistorical[[#Headers],[CCCM]:[WASH]], 0))=$H66, 1, 0))=0, "", SUM(IF(INDEX(_xlfn._xlws.FILTER(tblPiNHistorical[[CCCM]:[WASH]], tblPiNHistorical[Population Group]=J$5), 0, MATCH($Q$2, tblPiNHistorical[[#Headers],[CCCM]:[WASH]], 0))=$H66, 1, 0))))), "")</f>
        <v/>
      </c>
      <c r="K66" s="92" t="str" cm="1">
        <f t="array" ref="K66">IFERROR(IF(OR($H66="", K65=""), "", IF($H66=2, SUM(IF(INDEX(_xlfn._xlws.FILTER(tblPiNHistorical[[CCCM]:[WASH]], tblPiNHistorical[CCCM - old]=K$5), 0, MATCH($Q$2, tblPiNHistorical[[#Headers],[CCCM]:[WASH]], 0))&gt;1.9, 1, 0)), IF(SUM(IF(INDEX(_xlfn._xlws.FILTER(tblPiNHistorical[[CCCM]:[WASH]], tblPiNHistorical[CCCM - old]=K$5), 0, MATCH($Q$2, tblPiNHistorical[[#Headers],[CCCM]:[WASH]], 0))=$H66, 1, 0))=0, "", SUM(IF(INDEX(_xlfn._xlws.FILTER(tblPiNHistorical[[CCCM]:[WASH]], tblPiNHistorical[CCCM - old]=K$5), 0, MATCH($Q$2, tblPiNHistorical[[#Headers],[CCCM]:[WASH]], 0))=$H66, 1, 0))))), "")</f>
        <v/>
      </c>
      <c r="L66" s="92" t="str" cm="1">
        <f t="array" ref="L66">IFERROR(IF(OR($H66="", L65=""), "", IF($H66=2, SUM(IF(INDEX(_xlfn._xlws.FILTER(tblPiNHistorical[[CCCM]:[WASH]],#REF!= L$5), 0, MATCH($Q$2, tblPiNHistorical[[#Headers],[CCCM]:[WASH]], 0))&gt;1.9, 1, 0)), IF(SUM(IF(INDEX(_xlfn._xlws.FILTER(tblPiNHistorical[[CCCM]:[WASH]],#REF!= L$5), 0, MATCH($Q$2, tblPiNHistorical[[#Headers],[CCCM]:[WASH]], 0))=$H66, 1, 0))=0, "", SUM(IF(INDEX(_xlfn._xlws.FILTER(tblPiNHistorical[[CCCM]:[WASH]],#REF!= L$5), 0, MATCH($Q$2, tblPiNHistorical[[#Headers],[CCCM]:[WASH]], 0))=$H66, 1, 0))))), "")</f>
        <v/>
      </c>
      <c r="M66" s="92" t="str" cm="1">
        <f t="array" ref="M66">IFERROR(IF(OR($H66="", M65=""), "", IF($H66=2, SUM(IF(INDEX(_xlfn._xlws.FILTER(tblPiNHistorical[[CCCM]:[WASH]],#REF!= M$5), 0, MATCH($Q$2, tblPiNHistorical[[#Headers],[CCCM]:[WASH]], 0))&gt;1.9, 1, 0)), IF(SUM(IF(INDEX(_xlfn._xlws.FILTER(tblPiNHistorical[[CCCM]:[WASH]],#REF!= M$5), 0, MATCH($Q$2, tblPiNHistorical[[#Headers],[CCCM]:[WASH]], 0))=$H66, 1, 0))=0, "", SUM(IF(INDEX(_xlfn._xlws.FILTER(tblPiNHistorical[[CCCM]:[WASH]],#REF!= M$5), 0, MATCH($Q$2, tblPiNHistorical[[#Headers],[CCCM]:[WASH]], 0))=$H66, 1, 0))))), "")</f>
        <v/>
      </c>
    </row>
    <row r="67" spans="1:13">
      <c r="A67" s="94"/>
      <c r="B67" s="92" t="str" cm="1">
        <f t="array" ref="B67">IF($A67="", "", IF(SUM(IF(INDEX(_xlfn._xlws.FILTER(tblPiNAnalysis[[CCCM%]:[WASH%]], tblPiNAnalysis[Population Group]=B$5), 0, MATCH(_xlfn.CONCAT($Q$2, "%"), tblPiNAnalysis[[#Headers],[CCCM%]:[WASH%]], 0))=$A67, 1, 0))=0, "",SUM(IF(INDEX(_xlfn._xlws.FILTER(tblPiNAnalysis[[CCCM%]:[WASH%]], tblPiNAnalysis[Population Group]=B$5), 0, MATCH(_xlfn.CONCAT($Q$2, "%"), tblPiNAnalysis[[#Headers],[CCCM%]:[WASH%]], 0))=$A67, 1, 0))))</f>
        <v/>
      </c>
      <c r="C67" s="92" t="str" cm="1">
        <f t="array" ref="C67">IFERROR(IF(OR($A67="", C$5=""), "", IF(SUM(IF(INDEX(_xlfn._xlws.FILTER(tblPiNAnalysis[[CCCM%]:[WASH%]], tblPiNAnalysis[Population Group]=C$5), 0, MATCH(_xlfn.CONCAT($Q$2, "%"), tblPiNAnalysis[[#Headers],[CCCM%]:[WASH%]], 0))=$A67, 1, 0))=0, "",SUM(IF(INDEX(_xlfn._xlws.FILTER(tblPiNAnalysis[[CCCM%]:[WASH%]], tblPiNAnalysis[Population Group]=C$5), 0, MATCH(_xlfn.CONCAT($Q$2, "%"), tblPiNAnalysis[[#Headers],[CCCM%]:[WASH%]], 0))=$A67, 1, 0)))), "")</f>
        <v/>
      </c>
      <c r="D67" s="92" t="str" cm="1">
        <f t="array" ref="D67">IFERROR(IF(OR($A67="", D$5=""), "", IF(SUM(IF(INDEX(_xlfn._xlws.FILTER(tblPiNAnalysis[[CCCM%]:[WASH%]], tblPiNAnalysis[Population Group]=D$5), 0, MATCH(_xlfn.CONCAT($Q$2, "%"), tblPiNAnalysis[[#Headers],[CCCM%]:[WASH%]], 0))=$A67, 1, 0))=0, "",SUM(IF(INDEX(_xlfn._xlws.FILTER(tblPiNAnalysis[[CCCM%]:[WASH%]], tblPiNAnalysis[Population Group]=D$5), 0, MATCH(_xlfn.CONCAT($Q$2, "%"), tblPiNAnalysis[[#Headers],[CCCM%]:[WASH%]], 0))=$A67, 1, 0)))), "")</f>
        <v/>
      </c>
      <c r="E67" s="92" t="str" cm="1">
        <f t="array" ref="E67">IFERROR(IF(OR($A67="", E$5=""), "", IF(SUM(IF(INDEX(_xlfn._xlws.FILTER(tblPiNAnalysis[[CCCM%]:[WASH%]], tblPiNAnalysis[Population Group]=E$5), 0, MATCH(_xlfn.CONCAT($Q$2, "%"), tblPiNAnalysis[[#Headers],[CCCM%]:[WASH%]], 0))=$A67, 1, 0))=0, "",SUM(IF(INDEX(_xlfn._xlws.FILTER(tblPiNAnalysis[[CCCM%]:[WASH%]], tblPiNAnalysis[Population Group]=E$5), 0, MATCH(_xlfn.CONCAT($Q$2, "%"), tblPiNAnalysis[[#Headers],[CCCM%]:[WASH%]], 0))=$A67, 1, 0)))), "")</f>
        <v/>
      </c>
      <c r="F67" s="92" t="str" cm="1">
        <f t="array" ref="F67">IFERROR(IF(OR($A67="", F$5=""), "", IF(SUM(IF(INDEX(_xlfn._xlws.FILTER(tblPiNAnalysis[[CCCM%]:[WASH%]], tblPiNAnalysis[CCCM]=F$5), 0, MATCH(_xlfn.CONCAT($Q$2, "%"), tblPiNAnalysis[[#Headers],[CCCM%]:[WASH%]], 0))=$A67, 1, 0))=0, "",SUM(IF(INDEX(_xlfn._xlws.FILTER(tblPiNAnalysis[[CCCM%]:[WASH%]], tblPiNAnalysis[CCCM]=F$5), 0, MATCH(_xlfn.CONCAT($Q$2, "%"), tblPiNAnalysis[[#Headers],[CCCM%]:[WASH%]], 0))=$A67, 1, 0)))), "")</f>
        <v/>
      </c>
      <c r="H67" s="94"/>
      <c r="I67" s="92" t="str" cm="1">
        <f t="array" ref="I67">IF($H67="", "", IF($H67=2, SUM(IF(INDEX(_xlfn._xlws.FILTER(tblPiNHistorical[[CCCM]:[WASH]], tblPiNHistorical[Population Group]=I$5), 0, MATCH($Q$2, tblPiNHistorical[[#Headers],[CCCM]:[WASH]], 0))&gt;1.9, 1, 0)), IF(SUM(IF(INDEX(_xlfn._xlws.FILTER(tblPiNHistorical[[CCCM]:[WASH]], tblPiNHistorical[Population Group]=I$5), 0, MATCH($Q$2, tblPiNHistorical[[#Headers],[CCCM]:[WASH]], 0))=$H67, 1, 0))=0, "", SUM(IF(INDEX(_xlfn._xlws.FILTER(tblPiNHistorical[[CCCM]:[WASH]], tblPiNHistorical[Population Group]=I$5), 0, MATCH($Q$2, tblPiNHistorical[[#Headers],[CCCM]:[WASH]], 0))=$H67, 1, 0)))))</f>
        <v/>
      </c>
      <c r="J67" s="92" t="str" cm="1">
        <f t="array" ref="J67">IFERROR(IF(OR($H67="", J66=""), "", IF($H67=2, SUM(IF(INDEX(_xlfn._xlws.FILTER(tblPiNHistorical[[CCCM]:[WASH]], tblPiNHistorical[Population Group]=J$5), 0, MATCH($Q$2, tblPiNHistorical[[#Headers],[CCCM]:[WASH]], 0))&gt;1.9, 1, 0)), IF(SUM(IF(INDEX(_xlfn._xlws.FILTER(tblPiNHistorical[[CCCM]:[WASH]], tblPiNHistorical[Population Group]=J$5), 0, MATCH($Q$2, tblPiNHistorical[[#Headers],[CCCM]:[WASH]], 0))=$H67, 1, 0))=0, "", SUM(IF(INDEX(_xlfn._xlws.FILTER(tblPiNHistorical[[CCCM]:[WASH]], tblPiNHistorical[Population Group]=J$5), 0, MATCH($Q$2, tblPiNHistorical[[#Headers],[CCCM]:[WASH]], 0))=$H67, 1, 0))))), "")</f>
        <v/>
      </c>
      <c r="K67" s="92" t="str" cm="1">
        <f t="array" ref="K67">IFERROR(IF(OR($H67="", K66=""), "", IF($H67=2, SUM(IF(INDEX(_xlfn._xlws.FILTER(tblPiNHistorical[[CCCM]:[WASH]], tblPiNHistorical[CCCM - old]=K$5), 0, MATCH($Q$2, tblPiNHistorical[[#Headers],[CCCM]:[WASH]], 0))&gt;1.9, 1, 0)), IF(SUM(IF(INDEX(_xlfn._xlws.FILTER(tblPiNHistorical[[CCCM]:[WASH]], tblPiNHistorical[CCCM - old]=K$5), 0, MATCH($Q$2, tblPiNHistorical[[#Headers],[CCCM]:[WASH]], 0))=$H67, 1, 0))=0, "", SUM(IF(INDEX(_xlfn._xlws.FILTER(tblPiNHistorical[[CCCM]:[WASH]], tblPiNHistorical[CCCM - old]=K$5), 0, MATCH($Q$2, tblPiNHistorical[[#Headers],[CCCM]:[WASH]], 0))=$H67, 1, 0))))), "")</f>
        <v/>
      </c>
      <c r="L67" s="92" t="str" cm="1">
        <f t="array" ref="L67">IFERROR(IF(OR($H67="", L66=""), "", IF($H67=2, SUM(IF(INDEX(_xlfn._xlws.FILTER(tblPiNHistorical[[CCCM]:[WASH]],#REF!= L$5), 0, MATCH($Q$2, tblPiNHistorical[[#Headers],[CCCM]:[WASH]], 0))&gt;1.9, 1, 0)), IF(SUM(IF(INDEX(_xlfn._xlws.FILTER(tblPiNHistorical[[CCCM]:[WASH]],#REF!= L$5), 0, MATCH($Q$2, tblPiNHistorical[[#Headers],[CCCM]:[WASH]], 0))=$H67, 1, 0))=0, "", SUM(IF(INDEX(_xlfn._xlws.FILTER(tblPiNHistorical[[CCCM]:[WASH]],#REF!= L$5), 0, MATCH($Q$2, tblPiNHistorical[[#Headers],[CCCM]:[WASH]], 0))=$H67, 1, 0))))), "")</f>
        <v/>
      </c>
      <c r="M67" s="92" t="str" cm="1">
        <f t="array" ref="M67">IFERROR(IF(OR($H67="", M66=""), "", IF($H67=2, SUM(IF(INDEX(_xlfn._xlws.FILTER(tblPiNHistorical[[CCCM]:[WASH]],#REF!= M$5), 0, MATCH($Q$2, tblPiNHistorical[[#Headers],[CCCM]:[WASH]], 0))&gt;1.9, 1, 0)), IF(SUM(IF(INDEX(_xlfn._xlws.FILTER(tblPiNHistorical[[CCCM]:[WASH]],#REF!= M$5), 0, MATCH($Q$2, tblPiNHistorical[[#Headers],[CCCM]:[WASH]], 0))=$H67, 1, 0))=0, "", SUM(IF(INDEX(_xlfn._xlws.FILTER(tblPiNHistorical[[CCCM]:[WASH]],#REF!= M$5), 0, MATCH($Q$2, tblPiNHistorical[[#Headers],[CCCM]:[WASH]], 0))=$H67, 1, 0))))), "")</f>
        <v/>
      </c>
    </row>
    <row r="68" spans="1:13">
      <c r="A68" s="94"/>
      <c r="B68" s="92" t="str" cm="1">
        <f t="array" ref="B68">IF($A68="", "", IF(SUM(IF(INDEX(_xlfn._xlws.FILTER(tblPiNAnalysis[[CCCM%]:[WASH%]], tblPiNAnalysis[Population Group]=B$5), 0, MATCH(_xlfn.CONCAT($Q$2, "%"), tblPiNAnalysis[[#Headers],[CCCM%]:[WASH%]], 0))=$A68, 1, 0))=0, "",SUM(IF(INDEX(_xlfn._xlws.FILTER(tblPiNAnalysis[[CCCM%]:[WASH%]], tblPiNAnalysis[Population Group]=B$5), 0, MATCH(_xlfn.CONCAT($Q$2, "%"), tblPiNAnalysis[[#Headers],[CCCM%]:[WASH%]], 0))=$A68, 1, 0))))</f>
        <v/>
      </c>
      <c r="C68" s="92" t="str" cm="1">
        <f t="array" ref="C68">IFERROR(IF(OR($A68="", C$5=""), "", IF(SUM(IF(INDEX(_xlfn._xlws.FILTER(tblPiNAnalysis[[CCCM%]:[WASH%]], tblPiNAnalysis[Population Group]=C$5), 0, MATCH(_xlfn.CONCAT($Q$2, "%"), tblPiNAnalysis[[#Headers],[CCCM%]:[WASH%]], 0))=$A68, 1, 0))=0, "",SUM(IF(INDEX(_xlfn._xlws.FILTER(tblPiNAnalysis[[CCCM%]:[WASH%]], tblPiNAnalysis[Population Group]=C$5), 0, MATCH(_xlfn.CONCAT($Q$2, "%"), tblPiNAnalysis[[#Headers],[CCCM%]:[WASH%]], 0))=$A68, 1, 0)))), "")</f>
        <v/>
      </c>
      <c r="D68" s="92" t="str" cm="1">
        <f t="array" ref="D68">IFERROR(IF(OR($A68="", D$5=""), "", IF(SUM(IF(INDEX(_xlfn._xlws.FILTER(tblPiNAnalysis[[CCCM%]:[WASH%]], tblPiNAnalysis[Population Group]=D$5), 0, MATCH(_xlfn.CONCAT($Q$2, "%"), tblPiNAnalysis[[#Headers],[CCCM%]:[WASH%]], 0))=$A68, 1, 0))=0, "",SUM(IF(INDEX(_xlfn._xlws.FILTER(tblPiNAnalysis[[CCCM%]:[WASH%]], tblPiNAnalysis[Population Group]=D$5), 0, MATCH(_xlfn.CONCAT($Q$2, "%"), tblPiNAnalysis[[#Headers],[CCCM%]:[WASH%]], 0))=$A68, 1, 0)))), "")</f>
        <v/>
      </c>
      <c r="E68" s="92" t="str" cm="1">
        <f t="array" ref="E68">IFERROR(IF(OR($A68="", E$5=""), "", IF(SUM(IF(INDEX(_xlfn._xlws.FILTER(tblPiNAnalysis[[CCCM%]:[WASH%]], tblPiNAnalysis[Population Group]=E$5), 0, MATCH(_xlfn.CONCAT($Q$2, "%"), tblPiNAnalysis[[#Headers],[CCCM%]:[WASH%]], 0))=$A68, 1, 0))=0, "",SUM(IF(INDEX(_xlfn._xlws.FILTER(tblPiNAnalysis[[CCCM%]:[WASH%]], tblPiNAnalysis[Population Group]=E$5), 0, MATCH(_xlfn.CONCAT($Q$2, "%"), tblPiNAnalysis[[#Headers],[CCCM%]:[WASH%]], 0))=$A68, 1, 0)))), "")</f>
        <v/>
      </c>
      <c r="F68" s="92" t="str" cm="1">
        <f t="array" ref="F68">IFERROR(IF(OR($A68="", F$5=""), "", IF(SUM(IF(INDEX(_xlfn._xlws.FILTER(tblPiNAnalysis[[CCCM%]:[WASH%]], tblPiNAnalysis[CCCM]=F$5), 0, MATCH(_xlfn.CONCAT($Q$2, "%"), tblPiNAnalysis[[#Headers],[CCCM%]:[WASH%]], 0))=$A68, 1, 0))=0, "",SUM(IF(INDEX(_xlfn._xlws.FILTER(tblPiNAnalysis[[CCCM%]:[WASH%]], tblPiNAnalysis[CCCM]=F$5), 0, MATCH(_xlfn.CONCAT($Q$2, "%"), tblPiNAnalysis[[#Headers],[CCCM%]:[WASH%]], 0))=$A68, 1, 0)))), "")</f>
        <v/>
      </c>
      <c r="H68" s="94"/>
      <c r="I68" s="92" t="str" cm="1">
        <f t="array" ref="I68">IF($H68="", "", IF($H68=2, SUM(IF(INDEX(_xlfn._xlws.FILTER(tblPiNHistorical[[CCCM]:[WASH]], tblPiNHistorical[Population Group]=I$5), 0, MATCH($Q$2, tblPiNHistorical[[#Headers],[CCCM]:[WASH]], 0))&gt;1.9, 1, 0)), IF(SUM(IF(INDEX(_xlfn._xlws.FILTER(tblPiNHistorical[[CCCM]:[WASH]], tblPiNHistorical[Population Group]=I$5), 0, MATCH($Q$2, tblPiNHistorical[[#Headers],[CCCM]:[WASH]], 0))=$H68, 1, 0))=0, "", SUM(IF(INDEX(_xlfn._xlws.FILTER(tblPiNHistorical[[CCCM]:[WASH]], tblPiNHistorical[Population Group]=I$5), 0, MATCH($Q$2, tblPiNHistorical[[#Headers],[CCCM]:[WASH]], 0))=$H68, 1, 0)))))</f>
        <v/>
      </c>
      <c r="J68" s="92" t="str" cm="1">
        <f t="array" ref="J68">IFERROR(IF(OR($H68="", J67=""), "", IF($H68=2, SUM(IF(INDEX(_xlfn._xlws.FILTER(tblPiNHistorical[[CCCM]:[WASH]], tblPiNHistorical[Population Group]=J$5), 0, MATCH($Q$2, tblPiNHistorical[[#Headers],[CCCM]:[WASH]], 0))&gt;1.9, 1, 0)), IF(SUM(IF(INDEX(_xlfn._xlws.FILTER(tblPiNHistorical[[CCCM]:[WASH]], tblPiNHistorical[Population Group]=J$5), 0, MATCH($Q$2, tblPiNHistorical[[#Headers],[CCCM]:[WASH]], 0))=$H68, 1, 0))=0, "", SUM(IF(INDEX(_xlfn._xlws.FILTER(tblPiNHistorical[[CCCM]:[WASH]], tblPiNHistorical[Population Group]=J$5), 0, MATCH($Q$2, tblPiNHistorical[[#Headers],[CCCM]:[WASH]], 0))=$H68, 1, 0))))), "")</f>
        <v/>
      </c>
      <c r="K68" s="92" t="str" cm="1">
        <f t="array" ref="K68">IFERROR(IF(OR($H68="", K67=""), "", IF($H68=2, SUM(IF(INDEX(_xlfn._xlws.FILTER(tblPiNHistorical[[CCCM]:[WASH]], tblPiNHistorical[CCCM - old]=K$5), 0, MATCH($Q$2, tblPiNHistorical[[#Headers],[CCCM]:[WASH]], 0))&gt;1.9, 1, 0)), IF(SUM(IF(INDEX(_xlfn._xlws.FILTER(tblPiNHistorical[[CCCM]:[WASH]], tblPiNHistorical[CCCM - old]=K$5), 0, MATCH($Q$2, tblPiNHistorical[[#Headers],[CCCM]:[WASH]], 0))=$H68, 1, 0))=0, "", SUM(IF(INDEX(_xlfn._xlws.FILTER(tblPiNHistorical[[CCCM]:[WASH]], tblPiNHistorical[CCCM - old]=K$5), 0, MATCH($Q$2, tblPiNHistorical[[#Headers],[CCCM]:[WASH]], 0))=$H68, 1, 0))))), "")</f>
        <v/>
      </c>
      <c r="L68" s="92" t="str" cm="1">
        <f t="array" ref="L68">IFERROR(IF(OR($H68="", L67=""), "", IF($H68=2, SUM(IF(INDEX(_xlfn._xlws.FILTER(tblPiNHistorical[[CCCM]:[WASH]],#REF!= L$5), 0, MATCH($Q$2, tblPiNHistorical[[#Headers],[CCCM]:[WASH]], 0))&gt;1.9, 1, 0)), IF(SUM(IF(INDEX(_xlfn._xlws.FILTER(tblPiNHistorical[[CCCM]:[WASH]],#REF!= L$5), 0, MATCH($Q$2, tblPiNHistorical[[#Headers],[CCCM]:[WASH]], 0))=$H68, 1, 0))=0, "", SUM(IF(INDEX(_xlfn._xlws.FILTER(tblPiNHistorical[[CCCM]:[WASH]],#REF!= L$5), 0, MATCH($Q$2, tblPiNHistorical[[#Headers],[CCCM]:[WASH]], 0))=$H68, 1, 0))))), "")</f>
        <v/>
      </c>
      <c r="M68" s="92" t="str" cm="1">
        <f t="array" ref="M68">IFERROR(IF(OR($H68="", M67=""), "", IF($H68=2, SUM(IF(INDEX(_xlfn._xlws.FILTER(tblPiNHistorical[[CCCM]:[WASH]],#REF!= M$5), 0, MATCH($Q$2, tblPiNHistorical[[#Headers],[CCCM]:[WASH]], 0))&gt;1.9, 1, 0)), IF(SUM(IF(INDEX(_xlfn._xlws.FILTER(tblPiNHistorical[[CCCM]:[WASH]],#REF!= M$5), 0, MATCH($Q$2, tblPiNHistorical[[#Headers],[CCCM]:[WASH]], 0))=$H68, 1, 0))=0, "", SUM(IF(INDEX(_xlfn._xlws.FILTER(tblPiNHistorical[[CCCM]:[WASH]],#REF!= M$5), 0, MATCH($Q$2, tblPiNHistorical[[#Headers],[CCCM]:[WASH]], 0))=$H68, 1, 0))))), "")</f>
        <v/>
      </c>
    </row>
    <row r="69" spans="1:13">
      <c r="A69" s="94"/>
      <c r="B69" s="92" t="str" cm="1">
        <f t="array" ref="B69">IF($A69="", "", IF(SUM(IF(INDEX(_xlfn._xlws.FILTER(tblPiNAnalysis[[CCCM%]:[WASH%]], tblPiNAnalysis[Population Group]=B$5), 0, MATCH(_xlfn.CONCAT($Q$2, "%"), tblPiNAnalysis[[#Headers],[CCCM%]:[WASH%]], 0))=$A69, 1, 0))=0, "",SUM(IF(INDEX(_xlfn._xlws.FILTER(tblPiNAnalysis[[CCCM%]:[WASH%]], tblPiNAnalysis[Population Group]=B$5), 0, MATCH(_xlfn.CONCAT($Q$2, "%"), tblPiNAnalysis[[#Headers],[CCCM%]:[WASH%]], 0))=$A69, 1, 0))))</f>
        <v/>
      </c>
      <c r="C69" s="92" t="str" cm="1">
        <f t="array" ref="C69">IFERROR(IF(OR($A69="", C$5=""), "", IF(SUM(IF(INDEX(_xlfn._xlws.FILTER(tblPiNAnalysis[[CCCM%]:[WASH%]], tblPiNAnalysis[Population Group]=C$5), 0, MATCH(_xlfn.CONCAT($Q$2, "%"), tblPiNAnalysis[[#Headers],[CCCM%]:[WASH%]], 0))=$A69, 1, 0))=0, "",SUM(IF(INDEX(_xlfn._xlws.FILTER(tblPiNAnalysis[[CCCM%]:[WASH%]], tblPiNAnalysis[Population Group]=C$5), 0, MATCH(_xlfn.CONCAT($Q$2, "%"), tblPiNAnalysis[[#Headers],[CCCM%]:[WASH%]], 0))=$A69, 1, 0)))), "")</f>
        <v/>
      </c>
      <c r="D69" s="92" t="str" cm="1">
        <f t="array" ref="D69">IFERROR(IF(OR($A69="", D$5=""), "", IF(SUM(IF(INDEX(_xlfn._xlws.FILTER(tblPiNAnalysis[[CCCM%]:[WASH%]], tblPiNAnalysis[Population Group]=D$5), 0, MATCH(_xlfn.CONCAT($Q$2, "%"), tblPiNAnalysis[[#Headers],[CCCM%]:[WASH%]], 0))=$A69, 1, 0))=0, "",SUM(IF(INDEX(_xlfn._xlws.FILTER(tblPiNAnalysis[[CCCM%]:[WASH%]], tblPiNAnalysis[Population Group]=D$5), 0, MATCH(_xlfn.CONCAT($Q$2, "%"), tblPiNAnalysis[[#Headers],[CCCM%]:[WASH%]], 0))=$A69, 1, 0)))), "")</f>
        <v/>
      </c>
      <c r="E69" s="92" t="str" cm="1">
        <f t="array" ref="E69">IFERROR(IF(OR($A69="", E$5=""), "", IF(SUM(IF(INDEX(_xlfn._xlws.FILTER(tblPiNAnalysis[[CCCM%]:[WASH%]], tblPiNAnalysis[Population Group]=E$5), 0, MATCH(_xlfn.CONCAT($Q$2, "%"), tblPiNAnalysis[[#Headers],[CCCM%]:[WASH%]], 0))=$A69, 1, 0))=0, "",SUM(IF(INDEX(_xlfn._xlws.FILTER(tblPiNAnalysis[[CCCM%]:[WASH%]], tblPiNAnalysis[Population Group]=E$5), 0, MATCH(_xlfn.CONCAT($Q$2, "%"), tblPiNAnalysis[[#Headers],[CCCM%]:[WASH%]], 0))=$A69, 1, 0)))), "")</f>
        <v/>
      </c>
      <c r="F69" s="92" t="str" cm="1">
        <f t="array" ref="F69">IFERROR(IF(OR($A69="", F$5=""), "", IF(SUM(IF(INDEX(_xlfn._xlws.FILTER(tblPiNAnalysis[[CCCM%]:[WASH%]], tblPiNAnalysis[CCCM]=F$5), 0, MATCH(_xlfn.CONCAT($Q$2, "%"), tblPiNAnalysis[[#Headers],[CCCM%]:[WASH%]], 0))=$A69, 1, 0))=0, "",SUM(IF(INDEX(_xlfn._xlws.FILTER(tblPiNAnalysis[[CCCM%]:[WASH%]], tblPiNAnalysis[CCCM]=F$5), 0, MATCH(_xlfn.CONCAT($Q$2, "%"), tblPiNAnalysis[[#Headers],[CCCM%]:[WASH%]], 0))=$A69, 1, 0)))), "")</f>
        <v/>
      </c>
      <c r="H69" s="94"/>
      <c r="I69" s="92" t="str" cm="1">
        <f t="array" ref="I69">IF($H69="", "", IF($H69=2, SUM(IF(INDEX(_xlfn._xlws.FILTER(tblPiNHistorical[[CCCM]:[WASH]], tblPiNHistorical[Population Group]=I$5), 0, MATCH($Q$2, tblPiNHistorical[[#Headers],[CCCM]:[WASH]], 0))&gt;1.9, 1, 0)), IF(SUM(IF(INDEX(_xlfn._xlws.FILTER(tblPiNHistorical[[CCCM]:[WASH]], tblPiNHistorical[Population Group]=I$5), 0, MATCH($Q$2, tblPiNHistorical[[#Headers],[CCCM]:[WASH]], 0))=$H69, 1, 0))=0, "", SUM(IF(INDEX(_xlfn._xlws.FILTER(tblPiNHistorical[[CCCM]:[WASH]], tblPiNHistorical[Population Group]=I$5), 0, MATCH($Q$2, tblPiNHistorical[[#Headers],[CCCM]:[WASH]], 0))=$H69, 1, 0)))))</f>
        <v/>
      </c>
      <c r="J69" s="92" t="str" cm="1">
        <f t="array" ref="J69">IFERROR(IF(OR($H69="", J68=""), "", IF($H69=2, SUM(IF(INDEX(_xlfn._xlws.FILTER(tblPiNHistorical[[CCCM]:[WASH]], tblPiNHistorical[Population Group]=J$5), 0, MATCH($Q$2, tblPiNHistorical[[#Headers],[CCCM]:[WASH]], 0))&gt;1.9, 1, 0)), IF(SUM(IF(INDEX(_xlfn._xlws.FILTER(tblPiNHistorical[[CCCM]:[WASH]], tblPiNHistorical[Population Group]=J$5), 0, MATCH($Q$2, tblPiNHistorical[[#Headers],[CCCM]:[WASH]], 0))=$H69, 1, 0))=0, "", SUM(IF(INDEX(_xlfn._xlws.FILTER(tblPiNHistorical[[CCCM]:[WASH]], tblPiNHistorical[Population Group]=J$5), 0, MATCH($Q$2, tblPiNHistorical[[#Headers],[CCCM]:[WASH]], 0))=$H69, 1, 0))))), "")</f>
        <v/>
      </c>
      <c r="K69" s="92" t="str" cm="1">
        <f t="array" ref="K69">IFERROR(IF(OR($H69="", K68=""), "", IF($H69=2, SUM(IF(INDEX(_xlfn._xlws.FILTER(tblPiNHistorical[[CCCM]:[WASH]], tblPiNHistorical[CCCM - old]=K$5), 0, MATCH($Q$2, tblPiNHistorical[[#Headers],[CCCM]:[WASH]], 0))&gt;1.9, 1, 0)), IF(SUM(IF(INDEX(_xlfn._xlws.FILTER(tblPiNHistorical[[CCCM]:[WASH]], tblPiNHistorical[CCCM - old]=K$5), 0, MATCH($Q$2, tblPiNHistorical[[#Headers],[CCCM]:[WASH]], 0))=$H69, 1, 0))=0, "", SUM(IF(INDEX(_xlfn._xlws.FILTER(tblPiNHistorical[[CCCM]:[WASH]], tblPiNHistorical[CCCM - old]=K$5), 0, MATCH($Q$2, tblPiNHistorical[[#Headers],[CCCM]:[WASH]], 0))=$H69, 1, 0))))), "")</f>
        <v/>
      </c>
      <c r="L69" s="92" t="str" cm="1">
        <f t="array" ref="L69">IFERROR(IF(OR($H69="", L68=""), "", IF($H69=2, SUM(IF(INDEX(_xlfn._xlws.FILTER(tblPiNHistorical[[CCCM]:[WASH]],#REF!= L$5), 0, MATCH($Q$2, tblPiNHistorical[[#Headers],[CCCM]:[WASH]], 0))&gt;1.9, 1, 0)), IF(SUM(IF(INDEX(_xlfn._xlws.FILTER(tblPiNHistorical[[CCCM]:[WASH]],#REF!= L$5), 0, MATCH($Q$2, tblPiNHistorical[[#Headers],[CCCM]:[WASH]], 0))=$H69, 1, 0))=0, "", SUM(IF(INDEX(_xlfn._xlws.FILTER(tblPiNHistorical[[CCCM]:[WASH]],#REF!= L$5), 0, MATCH($Q$2, tblPiNHistorical[[#Headers],[CCCM]:[WASH]], 0))=$H69, 1, 0))))), "")</f>
        <v/>
      </c>
      <c r="M69" s="92" t="str" cm="1">
        <f t="array" ref="M69">IFERROR(IF(OR($H69="", M68=""), "", IF($H69=2, SUM(IF(INDEX(_xlfn._xlws.FILTER(tblPiNHistorical[[CCCM]:[WASH]],#REF!= M$5), 0, MATCH($Q$2, tblPiNHistorical[[#Headers],[CCCM]:[WASH]], 0))&gt;1.9, 1, 0)), IF(SUM(IF(INDEX(_xlfn._xlws.FILTER(tblPiNHistorical[[CCCM]:[WASH]],#REF!= M$5), 0, MATCH($Q$2, tblPiNHistorical[[#Headers],[CCCM]:[WASH]], 0))=$H69, 1, 0))=0, "", SUM(IF(INDEX(_xlfn._xlws.FILTER(tblPiNHistorical[[CCCM]:[WASH]],#REF!= M$5), 0, MATCH($Q$2, tblPiNHistorical[[#Headers],[CCCM]:[WASH]], 0))=$H69, 1, 0))))), "")</f>
        <v/>
      </c>
    </row>
    <row r="70" spans="1:13">
      <c r="A70" s="94"/>
      <c r="B70" s="92" t="str" cm="1">
        <f t="array" ref="B70">IF($A70="", "", IF(SUM(IF(INDEX(_xlfn._xlws.FILTER(tblPiNAnalysis[[CCCM%]:[WASH%]], tblPiNAnalysis[Population Group]=B$5), 0, MATCH(_xlfn.CONCAT($Q$2, "%"), tblPiNAnalysis[[#Headers],[CCCM%]:[WASH%]], 0))=$A70, 1, 0))=0, "",SUM(IF(INDEX(_xlfn._xlws.FILTER(tblPiNAnalysis[[CCCM%]:[WASH%]], tblPiNAnalysis[Population Group]=B$5), 0, MATCH(_xlfn.CONCAT($Q$2, "%"), tblPiNAnalysis[[#Headers],[CCCM%]:[WASH%]], 0))=$A70, 1, 0))))</f>
        <v/>
      </c>
      <c r="C70" s="92" t="str" cm="1">
        <f t="array" ref="C70">IFERROR(IF(OR($A70="", C$5=""), "", IF(SUM(IF(INDEX(_xlfn._xlws.FILTER(tblPiNAnalysis[[CCCM%]:[WASH%]], tblPiNAnalysis[Population Group]=C$5), 0, MATCH(_xlfn.CONCAT($Q$2, "%"), tblPiNAnalysis[[#Headers],[CCCM%]:[WASH%]], 0))=$A70, 1, 0))=0, "",SUM(IF(INDEX(_xlfn._xlws.FILTER(tblPiNAnalysis[[CCCM%]:[WASH%]], tblPiNAnalysis[Population Group]=C$5), 0, MATCH(_xlfn.CONCAT($Q$2, "%"), tblPiNAnalysis[[#Headers],[CCCM%]:[WASH%]], 0))=$A70, 1, 0)))), "")</f>
        <v/>
      </c>
      <c r="D70" s="92" t="str" cm="1">
        <f t="array" ref="D70">IFERROR(IF(OR($A70="", D$5=""), "", IF(SUM(IF(INDEX(_xlfn._xlws.FILTER(tblPiNAnalysis[[CCCM%]:[WASH%]], tblPiNAnalysis[Population Group]=D$5), 0, MATCH(_xlfn.CONCAT($Q$2, "%"), tblPiNAnalysis[[#Headers],[CCCM%]:[WASH%]], 0))=$A70, 1, 0))=0, "",SUM(IF(INDEX(_xlfn._xlws.FILTER(tblPiNAnalysis[[CCCM%]:[WASH%]], tblPiNAnalysis[Population Group]=D$5), 0, MATCH(_xlfn.CONCAT($Q$2, "%"), tblPiNAnalysis[[#Headers],[CCCM%]:[WASH%]], 0))=$A70, 1, 0)))), "")</f>
        <v/>
      </c>
      <c r="E70" s="92" t="str" cm="1">
        <f t="array" ref="E70">IFERROR(IF(OR($A70="", E$5=""), "", IF(SUM(IF(INDEX(_xlfn._xlws.FILTER(tblPiNAnalysis[[CCCM%]:[WASH%]], tblPiNAnalysis[Population Group]=E$5), 0, MATCH(_xlfn.CONCAT($Q$2, "%"), tblPiNAnalysis[[#Headers],[CCCM%]:[WASH%]], 0))=$A70, 1, 0))=0, "",SUM(IF(INDEX(_xlfn._xlws.FILTER(tblPiNAnalysis[[CCCM%]:[WASH%]], tblPiNAnalysis[Population Group]=E$5), 0, MATCH(_xlfn.CONCAT($Q$2, "%"), tblPiNAnalysis[[#Headers],[CCCM%]:[WASH%]], 0))=$A70, 1, 0)))), "")</f>
        <v/>
      </c>
      <c r="F70" s="92" t="str" cm="1">
        <f t="array" ref="F70">IFERROR(IF(OR($A70="", F$5=""), "", IF(SUM(IF(INDEX(_xlfn._xlws.FILTER(tblPiNAnalysis[[CCCM%]:[WASH%]], tblPiNAnalysis[CCCM]=F$5), 0, MATCH(_xlfn.CONCAT($Q$2, "%"), tblPiNAnalysis[[#Headers],[CCCM%]:[WASH%]], 0))=$A70, 1, 0))=0, "",SUM(IF(INDEX(_xlfn._xlws.FILTER(tblPiNAnalysis[[CCCM%]:[WASH%]], tblPiNAnalysis[CCCM]=F$5), 0, MATCH(_xlfn.CONCAT($Q$2, "%"), tblPiNAnalysis[[#Headers],[CCCM%]:[WASH%]], 0))=$A70, 1, 0)))), "")</f>
        <v/>
      </c>
      <c r="H70" s="94"/>
      <c r="I70" s="92" t="str" cm="1">
        <f t="array" ref="I70">IF($H70="", "", IF($H70=2, SUM(IF(INDEX(_xlfn._xlws.FILTER(tblPiNHistorical[[CCCM]:[WASH]], tblPiNHistorical[Population Group]=I$5), 0, MATCH($Q$2, tblPiNHistorical[[#Headers],[CCCM]:[WASH]], 0))&gt;1.9, 1, 0)), IF(SUM(IF(INDEX(_xlfn._xlws.FILTER(tblPiNHistorical[[CCCM]:[WASH]], tblPiNHistorical[Population Group]=I$5), 0, MATCH($Q$2, tblPiNHistorical[[#Headers],[CCCM]:[WASH]], 0))=$H70, 1, 0))=0, "", SUM(IF(INDEX(_xlfn._xlws.FILTER(tblPiNHistorical[[CCCM]:[WASH]], tblPiNHistorical[Population Group]=I$5), 0, MATCH($Q$2, tblPiNHistorical[[#Headers],[CCCM]:[WASH]], 0))=$H70, 1, 0)))))</f>
        <v/>
      </c>
      <c r="J70" s="92" t="str" cm="1">
        <f t="array" ref="J70">IFERROR(IF(OR($H70="", J69=""), "", IF($H70=2, SUM(IF(INDEX(_xlfn._xlws.FILTER(tblPiNHistorical[[CCCM]:[WASH]], tblPiNHistorical[Population Group]=J$5), 0, MATCH($Q$2, tblPiNHistorical[[#Headers],[CCCM]:[WASH]], 0))&gt;1.9, 1, 0)), IF(SUM(IF(INDEX(_xlfn._xlws.FILTER(tblPiNHistorical[[CCCM]:[WASH]], tblPiNHistorical[Population Group]=J$5), 0, MATCH($Q$2, tblPiNHistorical[[#Headers],[CCCM]:[WASH]], 0))=$H70, 1, 0))=0, "", SUM(IF(INDEX(_xlfn._xlws.FILTER(tblPiNHistorical[[CCCM]:[WASH]], tblPiNHistorical[Population Group]=J$5), 0, MATCH($Q$2, tblPiNHistorical[[#Headers],[CCCM]:[WASH]], 0))=$H70, 1, 0))))), "")</f>
        <v/>
      </c>
      <c r="K70" s="92" t="str" cm="1">
        <f t="array" ref="K70">IFERROR(IF(OR($H70="", K69=""), "", IF($H70=2, SUM(IF(INDEX(_xlfn._xlws.FILTER(tblPiNHistorical[[CCCM]:[WASH]], tblPiNHistorical[CCCM - old]=K$5), 0, MATCH($Q$2, tblPiNHistorical[[#Headers],[CCCM]:[WASH]], 0))&gt;1.9, 1, 0)), IF(SUM(IF(INDEX(_xlfn._xlws.FILTER(tblPiNHistorical[[CCCM]:[WASH]], tblPiNHistorical[CCCM - old]=K$5), 0, MATCH($Q$2, tblPiNHistorical[[#Headers],[CCCM]:[WASH]], 0))=$H70, 1, 0))=0, "", SUM(IF(INDEX(_xlfn._xlws.FILTER(tblPiNHistorical[[CCCM]:[WASH]], tblPiNHistorical[CCCM - old]=K$5), 0, MATCH($Q$2, tblPiNHistorical[[#Headers],[CCCM]:[WASH]], 0))=$H70, 1, 0))))), "")</f>
        <v/>
      </c>
      <c r="L70" s="92" t="str" cm="1">
        <f t="array" ref="L70">IFERROR(IF(OR($H70="", L69=""), "", IF($H70=2, SUM(IF(INDEX(_xlfn._xlws.FILTER(tblPiNHistorical[[CCCM]:[WASH]],#REF!= L$5), 0, MATCH($Q$2, tblPiNHistorical[[#Headers],[CCCM]:[WASH]], 0))&gt;1.9, 1, 0)), IF(SUM(IF(INDEX(_xlfn._xlws.FILTER(tblPiNHistorical[[CCCM]:[WASH]],#REF!= L$5), 0, MATCH($Q$2, tblPiNHistorical[[#Headers],[CCCM]:[WASH]], 0))=$H70, 1, 0))=0, "", SUM(IF(INDEX(_xlfn._xlws.FILTER(tblPiNHistorical[[CCCM]:[WASH]],#REF!= L$5), 0, MATCH($Q$2, tblPiNHistorical[[#Headers],[CCCM]:[WASH]], 0))=$H70, 1, 0))))), "")</f>
        <v/>
      </c>
      <c r="M70" s="92" t="str" cm="1">
        <f t="array" ref="M70">IFERROR(IF(OR($H70="", M69=""), "", IF($H70=2, SUM(IF(INDEX(_xlfn._xlws.FILTER(tblPiNHistorical[[CCCM]:[WASH]],#REF!= M$5), 0, MATCH($Q$2, tblPiNHistorical[[#Headers],[CCCM]:[WASH]], 0))&gt;1.9, 1, 0)), IF(SUM(IF(INDEX(_xlfn._xlws.FILTER(tblPiNHistorical[[CCCM]:[WASH]],#REF!= M$5), 0, MATCH($Q$2, tblPiNHistorical[[#Headers],[CCCM]:[WASH]], 0))=$H70, 1, 0))=0, "", SUM(IF(INDEX(_xlfn._xlws.FILTER(tblPiNHistorical[[CCCM]:[WASH]],#REF!= M$5), 0, MATCH($Q$2, tblPiNHistorical[[#Headers],[CCCM]:[WASH]], 0))=$H70, 1, 0))))), "")</f>
        <v/>
      </c>
    </row>
    <row r="71" spans="1:13">
      <c r="A71" s="94"/>
      <c r="B71" s="92" t="str" cm="1">
        <f t="array" ref="B71">IF($A71="", "", IF(SUM(IF(INDEX(_xlfn._xlws.FILTER(tblPiNAnalysis[[CCCM%]:[WASH%]], tblPiNAnalysis[Population Group]=B$5), 0, MATCH(_xlfn.CONCAT($Q$2, "%"), tblPiNAnalysis[[#Headers],[CCCM%]:[WASH%]], 0))=$A71, 1, 0))=0, "",SUM(IF(INDEX(_xlfn._xlws.FILTER(tblPiNAnalysis[[CCCM%]:[WASH%]], tblPiNAnalysis[Population Group]=B$5), 0, MATCH(_xlfn.CONCAT($Q$2, "%"), tblPiNAnalysis[[#Headers],[CCCM%]:[WASH%]], 0))=$A71, 1, 0))))</f>
        <v/>
      </c>
      <c r="C71" s="92" t="str" cm="1">
        <f t="array" ref="C71">IFERROR(IF(OR($A71="", C$5=""), "", IF(SUM(IF(INDEX(_xlfn._xlws.FILTER(tblPiNAnalysis[[CCCM%]:[WASH%]], tblPiNAnalysis[Population Group]=C$5), 0, MATCH(_xlfn.CONCAT($Q$2, "%"), tblPiNAnalysis[[#Headers],[CCCM%]:[WASH%]], 0))=$A71, 1, 0))=0, "",SUM(IF(INDEX(_xlfn._xlws.FILTER(tblPiNAnalysis[[CCCM%]:[WASH%]], tblPiNAnalysis[Population Group]=C$5), 0, MATCH(_xlfn.CONCAT($Q$2, "%"), tblPiNAnalysis[[#Headers],[CCCM%]:[WASH%]], 0))=$A71, 1, 0)))), "")</f>
        <v/>
      </c>
      <c r="D71" s="92" t="str" cm="1">
        <f t="array" ref="D71">IFERROR(IF(OR($A71="", D$5=""), "", IF(SUM(IF(INDEX(_xlfn._xlws.FILTER(tblPiNAnalysis[[CCCM%]:[WASH%]], tblPiNAnalysis[Population Group]=D$5), 0, MATCH(_xlfn.CONCAT($Q$2, "%"), tblPiNAnalysis[[#Headers],[CCCM%]:[WASH%]], 0))=$A71, 1, 0))=0, "",SUM(IF(INDEX(_xlfn._xlws.FILTER(tblPiNAnalysis[[CCCM%]:[WASH%]], tblPiNAnalysis[Population Group]=D$5), 0, MATCH(_xlfn.CONCAT($Q$2, "%"), tblPiNAnalysis[[#Headers],[CCCM%]:[WASH%]], 0))=$A71, 1, 0)))), "")</f>
        <v/>
      </c>
      <c r="E71" s="92" t="str" cm="1">
        <f t="array" ref="E71">IFERROR(IF(OR($A71="", E$5=""), "", IF(SUM(IF(INDEX(_xlfn._xlws.FILTER(tblPiNAnalysis[[CCCM%]:[WASH%]], tblPiNAnalysis[Population Group]=E$5), 0, MATCH(_xlfn.CONCAT($Q$2, "%"), tblPiNAnalysis[[#Headers],[CCCM%]:[WASH%]], 0))=$A71, 1, 0))=0, "",SUM(IF(INDEX(_xlfn._xlws.FILTER(tblPiNAnalysis[[CCCM%]:[WASH%]], tblPiNAnalysis[Population Group]=E$5), 0, MATCH(_xlfn.CONCAT($Q$2, "%"), tblPiNAnalysis[[#Headers],[CCCM%]:[WASH%]], 0))=$A71, 1, 0)))), "")</f>
        <v/>
      </c>
      <c r="F71" s="92" t="str" cm="1">
        <f t="array" ref="F71">IFERROR(IF(OR($A71="", F$5=""), "", IF(SUM(IF(INDEX(_xlfn._xlws.FILTER(tblPiNAnalysis[[CCCM%]:[WASH%]], tblPiNAnalysis[CCCM]=F$5), 0, MATCH(_xlfn.CONCAT($Q$2, "%"), tblPiNAnalysis[[#Headers],[CCCM%]:[WASH%]], 0))=$A71, 1, 0))=0, "",SUM(IF(INDEX(_xlfn._xlws.FILTER(tblPiNAnalysis[[CCCM%]:[WASH%]], tblPiNAnalysis[CCCM]=F$5), 0, MATCH(_xlfn.CONCAT($Q$2, "%"), tblPiNAnalysis[[#Headers],[CCCM%]:[WASH%]], 0))=$A71, 1, 0)))), "")</f>
        <v/>
      </c>
      <c r="H71" s="94"/>
      <c r="I71" s="92" t="str" cm="1">
        <f t="array" ref="I71">IF($H71="", "", IF($H71=2, SUM(IF(INDEX(_xlfn._xlws.FILTER(tblPiNHistorical[[CCCM]:[WASH]], tblPiNHistorical[Population Group]=I$5), 0, MATCH($Q$2, tblPiNHistorical[[#Headers],[CCCM]:[WASH]], 0))&gt;1.9, 1, 0)), IF(SUM(IF(INDEX(_xlfn._xlws.FILTER(tblPiNHistorical[[CCCM]:[WASH]], tblPiNHistorical[Population Group]=I$5), 0, MATCH($Q$2, tblPiNHistorical[[#Headers],[CCCM]:[WASH]], 0))=$H71, 1, 0))=0, "", SUM(IF(INDEX(_xlfn._xlws.FILTER(tblPiNHistorical[[CCCM]:[WASH]], tblPiNHistorical[Population Group]=I$5), 0, MATCH($Q$2, tblPiNHistorical[[#Headers],[CCCM]:[WASH]], 0))=$H71, 1, 0)))))</f>
        <v/>
      </c>
      <c r="J71" s="92" t="str" cm="1">
        <f t="array" ref="J71">IFERROR(IF(OR($H71="", J70=""), "", IF($H71=2, SUM(IF(INDEX(_xlfn._xlws.FILTER(tblPiNHistorical[[CCCM]:[WASH]], tblPiNHistorical[Population Group]=J$5), 0, MATCH($Q$2, tblPiNHistorical[[#Headers],[CCCM]:[WASH]], 0))&gt;1.9, 1, 0)), IF(SUM(IF(INDEX(_xlfn._xlws.FILTER(tblPiNHistorical[[CCCM]:[WASH]], tblPiNHistorical[Population Group]=J$5), 0, MATCH($Q$2, tblPiNHistorical[[#Headers],[CCCM]:[WASH]], 0))=$H71, 1, 0))=0, "", SUM(IF(INDEX(_xlfn._xlws.FILTER(tblPiNHistorical[[CCCM]:[WASH]], tblPiNHistorical[Population Group]=J$5), 0, MATCH($Q$2, tblPiNHistorical[[#Headers],[CCCM]:[WASH]], 0))=$H71, 1, 0))))), "")</f>
        <v/>
      </c>
      <c r="K71" s="92" t="str" cm="1">
        <f t="array" ref="K71">IFERROR(IF(OR($H71="", K70=""), "", IF($H71=2, SUM(IF(INDEX(_xlfn._xlws.FILTER(tblPiNHistorical[[CCCM]:[WASH]], tblPiNHistorical[CCCM - old]=K$5), 0, MATCH($Q$2, tblPiNHistorical[[#Headers],[CCCM]:[WASH]], 0))&gt;1.9, 1, 0)), IF(SUM(IF(INDEX(_xlfn._xlws.FILTER(tblPiNHistorical[[CCCM]:[WASH]], tblPiNHistorical[CCCM - old]=K$5), 0, MATCH($Q$2, tblPiNHistorical[[#Headers],[CCCM]:[WASH]], 0))=$H71, 1, 0))=0, "", SUM(IF(INDEX(_xlfn._xlws.FILTER(tblPiNHistorical[[CCCM]:[WASH]], tblPiNHistorical[CCCM - old]=K$5), 0, MATCH($Q$2, tblPiNHistorical[[#Headers],[CCCM]:[WASH]], 0))=$H71, 1, 0))))), "")</f>
        <v/>
      </c>
      <c r="L71" s="92" t="str" cm="1">
        <f t="array" ref="L71">IFERROR(IF(OR($H71="", L70=""), "", IF($H71=2, SUM(IF(INDEX(_xlfn._xlws.FILTER(tblPiNHistorical[[CCCM]:[WASH]],#REF!= L$5), 0, MATCH($Q$2, tblPiNHistorical[[#Headers],[CCCM]:[WASH]], 0))&gt;1.9, 1, 0)), IF(SUM(IF(INDEX(_xlfn._xlws.FILTER(tblPiNHistorical[[CCCM]:[WASH]],#REF!= L$5), 0, MATCH($Q$2, tblPiNHistorical[[#Headers],[CCCM]:[WASH]], 0))=$H71, 1, 0))=0, "", SUM(IF(INDEX(_xlfn._xlws.FILTER(tblPiNHistorical[[CCCM]:[WASH]],#REF!= L$5), 0, MATCH($Q$2, tblPiNHistorical[[#Headers],[CCCM]:[WASH]], 0))=$H71, 1, 0))))), "")</f>
        <v/>
      </c>
      <c r="M71" s="92" t="str" cm="1">
        <f t="array" ref="M71">IFERROR(IF(OR($H71="", M70=""), "", IF($H71=2, SUM(IF(INDEX(_xlfn._xlws.FILTER(tblPiNHistorical[[CCCM]:[WASH]],#REF!= M$5), 0, MATCH($Q$2, tblPiNHistorical[[#Headers],[CCCM]:[WASH]], 0))&gt;1.9, 1, 0)), IF(SUM(IF(INDEX(_xlfn._xlws.FILTER(tblPiNHistorical[[CCCM]:[WASH]],#REF!= M$5), 0, MATCH($Q$2, tblPiNHistorical[[#Headers],[CCCM]:[WASH]], 0))=$H71, 1, 0))=0, "", SUM(IF(INDEX(_xlfn._xlws.FILTER(tblPiNHistorical[[CCCM]:[WASH]],#REF!= M$5), 0, MATCH($Q$2, tblPiNHistorical[[#Headers],[CCCM]:[WASH]], 0))=$H71, 1, 0))))), "")</f>
        <v/>
      </c>
    </row>
    <row r="72" spans="1:13">
      <c r="A72" s="94"/>
      <c r="B72" s="92" t="str" cm="1">
        <f t="array" ref="B72">IF($A72="", "", IF(SUM(IF(INDEX(_xlfn._xlws.FILTER(tblPiNAnalysis[[CCCM%]:[WASH%]], tblPiNAnalysis[Population Group]=B$5), 0, MATCH(_xlfn.CONCAT($Q$2, "%"), tblPiNAnalysis[[#Headers],[CCCM%]:[WASH%]], 0))=$A72, 1, 0))=0, "",SUM(IF(INDEX(_xlfn._xlws.FILTER(tblPiNAnalysis[[CCCM%]:[WASH%]], tblPiNAnalysis[Population Group]=B$5), 0, MATCH(_xlfn.CONCAT($Q$2, "%"), tblPiNAnalysis[[#Headers],[CCCM%]:[WASH%]], 0))=$A72, 1, 0))))</f>
        <v/>
      </c>
      <c r="C72" s="92" t="str" cm="1">
        <f t="array" ref="C72">IFERROR(IF(OR($A72="", C$5=""), "", IF(SUM(IF(INDEX(_xlfn._xlws.FILTER(tblPiNAnalysis[[CCCM%]:[WASH%]], tblPiNAnalysis[Population Group]=C$5), 0, MATCH(_xlfn.CONCAT($Q$2, "%"), tblPiNAnalysis[[#Headers],[CCCM%]:[WASH%]], 0))=$A72, 1, 0))=0, "",SUM(IF(INDEX(_xlfn._xlws.FILTER(tblPiNAnalysis[[CCCM%]:[WASH%]], tblPiNAnalysis[Population Group]=C$5), 0, MATCH(_xlfn.CONCAT($Q$2, "%"), tblPiNAnalysis[[#Headers],[CCCM%]:[WASH%]], 0))=$A72, 1, 0)))), "")</f>
        <v/>
      </c>
      <c r="D72" s="92" t="str" cm="1">
        <f t="array" ref="D72">IFERROR(IF(OR($A72="", D$5=""), "", IF(SUM(IF(INDEX(_xlfn._xlws.FILTER(tblPiNAnalysis[[CCCM%]:[WASH%]], tblPiNAnalysis[Population Group]=D$5), 0, MATCH(_xlfn.CONCAT($Q$2, "%"), tblPiNAnalysis[[#Headers],[CCCM%]:[WASH%]], 0))=$A72, 1, 0))=0, "",SUM(IF(INDEX(_xlfn._xlws.FILTER(tblPiNAnalysis[[CCCM%]:[WASH%]], tblPiNAnalysis[Population Group]=D$5), 0, MATCH(_xlfn.CONCAT($Q$2, "%"), tblPiNAnalysis[[#Headers],[CCCM%]:[WASH%]], 0))=$A72, 1, 0)))), "")</f>
        <v/>
      </c>
      <c r="E72" s="92" t="str" cm="1">
        <f t="array" ref="E72">IFERROR(IF(OR($A72="", E$5=""), "", IF(SUM(IF(INDEX(_xlfn._xlws.FILTER(tblPiNAnalysis[[CCCM%]:[WASH%]], tblPiNAnalysis[Population Group]=E$5), 0, MATCH(_xlfn.CONCAT($Q$2, "%"), tblPiNAnalysis[[#Headers],[CCCM%]:[WASH%]], 0))=$A72, 1, 0))=0, "",SUM(IF(INDEX(_xlfn._xlws.FILTER(tblPiNAnalysis[[CCCM%]:[WASH%]], tblPiNAnalysis[Population Group]=E$5), 0, MATCH(_xlfn.CONCAT($Q$2, "%"), tblPiNAnalysis[[#Headers],[CCCM%]:[WASH%]], 0))=$A72, 1, 0)))), "")</f>
        <v/>
      </c>
      <c r="F72" s="92" t="str" cm="1">
        <f t="array" ref="F72">IFERROR(IF(OR($A72="", F$5=""), "", IF(SUM(IF(INDEX(_xlfn._xlws.FILTER(tblPiNAnalysis[[CCCM%]:[WASH%]], tblPiNAnalysis[CCCM]=F$5), 0, MATCH(_xlfn.CONCAT($Q$2, "%"), tblPiNAnalysis[[#Headers],[CCCM%]:[WASH%]], 0))=$A72, 1, 0))=0, "",SUM(IF(INDEX(_xlfn._xlws.FILTER(tblPiNAnalysis[[CCCM%]:[WASH%]], tblPiNAnalysis[CCCM]=F$5), 0, MATCH(_xlfn.CONCAT($Q$2, "%"), tblPiNAnalysis[[#Headers],[CCCM%]:[WASH%]], 0))=$A72, 1, 0)))), "")</f>
        <v/>
      </c>
      <c r="H72" s="94"/>
      <c r="I72" s="92" t="str" cm="1">
        <f t="array" ref="I72">IF($H72="", "", IF($H72=2, SUM(IF(INDEX(_xlfn._xlws.FILTER(tblPiNHistorical[[CCCM]:[WASH]], tblPiNHistorical[Population Group]=I$5), 0, MATCH($Q$2, tblPiNHistorical[[#Headers],[CCCM]:[WASH]], 0))&gt;1.9, 1, 0)), IF(SUM(IF(INDEX(_xlfn._xlws.FILTER(tblPiNHistorical[[CCCM]:[WASH]], tblPiNHistorical[Population Group]=I$5), 0, MATCH($Q$2, tblPiNHistorical[[#Headers],[CCCM]:[WASH]], 0))=$H72, 1, 0))=0, "", SUM(IF(INDEX(_xlfn._xlws.FILTER(tblPiNHistorical[[CCCM]:[WASH]], tblPiNHistorical[Population Group]=I$5), 0, MATCH($Q$2, tblPiNHistorical[[#Headers],[CCCM]:[WASH]], 0))=$H72, 1, 0)))))</f>
        <v/>
      </c>
      <c r="J72" s="92" t="str" cm="1">
        <f t="array" ref="J72">IFERROR(IF(OR($H72="", J71=""), "", IF($H72=2, SUM(IF(INDEX(_xlfn._xlws.FILTER(tblPiNHistorical[[CCCM]:[WASH]], tblPiNHistorical[Population Group]=J$5), 0, MATCH($Q$2, tblPiNHistorical[[#Headers],[CCCM]:[WASH]], 0))&gt;1.9, 1, 0)), IF(SUM(IF(INDEX(_xlfn._xlws.FILTER(tblPiNHistorical[[CCCM]:[WASH]], tblPiNHistorical[Population Group]=J$5), 0, MATCH($Q$2, tblPiNHistorical[[#Headers],[CCCM]:[WASH]], 0))=$H72, 1, 0))=0, "", SUM(IF(INDEX(_xlfn._xlws.FILTER(tblPiNHistorical[[CCCM]:[WASH]], tblPiNHistorical[Population Group]=J$5), 0, MATCH($Q$2, tblPiNHistorical[[#Headers],[CCCM]:[WASH]], 0))=$H72, 1, 0))))), "")</f>
        <v/>
      </c>
      <c r="K72" s="92" t="str" cm="1">
        <f t="array" ref="K72">IFERROR(IF(OR($H72="", K71=""), "", IF($H72=2, SUM(IF(INDEX(_xlfn._xlws.FILTER(tblPiNHistorical[[CCCM]:[WASH]], tblPiNHistorical[CCCM - old]=K$5), 0, MATCH($Q$2, tblPiNHistorical[[#Headers],[CCCM]:[WASH]], 0))&gt;1.9, 1, 0)), IF(SUM(IF(INDEX(_xlfn._xlws.FILTER(tblPiNHistorical[[CCCM]:[WASH]], tblPiNHistorical[CCCM - old]=K$5), 0, MATCH($Q$2, tblPiNHistorical[[#Headers],[CCCM]:[WASH]], 0))=$H72, 1, 0))=0, "", SUM(IF(INDEX(_xlfn._xlws.FILTER(tblPiNHistorical[[CCCM]:[WASH]], tblPiNHistorical[CCCM - old]=K$5), 0, MATCH($Q$2, tblPiNHistorical[[#Headers],[CCCM]:[WASH]], 0))=$H72, 1, 0))))), "")</f>
        <v/>
      </c>
      <c r="L72" s="92" t="str" cm="1">
        <f t="array" ref="L72">IFERROR(IF(OR($H72="", L71=""), "", IF($H72=2, SUM(IF(INDEX(_xlfn._xlws.FILTER(tblPiNHistorical[[CCCM]:[WASH]],#REF!= L$5), 0, MATCH($Q$2, tblPiNHistorical[[#Headers],[CCCM]:[WASH]], 0))&gt;1.9, 1, 0)), IF(SUM(IF(INDEX(_xlfn._xlws.FILTER(tblPiNHistorical[[CCCM]:[WASH]],#REF!= L$5), 0, MATCH($Q$2, tblPiNHistorical[[#Headers],[CCCM]:[WASH]], 0))=$H72, 1, 0))=0, "", SUM(IF(INDEX(_xlfn._xlws.FILTER(tblPiNHistorical[[CCCM]:[WASH]],#REF!= L$5), 0, MATCH($Q$2, tblPiNHistorical[[#Headers],[CCCM]:[WASH]], 0))=$H72, 1, 0))))), "")</f>
        <v/>
      </c>
      <c r="M72" s="92" t="str" cm="1">
        <f t="array" ref="M72">IFERROR(IF(OR($H72="", M71=""), "", IF($H72=2, SUM(IF(INDEX(_xlfn._xlws.FILTER(tblPiNHistorical[[CCCM]:[WASH]],#REF!= M$5), 0, MATCH($Q$2, tblPiNHistorical[[#Headers],[CCCM]:[WASH]], 0))&gt;1.9, 1, 0)), IF(SUM(IF(INDEX(_xlfn._xlws.FILTER(tblPiNHistorical[[CCCM]:[WASH]],#REF!= M$5), 0, MATCH($Q$2, tblPiNHistorical[[#Headers],[CCCM]:[WASH]], 0))=$H72, 1, 0))=0, "", SUM(IF(INDEX(_xlfn._xlws.FILTER(tblPiNHistorical[[CCCM]:[WASH]],#REF!= M$5), 0, MATCH($Q$2, tblPiNHistorical[[#Headers],[CCCM]:[WASH]], 0))=$H72, 1, 0))))), "")</f>
        <v/>
      </c>
    </row>
    <row r="73" spans="1:13">
      <c r="A73" s="94"/>
      <c r="B73" s="92" t="str" cm="1">
        <f t="array" ref="B73">IF($A73="", "", IF(SUM(IF(INDEX(_xlfn._xlws.FILTER(tblPiNAnalysis[[CCCM%]:[WASH%]], tblPiNAnalysis[Population Group]=B$5), 0, MATCH(_xlfn.CONCAT($Q$2, "%"), tblPiNAnalysis[[#Headers],[CCCM%]:[WASH%]], 0))=$A73, 1, 0))=0, "",SUM(IF(INDEX(_xlfn._xlws.FILTER(tblPiNAnalysis[[CCCM%]:[WASH%]], tblPiNAnalysis[Population Group]=B$5), 0, MATCH(_xlfn.CONCAT($Q$2, "%"), tblPiNAnalysis[[#Headers],[CCCM%]:[WASH%]], 0))=$A73, 1, 0))))</f>
        <v/>
      </c>
      <c r="C73" s="92" t="str" cm="1">
        <f t="array" ref="C73">IFERROR(IF(OR($A73="", C$5=""), "", IF(SUM(IF(INDEX(_xlfn._xlws.FILTER(tblPiNAnalysis[[CCCM%]:[WASH%]], tblPiNAnalysis[Population Group]=C$5), 0, MATCH(_xlfn.CONCAT($Q$2, "%"), tblPiNAnalysis[[#Headers],[CCCM%]:[WASH%]], 0))=$A73, 1, 0))=0, "",SUM(IF(INDEX(_xlfn._xlws.FILTER(tblPiNAnalysis[[CCCM%]:[WASH%]], tblPiNAnalysis[Population Group]=C$5), 0, MATCH(_xlfn.CONCAT($Q$2, "%"), tblPiNAnalysis[[#Headers],[CCCM%]:[WASH%]], 0))=$A73, 1, 0)))), "")</f>
        <v/>
      </c>
      <c r="D73" s="92" t="str" cm="1">
        <f t="array" ref="D73">IFERROR(IF(OR($A73="", D$5=""), "", IF(SUM(IF(INDEX(_xlfn._xlws.FILTER(tblPiNAnalysis[[CCCM%]:[WASH%]], tblPiNAnalysis[Population Group]=D$5), 0, MATCH(_xlfn.CONCAT($Q$2, "%"), tblPiNAnalysis[[#Headers],[CCCM%]:[WASH%]], 0))=$A73, 1, 0))=0, "",SUM(IF(INDEX(_xlfn._xlws.FILTER(tblPiNAnalysis[[CCCM%]:[WASH%]], tblPiNAnalysis[Population Group]=D$5), 0, MATCH(_xlfn.CONCAT($Q$2, "%"), tblPiNAnalysis[[#Headers],[CCCM%]:[WASH%]], 0))=$A73, 1, 0)))), "")</f>
        <v/>
      </c>
      <c r="E73" s="92" t="str" cm="1">
        <f t="array" ref="E73">IFERROR(IF(OR($A73="", E$5=""), "", IF(SUM(IF(INDEX(_xlfn._xlws.FILTER(tblPiNAnalysis[[CCCM%]:[WASH%]], tblPiNAnalysis[Population Group]=E$5), 0, MATCH(_xlfn.CONCAT($Q$2, "%"), tblPiNAnalysis[[#Headers],[CCCM%]:[WASH%]], 0))=$A73, 1, 0))=0, "",SUM(IF(INDEX(_xlfn._xlws.FILTER(tblPiNAnalysis[[CCCM%]:[WASH%]], tblPiNAnalysis[Population Group]=E$5), 0, MATCH(_xlfn.CONCAT($Q$2, "%"), tblPiNAnalysis[[#Headers],[CCCM%]:[WASH%]], 0))=$A73, 1, 0)))), "")</f>
        <v/>
      </c>
      <c r="F73" s="92" t="str" cm="1">
        <f t="array" ref="F73">IFERROR(IF(OR($A73="", F$5=""), "", IF(SUM(IF(INDEX(_xlfn._xlws.FILTER(tblPiNAnalysis[[CCCM%]:[WASH%]], tblPiNAnalysis[CCCM]=F$5), 0, MATCH(_xlfn.CONCAT($Q$2, "%"), tblPiNAnalysis[[#Headers],[CCCM%]:[WASH%]], 0))=$A73, 1, 0))=0, "",SUM(IF(INDEX(_xlfn._xlws.FILTER(tblPiNAnalysis[[CCCM%]:[WASH%]], tblPiNAnalysis[CCCM]=F$5), 0, MATCH(_xlfn.CONCAT($Q$2, "%"), tblPiNAnalysis[[#Headers],[CCCM%]:[WASH%]], 0))=$A73, 1, 0)))), "")</f>
        <v/>
      </c>
      <c r="H73" s="94"/>
      <c r="I73" s="92" t="str" cm="1">
        <f t="array" ref="I73">IF($H73="", "", IF($H73=2, SUM(IF(INDEX(_xlfn._xlws.FILTER(tblPiNHistorical[[CCCM]:[WASH]], tblPiNHistorical[Population Group]=I$5), 0, MATCH($Q$2, tblPiNHistorical[[#Headers],[CCCM]:[WASH]], 0))&gt;1.9, 1, 0)), IF(SUM(IF(INDEX(_xlfn._xlws.FILTER(tblPiNHistorical[[CCCM]:[WASH]], tblPiNHistorical[Population Group]=I$5), 0, MATCH($Q$2, tblPiNHistorical[[#Headers],[CCCM]:[WASH]], 0))=$H73, 1, 0))=0, "", SUM(IF(INDEX(_xlfn._xlws.FILTER(tblPiNHistorical[[CCCM]:[WASH]], tblPiNHistorical[Population Group]=I$5), 0, MATCH($Q$2, tblPiNHistorical[[#Headers],[CCCM]:[WASH]], 0))=$H73, 1, 0)))))</f>
        <v/>
      </c>
      <c r="J73" s="92" t="str" cm="1">
        <f t="array" ref="J73">IFERROR(IF(OR($H73="", J72=""), "", IF($H73=2, SUM(IF(INDEX(_xlfn._xlws.FILTER(tblPiNHistorical[[CCCM]:[WASH]], tblPiNHistorical[Population Group]=J$5), 0, MATCH($Q$2, tblPiNHistorical[[#Headers],[CCCM]:[WASH]], 0))&gt;1.9, 1, 0)), IF(SUM(IF(INDEX(_xlfn._xlws.FILTER(tblPiNHistorical[[CCCM]:[WASH]], tblPiNHistorical[Population Group]=J$5), 0, MATCH($Q$2, tblPiNHistorical[[#Headers],[CCCM]:[WASH]], 0))=$H73, 1, 0))=0, "", SUM(IF(INDEX(_xlfn._xlws.FILTER(tblPiNHistorical[[CCCM]:[WASH]], tblPiNHistorical[Population Group]=J$5), 0, MATCH($Q$2, tblPiNHistorical[[#Headers],[CCCM]:[WASH]], 0))=$H73, 1, 0))))), "")</f>
        <v/>
      </c>
      <c r="K73" s="92" t="str" cm="1">
        <f t="array" ref="K73">IFERROR(IF(OR($H73="", K72=""), "", IF($H73=2, SUM(IF(INDEX(_xlfn._xlws.FILTER(tblPiNHistorical[[CCCM]:[WASH]], tblPiNHistorical[CCCM - old]=K$5), 0, MATCH($Q$2, tblPiNHistorical[[#Headers],[CCCM]:[WASH]], 0))&gt;1.9, 1, 0)), IF(SUM(IF(INDEX(_xlfn._xlws.FILTER(tblPiNHistorical[[CCCM]:[WASH]], tblPiNHistorical[CCCM - old]=K$5), 0, MATCH($Q$2, tblPiNHistorical[[#Headers],[CCCM]:[WASH]], 0))=$H73, 1, 0))=0, "", SUM(IF(INDEX(_xlfn._xlws.FILTER(tblPiNHistorical[[CCCM]:[WASH]], tblPiNHistorical[CCCM - old]=K$5), 0, MATCH($Q$2, tblPiNHistorical[[#Headers],[CCCM]:[WASH]], 0))=$H73, 1, 0))))), "")</f>
        <v/>
      </c>
      <c r="L73" s="92" t="str" cm="1">
        <f t="array" ref="L73">IFERROR(IF(OR($H73="", L72=""), "", IF($H73=2, SUM(IF(INDEX(_xlfn._xlws.FILTER(tblPiNHistorical[[CCCM]:[WASH]],#REF!= L$5), 0, MATCH($Q$2, tblPiNHistorical[[#Headers],[CCCM]:[WASH]], 0))&gt;1.9, 1, 0)), IF(SUM(IF(INDEX(_xlfn._xlws.FILTER(tblPiNHistorical[[CCCM]:[WASH]],#REF!= L$5), 0, MATCH($Q$2, tblPiNHistorical[[#Headers],[CCCM]:[WASH]], 0))=$H73, 1, 0))=0, "", SUM(IF(INDEX(_xlfn._xlws.FILTER(tblPiNHistorical[[CCCM]:[WASH]],#REF!= L$5), 0, MATCH($Q$2, tblPiNHistorical[[#Headers],[CCCM]:[WASH]], 0))=$H73, 1, 0))))), "")</f>
        <v/>
      </c>
      <c r="M73" s="92" t="str" cm="1">
        <f t="array" ref="M73">IFERROR(IF(OR($H73="", M72=""), "", IF($H73=2, SUM(IF(INDEX(_xlfn._xlws.FILTER(tblPiNHistorical[[CCCM]:[WASH]],#REF!= M$5), 0, MATCH($Q$2, tblPiNHistorical[[#Headers],[CCCM]:[WASH]], 0))&gt;1.9, 1, 0)), IF(SUM(IF(INDEX(_xlfn._xlws.FILTER(tblPiNHistorical[[CCCM]:[WASH]],#REF!= M$5), 0, MATCH($Q$2, tblPiNHistorical[[#Headers],[CCCM]:[WASH]], 0))=$H73, 1, 0))=0, "", SUM(IF(INDEX(_xlfn._xlws.FILTER(tblPiNHistorical[[CCCM]:[WASH]],#REF!= M$5), 0, MATCH($Q$2, tblPiNHistorical[[#Headers],[CCCM]:[WASH]], 0))=$H73, 1, 0))))), "")</f>
        <v/>
      </c>
    </row>
    <row r="74" spans="1:13">
      <c r="A74" s="94"/>
      <c r="B74" s="92" t="str" cm="1">
        <f t="array" ref="B74">IF($A74="", "", IF(SUM(IF(INDEX(_xlfn._xlws.FILTER(tblPiNAnalysis[[CCCM%]:[WASH%]], tblPiNAnalysis[Population Group]=B$5), 0, MATCH(_xlfn.CONCAT($Q$2, "%"), tblPiNAnalysis[[#Headers],[CCCM%]:[WASH%]], 0))=$A74, 1, 0))=0, "",SUM(IF(INDEX(_xlfn._xlws.FILTER(tblPiNAnalysis[[CCCM%]:[WASH%]], tblPiNAnalysis[Population Group]=B$5), 0, MATCH(_xlfn.CONCAT($Q$2, "%"), tblPiNAnalysis[[#Headers],[CCCM%]:[WASH%]], 0))=$A74, 1, 0))))</f>
        <v/>
      </c>
      <c r="C74" s="92" t="str" cm="1">
        <f t="array" ref="C74">IFERROR(IF(OR($A74="", C$5=""), "", IF(SUM(IF(INDEX(_xlfn._xlws.FILTER(tblPiNAnalysis[[CCCM%]:[WASH%]], tblPiNAnalysis[Population Group]=C$5), 0, MATCH(_xlfn.CONCAT($Q$2, "%"), tblPiNAnalysis[[#Headers],[CCCM%]:[WASH%]], 0))=$A74, 1, 0))=0, "",SUM(IF(INDEX(_xlfn._xlws.FILTER(tblPiNAnalysis[[CCCM%]:[WASH%]], tblPiNAnalysis[Population Group]=C$5), 0, MATCH(_xlfn.CONCAT($Q$2, "%"), tblPiNAnalysis[[#Headers],[CCCM%]:[WASH%]], 0))=$A74, 1, 0)))), "")</f>
        <v/>
      </c>
      <c r="D74" s="92" t="str" cm="1">
        <f t="array" ref="D74">IFERROR(IF(OR($A74="", D$5=""), "", IF(SUM(IF(INDEX(_xlfn._xlws.FILTER(tblPiNAnalysis[[CCCM%]:[WASH%]], tblPiNAnalysis[Population Group]=D$5), 0, MATCH(_xlfn.CONCAT($Q$2, "%"), tblPiNAnalysis[[#Headers],[CCCM%]:[WASH%]], 0))=$A74, 1, 0))=0, "",SUM(IF(INDEX(_xlfn._xlws.FILTER(tblPiNAnalysis[[CCCM%]:[WASH%]], tblPiNAnalysis[Population Group]=D$5), 0, MATCH(_xlfn.CONCAT($Q$2, "%"), tblPiNAnalysis[[#Headers],[CCCM%]:[WASH%]], 0))=$A74, 1, 0)))), "")</f>
        <v/>
      </c>
      <c r="E74" s="92" t="str" cm="1">
        <f t="array" ref="E74">IFERROR(IF(OR($A74="", E$5=""), "", IF(SUM(IF(INDEX(_xlfn._xlws.FILTER(tblPiNAnalysis[[CCCM%]:[WASH%]], tblPiNAnalysis[Population Group]=E$5), 0, MATCH(_xlfn.CONCAT($Q$2, "%"), tblPiNAnalysis[[#Headers],[CCCM%]:[WASH%]], 0))=$A74, 1, 0))=0, "",SUM(IF(INDEX(_xlfn._xlws.FILTER(tblPiNAnalysis[[CCCM%]:[WASH%]], tblPiNAnalysis[Population Group]=E$5), 0, MATCH(_xlfn.CONCAT($Q$2, "%"), tblPiNAnalysis[[#Headers],[CCCM%]:[WASH%]], 0))=$A74, 1, 0)))), "")</f>
        <v/>
      </c>
      <c r="F74" s="92" t="str" cm="1">
        <f t="array" ref="F74">IFERROR(IF(OR($A74="", F$5=""), "", IF(SUM(IF(INDEX(_xlfn._xlws.FILTER(tblPiNAnalysis[[CCCM%]:[WASH%]], tblPiNAnalysis[CCCM]=F$5), 0, MATCH(_xlfn.CONCAT($Q$2, "%"), tblPiNAnalysis[[#Headers],[CCCM%]:[WASH%]], 0))=$A74, 1, 0))=0, "",SUM(IF(INDEX(_xlfn._xlws.FILTER(tblPiNAnalysis[[CCCM%]:[WASH%]], tblPiNAnalysis[CCCM]=F$5), 0, MATCH(_xlfn.CONCAT($Q$2, "%"), tblPiNAnalysis[[#Headers],[CCCM%]:[WASH%]], 0))=$A74, 1, 0)))), "")</f>
        <v/>
      </c>
      <c r="H74" s="94"/>
      <c r="I74" s="92" t="str" cm="1">
        <f t="array" ref="I74">IF($H74="", "", IF($H74=2, SUM(IF(INDEX(_xlfn._xlws.FILTER(tblPiNHistorical[[CCCM]:[WASH]], tblPiNHistorical[Population Group]=I$5), 0, MATCH($Q$2, tblPiNHistorical[[#Headers],[CCCM]:[WASH]], 0))&gt;1.9, 1, 0)), IF(SUM(IF(INDEX(_xlfn._xlws.FILTER(tblPiNHistorical[[CCCM]:[WASH]], tblPiNHistorical[Population Group]=I$5), 0, MATCH($Q$2, tblPiNHistorical[[#Headers],[CCCM]:[WASH]], 0))=$H74, 1, 0))=0, "", SUM(IF(INDEX(_xlfn._xlws.FILTER(tblPiNHistorical[[CCCM]:[WASH]], tblPiNHistorical[Population Group]=I$5), 0, MATCH($Q$2, tblPiNHistorical[[#Headers],[CCCM]:[WASH]], 0))=$H74, 1, 0)))))</f>
        <v/>
      </c>
      <c r="J74" s="92" t="str" cm="1">
        <f t="array" ref="J74">IFERROR(IF(OR($H74="", J73=""), "", IF($H74=2, SUM(IF(INDEX(_xlfn._xlws.FILTER(tblPiNHistorical[[CCCM]:[WASH]], tblPiNHistorical[Population Group]=J$5), 0, MATCH($Q$2, tblPiNHistorical[[#Headers],[CCCM]:[WASH]], 0))&gt;1.9, 1, 0)), IF(SUM(IF(INDEX(_xlfn._xlws.FILTER(tblPiNHistorical[[CCCM]:[WASH]], tblPiNHistorical[Population Group]=J$5), 0, MATCH($Q$2, tblPiNHistorical[[#Headers],[CCCM]:[WASH]], 0))=$H74, 1, 0))=0, "", SUM(IF(INDEX(_xlfn._xlws.FILTER(tblPiNHistorical[[CCCM]:[WASH]], tblPiNHistorical[Population Group]=J$5), 0, MATCH($Q$2, tblPiNHistorical[[#Headers],[CCCM]:[WASH]], 0))=$H74, 1, 0))))), "")</f>
        <v/>
      </c>
      <c r="K74" s="92" t="str" cm="1">
        <f t="array" ref="K74">IFERROR(IF(OR($H74="", K73=""), "", IF($H74=2, SUM(IF(INDEX(_xlfn._xlws.FILTER(tblPiNHistorical[[CCCM]:[WASH]], tblPiNHistorical[CCCM - old]=K$5), 0, MATCH($Q$2, tblPiNHistorical[[#Headers],[CCCM]:[WASH]], 0))&gt;1.9, 1, 0)), IF(SUM(IF(INDEX(_xlfn._xlws.FILTER(tblPiNHistorical[[CCCM]:[WASH]], tblPiNHistorical[CCCM - old]=K$5), 0, MATCH($Q$2, tblPiNHistorical[[#Headers],[CCCM]:[WASH]], 0))=$H74, 1, 0))=0, "", SUM(IF(INDEX(_xlfn._xlws.FILTER(tblPiNHistorical[[CCCM]:[WASH]], tblPiNHistorical[CCCM - old]=K$5), 0, MATCH($Q$2, tblPiNHistorical[[#Headers],[CCCM]:[WASH]], 0))=$H74, 1, 0))))), "")</f>
        <v/>
      </c>
      <c r="L74" s="92" t="str" cm="1">
        <f t="array" ref="L74">IFERROR(IF(OR($H74="", L73=""), "", IF($H74=2, SUM(IF(INDEX(_xlfn._xlws.FILTER(tblPiNHistorical[[CCCM]:[WASH]],#REF!= L$5), 0, MATCH($Q$2, tblPiNHistorical[[#Headers],[CCCM]:[WASH]], 0))&gt;1.9, 1, 0)), IF(SUM(IF(INDEX(_xlfn._xlws.FILTER(tblPiNHistorical[[CCCM]:[WASH]],#REF!= L$5), 0, MATCH($Q$2, tblPiNHistorical[[#Headers],[CCCM]:[WASH]], 0))=$H74, 1, 0))=0, "", SUM(IF(INDEX(_xlfn._xlws.FILTER(tblPiNHistorical[[CCCM]:[WASH]],#REF!= L$5), 0, MATCH($Q$2, tblPiNHistorical[[#Headers],[CCCM]:[WASH]], 0))=$H74, 1, 0))))), "")</f>
        <v/>
      </c>
      <c r="M74" s="92" t="str" cm="1">
        <f t="array" ref="M74">IFERROR(IF(OR($H74="", M73=""), "", IF($H74=2, SUM(IF(INDEX(_xlfn._xlws.FILTER(tblPiNHistorical[[CCCM]:[WASH]],#REF!= M$5), 0, MATCH($Q$2, tblPiNHistorical[[#Headers],[CCCM]:[WASH]], 0))&gt;1.9, 1, 0)), IF(SUM(IF(INDEX(_xlfn._xlws.FILTER(tblPiNHistorical[[CCCM]:[WASH]],#REF!= M$5), 0, MATCH($Q$2, tblPiNHistorical[[#Headers],[CCCM]:[WASH]], 0))=$H74, 1, 0))=0, "", SUM(IF(INDEX(_xlfn._xlws.FILTER(tblPiNHistorical[[CCCM]:[WASH]],#REF!= M$5), 0, MATCH($Q$2, tblPiNHistorical[[#Headers],[CCCM]:[WASH]], 0))=$H74, 1, 0))))), "")</f>
        <v/>
      </c>
    </row>
    <row r="75" spans="1:13">
      <c r="A75" s="94"/>
      <c r="B75" s="92" t="str" cm="1">
        <f t="array" ref="B75">IF($A75="", "", IF(SUM(IF(INDEX(_xlfn._xlws.FILTER(tblPiNAnalysis[[CCCM%]:[WASH%]], tblPiNAnalysis[Population Group]=B$5), 0, MATCH(_xlfn.CONCAT($Q$2, "%"), tblPiNAnalysis[[#Headers],[CCCM%]:[WASH%]], 0))=$A75, 1, 0))=0, "",SUM(IF(INDEX(_xlfn._xlws.FILTER(tblPiNAnalysis[[CCCM%]:[WASH%]], tblPiNAnalysis[Population Group]=B$5), 0, MATCH(_xlfn.CONCAT($Q$2, "%"), tblPiNAnalysis[[#Headers],[CCCM%]:[WASH%]], 0))=$A75, 1, 0))))</f>
        <v/>
      </c>
      <c r="C75" s="92" t="str" cm="1">
        <f t="array" ref="C75">IFERROR(IF(OR($A75="", C$5=""), "", IF(SUM(IF(INDEX(_xlfn._xlws.FILTER(tblPiNAnalysis[[CCCM%]:[WASH%]], tblPiNAnalysis[Population Group]=C$5), 0, MATCH(_xlfn.CONCAT($Q$2, "%"), tblPiNAnalysis[[#Headers],[CCCM%]:[WASH%]], 0))=$A75, 1, 0))=0, "",SUM(IF(INDEX(_xlfn._xlws.FILTER(tblPiNAnalysis[[CCCM%]:[WASH%]], tblPiNAnalysis[Population Group]=C$5), 0, MATCH(_xlfn.CONCAT($Q$2, "%"), tblPiNAnalysis[[#Headers],[CCCM%]:[WASH%]], 0))=$A75, 1, 0)))), "")</f>
        <v/>
      </c>
      <c r="D75" s="92" t="str" cm="1">
        <f t="array" ref="D75">IFERROR(IF(OR($A75="", D$5=""), "", IF(SUM(IF(INDEX(_xlfn._xlws.FILTER(tblPiNAnalysis[[CCCM%]:[WASH%]], tblPiNAnalysis[Population Group]=D$5), 0, MATCH(_xlfn.CONCAT($Q$2, "%"), tblPiNAnalysis[[#Headers],[CCCM%]:[WASH%]], 0))=$A75, 1, 0))=0, "",SUM(IF(INDEX(_xlfn._xlws.FILTER(tblPiNAnalysis[[CCCM%]:[WASH%]], tblPiNAnalysis[Population Group]=D$5), 0, MATCH(_xlfn.CONCAT($Q$2, "%"), tblPiNAnalysis[[#Headers],[CCCM%]:[WASH%]], 0))=$A75, 1, 0)))), "")</f>
        <v/>
      </c>
      <c r="E75" s="92" t="str" cm="1">
        <f t="array" ref="E75">IFERROR(IF(OR($A75="", E$5=""), "", IF(SUM(IF(INDEX(_xlfn._xlws.FILTER(tblPiNAnalysis[[CCCM%]:[WASH%]], tblPiNAnalysis[Population Group]=E$5), 0, MATCH(_xlfn.CONCAT($Q$2, "%"), tblPiNAnalysis[[#Headers],[CCCM%]:[WASH%]], 0))=$A75, 1, 0))=0, "",SUM(IF(INDEX(_xlfn._xlws.FILTER(tblPiNAnalysis[[CCCM%]:[WASH%]], tblPiNAnalysis[Population Group]=E$5), 0, MATCH(_xlfn.CONCAT($Q$2, "%"), tblPiNAnalysis[[#Headers],[CCCM%]:[WASH%]], 0))=$A75, 1, 0)))), "")</f>
        <v/>
      </c>
      <c r="F75" s="92" t="str" cm="1">
        <f t="array" ref="F75">IFERROR(IF(OR($A75="", F$5=""), "", IF(SUM(IF(INDEX(_xlfn._xlws.FILTER(tblPiNAnalysis[[CCCM%]:[WASH%]], tblPiNAnalysis[CCCM]=F$5), 0, MATCH(_xlfn.CONCAT($Q$2, "%"), tblPiNAnalysis[[#Headers],[CCCM%]:[WASH%]], 0))=$A75, 1, 0))=0, "",SUM(IF(INDEX(_xlfn._xlws.FILTER(tblPiNAnalysis[[CCCM%]:[WASH%]], tblPiNAnalysis[CCCM]=F$5), 0, MATCH(_xlfn.CONCAT($Q$2, "%"), tblPiNAnalysis[[#Headers],[CCCM%]:[WASH%]], 0))=$A75, 1, 0)))), "")</f>
        <v/>
      </c>
      <c r="H75" s="94"/>
      <c r="I75" s="92" t="str" cm="1">
        <f t="array" ref="I75">IF($H75="", "", IF($H75=2, SUM(IF(INDEX(_xlfn._xlws.FILTER(tblPiNHistorical[[CCCM]:[WASH]], tblPiNHistorical[Population Group]=I$5), 0, MATCH($Q$2, tblPiNHistorical[[#Headers],[CCCM]:[WASH]], 0))&gt;1.9, 1, 0)), IF(SUM(IF(INDEX(_xlfn._xlws.FILTER(tblPiNHistorical[[CCCM]:[WASH]], tblPiNHistorical[Population Group]=I$5), 0, MATCH($Q$2, tblPiNHistorical[[#Headers],[CCCM]:[WASH]], 0))=$H75, 1, 0))=0, "", SUM(IF(INDEX(_xlfn._xlws.FILTER(tblPiNHistorical[[CCCM]:[WASH]], tblPiNHistorical[Population Group]=I$5), 0, MATCH($Q$2, tblPiNHistorical[[#Headers],[CCCM]:[WASH]], 0))=$H75, 1, 0)))))</f>
        <v/>
      </c>
      <c r="J75" s="92" t="str" cm="1">
        <f t="array" ref="J75">IFERROR(IF(OR($H75="", J74=""), "", IF($H75=2, SUM(IF(INDEX(_xlfn._xlws.FILTER(tblPiNHistorical[[CCCM]:[WASH]], tblPiNHistorical[Population Group]=J$5), 0, MATCH($Q$2, tblPiNHistorical[[#Headers],[CCCM]:[WASH]], 0))&gt;1.9, 1, 0)), IF(SUM(IF(INDEX(_xlfn._xlws.FILTER(tblPiNHistorical[[CCCM]:[WASH]], tblPiNHistorical[Population Group]=J$5), 0, MATCH($Q$2, tblPiNHistorical[[#Headers],[CCCM]:[WASH]], 0))=$H75, 1, 0))=0, "", SUM(IF(INDEX(_xlfn._xlws.FILTER(tblPiNHistorical[[CCCM]:[WASH]], tblPiNHistorical[Population Group]=J$5), 0, MATCH($Q$2, tblPiNHistorical[[#Headers],[CCCM]:[WASH]], 0))=$H75, 1, 0))))), "")</f>
        <v/>
      </c>
      <c r="K75" s="92" t="str" cm="1">
        <f t="array" ref="K75">IFERROR(IF(OR($H75="", K74=""), "", IF($H75=2, SUM(IF(INDEX(_xlfn._xlws.FILTER(tblPiNHistorical[[CCCM]:[WASH]], tblPiNHistorical[CCCM - old]=K$5), 0, MATCH($Q$2, tblPiNHistorical[[#Headers],[CCCM]:[WASH]], 0))&gt;1.9, 1, 0)), IF(SUM(IF(INDEX(_xlfn._xlws.FILTER(tblPiNHistorical[[CCCM]:[WASH]], tblPiNHistorical[CCCM - old]=K$5), 0, MATCH($Q$2, tblPiNHistorical[[#Headers],[CCCM]:[WASH]], 0))=$H75, 1, 0))=0, "", SUM(IF(INDEX(_xlfn._xlws.FILTER(tblPiNHistorical[[CCCM]:[WASH]], tblPiNHistorical[CCCM - old]=K$5), 0, MATCH($Q$2, tblPiNHistorical[[#Headers],[CCCM]:[WASH]], 0))=$H75, 1, 0))))), "")</f>
        <v/>
      </c>
      <c r="L75" s="92" t="str" cm="1">
        <f t="array" ref="L75">IFERROR(IF(OR($H75="", L74=""), "", IF($H75=2, SUM(IF(INDEX(_xlfn._xlws.FILTER(tblPiNHistorical[[CCCM]:[WASH]],#REF!= L$5), 0, MATCH($Q$2, tblPiNHistorical[[#Headers],[CCCM]:[WASH]], 0))&gt;1.9, 1, 0)), IF(SUM(IF(INDEX(_xlfn._xlws.FILTER(tblPiNHistorical[[CCCM]:[WASH]],#REF!= L$5), 0, MATCH($Q$2, tblPiNHistorical[[#Headers],[CCCM]:[WASH]], 0))=$H75, 1, 0))=0, "", SUM(IF(INDEX(_xlfn._xlws.FILTER(tblPiNHistorical[[CCCM]:[WASH]],#REF!= L$5), 0, MATCH($Q$2, tblPiNHistorical[[#Headers],[CCCM]:[WASH]], 0))=$H75, 1, 0))))), "")</f>
        <v/>
      </c>
      <c r="M75" s="92" t="str" cm="1">
        <f t="array" ref="M75">IFERROR(IF(OR($H75="", M74=""), "", IF($H75=2, SUM(IF(INDEX(_xlfn._xlws.FILTER(tblPiNHistorical[[CCCM]:[WASH]],#REF!= M$5), 0, MATCH($Q$2, tblPiNHistorical[[#Headers],[CCCM]:[WASH]], 0))&gt;1.9, 1, 0)), IF(SUM(IF(INDEX(_xlfn._xlws.FILTER(tblPiNHistorical[[CCCM]:[WASH]],#REF!= M$5), 0, MATCH($Q$2, tblPiNHistorical[[#Headers],[CCCM]:[WASH]], 0))=$H75, 1, 0))=0, "", SUM(IF(INDEX(_xlfn._xlws.FILTER(tblPiNHistorical[[CCCM]:[WASH]],#REF!= M$5), 0, MATCH($Q$2, tblPiNHistorical[[#Headers],[CCCM]:[WASH]], 0))=$H75, 1, 0))))), "")</f>
        <v/>
      </c>
    </row>
    <row r="76" spans="1:13">
      <c r="A76" s="94"/>
      <c r="B76" s="92" t="str" cm="1">
        <f t="array" ref="B76">IF($A76="", "", IF(SUM(IF(INDEX(_xlfn._xlws.FILTER(tblPiNAnalysis[[CCCM%]:[WASH%]], tblPiNAnalysis[Population Group]=B$5), 0, MATCH(_xlfn.CONCAT($Q$2, "%"), tblPiNAnalysis[[#Headers],[CCCM%]:[WASH%]], 0))=$A76, 1, 0))=0, "",SUM(IF(INDEX(_xlfn._xlws.FILTER(tblPiNAnalysis[[CCCM%]:[WASH%]], tblPiNAnalysis[Population Group]=B$5), 0, MATCH(_xlfn.CONCAT($Q$2, "%"), tblPiNAnalysis[[#Headers],[CCCM%]:[WASH%]], 0))=$A76, 1, 0))))</f>
        <v/>
      </c>
      <c r="C76" s="92" t="str" cm="1">
        <f t="array" ref="C76">IFERROR(IF(OR($A76="", C$5=""), "", IF(SUM(IF(INDEX(_xlfn._xlws.FILTER(tblPiNAnalysis[[CCCM%]:[WASH%]], tblPiNAnalysis[Population Group]=C$5), 0, MATCH(_xlfn.CONCAT($Q$2, "%"), tblPiNAnalysis[[#Headers],[CCCM%]:[WASH%]], 0))=$A76, 1, 0))=0, "",SUM(IF(INDEX(_xlfn._xlws.FILTER(tblPiNAnalysis[[CCCM%]:[WASH%]], tblPiNAnalysis[Population Group]=C$5), 0, MATCH(_xlfn.CONCAT($Q$2, "%"), tblPiNAnalysis[[#Headers],[CCCM%]:[WASH%]], 0))=$A76, 1, 0)))), "")</f>
        <v/>
      </c>
      <c r="D76" s="92" t="str" cm="1">
        <f t="array" ref="D76">IFERROR(IF(OR($A76="", D$5=""), "", IF(SUM(IF(INDEX(_xlfn._xlws.FILTER(tblPiNAnalysis[[CCCM%]:[WASH%]], tblPiNAnalysis[Population Group]=D$5), 0, MATCH(_xlfn.CONCAT($Q$2, "%"), tblPiNAnalysis[[#Headers],[CCCM%]:[WASH%]], 0))=$A76, 1, 0))=0, "",SUM(IF(INDEX(_xlfn._xlws.FILTER(tblPiNAnalysis[[CCCM%]:[WASH%]], tblPiNAnalysis[Population Group]=D$5), 0, MATCH(_xlfn.CONCAT($Q$2, "%"), tblPiNAnalysis[[#Headers],[CCCM%]:[WASH%]], 0))=$A76, 1, 0)))), "")</f>
        <v/>
      </c>
      <c r="E76" s="92" t="str" cm="1">
        <f t="array" ref="E76">IFERROR(IF(OR($A76="", E$5=""), "", IF(SUM(IF(INDEX(_xlfn._xlws.FILTER(tblPiNAnalysis[[CCCM%]:[WASH%]], tblPiNAnalysis[Population Group]=E$5), 0, MATCH(_xlfn.CONCAT($Q$2, "%"), tblPiNAnalysis[[#Headers],[CCCM%]:[WASH%]], 0))=$A76, 1, 0))=0, "",SUM(IF(INDEX(_xlfn._xlws.FILTER(tblPiNAnalysis[[CCCM%]:[WASH%]], tblPiNAnalysis[Population Group]=E$5), 0, MATCH(_xlfn.CONCAT($Q$2, "%"), tblPiNAnalysis[[#Headers],[CCCM%]:[WASH%]], 0))=$A76, 1, 0)))), "")</f>
        <v/>
      </c>
      <c r="F76" s="92" t="str" cm="1">
        <f t="array" ref="F76">IFERROR(IF(OR($A76="", F$5=""), "", IF(SUM(IF(INDEX(_xlfn._xlws.FILTER(tblPiNAnalysis[[CCCM%]:[WASH%]], tblPiNAnalysis[CCCM]=F$5), 0, MATCH(_xlfn.CONCAT($Q$2, "%"), tblPiNAnalysis[[#Headers],[CCCM%]:[WASH%]], 0))=$A76, 1, 0))=0, "",SUM(IF(INDEX(_xlfn._xlws.FILTER(tblPiNAnalysis[[CCCM%]:[WASH%]], tblPiNAnalysis[CCCM]=F$5), 0, MATCH(_xlfn.CONCAT($Q$2, "%"), tblPiNAnalysis[[#Headers],[CCCM%]:[WASH%]], 0))=$A76, 1, 0)))), "")</f>
        <v/>
      </c>
      <c r="H76" s="94"/>
      <c r="I76" s="92" t="str" cm="1">
        <f t="array" ref="I76">IF($H76="", "", IF($H76=2, SUM(IF(INDEX(_xlfn._xlws.FILTER(tblPiNHistorical[[CCCM]:[WASH]], tblPiNHistorical[Population Group]=I$5), 0, MATCH($Q$2, tblPiNHistorical[[#Headers],[CCCM]:[WASH]], 0))&gt;1.9, 1, 0)), IF(SUM(IF(INDEX(_xlfn._xlws.FILTER(tblPiNHistorical[[CCCM]:[WASH]], tblPiNHistorical[Population Group]=I$5), 0, MATCH($Q$2, tblPiNHistorical[[#Headers],[CCCM]:[WASH]], 0))=$H76, 1, 0))=0, "", SUM(IF(INDEX(_xlfn._xlws.FILTER(tblPiNHistorical[[CCCM]:[WASH]], tblPiNHistorical[Population Group]=I$5), 0, MATCH($Q$2, tblPiNHistorical[[#Headers],[CCCM]:[WASH]], 0))=$H76, 1, 0)))))</f>
        <v/>
      </c>
      <c r="J76" s="92" t="str" cm="1">
        <f t="array" ref="J76">IFERROR(IF(OR($H76="", J75=""), "", IF($H76=2, SUM(IF(INDEX(_xlfn._xlws.FILTER(tblPiNHistorical[[CCCM]:[WASH]], tblPiNHistorical[Population Group]=J$5), 0, MATCH($Q$2, tblPiNHistorical[[#Headers],[CCCM]:[WASH]], 0))&gt;1.9, 1, 0)), IF(SUM(IF(INDEX(_xlfn._xlws.FILTER(tblPiNHistorical[[CCCM]:[WASH]], tblPiNHistorical[Population Group]=J$5), 0, MATCH($Q$2, tblPiNHistorical[[#Headers],[CCCM]:[WASH]], 0))=$H76, 1, 0))=0, "", SUM(IF(INDEX(_xlfn._xlws.FILTER(tblPiNHistorical[[CCCM]:[WASH]], tblPiNHistorical[Population Group]=J$5), 0, MATCH($Q$2, tblPiNHistorical[[#Headers],[CCCM]:[WASH]], 0))=$H76, 1, 0))))), "")</f>
        <v/>
      </c>
      <c r="K76" s="92" t="str" cm="1">
        <f t="array" ref="K76">IFERROR(IF(OR($H76="", K75=""), "", IF($H76=2, SUM(IF(INDEX(_xlfn._xlws.FILTER(tblPiNHistorical[[CCCM]:[WASH]], tblPiNHistorical[CCCM - old]=K$5), 0, MATCH($Q$2, tblPiNHistorical[[#Headers],[CCCM]:[WASH]], 0))&gt;1.9, 1, 0)), IF(SUM(IF(INDEX(_xlfn._xlws.FILTER(tblPiNHistorical[[CCCM]:[WASH]], tblPiNHistorical[CCCM - old]=K$5), 0, MATCH($Q$2, tblPiNHistorical[[#Headers],[CCCM]:[WASH]], 0))=$H76, 1, 0))=0, "", SUM(IF(INDEX(_xlfn._xlws.FILTER(tblPiNHistorical[[CCCM]:[WASH]], tblPiNHistorical[CCCM - old]=K$5), 0, MATCH($Q$2, tblPiNHistorical[[#Headers],[CCCM]:[WASH]], 0))=$H76, 1, 0))))), "")</f>
        <v/>
      </c>
      <c r="L76" s="92" t="str" cm="1">
        <f t="array" ref="L76">IFERROR(IF(OR($H76="", L75=""), "", IF($H76=2, SUM(IF(INDEX(_xlfn._xlws.FILTER(tblPiNHistorical[[CCCM]:[WASH]],#REF!= L$5), 0, MATCH($Q$2, tblPiNHistorical[[#Headers],[CCCM]:[WASH]], 0))&gt;1.9, 1, 0)), IF(SUM(IF(INDEX(_xlfn._xlws.FILTER(tblPiNHistorical[[CCCM]:[WASH]],#REF!= L$5), 0, MATCH($Q$2, tblPiNHistorical[[#Headers],[CCCM]:[WASH]], 0))=$H76, 1, 0))=0, "", SUM(IF(INDEX(_xlfn._xlws.FILTER(tblPiNHistorical[[CCCM]:[WASH]],#REF!= L$5), 0, MATCH($Q$2, tblPiNHistorical[[#Headers],[CCCM]:[WASH]], 0))=$H76, 1, 0))))), "")</f>
        <v/>
      </c>
      <c r="M76" s="92" t="str" cm="1">
        <f t="array" ref="M76">IFERROR(IF(OR($H76="", M75=""), "", IF($H76=2, SUM(IF(INDEX(_xlfn._xlws.FILTER(tblPiNHistorical[[CCCM]:[WASH]],#REF!= M$5), 0, MATCH($Q$2, tblPiNHistorical[[#Headers],[CCCM]:[WASH]], 0))&gt;1.9, 1, 0)), IF(SUM(IF(INDEX(_xlfn._xlws.FILTER(tblPiNHistorical[[CCCM]:[WASH]],#REF!= M$5), 0, MATCH($Q$2, tblPiNHistorical[[#Headers],[CCCM]:[WASH]], 0))=$H76, 1, 0))=0, "", SUM(IF(INDEX(_xlfn._xlws.FILTER(tblPiNHistorical[[CCCM]:[WASH]],#REF!= M$5), 0, MATCH($Q$2, tblPiNHistorical[[#Headers],[CCCM]:[WASH]], 0))=$H76, 1, 0))))), "")</f>
        <v/>
      </c>
    </row>
    <row r="77" spans="1:13">
      <c r="A77" s="94"/>
      <c r="B77" s="92" t="str" cm="1">
        <f t="array" ref="B77">IF($A77="", "", IF(SUM(IF(INDEX(_xlfn._xlws.FILTER(tblPiNAnalysis[[CCCM%]:[WASH%]], tblPiNAnalysis[Population Group]=B$5), 0, MATCH(_xlfn.CONCAT($Q$2, "%"), tblPiNAnalysis[[#Headers],[CCCM%]:[WASH%]], 0))=$A77, 1, 0))=0, "",SUM(IF(INDEX(_xlfn._xlws.FILTER(tblPiNAnalysis[[CCCM%]:[WASH%]], tblPiNAnalysis[Population Group]=B$5), 0, MATCH(_xlfn.CONCAT($Q$2, "%"), tblPiNAnalysis[[#Headers],[CCCM%]:[WASH%]], 0))=$A77, 1, 0))))</f>
        <v/>
      </c>
      <c r="C77" s="92" t="str" cm="1">
        <f t="array" ref="C77">IFERROR(IF(OR($A77="", C$5=""), "", IF(SUM(IF(INDEX(_xlfn._xlws.FILTER(tblPiNAnalysis[[CCCM%]:[WASH%]], tblPiNAnalysis[Population Group]=C$5), 0, MATCH(_xlfn.CONCAT($Q$2, "%"), tblPiNAnalysis[[#Headers],[CCCM%]:[WASH%]], 0))=$A77, 1, 0))=0, "",SUM(IF(INDEX(_xlfn._xlws.FILTER(tblPiNAnalysis[[CCCM%]:[WASH%]], tblPiNAnalysis[Population Group]=C$5), 0, MATCH(_xlfn.CONCAT($Q$2, "%"), tblPiNAnalysis[[#Headers],[CCCM%]:[WASH%]], 0))=$A77, 1, 0)))), "")</f>
        <v/>
      </c>
      <c r="D77" s="92" t="str" cm="1">
        <f t="array" ref="D77">IFERROR(IF(OR($A77="", D$5=""), "", IF(SUM(IF(INDEX(_xlfn._xlws.FILTER(tblPiNAnalysis[[CCCM%]:[WASH%]], tblPiNAnalysis[Population Group]=D$5), 0, MATCH(_xlfn.CONCAT($Q$2, "%"), tblPiNAnalysis[[#Headers],[CCCM%]:[WASH%]], 0))=$A77, 1, 0))=0, "",SUM(IF(INDEX(_xlfn._xlws.FILTER(tblPiNAnalysis[[CCCM%]:[WASH%]], tblPiNAnalysis[Population Group]=D$5), 0, MATCH(_xlfn.CONCAT($Q$2, "%"), tblPiNAnalysis[[#Headers],[CCCM%]:[WASH%]], 0))=$A77, 1, 0)))), "")</f>
        <v/>
      </c>
      <c r="E77" s="92" t="str" cm="1">
        <f t="array" ref="E77">IFERROR(IF(OR($A77="", E$5=""), "", IF(SUM(IF(INDEX(_xlfn._xlws.FILTER(tblPiNAnalysis[[CCCM%]:[WASH%]], tblPiNAnalysis[Population Group]=E$5), 0, MATCH(_xlfn.CONCAT($Q$2, "%"), tblPiNAnalysis[[#Headers],[CCCM%]:[WASH%]], 0))=$A77, 1, 0))=0, "",SUM(IF(INDEX(_xlfn._xlws.FILTER(tblPiNAnalysis[[CCCM%]:[WASH%]], tblPiNAnalysis[Population Group]=E$5), 0, MATCH(_xlfn.CONCAT($Q$2, "%"), tblPiNAnalysis[[#Headers],[CCCM%]:[WASH%]], 0))=$A77, 1, 0)))), "")</f>
        <v/>
      </c>
      <c r="F77" s="92" t="str" cm="1">
        <f t="array" ref="F77">IFERROR(IF(OR($A77="", F$5=""), "", IF(SUM(IF(INDEX(_xlfn._xlws.FILTER(tblPiNAnalysis[[CCCM%]:[WASH%]], tblPiNAnalysis[CCCM]=F$5), 0, MATCH(_xlfn.CONCAT($Q$2, "%"), tblPiNAnalysis[[#Headers],[CCCM%]:[WASH%]], 0))=$A77, 1, 0))=0, "",SUM(IF(INDEX(_xlfn._xlws.FILTER(tblPiNAnalysis[[CCCM%]:[WASH%]], tblPiNAnalysis[CCCM]=F$5), 0, MATCH(_xlfn.CONCAT($Q$2, "%"), tblPiNAnalysis[[#Headers],[CCCM%]:[WASH%]], 0))=$A77, 1, 0)))), "")</f>
        <v/>
      </c>
      <c r="H77" s="94"/>
      <c r="I77" s="92" t="str" cm="1">
        <f t="array" ref="I77">IF($H77="", "", IF($H77=2, SUM(IF(INDEX(_xlfn._xlws.FILTER(tblPiNHistorical[[CCCM]:[WASH]], tblPiNHistorical[Population Group]=I$5), 0, MATCH($Q$2, tblPiNHistorical[[#Headers],[CCCM]:[WASH]], 0))&gt;1.9, 1, 0)), IF(SUM(IF(INDEX(_xlfn._xlws.FILTER(tblPiNHistorical[[CCCM]:[WASH]], tblPiNHistorical[Population Group]=I$5), 0, MATCH($Q$2, tblPiNHistorical[[#Headers],[CCCM]:[WASH]], 0))=$H77, 1, 0))=0, "", SUM(IF(INDEX(_xlfn._xlws.FILTER(tblPiNHistorical[[CCCM]:[WASH]], tblPiNHistorical[Population Group]=I$5), 0, MATCH($Q$2, tblPiNHistorical[[#Headers],[CCCM]:[WASH]], 0))=$H77, 1, 0)))))</f>
        <v/>
      </c>
      <c r="J77" s="92" t="str" cm="1">
        <f t="array" ref="J77">IFERROR(IF(OR($H77="", J76=""), "", IF($H77=2, SUM(IF(INDEX(_xlfn._xlws.FILTER(tblPiNHistorical[[CCCM]:[WASH]], tblPiNHistorical[Population Group]=J$5), 0, MATCH($Q$2, tblPiNHistorical[[#Headers],[CCCM]:[WASH]], 0))&gt;1.9, 1, 0)), IF(SUM(IF(INDEX(_xlfn._xlws.FILTER(tblPiNHistorical[[CCCM]:[WASH]], tblPiNHistorical[Population Group]=J$5), 0, MATCH($Q$2, tblPiNHistorical[[#Headers],[CCCM]:[WASH]], 0))=$H77, 1, 0))=0, "", SUM(IF(INDEX(_xlfn._xlws.FILTER(tblPiNHistorical[[CCCM]:[WASH]], tblPiNHistorical[Population Group]=J$5), 0, MATCH($Q$2, tblPiNHistorical[[#Headers],[CCCM]:[WASH]], 0))=$H77, 1, 0))))), "")</f>
        <v/>
      </c>
      <c r="K77" s="92" t="str" cm="1">
        <f t="array" ref="K77">IFERROR(IF(OR($H77="", K76=""), "", IF($H77=2, SUM(IF(INDEX(_xlfn._xlws.FILTER(tblPiNHistorical[[CCCM]:[WASH]], tblPiNHistorical[CCCM - old]=K$5), 0, MATCH($Q$2, tblPiNHistorical[[#Headers],[CCCM]:[WASH]], 0))&gt;1.9, 1, 0)), IF(SUM(IF(INDEX(_xlfn._xlws.FILTER(tblPiNHistorical[[CCCM]:[WASH]], tblPiNHistorical[CCCM - old]=K$5), 0, MATCH($Q$2, tblPiNHistorical[[#Headers],[CCCM]:[WASH]], 0))=$H77, 1, 0))=0, "", SUM(IF(INDEX(_xlfn._xlws.FILTER(tblPiNHistorical[[CCCM]:[WASH]], tblPiNHistorical[CCCM - old]=K$5), 0, MATCH($Q$2, tblPiNHistorical[[#Headers],[CCCM]:[WASH]], 0))=$H77, 1, 0))))), "")</f>
        <v/>
      </c>
      <c r="L77" s="92" t="str" cm="1">
        <f t="array" ref="L77">IFERROR(IF(OR($H77="", L76=""), "", IF($H77=2, SUM(IF(INDEX(_xlfn._xlws.FILTER(tblPiNHistorical[[CCCM]:[WASH]],#REF!= L$5), 0, MATCH($Q$2, tblPiNHistorical[[#Headers],[CCCM]:[WASH]], 0))&gt;1.9, 1, 0)), IF(SUM(IF(INDEX(_xlfn._xlws.FILTER(tblPiNHistorical[[CCCM]:[WASH]],#REF!= L$5), 0, MATCH($Q$2, tblPiNHistorical[[#Headers],[CCCM]:[WASH]], 0))=$H77, 1, 0))=0, "", SUM(IF(INDEX(_xlfn._xlws.FILTER(tblPiNHistorical[[CCCM]:[WASH]],#REF!= L$5), 0, MATCH($Q$2, tblPiNHistorical[[#Headers],[CCCM]:[WASH]], 0))=$H77, 1, 0))))), "")</f>
        <v/>
      </c>
      <c r="M77" s="92" t="str" cm="1">
        <f t="array" ref="M77">IFERROR(IF(OR($H77="", M76=""), "", IF($H77=2, SUM(IF(INDEX(_xlfn._xlws.FILTER(tblPiNHistorical[[CCCM]:[WASH]],#REF!= M$5), 0, MATCH($Q$2, tblPiNHistorical[[#Headers],[CCCM]:[WASH]], 0))&gt;1.9, 1, 0)), IF(SUM(IF(INDEX(_xlfn._xlws.FILTER(tblPiNHistorical[[CCCM]:[WASH]],#REF!= M$5), 0, MATCH($Q$2, tblPiNHistorical[[#Headers],[CCCM]:[WASH]], 0))=$H77, 1, 0))=0, "", SUM(IF(INDEX(_xlfn._xlws.FILTER(tblPiNHistorical[[CCCM]:[WASH]],#REF!= M$5), 0, MATCH($Q$2, tblPiNHistorical[[#Headers],[CCCM]:[WASH]], 0))=$H77, 1, 0))))), "")</f>
        <v/>
      </c>
    </row>
  </sheetData>
  <phoneticPr fontId="9"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5442E1F-AE97-4557-AD07-F891F74C6A87}">
          <x14:formula1>
            <xm:f>'WS - 3.1 Overall PiN'!$K$3:$R$3</xm:f>
          </x14:formula1>
          <xm:sqref>Q2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459F-C0B1-48EC-B35F-61835F70A3C3}">
  <sheetPr>
    <tabColor theme="5"/>
  </sheetPr>
  <dimension ref="A1:AS155"/>
  <sheetViews>
    <sheetView showGridLines="0" topLeftCell="AI1" zoomScaleNormal="100" workbookViewId="0">
      <pane ySplit="3" topLeftCell="A4" activePane="bottomLeft" state="frozen"/>
      <selection pane="bottomLeft" activeCell="AO7" sqref="AO7"/>
      <selection activeCell="R19" sqref="R19"/>
    </sheetView>
  </sheetViews>
  <sheetFormatPr defaultColWidth="8.5703125" defaultRowHeight="14.45"/>
  <cols>
    <col min="1" max="1" width="21.42578125" style="65" bestFit="1" customWidth="1"/>
    <col min="2" max="2" width="18" style="101" customWidth="1"/>
    <col min="3" max="3" width="19.5703125" style="101" customWidth="1"/>
    <col min="4" max="4" width="24.7109375" style="101" bestFit="1" customWidth="1"/>
    <col min="5" max="5" width="18" style="101" customWidth="1"/>
    <col min="6" max="6" width="14.5703125" style="20" hidden="1" customWidth="1"/>
    <col min="7" max="7" width="18.140625" style="20" hidden="1" customWidth="1"/>
    <col min="8" max="8" width="18.140625" style="20" customWidth="1"/>
    <col min="9" max="9" width="14.140625" style="21" customWidth="1"/>
    <col min="10" max="10" width="20.140625" style="21" customWidth="1"/>
    <col min="11" max="11" width="12.85546875" style="22" customWidth="1"/>
    <col min="12" max="17" width="12.85546875" style="21" customWidth="1"/>
    <col min="18" max="18" width="13.28515625" style="21" customWidth="1"/>
    <col min="19" max="22" width="13.140625" style="21" hidden="1" customWidth="1"/>
    <col min="23" max="23" width="12.28515625" style="21" hidden="1" customWidth="1"/>
    <col min="24" max="24" width="13.140625" style="21" customWidth="1"/>
    <col min="25" max="28" width="13.42578125" style="21" customWidth="1"/>
    <col min="29" max="29" width="14" customWidth="1"/>
    <col min="30" max="30" width="13.85546875" customWidth="1"/>
    <col min="31" max="31" width="13.140625" customWidth="1"/>
    <col min="32" max="33" width="13.140625" style="119" customWidth="1"/>
    <col min="34" max="34" width="49.28515625" style="21" customWidth="1"/>
    <col min="35" max="35" width="76.7109375" customWidth="1"/>
    <col min="36" max="36" width="23.42578125" customWidth="1"/>
    <col min="37" max="37" width="25.42578125" style="17" customWidth="1"/>
    <col min="38" max="38" width="27.28515625" customWidth="1"/>
    <col min="39" max="39" width="22.140625" customWidth="1"/>
    <col min="40" max="40" width="16" style="17" customWidth="1"/>
    <col min="41" max="41" width="22.85546875" customWidth="1"/>
    <col min="42" max="42" width="12.5703125" style="24" customWidth="1"/>
    <col min="43" max="43" width="20" style="21" bestFit="1" customWidth="1"/>
    <col min="44" max="44" width="25.42578125" customWidth="1"/>
    <col min="45" max="45" width="35.140625" customWidth="1"/>
    <col min="47" max="47" width="32.28515625" customWidth="1"/>
  </cols>
  <sheetData>
    <row r="1" spans="1:45" ht="30" customHeight="1" thickBot="1">
      <c r="K1" s="21"/>
      <c r="AC1" s="21"/>
      <c r="AD1" s="21"/>
      <c r="AE1" s="21"/>
      <c r="AF1" s="485"/>
      <c r="AG1" s="485"/>
      <c r="AH1" s="422">
        <f>SUM(tblPiNAnalysis5[Final TARGET])</f>
        <v>4134421.9388248818</v>
      </c>
      <c r="AI1" s="278"/>
      <c r="AK1"/>
      <c r="AN1"/>
      <c r="AP1"/>
      <c r="AQ1"/>
    </row>
    <row r="2" spans="1:45" ht="50.45" customHeight="1" thickTop="1" thickBot="1">
      <c r="A2" s="127"/>
      <c r="B2" s="533" t="s">
        <v>75</v>
      </c>
      <c r="C2" s="533"/>
      <c r="D2" s="533"/>
      <c r="E2" s="533"/>
      <c r="F2" s="533"/>
      <c r="G2" s="533"/>
      <c r="H2" s="297"/>
      <c r="I2" s="535" t="s">
        <v>76</v>
      </c>
      <c r="J2" s="535"/>
      <c r="K2" s="538" t="s">
        <v>495</v>
      </c>
      <c r="L2" s="538"/>
      <c r="M2" s="538"/>
      <c r="N2" s="538"/>
      <c r="O2" s="538"/>
      <c r="P2" s="538"/>
      <c r="Q2" s="538"/>
      <c r="R2" s="538"/>
      <c r="S2" s="547" t="s">
        <v>78</v>
      </c>
      <c r="T2" s="547"/>
      <c r="U2" s="547"/>
      <c r="V2" s="547"/>
      <c r="W2" s="548"/>
      <c r="X2" s="549" t="s">
        <v>496</v>
      </c>
      <c r="Y2" s="550"/>
      <c r="Z2" s="550"/>
      <c r="AA2" s="550"/>
      <c r="AB2" s="550"/>
      <c r="AC2" s="550"/>
      <c r="AD2" s="550"/>
      <c r="AE2" s="551"/>
      <c r="AF2" s="486"/>
      <c r="AG2" s="486"/>
      <c r="AH2" s="561"/>
      <c r="AI2" s="561"/>
      <c r="AJ2" s="560" t="s">
        <v>497</v>
      </c>
      <c r="AK2" s="560"/>
      <c r="AL2" s="560"/>
      <c r="AM2" s="560"/>
      <c r="AN2" s="560"/>
      <c r="AO2" s="560"/>
      <c r="AP2" s="560"/>
      <c r="AQ2" s="560"/>
    </row>
    <row r="3" spans="1:45" ht="93.75" customHeight="1" thickTop="1" thickBot="1">
      <c r="A3" s="48" t="s">
        <v>88</v>
      </c>
      <c r="B3" s="125" t="s">
        <v>89</v>
      </c>
      <c r="C3" s="102" t="s">
        <v>90</v>
      </c>
      <c r="D3" s="102" t="s">
        <v>91</v>
      </c>
      <c r="E3" s="102" t="s">
        <v>92</v>
      </c>
      <c r="F3" s="47" t="s">
        <v>93</v>
      </c>
      <c r="G3" s="47" t="s">
        <v>94</v>
      </c>
      <c r="H3" s="47" t="s">
        <v>95</v>
      </c>
      <c r="I3" s="424" t="s">
        <v>96</v>
      </c>
      <c r="J3" s="48" t="s">
        <v>97</v>
      </c>
      <c r="K3" s="72" t="s">
        <v>98</v>
      </c>
      <c r="L3" s="80" t="s">
        <v>58</v>
      </c>
      <c r="M3" s="80" t="s">
        <v>60</v>
      </c>
      <c r="N3" s="80" t="s">
        <v>99</v>
      </c>
      <c r="O3" s="80" t="s">
        <v>100</v>
      </c>
      <c r="P3" s="80" t="s">
        <v>101</v>
      </c>
      <c r="Q3" s="80" t="s">
        <v>102</v>
      </c>
      <c r="R3" s="425" t="s">
        <v>103</v>
      </c>
      <c r="S3" s="144" t="s">
        <v>498</v>
      </c>
      <c r="T3" s="144" t="s">
        <v>104</v>
      </c>
      <c r="U3" s="144" t="s">
        <v>105</v>
      </c>
      <c r="V3" s="144" t="s">
        <v>106</v>
      </c>
      <c r="W3" s="169" t="s">
        <v>499</v>
      </c>
      <c r="X3" s="170" t="s">
        <v>108</v>
      </c>
      <c r="Y3" s="171" t="s">
        <v>109</v>
      </c>
      <c r="Z3" s="171" t="s">
        <v>110</v>
      </c>
      <c r="AA3" s="63" t="s">
        <v>111</v>
      </c>
      <c r="AB3" s="63" t="s">
        <v>112</v>
      </c>
      <c r="AC3" s="63" t="s">
        <v>500</v>
      </c>
      <c r="AD3" s="63" t="s">
        <v>114</v>
      </c>
      <c r="AE3" s="64" t="s">
        <v>115</v>
      </c>
      <c r="AF3" s="487" t="s">
        <v>501</v>
      </c>
      <c r="AG3" s="491" t="s">
        <v>502</v>
      </c>
      <c r="AH3" s="423" t="s">
        <v>503</v>
      </c>
      <c r="AI3" s="426" t="s">
        <v>148</v>
      </c>
      <c r="AJ3" s="496" t="s">
        <v>504</v>
      </c>
      <c r="AK3" s="496" t="s">
        <v>505</v>
      </c>
      <c r="AL3" s="496" t="s">
        <v>506</v>
      </c>
      <c r="AM3" s="496" t="s">
        <v>507</v>
      </c>
      <c r="AN3" s="496" t="s">
        <v>508</v>
      </c>
      <c r="AO3" s="496" t="s">
        <v>509</v>
      </c>
      <c r="AP3" s="496" t="s">
        <v>510</v>
      </c>
      <c r="AQ3" s="496" t="s">
        <v>511</v>
      </c>
      <c r="AR3" s="507" t="s">
        <v>512</v>
      </c>
      <c r="AS3" s="496" t="s">
        <v>513</v>
      </c>
    </row>
    <row r="4" spans="1:45" s="240" customFormat="1" ht="16.5" customHeight="1" thickTop="1">
      <c r="A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Global_PopulationHT0111</v>
      </c>
      <c r="B4" s="304" t="s">
        <v>152</v>
      </c>
      <c r="C4" s="213" t="s">
        <v>153</v>
      </c>
      <c r="D4" s="213" t="s">
        <v>154</v>
      </c>
      <c r="E4" s="103" t="s">
        <v>155</v>
      </c>
      <c r="F4" s="99"/>
      <c r="G4" s="34"/>
      <c r="H4" s="34"/>
      <c r="I4" s="96">
        <v>926906</v>
      </c>
      <c r="J4" s="221" t="s">
        <v>156</v>
      </c>
      <c r="K4" s="428">
        <v>143230</v>
      </c>
      <c r="L4" s="428">
        <v>108281</v>
      </c>
      <c r="M4" s="428">
        <v>95729</v>
      </c>
      <c r="N4" s="428">
        <v>312071</v>
      </c>
      <c r="O4" s="428">
        <v>765508.09164724161</v>
      </c>
      <c r="P4" s="428"/>
      <c r="Q4" s="428">
        <v>65966.700000000012</v>
      </c>
      <c r="R4" s="428">
        <v>143230</v>
      </c>
      <c r="S4" s="428"/>
      <c r="T4" s="428"/>
      <c r="U4" s="428"/>
      <c r="V4" s="428"/>
      <c r="W4" s="308"/>
      <c r="X4" s="317">
        <f>IFERROR(IF(tblPiNAnalysis5[[#This Row],[CCCM]]="", "", MROUND(tblPiNAnalysis5[[#This Row],[CCCM]]/tblPiNAnalysis5[[#This Row],[PIN]], 0.05)), "")</f>
        <v>0.4</v>
      </c>
      <c r="Y4" s="318">
        <f>IFERROR(IF(tblPiNAnalysis5[[#This Row],[Education]]="", "", MROUND(tblPiNAnalysis5[[#This Row],[Education]]/tblPiNAnalysis5[[#This Row],[PIN]], 0.05)), "")</f>
        <v>0.30000000000000004</v>
      </c>
      <c r="Z4" s="318">
        <f>IFERROR(IF(tblPiNAnalysis5[[#This Row],[Nutrition]]="", "", MROUND(tblPiNAnalysis5[[#This Row],[Nutrition]]/tblPiNAnalysis5[[#This Row],[PIN]], 0.05)), "")</f>
        <v>0.25</v>
      </c>
      <c r="AA4" s="318">
        <f>IFERROR(IF(tblPiNAnalysis5[[#This Row],[Food Security]]="", "", MROUND(tblPiNAnalysis5[[#This Row],[Food Security]]/tblPiNAnalysis5[[#This Row],[PIN]], 0.05)), "")</f>
        <v>0.9</v>
      </c>
      <c r="AB4" s="318">
        <f>IFERROR(IF(tblPiNAnalysis5[[#This Row],[Health]]="", "", MROUND(tblPiNAnalysis5[[#This Row],[Health]]/tblPiNAnalysis5[[#This Row],[PIN]], 0.05)), "")</f>
        <v>2.15</v>
      </c>
      <c r="AC4" s="319" t="str">
        <f>IFERROR(IF(tblPiNAnalysis5[[#This Row],[Protection]]="", "", MROUND(tblPiNAnalysis5[[#This Row],[Protection]]/tblPiNAnalysis5[[#This Row],[PIN]], 0.05)), "")</f>
        <v/>
      </c>
      <c r="AD4" s="319">
        <f>IFERROR(IF(tblPiNAnalysis5[[#This Row],[Shelter]]="", "", MROUND(tblPiNAnalysis5[[#This Row],[Shelter]]/tblPiNAnalysis5[[#This Row],[PIN]], 0.05)), "")</f>
        <v>0.2</v>
      </c>
      <c r="AE4" s="320">
        <f>IFERROR(IF(tblPiNAnalysis5[[#This Row],[WASH]]="", "", MROUND(tblPiNAnalysis5[[#This Row],[WASH]]/tblPiNAnalysis5[[#This Row],[PIN]], 0.05)), "")</f>
        <v>0.4</v>
      </c>
      <c r="AF4" s="488">
        <f>VLOOKUP(tblPiNAnalysis5[[#This Row],[ID]],tblPiNAnalysis[[ID]:[Final PiN]],63,FALSE)</f>
        <v>353355</v>
      </c>
      <c r="AG4" s="488">
        <f>IFERROR(IF(tblPiNAnalysis5[[#This Row],[Final TARGET]]="", "", MROUND(tblPiNAnalysis5[[#This Row],[Final TARGET]]/tblPiNAnalysis5[[#This Row],[PIN]], 0.05)), "")</f>
        <v>1</v>
      </c>
      <c r="AH4" s="322">
        <f>IF(MAX(tblPiNAnalysis5[[#This Row],[CCCM]:[WASH]])&lt;tblPiNAnalysis5[[#This Row],[PIN]],MAX(tblPiNAnalysis5[[#This Row],[CCCM]:[WASH]]),tblPiNAnalysis5[[#This Row],[PIN]])</f>
        <v>353355</v>
      </c>
      <c r="AI4" s="326"/>
      <c r="AJ4" s="502">
        <f>tblPiNAnalysis5[[#This Row],[CCCM]]</f>
        <v>143230</v>
      </c>
      <c r="AK4" s="498">
        <v>108281</v>
      </c>
      <c r="AL4" s="498">
        <v>73516</v>
      </c>
      <c r="AM4" s="498">
        <f>IF(VLOOKUP(tblPiNAnalysis5[[#This Row],[Admin 2 P-Code]],tblSeverityAnalysis[[Admin 2 P-Code]:[WASH]],10,FALSE)&gt;=4,VLOOKUP(tblPiNAnalysis5[[#This Row],[Admin 2 P-Code]],tblPiNAnalysis[[Admin 2 P-Code]:[WASH]],10,FALSE),0)</f>
        <v>353355</v>
      </c>
      <c r="AN4" s="502">
        <v>353355</v>
      </c>
      <c r="AO4" s="498"/>
      <c r="AP4" s="515">
        <v>65967</v>
      </c>
      <c r="AQ4" s="499">
        <v>143230</v>
      </c>
      <c r="AR4" s="384">
        <f>MIN(tblPiNAnalysis5[[#This Row],[Final TARGET]],MAX(tblPiNAnalysis5[[#This Row],[CCCM_PRI]:[WASH_PRI]]))</f>
        <v>353355</v>
      </c>
      <c r="AS4" s="384">
        <f>IF(VLOOKUP(tblPiNAnalysis5[[#This Row],[Admin 2 P-Code]],tblSeverityAnalysis[[Admin 2 P-Code]:[Final Severity]],43,FALSE)&gt;=4,VLOOKUP(tblPiNAnalysis5[[#This Row],[Admin 2 P-Code]],tblPiNAnalysis[[Admin 2 P-Code]:[WASH]],8,FALSE),0)</f>
        <v>120467</v>
      </c>
    </row>
    <row r="5" spans="1:45" s="240" customFormat="1" ht="16.5" customHeight="1">
      <c r="A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Global_PopulationHT0112</v>
      </c>
      <c r="B5" s="304" t="s">
        <v>152</v>
      </c>
      <c r="C5" s="213" t="s">
        <v>153</v>
      </c>
      <c r="D5" s="213" t="s">
        <v>158</v>
      </c>
      <c r="E5" s="103" t="s">
        <v>159</v>
      </c>
      <c r="F5" s="99"/>
      <c r="G5" s="34"/>
      <c r="H5" s="34"/>
      <c r="I5" s="96">
        <v>435779</v>
      </c>
      <c r="J5" s="221" t="s">
        <v>156</v>
      </c>
      <c r="K5" s="427">
        <v>29829</v>
      </c>
      <c r="L5" s="428">
        <v>36632</v>
      </c>
      <c r="M5" s="428">
        <v>43642</v>
      </c>
      <c r="N5" s="428">
        <v>36953</v>
      </c>
      <c r="O5" s="428">
        <v>108429.19404600158</v>
      </c>
      <c r="P5" s="428"/>
      <c r="Q5" s="428">
        <v>18521.3</v>
      </c>
      <c r="R5" s="428">
        <v>46849</v>
      </c>
      <c r="S5" s="428"/>
      <c r="T5" s="428"/>
      <c r="U5" s="428"/>
      <c r="V5" s="428"/>
      <c r="W5" s="308"/>
      <c r="X5" s="317">
        <f>IFERROR(IF(tblPiNAnalysis5[[#This Row],[CCCM]]="", "", MROUND(tblPiNAnalysis5[[#This Row],[CCCM]]/tblPiNAnalysis5[[#This Row],[PIN]], 0.05)), "")</f>
        <v>0.15000000000000002</v>
      </c>
      <c r="Y5" s="318">
        <f>IFERROR(IF(tblPiNAnalysis5[[#This Row],[Education]]="", "", MROUND(tblPiNAnalysis5[[#This Row],[Education]]/tblPiNAnalysis5[[#This Row],[PIN]], 0.05)), "")</f>
        <v>0.2</v>
      </c>
      <c r="Z5" s="318">
        <f>IFERROR(IF(tblPiNAnalysis5[[#This Row],[Nutrition]]="", "", MROUND(tblPiNAnalysis5[[#This Row],[Nutrition]]/tblPiNAnalysis5[[#This Row],[PIN]], 0.05)), "")</f>
        <v>0.25</v>
      </c>
      <c r="AA5" s="318">
        <f>IFERROR(IF(tblPiNAnalysis5[[#This Row],[Food Security]]="", "", MROUND(tblPiNAnalysis5[[#This Row],[Food Security]]/tblPiNAnalysis5[[#This Row],[PIN]], 0.05)), "")</f>
        <v>0.2</v>
      </c>
      <c r="AB5" s="318">
        <f>IFERROR(IF(tblPiNAnalysis5[[#This Row],[Health]]="", "", MROUND(tblPiNAnalysis5[[#This Row],[Health]]/tblPiNAnalysis5[[#This Row],[PIN]], 0.05)), "")</f>
        <v>0.60000000000000009</v>
      </c>
      <c r="AC5" s="319" t="str">
        <f>IFERROR(IF(tblPiNAnalysis5[[#This Row],[Protection]]="", "", MROUND(tblPiNAnalysis5[[#This Row],[Protection]]/tblPiNAnalysis5[[#This Row],[PIN]], 0.05)), "")</f>
        <v/>
      </c>
      <c r="AD5" s="319">
        <f>IFERROR(IF(tblPiNAnalysis5[[#This Row],[Shelter]]="", "", MROUND(tblPiNAnalysis5[[#This Row],[Shelter]]/tblPiNAnalysis5[[#This Row],[PIN]], 0.05)), "")</f>
        <v>0.1</v>
      </c>
      <c r="AE5" s="320">
        <f>IFERROR(IF(tblPiNAnalysis5[[#This Row],[WASH]]="", "", MROUND(tblPiNAnalysis5[[#This Row],[WASH]]/tblPiNAnalysis5[[#This Row],[PIN]], 0.05)), "")</f>
        <v>0.25</v>
      </c>
      <c r="AF5" s="488">
        <f>VLOOKUP(tblPiNAnalysis5[[#This Row],[ID]],tblPiNAnalysis[[ID]:[Final PiN]],63,FALSE)</f>
        <v>174122</v>
      </c>
      <c r="AG5" s="488">
        <f>IFERROR(IF(tblPiNAnalysis5[[#This Row],[Final TARGET]]="", "", MROUND(tblPiNAnalysis5[[#This Row],[Final TARGET]]/tblPiNAnalysis5[[#This Row],[PIN]], 0.05)), "")</f>
        <v>0.60000000000000009</v>
      </c>
      <c r="AH5" s="322">
        <f>IF(MAX(tblPiNAnalysis5[[#This Row],[CCCM]:[WASH]])&lt;tblPiNAnalysis5[[#This Row],[PIN]],MAX(tblPiNAnalysis5[[#This Row],[CCCM]:[WASH]]),tblPiNAnalysis5[[#This Row],[PIN]])</f>
        <v>108429.19404600158</v>
      </c>
      <c r="AI5" s="326"/>
      <c r="AJ5" s="502">
        <f>tblPiNAnalysis5[[#This Row],[CCCM]]</f>
        <v>29829</v>
      </c>
      <c r="AK5" s="498">
        <v>36632</v>
      </c>
      <c r="AL5" s="498">
        <v>36109</v>
      </c>
      <c r="AM5" s="498">
        <f>IF(VLOOKUP(tblPiNAnalysis5[[#This Row],[Admin 2 P-Code]],tblSeverityAnalysis[[Admin 2 P-Code]:[WASH]],10,FALSE)&gt;=4,VLOOKUP(tblPiNAnalysis5[[#This Row],[Admin 2 P-Code]],tblPiNAnalysis[[Admin 2 P-Code]:[WASH]],10,FALSE),0)</f>
        <v>0</v>
      </c>
      <c r="AN5" s="502">
        <v>108429.19404600158</v>
      </c>
      <c r="AO5" s="498"/>
      <c r="AP5" s="515">
        <v>18521</v>
      </c>
      <c r="AQ5" s="499">
        <v>29829</v>
      </c>
      <c r="AR5" s="384">
        <f>MIN(tblPiNAnalysis5[[#This Row],[Final TARGET]],MAX(tblPiNAnalysis5[[#This Row],[CCCM_PRI]:[WASH_PRI]]))</f>
        <v>108429.19404600158</v>
      </c>
      <c r="AS5" s="384">
        <f>IF(VLOOKUP(tblPiNAnalysis5[[#This Row],[Admin 2 P-Code]],tblSeverityAnalysis[[Admin 2 P-Code]:[Final Severity]],43,FALSE)&gt;=4,VLOOKUP(tblPiNAnalysis5[[#This Row],[Admin 2 P-Code]],tblPiNAnalysis[[Admin 2 P-Code]:[WASH]],8,FALSE),0)</f>
        <v>43362</v>
      </c>
    </row>
    <row r="6" spans="1:45" s="240" customFormat="1" ht="16.5" customHeight="1">
      <c r="A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Global_PopulationHT0113</v>
      </c>
      <c r="B6" s="304" t="s">
        <v>152</v>
      </c>
      <c r="C6" s="213" t="s">
        <v>153</v>
      </c>
      <c r="D6" s="213" t="s">
        <v>160</v>
      </c>
      <c r="E6" s="103" t="s">
        <v>161</v>
      </c>
      <c r="F6" s="99"/>
      <c r="G6" s="34"/>
      <c r="H6" s="34"/>
      <c r="I6" s="96">
        <v>460506</v>
      </c>
      <c r="J6" s="221" t="s">
        <v>156</v>
      </c>
      <c r="K6" s="427">
        <v>1516</v>
      </c>
      <c r="L6" s="428">
        <v>40205</v>
      </c>
      <c r="M6" s="428">
        <v>44305</v>
      </c>
      <c r="N6" s="428">
        <v>50062</v>
      </c>
      <c r="O6" s="428">
        <v>317267.19035006355</v>
      </c>
      <c r="P6" s="428"/>
      <c r="Q6" s="428">
        <v>2105.1999999999998</v>
      </c>
      <c r="R6" s="428">
        <v>8106</v>
      </c>
      <c r="S6" s="428"/>
      <c r="T6" s="428"/>
      <c r="U6" s="428"/>
      <c r="V6" s="428"/>
      <c r="W6" s="308"/>
      <c r="X6" s="317">
        <f>IFERROR(IF(tblPiNAnalysis5[[#This Row],[CCCM]]="", "", MROUND(tblPiNAnalysis5[[#This Row],[CCCM]]/tblPiNAnalysis5[[#This Row],[PIN]], 0.05)), "")</f>
        <v>0</v>
      </c>
      <c r="Y6" s="318">
        <f>IFERROR(IF(tblPiNAnalysis5[[#This Row],[Education]]="", "", MROUND(tblPiNAnalysis5[[#This Row],[Education]]/tblPiNAnalysis5[[#This Row],[PIN]], 0.05)), "")</f>
        <v>0.35000000000000003</v>
      </c>
      <c r="Z6" s="318">
        <f>IFERROR(IF(tblPiNAnalysis5[[#This Row],[Nutrition]]="", "", MROUND(tblPiNAnalysis5[[#This Row],[Nutrition]]/tblPiNAnalysis5[[#This Row],[PIN]], 0.05)), "")</f>
        <v>0.4</v>
      </c>
      <c r="AA6" s="318">
        <f>IFERROR(IF(tblPiNAnalysis5[[#This Row],[Food Security]]="", "", MROUND(tblPiNAnalysis5[[#This Row],[Food Security]]/tblPiNAnalysis5[[#This Row],[PIN]], 0.05)), "")</f>
        <v>0.45</v>
      </c>
      <c r="AB6" s="318">
        <f>IFERROR(IF(tblPiNAnalysis5[[#This Row],[Health]]="", "", MROUND(tblPiNAnalysis5[[#This Row],[Health]]/tblPiNAnalysis5[[#This Row],[PIN]], 0.05)), "")</f>
        <v>2.75</v>
      </c>
      <c r="AC6" s="319" t="str">
        <f>IFERROR(IF(tblPiNAnalysis5[[#This Row],[Protection]]="", "", MROUND(tblPiNAnalysis5[[#This Row],[Protection]]/tblPiNAnalysis5[[#This Row],[PIN]], 0.05)), "")</f>
        <v/>
      </c>
      <c r="AD6" s="319">
        <f>IFERROR(IF(tblPiNAnalysis5[[#This Row],[Shelter]]="", "", MROUND(tblPiNAnalysis5[[#This Row],[Shelter]]/tblPiNAnalysis5[[#This Row],[PIN]], 0.05)), "")</f>
        <v>0</v>
      </c>
      <c r="AE6" s="320">
        <f>IFERROR(IF(tblPiNAnalysis5[[#This Row],[WASH]]="", "", MROUND(tblPiNAnalysis5[[#This Row],[WASH]]/tblPiNAnalysis5[[#This Row],[PIN]], 0.05)), "")</f>
        <v>0.05</v>
      </c>
      <c r="AF6" s="488">
        <f>VLOOKUP(tblPiNAnalysis5[[#This Row],[ID]],tblPiNAnalysis[[ID]:[Final PiN]],63,FALSE)</f>
        <v>115527</v>
      </c>
      <c r="AG6" s="488">
        <f>IFERROR(IF(tblPiNAnalysis5[[#This Row],[Final TARGET]]="", "", MROUND(tblPiNAnalysis5[[#This Row],[Final TARGET]]/tblPiNAnalysis5[[#This Row],[PIN]], 0.05)), "")</f>
        <v>1</v>
      </c>
      <c r="AH6" s="322">
        <f>IF(MAX(tblPiNAnalysis5[[#This Row],[CCCM]:[WASH]])&lt;tblPiNAnalysis5[[#This Row],[PIN]],MAX(tblPiNAnalysis5[[#This Row],[CCCM]:[WASH]]),tblPiNAnalysis5[[#This Row],[PIN]])</f>
        <v>115527</v>
      </c>
      <c r="AI6" s="326"/>
      <c r="AJ6" s="502">
        <f>tblPiNAnalysis5[[#This Row],[CCCM]]</f>
        <v>1516</v>
      </c>
      <c r="AK6" s="498">
        <v>19390</v>
      </c>
      <c r="AL6" s="498">
        <v>34356</v>
      </c>
      <c r="AM6" s="498">
        <f>IF(VLOOKUP(tblPiNAnalysis5[[#This Row],[Admin 2 P-Code]],tblSeverityAnalysis[[Admin 2 P-Code]:[WASH]],10,FALSE)&gt;=4,VLOOKUP(tblPiNAnalysis5[[#This Row],[Admin 2 P-Code]],tblPiNAnalysis[[Admin 2 P-Code]:[WASH]],10,FALSE),0)</f>
        <v>0</v>
      </c>
      <c r="AN6" s="502">
        <v>317267.19035006355</v>
      </c>
      <c r="AO6" s="498"/>
      <c r="AP6" s="515">
        <v>2105</v>
      </c>
      <c r="AQ6" s="499">
        <v>29232</v>
      </c>
      <c r="AR6" s="384">
        <f>MIN(tblPiNAnalysis5[[#This Row],[Final TARGET]],MAX(tblPiNAnalysis5[[#This Row],[CCCM_PRI]:[WASH_PRI]]))</f>
        <v>115527</v>
      </c>
      <c r="AS6" s="384">
        <f>IF(VLOOKUP(tblPiNAnalysis5[[#This Row],[Admin 2 P-Code]],tblSeverityAnalysis[[Admin 2 P-Code]:[Final Severity]],43,FALSE)&gt;=4,VLOOKUP(tblPiNAnalysis5[[#This Row],[Admin 2 P-Code]],tblPiNAnalysis[[Admin 2 P-Code]:[WASH]],8,FALSE),0)</f>
        <v>73069</v>
      </c>
    </row>
    <row r="7" spans="1:45" s="240" customFormat="1" ht="16.5" customHeight="1">
      <c r="A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Global_PopulationHT0114</v>
      </c>
      <c r="B7" s="304" t="s">
        <v>152</v>
      </c>
      <c r="C7" s="213" t="s">
        <v>153</v>
      </c>
      <c r="D7" s="213" t="s">
        <v>162</v>
      </c>
      <c r="E7" s="103" t="s">
        <v>163</v>
      </c>
      <c r="F7" s="99"/>
      <c r="G7" s="34"/>
      <c r="H7" s="34"/>
      <c r="I7" s="96">
        <v>394895</v>
      </c>
      <c r="J7" s="221" t="s">
        <v>156</v>
      </c>
      <c r="K7" s="427">
        <v>5730</v>
      </c>
      <c r="L7" s="428">
        <v>15599</v>
      </c>
      <c r="M7" s="428">
        <v>30080</v>
      </c>
      <c r="N7" s="428">
        <v>42063</v>
      </c>
      <c r="O7" s="428">
        <v>103609.90086886453</v>
      </c>
      <c r="P7" s="428"/>
      <c r="Q7" s="430">
        <v>4065.7</v>
      </c>
      <c r="R7" s="428">
        <v>14775</v>
      </c>
      <c r="S7" s="428"/>
      <c r="T7" s="428"/>
      <c r="U7" s="428"/>
      <c r="V7" s="428"/>
      <c r="W7" s="308"/>
      <c r="X7" s="317">
        <f>IFERROR(IF(tblPiNAnalysis5[[#This Row],[CCCM]]="", "", MROUND(tblPiNAnalysis5[[#This Row],[CCCM]]/tblPiNAnalysis5[[#This Row],[PIN]], 0.05)), "")</f>
        <v>0.05</v>
      </c>
      <c r="Y7" s="318">
        <f>IFERROR(IF(tblPiNAnalysis5[[#This Row],[Education]]="", "", MROUND(tblPiNAnalysis5[[#This Row],[Education]]/tblPiNAnalysis5[[#This Row],[PIN]], 0.05)), "")</f>
        <v>0.15000000000000002</v>
      </c>
      <c r="Z7" s="318">
        <f>IFERROR(IF(tblPiNAnalysis5[[#This Row],[Nutrition]]="", "", MROUND(tblPiNAnalysis5[[#This Row],[Nutrition]]/tblPiNAnalysis5[[#This Row],[PIN]], 0.05)), "")</f>
        <v>0.25</v>
      </c>
      <c r="AA7" s="318">
        <f>IFERROR(IF(tblPiNAnalysis5[[#This Row],[Food Security]]="", "", MROUND(tblPiNAnalysis5[[#This Row],[Food Security]]/tblPiNAnalysis5[[#This Row],[PIN]], 0.05)), "")</f>
        <v>0.35000000000000003</v>
      </c>
      <c r="AB7" s="318">
        <f>IFERROR(IF(tblPiNAnalysis5[[#This Row],[Health]]="", "", MROUND(tblPiNAnalysis5[[#This Row],[Health]]/tblPiNAnalysis5[[#This Row],[PIN]], 0.05)), "")</f>
        <v>0.9</v>
      </c>
      <c r="AC7" s="319" t="str">
        <f>IFERROR(IF(tblPiNAnalysis5[[#This Row],[Protection]]="", "", MROUND(tblPiNAnalysis5[[#This Row],[Protection]]/tblPiNAnalysis5[[#This Row],[PIN]], 0.05)), "")</f>
        <v/>
      </c>
      <c r="AD7" s="319">
        <f>IFERROR(IF(tblPiNAnalysis5[[#This Row],[Shelter]]="", "", MROUND(tblPiNAnalysis5[[#This Row],[Shelter]]/tblPiNAnalysis5[[#This Row],[PIN]], 0.05)), "")</f>
        <v>0.05</v>
      </c>
      <c r="AE7" s="320">
        <f>IFERROR(IF(tblPiNAnalysis5[[#This Row],[WASH]]="", "", MROUND(tblPiNAnalysis5[[#This Row],[WASH]]/tblPiNAnalysis5[[#This Row],[PIN]], 0.05)), "")</f>
        <v>0.15000000000000002</v>
      </c>
      <c r="AF7" s="488">
        <f>VLOOKUP(tblPiNAnalysis5[[#This Row],[ID]],tblPiNAnalysis[[ID]:[Final PiN]],63,FALSE)</f>
        <v>116694</v>
      </c>
      <c r="AG7" s="488">
        <f>IFERROR(IF(tblPiNAnalysis5[[#This Row],[Final TARGET]]="", "", MROUND(tblPiNAnalysis5[[#This Row],[Final TARGET]]/tblPiNAnalysis5[[#This Row],[PIN]], 0.05)), "")</f>
        <v>0.9</v>
      </c>
      <c r="AH7" s="322">
        <f>IF(MAX(tblPiNAnalysis5[[#This Row],[CCCM]:[WASH]])&lt;tblPiNAnalysis5[[#This Row],[PIN]],MAX(tblPiNAnalysis5[[#This Row],[CCCM]:[WASH]]),tblPiNAnalysis5[[#This Row],[PIN]])</f>
        <v>103609.90086886453</v>
      </c>
      <c r="AI7" s="326"/>
      <c r="AJ7" s="502">
        <f>tblPiNAnalysis5[[#This Row],[CCCM]]</f>
        <v>5730</v>
      </c>
      <c r="AK7" s="498">
        <v>9719</v>
      </c>
      <c r="AL7" s="498">
        <v>22561</v>
      </c>
      <c r="AM7" s="498">
        <f>IF(VLOOKUP(tblPiNAnalysis5[[#This Row],[Admin 2 P-Code]],tblSeverityAnalysis[[Admin 2 P-Code]:[WASH]],10,FALSE)&gt;=4,VLOOKUP(tblPiNAnalysis5[[#This Row],[Admin 2 P-Code]],tblPiNAnalysis[[Admin 2 P-Code]:[WASH]],10,FALSE),0)</f>
        <v>0</v>
      </c>
      <c r="AN7" s="502">
        <v>103609.90086886453</v>
      </c>
      <c r="AO7" s="498"/>
      <c r="AP7" s="515">
        <v>4066</v>
      </c>
      <c r="AQ7" s="499">
        <v>18312</v>
      </c>
      <c r="AR7" s="384">
        <f>MIN(tblPiNAnalysis5[[#This Row],[Final TARGET]],MAX(tblPiNAnalysis5[[#This Row],[CCCM_PRI]:[WASH_PRI]]))</f>
        <v>103609.90086886453</v>
      </c>
      <c r="AS7" s="384">
        <f>IF(VLOOKUP(tblPiNAnalysis5[[#This Row],[Admin 2 P-Code]],tblSeverityAnalysis[[Admin 2 P-Code]:[Final Severity]],43,FALSE)&gt;=4,VLOOKUP(tblPiNAnalysis5[[#This Row],[Admin 2 P-Code]],tblPiNAnalysis[[Admin 2 P-Code]:[WASH]],8,FALSE),0)</f>
        <v>24780</v>
      </c>
    </row>
    <row r="8" spans="1:45" ht="16.5" customHeight="1">
      <c r="A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Global_PopulationHT0115</v>
      </c>
      <c r="B8" s="304" t="s">
        <v>152</v>
      </c>
      <c r="C8" s="213" t="s">
        <v>153</v>
      </c>
      <c r="D8" s="213" t="s">
        <v>164</v>
      </c>
      <c r="E8" s="103" t="s">
        <v>165</v>
      </c>
      <c r="F8" s="99"/>
      <c r="G8" s="34"/>
      <c r="H8" s="34"/>
      <c r="I8" s="96">
        <v>63006</v>
      </c>
      <c r="J8" s="221" t="s">
        <v>156</v>
      </c>
      <c r="K8" s="427">
        <v>433</v>
      </c>
      <c r="L8" s="428">
        <v>5803</v>
      </c>
      <c r="M8" s="428">
        <v>4645</v>
      </c>
      <c r="N8" s="428">
        <v>9997</v>
      </c>
      <c r="O8" s="428">
        <v>1928.822707081403</v>
      </c>
      <c r="P8" s="428"/>
      <c r="Q8" s="428">
        <v>492.6</v>
      </c>
      <c r="R8" s="428">
        <v>7289.74663752983</v>
      </c>
      <c r="S8" s="428"/>
      <c r="T8" s="428"/>
      <c r="U8" s="428"/>
      <c r="V8" s="428"/>
      <c r="W8" s="308"/>
      <c r="X8" s="317">
        <f>IFERROR(IF(tblPiNAnalysis5[[#This Row],[CCCM]]="", "", MROUND(tblPiNAnalysis5[[#This Row],[CCCM]]/tblPiNAnalysis5[[#This Row],[PIN]], 0.05)), "")</f>
        <v>0</v>
      </c>
      <c r="Y8" s="318">
        <f>IFERROR(IF(tblPiNAnalysis5[[#This Row],[Education]]="", "", MROUND(tblPiNAnalysis5[[#This Row],[Education]]/tblPiNAnalysis5[[#This Row],[PIN]], 0.05)), "")</f>
        <v>0.1</v>
      </c>
      <c r="Z8" s="318">
        <f>IFERROR(IF(tblPiNAnalysis5[[#This Row],[Nutrition]]="", "", MROUND(tblPiNAnalysis5[[#This Row],[Nutrition]]/tblPiNAnalysis5[[#This Row],[PIN]], 0.05)), "")</f>
        <v>0.1</v>
      </c>
      <c r="AA8" s="318">
        <f>IFERROR(IF(tblPiNAnalysis5[[#This Row],[Food Security]]="", "", MROUND(tblPiNAnalysis5[[#This Row],[Food Security]]/tblPiNAnalysis5[[#This Row],[PIN]], 0.05)), "")</f>
        <v>0.2</v>
      </c>
      <c r="AB8" s="318">
        <f>IFERROR(IF(tblPiNAnalysis5[[#This Row],[Health]]="", "", MROUND(tblPiNAnalysis5[[#This Row],[Health]]/tblPiNAnalysis5[[#This Row],[PIN]], 0.05)), "")</f>
        <v>0.05</v>
      </c>
      <c r="AC8" s="319" t="str">
        <f>IFERROR(IF(tblPiNAnalysis5[[#This Row],[Protection]]="", "", MROUND(tblPiNAnalysis5[[#This Row],[Protection]]/tblPiNAnalysis5[[#This Row],[PIN]], 0.05)), "")</f>
        <v/>
      </c>
      <c r="AD8" s="319">
        <f>IFERROR(IF(tblPiNAnalysis5[[#This Row],[Shelter]]="", "", MROUND(tblPiNAnalysis5[[#This Row],[Shelter]]/tblPiNAnalysis5[[#This Row],[PIN]], 0.05)), "")</f>
        <v>0</v>
      </c>
      <c r="AE8" s="320">
        <f>IFERROR(IF(tblPiNAnalysis5[[#This Row],[WASH]]="", "", MROUND(tblPiNAnalysis5[[#This Row],[WASH]]/tblPiNAnalysis5[[#This Row],[PIN]], 0.05)), "")</f>
        <v>0.15000000000000002</v>
      </c>
      <c r="AF8" s="488">
        <f>VLOOKUP(tblPiNAnalysis5[[#This Row],[ID]],tblPiNAnalysis[[ID]:[Final PiN]],63,FALSE)</f>
        <v>56705</v>
      </c>
      <c r="AG8" s="488">
        <f>IFERROR(IF(tblPiNAnalysis5[[#This Row],[Final TARGET]]="", "", MROUND(tblPiNAnalysis5[[#This Row],[Final TARGET]]/tblPiNAnalysis5[[#This Row],[PIN]], 0.05)), "")</f>
        <v>0.2</v>
      </c>
      <c r="AH8" s="322">
        <f>IF(MAX(tblPiNAnalysis5[[#This Row],[CCCM]:[WASH]])&lt;tblPiNAnalysis5[[#This Row],[PIN]],MAX(tblPiNAnalysis5[[#This Row],[CCCM]:[WASH]]),tblPiNAnalysis5[[#This Row],[PIN]])</f>
        <v>9997</v>
      </c>
      <c r="AI8" s="326"/>
      <c r="AJ8" s="502">
        <f>tblPiNAnalysis5[[#This Row],[CCCM]]</f>
        <v>433</v>
      </c>
      <c r="AK8" s="500">
        <v>5803</v>
      </c>
      <c r="AL8" s="500">
        <v>3435</v>
      </c>
      <c r="AM8" s="500">
        <f>IF(VLOOKUP(tblPiNAnalysis5[[#This Row],[Admin 2 P-Code]],tblSeverityAnalysis[[Admin 2 P-Code]:[WASH]],10,FALSE)&gt;=4,VLOOKUP(tblPiNAnalysis5[[#This Row],[Admin 2 P-Code]],tblPiNAnalysis[[Admin 2 P-Code]:[WASH]],10,FALSE),0)</f>
        <v>0</v>
      </c>
      <c r="AN8" s="503">
        <v>1928.822707081403</v>
      </c>
      <c r="AO8" s="500"/>
      <c r="AP8" s="516">
        <v>493</v>
      </c>
      <c r="AQ8" s="501">
        <v>7289.74663752983</v>
      </c>
      <c r="AR8" s="383">
        <f>MIN(tblPiNAnalysis5[[#This Row],[Final TARGET]],MAX(tblPiNAnalysis5[[#This Row],[CCCM_PRI]:[WASH_PRI]]))</f>
        <v>7289.74663752983</v>
      </c>
      <c r="AS8" s="383">
        <f>IF(VLOOKUP(tblPiNAnalysis5[[#This Row],[Admin 2 P-Code]],tblSeverityAnalysis[[Admin 2 P-Code]:[Final Severity]],43,FALSE)&gt;=4,VLOOKUP(tblPiNAnalysis5[[#This Row],[Admin 2 P-Code]],tblPiNAnalysis[[Admin 2 P-Code]:[WASH]],8,FALSE),0)</f>
        <v>8318</v>
      </c>
    </row>
    <row r="9" spans="1:45" ht="16.5" customHeight="1">
      <c r="A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Global_PopulationHT0116</v>
      </c>
      <c r="B9" s="304" t="s">
        <v>152</v>
      </c>
      <c r="C9" s="213" t="s">
        <v>153</v>
      </c>
      <c r="D9" s="213" t="s">
        <v>166</v>
      </c>
      <c r="E9" s="103" t="s">
        <v>167</v>
      </c>
      <c r="F9" s="99"/>
      <c r="G9" s="34"/>
      <c r="H9" s="34"/>
      <c r="I9" s="96">
        <v>3987</v>
      </c>
      <c r="J9" s="221" t="s">
        <v>156</v>
      </c>
      <c r="K9" s="427">
        <v>0</v>
      </c>
      <c r="L9" s="428">
        <v>192</v>
      </c>
      <c r="M9" s="428">
        <v>2140</v>
      </c>
      <c r="N9" s="428">
        <v>5955</v>
      </c>
      <c r="O9" s="428">
        <v>1024.262603461249</v>
      </c>
      <c r="P9" s="428"/>
      <c r="Q9" s="428">
        <v>202.20000000000002</v>
      </c>
      <c r="R9" s="428">
        <v>168</v>
      </c>
      <c r="S9" s="428"/>
      <c r="T9" s="428"/>
      <c r="U9" s="428"/>
      <c r="V9" s="428"/>
      <c r="W9" s="308"/>
      <c r="X9" s="317">
        <f>IFERROR(IF(tblPiNAnalysis5[[#This Row],[CCCM]]="", "", MROUND(tblPiNAnalysis5[[#This Row],[CCCM]]/tblPiNAnalysis5[[#This Row],[PIN]], 0.05)), "")</f>
        <v>0</v>
      </c>
      <c r="Y9" s="318">
        <f>IFERROR(IF(tblPiNAnalysis5[[#This Row],[Education]]="", "", MROUND(tblPiNAnalysis5[[#This Row],[Education]]/tblPiNAnalysis5[[#This Row],[PIN]], 0.05)), "")</f>
        <v>0.1</v>
      </c>
      <c r="Z9" s="318">
        <f>IFERROR(IF(tblPiNAnalysis5[[#This Row],[Nutrition]]="", "", MROUND(tblPiNAnalysis5[[#This Row],[Nutrition]]/tblPiNAnalysis5[[#This Row],[PIN]], 0.05)), "")</f>
        <v>0.95000000000000007</v>
      </c>
      <c r="AA9" s="318">
        <f>IFERROR(IF(tblPiNAnalysis5[[#This Row],[Food Security]]="", "", MROUND(tblPiNAnalysis5[[#This Row],[Food Security]]/tblPiNAnalysis5[[#This Row],[PIN]], 0.05)), "")</f>
        <v>2.7</v>
      </c>
      <c r="AB9" s="318">
        <f>IFERROR(IF(tblPiNAnalysis5[[#This Row],[Health]]="", "", MROUND(tblPiNAnalysis5[[#This Row],[Health]]/tblPiNAnalysis5[[#This Row],[PIN]], 0.05)), "")</f>
        <v>0.45</v>
      </c>
      <c r="AC9" s="319" t="str">
        <f>IFERROR(IF(tblPiNAnalysis5[[#This Row],[Protection]]="", "", MROUND(tblPiNAnalysis5[[#This Row],[Protection]]/tblPiNAnalysis5[[#This Row],[PIN]], 0.05)), "")</f>
        <v/>
      </c>
      <c r="AD9" s="319">
        <f>IFERROR(IF(tblPiNAnalysis5[[#This Row],[Shelter]]="", "", MROUND(tblPiNAnalysis5[[#This Row],[Shelter]]/tblPiNAnalysis5[[#This Row],[PIN]], 0.05)), "")</f>
        <v>0.1</v>
      </c>
      <c r="AE9" s="320">
        <f>IFERROR(IF(tblPiNAnalysis5[[#This Row],[WASH]]="", "", MROUND(tblPiNAnalysis5[[#This Row],[WASH]]/tblPiNAnalysis5[[#This Row],[PIN]], 0.05)), "")</f>
        <v>0.1</v>
      </c>
      <c r="AF9" s="488">
        <f>VLOOKUP(tblPiNAnalysis5[[#This Row],[ID]],tblPiNAnalysis[[ID]:[Final PiN]],63,FALSE)</f>
        <v>2224</v>
      </c>
      <c r="AG9" s="488">
        <f>IFERROR(IF(tblPiNAnalysis5[[#This Row],[Final TARGET]]="", "", MROUND(tblPiNAnalysis5[[#This Row],[Final TARGET]]/tblPiNAnalysis5[[#This Row],[PIN]], 0.05)), "")</f>
        <v>1</v>
      </c>
      <c r="AH9" s="322">
        <f>IF(MAX(tblPiNAnalysis5[[#This Row],[CCCM]:[WASH]])&lt;tblPiNAnalysis5[[#This Row],[PIN]],MAX(tblPiNAnalysis5[[#This Row],[CCCM]:[WASH]]),tblPiNAnalysis5[[#This Row],[PIN]])</f>
        <v>2224</v>
      </c>
      <c r="AI9" s="326"/>
      <c r="AJ9" s="502">
        <f>tblPiNAnalysis5[[#This Row],[CCCM]]</f>
        <v>0</v>
      </c>
      <c r="AK9" s="500">
        <v>134</v>
      </c>
      <c r="AL9" s="500">
        <v>1581</v>
      </c>
      <c r="AM9" s="500">
        <f>IF(VLOOKUP(tblPiNAnalysis5[[#This Row],[Admin 2 P-Code]],tblSeverityAnalysis[[Admin 2 P-Code]:[WASH]],10,FALSE)&gt;=4,VLOOKUP(tblPiNAnalysis5[[#This Row],[Admin 2 P-Code]],tblPiNAnalysis[[Admin 2 P-Code]:[WASH]],10,FALSE),0)</f>
        <v>0</v>
      </c>
      <c r="AN9" s="503">
        <v>0</v>
      </c>
      <c r="AO9" s="500"/>
      <c r="AP9" s="516">
        <v>202</v>
      </c>
      <c r="AQ9" s="501">
        <v>672</v>
      </c>
      <c r="AR9" s="383">
        <f>MIN(tblPiNAnalysis5[[#This Row],[Final TARGET]],MAX(tblPiNAnalysis5[[#This Row],[CCCM_PRI]:[WASH_PRI]]))</f>
        <v>1581</v>
      </c>
      <c r="AS9" s="383">
        <f>IF(VLOOKUP(tblPiNAnalysis5[[#This Row],[Admin 2 P-Code]],tblSeverityAnalysis[[Admin 2 P-Code]:[Final Severity]],43,FALSE)&gt;=4,VLOOKUP(tblPiNAnalysis5[[#This Row],[Admin 2 P-Code]],tblPiNAnalysis[[Admin 2 P-Code]:[WASH]],8,FALSE),0)</f>
        <v>279</v>
      </c>
    </row>
    <row r="10" spans="1:45" ht="16.5" customHeight="1">
      <c r="A1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Global_PopulationHT0117</v>
      </c>
      <c r="B10" s="304" t="s">
        <v>152</v>
      </c>
      <c r="C10" s="213" t="s">
        <v>153</v>
      </c>
      <c r="D10" s="213" t="s">
        <v>169</v>
      </c>
      <c r="E10" s="103" t="s">
        <v>170</v>
      </c>
      <c r="F10" s="99"/>
      <c r="G10" s="34"/>
      <c r="H10" s="34"/>
      <c r="I10" s="96">
        <v>287439</v>
      </c>
      <c r="J10" s="221" t="s">
        <v>156</v>
      </c>
      <c r="K10" s="427">
        <v>11918</v>
      </c>
      <c r="L10" s="428">
        <v>27628</v>
      </c>
      <c r="M10" s="428">
        <v>29301</v>
      </c>
      <c r="N10" s="428">
        <v>153044</v>
      </c>
      <c r="O10" s="428">
        <v>186993.02407016576</v>
      </c>
      <c r="P10" s="428"/>
      <c r="Q10" s="428">
        <v>7217.0999999999995</v>
      </c>
      <c r="R10" s="428">
        <v>11918</v>
      </c>
      <c r="S10" s="428"/>
      <c r="T10" s="428"/>
      <c r="U10" s="428"/>
      <c r="V10" s="428"/>
      <c r="W10" s="308"/>
      <c r="X10" s="317">
        <f>IFERROR(IF(tblPiNAnalysis5[[#This Row],[CCCM]]="", "", MROUND(tblPiNAnalysis5[[#This Row],[CCCM]]/tblPiNAnalysis5[[#This Row],[PIN]], 0.05)), "")</f>
        <v>0.05</v>
      </c>
      <c r="Y10" s="318">
        <f>IFERROR(IF(tblPiNAnalysis5[[#This Row],[Education]]="", "", MROUND(tblPiNAnalysis5[[#This Row],[Education]]/tblPiNAnalysis5[[#This Row],[PIN]], 0.05)), "")</f>
        <v>0.15000000000000002</v>
      </c>
      <c r="Z10" s="318">
        <f>IFERROR(IF(tblPiNAnalysis5[[#This Row],[Nutrition]]="", "", MROUND(tblPiNAnalysis5[[#This Row],[Nutrition]]/tblPiNAnalysis5[[#This Row],[PIN]], 0.05)), "")</f>
        <v>0.15000000000000002</v>
      </c>
      <c r="AA10" s="318">
        <f>IFERROR(IF(tblPiNAnalysis5[[#This Row],[Food Security]]="", "", MROUND(tblPiNAnalysis5[[#This Row],[Food Security]]/tblPiNAnalysis5[[#This Row],[PIN]], 0.05)), "")</f>
        <v>0.8</v>
      </c>
      <c r="AB10" s="318">
        <f>IFERROR(IF(tblPiNAnalysis5[[#This Row],[Health]]="", "", MROUND(tblPiNAnalysis5[[#This Row],[Health]]/tblPiNAnalysis5[[#This Row],[PIN]], 0.05)), "")</f>
        <v>1</v>
      </c>
      <c r="AC10" s="319" t="str">
        <f>IFERROR(IF(tblPiNAnalysis5[[#This Row],[Protection]]="", "", MROUND(tblPiNAnalysis5[[#This Row],[Protection]]/tblPiNAnalysis5[[#This Row],[PIN]], 0.05)), "")</f>
        <v/>
      </c>
      <c r="AD10" s="319">
        <f>IFERROR(IF(tblPiNAnalysis5[[#This Row],[Shelter]]="", "", MROUND(tblPiNAnalysis5[[#This Row],[Shelter]]/tblPiNAnalysis5[[#This Row],[PIN]], 0.05)), "")</f>
        <v>0.05</v>
      </c>
      <c r="AE10" s="320">
        <f>IFERROR(IF(tblPiNAnalysis5[[#This Row],[WASH]]="", "", MROUND(tblPiNAnalysis5[[#This Row],[WASH]]/tblPiNAnalysis5[[#This Row],[PIN]], 0.05)), "")</f>
        <v>0.05</v>
      </c>
      <c r="AF10" s="488">
        <f>VLOOKUP(tblPiNAnalysis5[[#This Row],[ID]],tblPiNAnalysis[[ID]:[Final PiN]],63,FALSE)</f>
        <v>186993.02407016576</v>
      </c>
      <c r="AG10" s="488">
        <f>IFERROR(IF(tblPiNAnalysis5[[#This Row],[Final TARGET]]="", "", MROUND(tblPiNAnalysis5[[#This Row],[Final TARGET]]/tblPiNAnalysis5[[#This Row],[PIN]], 0.05)), "")</f>
        <v>1</v>
      </c>
      <c r="AH10" s="322">
        <f>IF(MAX(tblPiNAnalysis5[[#This Row],[CCCM]:[WASH]])&lt;tblPiNAnalysis5[[#This Row],[PIN]],MAX(tblPiNAnalysis5[[#This Row],[CCCM]:[WASH]]),tblPiNAnalysis5[[#This Row],[PIN]])</f>
        <v>186993.02407016576</v>
      </c>
      <c r="AI10" s="326"/>
      <c r="AJ10" s="502">
        <f>tblPiNAnalysis5[[#This Row],[CCCM]]</f>
        <v>11918</v>
      </c>
      <c r="AK10" s="500">
        <v>27628</v>
      </c>
      <c r="AL10" s="500">
        <v>24868</v>
      </c>
      <c r="AM10" s="500">
        <f>IF(VLOOKUP(tblPiNAnalysis5[[#This Row],[Admin 2 P-Code]],tblSeverityAnalysis[[Admin 2 P-Code]:[WASH]],10,FALSE)&gt;=4,VLOOKUP(tblPiNAnalysis5[[#This Row],[Admin 2 P-Code]],tblPiNAnalysis[[Admin 2 P-Code]:[WASH]],10,FALSE),0)</f>
        <v>173258</v>
      </c>
      <c r="AN10" s="503">
        <v>186993.02407016576</v>
      </c>
      <c r="AO10" s="500"/>
      <c r="AP10" s="516">
        <v>7217</v>
      </c>
      <c r="AQ10" s="501">
        <v>208488</v>
      </c>
      <c r="AR10" s="383">
        <f>MIN(tblPiNAnalysis5[[#This Row],[Final TARGET]],MAX(tblPiNAnalysis5[[#This Row],[CCCM_PRI]:[WASH_PRI]]))</f>
        <v>186993.02407016576</v>
      </c>
      <c r="AS10" s="383">
        <f>IF(VLOOKUP(tblPiNAnalysis5[[#This Row],[Admin 2 P-Code]],tblSeverityAnalysis[[Admin 2 P-Code]:[Final Severity]],43,FALSE)&gt;=4,VLOOKUP(tblPiNAnalysis5[[#This Row],[Admin 2 P-Code]],tblPiNAnalysis[[Admin 2 P-Code]:[WASH]],8,FALSE),0)</f>
        <v>41745</v>
      </c>
    </row>
    <row r="11" spans="1:45" ht="16.5" customHeight="1">
      <c r="A1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Global_PopulationHT0118</v>
      </c>
      <c r="B11" s="304" t="s">
        <v>152</v>
      </c>
      <c r="C11" s="213" t="s">
        <v>153</v>
      </c>
      <c r="D11" s="213" t="s">
        <v>171</v>
      </c>
      <c r="E11" s="103" t="s">
        <v>172</v>
      </c>
      <c r="F11" s="99"/>
      <c r="G11" s="34"/>
      <c r="H11" s="34"/>
      <c r="I11" s="96">
        <v>141693</v>
      </c>
      <c r="J11" s="221" t="s">
        <v>156</v>
      </c>
      <c r="K11" s="427">
        <v>704</v>
      </c>
      <c r="L11" s="428">
        <v>9559</v>
      </c>
      <c r="M11" s="428">
        <v>12586</v>
      </c>
      <c r="N11" s="428">
        <v>11577</v>
      </c>
      <c r="O11" s="428">
        <v>76053.891446086564</v>
      </c>
      <c r="P11" s="428"/>
      <c r="Q11" s="428">
        <v>790.4</v>
      </c>
      <c r="R11" s="428">
        <v>2786</v>
      </c>
      <c r="S11" s="428"/>
      <c r="T11" s="428"/>
      <c r="U11" s="428"/>
      <c r="V11" s="428"/>
      <c r="W11" s="308"/>
      <c r="X11" s="317">
        <f>IFERROR(IF(tblPiNAnalysis5[[#This Row],[CCCM]]="", "", MROUND(tblPiNAnalysis5[[#This Row],[CCCM]]/tblPiNAnalysis5[[#This Row],[PIN]], 0.05)), "")</f>
        <v>0</v>
      </c>
      <c r="Y11" s="318">
        <f>IFERROR(IF(tblPiNAnalysis5[[#This Row],[Education]]="", "", MROUND(tblPiNAnalysis5[[#This Row],[Education]]/tblPiNAnalysis5[[#This Row],[PIN]], 0.05)), "")</f>
        <v>0.15000000000000002</v>
      </c>
      <c r="Z11" s="318">
        <f>IFERROR(IF(tblPiNAnalysis5[[#This Row],[Nutrition]]="", "", MROUND(tblPiNAnalysis5[[#This Row],[Nutrition]]/tblPiNAnalysis5[[#This Row],[PIN]], 0.05)), "")</f>
        <v>0.15000000000000002</v>
      </c>
      <c r="AA11" s="318">
        <f>IFERROR(IF(tblPiNAnalysis5[[#This Row],[Food Security]]="", "", MROUND(tblPiNAnalysis5[[#This Row],[Food Security]]/tblPiNAnalysis5[[#This Row],[PIN]], 0.05)), "")</f>
        <v>0.15000000000000002</v>
      </c>
      <c r="AB11" s="318">
        <f>IFERROR(IF(tblPiNAnalysis5[[#This Row],[Health]]="", "", MROUND(tblPiNAnalysis5[[#This Row],[Health]]/tblPiNAnalysis5[[#This Row],[PIN]], 0.05)), "")</f>
        <v>1</v>
      </c>
      <c r="AC11" s="319" t="str">
        <f>IFERROR(IF(tblPiNAnalysis5[[#This Row],[Protection]]="", "", MROUND(tblPiNAnalysis5[[#This Row],[Protection]]/tblPiNAnalysis5[[#This Row],[PIN]], 0.05)), "")</f>
        <v/>
      </c>
      <c r="AD11" s="319">
        <f>IFERROR(IF(tblPiNAnalysis5[[#This Row],[Shelter]]="", "", MROUND(tblPiNAnalysis5[[#This Row],[Shelter]]/tblPiNAnalysis5[[#This Row],[PIN]], 0.05)), "")</f>
        <v>0</v>
      </c>
      <c r="AE11" s="320">
        <f>IFERROR(IF(tblPiNAnalysis5[[#This Row],[WASH]]="", "", MROUND(tblPiNAnalysis5[[#This Row],[WASH]]/tblPiNAnalysis5[[#This Row],[PIN]], 0.05)), "")</f>
        <v>0.05</v>
      </c>
      <c r="AF11" s="488">
        <f>VLOOKUP(tblPiNAnalysis5[[#This Row],[ID]],tblPiNAnalysis[[ID]:[Final PiN]],63,FALSE)</f>
        <v>76053.891446086564</v>
      </c>
      <c r="AG11" s="488">
        <f>IFERROR(IF(tblPiNAnalysis5[[#This Row],[Final TARGET]]="", "", MROUND(tblPiNAnalysis5[[#This Row],[Final TARGET]]/tblPiNAnalysis5[[#This Row],[PIN]], 0.05)), "")</f>
        <v>1</v>
      </c>
      <c r="AH11" s="322">
        <f>IF(MAX(tblPiNAnalysis5[[#This Row],[CCCM]:[WASH]])&lt;tblPiNAnalysis5[[#This Row],[PIN]],MAX(tblPiNAnalysis5[[#This Row],[CCCM]:[WASH]]),tblPiNAnalysis5[[#This Row],[PIN]])</f>
        <v>76053.891446086564</v>
      </c>
      <c r="AI11" s="326"/>
      <c r="AJ11" s="502">
        <f>tblPiNAnalysis5[[#This Row],[CCCM]]</f>
        <v>704</v>
      </c>
      <c r="AK11" s="500">
        <v>9559</v>
      </c>
      <c r="AL11" s="500">
        <v>9673</v>
      </c>
      <c r="AM11" s="500">
        <f>IF(VLOOKUP(tblPiNAnalysis5[[#This Row],[Admin 2 P-Code]],tblSeverityAnalysis[[Admin 2 P-Code]:[WASH]],10,FALSE)&gt;=4,VLOOKUP(tblPiNAnalysis5[[#This Row],[Admin 2 P-Code]],tblPiNAnalysis[[Admin 2 P-Code]:[WASH]],10,FALSE),0)</f>
        <v>0</v>
      </c>
      <c r="AN11" s="503">
        <v>76053.891446086564</v>
      </c>
      <c r="AO11" s="500"/>
      <c r="AP11" s="516">
        <v>790</v>
      </c>
      <c r="AQ11" s="501">
        <v>8232</v>
      </c>
      <c r="AR11" s="383">
        <f>MIN(tblPiNAnalysis5[[#This Row],[Final TARGET]],MAX(tblPiNAnalysis5[[#This Row],[CCCM_PRI]:[WASH_PRI]]))</f>
        <v>76053.891446086564</v>
      </c>
      <c r="AS11" s="383">
        <f>IF(VLOOKUP(tblPiNAnalysis5[[#This Row],[Admin 2 P-Code]],tblSeverityAnalysis[[Admin 2 P-Code]:[Final Severity]],43,FALSE)&gt;=4,VLOOKUP(tblPiNAnalysis5[[#This Row],[Admin 2 P-Code]],tblPiNAnalysis[[Admin 2 P-Code]:[WASH]],8,FALSE),0)</f>
        <v>13798</v>
      </c>
    </row>
    <row r="12" spans="1:45" ht="16.5" customHeight="1">
      <c r="A1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Global_PopulationHT0121</v>
      </c>
      <c r="B12" s="304" t="s">
        <v>152</v>
      </c>
      <c r="C12" s="213" t="s">
        <v>153</v>
      </c>
      <c r="D12" s="213" t="s">
        <v>173</v>
      </c>
      <c r="E12" s="103" t="s">
        <v>174</v>
      </c>
      <c r="F12" s="99"/>
      <c r="G12" s="34"/>
      <c r="H12" s="34"/>
      <c r="I12" s="96">
        <v>233614</v>
      </c>
      <c r="J12" s="221" t="s">
        <v>156</v>
      </c>
      <c r="K12" s="427">
        <v>1746</v>
      </c>
      <c r="L12" s="428">
        <v>25498</v>
      </c>
      <c r="M12" s="428">
        <v>18000</v>
      </c>
      <c r="N12" s="428">
        <v>32643</v>
      </c>
      <c r="O12" s="428">
        <v>20788.693055838608</v>
      </c>
      <c r="P12" s="428"/>
      <c r="Q12" s="428">
        <v>1464.6</v>
      </c>
      <c r="R12" s="428">
        <v>51342</v>
      </c>
      <c r="S12" s="428"/>
      <c r="T12" s="428"/>
      <c r="U12" s="428"/>
      <c r="V12" s="428"/>
      <c r="W12" s="308"/>
      <c r="X12" s="317">
        <f>IFERROR(IF(tblPiNAnalysis5[[#This Row],[CCCM]]="", "", MROUND(tblPiNAnalysis5[[#This Row],[CCCM]]/tblPiNAnalysis5[[#This Row],[PIN]], 0.05)), "")</f>
        <v>0</v>
      </c>
      <c r="Y12" s="318">
        <f>IFERROR(IF(tblPiNAnalysis5[[#This Row],[Education]]="", "", MROUND(tblPiNAnalysis5[[#This Row],[Education]]/tblPiNAnalysis5[[#This Row],[PIN]], 0.05)), "")</f>
        <v>0.2</v>
      </c>
      <c r="Z12" s="318">
        <f>IFERROR(IF(tblPiNAnalysis5[[#This Row],[Nutrition]]="", "", MROUND(tblPiNAnalysis5[[#This Row],[Nutrition]]/tblPiNAnalysis5[[#This Row],[PIN]], 0.05)), "")</f>
        <v>0.15000000000000002</v>
      </c>
      <c r="AA12" s="318">
        <f>IFERROR(IF(tblPiNAnalysis5[[#This Row],[Food Security]]="", "", MROUND(tblPiNAnalysis5[[#This Row],[Food Security]]/tblPiNAnalysis5[[#This Row],[PIN]], 0.05)), "")</f>
        <v>0.25</v>
      </c>
      <c r="AB12" s="318">
        <f>IFERROR(IF(tblPiNAnalysis5[[#This Row],[Health]]="", "", MROUND(tblPiNAnalysis5[[#This Row],[Health]]/tblPiNAnalysis5[[#This Row],[PIN]], 0.05)), "")</f>
        <v>0.15000000000000002</v>
      </c>
      <c r="AC12" s="319" t="str">
        <f>IFERROR(IF(tblPiNAnalysis5[[#This Row],[Protection]]="", "", MROUND(tblPiNAnalysis5[[#This Row],[Protection]]/tblPiNAnalysis5[[#This Row],[PIN]], 0.05)), "")</f>
        <v/>
      </c>
      <c r="AD12" s="319">
        <f>IFERROR(IF(tblPiNAnalysis5[[#This Row],[Shelter]]="", "", MROUND(tblPiNAnalysis5[[#This Row],[Shelter]]/tblPiNAnalysis5[[#This Row],[PIN]], 0.05)), "")</f>
        <v>0</v>
      </c>
      <c r="AE12" s="320">
        <f>IFERROR(IF(tblPiNAnalysis5[[#This Row],[WASH]]="", "", MROUND(tblPiNAnalysis5[[#This Row],[WASH]]/tblPiNAnalysis5[[#This Row],[PIN]], 0.05)), "")</f>
        <v>0.35000000000000003</v>
      </c>
      <c r="AF12" s="488">
        <f>VLOOKUP(tblPiNAnalysis5[[#This Row],[ID]],tblPiNAnalysis[[ID]:[Final PiN]],63,FALSE)</f>
        <v>139420</v>
      </c>
      <c r="AG12" s="488">
        <f>IFERROR(IF(tblPiNAnalysis5[[#This Row],[Final TARGET]]="", "", MROUND(tblPiNAnalysis5[[#This Row],[Final TARGET]]/tblPiNAnalysis5[[#This Row],[PIN]], 0.05)), "")</f>
        <v>0.35000000000000003</v>
      </c>
      <c r="AH12" s="322">
        <f>IF(MAX(tblPiNAnalysis5[[#This Row],[CCCM]:[WASH]])&lt;tblPiNAnalysis5[[#This Row],[PIN]],MAX(tblPiNAnalysis5[[#This Row],[CCCM]:[WASH]]),tblPiNAnalysis5[[#This Row],[PIN]])</f>
        <v>51342</v>
      </c>
      <c r="AI12" s="326"/>
      <c r="AJ12" s="502">
        <f>tblPiNAnalysis5[[#This Row],[CCCM]]</f>
        <v>1746</v>
      </c>
      <c r="AK12" s="500">
        <v>20266</v>
      </c>
      <c r="AL12" s="500">
        <v>12710</v>
      </c>
      <c r="AM12" s="500">
        <f>IF(VLOOKUP(tblPiNAnalysis5[[#This Row],[Admin 2 P-Code]],tblSeverityAnalysis[[Admin 2 P-Code]:[WASH]],10,FALSE)&gt;=4,VLOOKUP(tblPiNAnalysis5[[#This Row],[Admin 2 P-Code]],tblPiNAnalysis[[Admin 2 P-Code]:[WASH]],10,FALSE),0)</f>
        <v>0</v>
      </c>
      <c r="AN12" s="503">
        <v>0</v>
      </c>
      <c r="AO12" s="500"/>
      <c r="AP12" s="516">
        <v>1465</v>
      </c>
      <c r="AQ12" s="501">
        <v>25671</v>
      </c>
      <c r="AR12" s="383">
        <f>MIN(tblPiNAnalysis5[[#This Row],[Final TARGET]],MAX(tblPiNAnalysis5[[#This Row],[CCCM_PRI]:[WASH_PRI]]))</f>
        <v>25671</v>
      </c>
      <c r="AS12" s="383">
        <f>IF(VLOOKUP(tblPiNAnalysis5[[#This Row],[Admin 2 P-Code]],tblSeverityAnalysis[[Admin 2 P-Code]:[Final Severity]],43,FALSE)&gt;=4,VLOOKUP(tblPiNAnalysis5[[#This Row],[Admin 2 P-Code]],tblPiNAnalysis[[Admin 2 P-Code]:[WASH]],8,FALSE),0)</f>
        <v>0</v>
      </c>
    </row>
    <row r="13" spans="1:45" ht="16.5" customHeight="1">
      <c r="A1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Global_PopulationHT0122</v>
      </c>
      <c r="B13" s="304" t="s">
        <v>152</v>
      </c>
      <c r="C13" s="213" t="s">
        <v>153</v>
      </c>
      <c r="D13" s="213" t="s">
        <v>175</v>
      </c>
      <c r="E13" s="103" t="s">
        <v>176</v>
      </c>
      <c r="F13" s="99"/>
      <c r="G13" s="34"/>
      <c r="H13" s="34"/>
      <c r="I13" s="96">
        <v>194867</v>
      </c>
      <c r="J13" s="221" t="s">
        <v>156</v>
      </c>
      <c r="K13" s="427">
        <v>0</v>
      </c>
      <c r="L13" s="428">
        <v>19048</v>
      </c>
      <c r="M13" s="428">
        <v>10931</v>
      </c>
      <c r="N13" s="428">
        <v>28257</v>
      </c>
      <c r="O13" s="428">
        <v>0</v>
      </c>
      <c r="P13" s="428"/>
      <c r="Q13" s="428">
        <v>132.70000000000002</v>
      </c>
      <c r="R13" s="428">
        <v>2471</v>
      </c>
      <c r="S13" s="428"/>
      <c r="T13" s="428"/>
      <c r="U13" s="428"/>
      <c r="V13" s="428"/>
      <c r="W13" s="308"/>
      <c r="X13" s="317">
        <f>IFERROR(IF(tblPiNAnalysis5[[#This Row],[CCCM]]="", "", MROUND(tblPiNAnalysis5[[#This Row],[CCCM]]/tblPiNAnalysis5[[#This Row],[PIN]], 0.05)), "")</f>
        <v>0</v>
      </c>
      <c r="Y13" s="318">
        <f>IFERROR(IF(tblPiNAnalysis5[[#This Row],[Education]]="", "", MROUND(tblPiNAnalysis5[[#This Row],[Education]]/tblPiNAnalysis5[[#This Row],[PIN]], 0.05)), "")</f>
        <v>0.25</v>
      </c>
      <c r="Z13" s="318">
        <f>IFERROR(IF(tblPiNAnalysis5[[#This Row],[Nutrition]]="", "", MROUND(tblPiNAnalysis5[[#This Row],[Nutrition]]/tblPiNAnalysis5[[#This Row],[PIN]], 0.05)), "")</f>
        <v>0.15000000000000002</v>
      </c>
      <c r="AA13" s="318">
        <f>IFERROR(IF(tblPiNAnalysis5[[#This Row],[Food Security]]="", "", MROUND(tblPiNAnalysis5[[#This Row],[Food Security]]/tblPiNAnalysis5[[#This Row],[PIN]], 0.05)), "")</f>
        <v>0.35000000000000003</v>
      </c>
      <c r="AB13" s="318">
        <f>IFERROR(IF(tblPiNAnalysis5[[#This Row],[Health]]="", "", MROUND(tblPiNAnalysis5[[#This Row],[Health]]/tblPiNAnalysis5[[#This Row],[PIN]], 0.05)), "")</f>
        <v>0</v>
      </c>
      <c r="AC13" s="319" t="str">
        <f>IFERROR(IF(tblPiNAnalysis5[[#This Row],[Protection]]="", "", MROUND(tblPiNAnalysis5[[#This Row],[Protection]]/tblPiNAnalysis5[[#This Row],[PIN]], 0.05)), "")</f>
        <v/>
      </c>
      <c r="AD13" s="319">
        <f>IFERROR(IF(tblPiNAnalysis5[[#This Row],[Shelter]]="", "", MROUND(tblPiNAnalysis5[[#This Row],[Shelter]]/tblPiNAnalysis5[[#This Row],[PIN]], 0.05)), "")</f>
        <v>0</v>
      </c>
      <c r="AE13" s="320">
        <f>IFERROR(IF(tblPiNAnalysis5[[#This Row],[WASH]]="", "", MROUND(tblPiNAnalysis5[[#This Row],[WASH]]/tblPiNAnalysis5[[#This Row],[PIN]], 0.05)), "")</f>
        <v>0.05</v>
      </c>
      <c r="AF13" s="488">
        <f>VLOOKUP(tblPiNAnalysis5[[#This Row],[ID]],tblPiNAnalysis[[ID]:[Final PiN]],63,FALSE)</f>
        <v>79274</v>
      </c>
      <c r="AG13" s="488">
        <f>IFERROR(IF(tblPiNAnalysis5[[#This Row],[Final TARGET]]="", "", MROUND(tblPiNAnalysis5[[#This Row],[Final TARGET]]/tblPiNAnalysis5[[#This Row],[PIN]], 0.05)), "")</f>
        <v>0.35000000000000003</v>
      </c>
      <c r="AH13" s="322">
        <f>IF(MAX(tblPiNAnalysis5[[#This Row],[CCCM]:[WASH]])&lt;tblPiNAnalysis5[[#This Row],[PIN]],MAX(tblPiNAnalysis5[[#This Row],[CCCM]:[WASH]]),tblPiNAnalysis5[[#This Row],[PIN]])</f>
        <v>28257</v>
      </c>
      <c r="AI13" s="326"/>
      <c r="AJ13" s="502">
        <f>tblPiNAnalysis5[[#This Row],[CCCM]]</f>
        <v>0</v>
      </c>
      <c r="AK13" s="500">
        <v>13487</v>
      </c>
      <c r="AL13" s="500">
        <v>7729</v>
      </c>
      <c r="AM13" s="500">
        <f>IF(VLOOKUP(tblPiNAnalysis5[[#This Row],[Admin 2 P-Code]],tblSeverityAnalysis[[Admin 2 P-Code]:[WASH]],10,FALSE)&gt;=4,VLOOKUP(tblPiNAnalysis5[[#This Row],[Admin 2 P-Code]],tblPiNAnalysis[[Admin 2 P-Code]:[WASH]],10,FALSE),0)</f>
        <v>0</v>
      </c>
      <c r="AN13" s="503">
        <v>0</v>
      </c>
      <c r="AO13" s="500"/>
      <c r="AP13" s="516">
        <v>133</v>
      </c>
      <c r="AQ13" s="501">
        <v>1235.5</v>
      </c>
      <c r="AR13" s="383">
        <f>MIN(tblPiNAnalysis5[[#This Row],[Final TARGET]],MAX(tblPiNAnalysis5[[#This Row],[CCCM_PRI]:[WASH_PRI]]))</f>
        <v>13487</v>
      </c>
      <c r="AS13" s="383">
        <f>IF(VLOOKUP(tblPiNAnalysis5[[#This Row],[Admin 2 P-Code]],tblSeverityAnalysis[[Admin 2 P-Code]:[Final Severity]],43,FALSE)&gt;=4,VLOOKUP(tblPiNAnalysis5[[#This Row],[Admin 2 P-Code]],tblPiNAnalysis[[Admin 2 P-Code]:[WASH]],8,FALSE),0)</f>
        <v>0</v>
      </c>
    </row>
    <row r="14" spans="1:45" ht="16.5" customHeight="1">
      <c r="A1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Global_PopulationHT0123</v>
      </c>
      <c r="B14" s="304" t="s">
        <v>152</v>
      </c>
      <c r="C14" s="213" t="s">
        <v>153</v>
      </c>
      <c r="D14" s="213" t="s">
        <v>177</v>
      </c>
      <c r="E14" s="103" t="s">
        <v>178</v>
      </c>
      <c r="F14" s="99"/>
      <c r="G14" s="34"/>
      <c r="H14" s="34"/>
      <c r="I14" s="96">
        <v>157549</v>
      </c>
      <c r="J14" s="221" t="s">
        <v>156</v>
      </c>
      <c r="K14" s="427">
        <v>0</v>
      </c>
      <c r="L14" s="428">
        <v>15566</v>
      </c>
      <c r="M14" s="428">
        <v>9274</v>
      </c>
      <c r="N14" s="428">
        <v>22300</v>
      </c>
      <c r="O14" s="428">
        <v>0</v>
      </c>
      <c r="P14" s="428"/>
      <c r="Q14" s="428">
        <v>112.10000000000001</v>
      </c>
      <c r="R14" s="428">
        <v>6796</v>
      </c>
      <c r="S14" s="428"/>
      <c r="T14" s="428"/>
      <c r="U14" s="428"/>
      <c r="V14" s="428"/>
      <c r="W14" s="308"/>
      <c r="X14" s="317" t="str">
        <f>IFERROR(IF(tblPiNAnalysis5[[#This Row],[CCCM]]="", "", MROUND(tblPiNAnalysis5[[#This Row],[CCCM]]/tblPiNAnalysis5[[#This Row],[PIN]], 0.05)), "")</f>
        <v/>
      </c>
      <c r="Y14" s="318" t="str">
        <f>IFERROR(IF(tblPiNAnalysis5[[#This Row],[Education]]="", "", MROUND(tblPiNAnalysis5[[#This Row],[Education]]/tblPiNAnalysis5[[#This Row],[PIN]], 0.05)), "")</f>
        <v/>
      </c>
      <c r="Z14" s="318" t="str">
        <f>IFERROR(IF(tblPiNAnalysis5[[#This Row],[Nutrition]]="", "", MROUND(tblPiNAnalysis5[[#This Row],[Nutrition]]/tblPiNAnalysis5[[#This Row],[PIN]], 0.05)), "")</f>
        <v/>
      </c>
      <c r="AA14" s="318" t="str">
        <f>IFERROR(IF(tblPiNAnalysis5[[#This Row],[Food Security]]="", "", MROUND(tblPiNAnalysis5[[#This Row],[Food Security]]/tblPiNAnalysis5[[#This Row],[PIN]], 0.05)), "")</f>
        <v/>
      </c>
      <c r="AB14" s="318" t="str">
        <f>IFERROR(IF(tblPiNAnalysis5[[#This Row],[Health]]="", "", MROUND(tblPiNAnalysis5[[#This Row],[Health]]/tblPiNAnalysis5[[#This Row],[PIN]], 0.05)), "")</f>
        <v/>
      </c>
      <c r="AC14" s="319" t="str">
        <f>IFERROR(IF(tblPiNAnalysis5[[#This Row],[Protection]]="", "", MROUND(tblPiNAnalysis5[[#This Row],[Protection]]/tblPiNAnalysis5[[#This Row],[PIN]], 0.05)), "")</f>
        <v/>
      </c>
      <c r="AD14" s="319" t="str">
        <f>IFERROR(IF(tblPiNAnalysis5[[#This Row],[Shelter]]="", "", MROUND(tblPiNAnalysis5[[#This Row],[Shelter]]/tblPiNAnalysis5[[#This Row],[PIN]], 0.05)), "")</f>
        <v/>
      </c>
      <c r="AE14" s="320" t="str">
        <f>IFERROR(IF(tblPiNAnalysis5[[#This Row],[WASH]]="", "", MROUND(tblPiNAnalysis5[[#This Row],[WASH]]/tblPiNAnalysis5[[#This Row],[PIN]], 0.05)), "")</f>
        <v/>
      </c>
      <c r="AF14" s="488">
        <f>VLOOKUP(tblPiNAnalysis5[[#This Row],[ID]],tblPiNAnalysis[[ID]:[Final PiN]],63,FALSE)</f>
        <v>0</v>
      </c>
      <c r="AG14" s="488" t="str">
        <f>IFERROR(IF(tblPiNAnalysis5[[#This Row],[Final TARGET]]="", "", MROUND(tblPiNAnalysis5[[#This Row],[Final TARGET]]/tblPiNAnalysis5[[#This Row],[PIN]], 0.05)), "")</f>
        <v/>
      </c>
      <c r="AH14" s="322">
        <f>IF(MAX(tblPiNAnalysis5[[#This Row],[CCCM]:[WASH]])&lt;tblPiNAnalysis5[[#This Row],[PIN]],MAX(tblPiNAnalysis5[[#This Row],[CCCM]:[WASH]]),tblPiNAnalysis5[[#This Row],[PIN]])</f>
        <v>0</v>
      </c>
      <c r="AI14" s="326"/>
      <c r="AJ14" s="502">
        <f>tblPiNAnalysis5[[#This Row],[CCCM]]</f>
        <v>0</v>
      </c>
      <c r="AK14" s="500">
        <v>11228</v>
      </c>
      <c r="AL14" s="500">
        <v>6589</v>
      </c>
      <c r="AM14" s="500">
        <f>IF(VLOOKUP(tblPiNAnalysis5[[#This Row],[Admin 2 P-Code]],tblSeverityAnalysis[[Admin 2 P-Code]:[WASH]],10,FALSE)&gt;=4,VLOOKUP(tblPiNAnalysis5[[#This Row],[Admin 2 P-Code]],tblPiNAnalysis[[Admin 2 P-Code]:[WASH]],10,FALSE),0)</f>
        <v>0</v>
      </c>
      <c r="AN14" s="503">
        <v>0</v>
      </c>
      <c r="AO14" s="500"/>
      <c r="AP14" s="516">
        <v>112</v>
      </c>
      <c r="AQ14" s="501">
        <v>3398</v>
      </c>
      <c r="AR14" s="383">
        <f>MIN(tblPiNAnalysis5[[#This Row],[Final TARGET]],MAX(tblPiNAnalysis5[[#This Row],[CCCM_PRI]:[WASH_PRI]]))</f>
        <v>0</v>
      </c>
      <c r="AS14" s="383">
        <f>IF(VLOOKUP(tblPiNAnalysis5[[#This Row],[Admin 2 P-Code]],tblSeverityAnalysis[[Admin 2 P-Code]:[Final Severity]],43,FALSE)&gt;=4,VLOOKUP(tblPiNAnalysis5[[#This Row],[Admin 2 P-Code]],tblPiNAnalysis[[Admin 2 P-Code]:[WASH]],8,FALSE),0)</f>
        <v>0</v>
      </c>
    </row>
    <row r="15" spans="1:45" ht="16.5" customHeight="1">
      <c r="A1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Global_PopulationHT0131</v>
      </c>
      <c r="B15" s="304" t="s">
        <v>152</v>
      </c>
      <c r="C15" s="213" t="s">
        <v>153</v>
      </c>
      <c r="D15" s="213" t="s">
        <v>179</v>
      </c>
      <c r="E15" s="103" t="s">
        <v>180</v>
      </c>
      <c r="F15" s="99"/>
      <c r="G15" s="34"/>
      <c r="H15" s="34"/>
      <c r="I15" s="96">
        <v>129879</v>
      </c>
      <c r="J15" s="221" t="s">
        <v>156</v>
      </c>
      <c r="K15" s="427">
        <v>250</v>
      </c>
      <c r="L15" s="428">
        <v>12409</v>
      </c>
      <c r="M15" s="428">
        <v>13219</v>
      </c>
      <c r="N15" s="428">
        <v>24117</v>
      </c>
      <c r="O15" s="428">
        <v>115362.66459598063</v>
      </c>
      <c r="P15" s="428"/>
      <c r="Q15" s="428">
        <v>571.5</v>
      </c>
      <c r="R15" s="428">
        <v>4934</v>
      </c>
      <c r="S15" s="428"/>
      <c r="T15" s="428"/>
      <c r="U15" s="428"/>
      <c r="V15" s="428"/>
      <c r="W15" s="308"/>
      <c r="X15" s="317">
        <f>IFERROR(IF(tblPiNAnalysis5[[#This Row],[CCCM]]="", "", MROUND(tblPiNAnalysis5[[#This Row],[CCCM]]/tblPiNAnalysis5[[#This Row],[PIN]], 0.05)), "")</f>
        <v>0</v>
      </c>
      <c r="Y15" s="318">
        <f>IFERROR(IF(tblPiNAnalysis5[[#This Row],[Education]]="", "", MROUND(tblPiNAnalysis5[[#This Row],[Education]]/tblPiNAnalysis5[[#This Row],[PIN]], 0.05)), "")</f>
        <v>0.1</v>
      </c>
      <c r="Z15" s="318">
        <f>IFERROR(IF(tblPiNAnalysis5[[#This Row],[Nutrition]]="", "", MROUND(tblPiNAnalysis5[[#This Row],[Nutrition]]/tblPiNAnalysis5[[#This Row],[PIN]], 0.05)), "")</f>
        <v>0.1</v>
      </c>
      <c r="AA15" s="318">
        <f>IFERROR(IF(tblPiNAnalysis5[[#This Row],[Food Security]]="", "", MROUND(tblPiNAnalysis5[[#This Row],[Food Security]]/tblPiNAnalysis5[[#This Row],[PIN]], 0.05)), "")</f>
        <v>0.2</v>
      </c>
      <c r="AB15" s="318">
        <f>IFERROR(IF(tblPiNAnalysis5[[#This Row],[Health]]="", "", MROUND(tblPiNAnalysis5[[#This Row],[Health]]/tblPiNAnalysis5[[#This Row],[PIN]], 0.05)), "")</f>
        <v>1</v>
      </c>
      <c r="AC15" s="319" t="str">
        <f>IFERROR(IF(tblPiNAnalysis5[[#This Row],[Protection]]="", "", MROUND(tblPiNAnalysis5[[#This Row],[Protection]]/tblPiNAnalysis5[[#This Row],[PIN]], 0.05)), "")</f>
        <v/>
      </c>
      <c r="AD15" s="319">
        <f>IFERROR(IF(tblPiNAnalysis5[[#This Row],[Shelter]]="", "", MROUND(tblPiNAnalysis5[[#This Row],[Shelter]]/tblPiNAnalysis5[[#This Row],[PIN]], 0.05)), "")</f>
        <v>0</v>
      </c>
      <c r="AE15" s="320">
        <f>IFERROR(IF(tblPiNAnalysis5[[#This Row],[WASH]]="", "", MROUND(tblPiNAnalysis5[[#This Row],[WASH]]/tblPiNAnalysis5[[#This Row],[PIN]], 0.05)), "")</f>
        <v>0.05</v>
      </c>
      <c r="AF15" s="488">
        <f>VLOOKUP(tblPiNAnalysis5[[#This Row],[ID]],tblPiNAnalysis[[ID]:[Final PiN]],63,FALSE)</f>
        <v>115362.66459598063</v>
      </c>
      <c r="AG15" s="488">
        <f>IFERROR(IF(tblPiNAnalysis5[[#This Row],[Final TARGET]]="", "", MROUND(tblPiNAnalysis5[[#This Row],[Final TARGET]]/tblPiNAnalysis5[[#This Row],[PIN]], 0.05)), "")</f>
        <v>1</v>
      </c>
      <c r="AH15" s="322">
        <f>IF(MAX(tblPiNAnalysis5[[#This Row],[CCCM]:[WASH]])&lt;tblPiNAnalysis5[[#This Row],[PIN]],MAX(tblPiNAnalysis5[[#This Row],[CCCM]:[WASH]]),tblPiNAnalysis5[[#This Row],[PIN]])</f>
        <v>115362.66459598063</v>
      </c>
      <c r="AI15" s="326"/>
      <c r="AJ15" s="502">
        <f>tblPiNAnalysis5[[#This Row],[CCCM]]</f>
        <v>250</v>
      </c>
      <c r="AK15" s="500">
        <v>12409</v>
      </c>
      <c r="AL15" s="500">
        <v>11234</v>
      </c>
      <c r="AM15" s="500">
        <f>IF(VLOOKUP(tblPiNAnalysis5[[#This Row],[Admin 2 P-Code]],tblSeverityAnalysis[[Admin 2 P-Code]:[WASH]],10,FALSE)&gt;=4,VLOOKUP(tblPiNAnalysis5[[#This Row],[Admin 2 P-Code]],tblPiNAnalysis[[Admin 2 P-Code]:[WASH]],10,FALSE),0)</f>
        <v>0</v>
      </c>
      <c r="AN15" s="503">
        <v>115362.66459598063</v>
      </c>
      <c r="AO15" s="500"/>
      <c r="AP15" s="516">
        <v>572</v>
      </c>
      <c r="AQ15" s="501">
        <v>27888</v>
      </c>
      <c r="AR15" s="383">
        <f>MIN(tblPiNAnalysis5[[#This Row],[Final TARGET]],MAX(tblPiNAnalysis5[[#This Row],[CCCM_PRI]:[WASH_PRI]]))</f>
        <v>115362.66459598063</v>
      </c>
      <c r="AS15" s="383">
        <f>IF(VLOOKUP(tblPiNAnalysis5[[#This Row],[Admin 2 P-Code]],tblSeverityAnalysis[[Admin 2 P-Code]:[Final Severity]],43,FALSE)&gt;=4,VLOOKUP(tblPiNAnalysis5[[#This Row],[Admin 2 P-Code]],tblPiNAnalysis[[Admin 2 P-Code]:[WASH]],8,FALSE),0)</f>
        <v>17630</v>
      </c>
    </row>
    <row r="16" spans="1:45" ht="16.5" customHeight="1">
      <c r="A1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Global_PopulationHT0132</v>
      </c>
      <c r="B16" s="304" t="s">
        <v>152</v>
      </c>
      <c r="C16" s="213" t="s">
        <v>153</v>
      </c>
      <c r="D16" s="213" t="s">
        <v>181</v>
      </c>
      <c r="E16" s="103" t="s">
        <v>182</v>
      </c>
      <c r="F16" s="99"/>
      <c r="G16" s="34"/>
      <c r="H16" s="34"/>
      <c r="I16" s="96">
        <v>54753</v>
      </c>
      <c r="J16" s="221" t="s">
        <v>156</v>
      </c>
      <c r="K16" s="427">
        <v>0</v>
      </c>
      <c r="L16" s="428">
        <v>5062</v>
      </c>
      <c r="M16" s="428">
        <v>4948</v>
      </c>
      <c r="N16" s="428">
        <v>8652</v>
      </c>
      <c r="O16" s="428">
        <v>0</v>
      </c>
      <c r="P16" s="428"/>
      <c r="Q16" s="428">
        <v>214.8</v>
      </c>
      <c r="R16" s="428">
        <v>0</v>
      </c>
      <c r="S16" s="428"/>
      <c r="T16" s="428"/>
      <c r="U16" s="428"/>
      <c r="V16" s="428"/>
      <c r="W16" s="308"/>
      <c r="X16" s="317">
        <f>IFERROR(IF(tblPiNAnalysis5[[#This Row],[CCCM]]="", "", MROUND(tblPiNAnalysis5[[#This Row],[CCCM]]/tblPiNAnalysis5[[#This Row],[PIN]], 0.05)), "")</f>
        <v>0</v>
      </c>
      <c r="Y16" s="318">
        <f>IFERROR(IF(tblPiNAnalysis5[[#This Row],[Education]]="", "", MROUND(tblPiNAnalysis5[[#This Row],[Education]]/tblPiNAnalysis5[[#This Row],[PIN]], 0.05)), "")</f>
        <v>0.15000000000000002</v>
      </c>
      <c r="Z16" s="318">
        <f>IFERROR(IF(tblPiNAnalysis5[[#This Row],[Nutrition]]="", "", MROUND(tblPiNAnalysis5[[#This Row],[Nutrition]]/tblPiNAnalysis5[[#This Row],[PIN]], 0.05)), "")</f>
        <v>0.1</v>
      </c>
      <c r="AA16" s="318">
        <f>IFERROR(IF(tblPiNAnalysis5[[#This Row],[Food Security]]="", "", MROUND(tblPiNAnalysis5[[#This Row],[Food Security]]/tblPiNAnalysis5[[#This Row],[PIN]], 0.05)), "")</f>
        <v>0.2</v>
      </c>
      <c r="AB16" s="318">
        <f>IFERROR(IF(tblPiNAnalysis5[[#This Row],[Health]]="", "", MROUND(tblPiNAnalysis5[[#This Row],[Health]]/tblPiNAnalysis5[[#This Row],[PIN]], 0.05)), "")</f>
        <v>0</v>
      </c>
      <c r="AC16" s="319" t="str">
        <f>IFERROR(IF(tblPiNAnalysis5[[#This Row],[Protection]]="", "", MROUND(tblPiNAnalysis5[[#This Row],[Protection]]/tblPiNAnalysis5[[#This Row],[PIN]], 0.05)), "")</f>
        <v/>
      </c>
      <c r="AD16" s="319">
        <f>IFERROR(IF(tblPiNAnalysis5[[#This Row],[Shelter]]="", "", MROUND(tblPiNAnalysis5[[#This Row],[Shelter]]/tblPiNAnalysis5[[#This Row],[PIN]], 0.05)), "")</f>
        <v>0</v>
      </c>
      <c r="AE16" s="320">
        <f>IFERROR(IF(tblPiNAnalysis5[[#This Row],[WASH]]="", "", MROUND(tblPiNAnalysis5[[#This Row],[WASH]]/tblPiNAnalysis5[[#This Row],[PIN]], 0.05)), "")</f>
        <v>0</v>
      </c>
      <c r="AF16" s="488">
        <f>VLOOKUP(tblPiNAnalysis5[[#This Row],[ID]],tblPiNAnalysis[[ID]:[Final PiN]],63,FALSE)</f>
        <v>40152.200000000004</v>
      </c>
      <c r="AG16" s="488">
        <f>IFERROR(IF(tblPiNAnalysis5[[#This Row],[Final TARGET]]="", "", MROUND(tblPiNAnalysis5[[#This Row],[Final TARGET]]/tblPiNAnalysis5[[#This Row],[PIN]], 0.05)), "")</f>
        <v>0.2</v>
      </c>
      <c r="AH16" s="322">
        <f>IF(MAX(tblPiNAnalysis5[[#This Row],[CCCM]:[WASH]])&lt;tblPiNAnalysis5[[#This Row],[PIN]],MAX(tblPiNAnalysis5[[#This Row],[CCCM]:[WASH]]),tblPiNAnalysis5[[#This Row],[PIN]])</f>
        <v>8652</v>
      </c>
      <c r="AI16" s="326"/>
      <c r="AJ16" s="502">
        <f>tblPiNAnalysis5[[#This Row],[CCCM]]</f>
        <v>0</v>
      </c>
      <c r="AK16" s="500">
        <v>3556</v>
      </c>
      <c r="AL16" s="500">
        <v>3776</v>
      </c>
      <c r="AM16" s="500">
        <f>IF(VLOOKUP(tblPiNAnalysis5[[#This Row],[Admin 2 P-Code]],tblSeverityAnalysis[[Admin 2 P-Code]:[WASH]],10,FALSE)&gt;=4,VLOOKUP(tblPiNAnalysis5[[#This Row],[Admin 2 P-Code]],tblPiNAnalysis[[Admin 2 P-Code]:[WASH]],10,FALSE),0)</f>
        <v>0</v>
      </c>
      <c r="AN16" s="503">
        <v>0</v>
      </c>
      <c r="AO16" s="500"/>
      <c r="AP16" s="516">
        <v>215</v>
      </c>
      <c r="AQ16" s="501">
        <v>504</v>
      </c>
      <c r="AR16" s="383">
        <f>MIN(tblPiNAnalysis5[[#This Row],[Final TARGET]],MAX(tblPiNAnalysis5[[#This Row],[CCCM_PRI]:[WASH_PRI]]))</f>
        <v>3776</v>
      </c>
      <c r="AS16" s="383">
        <f>IF(VLOOKUP(tblPiNAnalysis5[[#This Row],[Admin 2 P-Code]],tblSeverityAnalysis[[Admin 2 P-Code]:[Final Severity]],43,FALSE)&gt;=4,VLOOKUP(tblPiNAnalysis5[[#This Row],[Admin 2 P-Code]],tblPiNAnalysis[[Admin 2 P-Code]:[WASH]],8,FALSE),0)</f>
        <v>0</v>
      </c>
    </row>
    <row r="17" spans="1:45" ht="16.5" customHeight="1">
      <c r="A1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Global_PopulationHT0133</v>
      </c>
      <c r="B17" s="304" t="s">
        <v>152</v>
      </c>
      <c r="C17" s="213" t="s">
        <v>153</v>
      </c>
      <c r="D17" s="213" t="s">
        <v>183</v>
      </c>
      <c r="E17" s="103" t="s">
        <v>184</v>
      </c>
      <c r="F17" s="99"/>
      <c r="G17" s="34"/>
      <c r="H17" s="34"/>
      <c r="I17" s="96">
        <v>65036</v>
      </c>
      <c r="J17" s="221" t="s">
        <v>156</v>
      </c>
      <c r="K17" s="427">
        <v>0</v>
      </c>
      <c r="L17" s="428">
        <v>6218</v>
      </c>
      <c r="M17" s="428">
        <v>10891</v>
      </c>
      <c r="N17" s="428">
        <v>10216</v>
      </c>
      <c r="O17" s="428">
        <v>8156.5372562888242</v>
      </c>
      <c r="P17" s="428"/>
      <c r="Q17" s="428">
        <v>165.8</v>
      </c>
      <c r="R17" s="428">
        <v>0</v>
      </c>
      <c r="S17" s="428"/>
      <c r="T17" s="428"/>
      <c r="U17" s="428"/>
      <c r="V17" s="428"/>
      <c r="W17" s="308"/>
      <c r="X17" s="317">
        <f>IFERROR(IF(tblPiNAnalysis5[[#This Row],[CCCM]]="", "", MROUND(tblPiNAnalysis5[[#This Row],[CCCM]]/tblPiNAnalysis5[[#This Row],[PIN]], 0.05)), "")</f>
        <v>0</v>
      </c>
      <c r="Y17" s="318">
        <f>IFERROR(IF(tblPiNAnalysis5[[#This Row],[Education]]="", "", MROUND(tblPiNAnalysis5[[#This Row],[Education]]/tblPiNAnalysis5[[#This Row],[PIN]], 0.05)), "")</f>
        <v>0.2</v>
      </c>
      <c r="Z17" s="318">
        <f>IFERROR(IF(tblPiNAnalysis5[[#This Row],[Nutrition]]="", "", MROUND(tblPiNAnalysis5[[#This Row],[Nutrition]]/tblPiNAnalysis5[[#This Row],[PIN]], 0.05)), "")</f>
        <v>0.35000000000000003</v>
      </c>
      <c r="AA17" s="318">
        <f>IFERROR(IF(tblPiNAnalysis5[[#This Row],[Food Security]]="", "", MROUND(tblPiNAnalysis5[[#This Row],[Food Security]]/tblPiNAnalysis5[[#This Row],[PIN]], 0.05)), "")</f>
        <v>0.30000000000000004</v>
      </c>
      <c r="AB17" s="318">
        <f>IFERROR(IF(tblPiNAnalysis5[[#This Row],[Health]]="", "", MROUND(tblPiNAnalysis5[[#This Row],[Health]]/tblPiNAnalysis5[[#This Row],[PIN]], 0.05)), "")</f>
        <v>0.25</v>
      </c>
      <c r="AC17" s="319" t="str">
        <f>IFERROR(IF(tblPiNAnalysis5[[#This Row],[Protection]]="", "", MROUND(tblPiNAnalysis5[[#This Row],[Protection]]/tblPiNAnalysis5[[#This Row],[PIN]], 0.05)), "")</f>
        <v/>
      </c>
      <c r="AD17" s="319">
        <f>IFERROR(IF(tblPiNAnalysis5[[#This Row],[Shelter]]="", "", MROUND(tblPiNAnalysis5[[#This Row],[Shelter]]/tblPiNAnalysis5[[#This Row],[PIN]], 0.05)), "")</f>
        <v>0</v>
      </c>
      <c r="AE17" s="320">
        <f>IFERROR(IF(tblPiNAnalysis5[[#This Row],[WASH]]="", "", MROUND(tblPiNAnalysis5[[#This Row],[WASH]]/tblPiNAnalysis5[[#This Row],[PIN]], 0.05)), "")</f>
        <v>0</v>
      </c>
      <c r="AF17" s="488">
        <f>VLOOKUP(tblPiNAnalysis5[[#This Row],[ID]],tblPiNAnalysis[[ID]:[Final PiN]],63,FALSE)</f>
        <v>32626.149025155297</v>
      </c>
      <c r="AG17" s="488">
        <f>IFERROR(IF(tblPiNAnalysis5[[#This Row],[Final TARGET]]="", "", MROUND(tblPiNAnalysis5[[#This Row],[Final TARGET]]/tblPiNAnalysis5[[#This Row],[PIN]], 0.05)), "")</f>
        <v>0.35000000000000003</v>
      </c>
      <c r="AH17" s="322">
        <f>IF(MAX(tblPiNAnalysis5[[#This Row],[CCCM]:[WASH]])&lt;tblPiNAnalysis5[[#This Row],[PIN]],MAX(tblPiNAnalysis5[[#This Row],[CCCM]:[WASH]]),tblPiNAnalysis5[[#This Row],[PIN]])</f>
        <v>10891</v>
      </c>
      <c r="AI17" s="326"/>
      <c r="AJ17" s="502">
        <f>tblPiNAnalysis5[[#This Row],[CCCM]]</f>
        <v>0</v>
      </c>
      <c r="AK17" s="500">
        <v>4367</v>
      </c>
      <c r="AL17" s="500">
        <v>8173</v>
      </c>
      <c r="AM17" s="500">
        <f>IF(VLOOKUP(tblPiNAnalysis5[[#This Row],[Admin 2 P-Code]],tblSeverityAnalysis[[Admin 2 P-Code]:[WASH]],10,FALSE)&gt;=4,VLOOKUP(tblPiNAnalysis5[[#This Row],[Admin 2 P-Code]],tblPiNAnalysis[[Admin 2 P-Code]:[WASH]],10,FALSE),0)</f>
        <v>0</v>
      </c>
      <c r="AN17" s="503">
        <v>0</v>
      </c>
      <c r="AO17" s="500"/>
      <c r="AP17" s="516">
        <v>166</v>
      </c>
      <c r="AQ17" s="501">
        <v>168</v>
      </c>
      <c r="AR17" s="383">
        <f>MIN(tblPiNAnalysis5[[#This Row],[Final TARGET]],MAX(tblPiNAnalysis5[[#This Row],[CCCM_PRI]:[WASH_PRI]]))</f>
        <v>8173</v>
      </c>
      <c r="AS17" s="383">
        <f>IF(VLOOKUP(tblPiNAnalysis5[[#This Row],[Admin 2 P-Code]],tblSeverityAnalysis[[Admin 2 P-Code]:[Final Severity]],43,FALSE)&gt;=4,VLOOKUP(tblPiNAnalysis5[[#This Row],[Admin 2 P-Code]],tblPiNAnalysis[[Admin 2 P-Code]:[WASH]],8,FALSE),0)</f>
        <v>0</v>
      </c>
    </row>
    <row r="18" spans="1:45" ht="16.5" customHeight="1">
      <c r="A1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Global_PopulationHT0134</v>
      </c>
      <c r="B18" s="304" t="s">
        <v>152</v>
      </c>
      <c r="C18" s="213" t="s">
        <v>153</v>
      </c>
      <c r="D18" s="213" t="s">
        <v>185</v>
      </c>
      <c r="E18" s="103" t="s">
        <v>186</v>
      </c>
      <c r="F18" s="99"/>
      <c r="G18" s="34"/>
      <c r="H18" s="34"/>
      <c r="I18" s="96">
        <v>66185</v>
      </c>
      <c r="J18" s="221" t="s">
        <v>156</v>
      </c>
      <c r="K18" s="427">
        <v>38</v>
      </c>
      <c r="L18" s="428">
        <v>6750</v>
      </c>
      <c r="M18" s="428">
        <v>4567</v>
      </c>
      <c r="N18" s="428">
        <v>9746</v>
      </c>
      <c r="O18" s="428">
        <v>1037.2991002567694</v>
      </c>
      <c r="P18" s="428"/>
      <c r="Q18" s="428">
        <v>388.6</v>
      </c>
      <c r="R18" s="428">
        <v>2104</v>
      </c>
      <c r="S18" s="428"/>
      <c r="T18" s="428"/>
      <c r="U18" s="428"/>
      <c r="V18" s="428"/>
      <c r="W18" s="308"/>
      <c r="X18" s="317">
        <f>IFERROR(IF(tblPiNAnalysis5[[#This Row],[CCCM]]="", "", MROUND(tblPiNAnalysis5[[#This Row],[CCCM]]/tblPiNAnalysis5[[#This Row],[PIN]], 0.05)), "")</f>
        <v>0</v>
      </c>
      <c r="Y18" s="318">
        <f>IFERROR(IF(tblPiNAnalysis5[[#This Row],[Education]]="", "", MROUND(tblPiNAnalysis5[[#This Row],[Education]]/tblPiNAnalysis5[[#This Row],[PIN]], 0.05)), "")</f>
        <v>0.2</v>
      </c>
      <c r="Z18" s="318">
        <f>IFERROR(IF(tblPiNAnalysis5[[#This Row],[Nutrition]]="", "", MROUND(tblPiNAnalysis5[[#This Row],[Nutrition]]/tblPiNAnalysis5[[#This Row],[PIN]], 0.05)), "")</f>
        <v>0.15000000000000002</v>
      </c>
      <c r="AA18" s="318">
        <f>IFERROR(IF(tblPiNAnalysis5[[#This Row],[Food Security]]="", "", MROUND(tblPiNAnalysis5[[#This Row],[Food Security]]/tblPiNAnalysis5[[#This Row],[PIN]], 0.05)), "")</f>
        <v>0.30000000000000004</v>
      </c>
      <c r="AB18" s="318">
        <f>IFERROR(IF(tblPiNAnalysis5[[#This Row],[Health]]="", "", MROUND(tblPiNAnalysis5[[#This Row],[Health]]/tblPiNAnalysis5[[#This Row],[PIN]], 0.05)), "")</f>
        <v>0.05</v>
      </c>
      <c r="AC18" s="319" t="str">
        <f>IFERROR(IF(tblPiNAnalysis5[[#This Row],[Protection]]="", "", MROUND(tblPiNAnalysis5[[#This Row],[Protection]]/tblPiNAnalysis5[[#This Row],[PIN]], 0.05)), "")</f>
        <v/>
      </c>
      <c r="AD18" s="319">
        <f>IFERROR(IF(tblPiNAnalysis5[[#This Row],[Shelter]]="", "", MROUND(tblPiNAnalysis5[[#This Row],[Shelter]]/tblPiNAnalysis5[[#This Row],[PIN]], 0.05)), "")</f>
        <v>0</v>
      </c>
      <c r="AE18" s="320">
        <f>IFERROR(IF(tblPiNAnalysis5[[#This Row],[WASH]]="", "", MROUND(tblPiNAnalysis5[[#This Row],[WASH]]/tblPiNAnalysis5[[#This Row],[PIN]], 0.05)), "")</f>
        <v>0.05</v>
      </c>
      <c r="AF18" s="488">
        <f>VLOOKUP(tblPiNAnalysis5[[#This Row],[ID]],tblPiNAnalysis[[ID]:[Final PiN]],63,FALSE)</f>
        <v>33092.5</v>
      </c>
      <c r="AG18" s="488">
        <f>IFERROR(IF(tblPiNAnalysis5[[#This Row],[Final TARGET]]="", "", MROUND(tblPiNAnalysis5[[#This Row],[Final TARGET]]/tblPiNAnalysis5[[#This Row],[PIN]], 0.05)), "")</f>
        <v>0.30000000000000004</v>
      </c>
      <c r="AH18" s="322">
        <f>IF(MAX(tblPiNAnalysis5[[#This Row],[CCCM]:[WASH]])&lt;tblPiNAnalysis5[[#This Row],[PIN]],MAX(tblPiNAnalysis5[[#This Row],[CCCM]:[WASH]]),tblPiNAnalysis5[[#This Row],[PIN]])</f>
        <v>9746</v>
      </c>
      <c r="AI18" s="326"/>
      <c r="AJ18" s="502">
        <f>tblPiNAnalysis5[[#This Row],[CCCM]]</f>
        <v>38</v>
      </c>
      <c r="AK18" s="500">
        <v>4875</v>
      </c>
      <c r="AL18" s="500">
        <v>3324</v>
      </c>
      <c r="AM18" s="500">
        <f>IF(VLOOKUP(tblPiNAnalysis5[[#This Row],[Admin 2 P-Code]],tblSeverityAnalysis[[Admin 2 P-Code]:[WASH]],10,FALSE)&gt;=4,VLOOKUP(tblPiNAnalysis5[[#This Row],[Admin 2 P-Code]],tblPiNAnalysis[[Admin 2 P-Code]:[WASH]],10,FALSE),0)</f>
        <v>0</v>
      </c>
      <c r="AN18" s="503">
        <v>0</v>
      </c>
      <c r="AO18" s="500"/>
      <c r="AP18" s="516">
        <v>389</v>
      </c>
      <c r="AQ18" s="501">
        <v>1052</v>
      </c>
      <c r="AR18" s="383">
        <f>MIN(tblPiNAnalysis5[[#This Row],[Final TARGET]],MAX(tblPiNAnalysis5[[#This Row],[CCCM_PRI]:[WASH_PRI]]))</f>
        <v>4875</v>
      </c>
      <c r="AS18" s="383">
        <f>IF(VLOOKUP(tblPiNAnalysis5[[#This Row],[Admin 2 P-Code]],tblSeverityAnalysis[[Admin 2 P-Code]:[Final Severity]],43,FALSE)&gt;=4,VLOOKUP(tblPiNAnalysis5[[#This Row],[Admin 2 P-Code]],tblPiNAnalysis[[Admin 2 P-Code]:[WASH]],8,FALSE),0)</f>
        <v>0</v>
      </c>
    </row>
    <row r="19" spans="1:45" ht="16.5" customHeight="1">
      <c r="A1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Global_PopulationHT0135</v>
      </c>
      <c r="B19" s="304" t="s">
        <v>152</v>
      </c>
      <c r="C19" s="213" t="s">
        <v>153</v>
      </c>
      <c r="D19" s="213" t="s">
        <v>187</v>
      </c>
      <c r="E19" s="103" t="s">
        <v>188</v>
      </c>
      <c r="F19" s="99"/>
      <c r="G19" s="34"/>
      <c r="H19" s="34"/>
      <c r="I19" s="96">
        <v>54717</v>
      </c>
      <c r="J19" s="221" t="s">
        <v>156</v>
      </c>
      <c r="K19" s="427">
        <v>0</v>
      </c>
      <c r="L19" s="428">
        <v>6079</v>
      </c>
      <c r="M19" s="428">
        <v>6044</v>
      </c>
      <c r="N19" s="428">
        <v>8707</v>
      </c>
      <c r="O19" s="428">
        <v>0</v>
      </c>
      <c r="P19" s="428"/>
      <c r="Q19" s="428">
        <v>296.90000000000003</v>
      </c>
      <c r="R19" s="428">
        <v>0</v>
      </c>
      <c r="S19" s="428"/>
      <c r="T19" s="428"/>
      <c r="U19" s="428"/>
      <c r="V19" s="428"/>
      <c r="W19" s="308"/>
      <c r="X19" s="317">
        <f>IFERROR(IF(tblPiNAnalysis5[[#This Row],[CCCM]]="", "", MROUND(tblPiNAnalysis5[[#This Row],[CCCM]]/tblPiNAnalysis5[[#This Row],[PIN]], 0.05)), "")</f>
        <v>0</v>
      </c>
      <c r="Y19" s="318">
        <f>IFERROR(IF(tblPiNAnalysis5[[#This Row],[Education]]="", "", MROUND(tblPiNAnalysis5[[#This Row],[Education]]/tblPiNAnalysis5[[#This Row],[PIN]], 0.05)), "")</f>
        <v>0.30000000000000004</v>
      </c>
      <c r="Z19" s="318">
        <f>IFERROR(IF(tblPiNAnalysis5[[#This Row],[Nutrition]]="", "", MROUND(tblPiNAnalysis5[[#This Row],[Nutrition]]/tblPiNAnalysis5[[#This Row],[PIN]], 0.05)), "")</f>
        <v>0.30000000000000004</v>
      </c>
      <c r="AA19" s="318">
        <f>IFERROR(IF(tblPiNAnalysis5[[#This Row],[Food Security]]="", "", MROUND(tblPiNAnalysis5[[#This Row],[Food Security]]/tblPiNAnalysis5[[#This Row],[PIN]], 0.05)), "")</f>
        <v>0.4</v>
      </c>
      <c r="AB19" s="318">
        <f>IFERROR(IF(tblPiNAnalysis5[[#This Row],[Health]]="", "", MROUND(tblPiNAnalysis5[[#This Row],[Health]]/tblPiNAnalysis5[[#This Row],[PIN]], 0.05)), "")</f>
        <v>0</v>
      </c>
      <c r="AC19" s="319" t="str">
        <f>IFERROR(IF(tblPiNAnalysis5[[#This Row],[Protection]]="", "", MROUND(tblPiNAnalysis5[[#This Row],[Protection]]/tblPiNAnalysis5[[#This Row],[PIN]], 0.05)), "")</f>
        <v/>
      </c>
      <c r="AD19" s="319">
        <f>IFERROR(IF(tblPiNAnalysis5[[#This Row],[Shelter]]="", "", MROUND(tblPiNAnalysis5[[#This Row],[Shelter]]/tblPiNAnalysis5[[#This Row],[PIN]], 0.05)), "")</f>
        <v>0</v>
      </c>
      <c r="AE19" s="320">
        <f>IFERROR(IF(tblPiNAnalysis5[[#This Row],[WASH]]="", "", MROUND(tblPiNAnalysis5[[#This Row],[WASH]]/tblPiNAnalysis5[[#This Row],[PIN]], 0.05)), "")</f>
        <v>0</v>
      </c>
      <c r="AF19" s="488">
        <f>VLOOKUP(tblPiNAnalysis5[[#This Row],[ID]],tblPiNAnalysis[[ID]:[Final PiN]],63,FALSE)</f>
        <v>21499</v>
      </c>
      <c r="AG19" s="488">
        <f>IFERROR(IF(tblPiNAnalysis5[[#This Row],[Final TARGET]]="", "", MROUND(tblPiNAnalysis5[[#This Row],[Final TARGET]]/tblPiNAnalysis5[[#This Row],[PIN]], 0.05)), "")</f>
        <v>0.4</v>
      </c>
      <c r="AH19" s="322">
        <f>IF(MAX(tblPiNAnalysis5[[#This Row],[CCCM]:[WASH]])&lt;tblPiNAnalysis5[[#This Row],[PIN]],MAX(tblPiNAnalysis5[[#This Row],[CCCM]:[WASH]]),tblPiNAnalysis5[[#This Row],[PIN]])</f>
        <v>8707</v>
      </c>
      <c r="AI19" s="326"/>
      <c r="AJ19" s="502">
        <f>tblPiNAnalysis5[[#This Row],[CCCM]]</f>
        <v>0</v>
      </c>
      <c r="AK19" s="500">
        <v>4270</v>
      </c>
      <c r="AL19" s="500">
        <v>5240</v>
      </c>
      <c r="AM19" s="500">
        <f>IF(VLOOKUP(tblPiNAnalysis5[[#This Row],[Admin 2 P-Code]],tblSeverityAnalysis[[Admin 2 P-Code]:[WASH]],10,FALSE)&gt;=4,VLOOKUP(tblPiNAnalysis5[[#This Row],[Admin 2 P-Code]],tblPiNAnalysis[[Admin 2 P-Code]:[WASH]],10,FALSE),0)</f>
        <v>0</v>
      </c>
      <c r="AN19" s="503">
        <v>0</v>
      </c>
      <c r="AO19" s="500"/>
      <c r="AP19" s="516">
        <v>297</v>
      </c>
      <c r="AQ19" s="501">
        <v>0</v>
      </c>
      <c r="AR19" s="383">
        <f>MIN(tblPiNAnalysis5[[#This Row],[Final TARGET]],MAX(tblPiNAnalysis5[[#This Row],[CCCM_PRI]:[WASH_PRI]]))</f>
        <v>5240</v>
      </c>
      <c r="AS19" s="383">
        <f>IF(VLOOKUP(tblPiNAnalysis5[[#This Row],[Admin 2 P-Code]],tblSeverityAnalysis[[Admin 2 P-Code]:[Final Severity]],43,FALSE)&gt;=4,VLOOKUP(tblPiNAnalysis5[[#This Row],[Admin 2 P-Code]],tblPiNAnalysis[[Admin 2 P-Code]:[WASH]],8,FALSE),0)</f>
        <v>0</v>
      </c>
    </row>
    <row r="20" spans="1:45" ht="16.5" customHeight="1">
      <c r="A2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Global_PopulationHT0141</v>
      </c>
      <c r="B20" s="304" t="s">
        <v>152</v>
      </c>
      <c r="C20" s="213" t="s">
        <v>153</v>
      </c>
      <c r="D20" s="213" t="s">
        <v>189</v>
      </c>
      <c r="E20" s="103" t="s">
        <v>190</v>
      </c>
      <c r="F20" s="99"/>
      <c r="G20" s="34"/>
      <c r="H20" s="34"/>
      <c r="I20" s="96">
        <v>142752</v>
      </c>
      <c r="J20" s="221" t="s">
        <v>156</v>
      </c>
      <c r="K20" s="427">
        <v>116</v>
      </c>
      <c r="L20" s="428">
        <v>15230</v>
      </c>
      <c r="M20" s="428">
        <v>10432</v>
      </c>
      <c r="N20" s="428">
        <v>31164</v>
      </c>
      <c r="O20" s="428">
        <v>17411.430070246653</v>
      </c>
      <c r="P20" s="428"/>
      <c r="Q20" s="428">
        <v>222.70000000000002</v>
      </c>
      <c r="R20" s="428">
        <v>14074</v>
      </c>
      <c r="S20" s="428"/>
      <c r="T20" s="428"/>
      <c r="U20" s="428"/>
      <c r="V20" s="428"/>
      <c r="W20" s="308"/>
      <c r="X20" s="317">
        <f>IFERROR(IF(tblPiNAnalysis5[[#This Row],[CCCM]]="", "", MROUND(tblPiNAnalysis5[[#This Row],[CCCM]]/tblPiNAnalysis5[[#This Row],[PIN]], 0.05)), "")</f>
        <v>0</v>
      </c>
      <c r="Y20" s="318">
        <f>IFERROR(IF(tblPiNAnalysis5[[#This Row],[Education]]="", "", MROUND(tblPiNAnalysis5[[#This Row],[Education]]/tblPiNAnalysis5[[#This Row],[PIN]], 0.05)), "")</f>
        <v>0.2</v>
      </c>
      <c r="Z20" s="318">
        <f>IFERROR(IF(tblPiNAnalysis5[[#This Row],[Nutrition]]="", "", MROUND(tblPiNAnalysis5[[#This Row],[Nutrition]]/tblPiNAnalysis5[[#This Row],[PIN]], 0.05)), "")</f>
        <v>0.15000000000000002</v>
      </c>
      <c r="AA20" s="318">
        <f>IFERROR(IF(tblPiNAnalysis5[[#This Row],[Food Security]]="", "", MROUND(tblPiNAnalysis5[[#This Row],[Food Security]]/tblPiNAnalysis5[[#This Row],[PIN]], 0.05)), "")</f>
        <v>0.4</v>
      </c>
      <c r="AB20" s="318">
        <f>IFERROR(IF(tblPiNAnalysis5[[#This Row],[Health]]="", "", MROUND(tblPiNAnalysis5[[#This Row],[Health]]/tblPiNAnalysis5[[#This Row],[PIN]], 0.05)), "")</f>
        <v>0.25</v>
      </c>
      <c r="AC20" s="319" t="str">
        <f>IFERROR(IF(tblPiNAnalysis5[[#This Row],[Protection]]="", "", MROUND(tblPiNAnalysis5[[#This Row],[Protection]]/tblPiNAnalysis5[[#This Row],[PIN]], 0.05)), "")</f>
        <v/>
      </c>
      <c r="AD20" s="319">
        <f>IFERROR(IF(tblPiNAnalysis5[[#This Row],[Shelter]]="", "", MROUND(tblPiNAnalysis5[[#This Row],[Shelter]]/tblPiNAnalysis5[[#This Row],[PIN]], 0.05)), "")</f>
        <v>0</v>
      </c>
      <c r="AE20" s="320">
        <f>IFERROR(IF(tblPiNAnalysis5[[#This Row],[WASH]]="", "", MROUND(tblPiNAnalysis5[[#This Row],[WASH]]/tblPiNAnalysis5[[#This Row],[PIN]], 0.05)), "")</f>
        <v>0.2</v>
      </c>
      <c r="AF20" s="488">
        <f>VLOOKUP(tblPiNAnalysis5[[#This Row],[ID]],tblPiNAnalysis[[ID]:[Final PiN]],63,FALSE)</f>
        <v>76948</v>
      </c>
      <c r="AG20" s="488">
        <f>IFERROR(IF(tblPiNAnalysis5[[#This Row],[Final TARGET]]="", "", MROUND(tblPiNAnalysis5[[#This Row],[Final TARGET]]/tblPiNAnalysis5[[#This Row],[PIN]], 0.05)), "")</f>
        <v>0.4</v>
      </c>
      <c r="AH20" s="322">
        <f>IF(MAX(tblPiNAnalysis5[[#This Row],[CCCM]:[WASH]])&lt;tblPiNAnalysis5[[#This Row],[PIN]],MAX(tblPiNAnalysis5[[#This Row],[CCCM]:[WASH]]),tblPiNAnalysis5[[#This Row],[PIN]])</f>
        <v>31164</v>
      </c>
      <c r="AI20" s="326"/>
      <c r="AJ20" s="502">
        <f>tblPiNAnalysis5[[#This Row],[CCCM]]</f>
        <v>116</v>
      </c>
      <c r="AK20" s="500">
        <v>11522</v>
      </c>
      <c r="AL20" s="500">
        <v>7460</v>
      </c>
      <c r="AM20" s="500">
        <f>IF(VLOOKUP(tblPiNAnalysis5[[#This Row],[Admin 2 P-Code]],tblSeverityAnalysis[[Admin 2 P-Code]:[WASH]],10,FALSE)&gt;=4,VLOOKUP(tblPiNAnalysis5[[#This Row],[Admin 2 P-Code]],tblPiNAnalysis[[Admin 2 P-Code]:[WASH]],10,FALSE),0)</f>
        <v>0</v>
      </c>
      <c r="AN20" s="503">
        <v>0</v>
      </c>
      <c r="AO20" s="500"/>
      <c r="AP20" s="516">
        <v>223</v>
      </c>
      <c r="AQ20" s="501">
        <v>7037</v>
      </c>
      <c r="AR20" s="383">
        <f>MIN(tblPiNAnalysis5[[#This Row],[Final TARGET]],MAX(tblPiNAnalysis5[[#This Row],[CCCM_PRI]:[WASH_PRI]]))</f>
        <v>11522</v>
      </c>
      <c r="AS20" s="383">
        <f>IF(VLOOKUP(tblPiNAnalysis5[[#This Row],[Admin 2 P-Code]],tblSeverityAnalysis[[Admin 2 P-Code]:[Final Severity]],43,FALSE)&gt;=4,VLOOKUP(tblPiNAnalysis5[[#This Row],[Admin 2 P-Code]],tblPiNAnalysis[[Admin 2 P-Code]:[WASH]],8,FALSE),0)</f>
        <v>0</v>
      </c>
    </row>
    <row r="21" spans="1:45" ht="16.5" customHeight="1">
      <c r="A2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Global_PopulationHT0142</v>
      </c>
      <c r="B21" s="304" t="s">
        <v>152</v>
      </c>
      <c r="C21" s="213" t="s">
        <v>153</v>
      </c>
      <c r="D21" s="213" t="s">
        <v>191</v>
      </c>
      <c r="E21" s="103" t="s">
        <v>192</v>
      </c>
      <c r="F21" s="99"/>
      <c r="G21" s="34"/>
      <c r="H21" s="34"/>
      <c r="I21" s="96">
        <v>65302</v>
      </c>
      <c r="J21" s="221" t="s">
        <v>156</v>
      </c>
      <c r="K21" s="427">
        <v>129</v>
      </c>
      <c r="L21" s="428">
        <v>8369</v>
      </c>
      <c r="M21" s="428">
        <v>8560</v>
      </c>
      <c r="N21" s="428">
        <v>16322</v>
      </c>
      <c r="O21" s="428">
        <v>78335.732880786294</v>
      </c>
      <c r="P21" s="428"/>
      <c r="Q21" s="428">
        <v>2484.4999999999995</v>
      </c>
      <c r="R21" s="428">
        <v>11775</v>
      </c>
      <c r="S21" s="428"/>
      <c r="T21" s="428"/>
      <c r="U21" s="428"/>
      <c r="V21" s="428"/>
      <c r="W21" s="308"/>
      <c r="X21" s="317">
        <f>IFERROR(IF(tblPiNAnalysis5[[#This Row],[CCCM]]="", "", MROUND(tblPiNAnalysis5[[#This Row],[CCCM]]/tblPiNAnalysis5[[#This Row],[PIN]], 0.05)), "")</f>
        <v>0</v>
      </c>
      <c r="Y21" s="318">
        <f>IFERROR(IF(tblPiNAnalysis5[[#This Row],[Education]]="", "", MROUND(tblPiNAnalysis5[[#This Row],[Education]]/tblPiNAnalysis5[[#This Row],[PIN]], 0.05)), "")</f>
        <v>0.15000000000000002</v>
      </c>
      <c r="Z21" s="318">
        <f>IFERROR(IF(tblPiNAnalysis5[[#This Row],[Nutrition]]="", "", MROUND(tblPiNAnalysis5[[#This Row],[Nutrition]]/tblPiNAnalysis5[[#This Row],[PIN]], 0.05)), "")</f>
        <v>0.15000000000000002</v>
      </c>
      <c r="AA21" s="318">
        <f>IFERROR(IF(tblPiNAnalysis5[[#This Row],[Food Security]]="", "", MROUND(tblPiNAnalysis5[[#This Row],[Food Security]]/tblPiNAnalysis5[[#This Row],[PIN]], 0.05)), "")</f>
        <v>0.30000000000000004</v>
      </c>
      <c r="AB21" s="318">
        <f>IFERROR(IF(tblPiNAnalysis5[[#This Row],[Health]]="", "", MROUND(tblPiNAnalysis5[[#This Row],[Health]]/tblPiNAnalysis5[[#This Row],[PIN]], 0.05)), "")</f>
        <v>1.4000000000000001</v>
      </c>
      <c r="AC21" s="319" t="str">
        <f>IFERROR(IF(tblPiNAnalysis5[[#This Row],[Protection]]="", "", MROUND(tblPiNAnalysis5[[#This Row],[Protection]]/tblPiNAnalysis5[[#This Row],[PIN]], 0.05)), "")</f>
        <v/>
      </c>
      <c r="AD21" s="319">
        <f>IFERROR(IF(tblPiNAnalysis5[[#This Row],[Shelter]]="", "", MROUND(tblPiNAnalysis5[[#This Row],[Shelter]]/tblPiNAnalysis5[[#This Row],[PIN]], 0.05)), "")</f>
        <v>0.05</v>
      </c>
      <c r="AE21" s="320">
        <f>IFERROR(IF(tblPiNAnalysis5[[#This Row],[WASH]]="", "", MROUND(tblPiNAnalysis5[[#This Row],[WASH]]/tblPiNAnalysis5[[#This Row],[PIN]], 0.05)), "")</f>
        <v>0.2</v>
      </c>
      <c r="AF21" s="488">
        <f>VLOOKUP(tblPiNAnalysis5[[#This Row],[ID]],tblPiNAnalysis[[ID]:[Final PiN]],63,FALSE)</f>
        <v>55257.85</v>
      </c>
      <c r="AG21" s="488">
        <f>IFERROR(IF(tblPiNAnalysis5[[#This Row],[Final TARGET]]="", "", MROUND(tblPiNAnalysis5[[#This Row],[Final TARGET]]/tblPiNAnalysis5[[#This Row],[PIN]], 0.05)), "")</f>
        <v>1</v>
      </c>
      <c r="AH21" s="322">
        <f>IF(MAX(tblPiNAnalysis5[[#This Row],[CCCM]:[WASH]])&lt;tblPiNAnalysis5[[#This Row],[PIN]],MAX(tblPiNAnalysis5[[#This Row],[CCCM]:[WASH]]),tblPiNAnalysis5[[#This Row],[PIN]])</f>
        <v>55257.85</v>
      </c>
      <c r="AI21" s="326"/>
      <c r="AJ21" s="502">
        <f>tblPiNAnalysis5[[#This Row],[CCCM]]</f>
        <v>129</v>
      </c>
      <c r="AK21" s="500">
        <v>7726</v>
      </c>
      <c r="AL21" s="500">
        <v>7425</v>
      </c>
      <c r="AM21" s="500">
        <f>IF(VLOOKUP(tblPiNAnalysis5[[#This Row],[Admin 2 P-Code]],tblSeverityAnalysis[[Admin 2 P-Code]:[WASH]],10,FALSE)&gt;=4,VLOOKUP(tblPiNAnalysis5[[#This Row],[Admin 2 P-Code]],tblPiNAnalysis[[Admin 2 P-Code]:[WASH]],10,FALSE),0)</f>
        <v>0</v>
      </c>
      <c r="AN21" s="503">
        <v>78335.732880786294</v>
      </c>
      <c r="AO21" s="500"/>
      <c r="AP21" s="516">
        <v>2485</v>
      </c>
      <c r="AQ21" s="501">
        <v>5887.5</v>
      </c>
      <c r="AR21" s="383">
        <f>MIN(tblPiNAnalysis5[[#This Row],[Final TARGET]],MAX(tblPiNAnalysis5[[#This Row],[CCCM_PRI]:[WASH_PRI]]))</f>
        <v>55257.85</v>
      </c>
      <c r="AS21" s="383">
        <f>IF(VLOOKUP(tblPiNAnalysis5[[#This Row],[Admin 2 P-Code]],tblSeverityAnalysis[[Admin 2 P-Code]:[Final Severity]],43,FALSE)&gt;=4,VLOOKUP(tblPiNAnalysis5[[#This Row],[Admin 2 P-Code]],tblPiNAnalysis[[Admin 2 P-Code]:[WASH]],8,FALSE),0)</f>
        <v>9208</v>
      </c>
    </row>
    <row r="22" spans="1:45" ht="16.5" customHeight="1">
      <c r="A2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Global_PopulationHT0151</v>
      </c>
      <c r="B22" s="304" t="s">
        <v>152</v>
      </c>
      <c r="C22" s="213" t="s">
        <v>153</v>
      </c>
      <c r="D22" s="213" t="s">
        <v>193</v>
      </c>
      <c r="E22" s="103" t="s">
        <v>194</v>
      </c>
      <c r="F22" s="99"/>
      <c r="G22" s="34"/>
      <c r="H22" s="34"/>
      <c r="I22" s="96">
        <v>70156</v>
      </c>
      <c r="J22" s="221" t="s">
        <v>156</v>
      </c>
      <c r="K22" s="427">
        <v>0</v>
      </c>
      <c r="L22" s="428">
        <v>7844</v>
      </c>
      <c r="M22" s="428">
        <v>5608</v>
      </c>
      <c r="N22" s="428">
        <v>38778</v>
      </c>
      <c r="O22" s="428">
        <v>1331.1039295566502</v>
      </c>
      <c r="P22" s="428"/>
      <c r="Q22" s="428">
        <v>23.700000000000003</v>
      </c>
      <c r="R22" s="428">
        <v>3045</v>
      </c>
      <c r="S22" s="428"/>
      <c r="T22" s="428"/>
      <c r="U22" s="428"/>
      <c r="V22" s="428"/>
      <c r="W22" s="308"/>
      <c r="X22" s="317">
        <f>IFERROR(IF(tblPiNAnalysis5[[#This Row],[CCCM]]="", "", MROUND(tblPiNAnalysis5[[#This Row],[CCCM]]/tblPiNAnalysis5[[#This Row],[PIN]], 0.05)), "")</f>
        <v>0</v>
      </c>
      <c r="Y22" s="318">
        <f>IFERROR(IF(tblPiNAnalysis5[[#This Row],[Education]]="", "", MROUND(tblPiNAnalysis5[[#This Row],[Education]]/tblPiNAnalysis5[[#This Row],[PIN]], 0.05)), "")</f>
        <v>0.2</v>
      </c>
      <c r="Z22" s="318">
        <f>IFERROR(IF(tblPiNAnalysis5[[#This Row],[Nutrition]]="", "", MROUND(tblPiNAnalysis5[[#This Row],[Nutrition]]/tblPiNAnalysis5[[#This Row],[PIN]], 0.05)), "")</f>
        <v>0.15000000000000002</v>
      </c>
      <c r="AA22" s="318">
        <f>IFERROR(IF(tblPiNAnalysis5[[#This Row],[Food Security]]="", "", MROUND(tblPiNAnalysis5[[#This Row],[Food Security]]/tblPiNAnalysis5[[#This Row],[PIN]], 0.05)), "")</f>
        <v>0.9</v>
      </c>
      <c r="AB22" s="318">
        <f>IFERROR(IF(tblPiNAnalysis5[[#This Row],[Health]]="", "", MROUND(tblPiNAnalysis5[[#This Row],[Health]]/tblPiNAnalysis5[[#This Row],[PIN]], 0.05)), "")</f>
        <v>0.05</v>
      </c>
      <c r="AC22" s="319" t="str">
        <f>IFERROR(IF(tblPiNAnalysis5[[#This Row],[Protection]]="", "", MROUND(tblPiNAnalysis5[[#This Row],[Protection]]/tblPiNAnalysis5[[#This Row],[PIN]], 0.05)), "")</f>
        <v/>
      </c>
      <c r="AD22" s="319">
        <f>IFERROR(IF(tblPiNAnalysis5[[#This Row],[Shelter]]="", "", MROUND(tblPiNAnalysis5[[#This Row],[Shelter]]/tblPiNAnalysis5[[#This Row],[PIN]], 0.05)), "")</f>
        <v>0</v>
      </c>
      <c r="AE22" s="320">
        <f>IFERROR(IF(tblPiNAnalysis5[[#This Row],[WASH]]="", "", MROUND(tblPiNAnalysis5[[#This Row],[WASH]]/tblPiNAnalysis5[[#This Row],[PIN]], 0.05)), "")</f>
        <v>0.05</v>
      </c>
      <c r="AF22" s="488">
        <f>VLOOKUP(tblPiNAnalysis5[[#This Row],[ID]],tblPiNAnalysis[[ID]:[Final PiN]],63,FALSE)</f>
        <v>43900</v>
      </c>
      <c r="AG22" s="488">
        <f>IFERROR(IF(tblPiNAnalysis5[[#This Row],[Final TARGET]]="", "", MROUND(tblPiNAnalysis5[[#This Row],[Final TARGET]]/tblPiNAnalysis5[[#This Row],[PIN]], 0.05)), "")</f>
        <v>0.9</v>
      </c>
      <c r="AH22" s="322">
        <f>IF(MAX(tblPiNAnalysis5[[#This Row],[CCCM]:[WASH]])&lt;tblPiNAnalysis5[[#This Row],[PIN]],MAX(tblPiNAnalysis5[[#This Row],[CCCM]:[WASH]]),tblPiNAnalysis5[[#This Row],[PIN]])</f>
        <v>38778</v>
      </c>
      <c r="AI22" s="326"/>
      <c r="AJ22" s="502">
        <f>tblPiNAnalysis5[[#This Row],[CCCM]]</f>
        <v>0</v>
      </c>
      <c r="AK22" s="500">
        <v>5658</v>
      </c>
      <c r="AL22" s="500">
        <v>4096</v>
      </c>
      <c r="AM22" s="500">
        <f>IF(VLOOKUP(tblPiNAnalysis5[[#This Row],[Admin 2 P-Code]],tblSeverityAnalysis[[Admin 2 P-Code]:[WASH]],10,FALSE)&gt;=4,VLOOKUP(tblPiNAnalysis5[[#This Row],[Admin 2 P-Code]],tblPiNAnalysis[[Admin 2 P-Code]:[WASH]],10,FALSE),0)</f>
        <v>43900</v>
      </c>
      <c r="AN22" s="503">
        <v>0</v>
      </c>
      <c r="AO22" s="500"/>
      <c r="AP22" s="516">
        <v>24</v>
      </c>
      <c r="AQ22" s="501">
        <v>1522.5</v>
      </c>
      <c r="AR22" s="383">
        <f>MIN(tblPiNAnalysis5[[#This Row],[Final TARGET]],MAX(tblPiNAnalysis5[[#This Row],[CCCM_PRI]:[WASH_PRI]]))</f>
        <v>38778</v>
      </c>
      <c r="AS22" s="383">
        <f>IF(VLOOKUP(tblPiNAnalysis5[[#This Row],[Admin 2 P-Code]],tblSeverityAnalysis[[Admin 2 P-Code]:[Final Severity]],43,FALSE)&gt;=4,VLOOKUP(tblPiNAnalysis5[[#This Row],[Admin 2 P-Code]],tblPiNAnalysis[[Admin 2 P-Code]:[WASH]],8,FALSE),0)</f>
        <v>0</v>
      </c>
    </row>
    <row r="23" spans="1:45" ht="16.5" customHeight="1">
      <c r="A2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Global_PopulationHT0152</v>
      </c>
      <c r="B23" s="304" t="s">
        <v>152</v>
      </c>
      <c r="C23" s="213" t="s">
        <v>153</v>
      </c>
      <c r="D23" s="213" t="s">
        <v>195</v>
      </c>
      <c r="E23" s="103" t="s">
        <v>196</v>
      </c>
      <c r="F23" s="99"/>
      <c r="G23" s="34"/>
      <c r="H23" s="34"/>
      <c r="I23" s="96">
        <v>26818</v>
      </c>
      <c r="J23" s="221" t="s">
        <v>156</v>
      </c>
      <c r="K23" s="427">
        <v>0</v>
      </c>
      <c r="L23" s="428">
        <v>3162</v>
      </c>
      <c r="M23" s="428">
        <v>2504</v>
      </c>
      <c r="N23" s="428">
        <v>15198</v>
      </c>
      <c r="O23" s="428">
        <v>0</v>
      </c>
      <c r="P23" s="428"/>
      <c r="Q23" s="428">
        <v>11.100000000000001</v>
      </c>
      <c r="R23" s="428">
        <v>4873</v>
      </c>
      <c r="S23" s="428"/>
      <c r="T23" s="428"/>
      <c r="U23" s="428"/>
      <c r="V23" s="428"/>
      <c r="W23" s="308"/>
      <c r="X23" s="317">
        <f>IFERROR(IF(tblPiNAnalysis5[[#This Row],[CCCM]]="", "", MROUND(tblPiNAnalysis5[[#This Row],[CCCM]]/tblPiNAnalysis5[[#This Row],[PIN]], 0.05)), "")</f>
        <v>0</v>
      </c>
      <c r="Y23" s="318">
        <f>IFERROR(IF(tblPiNAnalysis5[[#This Row],[Education]]="", "", MROUND(tblPiNAnalysis5[[#This Row],[Education]]/tblPiNAnalysis5[[#This Row],[PIN]], 0.05)), "")</f>
        <v>0.2</v>
      </c>
      <c r="Z23" s="318">
        <f>IFERROR(IF(tblPiNAnalysis5[[#This Row],[Nutrition]]="", "", MROUND(tblPiNAnalysis5[[#This Row],[Nutrition]]/tblPiNAnalysis5[[#This Row],[PIN]], 0.05)), "")</f>
        <v>0.15000000000000002</v>
      </c>
      <c r="AA23" s="318">
        <f>IFERROR(IF(tblPiNAnalysis5[[#This Row],[Food Security]]="", "", MROUND(tblPiNAnalysis5[[#This Row],[Food Security]]/tblPiNAnalysis5[[#This Row],[PIN]], 0.05)), "")</f>
        <v>0.9</v>
      </c>
      <c r="AB23" s="318">
        <f>IFERROR(IF(tblPiNAnalysis5[[#This Row],[Health]]="", "", MROUND(tblPiNAnalysis5[[#This Row],[Health]]/tblPiNAnalysis5[[#This Row],[PIN]], 0.05)), "")</f>
        <v>0</v>
      </c>
      <c r="AC23" s="319" t="str">
        <f>IFERROR(IF(tblPiNAnalysis5[[#This Row],[Protection]]="", "", MROUND(tblPiNAnalysis5[[#This Row],[Protection]]/tblPiNAnalysis5[[#This Row],[PIN]], 0.05)), "")</f>
        <v/>
      </c>
      <c r="AD23" s="319">
        <f>IFERROR(IF(tblPiNAnalysis5[[#This Row],[Shelter]]="", "", MROUND(tblPiNAnalysis5[[#This Row],[Shelter]]/tblPiNAnalysis5[[#This Row],[PIN]], 0.05)), "")</f>
        <v>0</v>
      </c>
      <c r="AE23" s="320">
        <f>IFERROR(IF(tblPiNAnalysis5[[#This Row],[WASH]]="", "", MROUND(tblPiNAnalysis5[[#This Row],[WASH]]/tblPiNAnalysis5[[#This Row],[PIN]], 0.05)), "")</f>
        <v>0.30000000000000004</v>
      </c>
      <c r="AF23" s="488">
        <f>VLOOKUP(tblPiNAnalysis5[[#This Row],[ID]],tblPiNAnalysis[[ID]:[Final PiN]],63,FALSE)</f>
        <v>17205</v>
      </c>
      <c r="AG23" s="488">
        <f>IFERROR(IF(tblPiNAnalysis5[[#This Row],[Final TARGET]]="", "", MROUND(tblPiNAnalysis5[[#This Row],[Final TARGET]]/tblPiNAnalysis5[[#This Row],[PIN]], 0.05)), "")</f>
        <v>0.9</v>
      </c>
      <c r="AH23" s="322">
        <f>IF(MAX(tblPiNAnalysis5[[#This Row],[CCCM]:[WASH]])&lt;tblPiNAnalysis5[[#This Row],[PIN]],MAX(tblPiNAnalysis5[[#This Row],[CCCM]:[WASH]]),tblPiNAnalysis5[[#This Row],[PIN]])</f>
        <v>15198</v>
      </c>
      <c r="AI23" s="326"/>
      <c r="AJ23" s="502">
        <f>tblPiNAnalysis5[[#This Row],[CCCM]]</f>
        <v>0</v>
      </c>
      <c r="AK23" s="500">
        <v>2457</v>
      </c>
      <c r="AL23" s="500">
        <v>1892</v>
      </c>
      <c r="AM23" s="500">
        <f>IF(VLOOKUP(tblPiNAnalysis5[[#This Row],[Admin 2 P-Code]],tblSeverityAnalysis[[Admin 2 P-Code]:[WASH]],10,FALSE)&gt;=4,VLOOKUP(tblPiNAnalysis5[[#This Row],[Admin 2 P-Code]],tblPiNAnalysis[[Admin 2 P-Code]:[WASH]],10,FALSE),0)</f>
        <v>17205</v>
      </c>
      <c r="AN23" s="503">
        <v>0</v>
      </c>
      <c r="AO23" s="500"/>
      <c r="AP23" s="516">
        <v>11</v>
      </c>
      <c r="AQ23" s="501">
        <v>2436.5</v>
      </c>
      <c r="AR23" s="383">
        <f>MIN(tblPiNAnalysis5[[#This Row],[Final TARGET]],MAX(tblPiNAnalysis5[[#This Row],[CCCM_PRI]:[WASH_PRI]]))</f>
        <v>15198</v>
      </c>
      <c r="AS23" s="383">
        <f>IF(VLOOKUP(tblPiNAnalysis5[[#This Row],[Admin 2 P-Code]],tblSeverityAnalysis[[Admin 2 P-Code]:[Final Severity]],43,FALSE)&gt;=4,VLOOKUP(tblPiNAnalysis5[[#This Row],[Admin 2 P-Code]],tblPiNAnalysis[[Admin 2 P-Code]:[WASH]],8,FALSE),0)</f>
        <v>0</v>
      </c>
    </row>
    <row r="24" spans="1:45" ht="16.5" customHeight="1">
      <c r="A2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Global_PopulationHT0211</v>
      </c>
      <c r="B24" s="304" t="s">
        <v>197</v>
      </c>
      <c r="C24" s="213" t="s">
        <v>198</v>
      </c>
      <c r="D24" s="213" t="s">
        <v>199</v>
      </c>
      <c r="E24" s="103" t="s">
        <v>200</v>
      </c>
      <c r="F24" s="99"/>
      <c r="G24" s="34"/>
      <c r="H24" s="34"/>
      <c r="I24" s="96">
        <v>258099</v>
      </c>
      <c r="J24" s="221" t="s">
        <v>156</v>
      </c>
      <c r="K24" s="427">
        <v>0</v>
      </c>
      <c r="L24" s="428">
        <v>8380</v>
      </c>
      <c r="M24" s="428">
        <v>21039</v>
      </c>
      <c r="N24" s="428">
        <v>55011</v>
      </c>
      <c r="O24" s="428">
        <v>34237.276191643607</v>
      </c>
      <c r="P24" s="428"/>
      <c r="Q24" s="428">
        <v>11502.100000000002</v>
      </c>
      <c r="R24" s="428">
        <v>65052</v>
      </c>
      <c r="S24" s="428"/>
      <c r="T24" s="428"/>
      <c r="U24" s="428"/>
      <c r="V24" s="428"/>
      <c r="W24" s="308"/>
      <c r="X24" s="317">
        <f>IFERROR(IF(tblPiNAnalysis5[[#This Row],[CCCM]]="", "", MROUND(tblPiNAnalysis5[[#This Row],[CCCM]]/tblPiNAnalysis5[[#This Row],[PIN]], 0.05)), "")</f>
        <v>0</v>
      </c>
      <c r="Y24" s="318">
        <f>IFERROR(IF(tblPiNAnalysis5[[#This Row],[Education]]="", "", MROUND(tblPiNAnalysis5[[#This Row],[Education]]/tblPiNAnalysis5[[#This Row],[PIN]], 0.05)), "")</f>
        <v>0.05</v>
      </c>
      <c r="Z24" s="318">
        <f>IFERROR(IF(tblPiNAnalysis5[[#This Row],[Nutrition]]="", "", MROUND(tblPiNAnalysis5[[#This Row],[Nutrition]]/tblPiNAnalysis5[[#This Row],[PIN]], 0.05)), "")</f>
        <v>0.15000000000000002</v>
      </c>
      <c r="AA24" s="318">
        <f>IFERROR(IF(tblPiNAnalysis5[[#This Row],[Food Security]]="", "", MROUND(tblPiNAnalysis5[[#This Row],[Food Security]]/tblPiNAnalysis5[[#This Row],[PIN]], 0.05)), "")</f>
        <v>0.4</v>
      </c>
      <c r="AB24" s="318">
        <f>IFERROR(IF(tblPiNAnalysis5[[#This Row],[Health]]="", "", MROUND(tblPiNAnalysis5[[#This Row],[Health]]/tblPiNAnalysis5[[#This Row],[PIN]], 0.05)), "")</f>
        <v>0.25</v>
      </c>
      <c r="AC24" s="319" t="str">
        <f>IFERROR(IF(tblPiNAnalysis5[[#This Row],[Protection]]="", "", MROUND(tblPiNAnalysis5[[#This Row],[Protection]]/tblPiNAnalysis5[[#This Row],[PIN]], 0.05)), "")</f>
        <v/>
      </c>
      <c r="AD24" s="319">
        <f>IFERROR(IF(tblPiNAnalysis5[[#This Row],[Shelter]]="", "", MROUND(tblPiNAnalysis5[[#This Row],[Shelter]]/tblPiNAnalysis5[[#This Row],[PIN]], 0.05)), "")</f>
        <v>0.1</v>
      </c>
      <c r="AE24" s="320">
        <f>IFERROR(IF(tblPiNAnalysis5[[#This Row],[WASH]]="", "", MROUND(tblPiNAnalysis5[[#This Row],[WASH]]/tblPiNAnalysis5[[#This Row],[PIN]], 0.05)), "")</f>
        <v>0.5</v>
      </c>
      <c r="AF24" s="488">
        <f>VLOOKUP(tblPiNAnalysis5[[#This Row],[ID]],tblPiNAnalysis[[ID]:[Final PiN]],63,FALSE)</f>
        <v>136949.10476657443</v>
      </c>
      <c r="AG24" s="488">
        <f>IFERROR(IF(tblPiNAnalysis5[[#This Row],[Final TARGET]]="", "", MROUND(tblPiNAnalysis5[[#This Row],[Final TARGET]]/tblPiNAnalysis5[[#This Row],[PIN]], 0.05)), "")</f>
        <v>0.5</v>
      </c>
      <c r="AH24" s="322">
        <f>IF(MAX(tblPiNAnalysis5[[#This Row],[CCCM]:[WASH]])&lt;tblPiNAnalysis5[[#This Row],[PIN]],MAX(tblPiNAnalysis5[[#This Row],[CCCM]:[WASH]]),tblPiNAnalysis5[[#This Row],[PIN]])</f>
        <v>65052</v>
      </c>
      <c r="AI24" s="326"/>
      <c r="AJ24" s="502">
        <f>tblPiNAnalysis5[[#This Row],[CCCM]]</f>
        <v>0</v>
      </c>
      <c r="AK24" s="500">
        <v>5722</v>
      </c>
      <c r="AL24" s="500">
        <v>16289</v>
      </c>
      <c r="AM24" s="500">
        <f>IF(VLOOKUP(tblPiNAnalysis5[[#This Row],[Admin 2 P-Code]],tblSeverityAnalysis[[Admin 2 P-Code]:[WASH]],10,FALSE)&gt;=4,VLOOKUP(tblPiNAnalysis5[[#This Row],[Admin 2 P-Code]],tblPiNAnalysis[[Admin 2 P-Code]:[WASH]],10,FALSE),0)</f>
        <v>0</v>
      </c>
      <c r="AN24" s="503">
        <v>0</v>
      </c>
      <c r="AO24" s="500"/>
      <c r="AP24" s="516">
        <v>11402</v>
      </c>
      <c r="AQ24" s="501">
        <v>32526</v>
      </c>
      <c r="AR24" s="383">
        <f>MIN(tblPiNAnalysis5[[#This Row],[Final TARGET]],MAX(tblPiNAnalysis5[[#This Row],[CCCM_PRI]:[WASH_PRI]]))</f>
        <v>32526</v>
      </c>
      <c r="AS24" s="383">
        <f>IF(VLOOKUP(tblPiNAnalysis5[[#This Row],[Admin 2 P-Code]],tblSeverityAnalysis[[Admin 2 P-Code]:[Final Severity]],43,FALSE)&gt;=4,VLOOKUP(tblPiNAnalysis5[[#This Row],[Admin 2 P-Code]],tblPiNAnalysis[[Admin 2 P-Code]:[WASH]],8,FALSE),0)</f>
        <v>0</v>
      </c>
    </row>
    <row r="25" spans="1:45" ht="16.5" customHeight="1">
      <c r="A2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Global_PopulationHT0212</v>
      </c>
      <c r="B25" s="304" t="s">
        <v>197</v>
      </c>
      <c r="C25" s="213" t="s">
        <v>198</v>
      </c>
      <c r="D25" s="213" t="s">
        <v>201</v>
      </c>
      <c r="E25" s="103" t="s">
        <v>202</v>
      </c>
      <c r="F25" s="99"/>
      <c r="G25" s="34"/>
      <c r="H25" s="34"/>
      <c r="I25" s="96">
        <v>92869</v>
      </c>
      <c r="J25" s="221" t="s">
        <v>156</v>
      </c>
      <c r="K25" s="427">
        <v>0</v>
      </c>
      <c r="L25" s="428">
        <v>2694</v>
      </c>
      <c r="M25" s="428">
        <v>6388</v>
      </c>
      <c r="N25" s="428">
        <v>21516</v>
      </c>
      <c r="O25" s="428">
        <v>4915.3373969167515</v>
      </c>
      <c r="P25" s="428"/>
      <c r="Q25" s="428">
        <v>1557.4</v>
      </c>
      <c r="R25" s="428">
        <v>9730</v>
      </c>
      <c r="S25" s="428"/>
      <c r="T25" s="428"/>
      <c r="U25" s="428"/>
      <c r="V25" s="428"/>
      <c r="W25" s="308"/>
      <c r="X25" s="317" t="str">
        <f>IFERROR(IF(tblPiNAnalysis5[[#This Row],[CCCM]]="", "", MROUND(tblPiNAnalysis5[[#This Row],[CCCM]]/tblPiNAnalysis5[[#This Row],[PIN]], 0.05)), "")</f>
        <v/>
      </c>
      <c r="Y25" s="318" t="str">
        <f>IFERROR(IF(tblPiNAnalysis5[[#This Row],[Education]]="", "", MROUND(tblPiNAnalysis5[[#This Row],[Education]]/tblPiNAnalysis5[[#This Row],[PIN]], 0.05)), "")</f>
        <v/>
      </c>
      <c r="Z25" s="318" t="str">
        <f>IFERROR(IF(tblPiNAnalysis5[[#This Row],[Nutrition]]="", "", MROUND(tblPiNAnalysis5[[#This Row],[Nutrition]]/tblPiNAnalysis5[[#This Row],[PIN]], 0.05)), "")</f>
        <v/>
      </c>
      <c r="AA25" s="318" t="str">
        <f>IFERROR(IF(tblPiNAnalysis5[[#This Row],[Food Security]]="", "", MROUND(tblPiNAnalysis5[[#This Row],[Food Security]]/tblPiNAnalysis5[[#This Row],[PIN]], 0.05)), "")</f>
        <v/>
      </c>
      <c r="AB25" s="318" t="str">
        <f>IFERROR(IF(tblPiNAnalysis5[[#This Row],[Health]]="", "", MROUND(tblPiNAnalysis5[[#This Row],[Health]]/tblPiNAnalysis5[[#This Row],[PIN]], 0.05)), "")</f>
        <v/>
      </c>
      <c r="AC25" s="319" t="str">
        <f>IFERROR(IF(tblPiNAnalysis5[[#This Row],[Protection]]="", "", MROUND(tblPiNAnalysis5[[#This Row],[Protection]]/tblPiNAnalysis5[[#This Row],[PIN]], 0.05)), "")</f>
        <v/>
      </c>
      <c r="AD25" s="319" t="str">
        <f>IFERROR(IF(tblPiNAnalysis5[[#This Row],[Shelter]]="", "", MROUND(tblPiNAnalysis5[[#This Row],[Shelter]]/tblPiNAnalysis5[[#This Row],[PIN]], 0.05)), "")</f>
        <v/>
      </c>
      <c r="AE25" s="320" t="str">
        <f>IFERROR(IF(tblPiNAnalysis5[[#This Row],[WASH]]="", "", MROUND(tblPiNAnalysis5[[#This Row],[WASH]]/tblPiNAnalysis5[[#This Row],[PIN]], 0.05)), "")</f>
        <v/>
      </c>
      <c r="AF25" s="488">
        <f>VLOOKUP(tblPiNAnalysis5[[#This Row],[ID]],tblPiNAnalysis[[ID]:[Final PiN]],63,FALSE)</f>
        <v>0</v>
      </c>
      <c r="AG25" s="488" t="str">
        <f>IFERROR(IF(tblPiNAnalysis5[[#This Row],[Final TARGET]]="", "", MROUND(tblPiNAnalysis5[[#This Row],[Final TARGET]]/tblPiNAnalysis5[[#This Row],[PIN]], 0.05)), "")</f>
        <v/>
      </c>
      <c r="AH25" s="322">
        <f>IF(MAX(tblPiNAnalysis5[[#This Row],[CCCM]:[WASH]])&lt;tblPiNAnalysis5[[#This Row],[PIN]],MAX(tblPiNAnalysis5[[#This Row],[CCCM]:[WASH]]),tblPiNAnalysis5[[#This Row],[PIN]])</f>
        <v>0</v>
      </c>
      <c r="AI25" s="326"/>
      <c r="AJ25" s="502">
        <f>tblPiNAnalysis5[[#This Row],[CCCM]]</f>
        <v>0</v>
      </c>
      <c r="AK25" s="500">
        <v>1536</v>
      </c>
      <c r="AL25" s="500">
        <v>4650</v>
      </c>
      <c r="AM25" s="500">
        <f>IF(VLOOKUP(tblPiNAnalysis5[[#This Row],[Admin 2 P-Code]],tblSeverityAnalysis[[Admin 2 P-Code]:[WASH]],10,FALSE)&gt;=4,VLOOKUP(tblPiNAnalysis5[[#This Row],[Admin 2 P-Code]],tblPiNAnalysis[[Admin 2 P-Code]:[WASH]],10,FALSE),0)</f>
        <v>0</v>
      </c>
      <c r="AN25" s="503">
        <v>0</v>
      </c>
      <c r="AO25" s="500"/>
      <c r="AP25" s="516">
        <v>1557</v>
      </c>
      <c r="AQ25" s="501">
        <v>4865</v>
      </c>
      <c r="AR25" s="383">
        <f>MIN(tblPiNAnalysis5[[#This Row],[Final TARGET]],MAX(tblPiNAnalysis5[[#This Row],[CCCM_PRI]:[WASH_PRI]]))</f>
        <v>0</v>
      </c>
      <c r="AS25" s="383">
        <f>IF(VLOOKUP(tblPiNAnalysis5[[#This Row],[Admin 2 P-Code]],tblSeverityAnalysis[[Admin 2 P-Code]:[Final Severity]],43,FALSE)&gt;=4,VLOOKUP(tblPiNAnalysis5[[#This Row],[Admin 2 P-Code]],tblPiNAnalysis[[Admin 2 P-Code]:[WASH]],8,FALSE),0)</f>
        <v>0</v>
      </c>
    </row>
    <row r="26" spans="1:45" ht="16.5" customHeight="1">
      <c r="A2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Global_PopulationHT0213</v>
      </c>
      <c r="B26" s="304" t="s">
        <v>197</v>
      </c>
      <c r="C26" s="213" t="s">
        <v>198</v>
      </c>
      <c r="D26" s="213" t="s">
        <v>203</v>
      </c>
      <c r="E26" s="103" t="s">
        <v>204</v>
      </c>
      <c r="F26" s="99"/>
      <c r="G26" s="34"/>
      <c r="H26" s="34"/>
      <c r="I26" s="96">
        <v>49845</v>
      </c>
      <c r="J26" s="221" t="s">
        <v>156</v>
      </c>
      <c r="K26" s="427">
        <v>0</v>
      </c>
      <c r="L26" s="428">
        <v>1470</v>
      </c>
      <c r="M26" s="428">
        <v>3388</v>
      </c>
      <c r="N26" s="428">
        <v>11190</v>
      </c>
      <c r="O26" s="428">
        <v>0</v>
      </c>
      <c r="P26" s="428"/>
      <c r="Q26" s="428">
        <v>767.5</v>
      </c>
      <c r="R26" s="428">
        <v>4136</v>
      </c>
      <c r="S26" s="428"/>
      <c r="T26" s="428"/>
      <c r="U26" s="428"/>
      <c r="V26" s="428"/>
      <c r="W26" s="308"/>
      <c r="X26" s="317" t="str">
        <f>IFERROR(IF(tblPiNAnalysis5[[#This Row],[CCCM]]="", "", MROUND(tblPiNAnalysis5[[#This Row],[CCCM]]/tblPiNAnalysis5[[#This Row],[PIN]], 0.05)), "")</f>
        <v/>
      </c>
      <c r="Y26" s="318" t="str">
        <f>IFERROR(IF(tblPiNAnalysis5[[#This Row],[Education]]="", "", MROUND(tblPiNAnalysis5[[#This Row],[Education]]/tblPiNAnalysis5[[#This Row],[PIN]], 0.05)), "")</f>
        <v/>
      </c>
      <c r="Z26" s="318" t="str">
        <f>IFERROR(IF(tblPiNAnalysis5[[#This Row],[Nutrition]]="", "", MROUND(tblPiNAnalysis5[[#This Row],[Nutrition]]/tblPiNAnalysis5[[#This Row],[PIN]], 0.05)), "")</f>
        <v/>
      </c>
      <c r="AA26" s="318" t="str">
        <f>IFERROR(IF(tblPiNAnalysis5[[#This Row],[Food Security]]="", "", MROUND(tblPiNAnalysis5[[#This Row],[Food Security]]/tblPiNAnalysis5[[#This Row],[PIN]], 0.05)), "")</f>
        <v/>
      </c>
      <c r="AB26" s="318" t="str">
        <f>IFERROR(IF(tblPiNAnalysis5[[#This Row],[Health]]="", "", MROUND(tblPiNAnalysis5[[#This Row],[Health]]/tblPiNAnalysis5[[#This Row],[PIN]], 0.05)), "")</f>
        <v/>
      </c>
      <c r="AC26" s="319" t="str">
        <f>IFERROR(IF(tblPiNAnalysis5[[#This Row],[Protection]]="", "", MROUND(tblPiNAnalysis5[[#This Row],[Protection]]/tblPiNAnalysis5[[#This Row],[PIN]], 0.05)), "")</f>
        <v/>
      </c>
      <c r="AD26" s="319" t="str">
        <f>IFERROR(IF(tblPiNAnalysis5[[#This Row],[Shelter]]="", "", MROUND(tblPiNAnalysis5[[#This Row],[Shelter]]/tblPiNAnalysis5[[#This Row],[PIN]], 0.05)), "")</f>
        <v/>
      </c>
      <c r="AE26" s="320" t="str">
        <f>IFERROR(IF(tblPiNAnalysis5[[#This Row],[WASH]]="", "", MROUND(tblPiNAnalysis5[[#This Row],[WASH]]/tblPiNAnalysis5[[#This Row],[PIN]], 0.05)), "")</f>
        <v/>
      </c>
      <c r="AF26" s="488">
        <f>VLOOKUP(tblPiNAnalysis5[[#This Row],[ID]],tblPiNAnalysis[[ID]:[Final PiN]],63,FALSE)</f>
        <v>0</v>
      </c>
      <c r="AG26" s="488" t="str">
        <f>IFERROR(IF(tblPiNAnalysis5[[#This Row],[Final TARGET]]="", "", MROUND(tblPiNAnalysis5[[#This Row],[Final TARGET]]/tblPiNAnalysis5[[#This Row],[PIN]], 0.05)), "")</f>
        <v/>
      </c>
      <c r="AH26" s="322">
        <f>IF(MAX(tblPiNAnalysis5[[#This Row],[CCCM]:[WASH]])&lt;tblPiNAnalysis5[[#This Row],[PIN]],MAX(tblPiNAnalysis5[[#This Row],[CCCM]:[WASH]]),tblPiNAnalysis5[[#This Row],[PIN]])</f>
        <v>0</v>
      </c>
      <c r="AI26" s="326"/>
      <c r="AJ26" s="502">
        <f>tblPiNAnalysis5[[#This Row],[CCCM]]</f>
        <v>0</v>
      </c>
      <c r="AK26" s="500">
        <v>807</v>
      </c>
      <c r="AL26" s="500">
        <v>2481</v>
      </c>
      <c r="AM26" s="500">
        <f>IF(VLOOKUP(tblPiNAnalysis5[[#This Row],[Admin 2 P-Code]],tblSeverityAnalysis[[Admin 2 P-Code]:[WASH]],10,FALSE)&gt;=4,VLOOKUP(tblPiNAnalysis5[[#This Row],[Admin 2 P-Code]],tblPiNAnalysis[[Admin 2 P-Code]:[WASH]],10,FALSE),0)</f>
        <v>0</v>
      </c>
      <c r="AN26" s="503">
        <v>0</v>
      </c>
      <c r="AO26" s="500"/>
      <c r="AP26" s="516">
        <v>768</v>
      </c>
      <c r="AQ26" s="501">
        <v>10752</v>
      </c>
      <c r="AR26" s="383">
        <f>MIN(tblPiNAnalysis5[[#This Row],[Final TARGET]],MAX(tblPiNAnalysis5[[#This Row],[CCCM_PRI]:[WASH_PRI]]))</f>
        <v>0</v>
      </c>
      <c r="AS26" s="383">
        <f>IF(VLOOKUP(tblPiNAnalysis5[[#This Row],[Admin 2 P-Code]],tblSeverityAnalysis[[Admin 2 P-Code]:[Final Severity]],43,FALSE)&gt;=4,VLOOKUP(tblPiNAnalysis5[[#This Row],[Admin 2 P-Code]],tblPiNAnalysis[[Admin 2 P-Code]:[WASH]],8,FALSE),0)</f>
        <v>0</v>
      </c>
    </row>
    <row r="27" spans="1:45" ht="16.5" customHeight="1">
      <c r="A2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Global_PopulationHT0214</v>
      </c>
      <c r="B27" s="304" t="s">
        <v>197</v>
      </c>
      <c r="C27" s="213" t="s">
        <v>198</v>
      </c>
      <c r="D27" s="213" t="s">
        <v>205</v>
      </c>
      <c r="E27" s="103" t="s">
        <v>206</v>
      </c>
      <c r="F27" s="99"/>
      <c r="G27" s="34"/>
      <c r="H27" s="34"/>
      <c r="I27" s="96">
        <v>47372</v>
      </c>
      <c r="J27" s="221" t="s">
        <v>156</v>
      </c>
      <c r="K27" s="427">
        <v>0</v>
      </c>
      <c r="L27" s="428">
        <v>1903</v>
      </c>
      <c r="M27" s="428">
        <v>4229</v>
      </c>
      <c r="N27" s="428">
        <v>9706</v>
      </c>
      <c r="O27" s="428">
        <v>10148.222679143502</v>
      </c>
      <c r="P27" s="428"/>
      <c r="Q27" s="428">
        <v>1194.8000000000002</v>
      </c>
      <c r="R27" s="428">
        <v>19306</v>
      </c>
      <c r="S27" s="428"/>
      <c r="T27" s="428"/>
      <c r="U27" s="428"/>
      <c r="V27" s="428"/>
      <c r="W27" s="308"/>
      <c r="X27" s="317">
        <f>IFERROR(IF(tblPiNAnalysis5[[#This Row],[CCCM]]="", "", MROUND(tblPiNAnalysis5[[#This Row],[CCCM]]/tblPiNAnalysis5[[#This Row],[PIN]], 0.05)), "")</f>
        <v>0</v>
      </c>
      <c r="Y27" s="318">
        <f>IFERROR(IF(tblPiNAnalysis5[[#This Row],[Education]]="", "", MROUND(tblPiNAnalysis5[[#This Row],[Education]]/tblPiNAnalysis5[[#This Row],[PIN]], 0.05)), "")</f>
        <v>0.05</v>
      </c>
      <c r="Z27" s="318">
        <f>IFERROR(IF(tblPiNAnalysis5[[#This Row],[Nutrition]]="", "", MROUND(tblPiNAnalysis5[[#This Row],[Nutrition]]/tblPiNAnalysis5[[#This Row],[PIN]], 0.05)), "")</f>
        <v>0.1</v>
      </c>
      <c r="AA27" s="318">
        <f>IFERROR(IF(tblPiNAnalysis5[[#This Row],[Food Security]]="", "", MROUND(tblPiNAnalysis5[[#This Row],[Food Security]]/tblPiNAnalysis5[[#This Row],[PIN]], 0.05)), "")</f>
        <v>0.25</v>
      </c>
      <c r="AB27" s="318">
        <f>IFERROR(IF(tblPiNAnalysis5[[#This Row],[Health]]="", "", MROUND(tblPiNAnalysis5[[#This Row],[Health]]/tblPiNAnalysis5[[#This Row],[PIN]], 0.05)), "")</f>
        <v>0.25</v>
      </c>
      <c r="AC27" s="319" t="str">
        <f>IFERROR(IF(tblPiNAnalysis5[[#This Row],[Protection]]="", "", MROUND(tblPiNAnalysis5[[#This Row],[Protection]]/tblPiNAnalysis5[[#This Row],[PIN]], 0.05)), "")</f>
        <v/>
      </c>
      <c r="AD27" s="319">
        <f>IFERROR(IF(tblPiNAnalysis5[[#This Row],[Shelter]]="", "", MROUND(tblPiNAnalysis5[[#This Row],[Shelter]]/tblPiNAnalysis5[[#This Row],[PIN]], 0.05)), "")</f>
        <v>0.05</v>
      </c>
      <c r="AE27" s="320">
        <f>IFERROR(IF(tblPiNAnalysis5[[#This Row],[WASH]]="", "", MROUND(tblPiNAnalysis5[[#This Row],[WASH]]/tblPiNAnalysis5[[#This Row],[PIN]], 0.05)), "")</f>
        <v>0.5</v>
      </c>
      <c r="AF27" s="488">
        <f>VLOOKUP(tblPiNAnalysis5[[#This Row],[ID]],tblPiNAnalysis[[ID]:[Final PiN]],63,FALSE)</f>
        <v>40592.890716574009</v>
      </c>
      <c r="AG27" s="488">
        <f>IFERROR(IF(tblPiNAnalysis5[[#This Row],[Final TARGET]]="", "", MROUND(tblPiNAnalysis5[[#This Row],[Final TARGET]]/tblPiNAnalysis5[[#This Row],[PIN]], 0.05)), "")</f>
        <v>0.5</v>
      </c>
      <c r="AH27" s="322">
        <f>IF(MAX(tblPiNAnalysis5[[#This Row],[CCCM]:[WASH]])&lt;tblPiNAnalysis5[[#This Row],[PIN]],MAX(tblPiNAnalysis5[[#This Row],[CCCM]:[WASH]]),tblPiNAnalysis5[[#This Row],[PIN]])</f>
        <v>19306</v>
      </c>
      <c r="AI27" s="326"/>
      <c r="AJ27" s="502">
        <f>tblPiNAnalysis5[[#This Row],[CCCM]]</f>
        <v>0</v>
      </c>
      <c r="AK27" s="500">
        <v>1471</v>
      </c>
      <c r="AL27" s="500">
        <v>3249</v>
      </c>
      <c r="AM27" s="500">
        <f>IF(VLOOKUP(tblPiNAnalysis5[[#This Row],[Admin 2 P-Code]],tblSeverityAnalysis[[Admin 2 P-Code]:[WASH]],10,FALSE)&gt;=4,VLOOKUP(tblPiNAnalysis5[[#This Row],[Admin 2 P-Code]],tblPiNAnalysis[[Admin 2 P-Code]:[WASH]],10,FALSE),0)</f>
        <v>0</v>
      </c>
      <c r="AN27" s="503">
        <v>0</v>
      </c>
      <c r="AO27" s="500"/>
      <c r="AP27" s="516">
        <v>1095</v>
      </c>
      <c r="AQ27" s="501">
        <v>9653</v>
      </c>
      <c r="AR27" s="383">
        <f>MIN(tblPiNAnalysis5[[#This Row],[Final TARGET]],MAX(tblPiNAnalysis5[[#This Row],[CCCM_PRI]:[WASH_PRI]]))</f>
        <v>9653</v>
      </c>
      <c r="AS27" s="383">
        <f>IF(VLOOKUP(tblPiNAnalysis5[[#This Row],[Admin 2 P-Code]],tblSeverityAnalysis[[Admin 2 P-Code]:[Final Severity]],43,FALSE)&gt;=4,VLOOKUP(tblPiNAnalysis5[[#This Row],[Admin 2 P-Code]],tblPiNAnalysis[[Admin 2 P-Code]:[WASH]],8,FALSE),0)</f>
        <v>0</v>
      </c>
    </row>
    <row r="28" spans="1:45" ht="16.5" customHeight="1">
      <c r="A2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Global_PopulationHT0221</v>
      </c>
      <c r="B28" s="304" t="s">
        <v>197</v>
      </c>
      <c r="C28" s="213" t="s">
        <v>198</v>
      </c>
      <c r="D28" s="213" t="s">
        <v>207</v>
      </c>
      <c r="E28" s="103" t="s">
        <v>208</v>
      </c>
      <c r="F28" s="99"/>
      <c r="G28" s="34"/>
      <c r="H28" s="34"/>
      <c r="I28" s="96">
        <v>113034</v>
      </c>
      <c r="J28" s="221" t="s">
        <v>156</v>
      </c>
      <c r="K28" s="427">
        <v>0</v>
      </c>
      <c r="L28" s="428">
        <v>3689</v>
      </c>
      <c r="M28" s="428">
        <v>7775</v>
      </c>
      <c r="N28" s="428">
        <v>23897</v>
      </c>
      <c r="O28" s="428">
        <v>7265.3600256853897</v>
      </c>
      <c r="P28" s="428"/>
      <c r="Q28" s="428">
        <v>1071.6500000000001</v>
      </c>
      <c r="R28" s="428">
        <v>14189</v>
      </c>
      <c r="S28" s="428"/>
      <c r="T28" s="428"/>
      <c r="U28" s="428"/>
      <c r="V28" s="428"/>
      <c r="W28" s="308"/>
      <c r="X28" s="317">
        <f>IFERROR(IF(tblPiNAnalysis5[[#This Row],[CCCM]]="", "", MROUND(tblPiNAnalysis5[[#This Row],[CCCM]]/tblPiNAnalysis5[[#This Row],[PIN]], 0.05)), "")</f>
        <v>0</v>
      </c>
      <c r="Y28" s="318">
        <f>IFERROR(IF(tblPiNAnalysis5[[#This Row],[Education]]="", "", MROUND(tblPiNAnalysis5[[#This Row],[Education]]/tblPiNAnalysis5[[#This Row],[PIN]], 0.05)), "")</f>
        <v>0.05</v>
      </c>
      <c r="Z28" s="318">
        <f>IFERROR(IF(tblPiNAnalysis5[[#This Row],[Nutrition]]="", "", MROUND(tblPiNAnalysis5[[#This Row],[Nutrition]]/tblPiNAnalysis5[[#This Row],[PIN]], 0.05)), "")</f>
        <v>0.15000000000000002</v>
      </c>
      <c r="AA28" s="318">
        <f>IFERROR(IF(tblPiNAnalysis5[[#This Row],[Food Security]]="", "", MROUND(tblPiNAnalysis5[[#This Row],[Food Security]]/tblPiNAnalysis5[[#This Row],[PIN]], 0.05)), "")</f>
        <v>0.4</v>
      </c>
      <c r="AB28" s="318">
        <f>IFERROR(IF(tblPiNAnalysis5[[#This Row],[Health]]="", "", MROUND(tblPiNAnalysis5[[#This Row],[Health]]/tblPiNAnalysis5[[#This Row],[PIN]], 0.05)), "")</f>
        <v>0.15000000000000002</v>
      </c>
      <c r="AC28" s="319" t="str">
        <f>IFERROR(IF(tblPiNAnalysis5[[#This Row],[Protection]]="", "", MROUND(tblPiNAnalysis5[[#This Row],[Protection]]/tblPiNAnalysis5[[#This Row],[PIN]], 0.05)), "")</f>
        <v/>
      </c>
      <c r="AD28" s="319">
        <f>IFERROR(IF(tblPiNAnalysis5[[#This Row],[Shelter]]="", "", MROUND(tblPiNAnalysis5[[#This Row],[Shelter]]/tblPiNAnalysis5[[#This Row],[PIN]], 0.05)), "")</f>
        <v>0</v>
      </c>
      <c r="AE28" s="320">
        <f>IFERROR(IF(tblPiNAnalysis5[[#This Row],[WASH]]="", "", MROUND(tblPiNAnalysis5[[#This Row],[WASH]]/tblPiNAnalysis5[[#This Row],[PIN]], 0.05)), "")</f>
        <v>0.25</v>
      </c>
      <c r="AF28" s="488">
        <f>VLOOKUP(tblPiNAnalysis5[[#This Row],[ID]],tblPiNAnalysis[[ID]:[Final PiN]],63,FALSE)</f>
        <v>57856</v>
      </c>
      <c r="AG28" s="488">
        <f>IFERROR(IF(tblPiNAnalysis5[[#This Row],[Final TARGET]]="", "", MROUND(tblPiNAnalysis5[[#This Row],[Final TARGET]]/tblPiNAnalysis5[[#This Row],[PIN]], 0.05)), "")</f>
        <v>0.4</v>
      </c>
      <c r="AH28" s="322">
        <f>IF(MAX(tblPiNAnalysis5[[#This Row],[CCCM]:[WASH]])&lt;tblPiNAnalysis5[[#This Row],[PIN]],MAX(tblPiNAnalysis5[[#This Row],[CCCM]:[WASH]]),tblPiNAnalysis5[[#This Row],[PIN]])</f>
        <v>23897</v>
      </c>
      <c r="AI28" s="326"/>
      <c r="AJ28" s="502">
        <f>tblPiNAnalysis5[[#This Row],[CCCM]]</f>
        <v>0</v>
      </c>
      <c r="AK28" s="500">
        <v>2135</v>
      </c>
      <c r="AL28" s="500">
        <v>5905</v>
      </c>
      <c r="AM28" s="500">
        <f>IF(VLOOKUP(tblPiNAnalysis5[[#This Row],[Admin 2 P-Code]],tblSeverityAnalysis[[Admin 2 P-Code]:[WASH]],10,FALSE)&gt;=4,VLOOKUP(tblPiNAnalysis5[[#This Row],[Admin 2 P-Code]],tblPiNAnalysis[[Admin 2 P-Code]:[WASH]],10,FALSE),0)</f>
        <v>0</v>
      </c>
      <c r="AN28" s="503">
        <v>0</v>
      </c>
      <c r="AO28" s="500"/>
      <c r="AP28" s="516">
        <v>972</v>
      </c>
      <c r="AQ28" s="501">
        <v>7094.5</v>
      </c>
      <c r="AR28" s="383">
        <f>MIN(tblPiNAnalysis5[[#This Row],[Final TARGET]],MAX(tblPiNAnalysis5[[#This Row],[CCCM_PRI]:[WASH_PRI]]))</f>
        <v>7094.5</v>
      </c>
      <c r="AS28" s="383">
        <f>IF(VLOOKUP(tblPiNAnalysis5[[#This Row],[Admin 2 P-Code]],tblSeverityAnalysis[[Admin 2 P-Code]:[Final Severity]],43,FALSE)&gt;=4,VLOOKUP(tblPiNAnalysis5[[#This Row],[Admin 2 P-Code]],tblPiNAnalysis[[Admin 2 P-Code]:[WASH]],8,FALSE),0)</f>
        <v>0</v>
      </c>
    </row>
    <row r="29" spans="1:45" ht="16.5" customHeight="1">
      <c r="A2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Global_PopulationHT0222</v>
      </c>
      <c r="B29" s="304" t="s">
        <v>197</v>
      </c>
      <c r="C29" s="213" t="s">
        <v>198</v>
      </c>
      <c r="D29" s="213" t="s">
        <v>209</v>
      </c>
      <c r="E29" s="103" t="s">
        <v>210</v>
      </c>
      <c r="F29" s="99"/>
      <c r="G29" s="34"/>
      <c r="H29" s="34"/>
      <c r="I29" s="96">
        <v>63370</v>
      </c>
      <c r="J29" s="221" t="s">
        <v>156</v>
      </c>
      <c r="K29" s="427">
        <v>0</v>
      </c>
      <c r="L29" s="428">
        <v>2217</v>
      </c>
      <c r="M29" s="428">
        <v>4432</v>
      </c>
      <c r="N29" s="428">
        <v>13748</v>
      </c>
      <c r="O29" s="428">
        <v>0</v>
      </c>
      <c r="P29" s="428"/>
      <c r="Q29" s="428">
        <v>840.55</v>
      </c>
      <c r="R29" s="428">
        <v>14125</v>
      </c>
      <c r="S29" s="428"/>
      <c r="T29" s="428"/>
      <c r="U29" s="428"/>
      <c r="V29" s="428"/>
      <c r="W29" s="308"/>
      <c r="X29" s="317">
        <f>IFERROR(IF(tblPiNAnalysis5[[#This Row],[CCCM]]="", "", MROUND(tblPiNAnalysis5[[#This Row],[CCCM]]/tblPiNAnalysis5[[#This Row],[PIN]], 0.05)), "")</f>
        <v>0</v>
      </c>
      <c r="Y29" s="318">
        <f>IFERROR(IF(tblPiNAnalysis5[[#This Row],[Education]]="", "", MROUND(tblPiNAnalysis5[[#This Row],[Education]]/tblPiNAnalysis5[[#This Row],[PIN]], 0.05)), "")</f>
        <v>0.05</v>
      </c>
      <c r="Z29" s="318">
        <f>IFERROR(IF(tblPiNAnalysis5[[#This Row],[Nutrition]]="", "", MROUND(tblPiNAnalysis5[[#This Row],[Nutrition]]/tblPiNAnalysis5[[#This Row],[PIN]], 0.05)), "")</f>
        <v>0.15000000000000002</v>
      </c>
      <c r="AA29" s="318">
        <f>IFERROR(IF(tblPiNAnalysis5[[#This Row],[Food Security]]="", "", MROUND(tblPiNAnalysis5[[#This Row],[Food Security]]/tblPiNAnalysis5[[#This Row],[PIN]], 0.05)), "")</f>
        <v>0.4</v>
      </c>
      <c r="AB29" s="318">
        <f>IFERROR(IF(tblPiNAnalysis5[[#This Row],[Health]]="", "", MROUND(tblPiNAnalysis5[[#This Row],[Health]]/tblPiNAnalysis5[[#This Row],[PIN]], 0.05)), "")</f>
        <v>0</v>
      </c>
      <c r="AC29" s="319" t="str">
        <f>IFERROR(IF(tblPiNAnalysis5[[#This Row],[Protection]]="", "", MROUND(tblPiNAnalysis5[[#This Row],[Protection]]/tblPiNAnalysis5[[#This Row],[PIN]], 0.05)), "")</f>
        <v/>
      </c>
      <c r="AD29" s="319">
        <f>IFERROR(IF(tblPiNAnalysis5[[#This Row],[Shelter]]="", "", MROUND(tblPiNAnalysis5[[#This Row],[Shelter]]/tblPiNAnalysis5[[#This Row],[PIN]], 0.05)), "")</f>
        <v>0.05</v>
      </c>
      <c r="AE29" s="320">
        <f>IFERROR(IF(tblPiNAnalysis5[[#This Row],[WASH]]="", "", MROUND(tblPiNAnalysis5[[#This Row],[WASH]]/tblPiNAnalysis5[[#This Row],[PIN]], 0.05)), "")</f>
        <v>0.45</v>
      </c>
      <c r="AF29" s="488">
        <f>VLOOKUP(tblPiNAnalysis5[[#This Row],[ID]],tblPiNAnalysis[[ID]:[Final PiN]],63,FALSE)</f>
        <v>32943</v>
      </c>
      <c r="AG29" s="488">
        <f>IFERROR(IF(tblPiNAnalysis5[[#This Row],[Final TARGET]]="", "", MROUND(tblPiNAnalysis5[[#This Row],[Final TARGET]]/tblPiNAnalysis5[[#This Row],[PIN]], 0.05)), "")</f>
        <v>0.45</v>
      </c>
      <c r="AH29" s="322">
        <f>IF(MAX(tblPiNAnalysis5[[#This Row],[CCCM]:[WASH]])&lt;tblPiNAnalysis5[[#This Row],[PIN]],MAX(tblPiNAnalysis5[[#This Row],[CCCM]:[WASH]]),tblPiNAnalysis5[[#This Row],[PIN]])</f>
        <v>14125</v>
      </c>
      <c r="AI29" s="326"/>
      <c r="AJ29" s="502">
        <f>tblPiNAnalysis5[[#This Row],[CCCM]]</f>
        <v>0</v>
      </c>
      <c r="AK29" s="500">
        <v>1450</v>
      </c>
      <c r="AL29" s="500">
        <v>3163</v>
      </c>
      <c r="AM29" s="500">
        <f>IF(VLOOKUP(tblPiNAnalysis5[[#This Row],[Admin 2 P-Code]],tblSeverityAnalysis[[Admin 2 P-Code]:[WASH]],10,FALSE)&gt;=4,VLOOKUP(tblPiNAnalysis5[[#This Row],[Admin 2 P-Code]],tblPiNAnalysis[[Admin 2 P-Code]:[WASH]],10,FALSE),0)</f>
        <v>0</v>
      </c>
      <c r="AN29" s="503">
        <v>0</v>
      </c>
      <c r="AO29" s="500"/>
      <c r="AP29" s="516">
        <v>841</v>
      </c>
      <c r="AQ29" s="501">
        <v>7062.5</v>
      </c>
      <c r="AR29" s="383">
        <f>MIN(tblPiNAnalysis5[[#This Row],[Final TARGET]],MAX(tblPiNAnalysis5[[#This Row],[CCCM_PRI]:[WASH_PRI]]))</f>
        <v>7062.5</v>
      </c>
      <c r="AS29" s="383">
        <f>IF(VLOOKUP(tblPiNAnalysis5[[#This Row],[Admin 2 P-Code]],tblSeverityAnalysis[[Admin 2 P-Code]:[Final Severity]],43,FALSE)&gt;=4,VLOOKUP(tblPiNAnalysis5[[#This Row],[Admin 2 P-Code]],tblPiNAnalysis[[Admin 2 P-Code]:[WASH]],8,FALSE),0)</f>
        <v>0</v>
      </c>
    </row>
    <row r="30" spans="1:45" ht="16.5" customHeight="1">
      <c r="A3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Global_PopulationHT0231</v>
      </c>
      <c r="B30" s="304" t="s">
        <v>197</v>
      </c>
      <c r="C30" s="213" t="s">
        <v>198</v>
      </c>
      <c r="D30" s="213" t="s">
        <v>211</v>
      </c>
      <c r="E30" s="103" t="s">
        <v>212</v>
      </c>
      <c r="F30" s="99"/>
      <c r="G30" s="34"/>
      <c r="H30" s="34"/>
      <c r="I30" s="96">
        <v>95781</v>
      </c>
      <c r="J30" s="221" t="s">
        <v>156</v>
      </c>
      <c r="K30" s="427">
        <v>0</v>
      </c>
      <c r="L30" s="428">
        <v>2917</v>
      </c>
      <c r="M30" s="428">
        <v>7120</v>
      </c>
      <c r="N30" s="428">
        <v>47968</v>
      </c>
      <c r="O30" s="428">
        <v>5786.5908977868112</v>
      </c>
      <c r="P30" s="428"/>
      <c r="Q30" s="428">
        <v>1784.4</v>
      </c>
      <c r="R30" s="428">
        <v>11070</v>
      </c>
      <c r="S30" s="428"/>
      <c r="T30" s="428"/>
      <c r="U30" s="428"/>
      <c r="V30" s="428"/>
      <c r="W30" s="308"/>
      <c r="X30" s="317">
        <f>IFERROR(IF(tblPiNAnalysis5[[#This Row],[CCCM]]="", "", MROUND(tblPiNAnalysis5[[#This Row],[CCCM]]/tblPiNAnalysis5[[#This Row],[PIN]], 0.05)), "")</f>
        <v>0</v>
      </c>
      <c r="Y30" s="318">
        <f>IFERROR(IF(tblPiNAnalysis5[[#This Row],[Education]]="", "", MROUND(tblPiNAnalysis5[[#This Row],[Education]]/tblPiNAnalysis5[[#This Row],[PIN]], 0.05)), "")</f>
        <v>0.05</v>
      </c>
      <c r="Z30" s="318">
        <f>IFERROR(IF(tblPiNAnalysis5[[#This Row],[Nutrition]]="", "", MROUND(tblPiNAnalysis5[[#This Row],[Nutrition]]/tblPiNAnalysis5[[#This Row],[PIN]], 0.05)), "")</f>
        <v>0.15000000000000002</v>
      </c>
      <c r="AA30" s="318">
        <f>IFERROR(IF(tblPiNAnalysis5[[#This Row],[Food Security]]="", "", MROUND(tblPiNAnalysis5[[#This Row],[Food Security]]/tblPiNAnalysis5[[#This Row],[PIN]], 0.05)), "")</f>
        <v>0.85000000000000009</v>
      </c>
      <c r="AB30" s="318">
        <f>IFERROR(IF(tblPiNAnalysis5[[#This Row],[Health]]="", "", MROUND(tblPiNAnalysis5[[#This Row],[Health]]/tblPiNAnalysis5[[#This Row],[PIN]], 0.05)), "")</f>
        <v>0.1</v>
      </c>
      <c r="AC30" s="319" t="str">
        <f>IFERROR(IF(tblPiNAnalysis5[[#This Row],[Protection]]="", "", MROUND(tblPiNAnalysis5[[#This Row],[Protection]]/tblPiNAnalysis5[[#This Row],[PIN]], 0.05)), "")</f>
        <v/>
      </c>
      <c r="AD30" s="319">
        <f>IFERROR(IF(tblPiNAnalysis5[[#This Row],[Shelter]]="", "", MROUND(tblPiNAnalysis5[[#This Row],[Shelter]]/tblPiNAnalysis5[[#This Row],[PIN]], 0.05)), "")</f>
        <v>0.05</v>
      </c>
      <c r="AE30" s="320">
        <f>IFERROR(IF(tblPiNAnalysis5[[#This Row],[WASH]]="", "", MROUND(tblPiNAnalysis5[[#This Row],[WASH]]/tblPiNAnalysis5[[#This Row],[PIN]], 0.05)), "")</f>
        <v>0.2</v>
      </c>
      <c r="AF30" s="488">
        <f>VLOOKUP(tblPiNAnalysis5[[#This Row],[ID]],tblPiNAnalysis[[ID]:[Final PiN]],63,FALSE)</f>
        <v>54963</v>
      </c>
      <c r="AG30" s="488">
        <f>IFERROR(IF(tblPiNAnalysis5[[#This Row],[Final TARGET]]="", "", MROUND(tblPiNAnalysis5[[#This Row],[Final TARGET]]/tblPiNAnalysis5[[#This Row],[PIN]], 0.05)), "")</f>
        <v>0.85000000000000009</v>
      </c>
      <c r="AH30" s="322">
        <f>IF(MAX(tblPiNAnalysis5[[#This Row],[CCCM]:[WASH]])&lt;tblPiNAnalysis5[[#This Row],[PIN]],MAX(tblPiNAnalysis5[[#This Row],[CCCM]:[WASH]]),tblPiNAnalysis5[[#This Row],[PIN]])</f>
        <v>47968</v>
      </c>
      <c r="AI30" s="326"/>
      <c r="AJ30" s="502">
        <f>tblPiNAnalysis5[[#This Row],[CCCM]]</f>
        <v>0</v>
      </c>
      <c r="AK30" s="500">
        <v>1694</v>
      </c>
      <c r="AL30" s="500">
        <v>5549</v>
      </c>
      <c r="AM30" s="500">
        <f>IF(VLOOKUP(tblPiNAnalysis5[[#This Row],[Admin 2 P-Code]],tblSeverityAnalysis[[Admin 2 P-Code]:[WASH]],10,FALSE)&gt;=4,VLOOKUP(tblPiNAnalysis5[[#This Row],[Admin 2 P-Code]],tblPiNAnalysis[[Admin 2 P-Code]:[WASH]],10,FALSE),0)</f>
        <v>54963</v>
      </c>
      <c r="AN30" s="503">
        <v>0</v>
      </c>
      <c r="AO30" s="500"/>
      <c r="AP30" s="516">
        <v>1684</v>
      </c>
      <c r="AQ30" s="501">
        <v>5535</v>
      </c>
      <c r="AR30" s="383">
        <f>MIN(tblPiNAnalysis5[[#This Row],[Final TARGET]],MAX(tblPiNAnalysis5[[#This Row],[CCCM_PRI]:[WASH_PRI]]))</f>
        <v>47968</v>
      </c>
      <c r="AS30" s="383">
        <f>IF(VLOOKUP(tblPiNAnalysis5[[#This Row],[Admin 2 P-Code]],tblSeverityAnalysis[[Admin 2 P-Code]:[Final Severity]],43,FALSE)&gt;=4,VLOOKUP(tblPiNAnalysis5[[#This Row],[Admin 2 P-Code]],tblPiNAnalysis[[Admin 2 P-Code]:[WASH]],8,FALSE),0)</f>
        <v>0</v>
      </c>
    </row>
    <row r="31" spans="1:45" ht="16.5" customHeight="1">
      <c r="A3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Global_PopulationHT0232</v>
      </c>
      <c r="B31" s="304" t="s">
        <v>197</v>
      </c>
      <c r="C31" s="213" t="s">
        <v>198</v>
      </c>
      <c r="D31" s="213" t="s">
        <v>213</v>
      </c>
      <c r="E31" s="103" t="s">
        <v>214</v>
      </c>
      <c r="F31" s="99"/>
      <c r="G31" s="34"/>
      <c r="H31" s="34"/>
      <c r="I31" s="96">
        <v>25416</v>
      </c>
      <c r="J31" s="221" t="s">
        <v>156</v>
      </c>
      <c r="K31" s="427">
        <v>0</v>
      </c>
      <c r="L31" s="428">
        <v>817</v>
      </c>
      <c r="M31" s="428">
        <v>1807</v>
      </c>
      <c r="N31" s="428">
        <v>10774</v>
      </c>
      <c r="O31" s="428">
        <v>2889.9212747429629</v>
      </c>
      <c r="P31" s="428"/>
      <c r="Q31" s="428">
        <v>823.15</v>
      </c>
      <c r="R31" s="428">
        <v>5933</v>
      </c>
      <c r="S31" s="428"/>
      <c r="T31" s="428"/>
      <c r="U31" s="428"/>
      <c r="V31" s="428"/>
      <c r="W31" s="308"/>
      <c r="X31" s="317">
        <f>IFERROR(IF(tblPiNAnalysis5[[#This Row],[CCCM]]="", "", MROUND(tblPiNAnalysis5[[#This Row],[CCCM]]/tblPiNAnalysis5[[#This Row],[PIN]], 0.05)), "")</f>
        <v>0</v>
      </c>
      <c r="Y31" s="318">
        <f>IFERROR(IF(tblPiNAnalysis5[[#This Row],[Education]]="", "", MROUND(tblPiNAnalysis5[[#This Row],[Education]]/tblPiNAnalysis5[[#This Row],[PIN]], 0.05)), "")</f>
        <v>0.05</v>
      </c>
      <c r="Z31" s="318">
        <f>IFERROR(IF(tblPiNAnalysis5[[#This Row],[Nutrition]]="", "", MROUND(tblPiNAnalysis5[[#This Row],[Nutrition]]/tblPiNAnalysis5[[#This Row],[PIN]], 0.05)), "")</f>
        <v>0.15000000000000002</v>
      </c>
      <c r="AA31" s="318">
        <f>IFERROR(IF(tblPiNAnalysis5[[#This Row],[Food Security]]="", "", MROUND(tblPiNAnalysis5[[#This Row],[Food Security]]/tblPiNAnalysis5[[#This Row],[PIN]], 0.05)), "")</f>
        <v>0.85000000000000009</v>
      </c>
      <c r="AB31" s="318">
        <f>IFERROR(IF(tblPiNAnalysis5[[#This Row],[Health]]="", "", MROUND(tblPiNAnalysis5[[#This Row],[Health]]/tblPiNAnalysis5[[#This Row],[PIN]], 0.05)), "")</f>
        <v>0.25</v>
      </c>
      <c r="AC31" s="319" t="str">
        <f>IFERROR(IF(tblPiNAnalysis5[[#This Row],[Protection]]="", "", MROUND(tblPiNAnalysis5[[#This Row],[Protection]]/tblPiNAnalysis5[[#This Row],[PIN]], 0.05)), "")</f>
        <v/>
      </c>
      <c r="AD31" s="319">
        <f>IFERROR(IF(tblPiNAnalysis5[[#This Row],[Shelter]]="", "", MROUND(tblPiNAnalysis5[[#This Row],[Shelter]]/tblPiNAnalysis5[[#This Row],[PIN]], 0.05)), "")</f>
        <v>0.05</v>
      </c>
      <c r="AE31" s="320">
        <f>IFERROR(IF(tblPiNAnalysis5[[#This Row],[WASH]]="", "", MROUND(tblPiNAnalysis5[[#This Row],[WASH]]/tblPiNAnalysis5[[#This Row],[PIN]], 0.05)), "")</f>
        <v>0.45</v>
      </c>
      <c r="AF31" s="488">
        <f>VLOOKUP(tblPiNAnalysis5[[#This Row],[ID]],tblPiNAnalysis[[ID]:[Final PiN]],63,FALSE)</f>
        <v>12708</v>
      </c>
      <c r="AG31" s="488">
        <f>IFERROR(IF(tblPiNAnalysis5[[#This Row],[Final TARGET]]="", "", MROUND(tblPiNAnalysis5[[#This Row],[Final TARGET]]/tblPiNAnalysis5[[#This Row],[PIN]], 0.05)), "")</f>
        <v>0.85000000000000009</v>
      </c>
      <c r="AH31" s="322">
        <f>IF(MAX(tblPiNAnalysis5[[#This Row],[CCCM]:[WASH]])&lt;tblPiNAnalysis5[[#This Row],[PIN]],MAX(tblPiNAnalysis5[[#This Row],[CCCM]:[WASH]]),tblPiNAnalysis5[[#This Row],[PIN]])</f>
        <v>10774</v>
      </c>
      <c r="AI31" s="326"/>
      <c r="AJ31" s="502">
        <f>tblPiNAnalysis5[[#This Row],[CCCM]]</f>
        <v>0</v>
      </c>
      <c r="AK31" s="500">
        <v>564</v>
      </c>
      <c r="AL31" s="500">
        <v>1294</v>
      </c>
      <c r="AM31" s="500">
        <f>IF(VLOOKUP(tblPiNAnalysis5[[#This Row],[Admin 2 P-Code]],tblSeverityAnalysis[[Admin 2 P-Code]:[WASH]],10,FALSE)&gt;=4,VLOOKUP(tblPiNAnalysis5[[#This Row],[Admin 2 P-Code]],tblPiNAnalysis[[Admin 2 P-Code]:[WASH]],10,FALSE),0)</f>
        <v>12345</v>
      </c>
      <c r="AN31" s="503">
        <v>0</v>
      </c>
      <c r="AO31" s="500"/>
      <c r="AP31" s="516">
        <v>723</v>
      </c>
      <c r="AQ31" s="501">
        <v>2966.5</v>
      </c>
      <c r="AR31" s="383">
        <f>MIN(tblPiNAnalysis5[[#This Row],[Final TARGET]],MAX(tblPiNAnalysis5[[#This Row],[CCCM_PRI]:[WASH_PRI]]))</f>
        <v>10774</v>
      </c>
      <c r="AS31" s="383">
        <f>IF(VLOOKUP(tblPiNAnalysis5[[#This Row],[Admin 2 P-Code]],tblSeverityAnalysis[[Admin 2 P-Code]:[Final Severity]],43,FALSE)&gt;=4,VLOOKUP(tblPiNAnalysis5[[#This Row],[Admin 2 P-Code]],tblPiNAnalysis[[Admin 2 P-Code]:[WASH]],8,FALSE),0)</f>
        <v>0</v>
      </c>
    </row>
    <row r="32" spans="1:45" ht="16.5" customHeight="1">
      <c r="A3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Global_PopulationHT0233</v>
      </c>
      <c r="B32" s="304" t="s">
        <v>197</v>
      </c>
      <c r="C32" s="213" t="s">
        <v>198</v>
      </c>
      <c r="D32" s="213" t="s">
        <v>215</v>
      </c>
      <c r="E32" s="103" t="s">
        <v>216</v>
      </c>
      <c r="F32" s="99"/>
      <c r="G32" s="34"/>
      <c r="H32" s="34"/>
      <c r="I32" s="96">
        <v>46178</v>
      </c>
      <c r="J32" s="221" t="s">
        <v>156</v>
      </c>
      <c r="K32" s="427">
        <v>0</v>
      </c>
      <c r="L32" s="428">
        <v>1268</v>
      </c>
      <c r="M32" s="428">
        <v>3082</v>
      </c>
      <c r="N32" s="428">
        <v>10963</v>
      </c>
      <c r="O32" s="428">
        <v>4932.325366666666</v>
      </c>
      <c r="P32" s="428"/>
      <c r="Q32" s="428">
        <v>1775.7</v>
      </c>
      <c r="R32" s="428">
        <v>9600</v>
      </c>
      <c r="S32" s="428"/>
      <c r="T32" s="428"/>
      <c r="U32" s="428"/>
      <c r="V32" s="428"/>
      <c r="W32" s="308"/>
      <c r="X32" s="317">
        <f>IFERROR(IF(tblPiNAnalysis5[[#This Row],[CCCM]]="", "", MROUND(tblPiNAnalysis5[[#This Row],[CCCM]]/tblPiNAnalysis5[[#This Row],[PIN]], 0.05)), "")</f>
        <v>0</v>
      </c>
      <c r="Y32" s="318">
        <f>IFERROR(IF(tblPiNAnalysis5[[#This Row],[Education]]="", "", MROUND(tblPiNAnalysis5[[#This Row],[Education]]/tblPiNAnalysis5[[#This Row],[PIN]], 0.05)), "")</f>
        <v>0.05</v>
      </c>
      <c r="Z32" s="318">
        <f>IFERROR(IF(tblPiNAnalysis5[[#This Row],[Nutrition]]="", "", MROUND(tblPiNAnalysis5[[#This Row],[Nutrition]]/tblPiNAnalysis5[[#This Row],[PIN]], 0.05)), "")</f>
        <v>0.1</v>
      </c>
      <c r="AA32" s="318">
        <f>IFERROR(IF(tblPiNAnalysis5[[#This Row],[Food Security]]="", "", MROUND(tblPiNAnalysis5[[#This Row],[Food Security]]/tblPiNAnalysis5[[#This Row],[PIN]], 0.05)), "")</f>
        <v>0.35000000000000003</v>
      </c>
      <c r="AB32" s="318">
        <f>IFERROR(IF(tblPiNAnalysis5[[#This Row],[Health]]="", "", MROUND(tblPiNAnalysis5[[#This Row],[Health]]/tblPiNAnalysis5[[#This Row],[PIN]], 0.05)), "")</f>
        <v>0.15000000000000002</v>
      </c>
      <c r="AC32" s="319" t="str">
        <f>IFERROR(IF(tblPiNAnalysis5[[#This Row],[Protection]]="", "", MROUND(tblPiNAnalysis5[[#This Row],[Protection]]/tblPiNAnalysis5[[#This Row],[PIN]], 0.05)), "")</f>
        <v/>
      </c>
      <c r="AD32" s="319">
        <f>IFERROR(IF(tblPiNAnalysis5[[#This Row],[Shelter]]="", "", MROUND(tblPiNAnalysis5[[#This Row],[Shelter]]/tblPiNAnalysis5[[#This Row],[PIN]], 0.05)), "")</f>
        <v>0.05</v>
      </c>
      <c r="AE32" s="320">
        <f>IFERROR(IF(tblPiNAnalysis5[[#This Row],[WASH]]="", "", MROUND(tblPiNAnalysis5[[#This Row],[WASH]]/tblPiNAnalysis5[[#This Row],[PIN]], 0.05)), "")</f>
        <v>0.30000000000000004</v>
      </c>
      <c r="AF32" s="488">
        <f>VLOOKUP(tblPiNAnalysis5[[#This Row],[ID]],tblPiNAnalysis[[ID]:[Final PiN]],63,FALSE)</f>
        <v>30428</v>
      </c>
      <c r="AG32" s="488">
        <f>IFERROR(IF(tblPiNAnalysis5[[#This Row],[Final TARGET]]="", "", MROUND(tblPiNAnalysis5[[#This Row],[Final TARGET]]/tblPiNAnalysis5[[#This Row],[PIN]], 0.05)), "")</f>
        <v>0.35000000000000003</v>
      </c>
      <c r="AH32" s="322">
        <f>IF(MAX(tblPiNAnalysis5[[#This Row],[CCCM]:[WASH]])&lt;tblPiNAnalysis5[[#This Row],[PIN]],MAX(tblPiNAnalysis5[[#This Row],[CCCM]:[WASH]]),tblPiNAnalysis5[[#This Row],[PIN]])</f>
        <v>10963</v>
      </c>
      <c r="AI32" s="326"/>
      <c r="AJ32" s="502">
        <f>tblPiNAnalysis5[[#This Row],[CCCM]]</f>
        <v>0</v>
      </c>
      <c r="AK32" s="500">
        <v>875</v>
      </c>
      <c r="AL32" s="500">
        <v>2183</v>
      </c>
      <c r="AM32" s="500">
        <f>IF(VLOOKUP(tblPiNAnalysis5[[#This Row],[Admin 2 P-Code]],tblSeverityAnalysis[[Admin 2 P-Code]:[WASH]],10,FALSE)&gt;=4,VLOOKUP(tblPiNAnalysis5[[#This Row],[Admin 2 P-Code]],tblPiNAnalysis[[Admin 2 P-Code]:[WASH]],10,FALSE),0)</f>
        <v>0</v>
      </c>
      <c r="AN32" s="503">
        <v>0</v>
      </c>
      <c r="AO32" s="500"/>
      <c r="AP32" s="516">
        <v>1676</v>
      </c>
      <c r="AQ32" s="501">
        <v>4800</v>
      </c>
      <c r="AR32" s="383">
        <f>MIN(tblPiNAnalysis5[[#This Row],[Final TARGET]],MAX(tblPiNAnalysis5[[#This Row],[CCCM_PRI]:[WASH_PRI]]))</f>
        <v>4800</v>
      </c>
      <c r="AS32" s="383">
        <f>IF(VLOOKUP(tblPiNAnalysis5[[#This Row],[Admin 2 P-Code]],tblSeverityAnalysis[[Admin 2 P-Code]:[Final Severity]],43,FALSE)&gt;=4,VLOOKUP(tblPiNAnalysis5[[#This Row],[Admin 2 P-Code]],tblPiNAnalysis[[Admin 2 P-Code]:[WASH]],8,FALSE),0)</f>
        <v>0</v>
      </c>
    </row>
    <row r="33" spans="1:45" ht="16.5" customHeight="1">
      <c r="A33" s="227"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Global_PopulationHT0234</v>
      </c>
      <c r="B33" s="255" t="s">
        <v>197</v>
      </c>
      <c r="C33" s="213" t="s">
        <v>198</v>
      </c>
      <c r="D33" s="256" t="s">
        <v>217</v>
      </c>
      <c r="E33" s="103" t="s">
        <v>218</v>
      </c>
      <c r="F33" s="99"/>
      <c r="G33" s="34"/>
      <c r="H33" s="34"/>
      <c r="I33" s="96">
        <v>43459</v>
      </c>
      <c r="J33" s="221" t="s">
        <v>156</v>
      </c>
      <c r="K33" s="429">
        <v>0</v>
      </c>
      <c r="L33" s="430">
        <v>979</v>
      </c>
      <c r="M33" s="430">
        <v>2921</v>
      </c>
      <c r="N33" s="430">
        <v>8890</v>
      </c>
      <c r="O33" s="428">
        <v>4359.0378530674843</v>
      </c>
      <c r="P33" s="430"/>
      <c r="Q33" s="428">
        <v>2249.6999999999998</v>
      </c>
      <c r="R33" s="428">
        <v>8150</v>
      </c>
      <c r="S33" s="430"/>
      <c r="T33" s="430"/>
      <c r="U33" s="430"/>
      <c r="V33" s="428"/>
      <c r="W33" s="214"/>
      <c r="X33" s="258">
        <f>IFERROR(IF(tblPiNAnalysis5[[#This Row],[CCCM]]="", "", MROUND(tblPiNAnalysis5[[#This Row],[CCCM]]/tblPiNAnalysis5[[#This Row],[PIN]], 0.05)), "")</f>
        <v>0</v>
      </c>
      <c r="Y33" s="259">
        <f>IFERROR(IF(tblPiNAnalysis5[[#This Row],[Education]]="", "", MROUND(tblPiNAnalysis5[[#This Row],[Education]]/tblPiNAnalysis5[[#This Row],[PIN]], 0.05)), "")</f>
        <v>0.05</v>
      </c>
      <c r="Z33" s="259">
        <f>IFERROR(IF(tblPiNAnalysis5[[#This Row],[Nutrition]]="", "", MROUND(tblPiNAnalysis5[[#This Row],[Nutrition]]/tblPiNAnalysis5[[#This Row],[PIN]], 0.05)), "")</f>
        <v>0.1</v>
      </c>
      <c r="AA33" s="259">
        <f>IFERROR(IF(tblPiNAnalysis5[[#This Row],[Food Security]]="", "", MROUND(tblPiNAnalysis5[[#This Row],[Food Security]]/tblPiNAnalysis5[[#This Row],[PIN]], 0.05)), "")</f>
        <v>0.30000000000000004</v>
      </c>
      <c r="AB33" s="259">
        <f>IFERROR(IF(tblPiNAnalysis5[[#This Row],[Health]]="", "", MROUND(tblPiNAnalysis5[[#This Row],[Health]]/tblPiNAnalysis5[[#This Row],[PIN]], 0.05)), "")</f>
        <v>0.15000000000000002</v>
      </c>
      <c r="AC33" s="260" t="str">
        <f>IFERROR(IF(tblPiNAnalysis5[[#This Row],[Protection]]="", "", MROUND(tblPiNAnalysis5[[#This Row],[Protection]]/tblPiNAnalysis5[[#This Row],[PIN]], 0.05)), "")</f>
        <v/>
      </c>
      <c r="AD33" s="260">
        <f>IFERROR(IF(tblPiNAnalysis5[[#This Row],[Shelter]]="", "", MROUND(tblPiNAnalysis5[[#This Row],[Shelter]]/tblPiNAnalysis5[[#This Row],[PIN]], 0.05)), "")</f>
        <v>0.1</v>
      </c>
      <c r="AE33" s="261">
        <f>IFERROR(IF(tblPiNAnalysis5[[#This Row],[WASH]]="", "", MROUND(tblPiNAnalysis5[[#This Row],[WASH]]/tblPiNAnalysis5[[#This Row],[PIN]], 0.05)), "")</f>
        <v>0.30000000000000004</v>
      </c>
      <c r="AF33" s="489">
        <f>VLOOKUP(tblPiNAnalysis5[[#This Row],[ID]],tblPiNAnalysis[[ID]:[Final PiN]],63,FALSE)</f>
        <v>28287</v>
      </c>
      <c r="AG33" s="489">
        <f>IFERROR(IF(tblPiNAnalysis5[[#This Row],[Final TARGET]]="", "", MROUND(tblPiNAnalysis5[[#This Row],[Final TARGET]]/tblPiNAnalysis5[[#This Row],[PIN]], 0.05)), "")</f>
        <v>0.30000000000000004</v>
      </c>
      <c r="AH33" s="263">
        <f>IF(MAX(tblPiNAnalysis5[[#This Row],[CCCM]:[WASH]])&lt;tblPiNAnalysis5[[#This Row],[PIN]],MAX(tblPiNAnalysis5[[#This Row],[CCCM]:[WASH]]),tblPiNAnalysis5[[#This Row],[PIN]])</f>
        <v>8890</v>
      </c>
      <c r="AI33" s="268"/>
      <c r="AJ33" s="502">
        <f>tblPiNAnalysis5[[#This Row],[CCCM]]</f>
        <v>0</v>
      </c>
      <c r="AK33" s="500">
        <v>696</v>
      </c>
      <c r="AL33" s="500">
        <v>2097</v>
      </c>
      <c r="AM33" s="500">
        <f>IF(VLOOKUP(tblPiNAnalysis5[[#This Row],[Admin 2 P-Code]],tblSeverityAnalysis[[Admin 2 P-Code]:[WASH]],10,FALSE)&gt;=4,VLOOKUP(tblPiNAnalysis5[[#This Row],[Admin 2 P-Code]],tblPiNAnalysis[[Admin 2 P-Code]:[WASH]],10,FALSE),0)</f>
        <v>0</v>
      </c>
      <c r="AN33" s="503">
        <v>0</v>
      </c>
      <c r="AO33" s="500"/>
      <c r="AP33" s="516">
        <v>2150</v>
      </c>
      <c r="AQ33" s="501">
        <v>4075</v>
      </c>
      <c r="AR33" s="383">
        <f>MIN(tblPiNAnalysis5[[#This Row],[Final TARGET]],MAX(tblPiNAnalysis5[[#This Row],[CCCM_PRI]:[WASH_PRI]]))</f>
        <v>4075</v>
      </c>
      <c r="AS33" s="383">
        <f>IF(VLOOKUP(tblPiNAnalysis5[[#This Row],[Admin 2 P-Code]],tblSeverityAnalysis[[Admin 2 P-Code]:[Final Severity]],43,FALSE)&gt;=4,VLOOKUP(tblPiNAnalysis5[[#This Row],[Admin 2 P-Code]],tblPiNAnalysis[[Admin 2 P-Code]:[WASH]],8,FALSE),0)</f>
        <v>0</v>
      </c>
    </row>
    <row r="34" spans="1:45" ht="16.5" customHeight="1">
      <c r="A3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Global_PopulationHT0311</v>
      </c>
      <c r="B34" s="304" t="s">
        <v>219</v>
      </c>
      <c r="C34" s="213" t="s">
        <v>220</v>
      </c>
      <c r="D34" s="213" t="s">
        <v>221</v>
      </c>
      <c r="E34" s="103" t="s">
        <v>222</v>
      </c>
      <c r="F34" s="99"/>
      <c r="G34" s="34"/>
      <c r="H34" s="34"/>
      <c r="I34" s="96">
        <v>303590</v>
      </c>
      <c r="J34" s="221" t="s">
        <v>156</v>
      </c>
      <c r="K34" s="427">
        <v>0</v>
      </c>
      <c r="L34" s="428">
        <v>11445</v>
      </c>
      <c r="M34" s="428">
        <v>24370</v>
      </c>
      <c r="N34" s="428">
        <v>31594</v>
      </c>
      <c r="O34" s="428">
        <v>14179.225803969268</v>
      </c>
      <c r="P34" s="428"/>
      <c r="Q34" s="428">
        <v>4018.4000000000005</v>
      </c>
      <c r="R34" s="428">
        <v>53516</v>
      </c>
      <c r="S34" s="428"/>
      <c r="T34" s="428"/>
      <c r="U34" s="428"/>
      <c r="V34" s="428"/>
      <c r="W34" s="308"/>
      <c r="X34" s="317">
        <f>IFERROR(IF(tblPiNAnalysis5[[#This Row],[CCCM]]="", "", MROUND(tblPiNAnalysis5[[#This Row],[CCCM]]/tblPiNAnalysis5[[#This Row],[PIN]], 0.05)), "")</f>
        <v>0</v>
      </c>
      <c r="Y34" s="318">
        <f>IFERROR(IF(tblPiNAnalysis5[[#This Row],[Education]]="", "", MROUND(tblPiNAnalysis5[[#This Row],[Education]]/tblPiNAnalysis5[[#This Row],[PIN]], 0.05)), "")</f>
        <v>0.1</v>
      </c>
      <c r="Z34" s="318">
        <f>IFERROR(IF(tblPiNAnalysis5[[#This Row],[Nutrition]]="", "", MROUND(tblPiNAnalysis5[[#This Row],[Nutrition]]/tblPiNAnalysis5[[#This Row],[PIN]], 0.05)), "")</f>
        <v>0.2</v>
      </c>
      <c r="AA34" s="318">
        <f>IFERROR(IF(tblPiNAnalysis5[[#This Row],[Food Security]]="", "", MROUND(tblPiNAnalysis5[[#This Row],[Food Security]]/tblPiNAnalysis5[[#This Row],[PIN]], 0.05)), "")</f>
        <v>0.25</v>
      </c>
      <c r="AB34" s="318">
        <f>IFERROR(IF(tblPiNAnalysis5[[#This Row],[Health]]="", "", MROUND(tblPiNAnalysis5[[#This Row],[Health]]/tblPiNAnalysis5[[#This Row],[PIN]], 0.05)), "")</f>
        <v>0.1</v>
      </c>
      <c r="AC34" s="319" t="str">
        <f>IFERROR(IF(tblPiNAnalysis5[[#This Row],[Protection]]="", "", MROUND(tblPiNAnalysis5[[#This Row],[Protection]]/tblPiNAnalysis5[[#This Row],[PIN]], 0.05)), "")</f>
        <v/>
      </c>
      <c r="AD34" s="319">
        <f>IFERROR(IF(tblPiNAnalysis5[[#This Row],[Shelter]]="", "", MROUND(tblPiNAnalysis5[[#This Row],[Shelter]]/tblPiNAnalysis5[[#This Row],[PIN]], 0.05)), "")</f>
        <v>0.05</v>
      </c>
      <c r="AE34" s="320">
        <f>IFERROR(IF(tblPiNAnalysis5[[#This Row],[WASH]]="", "", MROUND(tblPiNAnalysis5[[#This Row],[WASH]]/tblPiNAnalysis5[[#This Row],[PIN]], 0.05)), "")</f>
        <v>0.4</v>
      </c>
      <c r="AF34" s="488">
        <f>VLOOKUP(tblPiNAnalysis5[[#This Row],[ID]],tblPiNAnalysis[[ID]:[Final PiN]],63,FALSE)</f>
        <v>129787</v>
      </c>
      <c r="AG34" s="488">
        <f>IFERROR(IF(tblPiNAnalysis5[[#This Row],[Final TARGET]]="", "", MROUND(tblPiNAnalysis5[[#This Row],[Final TARGET]]/tblPiNAnalysis5[[#This Row],[PIN]], 0.05)), "")</f>
        <v>0.4</v>
      </c>
      <c r="AH34" s="322">
        <f>IF(MAX(tblPiNAnalysis5[[#This Row],[CCCM]:[WASH]])&lt;tblPiNAnalysis5[[#This Row],[PIN]],MAX(tblPiNAnalysis5[[#This Row],[CCCM]:[WASH]]),tblPiNAnalysis5[[#This Row],[PIN]])</f>
        <v>53516</v>
      </c>
      <c r="AI34" s="326"/>
      <c r="AJ34" s="502">
        <f>tblPiNAnalysis5[[#This Row],[CCCM]]</f>
        <v>0</v>
      </c>
      <c r="AK34" s="500">
        <v>6901</v>
      </c>
      <c r="AL34" s="500">
        <v>17973</v>
      </c>
      <c r="AM34" s="500">
        <f>IF(VLOOKUP(tblPiNAnalysis5[[#This Row],[Admin 2 P-Code]],tblSeverityAnalysis[[Admin 2 P-Code]:[WASH]],10,FALSE)&gt;=4,VLOOKUP(tblPiNAnalysis5[[#This Row],[Admin 2 P-Code]],tblPiNAnalysis[[Admin 2 P-Code]:[WASH]],10,FALSE),0)</f>
        <v>0</v>
      </c>
      <c r="AN34" s="503">
        <v>0</v>
      </c>
      <c r="AO34" s="500"/>
      <c r="AP34" s="516">
        <v>4018</v>
      </c>
      <c r="AQ34" s="501">
        <v>31584</v>
      </c>
      <c r="AR34" s="383">
        <f>MIN(tblPiNAnalysis5[[#This Row],[Final TARGET]],MAX(tblPiNAnalysis5[[#This Row],[CCCM_PRI]:[WASH_PRI]]))</f>
        <v>31584</v>
      </c>
      <c r="AS34" s="383">
        <f>IF(VLOOKUP(tblPiNAnalysis5[[#This Row],[Admin 2 P-Code]],tblSeverityAnalysis[[Admin 2 P-Code]:[Final Severity]],43,FALSE)&gt;=4,VLOOKUP(tblPiNAnalysis5[[#This Row],[Admin 2 P-Code]],tblPiNAnalysis[[Admin 2 P-Code]:[WASH]],8,FALSE),0)</f>
        <v>0</v>
      </c>
    </row>
    <row r="35" spans="1:45" ht="16.5" customHeight="1">
      <c r="A3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Global_PopulationHT0312</v>
      </c>
      <c r="B35" s="304" t="s">
        <v>219</v>
      </c>
      <c r="C35" s="213" t="s">
        <v>220</v>
      </c>
      <c r="D35" s="213" t="s">
        <v>223</v>
      </c>
      <c r="E35" s="103" t="s">
        <v>224</v>
      </c>
      <c r="F35" s="99"/>
      <c r="G35" s="34"/>
      <c r="H35" s="34"/>
      <c r="I35" s="96">
        <v>29881</v>
      </c>
      <c r="J35" s="221" t="s">
        <v>156</v>
      </c>
      <c r="K35" s="427">
        <v>0</v>
      </c>
      <c r="L35" s="428">
        <v>1113</v>
      </c>
      <c r="M35" s="428">
        <v>2383</v>
      </c>
      <c r="N35" s="428">
        <v>4997</v>
      </c>
      <c r="O35" s="428">
        <v>0</v>
      </c>
      <c r="P35" s="428"/>
      <c r="Q35" s="428">
        <v>42.6</v>
      </c>
      <c r="R35" s="428">
        <v>4820</v>
      </c>
      <c r="S35" s="428"/>
      <c r="T35" s="428"/>
      <c r="U35" s="428"/>
      <c r="V35" s="428"/>
      <c r="W35" s="308"/>
      <c r="X35" s="317">
        <f>IFERROR(IF(tblPiNAnalysis5[[#This Row],[CCCM]]="", "", MROUND(tblPiNAnalysis5[[#This Row],[CCCM]]/tblPiNAnalysis5[[#This Row],[PIN]], 0.05)), "")</f>
        <v>0</v>
      </c>
      <c r="Y35" s="318">
        <f>IFERROR(IF(tblPiNAnalysis5[[#This Row],[Education]]="", "", MROUND(tblPiNAnalysis5[[#This Row],[Education]]/tblPiNAnalysis5[[#This Row],[PIN]], 0.05)), "")</f>
        <v>0.1</v>
      </c>
      <c r="Z35" s="318">
        <f>IFERROR(IF(tblPiNAnalysis5[[#This Row],[Nutrition]]="", "", MROUND(tblPiNAnalysis5[[#This Row],[Nutrition]]/tblPiNAnalysis5[[#This Row],[PIN]], 0.05)), "")</f>
        <v>0.15000000000000002</v>
      </c>
      <c r="AA35" s="318">
        <f>IFERROR(IF(tblPiNAnalysis5[[#This Row],[Food Security]]="", "", MROUND(tblPiNAnalysis5[[#This Row],[Food Security]]/tblPiNAnalysis5[[#This Row],[PIN]], 0.05)), "")</f>
        <v>0.35000000000000003</v>
      </c>
      <c r="AB35" s="318">
        <f>IFERROR(IF(tblPiNAnalysis5[[#This Row],[Health]]="", "", MROUND(tblPiNAnalysis5[[#This Row],[Health]]/tblPiNAnalysis5[[#This Row],[PIN]], 0.05)), "")</f>
        <v>0</v>
      </c>
      <c r="AC35" s="319" t="str">
        <f>IFERROR(IF(tblPiNAnalysis5[[#This Row],[Protection]]="", "", MROUND(tblPiNAnalysis5[[#This Row],[Protection]]/tblPiNAnalysis5[[#This Row],[PIN]], 0.05)), "")</f>
        <v/>
      </c>
      <c r="AD35" s="319">
        <f>IFERROR(IF(tblPiNAnalysis5[[#This Row],[Shelter]]="", "", MROUND(tblPiNAnalysis5[[#This Row],[Shelter]]/tblPiNAnalysis5[[#This Row],[PIN]], 0.05)), "")</f>
        <v>0</v>
      </c>
      <c r="AE35" s="320">
        <f>IFERROR(IF(tblPiNAnalysis5[[#This Row],[WASH]]="", "", MROUND(tblPiNAnalysis5[[#This Row],[WASH]]/tblPiNAnalysis5[[#This Row],[PIN]], 0.05)), "")</f>
        <v>0.35000000000000003</v>
      </c>
      <c r="AF35" s="488">
        <f>VLOOKUP(tblPiNAnalysis5[[#This Row],[ID]],tblPiNAnalysis[[ID]:[Final PiN]],63,FALSE)</f>
        <v>14747</v>
      </c>
      <c r="AG35" s="488">
        <f>IFERROR(IF(tblPiNAnalysis5[[#This Row],[Final TARGET]]="", "", MROUND(tblPiNAnalysis5[[#This Row],[Final TARGET]]/tblPiNAnalysis5[[#This Row],[PIN]], 0.05)), "")</f>
        <v>0.35000000000000003</v>
      </c>
      <c r="AH35" s="322">
        <f>IF(MAX(tblPiNAnalysis5[[#This Row],[CCCM]:[WASH]])&lt;tblPiNAnalysis5[[#This Row],[PIN]],MAX(tblPiNAnalysis5[[#This Row],[CCCM]:[WASH]]),tblPiNAnalysis5[[#This Row],[PIN]])</f>
        <v>4997</v>
      </c>
      <c r="AI35" s="326"/>
      <c r="AJ35" s="502">
        <f>tblPiNAnalysis5[[#This Row],[CCCM]]</f>
        <v>0</v>
      </c>
      <c r="AK35" s="500">
        <v>652</v>
      </c>
      <c r="AL35" s="500">
        <v>1759</v>
      </c>
      <c r="AM35" s="500">
        <f>IF(VLOOKUP(tblPiNAnalysis5[[#This Row],[Admin 2 P-Code]],tblSeverityAnalysis[[Admin 2 P-Code]:[WASH]],10,FALSE)&gt;=4,VLOOKUP(tblPiNAnalysis5[[#This Row],[Admin 2 P-Code]],tblPiNAnalysis[[Admin 2 P-Code]:[WASH]],10,FALSE),0)</f>
        <v>0</v>
      </c>
      <c r="AN35" s="503">
        <v>0</v>
      </c>
      <c r="AO35" s="500"/>
      <c r="AP35" s="516">
        <v>43</v>
      </c>
      <c r="AQ35" s="501">
        <v>2520</v>
      </c>
      <c r="AR35" s="383">
        <f>MIN(tblPiNAnalysis5[[#This Row],[Final TARGET]],MAX(tblPiNAnalysis5[[#This Row],[CCCM_PRI]:[WASH_PRI]]))</f>
        <v>2520</v>
      </c>
      <c r="AS35" s="383">
        <f>IF(VLOOKUP(tblPiNAnalysis5[[#This Row],[Admin 2 P-Code]],tblSeverityAnalysis[[Admin 2 P-Code]:[Final Severity]],43,FALSE)&gt;=4,VLOOKUP(tblPiNAnalysis5[[#This Row],[Admin 2 P-Code]],tblPiNAnalysis[[Admin 2 P-Code]:[WASH]],8,FALSE),0)</f>
        <v>0</v>
      </c>
    </row>
    <row r="36" spans="1:45" ht="16.5" customHeight="1">
      <c r="A3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Global_PopulationHT0313</v>
      </c>
      <c r="B36" s="304" t="s">
        <v>219</v>
      </c>
      <c r="C36" s="213" t="s">
        <v>220</v>
      </c>
      <c r="D36" s="213" t="s">
        <v>225</v>
      </c>
      <c r="E36" s="103" t="s">
        <v>226</v>
      </c>
      <c r="F36" s="99"/>
      <c r="G36" s="34"/>
      <c r="H36" s="34"/>
      <c r="I36" s="96">
        <v>61261</v>
      </c>
      <c r="J36" s="221" t="s">
        <v>156</v>
      </c>
      <c r="K36" s="427">
        <v>0</v>
      </c>
      <c r="L36" s="428">
        <v>2324</v>
      </c>
      <c r="M36" s="428">
        <v>4432</v>
      </c>
      <c r="N36" s="428">
        <v>10073</v>
      </c>
      <c r="O36" s="428">
        <v>2905.0431415814319</v>
      </c>
      <c r="P36" s="428"/>
      <c r="Q36" s="428">
        <v>200.60000000000002</v>
      </c>
      <c r="R36" s="428">
        <v>6355</v>
      </c>
      <c r="S36" s="428"/>
      <c r="T36" s="428"/>
      <c r="U36" s="428"/>
      <c r="V36" s="428"/>
      <c r="W36" s="308"/>
      <c r="X36" s="317">
        <f>IFERROR(IF(tblPiNAnalysis5[[#This Row],[CCCM]]="", "", MROUND(tblPiNAnalysis5[[#This Row],[CCCM]]/tblPiNAnalysis5[[#This Row],[PIN]], 0.05)), "")</f>
        <v>0</v>
      </c>
      <c r="Y36" s="318">
        <f>IFERROR(IF(tblPiNAnalysis5[[#This Row],[Education]]="", "", MROUND(tblPiNAnalysis5[[#This Row],[Education]]/tblPiNAnalysis5[[#This Row],[PIN]], 0.05)), "")</f>
        <v>0.1</v>
      </c>
      <c r="Z36" s="318">
        <f>IFERROR(IF(tblPiNAnalysis5[[#This Row],[Nutrition]]="", "", MROUND(tblPiNAnalysis5[[#This Row],[Nutrition]]/tblPiNAnalysis5[[#This Row],[PIN]], 0.05)), "")</f>
        <v>0.15000000000000002</v>
      </c>
      <c r="AA36" s="318">
        <f>IFERROR(IF(tblPiNAnalysis5[[#This Row],[Food Security]]="", "", MROUND(tblPiNAnalysis5[[#This Row],[Food Security]]/tblPiNAnalysis5[[#This Row],[PIN]], 0.05)), "")</f>
        <v>0.35000000000000003</v>
      </c>
      <c r="AB36" s="318">
        <f>IFERROR(IF(tblPiNAnalysis5[[#This Row],[Health]]="", "", MROUND(tblPiNAnalysis5[[#This Row],[Health]]/tblPiNAnalysis5[[#This Row],[PIN]], 0.05)), "")</f>
        <v>0.1</v>
      </c>
      <c r="AC36" s="319" t="str">
        <f>IFERROR(IF(tblPiNAnalysis5[[#This Row],[Protection]]="", "", MROUND(tblPiNAnalysis5[[#This Row],[Protection]]/tblPiNAnalysis5[[#This Row],[PIN]], 0.05)), "")</f>
        <v/>
      </c>
      <c r="AD36" s="319">
        <f>IFERROR(IF(tblPiNAnalysis5[[#This Row],[Shelter]]="", "", MROUND(tblPiNAnalysis5[[#This Row],[Shelter]]/tblPiNAnalysis5[[#This Row],[PIN]], 0.05)), "")</f>
        <v>0</v>
      </c>
      <c r="AE36" s="320">
        <f>IFERROR(IF(tblPiNAnalysis5[[#This Row],[WASH]]="", "", MROUND(tblPiNAnalysis5[[#This Row],[WASH]]/tblPiNAnalysis5[[#This Row],[PIN]], 0.05)), "")</f>
        <v>0.2</v>
      </c>
      <c r="AF36" s="488">
        <f>VLOOKUP(tblPiNAnalysis5[[#This Row],[ID]],tblPiNAnalysis[[ID]:[Final PiN]],63,FALSE)</f>
        <v>29723</v>
      </c>
      <c r="AG36" s="488">
        <f>IFERROR(IF(tblPiNAnalysis5[[#This Row],[Final TARGET]]="", "", MROUND(tblPiNAnalysis5[[#This Row],[Final TARGET]]/tblPiNAnalysis5[[#This Row],[PIN]], 0.05)), "")</f>
        <v>0.35000000000000003</v>
      </c>
      <c r="AH36" s="322">
        <f>IF(MAX(tblPiNAnalysis5[[#This Row],[CCCM]:[WASH]])&lt;tblPiNAnalysis5[[#This Row],[PIN]],MAX(tblPiNAnalysis5[[#This Row],[CCCM]:[WASH]]),tblPiNAnalysis5[[#This Row],[PIN]])</f>
        <v>10073</v>
      </c>
      <c r="AI36" s="326"/>
      <c r="AJ36" s="502">
        <f>tblPiNAnalysis5[[#This Row],[CCCM]]</f>
        <v>0</v>
      </c>
      <c r="AK36" s="500">
        <v>1246</v>
      </c>
      <c r="AL36" s="500">
        <v>3253</v>
      </c>
      <c r="AM36" s="500">
        <f>IF(VLOOKUP(tblPiNAnalysis5[[#This Row],[Admin 2 P-Code]],tblSeverityAnalysis[[Admin 2 P-Code]:[WASH]],10,FALSE)&gt;=4,VLOOKUP(tblPiNAnalysis5[[#This Row],[Admin 2 P-Code]],tblPiNAnalysis[[Admin 2 P-Code]:[WASH]],10,FALSE),0)</f>
        <v>0</v>
      </c>
      <c r="AN36" s="503">
        <v>0</v>
      </c>
      <c r="AO36" s="500"/>
      <c r="AP36" s="516">
        <v>201</v>
      </c>
      <c r="AQ36" s="501">
        <v>3192</v>
      </c>
      <c r="AR36" s="383">
        <f>MIN(tblPiNAnalysis5[[#This Row],[Final TARGET]],MAX(tblPiNAnalysis5[[#This Row],[CCCM_PRI]:[WASH_PRI]]))</f>
        <v>3253</v>
      </c>
      <c r="AS36" s="383">
        <f>IF(VLOOKUP(tblPiNAnalysis5[[#This Row],[Admin 2 P-Code]],tblSeverityAnalysis[[Admin 2 P-Code]:[Final Severity]],43,FALSE)&gt;=4,VLOOKUP(tblPiNAnalysis5[[#This Row],[Admin 2 P-Code]],tblPiNAnalysis[[Admin 2 P-Code]:[WASH]],8,FALSE),0)</f>
        <v>0</v>
      </c>
    </row>
    <row r="37" spans="1:45" ht="16.5" customHeight="1">
      <c r="A37" s="227"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Global_PopulationHT0321</v>
      </c>
      <c r="B37" s="255" t="s">
        <v>219</v>
      </c>
      <c r="C37" s="213" t="s">
        <v>220</v>
      </c>
      <c r="D37" s="256" t="s">
        <v>227</v>
      </c>
      <c r="E37" s="256" t="s">
        <v>228</v>
      </c>
      <c r="F37" s="99"/>
      <c r="G37" s="34"/>
      <c r="H37" s="34"/>
      <c r="I37" s="96">
        <v>59632</v>
      </c>
      <c r="J37" s="221" t="s">
        <v>156</v>
      </c>
      <c r="K37" s="429">
        <v>0</v>
      </c>
      <c r="L37" s="430">
        <v>2065</v>
      </c>
      <c r="M37" s="430">
        <v>4517</v>
      </c>
      <c r="N37" s="430">
        <v>10212</v>
      </c>
      <c r="O37" s="428">
        <v>0</v>
      </c>
      <c r="P37" s="430"/>
      <c r="Q37" s="428">
        <v>616.80000000000007</v>
      </c>
      <c r="R37" s="428">
        <v>4620</v>
      </c>
      <c r="S37" s="430"/>
      <c r="T37" s="430"/>
      <c r="U37" s="430"/>
      <c r="V37" s="428"/>
      <c r="W37" s="214"/>
      <c r="X37" s="258">
        <f>IFERROR(IF(tblPiNAnalysis5[[#This Row],[CCCM]]="", "", MROUND(tblPiNAnalysis5[[#This Row],[CCCM]]/tblPiNAnalysis5[[#This Row],[PIN]], 0.05)), "")</f>
        <v>0</v>
      </c>
      <c r="Y37" s="259">
        <f>IFERROR(IF(tblPiNAnalysis5[[#This Row],[Education]]="", "", MROUND(tblPiNAnalysis5[[#This Row],[Education]]/tblPiNAnalysis5[[#This Row],[PIN]], 0.05)), "")</f>
        <v>0.05</v>
      </c>
      <c r="Z37" s="259">
        <f>IFERROR(IF(tblPiNAnalysis5[[#This Row],[Nutrition]]="", "", MROUND(tblPiNAnalysis5[[#This Row],[Nutrition]]/tblPiNAnalysis5[[#This Row],[PIN]], 0.05)), "")</f>
        <v>0.15000000000000002</v>
      </c>
      <c r="AA37" s="259">
        <f>IFERROR(IF(tblPiNAnalysis5[[#This Row],[Food Security]]="", "", MROUND(tblPiNAnalysis5[[#This Row],[Food Security]]/tblPiNAnalysis5[[#This Row],[PIN]], 0.05)), "")</f>
        <v>0.35000000000000003</v>
      </c>
      <c r="AB37" s="259">
        <f>IFERROR(IF(tblPiNAnalysis5[[#This Row],[Health]]="", "", MROUND(tblPiNAnalysis5[[#This Row],[Health]]/tblPiNAnalysis5[[#This Row],[PIN]], 0.05)), "")</f>
        <v>0</v>
      </c>
      <c r="AC37" s="260" t="str">
        <f>IFERROR(IF(tblPiNAnalysis5[[#This Row],[Protection]]="", "", MROUND(tblPiNAnalysis5[[#This Row],[Protection]]/tblPiNAnalysis5[[#This Row],[PIN]], 0.05)), "")</f>
        <v/>
      </c>
      <c r="AD37" s="260">
        <f>IFERROR(IF(tblPiNAnalysis5[[#This Row],[Shelter]]="", "", MROUND(tblPiNAnalysis5[[#This Row],[Shelter]]/tblPiNAnalysis5[[#This Row],[PIN]], 0.05)), "")</f>
        <v>0</v>
      </c>
      <c r="AE37" s="261">
        <f>IFERROR(IF(tblPiNAnalysis5[[#This Row],[WASH]]="", "", MROUND(tblPiNAnalysis5[[#This Row],[WASH]]/tblPiNAnalysis5[[#This Row],[PIN]], 0.05)), "")</f>
        <v>0.15000000000000002</v>
      </c>
      <c r="AF37" s="489">
        <f>VLOOKUP(tblPiNAnalysis5[[#This Row],[ID]],tblPiNAnalysis[[ID]:[Final PiN]],63,FALSE)</f>
        <v>30135</v>
      </c>
      <c r="AG37" s="489">
        <f>IFERROR(IF(tblPiNAnalysis5[[#This Row],[Final TARGET]]="", "", MROUND(tblPiNAnalysis5[[#This Row],[Final TARGET]]/tblPiNAnalysis5[[#This Row],[PIN]], 0.05)), "")</f>
        <v>0.35000000000000003</v>
      </c>
      <c r="AH37" s="263">
        <f>IF(MAX(tblPiNAnalysis5[[#This Row],[CCCM]:[WASH]])&lt;tblPiNAnalysis5[[#This Row],[PIN]],MAX(tblPiNAnalysis5[[#This Row],[CCCM]:[WASH]]),tblPiNAnalysis5[[#This Row],[PIN]])</f>
        <v>10212</v>
      </c>
      <c r="AI37" s="268"/>
      <c r="AJ37" s="502">
        <f>tblPiNAnalysis5[[#This Row],[CCCM]]</f>
        <v>0</v>
      </c>
      <c r="AK37" s="500">
        <v>1054</v>
      </c>
      <c r="AL37" s="500">
        <v>3348</v>
      </c>
      <c r="AM37" s="500">
        <f>IF(VLOOKUP(tblPiNAnalysis5[[#This Row],[Admin 2 P-Code]],tblSeverityAnalysis[[Admin 2 P-Code]:[WASH]],10,FALSE)&gt;=4,VLOOKUP(tblPiNAnalysis5[[#This Row],[Admin 2 P-Code]],tblPiNAnalysis[[Admin 2 P-Code]:[WASH]],10,FALSE),0)</f>
        <v>0</v>
      </c>
      <c r="AN37" s="503">
        <v>0</v>
      </c>
      <c r="AO37" s="500"/>
      <c r="AP37" s="516">
        <v>617</v>
      </c>
      <c r="AQ37" s="501">
        <v>2310</v>
      </c>
      <c r="AR37" s="383">
        <f>MIN(tblPiNAnalysis5[[#This Row],[Final TARGET]],MAX(tblPiNAnalysis5[[#This Row],[CCCM_PRI]:[WASH_PRI]]))</f>
        <v>3348</v>
      </c>
      <c r="AS37" s="383">
        <f>IF(VLOOKUP(tblPiNAnalysis5[[#This Row],[Admin 2 P-Code]],tblSeverityAnalysis[[Admin 2 P-Code]:[Final Severity]],43,FALSE)&gt;=4,VLOOKUP(tblPiNAnalysis5[[#This Row],[Admin 2 P-Code]],tblPiNAnalysis[[Admin 2 P-Code]:[WASH]],8,FALSE),0)</f>
        <v>0</v>
      </c>
    </row>
    <row r="38" spans="1:45" ht="16.5" customHeight="1">
      <c r="A3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Global_PopulationHT0322</v>
      </c>
      <c r="B38" s="304" t="s">
        <v>219</v>
      </c>
      <c r="C38" s="213" t="s">
        <v>220</v>
      </c>
      <c r="D38" s="213" t="s">
        <v>229</v>
      </c>
      <c r="E38" s="103" t="s">
        <v>230</v>
      </c>
      <c r="F38" s="99"/>
      <c r="G38" s="34"/>
      <c r="H38" s="34"/>
      <c r="I38" s="96">
        <v>43982</v>
      </c>
      <c r="J38" s="221" t="s">
        <v>156</v>
      </c>
      <c r="K38" s="427">
        <v>0</v>
      </c>
      <c r="L38" s="428">
        <v>1593</v>
      </c>
      <c r="M38" s="428">
        <v>3306</v>
      </c>
      <c r="N38" s="428">
        <v>7536</v>
      </c>
      <c r="O38" s="428">
        <v>0</v>
      </c>
      <c r="P38" s="428"/>
      <c r="Q38" s="428">
        <v>205.3</v>
      </c>
      <c r="R38" s="428">
        <v>2915</v>
      </c>
      <c r="S38" s="428"/>
      <c r="T38" s="428"/>
      <c r="U38" s="428"/>
      <c r="V38" s="428"/>
      <c r="W38" s="308"/>
      <c r="X38" s="317" t="str">
        <f>IFERROR(IF(tblPiNAnalysis5[[#This Row],[CCCM]]="", "", MROUND(tblPiNAnalysis5[[#This Row],[CCCM]]/tblPiNAnalysis5[[#This Row],[PIN]], 0.05)), "")</f>
        <v/>
      </c>
      <c r="Y38" s="318" t="str">
        <f>IFERROR(IF(tblPiNAnalysis5[[#This Row],[Education]]="", "", MROUND(tblPiNAnalysis5[[#This Row],[Education]]/tblPiNAnalysis5[[#This Row],[PIN]], 0.05)), "")</f>
        <v/>
      </c>
      <c r="Z38" s="318" t="str">
        <f>IFERROR(IF(tblPiNAnalysis5[[#This Row],[Nutrition]]="", "", MROUND(tblPiNAnalysis5[[#This Row],[Nutrition]]/tblPiNAnalysis5[[#This Row],[PIN]], 0.05)), "")</f>
        <v/>
      </c>
      <c r="AA38" s="318" t="str">
        <f>IFERROR(IF(tblPiNAnalysis5[[#This Row],[Food Security]]="", "", MROUND(tblPiNAnalysis5[[#This Row],[Food Security]]/tblPiNAnalysis5[[#This Row],[PIN]], 0.05)), "")</f>
        <v/>
      </c>
      <c r="AB38" s="318" t="str">
        <f>IFERROR(IF(tblPiNAnalysis5[[#This Row],[Health]]="", "", MROUND(tblPiNAnalysis5[[#This Row],[Health]]/tblPiNAnalysis5[[#This Row],[PIN]], 0.05)), "")</f>
        <v/>
      </c>
      <c r="AC38" s="319" t="str">
        <f>IFERROR(IF(tblPiNAnalysis5[[#This Row],[Protection]]="", "", MROUND(tblPiNAnalysis5[[#This Row],[Protection]]/tblPiNAnalysis5[[#This Row],[PIN]], 0.05)), "")</f>
        <v/>
      </c>
      <c r="AD38" s="319" t="str">
        <f>IFERROR(IF(tblPiNAnalysis5[[#This Row],[Shelter]]="", "", MROUND(tblPiNAnalysis5[[#This Row],[Shelter]]/tblPiNAnalysis5[[#This Row],[PIN]], 0.05)), "")</f>
        <v/>
      </c>
      <c r="AE38" s="320" t="str">
        <f>IFERROR(IF(tblPiNAnalysis5[[#This Row],[WASH]]="", "", MROUND(tblPiNAnalysis5[[#This Row],[WASH]]/tblPiNAnalysis5[[#This Row],[PIN]], 0.05)), "")</f>
        <v/>
      </c>
      <c r="AF38" s="488">
        <f>VLOOKUP(tblPiNAnalysis5[[#This Row],[ID]],tblPiNAnalysis[[ID]:[Final PiN]],63,FALSE)</f>
        <v>0</v>
      </c>
      <c r="AG38" s="488" t="str">
        <f>IFERROR(IF(tblPiNAnalysis5[[#This Row],[Final TARGET]]="", "", MROUND(tblPiNAnalysis5[[#This Row],[Final TARGET]]/tblPiNAnalysis5[[#This Row],[PIN]], 0.05)), "")</f>
        <v/>
      </c>
      <c r="AH38" s="322">
        <f>IF(MAX(tblPiNAnalysis5[[#This Row],[CCCM]:[WASH]])&lt;tblPiNAnalysis5[[#This Row],[PIN]],MAX(tblPiNAnalysis5[[#This Row],[CCCM]:[WASH]]),tblPiNAnalysis5[[#This Row],[PIN]])</f>
        <v>0</v>
      </c>
      <c r="AI38" s="326"/>
      <c r="AJ38" s="502">
        <f>tblPiNAnalysis5[[#This Row],[CCCM]]</f>
        <v>0</v>
      </c>
      <c r="AK38" s="500">
        <v>796</v>
      </c>
      <c r="AL38" s="500">
        <v>2452</v>
      </c>
      <c r="AM38" s="500">
        <f>IF(VLOOKUP(tblPiNAnalysis5[[#This Row],[Admin 2 P-Code]],tblSeverityAnalysis[[Admin 2 P-Code]:[WASH]],10,FALSE)&gt;=4,VLOOKUP(tblPiNAnalysis5[[#This Row],[Admin 2 P-Code]],tblPiNAnalysis[[Admin 2 P-Code]:[WASH]],10,FALSE),0)</f>
        <v>0</v>
      </c>
      <c r="AN38" s="503">
        <v>0</v>
      </c>
      <c r="AO38" s="500"/>
      <c r="AP38" s="516">
        <v>205</v>
      </c>
      <c r="AQ38" s="501">
        <v>2520</v>
      </c>
      <c r="AR38" s="383">
        <f>MIN(tblPiNAnalysis5[[#This Row],[Final TARGET]],MAX(tblPiNAnalysis5[[#This Row],[CCCM_PRI]:[WASH_PRI]]))</f>
        <v>0</v>
      </c>
      <c r="AS38" s="383">
        <f>IF(VLOOKUP(tblPiNAnalysis5[[#This Row],[Admin 2 P-Code]],tblSeverityAnalysis[[Admin 2 P-Code]:[Final Severity]],43,FALSE)&gt;=4,VLOOKUP(tblPiNAnalysis5[[#This Row],[Admin 2 P-Code]],tblPiNAnalysis[[Admin 2 P-Code]:[WASH]],8,FALSE),0)</f>
        <v>0</v>
      </c>
    </row>
    <row r="39" spans="1:45" ht="16.5" customHeight="1">
      <c r="A3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Global_PopulationHT0323</v>
      </c>
      <c r="B39" s="304" t="s">
        <v>219</v>
      </c>
      <c r="C39" s="213" t="s">
        <v>220</v>
      </c>
      <c r="D39" s="213" t="s">
        <v>231</v>
      </c>
      <c r="E39" s="103" t="s">
        <v>232</v>
      </c>
      <c r="F39" s="99"/>
      <c r="G39" s="34"/>
      <c r="H39" s="34"/>
      <c r="I39" s="96">
        <v>34193</v>
      </c>
      <c r="J39" s="221" t="s">
        <v>156</v>
      </c>
      <c r="K39" s="427">
        <v>0</v>
      </c>
      <c r="L39" s="428">
        <v>1211</v>
      </c>
      <c r="M39" s="428">
        <v>2558</v>
      </c>
      <c r="N39" s="428">
        <v>5844</v>
      </c>
      <c r="O39" s="428">
        <v>0</v>
      </c>
      <c r="P39" s="428"/>
      <c r="Q39" s="428">
        <v>181.60000000000002</v>
      </c>
      <c r="R39" s="428">
        <v>2091</v>
      </c>
      <c r="S39" s="428"/>
      <c r="T39" s="428"/>
      <c r="U39" s="428"/>
      <c r="V39" s="428"/>
      <c r="W39" s="308"/>
      <c r="X39" s="317" t="str">
        <f>IFERROR(IF(tblPiNAnalysis5[[#This Row],[CCCM]]="", "", MROUND(tblPiNAnalysis5[[#This Row],[CCCM]]/tblPiNAnalysis5[[#This Row],[PIN]], 0.05)), "")</f>
        <v/>
      </c>
      <c r="Y39" s="318" t="str">
        <f>IFERROR(IF(tblPiNAnalysis5[[#This Row],[Education]]="", "", MROUND(tblPiNAnalysis5[[#This Row],[Education]]/tblPiNAnalysis5[[#This Row],[PIN]], 0.05)), "")</f>
        <v/>
      </c>
      <c r="Z39" s="318" t="str">
        <f>IFERROR(IF(tblPiNAnalysis5[[#This Row],[Nutrition]]="", "", MROUND(tblPiNAnalysis5[[#This Row],[Nutrition]]/tblPiNAnalysis5[[#This Row],[PIN]], 0.05)), "")</f>
        <v/>
      </c>
      <c r="AA39" s="318" t="str">
        <f>IFERROR(IF(tblPiNAnalysis5[[#This Row],[Food Security]]="", "", MROUND(tblPiNAnalysis5[[#This Row],[Food Security]]/tblPiNAnalysis5[[#This Row],[PIN]], 0.05)), "")</f>
        <v/>
      </c>
      <c r="AB39" s="318" t="str">
        <f>IFERROR(IF(tblPiNAnalysis5[[#This Row],[Health]]="", "", MROUND(tblPiNAnalysis5[[#This Row],[Health]]/tblPiNAnalysis5[[#This Row],[PIN]], 0.05)), "")</f>
        <v/>
      </c>
      <c r="AC39" s="319" t="str">
        <f>IFERROR(IF(tblPiNAnalysis5[[#This Row],[Protection]]="", "", MROUND(tblPiNAnalysis5[[#This Row],[Protection]]/tblPiNAnalysis5[[#This Row],[PIN]], 0.05)), "")</f>
        <v/>
      </c>
      <c r="AD39" s="319" t="str">
        <f>IFERROR(IF(tblPiNAnalysis5[[#This Row],[Shelter]]="", "", MROUND(tblPiNAnalysis5[[#This Row],[Shelter]]/tblPiNAnalysis5[[#This Row],[PIN]], 0.05)), "")</f>
        <v/>
      </c>
      <c r="AE39" s="320" t="str">
        <f>IFERROR(IF(tblPiNAnalysis5[[#This Row],[WASH]]="", "", MROUND(tblPiNAnalysis5[[#This Row],[WASH]]/tblPiNAnalysis5[[#This Row],[PIN]], 0.05)), "")</f>
        <v/>
      </c>
      <c r="AF39" s="488">
        <f>VLOOKUP(tblPiNAnalysis5[[#This Row],[ID]],tblPiNAnalysis[[ID]:[Final PiN]],63,FALSE)</f>
        <v>0</v>
      </c>
      <c r="AG39" s="488" t="str">
        <f>IFERROR(IF(tblPiNAnalysis5[[#This Row],[Final TARGET]]="", "", MROUND(tblPiNAnalysis5[[#This Row],[Final TARGET]]/tblPiNAnalysis5[[#This Row],[PIN]], 0.05)), "")</f>
        <v/>
      </c>
      <c r="AH39" s="322">
        <f>IF(MAX(tblPiNAnalysis5[[#This Row],[CCCM]:[WASH]])&lt;tblPiNAnalysis5[[#This Row],[PIN]],MAX(tblPiNAnalysis5[[#This Row],[CCCM]:[WASH]]),tblPiNAnalysis5[[#This Row],[PIN]])</f>
        <v>0</v>
      </c>
      <c r="AI39" s="326"/>
      <c r="AJ39" s="502">
        <f>tblPiNAnalysis5[[#This Row],[CCCM]]</f>
        <v>0</v>
      </c>
      <c r="AK39" s="500">
        <v>600</v>
      </c>
      <c r="AL39" s="500">
        <v>1898</v>
      </c>
      <c r="AM39" s="500">
        <f>IF(VLOOKUP(tblPiNAnalysis5[[#This Row],[Admin 2 P-Code]],tblSeverityAnalysis[[Admin 2 P-Code]:[WASH]],10,FALSE)&gt;=4,VLOOKUP(tblPiNAnalysis5[[#This Row],[Admin 2 P-Code]],tblPiNAnalysis[[Admin 2 P-Code]:[WASH]],10,FALSE),0)</f>
        <v>0</v>
      </c>
      <c r="AN39" s="503">
        <v>0</v>
      </c>
      <c r="AO39" s="500"/>
      <c r="AP39" s="516">
        <v>182</v>
      </c>
      <c r="AQ39" s="501">
        <v>1176</v>
      </c>
      <c r="AR39" s="383">
        <f>MIN(tblPiNAnalysis5[[#This Row],[Final TARGET]],MAX(tblPiNAnalysis5[[#This Row],[CCCM_PRI]:[WASH_PRI]]))</f>
        <v>0</v>
      </c>
      <c r="AS39" s="383">
        <f>IF(VLOOKUP(tblPiNAnalysis5[[#This Row],[Admin 2 P-Code]],tblSeverityAnalysis[[Admin 2 P-Code]:[Final Severity]],43,FALSE)&gt;=4,VLOOKUP(tblPiNAnalysis5[[#This Row],[Admin 2 P-Code]],tblPiNAnalysis[[Admin 2 P-Code]:[WASH]],8,FALSE),0)</f>
        <v>0</v>
      </c>
    </row>
    <row r="40" spans="1:45" ht="16.5" customHeight="1">
      <c r="A4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Global_PopulationHT0331</v>
      </c>
      <c r="B40" s="304" t="s">
        <v>219</v>
      </c>
      <c r="C40" s="213" t="s">
        <v>220</v>
      </c>
      <c r="D40" s="213" t="s">
        <v>233</v>
      </c>
      <c r="E40" s="103" t="s">
        <v>234</v>
      </c>
      <c r="F40" s="99"/>
      <c r="G40" s="34"/>
      <c r="H40" s="34"/>
      <c r="I40" s="96">
        <v>43816</v>
      </c>
      <c r="J40" s="221" t="s">
        <v>156</v>
      </c>
      <c r="K40" s="427">
        <v>0</v>
      </c>
      <c r="L40" s="428">
        <v>1514</v>
      </c>
      <c r="M40" s="428">
        <v>3445</v>
      </c>
      <c r="N40" s="428">
        <v>7555</v>
      </c>
      <c r="O40" s="428">
        <v>2434.2022678571429</v>
      </c>
      <c r="P40" s="428"/>
      <c r="Q40" s="428">
        <v>790.6</v>
      </c>
      <c r="R40" s="428">
        <v>5600</v>
      </c>
      <c r="S40" s="428"/>
      <c r="T40" s="428"/>
      <c r="U40" s="428"/>
      <c r="V40" s="428"/>
      <c r="W40" s="308"/>
      <c r="X40" s="317">
        <f>IFERROR(IF(tblPiNAnalysis5[[#This Row],[CCCM]]="", "", MROUND(tblPiNAnalysis5[[#This Row],[CCCM]]/tblPiNAnalysis5[[#This Row],[PIN]], 0.05)), "")</f>
        <v>0</v>
      </c>
      <c r="Y40" s="318">
        <f>IFERROR(IF(tblPiNAnalysis5[[#This Row],[Education]]="", "", MROUND(tblPiNAnalysis5[[#This Row],[Education]]/tblPiNAnalysis5[[#This Row],[PIN]], 0.05)), "")</f>
        <v>0.05</v>
      </c>
      <c r="Z40" s="318">
        <f>IFERROR(IF(tblPiNAnalysis5[[#This Row],[Nutrition]]="", "", MROUND(tblPiNAnalysis5[[#This Row],[Nutrition]]/tblPiNAnalysis5[[#This Row],[PIN]], 0.05)), "")</f>
        <v>0.15000000000000002</v>
      </c>
      <c r="AA40" s="318">
        <f>IFERROR(IF(tblPiNAnalysis5[[#This Row],[Food Security]]="", "", MROUND(tblPiNAnalysis5[[#This Row],[Food Security]]/tblPiNAnalysis5[[#This Row],[PIN]], 0.05)), "")</f>
        <v>0.35000000000000003</v>
      </c>
      <c r="AB40" s="318">
        <f>IFERROR(IF(tblPiNAnalysis5[[#This Row],[Health]]="", "", MROUND(tblPiNAnalysis5[[#This Row],[Health]]/tblPiNAnalysis5[[#This Row],[PIN]], 0.05)), "")</f>
        <v>0.1</v>
      </c>
      <c r="AC40" s="319" t="str">
        <f>IFERROR(IF(tblPiNAnalysis5[[#This Row],[Protection]]="", "", MROUND(tblPiNAnalysis5[[#This Row],[Protection]]/tblPiNAnalysis5[[#This Row],[PIN]], 0.05)), "")</f>
        <v/>
      </c>
      <c r="AD40" s="319">
        <f>IFERROR(IF(tblPiNAnalysis5[[#This Row],[Shelter]]="", "", MROUND(tblPiNAnalysis5[[#This Row],[Shelter]]/tblPiNAnalysis5[[#This Row],[PIN]], 0.05)), "")</f>
        <v>0.05</v>
      </c>
      <c r="AE40" s="320">
        <f>IFERROR(IF(tblPiNAnalysis5[[#This Row],[WASH]]="", "", MROUND(tblPiNAnalysis5[[#This Row],[WASH]]/tblPiNAnalysis5[[#This Row],[PIN]], 0.05)), "")</f>
        <v>0.25</v>
      </c>
      <c r="AF40" s="488">
        <f>VLOOKUP(tblPiNAnalysis5[[#This Row],[ID]],tblPiNAnalysis[[ID]:[Final PiN]],63,FALSE)</f>
        <v>22294</v>
      </c>
      <c r="AG40" s="488">
        <f>IFERROR(IF(tblPiNAnalysis5[[#This Row],[Final TARGET]]="", "", MROUND(tblPiNAnalysis5[[#This Row],[Final TARGET]]/tblPiNAnalysis5[[#This Row],[PIN]], 0.05)), "")</f>
        <v>0.35000000000000003</v>
      </c>
      <c r="AH40" s="322">
        <f>IF(MAX(tblPiNAnalysis5[[#This Row],[CCCM]:[WASH]])&lt;tblPiNAnalysis5[[#This Row],[PIN]],MAX(tblPiNAnalysis5[[#This Row],[CCCM]:[WASH]]),tblPiNAnalysis5[[#This Row],[PIN]])</f>
        <v>7555</v>
      </c>
      <c r="AI40" s="326"/>
      <c r="AJ40" s="502">
        <f>tblPiNAnalysis5[[#This Row],[CCCM]]</f>
        <v>0</v>
      </c>
      <c r="AK40" s="500">
        <v>850</v>
      </c>
      <c r="AL40" s="500">
        <v>2550</v>
      </c>
      <c r="AM40" s="500">
        <f>IF(VLOOKUP(tblPiNAnalysis5[[#This Row],[Admin 2 P-Code]],tblSeverityAnalysis[[Admin 2 P-Code]:[WASH]],10,FALSE)&gt;=4,VLOOKUP(tblPiNAnalysis5[[#This Row],[Admin 2 P-Code]],tblPiNAnalysis[[Admin 2 P-Code]:[WASH]],10,FALSE),0)</f>
        <v>0</v>
      </c>
      <c r="AN40" s="503">
        <v>0</v>
      </c>
      <c r="AO40" s="500"/>
      <c r="AP40" s="516">
        <v>791</v>
      </c>
      <c r="AQ40" s="501">
        <v>2800</v>
      </c>
      <c r="AR40" s="383">
        <f>MIN(tblPiNAnalysis5[[#This Row],[Final TARGET]],MAX(tblPiNAnalysis5[[#This Row],[CCCM_PRI]:[WASH_PRI]]))</f>
        <v>2800</v>
      </c>
      <c r="AS40" s="383">
        <f>IF(VLOOKUP(tblPiNAnalysis5[[#This Row],[Admin 2 P-Code]],tblSeverityAnalysis[[Admin 2 P-Code]:[Final Severity]],43,FALSE)&gt;=4,VLOOKUP(tblPiNAnalysis5[[#This Row],[Admin 2 P-Code]],tblPiNAnalysis[[Admin 2 P-Code]:[WASH]],8,FALSE),0)</f>
        <v>0</v>
      </c>
    </row>
    <row r="41" spans="1:45" ht="16.5" customHeight="1">
      <c r="A4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Global_PopulationHT0332</v>
      </c>
      <c r="B41" s="304" t="s">
        <v>219</v>
      </c>
      <c r="C41" s="213" t="s">
        <v>220</v>
      </c>
      <c r="D41" s="213" t="s">
        <v>235</v>
      </c>
      <c r="E41" s="103" t="s">
        <v>236</v>
      </c>
      <c r="F41" s="99"/>
      <c r="G41" s="34"/>
      <c r="H41" s="34"/>
      <c r="I41" s="96">
        <v>24534</v>
      </c>
      <c r="J41" s="221" t="s">
        <v>156</v>
      </c>
      <c r="K41" s="427">
        <v>0</v>
      </c>
      <c r="L41" s="428">
        <v>908</v>
      </c>
      <c r="M41" s="428">
        <v>1906</v>
      </c>
      <c r="N41" s="428">
        <v>4247</v>
      </c>
      <c r="O41" s="428">
        <v>0</v>
      </c>
      <c r="P41" s="428"/>
      <c r="Q41" s="428">
        <v>372.10000000000008</v>
      </c>
      <c r="R41" s="428">
        <v>2663</v>
      </c>
      <c r="S41" s="428"/>
      <c r="T41" s="428"/>
      <c r="U41" s="428"/>
      <c r="V41" s="428"/>
      <c r="W41" s="308"/>
      <c r="X41" s="317">
        <f>IFERROR(IF(tblPiNAnalysis5[[#This Row],[CCCM]]="", "", MROUND(tblPiNAnalysis5[[#This Row],[CCCM]]/tblPiNAnalysis5[[#This Row],[PIN]], 0.05)), "")</f>
        <v>0</v>
      </c>
      <c r="Y41" s="318">
        <f>IFERROR(IF(tblPiNAnalysis5[[#This Row],[Education]]="", "", MROUND(tblPiNAnalysis5[[#This Row],[Education]]/tblPiNAnalysis5[[#This Row],[PIN]], 0.05)), "")</f>
        <v>0.05</v>
      </c>
      <c r="Z41" s="318">
        <f>IFERROR(IF(tblPiNAnalysis5[[#This Row],[Nutrition]]="", "", MROUND(tblPiNAnalysis5[[#This Row],[Nutrition]]/tblPiNAnalysis5[[#This Row],[PIN]], 0.05)), "")</f>
        <v>0.15000000000000002</v>
      </c>
      <c r="AA41" s="318">
        <f>IFERROR(IF(tblPiNAnalysis5[[#This Row],[Food Security]]="", "", MROUND(tblPiNAnalysis5[[#This Row],[Food Security]]/tblPiNAnalysis5[[#This Row],[PIN]], 0.05)), "")</f>
        <v>0.35000000000000003</v>
      </c>
      <c r="AB41" s="318">
        <f>IFERROR(IF(tblPiNAnalysis5[[#This Row],[Health]]="", "", MROUND(tblPiNAnalysis5[[#This Row],[Health]]/tblPiNAnalysis5[[#This Row],[PIN]], 0.05)), "")</f>
        <v>0</v>
      </c>
      <c r="AC41" s="319" t="str">
        <f>IFERROR(IF(tblPiNAnalysis5[[#This Row],[Protection]]="", "", MROUND(tblPiNAnalysis5[[#This Row],[Protection]]/tblPiNAnalysis5[[#This Row],[PIN]], 0.05)), "")</f>
        <v/>
      </c>
      <c r="AD41" s="319">
        <f>IFERROR(IF(tblPiNAnalysis5[[#This Row],[Shelter]]="", "", MROUND(tblPiNAnalysis5[[#This Row],[Shelter]]/tblPiNAnalysis5[[#This Row],[PIN]], 0.05)), "")</f>
        <v>0.05</v>
      </c>
      <c r="AE41" s="320">
        <f>IFERROR(IF(tblPiNAnalysis5[[#This Row],[WASH]]="", "", MROUND(tblPiNAnalysis5[[#This Row],[WASH]]/tblPiNAnalysis5[[#This Row],[PIN]], 0.05)), "")</f>
        <v>0.2</v>
      </c>
      <c r="AF41" s="488">
        <f>VLOOKUP(tblPiNAnalysis5[[#This Row],[ID]],tblPiNAnalysis[[ID]:[Final PiN]],63,FALSE)</f>
        <v>12532</v>
      </c>
      <c r="AG41" s="488">
        <f>IFERROR(IF(tblPiNAnalysis5[[#This Row],[Final TARGET]]="", "", MROUND(tblPiNAnalysis5[[#This Row],[Final TARGET]]/tblPiNAnalysis5[[#This Row],[PIN]], 0.05)), "")</f>
        <v>0.35000000000000003</v>
      </c>
      <c r="AH41" s="322">
        <f>IF(MAX(tblPiNAnalysis5[[#This Row],[CCCM]:[WASH]])&lt;tblPiNAnalysis5[[#This Row],[PIN]],MAX(tblPiNAnalysis5[[#This Row],[CCCM]:[WASH]]),tblPiNAnalysis5[[#This Row],[PIN]])</f>
        <v>4247</v>
      </c>
      <c r="AI41" s="326"/>
      <c r="AJ41" s="502">
        <f>tblPiNAnalysis5[[#This Row],[CCCM]]</f>
        <v>0</v>
      </c>
      <c r="AK41" s="500">
        <v>492</v>
      </c>
      <c r="AL41" s="500">
        <v>1412</v>
      </c>
      <c r="AM41" s="500">
        <f>IF(VLOOKUP(tblPiNAnalysis5[[#This Row],[Admin 2 P-Code]],tblSeverityAnalysis[[Admin 2 P-Code]:[WASH]],10,FALSE)&gt;=4,VLOOKUP(tblPiNAnalysis5[[#This Row],[Admin 2 P-Code]],tblPiNAnalysis[[Admin 2 P-Code]:[WASH]],10,FALSE),0)</f>
        <v>0</v>
      </c>
      <c r="AN41" s="503">
        <v>0</v>
      </c>
      <c r="AO41" s="500"/>
      <c r="AP41" s="516">
        <v>372</v>
      </c>
      <c r="AQ41" s="501">
        <v>1331.5</v>
      </c>
      <c r="AR41" s="383">
        <f>MIN(tblPiNAnalysis5[[#This Row],[Final TARGET]],MAX(tblPiNAnalysis5[[#This Row],[CCCM_PRI]:[WASH_PRI]]))</f>
        <v>1412</v>
      </c>
      <c r="AS41" s="383">
        <f>IF(VLOOKUP(tblPiNAnalysis5[[#This Row],[Admin 2 P-Code]],tblSeverityAnalysis[[Admin 2 P-Code]:[Final Severity]],43,FALSE)&gt;=4,VLOOKUP(tblPiNAnalysis5[[#This Row],[Admin 2 P-Code]],tblPiNAnalysis[[Admin 2 P-Code]:[WASH]],8,FALSE),0)</f>
        <v>0</v>
      </c>
    </row>
    <row r="42" spans="1:45" ht="16.5" customHeight="1">
      <c r="A4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Global_PopulationHT0341</v>
      </c>
      <c r="B42" s="304" t="s">
        <v>219</v>
      </c>
      <c r="C42" s="213" t="s">
        <v>220</v>
      </c>
      <c r="D42" s="213" t="s">
        <v>237</v>
      </c>
      <c r="E42" s="103" t="s">
        <v>238</v>
      </c>
      <c r="F42" s="99"/>
      <c r="G42" s="34"/>
      <c r="H42" s="34"/>
      <c r="I42" s="96">
        <v>56607</v>
      </c>
      <c r="J42" s="221" t="s">
        <v>156</v>
      </c>
      <c r="K42" s="427">
        <v>88</v>
      </c>
      <c r="L42" s="428">
        <v>1986</v>
      </c>
      <c r="M42" s="428">
        <v>4179</v>
      </c>
      <c r="N42" s="428">
        <v>9819</v>
      </c>
      <c r="O42" s="428">
        <v>993.88294022988498</v>
      </c>
      <c r="P42" s="428"/>
      <c r="Q42" s="428">
        <v>380.70000000000005</v>
      </c>
      <c r="R42" s="428">
        <v>2000</v>
      </c>
      <c r="S42" s="428"/>
      <c r="T42" s="428"/>
      <c r="U42" s="428"/>
      <c r="V42" s="428"/>
      <c r="W42" s="308"/>
      <c r="X42" s="317">
        <f>IFERROR(IF(tblPiNAnalysis5[[#This Row],[CCCM]]="", "", MROUND(tblPiNAnalysis5[[#This Row],[CCCM]]/tblPiNAnalysis5[[#This Row],[PIN]], 0.05)), "")</f>
        <v>0</v>
      </c>
      <c r="Y42" s="318">
        <f>IFERROR(IF(tblPiNAnalysis5[[#This Row],[Education]]="", "", MROUND(tblPiNAnalysis5[[#This Row],[Education]]/tblPiNAnalysis5[[#This Row],[PIN]], 0.05)), "")</f>
        <v>0.05</v>
      </c>
      <c r="Z42" s="318">
        <f>IFERROR(IF(tblPiNAnalysis5[[#This Row],[Nutrition]]="", "", MROUND(tblPiNAnalysis5[[#This Row],[Nutrition]]/tblPiNAnalysis5[[#This Row],[PIN]], 0.05)), "")</f>
        <v>0.15000000000000002</v>
      </c>
      <c r="AA42" s="318">
        <f>IFERROR(IF(tblPiNAnalysis5[[#This Row],[Food Security]]="", "", MROUND(tblPiNAnalysis5[[#This Row],[Food Security]]/tblPiNAnalysis5[[#This Row],[PIN]], 0.05)), "")</f>
        <v>0.35000000000000003</v>
      </c>
      <c r="AB42" s="318">
        <f>IFERROR(IF(tblPiNAnalysis5[[#This Row],[Health]]="", "", MROUND(tblPiNAnalysis5[[#This Row],[Health]]/tblPiNAnalysis5[[#This Row],[PIN]], 0.05)), "")</f>
        <v>0.05</v>
      </c>
      <c r="AC42" s="319" t="str">
        <f>IFERROR(IF(tblPiNAnalysis5[[#This Row],[Protection]]="", "", MROUND(tblPiNAnalysis5[[#This Row],[Protection]]/tblPiNAnalysis5[[#This Row],[PIN]], 0.05)), "")</f>
        <v/>
      </c>
      <c r="AD42" s="319">
        <f>IFERROR(IF(tblPiNAnalysis5[[#This Row],[Shelter]]="", "", MROUND(tblPiNAnalysis5[[#This Row],[Shelter]]/tblPiNAnalysis5[[#This Row],[PIN]], 0.05)), "")</f>
        <v>0</v>
      </c>
      <c r="AE42" s="320">
        <f>IFERROR(IF(tblPiNAnalysis5[[#This Row],[WASH]]="", "", MROUND(tblPiNAnalysis5[[#This Row],[WASH]]/tblPiNAnalysis5[[#This Row],[PIN]], 0.05)), "")</f>
        <v>0.05</v>
      </c>
      <c r="AF42" s="488">
        <f>VLOOKUP(tblPiNAnalysis5[[#This Row],[ID]],tblPiNAnalysis[[ID]:[Final PiN]],63,FALSE)</f>
        <v>28974</v>
      </c>
      <c r="AG42" s="488">
        <f>IFERROR(IF(tblPiNAnalysis5[[#This Row],[Final TARGET]]="", "", MROUND(tblPiNAnalysis5[[#This Row],[Final TARGET]]/tblPiNAnalysis5[[#This Row],[PIN]], 0.05)), "")</f>
        <v>0.35000000000000003</v>
      </c>
      <c r="AH42" s="322">
        <f>IF(MAX(tblPiNAnalysis5[[#This Row],[CCCM]:[WASH]])&lt;tblPiNAnalysis5[[#This Row],[PIN]],MAX(tblPiNAnalysis5[[#This Row],[CCCM]:[WASH]]),tblPiNAnalysis5[[#This Row],[PIN]])</f>
        <v>9819</v>
      </c>
      <c r="AI42" s="326"/>
      <c r="AJ42" s="502">
        <f>tblPiNAnalysis5[[#This Row],[CCCM]]</f>
        <v>88</v>
      </c>
      <c r="AK42" s="500">
        <v>934</v>
      </c>
      <c r="AL42" s="500">
        <v>3104</v>
      </c>
      <c r="AM42" s="500">
        <f>IF(VLOOKUP(tblPiNAnalysis5[[#This Row],[Admin 2 P-Code]],tblSeverityAnalysis[[Admin 2 P-Code]:[WASH]],10,FALSE)&gt;=4,VLOOKUP(tblPiNAnalysis5[[#This Row],[Admin 2 P-Code]],tblPiNAnalysis[[Admin 2 P-Code]:[WASH]],10,FALSE),0)</f>
        <v>0</v>
      </c>
      <c r="AN42" s="503">
        <v>0</v>
      </c>
      <c r="AO42" s="500"/>
      <c r="AP42" s="516">
        <v>381</v>
      </c>
      <c r="AQ42" s="501">
        <v>9744</v>
      </c>
      <c r="AR42" s="383">
        <f>MIN(tblPiNAnalysis5[[#This Row],[Final TARGET]],MAX(tblPiNAnalysis5[[#This Row],[CCCM_PRI]:[WASH_PRI]]))</f>
        <v>9744</v>
      </c>
      <c r="AS42" s="383">
        <f>IF(VLOOKUP(tblPiNAnalysis5[[#This Row],[Admin 2 P-Code]],tblSeverityAnalysis[[Admin 2 P-Code]:[Final Severity]],43,FALSE)&gt;=4,VLOOKUP(tblPiNAnalysis5[[#This Row],[Admin 2 P-Code]],tblPiNAnalysis[[Admin 2 P-Code]:[WASH]],8,FALSE),0)</f>
        <v>0</v>
      </c>
    </row>
    <row r="43" spans="1:45" ht="16.5" customHeight="1">
      <c r="A4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Global_PopulationHT0342</v>
      </c>
      <c r="B43" s="304" t="s">
        <v>219</v>
      </c>
      <c r="C43" s="213" t="s">
        <v>220</v>
      </c>
      <c r="D43" s="213" t="s">
        <v>239</v>
      </c>
      <c r="E43" s="103" t="s">
        <v>240</v>
      </c>
      <c r="F43" s="99"/>
      <c r="G43" s="34"/>
      <c r="H43" s="34"/>
      <c r="I43" s="96">
        <v>36398</v>
      </c>
      <c r="J43" s="221" t="s">
        <v>156</v>
      </c>
      <c r="K43" s="427">
        <v>0</v>
      </c>
      <c r="L43" s="428">
        <v>1197</v>
      </c>
      <c r="M43" s="428">
        <v>2636</v>
      </c>
      <c r="N43" s="428">
        <v>6321</v>
      </c>
      <c r="O43" s="428">
        <v>276.76114999999999</v>
      </c>
      <c r="P43" s="428"/>
      <c r="Q43" s="428">
        <v>214.2</v>
      </c>
      <c r="R43" s="428">
        <v>357</v>
      </c>
      <c r="S43" s="428"/>
      <c r="T43" s="428"/>
      <c r="U43" s="428"/>
      <c r="V43" s="428"/>
      <c r="W43" s="308"/>
      <c r="X43" s="317">
        <f>IFERROR(IF(tblPiNAnalysis5[[#This Row],[CCCM]]="", "", MROUND(tblPiNAnalysis5[[#This Row],[CCCM]]/tblPiNAnalysis5[[#This Row],[PIN]], 0.05)), "")</f>
        <v>0</v>
      </c>
      <c r="Y43" s="318">
        <f>IFERROR(IF(tblPiNAnalysis5[[#This Row],[Education]]="", "", MROUND(tblPiNAnalysis5[[#This Row],[Education]]/tblPiNAnalysis5[[#This Row],[PIN]], 0.05)), "")</f>
        <v>0.05</v>
      </c>
      <c r="Z43" s="318">
        <f>IFERROR(IF(tblPiNAnalysis5[[#This Row],[Nutrition]]="", "", MROUND(tblPiNAnalysis5[[#This Row],[Nutrition]]/tblPiNAnalysis5[[#This Row],[PIN]], 0.05)), "")</f>
        <v>0.15000000000000002</v>
      </c>
      <c r="AA43" s="318">
        <f>IFERROR(IF(tblPiNAnalysis5[[#This Row],[Food Security]]="", "", MROUND(tblPiNAnalysis5[[#This Row],[Food Security]]/tblPiNAnalysis5[[#This Row],[PIN]], 0.05)), "")</f>
        <v>0.35000000000000003</v>
      </c>
      <c r="AB43" s="318">
        <f>IFERROR(IF(tblPiNAnalysis5[[#This Row],[Health]]="", "", MROUND(tblPiNAnalysis5[[#This Row],[Health]]/tblPiNAnalysis5[[#This Row],[PIN]], 0.05)), "")</f>
        <v>0</v>
      </c>
      <c r="AC43" s="319" t="str">
        <f>IFERROR(IF(tblPiNAnalysis5[[#This Row],[Protection]]="", "", MROUND(tblPiNAnalysis5[[#This Row],[Protection]]/tblPiNAnalysis5[[#This Row],[PIN]], 0.05)), "")</f>
        <v/>
      </c>
      <c r="AD43" s="319">
        <f>IFERROR(IF(tblPiNAnalysis5[[#This Row],[Shelter]]="", "", MROUND(tblPiNAnalysis5[[#This Row],[Shelter]]/tblPiNAnalysis5[[#This Row],[PIN]], 0.05)), "")</f>
        <v>0</v>
      </c>
      <c r="AE43" s="320">
        <f>IFERROR(IF(tblPiNAnalysis5[[#This Row],[WASH]]="", "", MROUND(tblPiNAnalysis5[[#This Row],[WASH]]/tblPiNAnalysis5[[#This Row],[PIN]], 0.05)), "")</f>
        <v>0</v>
      </c>
      <c r="AF43" s="488">
        <f>VLOOKUP(tblPiNAnalysis5[[#This Row],[ID]],tblPiNAnalysis[[ID]:[Final PiN]],63,FALSE)</f>
        <v>18652</v>
      </c>
      <c r="AG43" s="488">
        <f>IFERROR(IF(tblPiNAnalysis5[[#This Row],[Final TARGET]]="", "", MROUND(tblPiNAnalysis5[[#This Row],[Final TARGET]]/tblPiNAnalysis5[[#This Row],[PIN]], 0.05)), "")</f>
        <v>0.35000000000000003</v>
      </c>
      <c r="AH43" s="322">
        <f>IF(MAX(tblPiNAnalysis5[[#This Row],[CCCM]:[WASH]])&lt;tblPiNAnalysis5[[#This Row],[PIN]],MAX(tblPiNAnalysis5[[#This Row],[CCCM]:[WASH]]),tblPiNAnalysis5[[#This Row],[PIN]])</f>
        <v>6321</v>
      </c>
      <c r="AI43" s="326"/>
      <c r="AJ43" s="502">
        <f>tblPiNAnalysis5[[#This Row],[CCCM]]</f>
        <v>0</v>
      </c>
      <c r="AK43" s="500">
        <v>526</v>
      </c>
      <c r="AL43" s="500">
        <v>1961</v>
      </c>
      <c r="AM43" s="500">
        <f>IF(VLOOKUP(tblPiNAnalysis5[[#This Row],[Admin 2 P-Code]],tblSeverityAnalysis[[Admin 2 P-Code]:[WASH]],10,FALSE)&gt;=4,VLOOKUP(tblPiNAnalysis5[[#This Row],[Admin 2 P-Code]],tblPiNAnalysis[[Admin 2 P-Code]:[WASH]],10,FALSE),0)</f>
        <v>0</v>
      </c>
      <c r="AN43" s="503">
        <v>0</v>
      </c>
      <c r="AO43" s="500"/>
      <c r="AP43" s="516">
        <v>214</v>
      </c>
      <c r="AQ43" s="501">
        <v>3696</v>
      </c>
      <c r="AR43" s="383">
        <f>MIN(tblPiNAnalysis5[[#This Row],[Final TARGET]],MAX(tblPiNAnalysis5[[#This Row],[CCCM_PRI]:[WASH_PRI]]))</f>
        <v>3696</v>
      </c>
      <c r="AS43" s="383">
        <f>IF(VLOOKUP(tblPiNAnalysis5[[#This Row],[Admin 2 P-Code]],tblSeverityAnalysis[[Admin 2 P-Code]:[Final Severity]],43,FALSE)&gt;=4,VLOOKUP(tblPiNAnalysis5[[#This Row],[Admin 2 P-Code]],tblPiNAnalysis[[Admin 2 P-Code]:[WASH]],8,FALSE),0)</f>
        <v>0</v>
      </c>
    </row>
    <row r="44" spans="1:45" ht="16.5" customHeight="1">
      <c r="A4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Global_PopulationHT0343</v>
      </c>
      <c r="B44" s="304" t="s">
        <v>219</v>
      </c>
      <c r="C44" s="213" t="s">
        <v>220</v>
      </c>
      <c r="D44" s="213" t="s">
        <v>241</v>
      </c>
      <c r="E44" s="103" t="s">
        <v>242</v>
      </c>
      <c r="F44" s="99"/>
      <c r="G44" s="34"/>
      <c r="H44" s="34"/>
      <c r="I44" s="96">
        <v>29256</v>
      </c>
      <c r="J44" s="221" t="s">
        <v>156</v>
      </c>
      <c r="K44" s="427">
        <v>0</v>
      </c>
      <c r="L44" s="428">
        <v>1013</v>
      </c>
      <c r="M44" s="428">
        <v>2114</v>
      </c>
      <c r="N44" s="428">
        <v>5060</v>
      </c>
      <c r="O44" s="428">
        <v>0</v>
      </c>
      <c r="P44" s="428"/>
      <c r="Q44" s="428">
        <v>147.4</v>
      </c>
      <c r="R44" s="428">
        <v>274</v>
      </c>
      <c r="S44" s="428"/>
      <c r="T44" s="428"/>
      <c r="U44" s="428"/>
      <c r="V44" s="428"/>
      <c r="W44" s="308"/>
      <c r="X44" s="317">
        <f>IFERROR(IF(tblPiNAnalysis5[[#This Row],[CCCM]]="", "", MROUND(tblPiNAnalysis5[[#This Row],[CCCM]]/tblPiNAnalysis5[[#This Row],[PIN]], 0.05)), "")</f>
        <v>0</v>
      </c>
      <c r="Y44" s="318">
        <f>IFERROR(IF(tblPiNAnalysis5[[#This Row],[Education]]="", "", MROUND(tblPiNAnalysis5[[#This Row],[Education]]/tblPiNAnalysis5[[#This Row],[PIN]], 0.05)), "")</f>
        <v>0.05</v>
      </c>
      <c r="Z44" s="318">
        <f>IFERROR(IF(tblPiNAnalysis5[[#This Row],[Nutrition]]="", "", MROUND(tblPiNAnalysis5[[#This Row],[Nutrition]]/tblPiNAnalysis5[[#This Row],[PIN]], 0.05)), "")</f>
        <v>0.15000000000000002</v>
      </c>
      <c r="AA44" s="318">
        <f>IFERROR(IF(tblPiNAnalysis5[[#This Row],[Food Security]]="", "", MROUND(tblPiNAnalysis5[[#This Row],[Food Security]]/tblPiNAnalysis5[[#This Row],[PIN]], 0.05)), "")</f>
        <v>0.30000000000000004</v>
      </c>
      <c r="AB44" s="318">
        <f>IFERROR(IF(tblPiNAnalysis5[[#This Row],[Health]]="", "", MROUND(tblPiNAnalysis5[[#This Row],[Health]]/tblPiNAnalysis5[[#This Row],[PIN]], 0.05)), "")</f>
        <v>0</v>
      </c>
      <c r="AC44" s="319" t="str">
        <f>IFERROR(IF(tblPiNAnalysis5[[#This Row],[Protection]]="", "", MROUND(tblPiNAnalysis5[[#This Row],[Protection]]/tblPiNAnalysis5[[#This Row],[PIN]], 0.05)), "")</f>
        <v/>
      </c>
      <c r="AD44" s="319">
        <f>IFERROR(IF(tblPiNAnalysis5[[#This Row],[Shelter]]="", "", MROUND(tblPiNAnalysis5[[#This Row],[Shelter]]/tblPiNAnalysis5[[#This Row],[PIN]], 0.05)), "")</f>
        <v>0</v>
      </c>
      <c r="AE44" s="320">
        <f>IFERROR(IF(tblPiNAnalysis5[[#This Row],[WASH]]="", "", MROUND(tblPiNAnalysis5[[#This Row],[WASH]]/tblPiNAnalysis5[[#This Row],[PIN]], 0.05)), "")</f>
        <v>0</v>
      </c>
      <c r="AF44" s="488">
        <f>VLOOKUP(tblPiNAnalysis5[[#This Row],[ID]],tblPiNAnalysis[[ID]:[Final PiN]],63,FALSE)</f>
        <v>15828</v>
      </c>
      <c r="AG44" s="488">
        <f>IFERROR(IF(tblPiNAnalysis5[[#This Row],[Final TARGET]]="", "", MROUND(tblPiNAnalysis5[[#This Row],[Final TARGET]]/tblPiNAnalysis5[[#This Row],[PIN]], 0.05)), "")</f>
        <v>0.30000000000000004</v>
      </c>
      <c r="AH44" s="322">
        <f>IF(MAX(tblPiNAnalysis5[[#This Row],[CCCM]:[WASH]])&lt;tblPiNAnalysis5[[#This Row],[PIN]],MAX(tblPiNAnalysis5[[#This Row],[CCCM]:[WASH]]),tblPiNAnalysis5[[#This Row],[PIN]])</f>
        <v>5060</v>
      </c>
      <c r="AI44" s="326"/>
      <c r="AJ44" s="502">
        <f>tblPiNAnalysis5[[#This Row],[CCCM]]</f>
        <v>0</v>
      </c>
      <c r="AK44" s="500">
        <v>444</v>
      </c>
      <c r="AL44" s="500">
        <v>1572</v>
      </c>
      <c r="AM44" s="500">
        <f>IF(VLOOKUP(tblPiNAnalysis5[[#This Row],[Admin 2 P-Code]],tblSeverityAnalysis[[Admin 2 P-Code]:[WASH]],10,FALSE)&gt;=4,VLOOKUP(tblPiNAnalysis5[[#This Row],[Admin 2 P-Code]],tblPiNAnalysis[[Admin 2 P-Code]:[WASH]],10,FALSE),0)</f>
        <v>0</v>
      </c>
      <c r="AN44" s="503">
        <v>0</v>
      </c>
      <c r="AO44" s="500"/>
      <c r="AP44" s="516">
        <v>147</v>
      </c>
      <c r="AQ44" s="501">
        <v>137</v>
      </c>
      <c r="AR44" s="383">
        <f>MIN(tblPiNAnalysis5[[#This Row],[Final TARGET]],MAX(tblPiNAnalysis5[[#This Row],[CCCM_PRI]:[WASH_PRI]]))</f>
        <v>1572</v>
      </c>
      <c r="AS44" s="383">
        <f>IF(VLOOKUP(tblPiNAnalysis5[[#This Row],[Admin 2 P-Code]],tblSeverityAnalysis[[Admin 2 P-Code]:[Final Severity]],43,FALSE)&gt;=4,VLOOKUP(tblPiNAnalysis5[[#This Row],[Admin 2 P-Code]],tblPiNAnalysis[[Admin 2 P-Code]:[WASH]],8,FALSE),0)</f>
        <v>0</v>
      </c>
    </row>
    <row r="45" spans="1:45" ht="16.5" customHeight="1">
      <c r="A4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Global_PopulationHT0344</v>
      </c>
      <c r="B45" s="304" t="s">
        <v>219</v>
      </c>
      <c r="C45" s="213" t="s">
        <v>220</v>
      </c>
      <c r="D45" s="213" t="s">
        <v>243</v>
      </c>
      <c r="E45" s="103" t="s">
        <v>244</v>
      </c>
      <c r="F45" s="99"/>
      <c r="G45" s="34"/>
      <c r="H45" s="34"/>
      <c r="I45" s="96">
        <v>46806</v>
      </c>
      <c r="J45" s="221" t="s">
        <v>156</v>
      </c>
      <c r="K45" s="427">
        <v>924</v>
      </c>
      <c r="L45" s="428">
        <v>1811</v>
      </c>
      <c r="M45" s="428">
        <v>3531</v>
      </c>
      <c r="N45" s="428">
        <v>7903</v>
      </c>
      <c r="O45" s="428">
        <v>1546.0272568775679</v>
      </c>
      <c r="P45" s="428"/>
      <c r="Q45" s="428">
        <v>142.20000000000002</v>
      </c>
      <c r="R45" s="428">
        <v>2727</v>
      </c>
      <c r="S45" s="428"/>
      <c r="T45" s="428"/>
      <c r="U45" s="428"/>
      <c r="V45" s="428"/>
      <c r="W45" s="308"/>
      <c r="X45" s="317">
        <f>IFERROR(IF(tblPiNAnalysis5[[#This Row],[CCCM]]="", "", MROUND(tblPiNAnalysis5[[#This Row],[CCCM]]/tblPiNAnalysis5[[#This Row],[PIN]], 0.05)), "")</f>
        <v>0.05</v>
      </c>
      <c r="Y45" s="318">
        <f>IFERROR(IF(tblPiNAnalysis5[[#This Row],[Education]]="", "", MROUND(tblPiNAnalysis5[[#This Row],[Education]]/tblPiNAnalysis5[[#This Row],[PIN]], 0.05)), "")</f>
        <v>0.1</v>
      </c>
      <c r="Z45" s="318">
        <f>IFERROR(IF(tblPiNAnalysis5[[#This Row],[Nutrition]]="", "", MROUND(tblPiNAnalysis5[[#This Row],[Nutrition]]/tblPiNAnalysis5[[#This Row],[PIN]], 0.05)), "")</f>
        <v>0.15000000000000002</v>
      </c>
      <c r="AA45" s="318">
        <f>IFERROR(IF(tblPiNAnalysis5[[#This Row],[Food Security]]="", "", MROUND(tblPiNAnalysis5[[#This Row],[Food Security]]/tblPiNAnalysis5[[#This Row],[PIN]], 0.05)), "")</f>
        <v>0.35000000000000003</v>
      </c>
      <c r="AB45" s="318">
        <f>IFERROR(IF(tblPiNAnalysis5[[#This Row],[Health]]="", "", MROUND(tblPiNAnalysis5[[#This Row],[Health]]/tblPiNAnalysis5[[#This Row],[PIN]], 0.05)), "")</f>
        <v>0.05</v>
      </c>
      <c r="AC45" s="319" t="str">
        <f>IFERROR(IF(tblPiNAnalysis5[[#This Row],[Protection]]="", "", MROUND(tblPiNAnalysis5[[#This Row],[Protection]]/tblPiNAnalysis5[[#This Row],[PIN]], 0.05)), "")</f>
        <v/>
      </c>
      <c r="AD45" s="319">
        <f>IFERROR(IF(tblPiNAnalysis5[[#This Row],[Shelter]]="", "", MROUND(tblPiNAnalysis5[[#This Row],[Shelter]]/tblPiNAnalysis5[[#This Row],[PIN]], 0.05)), "")</f>
        <v>0</v>
      </c>
      <c r="AE45" s="320">
        <f>IFERROR(IF(tblPiNAnalysis5[[#This Row],[WASH]]="", "", MROUND(tblPiNAnalysis5[[#This Row],[WASH]]/tblPiNAnalysis5[[#This Row],[PIN]], 0.05)), "")</f>
        <v>0.1</v>
      </c>
      <c r="AF45" s="488">
        <f>VLOOKUP(tblPiNAnalysis5[[#This Row],[ID]],tblPiNAnalysis[[ID]:[Final PiN]],63,FALSE)</f>
        <v>23319</v>
      </c>
      <c r="AG45" s="488">
        <f>IFERROR(IF(tblPiNAnalysis5[[#This Row],[Final TARGET]]="", "", MROUND(tblPiNAnalysis5[[#This Row],[Final TARGET]]/tblPiNAnalysis5[[#This Row],[PIN]], 0.05)), "")</f>
        <v>0.35000000000000003</v>
      </c>
      <c r="AH45" s="322">
        <f>IF(MAX(tblPiNAnalysis5[[#This Row],[CCCM]:[WASH]])&lt;tblPiNAnalysis5[[#This Row],[PIN]],MAX(tblPiNAnalysis5[[#This Row],[CCCM]:[WASH]]),tblPiNAnalysis5[[#This Row],[PIN]])</f>
        <v>7903</v>
      </c>
      <c r="AI45" s="326"/>
      <c r="AJ45" s="502">
        <f>tblPiNAnalysis5[[#This Row],[CCCM]]</f>
        <v>924</v>
      </c>
      <c r="AK45" s="500">
        <v>926</v>
      </c>
      <c r="AL45" s="500">
        <v>2615</v>
      </c>
      <c r="AM45" s="500">
        <f>IF(VLOOKUP(tblPiNAnalysis5[[#This Row],[Admin 2 P-Code]],tblSeverityAnalysis[[Admin 2 P-Code]:[WASH]],10,FALSE)&gt;=4,VLOOKUP(tblPiNAnalysis5[[#This Row],[Admin 2 P-Code]],tblPiNAnalysis[[Admin 2 P-Code]:[WASH]],10,FALSE),0)</f>
        <v>0</v>
      </c>
      <c r="AN45" s="503">
        <v>0</v>
      </c>
      <c r="AO45" s="500"/>
      <c r="AP45" s="516">
        <v>142</v>
      </c>
      <c r="AQ45" s="501">
        <v>1363.5</v>
      </c>
      <c r="AR45" s="383">
        <f>MIN(tblPiNAnalysis5[[#This Row],[Final TARGET]],MAX(tblPiNAnalysis5[[#This Row],[CCCM_PRI]:[WASH_PRI]]))</f>
        <v>2615</v>
      </c>
      <c r="AS45" s="383">
        <f>IF(VLOOKUP(tblPiNAnalysis5[[#This Row],[Admin 2 P-Code]],tblSeverityAnalysis[[Admin 2 P-Code]:[Final Severity]],43,FALSE)&gt;=4,VLOOKUP(tblPiNAnalysis5[[#This Row],[Admin 2 P-Code]],tblPiNAnalysis[[Admin 2 P-Code]:[WASH]],8,FALSE),0)</f>
        <v>0</v>
      </c>
    </row>
    <row r="46" spans="1:45" ht="16.5" customHeight="1">
      <c r="A4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Global_PopulationHT0345</v>
      </c>
      <c r="B46" s="304" t="s">
        <v>219</v>
      </c>
      <c r="C46" s="213" t="s">
        <v>220</v>
      </c>
      <c r="D46" s="213" t="s">
        <v>245</v>
      </c>
      <c r="E46" s="103" t="s">
        <v>246</v>
      </c>
      <c r="F46" s="99"/>
      <c r="G46" s="34"/>
      <c r="H46" s="34"/>
      <c r="I46" s="96">
        <v>11101</v>
      </c>
      <c r="J46" s="221" t="s">
        <v>156</v>
      </c>
      <c r="K46" s="427">
        <v>0</v>
      </c>
      <c r="L46" s="428">
        <v>378</v>
      </c>
      <c r="M46" s="428">
        <v>807</v>
      </c>
      <c r="N46" s="428">
        <v>1925</v>
      </c>
      <c r="O46" s="428">
        <v>0</v>
      </c>
      <c r="P46" s="428"/>
      <c r="Q46" s="428">
        <v>109</v>
      </c>
      <c r="R46" s="428">
        <v>161</v>
      </c>
      <c r="S46" s="428"/>
      <c r="T46" s="428"/>
      <c r="U46" s="428"/>
      <c r="V46" s="428"/>
      <c r="W46" s="308"/>
      <c r="X46" s="317" t="str">
        <f>IFERROR(IF(tblPiNAnalysis5[[#This Row],[CCCM]]="", "", MROUND(tblPiNAnalysis5[[#This Row],[CCCM]]/tblPiNAnalysis5[[#This Row],[PIN]], 0.05)), "")</f>
        <v/>
      </c>
      <c r="Y46" s="318" t="str">
        <f>IFERROR(IF(tblPiNAnalysis5[[#This Row],[Education]]="", "", MROUND(tblPiNAnalysis5[[#This Row],[Education]]/tblPiNAnalysis5[[#This Row],[PIN]], 0.05)), "")</f>
        <v/>
      </c>
      <c r="Z46" s="318" t="str">
        <f>IFERROR(IF(tblPiNAnalysis5[[#This Row],[Nutrition]]="", "", MROUND(tblPiNAnalysis5[[#This Row],[Nutrition]]/tblPiNAnalysis5[[#This Row],[PIN]], 0.05)), "")</f>
        <v/>
      </c>
      <c r="AA46" s="318" t="str">
        <f>IFERROR(IF(tblPiNAnalysis5[[#This Row],[Food Security]]="", "", MROUND(tblPiNAnalysis5[[#This Row],[Food Security]]/tblPiNAnalysis5[[#This Row],[PIN]], 0.05)), "")</f>
        <v/>
      </c>
      <c r="AB46" s="318" t="str">
        <f>IFERROR(IF(tblPiNAnalysis5[[#This Row],[Health]]="", "", MROUND(tblPiNAnalysis5[[#This Row],[Health]]/tblPiNAnalysis5[[#This Row],[PIN]], 0.05)), "")</f>
        <v/>
      </c>
      <c r="AC46" s="319" t="str">
        <f>IFERROR(IF(tblPiNAnalysis5[[#This Row],[Protection]]="", "", MROUND(tblPiNAnalysis5[[#This Row],[Protection]]/tblPiNAnalysis5[[#This Row],[PIN]], 0.05)), "")</f>
        <v/>
      </c>
      <c r="AD46" s="319" t="str">
        <f>IFERROR(IF(tblPiNAnalysis5[[#This Row],[Shelter]]="", "", MROUND(tblPiNAnalysis5[[#This Row],[Shelter]]/tblPiNAnalysis5[[#This Row],[PIN]], 0.05)), "")</f>
        <v/>
      </c>
      <c r="AE46" s="320" t="str">
        <f>IFERROR(IF(tblPiNAnalysis5[[#This Row],[WASH]]="", "", MROUND(tblPiNAnalysis5[[#This Row],[WASH]]/tblPiNAnalysis5[[#This Row],[PIN]], 0.05)), "")</f>
        <v/>
      </c>
      <c r="AF46" s="488">
        <f>VLOOKUP(tblPiNAnalysis5[[#This Row],[ID]],tblPiNAnalysis[[ID]:[Final PiN]],63,FALSE)</f>
        <v>0</v>
      </c>
      <c r="AG46" s="488" t="str">
        <f>IFERROR(IF(tblPiNAnalysis5[[#This Row],[Final TARGET]]="", "", MROUND(tblPiNAnalysis5[[#This Row],[Final TARGET]]/tblPiNAnalysis5[[#This Row],[PIN]], 0.05)), "")</f>
        <v/>
      </c>
      <c r="AH46" s="322">
        <f>IF(MAX(tblPiNAnalysis5[[#This Row],[CCCM]:[WASH]])&lt;tblPiNAnalysis5[[#This Row],[PIN]],MAX(tblPiNAnalysis5[[#This Row],[CCCM]:[WASH]]),tblPiNAnalysis5[[#This Row],[PIN]])</f>
        <v>0</v>
      </c>
      <c r="AI46" s="326"/>
      <c r="AJ46" s="502">
        <f>tblPiNAnalysis5[[#This Row],[CCCM]]</f>
        <v>0</v>
      </c>
      <c r="AK46" s="500">
        <v>168</v>
      </c>
      <c r="AL46" s="500">
        <v>600</v>
      </c>
      <c r="AM46" s="500">
        <f>IF(VLOOKUP(tblPiNAnalysis5[[#This Row],[Admin 2 P-Code]],tblSeverityAnalysis[[Admin 2 P-Code]:[WASH]],10,FALSE)&gt;=4,VLOOKUP(tblPiNAnalysis5[[#This Row],[Admin 2 P-Code]],tblPiNAnalysis[[Admin 2 P-Code]:[WASH]],10,FALSE),0)</f>
        <v>0</v>
      </c>
      <c r="AN46" s="503">
        <v>0</v>
      </c>
      <c r="AO46" s="500"/>
      <c r="AP46" s="516">
        <v>109</v>
      </c>
      <c r="AQ46" s="501">
        <v>80.5</v>
      </c>
      <c r="AR46" s="383">
        <f>MIN(tblPiNAnalysis5[[#This Row],[Final TARGET]],MAX(tblPiNAnalysis5[[#This Row],[CCCM_PRI]:[WASH_PRI]]))</f>
        <v>0</v>
      </c>
      <c r="AS46" s="383">
        <f>IF(VLOOKUP(tblPiNAnalysis5[[#This Row],[Admin 2 P-Code]],tblSeverityAnalysis[[Admin 2 P-Code]:[Final Severity]],43,FALSE)&gt;=4,VLOOKUP(tblPiNAnalysis5[[#This Row],[Admin 2 P-Code]],tblPiNAnalysis[[Admin 2 P-Code]:[WASH]],8,FALSE),0)</f>
        <v>0</v>
      </c>
    </row>
    <row r="47" spans="1:45" ht="16.5" customHeight="1">
      <c r="A4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Global_PopulationHT0351</v>
      </c>
      <c r="B47" s="304" t="s">
        <v>219</v>
      </c>
      <c r="C47" s="213" t="s">
        <v>220</v>
      </c>
      <c r="D47" s="213" t="s">
        <v>247</v>
      </c>
      <c r="E47" s="103" t="s">
        <v>248</v>
      </c>
      <c r="F47" s="99"/>
      <c r="G47" s="34"/>
      <c r="H47" s="34"/>
      <c r="I47" s="96">
        <v>70765</v>
      </c>
      <c r="J47" s="221" t="s">
        <v>156</v>
      </c>
      <c r="K47" s="427">
        <v>0</v>
      </c>
      <c r="L47" s="428">
        <v>2677</v>
      </c>
      <c r="M47" s="428">
        <v>5290</v>
      </c>
      <c r="N47" s="428">
        <v>12224</v>
      </c>
      <c r="O47" s="428">
        <v>1855.209456449553</v>
      </c>
      <c r="P47" s="428"/>
      <c r="Q47" s="428">
        <v>334.90000000000003</v>
      </c>
      <c r="R47" s="428">
        <v>3915</v>
      </c>
      <c r="S47" s="428"/>
      <c r="T47" s="428"/>
      <c r="U47" s="428"/>
      <c r="V47" s="428"/>
      <c r="W47" s="308"/>
      <c r="X47" s="317">
        <f>IFERROR(IF(tblPiNAnalysis5[[#This Row],[CCCM]]="", "", MROUND(tblPiNAnalysis5[[#This Row],[CCCM]]/tblPiNAnalysis5[[#This Row],[PIN]], 0.05)), "")</f>
        <v>0</v>
      </c>
      <c r="Y47" s="318">
        <f>IFERROR(IF(tblPiNAnalysis5[[#This Row],[Education]]="", "", MROUND(tblPiNAnalysis5[[#This Row],[Education]]/tblPiNAnalysis5[[#This Row],[PIN]], 0.05)), "")</f>
        <v>0.05</v>
      </c>
      <c r="Z47" s="318">
        <f>IFERROR(IF(tblPiNAnalysis5[[#This Row],[Nutrition]]="", "", MROUND(tblPiNAnalysis5[[#This Row],[Nutrition]]/tblPiNAnalysis5[[#This Row],[PIN]], 0.05)), "")</f>
        <v>0.15000000000000002</v>
      </c>
      <c r="AA47" s="318">
        <f>IFERROR(IF(tblPiNAnalysis5[[#This Row],[Food Security]]="", "", MROUND(tblPiNAnalysis5[[#This Row],[Food Security]]/tblPiNAnalysis5[[#This Row],[PIN]], 0.05)), "")</f>
        <v>0.30000000000000004</v>
      </c>
      <c r="AB47" s="318">
        <f>IFERROR(IF(tblPiNAnalysis5[[#This Row],[Health]]="", "", MROUND(tblPiNAnalysis5[[#This Row],[Health]]/tblPiNAnalysis5[[#This Row],[PIN]], 0.05)), "")</f>
        <v>0.05</v>
      </c>
      <c r="AC47" s="319" t="str">
        <f>IFERROR(IF(tblPiNAnalysis5[[#This Row],[Protection]]="", "", MROUND(tblPiNAnalysis5[[#This Row],[Protection]]/tblPiNAnalysis5[[#This Row],[PIN]], 0.05)), "")</f>
        <v/>
      </c>
      <c r="AD47" s="319">
        <f>IFERROR(IF(tblPiNAnalysis5[[#This Row],[Shelter]]="", "", MROUND(tblPiNAnalysis5[[#This Row],[Shelter]]/tblPiNAnalysis5[[#This Row],[PIN]], 0.05)), "")</f>
        <v>0</v>
      </c>
      <c r="AE47" s="320">
        <f>IFERROR(IF(tblPiNAnalysis5[[#This Row],[WASH]]="", "", MROUND(tblPiNAnalysis5[[#This Row],[WASH]]/tblPiNAnalysis5[[#This Row],[PIN]], 0.05)), "")</f>
        <v>0.1</v>
      </c>
      <c r="AF47" s="488">
        <f>VLOOKUP(tblPiNAnalysis5[[#This Row],[ID]],tblPiNAnalysis[[ID]:[Final PiN]],63,FALSE)</f>
        <v>39313.888888888891</v>
      </c>
      <c r="AG47" s="488">
        <f>IFERROR(IF(tblPiNAnalysis5[[#This Row],[Final TARGET]]="", "", MROUND(tblPiNAnalysis5[[#This Row],[Final TARGET]]/tblPiNAnalysis5[[#This Row],[PIN]], 0.05)), "")</f>
        <v>0.30000000000000004</v>
      </c>
      <c r="AH47" s="322">
        <f>IF(MAX(tblPiNAnalysis5[[#This Row],[CCCM]:[WASH]])&lt;tblPiNAnalysis5[[#This Row],[PIN]],MAX(tblPiNAnalysis5[[#This Row],[CCCM]:[WASH]]),tblPiNAnalysis5[[#This Row],[PIN]])</f>
        <v>12224</v>
      </c>
      <c r="AI47" s="326"/>
      <c r="AJ47" s="502">
        <f>tblPiNAnalysis5[[#This Row],[CCCM]]</f>
        <v>0</v>
      </c>
      <c r="AK47" s="500">
        <v>1310</v>
      </c>
      <c r="AL47" s="500">
        <v>3926</v>
      </c>
      <c r="AM47" s="500">
        <f>IF(VLOOKUP(tblPiNAnalysis5[[#This Row],[Admin 2 P-Code]],tblSeverityAnalysis[[Admin 2 P-Code]:[WASH]],10,FALSE)&gt;=4,VLOOKUP(tblPiNAnalysis5[[#This Row],[Admin 2 P-Code]],tblPiNAnalysis[[Admin 2 P-Code]:[WASH]],10,FALSE),0)</f>
        <v>0</v>
      </c>
      <c r="AN47" s="503">
        <v>0</v>
      </c>
      <c r="AO47" s="500"/>
      <c r="AP47" s="516">
        <v>335</v>
      </c>
      <c r="AQ47" s="501">
        <v>5544</v>
      </c>
      <c r="AR47" s="383">
        <f>MIN(tblPiNAnalysis5[[#This Row],[Final TARGET]],MAX(tblPiNAnalysis5[[#This Row],[CCCM_PRI]:[WASH_PRI]]))</f>
        <v>5544</v>
      </c>
      <c r="AS47" s="383">
        <f>IF(VLOOKUP(tblPiNAnalysis5[[#This Row],[Admin 2 P-Code]],tblSeverityAnalysis[[Admin 2 P-Code]:[Final Severity]],43,FALSE)&gt;=4,VLOOKUP(tblPiNAnalysis5[[#This Row],[Admin 2 P-Code]],tblPiNAnalysis[[Admin 2 P-Code]:[WASH]],8,FALSE),0)</f>
        <v>0</v>
      </c>
    </row>
    <row r="48" spans="1:45" ht="16.5" customHeight="1">
      <c r="A4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Global_PopulationHT0352</v>
      </c>
      <c r="B48" s="304" t="s">
        <v>219</v>
      </c>
      <c r="C48" s="213" t="s">
        <v>220</v>
      </c>
      <c r="D48" s="213" t="s">
        <v>249</v>
      </c>
      <c r="E48" s="103" t="s">
        <v>250</v>
      </c>
      <c r="F48" s="99"/>
      <c r="G48" s="34"/>
      <c r="H48" s="34"/>
      <c r="I48" s="96">
        <v>52745</v>
      </c>
      <c r="J48" s="221" t="s">
        <v>156</v>
      </c>
      <c r="K48" s="427">
        <v>0</v>
      </c>
      <c r="L48" s="428">
        <v>1838</v>
      </c>
      <c r="M48" s="428">
        <v>3841</v>
      </c>
      <c r="N48" s="428">
        <v>9111</v>
      </c>
      <c r="O48" s="428">
        <v>0</v>
      </c>
      <c r="P48" s="428"/>
      <c r="Q48" s="428">
        <v>249.60000000000002</v>
      </c>
      <c r="R48" s="428">
        <v>1048</v>
      </c>
      <c r="S48" s="428"/>
      <c r="T48" s="428"/>
      <c r="U48" s="428"/>
      <c r="V48" s="428"/>
      <c r="W48" s="308"/>
      <c r="X48" s="317" t="str">
        <f>IFERROR(IF(tblPiNAnalysis5[[#This Row],[CCCM]]="", "", MROUND(tblPiNAnalysis5[[#This Row],[CCCM]]/tblPiNAnalysis5[[#This Row],[PIN]], 0.05)), "")</f>
        <v/>
      </c>
      <c r="Y48" s="318" t="str">
        <f>IFERROR(IF(tblPiNAnalysis5[[#This Row],[Education]]="", "", MROUND(tblPiNAnalysis5[[#This Row],[Education]]/tblPiNAnalysis5[[#This Row],[PIN]], 0.05)), "")</f>
        <v/>
      </c>
      <c r="Z48" s="318" t="str">
        <f>IFERROR(IF(tblPiNAnalysis5[[#This Row],[Nutrition]]="", "", MROUND(tblPiNAnalysis5[[#This Row],[Nutrition]]/tblPiNAnalysis5[[#This Row],[PIN]], 0.05)), "")</f>
        <v/>
      </c>
      <c r="AA48" s="318" t="str">
        <f>IFERROR(IF(tblPiNAnalysis5[[#This Row],[Food Security]]="", "", MROUND(tblPiNAnalysis5[[#This Row],[Food Security]]/tblPiNAnalysis5[[#This Row],[PIN]], 0.05)), "")</f>
        <v/>
      </c>
      <c r="AB48" s="318" t="str">
        <f>IFERROR(IF(tblPiNAnalysis5[[#This Row],[Health]]="", "", MROUND(tblPiNAnalysis5[[#This Row],[Health]]/tblPiNAnalysis5[[#This Row],[PIN]], 0.05)), "")</f>
        <v/>
      </c>
      <c r="AC48" s="319" t="str">
        <f>IFERROR(IF(tblPiNAnalysis5[[#This Row],[Protection]]="", "", MROUND(tblPiNAnalysis5[[#This Row],[Protection]]/tblPiNAnalysis5[[#This Row],[PIN]], 0.05)), "")</f>
        <v/>
      </c>
      <c r="AD48" s="319" t="str">
        <f>IFERROR(IF(tblPiNAnalysis5[[#This Row],[Shelter]]="", "", MROUND(tblPiNAnalysis5[[#This Row],[Shelter]]/tblPiNAnalysis5[[#This Row],[PIN]], 0.05)), "")</f>
        <v/>
      </c>
      <c r="AE48" s="320" t="str">
        <f>IFERROR(IF(tblPiNAnalysis5[[#This Row],[WASH]]="", "", MROUND(tblPiNAnalysis5[[#This Row],[WASH]]/tblPiNAnalysis5[[#This Row],[PIN]], 0.05)), "")</f>
        <v/>
      </c>
      <c r="AF48" s="488">
        <f>VLOOKUP(tblPiNAnalysis5[[#This Row],[ID]],tblPiNAnalysis[[ID]:[Final PiN]],63,FALSE)</f>
        <v>0</v>
      </c>
      <c r="AG48" s="488" t="str">
        <f>IFERROR(IF(tblPiNAnalysis5[[#This Row],[Final TARGET]]="", "", MROUND(tblPiNAnalysis5[[#This Row],[Final TARGET]]/tblPiNAnalysis5[[#This Row],[PIN]], 0.05)), "")</f>
        <v/>
      </c>
      <c r="AH48" s="322">
        <f>IF(MAX(tblPiNAnalysis5[[#This Row],[CCCM]:[WASH]])&lt;tblPiNAnalysis5[[#This Row],[PIN]],MAX(tblPiNAnalysis5[[#This Row],[CCCM]:[WASH]]),tblPiNAnalysis5[[#This Row],[PIN]])</f>
        <v>0</v>
      </c>
      <c r="AI48" s="326"/>
      <c r="AJ48" s="502">
        <f>tblPiNAnalysis5[[#This Row],[CCCM]]</f>
        <v>0</v>
      </c>
      <c r="AK48" s="500">
        <v>827</v>
      </c>
      <c r="AL48" s="500">
        <v>2854</v>
      </c>
      <c r="AM48" s="500">
        <f>IF(VLOOKUP(tblPiNAnalysis5[[#This Row],[Admin 2 P-Code]],tblSeverityAnalysis[[Admin 2 P-Code]:[WASH]],10,FALSE)&gt;=4,VLOOKUP(tblPiNAnalysis5[[#This Row],[Admin 2 P-Code]],tblPiNAnalysis[[Admin 2 P-Code]:[WASH]],10,FALSE),0)</f>
        <v>0</v>
      </c>
      <c r="AN48" s="503">
        <v>0</v>
      </c>
      <c r="AO48" s="500"/>
      <c r="AP48" s="516">
        <v>250</v>
      </c>
      <c r="AQ48" s="501">
        <v>672</v>
      </c>
      <c r="AR48" s="383">
        <f>MIN(tblPiNAnalysis5[[#This Row],[Final TARGET]],MAX(tblPiNAnalysis5[[#This Row],[CCCM_PRI]:[WASH_PRI]]))</f>
        <v>0</v>
      </c>
      <c r="AS48" s="383">
        <f>IF(VLOOKUP(tblPiNAnalysis5[[#This Row],[Admin 2 P-Code]],tblSeverityAnalysis[[Admin 2 P-Code]:[Final Severity]],43,FALSE)&gt;=4,VLOOKUP(tblPiNAnalysis5[[#This Row],[Admin 2 P-Code]],tblPiNAnalysis[[Admin 2 P-Code]:[WASH]],8,FALSE),0)</f>
        <v>0</v>
      </c>
    </row>
    <row r="49" spans="1:45" ht="16.5" customHeight="1">
      <c r="A4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Global_PopulationHT0361</v>
      </c>
      <c r="B49" s="304" t="s">
        <v>219</v>
      </c>
      <c r="C49" s="213" t="s">
        <v>220</v>
      </c>
      <c r="D49" s="213" t="s">
        <v>251</v>
      </c>
      <c r="E49" s="103" t="s">
        <v>252</v>
      </c>
      <c r="F49" s="99"/>
      <c r="G49" s="34"/>
      <c r="H49" s="34"/>
      <c r="I49" s="96">
        <v>90050</v>
      </c>
      <c r="J49" s="221" t="s">
        <v>156</v>
      </c>
      <c r="K49" s="427">
        <v>0</v>
      </c>
      <c r="L49" s="428">
        <v>3123</v>
      </c>
      <c r="M49" s="428">
        <v>6843</v>
      </c>
      <c r="N49" s="428">
        <v>15581</v>
      </c>
      <c r="O49" s="428">
        <v>0</v>
      </c>
      <c r="P49" s="428"/>
      <c r="Q49" s="428">
        <v>1038.7</v>
      </c>
      <c r="R49" s="428">
        <v>6991</v>
      </c>
      <c r="S49" s="428"/>
      <c r="T49" s="428"/>
      <c r="U49" s="428"/>
      <c r="V49" s="428"/>
      <c r="W49" s="308"/>
      <c r="X49" s="317">
        <f>IFERROR(IF(tblPiNAnalysis5[[#This Row],[CCCM]]="", "", MROUND(tblPiNAnalysis5[[#This Row],[CCCM]]/tblPiNAnalysis5[[#This Row],[PIN]], 0.05)), "")</f>
        <v>0</v>
      </c>
      <c r="Y49" s="318">
        <f>IFERROR(IF(tblPiNAnalysis5[[#This Row],[Education]]="", "", MROUND(tblPiNAnalysis5[[#This Row],[Education]]/tblPiNAnalysis5[[#This Row],[PIN]], 0.05)), "")</f>
        <v>0.05</v>
      </c>
      <c r="Z49" s="318">
        <f>IFERROR(IF(tblPiNAnalysis5[[#This Row],[Nutrition]]="", "", MROUND(tblPiNAnalysis5[[#This Row],[Nutrition]]/tblPiNAnalysis5[[#This Row],[PIN]], 0.05)), "")</f>
        <v>0.15000000000000002</v>
      </c>
      <c r="AA49" s="318">
        <f>IFERROR(IF(tblPiNAnalysis5[[#This Row],[Food Security]]="", "", MROUND(tblPiNAnalysis5[[#This Row],[Food Security]]/tblPiNAnalysis5[[#This Row],[PIN]], 0.05)), "")</f>
        <v>0.35000000000000003</v>
      </c>
      <c r="AB49" s="318">
        <f>IFERROR(IF(tblPiNAnalysis5[[#This Row],[Health]]="", "", MROUND(tblPiNAnalysis5[[#This Row],[Health]]/tblPiNAnalysis5[[#This Row],[PIN]], 0.05)), "")</f>
        <v>0</v>
      </c>
      <c r="AC49" s="319" t="str">
        <f>IFERROR(IF(tblPiNAnalysis5[[#This Row],[Protection]]="", "", MROUND(tblPiNAnalysis5[[#This Row],[Protection]]/tblPiNAnalysis5[[#This Row],[PIN]], 0.05)), "")</f>
        <v/>
      </c>
      <c r="AD49" s="319">
        <f>IFERROR(IF(tblPiNAnalysis5[[#This Row],[Shelter]]="", "", MROUND(tblPiNAnalysis5[[#This Row],[Shelter]]/tblPiNAnalysis5[[#This Row],[PIN]], 0.05)), "")</f>
        <v>0</v>
      </c>
      <c r="AE49" s="320">
        <f>IFERROR(IF(tblPiNAnalysis5[[#This Row],[WASH]]="", "", MROUND(tblPiNAnalysis5[[#This Row],[WASH]]/tblPiNAnalysis5[[#This Row],[PIN]], 0.05)), "")</f>
        <v>0.15000000000000002</v>
      </c>
      <c r="AF49" s="488">
        <f>VLOOKUP(tblPiNAnalysis5[[#This Row],[ID]],tblPiNAnalysis[[ID]:[Final PiN]],63,FALSE)</f>
        <v>45978</v>
      </c>
      <c r="AG49" s="488">
        <f>IFERROR(IF(tblPiNAnalysis5[[#This Row],[Final TARGET]]="", "", MROUND(tblPiNAnalysis5[[#This Row],[Final TARGET]]/tblPiNAnalysis5[[#This Row],[PIN]], 0.05)), "")</f>
        <v>0.35000000000000003</v>
      </c>
      <c r="AH49" s="322">
        <f>IF(MAX(tblPiNAnalysis5[[#This Row],[CCCM]:[WASH]])&lt;tblPiNAnalysis5[[#This Row],[PIN]],MAX(tblPiNAnalysis5[[#This Row],[CCCM]:[WASH]]),tblPiNAnalysis5[[#This Row],[PIN]])</f>
        <v>15581</v>
      </c>
      <c r="AI49" s="326"/>
      <c r="AJ49" s="502">
        <f>tblPiNAnalysis5[[#This Row],[CCCM]]</f>
        <v>0</v>
      </c>
      <c r="AK49" s="500">
        <v>1597</v>
      </c>
      <c r="AL49" s="500">
        <v>5074</v>
      </c>
      <c r="AM49" s="500">
        <f>IF(VLOOKUP(tblPiNAnalysis5[[#This Row],[Admin 2 P-Code]],tblSeverityAnalysis[[Admin 2 P-Code]:[WASH]],10,FALSE)&gt;=4,VLOOKUP(tblPiNAnalysis5[[#This Row],[Admin 2 P-Code]],tblPiNAnalysis[[Admin 2 P-Code]:[WASH]],10,FALSE),0)</f>
        <v>0</v>
      </c>
      <c r="AN49" s="503">
        <v>0</v>
      </c>
      <c r="AO49" s="500"/>
      <c r="AP49" s="516">
        <v>1039</v>
      </c>
      <c r="AQ49" s="501">
        <v>3495.5</v>
      </c>
      <c r="AR49" s="383">
        <f>MIN(tblPiNAnalysis5[[#This Row],[Final TARGET]],MAX(tblPiNAnalysis5[[#This Row],[CCCM_PRI]:[WASH_PRI]]))</f>
        <v>5074</v>
      </c>
      <c r="AS49" s="383">
        <f>IF(VLOOKUP(tblPiNAnalysis5[[#This Row],[Admin 2 P-Code]],tblSeverityAnalysis[[Admin 2 P-Code]:[Final Severity]],43,FALSE)&gt;=4,VLOOKUP(tblPiNAnalysis5[[#This Row],[Admin 2 P-Code]],tblPiNAnalysis[[Admin 2 P-Code]:[WASH]],8,FALSE),0)</f>
        <v>0</v>
      </c>
    </row>
    <row r="50" spans="1:45" ht="16.5" customHeight="1">
      <c r="A5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Global_PopulationHT0362</v>
      </c>
      <c r="B50" s="304" t="s">
        <v>219</v>
      </c>
      <c r="C50" s="213" t="s">
        <v>220</v>
      </c>
      <c r="D50" s="213" t="s">
        <v>253</v>
      </c>
      <c r="E50" s="103" t="s">
        <v>254</v>
      </c>
      <c r="F50" s="99"/>
      <c r="G50" s="34"/>
      <c r="H50" s="34"/>
      <c r="I50" s="96">
        <v>22052</v>
      </c>
      <c r="J50" s="221" t="s">
        <v>156</v>
      </c>
      <c r="K50" s="427">
        <v>0</v>
      </c>
      <c r="L50" s="428">
        <v>776</v>
      </c>
      <c r="M50" s="428">
        <v>1590</v>
      </c>
      <c r="N50" s="428">
        <v>3817</v>
      </c>
      <c r="O50" s="428">
        <v>0</v>
      </c>
      <c r="P50" s="428"/>
      <c r="Q50" s="428">
        <v>99.5</v>
      </c>
      <c r="R50" s="428">
        <v>100</v>
      </c>
      <c r="S50" s="428"/>
      <c r="T50" s="428"/>
      <c r="U50" s="428"/>
      <c r="V50" s="428"/>
      <c r="W50" s="308"/>
      <c r="X50" s="317" t="str">
        <f>IFERROR(IF(tblPiNAnalysis5[[#This Row],[CCCM]]="", "", MROUND(tblPiNAnalysis5[[#This Row],[CCCM]]/tblPiNAnalysis5[[#This Row],[PIN]], 0.05)), "")</f>
        <v/>
      </c>
      <c r="Y50" s="318" t="str">
        <f>IFERROR(IF(tblPiNAnalysis5[[#This Row],[Education]]="", "", MROUND(tblPiNAnalysis5[[#This Row],[Education]]/tblPiNAnalysis5[[#This Row],[PIN]], 0.05)), "")</f>
        <v/>
      </c>
      <c r="Z50" s="318" t="str">
        <f>IFERROR(IF(tblPiNAnalysis5[[#This Row],[Nutrition]]="", "", MROUND(tblPiNAnalysis5[[#This Row],[Nutrition]]/tblPiNAnalysis5[[#This Row],[PIN]], 0.05)), "")</f>
        <v/>
      </c>
      <c r="AA50" s="318" t="str">
        <f>IFERROR(IF(tblPiNAnalysis5[[#This Row],[Food Security]]="", "", MROUND(tblPiNAnalysis5[[#This Row],[Food Security]]/tblPiNAnalysis5[[#This Row],[PIN]], 0.05)), "")</f>
        <v/>
      </c>
      <c r="AB50" s="318" t="str">
        <f>IFERROR(IF(tblPiNAnalysis5[[#This Row],[Health]]="", "", MROUND(tblPiNAnalysis5[[#This Row],[Health]]/tblPiNAnalysis5[[#This Row],[PIN]], 0.05)), "")</f>
        <v/>
      </c>
      <c r="AC50" s="319" t="str">
        <f>IFERROR(IF(tblPiNAnalysis5[[#This Row],[Protection]]="", "", MROUND(tblPiNAnalysis5[[#This Row],[Protection]]/tblPiNAnalysis5[[#This Row],[PIN]], 0.05)), "")</f>
        <v/>
      </c>
      <c r="AD50" s="319" t="str">
        <f>IFERROR(IF(tblPiNAnalysis5[[#This Row],[Shelter]]="", "", MROUND(tblPiNAnalysis5[[#This Row],[Shelter]]/tblPiNAnalysis5[[#This Row],[PIN]], 0.05)), "")</f>
        <v/>
      </c>
      <c r="AE50" s="320" t="str">
        <f>IFERROR(IF(tblPiNAnalysis5[[#This Row],[WASH]]="", "", MROUND(tblPiNAnalysis5[[#This Row],[WASH]]/tblPiNAnalysis5[[#This Row],[PIN]], 0.05)), "")</f>
        <v/>
      </c>
      <c r="AF50" s="488">
        <f>VLOOKUP(tblPiNAnalysis5[[#This Row],[ID]],tblPiNAnalysis[[ID]:[Final PiN]],63,FALSE)</f>
        <v>0</v>
      </c>
      <c r="AG50" s="488" t="str">
        <f>IFERROR(IF(tblPiNAnalysis5[[#This Row],[Final TARGET]]="", "", MROUND(tblPiNAnalysis5[[#This Row],[Final TARGET]]/tblPiNAnalysis5[[#This Row],[PIN]], 0.05)), "")</f>
        <v/>
      </c>
      <c r="AH50" s="322">
        <f>IF(MAX(tblPiNAnalysis5[[#This Row],[CCCM]:[WASH]])&lt;tblPiNAnalysis5[[#This Row],[PIN]],MAX(tblPiNAnalysis5[[#This Row],[CCCM]:[WASH]]),tblPiNAnalysis5[[#This Row],[PIN]])</f>
        <v>0</v>
      </c>
      <c r="AI50" s="326"/>
      <c r="AJ50" s="502">
        <f>tblPiNAnalysis5[[#This Row],[CCCM]]</f>
        <v>0</v>
      </c>
      <c r="AK50" s="500">
        <v>335</v>
      </c>
      <c r="AL50" s="500">
        <v>1182</v>
      </c>
      <c r="AM50" s="500">
        <f>IF(VLOOKUP(tblPiNAnalysis5[[#This Row],[Admin 2 P-Code]],tblSeverityAnalysis[[Admin 2 P-Code]:[WASH]],10,FALSE)&gt;=4,VLOOKUP(tblPiNAnalysis5[[#This Row],[Admin 2 P-Code]],tblPiNAnalysis[[Admin 2 P-Code]:[WASH]],10,FALSE),0)</f>
        <v>0</v>
      </c>
      <c r="AN50" s="503">
        <v>0</v>
      </c>
      <c r="AO50" s="500"/>
      <c r="AP50" s="516">
        <v>100</v>
      </c>
      <c r="AQ50" s="501">
        <v>50</v>
      </c>
      <c r="AR50" s="383">
        <f>MIN(tblPiNAnalysis5[[#This Row],[Final TARGET]],MAX(tblPiNAnalysis5[[#This Row],[CCCM_PRI]:[WASH_PRI]]))</f>
        <v>0</v>
      </c>
      <c r="AS50" s="383">
        <f>IF(VLOOKUP(tblPiNAnalysis5[[#This Row],[Admin 2 P-Code]],tblSeverityAnalysis[[Admin 2 P-Code]:[Final Severity]],43,FALSE)&gt;=4,VLOOKUP(tblPiNAnalysis5[[#This Row],[Admin 2 P-Code]],tblPiNAnalysis[[Admin 2 P-Code]:[WASH]],8,FALSE),0)</f>
        <v>0</v>
      </c>
    </row>
    <row r="51" spans="1:45" ht="16.5" customHeight="1">
      <c r="A5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Global_PopulationHT0371</v>
      </c>
      <c r="B51" s="304" t="s">
        <v>219</v>
      </c>
      <c r="C51" s="213" t="s">
        <v>220</v>
      </c>
      <c r="D51" s="213" t="s">
        <v>255</v>
      </c>
      <c r="E51" s="103" t="s">
        <v>256</v>
      </c>
      <c r="F51" s="99"/>
      <c r="G51" s="34"/>
      <c r="H51" s="34"/>
      <c r="I51" s="96">
        <v>76929</v>
      </c>
      <c r="J51" s="221" t="s">
        <v>156</v>
      </c>
      <c r="K51" s="427">
        <v>0</v>
      </c>
      <c r="L51" s="428">
        <v>3159</v>
      </c>
      <c r="M51" s="428">
        <v>6094</v>
      </c>
      <c r="N51" s="428">
        <v>12710</v>
      </c>
      <c r="O51" s="428">
        <v>6636.1392902517382</v>
      </c>
      <c r="P51" s="428"/>
      <c r="Q51" s="428">
        <v>1456.2</v>
      </c>
      <c r="R51" s="428">
        <v>12035</v>
      </c>
      <c r="S51" s="428"/>
      <c r="T51" s="428"/>
      <c r="U51" s="428"/>
      <c r="V51" s="428"/>
      <c r="W51" s="308"/>
      <c r="X51" s="317">
        <f>IFERROR(IF(tblPiNAnalysis5[[#This Row],[CCCM]]="", "", MROUND(tblPiNAnalysis5[[#This Row],[CCCM]]/tblPiNAnalysis5[[#This Row],[PIN]], 0.05)), "")</f>
        <v>0</v>
      </c>
      <c r="Y51" s="318">
        <f>IFERROR(IF(tblPiNAnalysis5[[#This Row],[Education]]="", "", MROUND(tblPiNAnalysis5[[#This Row],[Education]]/tblPiNAnalysis5[[#This Row],[PIN]], 0.05)), "")</f>
        <v>0.1</v>
      </c>
      <c r="Z51" s="318">
        <f>IFERROR(IF(tblPiNAnalysis5[[#This Row],[Nutrition]]="", "", MROUND(tblPiNAnalysis5[[#This Row],[Nutrition]]/tblPiNAnalysis5[[#This Row],[PIN]], 0.05)), "")</f>
        <v>0.15000000000000002</v>
      </c>
      <c r="AA51" s="318">
        <f>IFERROR(IF(tblPiNAnalysis5[[#This Row],[Food Security]]="", "", MROUND(tblPiNAnalysis5[[#This Row],[Food Security]]/tblPiNAnalysis5[[#This Row],[PIN]], 0.05)), "")</f>
        <v>0.30000000000000004</v>
      </c>
      <c r="AB51" s="318">
        <f>IFERROR(IF(tblPiNAnalysis5[[#This Row],[Health]]="", "", MROUND(tblPiNAnalysis5[[#This Row],[Health]]/tblPiNAnalysis5[[#This Row],[PIN]], 0.05)), "")</f>
        <v>0.15000000000000002</v>
      </c>
      <c r="AC51" s="319" t="str">
        <f>IFERROR(IF(tblPiNAnalysis5[[#This Row],[Protection]]="", "", MROUND(tblPiNAnalysis5[[#This Row],[Protection]]/tblPiNAnalysis5[[#This Row],[PIN]], 0.05)), "")</f>
        <v/>
      </c>
      <c r="AD51" s="319">
        <f>IFERROR(IF(tblPiNAnalysis5[[#This Row],[Shelter]]="", "", MROUND(tblPiNAnalysis5[[#This Row],[Shelter]]/tblPiNAnalysis5[[#This Row],[PIN]], 0.05)), "")</f>
        <v>0.05</v>
      </c>
      <c r="AE51" s="320">
        <f>IFERROR(IF(tblPiNAnalysis5[[#This Row],[WASH]]="", "", MROUND(tblPiNAnalysis5[[#This Row],[WASH]]/tblPiNAnalysis5[[#This Row],[PIN]], 0.05)), "")</f>
        <v>0.30000000000000004</v>
      </c>
      <c r="AF51" s="488">
        <f>VLOOKUP(tblPiNAnalysis5[[#This Row],[ID]],tblPiNAnalysis[[ID]:[Final PiN]],63,FALSE)</f>
        <v>40576</v>
      </c>
      <c r="AG51" s="488">
        <f>IFERROR(IF(tblPiNAnalysis5[[#This Row],[Final TARGET]]="", "", MROUND(tblPiNAnalysis5[[#This Row],[Final TARGET]]/tblPiNAnalysis5[[#This Row],[PIN]], 0.05)), "")</f>
        <v>0.30000000000000004</v>
      </c>
      <c r="AH51" s="322">
        <f>IF(MAX(tblPiNAnalysis5[[#This Row],[CCCM]:[WASH]])&lt;tblPiNAnalysis5[[#This Row],[PIN]],MAX(tblPiNAnalysis5[[#This Row],[CCCM]:[WASH]]),tblPiNAnalysis5[[#This Row],[PIN]])</f>
        <v>12710</v>
      </c>
      <c r="AI51" s="326"/>
      <c r="AJ51" s="502">
        <f>tblPiNAnalysis5[[#This Row],[CCCM]]</f>
        <v>0</v>
      </c>
      <c r="AK51" s="500">
        <v>1846</v>
      </c>
      <c r="AL51" s="500">
        <v>4497</v>
      </c>
      <c r="AM51" s="500">
        <f>IF(VLOOKUP(tblPiNAnalysis5[[#This Row],[Admin 2 P-Code]],tblSeverityAnalysis[[Admin 2 P-Code]:[WASH]],10,FALSE)&gt;=4,VLOOKUP(tblPiNAnalysis5[[#This Row],[Admin 2 P-Code]],tblPiNAnalysis[[Admin 2 P-Code]:[WASH]],10,FALSE),0)</f>
        <v>0</v>
      </c>
      <c r="AN51" s="503">
        <v>0</v>
      </c>
      <c r="AO51" s="500"/>
      <c r="AP51" s="516">
        <v>1456</v>
      </c>
      <c r="AQ51" s="501">
        <v>6017.5</v>
      </c>
      <c r="AR51" s="383">
        <f>MIN(tblPiNAnalysis5[[#This Row],[Final TARGET]],MAX(tblPiNAnalysis5[[#This Row],[CCCM_PRI]:[WASH_PRI]]))</f>
        <v>6017.5</v>
      </c>
      <c r="AS51" s="383">
        <f>IF(VLOOKUP(tblPiNAnalysis5[[#This Row],[Admin 2 P-Code]],tblSeverityAnalysis[[Admin 2 P-Code]:[Final Severity]],43,FALSE)&gt;=4,VLOOKUP(tblPiNAnalysis5[[#This Row],[Admin 2 P-Code]],tblPiNAnalysis[[Admin 2 P-Code]:[WASH]],8,FALSE),0)</f>
        <v>0</v>
      </c>
    </row>
    <row r="52" spans="1:45" ht="16.5" customHeight="1">
      <c r="A5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Global_PopulationHT0372</v>
      </c>
      <c r="B52" s="304" t="s">
        <v>219</v>
      </c>
      <c r="C52" s="213" t="s">
        <v>220</v>
      </c>
      <c r="D52" s="213" t="s">
        <v>257</v>
      </c>
      <c r="E52" s="103" t="s">
        <v>258</v>
      </c>
      <c r="F52" s="99"/>
      <c r="G52" s="34"/>
      <c r="H52" s="34"/>
      <c r="I52" s="96">
        <v>60535</v>
      </c>
      <c r="J52" s="221" t="s">
        <v>156</v>
      </c>
      <c r="K52" s="427">
        <v>0</v>
      </c>
      <c r="L52" s="428">
        <v>2530</v>
      </c>
      <c r="M52" s="428">
        <v>4571</v>
      </c>
      <c r="N52" s="428">
        <v>9873</v>
      </c>
      <c r="O52" s="428">
        <v>0</v>
      </c>
      <c r="P52" s="428"/>
      <c r="Q52" s="428">
        <v>570.30000000000007</v>
      </c>
      <c r="R52" s="428">
        <v>5640</v>
      </c>
      <c r="S52" s="428"/>
      <c r="T52" s="428"/>
      <c r="U52" s="428"/>
      <c r="V52" s="428"/>
      <c r="W52" s="308"/>
      <c r="X52" s="317">
        <f>IFERROR(IF(tblPiNAnalysis5[[#This Row],[CCCM]]="", "", MROUND(tblPiNAnalysis5[[#This Row],[CCCM]]/tblPiNAnalysis5[[#This Row],[PIN]], 0.05)), "")</f>
        <v>0</v>
      </c>
      <c r="Y52" s="318">
        <f>IFERROR(IF(tblPiNAnalysis5[[#This Row],[Education]]="", "", MROUND(tblPiNAnalysis5[[#This Row],[Education]]/tblPiNAnalysis5[[#This Row],[PIN]], 0.05)), "")</f>
        <v>0.1</v>
      </c>
      <c r="Z52" s="318">
        <f>IFERROR(IF(tblPiNAnalysis5[[#This Row],[Nutrition]]="", "", MROUND(tblPiNAnalysis5[[#This Row],[Nutrition]]/tblPiNAnalysis5[[#This Row],[PIN]], 0.05)), "")</f>
        <v>0.15000000000000002</v>
      </c>
      <c r="AA52" s="318">
        <f>IFERROR(IF(tblPiNAnalysis5[[#This Row],[Food Security]]="", "", MROUND(tblPiNAnalysis5[[#This Row],[Food Security]]/tblPiNAnalysis5[[#This Row],[PIN]], 0.05)), "")</f>
        <v>0.35000000000000003</v>
      </c>
      <c r="AB52" s="318">
        <f>IFERROR(IF(tblPiNAnalysis5[[#This Row],[Health]]="", "", MROUND(tblPiNAnalysis5[[#This Row],[Health]]/tblPiNAnalysis5[[#This Row],[PIN]], 0.05)), "")</f>
        <v>0</v>
      </c>
      <c r="AC52" s="319" t="str">
        <f>IFERROR(IF(tblPiNAnalysis5[[#This Row],[Protection]]="", "", MROUND(tblPiNAnalysis5[[#This Row],[Protection]]/tblPiNAnalysis5[[#This Row],[PIN]], 0.05)), "")</f>
        <v/>
      </c>
      <c r="AD52" s="319">
        <f>IFERROR(IF(tblPiNAnalysis5[[#This Row],[Shelter]]="", "", MROUND(tblPiNAnalysis5[[#This Row],[Shelter]]/tblPiNAnalysis5[[#This Row],[PIN]], 0.05)), "")</f>
        <v>0</v>
      </c>
      <c r="AE52" s="320">
        <f>IFERROR(IF(tblPiNAnalysis5[[#This Row],[WASH]]="", "", MROUND(tblPiNAnalysis5[[#This Row],[WASH]]/tblPiNAnalysis5[[#This Row],[PIN]], 0.05)), "")</f>
        <v>0.2</v>
      </c>
      <c r="AF52" s="488">
        <f>VLOOKUP(tblPiNAnalysis5[[#This Row],[ID]],tblPiNAnalysis[[ID]:[Final PiN]],63,FALSE)</f>
        <v>29133</v>
      </c>
      <c r="AG52" s="488">
        <f>IFERROR(IF(tblPiNAnalysis5[[#This Row],[Final TARGET]]="", "", MROUND(tblPiNAnalysis5[[#This Row],[Final TARGET]]/tblPiNAnalysis5[[#This Row],[PIN]], 0.05)), "")</f>
        <v>0.35000000000000003</v>
      </c>
      <c r="AH52" s="322">
        <f>IF(MAX(tblPiNAnalysis5[[#This Row],[CCCM]:[WASH]])&lt;tblPiNAnalysis5[[#This Row],[PIN]],MAX(tblPiNAnalysis5[[#This Row],[CCCM]:[WASH]]),tblPiNAnalysis5[[#This Row],[PIN]])</f>
        <v>9873</v>
      </c>
      <c r="AI52" s="326"/>
      <c r="AJ52" s="502">
        <f>tblPiNAnalysis5[[#This Row],[CCCM]]</f>
        <v>0</v>
      </c>
      <c r="AK52" s="500">
        <v>1339</v>
      </c>
      <c r="AL52" s="500">
        <v>3379</v>
      </c>
      <c r="AM52" s="500">
        <f>IF(VLOOKUP(tblPiNAnalysis5[[#This Row],[Admin 2 P-Code]],tblSeverityAnalysis[[Admin 2 P-Code]:[WASH]],10,FALSE)&gt;=4,VLOOKUP(tblPiNAnalysis5[[#This Row],[Admin 2 P-Code]],tblPiNAnalysis[[Admin 2 P-Code]:[WASH]],10,FALSE),0)</f>
        <v>0</v>
      </c>
      <c r="AN52" s="503">
        <v>0</v>
      </c>
      <c r="AO52" s="500"/>
      <c r="AP52" s="516">
        <v>570</v>
      </c>
      <c r="AQ52" s="501">
        <v>2820</v>
      </c>
      <c r="AR52" s="383">
        <f>MIN(tblPiNAnalysis5[[#This Row],[Final TARGET]],MAX(tblPiNAnalysis5[[#This Row],[CCCM_PRI]:[WASH_PRI]]))</f>
        <v>3379</v>
      </c>
      <c r="AS52" s="383">
        <f>IF(VLOOKUP(tblPiNAnalysis5[[#This Row],[Admin 2 P-Code]],tblSeverityAnalysis[[Admin 2 P-Code]:[Final Severity]],43,FALSE)&gt;=4,VLOOKUP(tblPiNAnalysis5[[#This Row],[Admin 2 P-Code]],tblPiNAnalysis[[Admin 2 P-Code]:[WASH]],8,FALSE),0)</f>
        <v>0</v>
      </c>
    </row>
    <row r="53" spans="1:45" ht="16.5" customHeight="1">
      <c r="A5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Global_PopulationHT0411</v>
      </c>
      <c r="B53" s="304" t="s">
        <v>259</v>
      </c>
      <c r="C53" s="213" t="s">
        <v>260</v>
      </c>
      <c r="D53" s="213" t="s">
        <v>261</v>
      </c>
      <c r="E53" s="103" t="s">
        <v>262</v>
      </c>
      <c r="F53" s="99"/>
      <c r="G53" s="34"/>
      <c r="H53" s="34"/>
      <c r="I53" s="96">
        <v>40129</v>
      </c>
      <c r="J53" s="221" t="s">
        <v>156</v>
      </c>
      <c r="K53" s="427">
        <v>170</v>
      </c>
      <c r="L53" s="428">
        <v>2314</v>
      </c>
      <c r="M53" s="428">
        <v>2779</v>
      </c>
      <c r="N53" s="428">
        <v>7666</v>
      </c>
      <c r="O53" s="428">
        <v>0</v>
      </c>
      <c r="P53" s="428"/>
      <c r="Q53" s="428">
        <v>347.6</v>
      </c>
      <c r="R53" s="428">
        <v>633</v>
      </c>
      <c r="S53" s="428"/>
      <c r="T53" s="428"/>
      <c r="U53" s="428"/>
      <c r="V53" s="428"/>
      <c r="W53" s="308"/>
      <c r="X53" s="317">
        <f>IFERROR(IF(tblPiNAnalysis5[[#This Row],[CCCM]]="", "", MROUND(tblPiNAnalysis5[[#This Row],[CCCM]]/tblPiNAnalysis5[[#This Row],[PIN]], 0.05)), "")</f>
        <v>0</v>
      </c>
      <c r="Y53" s="318">
        <f>IFERROR(IF(tblPiNAnalysis5[[#This Row],[Education]]="", "", MROUND(tblPiNAnalysis5[[#This Row],[Education]]/tblPiNAnalysis5[[#This Row],[PIN]], 0.05)), "")</f>
        <v>0.1</v>
      </c>
      <c r="Z53" s="318">
        <f>IFERROR(IF(tblPiNAnalysis5[[#This Row],[Nutrition]]="", "", MROUND(tblPiNAnalysis5[[#This Row],[Nutrition]]/tblPiNAnalysis5[[#This Row],[PIN]], 0.05)), "")</f>
        <v>0.15000000000000002</v>
      </c>
      <c r="AA53" s="318">
        <f>IFERROR(IF(tblPiNAnalysis5[[#This Row],[Food Security]]="", "", MROUND(tblPiNAnalysis5[[#This Row],[Food Security]]/tblPiNAnalysis5[[#This Row],[PIN]], 0.05)), "")</f>
        <v>0.4</v>
      </c>
      <c r="AB53" s="318">
        <f>IFERROR(IF(tblPiNAnalysis5[[#This Row],[Health]]="", "", MROUND(tblPiNAnalysis5[[#This Row],[Health]]/tblPiNAnalysis5[[#This Row],[PIN]], 0.05)), "")</f>
        <v>0</v>
      </c>
      <c r="AC53" s="319" t="str">
        <f>IFERROR(IF(tblPiNAnalysis5[[#This Row],[Protection]]="", "", MROUND(tblPiNAnalysis5[[#This Row],[Protection]]/tblPiNAnalysis5[[#This Row],[PIN]], 0.05)), "")</f>
        <v/>
      </c>
      <c r="AD53" s="319">
        <f>IFERROR(IF(tblPiNAnalysis5[[#This Row],[Shelter]]="", "", MROUND(tblPiNAnalysis5[[#This Row],[Shelter]]/tblPiNAnalysis5[[#This Row],[PIN]], 0.05)), "")</f>
        <v>0</v>
      </c>
      <c r="AE53" s="320">
        <f>IFERROR(IF(tblPiNAnalysis5[[#This Row],[WASH]]="", "", MROUND(tblPiNAnalysis5[[#This Row],[WASH]]/tblPiNAnalysis5[[#This Row],[PIN]], 0.05)), "")</f>
        <v>0.05</v>
      </c>
      <c r="AF53" s="488">
        <f>VLOOKUP(tblPiNAnalysis5[[#This Row],[ID]],tblPiNAnalysis[[ID]:[Final PiN]],63,FALSE)</f>
        <v>18928</v>
      </c>
      <c r="AG53" s="488">
        <f>IFERROR(IF(tblPiNAnalysis5[[#This Row],[Final TARGET]]="", "", MROUND(tblPiNAnalysis5[[#This Row],[Final TARGET]]/tblPiNAnalysis5[[#This Row],[PIN]], 0.05)), "")</f>
        <v>0.4</v>
      </c>
      <c r="AH53" s="322">
        <f>IF(MAX(tblPiNAnalysis5[[#This Row],[CCCM]:[WASH]])&lt;tblPiNAnalysis5[[#This Row],[PIN]],MAX(tblPiNAnalysis5[[#This Row],[CCCM]:[WASH]]),tblPiNAnalysis5[[#This Row],[PIN]])</f>
        <v>7666</v>
      </c>
      <c r="AI53" s="326"/>
      <c r="AJ53" s="502">
        <f>tblPiNAnalysis5[[#This Row],[CCCM]]</f>
        <v>170</v>
      </c>
      <c r="AK53" s="500">
        <v>1093</v>
      </c>
      <c r="AL53" s="500">
        <v>2041</v>
      </c>
      <c r="AM53" s="500">
        <f>IF(VLOOKUP(tblPiNAnalysis5[[#This Row],[Admin 2 P-Code]],tblSeverityAnalysis[[Admin 2 P-Code]:[WASH]],10,FALSE)&gt;=4,VLOOKUP(tblPiNAnalysis5[[#This Row],[Admin 2 P-Code]],tblPiNAnalysis[[Admin 2 P-Code]:[WASH]],10,FALSE),0)</f>
        <v>0</v>
      </c>
      <c r="AN53" s="503">
        <v>0</v>
      </c>
      <c r="AO53" s="500"/>
      <c r="AP53" s="516">
        <v>348</v>
      </c>
      <c r="AQ53" s="501">
        <v>316.5</v>
      </c>
      <c r="AR53" s="383">
        <f>MIN(tblPiNAnalysis5[[#This Row],[Final TARGET]],MAX(tblPiNAnalysis5[[#This Row],[CCCM_PRI]:[WASH_PRI]]))</f>
        <v>2041</v>
      </c>
      <c r="AS53" s="383">
        <f>IF(VLOOKUP(tblPiNAnalysis5[[#This Row],[Admin 2 P-Code]],tblSeverityAnalysis[[Admin 2 P-Code]:[Final Severity]],43,FALSE)&gt;=4,VLOOKUP(tblPiNAnalysis5[[#This Row],[Admin 2 P-Code]],tblPiNAnalysis[[Admin 2 P-Code]:[WASH]],8,FALSE),0)</f>
        <v>0</v>
      </c>
    </row>
    <row r="54" spans="1:45" ht="16.5" customHeight="1">
      <c r="A5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Global_PopulationHT0412</v>
      </c>
      <c r="B54" s="304" t="s">
        <v>259</v>
      </c>
      <c r="C54" s="213" t="s">
        <v>260</v>
      </c>
      <c r="D54" s="213" t="s">
        <v>263</v>
      </c>
      <c r="E54" s="103" t="s">
        <v>264</v>
      </c>
      <c r="F54" s="99"/>
      <c r="G54" s="34"/>
      <c r="H54" s="34"/>
      <c r="I54" s="96">
        <v>17054</v>
      </c>
      <c r="J54" s="221" t="s">
        <v>156</v>
      </c>
      <c r="K54" s="427">
        <v>0</v>
      </c>
      <c r="L54" s="428">
        <v>1143</v>
      </c>
      <c r="M54" s="428">
        <v>1025</v>
      </c>
      <c r="N54" s="428">
        <v>3260</v>
      </c>
      <c r="O54" s="428">
        <v>0</v>
      </c>
      <c r="P54" s="428"/>
      <c r="Q54" s="428">
        <v>39</v>
      </c>
      <c r="R54" s="428">
        <v>185</v>
      </c>
      <c r="S54" s="428"/>
      <c r="T54" s="428"/>
      <c r="U54" s="428"/>
      <c r="V54" s="428"/>
      <c r="W54" s="308"/>
      <c r="X54" s="317">
        <f>IFERROR(IF(tblPiNAnalysis5[[#This Row],[CCCM]]="", "", MROUND(tblPiNAnalysis5[[#This Row],[CCCM]]/tblPiNAnalysis5[[#This Row],[PIN]], 0.05)), "")</f>
        <v>0</v>
      </c>
      <c r="Y54" s="318">
        <f>IFERROR(IF(tblPiNAnalysis5[[#This Row],[Education]]="", "", MROUND(tblPiNAnalysis5[[#This Row],[Education]]/tblPiNAnalysis5[[#This Row],[PIN]], 0.05)), "")</f>
        <v>0.15000000000000002</v>
      </c>
      <c r="Z54" s="318">
        <f>IFERROR(IF(tblPiNAnalysis5[[#This Row],[Nutrition]]="", "", MROUND(tblPiNAnalysis5[[#This Row],[Nutrition]]/tblPiNAnalysis5[[#This Row],[PIN]], 0.05)), "")</f>
        <v>0.15000000000000002</v>
      </c>
      <c r="AA54" s="318">
        <f>IFERROR(IF(tblPiNAnalysis5[[#This Row],[Food Security]]="", "", MROUND(tblPiNAnalysis5[[#This Row],[Food Security]]/tblPiNAnalysis5[[#This Row],[PIN]], 0.05)), "")</f>
        <v>0.4</v>
      </c>
      <c r="AB54" s="318">
        <f>IFERROR(IF(tblPiNAnalysis5[[#This Row],[Health]]="", "", MROUND(tblPiNAnalysis5[[#This Row],[Health]]/tblPiNAnalysis5[[#This Row],[PIN]], 0.05)), "")</f>
        <v>0</v>
      </c>
      <c r="AC54" s="319" t="str">
        <f>IFERROR(IF(tblPiNAnalysis5[[#This Row],[Protection]]="", "", MROUND(tblPiNAnalysis5[[#This Row],[Protection]]/tblPiNAnalysis5[[#This Row],[PIN]], 0.05)), "")</f>
        <v/>
      </c>
      <c r="AD54" s="319">
        <f>IFERROR(IF(tblPiNAnalysis5[[#This Row],[Shelter]]="", "", MROUND(tblPiNAnalysis5[[#This Row],[Shelter]]/tblPiNAnalysis5[[#This Row],[PIN]], 0.05)), "")</f>
        <v>0</v>
      </c>
      <c r="AE54" s="320">
        <f>IFERROR(IF(tblPiNAnalysis5[[#This Row],[WASH]]="", "", MROUND(tblPiNAnalysis5[[#This Row],[WASH]]/tblPiNAnalysis5[[#This Row],[PIN]], 0.05)), "")</f>
        <v>0</v>
      </c>
      <c r="AF54" s="488">
        <f>VLOOKUP(tblPiNAnalysis5[[#This Row],[ID]],tblPiNAnalysis[[ID]:[Final PiN]],63,FALSE)</f>
        <v>8049</v>
      </c>
      <c r="AG54" s="488">
        <f>IFERROR(IF(tblPiNAnalysis5[[#This Row],[Final TARGET]]="", "", MROUND(tblPiNAnalysis5[[#This Row],[Final TARGET]]/tblPiNAnalysis5[[#This Row],[PIN]], 0.05)), "")</f>
        <v>0.4</v>
      </c>
      <c r="AH54" s="322">
        <f>IF(MAX(tblPiNAnalysis5[[#This Row],[CCCM]:[WASH]])&lt;tblPiNAnalysis5[[#This Row],[PIN]],MAX(tblPiNAnalysis5[[#This Row],[CCCM]:[WASH]]),tblPiNAnalysis5[[#This Row],[PIN]])</f>
        <v>3260</v>
      </c>
      <c r="AI54" s="326"/>
      <c r="AJ54" s="502">
        <f>tblPiNAnalysis5[[#This Row],[CCCM]]</f>
        <v>0</v>
      </c>
      <c r="AK54" s="500">
        <v>527</v>
      </c>
      <c r="AL54" s="500">
        <v>729</v>
      </c>
      <c r="AM54" s="500">
        <f>IF(VLOOKUP(tblPiNAnalysis5[[#This Row],[Admin 2 P-Code]],tblSeverityAnalysis[[Admin 2 P-Code]:[WASH]],10,FALSE)&gt;=4,VLOOKUP(tblPiNAnalysis5[[#This Row],[Admin 2 P-Code]],tblPiNAnalysis[[Admin 2 P-Code]:[WASH]],10,FALSE),0)</f>
        <v>0</v>
      </c>
      <c r="AN54" s="503">
        <v>0</v>
      </c>
      <c r="AO54" s="500"/>
      <c r="AP54" s="516">
        <v>39</v>
      </c>
      <c r="AQ54" s="501">
        <v>92.5</v>
      </c>
      <c r="AR54" s="383">
        <f>MIN(tblPiNAnalysis5[[#This Row],[Final TARGET]],MAX(tblPiNAnalysis5[[#This Row],[CCCM_PRI]:[WASH_PRI]]))</f>
        <v>729</v>
      </c>
      <c r="AS54" s="383">
        <f>IF(VLOOKUP(tblPiNAnalysis5[[#This Row],[Admin 2 P-Code]],tblSeverityAnalysis[[Admin 2 P-Code]:[Final Severity]],43,FALSE)&gt;=4,VLOOKUP(tblPiNAnalysis5[[#This Row],[Admin 2 P-Code]],tblPiNAnalysis[[Admin 2 P-Code]:[WASH]],8,FALSE),0)</f>
        <v>0</v>
      </c>
    </row>
    <row r="55" spans="1:45" ht="16.5" customHeight="1">
      <c r="A5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Global_PopulationHT0413</v>
      </c>
      <c r="B55" s="304" t="s">
        <v>259</v>
      </c>
      <c r="C55" s="213" t="s">
        <v>260</v>
      </c>
      <c r="D55" s="213" t="s">
        <v>265</v>
      </c>
      <c r="E55" s="103" t="s">
        <v>266</v>
      </c>
      <c r="F55" s="99"/>
      <c r="G55" s="34"/>
      <c r="H55" s="34"/>
      <c r="I55" s="96">
        <v>13700</v>
      </c>
      <c r="J55" s="221" t="s">
        <v>156</v>
      </c>
      <c r="K55" s="427">
        <v>0</v>
      </c>
      <c r="L55" s="428">
        <v>837</v>
      </c>
      <c r="M55" s="428">
        <v>831</v>
      </c>
      <c r="N55" s="428">
        <v>2573</v>
      </c>
      <c r="O55" s="428">
        <v>0</v>
      </c>
      <c r="P55" s="428"/>
      <c r="Q55" s="428">
        <v>56.800000000000004</v>
      </c>
      <c r="R55" s="428">
        <v>473</v>
      </c>
      <c r="S55" s="428"/>
      <c r="T55" s="428"/>
      <c r="U55" s="428"/>
      <c r="V55" s="428"/>
      <c r="W55" s="308"/>
      <c r="X55" s="317">
        <f>IFERROR(IF(tblPiNAnalysis5[[#This Row],[CCCM]]="", "", MROUND(tblPiNAnalysis5[[#This Row],[CCCM]]/tblPiNAnalysis5[[#This Row],[PIN]], 0.05)), "")</f>
        <v>0</v>
      </c>
      <c r="Y55" s="318">
        <f>IFERROR(IF(tblPiNAnalysis5[[#This Row],[Education]]="", "", MROUND(tblPiNAnalysis5[[#This Row],[Education]]/tblPiNAnalysis5[[#This Row],[PIN]], 0.05)), "")</f>
        <v>0.1</v>
      </c>
      <c r="Z55" s="318">
        <f>IFERROR(IF(tblPiNAnalysis5[[#This Row],[Nutrition]]="", "", MROUND(tblPiNAnalysis5[[#This Row],[Nutrition]]/tblPiNAnalysis5[[#This Row],[PIN]], 0.05)), "")</f>
        <v>0.1</v>
      </c>
      <c r="AA55" s="318">
        <f>IFERROR(IF(tblPiNAnalysis5[[#This Row],[Food Security]]="", "", MROUND(tblPiNAnalysis5[[#This Row],[Food Security]]/tblPiNAnalysis5[[#This Row],[PIN]], 0.05)), "")</f>
        <v>0.25</v>
      </c>
      <c r="AB55" s="318">
        <f>IFERROR(IF(tblPiNAnalysis5[[#This Row],[Health]]="", "", MROUND(tblPiNAnalysis5[[#This Row],[Health]]/tblPiNAnalysis5[[#This Row],[PIN]], 0.05)), "")</f>
        <v>0</v>
      </c>
      <c r="AC55" s="319" t="str">
        <f>IFERROR(IF(tblPiNAnalysis5[[#This Row],[Protection]]="", "", MROUND(tblPiNAnalysis5[[#This Row],[Protection]]/tblPiNAnalysis5[[#This Row],[PIN]], 0.05)), "")</f>
        <v/>
      </c>
      <c r="AD55" s="319">
        <f>IFERROR(IF(tblPiNAnalysis5[[#This Row],[Shelter]]="", "", MROUND(tblPiNAnalysis5[[#This Row],[Shelter]]/tblPiNAnalysis5[[#This Row],[PIN]], 0.05)), "")</f>
        <v>0</v>
      </c>
      <c r="AE55" s="320">
        <f>IFERROR(IF(tblPiNAnalysis5[[#This Row],[WASH]]="", "", MROUND(tblPiNAnalysis5[[#This Row],[WASH]]/tblPiNAnalysis5[[#This Row],[PIN]], 0.05)), "")</f>
        <v>0.05</v>
      </c>
      <c r="AF55" s="488">
        <f>VLOOKUP(tblPiNAnalysis5[[#This Row],[ID]],tblPiNAnalysis[[ID]:[Final PiN]],63,FALSE)</f>
        <v>10370</v>
      </c>
      <c r="AG55" s="488">
        <f>IFERROR(IF(tblPiNAnalysis5[[#This Row],[Final TARGET]]="", "", MROUND(tblPiNAnalysis5[[#This Row],[Final TARGET]]/tblPiNAnalysis5[[#This Row],[PIN]], 0.05)), "")</f>
        <v>0.25</v>
      </c>
      <c r="AH55" s="322">
        <f>IF(MAX(tblPiNAnalysis5[[#This Row],[CCCM]:[WASH]])&lt;tblPiNAnalysis5[[#This Row],[PIN]],MAX(tblPiNAnalysis5[[#This Row],[CCCM]:[WASH]]),tblPiNAnalysis5[[#This Row],[PIN]])</f>
        <v>2573</v>
      </c>
      <c r="AI55" s="326"/>
      <c r="AJ55" s="502">
        <f>tblPiNAnalysis5[[#This Row],[CCCM]]</f>
        <v>0</v>
      </c>
      <c r="AK55" s="500">
        <v>406</v>
      </c>
      <c r="AL55" s="500">
        <v>605</v>
      </c>
      <c r="AM55" s="500">
        <f>IF(VLOOKUP(tblPiNAnalysis5[[#This Row],[Admin 2 P-Code]],tblSeverityAnalysis[[Admin 2 P-Code]:[WASH]],10,FALSE)&gt;=4,VLOOKUP(tblPiNAnalysis5[[#This Row],[Admin 2 P-Code]],tblPiNAnalysis[[Admin 2 P-Code]:[WASH]],10,FALSE),0)</f>
        <v>0</v>
      </c>
      <c r="AN55" s="503">
        <v>0</v>
      </c>
      <c r="AO55" s="500"/>
      <c r="AP55" s="516">
        <v>57</v>
      </c>
      <c r="AQ55" s="501">
        <v>236.5</v>
      </c>
      <c r="AR55" s="383">
        <f>MIN(tblPiNAnalysis5[[#This Row],[Final TARGET]],MAX(tblPiNAnalysis5[[#This Row],[CCCM_PRI]:[WASH_PRI]]))</f>
        <v>605</v>
      </c>
      <c r="AS55" s="383">
        <f>IF(VLOOKUP(tblPiNAnalysis5[[#This Row],[Admin 2 P-Code]],tblSeverityAnalysis[[Admin 2 P-Code]:[Final Severity]],43,FALSE)&gt;=4,VLOOKUP(tblPiNAnalysis5[[#This Row],[Admin 2 P-Code]],tblPiNAnalysis[[Admin 2 P-Code]:[WASH]],8,FALSE),0)</f>
        <v>0</v>
      </c>
    </row>
    <row r="56" spans="1:45" ht="16.5" customHeight="1">
      <c r="A5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Global_PopulationHT0421</v>
      </c>
      <c r="B56" s="304" t="s">
        <v>259</v>
      </c>
      <c r="C56" s="213" t="s">
        <v>260</v>
      </c>
      <c r="D56" s="213" t="s">
        <v>267</v>
      </c>
      <c r="E56" s="103" t="s">
        <v>268</v>
      </c>
      <c r="F56" s="99"/>
      <c r="G56" s="34"/>
      <c r="H56" s="34"/>
      <c r="I56" s="96">
        <v>123320</v>
      </c>
      <c r="J56" s="221" t="s">
        <v>156</v>
      </c>
      <c r="K56" s="427">
        <v>0</v>
      </c>
      <c r="L56" s="428">
        <v>7244</v>
      </c>
      <c r="M56" s="428">
        <v>10481</v>
      </c>
      <c r="N56" s="428">
        <v>18560</v>
      </c>
      <c r="O56" s="428">
        <v>0</v>
      </c>
      <c r="P56" s="428"/>
      <c r="Q56" s="428">
        <v>925.90000000000009</v>
      </c>
      <c r="R56" s="428">
        <v>2672</v>
      </c>
      <c r="S56" s="428"/>
      <c r="T56" s="428"/>
      <c r="U56" s="428"/>
      <c r="V56" s="428"/>
      <c r="W56" s="308"/>
      <c r="X56" s="317">
        <f>IFERROR(IF(tblPiNAnalysis5[[#This Row],[CCCM]]="", "", MROUND(tblPiNAnalysis5[[#This Row],[CCCM]]/tblPiNAnalysis5[[#This Row],[PIN]], 0.05)), "")</f>
        <v>0</v>
      </c>
      <c r="Y56" s="318">
        <f>IFERROR(IF(tblPiNAnalysis5[[#This Row],[Education]]="", "", MROUND(tblPiNAnalysis5[[#This Row],[Education]]/tblPiNAnalysis5[[#This Row],[PIN]], 0.05)), "")</f>
        <v>0.15000000000000002</v>
      </c>
      <c r="Z56" s="318">
        <f>IFERROR(IF(tblPiNAnalysis5[[#This Row],[Nutrition]]="", "", MROUND(tblPiNAnalysis5[[#This Row],[Nutrition]]/tblPiNAnalysis5[[#This Row],[PIN]], 0.05)), "")</f>
        <v>0.2</v>
      </c>
      <c r="AA56" s="318">
        <f>IFERROR(IF(tblPiNAnalysis5[[#This Row],[Food Security]]="", "", MROUND(tblPiNAnalysis5[[#This Row],[Food Security]]/tblPiNAnalysis5[[#This Row],[PIN]], 0.05)), "")</f>
        <v>0.4</v>
      </c>
      <c r="AB56" s="318">
        <f>IFERROR(IF(tblPiNAnalysis5[[#This Row],[Health]]="", "", MROUND(tblPiNAnalysis5[[#This Row],[Health]]/tblPiNAnalysis5[[#This Row],[PIN]], 0.05)), "")</f>
        <v>0</v>
      </c>
      <c r="AC56" s="319" t="str">
        <f>IFERROR(IF(tblPiNAnalysis5[[#This Row],[Protection]]="", "", MROUND(tblPiNAnalysis5[[#This Row],[Protection]]/tblPiNAnalysis5[[#This Row],[PIN]], 0.05)), "")</f>
        <v/>
      </c>
      <c r="AD56" s="319">
        <f>IFERROR(IF(tblPiNAnalysis5[[#This Row],[Shelter]]="", "", MROUND(tblPiNAnalysis5[[#This Row],[Shelter]]/tblPiNAnalysis5[[#This Row],[PIN]], 0.05)), "")</f>
        <v>0</v>
      </c>
      <c r="AE56" s="320">
        <f>IFERROR(IF(tblPiNAnalysis5[[#This Row],[WASH]]="", "", MROUND(tblPiNAnalysis5[[#This Row],[WASH]]/tblPiNAnalysis5[[#This Row],[PIN]], 0.05)), "")</f>
        <v>0.05</v>
      </c>
      <c r="AF56" s="488">
        <f>VLOOKUP(tblPiNAnalysis5[[#This Row],[ID]],tblPiNAnalysis[[ID]:[Final PiN]],63,FALSE)</f>
        <v>46645</v>
      </c>
      <c r="AG56" s="488">
        <f>IFERROR(IF(tblPiNAnalysis5[[#This Row],[Final TARGET]]="", "", MROUND(tblPiNAnalysis5[[#This Row],[Final TARGET]]/tblPiNAnalysis5[[#This Row],[PIN]], 0.05)), "")</f>
        <v>0.4</v>
      </c>
      <c r="AH56" s="322">
        <f>IF(MAX(tblPiNAnalysis5[[#This Row],[CCCM]:[WASH]])&lt;tblPiNAnalysis5[[#This Row],[PIN]],MAX(tblPiNAnalysis5[[#This Row],[CCCM]:[WASH]]),tblPiNAnalysis5[[#This Row],[PIN]])</f>
        <v>18560</v>
      </c>
      <c r="AI56" s="326"/>
      <c r="AJ56" s="502">
        <f>tblPiNAnalysis5[[#This Row],[CCCM]]</f>
        <v>0</v>
      </c>
      <c r="AK56" s="500">
        <v>3430</v>
      </c>
      <c r="AL56" s="500">
        <v>8629</v>
      </c>
      <c r="AM56" s="500">
        <f>IF(VLOOKUP(tblPiNAnalysis5[[#This Row],[Admin 2 P-Code]],tblSeverityAnalysis[[Admin 2 P-Code]:[WASH]],10,FALSE)&gt;=4,VLOOKUP(tblPiNAnalysis5[[#This Row],[Admin 2 P-Code]],tblPiNAnalysis[[Admin 2 P-Code]:[WASH]],10,FALSE),0)</f>
        <v>0</v>
      </c>
      <c r="AN56" s="503">
        <v>0</v>
      </c>
      <c r="AO56" s="500"/>
      <c r="AP56" s="516">
        <v>926</v>
      </c>
      <c r="AQ56" s="501">
        <v>15288</v>
      </c>
      <c r="AR56" s="383">
        <f>MIN(tblPiNAnalysis5[[#This Row],[Final TARGET]],MAX(tblPiNAnalysis5[[#This Row],[CCCM_PRI]:[WASH_PRI]]))</f>
        <v>15288</v>
      </c>
      <c r="AS56" s="383">
        <f>IF(VLOOKUP(tblPiNAnalysis5[[#This Row],[Admin 2 P-Code]],tblSeverityAnalysis[[Admin 2 P-Code]:[Final Severity]],43,FALSE)&gt;=4,VLOOKUP(tblPiNAnalysis5[[#This Row],[Admin 2 P-Code]],tblPiNAnalysis[[Admin 2 P-Code]:[WASH]],8,FALSE),0)</f>
        <v>0</v>
      </c>
    </row>
    <row r="57" spans="1:45" ht="16.5" customHeight="1">
      <c r="A5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Global_PopulationHT0422</v>
      </c>
      <c r="B57" s="304" t="s">
        <v>259</v>
      </c>
      <c r="C57" s="213" t="s">
        <v>260</v>
      </c>
      <c r="D57" s="213" t="s">
        <v>269</v>
      </c>
      <c r="E57" s="103" t="s">
        <v>270</v>
      </c>
      <c r="F57" s="99"/>
      <c r="G57" s="34"/>
      <c r="H57" s="34"/>
      <c r="I57" s="96">
        <v>22559</v>
      </c>
      <c r="J57" s="221" t="s">
        <v>156</v>
      </c>
      <c r="K57" s="427">
        <v>0</v>
      </c>
      <c r="L57" s="428">
        <v>1384</v>
      </c>
      <c r="M57" s="428">
        <v>1483</v>
      </c>
      <c r="N57" s="428">
        <v>4315</v>
      </c>
      <c r="O57" s="428">
        <v>0</v>
      </c>
      <c r="P57" s="428"/>
      <c r="Q57" s="428">
        <v>53.7</v>
      </c>
      <c r="R57" s="428">
        <v>94</v>
      </c>
      <c r="S57" s="428"/>
      <c r="T57" s="428"/>
      <c r="U57" s="428"/>
      <c r="V57" s="428"/>
      <c r="W57" s="308"/>
      <c r="X57" s="317">
        <f>IFERROR(IF(tblPiNAnalysis5[[#This Row],[CCCM]]="", "", MROUND(tblPiNAnalysis5[[#This Row],[CCCM]]/tblPiNAnalysis5[[#This Row],[PIN]], 0.05)), "")</f>
        <v>0</v>
      </c>
      <c r="Y57" s="318">
        <f>IFERROR(IF(tblPiNAnalysis5[[#This Row],[Education]]="", "", MROUND(tblPiNAnalysis5[[#This Row],[Education]]/tblPiNAnalysis5[[#This Row],[PIN]], 0.05)), "")</f>
        <v>0.15000000000000002</v>
      </c>
      <c r="Z57" s="318">
        <f>IFERROR(IF(tblPiNAnalysis5[[#This Row],[Nutrition]]="", "", MROUND(tblPiNAnalysis5[[#This Row],[Nutrition]]/tblPiNAnalysis5[[#This Row],[PIN]], 0.05)), "")</f>
        <v>0.15000000000000002</v>
      </c>
      <c r="AA57" s="318">
        <f>IFERROR(IF(tblPiNAnalysis5[[#This Row],[Food Security]]="", "", MROUND(tblPiNAnalysis5[[#This Row],[Food Security]]/tblPiNAnalysis5[[#This Row],[PIN]], 0.05)), "")</f>
        <v>0.4</v>
      </c>
      <c r="AB57" s="318">
        <f>IFERROR(IF(tblPiNAnalysis5[[#This Row],[Health]]="", "", MROUND(tblPiNAnalysis5[[#This Row],[Health]]/tblPiNAnalysis5[[#This Row],[PIN]], 0.05)), "")</f>
        <v>0</v>
      </c>
      <c r="AC57" s="319" t="str">
        <f>IFERROR(IF(tblPiNAnalysis5[[#This Row],[Protection]]="", "", MROUND(tblPiNAnalysis5[[#This Row],[Protection]]/tblPiNAnalysis5[[#This Row],[PIN]], 0.05)), "")</f>
        <v/>
      </c>
      <c r="AD57" s="319">
        <f>IFERROR(IF(tblPiNAnalysis5[[#This Row],[Shelter]]="", "", MROUND(tblPiNAnalysis5[[#This Row],[Shelter]]/tblPiNAnalysis5[[#This Row],[PIN]], 0.05)), "")</f>
        <v>0</v>
      </c>
      <c r="AE57" s="320">
        <f>IFERROR(IF(tblPiNAnalysis5[[#This Row],[WASH]]="", "", MROUND(tblPiNAnalysis5[[#This Row],[WASH]]/tblPiNAnalysis5[[#This Row],[PIN]], 0.05)), "")</f>
        <v>0</v>
      </c>
      <c r="AF57" s="488">
        <f>VLOOKUP(tblPiNAnalysis5[[#This Row],[ID]],tblPiNAnalysis[[ID]:[Final PiN]],63,FALSE)</f>
        <v>10654</v>
      </c>
      <c r="AG57" s="488">
        <f>IFERROR(IF(tblPiNAnalysis5[[#This Row],[Final TARGET]]="", "", MROUND(tblPiNAnalysis5[[#This Row],[Final TARGET]]/tblPiNAnalysis5[[#This Row],[PIN]], 0.05)), "")</f>
        <v>0.4</v>
      </c>
      <c r="AH57" s="322">
        <f>IF(MAX(tblPiNAnalysis5[[#This Row],[CCCM]:[WASH]])&lt;tblPiNAnalysis5[[#This Row],[PIN]],MAX(tblPiNAnalysis5[[#This Row],[CCCM]:[WASH]]),tblPiNAnalysis5[[#This Row],[PIN]])</f>
        <v>4315</v>
      </c>
      <c r="AI57" s="326"/>
      <c r="AJ57" s="502">
        <f>tblPiNAnalysis5[[#This Row],[CCCM]]</f>
        <v>0</v>
      </c>
      <c r="AK57" s="500">
        <v>628</v>
      </c>
      <c r="AL57" s="500">
        <v>1089</v>
      </c>
      <c r="AM57" s="500">
        <f>IF(VLOOKUP(tblPiNAnalysis5[[#This Row],[Admin 2 P-Code]],tblSeverityAnalysis[[Admin 2 P-Code]:[WASH]],10,FALSE)&gt;=4,VLOOKUP(tblPiNAnalysis5[[#This Row],[Admin 2 P-Code]],tblPiNAnalysis[[Admin 2 P-Code]:[WASH]],10,FALSE),0)</f>
        <v>0</v>
      </c>
      <c r="AN57" s="503">
        <v>0</v>
      </c>
      <c r="AO57" s="500"/>
      <c r="AP57" s="516">
        <v>54</v>
      </c>
      <c r="AQ57" s="501">
        <v>47</v>
      </c>
      <c r="AR57" s="383">
        <f>MIN(tblPiNAnalysis5[[#This Row],[Final TARGET]],MAX(tblPiNAnalysis5[[#This Row],[CCCM_PRI]:[WASH_PRI]]))</f>
        <v>1089</v>
      </c>
      <c r="AS57" s="383">
        <f>IF(VLOOKUP(tblPiNAnalysis5[[#This Row],[Admin 2 P-Code]],tblSeverityAnalysis[[Admin 2 P-Code]:[Final Severity]],43,FALSE)&gt;=4,VLOOKUP(tblPiNAnalysis5[[#This Row],[Admin 2 P-Code]],tblPiNAnalysis[[Admin 2 P-Code]:[WASH]],8,FALSE),0)</f>
        <v>0</v>
      </c>
    </row>
    <row r="58" spans="1:45" ht="16.5" customHeight="1">
      <c r="A5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Global_PopulationHT0423</v>
      </c>
      <c r="B58" s="304" t="s">
        <v>259</v>
      </c>
      <c r="C58" s="213" t="s">
        <v>260</v>
      </c>
      <c r="D58" s="213" t="s">
        <v>271</v>
      </c>
      <c r="E58" s="103" t="s">
        <v>272</v>
      </c>
      <c r="F58" s="99"/>
      <c r="G58" s="34"/>
      <c r="H58" s="34"/>
      <c r="I58" s="96">
        <v>24682</v>
      </c>
      <c r="J58" s="221" t="s">
        <v>156</v>
      </c>
      <c r="K58" s="427">
        <v>0</v>
      </c>
      <c r="L58" s="428">
        <v>1550</v>
      </c>
      <c r="M58" s="428">
        <v>1610</v>
      </c>
      <c r="N58" s="428">
        <v>4669</v>
      </c>
      <c r="O58" s="428">
        <v>0</v>
      </c>
      <c r="P58" s="428"/>
      <c r="Q58" s="428">
        <v>75.600000000000009</v>
      </c>
      <c r="R58" s="428">
        <v>77</v>
      </c>
      <c r="S58" s="428"/>
      <c r="T58" s="428"/>
      <c r="U58" s="428"/>
      <c r="V58" s="428"/>
      <c r="W58" s="308"/>
      <c r="X58" s="317">
        <f>IFERROR(IF(tblPiNAnalysis5[[#This Row],[CCCM]]="", "", MROUND(tblPiNAnalysis5[[#This Row],[CCCM]]/tblPiNAnalysis5[[#This Row],[PIN]], 0.05)), "")</f>
        <v>0</v>
      </c>
      <c r="Y58" s="318">
        <f>IFERROR(IF(tblPiNAnalysis5[[#This Row],[Education]]="", "", MROUND(tblPiNAnalysis5[[#This Row],[Education]]/tblPiNAnalysis5[[#This Row],[PIN]], 0.05)), "")</f>
        <v>0.15000000000000002</v>
      </c>
      <c r="Z58" s="318">
        <f>IFERROR(IF(tblPiNAnalysis5[[#This Row],[Nutrition]]="", "", MROUND(tblPiNAnalysis5[[#This Row],[Nutrition]]/tblPiNAnalysis5[[#This Row],[PIN]], 0.05)), "")</f>
        <v>0.15000000000000002</v>
      </c>
      <c r="AA58" s="318">
        <f>IFERROR(IF(tblPiNAnalysis5[[#This Row],[Food Security]]="", "", MROUND(tblPiNAnalysis5[[#This Row],[Food Security]]/tblPiNAnalysis5[[#This Row],[PIN]], 0.05)), "")</f>
        <v>0.4</v>
      </c>
      <c r="AB58" s="318">
        <f>IFERROR(IF(tblPiNAnalysis5[[#This Row],[Health]]="", "", MROUND(tblPiNAnalysis5[[#This Row],[Health]]/tblPiNAnalysis5[[#This Row],[PIN]], 0.05)), "")</f>
        <v>0</v>
      </c>
      <c r="AC58" s="319" t="str">
        <f>IFERROR(IF(tblPiNAnalysis5[[#This Row],[Protection]]="", "", MROUND(tblPiNAnalysis5[[#This Row],[Protection]]/tblPiNAnalysis5[[#This Row],[PIN]], 0.05)), "")</f>
        <v/>
      </c>
      <c r="AD58" s="319">
        <f>IFERROR(IF(tblPiNAnalysis5[[#This Row],[Shelter]]="", "", MROUND(tblPiNAnalysis5[[#This Row],[Shelter]]/tblPiNAnalysis5[[#This Row],[PIN]], 0.05)), "")</f>
        <v>0</v>
      </c>
      <c r="AE58" s="320">
        <f>IFERROR(IF(tblPiNAnalysis5[[#This Row],[WASH]]="", "", MROUND(tblPiNAnalysis5[[#This Row],[WASH]]/tblPiNAnalysis5[[#This Row],[PIN]], 0.05)), "")</f>
        <v>0</v>
      </c>
      <c r="AF58" s="488">
        <f>VLOOKUP(tblPiNAnalysis5[[#This Row],[ID]],tblPiNAnalysis[[ID]:[Final PiN]],63,FALSE)</f>
        <v>12341</v>
      </c>
      <c r="AG58" s="488">
        <f>IFERROR(IF(tblPiNAnalysis5[[#This Row],[Final TARGET]]="", "", MROUND(tblPiNAnalysis5[[#This Row],[Final TARGET]]/tblPiNAnalysis5[[#This Row],[PIN]], 0.05)), "")</f>
        <v>0.4</v>
      </c>
      <c r="AH58" s="322">
        <f>IF(MAX(tblPiNAnalysis5[[#This Row],[CCCM]:[WASH]])&lt;tblPiNAnalysis5[[#This Row],[PIN]],MAX(tblPiNAnalysis5[[#This Row],[CCCM]:[WASH]]),tblPiNAnalysis5[[#This Row],[PIN]])</f>
        <v>4669</v>
      </c>
      <c r="AI58" s="326"/>
      <c r="AJ58" s="502">
        <f>tblPiNAnalysis5[[#This Row],[CCCM]]</f>
        <v>0</v>
      </c>
      <c r="AK58" s="500">
        <v>702</v>
      </c>
      <c r="AL58" s="500">
        <v>1176</v>
      </c>
      <c r="AM58" s="500">
        <f>IF(VLOOKUP(tblPiNAnalysis5[[#This Row],[Admin 2 P-Code]],tblSeverityAnalysis[[Admin 2 P-Code]:[WASH]],10,FALSE)&gt;=4,VLOOKUP(tblPiNAnalysis5[[#This Row],[Admin 2 P-Code]],tblPiNAnalysis[[Admin 2 P-Code]:[WASH]],10,FALSE),0)</f>
        <v>0</v>
      </c>
      <c r="AN58" s="503">
        <v>0</v>
      </c>
      <c r="AO58" s="500"/>
      <c r="AP58" s="516">
        <v>76</v>
      </c>
      <c r="AQ58" s="501">
        <v>3192</v>
      </c>
      <c r="AR58" s="383">
        <f>MIN(tblPiNAnalysis5[[#This Row],[Final TARGET]],MAX(tblPiNAnalysis5[[#This Row],[CCCM_PRI]:[WASH_PRI]]))</f>
        <v>3192</v>
      </c>
      <c r="AS58" s="383">
        <f>IF(VLOOKUP(tblPiNAnalysis5[[#This Row],[Admin 2 P-Code]],tblSeverityAnalysis[[Admin 2 P-Code]:[Final Severity]],43,FALSE)&gt;=4,VLOOKUP(tblPiNAnalysis5[[#This Row],[Admin 2 P-Code]],tblPiNAnalysis[[Admin 2 P-Code]:[WASH]],8,FALSE),0)</f>
        <v>0</v>
      </c>
    </row>
    <row r="59" spans="1:45" ht="16.5" customHeight="1">
      <c r="A5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Global_PopulationHT0431</v>
      </c>
      <c r="B59" s="304" t="s">
        <v>259</v>
      </c>
      <c r="C59" s="213" t="s">
        <v>260</v>
      </c>
      <c r="D59" s="213" t="s">
        <v>273</v>
      </c>
      <c r="E59" s="103" t="s">
        <v>274</v>
      </c>
      <c r="F59" s="99"/>
      <c r="G59" s="34"/>
      <c r="H59" s="34"/>
      <c r="I59" s="96">
        <v>57212</v>
      </c>
      <c r="J59" s="221" t="s">
        <v>156</v>
      </c>
      <c r="K59" s="427">
        <v>0</v>
      </c>
      <c r="L59" s="428">
        <v>3461</v>
      </c>
      <c r="M59" s="428">
        <v>3722</v>
      </c>
      <c r="N59" s="428">
        <v>10893</v>
      </c>
      <c r="O59" s="428">
        <v>0</v>
      </c>
      <c r="P59" s="428"/>
      <c r="Q59" s="428">
        <v>248.50000000000003</v>
      </c>
      <c r="R59" s="428">
        <v>669</v>
      </c>
      <c r="S59" s="428"/>
      <c r="T59" s="428"/>
      <c r="U59" s="428"/>
      <c r="V59" s="428"/>
      <c r="W59" s="308"/>
      <c r="X59" s="317">
        <f>IFERROR(IF(tblPiNAnalysis5[[#This Row],[CCCM]]="", "", MROUND(tblPiNAnalysis5[[#This Row],[CCCM]]/tblPiNAnalysis5[[#This Row],[PIN]], 0.05)), "")</f>
        <v>0</v>
      </c>
      <c r="Y59" s="318">
        <f>IFERROR(IF(tblPiNAnalysis5[[#This Row],[Education]]="", "", MROUND(tblPiNAnalysis5[[#This Row],[Education]]/tblPiNAnalysis5[[#This Row],[PIN]], 0.05)), "")</f>
        <v>0.1</v>
      </c>
      <c r="Z59" s="318">
        <f>IFERROR(IF(tblPiNAnalysis5[[#This Row],[Nutrition]]="", "", MROUND(tblPiNAnalysis5[[#This Row],[Nutrition]]/tblPiNAnalysis5[[#This Row],[PIN]], 0.05)), "")</f>
        <v>0.1</v>
      </c>
      <c r="AA59" s="318">
        <f>IFERROR(IF(tblPiNAnalysis5[[#This Row],[Food Security]]="", "", MROUND(tblPiNAnalysis5[[#This Row],[Food Security]]/tblPiNAnalysis5[[#This Row],[PIN]], 0.05)), "")</f>
        <v>0.35000000000000003</v>
      </c>
      <c r="AB59" s="318">
        <f>IFERROR(IF(tblPiNAnalysis5[[#This Row],[Health]]="", "", MROUND(tblPiNAnalysis5[[#This Row],[Health]]/tblPiNAnalysis5[[#This Row],[PIN]], 0.05)), "")</f>
        <v>0</v>
      </c>
      <c r="AC59" s="319" t="str">
        <f>IFERROR(IF(tblPiNAnalysis5[[#This Row],[Protection]]="", "", MROUND(tblPiNAnalysis5[[#This Row],[Protection]]/tblPiNAnalysis5[[#This Row],[PIN]], 0.05)), "")</f>
        <v/>
      </c>
      <c r="AD59" s="319">
        <f>IFERROR(IF(tblPiNAnalysis5[[#This Row],[Shelter]]="", "", MROUND(tblPiNAnalysis5[[#This Row],[Shelter]]/tblPiNAnalysis5[[#This Row],[PIN]], 0.05)), "")</f>
        <v>0</v>
      </c>
      <c r="AE59" s="320">
        <f>IFERROR(IF(tblPiNAnalysis5[[#This Row],[WASH]]="", "", MROUND(tblPiNAnalysis5[[#This Row],[WASH]]/tblPiNAnalysis5[[#This Row],[PIN]], 0.05)), "")</f>
        <v>0</v>
      </c>
      <c r="AF59" s="488">
        <f>VLOOKUP(tblPiNAnalysis5[[#This Row],[ID]],tblPiNAnalysis[[ID]:[Final PiN]],63,FALSE)</f>
        <v>30422</v>
      </c>
      <c r="AG59" s="488">
        <f>IFERROR(IF(tblPiNAnalysis5[[#This Row],[Final TARGET]]="", "", MROUND(tblPiNAnalysis5[[#This Row],[Final TARGET]]/tblPiNAnalysis5[[#This Row],[PIN]], 0.05)), "")</f>
        <v>0.35000000000000003</v>
      </c>
      <c r="AH59" s="322">
        <f>IF(MAX(tblPiNAnalysis5[[#This Row],[CCCM]:[WASH]])&lt;tblPiNAnalysis5[[#This Row],[PIN]],MAX(tblPiNAnalysis5[[#This Row],[CCCM]:[WASH]]),tblPiNAnalysis5[[#This Row],[PIN]])</f>
        <v>10893</v>
      </c>
      <c r="AI59" s="326"/>
      <c r="AJ59" s="502">
        <f>tblPiNAnalysis5[[#This Row],[CCCM]]</f>
        <v>0</v>
      </c>
      <c r="AK59" s="500">
        <v>1600</v>
      </c>
      <c r="AL59" s="500">
        <v>2732</v>
      </c>
      <c r="AM59" s="500">
        <f>IF(VLOOKUP(tblPiNAnalysis5[[#This Row],[Admin 2 P-Code]],tblSeverityAnalysis[[Admin 2 P-Code]:[WASH]],10,FALSE)&gt;=4,VLOOKUP(tblPiNAnalysis5[[#This Row],[Admin 2 P-Code]],tblPiNAnalysis[[Admin 2 P-Code]:[WASH]],10,FALSE),0)</f>
        <v>0</v>
      </c>
      <c r="AN59" s="503">
        <v>0</v>
      </c>
      <c r="AO59" s="500"/>
      <c r="AP59" s="516">
        <v>249</v>
      </c>
      <c r="AQ59" s="501">
        <v>23856</v>
      </c>
      <c r="AR59" s="383">
        <f>MIN(tblPiNAnalysis5[[#This Row],[Final TARGET]],MAX(tblPiNAnalysis5[[#This Row],[CCCM_PRI]:[WASH_PRI]]))</f>
        <v>10893</v>
      </c>
      <c r="AS59" s="383">
        <f>IF(VLOOKUP(tblPiNAnalysis5[[#This Row],[Admin 2 P-Code]],tblSeverityAnalysis[[Admin 2 P-Code]:[Final Severity]],43,FALSE)&gt;=4,VLOOKUP(tblPiNAnalysis5[[#This Row],[Admin 2 P-Code]],tblPiNAnalysis[[Admin 2 P-Code]:[WASH]],8,FALSE),0)</f>
        <v>0</v>
      </c>
    </row>
    <row r="60" spans="1:45" ht="16.5" customHeight="1">
      <c r="A6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Global_PopulationHT0432</v>
      </c>
      <c r="B60" s="304" t="s">
        <v>259</v>
      </c>
      <c r="C60" s="213" t="s">
        <v>260</v>
      </c>
      <c r="D60" s="213" t="s">
        <v>275</v>
      </c>
      <c r="E60" s="103" t="s">
        <v>276</v>
      </c>
      <c r="F60" s="99"/>
      <c r="G60" s="34"/>
      <c r="H60" s="34"/>
      <c r="I60" s="96">
        <v>32812</v>
      </c>
      <c r="J60" s="221" t="s">
        <v>156</v>
      </c>
      <c r="K60" s="427">
        <v>0</v>
      </c>
      <c r="L60" s="428">
        <v>2077</v>
      </c>
      <c r="M60" s="428">
        <v>1986</v>
      </c>
      <c r="N60" s="428">
        <v>6240</v>
      </c>
      <c r="O60" s="428">
        <v>0</v>
      </c>
      <c r="P60" s="428"/>
      <c r="Q60" s="428">
        <v>99.1</v>
      </c>
      <c r="R60" s="428">
        <v>565</v>
      </c>
      <c r="S60" s="428"/>
      <c r="T60" s="428"/>
      <c r="U60" s="428"/>
      <c r="V60" s="428"/>
      <c r="W60" s="308"/>
      <c r="X60" s="317">
        <f>IFERROR(IF(tblPiNAnalysis5[[#This Row],[CCCM]]="", "", MROUND(tblPiNAnalysis5[[#This Row],[CCCM]]/tblPiNAnalysis5[[#This Row],[PIN]], 0.05)), "")</f>
        <v>0</v>
      </c>
      <c r="Y60" s="318">
        <f>IFERROR(IF(tblPiNAnalysis5[[#This Row],[Education]]="", "", MROUND(tblPiNAnalysis5[[#This Row],[Education]]/tblPiNAnalysis5[[#This Row],[PIN]], 0.05)), "")</f>
        <v>0.15000000000000002</v>
      </c>
      <c r="Z60" s="318">
        <f>IFERROR(IF(tblPiNAnalysis5[[#This Row],[Nutrition]]="", "", MROUND(tblPiNAnalysis5[[#This Row],[Nutrition]]/tblPiNAnalysis5[[#This Row],[PIN]], 0.05)), "")</f>
        <v>0.15000000000000002</v>
      </c>
      <c r="AA60" s="318">
        <f>IFERROR(IF(tblPiNAnalysis5[[#This Row],[Food Security]]="", "", MROUND(tblPiNAnalysis5[[#This Row],[Food Security]]/tblPiNAnalysis5[[#This Row],[PIN]], 0.05)), "")</f>
        <v>0.4</v>
      </c>
      <c r="AB60" s="318">
        <f>IFERROR(IF(tblPiNAnalysis5[[#This Row],[Health]]="", "", MROUND(tblPiNAnalysis5[[#This Row],[Health]]/tblPiNAnalysis5[[#This Row],[PIN]], 0.05)), "")</f>
        <v>0</v>
      </c>
      <c r="AC60" s="319" t="str">
        <f>IFERROR(IF(tblPiNAnalysis5[[#This Row],[Protection]]="", "", MROUND(tblPiNAnalysis5[[#This Row],[Protection]]/tblPiNAnalysis5[[#This Row],[PIN]], 0.05)), "")</f>
        <v/>
      </c>
      <c r="AD60" s="319">
        <f>IFERROR(IF(tblPiNAnalysis5[[#This Row],[Shelter]]="", "", MROUND(tblPiNAnalysis5[[#This Row],[Shelter]]/tblPiNAnalysis5[[#This Row],[PIN]], 0.05)), "")</f>
        <v>0</v>
      </c>
      <c r="AE60" s="320">
        <f>IFERROR(IF(tblPiNAnalysis5[[#This Row],[WASH]]="", "", MROUND(tblPiNAnalysis5[[#This Row],[WASH]]/tblPiNAnalysis5[[#This Row],[PIN]], 0.05)), "")</f>
        <v>0.05</v>
      </c>
      <c r="AF60" s="488">
        <f>VLOOKUP(tblPiNAnalysis5[[#This Row],[ID]],tblPiNAnalysis[[ID]:[Final PiN]],63,FALSE)</f>
        <v>15408</v>
      </c>
      <c r="AG60" s="488">
        <f>IFERROR(IF(tblPiNAnalysis5[[#This Row],[Final TARGET]]="", "", MROUND(tblPiNAnalysis5[[#This Row],[Final TARGET]]/tblPiNAnalysis5[[#This Row],[PIN]], 0.05)), "")</f>
        <v>0.4</v>
      </c>
      <c r="AH60" s="322">
        <f>IF(MAX(tblPiNAnalysis5[[#This Row],[CCCM]:[WASH]])&lt;tblPiNAnalysis5[[#This Row],[PIN]],MAX(tblPiNAnalysis5[[#This Row],[CCCM]:[WASH]]),tblPiNAnalysis5[[#This Row],[PIN]])</f>
        <v>6240</v>
      </c>
      <c r="AI60" s="326"/>
      <c r="AJ60" s="502">
        <f>tblPiNAnalysis5[[#This Row],[CCCM]]</f>
        <v>0</v>
      </c>
      <c r="AK60" s="500">
        <v>972</v>
      </c>
      <c r="AL60" s="500">
        <v>1404</v>
      </c>
      <c r="AM60" s="500">
        <f>IF(VLOOKUP(tblPiNAnalysis5[[#This Row],[Admin 2 P-Code]],tblSeverityAnalysis[[Admin 2 P-Code]:[WASH]],10,FALSE)&gt;=4,VLOOKUP(tblPiNAnalysis5[[#This Row],[Admin 2 P-Code]],tblPiNAnalysis[[Admin 2 P-Code]:[WASH]],10,FALSE),0)</f>
        <v>0</v>
      </c>
      <c r="AN60" s="503">
        <v>0</v>
      </c>
      <c r="AO60" s="500"/>
      <c r="AP60" s="516">
        <v>99</v>
      </c>
      <c r="AQ60" s="501">
        <v>1344</v>
      </c>
      <c r="AR60" s="383">
        <f>MIN(tblPiNAnalysis5[[#This Row],[Final TARGET]],MAX(tblPiNAnalysis5[[#This Row],[CCCM_PRI]:[WASH_PRI]]))</f>
        <v>1404</v>
      </c>
      <c r="AS60" s="383">
        <f>IF(VLOOKUP(tblPiNAnalysis5[[#This Row],[Admin 2 P-Code]],tblSeverityAnalysis[[Admin 2 P-Code]:[Final Severity]],43,FALSE)&gt;=4,VLOOKUP(tblPiNAnalysis5[[#This Row],[Admin 2 P-Code]],tblPiNAnalysis[[Admin 2 P-Code]:[WASH]],8,FALSE),0)</f>
        <v>0</v>
      </c>
    </row>
    <row r="61" spans="1:45" ht="16.5" customHeight="1">
      <c r="A6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Global_PopulationHT0433</v>
      </c>
      <c r="B61" s="304" t="s">
        <v>259</v>
      </c>
      <c r="C61" s="213" t="s">
        <v>260</v>
      </c>
      <c r="D61" s="213" t="s">
        <v>277</v>
      </c>
      <c r="E61" s="103" t="s">
        <v>278</v>
      </c>
      <c r="F61" s="99"/>
      <c r="G61" s="34"/>
      <c r="H61" s="34"/>
      <c r="I61" s="96">
        <v>35373</v>
      </c>
      <c r="J61" s="221" t="s">
        <v>156</v>
      </c>
      <c r="K61" s="427">
        <v>0</v>
      </c>
      <c r="L61" s="428">
        <v>2091</v>
      </c>
      <c r="M61" s="428">
        <v>2281</v>
      </c>
      <c r="N61" s="428">
        <v>6751</v>
      </c>
      <c r="O61" s="428">
        <v>0</v>
      </c>
      <c r="P61" s="428"/>
      <c r="Q61" s="428">
        <v>88.6</v>
      </c>
      <c r="R61" s="428">
        <v>223</v>
      </c>
      <c r="S61" s="428"/>
      <c r="T61" s="428"/>
      <c r="U61" s="428"/>
      <c r="V61" s="428"/>
      <c r="W61" s="308"/>
      <c r="X61" s="317">
        <f>IFERROR(IF(tblPiNAnalysis5[[#This Row],[CCCM]]="", "", MROUND(tblPiNAnalysis5[[#This Row],[CCCM]]/tblPiNAnalysis5[[#This Row],[PIN]], 0.05)), "")</f>
        <v>0</v>
      </c>
      <c r="Y61" s="318">
        <f>IFERROR(IF(tblPiNAnalysis5[[#This Row],[Education]]="", "", MROUND(tblPiNAnalysis5[[#This Row],[Education]]/tblPiNAnalysis5[[#This Row],[PIN]], 0.05)), "")</f>
        <v>0.15000000000000002</v>
      </c>
      <c r="Z61" s="318">
        <f>IFERROR(IF(tblPiNAnalysis5[[#This Row],[Nutrition]]="", "", MROUND(tblPiNAnalysis5[[#This Row],[Nutrition]]/tblPiNAnalysis5[[#This Row],[PIN]], 0.05)), "")</f>
        <v>0.15000000000000002</v>
      </c>
      <c r="AA61" s="318">
        <f>IFERROR(IF(tblPiNAnalysis5[[#This Row],[Food Security]]="", "", MROUND(tblPiNAnalysis5[[#This Row],[Food Security]]/tblPiNAnalysis5[[#This Row],[PIN]], 0.05)), "")</f>
        <v>0.4</v>
      </c>
      <c r="AB61" s="318">
        <f>IFERROR(IF(tblPiNAnalysis5[[#This Row],[Health]]="", "", MROUND(tblPiNAnalysis5[[#This Row],[Health]]/tblPiNAnalysis5[[#This Row],[PIN]], 0.05)), "")</f>
        <v>0</v>
      </c>
      <c r="AC61" s="319" t="str">
        <f>IFERROR(IF(tblPiNAnalysis5[[#This Row],[Protection]]="", "", MROUND(tblPiNAnalysis5[[#This Row],[Protection]]/tblPiNAnalysis5[[#This Row],[PIN]], 0.05)), "")</f>
        <v/>
      </c>
      <c r="AD61" s="319">
        <f>IFERROR(IF(tblPiNAnalysis5[[#This Row],[Shelter]]="", "", MROUND(tblPiNAnalysis5[[#This Row],[Shelter]]/tblPiNAnalysis5[[#This Row],[PIN]], 0.05)), "")</f>
        <v>0</v>
      </c>
      <c r="AE61" s="320">
        <f>IFERROR(IF(tblPiNAnalysis5[[#This Row],[WASH]]="", "", MROUND(tblPiNAnalysis5[[#This Row],[WASH]]/tblPiNAnalysis5[[#This Row],[PIN]], 0.05)), "")</f>
        <v>0</v>
      </c>
      <c r="AF61" s="488">
        <f>VLOOKUP(tblPiNAnalysis5[[#This Row],[ID]],tblPiNAnalysis[[ID]:[Final PiN]],63,FALSE)</f>
        <v>16669</v>
      </c>
      <c r="AG61" s="488">
        <f>IFERROR(IF(tblPiNAnalysis5[[#This Row],[Final TARGET]]="", "", MROUND(tblPiNAnalysis5[[#This Row],[Final TARGET]]/tblPiNAnalysis5[[#This Row],[PIN]], 0.05)), "")</f>
        <v>0.4</v>
      </c>
      <c r="AH61" s="322">
        <f>IF(MAX(tblPiNAnalysis5[[#This Row],[CCCM]:[WASH]])&lt;tblPiNAnalysis5[[#This Row],[PIN]],MAX(tblPiNAnalysis5[[#This Row],[CCCM]:[WASH]]),tblPiNAnalysis5[[#This Row],[PIN]])</f>
        <v>6751</v>
      </c>
      <c r="AI61" s="326"/>
      <c r="AJ61" s="502">
        <f>tblPiNAnalysis5[[#This Row],[CCCM]]</f>
        <v>0</v>
      </c>
      <c r="AK61" s="500">
        <v>954</v>
      </c>
      <c r="AL61" s="500">
        <v>1656</v>
      </c>
      <c r="AM61" s="500">
        <f>IF(VLOOKUP(tblPiNAnalysis5[[#This Row],[Admin 2 P-Code]],tblSeverityAnalysis[[Admin 2 P-Code]:[WASH]],10,FALSE)&gt;=4,VLOOKUP(tblPiNAnalysis5[[#This Row],[Admin 2 P-Code]],tblPiNAnalysis[[Admin 2 P-Code]:[WASH]],10,FALSE),0)</f>
        <v>0</v>
      </c>
      <c r="AN61" s="503">
        <v>0</v>
      </c>
      <c r="AO61" s="500"/>
      <c r="AP61" s="516">
        <v>89</v>
      </c>
      <c r="AQ61" s="501">
        <v>111.5</v>
      </c>
      <c r="AR61" s="383">
        <f>MIN(tblPiNAnalysis5[[#This Row],[Final TARGET]],MAX(tblPiNAnalysis5[[#This Row],[CCCM_PRI]:[WASH_PRI]]))</f>
        <v>1656</v>
      </c>
      <c r="AS61" s="383">
        <f>IF(VLOOKUP(tblPiNAnalysis5[[#This Row],[Admin 2 P-Code]],tblSeverityAnalysis[[Admin 2 P-Code]:[Final Severity]],43,FALSE)&gt;=4,VLOOKUP(tblPiNAnalysis5[[#This Row],[Admin 2 P-Code]],tblPiNAnalysis[[Admin 2 P-Code]:[WASH]],8,FALSE),0)</f>
        <v>0</v>
      </c>
    </row>
    <row r="62" spans="1:45" ht="16.5" customHeight="1">
      <c r="A6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Global_PopulationHT0434</v>
      </c>
      <c r="B62" s="304" t="s">
        <v>259</v>
      </c>
      <c r="C62" s="213" t="s">
        <v>260</v>
      </c>
      <c r="D62" s="213" t="s">
        <v>279</v>
      </c>
      <c r="E62" s="103" t="s">
        <v>280</v>
      </c>
      <c r="F62" s="99"/>
      <c r="G62" s="34"/>
      <c r="H62" s="34"/>
      <c r="I62" s="96">
        <v>9005</v>
      </c>
      <c r="J62" s="221" t="s">
        <v>156</v>
      </c>
      <c r="K62" s="427">
        <v>0</v>
      </c>
      <c r="L62" s="428">
        <v>578</v>
      </c>
      <c r="M62" s="428">
        <v>870</v>
      </c>
      <c r="N62" s="428">
        <v>1717</v>
      </c>
      <c r="O62" s="428">
        <v>0</v>
      </c>
      <c r="P62" s="428"/>
      <c r="Q62" s="428">
        <v>11.100000000000001</v>
      </c>
      <c r="R62" s="428">
        <v>550</v>
      </c>
      <c r="S62" s="428"/>
      <c r="T62" s="428"/>
      <c r="U62" s="428"/>
      <c r="V62" s="428"/>
      <c r="W62" s="308"/>
      <c r="X62" s="317" t="str">
        <f>IFERROR(IF(tblPiNAnalysis5[[#This Row],[CCCM]]="", "", MROUND(tblPiNAnalysis5[[#This Row],[CCCM]]/tblPiNAnalysis5[[#This Row],[PIN]], 0.05)), "")</f>
        <v/>
      </c>
      <c r="Y62" s="318" t="str">
        <f>IFERROR(IF(tblPiNAnalysis5[[#This Row],[Education]]="", "", MROUND(tblPiNAnalysis5[[#This Row],[Education]]/tblPiNAnalysis5[[#This Row],[PIN]], 0.05)), "")</f>
        <v/>
      </c>
      <c r="Z62" s="318" t="str">
        <f>IFERROR(IF(tblPiNAnalysis5[[#This Row],[Nutrition]]="", "", MROUND(tblPiNAnalysis5[[#This Row],[Nutrition]]/tblPiNAnalysis5[[#This Row],[PIN]], 0.05)), "")</f>
        <v/>
      </c>
      <c r="AA62" s="318" t="str">
        <f>IFERROR(IF(tblPiNAnalysis5[[#This Row],[Food Security]]="", "", MROUND(tblPiNAnalysis5[[#This Row],[Food Security]]/tblPiNAnalysis5[[#This Row],[PIN]], 0.05)), "")</f>
        <v/>
      </c>
      <c r="AB62" s="318" t="str">
        <f>IFERROR(IF(tblPiNAnalysis5[[#This Row],[Health]]="", "", MROUND(tblPiNAnalysis5[[#This Row],[Health]]/tblPiNAnalysis5[[#This Row],[PIN]], 0.05)), "")</f>
        <v/>
      </c>
      <c r="AC62" s="319" t="str">
        <f>IFERROR(IF(tblPiNAnalysis5[[#This Row],[Protection]]="", "", MROUND(tblPiNAnalysis5[[#This Row],[Protection]]/tblPiNAnalysis5[[#This Row],[PIN]], 0.05)), "")</f>
        <v/>
      </c>
      <c r="AD62" s="319" t="str">
        <f>IFERROR(IF(tblPiNAnalysis5[[#This Row],[Shelter]]="", "", MROUND(tblPiNAnalysis5[[#This Row],[Shelter]]/tblPiNAnalysis5[[#This Row],[PIN]], 0.05)), "")</f>
        <v/>
      </c>
      <c r="AE62" s="320" t="str">
        <f>IFERROR(IF(tblPiNAnalysis5[[#This Row],[WASH]]="", "", MROUND(tblPiNAnalysis5[[#This Row],[WASH]]/tblPiNAnalysis5[[#This Row],[PIN]], 0.05)), "")</f>
        <v/>
      </c>
      <c r="AF62" s="488">
        <f>VLOOKUP(tblPiNAnalysis5[[#This Row],[ID]],tblPiNAnalysis[[ID]:[Final PiN]],63,FALSE)</f>
        <v>0</v>
      </c>
      <c r="AG62" s="488" t="str">
        <f>IFERROR(IF(tblPiNAnalysis5[[#This Row],[Final TARGET]]="", "", MROUND(tblPiNAnalysis5[[#This Row],[Final TARGET]]/tblPiNAnalysis5[[#This Row],[PIN]], 0.05)), "")</f>
        <v/>
      </c>
      <c r="AH62" s="322">
        <f>IF(MAX(tblPiNAnalysis5[[#This Row],[CCCM]:[WASH]])&lt;tblPiNAnalysis5[[#This Row],[PIN]],MAX(tblPiNAnalysis5[[#This Row],[CCCM]:[WASH]]),tblPiNAnalysis5[[#This Row],[PIN]])</f>
        <v>0</v>
      </c>
      <c r="AI62" s="326"/>
      <c r="AJ62" s="502">
        <f>tblPiNAnalysis5[[#This Row],[CCCM]]</f>
        <v>0</v>
      </c>
      <c r="AK62" s="500">
        <v>296</v>
      </c>
      <c r="AL62" s="500">
        <v>730</v>
      </c>
      <c r="AM62" s="500">
        <f>IF(VLOOKUP(tblPiNAnalysis5[[#This Row],[Admin 2 P-Code]],tblSeverityAnalysis[[Admin 2 P-Code]:[WASH]],10,FALSE)&gt;=4,VLOOKUP(tblPiNAnalysis5[[#This Row],[Admin 2 P-Code]],tblPiNAnalysis[[Admin 2 P-Code]:[WASH]],10,FALSE),0)</f>
        <v>0</v>
      </c>
      <c r="AN62" s="503">
        <v>0</v>
      </c>
      <c r="AO62" s="500"/>
      <c r="AP62" s="516">
        <v>11</v>
      </c>
      <c r="AQ62" s="501">
        <v>504</v>
      </c>
      <c r="AR62" s="383">
        <f>MIN(tblPiNAnalysis5[[#This Row],[Final TARGET]],MAX(tblPiNAnalysis5[[#This Row],[CCCM_PRI]:[WASH_PRI]]))</f>
        <v>0</v>
      </c>
      <c r="AS62" s="383">
        <f>IF(VLOOKUP(tblPiNAnalysis5[[#This Row],[Admin 2 P-Code]],tblSeverityAnalysis[[Admin 2 P-Code]:[Final Severity]],43,FALSE)&gt;=4,VLOOKUP(tblPiNAnalysis5[[#This Row],[Admin 2 P-Code]],tblPiNAnalysis[[Admin 2 P-Code]:[WASH]],8,FALSE),0)</f>
        <v>0</v>
      </c>
    </row>
    <row r="63" spans="1:45" ht="16.5" customHeight="1">
      <c r="A6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Global_PopulationHT0441</v>
      </c>
      <c r="B63" s="304" t="s">
        <v>259</v>
      </c>
      <c r="C63" s="213" t="s">
        <v>260</v>
      </c>
      <c r="D63" s="213" t="s">
        <v>281</v>
      </c>
      <c r="E63" s="103" t="s">
        <v>282</v>
      </c>
      <c r="F63" s="99"/>
      <c r="G63" s="34"/>
      <c r="H63" s="34"/>
      <c r="I63" s="96">
        <v>27514</v>
      </c>
      <c r="J63" s="221" t="s">
        <v>156</v>
      </c>
      <c r="K63" s="427">
        <v>0</v>
      </c>
      <c r="L63" s="428">
        <v>1604</v>
      </c>
      <c r="M63" s="428">
        <v>1499</v>
      </c>
      <c r="N63" s="428">
        <v>16593</v>
      </c>
      <c r="O63" s="428">
        <v>0</v>
      </c>
      <c r="P63" s="428"/>
      <c r="Q63" s="428">
        <v>43.7</v>
      </c>
      <c r="R63" s="428">
        <v>26</v>
      </c>
      <c r="S63" s="428"/>
      <c r="T63" s="428"/>
      <c r="U63" s="428"/>
      <c r="V63" s="428"/>
      <c r="W63" s="308"/>
      <c r="X63" s="317">
        <f>IFERROR(IF(tblPiNAnalysis5[[#This Row],[CCCM]]="", "", MROUND(tblPiNAnalysis5[[#This Row],[CCCM]]/tblPiNAnalysis5[[#This Row],[PIN]], 0.05)), "")</f>
        <v>0</v>
      </c>
      <c r="Y63" s="318">
        <f>IFERROR(IF(tblPiNAnalysis5[[#This Row],[Education]]="", "", MROUND(tblPiNAnalysis5[[#This Row],[Education]]/tblPiNAnalysis5[[#This Row],[PIN]], 0.05)), "")</f>
        <v>0.05</v>
      </c>
      <c r="Z63" s="318">
        <f>IFERROR(IF(tblPiNAnalysis5[[#This Row],[Nutrition]]="", "", MROUND(tblPiNAnalysis5[[#This Row],[Nutrition]]/tblPiNAnalysis5[[#This Row],[PIN]], 0.05)), "")</f>
        <v>0.05</v>
      </c>
      <c r="AA63" s="318">
        <f>IFERROR(IF(tblPiNAnalysis5[[#This Row],[Food Security]]="", "", MROUND(tblPiNAnalysis5[[#This Row],[Food Security]]/tblPiNAnalysis5[[#This Row],[PIN]], 0.05)), "")</f>
        <v>0.60000000000000009</v>
      </c>
      <c r="AB63" s="318">
        <f>IFERROR(IF(tblPiNAnalysis5[[#This Row],[Health]]="", "", MROUND(tblPiNAnalysis5[[#This Row],[Health]]/tblPiNAnalysis5[[#This Row],[PIN]], 0.05)), "")</f>
        <v>0</v>
      </c>
      <c r="AC63" s="319" t="str">
        <f>IFERROR(IF(tblPiNAnalysis5[[#This Row],[Protection]]="", "", MROUND(tblPiNAnalysis5[[#This Row],[Protection]]/tblPiNAnalysis5[[#This Row],[PIN]], 0.05)), "")</f>
        <v/>
      </c>
      <c r="AD63" s="319">
        <f>IFERROR(IF(tblPiNAnalysis5[[#This Row],[Shelter]]="", "", MROUND(tblPiNAnalysis5[[#This Row],[Shelter]]/tblPiNAnalysis5[[#This Row],[PIN]], 0.05)), "")</f>
        <v>0</v>
      </c>
      <c r="AE63" s="320">
        <f>IFERROR(IF(tblPiNAnalysis5[[#This Row],[WASH]]="", "", MROUND(tblPiNAnalysis5[[#This Row],[WASH]]/tblPiNAnalysis5[[#This Row],[PIN]], 0.05)), "")</f>
        <v>0</v>
      </c>
      <c r="AF63" s="488">
        <f>VLOOKUP(tblPiNAnalysis5[[#This Row],[ID]],tblPiNAnalysis[[ID]:[Final PiN]],63,FALSE)</f>
        <v>27514</v>
      </c>
      <c r="AG63" s="488">
        <f>IFERROR(IF(tblPiNAnalysis5[[#This Row],[Final TARGET]]="", "", MROUND(tblPiNAnalysis5[[#This Row],[Final TARGET]]/tblPiNAnalysis5[[#This Row],[PIN]], 0.05)), "")</f>
        <v>0.60000000000000009</v>
      </c>
      <c r="AH63" s="322">
        <f>IF(MAX(tblPiNAnalysis5[[#This Row],[CCCM]:[WASH]])&lt;tblPiNAnalysis5[[#This Row],[PIN]],MAX(tblPiNAnalysis5[[#This Row],[CCCM]:[WASH]]),tblPiNAnalysis5[[#This Row],[PIN]])</f>
        <v>16593</v>
      </c>
      <c r="AI63" s="326"/>
      <c r="AJ63" s="502">
        <f>tblPiNAnalysis5[[#This Row],[CCCM]]</f>
        <v>0</v>
      </c>
      <c r="AK63" s="500">
        <v>724</v>
      </c>
      <c r="AL63" s="500">
        <v>1058</v>
      </c>
      <c r="AM63" s="500">
        <f>IF(VLOOKUP(tblPiNAnalysis5[[#This Row],[Admin 2 P-Code]],tblSeverityAnalysis[[Admin 2 P-Code]:[WASH]],10,FALSE)&gt;=4,VLOOKUP(tblPiNAnalysis5[[#This Row],[Admin 2 P-Code]],tblPiNAnalysis[[Admin 2 P-Code]:[WASH]],10,FALSE),0)</f>
        <v>0</v>
      </c>
      <c r="AN63" s="503">
        <v>0</v>
      </c>
      <c r="AO63" s="500"/>
      <c r="AP63" s="516">
        <v>44</v>
      </c>
      <c r="AQ63" s="501">
        <v>2352</v>
      </c>
      <c r="AR63" s="383">
        <f>MIN(tblPiNAnalysis5[[#This Row],[Final TARGET]],MAX(tblPiNAnalysis5[[#This Row],[CCCM_PRI]:[WASH_PRI]]))</f>
        <v>2352</v>
      </c>
      <c r="AS63" s="383">
        <f>IF(VLOOKUP(tblPiNAnalysis5[[#This Row],[Admin 2 P-Code]],tblSeverityAnalysis[[Admin 2 P-Code]:[Final Severity]],43,FALSE)&gt;=4,VLOOKUP(tblPiNAnalysis5[[#This Row],[Admin 2 P-Code]],tblPiNAnalysis[[Admin 2 P-Code]:[WASH]],8,FALSE),0)</f>
        <v>0</v>
      </c>
    </row>
    <row r="64" spans="1:45" ht="16.5" customHeight="1">
      <c r="A6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Global_PopulationHT0442</v>
      </c>
      <c r="B64" s="304" t="s">
        <v>259</v>
      </c>
      <c r="C64" s="213" t="s">
        <v>260</v>
      </c>
      <c r="D64" s="213" t="s">
        <v>283</v>
      </c>
      <c r="E64" s="103" t="s">
        <v>284</v>
      </c>
      <c r="F64" s="99"/>
      <c r="G64" s="34"/>
      <c r="H64" s="34"/>
      <c r="I64" s="96">
        <v>15825</v>
      </c>
      <c r="J64" s="221" t="s">
        <v>156</v>
      </c>
      <c r="K64" s="427">
        <v>0</v>
      </c>
      <c r="L64" s="428">
        <v>1019</v>
      </c>
      <c r="M64" s="428">
        <v>1252</v>
      </c>
      <c r="N64" s="428">
        <v>3031</v>
      </c>
      <c r="O64" s="428">
        <v>0</v>
      </c>
      <c r="P64" s="428"/>
      <c r="Q64" s="428">
        <v>59.600000000000009</v>
      </c>
      <c r="R64" s="428">
        <v>122</v>
      </c>
      <c r="S64" s="428"/>
      <c r="T64" s="428"/>
      <c r="U64" s="428"/>
      <c r="V64" s="428"/>
      <c r="W64" s="308"/>
      <c r="X64" s="317">
        <f>IFERROR(IF(tblPiNAnalysis5[[#This Row],[CCCM]]="", "", MROUND(tblPiNAnalysis5[[#This Row],[CCCM]]/tblPiNAnalysis5[[#This Row],[PIN]], 0.05)), "")</f>
        <v>0</v>
      </c>
      <c r="Y64" s="318">
        <f>IFERROR(IF(tblPiNAnalysis5[[#This Row],[Education]]="", "", MROUND(tblPiNAnalysis5[[#This Row],[Education]]/tblPiNAnalysis5[[#This Row],[PIN]], 0.05)), "")</f>
        <v>0.15000000000000002</v>
      </c>
      <c r="Z64" s="318">
        <f>IFERROR(IF(tblPiNAnalysis5[[#This Row],[Nutrition]]="", "", MROUND(tblPiNAnalysis5[[#This Row],[Nutrition]]/tblPiNAnalysis5[[#This Row],[PIN]], 0.05)), "")</f>
        <v>0.15000000000000002</v>
      </c>
      <c r="AA64" s="318">
        <f>IFERROR(IF(tblPiNAnalysis5[[#This Row],[Food Security]]="", "", MROUND(tblPiNAnalysis5[[#This Row],[Food Security]]/tblPiNAnalysis5[[#This Row],[PIN]], 0.05)), "")</f>
        <v>0.4</v>
      </c>
      <c r="AB64" s="318">
        <f>IFERROR(IF(tblPiNAnalysis5[[#This Row],[Health]]="", "", MROUND(tblPiNAnalysis5[[#This Row],[Health]]/tblPiNAnalysis5[[#This Row],[PIN]], 0.05)), "")</f>
        <v>0</v>
      </c>
      <c r="AC64" s="319" t="str">
        <f>IFERROR(IF(tblPiNAnalysis5[[#This Row],[Protection]]="", "", MROUND(tblPiNAnalysis5[[#This Row],[Protection]]/tblPiNAnalysis5[[#This Row],[PIN]], 0.05)), "")</f>
        <v/>
      </c>
      <c r="AD64" s="319">
        <f>IFERROR(IF(tblPiNAnalysis5[[#This Row],[Shelter]]="", "", MROUND(tblPiNAnalysis5[[#This Row],[Shelter]]/tblPiNAnalysis5[[#This Row],[PIN]], 0.05)), "")</f>
        <v>0</v>
      </c>
      <c r="AE64" s="320">
        <f>IFERROR(IF(tblPiNAnalysis5[[#This Row],[WASH]]="", "", MROUND(tblPiNAnalysis5[[#This Row],[WASH]]/tblPiNAnalysis5[[#This Row],[PIN]], 0.05)), "")</f>
        <v>0</v>
      </c>
      <c r="AF64" s="488">
        <f>VLOOKUP(tblPiNAnalysis5[[#This Row],[ID]],tblPiNAnalysis[[ID]:[Final PiN]],63,FALSE)</f>
        <v>7595</v>
      </c>
      <c r="AG64" s="488">
        <f>IFERROR(IF(tblPiNAnalysis5[[#This Row],[Final TARGET]]="", "", MROUND(tblPiNAnalysis5[[#This Row],[Final TARGET]]/tblPiNAnalysis5[[#This Row],[PIN]], 0.05)), "")</f>
        <v>0.4</v>
      </c>
      <c r="AH64" s="322">
        <f>IF(MAX(tblPiNAnalysis5[[#This Row],[CCCM]:[WASH]])&lt;tblPiNAnalysis5[[#This Row],[PIN]],MAX(tblPiNAnalysis5[[#This Row],[CCCM]:[WASH]]),tblPiNAnalysis5[[#This Row],[PIN]])</f>
        <v>3031</v>
      </c>
      <c r="AI64" s="326"/>
      <c r="AJ64" s="502">
        <f>tblPiNAnalysis5[[#This Row],[CCCM]]</f>
        <v>0</v>
      </c>
      <c r="AK64" s="500">
        <v>466</v>
      </c>
      <c r="AL64" s="500">
        <v>1018</v>
      </c>
      <c r="AM64" s="500">
        <f>IF(VLOOKUP(tblPiNAnalysis5[[#This Row],[Admin 2 P-Code]],tblSeverityAnalysis[[Admin 2 P-Code]:[WASH]],10,FALSE)&gt;=4,VLOOKUP(tblPiNAnalysis5[[#This Row],[Admin 2 P-Code]],tblPiNAnalysis[[Admin 2 P-Code]:[WASH]],10,FALSE),0)</f>
        <v>0</v>
      </c>
      <c r="AN64" s="503">
        <v>0</v>
      </c>
      <c r="AO64" s="500"/>
      <c r="AP64" s="516">
        <v>60</v>
      </c>
      <c r="AQ64" s="501">
        <v>61</v>
      </c>
      <c r="AR64" s="383">
        <f>MIN(tblPiNAnalysis5[[#This Row],[Final TARGET]],MAX(tblPiNAnalysis5[[#This Row],[CCCM_PRI]:[WASH_PRI]]))</f>
        <v>1018</v>
      </c>
      <c r="AS64" s="383">
        <f>IF(VLOOKUP(tblPiNAnalysis5[[#This Row],[Admin 2 P-Code]],tblSeverityAnalysis[[Admin 2 P-Code]:[Final Severity]],43,FALSE)&gt;=4,VLOOKUP(tblPiNAnalysis5[[#This Row],[Admin 2 P-Code]],tblPiNAnalysis[[Admin 2 P-Code]:[WASH]],8,FALSE),0)</f>
        <v>0</v>
      </c>
    </row>
    <row r="65" spans="1:45" ht="16.5" customHeight="1">
      <c r="A6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Global_PopulationHT0443</v>
      </c>
      <c r="B65" s="304" t="s">
        <v>259</v>
      </c>
      <c r="C65" s="213" t="s">
        <v>260</v>
      </c>
      <c r="D65" s="213" t="s">
        <v>285</v>
      </c>
      <c r="E65" s="103" t="s">
        <v>286</v>
      </c>
      <c r="F65" s="99"/>
      <c r="G65" s="34"/>
      <c r="H65" s="34"/>
      <c r="I65" s="96">
        <v>40343</v>
      </c>
      <c r="J65" s="221" t="s">
        <v>156</v>
      </c>
      <c r="K65" s="427">
        <v>0</v>
      </c>
      <c r="L65" s="428">
        <v>2543</v>
      </c>
      <c r="M65" s="428">
        <v>2461</v>
      </c>
      <c r="N65" s="428">
        <v>7725</v>
      </c>
      <c r="O65" s="428">
        <v>0</v>
      </c>
      <c r="P65" s="428"/>
      <c r="Q65" s="428">
        <v>106.6</v>
      </c>
      <c r="R65" s="428">
        <v>181</v>
      </c>
      <c r="S65" s="428"/>
      <c r="T65" s="428"/>
      <c r="U65" s="428"/>
      <c r="V65" s="428"/>
      <c r="W65" s="308"/>
      <c r="X65" s="317">
        <f>IFERROR(IF(tblPiNAnalysis5[[#This Row],[CCCM]]="", "", MROUND(tblPiNAnalysis5[[#This Row],[CCCM]]/tblPiNAnalysis5[[#This Row],[PIN]], 0.05)), "")</f>
        <v>0</v>
      </c>
      <c r="Y65" s="318">
        <f>IFERROR(IF(tblPiNAnalysis5[[#This Row],[Education]]="", "", MROUND(tblPiNAnalysis5[[#This Row],[Education]]/tblPiNAnalysis5[[#This Row],[PIN]], 0.05)), "")</f>
        <v>0.15000000000000002</v>
      </c>
      <c r="Z65" s="318">
        <f>IFERROR(IF(tblPiNAnalysis5[[#This Row],[Nutrition]]="", "", MROUND(tblPiNAnalysis5[[#This Row],[Nutrition]]/tblPiNAnalysis5[[#This Row],[PIN]], 0.05)), "")</f>
        <v>0.15000000000000002</v>
      </c>
      <c r="AA65" s="318">
        <f>IFERROR(IF(tblPiNAnalysis5[[#This Row],[Food Security]]="", "", MROUND(tblPiNAnalysis5[[#This Row],[Food Security]]/tblPiNAnalysis5[[#This Row],[PIN]], 0.05)), "")</f>
        <v>0.4</v>
      </c>
      <c r="AB65" s="318">
        <f>IFERROR(IF(tblPiNAnalysis5[[#This Row],[Health]]="", "", MROUND(tblPiNAnalysis5[[#This Row],[Health]]/tblPiNAnalysis5[[#This Row],[PIN]], 0.05)), "")</f>
        <v>0</v>
      </c>
      <c r="AC65" s="319" t="str">
        <f>IFERROR(IF(tblPiNAnalysis5[[#This Row],[Protection]]="", "", MROUND(tblPiNAnalysis5[[#This Row],[Protection]]/tblPiNAnalysis5[[#This Row],[PIN]], 0.05)), "")</f>
        <v/>
      </c>
      <c r="AD65" s="319">
        <f>IFERROR(IF(tblPiNAnalysis5[[#This Row],[Shelter]]="", "", MROUND(tblPiNAnalysis5[[#This Row],[Shelter]]/tblPiNAnalysis5[[#This Row],[PIN]], 0.05)), "")</f>
        <v>0</v>
      </c>
      <c r="AE65" s="320">
        <f>IFERROR(IF(tblPiNAnalysis5[[#This Row],[WASH]]="", "", MROUND(tblPiNAnalysis5[[#This Row],[WASH]]/tblPiNAnalysis5[[#This Row],[PIN]], 0.05)), "")</f>
        <v>0</v>
      </c>
      <c r="AF65" s="488">
        <f>VLOOKUP(tblPiNAnalysis5[[#This Row],[ID]],tblPiNAnalysis[[ID]:[Final PiN]],63,FALSE)</f>
        <v>19074</v>
      </c>
      <c r="AG65" s="488">
        <f>IFERROR(IF(tblPiNAnalysis5[[#This Row],[Final TARGET]]="", "", MROUND(tblPiNAnalysis5[[#This Row],[Final TARGET]]/tblPiNAnalysis5[[#This Row],[PIN]], 0.05)), "")</f>
        <v>0.4</v>
      </c>
      <c r="AH65" s="322">
        <f>IF(MAX(tblPiNAnalysis5[[#This Row],[CCCM]:[WASH]])&lt;tblPiNAnalysis5[[#This Row],[PIN]],MAX(tblPiNAnalysis5[[#This Row],[CCCM]:[WASH]]),tblPiNAnalysis5[[#This Row],[PIN]])</f>
        <v>7725</v>
      </c>
      <c r="AI65" s="326"/>
      <c r="AJ65" s="502">
        <f>tblPiNAnalysis5[[#This Row],[CCCM]]</f>
        <v>0</v>
      </c>
      <c r="AK65" s="500">
        <v>1156</v>
      </c>
      <c r="AL65" s="500">
        <v>1776</v>
      </c>
      <c r="AM65" s="500">
        <f>IF(VLOOKUP(tblPiNAnalysis5[[#This Row],[Admin 2 P-Code]],tblSeverityAnalysis[[Admin 2 P-Code]:[WASH]],10,FALSE)&gt;=4,VLOOKUP(tblPiNAnalysis5[[#This Row],[Admin 2 P-Code]],tblPiNAnalysis[[Admin 2 P-Code]:[WASH]],10,FALSE),0)</f>
        <v>0</v>
      </c>
      <c r="AN65" s="503">
        <v>0</v>
      </c>
      <c r="AO65" s="500"/>
      <c r="AP65" s="516">
        <v>107</v>
      </c>
      <c r="AQ65" s="501">
        <v>8568</v>
      </c>
      <c r="AR65" s="383">
        <f>MIN(tblPiNAnalysis5[[#This Row],[Final TARGET]],MAX(tblPiNAnalysis5[[#This Row],[CCCM_PRI]:[WASH_PRI]]))</f>
        <v>7725</v>
      </c>
      <c r="AS65" s="383">
        <f>IF(VLOOKUP(tblPiNAnalysis5[[#This Row],[Admin 2 P-Code]],tblSeverityAnalysis[[Admin 2 P-Code]:[Final Severity]],43,FALSE)&gt;=4,VLOOKUP(tblPiNAnalysis5[[#This Row],[Admin 2 P-Code]],tblPiNAnalysis[[Admin 2 P-Code]:[WASH]],8,FALSE),0)</f>
        <v>0</v>
      </c>
    </row>
    <row r="66" spans="1:45" ht="16.5" customHeight="1">
      <c r="A6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Global_PopulationHT0511</v>
      </c>
      <c r="B66" s="304" t="s">
        <v>287</v>
      </c>
      <c r="C66" s="213" t="s">
        <v>288</v>
      </c>
      <c r="D66" s="213" t="s">
        <v>289</v>
      </c>
      <c r="E66" s="103" t="s">
        <v>290</v>
      </c>
      <c r="F66" s="99"/>
      <c r="G66" s="34"/>
      <c r="H66" s="34"/>
      <c r="I66" s="96">
        <v>366051</v>
      </c>
      <c r="J66" s="221" t="s">
        <v>156</v>
      </c>
      <c r="K66" s="427">
        <v>0</v>
      </c>
      <c r="L66" s="428">
        <v>35672</v>
      </c>
      <c r="M66" s="428">
        <v>27187</v>
      </c>
      <c r="N66" s="428">
        <v>80820</v>
      </c>
      <c r="O66" s="428">
        <v>53069.531324816926</v>
      </c>
      <c r="P66" s="428"/>
      <c r="Q66" s="428">
        <v>6910.9</v>
      </c>
      <c r="R66" s="428">
        <v>8813</v>
      </c>
      <c r="S66" s="428"/>
      <c r="T66" s="428"/>
      <c r="U66" s="428"/>
      <c r="V66" s="428"/>
      <c r="W66" s="308"/>
      <c r="X66" s="317">
        <f>IFERROR(IF(tblPiNAnalysis5[[#This Row],[CCCM]]="", "", MROUND(tblPiNAnalysis5[[#This Row],[CCCM]]/tblPiNAnalysis5[[#This Row],[PIN]], 0.05)), "")</f>
        <v>0</v>
      </c>
      <c r="Y66" s="318">
        <f>IFERROR(IF(tblPiNAnalysis5[[#This Row],[Education]]="", "", MROUND(tblPiNAnalysis5[[#This Row],[Education]]/tblPiNAnalysis5[[#This Row],[PIN]], 0.05)), "")</f>
        <v>0.15000000000000002</v>
      </c>
      <c r="Z66" s="318">
        <f>IFERROR(IF(tblPiNAnalysis5[[#This Row],[Nutrition]]="", "", MROUND(tblPiNAnalysis5[[#This Row],[Nutrition]]/tblPiNAnalysis5[[#This Row],[PIN]], 0.05)), "")</f>
        <v>0.15000000000000002</v>
      </c>
      <c r="AA66" s="318">
        <f>IFERROR(IF(tblPiNAnalysis5[[#This Row],[Food Security]]="", "", MROUND(tblPiNAnalysis5[[#This Row],[Food Security]]/tblPiNAnalysis5[[#This Row],[PIN]], 0.05)), "")</f>
        <v>0.4</v>
      </c>
      <c r="AB66" s="318">
        <f>IFERROR(IF(tblPiNAnalysis5[[#This Row],[Health]]="", "", MROUND(tblPiNAnalysis5[[#This Row],[Health]]/tblPiNAnalysis5[[#This Row],[PIN]], 0.05)), "")</f>
        <v>0.25</v>
      </c>
      <c r="AC66" s="319" t="str">
        <f>IFERROR(IF(tblPiNAnalysis5[[#This Row],[Protection]]="", "", MROUND(tblPiNAnalysis5[[#This Row],[Protection]]/tblPiNAnalysis5[[#This Row],[PIN]], 0.05)), "")</f>
        <v/>
      </c>
      <c r="AD66" s="319">
        <f>IFERROR(IF(tblPiNAnalysis5[[#This Row],[Shelter]]="", "", MROUND(tblPiNAnalysis5[[#This Row],[Shelter]]/tblPiNAnalysis5[[#This Row],[PIN]], 0.05)), "")</f>
        <v>0.05</v>
      </c>
      <c r="AE66" s="320">
        <f>IFERROR(IF(tblPiNAnalysis5[[#This Row],[WASH]]="", "", MROUND(tblPiNAnalysis5[[#This Row],[WASH]]/tblPiNAnalysis5[[#This Row],[PIN]], 0.05)), "")</f>
        <v>0.05</v>
      </c>
      <c r="AF66" s="488">
        <f>VLOOKUP(tblPiNAnalysis5[[#This Row],[ID]],tblPiNAnalysis[[ID]:[Final PiN]],63,FALSE)</f>
        <v>212278.1252992677</v>
      </c>
      <c r="AG66" s="488">
        <f>IFERROR(IF(tblPiNAnalysis5[[#This Row],[Final TARGET]]="", "", MROUND(tblPiNAnalysis5[[#This Row],[Final TARGET]]/tblPiNAnalysis5[[#This Row],[PIN]], 0.05)), "")</f>
        <v>0.4</v>
      </c>
      <c r="AH66" s="322">
        <f>IF(MAX(tblPiNAnalysis5[[#This Row],[CCCM]:[WASH]])&lt;tblPiNAnalysis5[[#This Row],[PIN]],MAX(tblPiNAnalysis5[[#This Row],[CCCM]:[WASH]]),tblPiNAnalysis5[[#This Row],[PIN]])</f>
        <v>80820</v>
      </c>
      <c r="AI66" s="326"/>
      <c r="AJ66" s="502">
        <f>tblPiNAnalysis5[[#This Row],[CCCM]]</f>
        <v>0</v>
      </c>
      <c r="AK66" s="500">
        <v>17578</v>
      </c>
      <c r="AL66" s="500">
        <v>21677</v>
      </c>
      <c r="AM66" s="500">
        <f>IF(VLOOKUP(tblPiNAnalysis5[[#This Row],[Admin 2 P-Code]],tblSeverityAnalysis[[Admin 2 P-Code]:[WASH]],10,FALSE)&gt;=4,VLOOKUP(tblPiNAnalysis5[[#This Row],[Admin 2 P-Code]],tblPiNAnalysis[[Admin 2 P-Code]:[WASH]],10,FALSE),0)</f>
        <v>0</v>
      </c>
      <c r="AN66" s="503">
        <v>0</v>
      </c>
      <c r="AO66" s="500"/>
      <c r="AP66" s="516">
        <v>6411</v>
      </c>
      <c r="AQ66" s="501">
        <v>4406.5</v>
      </c>
      <c r="AR66" s="383">
        <f>MIN(tblPiNAnalysis5[[#This Row],[Final TARGET]],MAX(tblPiNAnalysis5[[#This Row],[CCCM_PRI]:[WASH_PRI]]))</f>
        <v>21677</v>
      </c>
      <c r="AS66" s="383">
        <f>IF(VLOOKUP(tblPiNAnalysis5[[#This Row],[Admin 2 P-Code]],tblSeverityAnalysis[[Admin 2 P-Code]:[Final Severity]],43,FALSE)&gt;=4,VLOOKUP(tblPiNAnalysis5[[#This Row],[Admin 2 P-Code]],tblPiNAnalysis[[Admin 2 P-Code]:[WASH]],8,FALSE),0)</f>
        <v>0</v>
      </c>
    </row>
    <row r="67" spans="1:45" ht="16.5" customHeight="1">
      <c r="A6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Global_PopulationHT0512</v>
      </c>
      <c r="B67" s="304" t="s">
        <v>287</v>
      </c>
      <c r="C67" s="213" t="s">
        <v>288</v>
      </c>
      <c r="D67" s="213" t="s">
        <v>291</v>
      </c>
      <c r="E67" s="103" t="s">
        <v>292</v>
      </c>
      <c r="F67" s="99"/>
      <c r="G67" s="34"/>
      <c r="H67" s="34"/>
      <c r="I67" s="96">
        <v>52529</v>
      </c>
      <c r="J67" s="221" t="s">
        <v>156</v>
      </c>
      <c r="K67" s="427">
        <v>75</v>
      </c>
      <c r="L67" s="428">
        <v>5449</v>
      </c>
      <c r="M67" s="428">
        <v>3656</v>
      </c>
      <c r="N67" s="428">
        <v>28098</v>
      </c>
      <c r="O67" s="428">
        <v>0</v>
      </c>
      <c r="P67" s="428"/>
      <c r="Q67" s="428">
        <v>142.20000000000002</v>
      </c>
      <c r="R67" s="428">
        <v>3410</v>
      </c>
      <c r="S67" s="428"/>
      <c r="T67" s="428"/>
      <c r="U67" s="428"/>
      <c r="V67" s="428"/>
      <c r="W67" s="308"/>
      <c r="X67" s="317">
        <f>IFERROR(IF(tblPiNAnalysis5[[#This Row],[CCCM]]="", "", MROUND(tblPiNAnalysis5[[#This Row],[CCCM]]/tblPiNAnalysis5[[#This Row],[PIN]], 0.05)), "")</f>
        <v>0</v>
      </c>
      <c r="Y67" s="318">
        <f>IFERROR(IF(tblPiNAnalysis5[[#This Row],[Education]]="", "", MROUND(tblPiNAnalysis5[[#This Row],[Education]]/tblPiNAnalysis5[[#This Row],[PIN]], 0.05)), "")</f>
        <v>0.15000000000000002</v>
      </c>
      <c r="Z67" s="318">
        <f>IFERROR(IF(tblPiNAnalysis5[[#This Row],[Nutrition]]="", "", MROUND(tblPiNAnalysis5[[#This Row],[Nutrition]]/tblPiNAnalysis5[[#This Row],[PIN]], 0.05)), "")</f>
        <v>0.1</v>
      </c>
      <c r="AA67" s="318">
        <f>IFERROR(IF(tblPiNAnalysis5[[#This Row],[Food Security]]="", "", MROUND(tblPiNAnalysis5[[#This Row],[Food Security]]/tblPiNAnalysis5[[#This Row],[PIN]], 0.05)), "")</f>
        <v>0.85000000000000009</v>
      </c>
      <c r="AB67" s="318">
        <f>IFERROR(IF(tblPiNAnalysis5[[#This Row],[Health]]="", "", MROUND(tblPiNAnalysis5[[#This Row],[Health]]/tblPiNAnalysis5[[#This Row],[PIN]], 0.05)), "")</f>
        <v>0</v>
      </c>
      <c r="AC67" s="319" t="str">
        <f>IFERROR(IF(tblPiNAnalysis5[[#This Row],[Protection]]="", "", MROUND(tblPiNAnalysis5[[#This Row],[Protection]]/tblPiNAnalysis5[[#This Row],[PIN]], 0.05)), "")</f>
        <v/>
      </c>
      <c r="AD67" s="319">
        <f>IFERROR(IF(tblPiNAnalysis5[[#This Row],[Shelter]]="", "", MROUND(tblPiNAnalysis5[[#This Row],[Shelter]]/tblPiNAnalysis5[[#This Row],[PIN]], 0.05)), "")</f>
        <v>0</v>
      </c>
      <c r="AE67" s="320">
        <f>IFERROR(IF(tblPiNAnalysis5[[#This Row],[WASH]]="", "", MROUND(tblPiNAnalysis5[[#This Row],[WASH]]/tblPiNAnalysis5[[#This Row],[PIN]], 0.05)), "")</f>
        <v>0.1</v>
      </c>
      <c r="AF67" s="488">
        <f>VLOOKUP(tblPiNAnalysis5[[#This Row],[ID]],tblPiNAnalysis[[ID]:[Final PiN]],63,FALSE)</f>
        <v>32196</v>
      </c>
      <c r="AG67" s="488">
        <f>IFERROR(IF(tblPiNAnalysis5[[#This Row],[Final TARGET]]="", "", MROUND(tblPiNAnalysis5[[#This Row],[Final TARGET]]/tblPiNAnalysis5[[#This Row],[PIN]], 0.05)), "")</f>
        <v>0.85000000000000009</v>
      </c>
      <c r="AH67" s="322">
        <f>IF(MAX(tblPiNAnalysis5[[#This Row],[CCCM]:[WASH]])&lt;tblPiNAnalysis5[[#This Row],[PIN]],MAX(tblPiNAnalysis5[[#This Row],[CCCM]:[WASH]]),tblPiNAnalysis5[[#This Row],[PIN]])</f>
        <v>28098</v>
      </c>
      <c r="AI67" s="326"/>
      <c r="AJ67" s="502">
        <f>tblPiNAnalysis5[[#This Row],[CCCM]]</f>
        <v>75</v>
      </c>
      <c r="AK67" s="500">
        <v>2900</v>
      </c>
      <c r="AL67" s="500">
        <v>2833</v>
      </c>
      <c r="AM67" s="500">
        <f>IF(VLOOKUP(tblPiNAnalysis5[[#This Row],[Admin 2 P-Code]],tblSeverityAnalysis[[Admin 2 P-Code]:[WASH]],10,FALSE)&gt;=4,VLOOKUP(tblPiNAnalysis5[[#This Row],[Admin 2 P-Code]],tblPiNAnalysis[[Admin 2 P-Code]:[WASH]],10,FALSE),0)</f>
        <v>32196</v>
      </c>
      <c r="AN67" s="503">
        <v>0</v>
      </c>
      <c r="AO67" s="500"/>
      <c r="AP67" s="516">
        <v>142</v>
      </c>
      <c r="AQ67" s="501">
        <v>1705</v>
      </c>
      <c r="AR67" s="383">
        <f>MIN(tblPiNAnalysis5[[#This Row],[Final TARGET]],MAX(tblPiNAnalysis5[[#This Row],[CCCM_PRI]:[WASH_PRI]]))</f>
        <v>28098</v>
      </c>
      <c r="AS67" s="383">
        <f>IF(VLOOKUP(tblPiNAnalysis5[[#This Row],[Admin 2 P-Code]],tblSeverityAnalysis[[Admin 2 P-Code]:[Final Severity]],43,FALSE)&gt;=4,VLOOKUP(tblPiNAnalysis5[[#This Row],[Admin 2 P-Code]],tblPiNAnalysis[[Admin 2 P-Code]:[WASH]],8,FALSE),0)</f>
        <v>0</v>
      </c>
    </row>
    <row r="68" spans="1:45" ht="16.5" customHeight="1">
      <c r="A6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Global_PopulationHT0513</v>
      </c>
      <c r="B68" s="304" t="s">
        <v>287</v>
      </c>
      <c r="C68" s="213" t="s">
        <v>288</v>
      </c>
      <c r="D68" s="213" t="s">
        <v>293</v>
      </c>
      <c r="E68" s="103" t="s">
        <v>294</v>
      </c>
      <c r="F68" s="99"/>
      <c r="G68" s="34"/>
      <c r="H68" s="34"/>
      <c r="I68" s="96">
        <v>44802</v>
      </c>
      <c r="J68" s="221" t="s">
        <v>156</v>
      </c>
      <c r="K68" s="427">
        <v>0</v>
      </c>
      <c r="L68" s="428">
        <v>4370</v>
      </c>
      <c r="M68" s="428">
        <v>3155</v>
      </c>
      <c r="N68" s="428">
        <v>21117</v>
      </c>
      <c r="O68" s="428">
        <v>5796.9422709677419</v>
      </c>
      <c r="P68" s="428"/>
      <c r="Q68" s="428">
        <v>99.5</v>
      </c>
      <c r="R68" s="428">
        <v>13602.602409638554</v>
      </c>
      <c r="S68" s="428"/>
      <c r="T68" s="428"/>
      <c r="U68" s="428"/>
      <c r="V68" s="428"/>
      <c r="W68" s="308"/>
      <c r="X68" s="317">
        <f>IFERROR(IF(tblPiNAnalysis5[[#This Row],[CCCM]]="", "", MROUND(tblPiNAnalysis5[[#This Row],[CCCM]]/tblPiNAnalysis5[[#This Row],[PIN]], 0.05)), "")</f>
        <v>0</v>
      </c>
      <c r="Y68" s="318">
        <f>IFERROR(IF(tblPiNAnalysis5[[#This Row],[Education]]="", "", MROUND(tblPiNAnalysis5[[#This Row],[Education]]/tblPiNAnalysis5[[#This Row],[PIN]], 0.05)), "")</f>
        <v>0.2</v>
      </c>
      <c r="Z68" s="318">
        <f>IFERROR(IF(tblPiNAnalysis5[[#This Row],[Nutrition]]="", "", MROUND(tblPiNAnalysis5[[#This Row],[Nutrition]]/tblPiNAnalysis5[[#This Row],[PIN]], 0.05)), "")</f>
        <v>0.15000000000000002</v>
      </c>
      <c r="AA68" s="318">
        <f>IFERROR(IF(tblPiNAnalysis5[[#This Row],[Food Security]]="", "", MROUND(tblPiNAnalysis5[[#This Row],[Food Security]]/tblPiNAnalysis5[[#This Row],[PIN]], 0.05)), "")</f>
        <v>0.85000000000000009</v>
      </c>
      <c r="AB68" s="318">
        <f>IFERROR(IF(tblPiNAnalysis5[[#This Row],[Health]]="", "", MROUND(tblPiNAnalysis5[[#This Row],[Health]]/tblPiNAnalysis5[[#This Row],[PIN]], 0.05)), "")</f>
        <v>0.25</v>
      </c>
      <c r="AC68" s="319" t="str">
        <f>IFERROR(IF(tblPiNAnalysis5[[#This Row],[Protection]]="", "", MROUND(tblPiNAnalysis5[[#This Row],[Protection]]/tblPiNAnalysis5[[#This Row],[PIN]], 0.05)), "")</f>
        <v/>
      </c>
      <c r="AD68" s="319">
        <f>IFERROR(IF(tblPiNAnalysis5[[#This Row],[Shelter]]="", "", MROUND(tblPiNAnalysis5[[#This Row],[Shelter]]/tblPiNAnalysis5[[#This Row],[PIN]], 0.05)), "")</f>
        <v>0</v>
      </c>
      <c r="AE68" s="320">
        <f>IFERROR(IF(tblPiNAnalysis5[[#This Row],[WASH]]="", "", MROUND(tblPiNAnalysis5[[#This Row],[WASH]]/tblPiNAnalysis5[[#This Row],[PIN]], 0.05)), "")</f>
        <v>0.55000000000000004</v>
      </c>
      <c r="AF68" s="488">
        <f>VLOOKUP(tblPiNAnalysis5[[#This Row],[ID]],tblPiNAnalysis[[ID]:[Final PiN]],63,FALSE)</f>
        <v>24196</v>
      </c>
      <c r="AG68" s="488">
        <f>IFERROR(IF(tblPiNAnalysis5[[#This Row],[Final TARGET]]="", "", MROUND(tblPiNAnalysis5[[#This Row],[Final TARGET]]/tblPiNAnalysis5[[#This Row],[PIN]], 0.05)), "")</f>
        <v>0.85000000000000009</v>
      </c>
      <c r="AH68" s="322">
        <f>IF(MAX(tblPiNAnalysis5[[#This Row],[CCCM]:[WASH]])&lt;tblPiNAnalysis5[[#This Row],[PIN]],MAX(tblPiNAnalysis5[[#This Row],[CCCM]:[WASH]]),tblPiNAnalysis5[[#This Row],[PIN]])</f>
        <v>21117</v>
      </c>
      <c r="AI68" s="326"/>
      <c r="AJ68" s="502">
        <f>tblPiNAnalysis5[[#This Row],[CCCM]]</f>
        <v>0</v>
      </c>
      <c r="AK68" s="500">
        <v>2184</v>
      </c>
      <c r="AL68" s="500">
        <v>2490</v>
      </c>
      <c r="AM68" s="500">
        <f>IF(VLOOKUP(tblPiNAnalysis5[[#This Row],[Admin 2 P-Code]],tblSeverityAnalysis[[Admin 2 P-Code]:[WASH]],10,FALSE)&gt;=4,VLOOKUP(tblPiNAnalysis5[[#This Row],[Admin 2 P-Code]],tblPiNAnalysis[[Admin 2 P-Code]:[WASH]],10,FALSE),0)</f>
        <v>24196</v>
      </c>
      <c r="AN68" s="503">
        <v>0</v>
      </c>
      <c r="AO68" s="500"/>
      <c r="AP68" s="516">
        <v>100</v>
      </c>
      <c r="AQ68" s="501">
        <v>13602.602409638554</v>
      </c>
      <c r="AR68" s="383">
        <f>MIN(tblPiNAnalysis5[[#This Row],[Final TARGET]],MAX(tblPiNAnalysis5[[#This Row],[CCCM_PRI]:[WASH_PRI]]))</f>
        <v>21117</v>
      </c>
      <c r="AS68" s="383">
        <f>IF(VLOOKUP(tblPiNAnalysis5[[#This Row],[Admin 2 P-Code]],tblSeverityAnalysis[[Admin 2 P-Code]:[Final Severity]],43,FALSE)&gt;=4,VLOOKUP(tblPiNAnalysis5[[#This Row],[Admin 2 P-Code]],tblPiNAnalysis[[Admin 2 P-Code]:[WASH]],8,FALSE),0)</f>
        <v>7816</v>
      </c>
    </row>
    <row r="69" spans="1:45" ht="16.5" customHeight="1">
      <c r="A6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Global_PopulationHT0521</v>
      </c>
      <c r="B69" s="304" t="s">
        <v>287</v>
      </c>
      <c r="C69" s="213" t="s">
        <v>288</v>
      </c>
      <c r="D69" s="213" t="s">
        <v>295</v>
      </c>
      <c r="E69" s="103" t="s">
        <v>296</v>
      </c>
      <c r="F69" s="99"/>
      <c r="G69" s="34"/>
      <c r="H69" s="34"/>
      <c r="I69" s="96">
        <v>162808</v>
      </c>
      <c r="J69" s="221" t="s">
        <v>156</v>
      </c>
      <c r="K69" s="427">
        <v>0</v>
      </c>
      <c r="L69" s="428">
        <v>17416</v>
      </c>
      <c r="M69" s="428">
        <v>11455</v>
      </c>
      <c r="N69" s="428">
        <v>87703</v>
      </c>
      <c r="O69" s="428">
        <v>0</v>
      </c>
      <c r="P69" s="428"/>
      <c r="Q69" s="428">
        <v>6095.2</v>
      </c>
      <c r="R69" s="428">
        <v>7005</v>
      </c>
      <c r="S69" s="428"/>
      <c r="T69" s="428"/>
      <c r="U69" s="428"/>
      <c r="V69" s="428"/>
      <c r="W69" s="308"/>
      <c r="X69" s="317">
        <f>IFERROR(IF(tblPiNAnalysis5[[#This Row],[CCCM]]="", "", MROUND(tblPiNAnalysis5[[#This Row],[CCCM]]/tblPiNAnalysis5[[#This Row],[PIN]], 0.05)), "")</f>
        <v>0</v>
      </c>
      <c r="Y69" s="318">
        <f>IFERROR(IF(tblPiNAnalysis5[[#This Row],[Education]]="", "", MROUND(tblPiNAnalysis5[[#This Row],[Education]]/tblPiNAnalysis5[[#This Row],[PIN]], 0.05)), "")</f>
        <v>0.15000000000000002</v>
      </c>
      <c r="Z69" s="318">
        <f>IFERROR(IF(tblPiNAnalysis5[[#This Row],[Nutrition]]="", "", MROUND(tblPiNAnalysis5[[#This Row],[Nutrition]]/tblPiNAnalysis5[[#This Row],[PIN]], 0.05)), "")</f>
        <v>0.1</v>
      </c>
      <c r="AA69" s="318">
        <f>IFERROR(IF(tblPiNAnalysis5[[#This Row],[Food Security]]="", "", MROUND(tblPiNAnalysis5[[#This Row],[Food Security]]/tblPiNAnalysis5[[#This Row],[PIN]], 0.05)), "")</f>
        <v>0.9</v>
      </c>
      <c r="AB69" s="318">
        <f>IFERROR(IF(tblPiNAnalysis5[[#This Row],[Health]]="", "", MROUND(tblPiNAnalysis5[[#This Row],[Health]]/tblPiNAnalysis5[[#This Row],[PIN]], 0.05)), "")</f>
        <v>0</v>
      </c>
      <c r="AC69" s="319" t="str">
        <f>IFERROR(IF(tblPiNAnalysis5[[#This Row],[Protection]]="", "", MROUND(tblPiNAnalysis5[[#This Row],[Protection]]/tblPiNAnalysis5[[#This Row],[PIN]], 0.05)), "")</f>
        <v/>
      </c>
      <c r="AD69" s="319">
        <f>IFERROR(IF(tblPiNAnalysis5[[#This Row],[Shelter]]="", "", MROUND(tblPiNAnalysis5[[#This Row],[Shelter]]/tblPiNAnalysis5[[#This Row],[PIN]], 0.05)), "")</f>
        <v>0.05</v>
      </c>
      <c r="AE69" s="320">
        <f>IFERROR(IF(tblPiNAnalysis5[[#This Row],[WASH]]="", "", MROUND(tblPiNAnalysis5[[#This Row],[WASH]]/tblPiNAnalysis5[[#This Row],[PIN]], 0.05)), "")</f>
        <v>0.05</v>
      </c>
      <c r="AF69" s="488">
        <f>VLOOKUP(tblPiNAnalysis5[[#This Row],[ID]],tblPiNAnalysis[[ID]:[Final PiN]],63,FALSE)</f>
        <v>100158</v>
      </c>
      <c r="AG69" s="488">
        <f>IFERROR(IF(tblPiNAnalysis5[[#This Row],[Final TARGET]]="", "", MROUND(tblPiNAnalysis5[[#This Row],[Final TARGET]]/tblPiNAnalysis5[[#This Row],[PIN]], 0.05)), "")</f>
        <v>0.9</v>
      </c>
      <c r="AH69" s="322">
        <f>IF(MAX(tblPiNAnalysis5[[#This Row],[CCCM]:[WASH]])&lt;tblPiNAnalysis5[[#This Row],[PIN]],MAX(tblPiNAnalysis5[[#This Row],[CCCM]:[WASH]]),tblPiNAnalysis5[[#This Row],[PIN]])</f>
        <v>87703</v>
      </c>
      <c r="AI69" s="326"/>
      <c r="AJ69" s="502">
        <f>tblPiNAnalysis5[[#This Row],[CCCM]]</f>
        <v>0</v>
      </c>
      <c r="AK69" s="500">
        <v>8912</v>
      </c>
      <c r="AL69" s="500">
        <v>8959</v>
      </c>
      <c r="AM69" s="500">
        <f>IF(VLOOKUP(tblPiNAnalysis5[[#This Row],[Admin 2 P-Code]],tblSeverityAnalysis[[Admin 2 P-Code]:[WASH]],10,FALSE)&gt;=4,VLOOKUP(tblPiNAnalysis5[[#This Row],[Admin 2 P-Code]],tblPiNAnalysis[[Admin 2 P-Code]:[WASH]],10,FALSE),0)</f>
        <v>100158</v>
      </c>
      <c r="AN69" s="503">
        <v>0</v>
      </c>
      <c r="AO69" s="500"/>
      <c r="AP69" s="516">
        <v>6095</v>
      </c>
      <c r="AQ69" s="501">
        <v>11760</v>
      </c>
      <c r="AR69" s="383">
        <f>MIN(tblPiNAnalysis5[[#This Row],[Final TARGET]],MAX(tblPiNAnalysis5[[#This Row],[CCCM_PRI]:[WASH_PRI]]))</f>
        <v>87703</v>
      </c>
      <c r="AS69" s="383">
        <f>IF(VLOOKUP(tblPiNAnalysis5[[#This Row],[Admin 2 P-Code]],tblSeverityAnalysis[[Admin 2 P-Code]:[Final Severity]],43,FALSE)&gt;=4,VLOOKUP(tblPiNAnalysis5[[#This Row],[Admin 2 P-Code]],tblPiNAnalysis[[Admin 2 P-Code]:[WASH]],8,FALSE),0)</f>
        <v>30817</v>
      </c>
    </row>
    <row r="70" spans="1:45" ht="16.5" customHeight="1">
      <c r="A7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Global_PopulationHT0522</v>
      </c>
      <c r="B70" s="304" t="s">
        <v>287</v>
      </c>
      <c r="C70" s="213" t="s">
        <v>288</v>
      </c>
      <c r="D70" s="213" t="s">
        <v>297</v>
      </c>
      <c r="E70" s="103" t="s">
        <v>298</v>
      </c>
      <c r="F70" s="99"/>
      <c r="G70" s="34"/>
      <c r="H70" s="34"/>
      <c r="I70" s="96">
        <v>32784</v>
      </c>
      <c r="J70" s="221" t="s">
        <v>156</v>
      </c>
      <c r="K70" s="427">
        <v>0</v>
      </c>
      <c r="L70" s="428">
        <v>3732</v>
      </c>
      <c r="M70" s="428">
        <v>2187</v>
      </c>
      <c r="N70" s="428">
        <v>18929</v>
      </c>
      <c r="O70" s="428">
        <v>1064.5810406048588</v>
      </c>
      <c r="P70" s="428"/>
      <c r="Q70" s="428">
        <v>1049.5999999999999</v>
      </c>
      <c r="R70" s="428">
        <v>2017</v>
      </c>
      <c r="S70" s="428"/>
      <c r="T70" s="428"/>
      <c r="U70" s="428"/>
      <c r="V70" s="428"/>
      <c r="W70" s="308"/>
      <c r="X70" s="317">
        <f>IFERROR(IF(tblPiNAnalysis5[[#This Row],[CCCM]]="", "", MROUND(tblPiNAnalysis5[[#This Row],[CCCM]]/tblPiNAnalysis5[[#This Row],[PIN]], 0.05)), "")</f>
        <v>0</v>
      </c>
      <c r="Y70" s="318">
        <f>IFERROR(IF(tblPiNAnalysis5[[#This Row],[Education]]="", "", MROUND(tblPiNAnalysis5[[#This Row],[Education]]/tblPiNAnalysis5[[#This Row],[PIN]], 0.05)), "")</f>
        <v>0.15000000000000002</v>
      </c>
      <c r="Z70" s="318">
        <f>IFERROR(IF(tblPiNAnalysis5[[#This Row],[Nutrition]]="", "", MROUND(tblPiNAnalysis5[[#This Row],[Nutrition]]/tblPiNAnalysis5[[#This Row],[PIN]], 0.05)), "")</f>
        <v>0.1</v>
      </c>
      <c r="AA70" s="318">
        <f>IFERROR(IF(tblPiNAnalysis5[[#This Row],[Food Security]]="", "", MROUND(tblPiNAnalysis5[[#This Row],[Food Security]]/tblPiNAnalysis5[[#This Row],[PIN]], 0.05)), "")</f>
        <v>0.9</v>
      </c>
      <c r="AB70" s="318">
        <f>IFERROR(IF(tblPiNAnalysis5[[#This Row],[Health]]="", "", MROUND(tblPiNAnalysis5[[#This Row],[Health]]/tblPiNAnalysis5[[#This Row],[PIN]], 0.05)), "")</f>
        <v>0.05</v>
      </c>
      <c r="AC70" s="319" t="str">
        <f>IFERROR(IF(tblPiNAnalysis5[[#This Row],[Protection]]="", "", MROUND(tblPiNAnalysis5[[#This Row],[Protection]]/tblPiNAnalysis5[[#This Row],[PIN]], 0.05)), "")</f>
        <v/>
      </c>
      <c r="AD70" s="319">
        <f>IFERROR(IF(tblPiNAnalysis5[[#This Row],[Shelter]]="", "", MROUND(tblPiNAnalysis5[[#This Row],[Shelter]]/tblPiNAnalysis5[[#This Row],[PIN]], 0.05)), "")</f>
        <v>0.05</v>
      </c>
      <c r="AE70" s="320">
        <f>IFERROR(IF(tblPiNAnalysis5[[#This Row],[WASH]]="", "", MROUND(tblPiNAnalysis5[[#This Row],[WASH]]/tblPiNAnalysis5[[#This Row],[PIN]], 0.05)), "")</f>
        <v>0.1</v>
      </c>
      <c r="AF70" s="488">
        <f>VLOOKUP(tblPiNAnalysis5[[#This Row],[ID]],tblPiNAnalysis[[ID]:[Final PiN]],63,FALSE)</f>
        <v>21430</v>
      </c>
      <c r="AG70" s="488">
        <f>IFERROR(IF(tblPiNAnalysis5[[#This Row],[Final TARGET]]="", "", MROUND(tblPiNAnalysis5[[#This Row],[Final TARGET]]/tblPiNAnalysis5[[#This Row],[PIN]], 0.05)), "")</f>
        <v>0.9</v>
      </c>
      <c r="AH70" s="322">
        <f>IF(MAX(tblPiNAnalysis5[[#This Row],[CCCM]:[WASH]])&lt;tblPiNAnalysis5[[#This Row],[PIN]],MAX(tblPiNAnalysis5[[#This Row],[CCCM]:[WASH]]),tblPiNAnalysis5[[#This Row],[PIN]])</f>
        <v>18929</v>
      </c>
      <c r="AI70" s="326"/>
      <c r="AJ70" s="502">
        <f>tblPiNAnalysis5[[#This Row],[CCCM]]</f>
        <v>0</v>
      </c>
      <c r="AK70" s="500">
        <v>2019</v>
      </c>
      <c r="AL70" s="500">
        <v>1676</v>
      </c>
      <c r="AM70" s="500">
        <f>IF(VLOOKUP(tblPiNAnalysis5[[#This Row],[Admin 2 P-Code]],tblSeverityAnalysis[[Admin 2 P-Code]:[WASH]],10,FALSE)&gt;=4,VLOOKUP(tblPiNAnalysis5[[#This Row],[Admin 2 P-Code]],tblPiNAnalysis[[Admin 2 P-Code]:[WASH]],10,FALSE),0)</f>
        <v>21430</v>
      </c>
      <c r="AN70" s="503">
        <v>0</v>
      </c>
      <c r="AO70" s="500"/>
      <c r="AP70" s="516">
        <v>1050</v>
      </c>
      <c r="AQ70" s="501">
        <v>1008.5</v>
      </c>
      <c r="AR70" s="383">
        <f>MIN(tblPiNAnalysis5[[#This Row],[Final TARGET]],MAX(tblPiNAnalysis5[[#This Row],[CCCM_PRI]:[WASH_PRI]]))</f>
        <v>18929</v>
      </c>
      <c r="AS70" s="383">
        <f>IF(VLOOKUP(tblPiNAnalysis5[[#This Row],[Admin 2 P-Code]],tblSeverityAnalysis[[Admin 2 P-Code]:[Final Severity]],43,FALSE)&gt;=4,VLOOKUP(tblPiNAnalysis5[[#This Row],[Admin 2 P-Code]],tblPiNAnalysis[[Admin 2 P-Code]:[WASH]],8,FALSE),0)</f>
        <v>0</v>
      </c>
    </row>
    <row r="71" spans="1:45" ht="16.5" customHeight="1">
      <c r="A7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Global_PopulationHT0523</v>
      </c>
      <c r="B71" s="304" t="s">
        <v>287</v>
      </c>
      <c r="C71" s="213" t="s">
        <v>288</v>
      </c>
      <c r="D71" s="213" t="s">
        <v>299</v>
      </c>
      <c r="E71" s="103" t="s">
        <v>300</v>
      </c>
      <c r="F71" s="99"/>
      <c r="G71" s="34"/>
      <c r="H71" s="34"/>
      <c r="I71" s="96">
        <v>47668</v>
      </c>
      <c r="J71" s="221" t="s">
        <v>156</v>
      </c>
      <c r="K71" s="427">
        <v>0</v>
      </c>
      <c r="L71" s="428">
        <v>5504</v>
      </c>
      <c r="M71" s="428">
        <v>3930</v>
      </c>
      <c r="N71" s="428">
        <v>26285</v>
      </c>
      <c r="O71" s="428">
        <v>0</v>
      </c>
      <c r="P71" s="428"/>
      <c r="Q71" s="428">
        <v>2067.9</v>
      </c>
      <c r="R71" s="428">
        <v>4000</v>
      </c>
      <c r="S71" s="428"/>
      <c r="T71" s="428"/>
      <c r="U71" s="428"/>
      <c r="V71" s="428"/>
      <c r="W71" s="308"/>
      <c r="X71" s="317">
        <f>IFERROR(IF(tblPiNAnalysis5[[#This Row],[CCCM]]="", "", MROUND(tblPiNAnalysis5[[#This Row],[CCCM]]/tblPiNAnalysis5[[#This Row],[PIN]], 0.05)), "")</f>
        <v>0</v>
      </c>
      <c r="Y71" s="318">
        <f>IFERROR(IF(tblPiNAnalysis5[[#This Row],[Education]]="", "", MROUND(tblPiNAnalysis5[[#This Row],[Education]]/tblPiNAnalysis5[[#This Row],[PIN]], 0.05)), "")</f>
        <v>0.2</v>
      </c>
      <c r="Z71" s="318">
        <f>IFERROR(IF(tblPiNAnalysis5[[#This Row],[Nutrition]]="", "", MROUND(tblPiNAnalysis5[[#This Row],[Nutrition]]/tblPiNAnalysis5[[#This Row],[PIN]], 0.05)), "")</f>
        <v>0.15000000000000002</v>
      </c>
      <c r="AA71" s="318">
        <f>IFERROR(IF(tblPiNAnalysis5[[#This Row],[Food Security]]="", "", MROUND(tblPiNAnalysis5[[#This Row],[Food Security]]/tblPiNAnalysis5[[#This Row],[PIN]], 0.05)), "")</f>
        <v>0.9</v>
      </c>
      <c r="AB71" s="318">
        <f>IFERROR(IF(tblPiNAnalysis5[[#This Row],[Health]]="", "", MROUND(tblPiNAnalysis5[[#This Row],[Health]]/tblPiNAnalysis5[[#This Row],[PIN]], 0.05)), "")</f>
        <v>0</v>
      </c>
      <c r="AC71" s="319" t="str">
        <f>IFERROR(IF(tblPiNAnalysis5[[#This Row],[Protection]]="", "", MROUND(tblPiNAnalysis5[[#This Row],[Protection]]/tblPiNAnalysis5[[#This Row],[PIN]], 0.05)), "")</f>
        <v/>
      </c>
      <c r="AD71" s="319">
        <f>IFERROR(IF(tblPiNAnalysis5[[#This Row],[Shelter]]="", "", MROUND(tblPiNAnalysis5[[#This Row],[Shelter]]/tblPiNAnalysis5[[#This Row],[PIN]], 0.05)), "")</f>
        <v>0.05</v>
      </c>
      <c r="AE71" s="320">
        <f>IFERROR(IF(tblPiNAnalysis5[[#This Row],[WASH]]="", "", MROUND(tblPiNAnalysis5[[#This Row],[WASH]]/tblPiNAnalysis5[[#This Row],[PIN]], 0.05)), "")</f>
        <v>0.15000000000000002</v>
      </c>
      <c r="AF71" s="488">
        <f>VLOOKUP(tblPiNAnalysis5[[#This Row],[ID]],tblPiNAnalysis[[ID]:[Final PiN]],63,FALSE)</f>
        <v>29756</v>
      </c>
      <c r="AG71" s="488">
        <f>IFERROR(IF(tblPiNAnalysis5[[#This Row],[Final TARGET]]="", "", MROUND(tblPiNAnalysis5[[#This Row],[Final TARGET]]/tblPiNAnalysis5[[#This Row],[PIN]], 0.05)), "")</f>
        <v>0.9</v>
      </c>
      <c r="AH71" s="322">
        <f>IF(MAX(tblPiNAnalysis5[[#This Row],[CCCM]:[WASH]])&lt;tblPiNAnalysis5[[#This Row],[PIN]],MAX(tblPiNAnalysis5[[#This Row],[CCCM]:[WASH]]),tblPiNAnalysis5[[#This Row],[PIN]])</f>
        <v>26285</v>
      </c>
      <c r="AI71" s="326"/>
      <c r="AJ71" s="502">
        <f>tblPiNAnalysis5[[#This Row],[CCCM]]</f>
        <v>0</v>
      </c>
      <c r="AK71" s="500">
        <v>3012</v>
      </c>
      <c r="AL71" s="500">
        <v>3170</v>
      </c>
      <c r="AM71" s="500">
        <f>IF(VLOOKUP(tblPiNAnalysis5[[#This Row],[Admin 2 P-Code]],tblSeverityAnalysis[[Admin 2 P-Code]:[WASH]],10,FALSE)&gt;=4,VLOOKUP(tblPiNAnalysis5[[#This Row],[Admin 2 P-Code]],tblPiNAnalysis[[Admin 2 P-Code]:[WASH]],10,FALSE),0)</f>
        <v>29756</v>
      </c>
      <c r="AN71" s="503">
        <v>0</v>
      </c>
      <c r="AO71" s="500"/>
      <c r="AP71" s="516">
        <v>2068</v>
      </c>
      <c r="AQ71" s="501">
        <v>2000</v>
      </c>
      <c r="AR71" s="383">
        <f>MIN(tblPiNAnalysis5[[#This Row],[Final TARGET]],MAX(tblPiNAnalysis5[[#This Row],[CCCM_PRI]:[WASH_PRI]]))</f>
        <v>26285</v>
      </c>
      <c r="AS71" s="383">
        <f>IF(VLOOKUP(tblPiNAnalysis5[[#This Row],[Admin 2 P-Code]],tblSeverityAnalysis[[Admin 2 P-Code]:[Final Severity]],43,FALSE)&gt;=4,VLOOKUP(tblPiNAnalysis5[[#This Row],[Admin 2 P-Code]],tblPiNAnalysis[[Admin 2 P-Code]:[WASH]],8,FALSE),0)</f>
        <v>0</v>
      </c>
    </row>
    <row r="72" spans="1:45" ht="16.5" customHeight="1">
      <c r="A7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Global_PopulationHT0531</v>
      </c>
      <c r="B72" s="304" t="s">
        <v>287</v>
      </c>
      <c r="C72" s="213" t="s">
        <v>288</v>
      </c>
      <c r="D72" s="213" t="s">
        <v>301</v>
      </c>
      <c r="E72" s="103" t="s">
        <v>302</v>
      </c>
      <c r="F72" s="99"/>
      <c r="G72" s="34"/>
      <c r="H72" s="34"/>
      <c r="I72" s="96">
        <v>281577</v>
      </c>
      <c r="J72" s="221" t="s">
        <v>156</v>
      </c>
      <c r="K72" s="427">
        <v>701</v>
      </c>
      <c r="L72" s="428">
        <v>28914</v>
      </c>
      <c r="M72" s="428">
        <v>20042</v>
      </c>
      <c r="N72" s="428">
        <v>161507</v>
      </c>
      <c r="O72" s="428">
        <v>41047.456495358456</v>
      </c>
      <c r="P72" s="428"/>
      <c r="Q72" s="428">
        <v>11169.799999999997</v>
      </c>
      <c r="R72" s="428">
        <v>16595.081029645142</v>
      </c>
      <c r="S72" s="428"/>
      <c r="T72" s="428"/>
      <c r="U72" s="428"/>
      <c r="V72" s="428"/>
      <c r="W72" s="308"/>
      <c r="X72" s="317">
        <f>IFERROR(IF(tblPiNAnalysis5[[#This Row],[CCCM]]="", "", MROUND(tblPiNAnalysis5[[#This Row],[CCCM]]/tblPiNAnalysis5[[#This Row],[PIN]], 0.05)), "")</f>
        <v>0</v>
      </c>
      <c r="Y72" s="318">
        <f>IFERROR(IF(tblPiNAnalysis5[[#This Row],[Education]]="", "", MROUND(tblPiNAnalysis5[[#This Row],[Education]]/tblPiNAnalysis5[[#This Row],[PIN]], 0.05)), "")</f>
        <v>0.15000000000000002</v>
      </c>
      <c r="Z72" s="318">
        <f>IFERROR(IF(tblPiNAnalysis5[[#This Row],[Nutrition]]="", "", MROUND(tblPiNAnalysis5[[#This Row],[Nutrition]]/tblPiNAnalysis5[[#This Row],[PIN]], 0.05)), "")</f>
        <v>0.1</v>
      </c>
      <c r="AA72" s="318">
        <f>IFERROR(IF(tblPiNAnalysis5[[#This Row],[Food Security]]="", "", MROUND(tblPiNAnalysis5[[#This Row],[Food Security]]/tblPiNAnalysis5[[#This Row],[PIN]], 0.05)), "")</f>
        <v>0.75</v>
      </c>
      <c r="AB72" s="318">
        <f>IFERROR(IF(tblPiNAnalysis5[[#This Row],[Health]]="", "", MROUND(tblPiNAnalysis5[[#This Row],[Health]]/tblPiNAnalysis5[[#This Row],[PIN]], 0.05)), "")</f>
        <v>0.2</v>
      </c>
      <c r="AC72" s="319" t="str">
        <f>IFERROR(IF(tblPiNAnalysis5[[#This Row],[Protection]]="", "", MROUND(tblPiNAnalysis5[[#This Row],[Protection]]/tblPiNAnalysis5[[#This Row],[PIN]], 0.05)), "")</f>
        <v/>
      </c>
      <c r="AD72" s="319">
        <f>IFERROR(IF(tblPiNAnalysis5[[#This Row],[Shelter]]="", "", MROUND(tblPiNAnalysis5[[#This Row],[Shelter]]/tblPiNAnalysis5[[#This Row],[PIN]], 0.05)), "")</f>
        <v>0.05</v>
      </c>
      <c r="AE72" s="320">
        <f>IFERROR(IF(tblPiNAnalysis5[[#This Row],[WASH]]="", "", MROUND(tblPiNAnalysis5[[#This Row],[WASH]]/tblPiNAnalysis5[[#This Row],[PIN]], 0.05)), "")</f>
        <v>0.1</v>
      </c>
      <c r="AF72" s="488">
        <f>VLOOKUP(tblPiNAnalysis5[[#This Row],[ID]],tblPiNAnalysis[[ID]:[Final PiN]],63,FALSE)</f>
        <v>210065.38095238095</v>
      </c>
      <c r="AG72" s="488">
        <f>IFERROR(IF(tblPiNAnalysis5[[#This Row],[Final TARGET]]="", "", MROUND(tblPiNAnalysis5[[#This Row],[Final TARGET]]/tblPiNAnalysis5[[#This Row],[PIN]], 0.05)), "")</f>
        <v>0.75</v>
      </c>
      <c r="AH72" s="322">
        <f>IF(MAX(tblPiNAnalysis5[[#This Row],[CCCM]:[WASH]])&lt;tblPiNAnalysis5[[#This Row],[PIN]],MAX(tblPiNAnalysis5[[#This Row],[CCCM]:[WASH]]),tblPiNAnalysis5[[#This Row],[PIN]])</f>
        <v>161507</v>
      </c>
      <c r="AI72" s="326"/>
      <c r="AJ72" s="502">
        <f>tblPiNAnalysis5[[#This Row],[CCCM]]</f>
        <v>701</v>
      </c>
      <c r="AK72" s="500">
        <v>28914</v>
      </c>
      <c r="AL72" s="500">
        <v>15678</v>
      </c>
      <c r="AM72" s="500">
        <f>IF(VLOOKUP(tblPiNAnalysis5[[#This Row],[Admin 2 P-Code]],tblSeverityAnalysis[[Admin 2 P-Code]:[WASH]],10,FALSE)&gt;=4,VLOOKUP(tblPiNAnalysis5[[#This Row],[Admin 2 P-Code]],tblPiNAnalysis[[Admin 2 P-Code]:[WASH]],10,FALSE),0)</f>
        <v>182838</v>
      </c>
      <c r="AN72" s="503">
        <v>0</v>
      </c>
      <c r="AO72" s="500"/>
      <c r="AP72" s="516">
        <v>11170</v>
      </c>
      <c r="AQ72" s="501">
        <v>16595.081029645142</v>
      </c>
      <c r="AR72" s="383">
        <f>MIN(tblPiNAnalysis5[[#This Row],[Final TARGET]],MAX(tblPiNAnalysis5[[#This Row],[CCCM_PRI]:[WASH_PRI]]))</f>
        <v>161507</v>
      </c>
      <c r="AS72" s="383">
        <f>IF(VLOOKUP(tblPiNAnalysis5[[#This Row],[Admin 2 P-Code]],tblSeverityAnalysis[[Admin 2 P-Code]:[Final Severity]],43,FALSE)&gt;=4,VLOOKUP(tblPiNAnalysis5[[#This Row],[Admin 2 P-Code]],tblPiNAnalysis[[Admin 2 P-Code]:[WASH]],8,FALSE),0)</f>
        <v>0</v>
      </c>
    </row>
    <row r="73" spans="1:45" ht="16.5" customHeight="1">
      <c r="A7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Global_PopulationHT0532</v>
      </c>
      <c r="B73" s="304" t="s">
        <v>287</v>
      </c>
      <c r="C73" s="213" t="s">
        <v>288</v>
      </c>
      <c r="D73" s="213" t="s">
        <v>303</v>
      </c>
      <c r="E73" s="103" t="s">
        <v>304</v>
      </c>
      <c r="F73" s="99"/>
      <c r="G73" s="34"/>
      <c r="H73" s="34"/>
      <c r="I73" s="96">
        <v>146485</v>
      </c>
      <c r="J73" s="221" t="s">
        <v>156</v>
      </c>
      <c r="K73" s="427">
        <v>2455</v>
      </c>
      <c r="L73" s="428">
        <v>18960</v>
      </c>
      <c r="M73" s="428">
        <v>13047</v>
      </c>
      <c r="N73" s="428">
        <v>87713</v>
      </c>
      <c r="O73" s="428">
        <v>97883.125571579323</v>
      </c>
      <c r="P73" s="428"/>
      <c r="Q73" s="428">
        <v>17600.800000000003</v>
      </c>
      <c r="R73" s="428">
        <v>43070</v>
      </c>
      <c r="S73" s="428"/>
      <c r="T73" s="428"/>
      <c r="U73" s="428"/>
      <c r="V73" s="428"/>
      <c r="W73" s="308"/>
      <c r="X73" s="317">
        <f>IFERROR(IF(tblPiNAnalysis5[[#This Row],[CCCM]]="", "", MROUND(tblPiNAnalysis5[[#This Row],[CCCM]]/tblPiNAnalysis5[[#This Row],[PIN]], 0.05)), "")</f>
        <v>0</v>
      </c>
      <c r="Y73" s="318">
        <f>IFERROR(IF(tblPiNAnalysis5[[#This Row],[Education]]="", "", MROUND(tblPiNAnalysis5[[#This Row],[Education]]/tblPiNAnalysis5[[#This Row],[PIN]], 0.05)), "")</f>
        <v>0.2</v>
      </c>
      <c r="Z73" s="318">
        <f>IFERROR(IF(tblPiNAnalysis5[[#This Row],[Nutrition]]="", "", MROUND(tblPiNAnalysis5[[#This Row],[Nutrition]]/tblPiNAnalysis5[[#This Row],[PIN]], 0.05)), "")</f>
        <v>0.15000000000000002</v>
      </c>
      <c r="AA73" s="318">
        <f>IFERROR(IF(tblPiNAnalysis5[[#This Row],[Food Security]]="", "", MROUND(tblPiNAnalysis5[[#This Row],[Food Security]]/tblPiNAnalysis5[[#This Row],[PIN]], 0.05)), "")</f>
        <v>0.9</v>
      </c>
      <c r="AB73" s="318">
        <f>IFERROR(IF(tblPiNAnalysis5[[#This Row],[Health]]="", "", MROUND(tblPiNAnalysis5[[#This Row],[Health]]/tblPiNAnalysis5[[#This Row],[PIN]], 0.05)), "")</f>
        <v>1</v>
      </c>
      <c r="AC73" s="319" t="str">
        <f>IFERROR(IF(tblPiNAnalysis5[[#This Row],[Protection]]="", "", MROUND(tblPiNAnalysis5[[#This Row],[Protection]]/tblPiNAnalysis5[[#This Row],[PIN]], 0.05)), "")</f>
        <v/>
      </c>
      <c r="AD73" s="319">
        <f>IFERROR(IF(tblPiNAnalysis5[[#This Row],[Shelter]]="", "", MROUND(tblPiNAnalysis5[[#This Row],[Shelter]]/tblPiNAnalysis5[[#This Row],[PIN]], 0.05)), "")</f>
        <v>0.2</v>
      </c>
      <c r="AE73" s="320">
        <f>IFERROR(IF(tblPiNAnalysis5[[#This Row],[WASH]]="", "", MROUND(tblPiNAnalysis5[[#This Row],[WASH]]/tblPiNAnalysis5[[#This Row],[PIN]], 0.05)), "")</f>
        <v>0.45</v>
      </c>
      <c r="AF73" s="488">
        <f>VLOOKUP(tblPiNAnalysis5[[#This Row],[ID]],tblPiNAnalysis[[ID]:[Final PiN]],63,FALSE)</f>
        <v>99298</v>
      </c>
      <c r="AG73" s="488">
        <f>IFERROR(IF(tblPiNAnalysis5[[#This Row],[Final TARGET]]="", "", MROUND(tblPiNAnalysis5[[#This Row],[Final TARGET]]/tblPiNAnalysis5[[#This Row],[PIN]], 0.05)), "")</f>
        <v>1</v>
      </c>
      <c r="AH73" s="322">
        <f>IF(MAX(tblPiNAnalysis5[[#This Row],[CCCM]:[WASH]])&lt;tblPiNAnalysis5[[#This Row],[PIN]],MAX(tblPiNAnalysis5[[#This Row],[CCCM]:[WASH]]),tblPiNAnalysis5[[#This Row],[PIN]])</f>
        <v>97883.125571579323</v>
      </c>
      <c r="AI73" s="326"/>
      <c r="AJ73" s="502">
        <f>tblPiNAnalysis5[[#This Row],[CCCM]]</f>
        <v>2455</v>
      </c>
      <c r="AK73" s="500">
        <v>18960</v>
      </c>
      <c r="AL73" s="500">
        <v>10224</v>
      </c>
      <c r="AM73" s="500">
        <f>IF(VLOOKUP(tblPiNAnalysis5[[#This Row],[Admin 2 P-Code]],tblSeverityAnalysis[[Admin 2 P-Code]:[WASH]],10,FALSE)&gt;=4,VLOOKUP(tblPiNAnalysis5[[#This Row],[Admin 2 P-Code]],tblPiNAnalysis[[Admin 2 P-Code]:[WASH]],10,FALSE),0)</f>
        <v>99298</v>
      </c>
      <c r="AN73" s="503">
        <v>97883.125571579323</v>
      </c>
      <c r="AO73" s="500"/>
      <c r="AP73" s="516">
        <v>17601</v>
      </c>
      <c r="AQ73" s="501">
        <v>21535</v>
      </c>
      <c r="AR73" s="383">
        <f>MIN(tblPiNAnalysis5[[#This Row],[Final TARGET]],MAX(tblPiNAnalysis5[[#This Row],[CCCM_PRI]:[WASH_PRI]]))</f>
        <v>97883.125571579323</v>
      </c>
      <c r="AS73" s="383">
        <f>IF(VLOOKUP(tblPiNAnalysis5[[#This Row],[Admin 2 P-Code]],tblSeverityAnalysis[[Admin 2 P-Code]:[Final Severity]],43,FALSE)&gt;=4,VLOOKUP(tblPiNAnalysis5[[#This Row],[Admin 2 P-Code]],tblPiNAnalysis[[Admin 2 P-Code]:[WASH]],8,FALSE),0)</f>
        <v>26466</v>
      </c>
    </row>
    <row r="74" spans="1:45" ht="16.5" customHeight="1">
      <c r="A7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Global_PopulationHT0533</v>
      </c>
      <c r="B74" s="304" t="s">
        <v>287</v>
      </c>
      <c r="C74" s="213" t="s">
        <v>288</v>
      </c>
      <c r="D74" s="213" t="s">
        <v>305</v>
      </c>
      <c r="E74" s="103" t="s">
        <v>306</v>
      </c>
      <c r="F74" s="99"/>
      <c r="G74" s="34"/>
      <c r="H74" s="34"/>
      <c r="I74" s="96">
        <v>32609</v>
      </c>
      <c r="J74" s="221" t="s">
        <v>156</v>
      </c>
      <c r="K74" s="427">
        <v>75</v>
      </c>
      <c r="L74" s="428">
        <v>3178</v>
      </c>
      <c r="M74" s="428">
        <v>2389</v>
      </c>
      <c r="N74" s="428">
        <v>19112</v>
      </c>
      <c r="O74" s="428">
        <v>9035.0943828637864</v>
      </c>
      <c r="P74" s="428"/>
      <c r="Q74" s="428">
        <v>284.3</v>
      </c>
      <c r="R74" s="428">
        <v>1753</v>
      </c>
      <c r="S74" s="428"/>
      <c r="T74" s="428"/>
      <c r="U74" s="428"/>
      <c r="V74" s="428"/>
      <c r="W74" s="308"/>
      <c r="X74" s="317">
        <f>IFERROR(IF(tblPiNAnalysis5[[#This Row],[CCCM]]="", "", MROUND(tblPiNAnalysis5[[#This Row],[CCCM]]/tblPiNAnalysis5[[#This Row],[PIN]], 0.05)), "")</f>
        <v>0</v>
      </c>
      <c r="Y74" s="318">
        <f>IFERROR(IF(tblPiNAnalysis5[[#This Row],[Education]]="", "", MROUND(tblPiNAnalysis5[[#This Row],[Education]]/tblPiNAnalysis5[[#This Row],[PIN]], 0.05)), "")</f>
        <v>0.1</v>
      </c>
      <c r="Z74" s="318">
        <f>IFERROR(IF(tblPiNAnalysis5[[#This Row],[Nutrition]]="", "", MROUND(tblPiNAnalysis5[[#This Row],[Nutrition]]/tblPiNAnalysis5[[#This Row],[PIN]], 0.05)), "")</f>
        <v>0.05</v>
      </c>
      <c r="AA74" s="318">
        <f>IFERROR(IF(tblPiNAnalysis5[[#This Row],[Food Security]]="", "", MROUND(tblPiNAnalysis5[[#This Row],[Food Security]]/tblPiNAnalysis5[[#This Row],[PIN]], 0.05)), "")</f>
        <v>0.55000000000000004</v>
      </c>
      <c r="AB74" s="318">
        <f>IFERROR(IF(tblPiNAnalysis5[[#This Row],[Health]]="", "", MROUND(tblPiNAnalysis5[[#This Row],[Health]]/tblPiNAnalysis5[[#This Row],[PIN]], 0.05)), "")</f>
        <v>0.25</v>
      </c>
      <c r="AC74" s="319" t="str">
        <f>IFERROR(IF(tblPiNAnalysis5[[#This Row],[Protection]]="", "", MROUND(tblPiNAnalysis5[[#This Row],[Protection]]/tblPiNAnalysis5[[#This Row],[PIN]], 0.05)), "")</f>
        <v/>
      </c>
      <c r="AD74" s="319">
        <f>IFERROR(IF(tblPiNAnalysis5[[#This Row],[Shelter]]="", "", MROUND(tblPiNAnalysis5[[#This Row],[Shelter]]/tblPiNAnalysis5[[#This Row],[PIN]], 0.05)), "")</f>
        <v>0</v>
      </c>
      <c r="AE74" s="320">
        <f>IFERROR(IF(tblPiNAnalysis5[[#This Row],[WASH]]="", "", MROUND(tblPiNAnalysis5[[#This Row],[WASH]]/tblPiNAnalysis5[[#This Row],[PIN]], 0.05)), "")</f>
        <v>0.05</v>
      </c>
      <c r="AF74" s="488">
        <f>VLOOKUP(tblPiNAnalysis5[[#This Row],[ID]],tblPiNAnalysis[[ID]:[Final PiN]],63,FALSE)</f>
        <v>36140.377531455146</v>
      </c>
      <c r="AG74" s="488">
        <f>IFERROR(IF(tblPiNAnalysis5[[#This Row],[Final TARGET]]="", "", MROUND(tblPiNAnalysis5[[#This Row],[Final TARGET]]/tblPiNAnalysis5[[#This Row],[PIN]], 0.05)), "")</f>
        <v>0.55000000000000004</v>
      </c>
      <c r="AH74" s="322">
        <f>IF(MAX(tblPiNAnalysis5[[#This Row],[CCCM]:[WASH]])&lt;tblPiNAnalysis5[[#This Row],[PIN]],MAX(tblPiNAnalysis5[[#This Row],[CCCM]:[WASH]]),tblPiNAnalysis5[[#This Row],[PIN]])</f>
        <v>19112</v>
      </c>
      <c r="AI74" s="326"/>
      <c r="AJ74" s="502">
        <f>tblPiNAnalysis5[[#This Row],[CCCM]]</f>
        <v>75</v>
      </c>
      <c r="AK74" s="500">
        <v>1672</v>
      </c>
      <c r="AL74" s="500">
        <v>1883</v>
      </c>
      <c r="AM74" s="500">
        <f>IF(VLOOKUP(tblPiNAnalysis5[[#This Row],[Admin 2 P-Code]],tblSeverityAnalysis[[Admin 2 P-Code]:[WASH]],10,FALSE)&gt;=4,VLOOKUP(tblPiNAnalysis5[[#This Row],[Admin 2 P-Code]],tblPiNAnalysis[[Admin 2 P-Code]:[WASH]],10,FALSE),0)</f>
        <v>21636</v>
      </c>
      <c r="AN74" s="503">
        <v>0</v>
      </c>
      <c r="AO74" s="500"/>
      <c r="AP74" s="516">
        <v>284</v>
      </c>
      <c r="AQ74" s="501">
        <v>876.5</v>
      </c>
      <c r="AR74" s="383">
        <f>MIN(tblPiNAnalysis5[[#This Row],[Final TARGET]],MAX(tblPiNAnalysis5[[#This Row],[CCCM_PRI]:[WASH_PRI]]))</f>
        <v>19112</v>
      </c>
      <c r="AS74" s="383">
        <f>IF(VLOOKUP(tblPiNAnalysis5[[#This Row],[Admin 2 P-Code]],tblSeverityAnalysis[[Admin 2 P-Code]:[Final Severity]],43,FALSE)&gt;=4,VLOOKUP(tblPiNAnalysis5[[#This Row],[Admin 2 P-Code]],tblPiNAnalysis[[Admin 2 P-Code]:[WASH]],8,FALSE),0)</f>
        <v>5547</v>
      </c>
    </row>
    <row r="75" spans="1:45" ht="16.5" customHeight="1">
      <c r="A7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Global_PopulationHT0541</v>
      </c>
      <c r="B75" s="304" t="s">
        <v>287</v>
      </c>
      <c r="C75" s="213" t="s">
        <v>288</v>
      </c>
      <c r="D75" s="213" t="s">
        <v>307</v>
      </c>
      <c r="E75" s="103" t="s">
        <v>308</v>
      </c>
      <c r="F75" s="99"/>
      <c r="G75" s="34"/>
      <c r="H75" s="34"/>
      <c r="I75" s="96">
        <v>185387</v>
      </c>
      <c r="J75" s="221" t="s">
        <v>156</v>
      </c>
      <c r="K75" s="427">
        <v>453</v>
      </c>
      <c r="L75" s="428">
        <v>20158</v>
      </c>
      <c r="M75" s="428">
        <v>14247</v>
      </c>
      <c r="N75" s="428">
        <v>85060</v>
      </c>
      <c r="O75" s="428">
        <v>52840.874527179905</v>
      </c>
      <c r="P75" s="428"/>
      <c r="Q75" s="428">
        <v>4977</v>
      </c>
      <c r="R75" s="428">
        <v>16253</v>
      </c>
      <c r="S75" s="428"/>
      <c r="T75" s="428"/>
      <c r="U75" s="428"/>
      <c r="V75" s="428"/>
      <c r="W75" s="308"/>
      <c r="X75" s="317">
        <f>IFERROR(IF(tblPiNAnalysis5[[#This Row],[CCCM]]="", "", MROUND(tblPiNAnalysis5[[#This Row],[CCCM]]/tblPiNAnalysis5[[#This Row],[PIN]], 0.05)), "")</f>
        <v>0</v>
      </c>
      <c r="Y75" s="318">
        <f>IFERROR(IF(tblPiNAnalysis5[[#This Row],[Education]]="", "", MROUND(tblPiNAnalysis5[[#This Row],[Education]]/tblPiNAnalysis5[[#This Row],[PIN]], 0.05)), "")</f>
        <v>0.2</v>
      </c>
      <c r="Z75" s="318">
        <f>IFERROR(IF(tblPiNAnalysis5[[#This Row],[Nutrition]]="", "", MROUND(tblPiNAnalysis5[[#This Row],[Nutrition]]/tblPiNAnalysis5[[#This Row],[PIN]], 0.05)), "")</f>
        <v>0.15000000000000002</v>
      </c>
      <c r="AA75" s="318">
        <f>IFERROR(IF(tblPiNAnalysis5[[#This Row],[Food Security]]="", "", MROUND(tblPiNAnalysis5[[#This Row],[Food Security]]/tblPiNAnalysis5[[#This Row],[PIN]], 0.05)), "")</f>
        <v>0.85000000000000009</v>
      </c>
      <c r="AB75" s="318">
        <f>IFERROR(IF(tblPiNAnalysis5[[#This Row],[Health]]="", "", MROUND(tblPiNAnalysis5[[#This Row],[Health]]/tblPiNAnalysis5[[#This Row],[PIN]], 0.05)), "")</f>
        <v>0.55000000000000004</v>
      </c>
      <c r="AC75" s="319" t="str">
        <f>IFERROR(IF(tblPiNAnalysis5[[#This Row],[Protection]]="", "", MROUND(tblPiNAnalysis5[[#This Row],[Protection]]/tblPiNAnalysis5[[#This Row],[PIN]], 0.05)), "")</f>
        <v/>
      </c>
      <c r="AD75" s="319">
        <f>IFERROR(IF(tblPiNAnalysis5[[#This Row],[Shelter]]="", "", MROUND(tblPiNAnalysis5[[#This Row],[Shelter]]/tblPiNAnalysis5[[#This Row],[PIN]], 0.05)), "")</f>
        <v>0.05</v>
      </c>
      <c r="AE75" s="320">
        <f>IFERROR(IF(tblPiNAnalysis5[[#This Row],[WASH]]="", "", MROUND(tblPiNAnalysis5[[#This Row],[WASH]]/tblPiNAnalysis5[[#This Row],[PIN]], 0.05)), "")</f>
        <v>0.15000000000000002</v>
      </c>
      <c r="AF75" s="488">
        <f>VLOOKUP(tblPiNAnalysis5[[#This Row],[ID]],tblPiNAnalysis[[ID]:[Final PiN]],63,FALSE)</f>
        <v>97464</v>
      </c>
      <c r="AG75" s="488">
        <f>IFERROR(IF(tblPiNAnalysis5[[#This Row],[Final TARGET]]="", "", MROUND(tblPiNAnalysis5[[#This Row],[Final TARGET]]/tblPiNAnalysis5[[#This Row],[PIN]], 0.05)), "")</f>
        <v>0.85000000000000009</v>
      </c>
      <c r="AH75" s="322">
        <f>IF(MAX(tblPiNAnalysis5[[#This Row],[CCCM]:[WASH]])&lt;tblPiNAnalysis5[[#This Row],[PIN]],MAX(tblPiNAnalysis5[[#This Row],[CCCM]:[WASH]]),tblPiNAnalysis5[[#This Row],[PIN]])</f>
        <v>85060</v>
      </c>
      <c r="AI75" s="326"/>
      <c r="AJ75" s="502">
        <f>tblPiNAnalysis5[[#This Row],[CCCM]]</f>
        <v>453</v>
      </c>
      <c r="AK75" s="500">
        <v>20158</v>
      </c>
      <c r="AL75" s="500">
        <v>11276</v>
      </c>
      <c r="AM75" s="500">
        <f>IF(VLOOKUP(tblPiNAnalysis5[[#This Row],[Admin 2 P-Code]],tblSeverityAnalysis[[Admin 2 P-Code]:[WASH]],10,FALSE)&gt;=4,VLOOKUP(tblPiNAnalysis5[[#This Row],[Admin 2 P-Code]],tblPiNAnalysis[[Admin 2 P-Code]:[WASH]],10,FALSE),0)</f>
        <v>97464</v>
      </c>
      <c r="AN75" s="503">
        <v>0</v>
      </c>
      <c r="AO75" s="500"/>
      <c r="AP75" s="516">
        <v>4977</v>
      </c>
      <c r="AQ75" s="501">
        <v>28560</v>
      </c>
      <c r="AR75" s="383">
        <f>MIN(tblPiNAnalysis5[[#This Row],[Final TARGET]],MAX(tblPiNAnalysis5[[#This Row],[CCCM_PRI]:[WASH_PRI]]))</f>
        <v>85060</v>
      </c>
      <c r="AS75" s="383">
        <f>IF(VLOOKUP(tblPiNAnalysis5[[#This Row],[Admin 2 P-Code]],tblSeverityAnalysis[[Admin 2 P-Code]:[Final Severity]],43,FALSE)&gt;=4,VLOOKUP(tblPiNAnalysis5[[#This Row],[Admin 2 P-Code]],tblPiNAnalysis[[Admin 2 P-Code]:[WASH]],8,FALSE),0)</f>
        <v>0</v>
      </c>
    </row>
    <row r="76" spans="1:45" ht="16.5" customHeight="1">
      <c r="A7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Global_PopulationHT0542</v>
      </c>
      <c r="B76" s="304" t="s">
        <v>287</v>
      </c>
      <c r="C76" s="213" t="s">
        <v>288</v>
      </c>
      <c r="D76" s="213" t="s">
        <v>309</v>
      </c>
      <c r="E76" s="103" t="s">
        <v>310</v>
      </c>
      <c r="F76" s="99"/>
      <c r="G76" s="34"/>
      <c r="H76" s="34"/>
      <c r="I76" s="96">
        <v>165494</v>
      </c>
      <c r="J76" s="221" t="s">
        <v>156</v>
      </c>
      <c r="K76" s="427">
        <v>616</v>
      </c>
      <c r="L76" s="428">
        <v>15741</v>
      </c>
      <c r="M76" s="428">
        <v>12607</v>
      </c>
      <c r="N76" s="428">
        <v>79840</v>
      </c>
      <c r="O76" s="428">
        <v>23115.01934826087</v>
      </c>
      <c r="P76" s="428"/>
      <c r="Q76" s="428">
        <v>1393.2</v>
      </c>
      <c r="R76" s="428">
        <v>29835.889082952293</v>
      </c>
      <c r="S76" s="428"/>
      <c r="T76" s="428"/>
      <c r="U76" s="428"/>
      <c r="V76" s="428"/>
      <c r="W76" s="308"/>
      <c r="X76" s="317">
        <f>IFERROR(IF(tblPiNAnalysis5[[#This Row],[CCCM]]="", "", MROUND(tblPiNAnalysis5[[#This Row],[CCCM]]/tblPiNAnalysis5[[#This Row],[PIN]], 0.05)), "")</f>
        <v>0</v>
      </c>
      <c r="Y76" s="318">
        <f>IFERROR(IF(tblPiNAnalysis5[[#This Row],[Education]]="", "", MROUND(tblPiNAnalysis5[[#This Row],[Education]]/tblPiNAnalysis5[[#This Row],[PIN]], 0.05)), "")</f>
        <v>0.15000000000000002</v>
      </c>
      <c r="Z76" s="318">
        <f>IFERROR(IF(tblPiNAnalysis5[[#This Row],[Nutrition]]="", "", MROUND(tblPiNAnalysis5[[#This Row],[Nutrition]]/tblPiNAnalysis5[[#This Row],[PIN]], 0.05)), "")</f>
        <v>0.15000000000000002</v>
      </c>
      <c r="AA76" s="318">
        <f>IFERROR(IF(tblPiNAnalysis5[[#This Row],[Food Security]]="", "", MROUND(tblPiNAnalysis5[[#This Row],[Food Security]]/tblPiNAnalysis5[[#This Row],[PIN]], 0.05)), "")</f>
        <v>0.85000000000000009</v>
      </c>
      <c r="AB76" s="318">
        <f>IFERROR(IF(tblPiNAnalysis5[[#This Row],[Health]]="", "", MROUND(tblPiNAnalysis5[[#This Row],[Health]]/tblPiNAnalysis5[[#This Row],[PIN]], 0.05)), "")</f>
        <v>0.25</v>
      </c>
      <c r="AC76" s="319" t="str">
        <f>IFERROR(IF(tblPiNAnalysis5[[#This Row],[Protection]]="", "", MROUND(tblPiNAnalysis5[[#This Row],[Protection]]/tblPiNAnalysis5[[#This Row],[PIN]], 0.05)), "")</f>
        <v/>
      </c>
      <c r="AD76" s="319">
        <f>IFERROR(IF(tblPiNAnalysis5[[#This Row],[Shelter]]="", "", MROUND(tblPiNAnalysis5[[#This Row],[Shelter]]/tblPiNAnalysis5[[#This Row],[PIN]], 0.05)), "")</f>
        <v>0</v>
      </c>
      <c r="AE76" s="320">
        <f>IFERROR(IF(tblPiNAnalysis5[[#This Row],[WASH]]="", "", MROUND(tblPiNAnalysis5[[#This Row],[WASH]]/tblPiNAnalysis5[[#This Row],[PIN]], 0.05)), "")</f>
        <v>0.30000000000000004</v>
      </c>
      <c r="AF76" s="488">
        <f>VLOOKUP(tblPiNAnalysis5[[#This Row],[ID]],tblPiNAnalysis[[ID]:[Final PiN]],63,FALSE)</f>
        <v>92460.077393043481</v>
      </c>
      <c r="AG76" s="488">
        <f>IFERROR(IF(tblPiNAnalysis5[[#This Row],[Final TARGET]]="", "", MROUND(tblPiNAnalysis5[[#This Row],[Final TARGET]]/tblPiNAnalysis5[[#This Row],[PIN]], 0.05)), "")</f>
        <v>0.85000000000000009</v>
      </c>
      <c r="AH76" s="322">
        <f>IF(MAX(tblPiNAnalysis5[[#This Row],[CCCM]:[WASH]])&lt;tblPiNAnalysis5[[#This Row],[PIN]],MAX(tblPiNAnalysis5[[#This Row],[CCCM]:[WASH]]),tblPiNAnalysis5[[#This Row],[PIN]])</f>
        <v>79840</v>
      </c>
      <c r="AI76" s="326"/>
      <c r="AJ76" s="502">
        <f>tblPiNAnalysis5[[#This Row],[CCCM]]</f>
        <v>616</v>
      </c>
      <c r="AK76" s="500">
        <v>15741</v>
      </c>
      <c r="AL76" s="500">
        <v>10140</v>
      </c>
      <c r="AM76" s="500">
        <f>IF(VLOOKUP(tblPiNAnalysis5[[#This Row],[Admin 2 P-Code]],tblSeverityAnalysis[[Admin 2 P-Code]:[WASH]],10,FALSE)&gt;=4,VLOOKUP(tblPiNAnalysis5[[#This Row],[Admin 2 P-Code]],tblPiNAnalysis[[Admin 2 P-Code]:[WASH]],10,FALSE),0)</f>
        <v>91483</v>
      </c>
      <c r="AN76" s="503">
        <v>0</v>
      </c>
      <c r="AO76" s="500"/>
      <c r="AP76" s="516">
        <v>1393</v>
      </c>
      <c r="AQ76" s="501">
        <v>29835.889082952293</v>
      </c>
      <c r="AR76" s="383">
        <f>MIN(tblPiNAnalysis5[[#This Row],[Final TARGET]],MAX(tblPiNAnalysis5[[#This Row],[CCCM_PRI]:[WASH_PRI]]))</f>
        <v>79840</v>
      </c>
      <c r="AS76" s="383">
        <f>IF(VLOOKUP(tblPiNAnalysis5[[#This Row],[Admin 2 P-Code]],tblSeverityAnalysis[[Admin 2 P-Code]:[Final Severity]],43,FALSE)&gt;=4,VLOOKUP(tblPiNAnalysis5[[#This Row],[Admin 2 P-Code]],tblPiNAnalysis[[Admin 2 P-Code]:[WASH]],8,FALSE),0)</f>
        <v>28566</v>
      </c>
    </row>
    <row r="77" spans="1:45" ht="16.5" customHeight="1">
      <c r="A7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Global_PopulationHT0543</v>
      </c>
      <c r="B77" s="304" t="s">
        <v>287</v>
      </c>
      <c r="C77" s="213" t="s">
        <v>288</v>
      </c>
      <c r="D77" s="213" t="s">
        <v>311</v>
      </c>
      <c r="E77" s="103" t="s">
        <v>312</v>
      </c>
      <c r="F77" s="99"/>
      <c r="G77" s="34"/>
      <c r="H77" s="34"/>
      <c r="I77" s="96">
        <v>23598</v>
      </c>
      <c r="J77" s="221" t="s">
        <v>156</v>
      </c>
      <c r="K77" s="427">
        <v>0</v>
      </c>
      <c r="L77" s="428">
        <v>1944</v>
      </c>
      <c r="M77" s="428">
        <v>1723</v>
      </c>
      <c r="N77" s="428">
        <v>10865</v>
      </c>
      <c r="O77" s="428">
        <v>3386.4653388888892</v>
      </c>
      <c r="P77" s="428"/>
      <c r="Q77" s="428">
        <v>42.6</v>
      </c>
      <c r="R77" s="428">
        <v>1080</v>
      </c>
      <c r="S77" s="428"/>
      <c r="T77" s="428"/>
      <c r="U77" s="428"/>
      <c r="V77" s="428"/>
      <c r="W77" s="308"/>
      <c r="X77" s="317">
        <f>IFERROR(IF(tblPiNAnalysis5[[#This Row],[CCCM]]="", "", MROUND(tblPiNAnalysis5[[#This Row],[CCCM]]/tblPiNAnalysis5[[#This Row],[PIN]], 0.05)), "")</f>
        <v>0</v>
      </c>
      <c r="Y77" s="318">
        <f>IFERROR(IF(tblPiNAnalysis5[[#This Row],[Education]]="", "", MROUND(tblPiNAnalysis5[[#This Row],[Education]]/tblPiNAnalysis5[[#This Row],[PIN]], 0.05)), "")</f>
        <v>0.15000000000000002</v>
      </c>
      <c r="Z77" s="318">
        <f>IFERROR(IF(tblPiNAnalysis5[[#This Row],[Nutrition]]="", "", MROUND(tblPiNAnalysis5[[#This Row],[Nutrition]]/tblPiNAnalysis5[[#This Row],[PIN]], 0.05)), "")</f>
        <v>0.15000000000000002</v>
      </c>
      <c r="AA77" s="318">
        <f>IFERROR(IF(tblPiNAnalysis5[[#This Row],[Food Security]]="", "", MROUND(tblPiNAnalysis5[[#This Row],[Food Security]]/tblPiNAnalysis5[[#This Row],[PIN]], 0.05)), "")</f>
        <v>0.8</v>
      </c>
      <c r="AB77" s="318">
        <f>IFERROR(IF(tblPiNAnalysis5[[#This Row],[Health]]="", "", MROUND(tblPiNAnalysis5[[#This Row],[Health]]/tblPiNAnalysis5[[#This Row],[PIN]], 0.05)), "")</f>
        <v>0.25</v>
      </c>
      <c r="AC77" s="319" t="str">
        <f>IFERROR(IF(tblPiNAnalysis5[[#This Row],[Protection]]="", "", MROUND(tblPiNAnalysis5[[#This Row],[Protection]]/tblPiNAnalysis5[[#This Row],[PIN]], 0.05)), "")</f>
        <v/>
      </c>
      <c r="AD77" s="319">
        <f>IFERROR(IF(tblPiNAnalysis5[[#This Row],[Shelter]]="", "", MROUND(tblPiNAnalysis5[[#This Row],[Shelter]]/tblPiNAnalysis5[[#This Row],[PIN]], 0.05)), "")</f>
        <v>0</v>
      </c>
      <c r="AE77" s="320">
        <f>IFERROR(IF(tblPiNAnalysis5[[#This Row],[WASH]]="", "", MROUND(tblPiNAnalysis5[[#This Row],[WASH]]/tblPiNAnalysis5[[#This Row],[PIN]], 0.05)), "")</f>
        <v>0.1</v>
      </c>
      <c r="AF77" s="488">
        <f>VLOOKUP(tblPiNAnalysis5[[#This Row],[ID]],tblPiNAnalysis[[ID]:[Final PiN]],63,FALSE)</f>
        <v>13545.861355555557</v>
      </c>
      <c r="AG77" s="488">
        <f>IFERROR(IF(tblPiNAnalysis5[[#This Row],[Final TARGET]]="", "", MROUND(tblPiNAnalysis5[[#This Row],[Final TARGET]]/tblPiNAnalysis5[[#This Row],[PIN]], 0.05)), "")</f>
        <v>0.8</v>
      </c>
      <c r="AH77" s="322">
        <f>IF(MAX(tblPiNAnalysis5[[#This Row],[CCCM]:[WASH]])&lt;tblPiNAnalysis5[[#This Row],[PIN]],MAX(tblPiNAnalysis5[[#This Row],[CCCM]:[WASH]]),tblPiNAnalysis5[[#This Row],[PIN]])</f>
        <v>10865</v>
      </c>
      <c r="AI77" s="326"/>
      <c r="AJ77" s="502">
        <f>tblPiNAnalysis5[[#This Row],[CCCM]]</f>
        <v>0</v>
      </c>
      <c r="AK77" s="500">
        <v>1030</v>
      </c>
      <c r="AL77" s="500">
        <v>1360</v>
      </c>
      <c r="AM77" s="500">
        <f>IF(VLOOKUP(tblPiNAnalysis5[[#This Row],[Admin 2 P-Code]],tblSeverityAnalysis[[Admin 2 P-Code]:[WASH]],10,FALSE)&gt;=4,VLOOKUP(tblPiNAnalysis5[[#This Row],[Admin 2 P-Code]],tblPiNAnalysis[[Admin 2 P-Code]:[WASH]],10,FALSE),0)</f>
        <v>12450</v>
      </c>
      <c r="AN77" s="503">
        <v>0</v>
      </c>
      <c r="AO77" s="500"/>
      <c r="AP77" s="516">
        <v>43</v>
      </c>
      <c r="AQ77" s="501">
        <v>540</v>
      </c>
      <c r="AR77" s="383">
        <f>MIN(tblPiNAnalysis5[[#This Row],[Final TARGET]],MAX(tblPiNAnalysis5[[#This Row],[CCCM_PRI]:[WASH_PRI]]))</f>
        <v>10865</v>
      </c>
      <c r="AS77" s="383">
        <f>IF(VLOOKUP(tblPiNAnalysis5[[#This Row],[Admin 2 P-Code]],tblSeverityAnalysis[[Admin 2 P-Code]:[Final Severity]],43,FALSE)&gt;=4,VLOOKUP(tblPiNAnalysis5[[#This Row],[Admin 2 P-Code]],tblPiNAnalysis[[Admin 2 P-Code]:[WASH]],8,FALSE),0)</f>
        <v>0</v>
      </c>
    </row>
    <row r="78" spans="1:45" ht="16.5" customHeight="1">
      <c r="A7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Global_PopulationHT0544</v>
      </c>
      <c r="B78" s="304" t="s">
        <v>287</v>
      </c>
      <c r="C78" s="213" t="s">
        <v>288</v>
      </c>
      <c r="D78" s="213" t="s">
        <v>313</v>
      </c>
      <c r="E78" s="103" t="s">
        <v>314</v>
      </c>
      <c r="F78" s="99"/>
      <c r="G78" s="34"/>
      <c r="H78" s="34"/>
      <c r="I78" s="96">
        <v>37602</v>
      </c>
      <c r="J78" s="221" t="s">
        <v>156</v>
      </c>
      <c r="K78" s="427">
        <v>0</v>
      </c>
      <c r="L78" s="428">
        <v>3313</v>
      </c>
      <c r="M78" s="428">
        <v>2557</v>
      </c>
      <c r="N78" s="428">
        <v>17314</v>
      </c>
      <c r="O78" s="428">
        <v>4849.8503654574133</v>
      </c>
      <c r="P78" s="428"/>
      <c r="Q78" s="428">
        <v>20.5</v>
      </c>
      <c r="R78" s="428">
        <v>9401</v>
      </c>
      <c r="S78" s="428"/>
      <c r="T78" s="428"/>
      <c r="U78" s="428"/>
      <c r="V78" s="428"/>
      <c r="W78" s="308"/>
      <c r="X78" s="317">
        <f>IFERROR(IF(tblPiNAnalysis5[[#This Row],[CCCM]]="", "", MROUND(tblPiNAnalysis5[[#This Row],[CCCM]]/tblPiNAnalysis5[[#This Row],[PIN]], 0.05)), "")</f>
        <v>0</v>
      </c>
      <c r="Y78" s="318">
        <f>IFERROR(IF(tblPiNAnalysis5[[#This Row],[Education]]="", "", MROUND(tblPiNAnalysis5[[#This Row],[Education]]/tblPiNAnalysis5[[#This Row],[PIN]], 0.05)), "")</f>
        <v>0.15000000000000002</v>
      </c>
      <c r="Z78" s="318">
        <f>IFERROR(IF(tblPiNAnalysis5[[#This Row],[Nutrition]]="", "", MROUND(tblPiNAnalysis5[[#This Row],[Nutrition]]/tblPiNAnalysis5[[#This Row],[PIN]], 0.05)), "")</f>
        <v>0.15000000000000002</v>
      </c>
      <c r="AA78" s="318">
        <f>IFERROR(IF(tblPiNAnalysis5[[#This Row],[Food Security]]="", "", MROUND(tblPiNAnalysis5[[#This Row],[Food Security]]/tblPiNAnalysis5[[#This Row],[PIN]], 0.05)), "")</f>
        <v>0.85000000000000009</v>
      </c>
      <c r="AB78" s="318">
        <f>IFERROR(IF(tblPiNAnalysis5[[#This Row],[Health]]="", "", MROUND(tblPiNAnalysis5[[#This Row],[Health]]/tblPiNAnalysis5[[#This Row],[PIN]], 0.05)), "")</f>
        <v>0.25</v>
      </c>
      <c r="AC78" s="319" t="str">
        <f>IFERROR(IF(tblPiNAnalysis5[[#This Row],[Protection]]="", "", MROUND(tblPiNAnalysis5[[#This Row],[Protection]]/tblPiNAnalysis5[[#This Row],[PIN]], 0.05)), "")</f>
        <v/>
      </c>
      <c r="AD78" s="319">
        <f>IFERROR(IF(tblPiNAnalysis5[[#This Row],[Shelter]]="", "", MROUND(tblPiNAnalysis5[[#This Row],[Shelter]]/tblPiNAnalysis5[[#This Row],[PIN]], 0.05)), "")</f>
        <v>0</v>
      </c>
      <c r="AE78" s="320">
        <f>IFERROR(IF(tblPiNAnalysis5[[#This Row],[WASH]]="", "", MROUND(tblPiNAnalysis5[[#This Row],[WASH]]/tblPiNAnalysis5[[#This Row],[PIN]], 0.05)), "")</f>
        <v>0.45</v>
      </c>
      <c r="AF78" s="488">
        <f>VLOOKUP(tblPiNAnalysis5[[#This Row],[ID]],tblPiNAnalysis[[ID]:[Final PiN]],63,FALSE)</f>
        <v>19839</v>
      </c>
      <c r="AG78" s="488">
        <f>IFERROR(IF(tblPiNAnalysis5[[#This Row],[Final TARGET]]="", "", MROUND(tblPiNAnalysis5[[#This Row],[Final TARGET]]/tblPiNAnalysis5[[#This Row],[PIN]], 0.05)), "")</f>
        <v>0.85000000000000009</v>
      </c>
      <c r="AH78" s="322">
        <f>IF(MAX(tblPiNAnalysis5[[#This Row],[CCCM]:[WASH]])&lt;tblPiNAnalysis5[[#This Row],[PIN]],MAX(tblPiNAnalysis5[[#This Row],[CCCM]:[WASH]]),tblPiNAnalysis5[[#This Row],[PIN]])</f>
        <v>17314</v>
      </c>
      <c r="AI78" s="326"/>
      <c r="AJ78" s="502">
        <f>tblPiNAnalysis5[[#This Row],[CCCM]]</f>
        <v>0</v>
      </c>
      <c r="AK78" s="500">
        <v>1577</v>
      </c>
      <c r="AL78" s="500">
        <v>2000</v>
      </c>
      <c r="AM78" s="500">
        <f>IF(VLOOKUP(tblPiNAnalysis5[[#This Row],[Admin 2 P-Code]],tblSeverityAnalysis[[Admin 2 P-Code]:[WASH]],10,FALSE)&gt;=4,VLOOKUP(tblPiNAnalysis5[[#This Row],[Admin 2 P-Code]],tblPiNAnalysis[[Admin 2 P-Code]:[WASH]],10,FALSE),0)</f>
        <v>19839</v>
      </c>
      <c r="AN78" s="503">
        <v>0</v>
      </c>
      <c r="AO78" s="500"/>
      <c r="AP78" s="516">
        <v>21</v>
      </c>
      <c r="AQ78" s="501">
        <v>9401</v>
      </c>
      <c r="AR78" s="383">
        <f>MIN(tblPiNAnalysis5[[#This Row],[Final TARGET]],MAX(tblPiNAnalysis5[[#This Row],[CCCM_PRI]:[WASH_PRI]]))</f>
        <v>17314</v>
      </c>
      <c r="AS78" s="383">
        <f>IF(VLOOKUP(tblPiNAnalysis5[[#This Row],[Admin 2 P-Code]],tblSeverityAnalysis[[Admin 2 P-Code]:[Final Severity]],43,FALSE)&gt;=4,VLOOKUP(tblPiNAnalysis5[[#This Row],[Admin 2 P-Code]],tblPiNAnalysis[[Admin 2 P-Code]:[WASH]],8,FALSE),0)</f>
        <v>0</v>
      </c>
    </row>
    <row r="79" spans="1:45" ht="16.5" customHeight="1">
      <c r="A7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Global_PopulationHT0551</v>
      </c>
      <c r="B79" s="304" t="s">
        <v>287</v>
      </c>
      <c r="C79" s="213" t="s">
        <v>288</v>
      </c>
      <c r="D79" s="213" t="s">
        <v>315</v>
      </c>
      <c r="E79" s="103" t="s">
        <v>316</v>
      </c>
      <c r="F79" s="99"/>
      <c r="G79" s="34"/>
      <c r="H79" s="34"/>
      <c r="I79" s="96">
        <v>154615</v>
      </c>
      <c r="J79" s="221" t="s">
        <v>156</v>
      </c>
      <c r="K79" s="427">
        <v>0</v>
      </c>
      <c r="L79" s="428">
        <v>16929</v>
      </c>
      <c r="M79" s="428">
        <v>12201</v>
      </c>
      <c r="N79" s="428">
        <v>82565</v>
      </c>
      <c r="O79" s="428">
        <v>25600.631545737582</v>
      </c>
      <c r="P79" s="428"/>
      <c r="Q79" s="428">
        <v>11425.7</v>
      </c>
      <c r="R79" s="428">
        <v>11909</v>
      </c>
      <c r="S79" s="428"/>
      <c r="T79" s="428"/>
      <c r="U79" s="428"/>
      <c r="V79" s="428"/>
      <c r="W79" s="308"/>
      <c r="X79" s="317">
        <f>IFERROR(IF(tblPiNAnalysis5[[#This Row],[CCCM]]="", "", MROUND(tblPiNAnalysis5[[#This Row],[CCCM]]/tblPiNAnalysis5[[#This Row],[PIN]], 0.05)), "")</f>
        <v>0</v>
      </c>
      <c r="Y79" s="318">
        <f>IFERROR(IF(tblPiNAnalysis5[[#This Row],[Education]]="", "", MROUND(tblPiNAnalysis5[[#This Row],[Education]]/tblPiNAnalysis5[[#This Row],[PIN]], 0.05)), "")</f>
        <v>0.15000000000000002</v>
      </c>
      <c r="Z79" s="318">
        <f>IFERROR(IF(tblPiNAnalysis5[[#This Row],[Nutrition]]="", "", MROUND(tblPiNAnalysis5[[#This Row],[Nutrition]]/tblPiNAnalysis5[[#This Row],[PIN]], 0.05)), "")</f>
        <v>0.1</v>
      </c>
      <c r="AA79" s="318">
        <f>IFERROR(IF(tblPiNAnalysis5[[#This Row],[Food Security]]="", "", MROUND(tblPiNAnalysis5[[#This Row],[Food Security]]/tblPiNAnalysis5[[#This Row],[PIN]], 0.05)), "")</f>
        <v>0.8</v>
      </c>
      <c r="AB79" s="318">
        <f>IFERROR(IF(tblPiNAnalysis5[[#This Row],[Health]]="", "", MROUND(tblPiNAnalysis5[[#This Row],[Health]]/tblPiNAnalysis5[[#This Row],[PIN]], 0.05)), "")</f>
        <v>0.25</v>
      </c>
      <c r="AC79" s="319" t="str">
        <f>IFERROR(IF(tblPiNAnalysis5[[#This Row],[Protection]]="", "", MROUND(tblPiNAnalysis5[[#This Row],[Protection]]/tblPiNAnalysis5[[#This Row],[PIN]], 0.05)), "")</f>
        <v/>
      </c>
      <c r="AD79" s="319">
        <f>IFERROR(IF(tblPiNAnalysis5[[#This Row],[Shelter]]="", "", MROUND(tblPiNAnalysis5[[#This Row],[Shelter]]/tblPiNAnalysis5[[#This Row],[PIN]], 0.05)), "")</f>
        <v>0.1</v>
      </c>
      <c r="AE79" s="320">
        <f>IFERROR(IF(tblPiNAnalysis5[[#This Row],[WASH]]="", "", MROUND(tblPiNAnalysis5[[#This Row],[WASH]]/tblPiNAnalysis5[[#This Row],[PIN]], 0.05)), "")</f>
        <v>0.1</v>
      </c>
      <c r="AF79" s="488">
        <f>VLOOKUP(tblPiNAnalysis5[[#This Row],[ID]],tblPiNAnalysis[[ID]:[Final PiN]],63,FALSE)</f>
        <v>102402.52618295033</v>
      </c>
      <c r="AG79" s="488">
        <f>IFERROR(IF(tblPiNAnalysis5[[#This Row],[Final TARGET]]="", "", MROUND(tblPiNAnalysis5[[#This Row],[Final TARGET]]/tblPiNAnalysis5[[#This Row],[PIN]], 0.05)), "")</f>
        <v>0.8</v>
      </c>
      <c r="AH79" s="322">
        <f>IF(MAX(tblPiNAnalysis5[[#This Row],[CCCM]:[WASH]])&lt;tblPiNAnalysis5[[#This Row],[PIN]],MAX(tblPiNAnalysis5[[#This Row],[CCCM]:[WASH]]),tblPiNAnalysis5[[#This Row],[PIN]])</f>
        <v>82565</v>
      </c>
      <c r="AI79" s="326"/>
      <c r="AJ79" s="502">
        <f>tblPiNAnalysis5[[#This Row],[CCCM]]</f>
        <v>0</v>
      </c>
      <c r="AK79" s="500">
        <v>16929</v>
      </c>
      <c r="AL79" s="500">
        <v>9753</v>
      </c>
      <c r="AM79" s="500">
        <f>IF(VLOOKUP(tblPiNAnalysis5[[#This Row],[Admin 2 P-Code]],tblSeverityAnalysis[[Admin 2 P-Code]:[WASH]],10,FALSE)&gt;=4,VLOOKUP(tblPiNAnalysis5[[#This Row],[Admin 2 P-Code]],tblPiNAnalysis[[Admin 2 P-Code]:[WASH]],10,FALSE),0)</f>
        <v>94606</v>
      </c>
      <c r="AN79" s="503">
        <v>0</v>
      </c>
      <c r="AO79" s="500"/>
      <c r="AP79" s="516">
        <v>11426</v>
      </c>
      <c r="AQ79" s="501">
        <v>5954.5</v>
      </c>
      <c r="AR79" s="383">
        <f>MIN(tblPiNAnalysis5[[#This Row],[Final TARGET]],MAX(tblPiNAnalysis5[[#This Row],[CCCM_PRI]:[WASH_PRI]]))</f>
        <v>82565</v>
      </c>
      <c r="AS79" s="383">
        <f>IF(VLOOKUP(tblPiNAnalysis5[[#This Row],[Admin 2 P-Code]],tblSeverityAnalysis[[Admin 2 P-Code]:[Final Severity]],43,FALSE)&gt;=4,VLOOKUP(tblPiNAnalysis5[[#This Row],[Admin 2 P-Code]],tblPiNAnalysis[[Admin 2 P-Code]:[WASH]],8,FALSE),0)</f>
        <v>0</v>
      </c>
    </row>
    <row r="80" spans="1:45" ht="16.5" customHeight="1">
      <c r="A8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Global_PopulationHT0552</v>
      </c>
      <c r="B80" s="304" t="s">
        <v>287</v>
      </c>
      <c r="C80" s="213" t="s">
        <v>288</v>
      </c>
      <c r="D80" s="213" t="s">
        <v>317</v>
      </c>
      <c r="E80" s="103" t="s">
        <v>318</v>
      </c>
      <c r="F80" s="99"/>
      <c r="G80" s="34"/>
      <c r="H80" s="34"/>
      <c r="I80" s="96">
        <v>39659</v>
      </c>
      <c r="J80" s="221" t="s">
        <v>156</v>
      </c>
      <c r="K80" s="427">
        <v>0</v>
      </c>
      <c r="L80" s="428">
        <v>4123</v>
      </c>
      <c r="M80" s="428">
        <v>2598</v>
      </c>
      <c r="N80" s="428">
        <v>20877</v>
      </c>
      <c r="O80" s="428">
        <v>619.16776034482768</v>
      </c>
      <c r="P80" s="428"/>
      <c r="Q80" s="428">
        <v>1224.0999999999999</v>
      </c>
      <c r="R80" s="428">
        <v>1160</v>
      </c>
      <c r="S80" s="428"/>
      <c r="T80" s="428"/>
      <c r="U80" s="428"/>
      <c r="V80" s="428"/>
      <c r="W80" s="308"/>
      <c r="X80" s="317">
        <f>IFERROR(IF(tblPiNAnalysis5[[#This Row],[CCCM]]="", "", MROUND(tblPiNAnalysis5[[#This Row],[CCCM]]/tblPiNAnalysis5[[#This Row],[PIN]], 0.05)), "")</f>
        <v>0</v>
      </c>
      <c r="Y80" s="318">
        <f>IFERROR(IF(tblPiNAnalysis5[[#This Row],[Education]]="", "", MROUND(tblPiNAnalysis5[[#This Row],[Education]]/tblPiNAnalysis5[[#This Row],[PIN]], 0.05)), "")</f>
        <v>0.15000000000000002</v>
      </c>
      <c r="Z80" s="318">
        <f>IFERROR(IF(tblPiNAnalysis5[[#This Row],[Nutrition]]="", "", MROUND(tblPiNAnalysis5[[#This Row],[Nutrition]]/tblPiNAnalysis5[[#This Row],[PIN]], 0.05)), "")</f>
        <v>0.1</v>
      </c>
      <c r="AA80" s="318">
        <f>IFERROR(IF(tblPiNAnalysis5[[#This Row],[Food Security]]="", "", MROUND(tblPiNAnalysis5[[#This Row],[Food Security]]/tblPiNAnalysis5[[#This Row],[PIN]], 0.05)), "")</f>
        <v>0.85000000000000009</v>
      </c>
      <c r="AB80" s="318">
        <f>IFERROR(IF(tblPiNAnalysis5[[#This Row],[Health]]="", "", MROUND(tblPiNAnalysis5[[#This Row],[Health]]/tblPiNAnalysis5[[#This Row],[PIN]], 0.05)), "")</f>
        <v>0.05</v>
      </c>
      <c r="AC80" s="319" t="str">
        <f>IFERROR(IF(tblPiNAnalysis5[[#This Row],[Protection]]="", "", MROUND(tblPiNAnalysis5[[#This Row],[Protection]]/tblPiNAnalysis5[[#This Row],[PIN]], 0.05)), "")</f>
        <v/>
      </c>
      <c r="AD80" s="319">
        <f>IFERROR(IF(tblPiNAnalysis5[[#This Row],[Shelter]]="", "", MROUND(tblPiNAnalysis5[[#This Row],[Shelter]]/tblPiNAnalysis5[[#This Row],[PIN]], 0.05)), "")</f>
        <v>0.05</v>
      </c>
      <c r="AE80" s="320">
        <f>IFERROR(IF(tblPiNAnalysis5[[#This Row],[WASH]]="", "", MROUND(tblPiNAnalysis5[[#This Row],[WASH]]/tblPiNAnalysis5[[#This Row],[PIN]], 0.05)), "")</f>
        <v>0.05</v>
      </c>
      <c r="AF80" s="488">
        <f>VLOOKUP(tblPiNAnalysis5[[#This Row],[ID]],tblPiNAnalysis[[ID]:[Final PiN]],63,FALSE)</f>
        <v>23921</v>
      </c>
      <c r="AG80" s="488">
        <f>IFERROR(IF(tblPiNAnalysis5[[#This Row],[Final TARGET]]="", "", MROUND(tblPiNAnalysis5[[#This Row],[Final TARGET]]/tblPiNAnalysis5[[#This Row],[PIN]], 0.05)), "")</f>
        <v>0.85000000000000009</v>
      </c>
      <c r="AH80" s="322">
        <f>IF(MAX(tblPiNAnalysis5[[#This Row],[CCCM]:[WASH]])&lt;tblPiNAnalysis5[[#This Row],[PIN]],MAX(tblPiNAnalysis5[[#This Row],[CCCM]:[WASH]]),tblPiNAnalysis5[[#This Row],[PIN]])</f>
        <v>20877</v>
      </c>
      <c r="AI80" s="326"/>
      <c r="AJ80" s="502">
        <f>tblPiNAnalysis5[[#This Row],[CCCM]]</f>
        <v>0</v>
      </c>
      <c r="AK80" s="500">
        <v>4123</v>
      </c>
      <c r="AL80" s="500">
        <v>1998</v>
      </c>
      <c r="AM80" s="500">
        <f>IF(VLOOKUP(tblPiNAnalysis5[[#This Row],[Admin 2 P-Code]],tblSeverityAnalysis[[Admin 2 P-Code]:[WASH]],10,FALSE)&gt;=4,VLOOKUP(tblPiNAnalysis5[[#This Row],[Admin 2 P-Code]],tblPiNAnalysis[[Admin 2 P-Code]:[WASH]],10,FALSE),0)</f>
        <v>23921</v>
      </c>
      <c r="AN80" s="503">
        <v>0</v>
      </c>
      <c r="AO80" s="500"/>
      <c r="AP80" s="516">
        <v>1224</v>
      </c>
      <c r="AQ80" s="501">
        <v>3360</v>
      </c>
      <c r="AR80" s="383">
        <f>MIN(tblPiNAnalysis5[[#This Row],[Final TARGET]],MAX(tblPiNAnalysis5[[#This Row],[CCCM_PRI]:[WASH_PRI]]))</f>
        <v>20877</v>
      </c>
      <c r="AS80" s="383">
        <f>IF(VLOOKUP(tblPiNAnalysis5[[#This Row],[Admin 2 P-Code]],tblSeverityAnalysis[[Admin 2 P-Code]:[Final Severity]],43,FALSE)&gt;=4,VLOOKUP(tblPiNAnalysis5[[#This Row],[Admin 2 P-Code]],tblPiNAnalysis[[Admin 2 P-Code]:[WASH]],8,FALSE),0)</f>
        <v>0</v>
      </c>
    </row>
    <row r="81" spans="1:45" ht="16.5" customHeight="1">
      <c r="A8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Global_PopulationHT0611</v>
      </c>
      <c r="B81" s="304" t="s">
        <v>319</v>
      </c>
      <c r="C81" s="213" t="s">
        <v>320</v>
      </c>
      <c r="D81" s="213" t="s">
        <v>321</v>
      </c>
      <c r="E81" s="103" t="s">
        <v>322</v>
      </c>
      <c r="F81" s="99"/>
      <c r="G81" s="34"/>
      <c r="H81" s="34"/>
      <c r="I81" s="96">
        <v>163137</v>
      </c>
      <c r="J81" s="221" t="s">
        <v>156</v>
      </c>
      <c r="K81" s="427">
        <v>3469</v>
      </c>
      <c r="L81" s="428">
        <v>21259</v>
      </c>
      <c r="M81" s="428">
        <v>11757</v>
      </c>
      <c r="N81" s="428">
        <v>31493</v>
      </c>
      <c r="O81" s="428">
        <v>63066.289696516265</v>
      </c>
      <c r="P81" s="428"/>
      <c r="Q81" s="428">
        <v>36461.25</v>
      </c>
      <c r="R81" s="428">
        <v>31149</v>
      </c>
      <c r="S81" s="428"/>
      <c r="T81" s="428"/>
      <c r="U81" s="428"/>
      <c r="V81" s="428"/>
      <c r="W81" s="308"/>
      <c r="X81" s="317">
        <f>IFERROR(IF(tblPiNAnalysis5[[#This Row],[CCCM]]="", "", MROUND(tblPiNAnalysis5[[#This Row],[CCCM]]/tblPiNAnalysis5[[#This Row],[PIN]], 0.05)), "")</f>
        <v>0.05</v>
      </c>
      <c r="Y81" s="318">
        <f>IFERROR(IF(tblPiNAnalysis5[[#This Row],[Education]]="", "", MROUND(tblPiNAnalysis5[[#This Row],[Education]]/tblPiNAnalysis5[[#This Row],[PIN]], 0.05)), "")</f>
        <v>0.25</v>
      </c>
      <c r="Z81" s="318">
        <f>IFERROR(IF(tblPiNAnalysis5[[#This Row],[Nutrition]]="", "", MROUND(tblPiNAnalysis5[[#This Row],[Nutrition]]/tblPiNAnalysis5[[#This Row],[PIN]], 0.05)), "")</f>
        <v>0.15000000000000002</v>
      </c>
      <c r="AA81" s="318">
        <f>IFERROR(IF(tblPiNAnalysis5[[#This Row],[Food Security]]="", "", MROUND(tblPiNAnalysis5[[#This Row],[Food Security]]/tblPiNAnalysis5[[#This Row],[PIN]], 0.05)), "")</f>
        <v>0.4</v>
      </c>
      <c r="AB81" s="318">
        <f>IFERROR(IF(tblPiNAnalysis5[[#This Row],[Health]]="", "", MROUND(tblPiNAnalysis5[[#This Row],[Health]]/tblPiNAnalysis5[[#This Row],[PIN]], 0.05)), "")</f>
        <v>0.8</v>
      </c>
      <c r="AC81" s="319" t="str">
        <f>IFERROR(IF(tblPiNAnalysis5[[#This Row],[Protection]]="", "", MROUND(tblPiNAnalysis5[[#This Row],[Protection]]/tblPiNAnalysis5[[#This Row],[PIN]], 0.05)), "")</f>
        <v/>
      </c>
      <c r="AD81" s="319">
        <f>IFERROR(IF(tblPiNAnalysis5[[#This Row],[Shelter]]="", "", MROUND(tblPiNAnalysis5[[#This Row],[Shelter]]/tblPiNAnalysis5[[#This Row],[PIN]], 0.05)), "")</f>
        <v>0.45</v>
      </c>
      <c r="AE81" s="320">
        <f>IFERROR(IF(tblPiNAnalysis5[[#This Row],[WASH]]="", "", MROUND(tblPiNAnalysis5[[#This Row],[WASH]]/tblPiNAnalysis5[[#This Row],[PIN]], 0.05)), "")</f>
        <v>0.4</v>
      </c>
      <c r="AF81" s="488">
        <f>VLOOKUP(tblPiNAnalysis5[[#This Row],[ID]],tblPiNAnalysis[[ID]:[Final PiN]],63,FALSE)</f>
        <v>77761</v>
      </c>
      <c r="AG81" s="488">
        <f>IFERROR(IF(tblPiNAnalysis5[[#This Row],[Final TARGET]]="", "", MROUND(tblPiNAnalysis5[[#This Row],[Final TARGET]]/tblPiNAnalysis5[[#This Row],[PIN]], 0.05)), "")</f>
        <v>0.8</v>
      </c>
      <c r="AH81" s="322">
        <f>IF(MAX(tblPiNAnalysis5[[#This Row],[CCCM]:[WASH]])&lt;tblPiNAnalysis5[[#This Row],[PIN]],MAX(tblPiNAnalysis5[[#This Row],[CCCM]:[WASH]]),tblPiNAnalysis5[[#This Row],[PIN]])</f>
        <v>63066.289696516265</v>
      </c>
      <c r="AI81" s="326"/>
      <c r="AJ81" s="502">
        <f>tblPiNAnalysis5[[#This Row],[CCCM]]</f>
        <v>3469</v>
      </c>
      <c r="AK81" s="500">
        <v>21259</v>
      </c>
      <c r="AL81" s="500">
        <v>8536</v>
      </c>
      <c r="AM81" s="500">
        <f>IF(VLOOKUP(tblPiNAnalysis5[[#This Row],[Admin 2 P-Code]],tblSeverityAnalysis[[Admin 2 P-Code]:[WASH]],10,FALSE)&gt;=4,VLOOKUP(tblPiNAnalysis5[[#This Row],[Admin 2 P-Code]],tblPiNAnalysis[[Admin 2 P-Code]:[WASH]],10,FALSE),0)</f>
        <v>0</v>
      </c>
      <c r="AN81" s="503">
        <v>63066.289696516265</v>
      </c>
      <c r="AO81" s="500"/>
      <c r="AP81" s="516">
        <v>36461</v>
      </c>
      <c r="AQ81" s="501">
        <v>26376</v>
      </c>
      <c r="AR81" s="383">
        <f>MIN(tblPiNAnalysis5[[#This Row],[Final TARGET]],MAX(tblPiNAnalysis5[[#This Row],[CCCM_PRI]:[WASH_PRI]]))</f>
        <v>63066.289696516265</v>
      </c>
      <c r="AS81" s="383">
        <f>IF(VLOOKUP(tblPiNAnalysis5[[#This Row],[Admin 2 P-Code]],tblSeverityAnalysis[[Admin 2 P-Code]:[Final Severity]],43,FALSE)&gt;=4,VLOOKUP(tblPiNAnalysis5[[#This Row],[Admin 2 P-Code]],tblPiNAnalysis[[Admin 2 P-Code]:[WASH]],8,FALSE),0)</f>
        <v>0</v>
      </c>
    </row>
    <row r="82" spans="1:45" ht="16.5" customHeight="1">
      <c r="A8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Global_PopulationHT0612</v>
      </c>
      <c r="B82" s="304" t="s">
        <v>319</v>
      </c>
      <c r="C82" s="213" t="s">
        <v>320</v>
      </c>
      <c r="D82" s="213" t="s">
        <v>323</v>
      </c>
      <c r="E82" s="103" t="s">
        <v>324</v>
      </c>
      <c r="F82" s="99"/>
      <c r="G82" s="34"/>
      <c r="H82" s="34"/>
      <c r="I82" s="96">
        <v>78577</v>
      </c>
      <c r="J82" s="221" t="s">
        <v>156</v>
      </c>
      <c r="K82" s="427">
        <v>0</v>
      </c>
      <c r="L82" s="428">
        <v>9973</v>
      </c>
      <c r="M82" s="428">
        <v>4873</v>
      </c>
      <c r="N82" s="428">
        <v>15358</v>
      </c>
      <c r="O82" s="428">
        <v>0</v>
      </c>
      <c r="P82" s="428"/>
      <c r="Q82" s="428">
        <v>3234.5</v>
      </c>
      <c r="R82" s="428">
        <v>5695</v>
      </c>
      <c r="S82" s="428"/>
      <c r="T82" s="428"/>
      <c r="U82" s="428"/>
      <c r="V82" s="428"/>
      <c r="W82" s="308"/>
      <c r="X82" s="317">
        <f>IFERROR(IF(tblPiNAnalysis5[[#This Row],[CCCM]]="", "", MROUND(tblPiNAnalysis5[[#This Row],[CCCM]]/tblPiNAnalysis5[[#This Row],[PIN]], 0.05)), "")</f>
        <v>0</v>
      </c>
      <c r="Y82" s="318">
        <f>IFERROR(IF(tblPiNAnalysis5[[#This Row],[Education]]="", "", MROUND(tblPiNAnalysis5[[#This Row],[Education]]/tblPiNAnalysis5[[#This Row],[PIN]], 0.05)), "")</f>
        <v>0.25</v>
      </c>
      <c r="Z82" s="318">
        <f>IFERROR(IF(tblPiNAnalysis5[[#This Row],[Nutrition]]="", "", MROUND(tblPiNAnalysis5[[#This Row],[Nutrition]]/tblPiNAnalysis5[[#This Row],[PIN]], 0.05)), "")</f>
        <v>0.1</v>
      </c>
      <c r="AA82" s="318">
        <f>IFERROR(IF(tblPiNAnalysis5[[#This Row],[Food Security]]="", "", MROUND(tblPiNAnalysis5[[#This Row],[Food Security]]/tblPiNAnalysis5[[#This Row],[PIN]], 0.05)), "")</f>
        <v>0.35000000000000003</v>
      </c>
      <c r="AB82" s="318">
        <f>IFERROR(IF(tblPiNAnalysis5[[#This Row],[Health]]="", "", MROUND(tblPiNAnalysis5[[#This Row],[Health]]/tblPiNAnalysis5[[#This Row],[PIN]], 0.05)), "")</f>
        <v>0</v>
      </c>
      <c r="AC82" s="319" t="str">
        <f>IFERROR(IF(tblPiNAnalysis5[[#This Row],[Protection]]="", "", MROUND(tblPiNAnalysis5[[#This Row],[Protection]]/tblPiNAnalysis5[[#This Row],[PIN]], 0.05)), "")</f>
        <v/>
      </c>
      <c r="AD82" s="319">
        <f>IFERROR(IF(tblPiNAnalysis5[[#This Row],[Shelter]]="", "", MROUND(tblPiNAnalysis5[[#This Row],[Shelter]]/tblPiNAnalysis5[[#This Row],[PIN]], 0.05)), "")</f>
        <v>0.1</v>
      </c>
      <c r="AE82" s="320">
        <f>IFERROR(IF(tblPiNAnalysis5[[#This Row],[WASH]]="", "", MROUND(tblPiNAnalysis5[[#This Row],[WASH]]/tblPiNAnalysis5[[#This Row],[PIN]], 0.05)), "")</f>
        <v>0.15000000000000002</v>
      </c>
      <c r="AF82" s="488">
        <f>VLOOKUP(tblPiNAnalysis5[[#This Row],[ID]],tblPiNAnalysis[[ID]:[Final PiN]],63,FALSE)</f>
        <v>41744.03125</v>
      </c>
      <c r="AG82" s="488">
        <f>IFERROR(IF(tblPiNAnalysis5[[#This Row],[Final TARGET]]="", "", MROUND(tblPiNAnalysis5[[#This Row],[Final TARGET]]/tblPiNAnalysis5[[#This Row],[PIN]], 0.05)), "")</f>
        <v>0.35000000000000003</v>
      </c>
      <c r="AH82" s="322">
        <f>IF(MAX(tblPiNAnalysis5[[#This Row],[CCCM]:[WASH]])&lt;tblPiNAnalysis5[[#This Row],[PIN]],MAX(tblPiNAnalysis5[[#This Row],[CCCM]:[WASH]]),tblPiNAnalysis5[[#This Row],[PIN]])</f>
        <v>15358</v>
      </c>
      <c r="AI82" s="326"/>
      <c r="AJ82" s="502">
        <f>tblPiNAnalysis5[[#This Row],[CCCM]]</f>
        <v>0</v>
      </c>
      <c r="AK82" s="500">
        <v>6390</v>
      </c>
      <c r="AL82" s="500">
        <v>3521</v>
      </c>
      <c r="AM82" s="500">
        <f>IF(VLOOKUP(tblPiNAnalysis5[[#This Row],[Admin 2 P-Code]],tblSeverityAnalysis[[Admin 2 P-Code]:[WASH]],10,FALSE)&gt;=4,VLOOKUP(tblPiNAnalysis5[[#This Row],[Admin 2 P-Code]],tblPiNAnalysis[[Admin 2 P-Code]:[WASH]],10,FALSE),0)</f>
        <v>0</v>
      </c>
      <c r="AN82" s="503">
        <v>0</v>
      </c>
      <c r="AO82" s="500"/>
      <c r="AP82" s="516">
        <v>3235</v>
      </c>
      <c r="AQ82" s="501">
        <v>50064</v>
      </c>
      <c r="AR82" s="383">
        <f>MIN(tblPiNAnalysis5[[#This Row],[Final TARGET]],MAX(tblPiNAnalysis5[[#This Row],[CCCM_PRI]:[WASH_PRI]]))</f>
        <v>15358</v>
      </c>
      <c r="AS82" s="383">
        <f>IF(VLOOKUP(tblPiNAnalysis5[[#This Row],[Admin 2 P-Code]],tblSeverityAnalysis[[Admin 2 P-Code]:[Final Severity]],43,FALSE)&gt;=4,VLOOKUP(tblPiNAnalysis5[[#This Row],[Admin 2 P-Code]],tblPiNAnalysis[[Admin 2 P-Code]:[WASH]],8,FALSE),0)</f>
        <v>0</v>
      </c>
    </row>
    <row r="83" spans="1:45" ht="16.5" customHeight="1">
      <c r="A8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Global_PopulationHT0613</v>
      </c>
      <c r="B83" s="304" t="s">
        <v>319</v>
      </c>
      <c r="C83" s="213" t="s">
        <v>320</v>
      </c>
      <c r="D83" s="213" t="s">
        <v>325</v>
      </c>
      <c r="E83" s="103" t="s">
        <v>326</v>
      </c>
      <c r="F83" s="99"/>
      <c r="G83" s="34"/>
      <c r="H83" s="34"/>
      <c r="I83" s="96">
        <v>85152</v>
      </c>
      <c r="J83" s="221" t="s">
        <v>156</v>
      </c>
      <c r="K83" s="427">
        <v>439</v>
      </c>
      <c r="L83" s="428">
        <v>11092</v>
      </c>
      <c r="M83" s="428">
        <v>5245</v>
      </c>
      <c r="N83" s="428">
        <v>16123</v>
      </c>
      <c r="O83" s="428">
        <v>3372.6893424912696</v>
      </c>
      <c r="P83" s="428"/>
      <c r="Q83" s="428">
        <v>7090.85</v>
      </c>
      <c r="R83" s="428">
        <v>6433</v>
      </c>
      <c r="S83" s="428"/>
      <c r="T83" s="428"/>
      <c r="U83" s="428"/>
      <c r="V83" s="428"/>
      <c r="W83" s="308"/>
      <c r="X83" s="317">
        <f>IFERROR(IF(tblPiNAnalysis5[[#This Row],[CCCM]]="", "", MROUND(tblPiNAnalysis5[[#This Row],[CCCM]]/tblPiNAnalysis5[[#This Row],[PIN]], 0.05)), "")</f>
        <v>0</v>
      </c>
      <c r="Y83" s="318">
        <f>IFERROR(IF(tblPiNAnalysis5[[#This Row],[Education]]="", "", MROUND(tblPiNAnalysis5[[#This Row],[Education]]/tblPiNAnalysis5[[#This Row],[PIN]], 0.05)), "")</f>
        <v>0.25</v>
      </c>
      <c r="Z83" s="318">
        <f>IFERROR(IF(tblPiNAnalysis5[[#This Row],[Nutrition]]="", "", MROUND(tblPiNAnalysis5[[#This Row],[Nutrition]]/tblPiNAnalysis5[[#This Row],[PIN]], 0.05)), "")</f>
        <v>0.1</v>
      </c>
      <c r="AA83" s="318">
        <f>IFERROR(IF(tblPiNAnalysis5[[#This Row],[Food Security]]="", "", MROUND(tblPiNAnalysis5[[#This Row],[Food Security]]/tblPiNAnalysis5[[#This Row],[PIN]], 0.05)), "")</f>
        <v>0.35000000000000003</v>
      </c>
      <c r="AB83" s="318">
        <f>IFERROR(IF(tblPiNAnalysis5[[#This Row],[Health]]="", "", MROUND(tblPiNAnalysis5[[#This Row],[Health]]/tblPiNAnalysis5[[#This Row],[PIN]], 0.05)), "")</f>
        <v>0.05</v>
      </c>
      <c r="AC83" s="319" t="str">
        <f>IFERROR(IF(tblPiNAnalysis5[[#This Row],[Protection]]="", "", MROUND(tblPiNAnalysis5[[#This Row],[Protection]]/tblPiNAnalysis5[[#This Row],[PIN]], 0.05)), "")</f>
        <v/>
      </c>
      <c r="AD83" s="319">
        <f>IFERROR(IF(tblPiNAnalysis5[[#This Row],[Shelter]]="", "", MROUND(tblPiNAnalysis5[[#This Row],[Shelter]]/tblPiNAnalysis5[[#This Row],[PIN]], 0.05)), "")</f>
        <v>0.15000000000000002</v>
      </c>
      <c r="AE83" s="320">
        <f>IFERROR(IF(tblPiNAnalysis5[[#This Row],[WASH]]="", "", MROUND(tblPiNAnalysis5[[#This Row],[WASH]]/tblPiNAnalysis5[[#This Row],[PIN]], 0.05)), "")</f>
        <v>0.15000000000000002</v>
      </c>
      <c r="AF83" s="488">
        <f>VLOOKUP(tblPiNAnalysis5[[#This Row],[ID]],tblPiNAnalysis[[ID]:[Final PiN]],63,FALSE)</f>
        <v>47685.120000000003</v>
      </c>
      <c r="AG83" s="488">
        <f>IFERROR(IF(tblPiNAnalysis5[[#This Row],[Final TARGET]]="", "", MROUND(tblPiNAnalysis5[[#This Row],[Final TARGET]]/tblPiNAnalysis5[[#This Row],[PIN]], 0.05)), "")</f>
        <v>0.35000000000000003</v>
      </c>
      <c r="AH83" s="322">
        <f>IF(MAX(tblPiNAnalysis5[[#This Row],[CCCM]:[WASH]])&lt;tblPiNAnalysis5[[#This Row],[PIN]],MAX(tblPiNAnalysis5[[#This Row],[CCCM]:[WASH]]),tblPiNAnalysis5[[#This Row],[PIN]])</f>
        <v>16123</v>
      </c>
      <c r="AI83" s="326"/>
      <c r="AJ83" s="502">
        <f>tblPiNAnalysis5[[#This Row],[CCCM]]</f>
        <v>439</v>
      </c>
      <c r="AK83" s="500">
        <v>11092</v>
      </c>
      <c r="AL83" s="500">
        <v>3777</v>
      </c>
      <c r="AM83" s="500">
        <f>IF(VLOOKUP(tblPiNAnalysis5[[#This Row],[Admin 2 P-Code]],tblSeverityAnalysis[[Admin 2 P-Code]:[WASH]],10,FALSE)&gt;=4,VLOOKUP(tblPiNAnalysis5[[#This Row],[Admin 2 P-Code]],tblPiNAnalysis[[Admin 2 P-Code]:[WASH]],10,FALSE),0)</f>
        <v>0</v>
      </c>
      <c r="AN83" s="503">
        <v>0</v>
      </c>
      <c r="AO83" s="500"/>
      <c r="AP83" s="516">
        <v>7091</v>
      </c>
      <c r="AQ83" s="501">
        <v>31248</v>
      </c>
      <c r="AR83" s="383">
        <f>MIN(tblPiNAnalysis5[[#This Row],[Final TARGET]],MAX(tblPiNAnalysis5[[#This Row],[CCCM_PRI]:[WASH_PRI]]))</f>
        <v>16123</v>
      </c>
      <c r="AS83" s="383">
        <f>IF(VLOOKUP(tblPiNAnalysis5[[#This Row],[Admin 2 P-Code]],tblSeverityAnalysis[[Admin 2 P-Code]:[Final Severity]],43,FALSE)&gt;=4,VLOOKUP(tblPiNAnalysis5[[#This Row],[Admin 2 P-Code]],tblPiNAnalysis[[Admin 2 P-Code]:[WASH]],8,FALSE),0)</f>
        <v>0</v>
      </c>
    </row>
    <row r="84" spans="1:45" ht="16.5" customHeight="1">
      <c r="A8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Global_PopulationHT0614</v>
      </c>
      <c r="B84" s="304" t="s">
        <v>319</v>
      </c>
      <c r="C84" s="213" t="s">
        <v>320</v>
      </c>
      <c r="D84" s="213" t="s">
        <v>327</v>
      </c>
      <c r="E84" s="103" t="s">
        <v>328</v>
      </c>
      <c r="F84" s="99"/>
      <c r="G84" s="34"/>
      <c r="H84" s="34"/>
      <c r="I84" s="96">
        <v>31774</v>
      </c>
      <c r="J84" s="221" t="s">
        <v>156</v>
      </c>
      <c r="K84" s="427">
        <v>92</v>
      </c>
      <c r="L84" s="428">
        <v>4313</v>
      </c>
      <c r="M84" s="428">
        <v>1960</v>
      </c>
      <c r="N84" s="428">
        <v>6059</v>
      </c>
      <c r="O84" s="428">
        <v>1965.4338404743289</v>
      </c>
      <c r="P84" s="428"/>
      <c r="Q84" s="428">
        <v>4431.3</v>
      </c>
      <c r="R84" s="428">
        <v>3745</v>
      </c>
      <c r="S84" s="428"/>
      <c r="T84" s="428"/>
      <c r="U84" s="428"/>
      <c r="V84" s="428"/>
      <c r="W84" s="308"/>
      <c r="X84" s="317">
        <f>IFERROR(IF(tblPiNAnalysis5[[#This Row],[CCCM]]="", "", MROUND(tblPiNAnalysis5[[#This Row],[CCCM]]/tblPiNAnalysis5[[#This Row],[PIN]], 0.05)), "")</f>
        <v>0</v>
      </c>
      <c r="Y84" s="318">
        <f>IFERROR(IF(tblPiNAnalysis5[[#This Row],[Education]]="", "", MROUND(tblPiNAnalysis5[[#This Row],[Education]]/tblPiNAnalysis5[[#This Row],[PIN]], 0.05)), "")</f>
        <v>0.25</v>
      </c>
      <c r="Z84" s="318">
        <f>IFERROR(IF(tblPiNAnalysis5[[#This Row],[Nutrition]]="", "", MROUND(tblPiNAnalysis5[[#This Row],[Nutrition]]/tblPiNAnalysis5[[#This Row],[PIN]], 0.05)), "")</f>
        <v>0.1</v>
      </c>
      <c r="AA84" s="318">
        <f>IFERROR(IF(tblPiNAnalysis5[[#This Row],[Food Security]]="", "", MROUND(tblPiNAnalysis5[[#This Row],[Food Security]]/tblPiNAnalysis5[[#This Row],[PIN]], 0.05)), "")</f>
        <v>0.4</v>
      </c>
      <c r="AB84" s="318">
        <f>IFERROR(IF(tblPiNAnalysis5[[#This Row],[Health]]="", "", MROUND(tblPiNAnalysis5[[#This Row],[Health]]/tblPiNAnalysis5[[#This Row],[PIN]], 0.05)), "")</f>
        <v>0.1</v>
      </c>
      <c r="AC84" s="319" t="str">
        <f>IFERROR(IF(tblPiNAnalysis5[[#This Row],[Protection]]="", "", MROUND(tblPiNAnalysis5[[#This Row],[Protection]]/tblPiNAnalysis5[[#This Row],[PIN]], 0.05)), "")</f>
        <v/>
      </c>
      <c r="AD84" s="319">
        <f>IFERROR(IF(tblPiNAnalysis5[[#This Row],[Shelter]]="", "", MROUND(tblPiNAnalysis5[[#This Row],[Shelter]]/tblPiNAnalysis5[[#This Row],[PIN]], 0.05)), "")</f>
        <v>0.30000000000000004</v>
      </c>
      <c r="AE84" s="320">
        <f>IFERROR(IF(tblPiNAnalysis5[[#This Row],[WASH]]="", "", MROUND(tblPiNAnalysis5[[#This Row],[WASH]]/tblPiNAnalysis5[[#This Row],[PIN]], 0.05)), "")</f>
        <v>0.25</v>
      </c>
      <c r="AF84" s="488">
        <f>VLOOKUP(tblPiNAnalysis5[[#This Row],[ID]],tblPiNAnalysis[[ID]:[Final PiN]],63,FALSE)</f>
        <v>16060</v>
      </c>
      <c r="AG84" s="488">
        <f>IFERROR(IF(tblPiNAnalysis5[[#This Row],[Final TARGET]]="", "", MROUND(tblPiNAnalysis5[[#This Row],[Final TARGET]]/tblPiNAnalysis5[[#This Row],[PIN]], 0.05)), "")</f>
        <v>0.4</v>
      </c>
      <c r="AH84" s="322">
        <f>IF(MAX(tblPiNAnalysis5[[#This Row],[CCCM]:[WASH]])&lt;tblPiNAnalysis5[[#This Row],[PIN]],MAX(tblPiNAnalysis5[[#This Row],[CCCM]:[WASH]]),tblPiNAnalysis5[[#This Row],[PIN]])</f>
        <v>6059</v>
      </c>
      <c r="AI84" s="326"/>
      <c r="AJ84" s="502">
        <f>tblPiNAnalysis5[[#This Row],[CCCM]]</f>
        <v>92</v>
      </c>
      <c r="AK84" s="500">
        <v>2892</v>
      </c>
      <c r="AL84" s="500">
        <v>1401</v>
      </c>
      <c r="AM84" s="500">
        <f>IF(VLOOKUP(tblPiNAnalysis5[[#This Row],[Admin 2 P-Code]],tblSeverityAnalysis[[Admin 2 P-Code]:[WASH]],10,FALSE)&gt;=4,VLOOKUP(tblPiNAnalysis5[[#This Row],[Admin 2 P-Code]],tblPiNAnalysis[[Admin 2 P-Code]:[WASH]],10,FALSE),0)</f>
        <v>0</v>
      </c>
      <c r="AN84" s="503">
        <v>0</v>
      </c>
      <c r="AO84" s="500"/>
      <c r="AP84" s="516">
        <v>4431</v>
      </c>
      <c r="AQ84" s="501">
        <v>1872.5</v>
      </c>
      <c r="AR84" s="383">
        <f>MIN(tblPiNAnalysis5[[#This Row],[Final TARGET]],MAX(tblPiNAnalysis5[[#This Row],[CCCM_PRI]:[WASH_PRI]]))</f>
        <v>4431</v>
      </c>
      <c r="AS84" s="383">
        <f>IF(VLOOKUP(tblPiNAnalysis5[[#This Row],[Admin 2 P-Code]],tblSeverityAnalysis[[Admin 2 P-Code]:[Final Severity]],43,FALSE)&gt;=4,VLOOKUP(tblPiNAnalysis5[[#This Row],[Admin 2 P-Code]],tblPiNAnalysis[[Admin 2 P-Code]:[WASH]],8,FALSE),0)</f>
        <v>0</v>
      </c>
    </row>
    <row r="85" spans="1:45" ht="16.5" customHeight="1">
      <c r="A8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Global_PopulationHT0621</v>
      </c>
      <c r="B85" s="304" t="s">
        <v>319</v>
      </c>
      <c r="C85" s="213" t="s">
        <v>320</v>
      </c>
      <c r="D85" s="213" t="s">
        <v>329</v>
      </c>
      <c r="E85" s="103" t="s">
        <v>330</v>
      </c>
      <c r="F85" s="99"/>
      <c r="G85" s="34"/>
      <c r="H85" s="34"/>
      <c r="I85" s="96">
        <v>129573</v>
      </c>
      <c r="J85" s="221" t="s">
        <v>156</v>
      </c>
      <c r="K85" s="427">
        <v>0</v>
      </c>
      <c r="L85" s="428">
        <v>14647</v>
      </c>
      <c r="M85" s="428">
        <v>7919</v>
      </c>
      <c r="N85" s="428">
        <v>65407</v>
      </c>
      <c r="O85" s="428">
        <v>143669</v>
      </c>
      <c r="P85" s="428"/>
      <c r="Q85" s="428">
        <v>2834.6</v>
      </c>
      <c r="R85" s="428">
        <v>4750</v>
      </c>
      <c r="S85" s="428"/>
      <c r="T85" s="428"/>
      <c r="U85" s="428"/>
      <c r="V85" s="428"/>
      <c r="W85" s="308"/>
      <c r="X85" s="317">
        <f>IFERROR(IF(tblPiNAnalysis5[[#This Row],[CCCM]]="", "", MROUND(tblPiNAnalysis5[[#This Row],[CCCM]]/tblPiNAnalysis5[[#This Row],[PIN]], 0.05)), "")</f>
        <v>0</v>
      </c>
      <c r="Y85" s="318">
        <f>IFERROR(IF(tblPiNAnalysis5[[#This Row],[Education]]="", "", MROUND(tblPiNAnalysis5[[#This Row],[Education]]/tblPiNAnalysis5[[#This Row],[PIN]], 0.05)), "")</f>
        <v>0.2</v>
      </c>
      <c r="Z85" s="318">
        <f>IFERROR(IF(tblPiNAnalysis5[[#This Row],[Nutrition]]="", "", MROUND(tblPiNAnalysis5[[#This Row],[Nutrition]]/tblPiNAnalysis5[[#This Row],[PIN]], 0.05)), "")</f>
        <v>0.1</v>
      </c>
      <c r="AA85" s="318">
        <f>IFERROR(IF(tblPiNAnalysis5[[#This Row],[Food Security]]="", "", MROUND(tblPiNAnalysis5[[#This Row],[Food Security]]/tblPiNAnalysis5[[#This Row],[PIN]], 0.05)), "")</f>
        <v>0.85000000000000009</v>
      </c>
      <c r="AB85" s="318">
        <f>IFERROR(IF(tblPiNAnalysis5[[#This Row],[Health]]="", "", MROUND(tblPiNAnalysis5[[#This Row],[Health]]/tblPiNAnalysis5[[#This Row],[PIN]], 0.05)), "")</f>
        <v>1.9000000000000001</v>
      </c>
      <c r="AC85" s="319" t="str">
        <f>IFERROR(IF(tblPiNAnalysis5[[#This Row],[Protection]]="", "", MROUND(tblPiNAnalysis5[[#This Row],[Protection]]/tblPiNAnalysis5[[#This Row],[PIN]], 0.05)), "")</f>
        <v/>
      </c>
      <c r="AD85" s="319">
        <f>IFERROR(IF(tblPiNAnalysis5[[#This Row],[Shelter]]="", "", MROUND(tblPiNAnalysis5[[#This Row],[Shelter]]/tblPiNAnalysis5[[#This Row],[PIN]], 0.05)), "")</f>
        <v>0.05</v>
      </c>
      <c r="AE85" s="320">
        <f>IFERROR(IF(tblPiNAnalysis5[[#This Row],[WASH]]="", "", MROUND(tblPiNAnalysis5[[#This Row],[WASH]]/tblPiNAnalysis5[[#This Row],[PIN]], 0.05)), "")</f>
        <v>0.05</v>
      </c>
      <c r="AF85" s="488">
        <f>VLOOKUP(tblPiNAnalysis5[[#This Row],[ID]],tblPiNAnalysis[[ID]:[Final PiN]],63,FALSE)</f>
        <v>75469</v>
      </c>
      <c r="AG85" s="488">
        <f>IFERROR(IF(tblPiNAnalysis5[[#This Row],[Final TARGET]]="", "", MROUND(tblPiNAnalysis5[[#This Row],[Final TARGET]]/tblPiNAnalysis5[[#This Row],[PIN]], 0.05)), "")</f>
        <v>1</v>
      </c>
      <c r="AH85" s="322">
        <f>IF(MAX(tblPiNAnalysis5[[#This Row],[CCCM]:[WASH]])&lt;tblPiNAnalysis5[[#This Row],[PIN]],MAX(tblPiNAnalysis5[[#This Row],[CCCM]:[WASH]]),tblPiNAnalysis5[[#This Row],[PIN]])</f>
        <v>75469</v>
      </c>
      <c r="AI85" s="326"/>
      <c r="AJ85" s="502">
        <f>tblPiNAnalysis5[[#This Row],[CCCM]]</f>
        <v>0</v>
      </c>
      <c r="AK85" s="500">
        <v>14647</v>
      </c>
      <c r="AL85" s="500">
        <v>5724</v>
      </c>
      <c r="AM85" s="500">
        <f>IF(VLOOKUP(tblPiNAnalysis5[[#This Row],[Admin 2 P-Code]],tblSeverityAnalysis[[Admin 2 P-Code]:[WASH]],10,FALSE)&gt;=4,VLOOKUP(tblPiNAnalysis5[[#This Row],[Admin 2 P-Code]],tblPiNAnalysis[[Admin 2 P-Code]:[WASH]],10,FALSE),0)</f>
        <v>75469</v>
      </c>
      <c r="AN85" s="503">
        <v>143669</v>
      </c>
      <c r="AO85" s="500"/>
      <c r="AP85" s="516">
        <v>2835</v>
      </c>
      <c r="AQ85" s="501">
        <v>18816</v>
      </c>
      <c r="AR85" s="383">
        <f>MIN(tblPiNAnalysis5[[#This Row],[Final TARGET]],MAX(tblPiNAnalysis5[[#This Row],[CCCM_PRI]:[WASH_PRI]]))</f>
        <v>75469</v>
      </c>
      <c r="AS85" s="383">
        <f>IF(VLOOKUP(tblPiNAnalysis5[[#This Row],[Admin 2 P-Code]],tblSeverityAnalysis[[Admin 2 P-Code]:[Final Severity]],43,FALSE)&gt;=4,VLOOKUP(tblPiNAnalysis5[[#This Row],[Admin 2 P-Code]],tblPiNAnalysis[[Admin 2 P-Code]:[WASH]],8,FALSE),0)</f>
        <v>23428</v>
      </c>
    </row>
    <row r="86" spans="1:45" ht="16.5" customHeight="1">
      <c r="A8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Global_PopulationHT0622</v>
      </c>
      <c r="B86" s="304" t="s">
        <v>319</v>
      </c>
      <c r="C86" s="213" t="s">
        <v>320</v>
      </c>
      <c r="D86" s="213" t="s">
        <v>331</v>
      </c>
      <c r="E86" s="103" t="s">
        <v>332</v>
      </c>
      <c r="F86" s="99"/>
      <c r="G86" s="34"/>
      <c r="H86" s="34"/>
      <c r="I86" s="96">
        <v>52389</v>
      </c>
      <c r="J86" s="221" t="s">
        <v>156</v>
      </c>
      <c r="K86" s="427">
        <v>0</v>
      </c>
      <c r="L86" s="428">
        <v>6045</v>
      </c>
      <c r="M86" s="428">
        <v>3134</v>
      </c>
      <c r="N86" s="428">
        <v>26140</v>
      </c>
      <c r="O86" s="428">
        <v>13491.896914285715</v>
      </c>
      <c r="P86" s="428"/>
      <c r="Q86" s="428">
        <v>289</v>
      </c>
      <c r="R86" s="428">
        <v>1205.9900990099011</v>
      </c>
      <c r="S86" s="428"/>
      <c r="T86" s="428"/>
      <c r="U86" s="428"/>
      <c r="V86" s="428"/>
      <c r="W86" s="308"/>
      <c r="X86" s="317">
        <f>IFERROR(IF(tblPiNAnalysis5[[#This Row],[CCCM]]="", "", MROUND(tblPiNAnalysis5[[#This Row],[CCCM]]/tblPiNAnalysis5[[#This Row],[PIN]], 0.05)), "")</f>
        <v>0</v>
      </c>
      <c r="Y86" s="318">
        <f>IFERROR(IF(tblPiNAnalysis5[[#This Row],[Education]]="", "", MROUND(tblPiNAnalysis5[[#This Row],[Education]]/tblPiNAnalysis5[[#This Row],[PIN]], 0.05)), "")</f>
        <v>0.1</v>
      </c>
      <c r="Z86" s="318">
        <f>IFERROR(IF(tblPiNAnalysis5[[#This Row],[Nutrition]]="", "", MROUND(tblPiNAnalysis5[[#This Row],[Nutrition]]/tblPiNAnalysis5[[#This Row],[PIN]], 0.05)), "")</f>
        <v>0.05</v>
      </c>
      <c r="AA86" s="318">
        <f>IFERROR(IF(tblPiNAnalysis5[[#This Row],[Food Security]]="", "", MROUND(tblPiNAnalysis5[[#This Row],[Food Security]]/tblPiNAnalysis5[[#This Row],[PIN]], 0.05)), "")</f>
        <v>0.5</v>
      </c>
      <c r="AB86" s="318">
        <f>IFERROR(IF(tblPiNAnalysis5[[#This Row],[Health]]="", "", MROUND(tblPiNAnalysis5[[#This Row],[Health]]/tblPiNAnalysis5[[#This Row],[PIN]], 0.05)), "")</f>
        <v>0.25</v>
      </c>
      <c r="AC86" s="319" t="str">
        <f>IFERROR(IF(tblPiNAnalysis5[[#This Row],[Protection]]="", "", MROUND(tblPiNAnalysis5[[#This Row],[Protection]]/tblPiNAnalysis5[[#This Row],[PIN]], 0.05)), "")</f>
        <v/>
      </c>
      <c r="AD86" s="319">
        <f>IFERROR(IF(tblPiNAnalysis5[[#This Row],[Shelter]]="", "", MROUND(tblPiNAnalysis5[[#This Row],[Shelter]]/tblPiNAnalysis5[[#This Row],[PIN]], 0.05)), "")</f>
        <v>0</v>
      </c>
      <c r="AE86" s="320">
        <f>IFERROR(IF(tblPiNAnalysis5[[#This Row],[WASH]]="", "", MROUND(tblPiNAnalysis5[[#This Row],[WASH]]/tblPiNAnalysis5[[#This Row],[PIN]], 0.05)), "")</f>
        <v>0</v>
      </c>
      <c r="AF86" s="488">
        <f>VLOOKUP(tblPiNAnalysis5[[#This Row],[ID]],tblPiNAnalysis[[ID]:[Final PiN]],63,FALSE)</f>
        <v>53967.58765714286</v>
      </c>
      <c r="AG86" s="488">
        <f>IFERROR(IF(tblPiNAnalysis5[[#This Row],[Final TARGET]]="", "", MROUND(tblPiNAnalysis5[[#This Row],[Final TARGET]]/tblPiNAnalysis5[[#This Row],[PIN]], 0.05)), "")</f>
        <v>0.5</v>
      </c>
      <c r="AH86" s="322">
        <f>IF(MAX(tblPiNAnalysis5[[#This Row],[CCCM]:[WASH]])&lt;tblPiNAnalysis5[[#This Row],[PIN]],MAX(tblPiNAnalysis5[[#This Row],[CCCM]:[WASH]]),tblPiNAnalysis5[[#This Row],[PIN]])</f>
        <v>26140</v>
      </c>
      <c r="AI86" s="326"/>
      <c r="AJ86" s="502">
        <f>tblPiNAnalysis5[[#This Row],[CCCM]]</f>
        <v>0</v>
      </c>
      <c r="AK86" s="500">
        <v>3623</v>
      </c>
      <c r="AL86" s="500">
        <v>2276</v>
      </c>
      <c r="AM86" s="500">
        <f>IF(VLOOKUP(tblPiNAnalysis5[[#This Row],[Admin 2 P-Code]],tblSeverityAnalysis[[Admin 2 P-Code]:[WASH]],10,FALSE)&gt;=4,VLOOKUP(tblPiNAnalysis5[[#This Row],[Admin 2 P-Code]],tblPiNAnalysis[[Admin 2 P-Code]:[WASH]],10,FALSE),0)</f>
        <v>30162</v>
      </c>
      <c r="AN86" s="503">
        <v>0</v>
      </c>
      <c r="AO86" s="500"/>
      <c r="AP86" s="516">
        <v>289</v>
      </c>
      <c r="AQ86" s="501">
        <v>2016</v>
      </c>
      <c r="AR86" s="383">
        <f>MIN(tblPiNAnalysis5[[#This Row],[Final TARGET]],MAX(tblPiNAnalysis5[[#This Row],[CCCM_PRI]:[WASH_PRI]]))</f>
        <v>26140</v>
      </c>
      <c r="AS86" s="383">
        <f>IF(VLOOKUP(tblPiNAnalysis5[[#This Row],[Admin 2 P-Code]],tblSeverityAnalysis[[Admin 2 P-Code]:[Final Severity]],43,FALSE)&gt;=4,VLOOKUP(tblPiNAnalysis5[[#This Row],[Admin 2 P-Code]],tblPiNAnalysis[[Admin 2 P-Code]:[WASH]],8,FALSE),0)</f>
        <v>9836</v>
      </c>
    </row>
    <row r="87" spans="1:45" ht="16.5" customHeight="1">
      <c r="A8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Global_PopulationHT0623</v>
      </c>
      <c r="B87" s="304" t="s">
        <v>319</v>
      </c>
      <c r="C87" s="213" t="s">
        <v>320</v>
      </c>
      <c r="D87" s="213" t="s">
        <v>333</v>
      </c>
      <c r="E87" s="103" t="s">
        <v>334</v>
      </c>
      <c r="F87" s="99"/>
      <c r="G87" s="34"/>
      <c r="H87" s="34"/>
      <c r="I87" s="96">
        <v>79705</v>
      </c>
      <c r="J87" s="221" t="s">
        <v>156</v>
      </c>
      <c r="K87" s="427">
        <v>2467</v>
      </c>
      <c r="L87" s="428">
        <v>10679</v>
      </c>
      <c r="M87" s="428">
        <v>5277</v>
      </c>
      <c r="N87" s="428">
        <v>37486</v>
      </c>
      <c r="O87" s="428">
        <v>35708.605059832087</v>
      </c>
      <c r="P87" s="428"/>
      <c r="Q87" s="428">
        <v>14753.449999999999</v>
      </c>
      <c r="R87" s="428">
        <v>10605</v>
      </c>
      <c r="S87" s="428"/>
      <c r="T87" s="428"/>
      <c r="U87" s="428"/>
      <c r="V87" s="428"/>
      <c r="W87" s="308"/>
      <c r="X87" s="317">
        <f>IFERROR(IF(tblPiNAnalysis5[[#This Row],[CCCM]]="", "", MROUND(tblPiNAnalysis5[[#This Row],[CCCM]]/tblPiNAnalysis5[[#This Row],[PIN]], 0.05)), "")</f>
        <v>0.05</v>
      </c>
      <c r="Y87" s="318">
        <f>IFERROR(IF(tblPiNAnalysis5[[#This Row],[Education]]="", "", MROUND(tblPiNAnalysis5[[#This Row],[Education]]/tblPiNAnalysis5[[#This Row],[PIN]], 0.05)), "")</f>
        <v>0.2</v>
      </c>
      <c r="Z87" s="318">
        <f>IFERROR(IF(tblPiNAnalysis5[[#This Row],[Nutrition]]="", "", MROUND(tblPiNAnalysis5[[#This Row],[Nutrition]]/tblPiNAnalysis5[[#This Row],[PIN]], 0.05)), "")</f>
        <v>0.1</v>
      </c>
      <c r="AA87" s="318">
        <f>IFERROR(IF(tblPiNAnalysis5[[#This Row],[Food Security]]="", "", MROUND(tblPiNAnalysis5[[#This Row],[Food Security]]/tblPiNAnalysis5[[#This Row],[PIN]], 0.05)), "")</f>
        <v>0.65</v>
      </c>
      <c r="AB87" s="318">
        <f>IFERROR(IF(tblPiNAnalysis5[[#This Row],[Health]]="", "", MROUND(tblPiNAnalysis5[[#This Row],[Health]]/tblPiNAnalysis5[[#This Row],[PIN]], 0.05)), "")</f>
        <v>0.60000000000000009</v>
      </c>
      <c r="AC87" s="319" t="str">
        <f>IFERROR(IF(tblPiNAnalysis5[[#This Row],[Protection]]="", "", MROUND(tblPiNAnalysis5[[#This Row],[Protection]]/tblPiNAnalysis5[[#This Row],[PIN]], 0.05)), "")</f>
        <v/>
      </c>
      <c r="AD87" s="319">
        <f>IFERROR(IF(tblPiNAnalysis5[[#This Row],[Shelter]]="", "", MROUND(tblPiNAnalysis5[[#This Row],[Shelter]]/tblPiNAnalysis5[[#This Row],[PIN]], 0.05)), "")</f>
        <v>0.25</v>
      </c>
      <c r="AE87" s="320">
        <f>IFERROR(IF(tblPiNAnalysis5[[#This Row],[WASH]]="", "", MROUND(tblPiNAnalysis5[[#This Row],[WASH]]/tblPiNAnalysis5[[#This Row],[PIN]], 0.05)), "")</f>
        <v>0.2</v>
      </c>
      <c r="AF87" s="488">
        <f>VLOOKUP(tblPiNAnalysis5[[#This Row],[ID]],tblPiNAnalysis[[ID]:[Final PiN]],63,FALSE)</f>
        <v>59778.75</v>
      </c>
      <c r="AG87" s="488">
        <f>IFERROR(IF(tblPiNAnalysis5[[#This Row],[Final TARGET]]="", "", MROUND(tblPiNAnalysis5[[#This Row],[Final TARGET]]/tblPiNAnalysis5[[#This Row],[PIN]], 0.05)), "")</f>
        <v>0.65</v>
      </c>
      <c r="AH87" s="322">
        <f>IF(MAX(tblPiNAnalysis5[[#This Row],[CCCM]:[WASH]])&lt;tblPiNAnalysis5[[#This Row],[PIN]],MAX(tblPiNAnalysis5[[#This Row],[CCCM]:[WASH]]),tblPiNAnalysis5[[#This Row],[PIN]])</f>
        <v>37486</v>
      </c>
      <c r="AI87" s="326"/>
      <c r="AJ87" s="502">
        <f>tblPiNAnalysis5[[#This Row],[CCCM]]</f>
        <v>2467</v>
      </c>
      <c r="AK87" s="500">
        <v>10679</v>
      </c>
      <c r="AL87" s="500">
        <v>3807</v>
      </c>
      <c r="AM87" s="500">
        <f>IF(VLOOKUP(tblPiNAnalysis5[[#This Row],[Admin 2 P-Code]],tblSeverityAnalysis[[Admin 2 P-Code]:[WASH]],10,FALSE)&gt;=4,VLOOKUP(tblPiNAnalysis5[[#This Row],[Admin 2 P-Code]],tblPiNAnalysis[[Admin 2 P-Code]:[WASH]],10,FALSE),0)</f>
        <v>43253</v>
      </c>
      <c r="AN87" s="503">
        <v>35708.605059832087</v>
      </c>
      <c r="AO87" s="500"/>
      <c r="AP87" s="516">
        <v>14753</v>
      </c>
      <c r="AQ87" s="501">
        <v>22512</v>
      </c>
      <c r="AR87" s="383">
        <f>MIN(tblPiNAnalysis5[[#This Row],[Final TARGET]],MAX(tblPiNAnalysis5[[#This Row],[CCCM_PRI]:[WASH_PRI]]))</f>
        <v>37486</v>
      </c>
      <c r="AS87" s="383">
        <f>IF(VLOOKUP(tblPiNAnalysis5[[#This Row],[Admin 2 P-Code]],tblSeverityAnalysis[[Admin 2 P-Code]:[Final Severity]],43,FALSE)&gt;=4,VLOOKUP(tblPiNAnalysis5[[#This Row],[Admin 2 P-Code]],tblPiNAnalysis[[Admin 2 P-Code]:[WASH]],8,FALSE),0)</f>
        <v>0</v>
      </c>
    </row>
    <row r="88" spans="1:45" ht="16.5" customHeight="1">
      <c r="A8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Global_PopulationHT0631</v>
      </c>
      <c r="B88" s="304" t="s">
        <v>319</v>
      </c>
      <c r="C88" s="213" t="s">
        <v>320</v>
      </c>
      <c r="D88" s="213" t="s">
        <v>335</v>
      </c>
      <c r="E88" s="103" t="s">
        <v>336</v>
      </c>
      <c r="F88" s="99"/>
      <c r="G88" s="34"/>
      <c r="H88" s="34"/>
      <c r="I88" s="96">
        <v>65198</v>
      </c>
      <c r="J88" s="221" t="s">
        <v>156</v>
      </c>
      <c r="K88" s="427">
        <v>390</v>
      </c>
      <c r="L88" s="428">
        <v>8858</v>
      </c>
      <c r="M88" s="428">
        <v>3998</v>
      </c>
      <c r="N88" s="428">
        <v>30693</v>
      </c>
      <c r="O88" s="428">
        <v>0</v>
      </c>
      <c r="P88" s="428"/>
      <c r="Q88" s="428">
        <v>6580.1</v>
      </c>
      <c r="R88" s="428">
        <v>5100</v>
      </c>
      <c r="S88" s="428"/>
      <c r="T88" s="428"/>
      <c r="U88" s="428"/>
      <c r="V88" s="428"/>
      <c r="W88" s="308"/>
      <c r="X88" s="317">
        <f>IFERROR(IF(tblPiNAnalysis5[[#This Row],[CCCM]]="", "", MROUND(tblPiNAnalysis5[[#This Row],[CCCM]]/tblPiNAnalysis5[[#This Row],[PIN]], 0.05)), "")</f>
        <v>0</v>
      </c>
      <c r="Y88" s="318">
        <f>IFERROR(IF(tblPiNAnalysis5[[#This Row],[Education]]="", "", MROUND(tblPiNAnalysis5[[#This Row],[Education]]/tblPiNAnalysis5[[#This Row],[PIN]], 0.05)), "")</f>
        <v>0.2</v>
      </c>
      <c r="Z88" s="318">
        <f>IFERROR(IF(tblPiNAnalysis5[[#This Row],[Nutrition]]="", "", MROUND(tblPiNAnalysis5[[#This Row],[Nutrition]]/tblPiNAnalysis5[[#This Row],[PIN]], 0.05)), "")</f>
        <v>0.1</v>
      </c>
      <c r="AA88" s="318">
        <f>IFERROR(IF(tblPiNAnalysis5[[#This Row],[Food Security]]="", "", MROUND(tblPiNAnalysis5[[#This Row],[Food Security]]/tblPiNAnalysis5[[#This Row],[PIN]], 0.05)), "")</f>
        <v>0.75</v>
      </c>
      <c r="AB88" s="318">
        <f>IFERROR(IF(tblPiNAnalysis5[[#This Row],[Health]]="", "", MROUND(tblPiNAnalysis5[[#This Row],[Health]]/tblPiNAnalysis5[[#This Row],[PIN]], 0.05)), "")</f>
        <v>0</v>
      </c>
      <c r="AC88" s="319" t="str">
        <f>IFERROR(IF(tblPiNAnalysis5[[#This Row],[Protection]]="", "", MROUND(tblPiNAnalysis5[[#This Row],[Protection]]/tblPiNAnalysis5[[#This Row],[PIN]], 0.05)), "")</f>
        <v/>
      </c>
      <c r="AD88" s="319">
        <f>IFERROR(IF(tblPiNAnalysis5[[#This Row],[Shelter]]="", "", MROUND(tblPiNAnalysis5[[#This Row],[Shelter]]/tblPiNAnalysis5[[#This Row],[PIN]], 0.05)), "")</f>
        <v>0.15000000000000002</v>
      </c>
      <c r="AE88" s="320">
        <f>IFERROR(IF(tblPiNAnalysis5[[#This Row],[WASH]]="", "", MROUND(tblPiNAnalysis5[[#This Row],[WASH]]/tblPiNAnalysis5[[#This Row],[PIN]], 0.05)), "")</f>
        <v>0.1</v>
      </c>
      <c r="AF88" s="488">
        <f>VLOOKUP(tblPiNAnalysis5[[#This Row],[ID]],tblPiNAnalysis[[ID]:[Final PiN]],63,FALSE)</f>
        <v>40915.644261202186</v>
      </c>
      <c r="AG88" s="488">
        <f>IFERROR(IF(tblPiNAnalysis5[[#This Row],[Final TARGET]]="", "", MROUND(tblPiNAnalysis5[[#This Row],[Final TARGET]]/tblPiNAnalysis5[[#This Row],[PIN]], 0.05)), "")</f>
        <v>0.75</v>
      </c>
      <c r="AH88" s="322">
        <f>IF(MAX(tblPiNAnalysis5[[#This Row],[CCCM]:[WASH]])&lt;tblPiNAnalysis5[[#This Row],[PIN]],MAX(tblPiNAnalysis5[[#This Row],[CCCM]:[WASH]]),tblPiNAnalysis5[[#This Row],[PIN]])</f>
        <v>30693</v>
      </c>
      <c r="AI88" s="326"/>
      <c r="AJ88" s="502">
        <f>tblPiNAnalysis5[[#This Row],[CCCM]]</f>
        <v>390</v>
      </c>
      <c r="AK88" s="500">
        <v>6291</v>
      </c>
      <c r="AL88" s="500">
        <v>2873</v>
      </c>
      <c r="AM88" s="500">
        <f>IF(VLOOKUP(tblPiNAnalysis5[[#This Row],[Admin 2 P-Code]],tblSeverityAnalysis[[Admin 2 P-Code]:[WASH]],10,FALSE)&gt;=4,VLOOKUP(tblPiNAnalysis5[[#This Row],[Admin 2 P-Code]],tblPiNAnalysis[[Admin 2 P-Code]:[WASH]],10,FALSE),0)</f>
        <v>35415</v>
      </c>
      <c r="AN88" s="503">
        <v>0</v>
      </c>
      <c r="AO88" s="500"/>
      <c r="AP88" s="516">
        <v>6580</v>
      </c>
      <c r="AQ88" s="501">
        <v>7056</v>
      </c>
      <c r="AR88" s="383">
        <f>MIN(tblPiNAnalysis5[[#This Row],[Final TARGET]],MAX(tblPiNAnalysis5[[#This Row],[CCCM_PRI]:[WASH_PRI]]))</f>
        <v>30693</v>
      </c>
      <c r="AS88" s="383">
        <f>IF(VLOOKUP(tblPiNAnalysis5[[#This Row],[Admin 2 P-Code]],tblSeverityAnalysis[[Admin 2 P-Code]:[Final Severity]],43,FALSE)&gt;=4,VLOOKUP(tblPiNAnalysis5[[#This Row],[Admin 2 P-Code]],tblPiNAnalysis[[Admin 2 P-Code]:[WASH]],8,FALSE),0)</f>
        <v>12816</v>
      </c>
    </row>
    <row r="89" spans="1:45" ht="16.5" customHeight="1">
      <c r="A8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Global_PopulationHT0632</v>
      </c>
      <c r="B89" s="304" t="s">
        <v>319</v>
      </c>
      <c r="C89" s="213" t="s">
        <v>320</v>
      </c>
      <c r="D89" s="213" t="s">
        <v>337</v>
      </c>
      <c r="E89" s="103" t="s">
        <v>338</v>
      </c>
      <c r="F89" s="99"/>
      <c r="G89" s="34"/>
      <c r="H89" s="34"/>
      <c r="I89" s="96">
        <v>123067</v>
      </c>
      <c r="J89" s="221" t="s">
        <v>156</v>
      </c>
      <c r="K89" s="427">
        <v>2631</v>
      </c>
      <c r="L89" s="428">
        <v>23458</v>
      </c>
      <c r="M89" s="428">
        <v>12991</v>
      </c>
      <c r="N89" s="428">
        <v>57951</v>
      </c>
      <c r="O89" s="428">
        <v>175306.74852968712</v>
      </c>
      <c r="P89" s="428"/>
      <c r="Q89" s="428">
        <v>59312.25</v>
      </c>
      <c r="R89" s="428">
        <v>107610</v>
      </c>
      <c r="S89" s="428"/>
      <c r="T89" s="428"/>
      <c r="U89" s="428"/>
      <c r="V89" s="428"/>
      <c r="W89" s="308"/>
      <c r="X89" s="317">
        <f>IFERROR(IF(tblPiNAnalysis5[[#This Row],[CCCM]]="", "", MROUND(tblPiNAnalysis5[[#This Row],[CCCM]]/tblPiNAnalysis5[[#This Row],[PIN]], 0.05)), "")</f>
        <v>0</v>
      </c>
      <c r="Y89" s="318">
        <f>IFERROR(IF(tblPiNAnalysis5[[#This Row],[Education]]="", "", MROUND(tblPiNAnalysis5[[#This Row],[Education]]/tblPiNAnalysis5[[#This Row],[PIN]], 0.05)), "")</f>
        <v>0.15000000000000002</v>
      </c>
      <c r="Z89" s="318">
        <f>IFERROR(IF(tblPiNAnalysis5[[#This Row],[Nutrition]]="", "", MROUND(tblPiNAnalysis5[[#This Row],[Nutrition]]/tblPiNAnalysis5[[#This Row],[PIN]], 0.05)), "")</f>
        <v>0.05</v>
      </c>
      <c r="AA89" s="318">
        <f>IFERROR(IF(tblPiNAnalysis5[[#This Row],[Food Security]]="", "", MROUND(tblPiNAnalysis5[[#This Row],[Food Security]]/tblPiNAnalysis5[[#This Row],[PIN]], 0.05)), "")</f>
        <v>0.35000000000000003</v>
      </c>
      <c r="AB89" s="318">
        <f>IFERROR(IF(tblPiNAnalysis5[[#This Row],[Health]]="", "", MROUND(tblPiNAnalysis5[[#This Row],[Health]]/tblPiNAnalysis5[[#This Row],[PIN]], 0.05)), "")</f>
        <v>1</v>
      </c>
      <c r="AC89" s="319" t="str">
        <f>IFERROR(IF(tblPiNAnalysis5[[#This Row],[Protection]]="", "", MROUND(tblPiNAnalysis5[[#This Row],[Protection]]/tblPiNAnalysis5[[#This Row],[PIN]], 0.05)), "")</f>
        <v/>
      </c>
      <c r="AD89" s="319">
        <f>IFERROR(IF(tblPiNAnalysis5[[#This Row],[Shelter]]="", "", MROUND(tblPiNAnalysis5[[#This Row],[Shelter]]/tblPiNAnalysis5[[#This Row],[PIN]], 0.05)), "")</f>
        <v>0.35000000000000003</v>
      </c>
      <c r="AE89" s="320">
        <f>IFERROR(IF(tblPiNAnalysis5[[#This Row],[WASH]]="", "", MROUND(tblPiNAnalysis5[[#This Row],[WASH]]/tblPiNAnalysis5[[#This Row],[PIN]], 0.05)), "")</f>
        <v>0.60000000000000009</v>
      </c>
      <c r="AF89" s="488">
        <f>VLOOKUP(tblPiNAnalysis5[[#This Row],[ID]],tblPiNAnalysis[[ID]:[Final PiN]],63,FALSE)</f>
        <v>175306.74852968712</v>
      </c>
      <c r="AG89" s="488">
        <f>IFERROR(IF(tblPiNAnalysis5[[#This Row],[Final TARGET]]="", "", MROUND(tblPiNAnalysis5[[#This Row],[Final TARGET]]/tblPiNAnalysis5[[#This Row],[PIN]], 0.05)), "")</f>
        <v>1</v>
      </c>
      <c r="AH89" s="322">
        <f>IF(MAX(tblPiNAnalysis5[[#This Row],[CCCM]:[WASH]])&lt;tblPiNAnalysis5[[#This Row],[PIN]],MAX(tblPiNAnalysis5[[#This Row],[CCCM]:[WASH]]),tblPiNAnalysis5[[#This Row],[PIN]])</f>
        <v>175306.74852968712</v>
      </c>
      <c r="AI89" s="326"/>
      <c r="AJ89" s="502">
        <f>tblPiNAnalysis5[[#This Row],[CCCM]]</f>
        <v>2631</v>
      </c>
      <c r="AK89" s="500">
        <v>23458</v>
      </c>
      <c r="AL89" s="500">
        <v>9257</v>
      </c>
      <c r="AM89" s="500">
        <f>IF(VLOOKUP(tblPiNAnalysis5[[#This Row],[Admin 2 P-Code]],tblSeverityAnalysis[[Admin 2 P-Code]:[WASH]],10,FALSE)&gt;=4,VLOOKUP(tblPiNAnalysis5[[#This Row],[Admin 2 P-Code]],tblPiNAnalysis[[Admin 2 P-Code]:[WASH]],10,FALSE),0)</f>
        <v>66866</v>
      </c>
      <c r="AN89" s="503">
        <v>175306.74852968712</v>
      </c>
      <c r="AO89" s="500"/>
      <c r="AP89" s="516">
        <v>59312</v>
      </c>
      <c r="AQ89" s="501">
        <v>53805</v>
      </c>
      <c r="AR89" s="383">
        <f>MIN(tblPiNAnalysis5[[#This Row],[Final TARGET]],MAX(tblPiNAnalysis5[[#This Row],[CCCM_PRI]:[WASH_PRI]]))</f>
        <v>175306.74852968712</v>
      </c>
      <c r="AS89" s="383">
        <f>IF(VLOOKUP(tblPiNAnalysis5[[#This Row],[Admin 2 P-Code]],tblSeverityAnalysis[[Admin 2 P-Code]:[Final Severity]],43,FALSE)&gt;=4,VLOOKUP(tblPiNAnalysis5[[#This Row],[Admin 2 P-Code]],tblPiNAnalysis[[Admin 2 P-Code]:[WASH]],8,FALSE),0)</f>
        <v>23811</v>
      </c>
    </row>
    <row r="90" spans="1:45" ht="16.5" customHeight="1">
      <c r="A9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Global_PopulationHT0633</v>
      </c>
      <c r="B90" s="304" t="s">
        <v>319</v>
      </c>
      <c r="C90" s="213" t="s">
        <v>320</v>
      </c>
      <c r="D90" s="213" t="s">
        <v>339</v>
      </c>
      <c r="E90" s="103" t="s">
        <v>340</v>
      </c>
      <c r="F90" s="99"/>
      <c r="G90" s="34"/>
      <c r="H90" s="34"/>
      <c r="I90" s="96">
        <v>46902</v>
      </c>
      <c r="J90" s="221" t="s">
        <v>156</v>
      </c>
      <c r="K90" s="427">
        <v>979</v>
      </c>
      <c r="L90" s="428">
        <v>5232</v>
      </c>
      <c r="M90" s="428">
        <v>3093</v>
      </c>
      <c r="N90" s="428">
        <v>24221</v>
      </c>
      <c r="O90" s="428">
        <v>0</v>
      </c>
      <c r="P90" s="428"/>
      <c r="Q90" s="428">
        <v>5725.95</v>
      </c>
      <c r="R90" s="428">
        <v>3897</v>
      </c>
      <c r="S90" s="428"/>
      <c r="T90" s="428"/>
      <c r="U90" s="428"/>
      <c r="V90" s="428"/>
      <c r="W90" s="308"/>
      <c r="X90" s="317">
        <f>IFERROR(IF(tblPiNAnalysis5[[#This Row],[CCCM]]="", "", MROUND(tblPiNAnalysis5[[#This Row],[CCCM]]/tblPiNAnalysis5[[#This Row],[PIN]], 0.05)), "")</f>
        <v>0.05</v>
      </c>
      <c r="Y90" s="318">
        <f>IFERROR(IF(tblPiNAnalysis5[[#This Row],[Education]]="", "", MROUND(tblPiNAnalysis5[[#This Row],[Education]]/tblPiNAnalysis5[[#This Row],[PIN]], 0.05)), "")</f>
        <v>0.2</v>
      </c>
      <c r="Z90" s="318">
        <f>IFERROR(IF(tblPiNAnalysis5[[#This Row],[Nutrition]]="", "", MROUND(tblPiNAnalysis5[[#This Row],[Nutrition]]/tblPiNAnalysis5[[#This Row],[PIN]], 0.05)), "")</f>
        <v>0.1</v>
      </c>
      <c r="AA90" s="318">
        <f>IFERROR(IF(tblPiNAnalysis5[[#This Row],[Food Security]]="", "", MROUND(tblPiNAnalysis5[[#This Row],[Food Security]]/tblPiNAnalysis5[[#This Row],[PIN]], 0.05)), "")</f>
        <v>0.85000000000000009</v>
      </c>
      <c r="AB90" s="318">
        <f>IFERROR(IF(tblPiNAnalysis5[[#This Row],[Health]]="", "", MROUND(tblPiNAnalysis5[[#This Row],[Health]]/tblPiNAnalysis5[[#This Row],[PIN]], 0.05)), "")</f>
        <v>0</v>
      </c>
      <c r="AC90" s="319" t="str">
        <f>IFERROR(IF(tblPiNAnalysis5[[#This Row],[Protection]]="", "", MROUND(tblPiNAnalysis5[[#This Row],[Protection]]/tblPiNAnalysis5[[#This Row],[PIN]], 0.05)), "")</f>
        <v/>
      </c>
      <c r="AD90" s="319">
        <f>IFERROR(IF(tblPiNAnalysis5[[#This Row],[Shelter]]="", "", MROUND(tblPiNAnalysis5[[#This Row],[Shelter]]/tblPiNAnalysis5[[#This Row],[PIN]], 0.05)), "")</f>
        <v>0.2</v>
      </c>
      <c r="AE90" s="320">
        <f>IFERROR(IF(tblPiNAnalysis5[[#This Row],[WASH]]="", "", MROUND(tblPiNAnalysis5[[#This Row],[WASH]]/tblPiNAnalysis5[[#This Row],[PIN]], 0.05)), "")</f>
        <v>0.15000000000000002</v>
      </c>
      <c r="AF90" s="488">
        <f>VLOOKUP(tblPiNAnalysis5[[#This Row],[ID]],tblPiNAnalysis[[ID]:[Final PiN]],63,FALSE)</f>
        <v>27947</v>
      </c>
      <c r="AG90" s="488">
        <f>IFERROR(IF(tblPiNAnalysis5[[#This Row],[Final TARGET]]="", "", MROUND(tblPiNAnalysis5[[#This Row],[Final TARGET]]/tblPiNAnalysis5[[#This Row],[PIN]], 0.05)), "")</f>
        <v>0.85000000000000009</v>
      </c>
      <c r="AH90" s="322">
        <f>IF(MAX(tblPiNAnalysis5[[#This Row],[CCCM]:[WASH]])&lt;tblPiNAnalysis5[[#This Row],[PIN]],MAX(tblPiNAnalysis5[[#This Row],[CCCM]:[WASH]]),tblPiNAnalysis5[[#This Row],[PIN]])</f>
        <v>24221</v>
      </c>
      <c r="AI90" s="326"/>
      <c r="AJ90" s="502">
        <f>tblPiNAnalysis5[[#This Row],[CCCM]]</f>
        <v>979</v>
      </c>
      <c r="AK90" s="500">
        <v>3456</v>
      </c>
      <c r="AL90" s="500">
        <v>2287</v>
      </c>
      <c r="AM90" s="500">
        <f>IF(VLOOKUP(tblPiNAnalysis5[[#This Row],[Admin 2 P-Code]],tblSeverityAnalysis[[Admin 2 P-Code]:[WASH]],10,FALSE)&gt;=4,VLOOKUP(tblPiNAnalysis5[[#This Row],[Admin 2 P-Code]],tblPiNAnalysis[[Admin 2 P-Code]:[WASH]],10,FALSE),0)</f>
        <v>27947</v>
      </c>
      <c r="AN90" s="503">
        <v>0</v>
      </c>
      <c r="AO90" s="500"/>
      <c r="AP90" s="516">
        <v>5726</v>
      </c>
      <c r="AQ90" s="501">
        <v>1948.5</v>
      </c>
      <c r="AR90" s="383">
        <f>MIN(tblPiNAnalysis5[[#This Row],[Final TARGET]],MAX(tblPiNAnalysis5[[#This Row],[CCCM_PRI]:[WASH_PRI]]))</f>
        <v>24221</v>
      </c>
      <c r="AS90" s="383">
        <f>IF(VLOOKUP(tblPiNAnalysis5[[#This Row],[Admin 2 P-Code]],tblSeverityAnalysis[[Admin 2 P-Code]:[Final Severity]],43,FALSE)&gt;=4,VLOOKUP(tblPiNAnalysis5[[#This Row],[Admin 2 P-Code]],tblPiNAnalysis[[Admin 2 P-Code]:[WASH]],8,FALSE),0)</f>
        <v>0</v>
      </c>
    </row>
    <row r="91" spans="1:45" ht="16.5" customHeight="1">
      <c r="A9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Global_PopulationHT0641</v>
      </c>
      <c r="B91" s="304" t="s">
        <v>319</v>
      </c>
      <c r="C91" s="213" t="s">
        <v>320</v>
      </c>
      <c r="D91" s="213" t="s">
        <v>341</v>
      </c>
      <c r="E91" s="103" t="s">
        <v>342</v>
      </c>
      <c r="F91" s="99"/>
      <c r="G91" s="34"/>
      <c r="H91" s="34"/>
      <c r="I91" s="96">
        <v>73041</v>
      </c>
      <c r="J91" s="221" t="s">
        <v>156</v>
      </c>
      <c r="K91" s="427">
        <v>0</v>
      </c>
      <c r="L91" s="428">
        <v>9203</v>
      </c>
      <c r="M91" s="428">
        <v>4188</v>
      </c>
      <c r="N91" s="428">
        <v>14730</v>
      </c>
      <c r="O91" s="428">
        <v>381.0995058139535</v>
      </c>
      <c r="P91" s="428"/>
      <c r="Q91" s="428">
        <v>511.4</v>
      </c>
      <c r="R91" s="428">
        <v>688</v>
      </c>
      <c r="S91" s="428"/>
      <c r="T91" s="428"/>
      <c r="U91" s="428"/>
      <c r="V91" s="428"/>
      <c r="W91" s="308"/>
      <c r="X91" s="317">
        <f>IFERROR(IF(tblPiNAnalysis5[[#This Row],[CCCM]]="", "", MROUND(tblPiNAnalysis5[[#This Row],[CCCM]]/tblPiNAnalysis5[[#This Row],[PIN]], 0.05)), "")</f>
        <v>0</v>
      </c>
      <c r="Y91" s="318">
        <f>IFERROR(IF(tblPiNAnalysis5[[#This Row],[Education]]="", "", MROUND(tblPiNAnalysis5[[#This Row],[Education]]/tblPiNAnalysis5[[#This Row],[PIN]], 0.05)), "")</f>
        <v>0.2</v>
      </c>
      <c r="Z91" s="318">
        <f>IFERROR(IF(tblPiNAnalysis5[[#This Row],[Nutrition]]="", "", MROUND(tblPiNAnalysis5[[#This Row],[Nutrition]]/tblPiNAnalysis5[[#This Row],[PIN]], 0.05)), "")</f>
        <v>0.1</v>
      </c>
      <c r="AA91" s="318">
        <f>IFERROR(IF(tblPiNAnalysis5[[#This Row],[Food Security]]="", "", MROUND(tblPiNAnalysis5[[#This Row],[Food Security]]/tblPiNAnalysis5[[#This Row],[PIN]], 0.05)), "")</f>
        <v>0.35000000000000003</v>
      </c>
      <c r="AB91" s="318">
        <f>IFERROR(IF(tblPiNAnalysis5[[#This Row],[Health]]="", "", MROUND(tblPiNAnalysis5[[#This Row],[Health]]/tblPiNAnalysis5[[#This Row],[PIN]], 0.05)), "")</f>
        <v>0</v>
      </c>
      <c r="AC91" s="319" t="str">
        <f>IFERROR(IF(tblPiNAnalysis5[[#This Row],[Protection]]="", "", MROUND(tblPiNAnalysis5[[#This Row],[Protection]]/tblPiNAnalysis5[[#This Row],[PIN]], 0.05)), "")</f>
        <v/>
      </c>
      <c r="AD91" s="319">
        <f>IFERROR(IF(tblPiNAnalysis5[[#This Row],[Shelter]]="", "", MROUND(tblPiNAnalysis5[[#This Row],[Shelter]]/tblPiNAnalysis5[[#This Row],[PIN]], 0.05)), "")</f>
        <v>0</v>
      </c>
      <c r="AE91" s="320">
        <f>IFERROR(IF(tblPiNAnalysis5[[#This Row],[WASH]]="", "", MROUND(tblPiNAnalysis5[[#This Row],[WASH]]/tblPiNAnalysis5[[#This Row],[PIN]], 0.05)), "")</f>
        <v>0</v>
      </c>
      <c r="AF91" s="488">
        <f>VLOOKUP(tblPiNAnalysis5[[#This Row],[ID]],tblPiNAnalysis[[ID]:[Final PiN]],63,FALSE)</f>
        <v>44281</v>
      </c>
      <c r="AG91" s="488">
        <f>IFERROR(IF(tblPiNAnalysis5[[#This Row],[Final TARGET]]="", "", MROUND(tblPiNAnalysis5[[#This Row],[Final TARGET]]/tblPiNAnalysis5[[#This Row],[PIN]], 0.05)), "")</f>
        <v>0.35000000000000003</v>
      </c>
      <c r="AH91" s="322">
        <f>IF(MAX(tblPiNAnalysis5[[#This Row],[CCCM]:[WASH]])&lt;tblPiNAnalysis5[[#This Row],[PIN]],MAX(tblPiNAnalysis5[[#This Row],[CCCM]:[WASH]]),tblPiNAnalysis5[[#This Row],[PIN]])</f>
        <v>14730</v>
      </c>
      <c r="AI91" s="326"/>
      <c r="AJ91" s="502">
        <f>tblPiNAnalysis5[[#This Row],[CCCM]]</f>
        <v>0</v>
      </c>
      <c r="AK91" s="500">
        <v>5498</v>
      </c>
      <c r="AL91" s="500">
        <v>3013</v>
      </c>
      <c r="AM91" s="500">
        <f>IF(VLOOKUP(tblPiNAnalysis5[[#This Row],[Admin 2 P-Code]],tblSeverityAnalysis[[Admin 2 P-Code]:[WASH]],10,FALSE)&gt;=4,VLOOKUP(tblPiNAnalysis5[[#This Row],[Admin 2 P-Code]],tblPiNAnalysis[[Admin 2 P-Code]:[WASH]],10,FALSE),0)</f>
        <v>0</v>
      </c>
      <c r="AN91" s="503">
        <v>0</v>
      </c>
      <c r="AO91" s="500"/>
      <c r="AP91" s="516">
        <v>511</v>
      </c>
      <c r="AQ91" s="501">
        <v>1680</v>
      </c>
      <c r="AR91" s="383">
        <f>MIN(tblPiNAnalysis5[[#This Row],[Final TARGET]],MAX(tblPiNAnalysis5[[#This Row],[CCCM_PRI]:[WASH_PRI]]))</f>
        <v>5498</v>
      </c>
      <c r="AS91" s="383">
        <f>IF(VLOOKUP(tblPiNAnalysis5[[#This Row],[Admin 2 P-Code]],tblSeverityAnalysis[[Admin 2 P-Code]:[Final Severity]],43,FALSE)&gt;=4,VLOOKUP(tblPiNAnalysis5[[#This Row],[Admin 2 P-Code]],tblPiNAnalysis[[Admin 2 P-Code]:[WASH]],8,FALSE),0)</f>
        <v>0</v>
      </c>
    </row>
    <row r="92" spans="1:45" ht="16.5" customHeight="1">
      <c r="A9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Global_PopulationHT0642</v>
      </c>
      <c r="B92" s="304" t="s">
        <v>319</v>
      </c>
      <c r="C92" s="213" t="s">
        <v>320</v>
      </c>
      <c r="D92" s="213" t="s">
        <v>343</v>
      </c>
      <c r="E92" s="103" t="s">
        <v>344</v>
      </c>
      <c r="F92" s="99"/>
      <c r="G92" s="34"/>
      <c r="H92" s="34"/>
      <c r="I92" s="96">
        <v>85148</v>
      </c>
      <c r="J92" s="221" t="s">
        <v>156</v>
      </c>
      <c r="K92" s="427">
        <v>44</v>
      </c>
      <c r="L92" s="428">
        <v>11636</v>
      </c>
      <c r="M92" s="428">
        <v>5351</v>
      </c>
      <c r="N92" s="428">
        <v>16474</v>
      </c>
      <c r="O92" s="428">
        <v>4468.9225165697007</v>
      </c>
      <c r="P92" s="428"/>
      <c r="Q92" s="428">
        <v>6691.2000000000007</v>
      </c>
      <c r="R92" s="428">
        <v>8550</v>
      </c>
      <c r="S92" s="428"/>
      <c r="T92" s="428"/>
      <c r="U92" s="428"/>
      <c r="V92" s="428"/>
      <c r="W92" s="308"/>
      <c r="X92" s="317">
        <f>IFERROR(IF(tblPiNAnalysis5[[#This Row],[CCCM]]="", "", MROUND(tblPiNAnalysis5[[#This Row],[CCCM]]/tblPiNAnalysis5[[#This Row],[PIN]], 0.05)), "")</f>
        <v>0</v>
      </c>
      <c r="Y92" s="318">
        <f>IFERROR(IF(tblPiNAnalysis5[[#This Row],[Education]]="", "", MROUND(tblPiNAnalysis5[[#This Row],[Education]]/tblPiNAnalysis5[[#This Row],[PIN]], 0.05)), "")</f>
        <v>0.25</v>
      </c>
      <c r="Z92" s="318">
        <f>IFERROR(IF(tblPiNAnalysis5[[#This Row],[Nutrition]]="", "", MROUND(tblPiNAnalysis5[[#This Row],[Nutrition]]/tblPiNAnalysis5[[#This Row],[PIN]], 0.05)), "")</f>
        <v>0.1</v>
      </c>
      <c r="AA92" s="318">
        <f>IFERROR(IF(tblPiNAnalysis5[[#This Row],[Food Security]]="", "", MROUND(tblPiNAnalysis5[[#This Row],[Food Security]]/tblPiNAnalysis5[[#This Row],[PIN]], 0.05)), "")</f>
        <v>0.35000000000000003</v>
      </c>
      <c r="AB92" s="318">
        <f>IFERROR(IF(tblPiNAnalysis5[[#This Row],[Health]]="", "", MROUND(tblPiNAnalysis5[[#This Row],[Health]]/tblPiNAnalysis5[[#This Row],[PIN]], 0.05)), "")</f>
        <v>0.1</v>
      </c>
      <c r="AC92" s="319" t="str">
        <f>IFERROR(IF(tblPiNAnalysis5[[#This Row],[Protection]]="", "", MROUND(tblPiNAnalysis5[[#This Row],[Protection]]/tblPiNAnalysis5[[#This Row],[PIN]], 0.05)), "")</f>
        <v/>
      </c>
      <c r="AD92" s="319">
        <f>IFERROR(IF(tblPiNAnalysis5[[#This Row],[Shelter]]="", "", MROUND(tblPiNAnalysis5[[#This Row],[Shelter]]/tblPiNAnalysis5[[#This Row],[PIN]], 0.05)), "")</f>
        <v>0.15000000000000002</v>
      </c>
      <c r="AE92" s="320">
        <f>IFERROR(IF(tblPiNAnalysis5[[#This Row],[WASH]]="", "", MROUND(tblPiNAnalysis5[[#This Row],[WASH]]/tblPiNAnalysis5[[#This Row],[PIN]], 0.05)), "")</f>
        <v>0.2</v>
      </c>
      <c r="AF92" s="488">
        <f>VLOOKUP(tblPiNAnalysis5[[#This Row],[ID]],tblPiNAnalysis[[ID]:[Final PiN]],63,FALSE)</f>
        <v>48734</v>
      </c>
      <c r="AG92" s="488">
        <f>IFERROR(IF(tblPiNAnalysis5[[#This Row],[Final TARGET]]="", "", MROUND(tblPiNAnalysis5[[#This Row],[Final TARGET]]/tblPiNAnalysis5[[#This Row],[PIN]], 0.05)), "")</f>
        <v>0.35000000000000003</v>
      </c>
      <c r="AH92" s="322">
        <f>IF(MAX(tblPiNAnalysis5[[#This Row],[CCCM]:[WASH]])&lt;tblPiNAnalysis5[[#This Row],[PIN]],MAX(tblPiNAnalysis5[[#This Row],[CCCM]:[WASH]]),tblPiNAnalysis5[[#This Row],[PIN]])</f>
        <v>16474</v>
      </c>
      <c r="AI92" s="326"/>
      <c r="AJ92" s="502">
        <f>tblPiNAnalysis5[[#This Row],[CCCM]]</f>
        <v>44</v>
      </c>
      <c r="AK92" s="500">
        <v>7685</v>
      </c>
      <c r="AL92" s="500">
        <v>3858</v>
      </c>
      <c r="AM92" s="500">
        <f>IF(VLOOKUP(tblPiNAnalysis5[[#This Row],[Admin 2 P-Code]],tblSeverityAnalysis[[Admin 2 P-Code]:[WASH]],10,FALSE)&gt;=4,VLOOKUP(tblPiNAnalysis5[[#This Row],[Admin 2 P-Code]],tblPiNAnalysis[[Admin 2 P-Code]:[WASH]],10,FALSE),0)</f>
        <v>0</v>
      </c>
      <c r="AN92" s="503">
        <v>0</v>
      </c>
      <c r="AO92" s="500"/>
      <c r="AP92" s="516">
        <v>6691</v>
      </c>
      <c r="AQ92" s="501">
        <v>4275</v>
      </c>
      <c r="AR92" s="383">
        <f>MIN(tblPiNAnalysis5[[#This Row],[Final TARGET]],MAX(tblPiNAnalysis5[[#This Row],[CCCM_PRI]:[WASH_PRI]]))</f>
        <v>7685</v>
      </c>
      <c r="AS92" s="383">
        <f>IF(VLOOKUP(tblPiNAnalysis5[[#This Row],[Admin 2 P-Code]],tblSeverityAnalysis[[Admin 2 P-Code]:[Final Severity]],43,FALSE)&gt;=4,VLOOKUP(tblPiNAnalysis5[[#This Row],[Admin 2 P-Code]],tblPiNAnalysis[[Admin 2 P-Code]:[WASH]],8,FALSE),0)</f>
        <v>0</v>
      </c>
    </row>
    <row r="93" spans="1:45" ht="16.5" customHeight="1">
      <c r="A9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Global_PopulationHT0711</v>
      </c>
      <c r="B93" s="304" t="s">
        <v>345</v>
      </c>
      <c r="C93" s="213" t="s">
        <v>346</v>
      </c>
      <c r="D93" s="213" t="s">
        <v>347</v>
      </c>
      <c r="E93" s="103" t="s">
        <v>348</v>
      </c>
      <c r="F93" s="99"/>
      <c r="G93" s="34"/>
      <c r="H93" s="34"/>
      <c r="I93" s="96">
        <v>207439</v>
      </c>
      <c r="J93" s="221" t="s">
        <v>156</v>
      </c>
      <c r="K93" s="427">
        <v>0</v>
      </c>
      <c r="L93" s="428">
        <v>15399</v>
      </c>
      <c r="M93" s="428">
        <v>17007</v>
      </c>
      <c r="N93" s="428">
        <v>41751</v>
      </c>
      <c r="O93" s="428">
        <v>0</v>
      </c>
      <c r="P93" s="428"/>
      <c r="Q93" s="428">
        <v>5428.0999999999995</v>
      </c>
      <c r="R93" s="428">
        <v>45794</v>
      </c>
      <c r="S93" s="428"/>
      <c r="T93" s="428"/>
      <c r="U93" s="428"/>
      <c r="V93" s="428"/>
      <c r="W93" s="308"/>
      <c r="X93" s="317">
        <f>IFERROR(IF(tblPiNAnalysis5[[#This Row],[CCCM]]="", "", MROUND(tblPiNAnalysis5[[#This Row],[CCCM]]/tblPiNAnalysis5[[#This Row],[PIN]], 0.05)), "")</f>
        <v>0</v>
      </c>
      <c r="Y93" s="318">
        <f>IFERROR(IF(tblPiNAnalysis5[[#This Row],[Education]]="", "", MROUND(tblPiNAnalysis5[[#This Row],[Education]]/tblPiNAnalysis5[[#This Row],[PIN]], 0.05)), "")</f>
        <v>0.15000000000000002</v>
      </c>
      <c r="Z93" s="318">
        <f>IFERROR(IF(tblPiNAnalysis5[[#This Row],[Nutrition]]="", "", MROUND(tblPiNAnalysis5[[#This Row],[Nutrition]]/tblPiNAnalysis5[[#This Row],[PIN]], 0.05)), "")</f>
        <v>0.15000000000000002</v>
      </c>
      <c r="AA93" s="318">
        <f>IFERROR(IF(tblPiNAnalysis5[[#This Row],[Food Security]]="", "", MROUND(tblPiNAnalysis5[[#This Row],[Food Security]]/tblPiNAnalysis5[[#This Row],[PIN]], 0.05)), "")</f>
        <v>0.4</v>
      </c>
      <c r="AB93" s="318">
        <f>IFERROR(IF(tblPiNAnalysis5[[#This Row],[Health]]="", "", MROUND(tblPiNAnalysis5[[#This Row],[Health]]/tblPiNAnalysis5[[#This Row],[PIN]], 0.05)), "")</f>
        <v>0</v>
      </c>
      <c r="AC93" s="319" t="str">
        <f>IFERROR(IF(tblPiNAnalysis5[[#This Row],[Protection]]="", "", MROUND(tblPiNAnalysis5[[#This Row],[Protection]]/tblPiNAnalysis5[[#This Row],[PIN]], 0.05)), "")</f>
        <v/>
      </c>
      <c r="AD93" s="319">
        <f>IFERROR(IF(tblPiNAnalysis5[[#This Row],[Shelter]]="", "", MROUND(tblPiNAnalysis5[[#This Row],[Shelter]]/tblPiNAnalysis5[[#This Row],[PIN]], 0.05)), "")</f>
        <v>0.05</v>
      </c>
      <c r="AE93" s="320">
        <f>IFERROR(IF(tblPiNAnalysis5[[#This Row],[WASH]]="", "", MROUND(tblPiNAnalysis5[[#This Row],[WASH]]/tblPiNAnalysis5[[#This Row],[PIN]], 0.05)), "")</f>
        <v>0.45</v>
      </c>
      <c r="AF93" s="488">
        <f>VLOOKUP(tblPiNAnalysis5[[#This Row],[ID]],tblPiNAnalysis[[ID]:[Final PiN]],63,FALSE)</f>
        <v>106777</v>
      </c>
      <c r="AG93" s="488">
        <f>IFERROR(IF(tblPiNAnalysis5[[#This Row],[Final TARGET]]="", "", MROUND(tblPiNAnalysis5[[#This Row],[Final TARGET]]/tblPiNAnalysis5[[#This Row],[PIN]], 0.05)), "")</f>
        <v>0.45</v>
      </c>
      <c r="AH93" s="322">
        <f>IF(MAX(tblPiNAnalysis5[[#This Row],[CCCM]:[WASH]])&lt;tblPiNAnalysis5[[#This Row],[PIN]],MAX(tblPiNAnalysis5[[#This Row],[CCCM]:[WASH]]),tblPiNAnalysis5[[#This Row],[PIN]])</f>
        <v>45794</v>
      </c>
      <c r="AI93" s="326"/>
      <c r="AJ93" s="502">
        <f>tblPiNAnalysis5[[#This Row],[CCCM]]</f>
        <v>0</v>
      </c>
      <c r="AK93" s="500">
        <v>10129</v>
      </c>
      <c r="AL93" s="500">
        <v>12461</v>
      </c>
      <c r="AM93" s="500">
        <f>IF(VLOOKUP(tblPiNAnalysis5[[#This Row],[Admin 2 P-Code]],tblSeverityAnalysis[[Admin 2 P-Code]:[WASH]],10,FALSE)&gt;=4,VLOOKUP(tblPiNAnalysis5[[#This Row],[Admin 2 P-Code]],tblPiNAnalysis[[Admin 2 P-Code]:[WASH]],10,FALSE),0)</f>
        <v>0</v>
      </c>
      <c r="AN93" s="503">
        <v>0</v>
      </c>
      <c r="AO93" s="500"/>
      <c r="AP93" s="516">
        <v>5328</v>
      </c>
      <c r="AQ93" s="501">
        <v>22897</v>
      </c>
      <c r="AR93" s="383">
        <f>MIN(tblPiNAnalysis5[[#This Row],[Final TARGET]],MAX(tblPiNAnalysis5[[#This Row],[CCCM_PRI]:[WASH_PRI]]))</f>
        <v>22897</v>
      </c>
      <c r="AS93" s="383">
        <f>IF(VLOOKUP(tblPiNAnalysis5[[#This Row],[Admin 2 P-Code]],tblSeverityAnalysis[[Admin 2 P-Code]:[Final Severity]],43,FALSE)&gt;=4,VLOOKUP(tblPiNAnalysis5[[#This Row],[Admin 2 P-Code]],tblPiNAnalysis[[Admin 2 P-Code]:[WASH]],8,FALSE),0)</f>
        <v>0</v>
      </c>
    </row>
    <row r="94" spans="1:45" ht="16.5" customHeight="1">
      <c r="A9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Global_PopulationHT0712</v>
      </c>
      <c r="B94" s="304" t="s">
        <v>345</v>
      </c>
      <c r="C94" s="213" t="s">
        <v>346</v>
      </c>
      <c r="D94" s="213" t="s">
        <v>349</v>
      </c>
      <c r="E94" s="103" t="s">
        <v>350</v>
      </c>
      <c r="F94" s="99"/>
      <c r="G94" s="34"/>
      <c r="H94" s="34"/>
      <c r="I94" s="96">
        <v>93827</v>
      </c>
      <c r="J94" s="221" t="s">
        <v>156</v>
      </c>
      <c r="K94" s="427">
        <v>0</v>
      </c>
      <c r="L94" s="428">
        <v>7199</v>
      </c>
      <c r="M94" s="428">
        <v>7340</v>
      </c>
      <c r="N94" s="428">
        <v>20500</v>
      </c>
      <c r="O94" s="428">
        <v>0</v>
      </c>
      <c r="P94" s="428"/>
      <c r="Q94" s="428">
        <v>2152.3000000000002</v>
      </c>
      <c r="R94" s="428">
        <v>17115</v>
      </c>
      <c r="S94" s="428"/>
      <c r="T94" s="428"/>
      <c r="U94" s="428"/>
      <c r="V94" s="428"/>
      <c r="W94" s="308"/>
      <c r="X94" s="317">
        <f>IFERROR(IF(tblPiNAnalysis5[[#This Row],[CCCM]]="", "", MROUND(tblPiNAnalysis5[[#This Row],[CCCM]]/tblPiNAnalysis5[[#This Row],[PIN]], 0.05)), "")</f>
        <v>0</v>
      </c>
      <c r="Y94" s="318">
        <f>IFERROR(IF(tblPiNAnalysis5[[#This Row],[Education]]="", "", MROUND(tblPiNAnalysis5[[#This Row],[Education]]/tblPiNAnalysis5[[#This Row],[PIN]], 0.05)), "")</f>
        <v>0.1</v>
      </c>
      <c r="Z94" s="318">
        <f>IFERROR(IF(tblPiNAnalysis5[[#This Row],[Nutrition]]="", "", MROUND(tblPiNAnalysis5[[#This Row],[Nutrition]]/tblPiNAnalysis5[[#This Row],[PIN]], 0.05)), "")</f>
        <v>0.1</v>
      </c>
      <c r="AA94" s="318">
        <f>IFERROR(IF(tblPiNAnalysis5[[#This Row],[Food Security]]="", "", MROUND(tblPiNAnalysis5[[#This Row],[Food Security]]/tblPiNAnalysis5[[#This Row],[PIN]], 0.05)), "")</f>
        <v>0.35000000000000003</v>
      </c>
      <c r="AB94" s="318">
        <f>IFERROR(IF(tblPiNAnalysis5[[#This Row],[Health]]="", "", MROUND(tblPiNAnalysis5[[#This Row],[Health]]/tblPiNAnalysis5[[#This Row],[PIN]], 0.05)), "")</f>
        <v>0</v>
      </c>
      <c r="AC94" s="319" t="str">
        <f>IFERROR(IF(tblPiNAnalysis5[[#This Row],[Protection]]="", "", MROUND(tblPiNAnalysis5[[#This Row],[Protection]]/tblPiNAnalysis5[[#This Row],[PIN]], 0.05)), "")</f>
        <v/>
      </c>
      <c r="AD94" s="319">
        <f>IFERROR(IF(tblPiNAnalysis5[[#This Row],[Shelter]]="", "", MROUND(tblPiNAnalysis5[[#This Row],[Shelter]]/tblPiNAnalysis5[[#This Row],[PIN]], 0.05)), "")</f>
        <v>0.05</v>
      </c>
      <c r="AE94" s="320">
        <f>IFERROR(IF(tblPiNAnalysis5[[#This Row],[WASH]]="", "", MROUND(tblPiNAnalysis5[[#This Row],[WASH]]/tblPiNAnalysis5[[#This Row],[PIN]], 0.05)), "")</f>
        <v>0.30000000000000004</v>
      </c>
      <c r="AF94" s="488">
        <f>VLOOKUP(tblPiNAnalysis5[[#This Row],[ID]],tblPiNAnalysis[[ID]:[Final PiN]],63,FALSE)</f>
        <v>58964</v>
      </c>
      <c r="AG94" s="488">
        <f>IFERROR(IF(tblPiNAnalysis5[[#This Row],[Final TARGET]]="", "", MROUND(tblPiNAnalysis5[[#This Row],[Final TARGET]]/tblPiNAnalysis5[[#This Row],[PIN]], 0.05)), "")</f>
        <v>0.35000000000000003</v>
      </c>
      <c r="AH94" s="322">
        <f>IF(MAX(tblPiNAnalysis5[[#This Row],[CCCM]:[WASH]])&lt;tblPiNAnalysis5[[#This Row],[PIN]],MAX(tblPiNAnalysis5[[#This Row],[CCCM]:[WASH]]),tblPiNAnalysis5[[#This Row],[PIN]])</f>
        <v>20500</v>
      </c>
      <c r="AI94" s="326"/>
      <c r="AJ94" s="502">
        <f>tblPiNAnalysis5[[#This Row],[CCCM]]</f>
        <v>0</v>
      </c>
      <c r="AK94" s="500">
        <v>4503</v>
      </c>
      <c r="AL94" s="500">
        <v>5369</v>
      </c>
      <c r="AM94" s="500">
        <f>IF(VLOOKUP(tblPiNAnalysis5[[#This Row],[Admin 2 P-Code]],tblSeverityAnalysis[[Admin 2 P-Code]:[WASH]],10,FALSE)&gt;=4,VLOOKUP(tblPiNAnalysis5[[#This Row],[Admin 2 P-Code]],tblPiNAnalysis[[Admin 2 P-Code]:[WASH]],10,FALSE),0)</f>
        <v>0</v>
      </c>
      <c r="AN94" s="503">
        <v>0</v>
      </c>
      <c r="AO94" s="500"/>
      <c r="AP94" s="516">
        <v>2052</v>
      </c>
      <c r="AQ94" s="501">
        <v>8557.5</v>
      </c>
      <c r="AR94" s="383">
        <f>MIN(tblPiNAnalysis5[[#This Row],[Final TARGET]],MAX(tblPiNAnalysis5[[#This Row],[CCCM_PRI]:[WASH_PRI]]))</f>
        <v>8557.5</v>
      </c>
      <c r="AS94" s="383">
        <f>IF(VLOOKUP(tblPiNAnalysis5[[#This Row],[Admin 2 P-Code]],tblSeverityAnalysis[[Admin 2 P-Code]:[Final Severity]],43,FALSE)&gt;=4,VLOOKUP(tblPiNAnalysis5[[#This Row],[Admin 2 P-Code]],tblPiNAnalysis[[Admin 2 P-Code]:[WASH]],8,FALSE),0)</f>
        <v>0</v>
      </c>
    </row>
    <row r="95" spans="1:45" ht="16.5" customHeight="1">
      <c r="A9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Global_PopulationHT0713</v>
      </c>
      <c r="B95" s="304" t="s">
        <v>345</v>
      </c>
      <c r="C95" s="213" t="s">
        <v>346</v>
      </c>
      <c r="D95" s="213" t="s">
        <v>351</v>
      </c>
      <c r="E95" s="103" t="s">
        <v>352</v>
      </c>
      <c r="F95" s="99"/>
      <c r="G95" s="34"/>
      <c r="H95" s="34"/>
      <c r="I95" s="96">
        <v>41237</v>
      </c>
      <c r="J95" s="221" t="s">
        <v>156</v>
      </c>
      <c r="K95" s="427">
        <v>0</v>
      </c>
      <c r="L95" s="428">
        <v>3389</v>
      </c>
      <c r="M95" s="428">
        <v>3232</v>
      </c>
      <c r="N95" s="428">
        <v>9355</v>
      </c>
      <c r="O95" s="428">
        <v>0</v>
      </c>
      <c r="P95" s="428"/>
      <c r="Q95" s="428">
        <v>1115.8000000000002</v>
      </c>
      <c r="R95" s="428">
        <v>10000</v>
      </c>
      <c r="S95" s="428"/>
      <c r="T95" s="428"/>
      <c r="U95" s="428"/>
      <c r="V95" s="428"/>
      <c r="W95" s="308"/>
      <c r="X95" s="317">
        <f>IFERROR(IF(tblPiNAnalysis5[[#This Row],[CCCM]]="", "", MROUND(tblPiNAnalysis5[[#This Row],[CCCM]]/tblPiNAnalysis5[[#This Row],[PIN]], 0.05)), "")</f>
        <v>0</v>
      </c>
      <c r="Y95" s="318">
        <f>IFERROR(IF(tblPiNAnalysis5[[#This Row],[Education]]="", "", MROUND(tblPiNAnalysis5[[#This Row],[Education]]/tblPiNAnalysis5[[#This Row],[PIN]], 0.05)), "")</f>
        <v>0.15000000000000002</v>
      </c>
      <c r="Z95" s="318">
        <f>IFERROR(IF(tblPiNAnalysis5[[#This Row],[Nutrition]]="", "", MROUND(tblPiNAnalysis5[[#This Row],[Nutrition]]/tblPiNAnalysis5[[#This Row],[PIN]], 0.05)), "")</f>
        <v>0.15000000000000002</v>
      </c>
      <c r="AA95" s="318">
        <f>IFERROR(IF(tblPiNAnalysis5[[#This Row],[Food Security]]="", "", MROUND(tblPiNAnalysis5[[#This Row],[Food Security]]/tblPiNAnalysis5[[#This Row],[PIN]], 0.05)), "")</f>
        <v>0.4</v>
      </c>
      <c r="AB95" s="318">
        <f>IFERROR(IF(tblPiNAnalysis5[[#This Row],[Health]]="", "", MROUND(tblPiNAnalysis5[[#This Row],[Health]]/tblPiNAnalysis5[[#This Row],[PIN]], 0.05)), "")</f>
        <v>0</v>
      </c>
      <c r="AC95" s="319" t="str">
        <f>IFERROR(IF(tblPiNAnalysis5[[#This Row],[Protection]]="", "", MROUND(tblPiNAnalysis5[[#This Row],[Protection]]/tblPiNAnalysis5[[#This Row],[PIN]], 0.05)), "")</f>
        <v/>
      </c>
      <c r="AD95" s="319">
        <f>IFERROR(IF(tblPiNAnalysis5[[#This Row],[Shelter]]="", "", MROUND(tblPiNAnalysis5[[#This Row],[Shelter]]/tblPiNAnalysis5[[#This Row],[PIN]], 0.05)), "")</f>
        <v>0.05</v>
      </c>
      <c r="AE95" s="320">
        <f>IFERROR(IF(tblPiNAnalysis5[[#This Row],[WASH]]="", "", MROUND(tblPiNAnalysis5[[#This Row],[WASH]]/tblPiNAnalysis5[[#This Row],[PIN]], 0.05)), "")</f>
        <v>0.4</v>
      </c>
      <c r="AF95" s="488">
        <f>VLOOKUP(tblPiNAnalysis5[[#This Row],[ID]],tblPiNAnalysis[[ID]:[Final PiN]],63,FALSE)</f>
        <v>24354</v>
      </c>
      <c r="AG95" s="488">
        <f>IFERROR(IF(tblPiNAnalysis5[[#This Row],[Final TARGET]]="", "", MROUND(tblPiNAnalysis5[[#This Row],[Final TARGET]]/tblPiNAnalysis5[[#This Row],[PIN]], 0.05)), "")</f>
        <v>0.4</v>
      </c>
      <c r="AH95" s="322">
        <f>IF(MAX(tblPiNAnalysis5[[#This Row],[CCCM]:[WASH]])&lt;tblPiNAnalysis5[[#This Row],[PIN]],MAX(tblPiNAnalysis5[[#This Row],[CCCM]:[WASH]]),tblPiNAnalysis5[[#This Row],[PIN]])</f>
        <v>10000</v>
      </c>
      <c r="AI95" s="326"/>
      <c r="AJ95" s="502">
        <f>tblPiNAnalysis5[[#This Row],[CCCM]]</f>
        <v>0</v>
      </c>
      <c r="AK95" s="500">
        <v>2262</v>
      </c>
      <c r="AL95" s="500">
        <v>2349</v>
      </c>
      <c r="AM95" s="500">
        <f>IF(VLOOKUP(tblPiNAnalysis5[[#This Row],[Admin 2 P-Code]],tblSeverityAnalysis[[Admin 2 P-Code]:[WASH]],10,FALSE)&gt;=4,VLOOKUP(tblPiNAnalysis5[[#This Row],[Admin 2 P-Code]],tblPiNAnalysis[[Admin 2 P-Code]:[WASH]],10,FALSE),0)</f>
        <v>0</v>
      </c>
      <c r="AN95" s="503">
        <v>0</v>
      </c>
      <c r="AO95" s="500"/>
      <c r="AP95" s="516">
        <v>1016</v>
      </c>
      <c r="AQ95" s="501">
        <v>5000</v>
      </c>
      <c r="AR95" s="383">
        <f>MIN(tblPiNAnalysis5[[#This Row],[Final TARGET]],MAX(tblPiNAnalysis5[[#This Row],[CCCM_PRI]:[WASH_PRI]]))</f>
        <v>5000</v>
      </c>
      <c r="AS95" s="383">
        <f>IF(VLOOKUP(tblPiNAnalysis5[[#This Row],[Admin 2 P-Code]],tblSeverityAnalysis[[Admin 2 P-Code]:[Final Severity]],43,FALSE)&gt;=4,VLOOKUP(tblPiNAnalysis5[[#This Row],[Admin 2 P-Code]],tblPiNAnalysis[[Admin 2 P-Code]:[WASH]],8,FALSE),0)</f>
        <v>0</v>
      </c>
    </row>
    <row r="96" spans="1:45" ht="16.5" customHeight="1">
      <c r="A9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Global_PopulationHT0714</v>
      </c>
      <c r="B96" s="304" t="s">
        <v>345</v>
      </c>
      <c r="C96" s="213" t="s">
        <v>346</v>
      </c>
      <c r="D96" s="213" t="s">
        <v>353</v>
      </c>
      <c r="E96" s="103" t="s">
        <v>354</v>
      </c>
      <c r="F96" s="99"/>
      <c r="G96" s="34"/>
      <c r="H96" s="34"/>
      <c r="I96" s="96">
        <v>51550</v>
      </c>
      <c r="J96" s="221" t="s">
        <v>156</v>
      </c>
      <c r="K96" s="427">
        <v>0</v>
      </c>
      <c r="L96" s="428">
        <v>3578</v>
      </c>
      <c r="M96" s="428">
        <v>3787</v>
      </c>
      <c r="N96" s="428">
        <v>12136</v>
      </c>
      <c r="O96" s="428">
        <v>0</v>
      </c>
      <c r="P96" s="428"/>
      <c r="Q96" s="428">
        <v>880.19999999999982</v>
      </c>
      <c r="R96" s="428">
        <v>4600</v>
      </c>
      <c r="S96" s="428"/>
      <c r="T96" s="428"/>
      <c r="U96" s="428"/>
      <c r="V96" s="428"/>
      <c r="W96" s="308"/>
      <c r="X96" s="317">
        <f>IFERROR(IF(tblPiNAnalysis5[[#This Row],[CCCM]]="", "", MROUND(tblPiNAnalysis5[[#This Row],[CCCM]]/tblPiNAnalysis5[[#This Row],[PIN]], 0.05)), "")</f>
        <v>0</v>
      </c>
      <c r="Y96" s="318">
        <f>IFERROR(IF(tblPiNAnalysis5[[#This Row],[Education]]="", "", MROUND(tblPiNAnalysis5[[#This Row],[Education]]/tblPiNAnalysis5[[#This Row],[PIN]], 0.05)), "")</f>
        <v>0.1</v>
      </c>
      <c r="Z96" s="318">
        <f>IFERROR(IF(tblPiNAnalysis5[[#This Row],[Nutrition]]="", "", MROUND(tblPiNAnalysis5[[#This Row],[Nutrition]]/tblPiNAnalysis5[[#This Row],[PIN]], 0.05)), "")</f>
        <v>0.15000000000000002</v>
      </c>
      <c r="AA96" s="318">
        <f>IFERROR(IF(tblPiNAnalysis5[[#This Row],[Food Security]]="", "", MROUND(tblPiNAnalysis5[[#This Row],[Food Security]]/tblPiNAnalysis5[[#This Row],[PIN]], 0.05)), "")</f>
        <v>0.4</v>
      </c>
      <c r="AB96" s="318">
        <f>IFERROR(IF(tblPiNAnalysis5[[#This Row],[Health]]="", "", MROUND(tblPiNAnalysis5[[#This Row],[Health]]/tblPiNAnalysis5[[#This Row],[PIN]], 0.05)), "")</f>
        <v>0</v>
      </c>
      <c r="AC96" s="319" t="str">
        <f>IFERROR(IF(tblPiNAnalysis5[[#This Row],[Protection]]="", "", MROUND(tblPiNAnalysis5[[#This Row],[Protection]]/tblPiNAnalysis5[[#This Row],[PIN]], 0.05)), "")</f>
        <v/>
      </c>
      <c r="AD96" s="319">
        <f>IFERROR(IF(tblPiNAnalysis5[[#This Row],[Shelter]]="", "", MROUND(tblPiNAnalysis5[[#This Row],[Shelter]]/tblPiNAnalysis5[[#This Row],[PIN]], 0.05)), "")</f>
        <v>0.05</v>
      </c>
      <c r="AE96" s="320">
        <f>IFERROR(IF(tblPiNAnalysis5[[#This Row],[WASH]]="", "", MROUND(tblPiNAnalysis5[[#This Row],[WASH]]/tblPiNAnalysis5[[#This Row],[PIN]], 0.05)), "")</f>
        <v>0.15000000000000002</v>
      </c>
      <c r="AF96" s="488">
        <f>VLOOKUP(tblPiNAnalysis5[[#This Row],[ID]],tblPiNAnalysis[[ID]:[Final PiN]],63,FALSE)</f>
        <v>29966</v>
      </c>
      <c r="AG96" s="488">
        <f>IFERROR(IF(tblPiNAnalysis5[[#This Row],[Final TARGET]]="", "", MROUND(tblPiNAnalysis5[[#This Row],[Final TARGET]]/tblPiNAnalysis5[[#This Row],[PIN]], 0.05)), "")</f>
        <v>0.4</v>
      </c>
      <c r="AH96" s="322">
        <f>IF(MAX(tblPiNAnalysis5[[#This Row],[CCCM]:[WASH]])&lt;tblPiNAnalysis5[[#This Row],[PIN]],MAX(tblPiNAnalysis5[[#This Row],[CCCM]:[WASH]]),tblPiNAnalysis5[[#This Row],[PIN]])</f>
        <v>12136</v>
      </c>
      <c r="AI96" s="326"/>
      <c r="AJ96" s="502">
        <f>tblPiNAnalysis5[[#This Row],[CCCM]]</f>
        <v>0</v>
      </c>
      <c r="AK96" s="500">
        <v>1969</v>
      </c>
      <c r="AL96" s="500">
        <v>2778</v>
      </c>
      <c r="AM96" s="500">
        <f>IF(VLOOKUP(tblPiNAnalysis5[[#This Row],[Admin 2 P-Code]],tblSeverityAnalysis[[Admin 2 P-Code]:[WASH]],10,FALSE)&gt;=4,VLOOKUP(tblPiNAnalysis5[[#This Row],[Admin 2 P-Code]],tblPiNAnalysis[[Admin 2 P-Code]:[WASH]],10,FALSE),0)</f>
        <v>0</v>
      </c>
      <c r="AN96" s="503">
        <v>0</v>
      </c>
      <c r="AO96" s="500"/>
      <c r="AP96" s="516">
        <v>780</v>
      </c>
      <c r="AQ96" s="501">
        <v>4704</v>
      </c>
      <c r="AR96" s="383">
        <f>MIN(tblPiNAnalysis5[[#This Row],[Final TARGET]],MAX(tblPiNAnalysis5[[#This Row],[CCCM_PRI]:[WASH_PRI]]))</f>
        <v>4704</v>
      </c>
      <c r="AS96" s="383">
        <f>IF(VLOOKUP(tblPiNAnalysis5[[#This Row],[Admin 2 P-Code]],tblSeverityAnalysis[[Admin 2 P-Code]:[Final Severity]],43,FALSE)&gt;=4,VLOOKUP(tblPiNAnalysis5[[#This Row],[Admin 2 P-Code]],tblPiNAnalysis[[Admin 2 P-Code]:[WASH]],8,FALSE),0)</f>
        <v>0</v>
      </c>
    </row>
    <row r="97" spans="1:45" ht="16.5" customHeight="1">
      <c r="A9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Global_PopulationHT0715</v>
      </c>
      <c r="B97" s="304" t="s">
        <v>345</v>
      </c>
      <c r="C97" s="213" t="s">
        <v>346</v>
      </c>
      <c r="D97" s="213" t="s">
        <v>355</v>
      </c>
      <c r="E97" s="103" t="s">
        <v>356</v>
      </c>
      <c r="F97" s="99"/>
      <c r="G97" s="34"/>
      <c r="H97" s="34"/>
      <c r="I97" s="96">
        <v>27507</v>
      </c>
      <c r="J97" s="221" t="s">
        <v>156</v>
      </c>
      <c r="K97" s="427">
        <v>0</v>
      </c>
      <c r="L97" s="428">
        <v>2162</v>
      </c>
      <c r="M97" s="428">
        <v>2138</v>
      </c>
      <c r="N97" s="428">
        <v>6449</v>
      </c>
      <c r="O97" s="428">
        <v>0</v>
      </c>
      <c r="P97" s="428"/>
      <c r="Q97" s="428">
        <v>585.79999999999995</v>
      </c>
      <c r="R97" s="428">
        <v>4653</v>
      </c>
      <c r="S97" s="428"/>
      <c r="T97" s="428"/>
      <c r="U97" s="428"/>
      <c r="V97" s="428"/>
      <c r="W97" s="308"/>
      <c r="X97" s="317">
        <f>IFERROR(IF(tblPiNAnalysis5[[#This Row],[CCCM]]="", "", MROUND(tblPiNAnalysis5[[#This Row],[CCCM]]/tblPiNAnalysis5[[#This Row],[PIN]], 0.05)), "")</f>
        <v>0</v>
      </c>
      <c r="Y97" s="318">
        <f>IFERROR(IF(tblPiNAnalysis5[[#This Row],[Education]]="", "", MROUND(tblPiNAnalysis5[[#This Row],[Education]]/tblPiNAnalysis5[[#This Row],[PIN]], 0.05)), "")</f>
        <v>0.1</v>
      </c>
      <c r="Z97" s="318">
        <f>IFERROR(IF(tblPiNAnalysis5[[#This Row],[Nutrition]]="", "", MROUND(tblPiNAnalysis5[[#This Row],[Nutrition]]/tblPiNAnalysis5[[#This Row],[PIN]], 0.05)), "")</f>
        <v>0.1</v>
      </c>
      <c r="AA97" s="318">
        <f>IFERROR(IF(tblPiNAnalysis5[[#This Row],[Food Security]]="", "", MROUND(tblPiNAnalysis5[[#This Row],[Food Security]]/tblPiNAnalysis5[[#This Row],[PIN]], 0.05)), "")</f>
        <v>0.30000000000000004</v>
      </c>
      <c r="AB97" s="318">
        <f>IFERROR(IF(tblPiNAnalysis5[[#This Row],[Health]]="", "", MROUND(tblPiNAnalysis5[[#This Row],[Health]]/tblPiNAnalysis5[[#This Row],[PIN]], 0.05)), "")</f>
        <v>0</v>
      </c>
      <c r="AC97" s="319" t="str">
        <f>IFERROR(IF(tblPiNAnalysis5[[#This Row],[Protection]]="", "", MROUND(tblPiNAnalysis5[[#This Row],[Protection]]/tblPiNAnalysis5[[#This Row],[PIN]], 0.05)), "")</f>
        <v/>
      </c>
      <c r="AD97" s="319">
        <f>IFERROR(IF(tblPiNAnalysis5[[#This Row],[Shelter]]="", "", MROUND(tblPiNAnalysis5[[#This Row],[Shelter]]/tblPiNAnalysis5[[#This Row],[PIN]], 0.05)), "")</f>
        <v>0.05</v>
      </c>
      <c r="AE97" s="320">
        <f>IFERROR(IF(tblPiNAnalysis5[[#This Row],[WASH]]="", "", MROUND(tblPiNAnalysis5[[#This Row],[WASH]]/tblPiNAnalysis5[[#This Row],[PIN]], 0.05)), "")</f>
        <v>0.2</v>
      </c>
      <c r="AF97" s="488">
        <f>VLOOKUP(tblPiNAnalysis5[[#This Row],[ID]],tblPiNAnalysis[[ID]:[Final PiN]],63,FALSE)</f>
        <v>20835</v>
      </c>
      <c r="AG97" s="488">
        <f>IFERROR(IF(tblPiNAnalysis5[[#This Row],[Final TARGET]]="", "", MROUND(tblPiNAnalysis5[[#This Row],[Final TARGET]]/tblPiNAnalysis5[[#This Row],[PIN]], 0.05)), "")</f>
        <v>0.30000000000000004</v>
      </c>
      <c r="AH97" s="322">
        <f>IF(MAX(tblPiNAnalysis5[[#This Row],[CCCM]:[WASH]])&lt;tblPiNAnalysis5[[#This Row],[PIN]],MAX(tblPiNAnalysis5[[#This Row],[CCCM]:[WASH]]),tblPiNAnalysis5[[#This Row],[PIN]])</f>
        <v>6449</v>
      </c>
      <c r="AI97" s="326"/>
      <c r="AJ97" s="502">
        <f>tblPiNAnalysis5[[#This Row],[CCCM]]</f>
        <v>0</v>
      </c>
      <c r="AK97" s="500">
        <v>1329</v>
      </c>
      <c r="AL97" s="500">
        <v>1565</v>
      </c>
      <c r="AM97" s="500">
        <f>IF(VLOOKUP(tblPiNAnalysis5[[#This Row],[Admin 2 P-Code]],tblSeverityAnalysis[[Admin 2 P-Code]:[WASH]],10,FALSE)&gt;=4,VLOOKUP(tblPiNAnalysis5[[#This Row],[Admin 2 P-Code]],tblPiNAnalysis[[Admin 2 P-Code]:[WASH]],10,FALSE),0)</f>
        <v>0</v>
      </c>
      <c r="AN97" s="503">
        <v>0</v>
      </c>
      <c r="AO97" s="500"/>
      <c r="AP97" s="516">
        <v>486</v>
      </c>
      <c r="AQ97" s="501">
        <v>2326.5</v>
      </c>
      <c r="AR97" s="383">
        <f>MIN(tblPiNAnalysis5[[#This Row],[Final TARGET]],MAX(tblPiNAnalysis5[[#This Row],[CCCM_PRI]:[WASH_PRI]]))</f>
        <v>2326.5</v>
      </c>
      <c r="AS97" s="383">
        <f>IF(VLOOKUP(tblPiNAnalysis5[[#This Row],[Admin 2 P-Code]],tblSeverityAnalysis[[Admin 2 P-Code]:[Final Severity]],43,FALSE)&gt;=4,VLOOKUP(tblPiNAnalysis5[[#This Row],[Admin 2 P-Code]],tblPiNAnalysis[[Admin 2 P-Code]:[WASH]],8,FALSE),0)</f>
        <v>0</v>
      </c>
    </row>
    <row r="98" spans="1:45" ht="16.5" customHeight="1">
      <c r="A9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Global_PopulationHT0716</v>
      </c>
      <c r="B98" s="304" t="s">
        <v>345</v>
      </c>
      <c r="C98" s="213" t="s">
        <v>346</v>
      </c>
      <c r="D98" s="213" t="s">
        <v>357</v>
      </c>
      <c r="E98" s="103" t="s">
        <v>358</v>
      </c>
      <c r="F98" s="99"/>
      <c r="G98" s="34"/>
      <c r="H98" s="34"/>
      <c r="I98" s="96">
        <v>17491</v>
      </c>
      <c r="J98" s="221" t="s">
        <v>156</v>
      </c>
      <c r="K98" s="427">
        <v>0</v>
      </c>
      <c r="L98" s="428">
        <v>1258</v>
      </c>
      <c r="M98" s="428">
        <v>1121</v>
      </c>
      <c r="N98" s="428">
        <v>4303</v>
      </c>
      <c r="O98" s="428">
        <v>125.08027509363295</v>
      </c>
      <c r="P98" s="428"/>
      <c r="Q98" s="428">
        <v>3.2</v>
      </c>
      <c r="R98" s="428">
        <v>267</v>
      </c>
      <c r="S98" s="428"/>
      <c r="T98" s="428"/>
      <c r="U98" s="428"/>
      <c r="V98" s="428"/>
      <c r="W98" s="308"/>
      <c r="X98" s="317" t="str">
        <f>IFERROR(IF(tblPiNAnalysis5[[#This Row],[CCCM]]="", "", MROUND(tblPiNAnalysis5[[#This Row],[CCCM]]/tblPiNAnalysis5[[#This Row],[PIN]], 0.05)), "")</f>
        <v/>
      </c>
      <c r="Y98" s="318" t="str">
        <f>IFERROR(IF(tblPiNAnalysis5[[#This Row],[Education]]="", "", MROUND(tblPiNAnalysis5[[#This Row],[Education]]/tblPiNAnalysis5[[#This Row],[PIN]], 0.05)), "")</f>
        <v/>
      </c>
      <c r="Z98" s="318" t="str">
        <f>IFERROR(IF(tblPiNAnalysis5[[#This Row],[Nutrition]]="", "", MROUND(tblPiNAnalysis5[[#This Row],[Nutrition]]/tblPiNAnalysis5[[#This Row],[PIN]], 0.05)), "")</f>
        <v/>
      </c>
      <c r="AA98" s="318" t="str">
        <f>IFERROR(IF(tblPiNAnalysis5[[#This Row],[Food Security]]="", "", MROUND(tblPiNAnalysis5[[#This Row],[Food Security]]/tblPiNAnalysis5[[#This Row],[PIN]], 0.05)), "")</f>
        <v/>
      </c>
      <c r="AB98" s="318" t="str">
        <f>IFERROR(IF(tblPiNAnalysis5[[#This Row],[Health]]="", "", MROUND(tblPiNAnalysis5[[#This Row],[Health]]/tblPiNAnalysis5[[#This Row],[PIN]], 0.05)), "")</f>
        <v/>
      </c>
      <c r="AC98" s="319" t="str">
        <f>IFERROR(IF(tblPiNAnalysis5[[#This Row],[Protection]]="", "", MROUND(tblPiNAnalysis5[[#This Row],[Protection]]/tblPiNAnalysis5[[#This Row],[PIN]], 0.05)), "")</f>
        <v/>
      </c>
      <c r="AD98" s="319" t="str">
        <f>IFERROR(IF(tblPiNAnalysis5[[#This Row],[Shelter]]="", "", MROUND(tblPiNAnalysis5[[#This Row],[Shelter]]/tblPiNAnalysis5[[#This Row],[PIN]], 0.05)), "")</f>
        <v/>
      </c>
      <c r="AE98" s="320" t="str">
        <f>IFERROR(IF(tblPiNAnalysis5[[#This Row],[WASH]]="", "", MROUND(tblPiNAnalysis5[[#This Row],[WASH]]/tblPiNAnalysis5[[#This Row],[PIN]], 0.05)), "")</f>
        <v/>
      </c>
      <c r="AF98" s="488">
        <f>VLOOKUP(tblPiNAnalysis5[[#This Row],[ID]],tblPiNAnalysis[[ID]:[Final PiN]],63,FALSE)</f>
        <v>0</v>
      </c>
      <c r="AG98" s="488" t="str">
        <f>IFERROR(IF(tblPiNAnalysis5[[#This Row],[Final TARGET]]="", "", MROUND(tblPiNAnalysis5[[#This Row],[Final TARGET]]/tblPiNAnalysis5[[#This Row],[PIN]], 0.05)), "")</f>
        <v/>
      </c>
      <c r="AH98" s="322">
        <f>IF(MAX(tblPiNAnalysis5[[#This Row],[CCCM]:[WASH]])&lt;tblPiNAnalysis5[[#This Row],[PIN]],MAX(tblPiNAnalysis5[[#This Row],[CCCM]:[WASH]]),tblPiNAnalysis5[[#This Row],[PIN]])</f>
        <v>0</v>
      </c>
      <c r="AI98" s="326"/>
      <c r="AJ98" s="502">
        <f>tblPiNAnalysis5[[#This Row],[CCCM]]</f>
        <v>0</v>
      </c>
      <c r="AK98" s="500">
        <v>605</v>
      </c>
      <c r="AL98" s="500">
        <v>816</v>
      </c>
      <c r="AM98" s="500">
        <f>IF(VLOOKUP(tblPiNAnalysis5[[#This Row],[Admin 2 P-Code]],tblSeverityAnalysis[[Admin 2 P-Code]:[WASH]],10,FALSE)&gt;=4,VLOOKUP(tblPiNAnalysis5[[#This Row],[Admin 2 P-Code]],tblPiNAnalysis[[Admin 2 P-Code]:[WASH]],10,FALSE),0)</f>
        <v>0</v>
      </c>
      <c r="AN98" s="503">
        <v>0</v>
      </c>
      <c r="AO98" s="500"/>
      <c r="AP98" s="516">
        <v>3</v>
      </c>
      <c r="AQ98" s="501">
        <v>2688</v>
      </c>
      <c r="AR98" s="383">
        <f>MIN(tblPiNAnalysis5[[#This Row],[Final TARGET]],MAX(tblPiNAnalysis5[[#This Row],[CCCM_PRI]:[WASH_PRI]]))</f>
        <v>0</v>
      </c>
      <c r="AS98" s="383">
        <f>IF(VLOOKUP(tblPiNAnalysis5[[#This Row],[Admin 2 P-Code]],tblSeverityAnalysis[[Admin 2 P-Code]:[Final Severity]],43,FALSE)&gt;=4,VLOOKUP(tblPiNAnalysis5[[#This Row],[Admin 2 P-Code]],tblPiNAnalysis[[Admin 2 P-Code]:[WASH]],8,FALSE),0)</f>
        <v>0</v>
      </c>
    </row>
    <row r="99" spans="1:45" ht="16.5" customHeight="1">
      <c r="A9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Global_PopulationHT0721</v>
      </c>
      <c r="B99" s="304" t="s">
        <v>345</v>
      </c>
      <c r="C99" s="213" t="s">
        <v>346</v>
      </c>
      <c r="D99" s="213" t="s">
        <v>359</v>
      </c>
      <c r="E99" s="103" t="s">
        <v>360</v>
      </c>
      <c r="F99" s="99"/>
      <c r="G99" s="34"/>
      <c r="H99" s="34"/>
      <c r="I99" s="96">
        <v>25431</v>
      </c>
      <c r="J99" s="221" t="s">
        <v>156</v>
      </c>
      <c r="K99" s="427">
        <v>0</v>
      </c>
      <c r="L99" s="428">
        <v>2032</v>
      </c>
      <c r="M99" s="428">
        <v>2178</v>
      </c>
      <c r="N99" s="428">
        <v>5336</v>
      </c>
      <c r="O99" s="428">
        <v>0</v>
      </c>
      <c r="P99" s="428"/>
      <c r="Q99" s="428">
        <v>687.3</v>
      </c>
      <c r="R99" s="428">
        <v>5225</v>
      </c>
      <c r="S99" s="428"/>
      <c r="T99" s="428"/>
      <c r="U99" s="428"/>
      <c r="V99" s="428"/>
      <c r="W99" s="308"/>
      <c r="X99" s="317">
        <f>IFERROR(IF(tblPiNAnalysis5[[#This Row],[CCCM]]="", "", MROUND(tblPiNAnalysis5[[#This Row],[CCCM]]/tblPiNAnalysis5[[#This Row],[PIN]], 0.05)), "")</f>
        <v>0</v>
      </c>
      <c r="Y99" s="318">
        <f>IFERROR(IF(tblPiNAnalysis5[[#This Row],[Education]]="", "", MROUND(tblPiNAnalysis5[[#This Row],[Education]]/tblPiNAnalysis5[[#This Row],[PIN]], 0.05)), "")</f>
        <v>0.15000000000000002</v>
      </c>
      <c r="Z99" s="318">
        <f>IFERROR(IF(tblPiNAnalysis5[[#This Row],[Nutrition]]="", "", MROUND(tblPiNAnalysis5[[#This Row],[Nutrition]]/tblPiNAnalysis5[[#This Row],[PIN]], 0.05)), "")</f>
        <v>0.15000000000000002</v>
      </c>
      <c r="AA99" s="318">
        <f>IFERROR(IF(tblPiNAnalysis5[[#This Row],[Food Security]]="", "", MROUND(tblPiNAnalysis5[[#This Row],[Food Security]]/tblPiNAnalysis5[[#This Row],[PIN]], 0.05)), "")</f>
        <v>0.4</v>
      </c>
      <c r="AB99" s="318">
        <f>IFERROR(IF(tblPiNAnalysis5[[#This Row],[Health]]="", "", MROUND(tblPiNAnalysis5[[#This Row],[Health]]/tblPiNAnalysis5[[#This Row],[PIN]], 0.05)), "")</f>
        <v>0</v>
      </c>
      <c r="AC99" s="319" t="str">
        <f>IFERROR(IF(tblPiNAnalysis5[[#This Row],[Protection]]="", "", MROUND(tblPiNAnalysis5[[#This Row],[Protection]]/tblPiNAnalysis5[[#This Row],[PIN]], 0.05)), "")</f>
        <v/>
      </c>
      <c r="AD99" s="319">
        <f>IFERROR(IF(tblPiNAnalysis5[[#This Row],[Shelter]]="", "", MROUND(tblPiNAnalysis5[[#This Row],[Shelter]]/tblPiNAnalysis5[[#This Row],[PIN]], 0.05)), "")</f>
        <v>0.05</v>
      </c>
      <c r="AE99" s="320">
        <f>IFERROR(IF(tblPiNAnalysis5[[#This Row],[WASH]]="", "", MROUND(tblPiNAnalysis5[[#This Row],[WASH]]/tblPiNAnalysis5[[#This Row],[PIN]], 0.05)), "")</f>
        <v>0.35000000000000003</v>
      </c>
      <c r="AF99" s="488">
        <f>VLOOKUP(tblPiNAnalysis5[[#This Row],[ID]],tblPiNAnalysis[[ID]:[Final PiN]],63,FALSE)</f>
        <v>13976</v>
      </c>
      <c r="AG99" s="488">
        <f>IFERROR(IF(tblPiNAnalysis5[[#This Row],[Final TARGET]]="", "", MROUND(tblPiNAnalysis5[[#This Row],[Final TARGET]]/tblPiNAnalysis5[[#This Row],[PIN]], 0.05)), "")</f>
        <v>0.4</v>
      </c>
      <c r="AH99" s="322">
        <f>IF(MAX(tblPiNAnalysis5[[#This Row],[CCCM]:[WASH]])&lt;tblPiNAnalysis5[[#This Row],[PIN]],MAX(tblPiNAnalysis5[[#This Row],[CCCM]:[WASH]]),tblPiNAnalysis5[[#This Row],[PIN]])</f>
        <v>5336</v>
      </c>
      <c r="AI99" s="326"/>
      <c r="AJ99" s="502">
        <f>tblPiNAnalysis5[[#This Row],[CCCM]]</f>
        <v>0</v>
      </c>
      <c r="AK99" s="500">
        <v>1310</v>
      </c>
      <c r="AL99" s="500">
        <v>1606</v>
      </c>
      <c r="AM99" s="500">
        <f>IF(VLOOKUP(tblPiNAnalysis5[[#This Row],[Admin 2 P-Code]],tblSeverityAnalysis[[Admin 2 P-Code]:[WASH]],10,FALSE)&gt;=4,VLOOKUP(tblPiNAnalysis5[[#This Row],[Admin 2 P-Code]],tblPiNAnalysis[[Admin 2 P-Code]:[WASH]],10,FALSE),0)</f>
        <v>0</v>
      </c>
      <c r="AN99" s="503">
        <v>0</v>
      </c>
      <c r="AO99" s="500"/>
      <c r="AP99" s="516">
        <v>587</v>
      </c>
      <c r="AQ99" s="501">
        <v>7896</v>
      </c>
      <c r="AR99" s="383">
        <f>MIN(tblPiNAnalysis5[[#This Row],[Final TARGET]],MAX(tblPiNAnalysis5[[#This Row],[CCCM_PRI]:[WASH_PRI]]))</f>
        <v>5336</v>
      </c>
      <c r="AS99" s="383">
        <f>IF(VLOOKUP(tblPiNAnalysis5[[#This Row],[Admin 2 P-Code]],tblSeverityAnalysis[[Admin 2 P-Code]:[Final Severity]],43,FALSE)&gt;=4,VLOOKUP(tblPiNAnalysis5[[#This Row],[Admin 2 P-Code]],tblPiNAnalysis[[Admin 2 P-Code]:[WASH]],8,FALSE),0)</f>
        <v>0</v>
      </c>
    </row>
    <row r="100" spans="1:45" ht="16.5" customHeight="1">
      <c r="A10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Global_PopulationHT0722</v>
      </c>
      <c r="B100" s="304" t="s">
        <v>345</v>
      </c>
      <c r="C100" s="213" t="s">
        <v>346</v>
      </c>
      <c r="D100" s="213" t="s">
        <v>361</v>
      </c>
      <c r="E100" s="103" t="s">
        <v>362</v>
      </c>
      <c r="F100" s="99"/>
      <c r="G100" s="34"/>
      <c r="H100" s="34"/>
      <c r="I100" s="96">
        <v>35362</v>
      </c>
      <c r="J100" s="221" t="s">
        <v>156</v>
      </c>
      <c r="K100" s="427">
        <v>0</v>
      </c>
      <c r="L100" s="428">
        <v>2949</v>
      </c>
      <c r="M100" s="428">
        <v>2666</v>
      </c>
      <c r="N100" s="428">
        <v>7144</v>
      </c>
      <c r="O100" s="428">
        <v>0</v>
      </c>
      <c r="P100" s="428"/>
      <c r="Q100" s="428">
        <v>1865.8</v>
      </c>
      <c r="R100" s="428">
        <v>7000</v>
      </c>
      <c r="S100" s="428"/>
      <c r="T100" s="428"/>
      <c r="U100" s="428"/>
      <c r="V100" s="428"/>
      <c r="W100" s="308"/>
      <c r="X100" s="317">
        <f>IFERROR(IF(tblPiNAnalysis5[[#This Row],[CCCM]]="", "", MROUND(tblPiNAnalysis5[[#This Row],[CCCM]]/tblPiNAnalysis5[[#This Row],[PIN]], 0.05)), "")</f>
        <v>0</v>
      </c>
      <c r="Y100" s="318">
        <f>IFERROR(IF(tblPiNAnalysis5[[#This Row],[Education]]="", "", MROUND(tblPiNAnalysis5[[#This Row],[Education]]/tblPiNAnalysis5[[#This Row],[PIN]], 0.05)), "")</f>
        <v>0.15000000000000002</v>
      </c>
      <c r="Z100" s="318">
        <f>IFERROR(IF(tblPiNAnalysis5[[#This Row],[Nutrition]]="", "", MROUND(tblPiNAnalysis5[[#This Row],[Nutrition]]/tblPiNAnalysis5[[#This Row],[PIN]], 0.05)), "")</f>
        <v>0.15000000000000002</v>
      </c>
      <c r="AA100" s="318">
        <f>IFERROR(IF(tblPiNAnalysis5[[#This Row],[Food Security]]="", "", MROUND(tblPiNAnalysis5[[#This Row],[Food Security]]/tblPiNAnalysis5[[#This Row],[PIN]], 0.05)), "")</f>
        <v>0.4</v>
      </c>
      <c r="AB100" s="318">
        <f>IFERROR(IF(tblPiNAnalysis5[[#This Row],[Health]]="", "", MROUND(tblPiNAnalysis5[[#This Row],[Health]]/tblPiNAnalysis5[[#This Row],[PIN]], 0.05)), "")</f>
        <v>0</v>
      </c>
      <c r="AC100" s="319" t="str">
        <f>IFERROR(IF(tblPiNAnalysis5[[#This Row],[Protection]]="", "", MROUND(tblPiNAnalysis5[[#This Row],[Protection]]/tblPiNAnalysis5[[#This Row],[PIN]], 0.05)), "")</f>
        <v/>
      </c>
      <c r="AD100" s="319">
        <f>IFERROR(IF(tblPiNAnalysis5[[#This Row],[Shelter]]="", "", MROUND(tblPiNAnalysis5[[#This Row],[Shelter]]/tblPiNAnalysis5[[#This Row],[PIN]], 0.05)), "")</f>
        <v>0.1</v>
      </c>
      <c r="AE100" s="320">
        <f>IFERROR(IF(tblPiNAnalysis5[[#This Row],[WASH]]="", "", MROUND(tblPiNAnalysis5[[#This Row],[WASH]]/tblPiNAnalysis5[[#This Row],[PIN]], 0.05)), "")</f>
        <v>0.35000000000000003</v>
      </c>
      <c r="AF100" s="488">
        <f>VLOOKUP(tblPiNAnalysis5[[#This Row],[ID]],tblPiNAnalysis[[ID]:[Final PiN]],63,FALSE)</f>
        <v>18710</v>
      </c>
      <c r="AG100" s="488">
        <f>IFERROR(IF(tblPiNAnalysis5[[#This Row],[Final TARGET]]="", "", MROUND(tblPiNAnalysis5[[#This Row],[Final TARGET]]/tblPiNAnalysis5[[#This Row],[PIN]], 0.05)), "")</f>
        <v>0.4</v>
      </c>
      <c r="AH100" s="322">
        <f>IF(MAX(tblPiNAnalysis5[[#This Row],[CCCM]:[WASH]])&lt;tblPiNAnalysis5[[#This Row],[PIN]],MAX(tblPiNAnalysis5[[#This Row],[CCCM]:[WASH]]),tblPiNAnalysis5[[#This Row],[PIN]])</f>
        <v>7144</v>
      </c>
      <c r="AI100" s="326"/>
      <c r="AJ100" s="502">
        <f>tblPiNAnalysis5[[#This Row],[CCCM]]</f>
        <v>0</v>
      </c>
      <c r="AK100" s="500">
        <v>1877</v>
      </c>
      <c r="AL100" s="500">
        <v>1937</v>
      </c>
      <c r="AM100" s="500">
        <f>IF(VLOOKUP(tblPiNAnalysis5[[#This Row],[Admin 2 P-Code]],tblSeverityAnalysis[[Admin 2 P-Code]:[WASH]],10,FALSE)&gt;=4,VLOOKUP(tblPiNAnalysis5[[#This Row],[Admin 2 P-Code]],tblPiNAnalysis[[Admin 2 P-Code]:[WASH]],10,FALSE),0)</f>
        <v>0</v>
      </c>
      <c r="AN100" s="503">
        <v>0</v>
      </c>
      <c r="AO100" s="500"/>
      <c r="AP100" s="516">
        <v>1766</v>
      </c>
      <c r="AQ100" s="501">
        <v>3500</v>
      </c>
      <c r="AR100" s="383">
        <f>MIN(tblPiNAnalysis5[[#This Row],[Final TARGET]],MAX(tblPiNAnalysis5[[#This Row],[CCCM_PRI]:[WASH_PRI]]))</f>
        <v>3500</v>
      </c>
      <c r="AS100" s="383">
        <f>IF(VLOOKUP(tblPiNAnalysis5[[#This Row],[Admin 2 P-Code]],tblSeverityAnalysis[[Admin 2 P-Code]:[Final Severity]],43,FALSE)&gt;=4,VLOOKUP(tblPiNAnalysis5[[#This Row],[Admin 2 P-Code]],tblPiNAnalysis[[Admin 2 P-Code]:[WASH]],8,FALSE),0)</f>
        <v>0</v>
      </c>
    </row>
    <row r="101" spans="1:45" ht="16.5" customHeight="1">
      <c r="A10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Global_PopulationHT0723</v>
      </c>
      <c r="B101" s="304" t="s">
        <v>345</v>
      </c>
      <c r="C101" s="213" t="s">
        <v>346</v>
      </c>
      <c r="D101" s="213" t="s">
        <v>363</v>
      </c>
      <c r="E101" s="103" t="s">
        <v>364</v>
      </c>
      <c r="F101" s="99"/>
      <c r="G101" s="34"/>
      <c r="H101" s="34"/>
      <c r="I101" s="96">
        <v>35838</v>
      </c>
      <c r="J101" s="221" t="s">
        <v>156</v>
      </c>
      <c r="K101" s="427">
        <v>0</v>
      </c>
      <c r="L101" s="428">
        <v>2742</v>
      </c>
      <c r="M101" s="428">
        <v>2450</v>
      </c>
      <c r="N101" s="428">
        <v>8153</v>
      </c>
      <c r="O101" s="428">
        <v>0</v>
      </c>
      <c r="P101" s="428"/>
      <c r="Q101" s="428">
        <v>1.6</v>
      </c>
      <c r="R101" s="428">
        <v>4300</v>
      </c>
      <c r="S101" s="428"/>
      <c r="T101" s="428"/>
      <c r="U101" s="428"/>
      <c r="V101" s="428"/>
      <c r="W101" s="308"/>
      <c r="X101" s="317">
        <f>IFERROR(IF(tblPiNAnalysis5[[#This Row],[CCCM]]="", "", MROUND(tblPiNAnalysis5[[#This Row],[CCCM]]/tblPiNAnalysis5[[#This Row],[PIN]], 0.05)), "")</f>
        <v>0</v>
      </c>
      <c r="Y101" s="318">
        <f>IFERROR(IF(tblPiNAnalysis5[[#This Row],[Education]]="", "", MROUND(tblPiNAnalysis5[[#This Row],[Education]]/tblPiNAnalysis5[[#This Row],[PIN]], 0.05)), "")</f>
        <v>0.15000000000000002</v>
      </c>
      <c r="Z101" s="318">
        <f>IFERROR(IF(tblPiNAnalysis5[[#This Row],[Nutrition]]="", "", MROUND(tblPiNAnalysis5[[#This Row],[Nutrition]]/tblPiNAnalysis5[[#This Row],[PIN]], 0.05)), "")</f>
        <v>0.1</v>
      </c>
      <c r="AA101" s="318">
        <f>IFERROR(IF(tblPiNAnalysis5[[#This Row],[Food Security]]="", "", MROUND(tblPiNAnalysis5[[#This Row],[Food Security]]/tblPiNAnalysis5[[#This Row],[PIN]], 0.05)), "")</f>
        <v>0.4</v>
      </c>
      <c r="AB101" s="318">
        <f>IFERROR(IF(tblPiNAnalysis5[[#This Row],[Health]]="", "", MROUND(tblPiNAnalysis5[[#This Row],[Health]]/tblPiNAnalysis5[[#This Row],[PIN]], 0.05)), "")</f>
        <v>0</v>
      </c>
      <c r="AC101" s="319" t="str">
        <f>IFERROR(IF(tblPiNAnalysis5[[#This Row],[Protection]]="", "", MROUND(tblPiNAnalysis5[[#This Row],[Protection]]/tblPiNAnalysis5[[#This Row],[PIN]], 0.05)), "")</f>
        <v/>
      </c>
      <c r="AD101" s="319">
        <f>IFERROR(IF(tblPiNAnalysis5[[#This Row],[Shelter]]="", "", MROUND(tblPiNAnalysis5[[#This Row],[Shelter]]/tblPiNAnalysis5[[#This Row],[PIN]], 0.05)), "")</f>
        <v>0</v>
      </c>
      <c r="AE101" s="320">
        <f>IFERROR(IF(tblPiNAnalysis5[[#This Row],[WASH]]="", "", MROUND(tblPiNAnalysis5[[#This Row],[WASH]]/tblPiNAnalysis5[[#This Row],[PIN]], 0.05)), "")</f>
        <v>0.2</v>
      </c>
      <c r="AF101" s="488">
        <f>VLOOKUP(tblPiNAnalysis5[[#This Row],[ID]],tblPiNAnalysis[[ID]:[Final PiN]],63,FALSE)</f>
        <v>21354</v>
      </c>
      <c r="AG101" s="488">
        <f>IFERROR(IF(tblPiNAnalysis5[[#This Row],[Final TARGET]]="", "", MROUND(tblPiNAnalysis5[[#This Row],[Final TARGET]]/tblPiNAnalysis5[[#This Row],[PIN]], 0.05)), "")</f>
        <v>0.4</v>
      </c>
      <c r="AH101" s="322">
        <f>IF(MAX(tblPiNAnalysis5[[#This Row],[CCCM]:[WASH]])&lt;tblPiNAnalysis5[[#This Row],[PIN]],MAX(tblPiNAnalysis5[[#This Row],[CCCM]:[WASH]]),tblPiNAnalysis5[[#This Row],[PIN]])</f>
        <v>8153</v>
      </c>
      <c r="AI101" s="326"/>
      <c r="AJ101" s="502">
        <f>tblPiNAnalysis5[[#This Row],[CCCM]]</f>
        <v>0</v>
      </c>
      <c r="AK101" s="500">
        <v>1577</v>
      </c>
      <c r="AL101" s="500">
        <v>1774</v>
      </c>
      <c r="AM101" s="500">
        <f>IF(VLOOKUP(tblPiNAnalysis5[[#This Row],[Admin 2 P-Code]],tblSeverityAnalysis[[Admin 2 P-Code]:[WASH]],10,FALSE)&gt;=4,VLOOKUP(tblPiNAnalysis5[[#This Row],[Admin 2 P-Code]],tblPiNAnalysis[[Admin 2 P-Code]:[WASH]],10,FALSE),0)</f>
        <v>0</v>
      </c>
      <c r="AN101" s="503">
        <v>0</v>
      </c>
      <c r="AO101" s="500"/>
      <c r="AP101" s="516">
        <v>2</v>
      </c>
      <c r="AQ101" s="501">
        <v>2150</v>
      </c>
      <c r="AR101" s="383">
        <f>MIN(tblPiNAnalysis5[[#This Row],[Final TARGET]],MAX(tblPiNAnalysis5[[#This Row],[CCCM_PRI]:[WASH_PRI]]))</f>
        <v>2150</v>
      </c>
      <c r="AS101" s="383">
        <f>IF(VLOOKUP(tblPiNAnalysis5[[#This Row],[Admin 2 P-Code]],tblSeverityAnalysis[[Admin 2 P-Code]:[Final Severity]],43,FALSE)&gt;=4,VLOOKUP(tblPiNAnalysis5[[#This Row],[Admin 2 P-Code]],tblPiNAnalysis[[Admin 2 P-Code]:[WASH]],8,FALSE),0)</f>
        <v>0</v>
      </c>
    </row>
    <row r="102" spans="1:45" ht="16.5" customHeight="1">
      <c r="A10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Global_PopulationHT0731</v>
      </c>
      <c r="B102" s="304" t="s">
        <v>345</v>
      </c>
      <c r="C102" s="213" t="s">
        <v>346</v>
      </c>
      <c r="D102" s="213" t="s">
        <v>365</v>
      </c>
      <c r="E102" s="103" t="s">
        <v>366</v>
      </c>
      <c r="F102" s="99"/>
      <c r="G102" s="34"/>
      <c r="H102" s="34"/>
      <c r="I102" s="96">
        <v>123719</v>
      </c>
      <c r="J102" s="221" t="s">
        <v>156</v>
      </c>
      <c r="K102" s="427">
        <v>0</v>
      </c>
      <c r="L102" s="428">
        <v>9275</v>
      </c>
      <c r="M102" s="428">
        <v>10823</v>
      </c>
      <c r="N102" s="428">
        <v>28080</v>
      </c>
      <c r="O102" s="428">
        <v>15058.716806189432</v>
      </c>
      <c r="P102" s="428"/>
      <c r="Q102" s="428">
        <v>4268.1000000000004</v>
      </c>
      <c r="R102" s="428">
        <v>26892</v>
      </c>
      <c r="S102" s="428"/>
      <c r="T102" s="428"/>
      <c r="U102" s="428"/>
      <c r="V102" s="428"/>
      <c r="W102" s="308"/>
      <c r="X102" s="317">
        <f>IFERROR(IF(tblPiNAnalysis5[[#This Row],[CCCM]]="", "", MROUND(tblPiNAnalysis5[[#This Row],[CCCM]]/tblPiNAnalysis5[[#This Row],[PIN]], 0.05)), "")</f>
        <v>0</v>
      </c>
      <c r="Y102" s="318">
        <f>IFERROR(IF(tblPiNAnalysis5[[#This Row],[Education]]="", "", MROUND(tblPiNAnalysis5[[#This Row],[Education]]/tblPiNAnalysis5[[#This Row],[PIN]], 0.05)), "")</f>
        <v>0.15000000000000002</v>
      </c>
      <c r="Z102" s="318">
        <f>IFERROR(IF(tblPiNAnalysis5[[#This Row],[Nutrition]]="", "", MROUND(tblPiNAnalysis5[[#This Row],[Nutrition]]/tblPiNAnalysis5[[#This Row],[PIN]], 0.05)), "")</f>
        <v>0.15000000000000002</v>
      </c>
      <c r="AA102" s="318">
        <f>IFERROR(IF(tblPiNAnalysis5[[#This Row],[Food Security]]="", "", MROUND(tblPiNAnalysis5[[#This Row],[Food Security]]/tblPiNAnalysis5[[#This Row],[PIN]], 0.05)), "")</f>
        <v>0.4</v>
      </c>
      <c r="AB102" s="318">
        <f>IFERROR(IF(tblPiNAnalysis5[[#This Row],[Health]]="", "", MROUND(tblPiNAnalysis5[[#This Row],[Health]]/tblPiNAnalysis5[[#This Row],[PIN]], 0.05)), "")</f>
        <v>0.2</v>
      </c>
      <c r="AC102" s="319" t="str">
        <f>IFERROR(IF(tblPiNAnalysis5[[#This Row],[Protection]]="", "", MROUND(tblPiNAnalysis5[[#This Row],[Protection]]/tblPiNAnalysis5[[#This Row],[PIN]], 0.05)), "")</f>
        <v/>
      </c>
      <c r="AD102" s="319">
        <f>IFERROR(IF(tblPiNAnalysis5[[#This Row],[Shelter]]="", "", MROUND(tblPiNAnalysis5[[#This Row],[Shelter]]/tblPiNAnalysis5[[#This Row],[PIN]], 0.05)), "")</f>
        <v>0.05</v>
      </c>
      <c r="AE102" s="320">
        <f>IFERROR(IF(tblPiNAnalysis5[[#This Row],[WASH]]="", "", MROUND(tblPiNAnalysis5[[#This Row],[WASH]]/tblPiNAnalysis5[[#This Row],[PIN]], 0.05)), "")</f>
        <v>0.4</v>
      </c>
      <c r="AF102" s="488">
        <f>VLOOKUP(tblPiNAnalysis5[[#This Row],[ID]],tblPiNAnalysis[[ID]:[Final PiN]],63,FALSE)</f>
        <v>69332</v>
      </c>
      <c r="AG102" s="488">
        <f>IFERROR(IF(tblPiNAnalysis5[[#This Row],[Final TARGET]]="", "", MROUND(tblPiNAnalysis5[[#This Row],[Final TARGET]]/tblPiNAnalysis5[[#This Row],[PIN]], 0.05)), "")</f>
        <v>0.4</v>
      </c>
      <c r="AH102" s="322">
        <f>IF(MAX(tblPiNAnalysis5[[#This Row],[CCCM]:[WASH]])&lt;tblPiNAnalysis5[[#This Row],[PIN]],MAX(tblPiNAnalysis5[[#This Row],[CCCM]:[WASH]]),tblPiNAnalysis5[[#This Row],[PIN]])</f>
        <v>28080</v>
      </c>
      <c r="AI102" s="326"/>
      <c r="AJ102" s="502">
        <f>tblPiNAnalysis5[[#This Row],[CCCM]]</f>
        <v>0</v>
      </c>
      <c r="AK102" s="500">
        <v>6041</v>
      </c>
      <c r="AL102" s="500">
        <v>7995</v>
      </c>
      <c r="AM102" s="500">
        <f>IF(VLOOKUP(tblPiNAnalysis5[[#This Row],[Admin 2 P-Code]],tblSeverityAnalysis[[Admin 2 P-Code]:[WASH]],10,FALSE)&gt;=4,VLOOKUP(tblPiNAnalysis5[[#This Row],[Admin 2 P-Code]],tblPiNAnalysis[[Admin 2 P-Code]:[WASH]],10,FALSE),0)</f>
        <v>0</v>
      </c>
      <c r="AN102" s="503">
        <v>0</v>
      </c>
      <c r="AO102" s="500"/>
      <c r="AP102" s="516">
        <v>4168</v>
      </c>
      <c r="AQ102" s="501">
        <v>13446</v>
      </c>
      <c r="AR102" s="383">
        <f>MIN(tblPiNAnalysis5[[#This Row],[Final TARGET]],MAX(tblPiNAnalysis5[[#This Row],[CCCM_PRI]:[WASH_PRI]]))</f>
        <v>13446</v>
      </c>
      <c r="AS102" s="383">
        <f>IF(VLOOKUP(tblPiNAnalysis5[[#This Row],[Admin 2 P-Code]],tblSeverityAnalysis[[Admin 2 P-Code]:[Final Severity]],43,FALSE)&gt;=4,VLOOKUP(tblPiNAnalysis5[[#This Row],[Admin 2 P-Code]],tblPiNAnalysis[[Admin 2 P-Code]:[WASH]],8,FALSE),0)</f>
        <v>0</v>
      </c>
    </row>
    <row r="103" spans="1:45" ht="16.5" customHeight="1">
      <c r="A10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Global_PopulationHT0732</v>
      </c>
      <c r="B103" s="304" t="s">
        <v>345</v>
      </c>
      <c r="C103" s="213" t="s">
        <v>346</v>
      </c>
      <c r="D103" s="213" t="s">
        <v>367</v>
      </c>
      <c r="E103" s="103" t="s">
        <v>368</v>
      </c>
      <c r="F103" s="99"/>
      <c r="G103" s="34"/>
      <c r="H103" s="34"/>
      <c r="I103" s="96">
        <v>80295</v>
      </c>
      <c r="J103" s="221" t="s">
        <v>156</v>
      </c>
      <c r="K103" s="427">
        <v>0</v>
      </c>
      <c r="L103" s="428">
        <v>6310</v>
      </c>
      <c r="M103" s="428">
        <v>5724</v>
      </c>
      <c r="N103" s="428">
        <v>17493</v>
      </c>
      <c r="O103" s="428">
        <v>6079.0711667228634</v>
      </c>
      <c r="P103" s="428"/>
      <c r="Q103" s="428">
        <v>2387.5500000000002</v>
      </c>
      <c r="R103" s="428">
        <v>15061</v>
      </c>
      <c r="S103" s="428"/>
      <c r="T103" s="428"/>
      <c r="U103" s="428"/>
      <c r="V103" s="428"/>
      <c r="W103" s="308"/>
      <c r="X103" s="317">
        <f>IFERROR(IF(tblPiNAnalysis5[[#This Row],[CCCM]]="", "", MROUND(tblPiNAnalysis5[[#This Row],[CCCM]]/tblPiNAnalysis5[[#This Row],[PIN]], 0.05)), "")</f>
        <v>0</v>
      </c>
      <c r="Y103" s="318">
        <f>IFERROR(IF(tblPiNAnalysis5[[#This Row],[Education]]="", "", MROUND(tblPiNAnalysis5[[#This Row],[Education]]/tblPiNAnalysis5[[#This Row],[PIN]], 0.05)), "")</f>
        <v>0.15000000000000002</v>
      </c>
      <c r="Z103" s="318">
        <f>IFERROR(IF(tblPiNAnalysis5[[#This Row],[Nutrition]]="", "", MROUND(tblPiNAnalysis5[[#This Row],[Nutrition]]/tblPiNAnalysis5[[#This Row],[PIN]], 0.05)), "")</f>
        <v>0.1</v>
      </c>
      <c r="AA103" s="318">
        <f>IFERROR(IF(tblPiNAnalysis5[[#This Row],[Food Security]]="", "", MROUND(tblPiNAnalysis5[[#This Row],[Food Security]]/tblPiNAnalysis5[[#This Row],[PIN]], 0.05)), "")</f>
        <v>0.35000000000000003</v>
      </c>
      <c r="AB103" s="318">
        <f>IFERROR(IF(tblPiNAnalysis5[[#This Row],[Health]]="", "", MROUND(tblPiNAnalysis5[[#This Row],[Health]]/tblPiNAnalysis5[[#This Row],[PIN]], 0.05)), "")</f>
        <v>0.1</v>
      </c>
      <c r="AC103" s="319" t="str">
        <f>IFERROR(IF(tblPiNAnalysis5[[#This Row],[Protection]]="", "", MROUND(tblPiNAnalysis5[[#This Row],[Protection]]/tblPiNAnalysis5[[#This Row],[PIN]], 0.05)), "")</f>
        <v/>
      </c>
      <c r="AD103" s="319">
        <f>IFERROR(IF(tblPiNAnalysis5[[#This Row],[Shelter]]="", "", MROUND(tblPiNAnalysis5[[#This Row],[Shelter]]/tblPiNAnalysis5[[#This Row],[PIN]], 0.05)), "")</f>
        <v>0.05</v>
      </c>
      <c r="AE103" s="320">
        <f>IFERROR(IF(tblPiNAnalysis5[[#This Row],[WASH]]="", "", MROUND(tblPiNAnalysis5[[#This Row],[WASH]]/tblPiNAnalysis5[[#This Row],[PIN]], 0.05)), "")</f>
        <v>0.30000000000000004</v>
      </c>
      <c r="AF103" s="488">
        <f>VLOOKUP(tblPiNAnalysis5[[#This Row],[ID]],tblPiNAnalysis[[ID]:[Final PiN]],63,FALSE)</f>
        <v>49907</v>
      </c>
      <c r="AG103" s="488">
        <f>IFERROR(IF(tblPiNAnalysis5[[#This Row],[Final TARGET]]="", "", MROUND(tblPiNAnalysis5[[#This Row],[Final TARGET]]/tblPiNAnalysis5[[#This Row],[PIN]], 0.05)), "")</f>
        <v>0.35000000000000003</v>
      </c>
      <c r="AH103" s="322">
        <f>IF(MAX(tblPiNAnalysis5[[#This Row],[CCCM]:[WASH]])&lt;tblPiNAnalysis5[[#This Row],[PIN]],MAX(tblPiNAnalysis5[[#This Row],[CCCM]:[WASH]]),tblPiNAnalysis5[[#This Row],[PIN]])</f>
        <v>17493</v>
      </c>
      <c r="AI103" s="326"/>
      <c r="AJ103" s="502">
        <f>tblPiNAnalysis5[[#This Row],[CCCM]]</f>
        <v>0</v>
      </c>
      <c r="AK103" s="500">
        <v>3966</v>
      </c>
      <c r="AL103" s="500">
        <v>4132</v>
      </c>
      <c r="AM103" s="500">
        <f>IF(VLOOKUP(tblPiNAnalysis5[[#This Row],[Admin 2 P-Code]],tblSeverityAnalysis[[Admin 2 P-Code]:[WASH]],10,FALSE)&gt;=4,VLOOKUP(tblPiNAnalysis5[[#This Row],[Admin 2 P-Code]],tblPiNAnalysis[[Admin 2 P-Code]:[WASH]],10,FALSE),0)</f>
        <v>0</v>
      </c>
      <c r="AN103" s="503">
        <v>0</v>
      </c>
      <c r="AO103" s="500"/>
      <c r="AP103" s="516">
        <v>2288</v>
      </c>
      <c r="AQ103" s="501">
        <v>7530.5</v>
      </c>
      <c r="AR103" s="383">
        <f>MIN(tblPiNAnalysis5[[#This Row],[Final TARGET]],MAX(tblPiNAnalysis5[[#This Row],[CCCM_PRI]:[WASH_PRI]]))</f>
        <v>7530.5</v>
      </c>
      <c r="AS103" s="383">
        <f>IF(VLOOKUP(tblPiNAnalysis5[[#This Row],[Admin 2 P-Code]],tblSeverityAnalysis[[Admin 2 P-Code]:[Final Severity]],43,FALSE)&gt;=4,VLOOKUP(tblPiNAnalysis5[[#This Row],[Admin 2 P-Code]],tblPiNAnalysis[[Admin 2 P-Code]:[WASH]],8,FALSE),0)</f>
        <v>0</v>
      </c>
    </row>
    <row r="104" spans="1:45" ht="16.5" customHeight="1">
      <c r="A10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Global_PopulationHT0733</v>
      </c>
      <c r="B104" s="304" t="s">
        <v>345</v>
      </c>
      <c r="C104" s="213" t="s">
        <v>346</v>
      </c>
      <c r="D104" s="213" t="s">
        <v>369</v>
      </c>
      <c r="E104" s="103" t="s">
        <v>370</v>
      </c>
      <c r="F104" s="99"/>
      <c r="G104" s="34"/>
      <c r="H104" s="34"/>
      <c r="I104" s="96">
        <v>63397</v>
      </c>
      <c r="J104" s="221" t="s">
        <v>156</v>
      </c>
      <c r="K104" s="427">
        <v>0</v>
      </c>
      <c r="L104" s="428">
        <v>5643</v>
      </c>
      <c r="M104" s="428">
        <v>5690</v>
      </c>
      <c r="N104" s="428">
        <v>13118</v>
      </c>
      <c r="O104" s="428">
        <v>0</v>
      </c>
      <c r="P104" s="428"/>
      <c r="Q104" s="428">
        <v>4062.45</v>
      </c>
      <c r="R104" s="428">
        <v>24513</v>
      </c>
      <c r="S104" s="428"/>
      <c r="T104" s="428"/>
      <c r="U104" s="428"/>
      <c r="V104" s="428"/>
      <c r="W104" s="308"/>
      <c r="X104" s="317">
        <f>IFERROR(IF(tblPiNAnalysis5[[#This Row],[CCCM]]="", "", MROUND(tblPiNAnalysis5[[#This Row],[CCCM]]/tblPiNAnalysis5[[#This Row],[PIN]], 0.05)), "")</f>
        <v>0</v>
      </c>
      <c r="Y104" s="318">
        <f>IFERROR(IF(tblPiNAnalysis5[[#This Row],[Education]]="", "", MROUND(tblPiNAnalysis5[[#This Row],[Education]]/tblPiNAnalysis5[[#This Row],[PIN]], 0.05)), "")</f>
        <v>0.1</v>
      </c>
      <c r="Z104" s="318">
        <f>IFERROR(IF(tblPiNAnalysis5[[#This Row],[Nutrition]]="", "", MROUND(tblPiNAnalysis5[[#This Row],[Nutrition]]/tblPiNAnalysis5[[#This Row],[PIN]], 0.05)), "")</f>
        <v>0.1</v>
      </c>
      <c r="AA104" s="318">
        <f>IFERROR(IF(tblPiNAnalysis5[[#This Row],[Food Security]]="", "", MROUND(tblPiNAnalysis5[[#This Row],[Food Security]]/tblPiNAnalysis5[[#This Row],[PIN]], 0.05)), "")</f>
        <v>0.30000000000000004</v>
      </c>
      <c r="AB104" s="318">
        <f>IFERROR(IF(tblPiNAnalysis5[[#This Row],[Health]]="", "", MROUND(tblPiNAnalysis5[[#This Row],[Health]]/tblPiNAnalysis5[[#This Row],[PIN]], 0.05)), "")</f>
        <v>0</v>
      </c>
      <c r="AC104" s="319" t="str">
        <f>IFERROR(IF(tblPiNAnalysis5[[#This Row],[Protection]]="", "", MROUND(tblPiNAnalysis5[[#This Row],[Protection]]/tblPiNAnalysis5[[#This Row],[PIN]], 0.05)), "")</f>
        <v/>
      </c>
      <c r="AD104" s="319">
        <f>IFERROR(IF(tblPiNAnalysis5[[#This Row],[Shelter]]="", "", MROUND(tblPiNAnalysis5[[#This Row],[Shelter]]/tblPiNAnalysis5[[#This Row],[PIN]], 0.05)), "")</f>
        <v>0.1</v>
      </c>
      <c r="AE104" s="320">
        <f>IFERROR(IF(tblPiNAnalysis5[[#This Row],[WASH]]="", "", MROUND(tblPiNAnalysis5[[#This Row],[WASH]]/tblPiNAnalysis5[[#This Row],[PIN]], 0.05)), "")</f>
        <v>0.5</v>
      </c>
      <c r="AF104" s="488">
        <f>VLOOKUP(tblPiNAnalysis5[[#This Row],[ID]],tblPiNAnalysis[[ID]:[Final PiN]],63,FALSE)</f>
        <v>47547.75</v>
      </c>
      <c r="AG104" s="488">
        <f>IFERROR(IF(tblPiNAnalysis5[[#This Row],[Final TARGET]]="", "", MROUND(tblPiNAnalysis5[[#This Row],[Final TARGET]]/tblPiNAnalysis5[[#This Row],[PIN]], 0.05)), "")</f>
        <v>0.5</v>
      </c>
      <c r="AH104" s="322">
        <f>IF(MAX(tblPiNAnalysis5[[#This Row],[CCCM]:[WASH]])&lt;tblPiNAnalysis5[[#This Row],[PIN]],MAX(tblPiNAnalysis5[[#This Row],[CCCM]:[WASH]]),tblPiNAnalysis5[[#This Row],[PIN]])</f>
        <v>24513</v>
      </c>
      <c r="AI104" s="326"/>
      <c r="AJ104" s="502">
        <f>tblPiNAnalysis5[[#This Row],[CCCM]]</f>
        <v>0</v>
      </c>
      <c r="AK104" s="500">
        <v>4274</v>
      </c>
      <c r="AL104" s="500">
        <v>4147</v>
      </c>
      <c r="AM104" s="500">
        <f>IF(VLOOKUP(tblPiNAnalysis5[[#This Row],[Admin 2 P-Code]],tblSeverityAnalysis[[Admin 2 P-Code]:[WASH]],10,FALSE)&gt;=4,VLOOKUP(tblPiNAnalysis5[[#This Row],[Admin 2 P-Code]],tblPiNAnalysis[[Admin 2 P-Code]:[WASH]],10,FALSE),0)</f>
        <v>0</v>
      </c>
      <c r="AN104" s="503">
        <v>0</v>
      </c>
      <c r="AO104" s="500"/>
      <c r="AP104" s="516">
        <v>3962</v>
      </c>
      <c r="AQ104" s="501">
        <v>12256.5</v>
      </c>
      <c r="AR104" s="383">
        <f>MIN(tblPiNAnalysis5[[#This Row],[Final TARGET]],MAX(tblPiNAnalysis5[[#This Row],[CCCM_PRI]:[WASH_PRI]]))</f>
        <v>12256.5</v>
      </c>
      <c r="AS104" s="383">
        <f>IF(VLOOKUP(tblPiNAnalysis5[[#This Row],[Admin 2 P-Code]],tblSeverityAnalysis[[Admin 2 P-Code]:[Final Severity]],43,FALSE)&gt;=4,VLOOKUP(tblPiNAnalysis5[[#This Row],[Admin 2 P-Code]],tblPiNAnalysis[[Admin 2 P-Code]:[WASH]],8,FALSE),0)</f>
        <v>0</v>
      </c>
    </row>
    <row r="105" spans="1:45" ht="16.5" customHeight="1">
      <c r="A10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Global_PopulationHT0741</v>
      </c>
      <c r="B105" s="304" t="s">
        <v>345</v>
      </c>
      <c r="C105" s="213" t="s">
        <v>346</v>
      </c>
      <c r="D105" s="213" t="s">
        <v>371</v>
      </c>
      <c r="E105" s="103" t="s">
        <v>372</v>
      </c>
      <c r="F105" s="99"/>
      <c r="G105" s="34"/>
      <c r="H105" s="34"/>
      <c r="I105" s="96">
        <v>25395</v>
      </c>
      <c r="J105" s="221" t="s">
        <v>156</v>
      </c>
      <c r="K105" s="427">
        <v>64</v>
      </c>
      <c r="L105" s="428">
        <v>1990</v>
      </c>
      <c r="M105" s="428">
        <v>1748</v>
      </c>
      <c r="N105" s="428">
        <v>5952</v>
      </c>
      <c r="O105" s="428">
        <v>0</v>
      </c>
      <c r="P105" s="428"/>
      <c r="Q105" s="428">
        <v>538.65</v>
      </c>
      <c r="R105" s="428">
        <v>2903</v>
      </c>
      <c r="S105" s="428"/>
      <c r="T105" s="428"/>
      <c r="U105" s="428"/>
      <c r="V105" s="428"/>
      <c r="W105" s="308"/>
      <c r="X105" s="317">
        <f>IFERROR(IF(tblPiNAnalysis5[[#This Row],[CCCM]]="", "", MROUND(tblPiNAnalysis5[[#This Row],[CCCM]]/tblPiNAnalysis5[[#This Row],[PIN]], 0.05)), "")</f>
        <v>0</v>
      </c>
      <c r="Y105" s="318">
        <f>IFERROR(IF(tblPiNAnalysis5[[#This Row],[Education]]="", "", MROUND(tblPiNAnalysis5[[#This Row],[Education]]/tblPiNAnalysis5[[#This Row],[PIN]], 0.05)), "")</f>
        <v>0.15000000000000002</v>
      </c>
      <c r="Z105" s="318">
        <f>IFERROR(IF(tblPiNAnalysis5[[#This Row],[Nutrition]]="", "", MROUND(tblPiNAnalysis5[[#This Row],[Nutrition]]/tblPiNAnalysis5[[#This Row],[PIN]], 0.05)), "")</f>
        <v>0.1</v>
      </c>
      <c r="AA105" s="318">
        <f>IFERROR(IF(tblPiNAnalysis5[[#This Row],[Food Security]]="", "", MROUND(tblPiNAnalysis5[[#This Row],[Food Security]]/tblPiNAnalysis5[[#This Row],[PIN]], 0.05)), "")</f>
        <v>0.4</v>
      </c>
      <c r="AB105" s="318">
        <f>IFERROR(IF(tblPiNAnalysis5[[#This Row],[Health]]="", "", MROUND(tblPiNAnalysis5[[#This Row],[Health]]/tblPiNAnalysis5[[#This Row],[PIN]], 0.05)), "")</f>
        <v>0</v>
      </c>
      <c r="AC105" s="319" t="str">
        <f>IFERROR(IF(tblPiNAnalysis5[[#This Row],[Protection]]="", "", MROUND(tblPiNAnalysis5[[#This Row],[Protection]]/tblPiNAnalysis5[[#This Row],[PIN]], 0.05)), "")</f>
        <v/>
      </c>
      <c r="AD105" s="319">
        <f>IFERROR(IF(tblPiNAnalysis5[[#This Row],[Shelter]]="", "", MROUND(tblPiNAnalysis5[[#This Row],[Shelter]]/tblPiNAnalysis5[[#This Row],[PIN]], 0.05)), "")</f>
        <v>0.05</v>
      </c>
      <c r="AE105" s="320">
        <f>IFERROR(IF(tblPiNAnalysis5[[#This Row],[WASH]]="", "", MROUND(tblPiNAnalysis5[[#This Row],[WASH]]/tblPiNAnalysis5[[#This Row],[PIN]], 0.05)), "")</f>
        <v>0.2</v>
      </c>
      <c r="AF105" s="488">
        <f>VLOOKUP(tblPiNAnalysis5[[#This Row],[ID]],tblPiNAnalysis[[ID]:[Final PiN]],63,FALSE)</f>
        <v>15589</v>
      </c>
      <c r="AG105" s="488">
        <f>IFERROR(IF(tblPiNAnalysis5[[#This Row],[Final TARGET]]="", "", MROUND(tblPiNAnalysis5[[#This Row],[Final TARGET]]/tblPiNAnalysis5[[#This Row],[PIN]], 0.05)), "")</f>
        <v>0.4</v>
      </c>
      <c r="AH105" s="322">
        <f>IF(MAX(tblPiNAnalysis5[[#This Row],[CCCM]:[WASH]])&lt;tblPiNAnalysis5[[#This Row],[PIN]],MAX(tblPiNAnalysis5[[#This Row],[CCCM]:[WASH]]),tblPiNAnalysis5[[#This Row],[PIN]])</f>
        <v>5952</v>
      </c>
      <c r="AI105" s="326"/>
      <c r="AJ105" s="502">
        <f>tblPiNAnalysis5[[#This Row],[CCCM]]</f>
        <v>64</v>
      </c>
      <c r="AK105" s="500">
        <v>1140</v>
      </c>
      <c r="AL105" s="500">
        <v>1267</v>
      </c>
      <c r="AM105" s="500">
        <f>IF(VLOOKUP(tblPiNAnalysis5[[#This Row],[Admin 2 P-Code]],tblSeverityAnalysis[[Admin 2 P-Code]:[WASH]],10,FALSE)&gt;=4,VLOOKUP(tblPiNAnalysis5[[#This Row],[Admin 2 P-Code]],tblPiNAnalysis[[Admin 2 P-Code]:[WASH]],10,FALSE),0)</f>
        <v>0</v>
      </c>
      <c r="AN105" s="503">
        <v>0</v>
      </c>
      <c r="AO105" s="500"/>
      <c r="AP105" s="516">
        <v>439</v>
      </c>
      <c r="AQ105" s="501">
        <v>1451.5</v>
      </c>
      <c r="AR105" s="383">
        <f>MIN(tblPiNAnalysis5[[#This Row],[Final TARGET]],MAX(tblPiNAnalysis5[[#This Row],[CCCM_PRI]:[WASH_PRI]]))</f>
        <v>1451.5</v>
      </c>
      <c r="AS105" s="383">
        <f>IF(VLOOKUP(tblPiNAnalysis5[[#This Row],[Admin 2 P-Code]],tblSeverityAnalysis[[Admin 2 P-Code]:[Final Severity]],43,FALSE)&gt;=4,VLOOKUP(tblPiNAnalysis5[[#This Row],[Admin 2 P-Code]],tblPiNAnalysis[[Admin 2 P-Code]:[WASH]],8,FALSE),0)</f>
        <v>0</v>
      </c>
    </row>
    <row r="106" spans="1:45" ht="16.5" customHeight="1">
      <c r="A10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Global_PopulationHT0742</v>
      </c>
      <c r="B106" s="304" t="s">
        <v>345</v>
      </c>
      <c r="C106" s="213" t="s">
        <v>346</v>
      </c>
      <c r="D106" s="213" t="s">
        <v>373</v>
      </c>
      <c r="E106" s="103" t="s">
        <v>374</v>
      </c>
      <c r="F106" s="99"/>
      <c r="G106" s="34"/>
      <c r="H106" s="34"/>
      <c r="I106" s="96">
        <v>26647</v>
      </c>
      <c r="J106" s="221" t="s">
        <v>156</v>
      </c>
      <c r="K106" s="427">
        <v>0</v>
      </c>
      <c r="L106" s="428">
        <v>2537</v>
      </c>
      <c r="M106" s="428">
        <v>1976</v>
      </c>
      <c r="N106" s="428">
        <v>3825</v>
      </c>
      <c r="O106" s="428">
        <v>0</v>
      </c>
      <c r="P106" s="428"/>
      <c r="Q106" s="428">
        <v>1256.3499999999999</v>
      </c>
      <c r="R106" s="428">
        <v>7625</v>
      </c>
      <c r="S106" s="428"/>
      <c r="T106" s="428"/>
      <c r="U106" s="428"/>
      <c r="V106" s="428"/>
      <c r="W106" s="308"/>
      <c r="X106" s="317">
        <f>IFERROR(IF(tblPiNAnalysis5[[#This Row],[CCCM]]="", "", MROUND(tblPiNAnalysis5[[#This Row],[CCCM]]/tblPiNAnalysis5[[#This Row],[PIN]], 0.05)), "")</f>
        <v>0</v>
      </c>
      <c r="Y106" s="318">
        <f>IFERROR(IF(tblPiNAnalysis5[[#This Row],[Education]]="", "", MROUND(tblPiNAnalysis5[[#This Row],[Education]]/tblPiNAnalysis5[[#This Row],[PIN]], 0.05)), "")</f>
        <v>0.1</v>
      </c>
      <c r="Z106" s="318">
        <f>IFERROR(IF(tblPiNAnalysis5[[#This Row],[Nutrition]]="", "", MROUND(tblPiNAnalysis5[[#This Row],[Nutrition]]/tblPiNAnalysis5[[#This Row],[PIN]], 0.05)), "")</f>
        <v>0.1</v>
      </c>
      <c r="AA106" s="318">
        <f>IFERROR(IF(tblPiNAnalysis5[[#This Row],[Food Security]]="", "", MROUND(tblPiNAnalysis5[[#This Row],[Food Security]]/tblPiNAnalysis5[[#This Row],[PIN]], 0.05)), "")</f>
        <v>0.2</v>
      </c>
      <c r="AB106" s="318">
        <f>IFERROR(IF(tblPiNAnalysis5[[#This Row],[Health]]="", "", MROUND(tblPiNAnalysis5[[#This Row],[Health]]/tblPiNAnalysis5[[#This Row],[PIN]], 0.05)), "")</f>
        <v>0</v>
      </c>
      <c r="AC106" s="319" t="str">
        <f>IFERROR(IF(tblPiNAnalysis5[[#This Row],[Protection]]="", "", MROUND(tblPiNAnalysis5[[#This Row],[Protection]]/tblPiNAnalysis5[[#This Row],[PIN]], 0.05)), "")</f>
        <v/>
      </c>
      <c r="AD106" s="319">
        <f>IFERROR(IF(tblPiNAnalysis5[[#This Row],[Shelter]]="", "", MROUND(tblPiNAnalysis5[[#This Row],[Shelter]]/tblPiNAnalysis5[[#This Row],[PIN]], 0.05)), "")</f>
        <v>0.05</v>
      </c>
      <c r="AE106" s="320">
        <f>IFERROR(IF(tblPiNAnalysis5[[#This Row],[WASH]]="", "", MROUND(tblPiNAnalysis5[[#This Row],[WASH]]/tblPiNAnalysis5[[#This Row],[PIN]], 0.05)), "")</f>
        <v>0.35000000000000003</v>
      </c>
      <c r="AF106" s="488">
        <f>VLOOKUP(tblPiNAnalysis5[[#This Row],[ID]],tblPiNAnalysis[[ID]:[Final PiN]],63,FALSE)</f>
        <v>21418</v>
      </c>
      <c r="AG106" s="488">
        <f>IFERROR(IF(tblPiNAnalysis5[[#This Row],[Final TARGET]]="", "", MROUND(tblPiNAnalysis5[[#This Row],[Final TARGET]]/tblPiNAnalysis5[[#This Row],[PIN]], 0.05)), "")</f>
        <v>0.35000000000000003</v>
      </c>
      <c r="AH106" s="322">
        <f>IF(MAX(tblPiNAnalysis5[[#This Row],[CCCM]:[WASH]])&lt;tblPiNAnalysis5[[#This Row],[PIN]],MAX(tblPiNAnalysis5[[#This Row],[CCCM]:[WASH]]),tblPiNAnalysis5[[#This Row],[PIN]])</f>
        <v>7625</v>
      </c>
      <c r="AI106" s="326"/>
      <c r="AJ106" s="502">
        <f>tblPiNAnalysis5[[#This Row],[CCCM]]</f>
        <v>0</v>
      </c>
      <c r="AK106" s="500">
        <v>1768</v>
      </c>
      <c r="AL106" s="500">
        <v>1417</v>
      </c>
      <c r="AM106" s="500">
        <f>IF(VLOOKUP(tblPiNAnalysis5[[#This Row],[Admin 2 P-Code]],tblSeverityAnalysis[[Admin 2 P-Code]:[WASH]],10,FALSE)&gt;=4,VLOOKUP(tblPiNAnalysis5[[#This Row],[Admin 2 P-Code]],tblPiNAnalysis[[Admin 2 P-Code]:[WASH]],10,FALSE),0)</f>
        <v>0</v>
      </c>
      <c r="AN106" s="503">
        <v>0</v>
      </c>
      <c r="AO106" s="500"/>
      <c r="AP106" s="516">
        <v>1156</v>
      </c>
      <c r="AQ106" s="501">
        <v>3812.5</v>
      </c>
      <c r="AR106" s="383">
        <f>MIN(tblPiNAnalysis5[[#This Row],[Final TARGET]],MAX(tblPiNAnalysis5[[#This Row],[CCCM_PRI]:[WASH_PRI]]))</f>
        <v>3812.5</v>
      </c>
      <c r="AS106" s="383">
        <f>IF(VLOOKUP(tblPiNAnalysis5[[#This Row],[Admin 2 P-Code]],tblSeverityAnalysis[[Admin 2 P-Code]:[Final Severity]],43,FALSE)&gt;=4,VLOOKUP(tblPiNAnalysis5[[#This Row],[Admin 2 P-Code]],tblPiNAnalysis[[Admin 2 P-Code]:[WASH]],8,FALSE),0)</f>
        <v>0</v>
      </c>
    </row>
    <row r="107" spans="1:45" ht="16.5" customHeight="1">
      <c r="A10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Global_PopulationHT0743</v>
      </c>
      <c r="B107" s="304" t="s">
        <v>345</v>
      </c>
      <c r="C107" s="213" t="s">
        <v>346</v>
      </c>
      <c r="D107" s="213" t="s">
        <v>375</v>
      </c>
      <c r="E107" s="103" t="s">
        <v>376</v>
      </c>
      <c r="F107" s="99"/>
      <c r="G107" s="34"/>
      <c r="H107" s="34"/>
      <c r="I107" s="96">
        <v>28335</v>
      </c>
      <c r="J107" s="221" t="s">
        <v>156</v>
      </c>
      <c r="K107" s="427">
        <v>70</v>
      </c>
      <c r="L107" s="428">
        <v>2541</v>
      </c>
      <c r="M107" s="428">
        <v>2015</v>
      </c>
      <c r="N107" s="428">
        <v>5140</v>
      </c>
      <c r="O107" s="428">
        <v>0</v>
      </c>
      <c r="P107" s="428"/>
      <c r="Q107" s="428">
        <v>889.80000000000007</v>
      </c>
      <c r="R107" s="428">
        <v>5234</v>
      </c>
      <c r="S107" s="428"/>
      <c r="T107" s="428"/>
      <c r="U107" s="428"/>
      <c r="V107" s="428"/>
      <c r="W107" s="308"/>
      <c r="X107" s="317">
        <f>IFERROR(IF(tblPiNAnalysis5[[#This Row],[CCCM]]="", "", MROUND(tblPiNAnalysis5[[#This Row],[CCCM]]/tblPiNAnalysis5[[#This Row],[PIN]], 0.05)), "")</f>
        <v>0</v>
      </c>
      <c r="Y107" s="318">
        <f>IFERROR(IF(tblPiNAnalysis5[[#This Row],[Education]]="", "", MROUND(tblPiNAnalysis5[[#This Row],[Education]]/tblPiNAnalysis5[[#This Row],[PIN]], 0.05)), "")</f>
        <v>0.1</v>
      </c>
      <c r="Z107" s="318">
        <f>IFERROR(IF(tblPiNAnalysis5[[#This Row],[Nutrition]]="", "", MROUND(tblPiNAnalysis5[[#This Row],[Nutrition]]/tblPiNAnalysis5[[#This Row],[PIN]], 0.05)), "")</f>
        <v>0.1</v>
      </c>
      <c r="AA107" s="318">
        <f>IFERROR(IF(tblPiNAnalysis5[[#This Row],[Food Security]]="", "", MROUND(tblPiNAnalysis5[[#This Row],[Food Security]]/tblPiNAnalysis5[[#This Row],[PIN]], 0.05)), "")</f>
        <v>0.25</v>
      </c>
      <c r="AB107" s="318">
        <f>IFERROR(IF(tblPiNAnalysis5[[#This Row],[Health]]="", "", MROUND(tblPiNAnalysis5[[#This Row],[Health]]/tblPiNAnalysis5[[#This Row],[PIN]], 0.05)), "")</f>
        <v>0</v>
      </c>
      <c r="AC107" s="319" t="str">
        <f>IFERROR(IF(tblPiNAnalysis5[[#This Row],[Protection]]="", "", MROUND(tblPiNAnalysis5[[#This Row],[Protection]]/tblPiNAnalysis5[[#This Row],[PIN]], 0.05)), "")</f>
        <v/>
      </c>
      <c r="AD107" s="319">
        <f>IFERROR(IF(tblPiNAnalysis5[[#This Row],[Shelter]]="", "", MROUND(tblPiNAnalysis5[[#This Row],[Shelter]]/tblPiNAnalysis5[[#This Row],[PIN]], 0.05)), "")</f>
        <v>0.05</v>
      </c>
      <c r="AE107" s="320">
        <f>IFERROR(IF(tblPiNAnalysis5[[#This Row],[WASH]]="", "", MROUND(tblPiNAnalysis5[[#This Row],[WASH]]/tblPiNAnalysis5[[#This Row],[PIN]], 0.05)), "")</f>
        <v>0.25</v>
      </c>
      <c r="AF107" s="488">
        <f>VLOOKUP(tblPiNAnalysis5[[#This Row],[ID]],tblPiNAnalysis[[ID]:[Final PiN]],63,FALSE)</f>
        <v>21298</v>
      </c>
      <c r="AG107" s="488">
        <f>IFERROR(IF(tblPiNAnalysis5[[#This Row],[Final TARGET]]="", "", MROUND(tblPiNAnalysis5[[#This Row],[Final TARGET]]/tblPiNAnalysis5[[#This Row],[PIN]], 0.05)), "")</f>
        <v>0.25</v>
      </c>
      <c r="AH107" s="322">
        <f>IF(MAX(tblPiNAnalysis5[[#This Row],[CCCM]:[WASH]])&lt;tblPiNAnalysis5[[#This Row],[PIN]],MAX(tblPiNAnalysis5[[#This Row],[CCCM]:[WASH]]),tblPiNAnalysis5[[#This Row],[PIN]])</f>
        <v>5234</v>
      </c>
      <c r="AI107" s="326"/>
      <c r="AJ107" s="502">
        <f>tblPiNAnalysis5[[#This Row],[CCCM]]</f>
        <v>70</v>
      </c>
      <c r="AK107" s="500">
        <v>1596</v>
      </c>
      <c r="AL107" s="500">
        <v>1454</v>
      </c>
      <c r="AM107" s="500">
        <f>IF(VLOOKUP(tblPiNAnalysis5[[#This Row],[Admin 2 P-Code]],tblSeverityAnalysis[[Admin 2 P-Code]:[WASH]],10,FALSE)&gt;=4,VLOOKUP(tblPiNAnalysis5[[#This Row],[Admin 2 P-Code]],tblPiNAnalysis[[Admin 2 P-Code]:[WASH]],10,FALSE),0)</f>
        <v>0</v>
      </c>
      <c r="AN107" s="503">
        <v>0</v>
      </c>
      <c r="AO107" s="500"/>
      <c r="AP107" s="516">
        <v>790</v>
      </c>
      <c r="AQ107" s="501">
        <v>2617</v>
      </c>
      <c r="AR107" s="383">
        <f>MIN(tblPiNAnalysis5[[#This Row],[Final TARGET]],MAX(tblPiNAnalysis5[[#This Row],[CCCM_PRI]:[WASH_PRI]]))</f>
        <v>2617</v>
      </c>
      <c r="AS107" s="383">
        <f>IF(VLOOKUP(tblPiNAnalysis5[[#This Row],[Admin 2 P-Code]],tblSeverityAnalysis[[Admin 2 P-Code]:[Final Severity]],43,FALSE)&gt;=4,VLOOKUP(tblPiNAnalysis5[[#This Row],[Admin 2 P-Code]],tblPiNAnalysis[[Admin 2 P-Code]:[WASH]],8,FALSE),0)</f>
        <v>0</v>
      </c>
    </row>
    <row r="108" spans="1:45" ht="16.5" customHeight="1">
      <c r="A10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Global_PopulationHT0751</v>
      </c>
      <c r="B108" s="304" t="s">
        <v>345</v>
      </c>
      <c r="C108" s="213" t="s">
        <v>346</v>
      </c>
      <c r="D108" s="213" t="s">
        <v>377</v>
      </c>
      <c r="E108" s="103" t="s">
        <v>378</v>
      </c>
      <c r="F108" s="99"/>
      <c r="G108" s="34"/>
      <c r="H108" s="34"/>
      <c r="I108" s="96">
        <v>32835</v>
      </c>
      <c r="J108" s="221" t="s">
        <v>156</v>
      </c>
      <c r="K108" s="427">
        <v>0</v>
      </c>
      <c r="L108" s="428">
        <v>2746</v>
      </c>
      <c r="M108" s="428">
        <v>2261</v>
      </c>
      <c r="N108" s="428">
        <v>6956</v>
      </c>
      <c r="O108" s="428">
        <v>0</v>
      </c>
      <c r="P108" s="428"/>
      <c r="Q108" s="428">
        <v>885.15</v>
      </c>
      <c r="R108" s="428">
        <v>5213</v>
      </c>
      <c r="S108" s="428"/>
      <c r="T108" s="428"/>
      <c r="U108" s="428"/>
      <c r="V108" s="428"/>
      <c r="W108" s="308"/>
      <c r="X108" s="317">
        <f>IFERROR(IF(tblPiNAnalysis5[[#This Row],[CCCM]]="", "", MROUND(tblPiNAnalysis5[[#This Row],[CCCM]]/tblPiNAnalysis5[[#This Row],[PIN]], 0.05)), "")</f>
        <v>0</v>
      </c>
      <c r="Y108" s="318">
        <f>IFERROR(IF(tblPiNAnalysis5[[#This Row],[Education]]="", "", MROUND(tblPiNAnalysis5[[#This Row],[Education]]/tblPiNAnalysis5[[#This Row],[PIN]], 0.05)), "")</f>
        <v>0.15000000000000002</v>
      </c>
      <c r="Z108" s="318">
        <f>IFERROR(IF(tblPiNAnalysis5[[#This Row],[Nutrition]]="", "", MROUND(tblPiNAnalysis5[[#This Row],[Nutrition]]/tblPiNAnalysis5[[#This Row],[PIN]], 0.05)), "")</f>
        <v>0.15000000000000002</v>
      </c>
      <c r="AA108" s="318">
        <f>IFERROR(IF(tblPiNAnalysis5[[#This Row],[Food Security]]="", "", MROUND(tblPiNAnalysis5[[#This Row],[Food Security]]/tblPiNAnalysis5[[#This Row],[PIN]], 0.05)), "")</f>
        <v>0.4</v>
      </c>
      <c r="AB108" s="318">
        <f>IFERROR(IF(tblPiNAnalysis5[[#This Row],[Health]]="", "", MROUND(tblPiNAnalysis5[[#This Row],[Health]]/tblPiNAnalysis5[[#This Row],[PIN]], 0.05)), "")</f>
        <v>0</v>
      </c>
      <c r="AC108" s="319" t="str">
        <f>IFERROR(IF(tblPiNAnalysis5[[#This Row],[Protection]]="", "", MROUND(tblPiNAnalysis5[[#This Row],[Protection]]/tblPiNAnalysis5[[#This Row],[PIN]], 0.05)), "")</f>
        <v/>
      </c>
      <c r="AD108" s="319">
        <f>IFERROR(IF(tblPiNAnalysis5[[#This Row],[Shelter]]="", "", MROUND(tblPiNAnalysis5[[#This Row],[Shelter]]/tblPiNAnalysis5[[#This Row],[PIN]], 0.05)), "")</f>
        <v>0.05</v>
      </c>
      <c r="AE108" s="320">
        <f>IFERROR(IF(tblPiNAnalysis5[[#This Row],[WASH]]="", "", MROUND(tblPiNAnalysis5[[#This Row],[WASH]]/tblPiNAnalysis5[[#This Row],[PIN]], 0.05)), "")</f>
        <v>0.30000000000000004</v>
      </c>
      <c r="AF108" s="488">
        <f>VLOOKUP(tblPiNAnalysis5[[#This Row],[ID]],tblPiNAnalysis[[ID]:[Final PiN]],63,FALSE)</f>
        <v>17827</v>
      </c>
      <c r="AG108" s="488">
        <f>IFERROR(IF(tblPiNAnalysis5[[#This Row],[Final TARGET]]="", "", MROUND(tblPiNAnalysis5[[#This Row],[Final TARGET]]/tblPiNAnalysis5[[#This Row],[PIN]], 0.05)), "")</f>
        <v>0.4</v>
      </c>
      <c r="AH108" s="322">
        <f>IF(MAX(tblPiNAnalysis5[[#This Row],[CCCM]:[WASH]])&lt;tblPiNAnalysis5[[#This Row],[PIN]],MAX(tblPiNAnalysis5[[#This Row],[CCCM]:[WASH]]),tblPiNAnalysis5[[#This Row],[PIN]])</f>
        <v>6956</v>
      </c>
      <c r="AI108" s="326"/>
      <c r="AJ108" s="502">
        <f>tblPiNAnalysis5[[#This Row],[CCCM]]</f>
        <v>0</v>
      </c>
      <c r="AK108" s="500">
        <v>1665</v>
      </c>
      <c r="AL108" s="500">
        <v>1630</v>
      </c>
      <c r="AM108" s="500">
        <f>IF(VLOOKUP(tblPiNAnalysis5[[#This Row],[Admin 2 P-Code]],tblSeverityAnalysis[[Admin 2 P-Code]:[WASH]],10,FALSE)&gt;=4,VLOOKUP(tblPiNAnalysis5[[#This Row],[Admin 2 P-Code]],tblPiNAnalysis[[Admin 2 P-Code]:[WASH]],10,FALSE),0)</f>
        <v>0</v>
      </c>
      <c r="AN108" s="503">
        <v>0</v>
      </c>
      <c r="AO108" s="500"/>
      <c r="AP108" s="516">
        <v>785</v>
      </c>
      <c r="AQ108" s="501">
        <v>2606.5</v>
      </c>
      <c r="AR108" s="383">
        <f>MIN(tblPiNAnalysis5[[#This Row],[Final TARGET]],MAX(tblPiNAnalysis5[[#This Row],[CCCM_PRI]:[WASH_PRI]]))</f>
        <v>2606.5</v>
      </c>
      <c r="AS108" s="383">
        <f>IF(VLOOKUP(tblPiNAnalysis5[[#This Row],[Admin 2 P-Code]],tblSeverityAnalysis[[Admin 2 P-Code]:[Final Severity]],43,FALSE)&gt;=4,VLOOKUP(tblPiNAnalysis5[[#This Row],[Admin 2 P-Code]],tblPiNAnalysis[[Admin 2 P-Code]:[WASH]],8,FALSE),0)</f>
        <v>0</v>
      </c>
    </row>
    <row r="109" spans="1:45" ht="16.5" customHeight="1">
      <c r="A10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Global_PopulationHT0752</v>
      </c>
      <c r="B109" s="304" t="s">
        <v>345</v>
      </c>
      <c r="C109" s="213" t="s">
        <v>346</v>
      </c>
      <c r="D109" s="213" t="s">
        <v>379</v>
      </c>
      <c r="E109" s="103" t="s">
        <v>380</v>
      </c>
      <c r="F109" s="99"/>
      <c r="G109" s="34"/>
      <c r="H109" s="34"/>
      <c r="I109" s="96">
        <v>39577</v>
      </c>
      <c r="J109" s="221" t="s">
        <v>156</v>
      </c>
      <c r="K109" s="427">
        <v>0</v>
      </c>
      <c r="L109" s="428">
        <v>3651</v>
      </c>
      <c r="M109" s="428">
        <v>3003</v>
      </c>
      <c r="N109" s="428">
        <v>8352</v>
      </c>
      <c r="O109" s="428">
        <v>0</v>
      </c>
      <c r="P109" s="428"/>
      <c r="Q109" s="428">
        <v>19</v>
      </c>
      <c r="R109" s="428">
        <v>10550</v>
      </c>
      <c r="S109" s="428"/>
      <c r="T109" s="428"/>
      <c r="U109" s="428"/>
      <c r="V109" s="428"/>
      <c r="W109" s="308"/>
      <c r="X109" s="317">
        <f>IFERROR(IF(tblPiNAnalysis5[[#This Row],[CCCM]]="", "", MROUND(tblPiNAnalysis5[[#This Row],[CCCM]]/tblPiNAnalysis5[[#This Row],[PIN]], 0.05)), "")</f>
        <v>0</v>
      </c>
      <c r="Y109" s="318">
        <f>IFERROR(IF(tblPiNAnalysis5[[#This Row],[Education]]="", "", MROUND(tblPiNAnalysis5[[#This Row],[Education]]/tblPiNAnalysis5[[#This Row],[PIN]], 0.05)), "")</f>
        <v>0.15000000000000002</v>
      </c>
      <c r="Z109" s="318">
        <f>IFERROR(IF(tblPiNAnalysis5[[#This Row],[Nutrition]]="", "", MROUND(tblPiNAnalysis5[[#This Row],[Nutrition]]/tblPiNAnalysis5[[#This Row],[PIN]], 0.05)), "")</f>
        <v>0.15000000000000002</v>
      </c>
      <c r="AA109" s="318">
        <f>IFERROR(IF(tblPiNAnalysis5[[#This Row],[Food Security]]="", "", MROUND(tblPiNAnalysis5[[#This Row],[Food Security]]/tblPiNAnalysis5[[#This Row],[PIN]], 0.05)), "")</f>
        <v>0.4</v>
      </c>
      <c r="AB109" s="318">
        <f>IFERROR(IF(tblPiNAnalysis5[[#This Row],[Health]]="", "", MROUND(tblPiNAnalysis5[[#This Row],[Health]]/tblPiNAnalysis5[[#This Row],[PIN]], 0.05)), "")</f>
        <v>0</v>
      </c>
      <c r="AC109" s="319" t="str">
        <f>IFERROR(IF(tblPiNAnalysis5[[#This Row],[Protection]]="", "", MROUND(tblPiNAnalysis5[[#This Row],[Protection]]/tblPiNAnalysis5[[#This Row],[PIN]], 0.05)), "")</f>
        <v/>
      </c>
      <c r="AD109" s="319">
        <f>IFERROR(IF(tblPiNAnalysis5[[#This Row],[Shelter]]="", "", MROUND(tblPiNAnalysis5[[#This Row],[Shelter]]/tblPiNAnalysis5[[#This Row],[PIN]], 0.05)), "")</f>
        <v>0</v>
      </c>
      <c r="AE109" s="320">
        <f>IFERROR(IF(tblPiNAnalysis5[[#This Row],[WASH]]="", "", MROUND(tblPiNAnalysis5[[#This Row],[WASH]]/tblPiNAnalysis5[[#This Row],[PIN]], 0.05)), "")</f>
        <v>0.5</v>
      </c>
      <c r="AF109" s="488">
        <f>VLOOKUP(tblPiNAnalysis5[[#This Row],[ID]],tblPiNAnalysis[[ID]:[Final PiN]],63,FALSE)</f>
        <v>21874</v>
      </c>
      <c r="AG109" s="488">
        <f>IFERROR(IF(tblPiNAnalysis5[[#This Row],[Final TARGET]]="", "", MROUND(tblPiNAnalysis5[[#This Row],[Final TARGET]]/tblPiNAnalysis5[[#This Row],[PIN]], 0.05)), "")</f>
        <v>0.5</v>
      </c>
      <c r="AH109" s="322">
        <f>IF(MAX(tblPiNAnalysis5[[#This Row],[CCCM]:[WASH]])&lt;tblPiNAnalysis5[[#This Row],[PIN]],MAX(tblPiNAnalysis5[[#This Row],[CCCM]:[WASH]]),tblPiNAnalysis5[[#This Row],[PIN]])</f>
        <v>10550</v>
      </c>
      <c r="AI109" s="326"/>
      <c r="AJ109" s="502">
        <f>tblPiNAnalysis5[[#This Row],[CCCM]]</f>
        <v>0</v>
      </c>
      <c r="AK109" s="500">
        <v>2599</v>
      </c>
      <c r="AL109" s="500">
        <v>2166</v>
      </c>
      <c r="AM109" s="500">
        <f>IF(VLOOKUP(tblPiNAnalysis5[[#This Row],[Admin 2 P-Code]],tblSeverityAnalysis[[Admin 2 P-Code]:[WASH]],10,FALSE)&gt;=4,VLOOKUP(tblPiNAnalysis5[[#This Row],[Admin 2 P-Code]],tblPiNAnalysis[[Admin 2 P-Code]:[WASH]],10,FALSE),0)</f>
        <v>0</v>
      </c>
      <c r="AN109" s="503">
        <v>0</v>
      </c>
      <c r="AO109" s="500"/>
      <c r="AP109" s="516">
        <v>19</v>
      </c>
      <c r="AQ109" s="501">
        <v>5275</v>
      </c>
      <c r="AR109" s="383">
        <f>MIN(tblPiNAnalysis5[[#This Row],[Final TARGET]],MAX(tblPiNAnalysis5[[#This Row],[CCCM_PRI]:[WASH_PRI]]))</f>
        <v>5275</v>
      </c>
      <c r="AS109" s="383">
        <f>IF(VLOOKUP(tblPiNAnalysis5[[#This Row],[Admin 2 P-Code]],tblSeverityAnalysis[[Admin 2 P-Code]:[Final Severity]],43,FALSE)&gt;=4,VLOOKUP(tblPiNAnalysis5[[#This Row],[Admin 2 P-Code]],tblPiNAnalysis[[Admin 2 P-Code]:[WASH]],8,FALSE),0)</f>
        <v>0</v>
      </c>
    </row>
    <row r="110" spans="1:45" ht="16.5" customHeight="1">
      <c r="A11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Global_PopulationHT0753</v>
      </c>
      <c r="B110" s="304" t="s">
        <v>345</v>
      </c>
      <c r="C110" s="213" t="s">
        <v>346</v>
      </c>
      <c r="D110" s="213" t="s">
        <v>381</v>
      </c>
      <c r="E110" s="103" t="s">
        <v>382</v>
      </c>
      <c r="F110" s="99"/>
      <c r="G110" s="34"/>
      <c r="H110" s="34"/>
      <c r="I110" s="96">
        <v>28474</v>
      </c>
      <c r="J110" s="221" t="s">
        <v>156</v>
      </c>
      <c r="K110" s="427">
        <v>0</v>
      </c>
      <c r="L110" s="428">
        <v>2838</v>
      </c>
      <c r="M110" s="428">
        <v>1912</v>
      </c>
      <c r="N110" s="428">
        <v>6505</v>
      </c>
      <c r="O110" s="428">
        <v>0</v>
      </c>
      <c r="P110" s="428"/>
      <c r="Q110" s="428">
        <v>674.2</v>
      </c>
      <c r="R110" s="428">
        <v>3828</v>
      </c>
      <c r="S110" s="428"/>
      <c r="T110" s="428"/>
      <c r="U110" s="428"/>
      <c r="V110" s="428"/>
      <c r="W110" s="308"/>
      <c r="X110" s="317">
        <f>IFERROR(IF(tblPiNAnalysis5[[#This Row],[CCCM]]="", "", MROUND(tblPiNAnalysis5[[#This Row],[CCCM]]/tblPiNAnalysis5[[#This Row],[PIN]], 0.05)), "")</f>
        <v>0</v>
      </c>
      <c r="Y110" s="318">
        <f>IFERROR(IF(tblPiNAnalysis5[[#This Row],[Education]]="", "", MROUND(tblPiNAnalysis5[[#This Row],[Education]]/tblPiNAnalysis5[[#This Row],[PIN]], 0.05)), "")</f>
        <v>0.15000000000000002</v>
      </c>
      <c r="Z110" s="318">
        <f>IFERROR(IF(tblPiNAnalysis5[[#This Row],[Nutrition]]="", "", MROUND(tblPiNAnalysis5[[#This Row],[Nutrition]]/tblPiNAnalysis5[[#This Row],[PIN]], 0.05)), "")</f>
        <v>0.1</v>
      </c>
      <c r="AA110" s="318">
        <f>IFERROR(IF(tblPiNAnalysis5[[#This Row],[Food Security]]="", "", MROUND(tblPiNAnalysis5[[#This Row],[Food Security]]/tblPiNAnalysis5[[#This Row],[PIN]], 0.05)), "")</f>
        <v>0.30000000000000004</v>
      </c>
      <c r="AB110" s="318">
        <f>IFERROR(IF(tblPiNAnalysis5[[#This Row],[Health]]="", "", MROUND(tblPiNAnalysis5[[#This Row],[Health]]/tblPiNAnalysis5[[#This Row],[PIN]], 0.05)), "")</f>
        <v>0</v>
      </c>
      <c r="AC110" s="319" t="str">
        <f>IFERROR(IF(tblPiNAnalysis5[[#This Row],[Protection]]="", "", MROUND(tblPiNAnalysis5[[#This Row],[Protection]]/tblPiNAnalysis5[[#This Row],[PIN]], 0.05)), "")</f>
        <v/>
      </c>
      <c r="AD110" s="319">
        <f>IFERROR(IF(tblPiNAnalysis5[[#This Row],[Shelter]]="", "", MROUND(tblPiNAnalysis5[[#This Row],[Shelter]]/tblPiNAnalysis5[[#This Row],[PIN]], 0.05)), "")</f>
        <v>0.05</v>
      </c>
      <c r="AE110" s="320">
        <f>IFERROR(IF(tblPiNAnalysis5[[#This Row],[WASH]]="", "", MROUND(tblPiNAnalysis5[[#This Row],[WASH]]/tblPiNAnalysis5[[#This Row],[PIN]], 0.05)), "")</f>
        <v>0.2</v>
      </c>
      <c r="AF110" s="488">
        <f>VLOOKUP(tblPiNAnalysis5[[#This Row],[ID]],tblPiNAnalysis[[ID]:[Final PiN]],63,FALSE)</f>
        <v>21356</v>
      </c>
      <c r="AG110" s="488">
        <f>IFERROR(IF(tblPiNAnalysis5[[#This Row],[Final TARGET]]="", "", MROUND(tblPiNAnalysis5[[#This Row],[Final TARGET]]/tblPiNAnalysis5[[#This Row],[PIN]], 0.05)), "")</f>
        <v>0.30000000000000004</v>
      </c>
      <c r="AH110" s="322">
        <f>IF(MAX(tblPiNAnalysis5[[#This Row],[CCCM]:[WASH]])&lt;tblPiNAnalysis5[[#This Row],[PIN]],MAX(tblPiNAnalysis5[[#This Row],[CCCM]:[WASH]]),tblPiNAnalysis5[[#This Row],[PIN]])</f>
        <v>6505</v>
      </c>
      <c r="AI110" s="326"/>
      <c r="AJ110" s="502">
        <f>tblPiNAnalysis5[[#This Row],[CCCM]]</f>
        <v>0</v>
      </c>
      <c r="AK110" s="500">
        <v>2292</v>
      </c>
      <c r="AL110" s="500">
        <v>1378</v>
      </c>
      <c r="AM110" s="500">
        <f>IF(VLOOKUP(tblPiNAnalysis5[[#This Row],[Admin 2 P-Code]],tblSeverityAnalysis[[Admin 2 P-Code]:[WASH]],10,FALSE)&gt;=4,VLOOKUP(tblPiNAnalysis5[[#This Row],[Admin 2 P-Code]],tblPiNAnalysis[[Admin 2 P-Code]:[WASH]],10,FALSE),0)</f>
        <v>0</v>
      </c>
      <c r="AN110" s="503">
        <v>0</v>
      </c>
      <c r="AO110" s="500"/>
      <c r="AP110" s="516">
        <v>574</v>
      </c>
      <c r="AQ110" s="501">
        <v>1914</v>
      </c>
      <c r="AR110" s="383">
        <f>MIN(tblPiNAnalysis5[[#This Row],[Final TARGET]],MAX(tblPiNAnalysis5[[#This Row],[CCCM_PRI]:[WASH_PRI]]))</f>
        <v>2292</v>
      </c>
      <c r="AS110" s="383">
        <f>IF(VLOOKUP(tblPiNAnalysis5[[#This Row],[Admin 2 P-Code]],tblSeverityAnalysis[[Admin 2 P-Code]:[Final Severity]],43,FALSE)&gt;=4,VLOOKUP(tblPiNAnalysis5[[#This Row],[Admin 2 P-Code]],tblPiNAnalysis[[Admin 2 P-Code]:[WASH]],8,FALSE),0)</f>
        <v>0</v>
      </c>
    </row>
    <row r="111" spans="1:45" ht="16.5" customHeight="1">
      <c r="A11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Global_PopulationHT0811</v>
      </c>
      <c r="B111" s="304" t="s">
        <v>383</v>
      </c>
      <c r="C111" s="213" t="s">
        <v>384</v>
      </c>
      <c r="D111" s="213" t="s">
        <v>385</v>
      </c>
      <c r="E111" s="103" t="s">
        <v>386</v>
      </c>
      <c r="F111" s="99"/>
      <c r="G111" s="34"/>
      <c r="H111" s="34"/>
      <c r="I111" s="96">
        <v>155299</v>
      </c>
      <c r="J111" s="221" t="s">
        <v>156</v>
      </c>
      <c r="K111" s="427">
        <v>0</v>
      </c>
      <c r="L111" s="428">
        <v>8887</v>
      </c>
      <c r="M111" s="428">
        <v>10920</v>
      </c>
      <c r="N111" s="428">
        <v>36452</v>
      </c>
      <c r="O111" s="428">
        <v>0</v>
      </c>
      <c r="P111" s="428"/>
      <c r="Q111" s="428">
        <v>4681.6499999999996</v>
      </c>
      <c r="R111" s="428">
        <v>26251</v>
      </c>
      <c r="S111" s="428"/>
      <c r="T111" s="428"/>
      <c r="U111" s="428"/>
      <c r="V111" s="428"/>
      <c r="W111" s="308"/>
      <c r="X111" s="317">
        <f>IFERROR(IF(tblPiNAnalysis5[[#This Row],[CCCM]]="", "", MROUND(tblPiNAnalysis5[[#This Row],[CCCM]]/tblPiNAnalysis5[[#This Row],[PIN]], 0.05)), "")</f>
        <v>0</v>
      </c>
      <c r="Y111" s="318">
        <f>IFERROR(IF(tblPiNAnalysis5[[#This Row],[Education]]="", "", MROUND(tblPiNAnalysis5[[#This Row],[Education]]/tblPiNAnalysis5[[#This Row],[PIN]], 0.05)), "")</f>
        <v>0.1</v>
      </c>
      <c r="Z111" s="318">
        <f>IFERROR(IF(tblPiNAnalysis5[[#This Row],[Nutrition]]="", "", MROUND(tblPiNAnalysis5[[#This Row],[Nutrition]]/tblPiNAnalysis5[[#This Row],[PIN]], 0.05)), "")</f>
        <v>0.1</v>
      </c>
      <c r="AA111" s="318">
        <f>IFERROR(IF(tblPiNAnalysis5[[#This Row],[Food Security]]="", "", MROUND(tblPiNAnalysis5[[#This Row],[Food Security]]/tblPiNAnalysis5[[#This Row],[PIN]], 0.05)), "")</f>
        <v>0.4</v>
      </c>
      <c r="AB111" s="318">
        <f>IFERROR(IF(tblPiNAnalysis5[[#This Row],[Health]]="", "", MROUND(tblPiNAnalysis5[[#This Row],[Health]]/tblPiNAnalysis5[[#This Row],[PIN]], 0.05)), "")</f>
        <v>0</v>
      </c>
      <c r="AC111" s="319" t="str">
        <f>IFERROR(IF(tblPiNAnalysis5[[#This Row],[Protection]]="", "", MROUND(tblPiNAnalysis5[[#This Row],[Protection]]/tblPiNAnalysis5[[#This Row],[PIN]], 0.05)), "")</f>
        <v/>
      </c>
      <c r="AD111" s="319">
        <f>IFERROR(IF(tblPiNAnalysis5[[#This Row],[Shelter]]="", "", MROUND(tblPiNAnalysis5[[#This Row],[Shelter]]/tblPiNAnalysis5[[#This Row],[PIN]], 0.05)), "")</f>
        <v>0.05</v>
      </c>
      <c r="AE111" s="320">
        <f>IFERROR(IF(tblPiNAnalysis5[[#This Row],[WASH]]="", "", MROUND(tblPiNAnalysis5[[#This Row],[WASH]]/tblPiNAnalysis5[[#This Row],[PIN]], 0.05)), "")</f>
        <v>0.30000000000000004</v>
      </c>
      <c r="AF111" s="488">
        <f>VLOOKUP(tblPiNAnalysis5[[#This Row],[ID]],tblPiNAnalysis[[ID]:[Final PiN]],63,FALSE)</f>
        <v>91325</v>
      </c>
      <c r="AG111" s="488">
        <f>IFERROR(IF(tblPiNAnalysis5[[#This Row],[Final TARGET]]="", "", MROUND(tblPiNAnalysis5[[#This Row],[Final TARGET]]/tblPiNAnalysis5[[#This Row],[PIN]], 0.05)), "")</f>
        <v>0.4</v>
      </c>
      <c r="AH111" s="322">
        <f>IF(MAX(tblPiNAnalysis5[[#This Row],[CCCM]:[WASH]])&lt;tblPiNAnalysis5[[#This Row],[PIN]],MAX(tblPiNAnalysis5[[#This Row],[CCCM]:[WASH]]),tblPiNAnalysis5[[#This Row],[PIN]])</f>
        <v>36452</v>
      </c>
      <c r="AI111" s="326"/>
      <c r="AJ111" s="502">
        <f>tblPiNAnalysis5[[#This Row],[CCCM]]</f>
        <v>0</v>
      </c>
      <c r="AK111" s="500">
        <v>5566</v>
      </c>
      <c r="AL111" s="500">
        <v>7863</v>
      </c>
      <c r="AM111" s="500">
        <f>IF(VLOOKUP(tblPiNAnalysis5[[#This Row],[Admin 2 P-Code]],tblSeverityAnalysis[[Admin 2 P-Code]:[WASH]],10,FALSE)&gt;=4,VLOOKUP(tblPiNAnalysis5[[#This Row],[Admin 2 P-Code]],tblPiNAnalysis[[Admin 2 P-Code]:[WASH]],10,FALSE),0)</f>
        <v>0</v>
      </c>
      <c r="AN111" s="503">
        <v>0</v>
      </c>
      <c r="AO111" s="500"/>
      <c r="AP111" s="516">
        <v>4582</v>
      </c>
      <c r="AQ111" s="501">
        <v>13125.5</v>
      </c>
      <c r="AR111" s="383">
        <f>MIN(tblPiNAnalysis5[[#This Row],[Final TARGET]],MAX(tblPiNAnalysis5[[#This Row],[CCCM_PRI]:[WASH_PRI]]))</f>
        <v>13125.5</v>
      </c>
      <c r="AS111" s="383">
        <f>IF(VLOOKUP(tblPiNAnalysis5[[#This Row],[Admin 2 P-Code]],tblSeverityAnalysis[[Admin 2 P-Code]:[Final Severity]],43,FALSE)&gt;=4,VLOOKUP(tblPiNAnalysis5[[#This Row],[Admin 2 P-Code]],tblPiNAnalysis[[Admin 2 P-Code]:[WASH]],8,FALSE),0)</f>
        <v>0</v>
      </c>
    </row>
    <row r="112" spans="1:45" ht="16.5" customHeight="1">
      <c r="A112" s="227"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Global_PopulationHT0812</v>
      </c>
      <c r="B112" s="255" t="s">
        <v>383</v>
      </c>
      <c r="C112" s="213" t="s">
        <v>384</v>
      </c>
      <c r="D112" s="256" t="s">
        <v>387</v>
      </c>
      <c r="E112" s="256" t="s">
        <v>388</v>
      </c>
      <c r="F112" s="99"/>
      <c r="G112" s="34"/>
      <c r="H112" s="34"/>
      <c r="I112" s="96">
        <v>47470</v>
      </c>
      <c r="J112" s="221" t="s">
        <v>156</v>
      </c>
      <c r="K112" s="429">
        <v>0</v>
      </c>
      <c r="L112" s="430">
        <v>3553</v>
      </c>
      <c r="M112" s="430">
        <v>3683</v>
      </c>
      <c r="N112" s="430">
        <v>10136</v>
      </c>
      <c r="O112" s="428">
        <v>0</v>
      </c>
      <c r="P112" s="430"/>
      <c r="Q112" s="428">
        <v>2813.3999999999996</v>
      </c>
      <c r="R112" s="428">
        <v>17900</v>
      </c>
      <c r="S112" s="430"/>
      <c r="T112" s="430"/>
      <c r="U112" s="430"/>
      <c r="V112" s="428"/>
      <c r="W112" s="214"/>
      <c r="X112" s="258">
        <f>IFERROR(IF(tblPiNAnalysis5[[#This Row],[CCCM]]="", "", MROUND(tblPiNAnalysis5[[#This Row],[CCCM]]/tblPiNAnalysis5[[#This Row],[PIN]], 0.05)), "")</f>
        <v>0</v>
      </c>
      <c r="Y112" s="259">
        <f>IFERROR(IF(tblPiNAnalysis5[[#This Row],[Education]]="", "", MROUND(tblPiNAnalysis5[[#This Row],[Education]]/tblPiNAnalysis5[[#This Row],[PIN]], 0.05)), "")</f>
        <v>0.1</v>
      </c>
      <c r="Z112" s="259">
        <f>IFERROR(IF(tblPiNAnalysis5[[#This Row],[Nutrition]]="", "", MROUND(tblPiNAnalysis5[[#This Row],[Nutrition]]/tblPiNAnalysis5[[#This Row],[PIN]], 0.05)), "")</f>
        <v>0.1</v>
      </c>
      <c r="AA112" s="259">
        <f>IFERROR(IF(tblPiNAnalysis5[[#This Row],[Food Security]]="", "", MROUND(tblPiNAnalysis5[[#This Row],[Food Security]]/tblPiNAnalysis5[[#This Row],[PIN]], 0.05)), "")</f>
        <v>0.30000000000000004</v>
      </c>
      <c r="AB112" s="259">
        <f>IFERROR(IF(tblPiNAnalysis5[[#This Row],[Health]]="", "", MROUND(tblPiNAnalysis5[[#This Row],[Health]]/tblPiNAnalysis5[[#This Row],[PIN]], 0.05)), "")</f>
        <v>0</v>
      </c>
      <c r="AC112" s="260" t="str">
        <f>IFERROR(IF(tblPiNAnalysis5[[#This Row],[Protection]]="", "", MROUND(tblPiNAnalysis5[[#This Row],[Protection]]/tblPiNAnalysis5[[#This Row],[PIN]], 0.05)), "")</f>
        <v/>
      </c>
      <c r="AD112" s="260">
        <f>IFERROR(IF(tblPiNAnalysis5[[#This Row],[Shelter]]="", "", MROUND(tblPiNAnalysis5[[#This Row],[Shelter]]/tblPiNAnalysis5[[#This Row],[PIN]], 0.05)), "")</f>
        <v>0.1</v>
      </c>
      <c r="AE112" s="261">
        <f>IFERROR(IF(tblPiNAnalysis5[[#This Row],[WASH]]="", "", MROUND(tblPiNAnalysis5[[#This Row],[WASH]]/tblPiNAnalysis5[[#This Row],[PIN]], 0.05)), "")</f>
        <v>0.5</v>
      </c>
      <c r="AF112" s="489">
        <f>VLOOKUP(tblPiNAnalysis5[[#This Row],[ID]],tblPiNAnalysis[[ID]:[Final PiN]],63,FALSE)</f>
        <v>34290</v>
      </c>
      <c r="AG112" s="489">
        <f>IFERROR(IF(tblPiNAnalysis5[[#This Row],[Final TARGET]]="", "", MROUND(tblPiNAnalysis5[[#This Row],[Final TARGET]]/tblPiNAnalysis5[[#This Row],[PIN]], 0.05)), "")</f>
        <v>0.5</v>
      </c>
      <c r="AH112" s="263">
        <f>IF(MAX(tblPiNAnalysis5[[#This Row],[CCCM]:[WASH]])&lt;tblPiNAnalysis5[[#This Row],[PIN]],MAX(tblPiNAnalysis5[[#This Row],[CCCM]:[WASH]]),tblPiNAnalysis5[[#This Row],[PIN]])</f>
        <v>17900</v>
      </c>
      <c r="AI112" s="268"/>
      <c r="AJ112" s="502">
        <f>tblPiNAnalysis5[[#This Row],[CCCM]]</f>
        <v>0</v>
      </c>
      <c r="AK112" s="500">
        <v>2690</v>
      </c>
      <c r="AL112" s="500">
        <v>2630</v>
      </c>
      <c r="AM112" s="500">
        <f>IF(VLOOKUP(tblPiNAnalysis5[[#This Row],[Admin 2 P-Code]],tblSeverityAnalysis[[Admin 2 P-Code]:[WASH]],10,FALSE)&gt;=4,VLOOKUP(tblPiNAnalysis5[[#This Row],[Admin 2 P-Code]],tblPiNAnalysis[[Admin 2 P-Code]:[WASH]],10,FALSE),0)</f>
        <v>0</v>
      </c>
      <c r="AN112" s="503">
        <v>0</v>
      </c>
      <c r="AO112" s="500"/>
      <c r="AP112" s="516">
        <v>2713</v>
      </c>
      <c r="AQ112" s="501">
        <v>8950</v>
      </c>
      <c r="AR112" s="383">
        <f>MIN(tblPiNAnalysis5[[#This Row],[Final TARGET]],MAX(tblPiNAnalysis5[[#This Row],[CCCM_PRI]:[WASH_PRI]]))</f>
        <v>8950</v>
      </c>
      <c r="AS112" s="383">
        <f>IF(VLOOKUP(tblPiNAnalysis5[[#This Row],[Admin 2 P-Code]],tblSeverityAnalysis[[Admin 2 P-Code]:[Final Severity]],43,FALSE)&gt;=4,VLOOKUP(tblPiNAnalysis5[[#This Row],[Admin 2 P-Code]],tblPiNAnalysis[[Admin 2 P-Code]:[WASH]],8,FALSE),0)</f>
        <v>0</v>
      </c>
    </row>
    <row r="113" spans="1:45" ht="16.5" customHeight="1">
      <c r="A11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Global_PopulationHT0813</v>
      </c>
      <c r="B113" s="304" t="s">
        <v>383</v>
      </c>
      <c r="C113" s="213" t="s">
        <v>384</v>
      </c>
      <c r="D113" s="213" t="s">
        <v>389</v>
      </c>
      <c r="E113" s="103" t="s">
        <v>390</v>
      </c>
      <c r="F113" s="99"/>
      <c r="G113" s="34"/>
      <c r="H113" s="34"/>
      <c r="I113" s="96">
        <v>10653</v>
      </c>
      <c r="J113" s="221" t="s">
        <v>156</v>
      </c>
      <c r="K113" s="427">
        <v>0</v>
      </c>
      <c r="L113" s="428">
        <v>712</v>
      </c>
      <c r="M113" s="428">
        <v>813</v>
      </c>
      <c r="N113" s="428">
        <v>2316</v>
      </c>
      <c r="O113" s="428">
        <v>0</v>
      </c>
      <c r="P113" s="428"/>
      <c r="Q113" s="428">
        <v>7.9</v>
      </c>
      <c r="R113" s="428">
        <v>3240</v>
      </c>
      <c r="S113" s="428"/>
      <c r="T113" s="428"/>
      <c r="U113" s="428"/>
      <c r="V113" s="428"/>
      <c r="W113" s="308"/>
      <c r="X113" s="317" t="str">
        <f>IFERROR(IF(tblPiNAnalysis5[[#This Row],[CCCM]]="", "", MROUND(tblPiNAnalysis5[[#This Row],[CCCM]]/tblPiNAnalysis5[[#This Row],[PIN]], 0.05)), "")</f>
        <v/>
      </c>
      <c r="Y113" s="318" t="str">
        <f>IFERROR(IF(tblPiNAnalysis5[[#This Row],[Education]]="", "", MROUND(tblPiNAnalysis5[[#This Row],[Education]]/tblPiNAnalysis5[[#This Row],[PIN]], 0.05)), "")</f>
        <v/>
      </c>
      <c r="Z113" s="318" t="str">
        <f>IFERROR(IF(tblPiNAnalysis5[[#This Row],[Nutrition]]="", "", MROUND(tblPiNAnalysis5[[#This Row],[Nutrition]]/tblPiNAnalysis5[[#This Row],[PIN]], 0.05)), "")</f>
        <v/>
      </c>
      <c r="AA113" s="318" t="str">
        <f>IFERROR(IF(tblPiNAnalysis5[[#This Row],[Food Security]]="", "", MROUND(tblPiNAnalysis5[[#This Row],[Food Security]]/tblPiNAnalysis5[[#This Row],[PIN]], 0.05)), "")</f>
        <v/>
      </c>
      <c r="AB113" s="318" t="str">
        <f>IFERROR(IF(tblPiNAnalysis5[[#This Row],[Health]]="", "", MROUND(tblPiNAnalysis5[[#This Row],[Health]]/tblPiNAnalysis5[[#This Row],[PIN]], 0.05)), "")</f>
        <v/>
      </c>
      <c r="AC113" s="319" t="str">
        <f>IFERROR(IF(tblPiNAnalysis5[[#This Row],[Protection]]="", "", MROUND(tblPiNAnalysis5[[#This Row],[Protection]]/tblPiNAnalysis5[[#This Row],[PIN]], 0.05)), "")</f>
        <v/>
      </c>
      <c r="AD113" s="319" t="str">
        <f>IFERROR(IF(tblPiNAnalysis5[[#This Row],[Shelter]]="", "", MROUND(tblPiNAnalysis5[[#This Row],[Shelter]]/tblPiNAnalysis5[[#This Row],[PIN]], 0.05)), "")</f>
        <v/>
      </c>
      <c r="AE113" s="320" t="str">
        <f>IFERROR(IF(tblPiNAnalysis5[[#This Row],[WASH]]="", "", MROUND(tblPiNAnalysis5[[#This Row],[WASH]]/tblPiNAnalysis5[[#This Row],[PIN]], 0.05)), "")</f>
        <v/>
      </c>
      <c r="AF113" s="488">
        <f>VLOOKUP(tblPiNAnalysis5[[#This Row],[ID]],tblPiNAnalysis[[ID]:[Final PiN]],63,FALSE)</f>
        <v>0</v>
      </c>
      <c r="AG113" s="488" t="str">
        <f>IFERROR(IF(tblPiNAnalysis5[[#This Row],[Final TARGET]]="", "", MROUND(tblPiNAnalysis5[[#This Row],[Final TARGET]]/tblPiNAnalysis5[[#This Row],[PIN]], 0.05)), "")</f>
        <v/>
      </c>
      <c r="AH113" s="322">
        <f>IF(MAX(tblPiNAnalysis5[[#This Row],[CCCM]:[WASH]])&lt;tblPiNAnalysis5[[#This Row],[PIN]],MAX(tblPiNAnalysis5[[#This Row],[CCCM]:[WASH]]),tblPiNAnalysis5[[#This Row],[PIN]])</f>
        <v>0</v>
      </c>
      <c r="AI113" s="326"/>
      <c r="AJ113" s="502">
        <f>tblPiNAnalysis5[[#This Row],[CCCM]]</f>
        <v>0</v>
      </c>
      <c r="AK113" s="500">
        <v>509</v>
      </c>
      <c r="AL113" s="500">
        <v>584</v>
      </c>
      <c r="AM113" s="500">
        <f>IF(VLOOKUP(tblPiNAnalysis5[[#This Row],[Admin 2 P-Code]],tblSeverityAnalysis[[Admin 2 P-Code]:[WASH]],10,FALSE)&gt;=4,VLOOKUP(tblPiNAnalysis5[[#This Row],[Admin 2 P-Code]],tblPiNAnalysis[[Admin 2 P-Code]:[WASH]],10,FALSE),0)</f>
        <v>0</v>
      </c>
      <c r="AN113" s="503">
        <v>0</v>
      </c>
      <c r="AO113" s="500"/>
      <c r="AP113" s="516">
        <v>8</v>
      </c>
      <c r="AQ113" s="501">
        <v>1620</v>
      </c>
      <c r="AR113" s="383">
        <f>MIN(tblPiNAnalysis5[[#This Row],[Final TARGET]],MAX(tblPiNAnalysis5[[#This Row],[CCCM_PRI]:[WASH_PRI]]))</f>
        <v>0</v>
      </c>
      <c r="AS113" s="383">
        <f>IF(VLOOKUP(tblPiNAnalysis5[[#This Row],[Admin 2 P-Code]],tblSeverityAnalysis[[Admin 2 P-Code]:[Final Severity]],43,FALSE)&gt;=4,VLOOKUP(tblPiNAnalysis5[[#This Row],[Admin 2 P-Code]],tblPiNAnalysis[[Admin 2 P-Code]:[WASH]],8,FALSE),0)</f>
        <v>0</v>
      </c>
    </row>
    <row r="114" spans="1:45" ht="16.5" customHeight="1">
      <c r="A11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Global_PopulationHT0814</v>
      </c>
      <c r="B114" s="304" t="s">
        <v>383</v>
      </c>
      <c r="C114" s="213" t="s">
        <v>384</v>
      </c>
      <c r="D114" s="213" t="s">
        <v>391</v>
      </c>
      <c r="E114" s="103" t="s">
        <v>392</v>
      </c>
      <c r="F114" s="99"/>
      <c r="G114" s="34"/>
      <c r="H114" s="34"/>
      <c r="I114" s="96">
        <v>36686</v>
      </c>
      <c r="J114" s="221" t="s">
        <v>156</v>
      </c>
      <c r="K114" s="427">
        <v>0</v>
      </c>
      <c r="L114" s="428">
        <v>2261</v>
      </c>
      <c r="M114" s="428">
        <v>2453</v>
      </c>
      <c r="N114" s="428">
        <v>8551</v>
      </c>
      <c r="O114" s="428">
        <v>3903.125</v>
      </c>
      <c r="P114" s="428"/>
      <c r="Q114" s="428">
        <v>1036.75</v>
      </c>
      <c r="R114" s="428">
        <v>6245</v>
      </c>
      <c r="S114" s="428"/>
      <c r="T114" s="428"/>
      <c r="U114" s="428"/>
      <c r="V114" s="428"/>
      <c r="W114" s="308"/>
      <c r="X114" s="317">
        <f>IFERROR(IF(tblPiNAnalysis5[[#This Row],[CCCM]]="", "", MROUND(tblPiNAnalysis5[[#This Row],[CCCM]]/tblPiNAnalysis5[[#This Row],[PIN]], 0.05)), "")</f>
        <v>0</v>
      </c>
      <c r="Y114" s="318">
        <f>IFERROR(IF(tblPiNAnalysis5[[#This Row],[Education]]="", "", MROUND(tblPiNAnalysis5[[#This Row],[Education]]/tblPiNAnalysis5[[#This Row],[PIN]], 0.05)), "")</f>
        <v>0.1</v>
      </c>
      <c r="Z114" s="318">
        <f>IFERROR(IF(tblPiNAnalysis5[[#This Row],[Nutrition]]="", "", MROUND(tblPiNAnalysis5[[#This Row],[Nutrition]]/tblPiNAnalysis5[[#This Row],[PIN]], 0.05)), "")</f>
        <v>0.1</v>
      </c>
      <c r="AA114" s="318">
        <f>IFERROR(IF(tblPiNAnalysis5[[#This Row],[Food Security]]="", "", MROUND(tblPiNAnalysis5[[#This Row],[Food Security]]/tblPiNAnalysis5[[#This Row],[PIN]], 0.05)), "")</f>
        <v>0.4</v>
      </c>
      <c r="AB114" s="318">
        <f>IFERROR(IF(tblPiNAnalysis5[[#This Row],[Health]]="", "", MROUND(tblPiNAnalysis5[[#This Row],[Health]]/tblPiNAnalysis5[[#This Row],[PIN]], 0.05)), "")</f>
        <v>0.2</v>
      </c>
      <c r="AC114" s="319" t="str">
        <f>IFERROR(IF(tblPiNAnalysis5[[#This Row],[Protection]]="", "", MROUND(tblPiNAnalysis5[[#This Row],[Protection]]/tblPiNAnalysis5[[#This Row],[PIN]], 0.05)), "")</f>
        <v/>
      </c>
      <c r="AD114" s="319">
        <f>IFERROR(IF(tblPiNAnalysis5[[#This Row],[Shelter]]="", "", MROUND(tblPiNAnalysis5[[#This Row],[Shelter]]/tblPiNAnalysis5[[#This Row],[PIN]], 0.05)), "")</f>
        <v>0.05</v>
      </c>
      <c r="AE114" s="320">
        <f>IFERROR(IF(tblPiNAnalysis5[[#This Row],[WASH]]="", "", MROUND(tblPiNAnalysis5[[#This Row],[WASH]]/tblPiNAnalysis5[[#This Row],[PIN]], 0.05)), "")</f>
        <v>0.30000000000000004</v>
      </c>
      <c r="AF114" s="488">
        <f>VLOOKUP(tblPiNAnalysis5[[#This Row],[ID]],tblPiNAnalysis[[ID]:[Final PiN]],63,FALSE)</f>
        <v>21821</v>
      </c>
      <c r="AG114" s="488">
        <f>IFERROR(IF(tblPiNAnalysis5[[#This Row],[Final TARGET]]="", "", MROUND(tblPiNAnalysis5[[#This Row],[Final TARGET]]/tblPiNAnalysis5[[#This Row],[PIN]], 0.05)), "")</f>
        <v>0.4</v>
      </c>
      <c r="AH114" s="322">
        <f>IF(MAX(tblPiNAnalysis5[[#This Row],[CCCM]:[WASH]])&lt;tblPiNAnalysis5[[#This Row],[PIN]],MAX(tblPiNAnalysis5[[#This Row],[CCCM]:[WASH]]),tblPiNAnalysis5[[#This Row],[PIN]])</f>
        <v>8551</v>
      </c>
      <c r="AI114" s="326"/>
      <c r="AJ114" s="502">
        <f>tblPiNAnalysis5[[#This Row],[CCCM]]</f>
        <v>0</v>
      </c>
      <c r="AK114" s="500">
        <v>1410</v>
      </c>
      <c r="AL114" s="500">
        <v>1755</v>
      </c>
      <c r="AM114" s="500">
        <f>IF(VLOOKUP(tblPiNAnalysis5[[#This Row],[Admin 2 P-Code]],tblSeverityAnalysis[[Admin 2 P-Code]:[WASH]],10,FALSE)&gt;=4,VLOOKUP(tblPiNAnalysis5[[#This Row],[Admin 2 P-Code]],tblPiNAnalysis[[Admin 2 P-Code]:[WASH]],10,FALSE),0)</f>
        <v>0</v>
      </c>
      <c r="AN114" s="503">
        <v>0</v>
      </c>
      <c r="AO114" s="500"/>
      <c r="AP114" s="516">
        <v>937</v>
      </c>
      <c r="AQ114" s="501">
        <v>3122.5</v>
      </c>
      <c r="AR114" s="383">
        <f>MIN(tblPiNAnalysis5[[#This Row],[Final TARGET]],MAX(tblPiNAnalysis5[[#This Row],[CCCM_PRI]:[WASH_PRI]]))</f>
        <v>3122.5</v>
      </c>
      <c r="AS114" s="383">
        <f>IF(VLOOKUP(tblPiNAnalysis5[[#This Row],[Admin 2 P-Code]],tblSeverityAnalysis[[Admin 2 P-Code]:[Final Severity]],43,FALSE)&gt;=4,VLOOKUP(tblPiNAnalysis5[[#This Row],[Admin 2 P-Code]],tblPiNAnalysis[[Admin 2 P-Code]:[WASH]],8,FALSE),0)</f>
        <v>0</v>
      </c>
    </row>
    <row r="115" spans="1:45" ht="16.5" customHeight="1">
      <c r="A11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Global_PopulationHT0815</v>
      </c>
      <c r="B115" s="304" t="s">
        <v>383</v>
      </c>
      <c r="C115" s="213" t="s">
        <v>384</v>
      </c>
      <c r="D115" s="213" t="s">
        <v>393</v>
      </c>
      <c r="E115" s="103" t="s">
        <v>394</v>
      </c>
      <c r="F115" s="99"/>
      <c r="G115" s="34"/>
      <c r="H115" s="34"/>
      <c r="I115" s="96">
        <v>35368</v>
      </c>
      <c r="J115" s="221" t="s">
        <v>156</v>
      </c>
      <c r="K115" s="427">
        <v>0</v>
      </c>
      <c r="L115" s="428">
        <v>2492</v>
      </c>
      <c r="M115" s="428">
        <v>2432</v>
      </c>
      <c r="N115" s="428">
        <v>7382</v>
      </c>
      <c r="O115" s="428">
        <v>0</v>
      </c>
      <c r="P115" s="428"/>
      <c r="Q115" s="428">
        <v>7.9</v>
      </c>
      <c r="R115" s="428">
        <v>8500</v>
      </c>
      <c r="S115" s="428"/>
      <c r="T115" s="428"/>
      <c r="U115" s="428"/>
      <c r="V115" s="428"/>
      <c r="W115" s="308"/>
      <c r="X115" s="317" t="str">
        <f>IFERROR(IF(tblPiNAnalysis5[[#This Row],[CCCM]]="", "", MROUND(tblPiNAnalysis5[[#This Row],[CCCM]]/tblPiNAnalysis5[[#This Row],[PIN]], 0.05)), "")</f>
        <v/>
      </c>
      <c r="Y115" s="318" t="str">
        <f>IFERROR(IF(tblPiNAnalysis5[[#This Row],[Education]]="", "", MROUND(tblPiNAnalysis5[[#This Row],[Education]]/tblPiNAnalysis5[[#This Row],[PIN]], 0.05)), "")</f>
        <v/>
      </c>
      <c r="Z115" s="318" t="str">
        <f>IFERROR(IF(tblPiNAnalysis5[[#This Row],[Nutrition]]="", "", MROUND(tblPiNAnalysis5[[#This Row],[Nutrition]]/tblPiNAnalysis5[[#This Row],[PIN]], 0.05)), "")</f>
        <v/>
      </c>
      <c r="AA115" s="318" t="str">
        <f>IFERROR(IF(tblPiNAnalysis5[[#This Row],[Food Security]]="", "", MROUND(tblPiNAnalysis5[[#This Row],[Food Security]]/tblPiNAnalysis5[[#This Row],[PIN]], 0.05)), "")</f>
        <v/>
      </c>
      <c r="AB115" s="318" t="str">
        <f>IFERROR(IF(tblPiNAnalysis5[[#This Row],[Health]]="", "", MROUND(tblPiNAnalysis5[[#This Row],[Health]]/tblPiNAnalysis5[[#This Row],[PIN]], 0.05)), "")</f>
        <v/>
      </c>
      <c r="AC115" s="319" t="str">
        <f>IFERROR(IF(tblPiNAnalysis5[[#This Row],[Protection]]="", "", MROUND(tblPiNAnalysis5[[#This Row],[Protection]]/tblPiNAnalysis5[[#This Row],[PIN]], 0.05)), "")</f>
        <v/>
      </c>
      <c r="AD115" s="319" t="str">
        <f>IFERROR(IF(tblPiNAnalysis5[[#This Row],[Shelter]]="", "", MROUND(tblPiNAnalysis5[[#This Row],[Shelter]]/tblPiNAnalysis5[[#This Row],[PIN]], 0.05)), "")</f>
        <v/>
      </c>
      <c r="AE115" s="320" t="str">
        <f>IFERROR(IF(tblPiNAnalysis5[[#This Row],[WASH]]="", "", MROUND(tblPiNAnalysis5[[#This Row],[WASH]]/tblPiNAnalysis5[[#This Row],[PIN]], 0.05)), "")</f>
        <v/>
      </c>
      <c r="AF115" s="488">
        <f>VLOOKUP(tblPiNAnalysis5[[#This Row],[ID]],tblPiNAnalysis[[ID]:[Final PiN]],63,FALSE)</f>
        <v>0</v>
      </c>
      <c r="AG115" s="488" t="str">
        <f>IFERROR(IF(tblPiNAnalysis5[[#This Row],[Final TARGET]]="", "", MROUND(tblPiNAnalysis5[[#This Row],[Final TARGET]]/tblPiNAnalysis5[[#This Row],[PIN]], 0.05)), "")</f>
        <v/>
      </c>
      <c r="AH115" s="322">
        <f>IF(MAX(tblPiNAnalysis5[[#This Row],[CCCM]:[WASH]])&lt;tblPiNAnalysis5[[#This Row],[PIN]],MAX(tblPiNAnalysis5[[#This Row],[CCCM]:[WASH]]),tblPiNAnalysis5[[#This Row],[PIN]])</f>
        <v>0</v>
      </c>
      <c r="AI115" s="326"/>
      <c r="AJ115" s="502">
        <f>tblPiNAnalysis5[[#This Row],[CCCM]]</f>
        <v>0</v>
      </c>
      <c r="AK115" s="500">
        <v>1678</v>
      </c>
      <c r="AL115" s="500">
        <v>1733</v>
      </c>
      <c r="AM115" s="500">
        <f>IF(VLOOKUP(tblPiNAnalysis5[[#This Row],[Admin 2 P-Code]],tblSeverityAnalysis[[Admin 2 P-Code]:[WASH]],10,FALSE)&gt;=4,VLOOKUP(tblPiNAnalysis5[[#This Row],[Admin 2 P-Code]],tblPiNAnalysis[[Admin 2 P-Code]:[WASH]],10,FALSE),0)</f>
        <v>0</v>
      </c>
      <c r="AN115" s="503">
        <v>0</v>
      </c>
      <c r="AO115" s="500"/>
      <c r="AP115" s="516">
        <v>8</v>
      </c>
      <c r="AQ115" s="501">
        <v>4250</v>
      </c>
      <c r="AR115" s="383">
        <f>MIN(tblPiNAnalysis5[[#This Row],[Final TARGET]],MAX(tblPiNAnalysis5[[#This Row],[CCCM_PRI]:[WASH_PRI]]))</f>
        <v>0</v>
      </c>
      <c r="AS115" s="383">
        <f>IF(VLOOKUP(tblPiNAnalysis5[[#This Row],[Admin 2 P-Code]],tblSeverityAnalysis[[Admin 2 P-Code]:[Final Severity]],43,FALSE)&gt;=4,VLOOKUP(tblPiNAnalysis5[[#This Row],[Admin 2 P-Code]],tblPiNAnalysis[[Admin 2 P-Code]:[WASH]],8,FALSE),0)</f>
        <v>0</v>
      </c>
    </row>
    <row r="116" spans="1:45" ht="16.5" customHeight="1">
      <c r="A11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Global_PopulationHT0821</v>
      </c>
      <c r="B116" s="304" t="s">
        <v>383</v>
      </c>
      <c r="C116" s="213" t="s">
        <v>384</v>
      </c>
      <c r="D116" s="213" t="s">
        <v>395</v>
      </c>
      <c r="E116" s="103" t="s">
        <v>396</v>
      </c>
      <c r="F116" s="99"/>
      <c r="G116" s="34"/>
      <c r="H116" s="34"/>
      <c r="I116" s="96">
        <v>49099</v>
      </c>
      <c r="J116" s="221" t="s">
        <v>156</v>
      </c>
      <c r="K116" s="427">
        <v>0</v>
      </c>
      <c r="L116" s="428">
        <v>3517</v>
      </c>
      <c r="M116" s="428">
        <v>3747</v>
      </c>
      <c r="N116" s="428">
        <v>9866</v>
      </c>
      <c r="O116" s="428">
        <v>0</v>
      </c>
      <c r="P116" s="428"/>
      <c r="Q116" s="428">
        <v>2805.8</v>
      </c>
      <c r="R116" s="428">
        <v>17870</v>
      </c>
      <c r="S116" s="428"/>
      <c r="T116" s="428"/>
      <c r="U116" s="428"/>
      <c r="V116" s="428"/>
      <c r="W116" s="308"/>
      <c r="X116" s="317">
        <f>IFERROR(IF(tblPiNAnalysis5[[#This Row],[CCCM]]="", "", MROUND(tblPiNAnalysis5[[#This Row],[CCCM]]/tblPiNAnalysis5[[#This Row],[PIN]], 0.05)), "")</f>
        <v>0</v>
      </c>
      <c r="Y116" s="318">
        <f>IFERROR(IF(tblPiNAnalysis5[[#This Row],[Education]]="", "", MROUND(tblPiNAnalysis5[[#This Row],[Education]]/tblPiNAnalysis5[[#This Row],[PIN]], 0.05)), "")</f>
        <v>0.1</v>
      </c>
      <c r="Z116" s="318">
        <f>IFERROR(IF(tblPiNAnalysis5[[#This Row],[Nutrition]]="", "", MROUND(tblPiNAnalysis5[[#This Row],[Nutrition]]/tblPiNAnalysis5[[#This Row],[PIN]], 0.05)), "")</f>
        <v>0.1</v>
      </c>
      <c r="AA116" s="318">
        <f>IFERROR(IF(tblPiNAnalysis5[[#This Row],[Food Security]]="", "", MROUND(tblPiNAnalysis5[[#This Row],[Food Security]]/tblPiNAnalysis5[[#This Row],[PIN]], 0.05)), "")</f>
        <v>0.30000000000000004</v>
      </c>
      <c r="AB116" s="318">
        <f>IFERROR(IF(tblPiNAnalysis5[[#This Row],[Health]]="", "", MROUND(tblPiNAnalysis5[[#This Row],[Health]]/tblPiNAnalysis5[[#This Row],[PIN]], 0.05)), "")</f>
        <v>0</v>
      </c>
      <c r="AC116" s="319" t="str">
        <f>IFERROR(IF(tblPiNAnalysis5[[#This Row],[Protection]]="", "", MROUND(tblPiNAnalysis5[[#This Row],[Protection]]/tblPiNAnalysis5[[#This Row],[PIN]], 0.05)), "")</f>
        <v/>
      </c>
      <c r="AD116" s="319">
        <f>IFERROR(IF(tblPiNAnalysis5[[#This Row],[Shelter]]="", "", MROUND(tblPiNAnalysis5[[#This Row],[Shelter]]/tblPiNAnalysis5[[#This Row],[PIN]], 0.05)), "")</f>
        <v>0.1</v>
      </c>
      <c r="AE116" s="320">
        <f>IFERROR(IF(tblPiNAnalysis5[[#This Row],[WASH]]="", "", MROUND(tblPiNAnalysis5[[#This Row],[WASH]]/tblPiNAnalysis5[[#This Row],[PIN]], 0.05)), "")</f>
        <v>0.55000000000000004</v>
      </c>
      <c r="AF116" s="488">
        <f>VLOOKUP(tblPiNAnalysis5[[#This Row],[ID]],tblPiNAnalysis[[ID]:[Final PiN]],63,FALSE)</f>
        <v>32392.962384522179</v>
      </c>
      <c r="AG116" s="488">
        <f>IFERROR(IF(tblPiNAnalysis5[[#This Row],[Final TARGET]]="", "", MROUND(tblPiNAnalysis5[[#This Row],[Final TARGET]]/tblPiNAnalysis5[[#This Row],[PIN]], 0.05)), "")</f>
        <v>0.55000000000000004</v>
      </c>
      <c r="AH116" s="322">
        <f>IF(MAX(tblPiNAnalysis5[[#This Row],[CCCM]:[WASH]])&lt;tblPiNAnalysis5[[#This Row],[PIN]],MAX(tblPiNAnalysis5[[#This Row],[CCCM]:[WASH]]),tblPiNAnalysis5[[#This Row],[PIN]])</f>
        <v>17870</v>
      </c>
      <c r="AI116" s="326"/>
      <c r="AJ116" s="502">
        <f>tblPiNAnalysis5[[#This Row],[CCCM]]</f>
        <v>0</v>
      </c>
      <c r="AK116" s="500">
        <v>2636</v>
      </c>
      <c r="AL116" s="500">
        <v>2673</v>
      </c>
      <c r="AM116" s="500">
        <f>IF(VLOOKUP(tblPiNAnalysis5[[#This Row],[Admin 2 P-Code]],tblSeverityAnalysis[[Admin 2 P-Code]:[WASH]],10,FALSE)&gt;=4,VLOOKUP(tblPiNAnalysis5[[#This Row],[Admin 2 P-Code]],tblPiNAnalysis[[Admin 2 P-Code]:[WASH]],10,FALSE),0)</f>
        <v>0</v>
      </c>
      <c r="AN116" s="503">
        <v>0</v>
      </c>
      <c r="AO116" s="500"/>
      <c r="AP116" s="516">
        <v>2706</v>
      </c>
      <c r="AQ116" s="501">
        <v>8935</v>
      </c>
      <c r="AR116" s="383">
        <f>MIN(tblPiNAnalysis5[[#This Row],[Final TARGET]],MAX(tblPiNAnalysis5[[#This Row],[CCCM_PRI]:[WASH_PRI]]))</f>
        <v>8935</v>
      </c>
      <c r="AS116" s="383">
        <f>IF(VLOOKUP(tblPiNAnalysis5[[#This Row],[Admin 2 P-Code]],tblSeverityAnalysis[[Admin 2 P-Code]:[Final Severity]],43,FALSE)&gt;=4,VLOOKUP(tblPiNAnalysis5[[#This Row],[Admin 2 P-Code]],tblPiNAnalysis[[Admin 2 P-Code]:[WASH]],8,FALSE),0)</f>
        <v>0</v>
      </c>
    </row>
    <row r="117" spans="1:45" ht="16.5" customHeight="1">
      <c r="A11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Global_PopulationHT0822</v>
      </c>
      <c r="B117" s="304" t="s">
        <v>383</v>
      </c>
      <c r="C117" s="213" t="s">
        <v>384</v>
      </c>
      <c r="D117" s="213" t="s">
        <v>397</v>
      </c>
      <c r="E117" s="103" t="s">
        <v>398</v>
      </c>
      <c r="F117" s="99"/>
      <c r="G117" s="34"/>
      <c r="H117" s="34"/>
      <c r="I117" s="96">
        <v>41207</v>
      </c>
      <c r="J117" s="221" t="s">
        <v>156</v>
      </c>
      <c r="K117" s="427">
        <v>0</v>
      </c>
      <c r="L117" s="428">
        <v>2438</v>
      </c>
      <c r="M117" s="428">
        <v>2662</v>
      </c>
      <c r="N117" s="428">
        <v>10425</v>
      </c>
      <c r="O117" s="428">
        <v>0</v>
      </c>
      <c r="P117" s="428"/>
      <c r="Q117" s="428">
        <v>1040.3</v>
      </c>
      <c r="R117" s="428">
        <v>6100</v>
      </c>
      <c r="S117" s="428"/>
      <c r="T117" s="428"/>
      <c r="U117" s="428"/>
      <c r="V117" s="428"/>
      <c r="W117" s="308"/>
      <c r="X117" s="317">
        <f>IFERROR(IF(tblPiNAnalysis5[[#This Row],[CCCM]]="", "", MROUND(tblPiNAnalysis5[[#This Row],[CCCM]]/tblPiNAnalysis5[[#This Row],[PIN]], 0.05)), "")</f>
        <v>0</v>
      </c>
      <c r="Y117" s="318">
        <f>IFERROR(IF(tblPiNAnalysis5[[#This Row],[Education]]="", "", MROUND(tblPiNAnalysis5[[#This Row],[Education]]/tblPiNAnalysis5[[#This Row],[PIN]], 0.05)), "")</f>
        <v>0.1</v>
      </c>
      <c r="Z117" s="318">
        <f>IFERROR(IF(tblPiNAnalysis5[[#This Row],[Nutrition]]="", "", MROUND(tblPiNAnalysis5[[#This Row],[Nutrition]]/tblPiNAnalysis5[[#This Row],[PIN]], 0.05)), "")</f>
        <v>0.1</v>
      </c>
      <c r="AA117" s="318">
        <f>IFERROR(IF(tblPiNAnalysis5[[#This Row],[Food Security]]="", "", MROUND(tblPiNAnalysis5[[#This Row],[Food Security]]/tblPiNAnalysis5[[#This Row],[PIN]], 0.05)), "")</f>
        <v>0.4</v>
      </c>
      <c r="AB117" s="318">
        <f>IFERROR(IF(tblPiNAnalysis5[[#This Row],[Health]]="", "", MROUND(tblPiNAnalysis5[[#This Row],[Health]]/tblPiNAnalysis5[[#This Row],[PIN]], 0.05)), "")</f>
        <v>0</v>
      </c>
      <c r="AC117" s="319" t="str">
        <f>IFERROR(IF(tblPiNAnalysis5[[#This Row],[Protection]]="", "", MROUND(tblPiNAnalysis5[[#This Row],[Protection]]/tblPiNAnalysis5[[#This Row],[PIN]], 0.05)), "")</f>
        <v/>
      </c>
      <c r="AD117" s="319">
        <f>IFERROR(IF(tblPiNAnalysis5[[#This Row],[Shelter]]="", "", MROUND(tblPiNAnalysis5[[#This Row],[Shelter]]/tblPiNAnalysis5[[#This Row],[PIN]], 0.05)), "")</f>
        <v>0.05</v>
      </c>
      <c r="AE117" s="320">
        <f>IFERROR(IF(tblPiNAnalysis5[[#This Row],[WASH]]="", "", MROUND(tblPiNAnalysis5[[#This Row],[WASH]]/tblPiNAnalysis5[[#This Row],[PIN]], 0.05)), "")</f>
        <v>0.25</v>
      </c>
      <c r="AF117" s="488">
        <f>VLOOKUP(tblPiNAnalysis5[[#This Row],[ID]],tblPiNAnalysis[[ID]:[Final PiN]],63,FALSE)</f>
        <v>25740</v>
      </c>
      <c r="AG117" s="488">
        <f>IFERROR(IF(tblPiNAnalysis5[[#This Row],[Final TARGET]]="", "", MROUND(tblPiNAnalysis5[[#This Row],[Final TARGET]]/tblPiNAnalysis5[[#This Row],[PIN]], 0.05)), "")</f>
        <v>0.4</v>
      </c>
      <c r="AH117" s="322">
        <f>IF(MAX(tblPiNAnalysis5[[#This Row],[CCCM]:[WASH]])&lt;tblPiNAnalysis5[[#This Row],[PIN]],MAX(tblPiNAnalysis5[[#This Row],[CCCM]:[WASH]]),tblPiNAnalysis5[[#This Row],[PIN]])</f>
        <v>10425</v>
      </c>
      <c r="AI117" s="326"/>
      <c r="AJ117" s="502">
        <f>tblPiNAnalysis5[[#This Row],[CCCM]]</f>
        <v>0</v>
      </c>
      <c r="AK117" s="500">
        <v>1483</v>
      </c>
      <c r="AL117" s="500">
        <v>1901</v>
      </c>
      <c r="AM117" s="500">
        <f>IF(VLOOKUP(tblPiNAnalysis5[[#This Row],[Admin 2 P-Code]],tblSeverityAnalysis[[Admin 2 P-Code]:[WASH]],10,FALSE)&gt;=4,VLOOKUP(tblPiNAnalysis5[[#This Row],[Admin 2 P-Code]],tblPiNAnalysis[[Admin 2 P-Code]:[WASH]],10,FALSE),0)</f>
        <v>0</v>
      </c>
      <c r="AN117" s="503">
        <v>0</v>
      </c>
      <c r="AO117" s="500"/>
      <c r="AP117" s="516">
        <v>940</v>
      </c>
      <c r="AQ117" s="501">
        <v>3050</v>
      </c>
      <c r="AR117" s="383">
        <f>MIN(tblPiNAnalysis5[[#This Row],[Final TARGET]],MAX(tblPiNAnalysis5[[#This Row],[CCCM_PRI]:[WASH_PRI]]))</f>
        <v>3050</v>
      </c>
      <c r="AS117" s="383">
        <f>IF(VLOOKUP(tblPiNAnalysis5[[#This Row],[Admin 2 P-Code]],tblSeverityAnalysis[[Admin 2 P-Code]:[Final Severity]],43,FALSE)&gt;=4,VLOOKUP(tblPiNAnalysis5[[#This Row],[Admin 2 P-Code]],tblPiNAnalysis[[Admin 2 P-Code]:[WASH]],8,FALSE),0)</f>
        <v>0</v>
      </c>
    </row>
    <row r="118" spans="1:45" ht="16.5" customHeight="1">
      <c r="A11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Global_PopulationHT0823</v>
      </c>
      <c r="B118" s="304" t="s">
        <v>383</v>
      </c>
      <c r="C118" s="213" t="s">
        <v>384</v>
      </c>
      <c r="D118" s="213" t="s">
        <v>399</v>
      </c>
      <c r="E118" s="103" t="s">
        <v>400</v>
      </c>
      <c r="F118" s="99"/>
      <c r="G118" s="34"/>
      <c r="H118" s="34"/>
      <c r="I118" s="96">
        <v>24756</v>
      </c>
      <c r="J118" s="221" t="s">
        <v>156</v>
      </c>
      <c r="K118" s="427">
        <v>0</v>
      </c>
      <c r="L118" s="428">
        <v>1366</v>
      </c>
      <c r="M118" s="428">
        <v>1448</v>
      </c>
      <c r="N118" s="428">
        <v>6289</v>
      </c>
      <c r="O118" s="428">
        <v>0</v>
      </c>
      <c r="P118" s="428"/>
      <c r="Q118" s="428">
        <v>14.200000000000001</v>
      </c>
      <c r="R118" s="428">
        <v>1500</v>
      </c>
      <c r="S118" s="428"/>
      <c r="T118" s="428"/>
      <c r="U118" s="428"/>
      <c r="V118" s="428"/>
      <c r="W118" s="308"/>
      <c r="X118" s="317" t="str">
        <f>IFERROR(IF(tblPiNAnalysis5[[#This Row],[CCCM]]="", "", MROUND(tblPiNAnalysis5[[#This Row],[CCCM]]/tblPiNAnalysis5[[#This Row],[PIN]], 0.05)), "")</f>
        <v/>
      </c>
      <c r="Y118" s="318" t="str">
        <f>IFERROR(IF(tblPiNAnalysis5[[#This Row],[Education]]="", "", MROUND(tblPiNAnalysis5[[#This Row],[Education]]/tblPiNAnalysis5[[#This Row],[PIN]], 0.05)), "")</f>
        <v/>
      </c>
      <c r="Z118" s="318" t="str">
        <f>IFERROR(IF(tblPiNAnalysis5[[#This Row],[Nutrition]]="", "", MROUND(tblPiNAnalysis5[[#This Row],[Nutrition]]/tblPiNAnalysis5[[#This Row],[PIN]], 0.05)), "")</f>
        <v/>
      </c>
      <c r="AA118" s="318" t="str">
        <f>IFERROR(IF(tblPiNAnalysis5[[#This Row],[Food Security]]="", "", MROUND(tblPiNAnalysis5[[#This Row],[Food Security]]/tblPiNAnalysis5[[#This Row],[PIN]], 0.05)), "")</f>
        <v/>
      </c>
      <c r="AB118" s="318" t="str">
        <f>IFERROR(IF(tblPiNAnalysis5[[#This Row],[Health]]="", "", MROUND(tblPiNAnalysis5[[#This Row],[Health]]/tblPiNAnalysis5[[#This Row],[PIN]], 0.05)), "")</f>
        <v/>
      </c>
      <c r="AC118" s="319" t="str">
        <f>IFERROR(IF(tblPiNAnalysis5[[#This Row],[Protection]]="", "", MROUND(tblPiNAnalysis5[[#This Row],[Protection]]/tblPiNAnalysis5[[#This Row],[PIN]], 0.05)), "")</f>
        <v/>
      </c>
      <c r="AD118" s="319" t="str">
        <f>IFERROR(IF(tblPiNAnalysis5[[#This Row],[Shelter]]="", "", MROUND(tblPiNAnalysis5[[#This Row],[Shelter]]/tblPiNAnalysis5[[#This Row],[PIN]], 0.05)), "")</f>
        <v/>
      </c>
      <c r="AE118" s="320" t="str">
        <f>IFERROR(IF(tblPiNAnalysis5[[#This Row],[WASH]]="", "", MROUND(tblPiNAnalysis5[[#This Row],[WASH]]/tblPiNAnalysis5[[#This Row],[PIN]], 0.05)), "")</f>
        <v/>
      </c>
      <c r="AF118" s="488">
        <f>VLOOKUP(tblPiNAnalysis5[[#This Row],[ID]],tblPiNAnalysis[[ID]:[Final PiN]],63,FALSE)</f>
        <v>0</v>
      </c>
      <c r="AG118" s="488" t="str">
        <f>IFERROR(IF(tblPiNAnalysis5[[#This Row],[Final TARGET]]="", "", MROUND(tblPiNAnalysis5[[#This Row],[Final TARGET]]/tblPiNAnalysis5[[#This Row],[PIN]], 0.05)), "")</f>
        <v/>
      </c>
      <c r="AH118" s="322">
        <f>IF(MAX(tblPiNAnalysis5[[#This Row],[CCCM]:[WASH]])&lt;tblPiNAnalysis5[[#This Row],[PIN]],MAX(tblPiNAnalysis5[[#This Row],[CCCM]:[WASH]]),tblPiNAnalysis5[[#This Row],[PIN]])</f>
        <v>0</v>
      </c>
      <c r="AI118" s="326"/>
      <c r="AJ118" s="502">
        <f>tblPiNAnalysis5[[#This Row],[CCCM]]</f>
        <v>0</v>
      </c>
      <c r="AK118" s="500">
        <v>733</v>
      </c>
      <c r="AL118" s="500">
        <v>1031</v>
      </c>
      <c r="AM118" s="500">
        <f>IF(VLOOKUP(tblPiNAnalysis5[[#This Row],[Admin 2 P-Code]],tblSeverityAnalysis[[Admin 2 P-Code]:[WASH]],10,FALSE)&gt;=4,VLOOKUP(tblPiNAnalysis5[[#This Row],[Admin 2 P-Code]],tblPiNAnalysis[[Admin 2 P-Code]:[WASH]],10,FALSE),0)</f>
        <v>0</v>
      </c>
      <c r="AN118" s="503">
        <v>0</v>
      </c>
      <c r="AO118" s="500"/>
      <c r="AP118" s="516">
        <v>14</v>
      </c>
      <c r="AQ118" s="501">
        <v>750</v>
      </c>
      <c r="AR118" s="383">
        <f>MIN(tblPiNAnalysis5[[#This Row],[Final TARGET]],MAX(tblPiNAnalysis5[[#This Row],[CCCM_PRI]:[WASH_PRI]]))</f>
        <v>0</v>
      </c>
      <c r="AS118" s="383">
        <f>IF(VLOOKUP(tblPiNAnalysis5[[#This Row],[Admin 2 P-Code]],tblSeverityAnalysis[[Admin 2 P-Code]:[Final Severity]],43,FALSE)&gt;=4,VLOOKUP(tblPiNAnalysis5[[#This Row],[Admin 2 P-Code]],tblPiNAnalysis[[Admin 2 P-Code]:[WASH]],8,FALSE),0)</f>
        <v>0</v>
      </c>
    </row>
    <row r="119" spans="1:45" ht="16.5" customHeight="1">
      <c r="A11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Global_PopulationHT0831</v>
      </c>
      <c r="B119" s="304" t="s">
        <v>383</v>
      </c>
      <c r="C119" s="213" t="s">
        <v>384</v>
      </c>
      <c r="D119" s="213" t="s">
        <v>401</v>
      </c>
      <c r="E119" s="103" t="s">
        <v>402</v>
      </c>
      <c r="F119" s="99"/>
      <c r="G119" s="34"/>
      <c r="H119" s="34"/>
      <c r="I119" s="96">
        <v>28292</v>
      </c>
      <c r="J119" s="221" t="s">
        <v>156</v>
      </c>
      <c r="K119" s="427">
        <v>0</v>
      </c>
      <c r="L119" s="428">
        <v>1889</v>
      </c>
      <c r="M119" s="428">
        <v>2045</v>
      </c>
      <c r="N119" s="428">
        <v>5324</v>
      </c>
      <c r="O119" s="428">
        <v>3026.1935310344829</v>
      </c>
      <c r="P119" s="428"/>
      <c r="Q119" s="428">
        <v>4.7</v>
      </c>
      <c r="R119" s="428">
        <v>7250</v>
      </c>
      <c r="S119" s="428"/>
      <c r="T119" s="428"/>
      <c r="U119" s="428"/>
      <c r="V119" s="428"/>
      <c r="W119" s="308"/>
      <c r="X119" s="317">
        <f>IFERROR(IF(tblPiNAnalysis5[[#This Row],[CCCM]]="", "", MROUND(tblPiNAnalysis5[[#This Row],[CCCM]]/tblPiNAnalysis5[[#This Row],[PIN]], 0.05)), "")</f>
        <v>0</v>
      </c>
      <c r="Y119" s="318">
        <f>IFERROR(IF(tblPiNAnalysis5[[#This Row],[Education]]="", "", MROUND(tblPiNAnalysis5[[#This Row],[Education]]/tblPiNAnalysis5[[#This Row],[PIN]], 0.05)), "")</f>
        <v>0.15000000000000002</v>
      </c>
      <c r="Z119" s="318">
        <f>IFERROR(IF(tblPiNAnalysis5[[#This Row],[Nutrition]]="", "", MROUND(tblPiNAnalysis5[[#This Row],[Nutrition]]/tblPiNAnalysis5[[#This Row],[PIN]], 0.05)), "")</f>
        <v>0.15000000000000002</v>
      </c>
      <c r="AA119" s="318">
        <f>IFERROR(IF(tblPiNAnalysis5[[#This Row],[Food Security]]="", "", MROUND(tblPiNAnalysis5[[#This Row],[Food Security]]/tblPiNAnalysis5[[#This Row],[PIN]], 0.05)), "")</f>
        <v>0.4</v>
      </c>
      <c r="AB119" s="318">
        <f>IFERROR(IF(tblPiNAnalysis5[[#This Row],[Health]]="", "", MROUND(tblPiNAnalysis5[[#This Row],[Health]]/tblPiNAnalysis5[[#This Row],[PIN]], 0.05)), "")</f>
        <v>0.25</v>
      </c>
      <c r="AC119" s="319" t="str">
        <f>IFERROR(IF(tblPiNAnalysis5[[#This Row],[Protection]]="", "", MROUND(tblPiNAnalysis5[[#This Row],[Protection]]/tblPiNAnalysis5[[#This Row],[PIN]], 0.05)), "")</f>
        <v/>
      </c>
      <c r="AD119" s="319">
        <f>IFERROR(IF(tblPiNAnalysis5[[#This Row],[Shelter]]="", "", MROUND(tblPiNAnalysis5[[#This Row],[Shelter]]/tblPiNAnalysis5[[#This Row],[PIN]], 0.05)), "")</f>
        <v>0</v>
      </c>
      <c r="AE119" s="320">
        <f>IFERROR(IF(tblPiNAnalysis5[[#This Row],[WASH]]="", "", MROUND(tblPiNAnalysis5[[#This Row],[WASH]]/tblPiNAnalysis5[[#This Row],[PIN]], 0.05)), "")</f>
        <v>0.55000000000000004</v>
      </c>
      <c r="AF119" s="488">
        <f>VLOOKUP(tblPiNAnalysis5[[#This Row],[ID]],tblPiNAnalysis[[ID]:[Final PiN]],63,FALSE)</f>
        <v>13398</v>
      </c>
      <c r="AG119" s="488">
        <f>IFERROR(IF(tblPiNAnalysis5[[#This Row],[Final TARGET]]="", "", MROUND(tblPiNAnalysis5[[#This Row],[Final TARGET]]/tblPiNAnalysis5[[#This Row],[PIN]], 0.05)), "")</f>
        <v>0.55000000000000004</v>
      </c>
      <c r="AH119" s="322">
        <f>IF(MAX(tblPiNAnalysis5[[#This Row],[CCCM]:[WASH]])&lt;tblPiNAnalysis5[[#This Row],[PIN]],MAX(tblPiNAnalysis5[[#This Row],[CCCM]:[WASH]]),tblPiNAnalysis5[[#This Row],[PIN]])</f>
        <v>7250</v>
      </c>
      <c r="AI119" s="326"/>
      <c r="AJ119" s="502">
        <f>tblPiNAnalysis5[[#This Row],[CCCM]]</f>
        <v>0</v>
      </c>
      <c r="AK119" s="500">
        <v>1292</v>
      </c>
      <c r="AL119" s="500">
        <v>1464</v>
      </c>
      <c r="AM119" s="500">
        <f>IF(VLOOKUP(tblPiNAnalysis5[[#This Row],[Admin 2 P-Code]],tblSeverityAnalysis[[Admin 2 P-Code]:[WASH]],10,FALSE)&gt;=4,VLOOKUP(tblPiNAnalysis5[[#This Row],[Admin 2 P-Code]],tblPiNAnalysis[[Admin 2 P-Code]:[WASH]],10,FALSE),0)</f>
        <v>0</v>
      </c>
      <c r="AN119" s="503">
        <v>0</v>
      </c>
      <c r="AO119" s="500"/>
      <c r="AP119" s="516">
        <v>5</v>
      </c>
      <c r="AQ119" s="501">
        <v>3625</v>
      </c>
      <c r="AR119" s="383">
        <f>MIN(tblPiNAnalysis5[[#This Row],[Final TARGET]],MAX(tblPiNAnalysis5[[#This Row],[CCCM_PRI]:[WASH_PRI]]))</f>
        <v>3625</v>
      </c>
      <c r="AS119" s="383">
        <f>IF(VLOOKUP(tblPiNAnalysis5[[#This Row],[Admin 2 P-Code]],tblSeverityAnalysis[[Admin 2 P-Code]:[Final Severity]],43,FALSE)&gt;=4,VLOOKUP(tblPiNAnalysis5[[#This Row],[Admin 2 P-Code]],tblPiNAnalysis[[Admin 2 P-Code]:[WASH]],8,FALSE),0)</f>
        <v>0</v>
      </c>
    </row>
    <row r="120" spans="1:45" ht="16.5" customHeight="1">
      <c r="A12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Global_PopulationHT0832</v>
      </c>
      <c r="B120" s="304" t="s">
        <v>383</v>
      </c>
      <c r="C120" s="213" t="s">
        <v>384</v>
      </c>
      <c r="D120" s="213" t="s">
        <v>403</v>
      </c>
      <c r="E120" s="103" t="s">
        <v>404</v>
      </c>
      <c r="F120" s="99"/>
      <c r="G120" s="34"/>
      <c r="H120" s="34"/>
      <c r="I120" s="96">
        <v>41589</v>
      </c>
      <c r="J120" s="221" t="s">
        <v>156</v>
      </c>
      <c r="K120" s="427">
        <v>0</v>
      </c>
      <c r="L120" s="428">
        <v>2449</v>
      </c>
      <c r="M120" s="428">
        <v>2941</v>
      </c>
      <c r="N120" s="428">
        <v>9737</v>
      </c>
      <c r="O120" s="428">
        <v>0</v>
      </c>
      <c r="P120" s="428"/>
      <c r="Q120" s="428">
        <v>1307.3999999999999</v>
      </c>
      <c r="R120" s="428">
        <v>8999</v>
      </c>
      <c r="S120" s="428"/>
      <c r="T120" s="428"/>
      <c r="U120" s="428"/>
      <c r="V120" s="428"/>
      <c r="W120" s="308"/>
      <c r="X120" s="317">
        <f>IFERROR(IF(tblPiNAnalysis5[[#This Row],[CCCM]]="", "", MROUND(tblPiNAnalysis5[[#This Row],[CCCM]]/tblPiNAnalysis5[[#This Row],[PIN]], 0.05)), "")</f>
        <v>0</v>
      </c>
      <c r="Y120" s="318">
        <f>IFERROR(IF(tblPiNAnalysis5[[#This Row],[Education]]="", "", MROUND(tblPiNAnalysis5[[#This Row],[Education]]/tblPiNAnalysis5[[#This Row],[PIN]], 0.05)), "")</f>
        <v>0.1</v>
      </c>
      <c r="Z120" s="318">
        <f>IFERROR(IF(tblPiNAnalysis5[[#This Row],[Nutrition]]="", "", MROUND(tblPiNAnalysis5[[#This Row],[Nutrition]]/tblPiNAnalysis5[[#This Row],[PIN]], 0.05)), "")</f>
        <v>0.1</v>
      </c>
      <c r="AA120" s="318">
        <f>IFERROR(IF(tblPiNAnalysis5[[#This Row],[Food Security]]="", "", MROUND(tblPiNAnalysis5[[#This Row],[Food Security]]/tblPiNAnalysis5[[#This Row],[PIN]], 0.05)), "")</f>
        <v>0.4</v>
      </c>
      <c r="AB120" s="318">
        <f>IFERROR(IF(tblPiNAnalysis5[[#This Row],[Health]]="", "", MROUND(tblPiNAnalysis5[[#This Row],[Health]]/tblPiNAnalysis5[[#This Row],[PIN]], 0.05)), "")</f>
        <v>0</v>
      </c>
      <c r="AC120" s="319" t="str">
        <f>IFERROR(IF(tblPiNAnalysis5[[#This Row],[Protection]]="", "", MROUND(tblPiNAnalysis5[[#This Row],[Protection]]/tblPiNAnalysis5[[#This Row],[PIN]], 0.05)), "")</f>
        <v/>
      </c>
      <c r="AD120" s="319">
        <f>IFERROR(IF(tblPiNAnalysis5[[#This Row],[Shelter]]="", "", MROUND(tblPiNAnalysis5[[#This Row],[Shelter]]/tblPiNAnalysis5[[#This Row],[PIN]], 0.05)), "")</f>
        <v>0.05</v>
      </c>
      <c r="AE120" s="320">
        <f>IFERROR(IF(tblPiNAnalysis5[[#This Row],[WASH]]="", "", MROUND(tblPiNAnalysis5[[#This Row],[WASH]]/tblPiNAnalysis5[[#This Row],[PIN]], 0.05)), "")</f>
        <v>0.35000000000000003</v>
      </c>
      <c r="AF120" s="488">
        <f>VLOOKUP(tblPiNAnalysis5[[#This Row],[ID]],tblPiNAnalysis[[ID]:[Final PiN]],63,FALSE)</f>
        <v>24533</v>
      </c>
      <c r="AG120" s="488">
        <f>IFERROR(IF(tblPiNAnalysis5[[#This Row],[Final TARGET]]="", "", MROUND(tblPiNAnalysis5[[#This Row],[Final TARGET]]/tblPiNAnalysis5[[#This Row],[PIN]], 0.05)), "")</f>
        <v>0.4</v>
      </c>
      <c r="AH120" s="322">
        <f>IF(MAX(tblPiNAnalysis5[[#This Row],[CCCM]:[WASH]])&lt;tblPiNAnalysis5[[#This Row],[PIN]],MAX(tblPiNAnalysis5[[#This Row],[CCCM]:[WASH]]),tblPiNAnalysis5[[#This Row],[PIN]])</f>
        <v>9737</v>
      </c>
      <c r="AI120" s="326"/>
      <c r="AJ120" s="502">
        <f>tblPiNAnalysis5[[#This Row],[CCCM]]</f>
        <v>0</v>
      </c>
      <c r="AK120" s="500">
        <v>1608</v>
      </c>
      <c r="AL120" s="500">
        <v>2109</v>
      </c>
      <c r="AM120" s="500">
        <f>IF(VLOOKUP(tblPiNAnalysis5[[#This Row],[Admin 2 P-Code]],tblSeverityAnalysis[[Admin 2 P-Code]:[WASH]],10,FALSE)&gt;=4,VLOOKUP(tblPiNAnalysis5[[#This Row],[Admin 2 P-Code]],tblPiNAnalysis[[Admin 2 P-Code]:[WASH]],10,FALSE),0)</f>
        <v>0</v>
      </c>
      <c r="AN120" s="503">
        <v>0</v>
      </c>
      <c r="AO120" s="500"/>
      <c r="AP120" s="516">
        <v>1207</v>
      </c>
      <c r="AQ120" s="501">
        <v>4499.5</v>
      </c>
      <c r="AR120" s="383">
        <f>MIN(tblPiNAnalysis5[[#This Row],[Final TARGET]],MAX(tblPiNAnalysis5[[#This Row],[CCCM_PRI]:[WASH_PRI]]))</f>
        <v>4499.5</v>
      </c>
      <c r="AS120" s="383">
        <f>IF(VLOOKUP(tblPiNAnalysis5[[#This Row],[Admin 2 P-Code]],tblSeverityAnalysis[[Admin 2 P-Code]:[Final Severity]],43,FALSE)&gt;=4,VLOOKUP(tblPiNAnalysis5[[#This Row],[Admin 2 P-Code]],tblPiNAnalysis[[Admin 2 P-Code]:[WASH]],8,FALSE),0)</f>
        <v>0</v>
      </c>
    </row>
    <row r="121" spans="1:45" ht="16.5" customHeight="1">
      <c r="A12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Global_PopulationHT0833</v>
      </c>
      <c r="B121" s="304" t="s">
        <v>383</v>
      </c>
      <c r="C121" s="213" t="s">
        <v>384</v>
      </c>
      <c r="D121" s="213" t="s">
        <v>405</v>
      </c>
      <c r="E121" s="103" t="s">
        <v>406</v>
      </c>
      <c r="F121" s="99"/>
      <c r="G121" s="34"/>
      <c r="H121" s="34"/>
      <c r="I121" s="96">
        <v>35380</v>
      </c>
      <c r="J121" s="221" t="s">
        <v>156</v>
      </c>
      <c r="K121" s="427">
        <v>0</v>
      </c>
      <c r="L121" s="428">
        <v>2007</v>
      </c>
      <c r="M121" s="428">
        <v>2283</v>
      </c>
      <c r="N121" s="428">
        <v>8811</v>
      </c>
      <c r="O121" s="428">
        <v>2015.6566569506724</v>
      </c>
      <c r="P121" s="428"/>
      <c r="Q121" s="428">
        <v>910.7</v>
      </c>
      <c r="R121" s="428">
        <v>4906</v>
      </c>
      <c r="S121" s="428"/>
      <c r="T121" s="428"/>
      <c r="U121" s="428"/>
      <c r="V121" s="428"/>
      <c r="W121" s="308"/>
      <c r="X121" s="317">
        <f>IFERROR(IF(tblPiNAnalysis5[[#This Row],[CCCM]]="", "", MROUND(tblPiNAnalysis5[[#This Row],[CCCM]]/tblPiNAnalysis5[[#This Row],[PIN]], 0.05)), "")</f>
        <v>0</v>
      </c>
      <c r="Y121" s="318">
        <f>IFERROR(IF(tblPiNAnalysis5[[#This Row],[Education]]="", "", MROUND(tblPiNAnalysis5[[#This Row],[Education]]/tblPiNAnalysis5[[#This Row],[PIN]], 0.05)), "")</f>
        <v>0.1</v>
      </c>
      <c r="Z121" s="318">
        <f>IFERROR(IF(tblPiNAnalysis5[[#This Row],[Nutrition]]="", "", MROUND(tblPiNAnalysis5[[#This Row],[Nutrition]]/tblPiNAnalysis5[[#This Row],[PIN]], 0.05)), "")</f>
        <v>0.1</v>
      </c>
      <c r="AA121" s="318">
        <f>IFERROR(IF(tblPiNAnalysis5[[#This Row],[Food Security]]="", "", MROUND(tblPiNAnalysis5[[#This Row],[Food Security]]/tblPiNAnalysis5[[#This Row],[PIN]], 0.05)), "")</f>
        <v>0.4</v>
      </c>
      <c r="AB121" s="318">
        <f>IFERROR(IF(tblPiNAnalysis5[[#This Row],[Health]]="", "", MROUND(tblPiNAnalysis5[[#This Row],[Health]]/tblPiNAnalysis5[[#This Row],[PIN]], 0.05)), "")</f>
        <v>0.1</v>
      </c>
      <c r="AC121" s="319" t="str">
        <f>IFERROR(IF(tblPiNAnalysis5[[#This Row],[Protection]]="", "", MROUND(tblPiNAnalysis5[[#This Row],[Protection]]/tblPiNAnalysis5[[#This Row],[PIN]], 0.05)), "")</f>
        <v/>
      </c>
      <c r="AD121" s="319">
        <f>IFERROR(IF(tblPiNAnalysis5[[#This Row],[Shelter]]="", "", MROUND(tblPiNAnalysis5[[#This Row],[Shelter]]/tblPiNAnalysis5[[#This Row],[PIN]], 0.05)), "")</f>
        <v>0.05</v>
      </c>
      <c r="AE121" s="320">
        <f>IFERROR(IF(tblPiNAnalysis5[[#This Row],[WASH]]="", "", MROUND(tblPiNAnalysis5[[#This Row],[WASH]]/tblPiNAnalysis5[[#This Row],[PIN]], 0.05)), "")</f>
        <v>0.2</v>
      </c>
      <c r="AF121" s="488">
        <f>VLOOKUP(tblPiNAnalysis5[[#This Row],[ID]],tblPiNAnalysis[[ID]:[Final PiN]],63,FALSE)</f>
        <v>23077</v>
      </c>
      <c r="AG121" s="488">
        <f>IFERROR(IF(tblPiNAnalysis5[[#This Row],[Final TARGET]]="", "", MROUND(tblPiNAnalysis5[[#This Row],[Final TARGET]]/tblPiNAnalysis5[[#This Row],[PIN]], 0.05)), "")</f>
        <v>0.4</v>
      </c>
      <c r="AH121" s="322">
        <f>IF(MAX(tblPiNAnalysis5[[#This Row],[CCCM]:[WASH]])&lt;tblPiNAnalysis5[[#This Row],[PIN]],MAX(tblPiNAnalysis5[[#This Row],[CCCM]:[WASH]]),tblPiNAnalysis5[[#This Row],[PIN]])</f>
        <v>8811</v>
      </c>
      <c r="AI121" s="326"/>
      <c r="AJ121" s="502">
        <f>tblPiNAnalysis5[[#This Row],[CCCM]]</f>
        <v>0</v>
      </c>
      <c r="AK121" s="500">
        <v>1204</v>
      </c>
      <c r="AL121" s="500">
        <v>1632</v>
      </c>
      <c r="AM121" s="500">
        <f>IF(VLOOKUP(tblPiNAnalysis5[[#This Row],[Admin 2 P-Code]],tblSeverityAnalysis[[Admin 2 P-Code]:[WASH]],10,FALSE)&gt;=4,VLOOKUP(tblPiNAnalysis5[[#This Row],[Admin 2 P-Code]],tblPiNAnalysis[[Admin 2 P-Code]:[WASH]],10,FALSE),0)</f>
        <v>0</v>
      </c>
      <c r="AN121" s="503">
        <v>0</v>
      </c>
      <c r="AO121" s="500"/>
      <c r="AP121" s="516">
        <v>811</v>
      </c>
      <c r="AQ121" s="501">
        <v>2453</v>
      </c>
      <c r="AR121" s="383">
        <f>MIN(tblPiNAnalysis5[[#This Row],[Final TARGET]],MAX(tblPiNAnalysis5[[#This Row],[CCCM_PRI]:[WASH_PRI]]))</f>
        <v>2453</v>
      </c>
      <c r="AS121" s="383">
        <f>IF(VLOOKUP(tblPiNAnalysis5[[#This Row],[Admin 2 P-Code]],tblSeverityAnalysis[[Admin 2 P-Code]:[Final Severity]],43,FALSE)&gt;=4,VLOOKUP(tblPiNAnalysis5[[#This Row],[Admin 2 P-Code]],tblPiNAnalysis[[Admin 2 P-Code]:[WASH]],8,FALSE),0)</f>
        <v>0</v>
      </c>
    </row>
    <row r="122" spans="1:45" ht="16.5" customHeight="1">
      <c r="A12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Global_PopulationHT0834</v>
      </c>
      <c r="B122" s="304" t="s">
        <v>383</v>
      </c>
      <c r="C122" s="213" t="s">
        <v>384</v>
      </c>
      <c r="D122" s="213" t="s">
        <v>407</v>
      </c>
      <c r="E122" s="103" t="s">
        <v>408</v>
      </c>
      <c r="F122" s="99"/>
      <c r="G122" s="34"/>
      <c r="H122" s="34"/>
      <c r="I122" s="96">
        <v>48575</v>
      </c>
      <c r="J122" s="221" t="s">
        <v>156</v>
      </c>
      <c r="K122" s="427">
        <v>0</v>
      </c>
      <c r="L122" s="428">
        <v>3278</v>
      </c>
      <c r="M122" s="428">
        <v>4102</v>
      </c>
      <c r="N122" s="428">
        <v>12236</v>
      </c>
      <c r="O122" s="428">
        <v>0</v>
      </c>
      <c r="P122" s="428"/>
      <c r="Q122" s="428">
        <v>1895.7</v>
      </c>
      <c r="R122" s="428">
        <v>17625</v>
      </c>
      <c r="S122" s="428"/>
      <c r="T122" s="428"/>
      <c r="U122" s="428"/>
      <c r="V122" s="428"/>
      <c r="W122" s="308"/>
      <c r="X122" s="317">
        <f>IFERROR(IF(tblPiNAnalysis5[[#This Row],[CCCM]]="", "", MROUND(tblPiNAnalysis5[[#This Row],[CCCM]]/tblPiNAnalysis5[[#This Row],[PIN]], 0.05)), "")</f>
        <v>0</v>
      </c>
      <c r="Y122" s="318">
        <f>IFERROR(IF(tblPiNAnalysis5[[#This Row],[Education]]="", "", MROUND(tblPiNAnalysis5[[#This Row],[Education]]/tblPiNAnalysis5[[#This Row],[PIN]], 0.05)), "")</f>
        <v>0.1</v>
      </c>
      <c r="Z122" s="318">
        <f>IFERROR(IF(tblPiNAnalysis5[[#This Row],[Nutrition]]="", "", MROUND(tblPiNAnalysis5[[#This Row],[Nutrition]]/tblPiNAnalysis5[[#This Row],[PIN]], 0.05)), "")</f>
        <v>0.1</v>
      </c>
      <c r="AA122" s="318">
        <f>IFERROR(IF(tblPiNAnalysis5[[#This Row],[Food Security]]="", "", MROUND(tblPiNAnalysis5[[#This Row],[Food Security]]/tblPiNAnalysis5[[#This Row],[PIN]], 0.05)), "")</f>
        <v>0.30000000000000004</v>
      </c>
      <c r="AB122" s="318">
        <f>IFERROR(IF(tblPiNAnalysis5[[#This Row],[Health]]="", "", MROUND(tblPiNAnalysis5[[#This Row],[Health]]/tblPiNAnalysis5[[#This Row],[PIN]], 0.05)), "")</f>
        <v>0</v>
      </c>
      <c r="AC122" s="319" t="str">
        <f>IFERROR(IF(tblPiNAnalysis5[[#This Row],[Protection]]="", "", MROUND(tblPiNAnalysis5[[#This Row],[Protection]]/tblPiNAnalysis5[[#This Row],[PIN]], 0.05)), "")</f>
        <v/>
      </c>
      <c r="AD122" s="319">
        <f>IFERROR(IF(tblPiNAnalysis5[[#This Row],[Shelter]]="", "", MROUND(tblPiNAnalysis5[[#This Row],[Shelter]]/tblPiNAnalysis5[[#This Row],[PIN]], 0.05)), "")</f>
        <v>0.05</v>
      </c>
      <c r="AE122" s="320">
        <f>IFERROR(IF(tblPiNAnalysis5[[#This Row],[WASH]]="", "", MROUND(tblPiNAnalysis5[[#This Row],[WASH]]/tblPiNAnalysis5[[#This Row],[PIN]], 0.05)), "")</f>
        <v>0.45</v>
      </c>
      <c r="AF122" s="488">
        <f>VLOOKUP(tblPiNAnalysis5[[#This Row],[ID]],tblPiNAnalysis[[ID]:[Final PiN]],63,FALSE)</f>
        <v>39291</v>
      </c>
      <c r="AG122" s="488">
        <f>IFERROR(IF(tblPiNAnalysis5[[#This Row],[Final TARGET]]="", "", MROUND(tblPiNAnalysis5[[#This Row],[Final TARGET]]/tblPiNAnalysis5[[#This Row],[PIN]], 0.05)), "")</f>
        <v>0.45</v>
      </c>
      <c r="AH122" s="322">
        <f>IF(MAX(tblPiNAnalysis5[[#This Row],[CCCM]:[WASH]])&lt;tblPiNAnalysis5[[#This Row],[PIN]],MAX(tblPiNAnalysis5[[#This Row],[CCCM]:[WASH]]),tblPiNAnalysis5[[#This Row],[PIN]])</f>
        <v>17625</v>
      </c>
      <c r="AI122" s="326"/>
      <c r="AJ122" s="502">
        <f>tblPiNAnalysis5[[#This Row],[CCCM]]</f>
        <v>0</v>
      </c>
      <c r="AK122" s="500">
        <v>2456</v>
      </c>
      <c r="AL122" s="500">
        <v>2965</v>
      </c>
      <c r="AM122" s="500">
        <f>IF(VLOOKUP(tblPiNAnalysis5[[#This Row],[Admin 2 P-Code]],tblSeverityAnalysis[[Admin 2 P-Code]:[WASH]],10,FALSE)&gt;=4,VLOOKUP(tblPiNAnalysis5[[#This Row],[Admin 2 P-Code]],tblPiNAnalysis[[Admin 2 P-Code]:[WASH]],10,FALSE),0)</f>
        <v>0</v>
      </c>
      <c r="AN122" s="503">
        <v>0</v>
      </c>
      <c r="AO122" s="500"/>
      <c r="AP122" s="516">
        <v>1796</v>
      </c>
      <c r="AQ122" s="501">
        <v>8812.5</v>
      </c>
      <c r="AR122" s="383">
        <f>MIN(tblPiNAnalysis5[[#This Row],[Final TARGET]],MAX(tblPiNAnalysis5[[#This Row],[CCCM_PRI]:[WASH_PRI]]))</f>
        <v>8812.5</v>
      </c>
      <c r="AS122" s="383">
        <f>IF(VLOOKUP(tblPiNAnalysis5[[#This Row],[Admin 2 P-Code]],tblSeverityAnalysis[[Admin 2 P-Code]:[Final Severity]],43,FALSE)&gt;=4,VLOOKUP(tblPiNAnalysis5[[#This Row],[Admin 2 P-Code]],tblPiNAnalysis[[Admin 2 P-Code]:[WASH]],8,FALSE),0)</f>
        <v>0</v>
      </c>
    </row>
    <row r="123" spans="1:45" ht="16.5" customHeight="1">
      <c r="A12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Global_PopulationHT0911</v>
      </c>
      <c r="B123" s="304" t="s">
        <v>409</v>
      </c>
      <c r="C123" s="213" t="s">
        <v>410</v>
      </c>
      <c r="D123" s="213" t="s">
        <v>411</v>
      </c>
      <c r="E123" s="103" t="s">
        <v>412</v>
      </c>
      <c r="F123" s="99"/>
      <c r="G123" s="34"/>
      <c r="H123" s="34"/>
      <c r="I123" s="96">
        <v>210942</v>
      </c>
      <c r="J123" s="221" t="s">
        <v>156</v>
      </c>
      <c r="K123" s="427">
        <v>0</v>
      </c>
      <c r="L123" s="428">
        <v>16280</v>
      </c>
      <c r="M123" s="428">
        <v>14691</v>
      </c>
      <c r="N123" s="428">
        <v>127620</v>
      </c>
      <c r="O123" s="428">
        <v>1526.2012307524537</v>
      </c>
      <c r="P123" s="428"/>
      <c r="Q123" s="428">
        <v>1586.5500000000002</v>
      </c>
      <c r="R123" s="428">
        <v>917</v>
      </c>
      <c r="S123" s="428"/>
      <c r="T123" s="428"/>
      <c r="U123" s="428"/>
      <c r="V123" s="428"/>
      <c r="W123" s="308"/>
      <c r="X123" s="317">
        <f>IFERROR(IF(tblPiNAnalysis5[[#This Row],[CCCM]]="", "", MROUND(tblPiNAnalysis5[[#This Row],[CCCM]]/tblPiNAnalysis5[[#This Row],[PIN]], 0.05)), "")</f>
        <v>0</v>
      </c>
      <c r="Y123" s="318">
        <f>IFERROR(IF(tblPiNAnalysis5[[#This Row],[Education]]="", "", MROUND(tblPiNAnalysis5[[#This Row],[Education]]/tblPiNAnalysis5[[#This Row],[PIN]], 0.05)), "")</f>
        <v>0.1</v>
      </c>
      <c r="Z123" s="318">
        <f>IFERROR(IF(tblPiNAnalysis5[[#This Row],[Nutrition]]="", "", MROUND(tblPiNAnalysis5[[#This Row],[Nutrition]]/tblPiNAnalysis5[[#This Row],[PIN]], 0.05)), "")</f>
        <v>0.1</v>
      </c>
      <c r="AA123" s="318">
        <f>IFERROR(IF(tblPiNAnalysis5[[#This Row],[Food Security]]="", "", MROUND(tblPiNAnalysis5[[#This Row],[Food Security]]/tblPiNAnalysis5[[#This Row],[PIN]], 0.05)), "")</f>
        <v>0.9</v>
      </c>
      <c r="AB123" s="318">
        <f>IFERROR(IF(tblPiNAnalysis5[[#This Row],[Health]]="", "", MROUND(tblPiNAnalysis5[[#This Row],[Health]]/tblPiNAnalysis5[[#This Row],[PIN]], 0.05)), "")</f>
        <v>0</v>
      </c>
      <c r="AC123" s="319" t="str">
        <f>IFERROR(IF(tblPiNAnalysis5[[#This Row],[Protection]]="", "", MROUND(tblPiNAnalysis5[[#This Row],[Protection]]/tblPiNAnalysis5[[#This Row],[PIN]], 0.05)), "")</f>
        <v/>
      </c>
      <c r="AD123" s="319">
        <f>IFERROR(IF(tblPiNAnalysis5[[#This Row],[Shelter]]="", "", MROUND(tblPiNAnalysis5[[#This Row],[Shelter]]/tblPiNAnalysis5[[#This Row],[PIN]], 0.05)), "")</f>
        <v>0</v>
      </c>
      <c r="AE123" s="320">
        <f>IFERROR(IF(tblPiNAnalysis5[[#This Row],[WASH]]="", "", MROUND(tblPiNAnalysis5[[#This Row],[WASH]]/tblPiNAnalysis5[[#This Row],[PIN]], 0.05)), "")</f>
        <v>0</v>
      </c>
      <c r="AF123" s="488">
        <f>VLOOKUP(tblPiNAnalysis5[[#This Row],[ID]],tblPiNAnalysis[[ID]:[Final PiN]],63,FALSE)</f>
        <v>145340</v>
      </c>
      <c r="AG123" s="488">
        <f>IFERROR(IF(tblPiNAnalysis5[[#This Row],[Final TARGET]]="", "", MROUND(tblPiNAnalysis5[[#This Row],[Final TARGET]]/tblPiNAnalysis5[[#This Row],[PIN]], 0.05)), "")</f>
        <v>0.9</v>
      </c>
      <c r="AH123" s="322">
        <f>IF(MAX(tblPiNAnalysis5[[#This Row],[CCCM]:[WASH]])&lt;tblPiNAnalysis5[[#This Row],[PIN]],MAX(tblPiNAnalysis5[[#This Row],[CCCM]:[WASH]]),tblPiNAnalysis5[[#This Row],[PIN]])</f>
        <v>127620</v>
      </c>
      <c r="AI123" s="326"/>
      <c r="AJ123" s="502">
        <f>tblPiNAnalysis5[[#This Row],[CCCM]]</f>
        <v>0</v>
      </c>
      <c r="AK123" s="500">
        <v>7625</v>
      </c>
      <c r="AL123" s="500">
        <v>10994</v>
      </c>
      <c r="AM123" s="500">
        <f>IF(VLOOKUP(tblPiNAnalysis5[[#This Row],[Admin 2 P-Code]],tblSeverityAnalysis[[Admin 2 P-Code]:[WASH]],10,FALSE)&gt;=4,VLOOKUP(tblPiNAnalysis5[[#This Row],[Admin 2 P-Code]],tblPiNAnalysis[[Admin 2 P-Code]:[WASH]],10,FALSE),0)</f>
        <v>145340</v>
      </c>
      <c r="AN123" s="503">
        <v>0</v>
      </c>
      <c r="AO123" s="500"/>
      <c r="AP123" s="516">
        <v>1487</v>
      </c>
      <c r="AQ123" s="501">
        <v>458.5</v>
      </c>
      <c r="AR123" s="383">
        <f>MIN(tblPiNAnalysis5[[#This Row],[Final TARGET]],MAX(tblPiNAnalysis5[[#This Row],[CCCM_PRI]:[WASH_PRI]]))</f>
        <v>127620</v>
      </c>
      <c r="AS123" s="383">
        <f>IF(VLOOKUP(tblPiNAnalysis5[[#This Row],[Admin 2 P-Code]],tblSeverityAnalysis[[Admin 2 P-Code]:[Final Severity]],43,FALSE)&gt;=4,VLOOKUP(tblPiNAnalysis5[[#This Row],[Admin 2 P-Code]],tblPiNAnalysis[[Admin 2 P-Code]:[WASH]],8,FALSE),0)</f>
        <v>0</v>
      </c>
    </row>
    <row r="124" spans="1:45" ht="16.5" customHeight="1">
      <c r="A12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Global_PopulationHT0912</v>
      </c>
      <c r="B124" s="304" t="s">
        <v>409</v>
      </c>
      <c r="C124" s="213" t="s">
        <v>410</v>
      </c>
      <c r="D124" s="213" t="s">
        <v>413</v>
      </c>
      <c r="E124" s="103" t="s">
        <v>414</v>
      </c>
      <c r="F124" s="99"/>
      <c r="G124" s="34"/>
      <c r="H124" s="34"/>
      <c r="I124" s="96">
        <v>40156</v>
      </c>
      <c r="J124" s="221" t="s">
        <v>156</v>
      </c>
      <c r="K124" s="427">
        <v>0</v>
      </c>
      <c r="L124" s="428">
        <v>3343</v>
      </c>
      <c r="M124" s="428">
        <v>2541</v>
      </c>
      <c r="N124" s="428">
        <v>24652</v>
      </c>
      <c r="O124" s="428">
        <v>0</v>
      </c>
      <c r="P124" s="428"/>
      <c r="Q124" s="428">
        <v>287.70000000000005</v>
      </c>
      <c r="R124" s="428">
        <v>155</v>
      </c>
      <c r="S124" s="428"/>
      <c r="T124" s="428"/>
      <c r="U124" s="428"/>
      <c r="V124" s="428"/>
      <c r="W124" s="308"/>
      <c r="X124" s="317">
        <f>IFERROR(IF(tblPiNAnalysis5[[#This Row],[CCCM]]="", "", MROUND(tblPiNAnalysis5[[#This Row],[CCCM]]/tblPiNAnalysis5[[#This Row],[PIN]], 0.05)), "")</f>
        <v>0</v>
      </c>
      <c r="Y124" s="318">
        <f>IFERROR(IF(tblPiNAnalysis5[[#This Row],[Education]]="", "", MROUND(tblPiNAnalysis5[[#This Row],[Education]]/tblPiNAnalysis5[[#This Row],[PIN]], 0.05)), "")</f>
        <v>0.1</v>
      </c>
      <c r="Z124" s="318">
        <f>IFERROR(IF(tblPiNAnalysis5[[#This Row],[Nutrition]]="", "", MROUND(tblPiNAnalysis5[[#This Row],[Nutrition]]/tblPiNAnalysis5[[#This Row],[PIN]], 0.05)), "")</f>
        <v>0.1</v>
      </c>
      <c r="AA124" s="318">
        <f>IFERROR(IF(tblPiNAnalysis5[[#This Row],[Food Security]]="", "", MROUND(tblPiNAnalysis5[[#This Row],[Food Security]]/tblPiNAnalysis5[[#This Row],[PIN]], 0.05)), "")</f>
        <v>0.8</v>
      </c>
      <c r="AB124" s="318">
        <f>IFERROR(IF(tblPiNAnalysis5[[#This Row],[Health]]="", "", MROUND(tblPiNAnalysis5[[#This Row],[Health]]/tblPiNAnalysis5[[#This Row],[PIN]], 0.05)), "")</f>
        <v>0</v>
      </c>
      <c r="AC124" s="319" t="str">
        <f>IFERROR(IF(tblPiNAnalysis5[[#This Row],[Protection]]="", "", MROUND(tblPiNAnalysis5[[#This Row],[Protection]]/tblPiNAnalysis5[[#This Row],[PIN]], 0.05)), "")</f>
        <v/>
      </c>
      <c r="AD124" s="319">
        <f>IFERROR(IF(tblPiNAnalysis5[[#This Row],[Shelter]]="", "", MROUND(tblPiNAnalysis5[[#This Row],[Shelter]]/tblPiNAnalysis5[[#This Row],[PIN]], 0.05)), "")</f>
        <v>0</v>
      </c>
      <c r="AE124" s="320">
        <f>IFERROR(IF(tblPiNAnalysis5[[#This Row],[WASH]]="", "", MROUND(tblPiNAnalysis5[[#This Row],[WASH]]/tblPiNAnalysis5[[#This Row],[PIN]], 0.05)), "")</f>
        <v>0</v>
      </c>
      <c r="AF124" s="488">
        <f>VLOOKUP(tblPiNAnalysis5[[#This Row],[ID]],tblPiNAnalysis[[ID]:[Final PiN]],63,FALSE)</f>
        <v>30117</v>
      </c>
      <c r="AG124" s="488">
        <f>IFERROR(IF(tblPiNAnalysis5[[#This Row],[Final TARGET]]="", "", MROUND(tblPiNAnalysis5[[#This Row],[Final TARGET]]/tblPiNAnalysis5[[#This Row],[PIN]], 0.05)), "")</f>
        <v>0.8</v>
      </c>
      <c r="AH124" s="322">
        <f>IF(MAX(tblPiNAnalysis5[[#This Row],[CCCM]:[WASH]])&lt;tblPiNAnalysis5[[#This Row],[PIN]],MAX(tblPiNAnalysis5[[#This Row],[CCCM]:[WASH]]),tblPiNAnalysis5[[#This Row],[PIN]])</f>
        <v>24652</v>
      </c>
      <c r="AI124" s="326"/>
      <c r="AJ124" s="502">
        <f>tblPiNAnalysis5[[#This Row],[CCCM]]</f>
        <v>0</v>
      </c>
      <c r="AK124" s="500">
        <v>1563</v>
      </c>
      <c r="AL124" s="500">
        <v>1826</v>
      </c>
      <c r="AM124" s="500">
        <f>IF(VLOOKUP(tblPiNAnalysis5[[#This Row],[Admin 2 P-Code]],tblSeverityAnalysis[[Admin 2 P-Code]:[WASH]],10,FALSE)&gt;=4,VLOOKUP(tblPiNAnalysis5[[#This Row],[Admin 2 P-Code]],tblPiNAnalysis[[Admin 2 P-Code]:[WASH]],10,FALSE),0)</f>
        <v>28112</v>
      </c>
      <c r="AN124" s="503">
        <v>0</v>
      </c>
      <c r="AO124" s="500"/>
      <c r="AP124" s="516">
        <v>188</v>
      </c>
      <c r="AQ124" s="501">
        <v>77.5</v>
      </c>
      <c r="AR124" s="383">
        <f>MIN(tblPiNAnalysis5[[#This Row],[Final TARGET]],MAX(tblPiNAnalysis5[[#This Row],[CCCM_PRI]:[WASH_PRI]]))</f>
        <v>24652</v>
      </c>
      <c r="AS124" s="383">
        <f>IF(VLOOKUP(tblPiNAnalysis5[[#This Row],[Admin 2 P-Code]],tblSeverityAnalysis[[Admin 2 P-Code]:[Final Severity]],43,FALSE)&gt;=4,VLOOKUP(tblPiNAnalysis5[[#This Row],[Admin 2 P-Code]],tblPiNAnalysis[[Admin 2 P-Code]:[WASH]],8,FALSE),0)</f>
        <v>0</v>
      </c>
    </row>
    <row r="125" spans="1:45" ht="16.5" customHeight="1">
      <c r="A12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Global_PopulationHT0913</v>
      </c>
      <c r="B125" s="304" t="s">
        <v>409</v>
      </c>
      <c r="C125" s="213" t="s">
        <v>410</v>
      </c>
      <c r="D125" s="213" t="s">
        <v>415</v>
      </c>
      <c r="E125" s="103" t="s">
        <v>416</v>
      </c>
      <c r="F125" s="99"/>
      <c r="G125" s="34"/>
      <c r="H125" s="34"/>
      <c r="I125" s="96">
        <v>65669</v>
      </c>
      <c r="J125" s="221" t="s">
        <v>156</v>
      </c>
      <c r="K125" s="427">
        <v>0</v>
      </c>
      <c r="L125" s="428">
        <v>5611</v>
      </c>
      <c r="M125" s="428">
        <v>4185</v>
      </c>
      <c r="N125" s="428">
        <v>26644</v>
      </c>
      <c r="O125" s="428">
        <v>920.9154803797469</v>
      </c>
      <c r="P125" s="428"/>
      <c r="Q125" s="428">
        <v>319.60000000000002</v>
      </c>
      <c r="R125" s="428">
        <v>1896</v>
      </c>
      <c r="S125" s="428"/>
      <c r="T125" s="428"/>
      <c r="U125" s="428"/>
      <c r="V125" s="428"/>
      <c r="W125" s="308"/>
      <c r="X125" s="317">
        <f>IFERROR(IF(tblPiNAnalysis5[[#This Row],[CCCM]]="", "", MROUND(tblPiNAnalysis5[[#This Row],[CCCM]]/tblPiNAnalysis5[[#This Row],[PIN]], 0.05)), "")</f>
        <v>0</v>
      </c>
      <c r="Y125" s="318">
        <f>IFERROR(IF(tblPiNAnalysis5[[#This Row],[Education]]="", "", MROUND(tblPiNAnalysis5[[#This Row],[Education]]/tblPiNAnalysis5[[#This Row],[PIN]], 0.05)), "")</f>
        <v>0.1</v>
      </c>
      <c r="Z125" s="318">
        <f>IFERROR(IF(tblPiNAnalysis5[[#This Row],[Nutrition]]="", "", MROUND(tblPiNAnalysis5[[#This Row],[Nutrition]]/tblPiNAnalysis5[[#This Row],[PIN]], 0.05)), "")</f>
        <v>0.1</v>
      </c>
      <c r="AA125" s="318">
        <f>IFERROR(IF(tblPiNAnalysis5[[#This Row],[Food Security]]="", "", MROUND(tblPiNAnalysis5[[#This Row],[Food Security]]/tblPiNAnalysis5[[#This Row],[PIN]], 0.05)), "")</f>
        <v>0.5</v>
      </c>
      <c r="AB125" s="318">
        <f>IFERROR(IF(tblPiNAnalysis5[[#This Row],[Health]]="", "", MROUND(tblPiNAnalysis5[[#This Row],[Health]]/tblPiNAnalysis5[[#This Row],[PIN]], 0.05)), "")</f>
        <v>0</v>
      </c>
      <c r="AC125" s="319" t="str">
        <f>IFERROR(IF(tblPiNAnalysis5[[#This Row],[Protection]]="", "", MROUND(tblPiNAnalysis5[[#This Row],[Protection]]/tblPiNAnalysis5[[#This Row],[PIN]], 0.05)), "")</f>
        <v/>
      </c>
      <c r="AD125" s="319">
        <f>IFERROR(IF(tblPiNAnalysis5[[#This Row],[Shelter]]="", "", MROUND(tblPiNAnalysis5[[#This Row],[Shelter]]/tblPiNAnalysis5[[#This Row],[PIN]], 0.05)), "")</f>
        <v>0</v>
      </c>
      <c r="AE125" s="320">
        <f>IFERROR(IF(tblPiNAnalysis5[[#This Row],[WASH]]="", "", MROUND(tblPiNAnalysis5[[#This Row],[WASH]]/tblPiNAnalysis5[[#This Row],[PIN]], 0.05)), "")</f>
        <v>0.05</v>
      </c>
      <c r="AF125" s="488">
        <f>VLOOKUP(tblPiNAnalysis5[[#This Row],[ID]],tblPiNAnalysis[[ID]:[Final PiN]],63,FALSE)</f>
        <v>55600</v>
      </c>
      <c r="AG125" s="488">
        <f>IFERROR(IF(tblPiNAnalysis5[[#This Row],[Final TARGET]]="", "", MROUND(tblPiNAnalysis5[[#This Row],[Final TARGET]]/tblPiNAnalysis5[[#This Row],[PIN]], 0.05)), "")</f>
        <v>0.5</v>
      </c>
      <c r="AH125" s="322">
        <f>IF(MAX(tblPiNAnalysis5[[#This Row],[CCCM]:[WASH]])&lt;tblPiNAnalysis5[[#This Row],[PIN]],MAX(tblPiNAnalysis5[[#This Row],[CCCM]:[WASH]]),tblPiNAnalysis5[[#This Row],[PIN]])</f>
        <v>26644</v>
      </c>
      <c r="AI125" s="326"/>
      <c r="AJ125" s="502">
        <f>tblPiNAnalysis5[[#This Row],[CCCM]]</f>
        <v>0</v>
      </c>
      <c r="AK125" s="500">
        <v>2762</v>
      </c>
      <c r="AL125" s="500">
        <v>2964</v>
      </c>
      <c r="AM125" s="500">
        <f>IF(VLOOKUP(tblPiNAnalysis5[[#This Row],[Admin 2 P-Code]],tblSeverityAnalysis[[Admin 2 P-Code]:[WASH]],10,FALSE)&gt;=4,VLOOKUP(tblPiNAnalysis5[[#This Row],[Admin 2 P-Code]],tblPiNAnalysis[[Admin 2 P-Code]:[WASH]],10,FALSE),0)</f>
        <v>30163</v>
      </c>
      <c r="AN125" s="503">
        <v>0</v>
      </c>
      <c r="AO125" s="500"/>
      <c r="AP125" s="516">
        <v>220</v>
      </c>
      <c r="AQ125" s="501">
        <v>1680</v>
      </c>
      <c r="AR125" s="383">
        <f>MIN(tblPiNAnalysis5[[#This Row],[Final TARGET]],MAX(tblPiNAnalysis5[[#This Row],[CCCM_PRI]:[WASH_PRI]]))</f>
        <v>26644</v>
      </c>
      <c r="AS125" s="383">
        <f>IF(VLOOKUP(tblPiNAnalysis5[[#This Row],[Admin 2 P-Code]],tblSeverityAnalysis[[Admin 2 P-Code]:[Final Severity]],43,FALSE)&gt;=4,VLOOKUP(tblPiNAnalysis5[[#This Row],[Admin 2 P-Code]],tblPiNAnalysis[[Admin 2 P-Code]:[WASH]],8,FALSE),0)</f>
        <v>0</v>
      </c>
    </row>
    <row r="126" spans="1:45" ht="16.5" customHeight="1">
      <c r="A12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Global_PopulationHT0914</v>
      </c>
      <c r="B126" s="304" t="s">
        <v>409</v>
      </c>
      <c r="C126" s="213" t="s">
        <v>410</v>
      </c>
      <c r="D126" s="213" t="s">
        <v>417</v>
      </c>
      <c r="E126" s="103" t="s">
        <v>418</v>
      </c>
      <c r="F126" s="99"/>
      <c r="G126" s="34"/>
      <c r="H126" s="34"/>
      <c r="I126" s="96">
        <v>31537</v>
      </c>
      <c r="J126" s="221" t="s">
        <v>156</v>
      </c>
      <c r="K126" s="427">
        <v>0</v>
      </c>
      <c r="L126" s="428">
        <v>2670</v>
      </c>
      <c r="M126" s="428">
        <v>1861</v>
      </c>
      <c r="N126" s="428">
        <v>30842</v>
      </c>
      <c r="O126" s="428">
        <v>0</v>
      </c>
      <c r="P126" s="428"/>
      <c r="Q126" s="428">
        <v>135.30000000000001</v>
      </c>
      <c r="R126" s="428">
        <v>290</v>
      </c>
      <c r="S126" s="428"/>
      <c r="T126" s="428"/>
      <c r="U126" s="428"/>
      <c r="V126" s="428"/>
      <c r="W126" s="308"/>
      <c r="X126" s="317">
        <f>IFERROR(IF(tblPiNAnalysis5[[#This Row],[CCCM]]="", "", MROUND(tblPiNAnalysis5[[#This Row],[CCCM]]/tblPiNAnalysis5[[#This Row],[PIN]], 0.05)), "")</f>
        <v>0</v>
      </c>
      <c r="Y126" s="318">
        <f>IFERROR(IF(tblPiNAnalysis5[[#This Row],[Education]]="", "", MROUND(tblPiNAnalysis5[[#This Row],[Education]]/tblPiNAnalysis5[[#This Row],[PIN]], 0.05)), "")</f>
        <v>0.15000000000000002</v>
      </c>
      <c r="Z126" s="318">
        <f>IFERROR(IF(tblPiNAnalysis5[[#This Row],[Nutrition]]="", "", MROUND(tblPiNAnalysis5[[#This Row],[Nutrition]]/tblPiNAnalysis5[[#This Row],[PIN]], 0.05)), "")</f>
        <v>0.1</v>
      </c>
      <c r="AA126" s="318">
        <f>IFERROR(IF(tblPiNAnalysis5[[#This Row],[Food Security]]="", "", MROUND(tblPiNAnalysis5[[#This Row],[Food Security]]/tblPiNAnalysis5[[#This Row],[PIN]], 0.05)), "")</f>
        <v>1.55</v>
      </c>
      <c r="AB126" s="318">
        <f>IFERROR(IF(tblPiNAnalysis5[[#This Row],[Health]]="", "", MROUND(tblPiNAnalysis5[[#This Row],[Health]]/tblPiNAnalysis5[[#This Row],[PIN]], 0.05)), "")</f>
        <v>0</v>
      </c>
      <c r="AC126" s="319" t="str">
        <f>IFERROR(IF(tblPiNAnalysis5[[#This Row],[Protection]]="", "", MROUND(tblPiNAnalysis5[[#This Row],[Protection]]/tblPiNAnalysis5[[#This Row],[PIN]], 0.05)), "")</f>
        <v/>
      </c>
      <c r="AD126" s="319">
        <f>IFERROR(IF(tblPiNAnalysis5[[#This Row],[Shelter]]="", "", MROUND(tblPiNAnalysis5[[#This Row],[Shelter]]/tblPiNAnalysis5[[#This Row],[PIN]], 0.05)), "")</f>
        <v>0</v>
      </c>
      <c r="AE126" s="320">
        <f>IFERROR(IF(tblPiNAnalysis5[[#This Row],[WASH]]="", "", MROUND(tblPiNAnalysis5[[#This Row],[WASH]]/tblPiNAnalysis5[[#This Row],[PIN]], 0.05)), "")</f>
        <v>0</v>
      </c>
      <c r="AF126" s="488">
        <f>VLOOKUP(tblPiNAnalysis5[[#This Row],[ID]],tblPiNAnalysis[[ID]:[Final PiN]],63,FALSE)</f>
        <v>19774</v>
      </c>
      <c r="AG126" s="488">
        <f>IFERROR(IF(tblPiNAnalysis5[[#This Row],[Final TARGET]]="", "", MROUND(tblPiNAnalysis5[[#This Row],[Final TARGET]]/tblPiNAnalysis5[[#This Row],[PIN]], 0.05)), "")</f>
        <v>1</v>
      </c>
      <c r="AH126" s="322">
        <f>IF(MAX(tblPiNAnalysis5[[#This Row],[CCCM]:[WASH]])&lt;tblPiNAnalysis5[[#This Row],[PIN]],MAX(tblPiNAnalysis5[[#This Row],[CCCM]:[WASH]]),tblPiNAnalysis5[[#This Row],[PIN]])</f>
        <v>19774</v>
      </c>
      <c r="AI126" s="326"/>
      <c r="AJ126" s="502">
        <f>tblPiNAnalysis5[[#This Row],[CCCM]]</f>
        <v>0</v>
      </c>
      <c r="AK126" s="500">
        <v>1263</v>
      </c>
      <c r="AL126" s="500">
        <v>1326</v>
      </c>
      <c r="AM126" s="500">
        <f>IF(VLOOKUP(tblPiNAnalysis5[[#This Row],[Admin 2 P-Code]],tblSeverityAnalysis[[Admin 2 P-Code]:[WASH]],10,FALSE)&gt;=4,VLOOKUP(tblPiNAnalysis5[[#This Row],[Admin 2 P-Code]],tblPiNAnalysis[[Admin 2 P-Code]:[WASH]],10,FALSE),0)</f>
        <v>35171</v>
      </c>
      <c r="AN126" s="503">
        <v>0</v>
      </c>
      <c r="AO126" s="500"/>
      <c r="AP126" s="516">
        <v>35</v>
      </c>
      <c r="AQ126" s="501">
        <v>4200</v>
      </c>
      <c r="AR126" s="383">
        <f>MIN(tblPiNAnalysis5[[#This Row],[Final TARGET]],MAX(tblPiNAnalysis5[[#This Row],[CCCM_PRI]:[WASH_PRI]]))</f>
        <v>19774</v>
      </c>
      <c r="AS126" s="383">
        <f>IF(VLOOKUP(tblPiNAnalysis5[[#This Row],[Admin 2 P-Code]],tblSeverityAnalysis[[Admin 2 P-Code]:[Final Severity]],43,FALSE)&gt;=4,VLOOKUP(tblPiNAnalysis5[[#This Row],[Admin 2 P-Code]],tblPiNAnalysis[[Admin 2 P-Code]:[WASH]],8,FALSE),0)</f>
        <v>0</v>
      </c>
    </row>
    <row r="127" spans="1:45" ht="16.5" customHeight="1">
      <c r="A12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Global_PopulationHT0921</v>
      </c>
      <c r="B127" s="304" t="s">
        <v>409</v>
      </c>
      <c r="C127" s="213" t="s">
        <v>410</v>
      </c>
      <c r="D127" s="213" t="s">
        <v>419</v>
      </c>
      <c r="E127" s="103" t="s">
        <v>420</v>
      </c>
      <c r="F127" s="99"/>
      <c r="G127" s="34"/>
      <c r="H127" s="34"/>
      <c r="I127" s="96">
        <v>120555</v>
      </c>
      <c r="J127" s="221" t="s">
        <v>156</v>
      </c>
      <c r="K127" s="427">
        <v>0</v>
      </c>
      <c r="L127" s="428">
        <v>9761</v>
      </c>
      <c r="M127" s="428">
        <v>7675</v>
      </c>
      <c r="N127" s="428">
        <v>73795</v>
      </c>
      <c r="O127" s="428">
        <v>1950.5913670858179</v>
      </c>
      <c r="P127" s="428"/>
      <c r="Q127" s="428">
        <v>689</v>
      </c>
      <c r="R127" s="428">
        <v>3857</v>
      </c>
      <c r="S127" s="428"/>
      <c r="T127" s="428"/>
      <c r="U127" s="428"/>
      <c r="V127" s="428"/>
      <c r="W127" s="308"/>
      <c r="X127" s="317">
        <f>IFERROR(IF(tblPiNAnalysis5[[#This Row],[CCCM]]="", "", MROUND(tblPiNAnalysis5[[#This Row],[CCCM]]/tblPiNAnalysis5[[#This Row],[PIN]], 0.05)), "")</f>
        <v>0</v>
      </c>
      <c r="Y127" s="318">
        <f>IFERROR(IF(tblPiNAnalysis5[[#This Row],[Education]]="", "", MROUND(tblPiNAnalysis5[[#This Row],[Education]]/tblPiNAnalysis5[[#This Row],[PIN]], 0.05)), "")</f>
        <v>0.1</v>
      </c>
      <c r="Z127" s="318">
        <f>IFERROR(IF(tblPiNAnalysis5[[#This Row],[Nutrition]]="", "", MROUND(tblPiNAnalysis5[[#This Row],[Nutrition]]/tblPiNAnalysis5[[#This Row],[PIN]], 0.05)), "")</f>
        <v>0.1</v>
      </c>
      <c r="AA127" s="318">
        <f>IFERROR(IF(tblPiNAnalysis5[[#This Row],[Food Security]]="", "", MROUND(tblPiNAnalysis5[[#This Row],[Food Security]]/tblPiNAnalysis5[[#This Row],[PIN]], 0.05)), "")</f>
        <v>0.9</v>
      </c>
      <c r="AB127" s="318">
        <f>IFERROR(IF(tblPiNAnalysis5[[#This Row],[Health]]="", "", MROUND(tblPiNAnalysis5[[#This Row],[Health]]/tblPiNAnalysis5[[#This Row],[PIN]], 0.05)), "")</f>
        <v>0</v>
      </c>
      <c r="AC127" s="319" t="str">
        <f>IFERROR(IF(tblPiNAnalysis5[[#This Row],[Protection]]="", "", MROUND(tblPiNAnalysis5[[#This Row],[Protection]]/tblPiNAnalysis5[[#This Row],[PIN]], 0.05)), "")</f>
        <v/>
      </c>
      <c r="AD127" s="319">
        <f>IFERROR(IF(tblPiNAnalysis5[[#This Row],[Shelter]]="", "", MROUND(tblPiNAnalysis5[[#This Row],[Shelter]]/tblPiNAnalysis5[[#This Row],[PIN]], 0.05)), "")</f>
        <v>0</v>
      </c>
      <c r="AE127" s="320">
        <f>IFERROR(IF(tblPiNAnalysis5[[#This Row],[WASH]]="", "", MROUND(tblPiNAnalysis5[[#This Row],[WASH]]/tblPiNAnalysis5[[#This Row],[PIN]], 0.05)), "")</f>
        <v>0.05</v>
      </c>
      <c r="AF127" s="488">
        <f>VLOOKUP(tblPiNAnalysis5[[#This Row],[ID]],tblPiNAnalysis[[ID]:[Final PiN]],63,FALSE)</f>
        <v>84152</v>
      </c>
      <c r="AG127" s="488">
        <f>IFERROR(IF(tblPiNAnalysis5[[#This Row],[Final TARGET]]="", "", MROUND(tblPiNAnalysis5[[#This Row],[Final TARGET]]/tblPiNAnalysis5[[#This Row],[PIN]], 0.05)), "")</f>
        <v>0.9</v>
      </c>
      <c r="AH127" s="322">
        <f>IF(MAX(tblPiNAnalysis5[[#This Row],[CCCM]:[WASH]])&lt;tblPiNAnalysis5[[#This Row],[PIN]],MAX(tblPiNAnalysis5[[#This Row],[CCCM]:[WASH]]),tblPiNAnalysis5[[#This Row],[PIN]])</f>
        <v>73795</v>
      </c>
      <c r="AI127" s="326"/>
      <c r="AJ127" s="502">
        <f>tblPiNAnalysis5[[#This Row],[CCCM]]</f>
        <v>0</v>
      </c>
      <c r="AK127" s="500">
        <v>4842</v>
      </c>
      <c r="AL127" s="500">
        <v>5727</v>
      </c>
      <c r="AM127" s="500">
        <f>IF(VLOOKUP(tblPiNAnalysis5[[#This Row],[Admin 2 P-Code]],tblSeverityAnalysis[[Admin 2 P-Code]:[WASH]],10,FALSE)&gt;=4,VLOOKUP(tblPiNAnalysis5[[#This Row],[Admin 2 P-Code]],tblPiNAnalysis[[Admin 2 P-Code]:[WASH]],10,FALSE),0)</f>
        <v>84152</v>
      </c>
      <c r="AN127" s="503">
        <v>0</v>
      </c>
      <c r="AO127" s="500"/>
      <c r="AP127" s="516">
        <v>689</v>
      </c>
      <c r="AQ127" s="501">
        <v>1928.5</v>
      </c>
      <c r="AR127" s="383">
        <f>MIN(tblPiNAnalysis5[[#This Row],[Final TARGET]],MAX(tblPiNAnalysis5[[#This Row],[CCCM_PRI]:[WASH_PRI]]))</f>
        <v>73795</v>
      </c>
      <c r="AS127" s="383">
        <f>IF(VLOOKUP(tblPiNAnalysis5[[#This Row],[Admin 2 P-Code]],tblSeverityAnalysis[[Admin 2 P-Code]:[Final Severity]],43,FALSE)&gt;=4,VLOOKUP(tblPiNAnalysis5[[#This Row],[Admin 2 P-Code]],tblPiNAnalysis[[Admin 2 P-Code]:[WASH]],8,FALSE),0)</f>
        <v>0</v>
      </c>
    </row>
    <row r="128" spans="1:45" ht="16.5" customHeight="1">
      <c r="A128" s="227"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Global_PopulationHT0922</v>
      </c>
      <c r="B128" s="255" t="s">
        <v>409</v>
      </c>
      <c r="C128" s="213" t="s">
        <v>410</v>
      </c>
      <c r="D128" s="256" t="s">
        <v>421</v>
      </c>
      <c r="E128" s="103" t="s">
        <v>422</v>
      </c>
      <c r="F128" s="99"/>
      <c r="G128" s="34"/>
      <c r="H128" s="34"/>
      <c r="I128" s="96">
        <v>31659</v>
      </c>
      <c r="J128" s="221" t="s">
        <v>156</v>
      </c>
      <c r="K128" s="429">
        <v>0</v>
      </c>
      <c r="L128" s="430">
        <v>2667</v>
      </c>
      <c r="M128" s="430">
        <v>1877</v>
      </c>
      <c r="N128" s="430">
        <v>19165</v>
      </c>
      <c r="O128" s="428">
        <v>612.71531764705878</v>
      </c>
      <c r="P128" s="430"/>
      <c r="Q128" s="428">
        <v>272</v>
      </c>
      <c r="R128" s="428">
        <v>1156</v>
      </c>
      <c r="S128" s="430"/>
      <c r="T128" s="430"/>
      <c r="U128" s="430"/>
      <c r="V128" s="428"/>
      <c r="W128" s="214"/>
      <c r="X128" s="258">
        <f>IFERROR(IF(tblPiNAnalysis5[[#This Row],[CCCM]]="", "", MROUND(tblPiNAnalysis5[[#This Row],[CCCM]]/tblPiNAnalysis5[[#This Row],[PIN]], 0.05)), "")</f>
        <v>0</v>
      </c>
      <c r="Y128" s="259">
        <f>IFERROR(IF(tblPiNAnalysis5[[#This Row],[Education]]="", "", MROUND(tblPiNAnalysis5[[#This Row],[Education]]/tblPiNAnalysis5[[#This Row],[PIN]], 0.05)), "")</f>
        <v>0.1</v>
      </c>
      <c r="Z128" s="259">
        <f>IFERROR(IF(tblPiNAnalysis5[[#This Row],[Nutrition]]="", "", MROUND(tblPiNAnalysis5[[#This Row],[Nutrition]]/tblPiNAnalysis5[[#This Row],[PIN]], 0.05)), "")</f>
        <v>0.1</v>
      </c>
      <c r="AA128" s="259">
        <f>IFERROR(IF(tblPiNAnalysis5[[#This Row],[Food Security]]="", "", MROUND(tblPiNAnalysis5[[#This Row],[Food Security]]/tblPiNAnalysis5[[#This Row],[PIN]], 0.05)), "")</f>
        <v>0.9</v>
      </c>
      <c r="AB128" s="259">
        <f>IFERROR(IF(tblPiNAnalysis5[[#This Row],[Health]]="", "", MROUND(tblPiNAnalysis5[[#This Row],[Health]]/tblPiNAnalysis5[[#This Row],[PIN]], 0.05)), "")</f>
        <v>0.05</v>
      </c>
      <c r="AC128" s="260" t="str">
        <f>IFERROR(IF(tblPiNAnalysis5[[#This Row],[Protection]]="", "", MROUND(tblPiNAnalysis5[[#This Row],[Protection]]/tblPiNAnalysis5[[#This Row],[PIN]], 0.05)), "")</f>
        <v/>
      </c>
      <c r="AD128" s="260">
        <f>IFERROR(IF(tblPiNAnalysis5[[#This Row],[Shelter]]="", "", MROUND(tblPiNAnalysis5[[#This Row],[Shelter]]/tblPiNAnalysis5[[#This Row],[PIN]], 0.05)), "")</f>
        <v>0</v>
      </c>
      <c r="AE128" s="261">
        <f>IFERROR(IF(tblPiNAnalysis5[[#This Row],[WASH]]="", "", MROUND(tblPiNAnalysis5[[#This Row],[WASH]]/tblPiNAnalysis5[[#This Row],[PIN]], 0.05)), "")</f>
        <v>0.05</v>
      </c>
      <c r="AF128" s="489">
        <f>VLOOKUP(tblPiNAnalysis5[[#This Row],[ID]],tblPiNAnalysis[[ID]:[Final PiN]],63,FALSE)</f>
        <v>21855</v>
      </c>
      <c r="AG128" s="489">
        <f>IFERROR(IF(tblPiNAnalysis5[[#This Row],[Final TARGET]]="", "", MROUND(tblPiNAnalysis5[[#This Row],[Final TARGET]]/tblPiNAnalysis5[[#This Row],[PIN]], 0.05)), "")</f>
        <v>0.9</v>
      </c>
      <c r="AH128" s="263">
        <f>IF(MAX(tblPiNAnalysis5[[#This Row],[CCCM]:[WASH]])&lt;tblPiNAnalysis5[[#This Row],[PIN]],MAX(tblPiNAnalysis5[[#This Row],[CCCM]:[WASH]]),tblPiNAnalysis5[[#This Row],[PIN]])</f>
        <v>19165</v>
      </c>
      <c r="AI128" s="268"/>
      <c r="AJ128" s="502">
        <f>tblPiNAnalysis5[[#This Row],[CCCM]]</f>
        <v>0</v>
      </c>
      <c r="AK128" s="500">
        <v>1338</v>
      </c>
      <c r="AL128" s="500">
        <v>1333</v>
      </c>
      <c r="AM128" s="500">
        <f>IF(VLOOKUP(tblPiNAnalysis5[[#This Row],[Admin 2 P-Code]],tblSeverityAnalysis[[Admin 2 P-Code]:[WASH]],10,FALSE)&gt;=4,VLOOKUP(tblPiNAnalysis5[[#This Row],[Admin 2 P-Code]],tblPiNAnalysis[[Admin 2 P-Code]:[WASH]],10,FALSE),0)</f>
        <v>21855</v>
      </c>
      <c r="AN128" s="503">
        <v>0</v>
      </c>
      <c r="AO128" s="500"/>
      <c r="AP128" s="516">
        <v>272</v>
      </c>
      <c r="AQ128" s="501">
        <v>578</v>
      </c>
      <c r="AR128" s="383">
        <f>MIN(tblPiNAnalysis5[[#This Row],[Final TARGET]],MAX(tblPiNAnalysis5[[#This Row],[CCCM_PRI]:[WASH_PRI]]))</f>
        <v>19165</v>
      </c>
      <c r="AS128" s="383">
        <f>IF(VLOOKUP(tblPiNAnalysis5[[#This Row],[Admin 2 P-Code]],tblSeverityAnalysis[[Admin 2 P-Code]:[Final Severity]],43,FALSE)&gt;=4,VLOOKUP(tblPiNAnalysis5[[#This Row],[Admin 2 P-Code]],tblPiNAnalysis[[Admin 2 P-Code]:[WASH]],8,FALSE),0)</f>
        <v>0</v>
      </c>
    </row>
    <row r="129" spans="1:45" ht="16.5" customHeight="1">
      <c r="A12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Global_PopulationHT0931</v>
      </c>
      <c r="B129" s="304" t="s">
        <v>409</v>
      </c>
      <c r="C129" s="213" t="s">
        <v>410</v>
      </c>
      <c r="D129" s="213" t="s">
        <v>423</v>
      </c>
      <c r="E129" s="103" t="s">
        <v>424</v>
      </c>
      <c r="F129" s="99"/>
      <c r="G129" s="34"/>
      <c r="H129" s="34"/>
      <c r="I129" s="96">
        <v>36005</v>
      </c>
      <c r="J129" s="221" t="s">
        <v>156</v>
      </c>
      <c r="K129" s="427">
        <v>0</v>
      </c>
      <c r="L129" s="428">
        <v>3224</v>
      </c>
      <c r="M129" s="428">
        <v>2147</v>
      </c>
      <c r="N129" s="428">
        <v>19970</v>
      </c>
      <c r="O129" s="428">
        <v>974.80467317317311</v>
      </c>
      <c r="P129" s="428"/>
      <c r="Q129" s="428">
        <v>237.70000000000002</v>
      </c>
      <c r="R129" s="428">
        <v>1998</v>
      </c>
      <c r="S129" s="428"/>
      <c r="T129" s="428"/>
      <c r="U129" s="428"/>
      <c r="V129" s="428"/>
      <c r="W129" s="308"/>
      <c r="X129" s="317">
        <f>IFERROR(IF(tblPiNAnalysis5[[#This Row],[CCCM]]="", "", MROUND(tblPiNAnalysis5[[#This Row],[CCCM]]/tblPiNAnalysis5[[#This Row],[PIN]], 0.05)), "")</f>
        <v>0</v>
      </c>
      <c r="Y129" s="318">
        <f>IFERROR(IF(tblPiNAnalysis5[[#This Row],[Education]]="", "", MROUND(tblPiNAnalysis5[[#This Row],[Education]]/tblPiNAnalysis5[[#This Row],[PIN]], 0.05)), "")</f>
        <v>0.15000000000000002</v>
      </c>
      <c r="Z129" s="318">
        <f>IFERROR(IF(tblPiNAnalysis5[[#This Row],[Nutrition]]="", "", MROUND(tblPiNAnalysis5[[#This Row],[Nutrition]]/tblPiNAnalysis5[[#This Row],[PIN]], 0.05)), "")</f>
        <v>0.1</v>
      </c>
      <c r="AA129" s="318">
        <f>IFERROR(IF(tblPiNAnalysis5[[#This Row],[Food Security]]="", "", MROUND(tblPiNAnalysis5[[#This Row],[Food Security]]/tblPiNAnalysis5[[#This Row],[PIN]], 0.05)), "")</f>
        <v>0.9</v>
      </c>
      <c r="AB129" s="318">
        <f>IFERROR(IF(tblPiNAnalysis5[[#This Row],[Health]]="", "", MROUND(tblPiNAnalysis5[[#This Row],[Health]]/tblPiNAnalysis5[[#This Row],[PIN]], 0.05)), "")</f>
        <v>0.05</v>
      </c>
      <c r="AC129" s="319" t="str">
        <f>IFERROR(IF(tblPiNAnalysis5[[#This Row],[Protection]]="", "", MROUND(tblPiNAnalysis5[[#This Row],[Protection]]/tblPiNAnalysis5[[#This Row],[PIN]], 0.05)), "")</f>
        <v/>
      </c>
      <c r="AD129" s="319">
        <f>IFERROR(IF(tblPiNAnalysis5[[#This Row],[Shelter]]="", "", MROUND(tblPiNAnalysis5[[#This Row],[Shelter]]/tblPiNAnalysis5[[#This Row],[PIN]], 0.05)), "")</f>
        <v>0</v>
      </c>
      <c r="AE129" s="320">
        <f>IFERROR(IF(tblPiNAnalysis5[[#This Row],[WASH]]="", "", MROUND(tblPiNAnalysis5[[#This Row],[WASH]]/tblPiNAnalysis5[[#This Row],[PIN]], 0.05)), "")</f>
        <v>0.1</v>
      </c>
      <c r="AF129" s="488">
        <f>VLOOKUP(tblPiNAnalysis5[[#This Row],[ID]],tblPiNAnalysis[[ID]:[Final PiN]],63,FALSE)</f>
        <v>22608</v>
      </c>
      <c r="AG129" s="488">
        <f>IFERROR(IF(tblPiNAnalysis5[[#This Row],[Final TARGET]]="", "", MROUND(tblPiNAnalysis5[[#This Row],[Final TARGET]]/tblPiNAnalysis5[[#This Row],[PIN]], 0.05)), "")</f>
        <v>0.9</v>
      </c>
      <c r="AH129" s="322">
        <f>IF(MAX(tblPiNAnalysis5[[#This Row],[CCCM]:[WASH]])&lt;tblPiNAnalysis5[[#This Row],[PIN]],MAX(tblPiNAnalysis5[[#This Row],[CCCM]:[WASH]]),tblPiNAnalysis5[[#This Row],[PIN]])</f>
        <v>19970</v>
      </c>
      <c r="AI129" s="326"/>
      <c r="AJ129" s="502">
        <f>tblPiNAnalysis5[[#This Row],[CCCM]]</f>
        <v>0</v>
      </c>
      <c r="AK129" s="500">
        <v>1670</v>
      </c>
      <c r="AL129" s="500">
        <v>1521</v>
      </c>
      <c r="AM129" s="500">
        <f>IF(VLOOKUP(tblPiNAnalysis5[[#This Row],[Admin 2 P-Code]],tblSeverityAnalysis[[Admin 2 P-Code]:[WASH]],10,FALSE)&gt;=4,VLOOKUP(tblPiNAnalysis5[[#This Row],[Admin 2 P-Code]],tblPiNAnalysis[[Admin 2 P-Code]:[WASH]],10,FALSE),0)</f>
        <v>22608</v>
      </c>
      <c r="AN129" s="503">
        <v>0</v>
      </c>
      <c r="AO129" s="500"/>
      <c r="AP129" s="516">
        <v>238</v>
      </c>
      <c r="AQ129" s="501">
        <v>5712</v>
      </c>
      <c r="AR129" s="383">
        <f>MIN(tblPiNAnalysis5[[#This Row],[Final TARGET]],MAX(tblPiNAnalysis5[[#This Row],[CCCM_PRI]:[WASH_PRI]]))</f>
        <v>19970</v>
      </c>
      <c r="AS129" s="383">
        <f>IF(VLOOKUP(tblPiNAnalysis5[[#This Row],[Admin 2 P-Code]],tblSeverityAnalysis[[Admin 2 P-Code]:[Final Severity]],43,FALSE)&gt;=4,VLOOKUP(tblPiNAnalysis5[[#This Row],[Admin 2 P-Code]],tblPiNAnalysis[[Admin 2 P-Code]:[WASH]],8,FALSE),0)</f>
        <v>0</v>
      </c>
    </row>
    <row r="130" spans="1:45" ht="16.5" customHeight="1">
      <c r="A13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Global_PopulationHT0932</v>
      </c>
      <c r="B130" s="304" t="s">
        <v>409</v>
      </c>
      <c r="C130" s="213" t="s">
        <v>410</v>
      </c>
      <c r="D130" s="213" t="s">
        <v>425</v>
      </c>
      <c r="E130" s="103" t="s">
        <v>426</v>
      </c>
      <c r="F130" s="99"/>
      <c r="G130" s="34"/>
      <c r="H130" s="34"/>
      <c r="I130" s="96">
        <v>28588</v>
      </c>
      <c r="J130" s="221" t="s">
        <v>156</v>
      </c>
      <c r="K130" s="427">
        <v>0</v>
      </c>
      <c r="L130" s="428">
        <v>2639</v>
      </c>
      <c r="M130" s="428">
        <v>1705</v>
      </c>
      <c r="N130" s="428">
        <v>16090</v>
      </c>
      <c r="O130" s="428">
        <v>523.02574032634027</v>
      </c>
      <c r="P130" s="428"/>
      <c r="Q130" s="428">
        <v>189</v>
      </c>
      <c r="R130" s="428">
        <v>858</v>
      </c>
      <c r="S130" s="428"/>
      <c r="T130" s="428"/>
      <c r="U130" s="428"/>
      <c r="V130" s="428"/>
      <c r="W130" s="308"/>
      <c r="X130" s="317">
        <f>IFERROR(IF(tblPiNAnalysis5[[#This Row],[CCCM]]="", "", MROUND(tblPiNAnalysis5[[#This Row],[CCCM]]/tblPiNAnalysis5[[#This Row],[PIN]], 0.05)), "")</f>
        <v>0</v>
      </c>
      <c r="Y130" s="318">
        <f>IFERROR(IF(tblPiNAnalysis5[[#This Row],[Education]]="", "", MROUND(tblPiNAnalysis5[[#This Row],[Education]]/tblPiNAnalysis5[[#This Row],[PIN]], 0.05)), "")</f>
        <v>0.1</v>
      </c>
      <c r="Z130" s="318">
        <f>IFERROR(IF(tblPiNAnalysis5[[#This Row],[Nutrition]]="", "", MROUND(tblPiNAnalysis5[[#This Row],[Nutrition]]/tblPiNAnalysis5[[#This Row],[PIN]], 0.05)), "")</f>
        <v>0.05</v>
      </c>
      <c r="AA130" s="318">
        <f>IFERROR(IF(tblPiNAnalysis5[[#This Row],[Food Security]]="", "", MROUND(tblPiNAnalysis5[[#This Row],[Food Security]]/tblPiNAnalysis5[[#This Row],[PIN]], 0.05)), "")</f>
        <v>0.55000000000000004</v>
      </c>
      <c r="AB130" s="318">
        <f>IFERROR(IF(tblPiNAnalysis5[[#This Row],[Health]]="", "", MROUND(tblPiNAnalysis5[[#This Row],[Health]]/tblPiNAnalysis5[[#This Row],[PIN]], 0.05)), "")</f>
        <v>0</v>
      </c>
      <c r="AC130" s="319" t="str">
        <f>IFERROR(IF(tblPiNAnalysis5[[#This Row],[Protection]]="", "", MROUND(tblPiNAnalysis5[[#This Row],[Protection]]/tblPiNAnalysis5[[#This Row],[PIN]], 0.05)), "")</f>
        <v/>
      </c>
      <c r="AD130" s="319">
        <f>IFERROR(IF(tblPiNAnalysis5[[#This Row],[Shelter]]="", "", MROUND(tblPiNAnalysis5[[#This Row],[Shelter]]/tblPiNAnalysis5[[#This Row],[PIN]], 0.05)), "")</f>
        <v>0</v>
      </c>
      <c r="AE130" s="320">
        <f>IFERROR(IF(tblPiNAnalysis5[[#This Row],[WASH]]="", "", MROUND(tblPiNAnalysis5[[#This Row],[WASH]]/tblPiNAnalysis5[[#This Row],[PIN]], 0.05)), "")</f>
        <v>0.05</v>
      </c>
      <c r="AF130" s="488">
        <f>VLOOKUP(tblPiNAnalysis5[[#This Row],[ID]],tblPiNAnalysis[[ID]:[Final PiN]],63,FALSE)</f>
        <v>28588</v>
      </c>
      <c r="AG130" s="488">
        <f>IFERROR(IF(tblPiNAnalysis5[[#This Row],[Final TARGET]]="", "", MROUND(tblPiNAnalysis5[[#This Row],[Final TARGET]]/tblPiNAnalysis5[[#This Row],[PIN]], 0.05)), "")</f>
        <v>0.55000000000000004</v>
      </c>
      <c r="AH130" s="322">
        <f>IF(MAX(tblPiNAnalysis5[[#This Row],[CCCM]:[WASH]])&lt;tblPiNAnalysis5[[#This Row],[PIN]],MAX(tblPiNAnalysis5[[#This Row],[CCCM]:[WASH]]),tblPiNAnalysis5[[#This Row],[PIN]])</f>
        <v>16090</v>
      </c>
      <c r="AI130" s="326"/>
      <c r="AJ130" s="502">
        <f>tblPiNAnalysis5[[#This Row],[CCCM]]</f>
        <v>0</v>
      </c>
      <c r="AK130" s="500">
        <v>1302</v>
      </c>
      <c r="AL130" s="500">
        <v>1219</v>
      </c>
      <c r="AM130" s="500">
        <f>IF(VLOOKUP(tblPiNAnalysis5[[#This Row],[Admin 2 P-Code]],tblSeverityAnalysis[[Admin 2 P-Code]:[WASH]],10,FALSE)&gt;=4,VLOOKUP(tblPiNAnalysis5[[#This Row],[Admin 2 P-Code]],tblPiNAnalysis[[Admin 2 P-Code]:[WASH]],10,FALSE),0)</f>
        <v>18215</v>
      </c>
      <c r="AN130" s="503">
        <v>0</v>
      </c>
      <c r="AO130" s="500"/>
      <c r="AP130" s="516">
        <v>89</v>
      </c>
      <c r="AQ130" s="501">
        <v>429</v>
      </c>
      <c r="AR130" s="383">
        <f>MIN(tblPiNAnalysis5[[#This Row],[Final TARGET]],MAX(tblPiNAnalysis5[[#This Row],[CCCM_PRI]:[WASH_PRI]]))</f>
        <v>16090</v>
      </c>
      <c r="AS130" s="383">
        <f>IF(VLOOKUP(tblPiNAnalysis5[[#This Row],[Admin 2 P-Code]],tblSeverityAnalysis[[Admin 2 P-Code]:[Final Severity]],43,FALSE)&gt;=4,VLOOKUP(tblPiNAnalysis5[[#This Row],[Admin 2 P-Code]],tblPiNAnalysis[[Admin 2 P-Code]:[WASH]],8,FALSE),0)</f>
        <v>0</v>
      </c>
    </row>
    <row r="131" spans="1:45" ht="16.5" customHeight="1">
      <c r="A13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Global_PopulationHT0933</v>
      </c>
      <c r="B131" s="304" t="s">
        <v>409</v>
      </c>
      <c r="C131" s="213" t="s">
        <v>410</v>
      </c>
      <c r="D131" s="213" t="s">
        <v>427</v>
      </c>
      <c r="E131" s="103" t="s">
        <v>428</v>
      </c>
      <c r="F131" s="99"/>
      <c r="G131" s="34"/>
      <c r="H131" s="34"/>
      <c r="I131" s="96">
        <v>37868</v>
      </c>
      <c r="J131" s="221" t="s">
        <v>156</v>
      </c>
      <c r="K131" s="427">
        <v>0</v>
      </c>
      <c r="L131" s="428">
        <v>3452</v>
      </c>
      <c r="M131" s="428">
        <v>2320</v>
      </c>
      <c r="N131" s="428">
        <v>21247</v>
      </c>
      <c r="O131" s="428">
        <v>0</v>
      </c>
      <c r="P131" s="428"/>
      <c r="Q131" s="428">
        <v>14.200000000000001</v>
      </c>
      <c r="R131" s="428">
        <v>2070</v>
      </c>
      <c r="S131" s="428"/>
      <c r="T131" s="428"/>
      <c r="U131" s="428"/>
      <c r="V131" s="428"/>
      <c r="W131" s="308"/>
      <c r="X131" s="317" t="str">
        <f>IFERROR(IF(tblPiNAnalysis5[[#This Row],[CCCM]]="", "", MROUND(tblPiNAnalysis5[[#This Row],[CCCM]]/tblPiNAnalysis5[[#This Row],[PIN]], 0.05)), "")</f>
        <v/>
      </c>
      <c r="Y131" s="318" t="str">
        <f>IFERROR(IF(tblPiNAnalysis5[[#This Row],[Education]]="", "", MROUND(tblPiNAnalysis5[[#This Row],[Education]]/tblPiNAnalysis5[[#This Row],[PIN]], 0.05)), "")</f>
        <v/>
      </c>
      <c r="Z131" s="318" t="str">
        <f>IFERROR(IF(tblPiNAnalysis5[[#This Row],[Nutrition]]="", "", MROUND(tblPiNAnalysis5[[#This Row],[Nutrition]]/tblPiNAnalysis5[[#This Row],[PIN]], 0.05)), "")</f>
        <v/>
      </c>
      <c r="AA131" s="318" t="str">
        <f>IFERROR(IF(tblPiNAnalysis5[[#This Row],[Food Security]]="", "", MROUND(tblPiNAnalysis5[[#This Row],[Food Security]]/tblPiNAnalysis5[[#This Row],[PIN]], 0.05)), "")</f>
        <v/>
      </c>
      <c r="AB131" s="318" t="str">
        <f>IFERROR(IF(tblPiNAnalysis5[[#This Row],[Health]]="", "", MROUND(tblPiNAnalysis5[[#This Row],[Health]]/tblPiNAnalysis5[[#This Row],[PIN]], 0.05)), "")</f>
        <v/>
      </c>
      <c r="AC131" s="319" t="str">
        <f>IFERROR(IF(tblPiNAnalysis5[[#This Row],[Protection]]="", "", MROUND(tblPiNAnalysis5[[#This Row],[Protection]]/tblPiNAnalysis5[[#This Row],[PIN]], 0.05)), "")</f>
        <v/>
      </c>
      <c r="AD131" s="319" t="str">
        <f>IFERROR(IF(tblPiNAnalysis5[[#This Row],[Shelter]]="", "", MROUND(tblPiNAnalysis5[[#This Row],[Shelter]]/tblPiNAnalysis5[[#This Row],[PIN]], 0.05)), "")</f>
        <v/>
      </c>
      <c r="AE131" s="320" t="str">
        <f>IFERROR(IF(tblPiNAnalysis5[[#This Row],[WASH]]="", "", MROUND(tblPiNAnalysis5[[#This Row],[WASH]]/tblPiNAnalysis5[[#This Row],[PIN]], 0.05)), "")</f>
        <v/>
      </c>
      <c r="AF131" s="488">
        <f>VLOOKUP(tblPiNAnalysis5[[#This Row],[ID]],tblPiNAnalysis[[ID]:[Final PiN]],63,FALSE)</f>
        <v>0</v>
      </c>
      <c r="AG131" s="488" t="str">
        <f>IFERROR(IF(tblPiNAnalysis5[[#This Row],[Final TARGET]]="", "", MROUND(tblPiNAnalysis5[[#This Row],[Final TARGET]]/tblPiNAnalysis5[[#This Row],[PIN]], 0.05)), "")</f>
        <v/>
      </c>
      <c r="AH131" s="322">
        <f>IF(MAX(tblPiNAnalysis5[[#This Row],[CCCM]:[WASH]])&lt;tblPiNAnalysis5[[#This Row],[PIN]],MAX(tblPiNAnalysis5[[#This Row],[CCCM]:[WASH]]),tblPiNAnalysis5[[#This Row],[PIN]])</f>
        <v>0</v>
      </c>
      <c r="AI131" s="326"/>
      <c r="AJ131" s="502">
        <f>tblPiNAnalysis5[[#This Row],[CCCM]]</f>
        <v>0</v>
      </c>
      <c r="AK131" s="500">
        <v>1785</v>
      </c>
      <c r="AL131" s="500">
        <v>1659</v>
      </c>
      <c r="AM131" s="500">
        <f>IF(VLOOKUP(tblPiNAnalysis5[[#This Row],[Admin 2 P-Code]],tblSeverityAnalysis[[Admin 2 P-Code]:[WASH]],10,FALSE)&gt;=4,VLOOKUP(tblPiNAnalysis5[[#This Row],[Admin 2 P-Code]],tblPiNAnalysis[[Admin 2 P-Code]:[WASH]],10,FALSE),0)</f>
        <v>24053</v>
      </c>
      <c r="AN131" s="503">
        <v>0</v>
      </c>
      <c r="AO131" s="500"/>
      <c r="AP131" s="516">
        <v>14</v>
      </c>
      <c r="AQ131" s="501">
        <v>1035</v>
      </c>
      <c r="AR131" s="383">
        <f>MIN(tblPiNAnalysis5[[#This Row],[Final TARGET]],MAX(tblPiNAnalysis5[[#This Row],[CCCM_PRI]:[WASH_PRI]]))</f>
        <v>0</v>
      </c>
      <c r="AS131" s="383">
        <f>IF(VLOOKUP(tblPiNAnalysis5[[#This Row],[Admin 2 P-Code]],tblSeverityAnalysis[[Admin 2 P-Code]:[Final Severity]],43,FALSE)&gt;=4,VLOOKUP(tblPiNAnalysis5[[#This Row],[Admin 2 P-Code]],tblPiNAnalysis[[Admin 2 P-Code]:[WASH]],8,FALSE),0)</f>
        <v>0</v>
      </c>
    </row>
    <row r="132" spans="1:45" ht="16.5" customHeight="1">
      <c r="A13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Global_PopulationHT0934</v>
      </c>
      <c r="B132" s="304" t="s">
        <v>409</v>
      </c>
      <c r="C132" s="213" t="s">
        <v>410</v>
      </c>
      <c r="D132" s="213" t="s">
        <v>429</v>
      </c>
      <c r="E132" s="103" t="s">
        <v>430</v>
      </c>
      <c r="F132" s="99"/>
      <c r="G132" s="34"/>
      <c r="H132" s="34"/>
      <c r="I132" s="96">
        <v>156750</v>
      </c>
      <c r="J132" s="221" t="s">
        <v>156</v>
      </c>
      <c r="K132" s="427">
        <v>0</v>
      </c>
      <c r="L132" s="428">
        <v>13321</v>
      </c>
      <c r="M132" s="428">
        <v>10343</v>
      </c>
      <c r="N132" s="428">
        <v>87527</v>
      </c>
      <c r="O132" s="428">
        <v>0</v>
      </c>
      <c r="P132" s="428"/>
      <c r="Q132" s="428">
        <v>832.1</v>
      </c>
      <c r="R132" s="428">
        <v>5915</v>
      </c>
      <c r="S132" s="428"/>
      <c r="T132" s="428"/>
      <c r="U132" s="428"/>
      <c r="V132" s="428"/>
      <c r="W132" s="308"/>
      <c r="X132" s="317">
        <f>IFERROR(IF(tblPiNAnalysis5[[#This Row],[CCCM]]="", "", MROUND(tblPiNAnalysis5[[#This Row],[CCCM]]/tblPiNAnalysis5[[#This Row],[PIN]], 0.05)), "")</f>
        <v>0</v>
      </c>
      <c r="Y132" s="318">
        <f>IFERROR(IF(tblPiNAnalysis5[[#This Row],[Education]]="", "", MROUND(tblPiNAnalysis5[[#This Row],[Education]]/tblPiNAnalysis5[[#This Row],[PIN]], 0.05)), "")</f>
        <v>0.15000000000000002</v>
      </c>
      <c r="Z132" s="318">
        <f>IFERROR(IF(tblPiNAnalysis5[[#This Row],[Nutrition]]="", "", MROUND(tblPiNAnalysis5[[#This Row],[Nutrition]]/tblPiNAnalysis5[[#This Row],[PIN]], 0.05)), "")</f>
        <v>0.1</v>
      </c>
      <c r="AA132" s="318">
        <f>IFERROR(IF(tblPiNAnalysis5[[#This Row],[Food Security]]="", "", MROUND(tblPiNAnalysis5[[#This Row],[Food Security]]/tblPiNAnalysis5[[#This Row],[PIN]], 0.05)), "")</f>
        <v>0.9</v>
      </c>
      <c r="AB132" s="318">
        <f>IFERROR(IF(tblPiNAnalysis5[[#This Row],[Health]]="", "", MROUND(tblPiNAnalysis5[[#This Row],[Health]]/tblPiNAnalysis5[[#This Row],[PIN]], 0.05)), "")</f>
        <v>0</v>
      </c>
      <c r="AC132" s="319" t="str">
        <f>IFERROR(IF(tblPiNAnalysis5[[#This Row],[Protection]]="", "", MROUND(tblPiNAnalysis5[[#This Row],[Protection]]/tblPiNAnalysis5[[#This Row],[PIN]], 0.05)), "")</f>
        <v/>
      </c>
      <c r="AD132" s="319">
        <f>IFERROR(IF(tblPiNAnalysis5[[#This Row],[Shelter]]="", "", MROUND(tblPiNAnalysis5[[#This Row],[Shelter]]/tblPiNAnalysis5[[#This Row],[PIN]], 0.05)), "")</f>
        <v>0</v>
      </c>
      <c r="AE132" s="320">
        <f>IFERROR(IF(tblPiNAnalysis5[[#This Row],[WASH]]="", "", MROUND(tblPiNAnalysis5[[#This Row],[WASH]]/tblPiNAnalysis5[[#This Row],[PIN]], 0.05)), "")</f>
        <v>0.05</v>
      </c>
      <c r="AF132" s="488">
        <f>VLOOKUP(tblPiNAnalysis5[[#This Row],[ID]],tblPiNAnalysis[[ID]:[Final PiN]],63,FALSE)</f>
        <v>99087</v>
      </c>
      <c r="AG132" s="488">
        <f>IFERROR(IF(tblPiNAnalysis5[[#This Row],[Final TARGET]]="", "", MROUND(tblPiNAnalysis5[[#This Row],[Final TARGET]]/tblPiNAnalysis5[[#This Row],[PIN]], 0.05)), "")</f>
        <v>0.9</v>
      </c>
      <c r="AH132" s="322">
        <f>IF(MAX(tblPiNAnalysis5[[#This Row],[CCCM]:[WASH]])&lt;tblPiNAnalysis5[[#This Row],[PIN]],MAX(tblPiNAnalysis5[[#This Row],[CCCM]:[WASH]]),tblPiNAnalysis5[[#This Row],[PIN]])</f>
        <v>87527</v>
      </c>
      <c r="AI132" s="326"/>
      <c r="AJ132" s="502">
        <f>tblPiNAnalysis5[[#This Row],[CCCM]]</f>
        <v>0</v>
      </c>
      <c r="AK132" s="500">
        <v>6675</v>
      </c>
      <c r="AL132" s="500">
        <v>7445</v>
      </c>
      <c r="AM132" s="500">
        <f>IF(VLOOKUP(tblPiNAnalysis5[[#This Row],[Admin 2 P-Code]],tblSeverityAnalysis[[Admin 2 P-Code]:[WASH]],10,FALSE)&gt;=4,VLOOKUP(tblPiNAnalysis5[[#This Row],[Admin 2 P-Code]],tblPiNAnalysis[[Admin 2 P-Code]:[WASH]],10,FALSE),0)</f>
        <v>99087</v>
      </c>
      <c r="AN132" s="503">
        <v>0</v>
      </c>
      <c r="AO132" s="500"/>
      <c r="AP132" s="516">
        <v>732</v>
      </c>
      <c r="AQ132" s="501">
        <v>2957.5</v>
      </c>
      <c r="AR132" s="383">
        <f>MIN(tblPiNAnalysis5[[#This Row],[Final TARGET]],MAX(tblPiNAnalysis5[[#This Row],[CCCM_PRI]:[WASH_PRI]]))</f>
        <v>87527</v>
      </c>
      <c r="AS132" s="383">
        <f>IF(VLOOKUP(tblPiNAnalysis5[[#This Row],[Admin 2 P-Code]],tblSeverityAnalysis[[Admin 2 P-Code]:[Final Severity]],43,FALSE)&gt;=4,VLOOKUP(tblPiNAnalysis5[[#This Row],[Admin 2 P-Code]],tblPiNAnalysis[[Admin 2 P-Code]:[WASH]],8,FALSE),0)</f>
        <v>0</v>
      </c>
    </row>
    <row r="133" spans="1:45" ht="16.5" customHeight="1">
      <c r="A13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Global_PopulationHT1011</v>
      </c>
      <c r="B133" s="304" t="s">
        <v>431</v>
      </c>
      <c r="C133" s="213" t="s">
        <v>432</v>
      </c>
      <c r="D133" s="213" t="s">
        <v>433</v>
      </c>
      <c r="E133" s="103" t="s">
        <v>434</v>
      </c>
      <c r="F133" s="99"/>
      <c r="G133" s="34"/>
      <c r="H133" s="34"/>
      <c r="I133" s="96">
        <v>70617</v>
      </c>
      <c r="J133" s="221" t="s">
        <v>156</v>
      </c>
      <c r="K133" s="427">
        <v>0</v>
      </c>
      <c r="L133" s="428">
        <v>2056</v>
      </c>
      <c r="M133" s="428">
        <v>5439</v>
      </c>
      <c r="N133" s="428">
        <v>16431</v>
      </c>
      <c r="O133" s="428">
        <v>0</v>
      </c>
      <c r="P133" s="428"/>
      <c r="Q133" s="428">
        <v>1567</v>
      </c>
      <c r="R133" s="428">
        <v>11590</v>
      </c>
      <c r="S133" s="428"/>
      <c r="T133" s="428"/>
      <c r="U133" s="428"/>
      <c r="V133" s="428"/>
      <c r="W133" s="308"/>
      <c r="X133" s="317">
        <f>IFERROR(IF(tblPiNAnalysis5[[#This Row],[CCCM]]="", "", MROUND(tblPiNAnalysis5[[#This Row],[CCCM]]/tblPiNAnalysis5[[#This Row],[PIN]], 0.05)), "")</f>
        <v>0</v>
      </c>
      <c r="Y133" s="318">
        <f>IFERROR(IF(tblPiNAnalysis5[[#This Row],[Education]]="", "", MROUND(tblPiNAnalysis5[[#This Row],[Education]]/tblPiNAnalysis5[[#This Row],[PIN]], 0.05)), "")</f>
        <v>0.05</v>
      </c>
      <c r="Z133" s="318">
        <f>IFERROR(IF(tblPiNAnalysis5[[#This Row],[Nutrition]]="", "", MROUND(tblPiNAnalysis5[[#This Row],[Nutrition]]/tblPiNAnalysis5[[#This Row],[PIN]], 0.05)), "")</f>
        <v>0.15000000000000002</v>
      </c>
      <c r="AA133" s="318">
        <f>IFERROR(IF(tblPiNAnalysis5[[#This Row],[Food Security]]="", "", MROUND(tblPiNAnalysis5[[#This Row],[Food Security]]/tblPiNAnalysis5[[#This Row],[PIN]], 0.05)), "")</f>
        <v>0.4</v>
      </c>
      <c r="AB133" s="318">
        <f>IFERROR(IF(tblPiNAnalysis5[[#This Row],[Health]]="", "", MROUND(tblPiNAnalysis5[[#This Row],[Health]]/tblPiNAnalysis5[[#This Row],[PIN]], 0.05)), "")</f>
        <v>0</v>
      </c>
      <c r="AC133" s="319" t="str">
        <f>IFERROR(IF(tblPiNAnalysis5[[#This Row],[Protection]]="", "", MROUND(tblPiNAnalysis5[[#This Row],[Protection]]/tblPiNAnalysis5[[#This Row],[PIN]], 0.05)), "")</f>
        <v/>
      </c>
      <c r="AD133" s="319">
        <f>IFERROR(IF(tblPiNAnalysis5[[#This Row],[Shelter]]="", "", MROUND(tblPiNAnalysis5[[#This Row],[Shelter]]/tblPiNAnalysis5[[#This Row],[PIN]], 0.05)), "")</f>
        <v>0.05</v>
      </c>
      <c r="AE133" s="320">
        <f>IFERROR(IF(tblPiNAnalysis5[[#This Row],[WASH]]="", "", MROUND(tblPiNAnalysis5[[#This Row],[WASH]]/tblPiNAnalysis5[[#This Row],[PIN]], 0.05)), "")</f>
        <v>0.25</v>
      </c>
      <c r="AF133" s="488">
        <f>VLOOKUP(tblPiNAnalysis5[[#This Row],[ID]],tblPiNAnalysis[[ID]:[Final PiN]],63,FALSE)</f>
        <v>42799</v>
      </c>
      <c r="AG133" s="488">
        <f>IFERROR(IF(tblPiNAnalysis5[[#This Row],[Final TARGET]]="", "", MROUND(tblPiNAnalysis5[[#This Row],[Final TARGET]]/tblPiNAnalysis5[[#This Row],[PIN]], 0.05)), "")</f>
        <v>0.4</v>
      </c>
      <c r="AH133" s="322">
        <f>IF(MAX(tblPiNAnalysis5[[#This Row],[CCCM]:[WASH]])&lt;tblPiNAnalysis5[[#This Row],[PIN]],MAX(tblPiNAnalysis5[[#This Row],[CCCM]:[WASH]]),tblPiNAnalysis5[[#This Row],[PIN]])</f>
        <v>16431</v>
      </c>
      <c r="AI133" s="326"/>
      <c r="AJ133" s="502">
        <f>tblPiNAnalysis5[[#This Row],[CCCM]]</f>
        <v>0</v>
      </c>
      <c r="AK133" s="500">
        <v>1272</v>
      </c>
      <c r="AL133" s="500">
        <v>3893</v>
      </c>
      <c r="AM133" s="500">
        <f>IF(VLOOKUP(tblPiNAnalysis5[[#This Row],[Admin 2 P-Code]],tblSeverityAnalysis[[Admin 2 P-Code]:[WASH]],10,FALSE)&gt;=4,VLOOKUP(tblPiNAnalysis5[[#This Row],[Admin 2 P-Code]],tblPiNAnalysis[[Admin 2 P-Code]:[WASH]],10,FALSE),0)</f>
        <v>0</v>
      </c>
      <c r="AN133" s="503">
        <v>0</v>
      </c>
      <c r="AO133" s="500"/>
      <c r="AP133" s="516">
        <v>1467</v>
      </c>
      <c r="AQ133" s="501">
        <v>23352</v>
      </c>
      <c r="AR133" s="383">
        <f>MIN(tblPiNAnalysis5[[#This Row],[Final TARGET]],MAX(tblPiNAnalysis5[[#This Row],[CCCM_PRI]:[WASH_PRI]]))</f>
        <v>16431</v>
      </c>
      <c r="AS133" s="383">
        <f>IF(VLOOKUP(tblPiNAnalysis5[[#This Row],[Admin 2 P-Code]],tblSeverityAnalysis[[Admin 2 P-Code]:[Final Severity]],43,FALSE)&gt;=4,VLOOKUP(tblPiNAnalysis5[[#This Row],[Admin 2 P-Code]],tblPiNAnalysis[[Admin 2 P-Code]:[WASH]],8,FALSE),0)</f>
        <v>0</v>
      </c>
    </row>
    <row r="134" spans="1:45" ht="16.5" customHeight="1">
      <c r="A13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Global_PopulationHT1012</v>
      </c>
      <c r="B134" s="304" t="s">
        <v>431</v>
      </c>
      <c r="C134" s="213" t="s">
        <v>432</v>
      </c>
      <c r="D134" s="213" t="s">
        <v>435</v>
      </c>
      <c r="E134" s="103" t="s">
        <v>436</v>
      </c>
      <c r="F134" s="99"/>
      <c r="G134" s="34"/>
      <c r="H134" s="34"/>
      <c r="I134" s="96">
        <v>34943</v>
      </c>
      <c r="J134" s="221" t="s">
        <v>156</v>
      </c>
      <c r="K134" s="427">
        <v>0</v>
      </c>
      <c r="L134" s="428">
        <v>1236</v>
      </c>
      <c r="M134" s="428">
        <v>2421</v>
      </c>
      <c r="N134" s="428">
        <v>7529</v>
      </c>
      <c r="O134" s="428">
        <v>0</v>
      </c>
      <c r="P134" s="428"/>
      <c r="Q134" s="428">
        <v>1003.1000000000001</v>
      </c>
      <c r="R134" s="428">
        <v>8478</v>
      </c>
      <c r="S134" s="428"/>
      <c r="T134" s="428"/>
      <c r="U134" s="428"/>
      <c r="V134" s="428"/>
      <c r="W134" s="308"/>
      <c r="X134" s="317" t="str">
        <f>IFERROR(IF(tblPiNAnalysis5[[#This Row],[CCCM]]="", "", MROUND(tblPiNAnalysis5[[#This Row],[CCCM]]/tblPiNAnalysis5[[#This Row],[PIN]], 0.05)), "")</f>
        <v/>
      </c>
      <c r="Y134" s="318" t="str">
        <f>IFERROR(IF(tblPiNAnalysis5[[#This Row],[Education]]="", "", MROUND(tblPiNAnalysis5[[#This Row],[Education]]/tblPiNAnalysis5[[#This Row],[PIN]], 0.05)), "")</f>
        <v/>
      </c>
      <c r="Z134" s="318" t="str">
        <f>IFERROR(IF(tblPiNAnalysis5[[#This Row],[Nutrition]]="", "", MROUND(tblPiNAnalysis5[[#This Row],[Nutrition]]/tblPiNAnalysis5[[#This Row],[PIN]], 0.05)), "")</f>
        <v/>
      </c>
      <c r="AA134" s="318" t="str">
        <f>IFERROR(IF(tblPiNAnalysis5[[#This Row],[Food Security]]="", "", MROUND(tblPiNAnalysis5[[#This Row],[Food Security]]/tblPiNAnalysis5[[#This Row],[PIN]], 0.05)), "")</f>
        <v/>
      </c>
      <c r="AB134" s="318" t="str">
        <f>IFERROR(IF(tblPiNAnalysis5[[#This Row],[Health]]="", "", MROUND(tblPiNAnalysis5[[#This Row],[Health]]/tblPiNAnalysis5[[#This Row],[PIN]], 0.05)), "")</f>
        <v/>
      </c>
      <c r="AC134" s="319" t="str">
        <f>IFERROR(IF(tblPiNAnalysis5[[#This Row],[Protection]]="", "", MROUND(tblPiNAnalysis5[[#This Row],[Protection]]/tblPiNAnalysis5[[#This Row],[PIN]], 0.05)), "")</f>
        <v/>
      </c>
      <c r="AD134" s="319" t="str">
        <f>IFERROR(IF(tblPiNAnalysis5[[#This Row],[Shelter]]="", "", MROUND(tblPiNAnalysis5[[#This Row],[Shelter]]/tblPiNAnalysis5[[#This Row],[PIN]], 0.05)), "")</f>
        <v/>
      </c>
      <c r="AE134" s="320" t="str">
        <f>IFERROR(IF(tblPiNAnalysis5[[#This Row],[WASH]]="", "", MROUND(tblPiNAnalysis5[[#This Row],[WASH]]/tblPiNAnalysis5[[#This Row],[PIN]], 0.05)), "")</f>
        <v/>
      </c>
      <c r="AF134" s="488">
        <f>VLOOKUP(tblPiNAnalysis5[[#This Row],[ID]],tblPiNAnalysis[[ID]:[Final PiN]],63,FALSE)</f>
        <v>0</v>
      </c>
      <c r="AG134" s="488" t="str">
        <f>IFERROR(IF(tblPiNAnalysis5[[#This Row],[Final TARGET]]="", "", MROUND(tblPiNAnalysis5[[#This Row],[Final TARGET]]/tblPiNAnalysis5[[#This Row],[PIN]], 0.05)), "")</f>
        <v/>
      </c>
      <c r="AH134" s="322">
        <f>IF(MAX(tblPiNAnalysis5[[#This Row],[CCCM]:[WASH]])&lt;tblPiNAnalysis5[[#This Row],[PIN]],MAX(tblPiNAnalysis5[[#This Row],[CCCM]:[WASH]]),tblPiNAnalysis5[[#This Row],[PIN]])</f>
        <v>0</v>
      </c>
      <c r="AI134" s="326"/>
      <c r="AJ134" s="502">
        <f>tblPiNAnalysis5[[#This Row],[CCCM]]</f>
        <v>0</v>
      </c>
      <c r="AK134" s="500">
        <v>830</v>
      </c>
      <c r="AL134" s="500">
        <v>1720</v>
      </c>
      <c r="AM134" s="500">
        <f>IF(VLOOKUP(tblPiNAnalysis5[[#This Row],[Admin 2 P-Code]],tblSeverityAnalysis[[Admin 2 P-Code]:[WASH]],10,FALSE)&gt;=4,VLOOKUP(tblPiNAnalysis5[[#This Row],[Admin 2 P-Code]],tblPiNAnalysis[[Admin 2 P-Code]:[WASH]],10,FALSE),0)</f>
        <v>0</v>
      </c>
      <c r="AN134" s="503">
        <v>0</v>
      </c>
      <c r="AO134" s="500"/>
      <c r="AP134" s="516">
        <v>903</v>
      </c>
      <c r="AQ134" s="501">
        <v>4239</v>
      </c>
      <c r="AR134" s="383">
        <f>MIN(tblPiNAnalysis5[[#This Row],[Final TARGET]],MAX(tblPiNAnalysis5[[#This Row],[CCCM_PRI]:[WASH_PRI]]))</f>
        <v>0</v>
      </c>
      <c r="AS134" s="383">
        <f>IF(VLOOKUP(tblPiNAnalysis5[[#This Row],[Admin 2 P-Code]],tblSeverityAnalysis[[Admin 2 P-Code]:[Final Severity]],43,FALSE)&gt;=4,VLOOKUP(tblPiNAnalysis5[[#This Row],[Admin 2 P-Code]],tblPiNAnalysis[[Admin 2 P-Code]:[WASH]],8,FALSE),0)</f>
        <v>0</v>
      </c>
    </row>
    <row r="135" spans="1:45" ht="16.5" customHeight="1">
      <c r="A13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Global_PopulationHT1013</v>
      </c>
      <c r="B135" s="304" t="s">
        <v>431</v>
      </c>
      <c r="C135" s="213" t="s">
        <v>432</v>
      </c>
      <c r="D135" s="213" t="s">
        <v>437</v>
      </c>
      <c r="E135" s="103" t="s">
        <v>438</v>
      </c>
      <c r="F135" s="99"/>
      <c r="G135" s="34"/>
      <c r="H135" s="34"/>
      <c r="I135" s="96">
        <v>38319</v>
      </c>
      <c r="J135" s="221" t="s">
        <v>156</v>
      </c>
      <c r="K135" s="427">
        <v>0</v>
      </c>
      <c r="L135" s="428">
        <v>1155</v>
      </c>
      <c r="M135" s="428">
        <v>2885</v>
      </c>
      <c r="N135" s="428">
        <v>8493</v>
      </c>
      <c r="O135" s="428">
        <v>0</v>
      </c>
      <c r="P135" s="428"/>
      <c r="Q135" s="428">
        <v>727</v>
      </c>
      <c r="R135" s="428">
        <v>5780</v>
      </c>
      <c r="S135" s="428"/>
      <c r="T135" s="428"/>
      <c r="U135" s="428"/>
      <c r="V135" s="428"/>
      <c r="W135" s="308"/>
      <c r="X135" s="317">
        <f>IFERROR(IF(tblPiNAnalysis5[[#This Row],[CCCM]]="", "", MROUND(tblPiNAnalysis5[[#This Row],[CCCM]]/tblPiNAnalysis5[[#This Row],[PIN]], 0.05)), "")</f>
        <v>0</v>
      </c>
      <c r="Y135" s="318">
        <f>IFERROR(IF(tblPiNAnalysis5[[#This Row],[Education]]="", "", MROUND(tblPiNAnalysis5[[#This Row],[Education]]/tblPiNAnalysis5[[#This Row],[PIN]], 0.05)), "")</f>
        <v>0.05</v>
      </c>
      <c r="Z135" s="318">
        <f>IFERROR(IF(tblPiNAnalysis5[[#This Row],[Nutrition]]="", "", MROUND(tblPiNAnalysis5[[#This Row],[Nutrition]]/tblPiNAnalysis5[[#This Row],[PIN]], 0.05)), "")</f>
        <v>0.15000000000000002</v>
      </c>
      <c r="AA135" s="318">
        <f>IFERROR(IF(tblPiNAnalysis5[[#This Row],[Food Security]]="", "", MROUND(tblPiNAnalysis5[[#This Row],[Food Security]]/tblPiNAnalysis5[[#This Row],[PIN]], 0.05)), "")</f>
        <v>0.4</v>
      </c>
      <c r="AB135" s="318">
        <f>IFERROR(IF(tblPiNAnalysis5[[#This Row],[Health]]="", "", MROUND(tblPiNAnalysis5[[#This Row],[Health]]/tblPiNAnalysis5[[#This Row],[PIN]], 0.05)), "")</f>
        <v>0</v>
      </c>
      <c r="AC135" s="319" t="str">
        <f>IFERROR(IF(tblPiNAnalysis5[[#This Row],[Protection]]="", "", MROUND(tblPiNAnalysis5[[#This Row],[Protection]]/tblPiNAnalysis5[[#This Row],[PIN]], 0.05)), "")</f>
        <v/>
      </c>
      <c r="AD135" s="319">
        <f>IFERROR(IF(tblPiNAnalysis5[[#This Row],[Shelter]]="", "", MROUND(tblPiNAnalysis5[[#This Row],[Shelter]]/tblPiNAnalysis5[[#This Row],[PIN]], 0.05)), "")</f>
        <v>0.05</v>
      </c>
      <c r="AE135" s="320">
        <f>IFERROR(IF(tblPiNAnalysis5[[#This Row],[WASH]]="", "", MROUND(tblPiNAnalysis5[[#This Row],[WASH]]/tblPiNAnalysis5[[#This Row],[PIN]], 0.05)), "")</f>
        <v>0.30000000000000004</v>
      </c>
      <c r="AF135" s="488">
        <f>VLOOKUP(tblPiNAnalysis5[[#This Row],[ID]],tblPiNAnalysis[[ID]:[Final PiN]],63,FALSE)</f>
        <v>20972</v>
      </c>
      <c r="AG135" s="488">
        <f>IFERROR(IF(tblPiNAnalysis5[[#This Row],[Final TARGET]]="", "", MROUND(tblPiNAnalysis5[[#This Row],[Final TARGET]]/tblPiNAnalysis5[[#This Row],[PIN]], 0.05)), "")</f>
        <v>0.4</v>
      </c>
      <c r="AH135" s="322">
        <f>IF(MAX(tblPiNAnalysis5[[#This Row],[CCCM]:[WASH]])&lt;tblPiNAnalysis5[[#This Row],[PIN]],MAX(tblPiNAnalysis5[[#This Row],[CCCM]:[WASH]]),tblPiNAnalysis5[[#This Row],[PIN]])</f>
        <v>8493</v>
      </c>
      <c r="AI135" s="326"/>
      <c r="AJ135" s="502">
        <f>tblPiNAnalysis5[[#This Row],[CCCM]]</f>
        <v>0</v>
      </c>
      <c r="AK135" s="500">
        <v>698</v>
      </c>
      <c r="AL135" s="500">
        <v>2124</v>
      </c>
      <c r="AM135" s="500">
        <f>IF(VLOOKUP(tblPiNAnalysis5[[#This Row],[Admin 2 P-Code]],tblSeverityAnalysis[[Admin 2 P-Code]:[WASH]],10,FALSE)&gt;=4,VLOOKUP(tblPiNAnalysis5[[#This Row],[Admin 2 P-Code]],tblPiNAnalysis[[Admin 2 P-Code]:[WASH]],10,FALSE),0)</f>
        <v>0</v>
      </c>
      <c r="AN135" s="503">
        <v>0</v>
      </c>
      <c r="AO135" s="500"/>
      <c r="AP135" s="516">
        <v>627</v>
      </c>
      <c r="AQ135" s="501">
        <v>2890</v>
      </c>
      <c r="AR135" s="383">
        <f>MIN(tblPiNAnalysis5[[#This Row],[Final TARGET]],MAX(tblPiNAnalysis5[[#This Row],[CCCM_PRI]:[WASH_PRI]]))</f>
        <v>2890</v>
      </c>
      <c r="AS135" s="383">
        <f>IF(VLOOKUP(tblPiNAnalysis5[[#This Row],[Admin 2 P-Code]],tblSeverityAnalysis[[Admin 2 P-Code]:[Final Severity]],43,FALSE)&gt;=4,VLOOKUP(tblPiNAnalysis5[[#This Row],[Admin 2 P-Code]],tblPiNAnalysis[[Admin 2 P-Code]:[WASH]],8,FALSE),0)</f>
        <v>0</v>
      </c>
    </row>
    <row r="136" spans="1:45" ht="16.5" customHeight="1">
      <c r="A136"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Global_PopulationHT1014</v>
      </c>
      <c r="B136" s="304" t="s">
        <v>431</v>
      </c>
      <c r="C136" s="213" t="s">
        <v>432</v>
      </c>
      <c r="D136" s="213" t="s">
        <v>439</v>
      </c>
      <c r="E136" s="103" t="s">
        <v>440</v>
      </c>
      <c r="F136" s="99"/>
      <c r="G136" s="34"/>
      <c r="H136" s="34"/>
      <c r="I136" s="96">
        <v>19644</v>
      </c>
      <c r="J136" s="221" t="s">
        <v>156</v>
      </c>
      <c r="K136" s="427">
        <v>0</v>
      </c>
      <c r="L136" s="428">
        <v>634</v>
      </c>
      <c r="M136" s="428">
        <v>1405</v>
      </c>
      <c r="N136" s="428">
        <v>4407</v>
      </c>
      <c r="O136" s="428">
        <v>0</v>
      </c>
      <c r="P136" s="428"/>
      <c r="Q136" s="428">
        <v>481.50000000000006</v>
      </c>
      <c r="R136" s="428">
        <v>4799</v>
      </c>
      <c r="S136" s="428"/>
      <c r="T136" s="428"/>
      <c r="U136" s="428"/>
      <c r="V136" s="428"/>
      <c r="W136" s="308"/>
      <c r="X136" s="317">
        <f>IFERROR(IF(tblPiNAnalysis5[[#This Row],[CCCM]]="", "", MROUND(tblPiNAnalysis5[[#This Row],[CCCM]]/tblPiNAnalysis5[[#This Row],[PIN]], 0.05)), "")</f>
        <v>0</v>
      </c>
      <c r="Y136" s="318">
        <f>IFERROR(IF(tblPiNAnalysis5[[#This Row],[Education]]="", "", MROUND(tblPiNAnalysis5[[#This Row],[Education]]/tblPiNAnalysis5[[#This Row],[PIN]], 0.05)), "")</f>
        <v>0.05</v>
      </c>
      <c r="Z136" s="318">
        <f>IFERROR(IF(tblPiNAnalysis5[[#This Row],[Nutrition]]="", "", MROUND(tblPiNAnalysis5[[#This Row],[Nutrition]]/tblPiNAnalysis5[[#This Row],[PIN]], 0.05)), "")</f>
        <v>0.15000000000000002</v>
      </c>
      <c r="AA136" s="318">
        <f>IFERROR(IF(tblPiNAnalysis5[[#This Row],[Food Security]]="", "", MROUND(tblPiNAnalysis5[[#This Row],[Food Security]]/tblPiNAnalysis5[[#This Row],[PIN]], 0.05)), "")</f>
        <v>0.4</v>
      </c>
      <c r="AB136" s="318">
        <f>IFERROR(IF(tblPiNAnalysis5[[#This Row],[Health]]="", "", MROUND(tblPiNAnalysis5[[#This Row],[Health]]/tblPiNAnalysis5[[#This Row],[PIN]], 0.05)), "")</f>
        <v>0</v>
      </c>
      <c r="AC136" s="319" t="str">
        <f>IFERROR(IF(tblPiNAnalysis5[[#This Row],[Protection]]="", "", MROUND(tblPiNAnalysis5[[#This Row],[Protection]]/tblPiNAnalysis5[[#This Row],[PIN]], 0.05)), "")</f>
        <v/>
      </c>
      <c r="AD136" s="319">
        <f>IFERROR(IF(tblPiNAnalysis5[[#This Row],[Shelter]]="", "", MROUND(tblPiNAnalysis5[[#This Row],[Shelter]]/tblPiNAnalysis5[[#This Row],[PIN]], 0.05)), "")</f>
        <v>0.05</v>
      </c>
      <c r="AE136" s="320">
        <f>IFERROR(IF(tblPiNAnalysis5[[#This Row],[WASH]]="", "", MROUND(tblPiNAnalysis5[[#This Row],[WASH]]/tblPiNAnalysis5[[#This Row],[PIN]], 0.05)), "")</f>
        <v>0.45</v>
      </c>
      <c r="AF136" s="488">
        <f>VLOOKUP(tblPiNAnalysis5[[#This Row],[ID]],tblPiNAnalysis[[ID]:[Final PiN]],63,FALSE)</f>
        <v>10882</v>
      </c>
      <c r="AG136" s="488">
        <f>IFERROR(IF(tblPiNAnalysis5[[#This Row],[Final TARGET]]="", "", MROUND(tblPiNAnalysis5[[#This Row],[Final TARGET]]/tblPiNAnalysis5[[#This Row],[PIN]], 0.05)), "")</f>
        <v>0.45</v>
      </c>
      <c r="AH136" s="322">
        <f>IF(MAX(tblPiNAnalysis5[[#This Row],[CCCM]:[WASH]])&lt;tblPiNAnalysis5[[#This Row],[PIN]],MAX(tblPiNAnalysis5[[#This Row],[CCCM]:[WASH]]),tblPiNAnalysis5[[#This Row],[PIN]])</f>
        <v>4799</v>
      </c>
      <c r="AI136" s="326"/>
      <c r="AJ136" s="502">
        <f>tblPiNAnalysis5[[#This Row],[CCCM]]</f>
        <v>0</v>
      </c>
      <c r="AK136" s="500">
        <v>425</v>
      </c>
      <c r="AL136" s="500">
        <v>1010</v>
      </c>
      <c r="AM136" s="500">
        <f>IF(VLOOKUP(tblPiNAnalysis5[[#This Row],[Admin 2 P-Code]],tblSeverityAnalysis[[Admin 2 P-Code]:[WASH]],10,FALSE)&gt;=4,VLOOKUP(tblPiNAnalysis5[[#This Row],[Admin 2 P-Code]],tblPiNAnalysis[[Admin 2 P-Code]:[WASH]],10,FALSE),0)</f>
        <v>0</v>
      </c>
      <c r="AN136" s="503">
        <v>0</v>
      </c>
      <c r="AO136" s="500"/>
      <c r="AP136" s="516">
        <v>482</v>
      </c>
      <c r="AQ136" s="501">
        <v>2399.5</v>
      </c>
      <c r="AR136" s="383">
        <f>MIN(tblPiNAnalysis5[[#This Row],[Final TARGET]],MAX(tblPiNAnalysis5[[#This Row],[CCCM_PRI]:[WASH_PRI]]))</f>
        <v>2399.5</v>
      </c>
      <c r="AS136" s="383">
        <f>IF(VLOOKUP(tblPiNAnalysis5[[#This Row],[Admin 2 P-Code]],tblSeverityAnalysis[[Admin 2 P-Code]:[Final Severity]],43,FALSE)&gt;=4,VLOOKUP(tblPiNAnalysis5[[#This Row],[Admin 2 P-Code]],tblPiNAnalysis[[Admin 2 P-Code]:[WASH]],8,FALSE),0)</f>
        <v>0</v>
      </c>
    </row>
    <row r="137" spans="1:45" ht="16.5" customHeight="1">
      <c r="A137"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Global_PopulationHT1021</v>
      </c>
      <c r="B137" s="304" t="s">
        <v>431</v>
      </c>
      <c r="C137" s="213" t="s">
        <v>432</v>
      </c>
      <c r="D137" s="213" t="s">
        <v>441</v>
      </c>
      <c r="E137" s="103" t="s">
        <v>442</v>
      </c>
      <c r="F137" s="99"/>
      <c r="G137" s="34"/>
      <c r="H137" s="34"/>
      <c r="I137" s="96">
        <v>37907</v>
      </c>
      <c r="J137" s="221" t="s">
        <v>156</v>
      </c>
      <c r="K137" s="427">
        <v>0</v>
      </c>
      <c r="L137" s="428">
        <v>1132</v>
      </c>
      <c r="M137" s="428">
        <v>2286</v>
      </c>
      <c r="N137" s="428">
        <v>9032</v>
      </c>
      <c r="O137" s="428">
        <v>1446.2742755522463</v>
      </c>
      <c r="P137" s="428"/>
      <c r="Q137" s="428">
        <v>536.1</v>
      </c>
      <c r="R137" s="428">
        <v>4029</v>
      </c>
      <c r="S137" s="428"/>
      <c r="T137" s="428"/>
      <c r="U137" s="428"/>
      <c r="V137" s="428"/>
      <c r="W137" s="308"/>
      <c r="X137" s="317">
        <f>IFERROR(IF(tblPiNAnalysis5[[#This Row],[CCCM]]="", "", MROUND(tblPiNAnalysis5[[#This Row],[CCCM]]/tblPiNAnalysis5[[#This Row],[PIN]], 0.05)), "")</f>
        <v>0</v>
      </c>
      <c r="Y137" s="318">
        <f>IFERROR(IF(tblPiNAnalysis5[[#This Row],[Education]]="", "", MROUND(tblPiNAnalysis5[[#This Row],[Education]]/tblPiNAnalysis5[[#This Row],[PIN]], 0.05)), "")</f>
        <v>0.05</v>
      </c>
      <c r="Z137" s="318">
        <f>IFERROR(IF(tblPiNAnalysis5[[#This Row],[Nutrition]]="", "", MROUND(tblPiNAnalysis5[[#This Row],[Nutrition]]/tblPiNAnalysis5[[#This Row],[PIN]], 0.05)), "")</f>
        <v>0.1</v>
      </c>
      <c r="AA137" s="318">
        <f>IFERROR(IF(tblPiNAnalysis5[[#This Row],[Food Security]]="", "", MROUND(tblPiNAnalysis5[[#This Row],[Food Security]]/tblPiNAnalysis5[[#This Row],[PIN]], 0.05)), "")</f>
        <v>0.4</v>
      </c>
      <c r="AB137" s="318">
        <f>IFERROR(IF(tblPiNAnalysis5[[#This Row],[Health]]="", "", MROUND(tblPiNAnalysis5[[#This Row],[Health]]/tblPiNAnalysis5[[#This Row],[PIN]], 0.05)), "")</f>
        <v>0.05</v>
      </c>
      <c r="AC137" s="319" t="str">
        <f>IFERROR(IF(tblPiNAnalysis5[[#This Row],[Protection]]="", "", MROUND(tblPiNAnalysis5[[#This Row],[Protection]]/tblPiNAnalysis5[[#This Row],[PIN]], 0.05)), "")</f>
        <v/>
      </c>
      <c r="AD137" s="319">
        <f>IFERROR(IF(tblPiNAnalysis5[[#This Row],[Shelter]]="", "", MROUND(tblPiNAnalysis5[[#This Row],[Shelter]]/tblPiNAnalysis5[[#This Row],[PIN]], 0.05)), "")</f>
        <v>0</v>
      </c>
      <c r="AE137" s="320">
        <f>IFERROR(IF(tblPiNAnalysis5[[#This Row],[WASH]]="", "", MROUND(tblPiNAnalysis5[[#This Row],[WASH]]/tblPiNAnalysis5[[#This Row],[PIN]], 0.05)), "")</f>
        <v>0.15000000000000002</v>
      </c>
      <c r="AF137" s="488">
        <f>VLOOKUP(tblPiNAnalysis5[[#This Row],[ID]],tblPiNAnalysis[[ID]:[Final PiN]],63,FALSE)</f>
        <v>23656</v>
      </c>
      <c r="AG137" s="488">
        <f>IFERROR(IF(tblPiNAnalysis5[[#This Row],[Final TARGET]]="", "", MROUND(tblPiNAnalysis5[[#This Row],[Final TARGET]]/tblPiNAnalysis5[[#This Row],[PIN]], 0.05)), "")</f>
        <v>0.4</v>
      </c>
      <c r="AH137" s="322">
        <f>IF(MAX(tblPiNAnalysis5[[#This Row],[CCCM]:[WASH]])&lt;tblPiNAnalysis5[[#This Row],[PIN]],MAX(tblPiNAnalysis5[[#This Row],[CCCM]:[WASH]]),tblPiNAnalysis5[[#This Row],[PIN]])</f>
        <v>9032</v>
      </c>
      <c r="AI137" s="326"/>
      <c r="AJ137" s="502">
        <f>tblPiNAnalysis5[[#This Row],[CCCM]]</f>
        <v>0</v>
      </c>
      <c r="AK137" s="500">
        <v>643</v>
      </c>
      <c r="AL137" s="500">
        <v>1621</v>
      </c>
      <c r="AM137" s="500">
        <f>IF(VLOOKUP(tblPiNAnalysis5[[#This Row],[Admin 2 P-Code]],tblSeverityAnalysis[[Admin 2 P-Code]:[WASH]],10,FALSE)&gt;=4,VLOOKUP(tblPiNAnalysis5[[#This Row],[Admin 2 P-Code]],tblPiNAnalysis[[Admin 2 P-Code]:[WASH]],10,FALSE),0)</f>
        <v>0</v>
      </c>
      <c r="AN137" s="503">
        <v>0</v>
      </c>
      <c r="AO137" s="500"/>
      <c r="AP137" s="516">
        <v>436</v>
      </c>
      <c r="AQ137" s="501">
        <v>2014.5</v>
      </c>
      <c r="AR137" s="383">
        <f>MIN(tblPiNAnalysis5[[#This Row],[Final TARGET]],MAX(tblPiNAnalysis5[[#This Row],[CCCM_PRI]:[WASH_PRI]]))</f>
        <v>2014.5</v>
      </c>
      <c r="AS137" s="383">
        <f>IF(VLOOKUP(tblPiNAnalysis5[[#This Row],[Admin 2 P-Code]],tblSeverityAnalysis[[Admin 2 P-Code]:[Final Severity]],43,FALSE)&gt;=4,VLOOKUP(tblPiNAnalysis5[[#This Row],[Admin 2 P-Code]],tblPiNAnalysis[[Admin 2 P-Code]:[WASH]],8,FALSE),0)</f>
        <v>0</v>
      </c>
    </row>
    <row r="138" spans="1:45" ht="16.5" customHeight="1">
      <c r="A138"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Global_PopulationHT1022</v>
      </c>
      <c r="B138" s="304" t="s">
        <v>431</v>
      </c>
      <c r="C138" s="213" t="s">
        <v>432</v>
      </c>
      <c r="D138" s="213" t="s">
        <v>443</v>
      </c>
      <c r="E138" s="103" t="s">
        <v>444</v>
      </c>
      <c r="F138" s="99"/>
      <c r="G138" s="34"/>
      <c r="H138" s="34"/>
      <c r="I138" s="96">
        <v>33793</v>
      </c>
      <c r="J138" s="221" t="s">
        <v>156</v>
      </c>
      <c r="K138" s="427">
        <v>0</v>
      </c>
      <c r="L138" s="428">
        <v>1019</v>
      </c>
      <c r="M138" s="428">
        <v>2121</v>
      </c>
      <c r="N138" s="428">
        <v>7834</v>
      </c>
      <c r="O138" s="428">
        <v>1230.0761485404505</v>
      </c>
      <c r="P138" s="428"/>
      <c r="Q138" s="428">
        <v>503.90000000000003</v>
      </c>
      <c r="R138" s="428">
        <v>3597</v>
      </c>
      <c r="S138" s="428"/>
      <c r="T138" s="428"/>
      <c r="U138" s="428"/>
      <c r="V138" s="428"/>
      <c r="W138" s="308"/>
      <c r="X138" s="317">
        <f>IFERROR(IF(tblPiNAnalysis5[[#This Row],[CCCM]]="", "", MROUND(tblPiNAnalysis5[[#This Row],[CCCM]]/tblPiNAnalysis5[[#This Row],[PIN]], 0.05)), "")</f>
        <v>0</v>
      </c>
      <c r="Y138" s="318">
        <f>IFERROR(IF(tblPiNAnalysis5[[#This Row],[Education]]="", "", MROUND(tblPiNAnalysis5[[#This Row],[Education]]/tblPiNAnalysis5[[#This Row],[PIN]], 0.05)), "")</f>
        <v>0.05</v>
      </c>
      <c r="Z138" s="318">
        <f>IFERROR(IF(tblPiNAnalysis5[[#This Row],[Nutrition]]="", "", MROUND(tblPiNAnalysis5[[#This Row],[Nutrition]]/tblPiNAnalysis5[[#This Row],[PIN]], 0.05)), "")</f>
        <v>0.1</v>
      </c>
      <c r="AA138" s="318">
        <f>IFERROR(IF(tblPiNAnalysis5[[#This Row],[Food Security]]="", "", MROUND(tblPiNAnalysis5[[#This Row],[Food Security]]/tblPiNAnalysis5[[#This Row],[PIN]], 0.05)), "")</f>
        <v>0.4</v>
      </c>
      <c r="AB138" s="318">
        <f>IFERROR(IF(tblPiNAnalysis5[[#This Row],[Health]]="", "", MROUND(tblPiNAnalysis5[[#This Row],[Health]]/tblPiNAnalysis5[[#This Row],[PIN]], 0.05)), "")</f>
        <v>0.05</v>
      </c>
      <c r="AC138" s="319" t="str">
        <f>IFERROR(IF(tblPiNAnalysis5[[#This Row],[Protection]]="", "", MROUND(tblPiNAnalysis5[[#This Row],[Protection]]/tblPiNAnalysis5[[#This Row],[PIN]], 0.05)), "")</f>
        <v/>
      </c>
      <c r="AD138" s="319">
        <f>IFERROR(IF(tblPiNAnalysis5[[#This Row],[Shelter]]="", "", MROUND(tblPiNAnalysis5[[#This Row],[Shelter]]/tblPiNAnalysis5[[#This Row],[PIN]], 0.05)), "")</f>
        <v>0</v>
      </c>
      <c r="AE138" s="320">
        <f>IFERROR(IF(tblPiNAnalysis5[[#This Row],[WASH]]="", "", MROUND(tblPiNAnalysis5[[#This Row],[WASH]]/tblPiNAnalysis5[[#This Row],[PIN]], 0.05)), "")</f>
        <v>0.2</v>
      </c>
      <c r="AF138" s="488">
        <f>VLOOKUP(tblPiNAnalysis5[[#This Row],[ID]],tblPiNAnalysis[[ID]:[Final PiN]],63,FALSE)</f>
        <v>20214</v>
      </c>
      <c r="AG138" s="488">
        <f>IFERROR(IF(tblPiNAnalysis5[[#This Row],[Final TARGET]]="", "", MROUND(tblPiNAnalysis5[[#This Row],[Final TARGET]]/tblPiNAnalysis5[[#This Row],[PIN]], 0.05)), "")</f>
        <v>0.4</v>
      </c>
      <c r="AH138" s="322">
        <f>IF(MAX(tblPiNAnalysis5[[#This Row],[CCCM]:[WASH]])&lt;tblPiNAnalysis5[[#This Row],[PIN]],MAX(tblPiNAnalysis5[[#This Row],[CCCM]:[WASH]]),tblPiNAnalysis5[[#This Row],[PIN]])</f>
        <v>7834</v>
      </c>
      <c r="AI138" s="326"/>
      <c r="AJ138" s="502">
        <f>tblPiNAnalysis5[[#This Row],[CCCM]]</f>
        <v>0</v>
      </c>
      <c r="AK138" s="500">
        <v>579</v>
      </c>
      <c r="AL138" s="500">
        <v>1508</v>
      </c>
      <c r="AM138" s="500">
        <f>IF(VLOOKUP(tblPiNAnalysis5[[#This Row],[Admin 2 P-Code]],tblSeverityAnalysis[[Admin 2 P-Code]:[WASH]],10,FALSE)&gt;=4,VLOOKUP(tblPiNAnalysis5[[#This Row],[Admin 2 P-Code]],tblPiNAnalysis[[Admin 2 P-Code]:[WASH]],10,FALSE),0)</f>
        <v>0</v>
      </c>
      <c r="AN138" s="503">
        <v>0</v>
      </c>
      <c r="AO138" s="500"/>
      <c r="AP138" s="516">
        <v>404</v>
      </c>
      <c r="AQ138" s="501">
        <v>1798.5</v>
      </c>
      <c r="AR138" s="383">
        <f>MIN(tblPiNAnalysis5[[#This Row],[Final TARGET]],MAX(tblPiNAnalysis5[[#This Row],[CCCM_PRI]:[WASH_PRI]]))</f>
        <v>1798.5</v>
      </c>
      <c r="AS138" s="383">
        <f>IF(VLOOKUP(tblPiNAnalysis5[[#This Row],[Admin 2 P-Code]],tblSeverityAnalysis[[Admin 2 P-Code]:[Final Severity]],43,FALSE)&gt;=4,VLOOKUP(tblPiNAnalysis5[[#This Row],[Admin 2 P-Code]],tblPiNAnalysis[[Admin 2 P-Code]:[WASH]],8,FALSE),0)</f>
        <v>0</v>
      </c>
    </row>
    <row r="139" spans="1:45" ht="16.5" customHeight="1">
      <c r="A139"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Global_PopulationHT1023</v>
      </c>
      <c r="B139" s="304" t="s">
        <v>431</v>
      </c>
      <c r="C139" s="213" t="s">
        <v>432</v>
      </c>
      <c r="D139" s="213" t="s">
        <v>445</v>
      </c>
      <c r="E139" s="103" t="s">
        <v>446</v>
      </c>
      <c r="F139" s="99"/>
      <c r="G139" s="34"/>
      <c r="H139" s="34"/>
      <c r="I139" s="96">
        <v>45890</v>
      </c>
      <c r="J139" s="221" t="s">
        <v>156</v>
      </c>
      <c r="K139" s="427">
        <v>0</v>
      </c>
      <c r="L139" s="428">
        <v>1419</v>
      </c>
      <c r="M139" s="428">
        <v>3204</v>
      </c>
      <c r="N139" s="428">
        <v>10617</v>
      </c>
      <c r="O139" s="428">
        <v>1780.9631857086692</v>
      </c>
      <c r="P139" s="428"/>
      <c r="Q139" s="428">
        <v>519.79999999999995</v>
      </c>
      <c r="R139" s="428">
        <v>5087</v>
      </c>
      <c r="S139" s="428"/>
      <c r="T139" s="428"/>
      <c r="U139" s="428"/>
      <c r="V139" s="428"/>
      <c r="W139" s="308"/>
      <c r="X139" s="317">
        <f>IFERROR(IF(tblPiNAnalysis5[[#This Row],[CCCM]]="", "", MROUND(tblPiNAnalysis5[[#This Row],[CCCM]]/tblPiNAnalysis5[[#This Row],[PIN]], 0.05)), "")</f>
        <v>0</v>
      </c>
      <c r="Y139" s="318">
        <f>IFERROR(IF(tblPiNAnalysis5[[#This Row],[Education]]="", "", MROUND(tblPiNAnalysis5[[#This Row],[Education]]/tblPiNAnalysis5[[#This Row],[PIN]], 0.05)), "")</f>
        <v>0.05</v>
      </c>
      <c r="Z139" s="318">
        <f>IFERROR(IF(tblPiNAnalysis5[[#This Row],[Nutrition]]="", "", MROUND(tblPiNAnalysis5[[#This Row],[Nutrition]]/tblPiNAnalysis5[[#This Row],[PIN]], 0.05)), "")</f>
        <v>0.1</v>
      </c>
      <c r="AA139" s="318">
        <f>IFERROR(IF(tblPiNAnalysis5[[#This Row],[Food Security]]="", "", MROUND(tblPiNAnalysis5[[#This Row],[Food Security]]/tblPiNAnalysis5[[#This Row],[PIN]], 0.05)), "")</f>
        <v>0.4</v>
      </c>
      <c r="AB139" s="318">
        <f>IFERROR(IF(tblPiNAnalysis5[[#This Row],[Health]]="", "", MROUND(tblPiNAnalysis5[[#This Row],[Health]]/tblPiNAnalysis5[[#This Row],[PIN]], 0.05)), "")</f>
        <v>0.05</v>
      </c>
      <c r="AC139" s="319" t="str">
        <f>IFERROR(IF(tblPiNAnalysis5[[#This Row],[Protection]]="", "", MROUND(tblPiNAnalysis5[[#This Row],[Protection]]/tblPiNAnalysis5[[#This Row],[PIN]], 0.05)), "")</f>
        <v/>
      </c>
      <c r="AD139" s="319">
        <f>IFERROR(IF(tblPiNAnalysis5[[#This Row],[Shelter]]="", "", MROUND(tblPiNAnalysis5[[#This Row],[Shelter]]/tblPiNAnalysis5[[#This Row],[PIN]], 0.05)), "")</f>
        <v>0</v>
      </c>
      <c r="AE139" s="320">
        <f>IFERROR(IF(tblPiNAnalysis5[[#This Row],[WASH]]="", "", MROUND(tblPiNAnalysis5[[#This Row],[WASH]]/tblPiNAnalysis5[[#This Row],[PIN]], 0.05)), "")</f>
        <v>0.2</v>
      </c>
      <c r="AF139" s="488">
        <f>VLOOKUP(tblPiNAnalysis5[[#This Row],[ID]],tblPiNAnalysis[[ID]:[Final PiN]],63,FALSE)</f>
        <v>26940</v>
      </c>
      <c r="AG139" s="488">
        <f>IFERROR(IF(tblPiNAnalysis5[[#This Row],[Final TARGET]]="", "", MROUND(tblPiNAnalysis5[[#This Row],[Final TARGET]]/tblPiNAnalysis5[[#This Row],[PIN]], 0.05)), "")</f>
        <v>0.4</v>
      </c>
      <c r="AH139" s="322">
        <f>IF(MAX(tblPiNAnalysis5[[#This Row],[CCCM]:[WASH]])&lt;tblPiNAnalysis5[[#This Row],[PIN]],MAX(tblPiNAnalysis5[[#This Row],[CCCM]:[WASH]]),tblPiNAnalysis5[[#This Row],[PIN]])</f>
        <v>10617</v>
      </c>
      <c r="AI139" s="326"/>
      <c r="AJ139" s="502">
        <f>tblPiNAnalysis5[[#This Row],[CCCM]]</f>
        <v>0</v>
      </c>
      <c r="AK139" s="500">
        <v>811</v>
      </c>
      <c r="AL139" s="500">
        <v>2372</v>
      </c>
      <c r="AM139" s="500">
        <f>IF(VLOOKUP(tblPiNAnalysis5[[#This Row],[Admin 2 P-Code]],tblSeverityAnalysis[[Admin 2 P-Code]:[WASH]],10,FALSE)&gt;=4,VLOOKUP(tblPiNAnalysis5[[#This Row],[Admin 2 P-Code]],tblPiNAnalysis[[Admin 2 P-Code]:[WASH]],10,FALSE),0)</f>
        <v>0</v>
      </c>
      <c r="AN139" s="503">
        <v>0</v>
      </c>
      <c r="AO139" s="500"/>
      <c r="AP139" s="516">
        <v>520</v>
      </c>
      <c r="AQ139" s="501">
        <v>2543.5</v>
      </c>
      <c r="AR139" s="383">
        <f>MIN(tblPiNAnalysis5[[#This Row],[Final TARGET]],MAX(tblPiNAnalysis5[[#This Row],[CCCM_PRI]:[WASH_PRI]]))</f>
        <v>2543.5</v>
      </c>
      <c r="AS139" s="383">
        <f>IF(VLOOKUP(tblPiNAnalysis5[[#This Row],[Admin 2 P-Code]],tblSeverityAnalysis[[Admin 2 P-Code]:[Final Severity]],43,FALSE)&gt;=4,VLOOKUP(tblPiNAnalysis5[[#This Row],[Admin 2 P-Code]],tblPiNAnalysis[[Admin 2 P-Code]:[WASH]],8,FALSE),0)</f>
        <v>0</v>
      </c>
    </row>
    <row r="140" spans="1:45" ht="16.5" customHeight="1">
      <c r="A140"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Global_PopulationHT1024</v>
      </c>
      <c r="B140" s="304" t="s">
        <v>431</v>
      </c>
      <c r="C140" s="213" t="s">
        <v>432</v>
      </c>
      <c r="D140" s="213" t="s">
        <v>447</v>
      </c>
      <c r="E140" s="103" t="s">
        <v>448</v>
      </c>
      <c r="F140" s="99"/>
      <c r="G140" s="34"/>
      <c r="H140" s="34"/>
      <c r="I140" s="96">
        <v>23479</v>
      </c>
      <c r="J140" s="221" t="s">
        <v>156</v>
      </c>
      <c r="K140" s="427">
        <v>0</v>
      </c>
      <c r="L140" s="428">
        <v>747</v>
      </c>
      <c r="M140" s="428">
        <v>1765</v>
      </c>
      <c r="N140" s="428">
        <v>5407</v>
      </c>
      <c r="O140" s="428">
        <v>0</v>
      </c>
      <c r="P140" s="428"/>
      <c r="Q140" s="428">
        <v>374.6</v>
      </c>
      <c r="R140" s="428">
        <v>3746</v>
      </c>
      <c r="S140" s="428"/>
      <c r="T140" s="428"/>
      <c r="U140" s="428"/>
      <c r="V140" s="428"/>
      <c r="W140" s="308"/>
      <c r="X140" s="317">
        <f>IFERROR(IF(tblPiNAnalysis5[[#This Row],[CCCM]]="", "", MROUND(tblPiNAnalysis5[[#This Row],[CCCM]]/tblPiNAnalysis5[[#This Row],[PIN]], 0.05)), "")</f>
        <v>0</v>
      </c>
      <c r="Y140" s="318">
        <f>IFERROR(IF(tblPiNAnalysis5[[#This Row],[Education]]="", "", MROUND(tblPiNAnalysis5[[#This Row],[Education]]/tblPiNAnalysis5[[#This Row],[PIN]], 0.05)), "")</f>
        <v>0.05</v>
      </c>
      <c r="Z140" s="318">
        <f>IFERROR(IF(tblPiNAnalysis5[[#This Row],[Nutrition]]="", "", MROUND(tblPiNAnalysis5[[#This Row],[Nutrition]]/tblPiNAnalysis5[[#This Row],[PIN]], 0.05)), "")</f>
        <v>0.15000000000000002</v>
      </c>
      <c r="AA140" s="318">
        <f>IFERROR(IF(tblPiNAnalysis5[[#This Row],[Food Security]]="", "", MROUND(tblPiNAnalysis5[[#This Row],[Food Security]]/tblPiNAnalysis5[[#This Row],[PIN]], 0.05)), "")</f>
        <v>0.4</v>
      </c>
      <c r="AB140" s="318">
        <f>IFERROR(IF(tblPiNAnalysis5[[#This Row],[Health]]="", "", MROUND(tblPiNAnalysis5[[#This Row],[Health]]/tblPiNAnalysis5[[#This Row],[PIN]], 0.05)), "")</f>
        <v>0</v>
      </c>
      <c r="AC140" s="319" t="str">
        <f>IFERROR(IF(tblPiNAnalysis5[[#This Row],[Protection]]="", "", MROUND(tblPiNAnalysis5[[#This Row],[Protection]]/tblPiNAnalysis5[[#This Row],[PIN]], 0.05)), "")</f>
        <v/>
      </c>
      <c r="AD140" s="319">
        <f>IFERROR(IF(tblPiNAnalysis5[[#This Row],[Shelter]]="", "", MROUND(tblPiNAnalysis5[[#This Row],[Shelter]]/tblPiNAnalysis5[[#This Row],[PIN]], 0.05)), "")</f>
        <v>0.05</v>
      </c>
      <c r="AE140" s="320">
        <f>IFERROR(IF(tblPiNAnalysis5[[#This Row],[WASH]]="", "", MROUND(tblPiNAnalysis5[[#This Row],[WASH]]/tblPiNAnalysis5[[#This Row],[PIN]], 0.05)), "")</f>
        <v>0.25</v>
      </c>
      <c r="AF140" s="488">
        <f>VLOOKUP(tblPiNAnalysis5[[#This Row],[ID]],tblPiNAnalysis[[ID]:[Final PiN]],63,FALSE)</f>
        <v>13933</v>
      </c>
      <c r="AG140" s="488">
        <f>IFERROR(IF(tblPiNAnalysis5[[#This Row],[Final TARGET]]="", "", MROUND(tblPiNAnalysis5[[#This Row],[Final TARGET]]/tblPiNAnalysis5[[#This Row],[PIN]], 0.05)), "")</f>
        <v>0.4</v>
      </c>
      <c r="AH140" s="322">
        <f>IF(MAX(tblPiNAnalysis5[[#This Row],[CCCM]:[WASH]])&lt;tblPiNAnalysis5[[#This Row],[PIN]],MAX(tblPiNAnalysis5[[#This Row],[CCCM]:[WASH]]),tblPiNAnalysis5[[#This Row],[PIN]])</f>
        <v>5407</v>
      </c>
      <c r="AI140" s="326"/>
      <c r="AJ140" s="502">
        <f>tblPiNAnalysis5[[#This Row],[CCCM]]</f>
        <v>0</v>
      </c>
      <c r="AK140" s="500">
        <v>455</v>
      </c>
      <c r="AL140" s="500">
        <v>1296</v>
      </c>
      <c r="AM140" s="500">
        <f>IF(VLOOKUP(tblPiNAnalysis5[[#This Row],[Admin 2 P-Code]],tblSeverityAnalysis[[Admin 2 P-Code]:[WASH]],10,FALSE)&gt;=4,VLOOKUP(tblPiNAnalysis5[[#This Row],[Admin 2 P-Code]],tblPiNAnalysis[[Admin 2 P-Code]:[WASH]],10,FALSE),0)</f>
        <v>0</v>
      </c>
      <c r="AN140" s="503">
        <v>0</v>
      </c>
      <c r="AO140" s="500"/>
      <c r="AP140" s="516">
        <v>375</v>
      </c>
      <c r="AQ140" s="501">
        <v>2016</v>
      </c>
      <c r="AR140" s="383">
        <f>MIN(tblPiNAnalysis5[[#This Row],[Final TARGET]],MAX(tblPiNAnalysis5[[#This Row],[CCCM_PRI]:[WASH_PRI]]))</f>
        <v>2016</v>
      </c>
      <c r="AS140" s="383">
        <f>IF(VLOOKUP(tblPiNAnalysis5[[#This Row],[Admin 2 P-Code]],tblSeverityAnalysis[[Admin 2 P-Code]:[Final Severity]],43,FALSE)&gt;=4,VLOOKUP(tblPiNAnalysis5[[#This Row],[Admin 2 P-Code]],tblPiNAnalysis[[Admin 2 P-Code]:[WASH]],8,FALSE),0)</f>
        <v>0</v>
      </c>
    </row>
    <row r="141" spans="1:45" ht="16.5" customHeight="1">
      <c r="A141"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Global_PopulationHT1025</v>
      </c>
      <c r="B141" s="304" t="s">
        <v>431</v>
      </c>
      <c r="C141" s="213" t="s">
        <v>432</v>
      </c>
      <c r="D141" s="213" t="s">
        <v>449</v>
      </c>
      <c r="E141" s="103" t="s">
        <v>450</v>
      </c>
      <c r="F141" s="99"/>
      <c r="G141" s="34"/>
      <c r="H141" s="34"/>
      <c r="I141" s="96">
        <v>32168</v>
      </c>
      <c r="J141" s="221" t="s">
        <v>156</v>
      </c>
      <c r="K141" s="427">
        <v>0</v>
      </c>
      <c r="L141" s="428">
        <v>1098</v>
      </c>
      <c r="M141" s="428">
        <v>2357</v>
      </c>
      <c r="N141" s="428">
        <v>6928</v>
      </c>
      <c r="O141" s="428">
        <v>0</v>
      </c>
      <c r="P141" s="428"/>
      <c r="Q141" s="428">
        <v>1129.0999999999999</v>
      </c>
      <c r="R141" s="428">
        <v>7720</v>
      </c>
      <c r="S141" s="428"/>
      <c r="T141" s="428"/>
      <c r="U141" s="428"/>
      <c r="V141" s="428"/>
      <c r="W141" s="308"/>
      <c r="X141" s="317">
        <f>IFERROR(IF(tblPiNAnalysis5[[#This Row],[CCCM]]="", "", MROUND(tblPiNAnalysis5[[#This Row],[CCCM]]/tblPiNAnalysis5[[#This Row],[PIN]], 0.05)), "")</f>
        <v>0</v>
      </c>
      <c r="Y141" s="318">
        <f>IFERROR(IF(tblPiNAnalysis5[[#This Row],[Education]]="", "", MROUND(tblPiNAnalysis5[[#This Row],[Education]]/tblPiNAnalysis5[[#This Row],[PIN]], 0.05)), "")</f>
        <v>0.05</v>
      </c>
      <c r="Z141" s="318">
        <f>IFERROR(IF(tblPiNAnalysis5[[#This Row],[Nutrition]]="", "", MROUND(tblPiNAnalysis5[[#This Row],[Nutrition]]/tblPiNAnalysis5[[#This Row],[PIN]], 0.05)), "")</f>
        <v>0.1</v>
      </c>
      <c r="AA141" s="318">
        <f>IFERROR(IF(tblPiNAnalysis5[[#This Row],[Food Security]]="", "", MROUND(tblPiNAnalysis5[[#This Row],[Food Security]]/tblPiNAnalysis5[[#This Row],[PIN]], 0.05)), "")</f>
        <v>0.35000000000000003</v>
      </c>
      <c r="AB141" s="318">
        <f>IFERROR(IF(tblPiNAnalysis5[[#This Row],[Health]]="", "", MROUND(tblPiNAnalysis5[[#This Row],[Health]]/tblPiNAnalysis5[[#This Row],[PIN]], 0.05)), "")</f>
        <v>0</v>
      </c>
      <c r="AC141" s="319" t="str">
        <f>IFERROR(IF(tblPiNAnalysis5[[#This Row],[Protection]]="", "", MROUND(tblPiNAnalysis5[[#This Row],[Protection]]/tblPiNAnalysis5[[#This Row],[PIN]], 0.05)), "")</f>
        <v/>
      </c>
      <c r="AD141" s="319">
        <f>IFERROR(IF(tblPiNAnalysis5[[#This Row],[Shelter]]="", "", MROUND(tblPiNAnalysis5[[#This Row],[Shelter]]/tblPiNAnalysis5[[#This Row],[PIN]], 0.05)), "")</f>
        <v>0.05</v>
      </c>
      <c r="AE141" s="320">
        <f>IFERROR(IF(tblPiNAnalysis5[[#This Row],[WASH]]="", "", MROUND(tblPiNAnalysis5[[#This Row],[WASH]]/tblPiNAnalysis5[[#This Row],[PIN]], 0.05)), "")</f>
        <v>0.4</v>
      </c>
      <c r="AF141" s="488">
        <f>VLOOKUP(tblPiNAnalysis5[[#This Row],[ID]],tblPiNAnalysis[[ID]:[Final PiN]],63,FALSE)</f>
        <v>20301</v>
      </c>
      <c r="AG141" s="488">
        <f>IFERROR(IF(tblPiNAnalysis5[[#This Row],[Final TARGET]]="", "", MROUND(tblPiNAnalysis5[[#This Row],[Final TARGET]]/tblPiNAnalysis5[[#This Row],[PIN]], 0.05)), "")</f>
        <v>0.4</v>
      </c>
      <c r="AH141" s="322">
        <f>IF(MAX(tblPiNAnalysis5[[#This Row],[CCCM]:[WASH]])&lt;tblPiNAnalysis5[[#This Row],[PIN]],MAX(tblPiNAnalysis5[[#This Row],[CCCM]:[WASH]]),tblPiNAnalysis5[[#This Row],[PIN]])</f>
        <v>7720</v>
      </c>
      <c r="AI141" s="326"/>
      <c r="AJ141" s="502">
        <f>tblPiNAnalysis5[[#This Row],[CCCM]]</f>
        <v>0</v>
      </c>
      <c r="AK141" s="500">
        <v>734</v>
      </c>
      <c r="AL141" s="500">
        <v>1680</v>
      </c>
      <c r="AM141" s="500">
        <f>IF(VLOOKUP(tblPiNAnalysis5[[#This Row],[Admin 2 P-Code]],tblSeverityAnalysis[[Admin 2 P-Code]:[WASH]],10,FALSE)&gt;=4,VLOOKUP(tblPiNAnalysis5[[#This Row],[Admin 2 P-Code]],tblPiNAnalysis[[Admin 2 P-Code]:[WASH]],10,FALSE),0)</f>
        <v>0</v>
      </c>
      <c r="AN141" s="503">
        <v>0</v>
      </c>
      <c r="AO141" s="500"/>
      <c r="AP141" s="516">
        <v>1029</v>
      </c>
      <c r="AQ141" s="501">
        <v>3860</v>
      </c>
      <c r="AR141" s="383">
        <f>MIN(tblPiNAnalysis5[[#This Row],[Final TARGET]],MAX(tblPiNAnalysis5[[#This Row],[CCCM_PRI]:[WASH_PRI]]))</f>
        <v>3860</v>
      </c>
      <c r="AS141" s="383">
        <f>IF(VLOOKUP(tblPiNAnalysis5[[#This Row],[Admin 2 P-Code]],tblSeverityAnalysis[[Admin 2 P-Code]:[Final Severity]],43,FALSE)&gt;=4,VLOOKUP(tblPiNAnalysis5[[#This Row],[Admin 2 P-Code]],tblPiNAnalysis[[Admin 2 P-Code]:[WASH]],8,FALSE),0)</f>
        <v>0</v>
      </c>
    </row>
    <row r="142" spans="1:45" ht="16.5" customHeight="1">
      <c r="A142"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Global_PopulationHT1031</v>
      </c>
      <c r="B142" s="304" t="s">
        <v>431</v>
      </c>
      <c r="C142" s="213" t="s">
        <v>432</v>
      </c>
      <c r="D142" s="213" t="s">
        <v>451</v>
      </c>
      <c r="E142" s="103" t="s">
        <v>452</v>
      </c>
      <c r="F142" s="99"/>
      <c r="G142" s="34"/>
      <c r="H142" s="34"/>
      <c r="I142" s="96">
        <v>45622</v>
      </c>
      <c r="J142" s="221" t="s">
        <v>156</v>
      </c>
      <c r="K142" s="427">
        <v>0</v>
      </c>
      <c r="L142" s="428">
        <v>1440</v>
      </c>
      <c r="M142" s="428">
        <v>2870</v>
      </c>
      <c r="N142" s="428">
        <v>10487</v>
      </c>
      <c r="O142" s="428">
        <v>0</v>
      </c>
      <c r="P142" s="428"/>
      <c r="Q142" s="428">
        <v>733.7</v>
      </c>
      <c r="R142" s="428">
        <v>17108.25</v>
      </c>
      <c r="S142" s="428"/>
      <c r="T142" s="428"/>
      <c r="U142" s="428"/>
      <c r="V142" s="428"/>
      <c r="W142" s="308"/>
      <c r="X142" s="317">
        <f>IFERROR(IF(tblPiNAnalysis5[[#This Row],[CCCM]]="", "", MROUND(tblPiNAnalysis5[[#This Row],[CCCM]]/tblPiNAnalysis5[[#This Row],[PIN]], 0.05)), "")</f>
        <v>0</v>
      </c>
      <c r="Y142" s="318">
        <f>IFERROR(IF(tblPiNAnalysis5[[#This Row],[Education]]="", "", MROUND(tblPiNAnalysis5[[#This Row],[Education]]/tblPiNAnalysis5[[#This Row],[PIN]], 0.05)), "")</f>
        <v>0.05</v>
      </c>
      <c r="Z142" s="318">
        <f>IFERROR(IF(tblPiNAnalysis5[[#This Row],[Nutrition]]="", "", MROUND(tblPiNAnalysis5[[#This Row],[Nutrition]]/tblPiNAnalysis5[[#This Row],[PIN]], 0.05)), "")</f>
        <v>0.1</v>
      </c>
      <c r="AA142" s="318">
        <f>IFERROR(IF(tblPiNAnalysis5[[#This Row],[Food Security]]="", "", MROUND(tblPiNAnalysis5[[#This Row],[Food Security]]/tblPiNAnalysis5[[#This Row],[PIN]], 0.05)), "")</f>
        <v>0.4</v>
      </c>
      <c r="AB142" s="318">
        <f>IFERROR(IF(tblPiNAnalysis5[[#This Row],[Health]]="", "", MROUND(tblPiNAnalysis5[[#This Row],[Health]]/tblPiNAnalysis5[[#This Row],[PIN]], 0.05)), "")</f>
        <v>0</v>
      </c>
      <c r="AC142" s="319" t="str">
        <f>IFERROR(IF(tblPiNAnalysis5[[#This Row],[Protection]]="", "", MROUND(tblPiNAnalysis5[[#This Row],[Protection]]/tblPiNAnalysis5[[#This Row],[PIN]], 0.05)), "")</f>
        <v/>
      </c>
      <c r="AD142" s="319">
        <f>IFERROR(IF(tblPiNAnalysis5[[#This Row],[Shelter]]="", "", MROUND(tblPiNAnalysis5[[#This Row],[Shelter]]/tblPiNAnalysis5[[#This Row],[PIN]], 0.05)), "")</f>
        <v>0.05</v>
      </c>
      <c r="AE142" s="320">
        <f>IFERROR(IF(tblPiNAnalysis5[[#This Row],[WASH]]="", "", MROUND(tblPiNAnalysis5[[#This Row],[WASH]]/tblPiNAnalysis5[[#This Row],[PIN]], 0.05)), "")</f>
        <v>0.65</v>
      </c>
      <c r="AF142" s="488">
        <f>VLOOKUP(tblPiNAnalysis5[[#This Row],[ID]],tblPiNAnalysis[[ID]:[Final PiN]],63,FALSE)</f>
        <v>25895</v>
      </c>
      <c r="AG142" s="488">
        <f>IFERROR(IF(tblPiNAnalysis5[[#This Row],[Final TARGET]]="", "", MROUND(tblPiNAnalysis5[[#This Row],[Final TARGET]]/tblPiNAnalysis5[[#This Row],[PIN]], 0.05)), "")</f>
        <v>0.65</v>
      </c>
      <c r="AH142" s="322">
        <f>IF(MAX(tblPiNAnalysis5[[#This Row],[CCCM]:[WASH]])&lt;tblPiNAnalysis5[[#This Row],[PIN]],MAX(tblPiNAnalysis5[[#This Row],[CCCM]:[WASH]]),tblPiNAnalysis5[[#This Row],[PIN]])</f>
        <v>17108.25</v>
      </c>
      <c r="AI142" s="326"/>
      <c r="AJ142" s="502">
        <f>tblPiNAnalysis5[[#This Row],[CCCM]]</f>
        <v>0</v>
      </c>
      <c r="AK142" s="500">
        <v>851</v>
      </c>
      <c r="AL142" s="500">
        <v>2043</v>
      </c>
      <c r="AM142" s="500">
        <f>IF(VLOOKUP(tblPiNAnalysis5[[#This Row],[Admin 2 P-Code]],tblSeverityAnalysis[[Admin 2 P-Code]:[WASH]],10,FALSE)&gt;=4,VLOOKUP(tblPiNAnalysis5[[#This Row],[Admin 2 P-Code]],tblPiNAnalysis[[Admin 2 P-Code]:[WASH]],10,FALSE),0)</f>
        <v>0</v>
      </c>
      <c r="AN142" s="503">
        <v>0</v>
      </c>
      <c r="AO142" s="500"/>
      <c r="AP142" s="516">
        <v>634</v>
      </c>
      <c r="AQ142" s="501">
        <v>17108.25</v>
      </c>
      <c r="AR142" s="383">
        <f>MIN(tblPiNAnalysis5[[#This Row],[Final TARGET]],MAX(tblPiNAnalysis5[[#This Row],[CCCM_PRI]:[WASH_PRI]]))</f>
        <v>17108.25</v>
      </c>
      <c r="AS142" s="383">
        <f>IF(VLOOKUP(tblPiNAnalysis5[[#This Row],[Admin 2 P-Code]],tblSeverityAnalysis[[Admin 2 P-Code]:[Final Severity]],43,FALSE)&gt;=4,VLOOKUP(tblPiNAnalysis5[[#This Row],[Admin 2 P-Code]],tblPiNAnalysis[[Admin 2 P-Code]:[WASH]],8,FALSE),0)</f>
        <v>0</v>
      </c>
    </row>
    <row r="143" spans="1:45" ht="16.5" customHeight="1">
      <c r="A143"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Global_PopulationHT1032</v>
      </c>
      <c r="B143" s="304" t="s">
        <v>431</v>
      </c>
      <c r="C143" s="213" t="s">
        <v>432</v>
      </c>
      <c r="D143" s="213" t="s">
        <v>453</v>
      </c>
      <c r="E143" s="103" t="s">
        <v>454</v>
      </c>
      <c r="F143" s="99"/>
      <c r="G143" s="34"/>
      <c r="H143" s="34"/>
      <c r="I143" s="96">
        <v>6460</v>
      </c>
      <c r="J143" s="221" t="s">
        <v>156</v>
      </c>
      <c r="K143" s="427">
        <v>0</v>
      </c>
      <c r="L143" s="428">
        <v>267</v>
      </c>
      <c r="M143" s="428">
        <v>513</v>
      </c>
      <c r="N143" s="428">
        <v>1479</v>
      </c>
      <c r="O143" s="428">
        <v>1278.614713768116</v>
      </c>
      <c r="P143" s="428"/>
      <c r="Q143" s="428">
        <v>449.4</v>
      </c>
      <c r="R143" s="428">
        <v>3450</v>
      </c>
      <c r="S143" s="428"/>
      <c r="T143" s="428"/>
      <c r="U143" s="428"/>
      <c r="V143" s="428"/>
      <c r="W143" s="308"/>
      <c r="X143" s="317">
        <f>IFERROR(IF(tblPiNAnalysis5[[#This Row],[CCCM]]="", "", MROUND(tblPiNAnalysis5[[#This Row],[CCCM]]/tblPiNAnalysis5[[#This Row],[PIN]], 0.05)), "")</f>
        <v>0</v>
      </c>
      <c r="Y143" s="318">
        <f>IFERROR(IF(tblPiNAnalysis5[[#This Row],[Education]]="", "", MROUND(tblPiNAnalysis5[[#This Row],[Education]]/tblPiNAnalysis5[[#This Row],[PIN]], 0.05)), "")</f>
        <v>0.05</v>
      </c>
      <c r="Z143" s="318">
        <f>IFERROR(IF(tblPiNAnalysis5[[#This Row],[Nutrition]]="", "", MROUND(tblPiNAnalysis5[[#This Row],[Nutrition]]/tblPiNAnalysis5[[#This Row],[PIN]], 0.05)), "")</f>
        <v>0.05</v>
      </c>
      <c r="AA143" s="318">
        <f>IFERROR(IF(tblPiNAnalysis5[[#This Row],[Food Security]]="", "", MROUND(tblPiNAnalysis5[[#This Row],[Food Security]]/tblPiNAnalysis5[[#This Row],[PIN]], 0.05)), "")</f>
        <v>0.2</v>
      </c>
      <c r="AB143" s="318">
        <f>IFERROR(IF(tblPiNAnalysis5[[#This Row],[Health]]="", "", MROUND(tblPiNAnalysis5[[#This Row],[Health]]/tblPiNAnalysis5[[#This Row],[PIN]], 0.05)), "")</f>
        <v>0.2</v>
      </c>
      <c r="AC143" s="319" t="str">
        <f>IFERROR(IF(tblPiNAnalysis5[[#This Row],[Protection]]="", "", MROUND(tblPiNAnalysis5[[#This Row],[Protection]]/tblPiNAnalysis5[[#This Row],[PIN]], 0.05)), "")</f>
        <v/>
      </c>
      <c r="AD143" s="319">
        <f>IFERROR(IF(tblPiNAnalysis5[[#This Row],[Shelter]]="", "", MROUND(tblPiNAnalysis5[[#This Row],[Shelter]]/tblPiNAnalysis5[[#This Row],[PIN]], 0.05)), "")</f>
        <v>0.05</v>
      </c>
      <c r="AE143" s="320">
        <f>IFERROR(IF(tblPiNAnalysis5[[#This Row],[WASH]]="", "", MROUND(tblPiNAnalysis5[[#This Row],[WASH]]/tblPiNAnalysis5[[#This Row],[PIN]], 0.05)), "")</f>
        <v>0.5</v>
      </c>
      <c r="AF143" s="488">
        <f>VLOOKUP(tblPiNAnalysis5[[#This Row],[ID]],tblPiNAnalysis[[ID]:[Final PiN]],63,FALSE)</f>
        <v>6944</v>
      </c>
      <c r="AG143" s="488">
        <f>IFERROR(IF(tblPiNAnalysis5[[#This Row],[Final TARGET]]="", "", MROUND(tblPiNAnalysis5[[#This Row],[Final TARGET]]/tblPiNAnalysis5[[#This Row],[PIN]], 0.05)), "")</f>
        <v>0.5</v>
      </c>
      <c r="AH143" s="322">
        <f>IF(MAX(tblPiNAnalysis5[[#This Row],[CCCM]:[WASH]])&lt;tblPiNAnalysis5[[#This Row],[PIN]],MAX(tblPiNAnalysis5[[#This Row],[CCCM]:[WASH]]),tblPiNAnalysis5[[#This Row],[PIN]])</f>
        <v>3450</v>
      </c>
      <c r="AI143" s="326"/>
      <c r="AJ143" s="502">
        <f>tblPiNAnalysis5[[#This Row],[CCCM]]</f>
        <v>0</v>
      </c>
      <c r="AK143" s="500">
        <v>222</v>
      </c>
      <c r="AL143" s="500">
        <v>361</v>
      </c>
      <c r="AM143" s="500">
        <f>IF(VLOOKUP(tblPiNAnalysis5[[#This Row],[Admin 2 P-Code]],tblSeverityAnalysis[[Admin 2 P-Code]:[WASH]],10,FALSE)&gt;=4,VLOOKUP(tblPiNAnalysis5[[#This Row],[Admin 2 P-Code]],tblPiNAnalysis[[Admin 2 P-Code]:[WASH]],10,FALSE),0)</f>
        <v>0</v>
      </c>
      <c r="AN143" s="503">
        <v>0</v>
      </c>
      <c r="AO143" s="500"/>
      <c r="AP143" s="516">
        <v>349</v>
      </c>
      <c r="AQ143" s="501">
        <v>1725</v>
      </c>
      <c r="AR143" s="383">
        <f>MIN(tblPiNAnalysis5[[#This Row],[Final TARGET]],MAX(tblPiNAnalysis5[[#This Row],[CCCM_PRI]:[WASH_PRI]]))</f>
        <v>1725</v>
      </c>
      <c r="AS143" s="383">
        <f>IF(VLOOKUP(tblPiNAnalysis5[[#This Row],[Admin 2 P-Code]],tblSeverityAnalysis[[Admin 2 P-Code]:[Final Severity]],43,FALSE)&gt;=4,VLOOKUP(tblPiNAnalysis5[[#This Row],[Admin 2 P-Code]],tblPiNAnalysis[[Admin 2 P-Code]:[WASH]],8,FALSE),0)</f>
        <v>0</v>
      </c>
    </row>
    <row r="144" spans="1:45" ht="16.5" customHeight="1">
      <c r="A144"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IDPsIDPs sitesHT01xx</v>
      </c>
      <c r="B144" s="304" t="s">
        <v>152</v>
      </c>
      <c r="C144" s="213" t="s">
        <v>153</v>
      </c>
      <c r="D144" s="213" t="s">
        <v>455</v>
      </c>
      <c r="E144" s="103" t="s">
        <v>456</v>
      </c>
      <c r="F144" s="99"/>
      <c r="G144" s="34"/>
      <c r="H144" s="357" t="s">
        <v>457</v>
      </c>
      <c r="I144" s="96"/>
      <c r="J144" s="222" t="s">
        <v>458</v>
      </c>
      <c r="K144" s="427"/>
      <c r="L144" s="428"/>
      <c r="M144" s="428"/>
      <c r="N144" s="428">
        <v>133265</v>
      </c>
      <c r="O144" s="428"/>
      <c r="P144" s="428"/>
      <c r="Q144" s="428"/>
      <c r="R144" s="428"/>
      <c r="S144" s="428"/>
      <c r="T144" s="428"/>
      <c r="U144" s="428"/>
      <c r="V144" s="428"/>
      <c r="W144" s="308"/>
      <c r="X144" s="317" t="str">
        <f>IFERROR(IF(tblPiNAnalysis5[[#This Row],[CCCM]]="", "", MROUND(tblPiNAnalysis5[[#This Row],[CCCM]]/tblPiNAnalysis5[[#This Row],[PIN]], 0.05)), "")</f>
        <v/>
      </c>
      <c r="Y144" s="318" t="str">
        <f>IFERROR(IF(tblPiNAnalysis5[[#This Row],[Education]]="", "", MROUND(tblPiNAnalysis5[[#This Row],[Education]]/tblPiNAnalysis5[[#This Row],[PIN]], 0.05)), "")</f>
        <v/>
      </c>
      <c r="Z144" s="318" t="str">
        <f>IFERROR(IF(tblPiNAnalysis5[[#This Row],[Nutrition]]="", "", MROUND(tblPiNAnalysis5[[#This Row],[Nutrition]]/tblPiNAnalysis5[[#This Row],[PIN]], 0.05)), "")</f>
        <v/>
      </c>
      <c r="AA144" s="318">
        <f>IFERROR(IF(tblPiNAnalysis5[[#This Row],[Food Security]]="", "", MROUND(tblPiNAnalysis5[[#This Row],[Food Security]]/tblPiNAnalysis5[[#This Row],[PIN]], 0.05)), "")</f>
        <v>0.9</v>
      </c>
      <c r="AB144" s="318" t="str">
        <f>IFERROR(IF(tblPiNAnalysis5[[#This Row],[Health]]="", "", MROUND(tblPiNAnalysis5[[#This Row],[Health]]/tblPiNAnalysis5[[#This Row],[PIN]], 0.05)), "")</f>
        <v/>
      </c>
      <c r="AC144" s="319" t="str">
        <f>IFERROR(IF(tblPiNAnalysis5[[#This Row],[Protection]]="", "", MROUND(tblPiNAnalysis5[[#This Row],[Protection]]/tblPiNAnalysis5[[#This Row],[PIN]], 0.05)), "")</f>
        <v/>
      </c>
      <c r="AD144" s="319" t="str">
        <f>IFERROR(IF(tblPiNAnalysis5[[#This Row],[Shelter]]="", "", MROUND(tblPiNAnalysis5[[#This Row],[Shelter]]/tblPiNAnalysis5[[#This Row],[PIN]], 0.05)), "")</f>
        <v/>
      </c>
      <c r="AE144" s="320" t="str">
        <f>IFERROR(IF(tblPiNAnalysis5[[#This Row],[WASH]]="", "", MROUND(tblPiNAnalysis5[[#This Row],[WASH]]/tblPiNAnalysis5[[#This Row],[PIN]], 0.05)), "")</f>
        <v/>
      </c>
      <c r="AF144" s="488">
        <f>VLOOKUP(tblPiNAnalysis5[[#This Row],[ID]],tblPiNAnalysis[[ID]:[Final PiN]],63,FALSE)</f>
        <v>146984</v>
      </c>
      <c r="AG144" s="488">
        <f>IFERROR(IF(tblPiNAnalysis5[[#This Row],[Final TARGET]]="", "", MROUND(tblPiNAnalysis5[[#This Row],[Final TARGET]]/tblPiNAnalysis5[[#This Row],[PIN]], 0.05)), "")</f>
        <v>0.9</v>
      </c>
      <c r="AH144" s="322">
        <f>IF(MAX(tblPiNAnalysis5[[#This Row],[CCCM]:[WASH]])&lt;tblPiNAnalysis5[[#This Row],[PIN]],MAX(tblPiNAnalysis5[[#This Row],[CCCM]:[WASH]]),tblPiNAnalysis5[[#This Row],[PIN]])</f>
        <v>133265</v>
      </c>
      <c r="AI144" s="326"/>
      <c r="AJ144" s="503"/>
      <c r="AK144" s="500"/>
      <c r="AL144" s="500"/>
      <c r="AM144" s="500">
        <f>IF(VLOOKUP(tblPiNAnalysis5[[#This Row],[Admin 2 P-Code]],tblSeverityAnalysis[[Admin 2 P-Code]:[WASH]],10,FALSE)&gt;=4,VLOOKUP(tblPiNAnalysis5[[#This Row],[Admin 2 P-Code]],tblPiNAnalysis[[Admin 2 P-Code]:[WASH]],10,FALSE),0)</f>
        <v>146984</v>
      </c>
      <c r="AN144" s="503"/>
      <c r="AO144" s="500"/>
      <c r="AP144" s="501"/>
      <c r="AQ144" s="501"/>
      <c r="AR144" s="383">
        <f>MIN(tblPiNAnalysis5[[#This Row],[Final TARGET]],MAX(tblPiNAnalysis5[[#This Row],[CCCM_PRI]:[WASH_PRI]]))</f>
        <v>133265</v>
      </c>
      <c r="AS144" s="383">
        <f>IF(VLOOKUP(tblPiNAnalysis5[[#This Row],[Admin 2 P-Code]],tblSeverityAnalysis[[Admin 2 P-Code]:[Final Severity]],43,FALSE)&gt;=4,VLOOKUP(tblPiNAnalysis5[[#This Row],[Admin 2 P-Code]],tblPiNAnalysis[[Admin 2 P-Code]:[WASH]],8,FALSE),0)</f>
        <v>0</v>
      </c>
    </row>
    <row r="145" spans="1:45" ht="16.5" customHeight="1">
      <c r="A145" s="31" t="str">
        <f>IFERROR(_xlfn.CONCAT(IF(tblPiNAnalysis5[[#This Row],[Population Group]]="", "",tblPiNAnalysis5[[#This Row],[Population Group]] ), IF(tblPiNAnalysis5[[#This Row],[Pocket of need]]&lt;&gt;"",tblPiNAnalysis5[[#This Row],[Pocket of need]],), _xlfn.IFS(tblPiNAnalysis5[[#This Row],[Admin 3 P-Code]]&lt;&gt;"", tblPiNAnalysis5[[#This Row],[Admin 3 P-Code]], tblPiNAnalysis5[[#This Row],[Admin 2 P-Code]]&lt;&gt;"", tblPiNAnalysis5[[#This Row],[Admin 2 P-Code]], tblPiNAnalysis5[[#This Row],[Admin 1 P-Code]]&lt;&gt;"", tblPiNAnalysis5[[#This Row],[Admin 1 P-Code]])),"")</f>
        <v/>
      </c>
      <c r="B145" s="304"/>
      <c r="C145" s="213"/>
      <c r="D145" s="213"/>
      <c r="E145" s="103"/>
      <c r="F145" s="99"/>
      <c r="G145" s="34"/>
      <c r="H145" s="34"/>
      <c r="I145" s="96"/>
      <c r="J145" s="222"/>
      <c r="K145" s="427"/>
      <c r="L145" s="428"/>
      <c r="M145" s="428"/>
      <c r="N145" s="428"/>
      <c r="O145" s="428"/>
      <c r="P145" s="428">
        <v>1370000</v>
      </c>
      <c r="Q145" s="428"/>
      <c r="R145" s="428"/>
      <c r="S145" s="428"/>
      <c r="T145" s="428"/>
      <c r="U145" s="428"/>
      <c r="V145" s="428"/>
      <c r="W145" s="308"/>
      <c r="X145" s="317" t="str">
        <f>IFERROR(IF(tblPiNAnalysis5[[#This Row],[CCCM]]="", "", MROUND(tblPiNAnalysis5[[#This Row],[CCCM]]/tblPiNAnalysis5[[#This Row],[PIN]], 0.05)), "")</f>
        <v/>
      </c>
      <c r="Y145" s="318" t="str">
        <f>IFERROR(IF(tblPiNAnalysis5[[#This Row],[Education]]="", "", MROUND(tblPiNAnalysis5[[#This Row],[Education]]/tblPiNAnalysis5[[#This Row],[PIN]], 0.05)), "")</f>
        <v/>
      </c>
      <c r="Z145" s="318" t="str">
        <f>IFERROR(IF(tblPiNAnalysis5[[#This Row],[Nutrition]]="", "", MROUND(tblPiNAnalysis5[[#This Row],[Nutrition]]/tblPiNAnalysis5[[#This Row],[PIN]], 0.05)), "")</f>
        <v/>
      </c>
      <c r="AA145" s="318" t="str">
        <f>IFERROR(IF(tblPiNAnalysis5[[#This Row],[Food Security]]="", "", MROUND(tblPiNAnalysis5[[#This Row],[Food Security]]/tblPiNAnalysis5[[#This Row],[PIN]], 0.05)), "")</f>
        <v/>
      </c>
      <c r="AB145" s="318" t="str">
        <f>IFERROR(IF(tblPiNAnalysis5[[#This Row],[Health]]="", "", MROUND(tblPiNAnalysis5[[#This Row],[Health]]/tblPiNAnalysis5[[#This Row],[PIN]], 0.05)), "")</f>
        <v/>
      </c>
      <c r="AC145" s="319" t="str">
        <f>IFERROR(IF(tblPiNAnalysis5[[#This Row],[Protection]]="", "", MROUND(tblPiNAnalysis5[[#This Row],[Protection]]/tblPiNAnalysis5[[#This Row],[PIN]], 0.05)), "")</f>
        <v/>
      </c>
      <c r="AD145" s="319" t="str">
        <f>IFERROR(IF(tblPiNAnalysis5[[#This Row],[Shelter]]="", "", MROUND(tblPiNAnalysis5[[#This Row],[Shelter]]/tblPiNAnalysis5[[#This Row],[PIN]], 0.05)), "")</f>
        <v/>
      </c>
      <c r="AE145" s="320" t="str">
        <f>IFERROR(IF(tblPiNAnalysis5[[#This Row],[WASH]]="", "", MROUND(tblPiNAnalysis5[[#This Row],[WASH]]/tblPiNAnalysis5[[#This Row],[PIN]], 0.05)), "")</f>
        <v/>
      </c>
      <c r="AF145" s="488"/>
      <c r="AG145" s="488" t="str">
        <f>IFERROR(IF(tblPiNAnalysis5[[#This Row],[Final TARGET]]="", "", MROUND(tblPiNAnalysis5[[#This Row],[Final TARGET]]/tblPiNAnalysis5[[#This Row],[PIN]], 0.05)), "")</f>
        <v/>
      </c>
      <c r="AH145" s="322">
        <f>IF(MAX(tblPiNAnalysis5[[#This Row],[CCCM]:[WASH]])&lt;tblPiNAnalysis5[[#This Row],[PIN]],MAX(tblPiNAnalysis5[[#This Row],[CCCM]:[WASH]]),tblPiNAnalysis5[[#This Row],[PIN]])</f>
        <v>0</v>
      </c>
      <c r="AI145" s="340"/>
      <c r="AJ145" s="503"/>
      <c r="AK145" s="500"/>
      <c r="AL145" s="500"/>
      <c r="AM145" s="500"/>
      <c r="AN145" s="503"/>
      <c r="AO145" s="500"/>
      <c r="AP145" s="501"/>
      <c r="AQ145" s="501"/>
      <c r="AR145" s="383">
        <f>MIN(tblPiNAnalysis5[[#This Row],[Final TARGET]],MAX(tblPiNAnalysis5[[#This Row],[CCCM_PRI]:[WASH_PRI]]))</f>
        <v>0</v>
      </c>
      <c r="AS145" s="383"/>
    </row>
    <row r="146" spans="1:45">
      <c r="A146" s="388" t="s">
        <v>459</v>
      </c>
      <c r="B146" s="386"/>
      <c r="C146" s="387"/>
      <c r="D146" s="387"/>
      <c r="E146" s="388"/>
      <c r="F146" s="389"/>
      <c r="G146" s="390"/>
      <c r="H146" s="390"/>
      <c r="I146" s="390"/>
      <c r="J146" s="390"/>
      <c r="K146" s="431">
        <f>SUBTOTAL(109,tblPiNAnalysis5[CCCM])+360000</f>
        <v>571841</v>
      </c>
      <c r="L146" s="432">
        <f>SUBTOTAL(109,tblPiNAnalysis5[Education])</f>
        <v>982031</v>
      </c>
      <c r="M146" s="432">
        <f>SUBTOTAL(109,tblPiNAnalysis5[Nutrition])</f>
        <v>946258</v>
      </c>
      <c r="N146" s="432">
        <f>SUBTOTAL(109,tblPiNAnalysis5[Food Security])</f>
        <v>3529354</v>
      </c>
      <c r="O146" s="432">
        <f>SUBTOTAL(109,tblPiNAnalysis5[Health])</f>
        <v>2710789.852567446</v>
      </c>
      <c r="P146" s="432">
        <f>SUBTOTAL(109,tblPiNAnalysis5[Protection])</f>
        <v>1370000</v>
      </c>
      <c r="Q146" s="432">
        <f>SUBTOTAL(109,tblPiNAnalysis5[Shelter])</f>
        <v>411578.90000000014</v>
      </c>
      <c r="R146" s="432">
        <f>SUBTOTAL(109,tblPiNAnalysis5[WASH])</f>
        <v>1403112.5592587758</v>
      </c>
      <c r="S146" s="432">
        <f>SUBTOTAL(109,tblPiNAnalysis5[General Protection])</f>
        <v>0</v>
      </c>
      <c r="T146" s="432">
        <f>SUBTOTAL(109,tblPiNAnalysis5[CP])</f>
        <v>0</v>
      </c>
      <c r="U146" s="432">
        <f>SUBTOTAL(109,tblPiNAnalysis5[GBV])</f>
        <v>0</v>
      </c>
      <c r="V146" s="432">
        <f>SUBTOTAL(109,tblPiNAnalysis5[Migrants])</f>
        <v>0</v>
      </c>
      <c r="W146" s="392"/>
      <c r="X146" s="391"/>
      <c r="Y146" s="392"/>
      <c r="Z146" s="392"/>
      <c r="AA146" s="392"/>
      <c r="AB146" s="392"/>
      <c r="AC146" s="392"/>
      <c r="AD146" s="392"/>
      <c r="AE146" s="393"/>
      <c r="AF146" s="490">
        <f>SUBTOTAL(109,tblPiNAnalysis5[PIN])</f>
        <v>6414193.106306633</v>
      </c>
      <c r="AG146" s="490"/>
      <c r="AH146" s="433">
        <f>SUBTOTAL(109,tblPiNAnalysis5[Final TARGET])</f>
        <v>4134421.9388248818</v>
      </c>
      <c r="AI146" s="394">
        <f>SUBTOTAL(103,tblPiNAnalysis5[Evidence &amp; Comments])</f>
        <v>0</v>
      </c>
      <c r="AJ146" s="497">
        <f>SUBTOTAL(109,tblPiNAnalysis5[CCCM_PRI])</f>
        <v>211841</v>
      </c>
      <c r="AK146" s="497">
        <f>SUBTOTAL(109,tblPiNAnalysis5[Education_PRI])</f>
        <v>746905</v>
      </c>
      <c r="AL146" s="497">
        <f>SUBTOTAL(109,tblPiNAnalysis5[Nutrition_PRI])</f>
        <v>718329</v>
      </c>
      <c r="AM146" s="497">
        <f>SUBTOTAL(109,tblPiNAnalysis5[Food Security_PRI])</f>
        <v>2441149</v>
      </c>
      <c r="AN146" s="497">
        <f>SUBTOTAL(109,tblPiNAnalysis5[Health_PRI])</f>
        <v>1856969.1898226449</v>
      </c>
      <c r="AO146" s="497">
        <f>SUBTOTAL(109,tblPiNAnalysis5[Protection_PRI])</f>
        <v>0</v>
      </c>
      <c r="AP146" s="497">
        <f>SUBTOTAL(109,tblPiNAnalysis5[Shelter_PRI])</f>
        <v>406690</v>
      </c>
      <c r="AQ146" s="497">
        <f>SUBTOTAL(109,tblPiNAnalysis5[WASH_PRI])</f>
        <v>1378070.0691597657</v>
      </c>
      <c r="AR146" s="497">
        <f>SUBTOTAL(109,tblPiNAnalysis5[FINAL PRIORITIZATION])</f>
        <v>3528611.685462412</v>
      </c>
      <c r="AS146" s="497">
        <f>SUBTOTAL(109,tblPiNAnalysis5[Suggestion Education])</f>
        <v>521759</v>
      </c>
    </row>
    <row r="151" spans="1:45" s="21" customFormat="1">
      <c r="A151" s="65"/>
      <c r="B151" s="101"/>
      <c r="C151" s="101"/>
      <c r="D151" s="101"/>
      <c r="E151" s="101"/>
      <c r="F151" s="20"/>
      <c r="G151" s="20"/>
      <c r="H151" s="20"/>
      <c r="K151" s="22"/>
      <c r="U151" s="21">
        <v>51</v>
      </c>
      <c r="V151" s="21">
        <f>COUNTIF(tblPiNAnalysis5[Migrants],V142)</f>
        <v>0</v>
      </c>
      <c r="AC151"/>
      <c r="AD151"/>
      <c r="AE151"/>
      <c r="AF151" s="119"/>
      <c r="AG151" s="119"/>
      <c r="AI151"/>
      <c r="AJ151"/>
      <c r="AK151" s="17"/>
      <c r="AL151"/>
      <c r="AM151"/>
      <c r="AN151" s="17"/>
      <c r="AO151"/>
      <c r="AP151" s="24"/>
    </row>
    <row r="152" spans="1:45" s="21" customFormat="1">
      <c r="A152" s="65"/>
      <c r="B152" s="101"/>
      <c r="C152" s="101"/>
      <c r="D152" s="101"/>
      <c r="E152" s="101"/>
      <c r="F152" s="20"/>
      <c r="G152" s="20"/>
      <c r="H152" s="20"/>
      <c r="K152" s="22"/>
      <c r="U152" s="21">
        <v>103</v>
      </c>
      <c r="V152" s="21">
        <f>COUNTIF(tblPiNAnalysis5[Migrants],V15)</f>
        <v>0</v>
      </c>
      <c r="AC152"/>
      <c r="AD152"/>
      <c r="AE152"/>
      <c r="AF152" s="119"/>
      <c r="AG152" s="119"/>
      <c r="AI152"/>
      <c r="AJ152"/>
      <c r="AK152" s="17"/>
      <c r="AL152"/>
      <c r="AM152"/>
      <c r="AN152" s="17"/>
      <c r="AO152"/>
      <c r="AP152" s="24"/>
    </row>
    <row r="153" spans="1:45" s="21" customFormat="1">
      <c r="A153" s="65"/>
      <c r="B153" s="101"/>
      <c r="C153" s="101"/>
      <c r="D153" s="101"/>
      <c r="E153" s="101"/>
      <c r="F153" s="20"/>
      <c r="G153" s="20"/>
      <c r="H153" s="20"/>
      <c r="K153" s="22"/>
      <c r="U153" s="21">
        <v>154</v>
      </c>
      <c r="V153" s="21">
        <f>COUNTIF(tblPiNAnalysis5[Migrants],V122)</f>
        <v>0</v>
      </c>
      <c r="AC153"/>
      <c r="AD153"/>
      <c r="AE153"/>
      <c r="AF153" s="119"/>
      <c r="AG153" s="119"/>
      <c r="AI153"/>
      <c r="AJ153"/>
      <c r="AK153" s="17"/>
      <c r="AL153"/>
      <c r="AM153"/>
      <c r="AN153" s="17"/>
      <c r="AO153"/>
      <c r="AP153" s="24"/>
    </row>
    <row r="154" spans="1:45" s="21" customFormat="1">
      <c r="A154" s="65"/>
      <c r="B154" s="101"/>
      <c r="C154" s="101"/>
      <c r="D154" s="101"/>
      <c r="E154" s="101"/>
      <c r="F154" s="20"/>
      <c r="G154" s="20"/>
      <c r="H154" s="20"/>
      <c r="K154" s="22"/>
      <c r="U154" s="21">
        <v>257</v>
      </c>
      <c r="V154" s="21">
        <f>COUNTIF(tblPiNAnalysis5[Migrants],V143)</f>
        <v>0</v>
      </c>
      <c r="AC154"/>
      <c r="AD154"/>
      <c r="AE154"/>
      <c r="AF154" s="119"/>
      <c r="AG154" s="119"/>
      <c r="AI154"/>
      <c r="AJ154"/>
      <c r="AK154" s="17"/>
      <c r="AL154"/>
      <c r="AM154"/>
      <c r="AN154" s="17"/>
      <c r="AO154"/>
      <c r="AP154" s="24"/>
    </row>
    <row r="155" spans="1:45" s="21" customFormat="1">
      <c r="A155" s="65"/>
      <c r="B155" s="101"/>
      <c r="C155" s="101"/>
      <c r="D155" s="101"/>
      <c r="E155" s="101"/>
      <c r="F155" s="20"/>
      <c r="G155" s="20"/>
      <c r="H155" s="20"/>
      <c r="K155" s="22"/>
      <c r="U155" s="21">
        <v>309</v>
      </c>
      <c r="V155" s="21">
        <f>COUNTIF(tblPiNAnalysis5[Migrants],V104)</f>
        <v>0</v>
      </c>
      <c r="AC155"/>
      <c r="AD155"/>
      <c r="AE155"/>
      <c r="AF155" s="119"/>
      <c r="AG155" s="119"/>
      <c r="AI155"/>
      <c r="AJ155"/>
      <c r="AK155" s="17"/>
      <c r="AL155"/>
      <c r="AM155"/>
      <c r="AN155" s="17"/>
      <c r="AO155"/>
      <c r="AP155" s="24"/>
    </row>
  </sheetData>
  <mergeCells count="7">
    <mergeCell ref="AJ2:AQ2"/>
    <mergeCell ref="AH2:AI2"/>
    <mergeCell ref="B2:G2"/>
    <mergeCell ref="I2:J2"/>
    <mergeCell ref="K2:R2"/>
    <mergeCell ref="S2:W2"/>
    <mergeCell ref="X2:AE2"/>
  </mergeCells>
  <pageMargins left="0.7" right="0.7" top="0.75" bottom="0.75" header="0.3" footer="0.3"/>
  <pageSetup paperSize="9" orientation="portrait" r:id="rId1"/>
  <ignoredErrors>
    <ignoredError sqref="AP4:AP143 AL4:AL143 AK4:AK143 AJ4:AJ145 AN4:AN143" calculatedColumn="1"/>
  </ignoredErrors>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3003-12C3-4852-B30E-5B980E3C4427}">
  <sheetPr codeName="Sheet7">
    <tabColor rgb="FFBDD7EE"/>
  </sheetPr>
  <dimension ref="A1:BE153"/>
  <sheetViews>
    <sheetView showGridLines="0" topLeftCell="AL1" zoomScaleNormal="100" workbookViewId="0">
      <pane ySplit="3" topLeftCell="A4" activePane="bottomLeft" state="frozen"/>
      <selection pane="bottomLeft" activeCell="AQ147" sqref="AQ147"/>
      <selection activeCell="B1" sqref="B1"/>
    </sheetView>
  </sheetViews>
  <sheetFormatPr defaultColWidth="8.5703125" defaultRowHeight="15" customHeight="1"/>
  <cols>
    <col min="1" max="1" width="28.85546875" style="67" hidden="1" customWidth="1"/>
    <col min="2" max="2" width="11.7109375" style="14" customWidth="1"/>
    <col min="3" max="3" width="16.7109375" style="14" hidden="1" customWidth="1"/>
    <col min="4" max="4" width="14" style="14" customWidth="1"/>
    <col min="5" max="5" width="17.7109375" style="14" hidden="1" customWidth="1"/>
    <col min="6" max="6" width="9" style="14" hidden="1" customWidth="1"/>
    <col min="7" max="7" width="18" style="14" hidden="1" customWidth="1"/>
    <col min="8" max="8" width="17.42578125" style="14" hidden="1" customWidth="1"/>
    <col min="9" max="9" width="13.42578125" style="15" customWidth="1"/>
    <col min="10" max="10" width="17.140625" style="15" customWidth="1"/>
    <col min="11" max="11" width="6.85546875" style="22" bestFit="1" customWidth="1"/>
    <col min="12" max="12" width="10" style="15" bestFit="1" customWidth="1"/>
    <col min="13" max="13" width="8.5703125" style="15" bestFit="1" customWidth="1"/>
    <col min="14" max="14" width="9" style="15" customWidth="1"/>
    <col min="15" max="15" width="6.85546875" style="15" bestFit="1" customWidth="1"/>
    <col min="16" max="16" width="10.140625" bestFit="1" customWidth="1"/>
    <col min="17" max="17" width="7.42578125" bestFit="1" customWidth="1"/>
    <col min="18" max="18" width="6.85546875" bestFit="1" customWidth="1"/>
    <col min="19" max="19" width="14.5703125" hidden="1" customWidth="1"/>
    <col min="20" max="22" width="13.140625" style="15" hidden="1" customWidth="1"/>
    <col min="23" max="27" width="6.42578125" style="15" customWidth="1"/>
    <col min="28" max="28" width="18.140625" style="15" customWidth="1"/>
    <col min="29" max="29" width="10.42578125" style="15" customWidth="1"/>
    <col min="30" max="30" width="12.5703125" style="15" customWidth="1"/>
    <col min="31" max="31" width="11.28515625" style="15" customWidth="1"/>
    <col min="32" max="32" width="12.5703125" customWidth="1"/>
    <col min="33" max="33" width="8.85546875" customWidth="1"/>
    <col min="34" max="34" width="13.5703125" style="16" customWidth="1"/>
    <col min="35" max="37" width="13.140625" style="15" customWidth="1"/>
    <col min="38" max="38" width="16" style="15" customWidth="1"/>
    <col min="39" max="39" width="12.85546875" style="15" customWidth="1"/>
    <col min="40" max="40" width="17" customWidth="1"/>
    <col min="41" max="41" width="15.85546875" customWidth="1"/>
    <col min="42" max="42" width="20.5703125" customWidth="1"/>
    <col min="43" max="43" width="13" customWidth="1"/>
    <col min="44" max="44" width="13" style="22" customWidth="1"/>
    <col min="45" max="45" width="13" customWidth="1"/>
    <col min="46" max="46" width="11" style="87" customWidth="1"/>
    <col min="47" max="47" width="12.7109375" style="22" customWidth="1"/>
    <col min="48" max="48" width="26.140625" customWidth="1"/>
    <col min="49" max="49" width="23.5703125" style="15" customWidth="1"/>
    <col min="50" max="50" width="30.28515625" style="2" customWidth="1"/>
    <col min="51" max="51" width="25.42578125" style="22" customWidth="1"/>
    <col min="52" max="52" width="19" customWidth="1"/>
    <col min="53" max="53" width="19" style="87" customWidth="1"/>
    <col min="54" max="54" width="19" style="87" hidden="1" customWidth="1"/>
    <col min="55" max="55" width="22.7109375" style="87" customWidth="1"/>
    <col min="56" max="57" width="19" style="119" customWidth="1"/>
    <col min="58" max="60" width="25.7109375" customWidth="1"/>
    <col min="61" max="61" width="38.5703125" customWidth="1"/>
    <col min="62" max="62" width="57.28515625" customWidth="1"/>
    <col min="63" max="63" width="25.42578125" customWidth="1"/>
    <col min="64" max="64" width="27.28515625" customWidth="1"/>
    <col min="65" max="65" width="22.140625" customWidth="1"/>
    <col min="66" max="66" width="16" customWidth="1"/>
    <col min="67" max="67" width="11.140625" customWidth="1"/>
    <col min="68" max="68" width="12.5703125" customWidth="1"/>
    <col min="69" max="69" width="20" bestFit="1" customWidth="1"/>
    <col min="70" max="70" width="46.140625" customWidth="1"/>
  </cols>
  <sheetData>
    <row r="1" spans="1:57" ht="49.5" customHeight="1" thickBot="1">
      <c r="A1" s="136"/>
      <c r="B1" s="562"/>
      <c r="C1" s="562"/>
      <c r="D1" s="562"/>
      <c r="E1" s="562"/>
      <c r="F1" s="562"/>
      <c r="G1" s="562"/>
      <c r="H1" s="562"/>
      <c r="I1" s="562"/>
      <c r="J1" s="562"/>
      <c r="K1" s="573" t="s">
        <v>514</v>
      </c>
      <c r="L1" s="573"/>
      <c r="M1" s="573"/>
      <c r="N1" s="573"/>
      <c r="O1" s="573"/>
      <c r="P1" s="573"/>
      <c r="Q1" s="573"/>
      <c r="R1" s="573"/>
      <c r="S1" s="573"/>
      <c r="T1" s="573"/>
      <c r="U1" s="573"/>
      <c r="V1" s="573"/>
      <c r="W1" s="573"/>
      <c r="X1" s="573"/>
      <c r="Y1" s="573"/>
      <c r="Z1" s="573"/>
      <c r="AA1" s="573"/>
      <c r="AB1" s="573"/>
      <c r="AC1" s="579" t="s">
        <v>515</v>
      </c>
      <c r="AD1" s="579"/>
      <c r="AE1" s="579"/>
      <c r="AF1" s="579"/>
      <c r="AG1" s="293"/>
      <c r="AH1" s="24"/>
      <c r="AI1" s="21"/>
      <c r="AJ1" s="20"/>
      <c r="AK1" s="21"/>
      <c r="AL1" s="17"/>
      <c r="AM1" s="580"/>
      <c r="AN1" s="580"/>
      <c r="AO1" s="134"/>
      <c r="AP1" s="134"/>
      <c r="AQ1" s="135"/>
      <c r="AR1" s="135"/>
      <c r="AS1" s="135"/>
      <c r="AT1" s="296"/>
      <c r="AU1" s="21"/>
      <c r="AV1" s="21"/>
      <c r="AW1"/>
      <c r="AX1"/>
      <c r="AY1"/>
      <c r="BA1"/>
      <c r="BB1"/>
      <c r="BC1"/>
      <c r="BD1"/>
      <c r="BE1"/>
    </row>
    <row r="2" spans="1:57" ht="50.45" customHeight="1" thickTop="1" thickBot="1">
      <c r="A2" s="115"/>
      <c r="B2" s="583" t="s">
        <v>75</v>
      </c>
      <c r="C2" s="584"/>
      <c r="D2" s="584"/>
      <c r="E2" s="584"/>
      <c r="F2" s="584"/>
      <c r="G2" s="584"/>
      <c r="H2" s="299"/>
      <c r="I2" s="565" t="s">
        <v>76</v>
      </c>
      <c r="J2" s="566"/>
      <c r="K2" s="120"/>
      <c r="L2" s="121"/>
      <c r="M2" s="121"/>
      <c r="N2" s="120"/>
      <c r="O2" s="120"/>
      <c r="P2" s="121"/>
      <c r="Q2" s="121"/>
      <c r="R2" s="120"/>
      <c r="S2" s="121"/>
      <c r="T2" s="121"/>
      <c r="U2" s="120"/>
      <c r="V2" s="120"/>
      <c r="W2" s="567" t="s">
        <v>516</v>
      </c>
      <c r="X2" s="568"/>
      <c r="Y2" s="568"/>
      <c r="Z2" s="568"/>
      <c r="AA2" s="569"/>
      <c r="AB2" s="123"/>
      <c r="AC2" s="574" t="s">
        <v>517</v>
      </c>
      <c r="AD2" s="575"/>
      <c r="AE2" s="576"/>
      <c r="AF2" s="607" t="s">
        <v>518</v>
      </c>
      <c r="AG2" s="608"/>
      <c r="AH2" s="570" t="s">
        <v>519</v>
      </c>
      <c r="AI2" s="571"/>
      <c r="AJ2" s="571"/>
      <c r="AK2" s="571"/>
      <c r="AL2" s="572"/>
      <c r="AM2" s="577" t="s">
        <v>520</v>
      </c>
      <c r="AN2" s="578"/>
      <c r="AO2" s="581" t="s">
        <v>521</v>
      </c>
      <c r="AP2" s="582"/>
      <c r="AQ2" s="585" t="s">
        <v>49</v>
      </c>
      <c r="AR2" s="586"/>
      <c r="AS2" s="587"/>
      <c r="AT2" s="609" t="str">
        <f>_xlfn.CONCAT("# of units flagged: ",COUNTIF(AT6:AT7,"&gt;=1"))</f>
        <v># of units flagged: 2</v>
      </c>
      <c r="AU2" s="563" t="s">
        <v>522</v>
      </c>
      <c r="AV2" s="564"/>
      <c r="AW2"/>
      <c r="AX2"/>
      <c r="AY2"/>
      <c r="BA2"/>
      <c r="BB2"/>
      <c r="BC2"/>
      <c r="BD2"/>
      <c r="BE2"/>
    </row>
    <row r="3" spans="1:57" ht="93.75" customHeight="1" thickTop="1" thickBot="1">
      <c r="A3" s="143" t="s">
        <v>88</v>
      </c>
      <c r="B3" s="46" t="s">
        <v>89</v>
      </c>
      <c r="C3" s="47" t="s">
        <v>90</v>
      </c>
      <c r="D3" s="47" t="s">
        <v>91</v>
      </c>
      <c r="E3" s="47" t="s">
        <v>92</v>
      </c>
      <c r="F3" s="47" t="s">
        <v>93</v>
      </c>
      <c r="G3" s="194" t="s">
        <v>94</v>
      </c>
      <c r="H3" s="47" t="s">
        <v>95</v>
      </c>
      <c r="I3" s="195" t="s">
        <v>96</v>
      </c>
      <c r="J3" s="48" t="s">
        <v>97</v>
      </c>
      <c r="K3" s="116" t="s">
        <v>98</v>
      </c>
      <c r="L3" s="116" t="s">
        <v>58</v>
      </c>
      <c r="M3" s="117" t="s">
        <v>60</v>
      </c>
      <c r="N3" s="117" t="s">
        <v>99</v>
      </c>
      <c r="O3" s="117" t="s">
        <v>100</v>
      </c>
      <c r="P3" s="117" t="s">
        <v>101</v>
      </c>
      <c r="Q3" s="117" t="s">
        <v>102</v>
      </c>
      <c r="R3" s="117" t="s">
        <v>103</v>
      </c>
      <c r="S3" s="144" t="s">
        <v>523</v>
      </c>
      <c r="T3" s="144" t="s">
        <v>524</v>
      </c>
      <c r="U3" s="144" t="s">
        <v>106</v>
      </c>
      <c r="V3" s="145" t="s">
        <v>525</v>
      </c>
      <c r="W3" s="117" t="s">
        <v>526</v>
      </c>
      <c r="X3" s="117" t="s">
        <v>527</v>
      </c>
      <c r="Y3" s="117" t="s">
        <v>528</v>
      </c>
      <c r="Z3" s="117" t="s">
        <v>529</v>
      </c>
      <c r="AA3" s="118" t="s">
        <v>530</v>
      </c>
      <c r="AB3" s="124" t="s">
        <v>531</v>
      </c>
      <c r="AC3" s="207" t="s">
        <v>532</v>
      </c>
      <c r="AD3" s="208" t="s">
        <v>533</v>
      </c>
      <c r="AE3" s="209" t="s">
        <v>534</v>
      </c>
      <c r="AF3" s="122" t="s">
        <v>535</v>
      </c>
      <c r="AG3" s="294" t="s">
        <v>536</v>
      </c>
      <c r="AH3" s="196" t="s">
        <v>537</v>
      </c>
      <c r="AI3" s="197" t="s">
        <v>538</v>
      </c>
      <c r="AJ3" s="198" t="s">
        <v>539</v>
      </c>
      <c r="AK3" s="197" t="s">
        <v>540</v>
      </c>
      <c r="AL3" s="199" t="s">
        <v>541</v>
      </c>
      <c r="AM3" s="200" t="s">
        <v>542</v>
      </c>
      <c r="AN3" s="201" t="s">
        <v>543</v>
      </c>
      <c r="AO3" s="203" t="s">
        <v>544</v>
      </c>
      <c r="AP3" s="204" t="s">
        <v>545</v>
      </c>
      <c r="AQ3" s="202" t="s">
        <v>49</v>
      </c>
      <c r="AR3" s="202" t="s">
        <v>546</v>
      </c>
      <c r="AS3" s="202" t="s">
        <v>144</v>
      </c>
      <c r="AT3" s="291" t="s">
        <v>145</v>
      </c>
      <c r="AU3" s="205" t="s">
        <v>547</v>
      </c>
      <c r="AV3" s="206" t="s">
        <v>148</v>
      </c>
      <c r="AW3"/>
      <c r="AX3"/>
      <c r="AY3"/>
      <c r="BA3"/>
      <c r="BB3"/>
      <c r="BC3"/>
      <c r="BD3"/>
      <c r="BE3"/>
    </row>
    <row r="4" spans="1:57" ht="37.15" thickTop="1">
      <c r="A4" s="66"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Global_PopulationHT0111</v>
      </c>
      <c r="B4" s="39" t="s">
        <v>152</v>
      </c>
      <c r="C4" s="34" t="s">
        <v>153</v>
      </c>
      <c r="D4" s="34" t="s">
        <v>154</v>
      </c>
      <c r="E4" s="34" t="s">
        <v>155</v>
      </c>
      <c r="F4" s="34"/>
      <c r="G4" s="34"/>
      <c r="H4" s="356"/>
      <c r="I4" s="354">
        <v>926906</v>
      </c>
      <c r="J4" s="40" t="s">
        <v>156</v>
      </c>
      <c r="K4" s="517">
        <v>5</v>
      </c>
      <c r="L4" s="517">
        <v>5</v>
      </c>
      <c r="M4" s="517">
        <v>3</v>
      </c>
      <c r="N4" s="517">
        <v>4</v>
      </c>
      <c r="O4" s="517">
        <v>4</v>
      </c>
      <c r="P4" s="517">
        <v>5</v>
      </c>
      <c r="Q4" s="517">
        <v>4</v>
      </c>
      <c r="R4" s="517">
        <v>2</v>
      </c>
      <c r="S4" s="33"/>
      <c r="T4" s="33"/>
      <c r="U4" s="33"/>
      <c r="V4" s="33"/>
      <c r="W4" s="42" t="str">
        <f>IF(COUNTIF(tblSeverityAnalysis[[#This Row],[CCCM]:[WASH]], 1)=0, "", COUNTIF(tblSeverityAnalysis[[#This Row],[CCCM]:[WASH]], 1))</f>
        <v/>
      </c>
      <c r="X4" s="31">
        <f>IF(COUNTIF(tblSeverityAnalysis[[#This Row],[CCCM]:[WASH]], 2)=0, "", COUNTIF(tblSeverityAnalysis[[#This Row],[CCCM]:[WASH]], 2))</f>
        <v>1</v>
      </c>
      <c r="Y4" s="31">
        <f>IF(COUNTIF(tblSeverityAnalysis[[#This Row],[CCCM]:[WASH]], 3)=0, "", COUNTIF(tblSeverityAnalysis[[#This Row],[CCCM]:[WASH]], 3))</f>
        <v>1</v>
      </c>
      <c r="Z4" s="31">
        <f>IF(COUNTIF(tblSeverityAnalysis[[#This Row],[CCCM]:[WASH]], 4)=0, "", COUNTIF(tblSeverityAnalysis[[#This Row],[CCCM]:[WASH]], 4))</f>
        <v>3</v>
      </c>
      <c r="AA4" s="109">
        <f>IF(COUNTIF(tblSeverityAnalysis[[#This Row],[CCCM]:[WASH]], 5)=0, "", COUNTIF(tblSeverityAnalysis[[#This Row],[CCCM]:[WASH]], 5))</f>
        <v>3</v>
      </c>
      <c r="AB4" s="60" cm="1">
        <f t="array" ref="AB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4" s="81">
        <f>IFERROR(IF(INDEX(tblSeverityReference[Death or Iminanet Risk of Death Severity],MATCH(tblSeverityAnalysis[[#This Row],[ID]], tblSeverityReference[ID], 0))= "", "",INDEX(tblSeverityReference[Death or Iminanet Risk of Death Severity],MATCH(tblSeverityAnalysis[[#This Row],[ID]], tblSeverityReference[ID], 0)) ), "")</f>
        <v>5</v>
      </c>
      <c r="AD4" s="33">
        <f>IFERROR(IF(INDEX(tblSeverityReference[Malnutrition Severity],MATCH(tblSeverityAnalysis[[#This Row],[ID]], tblSeverityReference[ID], 0))= "", "",INDEX(tblSeverityReference[Malnutrition Severity],MATCH(tblSeverityAnalysis[[#This Row],[ID]], tblSeverityReference[ID], 0)) ), "")</f>
        <v>2</v>
      </c>
      <c r="AE4" s="41">
        <f>IFERROR(IF(INDEX(tblSeverityReference[Epidemic Severity],MATCH(tblSeverityAnalysis[[#This Row],[ID]], tblSeverityReference[ID], 0))= "", "",INDEX(tblSeverityReference[Epidemic Severity],MATCH(tblSeverityAnalysis[[#This Row],[ID]], tblSeverityReference[ID], 0)) ), "")</f>
        <v>5</v>
      </c>
      <c r="AF4" s="84" t="str">
        <f>IFERROR(IF(INDEX(tblSeverityReference[Coping Strategy Severity],MATCH(tblSeverityAnalysis[[#This Row],[ID]], tblSeverityReference[ID], 0))= "", "",INDEX(tblSeverityReference[Coping Strategy Severity],MATCH(tblSeverityAnalysis[[#This Row],[ID]], tblSeverityReference[ID], 0)) ), "")</f>
        <v/>
      </c>
      <c r="AG4" s="84">
        <f>IFERROR(IF(INDEX(tblSeverityReference[HR/IHL Violation],MATCH(tblSeverityAnalysis[[#This Row],[ID]], tblSeverityReference[ID], 0))= "", "",INDEX(tblSeverityReference[HR/IHL Violation],MATCH(tblSeverityAnalysis[[#This Row],[ID]], tblSeverityReference[ID], 0)) ), "")</f>
        <v>5</v>
      </c>
      <c r="AH4" s="82">
        <f>IFERROR(AVERAGE(tblSeverityAnalysis[[#This Row],[CCCM]:[WASH]]), "")</f>
        <v>4</v>
      </c>
      <c r="AI4" s="27">
        <f>IF(SUM(tblSeverityAnalysis[[#This Row],[CCCM]:[WASH]])=0, "", MAX(tblSeverityAnalysis[[#This Row],[CCCM]:[WASH]]))</f>
        <v>5</v>
      </c>
      <c r="AJ4" s="95" t="str" cm="1">
        <f t="array" ref="AJ4">IFERROR(IF(tblSeverityAnalysis[[#This Row],[Highest Severity]]="", "", _xlfn.TEXTJOIN(CHAR(10), TRUE, IF(tblSeverityAnalysis[[#This Row],[CCCM]:[WASH]]=tblSeverityAnalysis[[#This Row],[Highest Severity]], tblSeverityAnalysis[[#Headers],[CCCM]:[WASH]], ""), "")), "")</f>
        <v>CCCM
Education
Protection</v>
      </c>
      <c r="AK4" s="27" cm="1">
        <f t="array" ref="AK4">IFERROR(MAX(_xlfn._xlws.FILTER(tblSeverityAnalysis[[#This Row],[CCCM]:[WASH]], tblSeverityAnalysis[[#This Row],[CCCM]:[WASH]]&lt;tblSeverityAnalysis[[#This Row],[Highest Severity]])), "")</f>
        <v>4</v>
      </c>
      <c r="AL4" s="35" t="str" cm="1">
        <f t="array" ref="AL4">IFERROR(IF(tblSeverityAnalysis[[#This Row],[2nd Highest Severity]]="", "", _xlfn.TEXTJOIN(CHAR(10), TRUE, IF(tblSeverityAnalysis[[#This Row],[CCCM]:[WASH]]=tblSeverityAnalysis[[#This Row],[2nd Highest Severity]], tblSeverityAnalysis[[#Headers],[CCCM]:[WASH]], ""), "")), "")</f>
        <v>Food Security
Health
Shelter</v>
      </c>
      <c r="AM4" s="132" t="str">
        <f>IFERROR(IF(AND(tblSeverityAnalysis[[#This Row],[5]] &lt;&gt; "", tblSeverityAnalysis[[#This Row],[5]]&gt;=sectors_sev_5), "Flagged", ""), "")</f>
        <v>Flagged</v>
      </c>
      <c r="AN4" s="133" t="str">
        <f>IFERROR(IF(AND(tblSeverityAnalysis[[#This Row],[Preliminary Intersectoral Severity based on overlap of sectoral deprivations]]=4, SUM(tblSeverityAnalysis[[#This Row],[ 4 ]:[5]])&gt;=sectors_sev_4), "Flagged", ""), "")</f>
        <v/>
      </c>
      <c r="AO4" s="217" t="str" cm="1">
        <f t="array" ref="AO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4" s="351"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 s="349"/>
      <c r="AR4" s="95"/>
      <c r="AS4" s="95"/>
      <c r="AT4" s="290">
        <f>COUNTIF(tblSeverityAnalysis[[#This Row],[1 sector in severity phase 5 '[modify the threshold']]:[Manual Flag]], "Flagged")</f>
        <v>2</v>
      </c>
      <c r="AU4" s="43">
        <f>tblSeverityAnalysis[[#This Row],[Preliminary Intersectoral Severity based on overlap of sectoral deprivations]]</f>
        <v>5</v>
      </c>
      <c r="AV4" s="340" t="s">
        <v>548</v>
      </c>
      <c r="AW4"/>
      <c r="AX4"/>
      <c r="AY4"/>
      <c r="BA4"/>
      <c r="BB4"/>
      <c r="BC4"/>
      <c r="BD4"/>
      <c r="BE4"/>
    </row>
    <row r="5" spans="1:57" ht="49.15" hidden="1">
      <c r="A5" s="66"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Global_PopulationHT0112</v>
      </c>
      <c r="B5" s="39" t="s">
        <v>152</v>
      </c>
      <c r="C5" s="34" t="s">
        <v>153</v>
      </c>
      <c r="D5" s="34" t="s">
        <v>158</v>
      </c>
      <c r="E5" s="34" t="s">
        <v>159</v>
      </c>
      <c r="F5" s="34"/>
      <c r="G5" s="34"/>
      <c r="H5" s="357"/>
      <c r="I5" s="354">
        <v>435779</v>
      </c>
      <c r="J5" s="40" t="s">
        <v>156</v>
      </c>
      <c r="K5" s="517">
        <v>4</v>
      </c>
      <c r="L5" s="517">
        <v>4</v>
      </c>
      <c r="M5" s="517">
        <v>3</v>
      </c>
      <c r="N5" s="517">
        <v>3</v>
      </c>
      <c r="O5" s="517">
        <v>4</v>
      </c>
      <c r="P5" s="517">
        <v>5</v>
      </c>
      <c r="Q5" s="517">
        <v>4</v>
      </c>
      <c r="R5" s="517">
        <v>2</v>
      </c>
      <c r="S5" s="33"/>
      <c r="T5" s="33"/>
      <c r="U5" s="33"/>
      <c r="V5" s="33"/>
      <c r="W5" s="42" t="str">
        <f>IF(COUNTIF(tblSeverityAnalysis[[#This Row],[CCCM]:[WASH]], 1)=0, "", COUNTIF(tblSeverityAnalysis[[#This Row],[CCCM]:[WASH]], 1))</f>
        <v/>
      </c>
      <c r="X5" s="31">
        <f>IF(COUNTIF(tblSeverityAnalysis[[#This Row],[CCCM]:[WASH]], 2)=0, "", COUNTIF(tblSeverityAnalysis[[#This Row],[CCCM]:[WASH]], 2))</f>
        <v>1</v>
      </c>
      <c r="Y5" s="31">
        <f>IF(COUNTIF(tblSeverityAnalysis[[#This Row],[CCCM]:[WASH]], 3)=0, "", COUNTIF(tblSeverityAnalysis[[#This Row],[CCCM]:[WASH]], 3))</f>
        <v>2</v>
      </c>
      <c r="Z5" s="31">
        <f>IF(COUNTIF(tblSeverityAnalysis[[#This Row],[CCCM]:[WASH]], 4)=0, "", COUNTIF(tblSeverityAnalysis[[#This Row],[CCCM]:[WASH]], 4))</f>
        <v>4</v>
      </c>
      <c r="AA5" s="109">
        <f>IF(COUNTIF(tblSeverityAnalysis[[#This Row],[CCCM]:[WASH]], 5)=0, "", COUNTIF(tblSeverityAnalysis[[#This Row],[CCCM]:[WASH]], 5))</f>
        <v>1</v>
      </c>
      <c r="AB5" s="60" cm="1">
        <f t="array" ref="AB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5" s="81">
        <f>IFERROR(IF(INDEX(tblSeverityReference[Death or Iminanet Risk of Death Severity],MATCH(tblSeverityAnalysis[[#This Row],[ID]], tblSeverityReference[ID], 0))= "", "",INDEX(tblSeverityReference[Death or Iminanet Risk of Death Severity],MATCH(tblSeverityAnalysis[[#This Row],[ID]], tblSeverityReference[ID], 0)) ), "")</f>
        <v>5</v>
      </c>
      <c r="AD5" s="33">
        <f>IFERROR(IF(INDEX(tblSeverityReference[Malnutrition Severity],MATCH(tblSeverityAnalysis[[#This Row],[ID]], tblSeverityReference[ID], 0))= "", "",INDEX(tblSeverityReference[Malnutrition Severity],MATCH(tblSeverityAnalysis[[#This Row],[ID]], tblSeverityReference[ID], 0)) ), "")</f>
        <v>3</v>
      </c>
      <c r="AE5" s="41">
        <f>IFERROR(IF(INDEX(tblSeverityReference[Epidemic Severity],MATCH(tblSeverityAnalysis[[#This Row],[ID]], tblSeverityReference[ID], 0))= "", "",INDEX(tblSeverityReference[Epidemic Severity],MATCH(tblSeverityAnalysis[[#This Row],[ID]], tblSeverityReference[ID], 0)) ), "")</f>
        <v>5</v>
      </c>
      <c r="AF5" s="84" t="str">
        <f>IFERROR(IF(INDEX(tblSeverityReference[Coping Strategy Severity],MATCH(tblSeverityAnalysis[[#This Row],[ID]], tblSeverityReference[ID], 0))= "", "",INDEX(tblSeverityReference[Coping Strategy Severity],MATCH(tblSeverityAnalysis[[#This Row],[ID]], tblSeverityReference[ID], 0)) ), "")</f>
        <v/>
      </c>
      <c r="AG5" s="84">
        <f>IFERROR(IF(INDEX(tblSeverityReference[HR/IHL Violation],MATCH(tblSeverityAnalysis[[#This Row],[ID]], tblSeverityReference[ID], 0))= "", "",INDEX(tblSeverityReference[HR/IHL Violation],MATCH(tblSeverityAnalysis[[#This Row],[ID]], tblSeverityReference[ID], 0)) ), "")</f>
        <v>4</v>
      </c>
      <c r="AH5" s="82">
        <f>IFERROR(AVERAGE(tblSeverityAnalysis[[#This Row],[CCCM]:[WASH]]), "")</f>
        <v>3.625</v>
      </c>
      <c r="AI5" s="27">
        <f>IF(SUM(tblSeverityAnalysis[[#This Row],[CCCM]:[WASH]])=0, "", MAX(tblSeverityAnalysis[[#This Row],[CCCM]:[WASH]]))</f>
        <v>5</v>
      </c>
      <c r="AJ5" s="95" t="str" cm="1">
        <f t="array" ref="AJ5">IFERROR(IF(tblSeverityAnalysis[[#This Row],[Highest Severity]]="", "", _xlfn.TEXTJOIN(CHAR(10), TRUE, IF(tblSeverityAnalysis[[#This Row],[CCCM]:[WASH]]=tblSeverityAnalysis[[#This Row],[Highest Severity]], tblSeverityAnalysis[[#Headers],[CCCM]:[WASH]], ""), "")), "")</f>
        <v>Protection</v>
      </c>
      <c r="AK5" s="27" cm="1">
        <f t="array" ref="AK5">IFERROR(MAX(_xlfn._xlws.FILTER(tblSeverityAnalysis[[#This Row],[CCCM]:[WASH]], tblSeverityAnalysis[[#This Row],[CCCM]:[WASH]]&lt;tblSeverityAnalysis[[#This Row],[Highest Severity]])), "")</f>
        <v>4</v>
      </c>
      <c r="AL5" s="35" t="str" cm="1">
        <f t="array" ref="AL5">IFERROR(IF(tblSeverityAnalysis[[#This Row],[2nd Highest Severity]]="", "", _xlfn.TEXTJOIN(CHAR(10), TRUE, IF(tblSeverityAnalysis[[#This Row],[CCCM]:[WASH]]=tblSeverityAnalysis[[#This Row],[2nd Highest Severity]], tblSeverityAnalysis[[#Headers],[CCCM]:[WASH]], ""), "")), "")</f>
        <v>CCCM
Education
Health
Shelter</v>
      </c>
      <c r="AM5" s="132" t="str">
        <f>IFERROR(IF(AND(tblSeverityAnalysis[[#This Row],[5]] &lt;&gt; "", tblSeverityAnalysis[[#This Row],[5]]&gt;=sectors_sev_5), "Flagged", ""), "")</f>
        <v>Flagged</v>
      </c>
      <c r="AN5" s="133" t="str">
        <f>IFERROR(IF(AND(tblSeverityAnalysis[[#This Row],[Preliminary Intersectoral Severity based on overlap of sectoral deprivations]]=4, SUM(tblSeverityAnalysis[[#This Row],[ 4 ]:[5]])&gt;=sectors_sev_4), "Flagged", ""), "")</f>
        <v>Flagged</v>
      </c>
      <c r="AO5" s="217" t="str" cm="1">
        <f t="array" ref="AO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 s="349"/>
      <c r="AR5" s="95"/>
      <c r="AS5" s="95"/>
      <c r="AT5" s="290">
        <f>COUNTIF(tblSeverityAnalysis[[#This Row],[1 sector in severity phase 5 '[modify the threshold']]:[Manual Flag]], "Flagged")</f>
        <v>3</v>
      </c>
      <c r="AU5" s="43">
        <f>tblSeverityAnalysis[[#This Row],[Preliminary Intersectoral Severity based on overlap of sectoral deprivations]]</f>
        <v>4</v>
      </c>
      <c r="AV5" s="62"/>
      <c r="AW5"/>
      <c r="AX5"/>
      <c r="AY5"/>
      <c r="BA5"/>
      <c r="BB5"/>
      <c r="BC5"/>
      <c r="BD5"/>
      <c r="BE5"/>
    </row>
    <row r="6" spans="1:57" s="240" customFormat="1" ht="36.950000000000003" hidden="1">
      <c r="A6" s="218"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Global_PopulationHT0113</v>
      </c>
      <c r="B6" s="219" t="s">
        <v>152</v>
      </c>
      <c r="C6" s="220" t="s">
        <v>153</v>
      </c>
      <c r="D6" s="220" t="s">
        <v>160</v>
      </c>
      <c r="E6" s="220" t="s">
        <v>161</v>
      </c>
      <c r="F6" s="220"/>
      <c r="G6" s="220"/>
      <c r="H6" s="358"/>
      <c r="I6" s="355">
        <v>460506</v>
      </c>
      <c r="J6" s="222" t="s">
        <v>156</v>
      </c>
      <c r="K6" s="517">
        <v>4</v>
      </c>
      <c r="L6" s="517">
        <v>3</v>
      </c>
      <c r="M6" s="517">
        <v>2</v>
      </c>
      <c r="N6" s="517">
        <v>3</v>
      </c>
      <c r="O6" s="517">
        <v>4</v>
      </c>
      <c r="P6" s="517">
        <v>5</v>
      </c>
      <c r="Q6" s="517">
        <v>3</v>
      </c>
      <c r="R6" s="517">
        <v>3</v>
      </c>
      <c r="S6" s="214"/>
      <c r="T6" s="214"/>
      <c r="U6" s="214"/>
      <c r="V6" s="214"/>
      <c r="W6" s="226" t="str">
        <f>IF(COUNTIF(tblSeverityAnalysis[[#This Row],[CCCM]:[WASH]], 1)=0, "", COUNTIF(tblSeverityAnalysis[[#This Row],[CCCM]:[WASH]], 1))</f>
        <v/>
      </c>
      <c r="X6" s="227">
        <f>IF(COUNTIF(tblSeverityAnalysis[[#This Row],[CCCM]:[WASH]], 2)=0, "", COUNTIF(tblSeverityAnalysis[[#This Row],[CCCM]:[WASH]], 2))</f>
        <v>1</v>
      </c>
      <c r="Y6" s="227">
        <f>IF(COUNTIF(tblSeverityAnalysis[[#This Row],[CCCM]:[WASH]], 3)=0, "", COUNTIF(tblSeverityAnalysis[[#This Row],[CCCM]:[WASH]], 3))</f>
        <v>4</v>
      </c>
      <c r="Z6" s="227">
        <f>IF(COUNTIF(tblSeverityAnalysis[[#This Row],[CCCM]:[WASH]], 4)=0, "", COUNTIF(tblSeverityAnalysis[[#This Row],[CCCM]:[WASH]], 4))</f>
        <v>2</v>
      </c>
      <c r="AA6" s="228">
        <f>IF(COUNTIF(tblSeverityAnalysis[[#This Row],[CCCM]:[WASH]], 5)=0, "", COUNTIF(tblSeverityAnalysis[[#This Row],[CCCM]:[WASH]], 5))</f>
        <v>1</v>
      </c>
      <c r="AB6" s="229" cm="1">
        <f t="array" ref="AB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 s="230">
        <f>IFERROR(IF(INDEX(tblSeverityReference[Death or Iminanet Risk of Death Severity],MATCH(tblSeverityAnalysis[[#This Row],[ID]], tblSeverityReference[ID], 0))= "", "",INDEX(tblSeverityReference[Death or Iminanet Risk of Death Severity],MATCH(tblSeverityAnalysis[[#This Row],[ID]], tblSeverityReference[ID], 0)) ), "")</f>
        <v>5</v>
      </c>
      <c r="AD6" s="214">
        <f>IFERROR(IF(INDEX(tblSeverityReference[Malnutrition Severity],MATCH(tblSeverityAnalysis[[#This Row],[ID]], tblSeverityReference[ID], 0))= "", "",INDEX(tblSeverityReference[Malnutrition Severity],MATCH(tblSeverityAnalysis[[#This Row],[ID]], tblSeverityReference[ID], 0)) ), "")</f>
        <v>2</v>
      </c>
      <c r="AE6" s="225">
        <f>IFERROR(IF(INDEX(tblSeverityReference[Epidemic Severity],MATCH(tblSeverityAnalysis[[#This Row],[ID]], tblSeverityReference[ID], 0))= "", "",INDEX(tblSeverityReference[Epidemic Severity],MATCH(tblSeverityAnalysis[[#This Row],[ID]], tblSeverityReference[ID], 0)) ), "")</f>
        <v>5</v>
      </c>
      <c r="AF6" s="231" t="str">
        <f>IFERROR(IF(INDEX(tblSeverityReference[Coping Strategy Severity],MATCH(tblSeverityAnalysis[[#This Row],[ID]], tblSeverityReference[ID], 0))= "", "",INDEX(tblSeverityReference[Coping Strategy Severity],MATCH(tblSeverityAnalysis[[#This Row],[ID]], tblSeverityReference[ID], 0)) ), "")</f>
        <v/>
      </c>
      <c r="AG6" s="231">
        <f>IFERROR(IF(INDEX(tblSeverityReference[HR/IHL Violation],MATCH(tblSeverityAnalysis[[#This Row],[ID]], tblSeverityReference[ID], 0))= "", "",INDEX(tblSeverityReference[HR/IHL Violation],MATCH(tblSeverityAnalysis[[#This Row],[ID]], tblSeverityReference[ID], 0)) ), "")</f>
        <v>4</v>
      </c>
      <c r="AH6" s="232">
        <f>IFERROR(AVERAGE(tblSeverityAnalysis[[#This Row],[CCCM]:[WASH]]), "")</f>
        <v>3.375</v>
      </c>
      <c r="AI6" s="233">
        <f>IF(SUM(tblSeverityAnalysis[[#This Row],[CCCM]:[WASH]])=0, "", MAX(tblSeverityAnalysis[[#This Row],[CCCM]:[WASH]]))</f>
        <v>5</v>
      </c>
      <c r="AJ6" s="234" t="str" cm="1">
        <f t="array" ref="AJ6">IFERROR(IF(tblSeverityAnalysis[[#This Row],[Highest Severity]]="", "", _xlfn.TEXTJOIN(CHAR(10), TRUE, IF(tblSeverityAnalysis[[#This Row],[CCCM]:[WASH]]=tblSeverityAnalysis[[#This Row],[Highest Severity]], tblSeverityAnalysis[[#Headers],[CCCM]:[WASH]], ""), "")), "")</f>
        <v>Protection</v>
      </c>
      <c r="AK6" s="233" cm="1">
        <f t="array" ref="AK6">IFERROR(MAX(_xlfn._xlws.FILTER(tblSeverityAnalysis[[#This Row],[CCCM]:[WASH]], tblSeverityAnalysis[[#This Row],[CCCM]:[WASH]]&lt;tblSeverityAnalysis[[#This Row],[Highest Severity]])), "")</f>
        <v>4</v>
      </c>
      <c r="AL6" s="235" t="str" cm="1">
        <f t="array" ref="AL6">IFERROR(IF(tblSeverityAnalysis[[#This Row],[2nd Highest Severity]]="", "", _xlfn.TEXTJOIN(CHAR(10), TRUE, IF(tblSeverityAnalysis[[#This Row],[CCCM]:[WASH]]=tblSeverityAnalysis[[#This Row],[2nd Highest Severity]], tblSeverityAnalysis[[#Headers],[CCCM]:[WASH]], ""), "")), "")</f>
        <v>CCCM
Health</v>
      </c>
      <c r="AM6" s="236" t="str">
        <f>IFERROR(IF(AND(tblSeverityAnalysis[[#This Row],[5]] &lt;&gt; "", tblSeverityAnalysis[[#This Row],[5]]&gt;=sectors_sev_5), "Flagged", ""), "")</f>
        <v>Flagged</v>
      </c>
      <c r="AN6" s="237" t="str">
        <f>IFERROR(IF(AND(tblSeverityAnalysis[[#This Row],[Preliminary Intersectoral Severity based on overlap of sectoral deprivations]]=4, SUM(tblSeverityAnalysis[[#This Row],[ 4 ]:[5]])&gt;=sectors_sev_4), "Flagged", ""), "")</f>
        <v/>
      </c>
      <c r="AO6" s="237" t="str" cm="1">
        <f t="array" ref="AO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 s="352"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 s="350"/>
      <c r="AR6" s="234"/>
      <c r="AS6" s="234"/>
      <c r="AT6" s="290">
        <f>COUNTIF(tblSeverityAnalysis[[#This Row],[1 sector in severity phase 5 '[modify the threshold']]:[Manual Flag]], "Flagged")</f>
        <v>3</v>
      </c>
      <c r="AU6" s="238">
        <v>4</v>
      </c>
      <c r="AV6" s="239" t="s">
        <v>549</v>
      </c>
      <c r="BA6"/>
    </row>
    <row r="7" spans="1:57" s="240" customFormat="1" ht="49.15" hidden="1">
      <c r="A7" s="218"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Global_PopulationHT0114</v>
      </c>
      <c r="B7" s="219" t="s">
        <v>152</v>
      </c>
      <c r="C7" s="220" t="s">
        <v>153</v>
      </c>
      <c r="D7" s="220" t="s">
        <v>162</v>
      </c>
      <c r="E7" s="220" t="s">
        <v>163</v>
      </c>
      <c r="F7" s="220"/>
      <c r="G7" s="220"/>
      <c r="H7" s="357"/>
      <c r="I7" s="355">
        <v>394895</v>
      </c>
      <c r="J7" s="222" t="s">
        <v>156</v>
      </c>
      <c r="K7" s="517">
        <v>4</v>
      </c>
      <c r="L7" s="517">
        <v>3</v>
      </c>
      <c r="M7" s="517">
        <v>2</v>
      </c>
      <c r="N7" s="517">
        <v>3</v>
      </c>
      <c r="O7" s="517">
        <v>4</v>
      </c>
      <c r="P7" s="517">
        <v>3</v>
      </c>
      <c r="Q7" s="517">
        <v>4</v>
      </c>
      <c r="R7" s="517">
        <v>3</v>
      </c>
      <c r="S7" s="214"/>
      <c r="T7" s="214"/>
      <c r="U7" s="214"/>
      <c r="V7" s="214"/>
      <c r="W7" s="226" t="str">
        <f>IF(COUNTIF(tblSeverityAnalysis[[#This Row],[CCCM]:[WASH]], 1)=0, "", COUNTIF(tblSeverityAnalysis[[#This Row],[CCCM]:[WASH]], 1))</f>
        <v/>
      </c>
      <c r="X7" s="227">
        <f>IF(COUNTIF(tblSeverityAnalysis[[#This Row],[CCCM]:[WASH]], 2)=0, "", COUNTIF(tblSeverityAnalysis[[#This Row],[CCCM]:[WASH]], 2))</f>
        <v>1</v>
      </c>
      <c r="Y7" s="227">
        <f>IF(COUNTIF(tblSeverityAnalysis[[#This Row],[CCCM]:[WASH]], 3)=0, "", COUNTIF(tblSeverityAnalysis[[#This Row],[CCCM]:[WASH]], 3))</f>
        <v>4</v>
      </c>
      <c r="Z7" s="227">
        <f>IF(COUNTIF(tblSeverityAnalysis[[#This Row],[CCCM]:[WASH]], 4)=0, "", COUNTIF(tblSeverityAnalysis[[#This Row],[CCCM]:[WASH]], 4))</f>
        <v>3</v>
      </c>
      <c r="AA7" s="228" t="str">
        <f>IF(COUNTIF(tblSeverityAnalysis[[#This Row],[CCCM]:[WASH]], 5)=0, "", COUNTIF(tblSeverityAnalysis[[#This Row],[CCCM]:[WASH]], 5))</f>
        <v/>
      </c>
      <c r="AB7" s="229" cm="1">
        <f t="array" ref="AB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 s="230">
        <f>IFERROR(IF(INDEX(tblSeverityReference[Death or Iminanet Risk of Death Severity],MATCH(tblSeverityAnalysis[[#This Row],[ID]], tblSeverityReference[ID], 0))= "", "",INDEX(tblSeverityReference[Death or Iminanet Risk of Death Severity],MATCH(tblSeverityAnalysis[[#This Row],[ID]], tblSeverityReference[ID], 0)) ), "")</f>
        <v>5</v>
      </c>
      <c r="AD7" s="214">
        <f>IFERROR(IF(INDEX(tblSeverityReference[Malnutrition Severity],MATCH(tblSeverityAnalysis[[#This Row],[ID]], tblSeverityReference[ID], 0))= "", "",INDEX(tblSeverityReference[Malnutrition Severity],MATCH(tblSeverityAnalysis[[#This Row],[ID]], tblSeverityReference[ID], 0)) ), "")</f>
        <v>2</v>
      </c>
      <c r="AE7" s="225">
        <f>IFERROR(IF(INDEX(tblSeverityReference[Epidemic Severity],MATCH(tblSeverityAnalysis[[#This Row],[ID]], tblSeverityReference[ID], 0))= "", "",INDEX(tblSeverityReference[Epidemic Severity],MATCH(tblSeverityAnalysis[[#This Row],[ID]], tblSeverityReference[ID], 0)) ), "")</f>
        <v>5</v>
      </c>
      <c r="AF7" s="231" t="str">
        <f>IFERROR(IF(INDEX(tblSeverityReference[Coping Strategy Severity],MATCH(tblSeverityAnalysis[[#This Row],[ID]], tblSeverityReference[ID], 0))= "", "",INDEX(tblSeverityReference[Coping Strategy Severity],MATCH(tblSeverityAnalysis[[#This Row],[ID]], tblSeverityReference[ID], 0)) ), "")</f>
        <v/>
      </c>
      <c r="AG7" s="231">
        <f>IFERROR(IF(INDEX(tblSeverityReference[HR/IHL Violation],MATCH(tblSeverityAnalysis[[#This Row],[ID]], tblSeverityReference[ID], 0))= "", "",INDEX(tblSeverityReference[HR/IHL Violation],MATCH(tblSeverityAnalysis[[#This Row],[ID]], tblSeverityReference[ID], 0)) ), "")</f>
        <v>3</v>
      </c>
      <c r="AH7" s="232">
        <f>IFERROR(AVERAGE(tblSeverityAnalysis[[#This Row],[CCCM]:[WASH]]), "")</f>
        <v>3.25</v>
      </c>
      <c r="AI7" s="233">
        <f>IF(SUM(tblSeverityAnalysis[[#This Row],[CCCM]:[WASH]])=0, "", MAX(tblSeverityAnalysis[[#This Row],[CCCM]:[WASH]]))</f>
        <v>4</v>
      </c>
      <c r="AJ7" s="234" t="str" cm="1">
        <f t="array" ref="AJ7">IFERROR(IF(tblSeverityAnalysis[[#This Row],[Highest Severity]]="", "", _xlfn.TEXTJOIN(CHAR(10), TRUE, IF(tblSeverityAnalysis[[#This Row],[CCCM]:[WASH]]=tblSeverityAnalysis[[#This Row],[Highest Severity]], tblSeverityAnalysis[[#Headers],[CCCM]:[WASH]], ""), "")), "")</f>
        <v>CCCM
Health
Shelter</v>
      </c>
      <c r="AK7" s="233" cm="1">
        <f t="array" ref="AK7">IFERROR(MAX(_xlfn._xlws.FILTER(tblSeverityAnalysis[[#This Row],[CCCM]:[WASH]], tblSeverityAnalysis[[#This Row],[CCCM]:[WASH]]&lt;tblSeverityAnalysis[[#This Row],[Highest Severity]])), "")</f>
        <v>3</v>
      </c>
      <c r="AL7" s="235" t="str" cm="1">
        <f t="array" ref="AL7">IFERROR(IF(tblSeverityAnalysis[[#This Row],[2nd Highest Severity]]="", "", _xlfn.TEXTJOIN(CHAR(10), TRUE, IF(tblSeverityAnalysis[[#This Row],[CCCM]:[WASH]]=tblSeverityAnalysis[[#This Row],[2nd Highest Severity]], tblSeverityAnalysis[[#Headers],[CCCM]:[WASH]], ""), "")), "")</f>
        <v>Education
Food Security
Protection
WASH</v>
      </c>
      <c r="AM7" s="236" t="str">
        <f>IFERROR(IF(AND(tblSeverityAnalysis[[#This Row],[5]] &lt;&gt; "", tblSeverityAnalysis[[#This Row],[5]]&gt;=sectors_sev_5), "Flagged", ""), "")</f>
        <v/>
      </c>
      <c r="AN7" s="237" t="str">
        <f>IFERROR(IF(AND(tblSeverityAnalysis[[#This Row],[Preliminary Intersectoral Severity based on overlap of sectoral deprivations]]=4, SUM(tblSeverityAnalysis[[#This Row],[ 4 ]:[5]])&gt;=sectors_sev_4), "Flagged", ""), "")</f>
        <v/>
      </c>
      <c r="AO7" s="237" t="str" cm="1">
        <f t="array" ref="AO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 s="352"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 s="350"/>
      <c r="AR7" s="234"/>
      <c r="AS7" s="234"/>
      <c r="AT7" s="290">
        <f>COUNTIF(tblSeverityAnalysis[[#This Row],[1 sector in severity phase 5 '[modify the threshold']]:[Manual Flag]], "Flagged")</f>
        <v>2</v>
      </c>
      <c r="AU7" s="238">
        <v>4</v>
      </c>
      <c r="AV7" s="239" t="s">
        <v>550</v>
      </c>
      <c r="BA7"/>
    </row>
    <row r="8" spans="1:57" ht="36.950000000000003" hidden="1">
      <c r="A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Global_PopulationHT0115</v>
      </c>
      <c r="B8" s="39" t="s">
        <v>152</v>
      </c>
      <c r="C8" s="331" t="s">
        <v>153</v>
      </c>
      <c r="D8" s="331" t="s">
        <v>164</v>
      </c>
      <c r="E8" s="34" t="s">
        <v>165</v>
      </c>
      <c r="F8" s="34"/>
      <c r="G8" s="34"/>
      <c r="H8" s="358"/>
      <c r="I8" s="354">
        <v>63006</v>
      </c>
      <c r="J8" s="96" t="s">
        <v>156</v>
      </c>
      <c r="K8" s="517">
        <v>4</v>
      </c>
      <c r="L8" s="517">
        <v>3</v>
      </c>
      <c r="M8" s="517">
        <v>2</v>
      </c>
      <c r="N8" s="517">
        <v>3</v>
      </c>
      <c r="O8" s="517">
        <v>4</v>
      </c>
      <c r="P8" s="517">
        <v>5</v>
      </c>
      <c r="Q8" s="517">
        <v>3</v>
      </c>
      <c r="R8" s="517">
        <v>4</v>
      </c>
      <c r="S8" s="310"/>
      <c r="T8" s="308"/>
      <c r="U8" s="308"/>
      <c r="V8" s="308"/>
      <c r="W8" s="332" t="str">
        <f>IF(COUNTIF(tblSeverityAnalysis[[#This Row],[CCCM]:[WASH]], 1)=0, "", COUNTIF(tblSeverityAnalysis[[#This Row],[CCCM]:[WASH]], 1))</f>
        <v/>
      </c>
      <c r="X8" s="333">
        <f>IF(COUNTIF(tblSeverityAnalysis[[#This Row],[CCCM]:[WASH]], 2)=0, "", COUNTIF(tblSeverityAnalysis[[#This Row],[CCCM]:[WASH]], 2))</f>
        <v>1</v>
      </c>
      <c r="Y8" s="333">
        <f>IF(COUNTIF(tblSeverityAnalysis[[#This Row],[CCCM]:[WASH]], 3)=0, "", COUNTIF(tblSeverityAnalysis[[#This Row],[CCCM]:[WASH]], 3))</f>
        <v>3</v>
      </c>
      <c r="Z8" s="333">
        <f>IF(COUNTIF(tblSeverityAnalysis[[#This Row],[CCCM]:[WASH]], 4)=0, "", COUNTIF(tblSeverityAnalysis[[#This Row],[CCCM]:[WASH]], 4))</f>
        <v>3</v>
      </c>
      <c r="AA8" s="334">
        <f>IF(COUNTIF(tblSeverityAnalysis[[#This Row],[CCCM]:[WASH]], 5)=0, "", COUNTIF(tblSeverityAnalysis[[#This Row],[CCCM]:[WASH]], 5))</f>
        <v>1</v>
      </c>
      <c r="AB8" s="60" cm="1">
        <f t="array" ref="AB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8"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 s="33">
        <f>IFERROR(IF(INDEX(tblSeverityReference[Malnutrition Severity],MATCH(tblSeverityAnalysis[[#This Row],[ID]], tblSeverityReference[ID], 0))= "", "",INDEX(tblSeverityReference[Malnutrition Severity],MATCH(tblSeverityAnalysis[[#This Row],[ID]], tblSeverityReference[ID], 0)) ), "")</f>
        <v>2</v>
      </c>
      <c r="AE8" s="347">
        <f>IFERROR(IF(INDEX(tblSeverityReference[Epidemic Severity],MATCH(tblSeverityAnalysis[[#This Row],[ID]], tblSeverityReference[ID], 0))= "", "",INDEX(tblSeverityReference[Epidemic Severity],MATCH(tblSeverityAnalysis[[#This Row],[ID]], tblSeverityReference[ID], 0)) ), "")</f>
        <v>3</v>
      </c>
      <c r="AF8" s="310" t="str">
        <f>IFERROR(IF(INDEX(tblSeverityReference[Coping Strategy Severity],MATCH(tblSeverityAnalysis[[#This Row],[ID]], tblSeverityReference[ID], 0))= "", "",INDEX(tblSeverityReference[Coping Strategy Severity],MATCH(tblSeverityAnalysis[[#This Row],[ID]], tblSeverityReference[ID], 0)) ), "")</f>
        <v/>
      </c>
      <c r="AG8" s="108">
        <f>IFERROR(IF(INDEX(tblSeverityReference[HR/IHL Violation],MATCH(tblSeverityAnalysis[[#This Row],[ID]], tblSeverityReference[ID], 0))= "", "",INDEX(tblSeverityReference[HR/IHL Violation],MATCH(tblSeverityAnalysis[[#This Row],[ID]], tblSeverityReference[ID], 0)) ), "")</f>
        <v>4</v>
      </c>
      <c r="AH8" s="82">
        <f>IFERROR(AVERAGE(tblSeverityAnalysis[[#This Row],[CCCM]:[WASH]]), "")</f>
        <v>3.5</v>
      </c>
      <c r="AI8" s="27">
        <f>IF(SUM(tblSeverityAnalysis[[#This Row],[CCCM]:[WASH]])=0, "", MAX(tblSeverityAnalysis[[#This Row],[CCCM]:[WASH]]))</f>
        <v>5</v>
      </c>
      <c r="AJ8" s="335" t="str" cm="1">
        <f t="array" ref="AJ8">IFERROR(IF(tblSeverityAnalysis[[#This Row],[Highest Severity]]="", "", _xlfn.TEXTJOIN(CHAR(10), TRUE, IF(tblSeverityAnalysis[[#This Row],[CCCM]:[WASH]]=tblSeverityAnalysis[[#This Row],[Highest Severity]], tblSeverityAnalysis[[#Headers],[CCCM]:[WASH]], ""), "")), "")</f>
        <v>Protection</v>
      </c>
      <c r="AK8" s="27" cm="1">
        <f t="array" ref="AK8">IFERROR(MAX(_xlfn._xlws.FILTER(tblSeverityAnalysis[[#This Row],[CCCM]:[WASH]], tblSeverityAnalysis[[#This Row],[CCCM]:[WASH]]&lt;tblSeverityAnalysis[[#This Row],[Highest Severity]])), "")</f>
        <v>4</v>
      </c>
      <c r="AL8" s="324" t="str" cm="1">
        <f t="array" ref="AL8">IFERROR(IF(tblSeverityAnalysis[[#This Row],[2nd Highest Severity]]="", "", _xlfn.TEXTJOIN(CHAR(10), TRUE, IF(tblSeverityAnalysis[[#This Row],[CCCM]:[WASH]]=tblSeverityAnalysis[[#This Row],[2nd Highest Severity]], tblSeverityAnalysis[[#Headers],[CCCM]:[WASH]], ""), "")), "")</f>
        <v>CCCM
Health
WASH</v>
      </c>
      <c r="AM8" s="132" t="str">
        <f>IFERROR(IF(AND(tblSeverityAnalysis[[#This Row],[5]] &lt;&gt; "", tblSeverityAnalysis[[#This Row],[5]]&gt;=sectors_sev_5), "Flagged", ""), "")</f>
        <v>Flagged</v>
      </c>
      <c r="AN8" s="133" t="str">
        <f>IFERROR(IF(AND(tblSeverityAnalysis[[#This Row],[Preliminary Intersectoral Severity based on overlap of sectoral deprivations]]=4, SUM(tblSeverityAnalysis[[#This Row],[ 4 ]:[5]])&gt;=sectors_sev_4), "Flagged", ""), "")</f>
        <v/>
      </c>
      <c r="AO8" s="133" t="str" cm="1">
        <f t="array" ref="AO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 s="337"/>
      <c r="AR8" s="338"/>
      <c r="AS8" s="337"/>
      <c r="AT8" s="353">
        <f>COUNTIF(tblSeverityAnalysis[[#This Row],[1 sector in severity phase 5 '[modify the threshold']]:[Manual Flag]], "Flagged")</f>
        <v>3</v>
      </c>
      <c r="AU8" s="339">
        <v>4</v>
      </c>
      <c r="AV8" s="239" t="s">
        <v>551</v>
      </c>
      <c r="AW8" s="21"/>
    </row>
    <row r="9" spans="1:57" ht="38.1" hidden="1" customHeight="1">
      <c r="A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Global_PopulationHT0116</v>
      </c>
      <c r="B9" s="39" t="s">
        <v>152</v>
      </c>
      <c r="C9" s="331" t="s">
        <v>153</v>
      </c>
      <c r="D9" s="331" t="s">
        <v>166</v>
      </c>
      <c r="E9" s="34" t="s">
        <v>167</v>
      </c>
      <c r="F9" s="34"/>
      <c r="G9" s="34"/>
      <c r="H9" s="357"/>
      <c r="I9" s="354">
        <v>3987</v>
      </c>
      <c r="J9" s="96" t="s">
        <v>156</v>
      </c>
      <c r="K9" s="517">
        <v>0</v>
      </c>
      <c r="L9" s="517">
        <v>3</v>
      </c>
      <c r="M9" s="517">
        <v>2</v>
      </c>
      <c r="N9" s="517">
        <v>3</v>
      </c>
      <c r="O9" s="517">
        <v>3</v>
      </c>
      <c r="P9" s="517">
        <v>5</v>
      </c>
      <c r="Q9" s="517">
        <v>1</v>
      </c>
      <c r="R9" s="517">
        <v>4</v>
      </c>
      <c r="S9" s="310"/>
      <c r="T9" s="308"/>
      <c r="U9" s="308"/>
      <c r="V9" s="308"/>
      <c r="W9" s="332">
        <f>IF(COUNTIF(tblSeverityAnalysis[[#This Row],[CCCM]:[WASH]], 1)=0, "", COUNTIF(tblSeverityAnalysis[[#This Row],[CCCM]:[WASH]], 1))</f>
        <v>1</v>
      </c>
      <c r="X9" s="333">
        <f>IF(COUNTIF(tblSeverityAnalysis[[#This Row],[CCCM]:[WASH]], 2)=0, "", COUNTIF(tblSeverityAnalysis[[#This Row],[CCCM]:[WASH]], 2))</f>
        <v>1</v>
      </c>
      <c r="Y9" s="333">
        <f>IF(COUNTIF(tblSeverityAnalysis[[#This Row],[CCCM]:[WASH]], 3)=0, "", COUNTIF(tblSeverityAnalysis[[#This Row],[CCCM]:[WASH]], 3))</f>
        <v>3</v>
      </c>
      <c r="Z9" s="333">
        <f>IF(COUNTIF(tblSeverityAnalysis[[#This Row],[CCCM]:[WASH]], 4)=0, "", COUNTIF(tblSeverityAnalysis[[#This Row],[CCCM]:[WASH]], 4))</f>
        <v>1</v>
      </c>
      <c r="AA9" s="334">
        <f>IF(COUNTIF(tblSeverityAnalysis[[#This Row],[CCCM]:[WASH]], 5)=0, "", COUNTIF(tblSeverityAnalysis[[#This Row],[CCCM]:[WASH]], 5))</f>
        <v>1</v>
      </c>
      <c r="AB9" s="60" cm="1">
        <f t="array" ref="AB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9" s="33">
        <f>IFERROR(IF(INDEX(tblSeverityReference[Malnutrition Severity],MATCH(tblSeverityAnalysis[[#This Row],[ID]], tblSeverityReference[ID], 0))= "", "",INDEX(tblSeverityReference[Malnutrition Severity],MATCH(tblSeverityAnalysis[[#This Row],[ID]], tblSeverityReference[ID], 0)) ), "")</f>
        <v>2</v>
      </c>
      <c r="AE9" s="347">
        <f>IFERROR(IF(INDEX(tblSeverityReference[Epidemic Severity],MATCH(tblSeverityAnalysis[[#This Row],[ID]], tblSeverityReference[ID], 0))= "", "",INDEX(tblSeverityReference[Epidemic Severity],MATCH(tblSeverityAnalysis[[#This Row],[ID]], tblSeverityReference[ID], 0)) ), "")</f>
        <v>3</v>
      </c>
      <c r="AF9" s="310" t="str">
        <f>IFERROR(IF(INDEX(tblSeverityReference[Coping Strategy Severity],MATCH(tblSeverityAnalysis[[#This Row],[ID]], tblSeverityReference[ID], 0))= "", "",INDEX(tblSeverityReference[Coping Strategy Severity],MATCH(tblSeverityAnalysis[[#This Row],[ID]], tblSeverityReference[ID], 0)) ), "")</f>
        <v/>
      </c>
      <c r="AG9" s="348">
        <f>IFERROR(IF(INDEX(tblSeverityReference[HR/IHL Violation],MATCH(tblSeverityAnalysis[[#This Row],[ID]], tblSeverityReference[ID], 0))= "", "",INDEX(tblSeverityReference[HR/IHL Violation],MATCH(tblSeverityAnalysis[[#This Row],[ID]], tblSeverityReference[ID], 0)) ), "")</f>
        <v>4</v>
      </c>
      <c r="AH9" s="82">
        <f>IFERROR(AVERAGE(tblSeverityAnalysis[[#This Row],[CCCM]:[WASH]]), "")</f>
        <v>2.625</v>
      </c>
      <c r="AI9" s="27">
        <f>IF(SUM(tblSeverityAnalysis[[#This Row],[CCCM]:[WASH]])=0, "", MAX(tblSeverityAnalysis[[#This Row],[CCCM]:[WASH]]))</f>
        <v>5</v>
      </c>
      <c r="AJ9" s="335" t="str" cm="1">
        <f t="array" ref="AJ9">IFERROR(IF(tblSeverityAnalysis[[#This Row],[Highest Severity]]="", "", _xlfn.TEXTJOIN(CHAR(10), TRUE, IF(tblSeverityAnalysis[[#This Row],[CCCM]:[WASH]]=tblSeverityAnalysis[[#This Row],[Highest Severity]], tblSeverityAnalysis[[#Headers],[CCCM]:[WASH]], ""), "")), "")</f>
        <v>Protection</v>
      </c>
      <c r="AK9" s="27" cm="1">
        <f t="array" ref="AK9">IFERROR(MAX(_xlfn._xlws.FILTER(tblSeverityAnalysis[[#This Row],[CCCM]:[WASH]], tblSeverityAnalysis[[#This Row],[CCCM]:[WASH]]&lt;tblSeverityAnalysis[[#This Row],[Highest Severity]])), "")</f>
        <v>4</v>
      </c>
      <c r="AL9" s="324" t="str" cm="1">
        <f t="array" ref="AL9">IFERROR(IF(tblSeverityAnalysis[[#This Row],[2nd Highest Severity]]="", "", _xlfn.TEXTJOIN(CHAR(10), TRUE, IF(tblSeverityAnalysis[[#This Row],[CCCM]:[WASH]]=tblSeverityAnalysis[[#This Row],[2nd Highest Severity]], tblSeverityAnalysis[[#Headers],[CCCM]:[WASH]], ""), "")), "")</f>
        <v>WASH</v>
      </c>
      <c r="AM9" s="132" t="str">
        <f>IFERROR(IF(AND(tblSeverityAnalysis[[#This Row],[5]] &lt;&gt; "", tblSeverityAnalysis[[#This Row],[5]]&gt;=sectors_sev_5), "Flagged", ""), "")</f>
        <v>Flagged</v>
      </c>
      <c r="AN9" s="133" t="str">
        <f>IFERROR(IF(AND(tblSeverityAnalysis[[#This Row],[Preliminary Intersectoral Severity based on overlap of sectoral deprivations]]=4, SUM(tblSeverityAnalysis[[#This Row],[ 4 ]:[5]])&gt;=sectors_sev_4), "Flagged", ""), "")</f>
        <v/>
      </c>
      <c r="AO9" s="133" t="str" cm="1">
        <f t="array" ref="AO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 s="337"/>
      <c r="AR9" s="338"/>
      <c r="AS9" s="337"/>
      <c r="AT9" s="353">
        <f>COUNTIF(tblSeverityAnalysis[[#This Row],[1 sector in severity phase 5 '[modify the threshold']]:[Manual Flag]], "Flagged")</f>
        <v>3</v>
      </c>
      <c r="AU9" s="375">
        <v>4</v>
      </c>
      <c r="AV9" s="376" t="s">
        <v>552</v>
      </c>
      <c r="AW9" s="21"/>
    </row>
    <row r="10" spans="1:57" ht="36.950000000000003" hidden="1">
      <c r="A1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Global_PopulationHT0117</v>
      </c>
      <c r="B10" s="39" t="s">
        <v>152</v>
      </c>
      <c r="C10" s="331" t="s">
        <v>153</v>
      </c>
      <c r="D10" s="331" t="s">
        <v>169</v>
      </c>
      <c r="E10" s="34" t="s">
        <v>170</v>
      </c>
      <c r="F10" s="34"/>
      <c r="G10" s="34"/>
      <c r="H10" s="358"/>
      <c r="I10" s="354">
        <v>287439</v>
      </c>
      <c r="J10" s="96" t="s">
        <v>156</v>
      </c>
      <c r="K10" s="517">
        <v>4</v>
      </c>
      <c r="L10" s="517">
        <v>3</v>
      </c>
      <c r="M10" s="517">
        <v>3</v>
      </c>
      <c r="N10" s="517">
        <v>4</v>
      </c>
      <c r="O10" s="517">
        <v>4</v>
      </c>
      <c r="P10" s="517">
        <v>5</v>
      </c>
      <c r="Q10" s="517">
        <v>3</v>
      </c>
      <c r="R10" s="517">
        <v>3</v>
      </c>
      <c r="S10" s="310"/>
      <c r="T10" s="308"/>
      <c r="U10" s="308"/>
      <c r="V10" s="308"/>
      <c r="W10" s="332" t="str">
        <f>IF(COUNTIF(tblSeverityAnalysis[[#This Row],[CCCM]:[WASH]], 1)=0, "", COUNTIF(tblSeverityAnalysis[[#This Row],[CCCM]:[WASH]], 1))</f>
        <v/>
      </c>
      <c r="X10" s="333" t="str">
        <f>IF(COUNTIF(tblSeverityAnalysis[[#This Row],[CCCM]:[WASH]], 2)=0, "", COUNTIF(tblSeverityAnalysis[[#This Row],[CCCM]:[WASH]], 2))</f>
        <v/>
      </c>
      <c r="Y10" s="333">
        <f>IF(COUNTIF(tblSeverityAnalysis[[#This Row],[CCCM]:[WASH]], 3)=0, "", COUNTIF(tblSeverityAnalysis[[#This Row],[CCCM]:[WASH]], 3))</f>
        <v>4</v>
      </c>
      <c r="Z10" s="333">
        <f>IF(COUNTIF(tblSeverityAnalysis[[#This Row],[CCCM]:[WASH]], 4)=0, "", COUNTIF(tblSeverityAnalysis[[#This Row],[CCCM]:[WASH]], 4))</f>
        <v>3</v>
      </c>
      <c r="AA10" s="334">
        <f>IF(COUNTIF(tblSeverityAnalysis[[#This Row],[CCCM]:[WASH]], 5)=0, "", COUNTIF(tblSeverityAnalysis[[#This Row],[CCCM]:[WASH]], 5))</f>
        <v>1</v>
      </c>
      <c r="AB10" s="60" cm="1">
        <f t="array" ref="AB1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10"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0" s="33">
        <f>IFERROR(IF(INDEX(tblSeverityReference[Malnutrition Severity],MATCH(tblSeverityAnalysis[[#This Row],[ID]], tblSeverityReference[ID], 0))= "", "",INDEX(tblSeverityReference[Malnutrition Severity],MATCH(tblSeverityAnalysis[[#This Row],[ID]], tblSeverityReference[ID], 0)) ), "")</f>
        <v>2</v>
      </c>
      <c r="AE10" s="347">
        <f>IFERROR(IF(INDEX(tblSeverityReference[Epidemic Severity],MATCH(tblSeverityAnalysis[[#This Row],[ID]], tblSeverityReference[ID], 0))= "", "",INDEX(tblSeverityReference[Epidemic Severity],MATCH(tblSeverityAnalysis[[#This Row],[ID]], tblSeverityReference[ID], 0)) ), "")</f>
        <v>5</v>
      </c>
      <c r="AF10" s="310" t="str">
        <f>IFERROR(IF(INDEX(tblSeverityReference[Coping Strategy Severity],MATCH(tblSeverityAnalysis[[#This Row],[ID]], tblSeverityReference[ID], 0))= "", "",INDEX(tblSeverityReference[Coping Strategy Severity],MATCH(tblSeverityAnalysis[[#This Row],[ID]], tblSeverityReference[ID], 0)) ), "")</f>
        <v/>
      </c>
      <c r="AG10" s="348">
        <f>IFERROR(IF(INDEX(tblSeverityReference[HR/IHL Violation],MATCH(tblSeverityAnalysis[[#This Row],[ID]], tblSeverityReference[ID], 0))= "", "",INDEX(tblSeverityReference[HR/IHL Violation],MATCH(tblSeverityAnalysis[[#This Row],[ID]], tblSeverityReference[ID], 0)) ), "")</f>
        <v>4</v>
      </c>
      <c r="AH10" s="82">
        <f>IFERROR(AVERAGE(tblSeverityAnalysis[[#This Row],[CCCM]:[WASH]]), "")</f>
        <v>3.625</v>
      </c>
      <c r="AI10" s="27">
        <f>IF(SUM(tblSeverityAnalysis[[#This Row],[CCCM]:[WASH]])=0, "", MAX(tblSeverityAnalysis[[#This Row],[CCCM]:[WASH]]))</f>
        <v>5</v>
      </c>
      <c r="AJ10" s="335" t="str" cm="1">
        <f t="array" ref="AJ10">IFERROR(IF(tblSeverityAnalysis[[#This Row],[Highest Severity]]="", "", _xlfn.TEXTJOIN(CHAR(10), TRUE, IF(tblSeverityAnalysis[[#This Row],[CCCM]:[WASH]]=tblSeverityAnalysis[[#This Row],[Highest Severity]], tblSeverityAnalysis[[#Headers],[CCCM]:[WASH]], ""), "")), "")</f>
        <v>Protection</v>
      </c>
      <c r="AK10" s="27" cm="1">
        <f t="array" ref="AK10">IFERROR(MAX(_xlfn._xlws.FILTER(tblSeverityAnalysis[[#This Row],[CCCM]:[WASH]], tblSeverityAnalysis[[#This Row],[CCCM]:[WASH]]&lt;tblSeverityAnalysis[[#This Row],[Highest Severity]])), "")</f>
        <v>4</v>
      </c>
      <c r="AL10" s="324" t="str" cm="1">
        <f t="array" ref="AL10">IFERROR(IF(tblSeverityAnalysis[[#This Row],[2nd Highest Severity]]="", "", _xlfn.TEXTJOIN(CHAR(10), TRUE, IF(tblSeverityAnalysis[[#This Row],[CCCM]:[WASH]]=tblSeverityAnalysis[[#This Row],[2nd Highest Severity]], tblSeverityAnalysis[[#Headers],[CCCM]:[WASH]], ""), "")), "")</f>
        <v>CCCM
Food Security
Health</v>
      </c>
      <c r="AM10" s="132" t="str">
        <f>IFERROR(IF(AND(tblSeverityAnalysis[[#This Row],[5]] &lt;&gt; "", tblSeverityAnalysis[[#This Row],[5]]&gt;=sectors_sev_5), "Flagged", ""), "")</f>
        <v>Flagged</v>
      </c>
      <c r="AN10" s="133" t="str">
        <f>IFERROR(IF(AND(tblSeverityAnalysis[[#This Row],[Preliminary Intersectoral Severity based on overlap of sectoral deprivations]]=4, SUM(tblSeverityAnalysis[[#This Row],[ 4 ]:[5]])&gt;=sectors_sev_4), "Flagged", ""), "")</f>
        <v/>
      </c>
      <c r="AO10" s="133" t="str" cm="1">
        <f t="array" ref="AO1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 s="337"/>
      <c r="AR10" s="338"/>
      <c r="AS10" s="337"/>
      <c r="AT10" s="353">
        <f>COUNTIF(tblSeverityAnalysis[[#This Row],[1 sector in severity phase 5 '[modify the threshold']]:[Manual Flag]], "Flagged")</f>
        <v>3</v>
      </c>
      <c r="AU10" s="339">
        <f>tblSeverityAnalysis[[#This Row],[Preliminary Intersectoral Severity based on overlap of sectoral deprivations]]</f>
        <v>4</v>
      </c>
      <c r="AV10" s="340"/>
      <c r="AW10" s="21"/>
    </row>
    <row r="11" spans="1:57" ht="24.6">
      <c r="A1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Global_PopulationHT0118</v>
      </c>
      <c r="B11" s="39" t="s">
        <v>152</v>
      </c>
      <c r="C11" s="331" t="s">
        <v>153</v>
      </c>
      <c r="D11" s="331" t="s">
        <v>171</v>
      </c>
      <c r="E11" s="34" t="s">
        <v>172</v>
      </c>
      <c r="F11" s="34"/>
      <c r="G11" s="34"/>
      <c r="H11" s="357"/>
      <c r="I11" s="354">
        <v>141693</v>
      </c>
      <c r="J11" s="96" t="s">
        <v>156</v>
      </c>
      <c r="K11" s="517">
        <v>5</v>
      </c>
      <c r="L11" s="517">
        <v>3</v>
      </c>
      <c r="M11" s="517">
        <v>2</v>
      </c>
      <c r="N11" s="517">
        <v>3</v>
      </c>
      <c r="O11" s="517">
        <v>4</v>
      </c>
      <c r="P11" s="517">
        <v>5</v>
      </c>
      <c r="Q11" s="517">
        <v>4</v>
      </c>
      <c r="R11" s="517">
        <v>3</v>
      </c>
      <c r="S11" s="310"/>
      <c r="T11" s="308"/>
      <c r="U11" s="308"/>
      <c r="V11" s="308"/>
      <c r="W11" s="332" t="str">
        <f>IF(COUNTIF(tblSeverityAnalysis[[#This Row],[CCCM]:[WASH]], 1)=0, "", COUNTIF(tblSeverityAnalysis[[#This Row],[CCCM]:[WASH]], 1))</f>
        <v/>
      </c>
      <c r="X11" s="333">
        <f>IF(COUNTIF(tblSeverityAnalysis[[#This Row],[CCCM]:[WASH]], 2)=0, "", COUNTIF(tblSeverityAnalysis[[#This Row],[CCCM]:[WASH]], 2))</f>
        <v>1</v>
      </c>
      <c r="Y11" s="333">
        <f>IF(COUNTIF(tblSeverityAnalysis[[#This Row],[CCCM]:[WASH]], 3)=0, "", COUNTIF(tblSeverityAnalysis[[#This Row],[CCCM]:[WASH]], 3))</f>
        <v>3</v>
      </c>
      <c r="Z11" s="333">
        <f>IF(COUNTIF(tblSeverityAnalysis[[#This Row],[CCCM]:[WASH]], 4)=0, "", COUNTIF(tblSeverityAnalysis[[#This Row],[CCCM]:[WASH]], 4))</f>
        <v>2</v>
      </c>
      <c r="AA11" s="334">
        <f>IF(COUNTIF(tblSeverityAnalysis[[#This Row],[CCCM]:[WASH]], 5)=0, "", COUNTIF(tblSeverityAnalysis[[#This Row],[CCCM]:[WASH]], 5))</f>
        <v>2</v>
      </c>
      <c r="AB11" s="60" cm="1">
        <f t="array" ref="AB1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5</v>
      </c>
      <c r="AC11"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1" s="33">
        <f>IFERROR(IF(INDEX(tblSeverityReference[Malnutrition Severity],MATCH(tblSeverityAnalysis[[#This Row],[ID]], tblSeverityReference[ID], 0))= "", "",INDEX(tblSeverityReference[Malnutrition Severity],MATCH(tblSeverityAnalysis[[#This Row],[ID]], tblSeverityReference[ID], 0)) ), "")</f>
        <v>2</v>
      </c>
      <c r="AE11" s="347">
        <f>IFERROR(IF(INDEX(tblSeverityReference[Epidemic Severity],MATCH(tblSeverityAnalysis[[#This Row],[ID]], tblSeverityReference[ID], 0))= "", "",INDEX(tblSeverityReference[Epidemic Severity],MATCH(tblSeverityAnalysis[[#This Row],[ID]], tblSeverityReference[ID], 0)) ), "")</f>
        <v>4</v>
      </c>
      <c r="AF11" s="310" t="str">
        <f>IFERROR(IF(INDEX(tblSeverityReference[Coping Strategy Severity],MATCH(tblSeverityAnalysis[[#This Row],[ID]], tblSeverityReference[ID], 0))= "", "",INDEX(tblSeverityReference[Coping Strategy Severity],MATCH(tblSeverityAnalysis[[#This Row],[ID]], tblSeverityReference[ID], 0)) ), "")</f>
        <v/>
      </c>
      <c r="AG11" s="108">
        <f>IFERROR(IF(INDEX(tblSeverityReference[HR/IHL Violation],MATCH(tblSeverityAnalysis[[#This Row],[ID]], tblSeverityReference[ID], 0))= "", "",INDEX(tblSeverityReference[HR/IHL Violation],MATCH(tblSeverityAnalysis[[#This Row],[ID]], tblSeverityReference[ID], 0)) ), "")</f>
        <v>5</v>
      </c>
      <c r="AH11" s="82">
        <f>IFERROR(AVERAGE(tblSeverityAnalysis[[#This Row],[CCCM]:[WASH]]), "")</f>
        <v>3.625</v>
      </c>
      <c r="AI11" s="27">
        <f>IF(SUM(tblSeverityAnalysis[[#This Row],[CCCM]:[WASH]])=0, "", MAX(tblSeverityAnalysis[[#This Row],[CCCM]:[WASH]]))</f>
        <v>5</v>
      </c>
      <c r="AJ11" s="335" t="str" cm="1">
        <f t="array" ref="AJ11">IFERROR(IF(tblSeverityAnalysis[[#This Row],[Highest Severity]]="", "", _xlfn.TEXTJOIN(CHAR(10), TRUE, IF(tblSeverityAnalysis[[#This Row],[CCCM]:[WASH]]=tblSeverityAnalysis[[#This Row],[Highest Severity]], tblSeverityAnalysis[[#Headers],[CCCM]:[WASH]], ""), "")), "")</f>
        <v>CCCM
Protection</v>
      </c>
      <c r="AK11" s="27" cm="1">
        <f t="array" ref="AK11">IFERROR(MAX(_xlfn._xlws.FILTER(tblSeverityAnalysis[[#This Row],[CCCM]:[WASH]], tblSeverityAnalysis[[#This Row],[CCCM]:[WASH]]&lt;tblSeverityAnalysis[[#This Row],[Highest Severity]])), "")</f>
        <v>4</v>
      </c>
      <c r="AL11" s="324" t="str" cm="1">
        <f t="array" ref="AL11">IFERROR(IF(tblSeverityAnalysis[[#This Row],[2nd Highest Severity]]="", "", _xlfn.TEXTJOIN(CHAR(10), TRUE, IF(tblSeverityAnalysis[[#This Row],[CCCM]:[WASH]]=tblSeverityAnalysis[[#This Row],[2nd Highest Severity]], tblSeverityAnalysis[[#Headers],[CCCM]:[WASH]], ""), "")), "")</f>
        <v>Health
Shelter</v>
      </c>
      <c r="AM11" s="132" t="str">
        <f>IFERROR(IF(AND(tblSeverityAnalysis[[#This Row],[5]] &lt;&gt; "", tblSeverityAnalysis[[#This Row],[5]]&gt;=sectors_sev_5), "Flagged", ""), "")</f>
        <v>Flagged</v>
      </c>
      <c r="AN11" s="133" t="str">
        <f>IFERROR(IF(AND(tblSeverityAnalysis[[#This Row],[Preliminary Intersectoral Severity based on overlap of sectoral deprivations]]=4, SUM(tblSeverityAnalysis[[#This Row],[ 4 ]:[5]])&gt;=sectors_sev_4), "Flagged", ""), "")</f>
        <v/>
      </c>
      <c r="AO11" s="133" t="str" cm="1">
        <f t="array" ref="AO1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 s="337"/>
      <c r="AR11" s="338"/>
      <c r="AS11" s="337"/>
      <c r="AT11" s="353">
        <f>COUNTIF(tblSeverityAnalysis[[#This Row],[1 sector in severity phase 5 '[modify the threshold']]:[Manual Flag]], "Flagged")</f>
        <v>3</v>
      </c>
      <c r="AU11" s="339">
        <f>tblSeverityAnalysis[[#This Row],[Preliminary Intersectoral Severity based on overlap of sectoral deprivations]]</f>
        <v>5</v>
      </c>
      <c r="AV11" s="340" t="s">
        <v>548</v>
      </c>
      <c r="AW11" s="21"/>
    </row>
    <row r="12" spans="1:57" ht="24.6" hidden="1">
      <c r="A1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Global_PopulationHT0121</v>
      </c>
      <c r="B12" s="39" t="s">
        <v>152</v>
      </c>
      <c r="C12" s="331" t="s">
        <v>153</v>
      </c>
      <c r="D12" s="331" t="s">
        <v>173</v>
      </c>
      <c r="E12" s="34" t="s">
        <v>174</v>
      </c>
      <c r="F12" s="34"/>
      <c r="G12" s="34"/>
      <c r="H12" s="358"/>
      <c r="I12" s="354">
        <v>233614</v>
      </c>
      <c r="J12" s="96" t="s">
        <v>156</v>
      </c>
      <c r="K12" s="305">
        <v>4</v>
      </c>
      <c r="L12" s="308">
        <v>3</v>
      </c>
      <c r="M12" s="308">
        <v>2</v>
      </c>
      <c r="N12" s="308">
        <v>3</v>
      </c>
      <c r="O12" s="308">
        <v>3</v>
      </c>
      <c r="P12" s="308">
        <v>2</v>
      </c>
      <c r="Q12" s="309">
        <v>4</v>
      </c>
      <c r="R12" s="341">
        <v>5</v>
      </c>
      <c r="S12" s="310"/>
      <c r="T12" s="308"/>
      <c r="U12" s="308"/>
      <c r="V12" s="308"/>
      <c r="W12" s="332" t="str">
        <f>IF(COUNTIF(tblSeverityAnalysis[[#This Row],[CCCM]:[WASH]], 1)=0, "", COUNTIF(tblSeverityAnalysis[[#This Row],[CCCM]:[WASH]], 1))</f>
        <v/>
      </c>
      <c r="X12" s="333">
        <f>IF(COUNTIF(tblSeverityAnalysis[[#This Row],[CCCM]:[WASH]], 2)=0, "", COUNTIF(tblSeverityAnalysis[[#This Row],[CCCM]:[WASH]], 2))</f>
        <v>2</v>
      </c>
      <c r="Y12" s="333">
        <f>IF(COUNTIF(tblSeverityAnalysis[[#This Row],[CCCM]:[WASH]], 3)=0, "", COUNTIF(tblSeverityAnalysis[[#This Row],[CCCM]:[WASH]], 3))</f>
        <v>3</v>
      </c>
      <c r="Z12" s="333">
        <f>IF(COUNTIF(tblSeverityAnalysis[[#This Row],[CCCM]:[WASH]], 4)=0, "", COUNTIF(tblSeverityAnalysis[[#This Row],[CCCM]:[WASH]], 4))</f>
        <v>2</v>
      </c>
      <c r="AA12" s="334">
        <f>IF(COUNTIF(tblSeverityAnalysis[[#This Row],[CCCM]:[WASH]], 5)=0, "", COUNTIF(tblSeverityAnalysis[[#This Row],[CCCM]:[WASH]], 5))</f>
        <v>1</v>
      </c>
      <c r="AB12" s="60" cm="1">
        <f t="array" ref="AB1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2" s="33">
        <f>IFERROR(IF(INDEX(tblSeverityReference[Malnutrition Severity],MATCH(tblSeverityAnalysis[[#This Row],[ID]], tblSeverityReference[ID], 0))= "", "",INDEX(tblSeverityReference[Malnutrition Severity],MATCH(tblSeverityAnalysis[[#This Row],[ID]], tblSeverityReference[ID], 0)) ), "")</f>
        <v>2</v>
      </c>
      <c r="AE12" s="347">
        <f>IFERROR(IF(INDEX(tblSeverityReference[Epidemic Severity],MATCH(tblSeverityAnalysis[[#This Row],[ID]], tblSeverityReference[ID], 0))= "", "",INDEX(tblSeverityReference[Epidemic Severity],MATCH(tblSeverityAnalysis[[#This Row],[ID]], tblSeverityReference[ID], 0)) ), "")</f>
        <v>3</v>
      </c>
      <c r="AF12" s="310" t="str">
        <f>IFERROR(IF(INDEX(tblSeverityReference[Coping Strategy Severity],MATCH(tblSeverityAnalysis[[#This Row],[ID]], tblSeverityReference[ID], 0))= "", "",INDEX(tblSeverityReference[Coping Strategy Severity],MATCH(tblSeverityAnalysis[[#This Row],[ID]], tblSeverityReference[ID], 0)) ), "")</f>
        <v/>
      </c>
      <c r="AG12" s="348">
        <f>IFERROR(IF(INDEX(tblSeverityReference[HR/IHL Violation],MATCH(tblSeverityAnalysis[[#This Row],[ID]], tblSeverityReference[ID], 0))= "", "",INDEX(tblSeverityReference[HR/IHL Violation],MATCH(tblSeverityAnalysis[[#This Row],[ID]], tblSeverityReference[ID], 0)) ), "")</f>
        <v>3</v>
      </c>
      <c r="AH12" s="82">
        <f>IFERROR(AVERAGE(tblSeverityAnalysis[[#This Row],[CCCM]:[WASH]]), "")</f>
        <v>3.25</v>
      </c>
      <c r="AI12" s="27">
        <f>IF(SUM(tblSeverityAnalysis[[#This Row],[CCCM]:[WASH]])=0, "", MAX(tblSeverityAnalysis[[#This Row],[CCCM]:[WASH]]))</f>
        <v>5</v>
      </c>
      <c r="AJ12" s="335" t="str" cm="1">
        <f t="array" ref="AJ12">IFERROR(IF(tblSeverityAnalysis[[#This Row],[Highest Severity]]="", "", _xlfn.TEXTJOIN(CHAR(10), TRUE, IF(tblSeverityAnalysis[[#This Row],[CCCM]:[WASH]]=tblSeverityAnalysis[[#This Row],[Highest Severity]], tblSeverityAnalysis[[#Headers],[CCCM]:[WASH]], ""), "")), "")</f>
        <v>WASH</v>
      </c>
      <c r="AK12" s="27" cm="1">
        <f t="array" ref="AK12">IFERROR(MAX(_xlfn._xlws.FILTER(tblSeverityAnalysis[[#This Row],[CCCM]:[WASH]], tblSeverityAnalysis[[#This Row],[CCCM]:[WASH]]&lt;tblSeverityAnalysis[[#This Row],[Highest Severity]])), "")</f>
        <v>4</v>
      </c>
      <c r="AL12" s="324" t="str" cm="1">
        <f t="array" ref="AL12">IFERROR(IF(tblSeverityAnalysis[[#This Row],[2nd Highest Severity]]="", "", _xlfn.TEXTJOIN(CHAR(10), TRUE, IF(tblSeverityAnalysis[[#This Row],[CCCM]:[WASH]]=tblSeverityAnalysis[[#This Row],[2nd Highest Severity]], tblSeverityAnalysis[[#Headers],[CCCM]:[WASH]], ""), "")), "")</f>
        <v>CCCM
Shelter</v>
      </c>
      <c r="AM12" s="132" t="str">
        <f>IFERROR(IF(AND(tblSeverityAnalysis[[#This Row],[5]] &lt;&gt; "", tblSeverityAnalysis[[#This Row],[5]]&gt;=sectors_sev_5), "Flagged", ""), "")</f>
        <v>Flagged</v>
      </c>
      <c r="AN12" s="133" t="str">
        <f>IFERROR(IF(AND(tblSeverityAnalysis[[#This Row],[Preliminary Intersectoral Severity based on overlap of sectoral deprivations]]=4, SUM(tblSeverityAnalysis[[#This Row],[ 4 ]:[5]])&gt;=sectors_sev_4), "Flagged", ""), "")</f>
        <v/>
      </c>
      <c r="AO12" s="133" t="str" cm="1">
        <f t="array" ref="AO1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 s="337"/>
      <c r="AR12" s="338"/>
      <c r="AS12" s="337"/>
      <c r="AT12" s="353">
        <f>COUNTIF(tblSeverityAnalysis[[#This Row],[1 sector in severity phase 5 '[modify the threshold']]:[Manual Flag]], "Flagged")</f>
        <v>2</v>
      </c>
      <c r="AU12" s="339">
        <f>tblSeverityAnalysis[[#This Row],[Preliminary Intersectoral Severity based on overlap of sectoral deprivations]]</f>
        <v>3</v>
      </c>
      <c r="AV12" s="340"/>
      <c r="AW12" s="21"/>
    </row>
    <row r="13" spans="1:57" ht="49.15" hidden="1">
      <c r="A1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Global_PopulationHT0122</v>
      </c>
      <c r="B13" s="39" t="s">
        <v>152</v>
      </c>
      <c r="C13" s="331" t="s">
        <v>153</v>
      </c>
      <c r="D13" s="331" t="s">
        <v>175</v>
      </c>
      <c r="E13" s="34" t="s">
        <v>176</v>
      </c>
      <c r="F13" s="34"/>
      <c r="G13" s="34"/>
      <c r="H13" s="357"/>
      <c r="I13" s="354">
        <v>194867</v>
      </c>
      <c r="J13" s="96" t="s">
        <v>156</v>
      </c>
      <c r="K13" s="305">
        <v>1</v>
      </c>
      <c r="L13" s="308">
        <v>3</v>
      </c>
      <c r="M13" s="308">
        <v>2</v>
      </c>
      <c r="N13" s="308">
        <v>3</v>
      </c>
      <c r="O13" s="308">
        <v>2</v>
      </c>
      <c r="P13" s="308">
        <v>2</v>
      </c>
      <c r="Q13" s="309">
        <v>3</v>
      </c>
      <c r="R13" s="341">
        <v>3</v>
      </c>
      <c r="S13" s="310"/>
      <c r="T13" s="308"/>
      <c r="U13" s="308"/>
      <c r="V13" s="308"/>
      <c r="W13" s="332">
        <f>IF(COUNTIF(tblSeverityAnalysis[[#This Row],[CCCM]:[WASH]], 1)=0, "", COUNTIF(tblSeverityAnalysis[[#This Row],[CCCM]:[WASH]], 1))</f>
        <v>1</v>
      </c>
      <c r="X13" s="333">
        <f>IF(COUNTIF(tblSeverityAnalysis[[#This Row],[CCCM]:[WASH]], 2)=0, "", COUNTIF(tblSeverityAnalysis[[#This Row],[CCCM]:[WASH]], 2))</f>
        <v>3</v>
      </c>
      <c r="Y13" s="333">
        <f>IF(COUNTIF(tblSeverityAnalysis[[#This Row],[CCCM]:[WASH]], 3)=0, "", COUNTIF(tblSeverityAnalysis[[#This Row],[CCCM]:[WASH]], 3))</f>
        <v>4</v>
      </c>
      <c r="Z13" s="333" t="str">
        <f>IF(COUNTIF(tblSeverityAnalysis[[#This Row],[CCCM]:[WASH]], 4)=0, "", COUNTIF(tblSeverityAnalysis[[#This Row],[CCCM]:[WASH]], 4))</f>
        <v/>
      </c>
      <c r="AA13" s="334" t="str">
        <f>IF(COUNTIF(tblSeverityAnalysis[[#This Row],[CCCM]:[WASH]], 5)=0, "", COUNTIF(tblSeverityAnalysis[[#This Row],[CCCM]:[WASH]], 5))</f>
        <v/>
      </c>
      <c r="AB13" s="60" cm="1">
        <f t="array" ref="AB1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 s="33">
        <f>IFERROR(IF(INDEX(tblSeverityReference[Malnutrition Severity],MATCH(tblSeverityAnalysis[[#This Row],[ID]], tblSeverityReference[ID], 0))= "", "",INDEX(tblSeverityReference[Malnutrition Severity],MATCH(tblSeverityAnalysis[[#This Row],[ID]], tblSeverityReference[ID], 0)) ), "")</f>
        <v>2</v>
      </c>
      <c r="AE13" s="347">
        <f>IFERROR(IF(INDEX(tblSeverityReference[Epidemic Severity],MATCH(tblSeverityAnalysis[[#This Row],[ID]], tblSeverityReference[ID], 0))= "", "",INDEX(tblSeverityReference[Epidemic Severity],MATCH(tblSeverityAnalysis[[#This Row],[ID]], tblSeverityReference[ID], 0)) ), "")</f>
        <v>1</v>
      </c>
      <c r="AF13" s="310" t="str">
        <f>IFERROR(IF(INDEX(tblSeverityReference[Coping Strategy Severity],MATCH(tblSeverityAnalysis[[#This Row],[ID]], tblSeverityReference[ID], 0))= "", "",INDEX(tblSeverityReference[Coping Strategy Severity],MATCH(tblSeverityAnalysis[[#This Row],[ID]], tblSeverityReference[ID], 0)) ), "")</f>
        <v/>
      </c>
      <c r="AG13" s="348">
        <f>IFERROR(IF(INDEX(tblSeverityReference[HR/IHL Violation],MATCH(tblSeverityAnalysis[[#This Row],[ID]], tblSeverityReference[ID], 0))= "", "",INDEX(tblSeverityReference[HR/IHL Violation],MATCH(tblSeverityAnalysis[[#This Row],[ID]], tblSeverityReference[ID], 0)) ), "")</f>
        <v>3</v>
      </c>
      <c r="AH13" s="82">
        <f>IFERROR(AVERAGE(tblSeverityAnalysis[[#This Row],[CCCM]:[WASH]]), "")</f>
        <v>2.375</v>
      </c>
      <c r="AI13" s="27">
        <f>IF(SUM(tblSeverityAnalysis[[#This Row],[CCCM]:[WASH]])=0, "", MAX(tblSeverityAnalysis[[#This Row],[CCCM]:[WASH]]))</f>
        <v>3</v>
      </c>
      <c r="AJ13" s="335" t="str" cm="1">
        <f t="array" ref="AJ13">IFERROR(IF(tblSeverityAnalysis[[#This Row],[Highest Severity]]="", "", _xlfn.TEXTJOIN(CHAR(10), TRUE, IF(tblSeverityAnalysis[[#This Row],[CCCM]:[WASH]]=tblSeverityAnalysis[[#This Row],[Highest Severity]], tblSeverityAnalysis[[#Headers],[CCCM]:[WASH]], ""), "")), "")</f>
        <v>Education
Food Security
Shelter
WASH</v>
      </c>
      <c r="AK13" s="27" cm="1">
        <f t="array" ref="AK13">IFERROR(MAX(_xlfn._xlws.FILTER(tblSeverityAnalysis[[#This Row],[CCCM]:[WASH]], tblSeverityAnalysis[[#This Row],[CCCM]:[WASH]]&lt;tblSeverityAnalysis[[#This Row],[Highest Severity]])), "")</f>
        <v>2</v>
      </c>
      <c r="AL13" s="324" t="str" cm="1">
        <f t="array" ref="AL13">IFERROR(IF(tblSeverityAnalysis[[#This Row],[2nd Highest Severity]]="", "", _xlfn.TEXTJOIN(CHAR(10), TRUE, IF(tblSeverityAnalysis[[#This Row],[CCCM]:[WASH]]=tblSeverityAnalysis[[#This Row],[2nd Highest Severity]], tblSeverityAnalysis[[#Headers],[CCCM]:[WASH]], ""), "")), "")</f>
        <v>Nutrition
Health
Protection</v>
      </c>
      <c r="AM13" s="132" t="str">
        <f>IFERROR(IF(AND(tblSeverityAnalysis[[#This Row],[5]] &lt;&gt; "", tblSeverityAnalysis[[#This Row],[5]]&gt;=sectors_sev_5), "Flagged", ""), "")</f>
        <v/>
      </c>
      <c r="AN13" s="133" t="str">
        <f>IFERROR(IF(AND(tblSeverityAnalysis[[#This Row],[Preliminary Intersectoral Severity based on overlap of sectoral deprivations]]=4, SUM(tblSeverityAnalysis[[#This Row],[ 4 ]:[5]])&gt;=sectors_sev_4), "Flagged", ""), "")</f>
        <v/>
      </c>
      <c r="AO13" s="133" t="str" cm="1">
        <f t="array" ref="AO1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 s="337"/>
      <c r="AR13" s="338"/>
      <c r="AS13" s="337"/>
      <c r="AT13" s="353">
        <f>COUNTIF(tblSeverityAnalysis[[#This Row],[1 sector in severity phase 5 '[modify the threshold']]:[Manual Flag]], "Flagged")</f>
        <v>2</v>
      </c>
      <c r="AU13" s="339">
        <f>tblSeverityAnalysis[[#This Row],[Preliminary Intersectoral Severity based on overlap of sectoral deprivations]]</f>
        <v>3</v>
      </c>
      <c r="AV13" s="340"/>
      <c r="AW13" s="21"/>
    </row>
    <row r="14" spans="1:57" ht="49.15" hidden="1">
      <c r="A1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Global_PopulationHT0123</v>
      </c>
      <c r="B14" s="39" t="s">
        <v>152</v>
      </c>
      <c r="C14" s="331" t="s">
        <v>153</v>
      </c>
      <c r="D14" s="331" t="s">
        <v>177</v>
      </c>
      <c r="E14" s="34" t="s">
        <v>178</v>
      </c>
      <c r="F14" s="34"/>
      <c r="G14" s="34"/>
      <c r="H14" s="358"/>
      <c r="I14" s="354">
        <v>157549</v>
      </c>
      <c r="J14" s="96" t="s">
        <v>156</v>
      </c>
      <c r="K14" s="305">
        <v>1</v>
      </c>
      <c r="L14" s="308">
        <v>3</v>
      </c>
      <c r="M14" s="308">
        <v>2</v>
      </c>
      <c r="N14" s="308">
        <v>3</v>
      </c>
      <c r="O14" s="308">
        <v>2</v>
      </c>
      <c r="P14" s="308">
        <v>2</v>
      </c>
      <c r="Q14" s="309">
        <v>3</v>
      </c>
      <c r="R14" s="341">
        <v>2</v>
      </c>
      <c r="S14" s="310"/>
      <c r="T14" s="308"/>
      <c r="U14" s="308"/>
      <c r="V14" s="308"/>
      <c r="W14" s="332">
        <f>IF(COUNTIF(tblSeverityAnalysis[[#This Row],[CCCM]:[WASH]], 1)=0, "", COUNTIF(tblSeverityAnalysis[[#This Row],[CCCM]:[WASH]], 1))</f>
        <v>1</v>
      </c>
      <c r="X14" s="333">
        <f>IF(COUNTIF(tblSeverityAnalysis[[#This Row],[CCCM]:[WASH]], 2)=0, "", COUNTIF(tblSeverityAnalysis[[#This Row],[CCCM]:[WASH]], 2))</f>
        <v>4</v>
      </c>
      <c r="Y14" s="333">
        <f>IF(COUNTIF(tblSeverityAnalysis[[#This Row],[CCCM]:[WASH]], 3)=0, "", COUNTIF(tblSeverityAnalysis[[#This Row],[CCCM]:[WASH]], 3))</f>
        <v>3</v>
      </c>
      <c r="Z14" s="333" t="str">
        <f>IF(COUNTIF(tblSeverityAnalysis[[#This Row],[CCCM]:[WASH]], 4)=0, "", COUNTIF(tblSeverityAnalysis[[#This Row],[CCCM]:[WASH]], 4))</f>
        <v/>
      </c>
      <c r="AA14" s="334" t="str">
        <f>IF(COUNTIF(tblSeverityAnalysis[[#This Row],[CCCM]:[WASH]], 5)=0, "", COUNTIF(tblSeverityAnalysis[[#This Row],[CCCM]:[WASH]], 5))</f>
        <v/>
      </c>
      <c r="AB14" s="60" cm="1">
        <f t="array" ref="AB1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4"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4" s="33">
        <f>IFERROR(IF(INDEX(tblSeverityReference[Malnutrition Severity],MATCH(tblSeverityAnalysis[[#This Row],[ID]], tblSeverityReference[ID], 0))= "", "",INDEX(tblSeverityReference[Malnutrition Severity],MATCH(tblSeverityAnalysis[[#This Row],[ID]], tblSeverityReference[ID], 0)) ), "")</f>
        <v>2</v>
      </c>
      <c r="AE14" s="347">
        <f>IFERROR(IF(INDEX(tblSeverityReference[Epidemic Severity],MATCH(tblSeverityAnalysis[[#This Row],[ID]], tblSeverityReference[ID], 0))= "", "",INDEX(tblSeverityReference[Epidemic Severity],MATCH(tblSeverityAnalysis[[#This Row],[ID]], tblSeverityReference[ID], 0)) ), "")</f>
        <v>1</v>
      </c>
      <c r="AF14" s="310" t="str">
        <f>IFERROR(IF(INDEX(tblSeverityReference[Coping Strategy Severity],MATCH(tblSeverityAnalysis[[#This Row],[ID]], tblSeverityReference[ID], 0))= "", "",INDEX(tblSeverityReference[Coping Strategy Severity],MATCH(tblSeverityAnalysis[[#This Row],[ID]], tblSeverityReference[ID], 0)) ), "")</f>
        <v/>
      </c>
      <c r="AG14" s="108">
        <f>IFERROR(IF(INDEX(tblSeverityReference[HR/IHL Violation],MATCH(tblSeverityAnalysis[[#This Row],[ID]], tblSeverityReference[ID], 0))= "", "",INDEX(tblSeverityReference[HR/IHL Violation],MATCH(tblSeverityAnalysis[[#This Row],[ID]], tblSeverityReference[ID], 0)) ), "")</f>
        <v>2</v>
      </c>
      <c r="AH14" s="82">
        <f>IFERROR(AVERAGE(tblSeverityAnalysis[[#This Row],[CCCM]:[WASH]]), "")</f>
        <v>2.25</v>
      </c>
      <c r="AI14" s="27">
        <f>IF(SUM(tblSeverityAnalysis[[#This Row],[CCCM]:[WASH]])=0, "", MAX(tblSeverityAnalysis[[#This Row],[CCCM]:[WASH]]))</f>
        <v>3</v>
      </c>
      <c r="AJ14" s="335" t="str" cm="1">
        <f t="array" ref="AJ14">IFERROR(IF(tblSeverityAnalysis[[#This Row],[Highest Severity]]="", "", _xlfn.TEXTJOIN(CHAR(10), TRUE, IF(tblSeverityAnalysis[[#This Row],[CCCM]:[WASH]]=tblSeverityAnalysis[[#This Row],[Highest Severity]], tblSeverityAnalysis[[#Headers],[CCCM]:[WASH]], ""), "")), "")</f>
        <v>Education
Food Security
Shelter</v>
      </c>
      <c r="AK14" s="27" cm="1">
        <f t="array" ref="AK14">IFERROR(MAX(_xlfn._xlws.FILTER(tblSeverityAnalysis[[#This Row],[CCCM]:[WASH]], tblSeverityAnalysis[[#This Row],[CCCM]:[WASH]]&lt;tblSeverityAnalysis[[#This Row],[Highest Severity]])), "")</f>
        <v>2</v>
      </c>
      <c r="AL14" s="324" t="str" cm="1">
        <f t="array" ref="AL14">IFERROR(IF(tblSeverityAnalysis[[#This Row],[2nd Highest Severity]]="", "", _xlfn.TEXTJOIN(CHAR(10), TRUE, IF(tblSeverityAnalysis[[#This Row],[CCCM]:[WASH]]=tblSeverityAnalysis[[#This Row],[2nd Highest Severity]], tblSeverityAnalysis[[#Headers],[CCCM]:[WASH]], ""), "")), "")</f>
        <v>Nutrition
Health
Protection
WASH</v>
      </c>
      <c r="AM14" s="132" t="str">
        <f>IFERROR(IF(AND(tblSeverityAnalysis[[#This Row],[5]] &lt;&gt; "", tblSeverityAnalysis[[#This Row],[5]]&gt;=sectors_sev_5), "Flagged", ""), "")</f>
        <v/>
      </c>
      <c r="AN14" s="133" t="str">
        <f>IFERROR(IF(AND(tblSeverityAnalysis[[#This Row],[Preliminary Intersectoral Severity based on overlap of sectoral deprivations]]=4, SUM(tblSeverityAnalysis[[#This Row],[ 4 ]:[5]])&gt;=sectors_sev_4), "Flagged", ""), "")</f>
        <v/>
      </c>
      <c r="AO14" s="133" t="str" cm="1">
        <f t="array" ref="AO1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 s="337"/>
      <c r="AR14" s="338"/>
      <c r="AS14" s="337"/>
      <c r="AT14" s="353">
        <f>COUNTIF(tblSeverityAnalysis[[#This Row],[1 sector in severity phase 5 '[modify the threshold']]:[Manual Flag]], "Flagged")</f>
        <v>0</v>
      </c>
      <c r="AU14" s="339">
        <f>tblSeverityAnalysis[[#This Row],[Preliminary Intersectoral Severity based on overlap of sectoral deprivations]]</f>
        <v>2</v>
      </c>
      <c r="AV14" s="340"/>
      <c r="AW14" s="21"/>
    </row>
    <row r="15" spans="1:57" ht="36.950000000000003" hidden="1">
      <c r="A1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Global_PopulationHT0131</v>
      </c>
      <c r="B15" s="39" t="s">
        <v>152</v>
      </c>
      <c r="C15" s="331" t="s">
        <v>153</v>
      </c>
      <c r="D15" s="331" t="s">
        <v>179</v>
      </c>
      <c r="E15" s="34" t="s">
        <v>180</v>
      </c>
      <c r="F15" s="34"/>
      <c r="G15" s="34"/>
      <c r="H15" s="357"/>
      <c r="I15" s="354">
        <v>129879</v>
      </c>
      <c r="J15" s="96" t="s">
        <v>156</v>
      </c>
      <c r="K15" s="305">
        <v>3</v>
      </c>
      <c r="L15" s="308">
        <v>3</v>
      </c>
      <c r="M15" s="308">
        <v>3</v>
      </c>
      <c r="N15" s="308">
        <v>3</v>
      </c>
      <c r="O15" s="308">
        <v>4</v>
      </c>
      <c r="P15" s="308">
        <v>5</v>
      </c>
      <c r="Q15" s="309">
        <v>3</v>
      </c>
      <c r="R15" s="341">
        <v>3</v>
      </c>
      <c r="S15" s="310"/>
      <c r="T15" s="308"/>
      <c r="U15" s="308"/>
      <c r="V15" s="308"/>
      <c r="W15" s="332" t="str">
        <f>IF(COUNTIF(tblSeverityAnalysis[[#This Row],[CCCM]:[WASH]], 1)=0, "", COUNTIF(tblSeverityAnalysis[[#This Row],[CCCM]:[WASH]], 1))</f>
        <v/>
      </c>
      <c r="X15" s="333" t="str">
        <f>IF(COUNTIF(tblSeverityAnalysis[[#This Row],[CCCM]:[WASH]], 2)=0, "", COUNTIF(tblSeverityAnalysis[[#This Row],[CCCM]:[WASH]], 2))</f>
        <v/>
      </c>
      <c r="Y15" s="333">
        <f>IF(COUNTIF(tblSeverityAnalysis[[#This Row],[CCCM]:[WASH]], 3)=0, "", COUNTIF(tblSeverityAnalysis[[#This Row],[CCCM]:[WASH]], 3))</f>
        <v>6</v>
      </c>
      <c r="Z15" s="333">
        <f>IF(COUNTIF(tblSeverityAnalysis[[#This Row],[CCCM]:[WASH]], 4)=0, "", COUNTIF(tblSeverityAnalysis[[#This Row],[CCCM]:[WASH]], 4))</f>
        <v>1</v>
      </c>
      <c r="AA15" s="334">
        <f>IF(COUNTIF(tblSeverityAnalysis[[#This Row],[CCCM]:[WASH]], 5)=0, "", COUNTIF(tblSeverityAnalysis[[#This Row],[CCCM]:[WASH]], 5))</f>
        <v>1</v>
      </c>
      <c r="AB15" s="60" cm="1">
        <f t="array" ref="AB1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5"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5" s="33">
        <f>IFERROR(IF(INDEX(tblSeverityReference[Malnutrition Severity],MATCH(tblSeverityAnalysis[[#This Row],[ID]], tblSeverityReference[ID], 0))= "", "",INDEX(tblSeverityReference[Malnutrition Severity],MATCH(tblSeverityAnalysis[[#This Row],[ID]], tblSeverityReference[ID], 0)) ), "")</f>
        <v>4</v>
      </c>
      <c r="AE15" s="347">
        <f>IFERROR(IF(INDEX(tblSeverityReference[Epidemic Severity],MATCH(tblSeverityAnalysis[[#This Row],[ID]], tblSeverityReference[ID], 0))= "", "",INDEX(tblSeverityReference[Epidemic Severity],MATCH(tblSeverityAnalysis[[#This Row],[ID]], tblSeverityReference[ID], 0)) ), "")</f>
        <v>5</v>
      </c>
      <c r="AF15" s="310" t="str">
        <f>IFERROR(IF(INDEX(tblSeverityReference[Coping Strategy Severity],MATCH(tblSeverityAnalysis[[#This Row],[ID]], tblSeverityReference[ID], 0))= "", "",INDEX(tblSeverityReference[Coping Strategy Severity],MATCH(tblSeverityAnalysis[[#This Row],[ID]], tblSeverityReference[ID], 0)) ), "")</f>
        <v/>
      </c>
      <c r="AG15" s="348">
        <f>IFERROR(IF(INDEX(tblSeverityReference[HR/IHL Violation],MATCH(tblSeverityAnalysis[[#This Row],[ID]], tblSeverityReference[ID], 0))= "", "",INDEX(tblSeverityReference[HR/IHL Violation],MATCH(tblSeverityAnalysis[[#This Row],[ID]], tblSeverityReference[ID], 0)) ), "")</f>
        <v>3</v>
      </c>
      <c r="AH15" s="82">
        <f>IFERROR(AVERAGE(tblSeverityAnalysis[[#This Row],[CCCM]:[WASH]]), "")</f>
        <v>3.375</v>
      </c>
      <c r="AI15" s="27">
        <f>IF(SUM(tblSeverityAnalysis[[#This Row],[CCCM]:[WASH]])=0, "", MAX(tblSeverityAnalysis[[#This Row],[CCCM]:[WASH]]))</f>
        <v>5</v>
      </c>
      <c r="AJ15" s="335" t="str" cm="1">
        <f t="array" ref="AJ15">IFERROR(IF(tblSeverityAnalysis[[#This Row],[Highest Severity]]="", "", _xlfn.TEXTJOIN(CHAR(10), TRUE, IF(tblSeverityAnalysis[[#This Row],[CCCM]:[WASH]]=tblSeverityAnalysis[[#This Row],[Highest Severity]], tblSeverityAnalysis[[#Headers],[CCCM]:[WASH]], ""), "")), "")</f>
        <v>Protection</v>
      </c>
      <c r="AK15" s="27" cm="1">
        <f t="array" ref="AK15">IFERROR(MAX(_xlfn._xlws.FILTER(tblSeverityAnalysis[[#This Row],[CCCM]:[WASH]], tblSeverityAnalysis[[#This Row],[CCCM]:[WASH]]&lt;tblSeverityAnalysis[[#This Row],[Highest Severity]])), "")</f>
        <v>4</v>
      </c>
      <c r="AL15" s="324" t="str" cm="1">
        <f t="array" ref="AL15">IFERROR(IF(tblSeverityAnalysis[[#This Row],[2nd Highest Severity]]="", "", _xlfn.TEXTJOIN(CHAR(10), TRUE, IF(tblSeverityAnalysis[[#This Row],[CCCM]:[WASH]]=tblSeverityAnalysis[[#This Row],[2nd Highest Severity]], tblSeverityAnalysis[[#Headers],[CCCM]:[WASH]], ""), "")), "")</f>
        <v>Health</v>
      </c>
      <c r="AM15" s="132" t="str">
        <f>IFERROR(IF(AND(tblSeverityAnalysis[[#This Row],[5]] &lt;&gt; "", tblSeverityAnalysis[[#This Row],[5]]&gt;=sectors_sev_5), "Flagged", ""), "")</f>
        <v>Flagged</v>
      </c>
      <c r="AN15" s="133" t="str">
        <f>IFERROR(IF(AND(tblSeverityAnalysis[[#This Row],[Preliminary Intersectoral Severity based on overlap of sectoral deprivations]]=4, SUM(tblSeverityAnalysis[[#This Row],[ 4 ]:[5]])&gt;=sectors_sev_4), "Flagged", ""), "")</f>
        <v/>
      </c>
      <c r="AO15" s="133" t="str" cm="1">
        <f t="array" ref="AO1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5" s="337"/>
      <c r="AR15" s="338"/>
      <c r="AS15" s="337"/>
      <c r="AT15" s="353">
        <f>COUNTIF(tblSeverityAnalysis[[#This Row],[1 sector in severity phase 5 '[modify the threshold']]:[Manual Flag]], "Flagged")</f>
        <v>3</v>
      </c>
      <c r="AU15" s="339">
        <v>4</v>
      </c>
      <c r="AV15" s="340" t="s">
        <v>553</v>
      </c>
      <c r="AW15" s="21"/>
    </row>
    <row r="16" spans="1:57" ht="49.15" hidden="1">
      <c r="A1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Global_PopulationHT0132</v>
      </c>
      <c r="B16" s="39" t="s">
        <v>152</v>
      </c>
      <c r="C16" s="331" t="s">
        <v>153</v>
      </c>
      <c r="D16" s="331" t="s">
        <v>181</v>
      </c>
      <c r="E16" s="34" t="s">
        <v>182</v>
      </c>
      <c r="F16" s="34"/>
      <c r="G16" s="34"/>
      <c r="H16" s="358"/>
      <c r="I16" s="354">
        <v>54753</v>
      </c>
      <c r="J16" s="96" t="s">
        <v>156</v>
      </c>
      <c r="K16" s="305"/>
      <c r="L16" s="308">
        <v>3</v>
      </c>
      <c r="M16" s="308">
        <v>2</v>
      </c>
      <c r="N16" s="308">
        <v>3</v>
      </c>
      <c r="O16" s="308">
        <v>2</v>
      </c>
      <c r="P16" s="308">
        <v>2</v>
      </c>
      <c r="Q16" s="309">
        <v>3</v>
      </c>
      <c r="R16" s="341">
        <v>1</v>
      </c>
      <c r="S16" s="310"/>
      <c r="T16" s="308"/>
      <c r="U16" s="308"/>
      <c r="V16" s="308"/>
      <c r="W16" s="332">
        <f>IF(COUNTIF(tblSeverityAnalysis[[#This Row],[CCCM]:[WASH]], 1)=0, "", COUNTIF(tblSeverityAnalysis[[#This Row],[CCCM]:[WASH]], 1))</f>
        <v>1</v>
      </c>
      <c r="X16" s="333">
        <f>IF(COUNTIF(tblSeverityAnalysis[[#This Row],[CCCM]:[WASH]], 2)=0, "", COUNTIF(tblSeverityAnalysis[[#This Row],[CCCM]:[WASH]], 2))</f>
        <v>3</v>
      </c>
      <c r="Y16" s="333">
        <f>IF(COUNTIF(tblSeverityAnalysis[[#This Row],[CCCM]:[WASH]], 3)=0, "", COUNTIF(tblSeverityAnalysis[[#This Row],[CCCM]:[WASH]], 3))</f>
        <v>3</v>
      </c>
      <c r="Z16" s="333" t="str">
        <f>IF(COUNTIF(tblSeverityAnalysis[[#This Row],[CCCM]:[WASH]], 4)=0, "", COUNTIF(tblSeverityAnalysis[[#This Row],[CCCM]:[WASH]], 4))</f>
        <v/>
      </c>
      <c r="AA16" s="334" t="str">
        <f>IF(COUNTIF(tblSeverityAnalysis[[#This Row],[CCCM]:[WASH]], 5)=0, "", COUNTIF(tblSeverityAnalysis[[#This Row],[CCCM]:[WASH]], 5))</f>
        <v/>
      </c>
      <c r="AB16" s="60" cm="1">
        <f t="array" ref="AB1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6"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6" s="33">
        <f>IFERROR(IF(INDEX(tblSeverityReference[Malnutrition Severity],MATCH(tblSeverityAnalysis[[#This Row],[ID]], tblSeverityReference[ID], 0))= "", "",INDEX(tblSeverityReference[Malnutrition Severity],MATCH(tblSeverityAnalysis[[#This Row],[ID]], tblSeverityReference[ID], 0)) ), "")</f>
        <v>2</v>
      </c>
      <c r="AE16" s="347">
        <f>IFERROR(IF(INDEX(tblSeverityReference[Epidemic Severity],MATCH(tblSeverityAnalysis[[#This Row],[ID]], tblSeverityReference[ID], 0))= "", "",INDEX(tblSeverityReference[Epidemic Severity],MATCH(tblSeverityAnalysis[[#This Row],[ID]], tblSeverityReference[ID], 0)) ), "")</f>
        <v>3</v>
      </c>
      <c r="AF16" s="310" t="str">
        <f>IFERROR(IF(INDEX(tblSeverityReference[Coping Strategy Severity],MATCH(tblSeverityAnalysis[[#This Row],[ID]], tblSeverityReference[ID], 0))= "", "",INDEX(tblSeverityReference[Coping Strategy Severity],MATCH(tblSeverityAnalysis[[#This Row],[ID]], tblSeverityReference[ID], 0)) ), "")</f>
        <v/>
      </c>
      <c r="AG16" s="108">
        <f>IFERROR(IF(INDEX(tblSeverityReference[HR/IHL Violation],MATCH(tblSeverityAnalysis[[#This Row],[ID]], tblSeverityReference[ID], 0))= "", "",INDEX(tblSeverityReference[HR/IHL Violation],MATCH(tblSeverityAnalysis[[#This Row],[ID]], tblSeverityReference[ID], 0)) ), "")</f>
        <v>2</v>
      </c>
      <c r="AH16" s="82">
        <f>IFERROR(AVERAGE(tblSeverityAnalysis[[#This Row],[CCCM]:[WASH]]), "")</f>
        <v>2.2857142857142856</v>
      </c>
      <c r="AI16" s="27">
        <f>IF(SUM(tblSeverityAnalysis[[#This Row],[CCCM]:[WASH]])=0, "", MAX(tblSeverityAnalysis[[#This Row],[CCCM]:[WASH]]))</f>
        <v>3</v>
      </c>
      <c r="AJ16" s="335" t="str" cm="1">
        <f t="array" ref="AJ16">IFERROR(IF(tblSeverityAnalysis[[#This Row],[Highest Severity]]="", "", _xlfn.TEXTJOIN(CHAR(10), TRUE, IF(tblSeverityAnalysis[[#This Row],[CCCM]:[WASH]]=tblSeverityAnalysis[[#This Row],[Highest Severity]], tblSeverityAnalysis[[#Headers],[CCCM]:[WASH]], ""), "")), "")</f>
        <v>Education
Food Security
Shelter</v>
      </c>
      <c r="AK16" s="27" cm="1">
        <f t="array" ref="AK16">IFERROR(MAX(_xlfn._xlws.FILTER(tblSeverityAnalysis[[#This Row],[CCCM]:[WASH]], tblSeverityAnalysis[[#This Row],[CCCM]:[WASH]]&lt;tblSeverityAnalysis[[#This Row],[Highest Severity]])), "")</f>
        <v>2</v>
      </c>
      <c r="AL16" s="324" t="str" cm="1">
        <f t="array" ref="AL16">IFERROR(IF(tblSeverityAnalysis[[#This Row],[2nd Highest Severity]]="", "", _xlfn.TEXTJOIN(CHAR(10), TRUE, IF(tblSeverityAnalysis[[#This Row],[CCCM]:[WASH]]=tblSeverityAnalysis[[#This Row],[2nd Highest Severity]], tblSeverityAnalysis[[#Headers],[CCCM]:[WASH]], ""), "")), "")</f>
        <v>Nutrition
Health
Protection</v>
      </c>
      <c r="AM16" s="132" t="str">
        <f>IFERROR(IF(AND(tblSeverityAnalysis[[#This Row],[5]] &lt;&gt; "", tblSeverityAnalysis[[#This Row],[5]]&gt;=sectors_sev_5), "Flagged", ""), "")</f>
        <v/>
      </c>
      <c r="AN16" s="133" t="str">
        <f>IFERROR(IF(AND(tblSeverityAnalysis[[#This Row],[Preliminary Intersectoral Severity based on overlap of sectoral deprivations]]=4, SUM(tblSeverityAnalysis[[#This Row],[ 4 ]:[5]])&gt;=sectors_sev_4), "Flagged", ""), "")</f>
        <v/>
      </c>
      <c r="AO16" s="133" t="str" cm="1">
        <f t="array" ref="AO1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6" s="337"/>
      <c r="AR16" s="338"/>
      <c r="AS16" s="337"/>
      <c r="AT16" s="353">
        <f>COUNTIF(tblSeverityAnalysis[[#This Row],[1 sector in severity phase 5 '[modify the threshold']]:[Manual Flag]], "Flagged")</f>
        <v>1</v>
      </c>
      <c r="AU16" s="339">
        <v>3</v>
      </c>
      <c r="AV16" s="340" t="s">
        <v>554</v>
      </c>
      <c r="AW16" s="21"/>
    </row>
    <row r="17" spans="1:48" ht="61.5" hidden="1">
      <c r="A1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Global_PopulationHT0133</v>
      </c>
      <c r="B17" s="39" t="s">
        <v>152</v>
      </c>
      <c r="C17" s="331" t="s">
        <v>153</v>
      </c>
      <c r="D17" s="331" t="s">
        <v>183</v>
      </c>
      <c r="E17" s="34" t="s">
        <v>184</v>
      </c>
      <c r="F17" s="34"/>
      <c r="G17" s="34"/>
      <c r="H17" s="357"/>
      <c r="I17" s="354">
        <v>65036</v>
      </c>
      <c r="J17" s="96" t="s">
        <v>156</v>
      </c>
      <c r="K17" s="305">
        <v>0</v>
      </c>
      <c r="L17" s="308">
        <v>3</v>
      </c>
      <c r="M17" s="308">
        <v>2</v>
      </c>
      <c r="N17" s="308">
        <v>3</v>
      </c>
      <c r="O17" s="308">
        <v>3</v>
      </c>
      <c r="P17" s="308">
        <v>3</v>
      </c>
      <c r="Q17" s="309">
        <v>1</v>
      </c>
      <c r="R17" s="341">
        <v>3</v>
      </c>
      <c r="S17" s="310"/>
      <c r="T17" s="308"/>
      <c r="U17" s="308"/>
      <c r="V17" s="308"/>
      <c r="W17" s="332">
        <f>IF(COUNTIF(tblSeverityAnalysis[[#This Row],[CCCM]:[WASH]], 1)=0, "", COUNTIF(tblSeverityAnalysis[[#This Row],[CCCM]:[WASH]], 1))</f>
        <v>1</v>
      </c>
      <c r="X17" s="333">
        <f>IF(COUNTIF(tblSeverityAnalysis[[#This Row],[CCCM]:[WASH]], 2)=0, "", COUNTIF(tblSeverityAnalysis[[#This Row],[CCCM]:[WASH]], 2))</f>
        <v>1</v>
      </c>
      <c r="Y17" s="333">
        <f>IF(COUNTIF(tblSeverityAnalysis[[#This Row],[CCCM]:[WASH]], 3)=0, "", COUNTIF(tblSeverityAnalysis[[#This Row],[CCCM]:[WASH]], 3))</f>
        <v>5</v>
      </c>
      <c r="Z17" s="333" t="str">
        <f>IF(COUNTIF(tblSeverityAnalysis[[#This Row],[CCCM]:[WASH]], 4)=0, "", COUNTIF(tblSeverityAnalysis[[#This Row],[CCCM]:[WASH]], 4))</f>
        <v/>
      </c>
      <c r="AA17" s="334" t="str">
        <f>IF(COUNTIF(tblSeverityAnalysis[[#This Row],[CCCM]:[WASH]], 5)=0, "", COUNTIF(tblSeverityAnalysis[[#This Row],[CCCM]:[WASH]], 5))</f>
        <v/>
      </c>
      <c r="AB17" s="60" cm="1">
        <f t="array" ref="AB1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7"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17" s="33">
        <f>IFERROR(IF(INDEX(tblSeverityReference[Malnutrition Severity],MATCH(tblSeverityAnalysis[[#This Row],[ID]], tblSeverityReference[ID], 0))= "", "",INDEX(tblSeverityReference[Malnutrition Severity],MATCH(tblSeverityAnalysis[[#This Row],[ID]], tblSeverityReference[ID], 0)) ), "")</f>
        <v>2</v>
      </c>
      <c r="AE17" s="347">
        <f>IFERROR(IF(INDEX(tblSeverityReference[Epidemic Severity],MATCH(tblSeverityAnalysis[[#This Row],[ID]], tblSeverityReference[ID], 0))= "", "",INDEX(tblSeverityReference[Epidemic Severity],MATCH(tblSeverityAnalysis[[#This Row],[ID]], tblSeverityReference[ID], 0)) ), "")</f>
        <v>3</v>
      </c>
      <c r="AF17" s="310" t="str">
        <f>IFERROR(IF(INDEX(tblSeverityReference[Coping Strategy Severity],MATCH(tblSeverityAnalysis[[#This Row],[ID]], tblSeverityReference[ID], 0))= "", "",INDEX(tblSeverityReference[Coping Strategy Severity],MATCH(tblSeverityAnalysis[[#This Row],[ID]], tblSeverityReference[ID], 0)) ), "")</f>
        <v/>
      </c>
      <c r="AG17" s="348">
        <f>IFERROR(IF(INDEX(tblSeverityReference[HR/IHL Violation],MATCH(tblSeverityAnalysis[[#This Row],[ID]], tblSeverityReference[ID], 0))= "", "",INDEX(tblSeverityReference[HR/IHL Violation],MATCH(tblSeverityAnalysis[[#This Row],[ID]], tblSeverityReference[ID], 0)) ), "")</f>
        <v>3</v>
      </c>
      <c r="AH17" s="82">
        <f>IFERROR(AVERAGE(tblSeverityAnalysis[[#This Row],[CCCM]:[WASH]]), "")</f>
        <v>2.25</v>
      </c>
      <c r="AI17" s="27">
        <f>IF(SUM(tblSeverityAnalysis[[#This Row],[CCCM]:[WASH]])=0, "", MAX(tblSeverityAnalysis[[#This Row],[CCCM]:[WASH]]))</f>
        <v>3</v>
      </c>
      <c r="AJ17" s="335" t="str" cm="1">
        <f t="array" ref="AJ17">IFERROR(IF(tblSeverityAnalysis[[#This Row],[Highest Severity]]="", "", _xlfn.TEXTJOIN(CHAR(10), TRUE, IF(tblSeverityAnalysis[[#This Row],[CCCM]:[WASH]]=tblSeverityAnalysis[[#This Row],[Highest Severity]], tblSeverityAnalysis[[#Headers],[CCCM]:[WASH]], ""), "")), "")</f>
        <v>Education
Food Security
Health
Protection
WASH</v>
      </c>
      <c r="AK17" s="27" cm="1">
        <f t="array" ref="AK17">IFERROR(MAX(_xlfn._xlws.FILTER(tblSeverityAnalysis[[#This Row],[CCCM]:[WASH]], tblSeverityAnalysis[[#This Row],[CCCM]:[WASH]]&lt;tblSeverityAnalysis[[#This Row],[Highest Severity]])), "")</f>
        <v>2</v>
      </c>
      <c r="AL17" s="324" t="str" cm="1">
        <f t="array" ref="AL17">IFERROR(IF(tblSeverityAnalysis[[#This Row],[2nd Highest Severity]]="", "", _xlfn.TEXTJOIN(CHAR(10), TRUE, IF(tblSeverityAnalysis[[#This Row],[CCCM]:[WASH]]=tblSeverityAnalysis[[#This Row],[2nd Highest Severity]], tblSeverityAnalysis[[#Headers],[CCCM]:[WASH]], ""), "")), "")</f>
        <v>Nutrition</v>
      </c>
      <c r="AM17" s="132" t="str">
        <f>IFERROR(IF(AND(tblSeverityAnalysis[[#This Row],[5]] &lt;&gt; "", tblSeverityAnalysis[[#This Row],[5]]&gt;=sectors_sev_5), "Flagged", ""), "")</f>
        <v/>
      </c>
      <c r="AN17" s="133" t="str">
        <f>IFERROR(IF(AND(tblSeverityAnalysis[[#This Row],[Preliminary Intersectoral Severity based on overlap of sectoral deprivations]]=4, SUM(tblSeverityAnalysis[[#This Row],[ 4 ]:[5]])&gt;=sectors_sev_4), "Flagged", ""), "")</f>
        <v/>
      </c>
      <c r="AO17" s="133" t="str" cm="1">
        <f t="array" ref="AO1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7" s="337"/>
      <c r="AR17" s="338"/>
      <c r="AS17" s="337"/>
      <c r="AT17" s="353">
        <f>COUNTIF(tblSeverityAnalysis[[#This Row],[1 sector in severity phase 5 '[modify the threshold']]:[Manual Flag]], "Flagged")</f>
        <v>0</v>
      </c>
      <c r="AU17" s="339">
        <f>tblSeverityAnalysis[[#This Row],[Preliminary Intersectoral Severity based on overlap of sectoral deprivations]]</f>
        <v>3</v>
      </c>
      <c r="AV17" s="340"/>
    </row>
    <row r="18" spans="1:48" ht="49.15" hidden="1">
      <c r="A1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Global_PopulationHT0134</v>
      </c>
      <c r="B18" s="39" t="s">
        <v>152</v>
      </c>
      <c r="C18" s="331" t="s">
        <v>153</v>
      </c>
      <c r="D18" s="331" t="s">
        <v>185</v>
      </c>
      <c r="E18" s="34" t="s">
        <v>186</v>
      </c>
      <c r="F18" s="34"/>
      <c r="G18" s="34"/>
      <c r="H18" s="358"/>
      <c r="I18" s="354">
        <v>66185</v>
      </c>
      <c r="J18" s="96" t="s">
        <v>156</v>
      </c>
      <c r="K18" s="305">
        <v>4</v>
      </c>
      <c r="L18" s="308">
        <v>3</v>
      </c>
      <c r="M18" s="308">
        <v>2</v>
      </c>
      <c r="N18" s="308">
        <v>3</v>
      </c>
      <c r="O18" s="308">
        <v>3</v>
      </c>
      <c r="P18" s="308">
        <v>2</v>
      </c>
      <c r="Q18" s="309">
        <v>2</v>
      </c>
      <c r="R18" s="341">
        <v>3</v>
      </c>
      <c r="S18" s="310"/>
      <c r="T18" s="308"/>
      <c r="U18" s="308"/>
      <c r="V18" s="308"/>
      <c r="W18" s="332" t="str">
        <f>IF(COUNTIF(tblSeverityAnalysis[[#This Row],[CCCM]:[WASH]], 1)=0, "", COUNTIF(tblSeverityAnalysis[[#This Row],[CCCM]:[WASH]], 1))</f>
        <v/>
      </c>
      <c r="X18" s="333">
        <f>IF(COUNTIF(tblSeverityAnalysis[[#This Row],[CCCM]:[WASH]], 2)=0, "", COUNTIF(tblSeverityAnalysis[[#This Row],[CCCM]:[WASH]], 2))</f>
        <v>3</v>
      </c>
      <c r="Y18" s="333">
        <f>IF(COUNTIF(tblSeverityAnalysis[[#This Row],[CCCM]:[WASH]], 3)=0, "", COUNTIF(tblSeverityAnalysis[[#This Row],[CCCM]:[WASH]], 3))</f>
        <v>4</v>
      </c>
      <c r="Z18" s="333">
        <f>IF(COUNTIF(tblSeverityAnalysis[[#This Row],[CCCM]:[WASH]], 4)=0, "", COUNTIF(tblSeverityAnalysis[[#This Row],[CCCM]:[WASH]], 4))</f>
        <v>1</v>
      </c>
      <c r="AA18" s="334" t="str">
        <f>IF(COUNTIF(tblSeverityAnalysis[[#This Row],[CCCM]:[WASH]], 5)=0, "", COUNTIF(tblSeverityAnalysis[[#This Row],[CCCM]:[WASH]], 5))</f>
        <v/>
      </c>
      <c r="AB18" s="60" cm="1">
        <f t="array" ref="AB1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8"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8" s="33">
        <f>IFERROR(IF(INDEX(tblSeverityReference[Malnutrition Severity],MATCH(tblSeverityAnalysis[[#This Row],[ID]], tblSeverityReference[ID], 0))= "", "",INDEX(tblSeverityReference[Malnutrition Severity],MATCH(tblSeverityAnalysis[[#This Row],[ID]], tblSeverityReference[ID], 0)) ), "")</f>
        <v>2</v>
      </c>
      <c r="AE18" s="347">
        <f>IFERROR(IF(INDEX(tblSeverityReference[Epidemic Severity],MATCH(tblSeverityAnalysis[[#This Row],[ID]], tblSeverityReference[ID], 0))= "", "",INDEX(tblSeverityReference[Epidemic Severity],MATCH(tblSeverityAnalysis[[#This Row],[ID]], tblSeverityReference[ID], 0)) ), "")</f>
        <v>3</v>
      </c>
      <c r="AF18" s="310" t="str">
        <f>IFERROR(IF(INDEX(tblSeverityReference[Coping Strategy Severity],MATCH(tblSeverityAnalysis[[#This Row],[ID]], tblSeverityReference[ID], 0))= "", "",INDEX(tblSeverityReference[Coping Strategy Severity],MATCH(tblSeverityAnalysis[[#This Row],[ID]], tblSeverityReference[ID], 0)) ), "")</f>
        <v/>
      </c>
      <c r="AG18" s="108">
        <f>IFERROR(IF(INDEX(tblSeverityReference[HR/IHL Violation],MATCH(tblSeverityAnalysis[[#This Row],[ID]], tblSeverityReference[ID], 0))= "", "",INDEX(tblSeverityReference[HR/IHL Violation],MATCH(tblSeverityAnalysis[[#This Row],[ID]], tblSeverityReference[ID], 0)) ), "")</f>
        <v>3</v>
      </c>
      <c r="AH18" s="82">
        <f>IFERROR(AVERAGE(tblSeverityAnalysis[[#This Row],[CCCM]:[WASH]]), "")</f>
        <v>2.75</v>
      </c>
      <c r="AI18" s="27">
        <f>IF(SUM(tblSeverityAnalysis[[#This Row],[CCCM]:[WASH]])=0, "", MAX(tblSeverityAnalysis[[#This Row],[CCCM]:[WASH]]))</f>
        <v>4</v>
      </c>
      <c r="AJ18" s="335" t="str" cm="1">
        <f t="array" ref="AJ18">IFERROR(IF(tblSeverityAnalysis[[#This Row],[Highest Severity]]="", "", _xlfn.TEXTJOIN(CHAR(10), TRUE, IF(tblSeverityAnalysis[[#This Row],[CCCM]:[WASH]]=tblSeverityAnalysis[[#This Row],[Highest Severity]], tblSeverityAnalysis[[#Headers],[CCCM]:[WASH]], ""), "")), "")</f>
        <v>CCCM</v>
      </c>
      <c r="AK18" s="27" cm="1">
        <f t="array" ref="AK18">IFERROR(MAX(_xlfn._xlws.FILTER(tblSeverityAnalysis[[#This Row],[CCCM]:[WASH]], tblSeverityAnalysis[[#This Row],[CCCM]:[WASH]]&lt;tblSeverityAnalysis[[#This Row],[Highest Severity]])), "")</f>
        <v>3</v>
      </c>
      <c r="AL18" s="324" t="str" cm="1">
        <f t="array" ref="AL18">IFERROR(IF(tblSeverityAnalysis[[#This Row],[2nd Highest Severity]]="", "", _xlfn.TEXTJOIN(CHAR(10), TRUE, IF(tblSeverityAnalysis[[#This Row],[CCCM]:[WASH]]=tblSeverityAnalysis[[#This Row],[2nd Highest Severity]], tblSeverityAnalysis[[#Headers],[CCCM]:[WASH]], ""), "")), "")</f>
        <v>Education
Food Security
Health
WASH</v>
      </c>
      <c r="AM18" s="132" t="str">
        <f>IFERROR(IF(AND(tblSeverityAnalysis[[#This Row],[5]] &lt;&gt; "", tblSeverityAnalysis[[#This Row],[5]]&gt;=sectors_sev_5), "Flagged", ""), "")</f>
        <v/>
      </c>
      <c r="AN18" s="133" t="str">
        <f>IFERROR(IF(AND(tblSeverityAnalysis[[#This Row],[Preliminary Intersectoral Severity based on overlap of sectoral deprivations]]=4, SUM(tblSeverityAnalysis[[#This Row],[ 4 ]:[5]])&gt;=sectors_sev_4), "Flagged", ""), "")</f>
        <v/>
      </c>
      <c r="AO18" s="133" t="str" cm="1">
        <f t="array" ref="AO1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8" s="337"/>
      <c r="AR18" s="338"/>
      <c r="AS18" s="337"/>
      <c r="AT18" s="353">
        <f>COUNTIF(tblSeverityAnalysis[[#This Row],[1 sector in severity phase 5 '[modify the threshold']]:[Manual Flag]], "Flagged")</f>
        <v>0</v>
      </c>
      <c r="AU18" s="339">
        <f>tblSeverityAnalysis[[#This Row],[Preliminary Intersectoral Severity based on overlap of sectoral deprivations]]</f>
        <v>3</v>
      </c>
      <c r="AV18" s="340"/>
    </row>
    <row r="19" spans="1:48" ht="36.950000000000003" hidden="1">
      <c r="A1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Global_PopulationHT0135</v>
      </c>
      <c r="B19" s="39" t="s">
        <v>152</v>
      </c>
      <c r="C19" s="331" t="s">
        <v>153</v>
      </c>
      <c r="D19" s="331" t="s">
        <v>187</v>
      </c>
      <c r="E19" s="34" t="s">
        <v>188</v>
      </c>
      <c r="F19" s="34"/>
      <c r="G19" s="34"/>
      <c r="H19" s="357"/>
      <c r="I19" s="354">
        <v>54717</v>
      </c>
      <c r="J19" s="96" t="s">
        <v>156</v>
      </c>
      <c r="K19" s="305">
        <v>0</v>
      </c>
      <c r="L19" s="308">
        <v>3</v>
      </c>
      <c r="M19" s="308">
        <v>3</v>
      </c>
      <c r="N19" s="308">
        <v>3</v>
      </c>
      <c r="O19" s="308">
        <v>2</v>
      </c>
      <c r="P19" s="308">
        <v>2</v>
      </c>
      <c r="Q19" s="309">
        <v>4</v>
      </c>
      <c r="R19" s="341">
        <v>2</v>
      </c>
      <c r="S19" s="310"/>
      <c r="T19" s="308"/>
      <c r="U19" s="308"/>
      <c r="V19" s="308"/>
      <c r="W19" s="332" t="str">
        <f>IF(COUNTIF(tblSeverityAnalysis[[#This Row],[CCCM]:[WASH]], 1)=0, "", COUNTIF(tblSeverityAnalysis[[#This Row],[CCCM]:[WASH]], 1))</f>
        <v/>
      </c>
      <c r="X19" s="333">
        <f>IF(COUNTIF(tblSeverityAnalysis[[#This Row],[CCCM]:[WASH]], 2)=0, "", COUNTIF(tblSeverityAnalysis[[#This Row],[CCCM]:[WASH]], 2))</f>
        <v>3</v>
      </c>
      <c r="Y19" s="333">
        <f>IF(COUNTIF(tblSeverityAnalysis[[#This Row],[CCCM]:[WASH]], 3)=0, "", COUNTIF(tblSeverityAnalysis[[#This Row],[CCCM]:[WASH]], 3))</f>
        <v>3</v>
      </c>
      <c r="Z19" s="333">
        <f>IF(COUNTIF(tblSeverityAnalysis[[#This Row],[CCCM]:[WASH]], 4)=0, "", COUNTIF(tblSeverityAnalysis[[#This Row],[CCCM]:[WASH]], 4))</f>
        <v>1</v>
      </c>
      <c r="AA19" s="334" t="str">
        <f>IF(COUNTIF(tblSeverityAnalysis[[#This Row],[CCCM]:[WASH]], 5)=0, "", COUNTIF(tblSeverityAnalysis[[#This Row],[CCCM]:[WASH]], 5))</f>
        <v/>
      </c>
      <c r="AB19" s="60" cm="1">
        <f t="array" ref="AB1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9"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9" s="33">
        <f>IFERROR(IF(INDEX(tblSeverityReference[Malnutrition Severity],MATCH(tblSeverityAnalysis[[#This Row],[ID]], tblSeverityReference[ID], 0))= "", "",INDEX(tblSeverityReference[Malnutrition Severity],MATCH(tblSeverityAnalysis[[#This Row],[ID]], tblSeverityReference[ID], 0)) ), "")</f>
        <v>3</v>
      </c>
      <c r="AE19" s="347">
        <f>IFERROR(IF(INDEX(tblSeverityReference[Epidemic Severity],MATCH(tblSeverityAnalysis[[#This Row],[ID]], tblSeverityReference[ID], 0))= "", "",INDEX(tblSeverityReference[Epidemic Severity],MATCH(tblSeverityAnalysis[[#This Row],[ID]], tblSeverityReference[ID], 0)) ), "")</f>
        <v>1</v>
      </c>
      <c r="AF19" s="310" t="str">
        <f>IFERROR(IF(INDEX(tblSeverityReference[Coping Strategy Severity],MATCH(tblSeverityAnalysis[[#This Row],[ID]], tblSeverityReference[ID], 0))= "", "",INDEX(tblSeverityReference[Coping Strategy Severity],MATCH(tblSeverityAnalysis[[#This Row],[ID]], tblSeverityReference[ID], 0)) ), "")</f>
        <v/>
      </c>
      <c r="AG19" s="348">
        <f>IFERROR(IF(INDEX(tblSeverityReference[HR/IHL Violation],MATCH(tblSeverityAnalysis[[#This Row],[ID]], tblSeverityReference[ID], 0))= "", "",INDEX(tblSeverityReference[HR/IHL Violation],MATCH(tblSeverityAnalysis[[#This Row],[ID]], tblSeverityReference[ID], 0)) ), "")</f>
        <v>3</v>
      </c>
      <c r="AH19" s="82">
        <f>IFERROR(AVERAGE(tblSeverityAnalysis[[#This Row],[CCCM]:[WASH]]), "")</f>
        <v>2.375</v>
      </c>
      <c r="AI19" s="27">
        <f>IF(SUM(tblSeverityAnalysis[[#This Row],[CCCM]:[WASH]])=0, "", MAX(tblSeverityAnalysis[[#This Row],[CCCM]:[WASH]]))</f>
        <v>4</v>
      </c>
      <c r="AJ19" s="335" t="str" cm="1">
        <f t="array" ref="AJ19">IFERROR(IF(tblSeverityAnalysis[[#This Row],[Highest Severity]]="", "", _xlfn.TEXTJOIN(CHAR(10), TRUE, IF(tblSeverityAnalysis[[#This Row],[CCCM]:[WASH]]=tblSeverityAnalysis[[#This Row],[Highest Severity]], tblSeverityAnalysis[[#Headers],[CCCM]:[WASH]], ""), "")), "")</f>
        <v>Shelter</v>
      </c>
      <c r="AK19" s="27" cm="1">
        <f t="array" ref="AK19">IFERROR(MAX(_xlfn._xlws.FILTER(tblSeverityAnalysis[[#This Row],[CCCM]:[WASH]], tblSeverityAnalysis[[#This Row],[CCCM]:[WASH]]&lt;tblSeverityAnalysis[[#This Row],[Highest Severity]])), "")</f>
        <v>3</v>
      </c>
      <c r="AL19" s="324" t="str" cm="1">
        <f t="array" ref="AL19">IFERROR(IF(tblSeverityAnalysis[[#This Row],[2nd Highest Severity]]="", "", _xlfn.TEXTJOIN(CHAR(10), TRUE, IF(tblSeverityAnalysis[[#This Row],[CCCM]:[WASH]]=tblSeverityAnalysis[[#This Row],[2nd Highest Severity]], tblSeverityAnalysis[[#Headers],[CCCM]:[WASH]], ""), "")), "")</f>
        <v>Education
Nutrition
Food Security</v>
      </c>
      <c r="AM19" s="132" t="str">
        <f>IFERROR(IF(AND(tblSeverityAnalysis[[#This Row],[5]] &lt;&gt; "", tblSeverityAnalysis[[#This Row],[5]]&gt;=sectors_sev_5), "Flagged", ""), "")</f>
        <v/>
      </c>
      <c r="AN19" s="133" t="str">
        <f>IFERROR(IF(AND(tblSeverityAnalysis[[#This Row],[Preliminary Intersectoral Severity based on overlap of sectoral deprivations]]=4, SUM(tblSeverityAnalysis[[#This Row],[ 4 ]:[5]])&gt;=sectors_sev_4), "Flagged", ""), "")</f>
        <v/>
      </c>
      <c r="AO19" s="133" t="str" cm="1">
        <f t="array" ref="AO1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9" s="337"/>
      <c r="AR19" s="338"/>
      <c r="AS19" s="337"/>
      <c r="AT19" s="353">
        <f>COUNTIF(tblSeverityAnalysis[[#This Row],[1 sector in severity phase 5 '[modify the threshold']]:[Manual Flag]], "Flagged")</f>
        <v>1</v>
      </c>
      <c r="AU19" s="339">
        <f>tblSeverityAnalysis[[#This Row],[Preliminary Intersectoral Severity based on overlap of sectoral deprivations]]</f>
        <v>3</v>
      </c>
      <c r="AV19" s="340"/>
    </row>
    <row r="20" spans="1:48" ht="61.5" hidden="1">
      <c r="A2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Global_PopulationHT0141</v>
      </c>
      <c r="B20" s="39" t="s">
        <v>152</v>
      </c>
      <c r="C20" s="331" t="s">
        <v>153</v>
      </c>
      <c r="D20" s="331" t="s">
        <v>189</v>
      </c>
      <c r="E20" s="34" t="s">
        <v>190</v>
      </c>
      <c r="F20" s="34"/>
      <c r="G20" s="34"/>
      <c r="H20" s="358"/>
      <c r="I20" s="354">
        <v>142752</v>
      </c>
      <c r="J20" s="96" t="s">
        <v>156</v>
      </c>
      <c r="K20" s="305">
        <v>3</v>
      </c>
      <c r="L20" s="308">
        <v>3</v>
      </c>
      <c r="M20" s="308">
        <v>2</v>
      </c>
      <c r="N20" s="308">
        <v>3</v>
      </c>
      <c r="O20" s="308">
        <v>3</v>
      </c>
      <c r="P20" s="308">
        <v>3</v>
      </c>
      <c r="Q20" s="309">
        <v>2</v>
      </c>
      <c r="R20" s="341">
        <v>2</v>
      </c>
      <c r="S20" s="310"/>
      <c r="T20" s="308"/>
      <c r="U20" s="308"/>
      <c r="V20" s="308"/>
      <c r="W20" s="332" t="str">
        <f>IF(COUNTIF(tblSeverityAnalysis[[#This Row],[CCCM]:[WASH]], 1)=0, "", COUNTIF(tblSeverityAnalysis[[#This Row],[CCCM]:[WASH]], 1))</f>
        <v/>
      </c>
      <c r="X20" s="333">
        <f>IF(COUNTIF(tblSeverityAnalysis[[#This Row],[CCCM]:[WASH]], 2)=0, "", COUNTIF(tblSeverityAnalysis[[#This Row],[CCCM]:[WASH]], 2))</f>
        <v>3</v>
      </c>
      <c r="Y20" s="333">
        <f>IF(COUNTIF(tblSeverityAnalysis[[#This Row],[CCCM]:[WASH]], 3)=0, "", COUNTIF(tblSeverityAnalysis[[#This Row],[CCCM]:[WASH]], 3))</f>
        <v>5</v>
      </c>
      <c r="Z20" s="333" t="str">
        <f>IF(COUNTIF(tblSeverityAnalysis[[#This Row],[CCCM]:[WASH]], 4)=0, "", COUNTIF(tblSeverityAnalysis[[#This Row],[CCCM]:[WASH]], 4))</f>
        <v/>
      </c>
      <c r="AA20" s="334" t="str">
        <f>IF(COUNTIF(tblSeverityAnalysis[[#This Row],[CCCM]:[WASH]], 5)=0, "", COUNTIF(tblSeverityAnalysis[[#This Row],[CCCM]:[WASH]], 5))</f>
        <v/>
      </c>
      <c r="AB20" s="60" cm="1">
        <f t="array" ref="AB2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0"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20" s="33">
        <f>IFERROR(IF(INDEX(tblSeverityReference[Malnutrition Severity],MATCH(tblSeverityAnalysis[[#This Row],[ID]], tblSeverityReference[ID], 0))= "", "",INDEX(tblSeverityReference[Malnutrition Severity],MATCH(tblSeverityAnalysis[[#This Row],[ID]], tblSeverityReference[ID], 0)) ), "")</f>
        <v>2</v>
      </c>
      <c r="AE20" s="347">
        <f>IFERROR(IF(INDEX(tblSeverityReference[Epidemic Severity],MATCH(tblSeverityAnalysis[[#This Row],[ID]], tblSeverityReference[ID], 0))= "", "",INDEX(tblSeverityReference[Epidemic Severity],MATCH(tblSeverityAnalysis[[#This Row],[ID]], tblSeverityReference[ID], 0)) ), "")</f>
        <v>4</v>
      </c>
      <c r="AF20" s="310" t="str">
        <f>IFERROR(IF(INDEX(tblSeverityReference[Coping Strategy Severity],MATCH(tblSeverityAnalysis[[#This Row],[ID]], tblSeverityReference[ID], 0))= "", "",INDEX(tblSeverityReference[Coping Strategy Severity],MATCH(tblSeverityAnalysis[[#This Row],[ID]], tblSeverityReference[ID], 0)) ), "")</f>
        <v/>
      </c>
      <c r="AG20" s="108">
        <f>IFERROR(IF(INDEX(tblSeverityReference[HR/IHL Violation],MATCH(tblSeverityAnalysis[[#This Row],[ID]], tblSeverityReference[ID], 0))= "", "",INDEX(tblSeverityReference[HR/IHL Violation],MATCH(tblSeverityAnalysis[[#This Row],[ID]], tblSeverityReference[ID], 0)) ), "")</f>
        <v>3</v>
      </c>
      <c r="AH20" s="82">
        <f>IFERROR(AVERAGE(tblSeverityAnalysis[[#This Row],[CCCM]:[WASH]]), "")</f>
        <v>2.625</v>
      </c>
      <c r="AI20" s="27">
        <f>IF(SUM(tblSeverityAnalysis[[#This Row],[CCCM]:[WASH]])=0, "", MAX(tblSeverityAnalysis[[#This Row],[CCCM]:[WASH]]))</f>
        <v>3</v>
      </c>
      <c r="AJ20" s="335" t="str" cm="1">
        <f t="array" ref="AJ20">IFERROR(IF(tblSeverityAnalysis[[#This Row],[Highest Severity]]="", "", _xlfn.TEXTJOIN(CHAR(10), TRUE, IF(tblSeverityAnalysis[[#This Row],[CCCM]:[WASH]]=tblSeverityAnalysis[[#This Row],[Highest Severity]], tblSeverityAnalysis[[#Headers],[CCCM]:[WASH]], ""), "")), "")</f>
        <v>CCCM
Education
Food Security
Health
Protection</v>
      </c>
      <c r="AK20" s="27" cm="1">
        <f t="array" ref="AK20">IFERROR(MAX(_xlfn._xlws.FILTER(tblSeverityAnalysis[[#This Row],[CCCM]:[WASH]], tblSeverityAnalysis[[#This Row],[CCCM]:[WASH]]&lt;tblSeverityAnalysis[[#This Row],[Highest Severity]])), "")</f>
        <v>2</v>
      </c>
      <c r="AL20" s="324" t="str" cm="1">
        <f t="array" ref="AL20">IFERROR(IF(tblSeverityAnalysis[[#This Row],[2nd Highest Severity]]="", "", _xlfn.TEXTJOIN(CHAR(10), TRUE, IF(tblSeverityAnalysis[[#This Row],[CCCM]:[WASH]]=tblSeverityAnalysis[[#This Row],[2nd Highest Severity]], tblSeverityAnalysis[[#Headers],[CCCM]:[WASH]], ""), "")), "")</f>
        <v>Nutrition
Shelter
WASH</v>
      </c>
      <c r="AM20" s="132" t="str">
        <f>IFERROR(IF(AND(tblSeverityAnalysis[[#This Row],[5]] &lt;&gt; "", tblSeverityAnalysis[[#This Row],[5]]&gt;=sectors_sev_5), "Flagged", ""), "")</f>
        <v/>
      </c>
      <c r="AN20" s="133" t="str">
        <f>IFERROR(IF(AND(tblSeverityAnalysis[[#This Row],[Preliminary Intersectoral Severity based on overlap of sectoral deprivations]]=4, SUM(tblSeverityAnalysis[[#This Row],[ 4 ]:[5]])&gt;=sectors_sev_4), "Flagged", ""), "")</f>
        <v/>
      </c>
      <c r="AO20" s="133" t="str" cm="1">
        <f t="array" ref="AO2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0" s="337"/>
      <c r="AR20" s="338"/>
      <c r="AS20" s="337"/>
      <c r="AT20" s="353">
        <f>COUNTIF(tblSeverityAnalysis[[#This Row],[1 sector in severity phase 5 '[modify the threshold']]:[Manual Flag]], "Flagged")</f>
        <v>2</v>
      </c>
      <c r="AU20" s="339">
        <f>tblSeverityAnalysis[[#This Row],[Preliminary Intersectoral Severity based on overlap of sectoral deprivations]]</f>
        <v>3</v>
      </c>
      <c r="AV20" s="340"/>
    </row>
    <row r="21" spans="1:48" ht="61.5" hidden="1">
      <c r="A2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Global_PopulationHT0142</v>
      </c>
      <c r="B21" s="39" t="s">
        <v>152</v>
      </c>
      <c r="C21" s="331" t="s">
        <v>153</v>
      </c>
      <c r="D21" s="331" t="s">
        <v>191</v>
      </c>
      <c r="E21" s="34" t="s">
        <v>192</v>
      </c>
      <c r="F21" s="34"/>
      <c r="G21" s="34"/>
      <c r="H21" s="357"/>
      <c r="I21" s="354">
        <v>65302</v>
      </c>
      <c r="J21" s="96" t="s">
        <v>156</v>
      </c>
      <c r="K21" s="305">
        <v>4</v>
      </c>
      <c r="L21" s="308">
        <v>3</v>
      </c>
      <c r="M21" s="308">
        <v>3</v>
      </c>
      <c r="N21" s="308">
        <v>3</v>
      </c>
      <c r="O21" s="308">
        <v>4</v>
      </c>
      <c r="P21" s="308">
        <v>4</v>
      </c>
      <c r="Q21" s="309">
        <v>3</v>
      </c>
      <c r="R21" s="341">
        <v>3</v>
      </c>
      <c r="S21" s="310"/>
      <c r="T21" s="308"/>
      <c r="U21" s="308"/>
      <c r="V21" s="308"/>
      <c r="W21" s="332" t="str">
        <f>IF(COUNTIF(tblSeverityAnalysis[[#This Row],[CCCM]:[WASH]], 1)=0, "", COUNTIF(tblSeverityAnalysis[[#This Row],[CCCM]:[WASH]], 1))</f>
        <v/>
      </c>
      <c r="X21" s="333" t="str">
        <f>IF(COUNTIF(tblSeverityAnalysis[[#This Row],[CCCM]:[WASH]], 2)=0, "", COUNTIF(tblSeverityAnalysis[[#This Row],[CCCM]:[WASH]], 2))</f>
        <v/>
      </c>
      <c r="Y21" s="333">
        <f>IF(COUNTIF(tblSeverityAnalysis[[#This Row],[CCCM]:[WASH]], 3)=0, "", COUNTIF(tblSeverityAnalysis[[#This Row],[CCCM]:[WASH]], 3))</f>
        <v>5</v>
      </c>
      <c r="Z21" s="333">
        <f>IF(COUNTIF(tblSeverityAnalysis[[#This Row],[CCCM]:[WASH]], 4)=0, "", COUNTIF(tblSeverityAnalysis[[#This Row],[CCCM]:[WASH]], 4))</f>
        <v>3</v>
      </c>
      <c r="AA21" s="334" t="str">
        <f>IF(COUNTIF(tblSeverityAnalysis[[#This Row],[CCCM]:[WASH]], 5)=0, "", COUNTIF(tblSeverityAnalysis[[#This Row],[CCCM]:[WASH]], 5))</f>
        <v/>
      </c>
      <c r="AB21" s="60" cm="1">
        <f t="array" ref="AB2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1"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21" s="33">
        <f>IFERROR(IF(INDEX(tblSeverityReference[Malnutrition Severity],MATCH(tblSeverityAnalysis[[#This Row],[ID]], tblSeverityReference[ID], 0))= "", "",INDEX(tblSeverityReference[Malnutrition Severity],MATCH(tblSeverityAnalysis[[#This Row],[ID]], tblSeverityReference[ID], 0)) ), "")</f>
        <v>3</v>
      </c>
      <c r="AE21" s="347">
        <f>IFERROR(IF(INDEX(tblSeverityReference[Epidemic Severity],MATCH(tblSeverityAnalysis[[#This Row],[ID]], tblSeverityReference[ID], 0))= "", "",INDEX(tblSeverityReference[Epidemic Severity],MATCH(tblSeverityAnalysis[[#This Row],[ID]], tblSeverityReference[ID], 0)) ), "")</f>
        <v>3</v>
      </c>
      <c r="AF21" s="310" t="str">
        <f>IFERROR(IF(INDEX(tblSeverityReference[Coping Strategy Severity],MATCH(tblSeverityAnalysis[[#This Row],[ID]], tblSeverityReference[ID], 0))= "", "",INDEX(tblSeverityReference[Coping Strategy Severity],MATCH(tblSeverityAnalysis[[#This Row],[ID]], tblSeverityReference[ID], 0)) ), "")</f>
        <v/>
      </c>
      <c r="AG21" s="348">
        <f>IFERROR(IF(INDEX(tblSeverityReference[HR/IHL Violation],MATCH(tblSeverityAnalysis[[#This Row],[ID]], tblSeverityReference[ID], 0))= "", "",INDEX(tblSeverityReference[HR/IHL Violation],MATCH(tblSeverityAnalysis[[#This Row],[ID]], tblSeverityReference[ID], 0)) ), "")</f>
        <v>3</v>
      </c>
      <c r="AH21" s="82">
        <f>IFERROR(AVERAGE(tblSeverityAnalysis[[#This Row],[CCCM]:[WASH]]), "")</f>
        <v>3.375</v>
      </c>
      <c r="AI21" s="27">
        <f>IF(SUM(tblSeverityAnalysis[[#This Row],[CCCM]:[WASH]])=0, "", MAX(tblSeverityAnalysis[[#This Row],[CCCM]:[WASH]]))</f>
        <v>4</v>
      </c>
      <c r="AJ21" s="335" t="str" cm="1">
        <f t="array" ref="AJ21">IFERROR(IF(tblSeverityAnalysis[[#This Row],[Highest Severity]]="", "", _xlfn.TEXTJOIN(CHAR(10), TRUE, IF(tblSeverityAnalysis[[#This Row],[CCCM]:[WASH]]=tblSeverityAnalysis[[#This Row],[Highest Severity]], tblSeverityAnalysis[[#Headers],[CCCM]:[WASH]], ""), "")), "")</f>
        <v>CCCM
Health
Protection</v>
      </c>
      <c r="AK21" s="27" cm="1">
        <f t="array" ref="AK21">IFERROR(MAX(_xlfn._xlws.FILTER(tblSeverityAnalysis[[#This Row],[CCCM]:[WASH]], tblSeverityAnalysis[[#This Row],[CCCM]:[WASH]]&lt;tblSeverityAnalysis[[#This Row],[Highest Severity]])), "")</f>
        <v>3</v>
      </c>
      <c r="AL21" s="324" t="str" cm="1">
        <f t="array" ref="AL21">IFERROR(IF(tblSeverityAnalysis[[#This Row],[2nd Highest Severity]]="", "", _xlfn.TEXTJOIN(CHAR(10), TRUE, IF(tblSeverityAnalysis[[#This Row],[CCCM]:[WASH]]=tblSeverityAnalysis[[#This Row],[2nd Highest Severity]], tblSeverityAnalysis[[#Headers],[CCCM]:[WASH]], ""), "")), "")</f>
        <v>Education
Nutrition
Food Security
Shelter
WASH</v>
      </c>
      <c r="AM21" s="132" t="str">
        <f>IFERROR(IF(AND(tblSeverityAnalysis[[#This Row],[5]] &lt;&gt; "", tblSeverityAnalysis[[#This Row],[5]]&gt;=sectors_sev_5), "Flagged", ""), "")</f>
        <v/>
      </c>
      <c r="AN21" s="133" t="str">
        <f>IFERROR(IF(AND(tblSeverityAnalysis[[#This Row],[Preliminary Intersectoral Severity based on overlap of sectoral deprivations]]=4, SUM(tblSeverityAnalysis[[#This Row],[ 4 ]:[5]])&gt;=sectors_sev_4), "Flagged", ""), "")</f>
        <v/>
      </c>
      <c r="AO21" s="133" t="str" cm="1">
        <f t="array" ref="AO2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1" s="337"/>
      <c r="AR21" s="338"/>
      <c r="AS21" s="337"/>
      <c r="AT21" s="353">
        <f>COUNTIF(tblSeverityAnalysis[[#This Row],[1 sector in severity phase 5 '[modify the threshold']]:[Manual Flag]], "Flagged")</f>
        <v>1</v>
      </c>
      <c r="AU21" s="339">
        <v>4</v>
      </c>
      <c r="AV21" s="340" t="s">
        <v>555</v>
      </c>
    </row>
    <row r="22" spans="1:48" ht="36.950000000000003" hidden="1">
      <c r="A2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Global_PopulationHT0151</v>
      </c>
      <c r="B22" s="39" t="s">
        <v>152</v>
      </c>
      <c r="C22" s="331" t="s">
        <v>153</v>
      </c>
      <c r="D22" s="331" t="s">
        <v>193</v>
      </c>
      <c r="E22" s="34" t="s">
        <v>194</v>
      </c>
      <c r="F22" s="34"/>
      <c r="G22" s="34"/>
      <c r="H22" s="358"/>
      <c r="I22" s="354">
        <v>70156</v>
      </c>
      <c r="J22" s="96" t="s">
        <v>156</v>
      </c>
      <c r="K22" s="305">
        <v>1</v>
      </c>
      <c r="L22" s="308">
        <v>3</v>
      </c>
      <c r="M22" s="308">
        <v>2</v>
      </c>
      <c r="N22" s="308">
        <v>4</v>
      </c>
      <c r="O22" s="308">
        <v>3</v>
      </c>
      <c r="P22" s="308">
        <v>2</v>
      </c>
      <c r="Q22" s="309">
        <v>2</v>
      </c>
      <c r="R22" s="341">
        <v>3</v>
      </c>
      <c r="S22" s="310"/>
      <c r="T22" s="308"/>
      <c r="U22" s="308"/>
      <c r="V22" s="308"/>
      <c r="W22" s="332">
        <f>IF(COUNTIF(tblSeverityAnalysis[[#This Row],[CCCM]:[WASH]], 1)=0, "", COUNTIF(tblSeverityAnalysis[[#This Row],[CCCM]:[WASH]], 1))</f>
        <v>1</v>
      </c>
      <c r="X22" s="333">
        <f>IF(COUNTIF(tblSeverityAnalysis[[#This Row],[CCCM]:[WASH]], 2)=0, "", COUNTIF(tblSeverityAnalysis[[#This Row],[CCCM]:[WASH]], 2))</f>
        <v>3</v>
      </c>
      <c r="Y22" s="333">
        <f>IF(COUNTIF(tblSeverityAnalysis[[#This Row],[CCCM]:[WASH]], 3)=0, "", COUNTIF(tblSeverityAnalysis[[#This Row],[CCCM]:[WASH]], 3))</f>
        <v>3</v>
      </c>
      <c r="Z22" s="333">
        <f>IF(COUNTIF(tblSeverityAnalysis[[#This Row],[CCCM]:[WASH]], 4)=0, "", COUNTIF(tblSeverityAnalysis[[#This Row],[CCCM]:[WASH]], 4))</f>
        <v>1</v>
      </c>
      <c r="AA22" s="334" t="str">
        <f>IF(COUNTIF(tblSeverityAnalysis[[#This Row],[CCCM]:[WASH]], 5)=0, "", COUNTIF(tblSeverityAnalysis[[#This Row],[CCCM]:[WASH]], 5))</f>
        <v/>
      </c>
      <c r="AB22" s="60" cm="1">
        <f t="array" ref="AB2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2"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22" s="33">
        <f>IFERROR(IF(INDEX(tblSeverityReference[Malnutrition Severity],MATCH(tblSeverityAnalysis[[#This Row],[ID]], tblSeverityReference[ID], 0))= "", "",INDEX(tblSeverityReference[Malnutrition Severity],MATCH(tblSeverityAnalysis[[#This Row],[ID]], tblSeverityReference[ID], 0)) ), "")</f>
        <v>2</v>
      </c>
      <c r="AE22" s="347">
        <f>IFERROR(IF(INDEX(tblSeverityReference[Epidemic Severity],MATCH(tblSeverityAnalysis[[#This Row],[ID]], tblSeverityReference[ID], 0))= "", "",INDEX(tblSeverityReference[Epidemic Severity],MATCH(tblSeverityAnalysis[[#This Row],[ID]], tblSeverityReference[ID], 0)) ), "")</f>
        <v>1</v>
      </c>
      <c r="AF22" s="310" t="str">
        <f>IFERROR(IF(INDEX(tblSeverityReference[Coping Strategy Severity],MATCH(tblSeverityAnalysis[[#This Row],[ID]], tblSeverityReference[ID], 0))= "", "",INDEX(tblSeverityReference[Coping Strategy Severity],MATCH(tblSeverityAnalysis[[#This Row],[ID]], tblSeverityReference[ID], 0)) ), "")</f>
        <v/>
      </c>
      <c r="AG22" s="108">
        <f>IFERROR(IF(INDEX(tblSeverityReference[HR/IHL Violation],MATCH(tblSeverityAnalysis[[#This Row],[ID]], tblSeverityReference[ID], 0))= "", "",INDEX(tblSeverityReference[HR/IHL Violation],MATCH(tblSeverityAnalysis[[#This Row],[ID]], tblSeverityReference[ID], 0)) ), "")</f>
        <v>3</v>
      </c>
      <c r="AH22" s="82">
        <f>IFERROR(AVERAGE(tblSeverityAnalysis[[#This Row],[CCCM]:[WASH]]), "")</f>
        <v>2.5</v>
      </c>
      <c r="AI22" s="27">
        <f>IF(SUM(tblSeverityAnalysis[[#This Row],[CCCM]:[WASH]])=0, "", MAX(tblSeverityAnalysis[[#This Row],[CCCM]:[WASH]]))</f>
        <v>4</v>
      </c>
      <c r="AJ22" s="335" t="str" cm="1">
        <f t="array" ref="AJ22">IFERROR(IF(tblSeverityAnalysis[[#This Row],[Highest Severity]]="", "", _xlfn.TEXTJOIN(CHAR(10), TRUE, IF(tblSeverityAnalysis[[#This Row],[CCCM]:[WASH]]=tblSeverityAnalysis[[#This Row],[Highest Severity]], tblSeverityAnalysis[[#Headers],[CCCM]:[WASH]], ""), "")), "")</f>
        <v>Food Security</v>
      </c>
      <c r="AK22" s="27" cm="1">
        <f t="array" ref="AK22">IFERROR(MAX(_xlfn._xlws.FILTER(tblSeverityAnalysis[[#This Row],[CCCM]:[WASH]], tblSeverityAnalysis[[#This Row],[CCCM]:[WASH]]&lt;tblSeverityAnalysis[[#This Row],[Highest Severity]])), "")</f>
        <v>3</v>
      </c>
      <c r="AL22" s="324" t="str" cm="1">
        <f t="array" ref="AL22">IFERROR(IF(tblSeverityAnalysis[[#This Row],[2nd Highest Severity]]="", "", _xlfn.TEXTJOIN(CHAR(10), TRUE, IF(tblSeverityAnalysis[[#This Row],[CCCM]:[WASH]]=tblSeverityAnalysis[[#This Row],[2nd Highest Severity]], tblSeverityAnalysis[[#Headers],[CCCM]:[WASH]], ""), "")), "")</f>
        <v>Education
Health
WASH</v>
      </c>
      <c r="AM22" s="132" t="str">
        <f>IFERROR(IF(AND(tblSeverityAnalysis[[#This Row],[5]] &lt;&gt; "", tblSeverityAnalysis[[#This Row],[5]]&gt;=sectors_sev_5), "Flagged", ""), "")</f>
        <v/>
      </c>
      <c r="AN22" s="133" t="str">
        <f>IFERROR(IF(AND(tblSeverityAnalysis[[#This Row],[Preliminary Intersectoral Severity based on overlap of sectoral deprivations]]=4, SUM(tblSeverityAnalysis[[#This Row],[ 4 ]:[5]])&gt;=sectors_sev_4), "Flagged", ""), "")</f>
        <v/>
      </c>
      <c r="AO22" s="133" t="str" cm="1">
        <f t="array" ref="AO2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2" s="337"/>
      <c r="AR22" s="338"/>
      <c r="AS22" s="337"/>
      <c r="AT22" s="353">
        <f>COUNTIF(tblSeverityAnalysis[[#This Row],[1 sector in severity phase 5 '[modify the threshold']]:[Manual Flag]], "Flagged")</f>
        <v>2</v>
      </c>
      <c r="AU22" s="339">
        <f>tblSeverityAnalysis[[#This Row],[Preliminary Intersectoral Severity based on overlap of sectoral deprivations]]</f>
        <v>3</v>
      </c>
      <c r="AV22" s="340"/>
    </row>
    <row r="23" spans="1:48" ht="36.950000000000003" hidden="1">
      <c r="A2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Global_PopulationHT0152</v>
      </c>
      <c r="B23" s="39" t="s">
        <v>152</v>
      </c>
      <c r="C23" s="331" t="s">
        <v>153</v>
      </c>
      <c r="D23" s="331" t="s">
        <v>195</v>
      </c>
      <c r="E23" s="34" t="s">
        <v>196</v>
      </c>
      <c r="F23" s="34"/>
      <c r="G23" s="34"/>
      <c r="H23" s="357"/>
      <c r="I23" s="354">
        <v>26818</v>
      </c>
      <c r="J23" s="96" t="s">
        <v>156</v>
      </c>
      <c r="K23" s="305">
        <v>3</v>
      </c>
      <c r="L23" s="308">
        <v>3</v>
      </c>
      <c r="M23" s="308">
        <v>2</v>
      </c>
      <c r="N23" s="308">
        <v>4</v>
      </c>
      <c r="O23" s="308">
        <v>2</v>
      </c>
      <c r="P23" s="308">
        <v>2</v>
      </c>
      <c r="Q23" s="309">
        <v>2</v>
      </c>
      <c r="R23" s="341">
        <v>3</v>
      </c>
      <c r="S23" s="310"/>
      <c r="T23" s="308"/>
      <c r="U23" s="308"/>
      <c r="V23" s="308"/>
      <c r="W23" s="332" t="str">
        <f>IF(COUNTIF(tblSeverityAnalysis[[#This Row],[CCCM]:[WASH]], 1)=0, "", COUNTIF(tblSeverityAnalysis[[#This Row],[CCCM]:[WASH]], 1))</f>
        <v/>
      </c>
      <c r="X23" s="333">
        <f>IF(COUNTIF(tblSeverityAnalysis[[#This Row],[CCCM]:[WASH]], 2)=0, "", COUNTIF(tblSeverityAnalysis[[#This Row],[CCCM]:[WASH]], 2))</f>
        <v>4</v>
      </c>
      <c r="Y23" s="333">
        <f>IF(COUNTIF(tblSeverityAnalysis[[#This Row],[CCCM]:[WASH]], 3)=0, "", COUNTIF(tblSeverityAnalysis[[#This Row],[CCCM]:[WASH]], 3))</f>
        <v>3</v>
      </c>
      <c r="Z23" s="333">
        <f>IF(COUNTIF(tblSeverityAnalysis[[#This Row],[CCCM]:[WASH]], 4)=0, "", COUNTIF(tblSeverityAnalysis[[#This Row],[CCCM]:[WASH]], 4))</f>
        <v>1</v>
      </c>
      <c r="AA23" s="334" t="str">
        <f>IF(COUNTIF(tblSeverityAnalysis[[#This Row],[CCCM]:[WASH]], 5)=0, "", COUNTIF(tblSeverityAnalysis[[#This Row],[CCCM]:[WASH]], 5))</f>
        <v/>
      </c>
      <c r="AB23" s="60" cm="1">
        <f t="array" ref="AB2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3"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23" s="33">
        <f>IFERROR(IF(INDEX(tblSeverityReference[Malnutrition Severity],MATCH(tblSeverityAnalysis[[#This Row],[ID]], tblSeverityReference[ID], 0))= "", "",INDEX(tblSeverityReference[Malnutrition Severity],MATCH(tblSeverityAnalysis[[#This Row],[ID]], tblSeverityReference[ID], 0)) ), "")</f>
        <v>2</v>
      </c>
      <c r="AE23" s="347">
        <f>IFERROR(IF(INDEX(tblSeverityReference[Epidemic Severity],MATCH(tblSeverityAnalysis[[#This Row],[ID]], tblSeverityReference[ID], 0))= "", "",INDEX(tblSeverityReference[Epidemic Severity],MATCH(tblSeverityAnalysis[[#This Row],[ID]], tblSeverityReference[ID], 0)) ), "")</f>
        <v>1</v>
      </c>
      <c r="AF23" s="310" t="str">
        <f>IFERROR(IF(INDEX(tblSeverityReference[Coping Strategy Severity],MATCH(tblSeverityAnalysis[[#This Row],[ID]], tblSeverityReference[ID], 0))= "", "",INDEX(tblSeverityReference[Coping Strategy Severity],MATCH(tblSeverityAnalysis[[#This Row],[ID]], tblSeverityReference[ID], 0)) ), "")</f>
        <v/>
      </c>
      <c r="AG23" s="348">
        <f>IFERROR(IF(INDEX(tblSeverityReference[HR/IHL Violation],MATCH(tblSeverityAnalysis[[#This Row],[ID]], tblSeverityReference[ID], 0))= "", "",INDEX(tblSeverityReference[HR/IHL Violation],MATCH(tblSeverityAnalysis[[#This Row],[ID]], tblSeverityReference[ID], 0)) ), "")</f>
        <v>3</v>
      </c>
      <c r="AH23" s="82">
        <f>IFERROR(AVERAGE(tblSeverityAnalysis[[#This Row],[CCCM]:[WASH]]), "")</f>
        <v>2.625</v>
      </c>
      <c r="AI23" s="27">
        <f>IF(SUM(tblSeverityAnalysis[[#This Row],[CCCM]:[WASH]])=0, "", MAX(tblSeverityAnalysis[[#This Row],[CCCM]:[WASH]]))</f>
        <v>4</v>
      </c>
      <c r="AJ23" s="335" t="str" cm="1">
        <f t="array" ref="AJ23">IFERROR(IF(tblSeverityAnalysis[[#This Row],[Highest Severity]]="", "", _xlfn.TEXTJOIN(CHAR(10), TRUE, IF(tblSeverityAnalysis[[#This Row],[CCCM]:[WASH]]=tblSeverityAnalysis[[#This Row],[Highest Severity]], tblSeverityAnalysis[[#Headers],[CCCM]:[WASH]], ""), "")), "")</f>
        <v>Food Security</v>
      </c>
      <c r="AK23" s="27" cm="1">
        <f t="array" ref="AK23">IFERROR(MAX(_xlfn._xlws.FILTER(tblSeverityAnalysis[[#This Row],[CCCM]:[WASH]], tblSeverityAnalysis[[#This Row],[CCCM]:[WASH]]&lt;tblSeverityAnalysis[[#This Row],[Highest Severity]])), "")</f>
        <v>3</v>
      </c>
      <c r="AL23" s="324" t="str" cm="1">
        <f t="array" ref="AL23">IFERROR(IF(tblSeverityAnalysis[[#This Row],[2nd Highest Severity]]="", "", _xlfn.TEXTJOIN(CHAR(10), TRUE, IF(tblSeverityAnalysis[[#This Row],[CCCM]:[WASH]]=tblSeverityAnalysis[[#This Row],[2nd Highest Severity]], tblSeverityAnalysis[[#Headers],[CCCM]:[WASH]], ""), "")), "")</f>
        <v>CCCM
Education
WASH</v>
      </c>
      <c r="AM23" s="132" t="str">
        <f>IFERROR(IF(AND(tblSeverityAnalysis[[#This Row],[5]] &lt;&gt; "", tblSeverityAnalysis[[#This Row],[5]]&gt;=sectors_sev_5), "Flagged", ""), "")</f>
        <v/>
      </c>
      <c r="AN23" s="133" t="str">
        <f>IFERROR(IF(AND(tblSeverityAnalysis[[#This Row],[Preliminary Intersectoral Severity based on overlap of sectoral deprivations]]=4, SUM(tblSeverityAnalysis[[#This Row],[ 4 ]:[5]])&gt;=sectors_sev_4), "Flagged", ""), "")</f>
        <v/>
      </c>
      <c r="AO23" s="133" t="str" cm="1">
        <f t="array" ref="AO2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3" s="337"/>
      <c r="AR23" s="338"/>
      <c r="AS23" s="337"/>
      <c r="AT23" s="353">
        <f>COUNTIF(tblSeverityAnalysis[[#This Row],[1 sector in severity phase 5 '[modify the threshold']]:[Manual Flag]], "Flagged")</f>
        <v>2</v>
      </c>
      <c r="AU23" s="339">
        <f>tblSeverityAnalysis[[#This Row],[Preliminary Intersectoral Severity based on overlap of sectoral deprivations]]</f>
        <v>3</v>
      </c>
      <c r="AV23" s="340"/>
    </row>
    <row r="24" spans="1:48" ht="73.900000000000006" hidden="1">
      <c r="A2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Global_PopulationHT0211</v>
      </c>
      <c r="B24" s="39" t="s">
        <v>197</v>
      </c>
      <c r="C24" s="331" t="s">
        <v>198</v>
      </c>
      <c r="D24" s="331" t="s">
        <v>199</v>
      </c>
      <c r="E24" s="34" t="s">
        <v>200</v>
      </c>
      <c r="F24" s="34"/>
      <c r="G24" s="34"/>
      <c r="H24" s="358"/>
      <c r="I24" s="354">
        <v>258099</v>
      </c>
      <c r="J24" s="96" t="s">
        <v>156</v>
      </c>
      <c r="K24" s="305">
        <v>3</v>
      </c>
      <c r="L24" s="504">
        <v>2</v>
      </c>
      <c r="M24" s="308">
        <v>3</v>
      </c>
      <c r="N24" s="308">
        <v>3</v>
      </c>
      <c r="O24" s="308">
        <v>3</v>
      </c>
      <c r="P24" s="308">
        <v>2</v>
      </c>
      <c r="Q24" s="309">
        <v>3</v>
      </c>
      <c r="R24" s="341">
        <v>3</v>
      </c>
      <c r="S24" s="310"/>
      <c r="T24" s="308"/>
      <c r="U24" s="308"/>
      <c r="V24" s="308"/>
      <c r="W24" s="332" t="str">
        <f>IF(COUNTIF(tblSeverityAnalysis[[#This Row],[CCCM]:[WASH]], 1)=0, "", COUNTIF(tblSeverityAnalysis[[#This Row],[CCCM]:[WASH]], 1))</f>
        <v/>
      </c>
      <c r="X24" s="333">
        <f>IF(COUNTIF(tblSeverityAnalysis[[#This Row],[CCCM]:[WASH]], 2)=0, "", COUNTIF(tblSeverityAnalysis[[#This Row],[CCCM]:[WASH]], 2))</f>
        <v>2</v>
      </c>
      <c r="Y24" s="333">
        <f>IF(COUNTIF(tblSeverityAnalysis[[#This Row],[CCCM]:[WASH]], 3)=0, "", COUNTIF(tblSeverityAnalysis[[#This Row],[CCCM]:[WASH]], 3))</f>
        <v>6</v>
      </c>
      <c r="Z24" s="333" t="str">
        <f>IF(COUNTIF(tblSeverityAnalysis[[#This Row],[CCCM]:[WASH]], 4)=0, "", COUNTIF(tblSeverityAnalysis[[#This Row],[CCCM]:[WASH]], 4))</f>
        <v/>
      </c>
      <c r="AA24" s="334" t="str">
        <f>IF(COUNTIF(tblSeverityAnalysis[[#This Row],[CCCM]:[WASH]], 5)=0, "", COUNTIF(tblSeverityAnalysis[[#This Row],[CCCM]:[WASH]], 5))</f>
        <v/>
      </c>
      <c r="AB24" s="60" cm="1">
        <f t="array" ref="AB2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4"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24" s="33">
        <f>IFERROR(IF(INDEX(tblSeverityReference[Malnutrition Severity],MATCH(tblSeverityAnalysis[[#This Row],[ID]], tblSeverityReference[ID], 0))= "", "",INDEX(tblSeverityReference[Malnutrition Severity],MATCH(tblSeverityAnalysis[[#This Row],[ID]], tblSeverityReference[ID], 0)) ), "")</f>
        <v>2</v>
      </c>
      <c r="AE24" s="347">
        <f>IFERROR(IF(INDEX(tblSeverityReference[Epidemic Severity],MATCH(tblSeverityAnalysis[[#This Row],[ID]], tblSeverityReference[ID], 0))= "", "",INDEX(tblSeverityReference[Epidemic Severity],MATCH(tblSeverityAnalysis[[#This Row],[ID]], tblSeverityReference[ID], 0)) ), "")</f>
        <v>3</v>
      </c>
      <c r="AF24" s="310" t="str">
        <f>IFERROR(IF(INDEX(tblSeverityReference[Coping Strategy Severity],MATCH(tblSeverityAnalysis[[#This Row],[ID]], tblSeverityReference[ID], 0))= "", "",INDEX(tblSeverityReference[Coping Strategy Severity],MATCH(tblSeverityAnalysis[[#This Row],[ID]], tblSeverityReference[ID], 0)) ), "")</f>
        <v/>
      </c>
      <c r="AG24" s="108">
        <f>IFERROR(IF(INDEX(tblSeverityReference[HR/IHL Violation],MATCH(tblSeverityAnalysis[[#This Row],[ID]], tblSeverityReference[ID], 0))= "", "",INDEX(tblSeverityReference[HR/IHL Violation],MATCH(tblSeverityAnalysis[[#This Row],[ID]], tblSeverityReference[ID], 0)) ), "")</f>
        <v>3</v>
      </c>
      <c r="AH24" s="82">
        <f>IFERROR(AVERAGE(tblSeverityAnalysis[[#This Row],[CCCM]:[WASH]]), "")</f>
        <v>2.75</v>
      </c>
      <c r="AI24" s="27">
        <f>IF(SUM(tblSeverityAnalysis[[#This Row],[CCCM]:[WASH]])=0, "", MAX(tblSeverityAnalysis[[#This Row],[CCCM]:[WASH]]))</f>
        <v>3</v>
      </c>
      <c r="AJ24" s="335" t="str" cm="1">
        <f t="array" ref="AJ24">IFERROR(IF(tblSeverityAnalysis[[#This Row],[Highest Severity]]="", "", _xlfn.TEXTJOIN(CHAR(10), TRUE, IF(tblSeverityAnalysis[[#This Row],[CCCM]:[WASH]]=tblSeverityAnalysis[[#This Row],[Highest Severity]], tblSeverityAnalysis[[#Headers],[CCCM]:[WASH]], ""), "")), "")</f>
        <v>CCCM
Nutrition
Food Security
Health
Shelter
WASH</v>
      </c>
      <c r="AK24" s="27" cm="1">
        <f t="array" ref="AK24">IFERROR(MAX(_xlfn._xlws.FILTER(tblSeverityAnalysis[[#This Row],[CCCM]:[WASH]], tblSeverityAnalysis[[#This Row],[CCCM]:[WASH]]&lt;tblSeverityAnalysis[[#This Row],[Highest Severity]])), "")</f>
        <v>2</v>
      </c>
      <c r="AL24" s="324" t="str" cm="1">
        <f t="array" ref="AL24">IFERROR(IF(tblSeverityAnalysis[[#This Row],[2nd Highest Severity]]="", "", _xlfn.TEXTJOIN(CHAR(10), TRUE, IF(tblSeverityAnalysis[[#This Row],[CCCM]:[WASH]]=tblSeverityAnalysis[[#This Row],[2nd Highest Severity]], tblSeverityAnalysis[[#Headers],[CCCM]:[WASH]], ""), "")), "")</f>
        <v>Education
Protection</v>
      </c>
      <c r="AM24" s="132" t="str">
        <f>IFERROR(IF(AND(tblSeverityAnalysis[[#This Row],[5]] &lt;&gt; "", tblSeverityAnalysis[[#This Row],[5]]&gt;=sectors_sev_5), "Flagged", ""), "")</f>
        <v/>
      </c>
      <c r="AN24" s="133" t="str">
        <f>IFERROR(IF(AND(tblSeverityAnalysis[[#This Row],[Preliminary Intersectoral Severity based on overlap of sectoral deprivations]]=4, SUM(tblSeverityAnalysis[[#This Row],[ 4 ]:[5]])&gt;=sectors_sev_4), "Flagged", ""), "")</f>
        <v/>
      </c>
      <c r="AO24" s="133" t="str" cm="1">
        <f t="array" ref="AO2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2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4" s="337"/>
      <c r="AR24" s="338"/>
      <c r="AS24" s="337"/>
      <c r="AT24" s="353">
        <f>COUNTIF(tblSeverityAnalysis[[#This Row],[1 sector in severity phase 5 '[modify the threshold']]:[Manual Flag]], "Flagged")</f>
        <v>1</v>
      </c>
      <c r="AU24" s="339">
        <f>tblSeverityAnalysis[[#This Row],[Preliminary Intersectoral Severity based on overlap of sectoral deprivations]]</f>
        <v>3</v>
      </c>
      <c r="AV24" s="340"/>
    </row>
    <row r="25" spans="1:48" ht="61.5" hidden="1">
      <c r="A2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Global_PopulationHT0212</v>
      </c>
      <c r="B25" s="39" t="s">
        <v>197</v>
      </c>
      <c r="C25" s="331" t="s">
        <v>198</v>
      </c>
      <c r="D25" s="331" t="s">
        <v>201</v>
      </c>
      <c r="E25" s="34" t="s">
        <v>202</v>
      </c>
      <c r="F25" s="34"/>
      <c r="G25" s="34"/>
      <c r="H25" s="357"/>
      <c r="I25" s="354">
        <v>92869</v>
      </c>
      <c r="J25" s="96" t="s">
        <v>156</v>
      </c>
      <c r="K25" s="305">
        <v>3</v>
      </c>
      <c r="L25" s="504">
        <v>2</v>
      </c>
      <c r="M25" s="308">
        <v>2</v>
      </c>
      <c r="N25" s="308">
        <v>3</v>
      </c>
      <c r="O25" s="308">
        <v>3</v>
      </c>
      <c r="P25" s="308">
        <v>2</v>
      </c>
      <c r="Q25" s="309">
        <v>2</v>
      </c>
      <c r="R25" s="341">
        <v>2</v>
      </c>
      <c r="S25" s="310"/>
      <c r="T25" s="308"/>
      <c r="U25" s="308"/>
      <c r="V25" s="308"/>
      <c r="W25" s="332" t="str">
        <f>IF(COUNTIF(tblSeverityAnalysis[[#This Row],[CCCM]:[WASH]], 1)=0, "", COUNTIF(tblSeverityAnalysis[[#This Row],[CCCM]:[WASH]], 1))</f>
        <v/>
      </c>
      <c r="X25" s="333">
        <f>IF(COUNTIF(tblSeverityAnalysis[[#This Row],[CCCM]:[WASH]], 2)=0, "", COUNTIF(tblSeverityAnalysis[[#This Row],[CCCM]:[WASH]], 2))</f>
        <v>5</v>
      </c>
      <c r="Y25" s="333">
        <f>IF(COUNTIF(tblSeverityAnalysis[[#This Row],[CCCM]:[WASH]], 3)=0, "", COUNTIF(tblSeverityAnalysis[[#This Row],[CCCM]:[WASH]], 3))</f>
        <v>3</v>
      </c>
      <c r="Z25" s="333" t="str">
        <f>IF(COUNTIF(tblSeverityAnalysis[[#This Row],[CCCM]:[WASH]], 4)=0, "", COUNTIF(tblSeverityAnalysis[[#This Row],[CCCM]:[WASH]], 4))</f>
        <v/>
      </c>
      <c r="AA25" s="334" t="str">
        <f>IF(COUNTIF(tblSeverityAnalysis[[#This Row],[CCCM]:[WASH]], 5)=0, "", COUNTIF(tblSeverityAnalysis[[#This Row],[CCCM]:[WASH]], 5))</f>
        <v/>
      </c>
      <c r="AB25" s="60" cm="1">
        <f t="array" ref="AB2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2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25" s="33">
        <f>IFERROR(IF(INDEX(tblSeverityReference[Malnutrition Severity],MATCH(tblSeverityAnalysis[[#This Row],[ID]], tblSeverityReference[ID], 0))= "", "",INDEX(tblSeverityReference[Malnutrition Severity],MATCH(tblSeverityAnalysis[[#This Row],[ID]], tblSeverityReference[ID], 0)) ), "")</f>
        <v>2</v>
      </c>
      <c r="AE25" s="347">
        <f>IFERROR(IF(INDEX(tblSeverityReference[Epidemic Severity],MATCH(tblSeverityAnalysis[[#This Row],[ID]], tblSeverityReference[ID], 0))= "", "",INDEX(tblSeverityReference[Epidemic Severity],MATCH(tblSeverityAnalysis[[#This Row],[ID]], tblSeverityReference[ID], 0)) ), "")</f>
        <v>3</v>
      </c>
      <c r="AF25" s="310" t="str">
        <f>IFERROR(IF(INDEX(tblSeverityReference[Coping Strategy Severity],MATCH(tblSeverityAnalysis[[#This Row],[ID]], tblSeverityReference[ID], 0))= "", "",INDEX(tblSeverityReference[Coping Strategy Severity],MATCH(tblSeverityAnalysis[[#This Row],[ID]], tblSeverityReference[ID], 0)) ), "")</f>
        <v/>
      </c>
      <c r="AG25" s="348">
        <f>IFERROR(IF(INDEX(tblSeverityReference[HR/IHL Violation],MATCH(tblSeverityAnalysis[[#This Row],[ID]], tblSeverityReference[ID], 0))= "", "",INDEX(tblSeverityReference[HR/IHL Violation],MATCH(tblSeverityAnalysis[[#This Row],[ID]], tblSeverityReference[ID], 0)) ), "")</f>
        <v>2</v>
      </c>
      <c r="AH25" s="82">
        <f>IFERROR(AVERAGE(tblSeverityAnalysis[[#This Row],[CCCM]:[WASH]]), "")</f>
        <v>2.375</v>
      </c>
      <c r="AI25" s="27">
        <f>IF(SUM(tblSeverityAnalysis[[#This Row],[CCCM]:[WASH]])=0, "", MAX(tblSeverityAnalysis[[#This Row],[CCCM]:[WASH]]))</f>
        <v>3</v>
      </c>
      <c r="AJ25" s="335" t="str" cm="1">
        <f t="array" ref="AJ25">IFERROR(IF(tblSeverityAnalysis[[#This Row],[Highest Severity]]="", "", _xlfn.TEXTJOIN(CHAR(10), TRUE, IF(tblSeverityAnalysis[[#This Row],[CCCM]:[WASH]]=tblSeverityAnalysis[[#This Row],[Highest Severity]], tblSeverityAnalysis[[#Headers],[CCCM]:[WASH]], ""), "")), "")</f>
        <v>CCCM
Food Security
Health</v>
      </c>
      <c r="AK25" s="27" cm="1">
        <f t="array" ref="AK25">IFERROR(MAX(_xlfn._xlws.FILTER(tblSeverityAnalysis[[#This Row],[CCCM]:[WASH]], tblSeverityAnalysis[[#This Row],[CCCM]:[WASH]]&lt;tblSeverityAnalysis[[#This Row],[Highest Severity]])), "")</f>
        <v>2</v>
      </c>
      <c r="AL25" s="324" t="str" cm="1">
        <f t="array" ref="AL25">IFERROR(IF(tblSeverityAnalysis[[#This Row],[2nd Highest Severity]]="", "", _xlfn.TEXTJOIN(CHAR(10), TRUE, IF(tblSeverityAnalysis[[#This Row],[CCCM]:[WASH]]=tblSeverityAnalysis[[#This Row],[2nd Highest Severity]], tblSeverityAnalysis[[#Headers],[CCCM]:[WASH]], ""), "")), "")</f>
        <v>Education
Nutrition
Protection
Shelter
WASH</v>
      </c>
      <c r="AM25" s="132" t="str">
        <f>IFERROR(IF(AND(tblSeverityAnalysis[[#This Row],[5]] &lt;&gt; "", tblSeverityAnalysis[[#This Row],[5]]&gt;=sectors_sev_5), "Flagged", ""), "")</f>
        <v/>
      </c>
      <c r="AN25" s="133" t="str">
        <f>IFERROR(IF(AND(tblSeverityAnalysis[[#This Row],[Preliminary Intersectoral Severity based on overlap of sectoral deprivations]]=4, SUM(tblSeverityAnalysis[[#This Row],[ 4 ]:[5]])&gt;=sectors_sev_4), "Flagged", ""), "")</f>
        <v/>
      </c>
      <c r="AO25" s="133" t="str" cm="1">
        <f t="array" ref="AO2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5" s="337"/>
      <c r="AR25" s="338"/>
      <c r="AS25" s="337"/>
      <c r="AT25" s="353">
        <f>COUNTIF(tblSeverityAnalysis[[#This Row],[1 sector in severity phase 5 '[modify the threshold']]:[Manual Flag]], "Flagged")</f>
        <v>0</v>
      </c>
      <c r="AU25" s="339">
        <f>tblSeverityAnalysis[[#This Row],[Preliminary Intersectoral Severity based on overlap of sectoral deprivations]]</f>
        <v>2</v>
      </c>
      <c r="AV25" s="340"/>
    </row>
    <row r="26" spans="1:48" ht="49.15" hidden="1">
      <c r="A2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Global_PopulationHT0213</v>
      </c>
      <c r="B26" s="39" t="s">
        <v>197</v>
      </c>
      <c r="C26" s="331" t="s">
        <v>198</v>
      </c>
      <c r="D26" s="331" t="s">
        <v>203</v>
      </c>
      <c r="E26" s="34" t="s">
        <v>204</v>
      </c>
      <c r="F26" s="34"/>
      <c r="G26" s="34"/>
      <c r="H26" s="358"/>
      <c r="I26" s="354">
        <v>49845</v>
      </c>
      <c r="J26" s="96" t="s">
        <v>156</v>
      </c>
      <c r="K26" s="305">
        <v>3</v>
      </c>
      <c r="L26" s="504">
        <v>2</v>
      </c>
      <c r="M26" s="308">
        <v>2</v>
      </c>
      <c r="N26" s="308">
        <v>3</v>
      </c>
      <c r="O26" s="308">
        <v>2</v>
      </c>
      <c r="P26" s="308">
        <v>2</v>
      </c>
      <c r="Q26" s="309">
        <v>1</v>
      </c>
      <c r="R26" s="341">
        <v>1</v>
      </c>
      <c r="S26" s="310"/>
      <c r="T26" s="308"/>
      <c r="U26" s="308"/>
      <c r="V26" s="308"/>
      <c r="W26" s="332">
        <f>IF(COUNTIF(tblSeverityAnalysis[[#This Row],[CCCM]:[WASH]], 1)=0, "", COUNTIF(tblSeverityAnalysis[[#This Row],[CCCM]:[WASH]], 1))</f>
        <v>2</v>
      </c>
      <c r="X26" s="333">
        <f>IF(COUNTIF(tblSeverityAnalysis[[#This Row],[CCCM]:[WASH]], 2)=0, "", COUNTIF(tblSeverityAnalysis[[#This Row],[CCCM]:[WASH]], 2))</f>
        <v>4</v>
      </c>
      <c r="Y26" s="333">
        <f>IF(COUNTIF(tblSeverityAnalysis[[#This Row],[CCCM]:[WASH]], 3)=0, "", COUNTIF(tblSeverityAnalysis[[#This Row],[CCCM]:[WASH]], 3))</f>
        <v>2</v>
      </c>
      <c r="Z26" s="333" t="str">
        <f>IF(COUNTIF(tblSeverityAnalysis[[#This Row],[CCCM]:[WASH]], 4)=0, "", COUNTIF(tblSeverityAnalysis[[#This Row],[CCCM]:[WASH]], 4))</f>
        <v/>
      </c>
      <c r="AA26" s="334" t="str">
        <f>IF(COUNTIF(tblSeverityAnalysis[[#This Row],[CCCM]:[WASH]], 5)=0, "", COUNTIF(tblSeverityAnalysis[[#This Row],[CCCM]:[WASH]], 5))</f>
        <v/>
      </c>
      <c r="AB26" s="60" cm="1">
        <f t="array" ref="AB2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2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26" s="33">
        <f>IFERROR(IF(INDEX(tblSeverityReference[Malnutrition Severity],MATCH(tblSeverityAnalysis[[#This Row],[ID]], tblSeverityReference[ID], 0))= "", "",INDEX(tblSeverityReference[Malnutrition Severity],MATCH(tblSeverityAnalysis[[#This Row],[ID]], tblSeverityReference[ID], 0)) ), "")</f>
        <v>2</v>
      </c>
      <c r="AE26" s="347">
        <f>IFERROR(IF(INDEX(tblSeverityReference[Epidemic Severity],MATCH(tblSeverityAnalysis[[#This Row],[ID]], tblSeverityReference[ID], 0))= "", "",INDEX(tblSeverityReference[Epidemic Severity],MATCH(tblSeverityAnalysis[[#This Row],[ID]], tblSeverityReference[ID], 0)) ), "")</f>
        <v>1</v>
      </c>
      <c r="AF26" s="310" t="str">
        <f>IFERROR(IF(INDEX(tblSeverityReference[Coping Strategy Severity],MATCH(tblSeverityAnalysis[[#This Row],[ID]], tblSeverityReference[ID], 0))= "", "",INDEX(tblSeverityReference[Coping Strategy Severity],MATCH(tblSeverityAnalysis[[#This Row],[ID]], tblSeverityReference[ID], 0)) ), "")</f>
        <v/>
      </c>
      <c r="AG26" s="108">
        <f>IFERROR(IF(INDEX(tblSeverityReference[HR/IHL Violation],MATCH(tblSeverityAnalysis[[#This Row],[ID]], tblSeverityReference[ID], 0))= "", "",INDEX(tblSeverityReference[HR/IHL Violation],MATCH(tblSeverityAnalysis[[#This Row],[ID]], tblSeverityReference[ID], 0)) ), "")</f>
        <v>2</v>
      </c>
      <c r="AH26" s="82">
        <f>IFERROR(AVERAGE(tblSeverityAnalysis[[#This Row],[CCCM]:[WASH]]), "")</f>
        <v>2</v>
      </c>
      <c r="AI26" s="27">
        <f>IF(SUM(tblSeverityAnalysis[[#This Row],[CCCM]:[WASH]])=0, "", MAX(tblSeverityAnalysis[[#This Row],[CCCM]:[WASH]]))</f>
        <v>3</v>
      </c>
      <c r="AJ26" s="335" t="str" cm="1">
        <f t="array" ref="AJ26">IFERROR(IF(tblSeverityAnalysis[[#This Row],[Highest Severity]]="", "", _xlfn.TEXTJOIN(CHAR(10), TRUE, IF(tblSeverityAnalysis[[#This Row],[CCCM]:[WASH]]=tblSeverityAnalysis[[#This Row],[Highest Severity]], tblSeverityAnalysis[[#Headers],[CCCM]:[WASH]], ""), "")), "")</f>
        <v>CCCM
Food Security</v>
      </c>
      <c r="AK26" s="27" cm="1">
        <f t="array" ref="AK26">IFERROR(MAX(_xlfn._xlws.FILTER(tblSeverityAnalysis[[#This Row],[CCCM]:[WASH]], tblSeverityAnalysis[[#This Row],[CCCM]:[WASH]]&lt;tblSeverityAnalysis[[#This Row],[Highest Severity]])), "")</f>
        <v>2</v>
      </c>
      <c r="AL26" s="324" t="str" cm="1">
        <f t="array" ref="AL26">IFERROR(IF(tblSeverityAnalysis[[#This Row],[2nd Highest Severity]]="", "", _xlfn.TEXTJOIN(CHAR(10), TRUE, IF(tblSeverityAnalysis[[#This Row],[CCCM]:[WASH]]=tblSeverityAnalysis[[#This Row],[2nd Highest Severity]], tblSeverityAnalysis[[#Headers],[CCCM]:[WASH]], ""), "")), "")</f>
        <v>Education
Nutrition
Health
Protection</v>
      </c>
      <c r="AM26" s="132" t="str">
        <f>IFERROR(IF(AND(tblSeverityAnalysis[[#This Row],[5]] &lt;&gt; "", tblSeverityAnalysis[[#This Row],[5]]&gt;=sectors_sev_5), "Flagged", ""), "")</f>
        <v/>
      </c>
      <c r="AN26" s="133" t="str">
        <f>IFERROR(IF(AND(tblSeverityAnalysis[[#This Row],[Preliminary Intersectoral Severity based on overlap of sectoral deprivations]]=4, SUM(tblSeverityAnalysis[[#This Row],[ 4 ]:[5]])&gt;=sectors_sev_4), "Flagged", ""), "")</f>
        <v/>
      </c>
      <c r="AO26" s="133" t="str" cm="1">
        <f t="array" ref="AO2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26" s="337"/>
      <c r="AR26" s="338"/>
      <c r="AS26" s="337"/>
      <c r="AT26" s="353">
        <f>COUNTIF(tblSeverityAnalysis[[#This Row],[1 sector in severity phase 5 '[modify the threshold']]:[Manual Flag]], "Flagged")</f>
        <v>0</v>
      </c>
      <c r="AU26" s="339">
        <f>tblSeverityAnalysis[[#This Row],[Preliminary Intersectoral Severity based on overlap of sectoral deprivations]]</f>
        <v>2</v>
      </c>
      <c r="AV26" s="340"/>
    </row>
    <row r="27" spans="1:48" ht="61.5" hidden="1">
      <c r="A2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Global_PopulationHT0214</v>
      </c>
      <c r="B27" s="39" t="s">
        <v>197</v>
      </c>
      <c r="C27" s="331" t="s">
        <v>198</v>
      </c>
      <c r="D27" s="331" t="s">
        <v>205</v>
      </c>
      <c r="E27" s="34" t="s">
        <v>206</v>
      </c>
      <c r="F27" s="34"/>
      <c r="G27" s="34"/>
      <c r="H27" s="357"/>
      <c r="I27" s="354">
        <v>47372</v>
      </c>
      <c r="J27" s="96" t="s">
        <v>156</v>
      </c>
      <c r="K27" s="305">
        <v>3</v>
      </c>
      <c r="L27" s="504">
        <v>2</v>
      </c>
      <c r="M27" s="308">
        <v>3</v>
      </c>
      <c r="N27" s="308">
        <v>3</v>
      </c>
      <c r="O27" s="308">
        <v>3</v>
      </c>
      <c r="P27" s="308">
        <v>2</v>
      </c>
      <c r="Q27" s="309">
        <v>3</v>
      </c>
      <c r="R27" s="341">
        <v>2</v>
      </c>
      <c r="S27" s="310"/>
      <c r="T27" s="308"/>
      <c r="U27" s="308"/>
      <c r="V27" s="308"/>
      <c r="W27" s="332" t="str">
        <f>IF(COUNTIF(tblSeverityAnalysis[[#This Row],[CCCM]:[WASH]], 1)=0, "", COUNTIF(tblSeverityAnalysis[[#This Row],[CCCM]:[WASH]], 1))</f>
        <v/>
      </c>
      <c r="X27" s="333">
        <f>IF(COUNTIF(tblSeverityAnalysis[[#This Row],[CCCM]:[WASH]], 2)=0, "", COUNTIF(tblSeverityAnalysis[[#This Row],[CCCM]:[WASH]], 2))</f>
        <v>3</v>
      </c>
      <c r="Y27" s="333">
        <f>IF(COUNTIF(tblSeverityAnalysis[[#This Row],[CCCM]:[WASH]], 3)=0, "", COUNTIF(tblSeverityAnalysis[[#This Row],[CCCM]:[WASH]], 3))</f>
        <v>5</v>
      </c>
      <c r="Z27" s="333" t="str">
        <f>IF(COUNTIF(tblSeverityAnalysis[[#This Row],[CCCM]:[WASH]], 4)=0, "", COUNTIF(tblSeverityAnalysis[[#This Row],[CCCM]:[WASH]], 4))</f>
        <v/>
      </c>
      <c r="AA27" s="334" t="str">
        <f>IF(COUNTIF(tblSeverityAnalysis[[#This Row],[CCCM]:[WASH]], 5)=0, "", COUNTIF(tblSeverityAnalysis[[#This Row],[CCCM]:[WASH]], 5))</f>
        <v/>
      </c>
      <c r="AB27" s="60" cm="1">
        <f t="array" ref="AB2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27" s="33">
        <f>IFERROR(IF(INDEX(tblSeverityReference[Malnutrition Severity],MATCH(tblSeverityAnalysis[[#This Row],[ID]], tblSeverityReference[ID], 0))= "", "",INDEX(tblSeverityReference[Malnutrition Severity],MATCH(tblSeverityAnalysis[[#This Row],[ID]], tblSeverityReference[ID], 0)) ), "")</f>
        <v>2</v>
      </c>
      <c r="AE27" s="347">
        <f>IFERROR(IF(INDEX(tblSeverityReference[Epidemic Severity],MATCH(tblSeverityAnalysis[[#This Row],[ID]], tblSeverityReference[ID], 0))= "", "",INDEX(tblSeverityReference[Epidemic Severity],MATCH(tblSeverityAnalysis[[#This Row],[ID]], tblSeverityReference[ID], 0)) ), "")</f>
        <v>3</v>
      </c>
      <c r="AF27" s="310" t="str">
        <f>IFERROR(IF(INDEX(tblSeverityReference[Coping Strategy Severity],MATCH(tblSeverityAnalysis[[#This Row],[ID]], tblSeverityReference[ID], 0))= "", "",INDEX(tblSeverityReference[Coping Strategy Severity],MATCH(tblSeverityAnalysis[[#This Row],[ID]], tblSeverityReference[ID], 0)) ), "")</f>
        <v/>
      </c>
      <c r="AG27" s="348">
        <f>IFERROR(IF(INDEX(tblSeverityReference[HR/IHL Violation],MATCH(tblSeverityAnalysis[[#This Row],[ID]], tblSeverityReference[ID], 0))= "", "",INDEX(tblSeverityReference[HR/IHL Violation],MATCH(tblSeverityAnalysis[[#This Row],[ID]], tblSeverityReference[ID], 0)) ), "")</f>
        <v>3</v>
      </c>
      <c r="AH27" s="82">
        <f>IFERROR(AVERAGE(tblSeverityAnalysis[[#This Row],[CCCM]:[WASH]]), "")</f>
        <v>2.625</v>
      </c>
      <c r="AI27" s="27">
        <f>IF(SUM(tblSeverityAnalysis[[#This Row],[CCCM]:[WASH]])=0, "", MAX(tblSeverityAnalysis[[#This Row],[CCCM]:[WASH]]))</f>
        <v>3</v>
      </c>
      <c r="AJ27" s="335" t="str" cm="1">
        <f t="array" ref="AJ27">IFERROR(IF(tblSeverityAnalysis[[#This Row],[Highest Severity]]="", "", _xlfn.TEXTJOIN(CHAR(10), TRUE, IF(tblSeverityAnalysis[[#This Row],[CCCM]:[WASH]]=tblSeverityAnalysis[[#This Row],[Highest Severity]], tblSeverityAnalysis[[#Headers],[CCCM]:[WASH]], ""), "")), "")</f>
        <v>CCCM
Nutrition
Food Security
Health
Shelter</v>
      </c>
      <c r="AK27" s="27" cm="1">
        <f t="array" ref="AK27">IFERROR(MAX(_xlfn._xlws.FILTER(tblSeverityAnalysis[[#This Row],[CCCM]:[WASH]], tblSeverityAnalysis[[#This Row],[CCCM]:[WASH]]&lt;tblSeverityAnalysis[[#This Row],[Highest Severity]])), "")</f>
        <v>2</v>
      </c>
      <c r="AL27" s="324" t="str" cm="1">
        <f t="array" ref="AL27">IFERROR(IF(tblSeverityAnalysis[[#This Row],[2nd Highest Severity]]="", "", _xlfn.TEXTJOIN(CHAR(10), TRUE, IF(tblSeverityAnalysis[[#This Row],[CCCM]:[WASH]]=tblSeverityAnalysis[[#This Row],[2nd Highest Severity]], tblSeverityAnalysis[[#Headers],[CCCM]:[WASH]], ""), "")), "")</f>
        <v>Education
Protection
WASH</v>
      </c>
      <c r="AM27" s="132" t="str">
        <f>IFERROR(IF(AND(tblSeverityAnalysis[[#This Row],[5]] &lt;&gt; "", tblSeverityAnalysis[[#This Row],[5]]&gt;=sectors_sev_5), "Flagged", ""), "")</f>
        <v/>
      </c>
      <c r="AN27" s="133" t="str">
        <f>IFERROR(IF(AND(tblSeverityAnalysis[[#This Row],[Preliminary Intersectoral Severity based on overlap of sectoral deprivations]]=4, SUM(tblSeverityAnalysis[[#This Row],[ 4 ]:[5]])&gt;=sectors_sev_4), "Flagged", ""), "")</f>
        <v/>
      </c>
      <c r="AO27" s="133" t="str" cm="1">
        <f t="array" ref="AO2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7" s="337"/>
      <c r="AR27" s="338"/>
      <c r="AS27" s="337"/>
      <c r="AT27" s="353">
        <f>COUNTIF(tblSeverityAnalysis[[#This Row],[1 sector in severity phase 5 '[modify the threshold']]:[Manual Flag]], "Flagged")</f>
        <v>1</v>
      </c>
      <c r="AU27" s="339">
        <f>tblSeverityAnalysis[[#This Row],[Preliminary Intersectoral Severity based on overlap of sectoral deprivations]]</f>
        <v>3</v>
      </c>
      <c r="AV27" s="340"/>
    </row>
    <row r="28" spans="1:48" ht="61.5" hidden="1">
      <c r="A2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Global_PopulationHT0221</v>
      </c>
      <c r="B28" s="39" t="s">
        <v>197</v>
      </c>
      <c r="C28" s="331" t="s">
        <v>198</v>
      </c>
      <c r="D28" s="331" t="s">
        <v>207</v>
      </c>
      <c r="E28" s="34" t="s">
        <v>208</v>
      </c>
      <c r="F28" s="34"/>
      <c r="G28" s="34"/>
      <c r="H28" s="358"/>
      <c r="I28" s="354">
        <v>113034</v>
      </c>
      <c r="J28" s="96" t="s">
        <v>156</v>
      </c>
      <c r="K28" s="305">
        <v>3</v>
      </c>
      <c r="L28" s="504">
        <v>2</v>
      </c>
      <c r="M28" s="308">
        <v>3</v>
      </c>
      <c r="N28" s="308">
        <v>3</v>
      </c>
      <c r="O28" s="308">
        <v>3</v>
      </c>
      <c r="P28" s="308">
        <v>2</v>
      </c>
      <c r="Q28" s="309">
        <v>3</v>
      </c>
      <c r="R28" s="341">
        <v>2</v>
      </c>
      <c r="S28" s="310"/>
      <c r="T28" s="308"/>
      <c r="U28" s="308"/>
      <c r="V28" s="308"/>
      <c r="W28" s="332" t="str">
        <f>IF(COUNTIF(tblSeverityAnalysis[[#This Row],[CCCM]:[WASH]], 1)=0, "", COUNTIF(tblSeverityAnalysis[[#This Row],[CCCM]:[WASH]], 1))</f>
        <v/>
      </c>
      <c r="X28" s="333">
        <f>IF(COUNTIF(tblSeverityAnalysis[[#This Row],[CCCM]:[WASH]], 2)=0, "", COUNTIF(tblSeverityAnalysis[[#This Row],[CCCM]:[WASH]], 2))</f>
        <v>3</v>
      </c>
      <c r="Y28" s="333">
        <f>IF(COUNTIF(tblSeverityAnalysis[[#This Row],[CCCM]:[WASH]], 3)=0, "", COUNTIF(tblSeverityAnalysis[[#This Row],[CCCM]:[WASH]], 3))</f>
        <v>5</v>
      </c>
      <c r="Z28" s="333" t="str">
        <f>IF(COUNTIF(tblSeverityAnalysis[[#This Row],[CCCM]:[WASH]], 4)=0, "", COUNTIF(tblSeverityAnalysis[[#This Row],[CCCM]:[WASH]], 4))</f>
        <v/>
      </c>
      <c r="AA28" s="334" t="str">
        <f>IF(COUNTIF(tblSeverityAnalysis[[#This Row],[CCCM]:[WASH]], 5)=0, "", COUNTIF(tblSeverityAnalysis[[#This Row],[CCCM]:[WASH]], 5))</f>
        <v/>
      </c>
      <c r="AB28" s="60" cm="1">
        <f t="array" ref="AB2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28" s="33">
        <f>IFERROR(IF(INDEX(tblSeverityReference[Malnutrition Severity],MATCH(tblSeverityAnalysis[[#This Row],[ID]], tblSeverityReference[ID], 0))= "", "",INDEX(tblSeverityReference[Malnutrition Severity],MATCH(tblSeverityAnalysis[[#This Row],[ID]], tblSeverityReference[ID], 0)) ), "")</f>
        <v>2</v>
      </c>
      <c r="AE28" s="347">
        <f>IFERROR(IF(INDEX(tblSeverityReference[Epidemic Severity],MATCH(tblSeverityAnalysis[[#This Row],[ID]], tblSeverityReference[ID], 0))= "", "",INDEX(tblSeverityReference[Epidemic Severity],MATCH(tblSeverityAnalysis[[#This Row],[ID]], tblSeverityReference[ID], 0)) ), "")</f>
        <v>4</v>
      </c>
      <c r="AF28" s="310" t="str">
        <f>IFERROR(IF(INDEX(tblSeverityReference[Coping Strategy Severity],MATCH(tblSeverityAnalysis[[#This Row],[ID]], tblSeverityReference[ID], 0))= "", "",INDEX(tblSeverityReference[Coping Strategy Severity],MATCH(tblSeverityAnalysis[[#This Row],[ID]], tblSeverityReference[ID], 0)) ), "")</f>
        <v/>
      </c>
      <c r="AG28" s="108">
        <f>IFERROR(IF(INDEX(tblSeverityReference[HR/IHL Violation],MATCH(tblSeverityAnalysis[[#This Row],[ID]], tblSeverityReference[ID], 0))= "", "",INDEX(tblSeverityReference[HR/IHL Violation],MATCH(tblSeverityAnalysis[[#This Row],[ID]], tblSeverityReference[ID], 0)) ), "")</f>
        <v>3</v>
      </c>
      <c r="AH28" s="82">
        <f>IFERROR(AVERAGE(tblSeverityAnalysis[[#This Row],[CCCM]:[WASH]]), "")</f>
        <v>2.625</v>
      </c>
      <c r="AI28" s="27">
        <f>IF(SUM(tblSeverityAnalysis[[#This Row],[CCCM]:[WASH]])=0, "", MAX(tblSeverityAnalysis[[#This Row],[CCCM]:[WASH]]))</f>
        <v>3</v>
      </c>
      <c r="AJ28" s="335" t="str" cm="1">
        <f t="array" ref="AJ28">IFERROR(IF(tblSeverityAnalysis[[#This Row],[Highest Severity]]="", "", _xlfn.TEXTJOIN(CHAR(10), TRUE, IF(tblSeverityAnalysis[[#This Row],[CCCM]:[WASH]]=tblSeverityAnalysis[[#This Row],[Highest Severity]], tblSeverityAnalysis[[#Headers],[CCCM]:[WASH]], ""), "")), "")</f>
        <v>CCCM
Nutrition
Food Security
Health
Shelter</v>
      </c>
      <c r="AK28" s="27" cm="1">
        <f t="array" ref="AK28">IFERROR(MAX(_xlfn._xlws.FILTER(tblSeverityAnalysis[[#This Row],[CCCM]:[WASH]], tblSeverityAnalysis[[#This Row],[CCCM]:[WASH]]&lt;tblSeverityAnalysis[[#This Row],[Highest Severity]])), "")</f>
        <v>2</v>
      </c>
      <c r="AL28" s="324" t="str" cm="1">
        <f t="array" ref="AL28">IFERROR(IF(tblSeverityAnalysis[[#This Row],[2nd Highest Severity]]="", "", _xlfn.TEXTJOIN(CHAR(10), TRUE, IF(tblSeverityAnalysis[[#This Row],[CCCM]:[WASH]]=tblSeverityAnalysis[[#This Row],[2nd Highest Severity]], tblSeverityAnalysis[[#Headers],[CCCM]:[WASH]], ""), "")), "")</f>
        <v>Education
Protection
WASH</v>
      </c>
      <c r="AM28" s="132" t="str">
        <f>IFERROR(IF(AND(tblSeverityAnalysis[[#This Row],[5]] &lt;&gt; "", tblSeverityAnalysis[[#This Row],[5]]&gt;=sectors_sev_5), "Flagged", ""), "")</f>
        <v/>
      </c>
      <c r="AN28" s="133" t="str">
        <f>IFERROR(IF(AND(tblSeverityAnalysis[[#This Row],[Preliminary Intersectoral Severity based on overlap of sectoral deprivations]]=4, SUM(tblSeverityAnalysis[[#This Row],[ 4 ]:[5]])&gt;=sectors_sev_4), "Flagged", ""), "")</f>
        <v/>
      </c>
      <c r="AO28" s="133" t="str" cm="1">
        <f t="array" ref="AO2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8" s="337"/>
      <c r="AR28" s="338"/>
      <c r="AS28" s="337"/>
      <c r="AT28" s="353">
        <f>COUNTIF(tblSeverityAnalysis[[#This Row],[1 sector in severity phase 5 '[modify the threshold']]:[Manual Flag]], "Flagged")</f>
        <v>1</v>
      </c>
      <c r="AU28" s="339">
        <f>tblSeverityAnalysis[[#This Row],[Preliminary Intersectoral Severity based on overlap of sectoral deprivations]]</f>
        <v>3</v>
      </c>
      <c r="AV28" s="340"/>
    </row>
    <row r="29" spans="1:48" ht="49.15" hidden="1">
      <c r="A2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Global_PopulationHT0222</v>
      </c>
      <c r="B29" s="39" t="s">
        <v>197</v>
      </c>
      <c r="C29" s="331" t="s">
        <v>198</v>
      </c>
      <c r="D29" s="331" t="s">
        <v>209</v>
      </c>
      <c r="E29" s="34" t="s">
        <v>210</v>
      </c>
      <c r="F29" s="34"/>
      <c r="G29" s="34"/>
      <c r="H29" s="357"/>
      <c r="I29" s="354">
        <v>63370</v>
      </c>
      <c r="J29" s="96" t="s">
        <v>156</v>
      </c>
      <c r="K29" s="305">
        <v>3</v>
      </c>
      <c r="L29" s="504">
        <v>2</v>
      </c>
      <c r="M29" s="308">
        <v>3</v>
      </c>
      <c r="N29" s="308">
        <v>3</v>
      </c>
      <c r="O29" s="308">
        <v>2</v>
      </c>
      <c r="P29" s="308">
        <v>2</v>
      </c>
      <c r="Q29" s="309">
        <v>2</v>
      </c>
      <c r="R29" s="341">
        <v>3</v>
      </c>
      <c r="S29" s="310"/>
      <c r="T29" s="308"/>
      <c r="U29" s="308"/>
      <c r="V29" s="308"/>
      <c r="W29" s="332" t="str">
        <f>IF(COUNTIF(tblSeverityAnalysis[[#This Row],[CCCM]:[WASH]], 1)=0, "", COUNTIF(tblSeverityAnalysis[[#This Row],[CCCM]:[WASH]], 1))</f>
        <v/>
      </c>
      <c r="X29" s="333">
        <f>IF(COUNTIF(tblSeverityAnalysis[[#This Row],[CCCM]:[WASH]], 2)=0, "", COUNTIF(tblSeverityAnalysis[[#This Row],[CCCM]:[WASH]], 2))</f>
        <v>4</v>
      </c>
      <c r="Y29" s="333">
        <f>IF(COUNTIF(tblSeverityAnalysis[[#This Row],[CCCM]:[WASH]], 3)=0, "", COUNTIF(tblSeverityAnalysis[[#This Row],[CCCM]:[WASH]], 3))</f>
        <v>4</v>
      </c>
      <c r="Z29" s="333" t="str">
        <f>IF(COUNTIF(tblSeverityAnalysis[[#This Row],[CCCM]:[WASH]], 4)=0, "", COUNTIF(tblSeverityAnalysis[[#This Row],[CCCM]:[WASH]], 4))</f>
        <v/>
      </c>
      <c r="AA29" s="334" t="str">
        <f>IF(COUNTIF(tblSeverityAnalysis[[#This Row],[CCCM]:[WASH]], 5)=0, "", COUNTIF(tblSeverityAnalysis[[#This Row],[CCCM]:[WASH]], 5))</f>
        <v/>
      </c>
      <c r="AB29" s="60" cm="1">
        <f t="array" ref="AB2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2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29" s="33">
        <f>IFERROR(IF(INDEX(tblSeverityReference[Malnutrition Severity],MATCH(tblSeverityAnalysis[[#This Row],[ID]], tblSeverityReference[ID], 0))= "", "",INDEX(tblSeverityReference[Malnutrition Severity],MATCH(tblSeverityAnalysis[[#This Row],[ID]], tblSeverityReference[ID], 0)) ), "")</f>
        <v>2</v>
      </c>
      <c r="AE29" s="347">
        <f>IFERROR(IF(INDEX(tblSeverityReference[Epidemic Severity],MATCH(tblSeverityAnalysis[[#This Row],[ID]], tblSeverityReference[ID], 0))= "", "",INDEX(tblSeverityReference[Epidemic Severity],MATCH(tblSeverityAnalysis[[#This Row],[ID]], tblSeverityReference[ID], 0)) ), "")</f>
        <v>3</v>
      </c>
      <c r="AF29" s="310" t="str">
        <f>IFERROR(IF(INDEX(tblSeverityReference[Coping Strategy Severity],MATCH(tblSeverityAnalysis[[#This Row],[ID]], tblSeverityReference[ID], 0))= "", "",INDEX(tblSeverityReference[Coping Strategy Severity],MATCH(tblSeverityAnalysis[[#This Row],[ID]], tblSeverityReference[ID], 0)) ), "")</f>
        <v/>
      </c>
      <c r="AG29" s="348">
        <f>IFERROR(IF(INDEX(tblSeverityReference[HR/IHL Violation],MATCH(tblSeverityAnalysis[[#This Row],[ID]], tblSeverityReference[ID], 0))= "", "",INDEX(tblSeverityReference[HR/IHL Violation],MATCH(tblSeverityAnalysis[[#This Row],[ID]], tblSeverityReference[ID], 0)) ), "")</f>
        <v>3</v>
      </c>
      <c r="AH29" s="82">
        <f>IFERROR(AVERAGE(tblSeverityAnalysis[[#This Row],[CCCM]:[WASH]]), "")</f>
        <v>2.5</v>
      </c>
      <c r="AI29" s="27">
        <f>IF(SUM(tblSeverityAnalysis[[#This Row],[CCCM]:[WASH]])=0, "", MAX(tblSeverityAnalysis[[#This Row],[CCCM]:[WASH]]))</f>
        <v>3</v>
      </c>
      <c r="AJ29" s="335" t="str" cm="1">
        <f t="array" ref="AJ29">IFERROR(IF(tblSeverityAnalysis[[#This Row],[Highest Severity]]="", "", _xlfn.TEXTJOIN(CHAR(10), TRUE, IF(tblSeverityAnalysis[[#This Row],[CCCM]:[WASH]]=tblSeverityAnalysis[[#This Row],[Highest Severity]], tblSeverityAnalysis[[#Headers],[CCCM]:[WASH]], ""), "")), "")</f>
        <v>CCCM
Nutrition
Food Security
WASH</v>
      </c>
      <c r="AK29" s="27" cm="1">
        <f t="array" ref="AK29">IFERROR(MAX(_xlfn._xlws.FILTER(tblSeverityAnalysis[[#This Row],[CCCM]:[WASH]], tblSeverityAnalysis[[#This Row],[CCCM]:[WASH]]&lt;tblSeverityAnalysis[[#This Row],[Highest Severity]])), "")</f>
        <v>2</v>
      </c>
      <c r="AL29" s="324" t="str" cm="1">
        <f t="array" ref="AL29">IFERROR(IF(tblSeverityAnalysis[[#This Row],[2nd Highest Severity]]="", "", _xlfn.TEXTJOIN(CHAR(10), TRUE, IF(tblSeverityAnalysis[[#This Row],[CCCM]:[WASH]]=tblSeverityAnalysis[[#This Row],[2nd Highest Severity]], tblSeverityAnalysis[[#Headers],[CCCM]:[WASH]], ""), "")), "")</f>
        <v>Education
Health
Protection
Shelter</v>
      </c>
      <c r="AM29" s="132" t="str">
        <f>IFERROR(IF(AND(tblSeverityAnalysis[[#This Row],[5]] &lt;&gt; "", tblSeverityAnalysis[[#This Row],[5]]&gt;=sectors_sev_5), "Flagged", ""), "")</f>
        <v/>
      </c>
      <c r="AN29" s="133" t="str">
        <f>IFERROR(IF(AND(tblSeverityAnalysis[[#This Row],[Preliminary Intersectoral Severity based on overlap of sectoral deprivations]]=4, SUM(tblSeverityAnalysis[[#This Row],[ 4 ]:[5]])&gt;=sectors_sev_4), "Flagged", ""), "")</f>
        <v/>
      </c>
      <c r="AO29" s="133" t="str" cm="1">
        <f t="array" ref="AO2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2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29" s="337"/>
      <c r="AR29" s="338"/>
      <c r="AS29" s="337"/>
      <c r="AT29" s="353">
        <f>COUNTIF(tblSeverityAnalysis[[#This Row],[1 sector in severity phase 5 '[modify the threshold']]:[Manual Flag]], "Flagged")</f>
        <v>1</v>
      </c>
      <c r="AU29" s="339">
        <f>tblSeverityAnalysis[[#This Row],[Preliminary Intersectoral Severity based on overlap of sectoral deprivations]]</f>
        <v>3</v>
      </c>
      <c r="AV29" s="340"/>
    </row>
    <row r="30" spans="1:48" ht="61.5" hidden="1">
      <c r="A3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Global_PopulationHT0231</v>
      </c>
      <c r="B30" s="39" t="s">
        <v>197</v>
      </c>
      <c r="C30" s="331" t="s">
        <v>198</v>
      </c>
      <c r="D30" s="331" t="s">
        <v>211</v>
      </c>
      <c r="E30" s="34" t="s">
        <v>212</v>
      </c>
      <c r="F30" s="34"/>
      <c r="G30" s="34"/>
      <c r="H30" s="358"/>
      <c r="I30" s="354">
        <v>95781</v>
      </c>
      <c r="J30" s="96" t="s">
        <v>156</v>
      </c>
      <c r="K30" s="305">
        <v>3</v>
      </c>
      <c r="L30" s="504">
        <v>2</v>
      </c>
      <c r="M30" s="308">
        <v>3</v>
      </c>
      <c r="N30" s="308">
        <v>4</v>
      </c>
      <c r="O30" s="308">
        <v>3</v>
      </c>
      <c r="P30" s="308">
        <v>2</v>
      </c>
      <c r="Q30" s="309">
        <v>3</v>
      </c>
      <c r="R30" s="341">
        <v>3</v>
      </c>
      <c r="S30" s="310"/>
      <c r="T30" s="308"/>
      <c r="U30" s="308"/>
      <c r="V30" s="308"/>
      <c r="W30" s="332" t="str">
        <f>IF(COUNTIF(tblSeverityAnalysis[[#This Row],[CCCM]:[WASH]], 1)=0, "", COUNTIF(tblSeverityAnalysis[[#This Row],[CCCM]:[WASH]], 1))</f>
        <v/>
      </c>
      <c r="X30" s="333">
        <f>IF(COUNTIF(tblSeverityAnalysis[[#This Row],[CCCM]:[WASH]], 2)=0, "", COUNTIF(tblSeverityAnalysis[[#This Row],[CCCM]:[WASH]], 2))</f>
        <v>2</v>
      </c>
      <c r="Y30" s="333">
        <f>IF(COUNTIF(tblSeverityAnalysis[[#This Row],[CCCM]:[WASH]], 3)=0, "", COUNTIF(tblSeverityAnalysis[[#This Row],[CCCM]:[WASH]], 3))</f>
        <v>5</v>
      </c>
      <c r="Z30" s="333">
        <f>IF(COUNTIF(tblSeverityAnalysis[[#This Row],[CCCM]:[WASH]], 4)=0, "", COUNTIF(tblSeverityAnalysis[[#This Row],[CCCM]:[WASH]], 4))</f>
        <v>1</v>
      </c>
      <c r="AA30" s="334" t="str">
        <f>IF(COUNTIF(tblSeverityAnalysis[[#This Row],[CCCM]:[WASH]], 5)=0, "", COUNTIF(tblSeverityAnalysis[[#This Row],[CCCM]:[WASH]], 5))</f>
        <v/>
      </c>
      <c r="AB30" s="60" cm="1">
        <f t="array" ref="AB3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0"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0" s="33">
        <f>IFERROR(IF(INDEX(tblSeverityReference[Malnutrition Severity],MATCH(tblSeverityAnalysis[[#This Row],[ID]], tblSeverityReference[ID], 0))= "", "",INDEX(tblSeverityReference[Malnutrition Severity],MATCH(tblSeverityAnalysis[[#This Row],[ID]], tblSeverityReference[ID], 0)) ), "")</f>
        <v>2</v>
      </c>
      <c r="AE30" s="347">
        <f>IFERROR(IF(INDEX(tblSeverityReference[Epidemic Severity],MATCH(tblSeverityAnalysis[[#This Row],[ID]], tblSeverityReference[ID], 0))= "", "",INDEX(tblSeverityReference[Epidemic Severity],MATCH(tblSeverityAnalysis[[#This Row],[ID]], tblSeverityReference[ID], 0)) ), "")</f>
        <v>3</v>
      </c>
      <c r="AF30" s="310" t="str">
        <f>IFERROR(IF(INDEX(tblSeverityReference[Coping Strategy Severity],MATCH(tblSeverityAnalysis[[#This Row],[ID]], tblSeverityReference[ID], 0))= "", "",INDEX(tblSeverityReference[Coping Strategy Severity],MATCH(tblSeverityAnalysis[[#This Row],[ID]], tblSeverityReference[ID], 0)) ), "")</f>
        <v/>
      </c>
      <c r="AG30" s="348">
        <f>IFERROR(IF(INDEX(tblSeverityReference[HR/IHL Violation],MATCH(tblSeverityAnalysis[[#This Row],[ID]], tblSeverityReference[ID], 0))= "", "",INDEX(tblSeverityReference[HR/IHL Violation],MATCH(tblSeverityAnalysis[[#This Row],[ID]], tblSeverityReference[ID], 0)) ), "")</f>
        <v>3</v>
      </c>
      <c r="AH30" s="82">
        <f>IFERROR(AVERAGE(tblSeverityAnalysis[[#This Row],[CCCM]:[WASH]]), "")</f>
        <v>2.875</v>
      </c>
      <c r="AI30" s="27">
        <f>IF(SUM(tblSeverityAnalysis[[#This Row],[CCCM]:[WASH]])=0, "", MAX(tblSeverityAnalysis[[#This Row],[CCCM]:[WASH]]))</f>
        <v>4</v>
      </c>
      <c r="AJ30" s="335" t="str" cm="1">
        <f t="array" ref="AJ30">IFERROR(IF(tblSeverityAnalysis[[#This Row],[Highest Severity]]="", "", _xlfn.TEXTJOIN(CHAR(10), TRUE, IF(tblSeverityAnalysis[[#This Row],[CCCM]:[WASH]]=tblSeverityAnalysis[[#This Row],[Highest Severity]], tblSeverityAnalysis[[#Headers],[CCCM]:[WASH]], ""), "")), "")</f>
        <v>Food Security</v>
      </c>
      <c r="AK30" s="27" cm="1">
        <f t="array" ref="AK30">IFERROR(MAX(_xlfn._xlws.FILTER(tblSeverityAnalysis[[#This Row],[CCCM]:[WASH]], tblSeverityAnalysis[[#This Row],[CCCM]:[WASH]]&lt;tblSeverityAnalysis[[#This Row],[Highest Severity]])), "")</f>
        <v>3</v>
      </c>
      <c r="AL30" s="324" t="str" cm="1">
        <f t="array" ref="AL30">IFERROR(IF(tblSeverityAnalysis[[#This Row],[2nd Highest Severity]]="", "", _xlfn.TEXTJOIN(CHAR(10), TRUE, IF(tblSeverityAnalysis[[#This Row],[CCCM]:[WASH]]=tblSeverityAnalysis[[#This Row],[2nd Highest Severity]], tblSeverityAnalysis[[#Headers],[CCCM]:[WASH]], ""), "")), "")</f>
        <v>CCCM
Nutrition
Health
Shelter
WASH</v>
      </c>
      <c r="AM30" s="132" t="str">
        <f>IFERROR(IF(AND(tblSeverityAnalysis[[#This Row],[5]] &lt;&gt; "", tblSeverityAnalysis[[#This Row],[5]]&gt;=sectors_sev_5), "Flagged", ""), "")</f>
        <v/>
      </c>
      <c r="AN30" s="133" t="str">
        <f>IFERROR(IF(AND(tblSeverityAnalysis[[#This Row],[Preliminary Intersectoral Severity based on overlap of sectoral deprivations]]=4, SUM(tblSeverityAnalysis[[#This Row],[ 4 ]:[5]])&gt;=sectors_sev_4), "Flagged", ""), "")</f>
        <v/>
      </c>
      <c r="AO30" s="133" t="str" cm="1">
        <f t="array" ref="AO3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0" s="337"/>
      <c r="AR30" s="338"/>
      <c r="AS30" s="337"/>
      <c r="AT30" s="353">
        <f>COUNTIF(tblSeverityAnalysis[[#This Row],[1 sector in severity phase 5 '[modify the threshold']]:[Manual Flag]], "Flagged")</f>
        <v>1</v>
      </c>
      <c r="AU30" s="339">
        <f>tblSeverityAnalysis[[#This Row],[Preliminary Intersectoral Severity based on overlap of sectoral deprivations]]</f>
        <v>3</v>
      </c>
      <c r="AV30" s="340"/>
    </row>
    <row r="31" spans="1:48" ht="61.5" hidden="1">
      <c r="A3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Global_PopulationHT0232</v>
      </c>
      <c r="B31" s="39" t="s">
        <v>197</v>
      </c>
      <c r="C31" s="331" t="s">
        <v>198</v>
      </c>
      <c r="D31" s="331" t="s">
        <v>213</v>
      </c>
      <c r="E31" s="34" t="s">
        <v>214</v>
      </c>
      <c r="F31" s="34"/>
      <c r="G31" s="34"/>
      <c r="H31" s="357"/>
      <c r="I31" s="354">
        <v>25416</v>
      </c>
      <c r="J31" s="96" t="s">
        <v>156</v>
      </c>
      <c r="K31" s="305">
        <v>3</v>
      </c>
      <c r="L31" s="504">
        <v>2</v>
      </c>
      <c r="M31" s="308">
        <v>3</v>
      </c>
      <c r="N31" s="308">
        <v>4</v>
      </c>
      <c r="O31" s="308">
        <v>3</v>
      </c>
      <c r="P31" s="308">
        <v>2</v>
      </c>
      <c r="Q31" s="309">
        <v>3</v>
      </c>
      <c r="R31" s="341">
        <v>3</v>
      </c>
      <c r="S31" s="310"/>
      <c r="T31" s="308"/>
      <c r="U31" s="308"/>
      <c r="V31" s="308"/>
      <c r="W31" s="332" t="str">
        <f>IF(COUNTIF(tblSeverityAnalysis[[#This Row],[CCCM]:[WASH]], 1)=0, "", COUNTIF(tblSeverityAnalysis[[#This Row],[CCCM]:[WASH]], 1))</f>
        <v/>
      </c>
      <c r="X31" s="333">
        <f>IF(COUNTIF(tblSeverityAnalysis[[#This Row],[CCCM]:[WASH]], 2)=0, "", COUNTIF(tblSeverityAnalysis[[#This Row],[CCCM]:[WASH]], 2))</f>
        <v>2</v>
      </c>
      <c r="Y31" s="333">
        <f>IF(COUNTIF(tblSeverityAnalysis[[#This Row],[CCCM]:[WASH]], 3)=0, "", COUNTIF(tblSeverityAnalysis[[#This Row],[CCCM]:[WASH]], 3))</f>
        <v>5</v>
      </c>
      <c r="Z31" s="333">
        <f>IF(COUNTIF(tblSeverityAnalysis[[#This Row],[CCCM]:[WASH]], 4)=0, "", COUNTIF(tblSeverityAnalysis[[#This Row],[CCCM]:[WASH]], 4))</f>
        <v>1</v>
      </c>
      <c r="AA31" s="334" t="str">
        <f>IF(COUNTIF(tblSeverityAnalysis[[#This Row],[CCCM]:[WASH]], 5)=0, "", COUNTIF(tblSeverityAnalysis[[#This Row],[CCCM]:[WASH]], 5))</f>
        <v/>
      </c>
      <c r="AB31" s="60" cm="1">
        <f t="array" ref="AB3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1"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1" s="33">
        <f>IFERROR(IF(INDEX(tblSeverityReference[Malnutrition Severity],MATCH(tblSeverityAnalysis[[#This Row],[ID]], tblSeverityReference[ID], 0))= "", "",INDEX(tblSeverityReference[Malnutrition Severity],MATCH(tblSeverityAnalysis[[#This Row],[ID]], tblSeverityReference[ID], 0)) ), "")</f>
        <v>2</v>
      </c>
      <c r="AE31" s="347">
        <f>IFERROR(IF(INDEX(tblSeverityReference[Epidemic Severity],MATCH(tblSeverityAnalysis[[#This Row],[ID]], tblSeverityReference[ID], 0))= "", "",INDEX(tblSeverityReference[Epidemic Severity],MATCH(tblSeverityAnalysis[[#This Row],[ID]], tblSeverityReference[ID], 0)) ), "")</f>
        <v>3</v>
      </c>
      <c r="AF31" s="310" t="str">
        <f>IFERROR(IF(INDEX(tblSeverityReference[Coping Strategy Severity],MATCH(tblSeverityAnalysis[[#This Row],[ID]], tblSeverityReference[ID], 0))= "", "",INDEX(tblSeverityReference[Coping Strategy Severity],MATCH(tblSeverityAnalysis[[#This Row],[ID]], tblSeverityReference[ID], 0)) ), "")</f>
        <v/>
      </c>
      <c r="AG31" s="108">
        <f>IFERROR(IF(INDEX(tblSeverityReference[HR/IHL Violation],MATCH(tblSeverityAnalysis[[#This Row],[ID]], tblSeverityReference[ID], 0))= "", "",INDEX(tblSeverityReference[HR/IHL Violation],MATCH(tblSeverityAnalysis[[#This Row],[ID]], tblSeverityReference[ID], 0)) ), "")</f>
        <v>3</v>
      </c>
      <c r="AH31" s="82">
        <f>IFERROR(AVERAGE(tblSeverityAnalysis[[#This Row],[CCCM]:[WASH]]), "")</f>
        <v>2.875</v>
      </c>
      <c r="AI31" s="27">
        <f>IF(SUM(tblSeverityAnalysis[[#This Row],[CCCM]:[WASH]])=0, "", MAX(tblSeverityAnalysis[[#This Row],[CCCM]:[WASH]]))</f>
        <v>4</v>
      </c>
      <c r="AJ31" s="335" t="str" cm="1">
        <f t="array" ref="AJ31">IFERROR(IF(tblSeverityAnalysis[[#This Row],[Highest Severity]]="", "", _xlfn.TEXTJOIN(CHAR(10), TRUE, IF(tblSeverityAnalysis[[#This Row],[CCCM]:[WASH]]=tblSeverityAnalysis[[#This Row],[Highest Severity]], tblSeverityAnalysis[[#Headers],[CCCM]:[WASH]], ""), "")), "")</f>
        <v>Food Security</v>
      </c>
      <c r="AK31" s="27" cm="1">
        <f t="array" ref="AK31">IFERROR(MAX(_xlfn._xlws.FILTER(tblSeverityAnalysis[[#This Row],[CCCM]:[WASH]], tblSeverityAnalysis[[#This Row],[CCCM]:[WASH]]&lt;tblSeverityAnalysis[[#This Row],[Highest Severity]])), "")</f>
        <v>3</v>
      </c>
      <c r="AL31" s="324" t="str" cm="1">
        <f t="array" ref="AL31">IFERROR(IF(tblSeverityAnalysis[[#This Row],[2nd Highest Severity]]="", "", _xlfn.TEXTJOIN(CHAR(10), TRUE, IF(tblSeverityAnalysis[[#This Row],[CCCM]:[WASH]]=tblSeverityAnalysis[[#This Row],[2nd Highest Severity]], tblSeverityAnalysis[[#Headers],[CCCM]:[WASH]], ""), "")), "")</f>
        <v>CCCM
Nutrition
Health
Shelter
WASH</v>
      </c>
      <c r="AM31" s="132" t="str">
        <f>IFERROR(IF(AND(tblSeverityAnalysis[[#This Row],[5]] &lt;&gt; "", tblSeverityAnalysis[[#This Row],[5]]&gt;=sectors_sev_5), "Flagged", ""), "")</f>
        <v/>
      </c>
      <c r="AN31" s="133" t="str">
        <f>IFERROR(IF(AND(tblSeverityAnalysis[[#This Row],[Preliminary Intersectoral Severity based on overlap of sectoral deprivations]]=4, SUM(tblSeverityAnalysis[[#This Row],[ 4 ]:[5]])&gt;=sectors_sev_4), "Flagged", ""), "")</f>
        <v/>
      </c>
      <c r="AO31" s="133" t="str" cm="1">
        <f t="array" ref="AO3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1" s="337"/>
      <c r="AR31" s="338"/>
      <c r="AS31" s="337"/>
      <c r="AT31" s="353">
        <f>COUNTIF(tblSeverityAnalysis[[#This Row],[1 sector in severity phase 5 '[modify the threshold']]:[Manual Flag]], "Flagged")</f>
        <v>1</v>
      </c>
      <c r="AU31" s="339">
        <f>tblSeverityAnalysis[[#This Row],[Preliminary Intersectoral Severity based on overlap of sectoral deprivations]]</f>
        <v>3</v>
      </c>
      <c r="AV31" s="340"/>
    </row>
    <row r="32" spans="1:48" ht="61.5" hidden="1">
      <c r="A3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Global_PopulationHT0233</v>
      </c>
      <c r="B32" s="39" t="s">
        <v>197</v>
      </c>
      <c r="C32" s="331" t="s">
        <v>198</v>
      </c>
      <c r="D32" s="331" t="s">
        <v>215</v>
      </c>
      <c r="E32" s="34" t="s">
        <v>216</v>
      </c>
      <c r="F32" s="34"/>
      <c r="G32" s="34"/>
      <c r="H32" s="358"/>
      <c r="I32" s="354">
        <v>46178</v>
      </c>
      <c r="J32" s="96" t="s">
        <v>156</v>
      </c>
      <c r="K32" s="305">
        <v>3</v>
      </c>
      <c r="L32" s="504">
        <v>2</v>
      </c>
      <c r="M32" s="308">
        <v>3</v>
      </c>
      <c r="N32" s="308">
        <v>3</v>
      </c>
      <c r="O32" s="308">
        <v>3</v>
      </c>
      <c r="P32" s="308">
        <v>2</v>
      </c>
      <c r="Q32" s="309">
        <v>3</v>
      </c>
      <c r="R32" s="341">
        <v>2</v>
      </c>
      <c r="S32" s="310"/>
      <c r="T32" s="308"/>
      <c r="U32" s="308"/>
      <c r="V32" s="308"/>
      <c r="W32" s="332" t="str">
        <f>IF(COUNTIF(tblSeverityAnalysis[[#This Row],[CCCM]:[WASH]], 1)=0, "", COUNTIF(tblSeverityAnalysis[[#This Row],[CCCM]:[WASH]], 1))</f>
        <v/>
      </c>
      <c r="X32" s="333">
        <f>IF(COUNTIF(tblSeverityAnalysis[[#This Row],[CCCM]:[WASH]], 2)=0, "", COUNTIF(tblSeverityAnalysis[[#This Row],[CCCM]:[WASH]], 2))</f>
        <v>3</v>
      </c>
      <c r="Y32" s="333">
        <f>IF(COUNTIF(tblSeverityAnalysis[[#This Row],[CCCM]:[WASH]], 3)=0, "", COUNTIF(tblSeverityAnalysis[[#This Row],[CCCM]:[WASH]], 3))</f>
        <v>5</v>
      </c>
      <c r="Z32" s="333" t="str">
        <f>IF(COUNTIF(tblSeverityAnalysis[[#This Row],[CCCM]:[WASH]], 4)=0, "", COUNTIF(tblSeverityAnalysis[[#This Row],[CCCM]:[WASH]], 4))</f>
        <v/>
      </c>
      <c r="AA32" s="334" t="str">
        <f>IF(COUNTIF(tblSeverityAnalysis[[#This Row],[CCCM]:[WASH]], 5)=0, "", COUNTIF(tblSeverityAnalysis[[#This Row],[CCCM]:[WASH]], 5))</f>
        <v/>
      </c>
      <c r="AB32" s="60" cm="1">
        <f t="array" ref="AB3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2"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2" s="33">
        <f>IFERROR(IF(INDEX(tblSeverityReference[Malnutrition Severity],MATCH(tblSeverityAnalysis[[#This Row],[ID]], tblSeverityReference[ID], 0))= "", "",INDEX(tblSeverityReference[Malnutrition Severity],MATCH(tblSeverityAnalysis[[#This Row],[ID]], tblSeverityReference[ID], 0)) ), "")</f>
        <v>2</v>
      </c>
      <c r="AE32" s="347">
        <f>IFERROR(IF(INDEX(tblSeverityReference[Epidemic Severity],MATCH(tblSeverityAnalysis[[#This Row],[ID]], tblSeverityReference[ID], 0))= "", "",INDEX(tblSeverityReference[Epidemic Severity],MATCH(tblSeverityAnalysis[[#This Row],[ID]], tblSeverityReference[ID], 0)) ), "")</f>
        <v>3</v>
      </c>
      <c r="AF32" s="310" t="str">
        <f>IFERROR(IF(INDEX(tblSeverityReference[Coping Strategy Severity],MATCH(tblSeverityAnalysis[[#This Row],[ID]], tblSeverityReference[ID], 0))= "", "",INDEX(tblSeverityReference[Coping Strategy Severity],MATCH(tblSeverityAnalysis[[#This Row],[ID]], tblSeverityReference[ID], 0)) ), "")</f>
        <v/>
      </c>
      <c r="AG32" s="348">
        <f>IFERROR(IF(INDEX(tblSeverityReference[HR/IHL Violation],MATCH(tblSeverityAnalysis[[#This Row],[ID]], tblSeverityReference[ID], 0))= "", "",INDEX(tblSeverityReference[HR/IHL Violation],MATCH(tblSeverityAnalysis[[#This Row],[ID]], tblSeverityReference[ID], 0)) ), "")</f>
        <v>3</v>
      </c>
      <c r="AH32" s="82">
        <f>IFERROR(AVERAGE(tblSeverityAnalysis[[#This Row],[CCCM]:[WASH]]), "")</f>
        <v>2.625</v>
      </c>
      <c r="AI32" s="27">
        <f>IF(SUM(tblSeverityAnalysis[[#This Row],[CCCM]:[WASH]])=0, "", MAX(tblSeverityAnalysis[[#This Row],[CCCM]:[WASH]]))</f>
        <v>3</v>
      </c>
      <c r="AJ32" s="335" t="str" cm="1">
        <f t="array" ref="AJ32">IFERROR(IF(tblSeverityAnalysis[[#This Row],[Highest Severity]]="", "", _xlfn.TEXTJOIN(CHAR(10), TRUE, IF(tblSeverityAnalysis[[#This Row],[CCCM]:[WASH]]=tblSeverityAnalysis[[#This Row],[Highest Severity]], tblSeverityAnalysis[[#Headers],[CCCM]:[WASH]], ""), "")), "")</f>
        <v>CCCM
Nutrition
Food Security
Health
Shelter</v>
      </c>
      <c r="AK32" s="27" cm="1">
        <f t="array" ref="AK32">IFERROR(MAX(_xlfn._xlws.FILTER(tblSeverityAnalysis[[#This Row],[CCCM]:[WASH]], tblSeverityAnalysis[[#This Row],[CCCM]:[WASH]]&lt;tblSeverityAnalysis[[#This Row],[Highest Severity]])), "")</f>
        <v>2</v>
      </c>
      <c r="AL32" s="324" t="str" cm="1">
        <f t="array" ref="AL32">IFERROR(IF(tblSeverityAnalysis[[#This Row],[2nd Highest Severity]]="", "", _xlfn.TEXTJOIN(CHAR(10), TRUE, IF(tblSeverityAnalysis[[#This Row],[CCCM]:[WASH]]=tblSeverityAnalysis[[#This Row],[2nd Highest Severity]], tblSeverityAnalysis[[#Headers],[CCCM]:[WASH]], ""), "")), "")</f>
        <v>Education
Protection
WASH</v>
      </c>
      <c r="AM32" s="132" t="str">
        <f>IFERROR(IF(AND(tblSeverityAnalysis[[#This Row],[5]] &lt;&gt; "", tblSeverityAnalysis[[#This Row],[5]]&gt;=sectors_sev_5), "Flagged", ""), "")</f>
        <v/>
      </c>
      <c r="AN32" s="133" t="str">
        <f>IFERROR(IF(AND(tblSeverityAnalysis[[#This Row],[Preliminary Intersectoral Severity based on overlap of sectoral deprivations]]=4, SUM(tblSeverityAnalysis[[#This Row],[ 4 ]:[5]])&gt;=sectors_sev_4), "Flagged", ""), "")</f>
        <v/>
      </c>
      <c r="AO32" s="133" t="str" cm="1">
        <f t="array" ref="AO3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2" s="337"/>
      <c r="AR32" s="338"/>
      <c r="AS32" s="337"/>
      <c r="AT32" s="353">
        <f>COUNTIF(tblSeverityAnalysis[[#This Row],[1 sector in severity phase 5 '[modify the threshold']]:[Manual Flag]], "Flagged")</f>
        <v>1</v>
      </c>
      <c r="AU32" s="339">
        <f>tblSeverityAnalysis[[#This Row],[Preliminary Intersectoral Severity based on overlap of sectoral deprivations]]</f>
        <v>3</v>
      </c>
      <c r="AV32" s="340"/>
    </row>
    <row r="33" spans="1:48" ht="73.900000000000006" hidden="1">
      <c r="A3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Global_PopulationHT0234</v>
      </c>
      <c r="B33" s="39" t="s">
        <v>197</v>
      </c>
      <c r="C33" s="331" t="s">
        <v>198</v>
      </c>
      <c r="D33" s="331" t="s">
        <v>217</v>
      </c>
      <c r="E33" s="34" t="s">
        <v>218</v>
      </c>
      <c r="F33" s="34"/>
      <c r="G33" s="34"/>
      <c r="H33" s="357"/>
      <c r="I33" s="354">
        <v>43459</v>
      </c>
      <c r="J33" s="96" t="s">
        <v>156</v>
      </c>
      <c r="K33" s="305">
        <v>3</v>
      </c>
      <c r="L33" s="504">
        <v>2</v>
      </c>
      <c r="M33" s="308">
        <v>3</v>
      </c>
      <c r="N33" s="308">
        <v>3</v>
      </c>
      <c r="O33" s="308">
        <v>3</v>
      </c>
      <c r="P33" s="308">
        <v>2</v>
      </c>
      <c r="Q33" s="309">
        <v>3</v>
      </c>
      <c r="R33" s="341">
        <v>3</v>
      </c>
      <c r="S33" s="310"/>
      <c r="T33" s="308"/>
      <c r="U33" s="308"/>
      <c r="V33" s="308"/>
      <c r="W33" s="332" t="str">
        <f>IF(COUNTIF(tblSeverityAnalysis[[#This Row],[CCCM]:[WASH]], 1)=0, "", COUNTIF(tblSeverityAnalysis[[#This Row],[CCCM]:[WASH]], 1))</f>
        <v/>
      </c>
      <c r="X33" s="333">
        <f>IF(COUNTIF(tblSeverityAnalysis[[#This Row],[CCCM]:[WASH]], 2)=0, "", COUNTIF(tblSeverityAnalysis[[#This Row],[CCCM]:[WASH]], 2))</f>
        <v>2</v>
      </c>
      <c r="Y33" s="333">
        <f>IF(COUNTIF(tblSeverityAnalysis[[#This Row],[CCCM]:[WASH]], 3)=0, "", COUNTIF(tblSeverityAnalysis[[#This Row],[CCCM]:[WASH]], 3))</f>
        <v>6</v>
      </c>
      <c r="Z33" s="333" t="str">
        <f>IF(COUNTIF(tblSeverityAnalysis[[#This Row],[CCCM]:[WASH]], 4)=0, "", COUNTIF(tblSeverityAnalysis[[#This Row],[CCCM]:[WASH]], 4))</f>
        <v/>
      </c>
      <c r="AA33" s="334" t="str">
        <f>IF(COUNTIF(tblSeverityAnalysis[[#This Row],[CCCM]:[WASH]], 5)=0, "", COUNTIF(tblSeverityAnalysis[[#This Row],[CCCM]:[WASH]], 5))</f>
        <v/>
      </c>
      <c r="AB33" s="60" cm="1">
        <f t="array" ref="AB3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3" s="33">
        <f>IFERROR(IF(INDEX(tblSeverityReference[Malnutrition Severity],MATCH(tblSeverityAnalysis[[#This Row],[ID]], tblSeverityReference[ID], 0))= "", "",INDEX(tblSeverityReference[Malnutrition Severity],MATCH(tblSeverityAnalysis[[#This Row],[ID]], tblSeverityReference[ID], 0)) ), "")</f>
        <v>2</v>
      </c>
      <c r="AE33" s="347">
        <f>IFERROR(IF(INDEX(tblSeverityReference[Epidemic Severity],MATCH(tblSeverityAnalysis[[#This Row],[ID]], tblSeverityReference[ID], 0))= "", "",INDEX(tblSeverityReference[Epidemic Severity],MATCH(tblSeverityAnalysis[[#This Row],[ID]], tblSeverityReference[ID], 0)) ), "")</f>
        <v>5</v>
      </c>
      <c r="AF33" s="310" t="str">
        <f>IFERROR(IF(INDEX(tblSeverityReference[Coping Strategy Severity],MATCH(tblSeverityAnalysis[[#This Row],[ID]], tblSeverityReference[ID], 0))= "", "",INDEX(tblSeverityReference[Coping Strategy Severity],MATCH(tblSeverityAnalysis[[#This Row],[ID]], tblSeverityReference[ID], 0)) ), "")</f>
        <v/>
      </c>
      <c r="AG33" s="108">
        <f>IFERROR(IF(INDEX(tblSeverityReference[HR/IHL Violation],MATCH(tblSeverityAnalysis[[#This Row],[ID]], tblSeverityReference[ID], 0))= "", "",INDEX(tblSeverityReference[HR/IHL Violation],MATCH(tblSeverityAnalysis[[#This Row],[ID]], tblSeverityReference[ID], 0)) ), "")</f>
        <v>3</v>
      </c>
      <c r="AH33" s="82">
        <f>IFERROR(AVERAGE(tblSeverityAnalysis[[#This Row],[CCCM]:[WASH]]), "")</f>
        <v>2.75</v>
      </c>
      <c r="AI33" s="27">
        <f>IF(SUM(tblSeverityAnalysis[[#This Row],[CCCM]:[WASH]])=0, "", MAX(tblSeverityAnalysis[[#This Row],[CCCM]:[WASH]]))</f>
        <v>3</v>
      </c>
      <c r="AJ33" s="335" t="str" cm="1">
        <f t="array" ref="AJ33">IFERROR(IF(tblSeverityAnalysis[[#This Row],[Highest Severity]]="", "", _xlfn.TEXTJOIN(CHAR(10), TRUE, IF(tblSeverityAnalysis[[#This Row],[CCCM]:[WASH]]=tblSeverityAnalysis[[#This Row],[Highest Severity]], tblSeverityAnalysis[[#Headers],[CCCM]:[WASH]], ""), "")), "")</f>
        <v>CCCM
Nutrition
Food Security
Health
Shelter
WASH</v>
      </c>
      <c r="AK33" s="27" cm="1">
        <f t="array" ref="AK33">IFERROR(MAX(_xlfn._xlws.FILTER(tblSeverityAnalysis[[#This Row],[CCCM]:[WASH]], tblSeverityAnalysis[[#This Row],[CCCM]:[WASH]]&lt;tblSeverityAnalysis[[#This Row],[Highest Severity]])), "")</f>
        <v>2</v>
      </c>
      <c r="AL33" s="324" t="str" cm="1">
        <f t="array" ref="AL33">IFERROR(IF(tblSeverityAnalysis[[#This Row],[2nd Highest Severity]]="", "", _xlfn.TEXTJOIN(CHAR(10), TRUE, IF(tblSeverityAnalysis[[#This Row],[CCCM]:[WASH]]=tblSeverityAnalysis[[#This Row],[2nd Highest Severity]], tblSeverityAnalysis[[#Headers],[CCCM]:[WASH]], ""), "")), "")</f>
        <v>Education
Protection</v>
      </c>
      <c r="AM33" s="132" t="str">
        <f>IFERROR(IF(AND(tblSeverityAnalysis[[#This Row],[5]] &lt;&gt; "", tblSeverityAnalysis[[#This Row],[5]]&gt;=sectors_sev_5), "Flagged", ""), "")</f>
        <v/>
      </c>
      <c r="AN33" s="133" t="str">
        <f>IFERROR(IF(AND(tblSeverityAnalysis[[#This Row],[Preliminary Intersectoral Severity based on overlap of sectoral deprivations]]=4, SUM(tblSeverityAnalysis[[#This Row],[ 4 ]:[5]])&gt;=sectors_sev_4), "Flagged", ""), "")</f>
        <v/>
      </c>
      <c r="AO33" s="133" t="str" cm="1">
        <f t="array" ref="AO3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3" s="337"/>
      <c r="AR33" s="338"/>
      <c r="AS33" s="337"/>
      <c r="AT33" s="353">
        <f>COUNTIF(tblSeverityAnalysis[[#This Row],[1 sector in severity phase 5 '[modify the threshold']]:[Manual Flag]], "Flagged")</f>
        <v>2</v>
      </c>
      <c r="AU33" s="339">
        <f>tblSeverityAnalysis[[#This Row],[Preliminary Intersectoral Severity based on overlap of sectoral deprivations]]</f>
        <v>3</v>
      </c>
      <c r="AV33" s="340"/>
    </row>
    <row r="34" spans="1:48" ht="86.1" hidden="1">
      <c r="A3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Global_PopulationHT0311</v>
      </c>
      <c r="B34" s="39" t="s">
        <v>219</v>
      </c>
      <c r="C34" s="331" t="s">
        <v>220</v>
      </c>
      <c r="D34" s="331" t="s">
        <v>221</v>
      </c>
      <c r="E34" s="34" t="s">
        <v>222</v>
      </c>
      <c r="F34" s="34"/>
      <c r="G34" s="34"/>
      <c r="H34" s="358"/>
      <c r="I34" s="354">
        <v>303590</v>
      </c>
      <c r="J34" s="96" t="s">
        <v>156</v>
      </c>
      <c r="K34" s="305">
        <v>3</v>
      </c>
      <c r="L34" s="308">
        <v>3</v>
      </c>
      <c r="M34" s="308">
        <v>3</v>
      </c>
      <c r="N34" s="308">
        <v>3</v>
      </c>
      <c r="O34" s="308">
        <v>3</v>
      </c>
      <c r="P34" s="308">
        <v>2</v>
      </c>
      <c r="Q34" s="309">
        <v>3</v>
      </c>
      <c r="R34" s="341">
        <v>3</v>
      </c>
      <c r="S34" s="310"/>
      <c r="T34" s="308"/>
      <c r="U34" s="308"/>
      <c r="V34" s="308"/>
      <c r="W34" s="332" t="str">
        <f>IF(COUNTIF(tblSeverityAnalysis[[#This Row],[CCCM]:[WASH]], 1)=0, "", COUNTIF(tblSeverityAnalysis[[#This Row],[CCCM]:[WASH]], 1))</f>
        <v/>
      </c>
      <c r="X34" s="333">
        <f>IF(COUNTIF(tblSeverityAnalysis[[#This Row],[CCCM]:[WASH]], 2)=0, "", COUNTIF(tblSeverityAnalysis[[#This Row],[CCCM]:[WASH]], 2))</f>
        <v>1</v>
      </c>
      <c r="Y34" s="333">
        <f>IF(COUNTIF(tblSeverityAnalysis[[#This Row],[CCCM]:[WASH]], 3)=0, "", COUNTIF(tblSeverityAnalysis[[#This Row],[CCCM]:[WASH]], 3))</f>
        <v>7</v>
      </c>
      <c r="Z34" s="333" t="str">
        <f>IF(COUNTIF(tblSeverityAnalysis[[#This Row],[CCCM]:[WASH]], 4)=0, "", COUNTIF(tblSeverityAnalysis[[#This Row],[CCCM]:[WASH]], 4))</f>
        <v/>
      </c>
      <c r="AA34" s="334" t="str">
        <f>IF(COUNTIF(tblSeverityAnalysis[[#This Row],[CCCM]:[WASH]], 5)=0, "", COUNTIF(tblSeverityAnalysis[[#This Row],[CCCM]:[WASH]], 5))</f>
        <v/>
      </c>
      <c r="AB34" s="60" cm="1">
        <f t="array" ref="AB3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4"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4" s="33">
        <f>IFERROR(IF(INDEX(tblSeverityReference[Malnutrition Severity],MATCH(tblSeverityAnalysis[[#This Row],[ID]], tblSeverityReference[ID], 0))= "", "",INDEX(tblSeverityReference[Malnutrition Severity],MATCH(tblSeverityAnalysis[[#This Row],[ID]], tblSeverityReference[ID], 0)) ), "")</f>
        <v>2</v>
      </c>
      <c r="AE34" s="347">
        <f>IFERROR(IF(INDEX(tblSeverityReference[Epidemic Severity],MATCH(tblSeverityAnalysis[[#This Row],[ID]], tblSeverityReference[ID], 0))= "", "",INDEX(tblSeverityReference[Epidemic Severity],MATCH(tblSeverityAnalysis[[#This Row],[ID]], tblSeverityReference[ID], 0)) ), "")</f>
        <v>4</v>
      </c>
      <c r="AF34" s="310" t="str">
        <f>IFERROR(IF(INDEX(tblSeverityReference[Coping Strategy Severity],MATCH(tblSeverityAnalysis[[#This Row],[ID]], tblSeverityReference[ID], 0))= "", "",INDEX(tblSeverityReference[Coping Strategy Severity],MATCH(tblSeverityAnalysis[[#This Row],[ID]], tblSeverityReference[ID], 0)) ), "")</f>
        <v/>
      </c>
      <c r="AG34" s="348">
        <f>IFERROR(IF(INDEX(tblSeverityReference[HR/IHL Violation],MATCH(tblSeverityAnalysis[[#This Row],[ID]], tblSeverityReference[ID], 0))= "", "",INDEX(tblSeverityReference[HR/IHL Violation],MATCH(tblSeverityAnalysis[[#This Row],[ID]], tblSeverityReference[ID], 0)) ), "")</f>
        <v>3</v>
      </c>
      <c r="AH34" s="82">
        <f>IFERROR(AVERAGE(tblSeverityAnalysis[[#This Row],[CCCM]:[WASH]]), "")</f>
        <v>2.875</v>
      </c>
      <c r="AI34" s="27">
        <f>IF(SUM(tblSeverityAnalysis[[#This Row],[CCCM]:[WASH]])=0, "", MAX(tblSeverityAnalysis[[#This Row],[CCCM]:[WASH]]))</f>
        <v>3</v>
      </c>
      <c r="AJ34" s="335" t="str" cm="1">
        <f t="array" ref="AJ34">IFERROR(IF(tblSeverityAnalysis[[#This Row],[Highest Severity]]="", "", _xlfn.TEXTJOIN(CHAR(10), TRUE, IF(tblSeverityAnalysis[[#This Row],[CCCM]:[WASH]]=tblSeverityAnalysis[[#This Row],[Highest Severity]], tblSeverityAnalysis[[#Headers],[CCCM]:[WASH]], ""), "")), "")</f>
        <v>CCCM
Education
Nutrition
Food Security
Health
Shelter
WASH</v>
      </c>
      <c r="AK34" s="27" cm="1">
        <f t="array" ref="AK34">IFERROR(MAX(_xlfn._xlws.FILTER(tblSeverityAnalysis[[#This Row],[CCCM]:[WASH]], tblSeverityAnalysis[[#This Row],[CCCM]:[WASH]]&lt;tblSeverityAnalysis[[#This Row],[Highest Severity]])), "")</f>
        <v>2</v>
      </c>
      <c r="AL34" s="324" t="str" cm="1">
        <f t="array" ref="AL34">IFERROR(IF(tblSeverityAnalysis[[#This Row],[2nd Highest Severity]]="", "", _xlfn.TEXTJOIN(CHAR(10), TRUE, IF(tblSeverityAnalysis[[#This Row],[CCCM]:[WASH]]=tblSeverityAnalysis[[#This Row],[2nd Highest Severity]], tblSeverityAnalysis[[#Headers],[CCCM]:[WASH]], ""), "")), "")</f>
        <v>Protection</v>
      </c>
      <c r="AM34" s="132" t="str">
        <f>IFERROR(IF(AND(tblSeverityAnalysis[[#This Row],[5]] &lt;&gt; "", tblSeverityAnalysis[[#This Row],[5]]&gt;=sectors_sev_5), "Flagged", ""), "")</f>
        <v/>
      </c>
      <c r="AN34" s="133" t="str">
        <f>IFERROR(IF(AND(tblSeverityAnalysis[[#This Row],[Preliminary Intersectoral Severity based on overlap of sectoral deprivations]]=4, SUM(tblSeverityAnalysis[[#This Row],[ 4 ]:[5]])&gt;=sectors_sev_4), "Flagged", ""), "")</f>
        <v/>
      </c>
      <c r="AO34" s="133" t="str" cm="1">
        <f t="array" ref="AO3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4" s="337"/>
      <c r="AR34" s="338"/>
      <c r="AS34" s="337"/>
      <c r="AT34" s="353">
        <f>COUNTIF(tblSeverityAnalysis[[#This Row],[1 sector in severity phase 5 '[modify the threshold']]:[Manual Flag]], "Flagged")</f>
        <v>2</v>
      </c>
      <c r="AU34" s="339">
        <f>tblSeverityAnalysis[[#This Row],[Preliminary Intersectoral Severity based on overlap of sectoral deprivations]]</f>
        <v>3</v>
      </c>
      <c r="AV34" s="340"/>
    </row>
    <row r="35" spans="1:48" ht="49.15" hidden="1">
      <c r="A3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Global_PopulationHT0312</v>
      </c>
      <c r="B35" s="39" t="s">
        <v>219</v>
      </c>
      <c r="C35" s="331" t="s">
        <v>220</v>
      </c>
      <c r="D35" s="331" t="s">
        <v>223</v>
      </c>
      <c r="E35" s="34" t="s">
        <v>224</v>
      </c>
      <c r="F35" s="34"/>
      <c r="G35" s="34"/>
      <c r="H35" s="357"/>
      <c r="I35" s="354">
        <v>29881</v>
      </c>
      <c r="J35" s="96" t="s">
        <v>156</v>
      </c>
      <c r="K35" s="305">
        <v>3</v>
      </c>
      <c r="L35" s="308">
        <v>3</v>
      </c>
      <c r="M35" s="308">
        <v>3</v>
      </c>
      <c r="N35" s="308">
        <v>3</v>
      </c>
      <c r="O35" s="308">
        <v>2</v>
      </c>
      <c r="P35" s="308">
        <v>2</v>
      </c>
      <c r="Q35" s="309">
        <v>1</v>
      </c>
      <c r="R35" s="341">
        <v>2</v>
      </c>
      <c r="S35" s="310"/>
      <c r="T35" s="308"/>
      <c r="U35" s="308"/>
      <c r="V35" s="308"/>
      <c r="W35" s="332">
        <f>IF(COUNTIF(tblSeverityAnalysis[[#This Row],[CCCM]:[WASH]], 1)=0, "", COUNTIF(tblSeverityAnalysis[[#This Row],[CCCM]:[WASH]], 1))</f>
        <v>1</v>
      </c>
      <c r="X35" s="333">
        <f>IF(COUNTIF(tblSeverityAnalysis[[#This Row],[CCCM]:[WASH]], 2)=0, "", COUNTIF(tblSeverityAnalysis[[#This Row],[CCCM]:[WASH]], 2))</f>
        <v>3</v>
      </c>
      <c r="Y35" s="333">
        <f>IF(COUNTIF(tblSeverityAnalysis[[#This Row],[CCCM]:[WASH]], 3)=0, "", COUNTIF(tblSeverityAnalysis[[#This Row],[CCCM]:[WASH]], 3))</f>
        <v>4</v>
      </c>
      <c r="Z35" s="333" t="str">
        <f>IF(COUNTIF(tblSeverityAnalysis[[#This Row],[CCCM]:[WASH]], 4)=0, "", COUNTIF(tblSeverityAnalysis[[#This Row],[CCCM]:[WASH]], 4))</f>
        <v/>
      </c>
      <c r="AA35" s="334" t="str">
        <f>IF(COUNTIF(tblSeverityAnalysis[[#This Row],[CCCM]:[WASH]], 5)=0, "", COUNTIF(tblSeverityAnalysis[[#This Row],[CCCM]:[WASH]], 5))</f>
        <v/>
      </c>
      <c r="AB35" s="60" cm="1">
        <f t="array" ref="AB3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5"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5" s="33">
        <f>IFERROR(IF(INDEX(tblSeverityReference[Malnutrition Severity],MATCH(tblSeverityAnalysis[[#This Row],[ID]], tblSeverityReference[ID], 0))= "", "",INDEX(tblSeverityReference[Malnutrition Severity],MATCH(tblSeverityAnalysis[[#This Row],[ID]], tblSeverityReference[ID], 0)) ), "")</f>
        <v>2</v>
      </c>
      <c r="AE35" s="347">
        <f>IFERROR(IF(INDEX(tblSeverityReference[Epidemic Severity],MATCH(tblSeverityAnalysis[[#This Row],[ID]], tblSeverityReference[ID], 0))= "", "",INDEX(tblSeverityReference[Epidemic Severity],MATCH(tblSeverityAnalysis[[#This Row],[ID]], tblSeverityReference[ID], 0)) ), "")</f>
        <v>3</v>
      </c>
      <c r="AF35" s="310" t="str">
        <f>IFERROR(IF(INDEX(tblSeverityReference[Coping Strategy Severity],MATCH(tblSeverityAnalysis[[#This Row],[ID]], tblSeverityReference[ID], 0))= "", "",INDEX(tblSeverityReference[Coping Strategy Severity],MATCH(tblSeverityAnalysis[[#This Row],[ID]], tblSeverityReference[ID], 0)) ), "")</f>
        <v/>
      </c>
      <c r="AG35" s="108">
        <f>IFERROR(IF(INDEX(tblSeverityReference[HR/IHL Violation],MATCH(tblSeverityAnalysis[[#This Row],[ID]], tblSeverityReference[ID], 0))= "", "",INDEX(tblSeverityReference[HR/IHL Violation],MATCH(tblSeverityAnalysis[[#This Row],[ID]], tblSeverityReference[ID], 0)) ), "")</f>
        <v>3</v>
      </c>
      <c r="AH35" s="82">
        <f>IFERROR(AVERAGE(tblSeverityAnalysis[[#This Row],[CCCM]:[WASH]]), "")</f>
        <v>2.375</v>
      </c>
      <c r="AI35" s="27">
        <f>IF(SUM(tblSeverityAnalysis[[#This Row],[CCCM]:[WASH]])=0, "", MAX(tblSeverityAnalysis[[#This Row],[CCCM]:[WASH]]))</f>
        <v>3</v>
      </c>
      <c r="AJ35" s="335" t="str" cm="1">
        <f t="array" ref="AJ35">IFERROR(IF(tblSeverityAnalysis[[#This Row],[Highest Severity]]="", "", _xlfn.TEXTJOIN(CHAR(10), TRUE, IF(tblSeverityAnalysis[[#This Row],[CCCM]:[WASH]]=tblSeverityAnalysis[[#This Row],[Highest Severity]], tblSeverityAnalysis[[#Headers],[CCCM]:[WASH]], ""), "")), "")</f>
        <v>CCCM
Education
Nutrition
Food Security</v>
      </c>
      <c r="AK35" s="27" cm="1">
        <f t="array" ref="AK35">IFERROR(MAX(_xlfn._xlws.FILTER(tblSeverityAnalysis[[#This Row],[CCCM]:[WASH]], tblSeverityAnalysis[[#This Row],[CCCM]:[WASH]]&lt;tblSeverityAnalysis[[#This Row],[Highest Severity]])), "")</f>
        <v>2</v>
      </c>
      <c r="AL35" s="324" t="str" cm="1">
        <f t="array" ref="AL35">IFERROR(IF(tblSeverityAnalysis[[#This Row],[2nd Highest Severity]]="", "", _xlfn.TEXTJOIN(CHAR(10), TRUE, IF(tblSeverityAnalysis[[#This Row],[CCCM]:[WASH]]=tblSeverityAnalysis[[#This Row],[2nd Highest Severity]], tblSeverityAnalysis[[#Headers],[CCCM]:[WASH]], ""), "")), "")</f>
        <v>Health
Protection
WASH</v>
      </c>
      <c r="AM35" s="132" t="str">
        <f>IFERROR(IF(AND(tblSeverityAnalysis[[#This Row],[5]] &lt;&gt; "", tblSeverityAnalysis[[#This Row],[5]]&gt;=sectors_sev_5), "Flagged", ""), "")</f>
        <v/>
      </c>
      <c r="AN35" s="133" t="str">
        <f>IFERROR(IF(AND(tblSeverityAnalysis[[#This Row],[Preliminary Intersectoral Severity based on overlap of sectoral deprivations]]=4, SUM(tblSeverityAnalysis[[#This Row],[ 4 ]:[5]])&gt;=sectors_sev_4), "Flagged", ""), "")</f>
        <v/>
      </c>
      <c r="AO35" s="133" t="str" cm="1">
        <f t="array" ref="AO3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5" s="337"/>
      <c r="AR35" s="338"/>
      <c r="AS35" s="337"/>
      <c r="AT35" s="353">
        <f>COUNTIF(tblSeverityAnalysis[[#This Row],[1 sector in severity phase 5 '[modify the threshold']]:[Manual Flag]], "Flagged")</f>
        <v>1</v>
      </c>
      <c r="AU35" s="339">
        <f>tblSeverityAnalysis[[#This Row],[Preliminary Intersectoral Severity based on overlap of sectoral deprivations]]</f>
        <v>3</v>
      </c>
      <c r="AV35" s="340"/>
    </row>
    <row r="36" spans="1:48" ht="61.5" hidden="1">
      <c r="A3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Global_PopulationHT0313</v>
      </c>
      <c r="B36" s="39" t="s">
        <v>219</v>
      </c>
      <c r="C36" s="331" t="s">
        <v>220</v>
      </c>
      <c r="D36" s="331" t="s">
        <v>225</v>
      </c>
      <c r="E36" s="34" t="s">
        <v>226</v>
      </c>
      <c r="F36" s="34"/>
      <c r="G36" s="34"/>
      <c r="H36" s="358"/>
      <c r="I36" s="354">
        <v>61261</v>
      </c>
      <c r="J36" s="96" t="s">
        <v>156</v>
      </c>
      <c r="K36" s="305">
        <v>3</v>
      </c>
      <c r="L36" s="308">
        <v>3</v>
      </c>
      <c r="M36" s="308">
        <v>2</v>
      </c>
      <c r="N36" s="308">
        <v>3</v>
      </c>
      <c r="O36" s="308">
        <v>3</v>
      </c>
      <c r="P36" s="308">
        <v>2</v>
      </c>
      <c r="Q36" s="309">
        <v>2</v>
      </c>
      <c r="R36" s="341">
        <v>3</v>
      </c>
      <c r="S36" s="310"/>
      <c r="T36" s="308"/>
      <c r="U36" s="308"/>
      <c r="V36" s="308"/>
      <c r="W36" s="332" t="str">
        <f>IF(COUNTIF(tblSeverityAnalysis[[#This Row],[CCCM]:[WASH]], 1)=0, "", COUNTIF(tblSeverityAnalysis[[#This Row],[CCCM]:[WASH]], 1))</f>
        <v/>
      </c>
      <c r="X36" s="333">
        <f>IF(COUNTIF(tblSeverityAnalysis[[#This Row],[CCCM]:[WASH]], 2)=0, "", COUNTIF(tblSeverityAnalysis[[#This Row],[CCCM]:[WASH]], 2))</f>
        <v>3</v>
      </c>
      <c r="Y36" s="333">
        <f>IF(COUNTIF(tblSeverityAnalysis[[#This Row],[CCCM]:[WASH]], 3)=0, "", COUNTIF(tblSeverityAnalysis[[#This Row],[CCCM]:[WASH]], 3))</f>
        <v>5</v>
      </c>
      <c r="Z36" s="333" t="str">
        <f>IF(COUNTIF(tblSeverityAnalysis[[#This Row],[CCCM]:[WASH]], 4)=0, "", COUNTIF(tblSeverityAnalysis[[#This Row],[CCCM]:[WASH]], 4))</f>
        <v/>
      </c>
      <c r="AA36" s="334" t="str">
        <f>IF(COUNTIF(tblSeverityAnalysis[[#This Row],[CCCM]:[WASH]], 5)=0, "", COUNTIF(tblSeverityAnalysis[[#This Row],[CCCM]:[WASH]], 5))</f>
        <v/>
      </c>
      <c r="AB36" s="60" cm="1">
        <f t="array" ref="AB3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36" s="33">
        <f>IFERROR(IF(INDEX(tblSeverityReference[Malnutrition Severity],MATCH(tblSeverityAnalysis[[#This Row],[ID]], tblSeverityReference[ID], 0))= "", "",INDEX(tblSeverityReference[Malnutrition Severity],MATCH(tblSeverityAnalysis[[#This Row],[ID]], tblSeverityReference[ID], 0)) ), "")</f>
        <v>2</v>
      </c>
      <c r="AE36" s="347">
        <f>IFERROR(IF(INDEX(tblSeverityReference[Epidemic Severity],MATCH(tblSeverityAnalysis[[#This Row],[ID]], tblSeverityReference[ID], 0))= "", "",INDEX(tblSeverityReference[Epidemic Severity],MATCH(tblSeverityAnalysis[[#This Row],[ID]], tblSeverityReference[ID], 0)) ), "")</f>
        <v>1</v>
      </c>
      <c r="AF36" s="310" t="str">
        <f>IFERROR(IF(INDEX(tblSeverityReference[Coping Strategy Severity],MATCH(tblSeverityAnalysis[[#This Row],[ID]], tblSeverityReference[ID], 0))= "", "",INDEX(tblSeverityReference[Coping Strategy Severity],MATCH(tblSeverityAnalysis[[#This Row],[ID]], tblSeverityReference[ID], 0)) ), "")</f>
        <v/>
      </c>
      <c r="AG36" s="348">
        <f>IFERROR(IF(INDEX(tblSeverityReference[HR/IHL Violation],MATCH(tblSeverityAnalysis[[#This Row],[ID]], tblSeverityReference[ID], 0))= "", "",INDEX(tblSeverityReference[HR/IHL Violation],MATCH(tblSeverityAnalysis[[#This Row],[ID]], tblSeverityReference[ID], 0)) ), "")</f>
        <v>3</v>
      </c>
      <c r="AH36" s="82">
        <f>IFERROR(AVERAGE(tblSeverityAnalysis[[#This Row],[CCCM]:[WASH]]), "")</f>
        <v>2.625</v>
      </c>
      <c r="AI36" s="27">
        <f>IF(SUM(tblSeverityAnalysis[[#This Row],[CCCM]:[WASH]])=0, "", MAX(tblSeverityAnalysis[[#This Row],[CCCM]:[WASH]]))</f>
        <v>3</v>
      </c>
      <c r="AJ36" s="335" t="str" cm="1">
        <f t="array" ref="AJ36">IFERROR(IF(tblSeverityAnalysis[[#This Row],[Highest Severity]]="", "", _xlfn.TEXTJOIN(CHAR(10), TRUE, IF(tblSeverityAnalysis[[#This Row],[CCCM]:[WASH]]=tblSeverityAnalysis[[#This Row],[Highest Severity]], tblSeverityAnalysis[[#Headers],[CCCM]:[WASH]], ""), "")), "")</f>
        <v>CCCM
Education
Food Security
Health
WASH</v>
      </c>
      <c r="AK36" s="27" cm="1">
        <f t="array" ref="AK36">IFERROR(MAX(_xlfn._xlws.FILTER(tblSeverityAnalysis[[#This Row],[CCCM]:[WASH]], tblSeverityAnalysis[[#This Row],[CCCM]:[WASH]]&lt;tblSeverityAnalysis[[#This Row],[Highest Severity]])), "")</f>
        <v>2</v>
      </c>
      <c r="AL36" s="324" t="str" cm="1">
        <f t="array" ref="AL36">IFERROR(IF(tblSeverityAnalysis[[#This Row],[2nd Highest Severity]]="", "", _xlfn.TEXTJOIN(CHAR(10), TRUE, IF(tblSeverityAnalysis[[#This Row],[CCCM]:[WASH]]=tblSeverityAnalysis[[#This Row],[2nd Highest Severity]], tblSeverityAnalysis[[#Headers],[CCCM]:[WASH]], ""), "")), "")</f>
        <v>Nutrition
Protection
Shelter</v>
      </c>
      <c r="AM36" s="132" t="str">
        <f>IFERROR(IF(AND(tblSeverityAnalysis[[#This Row],[5]] &lt;&gt; "", tblSeverityAnalysis[[#This Row],[5]]&gt;=sectors_sev_5), "Flagged", ""), "")</f>
        <v/>
      </c>
      <c r="AN36" s="133" t="str">
        <f>IFERROR(IF(AND(tblSeverityAnalysis[[#This Row],[Preliminary Intersectoral Severity based on overlap of sectoral deprivations]]=4, SUM(tblSeverityAnalysis[[#This Row],[ 4 ]:[5]])&gt;=sectors_sev_4), "Flagged", ""), "")</f>
        <v/>
      </c>
      <c r="AO36" s="133" t="str" cm="1">
        <f t="array" ref="AO3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6" s="337"/>
      <c r="AR36" s="338"/>
      <c r="AS36" s="337"/>
      <c r="AT36" s="353">
        <f>COUNTIF(tblSeverityAnalysis[[#This Row],[1 sector in severity phase 5 '[modify the threshold']]:[Manual Flag]], "Flagged")</f>
        <v>2</v>
      </c>
      <c r="AU36" s="339">
        <f>tblSeverityAnalysis[[#This Row],[Preliminary Intersectoral Severity based on overlap of sectoral deprivations]]</f>
        <v>3</v>
      </c>
      <c r="AV36" s="340"/>
    </row>
    <row r="37" spans="1:48" ht="49.15" hidden="1">
      <c r="A3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Global_PopulationHT0321</v>
      </c>
      <c r="B37" s="39" t="s">
        <v>219</v>
      </c>
      <c r="C37" s="331" t="s">
        <v>220</v>
      </c>
      <c r="D37" s="331" t="s">
        <v>227</v>
      </c>
      <c r="E37" s="34" t="s">
        <v>228</v>
      </c>
      <c r="F37" s="34"/>
      <c r="G37" s="34"/>
      <c r="H37" s="357"/>
      <c r="I37" s="354">
        <v>59632</v>
      </c>
      <c r="J37" s="96" t="s">
        <v>156</v>
      </c>
      <c r="K37" s="305">
        <v>1</v>
      </c>
      <c r="L37" s="308">
        <v>3</v>
      </c>
      <c r="M37" s="308">
        <v>2</v>
      </c>
      <c r="N37" s="308">
        <v>3</v>
      </c>
      <c r="O37" s="308">
        <v>2</v>
      </c>
      <c r="P37" s="308">
        <v>2</v>
      </c>
      <c r="Q37" s="309">
        <v>3</v>
      </c>
      <c r="R37" s="341">
        <v>3</v>
      </c>
      <c r="S37" s="310"/>
      <c r="T37" s="308"/>
      <c r="U37" s="308"/>
      <c r="V37" s="308"/>
      <c r="W37" s="332">
        <f>IF(COUNTIF(tblSeverityAnalysis[[#This Row],[CCCM]:[WASH]], 1)=0, "", COUNTIF(tblSeverityAnalysis[[#This Row],[CCCM]:[WASH]], 1))</f>
        <v>1</v>
      </c>
      <c r="X37" s="333">
        <f>IF(COUNTIF(tblSeverityAnalysis[[#This Row],[CCCM]:[WASH]], 2)=0, "", COUNTIF(tblSeverityAnalysis[[#This Row],[CCCM]:[WASH]], 2))</f>
        <v>3</v>
      </c>
      <c r="Y37" s="333">
        <f>IF(COUNTIF(tblSeverityAnalysis[[#This Row],[CCCM]:[WASH]], 3)=0, "", COUNTIF(tblSeverityAnalysis[[#This Row],[CCCM]:[WASH]], 3))</f>
        <v>4</v>
      </c>
      <c r="Z37" s="333" t="str">
        <f>IF(COUNTIF(tblSeverityAnalysis[[#This Row],[CCCM]:[WASH]], 4)=0, "", COUNTIF(tblSeverityAnalysis[[#This Row],[CCCM]:[WASH]], 4))</f>
        <v/>
      </c>
      <c r="AA37" s="334" t="str">
        <f>IF(COUNTIF(tblSeverityAnalysis[[#This Row],[CCCM]:[WASH]], 5)=0, "", COUNTIF(tblSeverityAnalysis[[#This Row],[CCCM]:[WASH]], 5))</f>
        <v/>
      </c>
      <c r="AB37" s="60" cm="1">
        <f t="array" ref="AB3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3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37" s="33">
        <f>IFERROR(IF(INDEX(tblSeverityReference[Malnutrition Severity],MATCH(tblSeverityAnalysis[[#This Row],[ID]], tblSeverityReference[ID], 0))= "", "",INDEX(tblSeverityReference[Malnutrition Severity],MATCH(tblSeverityAnalysis[[#This Row],[ID]], tblSeverityReference[ID], 0)) ), "")</f>
        <v>2</v>
      </c>
      <c r="AE37" s="347">
        <f>IFERROR(IF(INDEX(tblSeverityReference[Epidemic Severity],MATCH(tblSeverityAnalysis[[#This Row],[ID]], tblSeverityReference[ID], 0))= "", "",INDEX(tblSeverityReference[Epidemic Severity],MATCH(tblSeverityAnalysis[[#This Row],[ID]], tblSeverityReference[ID], 0)) ), "")</f>
        <v>3</v>
      </c>
      <c r="AF37" s="310" t="str">
        <f>IFERROR(IF(INDEX(tblSeverityReference[Coping Strategy Severity],MATCH(tblSeverityAnalysis[[#This Row],[ID]], tblSeverityReference[ID], 0))= "", "",INDEX(tblSeverityReference[Coping Strategy Severity],MATCH(tblSeverityAnalysis[[#This Row],[ID]], tblSeverityReference[ID], 0)) ), "")</f>
        <v/>
      </c>
      <c r="AG37" s="108">
        <f>IFERROR(IF(INDEX(tblSeverityReference[HR/IHL Violation],MATCH(tblSeverityAnalysis[[#This Row],[ID]], tblSeverityReference[ID], 0))= "", "",INDEX(tblSeverityReference[HR/IHL Violation],MATCH(tblSeverityAnalysis[[#This Row],[ID]], tblSeverityReference[ID], 0)) ), "")</f>
        <v>3</v>
      </c>
      <c r="AH37" s="82">
        <f>IFERROR(AVERAGE(tblSeverityAnalysis[[#This Row],[CCCM]:[WASH]]), "")</f>
        <v>2.375</v>
      </c>
      <c r="AI37" s="27">
        <f>IF(SUM(tblSeverityAnalysis[[#This Row],[CCCM]:[WASH]])=0, "", MAX(tblSeverityAnalysis[[#This Row],[CCCM]:[WASH]]))</f>
        <v>3</v>
      </c>
      <c r="AJ37" s="335" t="str" cm="1">
        <f t="array" ref="AJ37">IFERROR(IF(tblSeverityAnalysis[[#This Row],[Highest Severity]]="", "", _xlfn.TEXTJOIN(CHAR(10), TRUE, IF(tblSeverityAnalysis[[#This Row],[CCCM]:[WASH]]=tblSeverityAnalysis[[#This Row],[Highest Severity]], tblSeverityAnalysis[[#Headers],[CCCM]:[WASH]], ""), "")), "")</f>
        <v>Education
Food Security
Shelter
WASH</v>
      </c>
      <c r="AK37" s="27" cm="1">
        <f t="array" ref="AK37">IFERROR(MAX(_xlfn._xlws.FILTER(tblSeverityAnalysis[[#This Row],[CCCM]:[WASH]], tblSeverityAnalysis[[#This Row],[CCCM]:[WASH]]&lt;tblSeverityAnalysis[[#This Row],[Highest Severity]])), "")</f>
        <v>2</v>
      </c>
      <c r="AL37" s="324" t="str" cm="1">
        <f t="array" ref="AL37">IFERROR(IF(tblSeverityAnalysis[[#This Row],[2nd Highest Severity]]="", "", _xlfn.TEXTJOIN(CHAR(10), TRUE, IF(tblSeverityAnalysis[[#This Row],[CCCM]:[WASH]]=tblSeverityAnalysis[[#This Row],[2nd Highest Severity]], tblSeverityAnalysis[[#Headers],[CCCM]:[WASH]], ""), "")), "")</f>
        <v>Nutrition
Health
Protection</v>
      </c>
      <c r="AM37" s="132" t="str">
        <f>IFERROR(IF(AND(tblSeverityAnalysis[[#This Row],[5]] &lt;&gt; "", tblSeverityAnalysis[[#This Row],[5]]&gt;=sectors_sev_5), "Flagged", ""), "")</f>
        <v/>
      </c>
      <c r="AN37" s="133" t="str">
        <f>IFERROR(IF(AND(tblSeverityAnalysis[[#This Row],[Preliminary Intersectoral Severity based on overlap of sectoral deprivations]]=4, SUM(tblSeverityAnalysis[[#This Row],[ 4 ]:[5]])&gt;=sectors_sev_4), "Flagged", ""), "")</f>
        <v/>
      </c>
      <c r="AO37" s="133" t="str" cm="1">
        <f t="array" ref="AO3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3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7" s="337"/>
      <c r="AR37" s="338"/>
      <c r="AS37" s="337"/>
      <c r="AT37" s="353">
        <f>COUNTIF(tblSeverityAnalysis[[#This Row],[1 sector in severity phase 5 '[modify the threshold']]:[Manual Flag]], "Flagged")</f>
        <v>1</v>
      </c>
      <c r="AU37" s="339">
        <f>tblSeverityAnalysis[[#This Row],[Preliminary Intersectoral Severity based on overlap of sectoral deprivations]]</f>
        <v>3</v>
      </c>
      <c r="AV37" s="340"/>
    </row>
    <row r="38" spans="1:48" ht="61.5" hidden="1">
      <c r="A3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Global_PopulationHT0322</v>
      </c>
      <c r="B38" s="39" t="s">
        <v>219</v>
      </c>
      <c r="C38" s="331" t="s">
        <v>220</v>
      </c>
      <c r="D38" s="331" t="s">
        <v>229</v>
      </c>
      <c r="E38" s="34" t="s">
        <v>230</v>
      </c>
      <c r="F38" s="34"/>
      <c r="G38" s="34"/>
      <c r="H38" s="358"/>
      <c r="I38" s="354">
        <v>43982</v>
      </c>
      <c r="J38" s="96" t="s">
        <v>156</v>
      </c>
      <c r="K38" s="305">
        <v>1</v>
      </c>
      <c r="L38" s="308">
        <v>3</v>
      </c>
      <c r="M38" s="308">
        <v>2</v>
      </c>
      <c r="N38" s="308">
        <v>3</v>
      </c>
      <c r="O38" s="308">
        <v>2</v>
      </c>
      <c r="P38" s="308">
        <v>2</v>
      </c>
      <c r="Q38" s="309">
        <v>2</v>
      </c>
      <c r="R38" s="341">
        <v>2</v>
      </c>
      <c r="S38" s="310"/>
      <c r="T38" s="308"/>
      <c r="U38" s="308"/>
      <c r="V38" s="308"/>
      <c r="W38" s="332">
        <f>IF(COUNTIF(tblSeverityAnalysis[[#This Row],[CCCM]:[WASH]], 1)=0, "", COUNTIF(tblSeverityAnalysis[[#This Row],[CCCM]:[WASH]], 1))</f>
        <v>1</v>
      </c>
      <c r="X38" s="333">
        <f>IF(COUNTIF(tblSeverityAnalysis[[#This Row],[CCCM]:[WASH]], 2)=0, "", COUNTIF(tblSeverityAnalysis[[#This Row],[CCCM]:[WASH]], 2))</f>
        <v>5</v>
      </c>
      <c r="Y38" s="333">
        <f>IF(COUNTIF(tblSeverityAnalysis[[#This Row],[CCCM]:[WASH]], 3)=0, "", COUNTIF(tblSeverityAnalysis[[#This Row],[CCCM]:[WASH]], 3))</f>
        <v>2</v>
      </c>
      <c r="Z38" s="333" t="str">
        <f>IF(COUNTIF(tblSeverityAnalysis[[#This Row],[CCCM]:[WASH]], 4)=0, "", COUNTIF(tblSeverityAnalysis[[#This Row],[CCCM]:[WASH]], 4))</f>
        <v/>
      </c>
      <c r="AA38" s="334" t="str">
        <f>IF(COUNTIF(tblSeverityAnalysis[[#This Row],[CCCM]:[WASH]], 5)=0, "", COUNTIF(tblSeverityAnalysis[[#This Row],[CCCM]:[WASH]], 5))</f>
        <v/>
      </c>
      <c r="AB38" s="60" cm="1">
        <f t="array" ref="AB3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38"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38" s="33">
        <f>IFERROR(IF(INDEX(tblSeverityReference[Malnutrition Severity],MATCH(tblSeverityAnalysis[[#This Row],[ID]], tblSeverityReference[ID], 0))= "", "",INDEX(tblSeverityReference[Malnutrition Severity],MATCH(tblSeverityAnalysis[[#This Row],[ID]], tblSeverityReference[ID], 0)) ), "")</f>
        <v>2</v>
      </c>
      <c r="AE38" s="347">
        <f>IFERROR(IF(INDEX(tblSeverityReference[Epidemic Severity],MATCH(tblSeverityAnalysis[[#This Row],[ID]], tblSeverityReference[ID], 0))= "", "",INDEX(tblSeverityReference[Epidemic Severity],MATCH(tblSeverityAnalysis[[#This Row],[ID]], tblSeverityReference[ID], 0)) ), "")</f>
        <v>3</v>
      </c>
      <c r="AF38" s="310" t="str">
        <f>IFERROR(IF(INDEX(tblSeverityReference[Coping Strategy Severity],MATCH(tblSeverityAnalysis[[#This Row],[ID]], tblSeverityReference[ID], 0))= "", "",INDEX(tblSeverityReference[Coping Strategy Severity],MATCH(tblSeverityAnalysis[[#This Row],[ID]], tblSeverityReference[ID], 0)) ), "")</f>
        <v/>
      </c>
      <c r="AG38" s="348">
        <f>IFERROR(IF(INDEX(tblSeverityReference[HR/IHL Violation],MATCH(tblSeverityAnalysis[[#This Row],[ID]], tblSeverityReference[ID], 0))= "", "",INDEX(tblSeverityReference[HR/IHL Violation],MATCH(tblSeverityAnalysis[[#This Row],[ID]], tblSeverityReference[ID], 0)) ), "")</f>
        <v>2</v>
      </c>
      <c r="AH38" s="82">
        <f>IFERROR(AVERAGE(tblSeverityAnalysis[[#This Row],[CCCM]:[WASH]]), "")</f>
        <v>2.125</v>
      </c>
      <c r="AI38" s="27">
        <f>IF(SUM(tblSeverityAnalysis[[#This Row],[CCCM]:[WASH]])=0, "", MAX(tblSeverityAnalysis[[#This Row],[CCCM]:[WASH]]))</f>
        <v>3</v>
      </c>
      <c r="AJ38" s="335" t="str" cm="1">
        <f t="array" ref="AJ38">IFERROR(IF(tblSeverityAnalysis[[#This Row],[Highest Severity]]="", "", _xlfn.TEXTJOIN(CHAR(10), TRUE, IF(tblSeverityAnalysis[[#This Row],[CCCM]:[WASH]]=tblSeverityAnalysis[[#This Row],[Highest Severity]], tblSeverityAnalysis[[#Headers],[CCCM]:[WASH]], ""), "")), "")</f>
        <v>Education
Food Security</v>
      </c>
      <c r="AK38" s="27" cm="1">
        <f t="array" ref="AK38">IFERROR(MAX(_xlfn._xlws.FILTER(tblSeverityAnalysis[[#This Row],[CCCM]:[WASH]], tblSeverityAnalysis[[#This Row],[CCCM]:[WASH]]&lt;tblSeverityAnalysis[[#This Row],[Highest Severity]])), "")</f>
        <v>2</v>
      </c>
      <c r="AL38" s="324" t="str" cm="1">
        <f t="array" ref="AL38">IFERROR(IF(tblSeverityAnalysis[[#This Row],[2nd Highest Severity]]="", "", _xlfn.TEXTJOIN(CHAR(10), TRUE, IF(tblSeverityAnalysis[[#This Row],[CCCM]:[WASH]]=tblSeverityAnalysis[[#This Row],[2nd Highest Severity]], tblSeverityAnalysis[[#Headers],[CCCM]:[WASH]], ""), "")), "")</f>
        <v>Nutrition
Health
Protection
Shelter
WASH</v>
      </c>
      <c r="AM38" s="132" t="str">
        <f>IFERROR(IF(AND(tblSeverityAnalysis[[#This Row],[5]] &lt;&gt; "", tblSeverityAnalysis[[#This Row],[5]]&gt;=sectors_sev_5), "Flagged", ""), "")</f>
        <v/>
      </c>
      <c r="AN38" s="133" t="str">
        <f>IFERROR(IF(AND(tblSeverityAnalysis[[#This Row],[Preliminary Intersectoral Severity based on overlap of sectoral deprivations]]=4, SUM(tblSeverityAnalysis[[#This Row],[ 4 ]:[5]])&gt;=sectors_sev_4), "Flagged", ""), "")</f>
        <v/>
      </c>
      <c r="AO38" s="133" t="str" cm="1">
        <f t="array" ref="AO3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38" s="337"/>
      <c r="AR38" s="338"/>
      <c r="AS38" s="337"/>
      <c r="AT38" s="353">
        <f>COUNTIF(tblSeverityAnalysis[[#This Row],[1 sector in severity phase 5 '[modify the threshold']]:[Manual Flag]], "Flagged")</f>
        <v>2</v>
      </c>
      <c r="AU38" s="339">
        <f>tblSeverityAnalysis[[#This Row],[Preliminary Intersectoral Severity based on overlap of sectoral deprivations]]</f>
        <v>2</v>
      </c>
      <c r="AV38" s="340"/>
    </row>
    <row r="39" spans="1:48" ht="61.5" hidden="1">
      <c r="A3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Global_PopulationHT0323</v>
      </c>
      <c r="B39" s="39" t="s">
        <v>219</v>
      </c>
      <c r="C39" s="331" t="s">
        <v>220</v>
      </c>
      <c r="D39" s="331" t="s">
        <v>231</v>
      </c>
      <c r="E39" s="34" t="s">
        <v>232</v>
      </c>
      <c r="F39" s="34"/>
      <c r="G39" s="34"/>
      <c r="H39" s="357"/>
      <c r="I39" s="354">
        <v>34193</v>
      </c>
      <c r="J39" s="96" t="s">
        <v>156</v>
      </c>
      <c r="K39" s="305">
        <v>1</v>
      </c>
      <c r="L39" s="308">
        <v>3</v>
      </c>
      <c r="M39" s="308">
        <v>2</v>
      </c>
      <c r="N39" s="308">
        <v>3</v>
      </c>
      <c r="O39" s="308">
        <v>2</v>
      </c>
      <c r="P39" s="308">
        <v>2</v>
      </c>
      <c r="Q39" s="309">
        <v>2</v>
      </c>
      <c r="R39" s="341">
        <v>2</v>
      </c>
      <c r="S39" s="310"/>
      <c r="T39" s="308"/>
      <c r="U39" s="308"/>
      <c r="V39" s="308"/>
      <c r="W39" s="332">
        <f>IF(COUNTIF(tblSeverityAnalysis[[#This Row],[CCCM]:[WASH]], 1)=0, "", COUNTIF(tblSeverityAnalysis[[#This Row],[CCCM]:[WASH]], 1))</f>
        <v>1</v>
      </c>
      <c r="X39" s="333">
        <f>IF(COUNTIF(tblSeverityAnalysis[[#This Row],[CCCM]:[WASH]], 2)=0, "", COUNTIF(tblSeverityAnalysis[[#This Row],[CCCM]:[WASH]], 2))</f>
        <v>5</v>
      </c>
      <c r="Y39" s="333">
        <f>IF(COUNTIF(tblSeverityAnalysis[[#This Row],[CCCM]:[WASH]], 3)=0, "", COUNTIF(tblSeverityAnalysis[[#This Row],[CCCM]:[WASH]], 3))</f>
        <v>2</v>
      </c>
      <c r="Z39" s="333" t="str">
        <f>IF(COUNTIF(tblSeverityAnalysis[[#This Row],[CCCM]:[WASH]], 4)=0, "", COUNTIF(tblSeverityAnalysis[[#This Row],[CCCM]:[WASH]], 4))</f>
        <v/>
      </c>
      <c r="AA39" s="334" t="str">
        <f>IF(COUNTIF(tblSeverityAnalysis[[#This Row],[CCCM]:[WASH]], 5)=0, "", COUNTIF(tblSeverityAnalysis[[#This Row],[CCCM]:[WASH]], 5))</f>
        <v/>
      </c>
      <c r="AB39" s="60" cm="1">
        <f t="array" ref="AB3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39"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39" s="33">
        <f>IFERROR(IF(INDEX(tblSeverityReference[Malnutrition Severity],MATCH(tblSeverityAnalysis[[#This Row],[ID]], tblSeverityReference[ID], 0))= "", "",INDEX(tblSeverityReference[Malnutrition Severity],MATCH(tblSeverityAnalysis[[#This Row],[ID]], tblSeverityReference[ID], 0)) ), "")</f>
        <v>2</v>
      </c>
      <c r="AE39" s="347">
        <f>IFERROR(IF(INDEX(tblSeverityReference[Epidemic Severity],MATCH(tblSeverityAnalysis[[#This Row],[ID]], tblSeverityReference[ID], 0))= "", "",INDEX(tblSeverityReference[Epidemic Severity],MATCH(tblSeverityAnalysis[[#This Row],[ID]], tblSeverityReference[ID], 0)) ), "")</f>
        <v>1</v>
      </c>
      <c r="AF39" s="310" t="str">
        <f>IFERROR(IF(INDEX(tblSeverityReference[Coping Strategy Severity],MATCH(tblSeverityAnalysis[[#This Row],[ID]], tblSeverityReference[ID], 0))= "", "",INDEX(tblSeverityReference[Coping Strategy Severity],MATCH(tblSeverityAnalysis[[#This Row],[ID]], tblSeverityReference[ID], 0)) ), "")</f>
        <v/>
      </c>
      <c r="AG39" s="108">
        <f>IFERROR(IF(INDEX(tblSeverityReference[HR/IHL Violation],MATCH(tblSeverityAnalysis[[#This Row],[ID]], tblSeverityReference[ID], 0))= "", "",INDEX(tblSeverityReference[HR/IHL Violation],MATCH(tblSeverityAnalysis[[#This Row],[ID]], tblSeverityReference[ID], 0)) ), "")</f>
        <v>2</v>
      </c>
      <c r="AH39" s="82">
        <f>IFERROR(AVERAGE(tblSeverityAnalysis[[#This Row],[CCCM]:[WASH]]), "")</f>
        <v>2.125</v>
      </c>
      <c r="AI39" s="27">
        <f>IF(SUM(tblSeverityAnalysis[[#This Row],[CCCM]:[WASH]])=0, "", MAX(tblSeverityAnalysis[[#This Row],[CCCM]:[WASH]]))</f>
        <v>3</v>
      </c>
      <c r="AJ39" s="335" t="str" cm="1">
        <f t="array" ref="AJ39">IFERROR(IF(tblSeverityAnalysis[[#This Row],[Highest Severity]]="", "", _xlfn.TEXTJOIN(CHAR(10), TRUE, IF(tblSeverityAnalysis[[#This Row],[CCCM]:[WASH]]=tblSeverityAnalysis[[#This Row],[Highest Severity]], tblSeverityAnalysis[[#Headers],[CCCM]:[WASH]], ""), "")), "")</f>
        <v>Education
Food Security</v>
      </c>
      <c r="AK39" s="27" cm="1">
        <f t="array" ref="AK39">IFERROR(MAX(_xlfn._xlws.FILTER(tblSeverityAnalysis[[#This Row],[CCCM]:[WASH]], tblSeverityAnalysis[[#This Row],[CCCM]:[WASH]]&lt;tblSeverityAnalysis[[#This Row],[Highest Severity]])), "")</f>
        <v>2</v>
      </c>
      <c r="AL39" s="324" t="str" cm="1">
        <f t="array" ref="AL39">IFERROR(IF(tblSeverityAnalysis[[#This Row],[2nd Highest Severity]]="", "", _xlfn.TEXTJOIN(CHAR(10), TRUE, IF(tblSeverityAnalysis[[#This Row],[CCCM]:[WASH]]=tblSeverityAnalysis[[#This Row],[2nd Highest Severity]], tblSeverityAnalysis[[#Headers],[CCCM]:[WASH]], ""), "")), "")</f>
        <v>Nutrition
Health
Protection
Shelter
WASH</v>
      </c>
      <c r="AM39" s="132" t="str">
        <f>IFERROR(IF(AND(tblSeverityAnalysis[[#This Row],[5]] &lt;&gt; "", tblSeverityAnalysis[[#This Row],[5]]&gt;=sectors_sev_5), "Flagged", ""), "")</f>
        <v/>
      </c>
      <c r="AN39" s="133" t="str">
        <f>IFERROR(IF(AND(tblSeverityAnalysis[[#This Row],[Preliminary Intersectoral Severity based on overlap of sectoral deprivations]]=4, SUM(tblSeverityAnalysis[[#This Row],[ 4 ]:[5]])&gt;=sectors_sev_4), "Flagged", ""), "")</f>
        <v/>
      </c>
      <c r="AO39" s="133" t="str" cm="1">
        <f t="array" ref="AO3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3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39" s="337"/>
      <c r="AR39" s="338"/>
      <c r="AS39" s="337"/>
      <c r="AT39" s="353">
        <f>COUNTIF(tblSeverityAnalysis[[#This Row],[1 sector in severity phase 5 '[modify the threshold']]:[Manual Flag]], "Flagged")</f>
        <v>1</v>
      </c>
      <c r="AU39" s="339">
        <f>tblSeverityAnalysis[[#This Row],[Preliminary Intersectoral Severity based on overlap of sectoral deprivations]]</f>
        <v>2</v>
      </c>
      <c r="AV39" s="340"/>
    </row>
    <row r="40" spans="1:48" ht="73.900000000000006" hidden="1">
      <c r="A4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Global_PopulationHT0331</v>
      </c>
      <c r="B40" s="39" t="s">
        <v>219</v>
      </c>
      <c r="C40" s="331" t="s">
        <v>220</v>
      </c>
      <c r="D40" s="331" t="s">
        <v>233</v>
      </c>
      <c r="E40" s="34" t="s">
        <v>234</v>
      </c>
      <c r="F40" s="34"/>
      <c r="G40" s="34"/>
      <c r="H40" s="358"/>
      <c r="I40" s="354">
        <v>43816</v>
      </c>
      <c r="J40" s="96" t="s">
        <v>156</v>
      </c>
      <c r="K40" s="305">
        <v>3</v>
      </c>
      <c r="L40" s="308">
        <v>3</v>
      </c>
      <c r="M40" s="308">
        <v>3</v>
      </c>
      <c r="N40" s="308">
        <v>3</v>
      </c>
      <c r="O40" s="308">
        <v>3</v>
      </c>
      <c r="P40" s="308">
        <v>2</v>
      </c>
      <c r="Q40" s="309">
        <v>3</v>
      </c>
      <c r="R40" s="341">
        <v>2</v>
      </c>
      <c r="S40" s="310"/>
      <c r="T40" s="308"/>
      <c r="U40" s="308"/>
      <c r="V40" s="308"/>
      <c r="W40" s="332" t="str">
        <f>IF(COUNTIF(tblSeverityAnalysis[[#This Row],[CCCM]:[WASH]], 1)=0, "", COUNTIF(tblSeverityAnalysis[[#This Row],[CCCM]:[WASH]], 1))</f>
        <v/>
      </c>
      <c r="X40" s="333">
        <f>IF(COUNTIF(tblSeverityAnalysis[[#This Row],[CCCM]:[WASH]], 2)=0, "", COUNTIF(tblSeverityAnalysis[[#This Row],[CCCM]:[WASH]], 2))</f>
        <v>2</v>
      </c>
      <c r="Y40" s="333">
        <f>IF(COUNTIF(tblSeverityAnalysis[[#This Row],[CCCM]:[WASH]], 3)=0, "", COUNTIF(tblSeverityAnalysis[[#This Row],[CCCM]:[WASH]], 3))</f>
        <v>6</v>
      </c>
      <c r="Z40" s="333" t="str">
        <f>IF(COUNTIF(tblSeverityAnalysis[[#This Row],[CCCM]:[WASH]], 4)=0, "", COUNTIF(tblSeverityAnalysis[[#This Row],[CCCM]:[WASH]], 4))</f>
        <v/>
      </c>
      <c r="AA40" s="334" t="str">
        <f>IF(COUNTIF(tblSeverityAnalysis[[#This Row],[CCCM]:[WASH]], 5)=0, "", COUNTIF(tblSeverityAnalysis[[#This Row],[CCCM]:[WASH]], 5))</f>
        <v/>
      </c>
      <c r="AB40" s="60" cm="1">
        <f t="array" ref="AB4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0" s="33">
        <f>IFERROR(IF(INDEX(tblSeverityReference[Malnutrition Severity],MATCH(tblSeverityAnalysis[[#This Row],[ID]], tblSeverityReference[ID], 0))= "", "",INDEX(tblSeverityReference[Malnutrition Severity],MATCH(tblSeverityAnalysis[[#This Row],[ID]], tblSeverityReference[ID], 0)) ), "")</f>
        <v>2</v>
      </c>
      <c r="AE40" s="347">
        <f>IFERROR(IF(INDEX(tblSeverityReference[Epidemic Severity],MATCH(tblSeverityAnalysis[[#This Row],[ID]], tblSeverityReference[ID], 0))= "", "",INDEX(tblSeverityReference[Epidemic Severity],MATCH(tblSeverityAnalysis[[#This Row],[ID]], tblSeverityReference[ID], 0)) ), "")</f>
        <v>3</v>
      </c>
      <c r="AF40" s="310" t="str">
        <f>IFERROR(IF(INDEX(tblSeverityReference[Coping Strategy Severity],MATCH(tblSeverityAnalysis[[#This Row],[ID]], tblSeverityReference[ID], 0))= "", "",INDEX(tblSeverityReference[Coping Strategy Severity],MATCH(tblSeverityAnalysis[[#This Row],[ID]], tblSeverityReference[ID], 0)) ), "")</f>
        <v/>
      </c>
      <c r="AG40" s="348">
        <f>IFERROR(IF(INDEX(tblSeverityReference[HR/IHL Violation],MATCH(tblSeverityAnalysis[[#This Row],[ID]], tblSeverityReference[ID], 0))= "", "",INDEX(tblSeverityReference[HR/IHL Violation],MATCH(tblSeverityAnalysis[[#This Row],[ID]], tblSeverityReference[ID], 0)) ), "")</f>
        <v>3</v>
      </c>
      <c r="AH40" s="82">
        <f>IFERROR(AVERAGE(tblSeverityAnalysis[[#This Row],[CCCM]:[WASH]]), "")</f>
        <v>2.75</v>
      </c>
      <c r="AI40" s="27">
        <f>IF(SUM(tblSeverityAnalysis[[#This Row],[CCCM]:[WASH]])=0, "", MAX(tblSeverityAnalysis[[#This Row],[CCCM]:[WASH]]))</f>
        <v>3</v>
      </c>
      <c r="AJ40" s="335" t="str" cm="1">
        <f t="array" ref="AJ40">IFERROR(IF(tblSeverityAnalysis[[#This Row],[Highest Severity]]="", "", _xlfn.TEXTJOIN(CHAR(10), TRUE, IF(tblSeverityAnalysis[[#This Row],[CCCM]:[WASH]]=tblSeverityAnalysis[[#This Row],[Highest Severity]], tblSeverityAnalysis[[#Headers],[CCCM]:[WASH]], ""), "")), "")</f>
        <v>CCCM
Education
Nutrition
Food Security
Health
Shelter</v>
      </c>
      <c r="AK40" s="27" cm="1">
        <f t="array" ref="AK40">IFERROR(MAX(_xlfn._xlws.FILTER(tblSeverityAnalysis[[#This Row],[CCCM]:[WASH]], tblSeverityAnalysis[[#This Row],[CCCM]:[WASH]]&lt;tblSeverityAnalysis[[#This Row],[Highest Severity]])), "")</f>
        <v>2</v>
      </c>
      <c r="AL40" s="324" t="str" cm="1">
        <f t="array" ref="AL40">IFERROR(IF(tblSeverityAnalysis[[#This Row],[2nd Highest Severity]]="", "", _xlfn.TEXTJOIN(CHAR(10), TRUE, IF(tblSeverityAnalysis[[#This Row],[CCCM]:[WASH]]=tblSeverityAnalysis[[#This Row],[2nd Highest Severity]], tblSeverityAnalysis[[#Headers],[CCCM]:[WASH]], ""), "")), "")</f>
        <v>Protection
WASH</v>
      </c>
      <c r="AM40" s="132" t="str">
        <f>IFERROR(IF(AND(tblSeverityAnalysis[[#This Row],[5]] &lt;&gt; "", tblSeverityAnalysis[[#This Row],[5]]&gt;=sectors_sev_5), "Flagged", ""), "")</f>
        <v/>
      </c>
      <c r="AN40" s="133" t="str">
        <f>IFERROR(IF(AND(tblSeverityAnalysis[[#This Row],[Preliminary Intersectoral Severity based on overlap of sectoral deprivations]]=4, SUM(tblSeverityAnalysis[[#This Row],[ 4 ]:[5]])&gt;=sectors_sev_4), "Flagged", ""), "")</f>
        <v/>
      </c>
      <c r="AO40" s="133" t="str" cm="1">
        <f t="array" ref="AO4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0" s="337"/>
      <c r="AR40" s="338"/>
      <c r="AS40" s="337"/>
      <c r="AT40" s="353">
        <f>COUNTIF(tblSeverityAnalysis[[#This Row],[1 sector in severity phase 5 '[modify the threshold']]:[Manual Flag]], "Flagged")</f>
        <v>1</v>
      </c>
      <c r="AU40" s="339">
        <f>tblSeverityAnalysis[[#This Row],[Preliminary Intersectoral Severity based on overlap of sectoral deprivations]]</f>
        <v>3</v>
      </c>
      <c r="AV40" s="340"/>
    </row>
    <row r="41" spans="1:48" ht="61.5" hidden="1">
      <c r="A4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Global_PopulationHT0332</v>
      </c>
      <c r="B41" s="39" t="s">
        <v>219</v>
      </c>
      <c r="C41" s="331" t="s">
        <v>220</v>
      </c>
      <c r="D41" s="331" t="s">
        <v>235</v>
      </c>
      <c r="E41" s="34" t="s">
        <v>236</v>
      </c>
      <c r="F41" s="34"/>
      <c r="G41" s="34"/>
      <c r="H41" s="357"/>
      <c r="I41" s="354">
        <v>24534</v>
      </c>
      <c r="J41" s="96" t="s">
        <v>156</v>
      </c>
      <c r="K41" s="305">
        <v>3</v>
      </c>
      <c r="L41" s="308">
        <v>3</v>
      </c>
      <c r="M41" s="308">
        <v>2</v>
      </c>
      <c r="N41" s="308">
        <v>3</v>
      </c>
      <c r="O41" s="308">
        <v>2</v>
      </c>
      <c r="P41" s="308">
        <v>2</v>
      </c>
      <c r="Q41" s="309">
        <v>3</v>
      </c>
      <c r="R41" s="341">
        <v>3</v>
      </c>
      <c r="S41" s="310"/>
      <c r="T41" s="308"/>
      <c r="U41" s="308"/>
      <c r="V41" s="308"/>
      <c r="W41" s="332" t="str">
        <f>IF(COUNTIF(tblSeverityAnalysis[[#This Row],[CCCM]:[WASH]], 1)=0, "", COUNTIF(tblSeverityAnalysis[[#This Row],[CCCM]:[WASH]], 1))</f>
        <v/>
      </c>
      <c r="X41" s="333">
        <f>IF(COUNTIF(tblSeverityAnalysis[[#This Row],[CCCM]:[WASH]], 2)=0, "", COUNTIF(tblSeverityAnalysis[[#This Row],[CCCM]:[WASH]], 2))</f>
        <v>3</v>
      </c>
      <c r="Y41" s="333">
        <f>IF(COUNTIF(tblSeverityAnalysis[[#This Row],[CCCM]:[WASH]], 3)=0, "", COUNTIF(tblSeverityAnalysis[[#This Row],[CCCM]:[WASH]], 3))</f>
        <v>5</v>
      </c>
      <c r="Z41" s="333" t="str">
        <f>IF(COUNTIF(tblSeverityAnalysis[[#This Row],[CCCM]:[WASH]], 4)=0, "", COUNTIF(tblSeverityAnalysis[[#This Row],[CCCM]:[WASH]], 4))</f>
        <v/>
      </c>
      <c r="AA41" s="334" t="str">
        <f>IF(COUNTIF(tblSeverityAnalysis[[#This Row],[CCCM]:[WASH]], 5)=0, "", COUNTIF(tblSeverityAnalysis[[#This Row],[CCCM]:[WASH]], 5))</f>
        <v/>
      </c>
      <c r="AB41" s="60" cm="1">
        <f t="array" ref="AB4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1" s="33">
        <f>IFERROR(IF(INDEX(tblSeverityReference[Malnutrition Severity],MATCH(tblSeverityAnalysis[[#This Row],[ID]], tblSeverityReference[ID], 0))= "", "",INDEX(tblSeverityReference[Malnutrition Severity],MATCH(tblSeverityAnalysis[[#This Row],[ID]], tblSeverityReference[ID], 0)) ), "")</f>
        <v>2</v>
      </c>
      <c r="AE41" s="347">
        <f>IFERROR(IF(INDEX(tblSeverityReference[Epidemic Severity],MATCH(tblSeverityAnalysis[[#This Row],[ID]], tblSeverityReference[ID], 0))= "", "",INDEX(tblSeverityReference[Epidemic Severity],MATCH(tblSeverityAnalysis[[#This Row],[ID]], tblSeverityReference[ID], 0)) ), "")</f>
        <v>1</v>
      </c>
      <c r="AF41" s="310" t="str">
        <f>IFERROR(IF(INDEX(tblSeverityReference[Coping Strategy Severity],MATCH(tblSeverityAnalysis[[#This Row],[ID]], tblSeverityReference[ID], 0))= "", "",INDEX(tblSeverityReference[Coping Strategy Severity],MATCH(tblSeverityAnalysis[[#This Row],[ID]], tblSeverityReference[ID], 0)) ), "")</f>
        <v/>
      </c>
      <c r="AG41" s="108">
        <f>IFERROR(IF(INDEX(tblSeverityReference[HR/IHL Violation],MATCH(tblSeverityAnalysis[[#This Row],[ID]], tblSeverityReference[ID], 0))= "", "",INDEX(tblSeverityReference[HR/IHL Violation],MATCH(tblSeverityAnalysis[[#This Row],[ID]], tblSeverityReference[ID], 0)) ), "")</f>
        <v>3</v>
      </c>
      <c r="AH41" s="82">
        <f>IFERROR(AVERAGE(tblSeverityAnalysis[[#This Row],[CCCM]:[WASH]]), "")</f>
        <v>2.625</v>
      </c>
      <c r="AI41" s="27">
        <f>IF(SUM(tblSeverityAnalysis[[#This Row],[CCCM]:[WASH]])=0, "", MAX(tblSeverityAnalysis[[#This Row],[CCCM]:[WASH]]))</f>
        <v>3</v>
      </c>
      <c r="AJ41" s="335" t="str" cm="1">
        <f t="array" ref="AJ41">IFERROR(IF(tblSeverityAnalysis[[#This Row],[Highest Severity]]="", "", _xlfn.TEXTJOIN(CHAR(10), TRUE, IF(tblSeverityAnalysis[[#This Row],[CCCM]:[WASH]]=tblSeverityAnalysis[[#This Row],[Highest Severity]], tblSeverityAnalysis[[#Headers],[CCCM]:[WASH]], ""), "")), "")</f>
        <v>CCCM
Education
Food Security
Shelter
WASH</v>
      </c>
      <c r="AK41" s="27" cm="1">
        <f t="array" ref="AK41">IFERROR(MAX(_xlfn._xlws.FILTER(tblSeverityAnalysis[[#This Row],[CCCM]:[WASH]], tblSeverityAnalysis[[#This Row],[CCCM]:[WASH]]&lt;tblSeverityAnalysis[[#This Row],[Highest Severity]])), "")</f>
        <v>2</v>
      </c>
      <c r="AL41" s="324" t="str" cm="1">
        <f t="array" ref="AL41">IFERROR(IF(tblSeverityAnalysis[[#This Row],[2nd Highest Severity]]="", "", _xlfn.TEXTJOIN(CHAR(10), TRUE, IF(tblSeverityAnalysis[[#This Row],[CCCM]:[WASH]]=tblSeverityAnalysis[[#This Row],[2nd Highest Severity]], tblSeverityAnalysis[[#Headers],[CCCM]:[WASH]], ""), "")), "")</f>
        <v>Nutrition
Health
Protection</v>
      </c>
      <c r="AM41" s="132" t="str">
        <f>IFERROR(IF(AND(tblSeverityAnalysis[[#This Row],[5]] &lt;&gt; "", tblSeverityAnalysis[[#This Row],[5]]&gt;=sectors_sev_5), "Flagged", ""), "")</f>
        <v/>
      </c>
      <c r="AN41" s="133" t="str">
        <f>IFERROR(IF(AND(tblSeverityAnalysis[[#This Row],[Preliminary Intersectoral Severity based on overlap of sectoral deprivations]]=4, SUM(tblSeverityAnalysis[[#This Row],[ 4 ]:[5]])&gt;=sectors_sev_4), "Flagged", ""), "")</f>
        <v/>
      </c>
      <c r="AO41" s="133" t="str" cm="1">
        <f t="array" ref="AO4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4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1" s="337"/>
      <c r="AR41" s="338"/>
      <c r="AS41" s="337"/>
      <c r="AT41" s="353">
        <f>COUNTIF(tblSeverityAnalysis[[#This Row],[1 sector in severity phase 5 '[modify the threshold']]:[Manual Flag]], "Flagged")</f>
        <v>2</v>
      </c>
      <c r="AU41" s="339">
        <f>tblSeverityAnalysis[[#This Row],[Preliminary Intersectoral Severity based on overlap of sectoral deprivations]]</f>
        <v>3</v>
      </c>
      <c r="AV41" s="340"/>
    </row>
    <row r="42" spans="1:48" ht="49.15" hidden="1">
      <c r="A4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Global_PopulationHT0341</v>
      </c>
      <c r="B42" s="39" t="s">
        <v>219</v>
      </c>
      <c r="C42" s="331" t="s">
        <v>220</v>
      </c>
      <c r="D42" s="331" t="s">
        <v>237</v>
      </c>
      <c r="E42" s="34" t="s">
        <v>238</v>
      </c>
      <c r="F42" s="34"/>
      <c r="G42" s="34"/>
      <c r="H42" s="358"/>
      <c r="I42" s="354">
        <v>56607</v>
      </c>
      <c r="J42" s="96" t="s">
        <v>156</v>
      </c>
      <c r="K42" s="305">
        <v>4</v>
      </c>
      <c r="L42" s="308">
        <v>3</v>
      </c>
      <c r="M42" s="308">
        <v>2</v>
      </c>
      <c r="N42" s="308">
        <v>3</v>
      </c>
      <c r="O42" s="308">
        <v>3</v>
      </c>
      <c r="P42" s="308">
        <v>2</v>
      </c>
      <c r="Q42" s="309">
        <v>2</v>
      </c>
      <c r="R42" s="341">
        <v>3</v>
      </c>
      <c r="S42" s="310"/>
      <c r="T42" s="308"/>
      <c r="U42" s="308"/>
      <c r="V42" s="308"/>
      <c r="W42" s="332" t="str">
        <f>IF(COUNTIF(tblSeverityAnalysis[[#This Row],[CCCM]:[WASH]], 1)=0, "", COUNTIF(tblSeverityAnalysis[[#This Row],[CCCM]:[WASH]], 1))</f>
        <v/>
      </c>
      <c r="X42" s="333">
        <f>IF(COUNTIF(tblSeverityAnalysis[[#This Row],[CCCM]:[WASH]], 2)=0, "", COUNTIF(tblSeverityAnalysis[[#This Row],[CCCM]:[WASH]], 2))</f>
        <v>3</v>
      </c>
      <c r="Y42" s="333">
        <f>IF(COUNTIF(tblSeverityAnalysis[[#This Row],[CCCM]:[WASH]], 3)=0, "", COUNTIF(tblSeverityAnalysis[[#This Row],[CCCM]:[WASH]], 3))</f>
        <v>4</v>
      </c>
      <c r="Z42" s="333">
        <f>IF(COUNTIF(tblSeverityAnalysis[[#This Row],[CCCM]:[WASH]], 4)=0, "", COUNTIF(tblSeverityAnalysis[[#This Row],[CCCM]:[WASH]], 4))</f>
        <v>1</v>
      </c>
      <c r="AA42" s="334" t="str">
        <f>IF(COUNTIF(tblSeverityAnalysis[[#This Row],[CCCM]:[WASH]], 5)=0, "", COUNTIF(tblSeverityAnalysis[[#This Row],[CCCM]:[WASH]], 5))</f>
        <v/>
      </c>
      <c r="AB42" s="60" cm="1">
        <f t="array" ref="AB4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2"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2" s="33">
        <f>IFERROR(IF(INDEX(tblSeverityReference[Malnutrition Severity],MATCH(tblSeverityAnalysis[[#This Row],[ID]], tblSeverityReference[ID], 0))= "", "",INDEX(tblSeverityReference[Malnutrition Severity],MATCH(tblSeverityAnalysis[[#This Row],[ID]], tblSeverityReference[ID], 0)) ), "")</f>
        <v>2</v>
      </c>
      <c r="AE42" s="347">
        <f>IFERROR(IF(INDEX(tblSeverityReference[Epidemic Severity],MATCH(tblSeverityAnalysis[[#This Row],[ID]], tblSeverityReference[ID], 0))= "", "",INDEX(tblSeverityReference[Epidemic Severity],MATCH(tblSeverityAnalysis[[#This Row],[ID]], tblSeverityReference[ID], 0)) ), "")</f>
        <v>3</v>
      </c>
      <c r="AF42" s="310" t="str">
        <f>IFERROR(IF(INDEX(tblSeverityReference[Coping Strategy Severity],MATCH(tblSeverityAnalysis[[#This Row],[ID]], tblSeverityReference[ID], 0))= "", "",INDEX(tblSeverityReference[Coping Strategy Severity],MATCH(tblSeverityAnalysis[[#This Row],[ID]], tblSeverityReference[ID], 0)) ), "")</f>
        <v/>
      </c>
      <c r="AG42" s="348">
        <f>IFERROR(IF(INDEX(tblSeverityReference[HR/IHL Violation],MATCH(tblSeverityAnalysis[[#This Row],[ID]], tblSeverityReference[ID], 0))= "", "",INDEX(tblSeverityReference[HR/IHL Violation],MATCH(tblSeverityAnalysis[[#This Row],[ID]], tblSeverityReference[ID], 0)) ), "")</f>
        <v>3</v>
      </c>
      <c r="AH42" s="82">
        <f>IFERROR(AVERAGE(tblSeverityAnalysis[[#This Row],[CCCM]:[WASH]]), "")</f>
        <v>2.75</v>
      </c>
      <c r="AI42" s="27">
        <f>IF(SUM(tblSeverityAnalysis[[#This Row],[CCCM]:[WASH]])=0, "", MAX(tblSeverityAnalysis[[#This Row],[CCCM]:[WASH]]))</f>
        <v>4</v>
      </c>
      <c r="AJ42" s="335" t="str" cm="1">
        <f t="array" ref="AJ42">IFERROR(IF(tblSeverityAnalysis[[#This Row],[Highest Severity]]="", "", _xlfn.TEXTJOIN(CHAR(10), TRUE, IF(tblSeverityAnalysis[[#This Row],[CCCM]:[WASH]]=tblSeverityAnalysis[[#This Row],[Highest Severity]], tblSeverityAnalysis[[#Headers],[CCCM]:[WASH]], ""), "")), "")</f>
        <v>CCCM</v>
      </c>
      <c r="AK42" s="27" cm="1">
        <f t="array" ref="AK42">IFERROR(MAX(_xlfn._xlws.FILTER(tblSeverityAnalysis[[#This Row],[CCCM]:[WASH]], tblSeverityAnalysis[[#This Row],[CCCM]:[WASH]]&lt;tblSeverityAnalysis[[#This Row],[Highest Severity]])), "")</f>
        <v>3</v>
      </c>
      <c r="AL42" s="324" t="str" cm="1">
        <f t="array" ref="AL42">IFERROR(IF(tblSeverityAnalysis[[#This Row],[2nd Highest Severity]]="", "", _xlfn.TEXTJOIN(CHAR(10), TRUE, IF(tblSeverityAnalysis[[#This Row],[CCCM]:[WASH]]=tblSeverityAnalysis[[#This Row],[2nd Highest Severity]], tblSeverityAnalysis[[#Headers],[CCCM]:[WASH]], ""), "")), "")</f>
        <v>Education
Food Security
Health
WASH</v>
      </c>
      <c r="AM42" s="132" t="str">
        <f>IFERROR(IF(AND(tblSeverityAnalysis[[#This Row],[5]] &lt;&gt; "", tblSeverityAnalysis[[#This Row],[5]]&gt;=sectors_sev_5), "Flagged", ""), "")</f>
        <v/>
      </c>
      <c r="AN42" s="133" t="str">
        <f>IFERROR(IF(AND(tblSeverityAnalysis[[#This Row],[Preliminary Intersectoral Severity based on overlap of sectoral deprivations]]=4, SUM(tblSeverityAnalysis[[#This Row],[ 4 ]:[5]])&gt;=sectors_sev_4), "Flagged", ""), "")</f>
        <v/>
      </c>
      <c r="AO42" s="133" t="str" cm="1">
        <f t="array" ref="AO4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2" s="337"/>
      <c r="AR42" s="338"/>
      <c r="AS42" s="337"/>
      <c r="AT42" s="353">
        <f>COUNTIF(tblSeverityAnalysis[[#This Row],[1 sector in severity phase 5 '[modify the threshold']]:[Manual Flag]], "Flagged")</f>
        <v>1</v>
      </c>
      <c r="AU42" s="339">
        <f>tblSeverityAnalysis[[#This Row],[Preliminary Intersectoral Severity based on overlap of sectoral deprivations]]</f>
        <v>3</v>
      </c>
      <c r="AV42" s="340"/>
    </row>
    <row r="43" spans="1:48" ht="49.15" hidden="1">
      <c r="A4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Global_PopulationHT0342</v>
      </c>
      <c r="B43" s="39" t="s">
        <v>219</v>
      </c>
      <c r="C43" s="331" t="s">
        <v>220</v>
      </c>
      <c r="D43" s="331" t="s">
        <v>239</v>
      </c>
      <c r="E43" s="34" t="s">
        <v>240</v>
      </c>
      <c r="F43" s="34"/>
      <c r="G43" s="34"/>
      <c r="H43" s="357"/>
      <c r="I43" s="354">
        <v>36398</v>
      </c>
      <c r="J43" s="96" t="s">
        <v>156</v>
      </c>
      <c r="K43" s="305">
        <v>1</v>
      </c>
      <c r="L43" s="308">
        <v>3</v>
      </c>
      <c r="M43" s="308">
        <v>2</v>
      </c>
      <c r="N43" s="308">
        <v>3</v>
      </c>
      <c r="O43" s="308">
        <v>3</v>
      </c>
      <c r="P43" s="308">
        <v>2</v>
      </c>
      <c r="Q43" s="309">
        <v>3</v>
      </c>
      <c r="R43" s="341">
        <v>2</v>
      </c>
      <c r="S43" s="310"/>
      <c r="T43" s="308"/>
      <c r="U43" s="308"/>
      <c r="V43" s="308"/>
      <c r="W43" s="332">
        <f>IF(COUNTIF(tblSeverityAnalysis[[#This Row],[CCCM]:[WASH]], 1)=0, "", COUNTIF(tblSeverityAnalysis[[#This Row],[CCCM]:[WASH]], 1))</f>
        <v>1</v>
      </c>
      <c r="X43" s="333">
        <f>IF(COUNTIF(tblSeverityAnalysis[[#This Row],[CCCM]:[WASH]], 2)=0, "", COUNTIF(tblSeverityAnalysis[[#This Row],[CCCM]:[WASH]], 2))</f>
        <v>3</v>
      </c>
      <c r="Y43" s="333">
        <f>IF(COUNTIF(tblSeverityAnalysis[[#This Row],[CCCM]:[WASH]], 3)=0, "", COUNTIF(tblSeverityAnalysis[[#This Row],[CCCM]:[WASH]], 3))</f>
        <v>4</v>
      </c>
      <c r="Z43" s="333" t="str">
        <f>IF(COUNTIF(tblSeverityAnalysis[[#This Row],[CCCM]:[WASH]], 4)=0, "", COUNTIF(tblSeverityAnalysis[[#This Row],[CCCM]:[WASH]], 4))</f>
        <v/>
      </c>
      <c r="AA43" s="334" t="str">
        <f>IF(COUNTIF(tblSeverityAnalysis[[#This Row],[CCCM]:[WASH]], 5)=0, "", COUNTIF(tblSeverityAnalysis[[#This Row],[CCCM]:[WASH]], 5))</f>
        <v/>
      </c>
      <c r="AB43" s="60" cm="1">
        <f t="array" ref="AB4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3"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3" s="33">
        <f>IFERROR(IF(INDEX(tblSeverityReference[Malnutrition Severity],MATCH(tblSeverityAnalysis[[#This Row],[ID]], tblSeverityReference[ID], 0))= "", "",INDEX(tblSeverityReference[Malnutrition Severity],MATCH(tblSeverityAnalysis[[#This Row],[ID]], tblSeverityReference[ID], 0)) ), "")</f>
        <v>2</v>
      </c>
      <c r="AE43" s="347">
        <f>IFERROR(IF(INDEX(tblSeverityReference[Epidemic Severity],MATCH(tblSeverityAnalysis[[#This Row],[ID]], tblSeverityReference[ID], 0))= "", "",INDEX(tblSeverityReference[Epidemic Severity],MATCH(tblSeverityAnalysis[[#This Row],[ID]], tblSeverityReference[ID], 0)) ), "")</f>
        <v>3</v>
      </c>
      <c r="AF43" s="310" t="str">
        <f>IFERROR(IF(INDEX(tblSeverityReference[Coping Strategy Severity],MATCH(tblSeverityAnalysis[[#This Row],[ID]], tblSeverityReference[ID], 0))= "", "",INDEX(tblSeverityReference[Coping Strategy Severity],MATCH(tblSeverityAnalysis[[#This Row],[ID]], tblSeverityReference[ID], 0)) ), "")</f>
        <v/>
      </c>
      <c r="AG43" s="108">
        <f>IFERROR(IF(INDEX(tblSeverityReference[HR/IHL Violation],MATCH(tblSeverityAnalysis[[#This Row],[ID]], tblSeverityReference[ID], 0))= "", "",INDEX(tblSeverityReference[HR/IHL Violation],MATCH(tblSeverityAnalysis[[#This Row],[ID]], tblSeverityReference[ID], 0)) ), "")</f>
        <v>3</v>
      </c>
      <c r="AH43" s="82">
        <f>IFERROR(AVERAGE(tblSeverityAnalysis[[#This Row],[CCCM]:[WASH]]), "")</f>
        <v>2.375</v>
      </c>
      <c r="AI43" s="27">
        <f>IF(SUM(tblSeverityAnalysis[[#This Row],[CCCM]:[WASH]])=0, "", MAX(tblSeverityAnalysis[[#This Row],[CCCM]:[WASH]]))</f>
        <v>3</v>
      </c>
      <c r="AJ43" s="335" t="str" cm="1">
        <f t="array" ref="AJ43">IFERROR(IF(tblSeverityAnalysis[[#This Row],[Highest Severity]]="", "", _xlfn.TEXTJOIN(CHAR(10), TRUE, IF(tblSeverityAnalysis[[#This Row],[CCCM]:[WASH]]=tblSeverityAnalysis[[#This Row],[Highest Severity]], tblSeverityAnalysis[[#Headers],[CCCM]:[WASH]], ""), "")), "")</f>
        <v>Education
Food Security
Health
Shelter</v>
      </c>
      <c r="AK43" s="27" cm="1">
        <f t="array" ref="AK43">IFERROR(MAX(_xlfn._xlws.FILTER(tblSeverityAnalysis[[#This Row],[CCCM]:[WASH]], tblSeverityAnalysis[[#This Row],[CCCM]:[WASH]]&lt;tblSeverityAnalysis[[#This Row],[Highest Severity]])), "")</f>
        <v>2</v>
      </c>
      <c r="AL43" s="324" t="str" cm="1">
        <f t="array" ref="AL43">IFERROR(IF(tblSeverityAnalysis[[#This Row],[2nd Highest Severity]]="", "", _xlfn.TEXTJOIN(CHAR(10), TRUE, IF(tblSeverityAnalysis[[#This Row],[CCCM]:[WASH]]=tblSeverityAnalysis[[#This Row],[2nd Highest Severity]], tblSeverityAnalysis[[#Headers],[CCCM]:[WASH]], ""), "")), "")</f>
        <v>Nutrition
Protection
WASH</v>
      </c>
      <c r="AM43" s="132" t="str">
        <f>IFERROR(IF(AND(tblSeverityAnalysis[[#This Row],[5]] &lt;&gt; "", tblSeverityAnalysis[[#This Row],[5]]&gt;=sectors_sev_5), "Flagged", ""), "")</f>
        <v/>
      </c>
      <c r="AN43" s="133" t="str">
        <f>IFERROR(IF(AND(tblSeverityAnalysis[[#This Row],[Preliminary Intersectoral Severity based on overlap of sectoral deprivations]]=4, SUM(tblSeverityAnalysis[[#This Row],[ 4 ]:[5]])&gt;=sectors_sev_4), "Flagged", ""), "")</f>
        <v/>
      </c>
      <c r="AO43" s="133" t="str" cm="1">
        <f t="array" ref="AO4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3" s="337"/>
      <c r="AR43" s="338"/>
      <c r="AS43" s="337"/>
      <c r="AT43" s="353">
        <f>COUNTIF(tblSeverityAnalysis[[#This Row],[1 sector in severity phase 5 '[modify the threshold']]:[Manual Flag]], "Flagged")</f>
        <v>1</v>
      </c>
      <c r="AU43" s="339">
        <f>tblSeverityAnalysis[[#This Row],[Preliminary Intersectoral Severity based on overlap of sectoral deprivations]]</f>
        <v>3</v>
      </c>
      <c r="AV43" s="340"/>
    </row>
    <row r="44" spans="1:48" ht="49.15" hidden="1">
      <c r="A4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Global_PopulationHT0343</v>
      </c>
      <c r="B44" s="39" t="s">
        <v>219</v>
      </c>
      <c r="C44" s="331" t="s">
        <v>220</v>
      </c>
      <c r="D44" s="331" t="s">
        <v>241</v>
      </c>
      <c r="E44" s="34" t="s">
        <v>242</v>
      </c>
      <c r="F44" s="34"/>
      <c r="G44" s="34"/>
      <c r="H44" s="358"/>
      <c r="I44" s="354">
        <v>29256</v>
      </c>
      <c r="J44" s="96" t="s">
        <v>156</v>
      </c>
      <c r="K44" s="305">
        <v>1</v>
      </c>
      <c r="L44" s="308">
        <v>3</v>
      </c>
      <c r="M44" s="308">
        <v>2</v>
      </c>
      <c r="N44" s="308">
        <v>3</v>
      </c>
      <c r="O44" s="308">
        <v>2</v>
      </c>
      <c r="P44" s="308">
        <v>2</v>
      </c>
      <c r="Q44" s="309">
        <v>3</v>
      </c>
      <c r="R44" s="341">
        <v>3</v>
      </c>
      <c r="S44" s="310"/>
      <c r="T44" s="308"/>
      <c r="U44" s="308"/>
      <c r="V44" s="308"/>
      <c r="W44" s="332">
        <f>IF(COUNTIF(tblSeverityAnalysis[[#This Row],[CCCM]:[WASH]], 1)=0, "", COUNTIF(tblSeverityAnalysis[[#This Row],[CCCM]:[WASH]], 1))</f>
        <v>1</v>
      </c>
      <c r="X44" s="333">
        <f>IF(COUNTIF(tblSeverityAnalysis[[#This Row],[CCCM]:[WASH]], 2)=0, "", COUNTIF(tblSeverityAnalysis[[#This Row],[CCCM]:[WASH]], 2))</f>
        <v>3</v>
      </c>
      <c r="Y44" s="333">
        <f>IF(COUNTIF(tblSeverityAnalysis[[#This Row],[CCCM]:[WASH]], 3)=0, "", COUNTIF(tblSeverityAnalysis[[#This Row],[CCCM]:[WASH]], 3))</f>
        <v>4</v>
      </c>
      <c r="Z44" s="333" t="str">
        <f>IF(COUNTIF(tblSeverityAnalysis[[#This Row],[CCCM]:[WASH]], 4)=0, "", COUNTIF(tblSeverityAnalysis[[#This Row],[CCCM]:[WASH]], 4))</f>
        <v/>
      </c>
      <c r="AA44" s="334" t="str">
        <f>IF(COUNTIF(tblSeverityAnalysis[[#This Row],[CCCM]:[WASH]], 5)=0, "", COUNTIF(tblSeverityAnalysis[[#This Row],[CCCM]:[WASH]], 5))</f>
        <v/>
      </c>
      <c r="AB44" s="60" cm="1">
        <f t="array" ref="AB4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4" s="33">
        <f>IFERROR(IF(INDEX(tblSeverityReference[Malnutrition Severity],MATCH(tblSeverityAnalysis[[#This Row],[ID]], tblSeverityReference[ID], 0))= "", "",INDEX(tblSeverityReference[Malnutrition Severity],MATCH(tblSeverityAnalysis[[#This Row],[ID]], tblSeverityReference[ID], 0)) ), "")</f>
        <v>2</v>
      </c>
      <c r="AE44" s="347">
        <f>IFERROR(IF(INDEX(tblSeverityReference[Epidemic Severity],MATCH(tblSeverityAnalysis[[#This Row],[ID]], tblSeverityReference[ID], 0))= "", "",INDEX(tblSeverityReference[Epidemic Severity],MATCH(tblSeverityAnalysis[[#This Row],[ID]], tblSeverityReference[ID], 0)) ), "")</f>
        <v>1</v>
      </c>
      <c r="AF44" s="310" t="str">
        <f>IFERROR(IF(INDEX(tblSeverityReference[Coping Strategy Severity],MATCH(tblSeverityAnalysis[[#This Row],[ID]], tblSeverityReference[ID], 0))= "", "",INDEX(tblSeverityReference[Coping Strategy Severity],MATCH(tblSeverityAnalysis[[#This Row],[ID]], tblSeverityReference[ID], 0)) ), "")</f>
        <v/>
      </c>
      <c r="AG44" s="348">
        <f>IFERROR(IF(INDEX(tblSeverityReference[HR/IHL Violation],MATCH(tblSeverityAnalysis[[#This Row],[ID]], tblSeverityReference[ID], 0))= "", "",INDEX(tblSeverityReference[HR/IHL Violation],MATCH(tblSeverityAnalysis[[#This Row],[ID]], tblSeverityReference[ID], 0)) ), "")</f>
        <v>3</v>
      </c>
      <c r="AH44" s="82">
        <f>IFERROR(AVERAGE(tblSeverityAnalysis[[#This Row],[CCCM]:[WASH]]), "")</f>
        <v>2.375</v>
      </c>
      <c r="AI44" s="27">
        <f>IF(SUM(tblSeverityAnalysis[[#This Row],[CCCM]:[WASH]])=0, "", MAX(tblSeverityAnalysis[[#This Row],[CCCM]:[WASH]]))</f>
        <v>3</v>
      </c>
      <c r="AJ44" s="335" t="str" cm="1">
        <f t="array" ref="AJ44">IFERROR(IF(tblSeverityAnalysis[[#This Row],[Highest Severity]]="", "", _xlfn.TEXTJOIN(CHAR(10), TRUE, IF(tblSeverityAnalysis[[#This Row],[CCCM]:[WASH]]=tblSeverityAnalysis[[#This Row],[Highest Severity]], tblSeverityAnalysis[[#Headers],[CCCM]:[WASH]], ""), "")), "")</f>
        <v>Education
Food Security
Shelter
WASH</v>
      </c>
      <c r="AK44" s="27" cm="1">
        <f t="array" ref="AK44">IFERROR(MAX(_xlfn._xlws.FILTER(tblSeverityAnalysis[[#This Row],[CCCM]:[WASH]], tblSeverityAnalysis[[#This Row],[CCCM]:[WASH]]&lt;tblSeverityAnalysis[[#This Row],[Highest Severity]])), "")</f>
        <v>2</v>
      </c>
      <c r="AL44" s="324" t="str" cm="1">
        <f t="array" ref="AL44">IFERROR(IF(tblSeverityAnalysis[[#This Row],[2nd Highest Severity]]="", "", _xlfn.TEXTJOIN(CHAR(10), TRUE, IF(tblSeverityAnalysis[[#This Row],[CCCM]:[WASH]]=tblSeverityAnalysis[[#This Row],[2nd Highest Severity]], tblSeverityAnalysis[[#Headers],[CCCM]:[WASH]], ""), "")), "")</f>
        <v>Nutrition
Health
Protection</v>
      </c>
      <c r="AM44" s="132" t="str">
        <f>IFERROR(IF(AND(tblSeverityAnalysis[[#This Row],[5]] &lt;&gt; "", tblSeverityAnalysis[[#This Row],[5]]&gt;=sectors_sev_5), "Flagged", ""), "")</f>
        <v/>
      </c>
      <c r="AN44" s="133" t="str">
        <f>IFERROR(IF(AND(tblSeverityAnalysis[[#This Row],[Preliminary Intersectoral Severity based on overlap of sectoral deprivations]]=4, SUM(tblSeverityAnalysis[[#This Row],[ 4 ]:[5]])&gt;=sectors_sev_4), "Flagged", ""), "")</f>
        <v/>
      </c>
      <c r="AO44" s="133" t="str" cm="1">
        <f t="array" ref="AO4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4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4" s="337"/>
      <c r="AR44" s="338"/>
      <c r="AS44" s="337"/>
      <c r="AT44" s="353">
        <f>COUNTIF(tblSeverityAnalysis[[#This Row],[1 sector in severity phase 5 '[modify the threshold']]:[Manual Flag]], "Flagged")</f>
        <v>2</v>
      </c>
      <c r="AU44" s="339">
        <f>tblSeverityAnalysis[[#This Row],[Preliminary Intersectoral Severity based on overlap of sectoral deprivations]]</f>
        <v>3</v>
      </c>
      <c r="AV44" s="340"/>
    </row>
    <row r="45" spans="1:48" ht="49.15" hidden="1">
      <c r="A4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Global_PopulationHT0344</v>
      </c>
      <c r="B45" s="39" t="s">
        <v>219</v>
      </c>
      <c r="C45" s="331" t="s">
        <v>220</v>
      </c>
      <c r="D45" s="331" t="s">
        <v>243</v>
      </c>
      <c r="E45" s="34" t="s">
        <v>244</v>
      </c>
      <c r="F45" s="34"/>
      <c r="G45" s="34"/>
      <c r="H45" s="357"/>
      <c r="I45" s="354">
        <v>46806</v>
      </c>
      <c r="J45" s="96" t="s">
        <v>156</v>
      </c>
      <c r="K45" s="305">
        <v>3</v>
      </c>
      <c r="L45" s="308">
        <v>3</v>
      </c>
      <c r="M45" s="308">
        <v>2</v>
      </c>
      <c r="N45" s="308">
        <v>3</v>
      </c>
      <c r="O45" s="308">
        <v>3</v>
      </c>
      <c r="P45" s="308">
        <v>2</v>
      </c>
      <c r="Q45" s="309">
        <v>2</v>
      </c>
      <c r="R45" s="341">
        <v>2</v>
      </c>
      <c r="S45" s="310"/>
      <c r="T45" s="308"/>
      <c r="U45" s="308"/>
      <c r="V45" s="308"/>
      <c r="W45" s="332" t="str">
        <f>IF(COUNTIF(tblSeverityAnalysis[[#This Row],[CCCM]:[WASH]], 1)=0, "", COUNTIF(tblSeverityAnalysis[[#This Row],[CCCM]:[WASH]], 1))</f>
        <v/>
      </c>
      <c r="X45" s="333">
        <f>IF(COUNTIF(tblSeverityAnalysis[[#This Row],[CCCM]:[WASH]], 2)=0, "", COUNTIF(tblSeverityAnalysis[[#This Row],[CCCM]:[WASH]], 2))</f>
        <v>4</v>
      </c>
      <c r="Y45" s="333">
        <f>IF(COUNTIF(tblSeverityAnalysis[[#This Row],[CCCM]:[WASH]], 3)=0, "", COUNTIF(tblSeverityAnalysis[[#This Row],[CCCM]:[WASH]], 3))</f>
        <v>4</v>
      </c>
      <c r="Z45" s="333" t="str">
        <f>IF(COUNTIF(tblSeverityAnalysis[[#This Row],[CCCM]:[WASH]], 4)=0, "", COUNTIF(tblSeverityAnalysis[[#This Row],[CCCM]:[WASH]], 4))</f>
        <v/>
      </c>
      <c r="AA45" s="334" t="str">
        <f>IF(COUNTIF(tblSeverityAnalysis[[#This Row],[CCCM]:[WASH]], 5)=0, "", COUNTIF(tblSeverityAnalysis[[#This Row],[CCCM]:[WASH]], 5))</f>
        <v/>
      </c>
      <c r="AB45" s="60" cm="1">
        <f t="array" ref="AB4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5" s="33">
        <f>IFERROR(IF(INDEX(tblSeverityReference[Malnutrition Severity],MATCH(tblSeverityAnalysis[[#This Row],[ID]], tblSeverityReference[ID], 0))= "", "",INDEX(tblSeverityReference[Malnutrition Severity],MATCH(tblSeverityAnalysis[[#This Row],[ID]], tblSeverityReference[ID], 0)) ), "")</f>
        <v>2</v>
      </c>
      <c r="AE45" s="347">
        <f>IFERROR(IF(INDEX(tblSeverityReference[Epidemic Severity],MATCH(tblSeverityAnalysis[[#This Row],[ID]], tblSeverityReference[ID], 0))= "", "",INDEX(tblSeverityReference[Epidemic Severity],MATCH(tblSeverityAnalysis[[#This Row],[ID]], tblSeverityReference[ID], 0)) ), "")</f>
        <v>1</v>
      </c>
      <c r="AF45" s="310" t="str">
        <f>IFERROR(IF(INDEX(tblSeverityReference[Coping Strategy Severity],MATCH(tblSeverityAnalysis[[#This Row],[ID]], tblSeverityReference[ID], 0))= "", "",INDEX(tblSeverityReference[Coping Strategy Severity],MATCH(tblSeverityAnalysis[[#This Row],[ID]], tblSeverityReference[ID], 0)) ), "")</f>
        <v/>
      </c>
      <c r="AG45" s="108">
        <f>IFERROR(IF(INDEX(tblSeverityReference[HR/IHL Violation],MATCH(tblSeverityAnalysis[[#This Row],[ID]], tblSeverityReference[ID], 0))= "", "",INDEX(tblSeverityReference[HR/IHL Violation],MATCH(tblSeverityAnalysis[[#This Row],[ID]], tblSeverityReference[ID], 0)) ), "")</f>
        <v>3</v>
      </c>
      <c r="AH45" s="82">
        <f>IFERROR(AVERAGE(tblSeverityAnalysis[[#This Row],[CCCM]:[WASH]]), "")</f>
        <v>2.5</v>
      </c>
      <c r="AI45" s="27">
        <f>IF(SUM(tblSeverityAnalysis[[#This Row],[CCCM]:[WASH]])=0, "", MAX(tblSeverityAnalysis[[#This Row],[CCCM]:[WASH]]))</f>
        <v>3</v>
      </c>
      <c r="AJ45" s="335" t="str" cm="1">
        <f t="array" ref="AJ45">IFERROR(IF(tblSeverityAnalysis[[#This Row],[Highest Severity]]="", "", _xlfn.TEXTJOIN(CHAR(10), TRUE, IF(tblSeverityAnalysis[[#This Row],[CCCM]:[WASH]]=tblSeverityAnalysis[[#This Row],[Highest Severity]], tblSeverityAnalysis[[#Headers],[CCCM]:[WASH]], ""), "")), "")</f>
        <v>CCCM
Education
Food Security
Health</v>
      </c>
      <c r="AK45" s="27" cm="1">
        <f t="array" ref="AK45">IFERROR(MAX(_xlfn._xlws.FILTER(tblSeverityAnalysis[[#This Row],[CCCM]:[WASH]], tblSeverityAnalysis[[#This Row],[CCCM]:[WASH]]&lt;tblSeverityAnalysis[[#This Row],[Highest Severity]])), "")</f>
        <v>2</v>
      </c>
      <c r="AL45" s="324" t="str" cm="1">
        <f t="array" ref="AL45">IFERROR(IF(tblSeverityAnalysis[[#This Row],[2nd Highest Severity]]="", "", _xlfn.TEXTJOIN(CHAR(10), TRUE, IF(tblSeverityAnalysis[[#This Row],[CCCM]:[WASH]]=tblSeverityAnalysis[[#This Row],[2nd Highest Severity]], tblSeverityAnalysis[[#Headers],[CCCM]:[WASH]], ""), "")), "")</f>
        <v>Nutrition
Protection
Shelter
WASH</v>
      </c>
      <c r="AM45" s="132" t="str">
        <f>IFERROR(IF(AND(tblSeverityAnalysis[[#This Row],[5]] &lt;&gt; "", tblSeverityAnalysis[[#This Row],[5]]&gt;=sectors_sev_5), "Flagged", ""), "")</f>
        <v/>
      </c>
      <c r="AN45" s="133" t="str">
        <f>IFERROR(IF(AND(tblSeverityAnalysis[[#This Row],[Preliminary Intersectoral Severity based on overlap of sectoral deprivations]]=4, SUM(tblSeverityAnalysis[[#This Row],[ 4 ]:[5]])&gt;=sectors_sev_4), "Flagged", ""), "")</f>
        <v/>
      </c>
      <c r="AO45" s="133" t="str" cm="1">
        <f t="array" ref="AO4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4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5" s="337"/>
      <c r="AR45" s="338"/>
      <c r="AS45" s="337"/>
      <c r="AT45" s="353">
        <f>COUNTIF(tblSeverityAnalysis[[#This Row],[1 sector in severity phase 5 '[modify the threshold']]:[Manual Flag]], "Flagged")</f>
        <v>2</v>
      </c>
      <c r="AU45" s="339">
        <f>tblSeverityAnalysis[[#This Row],[Preliminary Intersectoral Severity based on overlap of sectoral deprivations]]</f>
        <v>3</v>
      </c>
      <c r="AV45" s="340"/>
    </row>
    <row r="46" spans="1:48" ht="36.950000000000003" hidden="1">
      <c r="A4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Global_PopulationHT0345</v>
      </c>
      <c r="B46" s="39" t="s">
        <v>219</v>
      </c>
      <c r="C46" s="331" t="s">
        <v>220</v>
      </c>
      <c r="D46" s="331" t="s">
        <v>245</v>
      </c>
      <c r="E46" s="34" t="s">
        <v>246</v>
      </c>
      <c r="F46" s="34"/>
      <c r="G46" s="34"/>
      <c r="H46" s="358"/>
      <c r="I46" s="354">
        <v>11101</v>
      </c>
      <c r="J46" s="96" t="s">
        <v>156</v>
      </c>
      <c r="K46" s="305">
        <v>1</v>
      </c>
      <c r="L46" s="308">
        <v>3</v>
      </c>
      <c r="M46" s="308">
        <v>2</v>
      </c>
      <c r="N46" s="308">
        <v>3</v>
      </c>
      <c r="O46" s="308">
        <v>2</v>
      </c>
      <c r="P46" s="308">
        <v>2</v>
      </c>
      <c r="Q46" s="309">
        <v>1</v>
      </c>
      <c r="R46" s="341">
        <v>1</v>
      </c>
      <c r="S46" s="310"/>
      <c r="T46" s="308"/>
      <c r="U46" s="308"/>
      <c r="V46" s="308"/>
      <c r="W46" s="332">
        <f>IF(COUNTIF(tblSeverityAnalysis[[#This Row],[CCCM]:[WASH]], 1)=0, "", COUNTIF(tblSeverityAnalysis[[#This Row],[CCCM]:[WASH]], 1))</f>
        <v>3</v>
      </c>
      <c r="X46" s="333">
        <f>IF(COUNTIF(tblSeverityAnalysis[[#This Row],[CCCM]:[WASH]], 2)=0, "", COUNTIF(tblSeverityAnalysis[[#This Row],[CCCM]:[WASH]], 2))</f>
        <v>3</v>
      </c>
      <c r="Y46" s="333">
        <f>IF(COUNTIF(tblSeverityAnalysis[[#This Row],[CCCM]:[WASH]], 3)=0, "", COUNTIF(tblSeverityAnalysis[[#This Row],[CCCM]:[WASH]], 3))</f>
        <v>2</v>
      </c>
      <c r="Z46" s="333" t="str">
        <f>IF(COUNTIF(tblSeverityAnalysis[[#This Row],[CCCM]:[WASH]], 4)=0, "", COUNTIF(tblSeverityAnalysis[[#This Row],[CCCM]:[WASH]], 4))</f>
        <v/>
      </c>
      <c r="AA46" s="334" t="str">
        <f>IF(COUNTIF(tblSeverityAnalysis[[#This Row],[CCCM]:[WASH]], 5)=0, "", COUNTIF(tblSeverityAnalysis[[#This Row],[CCCM]:[WASH]], 5))</f>
        <v/>
      </c>
      <c r="AB46" s="60" cm="1">
        <f t="array" ref="AB4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4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6" s="33">
        <f>IFERROR(IF(INDEX(tblSeverityReference[Malnutrition Severity],MATCH(tblSeverityAnalysis[[#This Row],[ID]], tblSeverityReference[ID], 0))= "", "",INDEX(tblSeverityReference[Malnutrition Severity],MATCH(tblSeverityAnalysis[[#This Row],[ID]], tblSeverityReference[ID], 0)) ), "")</f>
        <v>2</v>
      </c>
      <c r="AE46" s="347">
        <f>IFERROR(IF(INDEX(tblSeverityReference[Epidemic Severity],MATCH(tblSeverityAnalysis[[#This Row],[ID]], tblSeverityReference[ID], 0))= "", "",INDEX(tblSeverityReference[Epidemic Severity],MATCH(tblSeverityAnalysis[[#This Row],[ID]], tblSeverityReference[ID], 0)) ), "")</f>
        <v>1</v>
      </c>
      <c r="AF46" s="310" t="str">
        <f>IFERROR(IF(INDEX(tblSeverityReference[Coping Strategy Severity],MATCH(tblSeverityAnalysis[[#This Row],[ID]], tblSeverityReference[ID], 0))= "", "",INDEX(tblSeverityReference[Coping Strategy Severity],MATCH(tblSeverityAnalysis[[#This Row],[ID]], tblSeverityReference[ID], 0)) ), "")</f>
        <v/>
      </c>
      <c r="AG46" s="348">
        <f>IFERROR(IF(INDEX(tblSeverityReference[HR/IHL Violation],MATCH(tblSeverityAnalysis[[#This Row],[ID]], tblSeverityReference[ID], 0))= "", "",INDEX(tblSeverityReference[HR/IHL Violation],MATCH(tblSeverityAnalysis[[#This Row],[ID]], tblSeverityReference[ID], 0)) ), "")</f>
        <v>2</v>
      </c>
      <c r="AH46" s="82">
        <f>IFERROR(AVERAGE(tblSeverityAnalysis[[#This Row],[CCCM]:[WASH]]), "")</f>
        <v>1.875</v>
      </c>
      <c r="AI46" s="27">
        <f>IF(SUM(tblSeverityAnalysis[[#This Row],[CCCM]:[WASH]])=0, "", MAX(tblSeverityAnalysis[[#This Row],[CCCM]:[WASH]]))</f>
        <v>3</v>
      </c>
      <c r="AJ46" s="335" t="str" cm="1">
        <f t="array" ref="AJ46">IFERROR(IF(tblSeverityAnalysis[[#This Row],[Highest Severity]]="", "", _xlfn.TEXTJOIN(CHAR(10), TRUE, IF(tblSeverityAnalysis[[#This Row],[CCCM]:[WASH]]=tblSeverityAnalysis[[#This Row],[Highest Severity]], tblSeverityAnalysis[[#Headers],[CCCM]:[WASH]], ""), "")), "")</f>
        <v>Education
Food Security</v>
      </c>
      <c r="AK46" s="27" cm="1">
        <f t="array" ref="AK46">IFERROR(MAX(_xlfn._xlws.FILTER(tblSeverityAnalysis[[#This Row],[CCCM]:[WASH]], tblSeverityAnalysis[[#This Row],[CCCM]:[WASH]]&lt;tblSeverityAnalysis[[#This Row],[Highest Severity]])), "")</f>
        <v>2</v>
      </c>
      <c r="AL46" s="324" t="str" cm="1">
        <f t="array" ref="AL46">IFERROR(IF(tblSeverityAnalysis[[#This Row],[2nd Highest Severity]]="", "", _xlfn.TEXTJOIN(CHAR(10), TRUE, IF(tblSeverityAnalysis[[#This Row],[CCCM]:[WASH]]=tblSeverityAnalysis[[#This Row],[2nd Highest Severity]], tblSeverityAnalysis[[#Headers],[CCCM]:[WASH]], ""), "")), "")</f>
        <v>Nutrition
Health
Protection</v>
      </c>
      <c r="AM46" s="132" t="str">
        <f>IFERROR(IF(AND(tblSeverityAnalysis[[#This Row],[5]] &lt;&gt; "", tblSeverityAnalysis[[#This Row],[5]]&gt;=sectors_sev_5), "Flagged", ""), "")</f>
        <v/>
      </c>
      <c r="AN46" s="133" t="str">
        <f>IFERROR(IF(AND(tblSeverityAnalysis[[#This Row],[Preliminary Intersectoral Severity based on overlap of sectoral deprivations]]=4, SUM(tblSeverityAnalysis[[#This Row],[ 4 ]:[5]])&gt;=sectors_sev_4), "Flagged", ""), "")</f>
        <v/>
      </c>
      <c r="AO46" s="133" t="str" cm="1">
        <f t="array" ref="AO4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6" s="337"/>
      <c r="AR46" s="338"/>
      <c r="AS46" s="337"/>
      <c r="AT46" s="353">
        <f>COUNTIF(tblSeverityAnalysis[[#This Row],[1 sector in severity phase 5 '[modify the threshold']]:[Manual Flag]], "Flagged")</f>
        <v>0</v>
      </c>
      <c r="AU46" s="339">
        <f>tblSeverityAnalysis[[#This Row],[Preliminary Intersectoral Severity based on overlap of sectoral deprivations]]</f>
        <v>2</v>
      </c>
      <c r="AV46" s="340"/>
    </row>
    <row r="47" spans="1:48" ht="49.15" hidden="1">
      <c r="A4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Global_PopulationHT0351</v>
      </c>
      <c r="B47" s="39" t="s">
        <v>219</v>
      </c>
      <c r="C47" s="331" t="s">
        <v>220</v>
      </c>
      <c r="D47" s="331" t="s">
        <v>247</v>
      </c>
      <c r="E47" s="34" t="s">
        <v>248</v>
      </c>
      <c r="F47" s="34"/>
      <c r="G47" s="34"/>
      <c r="H47" s="357"/>
      <c r="I47" s="354">
        <v>70765</v>
      </c>
      <c r="J47" s="96" t="s">
        <v>156</v>
      </c>
      <c r="K47" s="305">
        <v>1</v>
      </c>
      <c r="L47" s="308">
        <v>3</v>
      </c>
      <c r="M47" s="308">
        <v>2</v>
      </c>
      <c r="N47" s="308">
        <v>3</v>
      </c>
      <c r="O47" s="308">
        <v>3</v>
      </c>
      <c r="P47" s="308">
        <v>2</v>
      </c>
      <c r="Q47" s="309">
        <v>2</v>
      </c>
      <c r="R47" s="341">
        <v>3</v>
      </c>
      <c r="S47" s="310"/>
      <c r="T47" s="308"/>
      <c r="U47" s="308"/>
      <c r="V47" s="308"/>
      <c r="W47" s="332">
        <f>IF(COUNTIF(tblSeverityAnalysis[[#This Row],[CCCM]:[WASH]], 1)=0, "", COUNTIF(tblSeverityAnalysis[[#This Row],[CCCM]:[WASH]], 1))</f>
        <v>1</v>
      </c>
      <c r="X47" s="333">
        <f>IF(COUNTIF(tblSeverityAnalysis[[#This Row],[CCCM]:[WASH]], 2)=0, "", COUNTIF(tblSeverityAnalysis[[#This Row],[CCCM]:[WASH]], 2))</f>
        <v>3</v>
      </c>
      <c r="Y47" s="333">
        <f>IF(COUNTIF(tblSeverityAnalysis[[#This Row],[CCCM]:[WASH]], 3)=0, "", COUNTIF(tblSeverityAnalysis[[#This Row],[CCCM]:[WASH]], 3))</f>
        <v>4</v>
      </c>
      <c r="Z47" s="333" t="str">
        <f>IF(COUNTIF(tblSeverityAnalysis[[#This Row],[CCCM]:[WASH]], 4)=0, "", COUNTIF(tblSeverityAnalysis[[#This Row],[CCCM]:[WASH]], 4))</f>
        <v/>
      </c>
      <c r="AA47" s="334" t="str">
        <f>IF(COUNTIF(tblSeverityAnalysis[[#This Row],[CCCM]:[WASH]], 5)=0, "", COUNTIF(tblSeverityAnalysis[[#This Row],[CCCM]:[WASH]], 5))</f>
        <v/>
      </c>
      <c r="AB47" s="60" cm="1">
        <f t="array" ref="AB4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7" s="33">
        <f>IFERROR(IF(INDEX(tblSeverityReference[Malnutrition Severity],MATCH(tblSeverityAnalysis[[#This Row],[ID]], tblSeverityReference[ID], 0))= "", "",INDEX(tblSeverityReference[Malnutrition Severity],MATCH(tblSeverityAnalysis[[#This Row],[ID]], tblSeverityReference[ID], 0)) ), "")</f>
        <v>2</v>
      </c>
      <c r="AE47" s="347">
        <f>IFERROR(IF(INDEX(tblSeverityReference[Epidemic Severity],MATCH(tblSeverityAnalysis[[#This Row],[ID]], tblSeverityReference[ID], 0))= "", "",INDEX(tblSeverityReference[Epidemic Severity],MATCH(tblSeverityAnalysis[[#This Row],[ID]], tblSeverityReference[ID], 0)) ), "")</f>
        <v>3</v>
      </c>
      <c r="AF47" s="310" t="str">
        <f>IFERROR(IF(INDEX(tblSeverityReference[Coping Strategy Severity],MATCH(tblSeverityAnalysis[[#This Row],[ID]], tblSeverityReference[ID], 0))= "", "",INDEX(tblSeverityReference[Coping Strategy Severity],MATCH(tblSeverityAnalysis[[#This Row],[ID]], tblSeverityReference[ID], 0)) ), "")</f>
        <v/>
      </c>
      <c r="AG47" s="348">
        <f>IFERROR(IF(INDEX(tblSeverityReference[HR/IHL Violation],MATCH(tblSeverityAnalysis[[#This Row],[ID]], tblSeverityReference[ID], 0))= "", "",INDEX(tblSeverityReference[HR/IHL Violation],MATCH(tblSeverityAnalysis[[#This Row],[ID]], tblSeverityReference[ID], 0)) ), "")</f>
        <v>3</v>
      </c>
      <c r="AH47" s="82">
        <f>IFERROR(AVERAGE(tblSeverityAnalysis[[#This Row],[CCCM]:[WASH]]), "")</f>
        <v>2.375</v>
      </c>
      <c r="AI47" s="27">
        <f>IF(SUM(tblSeverityAnalysis[[#This Row],[CCCM]:[WASH]])=0, "", MAX(tblSeverityAnalysis[[#This Row],[CCCM]:[WASH]]))</f>
        <v>3</v>
      </c>
      <c r="AJ47" s="335" t="str" cm="1">
        <f t="array" ref="AJ47">IFERROR(IF(tblSeverityAnalysis[[#This Row],[Highest Severity]]="", "", _xlfn.TEXTJOIN(CHAR(10), TRUE, IF(tblSeverityAnalysis[[#This Row],[CCCM]:[WASH]]=tblSeverityAnalysis[[#This Row],[Highest Severity]], tblSeverityAnalysis[[#Headers],[CCCM]:[WASH]], ""), "")), "")</f>
        <v>Education
Food Security
Health
WASH</v>
      </c>
      <c r="AK47" s="27" cm="1">
        <f t="array" ref="AK47">IFERROR(MAX(_xlfn._xlws.FILTER(tblSeverityAnalysis[[#This Row],[CCCM]:[WASH]], tblSeverityAnalysis[[#This Row],[CCCM]:[WASH]]&lt;tblSeverityAnalysis[[#This Row],[Highest Severity]])), "")</f>
        <v>2</v>
      </c>
      <c r="AL47" s="324" t="str" cm="1">
        <f t="array" ref="AL47">IFERROR(IF(tblSeverityAnalysis[[#This Row],[2nd Highest Severity]]="", "", _xlfn.TEXTJOIN(CHAR(10), TRUE, IF(tblSeverityAnalysis[[#This Row],[CCCM]:[WASH]]=tblSeverityAnalysis[[#This Row],[2nd Highest Severity]], tblSeverityAnalysis[[#Headers],[CCCM]:[WASH]], ""), "")), "")</f>
        <v>Nutrition
Protection
Shelter</v>
      </c>
      <c r="AM47" s="132" t="str">
        <f>IFERROR(IF(AND(tblSeverityAnalysis[[#This Row],[5]] &lt;&gt; "", tblSeverityAnalysis[[#This Row],[5]]&gt;=sectors_sev_5), "Flagged", ""), "")</f>
        <v/>
      </c>
      <c r="AN47" s="133" t="str">
        <f>IFERROR(IF(AND(tblSeverityAnalysis[[#This Row],[Preliminary Intersectoral Severity based on overlap of sectoral deprivations]]=4, SUM(tblSeverityAnalysis[[#This Row],[ 4 ]:[5]])&gt;=sectors_sev_4), "Flagged", ""), "")</f>
        <v/>
      </c>
      <c r="AO47" s="133" t="str" cm="1">
        <f t="array" ref="AO4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7" s="337"/>
      <c r="AR47" s="338"/>
      <c r="AS47" s="337"/>
      <c r="AT47" s="353">
        <f>COUNTIF(tblSeverityAnalysis[[#This Row],[1 sector in severity phase 5 '[modify the threshold']]:[Manual Flag]], "Flagged")</f>
        <v>1</v>
      </c>
      <c r="AU47" s="339">
        <f>tblSeverityAnalysis[[#This Row],[Preliminary Intersectoral Severity based on overlap of sectoral deprivations]]</f>
        <v>3</v>
      </c>
      <c r="AV47" s="340"/>
    </row>
    <row r="48" spans="1:48" ht="61.5" hidden="1">
      <c r="A4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Global_PopulationHT0352</v>
      </c>
      <c r="B48" s="39" t="s">
        <v>219</v>
      </c>
      <c r="C48" s="331" t="s">
        <v>220</v>
      </c>
      <c r="D48" s="331" t="s">
        <v>249</v>
      </c>
      <c r="E48" s="34" t="s">
        <v>250</v>
      </c>
      <c r="F48" s="34"/>
      <c r="G48" s="34"/>
      <c r="H48" s="358"/>
      <c r="I48" s="354">
        <v>52745</v>
      </c>
      <c r="J48" s="96" t="s">
        <v>156</v>
      </c>
      <c r="K48" s="305">
        <v>2</v>
      </c>
      <c r="L48" s="308">
        <v>3</v>
      </c>
      <c r="M48" s="308">
        <v>2</v>
      </c>
      <c r="N48" s="308">
        <v>3</v>
      </c>
      <c r="O48" s="308">
        <v>2</v>
      </c>
      <c r="P48" s="308">
        <v>2</v>
      </c>
      <c r="Q48" s="309">
        <v>2</v>
      </c>
      <c r="R48" s="341">
        <v>3</v>
      </c>
      <c r="S48" s="310"/>
      <c r="T48" s="308"/>
      <c r="U48" s="308"/>
      <c r="V48" s="308"/>
      <c r="W48" s="332" t="str">
        <f>IF(COUNTIF(tblSeverityAnalysis[[#This Row],[CCCM]:[WASH]], 1)=0, "", COUNTIF(tblSeverityAnalysis[[#This Row],[CCCM]:[WASH]], 1))</f>
        <v/>
      </c>
      <c r="X48" s="333">
        <f>IF(COUNTIF(tblSeverityAnalysis[[#This Row],[CCCM]:[WASH]], 2)=0, "", COUNTIF(tblSeverityAnalysis[[#This Row],[CCCM]:[WASH]], 2))</f>
        <v>5</v>
      </c>
      <c r="Y48" s="333">
        <f>IF(COUNTIF(tblSeverityAnalysis[[#This Row],[CCCM]:[WASH]], 3)=0, "", COUNTIF(tblSeverityAnalysis[[#This Row],[CCCM]:[WASH]], 3))</f>
        <v>3</v>
      </c>
      <c r="Z48" s="333" t="str">
        <f>IF(COUNTIF(tblSeverityAnalysis[[#This Row],[CCCM]:[WASH]], 4)=0, "", COUNTIF(tblSeverityAnalysis[[#This Row],[CCCM]:[WASH]], 4))</f>
        <v/>
      </c>
      <c r="AA48" s="334" t="str">
        <f>IF(COUNTIF(tblSeverityAnalysis[[#This Row],[CCCM]:[WASH]], 5)=0, "", COUNTIF(tblSeverityAnalysis[[#This Row],[CCCM]:[WASH]], 5))</f>
        <v/>
      </c>
      <c r="AB48" s="60" cm="1">
        <f t="array" ref="AB4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4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8" s="33">
        <f>IFERROR(IF(INDEX(tblSeverityReference[Malnutrition Severity],MATCH(tblSeverityAnalysis[[#This Row],[ID]], tblSeverityReference[ID], 0))= "", "",INDEX(tblSeverityReference[Malnutrition Severity],MATCH(tblSeverityAnalysis[[#This Row],[ID]], tblSeverityReference[ID], 0)) ), "")</f>
        <v>2</v>
      </c>
      <c r="AE48" s="347">
        <f>IFERROR(IF(INDEX(tblSeverityReference[Epidemic Severity],MATCH(tblSeverityAnalysis[[#This Row],[ID]], tblSeverityReference[ID], 0))= "", "",INDEX(tblSeverityReference[Epidemic Severity],MATCH(tblSeverityAnalysis[[#This Row],[ID]], tblSeverityReference[ID], 0)) ), "")</f>
        <v>1</v>
      </c>
      <c r="AF48" s="310" t="str">
        <f>IFERROR(IF(INDEX(tblSeverityReference[Coping Strategy Severity],MATCH(tblSeverityAnalysis[[#This Row],[ID]], tblSeverityReference[ID], 0))= "", "",INDEX(tblSeverityReference[Coping Strategy Severity],MATCH(tblSeverityAnalysis[[#This Row],[ID]], tblSeverityReference[ID], 0)) ), "")</f>
        <v/>
      </c>
      <c r="AG48" s="108">
        <f>IFERROR(IF(INDEX(tblSeverityReference[HR/IHL Violation],MATCH(tblSeverityAnalysis[[#This Row],[ID]], tblSeverityReference[ID], 0))= "", "",INDEX(tblSeverityReference[HR/IHL Violation],MATCH(tblSeverityAnalysis[[#This Row],[ID]], tblSeverityReference[ID], 0)) ), "")</f>
        <v>2</v>
      </c>
      <c r="AH48" s="82">
        <f>IFERROR(AVERAGE(tblSeverityAnalysis[[#This Row],[CCCM]:[WASH]]), "")</f>
        <v>2.375</v>
      </c>
      <c r="AI48" s="27">
        <f>IF(SUM(tblSeverityAnalysis[[#This Row],[CCCM]:[WASH]])=0, "", MAX(tblSeverityAnalysis[[#This Row],[CCCM]:[WASH]]))</f>
        <v>3</v>
      </c>
      <c r="AJ48" s="335" t="str" cm="1">
        <f t="array" ref="AJ48">IFERROR(IF(tblSeverityAnalysis[[#This Row],[Highest Severity]]="", "", _xlfn.TEXTJOIN(CHAR(10), TRUE, IF(tblSeverityAnalysis[[#This Row],[CCCM]:[WASH]]=tblSeverityAnalysis[[#This Row],[Highest Severity]], tblSeverityAnalysis[[#Headers],[CCCM]:[WASH]], ""), "")), "")</f>
        <v>Education
Food Security
WASH</v>
      </c>
      <c r="AK48" s="27" cm="1">
        <f t="array" ref="AK48">IFERROR(MAX(_xlfn._xlws.FILTER(tblSeverityAnalysis[[#This Row],[CCCM]:[WASH]], tblSeverityAnalysis[[#This Row],[CCCM]:[WASH]]&lt;tblSeverityAnalysis[[#This Row],[Highest Severity]])), "")</f>
        <v>2</v>
      </c>
      <c r="AL48" s="324" t="str" cm="1">
        <f t="array" ref="AL48">IFERROR(IF(tblSeverityAnalysis[[#This Row],[2nd Highest Severity]]="", "", _xlfn.TEXTJOIN(CHAR(10), TRUE, IF(tblSeverityAnalysis[[#This Row],[CCCM]:[WASH]]=tblSeverityAnalysis[[#This Row],[2nd Highest Severity]], tblSeverityAnalysis[[#Headers],[CCCM]:[WASH]], ""), "")), "")</f>
        <v>CCCM
Nutrition
Health
Protection
Shelter</v>
      </c>
      <c r="AM48" s="132" t="str">
        <f>IFERROR(IF(AND(tblSeverityAnalysis[[#This Row],[5]] &lt;&gt; "", tblSeverityAnalysis[[#This Row],[5]]&gt;=sectors_sev_5), "Flagged", ""), "")</f>
        <v/>
      </c>
      <c r="AN48" s="133" t="str">
        <f>IFERROR(IF(AND(tblSeverityAnalysis[[#This Row],[Preliminary Intersectoral Severity based on overlap of sectoral deprivations]]=4, SUM(tblSeverityAnalysis[[#This Row],[ 4 ]:[5]])&gt;=sectors_sev_4), "Flagged", ""), "")</f>
        <v/>
      </c>
      <c r="AO48" s="133" t="str" cm="1">
        <f t="array" ref="AO4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4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48" s="337"/>
      <c r="AR48" s="338"/>
      <c r="AS48" s="337"/>
      <c r="AT48" s="353">
        <f>COUNTIF(tblSeverityAnalysis[[#This Row],[1 sector in severity phase 5 '[modify the threshold']]:[Manual Flag]], "Flagged")</f>
        <v>0</v>
      </c>
      <c r="AU48" s="339">
        <f>tblSeverityAnalysis[[#This Row],[Preliminary Intersectoral Severity based on overlap of sectoral deprivations]]</f>
        <v>2</v>
      </c>
      <c r="AV48" s="340"/>
    </row>
    <row r="49" spans="1:48" ht="49.15" hidden="1">
      <c r="A4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Global_PopulationHT0361</v>
      </c>
      <c r="B49" s="39" t="s">
        <v>219</v>
      </c>
      <c r="C49" s="331" t="s">
        <v>220</v>
      </c>
      <c r="D49" s="331" t="s">
        <v>251</v>
      </c>
      <c r="E49" s="34" t="s">
        <v>252</v>
      </c>
      <c r="F49" s="34"/>
      <c r="G49" s="34"/>
      <c r="H49" s="357"/>
      <c r="I49" s="354">
        <v>90050</v>
      </c>
      <c r="J49" s="96" t="s">
        <v>156</v>
      </c>
      <c r="K49" s="305">
        <v>1</v>
      </c>
      <c r="L49" s="308">
        <v>3</v>
      </c>
      <c r="M49" s="308">
        <v>2</v>
      </c>
      <c r="N49" s="308">
        <v>3</v>
      </c>
      <c r="O49" s="308">
        <v>2</v>
      </c>
      <c r="P49" s="308">
        <v>2</v>
      </c>
      <c r="Q49" s="309">
        <v>3</v>
      </c>
      <c r="R49" s="341">
        <v>3</v>
      </c>
      <c r="S49" s="310"/>
      <c r="T49" s="308"/>
      <c r="U49" s="308"/>
      <c r="V49" s="308"/>
      <c r="W49" s="332">
        <f>IF(COUNTIF(tblSeverityAnalysis[[#This Row],[CCCM]:[WASH]], 1)=0, "", COUNTIF(tblSeverityAnalysis[[#This Row],[CCCM]:[WASH]], 1))</f>
        <v>1</v>
      </c>
      <c r="X49" s="333">
        <f>IF(COUNTIF(tblSeverityAnalysis[[#This Row],[CCCM]:[WASH]], 2)=0, "", COUNTIF(tblSeverityAnalysis[[#This Row],[CCCM]:[WASH]], 2))</f>
        <v>3</v>
      </c>
      <c r="Y49" s="333">
        <f>IF(COUNTIF(tblSeverityAnalysis[[#This Row],[CCCM]:[WASH]], 3)=0, "", COUNTIF(tblSeverityAnalysis[[#This Row],[CCCM]:[WASH]], 3))</f>
        <v>4</v>
      </c>
      <c r="Z49" s="333" t="str">
        <f>IF(COUNTIF(tblSeverityAnalysis[[#This Row],[CCCM]:[WASH]], 4)=0, "", COUNTIF(tblSeverityAnalysis[[#This Row],[CCCM]:[WASH]], 4))</f>
        <v/>
      </c>
      <c r="AA49" s="334" t="str">
        <f>IF(COUNTIF(tblSeverityAnalysis[[#This Row],[CCCM]:[WASH]], 5)=0, "", COUNTIF(tblSeverityAnalysis[[#This Row],[CCCM]:[WASH]], 5))</f>
        <v/>
      </c>
      <c r="AB49" s="60" cm="1">
        <f t="array" ref="AB4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4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49" s="33">
        <f>IFERROR(IF(INDEX(tblSeverityReference[Malnutrition Severity],MATCH(tblSeverityAnalysis[[#This Row],[ID]], tblSeverityReference[ID], 0))= "", "",INDEX(tblSeverityReference[Malnutrition Severity],MATCH(tblSeverityAnalysis[[#This Row],[ID]], tblSeverityReference[ID], 0)) ), "")</f>
        <v>2</v>
      </c>
      <c r="AE49" s="347">
        <f>IFERROR(IF(INDEX(tblSeverityReference[Epidemic Severity],MATCH(tblSeverityAnalysis[[#This Row],[ID]], tblSeverityReference[ID], 0))= "", "",INDEX(tblSeverityReference[Epidemic Severity],MATCH(tblSeverityAnalysis[[#This Row],[ID]], tblSeverityReference[ID], 0)) ), "")</f>
        <v>1</v>
      </c>
      <c r="AF49" s="310" t="str">
        <f>IFERROR(IF(INDEX(tblSeverityReference[Coping Strategy Severity],MATCH(tblSeverityAnalysis[[#This Row],[ID]], tblSeverityReference[ID], 0))= "", "",INDEX(tblSeverityReference[Coping Strategy Severity],MATCH(tblSeverityAnalysis[[#This Row],[ID]], tblSeverityReference[ID], 0)) ), "")</f>
        <v/>
      </c>
      <c r="AG49" s="348">
        <f>IFERROR(IF(INDEX(tblSeverityReference[HR/IHL Violation],MATCH(tblSeverityAnalysis[[#This Row],[ID]], tblSeverityReference[ID], 0))= "", "",INDEX(tblSeverityReference[HR/IHL Violation],MATCH(tblSeverityAnalysis[[#This Row],[ID]], tblSeverityReference[ID], 0)) ), "")</f>
        <v>3</v>
      </c>
      <c r="AH49" s="82">
        <f>IFERROR(AVERAGE(tblSeverityAnalysis[[#This Row],[CCCM]:[WASH]]), "")</f>
        <v>2.375</v>
      </c>
      <c r="AI49" s="27">
        <f>IF(SUM(tblSeverityAnalysis[[#This Row],[CCCM]:[WASH]])=0, "", MAX(tblSeverityAnalysis[[#This Row],[CCCM]:[WASH]]))</f>
        <v>3</v>
      </c>
      <c r="AJ49" s="335" t="str" cm="1">
        <f t="array" ref="AJ49">IFERROR(IF(tblSeverityAnalysis[[#This Row],[Highest Severity]]="", "", _xlfn.TEXTJOIN(CHAR(10), TRUE, IF(tblSeverityAnalysis[[#This Row],[CCCM]:[WASH]]=tblSeverityAnalysis[[#This Row],[Highest Severity]], tblSeverityAnalysis[[#Headers],[CCCM]:[WASH]], ""), "")), "")</f>
        <v>Education
Food Security
Shelter
WASH</v>
      </c>
      <c r="AK49" s="27" cm="1">
        <f t="array" ref="AK49">IFERROR(MAX(_xlfn._xlws.FILTER(tblSeverityAnalysis[[#This Row],[CCCM]:[WASH]], tblSeverityAnalysis[[#This Row],[CCCM]:[WASH]]&lt;tblSeverityAnalysis[[#This Row],[Highest Severity]])), "")</f>
        <v>2</v>
      </c>
      <c r="AL49" s="324" t="str" cm="1">
        <f t="array" ref="AL49">IFERROR(IF(tblSeverityAnalysis[[#This Row],[2nd Highest Severity]]="", "", _xlfn.TEXTJOIN(CHAR(10), TRUE, IF(tblSeverityAnalysis[[#This Row],[CCCM]:[WASH]]=tblSeverityAnalysis[[#This Row],[2nd Highest Severity]], tblSeverityAnalysis[[#Headers],[CCCM]:[WASH]], ""), "")), "")</f>
        <v>Nutrition
Health
Protection</v>
      </c>
      <c r="AM49" s="132" t="str">
        <f>IFERROR(IF(AND(tblSeverityAnalysis[[#This Row],[5]] &lt;&gt; "", tblSeverityAnalysis[[#This Row],[5]]&gt;=sectors_sev_5), "Flagged", ""), "")</f>
        <v/>
      </c>
      <c r="AN49" s="133" t="str">
        <f>IFERROR(IF(AND(tblSeverityAnalysis[[#This Row],[Preliminary Intersectoral Severity based on overlap of sectoral deprivations]]=4, SUM(tblSeverityAnalysis[[#This Row],[ 4 ]:[5]])&gt;=sectors_sev_4), "Flagged", ""), "")</f>
        <v/>
      </c>
      <c r="AO49" s="133" t="str" cm="1">
        <f t="array" ref="AO4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4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49" s="337"/>
      <c r="AR49" s="338"/>
      <c r="AS49" s="337"/>
      <c r="AT49" s="353">
        <f>COUNTIF(tblSeverityAnalysis[[#This Row],[1 sector in severity phase 5 '[modify the threshold']]:[Manual Flag]], "Flagged")</f>
        <v>2</v>
      </c>
      <c r="AU49" s="339">
        <f>tblSeverityAnalysis[[#This Row],[Preliminary Intersectoral Severity based on overlap of sectoral deprivations]]</f>
        <v>3</v>
      </c>
      <c r="AV49" s="340"/>
    </row>
    <row r="50" spans="1:48" ht="36.950000000000003" hidden="1">
      <c r="A5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Global_PopulationHT0362</v>
      </c>
      <c r="B50" s="39" t="s">
        <v>219</v>
      </c>
      <c r="C50" s="331" t="s">
        <v>220</v>
      </c>
      <c r="D50" s="331" t="s">
        <v>253</v>
      </c>
      <c r="E50" s="34" t="s">
        <v>254</v>
      </c>
      <c r="F50" s="34"/>
      <c r="G50" s="34"/>
      <c r="H50" s="358"/>
      <c r="I50" s="354">
        <v>22052</v>
      </c>
      <c r="J50" s="96" t="s">
        <v>156</v>
      </c>
      <c r="K50" s="305">
        <v>1</v>
      </c>
      <c r="L50" s="308">
        <v>3</v>
      </c>
      <c r="M50" s="308">
        <v>2</v>
      </c>
      <c r="N50" s="308">
        <v>3</v>
      </c>
      <c r="O50" s="308">
        <v>2</v>
      </c>
      <c r="P50" s="308">
        <v>2</v>
      </c>
      <c r="Q50" s="309">
        <v>1</v>
      </c>
      <c r="R50" s="341">
        <v>1</v>
      </c>
      <c r="S50" s="310"/>
      <c r="T50" s="308"/>
      <c r="U50" s="308"/>
      <c r="V50" s="308"/>
      <c r="W50" s="332">
        <f>IF(COUNTIF(tblSeverityAnalysis[[#This Row],[CCCM]:[WASH]], 1)=0, "", COUNTIF(tblSeverityAnalysis[[#This Row],[CCCM]:[WASH]], 1))</f>
        <v>3</v>
      </c>
      <c r="X50" s="333">
        <f>IF(COUNTIF(tblSeverityAnalysis[[#This Row],[CCCM]:[WASH]], 2)=0, "", COUNTIF(tblSeverityAnalysis[[#This Row],[CCCM]:[WASH]], 2))</f>
        <v>3</v>
      </c>
      <c r="Y50" s="333">
        <f>IF(COUNTIF(tblSeverityAnalysis[[#This Row],[CCCM]:[WASH]], 3)=0, "", COUNTIF(tblSeverityAnalysis[[#This Row],[CCCM]:[WASH]], 3))</f>
        <v>2</v>
      </c>
      <c r="Z50" s="333" t="str">
        <f>IF(COUNTIF(tblSeverityAnalysis[[#This Row],[CCCM]:[WASH]], 4)=0, "", COUNTIF(tblSeverityAnalysis[[#This Row],[CCCM]:[WASH]], 4))</f>
        <v/>
      </c>
      <c r="AA50" s="334" t="str">
        <f>IF(COUNTIF(tblSeverityAnalysis[[#This Row],[CCCM]:[WASH]], 5)=0, "", COUNTIF(tblSeverityAnalysis[[#This Row],[CCCM]:[WASH]], 5))</f>
        <v/>
      </c>
      <c r="AB50" s="60" cm="1">
        <f t="array" ref="AB5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5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0" s="33">
        <f>IFERROR(IF(INDEX(tblSeverityReference[Malnutrition Severity],MATCH(tblSeverityAnalysis[[#This Row],[ID]], tblSeverityReference[ID], 0))= "", "",INDEX(tblSeverityReference[Malnutrition Severity],MATCH(tblSeverityAnalysis[[#This Row],[ID]], tblSeverityReference[ID], 0)) ), "")</f>
        <v>2</v>
      </c>
      <c r="AE50" s="347">
        <f>IFERROR(IF(INDEX(tblSeverityReference[Epidemic Severity],MATCH(tblSeverityAnalysis[[#This Row],[ID]], tblSeverityReference[ID], 0))= "", "",INDEX(tblSeverityReference[Epidemic Severity],MATCH(tblSeverityAnalysis[[#This Row],[ID]], tblSeverityReference[ID], 0)) ), "")</f>
        <v>1</v>
      </c>
      <c r="AF50" s="310" t="str">
        <f>IFERROR(IF(INDEX(tblSeverityReference[Coping Strategy Severity],MATCH(tblSeverityAnalysis[[#This Row],[ID]], tblSeverityReference[ID], 0))= "", "",INDEX(tblSeverityReference[Coping Strategy Severity],MATCH(tblSeverityAnalysis[[#This Row],[ID]], tblSeverityReference[ID], 0)) ), "")</f>
        <v/>
      </c>
      <c r="AG50" s="108">
        <f>IFERROR(IF(INDEX(tblSeverityReference[HR/IHL Violation],MATCH(tblSeverityAnalysis[[#This Row],[ID]], tblSeverityReference[ID], 0))= "", "",INDEX(tblSeverityReference[HR/IHL Violation],MATCH(tblSeverityAnalysis[[#This Row],[ID]], tblSeverityReference[ID], 0)) ), "")</f>
        <v>2</v>
      </c>
      <c r="AH50" s="82">
        <f>IFERROR(AVERAGE(tblSeverityAnalysis[[#This Row],[CCCM]:[WASH]]), "")</f>
        <v>1.875</v>
      </c>
      <c r="AI50" s="27">
        <f>IF(SUM(tblSeverityAnalysis[[#This Row],[CCCM]:[WASH]])=0, "", MAX(tblSeverityAnalysis[[#This Row],[CCCM]:[WASH]]))</f>
        <v>3</v>
      </c>
      <c r="AJ50" s="335" t="str" cm="1">
        <f t="array" ref="AJ50">IFERROR(IF(tblSeverityAnalysis[[#This Row],[Highest Severity]]="", "", _xlfn.TEXTJOIN(CHAR(10), TRUE, IF(tblSeverityAnalysis[[#This Row],[CCCM]:[WASH]]=tblSeverityAnalysis[[#This Row],[Highest Severity]], tblSeverityAnalysis[[#Headers],[CCCM]:[WASH]], ""), "")), "")</f>
        <v>Education
Food Security</v>
      </c>
      <c r="AK50" s="27" cm="1">
        <f t="array" ref="AK50">IFERROR(MAX(_xlfn._xlws.FILTER(tblSeverityAnalysis[[#This Row],[CCCM]:[WASH]], tblSeverityAnalysis[[#This Row],[CCCM]:[WASH]]&lt;tblSeverityAnalysis[[#This Row],[Highest Severity]])), "")</f>
        <v>2</v>
      </c>
      <c r="AL50" s="324" t="str" cm="1">
        <f t="array" ref="AL50">IFERROR(IF(tblSeverityAnalysis[[#This Row],[2nd Highest Severity]]="", "", _xlfn.TEXTJOIN(CHAR(10), TRUE, IF(tblSeverityAnalysis[[#This Row],[CCCM]:[WASH]]=tblSeverityAnalysis[[#This Row],[2nd Highest Severity]], tblSeverityAnalysis[[#Headers],[CCCM]:[WASH]], ""), "")), "")</f>
        <v>Nutrition
Health
Protection</v>
      </c>
      <c r="AM50" s="132" t="str">
        <f>IFERROR(IF(AND(tblSeverityAnalysis[[#This Row],[5]] &lt;&gt; "", tblSeverityAnalysis[[#This Row],[5]]&gt;=sectors_sev_5), "Flagged", ""), "")</f>
        <v/>
      </c>
      <c r="AN50" s="133" t="str">
        <f>IFERROR(IF(AND(tblSeverityAnalysis[[#This Row],[Preliminary Intersectoral Severity based on overlap of sectoral deprivations]]=4, SUM(tblSeverityAnalysis[[#This Row],[ 4 ]:[5]])&gt;=sectors_sev_4), "Flagged", ""), "")</f>
        <v/>
      </c>
      <c r="AO50" s="133" t="str" cm="1">
        <f t="array" ref="AO5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50" s="337"/>
      <c r="AR50" s="338"/>
      <c r="AS50" s="337"/>
      <c r="AT50" s="353">
        <f>COUNTIF(tblSeverityAnalysis[[#This Row],[1 sector in severity phase 5 '[modify the threshold']]:[Manual Flag]], "Flagged")</f>
        <v>0</v>
      </c>
      <c r="AU50" s="339">
        <f>tblSeverityAnalysis[[#This Row],[Preliminary Intersectoral Severity based on overlap of sectoral deprivations]]</f>
        <v>2</v>
      </c>
      <c r="AV50" s="340"/>
    </row>
    <row r="51" spans="1:48" ht="73.900000000000006" hidden="1">
      <c r="A5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Global_PopulationHT0371</v>
      </c>
      <c r="B51" s="39" t="s">
        <v>219</v>
      </c>
      <c r="C51" s="331" t="s">
        <v>220</v>
      </c>
      <c r="D51" s="331" t="s">
        <v>255</v>
      </c>
      <c r="E51" s="34" t="s">
        <v>256</v>
      </c>
      <c r="F51" s="34"/>
      <c r="G51" s="34"/>
      <c r="H51" s="357"/>
      <c r="I51" s="354">
        <v>76929</v>
      </c>
      <c r="J51" s="96" t="s">
        <v>156</v>
      </c>
      <c r="K51" s="372">
        <v>3</v>
      </c>
      <c r="L51" s="308">
        <v>3</v>
      </c>
      <c r="M51" s="308">
        <v>3</v>
      </c>
      <c r="N51" s="308">
        <v>3</v>
      </c>
      <c r="O51" s="308">
        <v>3</v>
      </c>
      <c r="P51" s="308">
        <v>2</v>
      </c>
      <c r="Q51" s="309">
        <v>3</v>
      </c>
      <c r="R51" s="341">
        <v>2</v>
      </c>
      <c r="S51" s="310"/>
      <c r="T51" s="308"/>
      <c r="U51" s="308"/>
      <c r="V51" s="308"/>
      <c r="W51" s="332" t="str">
        <f>IF(COUNTIF(tblSeverityAnalysis[[#This Row],[CCCM]:[WASH]], 1)=0, "", COUNTIF(tblSeverityAnalysis[[#This Row],[CCCM]:[WASH]], 1))</f>
        <v/>
      </c>
      <c r="X51" s="333">
        <f>IF(COUNTIF(tblSeverityAnalysis[[#This Row],[CCCM]:[WASH]], 2)=0, "", COUNTIF(tblSeverityAnalysis[[#This Row],[CCCM]:[WASH]], 2))</f>
        <v>2</v>
      </c>
      <c r="Y51" s="333">
        <f>IF(COUNTIF(tblSeverityAnalysis[[#This Row],[CCCM]:[WASH]], 3)=0, "", COUNTIF(tblSeverityAnalysis[[#This Row],[CCCM]:[WASH]], 3))</f>
        <v>6</v>
      </c>
      <c r="Z51" s="333" t="str">
        <f>IF(COUNTIF(tblSeverityAnalysis[[#This Row],[CCCM]:[WASH]], 4)=0, "", COUNTIF(tblSeverityAnalysis[[#This Row],[CCCM]:[WASH]], 4))</f>
        <v/>
      </c>
      <c r="AA51" s="334" t="str">
        <f>IF(COUNTIF(tblSeverityAnalysis[[#This Row],[CCCM]:[WASH]], 5)=0, "", COUNTIF(tblSeverityAnalysis[[#This Row],[CCCM]:[WASH]], 5))</f>
        <v/>
      </c>
      <c r="AB51" s="60" cm="1">
        <f t="array" ref="AB5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1" s="33">
        <f>IFERROR(IF(INDEX(tblSeverityReference[Malnutrition Severity],MATCH(tblSeverityAnalysis[[#This Row],[ID]], tblSeverityReference[ID], 0))= "", "",INDEX(tblSeverityReference[Malnutrition Severity],MATCH(tblSeverityAnalysis[[#This Row],[ID]], tblSeverityReference[ID], 0)) ), "")</f>
        <v>2</v>
      </c>
      <c r="AE51" s="347">
        <f>IFERROR(IF(INDEX(tblSeverityReference[Epidemic Severity],MATCH(tblSeverityAnalysis[[#This Row],[ID]], tblSeverityReference[ID], 0))= "", "",INDEX(tblSeverityReference[Epidemic Severity],MATCH(tblSeverityAnalysis[[#This Row],[ID]], tblSeverityReference[ID], 0)) ), "")</f>
        <v>1</v>
      </c>
      <c r="AF51" s="310" t="str">
        <f>IFERROR(IF(INDEX(tblSeverityReference[Coping Strategy Severity],MATCH(tblSeverityAnalysis[[#This Row],[ID]], tblSeverityReference[ID], 0))= "", "",INDEX(tblSeverityReference[Coping Strategy Severity],MATCH(tblSeverityAnalysis[[#This Row],[ID]], tblSeverityReference[ID], 0)) ), "")</f>
        <v/>
      </c>
      <c r="AG51" s="348">
        <f>IFERROR(IF(INDEX(tblSeverityReference[HR/IHL Violation],MATCH(tblSeverityAnalysis[[#This Row],[ID]], tblSeverityReference[ID], 0))= "", "",INDEX(tblSeverityReference[HR/IHL Violation],MATCH(tblSeverityAnalysis[[#This Row],[ID]], tblSeverityReference[ID], 0)) ), "")</f>
        <v>3</v>
      </c>
      <c r="AH51" s="82">
        <f>IFERROR(AVERAGE(tblSeverityAnalysis[[#This Row],[CCCM]:[WASH]]), "")</f>
        <v>2.75</v>
      </c>
      <c r="AI51" s="27">
        <f>IF(SUM(tblSeverityAnalysis[[#This Row],[CCCM]:[WASH]])=0, "", MAX(tblSeverityAnalysis[[#This Row],[CCCM]:[WASH]]))</f>
        <v>3</v>
      </c>
      <c r="AJ51" s="335" t="str" cm="1">
        <f t="array" ref="AJ51">IFERROR(IF(tblSeverityAnalysis[[#This Row],[Highest Severity]]="", "", _xlfn.TEXTJOIN(CHAR(10), TRUE, IF(tblSeverityAnalysis[[#This Row],[CCCM]:[WASH]]=tblSeverityAnalysis[[#This Row],[Highest Severity]], tblSeverityAnalysis[[#Headers],[CCCM]:[WASH]], ""), "")), "")</f>
        <v>CCCM
Education
Nutrition
Food Security
Health
Shelter</v>
      </c>
      <c r="AK51" s="27" cm="1">
        <f t="array" ref="AK51">IFERROR(MAX(_xlfn._xlws.FILTER(tblSeverityAnalysis[[#This Row],[CCCM]:[WASH]], tblSeverityAnalysis[[#This Row],[CCCM]:[WASH]]&lt;tblSeverityAnalysis[[#This Row],[Highest Severity]])), "")</f>
        <v>2</v>
      </c>
      <c r="AL51" s="324" t="str" cm="1">
        <f t="array" ref="AL51">IFERROR(IF(tblSeverityAnalysis[[#This Row],[2nd Highest Severity]]="", "", _xlfn.TEXTJOIN(CHAR(10), TRUE, IF(tblSeverityAnalysis[[#This Row],[CCCM]:[WASH]]=tblSeverityAnalysis[[#This Row],[2nd Highest Severity]], tblSeverityAnalysis[[#Headers],[CCCM]:[WASH]], ""), "")), "")</f>
        <v>Protection
WASH</v>
      </c>
      <c r="AM51" s="132" t="str">
        <f>IFERROR(IF(AND(tblSeverityAnalysis[[#This Row],[5]] &lt;&gt; "", tblSeverityAnalysis[[#This Row],[5]]&gt;=sectors_sev_5), "Flagged", ""), "")</f>
        <v/>
      </c>
      <c r="AN51" s="133" t="str">
        <f>IFERROR(IF(AND(tblSeverityAnalysis[[#This Row],[Preliminary Intersectoral Severity based on overlap of sectoral deprivations]]=4, SUM(tblSeverityAnalysis[[#This Row],[ 4 ]:[5]])&gt;=sectors_sev_4), "Flagged", ""), "")</f>
        <v/>
      </c>
      <c r="AO51" s="133" t="str" cm="1">
        <f t="array" ref="AO5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1" s="337"/>
      <c r="AR51" s="338"/>
      <c r="AS51" s="337"/>
      <c r="AT51" s="353">
        <f>COUNTIF(tblSeverityAnalysis[[#This Row],[1 sector in severity phase 5 '[modify the threshold']]:[Manual Flag]], "Flagged")</f>
        <v>2</v>
      </c>
      <c r="AU51" s="339">
        <f>tblSeverityAnalysis[[#This Row],[Preliminary Intersectoral Severity based on overlap of sectoral deprivations]]</f>
        <v>3</v>
      </c>
      <c r="AV51" s="340"/>
    </row>
    <row r="52" spans="1:48" ht="49.15" hidden="1">
      <c r="A5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Global_PopulationHT0372</v>
      </c>
      <c r="B52" s="39" t="s">
        <v>219</v>
      </c>
      <c r="C52" s="331" t="s">
        <v>220</v>
      </c>
      <c r="D52" s="331" t="s">
        <v>257</v>
      </c>
      <c r="E52" s="34" t="s">
        <v>258</v>
      </c>
      <c r="F52" s="34"/>
      <c r="G52" s="34"/>
      <c r="H52" s="358"/>
      <c r="I52" s="354">
        <v>60535</v>
      </c>
      <c r="J52" s="96" t="s">
        <v>156</v>
      </c>
      <c r="K52" s="372">
        <v>3</v>
      </c>
      <c r="L52" s="308">
        <v>3</v>
      </c>
      <c r="M52" s="308">
        <v>2</v>
      </c>
      <c r="N52" s="308">
        <v>3</v>
      </c>
      <c r="O52" s="308">
        <v>2</v>
      </c>
      <c r="P52" s="308">
        <v>2</v>
      </c>
      <c r="Q52" s="309">
        <v>3</v>
      </c>
      <c r="R52" s="341">
        <v>2</v>
      </c>
      <c r="S52" s="310"/>
      <c r="T52" s="308"/>
      <c r="U52" s="308"/>
      <c r="V52" s="308"/>
      <c r="W52" s="332" t="str">
        <f>IF(COUNTIF(tblSeverityAnalysis[[#This Row],[CCCM]:[WASH]], 1)=0, "", COUNTIF(tblSeverityAnalysis[[#This Row],[CCCM]:[WASH]], 1))</f>
        <v/>
      </c>
      <c r="X52" s="333">
        <f>IF(COUNTIF(tblSeverityAnalysis[[#This Row],[CCCM]:[WASH]], 2)=0, "", COUNTIF(tblSeverityAnalysis[[#This Row],[CCCM]:[WASH]], 2))</f>
        <v>4</v>
      </c>
      <c r="Y52" s="333">
        <f>IF(COUNTIF(tblSeverityAnalysis[[#This Row],[CCCM]:[WASH]], 3)=0, "", COUNTIF(tblSeverityAnalysis[[#This Row],[CCCM]:[WASH]], 3))</f>
        <v>4</v>
      </c>
      <c r="Z52" s="333" t="str">
        <f>IF(COUNTIF(tblSeverityAnalysis[[#This Row],[CCCM]:[WASH]], 4)=0, "", COUNTIF(tblSeverityAnalysis[[#This Row],[CCCM]:[WASH]], 4))</f>
        <v/>
      </c>
      <c r="AA52" s="334" t="str">
        <f>IF(COUNTIF(tblSeverityAnalysis[[#This Row],[CCCM]:[WASH]], 5)=0, "", COUNTIF(tblSeverityAnalysis[[#This Row],[CCCM]:[WASH]], 5))</f>
        <v/>
      </c>
      <c r="AB52" s="60" cm="1">
        <f t="array" ref="AB5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2"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2" s="33">
        <f>IFERROR(IF(INDEX(tblSeverityReference[Malnutrition Severity],MATCH(tblSeverityAnalysis[[#This Row],[ID]], tblSeverityReference[ID], 0))= "", "",INDEX(tblSeverityReference[Malnutrition Severity],MATCH(tblSeverityAnalysis[[#This Row],[ID]], tblSeverityReference[ID], 0)) ), "")</f>
        <v>2</v>
      </c>
      <c r="AE52" s="347">
        <f>IFERROR(IF(INDEX(tblSeverityReference[Epidemic Severity],MATCH(tblSeverityAnalysis[[#This Row],[ID]], tblSeverityReference[ID], 0))= "", "",INDEX(tblSeverityReference[Epidemic Severity],MATCH(tblSeverityAnalysis[[#This Row],[ID]], tblSeverityReference[ID], 0)) ), "")</f>
        <v>1</v>
      </c>
      <c r="AF52" s="310" t="str">
        <f>IFERROR(IF(INDEX(tblSeverityReference[Coping Strategy Severity],MATCH(tblSeverityAnalysis[[#This Row],[ID]], tblSeverityReference[ID], 0))= "", "",INDEX(tblSeverityReference[Coping Strategy Severity],MATCH(tblSeverityAnalysis[[#This Row],[ID]], tblSeverityReference[ID], 0)) ), "")</f>
        <v/>
      </c>
      <c r="AG52" s="108">
        <f>IFERROR(IF(INDEX(tblSeverityReference[HR/IHL Violation],MATCH(tblSeverityAnalysis[[#This Row],[ID]], tblSeverityReference[ID], 0))= "", "",INDEX(tblSeverityReference[HR/IHL Violation],MATCH(tblSeverityAnalysis[[#This Row],[ID]], tblSeverityReference[ID], 0)) ), "")</f>
        <v>3</v>
      </c>
      <c r="AH52" s="82">
        <f>IFERROR(AVERAGE(tblSeverityAnalysis[[#This Row],[CCCM]:[WASH]]), "")</f>
        <v>2.5</v>
      </c>
      <c r="AI52" s="27">
        <f>IF(SUM(tblSeverityAnalysis[[#This Row],[CCCM]:[WASH]])=0, "", MAX(tblSeverityAnalysis[[#This Row],[CCCM]:[WASH]]))</f>
        <v>3</v>
      </c>
      <c r="AJ52" s="335" t="str" cm="1">
        <f t="array" ref="AJ52">IFERROR(IF(tblSeverityAnalysis[[#This Row],[Highest Severity]]="", "", _xlfn.TEXTJOIN(CHAR(10), TRUE, IF(tblSeverityAnalysis[[#This Row],[CCCM]:[WASH]]=tblSeverityAnalysis[[#This Row],[Highest Severity]], tblSeverityAnalysis[[#Headers],[CCCM]:[WASH]], ""), "")), "")</f>
        <v>CCCM
Education
Food Security
Shelter</v>
      </c>
      <c r="AK52" s="27" cm="1">
        <f t="array" ref="AK52">IFERROR(MAX(_xlfn._xlws.FILTER(tblSeverityAnalysis[[#This Row],[CCCM]:[WASH]], tblSeverityAnalysis[[#This Row],[CCCM]:[WASH]]&lt;tblSeverityAnalysis[[#This Row],[Highest Severity]])), "")</f>
        <v>2</v>
      </c>
      <c r="AL52" s="324" t="str" cm="1">
        <f t="array" ref="AL52">IFERROR(IF(tblSeverityAnalysis[[#This Row],[2nd Highest Severity]]="", "", _xlfn.TEXTJOIN(CHAR(10), TRUE, IF(tblSeverityAnalysis[[#This Row],[CCCM]:[WASH]]=tblSeverityAnalysis[[#This Row],[2nd Highest Severity]], tblSeverityAnalysis[[#Headers],[CCCM]:[WASH]], ""), "")), "")</f>
        <v>Nutrition
Health
Protection
WASH</v>
      </c>
      <c r="AM52" s="132" t="str">
        <f>IFERROR(IF(AND(tblSeverityAnalysis[[#This Row],[5]] &lt;&gt; "", tblSeverityAnalysis[[#This Row],[5]]&gt;=sectors_sev_5), "Flagged", ""), "")</f>
        <v/>
      </c>
      <c r="AN52" s="133" t="str">
        <f>IFERROR(IF(AND(tblSeverityAnalysis[[#This Row],[Preliminary Intersectoral Severity based on overlap of sectoral deprivations]]=4, SUM(tblSeverityAnalysis[[#This Row],[ 4 ]:[5]])&gt;=sectors_sev_4), "Flagged", ""), "")</f>
        <v/>
      </c>
      <c r="AO52" s="133" t="str" cm="1">
        <f t="array" ref="AO5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2" s="337"/>
      <c r="AR52" s="338"/>
      <c r="AS52" s="337"/>
      <c r="AT52" s="353">
        <f>COUNTIF(tblSeverityAnalysis[[#This Row],[1 sector in severity phase 5 '[modify the threshold']]:[Manual Flag]], "Flagged")</f>
        <v>2</v>
      </c>
      <c r="AU52" s="339">
        <f>tblSeverityAnalysis[[#This Row],[Preliminary Intersectoral Severity based on overlap of sectoral deprivations]]</f>
        <v>3</v>
      </c>
      <c r="AV52" s="340"/>
    </row>
    <row r="53" spans="1:48" ht="61.5" hidden="1">
      <c r="A5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Global_PopulationHT0411</v>
      </c>
      <c r="B53" s="39" t="s">
        <v>259</v>
      </c>
      <c r="C53" s="331" t="s">
        <v>260</v>
      </c>
      <c r="D53" s="331" t="s">
        <v>261</v>
      </c>
      <c r="E53" s="34" t="s">
        <v>262</v>
      </c>
      <c r="F53" s="34"/>
      <c r="G53" s="34"/>
      <c r="H53" s="357"/>
      <c r="I53" s="354">
        <v>40129</v>
      </c>
      <c r="J53" s="96" t="s">
        <v>156</v>
      </c>
      <c r="K53" s="305">
        <v>4</v>
      </c>
      <c r="L53" s="308">
        <v>3</v>
      </c>
      <c r="M53" s="308">
        <v>3</v>
      </c>
      <c r="N53" s="308">
        <v>3</v>
      </c>
      <c r="O53" s="308">
        <v>2</v>
      </c>
      <c r="P53" s="308">
        <v>2</v>
      </c>
      <c r="Q53" s="309">
        <v>3</v>
      </c>
      <c r="R53" s="341">
        <v>3</v>
      </c>
      <c r="S53" s="310"/>
      <c r="T53" s="308"/>
      <c r="U53" s="308"/>
      <c r="V53" s="308"/>
      <c r="W53" s="332" t="str">
        <f>IF(COUNTIF(tblSeverityAnalysis[[#This Row],[CCCM]:[WASH]], 1)=0, "", COUNTIF(tblSeverityAnalysis[[#This Row],[CCCM]:[WASH]], 1))</f>
        <v/>
      </c>
      <c r="X53" s="333">
        <f>IF(COUNTIF(tblSeverityAnalysis[[#This Row],[CCCM]:[WASH]], 2)=0, "", COUNTIF(tblSeverityAnalysis[[#This Row],[CCCM]:[WASH]], 2))</f>
        <v>2</v>
      </c>
      <c r="Y53" s="333">
        <f>IF(COUNTIF(tblSeverityAnalysis[[#This Row],[CCCM]:[WASH]], 3)=0, "", COUNTIF(tblSeverityAnalysis[[#This Row],[CCCM]:[WASH]], 3))</f>
        <v>5</v>
      </c>
      <c r="Z53" s="333">
        <f>IF(COUNTIF(tblSeverityAnalysis[[#This Row],[CCCM]:[WASH]], 4)=0, "", COUNTIF(tblSeverityAnalysis[[#This Row],[CCCM]:[WASH]], 4))</f>
        <v>1</v>
      </c>
      <c r="AA53" s="334" t="str">
        <f>IF(COUNTIF(tblSeverityAnalysis[[#This Row],[CCCM]:[WASH]], 5)=0, "", COUNTIF(tblSeverityAnalysis[[#This Row],[CCCM]:[WASH]], 5))</f>
        <v/>
      </c>
      <c r="AB53" s="60" cm="1">
        <f t="array" ref="AB5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3"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3" s="33">
        <f>IFERROR(IF(INDEX(tblSeverityReference[Malnutrition Severity],MATCH(tblSeverityAnalysis[[#This Row],[ID]], tblSeverityReference[ID], 0))= "", "",INDEX(tblSeverityReference[Malnutrition Severity],MATCH(tblSeverityAnalysis[[#This Row],[ID]], tblSeverityReference[ID], 0)) ), "")</f>
        <v>2</v>
      </c>
      <c r="AE53" s="347">
        <f>IFERROR(IF(INDEX(tblSeverityReference[Epidemic Severity],MATCH(tblSeverityAnalysis[[#This Row],[ID]], tblSeverityReference[ID], 0))= "", "",INDEX(tblSeverityReference[Epidemic Severity],MATCH(tblSeverityAnalysis[[#This Row],[ID]], tblSeverityReference[ID], 0)) ), "")</f>
        <v>3</v>
      </c>
      <c r="AF53" s="310" t="str">
        <f>IFERROR(IF(INDEX(tblSeverityReference[Coping Strategy Severity],MATCH(tblSeverityAnalysis[[#This Row],[ID]], tblSeverityReference[ID], 0))= "", "",INDEX(tblSeverityReference[Coping Strategy Severity],MATCH(tblSeverityAnalysis[[#This Row],[ID]], tblSeverityReference[ID], 0)) ), "")</f>
        <v/>
      </c>
      <c r="AG53" s="348">
        <f>IFERROR(IF(INDEX(tblSeverityReference[HR/IHL Violation],MATCH(tblSeverityAnalysis[[#This Row],[ID]], tblSeverityReference[ID], 0))= "", "",INDEX(tblSeverityReference[HR/IHL Violation],MATCH(tblSeverityAnalysis[[#This Row],[ID]], tblSeverityReference[ID], 0)) ), "")</f>
        <v>3</v>
      </c>
      <c r="AH53" s="82">
        <f>IFERROR(AVERAGE(tblSeverityAnalysis[[#This Row],[CCCM]:[WASH]]), "")</f>
        <v>2.875</v>
      </c>
      <c r="AI53" s="27">
        <f>IF(SUM(tblSeverityAnalysis[[#This Row],[CCCM]:[WASH]])=0, "", MAX(tblSeverityAnalysis[[#This Row],[CCCM]:[WASH]]))</f>
        <v>4</v>
      </c>
      <c r="AJ53" s="335" t="str" cm="1">
        <f t="array" ref="AJ53">IFERROR(IF(tblSeverityAnalysis[[#This Row],[Highest Severity]]="", "", _xlfn.TEXTJOIN(CHAR(10), TRUE, IF(tblSeverityAnalysis[[#This Row],[CCCM]:[WASH]]=tblSeverityAnalysis[[#This Row],[Highest Severity]], tblSeverityAnalysis[[#Headers],[CCCM]:[WASH]], ""), "")), "")</f>
        <v>CCCM</v>
      </c>
      <c r="AK53" s="27" cm="1">
        <f t="array" ref="AK53">IFERROR(MAX(_xlfn._xlws.FILTER(tblSeverityAnalysis[[#This Row],[CCCM]:[WASH]], tblSeverityAnalysis[[#This Row],[CCCM]:[WASH]]&lt;tblSeverityAnalysis[[#This Row],[Highest Severity]])), "")</f>
        <v>3</v>
      </c>
      <c r="AL53" s="324" t="str" cm="1">
        <f t="array" ref="AL53">IFERROR(IF(tblSeverityAnalysis[[#This Row],[2nd Highest Severity]]="", "", _xlfn.TEXTJOIN(CHAR(10), TRUE, IF(tblSeverityAnalysis[[#This Row],[CCCM]:[WASH]]=tblSeverityAnalysis[[#This Row],[2nd Highest Severity]], tblSeverityAnalysis[[#Headers],[CCCM]:[WASH]], ""), "")), "")</f>
        <v>Education
Nutrition
Food Security
Shelter
WASH</v>
      </c>
      <c r="AM53" s="132" t="str">
        <f>IFERROR(IF(AND(tblSeverityAnalysis[[#This Row],[5]] &lt;&gt; "", tblSeverityAnalysis[[#This Row],[5]]&gt;=sectors_sev_5), "Flagged", ""), "")</f>
        <v/>
      </c>
      <c r="AN53" s="133" t="str">
        <f>IFERROR(IF(AND(tblSeverityAnalysis[[#This Row],[Preliminary Intersectoral Severity based on overlap of sectoral deprivations]]=4, SUM(tblSeverityAnalysis[[#This Row],[ 4 ]:[5]])&gt;=sectors_sev_4), "Flagged", ""), "")</f>
        <v/>
      </c>
      <c r="AO53" s="133" t="str" cm="1">
        <f t="array" ref="AO5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3" s="337"/>
      <c r="AR53" s="338"/>
      <c r="AS53" s="337"/>
      <c r="AT53" s="353">
        <f>COUNTIF(tblSeverityAnalysis[[#This Row],[1 sector in severity phase 5 '[modify the threshold']]:[Manual Flag]], "Flagged")</f>
        <v>1</v>
      </c>
      <c r="AU53" s="339">
        <f>tblSeverityAnalysis[[#This Row],[Preliminary Intersectoral Severity based on overlap of sectoral deprivations]]</f>
        <v>3</v>
      </c>
      <c r="AV53" s="340"/>
    </row>
    <row r="54" spans="1:48" ht="49.15" hidden="1">
      <c r="A5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Global_PopulationHT0412</v>
      </c>
      <c r="B54" s="39" t="s">
        <v>259</v>
      </c>
      <c r="C54" s="331" t="s">
        <v>260</v>
      </c>
      <c r="D54" s="331" t="s">
        <v>263</v>
      </c>
      <c r="E54" s="34" t="s">
        <v>264</v>
      </c>
      <c r="F54" s="34"/>
      <c r="G54" s="34"/>
      <c r="H54" s="358"/>
      <c r="I54" s="354">
        <v>17054</v>
      </c>
      <c r="J54" s="96" t="s">
        <v>156</v>
      </c>
      <c r="K54" s="372">
        <v>1</v>
      </c>
      <c r="L54" s="308">
        <v>3</v>
      </c>
      <c r="M54" s="308">
        <v>3</v>
      </c>
      <c r="N54" s="308">
        <v>3</v>
      </c>
      <c r="O54" s="308">
        <v>2</v>
      </c>
      <c r="P54" s="308">
        <v>2</v>
      </c>
      <c r="Q54" s="309">
        <v>3</v>
      </c>
      <c r="R54" s="341">
        <v>2</v>
      </c>
      <c r="S54" s="310"/>
      <c r="T54" s="308"/>
      <c r="U54" s="308"/>
      <c r="V54" s="308"/>
      <c r="W54" s="332">
        <f>IF(COUNTIF(tblSeverityAnalysis[[#This Row],[CCCM]:[WASH]], 1)=0, "", COUNTIF(tblSeverityAnalysis[[#This Row],[CCCM]:[WASH]], 1))</f>
        <v>1</v>
      </c>
      <c r="X54" s="333">
        <f>IF(COUNTIF(tblSeverityAnalysis[[#This Row],[CCCM]:[WASH]], 2)=0, "", COUNTIF(tblSeverityAnalysis[[#This Row],[CCCM]:[WASH]], 2))</f>
        <v>3</v>
      </c>
      <c r="Y54" s="333">
        <f>IF(COUNTIF(tblSeverityAnalysis[[#This Row],[CCCM]:[WASH]], 3)=0, "", COUNTIF(tblSeverityAnalysis[[#This Row],[CCCM]:[WASH]], 3))</f>
        <v>4</v>
      </c>
      <c r="Z54" s="333" t="str">
        <f>IF(COUNTIF(tblSeverityAnalysis[[#This Row],[CCCM]:[WASH]], 4)=0, "", COUNTIF(tblSeverityAnalysis[[#This Row],[CCCM]:[WASH]], 4))</f>
        <v/>
      </c>
      <c r="AA54" s="334" t="str">
        <f>IF(COUNTIF(tblSeverityAnalysis[[#This Row],[CCCM]:[WASH]], 5)=0, "", COUNTIF(tblSeverityAnalysis[[#This Row],[CCCM]:[WASH]], 5))</f>
        <v/>
      </c>
      <c r="AB54" s="60" cm="1">
        <f t="array" ref="AB5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4" s="33">
        <f>IFERROR(IF(INDEX(tblSeverityReference[Malnutrition Severity],MATCH(tblSeverityAnalysis[[#This Row],[ID]], tblSeverityReference[ID], 0))= "", "",INDEX(tblSeverityReference[Malnutrition Severity],MATCH(tblSeverityAnalysis[[#This Row],[ID]], tblSeverityReference[ID], 0)) ), "")</f>
        <v>2</v>
      </c>
      <c r="AE54" s="347">
        <f>IFERROR(IF(INDEX(tblSeverityReference[Epidemic Severity],MATCH(tblSeverityAnalysis[[#This Row],[ID]], tblSeverityReference[ID], 0))= "", "",INDEX(tblSeverityReference[Epidemic Severity],MATCH(tblSeverityAnalysis[[#This Row],[ID]], tblSeverityReference[ID], 0)) ), "")</f>
        <v>1</v>
      </c>
      <c r="AF54" s="310" t="str">
        <f>IFERROR(IF(INDEX(tblSeverityReference[Coping Strategy Severity],MATCH(tblSeverityAnalysis[[#This Row],[ID]], tblSeverityReference[ID], 0))= "", "",INDEX(tblSeverityReference[Coping Strategy Severity],MATCH(tblSeverityAnalysis[[#This Row],[ID]], tblSeverityReference[ID], 0)) ), "")</f>
        <v/>
      </c>
      <c r="AG54" s="108">
        <f>IFERROR(IF(INDEX(tblSeverityReference[HR/IHL Violation],MATCH(tblSeverityAnalysis[[#This Row],[ID]], tblSeverityReference[ID], 0))= "", "",INDEX(tblSeverityReference[HR/IHL Violation],MATCH(tblSeverityAnalysis[[#This Row],[ID]], tblSeverityReference[ID], 0)) ), "")</f>
        <v>3</v>
      </c>
      <c r="AH54" s="82">
        <f>IFERROR(AVERAGE(tblSeverityAnalysis[[#This Row],[CCCM]:[WASH]]), "")</f>
        <v>2.375</v>
      </c>
      <c r="AI54" s="27">
        <f>IF(SUM(tblSeverityAnalysis[[#This Row],[CCCM]:[WASH]])=0, "", MAX(tblSeverityAnalysis[[#This Row],[CCCM]:[WASH]]))</f>
        <v>3</v>
      </c>
      <c r="AJ54" s="335" t="str" cm="1">
        <f t="array" ref="AJ54">IFERROR(IF(tblSeverityAnalysis[[#This Row],[Highest Severity]]="", "", _xlfn.TEXTJOIN(CHAR(10), TRUE, IF(tblSeverityAnalysis[[#This Row],[CCCM]:[WASH]]=tblSeverityAnalysis[[#This Row],[Highest Severity]], tblSeverityAnalysis[[#Headers],[CCCM]:[WASH]], ""), "")), "")</f>
        <v>Education
Nutrition
Food Security
Shelter</v>
      </c>
      <c r="AK54" s="27" cm="1">
        <f t="array" ref="AK54">IFERROR(MAX(_xlfn._xlws.FILTER(tblSeverityAnalysis[[#This Row],[CCCM]:[WASH]], tblSeverityAnalysis[[#This Row],[CCCM]:[WASH]]&lt;tblSeverityAnalysis[[#This Row],[Highest Severity]])), "")</f>
        <v>2</v>
      </c>
      <c r="AL54" s="324" t="str" cm="1">
        <f t="array" ref="AL54">IFERROR(IF(tblSeverityAnalysis[[#This Row],[2nd Highest Severity]]="", "", _xlfn.TEXTJOIN(CHAR(10), TRUE, IF(tblSeverityAnalysis[[#This Row],[CCCM]:[WASH]]=tblSeverityAnalysis[[#This Row],[2nd Highest Severity]], tblSeverityAnalysis[[#Headers],[CCCM]:[WASH]], ""), "")), "")</f>
        <v>Health
Protection
WASH</v>
      </c>
      <c r="AM54" s="132" t="str">
        <f>IFERROR(IF(AND(tblSeverityAnalysis[[#This Row],[5]] &lt;&gt; "", tblSeverityAnalysis[[#This Row],[5]]&gt;=sectors_sev_5), "Flagged", ""), "")</f>
        <v/>
      </c>
      <c r="AN54" s="133" t="str">
        <f>IFERROR(IF(AND(tblSeverityAnalysis[[#This Row],[Preliminary Intersectoral Severity based on overlap of sectoral deprivations]]=4, SUM(tblSeverityAnalysis[[#This Row],[ 4 ]:[5]])&gt;=sectors_sev_4), "Flagged", ""), "")</f>
        <v/>
      </c>
      <c r="AO54" s="133" t="str" cm="1">
        <f t="array" ref="AO5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4" s="337"/>
      <c r="AR54" s="338"/>
      <c r="AS54" s="337"/>
      <c r="AT54" s="353">
        <f>COUNTIF(tblSeverityAnalysis[[#This Row],[1 sector in severity phase 5 '[modify the threshold']]:[Manual Flag]], "Flagged")</f>
        <v>2</v>
      </c>
      <c r="AU54" s="339">
        <f>tblSeverityAnalysis[[#This Row],[Preliminary Intersectoral Severity based on overlap of sectoral deprivations]]</f>
        <v>3</v>
      </c>
      <c r="AV54" s="340"/>
    </row>
    <row r="55" spans="1:48" ht="49.15" hidden="1">
      <c r="A5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Global_PopulationHT0413</v>
      </c>
      <c r="B55" s="39" t="s">
        <v>259</v>
      </c>
      <c r="C55" s="331" t="s">
        <v>260</v>
      </c>
      <c r="D55" s="331" t="s">
        <v>265</v>
      </c>
      <c r="E55" s="34" t="s">
        <v>266</v>
      </c>
      <c r="F55" s="34"/>
      <c r="G55" s="34"/>
      <c r="H55" s="357"/>
      <c r="I55" s="354">
        <v>13700</v>
      </c>
      <c r="J55" s="96" t="s">
        <v>156</v>
      </c>
      <c r="K55" s="372">
        <v>1</v>
      </c>
      <c r="L55" s="308">
        <v>3</v>
      </c>
      <c r="M55" s="308">
        <v>3</v>
      </c>
      <c r="N55" s="308">
        <v>3</v>
      </c>
      <c r="O55" s="308">
        <v>2</v>
      </c>
      <c r="P55" s="308">
        <v>2</v>
      </c>
      <c r="Q55" s="309">
        <v>3</v>
      </c>
      <c r="R55" s="341">
        <v>4</v>
      </c>
      <c r="S55" s="310"/>
      <c r="T55" s="308"/>
      <c r="U55" s="308"/>
      <c r="V55" s="308"/>
      <c r="W55" s="332">
        <f>IF(COUNTIF(tblSeverityAnalysis[[#This Row],[CCCM]:[WASH]], 1)=0, "", COUNTIF(tblSeverityAnalysis[[#This Row],[CCCM]:[WASH]], 1))</f>
        <v>1</v>
      </c>
      <c r="X55" s="333">
        <f>IF(COUNTIF(tblSeverityAnalysis[[#This Row],[CCCM]:[WASH]], 2)=0, "", COUNTIF(tblSeverityAnalysis[[#This Row],[CCCM]:[WASH]], 2))</f>
        <v>2</v>
      </c>
      <c r="Y55" s="333">
        <f>IF(COUNTIF(tblSeverityAnalysis[[#This Row],[CCCM]:[WASH]], 3)=0, "", COUNTIF(tblSeverityAnalysis[[#This Row],[CCCM]:[WASH]], 3))</f>
        <v>4</v>
      </c>
      <c r="Z55" s="333">
        <f>IF(COUNTIF(tblSeverityAnalysis[[#This Row],[CCCM]:[WASH]], 4)=0, "", COUNTIF(tblSeverityAnalysis[[#This Row],[CCCM]:[WASH]], 4))</f>
        <v>1</v>
      </c>
      <c r="AA55" s="334" t="str">
        <f>IF(COUNTIF(tblSeverityAnalysis[[#This Row],[CCCM]:[WASH]], 5)=0, "", COUNTIF(tblSeverityAnalysis[[#This Row],[CCCM]:[WASH]], 5))</f>
        <v/>
      </c>
      <c r="AB55" s="60" cm="1">
        <f t="array" ref="AB5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5" s="33">
        <f>IFERROR(IF(INDEX(tblSeverityReference[Malnutrition Severity],MATCH(tblSeverityAnalysis[[#This Row],[ID]], tblSeverityReference[ID], 0))= "", "",INDEX(tblSeverityReference[Malnutrition Severity],MATCH(tblSeverityAnalysis[[#This Row],[ID]], tblSeverityReference[ID], 0)) ), "")</f>
        <v>2</v>
      </c>
      <c r="AE55" s="347">
        <f>IFERROR(IF(INDEX(tblSeverityReference[Epidemic Severity],MATCH(tblSeverityAnalysis[[#This Row],[ID]], tblSeverityReference[ID], 0))= "", "",INDEX(tblSeverityReference[Epidemic Severity],MATCH(tblSeverityAnalysis[[#This Row],[ID]], tblSeverityReference[ID], 0)) ), "")</f>
        <v>1</v>
      </c>
      <c r="AF55" s="310" t="str">
        <f>IFERROR(IF(INDEX(tblSeverityReference[Coping Strategy Severity],MATCH(tblSeverityAnalysis[[#This Row],[ID]], tblSeverityReference[ID], 0))= "", "",INDEX(tblSeverityReference[Coping Strategy Severity],MATCH(tblSeverityAnalysis[[#This Row],[ID]], tblSeverityReference[ID], 0)) ), "")</f>
        <v/>
      </c>
      <c r="AG55" s="348">
        <f>IFERROR(IF(INDEX(tblSeverityReference[HR/IHL Violation],MATCH(tblSeverityAnalysis[[#This Row],[ID]], tblSeverityReference[ID], 0))= "", "",INDEX(tblSeverityReference[HR/IHL Violation],MATCH(tblSeverityAnalysis[[#This Row],[ID]], tblSeverityReference[ID], 0)) ), "")</f>
        <v>3</v>
      </c>
      <c r="AH55" s="82">
        <f>IFERROR(AVERAGE(tblSeverityAnalysis[[#This Row],[CCCM]:[WASH]]), "")</f>
        <v>2.625</v>
      </c>
      <c r="AI55" s="27">
        <f>IF(SUM(tblSeverityAnalysis[[#This Row],[CCCM]:[WASH]])=0, "", MAX(tblSeverityAnalysis[[#This Row],[CCCM]:[WASH]]))</f>
        <v>4</v>
      </c>
      <c r="AJ55" s="335" t="str" cm="1">
        <f t="array" ref="AJ55">IFERROR(IF(tblSeverityAnalysis[[#This Row],[Highest Severity]]="", "", _xlfn.TEXTJOIN(CHAR(10), TRUE, IF(tblSeverityAnalysis[[#This Row],[CCCM]:[WASH]]=tblSeverityAnalysis[[#This Row],[Highest Severity]], tblSeverityAnalysis[[#Headers],[CCCM]:[WASH]], ""), "")), "")</f>
        <v>WASH</v>
      </c>
      <c r="AK55" s="27" cm="1">
        <f t="array" ref="AK55">IFERROR(MAX(_xlfn._xlws.FILTER(tblSeverityAnalysis[[#This Row],[CCCM]:[WASH]], tblSeverityAnalysis[[#This Row],[CCCM]:[WASH]]&lt;tblSeverityAnalysis[[#This Row],[Highest Severity]])), "")</f>
        <v>3</v>
      </c>
      <c r="AL55" s="324" t="str" cm="1">
        <f t="array" ref="AL55">IFERROR(IF(tblSeverityAnalysis[[#This Row],[2nd Highest Severity]]="", "", _xlfn.TEXTJOIN(CHAR(10), TRUE, IF(tblSeverityAnalysis[[#This Row],[CCCM]:[WASH]]=tblSeverityAnalysis[[#This Row],[2nd Highest Severity]], tblSeverityAnalysis[[#Headers],[CCCM]:[WASH]], ""), "")), "")</f>
        <v>Education
Nutrition
Food Security
Shelter</v>
      </c>
      <c r="AM55" s="132" t="str">
        <f>IFERROR(IF(AND(tblSeverityAnalysis[[#This Row],[5]] &lt;&gt; "", tblSeverityAnalysis[[#This Row],[5]]&gt;=sectors_sev_5), "Flagged", ""), "")</f>
        <v/>
      </c>
      <c r="AN55" s="133" t="str">
        <f>IFERROR(IF(AND(tblSeverityAnalysis[[#This Row],[Preliminary Intersectoral Severity based on overlap of sectoral deprivations]]=4, SUM(tblSeverityAnalysis[[#This Row],[ 4 ]:[5]])&gt;=sectors_sev_4), "Flagged", ""), "")</f>
        <v/>
      </c>
      <c r="AO55" s="133" t="str" cm="1">
        <f t="array" ref="AO5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5" s="337"/>
      <c r="AR55" s="338"/>
      <c r="AS55" s="337"/>
      <c r="AT55" s="353">
        <f>COUNTIF(tblSeverityAnalysis[[#This Row],[1 sector in severity phase 5 '[modify the threshold']]:[Manual Flag]], "Flagged")</f>
        <v>2</v>
      </c>
      <c r="AU55" s="339">
        <f>tblSeverityAnalysis[[#This Row],[Preliminary Intersectoral Severity based on overlap of sectoral deprivations]]</f>
        <v>3</v>
      </c>
      <c r="AV55" s="340"/>
    </row>
    <row r="56" spans="1:48" ht="73.900000000000006" hidden="1">
      <c r="A5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Global_PopulationHT0421</v>
      </c>
      <c r="B56" s="39" t="s">
        <v>259</v>
      </c>
      <c r="C56" s="331" t="s">
        <v>260</v>
      </c>
      <c r="D56" s="331" t="s">
        <v>267</v>
      </c>
      <c r="E56" s="34" t="s">
        <v>268</v>
      </c>
      <c r="F56" s="34"/>
      <c r="G56" s="34"/>
      <c r="H56" s="358"/>
      <c r="I56" s="354">
        <v>123320</v>
      </c>
      <c r="J56" s="96" t="s">
        <v>156</v>
      </c>
      <c r="K56" s="372">
        <v>1</v>
      </c>
      <c r="L56" s="308">
        <v>3</v>
      </c>
      <c r="M56" s="308">
        <v>3</v>
      </c>
      <c r="N56" s="308">
        <v>3</v>
      </c>
      <c r="O56" s="308">
        <v>2</v>
      </c>
      <c r="P56" s="308">
        <v>3</v>
      </c>
      <c r="Q56" s="309">
        <v>3</v>
      </c>
      <c r="R56" s="341">
        <v>3</v>
      </c>
      <c r="S56" s="310"/>
      <c r="T56" s="308"/>
      <c r="U56" s="308"/>
      <c r="V56" s="308"/>
      <c r="W56" s="332">
        <f>IF(COUNTIF(tblSeverityAnalysis[[#This Row],[CCCM]:[WASH]], 1)=0, "", COUNTIF(tblSeverityAnalysis[[#This Row],[CCCM]:[WASH]], 1))</f>
        <v>1</v>
      </c>
      <c r="X56" s="333">
        <f>IF(COUNTIF(tblSeverityAnalysis[[#This Row],[CCCM]:[WASH]], 2)=0, "", COUNTIF(tblSeverityAnalysis[[#This Row],[CCCM]:[WASH]], 2))</f>
        <v>1</v>
      </c>
      <c r="Y56" s="333">
        <f>IF(COUNTIF(tblSeverityAnalysis[[#This Row],[CCCM]:[WASH]], 3)=0, "", COUNTIF(tblSeverityAnalysis[[#This Row],[CCCM]:[WASH]], 3))</f>
        <v>6</v>
      </c>
      <c r="Z56" s="333" t="str">
        <f>IF(COUNTIF(tblSeverityAnalysis[[#This Row],[CCCM]:[WASH]], 4)=0, "", COUNTIF(tblSeverityAnalysis[[#This Row],[CCCM]:[WASH]], 4))</f>
        <v/>
      </c>
      <c r="AA56" s="334" t="str">
        <f>IF(COUNTIF(tblSeverityAnalysis[[#This Row],[CCCM]:[WASH]], 5)=0, "", COUNTIF(tblSeverityAnalysis[[#This Row],[CCCM]:[WASH]], 5))</f>
        <v/>
      </c>
      <c r="AB56" s="60" cm="1">
        <f t="array" ref="AB5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6" s="33">
        <f>IFERROR(IF(INDEX(tblSeverityReference[Malnutrition Severity],MATCH(tblSeverityAnalysis[[#This Row],[ID]], tblSeverityReference[ID], 0))= "", "",INDEX(tblSeverityReference[Malnutrition Severity],MATCH(tblSeverityAnalysis[[#This Row],[ID]], tblSeverityReference[ID], 0)) ), "")</f>
        <v>2</v>
      </c>
      <c r="AE56" s="347">
        <f>IFERROR(IF(INDEX(tblSeverityReference[Epidemic Severity],MATCH(tblSeverityAnalysis[[#This Row],[ID]], tblSeverityReference[ID], 0))= "", "",INDEX(tblSeverityReference[Epidemic Severity],MATCH(tblSeverityAnalysis[[#This Row],[ID]], tblSeverityReference[ID], 0)) ), "")</f>
        <v>3</v>
      </c>
      <c r="AF56" s="310" t="str">
        <f>IFERROR(IF(INDEX(tblSeverityReference[Coping Strategy Severity],MATCH(tblSeverityAnalysis[[#This Row],[ID]], tblSeverityReference[ID], 0))= "", "",INDEX(tblSeverityReference[Coping Strategy Severity],MATCH(tblSeverityAnalysis[[#This Row],[ID]], tblSeverityReference[ID], 0)) ), "")</f>
        <v/>
      </c>
      <c r="AG56" s="108">
        <f>IFERROR(IF(INDEX(tblSeverityReference[HR/IHL Violation],MATCH(tblSeverityAnalysis[[#This Row],[ID]], tblSeverityReference[ID], 0))= "", "",INDEX(tblSeverityReference[HR/IHL Violation],MATCH(tblSeverityAnalysis[[#This Row],[ID]], tblSeverityReference[ID], 0)) ), "")</f>
        <v>3</v>
      </c>
      <c r="AH56" s="82">
        <f>IFERROR(AVERAGE(tblSeverityAnalysis[[#This Row],[CCCM]:[WASH]]), "")</f>
        <v>2.625</v>
      </c>
      <c r="AI56" s="27">
        <f>IF(SUM(tblSeverityAnalysis[[#This Row],[CCCM]:[WASH]])=0, "", MAX(tblSeverityAnalysis[[#This Row],[CCCM]:[WASH]]))</f>
        <v>3</v>
      </c>
      <c r="AJ56" s="335" t="str" cm="1">
        <f t="array" ref="AJ56">IFERROR(IF(tblSeverityAnalysis[[#This Row],[Highest Severity]]="", "", _xlfn.TEXTJOIN(CHAR(10), TRUE, IF(tblSeverityAnalysis[[#This Row],[CCCM]:[WASH]]=tblSeverityAnalysis[[#This Row],[Highest Severity]], tblSeverityAnalysis[[#Headers],[CCCM]:[WASH]], ""), "")), "")</f>
        <v>Education
Nutrition
Food Security
Protection
Shelter
WASH</v>
      </c>
      <c r="AK56" s="27" cm="1">
        <f t="array" ref="AK56">IFERROR(MAX(_xlfn._xlws.FILTER(tblSeverityAnalysis[[#This Row],[CCCM]:[WASH]], tblSeverityAnalysis[[#This Row],[CCCM]:[WASH]]&lt;tblSeverityAnalysis[[#This Row],[Highest Severity]])), "")</f>
        <v>2</v>
      </c>
      <c r="AL56" s="324" t="str" cm="1">
        <f t="array" ref="AL56">IFERROR(IF(tblSeverityAnalysis[[#This Row],[2nd Highest Severity]]="", "", _xlfn.TEXTJOIN(CHAR(10), TRUE, IF(tblSeverityAnalysis[[#This Row],[CCCM]:[WASH]]=tblSeverityAnalysis[[#This Row],[2nd Highest Severity]], tblSeverityAnalysis[[#Headers],[CCCM]:[WASH]], ""), "")), "")</f>
        <v>Health</v>
      </c>
      <c r="AM56" s="132" t="str">
        <f>IFERROR(IF(AND(tblSeverityAnalysis[[#This Row],[5]] &lt;&gt; "", tblSeverityAnalysis[[#This Row],[5]]&gt;=sectors_sev_5), "Flagged", ""), "")</f>
        <v/>
      </c>
      <c r="AN56" s="133" t="str">
        <f>IFERROR(IF(AND(tblSeverityAnalysis[[#This Row],[Preliminary Intersectoral Severity based on overlap of sectoral deprivations]]=4, SUM(tblSeverityAnalysis[[#This Row],[ 4 ]:[5]])&gt;=sectors_sev_4), "Flagged", ""), "")</f>
        <v/>
      </c>
      <c r="AO56" s="133" t="str" cm="1">
        <f t="array" ref="AO5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6" s="337"/>
      <c r="AR56" s="338"/>
      <c r="AS56" s="337"/>
      <c r="AT56" s="353">
        <f>COUNTIF(tblSeverityAnalysis[[#This Row],[1 sector in severity phase 5 '[modify the threshold']]:[Manual Flag]], "Flagged")</f>
        <v>1</v>
      </c>
      <c r="AU56" s="339">
        <f>tblSeverityAnalysis[[#This Row],[Preliminary Intersectoral Severity based on overlap of sectoral deprivations]]</f>
        <v>3</v>
      </c>
      <c r="AV56" s="340"/>
    </row>
    <row r="57" spans="1:48" ht="49.15" hidden="1">
      <c r="A5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Global_PopulationHT0422</v>
      </c>
      <c r="B57" s="39" t="s">
        <v>259</v>
      </c>
      <c r="C57" s="331" t="s">
        <v>260</v>
      </c>
      <c r="D57" s="331" t="s">
        <v>269</v>
      </c>
      <c r="E57" s="34" t="s">
        <v>270</v>
      </c>
      <c r="F57" s="34"/>
      <c r="G57" s="34"/>
      <c r="H57" s="357"/>
      <c r="I57" s="354">
        <v>22559</v>
      </c>
      <c r="J57" s="96" t="s">
        <v>156</v>
      </c>
      <c r="K57" s="372">
        <v>1</v>
      </c>
      <c r="L57" s="308">
        <v>3</v>
      </c>
      <c r="M57" s="308">
        <v>3</v>
      </c>
      <c r="N57" s="308">
        <v>3</v>
      </c>
      <c r="O57" s="308">
        <v>2</v>
      </c>
      <c r="P57" s="308">
        <v>2</v>
      </c>
      <c r="Q57" s="309">
        <v>2</v>
      </c>
      <c r="R57" s="341">
        <v>3</v>
      </c>
      <c r="S57" s="310"/>
      <c r="T57" s="308"/>
      <c r="U57" s="308"/>
      <c r="V57" s="308"/>
      <c r="W57" s="332">
        <f>IF(COUNTIF(tblSeverityAnalysis[[#This Row],[CCCM]:[WASH]], 1)=0, "", COUNTIF(tblSeverityAnalysis[[#This Row],[CCCM]:[WASH]], 1))</f>
        <v>1</v>
      </c>
      <c r="X57" s="333">
        <f>IF(COUNTIF(tblSeverityAnalysis[[#This Row],[CCCM]:[WASH]], 2)=0, "", COUNTIF(tblSeverityAnalysis[[#This Row],[CCCM]:[WASH]], 2))</f>
        <v>3</v>
      </c>
      <c r="Y57" s="333">
        <f>IF(COUNTIF(tblSeverityAnalysis[[#This Row],[CCCM]:[WASH]], 3)=0, "", COUNTIF(tblSeverityAnalysis[[#This Row],[CCCM]:[WASH]], 3))</f>
        <v>4</v>
      </c>
      <c r="Z57" s="333" t="str">
        <f>IF(COUNTIF(tblSeverityAnalysis[[#This Row],[CCCM]:[WASH]], 4)=0, "", COUNTIF(tblSeverityAnalysis[[#This Row],[CCCM]:[WASH]], 4))</f>
        <v/>
      </c>
      <c r="AA57" s="334" t="str">
        <f>IF(COUNTIF(tblSeverityAnalysis[[#This Row],[CCCM]:[WASH]], 5)=0, "", COUNTIF(tblSeverityAnalysis[[#This Row],[CCCM]:[WASH]], 5))</f>
        <v/>
      </c>
      <c r="AB57" s="60" cm="1">
        <f t="array" ref="AB5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7" s="33">
        <f>IFERROR(IF(INDEX(tblSeverityReference[Malnutrition Severity],MATCH(tblSeverityAnalysis[[#This Row],[ID]], tblSeverityReference[ID], 0))= "", "",INDEX(tblSeverityReference[Malnutrition Severity],MATCH(tblSeverityAnalysis[[#This Row],[ID]], tblSeverityReference[ID], 0)) ), "")</f>
        <v>2</v>
      </c>
      <c r="AE57" s="347">
        <f>IFERROR(IF(INDEX(tblSeverityReference[Epidemic Severity],MATCH(tblSeverityAnalysis[[#This Row],[ID]], tblSeverityReference[ID], 0))= "", "",INDEX(tblSeverityReference[Epidemic Severity],MATCH(tblSeverityAnalysis[[#This Row],[ID]], tblSeverityReference[ID], 0)) ), "")</f>
        <v>1</v>
      </c>
      <c r="AF57" s="310" t="str">
        <f>IFERROR(IF(INDEX(tblSeverityReference[Coping Strategy Severity],MATCH(tblSeverityAnalysis[[#This Row],[ID]], tblSeverityReference[ID], 0))= "", "",INDEX(tblSeverityReference[Coping Strategy Severity],MATCH(tblSeverityAnalysis[[#This Row],[ID]], tblSeverityReference[ID], 0)) ), "")</f>
        <v/>
      </c>
      <c r="AG57" s="348">
        <f>IFERROR(IF(INDEX(tblSeverityReference[HR/IHL Violation],MATCH(tblSeverityAnalysis[[#This Row],[ID]], tblSeverityReference[ID], 0))= "", "",INDEX(tblSeverityReference[HR/IHL Violation],MATCH(tblSeverityAnalysis[[#This Row],[ID]], tblSeverityReference[ID], 0)) ), "")</f>
        <v>2</v>
      </c>
      <c r="AH57" s="82">
        <f>IFERROR(AVERAGE(tblSeverityAnalysis[[#This Row],[CCCM]:[WASH]]), "")</f>
        <v>2.375</v>
      </c>
      <c r="AI57" s="27">
        <f>IF(SUM(tblSeverityAnalysis[[#This Row],[CCCM]:[WASH]])=0, "", MAX(tblSeverityAnalysis[[#This Row],[CCCM]:[WASH]]))</f>
        <v>3</v>
      </c>
      <c r="AJ57" s="335" t="str" cm="1">
        <f t="array" ref="AJ57">IFERROR(IF(tblSeverityAnalysis[[#This Row],[Highest Severity]]="", "", _xlfn.TEXTJOIN(CHAR(10), TRUE, IF(tblSeverityAnalysis[[#This Row],[CCCM]:[WASH]]=tblSeverityAnalysis[[#This Row],[Highest Severity]], tblSeverityAnalysis[[#Headers],[CCCM]:[WASH]], ""), "")), "")</f>
        <v>Education
Nutrition
Food Security
WASH</v>
      </c>
      <c r="AK57" s="27" cm="1">
        <f t="array" ref="AK57">IFERROR(MAX(_xlfn._xlws.FILTER(tblSeverityAnalysis[[#This Row],[CCCM]:[WASH]], tblSeverityAnalysis[[#This Row],[CCCM]:[WASH]]&lt;tblSeverityAnalysis[[#This Row],[Highest Severity]])), "")</f>
        <v>2</v>
      </c>
      <c r="AL57" s="324" t="str" cm="1">
        <f t="array" ref="AL57">IFERROR(IF(tblSeverityAnalysis[[#This Row],[2nd Highest Severity]]="", "", _xlfn.TEXTJOIN(CHAR(10), TRUE, IF(tblSeverityAnalysis[[#This Row],[CCCM]:[WASH]]=tblSeverityAnalysis[[#This Row],[2nd Highest Severity]], tblSeverityAnalysis[[#Headers],[CCCM]:[WASH]], ""), "")), "")</f>
        <v>Health
Protection
Shelter</v>
      </c>
      <c r="AM57" s="132" t="str">
        <f>IFERROR(IF(AND(tblSeverityAnalysis[[#This Row],[5]] &lt;&gt; "", tblSeverityAnalysis[[#This Row],[5]]&gt;=sectors_sev_5), "Flagged", ""), "")</f>
        <v/>
      </c>
      <c r="AN57" s="133" t="str">
        <f>IFERROR(IF(AND(tblSeverityAnalysis[[#This Row],[Preliminary Intersectoral Severity based on overlap of sectoral deprivations]]=4, SUM(tblSeverityAnalysis[[#This Row],[ 4 ]:[5]])&gt;=sectors_sev_4), "Flagged", ""), "")</f>
        <v/>
      </c>
      <c r="AO57" s="133" t="str" cm="1">
        <f t="array" ref="AO5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5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7" s="337"/>
      <c r="AR57" s="338"/>
      <c r="AS57" s="337"/>
      <c r="AT57" s="353">
        <f>COUNTIF(tblSeverityAnalysis[[#This Row],[1 sector in severity phase 5 '[modify the threshold']]:[Manual Flag]], "Flagged")</f>
        <v>2</v>
      </c>
      <c r="AU57" s="339">
        <f>tblSeverityAnalysis[[#This Row],[Preliminary Intersectoral Severity based on overlap of sectoral deprivations]]</f>
        <v>3</v>
      </c>
      <c r="AV57" s="340"/>
    </row>
    <row r="58" spans="1:48" ht="49.15" hidden="1">
      <c r="A5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Global_PopulationHT0423</v>
      </c>
      <c r="B58" s="39" t="s">
        <v>259</v>
      </c>
      <c r="C58" s="331" t="s">
        <v>260</v>
      </c>
      <c r="D58" s="331" t="s">
        <v>271</v>
      </c>
      <c r="E58" s="34" t="s">
        <v>272</v>
      </c>
      <c r="F58" s="34"/>
      <c r="G58" s="34"/>
      <c r="H58" s="358"/>
      <c r="I58" s="354">
        <v>24682</v>
      </c>
      <c r="J58" s="96" t="s">
        <v>156</v>
      </c>
      <c r="K58" s="372">
        <v>1</v>
      </c>
      <c r="L58" s="308">
        <v>3</v>
      </c>
      <c r="M58" s="308">
        <v>3</v>
      </c>
      <c r="N58" s="308">
        <v>3</v>
      </c>
      <c r="O58" s="308">
        <v>2</v>
      </c>
      <c r="P58" s="308">
        <v>2</v>
      </c>
      <c r="Q58" s="309">
        <v>3</v>
      </c>
      <c r="R58" s="341">
        <v>2</v>
      </c>
      <c r="S58" s="310"/>
      <c r="T58" s="308"/>
      <c r="U58" s="308"/>
      <c r="V58" s="308"/>
      <c r="W58" s="332">
        <f>IF(COUNTIF(tblSeverityAnalysis[[#This Row],[CCCM]:[WASH]], 1)=0, "", COUNTIF(tblSeverityAnalysis[[#This Row],[CCCM]:[WASH]], 1))</f>
        <v>1</v>
      </c>
      <c r="X58" s="333">
        <f>IF(COUNTIF(tblSeverityAnalysis[[#This Row],[CCCM]:[WASH]], 2)=0, "", COUNTIF(tblSeverityAnalysis[[#This Row],[CCCM]:[WASH]], 2))</f>
        <v>3</v>
      </c>
      <c r="Y58" s="333">
        <f>IF(COUNTIF(tblSeverityAnalysis[[#This Row],[CCCM]:[WASH]], 3)=0, "", COUNTIF(tblSeverityAnalysis[[#This Row],[CCCM]:[WASH]], 3))</f>
        <v>4</v>
      </c>
      <c r="Z58" s="333" t="str">
        <f>IF(COUNTIF(tblSeverityAnalysis[[#This Row],[CCCM]:[WASH]], 4)=0, "", COUNTIF(tblSeverityAnalysis[[#This Row],[CCCM]:[WASH]], 4))</f>
        <v/>
      </c>
      <c r="AA58" s="334" t="str">
        <f>IF(COUNTIF(tblSeverityAnalysis[[#This Row],[CCCM]:[WASH]], 5)=0, "", COUNTIF(tblSeverityAnalysis[[#This Row],[CCCM]:[WASH]], 5))</f>
        <v/>
      </c>
      <c r="AB58" s="60" cm="1">
        <f t="array" ref="AB5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8" s="33">
        <f>IFERROR(IF(INDEX(tblSeverityReference[Malnutrition Severity],MATCH(tblSeverityAnalysis[[#This Row],[ID]], tblSeverityReference[ID], 0))= "", "",INDEX(tblSeverityReference[Malnutrition Severity],MATCH(tblSeverityAnalysis[[#This Row],[ID]], tblSeverityReference[ID], 0)) ), "")</f>
        <v>2</v>
      </c>
      <c r="AE58" s="347">
        <f>IFERROR(IF(INDEX(tblSeverityReference[Epidemic Severity],MATCH(tblSeverityAnalysis[[#This Row],[ID]], tblSeverityReference[ID], 0))= "", "",INDEX(tblSeverityReference[Epidemic Severity],MATCH(tblSeverityAnalysis[[#This Row],[ID]], tblSeverityReference[ID], 0)) ), "")</f>
        <v>3</v>
      </c>
      <c r="AF58" s="310" t="str">
        <f>IFERROR(IF(INDEX(tblSeverityReference[Coping Strategy Severity],MATCH(tblSeverityAnalysis[[#This Row],[ID]], tblSeverityReference[ID], 0))= "", "",INDEX(tblSeverityReference[Coping Strategy Severity],MATCH(tblSeverityAnalysis[[#This Row],[ID]], tblSeverityReference[ID], 0)) ), "")</f>
        <v/>
      </c>
      <c r="AG58" s="108">
        <f>IFERROR(IF(INDEX(tblSeverityReference[HR/IHL Violation],MATCH(tblSeverityAnalysis[[#This Row],[ID]], tblSeverityReference[ID], 0))= "", "",INDEX(tblSeverityReference[HR/IHL Violation],MATCH(tblSeverityAnalysis[[#This Row],[ID]], tblSeverityReference[ID], 0)) ), "")</f>
        <v>3</v>
      </c>
      <c r="AH58" s="82">
        <f>IFERROR(AVERAGE(tblSeverityAnalysis[[#This Row],[CCCM]:[WASH]]), "")</f>
        <v>2.375</v>
      </c>
      <c r="AI58" s="27">
        <f>IF(SUM(tblSeverityAnalysis[[#This Row],[CCCM]:[WASH]])=0, "", MAX(tblSeverityAnalysis[[#This Row],[CCCM]:[WASH]]))</f>
        <v>3</v>
      </c>
      <c r="AJ58" s="335" t="str" cm="1">
        <f t="array" ref="AJ58">IFERROR(IF(tblSeverityAnalysis[[#This Row],[Highest Severity]]="", "", _xlfn.TEXTJOIN(CHAR(10), TRUE, IF(tblSeverityAnalysis[[#This Row],[CCCM]:[WASH]]=tblSeverityAnalysis[[#This Row],[Highest Severity]], tblSeverityAnalysis[[#Headers],[CCCM]:[WASH]], ""), "")), "")</f>
        <v>Education
Nutrition
Food Security
Shelter</v>
      </c>
      <c r="AK58" s="27" cm="1">
        <f t="array" ref="AK58">IFERROR(MAX(_xlfn._xlws.FILTER(tblSeverityAnalysis[[#This Row],[CCCM]:[WASH]], tblSeverityAnalysis[[#This Row],[CCCM]:[WASH]]&lt;tblSeverityAnalysis[[#This Row],[Highest Severity]])), "")</f>
        <v>2</v>
      </c>
      <c r="AL58" s="324" t="str" cm="1">
        <f t="array" ref="AL58">IFERROR(IF(tblSeverityAnalysis[[#This Row],[2nd Highest Severity]]="", "", _xlfn.TEXTJOIN(CHAR(10), TRUE, IF(tblSeverityAnalysis[[#This Row],[CCCM]:[WASH]]=tblSeverityAnalysis[[#This Row],[2nd Highest Severity]], tblSeverityAnalysis[[#Headers],[CCCM]:[WASH]], ""), "")), "")</f>
        <v>Health
Protection
WASH</v>
      </c>
      <c r="AM58" s="132" t="str">
        <f>IFERROR(IF(AND(tblSeverityAnalysis[[#This Row],[5]] &lt;&gt; "", tblSeverityAnalysis[[#This Row],[5]]&gt;=sectors_sev_5), "Flagged", ""), "")</f>
        <v/>
      </c>
      <c r="AN58" s="133" t="str">
        <f>IFERROR(IF(AND(tblSeverityAnalysis[[#This Row],[Preliminary Intersectoral Severity based on overlap of sectoral deprivations]]=4, SUM(tblSeverityAnalysis[[#This Row],[ 4 ]:[5]])&gt;=sectors_sev_4), "Flagged", ""), "")</f>
        <v/>
      </c>
      <c r="AO58" s="133" t="str" cm="1">
        <f t="array" ref="AO5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8" s="337"/>
      <c r="AR58" s="338"/>
      <c r="AS58" s="337"/>
      <c r="AT58" s="353">
        <f>COUNTIF(tblSeverityAnalysis[[#This Row],[1 sector in severity phase 5 '[modify the threshold']]:[Manual Flag]], "Flagged")</f>
        <v>1</v>
      </c>
      <c r="AU58" s="339">
        <f>tblSeverityAnalysis[[#This Row],[Preliminary Intersectoral Severity based on overlap of sectoral deprivations]]</f>
        <v>3</v>
      </c>
      <c r="AV58" s="340"/>
    </row>
    <row r="59" spans="1:48" ht="49.15" hidden="1">
      <c r="A5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Global_PopulationHT0431</v>
      </c>
      <c r="B59" s="39" t="s">
        <v>259</v>
      </c>
      <c r="C59" s="331" t="s">
        <v>260</v>
      </c>
      <c r="D59" s="331" t="s">
        <v>273</v>
      </c>
      <c r="E59" s="34" t="s">
        <v>274</v>
      </c>
      <c r="F59" s="34"/>
      <c r="G59" s="34"/>
      <c r="H59" s="357"/>
      <c r="I59" s="354">
        <v>57212</v>
      </c>
      <c r="J59" s="96" t="s">
        <v>156</v>
      </c>
      <c r="K59" s="372">
        <v>1</v>
      </c>
      <c r="L59" s="308">
        <v>3</v>
      </c>
      <c r="M59" s="308">
        <v>3</v>
      </c>
      <c r="N59" s="308">
        <v>3</v>
      </c>
      <c r="O59" s="308">
        <v>2</v>
      </c>
      <c r="P59" s="308">
        <v>2</v>
      </c>
      <c r="Q59" s="309">
        <v>3</v>
      </c>
      <c r="R59" s="341">
        <v>1</v>
      </c>
      <c r="S59" s="310"/>
      <c r="T59" s="308"/>
      <c r="U59" s="308"/>
      <c r="V59" s="308"/>
      <c r="W59" s="332">
        <f>IF(COUNTIF(tblSeverityAnalysis[[#This Row],[CCCM]:[WASH]], 1)=0, "", COUNTIF(tblSeverityAnalysis[[#This Row],[CCCM]:[WASH]], 1))</f>
        <v>2</v>
      </c>
      <c r="X59" s="333">
        <f>IF(COUNTIF(tblSeverityAnalysis[[#This Row],[CCCM]:[WASH]], 2)=0, "", COUNTIF(tblSeverityAnalysis[[#This Row],[CCCM]:[WASH]], 2))</f>
        <v>2</v>
      </c>
      <c r="Y59" s="333">
        <f>IF(COUNTIF(tblSeverityAnalysis[[#This Row],[CCCM]:[WASH]], 3)=0, "", COUNTIF(tblSeverityAnalysis[[#This Row],[CCCM]:[WASH]], 3))</f>
        <v>4</v>
      </c>
      <c r="Z59" s="333" t="str">
        <f>IF(COUNTIF(tblSeverityAnalysis[[#This Row],[CCCM]:[WASH]], 4)=0, "", COUNTIF(tblSeverityAnalysis[[#This Row],[CCCM]:[WASH]], 4))</f>
        <v/>
      </c>
      <c r="AA59" s="334" t="str">
        <f>IF(COUNTIF(tblSeverityAnalysis[[#This Row],[CCCM]:[WASH]], 5)=0, "", COUNTIF(tblSeverityAnalysis[[#This Row],[CCCM]:[WASH]], 5))</f>
        <v/>
      </c>
      <c r="AB59" s="60" cm="1">
        <f t="array" ref="AB5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5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59" s="33">
        <f>IFERROR(IF(INDEX(tblSeverityReference[Malnutrition Severity],MATCH(tblSeverityAnalysis[[#This Row],[ID]], tblSeverityReference[ID], 0))= "", "",INDEX(tblSeverityReference[Malnutrition Severity],MATCH(tblSeverityAnalysis[[#This Row],[ID]], tblSeverityReference[ID], 0)) ), "")</f>
        <v>2</v>
      </c>
      <c r="AE59" s="347">
        <f>IFERROR(IF(INDEX(tblSeverityReference[Epidemic Severity],MATCH(tblSeverityAnalysis[[#This Row],[ID]], tblSeverityReference[ID], 0))= "", "",INDEX(tblSeverityReference[Epidemic Severity],MATCH(tblSeverityAnalysis[[#This Row],[ID]], tblSeverityReference[ID], 0)) ), "")</f>
        <v>3</v>
      </c>
      <c r="AF59" s="310" t="str">
        <f>IFERROR(IF(INDEX(tblSeverityReference[Coping Strategy Severity],MATCH(tblSeverityAnalysis[[#This Row],[ID]], tblSeverityReference[ID], 0))= "", "",INDEX(tblSeverityReference[Coping Strategy Severity],MATCH(tblSeverityAnalysis[[#This Row],[ID]], tblSeverityReference[ID], 0)) ), "")</f>
        <v/>
      </c>
      <c r="AG59" s="348">
        <f>IFERROR(IF(INDEX(tblSeverityReference[HR/IHL Violation],MATCH(tblSeverityAnalysis[[#This Row],[ID]], tblSeverityReference[ID], 0))= "", "",INDEX(tblSeverityReference[HR/IHL Violation],MATCH(tblSeverityAnalysis[[#This Row],[ID]], tblSeverityReference[ID], 0)) ), "")</f>
        <v>3</v>
      </c>
      <c r="AH59" s="82">
        <f>IFERROR(AVERAGE(tblSeverityAnalysis[[#This Row],[CCCM]:[WASH]]), "")</f>
        <v>2.25</v>
      </c>
      <c r="AI59" s="27">
        <f>IF(SUM(tblSeverityAnalysis[[#This Row],[CCCM]:[WASH]])=0, "", MAX(tblSeverityAnalysis[[#This Row],[CCCM]:[WASH]]))</f>
        <v>3</v>
      </c>
      <c r="AJ59" s="335" t="str" cm="1">
        <f t="array" ref="AJ59">IFERROR(IF(tblSeverityAnalysis[[#This Row],[Highest Severity]]="", "", _xlfn.TEXTJOIN(CHAR(10), TRUE, IF(tblSeverityAnalysis[[#This Row],[CCCM]:[WASH]]=tblSeverityAnalysis[[#This Row],[Highest Severity]], tblSeverityAnalysis[[#Headers],[CCCM]:[WASH]], ""), "")), "")</f>
        <v>Education
Nutrition
Food Security
Shelter</v>
      </c>
      <c r="AK59" s="27" cm="1">
        <f t="array" ref="AK59">IFERROR(MAX(_xlfn._xlws.FILTER(tblSeverityAnalysis[[#This Row],[CCCM]:[WASH]], tblSeverityAnalysis[[#This Row],[CCCM]:[WASH]]&lt;tblSeverityAnalysis[[#This Row],[Highest Severity]])), "")</f>
        <v>2</v>
      </c>
      <c r="AL59" s="324" t="str" cm="1">
        <f t="array" ref="AL59">IFERROR(IF(tblSeverityAnalysis[[#This Row],[2nd Highest Severity]]="", "", _xlfn.TEXTJOIN(CHAR(10), TRUE, IF(tblSeverityAnalysis[[#This Row],[CCCM]:[WASH]]=tblSeverityAnalysis[[#This Row],[2nd Highest Severity]], tblSeverityAnalysis[[#Headers],[CCCM]:[WASH]], ""), "")), "")</f>
        <v>Health
Protection</v>
      </c>
      <c r="AM59" s="132" t="str">
        <f>IFERROR(IF(AND(tblSeverityAnalysis[[#This Row],[5]] &lt;&gt; "", tblSeverityAnalysis[[#This Row],[5]]&gt;=sectors_sev_5), "Flagged", ""), "")</f>
        <v/>
      </c>
      <c r="AN59" s="133" t="str">
        <f>IFERROR(IF(AND(tblSeverityAnalysis[[#This Row],[Preliminary Intersectoral Severity based on overlap of sectoral deprivations]]=4, SUM(tblSeverityAnalysis[[#This Row],[ 4 ]:[5]])&gt;=sectors_sev_4), "Flagged", ""), "")</f>
        <v/>
      </c>
      <c r="AO59" s="133" t="str" cm="1">
        <f t="array" ref="AO5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5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59" s="337"/>
      <c r="AR59" s="338"/>
      <c r="AS59" s="337"/>
      <c r="AT59" s="353">
        <f>COUNTIF(tblSeverityAnalysis[[#This Row],[1 sector in severity phase 5 '[modify the threshold']]:[Manual Flag]], "Flagged")</f>
        <v>1</v>
      </c>
      <c r="AU59" s="339">
        <f>tblSeverityAnalysis[[#This Row],[Preliminary Intersectoral Severity based on overlap of sectoral deprivations]]</f>
        <v>3</v>
      </c>
      <c r="AV59" s="340"/>
    </row>
    <row r="60" spans="1:48" ht="61.5" hidden="1">
      <c r="A6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Global_PopulationHT0432</v>
      </c>
      <c r="B60" s="39" t="s">
        <v>259</v>
      </c>
      <c r="C60" s="331" t="s">
        <v>260</v>
      </c>
      <c r="D60" s="331" t="s">
        <v>275</v>
      </c>
      <c r="E60" s="34" t="s">
        <v>276</v>
      </c>
      <c r="F60" s="34"/>
      <c r="G60" s="34"/>
      <c r="H60" s="358"/>
      <c r="I60" s="354">
        <v>32812</v>
      </c>
      <c r="J60" s="96" t="s">
        <v>156</v>
      </c>
      <c r="K60" s="372">
        <v>1</v>
      </c>
      <c r="L60" s="308">
        <v>3</v>
      </c>
      <c r="M60" s="308">
        <v>3</v>
      </c>
      <c r="N60" s="308">
        <v>3</v>
      </c>
      <c r="O60" s="308">
        <v>2</v>
      </c>
      <c r="P60" s="308">
        <v>2</v>
      </c>
      <c r="Q60" s="309">
        <v>3</v>
      </c>
      <c r="R60" s="341">
        <v>3</v>
      </c>
      <c r="S60" s="310"/>
      <c r="T60" s="308"/>
      <c r="U60" s="308"/>
      <c r="V60" s="308"/>
      <c r="W60" s="332">
        <f>IF(COUNTIF(tblSeverityAnalysis[[#This Row],[CCCM]:[WASH]], 1)=0, "", COUNTIF(tblSeverityAnalysis[[#This Row],[CCCM]:[WASH]], 1))</f>
        <v>1</v>
      </c>
      <c r="X60" s="333">
        <f>IF(COUNTIF(tblSeverityAnalysis[[#This Row],[CCCM]:[WASH]], 2)=0, "", COUNTIF(tblSeverityAnalysis[[#This Row],[CCCM]:[WASH]], 2))</f>
        <v>2</v>
      </c>
      <c r="Y60" s="333">
        <f>IF(COUNTIF(tblSeverityAnalysis[[#This Row],[CCCM]:[WASH]], 3)=0, "", COUNTIF(tblSeverityAnalysis[[#This Row],[CCCM]:[WASH]], 3))</f>
        <v>5</v>
      </c>
      <c r="Z60" s="333" t="str">
        <f>IF(COUNTIF(tblSeverityAnalysis[[#This Row],[CCCM]:[WASH]], 4)=0, "", COUNTIF(tblSeverityAnalysis[[#This Row],[CCCM]:[WASH]], 4))</f>
        <v/>
      </c>
      <c r="AA60" s="334" t="str">
        <f>IF(COUNTIF(tblSeverityAnalysis[[#This Row],[CCCM]:[WASH]], 5)=0, "", COUNTIF(tblSeverityAnalysis[[#This Row],[CCCM]:[WASH]], 5))</f>
        <v/>
      </c>
      <c r="AB60" s="60" cm="1">
        <f t="array" ref="AB6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0" s="33">
        <f>IFERROR(IF(INDEX(tblSeverityReference[Malnutrition Severity],MATCH(tblSeverityAnalysis[[#This Row],[ID]], tblSeverityReference[ID], 0))= "", "",INDEX(tblSeverityReference[Malnutrition Severity],MATCH(tblSeverityAnalysis[[#This Row],[ID]], tblSeverityReference[ID], 0)) ), "")</f>
        <v>2</v>
      </c>
      <c r="AE60" s="347">
        <f>IFERROR(IF(INDEX(tblSeverityReference[Epidemic Severity],MATCH(tblSeverityAnalysis[[#This Row],[ID]], tblSeverityReference[ID], 0))= "", "",INDEX(tblSeverityReference[Epidemic Severity],MATCH(tblSeverityAnalysis[[#This Row],[ID]], tblSeverityReference[ID], 0)) ), "")</f>
        <v>3</v>
      </c>
      <c r="AF60" s="310" t="str">
        <f>IFERROR(IF(INDEX(tblSeverityReference[Coping Strategy Severity],MATCH(tblSeverityAnalysis[[#This Row],[ID]], tblSeverityReference[ID], 0))= "", "",INDEX(tblSeverityReference[Coping Strategy Severity],MATCH(tblSeverityAnalysis[[#This Row],[ID]], tblSeverityReference[ID], 0)) ), "")</f>
        <v/>
      </c>
      <c r="AG60" s="108">
        <f>IFERROR(IF(INDEX(tblSeverityReference[HR/IHL Violation],MATCH(tblSeverityAnalysis[[#This Row],[ID]], tblSeverityReference[ID], 0))= "", "",INDEX(tblSeverityReference[HR/IHL Violation],MATCH(tblSeverityAnalysis[[#This Row],[ID]], tblSeverityReference[ID], 0)) ), "")</f>
        <v>3</v>
      </c>
      <c r="AH60" s="82">
        <f>IFERROR(AVERAGE(tblSeverityAnalysis[[#This Row],[CCCM]:[WASH]]), "")</f>
        <v>2.5</v>
      </c>
      <c r="AI60" s="27">
        <f>IF(SUM(tblSeverityAnalysis[[#This Row],[CCCM]:[WASH]])=0, "", MAX(tblSeverityAnalysis[[#This Row],[CCCM]:[WASH]]))</f>
        <v>3</v>
      </c>
      <c r="AJ60" s="335" t="str" cm="1">
        <f t="array" ref="AJ60">IFERROR(IF(tblSeverityAnalysis[[#This Row],[Highest Severity]]="", "", _xlfn.TEXTJOIN(CHAR(10), TRUE, IF(tblSeverityAnalysis[[#This Row],[CCCM]:[WASH]]=tblSeverityAnalysis[[#This Row],[Highest Severity]], tblSeverityAnalysis[[#Headers],[CCCM]:[WASH]], ""), "")), "")</f>
        <v>Education
Nutrition
Food Security
Shelter
WASH</v>
      </c>
      <c r="AK60" s="27" cm="1">
        <f t="array" ref="AK60">IFERROR(MAX(_xlfn._xlws.FILTER(tblSeverityAnalysis[[#This Row],[CCCM]:[WASH]], tblSeverityAnalysis[[#This Row],[CCCM]:[WASH]]&lt;tblSeverityAnalysis[[#This Row],[Highest Severity]])), "")</f>
        <v>2</v>
      </c>
      <c r="AL60" s="324" t="str" cm="1">
        <f t="array" ref="AL60">IFERROR(IF(tblSeverityAnalysis[[#This Row],[2nd Highest Severity]]="", "", _xlfn.TEXTJOIN(CHAR(10), TRUE, IF(tblSeverityAnalysis[[#This Row],[CCCM]:[WASH]]=tblSeverityAnalysis[[#This Row],[2nd Highest Severity]], tblSeverityAnalysis[[#Headers],[CCCM]:[WASH]], ""), "")), "")</f>
        <v>Health
Protection</v>
      </c>
      <c r="AM60" s="132" t="str">
        <f>IFERROR(IF(AND(tblSeverityAnalysis[[#This Row],[5]] &lt;&gt; "", tblSeverityAnalysis[[#This Row],[5]]&gt;=sectors_sev_5), "Flagged", ""), "")</f>
        <v/>
      </c>
      <c r="AN60" s="133" t="str">
        <f>IFERROR(IF(AND(tblSeverityAnalysis[[#This Row],[Preliminary Intersectoral Severity based on overlap of sectoral deprivations]]=4, SUM(tblSeverityAnalysis[[#This Row],[ 4 ]:[5]])&gt;=sectors_sev_4), "Flagged", ""), "")</f>
        <v/>
      </c>
      <c r="AO60" s="133" t="str" cm="1">
        <f t="array" ref="AO6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0" s="337"/>
      <c r="AR60" s="338"/>
      <c r="AS60" s="337"/>
      <c r="AT60" s="353">
        <f>COUNTIF(tblSeverityAnalysis[[#This Row],[1 sector in severity phase 5 '[modify the threshold']]:[Manual Flag]], "Flagged")</f>
        <v>1</v>
      </c>
      <c r="AU60" s="339">
        <f>tblSeverityAnalysis[[#This Row],[Preliminary Intersectoral Severity based on overlap of sectoral deprivations]]</f>
        <v>3</v>
      </c>
      <c r="AV60" s="340"/>
    </row>
    <row r="61" spans="1:48" ht="49.15" hidden="1">
      <c r="A6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Global_PopulationHT0433</v>
      </c>
      <c r="B61" s="39" t="s">
        <v>259</v>
      </c>
      <c r="C61" s="331" t="s">
        <v>260</v>
      </c>
      <c r="D61" s="331" t="s">
        <v>277</v>
      </c>
      <c r="E61" s="34" t="s">
        <v>278</v>
      </c>
      <c r="F61" s="34"/>
      <c r="G61" s="34"/>
      <c r="H61" s="357"/>
      <c r="I61" s="354">
        <v>35373</v>
      </c>
      <c r="J61" s="96" t="s">
        <v>156</v>
      </c>
      <c r="K61" s="372">
        <v>1</v>
      </c>
      <c r="L61" s="308">
        <v>3</v>
      </c>
      <c r="M61" s="308">
        <v>3</v>
      </c>
      <c r="N61" s="308">
        <v>3</v>
      </c>
      <c r="O61" s="308">
        <v>2</v>
      </c>
      <c r="P61" s="308">
        <v>2</v>
      </c>
      <c r="Q61" s="309">
        <v>3</v>
      </c>
      <c r="R61" s="341">
        <v>2</v>
      </c>
      <c r="S61" s="310"/>
      <c r="T61" s="308"/>
      <c r="U61" s="308"/>
      <c r="V61" s="308"/>
      <c r="W61" s="332">
        <f>IF(COUNTIF(tblSeverityAnalysis[[#This Row],[CCCM]:[WASH]], 1)=0, "", COUNTIF(tblSeverityAnalysis[[#This Row],[CCCM]:[WASH]], 1))</f>
        <v>1</v>
      </c>
      <c r="X61" s="333">
        <f>IF(COUNTIF(tblSeverityAnalysis[[#This Row],[CCCM]:[WASH]], 2)=0, "", COUNTIF(tblSeverityAnalysis[[#This Row],[CCCM]:[WASH]], 2))</f>
        <v>3</v>
      </c>
      <c r="Y61" s="333">
        <f>IF(COUNTIF(tblSeverityAnalysis[[#This Row],[CCCM]:[WASH]], 3)=0, "", COUNTIF(tblSeverityAnalysis[[#This Row],[CCCM]:[WASH]], 3))</f>
        <v>4</v>
      </c>
      <c r="Z61" s="333" t="str">
        <f>IF(COUNTIF(tblSeverityAnalysis[[#This Row],[CCCM]:[WASH]], 4)=0, "", COUNTIF(tblSeverityAnalysis[[#This Row],[CCCM]:[WASH]], 4))</f>
        <v/>
      </c>
      <c r="AA61" s="334" t="str">
        <f>IF(COUNTIF(tblSeverityAnalysis[[#This Row],[CCCM]:[WASH]], 5)=0, "", COUNTIF(tblSeverityAnalysis[[#This Row],[CCCM]:[WASH]], 5))</f>
        <v/>
      </c>
      <c r="AB61" s="60" cm="1">
        <f t="array" ref="AB6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1" s="33">
        <f>IFERROR(IF(INDEX(tblSeverityReference[Malnutrition Severity],MATCH(tblSeverityAnalysis[[#This Row],[ID]], tblSeverityReference[ID], 0))= "", "",INDEX(tblSeverityReference[Malnutrition Severity],MATCH(tblSeverityAnalysis[[#This Row],[ID]], tblSeverityReference[ID], 0)) ), "")</f>
        <v>2</v>
      </c>
      <c r="AE61" s="347">
        <f>IFERROR(IF(INDEX(tblSeverityReference[Epidemic Severity],MATCH(tblSeverityAnalysis[[#This Row],[ID]], tblSeverityReference[ID], 0))= "", "",INDEX(tblSeverityReference[Epidemic Severity],MATCH(tblSeverityAnalysis[[#This Row],[ID]], tblSeverityReference[ID], 0)) ), "")</f>
        <v>1</v>
      </c>
      <c r="AF61" s="310" t="str">
        <f>IFERROR(IF(INDEX(tblSeverityReference[Coping Strategy Severity],MATCH(tblSeverityAnalysis[[#This Row],[ID]], tblSeverityReference[ID], 0))= "", "",INDEX(tblSeverityReference[Coping Strategy Severity],MATCH(tblSeverityAnalysis[[#This Row],[ID]], tblSeverityReference[ID], 0)) ), "")</f>
        <v/>
      </c>
      <c r="AG61" s="348">
        <f>IFERROR(IF(INDEX(tblSeverityReference[HR/IHL Violation],MATCH(tblSeverityAnalysis[[#This Row],[ID]], tblSeverityReference[ID], 0))= "", "",INDEX(tblSeverityReference[HR/IHL Violation],MATCH(tblSeverityAnalysis[[#This Row],[ID]], tblSeverityReference[ID], 0)) ), "")</f>
        <v>3</v>
      </c>
      <c r="AH61" s="82">
        <f>IFERROR(AVERAGE(tblSeverityAnalysis[[#This Row],[CCCM]:[WASH]]), "")</f>
        <v>2.375</v>
      </c>
      <c r="AI61" s="27">
        <f>IF(SUM(tblSeverityAnalysis[[#This Row],[CCCM]:[WASH]])=0, "", MAX(tblSeverityAnalysis[[#This Row],[CCCM]:[WASH]]))</f>
        <v>3</v>
      </c>
      <c r="AJ61" s="335" t="str" cm="1">
        <f t="array" ref="AJ61">IFERROR(IF(tblSeverityAnalysis[[#This Row],[Highest Severity]]="", "", _xlfn.TEXTJOIN(CHAR(10), TRUE, IF(tblSeverityAnalysis[[#This Row],[CCCM]:[WASH]]=tblSeverityAnalysis[[#This Row],[Highest Severity]], tblSeverityAnalysis[[#Headers],[CCCM]:[WASH]], ""), "")), "")</f>
        <v>Education
Nutrition
Food Security
Shelter</v>
      </c>
      <c r="AK61" s="27" cm="1">
        <f t="array" ref="AK61">IFERROR(MAX(_xlfn._xlws.FILTER(tblSeverityAnalysis[[#This Row],[CCCM]:[WASH]], tblSeverityAnalysis[[#This Row],[CCCM]:[WASH]]&lt;tblSeverityAnalysis[[#This Row],[Highest Severity]])), "")</f>
        <v>2</v>
      </c>
      <c r="AL61" s="324" t="str" cm="1">
        <f t="array" ref="AL61">IFERROR(IF(tblSeverityAnalysis[[#This Row],[2nd Highest Severity]]="", "", _xlfn.TEXTJOIN(CHAR(10), TRUE, IF(tblSeverityAnalysis[[#This Row],[CCCM]:[WASH]]=tblSeverityAnalysis[[#This Row],[2nd Highest Severity]], tblSeverityAnalysis[[#Headers],[CCCM]:[WASH]], ""), "")), "")</f>
        <v>Health
Protection
WASH</v>
      </c>
      <c r="AM61" s="132" t="str">
        <f>IFERROR(IF(AND(tblSeverityAnalysis[[#This Row],[5]] &lt;&gt; "", tblSeverityAnalysis[[#This Row],[5]]&gt;=sectors_sev_5), "Flagged", ""), "")</f>
        <v/>
      </c>
      <c r="AN61" s="133" t="str">
        <f>IFERROR(IF(AND(tblSeverityAnalysis[[#This Row],[Preliminary Intersectoral Severity based on overlap of sectoral deprivations]]=4, SUM(tblSeverityAnalysis[[#This Row],[ 4 ]:[5]])&gt;=sectors_sev_4), "Flagged", ""), "")</f>
        <v/>
      </c>
      <c r="AO61" s="133" t="str" cm="1">
        <f t="array" ref="AO6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1" s="337"/>
      <c r="AR61" s="338"/>
      <c r="AS61" s="337"/>
      <c r="AT61" s="353">
        <f>COUNTIF(tblSeverityAnalysis[[#This Row],[1 sector in severity phase 5 '[modify the threshold']]:[Manual Flag]], "Flagged")</f>
        <v>2</v>
      </c>
      <c r="AU61" s="339">
        <f>tblSeverityAnalysis[[#This Row],[Preliminary Intersectoral Severity based on overlap of sectoral deprivations]]</f>
        <v>3</v>
      </c>
      <c r="AV61" s="340"/>
    </row>
    <row r="62" spans="1:48" ht="36.950000000000003" hidden="1">
      <c r="A6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Global_PopulationHT0434</v>
      </c>
      <c r="B62" s="39" t="s">
        <v>259</v>
      </c>
      <c r="C62" s="331" t="s">
        <v>260</v>
      </c>
      <c r="D62" s="331" t="s">
        <v>279</v>
      </c>
      <c r="E62" s="34" t="s">
        <v>280</v>
      </c>
      <c r="F62" s="34"/>
      <c r="G62" s="34"/>
      <c r="H62" s="358"/>
      <c r="I62" s="354">
        <v>9005</v>
      </c>
      <c r="J62" s="96" t="s">
        <v>156</v>
      </c>
      <c r="K62" s="372">
        <v>1</v>
      </c>
      <c r="L62" s="308">
        <v>3</v>
      </c>
      <c r="M62" s="308">
        <v>3</v>
      </c>
      <c r="N62" s="308">
        <v>3</v>
      </c>
      <c r="O62" s="308">
        <v>2</v>
      </c>
      <c r="P62" s="308">
        <v>2</v>
      </c>
      <c r="Q62" s="309">
        <v>1</v>
      </c>
      <c r="R62" s="341">
        <v>2</v>
      </c>
      <c r="S62" s="310"/>
      <c r="T62" s="308"/>
      <c r="U62" s="308"/>
      <c r="V62" s="308"/>
      <c r="W62" s="332">
        <f>IF(COUNTIF(tblSeverityAnalysis[[#This Row],[CCCM]:[WASH]], 1)=0, "", COUNTIF(tblSeverityAnalysis[[#This Row],[CCCM]:[WASH]], 1))</f>
        <v>2</v>
      </c>
      <c r="X62" s="333">
        <f>IF(COUNTIF(tblSeverityAnalysis[[#This Row],[CCCM]:[WASH]], 2)=0, "", COUNTIF(tblSeverityAnalysis[[#This Row],[CCCM]:[WASH]], 2))</f>
        <v>3</v>
      </c>
      <c r="Y62" s="333">
        <f>IF(COUNTIF(tblSeverityAnalysis[[#This Row],[CCCM]:[WASH]], 3)=0, "", COUNTIF(tblSeverityAnalysis[[#This Row],[CCCM]:[WASH]], 3))</f>
        <v>3</v>
      </c>
      <c r="Z62" s="333" t="str">
        <f>IF(COUNTIF(tblSeverityAnalysis[[#This Row],[CCCM]:[WASH]], 4)=0, "", COUNTIF(tblSeverityAnalysis[[#This Row],[CCCM]:[WASH]], 4))</f>
        <v/>
      </c>
      <c r="AA62" s="334" t="str">
        <f>IF(COUNTIF(tblSeverityAnalysis[[#This Row],[CCCM]:[WASH]], 5)=0, "", COUNTIF(tblSeverityAnalysis[[#This Row],[CCCM]:[WASH]], 5))</f>
        <v/>
      </c>
      <c r="AB62" s="60" cm="1">
        <f t="array" ref="AB6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62"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2" s="33">
        <f>IFERROR(IF(INDEX(tblSeverityReference[Malnutrition Severity],MATCH(tblSeverityAnalysis[[#This Row],[ID]], tblSeverityReference[ID], 0))= "", "",INDEX(tblSeverityReference[Malnutrition Severity],MATCH(tblSeverityAnalysis[[#This Row],[ID]], tblSeverityReference[ID], 0)) ), "")</f>
        <v>2</v>
      </c>
      <c r="AE62" s="347">
        <f>IFERROR(IF(INDEX(tblSeverityReference[Epidemic Severity],MATCH(tblSeverityAnalysis[[#This Row],[ID]], tblSeverityReference[ID], 0))= "", "",INDEX(tblSeverityReference[Epidemic Severity],MATCH(tblSeverityAnalysis[[#This Row],[ID]], tblSeverityReference[ID], 0)) ), "")</f>
        <v>1</v>
      </c>
      <c r="AF62" s="310" t="str">
        <f>IFERROR(IF(INDEX(tblSeverityReference[Coping Strategy Severity],MATCH(tblSeverityAnalysis[[#This Row],[ID]], tblSeverityReference[ID], 0))= "", "",INDEX(tblSeverityReference[Coping Strategy Severity],MATCH(tblSeverityAnalysis[[#This Row],[ID]], tblSeverityReference[ID], 0)) ), "")</f>
        <v/>
      </c>
      <c r="AG62" s="108">
        <f>IFERROR(IF(INDEX(tblSeverityReference[HR/IHL Violation],MATCH(tblSeverityAnalysis[[#This Row],[ID]], tblSeverityReference[ID], 0))= "", "",INDEX(tblSeverityReference[HR/IHL Violation],MATCH(tblSeverityAnalysis[[#This Row],[ID]], tblSeverityReference[ID], 0)) ), "")</f>
        <v>2</v>
      </c>
      <c r="AH62" s="82">
        <f>IFERROR(AVERAGE(tblSeverityAnalysis[[#This Row],[CCCM]:[WASH]]), "")</f>
        <v>2.125</v>
      </c>
      <c r="AI62" s="27">
        <f>IF(SUM(tblSeverityAnalysis[[#This Row],[CCCM]:[WASH]])=0, "", MAX(tblSeverityAnalysis[[#This Row],[CCCM]:[WASH]]))</f>
        <v>3</v>
      </c>
      <c r="AJ62" s="335" t="str" cm="1">
        <f t="array" ref="AJ62">IFERROR(IF(tblSeverityAnalysis[[#This Row],[Highest Severity]]="", "", _xlfn.TEXTJOIN(CHAR(10), TRUE, IF(tblSeverityAnalysis[[#This Row],[CCCM]:[WASH]]=tblSeverityAnalysis[[#This Row],[Highest Severity]], tblSeverityAnalysis[[#Headers],[CCCM]:[WASH]], ""), "")), "")</f>
        <v>Education
Nutrition
Food Security</v>
      </c>
      <c r="AK62" s="27" cm="1">
        <f t="array" ref="AK62">IFERROR(MAX(_xlfn._xlws.FILTER(tblSeverityAnalysis[[#This Row],[CCCM]:[WASH]], tblSeverityAnalysis[[#This Row],[CCCM]:[WASH]]&lt;tblSeverityAnalysis[[#This Row],[Highest Severity]])), "")</f>
        <v>2</v>
      </c>
      <c r="AL62" s="324" t="str" cm="1">
        <f t="array" ref="AL62">IFERROR(IF(tblSeverityAnalysis[[#This Row],[2nd Highest Severity]]="", "", _xlfn.TEXTJOIN(CHAR(10), TRUE, IF(tblSeverityAnalysis[[#This Row],[CCCM]:[WASH]]=tblSeverityAnalysis[[#This Row],[2nd Highest Severity]], tblSeverityAnalysis[[#Headers],[CCCM]:[WASH]], ""), "")), "")</f>
        <v>Health
Protection
WASH</v>
      </c>
      <c r="AM62" s="132" t="str">
        <f>IFERROR(IF(AND(tblSeverityAnalysis[[#This Row],[5]] &lt;&gt; "", tblSeverityAnalysis[[#This Row],[5]]&gt;=sectors_sev_5), "Flagged", ""), "")</f>
        <v/>
      </c>
      <c r="AN62" s="133" t="str">
        <f>IFERROR(IF(AND(tblSeverityAnalysis[[#This Row],[Preliminary Intersectoral Severity based on overlap of sectoral deprivations]]=4, SUM(tblSeverityAnalysis[[#This Row],[ 4 ]:[5]])&gt;=sectors_sev_4), "Flagged", ""), "")</f>
        <v/>
      </c>
      <c r="AO62" s="133" t="str" cm="1">
        <f t="array" ref="AO6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2" s="337"/>
      <c r="AR62" s="338"/>
      <c r="AS62" s="337"/>
      <c r="AT62" s="353">
        <f>COUNTIF(tblSeverityAnalysis[[#This Row],[1 sector in severity phase 5 '[modify the threshold']]:[Manual Flag]], "Flagged")</f>
        <v>0</v>
      </c>
      <c r="AU62" s="339">
        <f>tblSeverityAnalysis[[#This Row],[Preliminary Intersectoral Severity based on overlap of sectoral deprivations]]</f>
        <v>2</v>
      </c>
      <c r="AV62" s="340"/>
    </row>
    <row r="63" spans="1:48" ht="49.15" hidden="1">
      <c r="A6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Global_PopulationHT0441</v>
      </c>
      <c r="B63" s="39" t="s">
        <v>259</v>
      </c>
      <c r="C63" s="331" t="s">
        <v>260</v>
      </c>
      <c r="D63" s="331" t="s">
        <v>281</v>
      </c>
      <c r="E63" s="34" t="s">
        <v>282</v>
      </c>
      <c r="F63" s="34"/>
      <c r="G63" s="34"/>
      <c r="H63" s="357"/>
      <c r="I63" s="354">
        <v>27514</v>
      </c>
      <c r="J63" s="96" t="s">
        <v>156</v>
      </c>
      <c r="K63" s="372">
        <v>1</v>
      </c>
      <c r="L63" s="308">
        <v>3</v>
      </c>
      <c r="M63" s="308">
        <v>3</v>
      </c>
      <c r="N63" s="308">
        <v>3</v>
      </c>
      <c r="O63" s="308">
        <v>2</v>
      </c>
      <c r="P63" s="308">
        <v>2</v>
      </c>
      <c r="Q63" s="309">
        <v>3</v>
      </c>
      <c r="R63" s="341">
        <v>2</v>
      </c>
      <c r="S63" s="310"/>
      <c r="T63" s="308"/>
      <c r="U63" s="308"/>
      <c r="V63" s="308"/>
      <c r="W63" s="332">
        <f>IF(COUNTIF(tblSeverityAnalysis[[#This Row],[CCCM]:[WASH]], 1)=0, "", COUNTIF(tblSeverityAnalysis[[#This Row],[CCCM]:[WASH]], 1))</f>
        <v>1</v>
      </c>
      <c r="X63" s="333">
        <f>IF(COUNTIF(tblSeverityAnalysis[[#This Row],[CCCM]:[WASH]], 2)=0, "", COUNTIF(tblSeverityAnalysis[[#This Row],[CCCM]:[WASH]], 2))</f>
        <v>3</v>
      </c>
      <c r="Y63" s="333">
        <f>IF(COUNTIF(tblSeverityAnalysis[[#This Row],[CCCM]:[WASH]], 3)=0, "", COUNTIF(tblSeverityAnalysis[[#This Row],[CCCM]:[WASH]], 3))</f>
        <v>4</v>
      </c>
      <c r="Z63" s="333" t="str">
        <f>IF(COUNTIF(tblSeverityAnalysis[[#This Row],[CCCM]:[WASH]], 4)=0, "", COUNTIF(tblSeverityAnalysis[[#This Row],[CCCM]:[WASH]], 4))</f>
        <v/>
      </c>
      <c r="AA63" s="334" t="str">
        <f>IF(COUNTIF(tblSeverityAnalysis[[#This Row],[CCCM]:[WASH]], 5)=0, "", COUNTIF(tblSeverityAnalysis[[#This Row],[CCCM]:[WASH]], 5))</f>
        <v/>
      </c>
      <c r="AB63" s="60" cm="1">
        <f t="array" ref="AB6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3"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3" s="33">
        <f>IFERROR(IF(INDEX(tblSeverityReference[Malnutrition Severity],MATCH(tblSeverityAnalysis[[#This Row],[ID]], tblSeverityReference[ID], 0))= "", "",INDEX(tblSeverityReference[Malnutrition Severity],MATCH(tblSeverityAnalysis[[#This Row],[ID]], tblSeverityReference[ID], 0)) ), "")</f>
        <v>2</v>
      </c>
      <c r="AE63" s="347">
        <f>IFERROR(IF(INDEX(tblSeverityReference[Epidemic Severity],MATCH(tblSeverityAnalysis[[#This Row],[ID]], tblSeverityReference[ID], 0))= "", "",INDEX(tblSeverityReference[Epidemic Severity],MATCH(tblSeverityAnalysis[[#This Row],[ID]], tblSeverityReference[ID], 0)) ), "")</f>
        <v>3</v>
      </c>
      <c r="AF63" s="310" t="str">
        <f>IFERROR(IF(INDEX(tblSeverityReference[Coping Strategy Severity],MATCH(tblSeverityAnalysis[[#This Row],[ID]], tblSeverityReference[ID], 0))= "", "",INDEX(tblSeverityReference[Coping Strategy Severity],MATCH(tblSeverityAnalysis[[#This Row],[ID]], tblSeverityReference[ID], 0)) ), "")</f>
        <v/>
      </c>
      <c r="AG63" s="348">
        <f>IFERROR(IF(INDEX(tblSeverityReference[HR/IHL Violation],MATCH(tblSeverityAnalysis[[#This Row],[ID]], tblSeverityReference[ID], 0))= "", "",INDEX(tblSeverityReference[HR/IHL Violation],MATCH(tblSeverityAnalysis[[#This Row],[ID]], tblSeverityReference[ID], 0)) ), "")</f>
        <v>3</v>
      </c>
      <c r="AH63" s="82">
        <f>IFERROR(AVERAGE(tblSeverityAnalysis[[#This Row],[CCCM]:[WASH]]), "")</f>
        <v>2.375</v>
      </c>
      <c r="AI63" s="27">
        <f>IF(SUM(tblSeverityAnalysis[[#This Row],[CCCM]:[WASH]])=0, "", MAX(tblSeverityAnalysis[[#This Row],[CCCM]:[WASH]]))</f>
        <v>3</v>
      </c>
      <c r="AJ63" s="335" t="str" cm="1">
        <f t="array" ref="AJ63">IFERROR(IF(tblSeverityAnalysis[[#This Row],[Highest Severity]]="", "", _xlfn.TEXTJOIN(CHAR(10), TRUE, IF(tblSeverityAnalysis[[#This Row],[CCCM]:[WASH]]=tblSeverityAnalysis[[#This Row],[Highest Severity]], tblSeverityAnalysis[[#Headers],[CCCM]:[WASH]], ""), "")), "")</f>
        <v>Education
Nutrition
Food Security
Shelter</v>
      </c>
      <c r="AK63" s="27" cm="1">
        <f t="array" ref="AK63">IFERROR(MAX(_xlfn._xlws.FILTER(tblSeverityAnalysis[[#This Row],[CCCM]:[WASH]], tblSeverityAnalysis[[#This Row],[CCCM]:[WASH]]&lt;tblSeverityAnalysis[[#This Row],[Highest Severity]])), "")</f>
        <v>2</v>
      </c>
      <c r="AL63" s="324" t="str" cm="1">
        <f t="array" ref="AL63">IFERROR(IF(tblSeverityAnalysis[[#This Row],[2nd Highest Severity]]="", "", _xlfn.TEXTJOIN(CHAR(10), TRUE, IF(tblSeverityAnalysis[[#This Row],[CCCM]:[WASH]]=tblSeverityAnalysis[[#This Row],[2nd Highest Severity]], tblSeverityAnalysis[[#Headers],[CCCM]:[WASH]], ""), "")), "")</f>
        <v>Health
Protection
WASH</v>
      </c>
      <c r="AM63" s="132" t="str">
        <f>IFERROR(IF(AND(tblSeverityAnalysis[[#This Row],[5]] &lt;&gt; "", tblSeverityAnalysis[[#This Row],[5]]&gt;=sectors_sev_5), "Flagged", ""), "")</f>
        <v/>
      </c>
      <c r="AN63" s="133" t="str">
        <f>IFERROR(IF(AND(tblSeverityAnalysis[[#This Row],[Preliminary Intersectoral Severity based on overlap of sectoral deprivations]]=4, SUM(tblSeverityAnalysis[[#This Row],[ 4 ]:[5]])&gt;=sectors_sev_4), "Flagged", ""), "")</f>
        <v/>
      </c>
      <c r="AO63" s="133" t="str" cm="1">
        <f t="array" ref="AO6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6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3" s="337"/>
      <c r="AR63" s="338"/>
      <c r="AS63" s="337"/>
      <c r="AT63" s="353">
        <f>COUNTIF(tblSeverityAnalysis[[#This Row],[1 sector in severity phase 5 '[modify the threshold']]:[Manual Flag]], "Flagged")</f>
        <v>1</v>
      </c>
      <c r="AU63" s="339">
        <f>tblSeverityAnalysis[[#This Row],[Preliminary Intersectoral Severity based on overlap of sectoral deprivations]]</f>
        <v>3</v>
      </c>
      <c r="AV63" s="340"/>
    </row>
    <row r="64" spans="1:48" ht="61.5" hidden="1">
      <c r="A6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Global_PopulationHT0442</v>
      </c>
      <c r="B64" s="39" t="s">
        <v>259</v>
      </c>
      <c r="C64" s="331" t="s">
        <v>260</v>
      </c>
      <c r="D64" s="331" t="s">
        <v>283</v>
      </c>
      <c r="E64" s="34" t="s">
        <v>284</v>
      </c>
      <c r="F64" s="34"/>
      <c r="G64" s="34"/>
      <c r="H64" s="358"/>
      <c r="I64" s="354">
        <v>15825</v>
      </c>
      <c r="J64" s="96" t="s">
        <v>156</v>
      </c>
      <c r="K64" s="372">
        <v>1</v>
      </c>
      <c r="L64" s="308">
        <v>3</v>
      </c>
      <c r="M64" s="308">
        <v>3</v>
      </c>
      <c r="N64" s="308">
        <v>3</v>
      </c>
      <c r="O64" s="308">
        <v>2</v>
      </c>
      <c r="P64" s="308">
        <v>2</v>
      </c>
      <c r="Q64" s="309">
        <v>3</v>
      </c>
      <c r="R64" s="341">
        <v>3</v>
      </c>
      <c r="S64" s="310"/>
      <c r="T64" s="308"/>
      <c r="U64" s="308"/>
      <c r="V64" s="308"/>
      <c r="W64" s="332">
        <f>IF(COUNTIF(tblSeverityAnalysis[[#This Row],[CCCM]:[WASH]], 1)=0, "", COUNTIF(tblSeverityAnalysis[[#This Row],[CCCM]:[WASH]], 1))</f>
        <v>1</v>
      </c>
      <c r="X64" s="333">
        <f>IF(COUNTIF(tblSeverityAnalysis[[#This Row],[CCCM]:[WASH]], 2)=0, "", COUNTIF(tblSeverityAnalysis[[#This Row],[CCCM]:[WASH]], 2))</f>
        <v>2</v>
      </c>
      <c r="Y64" s="333">
        <f>IF(COUNTIF(tblSeverityAnalysis[[#This Row],[CCCM]:[WASH]], 3)=0, "", COUNTIF(tblSeverityAnalysis[[#This Row],[CCCM]:[WASH]], 3))</f>
        <v>5</v>
      </c>
      <c r="Z64" s="333" t="str">
        <f>IF(COUNTIF(tblSeverityAnalysis[[#This Row],[CCCM]:[WASH]], 4)=0, "", COUNTIF(tblSeverityAnalysis[[#This Row],[CCCM]:[WASH]], 4))</f>
        <v/>
      </c>
      <c r="AA64" s="334" t="str">
        <f>IF(COUNTIF(tblSeverityAnalysis[[#This Row],[CCCM]:[WASH]], 5)=0, "", COUNTIF(tblSeverityAnalysis[[#This Row],[CCCM]:[WASH]], 5))</f>
        <v/>
      </c>
      <c r="AB64" s="60" cm="1">
        <f t="array" ref="AB6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4" s="33">
        <f>IFERROR(IF(INDEX(tblSeverityReference[Malnutrition Severity],MATCH(tblSeverityAnalysis[[#This Row],[ID]], tblSeverityReference[ID], 0))= "", "",INDEX(tblSeverityReference[Malnutrition Severity],MATCH(tblSeverityAnalysis[[#This Row],[ID]], tblSeverityReference[ID], 0)) ), "")</f>
        <v>2</v>
      </c>
      <c r="AE64" s="347">
        <f>IFERROR(IF(INDEX(tblSeverityReference[Epidemic Severity],MATCH(tblSeverityAnalysis[[#This Row],[ID]], tblSeverityReference[ID], 0))= "", "",INDEX(tblSeverityReference[Epidemic Severity],MATCH(tblSeverityAnalysis[[#This Row],[ID]], tblSeverityReference[ID], 0)) ), "")</f>
        <v>1</v>
      </c>
      <c r="AF64" s="310" t="str">
        <f>IFERROR(IF(INDEX(tblSeverityReference[Coping Strategy Severity],MATCH(tblSeverityAnalysis[[#This Row],[ID]], tblSeverityReference[ID], 0))= "", "",INDEX(tblSeverityReference[Coping Strategy Severity],MATCH(tblSeverityAnalysis[[#This Row],[ID]], tblSeverityReference[ID], 0)) ), "")</f>
        <v/>
      </c>
      <c r="AG64" s="348">
        <f>IFERROR(IF(INDEX(tblSeverityReference[HR/IHL Violation],MATCH(tblSeverityAnalysis[[#This Row],[ID]], tblSeverityReference[ID], 0))= "", "",INDEX(tblSeverityReference[HR/IHL Violation],MATCH(tblSeverityAnalysis[[#This Row],[ID]], tblSeverityReference[ID], 0)) ), "")</f>
        <v>3</v>
      </c>
      <c r="AH64" s="82">
        <f>IFERROR(AVERAGE(tblSeverityAnalysis[[#This Row],[CCCM]:[WASH]]), "")</f>
        <v>2.5</v>
      </c>
      <c r="AI64" s="27">
        <f>IF(SUM(tblSeverityAnalysis[[#This Row],[CCCM]:[WASH]])=0, "", MAX(tblSeverityAnalysis[[#This Row],[CCCM]:[WASH]]))</f>
        <v>3</v>
      </c>
      <c r="AJ64" s="335" t="str" cm="1">
        <f t="array" ref="AJ64">IFERROR(IF(tblSeverityAnalysis[[#This Row],[Highest Severity]]="", "", _xlfn.TEXTJOIN(CHAR(10), TRUE, IF(tblSeverityAnalysis[[#This Row],[CCCM]:[WASH]]=tblSeverityAnalysis[[#This Row],[Highest Severity]], tblSeverityAnalysis[[#Headers],[CCCM]:[WASH]], ""), "")), "")</f>
        <v>Education
Nutrition
Food Security
Shelter
WASH</v>
      </c>
      <c r="AK64" s="27" cm="1">
        <f t="array" ref="AK64">IFERROR(MAX(_xlfn._xlws.FILTER(tblSeverityAnalysis[[#This Row],[CCCM]:[WASH]], tblSeverityAnalysis[[#This Row],[CCCM]:[WASH]]&lt;tblSeverityAnalysis[[#This Row],[Highest Severity]])), "")</f>
        <v>2</v>
      </c>
      <c r="AL64" s="324" t="str" cm="1">
        <f t="array" ref="AL64">IFERROR(IF(tblSeverityAnalysis[[#This Row],[2nd Highest Severity]]="", "", _xlfn.TEXTJOIN(CHAR(10), TRUE, IF(tblSeverityAnalysis[[#This Row],[CCCM]:[WASH]]=tblSeverityAnalysis[[#This Row],[2nd Highest Severity]], tblSeverityAnalysis[[#Headers],[CCCM]:[WASH]], ""), "")), "")</f>
        <v>Health
Protection</v>
      </c>
      <c r="AM64" s="132" t="str">
        <f>IFERROR(IF(AND(tblSeverityAnalysis[[#This Row],[5]] &lt;&gt; "", tblSeverityAnalysis[[#This Row],[5]]&gt;=sectors_sev_5), "Flagged", ""), "")</f>
        <v/>
      </c>
      <c r="AN64" s="133" t="str">
        <f>IFERROR(IF(AND(tblSeverityAnalysis[[#This Row],[Preliminary Intersectoral Severity based on overlap of sectoral deprivations]]=4, SUM(tblSeverityAnalysis[[#This Row],[ 4 ]:[5]])&gt;=sectors_sev_4), "Flagged", ""), "")</f>
        <v/>
      </c>
      <c r="AO64" s="133" t="str" cm="1">
        <f t="array" ref="AO6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4" s="337"/>
      <c r="AR64" s="338"/>
      <c r="AS64" s="337"/>
      <c r="AT64" s="353">
        <f>COUNTIF(tblSeverityAnalysis[[#This Row],[1 sector in severity phase 5 '[modify the threshold']]:[Manual Flag]], "Flagged")</f>
        <v>2</v>
      </c>
      <c r="AU64" s="339">
        <f>tblSeverityAnalysis[[#This Row],[Preliminary Intersectoral Severity based on overlap of sectoral deprivations]]</f>
        <v>3</v>
      </c>
      <c r="AV64" s="340"/>
    </row>
    <row r="65" spans="1:48" ht="49.15" hidden="1">
      <c r="A6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Global_PopulationHT0443</v>
      </c>
      <c r="B65" s="39" t="s">
        <v>259</v>
      </c>
      <c r="C65" s="331" t="s">
        <v>260</v>
      </c>
      <c r="D65" s="331" t="s">
        <v>285</v>
      </c>
      <c r="E65" s="34" t="s">
        <v>286</v>
      </c>
      <c r="F65" s="34"/>
      <c r="G65" s="34"/>
      <c r="H65" s="357"/>
      <c r="I65" s="354">
        <v>40343</v>
      </c>
      <c r="J65" s="96" t="s">
        <v>156</v>
      </c>
      <c r="K65" s="372">
        <v>1</v>
      </c>
      <c r="L65" s="308">
        <v>3</v>
      </c>
      <c r="M65" s="308">
        <v>3</v>
      </c>
      <c r="N65" s="308">
        <v>3</v>
      </c>
      <c r="O65" s="308">
        <v>2</v>
      </c>
      <c r="P65" s="308">
        <v>2</v>
      </c>
      <c r="Q65" s="309">
        <v>3</v>
      </c>
      <c r="R65" s="341">
        <v>2</v>
      </c>
      <c r="S65" s="310"/>
      <c r="T65" s="308"/>
      <c r="U65" s="308"/>
      <c r="V65" s="308"/>
      <c r="W65" s="332">
        <f>IF(COUNTIF(tblSeverityAnalysis[[#This Row],[CCCM]:[WASH]], 1)=0, "", COUNTIF(tblSeverityAnalysis[[#This Row],[CCCM]:[WASH]], 1))</f>
        <v>1</v>
      </c>
      <c r="X65" s="333">
        <f>IF(COUNTIF(tblSeverityAnalysis[[#This Row],[CCCM]:[WASH]], 2)=0, "", COUNTIF(tblSeverityAnalysis[[#This Row],[CCCM]:[WASH]], 2))</f>
        <v>3</v>
      </c>
      <c r="Y65" s="333">
        <f>IF(COUNTIF(tblSeverityAnalysis[[#This Row],[CCCM]:[WASH]], 3)=0, "", COUNTIF(tblSeverityAnalysis[[#This Row],[CCCM]:[WASH]], 3))</f>
        <v>4</v>
      </c>
      <c r="Z65" s="333" t="str">
        <f>IF(COUNTIF(tblSeverityAnalysis[[#This Row],[CCCM]:[WASH]], 4)=0, "", COUNTIF(tblSeverityAnalysis[[#This Row],[CCCM]:[WASH]], 4))</f>
        <v/>
      </c>
      <c r="AA65" s="334" t="str">
        <f>IF(COUNTIF(tblSeverityAnalysis[[#This Row],[CCCM]:[WASH]], 5)=0, "", COUNTIF(tblSeverityAnalysis[[#This Row],[CCCM]:[WASH]], 5))</f>
        <v/>
      </c>
      <c r="AB65" s="60" cm="1">
        <f t="array" ref="AB6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65" s="33">
        <f>IFERROR(IF(INDEX(tblSeverityReference[Malnutrition Severity],MATCH(tblSeverityAnalysis[[#This Row],[ID]], tblSeverityReference[ID], 0))= "", "",INDEX(tblSeverityReference[Malnutrition Severity],MATCH(tblSeverityAnalysis[[#This Row],[ID]], tblSeverityReference[ID], 0)) ), "")</f>
        <v>2</v>
      </c>
      <c r="AE65" s="347">
        <f>IFERROR(IF(INDEX(tblSeverityReference[Epidemic Severity],MATCH(tblSeverityAnalysis[[#This Row],[ID]], tblSeverityReference[ID], 0))= "", "",INDEX(tblSeverityReference[Epidemic Severity],MATCH(tblSeverityAnalysis[[#This Row],[ID]], tblSeverityReference[ID], 0)) ), "")</f>
        <v>1</v>
      </c>
      <c r="AF65" s="310" t="str">
        <f>IFERROR(IF(INDEX(tblSeverityReference[Coping Strategy Severity],MATCH(tblSeverityAnalysis[[#This Row],[ID]], tblSeverityReference[ID], 0))= "", "",INDEX(tblSeverityReference[Coping Strategy Severity],MATCH(tblSeverityAnalysis[[#This Row],[ID]], tblSeverityReference[ID], 0)) ), "")</f>
        <v/>
      </c>
      <c r="AG65" s="108">
        <f>IFERROR(IF(INDEX(tblSeverityReference[HR/IHL Violation],MATCH(tblSeverityAnalysis[[#This Row],[ID]], tblSeverityReference[ID], 0))= "", "",INDEX(tblSeverityReference[HR/IHL Violation],MATCH(tblSeverityAnalysis[[#This Row],[ID]], tblSeverityReference[ID], 0)) ), "")</f>
        <v>3</v>
      </c>
      <c r="AH65" s="82">
        <f>IFERROR(AVERAGE(tblSeverityAnalysis[[#This Row],[CCCM]:[WASH]]), "")</f>
        <v>2.375</v>
      </c>
      <c r="AI65" s="27">
        <f>IF(SUM(tblSeverityAnalysis[[#This Row],[CCCM]:[WASH]])=0, "", MAX(tblSeverityAnalysis[[#This Row],[CCCM]:[WASH]]))</f>
        <v>3</v>
      </c>
      <c r="AJ65" s="335" t="str" cm="1">
        <f t="array" ref="AJ65">IFERROR(IF(tblSeverityAnalysis[[#This Row],[Highest Severity]]="", "", _xlfn.TEXTJOIN(CHAR(10), TRUE, IF(tblSeverityAnalysis[[#This Row],[CCCM]:[WASH]]=tblSeverityAnalysis[[#This Row],[Highest Severity]], tblSeverityAnalysis[[#Headers],[CCCM]:[WASH]], ""), "")), "")</f>
        <v>Education
Nutrition
Food Security
Shelter</v>
      </c>
      <c r="AK65" s="27" cm="1">
        <f t="array" ref="AK65">IFERROR(MAX(_xlfn._xlws.FILTER(tblSeverityAnalysis[[#This Row],[CCCM]:[WASH]], tblSeverityAnalysis[[#This Row],[CCCM]:[WASH]]&lt;tblSeverityAnalysis[[#This Row],[Highest Severity]])), "")</f>
        <v>2</v>
      </c>
      <c r="AL65" s="324" t="str" cm="1">
        <f t="array" ref="AL65">IFERROR(IF(tblSeverityAnalysis[[#This Row],[2nd Highest Severity]]="", "", _xlfn.TEXTJOIN(CHAR(10), TRUE, IF(tblSeverityAnalysis[[#This Row],[CCCM]:[WASH]]=tblSeverityAnalysis[[#This Row],[2nd Highest Severity]], tblSeverityAnalysis[[#Headers],[CCCM]:[WASH]], ""), "")), "")</f>
        <v>Health
Protection
WASH</v>
      </c>
      <c r="AM65" s="132" t="str">
        <f>IFERROR(IF(AND(tblSeverityAnalysis[[#This Row],[5]] &lt;&gt; "", tblSeverityAnalysis[[#This Row],[5]]&gt;=sectors_sev_5), "Flagged", ""), "")</f>
        <v/>
      </c>
      <c r="AN65" s="133" t="str">
        <f>IFERROR(IF(AND(tblSeverityAnalysis[[#This Row],[Preliminary Intersectoral Severity based on overlap of sectoral deprivations]]=4, SUM(tblSeverityAnalysis[[#This Row],[ 4 ]:[5]])&gt;=sectors_sev_4), "Flagged", ""), "")</f>
        <v/>
      </c>
      <c r="AO65" s="133" t="str" cm="1">
        <f t="array" ref="AO6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5" s="337"/>
      <c r="AR65" s="338"/>
      <c r="AS65" s="337"/>
      <c r="AT65" s="353">
        <f>COUNTIF(tblSeverityAnalysis[[#This Row],[1 sector in severity phase 5 '[modify the threshold']]:[Manual Flag]], "Flagged")</f>
        <v>2</v>
      </c>
      <c r="AU65" s="339">
        <f>tblSeverityAnalysis[[#This Row],[Preliminary Intersectoral Severity based on overlap of sectoral deprivations]]</f>
        <v>3</v>
      </c>
      <c r="AV65" s="340"/>
    </row>
    <row r="66" spans="1:48" ht="73.900000000000006" hidden="1">
      <c r="A6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Global_PopulationHT0511</v>
      </c>
      <c r="B66" s="39" t="s">
        <v>287</v>
      </c>
      <c r="C66" s="331" t="s">
        <v>288</v>
      </c>
      <c r="D66" s="331" t="s">
        <v>289</v>
      </c>
      <c r="E66" s="34" t="s">
        <v>290</v>
      </c>
      <c r="F66" s="34"/>
      <c r="G66" s="34"/>
      <c r="H66" s="358"/>
      <c r="I66" s="354">
        <v>366051</v>
      </c>
      <c r="J66" s="96" t="s">
        <v>156</v>
      </c>
      <c r="K66" s="372">
        <v>1</v>
      </c>
      <c r="L66" s="308">
        <v>3</v>
      </c>
      <c r="M66" s="308">
        <v>3</v>
      </c>
      <c r="N66" s="308">
        <v>3</v>
      </c>
      <c r="O66" s="308">
        <v>3</v>
      </c>
      <c r="P66" s="308">
        <v>3</v>
      </c>
      <c r="Q66" s="309">
        <v>4</v>
      </c>
      <c r="R66" s="341">
        <v>3</v>
      </c>
      <c r="S66" s="310"/>
      <c r="T66" s="308"/>
      <c r="U66" s="308"/>
      <c r="V66" s="308"/>
      <c r="W66" s="332">
        <f>IF(COUNTIF(tblSeverityAnalysis[[#This Row],[CCCM]:[WASH]], 1)=0, "", COUNTIF(tblSeverityAnalysis[[#This Row],[CCCM]:[WASH]], 1))</f>
        <v>1</v>
      </c>
      <c r="X66" s="333" t="str">
        <f>IF(COUNTIF(tblSeverityAnalysis[[#This Row],[CCCM]:[WASH]], 2)=0, "", COUNTIF(tblSeverityAnalysis[[#This Row],[CCCM]:[WASH]], 2))</f>
        <v/>
      </c>
      <c r="Y66" s="333">
        <f>IF(COUNTIF(tblSeverityAnalysis[[#This Row],[CCCM]:[WASH]], 3)=0, "", COUNTIF(tblSeverityAnalysis[[#This Row],[CCCM]:[WASH]], 3))</f>
        <v>6</v>
      </c>
      <c r="Z66" s="333">
        <f>IF(COUNTIF(tblSeverityAnalysis[[#This Row],[CCCM]:[WASH]], 4)=0, "", COUNTIF(tblSeverityAnalysis[[#This Row],[CCCM]:[WASH]], 4))</f>
        <v>1</v>
      </c>
      <c r="AA66" s="334" t="str">
        <f>IF(COUNTIF(tblSeverityAnalysis[[#This Row],[CCCM]:[WASH]], 5)=0, "", COUNTIF(tblSeverityAnalysis[[#This Row],[CCCM]:[WASH]], 5))</f>
        <v/>
      </c>
      <c r="AB66" s="60" cm="1">
        <f t="array" ref="AB6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6"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66" s="33">
        <f>IFERROR(IF(INDEX(tblSeverityReference[Malnutrition Severity],MATCH(tblSeverityAnalysis[[#This Row],[ID]], tblSeverityReference[ID], 0))= "", "",INDEX(tblSeverityReference[Malnutrition Severity],MATCH(tblSeverityAnalysis[[#This Row],[ID]], tblSeverityReference[ID], 0)) ), "")</f>
        <v>2</v>
      </c>
      <c r="AE66" s="347">
        <f>IFERROR(IF(INDEX(tblSeverityReference[Epidemic Severity],MATCH(tblSeverityAnalysis[[#This Row],[ID]], tblSeverityReference[ID], 0))= "", "",INDEX(tblSeverityReference[Epidemic Severity],MATCH(tblSeverityAnalysis[[#This Row],[ID]], tblSeverityReference[ID], 0)) ), "")</f>
        <v>3</v>
      </c>
      <c r="AF66" s="310" t="str">
        <f>IFERROR(IF(INDEX(tblSeverityReference[Coping Strategy Severity],MATCH(tblSeverityAnalysis[[#This Row],[ID]], tblSeverityReference[ID], 0))= "", "",INDEX(tblSeverityReference[Coping Strategy Severity],MATCH(tblSeverityAnalysis[[#This Row],[ID]], tblSeverityReference[ID], 0)) ), "")</f>
        <v/>
      </c>
      <c r="AG66" s="348">
        <f>IFERROR(IF(INDEX(tblSeverityReference[HR/IHL Violation],MATCH(tblSeverityAnalysis[[#This Row],[ID]], tblSeverityReference[ID], 0))= "", "",INDEX(tblSeverityReference[HR/IHL Violation],MATCH(tblSeverityAnalysis[[#This Row],[ID]], tblSeverityReference[ID], 0)) ), "")</f>
        <v>3</v>
      </c>
      <c r="AH66" s="82">
        <f>IFERROR(AVERAGE(tblSeverityAnalysis[[#This Row],[CCCM]:[WASH]]), "")</f>
        <v>2.875</v>
      </c>
      <c r="AI66" s="27">
        <f>IF(SUM(tblSeverityAnalysis[[#This Row],[CCCM]:[WASH]])=0, "", MAX(tblSeverityAnalysis[[#This Row],[CCCM]:[WASH]]))</f>
        <v>4</v>
      </c>
      <c r="AJ66" s="335" t="str" cm="1">
        <f t="array" ref="AJ66">IFERROR(IF(tblSeverityAnalysis[[#This Row],[Highest Severity]]="", "", _xlfn.TEXTJOIN(CHAR(10), TRUE, IF(tblSeverityAnalysis[[#This Row],[CCCM]:[WASH]]=tblSeverityAnalysis[[#This Row],[Highest Severity]], tblSeverityAnalysis[[#Headers],[CCCM]:[WASH]], ""), "")), "")</f>
        <v>Shelter</v>
      </c>
      <c r="AK66" s="27" cm="1">
        <f t="array" ref="AK66">IFERROR(MAX(_xlfn._xlws.FILTER(tblSeverityAnalysis[[#This Row],[CCCM]:[WASH]], tblSeverityAnalysis[[#This Row],[CCCM]:[WASH]]&lt;tblSeverityAnalysis[[#This Row],[Highest Severity]])), "")</f>
        <v>3</v>
      </c>
      <c r="AL66" s="324" t="str" cm="1">
        <f t="array" ref="AL66">IFERROR(IF(tblSeverityAnalysis[[#This Row],[2nd Highest Severity]]="", "", _xlfn.TEXTJOIN(CHAR(10), TRUE, IF(tblSeverityAnalysis[[#This Row],[CCCM]:[WASH]]=tblSeverityAnalysis[[#This Row],[2nd Highest Severity]], tblSeverityAnalysis[[#Headers],[CCCM]:[WASH]], ""), "")), "")</f>
        <v>Education
Nutrition
Food Security
Health
Protection
WASH</v>
      </c>
      <c r="AM66" s="132" t="str">
        <f>IFERROR(IF(AND(tblSeverityAnalysis[[#This Row],[5]] &lt;&gt; "", tblSeverityAnalysis[[#This Row],[5]]&gt;=sectors_sev_5), "Flagged", ""), "")</f>
        <v/>
      </c>
      <c r="AN66" s="133" t="str">
        <f>IFERROR(IF(AND(tblSeverityAnalysis[[#This Row],[Preliminary Intersectoral Severity based on overlap of sectoral deprivations]]=4, SUM(tblSeverityAnalysis[[#This Row],[ 4 ]:[5]])&gt;=sectors_sev_4), "Flagged", ""), "")</f>
        <v/>
      </c>
      <c r="AO66" s="133" t="str" cm="1">
        <f t="array" ref="AO6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66" s="337"/>
      <c r="AR66" s="338"/>
      <c r="AS66" s="337"/>
      <c r="AT66" s="353">
        <f>COUNTIF(tblSeverityAnalysis[[#This Row],[1 sector in severity phase 5 '[modify the threshold']]:[Manual Flag]], "Flagged")</f>
        <v>1</v>
      </c>
      <c r="AU66" s="339">
        <f>tblSeverityAnalysis[[#This Row],[Preliminary Intersectoral Severity based on overlap of sectoral deprivations]]</f>
        <v>3</v>
      </c>
      <c r="AV66" s="340"/>
    </row>
    <row r="67" spans="1:48" ht="36.950000000000003" hidden="1">
      <c r="A6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Global_PopulationHT0512</v>
      </c>
      <c r="B67" s="39" t="s">
        <v>287</v>
      </c>
      <c r="C67" s="331" t="s">
        <v>288</v>
      </c>
      <c r="D67" s="331" t="s">
        <v>291</v>
      </c>
      <c r="E67" s="34" t="s">
        <v>292</v>
      </c>
      <c r="F67" s="34"/>
      <c r="G67" s="34"/>
      <c r="H67" s="357"/>
      <c r="I67" s="354">
        <v>52529</v>
      </c>
      <c r="J67" s="96" t="s">
        <v>156</v>
      </c>
      <c r="K67" s="305">
        <v>3</v>
      </c>
      <c r="L67" s="308">
        <v>3</v>
      </c>
      <c r="M67" s="308">
        <v>3</v>
      </c>
      <c r="N67" s="308">
        <v>4</v>
      </c>
      <c r="O67" s="308">
        <v>2</v>
      </c>
      <c r="P67" s="308">
        <v>2</v>
      </c>
      <c r="Q67" s="309">
        <v>2</v>
      </c>
      <c r="R67" s="341">
        <v>2</v>
      </c>
      <c r="S67" s="310"/>
      <c r="T67" s="308"/>
      <c r="U67" s="308"/>
      <c r="V67" s="308"/>
      <c r="W67" s="332" t="str">
        <f>IF(COUNTIF(tblSeverityAnalysis[[#This Row],[CCCM]:[WASH]], 1)=0, "", COUNTIF(tblSeverityAnalysis[[#This Row],[CCCM]:[WASH]], 1))</f>
        <v/>
      </c>
      <c r="X67" s="333">
        <f>IF(COUNTIF(tblSeverityAnalysis[[#This Row],[CCCM]:[WASH]], 2)=0, "", COUNTIF(tblSeverityAnalysis[[#This Row],[CCCM]:[WASH]], 2))</f>
        <v>4</v>
      </c>
      <c r="Y67" s="333">
        <f>IF(COUNTIF(tblSeverityAnalysis[[#This Row],[CCCM]:[WASH]], 3)=0, "", COUNTIF(tblSeverityAnalysis[[#This Row],[CCCM]:[WASH]], 3))</f>
        <v>3</v>
      </c>
      <c r="Z67" s="333">
        <f>IF(COUNTIF(tblSeverityAnalysis[[#This Row],[CCCM]:[WASH]], 4)=0, "", COUNTIF(tblSeverityAnalysis[[#This Row],[CCCM]:[WASH]], 4))</f>
        <v>1</v>
      </c>
      <c r="AA67" s="334" t="str">
        <f>IF(COUNTIF(tblSeverityAnalysis[[#This Row],[CCCM]:[WASH]], 5)=0, "", COUNTIF(tblSeverityAnalysis[[#This Row],[CCCM]:[WASH]], 5))</f>
        <v/>
      </c>
      <c r="AB67" s="60" cm="1">
        <f t="array" ref="AB6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7"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67" s="33">
        <f>IFERROR(IF(INDEX(tblSeverityReference[Malnutrition Severity],MATCH(tblSeverityAnalysis[[#This Row],[ID]], tblSeverityReference[ID], 0))= "", "",INDEX(tblSeverityReference[Malnutrition Severity],MATCH(tblSeverityAnalysis[[#This Row],[ID]], tblSeverityReference[ID], 0)) ), "")</f>
        <v>2</v>
      </c>
      <c r="AE67" s="347">
        <f>IFERROR(IF(INDEX(tblSeverityReference[Epidemic Severity],MATCH(tblSeverityAnalysis[[#This Row],[ID]], tblSeverityReference[ID], 0))= "", "",INDEX(tblSeverityReference[Epidemic Severity],MATCH(tblSeverityAnalysis[[#This Row],[ID]], tblSeverityReference[ID], 0)) ), "")</f>
        <v>1</v>
      </c>
      <c r="AF67" s="310" t="str">
        <f>IFERROR(IF(INDEX(tblSeverityReference[Coping Strategy Severity],MATCH(tblSeverityAnalysis[[#This Row],[ID]], tblSeverityReference[ID], 0))= "", "",INDEX(tblSeverityReference[Coping Strategy Severity],MATCH(tblSeverityAnalysis[[#This Row],[ID]], tblSeverityReference[ID], 0)) ), "")</f>
        <v/>
      </c>
      <c r="AG67" s="108">
        <f>IFERROR(IF(INDEX(tblSeverityReference[HR/IHL Violation],MATCH(tblSeverityAnalysis[[#This Row],[ID]], tblSeverityReference[ID], 0))= "", "",INDEX(tblSeverityReference[HR/IHL Violation],MATCH(tblSeverityAnalysis[[#This Row],[ID]], tblSeverityReference[ID], 0)) ), "")</f>
        <v>3</v>
      </c>
      <c r="AH67" s="82">
        <f>IFERROR(AVERAGE(tblSeverityAnalysis[[#This Row],[CCCM]:[WASH]]), "")</f>
        <v>2.625</v>
      </c>
      <c r="AI67" s="27">
        <f>IF(SUM(tblSeverityAnalysis[[#This Row],[CCCM]:[WASH]])=0, "", MAX(tblSeverityAnalysis[[#This Row],[CCCM]:[WASH]]))</f>
        <v>4</v>
      </c>
      <c r="AJ67" s="335" t="str" cm="1">
        <f t="array" ref="AJ67">IFERROR(IF(tblSeverityAnalysis[[#This Row],[Highest Severity]]="", "", _xlfn.TEXTJOIN(CHAR(10), TRUE, IF(tblSeverityAnalysis[[#This Row],[CCCM]:[WASH]]=tblSeverityAnalysis[[#This Row],[Highest Severity]], tblSeverityAnalysis[[#Headers],[CCCM]:[WASH]], ""), "")), "")</f>
        <v>Food Security</v>
      </c>
      <c r="AK67" s="27" cm="1">
        <f t="array" ref="AK67">IFERROR(MAX(_xlfn._xlws.FILTER(tblSeverityAnalysis[[#This Row],[CCCM]:[WASH]], tblSeverityAnalysis[[#This Row],[CCCM]:[WASH]]&lt;tblSeverityAnalysis[[#This Row],[Highest Severity]])), "")</f>
        <v>3</v>
      </c>
      <c r="AL67" s="324" t="str" cm="1">
        <f t="array" ref="AL67">IFERROR(IF(tblSeverityAnalysis[[#This Row],[2nd Highest Severity]]="", "", _xlfn.TEXTJOIN(CHAR(10), TRUE, IF(tblSeverityAnalysis[[#This Row],[CCCM]:[WASH]]=tblSeverityAnalysis[[#This Row],[2nd Highest Severity]], tblSeverityAnalysis[[#Headers],[CCCM]:[WASH]], ""), "")), "")</f>
        <v>CCCM
Education
Nutrition</v>
      </c>
      <c r="AM67" s="132" t="str">
        <f>IFERROR(IF(AND(tblSeverityAnalysis[[#This Row],[5]] &lt;&gt; "", tblSeverityAnalysis[[#This Row],[5]]&gt;=sectors_sev_5), "Flagged", ""), "")</f>
        <v/>
      </c>
      <c r="AN67" s="133" t="str">
        <f>IFERROR(IF(AND(tblSeverityAnalysis[[#This Row],[Preliminary Intersectoral Severity based on overlap of sectoral deprivations]]=4, SUM(tblSeverityAnalysis[[#This Row],[ 4 ]:[5]])&gt;=sectors_sev_4), "Flagged", ""), "")</f>
        <v/>
      </c>
      <c r="AO67" s="133" t="str" cm="1">
        <f t="array" ref="AO6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7" s="337"/>
      <c r="AR67" s="338"/>
      <c r="AS67" s="337"/>
      <c r="AT67" s="353">
        <f>COUNTIF(tblSeverityAnalysis[[#This Row],[1 sector in severity phase 5 '[modify the threshold']]:[Manual Flag]], "Flagged")</f>
        <v>2</v>
      </c>
      <c r="AU67" s="339">
        <f>tblSeverityAnalysis[[#This Row],[Preliminary Intersectoral Severity based on overlap of sectoral deprivations]]</f>
        <v>3</v>
      </c>
      <c r="AV67" s="340"/>
    </row>
    <row r="68" spans="1:48" ht="36.950000000000003" hidden="1">
      <c r="A6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Global_PopulationHT0513</v>
      </c>
      <c r="B68" s="39" t="s">
        <v>287</v>
      </c>
      <c r="C68" s="331" t="s">
        <v>288</v>
      </c>
      <c r="D68" s="331" t="s">
        <v>293</v>
      </c>
      <c r="E68" s="34" t="s">
        <v>294</v>
      </c>
      <c r="F68" s="34"/>
      <c r="G68" s="34"/>
      <c r="H68" s="358"/>
      <c r="I68" s="354">
        <v>44802</v>
      </c>
      <c r="J68" s="96" t="s">
        <v>156</v>
      </c>
      <c r="K68" s="372">
        <v>1</v>
      </c>
      <c r="L68" s="308">
        <v>3</v>
      </c>
      <c r="M68" s="308">
        <v>3</v>
      </c>
      <c r="N68" s="308">
        <v>4</v>
      </c>
      <c r="O68" s="308">
        <v>3</v>
      </c>
      <c r="P68" s="308">
        <v>4</v>
      </c>
      <c r="Q68" s="309">
        <v>2</v>
      </c>
      <c r="R68" s="341">
        <v>4</v>
      </c>
      <c r="S68" s="310"/>
      <c r="T68" s="308"/>
      <c r="U68" s="308"/>
      <c r="V68" s="308"/>
      <c r="W68" s="332">
        <f>IF(COUNTIF(tblSeverityAnalysis[[#This Row],[CCCM]:[WASH]], 1)=0, "", COUNTIF(tblSeverityAnalysis[[#This Row],[CCCM]:[WASH]], 1))</f>
        <v>1</v>
      </c>
      <c r="X68" s="333">
        <f>IF(COUNTIF(tblSeverityAnalysis[[#This Row],[CCCM]:[WASH]], 2)=0, "", COUNTIF(tblSeverityAnalysis[[#This Row],[CCCM]:[WASH]], 2))</f>
        <v>1</v>
      </c>
      <c r="Y68" s="333">
        <f>IF(COUNTIF(tblSeverityAnalysis[[#This Row],[CCCM]:[WASH]], 3)=0, "", COUNTIF(tblSeverityAnalysis[[#This Row],[CCCM]:[WASH]], 3))</f>
        <v>3</v>
      </c>
      <c r="Z68" s="333">
        <f>IF(COUNTIF(tblSeverityAnalysis[[#This Row],[CCCM]:[WASH]], 4)=0, "", COUNTIF(tblSeverityAnalysis[[#This Row],[CCCM]:[WASH]], 4))</f>
        <v>3</v>
      </c>
      <c r="AA68" s="334" t="str">
        <f>IF(COUNTIF(tblSeverityAnalysis[[#This Row],[CCCM]:[WASH]], 5)=0, "", COUNTIF(tblSeverityAnalysis[[#This Row],[CCCM]:[WASH]], 5))</f>
        <v/>
      </c>
      <c r="AB68" s="60" cm="1">
        <f t="array" ref="AB6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8"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68" s="33">
        <f>IFERROR(IF(INDEX(tblSeverityReference[Malnutrition Severity],MATCH(tblSeverityAnalysis[[#This Row],[ID]], tblSeverityReference[ID], 0))= "", "",INDEX(tblSeverityReference[Malnutrition Severity],MATCH(tblSeverityAnalysis[[#This Row],[ID]], tblSeverityReference[ID], 0)) ), "")</f>
        <v>2</v>
      </c>
      <c r="AE68" s="347">
        <f>IFERROR(IF(INDEX(tblSeverityReference[Epidemic Severity],MATCH(tblSeverityAnalysis[[#This Row],[ID]], tblSeverityReference[ID], 0))= "", "",INDEX(tblSeverityReference[Epidemic Severity],MATCH(tblSeverityAnalysis[[#This Row],[ID]], tblSeverityReference[ID], 0)) ), "")</f>
        <v>1</v>
      </c>
      <c r="AF68" s="310" t="str">
        <f>IFERROR(IF(INDEX(tblSeverityReference[Coping Strategy Severity],MATCH(tblSeverityAnalysis[[#This Row],[ID]], tblSeverityReference[ID], 0))= "", "",INDEX(tblSeverityReference[Coping Strategy Severity],MATCH(tblSeverityAnalysis[[#This Row],[ID]], tblSeverityReference[ID], 0)) ), "")</f>
        <v/>
      </c>
      <c r="AG68" s="348">
        <f>IFERROR(IF(INDEX(tblSeverityReference[HR/IHL Violation],MATCH(tblSeverityAnalysis[[#This Row],[ID]], tblSeverityReference[ID], 0))= "", "",INDEX(tblSeverityReference[HR/IHL Violation],MATCH(tblSeverityAnalysis[[#This Row],[ID]], tblSeverityReference[ID], 0)) ), "")</f>
        <v>3</v>
      </c>
      <c r="AH68" s="82">
        <f>IFERROR(AVERAGE(tblSeverityAnalysis[[#This Row],[CCCM]:[WASH]]), "")</f>
        <v>3</v>
      </c>
      <c r="AI68" s="27">
        <f>IF(SUM(tblSeverityAnalysis[[#This Row],[CCCM]:[WASH]])=0, "", MAX(tblSeverityAnalysis[[#This Row],[CCCM]:[WASH]]))</f>
        <v>4</v>
      </c>
      <c r="AJ68" s="335" t="str" cm="1">
        <f t="array" ref="AJ68">IFERROR(IF(tblSeverityAnalysis[[#This Row],[Highest Severity]]="", "", _xlfn.TEXTJOIN(CHAR(10), TRUE, IF(tblSeverityAnalysis[[#This Row],[CCCM]:[WASH]]=tblSeverityAnalysis[[#This Row],[Highest Severity]], tblSeverityAnalysis[[#Headers],[CCCM]:[WASH]], ""), "")), "")</f>
        <v>Food Security
Protection
WASH</v>
      </c>
      <c r="AK68" s="27" cm="1">
        <f t="array" ref="AK68">IFERROR(MAX(_xlfn._xlws.FILTER(tblSeverityAnalysis[[#This Row],[CCCM]:[WASH]], tblSeverityAnalysis[[#This Row],[CCCM]:[WASH]]&lt;tblSeverityAnalysis[[#This Row],[Highest Severity]])), "")</f>
        <v>3</v>
      </c>
      <c r="AL68" s="324" t="str" cm="1">
        <f t="array" ref="AL68">IFERROR(IF(tblSeverityAnalysis[[#This Row],[2nd Highest Severity]]="", "", _xlfn.TEXTJOIN(CHAR(10), TRUE, IF(tblSeverityAnalysis[[#This Row],[CCCM]:[WASH]]=tblSeverityAnalysis[[#This Row],[2nd Highest Severity]], tblSeverityAnalysis[[#Headers],[CCCM]:[WASH]], ""), "")), "")</f>
        <v>Education
Nutrition
Health</v>
      </c>
      <c r="AM68" s="132" t="str">
        <f>IFERROR(IF(AND(tblSeverityAnalysis[[#This Row],[5]] &lt;&gt; "", tblSeverityAnalysis[[#This Row],[5]]&gt;=sectors_sev_5), "Flagged", ""), "")</f>
        <v/>
      </c>
      <c r="AN68" s="133" t="str">
        <f>IFERROR(IF(AND(tblSeverityAnalysis[[#This Row],[Preliminary Intersectoral Severity based on overlap of sectoral deprivations]]=4, SUM(tblSeverityAnalysis[[#This Row],[ 4 ]:[5]])&gt;=sectors_sev_4), "Flagged", ""), "")</f>
        <v/>
      </c>
      <c r="AO68" s="133" t="str" cm="1">
        <f t="array" ref="AO6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8" s="337"/>
      <c r="AR68" s="338"/>
      <c r="AS68" s="337"/>
      <c r="AT68" s="353">
        <f>COUNTIF(tblSeverityAnalysis[[#This Row],[1 sector in severity phase 5 '[modify the threshold']]:[Manual Flag]], "Flagged")</f>
        <v>2</v>
      </c>
      <c r="AU68" s="339">
        <v>4</v>
      </c>
      <c r="AV68" s="340" t="s">
        <v>556</v>
      </c>
    </row>
    <row r="69" spans="1:48" ht="36.950000000000003" hidden="1">
      <c r="A6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Global_PopulationHT0521</v>
      </c>
      <c r="B69" s="39" t="s">
        <v>287</v>
      </c>
      <c r="C69" s="331" t="s">
        <v>288</v>
      </c>
      <c r="D69" s="331" t="s">
        <v>295</v>
      </c>
      <c r="E69" s="34" t="s">
        <v>296</v>
      </c>
      <c r="F69" s="34"/>
      <c r="G69" s="34"/>
      <c r="H69" s="357"/>
      <c r="I69" s="354">
        <v>162808</v>
      </c>
      <c r="J69" s="96" t="s">
        <v>156</v>
      </c>
      <c r="K69" s="372">
        <v>1</v>
      </c>
      <c r="L69" s="308">
        <v>3</v>
      </c>
      <c r="M69" s="308">
        <v>3</v>
      </c>
      <c r="N69" s="308">
        <v>4</v>
      </c>
      <c r="O69" s="308">
        <v>2</v>
      </c>
      <c r="P69" s="308">
        <v>4</v>
      </c>
      <c r="Q69" s="309">
        <v>3</v>
      </c>
      <c r="R69" s="341">
        <v>2</v>
      </c>
      <c r="S69" s="310"/>
      <c r="T69" s="308"/>
      <c r="U69" s="308"/>
      <c r="V69" s="308"/>
      <c r="W69" s="332">
        <f>IF(COUNTIF(tblSeverityAnalysis[[#This Row],[CCCM]:[WASH]], 1)=0, "", COUNTIF(tblSeverityAnalysis[[#This Row],[CCCM]:[WASH]], 1))</f>
        <v>1</v>
      </c>
      <c r="X69" s="333">
        <f>IF(COUNTIF(tblSeverityAnalysis[[#This Row],[CCCM]:[WASH]], 2)=0, "", COUNTIF(tblSeverityAnalysis[[#This Row],[CCCM]:[WASH]], 2))</f>
        <v>2</v>
      </c>
      <c r="Y69" s="333">
        <f>IF(COUNTIF(tblSeverityAnalysis[[#This Row],[CCCM]:[WASH]], 3)=0, "", COUNTIF(tblSeverityAnalysis[[#This Row],[CCCM]:[WASH]], 3))</f>
        <v>3</v>
      </c>
      <c r="Z69" s="333">
        <f>IF(COUNTIF(tblSeverityAnalysis[[#This Row],[CCCM]:[WASH]], 4)=0, "", COUNTIF(tblSeverityAnalysis[[#This Row],[CCCM]:[WASH]], 4))</f>
        <v>2</v>
      </c>
      <c r="AA69" s="334" t="str">
        <f>IF(COUNTIF(tblSeverityAnalysis[[#This Row],[CCCM]:[WASH]], 5)=0, "", COUNTIF(tblSeverityAnalysis[[#This Row],[CCCM]:[WASH]], 5))</f>
        <v/>
      </c>
      <c r="AB69" s="60" cm="1">
        <f t="array" ref="AB6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69"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69" s="33">
        <f>IFERROR(IF(INDEX(tblSeverityReference[Malnutrition Severity],MATCH(tblSeverityAnalysis[[#This Row],[ID]], tblSeverityReference[ID], 0))= "", "",INDEX(tblSeverityReference[Malnutrition Severity],MATCH(tblSeverityAnalysis[[#This Row],[ID]], tblSeverityReference[ID], 0)) ), "")</f>
        <v>2</v>
      </c>
      <c r="AE69" s="347">
        <f>IFERROR(IF(INDEX(tblSeverityReference[Epidemic Severity],MATCH(tblSeverityAnalysis[[#This Row],[ID]], tblSeverityReference[ID], 0))= "", "",INDEX(tblSeverityReference[Epidemic Severity],MATCH(tblSeverityAnalysis[[#This Row],[ID]], tblSeverityReference[ID], 0)) ), "")</f>
        <v>1</v>
      </c>
      <c r="AF69" s="310" t="str">
        <f>IFERROR(IF(INDEX(tblSeverityReference[Coping Strategy Severity],MATCH(tblSeverityAnalysis[[#This Row],[ID]], tblSeverityReference[ID], 0))= "", "",INDEX(tblSeverityReference[Coping Strategy Severity],MATCH(tblSeverityAnalysis[[#This Row],[ID]], tblSeverityReference[ID], 0)) ), "")</f>
        <v/>
      </c>
      <c r="AG69" s="108">
        <f>IFERROR(IF(INDEX(tblSeverityReference[HR/IHL Violation],MATCH(tblSeverityAnalysis[[#This Row],[ID]], tblSeverityReference[ID], 0))= "", "",INDEX(tblSeverityReference[HR/IHL Violation],MATCH(tblSeverityAnalysis[[#This Row],[ID]], tblSeverityReference[ID], 0)) ), "")</f>
        <v>3</v>
      </c>
      <c r="AH69" s="82">
        <f>IFERROR(AVERAGE(tblSeverityAnalysis[[#This Row],[CCCM]:[WASH]]), "")</f>
        <v>2.75</v>
      </c>
      <c r="AI69" s="27">
        <f>IF(SUM(tblSeverityAnalysis[[#This Row],[CCCM]:[WASH]])=0, "", MAX(tblSeverityAnalysis[[#This Row],[CCCM]:[WASH]]))</f>
        <v>4</v>
      </c>
      <c r="AJ69" s="335" t="str" cm="1">
        <f t="array" ref="AJ69">IFERROR(IF(tblSeverityAnalysis[[#This Row],[Highest Severity]]="", "", _xlfn.TEXTJOIN(CHAR(10), TRUE, IF(tblSeverityAnalysis[[#This Row],[CCCM]:[WASH]]=tblSeverityAnalysis[[#This Row],[Highest Severity]], tblSeverityAnalysis[[#Headers],[CCCM]:[WASH]], ""), "")), "")</f>
        <v>Food Security
Protection</v>
      </c>
      <c r="AK69" s="27" cm="1">
        <f t="array" ref="AK69">IFERROR(MAX(_xlfn._xlws.FILTER(tblSeverityAnalysis[[#This Row],[CCCM]:[WASH]], tblSeverityAnalysis[[#This Row],[CCCM]:[WASH]]&lt;tblSeverityAnalysis[[#This Row],[Highest Severity]])), "")</f>
        <v>3</v>
      </c>
      <c r="AL69" s="324" t="str" cm="1">
        <f t="array" ref="AL69">IFERROR(IF(tblSeverityAnalysis[[#This Row],[2nd Highest Severity]]="", "", _xlfn.TEXTJOIN(CHAR(10), TRUE, IF(tblSeverityAnalysis[[#This Row],[CCCM]:[WASH]]=tblSeverityAnalysis[[#This Row],[2nd Highest Severity]], tblSeverityAnalysis[[#Headers],[CCCM]:[WASH]], ""), "")), "")</f>
        <v>Education
Nutrition
Shelter</v>
      </c>
      <c r="AM69" s="132" t="str">
        <f>IFERROR(IF(AND(tblSeverityAnalysis[[#This Row],[5]] &lt;&gt; "", tblSeverityAnalysis[[#This Row],[5]]&gt;=sectors_sev_5), "Flagged", ""), "")</f>
        <v/>
      </c>
      <c r="AN69" s="133" t="str">
        <f>IFERROR(IF(AND(tblSeverityAnalysis[[#This Row],[Preliminary Intersectoral Severity based on overlap of sectoral deprivations]]=4, SUM(tblSeverityAnalysis[[#This Row],[ 4 ]:[5]])&gt;=sectors_sev_4), "Flagged", ""), "")</f>
        <v/>
      </c>
      <c r="AO69" s="133" t="str" cm="1">
        <f t="array" ref="AO6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6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69" s="337"/>
      <c r="AR69" s="338"/>
      <c r="AS69" s="337"/>
      <c r="AT69" s="353">
        <f>COUNTIF(tblSeverityAnalysis[[#This Row],[1 sector in severity phase 5 '[modify the threshold']]:[Manual Flag]], "Flagged")</f>
        <v>2</v>
      </c>
      <c r="AU69" s="339">
        <v>4</v>
      </c>
      <c r="AV69" s="340" t="s">
        <v>557</v>
      </c>
    </row>
    <row r="70" spans="1:48" ht="61.5" hidden="1">
      <c r="A7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Global_PopulationHT0522</v>
      </c>
      <c r="B70" s="39" t="s">
        <v>287</v>
      </c>
      <c r="C70" s="331" t="s">
        <v>288</v>
      </c>
      <c r="D70" s="331" t="s">
        <v>297</v>
      </c>
      <c r="E70" s="34" t="s">
        <v>298</v>
      </c>
      <c r="F70" s="34"/>
      <c r="G70" s="34"/>
      <c r="H70" s="358"/>
      <c r="I70" s="354">
        <v>32784</v>
      </c>
      <c r="J70" s="96" t="s">
        <v>156</v>
      </c>
      <c r="K70" s="372">
        <v>1</v>
      </c>
      <c r="L70" s="308">
        <v>3</v>
      </c>
      <c r="M70" s="308">
        <v>3</v>
      </c>
      <c r="N70" s="308">
        <v>4</v>
      </c>
      <c r="O70" s="308">
        <v>3</v>
      </c>
      <c r="P70" s="308">
        <v>2</v>
      </c>
      <c r="Q70" s="309">
        <v>3</v>
      </c>
      <c r="R70" s="341">
        <v>3</v>
      </c>
      <c r="S70" s="310"/>
      <c r="T70" s="308"/>
      <c r="U70" s="308"/>
      <c r="V70" s="308"/>
      <c r="W70" s="332">
        <f>IF(COUNTIF(tblSeverityAnalysis[[#This Row],[CCCM]:[WASH]], 1)=0, "", COUNTIF(tblSeverityAnalysis[[#This Row],[CCCM]:[WASH]], 1))</f>
        <v>1</v>
      </c>
      <c r="X70" s="333">
        <f>IF(COUNTIF(tblSeverityAnalysis[[#This Row],[CCCM]:[WASH]], 2)=0, "", COUNTIF(tblSeverityAnalysis[[#This Row],[CCCM]:[WASH]], 2))</f>
        <v>1</v>
      </c>
      <c r="Y70" s="333">
        <f>IF(COUNTIF(tblSeverityAnalysis[[#This Row],[CCCM]:[WASH]], 3)=0, "", COUNTIF(tblSeverityAnalysis[[#This Row],[CCCM]:[WASH]], 3))</f>
        <v>5</v>
      </c>
      <c r="Z70" s="333">
        <f>IF(COUNTIF(tblSeverityAnalysis[[#This Row],[CCCM]:[WASH]], 4)=0, "", COUNTIF(tblSeverityAnalysis[[#This Row],[CCCM]:[WASH]], 4))</f>
        <v>1</v>
      </c>
      <c r="AA70" s="334" t="str">
        <f>IF(COUNTIF(tblSeverityAnalysis[[#This Row],[CCCM]:[WASH]], 5)=0, "", COUNTIF(tblSeverityAnalysis[[#This Row],[CCCM]:[WASH]], 5))</f>
        <v/>
      </c>
      <c r="AB70" s="60" cm="1">
        <f t="array" ref="AB7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0"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70" s="33">
        <f>IFERROR(IF(INDEX(tblSeverityReference[Malnutrition Severity],MATCH(tblSeverityAnalysis[[#This Row],[ID]], tblSeverityReference[ID], 0))= "", "",INDEX(tblSeverityReference[Malnutrition Severity],MATCH(tblSeverityAnalysis[[#This Row],[ID]], tblSeverityReference[ID], 0)) ), "")</f>
        <v>2</v>
      </c>
      <c r="AE70" s="347">
        <f>IFERROR(IF(INDEX(tblSeverityReference[Epidemic Severity],MATCH(tblSeverityAnalysis[[#This Row],[ID]], tblSeverityReference[ID], 0))= "", "",INDEX(tblSeverityReference[Epidemic Severity],MATCH(tblSeverityAnalysis[[#This Row],[ID]], tblSeverityReference[ID], 0)) ), "")</f>
        <v>1</v>
      </c>
      <c r="AF70" s="310" t="str">
        <f>IFERROR(IF(INDEX(tblSeverityReference[Coping Strategy Severity],MATCH(tblSeverityAnalysis[[#This Row],[ID]], tblSeverityReference[ID], 0))= "", "",INDEX(tblSeverityReference[Coping Strategy Severity],MATCH(tblSeverityAnalysis[[#This Row],[ID]], tblSeverityReference[ID], 0)) ), "")</f>
        <v/>
      </c>
      <c r="AG70" s="348">
        <f>IFERROR(IF(INDEX(tblSeverityReference[HR/IHL Violation],MATCH(tblSeverityAnalysis[[#This Row],[ID]], tblSeverityReference[ID], 0))= "", "",INDEX(tblSeverityReference[HR/IHL Violation],MATCH(tblSeverityAnalysis[[#This Row],[ID]], tblSeverityReference[ID], 0)) ), "")</f>
        <v>3</v>
      </c>
      <c r="AH70" s="82">
        <f>IFERROR(AVERAGE(tblSeverityAnalysis[[#This Row],[CCCM]:[WASH]]), "")</f>
        <v>2.75</v>
      </c>
      <c r="AI70" s="27">
        <f>IF(SUM(tblSeverityAnalysis[[#This Row],[CCCM]:[WASH]])=0, "", MAX(tblSeverityAnalysis[[#This Row],[CCCM]:[WASH]]))</f>
        <v>4</v>
      </c>
      <c r="AJ70" s="335" t="str" cm="1">
        <f t="array" ref="AJ70">IFERROR(IF(tblSeverityAnalysis[[#This Row],[Highest Severity]]="", "", _xlfn.TEXTJOIN(CHAR(10), TRUE, IF(tblSeverityAnalysis[[#This Row],[CCCM]:[WASH]]=tblSeverityAnalysis[[#This Row],[Highest Severity]], tblSeverityAnalysis[[#Headers],[CCCM]:[WASH]], ""), "")), "")</f>
        <v>Food Security</v>
      </c>
      <c r="AK70" s="27" cm="1">
        <f t="array" ref="AK70">IFERROR(MAX(_xlfn._xlws.FILTER(tblSeverityAnalysis[[#This Row],[CCCM]:[WASH]], tblSeverityAnalysis[[#This Row],[CCCM]:[WASH]]&lt;tblSeverityAnalysis[[#This Row],[Highest Severity]])), "")</f>
        <v>3</v>
      </c>
      <c r="AL70" s="324" t="str" cm="1">
        <f t="array" ref="AL70">IFERROR(IF(tblSeverityAnalysis[[#This Row],[2nd Highest Severity]]="", "", _xlfn.TEXTJOIN(CHAR(10), TRUE, IF(tblSeverityAnalysis[[#This Row],[CCCM]:[WASH]]=tblSeverityAnalysis[[#This Row],[2nd Highest Severity]], tblSeverityAnalysis[[#Headers],[CCCM]:[WASH]], ""), "")), "")</f>
        <v>Education
Nutrition
Health
Shelter
WASH</v>
      </c>
      <c r="AM70" s="132" t="str">
        <f>IFERROR(IF(AND(tblSeverityAnalysis[[#This Row],[5]] &lt;&gt; "", tblSeverityAnalysis[[#This Row],[5]]&gt;=sectors_sev_5), "Flagged", ""), "")</f>
        <v/>
      </c>
      <c r="AN70" s="133" t="str">
        <f>IFERROR(IF(AND(tblSeverityAnalysis[[#This Row],[Preliminary Intersectoral Severity based on overlap of sectoral deprivations]]=4, SUM(tblSeverityAnalysis[[#This Row],[ 4 ]:[5]])&gt;=sectors_sev_4), "Flagged", ""), "")</f>
        <v/>
      </c>
      <c r="AO70" s="133" t="str" cm="1">
        <f t="array" ref="AO7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0" s="337"/>
      <c r="AR70" s="338"/>
      <c r="AS70" s="337"/>
      <c r="AT70" s="353">
        <f>COUNTIF(tblSeverityAnalysis[[#This Row],[1 sector in severity phase 5 '[modify the threshold']]:[Manual Flag]], "Flagged")</f>
        <v>2</v>
      </c>
      <c r="AU70" s="339">
        <f>tblSeverityAnalysis[[#This Row],[Preliminary Intersectoral Severity based on overlap of sectoral deprivations]]</f>
        <v>3</v>
      </c>
      <c r="AV70" s="340"/>
    </row>
    <row r="71" spans="1:48" ht="61.5" hidden="1">
      <c r="A7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Global_PopulationHT0523</v>
      </c>
      <c r="B71" s="39" t="s">
        <v>287</v>
      </c>
      <c r="C71" s="331" t="s">
        <v>288</v>
      </c>
      <c r="D71" s="331" t="s">
        <v>299</v>
      </c>
      <c r="E71" s="34" t="s">
        <v>300</v>
      </c>
      <c r="F71" s="34"/>
      <c r="G71" s="34"/>
      <c r="H71" s="357"/>
      <c r="I71" s="354">
        <v>47668</v>
      </c>
      <c r="J71" s="96" t="s">
        <v>156</v>
      </c>
      <c r="K71" s="372">
        <v>3</v>
      </c>
      <c r="L71" s="308">
        <v>3</v>
      </c>
      <c r="M71" s="308">
        <v>3</v>
      </c>
      <c r="N71" s="308">
        <v>4</v>
      </c>
      <c r="O71" s="308">
        <v>2</v>
      </c>
      <c r="P71" s="308">
        <v>2</v>
      </c>
      <c r="Q71" s="309">
        <v>3</v>
      </c>
      <c r="R71" s="341">
        <v>3</v>
      </c>
      <c r="S71" s="310"/>
      <c r="T71" s="308"/>
      <c r="U71" s="308"/>
      <c r="V71" s="308"/>
      <c r="W71" s="332" t="str">
        <f>IF(COUNTIF(tblSeverityAnalysis[[#This Row],[CCCM]:[WASH]], 1)=0, "", COUNTIF(tblSeverityAnalysis[[#This Row],[CCCM]:[WASH]], 1))</f>
        <v/>
      </c>
      <c r="X71" s="333">
        <f>IF(COUNTIF(tblSeverityAnalysis[[#This Row],[CCCM]:[WASH]], 2)=0, "", COUNTIF(tblSeverityAnalysis[[#This Row],[CCCM]:[WASH]], 2))</f>
        <v>2</v>
      </c>
      <c r="Y71" s="333">
        <f>IF(COUNTIF(tblSeverityAnalysis[[#This Row],[CCCM]:[WASH]], 3)=0, "", COUNTIF(tblSeverityAnalysis[[#This Row],[CCCM]:[WASH]], 3))</f>
        <v>5</v>
      </c>
      <c r="Z71" s="333">
        <f>IF(COUNTIF(tblSeverityAnalysis[[#This Row],[CCCM]:[WASH]], 4)=0, "", COUNTIF(tblSeverityAnalysis[[#This Row],[CCCM]:[WASH]], 4))</f>
        <v>1</v>
      </c>
      <c r="AA71" s="334" t="str">
        <f>IF(COUNTIF(tblSeverityAnalysis[[#This Row],[CCCM]:[WASH]], 5)=0, "", COUNTIF(tblSeverityAnalysis[[#This Row],[CCCM]:[WASH]], 5))</f>
        <v/>
      </c>
      <c r="AB71" s="60" cm="1">
        <f t="array" ref="AB7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1"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71" s="33">
        <f>IFERROR(IF(INDEX(tblSeverityReference[Malnutrition Severity],MATCH(tblSeverityAnalysis[[#This Row],[ID]], tblSeverityReference[ID], 0))= "", "",INDEX(tblSeverityReference[Malnutrition Severity],MATCH(tblSeverityAnalysis[[#This Row],[ID]], tblSeverityReference[ID], 0)) ), "")</f>
        <v>2</v>
      </c>
      <c r="AE71" s="347">
        <f>IFERROR(IF(INDEX(tblSeverityReference[Epidemic Severity],MATCH(tblSeverityAnalysis[[#This Row],[ID]], tblSeverityReference[ID], 0))= "", "",INDEX(tblSeverityReference[Epidemic Severity],MATCH(tblSeverityAnalysis[[#This Row],[ID]], tblSeverityReference[ID], 0)) ), "")</f>
        <v>1</v>
      </c>
      <c r="AF71" s="310" t="str">
        <f>IFERROR(IF(INDEX(tblSeverityReference[Coping Strategy Severity],MATCH(tblSeverityAnalysis[[#This Row],[ID]], tblSeverityReference[ID], 0))= "", "",INDEX(tblSeverityReference[Coping Strategy Severity],MATCH(tblSeverityAnalysis[[#This Row],[ID]], tblSeverityReference[ID], 0)) ), "")</f>
        <v/>
      </c>
      <c r="AG71" s="108">
        <f>IFERROR(IF(INDEX(tblSeverityReference[HR/IHL Violation],MATCH(tblSeverityAnalysis[[#This Row],[ID]], tblSeverityReference[ID], 0))= "", "",INDEX(tblSeverityReference[HR/IHL Violation],MATCH(tblSeverityAnalysis[[#This Row],[ID]], tblSeverityReference[ID], 0)) ), "")</f>
        <v>3</v>
      </c>
      <c r="AH71" s="82">
        <f>IFERROR(AVERAGE(tblSeverityAnalysis[[#This Row],[CCCM]:[WASH]]), "")</f>
        <v>2.875</v>
      </c>
      <c r="AI71" s="27">
        <f>IF(SUM(tblSeverityAnalysis[[#This Row],[CCCM]:[WASH]])=0, "", MAX(tblSeverityAnalysis[[#This Row],[CCCM]:[WASH]]))</f>
        <v>4</v>
      </c>
      <c r="AJ71" s="335" t="str" cm="1">
        <f t="array" ref="AJ71">IFERROR(IF(tblSeverityAnalysis[[#This Row],[Highest Severity]]="", "", _xlfn.TEXTJOIN(CHAR(10), TRUE, IF(tblSeverityAnalysis[[#This Row],[CCCM]:[WASH]]=tblSeverityAnalysis[[#This Row],[Highest Severity]], tblSeverityAnalysis[[#Headers],[CCCM]:[WASH]], ""), "")), "")</f>
        <v>Food Security</v>
      </c>
      <c r="AK71" s="27" cm="1">
        <f t="array" ref="AK71">IFERROR(MAX(_xlfn._xlws.FILTER(tblSeverityAnalysis[[#This Row],[CCCM]:[WASH]], tblSeverityAnalysis[[#This Row],[CCCM]:[WASH]]&lt;tblSeverityAnalysis[[#This Row],[Highest Severity]])), "")</f>
        <v>3</v>
      </c>
      <c r="AL71" s="324" t="str" cm="1">
        <f t="array" ref="AL71">IFERROR(IF(tblSeverityAnalysis[[#This Row],[2nd Highest Severity]]="", "", _xlfn.TEXTJOIN(CHAR(10), TRUE, IF(tblSeverityAnalysis[[#This Row],[CCCM]:[WASH]]=tblSeverityAnalysis[[#This Row],[2nd Highest Severity]], tblSeverityAnalysis[[#Headers],[CCCM]:[WASH]], ""), "")), "")</f>
        <v>CCCM
Education
Nutrition
Shelter
WASH</v>
      </c>
      <c r="AM71" s="132" t="str">
        <f>IFERROR(IF(AND(tblSeverityAnalysis[[#This Row],[5]] &lt;&gt; "", tblSeverityAnalysis[[#This Row],[5]]&gt;=sectors_sev_5), "Flagged", ""), "")</f>
        <v/>
      </c>
      <c r="AN71" s="133" t="str">
        <f>IFERROR(IF(AND(tblSeverityAnalysis[[#This Row],[Preliminary Intersectoral Severity based on overlap of sectoral deprivations]]=4, SUM(tblSeverityAnalysis[[#This Row],[ 4 ]:[5]])&gt;=sectors_sev_4), "Flagged", ""), "")</f>
        <v/>
      </c>
      <c r="AO71" s="133" t="str" cm="1">
        <f t="array" ref="AO7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1" s="337"/>
      <c r="AR71" s="338"/>
      <c r="AS71" s="337"/>
      <c r="AT71" s="353">
        <f>COUNTIF(tblSeverityAnalysis[[#This Row],[1 sector in severity phase 5 '[modify the threshold']]:[Manual Flag]], "Flagged")</f>
        <v>2</v>
      </c>
      <c r="AU71" s="339">
        <f>tblSeverityAnalysis[[#This Row],[Preliminary Intersectoral Severity based on overlap of sectoral deprivations]]</f>
        <v>3</v>
      </c>
      <c r="AV71" s="340"/>
    </row>
    <row r="72" spans="1:48" ht="61.5" hidden="1">
      <c r="A7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Global_PopulationHT0531</v>
      </c>
      <c r="B72" s="39" t="s">
        <v>287</v>
      </c>
      <c r="C72" s="331" t="s">
        <v>288</v>
      </c>
      <c r="D72" s="331" t="s">
        <v>301</v>
      </c>
      <c r="E72" s="34" t="s">
        <v>302</v>
      </c>
      <c r="F72" s="34"/>
      <c r="G72" s="34"/>
      <c r="H72" s="358"/>
      <c r="I72" s="354">
        <v>281577</v>
      </c>
      <c r="J72" s="96" t="s">
        <v>156</v>
      </c>
      <c r="K72" s="305">
        <v>4</v>
      </c>
      <c r="L72" s="308">
        <v>3</v>
      </c>
      <c r="M72" s="308">
        <v>3</v>
      </c>
      <c r="N72" s="308">
        <v>4</v>
      </c>
      <c r="O72" s="308">
        <v>3</v>
      </c>
      <c r="P72" s="308">
        <v>3</v>
      </c>
      <c r="Q72" s="309">
        <v>3</v>
      </c>
      <c r="R72" s="341">
        <v>4</v>
      </c>
      <c r="S72" s="310"/>
      <c r="T72" s="308"/>
      <c r="U72" s="308"/>
      <c r="V72" s="308"/>
      <c r="W72" s="332" t="str">
        <f>IF(COUNTIF(tblSeverityAnalysis[[#This Row],[CCCM]:[WASH]], 1)=0, "", COUNTIF(tblSeverityAnalysis[[#This Row],[CCCM]:[WASH]], 1))</f>
        <v/>
      </c>
      <c r="X72" s="333" t="str">
        <f>IF(COUNTIF(tblSeverityAnalysis[[#This Row],[CCCM]:[WASH]], 2)=0, "", COUNTIF(tblSeverityAnalysis[[#This Row],[CCCM]:[WASH]], 2))</f>
        <v/>
      </c>
      <c r="Y72" s="333">
        <f>IF(COUNTIF(tblSeverityAnalysis[[#This Row],[CCCM]:[WASH]], 3)=0, "", COUNTIF(tblSeverityAnalysis[[#This Row],[CCCM]:[WASH]], 3))</f>
        <v>5</v>
      </c>
      <c r="Z72" s="333">
        <f>IF(COUNTIF(tblSeverityAnalysis[[#This Row],[CCCM]:[WASH]], 4)=0, "", COUNTIF(tblSeverityAnalysis[[#This Row],[CCCM]:[WASH]], 4))</f>
        <v>3</v>
      </c>
      <c r="AA72" s="334" t="str">
        <f>IF(COUNTIF(tblSeverityAnalysis[[#This Row],[CCCM]:[WASH]], 5)=0, "", COUNTIF(tblSeverityAnalysis[[#This Row],[CCCM]:[WASH]], 5))</f>
        <v/>
      </c>
      <c r="AB72" s="60" cm="1">
        <f t="array" ref="AB7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2"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2" s="33">
        <f>IFERROR(IF(INDEX(tblSeverityReference[Malnutrition Severity],MATCH(tblSeverityAnalysis[[#This Row],[ID]], tblSeverityReference[ID], 0))= "", "",INDEX(tblSeverityReference[Malnutrition Severity],MATCH(tblSeverityAnalysis[[#This Row],[ID]], tblSeverityReference[ID], 0)) ), "")</f>
        <v>2</v>
      </c>
      <c r="AE72" s="347">
        <f>IFERROR(IF(INDEX(tblSeverityReference[Epidemic Severity],MATCH(tblSeverityAnalysis[[#This Row],[ID]], tblSeverityReference[ID], 0))= "", "",INDEX(tblSeverityReference[Epidemic Severity],MATCH(tblSeverityAnalysis[[#This Row],[ID]], tblSeverityReference[ID], 0)) ), "")</f>
        <v>3</v>
      </c>
      <c r="AF72" s="310" t="str">
        <f>IFERROR(IF(INDEX(tblSeverityReference[Coping Strategy Severity],MATCH(tblSeverityAnalysis[[#This Row],[ID]], tblSeverityReference[ID], 0))= "", "",INDEX(tblSeverityReference[Coping Strategy Severity],MATCH(tblSeverityAnalysis[[#This Row],[ID]], tblSeverityReference[ID], 0)) ), "")</f>
        <v/>
      </c>
      <c r="AG72" s="348">
        <f>IFERROR(IF(INDEX(tblSeverityReference[HR/IHL Violation],MATCH(tblSeverityAnalysis[[#This Row],[ID]], tblSeverityReference[ID], 0))= "", "",INDEX(tblSeverityReference[HR/IHL Violation],MATCH(tblSeverityAnalysis[[#This Row],[ID]], tblSeverityReference[ID], 0)) ), "")</f>
        <v>3</v>
      </c>
      <c r="AH72" s="82">
        <f>IFERROR(AVERAGE(tblSeverityAnalysis[[#This Row],[CCCM]:[WASH]]), "")</f>
        <v>3.375</v>
      </c>
      <c r="AI72" s="27">
        <f>IF(SUM(tblSeverityAnalysis[[#This Row],[CCCM]:[WASH]])=0, "", MAX(tblSeverityAnalysis[[#This Row],[CCCM]:[WASH]]))</f>
        <v>4</v>
      </c>
      <c r="AJ72" s="335" t="str" cm="1">
        <f t="array" ref="AJ72">IFERROR(IF(tblSeverityAnalysis[[#This Row],[Highest Severity]]="", "", _xlfn.TEXTJOIN(CHAR(10), TRUE, IF(tblSeverityAnalysis[[#This Row],[CCCM]:[WASH]]=tblSeverityAnalysis[[#This Row],[Highest Severity]], tblSeverityAnalysis[[#Headers],[CCCM]:[WASH]], ""), "")), "")</f>
        <v>CCCM
Food Security
WASH</v>
      </c>
      <c r="AK72" s="27" cm="1">
        <f t="array" ref="AK72">IFERROR(MAX(_xlfn._xlws.FILTER(tblSeverityAnalysis[[#This Row],[CCCM]:[WASH]], tblSeverityAnalysis[[#This Row],[CCCM]:[WASH]]&lt;tblSeverityAnalysis[[#This Row],[Highest Severity]])), "")</f>
        <v>3</v>
      </c>
      <c r="AL72" s="324" t="str" cm="1">
        <f t="array" ref="AL72">IFERROR(IF(tblSeverityAnalysis[[#This Row],[2nd Highest Severity]]="", "", _xlfn.TEXTJOIN(CHAR(10), TRUE, IF(tblSeverityAnalysis[[#This Row],[CCCM]:[WASH]]=tblSeverityAnalysis[[#This Row],[2nd Highest Severity]], tblSeverityAnalysis[[#Headers],[CCCM]:[WASH]], ""), "")), "")</f>
        <v>Education
Nutrition
Health
Protection
Shelter</v>
      </c>
      <c r="AM72" s="132" t="str">
        <f>IFERROR(IF(AND(tblSeverityAnalysis[[#This Row],[5]] &lt;&gt; "", tblSeverityAnalysis[[#This Row],[5]]&gt;=sectors_sev_5), "Flagged", ""), "")</f>
        <v/>
      </c>
      <c r="AN72" s="133" t="str">
        <f>IFERROR(IF(AND(tblSeverityAnalysis[[#This Row],[Preliminary Intersectoral Severity based on overlap of sectoral deprivations]]=4, SUM(tblSeverityAnalysis[[#This Row],[ 4 ]:[5]])&gt;=sectors_sev_4), "Flagged", ""), "")</f>
        <v/>
      </c>
      <c r="AO72" s="133" t="str" cm="1">
        <f t="array" ref="AO7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2" s="337"/>
      <c r="AR72" s="338"/>
      <c r="AS72" s="337"/>
      <c r="AT72" s="353">
        <f>COUNTIF(tblSeverityAnalysis[[#This Row],[1 sector in severity phase 5 '[modify the threshold']]:[Manual Flag]], "Flagged")</f>
        <v>1</v>
      </c>
      <c r="AU72" s="339">
        <v>3</v>
      </c>
      <c r="AV72" s="340"/>
    </row>
    <row r="73" spans="1:48" ht="73.900000000000006" hidden="1">
      <c r="A7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Global_PopulationHT0532</v>
      </c>
      <c r="B73" s="39" t="s">
        <v>287</v>
      </c>
      <c r="C73" s="331" t="s">
        <v>288</v>
      </c>
      <c r="D73" s="331" t="s">
        <v>303</v>
      </c>
      <c r="E73" s="34" t="s">
        <v>304</v>
      </c>
      <c r="F73" s="34"/>
      <c r="G73" s="34"/>
      <c r="H73" s="357"/>
      <c r="I73" s="354">
        <v>146485</v>
      </c>
      <c r="J73" s="96" t="s">
        <v>156</v>
      </c>
      <c r="K73" s="305">
        <v>4</v>
      </c>
      <c r="L73" s="308">
        <v>3</v>
      </c>
      <c r="M73" s="308">
        <v>4</v>
      </c>
      <c r="N73" s="308">
        <v>4</v>
      </c>
      <c r="O73" s="308">
        <v>4</v>
      </c>
      <c r="P73" s="308">
        <v>4</v>
      </c>
      <c r="Q73" s="309">
        <v>4</v>
      </c>
      <c r="R73" s="341">
        <v>3</v>
      </c>
      <c r="S73" s="310"/>
      <c r="T73" s="308"/>
      <c r="U73" s="308"/>
      <c r="V73" s="308"/>
      <c r="W73" s="332" t="str">
        <f>IF(COUNTIF(tblSeverityAnalysis[[#This Row],[CCCM]:[WASH]], 1)=0, "", COUNTIF(tblSeverityAnalysis[[#This Row],[CCCM]:[WASH]], 1))</f>
        <v/>
      </c>
      <c r="X73" s="333" t="str">
        <f>IF(COUNTIF(tblSeverityAnalysis[[#This Row],[CCCM]:[WASH]], 2)=0, "", COUNTIF(tblSeverityAnalysis[[#This Row],[CCCM]:[WASH]], 2))</f>
        <v/>
      </c>
      <c r="Y73" s="333">
        <f>IF(COUNTIF(tblSeverityAnalysis[[#This Row],[CCCM]:[WASH]], 3)=0, "", COUNTIF(tblSeverityAnalysis[[#This Row],[CCCM]:[WASH]], 3))</f>
        <v>2</v>
      </c>
      <c r="Z73" s="333">
        <f>IF(COUNTIF(tblSeverityAnalysis[[#This Row],[CCCM]:[WASH]], 4)=0, "", COUNTIF(tblSeverityAnalysis[[#This Row],[CCCM]:[WASH]], 4))</f>
        <v>6</v>
      </c>
      <c r="AA73" s="334" t="str">
        <f>IF(COUNTIF(tblSeverityAnalysis[[#This Row],[CCCM]:[WASH]], 5)=0, "", COUNTIF(tblSeverityAnalysis[[#This Row],[CCCM]:[WASH]], 5))</f>
        <v/>
      </c>
      <c r="AB73" s="60" cm="1">
        <f t="array" ref="AB7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7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3" s="33">
        <f>IFERROR(IF(INDEX(tblSeverityReference[Malnutrition Severity],MATCH(tblSeverityAnalysis[[#This Row],[ID]], tblSeverityReference[ID], 0))= "", "",INDEX(tblSeverityReference[Malnutrition Severity],MATCH(tblSeverityAnalysis[[#This Row],[ID]], tblSeverityReference[ID], 0)) ), "")</f>
        <v>2</v>
      </c>
      <c r="AE73" s="347">
        <f>IFERROR(IF(INDEX(tblSeverityReference[Epidemic Severity],MATCH(tblSeverityAnalysis[[#This Row],[ID]], tblSeverityReference[ID], 0))= "", "",INDEX(tblSeverityReference[Epidemic Severity],MATCH(tblSeverityAnalysis[[#This Row],[ID]], tblSeverityReference[ID], 0)) ), "")</f>
        <v>1</v>
      </c>
      <c r="AF73" s="310" t="str">
        <f>IFERROR(IF(INDEX(tblSeverityReference[Coping Strategy Severity],MATCH(tblSeverityAnalysis[[#This Row],[ID]], tblSeverityReference[ID], 0))= "", "",INDEX(tblSeverityReference[Coping Strategy Severity],MATCH(tblSeverityAnalysis[[#This Row],[ID]], tblSeverityReference[ID], 0)) ), "")</f>
        <v/>
      </c>
      <c r="AG73" s="108">
        <f>IFERROR(IF(INDEX(tblSeverityReference[HR/IHL Violation],MATCH(tblSeverityAnalysis[[#This Row],[ID]], tblSeverityReference[ID], 0))= "", "",INDEX(tblSeverityReference[HR/IHL Violation],MATCH(tblSeverityAnalysis[[#This Row],[ID]], tblSeverityReference[ID], 0)) ), "")</f>
        <v>4</v>
      </c>
      <c r="AH73" s="82">
        <f>IFERROR(AVERAGE(tblSeverityAnalysis[[#This Row],[CCCM]:[WASH]]), "")</f>
        <v>3.75</v>
      </c>
      <c r="AI73" s="27">
        <f>IF(SUM(tblSeverityAnalysis[[#This Row],[CCCM]:[WASH]])=0, "", MAX(tblSeverityAnalysis[[#This Row],[CCCM]:[WASH]]))</f>
        <v>4</v>
      </c>
      <c r="AJ73" s="335" t="str" cm="1">
        <f t="array" ref="AJ73">IFERROR(IF(tblSeverityAnalysis[[#This Row],[Highest Severity]]="", "", _xlfn.TEXTJOIN(CHAR(10), TRUE, IF(tblSeverityAnalysis[[#This Row],[CCCM]:[WASH]]=tblSeverityAnalysis[[#This Row],[Highest Severity]], tblSeverityAnalysis[[#Headers],[CCCM]:[WASH]], ""), "")), "")</f>
        <v>CCCM
Nutrition
Food Security
Health
Protection
Shelter</v>
      </c>
      <c r="AK73" s="27" cm="1">
        <f t="array" ref="AK73">IFERROR(MAX(_xlfn._xlws.FILTER(tblSeverityAnalysis[[#This Row],[CCCM]:[WASH]], tblSeverityAnalysis[[#This Row],[CCCM]:[WASH]]&lt;tblSeverityAnalysis[[#This Row],[Highest Severity]])), "")</f>
        <v>3</v>
      </c>
      <c r="AL73" s="324" t="str" cm="1">
        <f t="array" ref="AL73">IFERROR(IF(tblSeverityAnalysis[[#This Row],[2nd Highest Severity]]="", "", _xlfn.TEXTJOIN(CHAR(10), TRUE, IF(tblSeverityAnalysis[[#This Row],[CCCM]:[WASH]]=tblSeverityAnalysis[[#This Row],[2nd Highest Severity]], tblSeverityAnalysis[[#Headers],[CCCM]:[WASH]], ""), "")), "")</f>
        <v>Education
WASH</v>
      </c>
      <c r="AM73" s="132" t="str">
        <f>IFERROR(IF(AND(tblSeverityAnalysis[[#This Row],[5]] &lt;&gt; "", tblSeverityAnalysis[[#This Row],[5]]&gt;=sectors_sev_5), "Flagged", ""), "")</f>
        <v/>
      </c>
      <c r="AN73" s="133" t="str">
        <f>IFERROR(IF(AND(tblSeverityAnalysis[[#This Row],[Preliminary Intersectoral Severity based on overlap of sectoral deprivations]]=4, SUM(tblSeverityAnalysis[[#This Row],[ 4 ]:[5]])&gt;=sectors_sev_4), "Flagged", ""), "")</f>
        <v>Flagged</v>
      </c>
      <c r="AO73" s="133" t="str" cm="1">
        <f t="array" ref="AO7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3" s="337"/>
      <c r="AR73" s="338"/>
      <c r="AS73" s="337"/>
      <c r="AT73" s="353">
        <f>COUNTIF(tblSeverityAnalysis[[#This Row],[1 sector in severity phase 5 '[modify the threshold']]:[Manual Flag]], "Flagged")</f>
        <v>3</v>
      </c>
      <c r="AU73" s="339">
        <f>tblSeverityAnalysis[[#This Row],[Preliminary Intersectoral Severity based on overlap of sectoral deprivations]]</f>
        <v>4</v>
      </c>
      <c r="AV73" s="340"/>
    </row>
    <row r="74" spans="1:48" ht="49.15" hidden="1">
      <c r="A7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Global_PopulationHT0533</v>
      </c>
      <c r="B74" s="39" t="s">
        <v>287</v>
      </c>
      <c r="C74" s="331" t="s">
        <v>288</v>
      </c>
      <c r="D74" s="331" t="s">
        <v>305</v>
      </c>
      <c r="E74" s="34" t="s">
        <v>306</v>
      </c>
      <c r="F74" s="34"/>
      <c r="G74" s="34"/>
      <c r="H74" s="358"/>
      <c r="I74" s="354">
        <v>32609</v>
      </c>
      <c r="J74" s="96" t="s">
        <v>156</v>
      </c>
      <c r="K74" s="305">
        <v>4</v>
      </c>
      <c r="L74" s="308">
        <v>3</v>
      </c>
      <c r="M74" s="308">
        <v>3</v>
      </c>
      <c r="N74" s="308">
        <v>4</v>
      </c>
      <c r="O74" s="308">
        <v>3</v>
      </c>
      <c r="P74" s="308">
        <v>4</v>
      </c>
      <c r="Q74" s="309">
        <v>2</v>
      </c>
      <c r="R74" s="341">
        <v>3</v>
      </c>
      <c r="S74" s="310"/>
      <c r="T74" s="308"/>
      <c r="U74" s="308"/>
      <c r="V74" s="308"/>
      <c r="W74" s="332" t="str">
        <f>IF(COUNTIF(tblSeverityAnalysis[[#This Row],[CCCM]:[WASH]], 1)=0, "", COUNTIF(tblSeverityAnalysis[[#This Row],[CCCM]:[WASH]], 1))</f>
        <v/>
      </c>
      <c r="X74" s="333">
        <f>IF(COUNTIF(tblSeverityAnalysis[[#This Row],[CCCM]:[WASH]], 2)=0, "", COUNTIF(tblSeverityAnalysis[[#This Row],[CCCM]:[WASH]], 2))</f>
        <v>1</v>
      </c>
      <c r="Y74" s="333">
        <f>IF(COUNTIF(tblSeverityAnalysis[[#This Row],[CCCM]:[WASH]], 3)=0, "", COUNTIF(tblSeverityAnalysis[[#This Row],[CCCM]:[WASH]], 3))</f>
        <v>4</v>
      </c>
      <c r="Z74" s="333">
        <f>IF(COUNTIF(tblSeverityAnalysis[[#This Row],[CCCM]:[WASH]], 4)=0, "", COUNTIF(tblSeverityAnalysis[[#This Row],[CCCM]:[WASH]], 4))</f>
        <v>3</v>
      </c>
      <c r="AA74" s="334" t="str">
        <f>IF(COUNTIF(tblSeverityAnalysis[[#This Row],[CCCM]:[WASH]], 5)=0, "", COUNTIF(tblSeverityAnalysis[[#This Row],[CCCM]:[WASH]], 5))</f>
        <v/>
      </c>
      <c r="AB74" s="60" cm="1">
        <f t="array" ref="AB7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4"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4" s="33">
        <f>IFERROR(IF(INDEX(tblSeverityReference[Malnutrition Severity],MATCH(tblSeverityAnalysis[[#This Row],[ID]], tblSeverityReference[ID], 0))= "", "",INDEX(tblSeverityReference[Malnutrition Severity],MATCH(tblSeverityAnalysis[[#This Row],[ID]], tblSeverityReference[ID], 0)) ), "")</f>
        <v>2</v>
      </c>
      <c r="AE74" s="347">
        <f>IFERROR(IF(INDEX(tblSeverityReference[Epidemic Severity],MATCH(tblSeverityAnalysis[[#This Row],[ID]], tblSeverityReference[ID], 0))= "", "",INDEX(tblSeverityReference[Epidemic Severity],MATCH(tblSeverityAnalysis[[#This Row],[ID]], tblSeverityReference[ID], 0)) ), "")</f>
        <v>1</v>
      </c>
      <c r="AF74" s="310" t="str">
        <f>IFERROR(IF(INDEX(tblSeverityReference[Coping Strategy Severity],MATCH(tblSeverityAnalysis[[#This Row],[ID]], tblSeverityReference[ID], 0))= "", "",INDEX(tblSeverityReference[Coping Strategy Severity],MATCH(tblSeverityAnalysis[[#This Row],[ID]], tblSeverityReference[ID], 0)) ), "")</f>
        <v/>
      </c>
      <c r="AG74" s="348">
        <f>IFERROR(IF(INDEX(tblSeverityReference[HR/IHL Violation],MATCH(tblSeverityAnalysis[[#This Row],[ID]], tblSeverityReference[ID], 0))= "", "",INDEX(tblSeverityReference[HR/IHL Violation],MATCH(tblSeverityAnalysis[[#This Row],[ID]], tblSeverityReference[ID], 0)) ), "")</f>
        <v>3</v>
      </c>
      <c r="AH74" s="82">
        <f>IFERROR(AVERAGE(tblSeverityAnalysis[[#This Row],[CCCM]:[WASH]]), "")</f>
        <v>3.25</v>
      </c>
      <c r="AI74" s="27">
        <f>IF(SUM(tblSeverityAnalysis[[#This Row],[CCCM]:[WASH]])=0, "", MAX(tblSeverityAnalysis[[#This Row],[CCCM]:[WASH]]))</f>
        <v>4</v>
      </c>
      <c r="AJ74" s="335" t="str" cm="1">
        <f t="array" ref="AJ74">IFERROR(IF(tblSeverityAnalysis[[#This Row],[Highest Severity]]="", "", _xlfn.TEXTJOIN(CHAR(10), TRUE, IF(tblSeverityAnalysis[[#This Row],[CCCM]:[WASH]]=tblSeverityAnalysis[[#This Row],[Highest Severity]], tblSeverityAnalysis[[#Headers],[CCCM]:[WASH]], ""), "")), "")</f>
        <v>CCCM
Food Security
Protection</v>
      </c>
      <c r="AK74" s="27" cm="1">
        <f t="array" ref="AK74">IFERROR(MAX(_xlfn._xlws.FILTER(tblSeverityAnalysis[[#This Row],[CCCM]:[WASH]], tblSeverityAnalysis[[#This Row],[CCCM]:[WASH]]&lt;tblSeverityAnalysis[[#This Row],[Highest Severity]])), "")</f>
        <v>3</v>
      </c>
      <c r="AL74" s="324" t="str" cm="1">
        <f t="array" ref="AL74">IFERROR(IF(tblSeverityAnalysis[[#This Row],[2nd Highest Severity]]="", "", _xlfn.TEXTJOIN(CHAR(10), TRUE, IF(tblSeverityAnalysis[[#This Row],[CCCM]:[WASH]]=tblSeverityAnalysis[[#This Row],[2nd Highest Severity]], tblSeverityAnalysis[[#Headers],[CCCM]:[WASH]], ""), "")), "")</f>
        <v>Education
Nutrition
Health
WASH</v>
      </c>
      <c r="AM74" s="132" t="str">
        <f>IFERROR(IF(AND(tblSeverityAnalysis[[#This Row],[5]] &lt;&gt; "", tblSeverityAnalysis[[#This Row],[5]]&gt;=sectors_sev_5), "Flagged", ""), "")</f>
        <v/>
      </c>
      <c r="AN74" s="133" t="str">
        <f>IFERROR(IF(AND(tblSeverityAnalysis[[#This Row],[Preliminary Intersectoral Severity based on overlap of sectoral deprivations]]=4, SUM(tblSeverityAnalysis[[#This Row],[ 4 ]:[5]])&gt;=sectors_sev_4), "Flagged", ""), "")</f>
        <v/>
      </c>
      <c r="AO74" s="133" t="str" cm="1">
        <f t="array" ref="AO7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4" s="337"/>
      <c r="AR74" s="338"/>
      <c r="AS74" s="337"/>
      <c r="AT74" s="353">
        <f>COUNTIF(tblSeverityAnalysis[[#This Row],[1 sector in severity phase 5 '[modify the threshold']]:[Manual Flag]], "Flagged")</f>
        <v>2</v>
      </c>
      <c r="AU74" s="339">
        <v>4</v>
      </c>
      <c r="AV74" s="340" t="s">
        <v>558</v>
      </c>
    </row>
    <row r="75" spans="1:48" ht="49.15" hidden="1">
      <c r="A7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Global_PopulationHT0541</v>
      </c>
      <c r="B75" s="39" t="s">
        <v>287</v>
      </c>
      <c r="C75" s="331" t="s">
        <v>288</v>
      </c>
      <c r="D75" s="331" t="s">
        <v>307</v>
      </c>
      <c r="E75" s="34" t="s">
        <v>308</v>
      </c>
      <c r="F75" s="34"/>
      <c r="G75" s="34"/>
      <c r="H75" s="357"/>
      <c r="I75" s="354">
        <v>185387</v>
      </c>
      <c r="J75" s="96" t="s">
        <v>156</v>
      </c>
      <c r="K75" s="305">
        <v>4</v>
      </c>
      <c r="L75" s="308">
        <v>3</v>
      </c>
      <c r="M75" s="308">
        <v>3</v>
      </c>
      <c r="N75" s="308">
        <v>4</v>
      </c>
      <c r="O75" s="308">
        <v>3</v>
      </c>
      <c r="P75" s="308">
        <v>3</v>
      </c>
      <c r="Q75" s="309">
        <v>2</v>
      </c>
      <c r="R75" s="341">
        <v>1</v>
      </c>
      <c r="S75" s="310"/>
      <c r="T75" s="308"/>
      <c r="U75" s="308"/>
      <c r="V75" s="308"/>
      <c r="W75" s="332">
        <f>IF(COUNTIF(tblSeverityAnalysis[[#This Row],[CCCM]:[WASH]], 1)=0, "", COUNTIF(tblSeverityAnalysis[[#This Row],[CCCM]:[WASH]], 1))</f>
        <v>1</v>
      </c>
      <c r="X75" s="333">
        <f>IF(COUNTIF(tblSeverityAnalysis[[#This Row],[CCCM]:[WASH]], 2)=0, "", COUNTIF(tblSeverityAnalysis[[#This Row],[CCCM]:[WASH]], 2))</f>
        <v>1</v>
      </c>
      <c r="Y75" s="333">
        <f>IF(COUNTIF(tblSeverityAnalysis[[#This Row],[CCCM]:[WASH]], 3)=0, "", COUNTIF(tblSeverityAnalysis[[#This Row],[CCCM]:[WASH]], 3))</f>
        <v>4</v>
      </c>
      <c r="Z75" s="333">
        <f>IF(COUNTIF(tblSeverityAnalysis[[#This Row],[CCCM]:[WASH]], 4)=0, "", COUNTIF(tblSeverityAnalysis[[#This Row],[CCCM]:[WASH]], 4))</f>
        <v>2</v>
      </c>
      <c r="AA75" s="334" t="str">
        <f>IF(COUNTIF(tblSeverityAnalysis[[#This Row],[CCCM]:[WASH]], 5)=0, "", COUNTIF(tblSeverityAnalysis[[#This Row],[CCCM]:[WASH]], 5))</f>
        <v/>
      </c>
      <c r="AB75" s="60" cm="1">
        <f t="array" ref="AB7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5"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5" s="33">
        <f>IFERROR(IF(INDEX(tblSeverityReference[Malnutrition Severity],MATCH(tblSeverityAnalysis[[#This Row],[ID]], tblSeverityReference[ID], 0))= "", "",INDEX(tblSeverityReference[Malnutrition Severity],MATCH(tblSeverityAnalysis[[#This Row],[ID]], tblSeverityReference[ID], 0)) ), "")</f>
        <v>2</v>
      </c>
      <c r="AE75" s="347">
        <f>IFERROR(IF(INDEX(tblSeverityReference[Epidemic Severity],MATCH(tblSeverityAnalysis[[#This Row],[ID]], tblSeverityReference[ID], 0))= "", "",INDEX(tblSeverityReference[Epidemic Severity],MATCH(tblSeverityAnalysis[[#This Row],[ID]], tblSeverityReference[ID], 0)) ), "")</f>
        <v>3</v>
      </c>
      <c r="AF75" s="310" t="str">
        <f>IFERROR(IF(INDEX(tblSeverityReference[Coping Strategy Severity],MATCH(tblSeverityAnalysis[[#This Row],[ID]], tblSeverityReference[ID], 0))= "", "",INDEX(tblSeverityReference[Coping Strategy Severity],MATCH(tblSeverityAnalysis[[#This Row],[ID]], tblSeverityReference[ID], 0)) ), "")</f>
        <v/>
      </c>
      <c r="AG75" s="108">
        <f>IFERROR(IF(INDEX(tblSeverityReference[HR/IHL Violation],MATCH(tblSeverityAnalysis[[#This Row],[ID]], tblSeverityReference[ID], 0))= "", "",INDEX(tblSeverityReference[HR/IHL Violation],MATCH(tblSeverityAnalysis[[#This Row],[ID]], tblSeverityReference[ID], 0)) ), "")</f>
        <v>3</v>
      </c>
      <c r="AH75" s="82">
        <f>IFERROR(AVERAGE(tblSeverityAnalysis[[#This Row],[CCCM]:[WASH]]), "")</f>
        <v>2.875</v>
      </c>
      <c r="AI75" s="27">
        <f>IF(SUM(tblSeverityAnalysis[[#This Row],[CCCM]:[WASH]])=0, "", MAX(tblSeverityAnalysis[[#This Row],[CCCM]:[WASH]]))</f>
        <v>4</v>
      </c>
      <c r="AJ75" s="335" t="str" cm="1">
        <f t="array" ref="AJ75">IFERROR(IF(tblSeverityAnalysis[[#This Row],[Highest Severity]]="", "", _xlfn.TEXTJOIN(CHAR(10), TRUE, IF(tblSeverityAnalysis[[#This Row],[CCCM]:[WASH]]=tblSeverityAnalysis[[#This Row],[Highest Severity]], tblSeverityAnalysis[[#Headers],[CCCM]:[WASH]], ""), "")), "")</f>
        <v>CCCM
Food Security</v>
      </c>
      <c r="AK75" s="27" cm="1">
        <f t="array" ref="AK75">IFERROR(MAX(_xlfn._xlws.FILTER(tblSeverityAnalysis[[#This Row],[CCCM]:[WASH]], tblSeverityAnalysis[[#This Row],[CCCM]:[WASH]]&lt;tblSeverityAnalysis[[#This Row],[Highest Severity]])), "")</f>
        <v>3</v>
      </c>
      <c r="AL75" s="324" t="str" cm="1">
        <f t="array" ref="AL75">IFERROR(IF(tblSeverityAnalysis[[#This Row],[2nd Highest Severity]]="", "", _xlfn.TEXTJOIN(CHAR(10), TRUE, IF(tblSeverityAnalysis[[#This Row],[CCCM]:[WASH]]=tblSeverityAnalysis[[#This Row],[2nd Highest Severity]], tblSeverityAnalysis[[#Headers],[CCCM]:[WASH]], ""), "")), "")</f>
        <v>Education
Nutrition
Health
Protection</v>
      </c>
      <c r="AM75" s="132" t="str">
        <f>IFERROR(IF(AND(tblSeverityAnalysis[[#This Row],[5]] &lt;&gt; "", tblSeverityAnalysis[[#This Row],[5]]&gt;=sectors_sev_5), "Flagged", ""), "")</f>
        <v/>
      </c>
      <c r="AN75" s="133" t="str">
        <f>IFERROR(IF(AND(tblSeverityAnalysis[[#This Row],[Preliminary Intersectoral Severity based on overlap of sectoral deprivations]]=4, SUM(tblSeverityAnalysis[[#This Row],[ 4 ]:[5]])&gt;=sectors_sev_4), "Flagged", ""), "")</f>
        <v/>
      </c>
      <c r="AO75" s="133" t="str" cm="1">
        <f t="array" ref="AO7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5" s="337"/>
      <c r="AR75" s="338"/>
      <c r="AS75" s="337"/>
      <c r="AT75" s="353">
        <f>COUNTIF(tblSeverityAnalysis[[#This Row],[1 sector in severity phase 5 '[modify the threshold']]:[Manual Flag]], "Flagged")</f>
        <v>1</v>
      </c>
      <c r="AU75" s="339">
        <f>tblSeverityAnalysis[[#This Row],[Preliminary Intersectoral Severity based on overlap of sectoral deprivations]]</f>
        <v>3</v>
      </c>
      <c r="AV75" s="340"/>
    </row>
    <row r="76" spans="1:48" ht="24.6" hidden="1">
      <c r="A7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Global_PopulationHT0542</v>
      </c>
      <c r="B76" s="39" t="s">
        <v>287</v>
      </c>
      <c r="C76" s="331" t="s">
        <v>288</v>
      </c>
      <c r="D76" s="331" t="s">
        <v>309</v>
      </c>
      <c r="E76" s="34" t="s">
        <v>310</v>
      </c>
      <c r="F76" s="34"/>
      <c r="G76" s="34"/>
      <c r="H76" s="358"/>
      <c r="I76" s="354">
        <v>165494</v>
      </c>
      <c r="J76" s="96" t="s">
        <v>156</v>
      </c>
      <c r="K76" s="305">
        <v>3</v>
      </c>
      <c r="L76" s="308">
        <v>3</v>
      </c>
      <c r="M76" s="308">
        <v>3</v>
      </c>
      <c r="N76" s="308">
        <v>4</v>
      </c>
      <c r="O76" s="308">
        <v>3</v>
      </c>
      <c r="P76" s="308">
        <v>5</v>
      </c>
      <c r="Q76" s="309">
        <v>3</v>
      </c>
      <c r="R76" s="341">
        <v>5</v>
      </c>
      <c r="S76" s="310"/>
      <c r="T76" s="308"/>
      <c r="U76" s="308"/>
      <c r="V76" s="308"/>
      <c r="W76" s="332" t="str">
        <f>IF(COUNTIF(tblSeverityAnalysis[[#This Row],[CCCM]:[WASH]], 1)=0, "", COUNTIF(tblSeverityAnalysis[[#This Row],[CCCM]:[WASH]], 1))</f>
        <v/>
      </c>
      <c r="X76" s="333" t="str">
        <f>IF(COUNTIF(tblSeverityAnalysis[[#This Row],[CCCM]:[WASH]], 2)=0, "", COUNTIF(tblSeverityAnalysis[[#This Row],[CCCM]:[WASH]], 2))</f>
        <v/>
      </c>
      <c r="Y76" s="333">
        <f>IF(COUNTIF(tblSeverityAnalysis[[#This Row],[CCCM]:[WASH]], 3)=0, "", COUNTIF(tblSeverityAnalysis[[#This Row],[CCCM]:[WASH]], 3))</f>
        <v>5</v>
      </c>
      <c r="Z76" s="333">
        <f>IF(COUNTIF(tblSeverityAnalysis[[#This Row],[CCCM]:[WASH]], 4)=0, "", COUNTIF(tblSeverityAnalysis[[#This Row],[CCCM]:[WASH]], 4))</f>
        <v>1</v>
      </c>
      <c r="AA76" s="334">
        <f>IF(COUNTIF(tblSeverityAnalysis[[#This Row],[CCCM]:[WASH]], 5)=0, "", COUNTIF(tblSeverityAnalysis[[#This Row],[CCCM]:[WASH]], 5))</f>
        <v>2</v>
      </c>
      <c r="AB76" s="60" cm="1">
        <f t="array" ref="AB7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6"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6" s="33">
        <f>IFERROR(IF(INDEX(tblSeverityReference[Malnutrition Severity],MATCH(tblSeverityAnalysis[[#This Row],[ID]], tblSeverityReference[ID], 0))= "", "",INDEX(tblSeverityReference[Malnutrition Severity],MATCH(tblSeverityAnalysis[[#This Row],[ID]], tblSeverityReference[ID], 0)) ), "")</f>
        <v>2</v>
      </c>
      <c r="AE76" s="347">
        <f>IFERROR(IF(INDEX(tblSeverityReference[Epidemic Severity],MATCH(tblSeverityAnalysis[[#This Row],[ID]], tblSeverityReference[ID], 0))= "", "",INDEX(tblSeverityReference[Epidemic Severity],MATCH(tblSeverityAnalysis[[#This Row],[ID]], tblSeverityReference[ID], 0)) ), "")</f>
        <v>3</v>
      </c>
      <c r="AF76" s="310" t="str">
        <f>IFERROR(IF(INDEX(tblSeverityReference[Coping Strategy Severity],MATCH(tblSeverityAnalysis[[#This Row],[ID]], tblSeverityReference[ID], 0))= "", "",INDEX(tblSeverityReference[Coping Strategy Severity],MATCH(tblSeverityAnalysis[[#This Row],[ID]], tblSeverityReference[ID], 0)) ), "")</f>
        <v/>
      </c>
      <c r="AG76" s="348">
        <f>IFERROR(IF(INDEX(tblSeverityReference[HR/IHL Violation],MATCH(tblSeverityAnalysis[[#This Row],[ID]], tblSeverityReference[ID], 0))= "", "",INDEX(tblSeverityReference[HR/IHL Violation],MATCH(tblSeverityAnalysis[[#This Row],[ID]], tblSeverityReference[ID], 0)) ), "")</f>
        <v>4</v>
      </c>
      <c r="AH76" s="82">
        <f>IFERROR(AVERAGE(tblSeverityAnalysis[[#This Row],[CCCM]:[WASH]]), "")</f>
        <v>3.625</v>
      </c>
      <c r="AI76" s="27">
        <f>IF(SUM(tblSeverityAnalysis[[#This Row],[CCCM]:[WASH]])=0, "", MAX(tblSeverityAnalysis[[#This Row],[CCCM]:[WASH]]))</f>
        <v>5</v>
      </c>
      <c r="AJ76" s="335" t="str" cm="1">
        <f t="array" ref="AJ76">IFERROR(IF(tblSeverityAnalysis[[#This Row],[Highest Severity]]="", "", _xlfn.TEXTJOIN(CHAR(10), TRUE, IF(tblSeverityAnalysis[[#This Row],[CCCM]:[WASH]]=tblSeverityAnalysis[[#This Row],[Highest Severity]], tblSeverityAnalysis[[#Headers],[CCCM]:[WASH]], ""), "")), "")</f>
        <v>Protection
WASH</v>
      </c>
      <c r="AK76" s="27" cm="1">
        <f t="array" ref="AK76">IFERROR(MAX(_xlfn._xlws.FILTER(tblSeverityAnalysis[[#This Row],[CCCM]:[WASH]], tblSeverityAnalysis[[#This Row],[CCCM]:[WASH]]&lt;tblSeverityAnalysis[[#This Row],[Highest Severity]])), "")</f>
        <v>4</v>
      </c>
      <c r="AL76" s="324" t="str" cm="1">
        <f t="array" ref="AL76">IFERROR(IF(tblSeverityAnalysis[[#This Row],[2nd Highest Severity]]="", "", _xlfn.TEXTJOIN(CHAR(10), TRUE, IF(tblSeverityAnalysis[[#This Row],[CCCM]:[WASH]]=tblSeverityAnalysis[[#This Row],[2nd Highest Severity]], tblSeverityAnalysis[[#Headers],[CCCM]:[WASH]], ""), "")), "")</f>
        <v>Food Security</v>
      </c>
      <c r="AM76" s="132" t="str">
        <f>IFERROR(IF(AND(tblSeverityAnalysis[[#This Row],[5]] &lt;&gt; "", tblSeverityAnalysis[[#This Row],[5]]&gt;=sectors_sev_5), "Flagged", ""), "")</f>
        <v>Flagged</v>
      </c>
      <c r="AN76" s="133" t="str">
        <f>IFERROR(IF(AND(tblSeverityAnalysis[[#This Row],[Preliminary Intersectoral Severity based on overlap of sectoral deprivations]]=4, SUM(tblSeverityAnalysis[[#This Row],[ 4 ]:[5]])&gt;=sectors_sev_4), "Flagged", ""), "")</f>
        <v/>
      </c>
      <c r="AO76" s="133" t="str" cm="1">
        <f t="array" ref="AO7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6" s="337"/>
      <c r="AR76" s="338"/>
      <c r="AS76" s="337"/>
      <c r="AT76" s="353">
        <f>COUNTIF(tblSeverityAnalysis[[#This Row],[1 sector in severity phase 5 '[modify the threshold']]:[Manual Flag]], "Flagged")</f>
        <v>3</v>
      </c>
      <c r="AU76" s="339">
        <v>4</v>
      </c>
      <c r="AV76" s="340" t="s">
        <v>559</v>
      </c>
    </row>
    <row r="77" spans="1:48" ht="36.950000000000003" hidden="1">
      <c r="A7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Global_PopulationHT0543</v>
      </c>
      <c r="B77" s="39" t="s">
        <v>287</v>
      </c>
      <c r="C77" s="331" t="s">
        <v>288</v>
      </c>
      <c r="D77" s="331" t="s">
        <v>311</v>
      </c>
      <c r="E77" s="34" t="s">
        <v>312</v>
      </c>
      <c r="F77" s="34"/>
      <c r="G77" s="34"/>
      <c r="H77" s="357"/>
      <c r="I77" s="354">
        <v>23598</v>
      </c>
      <c r="J77" s="96" t="s">
        <v>156</v>
      </c>
      <c r="K77" s="372">
        <v>1</v>
      </c>
      <c r="L77" s="308">
        <v>3</v>
      </c>
      <c r="M77" s="308">
        <v>3</v>
      </c>
      <c r="N77" s="308">
        <v>4</v>
      </c>
      <c r="O77" s="308">
        <v>3</v>
      </c>
      <c r="P77" s="308">
        <v>2</v>
      </c>
      <c r="Q77" s="309">
        <v>2</v>
      </c>
      <c r="R77" s="341">
        <v>2</v>
      </c>
      <c r="S77" s="310"/>
      <c r="T77" s="308"/>
      <c r="U77" s="308"/>
      <c r="V77" s="308"/>
      <c r="W77" s="332">
        <f>IF(COUNTIF(tblSeverityAnalysis[[#This Row],[CCCM]:[WASH]], 1)=0, "", COUNTIF(tblSeverityAnalysis[[#This Row],[CCCM]:[WASH]], 1))</f>
        <v>1</v>
      </c>
      <c r="X77" s="333">
        <f>IF(COUNTIF(tblSeverityAnalysis[[#This Row],[CCCM]:[WASH]], 2)=0, "", COUNTIF(tblSeverityAnalysis[[#This Row],[CCCM]:[WASH]], 2))</f>
        <v>3</v>
      </c>
      <c r="Y77" s="333">
        <f>IF(COUNTIF(tblSeverityAnalysis[[#This Row],[CCCM]:[WASH]], 3)=0, "", COUNTIF(tblSeverityAnalysis[[#This Row],[CCCM]:[WASH]], 3))</f>
        <v>3</v>
      </c>
      <c r="Z77" s="333">
        <f>IF(COUNTIF(tblSeverityAnalysis[[#This Row],[CCCM]:[WASH]], 4)=0, "", COUNTIF(tblSeverityAnalysis[[#This Row],[CCCM]:[WASH]], 4))</f>
        <v>1</v>
      </c>
      <c r="AA77" s="334" t="str">
        <f>IF(COUNTIF(tblSeverityAnalysis[[#This Row],[CCCM]:[WASH]], 5)=0, "", COUNTIF(tblSeverityAnalysis[[#This Row],[CCCM]:[WASH]], 5))</f>
        <v/>
      </c>
      <c r="AB77" s="60" cm="1">
        <f t="array" ref="AB7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7"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7" s="33">
        <f>IFERROR(IF(INDEX(tblSeverityReference[Malnutrition Severity],MATCH(tblSeverityAnalysis[[#This Row],[ID]], tblSeverityReference[ID], 0))= "", "",INDEX(tblSeverityReference[Malnutrition Severity],MATCH(tblSeverityAnalysis[[#This Row],[ID]], tblSeverityReference[ID], 0)) ), "")</f>
        <v>2</v>
      </c>
      <c r="AE77" s="347">
        <f>IFERROR(IF(INDEX(tblSeverityReference[Epidemic Severity],MATCH(tblSeverityAnalysis[[#This Row],[ID]], tblSeverityReference[ID], 0))= "", "",INDEX(tblSeverityReference[Epidemic Severity],MATCH(tblSeverityAnalysis[[#This Row],[ID]], tblSeverityReference[ID], 0)) ), "")</f>
        <v>1</v>
      </c>
      <c r="AF77" s="310" t="str">
        <f>IFERROR(IF(INDEX(tblSeverityReference[Coping Strategy Severity],MATCH(tblSeverityAnalysis[[#This Row],[ID]], tblSeverityReference[ID], 0))= "", "",INDEX(tblSeverityReference[Coping Strategy Severity],MATCH(tblSeverityAnalysis[[#This Row],[ID]], tblSeverityReference[ID], 0)) ), "")</f>
        <v/>
      </c>
      <c r="AG77" s="108">
        <f>IFERROR(IF(INDEX(tblSeverityReference[HR/IHL Violation],MATCH(tblSeverityAnalysis[[#This Row],[ID]], tblSeverityReference[ID], 0))= "", "",INDEX(tblSeverityReference[HR/IHL Violation],MATCH(tblSeverityAnalysis[[#This Row],[ID]], tblSeverityReference[ID], 0)) ), "")</f>
        <v>3</v>
      </c>
      <c r="AH77" s="82">
        <f>IFERROR(AVERAGE(tblSeverityAnalysis[[#This Row],[CCCM]:[WASH]]), "")</f>
        <v>2.5</v>
      </c>
      <c r="AI77" s="27">
        <f>IF(SUM(tblSeverityAnalysis[[#This Row],[CCCM]:[WASH]])=0, "", MAX(tblSeverityAnalysis[[#This Row],[CCCM]:[WASH]]))</f>
        <v>4</v>
      </c>
      <c r="AJ77" s="335" t="str" cm="1">
        <f t="array" ref="AJ77">IFERROR(IF(tblSeverityAnalysis[[#This Row],[Highest Severity]]="", "", _xlfn.TEXTJOIN(CHAR(10), TRUE, IF(tblSeverityAnalysis[[#This Row],[CCCM]:[WASH]]=tblSeverityAnalysis[[#This Row],[Highest Severity]], tblSeverityAnalysis[[#Headers],[CCCM]:[WASH]], ""), "")), "")</f>
        <v>Food Security</v>
      </c>
      <c r="AK77" s="27" cm="1">
        <f t="array" ref="AK77">IFERROR(MAX(_xlfn._xlws.FILTER(tblSeverityAnalysis[[#This Row],[CCCM]:[WASH]], tblSeverityAnalysis[[#This Row],[CCCM]:[WASH]]&lt;tblSeverityAnalysis[[#This Row],[Highest Severity]])), "")</f>
        <v>3</v>
      </c>
      <c r="AL77" s="324" t="str" cm="1">
        <f t="array" ref="AL77">IFERROR(IF(tblSeverityAnalysis[[#This Row],[2nd Highest Severity]]="", "", _xlfn.TEXTJOIN(CHAR(10), TRUE, IF(tblSeverityAnalysis[[#This Row],[CCCM]:[WASH]]=tblSeverityAnalysis[[#This Row],[2nd Highest Severity]], tblSeverityAnalysis[[#Headers],[CCCM]:[WASH]], ""), "")), "")</f>
        <v>Education
Nutrition
Health</v>
      </c>
      <c r="AM77" s="132" t="str">
        <f>IFERROR(IF(AND(tblSeverityAnalysis[[#This Row],[5]] &lt;&gt; "", tblSeverityAnalysis[[#This Row],[5]]&gt;=sectors_sev_5), "Flagged", ""), "")</f>
        <v/>
      </c>
      <c r="AN77" s="133" t="str">
        <f>IFERROR(IF(AND(tblSeverityAnalysis[[#This Row],[Preliminary Intersectoral Severity based on overlap of sectoral deprivations]]=4, SUM(tblSeverityAnalysis[[#This Row],[ 4 ]:[5]])&gt;=sectors_sev_4), "Flagged", ""), "")</f>
        <v/>
      </c>
      <c r="AO77" s="133" t="str" cm="1">
        <f t="array" ref="AO7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7" s="337"/>
      <c r="AR77" s="338"/>
      <c r="AS77" s="337"/>
      <c r="AT77" s="353">
        <f>COUNTIF(tblSeverityAnalysis[[#This Row],[1 sector in severity phase 5 '[modify the threshold']]:[Manual Flag]], "Flagged")</f>
        <v>2</v>
      </c>
      <c r="AU77" s="339">
        <f>tblSeverityAnalysis[[#This Row],[Preliminary Intersectoral Severity based on overlap of sectoral deprivations]]</f>
        <v>3</v>
      </c>
      <c r="AV77" s="340"/>
    </row>
    <row r="78" spans="1:48" ht="36.950000000000003" hidden="1">
      <c r="A7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Global_PopulationHT0544</v>
      </c>
      <c r="B78" s="39" t="s">
        <v>287</v>
      </c>
      <c r="C78" s="331" t="s">
        <v>288</v>
      </c>
      <c r="D78" s="331" t="s">
        <v>313</v>
      </c>
      <c r="E78" s="34" t="s">
        <v>314</v>
      </c>
      <c r="F78" s="34"/>
      <c r="G78" s="34"/>
      <c r="H78" s="358"/>
      <c r="I78" s="354">
        <v>37602</v>
      </c>
      <c r="J78" s="96" t="s">
        <v>156</v>
      </c>
      <c r="K78" s="372">
        <v>1</v>
      </c>
      <c r="L78" s="308">
        <v>3</v>
      </c>
      <c r="M78" s="308">
        <v>3</v>
      </c>
      <c r="N78" s="308">
        <v>4</v>
      </c>
      <c r="O78" s="308">
        <v>3</v>
      </c>
      <c r="P78" s="308">
        <v>2</v>
      </c>
      <c r="Q78" s="309">
        <v>2</v>
      </c>
      <c r="R78" s="341">
        <v>4</v>
      </c>
      <c r="S78" s="310"/>
      <c r="T78" s="308"/>
      <c r="U78" s="308"/>
      <c r="V78" s="308"/>
      <c r="W78" s="332">
        <f>IF(COUNTIF(tblSeverityAnalysis[[#This Row],[CCCM]:[WASH]], 1)=0, "", COUNTIF(tblSeverityAnalysis[[#This Row],[CCCM]:[WASH]], 1))</f>
        <v>1</v>
      </c>
      <c r="X78" s="333">
        <f>IF(COUNTIF(tblSeverityAnalysis[[#This Row],[CCCM]:[WASH]], 2)=0, "", COUNTIF(tblSeverityAnalysis[[#This Row],[CCCM]:[WASH]], 2))</f>
        <v>2</v>
      </c>
      <c r="Y78" s="333">
        <f>IF(COUNTIF(tblSeverityAnalysis[[#This Row],[CCCM]:[WASH]], 3)=0, "", COUNTIF(tblSeverityAnalysis[[#This Row],[CCCM]:[WASH]], 3))</f>
        <v>3</v>
      </c>
      <c r="Z78" s="333">
        <f>IF(COUNTIF(tblSeverityAnalysis[[#This Row],[CCCM]:[WASH]], 4)=0, "", COUNTIF(tblSeverityAnalysis[[#This Row],[CCCM]:[WASH]], 4))</f>
        <v>2</v>
      </c>
      <c r="AA78" s="334" t="str">
        <f>IF(COUNTIF(tblSeverityAnalysis[[#This Row],[CCCM]:[WASH]], 5)=0, "", COUNTIF(tblSeverityAnalysis[[#This Row],[CCCM]:[WASH]], 5))</f>
        <v/>
      </c>
      <c r="AB78" s="60" cm="1">
        <f t="array" ref="AB7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8"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78" s="33">
        <f>IFERROR(IF(INDEX(tblSeverityReference[Malnutrition Severity],MATCH(tblSeverityAnalysis[[#This Row],[ID]], tblSeverityReference[ID], 0))= "", "",INDEX(tblSeverityReference[Malnutrition Severity],MATCH(tblSeverityAnalysis[[#This Row],[ID]], tblSeverityReference[ID], 0)) ), "")</f>
        <v>2</v>
      </c>
      <c r="AE78" s="347">
        <f>IFERROR(IF(INDEX(tblSeverityReference[Epidemic Severity],MATCH(tblSeverityAnalysis[[#This Row],[ID]], tblSeverityReference[ID], 0))= "", "",INDEX(tblSeverityReference[Epidemic Severity],MATCH(tblSeverityAnalysis[[#This Row],[ID]], tblSeverityReference[ID], 0)) ), "")</f>
        <v>3</v>
      </c>
      <c r="AF78" s="310" t="str">
        <f>IFERROR(IF(INDEX(tblSeverityReference[Coping Strategy Severity],MATCH(tblSeverityAnalysis[[#This Row],[ID]], tblSeverityReference[ID], 0))= "", "",INDEX(tblSeverityReference[Coping Strategy Severity],MATCH(tblSeverityAnalysis[[#This Row],[ID]], tblSeverityReference[ID], 0)) ), "")</f>
        <v/>
      </c>
      <c r="AG78" s="348">
        <f>IFERROR(IF(INDEX(tblSeverityReference[HR/IHL Violation],MATCH(tblSeverityAnalysis[[#This Row],[ID]], tblSeverityReference[ID], 0))= "", "",INDEX(tblSeverityReference[HR/IHL Violation],MATCH(tblSeverityAnalysis[[#This Row],[ID]], tblSeverityReference[ID], 0)) ), "")</f>
        <v>3</v>
      </c>
      <c r="AH78" s="82">
        <f>IFERROR(AVERAGE(tblSeverityAnalysis[[#This Row],[CCCM]:[WASH]]), "")</f>
        <v>2.75</v>
      </c>
      <c r="AI78" s="27">
        <f>IF(SUM(tblSeverityAnalysis[[#This Row],[CCCM]:[WASH]])=0, "", MAX(tblSeverityAnalysis[[#This Row],[CCCM]:[WASH]]))</f>
        <v>4</v>
      </c>
      <c r="AJ78" s="335" t="str" cm="1">
        <f t="array" ref="AJ78">IFERROR(IF(tblSeverityAnalysis[[#This Row],[Highest Severity]]="", "", _xlfn.TEXTJOIN(CHAR(10), TRUE, IF(tblSeverityAnalysis[[#This Row],[CCCM]:[WASH]]=tblSeverityAnalysis[[#This Row],[Highest Severity]], tblSeverityAnalysis[[#Headers],[CCCM]:[WASH]], ""), "")), "")</f>
        <v>Food Security
WASH</v>
      </c>
      <c r="AK78" s="27" cm="1">
        <f t="array" ref="AK78">IFERROR(MAX(_xlfn._xlws.FILTER(tblSeverityAnalysis[[#This Row],[CCCM]:[WASH]], tblSeverityAnalysis[[#This Row],[CCCM]:[WASH]]&lt;tblSeverityAnalysis[[#This Row],[Highest Severity]])), "")</f>
        <v>3</v>
      </c>
      <c r="AL78" s="324" t="str" cm="1">
        <f t="array" ref="AL78">IFERROR(IF(tblSeverityAnalysis[[#This Row],[2nd Highest Severity]]="", "", _xlfn.TEXTJOIN(CHAR(10), TRUE, IF(tblSeverityAnalysis[[#This Row],[CCCM]:[WASH]]=tblSeverityAnalysis[[#This Row],[2nd Highest Severity]], tblSeverityAnalysis[[#Headers],[CCCM]:[WASH]], ""), "")), "")</f>
        <v>Education
Nutrition
Health</v>
      </c>
      <c r="AM78" s="132" t="str">
        <f>IFERROR(IF(AND(tblSeverityAnalysis[[#This Row],[5]] &lt;&gt; "", tblSeverityAnalysis[[#This Row],[5]]&gt;=sectors_sev_5), "Flagged", ""), "")</f>
        <v/>
      </c>
      <c r="AN78" s="133" t="str">
        <f>IFERROR(IF(AND(tblSeverityAnalysis[[#This Row],[Preliminary Intersectoral Severity based on overlap of sectoral deprivations]]=4, SUM(tblSeverityAnalysis[[#This Row],[ 4 ]:[5]])&gt;=sectors_sev_4), "Flagged", ""), "")</f>
        <v/>
      </c>
      <c r="AO78" s="133" t="str" cm="1">
        <f t="array" ref="AO7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7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78" s="337"/>
      <c r="AR78" s="338"/>
      <c r="AS78" s="337"/>
      <c r="AT78" s="353">
        <f>COUNTIF(tblSeverityAnalysis[[#This Row],[1 sector in severity phase 5 '[modify the threshold']]:[Manual Flag]], "Flagged")</f>
        <v>0</v>
      </c>
      <c r="AU78" s="339">
        <f>tblSeverityAnalysis[[#This Row],[Preliminary Intersectoral Severity based on overlap of sectoral deprivations]]</f>
        <v>3</v>
      </c>
      <c r="AV78" s="340"/>
    </row>
    <row r="79" spans="1:48" ht="49.15" hidden="1">
      <c r="A7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Global_PopulationHT0551</v>
      </c>
      <c r="B79" s="39" t="s">
        <v>287</v>
      </c>
      <c r="C79" s="331" t="s">
        <v>288</v>
      </c>
      <c r="D79" s="331" t="s">
        <v>315</v>
      </c>
      <c r="E79" s="34" t="s">
        <v>316</v>
      </c>
      <c r="F79" s="34"/>
      <c r="G79" s="34"/>
      <c r="H79" s="357"/>
      <c r="I79" s="354">
        <v>154615</v>
      </c>
      <c r="J79" s="96" t="s">
        <v>156</v>
      </c>
      <c r="K79" s="372">
        <v>3</v>
      </c>
      <c r="L79" s="308">
        <v>3</v>
      </c>
      <c r="M79" s="308">
        <v>3</v>
      </c>
      <c r="N79" s="308">
        <v>4</v>
      </c>
      <c r="O79" s="308">
        <v>3</v>
      </c>
      <c r="P79" s="308">
        <v>2</v>
      </c>
      <c r="Q79" s="309">
        <v>4</v>
      </c>
      <c r="R79" s="341">
        <v>2</v>
      </c>
      <c r="S79" s="310"/>
      <c r="T79" s="308"/>
      <c r="U79" s="308"/>
      <c r="V79" s="308"/>
      <c r="W79" s="332" t="str">
        <f>IF(COUNTIF(tblSeverityAnalysis[[#This Row],[CCCM]:[WASH]], 1)=0, "", COUNTIF(tblSeverityAnalysis[[#This Row],[CCCM]:[WASH]], 1))</f>
        <v/>
      </c>
      <c r="X79" s="333">
        <f>IF(COUNTIF(tblSeverityAnalysis[[#This Row],[CCCM]:[WASH]], 2)=0, "", COUNTIF(tblSeverityAnalysis[[#This Row],[CCCM]:[WASH]], 2))</f>
        <v>2</v>
      </c>
      <c r="Y79" s="333">
        <f>IF(COUNTIF(tblSeverityAnalysis[[#This Row],[CCCM]:[WASH]], 3)=0, "", COUNTIF(tblSeverityAnalysis[[#This Row],[CCCM]:[WASH]], 3))</f>
        <v>4</v>
      </c>
      <c r="Z79" s="333">
        <f>IF(COUNTIF(tblSeverityAnalysis[[#This Row],[CCCM]:[WASH]], 4)=0, "", COUNTIF(tblSeverityAnalysis[[#This Row],[CCCM]:[WASH]], 4))</f>
        <v>2</v>
      </c>
      <c r="AA79" s="334" t="str">
        <f>IF(COUNTIF(tblSeverityAnalysis[[#This Row],[CCCM]:[WASH]], 5)=0, "", COUNTIF(tblSeverityAnalysis[[#This Row],[CCCM]:[WASH]], 5))</f>
        <v/>
      </c>
      <c r="AB79" s="60" cm="1">
        <f t="array" ref="AB7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79"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79" s="33">
        <f>IFERROR(IF(INDEX(tblSeverityReference[Malnutrition Severity],MATCH(tblSeverityAnalysis[[#This Row],[ID]], tblSeverityReference[ID], 0))= "", "",INDEX(tblSeverityReference[Malnutrition Severity],MATCH(tblSeverityAnalysis[[#This Row],[ID]], tblSeverityReference[ID], 0)) ), "")</f>
        <v>2</v>
      </c>
      <c r="AE79" s="347">
        <f>IFERROR(IF(INDEX(tblSeverityReference[Epidemic Severity],MATCH(tblSeverityAnalysis[[#This Row],[ID]], tblSeverityReference[ID], 0))= "", "",INDEX(tblSeverityReference[Epidemic Severity],MATCH(tblSeverityAnalysis[[#This Row],[ID]], tblSeverityReference[ID], 0)) ), "")</f>
        <v>4</v>
      </c>
      <c r="AF79" s="310" t="str">
        <f>IFERROR(IF(INDEX(tblSeverityReference[Coping Strategy Severity],MATCH(tblSeverityAnalysis[[#This Row],[ID]], tblSeverityReference[ID], 0))= "", "",INDEX(tblSeverityReference[Coping Strategy Severity],MATCH(tblSeverityAnalysis[[#This Row],[ID]], tblSeverityReference[ID], 0)) ), "")</f>
        <v/>
      </c>
      <c r="AG79" s="108">
        <f>IFERROR(IF(INDEX(tblSeverityReference[HR/IHL Violation],MATCH(tblSeverityAnalysis[[#This Row],[ID]], tblSeverityReference[ID], 0))= "", "",INDEX(tblSeverityReference[HR/IHL Violation],MATCH(tblSeverityAnalysis[[#This Row],[ID]], tblSeverityReference[ID], 0)) ), "")</f>
        <v>3</v>
      </c>
      <c r="AH79" s="82">
        <f>IFERROR(AVERAGE(tblSeverityAnalysis[[#This Row],[CCCM]:[WASH]]), "")</f>
        <v>3</v>
      </c>
      <c r="AI79" s="27">
        <f>IF(SUM(tblSeverityAnalysis[[#This Row],[CCCM]:[WASH]])=0, "", MAX(tblSeverityAnalysis[[#This Row],[CCCM]:[WASH]]))</f>
        <v>4</v>
      </c>
      <c r="AJ79" s="335" t="str" cm="1">
        <f t="array" ref="AJ79">IFERROR(IF(tblSeverityAnalysis[[#This Row],[Highest Severity]]="", "", _xlfn.TEXTJOIN(CHAR(10), TRUE, IF(tblSeverityAnalysis[[#This Row],[CCCM]:[WASH]]=tblSeverityAnalysis[[#This Row],[Highest Severity]], tblSeverityAnalysis[[#Headers],[CCCM]:[WASH]], ""), "")), "")</f>
        <v>Food Security
Shelter</v>
      </c>
      <c r="AK79" s="27" cm="1">
        <f t="array" ref="AK79">IFERROR(MAX(_xlfn._xlws.FILTER(tblSeverityAnalysis[[#This Row],[CCCM]:[WASH]], tblSeverityAnalysis[[#This Row],[CCCM]:[WASH]]&lt;tblSeverityAnalysis[[#This Row],[Highest Severity]])), "")</f>
        <v>3</v>
      </c>
      <c r="AL79" s="324" t="str" cm="1">
        <f t="array" ref="AL79">IFERROR(IF(tblSeverityAnalysis[[#This Row],[2nd Highest Severity]]="", "", _xlfn.TEXTJOIN(CHAR(10), TRUE, IF(tblSeverityAnalysis[[#This Row],[CCCM]:[WASH]]=tblSeverityAnalysis[[#This Row],[2nd Highest Severity]], tblSeverityAnalysis[[#Headers],[CCCM]:[WASH]], ""), "")), "")</f>
        <v>CCCM
Education
Nutrition
Health</v>
      </c>
      <c r="AM79" s="132" t="str">
        <f>IFERROR(IF(AND(tblSeverityAnalysis[[#This Row],[5]] &lt;&gt; "", tblSeverityAnalysis[[#This Row],[5]]&gt;=sectors_sev_5), "Flagged", ""), "")</f>
        <v/>
      </c>
      <c r="AN79" s="133" t="str">
        <f>IFERROR(IF(AND(tblSeverityAnalysis[[#This Row],[Preliminary Intersectoral Severity based on overlap of sectoral deprivations]]=4, SUM(tblSeverityAnalysis[[#This Row],[ 4 ]:[5]])&gt;=sectors_sev_4), "Flagged", ""), "")</f>
        <v/>
      </c>
      <c r="AO79" s="133" t="str" cm="1">
        <f t="array" ref="AO7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7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79" s="337"/>
      <c r="AR79" s="338"/>
      <c r="AS79" s="337"/>
      <c r="AT79" s="353">
        <f>COUNTIF(tblSeverityAnalysis[[#This Row],[1 sector in severity phase 5 '[modify the threshold']]:[Manual Flag]], "Flagged")</f>
        <v>2</v>
      </c>
      <c r="AU79" s="339">
        <f>tblSeverityAnalysis[[#This Row],[Preliminary Intersectoral Severity based on overlap of sectoral deprivations]]</f>
        <v>3</v>
      </c>
      <c r="AV79" s="340"/>
    </row>
    <row r="80" spans="1:48" ht="49.15" hidden="1">
      <c r="A8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Global_PopulationHT0552</v>
      </c>
      <c r="B80" s="39" t="s">
        <v>287</v>
      </c>
      <c r="C80" s="331" t="s">
        <v>288</v>
      </c>
      <c r="D80" s="331" t="s">
        <v>317</v>
      </c>
      <c r="E80" s="34" t="s">
        <v>318</v>
      </c>
      <c r="F80" s="34"/>
      <c r="G80" s="34"/>
      <c r="H80" s="358"/>
      <c r="I80" s="354">
        <v>39659</v>
      </c>
      <c r="J80" s="96" t="s">
        <v>156</v>
      </c>
      <c r="K80" s="372">
        <v>2</v>
      </c>
      <c r="L80" s="308">
        <v>3</v>
      </c>
      <c r="M80" s="308">
        <v>3</v>
      </c>
      <c r="N80" s="308">
        <v>4</v>
      </c>
      <c r="O80" s="308">
        <v>3</v>
      </c>
      <c r="P80" s="308">
        <v>2</v>
      </c>
      <c r="Q80" s="309">
        <v>3</v>
      </c>
      <c r="R80" s="341">
        <v>2</v>
      </c>
      <c r="S80" s="310"/>
      <c r="T80" s="308"/>
      <c r="U80" s="308"/>
      <c r="V80" s="308"/>
      <c r="W80" s="332" t="str">
        <f>IF(COUNTIF(tblSeverityAnalysis[[#This Row],[CCCM]:[WASH]], 1)=0, "", COUNTIF(tblSeverityAnalysis[[#This Row],[CCCM]:[WASH]], 1))</f>
        <v/>
      </c>
      <c r="X80" s="333">
        <f>IF(COUNTIF(tblSeverityAnalysis[[#This Row],[CCCM]:[WASH]], 2)=0, "", COUNTIF(tblSeverityAnalysis[[#This Row],[CCCM]:[WASH]], 2))</f>
        <v>3</v>
      </c>
      <c r="Y80" s="333">
        <f>IF(COUNTIF(tblSeverityAnalysis[[#This Row],[CCCM]:[WASH]], 3)=0, "", COUNTIF(tblSeverityAnalysis[[#This Row],[CCCM]:[WASH]], 3))</f>
        <v>4</v>
      </c>
      <c r="Z80" s="333">
        <f>IF(COUNTIF(tblSeverityAnalysis[[#This Row],[CCCM]:[WASH]], 4)=0, "", COUNTIF(tblSeverityAnalysis[[#This Row],[CCCM]:[WASH]], 4))</f>
        <v>1</v>
      </c>
      <c r="AA80" s="334" t="str">
        <f>IF(COUNTIF(tblSeverityAnalysis[[#This Row],[CCCM]:[WASH]], 5)=0, "", COUNTIF(tblSeverityAnalysis[[#This Row],[CCCM]:[WASH]], 5))</f>
        <v/>
      </c>
      <c r="AB80" s="60" cm="1">
        <f t="array" ref="AB8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0"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80" s="33">
        <f>IFERROR(IF(INDEX(tblSeverityReference[Malnutrition Severity],MATCH(tblSeverityAnalysis[[#This Row],[ID]], tblSeverityReference[ID], 0))= "", "",INDEX(tblSeverityReference[Malnutrition Severity],MATCH(tblSeverityAnalysis[[#This Row],[ID]], tblSeverityReference[ID], 0)) ), "")</f>
        <v>2</v>
      </c>
      <c r="AE80" s="347">
        <f>IFERROR(IF(INDEX(tblSeverityReference[Epidemic Severity],MATCH(tblSeverityAnalysis[[#This Row],[ID]], tblSeverityReference[ID], 0))= "", "",INDEX(tblSeverityReference[Epidemic Severity],MATCH(tblSeverityAnalysis[[#This Row],[ID]], tblSeverityReference[ID], 0)) ), "")</f>
        <v>3</v>
      </c>
      <c r="AF80" s="310" t="str">
        <f>IFERROR(IF(INDEX(tblSeverityReference[Coping Strategy Severity],MATCH(tblSeverityAnalysis[[#This Row],[ID]], tblSeverityReference[ID], 0))= "", "",INDEX(tblSeverityReference[Coping Strategy Severity],MATCH(tblSeverityAnalysis[[#This Row],[ID]], tblSeverityReference[ID], 0)) ), "")</f>
        <v/>
      </c>
      <c r="AG80" s="348">
        <f>IFERROR(IF(INDEX(tblSeverityReference[HR/IHL Violation],MATCH(tblSeverityAnalysis[[#This Row],[ID]], tblSeverityReference[ID], 0))= "", "",INDEX(tblSeverityReference[HR/IHL Violation],MATCH(tblSeverityAnalysis[[#This Row],[ID]], tblSeverityReference[ID], 0)) ), "")</f>
        <v>3</v>
      </c>
      <c r="AH80" s="82">
        <f>IFERROR(AVERAGE(tblSeverityAnalysis[[#This Row],[CCCM]:[WASH]]), "")</f>
        <v>2.75</v>
      </c>
      <c r="AI80" s="27">
        <f>IF(SUM(tblSeverityAnalysis[[#This Row],[CCCM]:[WASH]])=0, "", MAX(tblSeverityAnalysis[[#This Row],[CCCM]:[WASH]]))</f>
        <v>4</v>
      </c>
      <c r="AJ80" s="335" t="str" cm="1">
        <f t="array" ref="AJ80">IFERROR(IF(tblSeverityAnalysis[[#This Row],[Highest Severity]]="", "", _xlfn.TEXTJOIN(CHAR(10), TRUE, IF(tblSeverityAnalysis[[#This Row],[CCCM]:[WASH]]=tblSeverityAnalysis[[#This Row],[Highest Severity]], tblSeverityAnalysis[[#Headers],[CCCM]:[WASH]], ""), "")), "")</f>
        <v>Food Security</v>
      </c>
      <c r="AK80" s="27" cm="1">
        <f t="array" ref="AK80">IFERROR(MAX(_xlfn._xlws.FILTER(tblSeverityAnalysis[[#This Row],[CCCM]:[WASH]], tblSeverityAnalysis[[#This Row],[CCCM]:[WASH]]&lt;tblSeverityAnalysis[[#This Row],[Highest Severity]])), "")</f>
        <v>3</v>
      </c>
      <c r="AL80" s="324" t="str" cm="1">
        <f t="array" ref="AL80">IFERROR(IF(tblSeverityAnalysis[[#This Row],[2nd Highest Severity]]="", "", _xlfn.TEXTJOIN(CHAR(10), TRUE, IF(tblSeverityAnalysis[[#This Row],[CCCM]:[WASH]]=tblSeverityAnalysis[[#This Row],[2nd Highest Severity]], tblSeverityAnalysis[[#Headers],[CCCM]:[WASH]], ""), "")), "")</f>
        <v>Education
Nutrition
Health
Shelter</v>
      </c>
      <c r="AM80" s="132" t="str">
        <f>IFERROR(IF(AND(tblSeverityAnalysis[[#This Row],[5]] &lt;&gt; "", tblSeverityAnalysis[[#This Row],[5]]&gt;=sectors_sev_5), "Flagged", ""), "")</f>
        <v/>
      </c>
      <c r="AN80" s="133" t="str">
        <f>IFERROR(IF(AND(tblSeverityAnalysis[[#This Row],[Preliminary Intersectoral Severity based on overlap of sectoral deprivations]]=4, SUM(tblSeverityAnalysis[[#This Row],[ 4 ]:[5]])&gt;=sectors_sev_4), "Flagged", ""), "")</f>
        <v/>
      </c>
      <c r="AO80" s="133" t="str" cm="1">
        <f t="array" ref="AO8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0" s="337"/>
      <c r="AR80" s="338"/>
      <c r="AS80" s="337"/>
      <c r="AT80" s="353">
        <f>COUNTIF(tblSeverityAnalysis[[#This Row],[1 sector in severity phase 5 '[modify the threshold']]:[Manual Flag]], "Flagged")</f>
        <v>0</v>
      </c>
      <c r="AU80" s="339">
        <f>tblSeverityAnalysis[[#This Row],[Preliminary Intersectoral Severity based on overlap of sectoral deprivations]]</f>
        <v>3</v>
      </c>
      <c r="AV80" s="340"/>
    </row>
    <row r="81" spans="1:48" ht="61.5" hidden="1">
      <c r="A8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Global_PopulationHT0611</v>
      </c>
      <c r="B81" s="39" t="s">
        <v>319</v>
      </c>
      <c r="C81" s="331" t="s">
        <v>320</v>
      </c>
      <c r="D81" s="331" t="s">
        <v>321</v>
      </c>
      <c r="E81" s="34" t="s">
        <v>322</v>
      </c>
      <c r="F81" s="34"/>
      <c r="G81" s="34"/>
      <c r="H81" s="357"/>
      <c r="I81" s="354">
        <v>163137</v>
      </c>
      <c r="J81" s="96" t="s">
        <v>156</v>
      </c>
      <c r="K81" s="305">
        <v>4</v>
      </c>
      <c r="L81" s="308">
        <v>3</v>
      </c>
      <c r="M81" s="308">
        <v>2</v>
      </c>
      <c r="N81" s="308">
        <v>3</v>
      </c>
      <c r="O81" s="308">
        <v>4</v>
      </c>
      <c r="P81" s="308">
        <v>3</v>
      </c>
      <c r="Q81" s="309">
        <v>3</v>
      </c>
      <c r="R81" s="341">
        <v>3</v>
      </c>
      <c r="S81" s="310"/>
      <c r="T81" s="308"/>
      <c r="U81" s="308"/>
      <c r="V81" s="308"/>
      <c r="W81" s="332" t="str">
        <f>IF(COUNTIF(tblSeverityAnalysis[[#This Row],[CCCM]:[WASH]], 1)=0, "", COUNTIF(tblSeverityAnalysis[[#This Row],[CCCM]:[WASH]], 1))</f>
        <v/>
      </c>
      <c r="X81" s="333">
        <f>IF(COUNTIF(tblSeverityAnalysis[[#This Row],[CCCM]:[WASH]], 2)=0, "", COUNTIF(tblSeverityAnalysis[[#This Row],[CCCM]:[WASH]], 2))</f>
        <v>1</v>
      </c>
      <c r="Y81" s="333">
        <f>IF(COUNTIF(tblSeverityAnalysis[[#This Row],[CCCM]:[WASH]], 3)=0, "", COUNTIF(tblSeverityAnalysis[[#This Row],[CCCM]:[WASH]], 3))</f>
        <v>5</v>
      </c>
      <c r="Z81" s="333">
        <f>IF(COUNTIF(tblSeverityAnalysis[[#This Row],[CCCM]:[WASH]], 4)=0, "", COUNTIF(tblSeverityAnalysis[[#This Row],[CCCM]:[WASH]], 4))</f>
        <v>2</v>
      </c>
      <c r="AA81" s="334" t="str">
        <f>IF(COUNTIF(tblSeverityAnalysis[[#This Row],[CCCM]:[WASH]], 5)=0, "", COUNTIF(tblSeverityAnalysis[[#This Row],[CCCM]:[WASH]], 5))</f>
        <v/>
      </c>
      <c r="AB81" s="60" cm="1">
        <f t="array" ref="AB8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1"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81" s="33">
        <f>IFERROR(IF(INDEX(tblSeverityReference[Malnutrition Severity],MATCH(tblSeverityAnalysis[[#This Row],[ID]], tblSeverityReference[ID], 0))= "", "",INDEX(tblSeverityReference[Malnutrition Severity],MATCH(tblSeverityAnalysis[[#This Row],[ID]], tblSeverityReference[ID], 0)) ), "")</f>
        <v>2</v>
      </c>
      <c r="AE81" s="347">
        <f>IFERROR(IF(INDEX(tblSeverityReference[Epidemic Severity],MATCH(tblSeverityAnalysis[[#This Row],[ID]], tblSeverityReference[ID], 0))= "", "",INDEX(tblSeverityReference[Epidemic Severity],MATCH(tblSeverityAnalysis[[#This Row],[ID]], tblSeverityReference[ID], 0)) ), "")</f>
        <v>4</v>
      </c>
      <c r="AF81" s="310" t="str">
        <f>IFERROR(IF(INDEX(tblSeverityReference[Coping Strategy Severity],MATCH(tblSeverityAnalysis[[#This Row],[ID]], tblSeverityReference[ID], 0))= "", "",INDEX(tblSeverityReference[Coping Strategy Severity],MATCH(tblSeverityAnalysis[[#This Row],[ID]], tblSeverityReference[ID], 0)) ), "")</f>
        <v/>
      </c>
      <c r="AG81" s="348">
        <f>IFERROR(IF(INDEX(tblSeverityReference[HR/IHL Violation],MATCH(tblSeverityAnalysis[[#This Row],[ID]], tblSeverityReference[ID], 0))= "", "",INDEX(tblSeverityReference[HR/IHL Violation],MATCH(tblSeverityAnalysis[[#This Row],[ID]], tblSeverityReference[ID], 0)) ), "")</f>
        <v>3</v>
      </c>
      <c r="AH81" s="82">
        <f>IFERROR(AVERAGE(tblSeverityAnalysis[[#This Row],[CCCM]:[WASH]]), "")</f>
        <v>3.125</v>
      </c>
      <c r="AI81" s="27">
        <f>IF(SUM(tblSeverityAnalysis[[#This Row],[CCCM]:[WASH]])=0, "", MAX(tblSeverityAnalysis[[#This Row],[CCCM]:[WASH]]))</f>
        <v>4</v>
      </c>
      <c r="AJ81" s="335" t="str" cm="1">
        <f t="array" ref="AJ81">IFERROR(IF(tblSeverityAnalysis[[#This Row],[Highest Severity]]="", "", _xlfn.TEXTJOIN(CHAR(10), TRUE, IF(tblSeverityAnalysis[[#This Row],[CCCM]:[WASH]]=tblSeverityAnalysis[[#This Row],[Highest Severity]], tblSeverityAnalysis[[#Headers],[CCCM]:[WASH]], ""), "")), "")</f>
        <v>CCCM
Health</v>
      </c>
      <c r="AK81" s="27" cm="1">
        <f t="array" ref="AK81">IFERROR(MAX(_xlfn._xlws.FILTER(tblSeverityAnalysis[[#This Row],[CCCM]:[WASH]], tblSeverityAnalysis[[#This Row],[CCCM]:[WASH]]&lt;tblSeverityAnalysis[[#This Row],[Highest Severity]])), "")</f>
        <v>3</v>
      </c>
      <c r="AL81" s="324" t="str" cm="1">
        <f t="array" ref="AL81">IFERROR(IF(tblSeverityAnalysis[[#This Row],[2nd Highest Severity]]="", "", _xlfn.TEXTJOIN(CHAR(10), TRUE, IF(tblSeverityAnalysis[[#This Row],[CCCM]:[WASH]]=tblSeverityAnalysis[[#This Row],[2nd Highest Severity]], tblSeverityAnalysis[[#Headers],[CCCM]:[WASH]], ""), "")), "")</f>
        <v>Education
Food Security
Protection
Shelter
WASH</v>
      </c>
      <c r="AM81" s="132" t="str">
        <f>IFERROR(IF(AND(tblSeverityAnalysis[[#This Row],[5]] &lt;&gt; "", tblSeverityAnalysis[[#This Row],[5]]&gt;=sectors_sev_5), "Flagged", ""), "")</f>
        <v/>
      </c>
      <c r="AN81" s="133" t="str">
        <f>IFERROR(IF(AND(tblSeverityAnalysis[[#This Row],[Preliminary Intersectoral Severity based on overlap of sectoral deprivations]]=4, SUM(tblSeverityAnalysis[[#This Row],[ 4 ]:[5]])&gt;=sectors_sev_4), "Flagged", ""), "")</f>
        <v/>
      </c>
      <c r="AO81" s="133" t="str" cm="1">
        <f t="array" ref="AO8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1" s="337"/>
      <c r="AR81" s="338"/>
      <c r="AS81" s="337"/>
      <c r="AT81" s="353">
        <f>COUNTIF(tblSeverityAnalysis[[#This Row],[1 sector in severity phase 5 '[modify the threshold']]:[Manual Flag]], "Flagged")</f>
        <v>1</v>
      </c>
      <c r="AU81" s="339">
        <f>tblSeverityAnalysis[[#This Row],[Preliminary Intersectoral Severity based on overlap of sectoral deprivations]]</f>
        <v>3</v>
      </c>
      <c r="AV81" s="340"/>
    </row>
    <row r="82" spans="1:48" ht="49.15" hidden="1">
      <c r="A8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Global_PopulationHT0612</v>
      </c>
      <c r="B82" s="39" t="s">
        <v>319</v>
      </c>
      <c r="C82" s="331" t="s">
        <v>320</v>
      </c>
      <c r="D82" s="331" t="s">
        <v>323</v>
      </c>
      <c r="E82" s="34" t="s">
        <v>324</v>
      </c>
      <c r="F82" s="34"/>
      <c r="G82" s="34"/>
      <c r="H82" s="358"/>
      <c r="I82" s="354">
        <v>78577</v>
      </c>
      <c r="J82" s="96" t="s">
        <v>156</v>
      </c>
      <c r="K82" s="372">
        <v>2</v>
      </c>
      <c r="L82" s="308">
        <v>3</v>
      </c>
      <c r="M82" s="308">
        <v>2</v>
      </c>
      <c r="N82" s="308">
        <v>3</v>
      </c>
      <c r="O82" s="308">
        <v>2</v>
      </c>
      <c r="P82" s="308">
        <v>2</v>
      </c>
      <c r="Q82" s="309">
        <v>3</v>
      </c>
      <c r="R82" s="341">
        <v>3</v>
      </c>
      <c r="S82" s="310"/>
      <c r="T82" s="308"/>
      <c r="U82" s="308"/>
      <c r="V82" s="308"/>
      <c r="W82" s="332" t="str">
        <f>IF(COUNTIF(tblSeverityAnalysis[[#This Row],[CCCM]:[WASH]], 1)=0, "", COUNTIF(tblSeverityAnalysis[[#This Row],[CCCM]:[WASH]], 1))</f>
        <v/>
      </c>
      <c r="X82" s="333">
        <f>IF(COUNTIF(tblSeverityAnalysis[[#This Row],[CCCM]:[WASH]], 2)=0, "", COUNTIF(tblSeverityAnalysis[[#This Row],[CCCM]:[WASH]], 2))</f>
        <v>4</v>
      </c>
      <c r="Y82" s="333">
        <f>IF(COUNTIF(tblSeverityAnalysis[[#This Row],[CCCM]:[WASH]], 3)=0, "", COUNTIF(tblSeverityAnalysis[[#This Row],[CCCM]:[WASH]], 3))</f>
        <v>4</v>
      </c>
      <c r="Z82" s="333" t="str">
        <f>IF(COUNTIF(tblSeverityAnalysis[[#This Row],[CCCM]:[WASH]], 4)=0, "", COUNTIF(tblSeverityAnalysis[[#This Row],[CCCM]:[WASH]], 4))</f>
        <v/>
      </c>
      <c r="AA82" s="334" t="str">
        <f>IF(COUNTIF(tblSeverityAnalysis[[#This Row],[CCCM]:[WASH]], 5)=0, "", COUNTIF(tblSeverityAnalysis[[#This Row],[CCCM]:[WASH]], 5))</f>
        <v/>
      </c>
      <c r="AB82" s="60" cm="1">
        <f t="array" ref="AB8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2"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2" s="33">
        <f>IFERROR(IF(INDEX(tblSeverityReference[Malnutrition Severity],MATCH(tblSeverityAnalysis[[#This Row],[ID]], tblSeverityReference[ID], 0))= "", "",INDEX(tblSeverityReference[Malnutrition Severity],MATCH(tblSeverityAnalysis[[#This Row],[ID]], tblSeverityReference[ID], 0)) ), "")</f>
        <v>2</v>
      </c>
      <c r="AE82" s="347">
        <f>IFERROR(IF(INDEX(tblSeverityReference[Epidemic Severity],MATCH(tblSeverityAnalysis[[#This Row],[ID]], tblSeverityReference[ID], 0))= "", "",INDEX(tblSeverityReference[Epidemic Severity],MATCH(tblSeverityAnalysis[[#This Row],[ID]], tblSeverityReference[ID], 0)) ), "")</f>
        <v>3</v>
      </c>
      <c r="AF82" s="310" t="str">
        <f>IFERROR(IF(INDEX(tblSeverityReference[Coping Strategy Severity],MATCH(tblSeverityAnalysis[[#This Row],[ID]], tblSeverityReference[ID], 0))= "", "",INDEX(tblSeverityReference[Coping Strategy Severity],MATCH(tblSeverityAnalysis[[#This Row],[ID]], tblSeverityReference[ID], 0)) ), "")</f>
        <v/>
      </c>
      <c r="AG82" s="108">
        <f>IFERROR(IF(INDEX(tblSeverityReference[HR/IHL Violation],MATCH(tblSeverityAnalysis[[#This Row],[ID]], tblSeverityReference[ID], 0))= "", "",INDEX(tblSeverityReference[HR/IHL Violation],MATCH(tblSeverityAnalysis[[#This Row],[ID]], tblSeverityReference[ID], 0)) ), "")</f>
        <v>3</v>
      </c>
      <c r="AH82" s="82">
        <f>IFERROR(AVERAGE(tblSeverityAnalysis[[#This Row],[CCCM]:[WASH]]), "")</f>
        <v>2.5</v>
      </c>
      <c r="AI82" s="27">
        <f>IF(SUM(tblSeverityAnalysis[[#This Row],[CCCM]:[WASH]])=0, "", MAX(tblSeverityAnalysis[[#This Row],[CCCM]:[WASH]]))</f>
        <v>3</v>
      </c>
      <c r="AJ82" s="335" t="str" cm="1">
        <f t="array" ref="AJ82">IFERROR(IF(tblSeverityAnalysis[[#This Row],[Highest Severity]]="", "", _xlfn.TEXTJOIN(CHAR(10), TRUE, IF(tblSeverityAnalysis[[#This Row],[CCCM]:[WASH]]=tblSeverityAnalysis[[#This Row],[Highest Severity]], tblSeverityAnalysis[[#Headers],[CCCM]:[WASH]], ""), "")), "")</f>
        <v>Education
Food Security
Shelter
WASH</v>
      </c>
      <c r="AK82" s="27" cm="1">
        <f t="array" ref="AK82">IFERROR(MAX(_xlfn._xlws.FILTER(tblSeverityAnalysis[[#This Row],[CCCM]:[WASH]], tblSeverityAnalysis[[#This Row],[CCCM]:[WASH]]&lt;tblSeverityAnalysis[[#This Row],[Highest Severity]])), "")</f>
        <v>2</v>
      </c>
      <c r="AL82" s="324" t="str" cm="1">
        <f t="array" ref="AL82">IFERROR(IF(tblSeverityAnalysis[[#This Row],[2nd Highest Severity]]="", "", _xlfn.TEXTJOIN(CHAR(10), TRUE, IF(tblSeverityAnalysis[[#This Row],[CCCM]:[WASH]]=tblSeverityAnalysis[[#This Row],[2nd Highest Severity]], tblSeverityAnalysis[[#Headers],[CCCM]:[WASH]], ""), "")), "")</f>
        <v>CCCM
Nutrition
Health
Protection</v>
      </c>
      <c r="AM82" s="132" t="str">
        <f>IFERROR(IF(AND(tblSeverityAnalysis[[#This Row],[5]] &lt;&gt; "", tblSeverityAnalysis[[#This Row],[5]]&gt;=sectors_sev_5), "Flagged", ""), "")</f>
        <v/>
      </c>
      <c r="AN82" s="133" t="str">
        <f>IFERROR(IF(AND(tblSeverityAnalysis[[#This Row],[Preliminary Intersectoral Severity based on overlap of sectoral deprivations]]=4, SUM(tblSeverityAnalysis[[#This Row],[ 4 ]:[5]])&gt;=sectors_sev_4), "Flagged", ""), "")</f>
        <v/>
      </c>
      <c r="AO82" s="133" t="str" cm="1">
        <f t="array" ref="AO8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2" s="337"/>
      <c r="AR82" s="338"/>
      <c r="AS82" s="337"/>
      <c r="AT82" s="353">
        <f>COUNTIF(tblSeverityAnalysis[[#This Row],[1 sector in severity phase 5 '[modify the threshold']]:[Manual Flag]], "Flagged")</f>
        <v>1</v>
      </c>
      <c r="AU82" s="339">
        <f>tblSeverityAnalysis[[#This Row],[Preliminary Intersectoral Severity based on overlap of sectoral deprivations]]</f>
        <v>3</v>
      </c>
      <c r="AV82" s="340"/>
    </row>
    <row r="83" spans="1:48" ht="61.5" hidden="1">
      <c r="A8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Global_PopulationHT0613</v>
      </c>
      <c r="B83" s="39" t="s">
        <v>319</v>
      </c>
      <c r="C83" s="331" t="s">
        <v>320</v>
      </c>
      <c r="D83" s="331" t="s">
        <v>325</v>
      </c>
      <c r="E83" s="34" t="s">
        <v>326</v>
      </c>
      <c r="F83" s="34"/>
      <c r="G83" s="34"/>
      <c r="H83" s="357"/>
      <c r="I83" s="354">
        <v>85152</v>
      </c>
      <c r="J83" s="96" t="s">
        <v>156</v>
      </c>
      <c r="K83" s="305">
        <v>4</v>
      </c>
      <c r="L83" s="308">
        <v>3</v>
      </c>
      <c r="M83" s="308">
        <v>2</v>
      </c>
      <c r="N83" s="308">
        <v>3</v>
      </c>
      <c r="O83" s="308">
        <v>3</v>
      </c>
      <c r="P83" s="308">
        <v>2</v>
      </c>
      <c r="Q83" s="309">
        <v>3</v>
      </c>
      <c r="R83" s="341">
        <v>3</v>
      </c>
      <c r="S83" s="310"/>
      <c r="T83" s="308"/>
      <c r="U83" s="308"/>
      <c r="V83" s="308"/>
      <c r="W83" s="332" t="str">
        <f>IF(COUNTIF(tblSeverityAnalysis[[#This Row],[CCCM]:[WASH]], 1)=0, "", COUNTIF(tblSeverityAnalysis[[#This Row],[CCCM]:[WASH]], 1))</f>
        <v/>
      </c>
      <c r="X83" s="333">
        <f>IF(COUNTIF(tblSeverityAnalysis[[#This Row],[CCCM]:[WASH]], 2)=0, "", COUNTIF(tblSeverityAnalysis[[#This Row],[CCCM]:[WASH]], 2))</f>
        <v>2</v>
      </c>
      <c r="Y83" s="333">
        <f>IF(COUNTIF(tblSeverityAnalysis[[#This Row],[CCCM]:[WASH]], 3)=0, "", COUNTIF(tblSeverityAnalysis[[#This Row],[CCCM]:[WASH]], 3))</f>
        <v>5</v>
      </c>
      <c r="Z83" s="333">
        <f>IF(COUNTIF(tblSeverityAnalysis[[#This Row],[CCCM]:[WASH]], 4)=0, "", COUNTIF(tblSeverityAnalysis[[#This Row],[CCCM]:[WASH]], 4))</f>
        <v>1</v>
      </c>
      <c r="AA83" s="334" t="str">
        <f>IF(COUNTIF(tblSeverityAnalysis[[#This Row],[CCCM]:[WASH]], 5)=0, "", COUNTIF(tblSeverityAnalysis[[#This Row],[CCCM]:[WASH]], 5))</f>
        <v/>
      </c>
      <c r="AB83" s="60" cm="1">
        <f t="array" ref="AB8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3" s="33">
        <f>IFERROR(IF(INDEX(tblSeverityReference[Malnutrition Severity],MATCH(tblSeverityAnalysis[[#This Row],[ID]], tblSeverityReference[ID], 0))= "", "",INDEX(tblSeverityReference[Malnutrition Severity],MATCH(tblSeverityAnalysis[[#This Row],[ID]], tblSeverityReference[ID], 0)) ), "")</f>
        <v>2</v>
      </c>
      <c r="AE83" s="347">
        <f>IFERROR(IF(INDEX(tblSeverityReference[Epidemic Severity],MATCH(tblSeverityAnalysis[[#This Row],[ID]], tblSeverityReference[ID], 0))= "", "",INDEX(tblSeverityReference[Epidemic Severity],MATCH(tblSeverityAnalysis[[#This Row],[ID]], tblSeverityReference[ID], 0)) ), "")</f>
        <v>3</v>
      </c>
      <c r="AF83" s="310" t="str">
        <f>IFERROR(IF(INDEX(tblSeverityReference[Coping Strategy Severity],MATCH(tblSeverityAnalysis[[#This Row],[ID]], tblSeverityReference[ID], 0))= "", "",INDEX(tblSeverityReference[Coping Strategy Severity],MATCH(tblSeverityAnalysis[[#This Row],[ID]], tblSeverityReference[ID], 0)) ), "")</f>
        <v/>
      </c>
      <c r="AG83" s="348">
        <f>IFERROR(IF(INDEX(tblSeverityReference[HR/IHL Violation],MATCH(tblSeverityAnalysis[[#This Row],[ID]], tblSeverityReference[ID], 0))= "", "",INDEX(tblSeverityReference[HR/IHL Violation],MATCH(tblSeverityAnalysis[[#This Row],[ID]], tblSeverityReference[ID], 0)) ), "")</f>
        <v>3</v>
      </c>
      <c r="AH83" s="82">
        <f>IFERROR(AVERAGE(tblSeverityAnalysis[[#This Row],[CCCM]:[WASH]]), "")</f>
        <v>2.875</v>
      </c>
      <c r="AI83" s="27">
        <f>IF(SUM(tblSeverityAnalysis[[#This Row],[CCCM]:[WASH]])=0, "", MAX(tblSeverityAnalysis[[#This Row],[CCCM]:[WASH]]))</f>
        <v>4</v>
      </c>
      <c r="AJ83" s="335" t="str" cm="1">
        <f t="array" ref="AJ83">IFERROR(IF(tblSeverityAnalysis[[#This Row],[Highest Severity]]="", "", _xlfn.TEXTJOIN(CHAR(10), TRUE, IF(tblSeverityAnalysis[[#This Row],[CCCM]:[WASH]]=tblSeverityAnalysis[[#This Row],[Highest Severity]], tblSeverityAnalysis[[#Headers],[CCCM]:[WASH]], ""), "")), "")</f>
        <v>CCCM</v>
      </c>
      <c r="AK83" s="27" cm="1">
        <f t="array" ref="AK83">IFERROR(MAX(_xlfn._xlws.FILTER(tblSeverityAnalysis[[#This Row],[CCCM]:[WASH]], tblSeverityAnalysis[[#This Row],[CCCM]:[WASH]]&lt;tblSeverityAnalysis[[#This Row],[Highest Severity]])), "")</f>
        <v>3</v>
      </c>
      <c r="AL83" s="324" t="str" cm="1">
        <f t="array" ref="AL83">IFERROR(IF(tblSeverityAnalysis[[#This Row],[2nd Highest Severity]]="", "", _xlfn.TEXTJOIN(CHAR(10), TRUE, IF(tblSeverityAnalysis[[#This Row],[CCCM]:[WASH]]=tblSeverityAnalysis[[#This Row],[2nd Highest Severity]], tblSeverityAnalysis[[#Headers],[CCCM]:[WASH]], ""), "")), "")</f>
        <v>Education
Food Security
Health
Shelter
WASH</v>
      </c>
      <c r="AM83" s="132" t="str">
        <f>IFERROR(IF(AND(tblSeverityAnalysis[[#This Row],[5]] &lt;&gt; "", tblSeverityAnalysis[[#This Row],[5]]&gt;=sectors_sev_5), "Flagged", ""), "")</f>
        <v/>
      </c>
      <c r="AN83" s="133" t="str">
        <f>IFERROR(IF(AND(tblSeverityAnalysis[[#This Row],[Preliminary Intersectoral Severity based on overlap of sectoral deprivations]]=4, SUM(tblSeverityAnalysis[[#This Row],[ 4 ]:[5]])&gt;=sectors_sev_4), "Flagged", ""), "")</f>
        <v/>
      </c>
      <c r="AO83" s="133" t="str" cm="1">
        <f t="array" ref="AO8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3" s="337"/>
      <c r="AR83" s="338"/>
      <c r="AS83" s="337"/>
      <c r="AT83" s="353">
        <f>COUNTIF(tblSeverityAnalysis[[#This Row],[1 sector in severity phase 5 '[modify the threshold']]:[Manual Flag]], "Flagged")</f>
        <v>1</v>
      </c>
      <c r="AU83" s="339">
        <f>tblSeverityAnalysis[[#This Row],[Preliminary Intersectoral Severity based on overlap of sectoral deprivations]]</f>
        <v>3</v>
      </c>
      <c r="AV83" s="340"/>
    </row>
    <row r="84" spans="1:48" ht="61.5" hidden="1">
      <c r="A8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Global_PopulationHT0614</v>
      </c>
      <c r="B84" s="39" t="s">
        <v>319</v>
      </c>
      <c r="C84" s="331" t="s">
        <v>320</v>
      </c>
      <c r="D84" s="331" t="s">
        <v>327</v>
      </c>
      <c r="E84" s="34" t="s">
        <v>328</v>
      </c>
      <c r="F84" s="34"/>
      <c r="G84" s="34"/>
      <c r="H84" s="358"/>
      <c r="I84" s="354">
        <v>31774</v>
      </c>
      <c r="J84" s="96" t="s">
        <v>156</v>
      </c>
      <c r="K84" s="305">
        <v>4</v>
      </c>
      <c r="L84" s="308">
        <v>3</v>
      </c>
      <c r="M84" s="308">
        <v>2</v>
      </c>
      <c r="N84" s="308">
        <v>3</v>
      </c>
      <c r="O84" s="308">
        <v>3</v>
      </c>
      <c r="P84" s="308">
        <v>2</v>
      </c>
      <c r="Q84" s="309">
        <v>3</v>
      </c>
      <c r="R84" s="341">
        <v>3</v>
      </c>
      <c r="S84" s="310"/>
      <c r="T84" s="308"/>
      <c r="U84" s="308"/>
      <c r="V84" s="308"/>
      <c r="W84" s="332" t="str">
        <f>IF(COUNTIF(tblSeverityAnalysis[[#This Row],[CCCM]:[WASH]], 1)=0, "", COUNTIF(tblSeverityAnalysis[[#This Row],[CCCM]:[WASH]], 1))</f>
        <v/>
      </c>
      <c r="X84" s="333">
        <f>IF(COUNTIF(tblSeverityAnalysis[[#This Row],[CCCM]:[WASH]], 2)=0, "", COUNTIF(tblSeverityAnalysis[[#This Row],[CCCM]:[WASH]], 2))</f>
        <v>2</v>
      </c>
      <c r="Y84" s="333">
        <f>IF(COUNTIF(tblSeverityAnalysis[[#This Row],[CCCM]:[WASH]], 3)=0, "", COUNTIF(tblSeverityAnalysis[[#This Row],[CCCM]:[WASH]], 3))</f>
        <v>5</v>
      </c>
      <c r="Z84" s="333">
        <f>IF(COUNTIF(tblSeverityAnalysis[[#This Row],[CCCM]:[WASH]], 4)=0, "", COUNTIF(tblSeverityAnalysis[[#This Row],[CCCM]:[WASH]], 4))</f>
        <v>1</v>
      </c>
      <c r="AA84" s="334" t="str">
        <f>IF(COUNTIF(tblSeverityAnalysis[[#This Row],[CCCM]:[WASH]], 5)=0, "", COUNTIF(tblSeverityAnalysis[[#This Row],[CCCM]:[WASH]], 5))</f>
        <v/>
      </c>
      <c r="AB84" s="60" cm="1">
        <f t="array" ref="AB8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4"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84" s="33">
        <f>IFERROR(IF(INDEX(tblSeverityReference[Malnutrition Severity],MATCH(tblSeverityAnalysis[[#This Row],[ID]], tblSeverityReference[ID], 0))= "", "",INDEX(tblSeverityReference[Malnutrition Severity],MATCH(tblSeverityAnalysis[[#This Row],[ID]], tblSeverityReference[ID], 0)) ), "")</f>
        <v>2</v>
      </c>
      <c r="AE84" s="347">
        <f>IFERROR(IF(INDEX(tblSeverityReference[Epidemic Severity],MATCH(tblSeverityAnalysis[[#This Row],[ID]], tblSeverityReference[ID], 0))= "", "",INDEX(tblSeverityReference[Epidemic Severity],MATCH(tblSeverityAnalysis[[#This Row],[ID]], tblSeverityReference[ID], 0)) ), "")</f>
        <v>3</v>
      </c>
      <c r="AF84" s="310" t="str">
        <f>IFERROR(IF(INDEX(tblSeverityReference[Coping Strategy Severity],MATCH(tblSeverityAnalysis[[#This Row],[ID]], tblSeverityReference[ID], 0))= "", "",INDEX(tblSeverityReference[Coping Strategy Severity],MATCH(tblSeverityAnalysis[[#This Row],[ID]], tblSeverityReference[ID], 0)) ), "")</f>
        <v/>
      </c>
      <c r="AG84" s="108">
        <f>IFERROR(IF(INDEX(tblSeverityReference[HR/IHL Violation],MATCH(tblSeverityAnalysis[[#This Row],[ID]], tblSeverityReference[ID], 0))= "", "",INDEX(tblSeverityReference[HR/IHL Violation],MATCH(tblSeverityAnalysis[[#This Row],[ID]], tblSeverityReference[ID], 0)) ), "")</f>
        <v>3</v>
      </c>
      <c r="AH84" s="82">
        <f>IFERROR(AVERAGE(tblSeverityAnalysis[[#This Row],[CCCM]:[WASH]]), "")</f>
        <v>2.875</v>
      </c>
      <c r="AI84" s="27">
        <f>IF(SUM(tblSeverityAnalysis[[#This Row],[CCCM]:[WASH]])=0, "", MAX(tblSeverityAnalysis[[#This Row],[CCCM]:[WASH]]))</f>
        <v>4</v>
      </c>
      <c r="AJ84" s="335" t="str" cm="1">
        <f t="array" ref="AJ84">IFERROR(IF(tblSeverityAnalysis[[#This Row],[Highest Severity]]="", "", _xlfn.TEXTJOIN(CHAR(10), TRUE, IF(tblSeverityAnalysis[[#This Row],[CCCM]:[WASH]]=tblSeverityAnalysis[[#This Row],[Highest Severity]], tblSeverityAnalysis[[#Headers],[CCCM]:[WASH]], ""), "")), "")</f>
        <v>CCCM</v>
      </c>
      <c r="AK84" s="27" cm="1">
        <f t="array" ref="AK84">IFERROR(MAX(_xlfn._xlws.FILTER(tblSeverityAnalysis[[#This Row],[CCCM]:[WASH]], tblSeverityAnalysis[[#This Row],[CCCM]:[WASH]]&lt;tblSeverityAnalysis[[#This Row],[Highest Severity]])), "")</f>
        <v>3</v>
      </c>
      <c r="AL84" s="324" t="str" cm="1">
        <f t="array" ref="AL84">IFERROR(IF(tblSeverityAnalysis[[#This Row],[2nd Highest Severity]]="", "", _xlfn.TEXTJOIN(CHAR(10), TRUE, IF(tblSeverityAnalysis[[#This Row],[CCCM]:[WASH]]=tblSeverityAnalysis[[#This Row],[2nd Highest Severity]], tblSeverityAnalysis[[#Headers],[CCCM]:[WASH]], ""), "")), "")</f>
        <v>Education
Food Security
Health
Shelter
WASH</v>
      </c>
      <c r="AM84" s="132" t="str">
        <f>IFERROR(IF(AND(tblSeverityAnalysis[[#This Row],[5]] &lt;&gt; "", tblSeverityAnalysis[[#This Row],[5]]&gt;=sectors_sev_5), "Flagged", ""), "")</f>
        <v/>
      </c>
      <c r="AN84" s="133" t="str">
        <f>IFERROR(IF(AND(tblSeverityAnalysis[[#This Row],[Preliminary Intersectoral Severity based on overlap of sectoral deprivations]]=4, SUM(tblSeverityAnalysis[[#This Row],[ 4 ]:[5]])&gt;=sectors_sev_4), "Flagged", ""), "")</f>
        <v/>
      </c>
      <c r="AO84" s="133" t="str" cm="1">
        <f t="array" ref="AO8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4" s="337"/>
      <c r="AR84" s="338"/>
      <c r="AS84" s="337"/>
      <c r="AT84" s="353">
        <f>COUNTIF(tblSeverityAnalysis[[#This Row],[1 sector in severity phase 5 '[modify the threshold']]:[Manual Flag]], "Flagged")</f>
        <v>0</v>
      </c>
      <c r="AU84" s="339">
        <f>tblSeverityAnalysis[[#This Row],[Preliminary Intersectoral Severity based on overlap of sectoral deprivations]]</f>
        <v>3</v>
      </c>
      <c r="AV84" s="340"/>
    </row>
    <row r="85" spans="1:48" ht="49.15" hidden="1">
      <c r="A8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Global_PopulationHT0621</v>
      </c>
      <c r="B85" s="39" t="s">
        <v>319</v>
      </c>
      <c r="C85" s="331" t="s">
        <v>320</v>
      </c>
      <c r="D85" s="331" t="s">
        <v>329</v>
      </c>
      <c r="E85" s="34" t="s">
        <v>330</v>
      </c>
      <c r="F85" s="34"/>
      <c r="G85" s="34"/>
      <c r="H85" s="357"/>
      <c r="I85" s="354">
        <v>129573</v>
      </c>
      <c r="J85" s="96" t="s">
        <v>156</v>
      </c>
      <c r="K85" s="372">
        <v>1</v>
      </c>
      <c r="L85" s="308">
        <v>3</v>
      </c>
      <c r="M85" s="308">
        <v>2</v>
      </c>
      <c r="N85" s="308">
        <v>4</v>
      </c>
      <c r="O85" s="308">
        <v>4</v>
      </c>
      <c r="P85" s="308">
        <v>4</v>
      </c>
      <c r="Q85" s="309">
        <v>4</v>
      </c>
      <c r="R85" s="341">
        <v>3</v>
      </c>
      <c r="S85" s="310"/>
      <c r="T85" s="308"/>
      <c r="U85" s="308"/>
      <c r="V85" s="308"/>
      <c r="W85" s="332">
        <f>IF(COUNTIF(tblSeverityAnalysis[[#This Row],[CCCM]:[WASH]], 1)=0, "", COUNTIF(tblSeverityAnalysis[[#This Row],[CCCM]:[WASH]], 1))</f>
        <v>1</v>
      </c>
      <c r="X85" s="333">
        <f>IF(COUNTIF(tblSeverityAnalysis[[#This Row],[CCCM]:[WASH]], 2)=0, "", COUNTIF(tblSeverityAnalysis[[#This Row],[CCCM]:[WASH]], 2))</f>
        <v>1</v>
      </c>
      <c r="Y85" s="333">
        <f>IF(COUNTIF(tblSeverityAnalysis[[#This Row],[CCCM]:[WASH]], 3)=0, "", COUNTIF(tblSeverityAnalysis[[#This Row],[CCCM]:[WASH]], 3))</f>
        <v>2</v>
      </c>
      <c r="Z85" s="333">
        <f>IF(COUNTIF(tblSeverityAnalysis[[#This Row],[CCCM]:[WASH]], 4)=0, "", COUNTIF(tblSeverityAnalysis[[#This Row],[CCCM]:[WASH]], 4))</f>
        <v>4</v>
      </c>
      <c r="AA85" s="334" t="str">
        <f>IF(COUNTIF(tblSeverityAnalysis[[#This Row],[CCCM]:[WASH]], 5)=0, "", COUNTIF(tblSeverityAnalysis[[#This Row],[CCCM]:[WASH]], 5))</f>
        <v/>
      </c>
      <c r="AB85" s="60" cm="1">
        <f t="array" ref="AB8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85"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5" s="33">
        <f>IFERROR(IF(INDEX(tblSeverityReference[Malnutrition Severity],MATCH(tblSeverityAnalysis[[#This Row],[ID]], tblSeverityReference[ID], 0))= "", "",INDEX(tblSeverityReference[Malnutrition Severity],MATCH(tblSeverityAnalysis[[#This Row],[ID]], tblSeverityReference[ID], 0)) ), "")</f>
        <v>2</v>
      </c>
      <c r="AE85" s="347">
        <f>IFERROR(IF(INDEX(tblSeverityReference[Epidemic Severity],MATCH(tblSeverityAnalysis[[#This Row],[ID]], tblSeverityReference[ID], 0))= "", "",INDEX(tblSeverityReference[Epidemic Severity],MATCH(tblSeverityAnalysis[[#This Row],[ID]], tblSeverityReference[ID], 0)) ), "")</f>
        <v>5</v>
      </c>
      <c r="AF85" s="310" t="str">
        <f>IFERROR(IF(INDEX(tblSeverityReference[Coping Strategy Severity],MATCH(tblSeverityAnalysis[[#This Row],[ID]], tblSeverityReference[ID], 0))= "", "",INDEX(tblSeverityReference[Coping Strategy Severity],MATCH(tblSeverityAnalysis[[#This Row],[ID]], tblSeverityReference[ID], 0)) ), "")</f>
        <v/>
      </c>
      <c r="AG85" s="348">
        <f>IFERROR(IF(INDEX(tblSeverityReference[HR/IHL Violation],MATCH(tblSeverityAnalysis[[#This Row],[ID]], tblSeverityReference[ID], 0))= "", "",INDEX(tblSeverityReference[HR/IHL Violation],MATCH(tblSeverityAnalysis[[#This Row],[ID]], tblSeverityReference[ID], 0)) ), "")</f>
        <v>4</v>
      </c>
      <c r="AH85" s="82">
        <f>IFERROR(AVERAGE(tblSeverityAnalysis[[#This Row],[CCCM]:[WASH]]), "")</f>
        <v>3.125</v>
      </c>
      <c r="AI85" s="27">
        <f>IF(SUM(tblSeverityAnalysis[[#This Row],[CCCM]:[WASH]])=0, "", MAX(tblSeverityAnalysis[[#This Row],[CCCM]:[WASH]]))</f>
        <v>4</v>
      </c>
      <c r="AJ85" s="335" t="str" cm="1">
        <f t="array" ref="AJ85">IFERROR(IF(tblSeverityAnalysis[[#This Row],[Highest Severity]]="", "", _xlfn.TEXTJOIN(CHAR(10), TRUE, IF(tblSeverityAnalysis[[#This Row],[CCCM]:[WASH]]=tblSeverityAnalysis[[#This Row],[Highest Severity]], tblSeverityAnalysis[[#Headers],[CCCM]:[WASH]], ""), "")), "")</f>
        <v>Food Security
Health
Protection
Shelter</v>
      </c>
      <c r="AK85" s="27" cm="1">
        <f t="array" ref="AK85">IFERROR(MAX(_xlfn._xlws.FILTER(tblSeverityAnalysis[[#This Row],[CCCM]:[WASH]], tblSeverityAnalysis[[#This Row],[CCCM]:[WASH]]&lt;tblSeverityAnalysis[[#This Row],[Highest Severity]])), "")</f>
        <v>3</v>
      </c>
      <c r="AL85" s="324" t="str" cm="1">
        <f t="array" ref="AL85">IFERROR(IF(tblSeverityAnalysis[[#This Row],[2nd Highest Severity]]="", "", _xlfn.TEXTJOIN(CHAR(10), TRUE, IF(tblSeverityAnalysis[[#This Row],[CCCM]:[WASH]]=tblSeverityAnalysis[[#This Row],[2nd Highest Severity]], tblSeverityAnalysis[[#Headers],[CCCM]:[WASH]], ""), "")), "")</f>
        <v>Education
WASH</v>
      </c>
      <c r="AM85" s="132" t="str">
        <f>IFERROR(IF(AND(tblSeverityAnalysis[[#This Row],[5]] &lt;&gt; "", tblSeverityAnalysis[[#This Row],[5]]&gt;=sectors_sev_5), "Flagged", ""), "")</f>
        <v/>
      </c>
      <c r="AN85" s="133" t="str">
        <f>IFERROR(IF(AND(tblSeverityAnalysis[[#This Row],[Preliminary Intersectoral Severity based on overlap of sectoral deprivations]]=4, SUM(tblSeverityAnalysis[[#This Row],[ 4 ]:[5]])&gt;=sectors_sev_4), "Flagged", ""), "")</f>
        <v/>
      </c>
      <c r="AO85" s="133" t="str" cm="1">
        <f t="array" ref="AO8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5" s="337"/>
      <c r="AR85" s="338"/>
      <c r="AS85" s="337"/>
      <c r="AT85" s="353">
        <f>COUNTIF(tblSeverityAnalysis[[#This Row],[1 sector in severity phase 5 '[modify the threshold']]:[Manual Flag]], "Flagged")</f>
        <v>2</v>
      </c>
      <c r="AU85" s="339">
        <f>tblSeverityAnalysis[[#This Row],[Preliminary Intersectoral Severity based on overlap of sectoral deprivations]]</f>
        <v>4</v>
      </c>
      <c r="AV85" s="340"/>
    </row>
    <row r="86" spans="1:48" ht="36.950000000000003" hidden="1">
      <c r="A8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Global_PopulationHT0622</v>
      </c>
      <c r="B86" s="39" t="s">
        <v>319</v>
      </c>
      <c r="C86" s="331" t="s">
        <v>320</v>
      </c>
      <c r="D86" s="331" t="s">
        <v>331</v>
      </c>
      <c r="E86" s="34" t="s">
        <v>332</v>
      </c>
      <c r="F86" s="34"/>
      <c r="G86" s="34"/>
      <c r="H86" s="358"/>
      <c r="I86" s="354">
        <v>52389</v>
      </c>
      <c r="J86" s="96" t="s">
        <v>156</v>
      </c>
      <c r="K86" s="372">
        <v>1</v>
      </c>
      <c r="L86" s="308">
        <v>3</v>
      </c>
      <c r="M86" s="308">
        <v>2</v>
      </c>
      <c r="N86" s="308">
        <v>4</v>
      </c>
      <c r="O86" s="308">
        <v>3</v>
      </c>
      <c r="P86" s="308">
        <v>4</v>
      </c>
      <c r="Q86" s="309">
        <v>1</v>
      </c>
      <c r="R86" s="341">
        <v>4</v>
      </c>
      <c r="S86" s="310"/>
      <c r="T86" s="308"/>
      <c r="U86" s="308"/>
      <c r="V86" s="308"/>
      <c r="W86" s="332">
        <f>IF(COUNTIF(tblSeverityAnalysis[[#This Row],[CCCM]:[WASH]], 1)=0, "", COUNTIF(tblSeverityAnalysis[[#This Row],[CCCM]:[WASH]], 1))</f>
        <v>2</v>
      </c>
      <c r="X86" s="333">
        <f>IF(COUNTIF(tblSeverityAnalysis[[#This Row],[CCCM]:[WASH]], 2)=0, "", COUNTIF(tblSeverityAnalysis[[#This Row],[CCCM]:[WASH]], 2))</f>
        <v>1</v>
      </c>
      <c r="Y86" s="333">
        <f>IF(COUNTIF(tblSeverityAnalysis[[#This Row],[CCCM]:[WASH]], 3)=0, "", COUNTIF(tblSeverityAnalysis[[#This Row],[CCCM]:[WASH]], 3))</f>
        <v>2</v>
      </c>
      <c r="Z86" s="333">
        <f>IF(COUNTIF(tblSeverityAnalysis[[#This Row],[CCCM]:[WASH]], 4)=0, "", COUNTIF(tblSeverityAnalysis[[#This Row],[CCCM]:[WASH]], 4))</f>
        <v>3</v>
      </c>
      <c r="AA86" s="334" t="str">
        <f>IF(COUNTIF(tblSeverityAnalysis[[#This Row],[CCCM]:[WASH]], 5)=0, "", COUNTIF(tblSeverityAnalysis[[#This Row],[CCCM]:[WASH]], 5))</f>
        <v/>
      </c>
      <c r="AB86" s="60" cm="1">
        <f t="array" ref="AB8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6"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6" s="33">
        <f>IFERROR(IF(INDEX(tblSeverityReference[Malnutrition Severity],MATCH(tblSeverityAnalysis[[#This Row],[ID]], tblSeverityReference[ID], 0))= "", "",INDEX(tblSeverityReference[Malnutrition Severity],MATCH(tblSeverityAnalysis[[#This Row],[ID]], tblSeverityReference[ID], 0)) ), "")</f>
        <v>2</v>
      </c>
      <c r="AE86" s="347">
        <f>IFERROR(IF(INDEX(tblSeverityReference[Epidemic Severity],MATCH(tblSeverityAnalysis[[#This Row],[ID]], tblSeverityReference[ID], 0))= "", "",INDEX(tblSeverityReference[Epidemic Severity],MATCH(tblSeverityAnalysis[[#This Row],[ID]], tblSeverityReference[ID], 0)) ), "")</f>
        <v>3</v>
      </c>
      <c r="AF86" s="310" t="str">
        <f>IFERROR(IF(INDEX(tblSeverityReference[Coping Strategy Severity],MATCH(tblSeverityAnalysis[[#This Row],[ID]], tblSeverityReference[ID], 0))= "", "",INDEX(tblSeverityReference[Coping Strategy Severity],MATCH(tblSeverityAnalysis[[#This Row],[ID]], tblSeverityReference[ID], 0)) ), "")</f>
        <v/>
      </c>
      <c r="AG86" s="108">
        <f>IFERROR(IF(INDEX(tblSeverityReference[HR/IHL Violation],MATCH(tblSeverityAnalysis[[#This Row],[ID]], tblSeverityReference[ID], 0))= "", "",INDEX(tblSeverityReference[HR/IHL Violation],MATCH(tblSeverityAnalysis[[#This Row],[ID]], tblSeverityReference[ID], 0)) ), "")</f>
        <v>3</v>
      </c>
      <c r="AH86" s="82">
        <f>IFERROR(AVERAGE(tblSeverityAnalysis[[#This Row],[CCCM]:[WASH]]), "")</f>
        <v>2.75</v>
      </c>
      <c r="AI86" s="27">
        <f>IF(SUM(tblSeverityAnalysis[[#This Row],[CCCM]:[WASH]])=0, "", MAX(tblSeverityAnalysis[[#This Row],[CCCM]:[WASH]]))</f>
        <v>4</v>
      </c>
      <c r="AJ86" s="335" t="str" cm="1">
        <f t="array" ref="AJ86">IFERROR(IF(tblSeverityAnalysis[[#This Row],[Highest Severity]]="", "", _xlfn.TEXTJOIN(CHAR(10), TRUE, IF(tblSeverityAnalysis[[#This Row],[CCCM]:[WASH]]=tblSeverityAnalysis[[#This Row],[Highest Severity]], tblSeverityAnalysis[[#Headers],[CCCM]:[WASH]], ""), "")), "")</f>
        <v>Food Security
Protection
WASH</v>
      </c>
      <c r="AK86" s="27" cm="1">
        <f t="array" ref="AK86">IFERROR(MAX(_xlfn._xlws.FILTER(tblSeverityAnalysis[[#This Row],[CCCM]:[WASH]], tblSeverityAnalysis[[#This Row],[CCCM]:[WASH]]&lt;tblSeverityAnalysis[[#This Row],[Highest Severity]])), "")</f>
        <v>3</v>
      </c>
      <c r="AL86" s="324" t="str" cm="1">
        <f t="array" ref="AL86">IFERROR(IF(tblSeverityAnalysis[[#This Row],[2nd Highest Severity]]="", "", _xlfn.TEXTJOIN(CHAR(10), TRUE, IF(tblSeverityAnalysis[[#This Row],[CCCM]:[WASH]]=tblSeverityAnalysis[[#This Row],[2nd Highest Severity]], tblSeverityAnalysis[[#Headers],[CCCM]:[WASH]], ""), "")), "")</f>
        <v>Education
Health</v>
      </c>
      <c r="AM86" s="132" t="str">
        <f>IFERROR(IF(AND(tblSeverityAnalysis[[#This Row],[5]] &lt;&gt; "", tblSeverityAnalysis[[#This Row],[5]]&gt;=sectors_sev_5), "Flagged", ""), "")</f>
        <v/>
      </c>
      <c r="AN86" s="133" t="str">
        <f>IFERROR(IF(AND(tblSeverityAnalysis[[#This Row],[Preliminary Intersectoral Severity based on overlap of sectoral deprivations]]=4, SUM(tblSeverityAnalysis[[#This Row],[ 4 ]:[5]])&gt;=sectors_sev_4), "Flagged", ""), "")</f>
        <v/>
      </c>
      <c r="AO86" s="133" t="str" cm="1">
        <f t="array" ref="AO8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6" s="337"/>
      <c r="AR86" s="338"/>
      <c r="AS86" s="337"/>
      <c r="AT86" s="353">
        <f>COUNTIF(tblSeverityAnalysis[[#This Row],[1 sector in severity phase 5 '[modify the threshold']]:[Manual Flag]], "Flagged")</f>
        <v>1</v>
      </c>
      <c r="AU86" s="339">
        <v>4</v>
      </c>
      <c r="AV86" s="340" t="s">
        <v>560</v>
      </c>
    </row>
    <row r="87" spans="1:48" ht="61.5" hidden="1">
      <c r="A8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Global_PopulationHT0623</v>
      </c>
      <c r="B87" s="39" t="s">
        <v>319</v>
      </c>
      <c r="C87" s="331" t="s">
        <v>320</v>
      </c>
      <c r="D87" s="331" t="s">
        <v>333</v>
      </c>
      <c r="E87" s="34" t="s">
        <v>334</v>
      </c>
      <c r="F87" s="34"/>
      <c r="G87" s="34"/>
      <c r="H87" s="357"/>
      <c r="I87" s="354">
        <v>79705</v>
      </c>
      <c r="J87" s="96" t="s">
        <v>156</v>
      </c>
      <c r="K87" s="305">
        <v>3</v>
      </c>
      <c r="L87" s="308">
        <v>3</v>
      </c>
      <c r="M87" s="308">
        <v>2</v>
      </c>
      <c r="N87" s="308">
        <v>4</v>
      </c>
      <c r="O87" s="308">
        <v>4</v>
      </c>
      <c r="P87" s="308">
        <v>3</v>
      </c>
      <c r="Q87" s="309">
        <v>3</v>
      </c>
      <c r="R87" s="341">
        <v>3</v>
      </c>
      <c r="S87" s="310"/>
      <c r="T87" s="308"/>
      <c r="U87" s="308"/>
      <c r="V87" s="308"/>
      <c r="W87" s="332" t="str">
        <f>IF(COUNTIF(tblSeverityAnalysis[[#This Row],[CCCM]:[WASH]], 1)=0, "", COUNTIF(tblSeverityAnalysis[[#This Row],[CCCM]:[WASH]], 1))</f>
        <v/>
      </c>
      <c r="X87" s="333">
        <f>IF(COUNTIF(tblSeverityAnalysis[[#This Row],[CCCM]:[WASH]], 2)=0, "", COUNTIF(tblSeverityAnalysis[[#This Row],[CCCM]:[WASH]], 2))</f>
        <v>1</v>
      </c>
      <c r="Y87" s="333">
        <f>IF(COUNTIF(tblSeverityAnalysis[[#This Row],[CCCM]:[WASH]], 3)=0, "", COUNTIF(tblSeverityAnalysis[[#This Row],[CCCM]:[WASH]], 3))</f>
        <v>5</v>
      </c>
      <c r="Z87" s="333">
        <f>IF(COUNTIF(tblSeverityAnalysis[[#This Row],[CCCM]:[WASH]], 4)=0, "", COUNTIF(tblSeverityAnalysis[[#This Row],[CCCM]:[WASH]], 4))</f>
        <v>2</v>
      </c>
      <c r="AA87" s="334" t="str">
        <f>IF(COUNTIF(tblSeverityAnalysis[[#This Row],[CCCM]:[WASH]], 5)=0, "", COUNTIF(tblSeverityAnalysis[[#This Row],[CCCM]:[WASH]], 5))</f>
        <v/>
      </c>
      <c r="AB87" s="60" cm="1">
        <f t="array" ref="AB8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7"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87" s="33">
        <f>IFERROR(IF(INDEX(tblSeverityReference[Malnutrition Severity],MATCH(tblSeverityAnalysis[[#This Row],[ID]], tblSeverityReference[ID], 0))= "", "",INDEX(tblSeverityReference[Malnutrition Severity],MATCH(tblSeverityAnalysis[[#This Row],[ID]], tblSeverityReference[ID], 0)) ), "")</f>
        <v>2</v>
      </c>
      <c r="AE87" s="347">
        <f>IFERROR(IF(INDEX(tblSeverityReference[Epidemic Severity],MATCH(tblSeverityAnalysis[[#This Row],[ID]], tblSeverityReference[ID], 0))= "", "",INDEX(tblSeverityReference[Epidemic Severity],MATCH(tblSeverityAnalysis[[#This Row],[ID]], tblSeverityReference[ID], 0)) ), "")</f>
        <v>3</v>
      </c>
      <c r="AF87" s="310" t="str">
        <f>IFERROR(IF(INDEX(tblSeverityReference[Coping Strategy Severity],MATCH(tblSeverityAnalysis[[#This Row],[ID]], tblSeverityReference[ID], 0))= "", "",INDEX(tblSeverityReference[Coping Strategy Severity],MATCH(tblSeverityAnalysis[[#This Row],[ID]], tblSeverityReference[ID], 0)) ), "")</f>
        <v/>
      </c>
      <c r="AG87" s="348">
        <f>IFERROR(IF(INDEX(tblSeverityReference[HR/IHL Violation],MATCH(tblSeverityAnalysis[[#This Row],[ID]], tblSeverityReference[ID], 0))= "", "",INDEX(tblSeverityReference[HR/IHL Violation],MATCH(tblSeverityAnalysis[[#This Row],[ID]], tblSeverityReference[ID], 0)) ), "")</f>
        <v>3</v>
      </c>
      <c r="AH87" s="82">
        <f>IFERROR(AVERAGE(tblSeverityAnalysis[[#This Row],[CCCM]:[WASH]]), "")</f>
        <v>3.125</v>
      </c>
      <c r="AI87" s="27">
        <f>IF(SUM(tblSeverityAnalysis[[#This Row],[CCCM]:[WASH]])=0, "", MAX(tblSeverityAnalysis[[#This Row],[CCCM]:[WASH]]))</f>
        <v>4</v>
      </c>
      <c r="AJ87" s="335" t="str" cm="1">
        <f t="array" ref="AJ87">IFERROR(IF(tblSeverityAnalysis[[#This Row],[Highest Severity]]="", "", _xlfn.TEXTJOIN(CHAR(10), TRUE, IF(tblSeverityAnalysis[[#This Row],[CCCM]:[WASH]]=tblSeverityAnalysis[[#This Row],[Highest Severity]], tblSeverityAnalysis[[#Headers],[CCCM]:[WASH]], ""), "")), "")</f>
        <v>Food Security
Health</v>
      </c>
      <c r="AK87" s="27" cm="1">
        <f t="array" ref="AK87">IFERROR(MAX(_xlfn._xlws.FILTER(tblSeverityAnalysis[[#This Row],[CCCM]:[WASH]], tblSeverityAnalysis[[#This Row],[CCCM]:[WASH]]&lt;tblSeverityAnalysis[[#This Row],[Highest Severity]])), "")</f>
        <v>3</v>
      </c>
      <c r="AL87" s="324" t="str" cm="1">
        <f t="array" ref="AL87">IFERROR(IF(tblSeverityAnalysis[[#This Row],[2nd Highest Severity]]="", "", _xlfn.TEXTJOIN(CHAR(10), TRUE, IF(tblSeverityAnalysis[[#This Row],[CCCM]:[WASH]]=tblSeverityAnalysis[[#This Row],[2nd Highest Severity]], tblSeverityAnalysis[[#Headers],[CCCM]:[WASH]], ""), "")), "")</f>
        <v>CCCM
Education
Protection
Shelter
WASH</v>
      </c>
      <c r="AM87" s="132" t="str">
        <f>IFERROR(IF(AND(tblSeverityAnalysis[[#This Row],[5]] &lt;&gt; "", tblSeverityAnalysis[[#This Row],[5]]&gt;=sectors_sev_5), "Flagged", ""), "")</f>
        <v/>
      </c>
      <c r="AN87" s="133" t="str">
        <f>IFERROR(IF(AND(tblSeverityAnalysis[[#This Row],[Preliminary Intersectoral Severity based on overlap of sectoral deprivations]]=4, SUM(tblSeverityAnalysis[[#This Row],[ 4 ]:[5]])&gt;=sectors_sev_4), "Flagged", ""), "")</f>
        <v/>
      </c>
      <c r="AO87" s="133" t="str" cm="1">
        <f t="array" ref="AO8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8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7" s="337"/>
      <c r="AR87" s="338"/>
      <c r="AS87" s="337"/>
      <c r="AT87" s="353">
        <f>COUNTIF(tblSeverityAnalysis[[#This Row],[1 sector in severity phase 5 '[modify the threshold']]:[Manual Flag]], "Flagged")</f>
        <v>0</v>
      </c>
      <c r="AU87" s="339">
        <f>tblSeverityAnalysis[[#This Row],[Preliminary Intersectoral Severity based on overlap of sectoral deprivations]]</f>
        <v>3</v>
      </c>
      <c r="AV87" s="340"/>
    </row>
    <row r="88" spans="1:48" ht="24.6" hidden="1">
      <c r="A8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Global_PopulationHT0631</v>
      </c>
      <c r="B88" s="39" t="s">
        <v>319</v>
      </c>
      <c r="C88" s="331" t="s">
        <v>320</v>
      </c>
      <c r="D88" s="331" t="s">
        <v>335</v>
      </c>
      <c r="E88" s="34" t="s">
        <v>336</v>
      </c>
      <c r="F88" s="34"/>
      <c r="G88" s="34"/>
      <c r="H88" s="358"/>
      <c r="I88" s="354">
        <v>65198</v>
      </c>
      <c r="J88" s="96" t="s">
        <v>156</v>
      </c>
      <c r="K88" s="305">
        <v>5</v>
      </c>
      <c r="L88" s="308">
        <v>3</v>
      </c>
      <c r="M88" s="308">
        <v>2</v>
      </c>
      <c r="N88" s="308">
        <v>4</v>
      </c>
      <c r="O88" s="308">
        <v>2</v>
      </c>
      <c r="P88" s="308">
        <v>3</v>
      </c>
      <c r="Q88" s="309">
        <v>3</v>
      </c>
      <c r="R88" s="341">
        <v>3</v>
      </c>
      <c r="S88" s="310"/>
      <c r="T88" s="308"/>
      <c r="U88" s="308"/>
      <c r="V88" s="308"/>
      <c r="W88" s="332" t="str">
        <f>IF(COUNTIF(tblSeverityAnalysis[[#This Row],[CCCM]:[WASH]], 1)=0, "", COUNTIF(tblSeverityAnalysis[[#This Row],[CCCM]:[WASH]], 1))</f>
        <v/>
      </c>
      <c r="X88" s="333">
        <f>IF(COUNTIF(tblSeverityAnalysis[[#This Row],[CCCM]:[WASH]], 2)=0, "", COUNTIF(tblSeverityAnalysis[[#This Row],[CCCM]:[WASH]], 2))</f>
        <v>2</v>
      </c>
      <c r="Y88" s="333">
        <f>IF(COUNTIF(tblSeverityAnalysis[[#This Row],[CCCM]:[WASH]], 3)=0, "", COUNTIF(tblSeverityAnalysis[[#This Row],[CCCM]:[WASH]], 3))</f>
        <v>4</v>
      </c>
      <c r="Z88" s="333">
        <f>IF(COUNTIF(tblSeverityAnalysis[[#This Row],[CCCM]:[WASH]], 4)=0, "", COUNTIF(tblSeverityAnalysis[[#This Row],[CCCM]:[WASH]], 4))</f>
        <v>1</v>
      </c>
      <c r="AA88" s="334">
        <f>IF(COUNTIF(tblSeverityAnalysis[[#This Row],[CCCM]:[WASH]], 5)=0, "", COUNTIF(tblSeverityAnalysis[[#This Row],[CCCM]:[WASH]], 5))</f>
        <v>1</v>
      </c>
      <c r="AB88" s="60" cm="1">
        <f t="array" ref="AB8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88"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88" s="33">
        <f>IFERROR(IF(INDEX(tblSeverityReference[Malnutrition Severity],MATCH(tblSeverityAnalysis[[#This Row],[ID]], tblSeverityReference[ID], 0))= "", "",INDEX(tblSeverityReference[Malnutrition Severity],MATCH(tblSeverityAnalysis[[#This Row],[ID]], tblSeverityReference[ID], 0)) ), "")</f>
        <v>2</v>
      </c>
      <c r="AE88" s="347">
        <f>IFERROR(IF(INDEX(tblSeverityReference[Epidemic Severity],MATCH(tblSeverityAnalysis[[#This Row],[ID]], tblSeverityReference[ID], 0))= "", "",INDEX(tblSeverityReference[Epidemic Severity],MATCH(tblSeverityAnalysis[[#This Row],[ID]], tblSeverityReference[ID], 0)) ), "")</f>
        <v>3</v>
      </c>
      <c r="AF88" s="310" t="str">
        <f>IFERROR(IF(INDEX(tblSeverityReference[Coping Strategy Severity],MATCH(tblSeverityAnalysis[[#This Row],[ID]], tblSeverityReference[ID], 0))= "", "",INDEX(tblSeverityReference[Coping Strategy Severity],MATCH(tblSeverityAnalysis[[#This Row],[ID]], tblSeverityReference[ID], 0)) ), "")</f>
        <v/>
      </c>
      <c r="AG88" s="108">
        <f>IFERROR(IF(INDEX(tblSeverityReference[HR/IHL Violation],MATCH(tblSeverityAnalysis[[#This Row],[ID]], tblSeverityReference[ID], 0))= "", "",INDEX(tblSeverityReference[HR/IHL Violation],MATCH(tblSeverityAnalysis[[#This Row],[ID]], tblSeverityReference[ID], 0)) ), "")</f>
        <v>3</v>
      </c>
      <c r="AH88" s="82">
        <f>IFERROR(AVERAGE(tblSeverityAnalysis[[#This Row],[CCCM]:[WASH]]), "")</f>
        <v>3.125</v>
      </c>
      <c r="AI88" s="27">
        <f>IF(SUM(tblSeverityAnalysis[[#This Row],[CCCM]:[WASH]])=0, "", MAX(tblSeverityAnalysis[[#This Row],[CCCM]:[WASH]]))</f>
        <v>5</v>
      </c>
      <c r="AJ88" s="335" t="str" cm="1">
        <f t="array" ref="AJ88">IFERROR(IF(tblSeverityAnalysis[[#This Row],[Highest Severity]]="", "", _xlfn.TEXTJOIN(CHAR(10), TRUE, IF(tblSeverityAnalysis[[#This Row],[CCCM]:[WASH]]=tblSeverityAnalysis[[#This Row],[Highest Severity]], tblSeverityAnalysis[[#Headers],[CCCM]:[WASH]], ""), "")), "")</f>
        <v>CCCM</v>
      </c>
      <c r="AK88" s="27" cm="1">
        <f t="array" ref="AK88">IFERROR(MAX(_xlfn._xlws.FILTER(tblSeverityAnalysis[[#This Row],[CCCM]:[WASH]], tblSeverityAnalysis[[#This Row],[CCCM]:[WASH]]&lt;tblSeverityAnalysis[[#This Row],[Highest Severity]])), "")</f>
        <v>4</v>
      </c>
      <c r="AL88" s="324" t="str" cm="1">
        <f t="array" ref="AL88">IFERROR(IF(tblSeverityAnalysis[[#This Row],[2nd Highest Severity]]="", "", _xlfn.TEXTJOIN(CHAR(10), TRUE, IF(tblSeverityAnalysis[[#This Row],[CCCM]:[WASH]]=tblSeverityAnalysis[[#This Row],[2nd Highest Severity]], tblSeverityAnalysis[[#Headers],[CCCM]:[WASH]], ""), "")), "")</f>
        <v>Food Security</v>
      </c>
      <c r="AM88" s="132" t="str">
        <f>IFERROR(IF(AND(tblSeverityAnalysis[[#This Row],[5]] &lt;&gt; "", tblSeverityAnalysis[[#This Row],[5]]&gt;=sectors_sev_5), "Flagged", ""), "")</f>
        <v>Flagged</v>
      </c>
      <c r="AN88" s="133" t="str">
        <f>IFERROR(IF(AND(tblSeverityAnalysis[[#This Row],[Preliminary Intersectoral Severity based on overlap of sectoral deprivations]]=4, SUM(tblSeverityAnalysis[[#This Row],[ 4 ]:[5]])&gt;=sectors_sev_4), "Flagged", ""), "")</f>
        <v/>
      </c>
      <c r="AO88" s="133" t="str" cm="1">
        <f t="array" ref="AO8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88" s="337"/>
      <c r="AR88" s="338"/>
      <c r="AS88" s="337"/>
      <c r="AT88" s="353">
        <f>COUNTIF(tblSeverityAnalysis[[#This Row],[1 sector in severity phase 5 '[modify the threshold']]:[Manual Flag]], "Flagged")</f>
        <v>2</v>
      </c>
      <c r="AU88" s="339">
        <v>4</v>
      </c>
      <c r="AV88" s="340" t="s">
        <v>561</v>
      </c>
    </row>
    <row r="89" spans="1:48" ht="61.5" hidden="1">
      <c r="A8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Global_PopulationHT0632</v>
      </c>
      <c r="B89" s="39" t="s">
        <v>319</v>
      </c>
      <c r="C89" s="331" t="s">
        <v>320</v>
      </c>
      <c r="D89" s="331" t="s">
        <v>337</v>
      </c>
      <c r="E89" s="34" t="s">
        <v>338</v>
      </c>
      <c r="F89" s="34"/>
      <c r="G89" s="34"/>
      <c r="H89" s="357"/>
      <c r="I89" s="354">
        <v>123067</v>
      </c>
      <c r="J89" s="96" t="s">
        <v>156</v>
      </c>
      <c r="K89" s="305">
        <v>4</v>
      </c>
      <c r="L89" s="308">
        <v>3</v>
      </c>
      <c r="M89" s="308">
        <v>3</v>
      </c>
      <c r="N89" s="308">
        <v>4</v>
      </c>
      <c r="O89" s="308">
        <v>4</v>
      </c>
      <c r="P89" s="308">
        <v>4</v>
      </c>
      <c r="Q89" s="309">
        <v>4</v>
      </c>
      <c r="R89" s="341">
        <v>3</v>
      </c>
      <c r="S89" s="310"/>
      <c r="T89" s="308"/>
      <c r="U89" s="308"/>
      <c r="V89" s="308"/>
      <c r="W89" s="332" t="str">
        <f>IF(COUNTIF(tblSeverityAnalysis[[#This Row],[CCCM]:[WASH]], 1)=0, "", COUNTIF(tblSeverityAnalysis[[#This Row],[CCCM]:[WASH]], 1))</f>
        <v/>
      </c>
      <c r="X89" s="333" t="str">
        <f>IF(COUNTIF(tblSeverityAnalysis[[#This Row],[CCCM]:[WASH]], 2)=0, "", COUNTIF(tblSeverityAnalysis[[#This Row],[CCCM]:[WASH]], 2))</f>
        <v/>
      </c>
      <c r="Y89" s="333">
        <f>IF(COUNTIF(tblSeverityAnalysis[[#This Row],[CCCM]:[WASH]], 3)=0, "", COUNTIF(tblSeverityAnalysis[[#This Row],[CCCM]:[WASH]], 3))</f>
        <v>3</v>
      </c>
      <c r="Z89" s="333">
        <f>IF(COUNTIF(tblSeverityAnalysis[[#This Row],[CCCM]:[WASH]], 4)=0, "", COUNTIF(tblSeverityAnalysis[[#This Row],[CCCM]:[WASH]], 4))</f>
        <v>5</v>
      </c>
      <c r="AA89" s="334" t="str">
        <f>IF(COUNTIF(tblSeverityAnalysis[[#This Row],[CCCM]:[WASH]], 5)=0, "", COUNTIF(tblSeverityAnalysis[[#This Row],[CCCM]:[WASH]], 5))</f>
        <v/>
      </c>
      <c r="AB89" s="60" cm="1">
        <f t="array" ref="AB8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4</v>
      </c>
      <c r="AC89"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89" s="33">
        <f>IFERROR(IF(INDEX(tblSeverityReference[Malnutrition Severity],MATCH(tblSeverityAnalysis[[#This Row],[ID]], tblSeverityReference[ID], 0))= "", "",INDEX(tblSeverityReference[Malnutrition Severity],MATCH(tblSeverityAnalysis[[#This Row],[ID]], tblSeverityReference[ID], 0)) ), "")</f>
        <v>2</v>
      </c>
      <c r="AE89" s="347">
        <f>IFERROR(IF(INDEX(tblSeverityReference[Epidemic Severity],MATCH(tblSeverityAnalysis[[#This Row],[ID]], tblSeverityReference[ID], 0))= "", "",INDEX(tblSeverityReference[Epidemic Severity],MATCH(tblSeverityAnalysis[[#This Row],[ID]], tblSeverityReference[ID], 0)) ), "")</f>
        <v>3</v>
      </c>
      <c r="AF89" s="310" t="str">
        <f>IFERROR(IF(INDEX(tblSeverityReference[Coping Strategy Severity],MATCH(tblSeverityAnalysis[[#This Row],[ID]], tblSeverityReference[ID], 0))= "", "",INDEX(tblSeverityReference[Coping Strategy Severity],MATCH(tblSeverityAnalysis[[#This Row],[ID]], tblSeverityReference[ID], 0)) ), "")</f>
        <v/>
      </c>
      <c r="AG89" s="348">
        <f>IFERROR(IF(INDEX(tblSeverityReference[HR/IHL Violation],MATCH(tblSeverityAnalysis[[#This Row],[ID]], tblSeverityReference[ID], 0))= "", "",INDEX(tblSeverityReference[HR/IHL Violation],MATCH(tblSeverityAnalysis[[#This Row],[ID]], tblSeverityReference[ID], 0)) ), "")</f>
        <v>4</v>
      </c>
      <c r="AH89" s="82">
        <f>IFERROR(AVERAGE(tblSeverityAnalysis[[#This Row],[CCCM]:[WASH]]), "")</f>
        <v>3.625</v>
      </c>
      <c r="AI89" s="27">
        <f>IF(SUM(tblSeverityAnalysis[[#This Row],[CCCM]:[WASH]])=0, "", MAX(tblSeverityAnalysis[[#This Row],[CCCM]:[WASH]]))</f>
        <v>4</v>
      </c>
      <c r="AJ89" s="335" t="str" cm="1">
        <f t="array" ref="AJ89">IFERROR(IF(tblSeverityAnalysis[[#This Row],[Highest Severity]]="", "", _xlfn.TEXTJOIN(CHAR(10), TRUE, IF(tblSeverityAnalysis[[#This Row],[CCCM]:[WASH]]=tblSeverityAnalysis[[#This Row],[Highest Severity]], tblSeverityAnalysis[[#Headers],[CCCM]:[WASH]], ""), "")), "")</f>
        <v>CCCM
Food Security
Health
Protection
Shelter</v>
      </c>
      <c r="AK89" s="27" cm="1">
        <f t="array" ref="AK89">IFERROR(MAX(_xlfn._xlws.FILTER(tblSeverityAnalysis[[#This Row],[CCCM]:[WASH]], tblSeverityAnalysis[[#This Row],[CCCM]:[WASH]]&lt;tblSeverityAnalysis[[#This Row],[Highest Severity]])), "")</f>
        <v>3</v>
      </c>
      <c r="AL89" s="324" t="str" cm="1">
        <f t="array" ref="AL89">IFERROR(IF(tblSeverityAnalysis[[#This Row],[2nd Highest Severity]]="", "", _xlfn.TEXTJOIN(CHAR(10), TRUE, IF(tblSeverityAnalysis[[#This Row],[CCCM]:[WASH]]=tblSeverityAnalysis[[#This Row],[2nd Highest Severity]], tblSeverityAnalysis[[#Headers],[CCCM]:[WASH]], ""), "")), "")</f>
        <v>Education
Nutrition
WASH</v>
      </c>
      <c r="AM89" s="132" t="str">
        <f>IFERROR(IF(AND(tblSeverityAnalysis[[#This Row],[5]] &lt;&gt; "", tblSeverityAnalysis[[#This Row],[5]]&gt;=sectors_sev_5), "Flagged", ""), "")</f>
        <v/>
      </c>
      <c r="AN89" s="133" t="str">
        <f>IFERROR(IF(AND(tblSeverityAnalysis[[#This Row],[Preliminary Intersectoral Severity based on overlap of sectoral deprivations]]=4, SUM(tblSeverityAnalysis[[#This Row],[ 4 ]:[5]])&gt;=sectors_sev_4), "Flagged", ""), "")</f>
        <v>Flagged</v>
      </c>
      <c r="AO89" s="133" t="str" cm="1">
        <f t="array" ref="AO8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8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89" s="337"/>
      <c r="AR89" s="338"/>
      <c r="AS89" s="337"/>
      <c r="AT89" s="353">
        <f>COUNTIF(tblSeverityAnalysis[[#This Row],[1 sector in severity phase 5 '[modify the threshold']]:[Manual Flag]], "Flagged")</f>
        <v>3</v>
      </c>
      <c r="AU89" s="339">
        <f>tblSeverityAnalysis[[#This Row],[Preliminary Intersectoral Severity based on overlap of sectoral deprivations]]</f>
        <v>4</v>
      </c>
      <c r="AV89" s="340"/>
    </row>
    <row r="90" spans="1:48" ht="49.15" hidden="1">
      <c r="A9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Global_PopulationHT0633</v>
      </c>
      <c r="B90" s="39" t="s">
        <v>319</v>
      </c>
      <c r="C90" s="331" t="s">
        <v>320</v>
      </c>
      <c r="D90" s="331" t="s">
        <v>339</v>
      </c>
      <c r="E90" s="34" t="s">
        <v>340</v>
      </c>
      <c r="F90" s="34"/>
      <c r="G90" s="34"/>
      <c r="H90" s="358"/>
      <c r="I90" s="354">
        <v>46902</v>
      </c>
      <c r="J90" s="96" t="s">
        <v>156</v>
      </c>
      <c r="K90" s="305">
        <v>3</v>
      </c>
      <c r="L90" s="308">
        <v>3</v>
      </c>
      <c r="M90" s="308">
        <v>2</v>
      </c>
      <c r="N90" s="308">
        <v>4</v>
      </c>
      <c r="O90" s="308">
        <v>2</v>
      </c>
      <c r="P90" s="308">
        <v>2</v>
      </c>
      <c r="Q90" s="309">
        <v>3</v>
      </c>
      <c r="R90" s="341">
        <v>3</v>
      </c>
      <c r="S90" s="310"/>
      <c r="T90" s="308"/>
      <c r="U90" s="308"/>
      <c r="V90" s="308"/>
      <c r="W90" s="332" t="str">
        <f>IF(COUNTIF(tblSeverityAnalysis[[#This Row],[CCCM]:[WASH]], 1)=0, "", COUNTIF(tblSeverityAnalysis[[#This Row],[CCCM]:[WASH]], 1))</f>
        <v/>
      </c>
      <c r="X90" s="333">
        <f>IF(COUNTIF(tblSeverityAnalysis[[#This Row],[CCCM]:[WASH]], 2)=0, "", COUNTIF(tblSeverityAnalysis[[#This Row],[CCCM]:[WASH]], 2))</f>
        <v>3</v>
      </c>
      <c r="Y90" s="333">
        <f>IF(COUNTIF(tblSeverityAnalysis[[#This Row],[CCCM]:[WASH]], 3)=0, "", COUNTIF(tblSeverityAnalysis[[#This Row],[CCCM]:[WASH]], 3))</f>
        <v>4</v>
      </c>
      <c r="Z90" s="333">
        <f>IF(COUNTIF(tblSeverityAnalysis[[#This Row],[CCCM]:[WASH]], 4)=0, "", COUNTIF(tblSeverityAnalysis[[#This Row],[CCCM]:[WASH]], 4))</f>
        <v>1</v>
      </c>
      <c r="AA90" s="334" t="str">
        <f>IF(COUNTIF(tblSeverityAnalysis[[#This Row],[CCCM]:[WASH]], 5)=0, "", COUNTIF(tblSeverityAnalysis[[#This Row],[CCCM]:[WASH]], 5))</f>
        <v/>
      </c>
      <c r="AB90" s="60" cm="1">
        <f t="array" ref="AB9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0"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90" s="33">
        <f>IFERROR(IF(INDEX(tblSeverityReference[Malnutrition Severity],MATCH(tblSeverityAnalysis[[#This Row],[ID]], tblSeverityReference[ID], 0))= "", "",INDEX(tblSeverityReference[Malnutrition Severity],MATCH(tblSeverityAnalysis[[#This Row],[ID]], tblSeverityReference[ID], 0)) ), "")</f>
        <v>2</v>
      </c>
      <c r="AE90" s="347">
        <f>IFERROR(IF(INDEX(tblSeverityReference[Epidemic Severity],MATCH(tblSeverityAnalysis[[#This Row],[ID]], tblSeverityReference[ID], 0))= "", "",INDEX(tblSeverityReference[Epidemic Severity],MATCH(tblSeverityAnalysis[[#This Row],[ID]], tblSeverityReference[ID], 0)) ), "")</f>
        <v>1</v>
      </c>
      <c r="AF90" s="310" t="str">
        <f>IFERROR(IF(INDEX(tblSeverityReference[Coping Strategy Severity],MATCH(tblSeverityAnalysis[[#This Row],[ID]], tblSeverityReference[ID], 0))= "", "",INDEX(tblSeverityReference[Coping Strategy Severity],MATCH(tblSeverityAnalysis[[#This Row],[ID]], tblSeverityReference[ID], 0)) ), "")</f>
        <v/>
      </c>
      <c r="AG90" s="108">
        <f>IFERROR(IF(INDEX(tblSeverityReference[HR/IHL Violation],MATCH(tblSeverityAnalysis[[#This Row],[ID]], tblSeverityReference[ID], 0))= "", "",INDEX(tblSeverityReference[HR/IHL Violation],MATCH(tblSeverityAnalysis[[#This Row],[ID]], tblSeverityReference[ID], 0)) ), "")</f>
        <v>3</v>
      </c>
      <c r="AH90" s="82">
        <f>IFERROR(AVERAGE(tblSeverityAnalysis[[#This Row],[CCCM]:[WASH]]), "")</f>
        <v>2.75</v>
      </c>
      <c r="AI90" s="27">
        <f>IF(SUM(tblSeverityAnalysis[[#This Row],[CCCM]:[WASH]])=0, "", MAX(tblSeverityAnalysis[[#This Row],[CCCM]:[WASH]]))</f>
        <v>4</v>
      </c>
      <c r="AJ90" s="335" t="str" cm="1">
        <f t="array" ref="AJ90">IFERROR(IF(tblSeverityAnalysis[[#This Row],[Highest Severity]]="", "", _xlfn.TEXTJOIN(CHAR(10), TRUE, IF(tblSeverityAnalysis[[#This Row],[CCCM]:[WASH]]=tblSeverityAnalysis[[#This Row],[Highest Severity]], tblSeverityAnalysis[[#Headers],[CCCM]:[WASH]], ""), "")), "")</f>
        <v>Food Security</v>
      </c>
      <c r="AK90" s="27" cm="1">
        <f t="array" ref="AK90">IFERROR(MAX(_xlfn._xlws.FILTER(tblSeverityAnalysis[[#This Row],[CCCM]:[WASH]], tblSeverityAnalysis[[#This Row],[CCCM]:[WASH]]&lt;tblSeverityAnalysis[[#This Row],[Highest Severity]])), "")</f>
        <v>3</v>
      </c>
      <c r="AL90" s="324" t="str" cm="1">
        <f t="array" ref="AL90">IFERROR(IF(tblSeverityAnalysis[[#This Row],[2nd Highest Severity]]="", "", _xlfn.TEXTJOIN(CHAR(10), TRUE, IF(tblSeverityAnalysis[[#This Row],[CCCM]:[WASH]]=tblSeverityAnalysis[[#This Row],[2nd Highest Severity]], tblSeverityAnalysis[[#Headers],[CCCM]:[WASH]], ""), "")), "")</f>
        <v>CCCM
Education
Shelter
WASH</v>
      </c>
      <c r="AM90" s="132" t="str">
        <f>IFERROR(IF(AND(tblSeverityAnalysis[[#This Row],[5]] &lt;&gt; "", tblSeverityAnalysis[[#This Row],[5]]&gt;=sectors_sev_5), "Flagged", ""), "")</f>
        <v/>
      </c>
      <c r="AN90" s="133" t="str">
        <f>IFERROR(IF(AND(tblSeverityAnalysis[[#This Row],[Preliminary Intersectoral Severity based on overlap of sectoral deprivations]]=4, SUM(tblSeverityAnalysis[[#This Row],[ 4 ]:[5]])&gt;=sectors_sev_4), "Flagged", ""), "")</f>
        <v/>
      </c>
      <c r="AO90" s="133" t="str" cm="1">
        <f t="array" ref="AO9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0" s="337"/>
      <c r="AR90" s="338"/>
      <c r="AS90" s="337"/>
      <c r="AT90" s="353">
        <f>COUNTIF(tblSeverityAnalysis[[#This Row],[1 sector in severity phase 5 '[modify the threshold']]:[Manual Flag]], "Flagged")</f>
        <v>2</v>
      </c>
      <c r="AU90" s="339">
        <f>tblSeverityAnalysis[[#This Row],[Preliminary Intersectoral Severity based on overlap of sectoral deprivations]]</f>
        <v>3</v>
      </c>
      <c r="AV90" s="340"/>
    </row>
    <row r="91" spans="1:48" ht="49.15" hidden="1">
      <c r="A9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Global_PopulationHT0641</v>
      </c>
      <c r="B91" s="39" t="s">
        <v>319</v>
      </c>
      <c r="C91" s="331" t="s">
        <v>320</v>
      </c>
      <c r="D91" s="331" t="s">
        <v>341</v>
      </c>
      <c r="E91" s="34" t="s">
        <v>342</v>
      </c>
      <c r="F91" s="34"/>
      <c r="G91" s="34"/>
      <c r="H91" s="357"/>
      <c r="I91" s="354">
        <v>73041</v>
      </c>
      <c r="J91" s="96" t="s">
        <v>156</v>
      </c>
      <c r="K91" s="372">
        <v>1</v>
      </c>
      <c r="L91" s="308">
        <v>3</v>
      </c>
      <c r="M91" s="308">
        <v>2</v>
      </c>
      <c r="N91" s="308">
        <v>3</v>
      </c>
      <c r="O91" s="308">
        <v>3</v>
      </c>
      <c r="P91" s="308">
        <v>2</v>
      </c>
      <c r="Q91" s="309">
        <v>3</v>
      </c>
      <c r="R91" s="341">
        <v>2</v>
      </c>
      <c r="S91" s="310"/>
      <c r="T91" s="308"/>
      <c r="U91" s="308"/>
      <c r="V91" s="308"/>
      <c r="W91" s="332">
        <f>IF(COUNTIF(tblSeverityAnalysis[[#This Row],[CCCM]:[WASH]], 1)=0, "", COUNTIF(tblSeverityAnalysis[[#This Row],[CCCM]:[WASH]], 1))</f>
        <v>1</v>
      </c>
      <c r="X91" s="333">
        <f>IF(COUNTIF(tblSeverityAnalysis[[#This Row],[CCCM]:[WASH]], 2)=0, "", COUNTIF(tblSeverityAnalysis[[#This Row],[CCCM]:[WASH]], 2))</f>
        <v>3</v>
      </c>
      <c r="Y91" s="333">
        <f>IF(COUNTIF(tblSeverityAnalysis[[#This Row],[CCCM]:[WASH]], 3)=0, "", COUNTIF(tblSeverityAnalysis[[#This Row],[CCCM]:[WASH]], 3))</f>
        <v>4</v>
      </c>
      <c r="Z91" s="333" t="str">
        <f>IF(COUNTIF(tblSeverityAnalysis[[#This Row],[CCCM]:[WASH]], 4)=0, "", COUNTIF(tblSeverityAnalysis[[#This Row],[CCCM]:[WASH]], 4))</f>
        <v/>
      </c>
      <c r="AA91" s="334" t="str">
        <f>IF(COUNTIF(tblSeverityAnalysis[[#This Row],[CCCM]:[WASH]], 5)=0, "", COUNTIF(tblSeverityAnalysis[[#This Row],[CCCM]:[WASH]], 5))</f>
        <v/>
      </c>
      <c r="AB91" s="60" cm="1">
        <f t="array" ref="AB9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1"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91" s="33">
        <f>IFERROR(IF(INDEX(tblSeverityReference[Malnutrition Severity],MATCH(tblSeverityAnalysis[[#This Row],[ID]], tblSeverityReference[ID], 0))= "", "",INDEX(tblSeverityReference[Malnutrition Severity],MATCH(tblSeverityAnalysis[[#This Row],[ID]], tblSeverityReference[ID], 0)) ), "")</f>
        <v>2</v>
      </c>
      <c r="AE91" s="347">
        <f>IFERROR(IF(INDEX(tblSeverityReference[Epidemic Severity],MATCH(tblSeverityAnalysis[[#This Row],[ID]], tblSeverityReference[ID], 0))= "", "",INDEX(tblSeverityReference[Epidemic Severity],MATCH(tblSeverityAnalysis[[#This Row],[ID]], tblSeverityReference[ID], 0)) ), "")</f>
        <v>3</v>
      </c>
      <c r="AF91" s="310" t="str">
        <f>IFERROR(IF(INDEX(tblSeverityReference[Coping Strategy Severity],MATCH(tblSeverityAnalysis[[#This Row],[ID]], tblSeverityReference[ID], 0))= "", "",INDEX(tblSeverityReference[Coping Strategy Severity],MATCH(tblSeverityAnalysis[[#This Row],[ID]], tblSeverityReference[ID], 0)) ), "")</f>
        <v/>
      </c>
      <c r="AG91" s="348">
        <f>IFERROR(IF(INDEX(tblSeverityReference[HR/IHL Violation],MATCH(tblSeverityAnalysis[[#This Row],[ID]], tblSeverityReference[ID], 0))= "", "",INDEX(tblSeverityReference[HR/IHL Violation],MATCH(tblSeverityAnalysis[[#This Row],[ID]], tblSeverityReference[ID], 0)) ), "")</f>
        <v>3</v>
      </c>
      <c r="AH91" s="82">
        <f>IFERROR(AVERAGE(tblSeverityAnalysis[[#This Row],[CCCM]:[WASH]]), "")</f>
        <v>2.375</v>
      </c>
      <c r="AI91" s="27">
        <f>IF(SUM(tblSeverityAnalysis[[#This Row],[CCCM]:[WASH]])=0, "", MAX(tblSeverityAnalysis[[#This Row],[CCCM]:[WASH]]))</f>
        <v>3</v>
      </c>
      <c r="AJ91" s="335" t="str" cm="1">
        <f t="array" ref="AJ91">IFERROR(IF(tblSeverityAnalysis[[#This Row],[Highest Severity]]="", "", _xlfn.TEXTJOIN(CHAR(10), TRUE, IF(tblSeverityAnalysis[[#This Row],[CCCM]:[WASH]]=tblSeverityAnalysis[[#This Row],[Highest Severity]], tblSeverityAnalysis[[#Headers],[CCCM]:[WASH]], ""), "")), "")</f>
        <v>Education
Food Security
Health
Shelter</v>
      </c>
      <c r="AK91" s="27" cm="1">
        <f t="array" ref="AK91">IFERROR(MAX(_xlfn._xlws.FILTER(tblSeverityAnalysis[[#This Row],[CCCM]:[WASH]], tblSeverityAnalysis[[#This Row],[CCCM]:[WASH]]&lt;tblSeverityAnalysis[[#This Row],[Highest Severity]])), "")</f>
        <v>2</v>
      </c>
      <c r="AL91" s="324" t="str" cm="1">
        <f t="array" ref="AL91">IFERROR(IF(tblSeverityAnalysis[[#This Row],[2nd Highest Severity]]="", "", _xlfn.TEXTJOIN(CHAR(10), TRUE, IF(tblSeverityAnalysis[[#This Row],[CCCM]:[WASH]]=tblSeverityAnalysis[[#This Row],[2nd Highest Severity]], tblSeverityAnalysis[[#Headers],[CCCM]:[WASH]], ""), "")), "")</f>
        <v>Nutrition
Protection
WASH</v>
      </c>
      <c r="AM91" s="132" t="str">
        <f>IFERROR(IF(AND(tblSeverityAnalysis[[#This Row],[5]] &lt;&gt; "", tblSeverityAnalysis[[#This Row],[5]]&gt;=sectors_sev_5), "Flagged", ""), "")</f>
        <v/>
      </c>
      <c r="AN91" s="133" t="str">
        <f>IFERROR(IF(AND(tblSeverityAnalysis[[#This Row],[Preliminary Intersectoral Severity based on overlap of sectoral deprivations]]=4, SUM(tblSeverityAnalysis[[#This Row],[ 4 ]:[5]])&gt;=sectors_sev_4), "Flagged", ""), "")</f>
        <v/>
      </c>
      <c r="AO91" s="133" t="str" cm="1">
        <f t="array" ref="AO9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1" s="337"/>
      <c r="AR91" s="338"/>
      <c r="AS91" s="337"/>
      <c r="AT91" s="353">
        <f>COUNTIF(tblSeverityAnalysis[[#This Row],[1 sector in severity phase 5 '[modify the threshold']]:[Manual Flag]], "Flagged")</f>
        <v>0</v>
      </c>
      <c r="AU91" s="339">
        <f>tblSeverityAnalysis[[#This Row],[Preliminary Intersectoral Severity based on overlap of sectoral deprivations]]</f>
        <v>3</v>
      </c>
      <c r="AV91" s="340"/>
    </row>
    <row r="92" spans="1:48" ht="61.5" hidden="1">
      <c r="A9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Global_PopulationHT0642</v>
      </c>
      <c r="B92" s="39" t="s">
        <v>319</v>
      </c>
      <c r="C92" s="331" t="s">
        <v>320</v>
      </c>
      <c r="D92" s="331" t="s">
        <v>343</v>
      </c>
      <c r="E92" s="34" t="s">
        <v>344</v>
      </c>
      <c r="F92" s="34"/>
      <c r="G92" s="34"/>
      <c r="H92" s="358"/>
      <c r="I92" s="354">
        <v>85148</v>
      </c>
      <c r="J92" s="96" t="s">
        <v>156</v>
      </c>
      <c r="K92" s="305">
        <v>3</v>
      </c>
      <c r="L92" s="308">
        <v>3</v>
      </c>
      <c r="M92" s="308">
        <v>2</v>
      </c>
      <c r="N92" s="308">
        <v>3</v>
      </c>
      <c r="O92" s="308">
        <v>3</v>
      </c>
      <c r="P92" s="308">
        <v>2</v>
      </c>
      <c r="Q92" s="309">
        <v>3</v>
      </c>
      <c r="R92" s="341">
        <v>2</v>
      </c>
      <c r="S92" s="310"/>
      <c r="T92" s="308"/>
      <c r="U92" s="308"/>
      <c r="V92" s="308"/>
      <c r="W92" s="332" t="str">
        <f>IF(COUNTIF(tblSeverityAnalysis[[#This Row],[CCCM]:[WASH]], 1)=0, "", COUNTIF(tblSeverityAnalysis[[#This Row],[CCCM]:[WASH]], 1))</f>
        <v/>
      </c>
      <c r="X92" s="333">
        <f>IF(COUNTIF(tblSeverityAnalysis[[#This Row],[CCCM]:[WASH]], 2)=0, "", COUNTIF(tblSeverityAnalysis[[#This Row],[CCCM]:[WASH]], 2))</f>
        <v>3</v>
      </c>
      <c r="Y92" s="333">
        <f>IF(COUNTIF(tblSeverityAnalysis[[#This Row],[CCCM]:[WASH]], 3)=0, "", COUNTIF(tblSeverityAnalysis[[#This Row],[CCCM]:[WASH]], 3))</f>
        <v>5</v>
      </c>
      <c r="Z92" s="333" t="str">
        <f>IF(COUNTIF(tblSeverityAnalysis[[#This Row],[CCCM]:[WASH]], 4)=0, "", COUNTIF(tblSeverityAnalysis[[#This Row],[CCCM]:[WASH]], 4))</f>
        <v/>
      </c>
      <c r="AA92" s="334" t="str">
        <f>IF(COUNTIF(tblSeverityAnalysis[[#This Row],[CCCM]:[WASH]], 5)=0, "", COUNTIF(tblSeverityAnalysis[[#This Row],[CCCM]:[WASH]], 5))</f>
        <v/>
      </c>
      <c r="AB92" s="60" cm="1">
        <f t="array" ref="AB9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2"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92" s="33">
        <f>IFERROR(IF(INDEX(tblSeverityReference[Malnutrition Severity],MATCH(tblSeverityAnalysis[[#This Row],[ID]], tblSeverityReference[ID], 0))= "", "",INDEX(tblSeverityReference[Malnutrition Severity],MATCH(tblSeverityAnalysis[[#This Row],[ID]], tblSeverityReference[ID], 0)) ), "")</f>
        <v>2</v>
      </c>
      <c r="AE92" s="347">
        <f>IFERROR(IF(INDEX(tblSeverityReference[Epidemic Severity],MATCH(tblSeverityAnalysis[[#This Row],[ID]], tblSeverityReference[ID], 0))= "", "",INDEX(tblSeverityReference[Epidemic Severity],MATCH(tblSeverityAnalysis[[#This Row],[ID]], tblSeverityReference[ID], 0)) ), "")</f>
        <v>3</v>
      </c>
      <c r="AF92" s="310" t="str">
        <f>IFERROR(IF(INDEX(tblSeverityReference[Coping Strategy Severity],MATCH(tblSeverityAnalysis[[#This Row],[ID]], tblSeverityReference[ID], 0))= "", "",INDEX(tblSeverityReference[Coping Strategy Severity],MATCH(tblSeverityAnalysis[[#This Row],[ID]], tblSeverityReference[ID], 0)) ), "")</f>
        <v/>
      </c>
      <c r="AG92" s="108">
        <f>IFERROR(IF(INDEX(tblSeverityReference[HR/IHL Violation],MATCH(tblSeverityAnalysis[[#This Row],[ID]], tblSeverityReference[ID], 0))= "", "",INDEX(tblSeverityReference[HR/IHL Violation],MATCH(tblSeverityAnalysis[[#This Row],[ID]], tblSeverityReference[ID], 0)) ), "")</f>
        <v>3</v>
      </c>
      <c r="AH92" s="82">
        <f>IFERROR(AVERAGE(tblSeverityAnalysis[[#This Row],[CCCM]:[WASH]]), "")</f>
        <v>2.625</v>
      </c>
      <c r="AI92" s="27">
        <f>IF(SUM(tblSeverityAnalysis[[#This Row],[CCCM]:[WASH]])=0, "", MAX(tblSeverityAnalysis[[#This Row],[CCCM]:[WASH]]))</f>
        <v>3</v>
      </c>
      <c r="AJ92" s="335" t="str" cm="1">
        <f t="array" ref="AJ92">IFERROR(IF(tblSeverityAnalysis[[#This Row],[Highest Severity]]="", "", _xlfn.TEXTJOIN(CHAR(10), TRUE, IF(tblSeverityAnalysis[[#This Row],[CCCM]:[WASH]]=tblSeverityAnalysis[[#This Row],[Highest Severity]], tblSeverityAnalysis[[#Headers],[CCCM]:[WASH]], ""), "")), "")</f>
        <v>CCCM
Education
Food Security
Health
Shelter</v>
      </c>
      <c r="AK92" s="27" cm="1">
        <f t="array" ref="AK92">IFERROR(MAX(_xlfn._xlws.FILTER(tblSeverityAnalysis[[#This Row],[CCCM]:[WASH]], tblSeverityAnalysis[[#This Row],[CCCM]:[WASH]]&lt;tblSeverityAnalysis[[#This Row],[Highest Severity]])), "")</f>
        <v>2</v>
      </c>
      <c r="AL92" s="324" t="str" cm="1">
        <f t="array" ref="AL92">IFERROR(IF(tblSeverityAnalysis[[#This Row],[2nd Highest Severity]]="", "", _xlfn.TEXTJOIN(CHAR(10), TRUE, IF(tblSeverityAnalysis[[#This Row],[CCCM]:[WASH]]=tblSeverityAnalysis[[#This Row],[2nd Highest Severity]], tblSeverityAnalysis[[#Headers],[CCCM]:[WASH]], ""), "")), "")</f>
        <v>Nutrition
Protection
WASH</v>
      </c>
      <c r="AM92" s="132" t="str">
        <f>IFERROR(IF(AND(tblSeverityAnalysis[[#This Row],[5]] &lt;&gt; "", tblSeverityAnalysis[[#This Row],[5]]&gt;=sectors_sev_5), "Flagged", ""), "")</f>
        <v/>
      </c>
      <c r="AN92" s="133" t="str">
        <f>IFERROR(IF(AND(tblSeverityAnalysis[[#This Row],[Preliminary Intersectoral Severity based on overlap of sectoral deprivations]]=4, SUM(tblSeverityAnalysis[[#This Row],[ 4 ]:[5]])&gt;=sectors_sev_4), "Flagged", ""), "")</f>
        <v/>
      </c>
      <c r="AO92" s="133" t="str" cm="1">
        <f t="array" ref="AO9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2" s="337"/>
      <c r="AR92" s="338"/>
      <c r="AS92" s="337"/>
      <c r="AT92" s="353">
        <f>COUNTIF(tblSeverityAnalysis[[#This Row],[1 sector in severity phase 5 '[modify the threshold']]:[Manual Flag]], "Flagged")</f>
        <v>0</v>
      </c>
      <c r="AU92" s="339">
        <f>tblSeverityAnalysis[[#This Row],[Preliminary Intersectoral Severity based on overlap of sectoral deprivations]]</f>
        <v>3</v>
      </c>
      <c r="AV92" s="340"/>
    </row>
    <row r="93" spans="1:48" ht="73.900000000000006" hidden="1">
      <c r="A9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Global_PopulationHT0711</v>
      </c>
      <c r="B93" s="39" t="s">
        <v>345</v>
      </c>
      <c r="C93" s="331" t="s">
        <v>346</v>
      </c>
      <c r="D93" s="331" t="s">
        <v>347</v>
      </c>
      <c r="E93" s="34" t="s">
        <v>348</v>
      </c>
      <c r="F93" s="34"/>
      <c r="G93" s="34"/>
      <c r="H93" s="357"/>
      <c r="I93" s="354">
        <v>207439</v>
      </c>
      <c r="J93" s="96" t="s">
        <v>156</v>
      </c>
      <c r="K93" s="372">
        <v>3</v>
      </c>
      <c r="L93" s="308">
        <v>3</v>
      </c>
      <c r="M93" s="308">
        <v>3</v>
      </c>
      <c r="N93" s="308">
        <v>3</v>
      </c>
      <c r="O93" s="308">
        <v>2</v>
      </c>
      <c r="P93" s="308">
        <v>2</v>
      </c>
      <c r="Q93" s="309">
        <v>3</v>
      </c>
      <c r="R93" s="341">
        <v>3</v>
      </c>
      <c r="S93" s="310"/>
      <c r="T93" s="308"/>
      <c r="U93" s="308"/>
      <c r="V93" s="308"/>
      <c r="W93" s="332" t="str">
        <f>IF(COUNTIF(tblSeverityAnalysis[[#This Row],[CCCM]:[WASH]], 1)=0, "", COUNTIF(tblSeverityAnalysis[[#This Row],[CCCM]:[WASH]], 1))</f>
        <v/>
      </c>
      <c r="X93" s="333">
        <f>IF(COUNTIF(tblSeverityAnalysis[[#This Row],[CCCM]:[WASH]], 2)=0, "", COUNTIF(tblSeverityAnalysis[[#This Row],[CCCM]:[WASH]], 2))</f>
        <v>2</v>
      </c>
      <c r="Y93" s="333">
        <f>IF(COUNTIF(tblSeverityAnalysis[[#This Row],[CCCM]:[WASH]], 3)=0, "", COUNTIF(tblSeverityAnalysis[[#This Row],[CCCM]:[WASH]], 3))</f>
        <v>6</v>
      </c>
      <c r="Z93" s="333" t="str">
        <f>IF(COUNTIF(tblSeverityAnalysis[[#This Row],[CCCM]:[WASH]], 4)=0, "", COUNTIF(tblSeverityAnalysis[[#This Row],[CCCM]:[WASH]], 4))</f>
        <v/>
      </c>
      <c r="AA93" s="334" t="str">
        <f>IF(COUNTIF(tblSeverityAnalysis[[#This Row],[CCCM]:[WASH]], 5)=0, "", COUNTIF(tblSeverityAnalysis[[#This Row],[CCCM]:[WASH]], 5))</f>
        <v/>
      </c>
      <c r="AB93" s="60" cm="1">
        <f t="array" ref="AB9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93" s="33">
        <f>IFERROR(IF(INDEX(tblSeverityReference[Malnutrition Severity],MATCH(tblSeverityAnalysis[[#This Row],[ID]], tblSeverityReference[ID], 0))= "", "",INDEX(tblSeverityReference[Malnutrition Severity],MATCH(tblSeverityAnalysis[[#This Row],[ID]], tblSeverityReference[ID], 0)) ), "")</f>
        <v>2</v>
      </c>
      <c r="AE93" s="347">
        <f>IFERROR(IF(INDEX(tblSeverityReference[Epidemic Severity],MATCH(tblSeverityAnalysis[[#This Row],[ID]], tblSeverityReference[ID], 0))= "", "",INDEX(tblSeverityReference[Epidemic Severity],MATCH(tblSeverityAnalysis[[#This Row],[ID]], tblSeverityReference[ID], 0)) ), "")</f>
        <v>1</v>
      </c>
      <c r="AF93" s="310" t="str">
        <f>IFERROR(IF(INDEX(tblSeverityReference[Coping Strategy Severity],MATCH(tblSeverityAnalysis[[#This Row],[ID]], tblSeverityReference[ID], 0))= "", "",INDEX(tblSeverityReference[Coping Strategy Severity],MATCH(tblSeverityAnalysis[[#This Row],[ID]], tblSeverityReference[ID], 0)) ), "")</f>
        <v/>
      </c>
      <c r="AG93" s="348">
        <f>IFERROR(IF(INDEX(tblSeverityReference[HR/IHL Violation],MATCH(tblSeverityAnalysis[[#This Row],[ID]], tblSeverityReference[ID], 0))= "", "",INDEX(tblSeverityReference[HR/IHL Violation],MATCH(tblSeverityAnalysis[[#This Row],[ID]], tblSeverityReference[ID], 0)) ), "")</f>
        <v>3</v>
      </c>
      <c r="AH93" s="82">
        <f>IFERROR(AVERAGE(tblSeverityAnalysis[[#This Row],[CCCM]:[WASH]]), "")</f>
        <v>2.75</v>
      </c>
      <c r="AI93" s="27">
        <f>IF(SUM(tblSeverityAnalysis[[#This Row],[CCCM]:[WASH]])=0, "", MAX(tblSeverityAnalysis[[#This Row],[CCCM]:[WASH]]))</f>
        <v>3</v>
      </c>
      <c r="AJ93" s="335" t="str" cm="1">
        <f t="array" ref="AJ93">IFERROR(IF(tblSeverityAnalysis[[#This Row],[Highest Severity]]="", "", _xlfn.TEXTJOIN(CHAR(10), TRUE, IF(tblSeverityAnalysis[[#This Row],[CCCM]:[WASH]]=tblSeverityAnalysis[[#This Row],[Highest Severity]], tblSeverityAnalysis[[#Headers],[CCCM]:[WASH]], ""), "")), "")</f>
        <v>CCCM
Education
Nutrition
Food Security
Shelter
WASH</v>
      </c>
      <c r="AK93" s="27" cm="1">
        <f t="array" ref="AK93">IFERROR(MAX(_xlfn._xlws.FILTER(tblSeverityAnalysis[[#This Row],[CCCM]:[WASH]], tblSeverityAnalysis[[#This Row],[CCCM]:[WASH]]&lt;tblSeverityAnalysis[[#This Row],[Highest Severity]])), "")</f>
        <v>2</v>
      </c>
      <c r="AL93" s="324" t="str" cm="1">
        <f t="array" ref="AL93">IFERROR(IF(tblSeverityAnalysis[[#This Row],[2nd Highest Severity]]="", "", _xlfn.TEXTJOIN(CHAR(10), TRUE, IF(tblSeverityAnalysis[[#This Row],[CCCM]:[WASH]]=tblSeverityAnalysis[[#This Row],[2nd Highest Severity]], tblSeverityAnalysis[[#Headers],[CCCM]:[WASH]], ""), "")), "")</f>
        <v>Health
Protection</v>
      </c>
      <c r="AM93" s="132" t="str">
        <f>IFERROR(IF(AND(tblSeverityAnalysis[[#This Row],[5]] &lt;&gt; "", tblSeverityAnalysis[[#This Row],[5]]&gt;=sectors_sev_5), "Flagged", ""), "")</f>
        <v/>
      </c>
      <c r="AN93" s="133" t="str">
        <f>IFERROR(IF(AND(tblSeverityAnalysis[[#This Row],[Preliminary Intersectoral Severity based on overlap of sectoral deprivations]]=4, SUM(tblSeverityAnalysis[[#This Row],[ 4 ]:[5]])&gt;=sectors_sev_4), "Flagged", ""), "")</f>
        <v/>
      </c>
      <c r="AO93" s="133" t="str" cm="1">
        <f t="array" ref="AO9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3" s="337"/>
      <c r="AR93" s="338"/>
      <c r="AS93" s="337"/>
      <c r="AT93" s="353">
        <f>COUNTIF(tblSeverityAnalysis[[#This Row],[1 sector in severity phase 5 '[modify the threshold']]:[Manual Flag]], "Flagged")</f>
        <v>2</v>
      </c>
      <c r="AU93" s="339">
        <f>tblSeverityAnalysis[[#This Row],[Preliminary Intersectoral Severity based on overlap of sectoral deprivations]]</f>
        <v>3</v>
      </c>
      <c r="AV93" s="340"/>
    </row>
    <row r="94" spans="1:48" ht="61.5" hidden="1">
      <c r="A9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Global_PopulationHT0712</v>
      </c>
      <c r="B94" s="39" t="s">
        <v>345</v>
      </c>
      <c r="C94" s="331" t="s">
        <v>346</v>
      </c>
      <c r="D94" s="331" t="s">
        <v>349</v>
      </c>
      <c r="E94" s="34" t="s">
        <v>350</v>
      </c>
      <c r="F94" s="34"/>
      <c r="G94" s="34"/>
      <c r="H94" s="358"/>
      <c r="I94" s="354">
        <v>93827</v>
      </c>
      <c r="J94" s="96" t="s">
        <v>156</v>
      </c>
      <c r="K94" s="372">
        <v>3</v>
      </c>
      <c r="L94" s="308">
        <v>3</v>
      </c>
      <c r="M94" s="308">
        <v>3</v>
      </c>
      <c r="N94" s="308">
        <v>3</v>
      </c>
      <c r="O94" s="308">
        <v>2</v>
      </c>
      <c r="P94" s="308">
        <v>2</v>
      </c>
      <c r="Q94" s="309">
        <v>4</v>
      </c>
      <c r="R94" s="341">
        <v>3</v>
      </c>
      <c r="S94" s="310"/>
      <c r="T94" s="308"/>
      <c r="U94" s="308"/>
      <c r="V94" s="308"/>
      <c r="W94" s="332" t="str">
        <f>IF(COUNTIF(tblSeverityAnalysis[[#This Row],[CCCM]:[WASH]], 1)=0, "", COUNTIF(tblSeverityAnalysis[[#This Row],[CCCM]:[WASH]], 1))</f>
        <v/>
      </c>
      <c r="X94" s="333">
        <f>IF(COUNTIF(tblSeverityAnalysis[[#This Row],[CCCM]:[WASH]], 2)=0, "", COUNTIF(tblSeverityAnalysis[[#This Row],[CCCM]:[WASH]], 2))</f>
        <v>2</v>
      </c>
      <c r="Y94" s="333">
        <f>IF(COUNTIF(tblSeverityAnalysis[[#This Row],[CCCM]:[WASH]], 3)=0, "", COUNTIF(tblSeverityAnalysis[[#This Row],[CCCM]:[WASH]], 3))</f>
        <v>5</v>
      </c>
      <c r="Z94" s="333">
        <f>IF(COUNTIF(tblSeverityAnalysis[[#This Row],[CCCM]:[WASH]], 4)=0, "", COUNTIF(tblSeverityAnalysis[[#This Row],[CCCM]:[WASH]], 4))</f>
        <v>1</v>
      </c>
      <c r="AA94" s="334" t="str">
        <f>IF(COUNTIF(tblSeverityAnalysis[[#This Row],[CCCM]:[WASH]], 5)=0, "", COUNTIF(tblSeverityAnalysis[[#This Row],[CCCM]:[WASH]], 5))</f>
        <v/>
      </c>
      <c r="AB94" s="60" cm="1">
        <f t="array" ref="AB9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94" s="33">
        <f>IFERROR(IF(INDEX(tblSeverityReference[Malnutrition Severity],MATCH(tblSeverityAnalysis[[#This Row],[ID]], tblSeverityReference[ID], 0))= "", "",INDEX(tblSeverityReference[Malnutrition Severity],MATCH(tblSeverityAnalysis[[#This Row],[ID]], tblSeverityReference[ID], 0)) ), "")</f>
        <v>2</v>
      </c>
      <c r="AE94" s="347">
        <f>IFERROR(IF(INDEX(tblSeverityReference[Epidemic Severity],MATCH(tblSeverityAnalysis[[#This Row],[ID]], tblSeverityReference[ID], 0))= "", "",INDEX(tblSeverityReference[Epidemic Severity],MATCH(tblSeverityAnalysis[[#This Row],[ID]], tblSeverityReference[ID], 0)) ), "")</f>
        <v>1</v>
      </c>
      <c r="AF94" s="310" t="str">
        <f>IFERROR(IF(INDEX(tblSeverityReference[Coping Strategy Severity],MATCH(tblSeverityAnalysis[[#This Row],[ID]], tblSeverityReference[ID], 0))= "", "",INDEX(tblSeverityReference[Coping Strategy Severity],MATCH(tblSeverityAnalysis[[#This Row],[ID]], tblSeverityReference[ID], 0)) ), "")</f>
        <v/>
      </c>
      <c r="AG94" s="108">
        <f>IFERROR(IF(INDEX(tblSeverityReference[HR/IHL Violation],MATCH(tblSeverityAnalysis[[#This Row],[ID]], tblSeverityReference[ID], 0))= "", "",INDEX(tblSeverityReference[HR/IHL Violation],MATCH(tblSeverityAnalysis[[#This Row],[ID]], tblSeverityReference[ID], 0)) ), "")</f>
        <v>3</v>
      </c>
      <c r="AH94" s="82">
        <f>IFERROR(AVERAGE(tblSeverityAnalysis[[#This Row],[CCCM]:[WASH]]), "")</f>
        <v>2.875</v>
      </c>
      <c r="AI94" s="27">
        <f>IF(SUM(tblSeverityAnalysis[[#This Row],[CCCM]:[WASH]])=0, "", MAX(tblSeverityAnalysis[[#This Row],[CCCM]:[WASH]]))</f>
        <v>4</v>
      </c>
      <c r="AJ94" s="335" t="str" cm="1">
        <f t="array" ref="AJ94">IFERROR(IF(tblSeverityAnalysis[[#This Row],[Highest Severity]]="", "", _xlfn.TEXTJOIN(CHAR(10), TRUE, IF(tblSeverityAnalysis[[#This Row],[CCCM]:[WASH]]=tblSeverityAnalysis[[#This Row],[Highest Severity]], tblSeverityAnalysis[[#Headers],[CCCM]:[WASH]], ""), "")), "")</f>
        <v>Shelter</v>
      </c>
      <c r="AK94" s="27" cm="1">
        <f t="array" ref="AK94">IFERROR(MAX(_xlfn._xlws.FILTER(tblSeverityAnalysis[[#This Row],[CCCM]:[WASH]], tblSeverityAnalysis[[#This Row],[CCCM]:[WASH]]&lt;tblSeverityAnalysis[[#This Row],[Highest Severity]])), "")</f>
        <v>3</v>
      </c>
      <c r="AL94" s="324" t="str" cm="1">
        <f t="array" ref="AL94">IFERROR(IF(tblSeverityAnalysis[[#This Row],[2nd Highest Severity]]="", "", _xlfn.TEXTJOIN(CHAR(10), TRUE, IF(tblSeverityAnalysis[[#This Row],[CCCM]:[WASH]]=tblSeverityAnalysis[[#This Row],[2nd Highest Severity]], tblSeverityAnalysis[[#Headers],[CCCM]:[WASH]], ""), "")), "")</f>
        <v>CCCM
Education
Nutrition
Food Security
WASH</v>
      </c>
      <c r="AM94" s="132" t="str">
        <f>IFERROR(IF(AND(tblSeverityAnalysis[[#This Row],[5]] &lt;&gt; "", tblSeverityAnalysis[[#This Row],[5]]&gt;=sectors_sev_5), "Flagged", ""), "")</f>
        <v/>
      </c>
      <c r="AN94" s="133" t="str">
        <f>IFERROR(IF(AND(tblSeverityAnalysis[[#This Row],[Preliminary Intersectoral Severity based on overlap of sectoral deprivations]]=4, SUM(tblSeverityAnalysis[[#This Row],[ 4 ]:[5]])&gt;=sectors_sev_4), "Flagged", ""), "")</f>
        <v/>
      </c>
      <c r="AO94" s="133" t="str" cm="1">
        <f t="array" ref="AO9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4" s="337"/>
      <c r="AR94" s="338"/>
      <c r="AS94" s="337"/>
      <c r="AT94" s="353">
        <f>COUNTIF(tblSeverityAnalysis[[#This Row],[1 sector in severity phase 5 '[modify the threshold']]:[Manual Flag]], "Flagged")</f>
        <v>2</v>
      </c>
      <c r="AU94" s="339">
        <f>tblSeverityAnalysis[[#This Row],[Preliminary Intersectoral Severity based on overlap of sectoral deprivations]]</f>
        <v>3</v>
      </c>
      <c r="AV94" s="340"/>
    </row>
    <row r="95" spans="1:48" ht="73.900000000000006" hidden="1">
      <c r="A9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Global_PopulationHT0713</v>
      </c>
      <c r="B95" s="39" t="s">
        <v>345</v>
      </c>
      <c r="C95" s="331" t="s">
        <v>346</v>
      </c>
      <c r="D95" s="331" t="s">
        <v>351</v>
      </c>
      <c r="E95" s="34" t="s">
        <v>352</v>
      </c>
      <c r="F95" s="34"/>
      <c r="G95" s="34"/>
      <c r="H95" s="357"/>
      <c r="I95" s="354">
        <v>41237</v>
      </c>
      <c r="J95" s="96" t="s">
        <v>156</v>
      </c>
      <c r="K95" s="372">
        <v>3</v>
      </c>
      <c r="L95" s="308">
        <v>3</v>
      </c>
      <c r="M95" s="308">
        <v>3</v>
      </c>
      <c r="N95" s="308">
        <v>3</v>
      </c>
      <c r="O95" s="308">
        <v>2</v>
      </c>
      <c r="P95" s="308">
        <v>2</v>
      </c>
      <c r="Q95" s="309">
        <v>3</v>
      </c>
      <c r="R95" s="341">
        <v>3</v>
      </c>
      <c r="S95" s="310"/>
      <c r="T95" s="308"/>
      <c r="U95" s="308"/>
      <c r="V95" s="308"/>
      <c r="W95" s="332" t="str">
        <f>IF(COUNTIF(tblSeverityAnalysis[[#This Row],[CCCM]:[WASH]], 1)=0, "", COUNTIF(tblSeverityAnalysis[[#This Row],[CCCM]:[WASH]], 1))</f>
        <v/>
      </c>
      <c r="X95" s="333">
        <f>IF(COUNTIF(tblSeverityAnalysis[[#This Row],[CCCM]:[WASH]], 2)=0, "", COUNTIF(tblSeverityAnalysis[[#This Row],[CCCM]:[WASH]], 2))</f>
        <v>2</v>
      </c>
      <c r="Y95" s="333">
        <f>IF(COUNTIF(tblSeverityAnalysis[[#This Row],[CCCM]:[WASH]], 3)=0, "", COUNTIF(tblSeverityAnalysis[[#This Row],[CCCM]:[WASH]], 3))</f>
        <v>6</v>
      </c>
      <c r="Z95" s="333" t="str">
        <f>IF(COUNTIF(tblSeverityAnalysis[[#This Row],[CCCM]:[WASH]], 4)=0, "", COUNTIF(tblSeverityAnalysis[[#This Row],[CCCM]:[WASH]], 4))</f>
        <v/>
      </c>
      <c r="AA95" s="334" t="str">
        <f>IF(COUNTIF(tblSeverityAnalysis[[#This Row],[CCCM]:[WASH]], 5)=0, "", COUNTIF(tblSeverityAnalysis[[#This Row],[CCCM]:[WASH]], 5))</f>
        <v/>
      </c>
      <c r="AB95" s="60" cm="1">
        <f t="array" ref="AB9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95" s="33">
        <f>IFERROR(IF(INDEX(tblSeverityReference[Malnutrition Severity],MATCH(tblSeverityAnalysis[[#This Row],[ID]], tblSeverityReference[ID], 0))= "", "",INDEX(tblSeverityReference[Malnutrition Severity],MATCH(tblSeverityAnalysis[[#This Row],[ID]], tblSeverityReference[ID], 0)) ), "")</f>
        <v>2</v>
      </c>
      <c r="AE95" s="347">
        <f>IFERROR(IF(INDEX(tblSeverityReference[Epidemic Severity],MATCH(tblSeverityAnalysis[[#This Row],[ID]], tblSeverityReference[ID], 0))= "", "",INDEX(tblSeverityReference[Epidemic Severity],MATCH(tblSeverityAnalysis[[#This Row],[ID]], tblSeverityReference[ID], 0)) ), "")</f>
        <v>1</v>
      </c>
      <c r="AF95" s="310" t="str">
        <f>IFERROR(IF(INDEX(tblSeverityReference[Coping Strategy Severity],MATCH(tblSeverityAnalysis[[#This Row],[ID]], tblSeverityReference[ID], 0))= "", "",INDEX(tblSeverityReference[Coping Strategy Severity],MATCH(tblSeverityAnalysis[[#This Row],[ID]], tblSeverityReference[ID], 0)) ), "")</f>
        <v/>
      </c>
      <c r="AG95" s="348">
        <f>IFERROR(IF(INDEX(tblSeverityReference[HR/IHL Violation],MATCH(tblSeverityAnalysis[[#This Row],[ID]], tblSeverityReference[ID], 0))= "", "",INDEX(tblSeverityReference[HR/IHL Violation],MATCH(tblSeverityAnalysis[[#This Row],[ID]], tblSeverityReference[ID], 0)) ), "")</f>
        <v>3</v>
      </c>
      <c r="AH95" s="82">
        <f>IFERROR(AVERAGE(tblSeverityAnalysis[[#This Row],[CCCM]:[WASH]]), "")</f>
        <v>2.75</v>
      </c>
      <c r="AI95" s="27">
        <f>IF(SUM(tblSeverityAnalysis[[#This Row],[CCCM]:[WASH]])=0, "", MAX(tblSeverityAnalysis[[#This Row],[CCCM]:[WASH]]))</f>
        <v>3</v>
      </c>
      <c r="AJ95" s="335" t="str" cm="1">
        <f t="array" ref="AJ95">IFERROR(IF(tblSeverityAnalysis[[#This Row],[Highest Severity]]="", "", _xlfn.TEXTJOIN(CHAR(10), TRUE, IF(tblSeverityAnalysis[[#This Row],[CCCM]:[WASH]]=tblSeverityAnalysis[[#This Row],[Highest Severity]], tblSeverityAnalysis[[#Headers],[CCCM]:[WASH]], ""), "")), "")</f>
        <v>CCCM
Education
Nutrition
Food Security
Shelter
WASH</v>
      </c>
      <c r="AK95" s="27" cm="1">
        <f t="array" ref="AK95">IFERROR(MAX(_xlfn._xlws.FILTER(tblSeverityAnalysis[[#This Row],[CCCM]:[WASH]], tblSeverityAnalysis[[#This Row],[CCCM]:[WASH]]&lt;tblSeverityAnalysis[[#This Row],[Highest Severity]])), "")</f>
        <v>2</v>
      </c>
      <c r="AL95" s="324" t="str" cm="1">
        <f t="array" ref="AL95">IFERROR(IF(tblSeverityAnalysis[[#This Row],[2nd Highest Severity]]="", "", _xlfn.TEXTJOIN(CHAR(10), TRUE, IF(tblSeverityAnalysis[[#This Row],[CCCM]:[WASH]]=tblSeverityAnalysis[[#This Row],[2nd Highest Severity]], tblSeverityAnalysis[[#Headers],[CCCM]:[WASH]], ""), "")), "")</f>
        <v>Health
Protection</v>
      </c>
      <c r="AM95" s="132" t="str">
        <f>IFERROR(IF(AND(tblSeverityAnalysis[[#This Row],[5]] &lt;&gt; "", tblSeverityAnalysis[[#This Row],[5]]&gt;=sectors_sev_5), "Flagged", ""), "")</f>
        <v/>
      </c>
      <c r="AN95" s="133" t="str">
        <f>IFERROR(IF(AND(tblSeverityAnalysis[[#This Row],[Preliminary Intersectoral Severity based on overlap of sectoral deprivations]]=4, SUM(tblSeverityAnalysis[[#This Row],[ 4 ]:[5]])&gt;=sectors_sev_4), "Flagged", ""), "")</f>
        <v/>
      </c>
      <c r="AO95" s="133" t="str" cm="1">
        <f t="array" ref="AO9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5" s="337"/>
      <c r="AR95" s="338"/>
      <c r="AS95" s="337"/>
      <c r="AT95" s="353">
        <f>COUNTIF(tblSeverityAnalysis[[#This Row],[1 sector in severity phase 5 '[modify the threshold']]:[Manual Flag]], "Flagged")</f>
        <v>2</v>
      </c>
      <c r="AU95" s="339">
        <f>tblSeverityAnalysis[[#This Row],[Preliminary Intersectoral Severity based on overlap of sectoral deprivations]]</f>
        <v>3</v>
      </c>
      <c r="AV95" s="340"/>
    </row>
    <row r="96" spans="1:48" ht="61.5" hidden="1">
      <c r="A9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Global_PopulationHT0714</v>
      </c>
      <c r="B96" s="39" t="s">
        <v>345</v>
      </c>
      <c r="C96" s="331" t="s">
        <v>346</v>
      </c>
      <c r="D96" s="331" t="s">
        <v>353</v>
      </c>
      <c r="E96" s="34" t="s">
        <v>354</v>
      </c>
      <c r="F96" s="34"/>
      <c r="G96" s="34"/>
      <c r="H96" s="358"/>
      <c r="I96" s="354">
        <v>51550</v>
      </c>
      <c r="J96" s="96" t="s">
        <v>156</v>
      </c>
      <c r="K96" s="372">
        <v>3</v>
      </c>
      <c r="L96" s="308">
        <v>3</v>
      </c>
      <c r="M96" s="308">
        <v>2</v>
      </c>
      <c r="N96" s="308">
        <v>3</v>
      </c>
      <c r="O96" s="308">
        <v>2</v>
      </c>
      <c r="P96" s="308">
        <v>2</v>
      </c>
      <c r="Q96" s="309">
        <v>3</v>
      </c>
      <c r="R96" s="341">
        <v>3</v>
      </c>
      <c r="S96" s="310"/>
      <c r="T96" s="308"/>
      <c r="U96" s="308"/>
      <c r="V96" s="308"/>
      <c r="W96" s="332" t="str">
        <f>IF(COUNTIF(tblSeverityAnalysis[[#This Row],[CCCM]:[WASH]], 1)=0, "", COUNTIF(tblSeverityAnalysis[[#This Row],[CCCM]:[WASH]], 1))</f>
        <v/>
      </c>
      <c r="X96" s="333">
        <f>IF(COUNTIF(tblSeverityAnalysis[[#This Row],[CCCM]:[WASH]], 2)=0, "", COUNTIF(tblSeverityAnalysis[[#This Row],[CCCM]:[WASH]], 2))</f>
        <v>3</v>
      </c>
      <c r="Y96" s="333">
        <f>IF(COUNTIF(tblSeverityAnalysis[[#This Row],[CCCM]:[WASH]], 3)=0, "", COUNTIF(tblSeverityAnalysis[[#This Row],[CCCM]:[WASH]], 3))</f>
        <v>5</v>
      </c>
      <c r="Z96" s="333" t="str">
        <f>IF(COUNTIF(tblSeverityAnalysis[[#This Row],[CCCM]:[WASH]], 4)=0, "", COUNTIF(tblSeverityAnalysis[[#This Row],[CCCM]:[WASH]], 4))</f>
        <v/>
      </c>
      <c r="AA96" s="334" t="str">
        <f>IF(COUNTIF(tblSeverityAnalysis[[#This Row],[CCCM]:[WASH]], 5)=0, "", COUNTIF(tblSeverityAnalysis[[#This Row],[CCCM]:[WASH]], 5))</f>
        <v/>
      </c>
      <c r="AB96" s="60" cm="1">
        <f t="array" ref="AB9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6"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96" s="33">
        <f>IFERROR(IF(INDEX(tblSeverityReference[Malnutrition Severity],MATCH(tblSeverityAnalysis[[#This Row],[ID]], tblSeverityReference[ID], 0))= "", "",INDEX(tblSeverityReference[Malnutrition Severity],MATCH(tblSeverityAnalysis[[#This Row],[ID]], tblSeverityReference[ID], 0)) ), "")</f>
        <v>2</v>
      </c>
      <c r="AE96" s="347">
        <f>IFERROR(IF(INDEX(tblSeverityReference[Epidemic Severity],MATCH(tblSeverityAnalysis[[#This Row],[ID]], tblSeverityReference[ID], 0))= "", "",INDEX(tblSeverityReference[Epidemic Severity],MATCH(tblSeverityAnalysis[[#This Row],[ID]], tblSeverityReference[ID], 0)) ), "")</f>
        <v>3</v>
      </c>
      <c r="AF96" s="310" t="str">
        <f>IFERROR(IF(INDEX(tblSeverityReference[Coping Strategy Severity],MATCH(tblSeverityAnalysis[[#This Row],[ID]], tblSeverityReference[ID], 0))= "", "",INDEX(tblSeverityReference[Coping Strategy Severity],MATCH(tblSeverityAnalysis[[#This Row],[ID]], tblSeverityReference[ID], 0)) ), "")</f>
        <v/>
      </c>
      <c r="AG96" s="108">
        <f>IFERROR(IF(INDEX(tblSeverityReference[HR/IHL Violation],MATCH(tblSeverityAnalysis[[#This Row],[ID]], tblSeverityReference[ID], 0))= "", "",INDEX(tblSeverityReference[HR/IHL Violation],MATCH(tblSeverityAnalysis[[#This Row],[ID]], tblSeverityReference[ID], 0)) ), "")</f>
        <v>3</v>
      </c>
      <c r="AH96" s="82">
        <f>IFERROR(AVERAGE(tblSeverityAnalysis[[#This Row],[CCCM]:[WASH]]), "")</f>
        <v>2.625</v>
      </c>
      <c r="AI96" s="27">
        <f>IF(SUM(tblSeverityAnalysis[[#This Row],[CCCM]:[WASH]])=0, "", MAX(tblSeverityAnalysis[[#This Row],[CCCM]:[WASH]]))</f>
        <v>3</v>
      </c>
      <c r="AJ96" s="335" t="str" cm="1">
        <f t="array" ref="AJ96">IFERROR(IF(tblSeverityAnalysis[[#This Row],[Highest Severity]]="", "", _xlfn.TEXTJOIN(CHAR(10), TRUE, IF(tblSeverityAnalysis[[#This Row],[CCCM]:[WASH]]=tblSeverityAnalysis[[#This Row],[Highest Severity]], tblSeverityAnalysis[[#Headers],[CCCM]:[WASH]], ""), "")), "")</f>
        <v>CCCM
Education
Food Security
Shelter
WASH</v>
      </c>
      <c r="AK96" s="27" cm="1">
        <f t="array" ref="AK96">IFERROR(MAX(_xlfn._xlws.FILTER(tblSeverityAnalysis[[#This Row],[CCCM]:[WASH]], tblSeverityAnalysis[[#This Row],[CCCM]:[WASH]]&lt;tblSeverityAnalysis[[#This Row],[Highest Severity]])), "")</f>
        <v>2</v>
      </c>
      <c r="AL96" s="324" t="str" cm="1">
        <f t="array" ref="AL96">IFERROR(IF(tblSeverityAnalysis[[#This Row],[2nd Highest Severity]]="", "", _xlfn.TEXTJOIN(CHAR(10), TRUE, IF(tblSeverityAnalysis[[#This Row],[CCCM]:[WASH]]=tblSeverityAnalysis[[#This Row],[2nd Highest Severity]], tblSeverityAnalysis[[#Headers],[CCCM]:[WASH]], ""), "")), "")</f>
        <v>Nutrition
Health
Protection</v>
      </c>
      <c r="AM96" s="132" t="str">
        <f>IFERROR(IF(AND(tblSeverityAnalysis[[#This Row],[5]] &lt;&gt; "", tblSeverityAnalysis[[#This Row],[5]]&gt;=sectors_sev_5), "Flagged", ""), "")</f>
        <v/>
      </c>
      <c r="AN96" s="133" t="str">
        <f>IFERROR(IF(AND(tblSeverityAnalysis[[#This Row],[Preliminary Intersectoral Severity based on overlap of sectoral deprivations]]=4, SUM(tblSeverityAnalysis[[#This Row],[ 4 ]:[5]])&gt;=sectors_sev_4), "Flagged", ""), "")</f>
        <v/>
      </c>
      <c r="AO96" s="133" t="str" cm="1">
        <f t="array" ref="AO9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6" s="337"/>
      <c r="AR96" s="338"/>
      <c r="AS96" s="337"/>
      <c r="AT96" s="353">
        <f>COUNTIF(tblSeverityAnalysis[[#This Row],[1 sector in severity phase 5 '[modify the threshold']]:[Manual Flag]], "Flagged")</f>
        <v>1</v>
      </c>
      <c r="AU96" s="339">
        <f>tblSeverityAnalysis[[#This Row],[Preliminary Intersectoral Severity based on overlap of sectoral deprivations]]</f>
        <v>3</v>
      </c>
      <c r="AV96" s="340"/>
    </row>
    <row r="97" spans="1:48" ht="73.900000000000006" hidden="1">
      <c r="A9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Global_PopulationHT0715</v>
      </c>
      <c r="B97" s="39" t="s">
        <v>345</v>
      </c>
      <c r="C97" s="331" t="s">
        <v>346</v>
      </c>
      <c r="D97" s="331" t="s">
        <v>355</v>
      </c>
      <c r="E97" s="34" t="s">
        <v>356</v>
      </c>
      <c r="F97" s="34"/>
      <c r="G97" s="34"/>
      <c r="H97" s="357"/>
      <c r="I97" s="354">
        <v>27507</v>
      </c>
      <c r="J97" s="96" t="s">
        <v>156</v>
      </c>
      <c r="K97" s="372">
        <v>3</v>
      </c>
      <c r="L97" s="308">
        <v>3</v>
      </c>
      <c r="M97" s="308">
        <v>3</v>
      </c>
      <c r="N97" s="308">
        <v>3</v>
      </c>
      <c r="O97" s="308">
        <v>2</v>
      </c>
      <c r="P97" s="308">
        <v>2</v>
      </c>
      <c r="Q97" s="309">
        <v>3</v>
      </c>
      <c r="R97" s="341">
        <v>3</v>
      </c>
      <c r="S97" s="310"/>
      <c r="T97" s="308"/>
      <c r="U97" s="308"/>
      <c r="V97" s="308"/>
      <c r="W97" s="332" t="str">
        <f>IF(COUNTIF(tblSeverityAnalysis[[#This Row],[CCCM]:[WASH]], 1)=0, "", COUNTIF(tblSeverityAnalysis[[#This Row],[CCCM]:[WASH]], 1))</f>
        <v/>
      </c>
      <c r="X97" s="333">
        <f>IF(COUNTIF(tblSeverityAnalysis[[#This Row],[CCCM]:[WASH]], 2)=0, "", COUNTIF(tblSeverityAnalysis[[#This Row],[CCCM]:[WASH]], 2))</f>
        <v>2</v>
      </c>
      <c r="Y97" s="333">
        <f>IF(COUNTIF(tblSeverityAnalysis[[#This Row],[CCCM]:[WASH]], 3)=0, "", COUNTIF(tblSeverityAnalysis[[#This Row],[CCCM]:[WASH]], 3))</f>
        <v>6</v>
      </c>
      <c r="Z97" s="333" t="str">
        <f>IF(COUNTIF(tblSeverityAnalysis[[#This Row],[CCCM]:[WASH]], 4)=0, "", COUNTIF(tblSeverityAnalysis[[#This Row],[CCCM]:[WASH]], 4))</f>
        <v/>
      </c>
      <c r="AA97" s="334" t="str">
        <f>IF(COUNTIF(tblSeverityAnalysis[[#This Row],[CCCM]:[WASH]], 5)=0, "", COUNTIF(tblSeverityAnalysis[[#This Row],[CCCM]:[WASH]], 5))</f>
        <v/>
      </c>
      <c r="AB97" s="60" cm="1">
        <f t="array" ref="AB9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97" s="33">
        <f>IFERROR(IF(INDEX(tblSeverityReference[Malnutrition Severity],MATCH(tblSeverityAnalysis[[#This Row],[ID]], tblSeverityReference[ID], 0))= "", "",INDEX(tblSeverityReference[Malnutrition Severity],MATCH(tblSeverityAnalysis[[#This Row],[ID]], tblSeverityReference[ID], 0)) ), "")</f>
        <v>2</v>
      </c>
      <c r="AE97" s="347">
        <f>IFERROR(IF(INDEX(tblSeverityReference[Epidemic Severity],MATCH(tblSeverityAnalysis[[#This Row],[ID]], tblSeverityReference[ID], 0))= "", "",INDEX(tblSeverityReference[Epidemic Severity],MATCH(tblSeverityAnalysis[[#This Row],[ID]], tblSeverityReference[ID], 0)) ), "")</f>
        <v>1</v>
      </c>
      <c r="AF97" s="310" t="str">
        <f>IFERROR(IF(INDEX(tblSeverityReference[Coping Strategy Severity],MATCH(tblSeverityAnalysis[[#This Row],[ID]], tblSeverityReference[ID], 0))= "", "",INDEX(tblSeverityReference[Coping Strategy Severity],MATCH(tblSeverityAnalysis[[#This Row],[ID]], tblSeverityReference[ID], 0)) ), "")</f>
        <v/>
      </c>
      <c r="AG97" s="348">
        <f>IFERROR(IF(INDEX(tblSeverityReference[HR/IHL Violation],MATCH(tblSeverityAnalysis[[#This Row],[ID]], tblSeverityReference[ID], 0))= "", "",INDEX(tblSeverityReference[HR/IHL Violation],MATCH(tblSeverityAnalysis[[#This Row],[ID]], tblSeverityReference[ID], 0)) ), "")</f>
        <v>3</v>
      </c>
      <c r="AH97" s="82">
        <f>IFERROR(AVERAGE(tblSeverityAnalysis[[#This Row],[CCCM]:[WASH]]), "")</f>
        <v>2.75</v>
      </c>
      <c r="AI97" s="27">
        <f>IF(SUM(tblSeverityAnalysis[[#This Row],[CCCM]:[WASH]])=0, "", MAX(tblSeverityAnalysis[[#This Row],[CCCM]:[WASH]]))</f>
        <v>3</v>
      </c>
      <c r="AJ97" s="335" t="str" cm="1">
        <f t="array" ref="AJ97">IFERROR(IF(tblSeverityAnalysis[[#This Row],[Highest Severity]]="", "", _xlfn.TEXTJOIN(CHAR(10), TRUE, IF(tblSeverityAnalysis[[#This Row],[CCCM]:[WASH]]=tblSeverityAnalysis[[#This Row],[Highest Severity]], tblSeverityAnalysis[[#Headers],[CCCM]:[WASH]], ""), "")), "")</f>
        <v>CCCM
Education
Nutrition
Food Security
Shelter
WASH</v>
      </c>
      <c r="AK97" s="27" cm="1">
        <f t="array" ref="AK97">IFERROR(MAX(_xlfn._xlws.FILTER(tblSeverityAnalysis[[#This Row],[CCCM]:[WASH]], tblSeverityAnalysis[[#This Row],[CCCM]:[WASH]]&lt;tblSeverityAnalysis[[#This Row],[Highest Severity]])), "")</f>
        <v>2</v>
      </c>
      <c r="AL97" s="324" t="str" cm="1">
        <f t="array" ref="AL97">IFERROR(IF(tblSeverityAnalysis[[#This Row],[2nd Highest Severity]]="", "", _xlfn.TEXTJOIN(CHAR(10), TRUE, IF(tblSeverityAnalysis[[#This Row],[CCCM]:[WASH]]=tblSeverityAnalysis[[#This Row],[2nd Highest Severity]], tblSeverityAnalysis[[#Headers],[CCCM]:[WASH]], ""), "")), "")</f>
        <v>Health
Protection</v>
      </c>
      <c r="AM97" s="132" t="str">
        <f>IFERROR(IF(AND(tblSeverityAnalysis[[#This Row],[5]] &lt;&gt; "", tblSeverityAnalysis[[#This Row],[5]]&gt;=sectors_sev_5), "Flagged", ""), "")</f>
        <v/>
      </c>
      <c r="AN97" s="133" t="str">
        <f>IFERROR(IF(AND(tblSeverityAnalysis[[#This Row],[Preliminary Intersectoral Severity based on overlap of sectoral deprivations]]=4, SUM(tblSeverityAnalysis[[#This Row],[ 4 ]:[5]])&gt;=sectors_sev_4), "Flagged", ""), "")</f>
        <v/>
      </c>
      <c r="AO97" s="133" t="str" cm="1">
        <f t="array" ref="AO9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9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7" s="337"/>
      <c r="AR97" s="338"/>
      <c r="AS97" s="337"/>
      <c r="AT97" s="353">
        <f>COUNTIF(tblSeverityAnalysis[[#This Row],[1 sector in severity phase 5 '[modify the threshold']]:[Manual Flag]], "Flagged")</f>
        <v>2</v>
      </c>
      <c r="AU97" s="339">
        <f>tblSeverityAnalysis[[#This Row],[Preliminary Intersectoral Severity based on overlap of sectoral deprivations]]</f>
        <v>3</v>
      </c>
      <c r="AV97" s="340"/>
    </row>
    <row r="98" spans="1:48" ht="36.950000000000003" hidden="1">
      <c r="A9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Global_PopulationHT0716</v>
      </c>
      <c r="B98" s="39" t="s">
        <v>345</v>
      </c>
      <c r="C98" s="331" t="s">
        <v>346</v>
      </c>
      <c r="D98" s="331" t="s">
        <v>357</v>
      </c>
      <c r="E98" s="34" t="s">
        <v>358</v>
      </c>
      <c r="F98" s="34"/>
      <c r="G98" s="34"/>
      <c r="H98" s="358"/>
      <c r="I98" s="354">
        <v>17491</v>
      </c>
      <c r="J98" s="96" t="s">
        <v>156</v>
      </c>
      <c r="K98" s="372">
        <v>1</v>
      </c>
      <c r="L98" s="308">
        <v>3</v>
      </c>
      <c r="M98" s="308">
        <v>2</v>
      </c>
      <c r="N98" s="308">
        <v>3</v>
      </c>
      <c r="O98" s="308">
        <v>3</v>
      </c>
      <c r="P98" s="308">
        <v>2</v>
      </c>
      <c r="Q98" s="309">
        <v>1</v>
      </c>
      <c r="R98" s="341">
        <v>2</v>
      </c>
      <c r="S98" s="310"/>
      <c r="T98" s="308"/>
      <c r="U98" s="308"/>
      <c r="V98" s="308"/>
      <c r="W98" s="332">
        <f>IF(COUNTIF(tblSeverityAnalysis[[#This Row],[CCCM]:[WASH]], 1)=0, "", COUNTIF(tblSeverityAnalysis[[#This Row],[CCCM]:[WASH]], 1))</f>
        <v>2</v>
      </c>
      <c r="X98" s="333">
        <f>IF(COUNTIF(tblSeverityAnalysis[[#This Row],[CCCM]:[WASH]], 2)=0, "", COUNTIF(tblSeverityAnalysis[[#This Row],[CCCM]:[WASH]], 2))</f>
        <v>3</v>
      </c>
      <c r="Y98" s="333">
        <f>IF(COUNTIF(tblSeverityAnalysis[[#This Row],[CCCM]:[WASH]], 3)=0, "", COUNTIF(tblSeverityAnalysis[[#This Row],[CCCM]:[WASH]], 3))</f>
        <v>3</v>
      </c>
      <c r="Z98" s="333" t="str">
        <f>IF(COUNTIF(tblSeverityAnalysis[[#This Row],[CCCM]:[WASH]], 4)=0, "", COUNTIF(tblSeverityAnalysis[[#This Row],[CCCM]:[WASH]], 4))</f>
        <v/>
      </c>
      <c r="AA98" s="334" t="str">
        <f>IF(COUNTIF(tblSeverityAnalysis[[#This Row],[CCCM]:[WASH]], 5)=0, "", COUNTIF(tblSeverityAnalysis[[#This Row],[CCCM]:[WASH]], 5))</f>
        <v/>
      </c>
      <c r="AB98" s="60" cm="1">
        <f t="array" ref="AB9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9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98" s="33">
        <f>IFERROR(IF(INDEX(tblSeverityReference[Malnutrition Severity],MATCH(tblSeverityAnalysis[[#This Row],[ID]], tblSeverityReference[ID], 0))= "", "",INDEX(tblSeverityReference[Malnutrition Severity],MATCH(tblSeverityAnalysis[[#This Row],[ID]], tblSeverityReference[ID], 0)) ), "")</f>
        <v>2</v>
      </c>
      <c r="AE98" s="347">
        <f>IFERROR(IF(INDEX(tblSeverityReference[Epidemic Severity],MATCH(tblSeverityAnalysis[[#This Row],[ID]], tblSeverityReference[ID], 0))= "", "",INDEX(tblSeverityReference[Epidemic Severity],MATCH(tblSeverityAnalysis[[#This Row],[ID]], tblSeverityReference[ID], 0)) ), "")</f>
        <v>3</v>
      </c>
      <c r="AF98" s="310" t="str">
        <f>IFERROR(IF(INDEX(tblSeverityReference[Coping Strategy Severity],MATCH(tblSeverityAnalysis[[#This Row],[ID]], tblSeverityReference[ID], 0))= "", "",INDEX(tblSeverityReference[Coping Strategy Severity],MATCH(tblSeverityAnalysis[[#This Row],[ID]], tblSeverityReference[ID], 0)) ), "")</f>
        <v/>
      </c>
      <c r="AG98" s="348">
        <f>IFERROR(IF(INDEX(tblSeverityReference[HR/IHL Violation],MATCH(tblSeverityAnalysis[[#This Row],[ID]], tblSeverityReference[ID], 0))= "", "",INDEX(tblSeverityReference[HR/IHL Violation],MATCH(tblSeverityAnalysis[[#This Row],[ID]], tblSeverityReference[ID], 0)) ), "")</f>
        <v>2</v>
      </c>
      <c r="AH98" s="82">
        <f>IFERROR(AVERAGE(tblSeverityAnalysis[[#This Row],[CCCM]:[WASH]]), "")</f>
        <v>2.125</v>
      </c>
      <c r="AI98" s="27">
        <f>IF(SUM(tblSeverityAnalysis[[#This Row],[CCCM]:[WASH]])=0, "", MAX(tblSeverityAnalysis[[#This Row],[CCCM]:[WASH]]))</f>
        <v>3</v>
      </c>
      <c r="AJ98" s="335" t="str" cm="1">
        <f t="array" ref="AJ98">IFERROR(IF(tblSeverityAnalysis[[#This Row],[Highest Severity]]="", "", _xlfn.TEXTJOIN(CHAR(10), TRUE, IF(tblSeverityAnalysis[[#This Row],[CCCM]:[WASH]]=tblSeverityAnalysis[[#This Row],[Highest Severity]], tblSeverityAnalysis[[#Headers],[CCCM]:[WASH]], ""), "")), "")</f>
        <v>Education
Food Security
Health</v>
      </c>
      <c r="AK98" s="27" cm="1">
        <f t="array" ref="AK98">IFERROR(MAX(_xlfn._xlws.FILTER(tblSeverityAnalysis[[#This Row],[CCCM]:[WASH]], tblSeverityAnalysis[[#This Row],[CCCM]:[WASH]]&lt;tblSeverityAnalysis[[#This Row],[Highest Severity]])), "")</f>
        <v>2</v>
      </c>
      <c r="AL98" s="324" t="str" cm="1">
        <f t="array" ref="AL98">IFERROR(IF(tblSeverityAnalysis[[#This Row],[2nd Highest Severity]]="", "", _xlfn.TEXTJOIN(CHAR(10), TRUE, IF(tblSeverityAnalysis[[#This Row],[CCCM]:[WASH]]=tblSeverityAnalysis[[#This Row],[2nd Highest Severity]], tblSeverityAnalysis[[#Headers],[CCCM]:[WASH]], ""), "")), "")</f>
        <v>Nutrition
Protection
WASH</v>
      </c>
      <c r="AM98" s="132" t="str">
        <f>IFERROR(IF(AND(tblSeverityAnalysis[[#This Row],[5]] &lt;&gt; "", tblSeverityAnalysis[[#This Row],[5]]&gt;=sectors_sev_5), "Flagged", ""), "")</f>
        <v/>
      </c>
      <c r="AN98" s="133" t="str">
        <f>IFERROR(IF(AND(tblSeverityAnalysis[[#This Row],[Preliminary Intersectoral Severity based on overlap of sectoral deprivations]]=4, SUM(tblSeverityAnalysis[[#This Row],[ 4 ]:[5]])&gt;=sectors_sev_4), "Flagged", ""), "")</f>
        <v/>
      </c>
      <c r="AO98" s="133" t="str" cm="1">
        <f t="array" ref="AO9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98" s="337"/>
      <c r="AR98" s="338"/>
      <c r="AS98" s="337"/>
      <c r="AT98" s="353">
        <f>COUNTIF(tblSeverityAnalysis[[#This Row],[1 sector in severity phase 5 '[modify the threshold']]:[Manual Flag]], "Flagged")</f>
        <v>0</v>
      </c>
      <c r="AU98" s="339">
        <f>tblSeverityAnalysis[[#This Row],[Preliminary Intersectoral Severity based on overlap of sectoral deprivations]]</f>
        <v>2</v>
      </c>
      <c r="AV98" s="340"/>
    </row>
    <row r="99" spans="1:48" ht="73.900000000000006" hidden="1">
      <c r="A9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Global_PopulationHT0721</v>
      </c>
      <c r="B99" s="39" t="s">
        <v>345</v>
      </c>
      <c r="C99" s="331" t="s">
        <v>346</v>
      </c>
      <c r="D99" s="331" t="s">
        <v>359</v>
      </c>
      <c r="E99" s="34" t="s">
        <v>360</v>
      </c>
      <c r="F99" s="34"/>
      <c r="G99" s="34"/>
      <c r="H99" s="357"/>
      <c r="I99" s="354">
        <v>25431</v>
      </c>
      <c r="J99" s="96" t="s">
        <v>156</v>
      </c>
      <c r="K99" s="372">
        <v>3</v>
      </c>
      <c r="L99" s="308">
        <v>3</v>
      </c>
      <c r="M99" s="308">
        <v>3</v>
      </c>
      <c r="N99" s="308">
        <v>3</v>
      </c>
      <c r="O99" s="308">
        <v>2</v>
      </c>
      <c r="P99" s="308">
        <v>2</v>
      </c>
      <c r="Q99" s="309">
        <v>3</v>
      </c>
      <c r="R99" s="341">
        <v>3</v>
      </c>
      <c r="S99" s="310"/>
      <c r="T99" s="308"/>
      <c r="U99" s="308"/>
      <c r="V99" s="308"/>
      <c r="W99" s="332" t="str">
        <f>IF(COUNTIF(tblSeverityAnalysis[[#This Row],[CCCM]:[WASH]], 1)=0, "", COUNTIF(tblSeverityAnalysis[[#This Row],[CCCM]:[WASH]], 1))</f>
        <v/>
      </c>
      <c r="X99" s="333">
        <f>IF(COUNTIF(tblSeverityAnalysis[[#This Row],[CCCM]:[WASH]], 2)=0, "", COUNTIF(tblSeverityAnalysis[[#This Row],[CCCM]:[WASH]], 2))</f>
        <v>2</v>
      </c>
      <c r="Y99" s="333">
        <f>IF(COUNTIF(tblSeverityAnalysis[[#This Row],[CCCM]:[WASH]], 3)=0, "", COUNTIF(tblSeverityAnalysis[[#This Row],[CCCM]:[WASH]], 3))</f>
        <v>6</v>
      </c>
      <c r="Z99" s="333" t="str">
        <f>IF(COUNTIF(tblSeverityAnalysis[[#This Row],[CCCM]:[WASH]], 4)=0, "", COUNTIF(tblSeverityAnalysis[[#This Row],[CCCM]:[WASH]], 4))</f>
        <v/>
      </c>
      <c r="AA99" s="334" t="str">
        <f>IF(COUNTIF(tblSeverityAnalysis[[#This Row],[CCCM]:[WASH]], 5)=0, "", COUNTIF(tblSeverityAnalysis[[#This Row],[CCCM]:[WASH]], 5))</f>
        <v/>
      </c>
      <c r="AB99" s="60" cm="1">
        <f t="array" ref="AB9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9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99" s="33">
        <f>IFERROR(IF(INDEX(tblSeverityReference[Malnutrition Severity],MATCH(tblSeverityAnalysis[[#This Row],[ID]], tblSeverityReference[ID], 0))= "", "",INDEX(tblSeverityReference[Malnutrition Severity],MATCH(tblSeverityAnalysis[[#This Row],[ID]], tblSeverityReference[ID], 0)) ), "")</f>
        <v>2</v>
      </c>
      <c r="AE99" s="347">
        <f>IFERROR(IF(INDEX(tblSeverityReference[Epidemic Severity],MATCH(tblSeverityAnalysis[[#This Row],[ID]], tblSeverityReference[ID], 0))= "", "",INDEX(tblSeverityReference[Epidemic Severity],MATCH(tblSeverityAnalysis[[#This Row],[ID]], tblSeverityReference[ID], 0)) ), "")</f>
        <v>3</v>
      </c>
      <c r="AF99" s="310" t="str">
        <f>IFERROR(IF(INDEX(tblSeverityReference[Coping Strategy Severity],MATCH(tblSeverityAnalysis[[#This Row],[ID]], tblSeverityReference[ID], 0))= "", "",INDEX(tblSeverityReference[Coping Strategy Severity],MATCH(tblSeverityAnalysis[[#This Row],[ID]], tblSeverityReference[ID], 0)) ), "")</f>
        <v/>
      </c>
      <c r="AG99" s="108">
        <f>IFERROR(IF(INDEX(tblSeverityReference[HR/IHL Violation],MATCH(tblSeverityAnalysis[[#This Row],[ID]], tblSeverityReference[ID], 0))= "", "",INDEX(tblSeverityReference[HR/IHL Violation],MATCH(tblSeverityAnalysis[[#This Row],[ID]], tblSeverityReference[ID], 0)) ), "")</f>
        <v>3</v>
      </c>
      <c r="AH99" s="82">
        <f>IFERROR(AVERAGE(tblSeverityAnalysis[[#This Row],[CCCM]:[WASH]]), "")</f>
        <v>2.75</v>
      </c>
      <c r="AI99" s="27">
        <f>IF(SUM(tblSeverityAnalysis[[#This Row],[CCCM]:[WASH]])=0, "", MAX(tblSeverityAnalysis[[#This Row],[CCCM]:[WASH]]))</f>
        <v>3</v>
      </c>
      <c r="AJ99" s="335" t="str" cm="1">
        <f t="array" ref="AJ99">IFERROR(IF(tblSeverityAnalysis[[#This Row],[Highest Severity]]="", "", _xlfn.TEXTJOIN(CHAR(10), TRUE, IF(tblSeverityAnalysis[[#This Row],[CCCM]:[WASH]]=tblSeverityAnalysis[[#This Row],[Highest Severity]], tblSeverityAnalysis[[#Headers],[CCCM]:[WASH]], ""), "")), "")</f>
        <v>CCCM
Education
Nutrition
Food Security
Shelter
WASH</v>
      </c>
      <c r="AK99" s="27" cm="1">
        <f t="array" ref="AK99">IFERROR(MAX(_xlfn._xlws.FILTER(tblSeverityAnalysis[[#This Row],[CCCM]:[WASH]], tblSeverityAnalysis[[#This Row],[CCCM]:[WASH]]&lt;tblSeverityAnalysis[[#This Row],[Highest Severity]])), "")</f>
        <v>2</v>
      </c>
      <c r="AL99" s="324" t="str" cm="1">
        <f t="array" ref="AL99">IFERROR(IF(tblSeverityAnalysis[[#This Row],[2nd Highest Severity]]="", "", _xlfn.TEXTJOIN(CHAR(10), TRUE, IF(tblSeverityAnalysis[[#This Row],[CCCM]:[WASH]]=tblSeverityAnalysis[[#This Row],[2nd Highest Severity]], tblSeverityAnalysis[[#Headers],[CCCM]:[WASH]], ""), "")), "")</f>
        <v>Health
Protection</v>
      </c>
      <c r="AM99" s="132" t="str">
        <f>IFERROR(IF(AND(tblSeverityAnalysis[[#This Row],[5]] &lt;&gt; "", tblSeverityAnalysis[[#This Row],[5]]&gt;=sectors_sev_5), "Flagged", ""), "")</f>
        <v/>
      </c>
      <c r="AN99" s="133" t="str">
        <f>IFERROR(IF(AND(tblSeverityAnalysis[[#This Row],[Preliminary Intersectoral Severity based on overlap of sectoral deprivations]]=4, SUM(tblSeverityAnalysis[[#This Row],[ 4 ]:[5]])&gt;=sectors_sev_4), "Flagged", ""), "")</f>
        <v/>
      </c>
      <c r="AO99" s="133" t="str" cm="1">
        <f t="array" ref="AO9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9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99" s="337"/>
      <c r="AR99" s="338"/>
      <c r="AS99" s="337"/>
      <c r="AT99" s="353">
        <f>COUNTIF(tblSeverityAnalysis[[#This Row],[1 sector in severity phase 5 '[modify the threshold']]:[Manual Flag]], "Flagged")</f>
        <v>1</v>
      </c>
      <c r="AU99" s="339">
        <f>tblSeverityAnalysis[[#This Row],[Preliminary Intersectoral Severity based on overlap of sectoral deprivations]]</f>
        <v>3</v>
      </c>
      <c r="AV99" s="340"/>
    </row>
    <row r="100" spans="1:48" ht="61.5" hidden="1">
      <c r="A10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Global_PopulationHT0722</v>
      </c>
      <c r="B100" s="39" t="s">
        <v>345</v>
      </c>
      <c r="C100" s="331" t="s">
        <v>346</v>
      </c>
      <c r="D100" s="331" t="s">
        <v>361</v>
      </c>
      <c r="E100" s="34" t="s">
        <v>362</v>
      </c>
      <c r="F100" s="34"/>
      <c r="G100" s="34"/>
      <c r="H100" s="358"/>
      <c r="I100" s="354">
        <v>35362</v>
      </c>
      <c r="J100" s="96" t="s">
        <v>156</v>
      </c>
      <c r="K100" s="372">
        <v>3</v>
      </c>
      <c r="L100" s="308">
        <v>3</v>
      </c>
      <c r="M100" s="308">
        <v>3</v>
      </c>
      <c r="N100" s="308">
        <v>3</v>
      </c>
      <c r="O100" s="308">
        <v>2</v>
      </c>
      <c r="P100" s="308">
        <v>2</v>
      </c>
      <c r="Q100" s="309">
        <v>4</v>
      </c>
      <c r="R100" s="341">
        <v>3</v>
      </c>
      <c r="S100" s="310"/>
      <c r="T100" s="308"/>
      <c r="U100" s="308"/>
      <c r="V100" s="308"/>
      <c r="W100" s="332" t="str">
        <f>IF(COUNTIF(tblSeverityAnalysis[[#This Row],[CCCM]:[WASH]], 1)=0, "", COUNTIF(tblSeverityAnalysis[[#This Row],[CCCM]:[WASH]], 1))</f>
        <v/>
      </c>
      <c r="X100" s="333">
        <f>IF(COUNTIF(tblSeverityAnalysis[[#This Row],[CCCM]:[WASH]], 2)=0, "", COUNTIF(tblSeverityAnalysis[[#This Row],[CCCM]:[WASH]], 2))</f>
        <v>2</v>
      </c>
      <c r="Y100" s="333">
        <f>IF(COUNTIF(tblSeverityAnalysis[[#This Row],[CCCM]:[WASH]], 3)=0, "", COUNTIF(tblSeverityAnalysis[[#This Row],[CCCM]:[WASH]], 3))</f>
        <v>5</v>
      </c>
      <c r="Z100" s="333">
        <f>IF(COUNTIF(tblSeverityAnalysis[[#This Row],[CCCM]:[WASH]], 4)=0, "", COUNTIF(tblSeverityAnalysis[[#This Row],[CCCM]:[WASH]], 4))</f>
        <v>1</v>
      </c>
      <c r="AA100" s="334" t="str">
        <f>IF(COUNTIF(tblSeverityAnalysis[[#This Row],[CCCM]:[WASH]], 5)=0, "", COUNTIF(tblSeverityAnalysis[[#This Row],[CCCM]:[WASH]], 5))</f>
        <v/>
      </c>
      <c r="AB100" s="60" cm="1">
        <f t="array" ref="AB10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0" s="33">
        <f>IFERROR(IF(INDEX(tblSeverityReference[Malnutrition Severity],MATCH(tblSeverityAnalysis[[#This Row],[ID]], tblSeverityReference[ID], 0))= "", "",INDEX(tblSeverityReference[Malnutrition Severity],MATCH(tblSeverityAnalysis[[#This Row],[ID]], tblSeverityReference[ID], 0)) ), "")</f>
        <v>2</v>
      </c>
      <c r="AE100" s="347">
        <f>IFERROR(IF(INDEX(tblSeverityReference[Epidemic Severity],MATCH(tblSeverityAnalysis[[#This Row],[ID]], tblSeverityReference[ID], 0))= "", "",INDEX(tblSeverityReference[Epidemic Severity],MATCH(tblSeverityAnalysis[[#This Row],[ID]], tblSeverityReference[ID], 0)) ), "")</f>
        <v>1</v>
      </c>
      <c r="AF100" s="310" t="str">
        <f>IFERROR(IF(INDEX(tblSeverityReference[Coping Strategy Severity],MATCH(tblSeverityAnalysis[[#This Row],[ID]], tblSeverityReference[ID], 0))= "", "",INDEX(tblSeverityReference[Coping Strategy Severity],MATCH(tblSeverityAnalysis[[#This Row],[ID]], tblSeverityReference[ID], 0)) ), "")</f>
        <v/>
      </c>
      <c r="AG100" s="348">
        <f>IFERROR(IF(INDEX(tblSeverityReference[HR/IHL Violation],MATCH(tblSeverityAnalysis[[#This Row],[ID]], tblSeverityReference[ID], 0))= "", "",INDEX(tblSeverityReference[HR/IHL Violation],MATCH(tblSeverityAnalysis[[#This Row],[ID]], tblSeverityReference[ID], 0)) ), "")</f>
        <v>3</v>
      </c>
      <c r="AH100" s="82">
        <f>IFERROR(AVERAGE(tblSeverityAnalysis[[#This Row],[CCCM]:[WASH]]), "")</f>
        <v>2.875</v>
      </c>
      <c r="AI100" s="27">
        <f>IF(SUM(tblSeverityAnalysis[[#This Row],[CCCM]:[WASH]])=0, "", MAX(tblSeverityAnalysis[[#This Row],[CCCM]:[WASH]]))</f>
        <v>4</v>
      </c>
      <c r="AJ100" s="335" t="str" cm="1">
        <f t="array" ref="AJ100">IFERROR(IF(tblSeverityAnalysis[[#This Row],[Highest Severity]]="", "", _xlfn.TEXTJOIN(CHAR(10), TRUE, IF(tblSeverityAnalysis[[#This Row],[CCCM]:[WASH]]=tblSeverityAnalysis[[#This Row],[Highest Severity]], tblSeverityAnalysis[[#Headers],[CCCM]:[WASH]], ""), "")), "")</f>
        <v>Shelter</v>
      </c>
      <c r="AK100" s="27" cm="1">
        <f t="array" ref="AK100">IFERROR(MAX(_xlfn._xlws.FILTER(tblSeverityAnalysis[[#This Row],[CCCM]:[WASH]], tblSeverityAnalysis[[#This Row],[CCCM]:[WASH]]&lt;tblSeverityAnalysis[[#This Row],[Highest Severity]])), "")</f>
        <v>3</v>
      </c>
      <c r="AL100" s="324" t="str" cm="1">
        <f t="array" ref="AL100">IFERROR(IF(tblSeverityAnalysis[[#This Row],[2nd Highest Severity]]="", "", _xlfn.TEXTJOIN(CHAR(10), TRUE, IF(tblSeverityAnalysis[[#This Row],[CCCM]:[WASH]]=tblSeverityAnalysis[[#This Row],[2nd Highest Severity]], tblSeverityAnalysis[[#Headers],[CCCM]:[WASH]], ""), "")), "")</f>
        <v>CCCM
Education
Nutrition
Food Security
WASH</v>
      </c>
      <c r="AM100" s="132" t="str">
        <f>IFERROR(IF(AND(tblSeverityAnalysis[[#This Row],[5]] &lt;&gt; "", tblSeverityAnalysis[[#This Row],[5]]&gt;=sectors_sev_5), "Flagged", ""), "")</f>
        <v/>
      </c>
      <c r="AN100" s="133" t="str">
        <f>IFERROR(IF(AND(tblSeverityAnalysis[[#This Row],[Preliminary Intersectoral Severity based on overlap of sectoral deprivations]]=4, SUM(tblSeverityAnalysis[[#This Row],[ 4 ]:[5]])&gt;=sectors_sev_4), "Flagged", ""), "")</f>
        <v/>
      </c>
      <c r="AO100" s="133" t="str" cm="1">
        <f t="array" ref="AO10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0" s="337"/>
      <c r="AR100" s="338"/>
      <c r="AS100" s="337"/>
      <c r="AT100" s="353">
        <f>COUNTIF(tblSeverityAnalysis[[#This Row],[1 sector in severity phase 5 '[modify the threshold']]:[Manual Flag]], "Flagged")</f>
        <v>2</v>
      </c>
      <c r="AU100" s="339">
        <f>tblSeverityAnalysis[[#This Row],[Preliminary Intersectoral Severity based on overlap of sectoral deprivations]]</f>
        <v>3</v>
      </c>
      <c r="AV100" s="340"/>
    </row>
    <row r="101" spans="1:48" ht="49.15" hidden="1">
      <c r="A10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Global_PopulationHT0723</v>
      </c>
      <c r="B101" s="39" t="s">
        <v>345</v>
      </c>
      <c r="C101" s="331" t="s">
        <v>346</v>
      </c>
      <c r="D101" s="331" t="s">
        <v>363</v>
      </c>
      <c r="E101" s="34" t="s">
        <v>364</v>
      </c>
      <c r="F101" s="34"/>
      <c r="G101" s="34"/>
      <c r="H101" s="357"/>
      <c r="I101" s="354">
        <v>35838</v>
      </c>
      <c r="J101" s="96" t="s">
        <v>156</v>
      </c>
      <c r="K101" s="372">
        <v>3</v>
      </c>
      <c r="L101" s="308">
        <v>3</v>
      </c>
      <c r="M101" s="308">
        <v>3</v>
      </c>
      <c r="N101" s="308">
        <v>3</v>
      </c>
      <c r="O101" s="308">
        <v>2</v>
      </c>
      <c r="P101" s="308">
        <v>2</v>
      </c>
      <c r="Q101" s="309">
        <v>1</v>
      </c>
      <c r="R101" s="341">
        <v>2</v>
      </c>
      <c r="S101" s="310"/>
      <c r="T101" s="308"/>
      <c r="U101" s="308"/>
      <c r="V101" s="308"/>
      <c r="W101" s="332">
        <f>IF(COUNTIF(tblSeverityAnalysis[[#This Row],[CCCM]:[WASH]], 1)=0, "", COUNTIF(tblSeverityAnalysis[[#This Row],[CCCM]:[WASH]], 1))</f>
        <v>1</v>
      </c>
      <c r="X101" s="333">
        <f>IF(COUNTIF(tblSeverityAnalysis[[#This Row],[CCCM]:[WASH]], 2)=0, "", COUNTIF(tblSeverityAnalysis[[#This Row],[CCCM]:[WASH]], 2))</f>
        <v>3</v>
      </c>
      <c r="Y101" s="333">
        <f>IF(COUNTIF(tblSeverityAnalysis[[#This Row],[CCCM]:[WASH]], 3)=0, "", COUNTIF(tblSeverityAnalysis[[#This Row],[CCCM]:[WASH]], 3))</f>
        <v>4</v>
      </c>
      <c r="Z101" s="333" t="str">
        <f>IF(COUNTIF(tblSeverityAnalysis[[#This Row],[CCCM]:[WASH]], 4)=0, "", COUNTIF(tblSeverityAnalysis[[#This Row],[CCCM]:[WASH]], 4))</f>
        <v/>
      </c>
      <c r="AA101" s="334" t="str">
        <f>IF(COUNTIF(tblSeverityAnalysis[[#This Row],[CCCM]:[WASH]], 5)=0, "", COUNTIF(tblSeverityAnalysis[[#This Row],[CCCM]:[WASH]], 5))</f>
        <v/>
      </c>
      <c r="AB101" s="60" cm="1">
        <f t="array" ref="AB10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1" s="33">
        <f>IFERROR(IF(INDEX(tblSeverityReference[Malnutrition Severity],MATCH(tblSeverityAnalysis[[#This Row],[ID]], tblSeverityReference[ID], 0))= "", "",INDEX(tblSeverityReference[Malnutrition Severity],MATCH(tblSeverityAnalysis[[#This Row],[ID]], tblSeverityReference[ID], 0)) ), "")</f>
        <v>2</v>
      </c>
      <c r="AE101" s="347">
        <f>IFERROR(IF(INDEX(tblSeverityReference[Epidemic Severity],MATCH(tblSeverityAnalysis[[#This Row],[ID]], tblSeverityReference[ID], 0))= "", "",INDEX(tblSeverityReference[Epidemic Severity],MATCH(tblSeverityAnalysis[[#This Row],[ID]], tblSeverityReference[ID], 0)) ), "")</f>
        <v>1</v>
      </c>
      <c r="AF101" s="310" t="str">
        <f>IFERROR(IF(INDEX(tblSeverityReference[Coping Strategy Severity],MATCH(tblSeverityAnalysis[[#This Row],[ID]], tblSeverityReference[ID], 0))= "", "",INDEX(tblSeverityReference[Coping Strategy Severity],MATCH(tblSeverityAnalysis[[#This Row],[ID]], tblSeverityReference[ID], 0)) ), "")</f>
        <v/>
      </c>
      <c r="AG101" s="108">
        <f>IFERROR(IF(INDEX(tblSeverityReference[HR/IHL Violation],MATCH(tblSeverityAnalysis[[#This Row],[ID]], tblSeverityReference[ID], 0))= "", "",INDEX(tblSeverityReference[HR/IHL Violation],MATCH(tblSeverityAnalysis[[#This Row],[ID]], tblSeverityReference[ID], 0)) ), "")</f>
        <v>3</v>
      </c>
      <c r="AH101" s="82">
        <f>IFERROR(AVERAGE(tblSeverityAnalysis[[#This Row],[CCCM]:[WASH]]), "")</f>
        <v>2.375</v>
      </c>
      <c r="AI101" s="27">
        <f>IF(SUM(tblSeverityAnalysis[[#This Row],[CCCM]:[WASH]])=0, "", MAX(tblSeverityAnalysis[[#This Row],[CCCM]:[WASH]]))</f>
        <v>3</v>
      </c>
      <c r="AJ101" s="335" t="str" cm="1">
        <f t="array" ref="AJ101">IFERROR(IF(tblSeverityAnalysis[[#This Row],[Highest Severity]]="", "", _xlfn.TEXTJOIN(CHAR(10), TRUE, IF(tblSeverityAnalysis[[#This Row],[CCCM]:[WASH]]=tblSeverityAnalysis[[#This Row],[Highest Severity]], tblSeverityAnalysis[[#Headers],[CCCM]:[WASH]], ""), "")), "")</f>
        <v>CCCM
Education
Nutrition
Food Security</v>
      </c>
      <c r="AK101" s="27" cm="1">
        <f t="array" ref="AK101">IFERROR(MAX(_xlfn._xlws.FILTER(tblSeverityAnalysis[[#This Row],[CCCM]:[WASH]], tblSeverityAnalysis[[#This Row],[CCCM]:[WASH]]&lt;tblSeverityAnalysis[[#This Row],[Highest Severity]])), "")</f>
        <v>2</v>
      </c>
      <c r="AL101" s="324" t="str" cm="1">
        <f t="array" ref="AL101">IFERROR(IF(tblSeverityAnalysis[[#This Row],[2nd Highest Severity]]="", "", _xlfn.TEXTJOIN(CHAR(10), TRUE, IF(tblSeverityAnalysis[[#This Row],[CCCM]:[WASH]]=tblSeverityAnalysis[[#This Row],[2nd Highest Severity]], tblSeverityAnalysis[[#Headers],[CCCM]:[WASH]], ""), "")), "")</f>
        <v>Health
Protection
WASH</v>
      </c>
      <c r="AM101" s="132" t="str">
        <f>IFERROR(IF(AND(tblSeverityAnalysis[[#This Row],[5]] &lt;&gt; "", tblSeverityAnalysis[[#This Row],[5]]&gt;=sectors_sev_5), "Flagged", ""), "")</f>
        <v/>
      </c>
      <c r="AN101" s="133" t="str">
        <f>IFERROR(IF(AND(tblSeverityAnalysis[[#This Row],[Preliminary Intersectoral Severity based on overlap of sectoral deprivations]]=4, SUM(tblSeverityAnalysis[[#This Row],[ 4 ]:[5]])&gt;=sectors_sev_4), "Flagged", ""), "")</f>
        <v/>
      </c>
      <c r="AO101" s="133" t="str" cm="1">
        <f t="array" ref="AO10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1" s="337"/>
      <c r="AR101" s="338"/>
      <c r="AS101" s="337"/>
      <c r="AT101" s="353">
        <f>COUNTIF(tblSeverityAnalysis[[#This Row],[1 sector in severity phase 5 '[modify the threshold']]:[Manual Flag]], "Flagged")</f>
        <v>2</v>
      </c>
      <c r="AU101" s="339">
        <f>tblSeverityAnalysis[[#This Row],[Preliminary Intersectoral Severity based on overlap of sectoral deprivations]]</f>
        <v>3</v>
      </c>
      <c r="AV101" s="340"/>
    </row>
    <row r="102" spans="1:48" ht="73.900000000000006" hidden="1">
      <c r="A10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Global_PopulationHT0731</v>
      </c>
      <c r="B102" s="39" t="s">
        <v>345</v>
      </c>
      <c r="C102" s="331" t="s">
        <v>346</v>
      </c>
      <c r="D102" s="331" t="s">
        <v>365</v>
      </c>
      <c r="E102" s="34" t="s">
        <v>366</v>
      </c>
      <c r="F102" s="34"/>
      <c r="G102" s="34"/>
      <c r="H102" s="358"/>
      <c r="I102" s="354">
        <v>123719</v>
      </c>
      <c r="J102" s="96" t="s">
        <v>156</v>
      </c>
      <c r="K102" s="372">
        <v>3</v>
      </c>
      <c r="L102" s="308">
        <v>3</v>
      </c>
      <c r="M102" s="308">
        <v>3</v>
      </c>
      <c r="N102" s="308">
        <v>3</v>
      </c>
      <c r="O102" s="308">
        <v>3</v>
      </c>
      <c r="P102" s="308">
        <v>2</v>
      </c>
      <c r="Q102" s="309">
        <v>3</v>
      </c>
      <c r="R102" s="341">
        <v>2</v>
      </c>
      <c r="S102" s="310"/>
      <c r="T102" s="308"/>
      <c r="U102" s="308"/>
      <c r="V102" s="308"/>
      <c r="W102" s="332" t="str">
        <f>IF(COUNTIF(tblSeverityAnalysis[[#This Row],[CCCM]:[WASH]], 1)=0, "", COUNTIF(tblSeverityAnalysis[[#This Row],[CCCM]:[WASH]], 1))</f>
        <v/>
      </c>
      <c r="X102" s="333">
        <f>IF(COUNTIF(tblSeverityAnalysis[[#This Row],[CCCM]:[WASH]], 2)=0, "", COUNTIF(tblSeverityAnalysis[[#This Row],[CCCM]:[WASH]], 2))</f>
        <v>2</v>
      </c>
      <c r="Y102" s="333">
        <f>IF(COUNTIF(tblSeverityAnalysis[[#This Row],[CCCM]:[WASH]], 3)=0, "", COUNTIF(tblSeverityAnalysis[[#This Row],[CCCM]:[WASH]], 3))</f>
        <v>6</v>
      </c>
      <c r="Z102" s="333" t="str">
        <f>IF(COUNTIF(tblSeverityAnalysis[[#This Row],[CCCM]:[WASH]], 4)=0, "", COUNTIF(tblSeverityAnalysis[[#This Row],[CCCM]:[WASH]], 4))</f>
        <v/>
      </c>
      <c r="AA102" s="334" t="str">
        <f>IF(COUNTIF(tblSeverityAnalysis[[#This Row],[CCCM]:[WASH]], 5)=0, "", COUNTIF(tblSeverityAnalysis[[#This Row],[CCCM]:[WASH]], 5))</f>
        <v/>
      </c>
      <c r="AB102" s="60" cm="1">
        <f t="array" ref="AB10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2"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2" s="33">
        <f>IFERROR(IF(INDEX(tblSeverityReference[Malnutrition Severity],MATCH(tblSeverityAnalysis[[#This Row],[ID]], tblSeverityReference[ID], 0))= "", "",INDEX(tblSeverityReference[Malnutrition Severity],MATCH(tblSeverityAnalysis[[#This Row],[ID]], tblSeverityReference[ID], 0)) ), "")</f>
        <v>2</v>
      </c>
      <c r="AE102" s="347">
        <f>IFERROR(IF(INDEX(tblSeverityReference[Epidemic Severity],MATCH(tblSeverityAnalysis[[#This Row],[ID]], tblSeverityReference[ID], 0))= "", "",INDEX(tblSeverityReference[Epidemic Severity],MATCH(tblSeverityAnalysis[[#This Row],[ID]], tblSeverityReference[ID], 0)) ), "")</f>
        <v>3</v>
      </c>
      <c r="AF102" s="310" t="str">
        <f>IFERROR(IF(INDEX(tblSeverityReference[Coping Strategy Severity],MATCH(tblSeverityAnalysis[[#This Row],[ID]], tblSeverityReference[ID], 0))= "", "",INDEX(tblSeverityReference[Coping Strategy Severity],MATCH(tblSeverityAnalysis[[#This Row],[ID]], tblSeverityReference[ID], 0)) ), "")</f>
        <v/>
      </c>
      <c r="AG102" s="348">
        <f>IFERROR(IF(INDEX(tblSeverityReference[HR/IHL Violation],MATCH(tblSeverityAnalysis[[#This Row],[ID]], tblSeverityReference[ID], 0))= "", "",INDEX(tblSeverityReference[HR/IHL Violation],MATCH(tblSeverityAnalysis[[#This Row],[ID]], tblSeverityReference[ID], 0)) ), "")</f>
        <v>3</v>
      </c>
      <c r="AH102" s="82">
        <f>IFERROR(AVERAGE(tblSeverityAnalysis[[#This Row],[CCCM]:[WASH]]), "")</f>
        <v>2.75</v>
      </c>
      <c r="AI102" s="27">
        <f>IF(SUM(tblSeverityAnalysis[[#This Row],[CCCM]:[WASH]])=0, "", MAX(tblSeverityAnalysis[[#This Row],[CCCM]:[WASH]]))</f>
        <v>3</v>
      </c>
      <c r="AJ102" s="335" t="str" cm="1">
        <f t="array" ref="AJ102">IFERROR(IF(tblSeverityAnalysis[[#This Row],[Highest Severity]]="", "", _xlfn.TEXTJOIN(CHAR(10), TRUE, IF(tblSeverityAnalysis[[#This Row],[CCCM]:[WASH]]=tblSeverityAnalysis[[#This Row],[Highest Severity]], tblSeverityAnalysis[[#Headers],[CCCM]:[WASH]], ""), "")), "")</f>
        <v>CCCM
Education
Nutrition
Food Security
Health
Shelter</v>
      </c>
      <c r="AK102" s="27" cm="1">
        <f t="array" ref="AK102">IFERROR(MAX(_xlfn._xlws.FILTER(tblSeverityAnalysis[[#This Row],[CCCM]:[WASH]], tblSeverityAnalysis[[#This Row],[CCCM]:[WASH]]&lt;tblSeverityAnalysis[[#This Row],[Highest Severity]])), "")</f>
        <v>2</v>
      </c>
      <c r="AL102" s="324" t="str" cm="1">
        <f t="array" ref="AL102">IFERROR(IF(tblSeverityAnalysis[[#This Row],[2nd Highest Severity]]="", "", _xlfn.TEXTJOIN(CHAR(10), TRUE, IF(tblSeverityAnalysis[[#This Row],[CCCM]:[WASH]]=tblSeverityAnalysis[[#This Row],[2nd Highest Severity]], tblSeverityAnalysis[[#Headers],[CCCM]:[WASH]], ""), "")), "")</f>
        <v>Protection
WASH</v>
      </c>
      <c r="AM102" s="132" t="str">
        <f>IFERROR(IF(AND(tblSeverityAnalysis[[#This Row],[5]] &lt;&gt; "", tblSeverityAnalysis[[#This Row],[5]]&gt;=sectors_sev_5), "Flagged", ""), "")</f>
        <v/>
      </c>
      <c r="AN102" s="133" t="str">
        <f>IFERROR(IF(AND(tblSeverityAnalysis[[#This Row],[Preliminary Intersectoral Severity based on overlap of sectoral deprivations]]=4, SUM(tblSeverityAnalysis[[#This Row],[ 4 ]:[5]])&gt;=sectors_sev_4), "Flagged", ""), "")</f>
        <v/>
      </c>
      <c r="AO102" s="133" t="str" cm="1">
        <f t="array" ref="AO10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2" s="337"/>
      <c r="AR102" s="338"/>
      <c r="AS102" s="337"/>
      <c r="AT102" s="353">
        <f>COUNTIF(tblSeverityAnalysis[[#This Row],[1 sector in severity phase 5 '[modify the threshold']]:[Manual Flag]], "Flagged")</f>
        <v>1</v>
      </c>
      <c r="AU102" s="339">
        <f>tblSeverityAnalysis[[#This Row],[Preliminary Intersectoral Severity based on overlap of sectoral deprivations]]</f>
        <v>3</v>
      </c>
      <c r="AV102" s="340"/>
    </row>
    <row r="103" spans="1:48" ht="86.1" hidden="1">
      <c r="A10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Global_PopulationHT0732</v>
      </c>
      <c r="B103" s="39" t="s">
        <v>345</v>
      </c>
      <c r="C103" s="331" t="s">
        <v>346</v>
      </c>
      <c r="D103" s="331" t="s">
        <v>367</v>
      </c>
      <c r="E103" s="34" t="s">
        <v>368</v>
      </c>
      <c r="F103" s="34"/>
      <c r="G103" s="34"/>
      <c r="H103" s="357"/>
      <c r="I103" s="354">
        <v>80295</v>
      </c>
      <c r="J103" s="96" t="s">
        <v>156</v>
      </c>
      <c r="K103" s="372">
        <v>3</v>
      </c>
      <c r="L103" s="308">
        <v>3</v>
      </c>
      <c r="M103" s="308">
        <v>3</v>
      </c>
      <c r="N103" s="308">
        <v>3</v>
      </c>
      <c r="O103" s="308">
        <v>3</v>
      </c>
      <c r="P103" s="308">
        <v>2</v>
      </c>
      <c r="Q103" s="309">
        <v>3</v>
      </c>
      <c r="R103" s="341">
        <v>3</v>
      </c>
      <c r="S103" s="310"/>
      <c r="T103" s="308"/>
      <c r="U103" s="308"/>
      <c r="V103" s="308"/>
      <c r="W103" s="332" t="str">
        <f>IF(COUNTIF(tblSeverityAnalysis[[#This Row],[CCCM]:[WASH]], 1)=0, "", COUNTIF(tblSeverityAnalysis[[#This Row],[CCCM]:[WASH]], 1))</f>
        <v/>
      </c>
      <c r="X103" s="333">
        <f>IF(COUNTIF(tblSeverityAnalysis[[#This Row],[CCCM]:[WASH]], 2)=0, "", COUNTIF(tblSeverityAnalysis[[#This Row],[CCCM]:[WASH]], 2))</f>
        <v>1</v>
      </c>
      <c r="Y103" s="333">
        <f>IF(COUNTIF(tblSeverityAnalysis[[#This Row],[CCCM]:[WASH]], 3)=0, "", COUNTIF(tblSeverityAnalysis[[#This Row],[CCCM]:[WASH]], 3))</f>
        <v>7</v>
      </c>
      <c r="Z103" s="333" t="str">
        <f>IF(COUNTIF(tblSeverityAnalysis[[#This Row],[CCCM]:[WASH]], 4)=0, "", COUNTIF(tblSeverityAnalysis[[#This Row],[CCCM]:[WASH]], 4))</f>
        <v/>
      </c>
      <c r="AA103" s="334" t="str">
        <f>IF(COUNTIF(tblSeverityAnalysis[[#This Row],[CCCM]:[WASH]], 5)=0, "", COUNTIF(tblSeverityAnalysis[[#This Row],[CCCM]:[WASH]], 5))</f>
        <v/>
      </c>
      <c r="AB103" s="60" cm="1">
        <f t="array" ref="AB10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03" s="33">
        <f>IFERROR(IF(INDEX(tblSeverityReference[Malnutrition Severity],MATCH(tblSeverityAnalysis[[#This Row],[ID]], tblSeverityReference[ID], 0))= "", "",INDEX(tblSeverityReference[Malnutrition Severity],MATCH(tblSeverityAnalysis[[#This Row],[ID]], tblSeverityReference[ID], 0)) ), "")</f>
        <v>2</v>
      </c>
      <c r="AE103" s="347">
        <f>IFERROR(IF(INDEX(tblSeverityReference[Epidemic Severity],MATCH(tblSeverityAnalysis[[#This Row],[ID]], tblSeverityReference[ID], 0))= "", "",INDEX(tblSeverityReference[Epidemic Severity],MATCH(tblSeverityAnalysis[[#This Row],[ID]], tblSeverityReference[ID], 0)) ), "")</f>
        <v>3</v>
      </c>
      <c r="AF103" s="310" t="str">
        <f>IFERROR(IF(INDEX(tblSeverityReference[Coping Strategy Severity],MATCH(tblSeverityAnalysis[[#This Row],[ID]], tblSeverityReference[ID], 0))= "", "",INDEX(tblSeverityReference[Coping Strategy Severity],MATCH(tblSeverityAnalysis[[#This Row],[ID]], tblSeverityReference[ID], 0)) ), "")</f>
        <v/>
      </c>
      <c r="AG103" s="108">
        <f>IFERROR(IF(INDEX(tblSeverityReference[HR/IHL Violation],MATCH(tblSeverityAnalysis[[#This Row],[ID]], tblSeverityReference[ID], 0))= "", "",INDEX(tblSeverityReference[HR/IHL Violation],MATCH(tblSeverityAnalysis[[#This Row],[ID]], tblSeverityReference[ID], 0)) ), "")</f>
        <v>3</v>
      </c>
      <c r="AH103" s="82">
        <f>IFERROR(AVERAGE(tblSeverityAnalysis[[#This Row],[CCCM]:[WASH]]), "")</f>
        <v>2.875</v>
      </c>
      <c r="AI103" s="27">
        <f>IF(SUM(tblSeverityAnalysis[[#This Row],[CCCM]:[WASH]])=0, "", MAX(tblSeverityAnalysis[[#This Row],[CCCM]:[WASH]]))</f>
        <v>3</v>
      </c>
      <c r="AJ103" s="335" t="str" cm="1">
        <f t="array" ref="AJ103">IFERROR(IF(tblSeverityAnalysis[[#This Row],[Highest Severity]]="", "", _xlfn.TEXTJOIN(CHAR(10), TRUE, IF(tblSeverityAnalysis[[#This Row],[CCCM]:[WASH]]=tblSeverityAnalysis[[#This Row],[Highest Severity]], tblSeverityAnalysis[[#Headers],[CCCM]:[WASH]], ""), "")), "")</f>
        <v>CCCM
Education
Nutrition
Food Security
Health
Shelter
WASH</v>
      </c>
      <c r="AK103" s="27" cm="1">
        <f t="array" ref="AK103">IFERROR(MAX(_xlfn._xlws.FILTER(tblSeverityAnalysis[[#This Row],[CCCM]:[WASH]], tblSeverityAnalysis[[#This Row],[CCCM]:[WASH]]&lt;tblSeverityAnalysis[[#This Row],[Highest Severity]])), "")</f>
        <v>2</v>
      </c>
      <c r="AL103" s="324" t="str" cm="1">
        <f t="array" ref="AL103">IFERROR(IF(tblSeverityAnalysis[[#This Row],[2nd Highest Severity]]="", "", _xlfn.TEXTJOIN(CHAR(10), TRUE, IF(tblSeverityAnalysis[[#This Row],[CCCM]:[WASH]]=tblSeverityAnalysis[[#This Row],[2nd Highest Severity]], tblSeverityAnalysis[[#Headers],[CCCM]:[WASH]], ""), "")), "")</f>
        <v>Protection</v>
      </c>
      <c r="AM103" s="132" t="str">
        <f>IFERROR(IF(AND(tblSeverityAnalysis[[#This Row],[5]] &lt;&gt; "", tblSeverityAnalysis[[#This Row],[5]]&gt;=sectors_sev_5), "Flagged", ""), "")</f>
        <v/>
      </c>
      <c r="AN103" s="133" t="str">
        <f>IFERROR(IF(AND(tblSeverityAnalysis[[#This Row],[Preliminary Intersectoral Severity based on overlap of sectoral deprivations]]=4, SUM(tblSeverityAnalysis[[#This Row],[ 4 ]:[5]])&gt;=sectors_sev_4), "Flagged", ""), "")</f>
        <v/>
      </c>
      <c r="AO103" s="133" t="str" cm="1">
        <f t="array" ref="AO10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3" s="337"/>
      <c r="AR103" s="338"/>
      <c r="AS103" s="337"/>
      <c r="AT103" s="353">
        <f>COUNTIF(tblSeverityAnalysis[[#This Row],[1 sector in severity phase 5 '[modify the threshold']]:[Manual Flag]], "Flagged")</f>
        <v>1</v>
      </c>
      <c r="AU103" s="339">
        <f>tblSeverityAnalysis[[#This Row],[Preliminary Intersectoral Severity based on overlap of sectoral deprivations]]</f>
        <v>3</v>
      </c>
      <c r="AV103" s="340"/>
    </row>
    <row r="104" spans="1:48" ht="73.900000000000006" hidden="1">
      <c r="A10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Global_PopulationHT0733</v>
      </c>
      <c r="B104" s="39" t="s">
        <v>345</v>
      </c>
      <c r="C104" s="331" t="s">
        <v>346</v>
      </c>
      <c r="D104" s="331" t="s">
        <v>369</v>
      </c>
      <c r="E104" s="34" t="s">
        <v>370</v>
      </c>
      <c r="F104" s="34"/>
      <c r="G104" s="34"/>
      <c r="H104" s="358"/>
      <c r="I104" s="354">
        <v>63397</v>
      </c>
      <c r="J104" s="96" t="s">
        <v>156</v>
      </c>
      <c r="K104" s="372">
        <v>3</v>
      </c>
      <c r="L104" s="308">
        <v>3</v>
      </c>
      <c r="M104" s="308">
        <v>3</v>
      </c>
      <c r="N104" s="308">
        <v>3</v>
      </c>
      <c r="O104" s="308">
        <v>2</v>
      </c>
      <c r="P104" s="308">
        <v>2</v>
      </c>
      <c r="Q104" s="309">
        <v>3</v>
      </c>
      <c r="R104" s="341">
        <v>3</v>
      </c>
      <c r="S104" s="310"/>
      <c r="T104" s="308"/>
      <c r="U104" s="308"/>
      <c r="V104" s="308"/>
      <c r="W104" s="332" t="str">
        <f>IF(COUNTIF(tblSeverityAnalysis[[#This Row],[CCCM]:[WASH]], 1)=0, "", COUNTIF(tblSeverityAnalysis[[#This Row],[CCCM]:[WASH]], 1))</f>
        <v/>
      </c>
      <c r="X104" s="333">
        <f>IF(COUNTIF(tblSeverityAnalysis[[#This Row],[CCCM]:[WASH]], 2)=0, "", COUNTIF(tblSeverityAnalysis[[#This Row],[CCCM]:[WASH]], 2))</f>
        <v>2</v>
      </c>
      <c r="Y104" s="333">
        <f>IF(COUNTIF(tblSeverityAnalysis[[#This Row],[CCCM]:[WASH]], 3)=0, "", COUNTIF(tblSeverityAnalysis[[#This Row],[CCCM]:[WASH]], 3))</f>
        <v>6</v>
      </c>
      <c r="Z104" s="333" t="str">
        <f>IF(COUNTIF(tblSeverityAnalysis[[#This Row],[CCCM]:[WASH]], 4)=0, "", COUNTIF(tblSeverityAnalysis[[#This Row],[CCCM]:[WASH]], 4))</f>
        <v/>
      </c>
      <c r="AA104" s="334" t="str">
        <f>IF(COUNTIF(tblSeverityAnalysis[[#This Row],[CCCM]:[WASH]], 5)=0, "", COUNTIF(tblSeverityAnalysis[[#This Row],[CCCM]:[WASH]], 5))</f>
        <v/>
      </c>
      <c r="AB104" s="60" cm="1">
        <f t="array" ref="AB10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4"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104" s="33">
        <f>IFERROR(IF(INDEX(tblSeverityReference[Malnutrition Severity],MATCH(tblSeverityAnalysis[[#This Row],[ID]], tblSeverityReference[ID], 0))= "", "",INDEX(tblSeverityReference[Malnutrition Severity],MATCH(tblSeverityAnalysis[[#This Row],[ID]], tblSeverityReference[ID], 0)) ), "")</f>
        <v>2</v>
      </c>
      <c r="AE104" s="347">
        <f>IFERROR(IF(INDEX(tblSeverityReference[Epidemic Severity],MATCH(tblSeverityAnalysis[[#This Row],[ID]], tblSeverityReference[ID], 0))= "", "",INDEX(tblSeverityReference[Epidemic Severity],MATCH(tblSeverityAnalysis[[#This Row],[ID]], tblSeverityReference[ID], 0)) ), "")</f>
        <v>3</v>
      </c>
      <c r="AF104" s="310" t="str">
        <f>IFERROR(IF(INDEX(tblSeverityReference[Coping Strategy Severity],MATCH(tblSeverityAnalysis[[#This Row],[ID]], tblSeverityReference[ID], 0))= "", "",INDEX(tblSeverityReference[Coping Strategy Severity],MATCH(tblSeverityAnalysis[[#This Row],[ID]], tblSeverityReference[ID], 0)) ), "")</f>
        <v/>
      </c>
      <c r="AG104" s="348">
        <f>IFERROR(IF(INDEX(tblSeverityReference[HR/IHL Violation],MATCH(tblSeverityAnalysis[[#This Row],[ID]], tblSeverityReference[ID], 0))= "", "",INDEX(tblSeverityReference[HR/IHL Violation],MATCH(tblSeverityAnalysis[[#This Row],[ID]], tblSeverityReference[ID], 0)) ), "")</f>
        <v>3</v>
      </c>
      <c r="AH104" s="82">
        <f>IFERROR(AVERAGE(tblSeverityAnalysis[[#This Row],[CCCM]:[WASH]]), "")</f>
        <v>2.75</v>
      </c>
      <c r="AI104" s="27">
        <f>IF(SUM(tblSeverityAnalysis[[#This Row],[CCCM]:[WASH]])=0, "", MAX(tblSeverityAnalysis[[#This Row],[CCCM]:[WASH]]))</f>
        <v>3</v>
      </c>
      <c r="AJ104" s="335" t="str" cm="1">
        <f t="array" ref="AJ104">IFERROR(IF(tblSeverityAnalysis[[#This Row],[Highest Severity]]="", "", _xlfn.TEXTJOIN(CHAR(10), TRUE, IF(tblSeverityAnalysis[[#This Row],[CCCM]:[WASH]]=tblSeverityAnalysis[[#This Row],[Highest Severity]], tblSeverityAnalysis[[#Headers],[CCCM]:[WASH]], ""), "")), "")</f>
        <v>CCCM
Education
Nutrition
Food Security
Shelter
WASH</v>
      </c>
      <c r="AK104" s="27" cm="1">
        <f t="array" ref="AK104">IFERROR(MAX(_xlfn._xlws.FILTER(tblSeverityAnalysis[[#This Row],[CCCM]:[WASH]], tblSeverityAnalysis[[#This Row],[CCCM]:[WASH]]&lt;tblSeverityAnalysis[[#This Row],[Highest Severity]])), "")</f>
        <v>2</v>
      </c>
      <c r="AL104" s="324" t="str" cm="1">
        <f t="array" ref="AL104">IFERROR(IF(tblSeverityAnalysis[[#This Row],[2nd Highest Severity]]="", "", _xlfn.TEXTJOIN(CHAR(10), TRUE, IF(tblSeverityAnalysis[[#This Row],[CCCM]:[WASH]]=tblSeverityAnalysis[[#This Row],[2nd Highest Severity]], tblSeverityAnalysis[[#Headers],[CCCM]:[WASH]], ""), "")), "")</f>
        <v>Health
Protection</v>
      </c>
      <c r="AM104" s="132" t="str">
        <f>IFERROR(IF(AND(tblSeverityAnalysis[[#This Row],[5]] &lt;&gt; "", tblSeverityAnalysis[[#This Row],[5]]&gt;=sectors_sev_5), "Flagged", ""), "")</f>
        <v/>
      </c>
      <c r="AN104" s="133" t="str">
        <f>IFERROR(IF(AND(tblSeverityAnalysis[[#This Row],[Preliminary Intersectoral Severity based on overlap of sectoral deprivations]]=4, SUM(tblSeverityAnalysis[[#This Row],[ 4 ]:[5]])&gt;=sectors_sev_4), "Flagged", ""), "")</f>
        <v/>
      </c>
      <c r="AO104" s="133" t="str" cm="1">
        <f t="array" ref="AO10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0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04" s="337"/>
      <c r="AR104" s="338"/>
      <c r="AS104" s="337"/>
      <c r="AT104" s="353">
        <f>COUNTIF(tblSeverityAnalysis[[#This Row],[1 sector in severity phase 5 '[modify the threshold']]:[Manual Flag]], "Flagged")</f>
        <v>0</v>
      </c>
      <c r="AU104" s="339">
        <f>tblSeverityAnalysis[[#This Row],[Preliminary Intersectoral Severity based on overlap of sectoral deprivations]]</f>
        <v>3</v>
      </c>
      <c r="AV104" s="340"/>
    </row>
    <row r="105" spans="1:48" ht="73.900000000000006" hidden="1">
      <c r="A10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Global_PopulationHT0741</v>
      </c>
      <c r="B105" s="39" t="s">
        <v>345</v>
      </c>
      <c r="C105" s="331" t="s">
        <v>346</v>
      </c>
      <c r="D105" s="331" t="s">
        <v>371</v>
      </c>
      <c r="E105" s="34" t="s">
        <v>372</v>
      </c>
      <c r="F105" s="34"/>
      <c r="G105" s="34"/>
      <c r="H105" s="357"/>
      <c r="I105" s="354">
        <v>25395</v>
      </c>
      <c r="J105" s="96" t="s">
        <v>156</v>
      </c>
      <c r="K105" s="305">
        <v>3</v>
      </c>
      <c r="L105" s="308">
        <v>3</v>
      </c>
      <c r="M105" s="308">
        <v>3</v>
      </c>
      <c r="N105" s="308">
        <v>3</v>
      </c>
      <c r="O105" s="308">
        <v>2</v>
      </c>
      <c r="P105" s="308">
        <v>2</v>
      </c>
      <c r="Q105" s="309">
        <v>3</v>
      </c>
      <c r="R105" s="341">
        <v>3</v>
      </c>
      <c r="S105" s="310"/>
      <c r="T105" s="308"/>
      <c r="U105" s="308"/>
      <c r="V105" s="308"/>
      <c r="W105" s="332" t="str">
        <f>IF(COUNTIF(tblSeverityAnalysis[[#This Row],[CCCM]:[WASH]], 1)=0, "", COUNTIF(tblSeverityAnalysis[[#This Row],[CCCM]:[WASH]], 1))</f>
        <v/>
      </c>
      <c r="X105" s="333">
        <f>IF(COUNTIF(tblSeverityAnalysis[[#This Row],[CCCM]:[WASH]], 2)=0, "", COUNTIF(tblSeverityAnalysis[[#This Row],[CCCM]:[WASH]], 2))</f>
        <v>2</v>
      </c>
      <c r="Y105" s="333">
        <f>IF(COUNTIF(tblSeverityAnalysis[[#This Row],[CCCM]:[WASH]], 3)=0, "", COUNTIF(tblSeverityAnalysis[[#This Row],[CCCM]:[WASH]], 3))</f>
        <v>6</v>
      </c>
      <c r="Z105" s="333" t="str">
        <f>IF(COUNTIF(tblSeverityAnalysis[[#This Row],[CCCM]:[WASH]], 4)=0, "", COUNTIF(tblSeverityAnalysis[[#This Row],[CCCM]:[WASH]], 4))</f>
        <v/>
      </c>
      <c r="AA105" s="334" t="str">
        <f>IF(COUNTIF(tblSeverityAnalysis[[#This Row],[CCCM]:[WASH]], 5)=0, "", COUNTIF(tblSeverityAnalysis[[#This Row],[CCCM]:[WASH]], 5))</f>
        <v/>
      </c>
      <c r="AB105" s="60" cm="1">
        <f t="array" ref="AB10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5" s="33">
        <f>IFERROR(IF(INDEX(tblSeverityReference[Malnutrition Severity],MATCH(tblSeverityAnalysis[[#This Row],[ID]], tblSeverityReference[ID], 0))= "", "",INDEX(tblSeverityReference[Malnutrition Severity],MATCH(tblSeverityAnalysis[[#This Row],[ID]], tblSeverityReference[ID], 0)) ), "")</f>
        <v>2</v>
      </c>
      <c r="AE105" s="347">
        <f>IFERROR(IF(INDEX(tblSeverityReference[Epidemic Severity],MATCH(tblSeverityAnalysis[[#This Row],[ID]], tblSeverityReference[ID], 0))= "", "",INDEX(tblSeverityReference[Epidemic Severity],MATCH(tblSeverityAnalysis[[#This Row],[ID]], tblSeverityReference[ID], 0)) ), "")</f>
        <v>1</v>
      </c>
      <c r="AF105" s="310" t="str">
        <f>IFERROR(IF(INDEX(tblSeverityReference[Coping Strategy Severity],MATCH(tblSeverityAnalysis[[#This Row],[ID]], tblSeverityReference[ID], 0))= "", "",INDEX(tblSeverityReference[Coping Strategy Severity],MATCH(tblSeverityAnalysis[[#This Row],[ID]], tblSeverityReference[ID], 0)) ), "")</f>
        <v/>
      </c>
      <c r="AG105" s="108">
        <f>IFERROR(IF(INDEX(tblSeverityReference[HR/IHL Violation],MATCH(tblSeverityAnalysis[[#This Row],[ID]], tblSeverityReference[ID], 0))= "", "",INDEX(tblSeverityReference[HR/IHL Violation],MATCH(tblSeverityAnalysis[[#This Row],[ID]], tblSeverityReference[ID], 0)) ), "")</f>
        <v>3</v>
      </c>
      <c r="AH105" s="82">
        <f>IFERROR(AVERAGE(tblSeverityAnalysis[[#This Row],[CCCM]:[WASH]]), "")</f>
        <v>2.75</v>
      </c>
      <c r="AI105" s="27">
        <f>IF(SUM(tblSeverityAnalysis[[#This Row],[CCCM]:[WASH]])=0, "", MAX(tblSeverityAnalysis[[#This Row],[CCCM]:[WASH]]))</f>
        <v>3</v>
      </c>
      <c r="AJ105" s="335" t="str" cm="1">
        <f t="array" ref="AJ105">IFERROR(IF(tblSeverityAnalysis[[#This Row],[Highest Severity]]="", "", _xlfn.TEXTJOIN(CHAR(10), TRUE, IF(tblSeverityAnalysis[[#This Row],[CCCM]:[WASH]]=tblSeverityAnalysis[[#This Row],[Highest Severity]], tblSeverityAnalysis[[#Headers],[CCCM]:[WASH]], ""), "")), "")</f>
        <v>CCCM
Education
Nutrition
Food Security
Shelter
WASH</v>
      </c>
      <c r="AK105" s="27" cm="1">
        <f t="array" ref="AK105">IFERROR(MAX(_xlfn._xlws.FILTER(tblSeverityAnalysis[[#This Row],[CCCM]:[WASH]], tblSeverityAnalysis[[#This Row],[CCCM]:[WASH]]&lt;tblSeverityAnalysis[[#This Row],[Highest Severity]])), "")</f>
        <v>2</v>
      </c>
      <c r="AL105" s="324" t="str" cm="1">
        <f t="array" ref="AL105">IFERROR(IF(tblSeverityAnalysis[[#This Row],[2nd Highest Severity]]="", "", _xlfn.TEXTJOIN(CHAR(10), TRUE, IF(tblSeverityAnalysis[[#This Row],[CCCM]:[WASH]]=tblSeverityAnalysis[[#This Row],[2nd Highest Severity]], tblSeverityAnalysis[[#Headers],[CCCM]:[WASH]], ""), "")), "")</f>
        <v>Health
Protection</v>
      </c>
      <c r="AM105" s="132" t="str">
        <f>IFERROR(IF(AND(tblSeverityAnalysis[[#This Row],[5]] &lt;&gt; "", tblSeverityAnalysis[[#This Row],[5]]&gt;=sectors_sev_5), "Flagged", ""), "")</f>
        <v/>
      </c>
      <c r="AN105" s="133" t="str">
        <f>IFERROR(IF(AND(tblSeverityAnalysis[[#This Row],[Preliminary Intersectoral Severity based on overlap of sectoral deprivations]]=4, SUM(tblSeverityAnalysis[[#This Row],[ 4 ]:[5]])&gt;=sectors_sev_4), "Flagged", ""), "")</f>
        <v/>
      </c>
      <c r="AO105" s="133" t="str" cm="1">
        <f t="array" ref="AO10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5" s="337"/>
      <c r="AR105" s="338"/>
      <c r="AS105" s="337"/>
      <c r="AT105" s="353">
        <f>COUNTIF(tblSeverityAnalysis[[#This Row],[1 sector in severity phase 5 '[modify the threshold']]:[Manual Flag]], "Flagged")</f>
        <v>2</v>
      </c>
      <c r="AU105" s="339">
        <f>tblSeverityAnalysis[[#This Row],[Preliminary Intersectoral Severity based on overlap of sectoral deprivations]]</f>
        <v>3</v>
      </c>
      <c r="AV105" s="340"/>
    </row>
    <row r="106" spans="1:48" ht="73.900000000000006" hidden="1">
      <c r="A10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Global_PopulationHT0742</v>
      </c>
      <c r="B106" s="39" t="s">
        <v>345</v>
      </c>
      <c r="C106" s="331" t="s">
        <v>346</v>
      </c>
      <c r="D106" s="331" t="s">
        <v>373</v>
      </c>
      <c r="E106" s="34" t="s">
        <v>374</v>
      </c>
      <c r="F106" s="34"/>
      <c r="G106" s="34"/>
      <c r="H106" s="358"/>
      <c r="I106" s="354">
        <v>26647</v>
      </c>
      <c r="J106" s="96" t="s">
        <v>156</v>
      </c>
      <c r="K106" s="372">
        <v>3</v>
      </c>
      <c r="L106" s="308">
        <v>3</v>
      </c>
      <c r="M106" s="308">
        <v>3</v>
      </c>
      <c r="N106" s="308">
        <v>3</v>
      </c>
      <c r="O106" s="308">
        <v>2</v>
      </c>
      <c r="P106" s="308">
        <v>2</v>
      </c>
      <c r="Q106" s="309">
        <v>3</v>
      </c>
      <c r="R106" s="341">
        <v>3</v>
      </c>
      <c r="S106" s="310"/>
      <c r="T106" s="308"/>
      <c r="U106" s="308"/>
      <c r="V106" s="308"/>
      <c r="W106" s="332" t="str">
        <f>IF(COUNTIF(tblSeverityAnalysis[[#This Row],[CCCM]:[WASH]], 1)=0, "", COUNTIF(tblSeverityAnalysis[[#This Row],[CCCM]:[WASH]], 1))</f>
        <v/>
      </c>
      <c r="X106" s="333">
        <f>IF(COUNTIF(tblSeverityAnalysis[[#This Row],[CCCM]:[WASH]], 2)=0, "", COUNTIF(tblSeverityAnalysis[[#This Row],[CCCM]:[WASH]], 2))</f>
        <v>2</v>
      </c>
      <c r="Y106" s="333">
        <f>IF(COUNTIF(tblSeverityAnalysis[[#This Row],[CCCM]:[WASH]], 3)=0, "", COUNTIF(tblSeverityAnalysis[[#This Row],[CCCM]:[WASH]], 3))</f>
        <v>6</v>
      </c>
      <c r="Z106" s="333" t="str">
        <f>IF(COUNTIF(tblSeverityAnalysis[[#This Row],[CCCM]:[WASH]], 4)=0, "", COUNTIF(tblSeverityAnalysis[[#This Row],[CCCM]:[WASH]], 4))</f>
        <v/>
      </c>
      <c r="AA106" s="334" t="str">
        <f>IF(COUNTIF(tblSeverityAnalysis[[#This Row],[CCCM]:[WASH]], 5)=0, "", COUNTIF(tblSeverityAnalysis[[#This Row],[CCCM]:[WASH]], 5))</f>
        <v/>
      </c>
      <c r="AB106" s="60" cm="1">
        <f t="array" ref="AB10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6" s="33">
        <f>IFERROR(IF(INDEX(tblSeverityReference[Malnutrition Severity],MATCH(tblSeverityAnalysis[[#This Row],[ID]], tblSeverityReference[ID], 0))= "", "",INDEX(tblSeverityReference[Malnutrition Severity],MATCH(tblSeverityAnalysis[[#This Row],[ID]], tblSeverityReference[ID], 0)) ), "")</f>
        <v>2</v>
      </c>
      <c r="AE106" s="347">
        <f>IFERROR(IF(INDEX(tblSeverityReference[Epidemic Severity],MATCH(tblSeverityAnalysis[[#This Row],[ID]], tblSeverityReference[ID], 0))= "", "",INDEX(tblSeverityReference[Epidemic Severity],MATCH(tblSeverityAnalysis[[#This Row],[ID]], tblSeverityReference[ID], 0)) ), "")</f>
        <v>1</v>
      </c>
      <c r="AF106" s="310" t="str">
        <f>IFERROR(IF(INDEX(tblSeverityReference[Coping Strategy Severity],MATCH(tblSeverityAnalysis[[#This Row],[ID]], tblSeverityReference[ID], 0))= "", "",INDEX(tblSeverityReference[Coping Strategy Severity],MATCH(tblSeverityAnalysis[[#This Row],[ID]], tblSeverityReference[ID], 0)) ), "")</f>
        <v/>
      </c>
      <c r="AG106" s="348">
        <f>IFERROR(IF(INDEX(tblSeverityReference[HR/IHL Violation],MATCH(tblSeverityAnalysis[[#This Row],[ID]], tblSeverityReference[ID], 0))= "", "",INDEX(tblSeverityReference[HR/IHL Violation],MATCH(tblSeverityAnalysis[[#This Row],[ID]], tblSeverityReference[ID], 0)) ), "")</f>
        <v>3</v>
      </c>
      <c r="AH106" s="82">
        <f>IFERROR(AVERAGE(tblSeverityAnalysis[[#This Row],[CCCM]:[WASH]]), "")</f>
        <v>2.75</v>
      </c>
      <c r="AI106" s="27">
        <f>IF(SUM(tblSeverityAnalysis[[#This Row],[CCCM]:[WASH]])=0, "", MAX(tblSeverityAnalysis[[#This Row],[CCCM]:[WASH]]))</f>
        <v>3</v>
      </c>
      <c r="AJ106" s="335" t="str" cm="1">
        <f t="array" ref="AJ106">IFERROR(IF(tblSeverityAnalysis[[#This Row],[Highest Severity]]="", "", _xlfn.TEXTJOIN(CHAR(10), TRUE, IF(tblSeverityAnalysis[[#This Row],[CCCM]:[WASH]]=tblSeverityAnalysis[[#This Row],[Highest Severity]], tblSeverityAnalysis[[#Headers],[CCCM]:[WASH]], ""), "")), "")</f>
        <v>CCCM
Education
Nutrition
Food Security
Shelter
WASH</v>
      </c>
      <c r="AK106" s="27" cm="1">
        <f t="array" ref="AK106">IFERROR(MAX(_xlfn._xlws.FILTER(tblSeverityAnalysis[[#This Row],[CCCM]:[WASH]], tblSeverityAnalysis[[#This Row],[CCCM]:[WASH]]&lt;tblSeverityAnalysis[[#This Row],[Highest Severity]])), "")</f>
        <v>2</v>
      </c>
      <c r="AL106" s="324" t="str" cm="1">
        <f t="array" ref="AL106">IFERROR(IF(tblSeverityAnalysis[[#This Row],[2nd Highest Severity]]="", "", _xlfn.TEXTJOIN(CHAR(10), TRUE, IF(tblSeverityAnalysis[[#This Row],[CCCM]:[WASH]]=tblSeverityAnalysis[[#This Row],[2nd Highest Severity]], tblSeverityAnalysis[[#Headers],[CCCM]:[WASH]], ""), "")), "")</f>
        <v>Health
Protection</v>
      </c>
      <c r="AM106" s="132" t="str">
        <f>IFERROR(IF(AND(tblSeverityAnalysis[[#This Row],[5]] &lt;&gt; "", tblSeverityAnalysis[[#This Row],[5]]&gt;=sectors_sev_5), "Flagged", ""), "")</f>
        <v/>
      </c>
      <c r="AN106" s="133" t="str">
        <f>IFERROR(IF(AND(tblSeverityAnalysis[[#This Row],[Preliminary Intersectoral Severity based on overlap of sectoral deprivations]]=4, SUM(tblSeverityAnalysis[[#This Row],[ 4 ]:[5]])&gt;=sectors_sev_4), "Flagged", ""), "")</f>
        <v/>
      </c>
      <c r="AO106" s="133" t="str" cm="1">
        <f t="array" ref="AO10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6" s="337"/>
      <c r="AR106" s="338"/>
      <c r="AS106" s="337"/>
      <c r="AT106" s="353">
        <f>COUNTIF(tblSeverityAnalysis[[#This Row],[1 sector in severity phase 5 '[modify the threshold']]:[Manual Flag]], "Flagged")</f>
        <v>2</v>
      </c>
      <c r="AU106" s="339">
        <f>tblSeverityAnalysis[[#This Row],[Preliminary Intersectoral Severity based on overlap of sectoral deprivations]]</f>
        <v>3</v>
      </c>
      <c r="AV106" s="340"/>
    </row>
    <row r="107" spans="1:48" ht="49.15" hidden="1">
      <c r="A10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Global_PopulationHT0743</v>
      </c>
      <c r="B107" s="39" t="s">
        <v>345</v>
      </c>
      <c r="C107" s="331" t="s">
        <v>346</v>
      </c>
      <c r="D107" s="331" t="s">
        <v>375</v>
      </c>
      <c r="E107" s="34" t="s">
        <v>376</v>
      </c>
      <c r="F107" s="34"/>
      <c r="G107" s="34"/>
      <c r="H107" s="357"/>
      <c r="I107" s="354">
        <v>28335</v>
      </c>
      <c r="J107" s="96" t="s">
        <v>156</v>
      </c>
      <c r="K107" s="305">
        <v>4</v>
      </c>
      <c r="L107" s="308">
        <v>3</v>
      </c>
      <c r="M107" s="308">
        <v>3</v>
      </c>
      <c r="N107" s="308">
        <v>3</v>
      </c>
      <c r="O107" s="308">
        <v>2</v>
      </c>
      <c r="P107" s="308">
        <v>2</v>
      </c>
      <c r="Q107" s="309">
        <v>3</v>
      </c>
      <c r="R107" s="341">
        <v>2</v>
      </c>
      <c r="S107" s="310"/>
      <c r="T107" s="308"/>
      <c r="U107" s="308"/>
      <c r="V107" s="308"/>
      <c r="W107" s="332" t="str">
        <f>IF(COUNTIF(tblSeverityAnalysis[[#This Row],[CCCM]:[WASH]], 1)=0, "", COUNTIF(tblSeverityAnalysis[[#This Row],[CCCM]:[WASH]], 1))</f>
        <v/>
      </c>
      <c r="X107" s="333">
        <f>IF(COUNTIF(tblSeverityAnalysis[[#This Row],[CCCM]:[WASH]], 2)=0, "", COUNTIF(tblSeverityAnalysis[[#This Row],[CCCM]:[WASH]], 2))</f>
        <v>3</v>
      </c>
      <c r="Y107" s="333">
        <f>IF(COUNTIF(tblSeverityAnalysis[[#This Row],[CCCM]:[WASH]], 3)=0, "", COUNTIF(tblSeverityAnalysis[[#This Row],[CCCM]:[WASH]], 3))</f>
        <v>4</v>
      </c>
      <c r="Z107" s="333">
        <f>IF(COUNTIF(tblSeverityAnalysis[[#This Row],[CCCM]:[WASH]], 4)=0, "", COUNTIF(tblSeverityAnalysis[[#This Row],[CCCM]:[WASH]], 4))</f>
        <v>1</v>
      </c>
      <c r="AA107" s="334" t="str">
        <f>IF(COUNTIF(tblSeverityAnalysis[[#This Row],[CCCM]:[WASH]], 5)=0, "", COUNTIF(tblSeverityAnalysis[[#This Row],[CCCM]:[WASH]], 5))</f>
        <v/>
      </c>
      <c r="AB107" s="60" cm="1">
        <f t="array" ref="AB10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7" s="33">
        <f>IFERROR(IF(INDEX(tblSeverityReference[Malnutrition Severity],MATCH(tblSeverityAnalysis[[#This Row],[ID]], tblSeverityReference[ID], 0))= "", "",INDEX(tblSeverityReference[Malnutrition Severity],MATCH(tblSeverityAnalysis[[#This Row],[ID]], tblSeverityReference[ID], 0)) ), "")</f>
        <v>2</v>
      </c>
      <c r="AE107" s="347">
        <f>IFERROR(IF(INDEX(tblSeverityReference[Epidemic Severity],MATCH(tblSeverityAnalysis[[#This Row],[ID]], tblSeverityReference[ID], 0))= "", "",INDEX(tblSeverityReference[Epidemic Severity],MATCH(tblSeverityAnalysis[[#This Row],[ID]], tblSeverityReference[ID], 0)) ), "")</f>
        <v>1</v>
      </c>
      <c r="AF107" s="310" t="str">
        <f>IFERROR(IF(INDEX(tblSeverityReference[Coping Strategy Severity],MATCH(tblSeverityAnalysis[[#This Row],[ID]], tblSeverityReference[ID], 0))= "", "",INDEX(tblSeverityReference[Coping Strategy Severity],MATCH(tblSeverityAnalysis[[#This Row],[ID]], tblSeverityReference[ID], 0)) ), "")</f>
        <v/>
      </c>
      <c r="AG107" s="108">
        <f>IFERROR(IF(INDEX(tblSeverityReference[HR/IHL Violation],MATCH(tblSeverityAnalysis[[#This Row],[ID]], tblSeverityReference[ID], 0))= "", "",INDEX(tblSeverityReference[HR/IHL Violation],MATCH(tblSeverityAnalysis[[#This Row],[ID]], tblSeverityReference[ID], 0)) ), "")</f>
        <v>3</v>
      </c>
      <c r="AH107" s="82">
        <f>IFERROR(AVERAGE(tblSeverityAnalysis[[#This Row],[CCCM]:[WASH]]), "")</f>
        <v>2.75</v>
      </c>
      <c r="AI107" s="27">
        <f>IF(SUM(tblSeverityAnalysis[[#This Row],[CCCM]:[WASH]])=0, "", MAX(tblSeverityAnalysis[[#This Row],[CCCM]:[WASH]]))</f>
        <v>4</v>
      </c>
      <c r="AJ107" s="335" t="str" cm="1">
        <f t="array" ref="AJ107">IFERROR(IF(tblSeverityAnalysis[[#This Row],[Highest Severity]]="", "", _xlfn.TEXTJOIN(CHAR(10), TRUE, IF(tblSeverityAnalysis[[#This Row],[CCCM]:[WASH]]=tblSeverityAnalysis[[#This Row],[Highest Severity]], tblSeverityAnalysis[[#Headers],[CCCM]:[WASH]], ""), "")), "")</f>
        <v>CCCM</v>
      </c>
      <c r="AK107" s="27" cm="1">
        <f t="array" ref="AK107">IFERROR(MAX(_xlfn._xlws.FILTER(tblSeverityAnalysis[[#This Row],[CCCM]:[WASH]], tblSeverityAnalysis[[#This Row],[CCCM]:[WASH]]&lt;tblSeverityAnalysis[[#This Row],[Highest Severity]])), "")</f>
        <v>3</v>
      </c>
      <c r="AL107" s="324" t="str" cm="1">
        <f t="array" ref="AL107">IFERROR(IF(tblSeverityAnalysis[[#This Row],[2nd Highest Severity]]="", "", _xlfn.TEXTJOIN(CHAR(10), TRUE, IF(tblSeverityAnalysis[[#This Row],[CCCM]:[WASH]]=tblSeverityAnalysis[[#This Row],[2nd Highest Severity]], tblSeverityAnalysis[[#Headers],[CCCM]:[WASH]], ""), "")), "")</f>
        <v>Education
Nutrition
Food Security
Shelter</v>
      </c>
      <c r="AM107" s="132" t="str">
        <f>IFERROR(IF(AND(tblSeverityAnalysis[[#This Row],[5]] &lt;&gt; "", tblSeverityAnalysis[[#This Row],[5]]&gt;=sectors_sev_5), "Flagged", ""), "")</f>
        <v/>
      </c>
      <c r="AN107" s="133" t="str">
        <f>IFERROR(IF(AND(tblSeverityAnalysis[[#This Row],[Preliminary Intersectoral Severity based on overlap of sectoral deprivations]]=4, SUM(tblSeverityAnalysis[[#This Row],[ 4 ]:[5]])&gt;=sectors_sev_4), "Flagged", ""), "")</f>
        <v/>
      </c>
      <c r="AO107" s="133" t="str" cm="1">
        <f t="array" ref="AO10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7" s="337"/>
      <c r="AR107" s="338"/>
      <c r="AS107" s="337"/>
      <c r="AT107" s="353">
        <f>COUNTIF(tblSeverityAnalysis[[#This Row],[1 sector in severity phase 5 '[modify the threshold']]:[Manual Flag]], "Flagged")</f>
        <v>2</v>
      </c>
      <c r="AU107" s="339">
        <f>tblSeverityAnalysis[[#This Row],[Preliminary Intersectoral Severity based on overlap of sectoral deprivations]]</f>
        <v>3</v>
      </c>
      <c r="AV107" s="340"/>
    </row>
    <row r="108" spans="1:48" ht="73.900000000000006" hidden="1">
      <c r="A10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Global_PopulationHT0751</v>
      </c>
      <c r="B108" s="39" t="s">
        <v>345</v>
      </c>
      <c r="C108" s="331" t="s">
        <v>346</v>
      </c>
      <c r="D108" s="331" t="s">
        <v>377</v>
      </c>
      <c r="E108" s="34" t="s">
        <v>378</v>
      </c>
      <c r="F108" s="34"/>
      <c r="G108" s="34"/>
      <c r="H108" s="358"/>
      <c r="I108" s="354">
        <v>32835</v>
      </c>
      <c r="J108" s="96" t="s">
        <v>156</v>
      </c>
      <c r="K108" s="372">
        <v>3</v>
      </c>
      <c r="L108" s="308">
        <v>3</v>
      </c>
      <c r="M108" s="308">
        <v>3</v>
      </c>
      <c r="N108" s="308">
        <v>3</v>
      </c>
      <c r="O108" s="308">
        <v>2</v>
      </c>
      <c r="P108" s="308">
        <v>2</v>
      </c>
      <c r="Q108" s="309">
        <v>3</v>
      </c>
      <c r="R108" s="341">
        <v>3</v>
      </c>
      <c r="S108" s="310"/>
      <c r="T108" s="308"/>
      <c r="U108" s="308"/>
      <c r="V108" s="308"/>
      <c r="W108" s="332" t="str">
        <f>IF(COUNTIF(tblSeverityAnalysis[[#This Row],[CCCM]:[WASH]], 1)=0, "", COUNTIF(tblSeverityAnalysis[[#This Row],[CCCM]:[WASH]], 1))</f>
        <v/>
      </c>
      <c r="X108" s="333">
        <f>IF(COUNTIF(tblSeverityAnalysis[[#This Row],[CCCM]:[WASH]], 2)=0, "", COUNTIF(tblSeverityAnalysis[[#This Row],[CCCM]:[WASH]], 2))</f>
        <v>2</v>
      </c>
      <c r="Y108" s="333">
        <f>IF(COUNTIF(tblSeverityAnalysis[[#This Row],[CCCM]:[WASH]], 3)=0, "", COUNTIF(tblSeverityAnalysis[[#This Row],[CCCM]:[WASH]], 3))</f>
        <v>6</v>
      </c>
      <c r="Z108" s="333" t="str">
        <f>IF(COUNTIF(tblSeverityAnalysis[[#This Row],[CCCM]:[WASH]], 4)=0, "", COUNTIF(tblSeverityAnalysis[[#This Row],[CCCM]:[WASH]], 4))</f>
        <v/>
      </c>
      <c r="AA108" s="334" t="str">
        <f>IF(COUNTIF(tblSeverityAnalysis[[#This Row],[CCCM]:[WASH]], 5)=0, "", COUNTIF(tblSeverityAnalysis[[#This Row],[CCCM]:[WASH]], 5))</f>
        <v/>
      </c>
      <c r="AB108" s="60" cm="1">
        <f t="array" ref="AB10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8" s="33">
        <f>IFERROR(IF(INDEX(tblSeverityReference[Malnutrition Severity],MATCH(tblSeverityAnalysis[[#This Row],[ID]], tblSeverityReference[ID], 0))= "", "",INDEX(tblSeverityReference[Malnutrition Severity],MATCH(tblSeverityAnalysis[[#This Row],[ID]], tblSeverityReference[ID], 0)) ), "")</f>
        <v>2</v>
      </c>
      <c r="AE108" s="347">
        <f>IFERROR(IF(INDEX(tblSeverityReference[Epidemic Severity],MATCH(tblSeverityAnalysis[[#This Row],[ID]], tblSeverityReference[ID], 0))= "", "",INDEX(tblSeverityReference[Epidemic Severity],MATCH(tblSeverityAnalysis[[#This Row],[ID]], tblSeverityReference[ID], 0)) ), "")</f>
        <v>1</v>
      </c>
      <c r="AF108" s="310" t="str">
        <f>IFERROR(IF(INDEX(tblSeverityReference[Coping Strategy Severity],MATCH(tblSeverityAnalysis[[#This Row],[ID]], tblSeverityReference[ID], 0))= "", "",INDEX(tblSeverityReference[Coping Strategy Severity],MATCH(tblSeverityAnalysis[[#This Row],[ID]], tblSeverityReference[ID], 0)) ), "")</f>
        <v/>
      </c>
      <c r="AG108" s="348">
        <f>IFERROR(IF(INDEX(tblSeverityReference[HR/IHL Violation],MATCH(tblSeverityAnalysis[[#This Row],[ID]], tblSeverityReference[ID], 0))= "", "",INDEX(tblSeverityReference[HR/IHL Violation],MATCH(tblSeverityAnalysis[[#This Row],[ID]], tblSeverityReference[ID], 0)) ), "")</f>
        <v>3</v>
      </c>
      <c r="AH108" s="82">
        <f>IFERROR(AVERAGE(tblSeverityAnalysis[[#This Row],[CCCM]:[WASH]]), "")</f>
        <v>2.75</v>
      </c>
      <c r="AI108" s="27">
        <f>IF(SUM(tblSeverityAnalysis[[#This Row],[CCCM]:[WASH]])=0, "", MAX(tblSeverityAnalysis[[#This Row],[CCCM]:[WASH]]))</f>
        <v>3</v>
      </c>
      <c r="AJ108" s="335" t="str" cm="1">
        <f t="array" ref="AJ108">IFERROR(IF(tblSeverityAnalysis[[#This Row],[Highest Severity]]="", "", _xlfn.TEXTJOIN(CHAR(10), TRUE, IF(tblSeverityAnalysis[[#This Row],[CCCM]:[WASH]]=tblSeverityAnalysis[[#This Row],[Highest Severity]], tblSeverityAnalysis[[#Headers],[CCCM]:[WASH]], ""), "")), "")</f>
        <v>CCCM
Education
Nutrition
Food Security
Shelter
WASH</v>
      </c>
      <c r="AK108" s="27" cm="1">
        <f t="array" ref="AK108">IFERROR(MAX(_xlfn._xlws.FILTER(tblSeverityAnalysis[[#This Row],[CCCM]:[WASH]], tblSeverityAnalysis[[#This Row],[CCCM]:[WASH]]&lt;tblSeverityAnalysis[[#This Row],[Highest Severity]])), "")</f>
        <v>2</v>
      </c>
      <c r="AL108" s="324" t="str" cm="1">
        <f t="array" ref="AL108">IFERROR(IF(tblSeverityAnalysis[[#This Row],[2nd Highest Severity]]="", "", _xlfn.TEXTJOIN(CHAR(10), TRUE, IF(tblSeverityAnalysis[[#This Row],[CCCM]:[WASH]]=tblSeverityAnalysis[[#This Row],[2nd Highest Severity]], tblSeverityAnalysis[[#Headers],[CCCM]:[WASH]], ""), "")), "")</f>
        <v>Health
Protection</v>
      </c>
      <c r="AM108" s="132" t="str">
        <f>IFERROR(IF(AND(tblSeverityAnalysis[[#This Row],[5]] &lt;&gt; "", tblSeverityAnalysis[[#This Row],[5]]&gt;=sectors_sev_5), "Flagged", ""), "")</f>
        <v/>
      </c>
      <c r="AN108" s="133" t="str">
        <f>IFERROR(IF(AND(tblSeverityAnalysis[[#This Row],[Preliminary Intersectoral Severity based on overlap of sectoral deprivations]]=4, SUM(tblSeverityAnalysis[[#This Row],[ 4 ]:[5]])&gt;=sectors_sev_4), "Flagged", ""), "")</f>
        <v/>
      </c>
      <c r="AO108" s="133" t="str" cm="1">
        <f t="array" ref="AO10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8" s="337"/>
      <c r="AR108" s="338"/>
      <c r="AS108" s="337"/>
      <c r="AT108" s="353">
        <f>COUNTIF(tblSeverityAnalysis[[#This Row],[1 sector in severity phase 5 '[modify the threshold']]:[Manual Flag]], "Flagged")</f>
        <v>2</v>
      </c>
      <c r="AU108" s="339">
        <f>tblSeverityAnalysis[[#This Row],[Preliminary Intersectoral Severity based on overlap of sectoral deprivations]]</f>
        <v>3</v>
      </c>
      <c r="AV108" s="340"/>
    </row>
    <row r="109" spans="1:48" ht="49.15" hidden="1">
      <c r="A10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Global_PopulationHT0752</v>
      </c>
      <c r="B109" s="39" t="s">
        <v>345</v>
      </c>
      <c r="C109" s="331" t="s">
        <v>346</v>
      </c>
      <c r="D109" s="331" t="s">
        <v>379</v>
      </c>
      <c r="E109" s="34" t="s">
        <v>380</v>
      </c>
      <c r="F109" s="34"/>
      <c r="G109" s="34"/>
      <c r="H109" s="357"/>
      <c r="I109" s="354">
        <v>39577</v>
      </c>
      <c r="J109" s="96" t="s">
        <v>156</v>
      </c>
      <c r="K109" s="372">
        <v>3</v>
      </c>
      <c r="L109" s="308">
        <v>3</v>
      </c>
      <c r="M109" s="308">
        <v>3</v>
      </c>
      <c r="N109" s="308">
        <v>3</v>
      </c>
      <c r="O109" s="308">
        <v>2</v>
      </c>
      <c r="P109" s="308">
        <v>2</v>
      </c>
      <c r="Q109" s="309">
        <v>1</v>
      </c>
      <c r="R109" s="341">
        <v>2</v>
      </c>
      <c r="S109" s="310"/>
      <c r="T109" s="308"/>
      <c r="U109" s="308"/>
      <c r="V109" s="308"/>
      <c r="W109" s="332">
        <f>IF(COUNTIF(tblSeverityAnalysis[[#This Row],[CCCM]:[WASH]], 1)=0, "", COUNTIF(tblSeverityAnalysis[[#This Row],[CCCM]:[WASH]], 1))</f>
        <v>1</v>
      </c>
      <c r="X109" s="333">
        <f>IF(COUNTIF(tblSeverityAnalysis[[#This Row],[CCCM]:[WASH]], 2)=0, "", COUNTIF(tblSeverityAnalysis[[#This Row],[CCCM]:[WASH]], 2))</f>
        <v>3</v>
      </c>
      <c r="Y109" s="333">
        <f>IF(COUNTIF(tblSeverityAnalysis[[#This Row],[CCCM]:[WASH]], 3)=0, "", COUNTIF(tblSeverityAnalysis[[#This Row],[CCCM]:[WASH]], 3))</f>
        <v>4</v>
      </c>
      <c r="Z109" s="333" t="str">
        <f>IF(COUNTIF(tblSeverityAnalysis[[#This Row],[CCCM]:[WASH]], 4)=0, "", COUNTIF(tblSeverityAnalysis[[#This Row],[CCCM]:[WASH]], 4))</f>
        <v/>
      </c>
      <c r="AA109" s="334" t="str">
        <f>IF(COUNTIF(tblSeverityAnalysis[[#This Row],[CCCM]:[WASH]], 5)=0, "", COUNTIF(tblSeverityAnalysis[[#This Row],[CCCM]:[WASH]], 5))</f>
        <v/>
      </c>
      <c r="AB109" s="60" cm="1">
        <f t="array" ref="AB10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0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09" s="33">
        <f>IFERROR(IF(INDEX(tblSeverityReference[Malnutrition Severity],MATCH(tblSeverityAnalysis[[#This Row],[ID]], tblSeverityReference[ID], 0))= "", "",INDEX(tblSeverityReference[Malnutrition Severity],MATCH(tblSeverityAnalysis[[#This Row],[ID]], tblSeverityReference[ID], 0)) ), "")</f>
        <v>2</v>
      </c>
      <c r="AE109" s="347">
        <f>IFERROR(IF(INDEX(tblSeverityReference[Epidemic Severity],MATCH(tblSeverityAnalysis[[#This Row],[ID]], tblSeverityReference[ID], 0))= "", "",INDEX(tblSeverityReference[Epidemic Severity],MATCH(tblSeverityAnalysis[[#This Row],[ID]], tblSeverityReference[ID], 0)) ), "")</f>
        <v>1</v>
      </c>
      <c r="AF109" s="310" t="str">
        <f>IFERROR(IF(INDEX(tblSeverityReference[Coping Strategy Severity],MATCH(tblSeverityAnalysis[[#This Row],[ID]], tblSeverityReference[ID], 0))= "", "",INDEX(tblSeverityReference[Coping Strategy Severity],MATCH(tblSeverityAnalysis[[#This Row],[ID]], tblSeverityReference[ID], 0)) ), "")</f>
        <v/>
      </c>
      <c r="AG109" s="108">
        <f>IFERROR(IF(INDEX(tblSeverityReference[HR/IHL Violation],MATCH(tblSeverityAnalysis[[#This Row],[ID]], tblSeverityReference[ID], 0))= "", "",INDEX(tblSeverityReference[HR/IHL Violation],MATCH(tblSeverityAnalysis[[#This Row],[ID]], tblSeverityReference[ID], 0)) ), "")</f>
        <v>3</v>
      </c>
      <c r="AH109" s="82">
        <f>IFERROR(AVERAGE(tblSeverityAnalysis[[#This Row],[CCCM]:[WASH]]), "")</f>
        <v>2.375</v>
      </c>
      <c r="AI109" s="27">
        <f>IF(SUM(tblSeverityAnalysis[[#This Row],[CCCM]:[WASH]])=0, "", MAX(tblSeverityAnalysis[[#This Row],[CCCM]:[WASH]]))</f>
        <v>3</v>
      </c>
      <c r="AJ109" s="335" t="str" cm="1">
        <f t="array" ref="AJ109">IFERROR(IF(tblSeverityAnalysis[[#This Row],[Highest Severity]]="", "", _xlfn.TEXTJOIN(CHAR(10), TRUE, IF(tblSeverityAnalysis[[#This Row],[CCCM]:[WASH]]=tblSeverityAnalysis[[#This Row],[Highest Severity]], tblSeverityAnalysis[[#Headers],[CCCM]:[WASH]], ""), "")), "")</f>
        <v>CCCM
Education
Nutrition
Food Security</v>
      </c>
      <c r="AK109" s="27" cm="1">
        <f t="array" ref="AK109">IFERROR(MAX(_xlfn._xlws.FILTER(tblSeverityAnalysis[[#This Row],[CCCM]:[WASH]], tblSeverityAnalysis[[#This Row],[CCCM]:[WASH]]&lt;tblSeverityAnalysis[[#This Row],[Highest Severity]])), "")</f>
        <v>2</v>
      </c>
      <c r="AL109" s="324" t="str" cm="1">
        <f t="array" ref="AL109">IFERROR(IF(tblSeverityAnalysis[[#This Row],[2nd Highest Severity]]="", "", _xlfn.TEXTJOIN(CHAR(10), TRUE, IF(tblSeverityAnalysis[[#This Row],[CCCM]:[WASH]]=tblSeverityAnalysis[[#This Row],[2nd Highest Severity]], tblSeverityAnalysis[[#Headers],[CCCM]:[WASH]], ""), "")), "")</f>
        <v>Health
Protection
WASH</v>
      </c>
      <c r="AM109" s="132" t="str">
        <f>IFERROR(IF(AND(tblSeverityAnalysis[[#This Row],[5]] &lt;&gt; "", tblSeverityAnalysis[[#This Row],[5]]&gt;=sectors_sev_5), "Flagged", ""), "")</f>
        <v/>
      </c>
      <c r="AN109" s="133" t="str">
        <f>IFERROR(IF(AND(tblSeverityAnalysis[[#This Row],[Preliminary Intersectoral Severity based on overlap of sectoral deprivations]]=4, SUM(tblSeverityAnalysis[[#This Row],[ 4 ]:[5]])&gt;=sectors_sev_4), "Flagged", ""), "")</f>
        <v/>
      </c>
      <c r="AO109" s="133" t="str" cm="1">
        <f t="array" ref="AO10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0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09" s="337"/>
      <c r="AR109" s="338"/>
      <c r="AS109" s="337"/>
      <c r="AT109" s="353">
        <f>COUNTIF(tblSeverityAnalysis[[#This Row],[1 sector in severity phase 5 '[modify the threshold']]:[Manual Flag]], "Flagged")</f>
        <v>2</v>
      </c>
      <c r="AU109" s="339">
        <f>tblSeverityAnalysis[[#This Row],[Preliminary Intersectoral Severity based on overlap of sectoral deprivations]]</f>
        <v>3</v>
      </c>
      <c r="AV109" s="340"/>
    </row>
    <row r="110" spans="1:48" ht="73.900000000000006" hidden="1">
      <c r="A11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Global_PopulationHT0753</v>
      </c>
      <c r="B110" s="39" t="s">
        <v>345</v>
      </c>
      <c r="C110" s="331" t="s">
        <v>346</v>
      </c>
      <c r="D110" s="331" t="s">
        <v>381</v>
      </c>
      <c r="E110" s="34" t="s">
        <v>382</v>
      </c>
      <c r="F110" s="34"/>
      <c r="G110" s="34"/>
      <c r="H110" s="358"/>
      <c r="I110" s="354">
        <v>28474</v>
      </c>
      <c r="J110" s="96" t="s">
        <v>156</v>
      </c>
      <c r="K110" s="372">
        <v>3</v>
      </c>
      <c r="L110" s="308">
        <v>3</v>
      </c>
      <c r="M110" s="308">
        <v>3</v>
      </c>
      <c r="N110" s="308">
        <v>3</v>
      </c>
      <c r="O110" s="308">
        <v>2</v>
      </c>
      <c r="P110" s="308">
        <v>2</v>
      </c>
      <c r="Q110" s="309">
        <v>3</v>
      </c>
      <c r="R110" s="341">
        <v>3</v>
      </c>
      <c r="S110" s="310"/>
      <c r="T110" s="308"/>
      <c r="U110" s="308"/>
      <c r="V110" s="308"/>
      <c r="W110" s="332" t="str">
        <f>IF(COUNTIF(tblSeverityAnalysis[[#This Row],[CCCM]:[WASH]], 1)=0, "", COUNTIF(tblSeverityAnalysis[[#This Row],[CCCM]:[WASH]], 1))</f>
        <v/>
      </c>
      <c r="X110" s="333">
        <f>IF(COUNTIF(tblSeverityAnalysis[[#This Row],[CCCM]:[WASH]], 2)=0, "", COUNTIF(tblSeverityAnalysis[[#This Row],[CCCM]:[WASH]], 2))</f>
        <v>2</v>
      </c>
      <c r="Y110" s="333">
        <f>IF(COUNTIF(tblSeverityAnalysis[[#This Row],[CCCM]:[WASH]], 3)=0, "", COUNTIF(tblSeverityAnalysis[[#This Row],[CCCM]:[WASH]], 3))</f>
        <v>6</v>
      </c>
      <c r="Z110" s="333" t="str">
        <f>IF(COUNTIF(tblSeverityAnalysis[[#This Row],[CCCM]:[WASH]], 4)=0, "", COUNTIF(tblSeverityAnalysis[[#This Row],[CCCM]:[WASH]], 4))</f>
        <v/>
      </c>
      <c r="AA110" s="334" t="str">
        <f>IF(COUNTIF(tblSeverityAnalysis[[#This Row],[CCCM]:[WASH]], 5)=0, "", COUNTIF(tblSeverityAnalysis[[#This Row],[CCCM]:[WASH]], 5))</f>
        <v/>
      </c>
      <c r="AB110" s="60" cm="1">
        <f t="array" ref="AB11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0" s="33">
        <f>IFERROR(IF(INDEX(tblSeverityReference[Malnutrition Severity],MATCH(tblSeverityAnalysis[[#This Row],[ID]], tblSeverityReference[ID], 0))= "", "",INDEX(tblSeverityReference[Malnutrition Severity],MATCH(tblSeverityAnalysis[[#This Row],[ID]], tblSeverityReference[ID], 0)) ), "")</f>
        <v>2</v>
      </c>
      <c r="AE110" s="347">
        <f>IFERROR(IF(INDEX(tblSeverityReference[Epidemic Severity],MATCH(tblSeverityAnalysis[[#This Row],[ID]], tblSeverityReference[ID], 0))= "", "",INDEX(tblSeverityReference[Epidemic Severity],MATCH(tblSeverityAnalysis[[#This Row],[ID]], tblSeverityReference[ID], 0)) ), "")</f>
        <v>1</v>
      </c>
      <c r="AF110" s="310" t="str">
        <f>IFERROR(IF(INDEX(tblSeverityReference[Coping Strategy Severity],MATCH(tblSeverityAnalysis[[#This Row],[ID]], tblSeverityReference[ID], 0))= "", "",INDEX(tblSeverityReference[Coping Strategy Severity],MATCH(tblSeverityAnalysis[[#This Row],[ID]], tblSeverityReference[ID], 0)) ), "")</f>
        <v/>
      </c>
      <c r="AG110" s="348">
        <f>IFERROR(IF(INDEX(tblSeverityReference[HR/IHL Violation],MATCH(tblSeverityAnalysis[[#This Row],[ID]], tblSeverityReference[ID], 0))= "", "",INDEX(tblSeverityReference[HR/IHL Violation],MATCH(tblSeverityAnalysis[[#This Row],[ID]], tblSeverityReference[ID], 0)) ), "")</f>
        <v>3</v>
      </c>
      <c r="AH110" s="82">
        <f>IFERROR(AVERAGE(tblSeverityAnalysis[[#This Row],[CCCM]:[WASH]]), "")</f>
        <v>2.75</v>
      </c>
      <c r="AI110" s="27">
        <f>IF(SUM(tblSeverityAnalysis[[#This Row],[CCCM]:[WASH]])=0, "", MAX(tblSeverityAnalysis[[#This Row],[CCCM]:[WASH]]))</f>
        <v>3</v>
      </c>
      <c r="AJ110" s="335" t="str" cm="1">
        <f t="array" ref="AJ110">IFERROR(IF(tblSeverityAnalysis[[#This Row],[Highest Severity]]="", "", _xlfn.TEXTJOIN(CHAR(10), TRUE, IF(tblSeverityAnalysis[[#This Row],[CCCM]:[WASH]]=tblSeverityAnalysis[[#This Row],[Highest Severity]], tblSeverityAnalysis[[#Headers],[CCCM]:[WASH]], ""), "")), "")</f>
        <v>CCCM
Education
Nutrition
Food Security
Shelter
WASH</v>
      </c>
      <c r="AK110" s="27" cm="1">
        <f t="array" ref="AK110">IFERROR(MAX(_xlfn._xlws.FILTER(tblSeverityAnalysis[[#This Row],[CCCM]:[WASH]], tblSeverityAnalysis[[#This Row],[CCCM]:[WASH]]&lt;tblSeverityAnalysis[[#This Row],[Highest Severity]])), "")</f>
        <v>2</v>
      </c>
      <c r="AL110" s="324" t="str" cm="1">
        <f t="array" ref="AL110">IFERROR(IF(tblSeverityAnalysis[[#This Row],[2nd Highest Severity]]="", "", _xlfn.TEXTJOIN(CHAR(10), TRUE, IF(tblSeverityAnalysis[[#This Row],[CCCM]:[WASH]]=tblSeverityAnalysis[[#This Row],[2nd Highest Severity]], tblSeverityAnalysis[[#Headers],[CCCM]:[WASH]], ""), "")), "")</f>
        <v>Health
Protection</v>
      </c>
      <c r="AM110" s="132" t="str">
        <f>IFERROR(IF(AND(tblSeverityAnalysis[[#This Row],[5]] &lt;&gt; "", tblSeverityAnalysis[[#This Row],[5]]&gt;=sectors_sev_5), "Flagged", ""), "")</f>
        <v/>
      </c>
      <c r="AN110" s="133" t="str">
        <f>IFERROR(IF(AND(tblSeverityAnalysis[[#This Row],[Preliminary Intersectoral Severity based on overlap of sectoral deprivations]]=4, SUM(tblSeverityAnalysis[[#This Row],[ 4 ]:[5]])&gt;=sectors_sev_4), "Flagged", ""), "")</f>
        <v/>
      </c>
      <c r="AO110" s="133" t="str" cm="1">
        <f t="array" ref="AO11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0" s="337"/>
      <c r="AR110" s="338"/>
      <c r="AS110" s="337"/>
      <c r="AT110" s="353">
        <f>COUNTIF(tblSeverityAnalysis[[#This Row],[1 sector in severity phase 5 '[modify the threshold']]:[Manual Flag]], "Flagged")</f>
        <v>2</v>
      </c>
      <c r="AU110" s="339">
        <f>tblSeverityAnalysis[[#This Row],[Preliminary Intersectoral Severity based on overlap of sectoral deprivations]]</f>
        <v>3</v>
      </c>
      <c r="AV110" s="340"/>
    </row>
    <row r="111" spans="1:48" ht="61.5" hidden="1">
      <c r="A11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Global_PopulationHT0811</v>
      </c>
      <c r="B111" s="39" t="s">
        <v>383</v>
      </c>
      <c r="C111" s="331" t="s">
        <v>384</v>
      </c>
      <c r="D111" s="331" t="s">
        <v>385</v>
      </c>
      <c r="E111" s="34" t="s">
        <v>386</v>
      </c>
      <c r="F111" s="34"/>
      <c r="G111" s="34"/>
      <c r="H111" s="357"/>
      <c r="I111" s="354">
        <v>155299</v>
      </c>
      <c r="J111" s="96" t="s">
        <v>156</v>
      </c>
      <c r="K111" s="372">
        <v>3</v>
      </c>
      <c r="L111" s="308">
        <v>3</v>
      </c>
      <c r="M111" s="308">
        <v>2</v>
      </c>
      <c r="N111" s="308">
        <v>3</v>
      </c>
      <c r="O111" s="308">
        <v>2</v>
      </c>
      <c r="P111" s="308">
        <v>2</v>
      </c>
      <c r="Q111" s="309">
        <v>3</v>
      </c>
      <c r="R111" s="341">
        <v>3</v>
      </c>
      <c r="S111" s="310"/>
      <c r="T111" s="308"/>
      <c r="U111" s="308"/>
      <c r="V111" s="308"/>
      <c r="W111" s="332" t="str">
        <f>IF(COUNTIF(tblSeverityAnalysis[[#This Row],[CCCM]:[WASH]], 1)=0, "", COUNTIF(tblSeverityAnalysis[[#This Row],[CCCM]:[WASH]], 1))</f>
        <v/>
      </c>
      <c r="X111" s="333">
        <f>IF(COUNTIF(tblSeverityAnalysis[[#This Row],[CCCM]:[WASH]], 2)=0, "", COUNTIF(tblSeverityAnalysis[[#This Row],[CCCM]:[WASH]], 2))</f>
        <v>3</v>
      </c>
      <c r="Y111" s="333">
        <f>IF(COUNTIF(tblSeverityAnalysis[[#This Row],[CCCM]:[WASH]], 3)=0, "", COUNTIF(tblSeverityAnalysis[[#This Row],[CCCM]:[WASH]], 3))</f>
        <v>5</v>
      </c>
      <c r="Z111" s="333" t="str">
        <f>IF(COUNTIF(tblSeverityAnalysis[[#This Row],[CCCM]:[WASH]], 4)=0, "", COUNTIF(tblSeverityAnalysis[[#This Row],[CCCM]:[WASH]], 4))</f>
        <v/>
      </c>
      <c r="AA111" s="334" t="str">
        <f>IF(COUNTIF(tblSeverityAnalysis[[#This Row],[CCCM]:[WASH]], 5)=0, "", COUNTIF(tblSeverityAnalysis[[#This Row],[CCCM]:[WASH]], 5))</f>
        <v/>
      </c>
      <c r="AB111" s="60" cm="1">
        <f t="array" ref="AB11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1"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111" s="33">
        <f>IFERROR(IF(INDEX(tblSeverityReference[Malnutrition Severity],MATCH(tblSeverityAnalysis[[#This Row],[ID]], tblSeverityReference[ID], 0))= "", "",INDEX(tblSeverityReference[Malnutrition Severity],MATCH(tblSeverityAnalysis[[#This Row],[ID]], tblSeverityReference[ID], 0)) ), "")</f>
        <v>2</v>
      </c>
      <c r="AE111" s="347">
        <f>IFERROR(IF(INDEX(tblSeverityReference[Epidemic Severity],MATCH(tblSeverityAnalysis[[#This Row],[ID]], tblSeverityReference[ID], 0))= "", "",INDEX(tblSeverityReference[Epidemic Severity],MATCH(tblSeverityAnalysis[[#This Row],[ID]], tblSeverityReference[ID], 0)) ), "")</f>
        <v>1</v>
      </c>
      <c r="AF111" s="310" t="str">
        <f>IFERROR(IF(INDEX(tblSeverityReference[Coping Strategy Severity],MATCH(tblSeverityAnalysis[[#This Row],[ID]], tblSeverityReference[ID], 0))= "", "",INDEX(tblSeverityReference[Coping Strategy Severity],MATCH(tblSeverityAnalysis[[#This Row],[ID]], tblSeverityReference[ID], 0)) ), "")</f>
        <v/>
      </c>
      <c r="AG111" s="108">
        <f>IFERROR(IF(INDEX(tblSeverityReference[HR/IHL Violation],MATCH(tblSeverityAnalysis[[#This Row],[ID]], tblSeverityReference[ID], 0))= "", "",INDEX(tblSeverityReference[HR/IHL Violation],MATCH(tblSeverityAnalysis[[#This Row],[ID]], tblSeverityReference[ID], 0)) ), "")</f>
        <v>3</v>
      </c>
      <c r="AH111" s="82">
        <f>IFERROR(AVERAGE(tblSeverityAnalysis[[#This Row],[CCCM]:[WASH]]), "")</f>
        <v>2.625</v>
      </c>
      <c r="AI111" s="27">
        <f>IF(SUM(tblSeverityAnalysis[[#This Row],[CCCM]:[WASH]])=0, "", MAX(tblSeverityAnalysis[[#This Row],[CCCM]:[WASH]]))</f>
        <v>3</v>
      </c>
      <c r="AJ111" s="335" t="str" cm="1">
        <f t="array" ref="AJ111">IFERROR(IF(tblSeverityAnalysis[[#This Row],[Highest Severity]]="", "", _xlfn.TEXTJOIN(CHAR(10), TRUE, IF(tblSeverityAnalysis[[#This Row],[CCCM]:[WASH]]=tblSeverityAnalysis[[#This Row],[Highest Severity]], tblSeverityAnalysis[[#Headers],[CCCM]:[WASH]], ""), "")), "")</f>
        <v>CCCM
Education
Food Security
Shelter
WASH</v>
      </c>
      <c r="AK111" s="27" cm="1">
        <f t="array" ref="AK111">IFERROR(MAX(_xlfn._xlws.FILTER(tblSeverityAnalysis[[#This Row],[CCCM]:[WASH]], tblSeverityAnalysis[[#This Row],[CCCM]:[WASH]]&lt;tblSeverityAnalysis[[#This Row],[Highest Severity]])), "")</f>
        <v>2</v>
      </c>
      <c r="AL111" s="324" t="str" cm="1">
        <f t="array" ref="AL111">IFERROR(IF(tblSeverityAnalysis[[#This Row],[2nd Highest Severity]]="", "", _xlfn.TEXTJOIN(CHAR(10), TRUE, IF(tblSeverityAnalysis[[#This Row],[CCCM]:[WASH]]=tblSeverityAnalysis[[#This Row],[2nd Highest Severity]], tblSeverityAnalysis[[#Headers],[CCCM]:[WASH]], ""), "")), "")</f>
        <v>Nutrition
Health
Protection</v>
      </c>
      <c r="AM111" s="132" t="str">
        <f>IFERROR(IF(AND(tblSeverityAnalysis[[#This Row],[5]] &lt;&gt; "", tblSeverityAnalysis[[#This Row],[5]]&gt;=sectors_sev_5), "Flagged", ""), "")</f>
        <v/>
      </c>
      <c r="AN111" s="133" t="str">
        <f>IFERROR(IF(AND(tblSeverityAnalysis[[#This Row],[Preliminary Intersectoral Severity based on overlap of sectoral deprivations]]=4, SUM(tblSeverityAnalysis[[#This Row],[ 4 ]:[5]])&gt;=sectors_sev_4), "Flagged", ""), "")</f>
        <v/>
      </c>
      <c r="AO111" s="133" t="str" cm="1">
        <f t="array" ref="AO11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1" s="337"/>
      <c r="AR111" s="338"/>
      <c r="AS111" s="337"/>
      <c r="AT111" s="353">
        <f>COUNTIF(tblSeverityAnalysis[[#This Row],[1 sector in severity phase 5 '[modify the threshold']]:[Manual Flag]], "Flagged")</f>
        <v>2</v>
      </c>
      <c r="AU111" s="339">
        <f>tblSeverityAnalysis[[#This Row],[Preliminary Intersectoral Severity based on overlap of sectoral deprivations]]</f>
        <v>3</v>
      </c>
      <c r="AV111" s="340"/>
    </row>
    <row r="112" spans="1:48" ht="61.5" hidden="1">
      <c r="A11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Global_PopulationHT0812</v>
      </c>
      <c r="B112" s="39" t="s">
        <v>383</v>
      </c>
      <c r="C112" s="331" t="s">
        <v>384</v>
      </c>
      <c r="D112" s="331" t="s">
        <v>387</v>
      </c>
      <c r="E112" s="34" t="s">
        <v>388</v>
      </c>
      <c r="F112" s="34"/>
      <c r="G112" s="34"/>
      <c r="H112" s="358"/>
      <c r="I112" s="354">
        <v>47470</v>
      </c>
      <c r="J112" s="96" t="s">
        <v>156</v>
      </c>
      <c r="K112" s="372">
        <v>3</v>
      </c>
      <c r="L112" s="308">
        <v>3</v>
      </c>
      <c r="M112" s="308">
        <v>2</v>
      </c>
      <c r="N112" s="308">
        <v>3</v>
      </c>
      <c r="O112" s="308">
        <v>2</v>
      </c>
      <c r="P112" s="308">
        <v>2</v>
      </c>
      <c r="Q112" s="309">
        <v>3</v>
      </c>
      <c r="R112" s="341">
        <v>3</v>
      </c>
      <c r="S112" s="310"/>
      <c r="T112" s="308"/>
      <c r="U112" s="308"/>
      <c r="V112" s="308"/>
      <c r="W112" s="332" t="str">
        <f>IF(COUNTIF(tblSeverityAnalysis[[#This Row],[CCCM]:[WASH]], 1)=0, "", COUNTIF(tblSeverityAnalysis[[#This Row],[CCCM]:[WASH]], 1))</f>
        <v/>
      </c>
      <c r="X112" s="333">
        <f>IF(COUNTIF(tblSeverityAnalysis[[#This Row],[CCCM]:[WASH]], 2)=0, "", COUNTIF(tblSeverityAnalysis[[#This Row],[CCCM]:[WASH]], 2))</f>
        <v>3</v>
      </c>
      <c r="Y112" s="333">
        <f>IF(COUNTIF(tblSeverityAnalysis[[#This Row],[CCCM]:[WASH]], 3)=0, "", COUNTIF(tblSeverityAnalysis[[#This Row],[CCCM]:[WASH]], 3))</f>
        <v>5</v>
      </c>
      <c r="Z112" s="333" t="str">
        <f>IF(COUNTIF(tblSeverityAnalysis[[#This Row],[CCCM]:[WASH]], 4)=0, "", COUNTIF(tblSeverityAnalysis[[#This Row],[CCCM]:[WASH]], 4))</f>
        <v/>
      </c>
      <c r="AA112" s="334" t="str">
        <f>IF(COUNTIF(tblSeverityAnalysis[[#This Row],[CCCM]:[WASH]], 5)=0, "", COUNTIF(tblSeverityAnalysis[[#This Row],[CCCM]:[WASH]], 5))</f>
        <v/>
      </c>
      <c r="AB112" s="60" cm="1">
        <f t="array" ref="AB11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2" s="305">
        <f>IFERROR(IF(INDEX(tblSeverityReference[Death or Iminanet Risk of Death Severity],MATCH(tblSeverityAnalysis[[#This Row],[ID]], tblSeverityReference[ID], 0))= "", "",INDEX(tblSeverityReference[Death or Iminanet Risk of Death Severity],MATCH(tblSeverityAnalysis[[#This Row],[ID]], tblSeverityReference[ID], 0)) ), "")</f>
        <v>4</v>
      </c>
      <c r="AD112" s="33">
        <f>IFERROR(IF(INDEX(tblSeverityReference[Malnutrition Severity],MATCH(tblSeverityAnalysis[[#This Row],[ID]], tblSeverityReference[ID], 0))= "", "",INDEX(tblSeverityReference[Malnutrition Severity],MATCH(tblSeverityAnalysis[[#This Row],[ID]], tblSeverityReference[ID], 0)) ), "")</f>
        <v>2</v>
      </c>
      <c r="AE112" s="347">
        <f>IFERROR(IF(INDEX(tblSeverityReference[Epidemic Severity],MATCH(tblSeverityAnalysis[[#This Row],[ID]], tblSeverityReference[ID], 0))= "", "",INDEX(tblSeverityReference[Epidemic Severity],MATCH(tblSeverityAnalysis[[#This Row],[ID]], tblSeverityReference[ID], 0)) ), "")</f>
        <v>1</v>
      </c>
      <c r="AF112" s="310" t="str">
        <f>IFERROR(IF(INDEX(tblSeverityReference[Coping Strategy Severity],MATCH(tblSeverityAnalysis[[#This Row],[ID]], tblSeverityReference[ID], 0))= "", "",INDEX(tblSeverityReference[Coping Strategy Severity],MATCH(tblSeverityAnalysis[[#This Row],[ID]], tblSeverityReference[ID], 0)) ), "")</f>
        <v/>
      </c>
      <c r="AG112" s="348">
        <f>IFERROR(IF(INDEX(tblSeverityReference[HR/IHL Violation],MATCH(tblSeverityAnalysis[[#This Row],[ID]], tblSeverityReference[ID], 0))= "", "",INDEX(tblSeverityReference[HR/IHL Violation],MATCH(tblSeverityAnalysis[[#This Row],[ID]], tblSeverityReference[ID], 0)) ), "")</f>
        <v>3</v>
      </c>
      <c r="AH112" s="82">
        <f>IFERROR(AVERAGE(tblSeverityAnalysis[[#This Row],[CCCM]:[WASH]]), "")</f>
        <v>2.625</v>
      </c>
      <c r="AI112" s="27">
        <f>IF(SUM(tblSeverityAnalysis[[#This Row],[CCCM]:[WASH]])=0, "", MAX(tblSeverityAnalysis[[#This Row],[CCCM]:[WASH]]))</f>
        <v>3</v>
      </c>
      <c r="AJ112" s="335" t="str" cm="1">
        <f t="array" ref="AJ112">IFERROR(IF(tblSeverityAnalysis[[#This Row],[Highest Severity]]="", "", _xlfn.TEXTJOIN(CHAR(10), TRUE, IF(tblSeverityAnalysis[[#This Row],[CCCM]:[WASH]]=tblSeverityAnalysis[[#This Row],[Highest Severity]], tblSeverityAnalysis[[#Headers],[CCCM]:[WASH]], ""), "")), "")</f>
        <v>CCCM
Education
Food Security
Shelter
WASH</v>
      </c>
      <c r="AK112" s="27" cm="1">
        <f t="array" ref="AK112">IFERROR(MAX(_xlfn._xlws.FILTER(tblSeverityAnalysis[[#This Row],[CCCM]:[WASH]], tblSeverityAnalysis[[#This Row],[CCCM]:[WASH]]&lt;tblSeverityAnalysis[[#This Row],[Highest Severity]])), "")</f>
        <v>2</v>
      </c>
      <c r="AL112" s="324" t="str" cm="1">
        <f t="array" ref="AL112">IFERROR(IF(tblSeverityAnalysis[[#This Row],[2nd Highest Severity]]="", "", _xlfn.TEXTJOIN(CHAR(10), TRUE, IF(tblSeverityAnalysis[[#This Row],[CCCM]:[WASH]]=tblSeverityAnalysis[[#This Row],[2nd Highest Severity]], tblSeverityAnalysis[[#Headers],[CCCM]:[WASH]], ""), "")), "")</f>
        <v>Nutrition
Health
Protection</v>
      </c>
      <c r="AM112" s="132" t="str">
        <f>IFERROR(IF(AND(tblSeverityAnalysis[[#This Row],[5]] &lt;&gt; "", tblSeverityAnalysis[[#This Row],[5]]&gt;=sectors_sev_5), "Flagged", ""), "")</f>
        <v/>
      </c>
      <c r="AN112" s="133" t="str">
        <f>IFERROR(IF(AND(tblSeverityAnalysis[[#This Row],[Preliminary Intersectoral Severity based on overlap of sectoral deprivations]]=4, SUM(tblSeverityAnalysis[[#This Row],[ 4 ]:[5]])&gt;=sectors_sev_4), "Flagged", ""), "")</f>
        <v/>
      </c>
      <c r="AO112" s="133" t="str" cm="1">
        <f t="array" ref="AO11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2" s="337"/>
      <c r="AR112" s="338"/>
      <c r="AS112" s="337"/>
      <c r="AT112" s="353">
        <f>COUNTIF(tblSeverityAnalysis[[#This Row],[1 sector in severity phase 5 '[modify the threshold']]:[Manual Flag]], "Flagged")</f>
        <v>2</v>
      </c>
      <c r="AU112" s="339">
        <f>tblSeverityAnalysis[[#This Row],[Preliminary Intersectoral Severity based on overlap of sectoral deprivations]]</f>
        <v>3</v>
      </c>
      <c r="AV112" s="340"/>
    </row>
    <row r="113" spans="1:48" ht="36.950000000000003" hidden="1">
      <c r="A11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Global_PopulationHT0813</v>
      </c>
      <c r="B113" s="39" t="s">
        <v>383</v>
      </c>
      <c r="C113" s="331" t="s">
        <v>384</v>
      </c>
      <c r="D113" s="331" t="s">
        <v>389</v>
      </c>
      <c r="E113" s="34" t="s">
        <v>390</v>
      </c>
      <c r="F113" s="34"/>
      <c r="G113" s="34"/>
      <c r="H113" s="357"/>
      <c r="I113" s="354">
        <v>10653</v>
      </c>
      <c r="J113" s="96" t="s">
        <v>156</v>
      </c>
      <c r="K113" s="372">
        <v>3</v>
      </c>
      <c r="L113" s="308">
        <v>3</v>
      </c>
      <c r="M113" s="308">
        <v>2</v>
      </c>
      <c r="N113" s="308">
        <v>3</v>
      </c>
      <c r="O113" s="308">
        <v>2</v>
      </c>
      <c r="P113" s="308">
        <v>2</v>
      </c>
      <c r="Q113" s="309">
        <v>1</v>
      </c>
      <c r="R113" s="341">
        <v>1</v>
      </c>
      <c r="S113" s="310"/>
      <c r="T113" s="308"/>
      <c r="U113" s="308"/>
      <c r="V113" s="308"/>
      <c r="W113" s="332">
        <f>IF(COUNTIF(tblSeverityAnalysis[[#This Row],[CCCM]:[WASH]], 1)=0, "", COUNTIF(tblSeverityAnalysis[[#This Row],[CCCM]:[WASH]], 1))</f>
        <v>2</v>
      </c>
      <c r="X113" s="333">
        <f>IF(COUNTIF(tblSeverityAnalysis[[#This Row],[CCCM]:[WASH]], 2)=0, "", COUNTIF(tblSeverityAnalysis[[#This Row],[CCCM]:[WASH]], 2))</f>
        <v>3</v>
      </c>
      <c r="Y113" s="333">
        <f>IF(COUNTIF(tblSeverityAnalysis[[#This Row],[CCCM]:[WASH]], 3)=0, "", COUNTIF(tblSeverityAnalysis[[#This Row],[CCCM]:[WASH]], 3))</f>
        <v>3</v>
      </c>
      <c r="Z113" s="333" t="str">
        <f>IF(COUNTIF(tblSeverityAnalysis[[#This Row],[CCCM]:[WASH]], 4)=0, "", COUNTIF(tblSeverityAnalysis[[#This Row],[CCCM]:[WASH]], 4))</f>
        <v/>
      </c>
      <c r="AA113" s="334" t="str">
        <f>IF(COUNTIF(tblSeverityAnalysis[[#This Row],[CCCM]:[WASH]], 5)=0, "", COUNTIF(tblSeverityAnalysis[[#This Row],[CCCM]:[WASH]], 5))</f>
        <v/>
      </c>
      <c r="AB113" s="60" cm="1">
        <f t="array" ref="AB11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13"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3" s="33">
        <f>IFERROR(IF(INDEX(tblSeverityReference[Malnutrition Severity],MATCH(tblSeverityAnalysis[[#This Row],[ID]], tblSeverityReference[ID], 0))= "", "",INDEX(tblSeverityReference[Malnutrition Severity],MATCH(tblSeverityAnalysis[[#This Row],[ID]], tblSeverityReference[ID], 0)) ), "")</f>
        <v>2</v>
      </c>
      <c r="AE113" s="347">
        <f>IFERROR(IF(INDEX(tblSeverityReference[Epidemic Severity],MATCH(tblSeverityAnalysis[[#This Row],[ID]], tblSeverityReference[ID], 0))= "", "",INDEX(tblSeverityReference[Epidemic Severity],MATCH(tblSeverityAnalysis[[#This Row],[ID]], tblSeverityReference[ID], 0)) ), "")</f>
        <v>1</v>
      </c>
      <c r="AF113" s="310" t="str">
        <f>IFERROR(IF(INDEX(tblSeverityReference[Coping Strategy Severity],MATCH(tblSeverityAnalysis[[#This Row],[ID]], tblSeverityReference[ID], 0))= "", "",INDEX(tblSeverityReference[Coping Strategy Severity],MATCH(tblSeverityAnalysis[[#This Row],[ID]], tblSeverityReference[ID], 0)) ), "")</f>
        <v/>
      </c>
      <c r="AG113" s="108">
        <f>IFERROR(IF(INDEX(tblSeverityReference[HR/IHL Violation],MATCH(tblSeverityAnalysis[[#This Row],[ID]], tblSeverityReference[ID], 0))= "", "",INDEX(tblSeverityReference[HR/IHL Violation],MATCH(tblSeverityAnalysis[[#This Row],[ID]], tblSeverityReference[ID], 0)) ), "")</f>
        <v>2</v>
      </c>
      <c r="AH113" s="82">
        <f>IFERROR(AVERAGE(tblSeverityAnalysis[[#This Row],[CCCM]:[WASH]]), "")</f>
        <v>2.125</v>
      </c>
      <c r="AI113" s="27">
        <f>IF(SUM(tblSeverityAnalysis[[#This Row],[CCCM]:[WASH]])=0, "", MAX(tblSeverityAnalysis[[#This Row],[CCCM]:[WASH]]))</f>
        <v>3</v>
      </c>
      <c r="AJ113" s="335" t="str" cm="1">
        <f t="array" ref="AJ113">IFERROR(IF(tblSeverityAnalysis[[#This Row],[Highest Severity]]="", "", _xlfn.TEXTJOIN(CHAR(10), TRUE, IF(tblSeverityAnalysis[[#This Row],[CCCM]:[WASH]]=tblSeverityAnalysis[[#This Row],[Highest Severity]], tblSeverityAnalysis[[#Headers],[CCCM]:[WASH]], ""), "")), "")</f>
        <v>CCCM
Education
Food Security</v>
      </c>
      <c r="AK113" s="27" cm="1">
        <f t="array" ref="AK113">IFERROR(MAX(_xlfn._xlws.FILTER(tblSeverityAnalysis[[#This Row],[CCCM]:[WASH]], tblSeverityAnalysis[[#This Row],[CCCM]:[WASH]]&lt;tblSeverityAnalysis[[#This Row],[Highest Severity]])), "")</f>
        <v>2</v>
      </c>
      <c r="AL113" s="324" t="str" cm="1">
        <f t="array" ref="AL113">IFERROR(IF(tblSeverityAnalysis[[#This Row],[2nd Highest Severity]]="", "", _xlfn.TEXTJOIN(CHAR(10), TRUE, IF(tblSeverityAnalysis[[#This Row],[CCCM]:[WASH]]=tblSeverityAnalysis[[#This Row],[2nd Highest Severity]], tblSeverityAnalysis[[#Headers],[CCCM]:[WASH]], ""), "")), "")</f>
        <v>Nutrition
Health
Protection</v>
      </c>
      <c r="AM113" s="132" t="str">
        <f>IFERROR(IF(AND(tblSeverityAnalysis[[#This Row],[5]] &lt;&gt; "", tblSeverityAnalysis[[#This Row],[5]]&gt;=sectors_sev_5), "Flagged", ""), "")</f>
        <v/>
      </c>
      <c r="AN113" s="133" t="str">
        <f>IFERROR(IF(AND(tblSeverityAnalysis[[#This Row],[Preliminary Intersectoral Severity based on overlap of sectoral deprivations]]=4, SUM(tblSeverityAnalysis[[#This Row],[ 4 ]:[5]])&gt;=sectors_sev_4), "Flagged", ""), "")</f>
        <v/>
      </c>
      <c r="AO113" s="133" t="str" cm="1">
        <f t="array" ref="AO11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3" s="337"/>
      <c r="AR113" s="338"/>
      <c r="AS113" s="337"/>
      <c r="AT113" s="353">
        <f>COUNTIF(tblSeverityAnalysis[[#This Row],[1 sector in severity phase 5 '[modify the threshold']]:[Manual Flag]], "Flagged")</f>
        <v>0</v>
      </c>
      <c r="AU113" s="339">
        <f>tblSeverityAnalysis[[#This Row],[Preliminary Intersectoral Severity based on overlap of sectoral deprivations]]</f>
        <v>2</v>
      </c>
      <c r="AV113" s="340"/>
    </row>
    <row r="114" spans="1:48" ht="73.900000000000006" hidden="1">
      <c r="A11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Global_PopulationHT0814</v>
      </c>
      <c r="B114" s="39" t="s">
        <v>383</v>
      </c>
      <c r="C114" s="331" t="s">
        <v>384</v>
      </c>
      <c r="D114" s="331" t="s">
        <v>391</v>
      </c>
      <c r="E114" s="34" t="s">
        <v>392</v>
      </c>
      <c r="F114" s="34"/>
      <c r="G114" s="34"/>
      <c r="H114" s="358"/>
      <c r="I114" s="354">
        <v>36686</v>
      </c>
      <c r="J114" s="96" t="s">
        <v>156</v>
      </c>
      <c r="K114" s="372">
        <v>3</v>
      </c>
      <c r="L114" s="308">
        <v>3</v>
      </c>
      <c r="M114" s="308">
        <v>2</v>
      </c>
      <c r="N114" s="308">
        <v>3</v>
      </c>
      <c r="O114" s="308">
        <v>3</v>
      </c>
      <c r="P114" s="308">
        <v>2</v>
      </c>
      <c r="Q114" s="309">
        <v>3</v>
      </c>
      <c r="R114" s="341">
        <v>3</v>
      </c>
      <c r="S114" s="310"/>
      <c r="T114" s="308"/>
      <c r="U114" s="308"/>
      <c r="V114" s="308"/>
      <c r="W114" s="332" t="str">
        <f>IF(COUNTIF(tblSeverityAnalysis[[#This Row],[CCCM]:[WASH]], 1)=0, "", COUNTIF(tblSeverityAnalysis[[#This Row],[CCCM]:[WASH]], 1))</f>
        <v/>
      </c>
      <c r="X114" s="333">
        <f>IF(COUNTIF(tblSeverityAnalysis[[#This Row],[CCCM]:[WASH]], 2)=0, "", COUNTIF(tblSeverityAnalysis[[#This Row],[CCCM]:[WASH]], 2))</f>
        <v>2</v>
      </c>
      <c r="Y114" s="333">
        <f>IF(COUNTIF(tblSeverityAnalysis[[#This Row],[CCCM]:[WASH]], 3)=0, "", COUNTIF(tblSeverityAnalysis[[#This Row],[CCCM]:[WASH]], 3))</f>
        <v>6</v>
      </c>
      <c r="Z114" s="333" t="str">
        <f>IF(COUNTIF(tblSeverityAnalysis[[#This Row],[CCCM]:[WASH]], 4)=0, "", COUNTIF(tblSeverityAnalysis[[#This Row],[CCCM]:[WASH]], 4))</f>
        <v/>
      </c>
      <c r="AA114" s="334" t="str">
        <f>IF(COUNTIF(tblSeverityAnalysis[[#This Row],[CCCM]:[WASH]], 5)=0, "", COUNTIF(tblSeverityAnalysis[[#This Row],[CCCM]:[WASH]], 5))</f>
        <v/>
      </c>
      <c r="AB114" s="60" cm="1">
        <f t="array" ref="AB11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4" s="33">
        <f>IFERROR(IF(INDEX(tblSeverityReference[Malnutrition Severity],MATCH(tblSeverityAnalysis[[#This Row],[ID]], tblSeverityReference[ID], 0))= "", "",INDEX(tblSeverityReference[Malnutrition Severity],MATCH(tblSeverityAnalysis[[#This Row],[ID]], tblSeverityReference[ID], 0)) ), "")</f>
        <v>2</v>
      </c>
      <c r="AE114" s="347">
        <f>IFERROR(IF(INDEX(tblSeverityReference[Epidemic Severity],MATCH(tblSeverityAnalysis[[#This Row],[ID]], tblSeverityReference[ID], 0))= "", "",INDEX(tblSeverityReference[Epidemic Severity],MATCH(tblSeverityAnalysis[[#This Row],[ID]], tblSeverityReference[ID], 0)) ), "")</f>
        <v>1</v>
      </c>
      <c r="AF114" s="310" t="str">
        <f>IFERROR(IF(INDEX(tblSeverityReference[Coping Strategy Severity],MATCH(tblSeverityAnalysis[[#This Row],[ID]], tblSeverityReference[ID], 0))= "", "",INDEX(tblSeverityReference[Coping Strategy Severity],MATCH(tblSeverityAnalysis[[#This Row],[ID]], tblSeverityReference[ID], 0)) ), "")</f>
        <v/>
      </c>
      <c r="AG114" s="348">
        <f>IFERROR(IF(INDEX(tblSeverityReference[HR/IHL Violation],MATCH(tblSeverityAnalysis[[#This Row],[ID]], tblSeverityReference[ID], 0))= "", "",INDEX(tblSeverityReference[HR/IHL Violation],MATCH(tblSeverityAnalysis[[#This Row],[ID]], tblSeverityReference[ID], 0)) ), "")</f>
        <v>3</v>
      </c>
      <c r="AH114" s="82">
        <f>IFERROR(AVERAGE(tblSeverityAnalysis[[#This Row],[CCCM]:[WASH]]), "")</f>
        <v>2.75</v>
      </c>
      <c r="AI114" s="27">
        <f>IF(SUM(tblSeverityAnalysis[[#This Row],[CCCM]:[WASH]])=0, "", MAX(tblSeverityAnalysis[[#This Row],[CCCM]:[WASH]]))</f>
        <v>3</v>
      </c>
      <c r="AJ114" s="335" t="str" cm="1">
        <f t="array" ref="AJ114">IFERROR(IF(tblSeverityAnalysis[[#This Row],[Highest Severity]]="", "", _xlfn.TEXTJOIN(CHAR(10), TRUE, IF(tblSeverityAnalysis[[#This Row],[CCCM]:[WASH]]=tblSeverityAnalysis[[#This Row],[Highest Severity]], tblSeverityAnalysis[[#Headers],[CCCM]:[WASH]], ""), "")), "")</f>
        <v>CCCM
Education
Food Security
Health
Shelter
WASH</v>
      </c>
      <c r="AK114" s="27" cm="1">
        <f t="array" ref="AK114">IFERROR(MAX(_xlfn._xlws.FILTER(tblSeverityAnalysis[[#This Row],[CCCM]:[WASH]], tblSeverityAnalysis[[#This Row],[CCCM]:[WASH]]&lt;tblSeverityAnalysis[[#This Row],[Highest Severity]])), "")</f>
        <v>2</v>
      </c>
      <c r="AL114" s="324" t="str" cm="1">
        <f t="array" ref="AL114">IFERROR(IF(tblSeverityAnalysis[[#This Row],[2nd Highest Severity]]="", "", _xlfn.TEXTJOIN(CHAR(10), TRUE, IF(tblSeverityAnalysis[[#This Row],[CCCM]:[WASH]]=tblSeverityAnalysis[[#This Row],[2nd Highest Severity]], tblSeverityAnalysis[[#Headers],[CCCM]:[WASH]], ""), "")), "")</f>
        <v>Nutrition
Protection</v>
      </c>
      <c r="AM114" s="132" t="str">
        <f>IFERROR(IF(AND(tblSeverityAnalysis[[#This Row],[5]] &lt;&gt; "", tblSeverityAnalysis[[#This Row],[5]]&gt;=sectors_sev_5), "Flagged", ""), "")</f>
        <v/>
      </c>
      <c r="AN114" s="133" t="str">
        <f>IFERROR(IF(AND(tblSeverityAnalysis[[#This Row],[Preliminary Intersectoral Severity based on overlap of sectoral deprivations]]=4, SUM(tblSeverityAnalysis[[#This Row],[ 4 ]:[5]])&gt;=sectors_sev_4), "Flagged", ""), "")</f>
        <v/>
      </c>
      <c r="AO114" s="133" t="str" cm="1">
        <f t="array" ref="AO11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4" s="337"/>
      <c r="AR114" s="338"/>
      <c r="AS114" s="337"/>
      <c r="AT114" s="353">
        <f>COUNTIF(tblSeverityAnalysis[[#This Row],[1 sector in severity phase 5 '[modify the threshold']]:[Manual Flag]], "Flagged")</f>
        <v>2</v>
      </c>
      <c r="AU114" s="339">
        <f>tblSeverityAnalysis[[#This Row],[Preliminary Intersectoral Severity based on overlap of sectoral deprivations]]</f>
        <v>3</v>
      </c>
      <c r="AV114" s="340"/>
    </row>
    <row r="115" spans="1:48" ht="49.15" hidden="1">
      <c r="A11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Global_PopulationHT0815</v>
      </c>
      <c r="B115" s="39" t="s">
        <v>383</v>
      </c>
      <c r="C115" s="331" t="s">
        <v>384</v>
      </c>
      <c r="D115" s="331" t="s">
        <v>393</v>
      </c>
      <c r="E115" s="34" t="s">
        <v>394</v>
      </c>
      <c r="F115" s="34"/>
      <c r="G115" s="34"/>
      <c r="H115" s="357"/>
      <c r="I115" s="354">
        <v>35368</v>
      </c>
      <c r="J115" s="96" t="s">
        <v>156</v>
      </c>
      <c r="K115" s="372">
        <v>3</v>
      </c>
      <c r="L115" s="308">
        <v>3</v>
      </c>
      <c r="M115" s="308">
        <v>2</v>
      </c>
      <c r="N115" s="308">
        <v>3</v>
      </c>
      <c r="O115" s="308">
        <v>2</v>
      </c>
      <c r="P115" s="308">
        <v>2</v>
      </c>
      <c r="Q115" s="309">
        <v>1</v>
      </c>
      <c r="R115" s="341">
        <v>2</v>
      </c>
      <c r="S115" s="310"/>
      <c r="T115" s="308"/>
      <c r="U115" s="308"/>
      <c r="V115" s="308"/>
      <c r="W115" s="332">
        <f>IF(COUNTIF(tblSeverityAnalysis[[#This Row],[CCCM]:[WASH]], 1)=0, "", COUNTIF(tblSeverityAnalysis[[#This Row],[CCCM]:[WASH]], 1))</f>
        <v>1</v>
      </c>
      <c r="X115" s="333">
        <f>IF(COUNTIF(tblSeverityAnalysis[[#This Row],[CCCM]:[WASH]], 2)=0, "", COUNTIF(tblSeverityAnalysis[[#This Row],[CCCM]:[WASH]], 2))</f>
        <v>4</v>
      </c>
      <c r="Y115" s="333">
        <f>IF(COUNTIF(tblSeverityAnalysis[[#This Row],[CCCM]:[WASH]], 3)=0, "", COUNTIF(tblSeverityAnalysis[[#This Row],[CCCM]:[WASH]], 3))</f>
        <v>3</v>
      </c>
      <c r="Z115" s="333" t="str">
        <f>IF(COUNTIF(tblSeverityAnalysis[[#This Row],[CCCM]:[WASH]], 4)=0, "", COUNTIF(tblSeverityAnalysis[[#This Row],[CCCM]:[WASH]], 4))</f>
        <v/>
      </c>
      <c r="AA115" s="334" t="str">
        <f>IF(COUNTIF(tblSeverityAnalysis[[#This Row],[CCCM]:[WASH]], 5)=0, "", COUNTIF(tblSeverityAnalysis[[#This Row],[CCCM]:[WASH]], 5))</f>
        <v/>
      </c>
      <c r="AB115" s="60" cm="1">
        <f t="array" ref="AB11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1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5" s="33">
        <f>IFERROR(IF(INDEX(tblSeverityReference[Malnutrition Severity],MATCH(tblSeverityAnalysis[[#This Row],[ID]], tblSeverityReference[ID], 0))= "", "",INDEX(tblSeverityReference[Malnutrition Severity],MATCH(tblSeverityAnalysis[[#This Row],[ID]], tblSeverityReference[ID], 0)) ), "")</f>
        <v>2</v>
      </c>
      <c r="AE115" s="347">
        <f>IFERROR(IF(INDEX(tblSeverityReference[Epidemic Severity],MATCH(tblSeverityAnalysis[[#This Row],[ID]], tblSeverityReference[ID], 0))= "", "",INDEX(tblSeverityReference[Epidemic Severity],MATCH(tblSeverityAnalysis[[#This Row],[ID]], tblSeverityReference[ID], 0)) ), "")</f>
        <v>3</v>
      </c>
      <c r="AF115" s="310" t="str">
        <f>IFERROR(IF(INDEX(tblSeverityReference[Coping Strategy Severity],MATCH(tblSeverityAnalysis[[#This Row],[ID]], tblSeverityReference[ID], 0))= "", "",INDEX(tblSeverityReference[Coping Strategy Severity],MATCH(tblSeverityAnalysis[[#This Row],[ID]], tblSeverityReference[ID], 0)) ), "")</f>
        <v/>
      </c>
      <c r="AG115" s="348">
        <f>IFERROR(IF(INDEX(tblSeverityReference[HR/IHL Violation],MATCH(tblSeverityAnalysis[[#This Row],[ID]], tblSeverityReference[ID], 0))= "", "",INDEX(tblSeverityReference[HR/IHL Violation],MATCH(tblSeverityAnalysis[[#This Row],[ID]], tblSeverityReference[ID], 0)) ), "")</f>
        <v>2</v>
      </c>
      <c r="AH115" s="82">
        <f>IFERROR(AVERAGE(tblSeverityAnalysis[[#This Row],[CCCM]:[WASH]]), "")</f>
        <v>2.25</v>
      </c>
      <c r="AI115" s="27">
        <f>IF(SUM(tblSeverityAnalysis[[#This Row],[CCCM]:[WASH]])=0, "", MAX(tblSeverityAnalysis[[#This Row],[CCCM]:[WASH]]))</f>
        <v>3</v>
      </c>
      <c r="AJ115" s="335" t="str" cm="1">
        <f t="array" ref="AJ115">IFERROR(IF(tblSeverityAnalysis[[#This Row],[Highest Severity]]="", "", _xlfn.TEXTJOIN(CHAR(10), TRUE, IF(tblSeverityAnalysis[[#This Row],[CCCM]:[WASH]]=tblSeverityAnalysis[[#This Row],[Highest Severity]], tblSeverityAnalysis[[#Headers],[CCCM]:[WASH]], ""), "")), "")</f>
        <v>CCCM
Education
Food Security</v>
      </c>
      <c r="AK115" s="27" cm="1">
        <f t="array" ref="AK115">IFERROR(MAX(_xlfn._xlws.FILTER(tblSeverityAnalysis[[#This Row],[CCCM]:[WASH]], tblSeverityAnalysis[[#This Row],[CCCM]:[WASH]]&lt;tblSeverityAnalysis[[#This Row],[Highest Severity]])), "")</f>
        <v>2</v>
      </c>
      <c r="AL115" s="324" t="str" cm="1">
        <f t="array" ref="AL115">IFERROR(IF(tblSeverityAnalysis[[#This Row],[2nd Highest Severity]]="", "", _xlfn.TEXTJOIN(CHAR(10), TRUE, IF(tblSeverityAnalysis[[#This Row],[CCCM]:[WASH]]=tblSeverityAnalysis[[#This Row],[2nd Highest Severity]], tblSeverityAnalysis[[#Headers],[CCCM]:[WASH]], ""), "")), "")</f>
        <v>Nutrition
Health
Protection
WASH</v>
      </c>
      <c r="AM115" s="132" t="str">
        <f>IFERROR(IF(AND(tblSeverityAnalysis[[#This Row],[5]] &lt;&gt; "", tblSeverityAnalysis[[#This Row],[5]]&gt;=sectors_sev_5), "Flagged", ""), "")</f>
        <v/>
      </c>
      <c r="AN115" s="133" t="str">
        <f>IFERROR(IF(AND(tblSeverityAnalysis[[#This Row],[Preliminary Intersectoral Severity based on overlap of sectoral deprivations]]=4, SUM(tblSeverityAnalysis[[#This Row],[ 4 ]:[5]])&gt;=sectors_sev_4), "Flagged", ""), "")</f>
        <v/>
      </c>
      <c r="AO115" s="133" t="str" cm="1">
        <f t="array" ref="AO11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5" s="337"/>
      <c r="AR115" s="338"/>
      <c r="AS115" s="337"/>
      <c r="AT115" s="353">
        <f>COUNTIF(tblSeverityAnalysis[[#This Row],[1 sector in severity phase 5 '[modify the threshold']]:[Manual Flag]], "Flagged")</f>
        <v>0</v>
      </c>
      <c r="AU115" s="339">
        <f>tblSeverityAnalysis[[#This Row],[Preliminary Intersectoral Severity based on overlap of sectoral deprivations]]</f>
        <v>2</v>
      </c>
      <c r="AV115" s="340"/>
    </row>
    <row r="116" spans="1:48" ht="49.15" hidden="1">
      <c r="A11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Global_PopulationHT0821</v>
      </c>
      <c r="B116" s="39" t="s">
        <v>383</v>
      </c>
      <c r="C116" s="331" t="s">
        <v>384</v>
      </c>
      <c r="D116" s="331" t="s">
        <v>395</v>
      </c>
      <c r="E116" s="34" t="s">
        <v>396</v>
      </c>
      <c r="F116" s="34"/>
      <c r="G116" s="34"/>
      <c r="H116" s="358"/>
      <c r="I116" s="354">
        <v>49099</v>
      </c>
      <c r="J116" s="96" t="s">
        <v>156</v>
      </c>
      <c r="K116" s="372">
        <v>3</v>
      </c>
      <c r="L116" s="308">
        <v>3</v>
      </c>
      <c r="M116" s="308">
        <v>2</v>
      </c>
      <c r="N116" s="308">
        <v>3</v>
      </c>
      <c r="O116" s="308">
        <v>2</v>
      </c>
      <c r="P116" s="308">
        <v>2</v>
      </c>
      <c r="Q116" s="309">
        <v>3</v>
      </c>
      <c r="R116" s="341">
        <v>2</v>
      </c>
      <c r="S116" s="310"/>
      <c r="T116" s="308"/>
      <c r="U116" s="308"/>
      <c r="V116" s="308"/>
      <c r="W116" s="332" t="str">
        <f>IF(COUNTIF(tblSeverityAnalysis[[#This Row],[CCCM]:[WASH]], 1)=0, "", COUNTIF(tblSeverityAnalysis[[#This Row],[CCCM]:[WASH]], 1))</f>
        <v/>
      </c>
      <c r="X116" s="333">
        <f>IF(COUNTIF(tblSeverityAnalysis[[#This Row],[CCCM]:[WASH]], 2)=0, "", COUNTIF(tblSeverityAnalysis[[#This Row],[CCCM]:[WASH]], 2))</f>
        <v>4</v>
      </c>
      <c r="Y116" s="333">
        <f>IF(COUNTIF(tblSeverityAnalysis[[#This Row],[CCCM]:[WASH]], 3)=0, "", COUNTIF(tblSeverityAnalysis[[#This Row],[CCCM]:[WASH]], 3))</f>
        <v>4</v>
      </c>
      <c r="Z116" s="333" t="str">
        <f>IF(COUNTIF(tblSeverityAnalysis[[#This Row],[CCCM]:[WASH]], 4)=0, "", COUNTIF(tblSeverityAnalysis[[#This Row],[CCCM]:[WASH]], 4))</f>
        <v/>
      </c>
      <c r="AA116" s="334" t="str">
        <f>IF(COUNTIF(tblSeverityAnalysis[[#This Row],[CCCM]:[WASH]], 5)=0, "", COUNTIF(tblSeverityAnalysis[[#This Row],[CCCM]:[WASH]], 5))</f>
        <v/>
      </c>
      <c r="AB116" s="60" cm="1">
        <f t="array" ref="AB11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6"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16" s="33">
        <f>IFERROR(IF(INDEX(tblSeverityReference[Malnutrition Severity],MATCH(tblSeverityAnalysis[[#This Row],[ID]], tblSeverityReference[ID], 0))= "", "",INDEX(tblSeverityReference[Malnutrition Severity],MATCH(tblSeverityAnalysis[[#This Row],[ID]], tblSeverityReference[ID], 0)) ), "")</f>
        <v>2</v>
      </c>
      <c r="AE116" s="347">
        <f>IFERROR(IF(INDEX(tblSeverityReference[Epidemic Severity],MATCH(tblSeverityAnalysis[[#This Row],[ID]], tblSeverityReference[ID], 0))= "", "",INDEX(tblSeverityReference[Epidemic Severity],MATCH(tblSeverityAnalysis[[#This Row],[ID]], tblSeverityReference[ID], 0)) ), "")</f>
        <v>1</v>
      </c>
      <c r="AF116" s="310" t="str">
        <f>IFERROR(IF(INDEX(tblSeverityReference[Coping Strategy Severity],MATCH(tblSeverityAnalysis[[#This Row],[ID]], tblSeverityReference[ID], 0))= "", "",INDEX(tblSeverityReference[Coping Strategy Severity],MATCH(tblSeverityAnalysis[[#This Row],[ID]], tblSeverityReference[ID], 0)) ), "")</f>
        <v/>
      </c>
      <c r="AG116" s="108">
        <f>IFERROR(IF(INDEX(tblSeverityReference[HR/IHL Violation],MATCH(tblSeverityAnalysis[[#This Row],[ID]], tblSeverityReference[ID], 0))= "", "",INDEX(tblSeverityReference[HR/IHL Violation],MATCH(tblSeverityAnalysis[[#This Row],[ID]], tblSeverityReference[ID], 0)) ), "")</f>
        <v>3</v>
      </c>
      <c r="AH116" s="82">
        <f>IFERROR(AVERAGE(tblSeverityAnalysis[[#This Row],[CCCM]:[WASH]]), "")</f>
        <v>2.5</v>
      </c>
      <c r="AI116" s="27">
        <f>IF(SUM(tblSeverityAnalysis[[#This Row],[CCCM]:[WASH]])=0, "", MAX(tblSeverityAnalysis[[#This Row],[CCCM]:[WASH]]))</f>
        <v>3</v>
      </c>
      <c r="AJ116" s="335" t="str" cm="1">
        <f t="array" ref="AJ116">IFERROR(IF(tblSeverityAnalysis[[#This Row],[Highest Severity]]="", "", _xlfn.TEXTJOIN(CHAR(10), TRUE, IF(tblSeverityAnalysis[[#This Row],[CCCM]:[WASH]]=tblSeverityAnalysis[[#This Row],[Highest Severity]], tblSeverityAnalysis[[#Headers],[CCCM]:[WASH]], ""), "")), "")</f>
        <v>CCCM
Education
Food Security
Shelter</v>
      </c>
      <c r="AK116" s="27" cm="1">
        <f t="array" ref="AK116">IFERROR(MAX(_xlfn._xlws.FILTER(tblSeverityAnalysis[[#This Row],[CCCM]:[WASH]], tblSeverityAnalysis[[#This Row],[CCCM]:[WASH]]&lt;tblSeverityAnalysis[[#This Row],[Highest Severity]])), "")</f>
        <v>2</v>
      </c>
      <c r="AL116" s="324" t="str" cm="1">
        <f t="array" ref="AL116">IFERROR(IF(tblSeverityAnalysis[[#This Row],[2nd Highest Severity]]="", "", _xlfn.TEXTJOIN(CHAR(10), TRUE, IF(tblSeverityAnalysis[[#This Row],[CCCM]:[WASH]]=tblSeverityAnalysis[[#This Row],[2nd Highest Severity]], tblSeverityAnalysis[[#Headers],[CCCM]:[WASH]], ""), "")), "")</f>
        <v>Nutrition
Health
Protection
WASH</v>
      </c>
      <c r="AM116" s="132" t="str">
        <f>IFERROR(IF(AND(tblSeverityAnalysis[[#This Row],[5]] &lt;&gt; "", tblSeverityAnalysis[[#This Row],[5]]&gt;=sectors_sev_5), "Flagged", ""), "")</f>
        <v/>
      </c>
      <c r="AN116" s="133" t="str">
        <f>IFERROR(IF(AND(tblSeverityAnalysis[[#This Row],[Preliminary Intersectoral Severity based on overlap of sectoral deprivations]]=4, SUM(tblSeverityAnalysis[[#This Row],[ 4 ]:[5]])&gt;=sectors_sev_4), "Flagged", ""), "")</f>
        <v/>
      </c>
      <c r="AO116" s="133" t="str" cm="1">
        <f t="array" ref="AO11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6" s="337"/>
      <c r="AR116" s="338"/>
      <c r="AS116" s="337"/>
      <c r="AT116" s="353">
        <f>COUNTIF(tblSeverityAnalysis[[#This Row],[1 sector in severity phase 5 '[modify the threshold']]:[Manual Flag]], "Flagged")</f>
        <v>2</v>
      </c>
      <c r="AU116" s="339">
        <f>tblSeverityAnalysis[[#This Row],[Preliminary Intersectoral Severity based on overlap of sectoral deprivations]]</f>
        <v>3</v>
      </c>
      <c r="AV116" s="340"/>
    </row>
    <row r="117" spans="1:48" ht="49.15" hidden="1">
      <c r="A11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Global_PopulationHT0822</v>
      </c>
      <c r="B117" s="39" t="s">
        <v>383</v>
      </c>
      <c r="C117" s="331" t="s">
        <v>384</v>
      </c>
      <c r="D117" s="331" t="s">
        <v>397</v>
      </c>
      <c r="E117" s="34" t="s">
        <v>398</v>
      </c>
      <c r="F117" s="34"/>
      <c r="G117" s="34"/>
      <c r="H117" s="357"/>
      <c r="I117" s="354">
        <v>41207</v>
      </c>
      <c r="J117" s="96" t="s">
        <v>156</v>
      </c>
      <c r="K117" s="372">
        <v>3</v>
      </c>
      <c r="L117" s="308">
        <v>3</v>
      </c>
      <c r="M117" s="308">
        <v>2</v>
      </c>
      <c r="N117" s="308">
        <v>3</v>
      </c>
      <c r="O117" s="308">
        <v>2</v>
      </c>
      <c r="P117" s="308">
        <v>2</v>
      </c>
      <c r="Q117" s="309">
        <v>3</v>
      </c>
      <c r="R117" s="341">
        <v>2</v>
      </c>
      <c r="S117" s="310"/>
      <c r="T117" s="308"/>
      <c r="U117" s="308"/>
      <c r="V117" s="308"/>
      <c r="W117" s="332" t="str">
        <f>IF(COUNTIF(tblSeverityAnalysis[[#This Row],[CCCM]:[WASH]], 1)=0, "", COUNTIF(tblSeverityAnalysis[[#This Row],[CCCM]:[WASH]], 1))</f>
        <v/>
      </c>
      <c r="X117" s="333">
        <f>IF(COUNTIF(tblSeverityAnalysis[[#This Row],[CCCM]:[WASH]], 2)=0, "", COUNTIF(tblSeverityAnalysis[[#This Row],[CCCM]:[WASH]], 2))</f>
        <v>4</v>
      </c>
      <c r="Y117" s="333">
        <f>IF(COUNTIF(tblSeverityAnalysis[[#This Row],[CCCM]:[WASH]], 3)=0, "", COUNTIF(tblSeverityAnalysis[[#This Row],[CCCM]:[WASH]], 3))</f>
        <v>4</v>
      </c>
      <c r="Z117" s="333" t="str">
        <f>IF(COUNTIF(tblSeverityAnalysis[[#This Row],[CCCM]:[WASH]], 4)=0, "", COUNTIF(tblSeverityAnalysis[[#This Row],[CCCM]:[WASH]], 4))</f>
        <v/>
      </c>
      <c r="AA117" s="334" t="str">
        <f>IF(COUNTIF(tblSeverityAnalysis[[#This Row],[CCCM]:[WASH]], 5)=0, "", COUNTIF(tblSeverityAnalysis[[#This Row],[CCCM]:[WASH]], 5))</f>
        <v/>
      </c>
      <c r="AB117" s="60" cm="1">
        <f t="array" ref="AB11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7"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7" s="33">
        <f>IFERROR(IF(INDEX(tblSeverityReference[Malnutrition Severity],MATCH(tblSeverityAnalysis[[#This Row],[ID]], tblSeverityReference[ID], 0))= "", "",INDEX(tblSeverityReference[Malnutrition Severity],MATCH(tblSeverityAnalysis[[#This Row],[ID]], tblSeverityReference[ID], 0)) ), "")</f>
        <v>2</v>
      </c>
      <c r="AE117" s="347">
        <f>IFERROR(IF(INDEX(tblSeverityReference[Epidemic Severity],MATCH(tblSeverityAnalysis[[#This Row],[ID]], tblSeverityReference[ID], 0))= "", "",INDEX(tblSeverityReference[Epidemic Severity],MATCH(tblSeverityAnalysis[[#This Row],[ID]], tblSeverityReference[ID], 0)) ), "")</f>
        <v>1</v>
      </c>
      <c r="AF117" s="310" t="str">
        <f>IFERROR(IF(INDEX(tblSeverityReference[Coping Strategy Severity],MATCH(tblSeverityAnalysis[[#This Row],[ID]], tblSeverityReference[ID], 0))= "", "",INDEX(tblSeverityReference[Coping Strategy Severity],MATCH(tblSeverityAnalysis[[#This Row],[ID]], tblSeverityReference[ID], 0)) ), "")</f>
        <v/>
      </c>
      <c r="AG117" s="348">
        <f>IFERROR(IF(INDEX(tblSeverityReference[HR/IHL Violation],MATCH(tblSeverityAnalysis[[#This Row],[ID]], tblSeverityReference[ID], 0))= "", "",INDEX(tblSeverityReference[HR/IHL Violation],MATCH(tblSeverityAnalysis[[#This Row],[ID]], tblSeverityReference[ID], 0)) ), "")</f>
        <v>3</v>
      </c>
      <c r="AH117" s="82">
        <f>IFERROR(AVERAGE(tblSeverityAnalysis[[#This Row],[CCCM]:[WASH]]), "")</f>
        <v>2.5</v>
      </c>
      <c r="AI117" s="27">
        <f>IF(SUM(tblSeverityAnalysis[[#This Row],[CCCM]:[WASH]])=0, "", MAX(tblSeverityAnalysis[[#This Row],[CCCM]:[WASH]]))</f>
        <v>3</v>
      </c>
      <c r="AJ117" s="335" t="str" cm="1">
        <f t="array" ref="AJ117">IFERROR(IF(tblSeverityAnalysis[[#This Row],[Highest Severity]]="", "", _xlfn.TEXTJOIN(CHAR(10), TRUE, IF(tblSeverityAnalysis[[#This Row],[CCCM]:[WASH]]=tblSeverityAnalysis[[#This Row],[Highest Severity]], tblSeverityAnalysis[[#Headers],[CCCM]:[WASH]], ""), "")), "")</f>
        <v>CCCM
Education
Food Security
Shelter</v>
      </c>
      <c r="AK117" s="27" cm="1">
        <f t="array" ref="AK117">IFERROR(MAX(_xlfn._xlws.FILTER(tblSeverityAnalysis[[#This Row],[CCCM]:[WASH]], tblSeverityAnalysis[[#This Row],[CCCM]:[WASH]]&lt;tblSeverityAnalysis[[#This Row],[Highest Severity]])), "")</f>
        <v>2</v>
      </c>
      <c r="AL117" s="324" t="str" cm="1">
        <f t="array" ref="AL117">IFERROR(IF(tblSeverityAnalysis[[#This Row],[2nd Highest Severity]]="", "", _xlfn.TEXTJOIN(CHAR(10), TRUE, IF(tblSeverityAnalysis[[#This Row],[CCCM]:[WASH]]=tblSeverityAnalysis[[#This Row],[2nd Highest Severity]], tblSeverityAnalysis[[#Headers],[CCCM]:[WASH]], ""), "")), "")</f>
        <v>Nutrition
Health
Protection
WASH</v>
      </c>
      <c r="AM117" s="132" t="str">
        <f>IFERROR(IF(AND(tblSeverityAnalysis[[#This Row],[5]] &lt;&gt; "", tblSeverityAnalysis[[#This Row],[5]]&gt;=sectors_sev_5), "Flagged", ""), "")</f>
        <v/>
      </c>
      <c r="AN117" s="133" t="str">
        <f>IFERROR(IF(AND(tblSeverityAnalysis[[#This Row],[Preliminary Intersectoral Severity based on overlap of sectoral deprivations]]=4, SUM(tblSeverityAnalysis[[#This Row],[ 4 ]:[5]])&gt;=sectors_sev_4), "Flagged", ""), "")</f>
        <v/>
      </c>
      <c r="AO117" s="133" t="str" cm="1">
        <f t="array" ref="AO11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7" s="337"/>
      <c r="AR117" s="338"/>
      <c r="AS117" s="337"/>
      <c r="AT117" s="353">
        <f>COUNTIF(tblSeverityAnalysis[[#This Row],[1 sector in severity phase 5 '[modify the threshold']]:[Manual Flag]], "Flagged")</f>
        <v>2</v>
      </c>
      <c r="AU117" s="339">
        <f>tblSeverityAnalysis[[#This Row],[Preliminary Intersectoral Severity based on overlap of sectoral deprivations]]</f>
        <v>3</v>
      </c>
      <c r="AV117" s="340"/>
    </row>
    <row r="118" spans="1:48" ht="49.15" hidden="1">
      <c r="A11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Global_PopulationHT0823</v>
      </c>
      <c r="B118" s="39" t="s">
        <v>383</v>
      </c>
      <c r="C118" s="331" t="s">
        <v>384</v>
      </c>
      <c r="D118" s="331" t="s">
        <v>399</v>
      </c>
      <c r="E118" s="34" t="s">
        <v>400</v>
      </c>
      <c r="F118" s="34"/>
      <c r="G118" s="34"/>
      <c r="H118" s="358"/>
      <c r="I118" s="354">
        <v>24756</v>
      </c>
      <c r="J118" s="96" t="s">
        <v>156</v>
      </c>
      <c r="K118" s="372">
        <v>1</v>
      </c>
      <c r="L118" s="308">
        <v>3</v>
      </c>
      <c r="M118" s="308">
        <v>2</v>
      </c>
      <c r="N118" s="308">
        <v>3</v>
      </c>
      <c r="O118" s="308">
        <v>2</v>
      </c>
      <c r="P118" s="308">
        <v>2</v>
      </c>
      <c r="Q118" s="309">
        <v>2</v>
      </c>
      <c r="R118" s="341">
        <v>3</v>
      </c>
      <c r="S118" s="310"/>
      <c r="T118" s="308"/>
      <c r="U118" s="308"/>
      <c r="V118" s="308"/>
      <c r="W118" s="332">
        <f>IF(COUNTIF(tblSeverityAnalysis[[#This Row],[CCCM]:[WASH]], 1)=0, "", COUNTIF(tblSeverityAnalysis[[#This Row],[CCCM]:[WASH]], 1))</f>
        <v>1</v>
      </c>
      <c r="X118" s="333">
        <f>IF(COUNTIF(tblSeverityAnalysis[[#This Row],[CCCM]:[WASH]], 2)=0, "", COUNTIF(tblSeverityAnalysis[[#This Row],[CCCM]:[WASH]], 2))</f>
        <v>4</v>
      </c>
      <c r="Y118" s="333">
        <f>IF(COUNTIF(tblSeverityAnalysis[[#This Row],[CCCM]:[WASH]], 3)=0, "", COUNTIF(tblSeverityAnalysis[[#This Row],[CCCM]:[WASH]], 3))</f>
        <v>3</v>
      </c>
      <c r="Z118" s="333" t="str">
        <f>IF(COUNTIF(tblSeverityAnalysis[[#This Row],[CCCM]:[WASH]], 4)=0, "", COUNTIF(tblSeverityAnalysis[[#This Row],[CCCM]:[WASH]], 4))</f>
        <v/>
      </c>
      <c r="AA118" s="334" t="str">
        <f>IF(COUNTIF(tblSeverityAnalysis[[#This Row],[CCCM]:[WASH]], 5)=0, "", COUNTIF(tblSeverityAnalysis[[#This Row],[CCCM]:[WASH]], 5))</f>
        <v/>
      </c>
      <c r="AB118" s="60" cm="1">
        <f t="array" ref="AB11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1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8" s="33">
        <f>IFERROR(IF(INDEX(tblSeverityReference[Malnutrition Severity],MATCH(tblSeverityAnalysis[[#This Row],[ID]], tblSeverityReference[ID], 0))= "", "",INDEX(tblSeverityReference[Malnutrition Severity],MATCH(tblSeverityAnalysis[[#This Row],[ID]], tblSeverityReference[ID], 0)) ), "")</f>
        <v>2</v>
      </c>
      <c r="AE118" s="347">
        <f>IFERROR(IF(INDEX(tblSeverityReference[Epidemic Severity],MATCH(tblSeverityAnalysis[[#This Row],[ID]], tblSeverityReference[ID], 0))= "", "",INDEX(tblSeverityReference[Epidemic Severity],MATCH(tblSeverityAnalysis[[#This Row],[ID]], tblSeverityReference[ID], 0)) ), "")</f>
        <v>1</v>
      </c>
      <c r="AF118" s="310" t="str">
        <f>IFERROR(IF(INDEX(tblSeverityReference[Coping Strategy Severity],MATCH(tblSeverityAnalysis[[#This Row],[ID]], tblSeverityReference[ID], 0))= "", "",INDEX(tblSeverityReference[Coping Strategy Severity],MATCH(tblSeverityAnalysis[[#This Row],[ID]], tblSeverityReference[ID], 0)) ), "")</f>
        <v/>
      </c>
      <c r="AG118" s="108">
        <f>IFERROR(IF(INDEX(tblSeverityReference[HR/IHL Violation],MATCH(tblSeverityAnalysis[[#This Row],[ID]], tblSeverityReference[ID], 0))= "", "",INDEX(tblSeverityReference[HR/IHL Violation],MATCH(tblSeverityAnalysis[[#This Row],[ID]], tblSeverityReference[ID], 0)) ), "")</f>
        <v>2</v>
      </c>
      <c r="AH118" s="82">
        <f>IFERROR(AVERAGE(tblSeverityAnalysis[[#This Row],[CCCM]:[WASH]]), "")</f>
        <v>2.25</v>
      </c>
      <c r="AI118" s="27">
        <f>IF(SUM(tblSeverityAnalysis[[#This Row],[CCCM]:[WASH]])=0, "", MAX(tblSeverityAnalysis[[#This Row],[CCCM]:[WASH]]))</f>
        <v>3</v>
      </c>
      <c r="AJ118" s="335" t="str" cm="1">
        <f t="array" ref="AJ118">IFERROR(IF(tblSeverityAnalysis[[#This Row],[Highest Severity]]="", "", _xlfn.TEXTJOIN(CHAR(10), TRUE, IF(tblSeverityAnalysis[[#This Row],[CCCM]:[WASH]]=tblSeverityAnalysis[[#This Row],[Highest Severity]], tblSeverityAnalysis[[#Headers],[CCCM]:[WASH]], ""), "")), "")</f>
        <v>Education
Food Security
WASH</v>
      </c>
      <c r="AK118" s="27" cm="1">
        <f t="array" ref="AK118">IFERROR(MAX(_xlfn._xlws.FILTER(tblSeverityAnalysis[[#This Row],[CCCM]:[WASH]], tblSeverityAnalysis[[#This Row],[CCCM]:[WASH]]&lt;tblSeverityAnalysis[[#This Row],[Highest Severity]])), "")</f>
        <v>2</v>
      </c>
      <c r="AL118" s="324" t="str" cm="1">
        <f t="array" ref="AL118">IFERROR(IF(tblSeverityAnalysis[[#This Row],[2nd Highest Severity]]="", "", _xlfn.TEXTJOIN(CHAR(10), TRUE, IF(tblSeverityAnalysis[[#This Row],[CCCM]:[WASH]]=tblSeverityAnalysis[[#This Row],[2nd Highest Severity]], tblSeverityAnalysis[[#Headers],[CCCM]:[WASH]], ""), "")), "")</f>
        <v>Nutrition
Health
Protection
Shelter</v>
      </c>
      <c r="AM118" s="132" t="str">
        <f>IFERROR(IF(AND(tblSeverityAnalysis[[#This Row],[5]] &lt;&gt; "", tblSeverityAnalysis[[#This Row],[5]]&gt;=sectors_sev_5), "Flagged", ""), "")</f>
        <v/>
      </c>
      <c r="AN118" s="133" t="str">
        <f>IFERROR(IF(AND(tblSeverityAnalysis[[#This Row],[Preliminary Intersectoral Severity based on overlap of sectoral deprivations]]=4, SUM(tblSeverityAnalysis[[#This Row],[ 4 ]:[5]])&gt;=sectors_sev_4), "Flagged", ""), "")</f>
        <v/>
      </c>
      <c r="AO118" s="133" t="str" cm="1">
        <f t="array" ref="AO11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1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18" s="337"/>
      <c r="AR118" s="338"/>
      <c r="AS118" s="337"/>
      <c r="AT118" s="353">
        <f>COUNTIF(tblSeverityAnalysis[[#This Row],[1 sector in severity phase 5 '[modify the threshold']]:[Manual Flag]], "Flagged")</f>
        <v>0</v>
      </c>
      <c r="AU118" s="339">
        <f>tblSeverityAnalysis[[#This Row],[Preliminary Intersectoral Severity based on overlap of sectoral deprivations]]</f>
        <v>2</v>
      </c>
      <c r="AV118" s="340"/>
    </row>
    <row r="119" spans="1:48" ht="49.15" hidden="1">
      <c r="A11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Global_PopulationHT0831</v>
      </c>
      <c r="B119" s="39" t="s">
        <v>383</v>
      </c>
      <c r="C119" s="331" t="s">
        <v>384</v>
      </c>
      <c r="D119" s="331" t="s">
        <v>401</v>
      </c>
      <c r="E119" s="34" t="s">
        <v>402</v>
      </c>
      <c r="F119" s="34"/>
      <c r="G119" s="34"/>
      <c r="H119" s="357"/>
      <c r="I119" s="354">
        <v>28292</v>
      </c>
      <c r="J119" s="96" t="s">
        <v>156</v>
      </c>
      <c r="K119" s="372">
        <v>3</v>
      </c>
      <c r="L119" s="308">
        <v>3</v>
      </c>
      <c r="M119" s="308">
        <v>2</v>
      </c>
      <c r="N119" s="308">
        <v>3</v>
      </c>
      <c r="O119" s="308">
        <v>3</v>
      </c>
      <c r="P119" s="308">
        <v>2</v>
      </c>
      <c r="Q119" s="309">
        <v>2</v>
      </c>
      <c r="R119" s="341">
        <v>2</v>
      </c>
      <c r="S119" s="310"/>
      <c r="T119" s="308"/>
      <c r="U119" s="308"/>
      <c r="V119" s="308"/>
      <c r="W119" s="332" t="str">
        <f>IF(COUNTIF(tblSeverityAnalysis[[#This Row],[CCCM]:[WASH]], 1)=0, "", COUNTIF(tblSeverityAnalysis[[#This Row],[CCCM]:[WASH]], 1))</f>
        <v/>
      </c>
      <c r="X119" s="333">
        <f>IF(COUNTIF(tblSeverityAnalysis[[#This Row],[CCCM]:[WASH]], 2)=0, "", COUNTIF(tblSeverityAnalysis[[#This Row],[CCCM]:[WASH]], 2))</f>
        <v>4</v>
      </c>
      <c r="Y119" s="333">
        <f>IF(COUNTIF(tblSeverityAnalysis[[#This Row],[CCCM]:[WASH]], 3)=0, "", COUNTIF(tblSeverityAnalysis[[#This Row],[CCCM]:[WASH]], 3))</f>
        <v>4</v>
      </c>
      <c r="Z119" s="333" t="str">
        <f>IF(COUNTIF(tblSeverityAnalysis[[#This Row],[CCCM]:[WASH]], 4)=0, "", COUNTIF(tblSeverityAnalysis[[#This Row],[CCCM]:[WASH]], 4))</f>
        <v/>
      </c>
      <c r="AA119" s="334" t="str">
        <f>IF(COUNTIF(tblSeverityAnalysis[[#This Row],[CCCM]:[WASH]], 5)=0, "", COUNTIF(tblSeverityAnalysis[[#This Row],[CCCM]:[WASH]], 5))</f>
        <v/>
      </c>
      <c r="AB119" s="60" cm="1">
        <f t="array" ref="AB11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1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19" s="33">
        <f>IFERROR(IF(INDEX(tblSeverityReference[Malnutrition Severity],MATCH(tblSeverityAnalysis[[#This Row],[ID]], tblSeverityReference[ID], 0))= "", "",INDEX(tblSeverityReference[Malnutrition Severity],MATCH(tblSeverityAnalysis[[#This Row],[ID]], tblSeverityReference[ID], 0)) ), "")</f>
        <v>2</v>
      </c>
      <c r="AE119" s="347">
        <f>IFERROR(IF(INDEX(tblSeverityReference[Epidemic Severity],MATCH(tblSeverityAnalysis[[#This Row],[ID]], tblSeverityReference[ID], 0))= "", "",INDEX(tblSeverityReference[Epidemic Severity],MATCH(tblSeverityAnalysis[[#This Row],[ID]], tblSeverityReference[ID], 0)) ), "")</f>
        <v>1</v>
      </c>
      <c r="AF119" s="310" t="str">
        <f>IFERROR(IF(INDEX(tblSeverityReference[Coping Strategy Severity],MATCH(tblSeverityAnalysis[[#This Row],[ID]], tblSeverityReference[ID], 0))= "", "",INDEX(tblSeverityReference[Coping Strategy Severity],MATCH(tblSeverityAnalysis[[#This Row],[ID]], tblSeverityReference[ID], 0)) ), "")</f>
        <v/>
      </c>
      <c r="AG119" s="348">
        <f>IFERROR(IF(INDEX(tblSeverityReference[HR/IHL Violation],MATCH(tblSeverityAnalysis[[#This Row],[ID]], tblSeverityReference[ID], 0))= "", "",INDEX(tblSeverityReference[HR/IHL Violation],MATCH(tblSeverityAnalysis[[#This Row],[ID]], tblSeverityReference[ID], 0)) ), "")</f>
        <v>3</v>
      </c>
      <c r="AH119" s="82">
        <f>IFERROR(AVERAGE(tblSeverityAnalysis[[#This Row],[CCCM]:[WASH]]), "")</f>
        <v>2.5</v>
      </c>
      <c r="AI119" s="27">
        <f>IF(SUM(tblSeverityAnalysis[[#This Row],[CCCM]:[WASH]])=0, "", MAX(tblSeverityAnalysis[[#This Row],[CCCM]:[WASH]]))</f>
        <v>3</v>
      </c>
      <c r="AJ119" s="335" t="str" cm="1">
        <f t="array" ref="AJ119">IFERROR(IF(tblSeverityAnalysis[[#This Row],[Highest Severity]]="", "", _xlfn.TEXTJOIN(CHAR(10), TRUE, IF(tblSeverityAnalysis[[#This Row],[CCCM]:[WASH]]=tblSeverityAnalysis[[#This Row],[Highest Severity]], tblSeverityAnalysis[[#Headers],[CCCM]:[WASH]], ""), "")), "")</f>
        <v>CCCM
Education
Food Security
Health</v>
      </c>
      <c r="AK119" s="27" cm="1">
        <f t="array" ref="AK119">IFERROR(MAX(_xlfn._xlws.FILTER(tblSeverityAnalysis[[#This Row],[CCCM]:[WASH]], tblSeverityAnalysis[[#This Row],[CCCM]:[WASH]]&lt;tblSeverityAnalysis[[#This Row],[Highest Severity]])), "")</f>
        <v>2</v>
      </c>
      <c r="AL119" s="324" t="str" cm="1">
        <f t="array" ref="AL119">IFERROR(IF(tblSeverityAnalysis[[#This Row],[2nd Highest Severity]]="", "", _xlfn.TEXTJOIN(CHAR(10), TRUE, IF(tblSeverityAnalysis[[#This Row],[CCCM]:[WASH]]=tblSeverityAnalysis[[#This Row],[2nd Highest Severity]], tblSeverityAnalysis[[#Headers],[CCCM]:[WASH]], ""), "")), "")</f>
        <v>Nutrition
Protection
Shelter
WASH</v>
      </c>
      <c r="AM119" s="132" t="str">
        <f>IFERROR(IF(AND(tblSeverityAnalysis[[#This Row],[5]] &lt;&gt; "", tblSeverityAnalysis[[#This Row],[5]]&gt;=sectors_sev_5), "Flagged", ""), "")</f>
        <v/>
      </c>
      <c r="AN119" s="133" t="str">
        <f>IFERROR(IF(AND(tblSeverityAnalysis[[#This Row],[Preliminary Intersectoral Severity based on overlap of sectoral deprivations]]=4, SUM(tblSeverityAnalysis[[#This Row],[ 4 ]:[5]])&gt;=sectors_sev_4), "Flagged", ""), "")</f>
        <v/>
      </c>
      <c r="AO119" s="133" t="str" cm="1">
        <f t="array" ref="AO11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1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19" s="337"/>
      <c r="AR119" s="338"/>
      <c r="AS119" s="337"/>
      <c r="AT119" s="353">
        <f>COUNTIF(tblSeverityAnalysis[[#This Row],[1 sector in severity phase 5 '[modify the threshold']]:[Manual Flag]], "Flagged")</f>
        <v>2</v>
      </c>
      <c r="AU119" s="339">
        <f>tblSeverityAnalysis[[#This Row],[Preliminary Intersectoral Severity based on overlap of sectoral deprivations]]</f>
        <v>3</v>
      </c>
      <c r="AV119" s="340"/>
    </row>
    <row r="120" spans="1:48" ht="49.15" hidden="1">
      <c r="A12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Global_PopulationHT0832</v>
      </c>
      <c r="B120" s="39" t="s">
        <v>383</v>
      </c>
      <c r="C120" s="331" t="s">
        <v>384</v>
      </c>
      <c r="D120" s="331" t="s">
        <v>403</v>
      </c>
      <c r="E120" s="34" t="s">
        <v>404</v>
      </c>
      <c r="F120" s="34"/>
      <c r="G120" s="34"/>
      <c r="H120" s="358"/>
      <c r="I120" s="354">
        <v>41589</v>
      </c>
      <c r="J120" s="96" t="s">
        <v>156</v>
      </c>
      <c r="K120" s="372">
        <v>3</v>
      </c>
      <c r="L120" s="308">
        <v>3</v>
      </c>
      <c r="M120" s="308">
        <v>2</v>
      </c>
      <c r="N120" s="308">
        <v>3</v>
      </c>
      <c r="O120" s="308">
        <v>2</v>
      </c>
      <c r="P120" s="308">
        <v>2</v>
      </c>
      <c r="Q120" s="309">
        <v>3</v>
      </c>
      <c r="R120" s="341">
        <v>2</v>
      </c>
      <c r="S120" s="310"/>
      <c r="T120" s="308"/>
      <c r="U120" s="308"/>
      <c r="V120" s="308"/>
      <c r="W120" s="332" t="str">
        <f>IF(COUNTIF(tblSeverityAnalysis[[#This Row],[CCCM]:[WASH]], 1)=0, "", COUNTIF(tblSeverityAnalysis[[#This Row],[CCCM]:[WASH]], 1))</f>
        <v/>
      </c>
      <c r="X120" s="333">
        <f>IF(COUNTIF(tblSeverityAnalysis[[#This Row],[CCCM]:[WASH]], 2)=0, "", COUNTIF(tblSeverityAnalysis[[#This Row],[CCCM]:[WASH]], 2))</f>
        <v>4</v>
      </c>
      <c r="Y120" s="333">
        <f>IF(COUNTIF(tblSeverityAnalysis[[#This Row],[CCCM]:[WASH]], 3)=0, "", COUNTIF(tblSeverityAnalysis[[#This Row],[CCCM]:[WASH]], 3))</f>
        <v>4</v>
      </c>
      <c r="Z120" s="333" t="str">
        <f>IF(COUNTIF(tblSeverityAnalysis[[#This Row],[CCCM]:[WASH]], 4)=0, "", COUNTIF(tblSeverityAnalysis[[#This Row],[CCCM]:[WASH]], 4))</f>
        <v/>
      </c>
      <c r="AA120" s="334" t="str">
        <f>IF(COUNTIF(tblSeverityAnalysis[[#This Row],[CCCM]:[WASH]], 5)=0, "", COUNTIF(tblSeverityAnalysis[[#This Row],[CCCM]:[WASH]], 5))</f>
        <v/>
      </c>
      <c r="AB120" s="60" cm="1">
        <f t="array" ref="AB12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0" s="33">
        <f>IFERROR(IF(INDEX(tblSeverityReference[Malnutrition Severity],MATCH(tblSeverityAnalysis[[#This Row],[ID]], tblSeverityReference[ID], 0))= "", "",INDEX(tblSeverityReference[Malnutrition Severity],MATCH(tblSeverityAnalysis[[#This Row],[ID]], tblSeverityReference[ID], 0)) ), "")</f>
        <v>2</v>
      </c>
      <c r="AE120" s="347">
        <f>IFERROR(IF(INDEX(tblSeverityReference[Epidemic Severity],MATCH(tblSeverityAnalysis[[#This Row],[ID]], tblSeverityReference[ID], 0))= "", "",INDEX(tblSeverityReference[Epidemic Severity],MATCH(tblSeverityAnalysis[[#This Row],[ID]], tblSeverityReference[ID], 0)) ), "")</f>
        <v>1</v>
      </c>
      <c r="AF120" s="310" t="str">
        <f>IFERROR(IF(INDEX(tblSeverityReference[Coping Strategy Severity],MATCH(tblSeverityAnalysis[[#This Row],[ID]], tblSeverityReference[ID], 0))= "", "",INDEX(tblSeverityReference[Coping Strategy Severity],MATCH(tblSeverityAnalysis[[#This Row],[ID]], tblSeverityReference[ID], 0)) ), "")</f>
        <v/>
      </c>
      <c r="AG120" s="108">
        <f>IFERROR(IF(INDEX(tblSeverityReference[HR/IHL Violation],MATCH(tblSeverityAnalysis[[#This Row],[ID]], tblSeverityReference[ID], 0))= "", "",INDEX(tblSeverityReference[HR/IHL Violation],MATCH(tblSeverityAnalysis[[#This Row],[ID]], tblSeverityReference[ID], 0)) ), "")</f>
        <v>3</v>
      </c>
      <c r="AH120" s="82">
        <f>IFERROR(AVERAGE(tblSeverityAnalysis[[#This Row],[CCCM]:[WASH]]), "")</f>
        <v>2.5</v>
      </c>
      <c r="AI120" s="27">
        <f>IF(SUM(tblSeverityAnalysis[[#This Row],[CCCM]:[WASH]])=0, "", MAX(tblSeverityAnalysis[[#This Row],[CCCM]:[WASH]]))</f>
        <v>3</v>
      </c>
      <c r="AJ120" s="335" t="str" cm="1">
        <f t="array" ref="AJ120">IFERROR(IF(tblSeverityAnalysis[[#This Row],[Highest Severity]]="", "", _xlfn.TEXTJOIN(CHAR(10), TRUE, IF(tblSeverityAnalysis[[#This Row],[CCCM]:[WASH]]=tblSeverityAnalysis[[#This Row],[Highest Severity]], tblSeverityAnalysis[[#Headers],[CCCM]:[WASH]], ""), "")), "")</f>
        <v>CCCM
Education
Food Security
Shelter</v>
      </c>
      <c r="AK120" s="27" cm="1">
        <f t="array" ref="AK120">IFERROR(MAX(_xlfn._xlws.FILTER(tblSeverityAnalysis[[#This Row],[CCCM]:[WASH]], tblSeverityAnalysis[[#This Row],[CCCM]:[WASH]]&lt;tblSeverityAnalysis[[#This Row],[Highest Severity]])), "")</f>
        <v>2</v>
      </c>
      <c r="AL120" s="324" t="str" cm="1">
        <f t="array" ref="AL120">IFERROR(IF(tblSeverityAnalysis[[#This Row],[2nd Highest Severity]]="", "", _xlfn.TEXTJOIN(CHAR(10), TRUE, IF(tblSeverityAnalysis[[#This Row],[CCCM]:[WASH]]=tblSeverityAnalysis[[#This Row],[2nd Highest Severity]], tblSeverityAnalysis[[#Headers],[CCCM]:[WASH]], ""), "")), "")</f>
        <v>Nutrition
Health
Protection
WASH</v>
      </c>
      <c r="AM120" s="132" t="str">
        <f>IFERROR(IF(AND(tblSeverityAnalysis[[#This Row],[5]] &lt;&gt; "", tblSeverityAnalysis[[#This Row],[5]]&gt;=sectors_sev_5), "Flagged", ""), "")</f>
        <v/>
      </c>
      <c r="AN120" s="133" t="str">
        <f>IFERROR(IF(AND(tblSeverityAnalysis[[#This Row],[Preliminary Intersectoral Severity based on overlap of sectoral deprivations]]=4, SUM(tblSeverityAnalysis[[#This Row],[ 4 ]:[5]])&gt;=sectors_sev_4), "Flagged", ""), "")</f>
        <v/>
      </c>
      <c r="AO120" s="133" t="str" cm="1">
        <f t="array" ref="AO12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0" s="337"/>
      <c r="AR120" s="338"/>
      <c r="AS120" s="337"/>
      <c r="AT120" s="353">
        <f>COUNTIF(tblSeverityAnalysis[[#This Row],[1 sector in severity phase 5 '[modify the threshold']]:[Manual Flag]], "Flagged")</f>
        <v>2</v>
      </c>
      <c r="AU120" s="339">
        <f>tblSeverityAnalysis[[#This Row],[Preliminary Intersectoral Severity based on overlap of sectoral deprivations]]</f>
        <v>3</v>
      </c>
      <c r="AV120" s="340"/>
    </row>
    <row r="121" spans="1:48" ht="73.900000000000006" hidden="1">
      <c r="A12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Global_PopulationHT0833</v>
      </c>
      <c r="B121" s="39" t="s">
        <v>383</v>
      </c>
      <c r="C121" s="331" t="s">
        <v>384</v>
      </c>
      <c r="D121" s="331" t="s">
        <v>405</v>
      </c>
      <c r="E121" s="34" t="s">
        <v>406</v>
      </c>
      <c r="F121" s="34"/>
      <c r="G121" s="34"/>
      <c r="H121" s="357"/>
      <c r="I121" s="354">
        <v>35380</v>
      </c>
      <c r="J121" s="96" t="s">
        <v>156</v>
      </c>
      <c r="K121" s="372">
        <v>3</v>
      </c>
      <c r="L121" s="308">
        <v>3</v>
      </c>
      <c r="M121" s="308">
        <v>2</v>
      </c>
      <c r="N121" s="308">
        <v>3</v>
      </c>
      <c r="O121" s="308">
        <v>3</v>
      </c>
      <c r="P121" s="308">
        <v>2</v>
      </c>
      <c r="Q121" s="309">
        <v>3</v>
      </c>
      <c r="R121" s="341">
        <v>3</v>
      </c>
      <c r="S121" s="310"/>
      <c r="T121" s="308"/>
      <c r="U121" s="308"/>
      <c r="V121" s="308"/>
      <c r="W121" s="332" t="str">
        <f>IF(COUNTIF(tblSeverityAnalysis[[#This Row],[CCCM]:[WASH]], 1)=0, "", COUNTIF(tblSeverityAnalysis[[#This Row],[CCCM]:[WASH]], 1))</f>
        <v/>
      </c>
      <c r="X121" s="333">
        <f>IF(COUNTIF(tblSeverityAnalysis[[#This Row],[CCCM]:[WASH]], 2)=0, "", COUNTIF(tblSeverityAnalysis[[#This Row],[CCCM]:[WASH]], 2))</f>
        <v>2</v>
      </c>
      <c r="Y121" s="333">
        <f>IF(COUNTIF(tblSeverityAnalysis[[#This Row],[CCCM]:[WASH]], 3)=0, "", COUNTIF(tblSeverityAnalysis[[#This Row],[CCCM]:[WASH]], 3))</f>
        <v>6</v>
      </c>
      <c r="Z121" s="333" t="str">
        <f>IF(COUNTIF(tblSeverityAnalysis[[#This Row],[CCCM]:[WASH]], 4)=0, "", COUNTIF(tblSeverityAnalysis[[#This Row],[CCCM]:[WASH]], 4))</f>
        <v/>
      </c>
      <c r="AA121" s="334" t="str">
        <f>IF(COUNTIF(tblSeverityAnalysis[[#This Row],[CCCM]:[WASH]], 5)=0, "", COUNTIF(tblSeverityAnalysis[[#This Row],[CCCM]:[WASH]], 5))</f>
        <v/>
      </c>
      <c r="AB121" s="60" cm="1">
        <f t="array" ref="AB12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1" s="33">
        <f>IFERROR(IF(INDEX(tblSeverityReference[Malnutrition Severity],MATCH(tblSeverityAnalysis[[#This Row],[ID]], tblSeverityReference[ID], 0))= "", "",INDEX(tblSeverityReference[Malnutrition Severity],MATCH(tblSeverityAnalysis[[#This Row],[ID]], tblSeverityReference[ID], 0)) ), "")</f>
        <v>2</v>
      </c>
      <c r="AE121" s="347">
        <f>IFERROR(IF(INDEX(tblSeverityReference[Epidemic Severity],MATCH(tblSeverityAnalysis[[#This Row],[ID]], tblSeverityReference[ID], 0))= "", "",INDEX(tblSeverityReference[Epidemic Severity],MATCH(tblSeverityAnalysis[[#This Row],[ID]], tblSeverityReference[ID], 0)) ), "")</f>
        <v>1</v>
      </c>
      <c r="AF121" s="310" t="str">
        <f>IFERROR(IF(INDEX(tblSeverityReference[Coping Strategy Severity],MATCH(tblSeverityAnalysis[[#This Row],[ID]], tblSeverityReference[ID], 0))= "", "",INDEX(tblSeverityReference[Coping Strategy Severity],MATCH(tblSeverityAnalysis[[#This Row],[ID]], tblSeverityReference[ID], 0)) ), "")</f>
        <v/>
      </c>
      <c r="AG121" s="348">
        <f>IFERROR(IF(INDEX(tblSeverityReference[HR/IHL Violation],MATCH(tblSeverityAnalysis[[#This Row],[ID]], tblSeverityReference[ID], 0))= "", "",INDEX(tblSeverityReference[HR/IHL Violation],MATCH(tblSeverityAnalysis[[#This Row],[ID]], tblSeverityReference[ID], 0)) ), "")</f>
        <v>3</v>
      </c>
      <c r="AH121" s="82">
        <f>IFERROR(AVERAGE(tblSeverityAnalysis[[#This Row],[CCCM]:[WASH]]), "")</f>
        <v>2.75</v>
      </c>
      <c r="AI121" s="27">
        <f>IF(SUM(tblSeverityAnalysis[[#This Row],[CCCM]:[WASH]])=0, "", MAX(tblSeverityAnalysis[[#This Row],[CCCM]:[WASH]]))</f>
        <v>3</v>
      </c>
      <c r="AJ121" s="335" t="str" cm="1">
        <f t="array" ref="AJ121">IFERROR(IF(tblSeverityAnalysis[[#This Row],[Highest Severity]]="", "", _xlfn.TEXTJOIN(CHAR(10), TRUE, IF(tblSeverityAnalysis[[#This Row],[CCCM]:[WASH]]=tblSeverityAnalysis[[#This Row],[Highest Severity]], tblSeverityAnalysis[[#Headers],[CCCM]:[WASH]], ""), "")), "")</f>
        <v>CCCM
Education
Food Security
Health
Shelter
WASH</v>
      </c>
      <c r="AK121" s="27" cm="1">
        <f t="array" ref="AK121">IFERROR(MAX(_xlfn._xlws.FILTER(tblSeverityAnalysis[[#This Row],[CCCM]:[WASH]], tblSeverityAnalysis[[#This Row],[CCCM]:[WASH]]&lt;tblSeverityAnalysis[[#This Row],[Highest Severity]])), "")</f>
        <v>2</v>
      </c>
      <c r="AL121" s="324" t="str" cm="1">
        <f t="array" ref="AL121">IFERROR(IF(tblSeverityAnalysis[[#This Row],[2nd Highest Severity]]="", "", _xlfn.TEXTJOIN(CHAR(10), TRUE, IF(tblSeverityAnalysis[[#This Row],[CCCM]:[WASH]]=tblSeverityAnalysis[[#This Row],[2nd Highest Severity]], tblSeverityAnalysis[[#Headers],[CCCM]:[WASH]], ""), "")), "")</f>
        <v>Nutrition
Protection</v>
      </c>
      <c r="AM121" s="132" t="str">
        <f>IFERROR(IF(AND(tblSeverityAnalysis[[#This Row],[5]] &lt;&gt; "", tblSeverityAnalysis[[#This Row],[5]]&gt;=sectors_sev_5), "Flagged", ""), "")</f>
        <v/>
      </c>
      <c r="AN121" s="133" t="str">
        <f>IFERROR(IF(AND(tblSeverityAnalysis[[#This Row],[Preliminary Intersectoral Severity based on overlap of sectoral deprivations]]=4, SUM(tblSeverityAnalysis[[#This Row],[ 4 ]:[5]])&gt;=sectors_sev_4), "Flagged", ""), "")</f>
        <v/>
      </c>
      <c r="AO121" s="133" t="str" cm="1">
        <f t="array" ref="AO12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1" s="337"/>
      <c r="AR121" s="338"/>
      <c r="AS121" s="337"/>
      <c r="AT121" s="353">
        <f>COUNTIF(tblSeverityAnalysis[[#This Row],[1 sector in severity phase 5 '[modify the threshold']]:[Manual Flag]], "Flagged")</f>
        <v>2</v>
      </c>
      <c r="AU121" s="339">
        <f>tblSeverityAnalysis[[#This Row],[Preliminary Intersectoral Severity based on overlap of sectoral deprivations]]</f>
        <v>3</v>
      </c>
      <c r="AV121" s="340"/>
    </row>
    <row r="122" spans="1:48" ht="49.15" hidden="1">
      <c r="A12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Global_PopulationHT0834</v>
      </c>
      <c r="B122" s="39" t="s">
        <v>383</v>
      </c>
      <c r="C122" s="331" t="s">
        <v>384</v>
      </c>
      <c r="D122" s="331" t="s">
        <v>407</v>
      </c>
      <c r="E122" s="34" t="s">
        <v>408</v>
      </c>
      <c r="F122" s="34"/>
      <c r="G122" s="34"/>
      <c r="H122" s="358"/>
      <c r="I122" s="354">
        <v>48575</v>
      </c>
      <c r="J122" s="96" t="s">
        <v>156</v>
      </c>
      <c r="K122" s="372">
        <v>3</v>
      </c>
      <c r="L122" s="308">
        <v>3</v>
      </c>
      <c r="M122" s="308">
        <v>2</v>
      </c>
      <c r="N122" s="308">
        <v>3</v>
      </c>
      <c r="O122" s="308">
        <v>2</v>
      </c>
      <c r="P122" s="308">
        <v>2</v>
      </c>
      <c r="Q122" s="309">
        <v>3</v>
      </c>
      <c r="R122" s="341">
        <v>2</v>
      </c>
      <c r="S122" s="310"/>
      <c r="T122" s="308"/>
      <c r="U122" s="308"/>
      <c r="V122" s="308"/>
      <c r="W122" s="332" t="str">
        <f>IF(COUNTIF(tblSeverityAnalysis[[#This Row],[CCCM]:[WASH]], 1)=0, "", COUNTIF(tblSeverityAnalysis[[#This Row],[CCCM]:[WASH]], 1))</f>
        <v/>
      </c>
      <c r="X122" s="333">
        <f>IF(COUNTIF(tblSeverityAnalysis[[#This Row],[CCCM]:[WASH]], 2)=0, "", COUNTIF(tblSeverityAnalysis[[#This Row],[CCCM]:[WASH]], 2))</f>
        <v>4</v>
      </c>
      <c r="Y122" s="333">
        <f>IF(COUNTIF(tblSeverityAnalysis[[#This Row],[CCCM]:[WASH]], 3)=0, "", COUNTIF(tblSeverityAnalysis[[#This Row],[CCCM]:[WASH]], 3))</f>
        <v>4</v>
      </c>
      <c r="Z122" s="333" t="str">
        <f>IF(COUNTIF(tblSeverityAnalysis[[#This Row],[CCCM]:[WASH]], 4)=0, "", COUNTIF(tblSeverityAnalysis[[#This Row],[CCCM]:[WASH]], 4))</f>
        <v/>
      </c>
      <c r="AA122" s="334" t="str">
        <f>IF(COUNTIF(tblSeverityAnalysis[[#This Row],[CCCM]:[WASH]], 5)=0, "", COUNTIF(tblSeverityAnalysis[[#This Row],[CCCM]:[WASH]], 5))</f>
        <v/>
      </c>
      <c r="AB122" s="60" cm="1">
        <f t="array" ref="AB12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2"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22" s="33">
        <f>IFERROR(IF(INDEX(tblSeverityReference[Malnutrition Severity],MATCH(tblSeverityAnalysis[[#This Row],[ID]], tblSeverityReference[ID], 0))= "", "",INDEX(tblSeverityReference[Malnutrition Severity],MATCH(tblSeverityAnalysis[[#This Row],[ID]], tblSeverityReference[ID], 0)) ), "")</f>
        <v>2</v>
      </c>
      <c r="AE122" s="347">
        <f>IFERROR(IF(INDEX(tblSeverityReference[Epidemic Severity],MATCH(tblSeverityAnalysis[[#This Row],[ID]], tblSeverityReference[ID], 0))= "", "",INDEX(tblSeverityReference[Epidemic Severity],MATCH(tblSeverityAnalysis[[#This Row],[ID]], tblSeverityReference[ID], 0)) ), "")</f>
        <v>3</v>
      </c>
      <c r="AF122" s="310" t="str">
        <f>IFERROR(IF(INDEX(tblSeverityReference[Coping Strategy Severity],MATCH(tblSeverityAnalysis[[#This Row],[ID]], tblSeverityReference[ID], 0))= "", "",INDEX(tblSeverityReference[Coping Strategy Severity],MATCH(tblSeverityAnalysis[[#This Row],[ID]], tblSeverityReference[ID], 0)) ), "")</f>
        <v/>
      </c>
      <c r="AG122" s="108">
        <f>IFERROR(IF(INDEX(tblSeverityReference[HR/IHL Violation],MATCH(tblSeverityAnalysis[[#This Row],[ID]], tblSeverityReference[ID], 0))= "", "",INDEX(tblSeverityReference[HR/IHL Violation],MATCH(tblSeverityAnalysis[[#This Row],[ID]], tblSeverityReference[ID], 0)) ), "")</f>
        <v>3</v>
      </c>
      <c r="AH122" s="82">
        <f>IFERROR(AVERAGE(tblSeverityAnalysis[[#This Row],[CCCM]:[WASH]]), "")</f>
        <v>2.5</v>
      </c>
      <c r="AI122" s="27">
        <f>IF(SUM(tblSeverityAnalysis[[#This Row],[CCCM]:[WASH]])=0, "", MAX(tblSeverityAnalysis[[#This Row],[CCCM]:[WASH]]))</f>
        <v>3</v>
      </c>
      <c r="AJ122" s="335" t="str" cm="1">
        <f t="array" ref="AJ122">IFERROR(IF(tblSeverityAnalysis[[#This Row],[Highest Severity]]="", "", _xlfn.TEXTJOIN(CHAR(10), TRUE, IF(tblSeverityAnalysis[[#This Row],[CCCM]:[WASH]]=tblSeverityAnalysis[[#This Row],[Highest Severity]], tblSeverityAnalysis[[#Headers],[CCCM]:[WASH]], ""), "")), "")</f>
        <v>CCCM
Education
Food Security
Shelter</v>
      </c>
      <c r="AK122" s="27" cm="1">
        <f t="array" ref="AK122">IFERROR(MAX(_xlfn._xlws.FILTER(tblSeverityAnalysis[[#This Row],[CCCM]:[WASH]], tblSeverityAnalysis[[#This Row],[CCCM]:[WASH]]&lt;tblSeverityAnalysis[[#This Row],[Highest Severity]])), "")</f>
        <v>2</v>
      </c>
      <c r="AL122" s="324" t="str" cm="1">
        <f t="array" ref="AL122">IFERROR(IF(tblSeverityAnalysis[[#This Row],[2nd Highest Severity]]="", "", _xlfn.TEXTJOIN(CHAR(10), TRUE, IF(tblSeverityAnalysis[[#This Row],[CCCM]:[WASH]]=tblSeverityAnalysis[[#This Row],[2nd Highest Severity]], tblSeverityAnalysis[[#Headers],[CCCM]:[WASH]], ""), "")), "")</f>
        <v>Nutrition
Health
Protection
WASH</v>
      </c>
      <c r="AM122" s="132" t="str">
        <f>IFERROR(IF(AND(tblSeverityAnalysis[[#This Row],[5]] &lt;&gt; "", tblSeverityAnalysis[[#This Row],[5]]&gt;=sectors_sev_5), "Flagged", ""), "")</f>
        <v/>
      </c>
      <c r="AN122" s="133" t="str">
        <f>IFERROR(IF(AND(tblSeverityAnalysis[[#This Row],[Preliminary Intersectoral Severity based on overlap of sectoral deprivations]]=4, SUM(tblSeverityAnalysis[[#This Row],[ 4 ]:[5]])&gt;=sectors_sev_4), "Flagged", ""), "")</f>
        <v/>
      </c>
      <c r="AO122" s="133" t="str" cm="1">
        <f t="array" ref="AO12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2" s="337"/>
      <c r="AR122" s="338"/>
      <c r="AS122" s="337"/>
      <c r="AT122" s="353">
        <f>COUNTIF(tblSeverityAnalysis[[#This Row],[1 sector in severity phase 5 '[modify the threshold']]:[Manual Flag]], "Flagged")</f>
        <v>1</v>
      </c>
      <c r="AU122" s="339">
        <f>tblSeverityAnalysis[[#This Row],[Preliminary Intersectoral Severity based on overlap of sectoral deprivations]]</f>
        <v>3</v>
      </c>
      <c r="AV122" s="340"/>
    </row>
    <row r="123" spans="1:48" ht="36.950000000000003" hidden="1">
      <c r="A12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Global_PopulationHT0911</v>
      </c>
      <c r="B123" s="39" t="s">
        <v>409</v>
      </c>
      <c r="C123" s="331" t="s">
        <v>410</v>
      </c>
      <c r="D123" s="331" t="s">
        <v>411</v>
      </c>
      <c r="E123" s="34" t="s">
        <v>412</v>
      </c>
      <c r="F123" s="34"/>
      <c r="G123" s="34"/>
      <c r="H123" s="357"/>
      <c r="I123" s="354">
        <v>210942</v>
      </c>
      <c r="J123" s="96" t="s">
        <v>156</v>
      </c>
      <c r="K123" s="372">
        <v>2</v>
      </c>
      <c r="L123" s="308">
        <v>3</v>
      </c>
      <c r="M123" s="308">
        <v>3</v>
      </c>
      <c r="N123" s="308">
        <v>4</v>
      </c>
      <c r="O123" s="308">
        <v>3</v>
      </c>
      <c r="P123" s="308">
        <v>2</v>
      </c>
      <c r="Q123" s="309">
        <v>4</v>
      </c>
      <c r="R123" s="341">
        <v>2</v>
      </c>
      <c r="S123" s="310"/>
      <c r="T123" s="308"/>
      <c r="U123" s="308"/>
      <c r="V123" s="308"/>
      <c r="W123" s="332" t="str">
        <f>IF(COUNTIF(tblSeverityAnalysis[[#This Row],[CCCM]:[WASH]], 1)=0, "", COUNTIF(tblSeverityAnalysis[[#This Row],[CCCM]:[WASH]], 1))</f>
        <v/>
      </c>
      <c r="X123" s="333">
        <f>IF(COUNTIF(tblSeverityAnalysis[[#This Row],[CCCM]:[WASH]], 2)=0, "", COUNTIF(tblSeverityAnalysis[[#This Row],[CCCM]:[WASH]], 2))</f>
        <v>3</v>
      </c>
      <c r="Y123" s="333">
        <f>IF(COUNTIF(tblSeverityAnalysis[[#This Row],[CCCM]:[WASH]], 3)=0, "", COUNTIF(tblSeverityAnalysis[[#This Row],[CCCM]:[WASH]], 3))</f>
        <v>3</v>
      </c>
      <c r="Z123" s="333">
        <f>IF(COUNTIF(tblSeverityAnalysis[[#This Row],[CCCM]:[WASH]], 4)=0, "", COUNTIF(tblSeverityAnalysis[[#This Row],[CCCM]:[WASH]], 4))</f>
        <v>2</v>
      </c>
      <c r="AA123" s="334" t="str">
        <f>IF(COUNTIF(tblSeverityAnalysis[[#This Row],[CCCM]:[WASH]], 5)=0, "", COUNTIF(tblSeverityAnalysis[[#This Row],[CCCM]:[WASH]], 5))</f>
        <v/>
      </c>
      <c r="AB123" s="60" cm="1">
        <f t="array" ref="AB12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3"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3" s="33">
        <f>IFERROR(IF(INDEX(tblSeverityReference[Malnutrition Severity],MATCH(tblSeverityAnalysis[[#This Row],[ID]], tblSeverityReference[ID], 0))= "", "",INDEX(tblSeverityReference[Malnutrition Severity],MATCH(tblSeverityAnalysis[[#This Row],[ID]], tblSeverityReference[ID], 0)) ), "")</f>
        <v>2</v>
      </c>
      <c r="AE123" s="347">
        <f>IFERROR(IF(INDEX(tblSeverityReference[Epidemic Severity],MATCH(tblSeverityAnalysis[[#This Row],[ID]], tblSeverityReference[ID], 0))= "", "",INDEX(tblSeverityReference[Epidemic Severity],MATCH(tblSeverityAnalysis[[#This Row],[ID]], tblSeverityReference[ID], 0)) ), "")</f>
        <v>1</v>
      </c>
      <c r="AF123" s="310" t="str">
        <f>IFERROR(IF(INDEX(tblSeverityReference[Coping Strategy Severity],MATCH(tblSeverityAnalysis[[#This Row],[ID]], tblSeverityReference[ID], 0))= "", "",INDEX(tblSeverityReference[Coping Strategy Severity],MATCH(tblSeverityAnalysis[[#This Row],[ID]], tblSeverityReference[ID], 0)) ), "")</f>
        <v/>
      </c>
      <c r="AG123" s="348">
        <f>IFERROR(IF(INDEX(tblSeverityReference[HR/IHL Violation],MATCH(tblSeverityAnalysis[[#This Row],[ID]], tblSeverityReference[ID], 0))= "", "",INDEX(tblSeverityReference[HR/IHL Violation],MATCH(tblSeverityAnalysis[[#This Row],[ID]], tblSeverityReference[ID], 0)) ), "")</f>
        <v>3</v>
      </c>
      <c r="AH123" s="82">
        <f>IFERROR(AVERAGE(tblSeverityAnalysis[[#This Row],[CCCM]:[WASH]]), "")</f>
        <v>2.875</v>
      </c>
      <c r="AI123" s="27">
        <f>IF(SUM(tblSeverityAnalysis[[#This Row],[CCCM]:[WASH]])=0, "", MAX(tblSeverityAnalysis[[#This Row],[CCCM]:[WASH]]))</f>
        <v>4</v>
      </c>
      <c r="AJ123" s="335" t="str" cm="1">
        <f t="array" ref="AJ123">IFERROR(IF(tblSeverityAnalysis[[#This Row],[Highest Severity]]="", "", _xlfn.TEXTJOIN(CHAR(10), TRUE, IF(tblSeverityAnalysis[[#This Row],[CCCM]:[WASH]]=tblSeverityAnalysis[[#This Row],[Highest Severity]], tblSeverityAnalysis[[#Headers],[CCCM]:[WASH]], ""), "")), "")</f>
        <v>Food Security
Shelter</v>
      </c>
      <c r="AK123" s="27" cm="1">
        <f t="array" ref="AK123">IFERROR(MAX(_xlfn._xlws.FILTER(tblSeverityAnalysis[[#This Row],[CCCM]:[WASH]], tblSeverityAnalysis[[#This Row],[CCCM]:[WASH]]&lt;tblSeverityAnalysis[[#This Row],[Highest Severity]])), "")</f>
        <v>3</v>
      </c>
      <c r="AL123" s="324" t="str" cm="1">
        <f t="array" ref="AL123">IFERROR(IF(tblSeverityAnalysis[[#This Row],[2nd Highest Severity]]="", "", _xlfn.TEXTJOIN(CHAR(10), TRUE, IF(tblSeverityAnalysis[[#This Row],[CCCM]:[WASH]]=tblSeverityAnalysis[[#This Row],[2nd Highest Severity]], tblSeverityAnalysis[[#Headers],[CCCM]:[WASH]], ""), "")), "")</f>
        <v>Education
Nutrition
Health</v>
      </c>
      <c r="AM123" s="132" t="str">
        <f>IFERROR(IF(AND(tblSeverityAnalysis[[#This Row],[5]] &lt;&gt; "", tblSeverityAnalysis[[#This Row],[5]]&gt;=sectors_sev_5), "Flagged", ""), "")</f>
        <v/>
      </c>
      <c r="AN123" s="133" t="str">
        <f>IFERROR(IF(AND(tblSeverityAnalysis[[#This Row],[Preliminary Intersectoral Severity based on overlap of sectoral deprivations]]=4, SUM(tblSeverityAnalysis[[#This Row],[ 4 ]:[5]])&gt;=sectors_sev_4), "Flagged", ""), "")</f>
        <v/>
      </c>
      <c r="AO123" s="133" t="str" cm="1">
        <f t="array" ref="AO12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3" s="337"/>
      <c r="AR123" s="338"/>
      <c r="AS123" s="337"/>
      <c r="AT123" s="353">
        <f>COUNTIF(tblSeverityAnalysis[[#This Row],[1 sector in severity phase 5 '[modify the threshold']]:[Manual Flag]], "Flagged")</f>
        <v>2</v>
      </c>
      <c r="AU123" s="339">
        <f>tblSeverityAnalysis[[#This Row],[Preliminary Intersectoral Severity based on overlap of sectoral deprivations]]</f>
        <v>3</v>
      </c>
      <c r="AV123" s="340"/>
    </row>
    <row r="124" spans="1:48" ht="36.950000000000003" hidden="1">
      <c r="A12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Global_PopulationHT0912</v>
      </c>
      <c r="B124" s="39" t="s">
        <v>409</v>
      </c>
      <c r="C124" s="331" t="s">
        <v>410</v>
      </c>
      <c r="D124" s="331" t="s">
        <v>413</v>
      </c>
      <c r="E124" s="34" t="s">
        <v>414</v>
      </c>
      <c r="F124" s="34"/>
      <c r="G124" s="34"/>
      <c r="H124" s="358"/>
      <c r="I124" s="354">
        <v>40156</v>
      </c>
      <c r="J124" s="96" t="s">
        <v>156</v>
      </c>
      <c r="K124" s="372">
        <v>1</v>
      </c>
      <c r="L124" s="308">
        <v>3</v>
      </c>
      <c r="M124" s="308">
        <v>3</v>
      </c>
      <c r="N124" s="308">
        <v>4</v>
      </c>
      <c r="O124" s="308">
        <v>2</v>
      </c>
      <c r="P124" s="308">
        <v>2</v>
      </c>
      <c r="Q124" s="309">
        <v>3</v>
      </c>
      <c r="R124" s="341">
        <v>2</v>
      </c>
      <c r="S124" s="310"/>
      <c r="T124" s="308"/>
      <c r="U124" s="308"/>
      <c r="V124" s="308"/>
      <c r="W124" s="332">
        <f>IF(COUNTIF(tblSeverityAnalysis[[#This Row],[CCCM]:[WASH]], 1)=0, "", COUNTIF(tblSeverityAnalysis[[#This Row],[CCCM]:[WASH]], 1))</f>
        <v>1</v>
      </c>
      <c r="X124" s="333">
        <f>IF(COUNTIF(tblSeverityAnalysis[[#This Row],[CCCM]:[WASH]], 2)=0, "", COUNTIF(tblSeverityAnalysis[[#This Row],[CCCM]:[WASH]], 2))</f>
        <v>3</v>
      </c>
      <c r="Y124" s="333">
        <f>IF(COUNTIF(tblSeverityAnalysis[[#This Row],[CCCM]:[WASH]], 3)=0, "", COUNTIF(tblSeverityAnalysis[[#This Row],[CCCM]:[WASH]], 3))</f>
        <v>3</v>
      </c>
      <c r="Z124" s="333">
        <f>IF(COUNTIF(tblSeverityAnalysis[[#This Row],[CCCM]:[WASH]], 4)=0, "", COUNTIF(tblSeverityAnalysis[[#This Row],[CCCM]:[WASH]], 4))</f>
        <v>1</v>
      </c>
      <c r="AA124" s="334" t="str">
        <f>IF(COUNTIF(tblSeverityAnalysis[[#This Row],[CCCM]:[WASH]], 5)=0, "", COUNTIF(tblSeverityAnalysis[[#This Row],[CCCM]:[WASH]], 5))</f>
        <v/>
      </c>
      <c r="AB124" s="60" cm="1">
        <f t="array" ref="AB12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4"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4" s="33">
        <f>IFERROR(IF(INDEX(tblSeverityReference[Malnutrition Severity],MATCH(tblSeverityAnalysis[[#This Row],[ID]], tblSeverityReference[ID], 0))= "", "",INDEX(tblSeverityReference[Malnutrition Severity],MATCH(tblSeverityAnalysis[[#This Row],[ID]], tblSeverityReference[ID], 0)) ), "")</f>
        <v>2</v>
      </c>
      <c r="AE124" s="347">
        <f>IFERROR(IF(INDEX(tblSeverityReference[Epidemic Severity],MATCH(tblSeverityAnalysis[[#This Row],[ID]], tblSeverityReference[ID], 0))= "", "",INDEX(tblSeverityReference[Epidemic Severity],MATCH(tblSeverityAnalysis[[#This Row],[ID]], tblSeverityReference[ID], 0)) ), "")</f>
        <v>1</v>
      </c>
      <c r="AF124" s="310" t="str">
        <f>IFERROR(IF(INDEX(tblSeverityReference[Coping Strategy Severity],MATCH(tblSeverityAnalysis[[#This Row],[ID]], tblSeverityReference[ID], 0))= "", "",INDEX(tblSeverityReference[Coping Strategy Severity],MATCH(tblSeverityAnalysis[[#This Row],[ID]], tblSeverityReference[ID], 0)) ), "")</f>
        <v/>
      </c>
      <c r="AG124" s="108">
        <f>IFERROR(IF(INDEX(tblSeverityReference[HR/IHL Violation],MATCH(tblSeverityAnalysis[[#This Row],[ID]], tblSeverityReference[ID], 0))= "", "",INDEX(tblSeverityReference[HR/IHL Violation],MATCH(tblSeverityAnalysis[[#This Row],[ID]], tblSeverityReference[ID], 0)) ), "")</f>
        <v>3</v>
      </c>
      <c r="AH124" s="82">
        <f>IFERROR(AVERAGE(tblSeverityAnalysis[[#This Row],[CCCM]:[WASH]]), "")</f>
        <v>2.5</v>
      </c>
      <c r="AI124" s="27">
        <f>IF(SUM(tblSeverityAnalysis[[#This Row],[CCCM]:[WASH]])=0, "", MAX(tblSeverityAnalysis[[#This Row],[CCCM]:[WASH]]))</f>
        <v>4</v>
      </c>
      <c r="AJ124" s="335" t="str" cm="1">
        <f t="array" ref="AJ124">IFERROR(IF(tblSeverityAnalysis[[#This Row],[Highest Severity]]="", "", _xlfn.TEXTJOIN(CHAR(10), TRUE, IF(tblSeverityAnalysis[[#This Row],[CCCM]:[WASH]]=tblSeverityAnalysis[[#This Row],[Highest Severity]], tblSeverityAnalysis[[#Headers],[CCCM]:[WASH]], ""), "")), "")</f>
        <v>Food Security</v>
      </c>
      <c r="AK124" s="27" cm="1">
        <f t="array" ref="AK124">IFERROR(MAX(_xlfn._xlws.FILTER(tblSeverityAnalysis[[#This Row],[CCCM]:[WASH]], tblSeverityAnalysis[[#This Row],[CCCM]:[WASH]]&lt;tblSeverityAnalysis[[#This Row],[Highest Severity]])), "")</f>
        <v>3</v>
      </c>
      <c r="AL124" s="324" t="str" cm="1">
        <f t="array" ref="AL124">IFERROR(IF(tblSeverityAnalysis[[#This Row],[2nd Highest Severity]]="", "", _xlfn.TEXTJOIN(CHAR(10), TRUE, IF(tblSeverityAnalysis[[#This Row],[CCCM]:[WASH]]=tblSeverityAnalysis[[#This Row],[2nd Highest Severity]], tblSeverityAnalysis[[#Headers],[CCCM]:[WASH]], ""), "")), "")</f>
        <v>Education
Nutrition
Shelter</v>
      </c>
      <c r="AM124" s="132" t="str">
        <f>IFERROR(IF(AND(tblSeverityAnalysis[[#This Row],[5]] &lt;&gt; "", tblSeverityAnalysis[[#This Row],[5]]&gt;=sectors_sev_5), "Flagged", ""), "")</f>
        <v/>
      </c>
      <c r="AN124" s="133" t="str">
        <f>IFERROR(IF(AND(tblSeverityAnalysis[[#This Row],[Preliminary Intersectoral Severity based on overlap of sectoral deprivations]]=4, SUM(tblSeverityAnalysis[[#This Row],[ 4 ]:[5]])&gt;=sectors_sev_4), "Flagged", ""), "")</f>
        <v/>
      </c>
      <c r="AO124" s="133" t="str" cm="1">
        <f t="array" ref="AO12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4" s="337"/>
      <c r="AR124" s="338"/>
      <c r="AS124" s="337"/>
      <c r="AT124" s="353">
        <f>COUNTIF(tblSeverityAnalysis[[#This Row],[1 sector in severity phase 5 '[modify the threshold']]:[Manual Flag]], "Flagged")</f>
        <v>2</v>
      </c>
      <c r="AU124" s="339">
        <f>tblSeverityAnalysis[[#This Row],[Preliminary Intersectoral Severity based on overlap of sectoral deprivations]]</f>
        <v>3</v>
      </c>
      <c r="AV124" s="340"/>
    </row>
    <row r="125" spans="1:48" ht="61.5" hidden="1">
      <c r="A12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Global_PopulationHT0913</v>
      </c>
      <c r="B125" s="39" t="s">
        <v>409</v>
      </c>
      <c r="C125" s="331" t="s">
        <v>410</v>
      </c>
      <c r="D125" s="331" t="s">
        <v>415</v>
      </c>
      <c r="E125" s="34" t="s">
        <v>416</v>
      </c>
      <c r="F125" s="34"/>
      <c r="G125" s="34"/>
      <c r="H125" s="357"/>
      <c r="I125" s="354">
        <v>65669</v>
      </c>
      <c r="J125" s="96" t="s">
        <v>156</v>
      </c>
      <c r="K125" s="372">
        <v>1</v>
      </c>
      <c r="L125" s="308">
        <v>3</v>
      </c>
      <c r="M125" s="308">
        <v>3</v>
      </c>
      <c r="N125" s="308">
        <v>4</v>
      </c>
      <c r="O125" s="308">
        <v>3</v>
      </c>
      <c r="P125" s="308">
        <v>2</v>
      </c>
      <c r="Q125" s="309">
        <v>3</v>
      </c>
      <c r="R125" s="341">
        <v>3</v>
      </c>
      <c r="S125" s="310"/>
      <c r="T125" s="308"/>
      <c r="U125" s="308"/>
      <c r="V125" s="308"/>
      <c r="W125" s="332">
        <f>IF(COUNTIF(tblSeverityAnalysis[[#This Row],[CCCM]:[WASH]], 1)=0, "", COUNTIF(tblSeverityAnalysis[[#This Row],[CCCM]:[WASH]], 1))</f>
        <v>1</v>
      </c>
      <c r="X125" s="333">
        <f>IF(COUNTIF(tblSeverityAnalysis[[#This Row],[CCCM]:[WASH]], 2)=0, "", COUNTIF(tblSeverityAnalysis[[#This Row],[CCCM]:[WASH]], 2))</f>
        <v>1</v>
      </c>
      <c r="Y125" s="333">
        <f>IF(COUNTIF(tblSeverityAnalysis[[#This Row],[CCCM]:[WASH]], 3)=0, "", COUNTIF(tblSeverityAnalysis[[#This Row],[CCCM]:[WASH]], 3))</f>
        <v>5</v>
      </c>
      <c r="Z125" s="333">
        <f>IF(COUNTIF(tblSeverityAnalysis[[#This Row],[CCCM]:[WASH]], 4)=0, "", COUNTIF(tblSeverityAnalysis[[#This Row],[CCCM]:[WASH]], 4))</f>
        <v>1</v>
      </c>
      <c r="AA125" s="334" t="str">
        <f>IF(COUNTIF(tblSeverityAnalysis[[#This Row],[CCCM]:[WASH]], 5)=0, "", COUNTIF(tblSeverityAnalysis[[#This Row],[CCCM]:[WASH]], 5))</f>
        <v/>
      </c>
      <c r="AB125" s="60" cm="1">
        <f t="array" ref="AB12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5"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5" s="33">
        <f>IFERROR(IF(INDEX(tblSeverityReference[Malnutrition Severity],MATCH(tblSeverityAnalysis[[#This Row],[ID]], tblSeverityReference[ID], 0))= "", "",INDEX(tblSeverityReference[Malnutrition Severity],MATCH(tblSeverityAnalysis[[#This Row],[ID]], tblSeverityReference[ID], 0)) ), "")</f>
        <v>2</v>
      </c>
      <c r="AE125" s="347">
        <f>IFERROR(IF(INDEX(tblSeverityReference[Epidemic Severity],MATCH(tblSeverityAnalysis[[#This Row],[ID]], tblSeverityReference[ID], 0))= "", "",INDEX(tblSeverityReference[Epidemic Severity],MATCH(tblSeverityAnalysis[[#This Row],[ID]], tblSeverityReference[ID], 0)) ), "")</f>
        <v>3</v>
      </c>
      <c r="AF125" s="310" t="str">
        <f>IFERROR(IF(INDEX(tblSeverityReference[Coping Strategy Severity],MATCH(tblSeverityAnalysis[[#This Row],[ID]], tblSeverityReference[ID], 0))= "", "",INDEX(tblSeverityReference[Coping Strategy Severity],MATCH(tblSeverityAnalysis[[#This Row],[ID]], tblSeverityReference[ID], 0)) ), "")</f>
        <v/>
      </c>
      <c r="AG125" s="348">
        <f>IFERROR(IF(INDEX(tblSeverityReference[HR/IHL Violation],MATCH(tblSeverityAnalysis[[#This Row],[ID]], tblSeverityReference[ID], 0))= "", "",INDEX(tblSeverityReference[HR/IHL Violation],MATCH(tblSeverityAnalysis[[#This Row],[ID]], tblSeverityReference[ID], 0)) ), "")</f>
        <v>3</v>
      </c>
      <c r="AH125" s="82">
        <f>IFERROR(AVERAGE(tblSeverityAnalysis[[#This Row],[CCCM]:[WASH]]), "")</f>
        <v>2.75</v>
      </c>
      <c r="AI125" s="27">
        <f>IF(SUM(tblSeverityAnalysis[[#This Row],[CCCM]:[WASH]])=0, "", MAX(tblSeverityAnalysis[[#This Row],[CCCM]:[WASH]]))</f>
        <v>4</v>
      </c>
      <c r="AJ125" s="335" t="str" cm="1">
        <f t="array" ref="AJ125">IFERROR(IF(tblSeverityAnalysis[[#This Row],[Highest Severity]]="", "", _xlfn.TEXTJOIN(CHAR(10), TRUE, IF(tblSeverityAnalysis[[#This Row],[CCCM]:[WASH]]=tblSeverityAnalysis[[#This Row],[Highest Severity]], tblSeverityAnalysis[[#Headers],[CCCM]:[WASH]], ""), "")), "")</f>
        <v>Food Security</v>
      </c>
      <c r="AK125" s="27" cm="1">
        <f t="array" ref="AK125">IFERROR(MAX(_xlfn._xlws.FILTER(tblSeverityAnalysis[[#This Row],[CCCM]:[WASH]], tblSeverityAnalysis[[#This Row],[CCCM]:[WASH]]&lt;tblSeverityAnalysis[[#This Row],[Highest Severity]])), "")</f>
        <v>3</v>
      </c>
      <c r="AL125" s="324" t="str" cm="1">
        <f t="array" ref="AL125">IFERROR(IF(tblSeverityAnalysis[[#This Row],[2nd Highest Severity]]="", "", _xlfn.TEXTJOIN(CHAR(10), TRUE, IF(tblSeverityAnalysis[[#This Row],[CCCM]:[WASH]]=tblSeverityAnalysis[[#This Row],[2nd Highest Severity]], tblSeverityAnalysis[[#Headers],[CCCM]:[WASH]], ""), "")), "")</f>
        <v>Education
Nutrition
Health
Shelter
WASH</v>
      </c>
      <c r="AM125" s="132" t="str">
        <f>IFERROR(IF(AND(tblSeverityAnalysis[[#This Row],[5]] &lt;&gt; "", tblSeverityAnalysis[[#This Row],[5]]&gt;=sectors_sev_5), "Flagged", ""), "")</f>
        <v/>
      </c>
      <c r="AN125" s="133" t="str">
        <f>IFERROR(IF(AND(tblSeverityAnalysis[[#This Row],[Preliminary Intersectoral Severity based on overlap of sectoral deprivations]]=4, SUM(tblSeverityAnalysis[[#This Row],[ 4 ]:[5]])&gt;=sectors_sev_4), "Flagged", ""), "")</f>
        <v/>
      </c>
      <c r="AO125" s="133" t="str" cm="1">
        <f t="array" ref="AO12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5" s="337"/>
      <c r="AR125" s="338"/>
      <c r="AS125" s="337"/>
      <c r="AT125" s="353">
        <f>COUNTIF(tblSeverityAnalysis[[#This Row],[1 sector in severity phase 5 '[modify the threshold']]:[Manual Flag]], "Flagged")</f>
        <v>1</v>
      </c>
      <c r="AU125" s="339">
        <f>tblSeverityAnalysis[[#This Row],[Preliminary Intersectoral Severity based on overlap of sectoral deprivations]]</f>
        <v>3</v>
      </c>
      <c r="AV125" s="340"/>
    </row>
    <row r="126" spans="1:48" ht="36.950000000000003" hidden="1">
      <c r="A12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Global_PopulationHT0914</v>
      </c>
      <c r="B126" s="39" t="s">
        <v>409</v>
      </c>
      <c r="C126" s="331" t="s">
        <v>410</v>
      </c>
      <c r="D126" s="331" t="s">
        <v>417</v>
      </c>
      <c r="E126" s="34" t="s">
        <v>418</v>
      </c>
      <c r="F126" s="34"/>
      <c r="G126" s="34"/>
      <c r="H126" s="358"/>
      <c r="I126" s="354">
        <v>31537</v>
      </c>
      <c r="J126" s="96" t="s">
        <v>156</v>
      </c>
      <c r="K126" s="372">
        <v>1</v>
      </c>
      <c r="L126" s="308">
        <v>3</v>
      </c>
      <c r="M126" s="308">
        <v>3</v>
      </c>
      <c r="N126" s="308">
        <v>4</v>
      </c>
      <c r="O126" s="308">
        <v>2</v>
      </c>
      <c r="P126" s="308">
        <v>2</v>
      </c>
      <c r="Q126" s="309">
        <v>3</v>
      </c>
      <c r="R126" s="341">
        <v>2</v>
      </c>
      <c r="S126" s="310"/>
      <c r="T126" s="308"/>
      <c r="U126" s="308"/>
      <c r="V126" s="308"/>
      <c r="W126" s="332">
        <f>IF(COUNTIF(tblSeverityAnalysis[[#This Row],[CCCM]:[WASH]], 1)=0, "", COUNTIF(tblSeverityAnalysis[[#This Row],[CCCM]:[WASH]], 1))</f>
        <v>1</v>
      </c>
      <c r="X126" s="333">
        <f>IF(COUNTIF(tblSeverityAnalysis[[#This Row],[CCCM]:[WASH]], 2)=0, "", COUNTIF(tblSeverityAnalysis[[#This Row],[CCCM]:[WASH]], 2))</f>
        <v>3</v>
      </c>
      <c r="Y126" s="333">
        <f>IF(COUNTIF(tblSeverityAnalysis[[#This Row],[CCCM]:[WASH]], 3)=0, "", COUNTIF(tblSeverityAnalysis[[#This Row],[CCCM]:[WASH]], 3))</f>
        <v>3</v>
      </c>
      <c r="Z126" s="333">
        <f>IF(COUNTIF(tblSeverityAnalysis[[#This Row],[CCCM]:[WASH]], 4)=0, "", COUNTIF(tblSeverityAnalysis[[#This Row],[CCCM]:[WASH]], 4))</f>
        <v>1</v>
      </c>
      <c r="AA126" s="334" t="str">
        <f>IF(COUNTIF(tblSeverityAnalysis[[#This Row],[CCCM]:[WASH]], 5)=0, "", COUNTIF(tblSeverityAnalysis[[#This Row],[CCCM]:[WASH]], 5))</f>
        <v/>
      </c>
      <c r="AB126" s="60" cm="1">
        <f t="array" ref="AB12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6"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6" s="33">
        <f>IFERROR(IF(INDEX(tblSeverityReference[Malnutrition Severity],MATCH(tblSeverityAnalysis[[#This Row],[ID]], tblSeverityReference[ID], 0))= "", "",INDEX(tblSeverityReference[Malnutrition Severity],MATCH(tblSeverityAnalysis[[#This Row],[ID]], tblSeverityReference[ID], 0)) ), "")</f>
        <v>2</v>
      </c>
      <c r="AE126" s="347">
        <f>IFERROR(IF(INDEX(tblSeverityReference[Epidemic Severity],MATCH(tblSeverityAnalysis[[#This Row],[ID]], tblSeverityReference[ID], 0))= "", "",INDEX(tblSeverityReference[Epidemic Severity],MATCH(tblSeverityAnalysis[[#This Row],[ID]], tblSeverityReference[ID], 0)) ), "")</f>
        <v>1</v>
      </c>
      <c r="AF126" s="310" t="str">
        <f>IFERROR(IF(INDEX(tblSeverityReference[Coping Strategy Severity],MATCH(tblSeverityAnalysis[[#This Row],[ID]], tblSeverityReference[ID], 0))= "", "",INDEX(tblSeverityReference[Coping Strategy Severity],MATCH(tblSeverityAnalysis[[#This Row],[ID]], tblSeverityReference[ID], 0)) ), "")</f>
        <v/>
      </c>
      <c r="AG126" s="108">
        <f>IFERROR(IF(INDEX(tblSeverityReference[HR/IHL Violation],MATCH(tblSeverityAnalysis[[#This Row],[ID]], tblSeverityReference[ID], 0))= "", "",INDEX(tblSeverityReference[HR/IHL Violation],MATCH(tblSeverityAnalysis[[#This Row],[ID]], tblSeverityReference[ID], 0)) ), "")</f>
        <v>3</v>
      </c>
      <c r="AH126" s="82">
        <f>IFERROR(AVERAGE(tblSeverityAnalysis[[#This Row],[CCCM]:[WASH]]), "")</f>
        <v>2.5</v>
      </c>
      <c r="AI126" s="27">
        <f>IF(SUM(tblSeverityAnalysis[[#This Row],[CCCM]:[WASH]])=0, "", MAX(tblSeverityAnalysis[[#This Row],[CCCM]:[WASH]]))</f>
        <v>4</v>
      </c>
      <c r="AJ126" s="335" t="str" cm="1">
        <f t="array" ref="AJ126">IFERROR(IF(tblSeverityAnalysis[[#This Row],[Highest Severity]]="", "", _xlfn.TEXTJOIN(CHAR(10), TRUE, IF(tblSeverityAnalysis[[#This Row],[CCCM]:[WASH]]=tblSeverityAnalysis[[#This Row],[Highest Severity]], tblSeverityAnalysis[[#Headers],[CCCM]:[WASH]], ""), "")), "")</f>
        <v>Food Security</v>
      </c>
      <c r="AK126" s="27" cm="1">
        <f t="array" ref="AK126">IFERROR(MAX(_xlfn._xlws.FILTER(tblSeverityAnalysis[[#This Row],[CCCM]:[WASH]], tblSeverityAnalysis[[#This Row],[CCCM]:[WASH]]&lt;tblSeverityAnalysis[[#This Row],[Highest Severity]])), "")</f>
        <v>3</v>
      </c>
      <c r="AL126" s="324" t="str" cm="1">
        <f t="array" ref="AL126">IFERROR(IF(tblSeverityAnalysis[[#This Row],[2nd Highest Severity]]="", "", _xlfn.TEXTJOIN(CHAR(10), TRUE, IF(tblSeverityAnalysis[[#This Row],[CCCM]:[WASH]]=tblSeverityAnalysis[[#This Row],[2nd Highest Severity]], tblSeverityAnalysis[[#Headers],[CCCM]:[WASH]], ""), "")), "")</f>
        <v>Education
Nutrition
Shelter</v>
      </c>
      <c r="AM126" s="132" t="str">
        <f>IFERROR(IF(AND(tblSeverityAnalysis[[#This Row],[5]] &lt;&gt; "", tblSeverityAnalysis[[#This Row],[5]]&gt;=sectors_sev_5), "Flagged", ""), "")</f>
        <v/>
      </c>
      <c r="AN126" s="133" t="str">
        <f>IFERROR(IF(AND(tblSeverityAnalysis[[#This Row],[Preliminary Intersectoral Severity based on overlap of sectoral deprivations]]=4, SUM(tblSeverityAnalysis[[#This Row],[ 4 ]:[5]])&gt;=sectors_sev_4), "Flagged", ""), "")</f>
        <v/>
      </c>
      <c r="AO126" s="133" t="str" cm="1">
        <f t="array" ref="AO12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6" s="337"/>
      <c r="AR126" s="338"/>
      <c r="AS126" s="337"/>
      <c r="AT126" s="353">
        <f>COUNTIF(tblSeverityAnalysis[[#This Row],[1 sector in severity phase 5 '[modify the threshold']]:[Manual Flag]], "Flagged")</f>
        <v>2</v>
      </c>
      <c r="AU126" s="339">
        <f>tblSeverityAnalysis[[#This Row],[Preliminary Intersectoral Severity based on overlap of sectoral deprivations]]</f>
        <v>3</v>
      </c>
      <c r="AV126" s="340"/>
    </row>
    <row r="127" spans="1:48" ht="61.5" hidden="1">
      <c r="A12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Global_PopulationHT0921</v>
      </c>
      <c r="B127" s="39" t="s">
        <v>409</v>
      </c>
      <c r="C127" s="331" t="s">
        <v>410</v>
      </c>
      <c r="D127" s="331" t="s">
        <v>419</v>
      </c>
      <c r="E127" s="34" t="s">
        <v>420</v>
      </c>
      <c r="F127" s="34"/>
      <c r="G127" s="34"/>
      <c r="H127" s="357"/>
      <c r="I127" s="354">
        <v>120555</v>
      </c>
      <c r="J127" s="96" t="s">
        <v>156</v>
      </c>
      <c r="K127" s="372">
        <v>2</v>
      </c>
      <c r="L127" s="308">
        <v>3</v>
      </c>
      <c r="M127" s="308">
        <v>3</v>
      </c>
      <c r="N127" s="308">
        <v>4</v>
      </c>
      <c r="O127" s="308">
        <v>3</v>
      </c>
      <c r="P127" s="308">
        <v>2</v>
      </c>
      <c r="Q127" s="309">
        <v>3</v>
      </c>
      <c r="R127" s="341">
        <v>3</v>
      </c>
      <c r="S127" s="310"/>
      <c r="T127" s="308"/>
      <c r="U127" s="308"/>
      <c r="V127" s="308"/>
      <c r="W127" s="332" t="str">
        <f>IF(COUNTIF(tblSeverityAnalysis[[#This Row],[CCCM]:[WASH]], 1)=0, "", COUNTIF(tblSeverityAnalysis[[#This Row],[CCCM]:[WASH]], 1))</f>
        <v/>
      </c>
      <c r="X127" s="333">
        <f>IF(COUNTIF(tblSeverityAnalysis[[#This Row],[CCCM]:[WASH]], 2)=0, "", COUNTIF(tblSeverityAnalysis[[#This Row],[CCCM]:[WASH]], 2))</f>
        <v>2</v>
      </c>
      <c r="Y127" s="333">
        <f>IF(COUNTIF(tblSeverityAnalysis[[#This Row],[CCCM]:[WASH]], 3)=0, "", COUNTIF(tblSeverityAnalysis[[#This Row],[CCCM]:[WASH]], 3))</f>
        <v>5</v>
      </c>
      <c r="Z127" s="333">
        <f>IF(COUNTIF(tblSeverityAnalysis[[#This Row],[CCCM]:[WASH]], 4)=0, "", COUNTIF(tblSeverityAnalysis[[#This Row],[CCCM]:[WASH]], 4))</f>
        <v>1</v>
      </c>
      <c r="AA127" s="334" t="str">
        <f>IF(COUNTIF(tblSeverityAnalysis[[#This Row],[CCCM]:[WASH]], 5)=0, "", COUNTIF(tblSeverityAnalysis[[#This Row],[CCCM]:[WASH]], 5))</f>
        <v/>
      </c>
      <c r="AB127" s="60" cm="1">
        <f t="array" ref="AB12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7"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27" s="33">
        <f>IFERROR(IF(INDEX(tblSeverityReference[Malnutrition Severity],MATCH(tblSeverityAnalysis[[#This Row],[ID]], tblSeverityReference[ID], 0))= "", "",INDEX(tblSeverityReference[Malnutrition Severity],MATCH(tblSeverityAnalysis[[#This Row],[ID]], tblSeverityReference[ID], 0)) ), "")</f>
        <v>2</v>
      </c>
      <c r="AE127" s="347">
        <f>IFERROR(IF(INDEX(tblSeverityReference[Epidemic Severity],MATCH(tblSeverityAnalysis[[#This Row],[ID]], tblSeverityReference[ID], 0))= "", "",INDEX(tblSeverityReference[Epidemic Severity],MATCH(tblSeverityAnalysis[[#This Row],[ID]], tblSeverityReference[ID], 0)) ), "")</f>
        <v>3</v>
      </c>
      <c r="AF127" s="310" t="str">
        <f>IFERROR(IF(INDEX(tblSeverityReference[Coping Strategy Severity],MATCH(tblSeverityAnalysis[[#This Row],[ID]], tblSeverityReference[ID], 0))= "", "",INDEX(tblSeverityReference[Coping Strategy Severity],MATCH(tblSeverityAnalysis[[#This Row],[ID]], tblSeverityReference[ID], 0)) ), "")</f>
        <v/>
      </c>
      <c r="AG127" s="348">
        <f>IFERROR(IF(INDEX(tblSeverityReference[HR/IHL Violation],MATCH(tblSeverityAnalysis[[#This Row],[ID]], tblSeverityReference[ID], 0))= "", "",INDEX(tblSeverityReference[HR/IHL Violation],MATCH(tblSeverityAnalysis[[#This Row],[ID]], tblSeverityReference[ID], 0)) ), "")</f>
        <v>3</v>
      </c>
      <c r="AH127" s="82">
        <f>IFERROR(AVERAGE(tblSeverityAnalysis[[#This Row],[CCCM]:[WASH]]), "")</f>
        <v>2.875</v>
      </c>
      <c r="AI127" s="27">
        <f>IF(SUM(tblSeverityAnalysis[[#This Row],[CCCM]:[WASH]])=0, "", MAX(tblSeverityAnalysis[[#This Row],[CCCM]:[WASH]]))</f>
        <v>4</v>
      </c>
      <c r="AJ127" s="335" t="str" cm="1">
        <f t="array" ref="AJ127">IFERROR(IF(tblSeverityAnalysis[[#This Row],[Highest Severity]]="", "", _xlfn.TEXTJOIN(CHAR(10), TRUE, IF(tblSeverityAnalysis[[#This Row],[CCCM]:[WASH]]=tblSeverityAnalysis[[#This Row],[Highest Severity]], tblSeverityAnalysis[[#Headers],[CCCM]:[WASH]], ""), "")), "")</f>
        <v>Food Security</v>
      </c>
      <c r="AK127" s="27" cm="1">
        <f t="array" ref="AK127">IFERROR(MAX(_xlfn._xlws.FILTER(tblSeverityAnalysis[[#This Row],[CCCM]:[WASH]], tblSeverityAnalysis[[#This Row],[CCCM]:[WASH]]&lt;tblSeverityAnalysis[[#This Row],[Highest Severity]])), "")</f>
        <v>3</v>
      </c>
      <c r="AL127" s="324" t="str" cm="1">
        <f t="array" ref="AL127">IFERROR(IF(tblSeverityAnalysis[[#This Row],[2nd Highest Severity]]="", "", _xlfn.TEXTJOIN(CHAR(10), TRUE, IF(tblSeverityAnalysis[[#This Row],[CCCM]:[WASH]]=tblSeverityAnalysis[[#This Row],[2nd Highest Severity]], tblSeverityAnalysis[[#Headers],[CCCM]:[WASH]], ""), "")), "")</f>
        <v>Education
Nutrition
Health
Shelter
WASH</v>
      </c>
      <c r="AM127" s="132" t="str">
        <f>IFERROR(IF(AND(tblSeverityAnalysis[[#This Row],[5]] &lt;&gt; "", tblSeverityAnalysis[[#This Row],[5]]&gt;=sectors_sev_5), "Flagged", ""), "")</f>
        <v/>
      </c>
      <c r="AN127" s="133" t="str">
        <f>IFERROR(IF(AND(tblSeverityAnalysis[[#This Row],[Preliminary Intersectoral Severity based on overlap of sectoral deprivations]]=4, SUM(tblSeverityAnalysis[[#This Row],[ 4 ]:[5]])&gt;=sectors_sev_4), "Flagged", ""), "")</f>
        <v/>
      </c>
      <c r="AO127" s="133" t="str" cm="1">
        <f t="array" ref="AO12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27" s="337"/>
      <c r="AR127" s="338"/>
      <c r="AS127" s="337"/>
      <c r="AT127" s="353">
        <f>COUNTIF(tblSeverityAnalysis[[#This Row],[1 sector in severity phase 5 '[modify the threshold']]:[Manual Flag]], "Flagged")</f>
        <v>1</v>
      </c>
      <c r="AU127" s="339">
        <f>tblSeverityAnalysis[[#This Row],[Preliminary Intersectoral Severity based on overlap of sectoral deprivations]]</f>
        <v>3</v>
      </c>
      <c r="AV127" s="340"/>
    </row>
    <row r="128" spans="1:48" ht="49.15" hidden="1">
      <c r="A12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Global_PopulationHT0922</v>
      </c>
      <c r="B128" s="39" t="s">
        <v>409</v>
      </c>
      <c r="C128" s="331" t="s">
        <v>410</v>
      </c>
      <c r="D128" s="331" t="s">
        <v>421</v>
      </c>
      <c r="E128" s="34" t="s">
        <v>422</v>
      </c>
      <c r="F128" s="34"/>
      <c r="G128" s="34"/>
      <c r="H128" s="358"/>
      <c r="I128" s="354">
        <v>31659</v>
      </c>
      <c r="J128" s="96" t="s">
        <v>156</v>
      </c>
      <c r="K128" s="372">
        <v>1</v>
      </c>
      <c r="L128" s="308">
        <v>3</v>
      </c>
      <c r="M128" s="308">
        <v>3</v>
      </c>
      <c r="N128" s="308">
        <v>4</v>
      </c>
      <c r="O128" s="308">
        <v>3</v>
      </c>
      <c r="P128" s="308">
        <v>2</v>
      </c>
      <c r="Q128" s="309">
        <v>3</v>
      </c>
      <c r="R128" s="341">
        <v>2</v>
      </c>
      <c r="S128" s="310"/>
      <c r="T128" s="308"/>
      <c r="U128" s="308"/>
      <c r="V128" s="308"/>
      <c r="W128" s="332">
        <f>IF(COUNTIF(tblSeverityAnalysis[[#This Row],[CCCM]:[WASH]], 1)=0, "", COUNTIF(tblSeverityAnalysis[[#This Row],[CCCM]:[WASH]], 1))</f>
        <v>1</v>
      </c>
      <c r="X128" s="333">
        <f>IF(COUNTIF(tblSeverityAnalysis[[#This Row],[CCCM]:[WASH]], 2)=0, "", COUNTIF(tblSeverityAnalysis[[#This Row],[CCCM]:[WASH]], 2))</f>
        <v>2</v>
      </c>
      <c r="Y128" s="333">
        <f>IF(COUNTIF(tblSeverityAnalysis[[#This Row],[CCCM]:[WASH]], 3)=0, "", COUNTIF(tblSeverityAnalysis[[#This Row],[CCCM]:[WASH]], 3))</f>
        <v>4</v>
      </c>
      <c r="Z128" s="333">
        <f>IF(COUNTIF(tblSeverityAnalysis[[#This Row],[CCCM]:[WASH]], 4)=0, "", COUNTIF(tblSeverityAnalysis[[#This Row],[CCCM]:[WASH]], 4))</f>
        <v>1</v>
      </c>
      <c r="AA128" s="334" t="str">
        <f>IF(COUNTIF(tblSeverityAnalysis[[#This Row],[CCCM]:[WASH]], 5)=0, "", COUNTIF(tblSeverityAnalysis[[#This Row],[CCCM]:[WASH]], 5))</f>
        <v/>
      </c>
      <c r="AB128" s="60" cm="1">
        <f t="array" ref="AB12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8"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8" s="33">
        <f>IFERROR(IF(INDEX(tblSeverityReference[Malnutrition Severity],MATCH(tblSeverityAnalysis[[#This Row],[ID]], tblSeverityReference[ID], 0))= "", "",INDEX(tblSeverityReference[Malnutrition Severity],MATCH(tblSeverityAnalysis[[#This Row],[ID]], tblSeverityReference[ID], 0)) ), "")</f>
        <v>2</v>
      </c>
      <c r="AE128" s="347">
        <f>IFERROR(IF(INDEX(tblSeverityReference[Epidemic Severity],MATCH(tblSeverityAnalysis[[#This Row],[ID]], tblSeverityReference[ID], 0))= "", "",INDEX(tblSeverityReference[Epidemic Severity],MATCH(tblSeverityAnalysis[[#This Row],[ID]], tblSeverityReference[ID], 0)) ), "")</f>
        <v>1</v>
      </c>
      <c r="AF128" s="310" t="str">
        <f>IFERROR(IF(INDEX(tblSeverityReference[Coping Strategy Severity],MATCH(tblSeverityAnalysis[[#This Row],[ID]], tblSeverityReference[ID], 0))= "", "",INDEX(tblSeverityReference[Coping Strategy Severity],MATCH(tblSeverityAnalysis[[#This Row],[ID]], tblSeverityReference[ID], 0)) ), "")</f>
        <v/>
      </c>
      <c r="AG128" s="108">
        <f>IFERROR(IF(INDEX(tblSeverityReference[HR/IHL Violation],MATCH(tblSeverityAnalysis[[#This Row],[ID]], tblSeverityReference[ID], 0))= "", "",INDEX(tblSeverityReference[HR/IHL Violation],MATCH(tblSeverityAnalysis[[#This Row],[ID]], tblSeverityReference[ID], 0)) ), "")</f>
        <v>3</v>
      </c>
      <c r="AH128" s="82">
        <f>IFERROR(AVERAGE(tblSeverityAnalysis[[#This Row],[CCCM]:[WASH]]), "")</f>
        <v>2.625</v>
      </c>
      <c r="AI128" s="27">
        <f>IF(SUM(tblSeverityAnalysis[[#This Row],[CCCM]:[WASH]])=0, "", MAX(tblSeverityAnalysis[[#This Row],[CCCM]:[WASH]]))</f>
        <v>4</v>
      </c>
      <c r="AJ128" s="335" t="str" cm="1">
        <f t="array" ref="AJ128">IFERROR(IF(tblSeverityAnalysis[[#This Row],[Highest Severity]]="", "", _xlfn.TEXTJOIN(CHAR(10), TRUE, IF(tblSeverityAnalysis[[#This Row],[CCCM]:[WASH]]=tblSeverityAnalysis[[#This Row],[Highest Severity]], tblSeverityAnalysis[[#Headers],[CCCM]:[WASH]], ""), "")), "")</f>
        <v>Food Security</v>
      </c>
      <c r="AK128" s="27" cm="1">
        <f t="array" ref="AK128">IFERROR(MAX(_xlfn._xlws.FILTER(tblSeverityAnalysis[[#This Row],[CCCM]:[WASH]], tblSeverityAnalysis[[#This Row],[CCCM]:[WASH]]&lt;tblSeverityAnalysis[[#This Row],[Highest Severity]])), "")</f>
        <v>3</v>
      </c>
      <c r="AL128" s="324" t="str" cm="1">
        <f t="array" ref="AL128">IFERROR(IF(tblSeverityAnalysis[[#This Row],[2nd Highest Severity]]="", "", _xlfn.TEXTJOIN(CHAR(10), TRUE, IF(tblSeverityAnalysis[[#This Row],[CCCM]:[WASH]]=tblSeverityAnalysis[[#This Row],[2nd Highest Severity]], tblSeverityAnalysis[[#Headers],[CCCM]:[WASH]], ""), "")), "")</f>
        <v>Education
Nutrition
Health
Shelter</v>
      </c>
      <c r="AM128" s="132" t="str">
        <f>IFERROR(IF(AND(tblSeverityAnalysis[[#This Row],[5]] &lt;&gt; "", tblSeverityAnalysis[[#This Row],[5]]&gt;=sectors_sev_5), "Flagged", ""), "")</f>
        <v/>
      </c>
      <c r="AN128" s="133" t="str">
        <f>IFERROR(IF(AND(tblSeverityAnalysis[[#This Row],[Preliminary Intersectoral Severity based on overlap of sectoral deprivations]]=4, SUM(tblSeverityAnalysis[[#This Row],[ 4 ]:[5]])&gt;=sectors_sev_4), "Flagged", ""), "")</f>
        <v/>
      </c>
      <c r="AO128" s="133" t="str" cm="1">
        <f t="array" ref="AO12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2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8" s="337"/>
      <c r="AR128" s="338"/>
      <c r="AS128" s="337"/>
      <c r="AT128" s="353">
        <f>COUNTIF(tblSeverityAnalysis[[#This Row],[1 sector in severity phase 5 '[modify the threshold']]:[Manual Flag]], "Flagged")</f>
        <v>2</v>
      </c>
      <c r="AU128" s="339">
        <f>tblSeverityAnalysis[[#This Row],[Preliminary Intersectoral Severity based on overlap of sectoral deprivations]]</f>
        <v>3</v>
      </c>
      <c r="AV128" s="340"/>
    </row>
    <row r="129" spans="1:48" ht="49.15" hidden="1">
      <c r="A12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Global_PopulationHT0931</v>
      </c>
      <c r="B129" s="39" t="s">
        <v>409</v>
      </c>
      <c r="C129" s="331" t="s">
        <v>410</v>
      </c>
      <c r="D129" s="331" t="s">
        <v>423</v>
      </c>
      <c r="E129" s="34" t="s">
        <v>424</v>
      </c>
      <c r="F129" s="34"/>
      <c r="G129" s="34"/>
      <c r="H129" s="357"/>
      <c r="I129" s="354">
        <v>36005</v>
      </c>
      <c r="J129" s="96" t="s">
        <v>156</v>
      </c>
      <c r="K129" s="372">
        <v>1</v>
      </c>
      <c r="L129" s="308">
        <v>3</v>
      </c>
      <c r="M129" s="308">
        <v>3</v>
      </c>
      <c r="N129" s="308">
        <v>4</v>
      </c>
      <c r="O129" s="308">
        <v>3</v>
      </c>
      <c r="P129" s="308">
        <v>2</v>
      </c>
      <c r="Q129" s="309">
        <v>3</v>
      </c>
      <c r="R129" s="341">
        <v>2</v>
      </c>
      <c r="S129" s="310"/>
      <c r="T129" s="308"/>
      <c r="U129" s="308"/>
      <c r="V129" s="308"/>
      <c r="W129" s="332">
        <f>IF(COUNTIF(tblSeverityAnalysis[[#This Row],[CCCM]:[WASH]], 1)=0, "", COUNTIF(tblSeverityAnalysis[[#This Row],[CCCM]:[WASH]], 1))</f>
        <v>1</v>
      </c>
      <c r="X129" s="333">
        <f>IF(COUNTIF(tblSeverityAnalysis[[#This Row],[CCCM]:[WASH]], 2)=0, "", COUNTIF(tblSeverityAnalysis[[#This Row],[CCCM]:[WASH]], 2))</f>
        <v>2</v>
      </c>
      <c r="Y129" s="333">
        <f>IF(COUNTIF(tblSeverityAnalysis[[#This Row],[CCCM]:[WASH]], 3)=0, "", COUNTIF(tblSeverityAnalysis[[#This Row],[CCCM]:[WASH]], 3))</f>
        <v>4</v>
      </c>
      <c r="Z129" s="333">
        <f>IF(COUNTIF(tblSeverityAnalysis[[#This Row],[CCCM]:[WASH]], 4)=0, "", COUNTIF(tblSeverityAnalysis[[#This Row],[CCCM]:[WASH]], 4))</f>
        <v>1</v>
      </c>
      <c r="AA129" s="334" t="str">
        <f>IF(COUNTIF(tblSeverityAnalysis[[#This Row],[CCCM]:[WASH]], 5)=0, "", COUNTIF(tblSeverityAnalysis[[#This Row],[CCCM]:[WASH]], 5))</f>
        <v/>
      </c>
      <c r="AB129" s="60" cm="1">
        <f t="array" ref="AB12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29"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29" s="33">
        <f>IFERROR(IF(INDEX(tblSeverityReference[Malnutrition Severity],MATCH(tblSeverityAnalysis[[#This Row],[ID]], tblSeverityReference[ID], 0))= "", "",INDEX(tblSeverityReference[Malnutrition Severity],MATCH(tblSeverityAnalysis[[#This Row],[ID]], tblSeverityReference[ID], 0)) ), "")</f>
        <v>2</v>
      </c>
      <c r="AE129" s="347">
        <f>IFERROR(IF(INDEX(tblSeverityReference[Epidemic Severity],MATCH(tblSeverityAnalysis[[#This Row],[ID]], tblSeverityReference[ID], 0))= "", "",INDEX(tblSeverityReference[Epidemic Severity],MATCH(tblSeverityAnalysis[[#This Row],[ID]], tblSeverityReference[ID], 0)) ), "")</f>
        <v>3</v>
      </c>
      <c r="AF129" s="310" t="str">
        <f>IFERROR(IF(INDEX(tblSeverityReference[Coping Strategy Severity],MATCH(tblSeverityAnalysis[[#This Row],[ID]], tblSeverityReference[ID], 0))= "", "",INDEX(tblSeverityReference[Coping Strategy Severity],MATCH(tblSeverityAnalysis[[#This Row],[ID]], tblSeverityReference[ID], 0)) ), "")</f>
        <v/>
      </c>
      <c r="AG129" s="348">
        <f>IFERROR(IF(INDEX(tblSeverityReference[HR/IHL Violation],MATCH(tblSeverityAnalysis[[#This Row],[ID]], tblSeverityReference[ID], 0))= "", "",INDEX(tblSeverityReference[HR/IHL Violation],MATCH(tblSeverityAnalysis[[#This Row],[ID]], tblSeverityReference[ID], 0)) ), "")</f>
        <v>3</v>
      </c>
      <c r="AH129" s="82">
        <f>IFERROR(AVERAGE(tblSeverityAnalysis[[#This Row],[CCCM]:[WASH]]), "")</f>
        <v>2.625</v>
      </c>
      <c r="AI129" s="27">
        <f>IF(SUM(tblSeverityAnalysis[[#This Row],[CCCM]:[WASH]])=0, "", MAX(tblSeverityAnalysis[[#This Row],[CCCM]:[WASH]]))</f>
        <v>4</v>
      </c>
      <c r="AJ129" s="335" t="str" cm="1">
        <f t="array" ref="AJ129">IFERROR(IF(tblSeverityAnalysis[[#This Row],[Highest Severity]]="", "", _xlfn.TEXTJOIN(CHAR(10), TRUE, IF(tblSeverityAnalysis[[#This Row],[CCCM]:[WASH]]=tblSeverityAnalysis[[#This Row],[Highest Severity]], tblSeverityAnalysis[[#Headers],[CCCM]:[WASH]], ""), "")), "")</f>
        <v>Food Security</v>
      </c>
      <c r="AK129" s="27" cm="1">
        <f t="array" ref="AK129">IFERROR(MAX(_xlfn._xlws.FILTER(tblSeverityAnalysis[[#This Row],[CCCM]:[WASH]], tblSeverityAnalysis[[#This Row],[CCCM]:[WASH]]&lt;tblSeverityAnalysis[[#This Row],[Highest Severity]])), "")</f>
        <v>3</v>
      </c>
      <c r="AL129" s="324" t="str" cm="1">
        <f t="array" ref="AL129">IFERROR(IF(tblSeverityAnalysis[[#This Row],[2nd Highest Severity]]="", "", _xlfn.TEXTJOIN(CHAR(10), TRUE, IF(tblSeverityAnalysis[[#This Row],[CCCM]:[WASH]]=tblSeverityAnalysis[[#This Row],[2nd Highest Severity]], tblSeverityAnalysis[[#Headers],[CCCM]:[WASH]], ""), "")), "")</f>
        <v>Education
Nutrition
Health
Shelter</v>
      </c>
      <c r="AM129" s="132" t="str">
        <f>IFERROR(IF(AND(tblSeverityAnalysis[[#This Row],[5]] &lt;&gt; "", tblSeverityAnalysis[[#This Row],[5]]&gt;=sectors_sev_5), "Flagged", ""), "")</f>
        <v/>
      </c>
      <c r="AN129" s="133" t="str">
        <f>IFERROR(IF(AND(tblSeverityAnalysis[[#This Row],[Preliminary Intersectoral Severity based on overlap of sectoral deprivations]]=4, SUM(tblSeverityAnalysis[[#This Row],[ 4 ]:[5]])&gt;=sectors_sev_4), "Flagged", ""), "")</f>
        <v/>
      </c>
      <c r="AO129" s="133" t="str" cm="1">
        <f t="array" ref="AO12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2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29" s="337"/>
      <c r="AR129" s="338"/>
      <c r="AS129" s="337"/>
      <c r="AT129" s="353">
        <f>COUNTIF(tblSeverityAnalysis[[#This Row],[1 sector in severity phase 5 '[modify the threshold']]:[Manual Flag]], "Flagged")</f>
        <v>1</v>
      </c>
      <c r="AU129" s="339">
        <f>tblSeverityAnalysis[[#This Row],[Preliminary Intersectoral Severity based on overlap of sectoral deprivations]]</f>
        <v>3</v>
      </c>
      <c r="AV129" s="340"/>
    </row>
    <row r="130" spans="1:48" ht="61.5" hidden="1">
      <c r="A13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Global_PopulationHT0932</v>
      </c>
      <c r="B130" s="39" t="s">
        <v>409</v>
      </c>
      <c r="C130" s="331" t="s">
        <v>410</v>
      </c>
      <c r="D130" s="331" t="s">
        <v>425</v>
      </c>
      <c r="E130" s="34" t="s">
        <v>426</v>
      </c>
      <c r="F130" s="34"/>
      <c r="G130" s="34"/>
      <c r="H130" s="358"/>
      <c r="I130" s="354">
        <v>28588</v>
      </c>
      <c r="J130" s="96" t="s">
        <v>156</v>
      </c>
      <c r="K130" s="372">
        <v>1</v>
      </c>
      <c r="L130" s="308">
        <v>3</v>
      </c>
      <c r="M130" s="308">
        <v>3</v>
      </c>
      <c r="N130" s="308">
        <v>4</v>
      </c>
      <c r="O130" s="308">
        <v>3</v>
      </c>
      <c r="P130" s="308">
        <v>2</v>
      </c>
      <c r="Q130" s="309">
        <v>3</v>
      </c>
      <c r="R130" s="341">
        <v>3</v>
      </c>
      <c r="S130" s="310"/>
      <c r="T130" s="308"/>
      <c r="U130" s="308"/>
      <c r="V130" s="308"/>
      <c r="W130" s="332">
        <f>IF(COUNTIF(tblSeverityAnalysis[[#This Row],[CCCM]:[WASH]], 1)=0, "", COUNTIF(tblSeverityAnalysis[[#This Row],[CCCM]:[WASH]], 1))</f>
        <v>1</v>
      </c>
      <c r="X130" s="333">
        <f>IF(COUNTIF(tblSeverityAnalysis[[#This Row],[CCCM]:[WASH]], 2)=0, "", COUNTIF(tblSeverityAnalysis[[#This Row],[CCCM]:[WASH]], 2))</f>
        <v>1</v>
      </c>
      <c r="Y130" s="333">
        <f>IF(COUNTIF(tblSeverityAnalysis[[#This Row],[CCCM]:[WASH]], 3)=0, "", COUNTIF(tblSeverityAnalysis[[#This Row],[CCCM]:[WASH]], 3))</f>
        <v>5</v>
      </c>
      <c r="Z130" s="333">
        <f>IF(COUNTIF(tblSeverityAnalysis[[#This Row],[CCCM]:[WASH]], 4)=0, "", COUNTIF(tblSeverityAnalysis[[#This Row],[CCCM]:[WASH]], 4))</f>
        <v>1</v>
      </c>
      <c r="AA130" s="334" t="str">
        <f>IF(COUNTIF(tblSeverityAnalysis[[#This Row],[CCCM]:[WASH]], 5)=0, "", COUNTIF(tblSeverityAnalysis[[#This Row],[CCCM]:[WASH]], 5))</f>
        <v/>
      </c>
      <c r="AB130" s="60" cm="1">
        <f t="array" ref="AB13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0"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30" s="33">
        <f>IFERROR(IF(INDEX(tblSeverityReference[Malnutrition Severity],MATCH(tblSeverityAnalysis[[#This Row],[ID]], tblSeverityReference[ID], 0))= "", "",INDEX(tblSeverityReference[Malnutrition Severity],MATCH(tblSeverityAnalysis[[#This Row],[ID]], tblSeverityReference[ID], 0)) ), "")</f>
        <v>2</v>
      </c>
      <c r="AE130" s="347">
        <f>IFERROR(IF(INDEX(tblSeverityReference[Epidemic Severity],MATCH(tblSeverityAnalysis[[#This Row],[ID]], tblSeverityReference[ID], 0))= "", "",INDEX(tblSeverityReference[Epidemic Severity],MATCH(tblSeverityAnalysis[[#This Row],[ID]], tblSeverityReference[ID], 0)) ), "")</f>
        <v>1</v>
      </c>
      <c r="AF130" s="310" t="str">
        <f>IFERROR(IF(INDEX(tblSeverityReference[Coping Strategy Severity],MATCH(tblSeverityAnalysis[[#This Row],[ID]], tblSeverityReference[ID], 0))= "", "",INDEX(tblSeverityReference[Coping Strategy Severity],MATCH(tblSeverityAnalysis[[#This Row],[ID]], tblSeverityReference[ID], 0)) ), "")</f>
        <v/>
      </c>
      <c r="AG130" s="108">
        <f>IFERROR(IF(INDEX(tblSeverityReference[HR/IHL Violation],MATCH(tblSeverityAnalysis[[#This Row],[ID]], tblSeverityReference[ID], 0))= "", "",INDEX(tblSeverityReference[HR/IHL Violation],MATCH(tblSeverityAnalysis[[#This Row],[ID]], tblSeverityReference[ID], 0)) ), "")</f>
        <v>3</v>
      </c>
      <c r="AH130" s="82">
        <f>IFERROR(AVERAGE(tblSeverityAnalysis[[#This Row],[CCCM]:[WASH]]), "")</f>
        <v>2.75</v>
      </c>
      <c r="AI130" s="27">
        <f>IF(SUM(tblSeverityAnalysis[[#This Row],[CCCM]:[WASH]])=0, "", MAX(tblSeverityAnalysis[[#This Row],[CCCM]:[WASH]]))</f>
        <v>4</v>
      </c>
      <c r="AJ130" s="335" t="str" cm="1">
        <f t="array" ref="AJ130">IFERROR(IF(tblSeverityAnalysis[[#This Row],[Highest Severity]]="", "", _xlfn.TEXTJOIN(CHAR(10), TRUE, IF(tblSeverityAnalysis[[#This Row],[CCCM]:[WASH]]=tblSeverityAnalysis[[#This Row],[Highest Severity]], tblSeverityAnalysis[[#Headers],[CCCM]:[WASH]], ""), "")), "")</f>
        <v>Food Security</v>
      </c>
      <c r="AK130" s="27" cm="1">
        <f t="array" ref="AK130">IFERROR(MAX(_xlfn._xlws.FILTER(tblSeverityAnalysis[[#This Row],[CCCM]:[WASH]], tblSeverityAnalysis[[#This Row],[CCCM]:[WASH]]&lt;tblSeverityAnalysis[[#This Row],[Highest Severity]])), "")</f>
        <v>3</v>
      </c>
      <c r="AL130" s="324" t="str" cm="1">
        <f t="array" ref="AL130">IFERROR(IF(tblSeverityAnalysis[[#This Row],[2nd Highest Severity]]="", "", _xlfn.TEXTJOIN(CHAR(10), TRUE, IF(tblSeverityAnalysis[[#This Row],[CCCM]:[WASH]]=tblSeverityAnalysis[[#This Row],[2nd Highest Severity]], tblSeverityAnalysis[[#Headers],[CCCM]:[WASH]], ""), "")), "")</f>
        <v>Education
Nutrition
Health
Shelter
WASH</v>
      </c>
      <c r="AM130" s="132" t="str">
        <f>IFERROR(IF(AND(tblSeverityAnalysis[[#This Row],[5]] &lt;&gt; "", tblSeverityAnalysis[[#This Row],[5]]&gt;=sectors_sev_5), "Flagged", ""), "")</f>
        <v/>
      </c>
      <c r="AN130" s="133" t="str">
        <f>IFERROR(IF(AND(tblSeverityAnalysis[[#This Row],[Preliminary Intersectoral Severity based on overlap of sectoral deprivations]]=4, SUM(tblSeverityAnalysis[[#This Row],[ 4 ]:[5]])&gt;=sectors_sev_4), "Flagged", ""), "")</f>
        <v/>
      </c>
      <c r="AO130" s="133" t="str" cm="1">
        <f t="array" ref="AO13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0" s="337"/>
      <c r="AR130" s="338"/>
      <c r="AS130" s="337"/>
      <c r="AT130" s="353">
        <f>COUNTIF(tblSeverityAnalysis[[#This Row],[1 sector in severity phase 5 '[modify the threshold']]:[Manual Flag]], "Flagged")</f>
        <v>2</v>
      </c>
      <c r="AU130" s="339">
        <f>tblSeverityAnalysis[[#This Row],[Preliminary Intersectoral Severity based on overlap of sectoral deprivations]]</f>
        <v>3</v>
      </c>
      <c r="AV130" s="340"/>
    </row>
    <row r="131" spans="1:48" ht="24.6" hidden="1">
      <c r="A13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Global_PopulationHT0933</v>
      </c>
      <c r="B131" s="39" t="s">
        <v>409</v>
      </c>
      <c r="C131" s="331" t="s">
        <v>410</v>
      </c>
      <c r="D131" s="331" t="s">
        <v>427</v>
      </c>
      <c r="E131" s="34" t="s">
        <v>428</v>
      </c>
      <c r="F131" s="34"/>
      <c r="G131" s="34"/>
      <c r="H131" s="357"/>
      <c r="I131" s="354">
        <v>37868</v>
      </c>
      <c r="J131" s="96" t="s">
        <v>156</v>
      </c>
      <c r="K131" s="372">
        <v>1</v>
      </c>
      <c r="L131" s="308">
        <v>3</v>
      </c>
      <c r="M131" s="308">
        <v>3</v>
      </c>
      <c r="N131" s="308">
        <v>4</v>
      </c>
      <c r="O131" s="308">
        <v>2</v>
      </c>
      <c r="P131" s="308">
        <v>2</v>
      </c>
      <c r="Q131" s="309">
        <v>1</v>
      </c>
      <c r="R131" s="341">
        <v>1</v>
      </c>
      <c r="S131" s="310"/>
      <c r="T131" s="308"/>
      <c r="U131" s="308"/>
      <c r="V131" s="308"/>
      <c r="W131" s="332">
        <f>IF(COUNTIF(tblSeverityAnalysis[[#This Row],[CCCM]:[WASH]], 1)=0, "", COUNTIF(tblSeverityAnalysis[[#This Row],[CCCM]:[WASH]], 1))</f>
        <v>3</v>
      </c>
      <c r="X131" s="333">
        <f>IF(COUNTIF(tblSeverityAnalysis[[#This Row],[CCCM]:[WASH]], 2)=0, "", COUNTIF(tblSeverityAnalysis[[#This Row],[CCCM]:[WASH]], 2))</f>
        <v>2</v>
      </c>
      <c r="Y131" s="333">
        <f>IF(COUNTIF(tblSeverityAnalysis[[#This Row],[CCCM]:[WASH]], 3)=0, "", COUNTIF(tblSeverityAnalysis[[#This Row],[CCCM]:[WASH]], 3))</f>
        <v>2</v>
      </c>
      <c r="Z131" s="333">
        <f>IF(COUNTIF(tblSeverityAnalysis[[#This Row],[CCCM]:[WASH]], 4)=0, "", COUNTIF(tblSeverityAnalysis[[#This Row],[CCCM]:[WASH]], 4))</f>
        <v>1</v>
      </c>
      <c r="AA131" s="334" t="str">
        <f>IF(COUNTIF(tblSeverityAnalysis[[#This Row],[CCCM]:[WASH]], 5)=0, "", COUNTIF(tblSeverityAnalysis[[#This Row],[CCCM]:[WASH]], 5))</f>
        <v/>
      </c>
      <c r="AB131" s="60" cm="1">
        <f t="array" ref="AB13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31"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31" s="33">
        <f>IFERROR(IF(INDEX(tblSeverityReference[Malnutrition Severity],MATCH(tblSeverityAnalysis[[#This Row],[ID]], tblSeverityReference[ID], 0))= "", "",INDEX(tblSeverityReference[Malnutrition Severity],MATCH(tblSeverityAnalysis[[#This Row],[ID]], tblSeverityReference[ID], 0)) ), "")</f>
        <v>2</v>
      </c>
      <c r="AE131" s="347">
        <f>IFERROR(IF(INDEX(tblSeverityReference[Epidemic Severity],MATCH(tblSeverityAnalysis[[#This Row],[ID]], tblSeverityReference[ID], 0))= "", "",INDEX(tblSeverityReference[Epidemic Severity],MATCH(tblSeverityAnalysis[[#This Row],[ID]], tblSeverityReference[ID], 0)) ), "")</f>
        <v>1</v>
      </c>
      <c r="AF131" s="310" t="str">
        <f>IFERROR(IF(INDEX(tblSeverityReference[Coping Strategy Severity],MATCH(tblSeverityAnalysis[[#This Row],[ID]], tblSeverityReference[ID], 0))= "", "",INDEX(tblSeverityReference[Coping Strategy Severity],MATCH(tblSeverityAnalysis[[#This Row],[ID]], tblSeverityReference[ID], 0)) ), "")</f>
        <v/>
      </c>
      <c r="AG131" s="348">
        <f>IFERROR(IF(INDEX(tblSeverityReference[HR/IHL Violation],MATCH(tblSeverityAnalysis[[#This Row],[ID]], tblSeverityReference[ID], 0))= "", "",INDEX(tblSeverityReference[HR/IHL Violation],MATCH(tblSeverityAnalysis[[#This Row],[ID]], tblSeverityReference[ID], 0)) ), "")</f>
        <v>2</v>
      </c>
      <c r="AH131" s="82">
        <f>IFERROR(AVERAGE(tblSeverityAnalysis[[#This Row],[CCCM]:[WASH]]), "")</f>
        <v>2.125</v>
      </c>
      <c r="AI131" s="27">
        <f>IF(SUM(tblSeverityAnalysis[[#This Row],[CCCM]:[WASH]])=0, "", MAX(tblSeverityAnalysis[[#This Row],[CCCM]:[WASH]]))</f>
        <v>4</v>
      </c>
      <c r="AJ131" s="335" t="str" cm="1">
        <f t="array" ref="AJ131">IFERROR(IF(tblSeverityAnalysis[[#This Row],[Highest Severity]]="", "", _xlfn.TEXTJOIN(CHAR(10), TRUE, IF(tblSeverityAnalysis[[#This Row],[CCCM]:[WASH]]=tblSeverityAnalysis[[#This Row],[Highest Severity]], tblSeverityAnalysis[[#Headers],[CCCM]:[WASH]], ""), "")), "")</f>
        <v>Food Security</v>
      </c>
      <c r="AK131" s="27" cm="1">
        <f t="array" ref="AK131">IFERROR(MAX(_xlfn._xlws.FILTER(tblSeverityAnalysis[[#This Row],[CCCM]:[WASH]], tblSeverityAnalysis[[#This Row],[CCCM]:[WASH]]&lt;tblSeverityAnalysis[[#This Row],[Highest Severity]])), "")</f>
        <v>3</v>
      </c>
      <c r="AL131" s="324" t="str" cm="1">
        <f t="array" ref="AL131">IFERROR(IF(tblSeverityAnalysis[[#This Row],[2nd Highest Severity]]="", "", _xlfn.TEXTJOIN(CHAR(10), TRUE, IF(tblSeverityAnalysis[[#This Row],[CCCM]:[WASH]]=tblSeverityAnalysis[[#This Row],[2nd Highest Severity]], tblSeverityAnalysis[[#Headers],[CCCM]:[WASH]], ""), "")), "")</f>
        <v>Education
Nutrition</v>
      </c>
      <c r="AM131" s="132" t="str">
        <f>IFERROR(IF(AND(tblSeverityAnalysis[[#This Row],[5]] &lt;&gt; "", tblSeverityAnalysis[[#This Row],[5]]&gt;=sectors_sev_5), "Flagged", ""), "")</f>
        <v/>
      </c>
      <c r="AN131" s="133" t="str">
        <f>IFERROR(IF(AND(tblSeverityAnalysis[[#This Row],[Preliminary Intersectoral Severity based on overlap of sectoral deprivations]]=4, SUM(tblSeverityAnalysis[[#This Row],[ 4 ]:[5]])&gt;=sectors_sev_4), "Flagged", ""), "")</f>
        <v/>
      </c>
      <c r="AO131" s="133" t="str" cm="1">
        <f t="array" ref="AO13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1" s="337"/>
      <c r="AR131" s="338"/>
      <c r="AS131" s="337"/>
      <c r="AT131" s="353">
        <f>COUNTIF(tblSeverityAnalysis[[#This Row],[1 sector in severity phase 5 '[modify the threshold']]:[Manual Flag]], "Flagged")</f>
        <v>0</v>
      </c>
      <c r="AU131" s="339">
        <f>tblSeverityAnalysis[[#This Row],[Preliminary Intersectoral Severity based on overlap of sectoral deprivations]]</f>
        <v>2</v>
      </c>
      <c r="AV131" s="340"/>
    </row>
    <row r="132" spans="1:48" ht="49.15" hidden="1">
      <c r="A13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Global_PopulationHT0934</v>
      </c>
      <c r="B132" s="39" t="s">
        <v>409</v>
      </c>
      <c r="C132" s="331" t="s">
        <v>410</v>
      </c>
      <c r="D132" s="331" t="s">
        <v>429</v>
      </c>
      <c r="E132" s="34" t="s">
        <v>430</v>
      </c>
      <c r="F132" s="34"/>
      <c r="G132" s="34"/>
      <c r="H132" s="358"/>
      <c r="I132" s="354">
        <v>156750</v>
      </c>
      <c r="J132" s="96" t="s">
        <v>156</v>
      </c>
      <c r="K132" s="372">
        <v>1</v>
      </c>
      <c r="L132" s="308">
        <v>3</v>
      </c>
      <c r="M132" s="308">
        <v>3</v>
      </c>
      <c r="N132" s="308">
        <v>4</v>
      </c>
      <c r="O132" s="308">
        <v>2</v>
      </c>
      <c r="P132" s="308">
        <v>2</v>
      </c>
      <c r="Q132" s="309">
        <v>3</v>
      </c>
      <c r="R132" s="341">
        <v>3</v>
      </c>
      <c r="S132" s="310"/>
      <c r="T132" s="308"/>
      <c r="U132" s="308"/>
      <c r="V132" s="308"/>
      <c r="W132" s="332">
        <f>IF(COUNTIF(tblSeverityAnalysis[[#This Row],[CCCM]:[WASH]], 1)=0, "", COUNTIF(tblSeverityAnalysis[[#This Row],[CCCM]:[WASH]], 1))</f>
        <v>1</v>
      </c>
      <c r="X132" s="333">
        <f>IF(COUNTIF(tblSeverityAnalysis[[#This Row],[CCCM]:[WASH]], 2)=0, "", COUNTIF(tblSeverityAnalysis[[#This Row],[CCCM]:[WASH]], 2))</f>
        <v>2</v>
      </c>
      <c r="Y132" s="333">
        <f>IF(COUNTIF(tblSeverityAnalysis[[#This Row],[CCCM]:[WASH]], 3)=0, "", COUNTIF(tblSeverityAnalysis[[#This Row],[CCCM]:[WASH]], 3))</f>
        <v>4</v>
      </c>
      <c r="Z132" s="333">
        <f>IF(COUNTIF(tblSeverityAnalysis[[#This Row],[CCCM]:[WASH]], 4)=0, "", COUNTIF(tblSeverityAnalysis[[#This Row],[CCCM]:[WASH]], 4))</f>
        <v>1</v>
      </c>
      <c r="AA132" s="334" t="str">
        <f>IF(COUNTIF(tblSeverityAnalysis[[#This Row],[CCCM]:[WASH]], 5)=0, "", COUNTIF(tblSeverityAnalysis[[#This Row],[CCCM]:[WASH]], 5))</f>
        <v/>
      </c>
      <c r="AB132" s="60" cm="1">
        <f t="array" ref="AB13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2" s="305">
        <f>IFERROR(IF(INDEX(tblSeverityReference[Death or Iminanet Risk of Death Severity],MATCH(tblSeverityAnalysis[[#This Row],[ID]], tblSeverityReference[ID], 0))= "", "",INDEX(tblSeverityReference[Death or Iminanet Risk of Death Severity],MATCH(tblSeverityAnalysis[[#This Row],[ID]], tblSeverityReference[ID], 0)) ), "")</f>
        <v>2</v>
      </c>
      <c r="AD132" s="33">
        <f>IFERROR(IF(INDEX(tblSeverityReference[Malnutrition Severity],MATCH(tblSeverityAnalysis[[#This Row],[ID]], tblSeverityReference[ID], 0))= "", "",INDEX(tblSeverityReference[Malnutrition Severity],MATCH(tblSeverityAnalysis[[#This Row],[ID]], tblSeverityReference[ID], 0)) ), "")</f>
        <v>2</v>
      </c>
      <c r="AE132" s="347">
        <f>IFERROR(IF(INDEX(tblSeverityReference[Epidemic Severity],MATCH(tblSeverityAnalysis[[#This Row],[ID]], tblSeverityReference[ID], 0))= "", "",INDEX(tblSeverityReference[Epidemic Severity],MATCH(tblSeverityAnalysis[[#This Row],[ID]], tblSeverityReference[ID], 0)) ), "")</f>
        <v>1</v>
      </c>
      <c r="AF132" s="310" t="str">
        <f>IFERROR(IF(INDEX(tblSeverityReference[Coping Strategy Severity],MATCH(tblSeverityAnalysis[[#This Row],[ID]], tblSeverityReference[ID], 0))= "", "",INDEX(tblSeverityReference[Coping Strategy Severity],MATCH(tblSeverityAnalysis[[#This Row],[ID]], tblSeverityReference[ID], 0)) ), "")</f>
        <v/>
      </c>
      <c r="AG132" s="348">
        <f>IFERROR(IF(INDEX(tblSeverityReference[HR/IHL Violation],MATCH(tblSeverityAnalysis[[#This Row],[ID]], tblSeverityReference[ID], 0))= "", "",INDEX(tblSeverityReference[HR/IHL Violation],MATCH(tblSeverityAnalysis[[#This Row],[ID]], tblSeverityReference[ID], 0)) ), "")</f>
        <v>3</v>
      </c>
      <c r="AH132" s="82">
        <f>IFERROR(AVERAGE(tblSeverityAnalysis[[#This Row],[CCCM]:[WASH]]), "")</f>
        <v>2.625</v>
      </c>
      <c r="AI132" s="27">
        <f>IF(SUM(tblSeverityAnalysis[[#This Row],[CCCM]:[WASH]])=0, "", MAX(tblSeverityAnalysis[[#This Row],[CCCM]:[WASH]]))</f>
        <v>4</v>
      </c>
      <c r="AJ132" s="335" t="str" cm="1">
        <f t="array" ref="AJ132">IFERROR(IF(tblSeverityAnalysis[[#This Row],[Highest Severity]]="", "", _xlfn.TEXTJOIN(CHAR(10), TRUE, IF(tblSeverityAnalysis[[#This Row],[CCCM]:[WASH]]=tblSeverityAnalysis[[#This Row],[Highest Severity]], tblSeverityAnalysis[[#Headers],[CCCM]:[WASH]], ""), "")), "")</f>
        <v>Food Security</v>
      </c>
      <c r="AK132" s="27" cm="1">
        <f t="array" ref="AK132">IFERROR(MAX(_xlfn._xlws.FILTER(tblSeverityAnalysis[[#This Row],[CCCM]:[WASH]], tblSeverityAnalysis[[#This Row],[CCCM]:[WASH]]&lt;tblSeverityAnalysis[[#This Row],[Highest Severity]])), "")</f>
        <v>3</v>
      </c>
      <c r="AL132" s="324" t="str" cm="1">
        <f t="array" ref="AL132">IFERROR(IF(tblSeverityAnalysis[[#This Row],[2nd Highest Severity]]="", "", _xlfn.TEXTJOIN(CHAR(10), TRUE, IF(tblSeverityAnalysis[[#This Row],[CCCM]:[WASH]]=tblSeverityAnalysis[[#This Row],[2nd Highest Severity]], tblSeverityAnalysis[[#Headers],[CCCM]:[WASH]], ""), "")), "")</f>
        <v>Education
Nutrition
Shelter
WASH</v>
      </c>
      <c r="AM132" s="132" t="str">
        <f>IFERROR(IF(AND(tblSeverityAnalysis[[#This Row],[5]] &lt;&gt; "", tblSeverityAnalysis[[#This Row],[5]]&gt;=sectors_sev_5), "Flagged", ""), "")</f>
        <v/>
      </c>
      <c r="AN132" s="133" t="str">
        <f>IFERROR(IF(AND(tblSeverityAnalysis[[#This Row],[Preliminary Intersectoral Severity based on overlap of sectoral deprivations]]=4, SUM(tblSeverityAnalysis[[#This Row],[ 4 ]:[5]])&gt;=sectors_sev_4), "Flagged", ""), "")</f>
        <v/>
      </c>
      <c r="AO132" s="133" t="str" cm="1">
        <f t="array" ref="AO13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2" s="337"/>
      <c r="AR132" s="338"/>
      <c r="AS132" s="337"/>
      <c r="AT132" s="353">
        <f>COUNTIF(tblSeverityAnalysis[[#This Row],[1 sector in severity phase 5 '[modify the threshold']]:[Manual Flag]], "Flagged")</f>
        <v>2</v>
      </c>
      <c r="AU132" s="339">
        <f>tblSeverityAnalysis[[#This Row],[Preliminary Intersectoral Severity based on overlap of sectoral deprivations]]</f>
        <v>3</v>
      </c>
      <c r="AV132" s="340"/>
    </row>
    <row r="133" spans="1:48" ht="49.15" hidden="1">
      <c r="A13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Global_PopulationHT1011</v>
      </c>
      <c r="B133" s="39" t="s">
        <v>431</v>
      </c>
      <c r="C133" s="331" t="s">
        <v>432</v>
      </c>
      <c r="D133" s="331" t="s">
        <v>433</v>
      </c>
      <c r="E133" s="34" t="s">
        <v>434</v>
      </c>
      <c r="F133" s="34"/>
      <c r="G133" s="34"/>
      <c r="H133" s="357"/>
      <c r="I133" s="354">
        <v>70617</v>
      </c>
      <c r="J133" s="96" t="s">
        <v>156</v>
      </c>
      <c r="K133" s="372">
        <v>3</v>
      </c>
      <c r="L133" s="308">
        <v>2</v>
      </c>
      <c r="M133" s="308">
        <v>3</v>
      </c>
      <c r="N133" s="308">
        <v>3</v>
      </c>
      <c r="O133" s="308">
        <v>2</v>
      </c>
      <c r="P133" s="308">
        <v>2</v>
      </c>
      <c r="Q133" s="309">
        <v>3</v>
      </c>
      <c r="R133" s="341">
        <v>2</v>
      </c>
      <c r="S133" s="310"/>
      <c r="T133" s="308"/>
      <c r="U133" s="308"/>
      <c r="V133" s="308"/>
      <c r="W133" s="332" t="str">
        <f>IF(COUNTIF(tblSeverityAnalysis[[#This Row],[CCCM]:[WASH]], 1)=0, "", COUNTIF(tblSeverityAnalysis[[#This Row],[CCCM]:[WASH]], 1))</f>
        <v/>
      </c>
      <c r="X133" s="333">
        <f>IF(COUNTIF(tblSeverityAnalysis[[#This Row],[CCCM]:[WASH]], 2)=0, "", COUNTIF(tblSeverityAnalysis[[#This Row],[CCCM]:[WASH]], 2))</f>
        <v>4</v>
      </c>
      <c r="Y133" s="333">
        <f>IF(COUNTIF(tblSeverityAnalysis[[#This Row],[CCCM]:[WASH]], 3)=0, "", COUNTIF(tblSeverityAnalysis[[#This Row],[CCCM]:[WASH]], 3))</f>
        <v>4</v>
      </c>
      <c r="Z133" s="333" t="str">
        <f>IF(COUNTIF(tblSeverityAnalysis[[#This Row],[CCCM]:[WASH]], 4)=0, "", COUNTIF(tblSeverityAnalysis[[#This Row],[CCCM]:[WASH]], 4))</f>
        <v/>
      </c>
      <c r="AA133" s="334" t="str">
        <f>IF(COUNTIF(tblSeverityAnalysis[[#This Row],[CCCM]:[WASH]], 5)=0, "", COUNTIF(tblSeverityAnalysis[[#This Row],[CCCM]:[WASH]], 5))</f>
        <v/>
      </c>
      <c r="AB133" s="60" cm="1">
        <f t="array" ref="AB13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3"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33" s="33">
        <f>IFERROR(IF(INDEX(tblSeverityReference[Malnutrition Severity],MATCH(tblSeverityAnalysis[[#This Row],[ID]], tblSeverityReference[ID], 0))= "", "",INDEX(tblSeverityReference[Malnutrition Severity],MATCH(tblSeverityAnalysis[[#This Row],[ID]], tblSeverityReference[ID], 0)) ), "")</f>
        <v>2</v>
      </c>
      <c r="AE133" s="347">
        <f>IFERROR(IF(INDEX(tblSeverityReference[Epidemic Severity],MATCH(tblSeverityAnalysis[[#This Row],[ID]], tblSeverityReference[ID], 0))= "", "",INDEX(tblSeverityReference[Epidemic Severity],MATCH(tblSeverityAnalysis[[#This Row],[ID]], tblSeverityReference[ID], 0)) ), "")</f>
        <v>4</v>
      </c>
      <c r="AF133" s="310" t="str">
        <f>IFERROR(IF(INDEX(tblSeverityReference[Coping Strategy Severity],MATCH(tblSeverityAnalysis[[#This Row],[ID]], tblSeverityReference[ID], 0))= "", "",INDEX(tblSeverityReference[Coping Strategy Severity],MATCH(tblSeverityAnalysis[[#This Row],[ID]], tblSeverityReference[ID], 0)) ), "")</f>
        <v/>
      </c>
      <c r="AG133" s="108">
        <f>IFERROR(IF(INDEX(tblSeverityReference[HR/IHL Violation],MATCH(tblSeverityAnalysis[[#This Row],[ID]], tblSeverityReference[ID], 0))= "", "",INDEX(tblSeverityReference[HR/IHL Violation],MATCH(tblSeverityAnalysis[[#This Row],[ID]], tblSeverityReference[ID], 0)) ), "")</f>
        <v>3</v>
      </c>
      <c r="AH133" s="82">
        <f>IFERROR(AVERAGE(tblSeverityAnalysis[[#This Row],[CCCM]:[WASH]]), "")</f>
        <v>2.5</v>
      </c>
      <c r="AI133" s="27">
        <f>IF(SUM(tblSeverityAnalysis[[#This Row],[CCCM]:[WASH]])=0, "", MAX(tblSeverityAnalysis[[#This Row],[CCCM]:[WASH]]))</f>
        <v>3</v>
      </c>
      <c r="AJ133" s="335" t="str" cm="1">
        <f t="array" ref="AJ133">IFERROR(IF(tblSeverityAnalysis[[#This Row],[Highest Severity]]="", "", _xlfn.TEXTJOIN(CHAR(10), TRUE, IF(tblSeverityAnalysis[[#This Row],[CCCM]:[WASH]]=tblSeverityAnalysis[[#This Row],[Highest Severity]], tblSeverityAnalysis[[#Headers],[CCCM]:[WASH]], ""), "")), "")</f>
        <v>CCCM
Nutrition
Food Security
Shelter</v>
      </c>
      <c r="AK133" s="27" cm="1">
        <f t="array" ref="AK133">IFERROR(MAX(_xlfn._xlws.FILTER(tblSeverityAnalysis[[#This Row],[CCCM]:[WASH]], tblSeverityAnalysis[[#This Row],[CCCM]:[WASH]]&lt;tblSeverityAnalysis[[#This Row],[Highest Severity]])), "")</f>
        <v>2</v>
      </c>
      <c r="AL133" s="324" t="str" cm="1">
        <f t="array" ref="AL133">IFERROR(IF(tblSeverityAnalysis[[#This Row],[2nd Highest Severity]]="", "", _xlfn.TEXTJOIN(CHAR(10), TRUE, IF(tblSeverityAnalysis[[#This Row],[CCCM]:[WASH]]=tblSeverityAnalysis[[#This Row],[2nd Highest Severity]], tblSeverityAnalysis[[#Headers],[CCCM]:[WASH]], ""), "")), "")</f>
        <v>Education
Health
Protection
WASH</v>
      </c>
      <c r="AM133" s="132" t="str">
        <f>IFERROR(IF(AND(tblSeverityAnalysis[[#This Row],[5]] &lt;&gt; "", tblSeverityAnalysis[[#This Row],[5]]&gt;=sectors_sev_5), "Flagged", ""), "")</f>
        <v/>
      </c>
      <c r="AN133" s="133" t="str">
        <f>IFERROR(IF(AND(tblSeverityAnalysis[[#This Row],[Preliminary Intersectoral Severity based on overlap of sectoral deprivations]]=4, SUM(tblSeverityAnalysis[[#This Row],[ 4 ]:[5]])&gt;=sectors_sev_4), "Flagged", ""), "")</f>
        <v/>
      </c>
      <c r="AO133" s="133" t="str" cm="1">
        <f t="array" ref="AO13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3" s="337"/>
      <c r="AR133" s="338"/>
      <c r="AS133" s="337"/>
      <c r="AT133" s="353">
        <f>COUNTIF(tblSeverityAnalysis[[#This Row],[1 sector in severity phase 5 '[modify the threshold']]:[Manual Flag]], "Flagged")</f>
        <v>2</v>
      </c>
      <c r="AU133" s="339">
        <f>tblSeverityAnalysis[[#This Row],[Preliminary Intersectoral Severity based on overlap of sectoral deprivations]]</f>
        <v>3</v>
      </c>
      <c r="AV133" s="340"/>
    </row>
    <row r="134" spans="1:48" ht="61.5" hidden="1">
      <c r="A13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Global_PopulationHT1012</v>
      </c>
      <c r="B134" s="39" t="s">
        <v>431</v>
      </c>
      <c r="C134" s="331" t="s">
        <v>432</v>
      </c>
      <c r="D134" s="331" t="s">
        <v>435</v>
      </c>
      <c r="E134" s="34" t="s">
        <v>436</v>
      </c>
      <c r="F134" s="34"/>
      <c r="G134" s="34"/>
      <c r="H134" s="358"/>
      <c r="I134" s="354">
        <v>34943</v>
      </c>
      <c r="J134" s="96" t="s">
        <v>156</v>
      </c>
      <c r="K134" s="372">
        <v>3</v>
      </c>
      <c r="L134" s="308">
        <v>2</v>
      </c>
      <c r="M134" s="308">
        <v>2</v>
      </c>
      <c r="N134" s="308">
        <v>3</v>
      </c>
      <c r="O134" s="308">
        <v>2</v>
      </c>
      <c r="P134" s="308">
        <v>2</v>
      </c>
      <c r="Q134" s="309">
        <v>3</v>
      </c>
      <c r="R134" s="341">
        <v>2</v>
      </c>
      <c r="S134" s="310"/>
      <c r="T134" s="308"/>
      <c r="U134" s="308"/>
      <c r="V134" s="308"/>
      <c r="W134" s="332" t="str">
        <f>IF(COUNTIF(tblSeverityAnalysis[[#This Row],[CCCM]:[WASH]], 1)=0, "", COUNTIF(tblSeverityAnalysis[[#This Row],[CCCM]:[WASH]], 1))</f>
        <v/>
      </c>
      <c r="X134" s="333">
        <f>IF(COUNTIF(tblSeverityAnalysis[[#This Row],[CCCM]:[WASH]], 2)=0, "", COUNTIF(tblSeverityAnalysis[[#This Row],[CCCM]:[WASH]], 2))</f>
        <v>5</v>
      </c>
      <c r="Y134" s="333">
        <f>IF(COUNTIF(tblSeverityAnalysis[[#This Row],[CCCM]:[WASH]], 3)=0, "", COUNTIF(tblSeverityAnalysis[[#This Row],[CCCM]:[WASH]], 3))</f>
        <v>3</v>
      </c>
      <c r="Z134" s="333" t="str">
        <f>IF(COUNTIF(tblSeverityAnalysis[[#This Row],[CCCM]:[WASH]], 4)=0, "", COUNTIF(tblSeverityAnalysis[[#This Row],[CCCM]:[WASH]], 4))</f>
        <v/>
      </c>
      <c r="AA134" s="334" t="str">
        <f>IF(COUNTIF(tblSeverityAnalysis[[#This Row],[CCCM]:[WASH]], 5)=0, "", COUNTIF(tblSeverityAnalysis[[#This Row],[CCCM]:[WASH]], 5))</f>
        <v/>
      </c>
      <c r="AB134" s="60" cm="1">
        <f t="array" ref="AB13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2</v>
      </c>
      <c r="AC134"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4" s="33">
        <f>IFERROR(IF(INDEX(tblSeverityReference[Malnutrition Severity],MATCH(tblSeverityAnalysis[[#This Row],[ID]], tblSeverityReference[ID], 0))= "", "",INDEX(tblSeverityReference[Malnutrition Severity],MATCH(tblSeverityAnalysis[[#This Row],[ID]], tblSeverityReference[ID], 0)) ), "")</f>
        <v>2</v>
      </c>
      <c r="AE134" s="347">
        <f>IFERROR(IF(INDEX(tblSeverityReference[Epidemic Severity],MATCH(tblSeverityAnalysis[[#This Row],[ID]], tblSeverityReference[ID], 0))= "", "",INDEX(tblSeverityReference[Epidemic Severity],MATCH(tblSeverityAnalysis[[#This Row],[ID]], tblSeverityReference[ID], 0)) ), "")</f>
        <v>3</v>
      </c>
      <c r="AF134" s="310" t="str">
        <f>IFERROR(IF(INDEX(tblSeverityReference[Coping Strategy Severity],MATCH(tblSeverityAnalysis[[#This Row],[ID]], tblSeverityReference[ID], 0))= "", "",INDEX(tblSeverityReference[Coping Strategy Severity],MATCH(tblSeverityAnalysis[[#This Row],[ID]], tblSeverityReference[ID], 0)) ), "")</f>
        <v/>
      </c>
      <c r="AG134" s="348">
        <f>IFERROR(IF(INDEX(tblSeverityReference[HR/IHL Violation],MATCH(tblSeverityAnalysis[[#This Row],[ID]], tblSeverityReference[ID], 0))= "", "",INDEX(tblSeverityReference[HR/IHL Violation],MATCH(tblSeverityAnalysis[[#This Row],[ID]], tblSeverityReference[ID], 0)) ), "")</f>
        <v>3</v>
      </c>
      <c r="AH134" s="82">
        <f>IFERROR(AVERAGE(tblSeverityAnalysis[[#This Row],[CCCM]:[WASH]]), "")</f>
        <v>2.375</v>
      </c>
      <c r="AI134" s="27">
        <f>IF(SUM(tblSeverityAnalysis[[#This Row],[CCCM]:[WASH]])=0, "", MAX(tblSeverityAnalysis[[#This Row],[CCCM]:[WASH]]))</f>
        <v>3</v>
      </c>
      <c r="AJ134" s="335" t="str" cm="1">
        <f t="array" ref="AJ134">IFERROR(IF(tblSeverityAnalysis[[#This Row],[Highest Severity]]="", "", _xlfn.TEXTJOIN(CHAR(10), TRUE, IF(tblSeverityAnalysis[[#This Row],[CCCM]:[WASH]]=tblSeverityAnalysis[[#This Row],[Highest Severity]], tblSeverityAnalysis[[#Headers],[CCCM]:[WASH]], ""), "")), "")</f>
        <v>CCCM
Food Security
Shelter</v>
      </c>
      <c r="AK134" s="27" cm="1">
        <f t="array" ref="AK134">IFERROR(MAX(_xlfn._xlws.FILTER(tblSeverityAnalysis[[#This Row],[CCCM]:[WASH]], tblSeverityAnalysis[[#This Row],[CCCM]:[WASH]]&lt;tblSeverityAnalysis[[#This Row],[Highest Severity]])), "")</f>
        <v>2</v>
      </c>
      <c r="AL134" s="324" t="str" cm="1">
        <f t="array" ref="AL134">IFERROR(IF(tblSeverityAnalysis[[#This Row],[2nd Highest Severity]]="", "", _xlfn.TEXTJOIN(CHAR(10), TRUE, IF(tblSeverityAnalysis[[#This Row],[CCCM]:[WASH]]=tblSeverityAnalysis[[#This Row],[2nd Highest Severity]], tblSeverityAnalysis[[#Headers],[CCCM]:[WASH]], ""), "")), "")</f>
        <v>Education
Nutrition
Health
Protection
WASH</v>
      </c>
      <c r="AM134" s="132" t="str">
        <f>IFERROR(IF(AND(tblSeverityAnalysis[[#This Row],[5]] &lt;&gt; "", tblSeverityAnalysis[[#This Row],[5]]&gt;=sectors_sev_5), "Flagged", ""), "")</f>
        <v/>
      </c>
      <c r="AN134" s="133" t="str">
        <f>IFERROR(IF(AND(tblSeverityAnalysis[[#This Row],[Preliminary Intersectoral Severity based on overlap of sectoral deprivations]]=4, SUM(tblSeverityAnalysis[[#This Row],[ 4 ]:[5]])&gt;=sectors_sev_4), "Flagged", ""), "")</f>
        <v/>
      </c>
      <c r="AO134" s="133" t="str" cm="1">
        <f t="array" ref="AO13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34" s="337"/>
      <c r="AR134" s="338"/>
      <c r="AS134" s="337"/>
      <c r="AT134" s="353">
        <f>COUNTIF(tblSeverityAnalysis[[#This Row],[1 sector in severity phase 5 '[modify the threshold']]:[Manual Flag]], "Flagged")</f>
        <v>1</v>
      </c>
      <c r="AU134" s="339">
        <f>tblSeverityAnalysis[[#This Row],[Preliminary Intersectoral Severity based on overlap of sectoral deprivations]]</f>
        <v>2</v>
      </c>
      <c r="AV134" s="340"/>
    </row>
    <row r="135" spans="1:48" ht="49.15" hidden="1">
      <c r="A135"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Global_PopulationHT1013</v>
      </c>
      <c r="B135" s="39" t="s">
        <v>431</v>
      </c>
      <c r="C135" s="331" t="s">
        <v>432</v>
      </c>
      <c r="D135" s="331" t="s">
        <v>437</v>
      </c>
      <c r="E135" s="34" t="s">
        <v>438</v>
      </c>
      <c r="F135" s="34"/>
      <c r="G135" s="34"/>
      <c r="H135" s="357"/>
      <c r="I135" s="354">
        <v>38319</v>
      </c>
      <c r="J135" s="96" t="s">
        <v>156</v>
      </c>
      <c r="K135" s="372">
        <v>3</v>
      </c>
      <c r="L135" s="308">
        <v>2</v>
      </c>
      <c r="M135" s="308">
        <v>3</v>
      </c>
      <c r="N135" s="308">
        <v>3</v>
      </c>
      <c r="O135" s="308">
        <v>2</v>
      </c>
      <c r="P135" s="308">
        <v>2</v>
      </c>
      <c r="Q135" s="309">
        <v>3</v>
      </c>
      <c r="R135" s="341">
        <v>2</v>
      </c>
      <c r="S135" s="310"/>
      <c r="T135" s="308"/>
      <c r="U135" s="308"/>
      <c r="V135" s="308"/>
      <c r="W135" s="332" t="str">
        <f>IF(COUNTIF(tblSeverityAnalysis[[#This Row],[CCCM]:[WASH]], 1)=0, "", COUNTIF(tblSeverityAnalysis[[#This Row],[CCCM]:[WASH]], 1))</f>
        <v/>
      </c>
      <c r="X135" s="333">
        <f>IF(COUNTIF(tblSeverityAnalysis[[#This Row],[CCCM]:[WASH]], 2)=0, "", COUNTIF(tblSeverityAnalysis[[#This Row],[CCCM]:[WASH]], 2))</f>
        <v>4</v>
      </c>
      <c r="Y135" s="333">
        <f>IF(COUNTIF(tblSeverityAnalysis[[#This Row],[CCCM]:[WASH]], 3)=0, "", COUNTIF(tblSeverityAnalysis[[#This Row],[CCCM]:[WASH]], 3))</f>
        <v>4</v>
      </c>
      <c r="Z135" s="333" t="str">
        <f>IF(COUNTIF(tblSeverityAnalysis[[#This Row],[CCCM]:[WASH]], 4)=0, "", COUNTIF(tblSeverityAnalysis[[#This Row],[CCCM]:[WASH]], 4))</f>
        <v/>
      </c>
      <c r="AA135" s="334" t="str">
        <f>IF(COUNTIF(tblSeverityAnalysis[[#This Row],[CCCM]:[WASH]], 5)=0, "", COUNTIF(tblSeverityAnalysis[[#This Row],[CCCM]:[WASH]], 5))</f>
        <v/>
      </c>
      <c r="AB135" s="60" cm="1">
        <f t="array" ref="AB135">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5" s="305">
        <f>IFERROR(IF(INDEX(tblSeverityReference[Death or Iminanet Risk of Death Severity],MATCH(tblSeverityAnalysis[[#This Row],[ID]], tblSeverityReference[ID], 0))= "", "",INDEX(tblSeverityReference[Death or Iminanet Risk of Death Severity],MATCH(tblSeverityAnalysis[[#This Row],[ID]], tblSeverityReference[ID], 0)) ), "")</f>
        <v>5</v>
      </c>
      <c r="AD135" s="33">
        <f>IFERROR(IF(INDEX(tblSeverityReference[Malnutrition Severity],MATCH(tblSeverityAnalysis[[#This Row],[ID]], tblSeverityReference[ID], 0))= "", "",INDEX(tblSeverityReference[Malnutrition Severity],MATCH(tblSeverityAnalysis[[#This Row],[ID]], tblSeverityReference[ID], 0)) ), "")</f>
        <v>2</v>
      </c>
      <c r="AE135" s="347">
        <f>IFERROR(IF(INDEX(tblSeverityReference[Epidemic Severity],MATCH(tblSeverityAnalysis[[#This Row],[ID]], tblSeverityReference[ID], 0))= "", "",INDEX(tblSeverityReference[Epidemic Severity],MATCH(tblSeverityAnalysis[[#This Row],[ID]], tblSeverityReference[ID], 0)) ), "")</f>
        <v>3</v>
      </c>
      <c r="AF135" s="310" t="str">
        <f>IFERROR(IF(INDEX(tblSeverityReference[Coping Strategy Severity],MATCH(tblSeverityAnalysis[[#This Row],[ID]], tblSeverityReference[ID], 0))= "", "",INDEX(tblSeverityReference[Coping Strategy Severity],MATCH(tblSeverityAnalysis[[#This Row],[ID]], tblSeverityReference[ID], 0)) ), "")</f>
        <v/>
      </c>
      <c r="AG135" s="108">
        <f>IFERROR(IF(INDEX(tblSeverityReference[HR/IHL Violation],MATCH(tblSeverityAnalysis[[#This Row],[ID]], tblSeverityReference[ID], 0))= "", "",INDEX(tblSeverityReference[HR/IHL Violation],MATCH(tblSeverityAnalysis[[#This Row],[ID]], tblSeverityReference[ID], 0)) ), "")</f>
        <v>3</v>
      </c>
      <c r="AH135" s="82">
        <f>IFERROR(AVERAGE(tblSeverityAnalysis[[#This Row],[CCCM]:[WASH]]), "")</f>
        <v>2.5</v>
      </c>
      <c r="AI135" s="27">
        <f>IF(SUM(tblSeverityAnalysis[[#This Row],[CCCM]:[WASH]])=0, "", MAX(tblSeverityAnalysis[[#This Row],[CCCM]:[WASH]]))</f>
        <v>3</v>
      </c>
      <c r="AJ135" s="335" t="str" cm="1">
        <f t="array" ref="AJ135">IFERROR(IF(tblSeverityAnalysis[[#This Row],[Highest Severity]]="", "", _xlfn.TEXTJOIN(CHAR(10), TRUE, IF(tblSeverityAnalysis[[#This Row],[CCCM]:[WASH]]=tblSeverityAnalysis[[#This Row],[Highest Severity]], tblSeverityAnalysis[[#Headers],[CCCM]:[WASH]], ""), "")), "")</f>
        <v>CCCM
Nutrition
Food Security
Shelter</v>
      </c>
      <c r="AK135" s="27" cm="1">
        <f t="array" ref="AK135">IFERROR(MAX(_xlfn._xlws.FILTER(tblSeverityAnalysis[[#This Row],[CCCM]:[WASH]], tblSeverityAnalysis[[#This Row],[CCCM]:[WASH]]&lt;tblSeverityAnalysis[[#This Row],[Highest Severity]])), "")</f>
        <v>2</v>
      </c>
      <c r="AL135" s="324" t="str" cm="1">
        <f t="array" ref="AL135">IFERROR(IF(tblSeverityAnalysis[[#This Row],[2nd Highest Severity]]="", "", _xlfn.TEXTJOIN(CHAR(10), TRUE, IF(tblSeverityAnalysis[[#This Row],[CCCM]:[WASH]]=tblSeverityAnalysis[[#This Row],[2nd Highest Severity]], tblSeverityAnalysis[[#Headers],[CCCM]:[WASH]], ""), "")), "")</f>
        <v>Education
Health
Protection
WASH</v>
      </c>
      <c r="AM135" s="132" t="str">
        <f>IFERROR(IF(AND(tblSeverityAnalysis[[#This Row],[5]] &lt;&gt; "", tblSeverityAnalysis[[#This Row],[5]]&gt;=sectors_sev_5), "Flagged", ""), "")</f>
        <v/>
      </c>
      <c r="AN135" s="133" t="str">
        <f>IFERROR(IF(AND(tblSeverityAnalysis[[#This Row],[Preliminary Intersectoral Severity based on overlap of sectoral deprivations]]=4, SUM(tblSeverityAnalysis[[#This Row],[ 4 ]:[5]])&gt;=sectors_sev_4), "Flagged", ""), "")</f>
        <v/>
      </c>
      <c r="AO135" s="133" t="str" cm="1">
        <f t="array" ref="AO135">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35"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5" s="337"/>
      <c r="AR135" s="338"/>
      <c r="AS135" s="337"/>
      <c r="AT135" s="353">
        <f>COUNTIF(tblSeverityAnalysis[[#This Row],[1 sector in severity phase 5 '[modify the threshold']]:[Manual Flag]], "Flagged")</f>
        <v>1</v>
      </c>
      <c r="AU135" s="339">
        <f>tblSeverityAnalysis[[#This Row],[Preliminary Intersectoral Severity based on overlap of sectoral deprivations]]</f>
        <v>3</v>
      </c>
      <c r="AV135" s="340"/>
    </row>
    <row r="136" spans="1:48" ht="36.950000000000003" hidden="1">
      <c r="A136"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Global_PopulationHT1014</v>
      </c>
      <c r="B136" s="39" t="s">
        <v>431</v>
      </c>
      <c r="C136" s="331" t="s">
        <v>432</v>
      </c>
      <c r="D136" s="331" t="s">
        <v>439</v>
      </c>
      <c r="E136" s="34" t="s">
        <v>440</v>
      </c>
      <c r="F136" s="34"/>
      <c r="G136" s="34"/>
      <c r="H136" s="358"/>
      <c r="I136" s="354">
        <v>19644</v>
      </c>
      <c r="J136" s="96" t="s">
        <v>156</v>
      </c>
      <c r="K136" s="372">
        <v>3</v>
      </c>
      <c r="L136" s="308">
        <v>2</v>
      </c>
      <c r="M136" s="308">
        <v>2</v>
      </c>
      <c r="N136" s="308">
        <v>3</v>
      </c>
      <c r="O136" s="308">
        <v>2</v>
      </c>
      <c r="P136" s="308">
        <v>2</v>
      </c>
      <c r="Q136" s="309">
        <v>3</v>
      </c>
      <c r="R136" s="341">
        <v>4</v>
      </c>
      <c r="S136" s="310"/>
      <c r="T136" s="308"/>
      <c r="U136" s="308"/>
      <c r="V136" s="308"/>
      <c r="W136" s="332" t="str">
        <f>IF(COUNTIF(tblSeverityAnalysis[[#This Row],[CCCM]:[WASH]], 1)=0, "", COUNTIF(tblSeverityAnalysis[[#This Row],[CCCM]:[WASH]], 1))</f>
        <v/>
      </c>
      <c r="X136" s="333">
        <f>IF(COUNTIF(tblSeverityAnalysis[[#This Row],[CCCM]:[WASH]], 2)=0, "", COUNTIF(tblSeverityAnalysis[[#This Row],[CCCM]:[WASH]], 2))</f>
        <v>4</v>
      </c>
      <c r="Y136" s="333">
        <f>IF(COUNTIF(tblSeverityAnalysis[[#This Row],[CCCM]:[WASH]], 3)=0, "", COUNTIF(tblSeverityAnalysis[[#This Row],[CCCM]:[WASH]], 3))</f>
        <v>3</v>
      </c>
      <c r="Z136" s="333">
        <f>IF(COUNTIF(tblSeverityAnalysis[[#This Row],[CCCM]:[WASH]], 4)=0, "", COUNTIF(tblSeverityAnalysis[[#This Row],[CCCM]:[WASH]], 4))</f>
        <v>1</v>
      </c>
      <c r="AA136" s="334" t="str">
        <f>IF(COUNTIF(tblSeverityAnalysis[[#This Row],[CCCM]:[WASH]], 5)=0, "", COUNTIF(tblSeverityAnalysis[[#This Row],[CCCM]:[WASH]], 5))</f>
        <v/>
      </c>
      <c r="AB136" s="60" cm="1">
        <f t="array" ref="AB136">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6"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6" s="33">
        <f>IFERROR(IF(INDEX(tblSeverityReference[Malnutrition Severity],MATCH(tblSeverityAnalysis[[#This Row],[ID]], tblSeverityReference[ID], 0))= "", "",INDEX(tblSeverityReference[Malnutrition Severity],MATCH(tblSeverityAnalysis[[#This Row],[ID]], tblSeverityReference[ID], 0)) ), "")</f>
        <v>2</v>
      </c>
      <c r="AE136" s="347">
        <f>IFERROR(IF(INDEX(tblSeverityReference[Epidemic Severity],MATCH(tblSeverityAnalysis[[#This Row],[ID]], tblSeverityReference[ID], 0))= "", "",INDEX(tblSeverityReference[Epidemic Severity],MATCH(tblSeverityAnalysis[[#This Row],[ID]], tblSeverityReference[ID], 0)) ), "")</f>
        <v>3</v>
      </c>
      <c r="AF136" s="310" t="str">
        <f>IFERROR(IF(INDEX(tblSeverityReference[Coping Strategy Severity],MATCH(tblSeverityAnalysis[[#This Row],[ID]], tblSeverityReference[ID], 0))= "", "",INDEX(tblSeverityReference[Coping Strategy Severity],MATCH(tblSeverityAnalysis[[#This Row],[ID]], tblSeverityReference[ID], 0)) ), "")</f>
        <v/>
      </c>
      <c r="AG136" s="348">
        <f>IFERROR(IF(INDEX(tblSeverityReference[HR/IHL Violation],MATCH(tblSeverityAnalysis[[#This Row],[ID]], tblSeverityReference[ID], 0))= "", "",INDEX(tblSeverityReference[HR/IHL Violation],MATCH(tblSeverityAnalysis[[#This Row],[ID]], tblSeverityReference[ID], 0)) ), "")</f>
        <v>3</v>
      </c>
      <c r="AH136" s="82">
        <f>IFERROR(AVERAGE(tblSeverityAnalysis[[#This Row],[CCCM]:[WASH]]), "")</f>
        <v>2.625</v>
      </c>
      <c r="AI136" s="27">
        <f>IF(SUM(tblSeverityAnalysis[[#This Row],[CCCM]:[WASH]])=0, "", MAX(tblSeverityAnalysis[[#This Row],[CCCM]:[WASH]]))</f>
        <v>4</v>
      </c>
      <c r="AJ136" s="335" t="str" cm="1">
        <f t="array" ref="AJ136">IFERROR(IF(tblSeverityAnalysis[[#This Row],[Highest Severity]]="", "", _xlfn.TEXTJOIN(CHAR(10), TRUE, IF(tblSeverityAnalysis[[#This Row],[CCCM]:[WASH]]=tblSeverityAnalysis[[#This Row],[Highest Severity]], tblSeverityAnalysis[[#Headers],[CCCM]:[WASH]], ""), "")), "")</f>
        <v>WASH</v>
      </c>
      <c r="AK136" s="27" cm="1">
        <f t="array" ref="AK136">IFERROR(MAX(_xlfn._xlws.FILTER(tblSeverityAnalysis[[#This Row],[CCCM]:[WASH]], tblSeverityAnalysis[[#This Row],[CCCM]:[WASH]]&lt;tblSeverityAnalysis[[#This Row],[Highest Severity]])), "")</f>
        <v>3</v>
      </c>
      <c r="AL136" s="324" t="str" cm="1">
        <f t="array" ref="AL136">IFERROR(IF(tblSeverityAnalysis[[#This Row],[2nd Highest Severity]]="", "", _xlfn.TEXTJOIN(CHAR(10), TRUE, IF(tblSeverityAnalysis[[#This Row],[CCCM]:[WASH]]=tblSeverityAnalysis[[#This Row],[2nd Highest Severity]], tblSeverityAnalysis[[#Headers],[CCCM]:[WASH]], ""), "")), "")</f>
        <v>CCCM
Food Security
Shelter</v>
      </c>
      <c r="AM136" s="132" t="str">
        <f>IFERROR(IF(AND(tblSeverityAnalysis[[#This Row],[5]] &lt;&gt; "", tblSeverityAnalysis[[#This Row],[5]]&gt;=sectors_sev_5), "Flagged", ""), "")</f>
        <v/>
      </c>
      <c r="AN136" s="133" t="str">
        <f>IFERROR(IF(AND(tblSeverityAnalysis[[#This Row],[Preliminary Intersectoral Severity based on overlap of sectoral deprivations]]=4, SUM(tblSeverityAnalysis[[#This Row],[ 4 ]:[5]])&gt;=sectors_sev_4), "Flagged", ""), "")</f>
        <v/>
      </c>
      <c r="AO136" s="133" t="str" cm="1">
        <f t="array" ref="AO136">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6"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6" s="337"/>
      <c r="AR136" s="338"/>
      <c r="AS136" s="337"/>
      <c r="AT136" s="353">
        <f>COUNTIF(tblSeverityAnalysis[[#This Row],[1 sector in severity phase 5 '[modify the threshold']]:[Manual Flag]], "Flagged")</f>
        <v>0</v>
      </c>
      <c r="AU136" s="339">
        <f>tblSeverityAnalysis[[#This Row],[Preliminary Intersectoral Severity based on overlap of sectoral deprivations]]</f>
        <v>3</v>
      </c>
      <c r="AV136" s="340"/>
    </row>
    <row r="137" spans="1:48" ht="49.15" hidden="1">
      <c r="A137"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Global_PopulationHT1021</v>
      </c>
      <c r="B137" s="39" t="s">
        <v>431</v>
      </c>
      <c r="C137" s="331" t="s">
        <v>432</v>
      </c>
      <c r="D137" s="331" t="s">
        <v>441</v>
      </c>
      <c r="E137" s="34" t="s">
        <v>442</v>
      </c>
      <c r="F137" s="34"/>
      <c r="G137" s="34"/>
      <c r="H137" s="357"/>
      <c r="I137" s="354">
        <v>37907</v>
      </c>
      <c r="J137" s="96" t="s">
        <v>156</v>
      </c>
      <c r="K137" s="372">
        <v>3</v>
      </c>
      <c r="L137" s="308">
        <v>2</v>
      </c>
      <c r="M137" s="308">
        <v>2</v>
      </c>
      <c r="N137" s="308">
        <v>3</v>
      </c>
      <c r="O137" s="308">
        <v>3</v>
      </c>
      <c r="P137" s="308">
        <v>2</v>
      </c>
      <c r="Q137" s="309">
        <v>3</v>
      </c>
      <c r="R137" s="341">
        <v>2</v>
      </c>
      <c r="S137" s="310"/>
      <c r="T137" s="308"/>
      <c r="U137" s="308"/>
      <c r="V137" s="308"/>
      <c r="W137" s="332" t="str">
        <f>IF(COUNTIF(tblSeverityAnalysis[[#This Row],[CCCM]:[WASH]], 1)=0, "", COUNTIF(tblSeverityAnalysis[[#This Row],[CCCM]:[WASH]], 1))</f>
        <v/>
      </c>
      <c r="X137" s="333">
        <f>IF(COUNTIF(tblSeverityAnalysis[[#This Row],[CCCM]:[WASH]], 2)=0, "", COUNTIF(tblSeverityAnalysis[[#This Row],[CCCM]:[WASH]], 2))</f>
        <v>4</v>
      </c>
      <c r="Y137" s="333">
        <f>IF(COUNTIF(tblSeverityAnalysis[[#This Row],[CCCM]:[WASH]], 3)=0, "", COUNTIF(tblSeverityAnalysis[[#This Row],[CCCM]:[WASH]], 3))</f>
        <v>4</v>
      </c>
      <c r="Z137" s="333" t="str">
        <f>IF(COUNTIF(tblSeverityAnalysis[[#This Row],[CCCM]:[WASH]], 4)=0, "", COUNTIF(tblSeverityAnalysis[[#This Row],[CCCM]:[WASH]], 4))</f>
        <v/>
      </c>
      <c r="AA137" s="334" t="str">
        <f>IF(COUNTIF(tblSeverityAnalysis[[#This Row],[CCCM]:[WASH]], 5)=0, "", COUNTIF(tblSeverityAnalysis[[#This Row],[CCCM]:[WASH]], 5))</f>
        <v/>
      </c>
      <c r="AB137" s="60" cm="1">
        <f t="array" ref="AB137">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7"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7" s="33">
        <f>IFERROR(IF(INDEX(tblSeverityReference[Malnutrition Severity],MATCH(tblSeverityAnalysis[[#This Row],[ID]], tblSeverityReference[ID], 0))= "", "",INDEX(tblSeverityReference[Malnutrition Severity],MATCH(tblSeverityAnalysis[[#This Row],[ID]], tblSeverityReference[ID], 0)) ), "")</f>
        <v>2</v>
      </c>
      <c r="AE137" s="347">
        <f>IFERROR(IF(INDEX(tblSeverityReference[Epidemic Severity],MATCH(tblSeverityAnalysis[[#This Row],[ID]], tblSeverityReference[ID], 0))= "", "",INDEX(tblSeverityReference[Epidemic Severity],MATCH(tblSeverityAnalysis[[#This Row],[ID]], tblSeverityReference[ID], 0)) ), "")</f>
        <v>4</v>
      </c>
      <c r="AF137" s="310" t="str">
        <f>IFERROR(IF(INDEX(tblSeverityReference[Coping Strategy Severity],MATCH(tblSeverityAnalysis[[#This Row],[ID]], tblSeverityReference[ID], 0))= "", "",INDEX(tblSeverityReference[Coping Strategy Severity],MATCH(tblSeverityAnalysis[[#This Row],[ID]], tblSeverityReference[ID], 0)) ), "")</f>
        <v/>
      </c>
      <c r="AG137" s="108">
        <f>IFERROR(IF(INDEX(tblSeverityReference[HR/IHL Violation],MATCH(tblSeverityAnalysis[[#This Row],[ID]], tblSeverityReference[ID], 0))= "", "",INDEX(tblSeverityReference[HR/IHL Violation],MATCH(tblSeverityAnalysis[[#This Row],[ID]], tblSeverityReference[ID], 0)) ), "")</f>
        <v>3</v>
      </c>
      <c r="AH137" s="82">
        <f>IFERROR(AVERAGE(tblSeverityAnalysis[[#This Row],[CCCM]:[WASH]]), "")</f>
        <v>2.5</v>
      </c>
      <c r="AI137" s="27">
        <f>IF(SUM(tblSeverityAnalysis[[#This Row],[CCCM]:[WASH]])=0, "", MAX(tblSeverityAnalysis[[#This Row],[CCCM]:[WASH]]))</f>
        <v>3</v>
      </c>
      <c r="AJ137" s="335" t="str" cm="1">
        <f t="array" ref="AJ137">IFERROR(IF(tblSeverityAnalysis[[#This Row],[Highest Severity]]="", "", _xlfn.TEXTJOIN(CHAR(10), TRUE, IF(tblSeverityAnalysis[[#This Row],[CCCM]:[WASH]]=tblSeverityAnalysis[[#This Row],[Highest Severity]], tblSeverityAnalysis[[#Headers],[CCCM]:[WASH]], ""), "")), "")</f>
        <v>CCCM
Food Security
Health
Shelter</v>
      </c>
      <c r="AK137" s="27" cm="1">
        <f t="array" ref="AK137">IFERROR(MAX(_xlfn._xlws.FILTER(tblSeverityAnalysis[[#This Row],[CCCM]:[WASH]], tblSeverityAnalysis[[#This Row],[CCCM]:[WASH]]&lt;tblSeverityAnalysis[[#This Row],[Highest Severity]])), "")</f>
        <v>2</v>
      </c>
      <c r="AL137" s="324" t="str" cm="1">
        <f t="array" ref="AL137">IFERROR(IF(tblSeverityAnalysis[[#This Row],[2nd Highest Severity]]="", "", _xlfn.TEXTJOIN(CHAR(10), TRUE, IF(tblSeverityAnalysis[[#This Row],[CCCM]:[WASH]]=tblSeverityAnalysis[[#This Row],[2nd Highest Severity]], tblSeverityAnalysis[[#Headers],[CCCM]:[WASH]], ""), "")), "")</f>
        <v>Education
Nutrition
Protection
WASH</v>
      </c>
      <c r="AM137" s="132" t="str">
        <f>IFERROR(IF(AND(tblSeverityAnalysis[[#This Row],[5]] &lt;&gt; "", tblSeverityAnalysis[[#This Row],[5]]&gt;=sectors_sev_5), "Flagged", ""), "")</f>
        <v/>
      </c>
      <c r="AN137" s="133" t="str">
        <f>IFERROR(IF(AND(tblSeverityAnalysis[[#This Row],[Preliminary Intersectoral Severity based on overlap of sectoral deprivations]]=4, SUM(tblSeverityAnalysis[[#This Row],[ 4 ]:[5]])&gt;=sectors_sev_4), "Flagged", ""), "")</f>
        <v/>
      </c>
      <c r="AO137" s="133" t="str" cm="1">
        <f t="array" ref="AO137">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7"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7" s="337"/>
      <c r="AR137" s="338"/>
      <c r="AS137" s="337"/>
      <c r="AT137" s="353">
        <f>COUNTIF(tblSeverityAnalysis[[#This Row],[1 sector in severity phase 5 '[modify the threshold']]:[Manual Flag]], "Flagged")</f>
        <v>0</v>
      </c>
      <c r="AU137" s="339">
        <f>tblSeverityAnalysis[[#This Row],[Preliminary Intersectoral Severity based on overlap of sectoral deprivations]]</f>
        <v>3</v>
      </c>
      <c r="AV137" s="340"/>
    </row>
    <row r="138" spans="1:48" ht="61.5" hidden="1">
      <c r="A138"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Global_PopulationHT1022</v>
      </c>
      <c r="B138" s="39" t="s">
        <v>431</v>
      </c>
      <c r="C138" s="331" t="s">
        <v>432</v>
      </c>
      <c r="D138" s="331" t="s">
        <v>443</v>
      </c>
      <c r="E138" s="34" t="s">
        <v>444</v>
      </c>
      <c r="F138" s="34"/>
      <c r="G138" s="34"/>
      <c r="H138" s="358"/>
      <c r="I138" s="354">
        <v>33793</v>
      </c>
      <c r="J138" s="96" t="s">
        <v>156</v>
      </c>
      <c r="K138" s="372">
        <v>3</v>
      </c>
      <c r="L138" s="308">
        <v>2</v>
      </c>
      <c r="M138" s="308">
        <v>2</v>
      </c>
      <c r="N138" s="308">
        <v>3</v>
      </c>
      <c r="O138" s="308">
        <v>3</v>
      </c>
      <c r="P138" s="308">
        <v>2</v>
      </c>
      <c r="Q138" s="309">
        <v>3</v>
      </c>
      <c r="R138" s="341">
        <v>3</v>
      </c>
      <c r="S138" s="310"/>
      <c r="T138" s="308"/>
      <c r="U138" s="308"/>
      <c r="V138" s="308"/>
      <c r="W138" s="332" t="str">
        <f>IF(COUNTIF(tblSeverityAnalysis[[#This Row],[CCCM]:[WASH]], 1)=0, "", COUNTIF(tblSeverityAnalysis[[#This Row],[CCCM]:[WASH]], 1))</f>
        <v/>
      </c>
      <c r="X138" s="333">
        <f>IF(COUNTIF(tblSeverityAnalysis[[#This Row],[CCCM]:[WASH]], 2)=0, "", COUNTIF(tblSeverityAnalysis[[#This Row],[CCCM]:[WASH]], 2))</f>
        <v>3</v>
      </c>
      <c r="Y138" s="333">
        <f>IF(COUNTIF(tblSeverityAnalysis[[#This Row],[CCCM]:[WASH]], 3)=0, "", COUNTIF(tblSeverityAnalysis[[#This Row],[CCCM]:[WASH]], 3))</f>
        <v>5</v>
      </c>
      <c r="Z138" s="333" t="str">
        <f>IF(COUNTIF(tblSeverityAnalysis[[#This Row],[CCCM]:[WASH]], 4)=0, "", COUNTIF(tblSeverityAnalysis[[#This Row],[CCCM]:[WASH]], 4))</f>
        <v/>
      </c>
      <c r="AA138" s="334" t="str">
        <f>IF(COUNTIF(tblSeverityAnalysis[[#This Row],[CCCM]:[WASH]], 5)=0, "", COUNTIF(tblSeverityAnalysis[[#This Row],[CCCM]:[WASH]], 5))</f>
        <v/>
      </c>
      <c r="AB138" s="60" cm="1">
        <f t="array" ref="AB138">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8"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8" s="33">
        <f>IFERROR(IF(INDEX(tblSeverityReference[Malnutrition Severity],MATCH(tblSeverityAnalysis[[#This Row],[ID]], tblSeverityReference[ID], 0))= "", "",INDEX(tblSeverityReference[Malnutrition Severity],MATCH(tblSeverityAnalysis[[#This Row],[ID]], tblSeverityReference[ID], 0)) ), "")</f>
        <v>2</v>
      </c>
      <c r="AE138" s="347">
        <f>IFERROR(IF(INDEX(tblSeverityReference[Epidemic Severity],MATCH(tblSeverityAnalysis[[#This Row],[ID]], tblSeverityReference[ID], 0))= "", "",INDEX(tblSeverityReference[Epidemic Severity],MATCH(tblSeverityAnalysis[[#This Row],[ID]], tblSeverityReference[ID], 0)) ), "")</f>
        <v>3</v>
      </c>
      <c r="AF138" s="310" t="str">
        <f>IFERROR(IF(INDEX(tblSeverityReference[Coping Strategy Severity],MATCH(tblSeverityAnalysis[[#This Row],[ID]], tblSeverityReference[ID], 0))= "", "",INDEX(tblSeverityReference[Coping Strategy Severity],MATCH(tblSeverityAnalysis[[#This Row],[ID]], tblSeverityReference[ID], 0)) ), "")</f>
        <v/>
      </c>
      <c r="AG138" s="348">
        <f>IFERROR(IF(INDEX(tblSeverityReference[HR/IHL Violation],MATCH(tblSeverityAnalysis[[#This Row],[ID]], tblSeverityReference[ID], 0))= "", "",INDEX(tblSeverityReference[HR/IHL Violation],MATCH(tblSeverityAnalysis[[#This Row],[ID]], tblSeverityReference[ID], 0)) ), "")</f>
        <v>3</v>
      </c>
      <c r="AH138" s="82">
        <f>IFERROR(AVERAGE(tblSeverityAnalysis[[#This Row],[CCCM]:[WASH]]), "")</f>
        <v>2.625</v>
      </c>
      <c r="AI138" s="27">
        <f>IF(SUM(tblSeverityAnalysis[[#This Row],[CCCM]:[WASH]])=0, "", MAX(tblSeverityAnalysis[[#This Row],[CCCM]:[WASH]]))</f>
        <v>3</v>
      </c>
      <c r="AJ138" s="335" t="str" cm="1">
        <f t="array" ref="AJ138">IFERROR(IF(tblSeverityAnalysis[[#This Row],[Highest Severity]]="", "", _xlfn.TEXTJOIN(CHAR(10), TRUE, IF(tblSeverityAnalysis[[#This Row],[CCCM]:[WASH]]=tblSeverityAnalysis[[#This Row],[Highest Severity]], tblSeverityAnalysis[[#Headers],[CCCM]:[WASH]], ""), "")), "")</f>
        <v>CCCM
Food Security
Health
Shelter
WASH</v>
      </c>
      <c r="AK138" s="27" cm="1">
        <f t="array" ref="AK138">IFERROR(MAX(_xlfn._xlws.FILTER(tblSeverityAnalysis[[#This Row],[CCCM]:[WASH]], tblSeverityAnalysis[[#This Row],[CCCM]:[WASH]]&lt;tblSeverityAnalysis[[#This Row],[Highest Severity]])), "")</f>
        <v>2</v>
      </c>
      <c r="AL138" s="324" t="str" cm="1">
        <f t="array" ref="AL138">IFERROR(IF(tblSeverityAnalysis[[#This Row],[2nd Highest Severity]]="", "", _xlfn.TEXTJOIN(CHAR(10), TRUE, IF(tblSeverityAnalysis[[#This Row],[CCCM]:[WASH]]=tblSeverityAnalysis[[#This Row],[2nd Highest Severity]], tblSeverityAnalysis[[#Headers],[CCCM]:[WASH]], ""), "")), "")</f>
        <v>Education
Nutrition
Protection</v>
      </c>
      <c r="AM138" s="132" t="str">
        <f>IFERROR(IF(AND(tblSeverityAnalysis[[#This Row],[5]] &lt;&gt; "", tblSeverityAnalysis[[#This Row],[5]]&gt;=sectors_sev_5), "Flagged", ""), "")</f>
        <v/>
      </c>
      <c r="AN138" s="133" t="str">
        <f>IFERROR(IF(AND(tblSeverityAnalysis[[#This Row],[Preliminary Intersectoral Severity based on overlap of sectoral deprivations]]=4, SUM(tblSeverityAnalysis[[#This Row],[ 4 ]:[5]])&gt;=sectors_sev_4), "Flagged", ""), "")</f>
        <v/>
      </c>
      <c r="AO138" s="133" t="str" cm="1">
        <f t="array" ref="AO138">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8"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8" s="337"/>
      <c r="AR138" s="338"/>
      <c r="AS138" s="337"/>
      <c r="AT138" s="353">
        <f>COUNTIF(tblSeverityAnalysis[[#This Row],[1 sector in severity phase 5 '[modify the threshold']]:[Manual Flag]], "Flagged")</f>
        <v>0</v>
      </c>
      <c r="AU138" s="339">
        <f>tblSeverityAnalysis[[#This Row],[Preliminary Intersectoral Severity based on overlap of sectoral deprivations]]</f>
        <v>3</v>
      </c>
      <c r="AV138" s="340"/>
    </row>
    <row r="139" spans="1:48" ht="49.15" hidden="1">
      <c r="A139"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Global_PopulationHT1023</v>
      </c>
      <c r="B139" s="39" t="s">
        <v>431</v>
      </c>
      <c r="C139" s="331" t="s">
        <v>432</v>
      </c>
      <c r="D139" s="331" t="s">
        <v>445</v>
      </c>
      <c r="E139" s="34" t="s">
        <v>446</v>
      </c>
      <c r="F139" s="34"/>
      <c r="G139" s="34"/>
      <c r="H139" s="357"/>
      <c r="I139" s="354">
        <v>45890</v>
      </c>
      <c r="J139" s="96" t="s">
        <v>156</v>
      </c>
      <c r="K139" s="372">
        <v>3</v>
      </c>
      <c r="L139" s="308">
        <v>2</v>
      </c>
      <c r="M139" s="308">
        <v>2</v>
      </c>
      <c r="N139" s="308">
        <v>3</v>
      </c>
      <c r="O139" s="308">
        <v>3</v>
      </c>
      <c r="P139" s="308">
        <v>2</v>
      </c>
      <c r="Q139" s="309">
        <v>3</v>
      </c>
      <c r="R139" s="341">
        <v>2</v>
      </c>
      <c r="S139" s="310"/>
      <c r="T139" s="308"/>
      <c r="U139" s="308"/>
      <c r="V139" s="308"/>
      <c r="W139" s="332" t="str">
        <f>IF(COUNTIF(tblSeverityAnalysis[[#This Row],[CCCM]:[WASH]], 1)=0, "", COUNTIF(tblSeverityAnalysis[[#This Row],[CCCM]:[WASH]], 1))</f>
        <v/>
      </c>
      <c r="X139" s="333">
        <f>IF(COUNTIF(tblSeverityAnalysis[[#This Row],[CCCM]:[WASH]], 2)=0, "", COUNTIF(tblSeverityAnalysis[[#This Row],[CCCM]:[WASH]], 2))</f>
        <v>4</v>
      </c>
      <c r="Y139" s="333">
        <f>IF(COUNTIF(tblSeverityAnalysis[[#This Row],[CCCM]:[WASH]], 3)=0, "", COUNTIF(tblSeverityAnalysis[[#This Row],[CCCM]:[WASH]], 3))</f>
        <v>4</v>
      </c>
      <c r="Z139" s="333" t="str">
        <f>IF(COUNTIF(tblSeverityAnalysis[[#This Row],[CCCM]:[WASH]], 4)=0, "", COUNTIF(tblSeverityAnalysis[[#This Row],[CCCM]:[WASH]], 4))</f>
        <v/>
      </c>
      <c r="AA139" s="334" t="str">
        <f>IF(COUNTIF(tblSeverityAnalysis[[#This Row],[CCCM]:[WASH]], 5)=0, "", COUNTIF(tblSeverityAnalysis[[#This Row],[CCCM]:[WASH]], 5))</f>
        <v/>
      </c>
      <c r="AB139" s="60" cm="1">
        <f t="array" ref="AB139">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39"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39" s="33">
        <f>IFERROR(IF(INDEX(tblSeverityReference[Malnutrition Severity],MATCH(tblSeverityAnalysis[[#This Row],[ID]], tblSeverityReference[ID], 0))= "", "",INDEX(tblSeverityReference[Malnutrition Severity],MATCH(tblSeverityAnalysis[[#This Row],[ID]], tblSeverityReference[ID], 0)) ), "")</f>
        <v>2</v>
      </c>
      <c r="AE139" s="347">
        <f>IFERROR(IF(INDEX(tblSeverityReference[Epidemic Severity],MATCH(tblSeverityAnalysis[[#This Row],[ID]], tblSeverityReference[ID], 0))= "", "",INDEX(tblSeverityReference[Epidemic Severity],MATCH(tblSeverityAnalysis[[#This Row],[ID]], tblSeverityReference[ID], 0)) ), "")</f>
        <v>3</v>
      </c>
      <c r="AF139" s="310" t="str">
        <f>IFERROR(IF(INDEX(tblSeverityReference[Coping Strategy Severity],MATCH(tblSeverityAnalysis[[#This Row],[ID]], tblSeverityReference[ID], 0))= "", "",INDEX(tblSeverityReference[Coping Strategy Severity],MATCH(tblSeverityAnalysis[[#This Row],[ID]], tblSeverityReference[ID], 0)) ), "")</f>
        <v/>
      </c>
      <c r="AG139" s="108">
        <f>IFERROR(IF(INDEX(tblSeverityReference[HR/IHL Violation],MATCH(tblSeverityAnalysis[[#This Row],[ID]], tblSeverityReference[ID], 0))= "", "",INDEX(tblSeverityReference[HR/IHL Violation],MATCH(tblSeverityAnalysis[[#This Row],[ID]], tblSeverityReference[ID], 0)) ), "")</f>
        <v>3</v>
      </c>
      <c r="AH139" s="82">
        <f>IFERROR(AVERAGE(tblSeverityAnalysis[[#This Row],[CCCM]:[WASH]]), "")</f>
        <v>2.5</v>
      </c>
      <c r="AI139" s="27">
        <f>IF(SUM(tblSeverityAnalysis[[#This Row],[CCCM]:[WASH]])=0, "", MAX(tblSeverityAnalysis[[#This Row],[CCCM]:[WASH]]))</f>
        <v>3</v>
      </c>
      <c r="AJ139" s="335" t="str" cm="1">
        <f t="array" ref="AJ139">IFERROR(IF(tblSeverityAnalysis[[#This Row],[Highest Severity]]="", "", _xlfn.TEXTJOIN(CHAR(10), TRUE, IF(tblSeverityAnalysis[[#This Row],[CCCM]:[WASH]]=tblSeverityAnalysis[[#This Row],[Highest Severity]], tblSeverityAnalysis[[#Headers],[CCCM]:[WASH]], ""), "")), "")</f>
        <v>CCCM
Food Security
Health
Shelter</v>
      </c>
      <c r="AK139" s="27" cm="1">
        <f t="array" ref="AK139">IFERROR(MAX(_xlfn._xlws.FILTER(tblSeverityAnalysis[[#This Row],[CCCM]:[WASH]], tblSeverityAnalysis[[#This Row],[CCCM]:[WASH]]&lt;tblSeverityAnalysis[[#This Row],[Highest Severity]])), "")</f>
        <v>2</v>
      </c>
      <c r="AL139" s="324" t="str" cm="1">
        <f t="array" ref="AL139">IFERROR(IF(tblSeverityAnalysis[[#This Row],[2nd Highest Severity]]="", "", _xlfn.TEXTJOIN(CHAR(10), TRUE, IF(tblSeverityAnalysis[[#This Row],[CCCM]:[WASH]]=tblSeverityAnalysis[[#This Row],[2nd Highest Severity]], tblSeverityAnalysis[[#Headers],[CCCM]:[WASH]], ""), "")), "")</f>
        <v>Education
Nutrition
Protection
WASH</v>
      </c>
      <c r="AM139" s="132" t="str">
        <f>IFERROR(IF(AND(tblSeverityAnalysis[[#This Row],[5]] &lt;&gt; "", tblSeverityAnalysis[[#This Row],[5]]&gt;=sectors_sev_5), "Flagged", ""), "")</f>
        <v/>
      </c>
      <c r="AN139" s="133" t="str">
        <f>IFERROR(IF(AND(tblSeverityAnalysis[[#This Row],[Preliminary Intersectoral Severity based on overlap of sectoral deprivations]]=4, SUM(tblSeverityAnalysis[[#This Row],[ 4 ]:[5]])&gt;=sectors_sev_4), "Flagged", ""), "")</f>
        <v/>
      </c>
      <c r="AO139" s="133" t="str" cm="1">
        <f t="array" ref="AO139">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39"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39" s="337"/>
      <c r="AR139" s="338"/>
      <c r="AS139" s="337"/>
      <c r="AT139" s="353">
        <f>COUNTIF(tblSeverityAnalysis[[#This Row],[1 sector in severity phase 5 '[modify the threshold']]:[Manual Flag]], "Flagged")</f>
        <v>0</v>
      </c>
      <c r="AU139" s="339">
        <f>tblSeverityAnalysis[[#This Row],[Preliminary Intersectoral Severity based on overlap of sectoral deprivations]]</f>
        <v>3</v>
      </c>
      <c r="AV139" s="340"/>
    </row>
    <row r="140" spans="1:48" ht="61.5" hidden="1">
      <c r="A140"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Global_PopulationHT1024</v>
      </c>
      <c r="B140" s="39" t="s">
        <v>431</v>
      </c>
      <c r="C140" s="331" t="s">
        <v>432</v>
      </c>
      <c r="D140" s="331" t="s">
        <v>447</v>
      </c>
      <c r="E140" s="34" t="s">
        <v>448</v>
      </c>
      <c r="F140" s="34"/>
      <c r="G140" s="34"/>
      <c r="H140" s="358"/>
      <c r="I140" s="354">
        <v>23479</v>
      </c>
      <c r="J140" s="96" t="s">
        <v>156</v>
      </c>
      <c r="K140" s="372">
        <v>3</v>
      </c>
      <c r="L140" s="308">
        <v>2</v>
      </c>
      <c r="M140" s="308">
        <v>3</v>
      </c>
      <c r="N140" s="308">
        <v>3</v>
      </c>
      <c r="O140" s="308">
        <v>2</v>
      </c>
      <c r="P140" s="308">
        <v>2</v>
      </c>
      <c r="Q140" s="309">
        <v>3</v>
      </c>
      <c r="R140" s="341">
        <v>3</v>
      </c>
      <c r="S140" s="310"/>
      <c r="T140" s="308"/>
      <c r="U140" s="308"/>
      <c r="V140" s="308"/>
      <c r="W140" s="332" t="str">
        <f>IF(COUNTIF(tblSeverityAnalysis[[#This Row],[CCCM]:[WASH]], 1)=0, "", COUNTIF(tblSeverityAnalysis[[#This Row],[CCCM]:[WASH]], 1))</f>
        <v/>
      </c>
      <c r="X140" s="333">
        <f>IF(COUNTIF(tblSeverityAnalysis[[#This Row],[CCCM]:[WASH]], 2)=0, "", COUNTIF(tblSeverityAnalysis[[#This Row],[CCCM]:[WASH]], 2))</f>
        <v>3</v>
      </c>
      <c r="Y140" s="333">
        <f>IF(COUNTIF(tblSeverityAnalysis[[#This Row],[CCCM]:[WASH]], 3)=0, "", COUNTIF(tblSeverityAnalysis[[#This Row],[CCCM]:[WASH]], 3))</f>
        <v>5</v>
      </c>
      <c r="Z140" s="333" t="str">
        <f>IF(COUNTIF(tblSeverityAnalysis[[#This Row],[CCCM]:[WASH]], 4)=0, "", COUNTIF(tblSeverityAnalysis[[#This Row],[CCCM]:[WASH]], 4))</f>
        <v/>
      </c>
      <c r="AA140" s="334" t="str">
        <f>IF(COUNTIF(tblSeverityAnalysis[[#This Row],[CCCM]:[WASH]], 5)=0, "", COUNTIF(tblSeverityAnalysis[[#This Row],[CCCM]:[WASH]], 5))</f>
        <v/>
      </c>
      <c r="AB140" s="60" cm="1">
        <f t="array" ref="AB140">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0"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40" s="33">
        <f>IFERROR(IF(INDEX(tblSeverityReference[Malnutrition Severity],MATCH(tblSeverityAnalysis[[#This Row],[ID]], tblSeverityReference[ID], 0))= "", "",INDEX(tblSeverityReference[Malnutrition Severity],MATCH(tblSeverityAnalysis[[#This Row],[ID]], tblSeverityReference[ID], 0)) ), "")</f>
        <v>2</v>
      </c>
      <c r="AE140" s="347">
        <f>IFERROR(IF(INDEX(tblSeverityReference[Epidemic Severity],MATCH(tblSeverityAnalysis[[#This Row],[ID]], tblSeverityReference[ID], 0))= "", "",INDEX(tblSeverityReference[Epidemic Severity],MATCH(tblSeverityAnalysis[[#This Row],[ID]], tblSeverityReference[ID], 0)) ), "")</f>
        <v>1</v>
      </c>
      <c r="AF140" s="310" t="str">
        <f>IFERROR(IF(INDEX(tblSeverityReference[Coping Strategy Severity],MATCH(tblSeverityAnalysis[[#This Row],[ID]], tblSeverityReference[ID], 0))= "", "",INDEX(tblSeverityReference[Coping Strategy Severity],MATCH(tblSeverityAnalysis[[#This Row],[ID]], tblSeverityReference[ID], 0)) ), "")</f>
        <v/>
      </c>
      <c r="AG140" s="348">
        <f>IFERROR(IF(INDEX(tblSeverityReference[HR/IHL Violation],MATCH(tblSeverityAnalysis[[#This Row],[ID]], tblSeverityReference[ID], 0))= "", "",INDEX(tblSeverityReference[HR/IHL Violation],MATCH(tblSeverityAnalysis[[#This Row],[ID]], tblSeverityReference[ID], 0)) ), "")</f>
        <v>3</v>
      </c>
      <c r="AH140" s="82">
        <f>IFERROR(AVERAGE(tblSeverityAnalysis[[#This Row],[CCCM]:[WASH]]), "")</f>
        <v>2.625</v>
      </c>
      <c r="AI140" s="27">
        <f>IF(SUM(tblSeverityAnalysis[[#This Row],[CCCM]:[WASH]])=0, "", MAX(tblSeverityAnalysis[[#This Row],[CCCM]:[WASH]]))</f>
        <v>3</v>
      </c>
      <c r="AJ140" s="335" t="str" cm="1">
        <f t="array" ref="AJ140">IFERROR(IF(tblSeverityAnalysis[[#This Row],[Highest Severity]]="", "", _xlfn.TEXTJOIN(CHAR(10), TRUE, IF(tblSeverityAnalysis[[#This Row],[CCCM]:[WASH]]=tblSeverityAnalysis[[#This Row],[Highest Severity]], tblSeverityAnalysis[[#Headers],[CCCM]:[WASH]], ""), "")), "")</f>
        <v>CCCM
Nutrition
Food Security
Shelter
WASH</v>
      </c>
      <c r="AK140" s="27" cm="1">
        <f t="array" ref="AK140">IFERROR(MAX(_xlfn._xlws.FILTER(tblSeverityAnalysis[[#This Row],[CCCM]:[WASH]], tblSeverityAnalysis[[#This Row],[CCCM]:[WASH]]&lt;tblSeverityAnalysis[[#This Row],[Highest Severity]])), "")</f>
        <v>2</v>
      </c>
      <c r="AL140" s="324" t="str" cm="1">
        <f t="array" ref="AL140">IFERROR(IF(tblSeverityAnalysis[[#This Row],[2nd Highest Severity]]="", "", _xlfn.TEXTJOIN(CHAR(10), TRUE, IF(tblSeverityAnalysis[[#This Row],[CCCM]:[WASH]]=tblSeverityAnalysis[[#This Row],[2nd Highest Severity]], tblSeverityAnalysis[[#Headers],[CCCM]:[WASH]], ""), "")), "")</f>
        <v>Education
Health
Protection</v>
      </c>
      <c r="AM140" s="132" t="str">
        <f>IFERROR(IF(AND(tblSeverityAnalysis[[#This Row],[5]] &lt;&gt; "", tblSeverityAnalysis[[#This Row],[5]]&gt;=sectors_sev_5), "Flagged", ""), "")</f>
        <v/>
      </c>
      <c r="AN140" s="133" t="str">
        <f>IFERROR(IF(AND(tblSeverityAnalysis[[#This Row],[Preliminary Intersectoral Severity based on overlap of sectoral deprivations]]=4, SUM(tblSeverityAnalysis[[#This Row],[ 4 ]:[5]])&gt;=sectors_sev_4), "Flagged", ""), "")</f>
        <v/>
      </c>
      <c r="AO140" s="133" t="str" cm="1">
        <f t="array" ref="AO140">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40"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0" s="337"/>
      <c r="AR140" s="338"/>
      <c r="AS140" s="337"/>
      <c r="AT140" s="353">
        <f>COUNTIF(tblSeverityAnalysis[[#This Row],[1 sector in severity phase 5 '[modify the threshold']]:[Manual Flag]], "Flagged")</f>
        <v>2</v>
      </c>
      <c r="AU140" s="339">
        <f>tblSeverityAnalysis[[#This Row],[Preliminary Intersectoral Severity based on overlap of sectoral deprivations]]</f>
        <v>3</v>
      </c>
      <c r="AV140" s="340"/>
    </row>
    <row r="141" spans="1:48" ht="49.15" hidden="1">
      <c r="A141"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Global_PopulationHT1025</v>
      </c>
      <c r="B141" s="39" t="s">
        <v>431</v>
      </c>
      <c r="C141" s="331" t="s">
        <v>432</v>
      </c>
      <c r="D141" s="331" t="s">
        <v>449</v>
      </c>
      <c r="E141" s="34" t="s">
        <v>450</v>
      </c>
      <c r="F141" s="34"/>
      <c r="G141" s="34"/>
      <c r="H141" s="357"/>
      <c r="I141" s="354">
        <v>32168</v>
      </c>
      <c r="J141" s="96" t="s">
        <v>156</v>
      </c>
      <c r="K141" s="372">
        <v>3</v>
      </c>
      <c r="L141" s="308">
        <v>2</v>
      </c>
      <c r="M141" s="308">
        <v>3</v>
      </c>
      <c r="N141" s="308">
        <v>3</v>
      </c>
      <c r="O141" s="308">
        <v>2</v>
      </c>
      <c r="P141" s="308">
        <v>2</v>
      </c>
      <c r="Q141" s="309">
        <v>3</v>
      </c>
      <c r="R141" s="341">
        <v>2</v>
      </c>
      <c r="S141" s="310"/>
      <c r="T141" s="308"/>
      <c r="U141" s="308"/>
      <c r="V141" s="308"/>
      <c r="W141" s="332" t="str">
        <f>IF(COUNTIF(tblSeverityAnalysis[[#This Row],[CCCM]:[WASH]], 1)=0, "", COUNTIF(tblSeverityAnalysis[[#This Row],[CCCM]:[WASH]], 1))</f>
        <v/>
      </c>
      <c r="X141" s="333">
        <f>IF(COUNTIF(tblSeverityAnalysis[[#This Row],[CCCM]:[WASH]], 2)=0, "", COUNTIF(tblSeverityAnalysis[[#This Row],[CCCM]:[WASH]], 2))</f>
        <v>4</v>
      </c>
      <c r="Y141" s="333">
        <f>IF(COUNTIF(tblSeverityAnalysis[[#This Row],[CCCM]:[WASH]], 3)=0, "", COUNTIF(tblSeverityAnalysis[[#This Row],[CCCM]:[WASH]], 3))</f>
        <v>4</v>
      </c>
      <c r="Z141" s="333" t="str">
        <f>IF(COUNTIF(tblSeverityAnalysis[[#This Row],[CCCM]:[WASH]], 4)=0, "", COUNTIF(tblSeverityAnalysis[[#This Row],[CCCM]:[WASH]], 4))</f>
        <v/>
      </c>
      <c r="AA141" s="334" t="str">
        <f>IF(COUNTIF(tblSeverityAnalysis[[#This Row],[CCCM]:[WASH]], 5)=0, "", COUNTIF(tblSeverityAnalysis[[#This Row],[CCCM]:[WASH]], 5))</f>
        <v/>
      </c>
      <c r="AB141" s="60" cm="1">
        <f t="array" ref="AB141">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1"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41" s="33">
        <f>IFERROR(IF(INDEX(tblSeverityReference[Malnutrition Severity],MATCH(tblSeverityAnalysis[[#This Row],[ID]], tblSeverityReference[ID], 0))= "", "",INDEX(tblSeverityReference[Malnutrition Severity],MATCH(tblSeverityAnalysis[[#This Row],[ID]], tblSeverityReference[ID], 0)) ), "")</f>
        <v>2</v>
      </c>
      <c r="AE141" s="347">
        <f>IFERROR(IF(INDEX(tblSeverityReference[Epidemic Severity],MATCH(tblSeverityAnalysis[[#This Row],[ID]], tblSeverityReference[ID], 0))= "", "",INDEX(tblSeverityReference[Epidemic Severity],MATCH(tblSeverityAnalysis[[#This Row],[ID]], tblSeverityReference[ID], 0)) ), "")</f>
        <v>1</v>
      </c>
      <c r="AF141" s="310" t="str">
        <f>IFERROR(IF(INDEX(tblSeverityReference[Coping Strategy Severity],MATCH(tblSeverityAnalysis[[#This Row],[ID]], tblSeverityReference[ID], 0))= "", "",INDEX(tblSeverityReference[Coping Strategy Severity],MATCH(tblSeverityAnalysis[[#This Row],[ID]], tblSeverityReference[ID], 0)) ), "")</f>
        <v/>
      </c>
      <c r="AG141" s="108">
        <f>IFERROR(IF(INDEX(tblSeverityReference[HR/IHL Violation],MATCH(tblSeverityAnalysis[[#This Row],[ID]], tblSeverityReference[ID], 0))= "", "",INDEX(tblSeverityReference[HR/IHL Violation],MATCH(tblSeverityAnalysis[[#This Row],[ID]], tblSeverityReference[ID], 0)) ), "")</f>
        <v>3</v>
      </c>
      <c r="AH141" s="82">
        <f>IFERROR(AVERAGE(tblSeverityAnalysis[[#This Row],[CCCM]:[WASH]]), "")</f>
        <v>2.5</v>
      </c>
      <c r="AI141" s="27">
        <f>IF(SUM(tblSeverityAnalysis[[#This Row],[CCCM]:[WASH]])=0, "", MAX(tblSeverityAnalysis[[#This Row],[CCCM]:[WASH]]))</f>
        <v>3</v>
      </c>
      <c r="AJ141" s="335" t="str" cm="1">
        <f t="array" ref="AJ141">IFERROR(IF(tblSeverityAnalysis[[#This Row],[Highest Severity]]="", "", _xlfn.TEXTJOIN(CHAR(10), TRUE, IF(tblSeverityAnalysis[[#This Row],[CCCM]:[WASH]]=tblSeverityAnalysis[[#This Row],[Highest Severity]], tblSeverityAnalysis[[#Headers],[CCCM]:[WASH]], ""), "")), "")</f>
        <v>CCCM
Nutrition
Food Security
Shelter</v>
      </c>
      <c r="AK141" s="27" cm="1">
        <f t="array" ref="AK141">IFERROR(MAX(_xlfn._xlws.FILTER(tblSeverityAnalysis[[#This Row],[CCCM]:[WASH]], tblSeverityAnalysis[[#This Row],[CCCM]:[WASH]]&lt;tblSeverityAnalysis[[#This Row],[Highest Severity]])), "")</f>
        <v>2</v>
      </c>
      <c r="AL141" s="324" t="str" cm="1">
        <f t="array" ref="AL141">IFERROR(IF(tblSeverityAnalysis[[#This Row],[2nd Highest Severity]]="", "", _xlfn.TEXTJOIN(CHAR(10), TRUE, IF(tblSeverityAnalysis[[#This Row],[CCCM]:[WASH]]=tblSeverityAnalysis[[#This Row],[2nd Highest Severity]], tblSeverityAnalysis[[#Headers],[CCCM]:[WASH]], ""), "")), "")</f>
        <v>Education
Health
Protection
WASH</v>
      </c>
      <c r="AM141" s="132" t="str">
        <f>IFERROR(IF(AND(tblSeverityAnalysis[[#This Row],[5]] &lt;&gt; "", tblSeverityAnalysis[[#This Row],[5]]&gt;=sectors_sev_5), "Flagged", ""), "")</f>
        <v/>
      </c>
      <c r="AN141" s="133" t="str">
        <f>IFERROR(IF(AND(tblSeverityAnalysis[[#This Row],[Preliminary Intersectoral Severity based on overlap of sectoral deprivations]]=4, SUM(tblSeverityAnalysis[[#This Row],[ 4 ]:[5]])&gt;=sectors_sev_4), "Flagged", ""), "")</f>
        <v/>
      </c>
      <c r="AO141" s="133" t="str" cm="1">
        <f t="array" ref="AO141">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41"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1" s="337"/>
      <c r="AR141" s="338"/>
      <c r="AS141" s="337"/>
      <c r="AT141" s="353">
        <f>COUNTIF(tblSeverityAnalysis[[#This Row],[1 sector in severity phase 5 '[modify the threshold']]:[Manual Flag]], "Flagged")</f>
        <v>2</v>
      </c>
      <c r="AU141" s="339">
        <f>tblSeverityAnalysis[[#This Row],[Preliminary Intersectoral Severity based on overlap of sectoral deprivations]]</f>
        <v>3</v>
      </c>
      <c r="AV141" s="340"/>
    </row>
    <row r="142" spans="1:48" ht="36.950000000000003" hidden="1">
      <c r="A142"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Global_PopulationHT1031</v>
      </c>
      <c r="B142" s="39" t="s">
        <v>431</v>
      </c>
      <c r="C142" s="331" t="s">
        <v>432</v>
      </c>
      <c r="D142" s="331" t="s">
        <v>451</v>
      </c>
      <c r="E142" s="34" t="s">
        <v>452</v>
      </c>
      <c r="F142" s="34"/>
      <c r="G142" s="34"/>
      <c r="H142" s="358"/>
      <c r="I142" s="354">
        <v>45622</v>
      </c>
      <c r="J142" s="96" t="s">
        <v>156</v>
      </c>
      <c r="K142" s="372">
        <v>3</v>
      </c>
      <c r="L142" s="308">
        <v>2</v>
      </c>
      <c r="M142" s="308">
        <v>2</v>
      </c>
      <c r="N142" s="308">
        <v>3</v>
      </c>
      <c r="O142" s="308">
        <v>2</v>
      </c>
      <c r="P142" s="308">
        <v>2</v>
      </c>
      <c r="Q142" s="309">
        <v>3</v>
      </c>
      <c r="R142" s="341">
        <v>4</v>
      </c>
      <c r="S142" s="310"/>
      <c r="T142" s="308"/>
      <c r="U142" s="308"/>
      <c r="V142" s="308"/>
      <c r="W142" s="332" t="str">
        <f>IF(COUNTIF(tblSeverityAnalysis[[#This Row],[CCCM]:[WASH]], 1)=0, "", COUNTIF(tblSeverityAnalysis[[#This Row],[CCCM]:[WASH]], 1))</f>
        <v/>
      </c>
      <c r="X142" s="333">
        <f>IF(COUNTIF(tblSeverityAnalysis[[#This Row],[CCCM]:[WASH]], 2)=0, "", COUNTIF(tblSeverityAnalysis[[#This Row],[CCCM]:[WASH]], 2))</f>
        <v>4</v>
      </c>
      <c r="Y142" s="333">
        <f>IF(COUNTIF(tblSeverityAnalysis[[#This Row],[CCCM]:[WASH]], 3)=0, "", COUNTIF(tblSeverityAnalysis[[#This Row],[CCCM]:[WASH]], 3))</f>
        <v>3</v>
      </c>
      <c r="Z142" s="333">
        <f>IF(COUNTIF(tblSeverityAnalysis[[#This Row],[CCCM]:[WASH]], 4)=0, "", COUNTIF(tblSeverityAnalysis[[#This Row],[CCCM]:[WASH]], 4))</f>
        <v>1</v>
      </c>
      <c r="AA142" s="334" t="str">
        <f>IF(COUNTIF(tblSeverityAnalysis[[#This Row],[CCCM]:[WASH]], 5)=0, "", COUNTIF(tblSeverityAnalysis[[#This Row],[CCCM]:[WASH]], 5))</f>
        <v/>
      </c>
      <c r="AB142" s="60" cm="1">
        <f t="array" ref="AB142">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2"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42" s="33">
        <f>IFERROR(IF(INDEX(tblSeverityReference[Malnutrition Severity],MATCH(tblSeverityAnalysis[[#This Row],[ID]], tblSeverityReference[ID], 0))= "", "",INDEX(tblSeverityReference[Malnutrition Severity],MATCH(tblSeverityAnalysis[[#This Row],[ID]], tblSeverityReference[ID], 0)) ), "")</f>
        <v>2</v>
      </c>
      <c r="AE142" s="347">
        <f>IFERROR(IF(INDEX(tblSeverityReference[Epidemic Severity],MATCH(tblSeverityAnalysis[[#This Row],[ID]], tblSeverityReference[ID], 0))= "", "",INDEX(tblSeverityReference[Epidemic Severity],MATCH(tblSeverityAnalysis[[#This Row],[ID]], tblSeverityReference[ID], 0)) ), "")</f>
        <v>3</v>
      </c>
      <c r="AF142" s="310" t="str">
        <f>IFERROR(IF(INDEX(tblSeverityReference[Coping Strategy Severity],MATCH(tblSeverityAnalysis[[#This Row],[ID]], tblSeverityReference[ID], 0))= "", "",INDEX(tblSeverityReference[Coping Strategy Severity],MATCH(tblSeverityAnalysis[[#This Row],[ID]], tblSeverityReference[ID], 0)) ), "")</f>
        <v/>
      </c>
      <c r="AG142" s="348">
        <f>IFERROR(IF(INDEX(tblSeverityReference[HR/IHL Violation],MATCH(tblSeverityAnalysis[[#This Row],[ID]], tblSeverityReference[ID], 0))= "", "",INDEX(tblSeverityReference[HR/IHL Violation],MATCH(tblSeverityAnalysis[[#This Row],[ID]], tblSeverityReference[ID], 0)) ), "")</f>
        <v>3</v>
      </c>
      <c r="AH142" s="82">
        <f>IFERROR(AVERAGE(tblSeverityAnalysis[[#This Row],[CCCM]:[WASH]]), "")</f>
        <v>2.625</v>
      </c>
      <c r="AI142" s="27">
        <f>IF(SUM(tblSeverityAnalysis[[#This Row],[CCCM]:[WASH]])=0, "", MAX(tblSeverityAnalysis[[#This Row],[CCCM]:[WASH]]))</f>
        <v>4</v>
      </c>
      <c r="AJ142" s="335" t="str" cm="1">
        <f t="array" ref="AJ142">IFERROR(IF(tblSeverityAnalysis[[#This Row],[Highest Severity]]="", "", _xlfn.TEXTJOIN(CHAR(10), TRUE, IF(tblSeverityAnalysis[[#This Row],[CCCM]:[WASH]]=tblSeverityAnalysis[[#This Row],[Highest Severity]], tblSeverityAnalysis[[#Headers],[CCCM]:[WASH]], ""), "")), "")</f>
        <v>WASH</v>
      </c>
      <c r="AK142" s="27" cm="1">
        <f t="array" ref="AK142">IFERROR(MAX(_xlfn._xlws.FILTER(tblSeverityAnalysis[[#This Row],[CCCM]:[WASH]], tblSeverityAnalysis[[#This Row],[CCCM]:[WASH]]&lt;tblSeverityAnalysis[[#This Row],[Highest Severity]])), "")</f>
        <v>3</v>
      </c>
      <c r="AL142" s="324" t="str" cm="1">
        <f t="array" ref="AL142">IFERROR(IF(tblSeverityAnalysis[[#This Row],[2nd Highest Severity]]="", "", _xlfn.TEXTJOIN(CHAR(10), TRUE, IF(tblSeverityAnalysis[[#This Row],[CCCM]:[WASH]]=tblSeverityAnalysis[[#This Row],[2nd Highest Severity]], tblSeverityAnalysis[[#Headers],[CCCM]:[WASH]], ""), "")), "")</f>
        <v>CCCM
Food Security
Shelter</v>
      </c>
      <c r="AM142" s="132" t="str">
        <f>IFERROR(IF(AND(tblSeverityAnalysis[[#This Row],[5]] &lt;&gt; "", tblSeverityAnalysis[[#This Row],[5]]&gt;=sectors_sev_5), "Flagged", ""), "")</f>
        <v/>
      </c>
      <c r="AN142" s="133" t="str">
        <f>IFERROR(IF(AND(tblSeverityAnalysis[[#This Row],[Preliminary Intersectoral Severity based on overlap of sectoral deprivations]]=4, SUM(tblSeverityAnalysis[[#This Row],[ 4 ]:[5]])&gt;=sectors_sev_4), "Flagged", ""), "")</f>
        <v/>
      </c>
      <c r="AO142" s="133" t="str" cm="1">
        <f t="array" ref="AO142">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2"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2" s="337"/>
      <c r="AR142" s="338"/>
      <c r="AS142" s="337"/>
      <c r="AT142" s="353">
        <f>COUNTIF(tblSeverityAnalysis[[#This Row],[1 sector in severity phase 5 '[modify the threshold']]:[Manual Flag]], "Flagged")</f>
        <v>0</v>
      </c>
      <c r="AU142" s="339">
        <f>tblSeverityAnalysis[[#This Row],[Preliminary Intersectoral Severity based on overlap of sectoral deprivations]]</f>
        <v>3</v>
      </c>
      <c r="AV142" s="340"/>
    </row>
    <row r="143" spans="1:48" ht="61.5" hidden="1">
      <c r="A143"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Global_PopulationHT1032</v>
      </c>
      <c r="B143" s="39" t="s">
        <v>431</v>
      </c>
      <c r="C143" s="331" t="s">
        <v>432</v>
      </c>
      <c r="D143" s="331" t="s">
        <v>453</v>
      </c>
      <c r="E143" s="34" t="s">
        <v>454</v>
      </c>
      <c r="F143" s="34"/>
      <c r="G143" s="34"/>
      <c r="H143" s="357"/>
      <c r="I143" s="354">
        <v>6460</v>
      </c>
      <c r="J143" s="96" t="s">
        <v>156</v>
      </c>
      <c r="K143" s="372">
        <v>3</v>
      </c>
      <c r="L143" s="308">
        <v>2</v>
      </c>
      <c r="M143" s="308">
        <v>3</v>
      </c>
      <c r="N143" s="308">
        <v>3</v>
      </c>
      <c r="O143" s="308">
        <v>3</v>
      </c>
      <c r="P143" s="308">
        <v>2</v>
      </c>
      <c r="Q143" s="309">
        <v>3</v>
      </c>
      <c r="R143" s="341">
        <v>2</v>
      </c>
      <c r="S143" s="310"/>
      <c r="T143" s="308"/>
      <c r="U143" s="308"/>
      <c r="V143" s="308"/>
      <c r="W143" s="332" t="str">
        <f>IF(COUNTIF(tblSeverityAnalysis[[#This Row],[CCCM]:[WASH]], 1)=0, "", COUNTIF(tblSeverityAnalysis[[#This Row],[CCCM]:[WASH]], 1))</f>
        <v/>
      </c>
      <c r="X143" s="333">
        <f>IF(COUNTIF(tblSeverityAnalysis[[#This Row],[CCCM]:[WASH]], 2)=0, "", COUNTIF(tblSeverityAnalysis[[#This Row],[CCCM]:[WASH]], 2))</f>
        <v>3</v>
      </c>
      <c r="Y143" s="333">
        <f>IF(COUNTIF(tblSeverityAnalysis[[#This Row],[CCCM]:[WASH]], 3)=0, "", COUNTIF(tblSeverityAnalysis[[#This Row],[CCCM]:[WASH]], 3))</f>
        <v>5</v>
      </c>
      <c r="Z143" s="333" t="str">
        <f>IF(COUNTIF(tblSeverityAnalysis[[#This Row],[CCCM]:[WASH]], 4)=0, "", COUNTIF(tblSeverityAnalysis[[#This Row],[CCCM]:[WASH]], 4))</f>
        <v/>
      </c>
      <c r="AA143" s="334" t="str">
        <f>IF(COUNTIF(tblSeverityAnalysis[[#This Row],[CCCM]:[WASH]], 5)=0, "", COUNTIF(tblSeverityAnalysis[[#This Row],[CCCM]:[WASH]], 5))</f>
        <v/>
      </c>
      <c r="AB143" s="60" cm="1">
        <f t="array" ref="AB143">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3</v>
      </c>
      <c r="AC143" s="305">
        <f>IFERROR(IF(INDEX(tblSeverityReference[Death or Iminanet Risk of Death Severity],MATCH(tblSeverityAnalysis[[#This Row],[ID]], tblSeverityReference[ID], 0))= "", "",INDEX(tblSeverityReference[Death or Iminanet Risk of Death Severity],MATCH(tblSeverityAnalysis[[#This Row],[ID]], tblSeverityReference[ID], 0)) ), "")</f>
        <v>3</v>
      </c>
      <c r="AD143" s="33">
        <f>IFERROR(IF(INDEX(tblSeverityReference[Malnutrition Severity],MATCH(tblSeverityAnalysis[[#This Row],[ID]], tblSeverityReference[ID], 0))= "", "",INDEX(tblSeverityReference[Malnutrition Severity],MATCH(tblSeverityAnalysis[[#This Row],[ID]], tblSeverityReference[ID], 0)) ), "")</f>
        <v>2</v>
      </c>
      <c r="AE143" s="347">
        <f>IFERROR(IF(INDEX(tblSeverityReference[Epidemic Severity],MATCH(tblSeverityAnalysis[[#This Row],[ID]], tblSeverityReference[ID], 0))= "", "",INDEX(tblSeverityReference[Epidemic Severity],MATCH(tblSeverityAnalysis[[#This Row],[ID]], tblSeverityReference[ID], 0)) ), "")</f>
        <v>1</v>
      </c>
      <c r="AF143" s="310" t="str">
        <f>IFERROR(IF(INDEX(tblSeverityReference[Coping Strategy Severity],MATCH(tblSeverityAnalysis[[#This Row],[ID]], tblSeverityReference[ID], 0))= "", "",INDEX(tblSeverityReference[Coping Strategy Severity],MATCH(tblSeverityAnalysis[[#This Row],[ID]], tblSeverityReference[ID], 0)) ), "")</f>
        <v/>
      </c>
      <c r="AG143" s="108">
        <f>IFERROR(IF(INDEX(tblSeverityReference[HR/IHL Violation],MATCH(tblSeverityAnalysis[[#This Row],[ID]], tblSeverityReference[ID], 0))= "", "",INDEX(tblSeverityReference[HR/IHL Violation],MATCH(tblSeverityAnalysis[[#This Row],[ID]], tblSeverityReference[ID], 0)) ), "")</f>
        <v>3</v>
      </c>
      <c r="AH143" s="82">
        <f>IFERROR(AVERAGE(tblSeverityAnalysis[[#This Row],[CCCM]:[WASH]]), "")</f>
        <v>2.625</v>
      </c>
      <c r="AI143" s="27">
        <f>IF(SUM(tblSeverityAnalysis[[#This Row],[CCCM]:[WASH]])=0, "", MAX(tblSeverityAnalysis[[#This Row],[CCCM]:[WASH]]))</f>
        <v>3</v>
      </c>
      <c r="AJ143" s="335" t="str" cm="1">
        <f t="array" ref="AJ143">IFERROR(IF(tblSeverityAnalysis[[#This Row],[Highest Severity]]="", "", _xlfn.TEXTJOIN(CHAR(10), TRUE, IF(tblSeverityAnalysis[[#This Row],[CCCM]:[WASH]]=tblSeverityAnalysis[[#This Row],[Highest Severity]], tblSeverityAnalysis[[#Headers],[CCCM]:[WASH]], ""), "")), "")</f>
        <v>CCCM
Nutrition
Food Security
Health
Shelter</v>
      </c>
      <c r="AK143" s="27" cm="1">
        <f t="array" ref="AK143">IFERROR(MAX(_xlfn._xlws.FILTER(tblSeverityAnalysis[[#This Row],[CCCM]:[WASH]], tblSeverityAnalysis[[#This Row],[CCCM]:[WASH]]&lt;tblSeverityAnalysis[[#This Row],[Highest Severity]])), "")</f>
        <v>2</v>
      </c>
      <c r="AL143" s="324" t="str" cm="1">
        <f t="array" ref="AL143">IFERROR(IF(tblSeverityAnalysis[[#This Row],[2nd Highest Severity]]="", "", _xlfn.TEXTJOIN(CHAR(10), TRUE, IF(tblSeverityAnalysis[[#This Row],[CCCM]:[WASH]]=tblSeverityAnalysis[[#This Row],[2nd Highest Severity]], tblSeverityAnalysis[[#Headers],[CCCM]:[WASH]], ""), "")), "")</f>
        <v>Education
Protection
WASH</v>
      </c>
      <c r="AM143" s="132" t="str">
        <f>IFERROR(IF(AND(tblSeverityAnalysis[[#This Row],[5]] &lt;&gt; "", tblSeverityAnalysis[[#This Row],[5]]&gt;=sectors_sev_5), "Flagged", ""), "")</f>
        <v/>
      </c>
      <c r="AN143" s="133" t="str">
        <f>IFERROR(IF(AND(tblSeverityAnalysis[[#This Row],[Preliminary Intersectoral Severity based on overlap of sectoral deprivations]]=4, SUM(tblSeverityAnalysis[[#This Row],[ 4 ]:[5]])&gt;=sectors_sev_4), "Flagged", ""), "")</f>
        <v/>
      </c>
      <c r="AO143" s="133" t="str" cm="1">
        <f t="array" ref="AO143">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Flagged</v>
      </c>
      <c r="AP143"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Flagged</v>
      </c>
      <c r="AQ143" s="337"/>
      <c r="AR143" s="338"/>
      <c r="AS143" s="337"/>
      <c r="AT143" s="353">
        <f>COUNTIF(tblSeverityAnalysis[[#This Row],[1 sector in severity phase 5 '[modify the threshold']]:[Manual Flag]], "Flagged")</f>
        <v>2</v>
      </c>
      <c r="AU143" s="339">
        <f>tblSeverityAnalysis[[#This Row],[Preliminary Intersectoral Severity based on overlap of sectoral deprivations]]</f>
        <v>3</v>
      </c>
      <c r="AV143" s="340"/>
    </row>
    <row r="144" spans="1:48" ht="15" hidden="1" customHeight="1">
      <c r="A144" s="330" t="str">
        <f>IFERROR(_xlfn.CONCAT(IF(tblSeverityAnalysis[[#This Row],[Population Group]]="", "",tblSeverityAnalysis[[#This Row],[Population Group]] ), IF(tblSeverityAnalysis[[#This Row],[Pocket of need]]&lt;&gt;"",tblSeverityAnalysis[[#This Row],[Pocket of need]],), _xlfn.IFS(tblSeverityAnalysis[[#This Row],[Admin 3 P-Code]]&lt;&gt;"", tblSeverityAnalysis[[#This Row],[Admin 3 P-Code]], tblSeverityAnalysis[[#This Row],[Admin 2 P-Code]]&lt;&gt;"", tblSeverityAnalysis[[#This Row],[Admin 2 P-Code]], tblSeverityAnalysis[[#This Row],[Admin 1 P-Code]]&lt;&gt;"", tblSeverityAnalysis[[#This Row],[Admin 1 P-Code]])),"")</f>
        <v>IDPsIDPs SitesHT01xx</v>
      </c>
      <c r="B144" s="39" t="s">
        <v>152</v>
      </c>
      <c r="C144" s="331" t="s">
        <v>153</v>
      </c>
      <c r="D144" s="331" t="s">
        <v>455</v>
      </c>
      <c r="E144" s="34" t="s">
        <v>456</v>
      </c>
      <c r="F144" s="34"/>
      <c r="G144" s="34"/>
      <c r="H144" s="368" t="s">
        <v>562</v>
      </c>
      <c r="I144" s="96"/>
      <c r="J144" s="96" t="s">
        <v>458</v>
      </c>
      <c r="K144" s="305"/>
      <c r="L144" s="308"/>
      <c r="M144" s="308"/>
      <c r="N144" s="308">
        <v>4</v>
      </c>
      <c r="O144" s="308"/>
      <c r="P144" s="308"/>
      <c r="Q144" s="309"/>
      <c r="R144" s="308"/>
      <c r="S144" s="308"/>
      <c r="T144" s="308"/>
      <c r="U144" s="308"/>
      <c r="V144" s="308"/>
      <c r="W144" s="332" t="str">
        <f>IF(COUNTIF(tblSeverityAnalysis[[#This Row],[CCCM]:[WASH]], 1)=0, "", COUNTIF(tblSeverityAnalysis[[#This Row],[CCCM]:[WASH]], 1))</f>
        <v/>
      </c>
      <c r="X144" s="333" t="str">
        <f>IF(COUNTIF(tblSeverityAnalysis[[#This Row],[CCCM]:[WASH]], 2)=0, "", COUNTIF(tblSeverityAnalysis[[#This Row],[CCCM]:[WASH]], 2))</f>
        <v/>
      </c>
      <c r="Y144" s="333" t="str">
        <f>IF(COUNTIF(tblSeverityAnalysis[[#This Row],[CCCM]:[WASH]], 3)=0, "", COUNTIF(tblSeverityAnalysis[[#This Row],[CCCM]:[WASH]], 3))</f>
        <v/>
      </c>
      <c r="Z144" s="333">
        <f>IF(COUNTIF(tblSeverityAnalysis[[#This Row],[CCCM]:[WASH]], 4)=0, "", COUNTIF(tblSeverityAnalysis[[#This Row],[CCCM]:[WASH]], 4))</f>
        <v>1</v>
      </c>
      <c r="AA144" s="334" t="str">
        <f>IF(COUNTIF(tblSeverityAnalysis[[#This Row],[CCCM]:[WASH]], 5)=0, "", COUNTIF(tblSeverityAnalysis[[#This Row],[CCCM]:[WASH]], 5))</f>
        <v/>
      </c>
      <c r="AB144" s="60" cm="1">
        <f t="array" ref="AB144">_xlfn.IFS(SUM(tblSeverityAnalysis[[#This Row],[CCCM]:[WASH]])=0, "",
AND(COUNTIF(tblSeverityAnalysis[[#This Row],[CCCM]:[WASH]], "5")&gt;=2, COUNTIF(tblSeverityAnalysis[[#This Row],[CCCM]:[WASH]], "&gt;=4") &gt;=4), 5,
COUNTIF(tblSeverityAnalysis[[#This Row],[CCCM]:[WASH]], "&gt;=4") &gt;=4, 4,
COUNTIF(tblSeverityAnalysis[[#This Row],[CCCM]:[WASH]], "&gt;=3")&gt;=4, 3,
COUNTIF(tblSeverityAnalysis[[#This Row],[CCCM]:[WASH]], "&gt;=2")&gt;=4, 2,
COUNTIF(tblSeverityAnalysis[[#This Row],[CCCM]:[WASH]], "&gt;=2")&lt; 4, 1 )</f>
        <v>1</v>
      </c>
      <c r="AC144" s="305" t="str">
        <f>IFERROR(IF(INDEX(tblSeverityReference[Death or Iminanet Risk of Death Severity],MATCH(tblSeverityAnalysis[[#This Row],[ID]], tblSeverityReference[ID], 0))= "", "",INDEX(tblSeverityReference[Death or Iminanet Risk of Death Severity],MATCH(tblSeverityAnalysis[[#This Row],[ID]], tblSeverityReference[ID], 0)) ), "")</f>
        <v/>
      </c>
      <c r="AD144" s="41" t="str">
        <f>IFERROR(IF(INDEX(tblSeverityReference[Malnutrition Severity],MATCH(tblSeverityAnalysis[[#This Row],[ID]], tblSeverityReference[ID], 0))= "", "",INDEX(tblSeverityReference[Malnutrition Severity],MATCH(tblSeverityAnalysis[[#This Row],[ID]], tblSeverityReference[ID], 0)) ), "")</f>
        <v/>
      </c>
      <c r="AE144" s="308" t="str">
        <f>IFERROR(IF(INDEX(tblSeverityReference[Epidemic Severity],MATCH(tblSeverityAnalysis[[#This Row],[ID]], tblSeverityReference[ID], 0))= "", "",INDEX(tblSeverityReference[Epidemic Severity],MATCH(tblSeverityAnalysis[[#This Row],[ID]], tblSeverityReference[ID], 0)) ), "")</f>
        <v/>
      </c>
      <c r="AF144" s="308" t="str">
        <f>IFERROR(IF(INDEX(tblSeverityReference[Coping Strategy Severity],MATCH(tblSeverityAnalysis[[#This Row],[ID]], tblSeverityReference[ID], 0))= "", "",INDEX(tblSeverityReference[Coping Strategy Severity],MATCH(tblSeverityAnalysis[[#This Row],[ID]], tblSeverityReference[ID], 0)) ), "")</f>
        <v/>
      </c>
      <c r="AG144" s="108" t="str">
        <f>IFERROR(IF(INDEX(tblSeverityReference[HR/IHL Violation],MATCH(tblSeverityAnalysis[[#This Row],[ID]], tblSeverityReference[ID], 0))= "", "",INDEX(tblSeverityReference[HR/IHL Violation],MATCH(tblSeverityAnalysis[[#This Row],[ID]], tblSeverityReference[ID], 0)) ), "")</f>
        <v/>
      </c>
      <c r="AH144" s="82">
        <f>IFERROR(AVERAGE(tblSeverityAnalysis[[#This Row],[CCCM]:[WASH]]), "")</f>
        <v>4</v>
      </c>
      <c r="AI144" s="27">
        <f>IF(SUM(tblSeverityAnalysis[[#This Row],[CCCM]:[WASH]])=0, "", MAX(tblSeverityAnalysis[[#This Row],[CCCM]:[WASH]]))</f>
        <v>4</v>
      </c>
      <c r="AJ144" s="335" t="str" cm="1">
        <f t="array" ref="AJ144">IFERROR(IF(tblSeverityAnalysis[[#This Row],[Highest Severity]]="", "", _xlfn.TEXTJOIN(CHAR(10), TRUE, IF(tblSeverityAnalysis[[#This Row],[CCCM]:[WASH]]=tblSeverityAnalysis[[#This Row],[Highest Severity]], tblSeverityAnalysis[[#Headers],[CCCM]:[WASH]], ""), "")), "")</f>
        <v>Food Security</v>
      </c>
      <c r="AK144" s="27" cm="1">
        <f t="array" ref="AK144">IFERROR(MAX(_xlfn._xlws.FILTER(tblSeverityAnalysis[[#This Row],[CCCM]:[WASH]], tblSeverityAnalysis[[#This Row],[CCCM]:[WASH]]&lt;tblSeverityAnalysis[[#This Row],[Highest Severity]])), "")</f>
        <v>0</v>
      </c>
      <c r="AL144" s="324" t="str" cm="1">
        <f t="array" ref="AL144">IFERROR(IF(tblSeverityAnalysis[[#This Row],[2nd Highest Severity]]="", "", _xlfn.TEXTJOIN(CHAR(10), TRUE, IF(tblSeverityAnalysis[[#This Row],[CCCM]:[WASH]]=tblSeverityAnalysis[[#This Row],[2nd Highest Severity]], tblSeverityAnalysis[[#Headers],[CCCM]:[WASH]], ""), "")), "")</f>
        <v>CCCM
Education
Nutrition
Health
Protection
Shelter
WASH</v>
      </c>
      <c r="AM144" s="132" t="str">
        <f>IFERROR(IF(AND(tblSeverityAnalysis[[#This Row],[5]] &lt;&gt; "", tblSeverityAnalysis[[#This Row],[5]]&gt;=sectors_sev_5), "Flagged", ""), "")</f>
        <v/>
      </c>
      <c r="AN144" s="133" t="str">
        <f>IFERROR(IF(AND(tblSeverityAnalysis[[#This Row],[Preliminary Intersectoral Severity based on overlap of sectoral deprivations]]=4, SUM(tblSeverityAnalysis[[#This Row],[ 4 ]:[5]])&gt;=sectors_sev_4), "Flagged", ""), "")</f>
        <v/>
      </c>
      <c r="AO144" s="133" t="str" cm="1">
        <f t="array" ref="AO144">IFERROR(IF(OR(_xlfn._xlws.FILTER(tblSeverityAnalysis[[#This Row],[Mortality]:[HR/IHL Violation]],tblSeverityAnalysis[[#This Row],[Mortality]:[HR/IHL Violation]]&lt;&gt; "")&lt;=tblSeverityAnalysis[[#This Row],[Preliminary Intersectoral Severity based on overlap of sectoral deprivations]]-2, _xlfn._xlws.FILTER(tblSeverityAnalysis[[#This Row],[Mortality]:[HR/IHL Violation]],tblSeverityAnalysis[[#This Row],[Mortality]:[HR/IHL Violation]]&lt;&gt; "")&gt;=tblSeverityAnalysis[[#This Row],[Preliminary Intersectoral Severity based on overlap of sectoral deprivations]]+2), "Flagged", ""), "")</f>
        <v/>
      </c>
      <c r="AP144" s="336" t="str">
        <f>IF(OR(COUNTIF(tblSeverityAnalysis[[#This Row],[Mortality]:[HR/IHL Violation]], "&lt;="&amp;tblSeverityAnalysis[[#This Row],[Preliminary Intersectoral Severity based on overlap of sectoral deprivations]]-1)&gt;=2, COUNTIF(tblSeverityAnalysis[[#This Row],[Mortality]:[HR/IHL Violation]], "&gt;="&amp;tblSeverityAnalysis[[#This Row],[Preliminary Intersectoral Severity based on overlap of sectoral deprivations]]+1)&gt;=2), "Flagged", "")</f>
        <v/>
      </c>
      <c r="AQ144" s="337"/>
      <c r="AR144" s="338"/>
      <c r="AS144" s="337"/>
      <c r="AT144" s="367">
        <f>COUNTIF(tblSeverityAnalysis[[#This Row],[1 sector in severity phase 5 '[modify the threshold']]:[Manual Flag]], "Flagged")</f>
        <v>0</v>
      </c>
      <c r="AU144" s="339">
        <v>4</v>
      </c>
      <c r="AV144" s="340"/>
    </row>
    <row r="149" spans="46:47" ht="15" customHeight="1">
      <c r="AT149" s="87" t="s">
        <v>563</v>
      </c>
      <c r="AU149" s="22">
        <f>COUNTIF(tblSeverityAnalysis[Final Severity],1)</f>
        <v>0</v>
      </c>
    </row>
    <row r="150" spans="46:47" ht="15" customHeight="1">
      <c r="AT150" s="87" t="s">
        <v>564</v>
      </c>
      <c r="AU150" s="22">
        <f>COUNTIF(tblSeverityAnalysis[Final Severity],2)</f>
        <v>15</v>
      </c>
    </row>
    <row r="151" spans="46:47" ht="15" customHeight="1">
      <c r="AT151" s="87" t="s">
        <v>565</v>
      </c>
      <c r="AU151" s="22">
        <f>COUNTIF(tblSeverityAnalysis[Final Severity],3)</f>
        <v>106</v>
      </c>
    </row>
    <row r="152" spans="46:47" ht="15" customHeight="1">
      <c r="AT152" s="87" t="s">
        <v>566</v>
      </c>
      <c r="AU152" s="22">
        <f>COUNTIF(tblSeverityAnalysis[Final Severity],4)</f>
        <v>18</v>
      </c>
    </row>
    <row r="153" spans="46:47" ht="15" customHeight="1">
      <c r="AT153" s="87" t="s">
        <v>567</v>
      </c>
      <c r="AU153" s="22">
        <f>COUNTIF(tblSeverityAnalysis[Final Severity],5)</f>
        <v>2</v>
      </c>
    </row>
  </sheetData>
  <mergeCells count="14">
    <mergeCell ref="B1:J1"/>
    <mergeCell ref="AU2:AV2"/>
    <mergeCell ref="I2:J2"/>
    <mergeCell ref="W2:AA2"/>
    <mergeCell ref="AH2:AL2"/>
    <mergeCell ref="K1:AB1"/>
    <mergeCell ref="AC2:AE2"/>
    <mergeCell ref="AM2:AN2"/>
    <mergeCell ref="AC1:AF1"/>
    <mergeCell ref="AM1:AN1"/>
    <mergeCell ref="AO2:AP2"/>
    <mergeCell ref="B2:G2"/>
    <mergeCell ref="AF2:AG2"/>
    <mergeCell ref="AQ2:AS2"/>
  </mergeCells>
  <phoneticPr fontId="9" type="noConversion"/>
  <conditionalFormatting sqref="K4:R11">
    <cfRule type="containsText" dxfId="108" priority="1" operator="containsText" text="1">
      <formula>NOT(ISERROR(SEARCH("1",K4)))</formula>
    </cfRule>
    <cfRule type="cellIs" dxfId="107" priority="2" operator="equal">
      <formula>5</formula>
    </cfRule>
    <cfRule type="cellIs" dxfId="106" priority="3" operator="equal">
      <formula>4</formula>
    </cfRule>
    <cfRule type="cellIs" dxfId="105" priority="4" operator="equal">
      <formula>3</formula>
    </cfRule>
    <cfRule type="cellIs" dxfId="104" priority="5" operator="equal">
      <formula>2</formula>
    </cfRule>
  </conditionalFormatting>
  <conditionalFormatting sqref="AM4:AR144">
    <cfRule type="containsText" dxfId="103" priority="6" operator="containsText" text="Flagged">
      <formula>NOT(ISERROR(SEARCH("Flagged",AM4)))</formula>
    </cfRule>
  </conditionalFormatting>
  <dataValidations count="1">
    <dataValidation type="list" allowBlank="1" showInputMessage="1" showErrorMessage="1" sqref="AQ4:AR144" xr:uid="{191ACA1A-DBF7-4014-A670-173F33EF2F89}">
      <formula1>"Flagged, --"</formula1>
    </dataValidation>
  </dataValidations>
  <pageMargins left="0.7" right="0.7" top="0.75" bottom="0.75" header="0.3" footer="0.3"/>
  <pageSetup paperSize="9" orientation="portrait" r:id="rId1"/>
  <ignoredErrors>
    <ignoredError sqref="AU72"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4E67-7CED-42BF-AC5E-1C6B8531985E}">
  <sheetPr codeName="Sheet5">
    <tabColor rgb="FFBDD7EE"/>
  </sheetPr>
  <dimension ref="A1:AE143"/>
  <sheetViews>
    <sheetView showGridLines="0" zoomScaleNormal="100" workbookViewId="0">
      <pane xSplit="7" ySplit="3" topLeftCell="L4" activePane="bottomRight" state="frozen"/>
      <selection pane="bottomRight" activeCell="R4" sqref="R4"/>
      <selection pane="bottomLeft" activeCell="A4" sqref="A4"/>
      <selection pane="topRight" activeCell="H1" sqref="H1"/>
    </sheetView>
  </sheetViews>
  <sheetFormatPr defaultColWidth="8.5703125" defaultRowHeight="14.45"/>
  <cols>
    <col min="1" max="1" width="25.140625" style="67" hidden="1" customWidth="1"/>
    <col min="2" max="2" width="12.140625" style="14" customWidth="1"/>
    <col min="3" max="3" width="12.140625" style="14" hidden="1" customWidth="1"/>
    <col min="4" max="4" width="30.140625" style="14" customWidth="1"/>
    <col min="5" max="7" width="12.140625" style="14" hidden="1" customWidth="1"/>
    <col min="8" max="8" width="16.7109375" style="14" hidden="1" customWidth="1"/>
    <col min="9" max="9" width="12.140625" style="15" customWidth="1"/>
    <col min="10" max="10" width="16.5703125" style="15" customWidth="1"/>
    <col min="11" max="11" width="14.42578125" style="495" customWidth="1"/>
    <col min="12" max="13" width="14.42578125" style="193" customWidth="1"/>
    <col min="14" max="14" width="13.5703125" style="18" customWidth="1"/>
    <col min="15" max="16" width="14" style="110" customWidth="1"/>
    <col min="17" max="17" width="12.42578125" style="1" customWidth="1"/>
    <col min="18" max="19" width="13.5703125" style="110" customWidth="1"/>
    <col min="20" max="21" width="14" style="18" customWidth="1"/>
    <col min="22" max="22" width="10.5703125" style="1" customWidth="1"/>
    <col min="23" max="23" width="11.140625" style="1" customWidth="1"/>
    <col min="24" max="24" width="13.42578125" style="110" customWidth="1"/>
    <col min="25" max="27" width="13.42578125" style="1"/>
    <col min="28" max="28" width="13.42578125" style="110"/>
    <col min="29" max="29" width="13.42578125" style="1"/>
    <col min="30" max="30" width="20" style="15" bestFit="1" customWidth="1"/>
    <col min="31" max="31" width="46.140625" style="13" customWidth="1"/>
  </cols>
  <sheetData>
    <row r="1" spans="1:31" ht="30" customHeight="1" thickBot="1">
      <c r="A1" s="65"/>
      <c r="B1" s="20"/>
      <c r="C1" s="20"/>
      <c r="D1" s="20"/>
      <c r="E1" s="20"/>
      <c r="F1" s="20"/>
      <c r="G1" s="20"/>
      <c r="H1" s="20"/>
      <c r="I1" s="21"/>
      <c r="J1" s="21"/>
      <c r="K1" s="588" t="s">
        <v>568</v>
      </c>
      <c r="L1" s="588"/>
      <c r="M1" s="588"/>
      <c r="N1" s="588"/>
      <c r="O1" s="588"/>
      <c r="P1" s="588"/>
      <c r="Q1" s="588"/>
      <c r="R1" s="588"/>
      <c r="S1" s="588"/>
      <c r="T1" s="588"/>
      <c r="U1" s="588"/>
      <c r="V1" s="588"/>
      <c r="W1" s="588"/>
      <c r="X1" s="588"/>
      <c r="Y1" s="588"/>
      <c r="Z1" s="588"/>
      <c r="AA1" s="588"/>
      <c r="AB1"/>
      <c r="AC1"/>
      <c r="AD1"/>
      <c r="AE1"/>
    </row>
    <row r="2" spans="1:31" ht="50.45" customHeight="1" thickTop="1" thickBot="1">
      <c r="A2" s="59"/>
      <c r="B2" s="533" t="s">
        <v>75</v>
      </c>
      <c r="C2" s="533"/>
      <c r="D2" s="533"/>
      <c r="E2" s="533"/>
      <c r="F2" s="533"/>
      <c r="G2" s="533"/>
      <c r="H2" s="297"/>
      <c r="I2" s="535" t="s">
        <v>76</v>
      </c>
      <c r="J2" s="535"/>
      <c r="K2" s="535" t="s">
        <v>569</v>
      </c>
      <c r="L2" s="535"/>
      <c r="M2" s="535"/>
      <c r="N2" s="535"/>
      <c r="O2" s="535"/>
      <c r="P2" s="535"/>
      <c r="Q2" s="535"/>
      <c r="R2" s="535"/>
      <c r="S2" s="535"/>
      <c r="T2" s="535"/>
      <c r="U2" s="59"/>
      <c r="V2" s="535" t="s">
        <v>518</v>
      </c>
      <c r="W2" s="535"/>
      <c r="X2" s="535"/>
      <c r="Y2" s="535"/>
      <c r="Z2" s="535"/>
      <c r="AA2" s="535"/>
      <c r="AB2"/>
      <c r="AC2"/>
      <c r="AD2"/>
      <c r="AE2"/>
    </row>
    <row r="3" spans="1:31" ht="93.75" customHeight="1" thickTop="1" thickBot="1">
      <c r="A3" s="142" t="s">
        <v>88</v>
      </c>
      <c r="B3" s="166" t="s">
        <v>89</v>
      </c>
      <c r="C3" s="47" t="s">
        <v>90</v>
      </c>
      <c r="D3" s="47" t="s">
        <v>91</v>
      </c>
      <c r="E3" s="47" t="s">
        <v>92</v>
      </c>
      <c r="F3" s="47" t="s">
        <v>93</v>
      </c>
      <c r="G3" s="194" t="s">
        <v>94</v>
      </c>
      <c r="H3" s="47" t="s">
        <v>95</v>
      </c>
      <c r="I3" s="46" t="s">
        <v>96</v>
      </c>
      <c r="J3" s="48" t="s">
        <v>97</v>
      </c>
      <c r="K3" s="492" t="s">
        <v>570</v>
      </c>
      <c r="L3" s="211" t="s">
        <v>571</v>
      </c>
      <c r="M3" s="211" t="s">
        <v>572</v>
      </c>
      <c r="N3" s="47" t="s">
        <v>573</v>
      </c>
      <c r="O3" s="63" t="s">
        <v>574</v>
      </c>
      <c r="P3" s="63" t="s">
        <v>575</v>
      </c>
      <c r="Q3" s="47" t="s">
        <v>576</v>
      </c>
      <c r="R3" s="212" t="s">
        <v>577</v>
      </c>
      <c r="S3" s="212" t="s">
        <v>578</v>
      </c>
      <c r="T3" s="48" t="s">
        <v>579</v>
      </c>
      <c r="U3" s="295" t="s">
        <v>536</v>
      </c>
      <c r="V3" s="210" t="s">
        <v>580</v>
      </c>
      <c r="W3" s="111" t="s">
        <v>581</v>
      </c>
      <c r="X3" s="111" t="s">
        <v>582</v>
      </c>
      <c r="Y3" s="111" t="s">
        <v>583</v>
      </c>
      <c r="Z3" s="111" t="s">
        <v>584</v>
      </c>
      <c r="AA3" s="112" t="s">
        <v>585</v>
      </c>
      <c r="AB3"/>
      <c r="AC3"/>
      <c r="AD3"/>
      <c r="AE3"/>
    </row>
    <row r="4" spans="1:31" ht="14.65" thickTop="1">
      <c r="A4" s="167"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Global_PopulationHT0111</v>
      </c>
      <c r="B4" s="126" t="s">
        <v>152</v>
      </c>
      <c r="C4" s="104" t="s">
        <v>153</v>
      </c>
      <c r="D4" s="104" t="s">
        <v>154</v>
      </c>
      <c r="E4" s="104" t="s">
        <v>155</v>
      </c>
      <c r="F4" s="99"/>
      <c r="G4" s="36"/>
      <c r="H4" s="36"/>
      <c r="I4" s="100">
        <v>926906</v>
      </c>
      <c r="J4" s="176" t="s">
        <v>156</v>
      </c>
      <c r="K4" s="493">
        <v>0.83599999999999997</v>
      </c>
      <c r="L4" s="192">
        <v>0.53800000000000003</v>
      </c>
      <c r="M4" s="192">
        <v>978</v>
      </c>
      <c r="N4" s="25" cm="1">
        <f t="array" ref="N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4" s="28">
        <v>4.2000000000000003E-2</v>
      </c>
      <c r="P4" s="28"/>
      <c r="Q4" s="26" cm="1">
        <f t="array" ref="Q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 s="373">
        <v>311</v>
      </c>
      <c r="S4" s="28"/>
      <c r="T4" s="26">
        <v>5</v>
      </c>
      <c r="U4" s="26">
        <v>5</v>
      </c>
      <c r="V4" s="28"/>
      <c r="W4" s="28"/>
      <c r="X4" s="28"/>
      <c r="Y4" s="28"/>
      <c r="Z4" s="113"/>
      <c r="AA4" s="29" t="str" cm="1">
        <f t="array" ref="AA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4"/>
      <c r="AC4"/>
      <c r="AD4"/>
      <c r="AE4"/>
    </row>
    <row r="5" spans="1:31" hidden="1">
      <c r="A5" s="167"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Global_PopulationHT0112</v>
      </c>
      <c r="B5" s="126" t="s">
        <v>152</v>
      </c>
      <c r="C5" s="104" t="s">
        <v>153</v>
      </c>
      <c r="D5" s="104" t="s">
        <v>158</v>
      </c>
      <c r="E5" s="104" t="s">
        <v>159</v>
      </c>
      <c r="F5" s="99"/>
      <c r="G5" s="36"/>
      <c r="H5" s="36"/>
      <c r="I5" s="100">
        <v>435779</v>
      </c>
      <c r="J5" s="176" t="s">
        <v>156</v>
      </c>
      <c r="K5" s="493">
        <v>0.83599999999999997</v>
      </c>
      <c r="L5" s="192">
        <v>0.53800000000000003</v>
      </c>
      <c r="M5" s="192">
        <v>343</v>
      </c>
      <c r="N5" s="25" cm="1">
        <f t="array" ref="N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5" s="28">
        <v>0.11700000000000001</v>
      </c>
      <c r="P5" s="28"/>
      <c r="Q5" s="26" cm="1">
        <f t="array" ref="Q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3</v>
      </c>
      <c r="R5" s="373">
        <v>185</v>
      </c>
      <c r="S5" s="28"/>
      <c r="T5" s="26">
        <v>5</v>
      </c>
      <c r="U5" s="26">
        <v>4</v>
      </c>
      <c r="V5" s="28"/>
      <c r="W5" s="28"/>
      <c r="X5" s="28"/>
      <c r="Y5" s="28"/>
      <c r="Z5" s="113"/>
      <c r="AA5" s="29" t="str" cm="1">
        <f t="array" ref="AA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5"/>
      <c r="AC5"/>
      <c r="AD5"/>
      <c r="AE5"/>
    </row>
    <row r="6" spans="1:31" hidden="1">
      <c r="A6" s="167"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Global_PopulationHT0113</v>
      </c>
      <c r="B6" s="126" t="s">
        <v>152</v>
      </c>
      <c r="C6" s="104" t="s">
        <v>153</v>
      </c>
      <c r="D6" s="104" t="s">
        <v>160</v>
      </c>
      <c r="E6" s="104" t="s">
        <v>161</v>
      </c>
      <c r="F6" s="99"/>
      <c r="G6" s="36"/>
      <c r="H6" s="36"/>
      <c r="I6" s="100">
        <v>460506</v>
      </c>
      <c r="J6" s="176" t="s">
        <v>156</v>
      </c>
      <c r="K6" s="493">
        <v>0.83599999999999997</v>
      </c>
      <c r="L6" s="192">
        <v>0.53800000000000003</v>
      </c>
      <c r="M6" s="192">
        <v>184</v>
      </c>
      <c r="N6" s="25" cm="1">
        <f t="array" ref="N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6" s="28">
        <v>4.7E-2</v>
      </c>
      <c r="P6" s="28"/>
      <c r="Q6" s="26" cm="1">
        <f t="array" ref="Q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 s="373">
        <v>152</v>
      </c>
      <c r="S6" s="28"/>
      <c r="T6" s="26">
        <v>5</v>
      </c>
      <c r="U6" s="26">
        <v>4</v>
      </c>
      <c r="V6" s="28"/>
      <c r="W6" s="28"/>
      <c r="X6" s="28"/>
      <c r="Y6" s="28"/>
      <c r="Z6" s="113"/>
      <c r="AA6" s="29" t="str" cm="1">
        <f t="array" ref="AA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B6"/>
      <c r="AC6"/>
      <c r="AD6"/>
      <c r="AE6"/>
    </row>
    <row r="7" spans="1:31" hidden="1">
      <c r="A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Global_PopulationHT0114</v>
      </c>
      <c r="B7" s="361" t="s">
        <v>152</v>
      </c>
      <c r="C7" s="213" t="s">
        <v>153</v>
      </c>
      <c r="D7" s="213" t="s">
        <v>162</v>
      </c>
      <c r="E7" s="103" t="s">
        <v>163</v>
      </c>
      <c r="F7" s="99"/>
      <c r="G7" s="34"/>
      <c r="H7" s="331"/>
      <c r="I7" s="96">
        <v>394895</v>
      </c>
      <c r="J7" s="362" t="s">
        <v>156</v>
      </c>
      <c r="K7" s="494">
        <v>0.83599999999999997</v>
      </c>
      <c r="L7" s="192">
        <v>0.53800000000000003</v>
      </c>
      <c r="M7" s="364">
        <v>225</v>
      </c>
      <c r="N7" s="313" cm="1">
        <f t="array" ref="N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 s="37">
        <v>3.7999999999999999E-2</v>
      </c>
      <c r="P7" s="28"/>
      <c r="Q7" s="322" cm="1">
        <f t="array" ref="Q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 s="374">
        <v>437</v>
      </c>
      <c r="S7" s="28"/>
      <c r="T7" s="313">
        <v>5</v>
      </c>
      <c r="U7" s="365">
        <v>3</v>
      </c>
      <c r="V7" s="38"/>
      <c r="W7" s="38"/>
      <c r="X7" s="37"/>
      <c r="Y7" s="38"/>
      <c r="Z7" s="38"/>
      <c r="AA7" s="366" t="str" cm="1">
        <f t="array" ref="AA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7" s="21"/>
      <c r="AE7" s="17"/>
    </row>
    <row r="8" spans="1:31" hidden="1">
      <c r="A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Global_PopulationHT0115</v>
      </c>
      <c r="B8" s="361" t="s">
        <v>152</v>
      </c>
      <c r="C8" s="213" t="s">
        <v>153</v>
      </c>
      <c r="D8" s="213" t="s">
        <v>164</v>
      </c>
      <c r="E8" s="103" t="s">
        <v>165</v>
      </c>
      <c r="F8" s="99"/>
      <c r="G8" s="34"/>
      <c r="H8" s="331"/>
      <c r="I8" s="96">
        <v>63006</v>
      </c>
      <c r="J8" s="362" t="s">
        <v>156</v>
      </c>
      <c r="K8" s="494">
        <v>0.83599999999999997</v>
      </c>
      <c r="L8" s="192">
        <v>0.53800000000000003</v>
      </c>
      <c r="M8" s="364">
        <v>459</v>
      </c>
      <c r="N8" s="313" cm="1">
        <f t="array" ref="N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 s="37">
        <v>0.02</v>
      </c>
      <c r="P8" s="28"/>
      <c r="Q8" s="322" cm="1">
        <f t="array" ref="Q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 s="374">
        <v>9</v>
      </c>
      <c r="S8" s="28"/>
      <c r="T8" s="313">
        <v>3</v>
      </c>
      <c r="U8" s="365">
        <v>4</v>
      </c>
      <c r="V8" s="38"/>
      <c r="W8" s="38"/>
      <c r="X8" s="37"/>
      <c r="Y8" s="38"/>
      <c r="Z8" s="38"/>
      <c r="AA8" s="366" t="str" cm="1">
        <f t="array" ref="AA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8" s="21"/>
      <c r="AE8" s="17"/>
    </row>
    <row r="9" spans="1:31" hidden="1">
      <c r="A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Global_PopulationHT0116</v>
      </c>
      <c r="B9" s="361" t="s">
        <v>152</v>
      </c>
      <c r="C9" s="213" t="s">
        <v>153</v>
      </c>
      <c r="D9" s="213" t="s">
        <v>166</v>
      </c>
      <c r="E9" s="103" t="s">
        <v>167</v>
      </c>
      <c r="F9" s="99"/>
      <c r="G9" s="34"/>
      <c r="H9" s="331"/>
      <c r="I9" s="96">
        <v>3987</v>
      </c>
      <c r="J9" s="362" t="s">
        <v>156</v>
      </c>
      <c r="K9" s="494">
        <v>0.83599999999999997</v>
      </c>
      <c r="L9" s="192">
        <v>0.53800000000000003</v>
      </c>
      <c r="M9" s="364">
        <v>352</v>
      </c>
      <c r="N9" s="313" cm="1">
        <f t="array" ref="N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9" s="37">
        <v>6.4000000000000001E-2</v>
      </c>
      <c r="P9" s="28"/>
      <c r="Q9" s="322" cm="1">
        <f t="array" ref="Q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 s="374">
        <v>11</v>
      </c>
      <c r="S9" s="28"/>
      <c r="T9" s="313">
        <v>3</v>
      </c>
      <c r="U9" s="365">
        <v>4</v>
      </c>
      <c r="V9" s="38"/>
      <c r="W9" s="38"/>
      <c r="X9" s="37"/>
      <c r="Y9" s="38"/>
      <c r="Z9" s="38"/>
      <c r="AA9" s="366" t="str" cm="1">
        <f t="array" ref="AA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9" s="21"/>
      <c r="AE9" s="17"/>
    </row>
    <row r="10" spans="1:31" hidden="1">
      <c r="A1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Global_PopulationHT0117</v>
      </c>
      <c r="B10" s="361" t="s">
        <v>152</v>
      </c>
      <c r="C10" s="213" t="s">
        <v>153</v>
      </c>
      <c r="D10" s="213" t="s">
        <v>169</v>
      </c>
      <c r="E10" s="103" t="s">
        <v>170</v>
      </c>
      <c r="F10" s="99"/>
      <c r="G10" s="34"/>
      <c r="H10" s="331"/>
      <c r="I10" s="96">
        <v>287439</v>
      </c>
      <c r="J10" s="362" t="s">
        <v>156</v>
      </c>
      <c r="K10" s="494">
        <v>0.83599999999999997</v>
      </c>
      <c r="L10" s="192">
        <v>0.53800000000000003</v>
      </c>
      <c r="M10" s="364">
        <v>260</v>
      </c>
      <c r="N10" s="313" cm="1">
        <f t="array" ref="N1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0" s="37">
        <v>5.7000000000000002E-2</v>
      </c>
      <c r="P10" s="28"/>
      <c r="Q10" s="322" cm="1">
        <f t="array" ref="Q1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 s="374">
        <v>932</v>
      </c>
      <c r="S10" s="28"/>
      <c r="T10" s="313">
        <v>5</v>
      </c>
      <c r="U10" s="365">
        <v>4</v>
      </c>
      <c r="V10" s="38"/>
      <c r="W10" s="38"/>
      <c r="X10" s="37"/>
      <c r="Y10" s="38"/>
      <c r="Z10" s="38"/>
      <c r="AA10" s="366" t="str" cm="1">
        <f t="array" ref="AA1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0" s="21"/>
      <c r="AE10" s="17"/>
    </row>
    <row r="11" spans="1:31">
      <c r="A1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Global_PopulationHT0118</v>
      </c>
      <c r="B11" s="361" t="s">
        <v>152</v>
      </c>
      <c r="C11" s="213" t="s">
        <v>153</v>
      </c>
      <c r="D11" s="213" t="s">
        <v>171</v>
      </c>
      <c r="E11" s="103" t="s">
        <v>172</v>
      </c>
      <c r="F11" s="99"/>
      <c r="G11" s="34"/>
      <c r="H11" s="331"/>
      <c r="I11" s="96">
        <v>141693</v>
      </c>
      <c r="J11" s="362" t="s">
        <v>156</v>
      </c>
      <c r="K11" s="494">
        <v>0.83599999999999997</v>
      </c>
      <c r="L11" s="192">
        <v>0.53800000000000003</v>
      </c>
      <c r="M11" s="364">
        <v>180</v>
      </c>
      <c r="N11" s="313" cm="1">
        <f t="array" ref="N1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1" s="37">
        <v>1.2E-2</v>
      </c>
      <c r="P11" s="28"/>
      <c r="Q11" s="322" cm="1">
        <f t="array" ref="Q1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 s="374">
        <v>58</v>
      </c>
      <c r="S11" s="28"/>
      <c r="T11" s="313">
        <v>4</v>
      </c>
      <c r="U11" s="365">
        <v>5</v>
      </c>
      <c r="V11" s="38"/>
      <c r="W11" s="38"/>
      <c r="X11" s="37"/>
      <c r="Y11" s="38"/>
      <c r="Z11" s="38"/>
      <c r="AA11" s="366" t="str" cm="1">
        <f t="array" ref="AA1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1" s="21"/>
      <c r="AE11" s="17"/>
    </row>
    <row r="12" spans="1:31" hidden="1">
      <c r="A1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Global_PopulationHT0121</v>
      </c>
      <c r="B12" s="361" t="s">
        <v>152</v>
      </c>
      <c r="C12" s="213" t="s">
        <v>153</v>
      </c>
      <c r="D12" s="213" t="s">
        <v>173</v>
      </c>
      <c r="E12" s="103" t="s">
        <v>174</v>
      </c>
      <c r="F12" s="99"/>
      <c r="G12" s="34"/>
      <c r="H12" s="331"/>
      <c r="I12" s="96">
        <v>233614</v>
      </c>
      <c r="J12" s="362" t="s">
        <v>156</v>
      </c>
      <c r="K12" s="494">
        <v>0.83599999999999997</v>
      </c>
      <c r="L12" s="192">
        <v>0.53800000000000003</v>
      </c>
      <c r="M12" s="364">
        <v>170</v>
      </c>
      <c r="N12" s="313" cm="1">
        <f t="array" ref="N1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2" s="37">
        <v>4.3999999999999997E-2</v>
      </c>
      <c r="P12" s="28"/>
      <c r="Q12" s="322" cm="1">
        <f t="array" ref="Q1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 s="374">
        <v>45</v>
      </c>
      <c r="S12" s="28"/>
      <c r="T12" s="313">
        <v>3</v>
      </c>
      <c r="U12" s="365">
        <v>3</v>
      </c>
      <c r="V12" s="38"/>
      <c r="W12" s="38"/>
      <c r="X12" s="37"/>
      <c r="Y12" s="38"/>
      <c r="Z12" s="38"/>
      <c r="AA12" s="366" t="str" cm="1">
        <f t="array" ref="AA1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2" s="21"/>
      <c r="AE12" s="17"/>
    </row>
    <row r="13" spans="1:31" hidden="1">
      <c r="A1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Global_PopulationHT0122</v>
      </c>
      <c r="B13" s="361" t="s">
        <v>152</v>
      </c>
      <c r="C13" s="213" t="s">
        <v>153</v>
      </c>
      <c r="D13" s="213" t="s">
        <v>175</v>
      </c>
      <c r="E13" s="103" t="s">
        <v>176</v>
      </c>
      <c r="F13" s="99"/>
      <c r="G13" s="34"/>
      <c r="H13" s="331"/>
      <c r="I13" s="96">
        <v>194867</v>
      </c>
      <c r="J13" s="362" t="s">
        <v>156</v>
      </c>
      <c r="K13" s="494">
        <v>0.83599999999999997</v>
      </c>
      <c r="L13" s="192">
        <v>0.53800000000000003</v>
      </c>
      <c r="M13" s="364">
        <v>0</v>
      </c>
      <c r="N13" s="313" cm="1">
        <f t="array" ref="N1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 s="37">
        <v>3.9E-2</v>
      </c>
      <c r="P13" s="28"/>
      <c r="Q13" s="322" cm="1">
        <f t="array" ref="Q1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 s="374">
        <v>0</v>
      </c>
      <c r="S13" s="28"/>
      <c r="T13" s="313">
        <v>1</v>
      </c>
      <c r="U13" s="365">
        <v>3</v>
      </c>
      <c r="V13" s="38"/>
      <c r="W13" s="38"/>
      <c r="X13" s="37"/>
      <c r="Y13" s="38"/>
      <c r="Z13" s="38"/>
      <c r="AA13" s="366" t="str" cm="1">
        <f t="array" ref="AA1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3" s="21"/>
      <c r="AE13" s="17"/>
    </row>
    <row r="14" spans="1:31" hidden="1">
      <c r="A1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Global_PopulationHT0123</v>
      </c>
      <c r="B14" s="361" t="s">
        <v>152</v>
      </c>
      <c r="C14" s="213" t="s">
        <v>153</v>
      </c>
      <c r="D14" s="213" t="s">
        <v>177</v>
      </c>
      <c r="E14" s="103" t="s">
        <v>178</v>
      </c>
      <c r="F14" s="99"/>
      <c r="G14" s="34"/>
      <c r="H14" s="331"/>
      <c r="I14" s="96">
        <v>157549</v>
      </c>
      <c r="J14" s="362" t="s">
        <v>156</v>
      </c>
      <c r="K14" s="494">
        <v>0.83599999999999997</v>
      </c>
      <c r="L14" s="192">
        <v>0.53800000000000003</v>
      </c>
      <c r="M14" s="364">
        <v>0</v>
      </c>
      <c r="N14" s="313" cm="1">
        <f t="array" ref="N1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4" s="37">
        <v>5.2999999999999999E-2</v>
      </c>
      <c r="P14" s="28"/>
      <c r="Q14" s="322" cm="1">
        <f t="array" ref="Q1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4" s="374">
        <v>0</v>
      </c>
      <c r="S14" s="28"/>
      <c r="T14" s="313">
        <v>1</v>
      </c>
      <c r="U14" s="365">
        <v>2</v>
      </c>
      <c r="V14" s="38"/>
      <c r="W14" s="38"/>
      <c r="X14" s="37"/>
      <c r="Y14" s="38"/>
      <c r="Z14" s="38"/>
      <c r="AA14" s="366" t="str" cm="1">
        <f t="array" ref="AA1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4" s="21"/>
      <c r="AE14" s="17"/>
    </row>
    <row r="15" spans="1:31" hidden="1">
      <c r="A1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Global_PopulationHT0131</v>
      </c>
      <c r="B15" s="361" t="s">
        <v>152</v>
      </c>
      <c r="C15" s="213" t="s">
        <v>153</v>
      </c>
      <c r="D15" s="213" t="s">
        <v>179</v>
      </c>
      <c r="E15" s="103" t="s">
        <v>180</v>
      </c>
      <c r="F15" s="99"/>
      <c r="G15" s="34"/>
      <c r="H15" s="331"/>
      <c r="I15" s="96">
        <v>129879</v>
      </c>
      <c r="J15" s="362" t="s">
        <v>156</v>
      </c>
      <c r="K15" s="494">
        <v>0.83599999999999997</v>
      </c>
      <c r="L15" s="192">
        <v>0.53800000000000003</v>
      </c>
      <c r="M15" s="364">
        <v>113</v>
      </c>
      <c r="N15" s="313" cm="1">
        <f t="array" ref="N1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5" s="37">
        <v>0.192</v>
      </c>
      <c r="P15" s="28"/>
      <c r="Q15" s="322" cm="1">
        <f t="array" ref="Q1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4</v>
      </c>
      <c r="R15" s="374">
        <v>157</v>
      </c>
      <c r="S15" s="28"/>
      <c r="T15" s="313">
        <v>5</v>
      </c>
      <c r="U15" s="365">
        <v>3</v>
      </c>
      <c r="V15" s="38"/>
      <c r="W15" s="38"/>
      <c r="X15" s="37"/>
      <c r="Y15" s="38"/>
      <c r="Z15" s="38"/>
      <c r="AA15" s="366" t="str" cm="1">
        <f t="array" ref="AA1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5" s="21"/>
      <c r="AE15" s="17"/>
    </row>
    <row r="16" spans="1:31" hidden="1">
      <c r="A1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Global_PopulationHT0132</v>
      </c>
      <c r="B16" s="361" t="s">
        <v>152</v>
      </c>
      <c r="C16" s="213" t="s">
        <v>153</v>
      </c>
      <c r="D16" s="213" t="s">
        <v>181</v>
      </c>
      <c r="E16" s="103" t="s">
        <v>182</v>
      </c>
      <c r="F16" s="99"/>
      <c r="G16" s="34"/>
      <c r="H16" s="331"/>
      <c r="I16" s="96">
        <v>54753</v>
      </c>
      <c r="J16" s="362" t="s">
        <v>156</v>
      </c>
      <c r="K16" s="494">
        <v>0.83599999999999997</v>
      </c>
      <c r="L16" s="192">
        <v>0.53800000000000003</v>
      </c>
      <c r="M16" s="364">
        <v>0</v>
      </c>
      <c r="N16" s="313" cm="1">
        <f t="array" ref="N1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6" s="37">
        <v>6.9000000000000006E-2</v>
      </c>
      <c r="P16" s="28"/>
      <c r="Q16" s="322" cm="1">
        <f t="array" ref="Q1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6" s="374">
        <v>2</v>
      </c>
      <c r="S16" s="28"/>
      <c r="T16" s="313">
        <v>3</v>
      </c>
      <c r="U16" s="365">
        <v>2</v>
      </c>
      <c r="V16" s="38"/>
      <c r="W16" s="38"/>
      <c r="X16" s="37"/>
      <c r="Y16" s="38"/>
      <c r="Z16" s="38"/>
      <c r="AA16" s="366" t="str" cm="1">
        <f t="array" ref="AA1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c r="AD16" s="21"/>
      <c r="AE16" s="17"/>
    </row>
    <row r="17" spans="1:27" hidden="1">
      <c r="A1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Global_PopulationHT0133</v>
      </c>
      <c r="B17" s="361" t="s">
        <v>152</v>
      </c>
      <c r="C17" s="213" t="s">
        <v>153</v>
      </c>
      <c r="D17" s="213" t="s">
        <v>183</v>
      </c>
      <c r="E17" s="103" t="s">
        <v>184</v>
      </c>
      <c r="F17" s="99"/>
      <c r="G17" s="34"/>
      <c r="H17" s="331"/>
      <c r="I17" s="96">
        <v>65036</v>
      </c>
      <c r="J17" s="362" t="s">
        <v>156</v>
      </c>
      <c r="K17" s="494">
        <v>0.83599999999999997</v>
      </c>
      <c r="L17" s="192">
        <v>0.53800000000000003</v>
      </c>
      <c r="M17" s="364">
        <v>1</v>
      </c>
      <c r="N17" s="313" cm="1">
        <f t="array" ref="N1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17" s="37">
        <v>4.3999999999999997E-2</v>
      </c>
      <c r="P17" s="28"/>
      <c r="Q17" s="322" cm="1">
        <f t="array" ref="Q1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7" s="374">
        <v>1</v>
      </c>
      <c r="S17" s="28"/>
      <c r="T17" s="313">
        <v>3</v>
      </c>
      <c r="U17" s="365">
        <v>3</v>
      </c>
      <c r="V17" s="38"/>
      <c r="W17" s="38"/>
      <c r="X17" s="37"/>
      <c r="Y17" s="38"/>
      <c r="Z17" s="38"/>
      <c r="AA17" s="366" t="str" cm="1">
        <f t="array" ref="AA1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8" spans="1:27" hidden="1">
      <c r="A1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Global_PopulationHT0134</v>
      </c>
      <c r="B18" s="361" t="s">
        <v>152</v>
      </c>
      <c r="C18" s="213" t="s">
        <v>153</v>
      </c>
      <c r="D18" s="213" t="s">
        <v>185</v>
      </c>
      <c r="E18" s="103" t="s">
        <v>186</v>
      </c>
      <c r="F18" s="99"/>
      <c r="G18" s="34"/>
      <c r="H18" s="331"/>
      <c r="I18" s="96">
        <v>66185</v>
      </c>
      <c r="J18" s="362" t="s">
        <v>156</v>
      </c>
      <c r="K18" s="494">
        <v>0.83599999999999997</v>
      </c>
      <c r="L18" s="192">
        <v>0.53800000000000003</v>
      </c>
      <c r="M18" s="364">
        <v>0</v>
      </c>
      <c r="N18" s="313" cm="1">
        <f t="array" ref="N1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8" s="37">
        <v>0.05</v>
      </c>
      <c r="P18" s="28"/>
      <c r="Q18" s="322" cm="1">
        <f t="array" ref="Q1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8" s="374">
        <v>2</v>
      </c>
      <c r="S18" s="28"/>
      <c r="T18" s="313">
        <v>3</v>
      </c>
      <c r="U18" s="365">
        <v>3</v>
      </c>
      <c r="V18" s="38"/>
      <c r="W18" s="38"/>
      <c r="X18" s="37"/>
      <c r="Y18" s="38"/>
      <c r="Z18" s="38"/>
      <c r="AA18" s="366" t="str" cm="1">
        <f t="array" ref="AA1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9" spans="1:27" hidden="1">
      <c r="A1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Global_PopulationHT0135</v>
      </c>
      <c r="B19" s="361" t="s">
        <v>152</v>
      </c>
      <c r="C19" s="213" t="s">
        <v>153</v>
      </c>
      <c r="D19" s="213" t="s">
        <v>187</v>
      </c>
      <c r="E19" s="103" t="s">
        <v>188</v>
      </c>
      <c r="F19" s="99"/>
      <c r="G19" s="34"/>
      <c r="H19" s="331"/>
      <c r="I19" s="96">
        <v>54717</v>
      </c>
      <c r="J19" s="362" t="s">
        <v>156</v>
      </c>
      <c r="K19" s="494">
        <v>0.83599999999999997</v>
      </c>
      <c r="L19" s="192">
        <v>0.53800000000000003</v>
      </c>
      <c r="M19" s="364">
        <v>0</v>
      </c>
      <c r="N19" s="313" cm="1">
        <f t="array" ref="N1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9" s="37">
        <v>0.13300000000000001</v>
      </c>
      <c r="P19" s="28"/>
      <c r="Q19" s="322" cm="1">
        <f t="array" ref="Q1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3</v>
      </c>
      <c r="R19" s="374">
        <v>0</v>
      </c>
      <c r="S19" s="28"/>
      <c r="T19" s="313">
        <v>1</v>
      </c>
      <c r="U19" s="365">
        <v>3</v>
      </c>
      <c r="V19" s="38"/>
      <c r="W19" s="38"/>
      <c r="X19" s="37"/>
      <c r="Y19" s="38"/>
      <c r="Z19" s="38"/>
      <c r="AA19" s="366" t="str" cm="1">
        <f t="array" ref="AA1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0" spans="1:27" hidden="1">
      <c r="A2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Global_PopulationHT0141</v>
      </c>
      <c r="B20" s="361" t="s">
        <v>152</v>
      </c>
      <c r="C20" s="213" t="s">
        <v>153</v>
      </c>
      <c r="D20" s="213" t="s">
        <v>189</v>
      </c>
      <c r="E20" s="103" t="s">
        <v>190</v>
      </c>
      <c r="F20" s="99"/>
      <c r="G20" s="34"/>
      <c r="H20" s="331"/>
      <c r="I20" s="96">
        <v>142752</v>
      </c>
      <c r="J20" s="362" t="s">
        <v>156</v>
      </c>
      <c r="K20" s="494">
        <v>0.83599999999999997</v>
      </c>
      <c r="L20" s="192">
        <v>0.53800000000000003</v>
      </c>
      <c r="M20" s="364">
        <v>50</v>
      </c>
      <c r="N20" s="313" cm="1">
        <f t="array" ref="N2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20" s="37">
        <v>5.5E-2</v>
      </c>
      <c r="P20" s="28"/>
      <c r="Q20" s="322" cm="1">
        <f t="array" ref="Q2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0" s="374">
        <v>96</v>
      </c>
      <c r="S20" s="28"/>
      <c r="T20" s="313">
        <v>4</v>
      </c>
      <c r="U20" s="365">
        <v>3</v>
      </c>
      <c r="V20" s="38"/>
      <c r="W20" s="38"/>
      <c r="X20" s="37"/>
      <c r="Y20" s="38"/>
      <c r="Z20" s="38"/>
      <c r="AA20" s="366" t="str" cm="1">
        <f t="array" ref="AA2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1" spans="1:27" hidden="1">
      <c r="A2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Global_PopulationHT0142</v>
      </c>
      <c r="B21" s="361" t="s">
        <v>152</v>
      </c>
      <c r="C21" s="213" t="s">
        <v>153</v>
      </c>
      <c r="D21" s="213" t="s">
        <v>191</v>
      </c>
      <c r="E21" s="103" t="s">
        <v>192</v>
      </c>
      <c r="F21" s="99"/>
      <c r="G21" s="34"/>
      <c r="H21" s="331"/>
      <c r="I21" s="96">
        <v>65302</v>
      </c>
      <c r="J21" s="362" t="s">
        <v>156</v>
      </c>
      <c r="K21" s="494">
        <v>0.83599999999999997</v>
      </c>
      <c r="L21" s="192">
        <v>0.53800000000000003</v>
      </c>
      <c r="M21" s="364">
        <v>15</v>
      </c>
      <c r="N21" s="313" cm="1">
        <f t="array" ref="N2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21" s="37">
        <v>0.113</v>
      </c>
      <c r="P21" s="28"/>
      <c r="Q21" s="322" cm="1">
        <f t="array" ref="Q2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3</v>
      </c>
      <c r="R21" s="374">
        <v>1</v>
      </c>
      <c r="S21" s="28"/>
      <c r="T21" s="313">
        <v>3</v>
      </c>
      <c r="U21" s="365">
        <v>3</v>
      </c>
      <c r="V21" s="38"/>
      <c r="W21" s="38"/>
      <c r="X21" s="37"/>
      <c r="Y21" s="38"/>
      <c r="Z21" s="38"/>
      <c r="AA21" s="366" t="str" cm="1">
        <f t="array" ref="AA2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2" spans="1:27" hidden="1">
      <c r="A2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Global_PopulationHT0151</v>
      </c>
      <c r="B22" s="361" t="s">
        <v>152</v>
      </c>
      <c r="C22" s="213" t="s">
        <v>153</v>
      </c>
      <c r="D22" s="213" t="s">
        <v>193</v>
      </c>
      <c r="E22" s="103" t="s">
        <v>194</v>
      </c>
      <c r="F22" s="99"/>
      <c r="G22" s="34"/>
      <c r="H22" s="331"/>
      <c r="I22" s="96">
        <v>70156</v>
      </c>
      <c r="J22" s="362" t="s">
        <v>156</v>
      </c>
      <c r="K22" s="494">
        <v>0.83599999999999997</v>
      </c>
      <c r="L22" s="192">
        <v>0.53800000000000003</v>
      </c>
      <c r="M22" s="364">
        <v>0</v>
      </c>
      <c r="N22" s="313" cm="1">
        <f t="array" ref="N2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22" s="37">
        <v>8.5000000000000006E-2</v>
      </c>
      <c r="P22" s="28"/>
      <c r="Q22" s="322" cm="1">
        <f t="array" ref="Q2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2" s="374">
        <v>0</v>
      </c>
      <c r="S22" s="28"/>
      <c r="T22" s="313">
        <v>1</v>
      </c>
      <c r="U22" s="365">
        <v>3</v>
      </c>
      <c r="V22" s="38"/>
      <c r="W22" s="38"/>
      <c r="X22" s="37"/>
      <c r="Y22" s="38"/>
      <c r="Z22" s="38"/>
      <c r="AA22" s="366" t="str" cm="1">
        <f t="array" ref="AA2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3" spans="1:27" hidden="1">
      <c r="A2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Global_PopulationHT0152</v>
      </c>
      <c r="B23" s="361" t="s">
        <v>152</v>
      </c>
      <c r="C23" s="213" t="s">
        <v>153</v>
      </c>
      <c r="D23" s="213" t="s">
        <v>195</v>
      </c>
      <c r="E23" s="103" t="s">
        <v>196</v>
      </c>
      <c r="F23" s="99"/>
      <c r="G23" s="34"/>
      <c r="H23" s="331"/>
      <c r="I23" s="96">
        <v>26818</v>
      </c>
      <c r="J23" s="362" t="s">
        <v>156</v>
      </c>
      <c r="K23" s="494">
        <v>0.83599999999999997</v>
      </c>
      <c r="L23" s="192">
        <v>0.53800000000000003</v>
      </c>
      <c r="M23" s="364">
        <v>0</v>
      </c>
      <c r="N23" s="313" cm="1">
        <f t="array" ref="N2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23" s="37">
        <v>5.8999999999999997E-2</v>
      </c>
      <c r="P23" s="28"/>
      <c r="Q23" s="322" cm="1">
        <f t="array" ref="Q2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3" s="374">
        <v>0</v>
      </c>
      <c r="S23" s="28"/>
      <c r="T23" s="313">
        <v>1</v>
      </c>
      <c r="U23" s="365">
        <v>3</v>
      </c>
      <c r="V23" s="38"/>
      <c r="W23" s="38"/>
      <c r="X23" s="37"/>
      <c r="Y23" s="38"/>
      <c r="Z23" s="38"/>
      <c r="AA23" s="366" t="str" cm="1">
        <f t="array" ref="AA2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4" spans="1:27" hidden="1">
      <c r="A2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Global_PopulationHT0211</v>
      </c>
      <c r="B24" s="361" t="s">
        <v>197</v>
      </c>
      <c r="C24" s="213" t="s">
        <v>198</v>
      </c>
      <c r="D24" s="213" t="s">
        <v>199</v>
      </c>
      <c r="E24" s="103" t="s">
        <v>200</v>
      </c>
      <c r="F24" s="99"/>
      <c r="G24" s="34"/>
      <c r="H24" s="331"/>
      <c r="I24" s="96">
        <v>258099</v>
      </c>
      <c r="J24" s="362" t="s">
        <v>156</v>
      </c>
      <c r="K24" s="494">
        <v>0.35499999999999998</v>
      </c>
      <c r="L24" s="192">
        <v>0.53800000000000003</v>
      </c>
      <c r="M24" s="364">
        <v>4</v>
      </c>
      <c r="N24" s="313" cm="1">
        <f t="array" ref="N2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24" s="37">
        <v>5.3999999999999999E-2</v>
      </c>
      <c r="P24" s="28"/>
      <c r="Q24" s="322" cm="1">
        <f t="array" ref="Q2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4" s="374">
        <v>16</v>
      </c>
      <c r="S24" s="28"/>
      <c r="T24" s="313">
        <v>3</v>
      </c>
      <c r="U24" s="365">
        <v>3</v>
      </c>
      <c r="V24" s="38"/>
      <c r="W24" s="38"/>
      <c r="X24" s="37"/>
      <c r="Y24" s="38"/>
      <c r="Z24" s="38"/>
      <c r="AA24" s="366" t="str" cm="1">
        <f t="array" ref="AA2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5" spans="1:27" hidden="1">
      <c r="A2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Global_PopulationHT0212</v>
      </c>
      <c r="B25" s="361" t="s">
        <v>197</v>
      </c>
      <c r="C25" s="213" t="s">
        <v>198</v>
      </c>
      <c r="D25" s="213" t="s">
        <v>201</v>
      </c>
      <c r="E25" s="103" t="s">
        <v>202</v>
      </c>
      <c r="F25" s="99"/>
      <c r="G25" s="34"/>
      <c r="H25" s="331"/>
      <c r="I25" s="96">
        <v>92869</v>
      </c>
      <c r="J25" s="362" t="s">
        <v>156</v>
      </c>
      <c r="K25" s="494">
        <v>0.35499999999999998</v>
      </c>
      <c r="L25" s="192">
        <v>0.53800000000000003</v>
      </c>
      <c r="M25" s="364">
        <v>0</v>
      </c>
      <c r="N25" s="313" cm="1">
        <f t="array" ref="N2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25" s="37">
        <v>4.1000000000000002E-2</v>
      </c>
      <c r="P25" s="28"/>
      <c r="Q25" s="322" cm="1">
        <f t="array" ref="Q2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5" s="374">
        <v>17</v>
      </c>
      <c r="S25" s="28"/>
      <c r="T25" s="313">
        <v>3</v>
      </c>
      <c r="U25" s="365">
        <v>2</v>
      </c>
      <c r="V25" s="38"/>
      <c r="W25" s="38"/>
      <c r="X25" s="37"/>
      <c r="Y25" s="38"/>
      <c r="Z25" s="38"/>
      <c r="AA25" s="366" t="str" cm="1">
        <f t="array" ref="AA2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6" spans="1:27" hidden="1">
      <c r="A2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Global_PopulationHT0213</v>
      </c>
      <c r="B26" s="361" t="s">
        <v>197</v>
      </c>
      <c r="C26" s="213" t="s">
        <v>198</v>
      </c>
      <c r="D26" s="213" t="s">
        <v>203</v>
      </c>
      <c r="E26" s="103" t="s">
        <v>204</v>
      </c>
      <c r="F26" s="99"/>
      <c r="G26" s="34"/>
      <c r="H26" s="331"/>
      <c r="I26" s="96">
        <v>49845</v>
      </c>
      <c r="J26" s="362" t="s">
        <v>156</v>
      </c>
      <c r="K26" s="494">
        <v>0.35499999999999998</v>
      </c>
      <c r="L26" s="192">
        <v>0.53800000000000003</v>
      </c>
      <c r="M26" s="364">
        <v>0</v>
      </c>
      <c r="N26" s="313" cm="1">
        <f t="array" ref="N2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26" s="37">
        <v>2.5000000000000001E-2</v>
      </c>
      <c r="P26" s="28"/>
      <c r="Q26" s="322" cm="1">
        <f t="array" ref="Q2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6" s="374">
        <v>0</v>
      </c>
      <c r="S26" s="28"/>
      <c r="T26" s="313">
        <v>1</v>
      </c>
      <c r="U26" s="365">
        <v>2</v>
      </c>
      <c r="V26" s="38"/>
      <c r="W26" s="38"/>
      <c r="X26" s="37"/>
      <c r="Y26" s="38"/>
      <c r="Z26" s="38"/>
      <c r="AA26" s="366" t="str" cm="1">
        <f t="array" ref="AA2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7" spans="1:27" hidden="1">
      <c r="A2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Global_PopulationHT0214</v>
      </c>
      <c r="B27" s="361" t="s">
        <v>197</v>
      </c>
      <c r="C27" s="213" t="s">
        <v>198</v>
      </c>
      <c r="D27" s="213" t="s">
        <v>205</v>
      </c>
      <c r="E27" s="103" t="s">
        <v>206</v>
      </c>
      <c r="F27" s="99"/>
      <c r="G27" s="34"/>
      <c r="H27" s="331"/>
      <c r="I27" s="96">
        <v>47372</v>
      </c>
      <c r="J27" s="362" t="s">
        <v>156</v>
      </c>
      <c r="K27" s="494">
        <v>0.35499999999999998</v>
      </c>
      <c r="L27" s="192">
        <v>0.53800000000000003</v>
      </c>
      <c r="M27" s="364">
        <v>0</v>
      </c>
      <c r="N27" s="313" cm="1">
        <f t="array" ref="N2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27" s="37">
        <v>5.8000000000000003E-2</v>
      </c>
      <c r="P27" s="28"/>
      <c r="Q27" s="322" cm="1">
        <f t="array" ref="Q2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7" s="374">
        <v>1</v>
      </c>
      <c r="S27" s="28"/>
      <c r="T27" s="313">
        <v>3</v>
      </c>
      <c r="U27" s="365">
        <v>3</v>
      </c>
      <c r="V27" s="38"/>
      <c r="W27" s="38"/>
      <c r="X27" s="37"/>
      <c r="Y27" s="38"/>
      <c r="Z27" s="38"/>
      <c r="AA27" s="366" t="str" cm="1">
        <f t="array" ref="AA2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8" spans="1:27" hidden="1">
      <c r="A2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Global_PopulationHT0221</v>
      </c>
      <c r="B28" s="361" t="s">
        <v>197</v>
      </c>
      <c r="C28" s="213" t="s">
        <v>198</v>
      </c>
      <c r="D28" s="213" t="s">
        <v>207</v>
      </c>
      <c r="E28" s="103" t="s">
        <v>208</v>
      </c>
      <c r="F28" s="99"/>
      <c r="G28" s="34"/>
      <c r="H28" s="331"/>
      <c r="I28" s="96">
        <v>113034</v>
      </c>
      <c r="J28" s="362" t="s">
        <v>156</v>
      </c>
      <c r="K28" s="494">
        <v>0.35499999999999998</v>
      </c>
      <c r="L28" s="192">
        <v>0.53800000000000003</v>
      </c>
      <c r="M28" s="364">
        <v>0</v>
      </c>
      <c r="N28" s="313" cm="1">
        <f t="array" ref="N2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28" s="37">
        <v>5.7000000000000002E-2</v>
      </c>
      <c r="P28" s="28"/>
      <c r="Q28" s="322" cm="1">
        <f t="array" ref="Q2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8" s="374">
        <v>61</v>
      </c>
      <c r="S28" s="28"/>
      <c r="T28" s="313">
        <v>4</v>
      </c>
      <c r="U28" s="365">
        <v>3</v>
      </c>
      <c r="V28" s="38"/>
      <c r="W28" s="38"/>
      <c r="X28" s="37"/>
      <c r="Y28" s="38"/>
      <c r="Z28" s="38"/>
      <c r="AA28" s="366" t="str" cm="1">
        <f t="array" ref="AA2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29" spans="1:27" hidden="1">
      <c r="A2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Global_PopulationHT0222</v>
      </c>
      <c r="B29" s="361" t="s">
        <v>197</v>
      </c>
      <c r="C29" s="213" t="s">
        <v>198</v>
      </c>
      <c r="D29" s="213" t="s">
        <v>209</v>
      </c>
      <c r="E29" s="103" t="s">
        <v>210</v>
      </c>
      <c r="F29" s="99"/>
      <c r="G29" s="34"/>
      <c r="H29" s="331"/>
      <c r="I29" s="96">
        <v>63370</v>
      </c>
      <c r="J29" s="362" t="s">
        <v>156</v>
      </c>
      <c r="K29" s="494">
        <v>0.35499999999999998</v>
      </c>
      <c r="L29" s="192">
        <v>0.53800000000000003</v>
      </c>
      <c r="M29" s="364">
        <v>0</v>
      </c>
      <c r="N29" s="313" cm="1">
        <f t="array" ref="N2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29" s="37">
        <v>0.03</v>
      </c>
      <c r="P29" s="28"/>
      <c r="Q29" s="322" cm="1">
        <f t="array" ref="Q2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29" s="374">
        <v>1</v>
      </c>
      <c r="S29" s="28"/>
      <c r="T29" s="313">
        <v>3</v>
      </c>
      <c r="U29" s="365">
        <v>3</v>
      </c>
      <c r="V29" s="38"/>
      <c r="W29" s="38"/>
      <c r="X29" s="37"/>
      <c r="Y29" s="38"/>
      <c r="Z29" s="38"/>
      <c r="AA29" s="366" t="str" cm="1">
        <f t="array" ref="AA2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0" spans="1:27" hidden="1">
      <c r="A3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Global_PopulationHT0231</v>
      </c>
      <c r="B30" s="361" t="s">
        <v>197</v>
      </c>
      <c r="C30" s="213" t="s">
        <v>198</v>
      </c>
      <c r="D30" s="213" t="s">
        <v>211</v>
      </c>
      <c r="E30" s="103" t="s">
        <v>212</v>
      </c>
      <c r="F30" s="99"/>
      <c r="G30" s="34"/>
      <c r="H30" s="331"/>
      <c r="I30" s="96">
        <v>95781</v>
      </c>
      <c r="J30" s="362" t="s">
        <v>156</v>
      </c>
      <c r="K30" s="494">
        <v>0.35499999999999998</v>
      </c>
      <c r="L30" s="192">
        <v>0.53800000000000003</v>
      </c>
      <c r="M30" s="364">
        <v>3</v>
      </c>
      <c r="N30" s="313" cm="1">
        <f t="array" ref="N3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0" s="37">
        <v>5.3999999999999999E-2</v>
      </c>
      <c r="P30" s="28"/>
      <c r="Q30" s="322" cm="1">
        <f t="array" ref="Q3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0" s="374">
        <v>15</v>
      </c>
      <c r="S30" s="28"/>
      <c r="T30" s="313">
        <v>3</v>
      </c>
      <c r="U30" s="365">
        <v>3</v>
      </c>
      <c r="V30" s="38"/>
      <c r="W30" s="38"/>
      <c r="X30" s="37"/>
      <c r="Y30" s="38"/>
      <c r="Z30" s="38"/>
      <c r="AA30" s="366" t="str" cm="1">
        <f t="array" ref="AA3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1" spans="1:27" hidden="1">
      <c r="A3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Global_PopulationHT0232</v>
      </c>
      <c r="B31" s="361" t="s">
        <v>197</v>
      </c>
      <c r="C31" s="213" t="s">
        <v>198</v>
      </c>
      <c r="D31" s="213" t="s">
        <v>213</v>
      </c>
      <c r="E31" s="103" t="s">
        <v>214</v>
      </c>
      <c r="F31" s="99"/>
      <c r="G31" s="34"/>
      <c r="H31" s="331"/>
      <c r="I31" s="96">
        <v>25416</v>
      </c>
      <c r="J31" s="362" t="s">
        <v>156</v>
      </c>
      <c r="K31" s="494">
        <v>0.35499999999999998</v>
      </c>
      <c r="L31" s="192">
        <v>0.53800000000000003</v>
      </c>
      <c r="M31" s="364">
        <v>3</v>
      </c>
      <c r="N31" s="313" cm="1">
        <f t="array" ref="N3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1" s="37">
        <v>2.5999999999999999E-2</v>
      </c>
      <c r="P31" s="28"/>
      <c r="Q31" s="322" cm="1">
        <f t="array" ref="Q3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1" s="374">
        <v>3</v>
      </c>
      <c r="S31" s="28"/>
      <c r="T31" s="313">
        <v>3</v>
      </c>
      <c r="U31" s="365">
        <v>3</v>
      </c>
      <c r="V31" s="38"/>
      <c r="W31" s="38"/>
      <c r="X31" s="37"/>
      <c r="Y31" s="38"/>
      <c r="Z31" s="38"/>
      <c r="AA31" s="366" t="str" cm="1">
        <f t="array" ref="AA3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2" spans="1:27" hidden="1">
      <c r="A3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Global_PopulationHT0233</v>
      </c>
      <c r="B32" s="361" t="s">
        <v>197</v>
      </c>
      <c r="C32" s="213" t="s">
        <v>198</v>
      </c>
      <c r="D32" s="213" t="s">
        <v>215</v>
      </c>
      <c r="E32" s="103" t="s">
        <v>216</v>
      </c>
      <c r="F32" s="99"/>
      <c r="G32" s="34"/>
      <c r="H32" s="331"/>
      <c r="I32" s="96">
        <v>46178</v>
      </c>
      <c r="J32" s="362" t="s">
        <v>156</v>
      </c>
      <c r="K32" s="494">
        <v>0.35499999999999998</v>
      </c>
      <c r="L32" s="192">
        <v>0.53800000000000003</v>
      </c>
      <c r="M32" s="364">
        <v>2</v>
      </c>
      <c r="N32" s="313" cm="1">
        <f t="array" ref="N3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2" s="37">
        <v>1.0999999999999999E-2</v>
      </c>
      <c r="P32" s="28"/>
      <c r="Q32" s="322" cm="1">
        <f t="array" ref="Q3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2" s="374">
        <v>1</v>
      </c>
      <c r="S32" s="28"/>
      <c r="T32" s="313">
        <v>3</v>
      </c>
      <c r="U32" s="365">
        <v>3</v>
      </c>
      <c r="V32" s="38"/>
      <c r="W32" s="38"/>
      <c r="X32" s="37"/>
      <c r="Y32" s="38"/>
      <c r="Z32" s="38"/>
      <c r="AA32" s="366" t="str" cm="1">
        <f t="array" ref="AA3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3" spans="1:27" hidden="1">
      <c r="A3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Global_PopulationHT0234</v>
      </c>
      <c r="B33" s="361" t="s">
        <v>197</v>
      </c>
      <c r="C33" s="213" t="s">
        <v>198</v>
      </c>
      <c r="D33" s="213" t="s">
        <v>217</v>
      </c>
      <c r="E33" s="103" t="s">
        <v>218</v>
      </c>
      <c r="F33" s="99"/>
      <c r="G33" s="34"/>
      <c r="H33" s="331"/>
      <c r="I33" s="96">
        <v>43459</v>
      </c>
      <c r="J33" s="362" t="s">
        <v>156</v>
      </c>
      <c r="K33" s="494">
        <v>0.35499999999999998</v>
      </c>
      <c r="L33" s="192">
        <v>0.53800000000000003</v>
      </c>
      <c r="M33" s="364">
        <v>2</v>
      </c>
      <c r="N33" s="313" cm="1">
        <f t="array" ref="N3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3" s="37">
        <v>1.7000000000000001E-2</v>
      </c>
      <c r="P33" s="28"/>
      <c r="Q33" s="322" cm="1">
        <f t="array" ref="Q3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3" s="374">
        <v>171</v>
      </c>
      <c r="S33" s="28"/>
      <c r="T33" s="313">
        <v>5</v>
      </c>
      <c r="U33" s="365">
        <v>3</v>
      </c>
      <c r="V33" s="38"/>
      <c r="W33" s="38"/>
      <c r="X33" s="37"/>
      <c r="Y33" s="38"/>
      <c r="Z33" s="38"/>
      <c r="AA33" s="366" t="str" cm="1">
        <f t="array" ref="AA3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4" spans="1:27" hidden="1">
      <c r="A3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Global_PopulationHT0311</v>
      </c>
      <c r="B34" s="361" t="s">
        <v>219</v>
      </c>
      <c r="C34" s="213" t="s">
        <v>220</v>
      </c>
      <c r="D34" s="213" t="s">
        <v>221</v>
      </c>
      <c r="E34" s="103" t="s">
        <v>222</v>
      </c>
      <c r="F34" s="99"/>
      <c r="G34" s="34"/>
      <c r="H34" s="331"/>
      <c r="I34" s="96">
        <v>303590</v>
      </c>
      <c r="J34" s="362" t="s">
        <v>156</v>
      </c>
      <c r="K34" s="494">
        <v>0.443</v>
      </c>
      <c r="L34" s="192">
        <v>0.53800000000000003</v>
      </c>
      <c r="M34" s="364">
        <v>21</v>
      </c>
      <c r="N34" s="313" cm="1">
        <f t="array" ref="N3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4" s="37">
        <v>2.5000000000000001E-2</v>
      </c>
      <c r="P34" s="28"/>
      <c r="Q34" s="322" cm="1">
        <f t="array" ref="Q3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4" s="374">
        <v>64</v>
      </c>
      <c r="S34" s="28"/>
      <c r="T34" s="313">
        <v>4</v>
      </c>
      <c r="U34" s="365">
        <v>3</v>
      </c>
      <c r="V34" s="38"/>
      <c r="W34" s="38"/>
      <c r="X34" s="37"/>
      <c r="Y34" s="38"/>
      <c r="Z34" s="38"/>
      <c r="AA34" s="366" t="str" cm="1">
        <f t="array" ref="AA3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5" spans="1:27" hidden="1">
      <c r="A3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Global_PopulationHT0312</v>
      </c>
      <c r="B35" s="361" t="s">
        <v>219</v>
      </c>
      <c r="C35" s="213" t="s">
        <v>220</v>
      </c>
      <c r="D35" s="213" t="s">
        <v>223</v>
      </c>
      <c r="E35" s="103" t="s">
        <v>224</v>
      </c>
      <c r="F35" s="99"/>
      <c r="G35" s="34"/>
      <c r="H35" s="331"/>
      <c r="I35" s="96">
        <v>29881</v>
      </c>
      <c r="J35" s="362" t="s">
        <v>156</v>
      </c>
      <c r="K35" s="494">
        <v>0.443</v>
      </c>
      <c r="L35" s="192">
        <v>0.53800000000000003</v>
      </c>
      <c r="M35" s="364">
        <v>2</v>
      </c>
      <c r="N35" s="313" cm="1">
        <f t="array" ref="N3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5" s="37">
        <v>2.5000000000000001E-2</v>
      </c>
      <c r="P35" s="28"/>
      <c r="Q35" s="322" cm="1">
        <f t="array" ref="Q3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5" s="374">
        <v>1</v>
      </c>
      <c r="S35" s="28"/>
      <c r="T35" s="313">
        <v>3</v>
      </c>
      <c r="U35" s="365">
        <v>3</v>
      </c>
      <c r="V35" s="38"/>
      <c r="W35" s="38"/>
      <c r="X35" s="37"/>
      <c r="Y35" s="38"/>
      <c r="Z35" s="38"/>
      <c r="AA35" s="366" t="str" cm="1">
        <f t="array" ref="AA3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6" spans="1:27" hidden="1">
      <c r="A3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Global_PopulationHT0313</v>
      </c>
      <c r="B36" s="361" t="s">
        <v>219</v>
      </c>
      <c r="C36" s="213" t="s">
        <v>220</v>
      </c>
      <c r="D36" s="213" t="s">
        <v>225</v>
      </c>
      <c r="E36" s="103" t="s">
        <v>226</v>
      </c>
      <c r="F36" s="99"/>
      <c r="G36" s="34"/>
      <c r="H36" s="331"/>
      <c r="I36" s="96">
        <v>61261</v>
      </c>
      <c r="J36" s="362" t="s">
        <v>156</v>
      </c>
      <c r="K36" s="494">
        <v>0.443</v>
      </c>
      <c r="L36" s="192">
        <v>0.53800000000000003</v>
      </c>
      <c r="M36" s="364">
        <v>0</v>
      </c>
      <c r="N36" s="313" cm="1">
        <f t="array" ref="N3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36" s="37">
        <v>2.5000000000000001E-2</v>
      </c>
      <c r="P36" s="28"/>
      <c r="Q36" s="322" cm="1">
        <f t="array" ref="Q3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6" s="374">
        <v>0</v>
      </c>
      <c r="S36" s="28"/>
      <c r="T36" s="313">
        <v>1</v>
      </c>
      <c r="U36" s="365">
        <v>3</v>
      </c>
      <c r="V36" s="38"/>
      <c r="W36" s="38"/>
      <c r="X36" s="37"/>
      <c r="Y36" s="38"/>
      <c r="Z36" s="38"/>
      <c r="AA36" s="366" t="str" cm="1">
        <f t="array" ref="AA3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7" spans="1:27" hidden="1">
      <c r="A3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Global_PopulationHT0321</v>
      </c>
      <c r="B37" s="361" t="s">
        <v>219</v>
      </c>
      <c r="C37" s="213" t="s">
        <v>220</v>
      </c>
      <c r="D37" s="213" t="s">
        <v>227</v>
      </c>
      <c r="E37" s="103" t="s">
        <v>228</v>
      </c>
      <c r="F37" s="99"/>
      <c r="G37" s="34"/>
      <c r="H37" s="331"/>
      <c r="I37" s="96">
        <v>59632</v>
      </c>
      <c r="J37" s="362" t="s">
        <v>156</v>
      </c>
      <c r="K37" s="494">
        <v>0.443</v>
      </c>
      <c r="L37" s="192">
        <v>0.53800000000000003</v>
      </c>
      <c r="M37" s="364">
        <v>0</v>
      </c>
      <c r="N37" s="313" cm="1">
        <f t="array" ref="N3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37" s="37">
        <v>2.5000000000000001E-2</v>
      </c>
      <c r="P37" s="28"/>
      <c r="Q37" s="322" cm="1">
        <f t="array" ref="Q3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7" s="374">
        <v>1</v>
      </c>
      <c r="S37" s="28"/>
      <c r="T37" s="313">
        <v>3</v>
      </c>
      <c r="U37" s="365">
        <v>3</v>
      </c>
      <c r="V37" s="38"/>
      <c r="W37" s="38"/>
      <c r="X37" s="37"/>
      <c r="Y37" s="38"/>
      <c r="Z37" s="38"/>
      <c r="AA37" s="366" t="str" cm="1">
        <f t="array" ref="AA3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8" spans="1:27" hidden="1">
      <c r="A3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Global_PopulationHT0322</v>
      </c>
      <c r="B38" s="361" t="s">
        <v>219</v>
      </c>
      <c r="C38" s="213" t="s">
        <v>220</v>
      </c>
      <c r="D38" s="213" t="s">
        <v>229</v>
      </c>
      <c r="E38" s="103" t="s">
        <v>230</v>
      </c>
      <c r="F38" s="99"/>
      <c r="G38" s="34"/>
      <c r="H38" s="331"/>
      <c r="I38" s="96">
        <v>43982</v>
      </c>
      <c r="J38" s="362" t="s">
        <v>156</v>
      </c>
      <c r="K38" s="494">
        <v>0.443</v>
      </c>
      <c r="L38" s="192">
        <v>0.53800000000000003</v>
      </c>
      <c r="M38" s="364">
        <v>8</v>
      </c>
      <c r="N38" s="313" cm="1">
        <f t="array" ref="N3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38" s="37">
        <v>2.5000000000000001E-2</v>
      </c>
      <c r="P38" s="28"/>
      <c r="Q38" s="322" cm="1">
        <f t="array" ref="Q3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8" s="374">
        <v>3</v>
      </c>
      <c r="S38" s="28"/>
      <c r="T38" s="313">
        <v>3</v>
      </c>
      <c r="U38" s="365">
        <v>2</v>
      </c>
      <c r="V38" s="38"/>
      <c r="W38" s="38"/>
      <c r="X38" s="37"/>
      <c r="Y38" s="38"/>
      <c r="Z38" s="38"/>
      <c r="AA38" s="366" t="str" cm="1">
        <f t="array" ref="AA3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39" spans="1:27" hidden="1">
      <c r="A3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Global_PopulationHT0323</v>
      </c>
      <c r="B39" s="361" t="s">
        <v>219</v>
      </c>
      <c r="C39" s="213" t="s">
        <v>220</v>
      </c>
      <c r="D39" s="213" t="s">
        <v>231</v>
      </c>
      <c r="E39" s="103" t="s">
        <v>232</v>
      </c>
      <c r="F39" s="99"/>
      <c r="G39" s="34"/>
      <c r="H39" s="331"/>
      <c r="I39" s="96">
        <v>34193</v>
      </c>
      <c r="J39" s="362" t="s">
        <v>156</v>
      </c>
      <c r="K39" s="494">
        <v>0.443</v>
      </c>
      <c r="L39" s="192">
        <v>0.53800000000000003</v>
      </c>
      <c r="M39" s="364">
        <v>1</v>
      </c>
      <c r="N39" s="313" cm="1">
        <f t="array" ref="N3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39" s="37">
        <v>2.5000000000000001E-2</v>
      </c>
      <c r="P39" s="28"/>
      <c r="Q39" s="322" cm="1">
        <f t="array" ref="Q3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39" s="374">
        <v>0</v>
      </c>
      <c r="S39" s="28"/>
      <c r="T39" s="313">
        <v>1</v>
      </c>
      <c r="U39" s="365">
        <v>2</v>
      </c>
      <c r="V39" s="38"/>
      <c r="W39" s="38"/>
      <c r="X39" s="37"/>
      <c r="Y39" s="38"/>
      <c r="Z39" s="38"/>
      <c r="AA39" s="366" t="str" cm="1">
        <f t="array" ref="AA3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0" spans="1:27" hidden="1">
      <c r="A4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Global_PopulationHT0331</v>
      </c>
      <c r="B40" s="361" t="s">
        <v>219</v>
      </c>
      <c r="C40" s="213" t="s">
        <v>220</v>
      </c>
      <c r="D40" s="213" t="s">
        <v>233</v>
      </c>
      <c r="E40" s="103" t="s">
        <v>234</v>
      </c>
      <c r="F40" s="99"/>
      <c r="G40" s="34"/>
      <c r="H40" s="331"/>
      <c r="I40" s="96">
        <v>43816</v>
      </c>
      <c r="J40" s="362" t="s">
        <v>156</v>
      </c>
      <c r="K40" s="494">
        <v>0.443</v>
      </c>
      <c r="L40" s="192">
        <v>0.53800000000000003</v>
      </c>
      <c r="M40" s="364">
        <v>0</v>
      </c>
      <c r="N40" s="313" cm="1">
        <f t="array" ref="N4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0" s="37">
        <v>2.5000000000000001E-2</v>
      </c>
      <c r="P40" s="28"/>
      <c r="Q40" s="322" cm="1">
        <f t="array" ref="Q4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0" s="374">
        <v>4</v>
      </c>
      <c r="S40" s="28"/>
      <c r="T40" s="313">
        <v>3</v>
      </c>
      <c r="U40" s="365">
        <v>3</v>
      </c>
      <c r="V40" s="38"/>
      <c r="W40" s="38"/>
      <c r="X40" s="37"/>
      <c r="Y40" s="38"/>
      <c r="Z40" s="38"/>
      <c r="AA40" s="366" t="str" cm="1">
        <f t="array" ref="AA4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1" spans="1:27" hidden="1">
      <c r="A4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Global_PopulationHT0332</v>
      </c>
      <c r="B41" s="361" t="s">
        <v>219</v>
      </c>
      <c r="C41" s="213" t="s">
        <v>220</v>
      </c>
      <c r="D41" s="213" t="s">
        <v>235</v>
      </c>
      <c r="E41" s="103" t="s">
        <v>236</v>
      </c>
      <c r="F41" s="99"/>
      <c r="G41" s="34"/>
      <c r="H41" s="331"/>
      <c r="I41" s="96">
        <v>24534</v>
      </c>
      <c r="J41" s="362" t="s">
        <v>156</v>
      </c>
      <c r="K41" s="494">
        <v>0.443</v>
      </c>
      <c r="L41" s="192">
        <v>0.53800000000000003</v>
      </c>
      <c r="M41" s="364">
        <v>0</v>
      </c>
      <c r="N41" s="313" cm="1">
        <f t="array" ref="N4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1" s="37">
        <v>2.5000000000000001E-2</v>
      </c>
      <c r="P41" s="28"/>
      <c r="Q41" s="322" cm="1">
        <f t="array" ref="Q4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1" s="374">
        <v>0</v>
      </c>
      <c r="S41" s="28"/>
      <c r="T41" s="313">
        <v>1</v>
      </c>
      <c r="U41" s="365">
        <v>3</v>
      </c>
      <c r="V41" s="38"/>
      <c r="W41" s="38"/>
      <c r="X41" s="37"/>
      <c r="Y41" s="38"/>
      <c r="Z41" s="38"/>
      <c r="AA41" s="366" t="str" cm="1">
        <f t="array" ref="AA4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2" spans="1:27" hidden="1">
      <c r="A4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Global_PopulationHT0341</v>
      </c>
      <c r="B42" s="361" t="s">
        <v>219</v>
      </c>
      <c r="C42" s="213" t="s">
        <v>220</v>
      </c>
      <c r="D42" s="213" t="s">
        <v>237</v>
      </c>
      <c r="E42" s="103" t="s">
        <v>238</v>
      </c>
      <c r="F42" s="99"/>
      <c r="G42" s="34"/>
      <c r="H42" s="331"/>
      <c r="I42" s="96">
        <v>56607</v>
      </c>
      <c r="J42" s="362" t="s">
        <v>156</v>
      </c>
      <c r="K42" s="494">
        <v>0.443</v>
      </c>
      <c r="L42" s="192">
        <v>0.53800000000000003</v>
      </c>
      <c r="M42" s="364">
        <v>0</v>
      </c>
      <c r="N42" s="313" cm="1">
        <f t="array" ref="N4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2" s="37">
        <v>2.5000000000000001E-2</v>
      </c>
      <c r="P42" s="28"/>
      <c r="Q42" s="322" cm="1">
        <f t="array" ref="Q4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2" s="374">
        <v>32</v>
      </c>
      <c r="S42" s="28"/>
      <c r="T42" s="313">
        <v>3</v>
      </c>
      <c r="U42" s="365">
        <v>3</v>
      </c>
      <c r="V42" s="38"/>
      <c r="W42" s="38"/>
      <c r="X42" s="37"/>
      <c r="Y42" s="38"/>
      <c r="Z42" s="38"/>
      <c r="AA42" s="366" t="str" cm="1">
        <f t="array" ref="AA4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3" spans="1:27" hidden="1">
      <c r="A4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Global_PopulationHT0342</v>
      </c>
      <c r="B43" s="361" t="s">
        <v>219</v>
      </c>
      <c r="C43" s="213" t="s">
        <v>220</v>
      </c>
      <c r="D43" s="213" t="s">
        <v>239</v>
      </c>
      <c r="E43" s="103" t="s">
        <v>240</v>
      </c>
      <c r="F43" s="99"/>
      <c r="G43" s="34"/>
      <c r="H43" s="331"/>
      <c r="I43" s="96">
        <v>36398</v>
      </c>
      <c r="J43" s="362" t="s">
        <v>156</v>
      </c>
      <c r="K43" s="494">
        <v>0.443</v>
      </c>
      <c r="L43" s="192">
        <v>0.53800000000000003</v>
      </c>
      <c r="M43" s="364">
        <v>0</v>
      </c>
      <c r="N43" s="313" cm="1">
        <f t="array" ref="N4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3" s="37">
        <v>2.5000000000000001E-2</v>
      </c>
      <c r="P43" s="28"/>
      <c r="Q43" s="322" cm="1">
        <f t="array" ref="Q4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3" s="374">
        <v>16</v>
      </c>
      <c r="S43" s="28"/>
      <c r="T43" s="313">
        <v>3</v>
      </c>
      <c r="U43" s="365">
        <v>3</v>
      </c>
      <c r="V43" s="38"/>
      <c r="W43" s="38"/>
      <c r="X43" s="37"/>
      <c r="Y43" s="38"/>
      <c r="Z43" s="38"/>
      <c r="AA43" s="366" t="str" cm="1">
        <f t="array" ref="AA4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4" spans="1:27" hidden="1">
      <c r="A4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Global_PopulationHT0343</v>
      </c>
      <c r="B44" s="361" t="s">
        <v>219</v>
      </c>
      <c r="C44" s="213" t="s">
        <v>220</v>
      </c>
      <c r="D44" s="213" t="s">
        <v>241</v>
      </c>
      <c r="E44" s="103" t="s">
        <v>242</v>
      </c>
      <c r="F44" s="99"/>
      <c r="G44" s="34"/>
      <c r="H44" s="331"/>
      <c r="I44" s="96">
        <v>29256</v>
      </c>
      <c r="J44" s="362" t="s">
        <v>156</v>
      </c>
      <c r="K44" s="494">
        <v>0.443</v>
      </c>
      <c r="L44" s="192">
        <v>0.53800000000000003</v>
      </c>
      <c r="M44" s="364">
        <v>0</v>
      </c>
      <c r="N44" s="313" cm="1">
        <f t="array" ref="N4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4" s="37">
        <v>2.5000000000000001E-2</v>
      </c>
      <c r="P44" s="28"/>
      <c r="Q44" s="322" cm="1">
        <f t="array" ref="Q4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4" s="374">
        <v>0</v>
      </c>
      <c r="S44" s="28"/>
      <c r="T44" s="313">
        <v>1</v>
      </c>
      <c r="U44" s="365">
        <v>3</v>
      </c>
      <c r="V44" s="38"/>
      <c r="W44" s="38"/>
      <c r="X44" s="37"/>
      <c r="Y44" s="38"/>
      <c r="Z44" s="38"/>
      <c r="AA44" s="366" t="str" cm="1">
        <f t="array" ref="AA4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5" spans="1:27" hidden="1">
      <c r="A4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Global_PopulationHT0344</v>
      </c>
      <c r="B45" s="361" t="s">
        <v>219</v>
      </c>
      <c r="C45" s="213" t="s">
        <v>220</v>
      </c>
      <c r="D45" s="213" t="s">
        <v>243</v>
      </c>
      <c r="E45" s="103" t="s">
        <v>244</v>
      </c>
      <c r="F45" s="99"/>
      <c r="G45" s="34"/>
      <c r="H45" s="331"/>
      <c r="I45" s="96">
        <v>46806</v>
      </c>
      <c r="J45" s="362" t="s">
        <v>156</v>
      </c>
      <c r="K45" s="494">
        <v>0.443</v>
      </c>
      <c r="L45" s="192">
        <v>0.53800000000000003</v>
      </c>
      <c r="M45" s="364">
        <v>0</v>
      </c>
      <c r="N45" s="313" cm="1">
        <f t="array" ref="N4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5" s="37">
        <v>2.5000000000000001E-2</v>
      </c>
      <c r="P45" s="28"/>
      <c r="Q45" s="322" cm="1">
        <f t="array" ref="Q4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5" s="374">
        <v>0</v>
      </c>
      <c r="S45" s="28"/>
      <c r="T45" s="313">
        <v>1</v>
      </c>
      <c r="U45" s="365">
        <v>3</v>
      </c>
      <c r="V45" s="38"/>
      <c r="W45" s="38"/>
      <c r="X45" s="37"/>
      <c r="Y45" s="38"/>
      <c r="Z45" s="38"/>
      <c r="AA45" s="366" t="str" cm="1">
        <f t="array" ref="AA4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6" spans="1:27" hidden="1">
      <c r="A4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Global_PopulationHT0345</v>
      </c>
      <c r="B46" s="361" t="s">
        <v>219</v>
      </c>
      <c r="C46" s="213" t="s">
        <v>220</v>
      </c>
      <c r="D46" s="213" t="s">
        <v>245</v>
      </c>
      <c r="E46" s="103" t="s">
        <v>246</v>
      </c>
      <c r="F46" s="99"/>
      <c r="G46" s="34"/>
      <c r="H46" s="331"/>
      <c r="I46" s="96">
        <v>11101</v>
      </c>
      <c r="J46" s="362" t="s">
        <v>156</v>
      </c>
      <c r="K46" s="494">
        <v>0.443</v>
      </c>
      <c r="L46" s="192">
        <v>0.53800000000000003</v>
      </c>
      <c r="M46" s="364">
        <v>0</v>
      </c>
      <c r="N46" s="313" cm="1">
        <f t="array" ref="N4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6" s="37">
        <v>2.5000000000000001E-2</v>
      </c>
      <c r="P46" s="28"/>
      <c r="Q46" s="322" cm="1">
        <f t="array" ref="Q4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6" s="374">
        <v>0</v>
      </c>
      <c r="S46" s="28"/>
      <c r="T46" s="313">
        <v>1</v>
      </c>
      <c r="U46" s="365">
        <v>2</v>
      </c>
      <c r="V46" s="38"/>
      <c r="W46" s="38"/>
      <c r="X46" s="37"/>
      <c r="Y46" s="38"/>
      <c r="Z46" s="38"/>
      <c r="AA46" s="366" t="str" cm="1">
        <f t="array" ref="AA4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7" spans="1:27" hidden="1">
      <c r="A4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Global_PopulationHT0351</v>
      </c>
      <c r="B47" s="361" t="s">
        <v>219</v>
      </c>
      <c r="C47" s="213" t="s">
        <v>220</v>
      </c>
      <c r="D47" s="213" t="s">
        <v>247</v>
      </c>
      <c r="E47" s="103" t="s">
        <v>248</v>
      </c>
      <c r="F47" s="99"/>
      <c r="G47" s="34"/>
      <c r="H47" s="331"/>
      <c r="I47" s="96">
        <v>70765</v>
      </c>
      <c r="J47" s="362" t="s">
        <v>156</v>
      </c>
      <c r="K47" s="494">
        <v>0.443</v>
      </c>
      <c r="L47" s="192">
        <v>0.53800000000000003</v>
      </c>
      <c r="M47" s="364">
        <v>0</v>
      </c>
      <c r="N47" s="313" cm="1">
        <f t="array" ref="N4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7" s="37">
        <v>2.5000000000000001E-2</v>
      </c>
      <c r="P47" s="28"/>
      <c r="Q47" s="322" cm="1">
        <f t="array" ref="Q4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7" s="374">
        <v>7</v>
      </c>
      <c r="S47" s="28"/>
      <c r="T47" s="313">
        <v>3</v>
      </c>
      <c r="U47" s="365">
        <v>3</v>
      </c>
      <c r="V47" s="38"/>
      <c r="W47" s="38"/>
      <c r="X47" s="37"/>
      <c r="Y47" s="38"/>
      <c r="Z47" s="38"/>
      <c r="AA47" s="366" t="str" cm="1">
        <f t="array" ref="AA4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8" spans="1:27" hidden="1">
      <c r="A4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Global_PopulationHT0352</v>
      </c>
      <c r="B48" s="361" t="s">
        <v>219</v>
      </c>
      <c r="C48" s="213" t="s">
        <v>220</v>
      </c>
      <c r="D48" s="213" t="s">
        <v>249</v>
      </c>
      <c r="E48" s="103" t="s">
        <v>250</v>
      </c>
      <c r="F48" s="99"/>
      <c r="G48" s="34"/>
      <c r="H48" s="331"/>
      <c r="I48" s="96">
        <v>52745</v>
      </c>
      <c r="J48" s="362" t="s">
        <v>156</v>
      </c>
      <c r="K48" s="494">
        <v>0.443</v>
      </c>
      <c r="L48" s="192">
        <v>0.53800000000000003</v>
      </c>
      <c r="M48" s="364">
        <v>0</v>
      </c>
      <c r="N48" s="313" cm="1">
        <f t="array" ref="N4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8" s="37">
        <v>2.5000000000000001E-2</v>
      </c>
      <c r="P48" s="28"/>
      <c r="Q48" s="322" cm="1">
        <f t="array" ref="Q4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8" s="374">
        <v>0</v>
      </c>
      <c r="S48" s="28"/>
      <c r="T48" s="313">
        <v>1</v>
      </c>
      <c r="U48" s="365">
        <v>2</v>
      </c>
      <c r="V48" s="38"/>
      <c r="W48" s="38"/>
      <c r="X48" s="37"/>
      <c r="Y48" s="38"/>
      <c r="Z48" s="38"/>
      <c r="AA48" s="366" t="str" cm="1">
        <f t="array" ref="AA4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49" spans="1:27" hidden="1">
      <c r="A4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Global_PopulationHT0361</v>
      </c>
      <c r="B49" s="361" t="s">
        <v>219</v>
      </c>
      <c r="C49" s="213" t="s">
        <v>220</v>
      </c>
      <c r="D49" s="213" t="s">
        <v>251</v>
      </c>
      <c r="E49" s="103" t="s">
        <v>252</v>
      </c>
      <c r="F49" s="99"/>
      <c r="G49" s="34"/>
      <c r="H49" s="331"/>
      <c r="I49" s="96">
        <v>90050</v>
      </c>
      <c r="J49" s="362" t="s">
        <v>156</v>
      </c>
      <c r="K49" s="494">
        <v>0.443</v>
      </c>
      <c r="L49" s="192">
        <v>0.53800000000000003</v>
      </c>
      <c r="M49" s="364">
        <v>0</v>
      </c>
      <c r="N49" s="313" cm="1">
        <f t="array" ref="N4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49" s="37">
        <v>2.5000000000000001E-2</v>
      </c>
      <c r="P49" s="28"/>
      <c r="Q49" s="322" cm="1">
        <f t="array" ref="Q4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49" s="374">
        <v>0</v>
      </c>
      <c r="S49" s="28"/>
      <c r="T49" s="313">
        <v>1</v>
      </c>
      <c r="U49" s="365">
        <v>3</v>
      </c>
      <c r="V49" s="38"/>
      <c r="W49" s="38"/>
      <c r="X49" s="37"/>
      <c r="Y49" s="38"/>
      <c r="Z49" s="38"/>
      <c r="AA49" s="366" t="str" cm="1">
        <f t="array" ref="AA4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0" spans="1:27" hidden="1">
      <c r="A5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Global_PopulationHT0362</v>
      </c>
      <c r="B50" s="361" t="s">
        <v>219</v>
      </c>
      <c r="C50" s="213" t="s">
        <v>220</v>
      </c>
      <c r="D50" s="213" t="s">
        <v>253</v>
      </c>
      <c r="E50" s="103" t="s">
        <v>254</v>
      </c>
      <c r="F50" s="99"/>
      <c r="G50" s="34"/>
      <c r="H50" s="331"/>
      <c r="I50" s="96">
        <v>22052</v>
      </c>
      <c r="J50" s="362" t="s">
        <v>156</v>
      </c>
      <c r="K50" s="494">
        <v>0.443</v>
      </c>
      <c r="L50" s="192">
        <v>0.53800000000000003</v>
      </c>
      <c r="M50" s="364">
        <v>0</v>
      </c>
      <c r="N50" s="313" cm="1">
        <f t="array" ref="N5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0" s="37">
        <v>2.5000000000000001E-2</v>
      </c>
      <c r="P50" s="28"/>
      <c r="Q50" s="322" cm="1">
        <f t="array" ref="Q5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0" s="374">
        <v>0</v>
      </c>
      <c r="S50" s="28"/>
      <c r="T50" s="313">
        <v>1</v>
      </c>
      <c r="U50" s="365">
        <v>2</v>
      </c>
      <c r="V50" s="38"/>
      <c r="W50" s="38"/>
      <c r="X50" s="37"/>
      <c r="Y50" s="38"/>
      <c r="Z50" s="38"/>
      <c r="AA50" s="366" t="str" cm="1">
        <f t="array" ref="AA5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1" spans="1:27" hidden="1">
      <c r="A5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Global_PopulationHT0371</v>
      </c>
      <c r="B51" s="361" t="s">
        <v>219</v>
      </c>
      <c r="C51" s="213" t="s">
        <v>220</v>
      </c>
      <c r="D51" s="213" t="s">
        <v>255</v>
      </c>
      <c r="E51" s="103" t="s">
        <v>256</v>
      </c>
      <c r="F51" s="99"/>
      <c r="G51" s="34"/>
      <c r="H51" s="331"/>
      <c r="I51" s="96">
        <v>76929</v>
      </c>
      <c r="J51" s="362" t="s">
        <v>156</v>
      </c>
      <c r="K51" s="494">
        <v>0.443</v>
      </c>
      <c r="L51" s="192">
        <v>0.53800000000000003</v>
      </c>
      <c r="M51" s="364">
        <v>0</v>
      </c>
      <c r="N51" s="313" cm="1">
        <f t="array" ref="N5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1" s="37">
        <v>2.5000000000000001E-2</v>
      </c>
      <c r="P51" s="28"/>
      <c r="Q51" s="322" cm="1">
        <f t="array" ref="Q5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1" s="374">
        <v>0</v>
      </c>
      <c r="S51" s="28"/>
      <c r="T51" s="313">
        <v>1</v>
      </c>
      <c r="U51" s="365">
        <v>3</v>
      </c>
      <c r="V51" s="38"/>
      <c r="W51" s="38"/>
      <c r="X51" s="37"/>
      <c r="Y51" s="38"/>
      <c r="Z51" s="38"/>
      <c r="AA51" s="366" t="str" cm="1">
        <f t="array" ref="AA5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2" spans="1:27" hidden="1">
      <c r="A5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Global_PopulationHT0372</v>
      </c>
      <c r="B52" s="361" t="s">
        <v>219</v>
      </c>
      <c r="C52" s="213" t="s">
        <v>220</v>
      </c>
      <c r="D52" s="213" t="s">
        <v>257</v>
      </c>
      <c r="E52" s="103" t="s">
        <v>258</v>
      </c>
      <c r="F52" s="99"/>
      <c r="G52" s="34"/>
      <c r="H52" s="331"/>
      <c r="I52" s="96">
        <v>60535</v>
      </c>
      <c r="J52" s="362" t="s">
        <v>156</v>
      </c>
      <c r="K52" s="494">
        <v>0.443</v>
      </c>
      <c r="L52" s="192">
        <v>0.53800000000000003</v>
      </c>
      <c r="M52" s="364">
        <v>0</v>
      </c>
      <c r="N52" s="313" cm="1">
        <f t="array" ref="N5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2" s="37">
        <v>2.5000000000000001E-2</v>
      </c>
      <c r="P52" s="28"/>
      <c r="Q52" s="322" cm="1">
        <f t="array" ref="Q5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2" s="374">
        <v>0</v>
      </c>
      <c r="S52" s="28"/>
      <c r="T52" s="313">
        <v>1</v>
      </c>
      <c r="U52" s="365">
        <v>3</v>
      </c>
      <c r="V52" s="38"/>
      <c r="W52" s="38"/>
      <c r="X52" s="37"/>
      <c r="Y52" s="38"/>
      <c r="Z52" s="38"/>
      <c r="AA52" s="366" t="str" cm="1">
        <f t="array" ref="AA5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3" spans="1:27" hidden="1">
      <c r="A5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Global_PopulationHT0411</v>
      </c>
      <c r="B53" s="361" t="s">
        <v>259</v>
      </c>
      <c r="C53" s="213" t="s">
        <v>260</v>
      </c>
      <c r="D53" s="213" t="s">
        <v>261</v>
      </c>
      <c r="E53" s="103" t="s">
        <v>262</v>
      </c>
      <c r="F53" s="99"/>
      <c r="G53" s="34"/>
      <c r="H53" s="331"/>
      <c r="I53" s="96">
        <v>40129</v>
      </c>
      <c r="J53" s="362" t="s">
        <v>156</v>
      </c>
      <c r="K53" s="494">
        <v>0.39200000000000002</v>
      </c>
      <c r="L53" s="192">
        <v>0.53800000000000003</v>
      </c>
      <c r="M53" s="364">
        <v>0</v>
      </c>
      <c r="N53" s="313" cm="1">
        <f t="array" ref="N5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3" s="37">
        <v>3.1E-2</v>
      </c>
      <c r="P53" s="28"/>
      <c r="Q53" s="322" cm="1">
        <f t="array" ref="Q5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3" s="374">
        <v>3</v>
      </c>
      <c r="S53" s="28"/>
      <c r="T53" s="313">
        <v>3</v>
      </c>
      <c r="U53" s="365">
        <v>3</v>
      </c>
      <c r="V53" s="38"/>
      <c r="W53" s="38"/>
      <c r="X53" s="37"/>
      <c r="Y53" s="38"/>
      <c r="Z53" s="38"/>
      <c r="AA53" s="366" t="str" cm="1">
        <f t="array" ref="AA5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4" spans="1:27" hidden="1">
      <c r="A5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Global_PopulationHT0412</v>
      </c>
      <c r="B54" s="361" t="s">
        <v>259</v>
      </c>
      <c r="C54" s="213" t="s">
        <v>260</v>
      </c>
      <c r="D54" s="213" t="s">
        <v>263</v>
      </c>
      <c r="E54" s="103" t="s">
        <v>264</v>
      </c>
      <c r="F54" s="99"/>
      <c r="G54" s="34"/>
      <c r="H54" s="331"/>
      <c r="I54" s="96">
        <v>17054</v>
      </c>
      <c r="J54" s="362" t="s">
        <v>156</v>
      </c>
      <c r="K54" s="494">
        <v>0.39200000000000002</v>
      </c>
      <c r="L54" s="192">
        <v>0.53800000000000003</v>
      </c>
      <c r="M54" s="364">
        <v>0</v>
      </c>
      <c r="N54" s="313" cm="1">
        <f t="array" ref="N5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4" s="37">
        <v>3.5000000000000003E-2</v>
      </c>
      <c r="P54" s="28"/>
      <c r="Q54" s="322" cm="1">
        <f t="array" ref="Q5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4" s="374">
        <v>0</v>
      </c>
      <c r="S54" s="28"/>
      <c r="T54" s="313">
        <v>1</v>
      </c>
      <c r="U54" s="365">
        <v>3</v>
      </c>
      <c r="V54" s="38"/>
      <c r="W54" s="38"/>
      <c r="X54" s="37"/>
      <c r="Y54" s="38"/>
      <c r="Z54" s="38"/>
      <c r="AA54" s="366" t="str" cm="1">
        <f t="array" ref="AA5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5" spans="1:27" hidden="1">
      <c r="A5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Global_PopulationHT0413</v>
      </c>
      <c r="B55" s="361" t="s">
        <v>259</v>
      </c>
      <c r="C55" s="213" t="s">
        <v>260</v>
      </c>
      <c r="D55" s="213" t="s">
        <v>265</v>
      </c>
      <c r="E55" s="103" t="s">
        <v>266</v>
      </c>
      <c r="F55" s="99"/>
      <c r="G55" s="34"/>
      <c r="H55" s="331"/>
      <c r="I55" s="96">
        <v>13700</v>
      </c>
      <c r="J55" s="362" t="s">
        <v>156</v>
      </c>
      <c r="K55" s="494">
        <v>0.39200000000000002</v>
      </c>
      <c r="L55" s="192">
        <v>0.53800000000000003</v>
      </c>
      <c r="M55" s="364">
        <v>0</v>
      </c>
      <c r="N55" s="313" cm="1">
        <f t="array" ref="N5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5" s="37">
        <v>3.4000000000000002E-2</v>
      </c>
      <c r="P55" s="28"/>
      <c r="Q55" s="322" cm="1">
        <f t="array" ref="Q5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5" s="374">
        <v>0</v>
      </c>
      <c r="S55" s="28"/>
      <c r="T55" s="313">
        <v>1</v>
      </c>
      <c r="U55" s="365">
        <v>3</v>
      </c>
      <c r="V55" s="38"/>
      <c r="W55" s="38"/>
      <c r="X55" s="37"/>
      <c r="Y55" s="38"/>
      <c r="Z55" s="38"/>
      <c r="AA55" s="366" t="str" cm="1">
        <f t="array" ref="AA5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6" spans="1:27" hidden="1">
      <c r="A5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Global_PopulationHT0421</v>
      </c>
      <c r="B56" s="361" t="s">
        <v>259</v>
      </c>
      <c r="C56" s="213" t="s">
        <v>260</v>
      </c>
      <c r="D56" s="213" t="s">
        <v>267</v>
      </c>
      <c r="E56" s="103" t="s">
        <v>268</v>
      </c>
      <c r="F56" s="99"/>
      <c r="G56" s="34"/>
      <c r="H56" s="331"/>
      <c r="I56" s="96">
        <v>123320</v>
      </c>
      <c r="J56" s="362" t="s">
        <v>156</v>
      </c>
      <c r="K56" s="494">
        <v>0.39200000000000002</v>
      </c>
      <c r="L56" s="192">
        <v>0.53800000000000003</v>
      </c>
      <c r="M56" s="364">
        <v>0</v>
      </c>
      <c r="N56" s="313" cm="1">
        <f t="array" ref="N5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6" s="37">
        <v>5.8999999999999997E-2</v>
      </c>
      <c r="P56" s="28"/>
      <c r="Q56" s="322" cm="1">
        <f t="array" ref="Q5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6" s="374">
        <v>7</v>
      </c>
      <c r="S56" s="28"/>
      <c r="T56" s="313">
        <v>3</v>
      </c>
      <c r="U56" s="365">
        <v>3</v>
      </c>
      <c r="V56" s="38"/>
      <c r="W56" s="38"/>
      <c r="X56" s="37"/>
      <c r="Y56" s="38"/>
      <c r="Z56" s="38"/>
      <c r="AA56" s="366" t="str" cm="1">
        <f t="array" ref="AA5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7" spans="1:27" hidden="1">
      <c r="A5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Global_PopulationHT0422</v>
      </c>
      <c r="B57" s="361" t="s">
        <v>259</v>
      </c>
      <c r="C57" s="213" t="s">
        <v>260</v>
      </c>
      <c r="D57" s="213" t="s">
        <v>269</v>
      </c>
      <c r="E57" s="103" t="s">
        <v>270</v>
      </c>
      <c r="F57" s="99"/>
      <c r="G57" s="34"/>
      <c r="H57" s="331"/>
      <c r="I57" s="96">
        <v>22559</v>
      </c>
      <c r="J57" s="362" t="s">
        <v>156</v>
      </c>
      <c r="K57" s="494">
        <v>0.39200000000000002</v>
      </c>
      <c r="L57" s="192">
        <v>0.53800000000000003</v>
      </c>
      <c r="M57" s="364">
        <v>0</v>
      </c>
      <c r="N57" s="313" cm="1">
        <f t="array" ref="N5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7" s="37">
        <v>2.5999999999999999E-2</v>
      </c>
      <c r="P57" s="28"/>
      <c r="Q57" s="322" cm="1">
        <f t="array" ref="Q5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7" s="374">
        <v>0</v>
      </c>
      <c r="S57" s="28"/>
      <c r="T57" s="313">
        <v>1</v>
      </c>
      <c r="U57" s="365">
        <v>2</v>
      </c>
      <c r="V57" s="38"/>
      <c r="W57" s="38"/>
      <c r="X57" s="37"/>
      <c r="Y57" s="38"/>
      <c r="Z57" s="38"/>
      <c r="AA57" s="366" t="str" cm="1">
        <f t="array" ref="AA5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8" spans="1:27" hidden="1">
      <c r="A5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Global_PopulationHT0423</v>
      </c>
      <c r="B58" s="361" t="s">
        <v>259</v>
      </c>
      <c r="C58" s="213" t="s">
        <v>260</v>
      </c>
      <c r="D58" s="213" t="s">
        <v>271</v>
      </c>
      <c r="E58" s="103" t="s">
        <v>272</v>
      </c>
      <c r="F58" s="99"/>
      <c r="G58" s="34"/>
      <c r="H58" s="331"/>
      <c r="I58" s="96">
        <v>24682</v>
      </c>
      <c r="J58" s="362" t="s">
        <v>156</v>
      </c>
      <c r="K58" s="494">
        <v>0.39200000000000002</v>
      </c>
      <c r="L58" s="192">
        <v>0.53800000000000003</v>
      </c>
      <c r="M58" s="364">
        <v>0</v>
      </c>
      <c r="N58" s="313" cm="1">
        <f t="array" ref="N5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8" s="37">
        <v>3.9E-2</v>
      </c>
      <c r="P58" s="28"/>
      <c r="Q58" s="322" cm="1">
        <f t="array" ref="Q5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8" s="374">
        <v>1</v>
      </c>
      <c r="S58" s="28"/>
      <c r="T58" s="313">
        <v>3</v>
      </c>
      <c r="U58" s="365">
        <v>3</v>
      </c>
      <c r="V58" s="38"/>
      <c r="W58" s="38"/>
      <c r="X58" s="37"/>
      <c r="Y58" s="38"/>
      <c r="Z58" s="38"/>
      <c r="AA58" s="366" t="str" cm="1">
        <f t="array" ref="AA5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59" spans="1:27" hidden="1">
      <c r="A5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Global_PopulationHT0431</v>
      </c>
      <c r="B59" s="361" t="s">
        <v>259</v>
      </c>
      <c r="C59" s="213" t="s">
        <v>260</v>
      </c>
      <c r="D59" s="213" t="s">
        <v>273</v>
      </c>
      <c r="E59" s="103" t="s">
        <v>274</v>
      </c>
      <c r="F59" s="99"/>
      <c r="G59" s="34"/>
      <c r="H59" s="331"/>
      <c r="I59" s="96">
        <v>57212</v>
      </c>
      <c r="J59" s="362" t="s">
        <v>156</v>
      </c>
      <c r="K59" s="494">
        <v>0.39200000000000002</v>
      </c>
      <c r="L59" s="192">
        <v>0.53800000000000003</v>
      </c>
      <c r="M59" s="364">
        <v>0</v>
      </c>
      <c r="N59" s="313" cm="1">
        <f t="array" ref="N5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59" s="37">
        <v>3.4000000000000002E-2</v>
      </c>
      <c r="P59" s="28"/>
      <c r="Q59" s="322" cm="1">
        <f t="array" ref="Q5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59" s="374">
        <v>45</v>
      </c>
      <c r="S59" s="28"/>
      <c r="T59" s="313">
        <v>3</v>
      </c>
      <c r="U59" s="365">
        <v>3</v>
      </c>
      <c r="V59" s="38"/>
      <c r="W59" s="38"/>
      <c r="X59" s="37"/>
      <c r="Y59" s="38"/>
      <c r="Z59" s="38"/>
      <c r="AA59" s="366" t="str" cm="1">
        <f t="array" ref="AA5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0" spans="1:27" hidden="1">
      <c r="A6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Global_PopulationHT0432</v>
      </c>
      <c r="B60" s="361" t="s">
        <v>259</v>
      </c>
      <c r="C60" s="213" t="s">
        <v>260</v>
      </c>
      <c r="D60" s="213" t="s">
        <v>275</v>
      </c>
      <c r="E60" s="103" t="s">
        <v>276</v>
      </c>
      <c r="F60" s="99"/>
      <c r="G60" s="34"/>
      <c r="H60" s="331"/>
      <c r="I60" s="96">
        <v>32812</v>
      </c>
      <c r="J60" s="362" t="s">
        <v>156</v>
      </c>
      <c r="K60" s="494">
        <v>0.39200000000000002</v>
      </c>
      <c r="L60" s="192">
        <v>0.53800000000000003</v>
      </c>
      <c r="M60" s="364">
        <v>0</v>
      </c>
      <c r="N60" s="313" cm="1">
        <f t="array" ref="N6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0" s="37">
        <v>0.04</v>
      </c>
      <c r="P60" s="28"/>
      <c r="Q60" s="322" cm="1">
        <f t="array" ref="Q6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0" s="374">
        <v>1</v>
      </c>
      <c r="S60" s="28"/>
      <c r="T60" s="313">
        <v>3</v>
      </c>
      <c r="U60" s="365">
        <v>3</v>
      </c>
      <c r="V60" s="38"/>
      <c r="W60" s="38"/>
      <c r="X60" s="37"/>
      <c r="Y60" s="38"/>
      <c r="Z60" s="38"/>
      <c r="AA60" s="366" t="str" cm="1">
        <f t="array" ref="AA6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1" spans="1:27" hidden="1">
      <c r="A6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Global_PopulationHT0433</v>
      </c>
      <c r="B61" s="361" t="s">
        <v>259</v>
      </c>
      <c r="C61" s="213" t="s">
        <v>260</v>
      </c>
      <c r="D61" s="213" t="s">
        <v>277</v>
      </c>
      <c r="E61" s="103" t="s">
        <v>278</v>
      </c>
      <c r="F61" s="99"/>
      <c r="G61" s="34"/>
      <c r="H61" s="331"/>
      <c r="I61" s="96">
        <v>35373</v>
      </c>
      <c r="J61" s="362" t="s">
        <v>156</v>
      </c>
      <c r="K61" s="494">
        <v>0.39200000000000002</v>
      </c>
      <c r="L61" s="192">
        <v>0.53800000000000003</v>
      </c>
      <c r="M61" s="364">
        <v>0</v>
      </c>
      <c r="N61" s="313" cm="1">
        <f t="array" ref="N6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1" s="37">
        <v>4.2999999999999997E-2</v>
      </c>
      <c r="P61" s="28"/>
      <c r="Q61" s="322" cm="1">
        <f t="array" ref="Q6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1" s="374">
        <v>0</v>
      </c>
      <c r="S61" s="28"/>
      <c r="T61" s="313">
        <v>1</v>
      </c>
      <c r="U61" s="365">
        <v>3</v>
      </c>
      <c r="V61" s="38"/>
      <c r="W61" s="38"/>
      <c r="X61" s="37"/>
      <c r="Y61" s="38"/>
      <c r="Z61" s="38"/>
      <c r="AA61" s="366" t="str" cm="1">
        <f t="array" ref="AA6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2" spans="1:27" hidden="1">
      <c r="A6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Global_PopulationHT0434</v>
      </c>
      <c r="B62" s="361" t="s">
        <v>259</v>
      </c>
      <c r="C62" s="213" t="s">
        <v>260</v>
      </c>
      <c r="D62" s="213" t="s">
        <v>279</v>
      </c>
      <c r="E62" s="103" t="s">
        <v>280</v>
      </c>
      <c r="F62" s="99"/>
      <c r="G62" s="34"/>
      <c r="H62" s="331"/>
      <c r="I62" s="96">
        <v>9005</v>
      </c>
      <c r="J62" s="362" t="s">
        <v>156</v>
      </c>
      <c r="K62" s="494">
        <v>0.39200000000000002</v>
      </c>
      <c r="L62" s="192">
        <v>0.53800000000000003</v>
      </c>
      <c r="M62" s="364">
        <v>0</v>
      </c>
      <c r="N62" s="313" cm="1">
        <f t="array" ref="N6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2" s="37">
        <v>0.05</v>
      </c>
      <c r="P62" s="28"/>
      <c r="Q62" s="322" cm="1">
        <f t="array" ref="Q6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2" s="374">
        <v>0</v>
      </c>
      <c r="S62" s="28"/>
      <c r="T62" s="313">
        <v>1</v>
      </c>
      <c r="U62" s="365">
        <v>2</v>
      </c>
      <c r="V62" s="38"/>
      <c r="W62" s="38"/>
      <c r="X62" s="37"/>
      <c r="Y62" s="38"/>
      <c r="Z62" s="38"/>
      <c r="AA62" s="366" t="str" cm="1">
        <f t="array" ref="AA6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3" spans="1:27" hidden="1">
      <c r="A6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Global_PopulationHT0441</v>
      </c>
      <c r="B63" s="361" t="s">
        <v>259</v>
      </c>
      <c r="C63" s="213" t="s">
        <v>260</v>
      </c>
      <c r="D63" s="213" t="s">
        <v>281</v>
      </c>
      <c r="E63" s="103" t="s">
        <v>282</v>
      </c>
      <c r="F63" s="99"/>
      <c r="G63" s="34"/>
      <c r="H63" s="331"/>
      <c r="I63" s="96">
        <v>27514</v>
      </c>
      <c r="J63" s="362" t="s">
        <v>156</v>
      </c>
      <c r="K63" s="494">
        <v>0.39200000000000002</v>
      </c>
      <c r="L63" s="192">
        <v>0.53800000000000003</v>
      </c>
      <c r="M63" s="364">
        <v>0</v>
      </c>
      <c r="N63" s="313" cm="1">
        <f t="array" ref="N6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3" s="37">
        <v>1.4999999999999999E-2</v>
      </c>
      <c r="P63" s="28"/>
      <c r="Q63" s="322" cm="1">
        <f t="array" ref="Q6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3" s="374">
        <v>6</v>
      </c>
      <c r="S63" s="28"/>
      <c r="T63" s="313">
        <v>3</v>
      </c>
      <c r="U63" s="365">
        <v>3</v>
      </c>
      <c r="V63" s="38"/>
      <c r="W63" s="38"/>
      <c r="X63" s="37"/>
      <c r="Y63" s="38"/>
      <c r="Z63" s="38"/>
      <c r="AA63" s="366" t="str" cm="1">
        <f t="array" ref="AA6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4" spans="1:27" hidden="1">
      <c r="A6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Global_PopulationHT0442</v>
      </c>
      <c r="B64" s="361" t="s">
        <v>259</v>
      </c>
      <c r="C64" s="213" t="s">
        <v>260</v>
      </c>
      <c r="D64" s="213" t="s">
        <v>283</v>
      </c>
      <c r="E64" s="103" t="s">
        <v>284</v>
      </c>
      <c r="F64" s="99"/>
      <c r="G64" s="34"/>
      <c r="H64" s="331"/>
      <c r="I64" s="96">
        <v>15825</v>
      </c>
      <c r="J64" s="362" t="s">
        <v>156</v>
      </c>
      <c r="K64" s="494">
        <v>0.39200000000000002</v>
      </c>
      <c r="L64" s="192">
        <v>0.53800000000000003</v>
      </c>
      <c r="M64" s="364">
        <v>0</v>
      </c>
      <c r="N64" s="313" cm="1">
        <f t="array" ref="N6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4" s="37">
        <v>5.6000000000000001E-2</v>
      </c>
      <c r="P64" s="28"/>
      <c r="Q64" s="322" cm="1">
        <f t="array" ref="Q6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4" s="374">
        <v>0</v>
      </c>
      <c r="S64" s="28"/>
      <c r="T64" s="313">
        <v>1</v>
      </c>
      <c r="U64" s="365">
        <v>3</v>
      </c>
      <c r="V64" s="38"/>
      <c r="W64" s="38"/>
      <c r="X64" s="37"/>
      <c r="Y64" s="38"/>
      <c r="Z64" s="38"/>
      <c r="AA64" s="366" t="str" cm="1">
        <f t="array" ref="AA6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5" spans="1:27" hidden="1">
      <c r="A6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Global_PopulationHT0443</v>
      </c>
      <c r="B65" s="361" t="s">
        <v>259</v>
      </c>
      <c r="C65" s="213" t="s">
        <v>260</v>
      </c>
      <c r="D65" s="213" t="s">
        <v>285</v>
      </c>
      <c r="E65" s="103" t="s">
        <v>286</v>
      </c>
      <c r="F65" s="99"/>
      <c r="G65" s="34"/>
      <c r="H65" s="331"/>
      <c r="I65" s="96">
        <v>40343</v>
      </c>
      <c r="J65" s="362" t="s">
        <v>156</v>
      </c>
      <c r="K65" s="494">
        <v>0.39200000000000002</v>
      </c>
      <c r="L65" s="192">
        <v>0.53800000000000003</v>
      </c>
      <c r="M65" s="364">
        <v>0</v>
      </c>
      <c r="N65" s="313" cm="1">
        <f t="array" ref="N6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65" s="37">
        <v>4.2999999999999997E-2</v>
      </c>
      <c r="P65" s="28"/>
      <c r="Q65" s="322" cm="1">
        <f t="array" ref="Q6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5" s="374">
        <v>0</v>
      </c>
      <c r="S65" s="28"/>
      <c r="T65" s="313">
        <v>1</v>
      </c>
      <c r="U65" s="365">
        <v>3</v>
      </c>
      <c r="V65" s="38"/>
      <c r="W65" s="38"/>
      <c r="X65" s="37"/>
      <c r="Y65" s="38"/>
      <c r="Z65" s="38"/>
      <c r="AA65" s="366" t="str" cm="1">
        <f t="array" ref="AA6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6" spans="1:27" hidden="1">
      <c r="A6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Global_PopulationHT0511</v>
      </c>
      <c r="B66" s="361" t="s">
        <v>287</v>
      </c>
      <c r="C66" s="213" t="s">
        <v>288</v>
      </c>
      <c r="D66" s="213" t="s">
        <v>289</v>
      </c>
      <c r="E66" s="103" t="s">
        <v>290</v>
      </c>
      <c r="F66" s="99"/>
      <c r="G66" s="34"/>
      <c r="H66" s="331"/>
      <c r="I66" s="96">
        <v>366051</v>
      </c>
      <c r="J66" s="362" t="s">
        <v>156</v>
      </c>
      <c r="K66" s="494">
        <v>0.52100000000000002</v>
      </c>
      <c r="L66" s="192">
        <v>0.53800000000000003</v>
      </c>
      <c r="M66" s="364">
        <v>9</v>
      </c>
      <c r="N66" s="313" cm="1">
        <f t="array" ref="N6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66" s="37">
        <v>0.05</v>
      </c>
      <c r="P66" s="28"/>
      <c r="Q66" s="322" cm="1">
        <f t="array" ref="Q6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6" s="374">
        <v>33</v>
      </c>
      <c r="S66" s="28"/>
      <c r="T66" s="313">
        <v>3</v>
      </c>
      <c r="U66" s="365">
        <v>3</v>
      </c>
      <c r="V66" s="38"/>
      <c r="W66" s="38"/>
      <c r="X66" s="37"/>
      <c r="Y66" s="38"/>
      <c r="Z66" s="38"/>
      <c r="AA66" s="366" t="str" cm="1">
        <f t="array" ref="AA6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7" spans="1:27" hidden="1">
      <c r="A6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Global_PopulationHT0512</v>
      </c>
      <c r="B67" s="361" t="s">
        <v>287</v>
      </c>
      <c r="C67" s="213" t="s">
        <v>288</v>
      </c>
      <c r="D67" s="213" t="s">
        <v>291</v>
      </c>
      <c r="E67" s="103" t="s">
        <v>292</v>
      </c>
      <c r="F67" s="99"/>
      <c r="G67" s="34"/>
      <c r="H67" s="331"/>
      <c r="I67" s="96">
        <v>52529</v>
      </c>
      <c r="J67" s="362" t="s">
        <v>156</v>
      </c>
      <c r="K67" s="494">
        <v>0.52100000000000002</v>
      </c>
      <c r="L67" s="192">
        <v>0.53800000000000003</v>
      </c>
      <c r="M67" s="364">
        <v>0</v>
      </c>
      <c r="N67" s="313" cm="1">
        <f t="array" ref="N6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67" s="37">
        <v>0.05</v>
      </c>
      <c r="P67" s="28"/>
      <c r="Q67" s="322" cm="1">
        <f t="array" ref="Q6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7" s="374">
        <v>0</v>
      </c>
      <c r="S67" s="28"/>
      <c r="T67" s="313">
        <v>1</v>
      </c>
      <c r="U67" s="365">
        <v>3</v>
      </c>
      <c r="V67" s="38"/>
      <c r="W67" s="38"/>
      <c r="X67" s="37"/>
      <c r="Y67" s="38"/>
      <c r="Z67" s="38"/>
      <c r="AA67" s="366" t="str" cm="1">
        <f t="array" ref="AA6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8" spans="1:27" hidden="1">
      <c r="A6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Global_PopulationHT0513</v>
      </c>
      <c r="B68" s="361" t="s">
        <v>287</v>
      </c>
      <c r="C68" s="213" t="s">
        <v>288</v>
      </c>
      <c r="D68" s="213" t="s">
        <v>293</v>
      </c>
      <c r="E68" s="103" t="s">
        <v>294</v>
      </c>
      <c r="F68" s="99"/>
      <c r="G68" s="34"/>
      <c r="H68" s="331"/>
      <c r="I68" s="96">
        <v>44802</v>
      </c>
      <c r="J68" s="362" t="s">
        <v>156</v>
      </c>
      <c r="K68" s="494">
        <v>0.52100000000000002</v>
      </c>
      <c r="L68" s="192">
        <v>0.53800000000000003</v>
      </c>
      <c r="M68" s="364">
        <v>41</v>
      </c>
      <c r="N68" s="313" cm="1">
        <f t="array" ref="N6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68" s="37">
        <v>0.05</v>
      </c>
      <c r="P68" s="28"/>
      <c r="Q68" s="322" cm="1">
        <f t="array" ref="Q6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8" s="374">
        <v>0</v>
      </c>
      <c r="S68" s="28"/>
      <c r="T68" s="313">
        <v>1</v>
      </c>
      <c r="U68" s="365">
        <v>3</v>
      </c>
      <c r="V68" s="38"/>
      <c r="W68" s="38"/>
      <c r="X68" s="37"/>
      <c r="Y68" s="38"/>
      <c r="Z68" s="38"/>
      <c r="AA68" s="366" t="str" cm="1">
        <f t="array" ref="AA6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69" spans="1:27" hidden="1">
      <c r="A6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Global_PopulationHT0521</v>
      </c>
      <c r="B69" s="361" t="s">
        <v>287</v>
      </c>
      <c r="C69" s="213" t="s">
        <v>288</v>
      </c>
      <c r="D69" s="213" t="s">
        <v>295</v>
      </c>
      <c r="E69" s="103" t="s">
        <v>296</v>
      </c>
      <c r="F69" s="99"/>
      <c r="G69" s="34"/>
      <c r="H69" s="331"/>
      <c r="I69" s="96">
        <v>162808</v>
      </c>
      <c r="J69" s="362" t="s">
        <v>156</v>
      </c>
      <c r="K69" s="494">
        <v>0.52100000000000002</v>
      </c>
      <c r="L69" s="192">
        <v>0.53800000000000003</v>
      </c>
      <c r="M69" s="364">
        <v>37</v>
      </c>
      <c r="N69" s="313" cm="1">
        <f t="array" ref="N6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69" s="37">
        <v>0.05</v>
      </c>
      <c r="P69" s="28"/>
      <c r="Q69" s="322" cm="1">
        <f t="array" ref="Q6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69" s="374">
        <v>0</v>
      </c>
      <c r="S69" s="28"/>
      <c r="T69" s="313">
        <v>1</v>
      </c>
      <c r="U69" s="365">
        <v>3</v>
      </c>
      <c r="V69" s="38"/>
      <c r="W69" s="38"/>
      <c r="X69" s="37"/>
      <c r="Y69" s="38"/>
      <c r="Z69" s="38"/>
      <c r="AA69" s="366" t="str" cm="1">
        <f t="array" ref="AA6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0" spans="1:27" hidden="1">
      <c r="A7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Global_PopulationHT0522</v>
      </c>
      <c r="B70" s="361" t="s">
        <v>287</v>
      </c>
      <c r="C70" s="213" t="s">
        <v>288</v>
      </c>
      <c r="D70" s="213" t="s">
        <v>297</v>
      </c>
      <c r="E70" s="103" t="s">
        <v>298</v>
      </c>
      <c r="F70" s="99"/>
      <c r="G70" s="34"/>
      <c r="H70" s="331"/>
      <c r="I70" s="96">
        <v>32784</v>
      </c>
      <c r="J70" s="362" t="s">
        <v>156</v>
      </c>
      <c r="K70" s="494">
        <v>0.52100000000000002</v>
      </c>
      <c r="L70" s="192">
        <v>0.53800000000000003</v>
      </c>
      <c r="M70" s="364">
        <v>0</v>
      </c>
      <c r="N70" s="313" cm="1">
        <f t="array" ref="N7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70" s="37">
        <v>0.05</v>
      </c>
      <c r="P70" s="28"/>
      <c r="Q70" s="322" cm="1">
        <f t="array" ref="Q7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0" s="374">
        <v>0</v>
      </c>
      <c r="S70" s="28"/>
      <c r="T70" s="313">
        <v>1</v>
      </c>
      <c r="U70" s="365">
        <v>3</v>
      </c>
      <c r="V70" s="38"/>
      <c r="W70" s="38"/>
      <c r="X70" s="37"/>
      <c r="Y70" s="38"/>
      <c r="Z70" s="38"/>
      <c r="AA70" s="366" t="str" cm="1">
        <f t="array" ref="AA7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1" spans="1:27" hidden="1">
      <c r="A7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Global_PopulationHT0523</v>
      </c>
      <c r="B71" s="361" t="s">
        <v>287</v>
      </c>
      <c r="C71" s="213" t="s">
        <v>288</v>
      </c>
      <c r="D71" s="213" t="s">
        <v>299</v>
      </c>
      <c r="E71" s="103" t="s">
        <v>300</v>
      </c>
      <c r="F71" s="99"/>
      <c r="G71" s="34"/>
      <c r="H71" s="331"/>
      <c r="I71" s="96">
        <v>47668</v>
      </c>
      <c r="J71" s="362" t="s">
        <v>156</v>
      </c>
      <c r="K71" s="494">
        <v>0.52100000000000002</v>
      </c>
      <c r="L71" s="192">
        <v>0.53800000000000003</v>
      </c>
      <c r="M71" s="364">
        <v>0</v>
      </c>
      <c r="N71" s="313" cm="1">
        <f t="array" ref="N7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71" s="37">
        <v>0.05</v>
      </c>
      <c r="P71" s="28"/>
      <c r="Q71" s="322" cm="1">
        <f t="array" ref="Q7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1" s="374">
        <v>0</v>
      </c>
      <c r="S71" s="28"/>
      <c r="T71" s="313">
        <v>1</v>
      </c>
      <c r="U71" s="365">
        <v>3</v>
      </c>
      <c r="V71" s="38"/>
      <c r="W71" s="38"/>
      <c r="X71" s="37"/>
      <c r="Y71" s="38"/>
      <c r="Z71" s="38"/>
      <c r="AA71" s="366" t="str" cm="1">
        <f t="array" ref="AA7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2" spans="1:27" hidden="1">
      <c r="A7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Global_PopulationHT0531</v>
      </c>
      <c r="B72" s="361" t="s">
        <v>287</v>
      </c>
      <c r="C72" s="213" t="s">
        <v>288</v>
      </c>
      <c r="D72" s="213" t="s">
        <v>301</v>
      </c>
      <c r="E72" s="103" t="s">
        <v>302</v>
      </c>
      <c r="F72" s="99"/>
      <c r="G72" s="34"/>
      <c r="H72" s="331"/>
      <c r="I72" s="96">
        <v>281577</v>
      </c>
      <c r="J72" s="362" t="s">
        <v>156</v>
      </c>
      <c r="K72" s="494">
        <v>0.52100000000000002</v>
      </c>
      <c r="L72" s="192">
        <v>0.53800000000000003</v>
      </c>
      <c r="M72" s="364">
        <v>29</v>
      </c>
      <c r="N72" s="313" cm="1">
        <f t="array" ref="N7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2" s="37">
        <v>0.05</v>
      </c>
      <c r="P72" s="28"/>
      <c r="Q72" s="322" cm="1">
        <f t="array" ref="Q7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2" s="374">
        <v>43</v>
      </c>
      <c r="S72" s="28"/>
      <c r="T72" s="313">
        <v>3</v>
      </c>
      <c r="U72" s="365">
        <v>3</v>
      </c>
      <c r="V72" s="38"/>
      <c r="W72" s="38"/>
      <c r="X72" s="37"/>
      <c r="Y72" s="38"/>
      <c r="Z72" s="38"/>
      <c r="AA72" s="366" t="str" cm="1">
        <f t="array" ref="AA7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3" spans="1:27" hidden="1">
      <c r="A7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Global_PopulationHT0532</v>
      </c>
      <c r="B73" s="361" t="s">
        <v>287</v>
      </c>
      <c r="C73" s="213" t="s">
        <v>288</v>
      </c>
      <c r="D73" s="213" t="s">
        <v>303</v>
      </c>
      <c r="E73" s="103" t="s">
        <v>304</v>
      </c>
      <c r="F73" s="99"/>
      <c r="G73" s="34"/>
      <c r="H73" s="331"/>
      <c r="I73" s="96">
        <v>146485</v>
      </c>
      <c r="J73" s="362" t="s">
        <v>156</v>
      </c>
      <c r="K73" s="494">
        <v>0.52100000000000002</v>
      </c>
      <c r="L73" s="192">
        <v>0.53800000000000003</v>
      </c>
      <c r="M73" s="364">
        <v>108</v>
      </c>
      <c r="N73" s="313" cm="1">
        <f t="array" ref="N7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3" s="37">
        <v>0.05</v>
      </c>
      <c r="P73" s="28"/>
      <c r="Q73" s="322" cm="1">
        <f t="array" ref="Q7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3" s="374">
        <v>0</v>
      </c>
      <c r="S73" s="28"/>
      <c r="T73" s="313">
        <v>1</v>
      </c>
      <c r="U73" s="365">
        <v>4</v>
      </c>
      <c r="V73" s="38"/>
      <c r="W73" s="38"/>
      <c r="X73" s="37"/>
      <c r="Y73" s="38"/>
      <c r="Z73" s="38"/>
      <c r="AA73" s="366" t="str" cm="1">
        <f t="array" ref="AA7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4" spans="1:27" hidden="1">
      <c r="A7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Global_PopulationHT0533</v>
      </c>
      <c r="B74" s="361" t="s">
        <v>287</v>
      </c>
      <c r="C74" s="213" t="s">
        <v>288</v>
      </c>
      <c r="D74" s="213" t="s">
        <v>305</v>
      </c>
      <c r="E74" s="103" t="s">
        <v>306</v>
      </c>
      <c r="F74" s="99"/>
      <c r="G74" s="34"/>
      <c r="H74" s="331"/>
      <c r="I74" s="96">
        <v>32609</v>
      </c>
      <c r="J74" s="362" t="s">
        <v>156</v>
      </c>
      <c r="K74" s="494">
        <v>0.52100000000000002</v>
      </c>
      <c r="L74" s="192">
        <v>0.53800000000000003</v>
      </c>
      <c r="M74" s="364">
        <v>33</v>
      </c>
      <c r="N74" s="313" cm="1">
        <f t="array" ref="N7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4" s="37">
        <v>0.05</v>
      </c>
      <c r="P74" s="28"/>
      <c r="Q74" s="322" cm="1">
        <f t="array" ref="Q7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4" s="374">
        <v>0</v>
      </c>
      <c r="S74" s="28"/>
      <c r="T74" s="313">
        <v>1</v>
      </c>
      <c r="U74" s="365">
        <v>3</v>
      </c>
      <c r="V74" s="38"/>
      <c r="W74" s="38"/>
      <c r="X74" s="37"/>
      <c r="Y74" s="38"/>
      <c r="Z74" s="38"/>
      <c r="AA74" s="366" t="str" cm="1">
        <f t="array" ref="AA7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5" spans="1:27" hidden="1">
      <c r="A7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Global_PopulationHT0541</v>
      </c>
      <c r="B75" s="361" t="s">
        <v>287</v>
      </c>
      <c r="C75" s="213" t="s">
        <v>288</v>
      </c>
      <c r="D75" s="213" t="s">
        <v>307</v>
      </c>
      <c r="E75" s="103" t="s">
        <v>308</v>
      </c>
      <c r="F75" s="99"/>
      <c r="G75" s="34"/>
      <c r="H75" s="331"/>
      <c r="I75" s="96">
        <v>185387</v>
      </c>
      <c r="J75" s="362" t="s">
        <v>156</v>
      </c>
      <c r="K75" s="494">
        <v>0.52100000000000002</v>
      </c>
      <c r="L75" s="192">
        <v>0.53800000000000003</v>
      </c>
      <c r="M75" s="364">
        <v>9</v>
      </c>
      <c r="N75" s="313" cm="1">
        <f t="array" ref="N7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5" s="37">
        <v>0.05</v>
      </c>
      <c r="P75" s="28"/>
      <c r="Q75" s="322" cm="1">
        <f t="array" ref="Q7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5" s="374">
        <v>40</v>
      </c>
      <c r="S75" s="28"/>
      <c r="T75" s="313">
        <v>3</v>
      </c>
      <c r="U75" s="365">
        <v>3</v>
      </c>
      <c r="V75" s="38"/>
      <c r="W75" s="38"/>
      <c r="X75" s="37"/>
      <c r="Y75" s="38"/>
      <c r="Z75" s="38"/>
      <c r="AA75" s="366" t="str" cm="1">
        <f t="array" ref="AA7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6" spans="1:27" hidden="1">
      <c r="A7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Global_PopulationHT0542</v>
      </c>
      <c r="B76" s="361" t="s">
        <v>287</v>
      </c>
      <c r="C76" s="213" t="s">
        <v>288</v>
      </c>
      <c r="D76" s="213" t="s">
        <v>309</v>
      </c>
      <c r="E76" s="103" t="s">
        <v>310</v>
      </c>
      <c r="F76" s="99"/>
      <c r="G76" s="34"/>
      <c r="H76" s="331"/>
      <c r="I76" s="96">
        <v>165494</v>
      </c>
      <c r="J76" s="362" t="s">
        <v>156</v>
      </c>
      <c r="K76" s="494">
        <v>0.52100000000000002</v>
      </c>
      <c r="L76" s="192">
        <v>0.53800000000000003</v>
      </c>
      <c r="M76" s="364">
        <v>363</v>
      </c>
      <c r="N76" s="313" cm="1">
        <f t="array" ref="N7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6" s="37">
        <v>0.05</v>
      </c>
      <c r="P76" s="28"/>
      <c r="Q76" s="322" cm="1">
        <f t="array" ref="Q7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6" s="374">
        <v>3</v>
      </c>
      <c r="S76" s="28"/>
      <c r="T76" s="313">
        <v>3</v>
      </c>
      <c r="U76" s="365">
        <v>4</v>
      </c>
      <c r="V76" s="38"/>
      <c r="W76" s="38"/>
      <c r="X76" s="37"/>
      <c r="Y76" s="38"/>
      <c r="Z76" s="38"/>
      <c r="AA76" s="366" t="str" cm="1">
        <f t="array" ref="AA7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7" spans="1:27" hidden="1">
      <c r="A7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Global_PopulationHT0543</v>
      </c>
      <c r="B77" s="361" t="s">
        <v>287</v>
      </c>
      <c r="C77" s="213" t="s">
        <v>288</v>
      </c>
      <c r="D77" s="213" t="s">
        <v>311</v>
      </c>
      <c r="E77" s="103" t="s">
        <v>312</v>
      </c>
      <c r="F77" s="99"/>
      <c r="G77" s="34"/>
      <c r="H77" s="331"/>
      <c r="I77" s="96">
        <v>23598</v>
      </c>
      <c r="J77" s="362" t="s">
        <v>156</v>
      </c>
      <c r="K77" s="494">
        <v>0.52100000000000002</v>
      </c>
      <c r="L77" s="192">
        <v>0.53800000000000003</v>
      </c>
      <c r="M77" s="364">
        <v>19</v>
      </c>
      <c r="N77" s="313" cm="1">
        <f t="array" ref="N7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7" s="37">
        <v>0.05</v>
      </c>
      <c r="P77" s="28"/>
      <c r="Q77" s="322" cm="1">
        <f t="array" ref="Q7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7" s="374">
        <v>0</v>
      </c>
      <c r="S77" s="28"/>
      <c r="T77" s="313">
        <v>1</v>
      </c>
      <c r="U77" s="365">
        <v>3</v>
      </c>
      <c r="V77" s="38"/>
      <c r="W77" s="38"/>
      <c r="X77" s="37"/>
      <c r="Y77" s="38"/>
      <c r="Z77" s="38"/>
      <c r="AA77" s="366" t="str" cm="1">
        <f t="array" ref="AA7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8" spans="1:27" hidden="1">
      <c r="A7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Global_PopulationHT0544</v>
      </c>
      <c r="B78" s="361" t="s">
        <v>287</v>
      </c>
      <c r="C78" s="213" t="s">
        <v>288</v>
      </c>
      <c r="D78" s="213" t="s">
        <v>313</v>
      </c>
      <c r="E78" s="103" t="s">
        <v>314</v>
      </c>
      <c r="F78" s="99"/>
      <c r="G78" s="34"/>
      <c r="H78" s="331"/>
      <c r="I78" s="96">
        <v>37602</v>
      </c>
      <c r="J78" s="362" t="s">
        <v>156</v>
      </c>
      <c r="K78" s="494">
        <v>0.52100000000000002</v>
      </c>
      <c r="L78" s="192">
        <v>0.53800000000000003</v>
      </c>
      <c r="M78" s="364">
        <v>0</v>
      </c>
      <c r="N78" s="313" cm="1">
        <f t="array" ref="N7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78" s="37">
        <v>0.05</v>
      </c>
      <c r="P78" s="28"/>
      <c r="Q78" s="322" cm="1">
        <f t="array" ref="Q7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8" s="374">
        <v>19</v>
      </c>
      <c r="S78" s="28"/>
      <c r="T78" s="313">
        <v>3</v>
      </c>
      <c r="U78" s="365">
        <v>3</v>
      </c>
      <c r="V78" s="38"/>
      <c r="W78" s="38"/>
      <c r="X78" s="37"/>
      <c r="Y78" s="38"/>
      <c r="Z78" s="38"/>
      <c r="AA78" s="366" t="str" cm="1">
        <f t="array" ref="AA7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79" spans="1:27" hidden="1">
      <c r="A7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Global_PopulationHT0551</v>
      </c>
      <c r="B79" s="361" t="s">
        <v>287</v>
      </c>
      <c r="C79" s="213" t="s">
        <v>288</v>
      </c>
      <c r="D79" s="213" t="s">
        <v>315</v>
      </c>
      <c r="E79" s="103" t="s">
        <v>316</v>
      </c>
      <c r="F79" s="99"/>
      <c r="G79" s="34"/>
      <c r="H79" s="331"/>
      <c r="I79" s="96">
        <v>154615</v>
      </c>
      <c r="J79" s="362" t="s">
        <v>156</v>
      </c>
      <c r="K79" s="494">
        <v>0.52100000000000002</v>
      </c>
      <c r="L79" s="192">
        <v>0.53800000000000003</v>
      </c>
      <c r="M79" s="364">
        <v>6</v>
      </c>
      <c r="N79" s="313" cm="1">
        <f t="array" ref="N7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79" s="37">
        <v>0.05</v>
      </c>
      <c r="P79" s="28"/>
      <c r="Q79" s="322" cm="1">
        <f t="array" ref="Q7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79" s="374">
        <v>68</v>
      </c>
      <c r="S79" s="28"/>
      <c r="T79" s="313">
        <v>4</v>
      </c>
      <c r="U79" s="365">
        <v>3</v>
      </c>
      <c r="V79" s="38"/>
      <c r="W79" s="38"/>
      <c r="X79" s="37"/>
      <c r="Y79" s="38"/>
      <c r="Z79" s="38"/>
      <c r="AA79" s="366" t="str" cm="1">
        <f t="array" ref="AA7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0" spans="1:27" hidden="1">
      <c r="A8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Global_PopulationHT0552</v>
      </c>
      <c r="B80" s="361" t="s">
        <v>287</v>
      </c>
      <c r="C80" s="213" t="s">
        <v>288</v>
      </c>
      <c r="D80" s="213" t="s">
        <v>317</v>
      </c>
      <c r="E80" s="103" t="s">
        <v>318</v>
      </c>
      <c r="F80" s="99"/>
      <c r="G80" s="34"/>
      <c r="H80" s="331"/>
      <c r="I80" s="96">
        <v>39659</v>
      </c>
      <c r="J80" s="362" t="s">
        <v>156</v>
      </c>
      <c r="K80" s="494">
        <v>0.52100000000000002</v>
      </c>
      <c r="L80" s="192">
        <v>0.53800000000000003</v>
      </c>
      <c r="M80" s="364">
        <v>0</v>
      </c>
      <c r="N80" s="313" cm="1">
        <f t="array" ref="N8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80" s="37">
        <v>0.05</v>
      </c>
      <c r="P80" s="28"/>
      <c r="Q80" s="322" cm="1">
        <f t="array" ref="Q8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0" s="374">
        <v>35</v>
      </c>
      <c r="S80" s="28"/>
      <c r="T80" s="313">
        <v>3</v>
      </c>
      <c r="U80" s="365">
        <v>3</v>
      </c>
      <c r="V80" s="38"/>
      <c r="W80" s="38"/>
      <c r="X80" s="37"/>
      <c r="Y80" s="38"/>
      <c r="Z80" s="38"/>
      <c r="AA80" s="366" t="str" cm="1">
        <f t="array" ref="AA8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1" spans="1:27" hidden="1">
      <c r="A8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Global_PopulationHT0611</v>
      </c>
      <c r="B81" s="361" t="s">
        <v>319</v>
      </c>
      <c r="C81" s="213" t="s">
        <v>320</v>
      </c>
      <c r="D81" s="213" t="s">
        <v>321</v>
      </c>
      <c r="E81" s="103" t="s">
        <v>322</v>
      </c>
      <c r="F81" s="99"/>
      <c r="G81" s="34"/>
      <c r="H81" s="331"/>
      <c r="I81" s="96">
        <v>163137</v>
      </c>
      <c r="J81" s="362" t="s">
        <v>156</v>
      </c>
      <c r="K81" s="494">
        <v>0.96699999999999997</v>
      </c>
      <c r="L81" s="192">
        <v>0.53800000000000003</v>
      </c>
      <c r="M81" s="364">
        <v>1</v>
      </c>
      <c r="N81" s="313" cm="1">
        <f t="array" ref="N8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81" s="37">
        <v>2.5000000000000001E-2</v>
      </c>
      <c r="P81" s="28"/>
      <c r="Q81" s="322" cm="1">
        <f t="array" ref="Q8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1" s="374">
        <v>57</v>
      </c>
      <c r="S81" s="28"/>
      <c r="T81" s="313">
        <v>4</v>
      </c>
      <c r="U81" s="365">
        <v>3</v>
      </c>
      <c r="V81" s="38"/>
      <c r="W81" s="38"/>
      <c r="X81" s="37"/>
      <c r="Y81" s="38"/>
      <c r="Z81" s="38"/>
      <c r="AA81" s="366" t="str" cm="1">
        <f t="array" ref="AA8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2" spans="1:27" hidden="1">
      <c r="A8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Global_PopulationHT0612</v>
      </c>
      <c r="B82" s="361" t="s">
        <v>319</v>
      </c>
      <c r="C82" s="213" t="s">
        <v>320</v>
      </c>
      <c r="D82" s="213" t="s">
        <v>323</v>
      </c>
      <c r="E82" s="103" t="s">
        <v>324</v>
      </c>
      <c r="F82" s="99"/>
      <c r="G82" s="34"/>
      <c r="H82" s="331"/>
      <c r="I82" s="96">
        <v>78577</v>
      </c>
      <c r="J82" s="362" t="s">
        <v>156</v>
      </c>
      <c r="K82" s="494">
        <v>0.96699999999999997</v>
      </c>
      <c r="L82" s="192">
        <v>0.53800000000000003</v>
      </c>
      <c r="M82" s="364">
        <v>3</v>
      </c>
      <c r="N82" s="313" cm="1">
        <f t="array" ref="N8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2" s="37">
        <v>2.5000000000000001E-2</v>
      </c>
      <c r="P82" s="28"/>
      <c r="Q82" s="322" cm="1">
        <f t="array" ref="Q8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2" s="374">
        <v>25</v>
      </c>
      <c r="S82" s="28"/>
      <c r="T82" s="313">
        <v>3</v>
      </c>
      <c r="U82" s="365">
        <v>3</v>
      </c>
      <c r="V82" s="38"/>
      <c r="W82" s="38"/>
      <c r="X82" s="37"/>
      <c r="Y82" s="38"/>
      <c r="Z82" s="38"/>
      <c r="AA82" s="366" t="str" cm="1">
        <f t="array" ref="AA8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3" spans="1:27" hidden="1">
      <c r="A8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Global_PopulationHT0613</v>
      </c>
      <c r="B83" s="361" t="s">
        <v>319</v>
      </c>
      <c r="C83" s="213" t="s">
        <v>320</v>
      </c>
      <c r="D83" s="213" t="s">
        <v>325</v>
      </c>
      <c r="E83" s="103" t="s">
        <v>326</v>
      </c>
      <c r="F83" s="99"/>
      <c r="G83" s="34"/>
      <c r="H83" s="331"/>
      <c r="I83" s="96">
        <v>85152</v>
      </c>
      <c r="J83" s="362" t="s">
        <v>156</v>
      </c>
      <c r="K83" s="494">
        <v>0.96699999999999997</v>
      </c>
      <c r="L83" s="192">
        <v>0.53800000000000003</v>
      </c>
      <c r="M83" s="364">
        <v>4</v>
      </c>
      <c r="N83" s="313" cm="1">
        <f t="array" ref="N8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3" s="37">
        <v>2.5000000000000001E-2</v>
      </c>
      <c r="P83" s="28"/>
      <c r="Q83" s="322" cm="1">
        <f t="array" ref="Q8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3" s="374">
        <v>15</v>
      </c>
      <c r="S83" s="28"/>
      <c r="T83" s="313">
        <v>3</v>
      </c>
      <c r="U83" s="365">
        <v>3</v>
      </c>
      <c r="V83" s="38"/>
      <c r="W83" s="38"/>
      <c r="X83" s="37"/>
      <c r="Y83" s="38"/>
      <c r="Z83" s="38"/>
      <c r="AA83" s="366" t="str" cm="1">
        <f t="array" ref="AA8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4" spans="1:27" hidden="1">
      <c r="A8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Global_PopulationHT0614</v>
      </c>
      <c r="B84" s="361" t="s">
        <v>319</v>
      </c>
      <c r="C84" s="213" t="s">
        <v>320</v>
      </c>
      <c r="D84" s="213" t="s">
        <v>327</v>
      </c>
      <c r="E84" s="103" t="s">
        <v>328</v>
      </c>
      <c r="F84" s="99"/>
      <c r="G84" s="34"/>
      <c r="H84" s="331"/>
      <c r="I84" s="96">
        <v>31774</v>
      </c>
      <c r="J84" s="362" t="s">
        <v>156</v>
      </c>
      <c r="K84" s="494">
        <v>0.96699999999999997</v>
      </c>
      <c r="L84" s="192">
        <v>0.53800000000000003</v>
      </c>
      <c r="M84" s="364">
        <v>1</v>
      </c>
      <c r="N84" s="313" cm="1">
        <f t="array" ref="N8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84" s="37">
        <v>2.5000000000000001E-2</v>
      </c>
      <c r="P84" s="28"/>
      <c r="Q84" s="322" cm="1">
        <f t="array" ref="Q8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4" s="374">
        <v>1</v>
      </c>
      <c r="S84" s="28"/>
      <c r="T84" s="313">
        <v>3</v>
      </c>
      <c r="U84" s="365">
        <v>3</v>
      </c>
      <c r="V84" s="38"/>
      <c r="W84" s="38"/>
      <c r="X84" s="37"/>
      <c r="Y84" s="38"/>
      <c r="Z84" s="38"/>
      <c r="AA84" s="366" t="str" cm="1">
        <f t="array" ref="AA8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5" spans="1:27" hidden="1">
      <c r="A8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Global_PopulationHT0621</v>
      </c>
      <c r="B85" s="361" t="s">
        <v>319</v>
      </c>
      <c r="C85" s="213" t="s">
        <v>320</v>
      </c>
      <c r="D85" s="213" t="s">
        <v>329</v>
      </c>
      <c r="E85" s="103" t="s">
        <v>330</v>
      </c>
      <c r="F85" s="99"/>
      <c r="G85" s="34"/>
      <c r="H85" s="331"/>
      <c r="I85" s="96">
        <v>129573</v>
      </c>
      <c r="J85" s="362" t="s">
        <v>156</v>
      </c>
      <c r="K85" s="494">
        <v>0.96699999999999997</v>
      </c>
      <c r="L85" s="192">
        <v>0.53800000000000003</v>
      </c>
      <c r="M85" s="364">
        <v>227</v>
      </c>
      <c r="N85" s="313" cm="1">
        <f t="array" ref="N8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5" s="37">
        <v>2.5000000000000001E-2</v>
      </c>
      <c r="P85" s="28"/>
      <c r="Q85" s="322" cm="1">
        <f t="array" ref="Q8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5" s="374">
        <v>150</v>
      </c>
      <c r="S85" s="28"/>
      <c r="T85" s="313">
        <v>5</v>
      </c>
      <c r="U85" s="365">
        <v>4</v>
      </c>
      <c r="V85" s="38"/>
      <c r="W85" s="38"/>
      <c r="X85" s="37"/>
      <c r="Y85" s="38"/>
      <c r="Z85" s="38"/>
      <c r="AA85" s="366" t="str" cm="1">
        <f t="array" ref="AA8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6" spans="1:27" hidden="1">
      <c r="A8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Global_PopulationHT0622</v>
      </c>
      <c r="B86" s="361" t="s">
        <v>319</v>
      </c>
      <c r="C86" s="213" t="s">
        <v>320</v>
      </c>
      <c r="D86" s="213" t="s">
        <v>331</v>
      </c>
      <c r="E86" s="103" t="s">
        <v>332</v>
      </c>
      <c r="F86" s="99"/>
      <c r="G86" s="34"/>
      <c r="H86" s="331"/>
      <c r="I86" s="96">
        <v>52389</v>
      </c>
      <c r="J86" s="362" t="s">
        <v>156</v>
      </c>
      <c r="K86" s="494">
        <v>0.96699999999999997</v>
      </c>
      <c r="L86" s="192">
        <v>0.53800000000000003</v>
      </c>
      <c r="M86" s="364">
        <v>5</v>
      </c>
      <c r="N86" s="313" cm="1">
        <f t="array" ref="N8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6" s="37">
        <v>2.5000000000000001E-2</v>
      </c>
      <c r="P86" s="28"/>
      <c r="Q86" s="322" cm="1">
        <f t="array" ref="Q8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6" s="374">
        <v>22</v>
      </c>
      <c r="S86" s="28"/>
      <c r="T86" s="313">
        <v>3</v>
      </c>
      <c r="U86" s="365">
        <v>3</v>
      </c>
      <c r="V86" s="38"/>
      <c r="W86" s="38"/>
      <c r="X86" s="37"/>
      <c r="Y86" s="38"/>
      <c r="Z86" s="38"/>
      <c r="AA86" s="366" t="str" cm="1">
        <f t="array" ref="AA8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7" spans="1:27" hidden="1">
      <c r="A8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Global_PopulationHT0623</v>
      </c>
      <c r="B87" s="361" t="s">
        <v>319</v>
      </c>
      <c r="C87" s="213" t="s">
        <v>320</v>
      </c>
      <c r="D87" s="213" t="s">
        <v>333</v>
      </c>
      <c r="E87" s="103" t="s">
        <v>334</v>
      </c>
      <c r="F87" s="99"/>
      <c r="G87" s="34"/>
      <c r="H87" s="331"/>
      <c r="I87" s="96">
        <v>79705</v>
      </c>
      <c r="J87" s="362" t="s">
        <v>156</v>
      </c>
      <c r="K87" s="494">
        <v>0.96699999999999997</v>
      </c>
      <c r="L87" s="192">
        <v>0.53800000000000003</v>
      </c>
      <c r="M87" s="364">
        <v>0</v>
      </c>
      <c r="N87" s="313" cm="1">
        <f t="array" ref="N8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87" s="37">
        <v>2.5000000000000001E-2</v>
      </c>
      <c r="P87" s="28"/>
      <c r="Q87" s="322" cm="1">
        <f t="array" ref="Q8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7" s="374">
        <v>12</v>
      </c>
      <c r="S87" s="28"/>
      <c r="T87" s="313">
        <v>3</v>
      </c>
      <c r="U87" s="365">
        <v>3</v>
      </c>
      <c r="V87" s="38"/>
      <c r="W87" s="38"/>
      <c r="X87" s="37"/>
      <c r="Y87" s="38"/>
      <c r="Z87" s="38"/>
      <c r="AA87" s="366" t="str" cm="1">
        <f t="array" ref="AA8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8" spans="1:27" hidden="1">
      <c r="A8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Global_PopulationHT0631</v>
      </c>
      <c r="B88" s="361" t="s">
        <v>319</v>
      </c>
      <c r="C88" s="213" t="s">
        <v>320</v>
      </c>
      <c r="D88" s="213" t="s">
        <v>335</v>
      </c>
      <c r="E88" s="103" t="s">
        <v>336</v>
      </c>
      <c r="F88" s="99"/>
      <c r="G88" s="34"/>
      <c r="H88" s="331"/>
      <c r="I88" s="96">
        <v>65198</v>
      </c>
      <c r="J88" s="362" t="s">
        <v>156</v>
      </c>
      <c r="K88" s="494">
        <v>0.96699999999999997</v>
      </c>
      <c r="L88" s="192">
        <v>0.53800000000000003</v>
      </c>
      <c r="M88" s="364">
        <v>22</v>
      </c>
      <c r="N88" s="313" cm="1">
        <f t="array" ref="N8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88" s="37">
        <v>2.5000000000000001E-2</v>
      </c>
      <c r="P88" s="28"/>
      <c r="Q88" s="322" cm="1">
        <f t="array" ref="Q8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8" s="374">
        <v>17</v>
      </c>
      <c r="S88" s="28"/>
      <c r="T88" s="313">
        <v>3</v>
      </c>
      <c r="U88" s="365">
        <v>3</v>
      </c>
      <c r="V88" s="38"/>
      <c r="W88" s="38"/>
      <c r="X88" s="37"/>
      <c r="Y88" s="38"/>
      <c r="Z88" s="38"/>
      <c r="AA88" s="366" t="str" cm="1">
        <f t="array" ref="AA8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89" spans="1:27" hidden="1">
      <c r="A8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Global_PopulationHT0632</v>
      </c>
      <c r="B89" s="361" t="s">
        <v>319</v>
      </c>
      <c r="C89" s="213" t="s">
        <v>320</v>
      </c>
      <c r="D89" s="213" t="s">
        <v>337</v>
      </c>
      <c r="E89" s="103" t="s">
        <v>338</v>
      </c>
      <c r="F89" s="99"/>
      <c r="G89" s="34"/>
      <c r="H89" s="331"/>
      <c r="I89" s="96">
        <v>123067</v>
      </c>
      <c r="J89" s="362" t="s">
        <v>156</v>
      </c>
      <c r="K89" s="494">
        <v>0.96699999999999997</v>
      </c>
      <c r="L89" s="192">
        <v>0.53800000000000003</v>
      </c>
      <c r="M89" s="364">
        <v>1</v>
      </c>
      <c r="N89" s="313" cm="1">
        <f t="array" ref="N8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89" s="37">
        <v>2.5000000000000001E-2</v>
      </c>
      <c r="P89" s="28"/>
      <c r="Q89" s="322" cm="1">
        <f t="array" ref="Q8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89" s="374">
        <v>1</v>
      </c>
      <c r="S89" s="28"/>
      <c r="T89" s="313">
        <v>3</v>
      </c>
      <c r="U89" s="365">
        <v>4</v>
      </c>
      <c r="V89" s="38"/>
      <c r="W89" s="38"/>
      <c r="X89" s="37"/>
      <c r="Y89" s="38"/>
      <c r="Z89" s="38"/>
      <c r="AA89" s="366" t="str" cm="1">
        <f t="array" ref="AA8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0" spans="1:27" hidden="1">
      <c r="A9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Global_PopulationHT0633</v>
      </c>
      <c r="B90" s="361" t="s">
        <v>319</v>
      </c>
      <c r="C90" s="213" t="s">
        <v>320</v>
      </c>
      <c r="D90" s="213" t="s">
        <v>339</v>
      </c>
      <c r="E90" s="103" t="s">
        <v>340</v>
      </c>
      <c r="F90" s="99"/>
      <c r="G90" s="34"/>
      <c r="H90" s="331"/>
      <c r="I90" s="96">
        <v>46902</v>
      </c>
      <c r="J90" s="362" t="s">
        <v>156</v>
      </c>
      <c r="K90" s="494">
        <v>0.96699999999999997</v>
      </c>
      <c r="L90" s="192">
        <v>0.53800000000000003</v>
      </c>
      <c r="M90" s="364">
        <v>0</v>
      </c>
      <c r="N90" s="313" cm="1">
        <f t="array" ref="N9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90" s="37">
        <v>2.5000000000000001E-2</v>
      </c>
      <c r="P90" s="28"/>
      <c r="Q90" s="322" cm="1">
        <f t="array" ref="Q9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0" s="374">
        <v>0</v>
      </c>
      <c r="S90" s="28"/>
      <c r="T90" s="313">
        <v>1</v>
      </c>
      <c r="U90" s="365">
        <v>3</v>
      </c>
      <c r="V90" s="38"/>
      <c r="W90" s="38"/>
      <c r="X90" s="37"/>
      <c r="Y90" s="38"/>
      <c r="Z90" s="38"/>
      <c r="AA90" s="366" t="str" cm="1">
        <f t="array" ref="AA9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1" spans="1:27" hidden="1">
      <c r="A9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Global_PopulationHT0641</v>
      </c>
      <c r="B91" s="361" t="s">
        <v>319</v>
      </c>
      <c r="C91" s="213" t="s">
        <v>320</v>
      </c>
      <c r="D91" s="213" t="s">
        <v>341</v>
      </c>
      <c r="E91" s="103" t="s">
        <v>342</v>
      </c>
      <c r="F91" s="99"/>
      <c r="G91" s="34"/>
      <c r="H91" s="331"/>
      <c r="I91" s="96">
        <v>73041</v>
      </c>
      <c r="J91" s="362" t="s">
        <v>156</v>
      </c>
      <c r="K91" s="494">
        <v>0.96699999999999997</v>
      </c>
      <c r="L91" s="192">
        <v>0.53800000000000003</v>
      </c>
      <c r="M91" s="364">
        <v>0</v>
      </c>
      <c r="N91" s="313" cm="1">
        <f t="array" ref="N9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91" s="37">
        <v>2.5000000000000001E-2</v>
      </c>
      <c r="P91" s="28"/>
      <c r="Q91" s="322" cm="1">
        <f t="array" ref="Q9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1" s="374">
        <v>4</v>
      </c>
      <c r="S91" s="28"/>
      <c r="T91" s="313">
        <v>3</v>
      </c>
      <c r="U91" s="365">
        <v>3</v>
      </c>
      <c r="V91" s="38"/>
      <c r="W91" s="38"/>
      <c r="X91" s="37"/>
      <c r="Y91" s="38"/>
      <c r="Z91" s="38"/>
      <c r="AA91" s="366" t="str" cm="1">
        <f t="array" ref="AA9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2" spans="1:27" hidden="1">
      <c r="A9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Global_PopulationHT0642</v>
      </c>
      <c r="B92" s="361" t="s">
        <v>319</v>
      </c>
      <c r="C92" s="213" t="s">
        <v>320</v>
      </c>
      <c r="D92" s="213" t="s">
        <v>343</v>
      </c>
      <c r="E92" s="103" t="s">
        <v>344</v>
      </c>
      <c r="F92" s="99"/>
      <c r="G92" s="34"/>
      <c r="H92" s="331"/>
      <c r="I92" s="96">
        <v>85148</v>
      </c>
      <c r="J92" s="362" t="s">
        <v>156</v>
      </c>
      <c r="K92" s="494">
        <v>0.96699999999999997</v>
      </c>
      <c r="L92" s="192">
        <v>0.53800000000000003</v>
      </c>
      <c r="M92" s="364">
        <v>0</v>
      </c>
      <c r="N92" s="313" cm="1">
        <f t="array" ref="N9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92" s="37">
        <v>2.5000000000000001E-2</v>
      </c>
      <c r="P92" s="28"/>
      <c r="Q92" s="322" cm="1">
        <f t="array" ref="Q9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2" s="374">
        <v>22</v>
      </c>
      <c r="S92" s="28"/>
      <c r="T92" s="313">
        <v>3</v>
      </c>
      <c r="U92" s="365">
        <v>3</v>
      </c>
      <c r="V92" s="38"/>
      <c r="W92" s="38"/>
      <c r="X92" s="37"/>
      <c r="Y92" s="38"/>
      <c r="Z92" s="38"/>
      <c r="AA92" s="366" t="str" cm="1">
        <f t="array" ref="AA9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3" spans="1:27" hidden="1">
      <c r="A9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Global_PopulationHT0711</v>
      </c>
      <c r="B93" s="361" t="s">
        <v>345</v>
      </c>
      <c r="C93" s="213" t="s">
        <v>346</v>
      </c>
      <c r="D93" s="213" t="s">
        <v>347</v>
      </c>
      <c r="E93" s="103" t="s">
        <v>348</v>
      </c>
      <c r="F93" s="99"/>
      <c r="G93" s="34"/>
      <c r="H93" s="331"/>
      <c r="I93" s="96">
        <v>207439</v>
      </c>
      <c r="J93" s="362" t="s">
        <v>156</v>
      </c>
      <c r="K93" s="494">
        <v>0.42099999999999999</v>
      </c>
      <c r="L93" s="192">
        <v>0.53800000000000003</v>
      </c>
      <c r="M93" s="364">
        <v>28</v>
      </c>
      <c r="N93" s="313" cm="1">
        <f t="array" ref="N9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93" s="37">
        <v>4.5999999999999999E-2</v>
      </c>
      <c r="P93" s="28"/>
      <c r="Q93" s="322" cm="1">
        <f t="array" ref="Q9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3" s="374">
        <v>0</v>
      </c>
      <c r="S93" s="28"/>
      <c r="T93" s="313">
        <v>1</v>
      </c>
      <c r="U93" s="365">
        <v>3</v>
      </c>
      <c r="V93" s="38"/>
      <c r="W93" s="38"/>
      <c r="X93" s="37"/>
      <c r="Y93" s="38"/>
      <c r="Z93" s="38"/>
      <c r="AA93" s="366" t="str" cm="1">
        <f t="array" ref="AA9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4" spans="1:27" hidden="1">
      <c r="A9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Global_PopulationHT0712</v>
      </c>
      <c r="B94" s="361" t="s">
        <v>345</v>
      </c>
      <c r="C94" s="213" t="s">
        <v>346</v>
      </c>
      <c r="D94" s="213" t="s">
        <v>349</v>
      </c>
      <c r="E94" s="103" t="s">
        <v>350</v>
      </c>
      <c r="F94" s="99"/>
      <c r="G94" s="34"/>
      <c r="H94" s="331"/>
      <c r="I94" s="96">
        <v>93827</v>
      </c>
      <c r="J94" s="362" t="s">
        <v>156</v>
      </c>
      <c r="K94" s="494">
        <v>0.42099999999999999</v>
      </c>
      <c r="L94" s="192">
        <v>0.53800000000000003</v>
      </c>
      <c r="M94" s="364">
        <v>0</v>
      </c>
      <c r="N94" s="313" cm="1">
        <f t="array" ref="N9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94" s="37">
        <v>4.5999999999999999E-2</v>
      </c>
      <c r="P94" s="28"/>
      <c r="Q94" s="322" cm="1">
        <f t="array" ref="Q9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4" s="374">
        <v>0</v>
      </c>
      <c r="S94" s="28"/>
      <c r="T94" s="313">
        <v>1</v>
      </c>
      <c r="U94" s="365">
        <v>3</v>
      </c>
      <c r="V94" s="38"/>
      <c r="W94" s="38"/>
      <c r="X94" s="37"/>
      <c r="Y94" s="38"/>
      <c r="Z94" s="38"/>
      <c r="AA94" s="366" t="str" cm="1">
        <f t="array" ref="AA9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5" spans="1:27" hidden="1">
      <c r="A9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Global_PopulationHT0713</v>
      </c>
      <c r="B95" s="361" t="s">
        <v>345</v>
      </c>
      <c r="C95" s="213" t="s">
        <v>346</v>
      </c>
      <c r="D95" s="213" t="s">
        <v>351</v>
      </c>
      <c r="E95" s="103" t="s">
        <v>352</v>
      </c>
      <c r="F95" s="99"/>
      <c r="G95" s="34"/>
      <c r="H95" s="331"/>
      <c r="I95" s="96">
        <v>41237</v>
      </c>
      <c r="J95" s="362" t="s">
        <v>156</v>
      </c>
      <c r="K95" s="494">
        <v>0.42099999999999999</v>
      </c>
      <c r="L95" s="192">
        <v>0.53800000000000003</v>
      </c>
      <c r="M95" s="364">
        <v>0</v>
      </c>
      <c r="N95" s="313" cm="1">
        <f t="array" ref="N9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95" s="37">
        <v>4.5999999999999999E-2</v>
      </c>
      <c r="P95" s="28"/>
      <c r="Q95" s="322" cm="1">
        <f t="array" ref="Q9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5" s="374">
        <v>0</v>
      </c>
      <c r="S95" s="28"/>
      <c r="T95" s="313">
        <v>1</v>
      </c>
      <c r="U95" s="365">
        <v>3</v>
      </c>
      <c r="V95" s="38"/>
      <c r="W95" s="38"/>
      <c r="X95" s="37"/>
      <c r="Y95" s="38"/>
      <c r="Z95" s="38"/>
      <c r="AA95" s="366" t="str" cm="1">
        <f t="array" ref="AA9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6" spans="1:27" hidden="1">
      <c r="A9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Global_PopulationHT0714</v>
      </c>
      <c r="B96" s="361" t="s">
        <v>345</v>
      </c>
      <c r="C96" s="213" t="s">
        <v>346</v>
      </c>
      <c r="D96" s="213" t="s">
        <v>353</v>
      </c>
      <c r="E96" s="103" t="s">
        <v>354</v>
      </c>
      <c r="F96" s="99"/>
      <c r="G96" s="34"/>
      <c r="H96" s="331"/>
      <c r="I96" s="96">
        <v>51550</v>
      </c>
      <c r="J96" s="362" t="s">
        <v>156</v>
      </c>
      <c r="K96" s="494">
        <v>0.42099999999999999</v>
      </c>
      <c r="L96" s="192">
        <v>0.53800000000000003</v>
      </c>
      <c r="M96" s="364">
        <v>2</v>
      </c>
      <c r="N96" s="313" cm="1">
        <f t="array" ref="N9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96" s="37">
        <v>4.5999999999999999E-2</v>
      </c>
      <c r="P96" s="28"/>
      <c r="Q96" s="322" cm="1">
        <f t="array" ref="Q9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6" s="374">
        <v>11</v>
      </c>
      <c r="S96" s="28"/>
      <c r="T96" s="313">
        <v>3</v>
      </c>
      <c r="U96" s="365">
        <v>3</v>
      </c>
      <c r="V96" s="38"/>
      <c r="W96" s="38"/>
      <c r="X96" s="37"/>
      <c r="Y96" s="38"/>
      <c r="Z96" s="38"/>
      <c r="AA96" s="366" t="str" cm="1">
        <f t="array" ref="AA9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7" spans="1:27" hidden="1">
      <c r="A9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Global_PopulationHT0715</v>
      </c>
      <c r="B97" s="361" t="s">
        <v>345</v>
      </c>
      <c r="C97" s="213" t="s">
        <v>346</v>
      </c>
      <c r="D97" s="213" t="s">
        <v>355</v>
      </c>
      <c r="E97" s="103" t="s">
        <v>356</v>
      </c>
      <c r="F97" s="99"/>
      <c r="G97" s="34"/>
      <c r="H97" s="331"/>
      <c r="I97" s="96">
        <v>27507</v>
      </c>
      <c r="J97" s="362" t="s">
        <v>156</v>
      </c>
      <c r="K97" s="494">
        <v>0.42099999999999999</v>
      </c>
      <c r="L97" s="192">
        <v>0.53800000000000003</v>
      </c>
      <c r="M97" s="364">
        <v>0</v>
      </c>
      <c r="N97" s="313" cm="1">
        <f t="array" ref="N9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97" s="37">
        <v>4.5999999999999999E-2</v>
      </c>
      <c r="P97" s="28"/>
      <c r="Q97" s="322" cm="1">
        <f t="array" ref="Q9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7" s="374">
        <v>0</v>
      </c>
      <c r="S97" s="28"/>
      <c r="T97" s="313">
        <v>1</v>
      </c>
      <c r="U97" s="365">
        <v>3</v>
      </c>
      <c r="V97" s="38"/>
      <c r="W97" s="38"/>
      <c r="X97" s="37"/>
      <c r="Y97" s="38"/>
      <c r="Z97" s="38"/>
      <c r="AA97" s="366" t="str" cm="1">
        <f t="array" ref="AA9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8" spans="1:27" hidden="1">
      <c r="A9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Global_PopulationHT0716</v>
      </c>
      <c r="B98" s="361" t="s">
        <v>345</v>
      </c>
      <c r="C98" s="213" t="s">
        <v>346</v>
      </c>
      <c r="D98" s="213" t="s">
        <v>357</v>
      </c>
      <c r="E98" s="103" t="s">
        <v>358</v>
      </c>
      <c r="F98" s="99"/>
      <c r="G98" s="34"/>
      <c r="H98" s="331"/>
      <c r="I98" s="96">
        <v>17491</v>
      </c>
      <c r="J98" s="362" t="s">
        <v>156</v>
      </c>
      <c r="K98" s="494">
        <v>0.42099999999999999</v>
      </c>
      <c r="L98" s="192">
        <v>0.53800000000000003</v>
      </c>
      <c r="M98" s="364">
        <v>0</v>
      </c>
      <c r="N98" s="313" cm="1">
        <f t="array" ref="N9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98" s="37">
        <v>4.5999999999999999E-2</v>
      </c>
      <c r="P98" s="28"/>
      <c r="Q98" s="322" cm="1">
        <f t="array" ref="Q9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8" s="374">
        <v>11</v>
      </c>
      <c r="S98" s="28"/>
      <c r="T98" s="313">
        <v>3</v>
      </c>
      <c r="U98" s="365">
        <v>2</v>
      </c>
      <c r="V98" s="38"/>
      <c r="W98" s="38"/>
      <c r="X98" s="37"/>
      <c r="Y98" s="38"/>
      <c r="Z98" s="38"/>
      <c r="AA98" s="366" t="str" cm="1">
        <f t="array" ref="AA9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99" spans="1:27" hidden="1">
      <c r="A9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Global_PopulationHT0721</v>
      </c>
      <c r="B99" s="361" t="s">
        <v>345</v>
      </c>
      <c r="C99" s="213" t="s">
        <v>346</v>
      </c>
      <c r="D99" s="213" t="s">
        <v>359</v>
      </c>
      <c r="E99" s="103" t="s">
        <v>360</v>
      </c>
      <c r="F99" s="99"/>
      <c r="G99" s="34"/>
      <c r="H99" s="331"/>
      <c r="I99" s="96">
        <v>25431</v>
      </c>
      <c r="J99" s="362" t="s">
        <v>156</v>
      </c>
      <c r="K99" s="494">
        <v>0.42099999999999999</v>
      </c>
      <c r="L99" s="192">
        <v>0.53800000000000003</v>
      </c>
      <c r="M99" s="364">
        <v>0</v>
      </c>
      <c r="N99" s="313" cm="1">
        <f t="array" ref="N9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99" s="37">
        <v>4.5999999999999999E-2</v>
      </c>
      <c r="P99" s="28"/>
      <c r="Q99" s="322" cm="1">
        <f t="array" ref="Q9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99" s="374">
        <v>42</v>
      </c>
      <c r="S99" s="28"/>
      <c r="T99" s="313">
        <v>3</v>
      </c>
      <c r="U99" s="365">
        <v>3</v>
      </c>
      <c r="V99" s="38"/>
      <c r="W99" s="38"/>
      <c r="X99" s="37"/>
      <c r="Y99" s="38"/>
      <c r="Z99" s="38"/>
      <c r="AA99" s="366" t="str" cm="1">
        <f t="array" ref="AA9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0" spans="1:27" hidden="1">
      <c r="A10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Global_PopulationHT0722</v>
      </c>
      <c r="B100" s="361" t="s">
        <v>345</v>
      </c>
      <c r="C100" s="213" t="s">
        <v>346</v>
      </c>
      <c r="D100" s="213" t="s">
        <v>361</v>
      </c>
      <c r="E100" s="103" t="s">
        <v>362</v>
      </c>
      <c r="F100" s="99"/>
      <c r="G100" s="34"/>
      <c r="H100" s="331"/>
      <c r="I100" s="96">
        <v>35362</v>
      </c>
      <c r="J100" s="362" t="s">
        <v>156</v>
      </c>
      <c r="K100" s="494">
        <v>0.42099999999999999</v>
      </c>
      <c r="L100" s="192">
        <v>0.53800000000000003</v>
      </c>
      <c r="M100" s="364">
        <v>0</v>
      </c>
      <c r="N100" s="313" cm="1">
        <f t="array" ref="N10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0" s="37">
        <v>4.5999999999999999E-2</v>
      </c>
      <c r="P100" s="28"/>
      <c r="Q100" s="322" cm="1">
        <f t="array" ref="Q10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0" s="374">
        <v>0</v>
      </c>
      <c r="S100" s="28"/>
      <c r="T100" s="313">
        <v>1</v>
      </c>
      <c r="U100" s="365">
        <v>3</v>
      </c>
      <c r="V100" s="38"/>
      <c r="W100" s="38"/>
      <c r="X100" s="37"/>
      <c r="Y100" s="38"/>
      <c r="Z100" s="38"/>
      <c r="AA100" s="366" t="str" cm="1">
        <f t="array" ref="AA10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1" spans="1:27" hidden="1">
      <c r="A10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Global_PopulationHT0723</v>
      </c>
      <c r="B101" s="361" t="s">
        <v>345</v>
      </c>
      <c r="C101" s="213" t="s">
        <v>346</v>
      </c>
      <c r="D101" s="213" t="s">
        <v>363</v>
      </c>
      <c r="E101" s="103" t="s">
        <v>364</v>
      </c>
      <c r="F101" s="99"/>
      <c r="G101" s="34"/>
      <c r="H101" s="331"/>
      <c r="I101" s="96">
        <v>35838</v>
      </c>
      <c r="J101" s="362" t="s">
        <v>156</v>
      </c>
      <c r="K101" s="494">
        <v>0.42099999999999999</v>
      </c>
      <c r="L101" s="192">
        <v>0.53800000000000003</v>
      </c>
      <c r="M101" s="364">
        <v>0</v>
      </c>
      <c r="N101" s="313" cm="1">
        <f t="array" ref="N10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1" s="37">
        <v>4.5999999999999999E-2</v>
      </c>
      <c r="P101" s="28"/>
      <c r="Q101" s="322" cm="1">
        <f t="array" ref="Q10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1" s="374">
        <v>0</v>
      </c>
      <c r="S101" s="28"/>
      <c r="T101" s="313">
        <v>1</v>
      </c>
      <c r="U101" s="365">
        <v>3</v>
      </c>
      <c r="V101" s="38"/>
      <c r="W101" s="38"/>
      <c r="X101" s="37"/>
      <c r="Y101" s="38"/>
      <c r="Z101" s="38"/>
      <c r="AA101" s="366" t="str" cm="1">
        <f t="array" ref="AA10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2" spans="1:27" hidden="1">
      <c r="A10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Global_PopulationHT0731</v>
      </c>
      <c r="B102" s="361" t="s">
        <v>345</v>
      </c>
      <c r="C102" s="213" t="s">
        <v>346</v>
      </c>
      <c r="D102" s="213" t="s">
        <v>365</v>
      </c>
      <c r="E102" s="103" t="s">
        <v>366</v>
      </c>
      <c r="F102" s="99"/>
      <c r="G102" s="34"/>
      <c r="H102" s="331"/>
      <c r="I102" s="96">
        <v>123719</v>
      </c>
      <c r="J102" s="362" t="s">
        <v>156</v>
      </c>
      <c r="K102" s="494">
        <v>0.42099999999999999</v>
      </c>
      <c r="L102" s="192">
        <v>0.53800000000000003</v>
      </c>
      <c r="M102" s="364">
        <v>0</v>
      </c>
      <c r="N102" s="313" cm="1">
        <f t="array" ref="N10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2" s="37">
        <v>4.5999999999999999E-2</v>
      </c>
      <c r="P102" s="28"/>
      <c r="Q102" s="322" cm="1">
        <f t="array" ref="Q10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2" s="374">
        <v>1</v>
      </c>
      <c r="S102" s="28"/>
      <c r="T102" s="313">
        <v>3</v>
      </c>
      <c r="U102" s="365">
        <v>3</v>
      </c>
      <c r="V102" s="38"/>
      <c r="W102" s="38"/>
      <c r="X102" s="37"/>
      <c r="Y102" s="38"/>
      <c r="Z102" s="38"/>
      <c r="AA102" s="366" t="str" cm="1">
        <f t="array" ref="AA10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3" spans="1:27" hidden="1">
      <c r="A10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Global_PopulationHT0732</v>
      </c>
      <c r="B103" s="361" t="s">
        <v>345</v>
      </c>
      <c r="C103" s="213" t="s">
        <v>346</v>
      </c>
      <c r="D103" s="213" t="s">
        <v>367</v>
      </c>
      <c r="E103" s="103" t="s">
        <v>368</v>
      </c>
      <c r="F103" s="99"/>
      <c r="G103" s="34"/>
      <c r="H103" s="331"/>
      <c r="I103" s="96">
        <v>80295</v>
      </c>
      <c r="J103" s="362" t="s">
        <v>156</v>
      </c>
      <c r="K103" s="494">
        <v>0.42099999999999999</v>
      </c>
      <c r="L103" s="192">
        <v>0.53800000000000003</v>
      </c>
      <c r="M103" s="364">
        <v>2</v>
      </c>
      <c r="N103" s="313" cm="1">
        <f t="array" ref="N10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03" s="37">
        <v>4.5999999999999999E-2</v>
      </c>
      <c r="P103" s="28"/>
      <c r="Q103" s="322" cm="1">
        <f t="array" ref="Q10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3" s="374">
        <v>20</v>
      </c>
      <c r="S103" s="28"/>
      <c r="T103" s="313">
        <v>3</v>
      </c>
      <c r="U103" s="365">
        <v>3</v>
      </c>
      <c r="V103" s="38"/>
      <c r="W103" s="38"/>
      <c r="X103" s="37"/>
      <c r="Y103" s="38"/>
      <c r="Z103" s="38"/>
      <c r="AA103" s="366" t="str" cm="1">
        <f t="array" ref="AA10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4" spans="1:27" hidden="1">
      <c r="A10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Global_PopulationHT0733</v>
      </c>
      <c r="B104" s="361" t="s">
        <v>345</v>
      </c>
      <c r="C104" s="213" t="s">
        <v>346</v>
      </c>
      <c r="D104" s="213" t="s">
        <v>369</v>
      </c>
      <c r="E104" s="103" t="s">
        <v>370</v>
      </c>
      <c r="F104" s="99"/>
      <c r="G104" s="34"/>
      <c r="H104" s="331"/>
      <c r="I104" s="96">
        <v>63397</v>
      </c>
      <c r="J104" s="362" t="s">
        <v>156</v>
      </c>
      <c r="K104" s="494">
        <v>0.42099999999999999</v>
      </c>
      <c r="L104" s="192">
        <v>0.53800000000000003</v>
      </c>
      <c r="M104" s="364">
        <v>1</v>
      </c>
      <c r="N104" s="313" cm="1">
        <f t="array" ref="N10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104" s="37">
        <v>4.5999999999999999E-2</v>
      </c>
      <c r="P104" s="28"/>
      <c r="Q104" s="322" cm="1">
        <f t="array" ref="Q10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4" s="374">
        <v>1</v>
      </c>
      <c r="S104" s="28"/>
      <c r="T104" s="313">
        <v>3</v>
      </c>
      <c r="U104" s="365">
        <v>3</v>
      </c>
      <c r="V104" s="38"/>
      <c r="W104" s="38"/>
      <c r="X104" s="37"/>
      <c r="Y104" s="38"/>
      <c r="Z104" s="38"/>
      <c r="AA104" s="366" t="str" cm="1">
        <f t="array" ref="AA10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5" spans="1:27" hidden="1">
      <c r="A10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Global_PopulationHT0741</v>
      </c>
      <c r="B105" s="361" t="s">
        <v>345</v>
      </c>
      <c r="C105" s="213" t="s">
        <v>346</v>
      </c>
      <c r="D105" s="213" t="s">
        <v>371</v>
      </c>
      <c r="E105" s="103" t="s">
        <v>372</v>
      </c>
      <c r="F105" s="99"/>
      <c r="G105" s="34"/>
      <c r="H105" s="331"/>
      <c r="I105" s="96">
        <v>25395</v>
      </c>
      <c r="J105" s="362" t="s">
        <v>156</v>
      </c>
      <c r="K105" s="494">
        <v>0.42099999999999999</v>
      </c>
      <c r="L105" s="192">
        <v>0.53800000000000003</v>
      </c>
      <c r="M105" s="364">
        <v>0</v>
      </c>
      <c r="N105" s="313" cm="1">
        <f t="array" ref="N10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5" s="37">
        <v>4.5999999999999999E-2</v>
      </c>
      <c r="P105" s="28"/>
      <c r="Q105" s="322" cm="1">
        <f t="array" ref="Q10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5" s="374">
        <v>0</v>
      </c>
      <c r="S105" s="28"/>
      <c r="T105" s="313">
        <v>1</v>
      </c>
      <c r="U105" s="365">
        <v>3</v>
      </c>
      <c r="V105" s="38"/>
      <c r="W105" s="38"/>
      <c r="X105" s="37"/>
      <c r="Y105" s="38"/>
      <c r="Z105" s="38"/>
      <c r="AA105" s="366" t="str" cm="1">
        <f t="array" ref="AA10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6" spans="1:27" hidden="1">
      <c r="A10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Global_PopulationHT0742</v>
      </c>
      <c r="B106" s="361" t="s">
        <v>345</v>
      </c>
      <c r="C106" s="213" t="s">
        <v>346</v>
      </c>
      <c r="D106" s="213" t="s">
        <v>373</v>
      </c>
      <c r="E106" s="103" t="s">
        <v>374</v>
      </c>
      <c r="F106" s="99"/>
      <c r="G106" s="34"/>
      <c r="H106" s="331"/>
      <c r="I106" s="96">
        <v>26647</v>
      </c>
      <c r="J106" s="362" t="s">
        <v>156</v>
      </c>
      <c r="K106" s="494">
        <v>0.42099999999999999</v>
      </c>
      <c r="L106" s="192">
        <v>0.53800000000000003</v>
      </c>
      <c r="M106" s="364">
        <v>0</v>
      </c>
      <c r="N106" s="313" cm="1">
        <f t="array" ref="N10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6" s="37">
        <v>4.5999999999999999E-2</v>
      </c>
      <c r="P106" s="28"/>
      <c r="Q106" s="322" cm="1">
        <f t="array" ref="Q10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6" s="374">
        <v>0</v>
      </c>
      <c r="S106" s="28"/>
      <c r="T106" s="313">
        <v>1</v>
      </c>
      <c r="U106" s="365">
        <v>3</v>
      </c>
      <c r="V106" s="38"/>
      <c r="W106" s="38"/>
      <c r="X106" s="37"/>
      <c r="Y106" s="38"/>
      <c r="Z106" s="38"/>
      <c r="AA106" s="366" t="str" cm="1">
        <f t="array" ref="AA10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7" spans="1:27" hidden="1">
      <c r="A10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Global_PopulationHT0743</v>
      </c>
      <c r="B107" s="361" t="s">
        <v>345</v>
      </c>
      <c r="C107" s="213" t="s">
        <v>346</v>
      </c>
      <c r="D107" s="213" t="s">
        <v>375</v>
      </c>
      <c r="E107" s="103" t="s">
        <v>376</v>
      </c>
      <c r="F107" s="99"/>
      <c r="G107" s="34"/>
      <c r="H107" s="331"/>
      <c r="I107" s="96">
        <v>28335</v>
      </c>
      <c r="J107" s="362" t="s">
        <v>156</v>
      </c>
      <c r="K107" s="494">
        <v>0.42099999999999999</v>
      </c>
      <c r="L107" s="192">
        <v>0.53800000000000003</v>
      </c>
      <c r="M107" s="364">
        <v>0</v>
      </c>
      <c r="N107" s="313" cm="1">
        <f t="array" ref="N10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7" s="37">
        <v>4.5999999999999999E-2</v>
      </c>
      <c r="P107" s="28"/>
      <c r="Q107" s="322" cm="1">
        <f t="array" ref="Q10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7" s="374">
        <v>0</v>
      </c>
      <c r="S107" s="28"/>
      <c r="T107" s="313">
        <v>1</v>
      </c>
      <c r="U107" s="365">
        <v>3</v>
      </c>
      <c r="V107" s="38"/>
      <c r="W107" s="38"/>
      <c r="X107" s="37"/>
      <c r="Y107" s="38"/>
      <c r="Z107" s="38"/>
      <c r="AA107" s="366" t="str" cm="1">
        <f t="array" ref="AA10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8" spans="1:27" hidden="1">
      <c r="A10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Global_PopulationHT0751</v>
      </c>
      <c r="B108" s="361" t="s">
        <v>345</v>
      </c>
      <c r="C108" s="213" t="s">
        <v>346</v>
      </c>
      <c r="D108" s="213" t="s">
        <v>377</v>
      </c>
      <c r="E108" s="103" t="s">
        <v>378</v>
      </c>
      <c r="F108" s="99"/>
      <c r="G108" s="34"/>
      <c r="H108" s="331"/>
      <c r="I108" s="96">
        <v>32835</v>
      </c>
      <c r="J108" s="362" t="s">
        <v>156</v>
      </c>
      <c r="K108" s="494">
        <v>0.42099999999999999</v>
      </c>
      <c r="L108" s="192">
        <v>0.53800000000000003</v>
      </c>
      <c r="M108" s="364">
        <v>0</v>
      </c>
      <c r="N108" s="313" cm="1">
        <f t="array" ref="N10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8" s="37">
        <v>4.5999999999999999E-2</v>
      </c>
      <c r="P108" s="28"/>
      <c r="Q108" s="322" cm="1">
        <f t="array" ref="Q10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8" s="374">
        <v>0</v>
      </c>
      <c r="S108" s="28"/>
      <c r="T108" s="313">
        <v>1</v>
      </c>
      <c r="U108" s="365">
        <v>3</v>
      </c>
      <c r="V108" s="38"/>
      <c r="W108" s="38"/>
      <c r="X108" s="37"/>
      <c r="Y108" s="38"/>
      <c r="Z108" s="38"/>
      <c r="AA108" s="366" t="str" cm="1">
        <f t="array" ref="AA10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09" spans="1:27" hidden="1">
      <c r="A10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Global_PopulationHT0752</v>
      </c>
      <c r="B109" s="361" t="s">
        <v>345</v>
      </c>
      <c r="C109" s="213" t="s">
        <v>346</v>
      </c>
      <c r="D109" s="213" t="s">
        <v>379</v>
      </c>
      <c r="E109" s="103" t="s">
        <v>380</v>
      </c>
      <c r="F109" s="99"/>
      <c r="G109" s="34"/>
      <c r="H109" s="331"/>
      <c r="I109" s="96">
        <v>39577</v>
      </c>
      <c r="J109" s="362" t="s">
        <v>156</v>
      </c>
      <c r="K109" s="494">
        <v>0.42099999999999999</v>
      </c>
      <c r="L109" s="192">
        <v>0.53800000000000003</v>
      </c>
      <c r="M109" s="364">
        <v>0</v>
      </c>
      <c r="N109" s="313" cm="1">
        <f t="array" ref="N10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09" s="37">
        <v>4.5999999999999999E-2</v>
      </c>
      <c r="P109" s="28"/>
      <c r="Q109" s="322" cm="1">
        <f t="array" ref="Q10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09" s="374">
        <v>0</v>
      </c>
      <c r="S109" s="28"/>
      <c r="T109" s="313">
        <v>1</v>
      </c>
      <c r="U109" s="365">
        <v>3</v>
      </c>
      <c r="V109" s="38"/>
      <c r="W109" s="38"/>
      <c r="X109" s="37"/>
      <c r="Y109" s="38"/>
      <c r="Z109" s="38"/>
      <c r="AA109" s="366" t="str" cm="1">
        <f t="array" ref="AA10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0" spans="1:27" hidden="1">
      <c r="A11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Global_PopulationHT0753</v>
      </c>
      <c r="B110" s="361" t="s">
        <v>345</v>
      </c>
      <c r="C110" s="213" t="s">
        <v>346</v>
      </c>
      <c r="D110" s="213" t="s">
        <v>381</v>
      </c>
      <c r="E110" s="103" t="s">
        <v>382</v>
      </c>
      <c r="F110" s="99"/>
      <c r="G110" s="34"/>
      <c r="H110" s="331"/>
      <c r="I110" s="96">
        <v>28474</v>
      </c>
      <c r="J110" s="362" t="s">
        <v>156</v>
      </c>
      <c r="K110" s="494">
        <v>0.42099999999999999</v>
      </c>
      <c r="L110" s="192">
        <v>0.53800000000000003</v>
      </c>
      <c r="M110" s="364">
        <v>0</v>
      </c>
      <c r="N110" s="313" cm="1">
        <f t="array" ref="N11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0" s="37">
        <v>4.5999999999999999E-2</v>
      </c>
      <c r="P110" s="28"/>
      <c r="Q110" s="322" cm="1">
        <f t="array" ref="Q11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0" s="374">
        <v>0</v>
      </c>
      <c r="S110" s="28"/>
      <c r="T110" s="313">
        <v>1</v>
      </c>
      <c r="U110" s="365">
        <v>3</v>
      </c>
      <c r="V110" s="38"/>
      <c r="W110" s="38"/>
      <c r="X110" s="37"/>
      <c r="Y110" s="38"/>
      <c r="Z110" s="38"/>
      <c r="AA110" s="366" t="str" cm="1">
        <f t="array" ref="AA11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1" spans="1:27" hidden="1">
      <c r="A11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Global_PopulationHT0811</v>
      </c>
      <c r="B111" s="361" t="s">
        <v>383</v>
      </c>
      <c r="C111" s="213" t="s">
        <v>384</v>
      </c>
      <c r="D111" s="213" t="s">
        <v>385</v>
      </c>
      <c r="E111" s="103" t="s">
        <v>386</v>
      </c>
      <c r="F111" s="99"/>
      <c r="G111" s="34"/>
      <c r="H111" s="331"/>
      <c r="I111" s="96">
        <v>155299</v>
      </c>
      <c r="J111" s="362" t="s">
        <v>156</v>
      </c>
      <c r="K111" s="494">
        <v>0.497</v>
      </c>
      <c r="L111" s="192">
        <v>0.53800000000000003</v>
      </c>
      <c r="M111" s="364">
        <v>1</v>
      </c>
      <c r="N111" s="313" cm="1">
        <f t="array" ref="N11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111" s="37">
        <v>0.03</v>
      </c>
      <c r="P111" s="28"/>
      <c r="Q111" s="322" cm="1">
        <f t="array" ref="Q11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1" s="374">
        <v>0</v>
      </c>
      <c r="S111" s="28"/>
      <c r="T111" s="313">
        <v>1</v>
      </c>
      <c r="U111" s="365">
        <v>3</v>
      </c>
      <c r="V111" s="38"/>
      <c r="W111" s="38"/>
      <c r="X111" s="37"/>
      <c r="Y111" s="38"/>
      <c r="Z111" s="38"/>
      <c r="AA111" s="366" t="str" cm="1">
        <f t="array" ref="AA11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2" spans="1:27" hidden="1">
      <c r="A11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Global_PopulationHT0812</v>
      </c>
      <c r="B112" s="361" t="s">
        <v>383</v>
      </c>
      <c r="C112" s="213" t="s">
        <v>384</v>
      </c>
      <c r="D112" s="213" t="s">
        <v>387</v>
      </c>
      <c r="E112" s="103" t="s">
        <v>388</v>
      </c>
      <c r="F112" s="99"/>
      <c r="G112" s="34"/>
      <c r="H112" s="331"/>
      <c r="I112" s="96">
        <v>47470</v>
      </c>
      <c r="J112" s="362" t="s">
        <v>156</v>
      </c>
      <c r="K112" s="494">
        <v>0.497</v>
      </c>
      <c r="L112" s="192">
        <v>0.53800000000000003</v>
      </c>
      <c r="M112" s="364">
        <v>1</v>
      </c>
      <c r="N112" s="313" cm="1">
        <f t="array" ref="N11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4</v>
      </c>
      <c r="O112" s="37">
        <v>0.03</v>
      </c>
      <c r="P112" s="28"/>
      <c r="Q112" s="322" cm="1">
        <f t="array" ref="Q11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2" s="374">
        <v>0</v>
      </c>
      <c r="S112" s="28"/>
      <c r="T112" s="313">
        <v>1</v>
      </c>
      <c r="U112" s="365">
        <v>3</v>
      </c>
      <c r="V112" s="38"/>
      <c r="W112" s="38"/>
      <c r="X112" s="37"/>
      <c r="Y112" s="38"/>
      <c r="Z112" s="38"/>
      <c r="AA112" s="366" t="str" cm="1">
        <f t="array" ref="AA11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3" spans="1:27" hidden="1">
      <c r="A11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Global_PopulationHT0813</v>
      </c>
      <c r="B113" s="361" t="s">
        <v>383</v>
      </c>
      <c r="C113" s="213" t="s">
        <v>384</v>
      </c>
      <c r="D113" s="213" t="s">
        <v>389</v>
      </c>
      <c r="E113" s="103" t="s">
        <v>390</v>
      </c>
      <c r="F113" s="99"/>
      <c r="G113" s="34"/>
      <c r="H113" s="331"/>
      <c r="I113" s="96">
        <v>10653</v>
      </c>
      <c r="J113" s="362" t="s">
        <v>156</v>
      </c>
      <c r="K113" s="494">
        <v>0.497</v>
      </c>
      <c r="L113" s="192">
        <v>0.53800000000000003</v>
      </c>
      <c r="M113" s="364">
        <v>0</v>
      </c>
      <c r="N113" s="313" cm="1">
        <f t="array" ref="N11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3" s="37">
        <v>0.03</v>
      </c>
      <c r="P113" s="28"/>
      <c r="Q113" s="322" cm="1">
        <f t="array" ref="Q11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3" s="374">
        <v>0</v>
      </c>
      <c r="S113" s="28"/>
      <c r="T113" s="313">
        <v>1</v>
      </c>
      <c r="U113" s="365">
        <v>2</v>
      </c>
      <c r="V113" s="38"/>
      <c r="W113" s="38"/>
      <c r="X113" s="37"/>
      <c r="Y113" s="38"/>
      <c r="Z113" s="38"/>
      <c r="AA113" s="366" t="str" cm="1">
        <f t="array" ref="AA11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4" spans="1:27" hidden="1">
      <c r="A11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Global_PopulationHT0814</v>
      </c>
      <c r="B114" s="361" t="s">
        <v>383</v>
      </c>
      <c r="C114" s="213" t="s">
        <v>384</v>
      </c>
      <c r="D114" s="213" t="s">
        <v>391</v>
      </c>
      <c r="E114" s="103" t="s">
        <v>392</v>
      </c>
      <c r="F114" s="99"/>
      <c r="G114" s="34"/>
      <c r="H114" s="331"/>
      <c r="I114" s="96">
        <v>36686</v>
      </c>
      <c r="J114" s="362" t="s">
        <v>156</v>
      </c>
      <c r="K114" s="494">
        <v>0.497</v>
      </c>
      <c r="L114" s="192">
        <v>0.53800000000000003</v>
      </c>
      <c r="M114" s="364">
        <v>0</v>
      </c>
      <c r="N114" s="313" cm="1">
        <f t="array" ref="N11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4" s="37">
        <v>0.03</v>
      </c>
      <c r="P114" s="28"/>
      <c r="Q114" s="322" cm="1">
        <f t="array" ref="Q11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4" s="374">
        <v>0</v>
      </c>
      <c r="S114" s="28"/>
      <c r="T114" s="313">
        <v>1</v>
      </c>
      <c r="U114" s="365">
        <v>3</v>
      </c>
      <c r="V114" s="38"/>
      <c r="W114" s="38"/>
      <c r="X114" s="37"/>
      <c r="Y114" s="38"/>
      <c r="Z114" s="38"/>
      <c r="AA114" s="366" t="str" cm="1">
        <f t="array" ref="AA11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5" spans="1:27" hidden="1">
      <c r="A11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Global_PopulationHT0815</v>
      </c>
      <c r="B115" s="361" t="s">
        <v>383</v>
      </c>
      <c r="C115" s="213" t="s">
        <v>384</v>
      </c>
      <c r="D115" s="213" t="s">
        <v>393</v>
      </c>
      <c r="E115" s="103" t="s">
        <v>394</v>
      </c>
      <c r="F115" s="99"/>
      <c r="G115" s="34"/>
      <c r="H115" s="331"/>
      <c r="I115" s="96">
        <v>35368</v>
      </c>
      <c r="J115" s="362" t="s">
        <v>156</v>
      </c>
      <c r="K115" s="494">
        <v>0.497</v>
      </c>
      <c r="L115" s="192">
        <v>0.53800000000000003</v>
      </c>
      <c r="M115" s="364">
        <v>0</v>
      </c>
      <c r="N115" s="313" cm="1">
        <f t="array" ref="N11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5" s="37">
        <v>0.03</v>
      </c>
      <c r="P115" s="28"/>
      <c r="Q115" s="322" cm="1">
        <f t="array" ref="Q11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5" s="374">
        <v>2</v>
      </c>
      <c r="S115" s="28"/>
      <c r="T115" s="313">
        <v>3</v>
      </c>
      <c r="U115" s="365">
        <v>2</v>
      </c>
      <c r="V115" s="38"/>
      <c r="W115" s="38"/>
      <c r="X115" s="37"/>
      <c r="Y115" s="38"/>
      <c r="Z115" s="38"/>
      <c r="AA115" s="366" t="str" cm="1">
        <f t="array" ref="AA11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6" spans="1:27" hidden="1">
      <c r="A11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Global_PopulationHT0821</v>
      </c>
      <c r="B116" s="361" t="s">
        <v>383</v>
      </c>
      <c r="C116" s="213" t="s">
        <v>384</v>
      </c>
      <c r="D116" s="213" t="s">
        <v>395</v>
      </c>
      <c r="E116" s="103" t="s">
        <v>396</v>
      </c>
      <c r="F116" s="99"/>
      <c r="G116" s="34"/>
      <c r="H116" s="331"/>
      <c r="I116" s="96">
        <v>49099</v>
      </c>
      <c r="J116" s="362" t="s">
        <v>156</v>
      </c>
      <c r="K116" s="494">
        <v>0.497</v>
      </c>
      <c r="L116" s="192">
        <v>0.53800000000000003</v>
      </c>
      <c r="M116" s="364">
        <v>2</v>
      </c>
      <c r="N116" s="313" cm="1">
        <f t="array" ref="N11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16" s="37">
        <v>0.03</v>
      </c>
      <c r="P116" s="28"/>
      <c r="Q116" s="322" cm="1">
        <f t="array" ref="Q11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6" s="374">
        <v>0</v>
      </c>
      <c r="S116" s="28"/>
      <c r="T116" s="313">
        <v>1</v>
      </c>
      <c r="U116" s="365">
        <v>3</v>
      </c>
      <c r="V116" s="38"/>
      <c r="W116" s="38"/>
      <c r="X116" s="37"/>
      <c r="Y116" s="38"/>
      <c r="Z116" s="38"/>
      <c r="AA116" s="366" t="str" cm="1">
        <f t="array" ref="AA11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7" spans="1:27" hidden="1">
      <c r="A11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Global_PopulationHT0822</v>
      </c>
      <c r="B117" s="361" t="s">
        <v>383</v>
      </c>
      <c r="C117" s="213" t="s">
        <v>384</v>
      </c>
      <c r="D117" s="213" t="s">
        <v>397</v>
      </c>
      <c r="E117" s="103" t="s">
        <v>398</v>
      </c>
      <c r="F117" s="99"/>
      <c r="G117" s="34"/>
      <c r="H117" s="331"/>
      <c r="I117" s="96">
        <v>41207</v>
      </c>
      <c r="J117" s="362" t="s">
        <v>156</v>
      </c>
      <c r="K117" s="494">
        <v>0.497</v>
      </c>
      <c r="L117" s="192">
        <v>0.53800000000000003</v>
      </c>
      <c r="M117" s="364">
        <v>0</v>
      </c>
      <c r="N117" s="313" cm="1">
        <f t="array" ref="N11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7" s="37">
        <v>0.03</v>
      </c>
      <c r="P117" s="28"/>
      <c r="Q117" s="322" cm="1">
        <f t="array" ref="Q11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7" s="374">
        <v>0</v>
      </c>
      <c r="S117" s="28"/>
      <c r="T117" s="313">
        <v>1</v>
      </c>
      <c r="U117" s="365">
        <v>3</v>
      </c>
      <c r="V117" s="38"/>
      <c r="W117" s="38"/>
      <c r="X117" s="37"/>
      <c r="Y117" s="38"/>
      <c r="Z117" s="38"/>
      <c r="AA117" s="366" t="str" cm="1">
        <f t="array" ref="AA11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8" spans="1:27" hidden="1">
      <c r="A11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Global_PopulationHT0823</v>
      </c>
      <c r="B118" s="361" t="s">
        <v>383</v>
      </c>
      <c r="C118" s="213" t="s">
        <v>384</v>
      </c>
      <c r="D118" s="213" t="s">
        <v>399</v>
      </c>
      <c r="E118" s="103" t="s">
        <v>400</v>
      </c>
      <c r="F118" s="99"/>
      <c r="G118" s="34"/>
      <c r="H118" s="331"/>
      <c r="I118" s="96">
        <v>24756</v>
      </c>
      <c r="J118" s="362" t="s">
        <v>156</v>
      </c>
      <c r="K118" s="494">
        <v>0.497</v>
      </c>
      <c r="L118" s="192">
        <v>0.53800000000000003</v>
      </c>
      <c r="M118" s="364">
        <v>0</v>
      </c>
      <c r="N118" s="313" cm="1">
        <f t="array" ref="N11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8" s="37">
        <v>0.03</v>
      </c>
      <c r="P118" s="28"/>
      <c r="Q118" s="322" cm="1">
        <f t="array" ref="Q11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8" s="374">
        <v>0</v>
      </c>
      <c r="S118" s="28"/>
      <c r="T118" s="313">
        <v>1</v>
      </c>
      <c r="U118" s="365">
        <v>2</v>
      </c>
      <c r="V118" s="38"/>
      <c r="W118" s="38"/>
      <c r="X118" s="37"/>
      <c r="Y118" s="38"/>
      <c r="Z118" s="38"/>
      <c r="AA118" s="366" t="str" cm="1">
        <f t="array" ref="AA11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19" spans="1:27" hidden="1">
      <c r="A11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Global_PopulationHT0831</v>
      </c>
      <c r="B119" s="361" t="s">
        <v>383</v>
      </c>
      <c r="C119" s="213" t="s">
        <v>384</v>
      </c>
      <c r="D119" s="213" t="s">
        <v>401</v>
      </c>
      <c r="E119" s="103" t="s">
        <v>402</v>
      </c>
      <c r="F119" s="99"/>
      <c r="G119" s="34"/>
      <c r="H119" s="331"/>
      <c r="I119" s="96">
        <v>28292</v>
      </c>
      <c r="J119" s="362" t="s">
        <v>156</v>
      </c>
      <c r="K119" s="494">
        <v>0.497</v>
      </c>
      <c r="L119" s="192">
        <v>0.53800000000000003</v>
      </c>
      <c r="M119" s="364">
        <v>0</v>
      </c>
      <c r="N119" s="313" cm="1">
        <f t="array" ref="N11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19" s="37">
        <v>0.03</v>
      </c>
      <c r="P119" s="28"/>
      <c r="Q119" s="322" cm="1">
        <f t="array" ref="Q11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19" s="374">
        <v>0</v>
      </c>
      <c r="S119" s="28"/>
      <c r="T119" s="313">
        <v>1</v>
      </c>
      <c r="U119" s="365">
        <v>3</v>
      </c>
      <c r="V119" s="38"/>
      <c r="W119" s="38"/>
      <c r="X119" s="37"/>
      <c r="Y119" s="38"/>
      <c r="Z119" s="38"/>
      <c r="AA119" s="366" t="str" cm="1">
        <f t="array" ref="AA11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0" spans="1:27" hidden="1">
      <c r="A12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Global_PopulationHT0832</v>
      </c>
      <c r="B120" s="361" t="s">
        <v>383</v>
      </c>
      <c r="C120" s="213" t="s">
        <v>384</v>
      </c>
      <c r="D120" s="213" t="s">
        <v>403</v>
      </c>
      <c r="E120" s="103" t="s">
        <v>404</v>
      </c>
      <c r="F120" s="99"/>
      <c r="G120" s="34"/>
      <c r="H120" s="331"/>
      <c r="I120" s="96">
        <v>41589</v>
      </c>
      <c r="J120" s="362" t="s">
        <v>156</v>
      </c>
      <c r="K120" s="494">
        <v>0.497</v>
      </c>
      <c r="L120" s="192">
        <v>0.53800000000000003</v>
      </c>
      <c r="M120" s="364">
        <v>0</v>
      </c>
      <c r="N120" s="313" cm="1">
        <f t="array" ref="N12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0" s="37">
        <v>0.03</v>
      </c>
      <c r="P120" s="28"/>
      <c r="Q120" s="322" cm="1">
        <f t="array" ref="Q12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0" s="374">
        <v>0</v>
      </c>
      <c r="S120" s="28"/>
      <c r="T120" s="313">
        <v>1</v>
      </c>
      <c r="U120" s="365">
        <v>3</v>
      </c>
      <c r="V120" s="38"/>
      <c r="W120" s="38"/>
      <c r="X120" s="37"/>
      <c r="Y120" s="38"/>
      <c r="Z120" s="38"/>
      <c r="AA120" s="366" t="str" cm="1">
        <f t="array" ref="AA12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1" spans="1:27" hidden="1">
      <c r="A12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Global_PopulationHT0833</v>
      </c>
      <c r="B121" s="361" t="s">
        <v>383</v>
      </c>
      <c r="C121" s="213" t="s">
        <v>384</v>
      </c>
      <c r="D121" s="213" t="s">
        <v>405</v>
      </c>
      <c r="E121" s="103" t="s">
        <v>406</v>
      </c>
      <c r="F121" s="99"/>
      <c r="G121" s="34"/>
      <c r="H121" s="331"/>
      <c r="I121" s="96">
        <v>35380</v>
      </c>
      <c r="J121" s="362" t="s">
        <v>156</v>
      </c>
      <c r="K121" s="494">
        <v>0.497</v>
      </c>
      <c r="L121" s="192">
        <v>0.53800000000000003</v>
      </c>
      <c r="M121" s="364">
        <v>0</v>
      </c>
      <c r="N121" s="313" cm="1">
        <f t="array" ref="N12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1" s="37">
        <v>0.03</v>
      </c>
      <c r="P121" s="28"/>
      <c r="Q121" s="322" cm="1">
        <f t="array" ref="Q12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1" s="374">
        <v>0</v>
      </c>
      <c r="S121" s="28"/>
      <c r="T121" s="313">
        <v>1</v>
      </c>
      <c r="U121" s="365">
        <v>3</v>
      </c>
      <c r="V121" s="38"/>
      <c r="W121" s="38"/>
      <c r="X121" s="37"/>
      <c r="Y121" s="38"/>
      <c r="Z121" s="38"/>
      <c r="AA121" s="366" t="str" cm="1">
        <f t="array" ref="AA12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2" spans="1:27" hidden="1">
      <c r="A12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Global_PopulationHT0834</v>
      </c>
      <c r="B122" s="361" t="s">
        <v>383</v>
      </c>
      <c r="C122" s="213" t="s">
        <v>384</v>
      </c>
      <c r="D122" s="213" t="s">
        <v>407</v>
      </c>
      <c r="E122" s="103" t="s">
        <v>408</v>
      </c>
      <c r="F122" s="99"/>
      <c r="G122" s="34"/>
      <c r="H122" s="331"/>
      <c r="I122" s="96">
        <v>48575</v>
      </c>
      <c r="J122" s="362" t="s">
        <v>156</v>
      </c>
      <c r="K122" s="494">
        <v>0.497</v>
      </c>
      <c r="L122" s="192">
        <v>0.53800000000000003</v>
      </c>
      <c r="M122" s="364">
        <v>2</v>
      </c>
      <c r="N122" s="313" cm="1">
        <f t="array" ref="N12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22" s="37">
        <v>0.03</v>
      </c>
      <c r="P122" s="28"/>
      <c r="Q122" s="322" cm="1">
        <f t="array" ref="Q12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2" s="374">
        <v>8</v>
      </c>
      <c r="S122" s="28"/>
      <c r="T122" s="313">
        <v>3</v>
      </c>
      <c r="U122" s="365">
        <v>3</v>
      </c>
      <c r="V122" s="38"/>
      <c r="W122" s="38"/>
      <c r="X122" s="37"/>
      <c r="Y122" s="38"/>
      <c r="Z122" s="38"/>
      <c r="AA122" s="366" t="str" cm="1">
        <f t="array" ref="AA12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3" spans="1:27" hidden="1">
      <c r="A12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Global_PopulationHT0911</v>
      </c>
      <c r="B123" s="361" t="s">
        <v>409</v>
      </c>
      <c r="C123" s="213" t="s">
        <v>410</v>
      </c>
      <c r="D123" s="213" t="s">
        <v>411</v>
      </c>
      <c r="E123" s="103" t="s">
        <v>412</v>
      </c>
      <c r="F123" s="99"/>
      <c r="G123" s="34"/>
      <c r="H123" s="331"/>
      <c r="I123" s="96">
        <v>210942</v>
      </c>
      <c r="J123" s="362" t="s">
        <v>156</v>
      </c>
      <c r="K123" s="494">
        <v>0.215</v>
      </c>
      <c r="L123" s="192">
        <v>0.53800000000000003</v>
      </c>
      <c r="M123" s="364">
        <v>0</v>
      </c>
      <c r="N123" s="313" cm="1">
        <f t="array" ref="N12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3" s="37">
        <v>4.1000000000000002E-2</v>
      </c>
      <c r="P123" s="28"/>
      <c r="Q123" s="322" cm="1">
        <f t="array" ref="Q12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3" s="374">
        <v>0</v>
      </c>
      <c r="S123" s="28"/>
      <c r="T123" s="313">
        <v>1</v>
      </c>
      <c r="U123" s="365">
        <v>3</v>
      </c>
      <c r="V123" s="38"/>
      <c r="W123" s="38"/>
      <c r="X123" s="37"/>
      <c r="Y123" s="38"/>
      <c r="Z123" s="38"/>
      <c r="AA123" s="366" t="str" cm="1">
        <f t="array" ref="AA12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4" spans="1:27" hidden="1">
      <c r="A12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Global_PopulationHT0912</v>
      </c>
      <c r="B124" s="361" t="s">
        <v>409</v>
      </c>
      <c r="C124" s="213" t="s">
        <v>410</v>
      </c>
      <c r="D124" s="213" t="s">
        <v>413</v>
      </c>
      <c r="E124" s="103" t="s">
        <v>414</v>
      </c>
      <c r="F124" s="99"/>
      <c r="G124" s="34"/>
      <c r="H124" s="331"/>
      <c r="I124" s="96">
        <v>40156</v>
      </c>
      <c r="J124" s="362" t="s">
        <v>156</v>
      </c>
      <c r="K124" s="494">
        <v>0.215</v>
      </c>
      <c r="L124" s="192">
        <v>0.53800000000000003</v>
      </c>
      <c r="M124" s="364">
        <v>0</v>
      </c>
      <c r="N124" s="313" cm="1">
        <f t="array" ref="N12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4" s="37">
        <v>6.7000000000000004E-2</v>
      </c>
      <c r="P124" s="28"/>
      <c r="Q124" s="322" cm="1">
        <f t="array" ref="Q12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4" s="374">
        <v>0</v>
      </c>
      <c r="S124" s="28"/>
      <c r="T124" s="313">
        <v>1</v>
      </c>
      <c r="U124" s="365">
        <v>3</v>
      </c>
      <c r="V124" s="38"/>
      <c r="W124" s="38"/>
      <c r="X124" s="37"/>
      <c r="Y124" s="38"/>
      <c r="Z124" s="38"/>
      <c r="AA124" s="366" t="str" cm="1">
        <f t="array" ref="AA12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5" spans="1:27" hidden="1">
      <c r="A12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Global_PopulationHT0913</v>
      </c>
      <c r="B125" s="361" t="s">
        <v>409</v>
      </c>
      <c r="C125" s="213" t="s">
        <v>410</v>
      </c>
      <c r="D125" s="213" t="s">
        <v>415</v>
      </c>
      <c r="E125" s="103" t="s">
        <v>416</v>
      </c>
      <c r="F125" s="99"/>
      <c r="G125" s="34"/>
      <c r="H125" s="331"/>
      <c r="I125" s="96">
        <v>65669</v>
      </c>
      <c r="J125" s="362" t="s">
        <v>156</v>
      </c>
      <c r="K125" s="494">
        <v>0.215</v>
      </c>
      <c r="L125" s="192">
        <v>0.53800000000000003</v>
      </c>
      <c r="M125" s="364">
        <v>0</v>
      </c>
      <c r="N125" s="313" cm="1">
        <f t="array" ref="N12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5" s="37">
        <v>8.5000000000000006E-2</v>
      </c>
      <c r="P125" s="28"/>
      <c r="Q125" s="322" cm="1">
        <f t="array" ref="Q12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5" s="374">
        <v>1</v>
      </c>
      <c r="S125" s="28"/>
      <c r="T125" s="313">
        <v>3</v>
      </c>
      <c r="U125" s="365">
        <v>3</v>
      </c>
      <c r="V125" s="38"/>
      <c r="W125" s="38"/>
      <c r="X125" s="37"/>
      <c r="Y125" s="38"/>
      <c r="Z125" s="38"/>
      <c r="AA125" s="366" t="str" cm="1">
        <f t="array" ref="AA12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6" spans="1:27" hidden="1">
      <c r="A12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Global_PopulationHT0914</v>
      </c>
      <c r="B126" s="361" t="s">
        <v>409</v>
      </c>
      <c r="C126" s="213" t="s">
        <v>410</v>
      </c>
      <c r="D126" s="213" t="s">
        <v>417</v>
      </c>
      <c r="E126" s="103" t="s">
        <v>418</v>
      </c>
      <c r="F126" s="99"/>
      <c r="G126" s="34"/>
      <c r="H126" s="331"/>
      <c r="I126" s="96">
        <v>31537</v>
      </c>
      <c r="J126" s="362" t="s">
        <v>156</v>
      </c>
      <c r="K126" s="494">
        <v>0.215</v>
      </c>
      <c r="L126" s="192">
        <v>0.53800000000000003</v>
      </c>
      <c r="M126" s="364">
        <v>0</v>
      </c>
      <c r="N126" s="313" cm="1">
        <f t="array" ref="N12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6" s="37">
        <v>3.2000000000000001E-2</v>
      </c>
      <c r="P126" s="28"/>
      <c r="Q126" s="322" cm="1">
        <f t="array" ref="Q12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6" s="374">
        <v>0</v>
      </c>
      <c r="S126" s="28"/>
      <c r="T126" s="313">
        <v>1</v>
      </c>
      <c r="U126" s="365">
        <v>3</v>
      </c>
      <c r="V126" s="38"/>
      <c r="W126" s="38"/>
      <c r="X126" s="37"/>
      <c r="Y126" s="38"/>
      <c r="Z126" s="38"/>
      <c r="AA126" s="366" t="str" cm="1">
        <f t="array" ref="AA12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7" spans="1:27" hidden="1">
      <c r="A12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Global_PopulationHT0921</v>
      </c>
      <c r="B127" s="361" t="s">
        <v>409</v>
      </c>
      <c r="C127" s="213" t="s">
        <v>410</v>
      </c>
      <c r="D127" s="213" t="s">
        <v>419</v>
      </c>
      <c r="E127" s="103" t="s">
        <v>420</v>
      </c>
      <c r="F127" s="99"/>
      <c r="G127" s="34"/>
      <c r="H127" s="331"/>
      <c r="I127" s="96">
        <v>120555</v>
      </c>
      <c r="J127" s="362" t="s">
        <v>156</v>
      </c>
      <c r="K127" s="494">
        <v>0.215</v>
      </c>
      <c r="L127" s="192">
        <v>0.53800000000000003</v>
      </c>
      <c r="M127" s="364">
        <v>2</v>
      </c>
      <c r="N127" s="313" cm="1">
        <f t="array" ref="N12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27" s="37">
        <v>4.2999999999999997E-2</v>
      </c>
      <c r="P127" s="28"/>
      <c r="Q127" s="322" cm="1">
        <f t="array" ref="Q12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7" s="374">
        <v>1</v>
      </c>
      <c r="S127" s="28"/>
      <c r="T127" s="313">
        <v>3</v>
      </c>
      <c r="U127" s="365">
        <v>3</v>
      </c>
      <c r="V127" s="38"/>
      <c r="W127" s="38"/>
      <c r="X127" s="37"/>
      <c r="Y127" s="38"/>
      <c r="Z127" s="38"/>
      <c r="AA127" s="366" t="str" cm="1">
        <f t="array" ref="AA12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8" spans="1:27" hidden="1">
      <c r="A12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Global_PopulationHT0922</v>
      </c>
      <c r="B128" s="361" t="s">
        <v>409</v>
      </c>
      <c r="C128" s="213" t="s">
        <v>410</v>
      </c>
      <c r="D128" s="213" t="s">
        <v>421</v>
      </c>
      <c r="E128" s="103" t="s">
        <v>422</v>
      </c>
      <c r="F128" s="99"/>
      <c r="G128" s="34"/>
      <c r="H128" s="331"/>
      <c r="I128" s="96">
        <v>31659</v>
      </c>
      <c r="J128" s="362" t="s">
        <v>156</v>
      </c>
      <c r="K128" s="494">
        <v>0.215</v>
      </c>
      <c r="L128" s="192">
        <v>0.53800000000000003</v>
      </c>
      <c r="M128" s="364">
        <v>0</v>
      </c>
      <c r="N128" s="313" cm="1">
        <f t="array" ref="N12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8" s="37">
        <v>3.5000000000000003E-2</v>
      </c>
      <c r="P128" s="28"/>
      <c r="Q128" s="322" cm="1">
        <f t="array" ref="Q12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8" s="374">
        <v>0</v>
      </c>
      <c r="S128" s="28"/>
      <c r="T128" s="313">
        <v>1</v>
      </c>
      <c r="U128" s="365">
        <v>3</v>
      </c>
      <c r="V128" s="38"/>
      <c r="W128" s="38"/>
      <c r="X128" s="37"/>
      <c r="Y128" s="38"/>
      <c r="Z128" s="38"/>
      <c r="AA128" s="366" t="str" cm="1">
        <f t="array" ref="AA12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29" spans="1:27" hidden="1">
      <c r="A12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Global_PopulationHT0931</v>
      </c>
      <c r="B129" s="361" t="s">
        <v>409</v>
      </c>
      <c r="C129" s="213" t="s">
        <v>410</v>
      </c>
      <c r="D129" s="213" t="s">
        <v>423</v>
      </c>
      <c r="E129" s="103" t="s">
        <v>424</v>
      </c>
      <c r="F129" s="99"/>
      <c r="G129" s="34"/>
      <c r="H129" s="331"/>
      <c r="I129" s="96">
        <v>36005</v>
      </c>
      <c r="J129" s="362" t="s">
        <v>156</v>
      </c>
      <c r="K129" s="494">
        <v>0.215</v>
      </c>
      <c r="L129" s="192">
        <v>0.53800000000000003</v>
      </c>
      <c r="M129" s="364">
        <v>0</v>
      </c>
      <c r="N129" s="313" cm="1">
        <f t="array" ref="N12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29" s="37">
        <v>5.3999999999999999E-2</v>
      </c>
      <c r="P129" s="28"/>
      <c r="Q129" s="322" cm="1">
        <f t="array" ref="Q12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29" s="374">
        <v>2</v>
      </c>
      <c r="S129" s="28"/>
      <c r="T129" s="313">
        <v>3</v>
      </c>
      <c r="U129" s="365">
        <v>3</v>
      </c>
      <c r="V129" s="38"/>
      <c r="W129" s="38"/>
      <c r="X129" s="37"/>
      <c r="Y129" s="38"/>
      <c r="Z129" s="38"/>
      <c r="AA129" s="366" t="str" cm="1">
        <f t="array" ref="AA12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0" spans="1:27" hidden="1">
      <c r="A13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Global_PopulationHT0932</v>
      </c>
      <c r="B130" s="361" t="s">
        <v>409</v>
      </c>
      <c r="C130" s="213" t="s">
        <v>410</v>
      </c>
      <c r="D130" s="213" t="s">
        <v>425</v>
      </c>
      <c r="E130" s="103" t="s">
        <v>426</v>
      </c>
      <c r="F130" s="99"/>
      <c r="G130" s="34"/>
      <c r="H130" s="331"/>
      <c r="I130" s="96">
        <v>28588</v>
      </c>
      <c r="J130" s="362" t="s">
        <v>156</v>
      </c>
      <c r="K130" s="494">
        <v>0.215</v>
      </c>
      <c r="L130" s="192">
        <v>0.53800000000000003</v>
      </c>
      <c r="M130" s="364">
        <v>0</v>
      </c>
      <c r="N130" s="313" cm="1">
        <f t="array" ref="N13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30" s="37">
        <v>2.9000000000000001E-2</v>
      </c>
      <c r="P130" s="28"/>
      <c r="Q130" s="322" cm="1">
        <f t="array" ref="Q13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0" s="374">
        <v>0</v>
      </c>
      <c r="S130" s="28"/>
      <c r="T130" s="313">
        <v>1</v>
      </c>
      <c r="U130" s="365">
        <v>3</v>
      </c>
      <c r="V130" s="38"/>
      <c r="W130" s="38"/>
      <c r="X130" s="37"/>
      <c r="Y130" s="38"/>
      <c r="Z130" s="38"/>
      <c r="AA130" s="366" t="str" cm="1">
        <f t="array" ref="AA13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1" spans="1:27" hidden="1">
      <c r="A13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Global_PopulationHT0933</v>
      </c>
      <c r="B131" s="361" t="s">
        <v>409</v>
      </c>
      <c r="C131" s="213" t="s">
        <v>410</v>
      </c>
      <c r="D131" s="213" t="s">
        <v>427</v>
      </c>
      <c r="E131" s="103" t="s">
        <v>428</v>
      </c>
      <c r="F131" s="99"/>
      <c r="G131" s="34"/>
      <c r="H131" s="331"/>
      <c r="I131" s="96">
        <v>37868</v>
      </c>
      <c r="J131" s="362" t="s">
        <v>156</v>
      </c>
      <c r="K131" s="494">
        <v>0.215</v>
      </c>
      <c r="L131" s="192">
        <v>0.53800000000000003</v>
      </c>
      <c r="M131" s="364">
        <v>0</v>
      </c>
      <c r="N131" s="313" cm="1">
        <f t="array" ref="N13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31" s="37">
        <v>5.7000000000000002E-2</v>
      </c>
      <c r="P131" s="28"/>
      <c r="Q131" s="322" cm="1">
        <f t="array" ref="Q13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1" s="374">
        <v>0</v>
      </c>
      <c r="S131" s="28"/>
      <c r="T131" s="313">
        <v>1</v>
      </c>
      <c r="U131" s="365">
        <v>2</v>
      </c>
      <c r="V131" s="38"/>
      <c r="W131" s="38"/>
      <c r="X131" s="37"/>
      <c r="Y131" s="38"/>
      <c r="Z131" s="38"/>
      <c r="AA131" s="366" t="str" cm="1">
        <f t="array" ref="AA13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2" spans="1:27" hidden="1">
      <c r="A13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Global_PopulationHT0934</v>
      </c>
      <c r="B132" s="361" t="s">
        <v>409</v>
      </c>
      <c r="C132" s="213" t="s">
        <v>410</v>
      </c>
      <c r="D132" s="213" t="s">
        <v>429</v>
      </c>
      <c r="E132" s="103" t="s">
        <v>430</v>
      </c>
      <c r="F132" s="99"/>
      <c r="G132" s="34"/>
      <c r="H132" s="331"/>
      <c r="I132" s="96">
        <v>156750</v>
      </c>
      <c r="J132" s="362" t="s">
        <v>156</v>
      </c>
      <c r="K132" s="494">
        <v>0.215</v>
      </c>
      <c r="L132" s="192">
        <v>0.53800000000000003</v>
      </c>
      <c r="M132" s="364">
        <v>0</v>
      </c>
      <c r="N132" s="313" cm="1">
        <f t="array" ref="N13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2</v>
      </c>
      <c r="O132" s="37">
        <v>5.7000000000000002E-2</v>
      </c>
      <c r="P132" s="28"/>
      <c r="Q132" s="322" cm="1">
        <f t="array" ref="Q13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2" s="374">
        <v>0</v>
      </c>
      <c r="S132" s="28"/>
      <c r="T132" s="313">
        <v>1</v>
      </c>
      <c r="U132" s="365">
        <v>3</v>
      </c>
      <c r="V132" s="38"/>
      <c r="W132" s="38"/>
      <c r="X132" s="37"/>
      <c r="Y132" s="38"/>
      <c r="Z132" s="38"/>
      <c r="AA132" s="366" t="str" cm="1">
        <f t="array" ref="AA13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3" spans="1:27" hidden="1">
      <c r="A13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Global_PopulationHT1011</v>
      </c>
      <c r="B133" s="361" t="s">
        <v>431</v>
      </c>
      <c r="C133" s="213" t="s">
        <v>432</v>
      </c>
      <c r="D133" s="213" t="s">
        <v>433</v>
      </c>
      <c r="E133" s="103" t="s">
        <v>434</v>
      </c>
      <c r="F133" s="99"/>
      <c r="G133" s="34"/>
      <c r="H133" s="331"/>
      <c r="I133" s="96">
        <v>70617</v>
      </c>
      <c r="J133" s="362" t="s">
        <v>156</v>
      </c>
      <c r="K133" s="494">
        <v>0.622</v>
      </c>
      <c r="L133" s="192">
        <v>0.53800000000000003</v>
      </c>
      <c r="M133" s="364">
        <v>16</v>
      </c>
      <c r="N133" s="313" cm="1">
        <f t="array" ref="N13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33" s="37">
        <v>4.9000000000000002E-2</v>
      </c>
      <c r="P133" s="28"/>
      <c r="Q133" s="322" cm="1">
        <f t="array" ref="Q13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3" s="374">
        <v>76</v>
      </c>
      <c r="S133" s="28"/>
      <c r="T133" s="313">
        <v>4</v>
      </c>
      <c r="U133" s="365">
        <v>3</v>
      </c>
      <c r="V133" s="38"/>
      <c r="W133" s="38"/>
      <c r="X133" s="37"/>
      <c r="Y133" s="38"/>
      <c r="Z133" s="38"/>
      <c r="AA133" s="366" t="str" cm="1">
        <f t="array" ref="AA13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4" spans="1:27" hidden="1">
      <c r="A134"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Global_PopulationHT1012</v>
      </c>
      <c r="B134" s="361" t="s">
        <v>431</v>
      </c>
      <c r="C134" s="213" t="s">
        <v>432</v>
      </c>
      <c r="D134" s="213" t="s">
        <v>435</v>
      </c>
      <c r="E134" s="103" t="s">
        <v>436</v>
      </c>
      <c r="F134" s="99"/>
      <c r="G134" s="34"/>
      <c r="H134" s="331"/>
      <c r="I134" s="96">
        <v>34943</v>
      </c>
      <c r="J134" s="362" t="s">
        <v>156</v>
      </c>
      <c r="K134" s="494">
        <v>0.622</v>
      </c>
      <c r="L134" s="192">
        <v>0.53800000000000003</v>
      </c>
      <c r="M134" s="364">
        <v>0</v>
      </c>
      <c r="N134" s="313" cm="1">
        <f t="array" ref="N134">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4" s="37">
        <v>2.7E-2</v>
      </c>
      <c r="P134" s="28"/>
      <c r="Q134" s="322" cm="1">
        <f t="array" ref="Q134">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4" s="374">
        <v>42</v>
      </c>
      <c r="S134" s="28"/>
      <c r="T134" s="313">
        <v>3</v>
      </c>
      <c r="U134" s="365">
        <v>3</v>
      </c>
      <c r="V134" s="38"/>
      <c r="W134" s="38"/>
      <c r="X134" s="37"/>
      <c r="Y134" s="38"/>
      <c r="Z134" s="38"/>
      <c r="AA134" s="366" t="str" cm="1">
        <f t="array" ref="AA134">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5" spans="1:27" hidden="1">
      <c r="A135"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Global_PopulationHT1013</v>
      </c>
      <c r="B135" s="361" t="s">
        <v>431</v>
      </c>
      <c r="C135" s="213" t="s">
        <v>432</v>
      </c>
      <c r="D135" s="213" t="s">
        <v>437</v>
      </c>
      <c r="E135" s="103" t="s">
        <v>438</v>
      </c>
      <c r="F135" s="99"/>
      <c r="G135" s="34"/>
      <c r="H135" s="331"/>
      <c r="I135" s="96">
        <v>38319</v>
      </c>
      <c r="J135" s="362" t="s">
        <v>156</v>
      </c>
      <c r="K135" s="494">
        <v>0.622</v>
      </c>
      <c r="L135" s="192">
        <v>0.53800000000000003</v>
      </c>
      <c r="M135" s="364">
        <v>3</v>
      </c>
      <c r="N135" s="313" cm="1">
        <f t="array" ref="N135">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5</v>
      </c>
      <c r="O135" s="37">
        <v>4.7E-2</v>
      </c>
      <c r="P135" s="28"/>
      <c r="Q135" s="322" cm="1">
        <f t="array" ref="Q135">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5" s="374">
        <v>7</v>
      </c>
      <c r="S135" s="28"/>
      <c r="T135" s="313">
        <v>3</v>
      </c>
      <c r="U135" s="365">
        <v>3</v>
      </c>
      <c r="V135" s="38"/>
      <c r="W135" s="38"/>
      <c r="X135" s="37"/>
      <c r="Y135" s="38"/>
      <c r="Z135" s="38"/>
      <c r="AA135" s="366" t="str" cm="1">
        <f t="array" ref="AA135">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6" spans="1:27" hidden="1">
      <c r="A136"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Global_PopulationHT1014</v>
      </c>
      <c r="B136" s="361" t="s">
        <v>431</v>
      </c>
      <c r="C136" s="213" t="s">
        <v>432</v>
      </c>
      <c r="D136" s="213" t="s">
        <v>439</v>
      </c>
      <c r="E136" s="103" t="s">
        <v>440</v>
      </c>
      <c r="F136" s="99"/>
      <c r="G136" s="34"/>
      <c r="H136" s="331"/>
      <c r="I136" s="96">
        <v>19644</v>
      </c>
      <c r="J136" s="362" t="s">
        <v>156</v>
      </c>
      <c r="K136" s="494">
        <v>0.622</v>
      </c>
      <c r="L136" s="192">
        <v>0.53800000000000003</v>
      </c>
      <c r="M136" s="364">
        <v>0</v>
      </c>
      <c r="N136" s="313" cm="1">
        <f t="array" ref="N136">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6" s="37">
        <v>1.4999999999999999E-2</v>
      </c>
      <c r="P136" s="28"/>
      <c r="Q136" s="322" cm="1">
        <f t="array" ref="Q136">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6" s="374">
        <v>3</v>
      </c>
      <c r="S136" s="28"/>
      <c r="T136" s="313">
        <v>3</v>
      </c>
      <c r="U136" s="365">
        <v>3</v>
      </c>
      <c r="V136" s="38"/>
      <c r="W136" s="38"/>
      <c r="X136" s="37"/>
      <c r="Y136" s="38"/>
      <c r="Z136" s="38"/>
      <c r="AA136" s="366" t="str" cm="1">
        <f t="array" ref="AA136">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7" spans="1:27" hidden="1">
      <c r="A137"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Global_PopulationHT1021</v>
      </c>
      <c r="B137" s="361" t="s">
        <v>431</v>
      </c>
      <c r="C137" s="213" t="s">
        <v>432</v>
      </c>
      <c r="D137" s="213" t="s">
        <v>441</v>
      </c>
      <c r="E137" s="103" t="s">
        <v>442</v>
      </c>
      <c r="F137" s="99"/>
      <c r="G137" s="34"/>
      <c r="H137" s="331"/>
      <c r="I137" s="96">
        <v>37907</v>
      </c>
      <c r="J137" s="362" t="s">
        <v>156</v>
      </c>
      <c r="K137" s="494">
        <v>0.622</v>
      </c>
      <c r="L137" s="192">
        <v>0.53800000000000003</v>
      </c>
      <c r="M137" s="364">
        <v>0</v>
      </c>
      <c r="N137" s="313" cm="1">
        <f t="array" ref="N137">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7" s="37">
        <v>2.5000000000000001E-2</v>
      </c>
      <c r="P137" s="28"/>
      <c r="Q137" s="322" cm="1">
        <f t="array" ref="Q137">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7" s="374">
        <v>60</v>
      </c>
      <c r="S137" s="28"/>
      <c r="T137" s="313">
        <v>4</v>
      </c>
      <c r="U137" s="365">
        <v>3</v>
      </c>
      <c r="V137" s="38"/>
      <c r="W137" s="38"/>
      <c r="X137" s="37"/>
      <c r="Y137" s="38"/>
      <c r="Z137" s="38"/>
      <c r="AA137" s="366" t="str" cm="1">
        <f t="array" ref="AA137">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8" spans="1:27" hidden="1">
      <c r="A138"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Global_PopulationHT1022</v>
      </c>
      <c r="B138" s="361" t="s">
        <v>431</v>
      </c>
      <c r="C138" s="213" t="s">
        <v>432</v>
      </c>
      <c r="D138" s="213" t="s">
        <v>443</v>
      </c>
      <c r="E138" s="103" t="s">
        <v>444</v>
      </c>
      <c r="F138" s="99"/>
      <c r="G138" s="34"/>
      <c r="H138" s="331"/>
      <c r="I138" s="96">
        <v>33793</v>
      </c>
      <c r="J138" s="362" t="s">
        <v>156</v>
      </c>
      <c r="K138" s="494">
        <v>0.622</v>
      </c>
      <c r="L138" s="192">
        <v>0.53800000000000003</v>
      </c>
      <c r="M138" s="364">
        <v>0</v>
      </c>
      <c r="N138" s="313" cm="1">
        <f t="array" ref="N138">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8" s="37">
        <v>2.8000000000000001E-2</v>
      </c>
      <c r="P138" s="28"/>
      <c r="Q138" s="322" cm="1">
        <f t="array" ref="Q138">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8" s="374">
        <v>4</v>
      </c>
      <c r="S138" s="28"/>
      <c r="T138" s="313">
        <v>3</v>
      </c>
      <c r="U138" s="365">
        <v>3</v>
      </c>
      <c r="V138" s="38"/>
      <c r="W138" s="38"/>
      <c r="X138" s="37"/>
      <c r="Y138" s="38"/>
      <c r="Z138" s="38"/>
      <c r="AA138" s="366" t="str" cm="1">
        <f t="array" ref="AA138">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39" spans="1:27" hidden="1">
      <c r="A139"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Global_PopulationHT1023</v>
      </c>
      <c r="B139" s="361" t="s">
        <v>431</v>
      </c>
      <c r="C139" s="213" t="s">
        <v>432</v>
      </c>
      <c r="D139" s="213" t="s">
        <v>445</v>
      </c>
      <c r="E139" s="103" t="s">
        <v>446</v>
      </c>
      <c r="F139" s="99"/>
      <c r="G139" s="34"/>
      <c r="H139" s="331"/>
      <c r="I139" s="96">
        <v>45890</v>
      </c>
      <c r="J139" s="362" t="s">
        <v>156</v>
      </c>
      <c r="K139" s="494">
        <v>0.622</v>
      </c>
      <c r="L139" s="192">
        <v>0.53800000000000003</v>
      </c>
      <c r="M139" s="364">
        <v>0</v>
      </c>
      <c r="N139" s="313" cm="1">
        <f t="array" ref="N139">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39" s="37">
        <v>0.03</v>
      </c>
      <c r="P139" s="28"/>
      <c r="Q139" s="322" cm="1">
        <f t="array" ref="Q139">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39" s="374">
        <v>11</v>
      </c>
      <c r="S139" s="28"/>
      <c r="T139" s="313">
        <v>3</v>
      </c>
      <c r="U139" s="365">
        <v>3</v>
      </c>
      <c r="V139" s="38"/>
      <c r="W139" s="38"/>
      <c r="X139" s="37"/>
      <c r="Y139" s="38"/>
      <c r="Z139" s="38"/>
      <c r="AA139" s="366" t="str" cm="1">
        <f t="array" ref="AA139">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0" spans="1:27" hidden="1">
      <c r="A140"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Global_PopulationHT1024</v>
      </c>
      <c r="B140" s="361" t="s">
        <v>431</v>
      </c>
      <c r="C140" s="213" t="s">
        <v>432</v>
      </c>
      <c r="D140" s="213" t="s">
        <v>447</v>
      </c>
      <c r="E140" s="103" t="s">
        <v>448</v>
      </c>
      <c r="F140" s="99"/>
      <c r="G140" s="34"/>
      <c r="H140" s="331"/>
      <c r="I140" s="96">
        <v>23479</v>
      </c>
      <c r="J140" s="362" t="s">
        <v>156</v>
      </c>
      <c r="K140" s="494">
        <v>0.622</v>
      </c>
      <c r="L140" s="192">
        <v>0.53800000000000003</v>
      </c>
      <c r="M140" s="364">
        <v>0</v>
      </c>
      <c r="N140" s="313" cm="1">
        <f t="array" ref="N140">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40" s="37">
        <v>5.3999999999999999E-2</v>
      </c>
      <c r="P140" s="28"/>
      <c r="Q140" s="322" cm="1">
        <f t="array" ref="Q140">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40" s="374">
        <v>0</v>
      </c>
      <c r="S140" s="28"/>
      <c r="T140" s="313">
        <v>1</v>
      </c>
      <c r="U140" s="365">
        <v>3</v>
      </c>
      <c r="V140" s="38"/>
      <c r="W140" s="38"/>
      <c r="X140" s="37"/>
      <c r="Y140" s="38"/>
      <c r="Z140" s="38"/>
      <c r="AA140" s="366" t="str" cm="1">
        <f t="array" ref="AA140">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1" spans="1:27" hidden="1">
      <c r="A141"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Global_PopulationHT1025</v>
      </c>
      <c r="B141" s="361" t="s">
        <v>431</v>
      </c>
      <c r="C141" s="213" t="s">
        <v>432</v>
      </c>
      <c r="D141" s="213" t="s">
        <v>449</v>
      </c>
      <c r="E141" s="103" t="s">
        <v>450</v>
      </c>
      <c r="F141" s="99"/>
      <c r="G141" s="34"/>
      <c r="H141" s="331"/>
      <c r="I141" s="96">
        <v>32168</v>
      </c>
      <c r="J141" s="362" t="s">
        <v>156</v>
      </c>
      <c r="K141" s="494">
        <v>0.622</v>
      </c>
      <c r="L141" s="192">
        <v>0.53800000000000003</v>
      </c>
      <c r="M141" s="364">
        <v>0</v>
      </c>
      <c r="N141" s="313" cm="1">
        <f t="array" ref="N141">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41" s="37">
        <v>3.2000000000000001E-2</v>
      </c>
      <c r="P141" s="28"/>
      <c r="Q141" s="322" cm="1">
        <f t="array" ref="Q141">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41" s="374">
        <v>0</v>
      </c>
      <c r="S141" s="28"/>
      <c r="T141" s="313">
        <v>1</v>
      </c>
      <c r="U141" s="365">
        <v>3</v>
      </c>
      <c r="V141" s="38"/>
      <c r="W141" s="38"/>
      <c r="X141" s="37"/>
      <c r="Y141" s="38"/>
      <c r="Z141" s="38"/>
      <c r="AA141" s="366" t="str" cm="1">
        <f t="array" ref="AA141">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2" spans="1:27" hidden="1">
      <c r="A142"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Global_PopulationHT1031</v>
      </c>
      <c r="B142" s="361" t="s">
        <v>431</v>
      </c>
      <c r="C142" s="213" t="s">
        <v>432</v>
      </c>
      <c r="D142" s="213" t="s">
        <v>451</v>
      </c>
      <c r="E142" s="103" t="s">
        <v>452</v>
      </c>
      <c r="F142" s="99"/>
      <c r="G142" s="34"/>
      <c r="H142" s="331"/>
      <c r="I142" s="96">
        <v>45622</v>
      </c>
      <c r="J142" s="362" t="s">
        <v>156</v>
      </c>
      <c r="K142" s="494">
        <v>0.622</v>
      </c>
      <c r="L142" s="192">
        <v>0.53800000000000003</v>
      </c>
      <c r="M142" s="364">
        <v>0</v>
      </c>
      <c r="N142" s="313" cm="1">
        <f t="array" ref="N142">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42" s="37">
        <v>3.3000000000000002E-2</v>
      </c>
      <c r="P142" s="28"/>
      <c r="Q142" s="322" cm="1">
        <f t="array" ref="Q142">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42" s="374">
        <v>12</v>
      </c>
      <c r="S142" s="28"/>
      <c r="T142" s="313">
        <v>3</v>
      </c>
      <c r="U142" s="365">
        <v>3</v>
      </c>
      <c r="V142" s="38"/>
      <c r="W142" s="38"/>
      <c r="X142" s="37"/>
      <c r="Y142" s="38"/>
      <c r="Z142" s="38"/>
      <c r="AA142" s="366" t="str" cm="1">
        <f t="array" ref="AA142">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row r="143" spans="1:27" hidden="1">
      <c r="A143" s="360" t="str">
        <f>IFERROR(_xlfn.CONCAT(IF(tblSeverityReference[[#This Row],[Population Group]]="", "",tblSeverityReference[[#This Row],[Population Group]] ), IF(tblSeverityReference[[#This Row],[Pocket of need]]&lt;&gt;"",tblSeverityReference[[#This Row],[Pocket of need]],), _xlfn.IFS(tblSeverityReference[[#This Row],[Admin 3 P-Code]]&lt;&gt;"", tblSeverityReference[[#This Row],[Admin 3 P-Code]], tblSeverityReference[[#This Row],[Admin 2 P-Code]]&lt;&gt;"", tblSeverityReference[[#This Row],[Admin 2 P-Code]], tblSeverityReference[[#This Row],[Admin 1 P-Code]]&lt;&gt;"", tblSeverityReference[[#This Row],[Admin 1 P-Code]])),"")</f>
        <v>Global_PopulationHT1032</v>
      </c>
      <c r="B143" s="361" t="s">
        <v>431</v>
      </c>
      <c r="C143" s="213" t="s">
        <v>432</v>
      </c>
      <c r="D143" s="213" t="s">
        <v>453</v>
      </c>
      <c r="E143" s="103" t="s">
        <v>454</v>
      </c>
      <c r="F143" s="99"/>
      <c r="G143" s="34"/>
      <c r="H143" s="331"/>
      <c r="I143" s="96">
        <v>6460</v>
      </c>
      <c r="J143" s="363" t="s">
        <v>156</v>
      </c>
      <c r="K143" s="494">
        <v>0.622</v>
      </c>
      <c r="L143" s="192">
        <v>0.53800000000000003</v>
      </c>
      <c r="M143" s="364">
        <v>0</v>
      </c>
      <c r="N143" s="313" cm="1">
        <f t="array" ref="N143">_xlfn.IFS(AND(tblSeverityReference[[#This Row],[CDR x/10,000/day]]="", tblSeverityReference[[#This Row],[Under 5 Death Rate]]= "", tblSeverityReference[[#This Row],[Civilian Casualty]]=""), "", OR(tblSeverityReference[[#This Row],[Civilian Casualty]]&gt;=2, tblSeverityReference[[#This Row],[CDR x/10,000/day]]&gt;=2, tblSeverityReference[[#This Row],[Under 5 Death Rate]]&gt;=4), 5, OR(tblSeverityReference[[#This Row],[Civilian Casualty]]&gt;=1, tblSeverityReference[[#This Row],[CDR x/10,000/day]]&gt;=1, tblSeverityReference[[#This Row],[Under 5 Death Rate]]&gt;=2), 4, OR(tblSeverityReference[[#This Row],[Civilian Casualty]]&gt;=0.5, tblSeverityReference[[#This Row],[CDR x/10,000/day]]&gt;=0.5, tblSeverityReference[[#This Row],[Under 5 Death Rate]]&gt;=1), 3, OR(tblSeverityReference[[#This Row],[Civilian Casualty]]&gt;=0, tblSeverityReference[[#This Row],[CDR x/10,000/day]]&gt;=0, tblSeverityReference[[#This Row],[Under 5 Death Rate]]&gt;=0), 2)</f>
        <v>3</v>
      </c>
      <c r="O143" s="37">
        <v>3.2000000000000001E-2</v>
      </c>
      <c r="P143" s="28"/>
      <c r="Q143" s="322" cm="1">
        <f t="array" ref="Q143">IFERROR(_xlfn.IFS(AND(tblSeverityReference[[#This Row],[PPTZ
Prévalence de la MAG en % 
(P/T) pour les enfants de 0-59 mois (SMART 2023)]]="", tblSeverityReference[[#This Row],[MUAC]]=""), "", OR(tblSeverityReference[[#This Row],[PPTZ
Prévalence de la MAG en % 
(P/T) pour les enfants de 0-59 mois (SMART 2023)]] &gt;= 0.3, tblSeverityReference[[#This Row],[MUAC]]&gt;0.15), 5, OR(tblSeverityReference[[#This Row],[PPTZ
Prévalence de la MAG en % 
(P/T) pour les enfants de 0-59 mois (SMART 2023)]] &gt;=0.15, tblSeverityReference[[#This Row],[MUAC]]&gt;0.1),  4, OR(tblSeverityReference[[#This Row],[PPTZ
Prévalence de la MAG en % 
(P/T) pour les enfants de 0-59 mois (SMART 2023)]] &gt;=0.1,tblSeverityReference[[#This Row],[MUAC]]&gt;0.05), 3, OR(tblSeverityReference[[#This Row],[PPTZ
Prévalence de la MAG en % 
(P/T) pour les enfants de 0-59 mois (SMART 2023)]] &gt;= 0.05, tblSeverityReference[[#This Row],[MUAC]]&gt;=0), 2, tblSeverityReference[[#This Row],[PPTZ
Prévalence de la MAG en % 
(P/T) pour les enfants de 0-59 mois (SMART 2023)]] &gt;=0, 1), "")</f>
        <v>2</v>
      </c>
      <c r="R143" s="374">
        <v>0</v>
      </c>
      <c r="S143" s="28"/>
      <c r="T143" s="313">
        <v>1</v>
      </c>
      <c r="U143" s="365">
        <v>3</v>
      </c>
      <c r="V143" s="38"/>
      <c r="W143" s="38"/>
      <c r="X143" s="37"/>
      <c r="Y143" s="38"/>
      <c r="Z143" s="38"/>
      <c r="AA143" s="366" t="str" cm="1">
        <f t="array" ref="AA143">_xlfn.IFS(SUM(tblSeverityReference[[#This Row],[Coping Strategy (Minimal)]:[Coping Strategy (Catastrophic)]])=0, "", tblSeverityReference[[#This Row],[Coping Strategy (Catastrophic)]]&gt;0.2, 5, tblSeverityReference[[#This Row],[Coping Strategy (Catastrophic)]]+tblSeverityReference[[#This Row],[Coping Strategy (Extreme)]]&gt;0.2, 4, tblSeverityReference[[#This Row],[Coping Strategy (Catastrophic)]]+tblSeverityReference[[#This Row],[Coping Strategy (Extreme)]]+tblSeverityReference[[#This Row],[Coping Strategy (Severe)]]&gt;0.2, 3, tblSeverityReference[[#This Row],[Coping Strategy (Catastrophic)]]+tblSeverityReference[[#This Row],[Coping Strategy (Extreme)]]+tblSeverityReference[[#This Row],[Coping Strategy (Severe)]]+tblSeverityReference[[#This Row],[Coping Strategy (Stress)]]&gt;0.2, 2, 1=1, 1)</f>
        <v/>
      </c>
    </row>
  </sheetData>
  <mergeCells count="5">
    <mergeCell ref="K2:T2"/>
    <mergeCell ref="V2:AA2"/>
    <mergeCell ref="B2:G2"/>
    <mergeCell ref="I2:J2"/>
    <mergeCell ref="K1:AA1"/>
  </mergeCells>
  <phoneticPr fontId="9"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E206-144E-4971-965F-AA90139EF6AE}">
  <sheetPr>
    <tabColor theme="9"/>
  </sheetPr>
  <dimension ref="A2:O37"/>
  <sheetViews>
    <sheetView showGridLines="0" zoomScale="110" zoomScaleNormal="110" workbookViewId="0">
      <selection activeCell="S27" sqref="S27"/>
    </sheetView>
  </sheetViews>
  <sheetFormatPr defaultColWidth="3.7109375" defaultRowHeight="14.45"/>
  <cols>
    <col min="1" max="1" width="1.7109375" customWidth="1"/>
    <col min="2" max="2" width="19.85546875" customWidth="1"/>
    <col min="3" max="4" width="9.42578125" customWidth="1"/>
    <col min="5" max="5" width="10.5703125" hidden="1" customWidth="1"/>
    <col min="6" max="7" width="9.7109375" customWidth="1"/>
    <col min="8" max="8" width="10.5703125" customWidth="1"/>
    <col min="9" max="9" width="10.28515625" customWidth="1"/>
    <col min="10" max="10" width="9.85546875" customWidth="1"/>
    <col min="11" max="11" width="10.5703125" customWidth="1"/>
    <col min="12" max="13" width="9.85546875" customWidth="1"/>
    <col min="14" max="14" width="10.85546875" customWidth="1"/>
    <col min="15" max="15" width="2.42578125" customWidth="1"/>
    <col min="19" max="19" width="7.7109375" bestFit="1" customWidth="1"/>
    <col min="21" max="21" width="9.7109375" bestFit="1" customWidth="1"/>
  </cols>
  <sheetData>
    <row r="2" spans="2:15" s="90" customFormat="1" ht="30.6">
      <c r="B2" s="589" t="s">
        <v>586</v>
      </c>
      <c r="C2" s="589"/>
      <c r="D2" s="589"/>
      <c r="E2" s="589"/>
      <c r="F2" s="589"/>
      <c r="G2" s="589"/>
      <c r="H2" s="589"/>
      <c r="I2" s="589"/>
      <c r="J2" s="589"/>
      <c r="K2" s="589"/>
      <c r="L2" s="589"/>
      <c r="M2" s="589"/>
      <c r="N2" s="589"/>
    </row>
    <row r="3" spans="2:15" ht="22.7" customHeight="1" thickBot="1">
      <c r="B3" s="434"/>
      <c r="C3" s="590" t="s">
        <v>587</v>
      </c>
      <c r="D3" s="591"/>
      <c r="E3" s="592"/>
      <c r="F3" s="593" t="s">
        <v>588</v>
      </c>
      <c r="G3" s="594"/>
      <c r="H3" s="595"/>
      <c r="I3" s="598" t="s">
        <v>589</v>
      </c>
      <c r="J3" s="599"/>
      <c r="K3" s="600"/>
      <c r="L3" s="596" t="s">
        <v>590</v>
      </c>
      <c r="M3" s="597"/>
      <c r="N3" s="597"/>
    </row>
    <row r="4" spans="2:15" ht="15.6" thickBot="1">
      <c r="B4" s="435" t="s">
        <v>591</v>
      </c>
      <c r="C4" s="436">
        <v>2025</v>
      </c>
      <c r="D4" s="436">
        <v>2026</v>
      </c>
      <c r="E4" s="436" t="s">
        <v>592</v>
      </c>
      <c r="F4" s="437">
        <v>2025</v>
      </c>
      <c r="G4" s="437">
        <v>2026</v>
      </c>
      <c r="H4" s="437" t="s">
        <v>592</v>
      </c>
      <c r="I4" s="440">
        <v>2025</v>
      </c>
      <c r="J4" s="440" t="s">
        <v>593</v>
      </c>
      <c r="K4" s="440" t="s">
        <v>592</v>
      </c>
      <c r="L4" s="438">
        <v>2025</v>
      </c>
      <c r="M4" s="438">
        <v>2026</v>
      </c>
      <c r="N4" s="439" t="s">
        <v>592</v>
      </c>
    </row>
    <row r="5" spans="2:15" ht="15.6" thickBot="1">
      <c r="B5" s="441" t="s">
        <v>594</v>
      </c>
      <c r="C5" s="442">
        <v>3645045</v>
      </c>
      <c r="D5" s="443">
        <v>4240626</v>
      </c>
      <c r="E5" s="444">
        <v>0.16339469060052755</v>
      </c>
      <c r="F5" s="445">
        <v>525302</v>
      </c>
      <c r="G5" s="445">
        <v>411578.90000000014</v>
      </c>
      <c r="H5" s="446">
        <v>-0.21649089476148931</v>
      </c>
      <c r="I5" s="449">
        <v>482652</v>
      </c>
      <c r="J5" s="449">
        <v>1324451</v>
      </c>
      <c r="K5" s="450">
        <v>1.7441116995267811</v>
      </c>
      <c r="L5" s="447">
        <v>78000000</v>
      </c>
      <c r="M5" s="447">
        <v>49300000</v>
      </c>
      <c r="N5" s="448">
        <v>-0.36794871794871797</v>
      </c>
    </row>
    <row r="6" spans="2:15" ht="15.6" thickBot="1">
      <c r="B6" s="451" t="s">
        <v>98</v>
      </c>
      <c r="C6" s="452">
        <v>1054487</v>
      </c>
      <c r="D6" s="453">
        <v>2118298.5</v>
      </c>
      <c r="E6" s="454">
        <v>1.0088426884352297</v>
      </c>
      <c r="F6" s="453">
        <v>332544</v>
      </c>
      <c r="G6" s="453">
        <v>571841</v>
      </c>
      <c r="H6" s="454">
        <v>0.71959500096227869</v>
      </c>
      <c r="I6" s="452">
        <v>332544</v>
      </c>
      <c r="J6" s="452">
        <v>908203.5</v>
      </c>
      <c r="K6" s="454">
        <v>1.7310776919745958</v>
      </c>
      <c r="L6" s="453">
        <v>12300000</v>
      </c>
      <c r="M6" s="453">
        <v>17000000</v>
      </c>
      <c r="N6" s="455">
        <v>0.38211382113821141</v>
      </c>
    </row>
    <row r="7" spans="2:15" ht="15.6" thickBot="1">
      <c r="B7" s="456" t="s">
        <v>58</v>
      </c>
      <c r="C7" s="442">
        <v>1453568</v>
      </c>
      <c r="D7" s="443">
        <v>1493675</v>
      </c>
      <c r="E7" s="444">
        <v>2.7592104394152869E-2</v>
      </c>
      <c r="F7" s="457">
        <v>1002773</v>
      </c>
      <c r="G7" s="457">
        <v>982031</v>
      </c>
      <c r="H7" s="446">
        <v>-2.0684641489150585E-2</v>
      </c>
      <c r="I7" s="449">
        <v>274898</v>
      </c>
      <c r="J7" s="449">
        <v>224292</v>
      </c>
      <c r="K7" s="450">
        <v>-0.18409009887303654</v>
      </c>
      <c r="L7" s="447">
        <v>61626718</v>
      </c>
      <c r="M7" s="447">
        <v>61727200</v>
      </c>
      <c r="N7" s="448">
        <v>1.6304940983551972E-3</v>
      </c>
    </row>
    <row r="8" spans="2:15" ht="15.6" thickBot="1">
      <c r="B8" s="458" t="s">
        <v>595</v>
      </c>
      <c r="C8" s="452">
        <v>3854001.6722176778</v>
      </c>
      <c r="D8" s="453">
        <v>3530913.3268270758</v>
      </c>
      <c r="E8" s="454">
        <v>-8.3831916244263033E-2</v>
      </c>
      <c r="F8" s="453">
        <v>1842299.5725089118</v>
      </c>
      <c r="G8" s="453">
        <v>1403112.5592587758</v>
      </c>
      <c r="H8" s="454">
        <v>-0.2383906612169675</v>
      </c>
      <c r="I8" s="452">
        <v>1249281</v>
      </c>
      <c r="J8" s="452">
        <v>503222.63095238095</v>
      </c>
      <c r="K8" s="454">
        <v>-0.59719019904058335</v>
      </c>
      <c r="L8" s="453">
        <v>87000000</v>
      </c>
      <c r="M8" s="453">
        <v>72000000</v>
      </c>
      <c r="N8" s="455">
        <v>-0.17241379310344829</v>
      </c>
    </row>
    <row r="9" spans="2:15" ht="15.6" thickBot="1">
      <c r="B9" s="451" t="s">
        <v>60</v>
      </c>
      <c r="C9" s="459">
        <v>1170492</v>
      </c>
      <c r="D9" s="460">
        <v>1225803</v>
      </c>
      <c r="E9" s="461">
        <v>4.7254487856388597E-2</v>
      </c>
      <c r="F9" s="445">
        <v>905914</v>
      </c>
      <c r="G9" s="445">
        <v>946258</v>
      </c>
      <c r="H9" s="446">
        <v>4.4534028616402883E-2</v>
      </c>
      <c r="I9" s="449">
        <v>681681</v>
      </c>
      <c r="J9" s="449">
        <v>17079</v>
      </c>
      <c r="K9" s="450">
        <v>-0.9749457590867282</v>
      </c>
      <c r="L9" s="447">
        <v>39900000</v>
      </c>
      <c r="M9" s="447">
        <v>40667320</v>
      </c>
      <c r="N9" s="448">
        <v>1.9231077694235588E-2</v>
      </c>
    </row>
    <row r="10" spans="2:15" ht="15.6" thickBot="1">
      <c r="B10" s="456" t="s">
        <v>101</v>
      </c>
      <c r="C10" s="452">
        <v>2160007</v>
      </c>
      <c r="D10" s="453">
        <v>2195025.5346403574</v>
      </c>
      <c r="E10" s="454">
        <v>1.621223201608021E-2</v>
      </c>
      <c r="F10" s="453">
        <v>1458534</v>
      </c>
      <c r="G10" s="453">
        <v>1370000</v>
      </c>
      <c r="H10" s="454">
        <v>-6.0700676158389179E-2</v>
      </c>
      <c r="I10" s="452">
        <v>1234406</v>
      </c>
      <c r="J10" s="452">
        <v>884871.2244925776</v>
      </c>
      <c r="K10" s="454">
        <v>-0.28316030180299057</v>
      </c>
      <c r="L10" s="453">
        <v>106140271</v>
      </c>
      <c r="M10" s="453">
        <v>96941000</v>
      </c>
      <c r="N10" s="455">
        <v>-8.667088291116197E-2</v>
      </c>
    </row>
    <row r="11" spans="2:15" ht="15.6" thickBot="1">
      <c r="B11" s="456" t="s">
        <v>596</v>
      </c>
      <c r="C11" s="462">
        <v>4214625</v>
      </c>
      <c r="D11" s="463">
        <v>4860485.4511351846</v>
      </c>
      <c r="E11" s="464">
        <v>0.15324268496845736</v>
      </c>
      <c r="F11" s="457">
        <v>1993967</v>
      </c>
      <c r="G11" s="457">
        <v>2710789.852567446</v>
      </c>
      <c r="H11" s="446">
        <v>0.35949584550167879</v>
      </c>
      <c r="I11" s="449">
        <v>1645625</v>
      </c>
      <c r="J11" s="449">
        <v>2269122.2814698867</v>
      </c>
      <c r="K11" s="450">
        <v>0.37888175098815746</v>
      </c>
      <c r="L11" s="447">
        <v>43500000</v>
      </c>
      <c r="M11" s="447">
        <v>69200000</v>
      </c>
      <c r="N11" s="448">
        <v>0.59080459770114946</v>
      </c>
    </row>
    <row r="12" spans="2:15" ht="15.6" thickBot="1">
      <c r="B12" s="458" t="s">
        <v>597</v>
      </c>
      <c r="C12" s="452">
        <v>5535548</v>
      </c>
      <c r="D12" s="453">
        <v>5910721</v>
      </c>
      <c r="E12" s="465">
        <v>6.7775222977020516E-2</v>
      </c>
      <c r="F12" s="453">
        <v>3436159</v>
      </c>
      <c r="G12" s="453">
        <v>3529354</v>
      </c>
      <c r="H12" s="465">
        <v>2.7121853208771772E-2</v>
      </c>
      <c r="I12" s="452">
        <v>3436159</v>
      </c>
      <c r="J12" s="452">
        <v>2441149</v>
      </c>
      <c r="K12" s="465">
        <v>-0.28957041859820803</v>
      </c>
      <c r="L12" s="453">
        <v>425000000</v>
      </c>
      <c r="M12" s="453">
        <v>423500000</v>
      </c>
      <c r="N12" s="466">
        <v>-3.5294117647058825E-3</v>
      </c>
    </row>
    <row r="13" spans="2:15" ht="15.6" thickBot="1">
      <c r="B13" s="451" t="s">
        <v>598</v>
      </c>
      <c r="C13" s="442" t="s">
        <v>599</v>
      </c>
      <c r="D13" s="443" t="s">
        <v>599</v>
      </c>
      <c r="E13" s="444" t="s">
        <v>599</v>
      </c>
      <c r="F13" s="457" t="s">
        <v>599</v>
      </c>
      <c r="G13" s="457" t="s">
        <v>599</v>
      </c>
      <c r="H13" s="446" t="s">
        <v>599</v>
      </c>
      <c r="I13" s="449" t="s">
        <v>599</v>
      </c>
      <c r="J13" s="449"/>
      <c r="K13" s="450" t="s">
        <v>599</v>
      </c>
      <c r="L13" s="447">
        <v>8293000</v>
      </c>
      <c r="M13" s="447">
        <v>6562634</v>
      </c>
      <c r="N13" s="448">
        <v>-0.20865380441336068</v>
      </c>
    </row>
    <row r="14" spans="2:15" ht="15.6" thickBot="1">
      <c r="B14" s="456" t="s">
        <v>600</v>
      </c>
      <c r="C14" s="452" t="s">
        <v>599</v>
      </c>
      <c r="D14" s="453" t="s">
        <v>599</v>
      </c>
      <c r="E14" s="454" t="s">
        <v>599</v>
      </c>
      <c r="F14" s="453" t="s">
        <v>599</v>
      </c>
      <c r="G14" s="453" t="s">
        <v>599</v>
      </c>
      <c r="H14" s="454" t="s">
        <v>599</v>
      </c>
      <c r="I14" s="452" t="s">
        <v>599</v>
      </c>
      <c r="J14" s="452"/>
      <c r="K14" s="454" t="s">
        <v>599</v>
      </c>
      <c r="L14" s="453">
        <v>19800000</v>
      </c>
      <c r="M14" s="453">
        <v>21100000</v>
      </c>
      <c r="N14" s="455">
        <v>6.5656565656565663E-2</v>
      </c>
    </row>
    <row r="15" spans="2:15" ht="15.6" thickBot="1">
      <c r="B15" s="456" t="s">
        <v>601</v>
      </c>
      <c r="C15" s="467" t="s">
        <v>599</v>
      </c>
      <c r="D15" s="468" t="s">
        <v>599</v>
      </c>
      <c r="E15" s="469" t="s">
        <v>599</v>
      </c>
      <c r="F15" s="470">
        <v>252225</v>
      </c>
      <c r="G15" s="470">
        <v>355440</v>
      </c>
      <c r="H15" s="471">
        <v>0.40921796015462386</v>
      </c>
      <c r="I15" s="449">
        <v>252225</v>
      </c>
      <c r="J15" s="449">
        <v>353215</v>
      </c>
      <c r="K15" s="450">
        <v>0.40039647140449997</v>
      </c>
      <c r="L15" s="472">
        <v>26600000</v>
      </c>
      <c r="M15" s="472">
        <v>39646497</v>
      </c>
      <c r="N15" s="473">
        <v>0.49046981203007517</v>
      </c>
    </row>
    <row r="16" spans="2:15" ht="15.4">
      <c r="B16" s="474" t="s">
        <v>602</v>
      </c>
      <c r="C16" s="476">
        <v>5986455.6106217653</v>
      </c>
      <c r="D16" s="476">
        <v>6414193.106306633</v>
      </c>
      <c r="E16" s="477">
        <v>7.145087569444819E-2</v>
      </c>
      <c r="F16" s="478">
        <v>3941924.1839647456</v>
      </c>
      <c r="G16" s="478">
        <v>4134421.9388248818</v>
      </c>
      <c r="H16" s="480">
        <v>4.8833449319799951E-2</v>
      </c>
      <c r="I16" s="484">
        <v>3883980</v>
      </c>
      <c r="J16" s="484">
        <v>2097189.8654847639</v>
      </c>
      <c r="K16" s="484">
        <v>-0.46004102351588733</v>
      </c>
      <c r="L16" s="481">
        <v>908159989</v>
      </c>
      <c r="M16" s="481">
        <v>897644651</v>
      </c>
      <c r="N16" s="482">
        <v>-1.1578728558146158E-2</v>
      </c>
      <c r="O16" s="483"/>
    </row>
    <row r="19" spans="1:15">
      <c r="N19" s="19"/>
    </row>
    <row r="23" spans="1:15" ht="30.6">
      <c r="A23" s="90"/>
      <c r="B23" s="589" t="s">
        <v>603</v>
      </c>
      <c r="C23" s="589"/>
      <c r="D23" s="589"/>
      <c r="E23" s="589"/>
      <c r="F23" s="589"/>
      <c r="G23" s="589"/>
      <c r="H23" s="589"/>
      <c r="I23" s="589"/>
      <c r="J23" s="589"/>
      <c r="K23" s="589"/>
      <c r="L23" s="589"/>
      <c r="M23" s="589"/>
      <c r="N23" s="589"/>
      <c r="O23" s="90"/>
    </row>
    <row r="24" spans="1:15" ht="22.5" thickBot="1">
      <c r="B24" s="434"/>
      <c r="C24" s="590" t="s">
        <v>501</v>
      </c>
      <c r="D24" s="591"/>
      <c r="E24" s="592"/>
      <c r="F24" s="593" t="s">
        <v>604</v>
      </c>
      <c r="G24" s="594"/>
      <c r="H24" s="595"/>
      <c r="I24" s="598" t="s">
        <v>497</v>
      </c>
      <c r="J24" s="599"/>
      <c r="K24" s="600"/>
      <c r="L24" s="596" t="s">
        <v>590</v>
      </c>
      <c r="M24" s="597"/>
      <c r="N24" s="597"/>
    </row>
    <row r="25" spans="1:15" ht="15.6" thickBot="1">
      <c r="B25" s="435" t="s">
        <v>605</v>
      </c>
      <c r="C25" s="436">
        <v>2025</v>
      </c>
      <c r="D25" s="436">
        <v>2026</v>
      </c>
      <c r="E25" s="436" t="s">
        <v>592</v>
      </c>
      <c r="F25" s="437">
        <v>2025</v>
      </c>
      <c r="G25" s="437">
        <v>2026</v>
      </c>
      <c r="H25" s="437" t="s">
        <v>592</v>
      </c>
      <c r="I25" s="440">
        <v>2025</v>
      </c>
      <c r="J25" s="440" t="s">
        <v>593</v>
      </c>
      <c r="K25" s="440" t="s">
        <v>592</v>
      </c>
      <c r="L25" s="438">
        <v>2025</v>
      </c>
      <c r="M25" s="438">
        <v>2026</v>
      </c>
      <c r="N25" s="439" t="s">
        <v>592</v>
      </c>
    </row>
    <row r="26" spans="1:15" ht="15.6" thickBot="1">
      <c r="B26" s="441" t="s">
        <v>98</v>
      </c>
      <c r="C26" s="442">
        <v>1054487</v>
      </c>
      <c r="D26" s="442">
        <v>2118298.5</v>
      </c>
      <c r="E26" s="444">
        <v>1.0088426884352297</v>
      </c>
      <c r="F26" s="445">
        <v>332544</v>
      </c>
      <c r="G26" s="445">
        <v>571841</v>
      </c>
      <c r="H26" s="446">
        <v>0.71959500096227869</v>
      </c>
      <c r="I26" s="449">
        <v>332544</v>
      </c>
      <c r="J26" s="449">
        <v>908203.5</v>
      </c>
      <c r="K26" s="450">
        <v>1.7310776919745958</v>
      </c>
      <c r="L26" s="447">
        <v>12300000</v>
      </c>
      <c r="M26" s="447">
        <v>17000000</v>
      </c>
      <c r="N26" s="448">
        <v>0.38211382113821141</v>
      </c>
    </row>
    <row r="27" spans="1:15" ht="15.6" thickBot="1">
      <c r="B27" s="451" t="s">
        <v>58</v>
      </c>
      <c r="C27" s="452">
        <v>1453568</v>
      </c>
      <c r="D27" s="452">
        <v>1493675</v>
      </c>
      <c r="E27" s="454">
        <v>2.7592104394152869E-2</v>
      </c>
      <c r="F27" s="453">
        <v>1002773</v>
      </c>
      <c r="G27" s="453">
        <v>982031</v>
      </c>
      <c r="H27" s="454">
        <v>-2.0684641489150585E-2</v>
      </c>
      <c r="I27" s="452">
        <v>274898</v>
      </c>
      <c r="J27" s="452">
        <v>224292</v>
      </c>
      <c r="K27" s="454">
        <v>-0.18409009887303654</v>
      </c>
      <c r="L27" s="453">
        <v>61626718</v>
      </c>
      <c r="M27" s="453">
        <v>61727200</v>
      </c>
      <c r="N27" s="455">
        <v>1.6304940983551972E-3</v>
      </c>
    </row>
    <row r="28" spans="1:15" ht="15.6" thickBot="1">
      <c r="B28" s="456" t="s">
        <v>606</v>
      </c>
      <c r="C28" s="442">
        <v>5535548</v>
      </c>
      <c r="D28" s="442">
        <v>5910721</v>
      </c>
      <c r="E28" s="444">
        <v>6.7775222977020516E-2</v>
      </c>
      <c r="F28" s="457">
        <v>3436159</v>
      </c>
      <c r="G28" s="457">
        <v>3529354</v>
      </c>
      <c r="H28" s="446">
        <v>2.7121853208771772E-2</v>
      </c>
      <c r="I28" s="449">
        <v>3436159</v>
      </c>
      <c r="J28" s="449">
        <v>2441149</v>
      </c>
      <c r="K28" s="450">
        <v>-0.28957041859820803</v>
      </c>
      <c r="L28" s="447">
        <v>425000000</v>
      </c>
      <c r="M28" s="447">
        <v>423500000</v>
      </c>
      <c r="N28" s="448">
        <v>-3.5294117647058825E-3</v>
      </c>
    </row>
    <row r="29" spans="1:15" ht="15.6" thickBot="1">
      <c r="B29" s="458" t="s">
        <v>100</v>
      </c>
      <c r="C29" s="452">
        <v>4214625</v>
      </c>
      <c r="D29" s="452">
        <v>4860485.4511351846</v>
      </c>
      <c r="E29" s="454">
        <v>0.15324268496845736</v>
      </c>
      <c r="F29" s="453">
        <v>1993967</v>
      </c>
      <c r="G29" s="453">
        <v>2710789.852567446</v>
      </c>
      <c r="H29" s="454">
        <v>0.35949584550167879</v>
      </c>
      <c r="I29" s="452">
        <v>1645625</v>
      </c>
      <c r="J29" s="452">
        <v>2269122.2814698867</v>
      </c>
      <c r="K29" s="454">
        <v>0.37888175098815746</v>
      </c>
      <c r="L29" s="453">
        <v>43500000</v>
      </c>
      <c r="M29" s="453">
        <v>69200000</v>
      </c>
      <c r="N29" s="455">
        <v>0.59080459770114946</v>
      </c>
    </row>
    <row r="30" spans="1:15" ht="15.6" thickBot="1">
      <c r="B30" s="451" t="s">
        <v>60</v>
      </c>
      <c r="C30" s="459">
        <v>1170492</v>
      </c>
      <c r="D30" s="459">
        <v>1225803</v>
      </c>
      <c r="E30" s="461">
        <v>4.7254487856388597E-2</v>
      </c>
      <c r="F30" s="445">
        <v>905914</v>
      </c>
      <c r="G30" s="445">
        <v>946258</v>
      </c>
      <c r="H30" s="446">
        <v>4.4534028616402883E-2</v>
      </c>
      <c r="I30" s="449">
        <v>681681</v>
      </c>
      <c r="J30" s="449">
        <v>17079</v>
      </c>
      <c r="K30" s="450">
        <v>-0.9749457590867282</v>
      </c>
      <c r="L30" s="447">
        <v>39900000</v>
      </c>
      <c r="M30" s="447">
        <v>40667320</v>
      </c>
      <c r="N30" s="448">
        <v>1.9231077694235588E-2</v>
      </c>
    </row>
    <row r="31" spans="1:15" ht="15.6" thickBot="1">
      <c r="B31" s="456" t="s">
        <v>101</v>
      </c>
      <c r="C31" s="452">
        <v>2160007</v>
      </c>
      <c r="D31" s="452">
        <v>2195025.5346403574</v>
      </c>
      <c r="E31" s="454">
        <v>1.621223201608021E-2</v>
      </c>
      <c r="F31" s="453">
        <v>1458534</v>
      </c>
      <c r="G31" s="453">
        <v>1370000</v>
      </c>
      <c r="H31" s="454">
        <v>-6.0700676158389179E-2</v>
      </c>
      <c r="I31" s="452">
        <v>1234406</v>
      </c>
      <c r="J31" s="452">
        <v>884871.2244925776</v>
      </c>
      <c r="K31" s="454">
        <v>-0.28316030180299057</v>
      </c>
      <c r="L31" s="453">
        <v>106140271</v>
      </c>
      <c r="M31" s="453">
        <v>96941000</v>
      </c>
      <c r="N31" s="455">
        <v>-8.667088291116197E-2</v>
      </c>
    </row>
    <row r="32" spans="1:15" ht="15.6" thickBot="1">
      <c r="B32" s="456" t="s">
        <v>607</v>
      </c>
      <c r="C32" s="462">
        <v>3645045</v>
      </c>
      <c r="D32" s="462">
        <v>4240626</v>
      </c>
      <c r="E32" s="464">
        <v>0.16339469060052755</v>
      </c>
      <c r="F32" s="457">
        <v>525302</v>
      </c>
      <c r="G32" s="457">
        <v>411578.90000000014</v>
      </c>
      <c r="H32" s="446">
        <v>-0.21649089476148931</v>
      </c>
      <c r="I32" s="449">
        <v>482652</v>
      </c>
      <c r="J32" s="449">
        <v>1324451</v>
      </c>
      <c r="K32" s="450">
        <v>1.7441116995267811</v>
      </c>
      <c r="L32" s="447">
        <v>78000000</v>
      </c>
      <c r="M32" s="447">
        <v>49300000</v>
      </c>
      <c r="N32" s="448">
        <v>-0.36794871794871797</v>
      </c>
    </row>
    <row r="33" spans="2:15" ht="15.6" thickBot="1">
      <c r="B33" s="458" t="s">
        <v>103</v>
      </c>
      <c r="C33" s="452">
        <v>3854001.6722176778</v>
      </c>
      <c r="D33" s="452">
        <v>3530913.3268270758</v>
      </c>
      <c r="E33" s="465">
        <v>-8.3831916244263033E-2</v>
      </c>
      <c r="F33" s="453">
        <v>1842299.5725089118</v>
      </c>
      <c r="G33" s="453">
        <v>1403112.5592587758</v>
      </c>
      <c r="H33" s="465">
        <v>-0.2383906612169675</v>
      </c>
      <c r="I33" s="452">
        <v>1249281</v>
      </c>
      <c r="J33" s="452">
        <v>503222.63095238095</v>
      </c>
      <c r="K33" s="465">
        <v>-0.59719019904058335</v>
      </c>
      <c r="L33" s="453">
        <v>87000000</v>
      </c>
      <c r="M33" s="453">
        <v>72000000</v>
      </c>
      <c r="N33" s="466">
        <v>-0.17241379310344829</v>
      </c>
    </row>
    <row r="34" spans="2:15" ht="15.6" thickBot="1">
      <c r="B34" s="451" t="s">
        <v>598</v>
      </c>
      <c r="C34" s="442" t="s">
        <v>599</v>
      </c>
      <c r="D34" s="442" t="s">
        <v>599</v>
      </c>
      <c r="E34" s="444" t="s">
        <v>599</v>
      </c>
      <c r="F34" s="457" t="s">
        <v>599</v>
      </c>
      <c r="G34" s="457" t="s">
        <v>599</v>
      </c>
      <c r="H34" s="465" t="s">
        <v>599</v>
      </c>
      <c r="I34" s="449" t="s">
        <v>599</v>
      </c>
      <c r="J34" s="449" t="s">
        <v>599</v>
      </c>
      <c r="K34" s="450" t="s">
        <v>599</v>
      </c>
      <c r="L34" s="447">
        <v>8293000</v>
      </c>
      <c r="M34" s="447">
        <v>6562634</v>
      </c>
      <c r="N34" s="448">
        <v>-0.20865380441336068</v>
      </c>
    </row>
    <row r="35" spans="2:15" ht="15.6" thickBot="1">
      <c r="B35" s="456" t="s">
        <v>608</v>
      </c>
      <c r="C35" s="452" t="s">
        <v>599</v>
      </c>
      <c r="D35" s="452" t="s">
        <v>599</v>
      </c>
      <c r="E35" s="454" t="s">
        <v>599</v>
      </c>
      <c r="F35" s="453" t="s">
        <v>599</v>
      </c>
      <c r="G35" s="453" t="s">
        <v>599</v>
      </c>
      <c r="H35" s="465" t="s">
        <v>599</v>
      </c>
      <c r="I35" s="452" t="s">
        <v>599</v>
      </c>
      <c r="J35" s="452" t="s">
        <v>599</v>
      </c>
      <c r="K35" s="454" t="s">
        <v>599</v>
      </c>
      <c r="L35" s="453">
        <v>19800000</v>
      </c>
      <c r="M35" s="453">
        <v>21100000</v>
      </c>
      <c r="N35" s="455">
        <v>6.5656565656565663E-2</v>
      </c>
    </row>
    <row r="36" spans="2:15" ht="15.6" thickBot="1">
      <c r="B36" s="458" t="s">
        <v>609</v>
      </c>
      <c r="C36" s="467" t="s">
        <v>599</v>
      </c>
      <c r="D36" s="467" t="s">
        <v>599</v>
      </c>
      <c r="E36" s="469" t="s">
        <v>599</v>
      </c>
      <c r="F36" s="470">
        <v>252225</v>
      </c>
      <c r="G36" s="470">
        <v>355440</v>
      </c>
      <c r="H36" s="465">
        <v>0.40921796015462386</v>
      </c>
      <c r="I36" s="449">
        <v>252225</v>
      </c>
      <c r="J36" s="449">
        <v>353215</v>
      </c>
      <c r="K36" s="450">
        <v>0.40039647140449997</v>
      </c>
      <c r="L36" s="472">
        <v>26600000</v>
      </c>
      <c r="M36" s="472">
        <v>39646497</v>
      </c>
      <c r="N36" s="473"/>
    </row>
    <row r="37" spans="2:15" ht="15.4">
      <c r="B37" s="474" t="s">
        <v>602</v>
      </c>
      <c r="C37" s="475">
        <v>5986455.6106217653</v>
      </c>
      <c r="D37" s="476">
        <v>6414193.106306633</v>
      </c>
      <c r="E37" s="477">
        <v>7.145087569444819E-2</v>
      </c>
      <c r="F37" s="478">
        <v>3941924.1839647456</v>
      </c>
      <c r="G37" s="479">
        <v>4134421.9388248818</v>
      </c>
      <c r="H37" s="480">
        <v>4.8833449319799951E-2</v>
      </c>
      <c r="I37" s="484">
        <v>3883980</v>
      </c>
      <c r="J37" s="484">
        <v>2097189.8654847639</v>
      </c>
      <c r="K37" s="484">
        <v>-0.46004102351588733</v>
      </c>
      <c r="L37" s="481">
        <v>908159989</v>
      </c>
      <c r="M37" s="481">
        <v>897644651</v>
      </c>
      <c r="N37" s="482">
        <v>-1.1578728558146158E-2</v>
      </c>
      <c r="O37" s="483"/>
    </row>
  </sheetData>
  <mergeCells count="10">
    <mergeCell ref="B2:N2"/>
    <mergeCell ref="C3:E3"/>
    <mergeCell ref="F3:H3"/>
    <mergeCell ref="L3:N3"/>
    <mergeCell ref="I3:K3"/>
    <mergeCell ref="B23:N23"/>
    <mergeCell ref="C24:E24"/>
    <mergeCell ref="F24:H24"/>
    <mergeCell ref="L24:N24"/>
    <mergeCell ref="I24:K24"/>
  </mergeCells>
  <pageMargins left="0.43307086614173229" right="0.43307086614173229" top="1.3385826771653544" bottom="0.74803149606299213" header="0.31496062992125984" footer="0.31496062992125984"/>
  <pageSetup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E1EF-5A49-400C-A6F7-5FC71206226B}">
  <sheetPr>
    <tabColor theme="9"/>
  </sheetPr>
  <dimension ref="A2:Q40"/>
  <sheetViews>
    <sheetView showGridLines="0" topLeftCell="A4" zoomScale="180" zoomScaleNormal="180" workbookViewId="0">
      <selection activeCell="A16" sqref="A16"/>
    </sheetView>
  </sheetViews>
  <sheetFormatPr defaultColWidth="3.7109375" defaultRowHeight="14.45"/>
  <cols>
    <col min="1" max="1" width="1.7109375" customWidth="1"/>
    <col min="2" max="2" width="17.140625" customWidth="1"/>
    <col min="3" max="4" width="9.42578125" customWidth="1"/>
    <col min="5" max="5" width="11.140625" bestFit="1" customWidth="1"/>
    <col min="6" max="6" width="9.7109375" customWidth="1"/>
    <col min="7" max="7" width="7.42578125" bestFit="1" customWidth="1"/>
    <col min="8" max="8" width="11.140625" bestFit="1" customWidth="1"/>
    <col min="9" max="9" width="7.42578125" hidden="1" customWidth="1"/>
    <col min="10" max="10" width="19.5703125" customWidth="1"/>
    <col min="11" max="11" width="11.140625" hidden="1" customWidth="1"/>
    <col min="12" max="14" width="9.5703125" customWidth="1"/>
    <col min="15" max="15" width="11.140625" bestFit="1" customWidth="1"/>
    <col min="16" max="16" width="2.42578125" customWidth="1"/>
    <col min="17" max="17" width="3.7109375" customWidth="1"/>
    <col min="18" max="18" width="1.28515625" customWidth="1"/>
    <col min="20" max="20" width="7.7109375" bestFit="1" customWidth="1"/>
    <col min="22" max="22" width="9.7109375" bestFit="1" customWidth="1"/>
  </cols>
  <sheetData>
    <row r="2" spans="2:17" s="90" customFormat="1" ht="30.6">
      <c r="B2" s="589" t="s">
        <v>586</v>
      </c>
      <c r="C2" s="589"/>
      <c r="D2" s="589"/>
      <c r="E2" s="589"/>
      <c r="F2" s="589"/>
      <c r="G2" s="589"/>
      <c r="H2" s="589"/>
      <c r="I2" s="589"/>
      <c r="J2" s="589"/>
      <c r="K2" s="589"/>
      <c r="L2" s="589"/>
      <c r="M2" s="589"/>
      <c r="N2" s="589"/>
      <c r="O2" s="589"/>
    </row>
    <row r="3" spans="2:17" ht="22.7" customHeight="1" thickBot="1">
      <c r="B3" s="434"/>
      <c r="C3" s="590" t="s">
        <v>587</v>
      </c>
      <c r="D3" s="591"/>
      <c r="E3" s="592"/>
      <c r="F3" s="593" t="s">
        <v>588</v>
      </c>
      <c r="G3" s="594"/>
      <c r="H3" s="595"/>
      <c r="I3" s="598" t="s">
        <v>589</v>
      </c>
      <c r="J3" s="599"/>
      <c r="K3" s="600"/>
      <c r="L3" s="596" t="s">
        <v>590</v>
      </c>
      <c r="M3" s="597"/>
      <c r="N3" s="597"/>
      <c r="O3" s="597"/>
    </row>
    <row r="4" spans="2:17" ht="15.6" thickBot="1">
      <c r="B4" s="435" t="s">
        <v>591</v>
      </c>
      <c r="C4" s="436">
        <v>2025</v>
      </c>
      <c r="D4" s="436">
        <v>2026</v>
      </c>
      <c r="E4" s="436" t="s">
        <v>592</v>
      </c>
      <c r="F4" s="437">
        <v>2025</v>
      </c>
      <c r="G4" s="437">
        <v>2026</v>
      </c>
      <c r="H4" s="437" t="s">
        <v>592</v>
      </c>
      <c r="I4" s="440">
        <v>2025</v>
      </c>
      <c r="J4" s="513">
        <v>2026</v>
      </c>
      <c r="K4" s="440" t="s">
        <v>592</v>
      </c>
      <c r="L4" s="438">
        <v>2025</v>
      </c>
      <c r="M4" s="438" t="s">
        <v>610</v>
      </c>
      <c r="N4" s="514" t="s">
        <v>611</v>
      </c>
      <c r="O4" s="439" t="s">
        <v>592</v>
      </c>
    </row>
    <row r="5" spans="2:17" ht="15.6" thickBot="1">
      <c r="B5" s="441" t="s">
        <v>594</v>
      </c>
      <c r="C5" s="442">
        <v>3645045</v>
      </c>
      <c r="D5" s="443">
        <f>tblPiNAnalysis[[#Totals],[Shelter]]</f>
        <v>264312</v>
      </c>
      <c r="E5" s="444">
        <f>(D5-C5)/C5</f>
        <v>-0.92748731497142012</v>
      </c>
      <c r="F5" s="445">
        <v>525302</v>
      </c>
      <c r="G5" s="445">
        <f>tblPiNAnalysis5[[#Totals],[Shelter]]</f>
        <v>411578.90000000014</v>
      </c>
      <c r="H5" s="446">
        <f>(G5-F5)/F5</f>
        <v>-0.21649089476148931</v>
      </c>
      <c r="I5" s="449">
        <v>482652</v>
      </c>
      <c r="J5" s="449">
        <f>tblPiNAnalysis5[[#Totals],[Shelter_PRI]]</f>
        <v>406690</v>
      </c>
      <c r="K5" s="450">
        <f>(J5-I5)/I5</f>
        <v>-0.15738461665962225</v>
      </c>
      <c r="L5" s="447">
        <v>78000000</v>
      </c>
      <c r="M5" s="447">
        <f>49300000</f>
        <v>49300000</v>
      </c>
      <c r="N5" s="511">
        <v>48494360</v>
      </c>
      <c r="O5" s="448">
        <f>(M5-L5)/L5</f>
        <v>-0.36794871794871797</v>
      </c>
      <c r="Q5" s="509"/>
    </row>
    <row r="6" spans="2:17" ht="15.6" thickBot="1">
      <c r="B6" s="451" t="s">
        <v>98</v>
      </c>
      <c r="C6" s="452">
        <v>1054487</v>
      </c>
      <c r="D6" s="453">
        <f>tblPiNAnalysis[[#Totals],[CCCM]]</f>
        <v>250951.5</v>
      </c>
      <c r="E6" s="454">
        <f>(D6-C6)/C6</f>
        <v>-0.76201555827620449</v>
      </c>
      <c r="F6" s="453">
        <v>332544</v>
      </c>
      <c r="G6" s="453">
        <f>tblPiNAnalysis5[[#Totals],[CCCM]]</f>
        <v>571841</v>
      </c>
      <c r="H6" s="454">
        <f>(G6-F6)/F6</f>
        <v>0.71959500096227869</v>
      </c>
      <c r="I6" s="452">
        <v>332544</v>
      </c>
      <c r="J6" s="452">
        <f>tblPiNAnalysis5[[#Totals],[CCCM_PRI]]</f>
        <v>211841</v>
      </c>
      <c r="K6" s="454">
        <f t="shared" ref="K6:K12" si="0">(J6-I6)/I6</f>
        <v>-0.36296850943033104</v>
      </c>
      <c r="L6" s="453">
        <v>12300000</v>
      </c>
      <c r="M6" s="453">
        <v>17000000</v>
      </c>
      <c r="N6" s="505">
        <v>17000000</v>
      </c>
      <c r="O6" s="455">
        <f>(M6-L6)/L6</f>
        <v>0.38211382113821141</v>
      </c>
      <c r="Q6" s="510"/>
    </row>
    <row r="7" spans="2:17" ht="15.6" thickBot="1">
      <c r="B7" s="456" t="s">
        <v>58</v>
      </c>
      <c r="C7" s="442">
        <v>1453568</v>
      </c>
      <c r="D7" s="443">
        <f>tblPiNAnalysis[[#Totals],[Education]]</f>
        <v>134265</v>
      </c>
      <c r="E7" s="444">
        <f>(D7-C7)/C7</f>
        <v>-0.90763074035752023</v>
      </c>
      <c r="F7" s="457">
        <v>1002773</v>
      </c>
      <c r="G7" s="457">
        <f>tblPiNAnalysis5[[#Totals],[Education]]</f>
        <v>982031</v>
      </c>
      <c r="H7" s="446">
        <f>(G7-F7)/F7</f>
        <v>-2.0684641489150585E-2</v>
      </c>
      <c r="I7" s="449">
        <v>274898</v>
      </c>
      <c r="J7" s="449">
        <f>tblPiNAnalysis5[[#Totals],[Education_PRI]]</f>
        <v>746905</v>
      </c>
      <c r="K7" s="450">
        <f t="shared" si="0"/>
        <v>1.7170259514438082</v>
      </c>
      <c r="L7" s="447">
        <v>61626718</v>
      </c>
      <c r="M7" s="447">
        <v>61727200</v>
      </c>
      <c r="N7" s="511">
        <v>53000000</v>
      </c>
      <c r="O7" s="448">
        <f>(M7-L7)/L7</f>
        <v>1.6304940983551972E-3</v>
      </c>
      <c r="Q7" s="510"/>
    </row>
    <row r="8" spans="2:17" ht="15.6" thickBot="1">
      <c r="B8" s="458" t="s">
        <v>595</v>
      </c>
      <c r="C8" s="452">
        <v>3854001.6722176778</v>
      </c>
      <c r="D8" s="453">
        <f>tblPiNAnalysis[[#Totals],[WASH]]</f>
        <v>235216.5</v>
      </c>
      <c r="E8" s="454">
        <f>(D8-C8)/C8</f>
        <v>-0.93896824132288159</v>
      </c>
      <c r="F8" s="453">
        <v>1842299.5725089118</v>
      </c>
      <c r="G8" s="453">
        <f>tblPiNAnalysis5[[#Totals],[WASH]]</f>
        <v>1403112.5592587758</v>
      </c>
      <c r="H8" s="454">
        <f>(G8-F8)/F8</f>
        <v>-0.2383906612169675</v>
      </c>
      <c r="I8" s="452">
        <v>1249281</v>
      </c>
      <c r="J8" s="452">
        <f>tblPiNAnalysis5[[#Totals],[WASH_PRI]]</f>
        <v>1378070.0691597657</v>
      </c>
      <c r="K8" s="454">
        <f t="shared" si="0"/>
        <v>0.10309055301390618</v>
      </c>
      <c r="L8" s="453">
        <v>87000000</v>
      </c>
      <c r="M8" s="453">
        <v>72000000</v>
      </c>
      <c r="N8" s="505"/>
      <c r="O8" s="455">
        <f t="shared" ref="O8:O16" si="1">(M8-L8)/L8</f>
        <v>-0.17241379310344829</v>
      </c>
      <c r="Q8" s="512"/>
    </row>
    <row r="9" spans="2:17" ht="15.6" thickBot="1">
      <c r="B9" s="451" t="s">
        <v>60</v>
      </c>
      <c r="C9" s="459">
        <v>1170492</v>
      </c>
      <c r="D9" s="460">
        <f>tblPiNAnalysis[[#Totals],[Nutrition]]</f>
        <v>134269</v>
      </c>
      <c r="E9" s="461">
        <f t="shared" ref="E9:E16" si="2">(D9-C9)/C9</f>
        <v>-0.88528840863500136</v>
      </c>
      <c r="F9" s="445">
        <v>905914</v>
      </c>
      <c r="G9" s="445">
        <f>tblPiNAnalysis5[[#Totals],[Nutrition]]</f>
        <v>946258</v>
      </c>
      <c r="H9" s="446">
        <f t="shared" ref="H9:H16" si="3">(G9-F9)/F9</f>
        <v>4.4534028616402883E-2</v>
      </c>
      <c r="I9" s="449">
        <v>681681</v>
      </c>
      <c r="J9" s="449">
        <f>tblPiNAnalysis5[[#Totals],[Nutrition_PRI]]</f>
        <v>718329</v>
      </c>
      <c r="K9" s="450">
        <f t="shared" si="0"/>
        <v>5.3761216756811468E-2</v>
      </c>
      <c r="L9" s="447">
        <v>39900000</v>
      </c>
      <c r="M9" s="447">
        <v>40667320</v>
      </c>
      <c r="N9" s="511">
        <v>37097950</v>
      </c>
      <c r="O9" s="448">
        <f t="shared" si="1"/>
        <v>1.9231077694235588E-2</v>
      </c>
      <c r="Q9" s="510"/>
    </row>
    <row r="10" spans="2:17" ht="15.6" thickBot="1">
      <c r="B10" s="456" t="s">
        <v>101</v>
      </c>
      <c r="C10" s="452">
        <v>2160007</v>
      </c>
      <c r="D10" s="453">
        <f>tblPiNAnalysis[[#Totals],[Protection]]</f>
        <v>282517.61666666664</v>
      </c>
      <c r="E10" s="454">
        <f t="shared" si="2"/>
        <v>-0.86920523097070213</v>
      </c>
      <c r="F10" s="453">
        <v>1458534</v>
      </c>
      <c r="G10" s="453">
        <f>tblPiNAnalysis5[[#Totals],[Protection]]</f>
        <v>1370000</v>
      </c>
      <c r="H10" s="454">
        <f t="shared" si="3"/>
        <v>-6.0700676158389179E-2</v>
      </c>
      <c r="I10" s="452">
        <v>1234406</v>
      </c>
      <c r="J10" s="452">
        <f>tblPiNAnalysis5[[#Totals],[Protection_PRI]]</f>
        <v>0</v>
      </c>
      <c r="K10" s="454">
        <f t="shared" si="0"/>
        <v>-1</v>
      </c>
      <c r="L10" s="453">
        <v>106140271</v>
      </c>
      <c r="M10" s="453">
        <v>96941000</v>
      </c>
      <c r="N10" s="505"/>
      <c r="O10" s="455">
        <f t="shared" si="1"/>
        <v>-8.667088291116197E-2</v>
      </c>
      <c r="Q10" s="512"/>
    </row>
    <row r="11" spans="2:17" ht="15.6" thickBot="1">
      <c r="B11" s="456" t="s">
        <v>596</v>
      </c>
      <c r="C11" s="462">
        <v>4214625</v>
      </c>
      <c r="D11" s="463">
        <f>tblPiNAnalysis[[#Totals],[Health]]</f>
        <v>841561.98309332819</v>
      </c>
      <c r="E11" s="464">
        <f t="shared" si="2"/>
        <v>-0.8003234017039883</v>
      </c>
      <c r="F11" s="457">
        <v>1993967</v>
      </c>
      <c r="G11" s="457">
        <f>tblPiNAnalysis5[[#Totals],[Health]]</f>
        <v>2710789.852567446</v>
      </c>
      <c r="H11" s="446">
        <f t="shared" si="3"/>
        <v>0.35949584550167879</v>
      </c>
      <c r="I11" s="449">
        <v>1645625</v>
      </c>
      <c r="J11" s="449">
        <f>tblPiNAnalysis5[[#Totals],[Health_PRI]]</f>
        <v>1856969.1898226449</v>
      </c>
      <c r="K11" s="450">
        <f t="shared" si="0"/>
        <v>0.12842791633734596</v>
      </c>
      <c r="L11" s="447">
        <v>43500000</v>
      </c>
      <c r="M11" s="447">
        <v>69200000</v>
      </c>
      <c r="N11" s="511"/>
      <c r="O11" s="448">
        <f t="shared" si="1"/>
        <v>0.59080459770114946</v>
      </c>
      <c r="Q11" s="512"/>
    </row>
    <row r="12" spans="2:17" ht="15.6" thickBot="1">
      <c r="B12" s="458" t="s">
        <v>597</v>
      </c>
      <c r="C12" s="452">
        <v>5535548</v>
      </c>
      <c r="D12" s="453">
        <f>tblPiNAnalysis[[#Totals],[Food Security]]</f>
        <v>381940</v>
      </c>
      <c r="E12" s="465">
        <f t="shared" si="2"/>
        <v>-0.93100231449533088</v>
      </c>
      <c r="F12" s="453">
        <v>3436159</v>
      </c>
      <c r="G12" s="453">
        <f>tblPiNAnalysis5[[#Totals],[Food Security]]</f>
        <v>3529354</v>
      </c>
      <c r="H12" s="465">
        <f t="shared" si="3"/>
        <v>2.7121853208771772E-2</v>
      </c>
      <c r="I12" s="452">
        <v>3436159</v>
      </c>
      <c r="J12" s="452">
        <f>tblPiNAnalysis5[[#Totals],[Food Security_PRI]]</f>
        <v>2441149</v>
      </c>
      <c r="K12" s="465">
        <f t="shared" si="0"/>
        <v>-0.28957041859820803</v>
      </c>
      <c r="L12" s="453">
        <v>425000000</v>
      </c>
      <c r="M12" s="453">
        <v>423500000</v>
      </c>
      <c r="N12" s="505"/>
      <c r="O12" s="466">
        <f t="shared" si="1"/>
        <v>-3.5294117647058825E-3</v>
      </c>
      <c r="Q12" s="512"/>
    </row>
    <row r="13" spans="2:17" ht="15.6" thickBot="1">
      <c r="B13" s="451" t="s">
        <v>598</v>
      </c>
      <c r="C13" s="442" t="s">
        <v>599</v>
      </c>
      <c r="D13" s="443" t="s">
        <v>599</v>
      </c>
      <c r="E13" s="444" t="s">
        <v>599</v>
      </c>
      <c r="F13" s="457" t="s">
        <v>599</v>
      </c>
      <c r="G13" s="457" t="s">
        <v>599</v>
      </c>
      <c r="H13" s="446" t="s">
        <v>599</v>
      </c>
      <c r="I13" s="449" t="s">
        <v>599</v>
      </c>
      <c r="J13" s="449" t="s">
        <v>599</v>
      </c>
      <c r="K13" s="450" t="s">
        <v>599</v>
      </c>
      <c r="L13" s="447">
        <v>8293000</v>
      </c>
      <c r="M13" s="447">
        <f>4724634+1200000+195000+150000+143000+300000</f>
        <v>6712634</v>
      </c>
      <c r="N13" s="511">
        <v>6712634</v>
      </c>
      <c r="O13" s="448">
        <f t="shared" si="1"/>
        <v>-0.19056626070179669</v>
      </c>
      <c r="Q13" s="509"/>
    </row>
    <row r="14" spans="2:17" ht="15.6" thickBot="1">
      <c r="B14" s="456" t="s">
        <v>600</v>
      </c>
      <c r="C14" s="452" t="s">
        <v>599</v>
      </c>
      <c r="D14" s="453" t="s">
        <v>599</v>
      </c>
      <c r="E14" s="454" t="s">
        <v>599</v>
      </c>
      <c r="F14" s="453" t="s">
        <v>599</v>
      </c>
      <c r="G14" s="453" t="s">
        <v>599</v>
      </c>
      <c r="H14" s="454" t="s">
        <v>599</v>
      </c>
      <c r="I14" s="452" t="s">
        <v>599</v>
      </c>
      <c r="J14" s="452" t="s">
        <v>599</v>
      </c>
      <c r="K14" s="454" t="s">
        <v>599</v>
      </c>
      <c r="L14" s="453">
        <v>19800000</v>
      </c>
      <c r="M14" s="453">
        <v>21100000</v>
      </c>
      <c r="N14" s="505">
        <v>21100000</v>
      </c>
      <c r="O14" s="455">
        <f t="shared" si="1"/>
        <v>6.5656565656565663E-2</v>
      </c>
      <c r="Q14" s="509"/>
    </row>
    <row r="15" spans="2:17" ht="15.6" thickBot="1">
      <c r="B15" s="456" t="s">
        <v>601</v>
      </c>
      <c r="C15" s="467" t="s">
        <v>599</v>
      </c>
      <c r="D15" s="468" t="s">
        <v>599</v>
      </c>
      <c r="E15" s="469" t="s">
        <v>599</v>
      </c>
      <c r="F15" s="470">
        <v>252225</v>
      </c>
      <c r="G15" s="470">
        <v>353215</v>
      </c>
      <c r="H15" s="471">
        <f t="shared" si="3"/>
        <v>0.40039647140449997</v>
      </c>
      <c r="I15" s="449">
        <v>252225</v>
      </c>
      <c r="J15" s="449">
        <v>353215</v>
      </c>
      <c r="K15" s="450">
        <f t="shared" ref="K15:K16" si="4">(J15-I15)/I15</f>
        <v>0.40039647140449997</v>
      </c>
      <c r="L15" s="472">
        <v>26600000</v>
      </c>
      <c r="M15" s="472">
        <v>37299511</v>
      </c>
      <c r="N15" s="511">
        <v>37299511</v>
      </c>
      <c r="O15" s="473">
        <f t="shared" si="1"/>
        <v>0.40223725563909773</v>
      </c>
      <c r="Q15" s="509"/>
    </row>
    <row r="16" spans="2:17" ht="15.4">
      <c r="B16" s="474" t="s">
        <v>602</v>
      </c>
      <c r="C16" s="476">
        <v>5986455.6106217653</v>
      </c>
      <c r="D16" s="476">
        <f>tblPiNAnalysis[[#Totals],[Final PiN]]</f>
        <v>429408.89144608658</v>
      </c>
      <c r="E16" s="477">
        <f t="shared" si="2"/>
        <v>-0.92826992808830211</v>
      </c>
      <c r="F16" s="478">
        <v>3941924.1839647456</v>
      </c>
      <c r="G16" s="478">
        <f>tblPiNAnalysis5[[#Totals],[Final TARGET]]</f>
        <v>4134421.9388248818</v>
      </c>
      <c r="H16" s="480">
        <f t="shared" si="3"/>
        <v>4.8833449319799951E-2</v>
      </c>
      <c r="I16" s="484">
        <v>3883980</v>
      </c>
      <c r="J16" s="508">
        <f>tblPiNAnalysis5[[#Totals],[FINAL PRIORITIZATION]]</f>
        <v>3528611.685462412</v>
      </c>
      <c r="K16" s="506">
        <f t="shared" si="4"/>
        <v>-9.1495917728100562E-2</v>
      </c>
      <c r="L16" s="481">
        <f>SUM(L5:L15)</f>
        <v>908159989</v>
      </c>
      <c r="M16" s="481">
        <f>SUM(M5:M15)</f>
        <v>895447665</v>
      </c>
      <c r="N16" s="508">
        <f>SUM(N5:N15)</f>
        <v>220704455</v>
      </c>
      <c r="O16" s="482">
        <f t="shared" si="1"/>
        <v>-1.3997890409153448E-2</v>
      </c>
      <c r="P16" s="483"/>
    </row>
    <row r="18" spans="1:16">
      <c r="M18" t="s">
        <v>612</v>
      </c>
    </row>
    <row r="19" spans="1:16">
      <c r="M19" t="s">
        <v>613</v>
      </c>
      <c r="O19" s="19"/>
    </row>
    <row r="20" spans="1:16" ht="9" customHeight="1"/>
    <row r="23" spans="1:16" ht="30.6">
      <c r="A23" s="90"/>
      <c r="B23" s="589" t="s">
        <v>603</v>
      </c>
      <c r="C23" s="589"/>
      <c r="D23" s="589"/>
      <c r="E23" s="589"/>
      <c r="F23" s="589"/>
      <c r="G23" s="589"/>
      <c r="H23" s="589"/>
      <c r="I23" s="589"/>
      <c r="J23" s="589"/>
      <c r="K23" s="589"/>
      <c r="L23" s="589"/>
      <c r="M23" s="589"/>
      <c r="N23" s="589"/>
      <c r="O23" s="589"/>
      <c r="P23" s="90"/>
    </row>
    <row r="24" spans="1:16" ht="22.5" thickBot="1">
      <c r="B24" s="434"/>
      <c r="C24" s="590" t="s">
        <v>501</v>
      </c>
      <c r="D24" s="591"/>
      <c r="E24" s="592"/>
      <c r="F24" s="593" t="s">
        <v>604</v>
      </c>
      <c r="G24" s="594"/>
      <c r="H24" s="595"/>
      <c r="I24" s="598" t="s">
        <v>497</v>
      </c>
      <c r="J24" s="599"/>
      <c r="K24" s="600"/>
      <c r="L24" s="596" t="s">
        <v>590</v>
      </c>
      <c r="M24" s="597"/>
      <c r="N24" s="597"/>
      <c r="O24" s="597"/>
    </row>
    <row r="25" spans="1:16" ht="15.6" thickBot="1">
      <c r="B25" s="435" t="s">
        <v>605</v>
      </c>
      <c r="C25" s="436">
        <v>2025</v>
      </c>
      <c r="D25" s="436">
        <v>2026</v>
      </c>
      <c r="E25" s="436" t="s">
        <v>592</v>
      </c>
      <c r="F25" s="437">
        <v>2025</v>
      </c>
      <c r="G25" s="437">
        <v>2026</v>
      </c>
      <c r="H25" s="437" t="s">
        <v>592</v>
      </c>
      <c r="I25" s="440">
        <v>2025</v>
      </c>
      <c r="J25" s="513">
        <v>2026</v>
      </c>
      <c r="K25" s="440" t="s">
        <v>592</v>
      </c>
      <c r="L25" s="438">
        <v>2025</v>
      </c>
      <c r="M25" s="438" t="s">
        <v>610</v>
      </c>
      <c r="N25" s="514" t="s">
        <v>611</v>
      </c>
      <c r="O25" s="439" t="s">
        <v>592</v>
      </c>
    </row>
    <row r="26" spans="1:16" ht="15.6" thickBot="1">
      <c r="B26" s="441" t="s">
        <v>98</v>
      </c>
      <c r="C26" s="442">
        <f>C6</f>
        <v>1054487</v>
      </c>
      <c r="D26" s="442">
        <f>D6</f>
        <v>250951.5</v>
      </c>
      <c r="E26" s="444">
        <f>(D26-C26)/C26</f>
        <v>-0.76201555827620449</v>
      </c>
      <c r="F26" s="445">
        <f>F6</f>
        <v>332544</v>
      </c>
      <c r="G26" s="445">
        <f>G6</f>
        <v>571841</v>
      </c>
      <c r="H26" s="446">
        <f>(G26-F26)/F26</f>
        <v>0.71959500096227869</v>
      </c>
      <c r="I26" s="449">
        <f>I6</f>
        <v>332544</v>
      </c>
      <c r="J26" s="449">
        <f>J6</f>
        <v>211841</v>
      </c>
      <c r="K26" s="450">
        <f>(J26-I26)/I26</f>
        <v>-0.36296850943033104</v>
      </c>
      <c r="L26" s="447">
        <f t="shared" ref="L26:N27" si="5">L6</f>
        <v>12300000</v>
      </c>
      <c r="M26" s="447">
        <f t="shared" si="5"/>
        <v>17000000</v>
      </c>
      <c r="N26" s="449">
        <f t="shared" si="5"/>
        <v>17000000</v>
      </c>
      <c r="O26" s="448">
        <f>(M26-L26)/L26</f>
        <v>0.38211382113821141</v>
      </c>
    </row>
    <row r="27" spans="1:16" ht="15.6" thickBot="1">
      <c r="B27" s="451" t="s">
        <v>58</v>
      </c>
      <c r="C27" s="452">
        <f>C7</f>
        <v>1453568</v>
      </c>
      <c r="D27" s="452">
        <f>D7</f>
        <v>134265</v>
      </c>
      <c r="E27" s="454">
        <f>(D27-C27)/C27</f>
        <v>-0.90763074035752023</v>
      </c>
      <c r="F27" s="453">
        <f>F7</f>
        <v>1002773</v>
      </c>
      <c r="G27" s="453">
        <f>G7</f>
        <v>982031</v>
      </c>
      <c r="H27" s="454">
        <f>(G27-F27)/F27</f>
        <v>-2.0684641489150585E-2</v>
      </c>
      <c r="I27" s="452">
        <f>I7</f>
        <v>274898</v>
      </c>
      <c r="J27" s="452">
        <f>J7</f>
        <v>746905</v>
      </c>
      <c r="K27" s="454">
        <f t="shared" ref="K27:K33" si="6">(J27-I27)/I27</f>
        <v>1.7170259514438082</v>
      </c>
      <c r="L27" s="453">
        <f t="shared" si="5"/>
        <v>61626718</v>
      </c>
      <c r="M27" s="453">
        <f t="shared" si="5"/>
        <v>61727200</v>
      </c>
      <c r="N27" s="453">
        <f t="shared" si="5"/>
        <v>53000000</v>
      </c>
      <c r="O27" s="455">
        <f>(M27-L27)/L27</f>
        <v>1.6304940983551972E-3</v>
      </c>
    </row>
    <row r="28" spans="1:16" ht="15.6" thickBot="1">
      <c r="B28" s="456" t="s">
        <v>606</v>
      </c>
      <c r="C28" s="442">
        <f>C12</f>
        <v>5535548</v>
      </c>
      <c r="D28" s="442">
        <f>D12</f>
        <v>381940</v>
      </c>
      <c r="E28" s="444">
        <f>(D28-C28)/C28</f>
        <v>-0.93100231449533088</v>
      </c>
      <c r="F28" s="457">
        <f>F12</f>
        <v>3436159</v>
      </c>
      <c r="G28" s="457">
        <f>G12</f>
        <v>3529354</v>
      </c>
      <c r="H28" s="446">
        <f>(G28-F28)/F28</f>
        <v>2.7121853208771772E-2</v>
      </c>
      <c r="I28" s="449">
        <f>I12</f>
        <v>3436159</v>
      </c>
      <c r="J28" s="449">
        <f>J12</f>
        <v>2441149</v>
      </c>
      <c r="K28" s="450">
        <f t="shared" si="6"/>
        <v>-0.28957041859820803</v>
      </c>
      <c r="L28" s="447">
        <f>L12</f>
        <v>425000000</v>
      </c>
      <c r="M28" s="447">
        <f>M12</f>
        <v>423500000</v>
      </c>
      <c r="N28" s="449">
        <f>N12</f>
        <v>0</v>
      </c>
      <c r="O28" s="448">
        <f>(M28-L28)/L28</f>
        <v>-3.5294117647058825E-3</v>
      </c>
    </row>
    <row r="29" spans="1:16" ht="15.6" thickBot="1">
      <c r="B29" s="458" t="s">
        <v>100</v>
      </c>
      <c r="C29" s="452">
        <f>C11</f>
        <v>4214625</v>
      </c>
      <c r="D29" s="452">
        <f>D11</f>
        <v>841561.98309332819</v>
      </c>
      <c r="E29" s="454">
        <f>(D29-C29)/C29</f>
        <v>-0.8003234017039883</v>
      </c>
      <c r="F29" s="453">
        <f>F11</f>
        <v>1993967</v>
      </c>
      <c r="G29" s="453">
        <f>G11</f>
        <v>2710789.852567446</v>
      </c>
      <c r="H29" s="454">
        <f>(G29-F29)/F29</f>
        <v>0.35949584550167879</v>
      </c>
      <c r="I29" s="452">
        <f>I11</f>
        <v>1645625</v>
      </c>
      <c r="J29" s="452">
        <f>J11</f>
        <v>1856969.1898226449</v>
      </c>
      <c r="K29" s="454">
        <f t="shared" si="6"/>
        <v>0.12842791633734596</v>
      </c>
      <c r="L29" s="453">
        <f>L11</f>
        <v>43500000</v>
      </c>
      <c r="M29" s="453">
        <f>M11</f>
        <v>69200000</v>
      </c>
      <c r="N29" s="453">
        <f>N11</f>
        <v>0</v>
      </c>
      <c r="O29" s="455">
        <f t="shared" ref="O29:O35" si="7">(M29-L29)/L29</f>
        <v>0.59080459770114946</v>
      </c>
    </row>
    <row r="30" spans="1:16" ht="15.6" thickBot="1">
      <c r="B30" s="451" t="s">
        <v>60</v>
      </c>
      <c r="C30" s="459">
        <f>C9</f>
        <v>1170492</v>
      </c>
      <c r="D30" s="459">
        <f>D9</f>
        <v>134269</v>
      </c>
      <c r="E30" s="461">
        <f t="shared" ref="E30:E33" si="8">(D30-C30)/C30</f>
        <v>-0.88528840863500136</v>
      </c>
      <c r="F30" s="445">
        <f>F9</f>
        <v>905914</v>
      </c>
      <c r="G30" s="445">
        <f>G9</f>
        <v>946258</v>
      </c>
      <c r="H30" s="446">
        <f t="shared" ref="H30:H37" si="9">(G30-F30)/F30</f>
        <v>4.4534028616402883E-2</v>
      </c>
      <c r="I30" s="449">
        <f>I9</f>
        <v>681681</v>
      </c>
      <c r="J30" s="449">
        <f>J9</f>
        <v>718329</v>
      </c>
      <c r="K30" s="450">
        <f t="shared" si="6"/>
        <v>5.3761216756811468E-2</v>
      </c>
      <c r="L30" s="447">
        <f t="shared" ref="L30:N31" si="10">L9</f>
        <v>39900000</v>
      </c>
      <c r="M30" s="447">
        <f t="shared" si="10"/>
        <v>40667320</v>
      </c>
      <c r="N30" s="449">
        <f t="shared" si="10"/>
        <v>37097950</v>
      </c>
      <c r="O30" s="448">
        <f t="shared" si="7"/>
        <v>1.9231077694235588E-2</v>
      </c>
    </row>
    <row r="31" spans="1:16" ht="15.6" thickBot="1">
      <c r="B31" s="456" t="s">
        <v>101</v>
      </c>
      <c r="C31" s="452">
        <f>C10</f>
        <v>2160007</v>
      </c>
      <c r="D31" s="452">
        <f>D10</f>
        <v>282517.61666666664</v>
      </c>
      <c r="E31" s="454">
        <f t="shared" si="8"/>
        <v>-0.86920523097070213</v>
      </c>
      <c r="F31" s="453">
        <f>F10</f>
        <v>1458534</v>
      </c>
      <c r="G31" s="453">
        <f>G10</f>
        <v>1370000</v>
      </c>
      <c r="H31" s="454">
        <f t="shared" si="9"/>
        <v>-6.0700676158389179E-2</v>
      </c>
      <c r="I31" s="452">
        <f>I10</f>
        <v>1234406</v>
      </c>
      <c r="J31" s="452">
        <f>J10</f>
        <v>0</v>
      </c>
      <c r="K31" s="454">
        <f t="shared" si="6"/>
        <v>-1</v>
      </c>
      <c r="L31" s="453">
        <f t="shared" si="10"/>
        <v>106140271</v>
      </c>
      <c r="M31" s="453">
        <f t="shared" si="10"/>
        <v>96941000</v>
      </c>
      <c r="N31" s="453">
        <f t="shared" si="10"/>
        <v>0</v>
      </c>
      <c r="O31" s="455">
        <f t="shared" si="7"/>
        <v>-8.667088291116197E-2</v>
      </c>
    </row>
    <row r="32" spans="1:16" ht="15.6" thickBot="1">
      <c r="B32" s="456" t="s">
        <v>607</v>
      </c>
      <c r="C32" s="462">
        <f>C5</f>
        <v>3645045</v>
      </c>
      <c r="D32" s="462">
        <f>D5</f>
        <v>264312</v>
      </c>
      <c r="E32" s="464">
        <f t="shared" si="8"/>
        <v>-0.92748731497142012</v>
      </c>
      <c r="F32" s="457">
        <f>F5</f>
        <v>525302</v>
      </c>
      <c r="G32" s="457">
        <f>G5</f>
        <v>411578.90000000014</v>
      </c>
      <c r="H32" s="446">
        <f t="shared" si="9"/>
        <v>-0.21649089476148931</v>
      </c>
      <c r="I32" s="449">
        <f>I5</f>
        <v>482652</v>
      </c>
      <c r="J32" s="449">
        <f>J5</f>
        <v>406690</v>
      </c>
      <c r="K32" s="450">
        <f t="shared" si="6"/>
        <v>-0.15738461665962225</v>
      </c>
      <c r="L32" s="447">
        <f>L5</f>
        <v>78000000</v>
      </c>
      <c r="M32" s="447">
        <f>M5</f>
        <v>49300000</v>
      </c>
      <c r="N32" s="449">
        <f>N5</f>
        <v>48494360</v>
      </c>
      <c r="O32" s="448">
        <f t="shared" si="7"/>
        <v>-0.36794871794871797</v>
      </c>
    </row>
    <row r="33" spans="2:16" ht="15.6" thickBot="1">
      <c r="B33" s="458" t="s">
        <v>103</v>
      </c>
      <c r="C33" s="452">
        <f>C8</f>
        <v>3854001.6722176778</v>
      </c>
      <c r="D33" s="452">
        <f>D8</f>
        <v>235216.5</v>
      </c>
      <c r="E33" s="465">
        <f t="shared" si="8"/>
        <v>-0.93896824132288159</v>
      </c>
      <c r="F33" s="453">
        <f>F8</f>
        <v>1842299.5725089118</v>
      </c>
      <c r="G33" s="453">
        <f>G8</f>
        <v>1403112.5592587758</v>
      </c>
      <c r="H33" s="465">
        <f t="shared" si="9"/>
        <v>-0.2383906612169675</v>
      </c>
      <c r="I33" s="452">
        <f>I8</f>
        <v>1249281</v>
      </c>
      <c r="J33" s="452">
        <f>J8</f>
        <v>1378070.0691597657</v>
      </c>
      <c r="K33" s="465">
        <f t="shared" si="6"/>
        <v>0.10309055301390618</v>
      </c>
      <c r="L33" s="453">
        <f>L8</f>
        <v>87000000</v>
      </c>
      <c r="M33" s="453">
        <f>M8</f>
        <v>72000000</v>
      </c>
      <c r="N33" s="453">
        <f>N8</f>
        <v>0</v>
      </c>
      <c r="O33" s="466">
        <f t="shared" si="7"/>
        <v>-0.17241379310344829</v>
      </c>
    </row>
    <row r="34" spans="2:16" ht="15.6" thickBot="1">
      <c r="B34" s="451" t="s">
        <v>598</v>
      </c>
      <c r="C34" s="442" t="str">
        <f t="shared" ref="C34:D36" si="11">C13</f>
        <v>-</v>
      </c>
      <c r="D34" s="442" t="str">
        <f t="shared" si="11"/>
        <v>-</v>
      </c>
      <c r="E34" s="444" t="s">
        <v>599</v>
      </c>
      <c r="F34" s="457" t="s">
        <v>599</v>
      </c>
      <c r="G34" s="457" t="s">
        <v>599</v>
      </c>
      <c r="H34" s="457" t="s">
        <v>599</v>
      </c>
      <c r="I34" s="449" t="str">
        <f>I13</f>
        <v>-</v>
      </c>
      <c r="J34" s="449" t="s">
        <v>599</v>
      </c>
      <c r="K34" s="450" t="s">
        <v>599</v>
      </c>
      <c r="L34" s="447">
        <f t="shared" ref="L34:M36" si="12">L13</f>
        <v>8293000</v>
      </c>
      <c r="M34" s="447">
        <f t="shared" si="12"/>
        <v>6712634</v>
      </c>
      <c r="N34" s="449">
        <f t="shared" ref="N34" si="13">N13</f>
        <v>6712634</v>
      </c>
      <c r="O34" s="448">
        <f t="shared" si="7"/>
        <v>-0.19056626070179669</v>
      </c>
    </row>
    <row r="35" spans="2:16" ht="15.6" thickBot="1">
      <c r="B35" s="456" t="s">
        <v>608</v>
      </c>
      <c r="C35" s="452" t="str">
        <f t="shared" si="11"/>
        <v>-</v>
      </c>
      <c r="D35" s="452" t="str">
        <f t="shared" si="11"/>
        <v>-</v>
      </c>
      <c r="E35" s="454" t="s">
        <v>599</v>
      </c>
      <c r="F35" s="453" t="s">
        <v>599</v>
      </c>
      <c r="G35" s="453" t="s">
        <v>599</v>
      </c>
      <c r="H35" s="465" t="s">
        <v>599</v>
      </c>
      <c r="I35" s="452" t="str">
        <f>I14</f>
        <v>-</v>
      </c>
      <c r="J35" s="452" t="s">
        <v>599</v>
      </c>
      <c r="K35" s="454" t="s">
        <v>599</v>
      </c>
      <c r="L35" s="453">
        <f t="shared" si="12"/>
        <v>19800000</v>
      </c>
      <c r="M35" s="453">
        <f t="shared" si="12"/>
        <v>21100000</v>
      </c>
      <c r="N35" s="453">
        <f t="shared" ref="N35" si="14">N14</f>
        <v>21100000</v>
      </c>
      <c r="O35" s="455">
        <f t="shared" si="7"/>
        <v>6.5656565656565663E-2</v>
      </c>
    </row>
    <row r="36" spans="2:16" ht="15.6" thickBot="1">
      <c r="B36" s="458" t="s">
        <v>609</v>
      </c>
      <c r="C36" s="467" t="str">
        <f t="shared" si="11"/>
        <v>-</v>
      </c>
      <c r="D36" s="467" t="str">
        <f t="shared" si="11"/>
        <v>-</v>
      </c>
      <c r="E36" s="469" t="s">
        <v>599</v>
      </c>
      <c r="F36" s="470">
        <f>F15</f>
        <v>252225</v>
      </c>
      <c r="G36" s="470">
        <f>G15</f>
        <v>353215</v>
      </c>
      <c r="H36" s="446">
        <f t="shared" si="9"/>
        <v>0.40039647140449997</v>
      </c>
      <c r="I36" s="449">
        <f>I15</f>
        <v>252225</v>
      </c>
      <c r="J36" s="449">
        <f>J15</f>
        <v>353215</v>
      </c>
      <c r="K36" s="450">
        <f t="shared" ref="K36:K37" si="15">(J36-I36)/I36</f>
        <v>0.40039647140449997</v>
      </c>
      <c r="L36" s="472">
        <f t="shared" si="12"/>
        <v>26600000</v>
      </c>
      <c r="M36" s="472">
        <f t="shared" si="12"/>
        <v>37299511</v>
      </c>
      <c r="N36" s="449">
        <f t="shared" ref="N36" si="16">N15</f>
        <v>37299511</v>
      </c>
      <c r="O36" s="473"/>
    </row>
    <row r="37" spans="2:16" ht="15.4">
      <c r="B37" s="474" t="s">
        <v>602</v>
      </c>
      <c r="C37" s="475">
        <v>5986455.6106217653</v>
      </c>
      <c r="D37" s="476">
        <f>D16</f>
        <v>429408.89144608658</v>
      </c>
      <c r="E37" s="477">
        <f t="shared" ref="E37" si="17">(D37-C37)/C37</f>
        <v>-0.92826992808830211</v>
      </c>
      <c r="F37" s="478">
        <v>3941924.1839647456</v>
      </c>
      <c r="G37" s="479">
        <f>G16</f>
        <v>4134421.9388248818</v>
      </c>
      <c r="H37" s="480">
        <f t="shared" si="9"/>
        <v>4.8833449319799951E-2</v>
      </c>
      <c r="I37" s="484">
        <f>I16</f>
        <v>3883980</v>
      </c>
      <c r="J37" s="508">
        <f>J16</f>
        <v>3528611.685462412</v>
      </c>
      <c r="K37" s="506">
        <f t="shared" si="15"/>
        <v>-9.1495917728100562E-2</v>
      </c>
      <c r="L37" s="481">
        <f>SUM(L26:L36)</f>
        <v>908159989</v>
      </c>
      <c r="M37" s="481">
        <f>M16</f>
        <v>895447665</v>
      </c>
      <c r="N37" s="508">
        <f>N16</f>
        <v>220704455</v>
      </c>
      <c r="O37" s="482">
        <f t="shared" ref="O37" si="18">(M37-L37)/L37</f>
        <v>-1.3997890409153448E-2</v>
      </c>
      <c r="P37" s="483"/>
    </row>
    <row r="39" spans="2:16">
      <c r="M39" t="s">
        <v>612</v>
      </c>
    </row>
    <row r="40" spans="2:16">
      <c r="M40" t="s">
        <v>614</v>
      </c>
    </row>
  </sheetData>
  <mergeCells count="10">
    <mergeCell ref="C24:E24"/>
    <mergeCell ref="F24:H24"/>
    <mergeCell ref="I24:K24"/>
    <mergeCell ref="L24:O24"/>
    <mergeCell ref="B2:O2"/>
    <mergeCell ref="C3:E3"/>
    <mergeCell ref="F3:H3"/>
    <mergeCell ref="I3:K3"/>
    <mergeCell ref="L3:O3"/>
    <mergeCell ref="B23:O23"/>
  </mergeCells>
  <pageMargins left="0.43307086614173229" right="0.43307086614173229" top="1.3385826771653544" bottom="0.74803149606299213" header="0.31496062992125984" footer="0.31496062992125984"/>
  <pageSetup orientation="landscape" r:id="rId1"/>
  <ignoredErrors>
    <ignoredError sqref="E26:K35 E36:G36 I36:K36 H36:H37" formula="1"/>
  </ignoredError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E35CB-0E16-FA46-A758-6DF56AD428E2}">
  <sheetPr codeName="Sheet8">
    <tabColor rgb="FF00B050"/>
  </sheetPr>
  <dimension ref="A2:AH27"/>
  <sheetViews>
    <sheetView showGridLines="0" workbookViewId="0">
      <selection activeCell="AO11" sqref="AO11"/>
    </sheetView>
  </sheetViews>
  <sheetFormatPr defaultColWidth="11.42578125" defaultRowHeight="14.45"/>
  <cols>
    <col min="1" max="1" width="4.28515625" customWidth="1"/>
    <col min="2" max="2" width="8.42578125" bestFit="1" customWidth="1"/>
    <col min="3" max="3" width="9.5703125" bestFit="1" customWidth="1"/>
    <col min="4" max="15" width="4.28515625" customWidth="1"/>
    <col min="22" max="22" width="9.5703125" customWidth="1"/>
    <col min="23" max="23" width="8.42578125" customWidth="1"/>
    <col min="24" max="35" width="5.28515625" customWidth="1"/>
  </cols>
  <sheetData>
    <row r="2" spans="1:34">
      <c r="B2" t="str" cm="1">
        <f t="array" ref="B2:M2">tblPiNAnalysis[[#Headers],[CCCM]:[_]]</f>
        <v>CCCM</v>
      </c>
      <c r="C2" t="str">
        <v>Education</v>
      </c>
      <c r="D2" t="str">
        <v>Nutrition</v>
      </c>
      <c r="E2" t="str">
        <v>Food Security</v>
      </c>
      <c r="F2" t="str">
        <v>Health</v>
      </c>
      <c r="G2" t="str">
        <v>Protection</v>
      </c>
      <c r="H2" t="str">
        <v>Shelter</v>
      </c>
      <c r="I2" t="str">
        <v>WASH</v>
      </c>
      <c r="J2" t="str">
        <v>CP</v>
      </c>
      <c r="K2" t="str">
        <v>GBV</v>
      </c>
      <c r="L2" t="str">
        <v>Migrants</v>
      </c>
      <c r="M2" t="str">
        <v>_</v>
      </c>
    </row>
    <row r="3" spans="1:34">
      <c r="B3">
        <f>SUM(INDEX(tblPiNAnalysis[[CCCM]:[_]], 0, MATCH(B2, tblPiNAnalysis[[#Headers],[CCCM]:[_]], 0)))</f>
        <v>2118298.5</v>
      </c>
      <c r="C3">
        <f>SUM(INDEX(tblPiNAnalysis[[CCCM]:[_]], 0, MATCH(C2, tblPiNAnalysis[[#Headers],[CCCM]:[_]], 0)))</f>
        <v>1493675</v>
      </c>
      <c r="D3">
        <f>SUM(INDEX(tblPiNAnalysis[[CCCM]:[_]], 0, MATCH(D2, tblPiNAnalysis[[#Headers],[CCCM]:[_]], 0)))</f>
        <v>1225803</v>
      </c>
      <c r="E3">
        <f>SUM(INDEX(tblPiNAnalysis[[CCCM]:[_]], 0, MATCH(E2, tblPiNAnalysis[[#Headers],[CCCM]:[_]], 0)))</f>
        <v>5910721</v>
      </c>
      <c r="F3">
        <f>SUM(INDEX(tblPiNAnalysis[[CCCM]:[_]], 0, MATCH(F2, tblPiNAnalysis[[#Headers],[CCCM]:[_]], 0)))</f>
        <v>4860485.4511351846</v>
      </c>
      <c r="G3">
        <f>SUM(INDEX(tblPiNAnalysis[[CCCM]:[_]], 0, MATCH(G2, tblPiNAnalysis[[#Headers],[CCCM]:[_]], 0)))</f>
        <v>2195025.5346403574</v>
      </c>
      <c r="H3">
        <f>SUM(INDEX(tblPiNAnalysis[[CCCM]:[_]], 0, MATCH(H2, tblPiNAnalysis[[#Headers],[CCCM]:[_]], 0)))</f>
        <v>4240626</v>
      </c>
      <c r="I3">
        <f>SUM(INDEX(tblPiNAnalysis[[CCCM]:[_]], 0, MATCH(I2, tblPiNAnalysis[[#Headers],[CCCM]:[_]], 0)))</f>
        <v>3530913.3268270758</v>
      </c>
      <c r="J3">
        <f>SUM(INDEX(tblPiNAnalysis[[CCCM]:[_]], 0, MATCH(J2, tblPiNAnalysis[[#Headers],[CCCM]:[_]], 0)))</f>
        <v>0</v>
      </c>
      <c r="K3">
        <f>IF(K2="", "", SUM(INDEX(tblPiNAnalysis[[CCCM]:[_]], 0, MATCH(K2, tblPiNAnalysis[[#Headers],[CCCM]:[_]], 0))))</f>
        <v>0</v>
      </c>
      <c r="L3">
        <f>IF(L2="", "", SUM(INDEX(tblPiNAnalysis[[CCCM]:[_]], 0, MATCH(L2, tblPiNAnalysis[[#Headers],[CCCM]:[_]], 0))))</f>
        <v>0</v>
      </c>
      <c r="M3">
        <f>IF(M2="", "", SUM(INDEX(tblPiNAnalysis[[CCCM]:[_]], 0, MATCH(M2, tblPiNAnalysis[[#Headers],[CCCM]:[_]], 0))))</f>
        <v>0</v>
      </c>
      <c r="V3" t="s">
        <v>20</v>
      </c>
      <c r="W3" t="str" cm="1">
        <f t="array" ref="W3:AH3">tblSeverityAnalysis[[#Headers],[CCCM]:[__]]</f>
        <v>CCCM</v>
      </c>
      <c r="X3" t="str">
        <v>Education</v>
      </c>
      <c r="Y3" t="str">
        <v>Nutrition</v>
      </c>
      <c r="Z3" t="str">
        <v>Food Security</v>
      </c>
      <c r="AA3" t="str">
        <v>Health</v>
      </c>
      <c r="AB3" t="str">
        <v>Protection</v>
      </c>
      <c r="AC3" t="str">
        <v>Shelter</v>
      </c>
      <c r="AD3" t="str">
        <v>WASH</v>
      </c>
      <c r="AE3" t="str">
        <v>Child Protection (CP)</v>
      </c>
      <c r="AF3" t="str">
        <v>Gender-based Violence (GBV)</v>
      </c>
      <c r="AG3" t="str">
        <v>Migrants</v>
      </c>
      <c r="AH3" t="str">
        <v>__</v>
      </c>
    </row>
    <row r="4" spans="1:34">
      <c r="A4" t="s">
        <v>96</v>
      </c>
      <c r="B4" t="s">
        <v>7</v>
      </c>
      <c r="C4" t="str" cm="1">
        <f t="array" ref="C4:J5">_xlfn._xlws.FILTER(B2:N3, B3:N3&gt;0)</f>
        <v>CCCM</v>
      </c>
      <c r="D4" t="str">
        <v>Education</v>
      </c>
      <c r="E4" t="str">
        <v>Nutrition</v>
      </c>
      <c r="F4" t="str">
        <v>Food Security</v>
      </c>
      <c r="G4" t="str">
        <v>Health</v>
      </c>
      <c r="H4" t="str">
        <v>Protection</v>
      </c>
      <c r="I4" t="str">
        <v>Shelter</v>
      </c>
      <c r="J4" t="str">
        <v>WASH</v>
      </c>
      <c r="U4">
        <v>1</v>
      </c>
      <c r="V4">
        <f>COUNTIF(tblSeverityAnalysis[Preliminary Intersectoral Severity based on overlap of sectoral deprivations],'Preliminary results graph'!$U4 )</f>
        <v>1</v>
      </c>
      <c r="W4" cm="1">
        <f t="array" ref="W4">SUM(IF(INDEX(tblSeverityAnalysis[[CCCM]:[__]], 0, MATCH(W$3, tblSeverityAnalysis[[#Headers],[CCCM]:[__]], 0 ))=$U4, 1, 0))</f>
        <v>43</v>
      </c>
      <c r="X4" cm="1">
        <f t="array" ref="X4">SUM(IF(INDEX(tblSeverityAnalysis[[CCCM]:[__]], 0, MATCH(X$3, tblSeverityAnalysis[[#Headers],[CCCM]:[__]], 0 ))=$U4, 1, 0))</f>
        <v>0</v>
      </c>
      <c r="Y4" cm="1">
        <f t="array" ref="Y4">SUM(IF(INDEX(tblSeverityAnalysis[[CCCM]:[__]], 0, MATCH(Y$3, tblSeverityAnalysis[[#Headers],[CCCM]:[__]], 0 ))=$U4, 1, 0))</f>
        <v>0</v>
      </c>
      <c r="Z4" cm="1">
        <f t="array" ref="Z4">SUM(IF(INDEX(tblSeverityAnalysis[[CCCM]:[__]], 0, MATCH(Z$3, tblSeverityAnalysis[[#Headers],[CCCM]:[__]], 0 ))=$U4, 1, 0))</f>
        <v>0</v>
      </c>
      <c r="AA4" cm="1">
        <f t="array" ref="AA4">SUM(IF(INDEX(tblSeverityAnalysis[[CCCM]:[__]], 0, MATCH(AA$3, tblSeverityAnalysis[[#Headers],[CCCM]:[__]], 0 ))=$U4, 1, 0))</f>
        <v>0</v>
      </c>
      <c r="AB4" cm="1">
        <f t="array" ref="AB4">SUM(IF(INDEX(tblSeverityAnalysis[[CCCM]:[__]], 0, MATCH(AB$3, tblSeverityAnalysis[[#Headers],[CCCM]:[__]], 0 ))=$U4, 1, 0))</f>
        <v>0</v>
      </c>
      <c r="AC4" cm="1">
        <f t="array" ref="AC4">SUM(IF(INDEX(tblSeverityAnalysis[[CCCM]:[__]], 0, MATCH(AC$3, tblSeverityAnalysis[[#Headers],[CCCM]:[__]], 0 ))=$U4, 1, 0))</f>
        <v>14</v>
      </c>
      <c r="AD4" cm="1">
        <f t="array" ref="AD4">SUM(IF(INDEX(tblSeverityAnalysis[[CCCM]:[__]], 0, MATCH(AD$3, tblSeverityAnalysis[[#Headers],[CCCM]:[__]], 0 ))=$U4, 1, 0))</f>
        <v>8</v>
      </c>
      <c r="AE4" cm="1">
        <f t="array" ref="AE4">SUM(IF(INDEX(tblSeverityAnalysis[[CCCM]:[__]], 0, MATCH(AE$3, tblSeverityAnalysis[[#Headers],[CCCM]:[__]], 0 ))=$U4, 1, 0))</f>
        <v>0</v>
      </c>
      <c r="AF4" cm="1">
        <f t="array" ref="AF4">IF(AF$3="", "", SUM(IF(INDEX(tblSeverityAnalysis[[CCCM]:[__]], 0, MATCH(AF$3, tblSeverityAnalysis[[#Headers],[CCCM]:[__]], 0 ))=$U4, 1, 0)))</f>
        <v>0</v>
      </c>
      <c r="AG4" cm="1">
        <f t="array" ref="AG4">IF(AG$3="", "", SUM(IF(INDEX(tblSeverityAnalysis[[CCCM]:[__]], 0, MATCH(AG$3, tblSeverityAnalysis[[#Headers],[CCCM]:[__]], 0 ))=$U4, 1, 0)))</f>
        <v>0</v>
      </c>
      <c r="AH4" cm="1">
        <f t="array" ref="AH4">IF(AH$3="", "", SUM(IF(INDEX(tblSeverityAnalysis[[CCCM]:[__]], 0, MATCH(AH$3, tblSeverityAnalysis[[#Headers],[CCCM]:[__]], 0 ))=$U4, 1, 0)))</f>
        <v>0</v>
      </c>
    </row>
    <row r="5" spans="1:34">
      <c r="A5" s="108">
        <f>SUM(tblPiNAnalysis[Population])</f>
        <v>11899555</v>
      </c>
      <c r="B5" s="108">
        <f>SUM(tblPiNAnalysis[Preliminary PiN])</f>
        <v>7411517.3384052673</v>
      </c>
      <c r="C5" s="108">
        <v>2118298.5</v>
      </c>
      <c r="D5" s="108">
        <v>1493675</v>
      </c>
      <c r="E5" s="108">
        <v>1225803</v>
      </c>
      <c r="F5" s="108">
        <v>5910721</v>
      </c>
      <c r="G5" s="108">
        <v>4860485.4511351846</v>
      </c>
      <c r="H5" s="108">
        <v>2195025.5346403574</v>
      </c>
      <c r="I5" s="108">
        <v>4240626</v>
      </c>
      <c r="J5" s="108">
        <v>3530913.3268270758</v>
      </c>
      <c r="K5" s="108"/>
      <c r="L5" s="108"/>
      <c r="M5" s="108"/>
      <c r="N5" s="108"/>
      <c r="U5">
        <v>2</v>
      </c>
      <c r="V5">
        <f>COUNTIF(tblSeverityAnalysis[Preliminary Intersectoral Severity based on overlap of sectoral deprivations],'Preliminary results graph'!$U5 )</f>
        <v>16</v>
      </c>
      <c r="W5" cm="1">
        <f t="array" ref="W5">SUM(IF(INDEX(tblSeverityAnalysis[[CCCM]:[__]], 0, MATCH(W$3, tblSeverityAnalysis[[#Headers],[CCCM]:[__]], 0 ))=$U5, 1, 0))</f>
        <v>5</v>
      </c>
      <c r="X5" cm="1">
        <f t="array" ref="X5">SUM(IF(INDEX(tblSeverityAnalysis[[CCCM]:[__]], 0, MATCH(X$3, tblSeverityAnalysis[[#Headers],[CCCM]:[__]], 0 ))=$U5, 1, 0))</f>
        <v>21</v>
      </c>
      <c r="Y5" cm="1">
        <f t="array" ref="Y5">SUM(IF(INDEX(tblSeverityAnalysis[[CCCM]:[__]], 0, MATCH(Y$3, tblSeverityAnalysis[[#Headers],[CCCM]:[__]], 0 ))=$U5, 1, 0))</f>
        <v>62</v>
      </c>
      <c r="Z5" cm="1">
        <f t="array" ref="Z5">SUM(IF(INDEX(tblSeverityAnalysis[[CCCM]:[__]], 0, MATCH(Z$3, tblSeverityAnalysis[[#Headers],[CCCM]:[__]], 0 ))=$U5, 1, 0))</f>
        <v>0</v>
      </c>
      <c r="AA5" cm="1">
        <f t="array" ref="AA5">SUM(IF(INDEX(tblSeverityAnalysis[[CCCM]:[__]], 0, MATCH(AA$3, tblSeverityAnalysis[[#Headers],[CCCM]:[__]], 0 ))=$U5, 1, 0))</f>
        <v>72</v>
      </c>
      <c r="AB5" cm="1">
        <f t="array" ref="AB5">SUM(IF(INDEX(tblSeverityAnalysis[[CCCM]:[__]], 0, MATCH(AB$3, tblSeverityAnalysis[[#Headers],[CCCM]:[__]], 0 ))=$U5, 1, 0))</f>
        <v>113</v>
      </c>
      <c r="AC5" cm="1">
        <f t="array" ref="AC5">SUM(IF(INDEX(tblSeverityAnalysis[[CCCM]:[__]], 0, MATCH(AC$3, tblSeverityAnalysis[[#Headers],[CCCM]:[__]], 0 ))=$U5, 1, 0))</f>
        <v>22</v>
      </c>
      <c r="AD5" cm="1">
        <f t="array" ref="AD5">SUM(IF(INDEX(tblSeverityAnalysis[[CCCM]:[__]], 0, MATCH(AD$3, tblSeverityAnalysis[[#Headers],[CCCM]:[__]], 0 ))=$U5, 1, 0))</f>
        <v>53</v>
      </c>
      <c r="AE5" cm="1">
        <f t="array" ref="AE5">SUM(IF(INDEX(tblSeverityAnalysis[[CCCM]:[__]], 0, MATCH(AE$3, tblSeverityAnalysis[[#Headers],[CCCM]:[__]], 0 ))=$U5, 1, 0))</f>
        <v>0</v>
      </c>
      <c r="AF5" cm="1">
        <f t="array" ref="AF5">IF(AF$3="", "", SUM(IF(INDEX(tblSeverityAnalysis[[CCCM]:[__]], 0, MATCH(AF$3, tblSeverityAnalysis[[#Headers],[CCCM]:[__]], 0 ))=$U5, 1, 0)))</f>
        <v>0</v>
      </c>
      <c r="AG5" cm="1">
        <f t="array" ref="AG5">IF(AG$3="", "", SUM(IF(INDEX(tblSeverityAnalysis[[CCCM]:[__]], 0, MATCH(AG$3, tblSeverityAnalysis[[#Headers],[CCCM]:[__]], 0 ))=$U5, 1, 0)))</f>
        <v>0</v>
      </c>
      <c r="AH5" cm="1">
        <f t="array" ref="AH5">IF(AH$3="", "", SUM(IF(INDEX(tblSeverityAnalysis[[CCCM]:[__]], 0, MATCH(AH$3, tblSeverityAnalysis[[#Headers],[CCCM]:[__]], 0 ))=$U5, 1, 0)))</f>
        <v>0</v>
      </c>
    </row>
    <row r="6" spans="1:34">
      <c r="U6">
        <v>3</v>
      </c>
      <c r="V6">
        <f>COUNTIF(tblSeverityAnalysis[Preliminary Intersectoral Severity based on overlap of sectoral deprivations],'Preliminary results graph'!$U6 )</f>
        <v>116</v>
      </c>
      <c r="W6" cm="1">
        <f t="array" ref="W6">SUM(IF(INDEX(tblSeverityAnalysis[[CCCM]:[__]], 0, MATCH(W$3, tblSeverityAnalysis[[#Headers],[CCCM]:[__]], 0 ))=$U6, 1, 0))</f>
        <v>66</v>
      </c>
      <c r="X6" cm="1">
        <f t="array" ref="X6">SUM(IF(INDEX(tblSeverityAnalysis[[CCCM]:[__]], 0, MATCH(X$3, tblSeverityAnalysis[[#Headers],[CCCM]:[__]], 0 ))=$U6, 1, 0))</f>
        <v>117</v>
      </c>
      <c r="Y6" cm="1">
        <f t="array" ref="Y6">SUM(IF(INDEX(tblSeverityAnalysis[[CCCM]:[__]], 0, MATCH(Y$3, tblSeverityAnalysis[[#Headers],[CCCM]:[__]], 0 ))=$U6, 1, 0))</f>
        <v>77</v>
      </c>
      <c r="Z6" cm="1">
        <f t="array" ref="Z6">SUM(IF(INDEX(tblSeverityAnalysis[[CCCM]:[__]], 0, MATCH(Z$3, tblSeverityAnalysis[[#Headers],[CCCM]:[__]], 0 ))=$U6, 1, 0))</f>
        <v>104</v>
      </c>
      <c r="AA6" cm="1">
        <f t="array" ref="AA6">SUM(IF(INDEX(tblSeverityAnalysis[[CCCM]:[__]], 0, MATCH(AA$3, tblSeverityAnalysis[[#Headers],[CCCM]:[__]], 0 ))=$U6, 1, 0))</f>
        <v>54</v>
      </c>
      <c r="AB6" cm="1">
        <f t="array" ref="AB6">SUM(IF(INDEX(tblSeverityAnalysis[[CCCM]:[__]], 0, MATCH(AB$3, tblSeverityAnalysis[[#Headers],[CCCM]:[__]], 0 ))=$U6, 1, 0))</f>
        <v>10</v>
      </c>
      <c r="AC6" cm="1">
        <f t="array" ref="AC6">SUM(IF(INDEX(tblSeverityAnalysis[[CCCM]:[__]], 0, MATCH(AC$3, tblSeverityAnalysis[[#Headers],[CCCM]:[__]], 0 ))=$U6, 1, 0))</f>
        <v>90</v>
      </c>
      <c r="AD6" cm="1">
        <f t="array" ref="AD6">SUM(IF(INDEX(tblSeverityAnalysis[[CCCM]:[__]], 0, MATCH(AD$3, tblSeverityAnalysis[[#Headers],[CCCM]:[__]], 0 ))=$U6, 1, 0))</f>
        <v>68</v>
      </c>
      <c r="AE6" cm="1">
        <f t="array" ref="AE6">SUM(IF(INDEX(tblSeverityAnalysis[[CCCM]:[__]], 0, MATCH(AE$3, tblSeverityAnalysis[[#Headers],[CCCM]:[__]], 0 ))=$U6, 1, 0))</f>
        <v>0</v>
      </c>
      <c r="AF6" cm="1">
        <f t="array" ref="AF6">IF(AF$3="", "", SUM(IF(INDEX(tblSeverityAnalysis[[CCCM]:[__]], 0, MATCH(AF$3, tblSeverityAnalysis[[#Headers],[CCCM]:[__]], 0 ))=$U6, 1, 0)))</f>
        <v>0</v>
      </c>
      <c r="AG6" cm="1">
        <f t="array" ref="AG6">IF(AG$3="", "", SUM(IF(INDEX(tblSeverityAnalysis[[CCCM]:[__]], 0, MATCH(AG$3, tblSeverityAnalysis[[#Headers],[CCCM]:[__]], 0 ))=$U6, 1, 0)))</f>
        <v>0</v>
      </c>
      <c r="AH6" cm="1">
        <f t="array" ref="AH6">IF(AH$3="", "", SUM(IF(INDEX(tblSeverityAnalysis[[CCCM]:[__]], 0, MATCH(AH$3, tblSeverityAnalysis[[#Headers],[CCCM]:[__]], 0 ))=$U6, 1, 0)))</f>
        <v>0</v>
      </c>
    </row>
    <row r="7" spans="1:34">
      <c r="A7" t="str">
        <f>"Total Sectoral and Overall PiN, from a total population of "&amp;TEXT('Preliminary results graph'!$A$5,"0,000")</f>
        <v>Total Sectoral and Overall PiN, from a total population of 11899555,000</v>
      </c>
      <c r="U7">
        <v>4</v>
      </c>
      <c r="V7">
        <f>COUNTIF(tblSeverityAnalysis[Preliminary Intersectoral Severity based on overlap of sectoral deprivations],'Preliminary results graph'!$U7 )</f>
        <v>6</v>
      </c>
      <c r="W7" cm="1">
        <f t="array" ref="W7">SUM(IF(INDEX(tblSeverityAnalysis[[CCCM]:[__]], 0, MATCH(W$3, tblSeverityAnalysis[[#Headers],[CCCM]:[__]], 0 ))=$U7, 1, 0))</f>
        <v>19</v>
      </c>
      <c r="X7" cm="1">
        <f t="array" ref="X7">SUM(IF(INDEX(tblSeverityAnalysis[[CCCM]:[__]], 0, MATCH(X$3, tblSeverityAnalysis[[#Headers],[CCCM]:[__]], 0 ))=$U7, 1, 0))</f>
        <v>1</v>
      </c>
      <c r="Y7" cm="1">
        <f t="array" ref="Y7">SUM(IF(INDEX(tblSeverityAnalysis[[CCCM]:[__]], 0, MATCH(Y$3, tblSeverityAnalysis[[#Headers],[CCCM]:[__]], 0 ))=$U7, 1, 0))</f>
        <v>1</v>
      </c>
      <c r="Z7" cm="1">
        <f t="array" ref="Z7">SUM(IF(INDEX(tblSeverityAnalysis[[CCCM]:[__]], 0, MATCH(Z$3, tblSeverityAnalysis[[#Headers],[CCCM]:[__]], 0 ))=$U7, 1, 0))</f>
        <v>37</v>
      </c>
      <c r="AA7" cm="1">
        <f t="array" ref="AA7">SUM(IF(INDEX(tblSeverityAnalysis[[CCCM]:[__]], 0, MATCH(AA$3, tblSeverityAnalysis[[#Headers],[CCCM]:[__]], 0 ))=$U7, 1, 0))</f>
        <v>14</v>
      </c>
      <c r="AB7" cm="1">
        <f t="array" ref="AB7">SUM(IF(INDEX(tblSeverityAnalysis[[CCCM]:[__]], 0, MATCH(AB$3, tblSeverityAnalysis[[#Headers],[CCCM]:[__]], 0 ))=$U7, 1, 0))</f>
        <v>8</v>
      </c>
      <c r="AC7" cm="1">
        <f t="array" ref="AC7">SUM(IF(INDEX(tblSeverityAnalysis[[CCCM]:[__]], 0, MATCH(AC$3, tblSeverityAnalysis[[#Headers],[CCCM]:[__]], 0 ))=$U7, 1, 0))</f>
        <v>14</v>
      </c>
      <c r="AD7" cm="1">
        <f t="array" ref="AD7">SUM(IF(INDEX(tblSeverityAnalysis[[CCCM]:[__]], 0, MATCH(AD$3, tblSeverityAnalysis[[#Headers],[CCCM]:[__]], 0 ))=$U7, 1, 0))</f>
        <v>9</v>
      </c>
      <c r="AE7" cm="1">
        <f t="array" ref="AE7">SUM(IF(INDEX(tblSeverityAnalysis[[CCCM]:[__]], 0, MATCH(AE$3, tblSeverityAnalysis[[#Headers],[CCCM]:[__]], 0 ))=$U7, 1, 0))</f>
        <v>0</v>
      </c>
      <c r="AF7" cm="1">
        <f t="array" ref="AF7">IF(AF$3="", "", SUM(IF(INDEX(tblSeverityAnalysis[[CCCM]:[__]], 0, MATCH(AF$3, tblSeverityAnalysis[[#Headers],[CCCM]:[__]], 0 ))=$U7, 1, 0)))</f>
        <v>0</v>
      </c>
      <c r="AG7" cm="1">
        <f t="array" ref="AG7">IF(AG$3="", "", SUM(IF(INDEX(tblSeverityAnalysis[[CCCM]:[__]], 0, MATCH(AG$3, tblSeverityAnalysis[[#Headers],[CCCM]:[__]], 0 ))=$U7, 1, 0)))</f>
        <v>0</v>
      </c>
      <c r="AH7" cm="1">
        <f t="array" ref="AH7">IF(AH$3="", "", SUM(IF(INDEX(tblSeverityAnalysis[[CCCM]:[__]], 0, MATCH(AH$3, tblSeverityAnalysis[[#Headers],[CCCM]:[__]], 0 ))=$U7, 1, 0)))</f>
        <v>0</v>
      </c>
    </row>
    <row r="8" spans="1:34">
      <c r="U8">
        <v>5</v>
      </c>
      <c r="V8">
        <f>COUNTIF(tblSeverityAnalysis[Preliminary Intersectoral Severity based on overlap of sectoral deprivations],'Preliminary results graph'!$U8 )</f>
        <v>2</v>
      </c>
      <c r="W8" cm="1">
        <f t="array" ref="W8">SUM(IF(INDEX(tblSeverityAnalysis[[CCCM]:[__]], 0, MATCH(W$3, tblSeverityAnalysis[[#Headers],[CCCM]:[__]], 0 ))=$U8, 1, 0))</f>
        <v>3</v>
      </c>
      <c r="X8" cm="1">
        <f t="array" ref="X8">SUM(IF(INDEX(tblSeverityAnalysis[[CCCM]:[__]], 0, MATCH(X$3, tblSeverityAnalysis[[#Headers],[CCCM]:[__]], 0 ))=$U8, 1, 0))</f>
        <v>1</v>
      </c>
      <c r="Y8" cm="1">
        <f t="array" ref="Y8">SUM(IF(INDEX(tblSeverityAnalysis[[CCCM]:[__]], 0, MATCH(Y$3, tblSeverityAnalysis[[#Headers],[CCCM]:[__]], 0 ))=$U8, 1, 0))</f>
        <v>0</v>
      </c>
      <c r="Z8" cm="1">
        <f t="array" ref="Z8">SUM(IF(INDEX(tblSeverityAnalysis[[CCCM]:[__]], 0, MATCH(Z$3, tblSeverityAnalysis[[#Headers],[CCCM]:[__]], 0 ))=$U8, 1, 0))</f>
        <v>0</v>
      </c>
      <c r="AA8" cm="1">
        <f t="array" ref="AA8">SUM(IF(INDEX(tblSeverityAnalysis[[CCCM]:[__]], 0, MATCH(AA$3, tblSeverityAnalysis[[#Headers],[CCCM]:[__]], 0 ))=$U8, 1, 0))</f>
        <v>0</v>
      </c>
      <c r="AB8" cm="1">
        <f t="array" ref="AB8">SUM(IF(INDEX(tblSeverityAnalysis[[CCCM]:[__]], 0, MATCH(AB$3, tblSeverityAnalysis[[#Headers],[CCCM]:[__]], 0 ))=$U8, 1, 0))</f>
        <v>9</v>
      </c>
      <c r="AC8" cm="1">
        <f t="array" ref="AC8">SUM(IF(INDEX(tblSeverityAnalysis[[CCCM]:[__]], 0, MATCH(AC$3, tblSeverityAnalysis[[#Headers],[CCCM]:[__]], 0 ))=$U8, 1, 0))</f>
        <v>0</v>
      </c>
      <c r="AD8" cm="1">
        <f t="array" ref="AD8">SUM(IF(INDEX(tblSeverityAnalysis[[CCCM]:[__]], 0, MATCH(AD$3, tblSeverityAnalysis[[#Headers],[CCCM]:[__]], 0 ))=$U8, 1, 0))</f>
        <v>2</v>
      </c>
      <c r="AE8" cm="1">
        <f t="array" ref="AE8">SUM(IF(INDEX(tblSeverityAnalysis[[CCCM]:[__]], 0, MATCH(AE$3, tblSeverityAnalysis[[#Headers],[CCCM]:[__]], 0 ))=$U8, 1, 0))</f>
        <v>0</v>
      </c>
      <c r="AF8" cm="1">
        <f t="array" ref="AF8">IF(AF$3="", "", SUM(IF(INDEX(tblSeverityAnalysis[[CCCM]:[__]], 0, MATCH(AF$3, tblSeverityAnalysis[[#Headers],[CCCM]:[__]], 0 ))=$U8, 1, 0)))</f>
        <v>0</v>
      </c>
      <c r="AG8" cm="1">
        <f t="array" ref="AG8">IF(AG$3="", "", SUM(IF(INDEX(tblSeverityAnalysis[[CCCM]:[__]], 0, MATCH(AG$3, tblSeverityAnalysis[[#Headers],[CCCM]:[__]], 0 ))=$U8, 1, 0)))</f>
        <v>0</v>
      </c>
      <c r="AH8" cm="1">
        <f t="array" ref="AH8">IF(AH$3="", "", SUM(IF(INDEX(tblSeverityAnalysis[[CCCM]:[__]], 0, MATCH(AH$3, tblSeverityAnalysis[[#Headers],[CCCM]:[__]], 0 ))=$U8, 1, 0)))</f>
        <v>0</v>
      </c>
    </row>
    <row r="9" spans="1:34">
      <c r="V9">
        <f t="shared" ref="V9:AH9" si="0">SUM(V4:V8)</f>
        <v>141</v>
      </c>
      <c r="W9">
        <f t="shared" si="0"/>
        <v>136</v>
      </c>
      <c r="X9">
        <f t="shared" si="0"/>
        <v>140</v>
      </c>
      <c r="Y9">
        <f t="shared" si="0"/>
        <v>140</v>
      </c>
      <c r="Z9">
        <f t="shared" si="0"/>
        <v>141</v>
      </c>
      <c r="AA9">
        <f t="shared" si="0"/>
        <v>140</v>
      </c>
      <c r="AB9">
        <f t="shared" si="0"/>
        <v>140</v>
      </c>
      <c r="AC9">
        <f t="shared" si="0"/>
        <v>140</v>
      </c>
      <c r="AD9">
        <f t="shared" si="0"/>
        <v>140</v>
      </c>
      <c r="AE9">
        <f t="shared" si="0"/>
        <v>0</v>
      </c>
      <c r="AF9">
        <f t="shared" si="0"/>
        <v>0</v>
      </c>
      <c r="AG9">
        <f t="shared" si="0"/>
        <v>0</v>
      </c>
      <c r="AH9">
        <f t="shared" si="0"/>
        <v>0</v>
      </c>
    </row>
    <row r="10" spans="1:34">
      <c r="V10" t="str" cm="1">
        <f t="array" ref="V10:AD16">_xlfn._xlws.FILTER(V3:AI9,V9:AI9&gt;0)</f>
        <v>Intersectoral Severity</v>
      </c>
      <c r="W10" t="str">
        <v>CCCM</v>
      </c>
      <c r="X10" t="str">
        <v>Education</v>
      </c>
      <c r="Y10" t="str">
        <v>Nutrition</v>
      </c>
      <c r="Z10" t="str">
        <v>Food Security</v>
      </c>
      <c r="AA10" t="str">
        <v>Health</v>
      </c>
      <c r="AB10" t="str">
        <v>Protection</v>
      </c>
      <c r="AC10" t="str">
        <v>Shelter</v>
      </c>
      <c r="AD10" t="str">
        <v>WASH</v>
      </c>
    </row>
    <row r="11" spans="1:34">
      <c r="U11">
        <v>1</v>
      </c>
      <c r="V11">
        <v>1</v>
      </c>
      <c r="W11">
        <v>43</v>
      </c>
      <c r="X11">
        <v>0</v>
      </c>
      <c r="Y11">
        <v>0</v>
      </c>
      <c r="Z11">
        <v>0</v>
      </c>
      <c r="AA11">
        <v>0</v>
      </c>
      <c r="AB11">
        <v>0</v>
      </c>
      <c r="AC11">
        <v>14</v>
      </c>
      <c r="AD11">
        <v>8</v>
      </c>
    </row>
    <row r="12" spans="1:34">
      <c r="U12">
        <v>2</v>
      </c>
      <c r="V12">
        <v>16</v>
      </c>
      <c r="W12">
        <v>5</v>
      </c>
      <c r="X12">
        <v>21</v>
      </c>
      <c r="Y12">
        <v>62</v>
      </c>
      <c r="Z12">
        <v>0</v>
      </c>
      <c r="AA12">
        <v>72</v>
      </c>
      <c r="AB12">
        <v>113</v>
      </c>
      <c r="AC12">
        <v>22</v>
      </c>
      <c r="AD12">
        <v>53</v>
      </c>
    </row>
    <row r="13" spans="1:34">
      <c r="U13">
        <v>3</v>
      </c>
      <c r="V13">
        <v>116</v>
      </c>
      <c r="W13">
        <v>66</v>
      </c>
      <c r="X13">
        <v>117</v>
      </c>
      <c r="Y13">
        <v>77</v>
      </c>
      <c r="Z13">
        <v>104</v>
      </c>
      <c r="AA13">
        <v>54</v>
      </c>
      <c r="AB13">
        <v>10</v>
      </c>
      <c r="AC13">
        <v>90</v>
      </c>
      <c r="AD13">
        <v>68</v>
      </c>
    </row>
    <row r="14" spans="1:34">
      <c r="U14">
        <v>4</v>
      </c>
      <c r="V14">
        <v>6</v>
      </c>
      <c r="W14">
        <v>19</v>
      </c>
      <c r="X14">
        <v>1</v>
      </c>
      <c r="Y14">
        <v>1</v>
      </c>
      <c r="Z14">
        <v>37</v>
      </c>
      <c r="AA14">
        <v>14</v>
      </c>
      <c r="AB14">
        <v>8</v>
      </c>
      <c r="AC14">
        <v>14</v>
      </c>
      <c r="AD14">
        <v>9</v>
      </c>
    </row>
    <row r="15" spans="1:34">
      <c r="U15">
        <v>5</v>
      </c>
      <c r="V15">
        <v>2</v>
      </c>
      <c r="W15">
        <v>3</v>
      </c>
      <c r="X15">
        <v>1</v>
      </c>
      <c r="Y15">
        <v>0</v>
      </c>
      <c r="Z15">
        <v>0</v>
      </c>
      <c r="AA15">
        <v>0</v>
      </c>
      <c r="AB15">
        <v>9</v>
      </c>
      <c r="AC15">
        <v>0</v>
      </c>
      <c r="AD15">
        <v>2</v>
      </c>
    </row>
    <row r="16" spans="1:34">
      <c r="V16">
        <v>141</v>
      </c>
      <c r="W16">
        <v>136</v>
      </c>
      <c r="X16">
        <v>140</v>
      </c>
      <c r="Y16">
        <v>140</v>
      </c>
      <c r="Z16">
        <v>141</v>
      </c>
      <c r="AA16">
        <v>140</v>
      </c>
      <c r="AB16">
        <v>140</v>
      </c>
      <c r="AC16">
        <v>140</v>
      </c>
      <c r="AD16">
        <v>140</v>
      </c>
    </row>
    <row r="26" spans="3:29">
      <c r="C26" t="str" cm="1">
        <f t="array" ref="C26:J26">tblPiNAnalysis[[#Headers],[CCCM]:[WASH]]</f>
        <v>CCCM</v>
      </c>
      <c r="D26" t="str">
        <v>Education</v>
      </c>
      <c r="E26" t="str">
        <v>Nutrition</v>
      </c>
      <c r="F26" t="str">
        <v>Food Security</v>
      </c>
      <c r="G26" t="str">
        <v>Health</v>
      </c>
      <c r="H26" t="str">
        <v>Protection</v>
      </c>
      <c r="I26" t="str">
        <v>Shelter</v>
      </c>
      <c r="J26" t="str">
        <v>WASH</v>
      </c>
      <c r="U26" t="str" cm="1">
        <f t="array" ref="U26:AB26">tblSeverityAnalysis[[#Headers],[CCCM]:[WASH]]</f>
        <v>CCCM</v>
      </c>
      <c r="V26" t="str">
        <v>Education</v>
      </c>
      <c r="W26" t="str">
        <v>Nutrition</v>
      </c>
      <c r="X26" t="str">
        <v>Food Security</v>
      </c>
      <c r="Y26" t="str">
        <v>Health</v>
      </c>
      <c r="Z26" t="str">
        <v>Protection</v>
      </c>
      <c r="AA26" t="str">
        <v>Shelter</v>
      </c>
      <c r="AB26" t="str">
        <v>WASH</v>
      </c>
    </row>
    <row r="27" spans="3:29">
      <c r="C27">
        <f>IF(C26="", "", COUNTIF(tblPiNAnalysis[Highest sector(s)], _xlfn.CONCAT("*", C26, "*")))</f>
        <v>0</v>
      </c>
      <c r="D27">
        <f>IF(D26="", "", COUNTIF(tblPiNAnalysis[Highest sector(s)], _xlfn.CONCAT("*", D26, "*")))</f>
        <v>0</v>
      </c>
      <c r="E27">
        <f>IF(E26="", "", COUNTIF(tblPiNAnalysis[Highest sector(s)], _xlfn.CONCAT("*", E26, "*")))</f>
        <v>0</v>
      </c>
      <c r="F27">
        <f>IF(F26="", "", COUNTIF(tblPiNAnalysis[Highest sector(s)], _xlfn.CONCAT("*", F26, "*")))</f>
        <v>76</v>
      </c>
      <c r="G27">
        <f>IF(G26="", "", COUNTIF(tblPiNAnalysis[Highest sector(s)], _xlfn.CONCAT("*", G26, "*")))</f>
        <v>18</v>
      </c>
      <c r="H27">
        <f>IF(H26="", "", COUNTIF(tblPiNAnalysis[Highest sector(s)], _xlfn.CONCAT("*", H26, "*")))</f>
        <v>1</v>
      </c>
      <c r="I27">
        <f>IF(I26="", "", COUNTIF(tblPiNAnalysis[Highest sector(s)], _xlfn.CONCAT("*", I26, "*")))</f>
        <v>28</v>
      </c>
      <c r="J27">
        <f>IF(J26="", "", COUNTIF(tblPiNAnalysis[Highest sector(s)], _xlfn.CONCAT("*", J26, "*")))</f>
        <v>18</v>
      </c>
      <c r="K27" t="str">
        <f>IF(K26="", "", COUNTIF(tblPiNAnalysis[Highest sector(s)], _xlfn.CONCAT("*", K26, "*")))</f>
        <v/>
      </c>
      <c r="L27" t="str">
        <f>IF(L26="", "", COUNTIF(tblPiNAnalysis[Highest sector(s)], _xlfn.CONCAT("*", L26, "*")))</f>
        <v/>
      </c>
      <c r="U27">
        <f>IF(U26="", "", COUNTIF(tblSeverityAnalysis[Sectors with Highest Severity], _xlfn.CONCAT("*", U26, "*")))</f>
        <v>69</v>
      </c>
      <c r="V27">
        <f>IF(V26="", "", COUNTIF(tblSeverityAnalysis[Sectors with Highest Severity], _xlfn.CONCAT("*", V26, "*")))</f>
        <v>65</v>
      </c>
      <c r="W27">
        <f>IF(W26="", "", COUNTIF(tblSeverityAnalysis[Sectors with Highest Severity], _xlfn.CONCAT("*", W26, "*")))</f>
        <v>40</v>
      </c>
      <c r="X27">
        <f>IF(X26="", "", COUNTIF(tblSeverityAnalysis[Sectors with Highest Severity], _xlfn.CONCAT("*", X26, "*")))</f>
        <v>114</v>
      </c>
      <c r="Y27">
        <f>IF(Y26="", "", COUNTIF(tblSeverityAnalysis[Sectors with Highest Severity], _xlfn.CONCAT("*", Y26, "*")))</f>
        <v>34</v>
      </c>
      <c r="Z27">
        <f>IF(Z26="", "", COUNTIF(tblSeverityAnalysis[Sectors with Highest Severity], _xlfn.CONCAT("*", Z26, "*")))</f>
        <v>20</v>
      </c>
      <c r="AA27">
        <f>IF(AA26="", "", COUNTIF(tblSeverityAnalysis[Sectors with Highest Severity], _xlfn.CONCAT("*", AA26, "*")))</f>
        <v>68</v>
      </c>
      <c r="AB27">
        <f>IF(AB26="", "", COUNTIF(tblSeverityAnalysis[Sectors with Highest Severity], _xlfn.CONCAT("*", AB26, "*")))</f>
        <v>45</v>
      </c>
      <c r="AC27" t="str">
        <f>IF(AC26="", "", COUNTIF(tblSeverityAnalysis[Sectors with Highest Severity], _xlfn.CONCAT("*", AC26, "*")))</f>
        <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C94CF-1B02-4D58-BB71-575A5A72DD63}">
  <sheetPr codeName="Sheet10">
    <tabColor rgb="FF00B050"/>
  </sheetPr>
  <dimension ref="A1:Y15"/>
  <sheetViews>
    <sheetView showGridLines="0" zoomScale="80" zoomScaleNormal="80" workbookViewId="0">
      <selection activeCell="AO11" sqref="AO11"/>
    </sheetView>
  </sheetViews>
  <sheetFormatPr defaultRowHeight="14.45"/>
  <cols>
    <col min="1" max="1" width="17.42578125" style="181" customWidth="1"/>
    <col min="2" max="8" width="12.7109375" style="2" customWidth="1"/>
    <col min="9" max="12" width="12.7109375" customWidth="1"/>
    <col min="14" max="14" width="15" customWidth="1"/>
    <col min="15" max="25" width="12.7109375" customWidth="1"/>
  </cols>
  <sheetData>
    <row r="1" spans="1:25" ht="52.5" customHeight="1">
      <c r="C1" s="601" t="s">
        <v>615</v>
      </c>
      <c r="D1" s="601"/>
      <c r="E1" s="601"/>
      <c r="F1" s="601"/>
      <c r="G1" s="601"/>
      <c r="M1" s="183"/>
      <c r="N1" s="181"/>
      <c r="O1" s="2"/>
      <c r="P1" s="601" t="s">
        <v>616</v>
      </c>
      <c r="Q1" s="601"/>
      <c r="R1" s="601"/>
      <c r="S1" s="601"/>
      <c r="T1" s="601"/>
      <c r="U1" s="2"/>
    </row>
    <row r="2" spans="1:25" ht="52.5" customHeight="1">
      <c r="C2" s="601"/>
      <c r="D2" s="601"/>
      <c r="E2" s="601"/>
      <c r="F2" s="601"/>
      <c r="G2" s="601"/>
      <c r="M2" s="183"/>
      <c r="N2" s="181"/>
      <c r="O2" s="2"/>
      <c r="P2" s="601"/>
      <c r="Q2" s="601"/>
      <c r="R2" s="601"/>
      <c r="S2" s="601"/>
      <c r="T2" s="601"/>
      <c r="U2" s="2"/>
    </row>
    <row r="3" spans="1:25" ht="50.25" customHeight="1">
      <c r="A3" s="178"/>
      <c r="B3" s="182" t="str" cm="1">
        <f t="array" ref="B3:I3">_xlfn.UNIQUE(tblPiNAnalysis[[#Headers],[CCCM]:[WASH]])</f>
        <v>CCCM</v>
      </c>
      <c r="C3" s="182" t="str">
        <v>Education</v>
      </c>
      <c r="D3" s="182" t="str">
        <v>Nutrition</v>
      </c>
      <c r="E3" s="182" t="str">
        <v>Food Security</v>
      </c>
      <c r="F3" s="182" t="str">
        <v>Health</v>
      </c>
      <c r="G3" s="182" t="str">
        <v>Protection</v>
      </c>
      <c r="H3" s="182" t="str">
        <v>Shelter</v>
      </c>
      <c r="I3" s="182" t="str">
        <v>WASH</v>
      </c>
      <c r="J3" s="182"/>
      <c r="K3" s="182"/>
      <c r="M3" s="183"/>
      <c r="N3" s="178"/>
      <c r="O3" s="182" t="str" cm="1">
        <f t="array" ref="O3:V3">_xlfn.UNIQUE(tblSeverityAnalysis[[#Headers],[CCCM]:[WASH]])</f>
        <v>CCCM</v>
      </c>
      <c r="P3" s="182" t="str">
        <v>Education</v>
      </c>
      <c r="Q3" s="182" t="str">
        <v>Nutrition</v>
      </c>
      <c r="R3" s="182" t="str">
        <v>Food Security</v>
      </c>
      <c r="S3" s="182" t="str">
        <v>Health</v>
      </c>
      <c r="T3" s="182" t="str">
        <v>Protection</v>
      </c>
      <c r="U3" s="182" t="str">
        <v>Shelter</v>
      </c>
      <c r="V3" s="182" t="str">
        <v>WASH</v>
      </c>
      <c r="W3" s="182"/>
      <c r="X3" s="182"/>
    </row>
    <row r="4" spans="1:25" ht="37.5" customHeight="1">
      <c r="A4" s="182" t="str" cm="1">
        <f t="array" ref="A4:A11">TRANSPOSE(tblPiNAnalysis[[#Headers],[CCCM]:[WASH]])</f>
        <v>CCCM</v>
      </c>
      <c r="B4" s="179" t="str">
        <f>IF(OR($A4=B$3,B$3="",$A4=""),"",CORREL(INDEX(tblPiNAnalysis[[CCCM]:[WASH]],0,MATCH(B$3,tblPiNAnalysis[[#Headers],[CCCM]:[WASH]],0)),INDEX(tblPiNAnalysis[[CCCM]:[WASH]],0,MATCH($A4,tblPiNAnalysis[[#Headers],[CCCM]:[WASH]],0))))</f>
        <v/>
      </c>
      <c r="C4" s="179"/>
      <c r="D4" s="179"/>
      <c r="E4" s="179"/>
      <c r="F4" s="179"/>
      <c r="G4" s="179"/>
      <c r="H4" s="179"/>
      <c r="I4" s="177"/>
      <c r="J4" s="177"/>
      <c r="K4" s="177"/>
      <c r="L4" s="177"/>
      <c r="M4" s="183"/>
      <c r="N4" s="182" t="str" cm="1">
        <f t="array" ref="N4:N11">TRANSPOSE(tblSeverityAnalysis[[#Headers],[CCCM]:[WASH]])</f>
        <v>CCCM</v>
      </c>
      <c r="O4" s="179" t="str">
        <f>IF(OR($N4=O$3,O$3="",$N4=""),"",CORREL(INDEX(tblSeverityAnalysis[[CCCM]:[WASH]],0,MATCH(O$3,tblSeverityAnalysis[[#Headers],[CCCM]:[WASH]],0)),INDEX(tblSeverityAnalysis[[CCCM]:[WASH]],0,MATCH($N4,tblSeverityAnalysis[[#Headers],[CCCM]:[WASH]],0))))</f>
        <v/>
      </c>
      <c r="P4" s="179"/>
      <c r="Q4" s="179"/>
      <c r="R4" s="179"/>
      <c r="S4" s="179"/>
      <c r="T4" s="179"/>
      <c r="U4" s="179"/>
      <c r="V4" s="177"/>
      <c r="W4" s="177"/>
      <c r="X4" s="177"/>
      <c r="Y4" s="177"/>
    </row>
    <row r="5" spans="1:25" ht="37.5" customHeight="1">
      <c r="A5" s="182" t="str">
        <v>Education</v>
      </c>
      <c r="B5" s="179">
        <f>IF(OR($A5=B$3,B$3="",$A5=""),"",CORREL(INDEX(tblPiNAnalysis[[CCCM]:[WASH]],0,MATCH(B$3,tblPiNAnalysis[[#Headers],[CCCM]:[WASH]],0)),INDEX(tblPiNAnalysis[[CCCM]:[WASH]],0,MATCH($A5,tblPiNAnalysis[[#Headers],[CCCM]:[WASH]],0))))</f>
        <v>0.63679738318048718</v>
      </c>
      <c r="C5" s="179" t="str">
        <f>IF(OR($A5=C$3,C$3="",$A5=""),"",CORREL(INDEX(tblPiNAnalysis[[CCCM]:[WASH]],0,MATCH(C$3,tblPiNAnalysis[[#Headers],[CCCM]:[WASH]],0)),INDEX(tblPiNAnalysis[[CCCM]:[WASH]],0,MATCH($A5,tblPiNAnalysis[[#Headers],[CCCM]:[WASH]],0))))</f>
        <v/>
      </c>
      <c r="D5" s="179"/>
      <c r="E5" s="179"/>
      <c r="F5" s="179"/>
      <c r="G5" s="179"/>
      <c r="H5" s="179"/>
      <c r="I5" s="177"/>
      <c r="J5" s="177"/>
      <c r="K5" s="177"/>
      <c r="L5" s="177"/>
      <c r="M5" s="183"/>
      <c r="N5" s="182" t="str">
        <v>Education</v>
      </c>
      <c r="O5" s="179">
        <f>IF(OR($N5=O$3,O$3="",$N5=""),"",CORREL(INDEX(tblSeverityAnalysis[[CCCM]:[WASH]],0,MATCH(O$3,tblSeverityAnalysis[[#Headers],[CCCM]:[WASH]],0)),INDEX(tblSeverityAnalysis[[CCCM]:[WASH]],0,MATCH($N5,tblSeverityAnalysis[[#Headers],[CCCM]:[WASH]],0))))</f>
        <v>-6.9444844116362023E-2</v>
      </c>
      <c r="P5" s="179" t="str">
        <f>IF(OR($N5=P$3,P$3="",$N5=""),"",CORREL(INDEX(tblSeverityAnalysis[[CCCM]:[WASH]],0,MATCH(P$3,tblSeverityAnalysis[[#Headers],[CCCM]:[WASH]],0)),INDEX(tblSeverityAnalysis[[CCCM]:[WASH]],0,MATCH($N5,tblSeverityAnalysis[[#Headers],[CCCM]:[WASH]],0))))</f>
        <v/>
      </c>
      <c r="Q5" s="179"/>
      <c r="R5" s="179"/>
      <c r="S5" s="179"/>
      <c r="T5" s="179"/>
      <c r="U5" s="179"/>
      <c r="V5" s="177"/>
      <c r="W5" s="177"/>
      <c r="X5" s="177"/>
      <c r="Y5" s="177"/>
    </row>
    <row r="6" spans="1:25" ht="37.5" customHeight="1">
      <c r="A6" s="182" t="str">
        <v>Nutrition</v>
      </c>
      <c r="B6" s="179">
        <f>IF(OR($A6=B$3,B$3="",$A6=""),"",CORREL(INDEX(tblPiNAnalysis[[CCCM]:[WASH]],0,MATCH(B$3,tblPiNAnalysis[[#Headers],[CCCM]:[WASH]],0)),INDEX(tblPiNAnalysis[[CCCM]:[WASH]],0,MATCH($A6,tblPiNAnalysis[[#Headers],[CCCM]:[WASH]],0))))</f>
        <v>0.77559450016616038</v>
      </c>
      <c r="C6" s="179">
        <f>IF(OR($A6=C$3,C$3="",$A6=""),"",CORREL(INDEX(tblPiNAnalysis[[CCCM]:[WASH]],0,MATCH(C$3,tblPiNAnalysis[[#Headers],[CCCM]:[WASH]],0)),INDEX(tblPiNAnalysis[[CCCM]:[WASH]],0,MATCH($A6,tblPiNAnalysis[[#Headers],[CCCM]:[WASH]],0))))</f>
        <v>0.9214506828393535</v>
      </c>
      <c r="D6" s="179" t="str">
        <f>IF(OR($A6=D$3,D$3="",$A6=""),"",CORREL(INDEX(tblPiNAnalysis[[CCCM]:[WASH]],0,MATCH(D$3,tblPiNAnalysis[[#Headers],[CCCM]:[WASH]],0)),INDEX(tblPiNAnalysis[[CCCM]:[WASH]],0,MATCH($A6,tblPiNAnalysis[[#Headers],[CCCM]:[WASH]],0))))</f>
        <v/>
      </c>
      <c r="E6" s="179"/>
      <c r="F6" s="179"/>
      <c r="G6" s="179"/>
      <c r="H6" s="179"/>
      <c r="I6" s="177"/>
      <c r="J6" s="177"/>
      <c r="K6" s="177"/>
      <c r="L6" s="177"/>
      <c r="M6" s="183"/>
      <c r="N6" s="182" t="str">
        <v>Nutrition</v>
      </c>
      <c r="O6" s="179">
        <f>IF(OR($N6=O$3,O$3="",$N6=""),"",CORREL(INDEX(tblSeverityAnalysis[[CCCM]:[WASH]],0,MATCH(O$3,tblSeverityAnalysis[[#Headers],[CCCM]:[WASH]],0)),INDEX(tblSeverityAnalysis[[CCCM]:[WASH]],0,MATCH($N6,tblSeverityAnalysis[[#Headers],[CCCM]:[WASH]],0))))</f>
        <v>-2.8329914756818463E-2</v>
      </c>
      <c r="P6" s="179">
        <f>IF(OR($N6=P$3,P$3="",$N6=""),"",CORREL(INDEX(tblSeverityAnalysis[[CCCM]:[WASH]],0,MATCH(P$3,tblSeverityAnalysis[[#Headers],[CCCM]:[WASH]],0)),INDEX(tblSeverityAnalysis[[CCCM]:[WASH]],0,MATCH($N6,tblSeverityAnalysis[[#Headers],[CCCM]:[WASH]],0))))</f>
        <v>5.3502356875503483E-3</v>
      </c>
      <c r="Q6" s="179" t="str">
        <f>IF(OR($N6=Q$3,Q$3="",$N6=""),"",CORREL(INDEX(tblSeverityAnalysis[[CCCM]:[WASH]],0,MATCH(Q$3,tblSeverityAnalysis[[#Headers],[CCCM]:[WASH]],0)),INDEX(tblSeverityAnalysis[[CCCM]:[WASH]],0,MATCH($N6,tblSeverityAnalysis[[#Headers],[CCCM]:[WASH]],0))))</f>
        <v/>
      </c>
      <c r="R6" s="179"/>
      <c r="S6" s="179"/>
      <c r="T6" s="179"/>
      <c r="U6" s="179"/>
      <c r="V6" s="177"/>
      <c r="W6" s="177"/>
      <c r="X6" s="177"/>
      <c r="Y6" s="177"/>
    </row>
    <row r="7" spans="1:25" ht="37.5" customHeight="1">
      <c r="A7" s="182" t="str">
        <v>Food Security</v>
      </c>
      <c r="B7" s="179">
        <f>IF(OR($A7=B$3,B$3="",$A7=""),"",CORREL(INDEX(tblPiNAnalysis[[CCCM]:[WASH]],0,MATCH(B$3,tblPiNAnalysis[[#Headers],[CCCM]:[WASH]],0)),INDEX(tblPiNAnalysis[[CCCM]:[WASH]],0,MATCH($A7,tblPiNAnalysis[[#Headers],[CCCM]:[WASH]],0))))</f>
        <v>0.67241021148107794</v>
      </c>
      <c r="C7" s="179">
        <f>IF(OR($A7=C$3,C$3="",$A7=""),"",CORREL(INDEX(tblPiNAnalysis[[CCCM]:[WASH]],0,MATCH(C$3,tblPiNAnalysis[[#Headers],[CCCM]:[WASH]],0)),INDEX(tblPiNAnalysis[[CCCM]:[WASH]],0,MATCH($A7,tblPiNAnalysis[[#Headers],[CCCM]:[WASH]],0))))</f>
        <v>0.91483092617364692</v>
      </c>
      <c r="D7" s="179">
        <f>IF(OR($A7=D$3,D$3="",$A7=""),"",CORREL(INDEX(tblPiNAnalysis[[CCCM]:[WASH]],0,MATCH(D$3,tblPiNAnalysis[[#Headers],[CCCM]:[WASH]],0)),INDEX(tblPiNAnalysis[[CCCM]:[WASH]],0,MATCH($A7,tblPiNAnalysis[[#Headers],[CCCM]:[WASH]],0))))</f>
        <v>0.89399966730516722</v>
      </c>
      <c r="E7" s="179" t="str">
        <f>IF(OR($A7=E$3,E$3="",$A7=""),"",CORREL(INDEX(tblPiNAnalysis[[CCCM]:[WASH]],0,MATCH(E$3,tblPiNAnalysis[[#Headers],[CCCM]:[WASH]],0)),INDEX(tblPiNAnalysis[[CCCM]:[WASH]],0,MATCH($A7,tblPiNAnalysis[[#Headers],[CCCM]:[WASH]],0))))</f>
        <v/>
      </c>
      <c r="F7" s="179"/>
      <c r="G7" s="179"/>
      <c r="H7" s="179"/>
      <c r="I7" s="177"/>
      <c r="J7" s="177"/>
      <c r="K7" s="177"/>
      <c r="L7" s="177"/>
      <c r="M7" s="183"/>
      <c r="N7" s="182" t="str">
        <v>Food Security</v>
      </c>
      <c r="O7" s="179">
        <f>IF(OR($N7=O$3,O$3="",$N7=""),"",CORREL(INDEX(tblSeverityAnalysis[[CCCM]:[WASH]],0,MATCH(O$3,tblSeverityAnalysis[[#Headers],[CCCM]:[WASH]],0)),INDEX(tblSeverityAnalysis[[CCCM]:[WASH]],0,MATCH($N7,tblSeverityAnalysis[[#Headers],[CCCM]:[WASH]],0))))</f>
        <v>-7.7397778599128303E-2</v>
      </c>
      <c r="P7" s="179">
        <f>IF(OR($N7=P$3,P$3="",$N7=""),"",CORREL(INDEX(tblSeverityAnalysis[[CCCM]:[WASH]],0,MATCH(P$3,tblSeverityAnalysis[[#Headers],[CCCM]:[WASH]],0)),INDEX(tblSeverityAnalysis[[CCCM]:[WASH]],0,MATCH($N7,tblSeverityAnalysis[[#Headers],[CCCM]:[WASH]],0))))</f>
        <v>0.18390766268375461</v>
      </c>
      <c r="Q7" s="179">
        <f>IF(OR($N7=Q$3,Q$3="",$N7=""),"",CORREL(INDEX(tblSeverityAnalysis[[CCCM]:[WASH]],0,MATCH(Q$3,tblSeverityAnalysis[[#Headers],[CCCM]:[WASH]],0)),INDEX(tblSeverityAnalysis[[CCCM]:[WASH]],0,MATCH($N7,tblSeverityAnalysis[[#Headers],[CCCM]:[WASH]],0))))</f>
        <v>0.31034822334335327</v>
      </c>
      <c r="R7" s="179" t="str">
        <f>IF(OR($N7=R$3,R$3="",$N7=""),"",CORREL(INDEX(tblSeverityAnalysis[[CCCM]:[WASH]],0,MATCH(R$3,tblSeverityAnalysis[[#Headers],[CCCM]:[WASH]],0)),INDEX(tblSeverityAnalysis[[CCCM]:[WASH]],0,MATCH($N7,tblSeverityAnalysis[[#Headers],[CCCM]:[WASH]],0))))</f>
        <v/>
      </c>
      <c r="S7" s="179"/>
      <c r="T7" s="179"/>
      <c r="U7" s="179"/>
      <c r="V7" s="177"/>
      <c r="W7" s="177"/>
      <c r="X7" s="177"/>
      <c r="Y7" s="177"/>
    </row>
    <row r="8" spans="1:25" ht="37.5" customHeight="1">
      <c r="A8" s="182" t="str">
        <v>Health</v>
      </c>
      <c r="B8" s="179">
        <f>IF(OR($A8=B$3,B$3="",$A8=""),"",CORREL(INDEX(tblPiNAnalysis[[CCCM]:[WASH]],0,MATCH(B$3,tblPiNAnalysis[[#Headers],[CCCM]:[WASH]],0)),INDEX(tblPiNAnalysis[[CCCM]:[WASH]],0,MATCH($A8,tblPiNAnalysis[[#Headers],[CCCM]:[WASH]],0))))</f>
        <v>0.74589504138483875</v>
      </c>
      <c r="C8" s="179">
        <f>IF(OR($A8=C$3,C$3="",$A8=""),"",CORREL(INDEX(tblPiNAnalysis[[CCCM]:[WASH]],0,MATCH(C$3,tblPiNAnalysis[[#Headers],[CCCM]:[WASH]],0)),INDEX(tblPiNAnalysis[[CCCM]:[WASH]],0,MATCH($A8,tblPiNAnalysis[[#Headers],[CCCM]:[WASH]],0))))</f>
        <v>0.89285576900146679</v>
      </c>
      <c r="D8" s="179">
        <f>IF(OR($A8=D$3,D$3="",$A8=""),"",CORREL(INDEX(tblPiNAnalysis[[CCCM]:[WASH]],0,MATCH(D$3,tblPiNAnalysis[[#Headers],[CCCM]:[WASH]],0)),INDEX(tblPiNAnalysis[[CCCM]:[WASH]],0,MATCH($A8,tblPiNAnalysis[[#Headers],[CCCM]:[WASH]],0))))</f>
        <v>0.91198028790843788</v>
      </c>
      <c r="E8" s="179">
        <f>IF(OR($A8=E$3,E$3="",$A8=""),"",CORREL(INDEX(tblPiNAnalysis[[CCCM]:[WASH]],0,MATCH(E$3,tblPiNAnalysis[[#Headers],[CCCM]:[WASH]],0)),INDEX(tblPiNAnalysis[[CCCM]:[WASH]],0,MATCH($A8,tblPiNAnalysis[[#Headers],[CCCM]:[WASH]],0))))</f>
        <v>0.84574342754949772</v>
      </c>
      <c r="F8" s="179" t="str">
        <f>IF(OR($A8=F$3,F$3="",$A8=""),"",CORREL(INDEX(tblPiNAnalysis[[CCCM]:[WASH]],0,MATCH(F$3,tblPiNAnalysis[[#Headers],[CCCM]:[WASH]],0)),INDEX(tblPiNAnalysis[[CCCM]:[WASH]],0,MATCH($A8,tblPiNAnalysis[[#Headers],[CCCM]:[WASH]],0))))</f>
        <v/>
      </c>
      <c r="G8" s="179"/>
      <c r="H8" s="179"/>
      <c r="I8" s="177"/>
      <c r="J8" s="177"/>
      <c r="K8" s="177"/>
      <c r="L8" s="177"/>
      <c r="M8" s="183"/>
      <c r="N8" s="182" t="str">
        <v>Health</v>
      </c>
      <c r="O8" s="179">
        <f>IF(OR($N8=O$3,O$3="",$N8=""),"",CORREL(INDEX(tblSeverityAnalysis[[CCCM]:[WASH]],0,MATCH(O$3,tblSeverityAnalysis[[#Headers],[CCCM]:[WASH]],0)),INDEX(tblSeverityAnalysis[[CCCM]:[WASH]],0,MATCH($N8,tblSeverityAnalysis[[#Headers],[CCCM]:[WASH]],0))))</f>
        <v>0.32189561515629894</v>
      </c>
      <c r="P8" s="179">
        <f>IF(OR($N8=P$3,P$3="",$N8=""),"",CORREL(INDEX(tblSeverityAnalysis[[CCCM]:[WASH]],0,MATCH(P$3,tblSeverityAnalysis[[#Headers],[CCCM]:[WASH]],0)),INDEX(tblSeverityAnalysis[[CCCM]:[WASH]],0,MATCH($N8,tblSeverityAnalysis[[#Headers],[CCCM]:[WASH]],0))))</f>
        <v>0.11857416718638919</v>
      </c>
      <c r="Q8" s="179">
        <f>IF(OR($N8=Q$3,Q$3="",$N8=""),"",CORREL(INDEX(tblSeverityAnalysis[[CCCM]:[WASH]],0,MATCH(Q$3,tblSeverityAnalysis[[#Headers],[CCCM]:[WASH]],0)),INDEX(tblSeverityAnalysis[[CCCM]:[WASH]],0,MATCH($N8,tblSeverityAnalysis[[#Headers],[CCCM]:[WASH]],0))))</f>
        <v>-5.7132248821899056E-3</v>
      </c>
      <c r="R8" s="179">
        <f>IF(OR($N8=R$3,R$3="",$N8=""),"",CORREL(INDEX(tblSeverityAnalysis[[CCCM]:[WASH]],0,MATCH(R$3,tblSeverityAnalysis[[#Headers],[CCCM]:[WASH]],0)),INDEX(tblSeverityAnalysis[[CCCM]:[WASH]],0,MATCH($N8,tblSeverityAnalysis[[#Headers],[CCCM]:[WASH]],0))))</f>
        <v>0.26809928918595538</v>
      </c>
      <c r="S8" s="179" t="str">
        <f>IF(OR($N8=S$3,S$3="",$N8=""),"",CORREL(INDEX(tblSeverityAnalysis[[CCCM]:[WASH]],0,MATCH(S$3,tblSeverityAnalysis[[#Headers],[CCCM]:[WASH]],0)),INDEX(tblSeverityAnalysis[[CCCM]:[WASH]],0,MATCH($N8,tblSeverityAnalysis[[#Headers],[CCCM]:[WASH]],0))))</f>
        <v/>
      </c>
      <c r="T8" s="179"/>
      <c r="U8" s="179"/>
      <c r="V8" s="177"/>
      <c r="W8" s="177"/>
      <c r="X8" s="177"/>
      <c r="Y8" s="177"/>
    </row>
    <row r="9" spans="1:25" ht="37.5" customHeight="1">
      <c r="A9" s="182" t="str">
        <v>Protection</v>
      </c>
      <c r="B9" s="179">
        <f>IF(OR($A9=B$3,B$3="",$A9=""),"",CORREL(INDEX(tblPiNAnalysis[[CCCM]:[WASH]],0,MATCH(B$3,tblPiNAnalysis[[#Headers],[CCCM]:[WASH]],0)),INDEX(tblPiNAnalysis[[CCCM]:[WASH]],0,MATCH($A9,tblPiNAnalysis[[#Headers],[CCCM]:[WASH]],0))))</f>
        <v>0.96540467925022</v>
      </c>
      <c r="C9" s="179">
        <f>IF(OR($A9=C$3,C$3="",$A9=""),"",CORREL(INDEX(tblPiNAnalysis[[CCCM]:[WASH]],0,MATCH(C$3,tblPiNAnalysis[[#Headers],[CCCM]:[WASH]],0)),INDEX(tblPiNAnalysis[[CCCM]:[WASH]],0,MATCH($A9,tblPiNAnalysis[[#Headers],[CCCM]:[WASH]],0))))</f>
        <v>0.67814046120789151</v>
      </c>
      <c r="D9" s="179">
        <f>IF(OR($A9=D$3,D$3="",$A9=""),"",CORREL(INDEX(tblPiNAnalysis[[CCCM]:[WASH]],0,MATCH(D$3,tblPiNAnalysis[[#Headers],[CCCM]:[WASH]],0)),INDEX(tblPiNAnalysis[[CCCM]:[WASH]],0,MATCH($A9,tblPiNAnalysis[[#Headers],[CCCM]:[WASH]],0))))</f>
        <v>0.76894552071727484</v>
      </c>
      <c r="E9" s="179">
        <f>IF(OR($A9=E$3,E$3="",$A9=""),"",CORREL(INDEX(tblPiNAnalysis[[CCCM]:[WASH]],0,MATCH(E$3,tblPiNAnalysis[[#Headers],[CCCM]:[WASH]],0)),INDEX(tblPiNAnalysis[[CCCM]:[WASH]],0,MATCH($A9,tblPiNAnalysis[[#Headers],[CCCM]:[WASH]],0))))</f>
        <v>0.67094339408488135</v>
      </c>
      <c r="F9" s="179">
        <f>IF(OR($A9=F$3,F$3="",$A9=""),"",CORREL(INDEX(tblPiNAnalysis[[CCCM]:[WASH]],0,MATCH(F$3,tblPiNAnalysis[[#Headers],[CCCM]:[WASH]],0)),INDEX(tblPiNAnalysis[[CCCM]:[WASH]],0,MATCH($A9,tblPiNAnalysis[[#Headers],[CCCM]:[WASH]],0))))</f>
        <v>0.76631455491513056</v>
      </c>
      <c r="G9" s="179" t="str">
        <f>IF(OR($A9=G$3,G$3="",$A9=""),"",CORREL(INDEX(tblPiNAnalysis[[CCCM]:[WASH]],0,MATCH(G$3,tblPiNAnalysis[[#Headers],[CCCM]:[WASH]],0)),INDEX(tblPiNAnalysis[[CCCM]:[WASH]],0,MATCH($A9,tblPiNAnalysis[[#Headers],[CCCM]:[WASH]],0))))</f>
        <v/>
      </c>
      <c r="H9" s="179"/>
      <c r="I9" s="177"/>
      <c r="J9" s="177"/>
      <c r="K9" s="177"/>
      <c r="L9" s="177"/>
      <c r="M9" s="183"/>
      <c r="N9" s="182" t="str">
        <v>Protection</v>
      </c>
      <c r="O9" s="179">
        <f>IF(OR($N9=O$3,O$3="",$N9=""),"",CORREL(INDEX(tblSeverityAnalysis[[CCCM]:[WASH]],0,MATCH(O$3,tblSeverityAnalysis[[#Headers],[CCCM]:[WASH]],0)),INDEX(tblSeverityAnalysis[[CCCM]:[WASH]],0,MATCH($N9,tblSeverityAnalysis[[#Headers],[CCCM]:[WASH]],0))))</f>
        <v>0.24466154429988032</v>
      </c>
      <c r="P9" s="179">
        <f>IF(OR($N9=P$3,P$3="",$N9=""),"",CORREL(INDEX(tblSeverityAnalysis[[CCCM]:[WASH]],0,MATCH(P$3,tblSeverityAnalysis[[#Headers],[CCCM]:[WASH]],0)),INDEX(tblSeverityAnalysis[[CCCM]:[WASH]],0,MATCH($N9,tblSeverityAnalysis[[#Headers],[CCCM]:[WASH]],0))))</f>
        <v>0.32027518927023568</v>
      </c>
      <c r="Q9" s="179">
        <f>IF(OR($N9=Q$3,Q$3="",$N9=""),"",CORREL(INDEX(tblSeverityAnalysis[[CCCM]:[WASH]],0,MATCH(Q$3,tblSeverityAnalysis[[#Headers],[CCCM]:[WASH]],0)),INDEX(tblSeverityAnalysis[[CCCM]:[WASH]],0,MATCH($N9,tblSeverityAnalysis[[#Headers],[CCCM]:[WASH]],0))))</f>
        <v>5.0512438103701193E-2</v>
      </c>
      <c r="R9" s="179">
        <f>IF(OR($N9=R$3,R$3="",$N9=""),"",CORREL(INDEX(tblSeverityAnalysis[[CCCM]:[WASH]],0,MATCH(R$3,tblSeverityAnalysis[[#Headers],[CCCM]:[WASH]],0)),INDEX(tblSeverityAnalysis[[CCCM]:[WASH]],0,MATCH($N9,tblSeverityAnalysis[[#Headers],[CCCM]:[WASH]],0))))</f>
        <v>0.25485365432435214</v>
      </c>
      <c r="S9" s="179">
        <f>IF(OR($N9=S$3,S$3="",$N9=""),"",CORREL(INDEX(tblSeverityAnalysis[[CCCM]:[WASH]],0,MATCH(S$3,tblSeverityAnalysis[[#Headers],[CCCM]:[WASH]],0)),INDEX(tblSeverityAnalysis[[CCCM]:[WASH]],0,MATCH($N9,tblSeverityAnalysis[[#Headers],[CCCM]:[WASH]],0))))</f>
        <v>0.62548773363113741</v>
      </c>
      <c r="T9" s="179" t="str">
        <f>IF(OR($N9=T$3,T$3="",$N9=""),"",CORREL(INDEX(tblSeverityAnalysis[[CCCM]:[WASH]],0,MATCH(T$3,tblSeverityAnalysis[[#Headers],[CCCM]:[WASH]],0)),INDEX(tblSeverityAnalysis[[CCCM]:[WASH]],0,MATCH($N9,tblSeverityAnalysis[[#Headers],[CCCM]:[WASH]],0))))</f>
        <v/>
      </c>
      <c r="U9" s="179"/>
      <c r="V9" s="177"/>
      <c r="W9" s="177"/>
      <c r="X9" s="177"/>
      <c r="Y9" s="177"/>
    </row>
    <row r="10" spans="1:25" ht="37.5" customHeight="1">
      <c r="A10" s="182" t="str">
        <v>Shelter</v>
      </c>
      <c r="B10" s="179">
        <f>IF(OR($A10=B$3,B$3="",$A10=""),"",CORREL(INDEX(tblPiNAnalysis[[CCCM]:[WASH]],0,MATCH(B$3,tblPiNAnalysis[[#Headers],[CCCM]:[WASH]],0)),INDEX(tblPiNAnalysis[[CCCM]:[WASH]],0,MATCH($A10,tblPiNAnalysis[[#Headers],[CCCM]:[WASH]],0))))</f>
        <v>0.70046618654629433</v>
      </c>
      <c r="C10" s="179">
        <f>IF(OR($A10=C$3,C$3="",$A10=""),"",CORREL(INDEX(tblPiNAnalysis[[CCCM]:[WASH]],0,MATCH(C$3,tblPiNAnalysis[[#Headers],[CCCM]:[WASH]],0)),INDEX(tblPiNAnalysis[[CCCM]:[WASH]],0,MATCH($A10,tblPiNAnalysis[[#Headers],[CCCM]:[WASH]],0))))</f>
        <v>0.78655199373470652</v>
      </c>
      <c r="D10" s="179">
        <f>IF(OR($A10=D$3,D$3="",$A10=""),"",CORREL(INDEX(tblPiNAnalysis[[CCCM]:[WASH]],0,MATCH(D$3,tblPiNAnalysis[[#Headers],[CCCM]:[WASH]],0)),INDEX(tblPiNAnalysis[[CCCM]:[WASH]],0,MATCH($A10,tblPiNAnalysis[[#Headers],[CCCM]:[WASH]],0))))</f>
        <v>0.82199918990995247</v>
      </c>
      <c r="E10" s="179">
        <f>IF(OR($A10=E$3,E$3="",$A10=""),"",CORREL(INDEX(tblPiNAnalysis[[CCCM]:[WASH]],0,MATCH(E$3,tblPiNAnalysis[[#Headers],[CCCM]:[WASH]],0)),INDEX(tblPiNAnalysis[[CCCM]:[WASH]],0,MATCH($A10,tblPiNAnalysis[[#Headers],[CCCM]:[WASH]],0))))</f>
        <v>0.81498776388162697</v>
      </c>
      <c r="F10" s="179">
        <f>IF(OR($A10=F$3,F$3="",$A10=""),"",CORREL(INDEX(tblPiNAnalysis[[CCCM]:[WASH]],0,MATCH(F$3,tblPiNAnalysis[[#Headers],[CCCM]:[WASH]],0)),INDEX(tblPiNAnalysis[[CCCM]:[WASH]],0,MATCH($A10,tblPiNAnalysis[[#Headers],[CCCM]:[WASH]],0))))</f>
        <v>0.64343874604009499</v>
      </c>
      <c r="G10" s="179">
        <f>IF(OR($A10=G$3,G$3="",$A10=""),"",CORREL(INDEX(tblPiNAnalysis[[CCCM]:[WASH]],0,MATCH(G$3,tblPiNAnalysis[[#Headers],[CCCM]:[WASH]],0)),INDEX(tblPiNAnalysis[[CCCM]:[WASH]],0,MATCH($A10,tblPiNAnalysis[[#Headers],[CCCM]:[WASH]],0))))</f>
        <v>0.68728513313694106</v>
      </c>
      <c r="H10" s="179" t="str">
        <f>IF(OR($A10=H$3,H$3="",$A10=""),"",CORREL(INDEX(tblPiNAnalysis[[CCCM]:[WASH]],0,MATCH(H$3,tblPiNAnalysis[[#Headers],[CCCM]:[WASH]],0)),INDEX(tblPiNAnalysis[[CCCM]:[WASH]],0,MATCH($A10,tblPiNAnalysis[[#Headers],[CCCM]:[WASH]],0))))</f>
        <v/>
      </c>
      <c r="I10" s="177"/>
      <c r="J10" s="177"/>
      <c r="K10" s="177"/>
      <c r="L10" s="177"/>
      <c r="M10" s="183"/>
      <c r="N10" s="182" t="str">
        <v>Shelter</v>
      </c>
      <c r="O10" s="179">
        <f>IF(OR($N10=O$3,O$3="",$N10=""),"",CORREL(INDEX(tblSeverityAnalysis[[CCCM]:[WASH]],0,MATCH(O$3,tblSeverityAnalysis[[#Headers],[CCCM]:[WASH]],0)),INDEX(tblSeverityAnalysis[[CCCM]:[WASH]],0,MATCH($N10,tblSeverityAnalysis[[#Headers],[CCCM]:[WASH]],0))))</f>
        <v>0.25686519744829084</v>
      </c>
      <c r="P10" s="179">
        <f>IF(OR($N10=P$3,P$3="",$N10=""),"",CORREL(INDEX(tblSeverityAnalysis[[CCCM]:[WASH]],0,MATCH(P$3,tblSeverityAnalysis[[#Headers],[CCCM]:[WASH]],0)),INDEX(tblSeverityAnalysis[[CCCM]:[WASH]],0,MATCH($N10,tblSeverityAnalysis[[#Headers],[CCCM]:[WASH]],0))))</f>
        <v>5.3567520975190748E-2</v>
      </c>
      <c r="Q10" s="179">
        <f>IF(OR($N10=Q$3,Q$3="",$N10=""),"",CORREL(INDEX(tblSeverityAnalysis[[CCCM]:[WASH]],0,MATCH(Q$3,tblSeverityAnalysis[[#Headers],[CCCM]:[WASH]],0)),INDEX(tblSeverityAnalysis[[CCCM]:[WASH]],0,MATCH($N10,tblSeverityAnalysis[[#Headers],[CCCM]:[WASH]],0))))</f>
        <v>0.24253483665939204</v>
      </c>
      <c r="R10" s="179">
        <f>IF(OR($N10=R$3,R$3="",$N10=""),"",CORREL(INDEX(tblSeverityAnalysis[[CCCM]:[WASH]],0,MATCH(R$3,tblSeverityAnalysis[[#Headers],[CCCM]:[WASH]],0)),INDEX(tblSeverityAnalysis[[CCCM]:[WASH]],0,MATCH($N10,tblSeverityAnalysis[[#Headers],[CCCM]:[WASH]],0))))</f>
        <v>6.924168823559447E-2</v>
      </c>
      <c r="S10" s="179">
        <f>IF(OR($N10=S$3,S$3="",$N10=""),"",CORREL(INDEX(tblSeverityAnalysis[[CCCM]:[WASH]],0,MATCH(S$3,tblSeverityAnalysis[[#Headers],[CCCM]:[WASH]],0)),INDEX(tblSeverityAnalysis[[CCCM]:[WASH]],0,MATCH($N10,tblSeverityAnalysis[[#Headers],[CCCM]:[WASH]],0))))</f>
        <v>0.2386009284189137</v>
      </c>
      <c r="T10" s="179">
        <f>IF(OR($N10=T$3,T$3="",$N10=""),"",CORREL(INDEX(tblSeverityAnalysis[[CCCM]:[WASH]],0,MATCH(T$3,tblSeverityAnalysis[[#Headers],[CCCM]:[WASH]],0)),INDEX(tblSeverityAnalysis[[CCCM]:[WASH]],0,MATCH($N10,tblSeverityAnalysis[[#Headers],[CCCM]:[WASH]],0))))</f>
        <v>0.13683775082570979</v>
      </c>
      <c r="U10" s="179" t="str">
        <f>IF(OR($N10=U$3,U$3="",$N10=""),"",CORREL(INDEX(tblSeverityAnalysis[[CCCM]:[WASH]],0,MATCH(U$3,tblSeverityAnalysis[[#Headers],[CCCM]:[WASH]],0)),INDEX(tblSeverityAnalysis[[CCCM]:[WASH]],0,MATCH($N10,tblSeverityAnalysis[[#Headers],[CCCM]:[WASH]],0))))</f>
        <v/>
      </c>
      <c r="V10" s="177"/>
      <c r="W10" s="177"/>
      <c r="X10" s="177"/>
      <c r="Y10" s="177"/>
    </row>
    <row r="11" spans="1:25" ht="37.5" customHeight="1">
      <c r="A11" s="182" t="str">
        <v>WASH</v>
      </c>
      <c r="B11" s="179">
        <f>IF(OR($A11=B$3,B$3="",$A11=""),"",CORREL(INDEX(tblPiNAnalysis[[CCCM]:[WASH]],0,MATCH(B$3,tblPiNAnalysis[[#Headers],[CCCM]:[WASH]],0)),INDEX(tblPiNAnalysis[[CCCM]:[WASH]],0,MATCH($A11,tblPiNAnalysis[[#Headers],[CCCM]:[WASH]],0))))</f>
        <v>0.64982962623522922</v>
      </c>
      <c r="C11" s="179">
        <f>IF(OR($A11=C$3,C$3="",$A11=""),"",CORREL(INDEX(tblPiNAnalysis[[CCCM]:[WASH]],0,MATCH(C$3,tblPiNAnalysis[[#Headers],[CCCM]:[WASH]],0)),INDEX(tblPiNAnalysis[[CCCM]:[WASH]],0,MATCH($A11,tblPiNAnalysis[[#Headers],[CCCM]:[WASH]],0))))</f>
        <v>0.79750431340319761</v>
      </c>
      <c r="D11" s="179">
        <f>IF(OR($A11=D$3,D$3="",$A11=""),"",CORREL(INDEX(tblPiNAnalysis[[CCCM]:[WASH]],0,MATCH(D$3,tblPiNAnalysis[[#Headers],[CCCM]:[WASH]],0)),INDEX(tblPiNAnalysis[[CCCM]:[WASH]],0,MATCH($A11,tblPiNAnalysis[[#Headers],[CCCM]:[WASH]],0))))</f>
        <v>0.76320075392403786</v>
      </c>
      <c r="E11" s="179">
        <f>IF(OR($A11=E$3,E$3="",$A11=""),"",CORREL(INDEX(tblPiNAnalysis[[CCCM]:[WASH]],0,MATCH(E$3,tblPiNAnalysis[[#Headers],[CCCM]:[WASH]],0)),INDEX(tblPiNAnalysis[[CCCM]:[WASH]],0,MATCH($A11,tblPiNAnalysis[[#Headers],[CCCM]:[WASH]],0))))</f>
        <v>0.83096984261308438</v>
      </c>
      <c r="F11" s="179">
        <f>IF(OR($A11=F$3,F$3="",$A11=""),"",CORREL(INDEX(tblPiNAnalysis[[CCCM]:[WASH]],0,MATCH(F$3,tblPiNAnalysis[[#Headers],[CCCM]:[WASH]],0)),INDEX(tblPiNAnalysis[[CCCM]:[WASH]],0,MATCH($A11,tblPiNAnalysis[[#Headers],[CCCM]:[WASH]],0))))</f>
        <v>0.75798548218464357</v>
      </c>
      <c r="G11" s="179">
        <f>IF(OR($A11=G$3,G$3="",$A11=""),"",CORREL(INDEX(tblPiNAnalysis[[CCCM]:[WASH]],0,MATCH(G$3,tblPiNAnalysis[[#Headers],[CCCM]:[WASH]],0)),INDEX(tblPiNAnalysis[[CCCM]:[WASH]],0,MATCH($A11,tblPiNAnalysis[[#Headers],[CCCM]:[WASH]],0))))</f>
        <v>0.67274537461373973</v>
      </c>
      <c r="H11" s="179">
        <f>IF(OR($A11=H$3,H$3="",$A11=""),"",CORREL(INDEX(tblPiNAnalysis[[CCCM]:[WASH]],0,MATCH(H$3,tblPiNAnalysis[[#Headers],[CCCM]:[WASH]],0)),INDEX(tblPiNAnalysis[[CCCM]:[WASH]],0,MATCH($A11,tblPiNAnalysis[[#Headers],[CCCM]:[WASH]],0))))</f>
        <v>0.69716355114193684</v>
      </c>
      <c r="I11" s="177" t="str">
        <f>IF(OR($A11=I$3,I$3="",$A11=""),"",CORREL(INDEX(tblPiNAnalysis[[CCCM]:[WASH]],0,MATCH(I$3,tblPiNAnalysis[[#Headers],[CCCM]:[WASH]],0)),INDEX(tblPiNAnalysis[[CCCM]:[WASH]],0,MATCH($A11,tblPiNAnalysis[[#Headers],[CCCM]:[WASH]],0))))</f>
        <v/>
      </c>
      <c r="J11" s="177"/>
      <c r="K11" s="177"/>
      <c r="L11" s="177"/>
      <c r="M11" s="183"/>
      <c r="N11" s="182" t="str">
        <v>WASH</v>
      </c>
      <c r="O11" s="179">
        <f>IF(OR($N11=O$3,O$3="",$N11=""),"",CORREL(INDEX(tblSeverityAnalysis[[CCCM]:[WASH]],0,MATCH(O$3,tblSeverityAnalysis[[#Headers],[CCCM]:[WASH]],0)),INDEX(tblSeverityAnalysis[[CCCM]:[WASH]],0,MATCH($N11,tblSeverityAnalysis[[#Headers],[CCCM]:[WASH]],0))))</f>
        <v>0.12142646559339258</v>
      </c>
      <c r="P11" s="179">
        <f>IF(OR($N11=P$3,P$3="",$N11=""),"",CORREL(INDEX(tblSeverityAnalysis[[CCCM]:[WASH]],0,MATCH(P$3,tblSeverityAnalysis[[#Headers],[CCCM]:[WASH]],0)),INDEX(tblSeverityAnalysis[[CCCM]:[WASH]],0,MATCH($N11,tblSeverityAnalysis[[#Headers],[CCCM]:[WASH]],0))))</f>
        <v>1.8424266632241306E-2</v>
      </c>
      <c r="Q11" s="179">
        <f>IF(OR($N11=Q$3,Q$3="",$N11=""),"",CORREL(INDEX(tblSeverityAnalysis[[CCCM]:[WASH]],0,MATCH(Q$3,tblSeverityAnalysis[[#Headers],[CCCM]:[WASH]],0)),INDEX(tblSeverityAnalysis[[CCCM]:[WASH]],0,MATCH($N11,tblSeverityAnalysis[[#Headers],[CCCM]:[WASH]],0))))</f>
        <v>-2.6001177356934475E-2</v>
      </c>
      <c r="R11" s="179">
        <f>IF(OR($N11=R$3,R$3="",$N11=""),"",CORREL(INDEX(tblSeverityAnalysis[[CCCM]:[WASH]],0,MATCH(R$3,tblSeverityAnalysis[[#Headers],[CCCM]:[WASH]],0)),INDEX(tblSeverityAnalysis[[CCCM]:[WASH]],0,MATCH($N11,tblSeverityAnalysis[[#Headers],[CCCM]:[WASH]],0))))</f>
        <v>0.11703973337396535</v>
      </c>
      <c r="S11" s="179">
        <f>IF(OR($N11=S$3,S$3="",$N11=""),"",CORREL(INDEX(tblSeverityAnalysis[[CCCM]:[WASH]],0,MATCH(S$3,tblSeverityAnalysis[[#Headers],[CCCM]:[WASH]],0)),INDEX(tblSeverityAnalysis[[CCCM]:[WASH]],0,MATCH($N11,tblSeverityAnalysis[[#Headers],[CCCM]:[WASH]],0))))</f>
        <v>0.21072178073130285</v>
      </c>
      <c r="T11" s="179">
        <f>IF(OR($N11=T$3,T$3="",$N11=""),"",CORREL(INDEX(tblSeverityAnalysis[[CCCM]:[WASH]],0,MATCH(T$3,tblSeverityAnalysis[[#Headers],[CCCM]:[WASH]],0)),INDEX(tblSeverityAnalysis[[CCCM]:[WASH]],0,MATCH($N11,tblSeverityAnalysis[[#Headers],[CCCM]:[WASH]],0))))</f>
        <v>0.30048951927440004</v>
      </c>
      <c r="U11" s="179">
        <f>IF(OR($N11=U$3,U$3="",$N11=""),"",CORREL(INDEX(tblSeverityAnalysis[[CCCM]:[WASH]],0,MATCH(U$3,tblSeverityAnalysis[[#Headers],[CCCM]:[WASH]],0)),INDEX(tblSeverityAnalysis[[CCCM]:[WASH]],0,MATCH($N11,tblSeverityAnalysis[[#Headers],[CCCM]:[WASH]],0))))</f>
        <v>0.22918761950675534</v>
      </c>
      <c r="V11" s="177" t="str">
        <f>IF(OR($A11=V$3,V$3="",$A11=""),"",CORREL(INDEX(tblPiNAnalysis[[CCCM]:[WASH]],0,MATCH(V$3,tblPiNAnalysis[[#Headers],[CCCM]:[WASH]],0)),INDEX(tblPiNAnalysis[[CCCM]:[WASH]],0,MATCH($A11,tblPiNAnalysis[[#Headers],[CCCM]:[WASH]],0))))</f>
        <v/>
      </c>
      <c r="W11" s="177"/>
      <c r="X11" s="177"/>
      <c r="Y11" s="177"/>
    </row>
    <row r="12" spans="1:25" ht="37.5" customHeight="1">
      <c r="A12" s="182"/>
      <c r="B12" s="179" t="str">
        <f>IF(OR($A12=B$3,B$3="",$A12=""),"",CORREL(INDEX(tblPiNAnalysis[[CCCM]:[WASH]],0,MATCH(B$3,tblPiNAnalysis[[#Headers],[CCCM]:[WASH]],0)),INDEX(tblPiNAnalysis[[CCCM]:[WASH]],0,MATCH($A12,tblPiNAnalysis[[#Headers],[CCCM]:[WASH]],0))))</f>
        <v/>
      </c>
      <c r="C12" s="179" t="str">
        <f>IF(OR($A12=C$3,C$3="",$A12=""),"",CORREL(INDEX(tblPiNAnalysis[[CCCM]:[WASH]],0,MATCH(C$3,tblPiNAnalysis[[#Headers],[CCCM]:[WASH]],0)),INDEX(tblPiNAnalysis[[CCCM]:[WASH]],0,MATCH($A12,tblPiNAnalysis[[#Headers],[CCCM]:[WASH]],0))))</f>
        <v/>
      </c>
      <c r="D12" s="179" t="str">
        <f>IF(OR($A12=D$3,D$3="",$A12=""),"",CORREL(INDEX(tblPiNAnalysis[[CCCM]:[WASH]],0,MATCH(D$3,tblPiNAnalysis[[#Headers],[CCCM]:[WASH]],0)),INDEX(tblPiNAnalysis[[CCCM]:[WASH]],0,MATCH($A12,tblPiNAnalysis[[#Headers],[CCCM]:[WASH]],0))))</f>
        <v/>
      </c>
      <c r="E12" s="179" t="str">
        <f>IF(OR($A12=E$3,E$3="",$A12=""),"",CORREL(INDEX(tblPiNAnalysis[[CCCM]:[WASH]],0,MATCH(E$3,tblPiNAnalysis[[#Headers],[CCCM]:[WASH]],0)),INDEX(tblPiNAnalysis[[CCCM]:[WASH]],0,MATCH($A12,tblPiNAnalysis[[#Headers],[CCCM]:[WASH]],0))))</f>
        <v/>
      </c>
      <c r="F12" s="179" t="str">
        <f>IF(OR($A12=F$3,F$3="",$A12=""),"",CORREL(INDEX(tblPiNAnalysis[[CCCM]:[WASH]],0,MATCH(F$3,tblPiNAnalysis[[#Headers],[CCCM]:[WASH]],0)),INDEX(tblPiNAnalysis[[CCCM]:[WASH]],0,MATCH($A12,tblPiNAnalysis[[#Headers],[CCCM]:[WASH]],0))))</f>
        <v/>
      </c>
      <c r="G12" s="179" t="str">
        <f>IF(OR($A12=G$3,G$3="",$A12=""),"",CORREL(INDEX(tblPiNAnalysis[[CCCM]:[WASH]],0,MATCH(G$3,tblPiNAnalysis[[#Headers],[CCCM]:[WASH]],0)),INDEX(tblPiNAnalysis[[CCCM]:[WASH]],0,MATCH($A12,tblPiNAnalysis[[#Headers],[CCCM]:[WASH]],0))))</f>
        <v/>
      </c>
      <c r="H12" s="179" t="str">
        <f>IF(OR($A12=H$3,H$3="",$A12=""),"",CORREL(INDEX(tblPiNAnalysis[[CCCM]:[WASH]],0,MATCH(H$3,tblPiNAnalysis[[#Headers],[CCCM]:[WASH]],0)),INDEX(tblPiNAnalysis[[CCCM]:[WASH]],0,MATCH($A12,tblPiNAnalysis[[#Headers],[CCCM]:[WASH]],0))))</f>
        <v/>
      </c>
      <c r="I12" s="177" t="str">
        <f>IF(OR($A12=I$3,I$3="",$A12=""),"",CORREL(INDEX(tblPiNAnalysis[[CCCM]:[WASH]],0,MATCH(I$3,tblPiNAnalysis[[#Headers],[CCCM]:[WASH]],0)),INDEX(tblPiNAnalysis[[CCCM]:[WASH]],0,MATCH($A12,tblPiNAnalysis[[#Headers],[CCCM]:[WASH]],0))))</f>
        <v/>
      </c>
      <c r="J12" s="177" t="str">
        <f>IF(OR($A12=J$3,J$3="",$A12=""),"",CORREL(INDEX(tblPiNAnalysis[[CCCM]:[WASH]],0,MATCH(J$3,tblPiNAnalysis[[#Headers],[CCCM]:[WASH]],0)),INDEX(tblPiNAnalysis[[CCCM]:[WASH]],0,MATCH($A12,tblPiNAnalysis[[#Headers],[CCCM]:[WASH]],0))))</f>
        <v/>
      </c>
      <c r="K12" s="177"/>
      <c r="L12" s="177"/>
      <c r="M12" s="183"/>
      <c r="N12" s="182"/>
      <c r="O12" s="179" t="str">
        <f>IF(OR($N12=O$3,O$3="",$N12=""),"",CORREL(INDEX(tblSeverityAnalysis[[CCCM]:[WASH]],0,MATCH(O$3,tblSeverityAnalysis[[#Headers],[CCCM]:[WASH]],0)),INDEX(tblSeverityAnalysis[[CCCM]:[WASH]],0,MATCH($N12,tblSeverityAnalysis[[#Headers],[CCCM]:[WASH]],0))))</f>
        <v/>
      </c>
      <c r="P12" s="179" t="str">
        <f>IF(OR($N12=P$3,P$3="",$N12=""),"",CORREL(INDEX(tblSeverityAnalysis[[CCCM]:[WASH]],0,MATCH(P$3,tblSeverityAnalysis[[#Headers],[CCCM]:[WASH]],0)),INDEX(tblSeverityAnalysis[[CCCM]:[WASH]],0,MATCH($N12,tblSeverityAnalysis[[#Headers],[CCCM]:[WASH]],0))))</f>
        <v/>
      </c>
      <c r="Q12" s="179" t="str">
        <f>IF(OR($N12=Q$3,Q$3="",$N12=""),"",CORREL(INDEX(tblSeverityAnalysis[[CCCM]:[WASH]],0,MATCH(Q$3,tblSeverityAnalysis[[#Headers],[CCCM]:[WASH]],0)),INDEX(tblSeverityAnalysis[[CCCM]:[WASH]],0,MATCH($N12,tblSeverityAnalysis[[#Headers],[CCCM]:[WASH]],0))))</f>
        <v/>
      </c>
      <c r="R12" s="179" t="str">
        <f>IF(OR($N12=R$3,R$3="",$N12=""),"",CORREL(INDEX(tblSeverityAnalysis[[CCCM]:[WASH]],0,MATCH(R$3,tblSeverityAnalysis[[#Headers],[CCCM]:[WASH]],0)),INDEX(tblSeverityAnalysis[[CCCM]:[WASH]],0,MATCH($N12,tblSeverityAnalysis[[#Headers],[CCCM]:[WASH]],0))))</f>
        <v/>
      </c>
      <c r="S12" s="179" t="str">
        <f>IF(OR($N12=S$3,S$3="",$N12=""),"",CORREL(INDEX(tblSeverityAnalysis[[CCCM]:[WASH]],0,MATCH(S$3,tblSeverityAnalysis[[#Headers],[CCCM]:[WASH]],0)),INDEX(tblSeverityAnalysis[[CCCM]:[WASH]],0,MATCH($N12,tblSeverityAnalysis[[#Headers],[CCCM]:[WASH]],0))))</f>
        <v/>
      </c>
      <c r="T12" s="179" t="str">
        <f>IF(OR($N12=T$3,T$3="",$N12=""),"",CORREL(INDEX(tblSeverityAnalysis[[CCCM]:[WASH]],0,MATCH(T$3,tblSeverityAnalysis[[#Headers],[CCCM]:[WASH]],0)),INDEX(tblSeverityAnalysis[[CCCM]:[WASH]],0,MATCH($N12,tblSeverityAnalysis[[#Headers],[CCCM]:[WASH]],0))))</f>
        <v/>
      </c>
      <c r="U12" s="179" t="str">
        <f>IF(OR($N12=U$3,U$3="",$N12=""),"",CORREL(INDEX(tblSeverityAnalysis[[CCCM]:[WASH]],0,MATCH(U$3,tblSeverityAnalysis[[#Headers],[CCCM]:[WASH]],0)),INDEX(tblSeverityAnalysis[[CCCM]:[WASH]],0,MATCH($N12,tblSeverityAnalysis[[#Headers],[CCCM]:[WASH]],0))))</f>
        <v/>
      </c>
      <c r="V12" s="177" t="str">
        <f>IF(OR($A12=V$3,V$3="",$A12=""),"",CORREL(INDEX(tblPiNAnalysis[[CCCM]:[WASH]],0,MATCH(V$3,tblPiNAnalysis[[#Headers],[CCCM]:[WASH]],0)),INDEX(tblPiNAnalysis[[CCCM]:[WASH]],0,MATCH($A12,tblPiNAnalysis[[#Headers],[CCCM]:[WASH]],0))))</f>
        <v/>
      </c>
      <c r="W12" s="177" t="str">
        <f>IF(OR($A12=W$3,W$3="",$A12=""),"",CORREL(INDEX(tblPiNAnalysis[[CCCM]:[WASH]],0,MATCH(W$3,tblPiNAnalysis[[#Headers],[CCCM]:[WASH]],0)),INDEX(tblPiNAnalysis[[CCCM]:[WASH]],0,MATCH($A12,tblPiNAnalysis[[#Headers],[CCCM]:[WASH]],0))))</f>
        <v/>
      </c>
      <c r="X12" s="177"/>
      <c r="Y12" s="177"/>
    </row>
    <row r="13" spans="1:25" ht="37.5" customHeight="1">
      <c r="A13" s="182"/>
      <c r="B13" s="179" t="str">
        <f>IF(OR($A13=B$3,B$3="",$A13=""),"",CORREL(INDEX(tblPiNAnalysis[[CCCM]:[WASH]],0,MATCH(B$3,tblPiNAnalysis[[#Headers],[CCCM]:[WASH]],0)),INDEX(tblPiNAnalysis[[CCCM]:[WASH]],0,MATCH($A13,tblPiNAnalysis[[#Headers],[CCCM]:[WASH]],0))))</f>
        <v/>
      </c>
      <c r="C13" s="179" t="str">
        <f>IF(OR($A13=C$3,C$3="",$A13=""),"",CORREL(INDEX(tblPiNAnalysis[[CCCM]:[WASH]],0,MATCH(C$3,tblPiNAnalysis[[#Headers],[CCCM]:[WASH]],0)),INDEX(tblPiNAnalysis[[CCCM]:[WASH]],0,MATCH($A13,tblPiNAnalysis[[#Headers],[CCCM]:[WASH]],0))))</f>
        <v/>
      </c>
      <c r="D13" s="179" t="str">
        <f>IF(OR($A13=D$3,D$3="",$A13=""),"",CORREL(INDEX(tblPiNAnalysis[[CCCM]:[WASH]],0,MATCH(D$3,tblPiNAnalysis[[#Headers],[CCCM]:[WASH]],0)),INDEX(tblPiNAnalysis[[CCCM]:[WASH]],0,MATCH($A13,tblPiNAnalysis[[#Headers],[CCCM]:[WASH]],0))))</f>
        <v/>
      </c>
      <c r="E13" s="179" t="str">
        <f>IF(OR($A13=E$3,E$3="",$A13=""),"",CORREL(INDEX(tblPiNAnalysis[[CCCM]:[WASH]],0,MATCH(E$3,tblPiNAnalysis[[#Headers],[CCCM]:[WASH]],0)),INDEX(tblPiNAnalysis[[CCCM]:[WASH]],0,MATCH($A13,tblPiNAnalysis[[#Headers],[CCCM]:[WASH]],0))))</f>
        <v/>
      </c>
      <c r="F13" s="179" t="str">
        <f>IF(OR($A13=F$3,F$3="",$A13=""),"",CORREL(INDEX(tblPiNAnalysis[[CCCM]:[WASH]],0,MATCH(F$3,tblPiNAnalysis[[#Headers],[CCCM]:[WASH]],0)),INDEX(tblPiNAnalysis[[CCCM]:[WASH]],0,MATCH($A13,tblPiNAnalysis[[#Headers],[CCCM]:[WASH]],0))))</f>
        <v/>
      </c>
      <c r="G13" s="179" t="str">
        <f>IF(OR($A13=G$3,G$3="",$A13=""),"",CORREL(INDEX(tblPiNAnalysis[[CCCM]:[WASH]],0,MATCH(G$3,tblPiNAnalysis[[#Headers],[CCCM]:[WASH]],0)),INDEX(tblPiNAnalysis[[CCCM]:[WASH]],0,MATCH($A13,tblPiNAnalysis[[#Headers],[CCCM]:[WASH]],0))))</f>
        <v/>
      </c>
      <c r="H13" s="179" t="str">
        <f>IF(OR($A13=H$3,H$3="",$A13=""),"",CORREL(INDEX(tblPiNAnalysis[[CCCM]:[WASH]],0,MATCH(H$3,tblPiNAnalysis[[#Headers],[CCCM]:[WASH]],0)),INDEX(tblPiNAnalysis[[CCCM]:[WASH]],0,MATCH($A13,tblPiNAnalysis[[#Headers],[CCCM]:[WASH]],0))))</f>
        <v/>
      </c>
      <c r="I13" s="177" t="str">
        <f>IF(OR($A13=I$3,I$3="",$A13=""),"",CORREL(INDEX(tblPiNAnalysis[[CCCM]:[WASH]],0,MATCH(I$3,tblPiNAnalysis[[#Headers],[CCCM]:[WASH]],0)),INDEX(tblPiNAnalysis[[CCCM]:[WASH]],0,MATCH($A13,tblPiNAnalysis[[#Headers],[CCCM]:[WASH]],0))))</f>
        <v/>
      </c>
      <c r="J13" s="177" t="str">
        <f>IF(OR($A13=J$3,J$3="",$A13=""),"",CORREL(INDEX(tblPiNAnalysis[[CCCM]:[WASH]],0,MATCH(J$3,tblPiNAnalysis[[#Headers],[CCCM]:[WASH]],0)),INDEX(tblPiNAnalysis[[CCCM]:[WASH]],0,MATCH($A13,tblPiNAnalysis[[#Headers],[CCCM]:[WASH]],0))))</f>
        <v/>
      </c>
      <c r="K13" s="177" t="str">
        <f>IF(OR($A13=K$3,K$3="",$A13=""),"",CORREL(INDEX(tblPiNAnalysis[[CCCM]:[WASH]],0,MATCH(K$3,tblPiNAnalysis[[#Headers],[CCCM]:[WASH]],0)),INDEX(tblPiNAnalysis[[CCCM]:[WASH]],0,MATCH($A13,tblPiNAnalysis[[#Headers],[CCCM]:[WASH]],0))))</f>
        <v/>
      </c>
      <c r="L13" s="177"/>
      <c r="M13" s="183"/>
      <c r="N13" s="182"/>
      <c r="O13" s="179" t="str">
        <f>IF(OR($N13=O$3,O$3="",$N13=""),"",CORREL(INDEX(tblSeverityAnalysis[[CCCM]:[WASH]],0,MATCH(O$3,tblSeverityAnalysis[[#Headers],[CCCM]:[WASH]],0)),INDEX(tblSeverityAnalysis[[CCCM]:[WASH]],0,MATCH($N13,tblSeverityAnalysis[[#Headers],[CCCM]:[WASH]],0))))</f>
        <v/>
      </c>
      <c r="P13" s="179" t="str">
        <f>IF(OR($N13=P$3,P$3="",$N13=""),"",CORREL(INDEX(tblSeverityAnalysis[[CCCM]:[WASH]],0,MATCH(P$3,tblSeverityAnalysis[[#Headers],[CCCM]:[WASH]],0)),INDEX(tblSeverityAnalysis[[CCCM]:[WASH]],0,MATCH($N13,tblSeverityAnalysis[[#Headers],[CCCM]:[WASH]],0))))</f>
        <v/>
      </c>
      <c r="Q13" s="179" t="str">
        <f>IF(OR($N13=Q$3,Q$3="",$N13=""),"",CORREL(INDEX(tblSeverityAnalysis[[CCCM]:[WASH]],0,MATCH(Q$3,tblSeverityAnalysis[[#Headers],[CCCM]:[WASH]],0)),INDEX(tblSeverityAnalysis[[CCCM]:[WASH]],0,MATCH($N13,tblSeverityAnalysis[[#Headers],[CCCM]:[WASH]],0))))</f>
        <v/>
      </c>
      <c r="R13" s="179" t="str">
        <f>IF(OR($N13=R$3,R$3="",$N13=""),"",CORREL(INDEX(tblSeverityAnalysis[[CCCM]:[WASH]],0,MATCH(R$3,tblSeverityAnalysis[[#Headers],[CCCM]:[WASH]],0)),INDEX(tblSeverityAnalysis[[CCCM]:[WASH]],0,MATCH($N13,tblSeverityAnalysis[[#Headers],[CCCM]:[WASH]],0))))</f>
        <v/>
      </c>
      <c r="S13" s="179" t="str">
        <f>IF(OR($N13=S$3,S$3="",$N13=""),"",CORREL(INDEX(tblSeverityAnalysis[[CCCM]:[WASH]],0,MATCH(S$3,tblSeverityAnalysis[[#Headers],[CCCM]:[WASH]],0)),INDEX(tblSeverityAnalysis[[CCCM]:[WASH]],0,MATCH($N13,tblSeverityAnalysis[[#Headers],[CCCM]:[WASH]],0))))</f>
        <v/>
      </c>
      <c r="T13" s="179" t="str">
        <f>IF(OR($N13=T$3,T$3="",$N13=""),"",CORREL(INDEX(tblSeverityAnalysis[[CCCM]:[WASH]],0,MATCH(T$3,tblSeverityAnalysis[[#Headers],[CCCM]:[WASH]],0)),INDEX(tblSeverityAnalysis[[CCCM]:[WASH]],0,MATCH($N13,tblSeverityAnalysis[[#Headers],[CCCM]:[WASH]],0))))</f>
        <v/>
      </c>
      <c r="U13" s="179" t="str">
        <f>IF(OR($N13=U$3,U$3="",$N13=""),"",CORREL(INDEX(tblSeverityAnalysis[[CCCM]:[WASH]],0,MATCH(U$3,tblSeverityAnalysis[[#Headers],[CCCM]:[WASH]],0)),INDEX(tblSeverityAnalysis[[CCCM]:[WASH]],0,MATCH($N13,tblSeverityAnalysis[[#Headers],[CCCM]:[WASH]],0))))</f>
        <v/>
      </c>
      <c r="V13" s="177" t="str">
        <f>IF(OR($A13=V$3,V$3="",$A13=""),"",CORREL(INDEX(tblPiNAnalysis[[CCCM]:[WASH]],0,MATCH(V$3,tblPiNAnalysis[[#Headers],[CCCM]:[WASH]],0)),INDEX(tblPiNAnalysis[[CCCM]:[WASH]],0,MATCH($A13,tblPiNAnalysis[[#Headers],[CCCM]:[WASH]],0))))</f>
        <v/>
      </c>
      <c r="W13" s="177" t="str">
        <f>IF(OR($A13=W$3,W$3="",$A13=""),"",CORREL(INDEX(tblPiNAnalysis[[CCCM]:[WASH]],0,MATCH(W$3,tblPiNAnalysis[[#Headers],[CCCM]:[WASH]],0)),INDEX(tblPiNAnalysis[[CCCM]:[WASH]],0,MATCH($A13,tblPiNAnalysis[[#Headers],[CCCM]:[WASH]],0))))</f>
        <v/>
      </c>
      <c r="X13" s="177" t="str">
        <f>IF(OR($A13=X$3,X$3="",$A13=""),"",CORREL(INDEX(tblPiNAnalysis[[CCCM]:[WASH]],0,MATCH(X$3,tblPiNAnalysis[[#Headers],[CCCM]:[WASH]],0)),INDEX(tblPiNAnalysis[[CCCM]:[WASH]],0,MATCH($A13,tblPiNAnalysis[[#Headers],[CCCM]:[WASH]],0))))</f>
        <v/>
      </c>
      <c r="Y13" s="177"/>
    </row>
    <row r="14" spans="1:25" ht="37.5" customHeight="1">
      <c r="A14" s="182"/>
      <c r="B14" s="179" t="str">
        <f>IF(OR($A14=B$3,B$3="",$A14=""),"",CORREL(INDEX(tblPiNAnalysis[[CCCM]:[WASH]],0,MATCH(B$3,tblPiNAnalysis[[#Headers],[CCCM]:[WASH]],0)),INDEX(tblPiNAnalysis[[CCCM]:[WASH]],0,MATCH($A14,tblPiNAnalysis[[#Headers],[CCCM]:[WASH]],0))))</f>
        <v/>
      </c>
      <c r="C14" s="179" t="str">
        <f>IF(OR($A14=C$3,C$3="",$A14=""),"",CORREL(INDEX(tblPiNAnalysis[[CCCM]:[WASH]],0,MATCH(C$3,tblPiNAnalysis[[#Headers],[CCCM]:[WASH]],0)),INDEX(tblPiNAnalysis[[CCCM]:[WASH]],0,MATCH($A14,tblPiNAnalysis[[#Headers],[CCCM]:[WASH]],0))))</f>
        <v/>
      </c>
      <c r="D14" s="179" t="str">
        <f>IF(OR($A14=D$3,D$3="",$A14=""),"",CORREL(INDEX(tblPiNAnalysis[[CCCM]:[WASH]],0,MATCH(D$3,tblPiNAnalysis[[#Headers],[CCCM]:[WASH]],0)),INDEX(tblPiNAnalysis[[CCCM]:[WASH]],0,MATCH($A14,tblPiNAnalysis[[#Headers],[CCCM]:[WASH]],0))))</f>
        <v/>
      </c>
      <c r="E14" s="179" t="str">
        <f>IF(OR($A14=E$3,E$3="",$A14=""),"",CORREL(INDEX(tblPiNAnalysis[[CCCM]:[WASH]],0,MATCH(E$3,tblPiNAnalysis[[#Headers],[CCCM]:[WASH]],0)),INDEX(tblPiNAnalysis[[CCCM]:[WASH]],0,MATCH($A14,tblPiNAnalysis[[#Headers],[CCCM]:[WASH]],0))))</f>
        <v/>
      </c>
      <c r="F14" s="179" t="str">
        <f>IF(OR($A14=F$3,F$3="",$A14=""),"",CORREL(INDEX(tblPiNAnalysis[[CCCM]:[WASH]],0,MATCH(F$3,tblPiNAnalysis[[#Headers],[CCCM]:[WASH]],0)),INDEX(tblPiNAnalysis[[CCCM]:[WASH]],0,MATCH($A14,tblPiNAnalysis[[#Headers],[CCCM]:[WASH]],0))))</f>
        <v/>
      </c>
      <c r="G14" s="179" t="str">
        <f>IF(OR($A14=G$3,G$3="",$A14=""),"",CORREL(INDEX(tblPiNAnalysis[[CCCM]:[WASH]],0,MATCH(G$3,tblPiNAnalysis[[#Headers],[CCCM]:[WASH]],0)),INDEX(tblPiNAnalysis[[CCCM]:[WASH]],0,MATCH($A14,tblPiNAnalysis[[#Headers],[CCCM]:[WASH]],0))))</f>
        <v/>
      </c>
      <c r="H14" s="179" t="str">
        <f>IF(OR($A14=H$3,H$3="",$A14=""),"",CORREL(INDEX(tblPiNAnalysis[[CCCM]:[WASH]],0,MATCH(H$3,tblPiNAnalysis[[#Headers],[CCCM]:[WASH]],0)),INDEX(tblPiNAnalysis[[CCCM]:[WASH]],0,MATCH($A14,tblPiNAnalysis[[#Headers],[CCCM]:[WASH]],0))))</f>
        <v/>
      </c>
      <c r="I14" s="177" t="str">
        <f>IF(OR($A14=I$3,I$3="",$A14=""),"",CORREL(INDEX(tblPiNAnalysis[[CCCM]:[WASH]],0,MATCH(I$3,tblPiNAnalysis[[#Headers],[CCCM]:[WASH]],0)),INDEX(tblPiNAnalysis[[CCCM]:[WASH]],0,MATCH($A14,tblPiNAnalysis[[#Headers],[CCCM]:[WASH]],0))))</f>
        <v/>
      </c>
      <c r="J14" s="177" t="str">
        <f>IF(OR($A14=J$3,J$3="",$A14=""),"",CORREL(INDEX(tblPiNAnalysis[[CCCM]:[WASH]],0,MATCH(J$3,tblPiNAnalysis[[#Headers],[CCCM]:[WASH]],0)),INDEX(tblPiNAnalysis[[CCCM]:[WASH]],0,MATCH($A14,tblPiNAnalysis[[#Headers],[CCCM]:[WASH]],0))))</f>
        <v/>
      </c>
      <c r="K14" s="177" t="str">
        <f>IF(OR($A14=K$3,K$3="",$A14=""),"",CORREL(INDEX(tblPiNAnalysis[[CCCM]:[WASH]],0,MATCH(K$3,tblPiNAnalysis[[#Headers],[CCCM]:[WASH]],0)),INDEX(tblPiNAnalysis[[CCCM]:[WASH]],0,MATCH($A14,tblPiNAnalysis[[#Headers],[CCCM]:[WASH]],0))))</f>
        <v/>
      </c>
      <c r="L14" s="177" t="str">
        <f>IF(OR($A14=L$3,L$3="",$A14=""),"",CORREL(INDEX(tblPiNAnalysis[[CCCM]:[WASH]],0,MATCH(L$3,tblPiNAnalysis[[#Headers],[CCCM]:[WASH]],0)),INDEX(tblPiNAnalysis[[CCCM]:[WASH]],0,MATCH($A14,tblPiNAnalysis[[#Headers],[CCCM]:[WASH]],0))))</f>
        <v/>
      </c>
      <c r="M14" s="183"/>
      <c r="N14" s="182"/>
      <c r="O14" s="179" t="str">
        <f>IF(OR($N14=O$3,O$3="",$N14=""),"",CORREL(INDEX(tblSeverityAnalysis[[CCCM]:[WASH]],0,MATCH(O$3,tblSeverityAnalysis[[#Headers],[CCCM]:[WASH]],0)),INDEX(tblSeverityAnalysis[[CCCM]:[WASH]],0,MATCH($N14,tblSeverityAnalysis[[#Headers],[CCCM]:[WASH]],0))))</f>
        <v/>
      </c>
      <c r="P14" s="179" t="str">
        <f>IF(OR($N14=P$3,P$3="",$N14=""),"",CORREL(INDEX(tblSeverityAnalysis[[CCCM]:[WASH]],0,MATCH(P$3,tblSeverityAnalysis[[#Headers],[CCCM]:[WASH]],0)),INDEX(tblSeverityAnalysis[[CCCM]:[WASH]],0,MATCH($N14,tblSeverityAnalysis[[#Headers],[CCCM]:[WASH]],0))))</f>
        <v/>
      </c>
      <c r="Q14" s="179" t="str">
        <f>IF(OR($N14=Q$3,Q$3="",$N14=""),"",CORREL(INDEX(tblSeverityAnalysis[[CCCM]:[WASH]],0,MATCH(Q$3,tblSeverityAnalysis[[#Headers],[CCCM]:[WASH]],0)),INDEX(tblSeverityAnalysis[[CCCM]:[WASH]],0,MATCH($N14,tblSeverityAnalysis[[#Headers],[CCCM]:[WASH]],0))))</f>
        <v/>
      </c>
      <c r="R14" s="179" t="str">
        <f>IF(OR($N14=R$3,R$3="",$N14=""),"",CORREL(INDEX(tblSeverityAnalysis[[CCCM]:[WASH]],0,MATCH(R$3,tblSeverityAnalysis[[#Headers],[CCCM]:[WASH]],0)),INDEX(tblSeverityAnalysis[[CCCM]:[WASH]],0,MATCH($N14,tblSeverityAnalysis[[#Headers],[CCCM]:[WASH]],0))))</f>
        <v/>
      </c>
      <c r="S14" s="179" t="str">
        <f>IF(OR($N14=S$3,S$3="",$N14=""),"",CORREL(INDEX(tblSeverityAnalysis[[CCCM]:[WASH]],0,MATCH(S$3,tblSeverityAnalysis[[#Headers],[CCCM]:[WASH]],0)),INDEX(tblSeverityAnalysis[[CCCM]:[WASH]],0,MATCH($N14,tblSeverityAnalysis[[#Headers],[CCCM]:[WASH]],0))))</f>
        <v/>
      </c>
      <c r="T14" s="179" t="str">
        <f>IF(OR($N14=T$3,T$3="",$N14=""),"",CORREL(INDEX(tblSeverityAnalysis[[CCCM]:[WASH]],0,MATCH(T$3,tblSeverityAnalysis[[#Headers],[CCCM]:[WASH]],0)),INDEX(tblSeverityAnalysis[[CCCM]:[WASH]],0,MATCH($N14,tblSeverityAnalysis[[#Headers],[CCCM]:[WASH]],0))))</f>
        <v/>
      </c>
      <c r="U14" s="179" t="str">
        <f>IF(OR($N14=U$3,U$3="",$N14=""),"",CORREL(INDEX(tblSeverityAnalysis[[CCCM]:[WASH]],0,MATCH(U$3,tblSeverityAnalysis[[#Headers],[CCCM]:[WASH]],0)),INDEX(tblSeverityAnalysis[[CCCM]:[WASH]],0,MATCH($N14,tblSeverityAnalysis[[#Headers],[CCCM]:[WASH]],0))))</f>
        <v/>
      </c>
      <c r="V14" s="177" t="str">
        <f>IF(OR($A14=V$3,V$3="",$A14=""),"",CORREL(INDEX(tblPiNAnalysis[[CCCM]:[WASH]],0,MATCH(V$3,tblPiNAnalysis[[#Headers],[CCCM]:[WASH]],0)),INDEX(tblPiNAnalysis[[CCCM]:[WASH]],0,MATCH($A14,tblPiNAnalysis[[#Headers],[CCCM]:[WASH]],0))))</f>
        <v/>
      </c>
      <c r="W14" s="177" t="str">
        <f>IF(OR($A14=W$3,W$3="",$A14=""),"",CORREL(INDEX(tblPiNAnalysis[[CCCM]:[WASH]],0,MATCH(W$3,tblPiNAnalysis[[#Headers],[CCCM]:[WASH]],0)),INDEX(tblPiNAnalysis[[CCCM]:[WASH]],0,MATCH($A14,tblPiNAnalysis[[#Headers],[CCCM]:[WASH]],0))))</f>
        <v/>
      </c>
      <c r="X14" s="177" t="str">
        <f>IF(OR($A14=X$3,X$3="",$A14=""),"",CORREL(INDEX(tblPiNAnalysis[[CCCM]:[WASH]],0,MATCH(X$3,tblPiNAnalysis[[#Headers],[CCCM]:[WASH]],0)),INDEX(tblPiNAnalysis[[CCCM]:[WASH]],0,MATCH($A14,tblPiNAnalysis[[#Headers],[CCCM]:[WASH]],0))))</f>
        <v/>
      </c>
      <c r="Y14" s="177" t="str">
        <f>IF(OR($A14=Y$3,Y$3="",$A14=""),"",CORREL(INDEX(tblPiNAnalysis[[CCCM]:[WASH]],0,MATCH(Y$3,tblPiNAnalysis[[#Headers],[CCCM]:[WASH]],0)),INDEX(tblPiNAnalysis[[CCCM]:[WASH]],0,MATCH($A14,tblPiNAnalysis[[#Headers],[CCCM]:[WASH]],0))))</f>
        <v/>
      </c>
    </row>
    <row r="15" spans="1:25">
      <c r="M15" s="183"/>
    </row>
  </sheetData>
  <mergeCells count="2">
    <mergeCell ref="C1:G2"/>
    <mergeCell ref="P1:T2"/>
  </mergeCells>
  <conditionalFormatting sqref="A4:A14">
    <cfRule type="notContainsBlanks" dxfId="17" priority="5">
      <formula>LEN(TRIM(A4))&gt;0</formula>
    </cfRule>
  </conditionalFormatting>
  <conditionalFormatting sqref="B3:L3">
    <cfRule type="notContainsBlanks" dxfId="16" priority="7">
      <formula>LEN(TRIM(B3))&gt;0</formula>
    </cfRule>
  </conditionalFormatting>
  <conditionalFormatting sqref="B4:L14">
    <cfRule type="notContainsBlanks" dxfId="15" priority="6">
      <formula>LEN(TRIM(B4))&gt;0</formula>
    </cfRule>
    <cfRule type="colorScale" priority="9">
      <colorScale>
        <cfvo type="min"/>
        <cfvo type="max"/>
        <color theme="8" tint="0.79998168889431442"/>
        <color theme="8" tint="-0.249977111117893"/>
      </colorScale>
    </cfRule>
  </conditionalFormatting>
  <conditionalFormatting sqref="N4:N14">
    <cfRule type="notContainsBlanks" dxfId="14" priority="1">
      <formula>LEN(TRIM(N4))&gt;0</formula>
    </cfRule>
  </conditionalFormatting>
  <conditionalFormatting sqref="O3:Y3">
    <cfRule type="notContainsBlanks" dxfId="13" priority="3">
      <formula>LEN(TRIM(O3))&gt;0</formula>
    </cfRule>
  </conditionalFormatting>
  <conditionalFormatting sqref="O4:Y14">
    <cfRule type="notContainsBlanks" dxfId="12"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F1539-7FF3-4509-AEC1-89CC78F7589A}">
  <sheetPr codeName="Sheet11">
    <tabColor rgb="FF00B050"/>
  </sheetPr>
  <dimension ref="A1:Y15"/>
  <sheetViews>
    <sheetView showGridLines="0" zoomScale="80" zoomScaleNormal="80" workbookViewId="0">
      <selection activeCell="AO11" sqref="AO11"/>
    </sheetView>
  </sheetViews>
  <sheetFormatPr defaultRowHeight="14.45"/>
  <cols>
    <col min="1" max="1" width="17.42578125" style="181" customWidth="1"/>
    <col min="2" max="8" width="12.7109375" style="23" customWidth="1"/>
    <col min="9" max="12" width="12.7109375" customWidth="1"/>
    <col min="14" max="14" width="15" customWidth="1"/>
    <col min="15" max="25" width="12.7109375" customWidth="1"/>
  </cols>
  <sheetData>
    <row r="1" spans="1:25" ht="55.5" customHeight="1">
      <c r="A1" s="602" t="s">
        <v>617</v>
      </c>
      <c r="B1" s="602"/>
      <c r="C1" s="602"/>
      <c r="D1" s="602"/>
      <c r="E1" s="602"/>
      <c r="F1" s="602"/>
      <c r="G1" s="602"/>
      <c r="H1" s="602"/>
      <c r="I1" s="602"/>
      <c r="J1" s="602"/>
      <c r="K1" s="602"/>
      <c r="M1" s="183"/>
      <c r="N1" s="601" t="s">
        <v>618</v>
      </c>
      <c r="O1" s="601"/>
      <c r="P1" s="601"/>
      <c r="Q1" s="601"/>
      <c r="R1" s="601"/>
      <c r="S1" s="601"/>
      <c r="T1" s="601"/>
      <c r="U1" s="601"/>
      <c r="V1" s="601"/>
      <c r="W1" s="601"/>
      <c r="X1" s="601"/>
      <c r="Y1" s="601"/>
    </row>
    <row r="2" spans="1:25" ht="55.5" customHeight="1">
      <c r="A2" s="602"/>
      <c r="B2" s="602"/>
      <c r="C2" s="602"/>
      <c r="D2" s="602"/>
      <c r="E2" s="602"/>
      <c r="F2" s="602"/>
      <c r="G2" s="602"/>
      <c r="H2" s="602"/>
      <c r="I2" s="602"/>
      <c r="J2" s="602"/>
      <c r="K2" s="602"/>
      <c r="M2" s="183"/>
      <c r="N2" s="601"/>
      <c r="O2" s="601"/>
      <c r="P2" s="601"/>
      <c r="Q2" s="601"/>
      <c r="R2" s="601"/>
      <c r="S2" s="601"/>
      <c r="T2" s="601"/>
      <c r="U2" s="601"/>
      <c r="V2" s="601"/>
      <c r="W2" s="601"/>
      <c r="X2" s="601"/>
      <c r="Y2" s="601"/>
    </row>
    <row r="3" spans="1:25" ht="50.25" customHeight="1">
      <c r="A3" s="178"/>
      <c r="B3" s="185" t="str" cm="1">
        <f t="array" ref="B3:I3">_xlfn.UNIQUE(tblPiNAnalysis[[#Headers],[CCCM]:[WASH]])</f>
        <v>CCCM</v>
      </c>
      <c r="C3" s="185" t="str">
        <v>Education</v>
      </c>
      <c r="D3" s="185" t="str">
        <v>Nutrition</v>
      </c>
      <c r="E3" s="185" t="str">
        <v>Food Security</v>
      </c>
      <c r="F3" s="185" t="str">
        <v>Health</v>
      </c>
      <c r="G3" s="185" t="str">
        <v>Protection</v>
      </c>
      <c r="H3" s="185" t="str">
        <v>Shelter</v>
      </c>
      <c r="I3" s="182" t="str">
        <v>WASH</v>
      </c>
      <c r="J3" s="182"/>
      <c r="K3" s="182"/>
      <c r="M3" s="183"/>
      <c r="N3" s="178"/>
      <c r="O3" s="182" t="str" cm="1">
        <f t="array" ref="O3:V3">_xlfn.UNIQUE(tblSeverityAnalysis[[#Headers],[CCCM]:[WASH]])</f>
        <v>CCCM</v>
      </c>
      <c r="P3" s="182" t="str">
        <v>Education</v>
      </c>
      <c r="Q3" s="182" t="str">
        <v>Nutrition</v>
      </c>
      <c r="R3" s="182" t="str">
        <v>Food Security</v>
      </c>
      <c r="S3" s="182" t="str">
        <v>Health</v>
      </c>
      <c r="T3" s="182" t="str">
        <v>Protection</v>
      </c>
      <c r="U3" s="182" t="str">
        <v>Shelter</v>
      </c>
      <c r="V3" s="182" t="str">
        <v>WASH</v>
      </c>
      <c r="W3" s="182"/>
      <c r="X3" s="182"/>
    </row>
    <row r="4" spans="1:25" ht="37.5" customHeight="1">
      <c r="A4" s="182" t="str" cm="1">
        <f t="array" ref="A4:A11">TRANSPOSE(tblPiNAnalysis[[#Headers],[CCCM]:[WASH]])</f>
        <v>CCCM</v>
      </c>
      <c r="B4" s="185" t="str" cm="1">
        <f t="array" ref="B4">IF(OR($A4=B$3,B$3="",$A4=""),"",SUM(IF(ROUND(INDEX(tblPiNAnalysis[[CCCM%]:[WASH%]], 0, MATCH(_xlfn.CONCAT(B$3,"%"), tblPiNAnalysis[[#Headers],[CCCM%]:[WASH%]], 0)), 1)=ROUND(INDEX(tblPiNAnalysis[[CCCM%]:[WASH%]], 0, MATCH(_xlfn.CONCAT($A4,"%"), tblPiNAnalysis[[#Headers],[CCCM%]:[WASH%]], 0)), 1), 1, 0)))</f>
        <v/>
      </c>
      <c r="C4" s="185"/>
      <c r="D4" s="185"/>
      <c r="E4" s="185"/>
      <c r="F4" s="185"/>
      <c r="G4" s="185"/>
      <c r="H4" s="185"/>
      <c r="I4" s="185"/>
      <c r="J4" s="185"/>
      <c r="K4" s="185"/>
      <c r="L4" s="185"/>
      <c r="M4" s="183"/>
      <c r="N4" s="182" t="str" cm="1">
        <f t="array" ref="N4:N11">TRANSPOSE(tblSeverityAnalysis[[#Headers],[CCCM]:[WASH]])</f>
        <v>CCCM</v>
      </c>
      <c r="O4" s="185" t="str" cm="1">
        <f t="array" ref="O4">IF(OR($N4=O$3,O$3="",$N4=""),"",SUM(IF(INDEX(tblSeverityAnalysis[[CCCM]:[WASH]],0,MATCH(O$3,tblSeverityAnalysis[[#Headers],[CCCM]:[WASH]],0))=INDEX(tblSeverityAnalysis[[CCCM]:[WASH]],0,MATCH($N4,tblSeverityAnalysis[[#Headers],[CCCM]:[WASH]],0)), 1, 0)))</f>
        <v/>
      </c>
      <c r="P4" s="185"/>
      <c r="Q4" s="185"/>
      <c r="R4" s="185"/>
      <c r="S4" s="185"/>
      <c r="T4" s="185"/>
      <c r="U4" s="185"/>
      <c r="V4" s="185"/>
      <c r="W4" s="185"/>
      <c r="X4" s="185"/>
      <c r="Y4" s="185"/>
    </row>
    <row r="5" spans="1:25" ht="37.5" customHeight="1">
      <c r="A5" s="182" t="str">
        <v>Education</v>
      </c>
      <c r="B5" s="185" t="e" cm="1">
        <f t="array" ref="B5">IF(OR($A5=B$3,B$3="",$A5=""),"",SUM(IF(ROUND(INDEX(tblPiNAnalysis[[CCCM%]:[WASH%]], 0, MATCH(_xlfn.CONCAT(B$3,"%"), tblPiNAnalysis[[#Headers],[CCCM%]:[WASH%]], 0)), 1)=ROUND(INDEX(tblPiNAnalysis[[CCCM%]:[WASH%]], 0, MATCH(_xlfn.CONCAT($A5,"%"), tblPiNAnalysis[[#Headers],[CCCM%]:[WASH%]], 0)), 1), 1, 0)))</f>
        <v>#VALUE!</v>
      </c>
      <c r="C5" s="185" t="str" cm="1">
        <f t="array" ref="C5">IF(OR($A5=C$3,C$3="",$A5=""),"",SUM(IF(ROUND(INDEX(tblPiNAnalysis[[CCCM%]:[WASH%]], 0, MATCH(_xlfn.CONCAT(C$3,"%"), tblPiNAnalysis[[#Headers],[CCCM%]:[WASH%]], 0)), 1)=ROUND(INDEX(tblPiNAnalysis[[CCCM%]:[WASH%]], 0, MATCH(_xlfn.CONCAT($A5,"%"), tblPiNAnalysis[[#Headers],[CCCM%]:[WASH%]], 0)), 1), 1, 0)))</f>
        <v/>
      </c>
      <c r="D5" s="185"/>
      <c r="E5" s="185"/>
      <c r="F5" s="185"/>
      <c r="G5" s="185"/>
      <c r="H5" s="185"/>
      <c r="I5" s="185"/>
      <c r="J5" s="185"/>
      <c r="K5" s="185"/>
      <c r="L5" s="185"/>
      <c r="M5" s="183"/>
      <c r="N5" s="182" t="str">
        <v>Education</v>
      </c>
      <c r="O5" s="185" cm="1">
        <f t="array" ref="O5">IF(OR($N5=O$3,O$3="",$N5=""),"",SUM(IF(INDEX(tblSeverityAnalysis[[CCCM]:[WASH]],0,MATCH(O$3,tblSeverityAnalysis[[#Headers],[CCCM]:[WASH]],0))=INDEX(tblSeverityAnalysis[[CCCM]:[WASH]],0,MATCH($N5,tblSeverityAnalysis[[#Headers],[CCCM]:[WASH]],0)), 1, 0)))</f>
        <v>48</v>
      </c>
      <c r="P5" s="185" t="str" cm="1">
        <f t="array" ref="P5">IF(OR($N5=P$3,P$3="",$N5=""),"",SUM(IF(INDEX(tblSeverityAnalysis[[CCCM]:[WASH]],0,MATCH(P$3,tblSeverityAnalysis[[#Headers],[CCCM]:[WASH]],0))=INDEX(tblSeverityAnalysis[[CCCM]:[WASH]],0,MATCH($N5,tblSeverityAnalysis[[#Headers],[CCCM]:[WASH]],0)), 1, 0)))</f>
        <v/>
      </c>
      <c r="Q5" s="185"/>
      <c r="R5" s="185"/>
      <c r="S5" s="185"/>
      <c r="T5" s="185"/>
      <c r="U5" s="185"/>
      <c r="V5" s="185"/>
      <c r="W5" s="185"/>
      <c r="X5" s="185"/>
      <c r="Y5" s="185"/>
    </row>
    <row r="6" spans="1:25" ht="37.5" customHeight="1">
      <c r="A6" s="182" t="str">
        <v>Nutrition</v>
      </c>
      <c r="B6" s="185" t="e" cm="1">
        <f t="array" ref="B6">IF(OR($A6=B$3,B$3="",$A6=""),"",SUM(IF(ROUND(INDEX(tblPiNAnalysis[[CCCM%]:[WASH%]], 0, MATCH(_xlfn.CONCAT(B$3,"%"), tblPiNAnalysis[[#Headers],[CCCM%]:[WASH%]], 0)), 1)=ROUND(INDEX(tblPiNAnalysis[[CCCM%]:[WASH%]], 0, MATCH(_xlfn.CONCAT($A6,"%"), tblPiNAnalysis[[#Headers],[CCCM%]:[WASH%]], 0)), 1), 1, 0)))</f>
        <v>#VALUE!</v>
      </c>
      <c r="C6" s="185" t="e" cm="1">
        <f t="array" ref="C6">IF(OR($A6=C$3,C$3="",$A6=""),"",SUM(IF(ROUND(INDEX(tblPiNAnalysis[[CCCM%]:[WASH%]], 0, MATCH(_xlfn.CONCAT(C$3,"%"), tblPiNAnalysis[[#Headers],[CCCM%]:[WASH%]], 0)), 1)=ROUND(INDEX(tblPiNAnalysis[[CCCM%]:[WASH%]], 0, MATCH(_xlfn.CONCAT($A6,"%"), tblPiNAnalysis[[#Headers],[CCCM%]:[WASH%]], 0)), 1), 1, 0)))</f>
        <v>#VALUE!</v>
      </c>
      <c r="D6" s="185" t="str" cm="1">
        <f t="array" ref="D6">IF(OR($A6=D$3,D$3="",$A6=""),"",SUM(IF(ROUND(INDEX(tblPiNAnalysis[[CCCM%]:[WASH%]], 0, MATCH(_xlfn.CONCAT(D$3,"%"), tblPiNAnalysis[[#Headers],[CCCM%]:[WASH%]], 0)), 1)=ROUND(INDEX(tblPiNAnalysis[[CCCM%]:[WASH%]], 0, MATCH(_xlfn.CONCAT($A6,"%"), tblPiNAnalysis[[#Headers],[CCCM%]:[WASH%]], 0)), 1), 1, 0)))</f>
        <v/>
      </c>
      <c r="E6" s="185"/>
      <c r="F6" s="185"/>
      <c r="G6" s="185"/>
      <c r="H6" s="185"/>
      <c r="I6" s="185"/>
      <c r="J6" s="185"/>
      <c r="K6" s="185"/>
      <c r="L6" s="185"/>
      <c r="M6" s="183"/>
      <c r="N6" s="182" t="str">
        <v>Nutrition</v>
      </c>
      <c r="O6" s="185" cm="1">
        <f t="array" ref="O6">IF(OR($N6=O$3,O$3="",$N6=""),"",SUM(IF(INDEX(tblSeverityAnalysis[[CCCM]:[WASH]],0,MATCH(O$3,tblSeverityAnalysis[[#Headers],[CCCM]:[WASH]],0))=INDEX(tblSeverityAnalysis[[CCCM]:[WASH]],0,MATCH($N6,tblSeverityAnalysis[[#Headers],[CCCM]:[WASH]],0)), 1, 0)))</f>
        <v>41</v>
      </c>
      <c r="P6" s="185" cm="1">
        <f t="array" ref="P6">IF(OR($N6=P$3,P$3="",$N6=""),"",SUM(IF(INDEX(tblSeverityAnalysis[[CCCM]:[WASH]],0,MATCH(P$3,tblSeverityAnalysis[[#Headers],[CCCM]:[WASH]],0))=INDEX(tblSeverityAnalysis[[CCCM]:[WASH]],0,MATCH($N6,tblSeverityAnalysis[[#Headers],[CCCM]:[WASH]],0)), 1, 0)))</f>
        <v>71</v>
      </c>
      <c r="Q6" s="185" t="str" cm="1">
        <f t="array" ref="Q6">IF(OR($N6=Q$3,Q$3="",$N6=""),"",SUM(IF(INDEX(tblSeverityAnalysis[[CCCM]:[WASH]],0,MATCH(Q$3,tblSeverityAnalysis[[#Headers],[CCCM]:[WASH]],0))=INDEX(tblSeverityAnalysis[[CCCM]:[WASH]],0,MATCH($N6,tblSeverityAnalysis[[#Headers],[CCCM]:[WASH]],0)), 1, 0)))</f>
        <v/>
      </c>
      <c r="R6" s="185"/>
      <c r="S6" s="185"/>
      <c r="T6" s="185"/>
      <c r="U6" s="185"/>
      <c r="V6" s="185"/>
      <c r="W6" s="185"/>
      <c r="X6" s="185"/>
      <c r="Y6" s="185"/>
    </row>
    <row r="7" spans="1:25" ht="37.5" customHeight="1">
      <c r="A7" s="182" t="str">
        <v>Food Security</v>
      </c>
      <c r="B7" s="185" t="e" cm="1">
        <f t="array" ref="B7">IF(OR($A7=B$3,B$3="",$A7=""),"",SUM(IF(ROUND(INDEX(tblPiNAnalysis[[CCCM%]:[WASH%]], 0, MATCH(_xlfn.CONCAT(B$3,"%"), tblPiNAnalysis[[#Headers],[CCCM%]:[WASH%]], 0)), 1)=ROUND(INDEX(tblPiNAnalysis[[CCCM%]:[WASH%]], 0, MATCH(_xlfn.CONCAT($A7,"%"), tblPiNAnalysis[[#Headers],[CCCM%]:[WASH%]], 0)), 1), 1, 0)))</f>
        <v>#VALUE!</v>
      </c>
      <c r="C7" s="185" t="e" cm="1">
        <f t="array" ref="C7">IF(OR($A7=C$3,C$3="",$A7=""),"",SUM(IF(ROUND(INDEX(tblPiNAnalysis[[CCCM%]:[WASH%]], 0, MATCH(_xlfn.CONCAT(C$3,"%"), tblPiNAnalysis[[#Headers],[CCCM%]:[WASH%]], 0)), 1)=ROUND(INDEX(tblPiNAnalysis[[CCCM%]:[WASH%]], 0, MATCH(_xlfn.CONCAT($A7,"%"), tblPiNAnalysis[[#Headers],[CCCM%]:[WASH%]], 0)), 1), 1, 0)))</f>
        <v>#VALUE!</v>
      </c>
      <c r="D7" s="185" t="e" cm="1">
        <f t="array" ref="D7">IF(OR($A7=D$3,D$3="",$A7=""),"",SUM(IF(ROUND(INDEX(tblPiNAnalysis[[CCCM%]:[WASH%]], 0, MATCH(_xlfn.CONCAT(D$3,"%"), tblPiNAnalysis[[#Headers],[CCCM%]:[WASH%]], 0)), 1)=ROUND(INDEX(tblPiNAnalysis[[CCCM%]:[WASH%]], 0, MATCH(_xlfn.CONCAT($A7,"%"), tblPiNAnalysis[[#Headers],[CCCM%]:[WASH%]], 0)), 1), 1, 0)))</f>
        <v>#VALUE!</v>
      </c>
      <c r="E7" s="185" t="str" cm="1">
        <f t="array" ref="E7">IF(OR($A7=E$3,E$3="",$A7=""),"",SUM(IF(ROUND(INDEX(tblPiNAnalysis[[CCCM%]:[WASH%]], 0, MATCH(_xlfn.CONCAT(E$3,"%"), tblPiNAnalysis[[#Headers],[CCCM%]:[WASH%]], 0)), 1)=ROUND(INDEX(tblPiNAnalysis[[CCCM%]:[WASH%]], 0, MATCH(_xlfn.CONCAT($A7,"%"), tblPiNAnalysis[[#Headers],[CCCM%]:[WASH%]], 0)), 1), 1, 0)))</f>
        <v/>
      </c>
      <c r="F7" s="185"/>
      <c r="G7" s="185"/>
      <c r="H7" s="185"/>
      <c r="I7" s="185"/>
      <c r="J7" s="185"/>
      <c r="K7" s="185"/>
      <c r="L7" s="185"/>
      <c r="M7" s="183"/>
      <c r="N7" s="182" t="str">
        <v>Food Security</v>
      </c>
      <c r="O7" s="185" cm="1">
        <f t="array" ref="O7">IF(OR($N7=O$3,O$3="",$N7=""),"",SUM(IF(INDEX(tblSeverityAnalysis[[CCCM]:[WASH]],0,MATCH(O$3,tblSeverityAnalysis[[#Headers],[CCCM]:[WASH]],0))=INDEX(tblSeverityAnalysis[[CCCM]:[WASH]],0,MATCH($N7,tblSeverityAnalysis[[#Headers],[CCCM]:[WASH]],0)), 1, 0)))</f>
        <v>63</v>
      </c>
      <c r="P7" s="185" cm="1">
        <f t="array" ref="P7">IF(OR($N7=P$3,P$3="",$N7=""),"",SUM(IF(INDEX(tblSeverityAnalysis[[CCCM]:[WASH]],0,MATCH(P$3,tblSeverityAnalysis[[#Headers],[CCCM]:[WASH]],0))=INDEX(tblSeverityAnalysis[[CCCM]:[WASH]],0,MATCH($N7,tblSeverityAnalysis[[#Headers],[CCCM]:[WASH]],0)), 1, 0)))</f>
        <v>84</v>
      </c>
      <c r="Q7" s="185" cm="1">
        <f t="array" ref="Q7">IF(OR($N7=Q$3,Q$3="",$N7=""),"",SUM(IF(INDEX(tblSeverityAnalysis[[CCCM]:[WASH]],0,MATCH(Q$3,tblSeverityAnalysis[[#Headers],[CCCM]:[WASH]],0))=INDEX(tblSeverityAnalysis[[CCCM]:[WASH]],0,MATCH($N7,tblSeverityAnalysis[[#Headers],[CCCM]:[WASH]],0)), 1, 0)))</f>
        <v>50</v>
      </c>
      <c r="R7" s="185" t="str" cm="1">
        <f t="array" ref="R7">IF(OR($N7=R$3,R$3="",$N7=""),"",SUM(IF(INDEX(tblSeverityAnalysis[[CCCM]:[WASH]],0,MATCH(R$3,tblSeverityAnalysis[[#Headers],[CCCM]:[WASH]],0))=INDEX(tblSeverityAnalysis[[CCCM]:[WASH]],0,MATCH($N7,tblSeverityAnalysis[[#Headers],[CCCM]:[WASH]],0)), 1, 0)))</f>
        <v/>
      </c>
      <c r="S7" s="185"/>
      <c r="T7" s="185"/>
      <c r="U7" s="185"/>
      <c r="V7" s="185"/>
      <c r="W7" s="185"/>
      <c r="X7" s="185"/>
      <c r="Y7" s="185"/>
    </row>
    <row r="8" spans="1:25" ht="37.5" customHeight="1">
      <c r="A8" s="182" t="str">
        <v>Health</v>
      </c>
      <c r="B8" s="185" t="e" cm="1">
        <f t="array" ref="B8">IF(OR($A8=B$3,B$3="",$A8=""),"",SUM(IF(ROUND(INDEX(tblPiNAnalysis[[CCCM%]:[WASH%]], 0, MATCH(_xlfn.CONCAT(B$3,"%"), tblPiNAnalysis[[#Headers],[CCCM%]:[WASH%]], 0)), 1)=ROUND(INDEX(tblPiNAnalysis[[CCCM%]:[WASH%]], 0, MATCH(_xlfn.CONCAT($A8,"%"), tblPiNAnalysis[[#Headers],[CCCM%]:[WASH%]], 0)), 1), 1, 0)))</f>
        <v>#VALUE!</v>
      </c>
      <c r="C8" s="185" t="e" cm="1">
        <f t="array" ref="C8">IF(OR($A8=C$3,C$3="",$A8=""),"",SUM(IF(ROUND(INDEX(tblPiNAnalysis[[CCCM%]:[WASH%]], 0, MATCH(_xlfn.CONCAT(C$3,"%"), tblPiNAnalysis[[#Headers],[CCCM%]:[WASH%]], 0)), 1)=ROUND(INDEX(tblPiNAnalysis[[CCCM%]:[WASH%]], 0, MATCH(_xlfn.CONCAT($A8,"%"), tblPiNAnalysis[[#Headers],[CCCM%]:[WASH%]], 0)), 1), 1, 0)))</f>
        <v>#VALUE!</v>
      </c>
      <c r="D8" s="185" t="e" cm="1">
        <f t="array" ref="D8">IF(OR($A8=D$3,D$3="",$A8=""),"",SUM(IF(ROUND(INDEX(tblPiNAnalysis[[CCCM%]:[WASH%]], 0, MATCH(_xlfn.CONCAT(D$3,"%"), tblPiNAnalysis[[#Headers],[CCCM%]:[WASH%]], 0)), 1)=ROUND(INDEX(tblPiNAnalysis[[CCCM%]:[WASH%]], 0, MATCH(_xlfn.CONCAT($A8,"%"), tblPiNAnalysis[[#Headers],[CCCM%]:[WASH%]], 0)), 1), 1, 0)))</f>
        <v>#VALUE!</v>
      </c>
      <c r="E8" s="185" t="e" cm="1">
        <f t="array" ref="E8">IF(OR($A8=E$3,E$3="",$A8=""),"",SUM(IF(ROUND(INDEX(tblPiNAnalysis[[CCCM%]:[WASH%]], 0, MATCH(_xlfn.CONCAT(E$3,"%"), tblPiNAnalysis[[#Headers],[CCCM%]:[WASH%]], 0)), 1)=ROUND(INDEX(tblPiNAnalysis[[CCCM%]:[WASH%]], 0, MATCH(_xlfn.CONCAT($A8,"%"), tblPiNAnalysis[[#Headers],[CCCM%]:[WASH%]], 0)), 1), 1, 0)))</f>
        <v>#VALUE!</v>
      </c>
      <c r="F8" s="185" t="str" cm="1">
        <f t="array" ref="F8">IF(OR($A8=F$3,F$3="",$A8=""),"",SUM(IF(ROUND(INDEX(tblPiNAnalysis[[CCCM%]:[WASH%]], 0, MATCH(_xlfn.CONCAT(F$3,"%"), tblPiNAnalysis[[#Headers],[CCCM%]:[WASH%]], 0)), 1)=ROUND(INDEX(tblPiNAnalysis[[CCCM%]:[WASH%]], 0, MATCH(_xlfn.CONCAT($A8,"%"), tblPiNAnalysis[[#Headers],[CCCM%]:[WASH%]], 0)), 1), 1, 0)))</f>
        <v/>
      </c>
      <c r="G8" s="185"/>
      <c r="H8" s="185"/>
      <c r="I8" s="185"/>
      <c r="J8" s="185"/>
      <c r="K8" s="185"/>
      <c r="L8" s="185"/>
      <c r="M8" s="183"/>
      <c r="N8" s="182" t="str">
        <v>Health</v>
      </c>
      <c r="O8" s="185" cm="1">
        <f t="array" ref="O8">IF(OR($N8=O$3,O$3="",$N8=""),"",SUM(IF(INDEX(tblSeverityAnalysis[[CCCM]:[WASH]],0,MATCH(O$3,tblSeverityAnalysis[[#Headers],[CCCM]:[WASH]],0))=INDEX(tblSeverityAnalysis[[CCCM]:[WASH]],0,MATCH($N8,tblSeverityAnalysis[[#Headers],[CCCM]:[WASH]],0)), 1, 0)))</f>
        <v>38</v>
      </c>
      <c r="P8" s="185" cm="1">
        <f t="array" ref="P8">IF(OR($N8=P$3,P$3="",$N8=""),"",SUM(IF(INDEX(tblSeverityAnalysis[[CCCM]:[WASH]],0,MATCH(P$3,tblSeverityAnalysis[[#Headers],[CCCM]:[WASH]],0))=INDEX(tblSeverityAnalysis[[CCCM]:[WASH]],0,MATCH($N8,tblSeverityAnalysis[[#Headers],[CCCM]:[WASH]],0)), 1, 0)))</f>
        <v>53</v>
      </c>
      <c r="Q8" s="185" cm="1">
        <f t="array" ref="Q8">IF(OR($N8=Q$3,Q$3="",$N8=""),"",SUM(IF(INDEX(tblSeverityAnalysis[[CCCM]:[WASH]],0,MATCH(Q$3,tblSeverityAnalysis[[#Headers],[CCCM]:[WASH]],0))=INDEX(tblSeverityAnalysis[[CCCM]:[WASH]],0,MATCH($N8,tblSeverityAnalysis[[#Headers],[CCCM]:[WASH]],0)), 1, 0)))</f>
        <v>63</v>
      </c>
      <c r="R8" s="185" cm="1">
        <f t="array" ref="R8">IF(OR($N8=R$3,R$3="",$N8=""),"",SUM(IF(INDEX(tblSeverityAnalysis[[CCCM]:[WASH]],0,MATCH(R$3,tblSeverityAnalysis[[#Headers],[CCCM]:[WASH]],0))=INDEX(tblSeverityAnalysis[[CCCM]:[WASH]],0,MATCH($N8,tblSeverityAnalysis[[#Headers],[CCCM]:[WASH]],0)), 1, 0)))</f>
        <v>40</v>
      </c>
      <c r="S8" s="185" t="str" cm="1">
        <f t="array" ref="S8">IF(OR($N8=S$3,S$3="",$N8=""),"",SUM(IF(INDEX(tblSeverityAnalysis[[CCCM]:[WASH]],0,MATCH(S$3,tblSeverityAnalysis[[#Headers],[CCCM]:[WASH]],0))=INDEX(tblSeverityAnalysis[[CCCM]:[WASH]],0,MATCH($N8,tblSeverityAnalysis[[#Headers],[CCCM]:[WASH]],0)), 1, 0)))</f>
        <v/>
      </c>
      <c r="T8" s="185"/>
      <c r="U8" s="185"/>
      <c r="V8" s="185"/>
      <c r="W8" s="185"/>
      <c r="X8" s="185"/>
      <c r="Y8" s="185"/>
    </row>
    <row r="9" spans="1:25" ht="37.5" customHeight="1">
      <c r="A9" s="182" t="str">
        <v>Protection</v>
      </c>
      <c r="B9" s="185" t="e" cm="1">
        <f t="array" ref="B9">IF(OR($A9=B$3,B$3="",$A9=""),"",SUM(IF(ROUND(INDEX(tblPiNAnalysis[[CCCM%]:[WASH%]], 0, MATCH(_xlfn.CONCAT(B$3,"%"), tblPiNAnalysis[[#Headers],[CCCM%]:[WASH%]], 0)), 1)=ROUND(INDEX(tblPiNAnalysis[[CCCM%]:[WASH%]], 0, MATCH(_xlfn.CONCAT($A9,"%"), tblPiNAnalysis[[#Headers],[CCCM%]:[WASH%]], 0)), 1), 1, 0)))</f>
        <v>#N/A</v>
      </c>
      <c r="C9" s="185" t="e" cm="1">
        <f t="array" ref="C9">IF(OR($A9=C$3,C$3="",$A9=""),"",SUM(IF(ROUND(INDEX(tblPiNAnalysis[[CCCM%]:[WASH%]], 0, MATCH(_xlfn.CONCAT(C$3,"%"), tblPiNAnalysis[[#Headers],[CCCM%]:[WASH%]], 0)), 1)=ROUND(INDEX(tblPiNAnalysis[[CCCM%]:[WASH%]], 0, MATCH(_xlfn.CONCAT($A9,"%"), tblPiNAnalysis[[#Headers],[CCCM%]:[WASH%]], 0)), 1), 1, 0)))</f>
        <v>#N/A</v>
      </c>
      <c r="D9" s="185" t="e" cm="1">
        <f t="array" ref="D9">IF(OR($A9=D$3,D$3="",$A9=""),"",SUM(IF(ROUND(INDEX(tblPiNAnalysis[[CCCM%]:[WASH%]], 0, MATCH(_xlfn.CONCAT(D$3,"%"), tblPiNAnalysis[[#Headers],[CCCM%]:[WASH%]], 0)), 1)=ROUND(INDEX(tblPiNAnalysis[[CCCM%]:[WASH%]], 0, MATCH(_xlfn.CONCAT($A9,"%"), tblPiNAnalysis[[#Headers],[CCCM%]:[WASH%]], 0)), 1), 1, 0)))</f>
        <v>#N/A</v>
      </c>
      <c r="E9" s="185" t="e" cm="1">
        <f t="array" ref="E9">IF(OR($A9=E$3,E$3="",$A9=""),"",SUM(IF(ROUND(INDEX(tblPiNAnalysis[[CCCM%]:[WASH%]], 0, MATCH(_xlfn.CONCAT(E$3,"%"), tblPiNAnalysis[[#Headers],[CCCM%]:[WASH%]], 0)), 1)=ROUND(INDEX(tblPiNAnalysis[[CCCM%]:[WASH%]], 0, MATCH(_xlfn.CONCAT($A9,"%"), tblPiNAnalysis[[#Headers],[CCCM%]:[WASH%]], 0)), 1), 1, 0)))</f>
        <v>#N/A</v>
      </c>
      <c r="F9" s="185" t="e" cm="1">
        <f t="array" ref="F9">IF(OR($A9=F$3,F$3="",$A9=""),"",SUM(IF(ROUND(INDEX(tblPiNAnalysis[[CCCM%]:[WASH%]], 0, MATCH(_xlfn.CONCAT(F$3,"%"), tblPiNAnalysis[[#Headers],[CCCM%]:[WASH%]], 0)), 1)=ROUND(INDEX(tblPiNAnalysis[[CCCM%]:[WASH%]], 0, MATCH(_xlfn.CONCAT($A9,"%"), tblPiNAnalysis[[#Headers],[CCCM%]:[WASH%]], 0)), 1), 1, 0)))</f>
        <v>#N/A</v>
      </c>
      <c r="G9" s="185" t="str" cm="1">
        <f t="array" ref="G9">IF(OR($A9=G$3,G$3="",$A9=""),"",SUM(IF(ROUND(INDEX(tblPiNAnalysis[[CCCM%]:[WASH%]], 0, MATCH(_xlfn.CONCAT(G$3,"%"), tblPiNAnalysis[[#Headers],[CCCM%]:[WASH%]], 0)), 1)=ROUND(INDEX(tblPiNAnalysis[[CCCM%]:[WASH%]], 0, MATCH(_xlfn.CONCAT($A9,"%"), tblPiNAnalysis[[#Headers],[CCCM%]:[WASH%]], 0)), 1), 1, 0)))</f>
        <v/>
      </c>
      <c r="H9" s="185"/>
      <c r="I9" s="185"/>
      <c r="J9" s="185"/>
      <c r="K9" s="185"/>
      <c r="L9" s="185"/>
      <c r="M9" s="183"/>
      <c r="N9" s="182" t="str">
        <v>Protection</v>
      </c>
      <c r="O9" s="185" cm="1">
        <f t="array" ref="O9">IF(OR($N9=O$3,O$3="",$N9=""),"",SUM(IF(INDEX(tblSeverityAnalysis[[CCCM]:[WASH]],0,MATCH(O$3,tblSeverityAnalysis[[#Headers],[CCCM]:[WASH]],0))=INDEX(tblSeverityAnalysis[[CCCM]:[WASH]],0,MATCH($N9,tblSeverityAnalysis[[#Headers],[CCCM]:[WASH]],0)), 1, 0)))</f>
        <v>14</v>
      </c>
      <c r="P9" s="185" cm="1">
        <f t="array" ref="P9">IF(OR($N9=P$3,P$3="",$N9=""),"",SUM(IF(INDEX(tblSeverityAnalysis[[CCCM]:[WASH]],0,MATCH(P$3,tblSeverityAnalysis[[#Headers],[CCCM]:[WASH]],0))=INDEX(tblSeverityAnalysis[[CCCM]:[WASH]],0,MATCH($N9,tblSeverityAnalysis[[#Headers],[CCCM]:[WASH]],0)), 1, 0)))</f>
        <v>33</v>
      </c>
      <c r="Q9" s="185" cm="1">
        <f t="array" ref="Q9">IF(OR($N9=Q$3,Q$3="",$N9=""),"",SUM(IF(INDEX(tblSeverityAnalysis[[CCCM]:[WASH]],0,MATCH(Q$3,tblSeverityAnalysis[[#Headers],[CCCM]:[WASH]],0))=INDEX(tblSeverityAnalysis[[CCCM]:[WASH]],0,MATCH($N9,tblSeverityAnalysis[[#Headers],[CCCM]:[WASH]],0)), 1, 0)))</f>
        <v>56</v>
      </c>
      <c r="R9" s="185" cm="1">
        <f t="array" ref="R9">IF(OR($N9=R$3,R$3="",$N9=""),"",SUM(IF(INDEX(tblSeverityAnalysis[[CCCM]:[WASH]],0,MATCH(R$3,tblSeverityAnalysis[[#Headers],[CCCM]:[WASH]],0))=INDEX(tblSeverityAnalysis[[CCCM]:[WASH]],0,MATCH($N9,tblSeverityAnalysis[[#Headers],[CCCM]:[WASH]],0)), 1, 0)))</f>
        <v>13</v>
      </c>
      <c r="S9" s="185" cm="1">
        <f t="array" ref="S9">IF(OR($N9=S$3,S$3="",$N9=""),"",SUM(IF(INDEX(tblSeverityAnalysis[[CCCM]:[WASH]],0,MATCH(S$3,tblSeverityAnalysis[[#Headers],[CCCM]:[WASH]],0))=INDEX(tblSeverityAnalysis[[CCCM]:[WASH]],0,MATCH($N9,tblSeverityAnalysis[[#Headers],[CCCM]:[WASH]],0)), 1, 0)))</f>
        <v>79</v>
      </c>
      <c r="T9" s="185" t="str" cm="1">
        <f t="array" ref="T9">IF(OR($N9=T$3,T$3="",$N9=""),"",SUM(IF(INDEX(tblSeverityAnalysis[[CCCM]:[WASH]],0,MATCH(T$3,tblSeverityAnalysis[[#Headers],[CCCM]:[WASH]],0))=INDEX(tblSeverityAnalysis[[CCCM]:[WASH]],0,MATCH($N9,tblSeverityAnalysis[[#Headers],[CCCM]:[WASH]],0)), 1, 0)))</f>
        <v/>
      </c>
      <c r="U9" s="185"/>
      <c r="V9" s="185"/>
      <c r="W9" s="185"/>
      <c r="X9" s="185"/>
      <c r="Y9" s="185"/>
    </row>
    <row r="10" spans="1:25" ht="37.5" customHeight="1">
      <c r="A10" s="182" t="str">
        <v>Shelter</v>
      </c>
      <c r="B10" s="185" t="e" cm="1">
        <f t="array" ref="B10">IF(OR($A10=B$3,B$3="",$A10=""),"",SUM(IF(ROUND(INDEX(tblPiNAnalysis[[CCCM%]:[WASH%]], 0, MATCH(_xlfn.CONCAT(B$3,"%"), tblPiNAnalysis[[#Headers],[CCCM%]:[WASH%]], 0)), 1)=ROUND(INDEX(tblPiNAnalysis[[CCCM%]:[WASH%]], 0, MATCH(_xlfn.CONCAT($A10,"%"), tblPiNAnalysis[[#Headers],[CCCM%]:[WASH%]], 0)), 1), 1, 0)))</f>
        <v>#VALUE!</v>
      </c>
      <c r="C10" s="185" t="e" cm="1">
        <f t="array" ref="C10">IF(OR($A10=C$3,C$3="",$A10=""),"",SUM(IF(ROUND(INDEX(tblPiNAnalysis[[CCCM%]:[WASH%]], 0, MATCH(_xlfn.CONCAT(C$3,"%"), tblPiNAnalysis[[#Headers],[CCCM%]:[WASH%]], 0)), 1)=ROUND(INDEX(tblPiNAnalysis[[CCCM%]:[WASH%]], 0, MATCH(_xlfn.CONCAT($A10,"%"), tblPiNAnalysis[[#Headers],[CCCM%]:[WASH%]], 0)), 1), 1, 0)))</f>
        <v>#VALUE!</v>
      </c>
      <c r="D10" s="185" t="e" cm="1">
        <f t="array" ref="D10">IF(OR($A10=D$3,D$3="",$A10=""),"",SUM(IF(ROUND(INDEX(tblPiNAnalysis[[CCCM%]:[WASH%]], 0, MATCH(_xlfn.CONCAT(D$3,"%"), tblPiNAnalysis[[#Headers],[CCCM%]:[WASH%]], 0)), 1)=ROUND(INDEX(tblPiNAnalysis[[CCCM%]:[WASH%]], 0, MATCH(_xlfn.CONCAT($A10,"%"), tblPiNAnalysis[[#Headers],[CCCM%]:[WASH%]], 0)), 1), 1, 0)))</f>
        <v>#VALUE!</v>
      </c>
      <c r="E10" s="185" t="e" cm="1">
        <f t="array" ref="E10">IF(OR($A10=E$3,E$3="",$A10=""),"",SUM(IF(ROUND(INDEX(tblPiNAnalysis[[CCCM%]:[WASH%]], 0, MATCH(_xlfn.CONCAT(E$3,"%"), tblPiNAnalysis[[#Headers],[CCCM%]:[WASH%]], 0)), 1)=ROUND(INDEX(tblPiNAnalysis[[CCCM%]:[WASH%]], 0, MATCH(_xlfn.CONCAT($A10,"%"), tblPiNAnalysis[[#Headers],[CCCM%]:[WASH%]], 0)), 1), 1, 0)))</f>
        <v>#VALUE!</v>
      </c>
      <c r="F10" s="185" t="e" cm="1">
        <f t="array" ref="F10">IF(OR($A10=F$3,F$3="",$A10=""),"",SUM(IF(ROUND(INDEX(tblPiNAnalysis[[CCCM%]:[WASH%]], 0, MATCH(_xlfn.CONCAT(F$3,"%"), tblPiNAnalysis[[#Headers],[CCCM%]:[WASH%]], 0)), 1)=ROUND(INDEX(tblPiNAnalysis[[CCCM%]:[WASH%]], 0, MATCH(_xlfn.CONCAT($A10,"%"), tblPiNAnalysis[[#Headers],[CCCM%]:[WASH%]], 0)), 1), 1, 0)))</f>
        <v>#VALUE!</v>
      </c>
      <c r="G10" s="185" t="e" cm="1">
        <f t="array" ref="G10">IF(OR($A10=G$3,G$3="",$A10=""),"",SUM(IF(ROUND(INDEX(tblPiNAnalysis[[CCCM%]:[WASH%]], 0, MATCH(_xlfn.CONCAT(G$3,"%"), tblPiNAnalysis[[#Headers],[CCCM%]:[WASH%]], 0)), 1)=ROUND(INDEX(tblPiNAnalysis[[CCCM%]:[WASH%]], 0, MATCH(_xlfn.CONCAT($A10,"%"), tblPiNAnalysis[[#Headers],[CCCM%]:[WASH%]], 0)), 1), 1, 0)))</f>
        <v>#N/A</v>
      </c>
      <c r="H10" s="185" t="str" cm="1">
        <f t="array" ref="H10">IF(OR($A10=H$3,H$3="",$A10=""),"",SUM(IF(ROUND(INDEX(tblPiNAnalysis[[CCCM%]:[WASH%]], 0, MATCH(_xlfn.CONCAT(H$3,"%"), tblPiNAnalysis[[#Headers],[CCCM%]:[WASH%]], 0)), 1)=ROUND(INDEX(tblPiNAnalysis[[CCCM%]:[WASH%]], 0, MATCH(_xlfn.CONCAT($A10,"%"), tblPiNAnalysis[[#Headers],[CCCM%]:[WASH%]], 0)), 1), 1, 0)))</f>
        <v/>
      </c>
      <c r="I10" s="185"/>
      <c r="J10" s="185"/>
      <c r="K10" s="185"/>
      <c r="L10" s="185"/>
      <c r="M10" s="183"/>
      <c r="N10" s="182" t="str">
        <v>Shelter</v>
      </c>
      <c r="O10" s="185" cm="1">
        <f t="array" ref="O10">IF(OR($N10=O$3,O$3="",$N10=""),"",SUM(IF(INDEX(tblSeverityAnalysis[[CCCM]:[WASH]],0,MATCH(O$3,tblSeverityAnalysis[[#Headers],[CCCM]:[WASH]],0))=INDEX(tblSeverityAnalysis[[CCCM]:[WASH]],0,MATCH($N10,tblSeverityAnalysis[[#Headers],[CCCM]:[WASH]],0)), 1, 0)))</f>
        <v>62</v>
      </c>
      <c r="P10" s="185" cm="1">
        <f t="array" ref="P10">IF(OR($N10=P$3,P$3="",$N10=""),"",SUM(IF(INDEX(tblSeverityAnalysis[[CCCM]:[WASH]],0,MATCH(P$3,tblSeverityAnalysis[[#Headers],[CCCM]:[WASH]],0))=INDEX(tblSeverityAnalysis[[CCCM]:[WASH]],0,MATCH($N10,tblSeverityAnalysis[[#Headers],[CCCM]:[WASH]],0)), 1, 0)))</f>
        <v>76</v>
      </c>
      <c r="Q10" s="185" cm="1">
        <f t="array" ref="Q10">IF(OR($N10=Q$3,Q$3="",$N10=""),"",SUM(IF(INDEX(tblSeverityAnalysis[[CCCM]:[WASH]],0,MATCH(Q$3,tblSeverityAnalysis[[#Headers],[CCCM]:[WASH]],0))=INDEX(tblSeverityAnalysis[[CCCM]:[WASH]],0,MATCH($N10,tblSeverityAnalysis[[#Headers],[CCCM]:[WASH]],0)), 1, 0)))</f>
        <v>71</v>
      </c>
      <c r="R10" s="185" cm="1">
        <f t="array" ref="R10">IF(OR($N10=R$3,R$3="",$N10=""),"",SUM(IF(INDEX(tblSeverityAnalysis[[CCCM]:[WASH]],0,MATCH(R$3,tblSeverityAnalysis[[#Headers],[CCCM]:[WASH]],0))=INDEX(tblSeverityAnalysis[[CCCM]:[WASH]],0,MATCH($N10,tblSeverityAnalysis[[#Headers],[CCCM]:[WASH]],0)), 1, 0)))</f>
        <v>76</v>
      </c>
      <c r="S10" s="185" cm="1">
        <f t="array" ref="S10">IF(OR($N10=S$3,S$3="",$N10=""),"",SUM(IF(INDEX(tblSeverityAnalysis[[CCCM]:[WASH]],0,MATCH(S$3,tblSeverityAnalysis[[#Headers],[CCCM]:[WASH]],0))=INDEX(tblSeverityAnalysis[[CCCM]:[WASH]],0,MATCH($N10,tblSeverityAnalysis[[#Headers],[CCCM]:[WASH]],0)), 1, 0)))</f>
        <v>48</v>
      </c>
      <c r="T10" s="185" cm="1">
        <f t="array" ref="T10">IF(OR($N10=T$3,T$3="",$N10=""),"",SUM(IF(INDEX(tblSeverityAnalysis[[CCCM]:[WASH]],0,MATCH(T$3,tblSeverityAnalysis[[#Headers],[CCCM]:[WASH]],0))=INDEX(tblSeverityAnalysis[[CCCM]:[WASH]],0,MATCH($N10,tblSeverityAnalysis[[#Headers],[CCCM]:[WASH]],0)), 1, 0)))</f>
        <v>27</v>
      </c>
      <c r="U10" s="185" t="str" cm="1">
        <f t="array" ref="U10">IF(OR($N10=U$3,U$3="",$N10=""),"",SUM(IF(INDEX(tblSeverityAnalysis[[CCCM]:[WASH]],0,MATCH(U$3,tblSeverityAnalysis[[#Headers],[CCCM]:[WASH]],0))=INDEX(tblSeverityAnalysis[[CCCM]:[WASH]],0,MATCH($N10,tblSeverityAnalysis[[#Headers],[CCCM]:[WASH]],0)), 1, 0)))</f>
        <v/>
      </c>
      <c r="V10" s="185"/>
      <c r="W10" s="185"/>
      <c r="X10" s="185"/>
      <c r="Y10" s="185"/>
    </row>
    <row r="11" spans="1:25" ht="37.5" customHeight="1">
      <c r="A11" s="182" t="str">
        <v>WASH</v>
      </c>
      <c r="B11" s="185" t="e" cm="1">
        <f t="array" ref="B11">IF(OR($A11=B$3,B$3="",$A11=""),"",SUM(IF(ROUND(INDEX(tblPiNAnalysis[[CCCM%]:[WASH%]], 0, MATCH(_xlfn.CONCAT(B$3,"%"), tblPiNAnalysis[[#Headers],[CCCM%]:[WASH%]], 0)), 1)=ROUND(INDEX(tblPiNAnalysis[[CCCM%]:[WASH%]], 0, MATCH(_xlfn.CONCAT($A11,"%"), tblPiNAnalysis[[#Headers],[CCCM%]:[WASH%]], 0)), 1), 1, 0)))</f>
        <v>#VALUE!</v>
      </c>
      <c r="C11" s="185" t="e" cm="1">
        <f t="array" ref="C11">IF(OR($A11=C$3,C$3="",$A11=""),"",SUM(IF(ROUND(INDEX(tblPiNAnalysis[[CCCM%]:[WASH%]], 0, MATCH(_xlfn.CONCAT(C$3,"%"), tblPiNAnalysis[[#Headers],[CCCM%]:[WASH%]], 0)), 1)=ROUND(INDEX(tblPiNAnalysis[[CCCM%]:[WASH%]], 0, MATCH(_xlfn.CONCAT($A11,"%"), tblPiNAnalysis[[#Headers],[CCCM%]:[WASH%]], 0)), 1), 1, 0)))</f>
        <v>#VALUE!</v>
      </c>
      <c r="D11" s="185" t="e" cm="1">
        <f t="array" ref="D11">IF(OR($A11=D$3,D$3="",$A11=""),"",SUM(IF(ROUND(INDEX(tblPiNAnalysis[[CCCM%]:[WASH%]], 0, MATCH(_xlfn.CONCAT(D$3,"%"), tblPiNAnalysis[[#Headers],[CCCM%]:[WASH%]], 0)), 1)=ROUND(INDEX(tblPiNAnalysis[[CCCM%]:[WASH%]], 0, MATCH(_xlfn.CONCAT($A11,"%"), tblPiNAnalysis[[#Headers],[CCCM%]:[WASH%]], 0)), 1), 1, 0)))</f>
        <v>#VALUE!</v>
      </c>
      <c r="E11" s="185" t="e" cm="1">
        <f t="array" ref="E11">IF(OR($A11=E$3,E$3="",$A11=""),"",SUM(IF(ROUND(INDEX(tblPiNAnalysis[[CCCM%]:[WASH%]], 0, MATCH(_xlfn.CONCAT(E$3,"%"), tblPiNAnalysis[[#Headers],[CCCM%]:[WASH%]], 0)), 1)=ROUND(INDEX(tblPiNAnalysis[[CCCM%]:[WASH%]], 0, MATCH(_xlfn.CONCAT($A11,"%"), tblPiNAnalysis[[#Headers],[CCCM%]:[WASH%]], 0)), 1), 1, 0)))</f>
        <v>#VALUE!</v>
      </c>
      <c r="F11" s="185" t="e" cm="1">
        <f t="array" ref="F11">IF(OR($A11=F$3,F$3="",$A11=""),"",SUM(IF(ROUND(INDEX(tblPiNAnalysis[[CCCM%]:[WASH%]], 0, MATCH(_xlfn.CONCAT(F$3,"%"), tblPiNAnalysis[[#Headers],[CCCM%]:[WASH%]], 0)), 1)=ROUND(INDEX(tblPiNAnalysis[[CCCM%]:[WASH%]], 0, MATCH(_xlfn.CONCAT($A11,"%"), tblPiNAnalysis[[#Headers],[CCCM%]:[WASH%]], 0)), 1), 1, 0)))</f>
        <v>#VALUE!</v>
      </c>
      <c r="G11" s="185" t="e" cm="1">
        <f t="array" ref="G11">IF(OR($A11=G$3,G$3="",$A11=""),"",SUM(IF(ROUND(INDEX(tblPiNAnalysis[[CCCM%]:[WASH%]], 0, MATCH(_xlfn.CONCAT(G$3,"%"), tblPiNAnalysis[[#Headers],[CCCM%]:[WASH%]], 0)), 1)=ROUND(INDEX(tblPiNAnalysis[[CCCM%]:[WASH%]], 0, MATCH(_xlfn.CONCAT($A11,"%"), tblPiNAnalysis[[#Headers],[CCCM%]:[WASH%]], 0)), 1), 1, 0)))</f>
        <v>#N/A</v>
      </c>
      <c r="H11" s="185" t="e" cm="1">
        <f t="array" ref="H11">IF(OR($A11=H$3,H$3="",$A11=""),"",SUM(IF(ROUND(INDEX(tblPiNAnalysis[[CCCM%]:[WASH%]], 0, MATCH(_xlfn.CONCAT(H$3,"%"), tblPiNAnalysis[[#Headers],[CCCM%]:[WASH%]], 0)), 1)=ROUND(INDEX(tblPiNAnalysis[[CCCM%]:[WASH%]], 0, MATCH(_xlfn.CONCAT($A11,"%"), tblPiNAnalysis[[#Headers],[CCCM%]:[WASH%]], 0)), 1), 1, 0)))</f>
        <v>#VALUE!</v>
      </c>
      <c r="I11" s="185" t="str" cm="1">
        <f t="array" ref="I11">IF(OR($A11=I$3,I$3="",$A11=""),"",SUM(IF(ROUND(INDEX(tblPiNAnalysis[[CCCM%]:[WASH%]], 0, MATCH(_xlfn.CONCAT(I$3,"%"), tblPiNAnalysis[[#Headers],[CCCM%]:[WASH%]], 0)), 1)=ROUND(INDEX(tblPiNAnalysis[[CCCM%]:[WASH%]], 0, MATCH(_xlfn.CONCAT($A11,"%"), tblPiNAnalysis[[#Headers],[CCCM%]:[WASH%]], 0)), 1), 1, 0)))</f>
        <v/>
      </c>
      <c r="J11" s="185"/>
      <c r="K11" s="185"/>
      <c r="L11" s="185"/>
      <c r="M11" s="183"/>
      <c r="N11" s="182" t="str">
        <v>WASH</v>
      </c>
      <c r="O11" s="185" cm="1">
        <f t="array" ref="O11">IF(OR($N11=O$3,O$3="",$N11=""),"",SUM(IF(INDEX(tblSeverityAnalysis[[CCCM]:[WASH]],0,MATCH(O$3,tblSeverityAnalysis[[#Headers],[CCCM]:[WASH]],0))=INDEX(tblSeverityAnalysis[[CCCM]:[WASH]],0,MATCH($N11,tblSeverityAnalysis[[#Headers],[CCCM]:[WASH]],0)), 1, 0)))</f>
        <v>41</v>
      </c>
      <c r="P11" s="185" cm="1">
        <f t="array" ref="P11">IF(OR($N11=P$3,P$3="",$N11=""),"",SUM(IF(INDEX(tblSeverityAnalysis[[CCCM]:[WASH]],0,MATCH(P$3,tblSeverityAnalysis[[#Headers],[CCCM]:[WASH]],0))=INDEX(tblSeverityAnalysis[[CCCM]:[WASH]],0,MATCH($N11,tblSeverityAnalysis[[#Headers],[CCCM]:[WASH]],0)), 1, 0)))</f>
        <v>73</v>
      </c>
      <c r="Q11" s="185" cm="1">
        <f t="array" ref="Q11">IF(OR($N11=Q$3,Q$3="",$N11=""),"",SUM(IF(INDEX(tblSeverityAnalysis[[CCCM]:[WASH]],0,MATCH(Q$3,tblSeverityAnalysis[[#Headers],[CCCM]:[WASH]],0))=INDEX(tblSeverityAnalysis[[CCCM]:[WASH]],0,MATCH($N11,tblSeverityAnalysis[[#Headers],[CCCM]:[WASH]],0)), 1, 0)))</f>
        <v>57</v>
      </c>
      <c r="R11" s="185" cm="1">
        <f t="array" ref="R11">IF(OR($N11=R$3,R$3="",$N11=""),"",SUM(IF(INDEX(tblSeverityAnalysis[[CCCM]:[WASH]],0,MATCH(R$3,tblSeverityAnalysis[[#Headers],[CCCM]:[WASH]],0))=INDEX(tblSeverityAnalysis[[CCCM]:[WASH]],0,MATCH($N11,tblSeverityAnalysis[[#Headers],[CCCM]:[WASH]],0)), 1, 0)))</f>
        <v>54</v>
      </c>
      <c r="S11" s="185" cm="1">
        <f t="array" ref="S11">IF(OR($N11=S$3,S$3="",$N11=""),"",SUM(IF(INDEX(tblSeverityAnalysis[[CCCM]:[WASH]],0,MATCH(S$3,tblSeverityAnalysis[[#Headers],[CCCM]:[WASH]],0))=INDEX(tblSeverityAnalysis[[CCCM]:[WASH]],0,MATCH($N11,tblSeverityAnalysis[[#Headers],[CCCM]:[WASH]],0)), 1, 0)))</f>
        <v>53</v>
      </c>
      <c r="T11" s="185" cm="1">
        <f t="array" ref="T11">IF(OR($N11=T$3,T$3="",$N11=""),"",SUM(IF(INDEX(tblSeverityAnalysis[[CCCM]:[WASH]],0,MATCH(T$3,tblSeverityAnalysis[[#Headers],[CCCM]:[WASH]],0))=INDEX(tblSeverityAnalysis[[CCCM]:[WASH]],0,MATCH($N11,tblSeverityAnalysis[[#Headers],[CCCM]:[WASH]],0)), 1, 0)))</f>
        <v>60</v>
      </c>
      <c r="U11" s="185" cm="1">
        <f t="array" ref="U11">IF(OR($N11=U$3,U$3="",$N11=""),"",SUM(IF(INDEX(tblSeverityAnalysis[[CCCM]:[WASH]],0,MATCH(U$3,tblSeverityAnalysis[[#Headers],[CCCM]:[WASH]],0))=INDEX(tblSeverityAnalysis[[CCCM]:[WASH]],0,MATCH($N11,tblSeverityAnalysis[[#Headers],[CCCM]:[WASH]],0)), 1, 0)))</f>
        <v>62</v>
      </c>
      <c r="V11" s="185" t="str" cm="1">
        <f t="array" ref="V11">IF(OR($N11=V$3,V$3="",$N11=""),"",SUM(IF(INDEX(tblSeverityAnalysis[[CCCM]:[WASH]],0,MATCH(V$3,tblSeverityAnalysis[[#Headers],[CCCM]:[WASH]],0))=INDEX(tblSeverityAnalysis[[CCCM]:[WASH]],0,MATCH($N11,tblSeverityAnalysis[[#Headers],[CCCM]:[WASH]],0)), 1, 0)))</f>
        <v/>
      </c>
      <c r="W11" s="185"/>
      <c r="X11" s="185"/>
      <c r="Y11" s="185"/>
    </row>
    <row r="12" spans="1:25" ht="37.5" customHeight="1">
      <c r="A12" s="182"/>
      <c r="B12" s="185" t="str" cm="1">
        <f t="array" ref="B12">IF(OR($A12=B$3,B$3="",$A12=""),"",SUM(IF(ROUND(INDEX(tblPiNAnalysis[[CCCM%]:[WASH%]], 0, MATCH(_xlfn.CONCAT(B$3,"%"), tblPiNAnalysis[[#Headers],[CCCM%]:[WASH%]], 0)), 1)=ROUND(INDEX(tblPiNAnalysis[[CCCM%]:[WASH%]], 0, MATCH(_xlfn.CONCAT($A12,"%"), tblPiNAnalysis[[#Headers],[CCCM%]:[WASH%]], 0)), 1), 1, 0)))</f>
        <v/>
      </c>
      <c r="C12" s="185" t="str" cm="1">
        <f t="array" ref="C12">IF(OR($A12=C$3,C$3="",$A12=""),"",SUM(IF(ROUND(INDEX(tblPiNAnalysis[[CCCM%]:[WASH%]], 0, MATCH(_xlfn.CONCAT(C$3,"%"), tblPiNAnalysis[[#Headers],[CCCM%]:[WASH%]], 0)), 1)=ROUND(INDEX(tblPiNAnalysis[[CCCM%]:[WASH%]], 0, MATCH(_xlfn.CONCAT($A12,"%"), tblPiNAnalysis[[#Headers],[CCCM%]:[WASH%]], 0)), 1), 1, 0)))</f>
        <v/>
      </c>
      <c r="D12" s="185" t="str" cm="1">
        <f t="array" ref="D12">IF(OR($A12=D$3,D$3="",$A12=""),"",SUM(IF(ROUND(INDEX(tblPiNAnalysis[[CCCM%]:[WASH%]], 0, MATCH(_xlfn.CONCAT(D$3,"%"), tblPiNAnalysis[[#Headers],[CCCM%]:[WASH%]], 0)), 1)=ROUND(INDEX(tblPiNAnalysis[[CCCM%]:[WASH%]], 0, MATCH(_xlfn.CONCAT($A12,"%"), tblPiNAnalysis[[#Headers],[CCCM%]:[WASH%]], 0)), 1), 1, 0)))</f>
        <v/>
      </c>
      <c r="E12" s="185" t="str" cm="1">
        <f t="array" ref="E12">IF(OR($A12=E$3,E$3="",$A12=""),"",SUM(IF(ROUND(INDEX(tblPiNAnalysis[[CCCM%]:[WASH%]], 0, MATCH(_xlfn.CONCAT(E$3,"%"), tblPiNAnalysis[[#Headers],[CCCM%]:[WASH%]], 0)), 1)=ROUND(INDEX(tblPiNAnalysis[[CCCM%]:[WASH%]], 0, MATCH(_xlfn.CONCAT($A12,"%"), tblPiNAnalysis[[#Headers],[CCCM%]:[WASH%]], 0)), 1), 1, 0)))</f>
        <v/>
      </c>
      <c r="F12" s="185" t="str" cm="1">
        <f t="array" ref="F12">IF(OR($A12=F$3,F$3="",$A12=""),"",SUM(IF(ROUND(INDEX(tblPiNAnalysis[[CCCM%]:[WASH%]], 0, MATCH(_xlfn.CONCAT(F$3,"%"), tblPiNAnalysis[[#Headers],[CCCM%]:[WASH%]], 0)), 1)=ROUND(INDEX(tblPiNAnalysis[[CCCM%]:[WASH%]], 0, MATCH(_xlfn.CONCAT($A12,"%"), tblPiNAnalysis[[#Headers],[CCCM%]:[WASH%]], 0)), 1), 1, 0)))</f>
        <v/>
      </c>
      <c r="G12" s="185" t="str" cm="1">
        <f t="array" ref="G12">IF(OR($A12=G$3,G$3="",$A12=""),"",SUM(IF(ROUND(INDEX(tblPiNAnalysis[[CCCM%]:[WASH%]], 0, MATCH(_xlfn.CONCAT(G$3,"%"), tblPiNAnalysis[[#Headers],[CCCM%]:[WASH%]], 0)), 1)=ROUND(INDEX(tblPiNAnalysis[[CCCM%]:[WASH%]], 0, MATCH(_xlfn.CONCAT($A12,"%"), tblPiNAnalysis[[#Headers],[CCCM%]:[WASH%]], 0)), 1), 1, 0)))</f>
        <v/>
      </c>
      <c r="H12" s="185" t="str" cm="1">
        <f t="array" ref="H12">IF(OR($A12=H$3,H$3="",$A12=""),"",SUM(IF(ROUND(INDEX(tblPiNAnalysis[[CCCM%]:[WASH%]], 0, MATCH(_xlfn.CONCAT(H$3,"%"), tblPiNAnalysis[[#Headers],[CCCM%]:[WASH%]], 0)), 1)=ROUND(INDEX(tblPiNAnalysis[[CCCM%]:[WASH%]], 0, MATCH(_xlfn.CONCAT($A12,"%"), tblPiNAnalysis[[#Headers],[CCCM%]:[WASH%]], 0)), 1), 1, 0)))</f>
        <v/>
      </c>
      <c r="I12" s="185" t="str" cm="1">
        <f t="array" ref="I12">IF(OR($A12=I$3,I$3="",$A12=""),"",SUM(IF(ROUND(INDEX(tblPiNAnalysis[[CCCM%]:[WASH%]], 0, MATCH(_xlfn.CONCAT(I$3,"%"), tblPiNAnalysis[[#Headers],[CCCM%]:[WASH%]], 0)), 1)=ROUND(INDEX(tblPiNAnalysis[[CCCM%]:[WASH%]], 0, MATCH(_xlfn.CONCAT($A12,"%"), tblPiNAnalysis[[#Headers],[CCCM%]:[WASH%]], 0)), 1), 1, 0)))</f>
        <v/>
      </c>
      <c r="J12" s="185" t="str" cm="1">
        <f t="array" ref="J12">IF(OR($A12=J$3,J$3="",$A12=""),"",SUM(IF(ROUND(INDEX(tblPiNAnalysis[[CCCM%]:[WASH%]], 0, MATCH(_xlfn.CONCAT(J$3,"%"), tblPiNAnalysis[[#Headers],[CCCM%]:[WASH%]], 0)), 1)=ROUND(INDEX(tblPiNAnalysis[[CCCM%]:[WASH%]], 0, MATCH(_xlfn.CONCAT($A12,"%"), tblPiNAnalysis[[#Headers],[CCCM%]:[WASH%]], 0)), 1), 1, 0)))</f>
        <v/>
      </c>
      <c r="K12" s="185"/>
      <c r="L12" s="185"/>
      <c r="M12" s="183"/>
      <c r="N12" s="182"/>
      <c r="O12" s="185" t="str" cm="1">
        <f t="array" ref="O12">IF(OR($N12=O$3,O$3="",$N12=""),"",SUM(IF(INDEX(tblSeverityAnalysis[[CCCM]:[WASH]],0,MATCH(O$3,tblSeverityAnalysis[[#Headers],[CCCM]:[WASH]],0))=INDEX(tblSeverityAnalysis[[CCCM]:[WASH]],0,MATCH($N12,tblSeverityAnalysis[[#Headers],[CCCM]:[WASH]],0)), 1, 0)))</f>
        <v/>
      </c>
      <c r="P12" s="185" t="str" cm="1">
        <f t="array" ref="P12">IF(OR($N12=P$3,P$3="",$N12=""),"",SUM(IF(INDEX(tblSeverityAnalysis[[CCCM]:[WASH]],0,MATCH(P$3,tblSeverityAnalysis[[#Headers],[CCCM]:[WASH]],0))=INDEX(tblSeverityAnalysis[[CCCM]:[WASH]],0,MATCH($N12,tblSeverityAnalysis[[#Headers],[CCCM]:[WASH]],0)), 1, 0)))</f>
        <v/>
      </c>
      <c r="Q12" s="185" t="str" cm="1">
        <f t="array" ref="Q12">IF(OR($N12=Q$3,Q$3="",$N12=""),"",SUM(IF(INDEX(tblSeverityAnalysis[[CCCM]:[WASH]],0,MATCH(Q$3,tblSeverityAnalysis[[#Headers],[CCCM]:[WASH]],0))=INDEX(tblSeverityAnalysis[[CCCM]:[WASH]],0,MATCH($N12,tblSeverityAnalysis[[#Headers],[CCCM]:[WASH]],0)), 1, 0)))</f>
        <v/>
      </c>
      <c r="R12" s="185" t="str" cm="1">
        <f t="array" ref="R12">IF(OR($N12=R$3,R$3="",$N12=""),"",SUM(IF(INDEX(tblSeverityAnalysis[[CCCM]:[WASH]],0,MATCH(R$3,tblSeverityAnalysis[[#Headers],[CCCM]:[WASH]],0))=INDEX(tblSeverityAnalysis[[CCCM]:[WASH]],0,MATCH($N12,tblSeverityAnalysis[[#Headers],[CCCM]:[WASH]],0)), 1, 0)))</f>
        <v/>
      </c>
      <c r="S12" s="185" t="str" cm="1">
        <f t="array" ref="S12">IF(OR($N12=S$3,S$3="",$N12=""),"",SUM(IF(INDEX(tblSeverityAnalysis[[CCCM]:[WASH]],0,MATCH(S$3,tblSeverityAnalysis[[#Headers],[CCCM]:[WASH]],0))=INDEX(tblSeverityAnalysis[[CCCM]:[WASH]],0,MATCH($N12,tblSeverityAnalysis[[#Headers],[CCCM]:[WASH]],0)), 1, 0)))</f>
        <v/>
      </c>
      <c r="T12" s="185" t="str" cm="1">
        <f t="array" ref="T12">IF(OR($N12=T$3,T$3="",$N12=""),"",SUM(IF(INDEX(tblSeverityAnalysis[[CCCM]:[WASH]],0,MATCH(T$3,tblSeverityAnalysis[[#Headers],[CCCM]:[WASH]],0))=INDEX(tblSeverityAnalysis[[CCCM]:[WASH]],0,MATCH($N12,tblSeverityAnalysis[[#Headers],[CCCM]:[WASH]],0)), 1, 0)))</f>
        <v/>
      </c>
      <c r="U12" s="185" t="str" cm="1">
        <f t="array" ref="U12">IF(OR($N12=U$3,U$3="",$N12=""),"",SUM(IF(INDEX(tblSeverityAnalysis[[CCCM]:[WASH]],0,MATCH(U$3,tblSeverityAnalysis[[#Headers],[CCCM]:[WASH]],0))=INDEX(tblSeverityAnalysis[[CCCM]:[WASH]],0,MATCH($N12,tblSeverityAnalysis[[#Headers],[CCCM]:[WASH]],0)), 1, 0)))</f>
        <v/>
      </c>
      <c r="V12" s="185" t="str" cm="1">
        <f t="array" ref="V12">IF(OR($N12=V$3,V$3="",$N12=""),"",SUM(IF(INDEX(tblSeverityAnalysis[[CCCM]:[WASH]],0,MATCH(V$3,tblSeverityAnalysis[[#Headers],[CCCM]:[WASH]],0))=INDEX(tblSeverityAnalysis[[CCCM]:[WASH]],0,MATCH($N12,tblSeverityAnalysis[[#Headers],[CCCM]:[WASH]],0)), 1, 0)))</f>
        <v/>
      </c>
      <c r="W12" s="185" t="str" cm="1">
        <f t="array" ref="W12">IF(OR($N12=W$3,W$3="",$N12=""),"",SUM(IF(INDEX(tblSeverityAnalysis[[CCCM]:[WASH]],0,MATCH(W$3,tblSeverityAnalysis[[#Headers],[CCCM]:[WASH]],0))=INDEX(tblSeverityAnalysis[[CCCM]:[WASH]],0,MATCH($N12,tblSeverityAnalysis[[#Headers],[CCCM]:[WASH]],0)), 1, 0)))</f>
        <v/>
      </c>
      <c r="X12" s="185"/>
      <c r="Y12" s="185"/>
    </row>
    <row r="13" spans="1:25" ht="37.5" customHeight="1">
      <c r="A13" s="182"/>
      <c r="B13" s="185" t="str" cm="1">
        <f t="array" ref="B13">IF(OR($A13=B$3,B$3="",$A13=""),"",SUM(IF(ROUND(INDEX(tblPiNAnalysis[[CCCM%]:[WASH%]], 0, MATCH(_xlfn.CONCAT(B$3,"%"), tblPiNAnalysis[[#Headers],[CCCM%]:[WASH%]], 0)), 1)=ROUND(INDEX(tblPiNAnalysis[[CCCM%]:[WASH%]], 0, MATCH(_xlfn.CONCAT($A13,"%"), tblPiNAnalysis[[#Headers],[CCCM%]:[WASH%]], 0)), 1), 1, 0)))</f>
        <v/>
      </c>
      <c r="C13" s="185" t="str" cm="1">
        <f t="array" ref="C13">IF(OR($A13=C$3,C$3="",$A13=""),"",SUM(IF(ROUND(INDEX(tblPiNAnalysis[[CCCM%]:[WASH%]], 0, MATCH(_xlfn.CONCAT(C$3,"%"), tblPiNAnalysis[[#Headers],[CCCM%]:[WASH%]], 0)), 1)=ROUND(INDEX(tblPiNAnalysis[[CCCM%]:[WASH%]], 0, MATCH(_xlfn.CONCAT($A13,"%"), tblPiNAnalysis[[#Headers],[CCCM%]:[WASH%]], 0)), 1), 1, 0)))</f>
        <v/>
      </c>
      <c r="D13" s="185" t="str" cm="1">
        <f t="array" ref="D13">IF(OR($A13=D$3,D$3="",$A13=""),"",SUM(IF(ROUND(INDEX(tblPiNAnalysis[[CCCM%]:[WASH%]], 0, MATCH(_xlfn.CONCAT(D$3,"%"), tblPiNAnalysis[[#Headers],[CCCM%]:[WASH%]], 0)), 1)=ROUND(INDEX(tblPiNAnalysis[[CCCM%]:[WASH%]], 0, MATCH(_xlfn.CONCAT($A13,"%"), tblPiNAnalysis[[#Headers],[CCCM%]:[WASH%]], 0)), 1), 1, 0)))</f>
        <v/>
      </c>
      <c r="E13" s="185" t="str" cm="1">
        <f t="array" ref="E13">IF(OR($A13=E$3,E$3="",$A13=""),"",SUM(IF(ROUND(INDEX(tblPiNAnalysis[[CCCM%]:[WASH%]], 0, MATCH(_xlfn.CONCAT(E$3,"%"), tblPiNAnalysis[[#Headers],[CCCM%]:[WASH%]], 0)), 1)=ROUND(INDEX(tblPiNAnalysis[[CCCM%]:[WASH%]], 0, MATCH(_xlfn.CONCAT($A13,"%"), tblPiNAnalysis[[#Headers],[CCCM%]:[WASH%]], 0)), 1), 1, 0)))</f>
        <v/>
      </c>
      <c r="F13" s="185" t="str" cm="1">
        <f t="array" ref="F13">IF(OR($A13=F$3,F$3="",$A13=""),"",SUM(IF(ROUND(INDEX(tblPiNAnalysis[[CCCM%]:[WASH%]], 0, MATCH(_xlfn.CONCAT(F$3,"%"), tblPiNAnalysis[[#Headers],[CCCM%]:[WASH%]], 0)), 1)=ROUND(INDEX(tblPiNAnalysis[[CCCM%]:[WASH%]], 0, MATCH(_xlfn.CONCAT($A13,"%"), tblPiNAnalysis[[#Headers],[CCCM%]:[WASH%]], 0)), 1), 1, 0)))</f>
        <v/>
      </c>
      <c r="G13" s="185" t="str" cm="1">
        <f t="array" ref="G13">IF(OR($A13=G$3,G$3="",$A13=""),"",SUM(IF(ROUND(INDEX(tblPiNAnalysis[[CCCM%]:[WASH%]], 0, MATCH(_xlfn.CONCAT(G$3,"%"), tblPiNAnalysis[[#Headers],[CCCM%]:[WASH%]], 0)), 1)=ROUND(INDEX(tblPiNAnalysis[[CCCM%]:[WASH%]], 0, MATCH(_xlfn.CONCAT($A13,"%"), tblPiNAnalysis[[#Headers],[CCCM%]:[WASH%]], 0)), 1), 1, 0)))</f>
        <v/>
      </c>
      <c r="H13" s="185" t="str" cm="1">
        <f t="array" ref="H13">IF(OR($A13=H$3,H$3="",$A13=""),"",SUM(IF(ROUND(INDEX(tblPiNAnalysis[[CCCM%]:[WASH%]], 0, MATCH(_xlfn.CONCAT(H$3,"%"), tblPiNAnalysis[[#Headers],[CCCM%]:[WASH%]], 0)), 1)=ROUND(INDEX(tblPiNAnalysis[[CCCM%]:[WASH%]], 0, MATCH(_xlfn.CONCAT($A13,"%"), tblPiNAnalysis[[#Headers],[CCCM%]:[WASH%]], 0)), 1), 1, 0)))</f>
        <v/>
      </c>
      <c r="I13" s="185" t="str" cm="1">
        <f t="array" ref="I13">IF(OR($A13=I$3,I$3="",$A13=""),"",SUM(IF(ROUND(INDEX(tblPiNAnalysis[[CCCM%]:[WASH%]], 0, MATCH(_xlfn.CONCAT(I$3,"%"), tblPiNAnalysis[[#Headers],[CCCM%]:[WASH%]], 0)), 1)=ROUND(INDEX(tblPiNAnalysis[[CCCM%]:[WASH%]], 0, MATCH(_xlfn.CONCAT($A13,"%"), tblPiNAnalysis[[#Headers],[CCCM%]:[WASH%]], 0)), 1), 1, 0)))</f>
        <v/>
      </c>
      <c r="J13" s="185" t="str" cm="1">
        <f t="array" ref="J13">IF(OR($A13=J$3,J$3="",$A13=""),"",SUM(IF(ROUND(INDEX(tblPiNAnalysis[[CCCM%]:[WASH%]], 0, MATCH(_xlfn.CONCAT(J$3,"%"), tblPiNAnalysis[[#Headers],[CCCM%]:[WASH%]], 0)), 1)=ROUND(INDEX(tblPiNAnalysis[[CCCM%]:[WASH%]], 0, MATCH(_xlfn.CONCAT($A13,"%"), tblPiNAnalysis[[#Headers],[CCCM%]:[WASH%]], 0)), 1), 1, 0)))</f>
        <v/>
      </c>
      <c r="K13" s="185" t="str" cm="1">
        <f t="array" ref="K13">IF(OR($A13=K$3,K$3="",$A13=""),"",SUM(IF(ROUND(INDEX(tblPiNAnalysis[[CCCM%]:[WASH%]], 0, MATCH(_xlfn.CONCAT(K$3,"%"), tblPiNAnalysis[[#Headers],[CCCM%]:[WASH%]], 0)), 1)=ROUND(INDEX(tblPiNAnalysis[[CCCM%]:[WASH%]], 0, MATCH(_xlfn.CONCAT($A13,"%"), tblPiNAnalysis[[#Headers],[CCCM%]:[WASH%]], 0)), 1), 1, 0)))</f>
        <v/>
      </c>
      <c r="L13" s="185"/>
      <c r="M13" s="183"/>
      <c r="N13" s="182"/>
      <c r="O13" s="185" t="str" cm="1">
        <f t="array" ref="O13">IF(OR($N13=O$3,O$3="",$N13=""),"",SUM(IF(INDEX(tblSeverityAnalysis[[CCCM]:[WASH]],0,MATCH(O$3,tblSeverityAnalysis[[#Headers],[CCCM]:[WASH]],0))=INDEX(tblSeverityAnalysis[[CCCM]:[WASH]],0,MATCH($N13,tblSeverityAnalysis[[#Headers],[CCCM]:[WASH]],0)), 1, 0)))</f>
        <v/>
      </c>
      <c r="P13" s="185" t="str" cm="1">
        <f t="array" ref="P13">IF(OR($N13=P$3,P$3="",$N13=""),"",SUM(IF(INDEX(tblSeverityAnalysis[[CCCM]:[WASH]],0,MATCH(P$3,tblSeverityAnalysis[[#Headers],[CCCM]:[WASH]],0))=INDEX(tblSeverityAnalysis[[CCCM]:[WASH]],0,MATCH($N13,tblSeverityAnalysis[[#Headers],[CCCM]:[WASH]],0)), 1, 0)))</f>
        <v/>
      </c>
      <c r="Q13" s="185" t="str" cm="1">
        <f t="array" ref="Q13">IF(OR($N13=Q$3,Q$3="",$N13=""),"",SUM(IF(INDEX(tblSeverityAnalysis[[CCCM]:[WASH]],0,MATCH(Q$3,tblSeverityAnalysis[[#Headers],[CCCM]:[WASH]],0))=INDEX(tblSeverityAnalysis[[CCCM]:[WASH]],0,MATCH($N13,tblSeverityAnalysis[[#Headers],[CCCM]:[WASH]],0)), 1, 0)))</f>
        <v/>
      </c>
      <c r="R13" s="185" t="str" cm="1">
        <f t="array" ref="R13">IF(OR($N13=R$3,R$3="",$N13=""),"",SUM(IF(INDEX(tblSeverityAnalysis[[CCCM]:[WASH]],0,MATCH(R$3,tblSeverityAnalysis[[#Headers],[CCCM]:[WASH]],0))=INDEX(tblSeverityAnalysis[[CCCM]:[WASH]],0,MATCH($N13,tblSeverityAnalysis[[#Headers],[CCCM]:[WASH]],0)), 1, 0)))</f>
        <v/>
      </c>
      <c r="S13" s="185" t="str" cm="1">
        <f t="array" ref="S13">IF(OR($N13=S$3,S$3="",$N13=""),"",SUM(IF(INDEX(tblSeverityAnalysis[[CCCM]:[WASH]],0,MATCH(S$3,tblSeverityAnalysis[[#Headers],[CCCM]:[WASH]],0))=INDEX(tblSeverityAnalysis[[CCCM]:[WASH]],0,MATCH($N13,tblSeverityAnalysis[[#Headers],[CCCM]:[WASH]],0)), 1, 0)))</f>
        <v/>
      </c>
      <c r="T13" s="185" t="str" cm="1">
        <f t="array" ref="T13">IF(OR($N13=T$3,T$3="",$N13=""),"",SUM(IF(INDEX(tblSeverityAnalysis[[CCCM]:[WASH]],0,MATCH(T$3,tblSeverityAnalysis[[#Headers],[CCCM]:[WASH]],0))=INDEX(tblSeverityAnalysis[[CCCM]:[WASH]],0,MATCH($N13,tblSeverityAnalysis[[#Headers],[CCCM]:[WASH]],0)), 1, 0)))</f>
        <v/>
      </c>
      <c r="U13" s="185" t="str" cm="1">
        <f t="array" ref="U13">IF(OR($N13=U$3,U$3="",$N13=""),"",SUM(IF(INDEX(tblSeverityAnalysis[[CCCM]:[WASH]],0,MATCH(U$3,tblSeverityAnalysis[[#Headers],[CCCM]:[WASH]],0))=INDEX(tblSeverityAnalysis[[CCCM]:[WASH]],0,MATCH($N13,tblSeverityAnalysis[[#Headers],[CCCM]:[WASH]],0)), 1, 0)))</f>
        <v/>
      </c>
      <c r="V13" s="185" t="str" cm="1">
        <f t="array" ref="V13">IF(OR($N13=V$3,V$3="",$N13=""),"",SUM(IF(INDEX(tblSeverityAnalysis[[CCCM]:[WASH]],0,MATCH(V$3,tblSeverityAnalysis[[#Headers],[CCCM]:[WASH]],0))=INDEX(tblSeverityAnalysis[[CCCM]:[WASH]],0,MATCH($N13,tblSeverityAnalysis[[#Headers],[CCCM]:[WASH]],0)), 1, 0)))</f>
        <v/>
      </c>
      <c r="W13" s="185" t="str" cm="1">
        <f t="array" ref="W13">IF(OR($N13=W$3,W$3="",$N13=""),"",SUM(IF(INDEX(tblSeverityAnalysis[[CCCM]:[WASH]],0,MATCH(W$3,tblSeverityAnalysis[[#Headers],[CCCM]:[WASH]],0))=INDEX(tblSeverityAnalysis[[CCCM]:[WASH]],0,MATCH($N13,tblSeverityAnalysis[[#Headers],[CCCM]:[WASH]],0)), 1, 0)))</f>
        <v/>
      </c>
      <c r="X13" s="185" t="str" cm="1">
        <f t="array" ref="X13">IF(OR($N13=X$3,X$3="",$N13=""),"",SUM(IF(INDEX(tblSeverityAnalysis[[CCCM]:[WASH]],0,MATCH(X$3,tblSeverityAnalysis[[#Headers],[CCCM]:[WASH]],0))=INDEX(tblSeverityAnalysis[[CCCM]:[WASH]],0,MATCH($N13,tblSeverityAnalysis[[#Headers],[CCCM]:[WASH]],0)), 1, 0)))</f>
        <v/>
      </c>
      <c r="Y13" s="185"/>
    </row>
    <row r="14" spans="1:25" ht="37.5" customHeight="1">
      <c r="A14" s="182"/>
      <c r="B14" s="185" t="str" cm="1">
        <f t="array" ref="B14">IF(OR($A14=B$3,B$3="",$A14=""),"",SUM(IF(ROUND(INDEX(tblPiNAnalysis[[CCCM%]:[WASH%]], 0, MATCH(_xlfn.CONCAT(B$3,"%"), tblPiNAnalysis[[#Headers],[CCCM%]:[WASH%]], 0)), 1)=ROUND(INDEX(tblPiNAnalysis[[CCCM%]:[WASH%]], 0, MATCH(_xlfn.CONCAT($A14,"%"), tblPiNAnalysis[[#Headers],[CCCM%]:[WASH%]], 0)), 1), 1, 0)))</f>
        <v/>
      </c>
      <c r="C14" s="185" t="str" cm="1">
        <f t="array" ref="C14">IF(OR($A14=C$3,C$3="",$A14=""),"",SUM(IF(ROUND(INDEX(tblPiNAnalysis[[CCCM%]:[WASH%]], 0, MATCH(_xlfn.CONCAT(C$3,"%"), tblPiNAnalysis[[#Headers],[CCCM%]:[WASH%]], 0)), 1)=ROUND(INDEX(tblPiNAnalysis[[CCCM%]:[WASH%]], 0, MATCH(_xlfn.CONCAT($A14,"%"), tblPiNAnalysis[[#Headers],[CCCM%]:[WASH%]], 0)), 1), 1, 0)))</f>
        <v/>
      </c>
      <c r="D14" s="185" t="str" cm="1">
        <f t="array" ref="D14">IF(OR($A14=D$3,D$3="",$A14=""),"",SUM(IF(ROUND(INDEX(tblPiNAnalysis[[CCCM%]:[WASH%]], 0, MATCH(_xlfn.CONCAT(D$3,"%"), tblPiNAnalysis[[#Headers],[CCCM%]:[WASH%]], 0)), 1)=ROUND(INDEX(tblPiNAnalysis[[CCCM%]:[WASH%]], 0, MATCH(_xlfn.CONCAT($A14,"%"), tblPiNAnalysis[[#Headers],[CCCM%]:[WASH%]], 0)), 1), 1, 0)))</f>
        <v/>
      </c>
      <c r="E14" s="185" t="str" cm="1">
        <f t="array" ref="E14">IF(OR($A14=E$3,E$3="",$A14=""),"",SUM(IF(ROUND(INDEX(tblPiNAnalysis[[CCCM%]:[WASH%]], 0, MATCH(_xlfn.CONCAT(E$3,"%"), tblPiNAnalysis[[#Headers],[CCCM%]:[WASH%]], 0)), 1)=ROUND(INDEX(tblPiNAnalysis[[CCCM%]:[WASH%]], 0, MATCH(_xlfn.CONCAT($A14,"%"), tblPiNAnalysis[[#Headers],[CCCM%]:[WASH%]], 0)), 1), 1, 0)))</f>
        <v/>
      </c>
      <c r="F14" s="185" t="str" cm="1">
        <f t="array" ref="F14">IF(OR($A14=F$3,F$3="",$A14=""),"",SUM(IF(ROUND(INDEX(tblPiNAnalysis[[CCCM%]:[WASH%]], 0, MATCH(_xlfn.CONCAT(F$3,"%"), tblPiNAnalysis[[#Headers],[CCCM%]:[WASH%]], 0)), 1)=ROUND(INDEX(tblPiNAnalysis[[CCCM%]:[WASH%]], 0, MATCH(_xlfn.CONCAT($A14,"%"), tblPiNAnalysis[[#Headers],[CCCM%]:[WASH%]], 0)), 1), 1, 0)))</f>
        <v/>
      </c>
      <c r="G14" s="185" t="str" cm="1">
        <f t="array" ref="G14">IF(OR($A14=G$3,G$3="",$A14=""),"",SUM(IF(ROUND(INDEX(tblPiNAnalysis[[CCCM%]:[WASH%]], 0, MATCH(_xlfn.CONCAT(G$3,"%"), tblPiNAnalysis[[#Headers],[CCCM%]:[WASH%]], 0)), 1)=ROUND(INDEX(tblPiNAnalysis[[CCCM%]:[WASH%]], 0, MATCH(_xlfn.CONCAT($A14,"%"), tblPiNAnalysis[[#Headers],[CCCM%]:[WASH%]], 0)), 1), 1, 0)))</f>
        <v/>
      </c>
      <c r="H14" s="185" t="str" cm="1">
        <f t="array" ref="H14">IF(OR($A14=H$3,H$3="",$A14=""),"",SUM(IF(ROUND(INDEX(tblPiNAnalysis[[CCCM%]:[WASH%]], 0, MATCH(_xlfn.CONCAT(H$3,"%"), tblPiNAnalysis[[#Headers],[CCCM%]:[WASH%]], 0)), 1)=ROUND(INDEX(tblPiNAnalysis[[CCCM%]:[WASH%]], 0, MATCH(_xlfn.CONCAT($A14,"%"), tblPiNAnalysis[[#Headers],[CCCM%]:[WASH%]], 0)), 1), 1, 0)))</f>
        <v/>
      </c>
      <c r="I14" s="185" t="str" cm="1">
        <f t="array" ref="I14">IF(OR($A14=I$3,I$3="",$A14=""),"",SUM(IF(ROUND(INDEX(tblPiNAnalysis[[CCCM%]:[WASH%]], 0, MATCH(_xlfn.CONCAT(I$3,"%"), tblPiNAnalysis[[#Headers],[CCCM%]:[WASH%]], 0)), 1)=ROUND(INDEX(tblPiNAnalysis[[CCCM%]:[WASH%]], 0, MATCH(_xlfn.CONCAT($A14,"%"), tblPiNAnalysis[[#Headers],[CCCM%]:[WASH%]], 0)), 1), 1, 0)))</f>
        <v/>
      </c>
      <c r="J14" s="185" t="str" cm="1">
        <f t="array" ref="J14">IF(OR($A14=J$3,J$3="",$A14=""),"",SUM(IF(ROUND(INDEX(tblPiNAnalysis[[CCCM%]:[WASH%]], 0, MATCH(_xlfn.CONCAT(J$3,"%"), tblPiNAnalysis[[#Headers],[CCCM%]:[WASH%]], 0)), 1)=ROUND(INDEX(tblPiNAnalysis[[CCCM%]:[WASH%]], 0, MATCH(_xlfn.CONCAT($A14,"%"), tblPiNAnalysis[[#Headers],[CCCM%]:[WASH%]], 0)), 1), 1, 0)))</f>
        <v/>
      </c>
      <c r="K14" s="185" t="str" cm="1">
        <f t="array" ref="K14">IF(OR($A14=K$3,K$3="",$A14=""),"",SUM(IF(ROUND(INDEX(tblPiNAnalysis[[CCCM%]:[WASH%]], 0, MATCH(_xlfn.CONCAT(K$3,"%"), tblPiNAnalysis[[#Headers],[CCCM%]:[WASH%]], 0)), 1)=ROUND(INDEX(tblPiNAnalysis[[CCCM%]:[WASH%]], 0, MATCH(_xlfn.CONCAT($A14,"%"), tblPiNAnalysis[[#Headers],[CCCM%]:[WASH%]], 0)), 1), 1, 0)))</f>
        <v/>
      </c>
      <c r="L14" s="185" t="str" cm="1">
        <f t="array" ref="L14">IF(OR($A14=L$3,L$3="",$A14=""),"",SUM(IF(ROUND(INDEX(tblPiNAnalysis[[CCCM%]:[WASH%]], 0, MATCH(_xlfn.CONCAT(L$3,"%"), tblPiNAnalysis[[#Headers],[CCCM%]:[WASH%]], 0)), 1)=ROUND(INDEX(tblPiNAnalysis[[CCCM%]:[WASH%]], 0, MATCH(_xlfn.CONCAT($A14,"%"), tblPiNAnalysis[[#Headers],[CCCM%]:[WASH%]], 0)), 1), 1, 0)))</f>
        <v/>
      </c>
      <c r="M14" s="183"/>
      <c r="N14" s="182"/>
      <c r="O14" s="185" t="str" cm="1">
        <f t="array" ref="O14">IF(OR($N14=O$3,O$3="",$N14=""),"",SUM(IF(INDEX(tblSeverityAnalysis[[CCCM]:[WASH]],0,MATCH(O$3,tblSeverityAnalysis[[#Headers],[CCCM]:[WASH]],0))=INDEX(tblSeverityAnalysis[[CCCM]:[WASH]],0,MATCH($N14,tblSeverityAnalysis[[#Headers],[CCCM]:[WASH]],0)), 1, 0)))</f>
        <v/>
      </c>
      <c r="P14" s="185" t="str" cm="1">
        <f t="array" ref="P14">IF(OR($N14=P$3,P$3="",$N14=""),"",SUM(IF(INDEX(tblSeverityAnalysis[[CCCM]:[WASH]],0,MATCH(P$3,tblSeverityAnalysis[[#Headers],[CCCM]:[WASH]],0))=INDEX(tblSeverityAnalysis[[CCCM]:[WASH]],0,MATCH($N14,tblSeverityAnalysis[[#Headers],[CCCM]:[WASH]],0)), 1, 0)))</f>
        <v/>
      </c>
      <c r="Q14" s="185" t="str" cm="1">
        <f t="array" ref="Q14">IF(OR($N14=Q$3,Q$3="",$N14=""),"",SUM(IF(INDEX(tblSeverityAnalysis[[CCCM]:[WASH]],0,MATCH(Q$3,tblSeverityAnalysis[[#Headers],[CCCM]:[WASH]],0))=INDEX(tblSeverityAnalysis[[CCCM]:[WASH]],0,MATCH($N14,tblSeverityAnalysis[[#Headers],[CCCM]:[WASH]],0)), 1, 0)))</f>
        <v/>
      </c>
      <c r="R14" s="185" t="str" cm="1">
        <f t="array" ref="R14">IF(OR($N14=R$3,R$3="",$N14=""),"",SUM(IF(INDEX(tblSeverityAnalysis[[CCCM]:[WASH]],0,MATCH(R$3,tblSeverityAnalysis[[#Headers],[CCCM]:[WASH]],0))=INDEX(tblSeverityAnalysis[[CCCM]:[WASH]],0,MATCH($N14,tblSeverityAnalysis[[#Headers],[CCCM]:[WASH]],0)), 1, 0)))</f>
        <v/>
      </c>
      <c r="S14" s="185" t="str" cm="1">
        <f t="array" ref="S14">IF(OR($N14=S$3,S$3="",$N14=""),"",SUM(IF(INDEX(tblSeverityAnalysis[[CCCM]:[WASH]],0,MATCH(S$3,tblSeverityAnalysis[[#Headers],[CCCM]:[WASH]],0))=INDEX(tblSeverityAnalysis[[CCCM]:[WASH]],0,MATCH($N14,tblSeverityAnalysis[[#Headers],[CCCM]:[WASH]],0)), 1, 0)))</f>
        <v/>
      </c>
      <c r="T14" s="185" t="str" cm="1">
        <f t="array" ref="T14">IF(OR($N14=T$3,T$3="",$N14=""),"",SUM(IF(INDEX(tblSeverityAnalysis[[CCCM]:[WASH]],0,MATCH(T$3,tblSeverityAnalysis[[#Headers],[CCCM]:[WASH]],0))=INDEX(tblSeverityAnalysis[[CCCM]:[WASH]],0,MATCH($N14,tblSeverityAnalysis[[#Headers],[CCCM]:[WASH]],0)), 1, 0)))</f>
        <v/>
      </c>
      <c r="U14" s="185" t="str" cm="1">
        <f t="array" ref="U14">IF(OR($N14=U$3,U$3="",$N14=""),"",SUM(IF(INDEX(tblSeverityAnalysis[[CCCM]:[WASH]],0,MATCH(U$3,tblSeverityAnalysis[[#Headers],[CCCM]:[WASH]],0))=INDEX(tblSeverityAnalysis[[CCCM]:[WASH]],0,MATCH($N14,tblSeverityAnalysis[[#Headers],[CCCM]:[WASH]],0)), 1, 0)))</f>
        <v/>
      </c>
      <c r="V14" s="185" t="str" cm="1">
        <f t="array" ref="V14">IF(OR($N14=V$3,V$3="",$N14=""),"",SUM(IF(INDEX(tblSeverityAnalysis[[CCCM]:[WASH]],0,MATCH(V$3,tblSeverityAnalysis[[#Headers],[CCCM]:[WASH]],0))=INDEX(tblSeverityAnalysis[[CCCM]:[WASH]],0,MATCH($N14,tblSeverityAnalysis[[#Headers],[CCCM]:[WASH]],0)), 1, 0)))</f>
        <v/>
      </c>
      <c r="W14" s="185" t="str" cm="1">
        <f t="array" ref="W14">IF(OR($N14=W$3,W$3="",$N14=""),"",SUM(IF(INDEX(tblSeverityAnalysis[[CCCM]:[WASH]],0,MATCH(W$3,tblSeverityAnalysis[[#Headers],[CCCM]:[WASH]],0))=INDEX(tblSeverityAnalysis[[CCCM]:[WASH]],0,MATCH($N14,tblSeverityAnalysis[[#Headers],[CCCM]:[WASH]],0)), 1, 0)))</f>
        <v/>
      </c>
      <c r="X14" s="185" t="str" cm="1">
        <f t="array" ref="X14">IF(OR($N14=X$3,X$3="",$N14=""),"",SUM(IF(INDEX(tblSeverityAnalysis[[CCCM]:[WASH]],0,MATCH(X$3,tblSeverityAnalysis[[#Headers],[CCCM]:[WASH]],0))=INDEX(tblSeverityAnalysis[[CCCM]:[WASH]],0,MATCH($N14,tblSeverityAnalysis[[#Headers],[CCCM]:[WASH]],0)), 1, 0)))</f>
        <v/>
      </c>
      <c r="Y14" s="185" t="str" cm="1">
        <f t="array" ref="Y14">IF(OR($N14=Y$3,Y$3="",$N14=""),"",SUM(IF(INDEX(tblSeverityAnalysis[[CCCM]:[WASH]],0,MATCH(Y$3,tblSeverityAnalysis[[#Headers],[CCCM]:[WASH]],0))=INDEX(tblSeverityAnalysis[[CCCM]:[WASH]],0,MATCH($N14,tblSeverityAnalysis[[#Headers],[CCCM]:[WASH]],0)), 1, 0)))</f>
        <v/>
      </c>
    </row>
    <row r="15" spans="1:25">
      <c r="M15" s="183"/>
    </row>
  </sheetData>
  <mergeCells count="2">
    <mergeCell ref="A1:K2"/>
    <mergeCell ref="N1:Y2"/>
  </mergeCells>
  <conditionalFormatting sqref="A4:A14">
    <cfRule type="notContainsBlanks" dxfId="11" priority="5">
      <formula>LEN(TRIM(A4))&gt;0</formula>
    </cfRule>
  </conditionalFormatting>
  <conditionalFormatting sqref="B3:L3">
    <cfRule type="notContainsBlanks" dxfId="10" priority="7">
      <formula>LEN(TRIM(B3))&gt;0</formula>
    </cfRule>
  </conditionalFormatting>
  <conditionalFormatting sqref="B4:L14">
    <cfRule type="notContainsBlanks" dxfId="9" priority="6">
      <formula>LEN(TRIM(B4))&gt;0</formula>
    </cfRule>
    <cfRule type="colorScale" priority="8">
      <colorScale>
        <cfvo type="min"/>
        <cfvo type="max"/>
        <color theme="8" tint="0.79998168889431442"/>
        <color theme="8" tint="-0.249977111117893"/>
      </colorScale>
    </cfRule>
  </conditionalFormatting>
  <conditionalFormatting sqref="N4:N14">
    <cfRule type="notContainsBlanks" dxfId="8" priority="1">
      <formula>LEN(TRIM(N4))&gt;0</formula>
    </cfRule>
  </conditionalFormatting>
  <conditionalFormatting sqref="O3:Y3">
    <cfRule type="notContainsBlanks" dxfId="7" priority="3">
      <formula>LEN(TRIM(O3))&gt;0</formula>
    </cfRule>
  </conditionalFormatting>
  <conditionalFormatting sqref="O4:Y14">
    <cfRule type="notContainsBlanks" dxfId="6" priority="2">
      <formula>LEN(TRIM(O4))&gt;0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72386-F1C7-4825-8FAC-7D142765418D}">
  <sheetPr codeName="Sheet12">
    <tabColor rgb="FF00B050"/>
  </sheetPr>
  <dimension ref="A1:AA16"/>
  <sheetViews>
    <sheetView showGridLines="0" zoomScale="80" zoomScaleNormal="80" workbookViewId="0">
      <selection activeCell="I16" sqref="I16"/>
    </sheetView>
  </sheetViews>
  <sheetFormatPr defaultRowHeight="14.45"/>
  <cols>
    <col min="2" max="2" width="17.42578125" style="181" customWidth="1"/>
    <col min="3" max="9" width="12.7109375" style="23" customWidth="1"/>
    <col min="10" max="13" width="12.7109375" customWidth="1"/>
    <col min="14" max="14" width="2.5703125" customWidth="1"/>
    <col min="16" max="16" width="15" customWidth="1"/>
    <col min="17" max="27" width="12.7109375" customWidth="1"/>
  </cols>
  <sheetData>
    <row r="1" spans="1:27" ht="55.5" customHeight="1">
      <c r="B1" s="602" t="s">
        <v>619</v>
      </c>
      <c r="C1" s="602"/>
      <c r="D1" s="602"/>
      <c r="E1" s="602"/>
      <c r="F1" s="602"/>
      <c r="G1" s="602"/>
      <c r="H1" s="602"/>
      <c r="I1" s="602"/>
      <c r="J1" s="602"/>
      <c r="K1" s="602"/>
      <c r="L1" s="602"/>
      <c r="N1" s="183"/>
      <c r="P1" s="601" t="s">
        <v>620</v>
      </c>
      <c r="Q1" s="601"/>
      <c r="R1" s="601"/>
      <c r="S1" s="601"/>
      <c r="T1" s="601"/>
      <c r="U1" s="601"/>
      <c r="V1" s="601"/>
      <c r="W1" s="601"/>
      <c r="X1" s="601"/>
      <c r="Y1" s="601"/>
      <c r="Z1" s="601"/>
      <c r="AA1" s="601"/>
    </row>
    <row r="2" spans="1:27" ht="55.5" customHeight="1">
      <c r="B2" s="602"/>
      <c r="C2" s="602"/>
      <c r="D2" s="602"/>
      <c r="E2" s="602"/>
      <c r="F2" s="602"/>
      <c r="G2" s="602"/>
      <c r="H2" s="602"/>
      <c r="I2" s="602"/>
      <c r="J2" s="602"/>
      <c r="K2" s="602"/>
      <c r="L2" s="602"/>
      <c r="N2" s="183"/>
      <c r="P2" s="601"/>
      <c r="Q2" s="601"/>
      <c r="R2" s="601"/>
      <c r="S2" s="601"/>
      <c r="T2" s="601"/>
      <c r="U2" s="601"/>
      <c r="V2" s="601"/>
      <c r="W2" s="601"/>
      <c r="X2" s="601"/>
      <c r="Y2" s="601"/>
      <c r="Z2" s="601"/>
      <c r="AA2" s="601"/>
    </row>
    <row r="3" spans="1:27" ht="24.75" customHeight="1">
      <c r="B3" s="184"/>
      <c r="C3" s="601" t="s">
        <v>621</v>
      </c>
      <c r="D3" s="601"/>
      <c r="E3" s="601"/>
      <c r="F3" s="601"/>
      <c r="G3" s="601"/>
      <c r="H3" s="601"/>
      <c r="I3" s="601"/>
      <c r="J3" s="601"/>
      <c r="K3" s="601"/>
      <c r="L3" s="601"/>
      <c r="M3" s="601"/>
      <c r="N3" s="183"/>
      <c r="P3" s="180"/>
      <c r="Q3" s="601" t="s">
        <v>621</v>
      </c>
      <c r="R3" s="601"/>
      <c r="S3" s="601"/>
      <c r="T3" s="601"/>
      <c r="U3" s="601"/>
      <c r="V3" s="601"/>
      <c r="W3" s="601"/>
      <c r="X3" s="601"/>
      <c r="Y3" s="601"/>
      <c r="Z3" s="601"/>
      <c r="AA3" s="601"/>
    </row>
    <row r="4" spans="1:27" ht="50.25" customHeight="1">
      <c r="B4" s="178"/>
      <c r="C4" s="185" t="str" cm="1">
        <f t="array" ref="C4:J4">_xlfn.UNIQUE(tblPiNAnalysis[[#Headers],[CCCM]:[WASH]])</f>
        <v>CCCM</v>
      </c>
      <c r="D4" s="185" t="str">
        <v>Education</v>
      </c>
      <c r="E4" s="185" t="str">
        <v>Nutrition</v>
      </c>
      <c r="F4" s="185" t="str">
        <v>Food Security</v>
      </c>
      <c r="G4" s="185" t="str">
        <v>Health</v>
      </c>
      <c r="H4" s="185" t="str">
        <v>Protection</v>
      </c>
      <c r="I4" s="185" t="str">
        <v>Shelter</v>
      </c>
      <c r="J4" s="182" t="str">
        <v>WASH</v>
      </c>
      <c r="K4" s="182"/>
      <c r="L4" s="182"/>
      <c r="N4" s="183"/>
      <c r="P4" s="178"/>
      <c r="Q4" s="182" t="str" cm="1">
        <f t="array" ref="Q4:X4">_xlfn.UNIQUE(tblSeverityAnalysis[[#Headers],[CCCM]:[WASH]])</f>
        <v>CCCM</v>
      </c>
      <c r="R4" s="182" t="str">
        <v>Education</v>
      </c>
      <c r="S4" s="182" t="str">
        <v>Nutrition</v>
      </c>
      <c r="T4" s="182" t="str">
        <v>Food Security</v>
      </c>
      <c r="U4" s="182" t="str">
        <v>Health</v>
      </c>
      <c r="V4" s="182" t="str">
        <v>Protection</v>
      </c>
      <c r="W4" s="182" t="str">
        <v>Shelter</v>
      </c>
      <c r="X4" s="182" t="str">
        <v>WASH</v>
      </c>
      <c r="Y4" s="182"/>
      <c r="Z4" s="182"/>
    </row>
    <row r="5" spans="1:27" ht="37.5" customHeight="1">
      <c r="A5" s="603" t="s">
        <v>622</v>
      </c>
      <c r="B5" s="182" t="str" cm="1">
        <f t="array" ref="B5:B12">TRANSPOSE(tblPiNAnalysis[[#Headers],[CCCM]:[WASH]])</f>
        <v>CCCM</v>
      </c>
      <c r="C5" s="185" t="str">
        <f>IF(OR($B5=C$4,C$4="",$B5=""),"", COUNTIFS(tblPiNAnalysis[Highest sector(s)], _xlfn.CONCAT("*", C$4, "*"), tblPiNAnalysis[2nd Highest sector(s)], _xlfn.CONCAT("*", $B5, "*")))</f>
        <v/>
      </c>
      <c r="D5" s="185">
        <f>IF(OR($B5=D$4,D$4="",$B5=""),"", COUNTIFS(tblPiNAnalysis[Highest sector(s)], _xlfn.CONCAT("*", D$4, "*"), tblPiNAnalysis[2nd Highest sector(s)], _xlfn.CONCAT("*", $B5, "*")))</f>
        <v>0</v>
      </c>
      <c r="E5" s="185">
        <f>IF(OR($B5=E$4,E$4="",$B5=""),"", COUNTIFS(tblPiNAnalysis[Highest sector(s)], _xlfn.CONCAT("*", E$4, "*"), tblPiNAnalysis[2nd Highest sector(s)], _xlfn.CONCAT("*", $B5, "*")))</f>
        <v>0</v>
      </c>
      <c r="F5" s="185">
        <f>IF(OR($B5=F$4,F$4="",$B5=""),"", COUNTIFS(tblPiNAnalysis[Highest sector(s)], _xlfn.CONCAT("*", F$4, "*"), tblPiNAnalysis[2nd Highest sector(s)], _xlfn.CONCAT("*", $B5, "*")))</f>
        <v>3</v>
      </c>
      <c r="G5" s="185">
        <f>IF(OR($B5=G$4,G$4="",$B5=""),"", COUNTIFS(tblPiNAnalysis[Highest sector(s)], _xlfn.CONCAT("*", G$4, "*"), tblPiNAnalysis[2nd Highest sector(s)], _xlfn.CONCAT("*", $B5, "*")))</f>
        <v>0</v>
      </c>
      <c r="H5" s="185">
        <f>IF(OR($B5=H$4,H$4="",$B5=""),"", COUNTIFS(tblPiNAnalysis[Highest sector(s)], _xlfn.CONCAT("*", H$4, "*"), tblPiNAnalysis[2nd Highest sector(s)], _xlfn.CONCAT("*", $B5, "*")))</f>
        <v>0</v>
      </c>
      <c r="I5" s="185">
        <f>IF(OR($B5=I$4,I$4="",$B5=""),"", COUNTIFS(tblPiNAnalysis[Highest sector(s)], _xlfn.CONCAT("*", I$4, "*"), tblPiNAnalysis[2nd Highest sector(s)], _xlfn.CONCAT("*", $B5, "*")))</f>
        <v>0</v>
      </c>
      <c r="J5" s="185">
        <f>IF(OR($B5=J$4,J$4="",$B5=""),"", COUNTIFS(tblPiNAnalysis[Highest sector(s)], _xlfn.CONCAT("*", J$4, "*"), tblPiNAnalysis[2nd Highest sector(s)], _xlfn.CONCAT("*", $B5, "*")))</f>
        <v>0</v>
      </c>
      <c r="K5" s="185" t="str">
        <f>IF(OR($B5=K$4,K$4="",$B5=""),"", COUNTIFS(tblPiNAnalysis[Highest sector(s)], _xlfn.CONCAT("*", K$4, "*"), tblPiNAnalysis[2nd Highest sector(s)], _xlfn.CONCAT("*", $B5, "*")))</f>
        <v/>
      </c>
      <c r="L5" s="185" t="str">
        <f>IF(OR($B5=L$4,L$4="",$B5=""),"", COUNTIFS(tblPiNAnalysis[Highest sector(s)], _xlfn.CONCAT("*", L$4, "*"), tblPiNAnalysis[2nd Highest sector(s)], _xlfn.CONCAT("*", $B5, "*")))</f>
        <v/>
      </c>
      <c r="M5" s="185" t="str">
        <f>IF(OR($B5=M$4,M$4="",$B5=""),"", COUNTIFS(tblPiNAnalysis[Highest sector(s)], _xlfn.CONCAT("*", M$4, "*"), tblPiNAnalysis[2nd Highest sector(s)], _xlfn.CONCAT("*", $B5, "*")))</f>
        <v/>
      </c>
      <c r="N5" s="604"/>
      <c r="O5" s="603" t="s">
        <v>622</v>
      </c>
      <c r="P5" s="182" t="str" cm="1">
        <f t="array" ref="P5:P12">TRANSPOSE(tblSeverityAnalysis[[#Headers],[CCCM]:[WASH]])</f>
        <v>CCCM</v>
      </c>
      <c r="Q5" s="185" t="str">
        <f>IF(OR($P5=Q$4,Q$4="",$P5=""),"", COUNTIFS(tblSeverityAnalysis[Sectors with Highest Severity], _xlfn.CONCAT("*", Q$4, "*"), tblSeverityAnalysis[Sectors with 2nd Highest Severity], _xlfn.CONCAT("*", $P5, "*")))</f>
        <v/>
      </c>
      <c r="R5" s="185">
        <f>IF(OR($P5=R$4,R$4="",$P5=""),"", COUNTIFS(tblSeverityAnalysis[Sectors with Highest Severity], _xlfn.CONCAT("*", R$4, "*"), tblSeverityAnalysis[Sectors with 2nd Highest Severity], _xlfn.CONCAT("*", $P5, "*")))</f>
        <v>2</v>
      </c>
      <c r="S5" s="185">
        <f>IF(OR($P5=S$4,S$4="",$P5=""),"", COUNTIFS(tblSeverityAnalysis[Sectors with Highest Severity], _xlfn.CONCAT("*", S$4, "*"), tblSeverityAnalysis[Sectors with 2nd Highest Severity], _xlfn.CONCAT("*", $P5, "*")))</f>
        <v>0</v>
      </c>
      <c r="T5" s="185">
        <f>IF(OR($P5=T$4,T$4="",$P5=""),"", COUNTIFS(tblSeverityAnalysis[Sectors with Highest Severity], _xlfn.CONCAT("*", T$4, "*"), tblSeverityAnalysis[Sectors with 2nd Highest Severity], _xlfn.CONCAT("*", $P5, "*")))</f>
        <v>11</v>
      </c>
      <c r="U5" s="185">
        <f>IF(OR($P5=U$4,U$4="",$P5=""),"", COUNTIFS(tblSeverityAnalysis[Sectors with Highest Severity], _xlfn.CONCAT("*", U$4, "*"), tblSeverityAnalysis[Sectors with 2nd Highest Severity], _xlfn.CONCAT("*", $P5, "*")))</f>
        <v>1</v>
      </c>
      <c r="V5" s="185">
        <f>IF(OR($P5=V$4,V$4="",$P5=""),"", COUNTIFS(tblSeverityAnalysis[Sectors with Highest Severity], _xlfn.CONCAT("*", V$4, "*"), tblSeverityAnalysis[Sectors with 2nd Highest Severity], _xlfn.CONCAT("*", $P5, "*")))</f>
        <v>4</v>
      </c>
      <c r="W5" s="185">
        <f>IF(OR($P5=W$4,W$4="",$P5=""),"", COUNTIFS(tblSeverityAnalysis[Sectors with Highest Severity], _xlfn.CONCAT("*", W$4, "*"), tblSeverityAnalysis[Sectors with 2nd Highest Severity], _xlfn.CONCAT("*", $P5, "*")))</f>
        <v>4</v>
      </c>
      <c r="X5" s="185">
        <f>IF(OR($P5=X$4,X$4="",$P5=""),"", COUNTIFS(tblSeverityAnalysis[Sectors with Highest Severity], _xlfn.CONCAT("*", X$4, "*"), tblSeverityAnalysis[Sectors with 2nd Highest Severity], _xlfn.CONCAT("*", $P5, "*")))</f>
        <v>5</v>
      </c>
      <c r="Y5" s="185" t="str">
        <f>IF(OR($P5=Y$4,Y$4="",$P5=""),"", COUNTIFS(tblSeverityAnalysis[Sectors with Highest Severity], _xlfn.CONCAT("*", Y$4, "*"), tblSeverityAnalysis[Sectors with 2nd Highest Severity], _xlfn.CONCAT("*", $P5, "*")))</f>
        <v/>
      </c>
      <c r="Z5" s="185" t="str">
        <f>IF(OR($P5=Z$4,Z$4="",$P5=""),"", COUNTIFS(tblSeverityAnalysis[Sectors with Highest Severity], _xlfn.CONCAT("*", Z$4, "*"), tblSeverityAnalysis[Sectors with 2nd Highest Severity], _xlfn.CONCAT("*", $P5, "*")))</f>
        <v/>
      </c>
      <c r="AA5" s="185" t="str">
        <f>IF(OR($P5=AA$4,AA$4="",$P5=""),"", COUNTIFS(tblSeverityAnalysis[Sectors with Highest Severity], _xlfn.CONCAT("*", AA$4, "*"), tblSeverityAnalysis[Sectors with 2nd Highest Severity], _xlfn.CONCAT("*", $P5, "*")))</f>
        <v/>
      </c>
    </row>
    <row r="6" spans="1:27" ht="37.5" customHeight="1">
      <c r="A6" s="603"/>
      <c r="B6" s="182" t="str">
        <v>Education</v>
      </c>
      <c r="C6" s="185">
        <f>IF(OR($B6=C$4,C$4="",$B6=""),"", COUNTIFS(tblPiNAnalysis[Highest sector(s)], _xlfn.CONCAT("*", C$4, "*"), tblPiNAnalysis[2nd Highest sector(s)], _xlfn.CONCAT("*", $B6, "*")))</f>
        <v>0</v>
      </c>
      <c r="D6" s="185" t="str">
        <f>IF(OR($B6=D$4,D$4="",$B6=""),"", COUNTIFS(tblPiNAnalysis[Highest sector(s)], _xlfn.CONCAT("*", D$4, "*"), tblPiNAnalysis[2nd Highest sector(s)], _xlfn.CONCAT("*", $B6, "*")))</f>
        <v/>
      </c>
      <c r="E6" s="185">
        <f>IF(OR($B6=E$4,E$4="",$B6=""),"", COUNTIFS(tblPiNAnalysis[Highest sector(s)], _xlfn.CONCAT("*", E$4, "*"), tblPiNAnalysis[2nd Highest sector(s)], _xlfn.CONCAT("*", $B6, "*")))</f>
        <v>0</v>
      </c>
      <c r="F6" s="185">
        <f>IF(OR($B6=F$4,F$4="",$B6=""),"", COUNTIFS(tblPiNAnalysis[Highest sector(s)], _xlfn.CONCAT("*", F$4, "*"), tblPiNAnalysis[2nd Highest sector(s)], _xlfn.CONCAT("*", $B6, "*")))</f>
        <v>3</v>
      </c>
      <c r="G6" s="185">
        <f>IF(OR($B6=G$4,G$4="",$B6=""),"", COUNTIFS(tblPiNAnalysis[Highest sector(s)], _xlfn.CONCAT("*", G$4, "*"), tblPiNAnalysis[2nd Highest sector(s)], _xlfn.CONCAT("*", $B6, "*")))</f>
        <v>0</v>
      </c>
      <c r="H6" s="185">
        <f>IF(OR($B6=H$4,H$4="",$B6=""),"", COUNTIFS(tblPiNAnalysis[Highest sector(s)], _xlfn.CONCAT("*", H$4, "*"), tblPiNAnalysis[2nd Highest sector(s)], _xlfn.CONCAT("*", $B6, "*")))</f>
        <v>0</v>
      </c>
      <c r="I6" s="185">
        <f>IF(OR($B6=I$4,I$4="",$B6=""),"", COUNTIFS(tblPiNAnalysis[Highest sector(s)], _xlfn.CONCAT("*", I$4, "*"), tblPiNAnalysis[2nd Highest sector(s)], _xlfn.CONCAT("*", $B6, "*")))</f>
        <v>0</v>
      </c>
      <c r="J6" s="185">
        <f>IF(OR($B6=J$4,J$4="",$B6=""),"", COUNTIFS(tblPiNAnalysis[Highest sector(s)], _xlfn.CONCAT("*", J$4, "*"), tblPiNAnalysis[2nd Highest sector(s)], _xlfn.CONCAT("*", $B6, "*")))</f>
        <v>0</v>
      </c>
      <c r="K6" s="185" t="str">
        <f>IF(OR($B6=K$4,K$4="",$B6=""),"", COUNTIFS(tblPiNAnalysis[Highest sector(s)], _xlfn.CONCAT("*", K$4, "*"), tblPiNAnalysis[2nd Highest sector(s)], _xlfn.CONCAT("*", $B6, "*")))</f>
        <v/>
      </c>
      <c r="L6" s="185" t="str">
        <f>IF(OR($B6=L$4,L$4="",$B6=""),"", COUNTIFS(tblPiNAnalysis[Highest sector(s)], _xlfn.CONCAT("*", L$4, "*"), tblPiNAnalysis[2nd Highest sector(s)], _xlfn.CONCAT("*", $B6, "*")))</f>
        <v/>
      </c>
      <c r="M6" s="185" t="str">
        <f>IF(OR($B6=M$4,M$4="",$B6=""),"", COUNTIFS(tblPiNAnalysis[Highest sector(s)], _xlfn.CONCAT("*", M$4, "*"), tblPiNAnalysis[2nd Highest sector(s)], _xlfn.CONCAT("*", $B6, "*")))</f>
        <v/>
      </c>
      <c r="N6" s="604"/>
      <c r="O6" s="603"/>
      <c r="P6" s="182" t="str">
        <v>Education</v>
      </c>
      <c r="Q6" s="185">
        <f>IF(OR($P6=Q$4,Q$4="",$P6=""),"", COUNTIFS(tblSeverityAnalysis[Sectors with Highest Severity], _xlfn.CONCAT("*", Q$4, "*"), tblSeverityAnalysis[Sectors with 2nd Highest Severity], _xlfn.CONCAT("*", $P6, "*")))</f>
        <v>31</v>
      </c>
      <c r="R6" s="185" t="str">
        <f>IF(OR($P6=R$4,R$4="",$P6=""),"", COUNTIFS(tblSeverityAnalysis[Sectors with Highest Severity], _xlfn.CONCAT("*", R$4, "*"), tblSeverityAnalysis[Sectors with 2nd Highest Severity], _xlfn.CONCAT("*", $P6, "*")))</f>
        <v/>
      </c>
      <c r="S6" s="185">
        <f>IF(OR($P6=S$4,S$4="",$P6=""),"", COUNTIFS(tblSeverityAnalysis[Sectors with Highest Severity], _xlfn.CONCAT("*", S$4, "*"), tblSeverityAnalysis[Sectors with 2nd Highest Severity], _xlfn.CONCAT("*", $P6, "*")))</f>
        <v>12</v>
      </c>
      <c r="T6" s="185">
        <f>IF(OR($P6=T$4,T$4="",$P6=""),"", COUNTIFS(tblSeverityAnalysis[Sectors with Highest Severity], _xlfn.CONCAT("*", T$4, "*"), tblSeverityAnalysis[Sectors with 2nd Highest Severity], _xlfn.CONCAT("*", $P6, "*")))</f>
        <v>48</v>
      </c>
      <c r="U6" s="185">
        <f>IF(OR($P6=U$4,U$4="",$P6=""),"", COUNTIFS(tblSeverityAnalysis[Sectors with Highest Severity], _xlfn.CONCAT("*", U$4, "*"), tblSeverityAnalysis[Sectors with 2nd Highest Severity], _xlfn.CONCAT("*", $P6, "*")))</f>
        <v>17</v>
      </c>
      <c r="V6" s="185">
        <f>IF(OR($P6=V$4,V$4="",$P6=""),"", COUNTIFS(tblSeverityAnalysis[Sectors with Highest Severity], _xlfn.CONCAT("*", V$4, "*"), tblSeverityAnalysis[Sectors with 2nd Highest Severity], _xlfn.CONCAT("*", $P6, "*")))</f>
        <v>9</v>
      </c>
      <c r="W6" s="185">
        <f>IF(OR($P6=W$4,W$4="",$P6=""),"", COUNTIFS(tblSeverityAnalysis[Sectors with Highest Severity], _xlfn.CONCAT("*", W$4, "*"), tblSeverityAnalysis[Sectors with 2nd Highest Severity], _xlfn.CONCAT("*", $P6, "*")))</f>
        <v>24</v>
      </c>
      <c r="X6" s="185">
        <f>IF(OR($P6=X$4,X$4="",$P6=""),"", COUNTIFS(tblSeverityAnalysis[Sectors with Highest Severity], _xlfn.CONCAT("*", X$4, "*"), tblSeverityAnalysis[Sectors with 2nd Highest Severity], _xlfn.CONCAT("*", $P6, "*")))</f>
        <v>10</v>
      </c>
      <c r="Y6" s="185" t="str">
        <f>IF(OR($P6=Y$4,Y$4="",$P6=""),"", COUNTIFS(tblSeverityAnalysis[Sectors with Highest Severity], _xlfn.CONCAT("*", Y$4, "*"), tblSeverityAnalysis[Sectors with 2nd Highest Severity], _xlfn.CONCAT("*", $P6, "*")))</f>
        <v/>
      </c>
      <c r="Z6" s="185" t="str">
        <f>IF(OR($P6=Z$4,Z$4="",$P6=""),"", COUNTIFS(tblSeverityAnalysis[Sectors with Highest Severity], _xlfn.CONCAT("*", Z$4, "*"), tblSeverityAnalysis[Sectors with 2nd Highest Severity], _xlfn.CONCAT("*", $P6, "*")))</f>
        <v/>
      </c>
      <c r="AA6" s="185" t="str">
        <f>IF(OR($P6=AA$4,AA$4="",$P6=""),"", COUNTIFS(tblSeverityAnalysis[Sectors with Highest Severity], _xlfn.CONCAT("*", AA$4, "*"), tblSeverityAnalysis[Sectors with 2nd Highest Severity], _xlfn.CONCAT("*", $P6, "*")))</f>
        <v/>
      </c>
    </row>
    <row r="7" spans="1:27" ht="37.5" customHeight="1">
      <c r="A7" s="603"/>
      <c r="B7" s="182" t="str">
        <v>Nutrition</v>
      </c>
      <c r="C7" s="185">
        <f>IF(OR($B7=C$4,C$4="",$B7=""),"", COUNTIFS(tblPiNAnalysis[Highest sector(s)], _xlfn.CONCAT("*", C$4, "*"), tblPiNAnalysis[2nd Highest sector(s)], _xlfn.CONCAT("*", $B7, "*")))</f>
        <v>0</v>
      </c>
      <c r="D7" s="185">
        <f>IF(OR($B7=D$4,D$4="",$B7=""),"", COUNTIFS(tblPiNAnalysis[Highest sector(s)], _xlfn.CONCAT("*", D$4, "*"), tblPiNAnalysis[2nd Highest sector(s)], _xlfn.CONCAT("*", $B7, "*")))</f>
        <v>0</v>
      </c>
      <c r="E7" s="185" t="str">
        <f>IF(OR($B7=E$4,E$4="",$B7=""),"", COUNTIFS(tblPiNAnalysis[Highest sector(s)], _xlfn.CONCAT("*", E$4, "*"), tblPiNAnalysis[2nd Highest sector(s)], _xlfn.CONCAT("*", $B7, "*")))</f>
        <v/>
      </c>
      <c r="F7" s="185">
        <f>IF(OR($B7=F$4,F$4="",$B7=""),"", COUNTIFS(tblPiNAnalysis[Highest sector(s)], _xlfn.CONCAT("*", F$4, "*"), tblPiNAnalysis[2nd Highest sector(s)], _xlfn.CONCAT("*", $B7, "*")))</f>
        <v>2</v>
      </c>
      <c r="G7" s="185">
        <f>IF(OR($B7=G$4,G$4="",$B7=""),"", COUNTIFS(tblPiNAnalysis[Highest sector(s)], _xlfn.CONCAT("*", G$4, "*"), tblPiNAnalysis[2nd Highest sector(s)], _xlfn.CONCAT("*", $B7, "*")))</f>
        <v>0</v>
      </c>
      <c r="H7" s="185">
        <f>IF(OR($B7=H$4,H$4="",$B7=""),"", COUNTIFS(tblPiNAnalysis[Highest sector(s)], _xlfn.CONCAT("*", H$4, "*"), tblPiNAnalysis[2nd Highest sector(s)], _xlfn.CONCAT("*", $B7, "*")))</f>
        <v>0</v>
      </c>
      <c r="I7" s="185">
        <f>IF(OR($B7=I$4,I$4="",$B7=""),"", COUNTIFS(tblPiNAnalysis[Highest sector(s)], _xlfn.CONCAT("*", I$4, "*"), tblPiNAnalysis[2nd Highest sector(s)], _xlfn.CONCAT("*", $B7, "*")))</f>
        <v>0</v>
      </c>
      <c r="J7" s="185">
        <f>IF(OR($B7=J$4,J$4="",$B7=""),"", COUNTIFS(tblPiNAnalysis[Highest sector(s)], _xlfn.CONCAT("*", J$4, "*"), tblPiNAnalysis[2nd Highest sector(s)], _xlfn.CONCAT("*", $B7, "*")))</f>
        <v>0</v>
      </c>
      <c r="K7" s="185" t="str">
        <f>IF(OR($B7=K$4,K$4="",$B7=""),"", COUNTIFS(tblPiNAnalysis[Highest sector(s)], _xlfn.CONCAT("*", K$4, "*"), tblPiNAnalysis[2nd Highest sector(s)], _xlfn.CONCAT("*", $B7, "*")))</f>
        <v/>
      </c>
      <c r="L7" s="185" t="str">
        <f>IF(OR($B7=L$4,L$4="",$B7=""),"", COUNTIFS(tblPiNAnalysis[Highest sector(s)], _xlfn.CONCAT("*", L$4, "*"), tblPiNAnalysis[2nd Highest sector(s)], _xlfn.CONCAT("*", $B7, "*")))</f>
        <v/>
      </c>
      <c r="M7" s="185" t="str">
        <f>IF(OR($B7=M$4,M$4="",$B7=""),"", COUNTIFS(tblPiNAnalysis[Highest sector(s)], _xlfn.CONCAT("*", M$4, "*"), tblPiNAnalysis[2nd Highest sector(s)], _xlfn.CONCAT("*", $B7, "*")))</f>
        <v/>
      </c>
      <c r="N7" s="604"/>
      <c r="O7" s="603"/>
      <c r="P7" s="182" t="str">
        <v>Nutrition</v>
      </c>
      <c r="Q7" s="185">
        <f>IF(OR($P7=Q$4,Q$4="",$P7=""),"", COUNTIFS(tblSeverityAnalysis[Sectors with Highest Severity], _xlfn.CONCAT("*", Q$4, "*"), tblSeverityAnalysis[Sectors with 2nd Highest Severity], _xlfn.CONCAT("*", $P7, "*")))</f>
        <v>31</v>
      </c>
      <c r="R7" s="185">
        <f>IF(OR($P7=R$4,R$4="",$P7=""),"", COUNTIFS(tblSeverityAnalysis[Sectors with Highest Severity], _xlfn.CONCAT("*", R$4, "*"), tblSeverityAnalysis[Sectors with 2nd Highest Severity], _xlfn.CONCAT("*", $P7, "*")))</f>
        <v>36</v>
      </c>
      <c r="S7" s="185" t="str">
        <f>IF(OR($P7=S$4,S$4="",$P7=""),"", COUNTIFS(tblSeverityAnalysis[Sectors with Highest Severity], _xlfn.CONCAT("*", S$4, "*"), tblSeverityAnalysis[Sectors with 2nd Highest Severity], _xlfn.CONCAT("*", $P7, "*")))</f>
        <v/>
      </c>
      <c r="T7" s="185">
        <f>IF(OR($P7=T$4,T$4="",$P7=""),"", COUNTIFS(tblSeverityAnalysis[Sectors with Highest Severity], _xlfn.CONCAT("*", T$4, "*"), tblSeverityAnalysis[Sectors with 2nd Highest Severity], _xlfn.CONCAT("*", $P7, "*")))</f>
        <v>68</v>
      </c>
      <c r="U7" s="185">
        <f>IF(OR($P7=U$4,U$4="",$P7=""),"", COUNTIFS(tblSeverityAnalysis[Sectors with Highest Severity], _xlfn.CONCAT("*", U$4, "*"), tblSeverityAnalysis[Sectors with 2nd Highest Severity], _xlfn.CONCAT("*", $P7, "*")))</f>
        <v>18</v>
      </c>
      <c r="V7" s="185">
        <f>IF(OR($P7=V$4,V$4="",$P7=""),"", COUNTIFS(tblSeverityAnalysis[Sectors with Highest Severity], _xlfn.CONCAT("*", V$4, "*"), tblSeverityAnalysis[Sectors with 2nd Highest Severity], _xlfn.CONCAT("*", $P7, "*")))</f>
        <v>7</v>
      </c>
      <c r="W7" s="185">
        <f>IF(OR($P7=W$4,W$4="",$P7=""),"", COUNTIFS(tblSeverityAnalysis[Sectors with Highest Severity], _xlfn.CONCAT("*", W$4, "*"), tblSeverityAnalysis[Sectors with 2nd Highest Severity], _xlfn.CONCAT("*", $P7, "*")))</f>
        <v>32</v>
      </c>
      <c r="X7" s="185">
        <f>IF(OR($P7=X$4,X$4="",$P7=""),"", COUNTIFS(tblSeverityAnalysis[Sectors with Highest Severity], _xlfn.CONCAT("*", X$4, "*"), tblSeverityAnalysis[Sectors with 2nd Highest Severity], _xlfn.CONCAT("*", $P7, "*")))</f>
        <v>21</v>
      </c>
      <c r="Y7" s="185" t="str">
        <f>IF(OR($P7=Y$4,Y$4="",$P7=""),"", COUNTIFS(tblSeverityAnalysis[Sectors with Highest Severity], _xlfn.CONCAT("*", Y$4, "*"), tblSeverityAnalysis[Sectors with 2nd Highest Severity], _xlfn.CONCAT("*", $P7, "*")))</f>
        <v/>
      </c>
      <c r="Z7" s="185" t="str">
        <f>IF(OR($P7=Z$4,Z$4="",$P7=""),"", COUNTIFS(tblSeverityAnalysis[Sectors with Highest Severity], _xlfn.CONCAT("*", Z$4, "*"), tblSeverityAnalysis[Sectors with 2nd Highest Severity], _xlfn.CONCAT("*", $P7, "*")))</f>
        <v/>
      </c>
      <c r="AA7" s="185" t="str">
        <f>IF(OR($P7=AA$4,AA$4="",$P7=""),"", COUNTIFS(tblSeverityAnalysis[Sectors with Highest Severity], _xlfn.CONCAT("*", AA$4, "*"), tblSeverityAnalysis[Sectors with 2nd Highest Severity], _xlfn.CONCAT("*", $P7, "*")))</f>
        <v/>
      </c>
    </row>
    <row r="8" spans="1:27" ht="37.5" customHeight="1">
      <c r="A8" s="603"/>
      <c r="B8" s="182" t="str">
        <v>Food Security</v>
      </c>
      <c r="C8" s="185">
        <f>IF(OR($B8=C$4,C$4="",$B8=""),"", COUNTIFS(tblPiNAnalysis[Highest sector(s)], _xlfn.CONCAT("*", C$4, "*"), tblPiNAnalysis[2nd Highest sector(s)], _xlfn.CONCAT("*", $B8, "*")))</f>
        <v>0</v>
      </c>
      <c r="D8" s="185">
        <f>IF(OR($B8=D$4,D$4="",$B8=""),"", COUNTIFS(tblPiNAnalysis[Highest sector(s)], _xlfn.CONCAT("*", D$4, "*"), tblPiNAnalysis[2nd Highest sector(s)], _xlfn.CONCAT("*", $B8, "*")))</f>
        <v>0</v>
      </c>
      <c r="E8" s="185">
        <f>IF(OR($B8=E$4,E$4="",$B8=""),"", COUNTIFS(tblPiNAnalysis[Highest sector(s)], _xlfn.CONCAT("*", E$4, "*"), tblPiNAnalysis[2nd Highest sector(s)], _xlfn.CONCAT("*", $B8, "*")))</f>
        <v>0</v>
      </c>
      <c r="F8" s="185" t="str">
        <f>IF(OR($B8=F$4,F$4="",$B8=""),"", COUNTIFS(tblPiNAnalysis[Highest sector(s)], _xlfn.CONCAT("*", F$4, "*"), tblPiNAnalysis[2nd Highest sector(s)], _xlfn.CONCAT("*", $B8, "*")))</f>
        <v/>
      </c>
      <c r="G8" s="185">
        <f>IF(OR($B8=G$4,G$4="",$B8=""),"", COUNTIFS(tblPiNAnalysis[Highest sector(s)], _xlfn.CONCAT("*", G$4, "*"), tblPiNAnalysis[2nd Highest sector(s)], _xlfn.CONCAT("*", $B8, "*")))</f>
        <v>12</v>
      </c>
      <c r="H8" s="185">
        <f>IF(OR($B8=H$4,H$4="",$B8=""),"", COUNTIFS(tblPiNAnalysis[Highest sector(s)], _xlfn.CONCAT("*", H$4, "*"), tblPiNAnalysis[2nd Highest sector(s)], _xlfn.CONCAT("*", $B8, "*")))</f>
        <v>0</v>
      </c>
      <c r="I8" s="185">
        <f>IF(OR($B8=I$4,I$4="",$B8=""),"", COUNTIFS(tblPiNAnalysis[Highest sector(s)], _xlfn.CONCAT("*", I$4, "*"), tblPiNAnalysis[2nd Highest sector(s)], _xlfn.CONCAT("*", $B8, "*")))</f>
        <v>20</v>
      </c>
      <c r="J8" s="185">
        <f>IF(OR($B8=J$4,J$4="",$B8=""),"", COUNTIFS(tblPiNAnalysis[Highest sector(s)], _xlfn.CONCAT("*", J$4, "*"), tblPiNAnalysis[2nd Highest sector(s)], _xlfn.CONCAT("*", $B8, "*")))</f>
        <v>11</v>
      </c>
      <c r="K8" s="185" t="str">
        <f>IF(OR($B8=K$4,K$4="",$B8=""),"", COUNTIFS(tblPiNAnalysis[Highest sector(s)], _xlfn.CONCAT("*", K$4, "*"), tblPiNAnalysis[2nd Highest sector(s)], _xlfn.CONCAT("*", $B8, "*")))</f>
        <v/>
      </c>
      <c r="L8" s="185" t="str">
        <f>IF(OR($B8=L$4,L$4="",$B8=""),"", COUNTIFS(tblPiNAnalysis[Highest sector(s)], _xlfn.CONCAT("*", L$4, "*"), tblPiNAnalysis[2nd Highest sector(s)], _xlfn.CONCAT("*", $B8, "*")))</f>
        <v/>
      </c>
      <c r="M8" s="185" t="str">
        <f>IF(OR($B8=M$4,M$4="",$B8=""),"", COUNTIFS(tblPiNAnalysis[Highest sector(s)], _xlfn.CONCAT("*", M$4, "*"), tblPiNAnalysis[2nd Highest sector(s)], _xlfn.CONCAT("*", $B8, "*")))</f>
        <v/>
      </c>
      <c r="N8" s="604"/>
      <c r="O8" s="603"/>
      <c r="P8" s="182" t="str">
        <v>Food Security</v>
      </c>
      <c r="Q8" s="185">
        <f>IF(OR($P8=Q$4,Q$4="",$P8=""),"", COUNTIFS(tblSeverityAnalysis[Sectors with Highest Severity], _xlfn.CONCAT("*", Q$4, "*"), tblSeverityAnalysis[Sectors with 2nd Highest Severity], _xlfn.CONCAT("*", $P8, "*")))</f>
        <v>11</v>
      </c>
      <c r="R8" s="185">
        <f>IF(OR($P8=R$4,R$4="",$P8=""),"", COUNTIFS(tblSeverityAnalysis[Sectors with Highest Severity], _xlfn.CONCAT("*", R$4, "*"), tblSeverityAnalysis[Sectors with 2nd Highest Severity], _xlfn.CONCAT("*", $P8, "*")))</f>
        <v>1</v>
      </c>
      <c r="S8" s="185">
        <f>IF(OR($P8=S$4,S$4="",$P8=""),"", COUNTIFS(tblSeverityAnalysis[Sectors with Highest Severity], _xlfn.CONCAT("*", S$4, "*"), tblSeverityAnalysis[Sectors with 2nd Highest Severity], _xlfn.CONCAT("*", $P8, "*")))</f>
        <v>0</v>
      </c>
      <c r="T8" s="185" t="str">
        <f>IF(OR($P8=T$4,T$4="",$P8=""),"", COUNTIFS(tblSeverityAnalysis[Sectors with Highest Severity], _xlfn.CONCAT("*", T$4, "*"), tblSeverityAnalysis[Sectors with 2nd Highest Severity], _xlfn.CONCAT("*", $P8, "*")))</f>
        <v/>
      </c>
      <c r="U8" s="185">
        <f>IF(OR($P8=U$4,U$4="",$P8=""),"", COUNTIFS(tblSeverityAnalysis[Sectors with Highest Severity], _xlfn.CONCAT("*", U$4, "*"), tblSeverityAnalysis[Sectors with 2nd Highest Severity], _xlfn.CONCAT("*", $P8, "*")))</f>
        <v>3</v>
      </c>
      <c r="V8" s="185">
        <f>IF(OR($P8=V$4,V$4="",$P8=""),"", COUNTIFS(tblSeverityAnalysis[Sectors with Highest Severity], _xlfn.CONCAT("*", V$4, "*"), tblSeverityAnalysis[Sectors with 2nd Highest Severity], _xlfn.CONCAT("*", $P8, "*")))</f>
        <v>4</v>
      </c>
      <c r="W8" s="185">
        <f>IF(OR($P8=W$4,W$4="",$P8=""),"", COUNTIFS(tblSeverityAnalysis[Sectors with Highest Severity], _xlfn.CONCAT("*", W$4, "*"), tblSeverityAnalysis[Sectors with 2nd Highest Severity], _xlfn.CONCAT("*", $P8, "*")))</f>
        <v>5</v>
      </c>
      <c r="X8" s="185">
        <f>IF(OR($P8=X$4,X$4="",$P8=""),"", COUNTIFS(tblSeverityAnalysis[Sectors with Highest Severity], _xlfn.CONCAT("*", X$4, "*"), tblSeverityAnalysis[Sectors with 2nd Highest Severity], _xlfn.CONCAT("*", $P8, "*")))</f>
        <v>4</v>
      </c>
      <c r="Y8" s="185" t="str">
        <f>IF(OR($P8=Y$4,Y$4="",$P8=""),"", COUNTIFS(tblSeverityAnalysis[Sectors with Highest Severity], _xlfn.CONCAT("*", Y$4, "*"), tblSeverityAnalysis[Sectors with 2nd Highest Severity], _xlfn.CONCAT("*", $P8, "*")))</f>
        <v/>
      </c>
      <c r="Z8" s="185" t="str">
        <f>IF(OR($P8=Z$4,Z$4="",$P8=""),"", COUNTIFS(tblSeverityAnalysis[Sectors with Highest Severity], _xlfn.CONCAT("*", Z$4, "*"), tblSeverityAnalysis[Sectors with 2nd Highest Severity], _xlfn.CONCAT("*", $P8, "*")))</f>
        <v/>
      </c>
      <c r="AA8" s="185" t="str">
        <f>IF(OR($P8=AA$4,AA$4="",$P8=""),"", COUNTIFS(tblSeverityAnalysis[Sectors with Highest Severity], _xlfn.CONCAT("*", AA$4, "*"), tblSeverityAnalysis[Sectors with 2nd Highest Severity], _xlfn.CONCAT("*", $P8, "*")))</f>
        <v/>
      </c>
    </row>
    <row r="9" spans="1:27" ht="37.5" customHeight="1">
      <c r="A9" s="603"/>
      <c r="B9" s="182" t="str">
        <v>Health</v>
      </c>
      <c r="C9" s="185">
        <f>IF(OR($B9=C$4,C$4="",$B9=""),"", COUNTIFS(tblPiNAnalysis[Highest sector(s)], _xlfn.CONCAT("*", C$4, "*"), tblPiNAnalysis[2nd Highest sector(s)], _xlfn.CONCAT("*", $B9, "*")))</f>
        <v>0</v>
      </c>
      <c r="D9" s="185">
        <f>IF(OR($B9=D$4,D$4="",$B9=""),"", COUNTIFS(tblPiNAnalysis[Highest sector(s)], _xlfn.CONCAT("*", D$4, "*"), tblPiNAnalysis[2nd Highest sector(s)], _xlfn.CONCAT("*", $B9, "*")))</f>
        <v>0</v>
      </c>
      <c r="E9" s="185">
        <f>IF(OR($B9=E$4,E$4="",$B9=""),"", COUNTIFS(tblPiNAnalysis[Highest sector(s)], _xlfn.CONCAT("*", E$4, "*"), tblPiNAnalysis[2nd Highest sector(s)], _xlfn.CONCAT("*", $B9, "*")))</f>
        <v>0</v>
      </c>
      <c r="F9" s="185">
        <f>IF(OR($B9=F$4,F$4="",$B9=""),"", COUNTIFS(tblPiNAnalysis[Highest sector(s)], _xlfn.CONCAT("*", F$4, "*"), tblPiNAnalysis[2nd Highest sector(s)], _xlfn.CONCAT("*", $B9, "*")))</f>
        <v>15</v>
      </c>
      <c r="G9" s="185" t="str">
        <f>IF(OR($B9=G$4,G$4="",$B9=""),"", COUNTIFS(tblPiNAnalysis[Highest sector(s)], _xlfn.CONCAT("*", G$4, "*"), tblPiNAnalysis[2nd Highest sector(s)], _xlfn.CONCAT("*", $B9, "*")))</f>
        <v/>
      </c>
      <c r="H9" s="185">
        <f>IF(OR($B9=H$4,H$4="",$B9=""),"", COUNTIFS(tblPiNAnalysis[Highest sector(s)], _xlfn.CONCAT("*", H$4, "*"), tblPiNAnalysis[2nd Highest sector(s)], _xlfn.CONCAT("*", $B9, "*")))</f>
        <v>1</v>
      </c>
      <c r="I9" s="185">
        <f>IF(OR($B9=I$4,I$4="",$B9=""),"", COUNTIFS(tblPiNAnalysis[Highest sector(s)], _xlfn.CONCAT("*", I$4, "*"), tblPiNAnalysis[2nd Highest sector(s)], _xlfn.CONCAT("*", $B9, "*")))</f>
        <v>2</v>
      </c>
      <c r="J9" s="185">
        <f>IF(OR($B9=J$4,J$4="",$B9=""),"", COUNTIFS(tblPiNAnalysis[Highest sector(s)], _xlfn.CONCAT("*", J$4, "*"), tblPiNAnalysis[2nd Highest sector(s)], _xlfn.CONCAT("*", $B9, "*")))</f>
        <v>1</v>
      </c>
      <c r="K9" s="185" t="str">
        <f>IF(OR($B9=K$4,K$4="",$B9=""),"", COUNTIFS(tblPiNAnalysis[Highest sector(s)], _xlfn.CONCAT("*", K$4, "*"), tblPiNAnalysis[2nd Highest sector(s)], _xlfn.CONCAT("*", $B9, "*")))</f>
        <v/>
      </c>
      <c r="L9" s="185" t="str">
        <f>IF(OR($B9=L$4,L$4="",$B9=""),"", COUNTIFS(tblPiNAnalysis[Highest sector(s)], _xlfn.CONCAT("*", L$4, "*"), tblPiNAnalysis[2nd Highest sector(s)], _xlfn.CONCAT("*", $B9, "*")))</f>
        <v/>
      </c>
      <c r="M9" s="185" t="str">
        <f>IF(OR($B9=M$4,M$4="",$B9=""),"", COUNTIFS(tblPiNAnalysis[Highest sector(s)], _xlfn.CONCAT("*", M$4, "*"), tblPiNAnalysis[2nd Highest sector(s)], _xlfn.CONCAT("*", $B9, "*")))</f>
        <v/>
      </c>
      <c r="N9" s="604"/>
      <c r="O9" s="603"/>
      <c r="P9" s="182" t="str">
        <v>Health</v>
      </c>
      <c r="Q9" s="185">
        <f>IF(OR($P9=Q$4,Q$4="",$P9=""),"", COUNTIFS(tblSeverityAnalysis[Sectors with Highest Severity], _xlfn.CONCAT("*", Q$4, "*"), tblSeverityAnalysis[Sectors with 2nd Highest Severity], _xlfn.CONCAT("*", $P9, "*")))</f>
        <v>39</v>
      </c>
      <c r="R9" s="185">
        <f>IF(OR($P9=R$4,R$4="",$P9=""),"", COUNTIFS(tblSeverityAnalysis[Sectors with Highest Severity], _xlfn.CONCAT("*", R$4, "*"), tblSeverityAnalysis[Sectors with 2nd Highest Severity], _xlfn.CONCAT("*", $P9, "*")))</f>
        <v>48</v>
      </c>
      <c r="S9" s="185">
        <f>IF(OR($P9=S$4,S$4="",$P9=""),"", COUNTIFS(tblSeverityAnalysis[Sectors with Highest Severity], _xlfn.CONCAT("*", S$4, "*"), tblSeverityAnalysis[Sectors with 2nd Highest Severity], _xlfn.CONCAT("*", $P9, "*")))</f>
        <v>28</v>
      </c>
      <c r="T9" s="185">
        <f>IF(OR($P9=T$4,T$4="",$P9=""),"", COUNTIFS(tblSeverityAnalysis[Sectors with Highest Severity], _xlfn.CONCAT("*", T$4, "*"), tblSeverityAnalysis[Sectors with 2nd Highest Severity], _xlfn.CONCAT("*", $P9, "*")))</f>
        <v>74</v>
      </c>
      <c r="U9" s="185" t="str">
        <f>IF(OR($P9=U$4,U$4="",$P9=""),"", COUNTIFS(tblSeverityAnalysis[Sectors with Highest Severity], _xlfn.CONCAT("*", U$4, "*"), tblSeverityAnalysis[Sectors with 2nd Highest Severity], _xlfn.CONCAT("*", $P9, "*")))</f>
        <v/>
      </c>
      <c r="V9" s="185">
        <f>IF(OR($P9=V$4,V$4="",$P9=""),"", COUNTIFS(tblSeverityAnalysis[Sectors with Highest Severity], _xlfn.CONCAT("*", V$4, "*"), tblSeverityAnalysis[Sectors with 2nd Highest Severity], _xlfn.CONCAT("*", $P9, "*")))</f>
        <v>11</v>
      </c>
      <c r="W9" s="185">
        <f>IF(OR($P9=W$4,W$4="",$P9=""),"", COUNTIFS(tblSeverityAnalysis[Sectors with Highest Severity], _xlfn.CONCAT("*", W$4, "*"), tblSeverityAnalysis[Sectors with 2nd Highest Severity], _xlfn.CONCAT("*", $P9, "*")))</f>
        <v>42</v>
      </c>
      <c r="X9" s="185">
        <f>IF(OR($P9=X$4,X$4="",$P9=""),"", COUNTIFS(tblSeverityAnalysis[Sectors with Highest Severity], _xlfn.CONCAT("*", X$4, "*"), tblSeverityAnalysis[Sectors with 2nd Highest Severity], _xlfn.CONCAT("*", $P9, "*")))</f>
        <v>30</v>
      </c>
      <c r="Y9" s="185" t="str">
        <f>IF(OR($P9=Y$4,Y$4="",$P9=""),"", COUNTIFS(tblSeverityAnalysis[Sectors with Highest Severity], _xlfn.CONCAT("*", Y$4, "*"), tblSeverityAnalysis[Sectors with 2nd Highest Severity], _xlfn.CONCAT("*", $P9, "*")))</f>
        <v/>
      </c>
      <c r="Z9" s="185" t="str">
        <f>IF(OR($P9=Z$4,Z$4="",$P9=""),"", COUNTIFS(tblSeverityAnalysis[Sectors with Highest Severity], _xlfn.CONCAT("*", Z$4, "*"), tblSeverityAnalysis[Sectors with 2nd Highest Severity], _xlfn.CONCAT("*", $P9, "*")))</f>
        <v/>
      </c>
      <c r="AA9" s="185" t="str">
        <f>IF(OR($P9=AA$4,AA$4="",$P9=""),"", COUNTIFS(tblSeverityAnalysis[Sectors with Highest Severity], _xlfn.CONCAT("*", AA$4, "*"), tblSeverityAnalysis[Sectors with 2nd Highest Severity], _xlfn.CONCAT("*", $P9, "*")))</f>
        <v/>
      </c>
    </row>
    <row r="10" spans="1:27" ht="37.5" customHeight="1">
      <c r="A10" s="603"/>
      <c r="B10" s="182" t="str">
        <v>Protection</v>
      </c>
      <c r="C10" s="185">
        <f>IF(OR($B10=C$4,C$4="",$B10=""),"", COUNTIFS(tblPiNAnalysis[Highest sector(s)], _xlfn.CONCAT("*", C$4, "*"), tblPiNAnalysis[2nd Highest sector(s)], _xlfn.CONCAT("*", $B10, "*")))</f>
        <v>0</v>
      </c>
      <c r="D10" s="185">
        <f>IF(OR($B10=D$4,D$4="",$B10=""),"", COUNTIFS(tblPiNAnalysis[Highest sector(s)], _xlfn.CONCAT("*", D$4, "*"), tblPiNAnalysis[2nd Highest sector(s)], _xlfn.CONCAT("*", $B10, "*")))</f>
        <v>0</v>
      </c>
      <c r="E10" s="185">
        <f>IF(OR($B10=E$4,E$4="",$B10=""),"", COUNTIFS(tblPiNAnalysis[Highest sector(s)], _xlfn.CONCAT("*", E$4, "*"), tblPiNAnalysis[2nd Highest sector(s)], _xlfn.CONCAT("*", $B10, "*")))</f>
        <v>0</v>
      </c>
      <c r="F10" s="185">
        <f>IF(OR($B10=F$4,F$4="",$B10=""),"", COUNTIFS(tblPiNAnalysis[Highest sector(s)], _xlfn.CONCAT("*", F$4, "*"), tblPiNAnalysis[2nd Highest sector(s)], _xlfn.CONCAT("*", $B10, "*")))</f>
        <v>4</v>
      </c>
      <c r="G10" s="185">
        <f>IF(OR($B10=G$4,G$4="",$B10=""),"", COUNTIFS(tblPiNAnalysis[Highest sector(s)], _xlfn.CONCAT("*", G$4, "*"), tblPiNAnalysis[2nd Highest sector(s)], _xlfn.CONCAT("*", $B10, "*")))</f>
        <v>1</v>
      </c>
      <c r="H10" s="185" t="str">
        <f>IF(OR($B10=H$4,H$4="",$B10=""),"", COUNTIFS(tblPiNAnalysis[Highest sector(s)], _xlfn.CONCAT("*", H$4, "*"), tblPiNAnalysis[2nd Highest sector(s)], _xlfn.CONCAT("*", $B10, "*")))</f>
        <v/>
      </c>
      <c r="I10" s="185">
        <f>IF(OR($B10=I$4,I$4="",$B10=""),"", COUNTIFS(tblPiNAnalysis[Highest sector(s)], _xlfn.CONCAT("*", I$4, "*"), tblPiNAnalysis[2nd Highest sector(s)], _xlfn.CONCAT("*", $B10, "*")))</f>
        <v>3</v>
      </c>
      <c r="J10" s="185">
        <f>IF(OR($B10=J$4,J$4="",$B10=""),"", COUNTIFS(tblPiNAnalysis[Highest sector(s)], _xlfn.CONCAT("*", J$4, "*"), tblPiNAnalysis[2nd Highest sector(s)], _xlfn.CONCAT("*", $B10, "*")))</f>
        <v>0</v>
      </c>
      <c r="K10" s="185" t="str">
        <f>IF(OR($B10=K$4,K$4="",$B10=""),"", COUNTIFS(tblPiNAnalysis[Highest sector(s)], _xlfn.CONCAT("*", K$4, "*"), tblPiNAnalysis[2nd Highest sector(s)], _xlfn.CONCAT("*", $B10, "*")))</f>
        <v/>
      </c>
      <c r="L10" s="185" t="str">
        <f>IF(OR($B10=L$4,L$4="",$B10=""),"", COUNTIFS(tblPiNAnalysis[Highest sector(s)], _xlfn.CONCAT("*", L$4, "*"), tblPiNAnalysis[2nd Highest sector(s)], _xlfn.CONCAT("*", $B10, "*")))</f>
        <v/>
      </c>
      <c r="M10" s="185" t="str">
        <f>IF(OR($B10=M$4,M$4="",$B10=""),"", COUNTIFS(tblPiNAnalysis[Highest sector(s)], _xlfn.CONCAT("*", M$4, "*"), tblPiNAnalysis[2nd Highest sector(s)], _xlfn.CONCAT("*", $B10, "*")))</f>
        <v/>
      </c>
      <c r="N10" s="604"/>
      <c r="O10" s="603"/>
      <c r="P10" s="182" t="str">
        <v>Protection</v>
      </c>
      <c r="Q10" s="185">
        <f>IF(OR($P10=Q$4,Q$4="",$P10=""),"", COUNTIFS(tblSeverityAnalysis[Sectors with Highest Severity], _xlfn.CONCAT("*", Q$4, "*"), tblSeverityAnalysis[Sectors with 2nd Highest Severity], _xlfn.CONCAT("*", $P10, "*")))</f>
        <v>55</v>
      </c>
      <c r="R10" s="185">
        <f>IF(OR($P10=R$4,R$4="",$P10=""),"", COUNTIFS(tblSeverityAnalysis[Sectors with Highest Severity], _xlfn.CONCAT("*", R$4, "*"), tblSeverityAnalysis[Sectors with 2nd Highest Severity], _xlfn.CONCAT("*", $P10, "*")))</f>
        <v>61</v>
      </c>
      <c r="S10" s="185">
        <f>IF(OR($P10=S$4,S$4="",$P10=""),"", COUNTIFS(tblSeverityAnalysis[Sectors with Highest Severity], _xlfn.CONCAT("*", S$4, "*"), tblSeverityAnalysis[Sectors with 2nd Highest Severity], _xlfn.CONCAT("*", $P10, "*")))</f>
        <v>38</v>
      </c>
      <c r="T10" s="185">
        <f>IF(OR($P10=T$4,T$4="",$P10=""),"", COUNTIFS(tblSeverityAnalysis[Sectors with Highest Severity], _xlfn.CONCAT("*", T$4, "*"), tblSeverityAnalysis[Sectors with 2nd Highest Severity], _xlfn.CONCAT("*", $P10, "*")))</f>
        <v>82</v>
      </c>
      <c r="U10" s="185">
        <f>IF(OR($P10=U$4,U$4="",$P10=""),"", COUNTIFS(tblSeverityAnalysis[Sectors with Highest Severity], _xlfn.CONCAT("*", U$4, "*"), tblSeverityAnalysis[Sectors with 2nd Highest Severity], _xlfn.CONCAT("*", $P10, "*")))</f>
        <v>28</v>
      </c>
      <c r="V10" s="185" t="str">
        <f>IF(OR($P10=V$4,V$4="",$P10=""),"", COUNTIFS(tblSeverityAnalysis[Sectors with Highest Severity], _xlfn.CONCAT("*", V$4, "*"), tblSeverityAnalysis[Sectors with 2nd Highest Severity], _xlfn.CONCAT("*", $P10, "*")))</f>
        <v/>
      </c>
      <c r="W10" s="185">
        <f>IF(OR($P10=W$4,W$4="",$P10=""),"", COUNTIFS(tblSeverityAnalysis[Sectors with Highest Severity], _xlfn.CONCAT("*", W$4, "*"), tblSeverityAnalysis[Sectors with 2nd Highest Severity], _xlfn.CONCAT("*", $P10, "*")))</f>
        <v>59</v>
      </c>
      <c r="X10" s="185">
        <f>IF(OR($P10=X$4,X$4="",$P10=""),"", COUNTIFS(tblSeverityAnalysis[Sectors with Highest Severity], _xlfn.CONCAT("*", X$4, "*"), tblSeverityAnalysis[Sectors with 2nd Highest Severity], _xlfn.CONCAT("*", $P10, "*")))</f>
        <v>35</v>
      </c>
      <c r="Y10" s="185" t="str">
        <f>IF(OR($P10=Y$4,Y$4="",$P10=""),"", COUNTIFS(tblSeverityAnalysis[Sectors with Highest Severity], _xlfn.CONCAT("*", Y$4, "*"), tblSeverityAnalysis[Sectors with 2nd Highest Severity], _xlfn.CONCAT("*", $P10, "*")))</f>
        <v/>
      </c>
      <c r="Z10" s="185" t="str">
        <f>IF(OR($P10=Z$4,Z$4="",$P10=""),"", COUNTIFS(tblSeverityAnalysis[Sectors with Highest Severity], _xlfn.CONCAT("*", Z$4, "*"), tblSeverityAnalysis[Sectors with 2nd Highest Severity], _xlfn.CONCAT("*", $P10, "*")))</f>
        <v/>
      </c>
      <c r="AA10" s="185" t="str">
        <f>IF(OR($P10=AA$4,AA$4="",$P10=""),"", COUNTIFS(tblSeverityAnalysis[Sectors with Highest Severity], _xlfn.CONCAT("*", AA$4, "*"), tblSeverityAnalysis[Sectors with 2nd Highest Severity], _xlfn.CONCAT("*", $P10, "*")))</f>
        <v/>
      </c>
    </row>
    <row r="11" spans="1:27" ht="37.5" customHeight="1">
      <c r="A11" s="603"/>
      <c r="B11" s="182" t="str">
        <v>Shelter</v>
      </c>
      <c r="C11" s="185">
        <f>IF(OR($B11=C$4,C$4="",$B11=""),"", COUNTIFS(tblPiNAnalysis[Highest sector(s)], _xlfn.CONCAT("*", C$4, "*"), tblPiNAnalysis[2nd Highest sector(s)], _xlfn.CONCAT("*", $B11, "*")))</f>
        <v>0</v>
      </c>
      <c r="D11" s="185">
        <f>IF(OR($B11=D$4,D$4="",$B11=""),"", COUNTIFS(tblPiNAnalysis[Highest sector(s)], _xlfn.CONCAT("*", D$4, "*"), tblPiNAnalysis[2nd Highest sector(s)], _xlfn.CONCAT("*", $B11, "*")))</f>
        <v>0</v>
      </c>
      <c r="E11" s="185">
        <f>IF(OR($B11=E$4,E$4="",$B11=""),"", COUNTIFS(tblPiNAnalysis[Highest sector(s)], _xlfn.CONCAT("*", E$4, "*"), tblPiNAnalysis[2nd Highest sector(s)], _xlfn.CONCAT("*", $B11, "*")))</f>
        <v>0</v>
      </c>
      <c r="F11" s="185">
        <f>IF(OR($B11=F$4,F$4="",$B11=""),"", COUNTIFS(tblPiNAnalysis[Highest sector(s)], _xlfn.CONCAT("*", F$4, "*"), tblPiNAnalysis[2nd Highest sector(s)], _xlfn.CONCAT("*", $B11, "*")))</f>
        <v>36</v>
      </c>
      <c r="G11" s="185">
        <f>IF(OR($B11=G$4,G$4="",$B11=""),"", COUNTIFS(tblPiNAnalysis[Highest sector(s)], _xlfn.CONCAT("*", G$4, "*"), tblPiNAnalysis[2nd Highest sector(s)], _xlfn.CONCAT("*", $B11, "*")))</f>
        <v>3</v>
      </c>
      <c r="H11" s="185">
        <f>IF(OR($B11=H$4,H$4="",$B11=""),"", COUNTIFS(tblPiNAnalysis[Highest sector(s)], _xlfn.CONCAT("*", H$4, "*"), tblPiNAnalysis[2nd Highest sector(s)], _xlfn.CONCAT("*", $B11, "*")))</f>
        <v>0</v>
      </c>
      <c r="I11" s="185" t="str">
        <f>IF(OR($B11=I$4,I$4="",$B11=""),"", COUNTIFS(tblPiNAnalysis[Highest sector(s)], _xlfn.CONCAT("*", I$4, "*"), tblPiNAnalysis[2nd Highest sector(s)], _xlfn.CONCAT("*", $B11, "*")))</f>
        <v/>
      </c>
      <c r="J11" s="185">
        <f>IF(OR($B11=J$4,J$4="",$B11=""),"", COUNTIFS(tblPiNAnalysis[Highest sector(s)], _xlfn.CONCAT("*", J$4, "*"), tblPiNAnalysis[2nd Highest sector(s)], _xlfn.CONCAT("*", $B11, "*")))</f>
        <v>6</v>
      </c>
      <c r="K11" s="185" t="str">
        <f>IF(OR($B11=K$4,K$4="",$B11=""),"", COUNTIFS(tblPiNAnalysis[Highest sector(s)], _xlfn.CONCAT("*", K$4, "*"), tblPiNAnalysis[2nd Highest sector(s)], _xlfn.CONCAT("*", $B11, "*")))</f>
        <v/>
      </c>
      <c r="L11" s="185" t="str">
        <f>IF(OR($B11=L$4,L$4="",$B11=""),"", COUNTIFS(tblPiNAnalysis[Highest sector(s)], _xlfn.CONCAT("*", L$4, "*"), tblPiNAnalysis[2nd Highest sector(s)], _xlfn.CONCAT("*", $B11, "*")))</f>
        <v/>
      </c>
      <c r="M11" s="185" t="str">
        <f>IF(OR($B11=M$4,M$4="",$B11=""),"", COUNTIFS(tblPiNAnalysis[Highest sector(s)], _xlfn.CONCAT("*", M$4, "*"), tblPiNAnalysis[2nd Highest sector(s)], _xlfn.CONCAT("*", $B11, "*")))</f>
        <v/>
      </c>
      <c r="N11" s="604"/>
      <c r="O11" s="603"/>
      <c r="P11" s="182" t="str">
        <v>Shelter</v>
      </c>
      <c r="Q11" s="185">
        <f>IF(OR($P11=Q$4,Q$4="",$P11=""),"", COUNTIFS(tblSeverityAnalysis[Sectors with Highest Severity], _xlfn.CONCAT("*", Q$4, "*"), tblSeverityAnalysis[Sectors with 2nd Highest Severity], _xlfn.CONCAT("*", $P11, "*")))</f>
        <v>15</v>
      </c>
      <c r="R11" s="185">
        <f>IF(OR($P11=R$4,R$4="",$P11=""),"", COUNTIFS(tblSeverityAnalysis[Sectors with Highest Severity], _xlfn.CONCAT("*", R$4, "*"), tblSeverityAnalysis[Sectors with 2nd Highest Severity], _xlfn.CONCAT("*", $P11, "*")))</f>
        <v>11</v>
      </c>
      <c r="S11" s="185">
        <f>IF(OR($P11=S$4,S$4="",$P11=""),"", COUNTIFS(tblSeverityAnalysis[Sectors with Highest Severity], _xlfn.CONCAT("*", S$4, "*"), tblSeverityAnalysis[Sectors with 2nd Highest Severity], _xlfn.CONCAT("*", $P11, "*")))</f>
        <v>2</v>
      </c>
      <c r="T11" s="185">
        <f>IF(OR($P11=T$4,T$4="",$P11=""),"", COUNTIFS(tblSeverityAnalysis[Sectors with Highest Severity], _xlfn.CONCAT("*", T$4, "*"), tblSeverityAnalysis[Sectors with 2nd Highest Severity], _xlfn.CONCAT("*", $P11, "*")))</f>
        <v>30</v>
      </c>
      <c r="U11" s="185">
        <f>IF(OR($P11=U$4,U$4="",$P11=""),"", COUNTIFS(tblSeverityAnalysis[Sectors with Highest Severity], _xlfn.CONCAT("*", U$4, "*"), tblSeverityAnalysis[Sectors with 2nd Highest Severity], _xlfn.CONCAT("*", $P11, "*")))</f>
        <v>9</v>
      </c>
      <c r="V11" s="185">
        <f>IF(OR($P11=V$4,V$4="",$P11=""),"", COUNTIFS(tblSeverityAnalysis[Sectors with Highest Severity], _xlfn.CONCAT("*", V$4, "*"), tblSeverityAnalysis[Sectors with 2nd Highest Severity], _xlfn.CONCAT("*", $P11, "*")))</f>
        <v>6</v>
      </c>
      <c r="W11" s="185" t="str">
        <f>IF(OR($P11=W$4,W$4="",$P11=""),"", COUNTIFS(tblSeverityAnalysis[Sectors with Highest Severity], _xlfn.CONCAT("*", W$4, "*"), tblSeverityAnalysis[Sectors with 2nd Highest Severity], _xlfn.CONCAT("*", $P11, "*")))</f>
        <v/>
      </c>
      <c r="X11" s="185">
        <f>IF(OR($P11=X$4,X$4="",$P11=""),"", COUNTIFS(tblSeverityAnalysis[Sectors with Highest Severity], _xlfn.CONCAT("*", X$4, "*"), tblSeverityAnalysis[Sectors with 2nd Highest Severity], _xlfn.CONCAT("*", $P11, "*")))</f>
        <v>11</v>
      </c>
      <c r="Y11" s="185" t="str">
        <f>IF(OR($P11=Y$4,Y$4="",$P11=""),"", COUNTIFS(tblSeverityAnalysis[Sectors with Highest Severity], _xlfn.CONCAT("*", Y$4, "*"), tblSeverityAnalysis[Sectors with 2nd Highest Severity], _xlfn.CONCAT("*", $P11, "*")))</f>
        <v/>
      </c>
      <c r="Z11" s="185" t="str">
        <f>IF(OR($P11=Z$4,Z$4="",$P11=""),"", COUNTIFS(tblSeverityAnalysis[Sectors with Highest Severity], _xlfn.CONCAT("*", Z$4, "*"), tblSeverityAnalysis[Sectors with 2nd Highest Severity], _xlfn.CONCAT("*", $P11, "*")))</f>
        <v/>
      </c>
      <c r="AA11" s="185" t="str">
        <f>IF(OR($P11=AA$4,AA$4="",$P11=""),"", COUNTIFS(tblSeverityAnalysis[Sectors with Highest Severity], _xlfn.CONCAT("*", AA$4, "*"), tblSeverityAnalysis[Sectors with 2nd Highest Severity], _xlfn.CONCAT("*", $P11, "*")))</f>
        <v/>
      </c>
    </row>
    <row r="12" spans="1:27" ht="37.5" customHeight="1">
      <c r="A12" s="603"/>
      <c r="B12" s="182" t="str">
        <v>WASH</v>
      </c>
      <c r="C12" s="185">
        <f>IF(OR($B12=C$4,C$4="",$B12=""),"", COUNTIFS(tblPiNAnalysis[Highest sector(s)], _xlfn.CONCAT("*", C$4, "*"), tblPiNAnalysis[2nd Highest sector(s)], _xlfn.CONCAT("*", $B12, "*")))</f>
        <v>0</v>
      </c>
      <c r="D12" s="185">
        <f>IF(OR($B12=D$4,D$4="",$B12=""),"", COUNTIFS(tblPiNAnalysis[Highest sector(s)], _xlfn.CONCAT("*", D$4, "*"), tblPiNAnalysis[2nd Highest sector(s)], _xlfn.CONCAT("*", $B12, "*")))</f>
        <v>0</v>
      </c>
      <c r="E12" s="185">
        <f>IF(OR($B12=E$4,E$4="",$B12=""),"", COUNTIFS(tblPiNAnalysis[Highest sector(s)], _xlfn.CONCAT("*", E$4, "*"), tblPiNAnalysis[2nd Highest sector(s)], _xlfn.CONCAT("*", $B12, "*")))</f>
        <v>0</v>
      </c>
      <c r="F12" s="185">
        <f>IF(OR($B12=F$4,F$4="",$B12=""),"", COUNTIFS(tblPiNAnalysis[Highest sector(s)], _xlfn.CONCAT("*", F$4, "*"), tblPiNAnalysis[2nd Highest sector(s)], _xlfn.CONCAT("*", $B12, "*")))</f>
        <v>12</v>
      </c>
      <c r="G12" s="185">
        <f>IF(OR($B12=G$4,G$4="",$B12=""),"", COUNTIFS(tblPiNAnalysis[Highest sector(s)], _xlfn.CONCAT("*", G$4, "*"), tblPiNAnalysis[2nd Highest sector(s)], _xlfn.CONCAT("*", $B12, "*")))</f>
        <v>2</v>
      </c>
      <c r="H12" s="185">
        <f>IF(OR($B12=H$4,H$4="",$B12=""),"", COUNTIFS(tblPiNAnalysis[Highest sector(s)], _xlfn.CONCAT("*", H$4, "*"), tblPiNAnalysis[2nd Highest sector(s)], _xlfn.CONCAT("*", $B12, "*")))</f>
        <v>0</v>
      </c>
      <c r="I12" s="185">
        <f>IF(OR($B12=I$4,I$4="",$B12=""),"", COUNTIFS(tblPiNAnalysis[Highest sector(s)], _xlfn.CONCAT("*", I$4, "*"), tblPiNAnalysis[2nd Highest sector(s)], _xlfn.CONCAT("*", $B12, "*")))</f>
        <v>3</v>
      </c>
      <c r="J12" s="185" t="str">
        <f>IF(OR($B12=J$4,J$4="",$B12=""),"", COUNTIFS(tblPiNAnalysis[Highest sector(s)], _xlfn.CONCAT("*", J$4, "*"), tblPiNAnalysis[2nd Highest sector(s)], _xlfn.CONCAT("*", $B12, "*")))</f>
        <v/>
      </c>
      <c r="K12" s="185" t="str">
        <f>IF(OR($B12=K$4,K$4="",$B12=""),"", COUNTIFS(tblPiNAnalysis[Highest sector(s)], _xlfn.CONCAT("*", K$4, "*"), tblPiNAnalysis[2nd Highest sector(s)], _xlfn.CONCAT("*", $B12, "*")))</f>
        <v/>
      </c>
      <c r="L12" s="185" t="str">
        <f>IF(OR($B12=L$4,L$4="",$B12=""),"", COUNTIFS(tblPiNAnalysis[Highest sector(s)], _xlfn.CONCAT("*", L$4, "*"), tblPiNAnalysis[2nd Highest sector(s)], _xlfn.CONCAT("*", $B12, "*")))</f>
        <v/>
      </c>
      <c r="M12" s="185" t="str">
        <f>IF(OR($B12=M$4,M$4="",$B12=""),"", COUNTIFS(tblPiNAnalysis[Highest sector(s)], _xlfn.CONCAT("*", M$4, "*"), tblPiNAnalysis[2nd Highest sector(s)], _xlfn.CONCAT("*", $B12, "*")))</f>
        <v/>
      </c>
      <c r="N12" s="604"/>
      <c r="O12" s="603"/>
      <c r="P12" s="182" t="str">
        <v>WASH</v>
      </c>
      <c r="Q12" s="185">
        <f>IF(OR($P12=Q$4,Q$4="",$P12=""),"", COUNTIFS(tblSeverityAnalysis[Sectors with Highest Severity], _xlfn.CONCAT("*", Q$4, "*"), tblSeverityAnalysis[Sectors with 2nd Highest Severity], _xlfn.CONCAT("*", $P12, "*")))</f>
        <v>38</v>
      </c>
      <c r="R12" s="185">
        <f>IF(OR($P12=R$4,R$4="",$P12=""),"", COUNTIFS(tblSeverityAnalysis[Sectors with Highest Severity], _xlfn.CONCAT("*", R$4, "*"), tblSeverityAnalysis[Sectors with 2nd Highest Severity], _xlfn.CONCAT("*", $P12, "*")))</f>
        <v>28</v>
      </c>
      <c r="S12" s="185">
        <f>IF(OR($P12=S$4,S$4="",$P12=""),"", COUNTIFS(tblSeverityAnalysis[Sectors with Highest Severity], _xlfn.CONCAT("*", S$4, "*"), tblSeverityAnalysis[Sectors with 2nd Highest Severity], _xlfn.CONCAT("*", $P12, "*")))</f>
        <v>20</v>
      </c>
      <c r="T12" s="185">
        <f>IF(OR($P12=T$4,T$4="",$P12=""),"", COUNTIFS(tblSeverityAnalysis[Sectors with Highest Severity], _xlfn.CONCAT("*", T$4, "*"), tblSeverityAnalysis[Sectors with 2nd Highest Severity], _xlfn.CONCAT("*", $P12, "*")))</f>
        <v>56</v>
      </c>
      <c r="U12" s="185">
        <f>IF(OR($P12=U$4,U$4="",$P12=""),"", COUNTIFS(tblSeverityAnalysis[Sectors with Highest Severity], _xlfn.CONCAT("*", U$4, "*"), tblSeverityAnalysis[Sectors with 2nd Highest Severity], _xlfn.CONCAT("*", $P12, "*")))</f>
        <v>24</v>
      </c>
      <c r="V12" s="185">
        <f>IF(OR($P12=V$4,V$4="",$P12=""),"", COUNTIFS(tblSeverityAnalysis[Sectors with Highest Severity], _xlfn.CONCAT("*", V$4, "*"), tblSeverityAnalysis[Sectors with 2nd Highest Severity], _xlfn.CONCAT("*", $P12, "*")))</f>
        <v>8</v>
      </c>
      <c r="W12" s="185">
        <f>IF(OR($P12=W$4,W$4="",$P12=""),"", COUNTIFS(tblSeverityAnalysis[Sectors with Highest Severity], _xlfn.CONCAT("*", W$4, "*"), tblSeverityAnalysis[Sectors with 2nd Highest Severity], _xlfn.CONCAT("*", $P12, "*")))</f>
        <v>34</v>
      </c>
      <c r="X12" s="185" t="str">
        <f>IF(OR($P12=X$4,X$4="",$P12=""),"", COUNTIFS(tblSeverityAnalysis[Sectors with Highest Severity], _xlfn.CONCAT("*", X$4, "*"), tblSeverityAnalysis[Sectors with 2nd Highest Severity], _xlfn.CONCAT("*", $P12, "*")))</f>
        <v/>
      </c>
      <c r="Y12" s="185" t="str">
        <f>IF(OR($P12=Y$4,Y$4="",$P12=""),"", COUNTIFS(tblSeverityAnalysis[Sectors with Highest Severity], _xlfn.CONCAT("*", Y$4, "*"), tblSeverityAnalysis[Sectors with 2nd Highest Severity], _xlfn.CONCAT("*", $P12, "*")))</f>
        <v/>
      </c>
      <c r="Z12" s="185" t="str">
        <f>IF(OR($P12=Z$4,Z$4="",$P12=""),"", COUNTIFS(tblSeverityAnalysis[Sectors with Highest Severity], _xlfn.CONCAT("*", Z$4, "*"), tblSeverityAnalysis[Sectors with 2nd Highest Severity], _xlfn.CONCAT("*", $P12, "*")))</f>
        <v/>
      </c>
      <c r="AA12" s="185" t="str">
        <f>IF(OR($P12=AA$4,AA$4="",$P12=""),"", COUNTIFS(tblSeverityAnalysis[Sectors with Highest Severity], _xlfn.CONCAT("*", AA$4, "*"), tblSeverityAnalysis[Sectors with 2nd Highest Severity], _xlfn.CONCAT("*", $P12, "*")))</f>
        <v/>
      </c>
    </row>
    <row r="13" spans="1:27" ht="37.5" customHeight="1">
      <c r="A13" s="603"/>
      <c r="B13" s="182"/>
      <c r="C13" s="185" t="str">
        <f>IF(OR($B13=C$4,C$4="",$B13=""),"", COUNTIFS(tblPiNAnalysis[Highest sector(s)], _xlfn.CONCAT("*", C$4, "*"), tblPiNAnalysis[2nd Highest sector(s)], _xlfn.CONCAT("*", $B13, "*")))</f>
        <v/>
      </c>
      <c r="D13" s="185" t="str">
        <f>IF(OR($B13=D$4,D$4="",$B13=""),"", COUNTIFS(tblPiNAnalysis[Highest sector(s)], _xlfn.CONCAT("*", D$4, "*"), tblPiNAnalysis[2nd Highest sector(s)], _xlfn.CONCAT("*", $B13, "*")))</f>
        <v/>
      </c>
      <c r="E13" s="185" t="str">
        <f>IF(OR($B13=E$4,E$4="",$B13=""),"", COUNTIFS(tblPiNAnalysis[Highest sector(s)], _xlfn.CONCAT("*", E$4, "*"), tblPiNAnalysis[2nd Highest sector(s)], _xlfn.CONCAT("*", $B13, "*")))</f>
        <v/>
      </c>
      <c r="F13" s="185" t="str">
        <f>IF(OR($B13=F$4,F$4="",$B13=""),"", COUNTIFS(tblPiNAnalysis[Highest sector(s)], _xlfn.CONCAT("*", F$4, "*"), tblPiNAnalysis[2nd Highest sector(s)], _xlfn.CONCAT("*", $B13, "*")))</f>
        <v/>
      </c>
      <c r="G13" s="185" t="str">
        <f>IF(OR($B13=G$4,G$4="",$B13=""),"", COUNTIFS(tblPiNAnalysis[Highest sector(s)], _xlfn.CONCAT("*", G$4, "*"), tblPiNAnalysis[2nd Highest sector(s)], _xlfn.CONCAT("*", $B13, "*")))</f>
        <v/>
      </c>
      <c r="H13" s="185" t="str">
        <f>IF(OR($B13=H$4,H$4="",$B13=""),"", COUNTIFS(tblPiNAnalysis[Highest sector(s)], _xlfn.CONCAT("*", H$4, "*"), tblPiNAnalysis[2nd Highest sector(s)], _xlfn.CONCAT("*", $B13, "*")))</f>
        <v/>
      </c>
      <c r="I13" s="185" t="str">
        <f>IF(OR($B13=I$4,I$4="",$B13=""),"", COUNTIFS(tblPiNAnalysis[Highest sector(s)], _xlfn.CONCAT("*", I$4, "*"), tblPiNAnalysis[2nd Highest sector(s)], _xlfn.CONCAT("*", $B13, "*")))</f>
        <v/>
      </c>
      <c r="J13" s="185" t="str">
        <f>IF(OR($B13=J$4,J$4="",$B13=""),"", COUNTIFS(tblPiNAnalysis[Highest sector(s)], _xlfn.CONCAT("*", J$4, "*"), tblPiNAnalysis[2nd Highest sector(s)], _xlfn.CONCAT("*", $B13, "*")))</f>
        <v/>
      </c>
      <c r="K13" s="185" t="str">
        <f>IF(OR($B13=K$4,K$4="",$B13=""),"", COUNTIFS(tblPiNAnalysis[Highest sector(s)], _xlfn.CONCAT("*", K$4, "*"), tblPiNAnalysis[2nd Highest sector(s)], _xlfn.CONCAT("*", $B13, "*")))</f>
        <v/>
      </c>
      <c r="L13" s="185" t="str">
        <f>IF(OR($B13=L$4,L$4="",$B13=""),"", COUNTIFS(tblPiNAnalysis[Highest sector(s)], _xlfn.CONCAT("*", L$4, "*"), tblPiNAnalysis[2nd Highest sector(s)], _xlfn.CONCAT("*", $B13, "*")))</f>
        <v/>
      </c>
      <c r="M13" s="185" t="str">
        <f>IF(OR($B13=M$4,M$4="",$B13=""),"", COUNTIFS(tblPiNAnalysis[Highest sector(s)], _xlfn.CONCAT("*", M$4, "*"), tblPiNAnalysis[2nd Highest sector(s)], _xlfn.CONCAT("*", $B13, "*")))</f>
        <v/>
      </c>
      <c r="N13" s="604"/>
      <c r="O13" s="603"/>
      <c r="P13" s="182"/>
      <c r="Q13" s="185" t="str">
        <f>IF(OR($P13=Q$4,Q$4="",$P13=""),"", COUNTIFS(tblSeverityAnalysis[Sectors with Highest Severity], _xlfn.CONCAT("*", Q$4, "*"), tblSeverityAnalysis[Sectors with 2nd Highest Severity], _xlfn.CONCAT("*", $P13, "*")))</f>
        <v/>
      </c>
      <c r="R13" s="185" t="str">
        <f>IF(OR($P13=R$4,R$4="",$P13=""),"", COUNTIFS(tblSeverityAnalysis[Sectors with Highest Severity], _xlfn.CONCAT("*", R$4, "*"), tblSeverityAnalysis[Sectors with 2nd Highest Severity], _xlfn.CONCAT("*", $P13, "*")))</f>
        <v/>
      </c>
      <c r="S13" s="185" t="str">
        <f>IF(OR($P13=S$4,S$4="",$P13=""),"", COUNTIFS(tblSeverityAnalysis[Sectors with Highest Severity], _xlfn.CONCAT("*", S$4, "*"), tblSeverityAnalysis[Sectors with 2nd Highest Severity], _xlfn.CONCAT("*", $P13, "*")))</f>
        <v/>
      </c>
      <c r="T13" s="185" t="str">
        <f>IF(OR($P13=T$4,T$4="",$P13=""),"", COUNTIFS(tblSeverityAnalysis[Sectors with Highest Severity], _xlfn.CONCAT("*", T$4, "*"), tblSeverityAnalysis[Sectors with 2nd Highest Severity], _xlfn.CONCAT("*", $P13, "*")))</f>
        <v/>
      </c>
      <c r="U13" s="185" t="str">
        <f>IF(OR($P13=U$4,U$4="",$P13=""),"", COUNTIFS(tblSeverityAnalysis[Sectors with Highest Severity], _xlfn.CONCAT("*", U$4, "*"), tblSeverityAnalysis[Sectors with 2nd Highest Severity], _xlfn.CONCAT("*", $P13, "*")))</f>
        <v/>
      </c>
      <c r="V13" s="185" t="str">
        <f>IF(OR($P13=V$4,V$4="",$P13=""),"", COUNTIFS(tblSeverityAnalysis[Sectors with Highest Severity], _xlfn.CONCAT("*", V$4, "*"), tblSeverityAnalysis[Sectors with 2nd Highest Severity], _xlfn.CONCAT("*", $P13, "*")))</f>
        <v/>
      </c>
      <c r="W13" s="185" t="str">
        <f>IF(OR($P13=W$4,W$4="",$P13=""),"", COUNTIFS(tblSeverityAnalysis[Sectors with Highest Severity], _xlfn.CONCAT("*", W$4, "*"), tblSeverityAnalysis[Sectors with 2nd Highest Severity], _xlfn.CONCAT("*", $P13, "*")))</f>
        <v/>
      </c>
      <c r="X13" s="185" t="str">
        <f>IF(OR($P13=X$4,X$4="",$P13=""),"", COUNTIFS(tblSeverityAnalysis[Sectors with Highest Severity], _xlfn.CONCAT("*", X$4, "*"), tblSeverityAnalysis[Sectors with 2nd Highest Severity], _xlfn.CONCAT("*", $P13, "*")))</f>
        <v/>
      </c>
      <c r="Y13" s="185" t="str">
        <f>IF(OR($P13=Y$4,Y$4="",$P13=""),"", COUNTIFS(tblSeverityAnalysis[Sectors with Highest Severity], _xlfn.CONCAT("*", Y$4, "*"), tblSeverityAnalysis[Sectors with 2nd Highest Severity], _xlfn.CONCAT("*", $P13, "*")))</f>
        <v/>
      </c>
      <c r="Z13" s="185" t="str">
        <f>IF(OR($P13=Z$4,Z$4="",$P13=""),"", COUNTIFS(tblSeverityAnalysis[Sectors with Highest Severity], _xlfn.CONCAT("*", Z$4, "*"), tblSeverityAnalysis[Sectors with 2nd Highest Severity], _xlfn.CONCAT("*", $P13, "*")))</f>
        <v/>
      </c>
      <c r="AA13" s="185" t="str">
        <f>IF(OR($P13=AA$4,AA$4="",$P13=""),"", COUNTIFS(tblSeverityAnalysis[Sectors with Highest Severity], _xlfn.CONCAT("*", AA$4, "*"), tblSeverityAnalysis[Sectors with 2nd Highest Severity], _xlfn.CONCAT("*", $P13, "*")))</f>
        <v/>
      </c>
    </row>
    <row r="14" spans="1:27" ht="37.5" customHeight="1">
      <c r="A14" s="603"/>
      <c r="B14" s="182"/>
      <c r="C14" s="185" t="str">
        <f>IF(OR($B14=C$4,C$4="",$B14=""),"", COUNTIFS(tblPiNAnalysis[Highest sector(s)], _xlfn.CONCAT("*", C$4, "*"), tblPiNAnalysis[2nd Highest sector(s)], _xlfn.CONCAT("*", $B14, "*")))</f>
        <v/>
      </c>
      <c r="D14" s="185" t="str">
        <f>IF(OR($B14=D$4,D$4="",$B14=""),"", COUNTIFS(tblPiNAnalysis[Highest sector(s)], _xlfn.CONCAT("*", D$4, "*"), tblPiNAnalysis[2nd Highest sector(s)], _xlfn.CONCAT("*", $B14, "*")))</f>
        <v/>
      </c>
      <c r="E14" s="185" t="str">
        <f>IF(OR($B14=E$4,E$4="",$B14=""),"", COUNTIFS(tblPiNAnalysis[Highest sector(s)], _xlfn.CONCAT("*", E$4, "*"), tblPiNAnalysis[2nd Highest sector(s)], _xlfn.CONCAT("*", $B14, "*")))</f>
        <v/>
      </c>
      <c r="F14" s="185" t="str">
        <f>IF(OR($B14=F$4,F$4="",$B14=""),"", COUNTIFS(tblPiNAnalysis[Highest sector(s)], _xlfn.CONCAT("*", F$4, "*"), tblPiNAnalysis[2nd Highest sector(s)], _xlfn.CONCAT("*", $B14, "*")))</f>
        <v/>
      </c>
      <c r="G14" s="185" t="str">
        <f>IF(OR($B14=G$4,G$4="",$B14=""),"", COUNTIFS(tblPiNAnalysis[Highest sector(s)], _xlfn.CONCAT("*", G$4, "*"), tblPiNAnalysis[2nd Highest sector(s)], _xlfn.CONCAT("*", $B14, "*")))</f>
        <v/>
      </c>
      <c r="H14" s="185" t="str">
        <f>IF(OR($B14=H$4,H$4="",$B14=""),"", COUNTIFS(tblPiNAnalysis[Highest sector(s)], _xlfn.CONCAT("*", H$4, "*"), tblPiNAnalysis[2nd Highest sector(s)], _xlfn.CONCAT("*", $B14, "*")))</f>
        <v/>
      </c>
      <c r="I14" s="185" t="str">
        <f>IF(OR($B14=I$4,I$4="",$B14=""),"", COUNTIFS(tblPiNAnalysis[Highest sector(s)], _xlfn.CONCAT("*", I$4, "*"), tblPiNAnalysis[2nd Highest sector(s)], _xlfn.CONCAT("*", $B14, "*")))</f>
        <v/>
      </c>
      <c r="J14" s="185" t="str">
        <f>IF(OR($B14=J$4,J$4="",$B14=""),"", COUNTIFS(tblPiNAnalysis[Highest sector(s)], _xlfn.CONCAT("*", J$4, "*"), tblPiNAnalysis[2nd Highest sector(s)], _xlfn.CONCAT("*", $B14, "*")))</f>
        <v/>
      </c>
      <c r="K14" s="185" t="str">
        <f>IF(OR($B14=K$4,K$4="",$B14=""),"", COUNTIFS(tblPiNAnalysis[Highest sector(s)], _xlfn.CONCAT("*", K$4, "*"), tblPiNAnalysis[2nd Highest sector(s)], _xlfn.CONCAT("*", $B14, "*")))</f>
        <v/>
      </c>
      <c r="L14" s="185" t="str">
        <f>IF(OR($B14=L$4,L$4="",$B14=""),"", COUNTIFS(tblPiNAnalysis[Highest sector(s)], _xlfn.CONCAT("*", L$4, "*"), tblPiNAnalysis[2nd Highest sector(s)], _xlfn.CONCAT("*", $B14, "*")))</f>
        <v/>
      </c>
      <c r="M14" s="185" t="str">
        <f>IF(OR($B14=M$4,M$4="",$B14=""),"", COUNTIFS(tblPiNAnalysis[Highest sector(s)], _xlfn.CONCAT("*", M$4, "*"), tblPiNAnalysis[2nd Highest sector(s)], _xlfn.CONCAT("*", $B14, "*")))</f>
        <v/>
      </c>
      <c r="N14" s="604"/>
      <c r="O14" s="603"/>
      <c r="P14" s="182"/>
      <c r="Q14" s="185" t="str">
        <f>IF(OR($P14=Q$4,Q$4="",$P14=""),"", COUNTIFS(tblSeverityAnalysis[Sectors with Highest Severity], _xlfn.CONCAT("*", Q$4, "*"), tblSeverityAnalysis[Sectors with 2nd Highest Severity], _xlfn.CONCAT("*", $P14, "*")))</f>
        <v/>
      </c>
      <c r="R14" s="185" t="str">
        <f>IF(OR($P14=R$4,R$4="",$P14=""),"", COUNTIFS(tblSeverityAnalysis[Sectors with Highest Severity], _xlfn.CONCAT("*", R$4, "*"), tblSeverityAnalysis[Sectors with 2nd Highest Severity], _xlfn.CONCAT("*", $P14, "*")))</f>
        <v/>
      </c>
      <c r="S14" s="185" t="str">
        <f>IF(OR($P14=S$4,S$4="",$P14=""),"", COUNTIFS(tblSeverityAnalysis[Sectors with Highest Severity], _xlfn.CONCAT("*", S$4, "*"), tblSeverityAnalysis[Sectors with 2nd Highest Severity], _xlfn.CONCAT("*", $P14, "*")))</f>
        <v/>
      </c>
      <c r="T14" s="185" t="str">
        <f>IF(OR($P14=T$4,T$4="",$P14=""),"", COUNTIFS(tblSeverityAnalysis[Sectors with Highest Severity], _xlfn.CONCAT("*", T$4, "*"), tblSeverityAnalysis[Sectors with 2nd Highest Severity], _xlfn.CONCAT("*", $P14, "*")))</f>
        <v/>
      </c>
      <c r="U14" s="185" t="str">
        <f>IF(OR($P14=U$4,U$4="",$P14=""),"", COUNTIFS(tblSeverityAnalysis[Sectors with Highest Severity], _xlfn.CONCAT("*", U$4, "*"), tblSeverityAnalysis[Sectors with 2nd Highest Severity], _xlfn.CONCAT("*", $P14, "*")))</f>
        <v/>
      </c>
      <c r="V14" s="185" t="str">
        <f>IF(OR($P14=V$4,V$4="",$P14=""),"", COUNTIFS(tblSeverityAnalysis[Sectors with Highest Severity], _xlfn.CONCAT("*", V$4, "*"), tblSeverityAnalysis[Sectors with 2nd Highest Severity], _xlfn.CONCAT("*", $P14, "*")))</f>
        <v/>
      </c>
      <c r="W14" s="185" t="str">
        <f>IF(OR($P14=W$4,W$4="",$P14=""),"", COUNTIFS(tblSeverityAnalysis[Sectors with Highest Severity], _xlfn.CONCAT("*", W$4, "*"), tblSeverityAnalysis[Sectors with 2nd Highest Severity], _xlfn.CONCAT("*", $P14, "*")))</f>
        <v/>
      </c>
      <c r="X14" s="185" t="str">
        <f>IF(OR($P14=X$4,X$4="",$P14=""),"", COUNTIFS(tblSeverityAnalysis[Sectors with Highest Severity], _xlfn.CONCAT("*", X$4, "*"), tblSeverityAnalysis[Sectors with 2nd Highest Severity], _xlfn.CONCAT("*", $P14, "*")))</f>
        <v/>
      </c>
      <c r="Y14" s="185" t="str">
        <f>IF(OR($P14=Y$4,Y$4="",$P14=""),"", COUNTIFS(tblSeverityAnalysis[Sectors with Highest Severity], _xlfn.CONCAT("*", Y$4, "*"), tblSeverityAnalysis[Sectors with 2nd Highest Severity], _xlfn.CONCAT("*", $P14, "*")))</f>
        <v/>
      </c>
      <c r="Z14" s="185" t="str">
        <f>IF(OR($P14=Z$4,Z$4="",$P14=""),"", COUNTIFS(tblSeverityAnalysis[Sectors with Highest Severity], _xlfn.CONCAT("*", Z$4, "*"), tblSeverityAnalysis[Sectors with 2nd Highest Severity], _xlfn.CONCAT("*", $P14, "*")))</f>
        <v/>
      </c>
      <c r="AA14" s="185" t="str">
        <f>IF(OR($P14=AA$4,AA$4="",$P14=""),"", COUNTIFS(tblSeverityAnalysis[Sectors with Highest Severity], _xlfn.CONCAT("*", AA$4, "*"), tblSeverityAnalysis[Sectors with 2nd Highest Severity], _xlfn.CONCAT("*", $P14, "*")))</f>
        <v/>
      </c>
    </row>
    <row r="15" spans="1:27" ht="37.5" customHeight="1">
      <c r="B15" s="182"/>
      <c r="C15" s="185" t="str">
        <f>IF(OR($B15=C$4,C$4="",$B15=""),"", COUNTIFS(tblPiNAnalysis[Highest sector(s)], _xlfn.CONCAT("*", C$4, "*"), tblPiNAnalysis[2nd Highest sector(s)], _xlfn.CONCAT("*", $B15, "*")))</f>
        <v/>
      </c>
      <c r="D15" s="185" t="str">
        <f>IF(OR($B15=D$4,D$4="",$B15=""),"", COUNTIFS(tblPiNAnalysis[Highest sector(s)], _xlfn.CONCAT("*", D$4, "*"), tblPiNAnalysis[2nd Highest sector(s)], _xlfn.CONCAT("*", $B15, "*")))</f>
        <v/>
      </c>
      <c r="E15" s="185" t="str">
        <f>IF(OR($B15=E$4,E$4="",$B15=""),"", COUNTIFS(tblPiNAnalysis[Highest sector(s)], _xlfn.CONCAT("*", E$4, "*"), tblPiNAnalysis[2nd Highest sector(s)], _xlfn.CONCAT("*", $B15, "*")))</f>
        <v/>
      </c>
      <c r="F15" s="185" t="str">
        <f>IF(OR($B15=F$4,F$4="",$B15=""),"", COUNTIFS(tblPiNAnalysis[Highest sector(s)], _xlfn.CONCAT("*", F$4, "*"), tblPiNAnalysis[2nd Highest sector(s)], _xlfn.CONCAT("*", $B15, "*")))</f>
        <v/>
      </c>
      <c r="G15" s="185" t="str">
        <f>IF(OR($B15=G$4,G$4="",$B15=""),"", COUNTIFS(tblPiNAnalysis[Highest sector(s)], _xlfn.CONCAT("*", G$4, "*"), tblPiNAnalysis[2nd Highest sector(s)], _xlfn.CONCAT("*", $B15, "*")))</f>
        <v/>
      </c>
      <c r="H15" s="185" t="str">
        <f>IF(OR($B15=H$4,H$4="",$B15=""),"", COUNTIFS(tblPiNAnalysis[Highest sector(s)], _xlfn.CONCAT("*", H$4, "*"), tblPiNAnalysis[2nd Highest sector(s)], _xlfn.CONCAT("*", $B15, "*")))</f>
        <v/>
      </c>
      <c r="I15" s="185" t="str">
        <f>IF(OR($B15=I$4,I$4="",$B15=""),"", COUNTIFS(tblPiNAnalysis[Highest sector(s)], _xlfn.CONCAT("*", I$4, "*"), tblPiNAnalysis[2nd Highest sector(s)], _xlfn.CONCAT("*", $B15, "*")))</f>
        <v/>
      </c>
      <c r="J15" s="185" t="str">
        <f>IF(OR($B15=J$4,J$4="",$B15=""),"", COUNTIFS(tblPiNAnalysis[Highest sector(s)], _xlfn.CONCAT("*", J$4, "*"), tblPiNAnalysis[2nd Highest sector(s)], _xlfn.CONCAT("*", $B15, "*")))</f>
        <v/>
      </c>
      <c r="K15" s="185" t="str">
        <f>IF(OR($B15=K$4,K$4="",$B15=""),"", COUNTIFS(tblPiNAnalysis[Highest sector(s)], _xlfn.CONCAT("*", K$4, "*"), tblPiNAnalysis[2nd Highest sector(s)], _xlfn.CONCAT("*", $B15, "*")))</f>
        <v/>
      </c>
      <c r="L15" s="185" t="str">
        <f>IF(OR($B15=L$4,L$4="",$B15=""),"", COUNTIFS(tblPiNAnalysis[Highest sector(s)], _xlfn.CONCAT("*", L$4, "*"), tblPiNAnalysis[2nd Highest sector(s)], _xlfn.CONCAT("*", $B15, "*")))</f>
        <v/>
      </c>
      <c r="M15" s="185" t="str">
        <f>IF(OR($B15=M$4,M$4="",$B15=""),"", COUNTIFS(tblPiNAnalysis[Highest sector(s)], _xlfn.CONCAT("*", M$4, "*"), tblPiNAnalysis[2nd Highest sector(s)], _xlfn.CONCAT("*", $B15, "*")))</f>
        <v/>
      </c>
      <c r="N15" s="183"/>
      <c r="P15" s="182"/>
      <c r="Q15" s="185" t="str">
        <f>IF(OR($P15=Q$4,Q$4="",$P15=""),"", COUNTIFS(tblSeverityAnalysis[Sectors with Highest Severity], _xlfn.CONCAT("*", Q$4, "*"), tblSeverityAnalysis[Sectors with 2nd Highest Severity], _xlfn.CONCAT("*", $P15, "*")))</f>
        <v/>
      </c>
      <c r="R15" s="185" t="str">
        <f>IF(OR($P15=R$4,R$4="",$P15=""),"", COUNTIFS(tblSeverityAnalysis[Sectors with Highest Severity], _xlfn.CONCAT("*", R$4, "*"), tblSeverityAnalysis[Sectors with 2nd Highest Severity], _xlfn.CONCAT("*", $P15, "*")))</f>
        <v/>
      </c>
      <c r="S15" s="185" t="str">
        <f>IF(OR($P15=S$4,S$4="",$P15=""),"", COUNTIFS(tblSeverityAnalysis[Sectors with Highest Severity], _xlfn.CONCAT("*", S$4, "*"), tblSeverityAnalysis[Sectors with 2nd Highest Severity], _xlfn.CONCAT("*", $P15, "*")))</f>
        <v/>
      </c>
      <c r="T15" s="185" t="str">
        <f>IF(OR($P15=T$4,T$4="",$P15=""),"", COUNTIFS(tblSeverityAnalysis[Sectors with Highest Severity], _xlfn.CONCAT("*", T$4, "*"), tblSeverityAnalysis[Sectors with 2nd Highest Severity], _xlfn.CONCAT("*", $P15, "*")))</f>
        <v/>
      </c>
      <c r="U15" s="185" t="str">
        <f>IF(OR($P15=U$4,U$4="",$P15=""),"", COUNTIFS(tblSeverityAnalysis[Sectors with Highest Severity], _xlfn.CONCAT("*", U$4, "*"), tblSeverityAnalysis[Sectors with 2nd Highest Severity], _xlfn.CONCAT("*", $P15, "*")))</f>
        <v/>
      </c>
      <c r="V15" s="185" t="str">
        <f>IF(OR($P15=V$4,V$4="",$P15=""),"", COUNTIFS(tblSeverityAnalysis[Sectors with Highest Severity], _xlfn.CONCAT("*", V$4, "*"), tblSeverityAnalysis[Sectors with 2nd Highest Severity], _xlfn.CONCAT("*", $P15, "*")))</f>
        <v/>
      </c>
      <c r="W15" s="185" t="str">
        <f>IF(OR($P15=W$4,W$4="",$P15=""),"", COUNTIFS(tblSeverityAnalysis[Sectors with Highest Severity], _xlfn.CONCAT("*", W$4, "*"), tblSeverityAnalysis[Sectors with 2nd Highest Severity], _xlfn.CONCAT("*", $P15, "*")))</f>
        <v/>
      </c>
      <c r="X15" s="185" t="str">
        <f>IF(OR($P15=X$4,X$4="",$P15=""),"", COUNTIFS(tblSeverityAnalysis[Sectors with Highest Severity], _xlfn.CONCAT("*", X$4, "*"), tblSeverityAnalysis[Sectors with 2nd Highest Severity], _xlfn.CONCAT("*", $P15, "*")))</f>
        <v/>
      </c>
      <c r="Y15" s="185" t="str">
        <f>IF(OR($P15=Y$4,Y$4="",$P15=""),"", COUNTIFS(tblSeverityAnalysis[Sectors with Highest Severity], _xlfn.CONCAT("*", Y$4, "*"), tblSeverityAnalysis[Sectors with 2nd Highest Severity], _xlfn.CONCAT("*", $P15, "*")))</f>
        <v/>
      </c>
      <c r="Z15" s="185" t="str">
        <f>IF(OR($P15=Z$4,Z$4="",$P15=""),"", COUNTIFS(tblSeverityAnalysis[Sectors with Highest Severity], _xlfn.CONCAT("*", Z$4, "*"), tblSeverityAnalysis[Sectors with 2nd Highest Severity], _xlfn.CONCAT("*", $P15, "*")))</f>
        <v/>
      </c>
      <c r="AA15" s="185" t="str">
        <f>IF(OR($P15=AA$4,AA$4="",$P15=""),"", COUNTIFS(tblSeverityAnalysis[Sectors with Highest Severity], _xlfn.CONCAT("*", AA$4, "*"), tblSeverityAnalysis[Sectors with 2nd Highest Severity], _xlfn.CONCAT("*", $P15, "*")))</f>
        <v/>
      </c>
    </row>
    <row r="16" spans="1:27">
      <c r="N16" s="183"/>
    </row>
  </sheetData>
  <mergeCells count="7">
    <mergeCell ref="A5:A14"/>
    <mergeCell ref="C3:M3"/>
    <mergeCell ref="B1:L2"/>
    <mergeCell ref="P1:AA2"/>
    <mergeCell ref="Q3:AA3"/>
    <mergeCell ref="N5:N14"/>
    <mergeCell ref="O5:O14"/>
  </mergeCells>
  <conditionalFormatting sqref="B5:B15">
    <cfRule type="notContainsBlanks" dxfId="5" priority="5">
      <formula>LEN(TRIM(B5))&gt;0</formula>
    </cfRule>
  </conditionalFormatting>
  <conditionalFormatting sqref="C4:M4">
    <cfRule type="notContainsBlanks" dxfId="4" priority="7">
      <formula>LEN(TRIM(C4))&gt;0</formula>
    </cfRule>
  </conditionalFormatting>
  <conditionalFormatting sqref="C5:M15">
    <cfRule type="notContainsBlanks" dxfId="3" priority="6">
      <formula>LEN(TRIM(C5))&gt;0</formula>
    </cfRule>
    <cfRule type="colorScale" priority="8">
      <colorScale>
        <cfvo type="min"/>
        <cfvo type="max"/>
        <color theme="8" tint="0.79998168889431442"/>
        <color theme="8" tint="-0.249977111117893"/>
      </colorScale>
    </cfRule>
  </conditionalFormatting>
  <conditionalFormatting sqref="P5:P15">
    <cfRule type="notContainsBlanks" dxfId="2" priority="1">
      <formula>LEN(TRIM(P5))&gt;0</formula>
    </cfRule>
  </conditionalFormatting>
  <conditionalFormatting sqref="Q4:AA4">
    <cfRule type="notContainsBlanks" dxfId="1" priority="3">
      <formula>LEN(TRIM(Q4))&gt;0</formula>
    </cfRule>
  </conditionalFormatting>
  <conditionalFormatting sqref="Q5:AA15">
    <cfRule type="notContainsBlanks" dxfId="0" priority="2">
      <formula>LEN(TRIM(Q5))&gt;0</formula>
    </cfRule>
    <cfRule type="colorScale" priority="4">
      <colorScale>
        <cfvo type="min"/>
        <cfvo type="max"/>
        <color theme="8" tint="0.79998168889431442"/>
        <color theme="8" tint="-0.249977111117893"/>
      </colorScale>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D2420C65C3D64282C0DC1E7CB9D7DB" ma:contentTypeVersion="19" ma:contentTypeDescription="Create a new document." ma:contentTypeScope="" ma:versionID="883ec2ce05feacc4ec2d7df2db902288">
  <xsd:schema xmlns:xsd="http://www.w3.org/2001/XMLSchema" xmlns:xs="http://www.w3.org/2001/XMLSchema" xmlns:p="http://schemas.microsoft.com/office/2006/metadata/properties" xmlns:ns2="0292b1bc-dc04-4c7a-906e-4a7c2dc29542" xmlns:ns3="bd0faaa1-daec-4526-9aaa-a3949102b502" xmlns:ns4="985ec44e-1bab-4c0b-9df0-6ba128686fc9" targetNamespace="http://schemas.microsoft.com/office/2006/metadata/properties" ma:root="true" ma:fieldsID="a755c093cdb7230b58b97c76881b6b66" ns2:_="" ns3:_="" ns4:_="">
    <xsd:import namespace="0292b1bc-dc04-4c7a-906e-4a7c2dc29542"/>
    <xsd:import namespace="bd0faaa1-daec-4526-9aaa-a3949102b502"/>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Location" minOccurs="0"/>
                <xsd:element ref="ns2:MediaServiceObjectDetectorVersions" minOccurs="0"/>
                <xsd:element ref="ns2:numbe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2b1bc-dc04-4c7a-906e-4a7c2dc295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number" ma:index="25" nillable="true" ma:displayName="number" ma:format="Dropdown" ma:internalName="number" ma:percentage="FALSE">
      <xsd:simpleType>
        <xsd:restriction base="dms:Number"/>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0faaa1-daec-4526-9aaa-a3949102b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57b60393-6312-4664-b71c-b46f1aae1162}" ma:internalName="TaxCatchAll" ma:showField="CatchAllData" ma:web="bd0faaa1-daec-4526-9aaa-a3949102b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0292b1bc-dc04-4c7a-906e-4a7c2dc29542">
      <Terms xmlns="http://schemas.microsoft.com/office/infopath/2007/PartnerControls"/>
    </lcf76f155ced4ddcb4097134ff3c332f>
    <SharedWithUsers xmlns="bd0faaa1-daec-4526-9aaa-a3949102b502">
      <UserInfo>
        <DisplayName>Veronique Durroux</DisplayName>
        <AccountId>803</AccountId>
        <AccountType/>
      </UserInfo>
      <UserInfo>
        <DisplayName>Elena Imberti</DisplayName>
        <AccountId>240</AccountId>
        <AccountType/>
      </UserInfo>
      <UserInfo>
        <DisplayName>Himshem Him</DisplayName>
        <AccountId>781</AccountId>
        <AccountType/>
      </UserInfo>
      <UserInfo>
        <DisplayName>Tamara Pulita</DisplayName>
        <AccountId>533</AccountId>
        <AccountType/>
      </UserInfo>
      <UserInfo>
        <DisplayName>Dario Alvarez</DisplayName>
        <AccountId>801</AccountId>
        <AccountType/>
      </UserInfo>
      <UserInfo>
        <DisplayName>Leila De Paiva Nazareth Andrade De Oliveira</DisplayName>
        <AccountId>485</AccountId>
        <AccountType/>
      </UserInfo>
      <UserInfo>
        <DisplayName>Ana Maria Pereira</DisplayName>
        <AccountId>201</AccountId>
        <AccountType/>
      </UserInfo>
    </SharedWithUsers>
    <MediaLengthInSeconds xmlns="0292b1bc-dc04-4c7a-906e-4a7c2dc29542" xsi:nil="true"/>
    <number xmlns="0292b1bc-dc04-4c7a-906e-4a7c2dc29542"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136528-656C-4D75-9302-9075B723AB86}"/>
</file>

<file path=customXml/itemProps2.xml><?xml version="1.0" encoding="utf-8"?>
<ds:datastoreItem xmlns:ds="http://schemas.openxmlformats.org/officeDocument/2006/customXml" ds:itemID="{4DB33FB5-1F5A-4D1B-85FB-9C0BE1535D94}"/>
</file>

<file path=customXml/itemProps3.xml><?xml version="1.0" encoding="utf-8"?>
<ds:datastoreItem xmlns:ds="http://schemas.openxmlformats.org/officeDocument/2006/customXml" ds:itemID="{39BA3362-B553-4C18-82A9-9E38B32353F9}"/>
</file>

<file path=customXml/itemProps4.xml><?xml version="1.0" encoding="utf-8"?>
<ds:datastoreItem xmlns:ds="http://schemas.openxmlformats.org/officeDocument/2006/customXml" ds:itemID="{D2773FCC-826E-4CAD-9139-51980A25E697}"/>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Kashif NADEEM</dc:creator>
  <cp:keywords/>
  <dc:description/>
  <cp:lastModifiedBy/>
  <cp:revision/>
  <dcterms:created xsi:type="dcterms:W3CDTF">2021-12-15T14:13:54Z</dcterms:created>
  <dcterms:modified xsi:type="dcterms:W3CDTF">2026-01-05T13:15:50Z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0x010100F5D2420C65C3D64282C0DC1E7CB9D7DB</vt:lpwstr>
  </property>
  <property fmtid="{D5CDD505-2E9C-101B-9397-08002B2CF9AE}" pid="3" name="Order">
    <vt:r8>138800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