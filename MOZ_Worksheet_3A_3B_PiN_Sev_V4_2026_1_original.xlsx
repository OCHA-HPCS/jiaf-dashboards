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7.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https://unitednations.sharepoint.com/sites/OCHA_Mozambique/Comms and IM Unit/IM Folder/03. HPC/5. HPC 2026/4. HNO/01. Data/"/>
    </mc:Choice>
  </mc:AlternateContent>
  <xr:revisionPtr revIDLastSave="0" documentId="8_{BBB20666-B049-47B5-B6EF-DD977347E794}" xr6:coauthVersionLast="47" xr6:coauthVersionMax="47" xr10:uidLastSave="{00000000-0000-0000-0000-000000000000}"/>
  <bookViews>
    <workbookView xWindow="-28920" yWindow="-705" windowWidth="29040" windowHeight="15720" tabRatio="692" firstSheet="5" activeTab="5" xr2:uid="{D7B6F9FA-E942-409C-A119-37236683EDB5}"/>
  </bookViews>
  <sheets>
    <sheet name="Read Me" sheetId="35" r:id="rId1"/>
    <sheet name="Thresholds" sheetId="44" r:id="rId2"/>
    <sheet name="WS - 3.1 Overall PiN" sheetId="27" r:id="rId3"/>
    <sheet name="PiN Historical Trend" sheetId="92" r:id="rId4"/>
    <sheet name="PiN Visuals" sheetId="100" state="hidden" r:id="rId5"/>
    <sheet name="WS - 3.2 Intersectoral Severity" sheetId="93" r:id="rId6"/>
    <sheet name="Reference Table Indicators" sheetId="94" r:id="rId7"/>
    <sheet name="PIN Pivot Table" sheetId="114" r:id="rId8"/>
    <sheet name="Cluster Needs Indicators" sheetId="113" r:id="rId9"/>
    <sheet name="PIN Pivot 15 Districts" sheetId="116" r:id="rId10"/>
    <sheet name="SEV Pivot table" sheetId="115" r:id="rId11"/>
    <sheet name="Preliminary results graph" sheetId="105" state="hidden" r:id="rId12"/>
    <sheet name="PiN &amp; Sev - Corr Coeff" sheetId="108" state="hidden" r:id="rId13"/>
    <sheet name="PiN &amp; Sev - value overlapping" sheetId="110" state="hidden" r:id="rId14"/>
    <sheet name="PiN &amp; Sev - 1st &amp; 2nd highest" sheetId="112" state="hidden" r:id="rId15"/>
  </sheets>
  <definedNames>
    <definedName name="_xlnm._FilterDatabase" localSheetId="3" hidden="1">'PiN Historical Trend'!#REF!</definedName>
    <definedName name="_xlnm._FilterDatabase" localSheetId="4" hidden="1">'PiN Visuals'!$A$6:$F$20</definedName>
    <definedName name="_xlnm._FilterDatabase" localSheetId="6" hidden="1">'Reference Table Indicators'!#REF!</definedName>
    <definedName name="_xlnm._FilterDatabase" localSheetId="2" hidden="1">'WS - 3.1 Overall PiN'!$BK$3:$BL$3</definedName>
    <definedName name="_xlnm._FilterDatabase" localSheetId="5" hidden="1">'WS - 3.2 Intersectoral Severity'!$AU$3:$AV$3</definedName>
    <definedName name="flag_pin_historical">Thresholds!$D$13</definedName>
    <definedName name="flag_pin_perc">Thresholds!$D$12</definedName>
    <definedName name="perc_1st_2nd">Thresholds!$D$9</definedName>
    <definedName name="perc_1st_3rd">Thresholds!$D$10</definedName>
    <definedName name="pin_perc">'PiN Visuals'!$B$5:$F$16</definedName>
    <definedName name="sectors_sev_4">Thresholds!$D$29</definedName>
    <definedName name="sectors_sev_5">Thresholds!$D$28</definedName>
    <definedName name="Slicer_Population_Group">#N/A</definedName>
    <definedName name="Slicer_Population_Group1">#N/A</definedName>
    <definedName name="zero_pin_thresh">Thresholds!$D$8</definedName>
  </definedNames>
  <calcPr calcId="191028" calcCompleted="0"/>
  <pivotCaches>
    <pivotCache cacheId="2025" r:id="rId16"/>
    <pivotCache cacheId="202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27" l="1"/>
  <c r="A7" i="94" l="1"/>
  <c r="A8" i="94"/>
  <c r="A9" i="94"/>
  <c r="A10" i="94"/>
  <c r="A11" i="94"/>
  <c r="A12" i="94"/>
  <c r="A13" i="94"/>
  <c r="A14" i="94"/>
  <c r="A15" i="94"/>
  <c r="A16" i="94"/>
  <c r="A17" i="94"/>
  <c r="A18" i="94"/>
  <c r="A19" i="94"/>
  <c r="A20" i="94"/>
  <c r="A21" i="94"/>
  <c r="A22" i="94"/>
  <c r="A23" i="94"/>
  <c r="A24" i="94"/>
  <c r="A25" i="94"/>
  <c r="A26" i="94"/>
  <c r="A27" i="94"/>
  <c r="A28" i="94"/>
  <c r="A29" i="94"/>
  <c r="A30" i="94"/>
  <c r="A31" i="94"/>
  <c r="A32" i="94"/>
  <c r="A33" i="94"/>
  <c r="A34" i="94"/>
  <c r="A35" i="94"/>
  <c r="A36" i="94"/>
  <c r="A37" i="94"/>
  <c r="A38" i="94"/>
  <c r="A39" i="94"/>
  <c r="A40" i="94"/>
  <c r="A41" i="94"/>
  <c r="A42" i="94"/>
  <c r="A43" i="94"/>
  <c r="A44" i="94"/>
  <c r="A45" i="94"/>
  <c r="A46" i="94"/>
  <c r="A47" i="94"/>
  <c r="A48" i="94"/>
  <c r="A49" i="94"/>
  <c r="A50" i="94"/>
  <c r="A51" i="94"/>
  <c r="A52" i="94"/>
  <c r="A53" i="94"/>
  <c r="A54" i="94"/>
  <c r="A55" i="94"/>
  <c r="A56" i="94"/>
  <c r="A57" i="94"/>
  <c r="A58" i="94"/>
  <c r="A59" i="94"/>
  <c r="A60" i="94"/>
  <c r="A61" i="94"/>
  <c r="A62" i="94"/>
  <c r="A63" i="94"/>
  <c r="A64" i="94"/>
  <c r="A65" i="94"/>
  <c r="A66" i="94"/>
  <c r="A67" i="94"/>
  <c r="A68" i="94"/>
  <c r="A69" i="94"/>
  <c r="A70" i="94"/>
  <c r="A71" i="94"/>
  <c r="A72" i="94"/>
  <c r="A73" i="94"/>
  <c r="A74" i="94"/>
  <c r="A75" i="94"/>
  <c r="A76" i="94"/>
  <c r="A77" i="94"/>
  <c r="A78" i="94"/>
  <c r="A79" i="94"/>
  <c r="A80" i="94"/>
  <c r="A81" i="94"/>
  <c r="A82" i="94"/>
  <c r="A83" i="94"/>
  <c r="A84" i="94"/>
  <c r="A85" i="94"/>
  <c r="A86" i="94"/>
  <c r="A87" i="94"/>
  <c r="A88" i="94"/>
  <c r="A89" i="94"/>
  <c r="A90" i="94"/>
  <c r="A91" i="94"/>
  <c r="A92" i="94"/>
  <c r="A93" i="94"/>
  <c r="A94" i="94"/>
  <c r="A95" i="94"/>
  <c r="A96" i="94"/>
  <c r="A97" i="94"/>
  <c r="A98" i="94"/>
  <c r="A99" i="94"/>
  <c r="A100" i="94"/>
  <c r="A101" i="94"/>
  <c r="A102" i="94"/>
  <c r="A103" i="94"/>
  <c r="A104" i="94"/>
  <c r="A105" i="94"/>
  <c r="A106" i="94"/>
  <c r="A107" i="94"/>
  <c r="A108" i="94"/>
  <c r="A109" i="94"/>
  <c r="A110" i="94"/>
  <c r="A111" i="94"/>
  <c r="A112" i="94"/>
  <c r="A113" i="94"/>
  <c r="A114" i="94"/>
  <c r="A115" i="94"/>
  <c r="A116" i="94"/>
  <c r="A117" i="94"/>
  <c r="A118" i="94"/>
  <c r="A119" i="94"/>
  <c r="A120" i="94"/>
  <c r="A121" i="94"/>
  <c r="A122" i="94"/>
  <c r="A123" i="94"/>
  <c r="A124" i="94"/>
  <c r="A125" i="94"/>
  <c r="A126" i="94"/>
  <c r="A127" i="94"/>
  <c r="A128" i="94"/>
  <c r="A129" i="94"/>
  <c r="A130" i="94"/>
  <c r="A131" i="94"/>
  <c r="A132" i="94"/>
  <c r="A133" i="94"/>
  <c r="A134" i="94"/>
  <c r="A135" i="94"/>
  <c r="A136" i="94"/>
  <c r="A137" i="94"/>
  <c r="A138" i="94"/>
  <c r="A139" i="94"/>
  <c r="A140" i="94"/>
  <c r="A141" i="94"/>
  <c r="A142" i="94"/>
  <c r="A143" i="94"/>
  <c r="A144" i="94"/>
  <c r="A145" i="94"/>
  <c r="A146" i="94"/>
  <c r="A147" i="94"/>
  <c r="A148" i="94"/>
  <c r="A149" i="94"/>
  <c r="A150" i="94"/>
  <c r="A151" i="94"/>
  <c r="A152" i="94"/>
  <c r="A153" i="94"/>
  <c r="A154" i="94"/>
  <c r="A155" i="94"/>
  <c r="A156" i="94"/>
  <c r="A157" i="94"/>
  <c r="A158" i="94"/>
  <c r="A159" i="94"/>
  <c r="A160" i="94"/>
  <c r="A161" i="94"/>
  <c r="A162" i="94"/>
  <c r="N7" i="94" a="1"/>
  <c r="N7" i="94"/>
  <c r="N8" i="94" a="1"/>
  <c r="N8" i="94" s="1"/>
  <c r="N9" i="94" a="1"/>
  <c r="N9" i="94" s="1"/>
  <c r="N10" i="94" a="1"/>
  <c r="N10" i="94" s="1"/>
  <c r="N11" i="94" a="1"/>
  <c r="N11" i="94" s="1"/>
  <c r="N12" i="94" a="1"/>
  <c r="N12" i="94" s="1"/>
  <c r="N13" i="94" a="1"/>
  <c r="N13" i="94"/>
  <c r="N14" i="94" a="1"/>
  <c r="N14" i="94" s="1"/>
  <c r="N15" i="94" a="1"/>
  <c r="N15" i="94"/>
  <c r="N16" i="94" a="1"/>
  <c r="N16" i="94" s="1"/>
  <c r="N17" i="94" a="1"/>
  <c r="N17" i="94"/>
  <c r="N18" i="94" a="1"/>
  <c r="N18" i="94" s="1"/>
  <c r="N19" i="94" a="1"/>
  <c r="N19" i="94" s="1"/>
  <c r="N20" i="94" a="1"/>
  <c r="N20" i="94" s="1"/>
  <c r="N21" i="94" a="1"/>
  <c r="N21" i="94" s="1"/>
  <c r="N22" i="94" a="1"/>
  <c r="N22" i="94" s="1"/>
  <c r="N23" i="94" a="1"/>
  <c r="N23" i="94"/>
  <c r="N24" i="94" a="1"/>
  <c r="N24" i="94" s="1"/>
  <c r="N25" i="94" a="1"/>
  <c r="N25" i="94" s="1"/>
  <c r="N26" i="94" a="1"/>
  <c r="N26" i="94" s="1"/>
  <c r="N27" i="94" a="1"/>
  <c r="N27" i="94" s="1"/>
  <c r="N28" i="94" a="1"/>
  <c r="N28" i="94" s="1"/>
  <c r="N29" i="94" a="1"/>
  <c r="N29" i="94"/>
  <c r="N30" i="94" a="1"/>
  <c r="N30" i="94" s="1"/>
  <c r="N31" i="94" a="1"/>
  <c r="N31" i="94"/>
  <c r="N32" i="94" a="1"/>
  <c r="N32" i="94" s="1"/>
  <c r="N33" i="94" a="1"/>
  <c r="N33" i="94"/>
  <c r="N34" i="94" a="1"/>
  <c r="N34" i="94" s="1"/>
  <c r="N35" i="94" a="1"/>
  <c r="N35" i="94" s="1"/>
  <c r="N36" i="94" a="1"/>
  <c r="N36" i="94" s="1"/>
  <c r="N37" i="94" a="1"/>
  <c r="N37" i="94" s="1"/>
  <c r="N38" i="94" a="1"/>
  <c r="N38" i="94" s="1"/>
  <c r="N39" i="94" a="1"/>
  <c r="N39" i="94"/>
  <c r="N40" i="94" a="1"/>
  <c r="N40" i="94" s="1"/>
  <c r="N41" i="94" a="1"/>
  <c r="N41" i="94" s="1"/>
  <c r="N42" i="94" a="1"/>
  <c r="N42" i="94" s="1"/>
  <c r="N43" i="94" a="1"/>
  <c r="N43" i="94" s="1"/>
  <c r="N44" i="94" a="1"/>
  <c r="N44" i="94" s="1"/>
  <c r="N45" i="94" a="1"/>
  <c r="N45" i="94"/>
  <c r="N46" i="94" a="1"/>
  <c r="N46" i="94" s="1"/>
  <c r="N47" i="94" a="1"/>
  <c r="N47" i="94"/>
  <c r="N48" i="94" a="1"/>
  <c r="N48" i="94" s="1"/>
  <c r="N49" i="94" a="1"/>
  <c r="N49" i="94" s="1"/>
  <c r="N50" i="94" a="1"/>
  <c r="N50" i="94" s="1"/>
  <c r="N51" i="94" a="1"/>
  <c r="N51" i="94" s="1"/>
  <c r="N52" i="94" a="1"/>
  <c r="N52" i="94" s="1"/>
  <c r="N53" i="94" a="1"/>
  <c r="N53" i="94" s="1"/>
  <c r="N54" i="94" a="1"/>
  <c r="N54" i="94" s="1"/>
  <c r="N55" i="94" a="1"/>
  <c r="N55" i="94"/>
  <c r="N56" i="94" a="1"/>
  <c r="N56" i="94" s="1"/>
  <c r="N57" i="94" a="1"/>
  <c r="N57" i="94" s="1"/>
  <c r="N58" i="94" a="1"/>
  <c r="N58" i="94" s="1"/>
  <c r="N59" i="94" a="1"/>
  <c r="N59" i="94" s="1"/>
  <c r="N60" i="94" a="1"/>
  <c r="N60" i="94" s="1"/>
  <c r="N61" i="94" a="1"/>
  <c r="N61" i="94"/>
  <c r="N62" i="94" a="1"/>
  <c r="N62" i="94" s="1"/>
  <c r="N63" i="94" a="1"/>
  <c r="N63" i="94"/>
  <c r="N64" i="94" a="1"/>
  <c r="N64" i="94" s="1"/>
  <c r="N65" i="94" a="1"/>
  <c r="N65" i="94" s="1"/>
  <c r="N66" i="94" a="1"/>
  <c r="N66" i="94" s="1"/>
  <c r="N67" i="94" a="1"/>
  <c r="N67" i="94" s="1"/>
  <c r="N68" i="94" a="1"/>
  <c r="N68" i="94" s="1"/>
  <c r="N69" i="94" a="1"/>
  <c r="N69" i="94" s="1"/>
  <c r="N70" i="94" a="1"/>
  <c r="N70" i="94" s="1"/>
  <c r="N71" i="94" a="1"/>
  <c r="N71" i="94"/>
  <c r="N72" i="94" a="1"/>
  <c r="N72" i="94" s="1"/>
  <c r="N73" i="94" a="1"/>
  <c r="N73" i="94" s="1"/>
  <c r="N74" i="94" a="1"/>
  <c r="N74" i="94" s="1"/>
  <c r="N75" i="94" a="1"/>
  <c r="N75" i="94" s="1"/>
  <c r="N76" i="94" a="1"/>
  <c r="N76" i="94" s="1"/>
  <c r="N77" i="94" a="1"/>
  <c r="N77" i="94"/>
  <c r="N78" i="94" a="1"/>
  <c r="N78" i="94" s="1"/>
  <c r="N79" i="94" a="1"/>
  <c r="N79" i="94"/>
  <c r="N80" i="94" a="1"/>
  <c r="N80" i="94" s="1"/>
  <c r="N81" i="94" a="1"/>
  <c r="N81" i="94" s="1"/>
  <c r="N82" i="94" a="1"/>
  <c r="N82" i="94" s="1"/>
  <c r="N83" i="94" a="1"/>
  <c r="N83" i="94" s="1"/>
  <c r="N84" i="94" a="1"/>
  <c r="N84" i="94" s="1"/>
  <c r="N85" i="94" a="1"/>
  <c r="N85" i="94" s="1"/>
  <c r="N86" i="94" a="1"/>
  <c r="N86" i="94" s="1"/>
  <c r="N87" i="94" a="1"/>
  <c r="N87" i="94"/>
  <c r="N88" i="94" a="1"/>
  <c r="N88" i="94" s="1"/>
  <c r="N89" i="94" a="1"/>
  <c r="N89" i="94" s="1"/>
  <c r="N90" i="94" a="1"/>
  <c r="N90" i="94" s="1"/>
  <c r="N91" i="94" a="1"/>
  <c r="N91" i="94" s="1"/>
  <c r="N92" i="94" a="1"/>
  <c r="N92" i="94" s="1"/>
  <c r="N93" i="94" a="1"/>
  <c r="N93" i="94"/>
  <c r="N94" i="94" a="1"/>
  <c r="N94" i="94" s="1"/>
  <c r="N95" i="94" a="1"/>
  <c r="N95" i="94"/>
  <c r="N96" i="94" a="1"/>
  <c r="N96" i="94" s="1"/>
  <c r="N97" i="94" a="1"/>
  <c r="N97" i="94" s="1"/>
  <c r="N98" i="94" a="1"/>
  <c r="N98" i="94" s="1"/>
  <c r="N99" i="94" a="1"/>
  <c r="N99" i="94" s="1"/>
  <c r="N100" i="94" a="1"/>
  <c r="N100" i="94" s="1"/>
  <c r="N101" i="94" a="1"/>
  <c r="N101" i="94" s="1"/>
  <c r="N102" i="94" a="1"/>
  <c r="N102" i="94" s="1"/>
  <c r="N103" i="94" a="1"/>
  <c r="N103" i="94"/>
  <c r="N104" i="94" a="1"/>
  <c r="N104" i="94" s="1"/>
  <c r="N105" i="94" a="1"/>
  <c r="N105" i="94" s="1"/>
  <c r="N106" i="94" a="1"/>
  <c r="N106" i="94" s="1"/>
  <c r="N107" i="94" a="1"/>
  <c r="N107" i="94" s="1"/>
  <c r="N108" i="94" a="1"/>
  <c r="N108" i="94" s="1"/>
  <c r="N109" i="94" a="1"/>
  <c r="N109" i="94"/>
  <c r="N110" i="94" a="1"/>
  <c r="N110" i="94" s="1"/>
  <c r="N111" i="94" a="1"/>
  <c r="N111" i="94"/>
  <c r="N112" i="94" a="1"/>
  <c r="N112" i="94" s="1"/>
  <c r="N113" i="94" a="1"/>
  <c r="N113" i="94" s="1"/>
  <c r="N114" i="94" a="1"/>
  <c r="N114" i="94" s="1"/>
  <c r="N115" i="94" a="1"/>
  <c r="N115" i="94" s="1"/>
  <c r="N116" i="94" a="1"/>
  <c r="N116" i="94" s="1"/>
  <c r="N117" i="94" a="1"/>
  <c r="N117" i="94" s="1"/>
  <c r="N118" i="94" a="1"/>
  <c r="N118" i="94" s="1"/>
  <c r="N119" i="94" a="1"/>
  <c r="N119" i="94"/>
  <c r="N120" i="94" a="1"/>
  <c r="N120" i="94" s="1"/>
  <c r="N121" i="94" a="1"/>
  <c r="N121" i="94" s="1"/>
  <c r="N122" i="94" a="1"/>
  <c r="N122" i="94" s="1"/>
  <c r="N123" i="94" a="1"/>
  <c r="N123" i="94" s="1"/>
  <c r="N124" i="94" a="1"/>
  <c r="N124" i="94" s="1"/>
  <c r="N125" i="94" a="1"/>
  <c r="N125" i="94"/>
  <c r="N126" i="94" a="1"/>
  <c r="N126" i="94" s="1"/>
  <c r="N127" i="94" a="1"/>
  <c r="N127" i="94"/>
  <c r="N128" i="94" a="1"/>
  <c r="N128" i="94" s="1"/>
  <c r="N129" i="94" a="1"/>
  <c r="N129" i="94" s="1"/>
  <c r="N130" i="94" a="1"/>
  <c r="N130" i="94" s="1"/>
  <c r="N131" i="94" a="1"/>
  <c r="N131" i="94" s="1"/>
  <c r="N132" i="94" a="1"/>
  <c r="N132" i="94" s="1"/>
  <c r="N133" i="94" a="1"/>
  <c r="N133" i="94" s="1"/>
  <c r="N134" i="94" a="1"/>
  <c r="N134" i="94" s="1"/>
  <c r="N135" i="94" a="1"/>
  <c r="N135" i="94"/>
  <c r="N136" i="94" a="1"/>
  <c r="N136" i="94" s="1"/>
  <c r="N137" i="94" a="1"/>
  <c r="N137" i="94" s="1"/>
  <c r="N138" i="94" a="1"/>
  <c r="N138" i="94" s="1"/>
  <c r="N139" i="94" a="1"/>
  <c r="N139" i="94" s="1"/>
  <c r="N140" i="94" a="1"/>
  <c r="N140" i="94" s="1"/>
  <c r="N141" i="94" a="1"/>
  <c r="N141" i="94"/>
  <c r="N142" i="94" a="1"/>
  <c r="N142" i="94" s="1"/>
  <c r="N143" i="94" a="1"/>
  <c r="N143" i="94"/>
  <c r="N144" i="94" a="1"/>
  <c r="N144" i="94" s="1"/>
  <c r="N145" i="94" a="1"/>
  <c r="N145" i="94" s="1"/>
  <c r="N146" i="94" a="1"/>
  <c r="N146" i="94" s="1"/>
  <c r="N147" i="94" a="1"/>
  <c r="N147" i="94" s="1"/>
  <c r="N148" i="94" a="1"/>
  <c r="N148" i="94" s="1"/>
  <c r="N149" i="94" a="1"/>
  <c r="N149" i="94" s="1"/>
  <c r="N150" i="94" a="1"/>
  <c r="N150" i="94" s="1"/>
  <c r="N151" i="94" a="1"/>
  <c r="N151" i="94"/>
  <c r="N152" i="94" a="1"/>
  <c r="N152" i="94" s="1"/>
  <c r="N153" i="94" a="1"/>
  <c r="N153" i="94" s="1"/>
  <c r="N154" i="94" a="1"/>
  <c r="N154" i="94" s="1"/>
  <c r="N155" i="94" a="1"/>
  <c r="N155" i="94" s="1"/>
  <c r="N156" i="94" a="1"/>
  <c r="N156" i="94" s="1"/>
  <c r="N157" i="94" a="1"/>
  <c r="N157" i="94"/>
  <c r="N158" i="94" a="1"/>
  <c r="N158" i="94" s="1"/>
  <c r="N159" i="94" a="1"/>
  <c r="N159" i="94"/>
  <c r="N160" i="94" a="1"/>
  <c r="N160" i="94" s="1"/>
  <c r="N161" i="94" a="1"/>
  <c r="N161" i="94" s="1"/>
  <c r="N162" i="94" a="1"/>
  <c r="N162" i="94" s="1"/>
  <c r="Q7" i="94" a="1"/>
  <c r="Q7" i="94" s="1"/>
  <c r="Q8" i="94" a="1"/>
  <c r="Q8" i="94" s="1"/>
  <c r="Q9" i="94" a="1"/>
  <c r="Q9" i="94" s="1"/>
  <c r="Q10" i="94" a="1"/>
  <c r="Q10" i="94" s="1"/>
  <c r="Q11" i="94" a="1"/>
  <c r="Q11" i="94" s="1"/>
  <c r="Q12" i="94" a="1"/>
  <c r="Q12" i="94" s="1"/>
  <c r="Q13" i="94" a="1"/>
  <c r="Q13" i="94" s="1"/>
  <c r="Q14" i="94" a="1"/>
  <c r="Q14" i="94" s="1"/>
  <c r="Q15" i="94" a="1"/>
  <c r="Q15" i="94" s="1"/>
  <c r="Q16" i="94" a="1"/>
  <c r="Q16" i="94" s="1"/>
  <c r="Q17" i="94" a="1"/>
  <c r="Q17" i="94" s="1"/>
  <c r="Q18" i="94" a="1"/>
  <c r="Q18" i="94" s="1"/>
  <c r="Q19" i="94" a="1"/>
  <c r="Q19" i="94" s="1"/>
  <c r="Q20" i="94" a="1"/>
  <c r="Q20" i="94" s="1"/>
  <c r="Q21" i="94" a="1"/>
  <c r="Q21" i="94" s="1"/>
  <c r="Q22" i="94" a="1"/>
  <c r="Q22" i="94" s="1"/>
  <c r="Q23" i="94" a="1"/>
  <c r="Q23" i="94" s="1"/>
  <c r="Q24" i="94" a="1"/>
  <c r="Q24" i="94" s="1"/>
  <c r="Q25" i="94" a="1"/>
  <c r="Q25" i="94" s="1"/>
  <c r="Q26" i="94" a="1"/>
  <c r="Q26" i="94" s="1"/>
  <c r="Q27" i="94" a="1"/>
  <c r="Q27" i="94" s="1"/>
  <c r="Q28" i="94" a="1"/>
  <c r="Q28" i="94" s="1"/>
  <c r="Q29" i="94" a="1"/>
  <c r="Q29" i="94" s="1"/>
  <c r="Q30" i="94" a="1"/>
  <c r="Q30" i="94" s="1"/>
  <c r="Q31" i="94" a="1"/>
  <c r="Q31" i="94" s="1"/>
  <c r="Q32" i="94" a="1"/>
  <c r="Q32" i="94" s="1"/>
  <c r="Q33" i="94" a="1"/>
  <c r="Q33" i="94" s="1"/>
  <c r="Q34" i="94" a="1"/>
  <c r="Q34" i="94" s="1"/>
  <c r="Q35" i="94" a="1"/>
  <c r="Q35" i="94" s="1"/>
  <c r="Q36" i="94" a="1"/>
  <c r="Q36" i="94" s="1"/>
  <c r="Q37" i="94" a="1"/>
  <c r="Q37" i="94" s="1"/>
  <c r="Q38" i="94" a="1"/>
  <c r="Q38" i="94" s="1"/>
  <c r="Q39" i="94" a="1"/>
  <c r="Q39" i="94" s="1"/>
  <c r="Q40" i="94" a="1"/>
  <c r="Q40" i="94" s="1"/>
  <c r="Q41" i="94" a="1"/>
  <c r="Q41" i="94" s="1"/>
  <c r="Q42" i="94" a="1"/>
  <c r="Q42" i="94" s="1"/>
  <c r="Q43" i="94" a="1"/>
  <c r="Q43" i="94"/>
  <c r="Q44" i="94" a="1"/>
  <c r="Q44" i="94" s="1"/>
  <c r="Q45" i="94" a="1"/>
  <c r="Q45" i="94" s="1"/>
  <c r="Q46" i="94" a="1"/>
  <c r="Q46" i="94" s="1"/>
  <c r="Q47" i="94" a="1"/>
  <c r="Q47" i="94" s="1"/>
  <c r="Q48" i="94" a="1"/>
  <c r="Q48" i="94" s="1"/>
  <c r="Q49" i="94" a="1"/>
  <c r="Q49" i="94" s="1"/>
  <c r="Q50" i="94" a="1"/>
  <c r="Q50" i="94" s="1"/>
  <c r="Q51" i="94" a="1"/>
  <c r="Q51" i="94" s="1"/>
  <c r="Q52" i="94" a="1"/>
  <c r="Q52" i="94" s="1"/>
  <c r="Q53" i="94" a="1"/>
  <c r="Q53" i="94" s="1"/>
  <c r="Q54" i="94" a="1"/>
  <c r="Q54" i="94" s="1"/>
  <c r="Q55" i="94" a="1"/>
  <c r="Q55" i="94" s="1"/>
  <c r="Q56" i="94" a="1"/>
  <c r="Q56" i="94" s="1"/>
  <c r="Q57" i="94" a="1"/>
  <c r="Q57" i="94" s="1"/>
  <c r="Q58" i="94" a="1"/>
  <c r="Q58" i="94" s="1"/>
  <c r="Q59" i="94" a="1"/>
  <c r="Q59" i="94"/>
  <c r="Q60" i="94" a="1"/>
  <c r="Q60" i="94" s="1"/>
  <c r="Q61" i="94" a="1"/>
  <c r="Q61" i="94" s="1"/>
  <c r="Q62" i="94" a="1"/>
  <c r="Q62" i="94" s="1"/>
  <c r="Q63" i="94" a="1"/>
  <c r="Q63" i="94" s="1"/>
  <c r="Q64" i="94" a="1"/>
  <c r="Q64" i="94" s="1"/>
  <c r="Q65" i="94" a="1"/>
  <c r="Q65" i="94" s="1"/>
  <c r="Q66" i="94" a="1"/>
  <c r="Q66" i="94" s="1"/>
  <c r="Q67" i="94" a="1"/>
  <c r="Q67" i="94" s="1"/>
  <c r="Q68" i="94" a="1"/>
  <c r="Q68" i="94" s="1"/>
  <c r="Q69" i="94" a="1"/>
  <c r="Q69" i="94" s="1"/>
  <c r="Q70" i="94" a="1"/>
  <c r="Q70" i="94" s="1"/>
  <c r="Q71" i="94" a="1"/>
  <c r="Q71" i="94" s="1"/>
  <c r="Q72" i="94" a="1"/>
  <c r="Q72" i="94" s="1"/>
  <c r="Q73" i="94" a="1"/>
  <c r="Q73" i="94" s="1"/>
  <c r="Q74" i="94" a="1"/>
  <c r="Q74" i="94" s="1"/>
  <c r="Q75" i="94" a="1"/>
  <c r="Q75" i="94" s="1"/>
  <c r="Q76" i="94" a="1"/>
  <c r="Q76" i="94" s="1"/>
  <c r="Q77" i="94" a="1"/>
  <c r="Q77" i="94" s="1"/>
  <c r="Q78" i="94" a="1"/>
  <c r="Q78" i="94" s="1"/>
  <c r="Q79" i="94" a="1"/>
  <c r="Q79" i="94" s="1"/>
  <c r="Q80" i="94" a="1"/>
  <c r="Q80" i="94" s="1"/>
  <c r="Q81" i="94" a="1"/>
  <c r="Q81" i="94" s="1"/>
  <c r="Q82" i="94" a="1"/>
  <c r="Q82" i="94" s="1"/>
  <c r="Q83" i="94" a="1"/>
  <c r="Q83" i="94" s="1"/>
  <c r="Q84" i="94" a="1"/>
  <c r="Q84" i="94" s="1"/>
  <c r="Q85" i="94" a="1"/>
  <c r="Q85" i="94" s="1"/>
  <c r="Q86" i="94" a="1"/>
  <c r="Q86" i="94" s="1"/>
  <c r="Q87" i="94" a="1"/>
  <c r="Q87" i="94" s="1"/>
  <c r="Q88" i="94" a="1"/>
  <c r="Q88" i="94" s="1"/>
  <c r="Q89" i="94" a="1"/>
  <c r="Q89" i="94" s="1"/>
  <c r="Q90" i="94" a="1"/>
  <c r="Q90" i="94" s="1"/>
  <c r="Q91" i="94" a="1"/>
  <c r="Q91" i="94" s="1"/>
  <c r="Q92" i="94" a="1"/>
  <c r="Q92" i="94" s="1"/>
  <c r="Q93" i="94" a="1"/>
  <c r="Q93" i="94" s="1"/>
  <c r="Q94" i="94" a="1"/>
  <c r="Q94" i="94" s="1"/>
  <c r="Q95" i="94" a="1"/>
  <c r="Q95" i="94" s="1"/>
  <c r="Q96" i="94" a="1"/>
  <c r="Q96" i="94" s="1"/>
  <c r="Q97" i="94" a="1"/>
  <c r="Q97" i="94"/>
  <c r="Q98" i="94" a="1"/>
  <c r="Q98" i="94" s="1"/>
  <c r="Q99" i="94" a="1"/>
  <c r="Q99" i="94" s="1"/>
  <c r="Q100" i="94" a="1"/>
  <c r="Q100" i="94" s="1"/>
  <c r="Q101" i="94" a="1"/>
  <c r="Q101" i="94" s="1"/>
  <c r="Q102" i="94" a="1"/>
  <c r="Q102" i="94" s="1"/>
  <c r="Q103" i="94" a="1"/>
  <c r="Q103" i="94" s="1"/>
  <c r="Q104" i="94" a="1"/>
  <c r="Q104" i="94" s="1"/>
  <c r="Q105" i="94" a="1"/>
  <c r="Q105" i="94" s="1"/>
  <c r="Q106" i="94" a="1"/>
  <c r="Q106" i="94" s="1"/>
  <c r="Q107" i="94" a="1"/>
  <c r="Q107" i="94" s="1"/>
  <c r="Q108" i="94" a="1"/>
  <c r="Q108" i="94" s="1"/>
  <c r="Q109" i="94" a="1"/>
  <c r="Q109" i="94" s="1"/>
  <c r="Q110" i="94" a="1"/>
  <c r="Q110" i="94" s="1"/>
  <c r="Q111" i="94" a="1"/>
  <c r="Q111" i="94" s="1"/>
  <c r="Q112" i="94" a="1"/>
  <c r="Q112" i="94" s="1"/>
  <c r="Q113" i="94" a="1"/>
  <c r="Q113" i="94" s="1"/>
  <c r="Q114" i="94" a="1"/>
  <c r="Q114" i="94" s="1"/>
  <c r="Q115" i="94" a="1"/>
  <c r="Q115" i="94" s="1"/>
  <c r="Q116" i="94" a="1"/>
  <c r="Q116" i="94" s="1"/>
  <c r="Q117" i="94" a="1"/>
  <c r="Q117" i="94" s="1"/>
  <c r="Q118" i="94" a="1"/>
  <c r="Q118" i="94" s="1"/>
  <c r="Q119" i="94" a="1"/>
  <c r="Q119" i="94" s="1"/>
  <c r="Q120" i="94" a="1"/>
  <c r="Q120" i="94" s="1"/>
  <c r="Q121" i="94" a="1"/>
  <c r="Q121" i="94" s="1"/>
  <c r="Q122" i="94" a="1"/>
  <c r="Q122" i="94" s="1"/>
  <c r="Q123" i="94" a="1"/>
  <c r="Q123" i="94" s="1"/>
  <c r="Q124" i="94" a="1"/>
  <c r="Q124" i="94" s="1"/>
  <c r="Q125" i="94" a="1"/>
  <c r="Q125" i="94" s="1"/>
  <c r="Q126" i="94" a="1"/>
  <c r="Q126" i="94" s="1"/>
  <c r="Q127" i="94" a="1"/>
  <c r="Q127" i="94" s="1"/>
  <c r="Q128" i="94" a="1"/>
  <c r="Q128" i="94" s="1"/>
  <c r="Q129" i="94" a="1"/>
  <c r="Q129" i="94" s="1"/>
  <c r="Q130" i="94" a="1"/>
  <c r="Q130" i="94" s="1"/>
  <c r="Q131" i="94" a="1"/>
  <c r="Q131" i="94" s="1"/>
  <c r="Q132" i="94" a="1"/>
  <c r="Q132" i="94" s="1"/>
  <c r="Q133" i="94" a="1"/>
  <c r="Q133" i="94" s="1"/>
  <c r="Q134" i="94" a="1"/>
  <c r="Q134" i="94" s="1"/>
  <c r="Q135" i="94" a="1"/>
  <c r="Q135" i="94" s="1"/>
  <c r="Q136" i="94" a="1"/>
  <c r="Q136" i="94" s="1"/>
  <c r="Q137" i="94" a="1"/>
  <c r="Q137" i="94" s="1"/>
  <c r="Q138" i="94" a="1"/>
  <c r="Q138" i="94" s="1"/>
  <c r="Q139" i="94" a="1"/>
  <c r="Q139" i="94" s="1"/>
  <c r="Q140" i="94" a="1"/>
  <c r="Q140" i="94" s="1"/>
  <c r="Q141" i="94" a="1"/>
  <c r="Q141" i="94" s="1"/>
  <c r="Q142" i="94" a="1"/>
  <c r="Q142" i="94" s="1"/>
  <c r="Q143" i="94" a="1"/>
  <c r="Q143" i="94" s="1"/>
  <c r="Q144" i="94" a="1"/>
  <c r="Q144" i="94" s="1"/>
  <c r="Q145" i="94" a="1"/>
  <c r="Q145" i="94" s="1"/>
  <c r="Q146" i="94" a="1"/>
  <c r="Q146" i="94" s="1"/>
  <c r="Q147" i="94" a="1"/>
  <c r="Q147" i="94" s="1"/>
  <c r="Q148" i="94" a="1"/>
  <c r="Q148" i="94" s="1"/>
  <c r="Q149" i="94" a="1"/>
  <c r="Q149" i="94" s="1"/>
  <c r="Q150" i="94" a="1"/>
  <c r="Q150" i="94" s="1"/>
  <c r="Q151" i="94" a="1"/>
  <c r="Q151" i="94" s="1"/>
  <c r="Q152" i="94" a="1"/>
  <c r="Q152" i="94" s="1"/>
  <c r="Q153" i="94" a="1"/>
  <c r="Q153" i="94" s="1"/>
  <c r="Q154" i="94" a="1"/>
  <c r="Q154" i="94" s="1"/>
  <c r="Q155" i="94" a="1"/>
  <c r="Q155" i="94" s="1"/>
  <c r="Q156" i="94" a="1"/>
  <c r="Q156" i="94" s="1"/>
  <c r="Q157" i="94" a="1"/>
  <c r="Q157" i="94" s="1"/>
  <c r="Q158" i="94" a="1"/>
  <c r="Q158" i="94" s="1"/>
  <c r="Q159" i="94" a="1"/>
  <c r="Q159" i="94" s="1"/>
  <c r="Q160" i="94" a="1"/>
  <c r="Q160" i="94" s="1"/>
  <c r="Q161" i="94" a="1"/>
  <c r="Q161" i="94" s="1"/>
  <c r="Q162" i="94" a="1"/>
  <c r="Q162" i="94" s="1"/>
  <c r="AA7" i="94" a="1"/>
  <c r="AA7" i="94" s="1"/>
  <c r="AA8" i="94" a="1"/>
  <c r="AA8" i="94" s="1"/>
  <c r="AA9" i="94" a="1"/>
  <c r="AA9" i="94" s="1"/>
  <c r="AA10" i="94" a="1"/>
  <c r="AA10" i="94" s="1"/>
  <c r="AA11" i="94" a="1"/>
  <c r="AA11" i="94" s="1"/>
  <c r="AA12" i="94" a="1"/>
  <c r="AA12" i="94" s="1"/>
  <c r="AA13" i="94" a="1"/>
  <c r="AA13" i="94" s="1"/>
  <c r="AA14" i="94" a="1"/>
  <c r="AA14" i="94" s="1"/>
  <c r="AA15" i="94" a="1"/>
  <c r="AA15" i="94" s="1"/>
  <c r="AA16" i="94" a="1"/>
  <c r="AA16" i="94" s="1"/>
  <c r="AA17" i="94" a="1"/>
  <c r="AA17" i="94" s="1"/>
  <c r="AA18" i="94" a="1"/>
  <c r="AA18" i="94" s="1"/>
  <c r="AA19" i="94" a="1"/>
  <c r="AA19" i="94" s="1"/>
  <c r="AA20" i="94" a="1"/>
  <c r="AA20" i="94" s="1"/>
  <c r="AA21" i="94" a="1"/>
  <c r="AA21" i="94" s="1"/>
  <c r="AA22" i="94" a="1"/>
  <c r="AA22" i="94" s="1"/>
  <c r="AA23" i="94" a="1"/>
  <c r="AA23" i="94" s="1"/>
  <c r="AA24" i="94" a="1"/>
  <c r="AA24" i="94" s="1"/>
  <c r="AA25" i="94" a="1"/>
  <c r="AA25" i="94" s="1"/>
  <c r="AA26" i="94" a="1"/>
  <c r="AA26" i="94" s="1"/>
  <c r="AA27" i="94" a="1"/>
  <c r="AA27" i="94" s="1"/>
  <c r="AA28" i="94" a="1"/>
  <c r="AA28" i="94" s="1"/>
  <c r="AA29" i="94" a="1"/>
  <c r="AA29" i="94" s="1"/>
  <c r="AA30" i="94" a="1"/>
  <c r="AA30" i="94" s="1"/>
  <c r="AA31" i="94" a="1"/>
  <c r="AA31" i="94" s="1"/>
  <c r="AA32" i="94" a="1"/>
  <c r="AA32" i="94" s="1"/>
  <c r="AA33" i="94" a="1"/>
  <c r="AA33" i="94" s="1"/>
  <c r="AA34" i="94" a="1"/>
  <c r="AA34" i="94" s="1"/>
  <c r="AA35" i="94" a="1"/>
  <c r="AA35" i="94" s="1"/>
  <c r="AA36" i="94" a="1"/>
  <c r="AA36" i="94" s="1"/>
  <c r="AA37" i="94" a="1"/>
  <c r="AA37" i="94" s="1"/>
  <c r="AA38" i="94" a="1"/>
  <c r="AA38" i="94" s="1"/>
  <c r="AA39" i="94" a="1"/>
  <c r="AA39" i="94" s="1"/>
  <c r="AA40" i="94" a="1"/>
  <c r="AA40" i="94" s="1"/>
  <c r="AA41" i="94" a="1"/>
  <c r="AA41" i="94" s="1"/>
  <c r="AA42" i="94" a="1"/>
  <c r="AA42" i="94" s="1"/>
  <c r="AA43" i="94" a="1"/>
  <c r="AA43" i="94" s="1"/>
  <c r="AA44" i="94" a="1"/>
  <c r="AA44" i="94" s="1"/>
  <c r="AA45" i="94" a="1"/>
  <c r="AA45" i="94" s="1"/>
  <c r="AA46" i="94" a="1"/>
  <c r="AA46" i="94" s="1"/>
  <c r="AA47" i="94" a="1"/>
  <c r="AA47" i="94" s="1"/>
  <c r="AA48" i="94" a="1"/>
  <c r="AA48" i="94" s="1"/>
  <c r="AA49" i="94" a="1"/>
  <c r="AA49" i="94" s="1"/>
  <c r="AA50" i="94" a="1"/>
  <c r="AA50" i="94" s="1"/>
  <c r="AA51" i="94" a="1"/>
  <c r="AA51" i="94" s="1"/>
  <c r="AA52" i="94" a="1"/>
  <c r="AA52" i="94" s="1"/>
  <c r="AA53" i="94" a="1"/>
  <c r="AA53" i="94" s="1"/>
  <c r="AA54" i="94" a="1"/>
  <c r="AA54" i="94" s="1"/>
  <c r="AA55" i="94" a="1"/>
  <c r="AA55" i="94" s="1"/>
  <c r="AA56" i="94" a="1"/>
  <c r="AA56" i="94" s="1"/>
  <c r="AA57" i="94" a="1"/>
  <c r="AA57" i="94" s="1"/>
  <c r="AA58" i="94" a="1"/>
  <c r="AA58" i="94" s="1"/>
  <c r="AA59" i="94" a="1"/>
  <c r="AA59" i="94" s="1"/>
  <c r="AA60" i="94" a="1"/>
  <c r="AA60" i="94" s="1"/>
  <c r="AA61" i="94" a="1"/>
  <c r="AA61" i="94" s="1"/>
  <c r="AA62" i="94" a="1"/>
  <c r="AA62" i="94" s="1"/>
  <c r="AA63" i="94" a="1"/>
  <c r="AA63" i="94" s="1"/>
  <c r="AA64" i="94" a="1"/>
  <c r="AA64" i="94" s="1"/>
  <c r="AA65" i="94" a="1"/>
  <c r="AA65" i="94" s="1"/>
  <c r="AA66" i="94" a="1"/>
  <c r="AA66" i="94" s="1"/>
  <c r="AA67" i="94" a="1"/>
  <c r="AA67" i="94" s="1"/>
  <c r="AA68" i="94" a="1"/>
  <c r="AA68" i="94" s="1"/>
  <c r="AA69" i="94" a="1"/>
  <c r="AA69" i="94" s="1"/>
  <c r="AA70" i="94" a="1"/>
  <c r="AA70" i="94" s="1"/>
  <c r="AA71" i="94" a="1"/>
  <c r="AA71" i="94" s="1"/>
  <c r="AA72" i="94" a="1"/>
  <c r="AA72" i="94" s="1"/>
  <c r="AA73" i="94" a="1"/>
  <c r="AA73" i="94" s="1"/>
  <c r="AA74" i="94" a="1"/>
  <c r="AA74" i="94" s="1"/>
  <c r="AA75" i="94" a="1"/>
  <c r="AA75" i="94" s="1"/>
  <c r="AA76" i="94" a="1"/>
  <c r="AA76" i="94" s="1"/>
  <c r="AA77" i="94" a="1"/>
  <c r="AA77" i="94" s="1"/>
  <c r="AA78" i="94" a="1"/>
  <c r="AA78" i="94" s="1"/>
  <c r="AA79" i="94" a="1"/>
  <c r="AA79" i="94" s="1"/>
  <c r="AA80" i="94" a="1"/>
  <c r="AA80" i="94" s="1"/>
  <c r="AA81" i="94" a="1"/>
  <c r="AA81" i="94" s="1"/>
  <c r="AA82" i="94" a="1"/>
  <c r="AA82" i="94" s="1"/>
  <c r="AA83" i="94" a="1"/>
  <c r="AA83" i="94" s="1"/>
  <c r="AA84" i="94" a="1"/>
  <c r="AA84" i="94" s="1"/>
  <c r="AA85" i="94" a="1"/>
  <c r="AA85" i="94" s="1"/>
  <c r="AA86" i="94" a="1"/>
  <c r="AA86" i="94" s="1"/>
  <c r="AA87" i="94" a="1"/>
  <c r="AA87" i="94" s="1"/>
  <c r="AA88" i="94" a="1"/>
  <c r="AA88" i="94" s="1"/>
  <c r="AA89" i="94" a="1"/>
  <c r="AA89" i="94" s="1"/>
  <c r="AA90" i="94" a="1"/>
  <c r="AA90" i="94" s="1"/>
  <c r="AA91" i="94" a="1"/>
  <c r="AA91" i="94" s="1"/>
  <c r="AA92" i="94" a="1"/>
  <c r="AA92" i="94" s="1"/>
  <c r="AA93" i="94" a="1"/>
  <c r="AA93" i="94" s="1"/>
  <c r="AA94" i="94" a="1"/>
  <c r="AA94" i="94" s="1"/>
  <c r="AA95" i="94" a="1"/>
  <c r="AA95" i="94" s="1"/>
  <c r="AA96" i="94" a="1"/>
  <c r="AA96" i="94" s="1"/>
  <c r="AA97" i="94" a="1"/>
  <c r="AA97" i="94" s="1"/>
  <c r="AA98" i="94" a="1"/>
  <c r="AA98" i="94" s="1"/>
  <c r="AA99" i="94" a="1"/>
  <c r="AA99" i="94" s="1"/>
  <c r="AA100" i="94" a="1"/>
  <c r="AA100" i="94" s="1"/>
  <c r="AA101" i="94" a="1"/>
  <c r="AA101" i="94" s="1"/>
  <c r="AA102" i="94" a="1"/>
  <c r="AA102" i="94" s="1"/>
  <c r="AA103" i="94" a="1"/>
  <c r="AA103" i="94" s="1"/>
  <c r="AA104" i="94" a="1"/>
  <c r="AA104" i="94" s="1"/>
  <c r="AA105" i="94" a="1"/>
  <c r="AA105" i="94" s="1"/>
  <c r="AA106" i="94" a="1"/>
  <c r="AA106" i="94" s="1"/>
  <c r="AA107" i="94" a="1"/>
  <c r="AA107" i="94" s="1"/>
  <c r="AA108" i="94" a="1"/>
  <c r="AA108" i="94" s="1"/>
  <c r="AA109" i="94" a="1"/>
  <c r="AA109" i="94" s="1"/>
  <c r="AA110" i="94" a="1"/>
  <c r="AA110" i="94" s="1"/>
  <c r="AA111" i="94" a="1"/>
  <c r="AA111" i="94" s="1"/>
  <c r="AA112" i="94" a="1"/>
  <c r="AA112" i="94" s="1"/>
  <c r="AA113" i="94" a="1"/>
  <c r="AA113" i="94" s="1"/>
  <c r="AA114" i="94" a="1"/>
  <c r="AA114" i="94" s="1"/>
  <c r="AA115" i="94" a="1"/>
  <c r="AA115" i="94" s="1"/>
  <c r="AA116" i="94" a="1"/>
  <c r="AA116" i="94" s="1"/>
  <c r="AA117" i="94" a="1"/>
  <c r="AA117" i="94" s="1"/>
  <c r="AA118" i="94" a="1"/>
  <c r="AA118" i="94" s="1"/>
  <c r="AA119" i="94" a="1"/>
  <c r="AA119" i="94" s="1"/>
  <c r="AA120" i="94" a="1"/>
  <c r="AA120" i="94" s="1"/>
  <c r="AA121" i="94" a="1"/>
  <c r="AA121" i="94" s="1"/>
  <c r="AA122" i="94" a="1"/>
  <c r="AA122" i="94" s="1"/>
  <c r="AA123" i="94" a="1"/>
  <c r="AA123" i="94" s="1"/>
  <c r="AA124" i="94" a="1"/>
  <c r="AA124" i="94" s="1"/>
  <c r="AA125" i="94" a="1"/>
  <c r="AA125" i="94" s="1"/>
  <c r="AA126" i="94" a="1"/>
  <c r="AA126" i="94" s="1"/>
  <c r="AA127" i="94" a="1"/>
  <c r="AA127" i="94" s="1"/>
  <c r="AA128" i="94" a="1"/>
  <c r="AA128" i="94" s="1"/>
  <c r="AA129" i="94" a="1"/>
  <c r="AA129" i="94" s="1"/>
  <c r="AA130" i="94" a="1"/>
  <c r="AA130" i="94" s="1"/>
  <c r="AA131" i="94" a="1"/>
  <c r="AA131" i="94" s="1"/>
  <c r="AA132" i="94" a="1"/>
  <c r="AA132" i="94" s="1"/>
  <c r="AA133" i="94" a="1"/>
  <c r="AA133" i="94" s="1"/>
  <c r="AA134" i="94" a="1"/>
  <c r="AA134" i="94" s="1"/>
  <c r="AA135" i="94" a="1"/>
  <c r="AA135" i="94" s="1"/>
  <c r="AA136" i="94" a="1"/>
  <c r="AA136" i="94" s="1"/>
  <c r="AA137" i="94" a="1"/>
  <c r="AA137" i="94" s="1"/>
  <c r="AA138" i="94" a="1"/>
  <c r="AA138" i="94" s="1"/>
  <c r="AA139" i="94" a="1"/>
  <c r="AA139" i="94" s="1"/>
  <c r="AA140" i="94" a="1"/>
  <c r="AA140" i="94" s="1"/>
  <c r="AA141" i="94" a="1"/>
  <c r="AA141" i="94" s="1"/>
  <c r="AA142" i="94" a="1"/>
  <c r="AA142" i="94" s="1"/>
  <c r="AA143" i="94" a="1"/>
  <c r="AA143" i="94" s="1"/>
  <c r="AA144" i="94" a="1"/>
  <c r="AA144" i="94" s="1"/>
  <c r="AA145" i="94" a="1"/>
  <c r="AA145" i="94" s="1"/>
  <c r="AA146" i="94" a="1"/>
  <c r="AA146" i="94" s="1"/>
  <c r="AA147" i="94" a="1"/>
  <c r="AA147" i="94" s="1"/>
  <c r="AA148" i="94" a="1"/>
  <c r="AA148" i="94" s="1"/>
  <c r="AA149" i="94" a="1"/>
  <c r="AA149" i="94" s="1"/>
  <c r="AA150" i="94" a="1"/>
  <c r="AA150" i="94" s="1"/>
  <c r="AA151" i="94" a="1"/>
  <c r="AA151" i="94" s="1"/>
  <c r="AA152" i="94" a="1"/>
  <c r="AA152" i="94" s="1"/>
  <c r="AA153" i="94" a="1"/>
  <c r="AA153" i="94" s="1"/>
  <c r="AA154" i="94" a="1"/>
  <c r="AA154" i="94" s="1"/>
  <c r="AA155" i="94" a="1"/>
  <c r="AA155" i="94" s="1"/>
  <c r="AA156" i="94" a="1"/>
  <c r="AA156" i="94" s="1"/>
  <c r="AA157" i="94" a="1"/>
  <c r="AA157" i="94" s="1"/>
  <c r="AA158" i="94" a="1"/>
  <c r="AA158" i="94" s="1"/>
  <c r="AA159" i="94" a="1"/>
  <c r="AA159" i="94" s="1"/>
  <c r="AA160" i="94" a="1"/>
  <c r="AA160" i="94" s="1"/>
  <c r="AA161" i="94" a="1"/>
  <c r="AA161" i="94" s="1"/>
  <c r="AA162" i="94" a="1"/>
  <c r="AA162" i="94" s="1"/>
  <c r="A8" i="93"/>
  <c r="A9" i="93"/>
  <c r="A10" i="93"/>
  <c r="A11" i="93"/>
  <c r="A12" i="93"/>
  <c r="A13" i="93"/>
  <c r="A14" i="93"/>
  <c r="A15" i="93"/>
  <c r="A16" i="93"/>
  <c r="A17" i="93"/>
  <c r="A18" i="93"/>
  <c r="A19" i="93"/>
  <c r="A20" i="93"/>
  <c r="A21" i="93"/>
  <c r="A22" i="93"/>
  <c r="A23" i="93"/>
  <c r="A24" i="93"/>
  <c r="A25" i="93"/>
  <c r="A26" i="93"/>
  <c r="A27" i="93"/>
  <c r="A28" i="93"/>
  <c r="A29" i="93"/>
  <c r="A30" i="93"/>
  <c r="A31" i="93"/>
  <c r="A32" i="93"/>
  <c r="A33" i="93"/>
  <c r="A34" i="93"/>
  <c r="A35" i="93"/>
  <c r="A36" i="93"/>
  <c r="A37" i="93"/>
  <c r="A38" i="93"/>
  <c r="A39" i="93"/>
  <c r="A40" i="93"/>
  <c r="A41" i="93"/>
  <c r="A42" i="93"/>
  <c r="A43" i="93"/>
  <c r="A44" i="93"/>
  <c r="A45" i="93"/>
  <c r="A46" i="93"/>
  <c r="A47" i="93"/>
  <c r="A48" i="93"/>
  <c r="A49" i="93"/>
  <c r="A50" i="93"/>
  <c r="A51" i="93"/>
  <c r="A52" i="93"/>
  <c r="A53" i="93"/>
  <c r="A54" i="93"/>
  <c r="A55" i="93"/>
  <c r="A56" i="93"/>
  <c r="A57" i="93"/>
  <c r="A58" i="93"/>
  <c r="A59" i="93"/>
  <c r="A60" i="93"/>
  <c r="A61" i="93"/>
  <c r="A62" i="93"/>
  <c r="A63" i="93"/>
  <c r="A64" i="93"/>
  <c r="A65" i="93"/>
  <c r="A66" i="93"/>
  <c r="A67" i="93"/>
  <c r="A68" i="93"/>
  <c r="A69" i="93"/>
  <c r="A70" i="93"/>
  <c r="A71" i="93"/>
  <c r="A72" i="93"/>
  <c r="A73" i="93"/>
  <c r="A74" i="93"/>
  <c r="A75" i="93"/>
  <c r="A76" i="93"/>
  <c r="A77" i="93"/>
  <c r="A78" i="93"/>
  <c r="A79" i="93"/>
  <c r="A80" i="93"/>
  <c r="A81" i="93"/>
  <c r="A82" i="93"/>
  <c r="A83" i="93"/>
  <c r="A84" i="93"/>
  <c r="A85" i="93"/>
  <c r="A86" i="93"/>
  <c r="A87" i="93"/>
  <c r="A88" i="93"/>
  <c r="A89" i="93"/>
  <c r="A90" i="93"/>
  <c r="A91" i="93"/>
  <c r="A92" i="93"/>
  <c r="A93" i="93"/>
  <c r="A94" i="93"/>
  <c r="A95" i="93"/>
  <c r="A96" i="93"/>
  <c r="A97" i="93"/>
  <c r="A98" i="93"/>
  <c r="A99" i="93"/>
  <c r="A100" i="93"/>
  <c r="A101" i="93"/>
  <c r="A102" i="93"/>
  <c r="A103" i="93"/>
  <c r="A104" i="93"/>
  <c r="A105" i="93"/>
  <c r="A106" i="93"/>
  <c r="A107" i="93"/>
  <c r="A108" i="93"/>
  <c r="A109" i="93"/>
  <c r="A110" i="93"/>
  <c r="A111" i="93"/>
  <c r="A112" i="93"/>
  <c r="A113" i="93"/>
  <c r="A114" i="93"/>
  <c r="A115" i="93"/>
  <c r="A116" i="93"/>
  <c r="A117" i="93"/>
  <c r="A118" i="93"/>
  <c r="A119" i="93"/>
  <c r="A120" i="93"/>
  <c r="A121" i="93"/>
  <c r="A122" i="93"/>
  <c r="A123" i="93"/>
  <c r="A124" i="93"/>
  <c r="A125" i="93"/>
  <c r="A126" i="93"/>
  <c r="A127" i="93"/>
  <c r="A128" i="93"/>
  <c r="A129" i="93"/>
  <c r="A130" i="93"/>
  <c r="A131" i="93"/>
  <c r="A132" i="93"/>
  <c r="A133" i="93"/>
  <c r="A134" i="93"/>
  <c r="A135" i="93"/>
  <c r="A136" i="93"/>
  <c r="A137" i="93"/>
  <c r="A138" i="93"/>
  <c r="A139" i="93"/>
  <c r="A140" i="93"/>
  <c r="A141" i="93"/>
  <c r="A142" i="93"/>
  <c r="A143" i="93"/>
  <c r="A144" i="93"/>
  <c r="A145" i="93"/>
  <c r="A146" i="93"/>
  <c r="A147" i="93"/>
  <c r="A148" i="93"/>
  <c r="A149" i="93"/>
  <c r="A150" i="93"/>
  <c r="A151" i="93"/>
  <c r="A152" i="93"/>
  <c r="A153" i="93"/>
  <c r="A154" i="93"/>
  <c r="A155" i="93"/>
  <c r="A156" i="93"/>
  <c r="A157" i="93"/>
  <c r="A158" i="93"/>
  <c r="A159" i="93"/>
  <c r="A160" i="93"/>
  <c r="A161" i="93"/>
  <c r="A162" i="93"/>
  <c r="W8" i="93"/>
  <c r="W9" i="93"/>
  <c r="W10" i="93"/>
  <c r="W11" i="93"/>
  <c r="W12" i="93"/>
  <c r="W13" i="93"/>
  <c r="W14" i="93"/>
  <c r="W15" i="93"/>
  <c r="W16" i="93"/>
  <c r="W17" i="93"/>
  <c r="W18" i="93"/>
  <c r="W19" i="93"/>
  <c r="W20" i="93"/>
  <c r="W21" i="93"/>
  <c r="W22" i="93"/>
  <c r="W23" i="93"/>
  <c r="W24" i="93"/>
  <c r="W25" i="93"/>
  <c r="W26" i="93"/>
  <c r="W27" i="93"/>
  <c r="W28" i="93"/>
  <c r="W29" i="93"/>
  <c r="W30" i="93"/>
  <c r="W31" i="93"/>
  <c r="W32" i="93"/>
  <c r="W33" i="93"/>
  <c r="W34" i="93"/>
  <c r="W35" i="93"/>
  <c r="W36" i="93"/>
  <c r="W37" i="93"/>
  <c r="W38" i="93"/>
  <c r="W39" i="93"/>
  <c r="W40" i="93"/>
  <c r="W41" i="93"/>
  <c r="W42" i="93"/>
  <c r="W43" i="93"/>
  <c r="W44" i="93"/>
  <c r="W45" i="93"/>
  <c r="W46" i="93"/>
  <c r="W47" i="93"/>
  <c r="W48" i="93"/>
  <c r="W49" i="93"/>
  <c r="W50" i="93"/>
  <c r="W51" i="93"/>
  <c r="W52" i="93"/>
  <c r="W53" i="93"/>
  <c r="W54" i="93"/>
  <c r="W55" i="93"/>
  <c r="W56" i="93"/>
  <c r="W57" i="93"/>
  <c r="W58" i="93"/>
  <c r="W59" i="93"/>
  <c r="W60" i="93"/>
  <c r="W61" i="93"/>
  <c r="W62" i="93"/>
  <c r="W63" i="93"/>
  <c r="W64" i="93"/>
  <c r="W65" i="93"/>
  <c r="W66" i="93"/>
  <c r="W67" i="93"/>
  <c r="W68" i="93"/>
  <c r="W69" i="93"/>
  <c r="W70" i="93"/>
  <c r="W71" i="93"/>
  <c r="W72" i="93"/>
  <c r="W73" i="93"/>
  <c r="W74" i="93"/>
  <c r="W75" i="93"/>
  <c r="W76" i="93"/>
  <c r="W77" i="93"/>
  <c r="W78" i="93"/>
  <c r="W79" i="93"/>
  <c r="W80" i="93"/>
  <c r="W81" i="93"/>
  <c r="W82" i="93"/>
  <c r="W83" i="93"/>
  <c r="W84" i="93"/>
  <c r="W85" i="93"/>
  <c r="W86" i="93"/>
  <c r="W87" i="93"/>
  <c r="W88" i="93"/>
  <c r="W89" i="93"/>
  <c r="W90" i="93"/>
  <c r="W91" i="93"/>
  <c r="W92" i="93"/>
  <c r="W93" i="93"/>
  <c r="W94" i="93"/>
  <c r="W95" i="93"/>
  <c r="W96" i="93"/>
  <c r="W97" i="93"/>
  <c r="W98" i="93"/>
  <c r="W99" i="93"/>
  <c r="W100" i="93"/>
  <c r="W101" i="93"/>
  <c r="W102" i="93"/>
  <c r="W103" i="93"/>
  <c r="W104" i="93"/>
  <c r="W105" i="93"/>
  <c r="W106" i="93"/>
  <c r="W107" i="93"/>
  <c r="W108" i="93"/>
  <c r="W109" i="93"/>
  <c r="W110" i="93"/>
  <c r="W111" i="93"/>
  <c r="W112" i="93"/>
  <c r="W113" i="93"/>
  <c r="W114" i="93"/>
  <c r="W115" i="93"/>
  <c r="W116" i="93"/>
  <c r="W117" i="93"/>
  <c r="W118" i="93"/>
  <c r="W119" i="93"/>
  <c r="W120" i="93"/>
  <c r="W121" i="93"/>
  <c r="W122" i="93"/>
  <c r="W123" i="93"/>
  <c r="W124" i="93"/>
  <c r="W125" i="93"/>
  <c r="W126" i="93"/>
  <c r="W127" i="93"/>
  <c r="W128" i="93"/>
  <c r="W129" i="93"/>
  <c r="W130" i="93"/>
  <c r="W131" i="93"/>
  <c r="W132" i="93"/>
  <c r="W133" i="93"/>
  <c r="W134" i="93"/>
  <c r="W135" i="93"/>
  <c r="W136" i="93"/>
  <c r="W137" i="93"/>
  <c r="W138" i="93"/>
  <c r="W139" i="93"/>
  <c r="W140" i="93"/>
  <c r="W141" i="93"/>
  <c r="W142" i="93"/>
  <c r="W143" i="93"/>
  <c r="W144" i="93"/>
  <c r="W145" i="93"/>
  <c r="W146" i="93"/>
  <c r="W147" i="93"/>
  <c r="W148" i="93"/>
  <c r="W149" i="93"/>
  <c r="W150" i="93"/>
  <c r="W151" i="93"/>
  <c r="W152" i="93"/>
  <c r="W153" i="93"/>
  <c r="W154" i="93"/>
  <c r="W155" i="93"/>
  <c r="W156" i="93"/>
  <c r="W157" i="93"/>
  <c r="W158" i="93"/>
  <c r="W159" i="93"/>
  <c r="W160" i="93"/>
  <c r="W161" i="93"/>
  <c r="W162" i="93"/>
  <c r="X8" i="93"/>
  <c r="X9" i="93"/>
  <c r="X10" i="93"/>
  <c r="X11" i="93"/>
  <c r="X12" i="93"/>
  <c r="X13" i="93"/>
  <c r="X14" i="93"/>
  <c r="X15" i="93"/>
  <c r="X16" i="93"/>
  <c r="X17" i="93"/>
  <c r="X18" i="93"/>
  <c r="X19" i="93"/>
  <c r="X20" i="93"/>
  <c r="X21" i="93"/>
  <c r="X22" i="93"/>
  <c r="X23" i="93"/>
  <c r="X24" i="93"/>
  <c r="X25" i="93"/>
  <c r="X26" i="93"/>
  <c r="X27" i="93"/>
  <c r="X28" i="93"/>
  <c r="X29" i="93"/>
  <c r="X30" i="93"/>
  <c r="X31" i="93"/>
  <c r="X32" i="93"/>
  <c r="X33" i="93"/>
  <c r="X34" i="93"/>
  <c r="X35" i="93"/>
  <c r="X36" i="93"/>
  <c r="X37" i="93"/>
  <c r="X38" i="93"/>
  <c r="X39" i="93"/>
  <c r="X40" i="93"/>
  <c r="X41" i="93"/>
  <c r="X42" i="93"/>
  <c r="X43" i="93"/>
  <c r="X44" i="93"/>
  <c r="X45" i="93"/>
  <c r="X46" i="93"/>
  <c r="X47" i="93"/>
  <c r="X48" i="93"/>
  <c r="X49" i="93"/>
  <c r="X50" i="93"/>
  <c r="X51" i="93"/>
  <c r="X52" i="93"/>
  <c r="X53" i="93"/>
  <c r="X54" i="93"/>
  <c r="X55" i="93"/>
  <c r="X56" i="93"/>
  <c r="X57" i="93"/>
  <c r="X58" i="93"/>
  <c r="X59" i="93"/>
  <c r="X60" i="93"/>
  <c r="X61" i="93"/>
  <c r="X62" i="93"/>
  <c r="X63" i="93"/>
  <c r="X64" i="93"/>
  <c r="X65" i="93"/>
  <c r="X66" i="93"/>
  <c r="X67" i="93"/>
  <c r="X68" i="93"/>
  <c r="X69" i="93"/>
  <c r="X70" i="93"/>
  <c r="X71" i="93"/>
  <c r="X72" i="93"/>
  <c r="X73" i="93"/>
  <c r="X74" i="93"/>
  <c r="X75" i="93"/>
  <c r="X76" i="93"/>
  <c r="X77" i="93"/>
  <c r="X78" i="93"/>
  <c r="X79" i="93"/>
  <c r="X80" i="93"/>
  <c r="X81" i="93"/>
  <c r="X82" i="93"/>
  <c r="X83" i="93"/>
  <c r="X84" i="93"/>
  <c r="X85" i="93"/>
  <c r="X86" i="93"/>
  <c r="X87" i="93"/>
  <c r="X88" i="93"/>
  <c r="X89" i="93"/>
  <c r="X90" i="93"/>
  <c r="X91" i="93"/>
  <c r="X92" i="93"/>
  <c r="X93" i="93"/>
  <c r="X94" i="93"/>
  <c r="X95" i="93"/>
  <c r="X96" i="93"/>
  <c r="X97" i="93"/>
  <c r="X98" i="93"/>
  <c r="X99" i="93"/>
  <c r="X100" i="93"/>
  <c r="X101" i="93"/>
  <c r="X102" i="93"/>
  <c r="X103" i="93"/>
  <c r="X104" i="93"/>
  <c r="X105" i="93"/>
  <c r="X106" i="93"/>
  <c r="X107" i="93"/>
  <c r="X108" i="93"/>
  <c r="X109" i="93"/>
  <c r="X110" i="93"/>
  <c r="X111" i="93"/>
  <c r="X112" i="93"/>
  <c r="X113" i="93"/>
  <c r="X114" i="93"/>
  <c r="X115" i="93"/>
  <c r="X116" i="93"/>
  <c r="X117" i="93"/>
  <c r="X118" i="93"/>
  <c r="X119" i="93"/>
  <c r="X120" i="93"/>
  <c r="X121" i="93"/>
  <c r="X122" i="93"/>
  <c r="X123" i="93"/>
  <c r="X124" i="93"/>
  <c r="X125" i="93"/>
  <c r="X126" i="93"/>
  <c r="X127" i="93"/>
  <c r="X128" i="93"/>
  <c r="X129" i="93"/>
  <c r="X130" i="93"/>
  <c r="X131" i="93"/>
  <c r="X132" i="93"/>
  <c r="X133" i="93"/>
  <c r="X134" i="93"/>
  <c r="X135" i="93"/>
  <c r="X136" i="93"/>
  <c r="X137" i="93"/>
  <c r="X138" i="93"/>
  <c r="X139" i="93"/>
  <c r="X140" i="93"/>
  <c r="X141" i="93"/>
  <c r="X142" i="93"/>
  <c r="X143" i="93"/>
  <c r="X144" i="93"/>
  <c r="X145" i="93"/>
  <c r="X146" i="93"/>
  <c r="X147" i="93"/>
  <c r="X148" i="93"/>
  <c r="X149" i="93"/>
  <c r="X150" i="93"/>
  <c r="X151" i="93"/>
  <c r="X152" i="93"/>
  <c r="X153" i="93"/>
  <c r="X154" i="93"/>
  <c r="X155" i="93"/>
  <c r="X156" i="93"/>
  <c r="X157" i="93"/>
  <c r="X158" i="93"/>
  <c r="X159" i="93"/>
  <c r="X160" i="93"/>
  <c r="X161" i="93"/>
  <c r="X162" i="93"/>
  <c r="Y8" i="93"/>
  <c r="Y9" i="93"/>
  <c r="Y10" i="93"/>
  <c r="Y11" i="93"/>
  <c r="Y12" i="93"/>
  <c r="Y13" i="93"/>
  <c r="Y14" i="93"/>
  <c r="Y15" i="93"/>
  <c r="Y16" i="93"/>
  <c r="Y17" i="93"/>
  <c r="Y18" i="93"/>
  <c r="Y19" i="93"/>
  <c r="Y20" i="93"/>
  <c r="Y21" i="93"/>
  <c r="Y22" i="93"/>
  <c r="Y23" i="93"/>
  <c r="Y24" i="93"/>
  <c r="Y25" i="93"/>
  <c r="Y26" i="93"/>
  <c r="Y27" i="93"/>
  <c r="Y28" i="93"/>
  <c r="Y29" i="93"/>
  <c r="Y30" i="93"/>
  <c r="Y31" i="93"/>
  <c r="Y32" i="93"/>
  <c r="Y33" i="93"/>
  <c r="Y34" i="93"/>
  <c r="Y35" i="93"/>
  <c r="Y36" i="93"/>
  <c r="Y37" i="93"/>
  <c r="Y38" i="93"/>
  <c r="Y39" i="93"/>
  <c r="Y40" i="93"/>
  <c r="Y41" i="93"/>
  <c r="Y42" i="93"/>
  <c r="Y43" i="93"/>
  <c r="Y44" i="93"/>
  <c r="Y45" i="93"/>
  <c r="Y46" i="93"/>
  <c r="Y47" i="93"/>
  <c r="Y48" i="93"/>
  <c r="Y49" i="93"/>
  <c r="Y50" i="93"/>
  <c r="Y51" i="93"/>
  <c r="Y52" i="93"/>
  <c r="Y53" i="93"/>
  <c r="Y54" i="93"/>
  <c r="Y55" i="93"/>
  <c r="Y56" i="93"/>
  <c r="Y57" i="93"/>
  <c r="Y58" i="93"/>
  <c r="Y59" i="93"/>
  <c r="Y60" i="93"/>
  <c r="Y61" i="93"/>
  <c r="Y62" i="93"/>
  <c r="Y63" i="93"/>
  <c r="Y64" i="93"/>
  <c r="Y65" i="93"/>
  <c r="Y66" i="93"/>
  <c r="Y67" i="93"/>
  <c r="Y68" i="93"/>
  <c r="Y69" i="93"/>
  <c r="Y70" i="93"/>
  <c r="Y71" i="93"/>
  <c r="Y72" i="93"/>
  <c r="Y73" i="93"/>
  <c r="Y74" i="93"/>
  <c r="Y75" i="93"/>
  <c r="Y76" i="93"/>
  <c r="Y77" i="93"/>
  <c r="Y78" i="93"/>
  <c r="Y79" i="93"/>
  <c r="Y80" i="93"/>
  <c r="Y81" i="93"/>
  <c r="Y82" i="93"/>
  <c r="Y83" i="93"/>
  <c r="Y84" i="93"/>
  <c r="Y85" i="93"/>
  <c r="Y86" i="93"/>
  <c r="Y87" i="93"/>
  <c r="Y88" i="93"/>
  <c r="Y89" i="93"/>
  <c r="Y90" i="93"/>
  <c r="Y91" i="93"/>
  <c r="Y92" i="93"/>
  <c r="Y93" i="93"/>
  <c r="Y94" i="93"/>
  <c r="Y95" i="93"/>
  <c r="Y96" i="93"/>
  <c r="Y97" i="93"/>
  <c r="Y98" i="93"/>
  <c r="Y99" i="93"/>
  <c r="Y100" i="93"/>
  <c r="Y101" i="93"/>
  <c r="Y102" i="93"/>
  <c r="Y103" i="93"/>
  <c r="Y104" i="93"/>
  <c r="Y105" i="93"/>
  <c r="Y106" i="93"/>
  <c r="Y107" i="93"/>
  <c r="Y108" i="93"/>
  <c r="Y109" i="93"/>
  <c r="Y110" i="93"/>
  <c r="Y111" i="93"/>
  <c r="Y112" i="93"/>
  <c r="Y113" i="93"/>
  <c r="Y114" i="93"/>
  <c r="Y115" i="93"/>
  <c r="Y116" i="93"/>
  <c r="Y117" i="93"/>
  <c r="Y118" i="93"/>
  <c r="Y119" i="93"/>
  <c r="Y120" i="93"/>
  <c r="Y121" i="93"/>
  <c r="Y122" i="93"/>
  <c r="Y123" i="93"/>
  <c r="Y124" i="93"/>
  <c r="Y125" i="93"/>
  <c r="Y126" i="93"/>
  <c r="Y127" i="93"/>
  <c r="Y128" i="93"/>
  <c r="Y129" i="93"/>
  <c r="Y130" i="93"/>
  <c r="Y131" i="93"/>
  <c r="Y132" i="93"/>
  <c r="Y133" i="93"/>
  <c r="Y134" i="93"/>
  <c r="Y135" i="93"/>
  <c r="Y136" i="93"/>
  <c r="Y137" i="93"/>
  <c r="Y138" i="93"/>
  <c r="Y139" i="93"/>
  <c r="Y140" i="93"/>
  <c r="Y141" i="93"/>
  <c r="Y142" i="93"/>
  <c r="Y143" i="93"/>
  <c r="Y144" i="93"/>
  <c r="Y145" i="93"/>
  <c r="Y146" i="93"/>
  <c r="Y147" i="93"/>
  <c r="Y148" i="93"/>
  <c r="Y149" i="93"/>
  <c r="Y150" i="93"/>
  <c r="Y151" i="93"/>
  <c r="Y152" i="93"/>
  <c r="Y153" i="93"/>
  <c r="Y154" i="93"/>
  <c r="Y155" i="93"/>
  <c r="Y156" i="93"/>
  <c r="Y157" i="93"/>
  <c r="Y158" i="93"/>
  <c r="Y159" i="93"/>
  <c r="Y160" i="93"/>
  <c r="Y161" i="93"/>
  <c r="Y162" i="93"/>
  <c r="Z8" i="93"/>
  <c r="Z9" i="93"/>
  <c r="Z10" i="93"/>
  <c r="Z11" i="93"/>
  <c r="Z12" i="93"/>
  <c r="Z13" i="93"/>
  <c r="Z14" i="93"/>
  <c r="Z15" i="93"/>
  <c r="Z16" i="93"/>
  <c r="Z17" i="93"/>
  <c r="Z18" i="93"/>
  <c r="Z19" i="93"/>
  <c r="Z20" i="93"/>
  <c r="Z21" i="93"/>
  <c r="Z22" i="93"/>
  <c r="Z23" i="93"/>
  <c r="Z24" i="93"/>
  <c r="Z25" i="93"/>
  <c r="Z26" i="93"/>
  <c r="Z27" i="93"/>
  <c r="Z28" i="93"/>
  <c r="Z29" i="93"/>
  <c r="Z30" i="93"/>
  <c r="Z31" i="93"/>
  <c r="Z32" i="93"/>
  <c r="Z33" i="93"/>
  <c r="Z34" i="93"/>
  <c r="Z35" i="93"/>
  <c r="Z36" i="93"/>
  <c r="Z37" i="93"/>
  <c r="Z38" i="93"/>
  <c r="Z39" i="93"/>
  <c r="Z40" i="93"/>
  <c r="Z41" i="93"/>
  <c r="Z42" i="93"/>
  <c r="Z43" i="93"/>
  <c r="Z44" i="93"/>
  <c r="Z45" i="93"/>
  <c r="Z46" i="93"/>
  <c r="Z47" i="93"/>
  <c r="Z48" i="93"/>
  <c r="Z49" i="93"/>
  <c r="Z50" i="93"/>
  <c r="Z51" i="93"/>
  <c r="Z52" i="93"/>
  <c r="Z53" i="93"/>
  <c r="Z54" i="93"/>
  <c r="Z55" i="93"/>
  <c r="Z56" i="93"/>
  <c r="Z57" i="93"/>
  <c r="Z58" i="93"/>
  <c r="Z59" i="93"/>
  <c r="Z60" i="93"/>
  <c r="Z61" i="93"/>
  <c r="Z62" i="93"/>
  <c r="Z63" i="93"/>
  <c r="Z64" i="93"/>
  <c r="Z65" i="93"/>
  <c r="Z66" i="93"/>
  <c r="Z67" i="93"/>
  <c r="Z68" i="93"/>
  <c r="Z69" i="93"/>
  <c r="Z70" i="93"/>
  <c r="Z71" i="93"/>
  <c r="Z72" i="93"/>
  <c r="Z73" i="93"/>
  <c r="Z74" i="93"/>
  <c r="Z75" i="93"/>
  <c r="Z76" i="93"/>
  <c r="Z77" i="93"/>
  <c r="Z78" i="93"/>
  <c r="Z79" i="93"/>
  <c r="Z80" i="93"/>
  <c r="Z81" i="93"/>
  <c r="Z82" i="93"/>
  <c r="Z83" i="93"/>
  <c r="Z84" i="93"/>
  <c r="Z85" i="93"/>
  <c r="Z86" i="93"/>
  <c r="Z87" i="93"/>
  <c r="Z88" i="93"/>
  <c r="Z89" i="93"/>
  <c r="Z90" i="93"/>
  <c r="Z91" i="93"/>
  <c r="Z92" i="93"/>
  <c r="Z93" i="93"/>
  <c r="Z94" i="93"/>
  <c r="Z95" i="93"/>
  <c r="Z96" i="93"/>
  <c r="Z97" i="93"/>
  <c r="Z98" i="93"/>
  <c r="Z99" i="93"/>
  <c r="Z100" i="93"/>
  <c r="Z101" i="93"/>
  <c r="Z102" i="93"/>
  <c r="Z103" i="93"/>
  <c r="Z104" i="93"/>
  <c r="Z105" i="93"/>
  <c r="Z106" i="93"/>
  <c r="Z107" i="93"/>
  <c r="Z108" i="93"/>
  <c r="Z109" i="93"/>
  <c r="Z110" i="93"/>
  <c r="Z111" i="93"/>
  <c r="Z112" i="93"/>
  <c r="Z113" i="93"/>
  <c r="Z114" i="93"/>
  <c r="Z115" i="93"/>
  <c r="Z116" i="93"/>
  <c r="Z117" i="93"/>
  <c r="Z118" i="93"/>
  <c r="Z119" i="93"/>
  <c r="Z120" i="93"/>
  <c r="Z121" i="93"/>
  <c r="Z122" i="93"/>
  <c r="Z123" i="93"/>
  <c r="Z124" i="93"/>
  <c r="Z125" i="93"/>
  <c r="Z126" i="93"/>
  <c r="Z127" i="93"/>
  <c r="Z128" i="93"/>
  <c r="Z129" i="93"/>
  <c r="Z130" i="93"/>
  <c r="Z131" i="93"/>
  <c r="Z132" i="93"/>
  <c r="Z133" i="93"/>
  <c r="Z134" i="93"/>
  <c r="Z135" i="93"/>
  <c r="Z136" i="93"/>
  <c r="Z137" i="93"/>
  <c r="Z138" i="93"/>
  <c r="Z139" i="93"/>
  <c r="Z140" i="93"/>
  <c r="Z141" i="93"/>
  <c r="Z142" i="93"/>
  <c r="Z143" i="93"/>
  <c r="Z144" i="93"/>
  <c r="Z145" i="93"/>
  <c r="Z146" i="93"/>
  <c r="Z147" i="93"/>
  <c r="Z148" i="93"/>
  <c r="Z149" i="93"/>
  <c r="Z150" i="93"/>
  <c r="Z151" i="93"/>
  <c r="Z152" i="93"/>
  <c r="Z153" i="93"/>
  <c r="Z154" i="93"/>
  <c r="Z155" i="93"/>
  <c r="Z156" i="93"/>
  <c r="Z157" i="93"/>
  <c r="Z158" i="93"/>
  <c r="Z159" i="93"/>
  <c r="Z160" i="93"/>
  <c r="Z161" i="93"/>
  <c r="Z162" i="93"/>
  <c r="AA8" i="93"/>
  <c r="AM8" i="93" s="1"/>
  <c r="AA9" i="93"/>
  <c r="AM9" i="93" s="1"/>
  <c r="AA10" i="93"/>
  <c r="AM10" i="93" s="1"/>
  <c r="AA11" i="93"/>
  <c r="AM11" i="93" s="1"/>
  <c r="AA12" i="93"/>
  <c r="AM12" i="93" s="1"/>
  <c r="AA13" i="93"/>
  <c r="AM13" i="93" s="1"/>
  <c r="AA14" i="93"/>
  <c r="AA15" i="93"/>
  <c r="AM15" i="93" s="1"/>
  <c r="AA16" i="93"/>
  <c r="AA17" i="93"/>
  <c r="AM17" i="93" s="1"/>
  <c r="AA18" i="93"/>
  <c r="AM18" i="93" s="1"/>
  <c r="AA19" i="93"/>
  <c r="AM19" i="93" s="1"/>
  <c r="AA20" i="93"/>
  <c r="AM20" i="93" s="1"/>
  <c r="AA21" i="93"/>
  <c r="AA22" i="93"/>
  <c r="AA23" i="93"/>
  <c r="AM23" i="93" s="1"/>
  <c r="AA24" i="93"/>
  <c r="AM24" i="93" s="1"/>
  <c r="AA25" i="93"/>
  <c r="AM25" i="93" s="1"/>
  <c r="AA26" i="93"/>
  <c r="AM26" i="93" s="1"/>
  <c r="AA27" i="93"/>
  <c r="AM27" i="93" s="1"/>
  <c r="AA28" i="93"/>
  <c r="AM28" i="93" s="1"/>
  <c r="AA29" i="93"/>
  <c r="AM29" i="93" s="1"/>
  <c r="AA30" i="93"/>
  <c r="AA31" i="93"/>
  <c r="AM31" i="93" s="1"/>
  <c r="AA32" i="93"/>
  <c r="AM32" i="93" s="1"/>
  <c r="AA33" i="93"/>
  <c r="AM33" i="93" s="1"/>
  <c r="AA34" i="93"/>
  <c r="AM34" i="93" s="1"/>
  <c r="AA35" i="93"/>
  <c r="AM35" i="93" s="1"/>
  <c r="AA36" i="93"/>
  <c r="AM36" i="93" s="1"/>
  <c r="AA37" i="93"/>
  <c r="AM37" i="93" s="1"/>
  <c r="AA38" i="93"/>
  <c r="AM38" i="93" s="1"/>
  <c r="AA39" i="93"/>
  <c r="AM39" i="93" s="1"/>
  <c r="AA40" i="93"/>
  <c r="AM40" i="93" s="1"/>
  <c r="AA41" i="93"/>
  <c r="AM41" i="93" s="1"/>
  <c r="AA42" i="93"/>
  <c r="AM42" i="93" s="1"/>
  <c r="AA43" i="93"/>
  <c r="AM43" i="93" s="1"/>
  <c r="AA44" i="93"/>
  <c r="AM44" i="93" s="1"/>
  <c r="AA45" i="93"/>
  <c r="AM45" i="93" s="1"/>
  <c r="AA46" i="93"/>
  <c r="AM46" i="93" s="1"/>
  <c r="AA47" i="93"/>
  <c r="AM47" i="93" s="1"/>
  <c r="AA48" i="93"/>
  <c r="AM48" i="93" s="1"/>
  <c r="AA49" i="93"/>
  <c r="AM49" i="93" s="1"/>
  <c r="AA50" i="93"/>
  <c r="AM50" i="93" s="1"/>
  <c r="AA51" i="93"/>
  <c r="AM51" i="93" s="1"/>
  <c r="AA52" i="93"/>
  <c r="AM52" i="93" s="1"/>
  <c r="AA53" i="93"/>
  <c r="AM53" i="93" s="1"/>
  <c r="AA54" i="93"/>
  <c r="AA55" i="93"/>
  <c r="AM55" i="93" s="1"/>
  <c r="AA56" i="93"/>
  <c r="AM56" i="93" s="1"/>
  <c r="AA57" i="93"/>
  <c r="AM57" i="93" s="1"/>
  <c r="AA58" i="93"/>
  <c r="AM58" i="93" s="1"/>
  <c r="AA59" i="93"/>
  <c r="AM59" i="93" s="1"/>
  <c r="AA60" i="93"/>
  <c r="AM60" i="93" s="1"/>
  <c r="AA61" i="93"/>
  <c r="AM61" i="93" s="1"/>
  <c r="AA62" i="93"/>
  <c r="AM62" i="93" s="1"/>
  <c r="AA63" i="93"/>
  <c r="AM63" i="93" s="1"/>
  <c r="AA64" i="93"/>
  <c r="AA65" i="93"/>
  <c r="AM65" i="93" s="1"/>
  <c r="AA66" i="93"/>
  <c r="AM66" i="93" s="1"/>
  <c r="AA67" i="93"/>
  <c r="AM67" i="93" s="1"/>
  <c r="AA68" i="93"/>
  <c r="AM68" i="93" s="1"/>
  <c r="AA69" i="93"/>
  <c r="AA70" i="93"/>
  <c r="AM70" i="93" s="1"/>
  <c r="AA71" i="93"/>
  <c r="AM71" i="93" s="1"/>
  <c r="AA72" i="93"/>
  <c r="AM72" i="93" s="1"/>
  <c r="AA73" i="93"/>
  <c r="AM73" i="93" s="1"/>
  <c r="AA74" i="93"/>
  <c r="AM74" i="93" s="1"/>
  <c r="AA75" i="93"/>
  <c r="AM75" i="93" s="1"/>
  <c r="AA76" i="93"/>
  <c r="AM76" i="93" s="1"/>
  <c r="AA77" i="93"/>
  <c r="AM77" i="93" s="1"/>
  <c r="AA78" i="93"/>
  <c r="AM78" i="93" s="1"/>
  <c r="AA79" i="93"/>
  <c r="AM79" i="93" s="1"/>
  <c r="AA80" i="93"/>
  <c r="AM80" i="93" s="1"/>
  <c r="AA81" i="93"/>
  <c r="AM81" i="93" s="1"/>
  <c r="AA82" i="93"/>
  <c r="AM82" i="93" s="1"/>
  <c r="AA83" i="93"/>
  <c r="AM83" i="93" s="1"/>
  <c r="AA84" i="93"/>
  <c r="AM84" i="93" s="1"/>
  <c r="AA85" i="93"/>
  <c r="AA86" i="93"/>
  <c r="AA87" i="93"/>
  <c r="AM87" i="93" s="1"/>
  <c r="AA88" i="93"/>
  <c r="AM88" i="93" s="1"/>
  <c r="AA89" i="93"/>
  <c r="AM89" i="93" s="1"/>
  <c r="AA90" i="93"/>
  <c r="AM90" i="93" s="1"/>
  <c r="AA91" i="93"/>
  <c r="AM91" i="93" s="1"/>
  <c r="AA92" i="93"/>
  <c r="AM92" i="93" s="1"/>
  <c r="AA93" i="93"/>
  <c r="AM93" i="93" s="1"/>
  <c r="AA94" i="93"/>
  <c r="AA95" i="93"/>
  <c r="AM95" i="93" s="1"/>
  <c r="AA96" i="93"/>
  <c r="AM96" i="93" s="1"/>
  <c r="AA97" i="93"/>
  <c r="AM97" i="93" s="1"/>
  <c r="AA98" i="93"/>
  <c r="AM98" i="93" s="1"/>
  <c r="AA99" i="93"/>
  <c r="AM99" i="93" s="1"/>
  <c r="AA100" i="93"/>
  <c r="AM100" i="93" s="1"/>
  <c r="AA101" i="93"/>
  <c r="AM101" i="93" s="1"/>
  <c r="AA102" i="93"/>
  <c r="AM102" i="93" s="1"/>
  <c r="AA103" i="93"/>
  <c r="AM103" i="93" s="1"/>
  <c r="AA104" i="93"/>
  <c r="AM104" i="93" s="1"/>
  <c r="AA105" i="93"/>
  <c r="AM105" i="93" s="1"/>
  <c r="AA106" i="93"/>
  <c r="AM106" i="93" s="1"/>
  <c r="AA107" i="93"/>
  <c r="AM107" i="93" s="1"/>
  <c r="AA108" i="93"/>
  <c r="AM108" i="93" s="1"/>
  <c r="AA109" i="93"/>
  <c r="AM109" i="93" s="1"/>
  <c r="AA110" i="93"/>
  <c r="AM110" i="93" s="1"/>
  <c r="AA111" i="93"/>
  <c r="AM111" i="93" s="1"/>
  <c r="AA112" i="93"/>
  <c r="AM112" i="93" s="1"/>
  <c r="AA113" i="93"/>
  <c r="AM113" i="93" s="1"/>
  <c r="AA114" i="93"/>
  <c r="AM114" i="93" s="1"/>
  <c r="AA115" i="93"/>
  <c r="AM115" i="93" s="1"/>
  <c r="AA116" i="93"/>
  <c r="AM116" i="93" s="1"/>
  <c r="AA117" i="93"/>
  <c r="AM117" i="93" s="1"/>
  <c r="AA118" i="93"/>
  <c r="AA119" i="93"/>
  <c r="AM119" i="93" s="1"/>
  <c r="AA120" i="93"/>
  <c r="AM120" i="93" s="1"/>
  <c r="AA121" i="93"/>
  <c r="AM121" i="93" s="1"/>
  <c r="AA122" i="93"/>
  <c r="AM122" i="93" s="1"/>
  <c r="AA123" i="93"/>
  <c r="AM123" i="93" s="1"/>
  <c r="AA124" i="93"/>
  <c r="AM124" i="93" s="1"/>
  <c r="AA125" i="93"/>
  <c r="AM125" i="93" s="1"/>
  <c r="AA126" i="93"/>
  <c r="AM126" i="93" s="1"/>
  <c r="AA127" i="93"/>
  <c r="AM127" i="93" s="1"/>
  <c r="AA128" i="93"/>
  <c r="AM128" i="93" s="1"/>
  <c r="AA129" i="93"/>
  <c r="AM129" i="93" s="1"/>
  <c r="AA130" i="93"/>
  <c r="AM130" i="93" s="1"/>
  <c r="AA131" i="93"/>
  <c r="AM131" i="93" s="1"/>
  <c r="AA132" i="93"/>
  <c r="AM132" i="93" s="1"/>
  <c r="AA133" i="93"/>
  <c r="AA134" i="93"/>
  <c r="AA135" i="93"/>
  <c r="AM135" i="93" s="1"/>
  <c r="AA136" i="93"/>
  <c r="AM136" i="93" s="1"/>
  <c r="AA137" i="93"/>
  <c r="AM137" i="93" s="1"/>
  <c r="AA138" i="93"/>
  <c r="AM138" i="93" s="1"/>
  <c r="AA139" i="93"/>
  <c r="AM139" i="93" s="1"/>
  <c r="AA140" i="93"/>
  <c r="AM140" i="93" s="1"/>
  <c r="AA141" i="93"/>
  <c r="AM141" i="93" s="1"/>
  <c r="AA142" i="93"/>
  <c r="AM142" i="93" s="1"/>
  <c r="AA143" i="93"/>
  <c r="AM143" i="93" s="1"/>
  <c r="AA144" i="93"/>
  <c r="AM144" i="93" s="1"/>
  <c r="AA145" i="93"/>
  <c r="AM145" i="93" s="1"/>
  <c r="AA146" i="93"/>
  <c r="AM146" i="93" s="1"/>
  <c r="AA147" i="93"/>
  <c r="AM147" i="93" s="1"/>
  <c r="AA148" i="93"/>
  <c r="AM148" i="93" s="1"/>
  <c r="AA149" i="93"/>
  <c r="AA150" i="93"/>
  <c r="AM150" i="93" s="1"/>
  <c r="AA151" i="93"/>
  <c r="AM151" i="93" s="1"/>
  <c r="AA152" i="93"/>
  <c r="AM152" i="93" s="1"/>
  <c r="AA153" i="93"/>
  <c r="AM153" i="93" s="1"/>
  <c r="AA154" i="93"/>
  <c r="AM154" i="93" s="1"/>
  <c r="AA155" i="93"/>
  <c r="AM155" i="93" s="1"/>
  <c r="AA156" i="93"/>
  <c r="AM156" i="93" s="1"/>
  <c r="AA157" i="93"/>
  <c r="AM157" i="93" s="1"/>
  <c r="AA158" i="93"/>
  <c r="AA159" i="93"/>
  <c r="AM159" i="93" s="1"/>
  <c r="AA160" i="93"/>
  <c r="AM160" i="93" s="1"/>
  <c r="AA161" i="93"/>
  <c r="AM161" i="93" s="1"/>
  <c r="AA162" i="93"/>
  <c r="AM162" i="93" s="1"/>
  <c r="AB8" i="93" a="1"/>
  <c r="AB8" i="93" s="1"/>
  <c r="AU8" i="93" s="1"/>
  <c r="AB9" i="93" a="1"/>
  <c r="AB9" i="93" s="1"/>
  <c r="AU9" i="93" s="1"/>
  <c r="AB10" i="93" a="1"/>
  <c r="AB10" i="93" s="1"/>
  <c r="AU10" i="93" s="1"/>
  <c r="AB11" i="93" a="1"/>
  <c r="AB11" i="93" s="1"/>
  <c r="AB12" i="93" a="1"/>
  <c r="AB12" i="93" s="1"/>
  <c r="AB13" i="93" a="1"/>
  <c r="AB13" i="93" s="1"/>
  <c r="AU13" i="93" s="1"/>
  <c r="AB14" i="93" a="1"/>
  <c r="AB14" i="93" s="1"/>
  <c r="AU14" i="93" s="1"/>
  <c r="AB15" i="93" a="1"/>
  <c r="AB15" i="93" s="1"/>
  <c r="AU15" i="93" s="1"/>
  <c r="AB16" i="93" a="1"/>
  <c r="AB16" i="93" s="1"/>
  <c r="AU16" i="93" s="1"/>
  <c r="AB17" i="93" a="1"/>
  <c r="AB17" i="93" s="1"/>
  <c r="AU17" i="93" s="1"/>
  <c r="AB18" i="93" a="1"/>
  <c r="AB18" i="93" s="1"/>
  <c r="AU18" i="93" s="1"/>
  <c r="AB19" i="93" a="1"/>
  <c r="AB19" i="93" s="1"/>
  <c r="AU19" i="93" s="1"/>
  <c r="AB20" i="93" a="1"/>
  <c r="AB20" i="93" s="1"/>
  <c r="AU20" i="93" s="1"/>
  <c r="AB21" i="93" a="1"/>
  <c r="AB21" i="93" s="1"/>
  <c r="AU21" i="93" s="1"/>
  <c r="AB22" i="93" a="1"/>
  <c r="AB22" i="93" s="1"/>
  <c r="AU22" i="93" s="1"/>
  <c r="AB23" i="93" a="1"/>
  <c r="AB23" i="93" s="1"/>
  <c r="AU23" i="93" s="1"/>
  <c r="AB24" i="93" a="1"/>
  <c r="AB24" i="93" s="1"/>
  <c r="AU24" i="93" s="1"/>
  <c r="AB25" i="93" a="1"/>
  <c r="AB25" i="93" s="1"/>
  <c r="AU25" i="93" s="1"/>
  <c r="AB26" i="93" a="1"/>
  <c r="AB26" i="93" s="1"/>
  <c r="AU26" i="93" s="1"/>
  <c r="AB27" i="93" a="1"/>
  <c r="AB27" i="93" s="1"/>
  <c r="AB28" i="93" a="1"/>
  <c r="AB28" i="93" s="1"/>
  <c r="AB29" i="93" a="1"/>
  <c r="AB29" i="93" s="1"/>
  <c r="AU29" i="93" s="1"/>
  <c r="AB30" i="93" a="1"/>
  <c r="AB30" i="93" s="1"/>
  <c r="AU30" i="93" s="1"/>
  <c r="AB31" i="93" a="1"/>
  <c r="AB31" i="93" s="1"/>
  <c r="AU31" i="93" s="1"/>
  <c r="AB32" i="93" a="1"/>
  <c r="AB32" i="93" s="1"/>
  <c r="AU32" i="93" s="1"/>
  <c r="AB33" i="93" a="1"/>
  <c r="AB33" i="93" s="1"/>
  <c r="AU33" i="93" s="1"/>
  <c r="AB34" i="93" a="1"/>
  <c r="AB34" i="93" s="1"/>
  <c r="AB35" i="93" a="1"/>
  <c r="AB35" i="93" s="1"/>
  <c r="AU35" i="93" s="1"/>
  <c r="AB36" i="93" a="1"/>
  <c r="AB36" i="93" s="1"/>
  <c r="AB37" i="93" a="1"/>
  <c r="AB37" i="93" s="1"/>
  <c r="AU37" i="93" s="1"/>
  <c r="AB38" i="93" a="1"/>
  <c r="AB38" i="93" s="1"/>
  <c r="AU38" i="93" s="1"/>
  <c r="AB39" i="93" a="1"/>
  <c r="AB39" i="93" s="1"/>
  <c r="AU39" i="93" s="1"/>
  <c r="AB40" i="93" a="1"/>
  <c r="AB40" i="93" s="1"/>
  <c r="AU40" i="93" s="1"/>
  <c r="AB41" i="93" a="1"/>
  <c r="AB41" i="93" s="1"/>
  <c r="AU41" i="93" s="1"/>
  <c r="AB42" i="93" a="1"/>
  <c r="AB42" i="93" s="1"/>
  <c r="AB43" i="93" a="1"/>
  <c r="AB43" i="93" s="1"/>
  <c r="AB44" i="93" a="1"/>
  <c r="AB44" i="93" s="1"/>
  <c r="AB45" i="93" a="1"/>
  <c r="AB45" i="93" s="1"/>
  <c r="AU45" i="93" s="1"/>
  <c r="AB46" i="93" a="1"/>
  <c r="AB46" i="93" s="1"/>
  <c r="AU46" i="93" s="1"/>
  <c r="AB47" i="93" a="1"/>
  <c r="AB47" i="93" s="1"/>
  <c r="AU47" i="93" s="1"/>
  <c r="AB48" i="93" a="1"/>
  <c r="AB48" i="93" s="1"/>
  <c r="AU48" i="93" s="1"/>
  <c r="AB49" i="93" a="1"/>
  <c r="AB49" i="93" s="1"/>
  <c r="AU49" i="93" s="1"/>
  <c r="AB50" i="93" a="1"/>
  <c r="AB50" i="93" s="1"/>
  <c r="AU50" i="93" s="1"/>
  <c r="AB51" i="93" a="1"/>
  <c r="AB51" i="93" s="1"/>
  <c r="AB52" i="93" a="1"/>
  <c r="AB52" i="93" s="1"/>
  <c r="AU52" i="93" s="1"/>
  <c r="AB53" i="93" a="1"/>
  <c r="AB53" i="93" s="1"/>
  <c r="AU53" i="93" s="1"/>
  <c r="AB54" i="93" a="1"/>
  <c r="AB54" i="93" s="1"/>
  <c r="AU54" i="93" s="1"/>
  <c r="AB55" i="93" a="1"/>
  <c r="AB55" i="93" s="1"/>
  <c r="AU55" i="93" s="1"/>
  <c r="AB56" i="93" a="1"/>
  <c r="AB56" i="93" s="1"/>
  <c r="AU56" i="93" s="1"/>
  <c r="AB57" i="93" a="1"/>
  <c r="AB57" i="93" s="1"/>
  <c r="AU57" i="93" s="1"/>
  <c r="AB58" i="93" a="1"/>
  <c r="AB58" i="93" s="1"/>
  <c r="AU58" i="93" s="1"/>
  <c r="AB59" i="93" a="1"/>
  <c r="AB59" i="93" s="1"/>
  <c r="AU59" i="93" s="1"/>
  <c r="AB60" i="93" a="1"/>
  <c r="AB60" i="93" s="1"/>
  <c r="AB61" i="93" a="1"/>
  <c r="AB61" i="93" s="1"/>
  <c r="AU61" i="93" s="1"/>
  <c r="AB62" i="93" a="1"/>
  <c r="AB62" i="93" s="1"/>
  <c r="AU62" i="93" s="1"/>
  <c r="AB63" i="93" a="1"/>
  <c r="AB63" i="93" s="1"/>
  <c r="AU63" i="93" s="1"/>
  <c r="AB64" i="93" a="1"/>
  <c r="AB64" i="93" s="1"/>
  <c r="AU64" i="93" s="1"/>
  <c r="AB65" i="93" a="1"/>
  <c r="AB65" i="93" s="1"/>
  <c r="AU65" i="93" s="1"/>
  <c r="AB66" i="93" a="1"/>
  <c r="AB66" i="93" s="1"/>
  <c r="AU66" i="93" s="1"/>
  <c r="AB67" i="93" a="1"/>
  <c r="AB67" i="93" s="1"/>
  <c r="AU67" i="93" s="1"/>
  <c r="AB68" i="93" a="1"/>
  <c r="AB68" i="93" s="1"/>
  <c r="AU68" i="93" s="1"/>
  <c r="AB69" i="93" a="1"/>
  <c r="AB69" i="93" s="1"/>
  <c r="AU69" i="93" s="1"/>
  <c r="AB70" i="93" a="1"/>
  <c r="AB70" i="93" s="1"/>
  <c r="AU70" i="93" s="1"/>
  <c r="AB71" i="93" a="1"/>
  <c r="AB71" i="93" s="1"/>
  <c r="AU71" i="93" s="1"/>
  <c r="AB72" i="93" a="1"/>
  <c r="AB72" i="93" s="1"/>
  <c r="AU72" i="93" s="1"/>
  <c r="AB73" i="93" a="1"/>
  <c r="AB73" i="93" s="1"/>
  <c r="AU73" i="93" s="1"/>
  <c r="AB74" i="93" a="1"/>
  <c r="AB74" i="93" s="1"/>
  <c r="AU74" i="93" s="1"/>
  <c r="AB75" i="93" a="1"/>
  <c r="AB75" i="93" s="1"/>
  <c r="AB76" i="93" a="1"/>
  <c r="AB76" i="93" s="1"/>
  <c r="AB77" i="93" a="1"/>
  <c r="AB77" i="93" s="1"/>
  <c r="AU77" i="93" s="1"/>
  <c r="AB78" i="93" a="1"/>
  <c r="AB78" i="93" s="1"/>
  <c r="AU78" i="93" s="1"/>
  <c r="AB79" i="93" a="1"/>
  <c r="AB79" i="93" s="1"/>
  <c r="AU79" i="93" s="1"/>
  <c r="AB80" i="93" a="1"/>
  <c r="AB80" i="93" s="1"/>
  <c r="AU80" i="93" s="1"/>
  <c r="AB81" i="93" a="1"/>
  <c r="AB81" i="93" s="1"/>
  <c r="AU81" i="93" s="1"/>
  <c r="AB82" i="93" a="1"/>
  <c r="AB82" i="93" s="1"/>
  <c r="AU82" i="93" s="1"/>
  <c r="AB83" i="93" a="1"/>
  <c r="AB83" i="93" s="1"/>
  <c r="AU83" i="93" s="1"/>
  <c r="AB84" i="93" a="1"/>
  <c r="AB84" i="93" s="1"/>
  <c r="AU84" i="93" s="1"/>
  <c r="AB85" i="93" a="1"/>
  <c r="AB85" i="93" s="1"/>
  <c r="AU85" i="93" s="1"/>
  <c r="AB86" i="93" a="1"/>
  <c r="AB86" i="93" s="1"/>
  <c r="AU86" i="93" s="1"/>
  <c r="AB87" i="93" a="1"/>
  <c r="AB87" i="93" s="1"/>
  <c r="AU87" i="93" s="1"/>
  <c r="AB88" i="93" a="1"/>
  <c r="AB88" i="93" s="1"/>
  <c r="AU88" i="93" s="1"/>
  <c r="AB89" i="93" a="1"/>
  <c r="AB89" i="93" s="1"/>
  <c r="AU89" i="93" s="1"/>
  <c r="AB90" i="93" a="1"/>
  <c r="AB90" i="93" s="1"/>
  <c r="AU90" i="93" s="1"/>
  <c r="AB91" i="93" a="1"/>
  <c r="AB91" i="93" s="1"/>
  <c r="AB92" i="93" a="1"/>
  <c r="AB92" i="93" s="1"/>
  <c r="AB93" i="93" a="1"/>
  <c r="AB93" i="93" s="1"/>
  <c r="AU93" i="93" s="1"/>
  <c r="AB94" i="93" a="1"/>
  <c r="AB94" i="93" s="1"/>
  <c r="AU94" i="93" s="1"/>
  <c r="AB95" i="93" a="1"/>
  <c r="AB95" i="93" s="1"/>
  <c r="AU95" i="93" s="1"/>
  <c r="AB96" i="93" a="1"/>
  <c r="AB96" i="93" s="1"/>
  <c r="AU96" i="93" s="1"/>
  <c r="AB97" i="93" a="1"/>
  <c r="AB97" i="93" s="1"/>
  <c r="AU97" i="93" s="1"/>
  <c r="AB98" i="93" a="1"/>
  <c r="AB98" i="93" s="1"/>
  <c r="AU98" i="93" s="1"/>
  <c r="AB99" i="93" a="1"/>
  <c r="AB99" i="93" s="1"/>
  <c r="AU99" i="93" s="1"/>
  <c r="AB100" i="93" a="1"/>
  <c r="AB100" i="93" s="1"/>
  <c r="AU100" i="93" s="1"/>
  <c r="AB101" i="93" a="1"/>
  <c r="AB101" i="93" s="1"/>
  <c r="AU101" i="93" s="1"/>
  <c r="AB102" i="93" a="1"/>
  <c r="AB102" i="93" s="1"/>
  <c r="AU102" i="93" s="1"/>
  <c r="AB103" i="93" a="1"/>
  <c r="AB103" i="93" s="1"/>
  <c r="AU103" i="93" s="1"/>
  <c r="AB104" i="93" a="1"/>
  <c r="AB104" i="93" s="1"/>
  <c r="AU104" i="93" s="1"/>
  <c r="AB105" i="93" a="1"/>
  <c r="AB105" i="93" s="1"/>
  <c r="AU105" i="93" s="1"/>
  <c r="AB106" i="93" a="1"/>
  <c r="AB106" i="93" s="1"/>
  <c r="AU106" i="93" s="1"/>
  <c r="AB107" i="93" a="1"/>
  <c r="AB107" i="93" s="1"/>
  <c r="AU107" i="93" s="1"/>
  <c r="AB108" i="93" a="1"/>
  <c r="AB108" i="93" s="1"/>
  <c r="AB109" i="93" a="1"/>
  <c r="AB109" i="93" s="1"/>
  <c r="AU109" i="93" s="1"/>
  <c r="AB110" i="93" a="1"/>
  <c r="AB110" i="93" s="1"/>
  <c r="AU110" i="93" s="1"/>
  <c r="AB111" i="93" a="1"/>
  <c r="AB111" i="93" s="1"/>
  <c r="AU111" i="93" s="1"/>
  <c r="AB112" i="93" a="1"/>
  <c r="AB112" i="93" s="1"/>
  <c r="AU112" i="93" s="1"/>
  <c r="AB113" i="93" a="1"/>
  <c r="AB113" i="93" s="1"/>
  <c r="AU113" i="93" s="1"/>
  <c r="AB114" i="93" a="1"/>
  <c r="AB114" i="93" s="1"/>
  <c r="AU114" i="93" s="1"/>
  <c r="AB115" i="93" a="1"/>
  <c r="AB115" i="93" s="1"/>
  <c r="AB116" i="93" a="1"/>
  <c r="AB116" i="93" s="1"/>
  <c r="AU116" i="93" s="1"/>
  <c r="AB117" i="93" a="1"/>
  <c r="AB117" i="93" s="1"/>
  <c r="AU117" i="93" s="1"/>
  <c r="AB118" i="93" a="1"/>
  <c r="AB118" i="93" s="1"/>
  <c r="AU118" i="93" s="1"/>
  <c r="AB119" i="93" a="1"/>
  <c r="AB119" i="93" s="1"/>
  <c r="AU119" i="93" s="1"/>
  <c r="AB120" i="93" a="1"/>
  <c r="AB120" i="93" s="1"/>
  <c r="AU120" i="93" s="1"/>
  <c r="AB121" i="93" a="1"/>
  <c r="AB121" i="93" s="1"/>
  <c r="AU121" i="93" s="1"/>
  <c r="AB122" i="93" a="1"/>
  <c r="AB122" i="93" s="1"/>
  <c r="AU122" i="93" s="1"/>
  <c r="AB123" i="93" a="1"/>
  <c r="AB123" i="93" s="1"/>
  <c r="AU123" i="93" s="1"/>
  <c r="AB124" i="93" a="1"/>
  <c r="AB124" i="93" s="1"/>
  <c r="AB125" i="93" a="1"/>
  <c r="AB125" i="93" s="1"/>
  <c r="AU125" i="93" s="1"/>
  <c r="AB126" i="93" a="1"/>
  <c r="AB126" i="93" s="1"/>
  <c r="AU126" i="93" s="1"/>
  <c r="AB127" i="93" a="1"/>
  <c r="AB127" i="93" s="1"/>
  <c r="AU127" i="93" s="1"/>
  <c r="AB128" i="93" a="1"/>
  <c r="AB128" i="93" s="1"/>
  <c r="AU128" i="93" s="1"/>
  <c r="AB129" i="93" a="1"/>
  <c r="AB129" i="93" s="1"/>
  <c r="AU129" i="93" s="1"/>
  <c r="AB130" i="93" a="1"/>
  <c r="AB130" i="93" s="1"/>
  <c r="AU130" i="93" s="1"/>
  <c r="AB131" i="93" a="1"/>
  <c r="AB131" i="93" s="1"/>
  <c r="AU131" i="93" s="1"/>
  <c r="AB132" i="93" a="1"/>
  <c r="AB132" i="93" s="1"/>
  <c r="AU132" i="93" s="1"/>
  <c r="AB133" i="93" a="1"/>
  <c r="AB133" i="93" s="1"/>
  <c r="AU133" i="93" s="1"/>
  <c r="AB134" i="93" a="1"/>
  <c r="AB134" i="93" s="1"/>
  <c r="AU134" i="93" s="1"/>
  <c r="AB135" i="93" a="1"/>
  <c r="AB135" i="93" s="1"/>
  <c r="AU135" i="93" s="1"/>
  <c r="AB136" i="93" a="1"/>
  <c r="AB136" i="93" s="1"/>
  <c r="AU136" i="93" s="1"/>
  <c r="AB137" i="93" a="1"/>
  <c r="AB137" i="93" s="1"/>
  <c r="AU137" i="93" s="1"/>
  <c r="AB138" i="93" a="1"/>
  <c r="AB138" i="93" s="1"/>
  <c r="AU138" i="93" s="1"/>
  <c r="AB139" i="93" a="1"/>
  <c r="AB139" i="93" s="1"/>
  <c r="AB140" i="93" a="1"/>
  <c r="AB140" i="93" s="1"/>
  <c r="AB141" i="93" a="1"/>
  <c r="AB141" i="93" s="1"/>
  <c r="AU141" i="93" s="1"/>
  <c r="AB142" i="93" a="1"/>
  <c r="AB142" i="93" s="1"/>
  <c r="AU142" i="93" s="1"/>
  <c r="AB143" i="93" a="1"/>
  <c r="AB143" i="93" s="1"/>
  <c r="AU143" i="93" s="1"/>
  <c r="AB144" i="93" a="1"/>
  <c r="AB144" i="93" s="1"/>
  <c r="AU144" i="93" s="1"/>
  <c r="AB145" i="93" a="1"/>
  <c r="AB145" i="93" s="1"/>
  <c r="AU145" i="93" s="1"/>
  <c r="AB146" i="93" a="1"/>
  <c r="AB146" i="93" s="1"/>
  <c r="AU146" i="93" s="1"/>
  <c r="AB147" i="93" a="1"/>
  <c r="AB147" i="93" s="1"/>
  <c r="AB148" i="93" a="1"/>
  <c r="AB148" i="93" s="1"/>
  <c r="AU148" i="93" s="1"/>
  <c r="AB149" i="93" a="1"/>
  <c r="AB149" i="93" s="1"/>
  <c r="AU149" i="93" s="1"/>
  <c r="AB150" i="93" a="1"/>
  <c r="AB150" i="93" s="1"/>
  <c r="AU150" i="93" s="1"/>
  <c r="AB151" i="93" a="1"/>
  <c r="AB151" i="93" s="1"/>
  <c r="AU151" i="93" s="1"/>
  <c r="AB152" i="93" a="1"/>
  <c r="AB152" i="93" s="1"/>
  <c r="AU152" i="93" s="1"/>
  <c r="AB153" i="93" a="1"/>
  <c r="AB153" i="93" s="1"/>
  <c r="AU153" i="93" s="1"/>
  <c r="AB154" i="93" a="1"/>
  <c r="AB154" i="93" s="1"/>
  <c r="AU154" i="93" s="1"/>
  <c r="AB155" i="93" a="1"/>
  <c r="AB155" i="93" s="1"/>
  <c r="AB156" i="93" a="1"/>
  <c r="AB156" i="93" s="1"/>
  <c r="AB157" i="93" a="1"/>
  <c r="AB157" i="93" s="1"/>
  <c r="AU157" i="93" s="1"/>
  <c r="AB158" i="93" a="1"/>
  <c r="AB158" i="93" s="1"/>
  <c r="AU158" i="93" s="1"/>
  <c r="AB159" i="93" a="1"/>
  <c r="AB159" i="93" s="1"/>
  <c r="AU159" i="93" s="1"/>
  <c r="AB160" i="93" a="1"/>
  <c r="AB160" i="93" s="1"/>
  <c r="AU160" i="93" s="1"/>
  <c r="AB161" i="93" a="1"/>
  <c r="AB161" i="93" s="1"/>
  <c r="AU161" i="93" s="1"/>
  <c r="AB162" i="93" a="1"/>
  <c r="AB162" i="93" s="1"/>
  <c r="AU162" i="93" s="1"/>
  <c r="AH8" i="93"/>
  <c r="AH9" i="93"/>
  <c r="AH10" i="93"/>
  <c r="AH11" i="93"/>
  <c r="AH12" i="93"/>
  <c r="AH13" i="93"/>
  <c r="AH14" i="93"/>
  <c r="AH15" i="93"/>
  <c r="AH16" i="93"/>
  <c r="AH17" i="93"/>
  <c r="AH18" i="93"/>
  <c r="AH19" i="93"/>
  <c r="AH20" i="93"/>
  <c r="AH21" i="93"/>
  <c r="AH22" i="93"/>
  <c r="AH23" i="93"/>
  <c r="AH24" i="93"/>
  <c r="AH25" i="93"/>
  <c r="AH26" i="93"/>
  <c r="AH27" i="93"/>
  <c r="AH28" i="93"/>
  <c r="AH29" i="93"/>
  <c r="AH30" i="93"/>
  <c r="AH31" i="93"/>
  <c r="AH32" i="93"/>
  <c r="AH33" i="93"/>
  <c r="AH34" i="93"/>
  <c r="AH35" i="93"/>
  <c r="AH36" i="93"/>
  <c r="AH37" i="93"/>
  <c r="AH38" i="93"/>
  <c r="AH39" i="93"/>
  <c r="AH40" i="93"/>
  <c r="AH41" i="93"/>
  <c r="AH42" i="93"/>
  <c r="AH43" i="93"/>
  <c r="AH44" i="93"/>
  <c r="AH45" i="93"/>
  <c r="AH46" i="93"/>
  <c r="AH47" i="93"/>
  <c r="AH48" i="93"/>
  <c r="AH49" i="93"/>
  <c r="AH50" i="93"/>
  <c r="AH51" i="93"/>
  <c r="AH52" i="93"/>
  <c r="AH53" i="93"/>
  <c r="AH54" i="93"/>
  <c r="AH55" i="93"/>
  <c r="AH56" i="93"/>
  <c r="AH57" i="93"/>
  <c r="AH58" i="93"/>
  <c r="AH59" i="93"/>
  <c r="AH60" i="93"/>
  <c r="AH61" i="93"/>
  <c r="AH62" i="93"/>
  <c r="AH63" i="93"/>
  <c r="AH64" i="93"/>
  <c r="AH65" i="93"/>
  <c r="AH66" i="93"/>
  <c r="AH67" i="93"/>
  <c r="AH68" i="93"/>
  <c r="AH69" i="93"/>
  <c r="AH70" i="93"/>
  <c r="AH71" i="93"/>
  <c r="AH72" i="93"/>
  <c r="AH73" i="93"/>
  <c r="AH74" i="93"/>
  <c r="AH75" i="93"/>
  <c r="AH76" i="93"/>
  <c r="AH77" i="93"/>
  <c r="AH78" i="93"/>
  <c r="AH79" i="93"/>
  <c r="AH80" i="93"/>
  <c r="AH81" i="93"/>
  <c r="AH82" i="93"/>
  <c r="AH83" i="93"/>
  <c r="AH84" i="93"/>
  <c r="AH85" i="93"/>
  <c r="AH86" i="93"/>
  <c r="AH87" i="93"/>
  <c r="AH88" i="93"/>
  <c r="AH89" i="93"/>
  <c r="AH90" i="93"/>
  <c r="AH91" i="93"/>
  <c r="AH92" i="93"/>
  <c r="AH93" i="93"/>
  <c r="AH94" i="93"/>
  <c r="AH95" i="93"/>
  <c r="AH96" i="93"/>
  <c r="AH97" i="93"/>
  <c r="AH98" i="93"/>
  <c r="AH99" i="93"/>
  <c r="AH100" i="93"/>
  <c r="AH101" i="93"/>
  <c r="AH102" i="93"/>
  <c r="AH103" i="93"/>
  <c r="AH104" i="93"/>
  <c r="AH105" i="93"/>
  <c r="AH106" i="93"/>
  <c r="AH107" i="93"/>
  <c r="AH108" i="93"/>
  <c r="AH109" i="93"/>
  <c r="AH110" i="93"/>
  <c r="AH111" i="93"/>
  <c r="AH112" i="93"/>
  <c r="AH113" i="93"/>
  <c r="AH114" i="93"/>
  <c r="AH115" i="93"/>
  <c r="AH116" i="93"/>
  <c r="AH117" i="93"/>
  <c r="AH118" i="93"/>
  <c r="AH119" i="93"/>
  <c r="AH120" i="93"/>
  <c r="AH121" i="93"/>
  <c r="AH122" i="93"/>
  <c r="AH123" i="93"/>
  <c r="AH124" i="93"/>
  <c r="AH125" i="93"/>
  <c r="AH126" i="93"/>
  <c r="AH127" i="93"/>
  <c r="AH128" i="93"/>
  <c r="AH129" i="93"/>
  <c r="AH130" i="93"/>
  <c r="AH131" i="93"/>
  <c r="AH132" i="93"/>
  <c r="AH133" i="93"/>
  <c r="AH134" i="93"/>
  <c r="AH135" i="93"/>
  <c r="AH136" i="93"/>
  <c r="AH137" i="93"/>
  <c r="AH138" i="93"/>
  <c r="AH139" i="93"/>
  <c r="AH140" i="93"/>
  <c r="AH141" i="93"/>
  <c r="AH142" i="93"/>
  <c r="AH143" i="93"/>
  <c r="AH144" i="93"/>
  <c r="AH145" i="93"/>
  <c r="AH146" i="93"/>
  <c r="AH147" i="93"/>
  <c r="AH148" i="93"/>
  <c r="AH149" i="93"/>
  <c r="AH150" i="93"/>
  <c r="AH151" i="93"/>
  <c r="AH152" i="93"/>
  <c r="AH153" i="93"/>
  <c r="AH154" i="93"/>
  <c r="AH155" i="93"/>
  <c r="AH156" i="93"/>
  <c r="AH157" i="93"/>
  <c r="AH158" i="93"/>
  <c r="AH159" i="93"/>
  <c r="AH160" i="93"/>
  <c r="AH161" i="93"/>
  <c r="AH162" i="93"/>
  <c r="AI8" i="93"/>
  <c r="AI9" i="93"/>
  <c r="AK9" i="93" s="1" a="1"/>
  <c r="AK9" i="93" s="1"/>
  <c r="AL9" i="93" s="1" a="1"/>
  <c r="AL9" i="93" s="1"/>
  <c r="AI10" i="93"/>
  <c r="AJ10" i="93" s="1" a="1"/>
  <c r="AJ10" i="93" s="1"/>
  <c r="AI11" i="93"/>
  <c r="AK11" i="93" s="1" a="1"/>
  <c r="AK11" i="93" s="1"/>
  <c r="AL11" i="93" s="1" a="1"/>
  <c r="AL11" i="93" s="1"/>
  <c r="AI12" i="93"/>
  <c r="AI13" i="93"/>
  <c r="AK13" i="93" s="1" a="1"/>
  <c r="AK13" i="93" s="1"/>
  <c r="AL13" i="93" s="1" a="1"/>
  <c r="AL13" i="93" s="1"/>
  <c r="AI14" i="93"/>
  <c r="AJ14" i="93" s="1" a="1"/>
  <c r="AJ14" i="93" s="1"/>
  <c r="AI15" i="93"/>
  <c r="AJ15" i="93" s="1" a="1"/>
  <c r="AJ15" i="93" s="1"/>
  <c r="AI16" i="93"/>
  <c r="AI17" i="93"/>
  <c r="AJ17" i="93" s="1" a="1"/>
  <c r="AJ17" i="93" s="1"/>
  <c r="AI18" i="93"/>
  <c r="AJ18" i="93" s="1" a="1"/>
  <c r="AJ18" i="93" s="1"/>
  <c r="AI19" i="93"/>
  <c r="AJ19" i="93" s="1" a="1"/>
  <c r="AJ19" i="93" s="1"/>
  <c r="AI20" i="93"/>
  <c r="AJ20" i="93" s="1" a="1"/>
  <c r="AJ20" i="93" s="1"/>
  <c r="AI21" i="93"/>
  <c r="AK21" i="93" s="1" a="1"/>
  <c r="AK21" i="93" s="1"/>
  <c r="AL21" i="93" s="1" a="1"/>
  <c r="AL21" i="93" s="1"/>
  <c r="AI22" i="93"/>
  <c r="AJ22" i="93" s="1" a="1"/>
  <c r="AJ22" i="93" s="1"/>
  <c r="AI23" i="93"/>
  <c r="AJ23" i="93" s="1" a="1"/>
  <c r="AJ23" i="93" s="1"/>
  <c r="AI24" i="93"/>
  <c r="AJ24" i="93" s="1" a="1"/>
  <c r="AJ24" i="93" s="1"/>
  <c r="AI25" i="93"/>
  <c r="AJ25" i="93" s="1" a="1"/>
  <c r="AJ25" i="93" s="1"/>
  <c r="AI26" i="93"/>
  <c r="AJ26" i="93" s="1" a="1"/>
  <c r="AJ26" i="93" s="1"/>
  <c r="AI27" i="93"/>
  <c r="AJ27" i="93" s="1" a="1"/>
  <c r="AJ27" i="93" s="1"/>
  <c r="AI28" i="93"/>
  <c r="AJ28" i="93" s="1" a="1"/>
  <c r="AJ28" i="93" s="1"/>
  <c r="AI29" i="93"/>
  <c r="AK29" i="93" s="1" a="1"/>
  <c r="AK29" i="93" s="1"/>
  <c r="AL29" i="93" s="1" a="1"/>
  <c r="AL29" i="93" s="1"/>
  <c r="AI30" i="93"/>
  <c r="AJ30" i="93" s="1" a="1"/>
  <c r="AJ30" i="93" s="1"/>
  <c r="AI31" i="93"/>
  <c r="AK31" i="93" s="1" a="1"/>
  <c r="AK31" i="93" s="1"/>
  <c r="AL31" i="93" s="1" a="1"/>
  <c r="AL31" i="93" s="1"/>
  <c r="AI32" i="93"/>
  <c r="AI33" i="93"/>
  <c r="AJ33" i="93" s="1" a="1"/>
  <c r="AJ33" i="93" s="1"/>
  <c r="AI34" i="93"/>
  <c r="AJ34" i="93" s="1" a="1"/>
  <c r="AJ34" i="93" s="1"/>
  <c r="AI35" i="93"/>
  <c r="AJ35" i="93" s="1" a="1"/>
  <c r="AJ35" i="93" s="1"/>
  <c r="AI36" i="93"/>
  <c r="AI37" i="93"/>
  <c r="AJ37" i="93" s="1" a="1"/>
  <c r="AJ37" i="93" s="1"/>
  <c r="AI38" i="93"/>
  <c r="AJ38" i="93" s="1" a="1"/>
  <c r="AJ38" i="93" s="1"/>
  <c r="AI39" i="93"/>
  <c r="AJ39" i="93" s="1" a="1"/>
  <c r="AJ39" i="93" s="1"/>
  <c r="AI40" i="93"/>
  <c r="AI41" i="93"/>
  <c r="AK41" i="93" s="1" a="1"/>
  <c r="AK41" i="93" s="1"/>
  <c r="AL41" i="93" s="1" a="1"/>
  <c r="AL41" i="93" s="1"/>
  <c r="AI42" i="93"/>
  <c r="AJ42" i="93" s="1" a="1"/>
  <c r="AJ42" i="93" s="1"/>
  <c r="AI43" i="93"/>
  <c r="AJ43" i="93" s="1" a="1"/>
  <c r="AJ43" i="93" s="1"/>
  <c r="AI44" i="93"/>
  <c r="AJ44" i="93" s="1" a="1"/>
  <c r="AJ44" i="93" s="1"/>
  <c r="AI45" i="93"/>
  <c r="AJ45" i="93" s="1" a="1"/>
  <c r="AJ45" i="93" s="1"/>
  <c r="AI46" i="93"/>
  <c r="AJ46" i="93" s="1" a="1"/>
  <c r="AJ46" i="93" s="1"/>
  <c r="AI47" i="93"/>
  <c r="AJ47" i="93" s="1" a="1"/>
  <c r="AJ47" i="93" s="1"/>
  <c r="AI48" i="93"/>
  <c r="AI49" i="93"/>
  <c r="AJ49" i="93" s="1" a="1"/>
  <c r="AJ49" i="93" s="1"/>
  <c r="AI50" i="93"/>
  <c r="AJ50" i="93" s="1" a="1"/>
  <c r="AJ50" i="93" s="1"/>
  <c r="AI51" i="93"/>
  <c r="AJ51" i="93" s="1" a="1"/>
  <c r="AJ51" i="93" s="1"/>
  <c r="AI52" i="93"/>
  <c r="AI53" i="93"/>
  <c r="AK53" i="93" s="1" a="1"/>
  <c r="AK53" i="93" s="1"/>
  <c r="AL53" i="93" s="1" a="1"/>
  <c r="AL53" i="93" s="1"/>
  <c r="AI54" i="93"/>
  <c r="AJ54" i="93" s="1" a="1"/>
  <c r="AJ54" i="93" s="1"/>
  <c r="AI55" i="93"/>
  <c r="AJ55" i="93" s="1" a="1"/>
  <c r="AJ55" i="93" s="1"/>
  <c r="AI56" i="93"/>
  <c r="AI57" i="93"/>
  <c r="AJ57" i="93" s="1" a="1"/>
  <c r="AJ57" i="93" s="1"/>
  <c r="AI58" i="93"/>
  <c r="AJ58" i="93" s="1" a="1"/>
  <c r="AJ58" i="93" s="1"/>
  <c r="AI59" i="93"/>
  <c r="AI60" i="93"/>
  <c r="AI61" i="93"/>
  <c r="AJ61" i="93" s="1" a="1"/>
  <c r="AJ61" i="93" s="1"/>
  <c r="AI62" i="93"/>
  <c r="AJ62" i="93" s="1" a="1"/>
  <c r="AJ62" i="93" s="1"/>
  <c r="AI63" i="93"/>
  <c r="AK63" i="93" s="1" a="1"/>
  <c r="AK63" i="93" s="1"/>
  <c r="AL63" i="93" s="1" a="1"/>
  <c r="AL63" i="93" s="1"/>
  <c r="AI64" i="93"/>
  <c r="AJ64" i="93" s="1" a="1"/>
  <c r="AJ64" i="93" s="1"/>
  <c r="AI65" i="93"/>
  <c r="AK65" i="93" s="1" a="1"/>
  <c r="AK65" i="93" s="1"/>
  <c r="AL65" i="93" s="1" a="1"/>
  <c r="AL65" i="93" s="1"/>
  <c r="AI66" i="93"/>
  <c r="AJ66" i="93" s="1" a="1"/>
  <c r="AJ66" i="93" s="1"/>
  <c r="AI67" i="93"/>
  <c r="AI68" i="93"/>
  <c r="AI69" i="93"/>
  <c r="AK69" i="93" s="1" a="1"/>
  <c r="AK69" i="93" s="1"/>
  <c r="AL69" i="93" s="1" a="1"/>
  <c r="AL69" i="93" s="1"/>
  <c r="AI70" i="93"/>
  <c r="AJ70" i="93" s="1" a="1"/>
  <c r="AJ70" i="93" s="1"/>
  <c r="AI71" i="93"/>
  <c r="AJ71" i="93" s="1" a="1"/>
  <c r="AJ71" i="93" s="1"/>
  <c r="AI72" i="93"/>
  <c r="AJ72" i="93" s="1" a="1"/>
  <c r="AJ72" i="93" s="1"/>
  <c r="AI73" i="93"/>
  <c r="AJ73" i="93" s="1" a="1"/>
  <c r="AJ73" i="93" s="1"/>
  <c r="AI74" i="93"/>
  <c r="AJ74" i="93" s="1" a="1"/>
  <c r="AJ74" i="93" s="1"/>
  <c r="AI75" i="93"/>
  <c r="AK75" i="93" s="1" a="1"/>
  <c r="AK75" i="93" s="1"/>
  <c r="AL75" i="93" s="1" a="1"/>
  <c r="AL75" i="93" s="1"/>
  <c r="AI76" i="93"/>
  <c r="AJ76" i="93" s="1" a="1"/>
  <c r="AJ76" i="93" s="1"/>
  <c r="AI77" i="93"/>
  <c r="AJ77" i="93" s="1" a="1"/>
  <c r="AJ77" i="93" s="1"/>
  <c r="AI78" i="93"/>
  <c r="AJ78" i="93" s="1" a="1"/>
  <c r="AJ78" i="93" s="1"/>
  <c r="AI79" i="93"/>
  <c r="AK79" i="93" s="1" a="1"/>
  <c r="AK79" i="93" s="1"/>
  <c r="AL79" i="93" s="1" a="1"/>
  <c r="AL79" i="93" s="1"/>
  <c r="AI80" i="93"/>
  <c r="AJ80" i="93" s="1" a="1"/>
  <c r="AJ80" i="93" s="1"/>
  <c r="AI81" i="93"/>
  <c r="AJ81" i="93" s="1" a="1"/>
  <c r="AJ81" i="93" s="1"/>
  <c r="AI82" i="93"/>
  <c r="AJ82" i="93" s="1" a="1"/>
  <c r="AJ82" i="93" s="1"/>
  <c r="AI83" i="93"/>
  <c r="AI84" i="93"/>
  <c r="AJ84" i="93" s="1" a="1"/>
  <c r="AJ84" i="93" s="1"/>
  <c r="AI85" i="93"/>
  <c r="AJ85" i="93" s="1" a="1"/>
  <c r="AJ85" i="93" s="1"/>
  <c r="AI86" i="93"/>
  <c r="AJ86" i="93" s="1" a="1"/>
  <c r="AJ86" i="93" s="1"/>
  <c r="AI87" i="93"/>
  <c r="AK87" i="93" s="1" a="1"/>
  <c r="AK87" i="93" s="1"/>
  <c r="AL87" i="93" s="1" a="1"/>
  <c r="AL87" i="93" s="1"/>
  <c r="AI88" i="93"/>
  <c r="AJ88" i="93" s="1" a="1"/>
  <c r="AJ88" i="93" s="1"/>
  <c r="AI89" i="93"/>
  <c r="AJ89" i="93" s="1" a="1"/>
  <c r="AJ89" i="93" s="1"/>
  <c r="AI90" i="93"/>
  <c r="AJ90" i="93" s="1" a="1"/>
  <c r="AJ90" i="93" s="1"/>
  <c r="AI91" i="93"/>
  <c r="AJ91" i="93" s="1" a="1"/>
  <c r="AJ91" i="93" s="1"/>
  <c r="AI92" i="93"/>
  <c r="AJ92" i="93" s="1" a="1"/>
  <c r="AJ92" i="93" s="1"/>
  <c r="AI93" i="93"/>
  <c r="AK93" i="93" s="1" a="1"/>
  <c r="AK93" i="93" s="1"/>
  <c r="AL93" i="93" s="1" a="1"/>
  <c r="AL93" i="93" s="1"/>
  <c r="AI94" i="93"/>
  <c r="AJ94" i="93" s="1" a="1"/>
  <c r="AJ94" i="93" s="1"/>
  <c r="AI95" i="93"/>
  <c r="AJ95" i="93" s="1" a="1"/>
  <c r="AJ95" i="93" s="1"/>
  <c r="AI96" i="93"/>
  <c r="AJ96" i="93" s="1" a="1"/>
  <c r="AJ96" i="93" s="1"/>
  <c r="AI97" i="93"/>
  <c r="AJ97" i="93" s="1" a="1"/>
  <c r="AJ97" i="93" s="1"/>
  <c r="AI98" i="93"/>
  <c r="AJ98" i="93" s="1" a="1"/>
  <c r="AJ98" i="93" s="1"/>
  <c r="AI99" i="93"/>
  <c r="AJ99" i="93" s="1" a="1"/>
  <c r="AJ99" i="93" s="1"/>
  <c r="AI100" i="93"/>
  <c r="AJ100" i="93" s="1" a="1"/>
  <c r="AJ100" i="93" s="1"/>
  <c r="AI101" i="93"/>
  <c r="AJ101" i="93" s="1" a="1"/>
  <c r="AJ101" i="93" s="1"/>
  <c r="AI102" i="93"/>
  <c r="AJ102" i="93" s="1" a="1"/>
  <c r="AJ102" i="93" s="1"/>
  <c r="AI103" i="93"/>
  <c r="AJ103" i="93" s="1" a="1"/>
  <c r="AJ103" i="93" s="1"/>
  <c r="AI104" i="93"/>
  <c r="AJ104" i="93" s="1" a="1"/>
  <c r="AJ104" i="93" s="1"/>
  <c r="AI105" i="93"/>
  <c r="AJ105" i="93" s="1" a="1"/>
  <c r="AJ105" i="93" s="1"/>
  <c r="AI106" i="93"/>
  <c r="AJ106" i="93" s="1" a="1"/>
  <c r="AJ106" i="93" s="1"/>
  <c r="AI107" i="93"/>
  <c r="AI108" i="93"/>
  <c r="AI109" i="93"/>
  <c r="AK109" i="93" s="1" a="1"/>
  <c r="AK109" i="93" s="1"/>
  <c r="AL109" i="93" s="1" a="1"/>
  <c r="AL109" i="93" s="1"/>
  <c r="AI110" i="93"/>
  <c r="AJ110" i="93" s="1" a="1"/>
  <c r="AJ110" i="93" s="1"/>
  <c r="AI111" i="93"/>
  <c r="AJ111" i="93" s="1" a="1"/>
  <c r="AJ111" i="93" s="1"/>
  <c r="AI112" i="93"/>
  <c r="AJ112" i="93" s="1" a="1"/>
  <c r="AJ112" i="93" s="1"/>
  <c r="AI113" i="93"/>
  <c r="AJ113" i="93" s="1" a="1"/>
  <c r="AJ113" i="93" s="1"/>
  <c r="AI114" i="93"/>
  <c r="AJ114" i="93" s="1" a="1"/>
  <c r="AJ114" i="93" s="1"/>
  <c r="AI115" i="93"/>
  <c r="AJ115" i="93" s="1" a="1"/>
  <c r="AJ115" i="93" s="1"/>
  <c r="AI116" i="93"/>
  <c r="AJ116" i="93" s="1" a="1"/>
  <c r="AJ116" i="93" s="1"/>
  <c r="AI117" i="93"/>
  <c r="AK117" i="93" s="1" a="1"/>
  <c r="AK117" i="93" s="1"/>
  <c r="AL117" i="93" s="1" a="1"/>
  <c r="AL117" i="93" s="1"/>
  <c r="AI118" i="93"/>
  <c r="AJ118" i="93" s="1" a="1"/>
  <c r="AJ118" i="93" s="1"/>
  <c r="AI119" i="93"/>
  <c r="AJ119" i="93" s="1" a="1"/>
  <c r="AJ119" i="93" s="1"/>
  <c r="AI120" i="93"/>
  <c r="AI121" i="93"/>
  <c r="AJ121" i="93" s="1" a="1"/>
  <c r="AJ121" i="93" s="1"/>
  <c r="AI122" i="93"/>
  <c r="AJ122" i="93" s="1" a="1"/>
  <c r="AJ122" i="93" s="1"/>
  <c r="AI123" i="93"/>
  <c r="AJ123" i="93" s="1" a="1"/>
  <c r="AJ123" i="93" s="1"/>
  <c r="AI124" i="93"/>
  <c r="AJ124" i="93" s="1" a="1"/>
  <c r="AJ124" i="93" s="1"/>
  <c r="AI125" i="93"/>
  <c r="AJ125" i="93" s="1" a="1"/>
  <c r="AJ125" i="93" s="1"/>
  <c r="AI126" i="93"/>
  <c r="AK126" i="93" s="1" a="1"/>
  <c r="AK126" i="93" s="1"/>
  <c r="AL126" i="93" s="1" a="1"/>
  <c r="AL126" i="93" s="1"/>
  <c r="AI127" i="93"/>
  <c r="AK127" i="93" s="1" a="1"/>
  <c r="AK127" i="93" s="1"/>
  <c r="AL127" i="93" s="1" a="1"/>
  <c r="AL127" i="93" s="1"/>
  <c r="AI128" i="93"/>
  <c r="AJ128" i="93" s="1" a="1"/>
  <c r="AJ128" i="93" s="1"/>
  <c r="AI129" i="93"/>
  <c r="AJ129" i="93" s="1" a="1"/>
  <c r="AJ129" i="93" s="1"/>
  <c r="AI130" i="93"/>
  <c r="AJ130" i="93" s="1" a="1"/>
  <c r="AJ130" i="93" s="1"/>
  <c r="AI131" i="93"/>
  <c r="AJ131" i="93" s="1" a="1"/>
  <c r="AJ131" i="93" s="1"/>
  <c r="AI132" i="93"/>
  <c r="AJ132" i="93" s="1" a="1"/>
  <c r="AJ132" i="93" s="1"/>
  <c r="AI133" i="93"/>
  <c r="AK133" i="93" s="1" a="1"/>
  <c r="AK133" i="93" s="1"/>
  <c r="AL133" i="93" s="1" a="1"/>
  <c r="AL133" i="93" s="1"/>
  <c r="AI134" i="93"/>
  <c r="AJ134" i="93" s="1" a="1"/>
  <c r="AJ134" i="93" s="1"/>
  <c r="AI135" i="93"/>
  <c r="AJ135" i="93" s="1" a="1"/>
  <c r="AJ135" i="93" s="1"/>
  <c r="AI136" i="93"/>
  <c r="AI137" i="93"/>
  <c r="AJ137" i="93" s="1" a="1"/>
  <c r="AJ137" i="93" s="1"/>
  <c r="AI138" i="93"/>
  <c r="AJ138" i="93" s="1" a="1"/>
  <c r="AJ138" i="93" s="1"/>
  <c r="AI139" i="93"/>
  <c r="AJ139" i="93" s="1" a="1"/>
  <c r="AJ139" i="93" s="1"/>
  <c r="AI140" i="93"/>
  <c r="AJ140" i="93" s="1" a="1"/>
  <c r="AJ140" i="93" s="1"/>
  <c r="AI141" i="93"/>
  <c r="AJ141" i="93" s="1" a="1"/>
  <c r="AJ141" i="93" s="1"/>
  <c r="AI142" i="93"/>
  <c r="AJ142" i="93" s="1" a="1"/>
  <c r="AJ142" i="93" s="1"/>
  <c r="AI143" i="93"/>
  <c r="AJ143" i="93" s="1" a="1"/>
  <c r="AJ143" i="93" s="1"/>
  <c r="AI144" i="93"/>
  <c r="AJ144" i="93" s="1" a="1"/>
  <c r="AJ144" i="93" s="1"/>
  <c r="AI145" i="93"/>
  <c r="AK145" i="93" s="1" a="1"/>
  <c r="AK145" i="93" s="1"/>
  <c r="AL145" i="93" s="1" a="1"/>
  <c r="AL145" i="93" s="1"/>
  <c r="AI146" i="93"/>
  <c r="AJ146" i="93" s="1" a="1"/>
  <c r="AJ146" i="93" s="1"/>
  <c r="AI147" i="93"/>
  <c r="AJ147" i="93" s="1" a="1"/>
  <c r="AJ147" i="93" s="1"/>
  <c r="AI148" i="93"/>
  <c r="AI149" i="93"/>
  <c r="AJ149" i="93" s="1" a="1"/>
  <c r="AJ149" i="93" s="1"/>
  <c r="AI150" i="93"/>
  <c r="AK150" i="93" s="1" a="1"/>
  <c r="AK150" i="93" s="1"/>
  <c r="AL150" i="93" s="1" a="1"/>
  <c r="AL150" i="93" s="1"/>
  <c r="AI151" i="93"/>
  <c r="AJ151" i="93" s="1" a="1"/>
  <c r="AJ151" i="93" s="1"/>
  <c r="AI152" i="93"/>
  <c r="AJ152" i="93" s="1" a="1"/>
  <c r="AJ152" i="93" s="1"/>
  <c r="AI153" i="93"/>
  <c r="AK153" i="93" s="1" a="1"/>
  <c r="AK153" i="93" s="1"/>
  <c r="AL153" i="93" s="1" a="1"/>
  <c r="AL153" i="93" s="1"/>
  <c r="AI154" i="93"/>
  <c r="AJ154" i="93" s="1" a="1"/>
  <c r="AJ154" i="93" s="1"/>
  <c r="AI155" i="93"/>
  <c r="AJ155" i="93" s="1" a="1"/>
  <c r="AJ155" i="93" s="1"/>
  <c r="AI156" i="93"/>
  <c r="AI157" i="93"/>
  <c r="AK157" i="93" s="1" a="1"/>
  <c r="AK157" i="93" s="1"/>
  <c r="AL157" i="93" s="1" a="1"/>
  <c r="AL157" i="93" s="1"/>
  <c r="AI158" i="93"/>
  <c r="AK158" i="93" s="1" a="1"/>
  <c r="AK158" i="93" s="1"/>
  <c r="AL158" i="93" s="1" a="1"/>
  <c r="AL158" i="93" s="1"/>
  <c r="AI159" i="93"/>
  <c r="AJ159" i="93" s="1" a="1"/>
  <c r="AJ159" i="93" s="1"/>
  <c r="AI160" i="93"/>
  <c r="AJ160" i="93" s="1" a="1"/>
  <c r="AJ160" i="93" s="1"/>
  <c r="AI161" i="93"/>
  <c r="AJ161" i="93" s="1" a="1"/>
  <c r="AJ161" i="93" s="1"/>
  <c r="AI162" i="93"/>
  <c r="AJ162" i="93" s="1" a="1"/>
  <c r="AJ162" i="93" s="1"/>
  <c r="AM16" i="93"/>
  <c r="AM64" i="93"/>
  <c r="W8" i="27"/>
  <c r="W9" i="27"/>
  <c r="W10" i="27"/>
  <c r="W11" i="27"/>
  <c r="W12" i="27"/>
  <c r="W13" i="27"/>
  <c r="W14" i="27"/>
  <c r="W15" i="27"/>
  <c r="W16" i="27"/>
  <c r="W17" i="27"/>
  <c r="W18" i="27"/>
  <c r="W19" i="27"/>
  <c r="W20" i="27"/>
  <c r="W21" i="27"/>
  <c r="W22" i="27"/>
  <c r="W23" i="27"/>
  <c r="W24" i="27"/>
  <c r="W25" i="27"/>
  <c r="W26" i="27"/>
  <c r="W27" i="27"/>
  <c r="W28" i="27"/>
  <c r="W29" i="27"/>
  <c r="W30" i="27"/>
  <c r="W31" i="27"/>
  <c r="W32" i="27"/>
  <c r="W33" i="27"/>
  <c r="W34" i="27"/>
  <c r="W35" i="27"/>
  <c r="W36" i="27"/>
  <c r="W37" i="27"/>
  <c r="W38" i="27"/>
  <c r="W39" i="27"/>
  <c r="W40" i="27"/>
  <c r="W41" i="27"/>
  <c r="W42" i="27"/>
  <c r="W43" i="27"/>
  <c r="W44" i="27"/>
  <c r="W45" i="27"/>
  <c r="W46" i="27"/>
  <c r="W47" i="27"/>
  <c r="W48" i="27"/>
  <c r="W49" i="27"/>
  <c r="W50" i="27"/>
  <c r="W51" i="27"/>
  <c r="W52" i="27"/>
  <c r="W53" i="27"/>
  <c r="W54" i="27"/>
  <c r="W55" i="27"/>
  <c r="W56" i="27"/>
  <c r="W57" i="27"/>
  <c r="W58" i="27"/>
  <c r="W59" i="27"/>
  <c r="W60" i="27"/>
  <c r="W61" i="27"/>
  <c r="W62" i="27"/>
  <c r="W63"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Y8" i="27"/>
  <c r="Y9" i="27"/>
  <c r="Y10" i="27"/>
  <c r="Y11" i="27"/>
  <c r="Y12" i="27"/>
  <c r="Y13" i="27"/>
  <c r="Y14" i="27"/>
  <c r="Y15" i="27"/>
  <c r="Y16" i="27"/>
  <c r="Y17" i="27"/>
  <c r="Y18" i="27"/>
  <c r="Y19" i="27"/>
  <c r="Y20" i="27"/>
  <c r="Y21" i="27"/>
  <c r="Y22" i="27"/>
  <c r="Y23" i="27"/>
  <c r="Y24" i="27"/>
  <c r="Y25" i="27"/>
  <c r="Y26" i="27"/>
  <c r="Y27" i="27"/>
  <c r="Y28" i="27"/>
  <c r="Y29" i="27"/>
  <c r="Y30" i="27"/>
  <c r="Y31" i="27"/>
  <c r="Y32" i="27"/>
  <c r="Y33" i="27"/>
  <c r="Y34" i="27"/>
  <c r="Y35" i="27"/>
  <c r="Y36" i="27"/>
  <c r="Y37" i="27"/>
  <c r="Y38" i="27"/>
  <c r="Y39" i="27"/>
  <c r="Y40" i="27"/>
  <c r="Y41" i="27"/>
  <c r="Y42" i="27"/>
  <c r="Y43" i="27"/>
  <c r="Y44" i="27"/>
  <c r="Y45" i="27"/>
  <c r="Y46" i="27"/>
  <c r="Y47" i="27"/>
  <c r="Y48" i="27"/>
  <c r="Y49" i="27"/>
  <c r="Y50" i="27"/>
  <c r="Y51" i="27"/>
  <c r="Y52" i="27"/>
  <c r="Y53" i="27"/>
  <c r="Y54" i="27"/>
  <c r="Y55" i="27"/>
  <c r="Y56" i="27"/>
  <c r="Y57" i="27"/>
  <c r="Y58" i="27"/>
  <c r="Y59" i="27"/>
  <c r="Y60" i="27"/>
  <c r="Y61" i="27"/>
  <c r="Y62" i="27"/>
  <c r="Y63"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AA8" i="27"/>
  <c r="AA9" i="27"/>
  <c r="AA10" i="27"/>
  <c r="AA11" i="27"/>
  <c r="AA12" i="27"/>
  <c r="AA13" i="27"/>
  <c r="AA14" i="27"/>
  <c r="AA15" i="27"/>
  <c r="AA16" i="27"/>
  <c r="AA17" i="27"/>
  <c r="AA18" i="27"/>
  <c r="AA19" i="27"/>
  <c r="AA20" i="27"/>
  <c r="AA21" i="27"/>
  <c r="AA22" i="27"/>
  <c r="AA23" i="27"/>
  <c r="AA24" i="27"/>
  <c r="AA25" i="27"/>
  <c r="AA26" i="27"/>
  <c r="AA27" i="27"/>
  <c r="AA28" i="27"/>
  <c r="AA29" i="27"/>
  <c r="AA30" i="27"/>
  <c r="AA31" i="27"/>
  <c r="AA32" i="27"/>
  <c r="AA33" i="27"/>
  <c r="AA34" i="27"/>
  <c r="AA35" i="27"/>
  <c r="AA36" i="27"/>
  <c r="AA37" i="27"/>
  <c r="AA38" i="27"/>
  <c r="AA39" i="27"/>
  <c r="AA40" i="27"/>
  <c r="AA41" i="27"/>
  <c r="AA42" i="27"/>
  <c r="AA43" i="27"/>
  <c r="AA44" i="27"/>
  <c r="AA45" i="27"/>
  <c r="AA46" i="27"/>
  <c r="AA47" i="27"/>
  <c r="AA48" i="27"/>
  <c r="AA49" i="27"/>
  <c r="AA50" i="27"/>
  <c r="AA51" i="27"/>
  <c r="AA52" i="27"/>
  <c r="AA53" i="27"/>
  <c r="AA54" i="27"/>
  <c r="AA55" i="27"/>
  <c r="AA56" i="27"/>
  <c r="AA57" i="27"/>
  <c r="AA58" i="27"/>
  <c r="AA59" i="27"/>
  <c r="AA60" i="27"/>
  <c r="AA61" i="27"/>
  <c r="AA62" i="27"/>
  <c r="AA63"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C8" i="27"/>
  <c r="AC9" i="27"/>
  <c r="AC10" i="27"/>
  <c r="AC11" i="27"/>
  <c r="AC12" i="27"/>
  <c r="AC13" i="27"/>
  <c r="AC14" i="27"/>
  <c r="AC15" i="27"/>
  <c r="AC16" i="27"/>
  <c r="AC17" i="27"/>
  <c r="AC18" i="27"/>
  <c r="AC19" i="27"/>
  <c r="AC20" i="27"/>
  <c r="AC21" i="27"/>
  <c r="AC22" i="27"/>
  <c r="AC23" i="27"/>
  <c r="AC24" i="27"/>
  <c r="AC25" i="27"/>
  <c r="AC26" i="27"/>
  <c r="AC27" i="27"/>
  <c r="AC28" i="27"/>
  <c r="AC29" i="27"/>
  <c r="AC30" i="27"/>
  <c r="AC31" i="27"/>
  <c r="AC32" i="27"/>
  <c r="AC33" i="27"/>
  <c r="AC34" i="27"/>
  <c r="AC35" i="27"/>
  <c r="AC36" i="27"/>
  <c r="AC37" i="27"/>
  <c r="AC38" i="27"/>
  <c r="AC39" i="27"/>
  <c r="AC40" i="27"/>
  <c r="AC41" i="27"/>
  <c r="AC42" i="27"/>
  <c r="AC43" i="27"/>
  <c r="AC44" i="27"/>
  <c r="AC45" i="27"/>
  <c r="AC46" i="27"/>
  <c r="AC47" i="27"/>
  <c r="AC48" i="27"/>
  <c r="AC49" i="27"/>
  <c r="AC50" i="27"/>
  <c r="AC51" i="27"/>
  <c r="AC52" i="27"/>
  <c r="AC53" i="27"/>
  <c r="AC54" i="27"/>
  <c r="AC55" i="27"/>
  <c r="AC56" i="27"/>
  <c r="AC57" i="27"/>
  <c r="AC58" i="27"/>
  <c r="AC59" i="27"/>
  <c r="AC60" i="27"/>
  <c r="AC61" i="27"/>
  <c r="AC62" i="27"/>
  <c r="AC63" i="27"/>
  <c r="AD8" i="27"/>
  <c r="AD9" i="27"/>
  <c r="AD10" i="27"/>
  <c r="AD11" i="27"/>
  <c r="AD12" i="27"/>
  <c r="AD13" i="27"/>
  <c r="AD14" i="27"/>
  <c r="AD15" i="27"/>
  <c r="AD16" i="27"/>
  <c r="AD17" i="27"/>
  <c r="AD18" i="27"/>
  <c r="AD19" i="27"/>
  <c r="AD20" i="27"/>
  <c r="AD21" i="27"/>
  <c r="AD22" i="27"/>
  <c r="AD23" i="27"/>
  <c r="AD24" i="27"/>
  <c r="AD25" i="27"/>
  <c r="AD26" i="27"/>
  <c r="AD27" i="27"/>
  <c r="AD28" i="27"/>
  <c r="AD29" i="27"/>
  <c r="AD30" i="27"/>
  <c r="AD31" i="27"/>
  <c r="AD32" i="27"/>
  <c r="AD33" i="27"/>
  <c r="AD34" i="27"/>
  <c r="AD35" i="27"/>
  <c r="AD36" i="27"/>
  <c r="AD37" i="27"/>
  <c r="AD38" i="27"/>
  <c r="AD39" i="27"/>
  <c r="AD40" i="27"/>
  <c r="AD41" i="27"/>
  <c r="AD42" i="27"/>
  <c r="AD43" i="27"/>
  <c r="AD44" i="27"/>
  <c r="AD45" i="27"/>
  <c r="AD46" i="27"/>
  <c r="AD47" i="27"/>
  <c r="AD48" i="27"/>
  <c r="AD49" i="27"/>
  <c r="AD50" i="27"/>
  <c r="AD51" i="27"/>
  <c r="AD52" i="27"/>
  <c r="AD53" i="27"/>
  <c r="AD54" i="27"/>
  <c r="AD55" i="27"/>
  <c r="AD56" i="27"/>
  <c r="AD57" i="27"/>
  <c r="AD58" i="27"/>
  <c r="AD59" i="27"/>
  <c r="AD60" i="27"/>
  <c r="AD61" i="27"/>
  <c r="AD62" i="27"/>
  <c r="AD63" i="27"/>
  <c r="AE8"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35" i="27"/>
  <c r="AE36" i="27"/>
  <c r="AE37" i="27"/>
  <c r="AE38" i="27"/>
  <c r="AE39" i="27"/>
  <c r="AE40" i="27"/>
  <c r="AE41" i="27"/>
  <c r="AE42" i="27"/>
  <c r="AE43" i="27"/>
  <c r="AE44" i="27"/>
  <c r="AE45" i="27"/>
  <c r="AE46" i="27"/>
  <c r="AE47" i="27"/>
  <c r="AE48" i="27"/>
  <c r="AE49" i="27"/>
  <c r="AE50" i="27"/>
  <c r="AE51" i="27"/>
  <c r="AE52" i="27"/>
  <c r="AE53" i="27"/>
  <c r="AE54" i="27"/>
  <c r="AE55" i="27"/>
  <c r="AE56" i="27"/>
  <c r="AE57" i="27"/>
  <c r="AE58" i="27"/>
  <c r="AE59" i="27"/>
  <c r="AE60" i="27"/>
  <c r="AE61" i="27"/>
  <c r="AE62" i="27"/>
  <c r="AE63" i="27"/>
  <c r="AF8" i="27"/>
  <c r="AF9" i="27"/>
  <c r="AF10" i="27"/>
  <c r="AF11" i="27"/>
  <c r="AF12" i="27"/>
  <c r="AF13" i="27"/>
  <c r="AF14" i="27"/>
  <c r="AF15" i="27"/>
  <c r="AF16" i="27"/>
  <c r="AF17" i="27"/>
  <c r="AF18"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60" i="27"/>
  <c r="AF61" i="27"/>
  <c r="AF62" i="27"/>
  <c r="AF63" i="27"/>
  <c r="AG8" i="27"/>
  <c r="AG9" i="27"/>
  <c r="AG10" i="27"/>
  <c r="AG11" i="27"/>
  <c r="AG12" i="27"/>
  <c r="AG13" i="27"/>
  <c r="AG14" i="27"/>
  <c r="AG15" i="27"/>
  <c r="AG16" i="27"/>
  <c r="AG17" i="27"/>
  <c r="AG18" i="27"/>
  <c r="AG19" i="27"/>
  <c r="AG20" i="27"/>
  <c r="AG21" i="27"/>
  <c r="AG22" i="27"/>
  <c r="AG23" i="27"/>
  <c r="AG24" i="27"/>
  <c r="AG25" i="27"/>
  <c r="AG26" i="27"/>
  <c r="AG27" i="27"/>
  <c r="AG28" i="27"/>
  <c r="AG29" i="27"/>
  <c r="AG30" i="27"/>
  <c r="AG31" i="27"/>
  <c r="AG32" i="27"/>
  <c r="AG33" i="27"/>
  <c r="AG34" i="27"/>
  <c r="AG35" i="27"/>
  <c r="AG36" i="27"/>
  <c r="AG37" i="27"/>
  <c r="AG38" i="27"/>
  <c r="AG39" i="27"/>
  <c r="AG40" i="27"/>
  <c r="AG41" i="27"/>
  <c r="AG42" i="27"/>
  <c r="AG43" i="27"/>
  <c r="AG44" i="27"/>
  <c r="AG45" i="27"/>
  <c r="AG46" i="27"/>
  <c r="AG47" i="27"/>
  <c r="AG48" i="27"/>
  <c r="AG49" i="27"/>
  <c r="AG50" i="27"/>
  <c r="AG51" i="27"/>
  <c r="AG52" i="27"/>
  <c r="AG53" i="27"/>
  <c r="AG54" i="27"/>
  <c r="AG55" i="27"/>
  <c r="AG56" i="27"/>
  <c r="AG57" i="27"/>
  <c r="AG58" i="27"/>
  <c r="AG59" i="27"/>
  <c r="AG60" i="27"/>
  <c r="AG61" i="27"/>
  <c r="AG62" i="27"/>
  <c r="AG63" i="27"/>
  <c r="AH8" i="27"/>
  <c r="AH9" i="27"/>
  <c r="AH10" i="27"/>
  <c r="AH11" i="27"/>
  <c r="AH12" i="27"/>
  <c r="AH13" i="27"/>
  <c r="AH14" i="27"/>
  <c r="AH15" i="27"/>
  <c r="AH16" i="27"/>
  <c r="AH17" i="27"/>
  <c r="AH18" i="27"/>
  <c r="AH19" i="27"/>
  <c r="AH20" i="27"/>
  <c r="AH21" i="27"/>
  <c r="AH22" i="27"/>
  <c r="AH23" i="27"/>
  <c r="AH24" i="27"/>
  <c r="AH25" i="27"/>
  <c r="AH26" i="27"/>
  <c r="AH27" i="27"/>
  <c r="AH28" i="27"/>
  <c r="AH29" i="27"/>
  <c r="AH30" i="27"/>
  <c r="AH31" i="27"/>
  <c r="AH32" i="27"/>
  <c r="AH33" i="27"/>
  <c r="AH34" i="27"/>
  <c r="AH35" i="27"/>
  <c r="AH36" i="27"/>
  <c r="AH37" i="27"/>
  <c r="AH38" i="27"/>
  <c r="AH39" i="27"/>
  <c r="AH40" i="27"/>
  <c r="AH41" i="27"/>
  <c r="AH42" i="27"/>
  <c r="AH43" i="27"/>
  <c r="AH44" i="27"/>
  <c r="AH45" i="27"/>
  <c r="AH46" i="27"/>
  <c r="AH47" i="27"/>
  <c r="AH48" i="27"/>
  <c r="AH49" i="27"/>
  <c r="AH50" i="27"/>
  <c r="AH51" i="27"/>
  <c r="AH52" i="27"/>
  <c r="AH53" i="27"/>
  <c r="AH54" i="27"/>
  <c r="AH55" i="27"/>
  <c r="AH56" i="27"/>
  <c r="AH57" i="27"/>
  <c r="AH58" i="27"/>
  <c r="AH59" i="27"/>
  <c r="AH60" i="27"/>
  <c r="AH61" i="27"/>
  <c r="AH62" i="27"/>
  <c r="AH63" i="27"/>
  <c r="AI8" i="27"/>
  <c r="AJ8" i="27" s="1" a="1"/>
  <c r="AJ8" i="27" s="1"/>
  <c r="AN8" i="27" s="1" a="1"/>
  <c r="AN8" i="27" s="1"/>
  <c r="AI9" i="27"/>
  <c r="AJ9" i="27" s="1" a="1"/>
  <c r="AJ9" i="27" s="1"/>
  <c r="AN9" i="27" s="1" a="1"/>
  <c r="AN9" i="27" s="1"/>
  <c r="AI10" i="27"/>
  <c r="AK10" i="27" s="1"/>
  <c r="AI11" i="27"/>
  <c r="AK11" i="27" s="1"/>
  <c r="AI12" i="27"/>
  <c r="AK12" i="27" s="1"/>
  <c r="AI13" i="27"/>
  <c r="AK13" i="27" s="1"/>
  <c r="AI14" i="27"/>
  <c r="AK14" i="27" s="1"/>
  <c r="AI15" i="27"/>
  <c r="AI16" i="27"/>
  <c r="AJ16" i="27" s="1" a="1"/>
  <c r="AJ16" i="27" s="1"/>
  <c r="AN16" i="27" s="1" a="1"/>
  <c r="AN16" i="27" s="1"/>
  <c r="AI17" i="27"/>
  <c r="AI18" i="27"/>
  <c r="AI19" i="27"/>
  <c r="AI20" i="27"/>
  <c r="AK20" i="27" s="1"/>
  <c r="AI21" i="27"/>
  <c r="AI22" i="27"/>
  <c r="AK22" i="27" s="1"/>
  <c r="AI23" i="27"/>
  <c r="AK23" i="27" s="1"/>
  <c r="AI24" i="27"/>
  <c r="AO24" i="27" s="1" a="1"/>
  <c r="AO24" i="27" s="1"/>
  <c r="AI25" i="27"/>
  <c r="AI26" i="27"/>
  <c r="AI27" i="27"/>
  <c r="AI28" i="27"/>
  <c r="AI29" i="27"/>
  <c r="AI30" i="27"/>
  <c r="AK30" i="27" s="1"/>
  <c r="AI31" i="27"/>
  <c r="AJ31" i="27" s="1" a="1"/>
  <c r="AJ31" i="27" s="1"/>
  <c r="AN31" i="27" s="1" a="1"/>
  <c r="AN31" i="27" s="1"/>
  <c r="AI32" i="27"/>
  <c r="AJ32" i="27" s="1" a="1"/>
  <c r="AJ32" i="27" s="1"/>
  <c r="AI33" i="27"/>
  <c r="AO33" i="27" s="1" a="1"/>
  <c r="AO33" i="27" s="1"/>
  <c r="AI34" i="27"/>
  <c r="AJ34" i="27" s="1" a="1"/>
  <c r="AJ34" i="27" s="1"/>
  <c r="AN34" i="27" s="1" a="1"/>
  <c r="AN34" i="27" s="1"/>
  <c r="AI35" i="27"/>
  <c r="AO35" i="27" s="1" a="1"/>
  <c r="AO35" i="27" s="1"/>
  <c r="AI36" i="27"/>
  <c r="AJ36" i="27" s="1" a="1"/>
  <c r="AJ36" i="27" s="1"/>
  <c r="AN36" i="27" s="1" a="1"/>
  <c r="AN36" i="27" s="1"/>
  <c r="AI37" i="27"/>
  <c r="AK37" i="27" s="1"/>
  <c r="AI38" i="27"/>
  <c r="AK38" i="27" s="1"/>
  <c r="AI39" i="27"/>
  <c r="AI40" i="27"/>
  <c r="AJ40" i="27" s="1" a="1"/>
  <c r="AJ40" i="27" s="1"/>
  <c r="AI41" i="27"/>
  <c r="AK41" i="27" s="1"/>
  <c r="AI42" i="27"/>
  <c r="AJ42" i="27" s="1" a="1"/>
  <c r="AJ42" i="27" s="1"/>
  <c r="AN42" i="27" s="1" a="1"/>
  <c r="AN42" i="27" s="1"/>
  <c r="AI43" i="27"/>
  <c r="AI44" i="27"/>
  <c r="AJ44" i="27" s="1" a="1"/>
  <c r="AJ44" i="27" s="1"/>
  <c r="AN44" i="27" s="1" a="1"/>
  <c r="AN44" i="27" s="1"/>
  <c r="AI45" i="27"/>
  <c r="AO45" i="27" s="1" a="1"/>
  <c r="AO45" i="27" s="1"/>
  <c r="AI46" i="27"/>
  <c r="AK46" i="27" s="1"/>
  <c r="AI47" i="27"/>
  <c r="AJ47" i="27" s="1" a="1"/>
  <c r="AJ47" i="27" s="1"/>
  <c r="AN47" i="27" s="1" a="1"/>
  <c r="AN47" i="27" s="1"/>
  <c r="AI48" i="27"/>
  <c r="AJ48" i="27" s="1" a="1"/>
  <c r="AJ48" i="27" s="1"/>
  <c r="AN48" i="27" s="1" a="1"/>
  <c r="AN48" i="27" s="1"/>
  <c r="AI49" i="27"/>
  <c r="AJ49" i="27" s="1" a="1"/>
  <c r="AJ49" i="27" s="1"/>
  <c r="AI50" i="27"/>
  <c r="AK50" i="27" s="1"/>
  <c r="AI51" i="27"/>
  <c r="AJ51" i="27" s="1" a="1"/>
  <c r="AJ51" i="27" s="1"/>
  <c r="AN51" i="27" s="1" a="1"/>
  <c r="AN51" i="27" s="1"/>
  <c r="AI52" i="27"/>
  <c r="AK52" i="27" s="1"/>
  <c r="AI53" i="27"/>
  <c r="AO53" i="27" s="1" a="1"/>
  <c r="AO53" i="27" s="1"/>
  <c r="AI54" i="27"/>
  <c r="AK54" i="27" s="1"/>
  <c r="AI55" i="27"/>
  <c r="AO55" i="27" s="1" a="1"/>
  <c r="AO55" i="27" s="1"/>
  <c r="AI56" i="27"/>
  <c r="AI57" i="27"/>
  <c r="AO57" i="27" s="1" a="1"/>
  <c r="AO57" i="27" s="1"/>
  <c r="AI58" i="27"/>
  <c r="AI59" i="27"/>
  <c r="AI60" i="27"/>
  <c r="AI61" i="27"/>
  <c r="AK61" i="27" s="1"/>
  <c r="AI62" i="27"/>
  <c r="AK62" i="27" s="1"/>
  <c r="AI63" i="27"/>
  <c r="AJ63" i="27" s="1" a="1"/>
  <c r="AJ63" i="27" s="1"/>
  <c r="AN63" i="27" s="1" a="1"/>
  <c r="AN63" i="27" s="1"/>
  <c r="AL8" i="27"/>
  <c r="AL9" i="27"/>
  <c r="AL10" i="27"/>
  <c r="AL11" i="27"/>
  <c r="AL12" i="27"/>
  <c r="AL13" i="27"/>
  <c r="AL14" i="27"/>
  <c r="AL15" i="27"/>
  <c r="AL16" i="27"/>
  <c r="AL17" i="27"/>
  <c r="AL18" i="27"/>
  <c r="AL19" i="27"/>
  <c r="AL20" i="27"/>
  <c r="AL21" i="27"/>
  <c r="AL22" i="27"/>
  <c r="AL23" i="27"/>
  <c r="AL24" i="27"/>
  <c r="AL25" i="27"/>
  <c r="AL26" i="27"/>
  <c r="AL27" i="27"/>
  <c r="AL28" i="27"/>
  <c r="AL29" i="27"/>
  <c r="AL30" i="27"/>
  <c r="AL31" i="27"/>
  <c r="AL32" i="27"/>
  <c r="AL33" i="27"/>
  <c r="AL34" i="27"/>
  <c r="AL35" i="27"/>
  <c r="AL36" i="27"/>
  <c r="AL37" i="27"/>
  <c r="AL38" i="27"/>
  <c r="AL39" i="27"/>
  <c r="AL40" i="27"/>
  <c r="AL41" i="27"/>
  <c r="AL42" i="27"/>
  <c r="AL43" i="27"/>
  <c r="AL44" i="27"/>
  <c r="AL45" i="27"/>
  <c r="AL46" i="27"/>
  <c r="AL47" i="27"/>
  <c r="AL48" i="27"/>
  <c r="AL49" i="27"/>
  <c r="AL50" i="27"/>
  <c r="AL51" i="27"/>
  <c r="AL52" i="27"/>
  <c r="AL53" i="27"/>
  <c r="AL54" i="27"/>
  <c r="AL55" i="27"/>
  <c r="AL56" i="27"/>
  <c r="AL57" i="27"/>
  <c r="AL58" i="27"/>
  <c r="AL59" i="27"/>
  <c r="AL60" i="27"/>
  <c r="AL61" i="27"/>
  <c r="AL62" i="27"/>
  <c r="AL63" i="27"/>
  <c r="AK19" i="27" l="1"/>
  <c r="AJ19" i="27" a="1"/>
  <c r="AJ19" i="27" s="1"/>
  <c r="AN19" i="27" s="1" a="1"/>
  <c r="AN19" i="27" s="1"/>
  <c r="AK27" i="27"/>
  <c r="AM27" i="27" s="1"/>
  <c r="AJ27" i="27" a="1"/>
  <c r="AJ27" i="27" s="1"/>
  <c r="AK28" i="27"/>
  <c r="AM28" i="27" s="1"/>
  <c r="AJ28" i="27" a="1"/>
  <c r="AJ28" i="27" s="1"/>
  <c r="AN28" i="27" s="1" a="1"/>
  <c r="AN28" i="27" s="1"/>
  <c r="AK25" i="27"/>
  <c r="AM25" i="27" s="1"/>
  <c r="AJ25" i="27" a="1"/>
  <c r="AJ25" i="27" s="1"/>
  <c r="AN25" i="27" s="1" a="1"/>
  <c r="AN25" i="27" s="1"/>
  <c r="AJ23" i="27" a="1"/>
  <c r="AJ23" i="27" s="1"/>
  <c r="AN23" i="27" s="1" a="1"/>
  <c r="AN23" i="27" s="1"/>
  <c r="AU24" i="27" a="1"/>
  <c r="AU24" i="27" s="1"/>
  <c r="AV24" i="27" s="1" a="1"/>
  <c r="AV24" i="27" s="1"/>
  <c r="AP57" i="27" a="1"/>
  <c r="AP57" i="27" s="1"/>
  <c r="AP45" i="27" a="1"/>
  <c r="AP45" i="27" s="1"/>
  <c r="AP33" i="27" a="1"/>
  <c r="AP33" i="27" s="1"/>
  <c r="AP55" i="27" a="1"/>
  <c r="AP55" i="27" s="1"/>
  <c r="AK95" i="93" a="1"/>
  <c r="AK95" i="93" s="1"/>
  <c r="AL95" i="93" s="1" a="1"/>
  <c r="AL95" i="93" s="1"/>
  <c r="AK15" i="93" a="1"/>
  <c r="AK15" i="93" s="1"/>
  <c r="AL15" i="93" s="1" a="1"/>
  <c r="AL15" i="93" s="1"/>
  <c r="AK39" i="93" a="1"/>
  <c r="AK39" i="93" s="1"/>
  <c r="AL39" i="93" s="1" a="1"/>
  <c r="AL39" i="93" s="1"/>
  <c r="AK152" i="93" a="1"/>
  <c r="AK152" i="93" s="1"/>
  <c r="AL152" i="93" s="1" a="1"/>
  <c r="AL152" i="93" s="1"/>
  <c r="AJ79" i="93" a="1"/>
  <c r="AJ79" i="93" s="1"/>
  <c r="AK80" i="93" a="1"/>
  <c r="AK80" i="93" s="1"/>
  <c r="AL80" i="93" s="1" a="1"/>
  <c r="AL80" i="93" s="1"/>
  <c r="AK47" i="93" a="1"/>
  <c r="AK47" i="93" s="1"/>
  <c r="AL47" i="93" s="1" a="1"/>
  <c r="AL47" i="93" s="1"/>
  <c r="AK23" i="93" a="1"/>
  <c r="AK23" i="93" s="1"/>
  <c r="AL23" i="93" s="1" a="1"/>
  <c r="AL23" i="93" s="1"/>
  <c r="AJ10" i="27" a="1"/>
  <c r="AJ10" i="27" s="1"/>
  <c r="AN10" i="27" s="1" a="1"/>
  <c r="AN10" i="27" s="1"/>
  <c r="AJ87" i="93" a="1"/>
  <c r="AJ87" i="93" s="1"/>
  <c r="AK104" i="93" a="1"/>
  <c r="AK104" i="93" s="1"/>
  <c r="AL104" i="93" s="1" a="1"/>
  <c r="AL104" i="93" s="1"/>
  <c r="AK112" i="93" a="1"/>
  <c r="AK112" i="93" s="1"/>
  <c r="AL112" i="93" s="1" a="1"/>
  <c r="AL112" i="93" s="1"/>
  <c r="AK96" i="93" a="1"/>
  <c r="AK96" i="93" s="1"/>
  <c r="AL96" i="93" s="1" a="1"/>
  <c r="AL96" i="93" s="1"/>
  <c r="AK160" i="93" a="1"/>
  <c r="AK160" i="93" s="1"/>
  <c r="AL160" i="93" s="1" a="1"/>
  <c r="AL160" i="93" s="1"/>
  <c r="AK88" i="93" a="1"/>
  <c r="AK88" i="93" s="1"/>
  <c r="AL88" i="93" s="1" a="1"/>
  <c r="AL88" i="93" s="1"/>
  <c r="AK144" i="93" a="1"/>
  <c r="AK144" i="93" s="1"/>
  <c r="AL144" i="93" s="1" a="1"/>
  <c r="AL144" i="93" s="1"/>
  <c r="AK72" i="93" a="1"/>
  <c r="AK72" i="93" s="1"/>
  <c r="AL72" i="93" s="1" a="1"/>
  <c r="AL72" i="93" s="1"/>
  <c r="AK128" i="93" a="1"/>
  <c r="AK128" i="93" s="1"/>
  <c r="AL128" i="93" s="1" a="1"/>
  <c r="AL128" i="93" s="1"/>
  <c r="AK64" i="93" a="1"/>
  <c r="AK64" i="93" s="1"/>
  <c r="AL64" i="93" s="1" a="1"/>
  <c r="AL64" i="93" s="1"/>
  <c r="AK135" i="93" a="1"/>
  <c r="AK135" i="93" s="1"/>
  <c r="AL135" i="93" s="1" a="1"/>
  <c r="AL135" i="93" s="1"/>
  <c r="AK119" i="93" a="1"/>
  <c r="AK119" i="93" s="1"/>
  <c r="AL119" i="93" s="1" a="1"/>
  <c r="AL119" i="93" s="1"/>
  <c r="AK74" i="93" a="1"/>
  <c r="AK74" i="93" s="1"/>
  <c r="AL74" i="93" s="1" a="1"/>
  <c r="AL74" i="93" s="1"/>
  <c r="AO21" i="27" a="1"/>
  <c r="AO21" i="27" s="1"/>
  <c r="AK159" i="93" a="1"/>
  <c r="AK159" i="93" s="1"/>
  <c r="AL159" i="93" s="1" a="1"/>
  <c r="AL159" i="93" s="1"/>
  <c r="AK103" i="93" a="1"/>
  <c r="AK103" i="93" s="1"/>
  <c r="AL103" i="93" s="1" a="1"/>
  <c r="AL103" i="93" s="1"/>
  <c r="AK71" i="93" a="1"/>
  <c r="AK71" i="93" s="1"/>
  <c r="AL71" i="93" s="1" a="1"/>
  <c r="AL71" i="93" s="1"/>
  <c r="AK143" i="93" a="1"/>
  <c r="AK143" i="93" s="1"/>
  <c r="AL143" i="93" s="1" a="1"/>
  <c r="AL143" i="93" s="1"/>
  <c r="AK138" i="93" a="1"/>
  <c r="AK138" i="93" s="1"/>
  <c r="AL138" i="93" s="1" a="1"/>
  <c r="AL138" i="93" s="1"/>
  <c r="AK42" i="93" a="1"/>
  <c r="AK42" i="93" s="1"/>
  <c r="AL42" i="93" s="1" a="1"/>
  <c r="AL42" i="93" s="1"/>
  <c r="AN15" i="93"/>
  <c r="AO23" i="27" a="1"/>
  <c r="AO23" i="27" s="1"/>
  <c r="AK123" i="93" a="1"/>
  <c r="AK123" i="93" s="1"/>
  <c r="AL123" i="93" s="1" a="1"/>
  <c r="AL123" i="93" s="1"/>
  <c r="AK115" i="93" a="1"/>
  <c r="AK115" i="93" s="1"/>
  <c r="AL115" i="93" s="1" a="1"/>
  <c r="AL115" i="93" s="1"/>
  <c r="AN156" i="93"/>
  <c r="AK9" i="27"/>
  <c r="AM9" i="27" s="1"/>
  <c r="AK25" i="93" a="1"/>
  <c r="AK25" i="93" s="1"/>
  <c r="AL25" i="93" s="1" a="1"/>
  <c r="AL25" i="93" s="1"/>
  <c r="AJ41" i="93" a="1"/>
  <c r="AJ41" i="93" s="1"/>
  <c r="AK155" i="93" a="1"/>
  <c r="AK155" i="93" s="1"/>
  <c r="AL155" i="93" s="1" a="1"/>
  <c r="AL155" i="93" s="1"/>
  <c r="AK137" i="93" a="1"/>
  <c r="AK137" i="93" s="1"/>
  <c r="AL137" i="93" s="1" a="1"/>
  <c r="AL137" i="93" s="1"/>
  <c r="AK113" i="93" a="1"/>
  <c r="AK113" i="93" s="1"/>
  <c r="AL113" i="93" s="1" a="1"/>
  <c r="AL113" i="93" s="1"/>
  <c r="AK91" i="93" a="1"/>
  <c r="AK91" i="93" s="1"/>
  <c r="AL91" i="93" s="1" a="1"/>
  <c r="AL91" i="93" s="1"/>
  <c r="AK17" i="93" a="1"/>
  <c r="AK17" i="93" s="1"/>
  <c r="AL17" i="93" s="1" a="1"/>
  <c r="AL17" i="93" s="1"/>
  <c r="AJ127" i="93" a="1"/>
  <c r="AJ127" i="93" s="1"/>
  <c r="AJ31" i="93" a="1"/>
  <c r="AJ31" i="93" s="1"/>
  <c r="AK131" i="93" a="1"/>
  <c r="AK131" i="93" s="1"/>
  <c r="AL131" i="93" s="1" a="1"/>
  <c r="AL131" i="93" s="1"/>
  <c r="AK111" i="93" a="1"/>
  <c r="AK111" i="93" s="1"/>
  <c r="AL111" i="93" s="1" a="1"/>
  <c r="AL111" i="93" s="1"/>
  <c r="AK35" i="93" a="1"/>
  <c r="AK35" i="93" s="1"/>
  <c r="AL35" i="93" s="1" a="1"/>
  <c r="AL35" i="93" s="1"/>
  <c r="AK10" i="93" a="1"/>
  <c r="AK10" i="93" s="1"/>
  <c r="AL10" i="93" s="1" a="1"/>
  <c r="AL10" i="93" s="1"/>
  <c r="AN148" i="93"/>
  <c r="AN140" i="93"/>
  <c r="AN124" i="93"/>
  <c r="AN108" i="93"/>
  <c r="AN92" i="93"/>
  <c r="AN84" i="93"/>
  <c r="AN76" i="93"/>
  <c r="AN60" i="93"/>
  <c r="AN44" i="93"/>
  <c r="AN36" i="93"/>
  <c r="AN28" i="93"/>
  <c r="AN20" i="93"/>
  <c r="AN12" i="93"/>
  <c r="AK151" i="93" a="1"/>
  <c r="AK151" i="93" s="1"/>
  <c r="AL151" i="93" s="1" a="1"/>
  <c r="AL151" i="93" s="1"/>
  <c r="AK106" i="93" a="1"/>
  <c r="AK106" i="93" s="1"/>
  <c r="AL106" i="93" s="1" a="1"/>
  <c r="AL106" i="93" s="1"/>
  <c r="AK33" i="93" a="1"/>
  <c r="AK33" i="93" s="1"/>
  <c r="AL33" i="93" s="1" a="1"/>
  <c r="AL33" i="93" s="1"/>
  <c r="AJ63" i="93" a="1"/>
  <c r="AJ63" i="93" s="1"/>
  <c r="AN155" i="93"/>
  <c r="AN147" i="93"/>
  <c r="AN139" i="93"/>
  <c r="AN115" i="93"/>
  <c r="AN107" i="93"/>
  <c r="AN91" i="93"/>
  <c r="AN75" i="93"/>
  <c r="AN51" i="93"/>
  <c r="AN43" i="93"/>
  <c r="AN27" i="93"/>
  <c r="AN11" i="93"/>
  <c r="AN153" i="93"/>
  <c r="AN89" i="93"/>
  <c r="AN25" i="93"/>
  <c r="AO58" i="27" a="1"/>
  <c r="AO58" i="27" s="1"/>
  <c r="AK154" i="93" a="1"/>
  <c r="AK154" i="93" s="1"/>
  <c r="AL154" i="93" s="1" a="1"/>
  <c r="AL154" i="93" s="1"/>
  <c r="AK89" i="93" a="1"/>
  <c r="AK89" i="93" s="1"/>
  <c r="AL89" i="93" s="1" a="1"/>
  <c r="AL89" i="93" s="1"/>
  <c r="AK147" i="93" a="1"/>
  <c r="AK147" i="93" s="1"/>
  <c r="AL147" i="93" s="1" a="1"/>
  <c r="AL147" i="93" s="1"/>
  <c r="AK82" i="93" a="1"/>
  <c r="AK82" i="93" s="1"/>
  <c r="AL82" i="93" s="1" a="1"/>
  <c r="AL82" i="93" s="1"/>
  <c r="AK55" i="93" a="1"/>
  <c r="AK55" i="93" s="1"/>
  <c r="AL55" i="93" s="1" a="1"/>
  <c r="AL55" i="93" s="1"/>
  <c r="AK49" i="93" a="1"/>
  <c r="AK49" i="93" s="1"/>
  <c r="AL49" i="93" s="1" a="1"/>
  <c r="AL49" i="93" s="1"/>
  <c r="AK26" i="93" a="1"/>
  <c r="AK26" i="93" s="1"/>
  <c r="AL26" i="93" s="1" a="1"/>
  <c r="AL26" i="93" s="1"/>
  <c r="AJ145" i="93" a="1"/>
  <c r="AJ145" i="93" s="1"/>
  <c r="AN131" i="93"/>
  <c r="AN110" i="93"/>
  <c r="AJ69" i="93" a="1"/>
  <c r="AJ69" i="93" s="1"/>
  <c r="AU139" i="93"/>
  <c r="AN67" i="93"/>
  <c r="AJ13" i="93" a="1"/>
  <c r="AJ13" i="93" s="1"/>
  <c r="AN46" i="93"/>
  <c r="AK139" i="93" a="1"/>
  <c r="AK139" i="93" s="1"/>
  <c r="AL139" i="93" s="1" a="1"/>
  <c r="AL139" i="93" s="1"/>
  <c r="AK99" i="93" a="1"/>
  <c r="AK99" i="93" s="1"/>
  <c r="AL99" i="93" s="1" a="1"/>
  <c r="AL99" i="93" s="1"/>
  <c r="AK51" i="93" a="1"/>
  <c r="AK51" i="93" s="1"/>
  <c r="AL51" i="93" s="1" a="1"/>
  <c r="AL51" i="93" s="1"/>
  <c r="AN158" i="93"/>
  <c r="AN134" i="93"/>
  <c r="AN118" i="93"/>
  <c r="AN94" i="93"/>
  <c r="AN86" i="93"/>
  <c r="AN78" i="93"/>
  <c r="AN54" i="93"/>
  <c r="AN30" i="93"/>
  <c r="AN22" i="93"/>
  <c r="AN14" i="93"/>
  <c r="AN161" i="93"/>
  <c r="AN145" i="93"/>
  <c r="AN137" i="93"/>
  <c r="AN129" i="93"/>
  <c r="AN121" i="93"/>
  <c r="AN113" i="93"/>
  <c r="AN105" i="93"/>
  <c r="AN97" i="93"/>
  <c r="AN81" i="93"/>
  <c r="AN73" i="93"/>
  <c r="AN65" i="93"/>
  <c r="AN57" i="93"/>
  <c r="AN49" i="93"/>
  <c r="AN41" i="93"/>
  <c r="AN33" i="93"/>
  <c r="AN17" i="93"/>
  <c r="AN9" i="93"/>
  <c r="AK125" i="93" a="1"/>
  <c r="AK125" i="93" s="1"/>
  <c r="AL125" i="93" s="1" a="1"/>
  <c r="AL125" i="93" s="1"/>
  <c r="AO15" i="27" a="1"/>
  <c r="AO15" i="27" s="1"/>
  <c r="AJ93" i="93" a="1"/>
  <c r="AJ93" i="93" s="1"/>
  <c r="AK101" i="93" a="1"/>
  <c r="AK101" i="93" s="1"/>
  <c r="AL101" i="93" s="1" a="1"/>
  <c r="AL101" i="93" s="1"/>
  <c r="AJ29" i="93" a="1"/>
  <c r="AJ29" i="93" s="1"/>
  <c r="AJ157" i="93" a="1"/>
  <c r="AJ157" i="93" s="1"/>
  <c r="AJ117" i="93" a="1"/>
  <c r="AJ117" i="93" s="1"/>
  <c r="AJ53" i="93" a="1"/>
  <c r="AJ53" i="93" s="1"/>
  <c r="AK149" i="93" a="1"/>
  <c r="AK149" i="93" s="1"/>
  <c r="AL149" i="93" s="1" a="1"/>
  <c r="AL149" i="93" s="1"/>
  <c r="AK77" i="93" a="1"/>
  <c r="AK77" i="93" s="1"/>
  <c r="AL77" i="93" s="1" a="1"/>
  <c r="AL77" i="93" s="1"/>
  <c r="AJ153" i="93" a="1"/>
  <c r="AJ153" i="93" s="1"/>
  <c r="AU43" i="93"/>
  <c r="AO9" i="27" a="1"/>
  <c r="AO9" i="27" s="1"/>
  <c r="AJ13" i="27" a="1"/>
  <c r="AJ13" i="27" s="1"/>
  <c r="AN13" i="27" s="1" a="1"/>
  <c r="AN13" i="27" s="1"/>
  <c r="AU147" i="93"/>
  <c r="AU115" i="93"/>
  <c r="AU11" i="93"/>
  <c r="AN126" i="93"/>
  <c r="AN83" i="93"/>
  <c r="AN62" i="93"/>
  <c r="AN19" i="93"/>
  <c r="AM118" i="93"/>
  <c r="AM86" i="93"/>
  <c r="AK146" i="93" a="1"/>
  <c r="AK146" i="93" s="1"/>
  <c r="AL146" i="93" s="1" a="1"/>
  <c r="AL146" i="93" s="1"/>
  <c r="AK122" i="93" a="1"/>
  <c r="AK122" i="93" s="1"/>
  <c r="AL122" i="93" s="1" a="1"/>
  <c r="AL122" i="93" s="1"/>
  <c r="AK97" i="93" a="1"/>
  <c r="AK97" i="93" s="1"/>
  <c r="AL97" i="93" s="1" a="1"/>
  <c r="AL97" i="93" s="1"/>
  <c r="AK73" i="93" a="1"/>
  <c r="AK73" i="93" s="1"/>
  <c r="AL73" i="93" s="1" a="1"/>
  <c r="AL73" i="93" s="1"/>
  <c r="AK58" i="93" a="1"/>
  <c r="AK58" i="93" s="1"/>
  <c r="AL58" i="93" s="1" a="1"/>
  <c r="AL58" i="93" s="1"/>
  <c r="AK45" i="93" a="1"/>
  <c r="AK45" i="93" s="1"/>
  <c r="AL45" i="93" s="1" a="1"/>
  <c r="AL45" i="93" s="1"/>
  <c r="AJ133" i="93" a="1"/>
  <c r="AJ133" i="93" s="1"/>
  <c r="AJ109" i="93" a="1"/>
  <c r="AJ109" i="93" s="1"/>
  <c r="AJ65" i="93" a="1"/>
  <c r="AJ65" i="93" s="1"/>
  <c r="AJ9" i="93" a="1"/>
  <c r="AJ9" i="93" s="1"/>
  <c r="AM61" i="27"/>
  <c r="AU155" i="93"/>
  <c r="AU51" i="93"/>
  <c r="AN123" i="93"/>
  <c r="AN102" i="93"/>
  <c r="AN59" i="93"/>
  <c r="AN38" i="93"/>
  <c r="AM158" i="93"/>
  <c r="AM54" i="93"/>
  <c r="AM22" i="93"/>
  <c r="AK121" i="93" a="1"/>
  <c r="AK121" i="93" s="1"/>
  <c r="AL121" i="93" s="1" a="1"/>
  <c r="AL121" i="93" s="1"/>
  <c r="AK85" i="93" a="1"/>
  <c r="AK85" i="93" s="1"/>
  <c r="AL85" i="93" s="1" a="1"/>
  <c r="AL85" i="93" s="1"/>
  <c r="AK57" i="93" a="1"/>
  <c r="AK57" i="93" s="1"/>
  <c r="AL57" i="93" s="1" a="1"/>
  <c r="AL57" i="93" s="1"/>
  <c r="AJ21" i="93" a="1"/>
  <c r="AJ21" i="93" s="1"/>
  <c r="AU75" i="93"/>
  <c r="AM14" i="93"/>
  <c r="AU91" i="93"/>
  <c r="AJ29" i="27" a="1"/>
  <c r="AJ29" i="27" s="1"/>
  <c r="AN29" i="27" s="1" a="1"/>
  <c r="AN29" i="27" s="1"/>
  <c r="AK61" i="93" a="1"/>
  <c r="AK61" i="93" s="1"/>
  <c r="AL61" i="93" s="1" a="1"/>
  <c r="AL61" i="93" s="1"/>
  <c r="AN142" i="93"/>
  <c r="AN99" i="93"/>
  <c r="AM94" i="93"/>
  <c r="AU27" i="93"/>
  <c r="AM30" i="93"/>
  <c r="AK129" i="93" a="1"/>
  <c r="AK129" i="93" s="1"/>
  <c r="AL129" i="93" s="1" a="1"/>
  <c r="AL129" i="93" s="1"/>
  <c r="AK105" i="93" a="1"/>
  <c r="AK105" i="93" s="1"/>
  <c r="AL105" i="93" s="1" a="1"/>
  <c r="AL105" i="93" s="1"/>
  <c r="AK81" i="93" a="1"/>
  <c r="AK81" i="93" s="1"/>
  <c r="AL81" i="93" s="1" a="1"/>
  <c r="AL81" i="93" s="1"/>
  <c r="AM134" i="93"/>
  <c r="AK162" i="93" a="1"/>
  <c r="AK162" i="93" s="1"/>
  <c r="AL162" i="93" s="1" a="1"/>
  <c r="AL162" i="93" s="1"/>
  <c r="AK141" i="93" a="1"/>
  <c r="AK141" i="93" s="1"/>
  <c r="AL141" i="93" s="1" a="1"/>
  <c r="AL141" i="93" s="1"/>
  <c r="AK37" i="93" a="1"/>
  <c r="AK37" i="93" s="1"/>
  <c r="AL37" i="93" s="1" a="1"/>
  <c r="AL37" i="93" s="1"/>
  <c r="AN150" i="93"/>
  <c r="AN35" i="93"/>
  <c r="AK34" i="27"/>
  <c r="AM34" i="27" s="1"/>
  <c r="AN70" i="93"/>
  <c r="AK161" i="93" a="1"/>
  <c r="AK161" i="93" s="1"/>
  <c r="AL161" i="93" s="1" a="1"/>
  <c r="AL161" i="93" s="1"/>
  <c r="AK114" i="93" a="1"/>
  <c r="AK114" i="93" s="1"/>
  <c r="AL114" i="93" s="1" a="1"/>
  <c r="AL114" i="93" s="1"/>
  <c r="AK90" i="93" a="1"/>
  <c r="AK90" i="93" s="1"/>
  <c r="AL90" i="93" s="1" a="1"/>
  <c r="AL90" i="93" s="1"/>
  <c r="AK50" i="93" a="1"/>
  <c r="AK50" i="93" s="1"/>
  <c r="AL50" i="93" s="1" a="1"/>
  <c r="AL50" i="93" s="1"/>
  <c r="AK18" i="93" a="1"/>
  <c r="AK18" i="93" s="1"/>
  <c r="AL18" i="93" s="1" a="1"/>
  <c r="AL18" i="93" s="1"/>
  <c r="AU140" i="93"/>
  <c r="AU76" i="93"/>
  <c r="AU12" i="93"/>
  <c r="AK134" i="93" a="1"/>
  <c r="AK134" i="93" s="1"/>
  <c r="AL134" i="93" s="1" a="1"/>
  <c r="AL134" i="93" s="1"/>
  <c r="AJ75" i="93" a="1"/>
  <c r="AJ75" i="93" s="1"/>
  <c r="AK57" i="27"/>
  <c r="AM57" i="27" s="1"/>
  <c r="AU156" i="93"/>
  <c r="AU92" i="93"/>
  <c r="AU28" i="93"/>
  <c r="AN132" i="93"/>
  <c r="AN116" i="93"/>
  <c r="AN100" i="93"/>
  <c r="AN68" i="93"/>
  <c r="AN52" i="93"/>
  <c r="AU36" i="93"/>
  <c r="AN42" i="93"/>
  <c r="AN34" i="93"/>
  <c r="AN149" i="93"/>
  <c r="AN141" i="93"/>
  <c r="AN133" i="93"/>
  <c r="AN85" i="93"/>
  <c r="AN77" i="93"/>
  <c r="AN69" i="93"/>
  <c r="AN21" i="93"/>
  <c r="AN13" i="93"/>
  <c r="AN160" i="93"/>
  <c r="AN152" i="93"/>
  <c r="AN144" i="93"/>
  <c r="AN136" i="93"/>
  <c r="AN128" i="93"/>
  <c r="AN120" i="93"/>
  <c r="AN112" i="93"/>
  <c r="AN104" i="93"/>
  <c r="AN96" i="93"/>
  <c r="AN88" i="93"/>
  <c r="AN80" i="93"/>
  <c r="AN72" i="93"/>
  <c r="AN64" i="93"/>
  <c r="AN56" i="93"/>
  <c r="AN48" i="93"/>
  <c r="AN40" i="93"/>
  <c r="AN32" i="93"/>
  <c r="AN24" i="93"/>
  <c r="AN16" i="93"/>
  <c r="AN8" i="93"/>
  <c r="AU108" i="93"/>
  <c r="AU44" i="93"/>
  <c r="AO48" i="27" a="1"/>
  <c r="AO48" i="27" s="1"/>
  <c r="AJ57" i="27" a="1"/>
  <c r="AJ57" i="27" s="1"/>
  <c r="AN57" i="27" s="1" a="1"/>
  <c r="AN57" i="27" s="1"/>
  <c r="AO47" i="27" a="1"/>
  <c r="AO47" i="27" s="1"/>
  <c r="AU124" i="93"/>
  <c r="AU60" i="93"/>
  <c r="AO32" i="27" a="1"/>
  <c r="AO32" i="27" s="1"/>
  <c r="AK18" i="27"/>
  <c r="AM18" i="27" s="1"/>
  <c r="AN157" i="93"/>
  <c r="AN125" i="93"/>
  <c r="AN93" i="93"/>
  <c r="AN61" i="93"/>
  <c r="AN29" i="93"/>
  <c r="AM133" i="93"/>
  <c r="AM69" i="93"/>
  <c r="AK102" i="93" a="1"/>
  <c r="AK102" i="93" s="1"/>
  <c r="AL102" i="93" s="1" a="1"/>
  <c r="AL102" i="93" s="1"/>
  <c r="AK92" i="93" a="1"/>
  <c r="AK92" i="93" s="1"/>
  <c r="AL92" i="93" s="1" a="1"/>
  <c r="AL92" i="93" s="1"/>
  <c r="AK38" i="93" a="1"/>
  <c r="AK38" i="93" s="1"/>
  <c r="AL38" i="93" s="1" a="1"/>
  <c r="AL38" i="93" s="1"/>
  <c r="AU42" i="93"/>
  <c r="AU34" i="93"/>
  <c r="AN101" i="93"/>
  <c r="AN37" i="93"/>
  <c r="AM149" i="93"/>
  <c r="AM85" i="93"/>
  <c r="AM21" i="93"/>
  <c r="AK100" i="93" a="1"/>
  <c r="AK100" i="93" s="1"/>
  <c r="AL100" i="93" s="1" a="1"/>
  <c r="AL100" i="93" s="1"/>
  <c r="AO42" i="27" a="1"/>
  <c r="AO42" i="27" s="1"/>
  <c r="AO10" i="27" a="1"/>
  <c r="AO10" i="27" s="1"/>
  <c r="AK116" i="93" a="1"/>
  <c r="AK116" i="93" s="1"/>
  <c r="AL116" i="93" s="1" a="1"/>
  <c r="AL116" i="93" s="1"/>
  <c r="AK43" i="93" a="1"/>
  <c r="AK43" i="93" s="1"/>
  <c r="AL43" i="93" s="1" a="1"/>
  <c r="AL43" i="93" s="1"/>
  <c r="AK20" i="93" a="1"/>
  <c r="AK20" i="93" s="1"/>
  <c r="AL20" i="93" s="1" a="1"/>
  <c r="AL20" i="93" s="1"/>
  <c r="AO40" i="27" a="1"/>
  <c r="AO40" i="27" s="1"/>
  <c r="AN109" i="93"/>
  <c r="AN45" i="93"/>
  <c r="AK70" i="93" a="1"/>
  <c r="AK70" i="93" s="1"/>
  <c r="AL70" i="93" s="1" a="1"/>
  <c r="AL70" i="93" s="1"/>
  <c r="AO34" i="27" a="1"/>
  <c r="AO34" i="27" s="1"/>
  <c r="AK124" i="93" a="1"/>
  <c r="AK124" i="93" s="1"/>
  <c r="AL124" i="93" s="1" a="1"/>
  <c r="AL124" i="93" s="1"/>
  <c r="AK76" i="93" a="1"/>
  <c r="AK76" i="93" s="1"/>
  <c r="AL76" i="93" s="1" a="1"/>
  <c r="AL76" i="93" s="1"/>
  <c r="AR24" i="27"/>
  <c r="AP24" i="27" a="1"/>
  <c r="AP24" i="27" s="1"/>
  <c r="AN117" i="93"/>
  <c r="AN53" i="93"/>
  <c r="AK28" i="93" a="1"/>
  <c r="AK28" i="93" s="1"/>
  <c r="AL28" i="93" s="1" a="1"/>
  <c r="AL28" i="93" s="1"/>
  <c r="AK140" i="93" a="1"/>
  <c r="AK140" i="93" s="1"/>
  <c r="AL140" i="93" s="1" a="1"/>
  <c r="AL140" i="93" s="1"/>
  <c r="AK132" i="93" a="1"/>
  <c r="AK132" i="93" s="1"/>
  <c r="AL132" i="93" s="1" a="1"/>
  <c r="AL132" i="93" s="1"/>
  <c r="AK84" i="93" a="1"/>
  <c r="AK84" i="93" s="1"/>
  <c r="AL84" i="93" s="1" a="1"/>
  <c r="AL84" i="93" s="1"/>
  <c r="AN106" i="93"/>
  <c r="AN98" i="93"/>
  <c r="AN90" i="93"/>
  <c r="AN82" i="93"/>
  <c r="AN74" i="93"/>
  <c r="AN66" i="93"/>
  <c r="AN58" i="93"/>
  <c r="AN50" i="93"/>
  <c r="AN26" i="93"/>
  <c r="AN18" i="93"/>
  <c r="AN10" i="93"/>
  <c r="AJ126" i="93" a="1"/>
  <c r="AJ126" i="93" s="1"/>
  <c r="AQ24" i="27"/>
  <c r="AO36" i="27" a="1"/>
  <c r="AO36" i="27" s="1"/>
  <c r="AO20" i="27" a="1"/>
  <c r="AO20" i="27" s="1"/>
  <c r="AM52" i="27"/>
  <c r="AK8" i="27"/>
  <c r="AM8" i="27" s="1"/>
  <c r="AJ12" i="27" a="1"/>
  <c r="AJ12" i="27" s="1"/>
  <c r="AN12" i="27" s="1" a="1"/>
  <c r="AN12" i="27" s="1"/>
  <c r="AK44" i="93" a="1"/>
  <c r="AK44" i="93" s="1"/>
  <c r="AL44" i="93" s="1" a="1"/>
  <c r="AL44" i="93" s="1"/>
  <c r="AK24" i="93" a="1"/>
  <c r="AK24" i="93" s="1"/>
  <c r="AL24" i="93" s="1" a="1"/>
  <c r="AL24" i="93" s="1"/>
  <c r="AJ156" i="93" a="1"/>
  <c r="AJ156" i="93" s="1"/>
  <c r="AK156" i="93" a="1"/>
  <c r="AK156" i="93" s="1"/>
  <c r="AL156" i="93" s="1" a="1"/>
  <c r="AL156" i="93" s="1"/>
  <c r="AJ148" i="93" a="1"/>
  <c r="AJ148" i="93" s="1"/>
  <c r="AK148" i="93" a="1"/>
  <c r="AK148" i="93" s="1"/>
  <c r="AL148" i="93" s="1" a="1"/>
  <c r="AL148" i="93" s="1"/>
  <c r="AJ108" i="93" a="1"/>
  <c r="AJ108" i="93" s="1"/>
  <c r="AK108" i="93" a="1"/>
  <c r="AK108" i="93" s="1"/>
  <c r="AL108" i="93" s="1" a="1"/>
  <c r="AL108" i="93" s="1"/>
  <c r="AJ68" i="93" a="1"/>
  <c r="AJ68" i="93" s="1"/>
  <c r="AK68" i="93" a="1"/>
  <c r="AK68" i="93" s="1"/>
  <c r="AL68" i="93" s="1" a="1"/>
  <c r="AL68" i="93" s="1"/>
  <c r="AJ60" i="93" a="1"/>
  <c r="AJ60" i="93" s="1"/>
  <c r="AK60" i="93" a="1"/>
  <c r="AK60" i="93" s="1"/>
  <c r="AL60" i="93" s="1" a="1"/>
  <c r="AL60" i="93" s="1"/>
  <c r="AJ52" i="93" a="1"/>
  <c r="AJ52" i="93" s="1"/>
  <c r="AK52" i="93" a="1"/>
  <c r="AK52" i="93" s="1"/>
  <c r="AL52" i="93" s="1" a="1"/>
  <c r="AL52" i="93" s="1"/>
  <c r="AJ36" i="93" a="1"/>
  <c r="AJ36" i="93" s="1"/>
  <c r="AK36" i="93" a="1"/>
  <c r="AK36" i="93" s="1"/>
  <c r="AL36" i="93" s="1" a="1"/>
  <c r="AL36" i="93" s="1"/>
  <c r="AJ12" i="93" a="1"/>
  <c r="AJ12" i="93" s="1"/>
  <c r="AK12" i="93" a="1"/>
  <c r="AK12" i="93" s="1"/>
  <c r="AL12" i="93" s="1" a="1"/>
  <c r="AL12" i="93" s="1"/>
  <c r="AK40" i="27"/>
  <c r="AM40" i="27" s="1"/>
  <c r="AO52" i="27" a="1"/>
  <c r="AO52" i="27" s="1"/>
  <c r="AO12" i="27" a="1"/>
  <c r="AO12" i="27" s="1"/>
  <c r="AM20" i="27"/>
  <c r="AK36" i="27"/>
  <c r="AM36" i="27" s="1"/>
  <c r="AJ52" i="27" a="1"/>
  <c r="AJ52" i="27" s="1"/>
  <c r="AN52" i="27" s="1" a="1"/>
  <c r="AN52" i="27" s="1"/>
  <c r="AJ107" i="93" a="1"/>
  <c r="AJ107" i="93" s="1"/>
  <c r="AK107" i="93" a="1"/>
  <c r="AK107" i="93" s="1"/>
  <c r="AL107" i="93" s="1" a="1"/>
  <c r="AL107" i="93" s="1"/>
  <c r="AK83" i="93" a="1"/>
  <c r="AK83" i="93" s="1"/>
  <c r="AL83" i="93" s="1" a="1"/>
  <c r="AL83" i="93" s="1"/>
  <c r="AJ83" i="93" a="1"/>
  <c r="AJ83" i="93" s="1"/>
  <c r="AK67" i="93" a="1"/>
  <c r="AK67" i="93" s="1"/>
  <c r="AL67" i="93" s="1" a="1"/>
  <c r="AL67" i="93" s="1"/>
  <c r="AJ67" i="93" a="1"/>
  <c r="AJ67" i="93" s="1"/>
  <c r="AJ59" i="93" a="1"/>
  <c r="AJ59" i="93" s="1"/>
  <c r="AK59" i="93" a="1"/>
  <c r="AK59" i="93" s="1"/>
  <c r="AL59" i="93" s="1" a="1"/>
  <c r="AL59" i="93" s="1"/>
  <c r="AO28" i="27" a="1"/>
  <c r="AO28" i="27" s="1"/>
  <c r="AK32" i="27"/>
  <c r="AM32" i="27" s="1"/>
  <c r="AO63" i="27" a="1"/>
  <c r="AO63" i="27" s="1"/>
  <c r="AO25" i="27" a="1"/>
  <c r="AO25" i="27" s="1"/>
  <c r="AN32" i="27" a="1"/>
  <c r="AN32" i="27" s="1"/>
  <c r="AM37" i="27"/>
  <c r="AJ136" i="93" a="1"/>
  <c r="AJ136" i="93" s="1"/>
  <c r="AK136" i="93" a="1"/>
  <c r="AK136" i="93" s="1"/>
  <c r="AL136" i="93" s="1" a="1"/>
  <c r="AL136" i="93" s="1"/>
  <c r="AJ120" i="93" a="1"/>
  <c r="AJ120" i="93" s="1"/>
  <c r="AK120" i="93" a="1"/>
  <c r="AK120" i="93" s="1"/>
  <c r="AL120" i="93" s="1" a="1"/>
  <c r="AL120" i="93" s="1"/>
  <c r="AJ56" i="93" a="1"/>
  <c r="AJ56" i="93" s="1"/>
  <c r="AK56" i="93" a="1"/>
  <c r="AK56" i="93" s="1"/>
  <c r="AL56" i="93" s="1" a="1"/>
  <c r="AL56" i="93" s="1"/>
  <c r="AJ48" i="93" a="1"/>
  <c r="AJ48" i="93" s="1"/>
  <c r="AK48" i="93" a="1"/>
  <c r="AK48" i="93" s="1"/>
  <c r="AL48" i="93" s="1" a="1"/>
  <c r="AL48" i="93" s="1"/>
  <c r="AJ40" i="93" a="1"/>
  <c r="AJ40" i="93" s="1"/>
  <c r="AK40" i="93" a="1"/>
  <c r="AK40" i="93" s="1"/>
  <c r="AL40" i="93" s="1" a="1"/>
  <c r="AL40" i="93" s="1"/>
  <c r="AJ32" i="93" a="1"/>
  <c r="AJ32" i="93" s="1"/>
  <c r="AK32" i="93" a="1"/>
  <c r="AK32" i="93" s="1"/>
  <c r="AL32" i="93" s="1" a="1"/>
  <c r="AL32" i="93" s="1"/>
  <c r="AJ16" i="93" a="1"/>
  <c r="AJ16" i="93" s="1"/>
  <c r="AK16" i="93" a="1"/>
  <c r="AK16" i="93" s="1"/>
  <c r="AL16" i="93" s="1" a="1"/>
  <c r="AL16" i="93" s="1"/>
  <c r="AJ8" i="93" a="1"/>
  <c r="AJ8" i="93" s="1"/>
  <c r="AK8" i="93" a="1"/>
  <c r="AK8" i="93" s="1"/>
  <c r="AL8" i="93" s="1" a="1"/>
  <c r="AL8" i="93" s="1"/>
  <c r="AO60" i="27" a="1"/>
  <c r="AO60" i="27" s="1"/>
  <c r="AK27" i="93" a="1"/>
  <c r="AK27" i="93" s="1"/>
  <c r="AL27" i="93" s="1" a="1"/>
  <c r="AL27" i="93" s="1"/>
  <c r="AJ11" i="93" a="1"/>
  <c r="AJ11" i="93" s="1"/>
  <c r="AK19" i="93" a="1"/>
  <c r="AK19" i="93" s="1"/>
  <c r="AL19" i="93" s="1" a="1"/>
  <c r="AL19" i="93" s="1"/>
  <c r="AJ158" i="93" a="1"/>
  <c r="AJ158" i="93" s="1"/>
  <c r="AN162" i="93"/>
  <c r="AN154" i="93"/>
  <c r="AN146" i="93"/>
  <c r="AN138" i="93"/>
  <c r="AN130" i="93"/>
  <c r="AN122" i="93"/>
  <c r="AN114" i="93"/>
  <c r="AJ11" i="27" a="1"/>
  <c r="AJ11" i="27" s="1"/>
  <c r="AN11" i="27" s="1" a="1"/>
  <c r="AN11" i="27" s="1"/>
  <c r="AM19" i="27"/>
  <c r="AO11" i="27" a="1"/>
  <c r="AO11" i="27" s="1"/>
  <c r="AJ37" i="27" a="1"/>
  <c r="AJ37" i="27" s="1"/>
  <c r="AN37" i="27" s="1" a="1"/>
  <c r="AN37" i="27" s="1"/>
  <c r="AJ43" i="27" a="1"/>
  <c r="AJ43" i="27" s="1"/>
  <c r="AN43" i="27" s="1" a="1"/>
  <c r="AN43" i="27" s="1"/>
  <c r="AK51" i="27"/>
  <c r="AM51" i="27" s="1"/>
  <c r="AJ61" i="27" a="1"/>
  <c r="AJ61" i="27" s="1"/>
  <c r="AN61" i="27" s="1" a="1"/>
  <c r="AN61" i="27" s="1"/>
  <c r="AO26" i="27" a="1"/>
  <c r="AO26" i="27" s="1"/>
  <c r="AK26" i="27"/>
  <c r="AM26" i="27" s="1"/>
  <c r="AJ18" i="27" a="1"/>
  <c r="AJ18" i="27" s="1"/>
  <c r="AN18" i="27" s="1" a="1"/>
  <c r="AN18" i="27" s="1"/>
  <c r="AO18" i="27" a="1"/>
  <c r="AO18" i="27" s="1"/>
  <c r="AJ35" i="27" a="1"/>
  <c r="AJ35" i="27" s="1"/>
  <c r="AN35" i="27" s="1" a="1"/>
  <c r="AN35" i="27" s="1"/>
  <c r="AK35" i="27"/>
  <c r="AM35" i="27" s="1"/>
  <c r="AO43" i="27" a="1"/>
  <c r="AO43" i="27" s="1"/>
  <c r="AK43" i="27"/>
  <c r="AM43" i="27" s="1"/>
  <c r="AK49" i="27"/>
  <c r="AM49" i="27" s="1"/>
  <c r="AN49" i="27" a="1"/>
  <c r="AN49" i="27" s="1"/>
  <c r="AO49" i="27" a="1"/>
  <c r="AO49" i="27" s="1"/>
  <c r="AJ33" i="27" a="1"/>
  <c r="AJ33" i="27" s="1"/>
  <c r="AN33" i="27" s="1" a="1"/>
  <c r="AN33" i="27" s="1"/>
  <c r="AK33" i="27"/>
  <c r="AM33" i="27" s="1"/>
  <c r="AK17" i="27"/>
  <c r="AM17" i="27" s="1"/>
  <c r="AO19" i="27" a="1"/>
  <c r="AO19" i="27" s="1"/>
  <c r="AN27" i="27" a="1"/>
  <c r="AN27" i="27" s="1"/>
  <c r="AM41" i="27"/>
  <c r="AJ41" i="27" a="1"/>
  <c r="AJ41" i="27" s="1"/>
  <c r="AN41" i="27" s="1" a="1"/>
  <c r="AN41" i="27" s="1"/>
  <c r="AO41" i="27" a="1"/>
  <c r="AO41" i="27" s="1"/>
  <c r="AO31" i="27" a="1"/>
  <c r="AO31" i="27" s="1"/>
  <c r="AO17" i="27" a="1"/>
  <c r="AO17" i="27" s="1"/>
  <c r="AM50" i="27"/>
  <c r="AK42" i="27"/>
  <c r="AM42" i="27" s="1"/>
  <c r="AM23" i="27"/>
  <c r="AJ26" i="27" a="1"/>
  <c r="AJ26" i="27" s="1"/>
  <c r="AN26" i="27" s="1" a="1"/>
  <c r="AN26" i="27" s="1"/>
  <c r="AJ39" i="27" a="1"/>
  <c r="AJ39" i="27" s="1"/>
  <c r="AN39" i="27" s="1" a="1"/>
  <c r="AN39" i="27" s="1"/>
  <c r="AO39" i="27" a="1"/>
  <c r="AO39" i="27" s="1"/>
  <c r="AK15" i="27"/>
  <c r="AM15" i="27" s="1"/>
  <c r="AJ15" i="27" a="1"/>
  <c r="AJ15" i="27" s="1"/>
  <c r="AN15" i="27" s="1" a="1"/>
  <c r="AN15" i="27" s="1"/>
  <c r="AO51" i="27" a="1"/>
  <c r="AO51" i="27" s="1"/>
  <c r="AJ55" i="27" a="1"/>
  <c r="AJ55" i="27" s="1"/>
  <c r="AN55" i="27" s="1" a="1"/>
  <c r="AN55" i="27" s="1"/>
  <c r="AO61" i="27" a="1"/>
  <c r="AO61" i="27" s="1"/>
  <c r="BK61" i="27" s="1"/>
  <c r="AO50" i="27" a="1"/>
  <c r="AO50" i="27" s="1"/>
  <c r="AO37" i="27" a="1"/>
  <c r="AO37" i="27" s="1"/>
  <c r="AO27" i="27" a="1"/>
  <c r="AO27" i="27" s="1"/>
  <c r="AO13" i="27" a="1"/>
  <c r="AO13" i="27" s="1"/>
  <c r="AM13" i="27"/>
  <c r="AJ50" i="27" a="1"/>
  <c r="AJ50" i="27" s="1"/>
  <c r="AN50" i="27" s="1" a="1"/>
  <c r="AN50" i="27" s="1"/>
  <c r="AJ17" i="27" a="1"/>
  <c r="AJ17" i="27" s="1"/>
  <c r="AN17" i="27" s="1" a="1"/>
  <c r="AN17" i="27" s="1"/>
  <c r="AJ59" i="27" a="1"/>
  <c r="AJ59" i="27" s="1"/>
  <c r="AN59" i="27" s="1" a="1"/>
  <c r="AN59" i="27" s="1"/>
  <c r="AO59" i="27" a="1"/>
  <c r="AO59" i="27" s="1"/>
  <c r="AK59" i="27"/>
  <c r="AM59" i="27" s="1"/>
  <c r="AM11" i="27"/>
  <c r="AJ53" i="27" a="1"/>
  <c r="AJ53" i="27" s="1"/>
  <c r="AN53" i="27" s="1" a="1"/>
  <c r="AN53" i="27" s="1"/>
  <c r="AK53" i="27"/>
  <c r="AM53" i="27" s="1"/>
  <c r="AJ45" i="27" a="1"/>
  <c r="AJ45" i="27" s="1"/>
  <c r="AN45" i="27" s="1" a="1"/>
  <c r="AN45" i="27" s="1"/>
  <c r="AK29" i="27"/>
  <c r="AM29" i="27" s="1"/>
  <c r="AO29" i="27" a="1"/>
  <c r="AO29" i="27" s="1"/>
  <c r="AJ21" i="27" a="1"/>
  <c r="AJ21" i="27" s="1"/>
  <c r="AN21" i="27" s="1" a="1"/>
  <c r="AN21" i="27" s="1"/>
  <c r="AK21" i="27"/>
  <c r="AM21" i="27" s="1"/>
  <c r="AN23" i="93"/>
  <c r="AN31" i="93"/>
  <c r="AJ60" i="27" a="1"/>
  <c r="AJ60" i="27" s="1"/>
  <c r="AN60" i="27" s="1" a="1"/>
  <c r="AN60" i="27" s="1"/>
  <c r="AN39" i="93"/>
  <c r="AN159" i="93"/>
  <c r="AN151" i="93"/>
  <c r="AN143" i="93"/>
  <c r="AN135" i="93"/>
  <c r="AN127" i="93"/>
  <c r="AN119" i="93"/>
  <c r="AN111" i="93"/>
  <c r="AN103" i="93"/>
  <c r="AN95" i="93"/>
  <c r="AN87" i="93"/>
  <c r="AN79" i="93"/>
  <c r="AN71" i="93"/>
  <c r="AN63" i="93"/>
  <c r="AN55" i="93"/>
  <c r="AN47" i="93"/>
  <c r="AK130" i="93" a="1"/>
  <c r="AK130" i="93" s="1"/>
  <c r="AL130" i="93" s="1" a="1"/>
  <c r="AL130" i="93" s="1"/>
  <c r="AK98" i="93" a="1"/>
  <c r="AK98" i="93" s="1"/>
  <c r="AL98" i="93" s="1" a="1"/>
  <c r="AL98" i="93" s="1"/>
  <c r="AK66" i="93" a="1"/>
  <c r="AK66" i="93" s="1"/>
  <c r="AL66" i="93" s="1" a="1"/>
  <c r="AL66" i="93" s="1"/>
  <c r="AK34" i="93" a="1"/>
  <c r="AK34" i="93" s="1"/>
  <c r="AL34" i="93" s="1" a="1"/>
  <c r="AL34" i="93" s="1"/>
  <c r="AK142" i="93" a="1"/>
  <c r="AK142" i="93" s="1"/>
  <c r="AL142" i="93" s="1" a="1"/>
  <c r="AL142" i="93" s="1"/>
  <c r="AK110" i="93" a="1"/>
  <c r="AK110" i="93" s="1"/>
  <c r="AL110" i="93" s="1" a="1"/>
  <c r="AL110" i="93" s="1"/>
  <c r="AK78" i="93" a="1"/>
  <c r="AK78" i="93" s="1"/>
  <c r="AL78" i="93" s="1" a="1"/>
  <c r="AL78" i="93" s="1"/>
  <c r="AK46" i="93" a="1"/>
  <c r="AK46" i="93" s="1"/>
  <c r="AL46" i="93" s="1" a="1"/>
  <c r="AL46" i="93" s="1"/>
  <c r="AK14" i="93" a="1"/>
  <c r="AK14" i="93" s="1"/>
  <c r="AL14" i="93" s="1" a="1"/>
  <c r="AL14" i="93" s="1"/>
  <c r="AJ150" i="93" a="1"/>
  <c r="AJ150" i="93" s="1"/>
  <c r="AK118" i="93" a="1"/>
  <c r="AK118" i="93" s="1"/>
  <c r="AL118" i="93" s="1" a="1"/>
  <c r="AL118" i="93" s="1"/>
  <c r="AK86" i="93" a="1"/>
  <c r="AK86" i="93" s="1"/>
  <c r="AL86" i="93" s="1" a="1"/>
  <c r="AL86" i="93" s="1"/>
  <c r="AK54" i="93" a="1"/>
  <c r="AK54" i="93" s="1"/>
  <c r="AL54" i="93" s="1" a="1"/>
  <c r="AL54" i="93" s="1"/>
  <c r="AK22" i="93" a="1"/>
  <c r="AK22" i="93" s="1"/>
  <c r="AL22" i="93" s="1" a="1"/>
  <c r="AL22" i="93" s="1"/>
  <c r="AK94" i="93" a="1"/>
  <c r="AK94" i="93" s="1"/>
  <c r="AL94" i="93" s="1" a="1"/>
  <c r="AL94" i="93" s="1"/>
  <c r="AK62" i="93" a="1"/>
  <c r="AK62" i="93" s="1"/>
  <c r="AL62" i="93" s="1" a="1"/>
  <c r="AL62" i="93" s="1"/>
  <c r="AK30" i="93" a="1"/>
  <c r="AK30" i="93" s="1"/>
  <c r="AL30" i="93" s="1" a="1"/>
  <c r="AL30" i="93" s="1"/>
  <c r="AO56" i="27" a="1"/>
  <c r="AO56" i="27" s="1"/>
  <c r="AK60" i="27"/>
  <c r="AM60" i="27" s="1"/>
  <c r="AK48" i="27"/>
  <c r="AM48" i="27" s="1"/>
  <c r="AK16" i="27"/>
  <c r="AM16" i="27" s="1"/>
  <c r="AJ24" i="27" a="1"/>
  <c r="AJ24" i="27" s="1"/>
  <c r="AN24" i="27" s="1" a="1"/>
  <c r="AN24" i="27" s="1"/>
  <c r="AS24" i="27"/>
  <c r="AT24" i="27" s="1" a="1"/>
  <c r="AT24" i="27" s="1"/>
  <c r="AO44" i="27" a="1"/>
  <c r="AO44" i="27" s="1"/>
  <c r="AO8" i="27" a="1"/>
  <c r="AO8" i="27" s="1"/>
  <c r="AM12" i="27"/>
  <c r="AK58" i="27"/>
  <c r="AM58" i="27" s="1"/>
  <c r="AK45" i="27"/>
  <c r="AM45" i="27" s="1"/>
  <c r="AJ58" i="27" a="1"/>
  <c r="AJ58" i="27" s="1"/>
  <c r="AN58" i="27" s="1" a="1"/>
  <c r="AN58" i="27" s="1"/>
  <c r="AJ20" i="27" a="1"/>
  <c r="AJ20" i="27" s="1"/>
  <c r="AN20" i="27" s="1" a="1"/>
  <c r="AN20" i="27" s="1"/>
  <c r="AO16" i="27" a="1"/>
  <c r="AO16" i="27" s="1"/>
  <c r="AN40" i="27" a="1"/>
  <c r="AN40" i="27" s="1"/>
  <c r="AK44" i="27"/>
  <c r="AM44" i="27" s="1"/>
  <c r="AK24" i="27"/>
  <c r="AM24" i="27" s="1"/>
  <c r="AM10" i="27"/>
  <c r="AK56" i="27"/>
  <c r="AM56" i="27" s="1"/>
  <c r="AJ56" i="27" a="1"/>
  <c r="AJ56" i="27" s="1"/>
  <c r="AN56" i="27" s="1" a="1"/>
  <c r="AN56" i="27" s="1"/>
  <c r="AK31" i="27"/>
  <c r="AM31" i="27" s="1"/>
  <c r="AK39" i="27"/>
  <c r="AM39" i="27" s="1"/>
  <c r="AK47" i="27"/>
  <c r="AM47" i="27" s="1"/>
  <c r="AU55" i="27" a="1"/>
  <c r="AU55" i="27" s="1"/>
  <c r="AV55" i="27" s="1" a="1"/>
  <c r="AV55" i="27" s="1"/>
  <c r="AK55" i="27"/>
  <c r="AM55" i="27" s="1"/>
  <c r="AK63" i="27"/>
  <c r="AM63" i="27" s="1"/>
  <c r="AM62" i="27"/>
  <c r="AM54" i="27"/>
  <c r="AM46" i="27"/>
  <c r="AM38" i="27"/>
  <c r="AM30" i="27"/>
  <c r="AM22" i="27"/>
  <c r="AM14" i="27"/>
  <c r="AQ53" i="27"/>
  <c r="AR53" i="27"/>
  <c r="AS53" i="27"/>
  <c r="AT53" i="27" s="1" a="1"/>
  <c r="AT53" i="27" s="1"/>
  <c r="AU53" i="27" a="1"/>
  <c r="AU53" i="27" s="1"/>
  <c r="AP53" i="27" a="1"/>
  <c r="AP53" i="27" s="1"/>
  <c r="AQ35" i="27"/>
  <c r="AR35" i="27"/>
  <c r="AS35" i="27"/>
  <c r="AT35" i="27" s="1" a="1"/>
  <c r="AT35" i="27" s="1"/>
  <c r="AP35" i="27" a="1"/>
  <c r="AP35" i="27" s="1"/>
  <c r="AU35" i="27" a="1"/>
  <c r="AU35" i="27" s="1"/>
  <c r="AJ62" i="27" a="1"/>
  <c r="AJ62" i="27" s="1"/>
  <c r="AN62" i="27" s="1" a="1"/>
  <c r="AN62" i="27" s="1"/>
  <c r="AO62" i="27" a="1"/>
  <c r="AO62" i="27" s="1"/>
  <c r="AJ54" i="27" a="1"/>
  <c r="AJ54" i="27" s="1"/>
  <c r="AN54" i="27" s="1" a="1"/>
  <c r="AN54" i="27" s="1"/>
  <c r="AO54" i="27" a="1"/>
  <c r="AO54" i="27" s="1"/>
  <c r="AJ46" i="27" a="1"/>
  <c r="AJ46" i="27" s="1"/>
  <c r="AN46" i="27" s="1" a="1"/>
  <c r="AN46" i="27" s="1"/>
  <c r="AO46" i="27" a="1"/>
  <c r="AO46" i="27" s="1"/>
  <c r="AJ38" i="27" a="1"/>
  <c r="AJ38" i="27" s="1"/>
  <c r="AN38" i="27" s="1" a="1"/>
  <c r="AN38" i="27" s="1"/>
  <c r="AO38" i="27" a="1"/>
  <c r="AO38" i="27" s="1"/>
  <c r="AJ30" i="27" a="1"/>
  <c r="AJ30" i="27" s="1"/>
  <c r="AN30" i="27" s="1" a="1"/>
  <c r="AN30" i="27" s="1"/>
  <c r="AO30" i="27" a="1"/>
  <c r="AO30" i="27" s="1"/>
  <c r="AJ22" i="27" a="1"/>
  <c r="AJ22" i="27" s="1"/>
  <c r="AN22" i="27" s="1" a="1"/>
  <c r="AN22" i="27" s="1"/>
  <c r="AO22" i="27" a="1"/>
  <c r="AO22" i="27" s="1"/>
  <c r="AJ14" i="27" a="1"/>
  <c r="AJ14" i="27" s="1"/>
  <c r="AN14" i="27" s="1" a="1"/>
  <c r="AN14" i="27" s="1"/>
  <c r="AO14" i="27" a="1"/>
  <c r="AO14" i="27" s="1"/>
  <c r="AQ33" i="27"/>
  <c r="AR33" i="27"/>
  <c r="AS33" i="27"/>
  <c r="AT33" i="27" s="1" a="1"/>
  <c r="AT33" i="27" s="1"/>
  <c r="AU33" i="27" a="1"/>
  <c r="AU33" i="27" s="1"/>
  <c r="AQ57" i="27"/>
  <c r="AR57" i="27"/>
  <c r="AS57" i="27"/>
  <c r="AT57" i="27" s="1" a="1"/>
  <c r="AT57" i="27" s="1"/>
  <c r="AU57" i="27" a="1"/>
  <c r="AU57" i="27" s="1"/>
  <c r="AQ55" i="27"/>
  <c r="AR55" i="27"/>
  <c r="AS55" i="27"/>
  <c r="AT55" i="27" s="1" a="1"/>
  <c r="AT55" i="27" s="1"/>
  <c r="AQ45" i="27"/>
  <c r="AR45" i="27"/>
  <c r="AS45" i="27"/>
  <c r="AT45" i="27" s="1" a="1"/>
  <c r="AT45" i="27" s="1"/>
  <c r="AU45" i="27" a="1"/>
  <c r="AU45" i="27" s="1"/>
  <c r="AW24" i="27" l="1"/>
  <c r="AX24" i="27"/>
  <c r="AY24" i="27" s="1"/>
  <c r="AZ24" i="27" s="1" a="1"/>
  <c r="AZ24" i="27" s="1"/>
  <c r="AP31" i="27" a="1"/>
  <c r="AP31" i="27" s="1"/>
  <c r="AU21" i="27" a="1"/>
  <c r="AU21" i="27" s="1"/>
  <c r="AV21" i="27" s="1" a="1"/>
  <c r="AV21" i="27" s="1"/>
  <c r="AU8" i="27" a="1"/>
  <c r="AU8" i="27" s="1"/>
  <c r="AV8" i="27" s="1" a="1"/>
  <c r="AV8" i="27" s="1"/>
  <c r="AP61" i="27" a="1"/>
  <c r="AP61" i="27" s="1"/>
  <c r="AP11" i="27" a="1"/>
  <c r="AP11" i="27" s="1"/>
  <c r="AR10" i="27"/>
  <c r="AP47" i="27" a="1"/>
  <c r="AP47" i="27" s="1"/>
  <c r="AU50" i="27" a="1"/>
  <c r="AU50" i="27" s="1"/>
  <c r="AX50" i="27" s="1"/>
  <c r="AY50" i="27" s="1"/>
  <c r="AP41" i="27" a="1"/>
  <c r="AP41" i="27" s="1"/>
  <c r="AP25" i="27" a="1"/>
  <c r="AP25" i="27" s="1"/>
  <c r="AQ51" i="27"/>
  <c r="AP43" i="27" a="1"/>
  <c r="AP43" i="27" s="1"/>
  <c r="AQ63" i="27"/>
  <c r="AR42" i="27"/>
  <c r="AS58" i="27"/>
  <c r="AT58" i="27" s="1" a="1"/>
  <c r="AT58" i="27" s="1"/>
  <c r="AU40" i="27" a="1"/>
  <c r="AU40" i="27" s="1"/>
  <c r="AW40" i="27" s="1"/>
  <c r="AP37" i="27" a="1"/>
  <c r="AP37" i="27" s="1"/>
  <c r="AQ44" i="27"/>
  <c r="AP59" i="27" a="1"/>
  <c r="AP59" i="27" s="1"/>
  <c r="AR48" i="27"/>
  <c r="AP15" i="27" a="1"/>
  <c r="AP15" i="27" s="1"/>
  <c r="AP27" i="27" a="1"/>
  <c r="AP27" i="27" s="1"/>
  <c r="AP28" i="27" a="1"/>
  <c r="AP28" i="27" s="1"/>
  <c r="AR12" i="27"/>
  <c r="AQ20" i="27"/>
  <c r="AP9" i="27" a="1"/>
  <c r="AP9" i="27" s="1"/>
  <c r="AP23" i="27" a="1"/>
  <c r="AP23" i="27" s="1"/>
  <c r="AP49" i="27" a="1"/>
  <c r="AP49" i="27" s="1"/>
  <c r="AU17" i="27" a="1"/>
  <c r="AU17" i="27" s="1"/>
  <c r="AV17" i="27" s="1" a="1"/>
  <c r="AV17" i="27" s="1"/>
  <c r="AS18" i="27"/>
  <c r="AT18" i="27" s="1" a="1"/>
  <c r="AT18" i="27" s="1"/>
  <c r="AP36" i="27" a="1"/>
  <c r="AP36" i="27" s="1"/>
  <c r="AQ19" i="27"/>
  <c r="AS32" i="27"/>
  <c r="AT32" i="27" s="1" a="1"/>
  <c r="AT32" i="27" s="1"/>
  <c r="AR60" i="27"/>
  <c r="AQ56" i="27"/>
  <c r="AP39" i="27" a="1"/>
  <c r="AP39" i="27" s="1"/>
  <c r="AU52" i="27" a="1"/>
  <c r="AU52" i="27" s="1"/>
  <c r="AV52" i="27" s="1" a="1"/>
  <c r="AV52" i="27" s="1"/>
  <c r="AU34" i="27" a="1"/>
  <c r="AU34" i="27" s="1"/>
  <c r="AW34" i="27" s="1"/>
  <c r="AU29" i="27" a="1"/>
  <c r="AU29" i="27" s="1"/>
  <c r="AV29" i="27" s="1" a="1"/>
  <c r="AV29" i="27" s="1"/>
  <c r="AQ13" i="27"/>
  <c r="AU26" i="27" a="1"/>
  <c r="AU26" i="27" s="1"/>
  <c r="AX26" i="27" s="1"/>
  <c r="AR26" i="27"/>
  <c r="AS19" i="27"/>
  <c r="AT19" i="27" s="1" a="1"/>
  <c r="AT19" i="27" s="1"/>
  <c r="AS52" i="27"/>
  <c r="AT52" i="27" s="1" a="1"/>
  <c r="AT52" i="27" s="1"/>
  <c r="AR61" i="27"/>
  <c r="AS20" i="27"/>
  <c r="AT20" i="27" s="1" a="1"/>
  <c r="AT20" i="27" s="1"/>
  <c r="AU9" i="27" a="1"/>
  <c r="AU9" i="27" s="1"/>
  <c r="AV9" i="27" s="1" a="1"/>
  <c r="AV9" i="27" s="1"/>
  <c r="AQ61" i="27"/>
  <c r="AS26" i="27"/>
  <c r="AT26" i="27" s="1" a="1"/>
  <c r="AT26" i="27" s="1"/>
  <c r="AP26" i="27" a="1"/>
  <c r="AP26" i="27" s="1"/>
  <c r="AU20" i="27" a="1"/>
  <c r="AU20" i="27" s="1"/>
  <c r="AV20" i="27" s="1" a="1"/>
  <c r="AV20" i="27" s="1"/>
  <c r="AR20" i="27"/>
  <c r="AR9" i="27"/>
  <c r="AS9" i="27"/>
  <c r="AT9" i="27" s="1" a="1"/>
  <c r="AT9" i="27" s="1"/>
  <c r="AQ9" i="27"/>
  <c r="AP20" i="27" a="1"/>
  <c r="AP20" i="27" s="1"/>
  <c r="AQ43" i="27"/>
  <c r="AR19" i="27"/>
  <c r="AS61" i="27"/>
  <c r="AT61" i="27" s="1" a="1"/>
  <c r="AT61" i="27" s="1"/>
  <c r="AR40" i="27"/>
  <c r="AQ41" i="27"/>
  <c r="AR17" i="27"/>
  <c r="AR15" i="27"/>
  <c r="AP48" i="27" a="1"/>
  <c r="AP48" i="27" s="1"/>
  <c r="AS42" i="27"/>
  <c r="AT42" i="27" s="1" a="1"/>
  <c r="AT42" i="27" s="1"/>
  <c r="AQ40" i="27"/>
  <c r="AS40" i="27"/>
  <c r="AT40" i="27" s="1" a="1"/>
  <c r="AT40" i="27" s="1"/>
  <c r="AP40" i="27" a="1"/>
  <c r="AP40" i="27" s="1"/>
  <c r="AS11" i="27"/>
  <c r="AT11" i="27" s="1" a="1"/>
  <c r="AT11" i="27" s="1"/>
  <c r="AS15" i="27"/>
  <c r="AT15" i="27" s="1" a="1"/>
  <c r="AT15" i="27" s="1"/>
  <c r="AR41" i="27"/>
  <c r="AQ15" i="27"/>
  <c r="AS48" i="27"/>
  <c r="AT48" i="27" s="1" a="1"/>
  <c r="AT48" i="27" s="1"/>
  <c r="AP21" i="27" a="1"/>
  <c r="AP21" i="27" s="1"/>
  <c r="AS21" i="27"/>
  <c r="AT21" i="27" s="1" a="1"/>
  <c r="AT21" i="27" s="1"/>
  <c r="AR23" i="27"/>
  <c r="AU48" i="27" a="1"/>
  <c r="AU48" i="27" s="1"/>
  <c r="AW48" i="27" s="1"/>
  <c r="AU23" i="27" a="1"/>
  <c r="AU23" i="27" s="1"/>
  <c r="AW23" i="27" s="1"/>
  <c r="AR13" i="27"/>
  <c r="AS23" i="27"/>
  <c r="AT23" i="27" s="1" a="1"/>
  <c r="AT23" i="27" s="1"/>
  <c r="AR21" i="27"/>
  <c r="AQ23" i="27"/>
  <c r="AQ21" i="27"/>
  <c r="AS31" i="27"/>
  <c r="AT31" i="27" s="1" a="1"/>
  <c r="AT31" i="27" s="1"/>
  <c r="AQ42" i="27"/>
  <c r="AP58" i="27" a="1"/>
  <c r="AP58" i="27" s="1"/>
  <c r="AR58" i="27"/>
  <c r="AU41" i="27" a="1"/>
  <c r="AU41" i="27" s="1"/>
  <c r="AW41" i="27" s="1"/>
  <c r="AQ58" i="27"/>
  <c r="AS41" i="27"/>
  <c r="AT41" i="27" s="1" a="1"/>
  <c r="AT41" i="27" s="1"/>
  <c r="AS34" i="27"/>
  <c r="AT34" i="27" s="1" a="1"/>
  <c r="AT34" i="27" s="1"/>
  <c r="AQ52" i="27"/>
  <c r="AU25" i="27" a="1"/>
  <c r="AU25" i="27" s="1"/>
  <c r="AV25" i="27" s="1" a="1"/>
  <c r="AV25" i="27" s="1"/>
  <c r="AP52" i="27" a="1"/>
  <c r="AP52" i="27" s="1"/>
  <c r="AS25" i="27"/>
  <c r="AT25" i="27" s="1" a="1"/>
  <c r="AT25" i="27" s="1"/>
  <c r="AR47" i="27"/>
  <c r="AR25" i="27"/>
  <c r="AU47" i="27" a="1"/>
  <c r="AU47" i="27" s="1"/>
  <c r="AX47" i="27" s="1"/>
  <c r="AY47" i="27" s="1"/>
  <c r="AQ25" i="27"/>
  <c r="AR52" i="27"/>
  <c r="AS47" i="27"/>
  <c r="AT47" i="27" s="1" a="1"/>
  <c r="AT47" i="27" s="1"/>
  <c r="AS17" i="27"/>
  <c r="AT17" i="27" s="1" a="1"/>
  <c r="AT17" i="27" s="1"/>
  <c r="AQ10" i="27"/>
  <c r="AU10" i="27" a="1"/>
  <c r="AU10" i="27" s="1"/>
  <c r="AQ47" i="27"/>
  <c r="AQ17" i="27"/>
  <c r="AP10" i="27" a="1"/>
  <c r="AP10" i="27" s="1"/>
  <c r="AS10" i="27"/>
  <c r="AT10" i="27" s="1" a="1"/>
  <c r="AT10" i="27" s="1"/>
  <c r="AQ39" i="27"/>
  <c r="AU15" i="27" a="1"/>
  <c r="AU15" i="27" s="1"/>
  <c r="AW15" i="27" s="1"/>
  <c r="AP17" i="27" a="1"/>
  <c r="AP17" i="27" s="1"/>
  <c r="AU61" i="27" a="1"/>
  <c r="AU61" i="27" s="1"/>
  <c r="AV61" i="27" s="1" a="1"/>
  <c r="AV61" i="27" s="1"/>
  <c r="AQ26" i="27"/>
  <c r="AR32" i="27"/>
  <c r="AP60" i="27" a="1"/>
  <c r="AP60" i="27" s="1"/>
  <c r="AS36" i="27"/>
  <c r="AT36" i="27" s="1" a="1"/>
  <c r="AT36" i="27" s="1"/>
  <c r="AS60" i="27"/>
  <c r="AT60" i="27" s="1" a="1"/>
  <c r="AT60" i="27" s="1"/>
  <c r="AU36" i="27" a="1"/>
  <c r="AU36" i="27" s="1"/>
  <c r="AX36" i="27" s="1"/>
  <c r="AY36" i="27" s="1"/>
  <c r="AZ36" i="27" s="1" a="1"/>
  <c r="AZ36" i="27" s="1"/>
  <c r="AR34" i="27"/>
  <c r="AU32" i="27" a="1"/>
  <c r="AU32" i="27" s="1"/>
  <c r="AQ36" i="27"/>
  <c r="AU37" i="27" a="1"/>
  <c r="AU37" i="27" s="1"/>
  <c r="AV37" i="27" s="1" a="1"/>
  <c r="AV37" i="27" s="1"/>
  <c r="AS28" i="27"/>
  <c r="AT28" i="27" s="1" a="1"/>
  <c r="AT28" i="27" s="1"/>
  <c r="AQ34" i="27"/>
  <c r="AP32" i="27" a="1"/>
  <c r="AP32" i="27" s="1"/>
  <c r="AQ32" i="27"/>
  <c r="AR37" i="27"/>
  <c r="AS39" i="27"/>
  <c r="AT39" i="27" s="1" a="1"/>
  <c r="AT39" i="27" s="1"/>
  <c r="AQ37" i="27"/>
  <c r="AR39" i="27"/>
  <c r="AR36" i="27"/>
  <c r="AP34" i="27" a="1"/>
  <c r="AP34" i="27" s="1"/>
  <c r="AR50" i="27"/>
  <c r="AP12" i="27" a="1"/>
  <c r="AP12" i="27" s="1"/>
  <c r="AS27" i="27"/>
  <c r="AT27" i="27" s="1" a="1"/>
  <c r="AT27" i="27" s="1"/>
  <c r="AU27" i="27" a="1"/>
  <c r="AU27" i="27" s="1"/>
  <c r="AX27" i="27" s="1"/>
  <c r="AY27" i="27" s="1"/>
  <c r="AZ27" i="27" s="1" a="1"/>
  <c r="AZ27" i="27" s="1"/>
  <c r="AQ28" i="27"/>
  <c r="AR27" i="27"/>
  <c r="AP29" i="27" a="1"/>
  <c r="AP29" i="27" s="1"/>
  <c r="AU58" i="27" a="1"/>
  <c r="AU58" i="27" s="1"/>
  <c r="AQ27" i="27"/>
  <c r="AQ48" i="27"/>
  <c r="AU39" i="27" a="1"/>
  <c r="AU39" i="27" s="1"/>
  <c r="AW39" i="27" s="1"/>
  <c r="AQ29" i="27"/>
  <c r="AU42" i="27" a="1"/>
  <c r="AU42" i="27" s="1"/>
  <c r="AS37" i="27"/>
  <c r="AT37" i="27" s="1" a="1"/>
  <c r="AT37" i="27" s="1"/>
  <c r="AQ50" i="27"/>
  <c r="AS51" i="27"/>
  <c r="AT51" i="27" s="1" a="1"/>
  <c r="AT51" i="27" s="1"/>
  <c r="AP18" i="27" a="1"/>
  <c r="AP18" i="27" s="1"/>
  <c r="AU60" i="27" a="1"/>
  <c r="AU60" i="27" s="1"/>
  <c r="AP42" i="27" a="1"/>
  <c r="AP42" i="27" s="1"/>
  <c r="AR51" i="27"/>
  <c r="AQ18" i="27"/>
  <c r="AR18" i="27"/>
  <c r="AS13" i="27"/>
  <c r="AT13" i="27" s="1" a="1"/>
  <c r="AT13" i="27" s="1"/>
  <c r="AU49" i="27" a="1"/>
  <c r="AU49" i="27" s="1"/>
  <c r="AX49" i="27" s="1"/>
  <c r="AS49" i="27"/>
  <c r="AT49" i="27" s="1" a="1"/>
  <c r="AT49" i="27" s="1"/>
  <c r="AR49" i="27"/>
  <c r="AQ49" i="27"/>
  <c r="AU18" i="27" a="1"/>
  <c r="AU18" i="27" s="1"/>
  <c r="AX18" i="27" s="1"/>
  <c r="AY18" i="27" s="1"/>
  <c r="AZ18" i="27" s="1" a="1"/>
  <c r="AZ18" i="27" s="1"/>
  <c r="AQ60" i="27"/>
  <c r="AR31" i="27"/>
  <c r="AU31" i="27" a="1"/>
  <c r="AU31" i="27" s="1"/>
  <c r="AW31" i="27" s="1"/>
  <c r="AQ31" i="27"/>
  <c r="AU44" i="27" a="1"/>
  <c r="AU44" i="27" s="1"/>
  <c r="AV44" i="27" s="1" a="1"/>
  <c r="AV44" i="27" s="1"/>
  <c r="AU63" i="27" a="1"/>
  <c r="AU63" i="27" s="1"/>
  <c r="AV63" i="27" s="1" a="1"/>
  <c r="AV63" i="27" s="1"/>
  <c r="AP44" i="27" a="1"/>
  <c r="AP44" i="27" s="1"/>
  <c r="AP63" i="27" a="1"/>
  <c r="AP63" i="27" s="1"/>
  <c r="AR28" i="27"/>
  <c r="AU28" i="27" a="1"/>
  <c r="AU28" i="27" s="1"/>
  <c r="AS44" i="27"/>
  <c r="AT44" i="27" s="1" a="1"/>
  <c r="AT44" i="27" s="1"/>
  <c r="AR44" i="27"/>
  <c r="AS63" i="27"/>
  <c r="AT63" i="27" s="1" a="1"/>
  <c r="AT63" i="27" s="1"/>
  <c r="AU59" i="27" a="1"/>
  <c r="AU59" i="27" s="1"/>
  <c r="AW59" i="27" s="1"/>
  <c r="AR63" i="27"/>
  <c r="AU12" i="27" a="1"/>
  <c r="AU12" i="27" s="1"/>
  <c r="AS59" i="27"/>
  <c r="AT59" i="27" s="1" a="1"/>
  <c r="AT59" i="27" s="1"/>
  <c r="AS29" i="27"/>
  <c r="AT29" i="27" s="1" a="1"/>
  <c r="AT29" i="27" s="1"/>
  <c r="AR59" i="27"/>
  <c r="AQ12" i="27"/>
  <c r="AR29" i="27"/>
  <c r="AQ59" i="27"/>
  <c r="AS12" i="27"/>
  <c r="AT12" i="27" s="1" a="1"/>
  <c r="AT12" i="27" s="1"/>
  <c r="AR43" i="27"/>
  <c r="AU13" i="27" a="1"/>
  <c r="AU13" i="27" s="1"/>
  <c r="AP13" i="27" a="1"/>
  <c r="AP13" i="27" s="1"/>
  <c r="AP51" i="27" a="1"/>
  <c r="AP51" i="27" s="1"/>
  <c r="AU51" i="27" a="1"/>
  <c r="AU51" i="27" s="1"/>
  <c r="AR11" i="27"/>
  <c r="AQ11" i="27"/>
  <c r="AU11" i="27" a="1"/>
  <c r="AU11" i="27" s="1"/>
  <c r="AW11" i="27" s="1"/>
  <c r="AP19" i="27" a="1"/>
  <c r="AP19" i="27" s="1"/>
  <c r="AU19" i="27" a="1"/>
  <c r="AU19" i="27" s="1"/>
  <c r="AS50" i="27"/>
  <c r="AT50" i="27" s="1" a="1"/>
  <c r="AT50" i="27" s="1"/>
  <c r="AP50" i="27" a="1"/>
  <c r="AP50" i="27" s="1"/>
  <c r="AU43" i="27" a="1"/>
  <c r="AU43" i="27" s="1"/>
  <c r="AS43" i="27"/>
  <c r="AT43" i="27" s="1" a="1"/>
  <c r="AT43" i="27" s="1"/>
  <c r="AR56" i="27"/>
  <c r="AS56" i="27"/>
  <c r="AT56" i="27" s="1" a="1"/>
  <c r="AT56" i="27" s="1"/>
  <c r="AP56" i="27" a="1"/>
  <c r="AP56" i="27" s="1"/>
  <c r="AU56" i="27" a="1"/>
  <c r="AU56" i="27" s="1"/>
  <c r="AQ8" i="27"/>
  <c r="AP8" i="27" a="1"/>
  <c r="AP8" i="27" s="1"/>
  <c r="AS8" i="27"/>
  <c r="AT8" i="27" s="1" a="1"/>
  <c r="AT8" i="27" s="1"/>
  <c r="AR8" i="27"/>
  <c r="AW55" i="27"/>
  <c r="AQ16" i="27"/>
  <c r="AR16" i="27"/>
  <c r="AU16" i="27" a="1"/>
  <c r="AU16" i="27" s="1"/>
  <c r="AP16" i="27" a="1"/>
  <c r="AP16" i="27" s="1"/>
  <c r="AS16" i="27"/>
  <c r="AT16" i="27" s="1" a="1"/>
  <c r="AT16" i="27" s="1"/>
  <c r="AX55" i="27"/>
  <c r="AP46" i="27" a="1"/>
  <c r="AP46" i="27" s="1"/>
  <c r="AQ46" i="27"/>
  <c r="AR46" i="27"/>
  <c r="AS46" i="27"/>
  <c r="AT46" i="27" s="1" a="1"/>
  <c r="AT46" i="27" s="1"/>
  <c r="AU46" i="27" a="1"/>
  <c r="AU46" i="27" s="1"/>
  <c r="AV35" i="27" a="1"/>
  <c r="AV35" i="27" s="1"/>
  <c r="AW35" i="27"/>
  <c r="AX35" i="27"/>
  <c r="AV45" i="27" a="1"/>
  <c r="AV45" i="27" s="1"/>
  <c r="AW45" i="27"/>
  <c r="AX45" i="27"/>
  <c r="AV33" i="27" a="1"/>
  <c r="AV33" i="27" s="1"/>
  <c r="AW33" i="27"/>
  <c r="AX33" i="27"/>
  <c r="AV57" i="27" a="1"/>
  <c r="AV57" i="27" s="1"/>
  <c r="AW57" i="27"/>
  <c r="AX57" i="27"/>
  <c r="AP30" i="27" a="1"/>
  <c r="AP30" i="27" s="1"/>
  <c r="AQ30" i="27"/>
  <c r="AR30" i="27"/>
  <c r="AS30" i="27"/>
  <c r="AT30" i="27" s="1" a="1"/>
  <c r="AT30" i="27" s="1"/>
  <c r="AU30" i="27" a="1"/>
  <c r="AU30" i="27" s="1"/>
  <c r="AP54" i="27" a="1"/>
  <c r="AP54" i="27" s="1"/>
  <c r="AU54" i="27" a="1"/>
  <c r="AU54" i="27" s="1"/>
  <c r="AQ54" i="27"/>
  <c r="AR54" i="27"/>
  <c r="AS54" i="27"/>
  <c r="AT54" i="27" s="1" a="1"/>
  <c r="AT54" i="27" s="1"/>
  <c r="AV53" i="27" a="1"/>
  <c r="AV53" i="27" s="1"/>
  <c r="AW53" i="27"/>
  <c r="AX53" i="27"/>
  <c r="AP14" i="27" a="1"/>
  <c r="AP14" i="27" s="1"/>
  <c r="AU14" i="27" a="1"/>
  <c r="AU14" i="27" s="1"/>
  <c r="AQ14" i="27"/>
  <c r="AR14" i="27"/>
  <c r="AS14" i="27"/>
  <c r="AT14" i="27" s="1" a="1"/>
  <c r="AT14" i="27" s="1"/>
  <c r="AP38" i="27" a="1"/>
  <c r="AP38" i="27" s="1"/>
  <c r="AU38" i="27" a="1"/>
  <c r="AU38" i="27" s="1"/>
  <c r="AQ38" i="27"/>
  <c r="AR38" i="27"/>
  <c r="AS38" i="27"/>
  <c r="AT38" i="27" s="1" a="1"/>
  <c r="AT38" i="27" s="1"/>
  <c r="AP62" i="27" a="1"/>
  <c r="AP62" i="27" s="1"/>
  <c r="AQ62" i="27"/>
  <c r="AR62" i="27"/>
  <c r="AS62" i="27"/>
  <c r="AT62" i="27" s="1" a="1"/>
  <c r="AT62" i="27" s="1"/>
  <c r="AU62" i="27" a="1"/>
  <c r="AU62" i="27" s="1"/>
  <c r="AP22" i="27" a="1"/>
  <c r="AP22" i="27" s="1"/>
  <c r="AR22" i="27"/>
  <c r="AS22" i="27"/>
  <c r="AT22" i="27" s="1" a="1"/>
  <c r="AT22" i="27" s="1"/>
  <c r="AU22" i="27" a="1"/>
  <c r="AU22" i="27" s="1"/>
  <c r="AQ22" i="27"/>
  <c r="AW8" i="27" l="1"/>
  <c r="AW50" i="27"/>
  <c r="AX52" i="27"/>
  <c r="AY52" i="27" s="1"/>
  <c r="AX8" i="27"/>
  <c r="AY8" i="27" s="1"/>
  <c r="AZ8" i="27" s="1" a="1"/>
  <c r="AZ8" i="27" s="1"/>
  <c r="AX17" i="27"/>
  <c r="AY17" i="27" s="1"/>
  <c r="AW26" i="27"/>
  <c r="AW17" i="27"/>
  <c r="AW29" i="27"/>
  <c r="AV26" i="27" a="1"/>
  <c r="AV26" i="27" s="1"/>
  <c r="AV34" i="27" a="1"/>
  <c r="AV34" i="27" s="1"/>
  <c r="AW52" i="27"/>
  <c r="AX29" i="27"/>
  <c r="AY29" i="27" s="1"/>
  <c r="AZ29" i="27" s="1" a="1"/>
  <c r="AZ29" i="27" s="1"/>
  <c r="AV50" i="27" a="1"/>
  <c r="AV50" i="27" s="1"/>
  <c r="AV40" i="27" a="1"/>
  <c r="AV40" i="27" s="1"/>
  <c r="AX40" i="27"/>
  <c r="AY40" i="27" s="1"/>
  <c r="AZ40" i="27" s="1" a="1"/>
  <c r="AZ40" i="27" s="1"/>
  <c r="AX34" i="27"/>
  <c r="AY34" i="27" s="1"/>
  <c r="AZ34" i="27" s="1" a="1"/>
  <c r="AZ34" i="27" s="1"/>
  <c r="AW21" i="27"/>
  <c r="AX21" i="27"/>
  <c r="AY21" i="27" s="1"/>
  <c r="AZ21" i="27" s="1" a="1"/>
  <c r="AZ21" i="27" s="1"/>
  <c r="AW9" i="27"/>
  <c r="AV47" i="27" a="1"/>
  <c r="AV47" i="27" s="1"/>
  <c r="AX9" i="27"/>
  <c r="AY9" i="27" s="1"/>
  <c r="AZ9" i="27" s="1" a="1"/>
  <c r="AZ9" i="27" s="1"/>
  <c r="AX20" i="27"/>
  <c r="AY20" i="27" s="1"/>
  <c r="AZ20" i="27" s="1" a="1"/>
  <c r="AZ20" i="27" s="1"/>
  <c r="AW47" i="27"/>
  <c r="AW20" i="27"/>
  <c r="AW25" i="27"/>
  <c r="AX25" i="27"/>
  <c r="AY25" i="27" s="1"/>
  <c r="AZ25" i="27" s="1" a="1"/>
  <c r="AZ25" i="27" s="1"/>
  <c r="AX48" i="27"/>
  <c r="AY48" i="27" s="1"/>
  <c r="AZ48" i="27" s="1" a="1"/>
  <c r="AZ48" i="27" s="1"/>
  <c r="AZ47" i="27" a="1"/>
  <c r="AZ47" i="27" s="1"/>
  <c r="AX41" i="27"/>
  <c r="AY41" i="27" s="1"/>
  <c r="AV41" i="27" a="1"/>
  <c r="AV41" i="27" s="1"/>
  <c r="AV48" i="27" a="1"/>
  <c r="AV48" i="27" s="1"/>
  <c r="AW49" i="27"/>
  <c r="AX63" i="27"/>
  <c r="AY63" i="27" s="1"/>
  <c r="AZ63" i="27" s="1" a="1"/>
  <c r="AZ63" i="27" s="1"/>
  <c r="AX23" i="27"/>
  <c r="AY23" i="27" s="1"/>
  <c r="AZ23" i="27" s="1" a="1"/>
  <c r="AZ23" i="27" s="1"/>
  <c r="AV23" i="27" a="1"/>
  <c r="AV23" i="27" s="1"/>
  <c r="AW63" i="27"/>
  <c r="AW18" i="27"/>
  <c r="AX15" i="27"/>
  <c r="AY15" i="27" s="1"/>
  <c r="AX61" i="27"/>
  <c r="AY61" i="27" s="1"/>
  <c r="AZ61" i="27" s="1" a="1"/>
  <c r="AZ61" i="27" s="1"/>
  <c r="AW61" i="27"/>
  <c r="AX37" i="27"/>
  <c r="AY37" i="27" s="1"/>
  <c r="AV15" i="27" a="1"/>
  <c r="AV15" i="27" s="1"/>
  <c r="AW37" i="27"/>
  <c r="AV10" i="27" a="1"/>
  <c r="AV10" i="27" s="1"/>
  <c r="AW10" i="27"/>
  <c r="AX10" i="27"/>
  <c r="AY10" i="27" s="1"/>
  <c r="AZ10" i="27" s="1" a="1"/>
  <c r="AZ10" i="27" s="1"/>
  <c r="AV18" i="27" a="1"/>
  <c r="AV18" i="27" s="1"/>
  <c r="AX39" i="27"/>
  <c r="AY39" i="27" s="1"/>
  <c r="AZ39" i="27" s="1" a="1"/>
  <c r="AZ39" i="27" s="1"/>
  <c r="AV39" i="27" a="1"/>
  <c r="AV39" i="27" s="1"/>
  <c r="AW27" i="27"/>
  <c r="AV27" i="27" a="1"/>
  <c r="AV27" i="27" s="1"/>
  <c r="AV59" i="27" a="1"/>
  <c r="AV59" i="27" s="1"/>
  <c r="AV36" i="27" a="1"/>
  <c r="AV36" i="27" s="1"/>
  <c r="AW36" i="27"/>
  <c r="AV32" i="27" a="1"/>
  <c r="AV32" i="27" s="1"/>
  <c r="AW32" i="27"/>
  <c r="AX32" i="27"/>
  <c r="AY32" i="27" s="1"/>
  <c r="AZ32" i="27" s="1" a="1"/>
  <c r="AZ32" i="27" s="1"/>
  <c r="AW58" i="27"/>
  <c r="AX58" i="27"/>
  <c r="AY58" i="27" s="1"/>
  <c r="AZ58" i="27" s="1" a="1"/>
  <c r="AZ58" i="27" s="1"/>
  <c r="AV58" i="27" a="1"/>
  <c r="AV58" i="27" s="1"/>
  <c r="AX44" i="27"/>
  <c r="AY44" i="27" s="1"/>
  <c r="AW44" i="27"/>
  <c r="AV49" i="27" a="1"/>
  <c r="AV49" i="27" s="1"/>
  <c r="AV42" i="27" a="1"/>
  <c r="AV42" i="27" s="1"/>
  <c r="AW42" i="27"/>
  <c r="AX42" i="27"/>
  <c r="AY42" i="27" s="1"/>
  <c r="AZ42" i="27" s="1" a="1"/>
  <c r="AZ42" i="27" s="1"/>
  <c r="AX11" i="27"/>
  <c r="AY11" i="27" s="1"/>
  <c r="AZ11" i="27" s="1" a="1"/>
  <c r="AZ11" i="27" s="1"/>
  <c r="AV11" i="27" a="1"/>
  <c r="AV11" i="27" s="1"/>
  <c r="AV60" i="27" a="1"/>
  <c r="AV60" i="27" s="1"/>
  <c r="AW60" i="27"/>
  <c r="AX60" i="27"/>
  <c r="AY60" i="27" s="1"/>
  <c r="AZ60" i="27" s="1" a="1"/>
  <c r="AZ60" i="27" s="1"/>
  <c r="AV31" i="27" a="1"/>
  <c r="AV31" i="27" s="1"/>
  <c r="AX31" i="27"/>
  <c r="AY31" i="27" s="1"/>
  <c r="AZ31" i="27" s="1" a="1"/>
  <c r="AZ31" i="27" s="1"/>
  <c r="AX59" i="27"/>
  <c r="AY59" i="27" s="1"/>
  <c r="AV28" i="27" a="1"/>
  <c r="AV28" i="27" s="1"/>
  <c r="AW28" i="27"/>
  <c r="AX28" i="27"/>
  <c r="AY28" i="27" s="1"/>
  <c r="AZ28" i="27" s="1" a="1"/>
  <c r="AZ28" i="27" s="1"/>
  <c r="AW12" i="27"/>
  <c r="AX12" i="27"/>
  <c r="AY12" i="27" s="1"/>
  <c r="AZ12" i="27" s="1" a="1"/>
  <c r="AZ12" i="27" s="1"/>
  <c r="AV12" i="27" a="1"/>
  <c r="AV12" i="27" s="1"/>
  <c r="AV19" i="27" a="1"/>
  <c r="AV19" i="27" s="1"/>
  <c r="AX19" i="27"/>
  <c r="AY19" i="27" s="1"/>
  <c r="AZ19" i="27" s="1" a="1"/>
  <c r="AZ19" i="27" s="1"/>
  <c r="AW19" i="27"/>
  <c r="AX51" i="27"/>
  <c r="AY51" i="27" s="1"/>
  <c r="AZ51" i="27" s="1" a="1"/>
  <c r="AZ51" i="27" s="1"/>
  <c r="AV51" i="27" a="1"/>
  <c r="AV51" i="27" s="1"/>
  <c r="AW51" i="27"/>
  <c r="AV13" i="27" a="1"/>
  <c r="AV13" i="27" s="1"/>
  <c r="AW13" i="27"/>
  <c r="AX13" i="27"/>
  <c r="AW43" i="27"/>
  <c r="AX43" i="27"/>
  <c r="AY43" i="27" s="1"/>
  <c r="AZ43" i="27" s="1" a="1"/>
  <c r="AZ43" i="27" s="1"/>
  <c r="AV43" i="27" a="1"/>
  <c r="AV43" i="27" s="1"/>
  <c r="AX56" i="27"/>
  <c r="AY56" i="27" s="1"/>
  <c r="AZ56" i="27" s="1" a="1"/>
  <c r="AZ56" i="27" s="1"/>
  <c r="AW56" i="27"/>
  <c r="AV56" i="27" a="1"/>
  <c r="AV56" i="27" s="1"/>
  <c r="AV16" i="27" a="1"/>
  <c r="AV16" i="27" s="1"/>
  <c r="AW16" i="27"/>
  <c r="AX16" i="27"/>
  <c r="AY16" i="27" s="1"/>
  <c r="AZ16" i="27" s="1" a="1"/>
  <c r="AZ16" i="27" s="1"/>
  <c r="AY55" i="27"/>
  <c r="AZ55" i="27" s="1" a="1"/>
  <c r="AZ55" i="27" s="1"/>
  <c r="AW22" i="27"/>
  <c r="AX22" i="27"/>
  <c r="AV22" i="27" a="1"/>
  <c r="AV22" i="27" s="1"/>
  <c r="AX38" i="27"/>
  <c r="AW38" i="27"/>
  <c r="AV38" i="27" a="1"/>
  <c r="AV38" i="27" s="1"/>
  <c r="AV62" i="27" a="1"/>
  <c r="AV62" i="27" s="1"/>
  <c r="AW62" i="27"/>
  <c r="AX62" i="27"/>
  <c r="AZ50" i="27" a="1"/>
  <c r="AZ50" i="27" s="1"/>
  <c r="AW30" i="27"/>
  <c r="AV30" i="27" a="1"/>
  <c r="AV30" i="27" s="1"/>
  <c r="AX30" i="27"/>
  <c r="AV46" i="27" a="1"/>
  <c r="AV46" i="27" s="1"/>
  <c r="AX46" i="27"/>
  <c r="AW46" i="27"/>
  <c r="AY26" i="27"/>
  <c r="AZ26" i="27" s="1" a="1"/>
  <c r="AZ26" i="27" s="1"/>
  <c r="AY53" i="27"/>
  <c r="AZ53" i="27" s="1" a="1"/>
  <c r="AZ53" i="27" s="1"/>
  <c r="AV54" i="27" a="1"/>
  <c r="AV54" i="27" s="1"/>
  <c r="AW54" i="27"/>
  <c r="AX54" i="27"/>
  <c r="AW14" i="27"/>
  <c r="AX14" i="27"/>
  <c r="AV14" i="27" a="1"/>
  <c r="AV14" i="27" s="1"/>
  <c r="AY33" i="27"/>
  <c r="AZ33" i="27" s="1" a="1"/>
  <c r="AZ33" i="27" s="1"/>
  <c r="AY45" i="27"/>
  <c r="AZ45" i="27" s="1" a="1"/>
  <c r="AZ45" i="27" s="1"/>
  <c r="AY35" i="27"/>
  <c r="AZ35" i="27" s="1" a="1"/>
  <c r="AZ35" i="27" s="1"/>
  <c r="AY49" i="27"/>
  <c r="AY57" i="27"/>
  <c r="AZ57" i="27" s="1" a="1"/>
  <c r="AZ57" i="27" s="1"/>
  <c r="AZ52" i="27" l="1" a="1"/>
  <c r="AZ52" i="27" s="1"/>
  <c r="AZ15" i="27" a="1"/>
  <c r="AZ15" i="27" s="1"/>
  <c r="AZ59" i="27" a="1"/>
  <c r="AZ59" i="27" s="1"/>
  <c r="AY13" i="27"/>
  <c r="AZ13" i="27" s="1" a="1"/>
  <c r="AZ13" i="27" s="1"/>
  <c r="AZ41" i="27" a="1"/>
  <c r="AZ41" i="27" s="1"/>
  <c r="AY54" i="27"/>
  <c r="AZ54" i="27" s="1" a="1"/>
  <c r="AZ54" i="27" s="1"/>
  <c r="AY46" i="27"/>
  <c r="AZ46" i="27" s="1" a="1"/>
  <c r="AZ46" i="27" s="1"/>
  <c r="AZ44" i="27" a="1"/>
  <c r="AZ44" i="27" s="1"/>
  <c r="AY38" i="27"/>
  <c r="AZ38" i="27" s="1" a="1"/>
  <c r="AZ38" i="27" s="1"/>
  <c r="AY30" i="27"/>
  <c r="AZ30" i="27" s="1" a="1"/>
  <c r="AZ30" i="27" s="1"/>
  <c r="AZ49" i="27" a="1"/>
  <c r="AZ49" i="27" s="1"/>
  <c r="AZ17" i="27" a="1"/>
  <c r="AZ17" i="27" s="1"/>
  <c r="AY22" i="27"/>
  <c r="AZ22" i="27" s="1" a="1"/>
  <c r="AZ22" i="27" s="1"/>
  <c r="AY14" i="27"/>
  <c r="AZ14" i="27" s="1" a="1"/>
  <c r="AZ14" i="27" s="1"/>
  <c r="AY62" i="27"/>
  <c r="AZ37" i="27" a="1"/>
  <c r="AZ37" i="27" s="1"/>
  <c r="AZ62" i="27" l="1" a="1"/>
  <c r="AZ62" i="27" s="1"/>
  <c r="A4" i="94" l="1"/>
  <c r="A5" i="94"/>
  <c r="A6" i="94"/>
  <c r="A4" i="93"/>
  <c r="A5" i="93"/>
  <c r="A6" i="93"/>
  <c r="A7" i="93"/>
  <c r="BE14" i="27" l="1"/>
  <c r="BF14" i="27" s="1"/>
  <c r="BE63" i="27"/>
  <c r="BE28" i="27"/>
  <c r="BE16" i="27"/>
  <c r="BE29" i="27"/>
  <c r="BE18" i="27"/>
  <c r="BE54" i="27"/>
  <c r="BE56" i="27"/>
  <c r="BE34" i="27"/>
  <c r="BE36" i="27"/>
  <c r="BE35" i="27"/>
  <c r="BE30" i="27"/>
  <c r="BE19" i="27"/>
  <c r="BE15" i="27"/>
  <c r="BF15" i="27" s="1"/>
  <c r="BE10" i="27"/>
  <c r="BE59" i="27"/>
  <c r="BE55" i="27"/>
  <c r="BE50" i="27"/>
  <c r="BE39" i="27"/>
  <c r="BE53" i="27"/>
  <c r="BE58" i="27"/>
  <c r="BE9" i="27"/>
  <c r="BE60" i="27"/>
  <c r="BE22" i="27"/>
  <c r="BE57" i="27"/>
  <c r="BF57" i="27" s="1"/>
  <c r="BE40" i="27"/>
  <c r="BE61" i="27"/>
  <c r="BE62" i="27"/>
  <c r="BE37" i="27"/>
  <c r="BE8" i="27"/>
  <c r="BE33" i="27"/>
  <c r="BE13" i="27"/>
  <c r="BE49" i="27"/>
  <c r="BE38" i="27"/>
  <c r="BE21" i="27"/>
  <c r="BE43" i="27"/>
  <c r="BE48" i="27"/>
  <c r="BE20" i="27"/>
  <c r="BE41" i="27"/>
  <c r="BE42" i="27"/>
  <c r="BE17" i="27"/>
  <c r="BE23" i="27"/>
  <c r="BE32" i="27"/>
  <c r="BE31" i="27"/>
  <c r="BE11" i="27"/>
  <c r="BE12" i="27"/>
  <c r="BE52" i="27"/>
  <c r="BE51" i="27"/>
  <c r="AC12" i="93"/>
  <c r="AC21" i="93"/>
  <c r="AC31" i="93"/>
  <c r="AC40" i="93"/>
  <c r="AC49" i="93"/>
  <c r="AC58" i="93"/>
  <c r="AC67" i="93"/>
  <c r="AC76" i="93"/>
  <c r="AC85" i="93"/>
  <c r="AC95" i="93"/>
  <c r="AC104" i="93"/>
  <c r="AC113" i="93"/>
  <c r="AC122" i="93"/>
  <c r="AC131" i="93"/>
  <c r="AC140" i="93"/>
  <c r="AC149" i="93"/>
  <c r="AC159" i="93"/>
  <c r="AD12" i="93"/>
  <c r="AD21" i="93"/>
  <c r="AD31" i="93"/>
  <c r="AD40" i="93"/>
  <c r="AD49" i="93"/>
  <c r="AD58" i="93"/>
  <c r="AD67" i="93"/>
  <c r="AD76" i="93"/>
  <c r="AD85" i="93"/>
  <c r="AD95" i="93"/>
  <c r="AD104" i="93"/>
  <c r="AD113" i="93"/>
  <c r="AD122" i="93"/>
  <c r="AD131" i="93"/>
  <c r="AD140" i="93"/>
  <c r="AD149" i="93"/>
  <c r="AD159" i="93"/>
  <c r="AE12" i="93"/>
  <c r="AE21" i="93"/>
  <c r="AE31" i="93"/>
  <c r="AE40" i="93"/>
  <c r="AE49" i="93"/>
  <c r="AE58" i="93"/>
  <c r="AE67" i="93"/>
  <c r="AE76" i="93"/>
  <c r="AE85" i="93"/>
  <c r="AE95" i="93"/>
  <c r="AE104" i="93"/>
  <c r="AE113" i="93"/>
  <c r="AE122" i="93"/>
  <c r="AE131" i="93"/>
  <c r="AE140" i="93"/>
  <c r="AE149" i="93"/>
  <c r="AE159" i="93"/>
  <c r="AF12" i="93"/>
  <c r="AF21" i="93"/>
  <c r="AF31" i="93"/>
  <c r="AF40" i="93"/>
  <c r="AF49" i="93"/>
  <c r="AF58" i="93"/>
  <c r="AF67" i="93"/>
  <c r="AF76" i="93"/>
  <c r="AF85" i="93"/>
  <c r="AF95" i="93"/>
  <c r="AF104" i="93"/>
  <c r="AF113" i="93"/>
  <c r="AF122" i="93"/>
  <c r="AF131" i="93"/>
  <c r="AF140" i="93"/>
  <c r="AF149" i="93"/>
  <c r="AF159" i="93"/>
  <c r="AG12" i="93"/>
  <c r="AG21" i="93"/>
  <c r="AG31" i="93"/>
  <c r="AG40" i="93"/>
  <c r="AG49" i="93"/>
  <c r="AG58" i="93"/>
  <c r="AG67" i="93"/>
  <c r="AG76" i="93"/>
  <c r="AG85" i="93"/>
  <c r="AG95" i="93"/>
  <c r="AG104" i="93"/>
  <c r="AG113" i="93"/>
  <c r="AG122" i="93"/>
  <c r="AG131" i="93"/>
  <c r="AG140" i="93"/>
  <c r="AG149" i="93"/>
  <c r="AG159" i="93"/>
  <c r="AC13" i="93"/>
  <c r="AC15" i="93"/>
  <c r="AC24" i="93"/>
  <c r="AC33" i="93"/>
  <c r="AC42" i="93"/>
  <c r="AC51" i="93"/>
  <c r="AC60" i="93"/>
  <c r="AC69" i="93"/>
  <c r="AC79" i="93"/>
  <c r="AC88" i="93"/>
  <c r="AC97" i="93"/>
  <c r="AC106" i="93"/>
  <c r="AC115" i="93"/>
  <c r="AC124" i="93"/>
  <c r="AC133" i="93"/>
  <c r="AC143" i="93"/>
  <c r="AC152" i="93"/>
  <c r="AC161" i="93"/>
  <c r="AD15" i="93"/>
  <c r="AD24" i="93"/>
  <c r="AD33" i="93"/>
  <c r="AD42" i="93"/>
  <c r="AD51" i="93"/>
  <c r="AD60" i="93"/>
  <c r="AD69" i="93"/>
  <c r="AD79" i="93"/>
  <c r="AD88" i="93"/>
  <c r="AD97" i="93"/>
  <c r="AD106" i="93"/>
  <c r="AD115" i="93"/>
  <c r="AD124" i="93"/>
  <c r="AD133" i="93"/>
  <c r="AD143" i="93"/>
  <c r="AD152" i="93"/>
  <c r="AD161" i="93"/>
  <c r="AE15" i="93"/>
  <c r="AE24" i="93"/>
  <c r="AE33" i="93"/>
  <c r="AE42" i="93"/>
  <c r="AE51" i="93"/>
  <c r="AE60" i="93"/>
  <c r="AE69" i="93"/>
  <c r="AE79" i="93"/>
  <c r="AE88" i="93"/>
  <c r="AE97" i="93"/>
  <c r="AE106" i="93"/>
  <c r="AE115" i="93"/>
  <c r="AE124" i="93"/>
  <c r="AE133" i="93"/>
  <c r="AE143" i="93"/>
  <c r="AE152" i="93"/>
  <c r="AE161" i="93"/>
  <c r="AF15" i="93"/>
  <c r="AF24" i="93"/>
  <c r="AF33" i="93"/>
  <c r="AF42" i="93"/>
  <c r="AF51" i="93"/>
  <c r="AF60" i="93"/>
  <c r="AF69" i="93"/>
  <c r="AF79" i="93"/>
  <c r="AF88" i="93"/>
  <c r="AF97" i="93"/>
  <c r="AF106" i="93"/>
  <c r="AF115" i="93"/>
  <c r="AF124" i="93"/>
  <c r="AF133" i="93"/>
  <c r="AF143" i="93"/>
  <c r="AF152" i="93"/>
  <c r="AF161" i="93"/>
  <c r="AG15" i="93"/>
  <c r="AG24" i="93"/>
  <c r="AG33" i="93"/>
  <c r="AG42" i="93"/>
  <c r="AG51" i="93"/>
  <c r="AG60" i="93"/>
  <c r="AG69" i="93"/>
  <c r="AG79" i="93"/>
  <c r="AG88" i="93"/>
  <c r="AG97" i="93"/>
  <c r="AG106" i="93"/>
  <c r="AG115" i="93"/>
  <c r="AG124" i="93"/>
  <c r="AG133" i="93"/>
  <c r="AG143" i="93"/>
  <c r="AG152" i="93"/>
  <c r="AG161" i="93"/>
  <c r="AC16" i="93"/>
  <c r="AC25" i="93"/>
  <c r="AC34" i="93"/>
  <c r="AC43" i="93"/>
  <c r="AC52" i="93"/>
  <c r="AC61" i="93"/>
  <c r="AC71" i="93"/>
  <c r="AC80" i="93"/>
  <c r="AC89" i="93"/>
  <c r="AC98" i="93"/>
  <c r="AC107" i="93"/>
  <c r="AC116" i="93"/>
  <c r="AC125" i="93"/>
  <c r="AC135" i="93"/>
  <c r="AC144" i="93"/>
  <c r="AC153" i="93"/>
  <c r="AC162" i="93"/>
  <c r="AD16" i="93"/>
  <c r="AD25" i="93"/>
  <c r="AD34" i="93"/>
  <c r="AD43" i="93"/>
  <c r="AD52" i="93"/>
  <c r="AD61" i="93"/>
  <c r="AD71" i="93"/>
  <c r="AD80" i="93"/>
  <c r="AD89" i="93"/>
  <c r="AD98" i="93"/>
  <c r="AD107" i="93"/>
  <c r="AD116" i="93"/>
  <c r="AD125" i="93"/>
  <c r="AD135" i="93"/>
  <c r="AD144" i="93"/>
  <c r="AD153" i="93"/>
  <c r="AD162" i="93"/>
  <c r="AE16" i="93"/>
  <c r="AE25" i="93"/>
  <c r="AE34" i="93"/>
  <c r="AE43" i="93"/>
  <c r="AE52" i="93"/>
  <c r="AE61" i="93"/>
  <c r="AE71" i="93"/>
  <c r="AE80" i="93"/>
  <c r="AE89" i="93"/>
  <c r="AE98" i="93"/>
  <c r="AE107" i="93"/>
  <c r="AE116" i="93"/>
  <c r="AE125" i="93"/>
  <c r="AE135" i="93"/>
  <c r="AE144" i="93"/>
  <c r="AE153" i="93"/>
  <c r="AE162" i="93"/>
  <c r="AF16" i="93"/>
  <c r="AF25" i="93"/>
  <c r="AF34" i="93"/>
  <c r="AF43" i="93"/>
  <c r="AF52" i="93"/>
  <c r="AF61" i="93"/>
  <c r="AF71" i="93"/>
  <c r="AF80" i="93"/>
  <c r="AF89" i="93"/>
  <c r="AF98" i="93"/>
  <c r="AF107" i="93"/>
  <c r="AF116" i="93"/>
  <c r="AF125" i="93"/>
  <c r="AF135" i="93"/>
  <c r="AF144" i="93"/>
  <c r="AF153" i="93"/>
  <c r="AF162" i="93"/>
  <c r="AG16" i="93"/>
  <c r="AG25" i="93"/>
  <c r="AG34" i="93"/>
  <c r="AG43" i="93"/>
  <c r="AG52" i="93"/>
  <c r="AG61" i="93"/>
  <c r="AG71" i="93"/>
  <c r="AG80" i="93"/>
  <c r="AG89" i="93"/>
  <c r="AG98" i="93"/>
  <c r="AG107" i="93"/>
  <c r="AG116" i="93"/>
  <c r="AG125" i="93"/>
  <c r="AG135" i="93"/>
  <c r="AG144" i="93"/>
  <c r="AG153" i="93"/>
  <c r="AG162" i="93"/>
  <c r="AC8" i="93"/>
  <c r="AC17" i="93"/>
  <c r="AC26" i="93"/>
  <c r="AC35" i="93"/>
  <c r="AC44" i="93"/>
  <c r="AC53" i="93"/>
  <c r="AC63" i="93"/>
  <c r="AC72" i="93"/>
  <c r="AC81" i="93"/>
  <c r="AC90" i="93"/>
  <c r="AC99" i="93"/>
  <c r="AC108" i="93"/>
  <c r="AC117" i="93"/>
  <c r="AC127" i="93"/>
  <c r="AC136" i="93"/>
  <c r="AC145" i="93"/>
  <c r="AC154" i="93"/>
  <c r="AD8" i="93"/>
  <c r="AD17" i="93"/>
  <c r="AD26" i="93"/>
  <c r="AD35" i="93"/>
  <c r="AD44" i="93"/>
  <c r="AD53" i="93"/>
  <c r="AD63" i="93"/>
  <c r="AD72" i="93"/>
  <c r="AD81" i="93"/>
  <c r="AD90" i="93"/>
  <c r="AD99" i="93"/>
  <c r="AD108" i="93"/>
  <c r="AD117" i="93"/>
  <c r="AD127" i="93"/>
  <c r="AD136" i="93"/>
  <c r="AD145" i="93"/>
  <c r="AD154" i="93"/>
  <c r="AE8" i="93"/>
  <c r="AE17" i="93"/>
  <c r="AE26" i="93"/>
  <c r="AE35" i="93"/>
  <c r="AE44" i="93"/>
  <c r="AE53" i="93"/>
  <c r="AE63" i="93"/>
  <c r="AE72" i="93"/>
  <c r="AE81" i="93"/>
  <c r="AE90" i="93"/>
  <c r="AE99" i="93"/>
  <c r="AE108" i="93"/>
  <c r="AE117" i="93"/>
  <c r="AE127" i="93"/>
  <c r="AE136" i="93"/>
  <c r="AE145" i="93"/>
  <c r="AE154" i="93"/>
  <c r="AF8" i="93"/>
  <c r="AF17" i="93"/>
  <c r="AF26" i="93"/>
  <c r="AF35" i="93"/>
  <c r="AF44" i="93"/>
  <c r="AF53" i="93"/>
  <c r="AF63" i="93"/>
  <c r="AF72" i="93"/>
  <c r="AF81" i="93"/>
  <c r="AF90" i="93"/>
  <c r="AF99" i="93"/>
  <c r="AF108" i="93"/>
  <c r="AF117" i="93"/>
  <c r="AF127" i="93"/>
  <c r="AF136" i="93"/>
  <c r="AF145" i="93"/>
  <c r="AF154" i="93"/>
  <c r="AG8" i="93"/>
  <c r="AG17" i="93"/>
  <c r="AG26" i="93"/>
  <c r="AG35" i="93"/>
  <c r="AG44" i="93"/>
  <c r="AG53" i="93"/>
  <c r="AG63" i="93"/>
  <c r="AG72" i="93"/>
  <c r="AG81" i="93"/>
  <c r="AG90" i="93"/>
  <c r="AG99" i="93"/>
  <c r="AG108" i="93"/>
  <c r="AG117" i="93"/>
  <c r="AG127" i="93"/>
  <c r="AG136" i="93"/>
  <c r="AG145" i="93"/>
  <c r="AG154" i="93"/>
  <c r="AC27" i="93"/>
  <c r="AC45" i="93"/>
  <c r="AC64" i="93"/>
  <c r="AC82" i="93"/>
  <c r="AC100" i="93"/>
  <c r="AC119" i="93"/>
  <c r="AC137" i="93"/>
  <c r="AC155" i="93"/>
  <c r="AD18" i="93"/>
  <c r="AD36" i="93"/>
  <c r="AD55" i="93"/>
  <c r="AD73" i="93"/>
  <c r="AD91" i="93"/>
  <c r="AD109" i="93"/>
  <c r="AD128" i="93"/>
  <c r="AD146" i="93"/>
  <c r="AE9" i="93"/>
  <c r="AE27" i="93"/>
  <c r="AE45" i="93"/>
  <c r="AE64" i="93"/>
  <c r="AE82" i="93"/>
  <c r="AE100" i="93"/>
  <c r="AE119" i="93"/>
  <c r="AE137" i="93"/>
  <c r="AE155" i="93"/>
  <c r="AF18" i="93"/>
  <c r="AF36" i="93"/>
  <c r="AF55" i="93"/>
  <c r="AF73" i="93"/>
  <c r="AF91" i="93"/>
  <c r="AF109" i="93"/>
  <c r="AF128" i="93"/>
  <c r="AF146" i="93"/>
  <c r="AG9" i="93"/>
  <c r="AG27" i="93"/>
  <c r="AG45" i="93"/>
  <c r="AG64" i="93"/>
  <c r="AG82" i="93"/>
  <c r="AG100" i="93"/>
  <c r="AG119" i="93"/>
  <c r="AG137" i="93"/>
  <c r="AG155" i="93"/>
  <c r="AC9" i="93"/>
  <c r="AC28" i="93"/>
  <c r="AC47" i="93"/>
  <c r="AC65" i="93"/>
  <c r="AC83" i="93"/>
  <c r="AC101" i="93"/>
  <c r="AC120" i="93"/>
  <c r="AC138" i="93"/>
  <c r="AC156" i="93"/>
  <c r="AD19" i="93"/>
  <c r="AD37" i="93"/>
  <c r="AD56" i="93"/>
  <c r="AD74" i="93"/>
  <c r="AD92" i="93"/>
  <c r="AD111" i="93"/>
  <c r="AD129" i="93"/>
  <c r="AD147" i="93"/>
  <c r="AE10" i="93"/>
  <c r="AE28" i="93"/>
  <c r="AE47" i="93"/>
  <c r="AE65" i="93"/>
  <c r="AE83" i="93"/>
  <c r="AE101" i="93"/>
  <c r="AE120" i="93"/>
  <c r="AE138" i="93"/>
  <c r="AE156" i="93"/>
  <c r="AF19" i="93"/>
  <c r="AF37" i="93"/>
  <c r="AF56" i="93"/>
  <c r="AF74" i="93"/>
  <c r="AF92" i="93"/>
  <c r="AF111" i="93"/>
  <c r="AF129" i="93"/>
  <c r="AF147" i="93"/>
  <c r="AG10" i="93"/>
  <c r="AG28" i="93"/>
  <c r="AG47" i="93"/>
  <c r="AG65" i="93"/>
  <c r="AG83" i="93"/>
  <c r="AG101" i="93"/>
  <c r="AG120" i="93"/>
  <c r="AG138" i="93"/>
  <c r="AG156" i="93"/>
  <c r="AC10" i="93"/>
  <c r="AC29" i="93"/>
  <c r="AC48" i="93"/>
  <c r="AC66" i="93"/>
  <c r="AC84" i="93"/>
  <c r="AC103" i="93"/>
  <c r="AC121" i="93"/>
  <c r="AC139" i="93"/>
  <c r="AC157" i="93"/>
  <c r="AD20" i="93"/>
  <c r="AD39" i="93"/>
  <c r="AD57" i="93"/>
  <c r="AD75" i="93"/>
  <c r="AD93" i="93"/>
  <c r="AD112" i="93"/>
  <c r="AD130" i="93"/>
  <c r="AD148" i="93"/>
  <c r="AE11" i="93"/>
  <c r="AE29" i="93"/>
  <c r="AE48" i="93"/>
  <c r="AE66" i="93"/>
  <c r="AE84" i="93"/>
  <c r="AE103" i="93"/>
  <c r="AE121" i="93"/>
  <c r="AE139" i="93"/>
  <c r="AE157" i="93"/>
  <c r="AF20" i="93"/>
  <c r="AF39" i="93"/>
  <c r="AF57" i="93"/>
  <c r="AF75" i="93"/>
  <c r="AF93" i="93"/>
  <c r="AF112" i="93"/>
  <c r="AF130" i="93"/>
  <c r="AF148" i="93"/>
  <c r="AG11" i="93"/>
  <c r="AG29" i="93"/>
  <c r="AG48" i="93"/>
  <c r="AG66" i="93"/>
  <c r="AG84" i="93"/>
  <c r="AG103" i="93"/>
  <c r="AG121" i="93"/>
  <c r="AG139" i="93"/>
  <c r="AG157" i="93"/>
  <c r="AC18" i="93"/>
  <c r="AC36" i="93"/>
  <c r="AC55" i="93"/>
  <c r="AC73" i="93"/>
  <c r="AC91" i="93"/>
  <c r="AC109" i="93"/>
  <c r="AC128" i="93"/>
  <c r="AC146" i="93"/>
  <c r="AD9" i="93"/>
  <c r="AD27" i="93"/>
  <c r="AD45" i="93"/>
  <c r="AD64" i="93"/>
  <c r="AD82" i="93"/>
  <c r="AD100" i="93"/>
  <c r="AD119" i="93"/>
  <c r="AD137" i="93"/>
  <c r="AD155" i="93"/>
  <c r="AE18" i="93"/>
  <c r="AE36" i="93"/>
  <c r="AE55" i="93"/>
  <c r="AE73" i="93"/>
  <c r="AE91" i="93"/>
  <c r="AE109" i="93"/>
  <c r="AE128" i="93"/>
  <c r="AE146" i="93"/>
  <c r="AF9" i="93"/>
  <c r="AF27" i="93"/>
  <c r="AF45" i="93"/>
  <c r="AF64" i="93"/>
  <c r="AF82" i="93"/>
  <c r="AF100" i="93"/>
  <c r="AF119" i="93"/>
  <c r="AF137" i="93"/>
  <c r="AF155" i="93"/>
  <c r="AG18" i="93"/>
  <c r="AG36" i="93"/>
  <c r="AG55" i="93"/>
  <c r="AG73" i="93"/>
  <c r="AG91" i="93"/>
  <c r="AG109" i="93"/>
  <c r="AG128" i="93"/>
  <c r="AG146" i="93"/>
  <c r="AC19" i="93"/>
  <c r="AC37" i="93"/>
  <c r="AC56" i="93"/>
  <c r="AC74" i="93"/>
  <c r="AC92" i="93"/>
  <c r="AC111" i="93"/>
  <c r="AC129" i="93"/>
  <c r="AC147" i="93"/>
  <c r="AD10" i="93"/>
  <c r="AD28" i="93"/>
  <c r="AD47" i="93"/>
  <c r="AD65" i="93"/>
  <c r="AD83" i="93"/>
  <c r="AD101" i="93"/>
  <c r="AD120" i="93"/>
  <c r="AD138" i="93"/>
  <c r="AD156" i="93"/>
  <c r="AE19" i="93"/>
  <c r="AE37" i="93"/>
  <c r="AE56" i="93"/>
  <c r="AE74" i="93"/>
  <c r="AE92" i="93"/>
  <c r="AE111" i="93"/>
  <c r="AE129" i="93"/>
  <c r="AE147" i="93"/>
  <c r="AF10" i="93"/>
  <c r="AF28" i="93"/>
  <c r="AF47" i="93"/>
  <c r="AF65" i="93"/>
  <c r="AF83" i="93"/>
  <c r="AF101" i="93"/>
  <c r="AF120" i="93"/>
  <c r="AF138" i="93"/>
  <c r="AF156" i="93"/>
  <c r="AG19" i="93"/>
  <c r="AG37" i="93"/>
  <c r="AG56" i="93"/>
  <c r="AG74" i="93"/>
  <c r="AG92" i="93"/>
  <c r="AG111" i="93"/>
  <c r="AG129" i="93"/>
  <c r="AG147" i="93"/>
  <c r="AC20" i="93"/>
  <c r="AC39" i="93"/>
  <c r="AC57" i="93"/>
  <c r="AC75" i="93"/>
  <c r="AC93" i="93"/>
  <c r="AC112" i="93"/>
  <c r="AC130" i="93"/>
  <c r="AC148" i="93"/>
  <c r="AD11" i="93"/>
  <c r="AD29" i="93"/>
  <c r="AD48" i="93"/>
  <c r="AD66" i="93"/>
  <c r="AD84" i="93"/>
  <c r="AD103" i="93"/>
  <c r="AD121" i="93"/>
  <c r="AD139" i="93"/>
  <c r="AD157" i="93"/>
  <c r="AE20" i="93"/>
  <c r="AE39" i="93"/>
  <c r="AE57" i="93"/>
  <c r="AE75" i="93"/>
  <c r="AE93" i="93"/>
  <c r="AE112" i="93"/>
  <c r="AE130" i="93"/>
  <c r="AE148" i="93"/>
  <c r="AF11" i="93"/>
  <c r="AF29" i="93"/>
  <c r="AF48" i="93"/>
  <c r="AF66" i="93"/>
  <c r="AF84" i="93"/>
  <c r="AF103" i="93"/>
  <c r="AF121" i="93"/>
  <c r="AF139" i="93"/>
  <c r="AF157" i="93"/>
  <c r="AG20" i="93"/>
  <c r="AG39" i="93"/>
  <c r="AG57" i="93"/>
  <c r="AG75" i="93"/>
  <c r="AG93" i="93"/>
  <c r="AG112" i="93"/>
  <c r="AG130" i="93"/>
  <c r="AG148" i="93"/>
  <c r="AC77" i="93"/>
  <c r="AC151" i="93"/>
  <c r="AD68" i="93"/>
  <c r="AD141" i="93"/>
  <c r="AE59" i="93"/>
  <c r="AE132" i="93"/>
  <c r="AF50" i="93"/>
  <c r="AF123" i="93"/>
  <c r="AG41" i="93"/>
  <c r="AG114" i="93"/>
  <c r="AD132" i="93"/>
  <c r="AG105" i="93"/>
  <c r="AC11" i="93"/>
  <c r="AC87" i="93"/>
  <c r="AC160" i="93"/>
  <c r="AD77" i="93"/>
  <c r="AD151" i="93"/>
  <c r="AE68" i="93"/>
  <c r="AE141" i="93"/>
  <c r="AF59" i="93"/>
  <c r="AF132" i="93"/>
  <c r="AG50" i="93"/>
  <c r="AG123" i="93"/>
  <c r="AE123" i="93"/>
  <c r="AC23" i="93"/>
  <c r="AC96" i="93"/>
  <c r="AD13" i="93"/>
  <c r="AD87" i="93"/>
  <c r="AD160" i="93"/>
  <c r="AE77" i="93"/>
  <c r="AE151" i="93"/>
  <c r="AF68" i="93"/>
  <c r="AF141" i="93"/>
  <c r="AG59" i="93"/>
  <c r="AG132" i="93"/>
  <c r="AF41" i="93"/>
  <c r="AC32" i="93"/>
  <c r="AC105" i="93"/>
  <c r="AD23" i="93"/>
  <c r="AD96" i="93"/>
  <c r="AE13" i="93"/>
  <c r="AE87" i="93"/>
  <c r="AE160" i="93"/>
  <c r="AF77" i="93"/>
  <c r="AF151" i="93"/>
  <c r="AG68" i="93"/>
  <c r="AG141" i="93"/>
  <c r="AE50" i="93"/>
  <c r="AC41" i="93"/>
  <c r="AC114" i="93"/>
  <c r="AD32" i="93"/>
  <c r="AD105" i="93"/>
  <c r="AE23" i="93"/>
  <c r="AE96" i="93"/>
  <c r="AF13" i="93"/>
  <c r="AF87" i="93"/>
  <c r="AF160" i="93"/>
  <c r="AG77" i="93"/>
  <c r="AG151" i="93"/>
  <c r="AD59" i="93"/>
  <c r="AG32" i="93"/>
  <c r="AC50" i="93"/>
  <c r="AC123" i="93"/>
  <c r="AD41" i="93"/>
  <c r="AD114" i="93"/>
  <c r="AE32" i="93"/>
  <c r="AE105" i="93"/>
  <c r="AF23" i="93"/>
  <c r="AF96" i="93"/>
  <c r="AG13" i="93"/>
  <c r="AG87" i="93"/>
  <c r="AG160" i="93"/>
  <c r="AC68" i="93"/>
  <c r="AF114" i="93"/>
  <c r="AC59" i="93"/>
  <c r="AC132" i="93"/>
  <c r="AD50" i="93"/>
  <c r="AD123" i="93"/>
  <c r="AE41" i="93"/>
  <c r="AE114" i="93"/>
  <c r="AF32" i="93"/>
  <c r="AF105" i="93"/>
  <c r="AG23" i="93"/>
  <c r="AG96" i="93"/>
  <c r="AC141" i="93"/>
  <c r="AE158" i="93"/>
  <c r="AG142" i="93"/>
  <c r="AD126" i="93"/>
  <c r="AC118" i="93"/>
  <c r="AF102" i="93"/>
  <c r="AE94" i="93"/>
  <c r="AG78" i="93"/>
  <c r="AD62" i="93"/>
  <c r="AC54" i="93"/>
  <c r="AF38" i="93"/>
  <c r="AE30" i="93"/>
  <c r="AG14" i="93"/>
  <c r="AE70" i="93"/>
  <c r="AD150" i="93"/>
  <c r="AC142" i="93"/>
  <c r="AF126" i="93"/>
  <c r="AE118" i="93"/>
  <c r="AG102" i="93"/>
  <c r="AD86" i="93"/>
  <c r="AC78" i="93"/>
  <c r="AF62" i="93"/>
  <c r="AE54" i="93"/>
  <c r="AG38" i="93"/>
  <c r="AD22" i="93"/>
  <c r="AC14" i="93"/>
  <c r="AE134" i="93"/>
  <c r="AD102" i="93"/>
  <c r="AD38" i="93"/>
  <c r="AF150" i="93"/>
  <c r="AE142" i="93"/>
  <c r="AG126" i="93"/>
  <c r="AD110" i="93"/>
  <c r="AC102" i="93"/>
  <c r="AF86" i="93"/>
  <c r="AE78" i="93"/>
  <c r="AG62" i="93"/>
  <c r="AD46" i="93"/>
  <c r="AC38" i="93"/>
  <c r="AF22" i="93"/>
  <c r="AE14" i="93"/>
  <c r="AG150" i="93"/>
  <c r="AD134" i="93"/>
  <c r="AC126" i="93"/>
  <c r="AF110" i="93"/>
  <c r="AE102" i="93"/>
  <c r="AG86" i="93"/>
  <c r="AD70" i="93"/>
  <c r="AC62" i="93"/>
  <c r="AF46" i="93"/>
  <c r="AE38" i="93"/>
  <c r="AG22" i="93"/>
  <c r="AF142" i="93"/>
  <c r="AC94" i="93"/>
  <c r="AC30" i="93"/>
  <c r="AD158" i="93"/>
  <c r="AC150" i="93"/>
  <c r="AF134" i="93"/>
  <c r="AE126" i="93"/>
  <c r="AG110" i="93"/>
  <c r="AD94" i="93"/>
  <c r="AC86" i="93"/>
  <c r="AF70" i="93"/>
  <c r="AE62" i="93"/>
  <c r="AG46" i="93"/>
  <c r="AD30" i="93"/>
  <c r="AC22" i="93"/>
  <c r="AG118" i="93"/>
  <c r="AG54" i="93"/>
  <c r="AF158" i="93"/>
  <c r="AE150" i="93"/>
  <c r="AG134" i="93"/>
  <c r="AD118" i="93"/>
  <c r="AC110" i="93"/>
  <c r="AF94" i="93"/>
  <c r="AE86" i="93"/>
  <c r="AG70" i="93"/>
  <c r="AD54" i="93"/>
  <c r="AC46" i="93"/>
  <c r="AF30" i="93"/>
  <c r="AE22" i="93"/>
  <c r="AC158" i="93"/>
  <c r="AF78" i="93"/>
  <c r="AF14" i="93"/>
  <c r="AG158" i="93"/>
  <c r="AD142" i="93"/>
  <c r="AC134" i="93"/>
  <c r="AF118" i="93"/>
  <c r="AE110" i="93"/>
  <c r="AG94" i="93"/>
  <c r="AD78" i="93"/>
  <c r="AC70" i="93"/>
  <c r="AF54" i="93"/>
  <c r="AE46" i="93"/>
  <c r="AG30" i="93"/>
  <c r="AD14" i="93"/>
  <c r="AB4" i="93" a="1"/>
  <c r="AB4" i="93" s="1"/>
  <c r="AB5" i="93" a="1"/>
  <c r="AB5" i="93" s="1"/>
  <c r="AB6" i="93" a="1"/>
  <c r="AB6" i="93" s="1"/>
  <c r="AB7" i="93" a="1"/>
  <c r="AB7" i="93" s="1"/>
  <c r="BN34" i="27" l="1"/>
  <c r="BN17" i="27"/>
  <c r="BN31" i="27"/>
  <c r="BN32" i="27"/>
  <c r="BN28" i="27"/>
  <c r="BK14" i="27"/>
  <c r="BK57" i="27"/>
  <c r="BK15" i="27"/>
  <c r="BN37" i="27" s="1"/>
  <c r="BF48" i="27"/>
  <c r="BF19" i="27"/>
  <c r="BF10" i="27"/>
  <c r="BF61" i="27"/>
  <c r="BF39" i="27"/>
  <c r="BF20" i="27"/>
  <c r="BF40" i="27"/>
  <c r="BF41" i="27"/>
  <c r="BF17" i="27"/>
  <c r="BF29" i="27"/>
  <c r="BF62" i="27"/>
  <c r="BF51" i="27"/>
  <c r="BF50" i="27"/>
  <c r="BF32" i="27"/>
  <c r="BF35" i="27"/>
  <c r="BF33" i="27"/>
  <c r="BF37" i="27"/>
  <c r="BF43" i="27"/>
  <c r="BF30" i="27"/>
  <c r="BF11" i="27"/>
  <c r="BF22" i="27"/>
  <c r="BF55" i="27"/>
  <c r="BF23" i="27"/>
  <c r="BF18" i="27"/>
  <c r="BF8" i="27"/>
  <c r="BF53" i="27"/>
  <c r="BF21" i="27"/>
  <c r="BF28" i="27"/>
  <c r="BF9" i="27"/>
  <c r="BF58" i="27"/>
  <c r="BF49" i="27"/>
  <c r="BF34" i="27"/>
  <c r="BF12" i="27"/>
  <c r="BF16" i="27"/>
  <c r="BF36" i="27"/>
  <c r="BF13" i="27"/>
  <c r="BF59" i="27"/>
  <c r="BF63" i="27"/>
  <c r="BF42" i="27"/>
  <c r="BF56" i="27"/>
  <c r="BF31" i="27"/>
  <c r="BF52" i="27"/>
  <c r="BF54" i="27"/>
  <c r="BF60" i="27"/>
  <c r="BF38" i="27"/>
  <c r="AD13" i="92"/>
  <c r="AL13" i="92"/>
  <c r="AF37" i="92"/>
  <c r="AN37" i="92"/>
  <c r="AG53" i="92"/>
  <c r="AO53" i="92"/>
  <c r="AG61" i="92"/>
  <c r="AO61" i="92"/>
  <c r="AD53" i="92"/>
  <c r="AL53" i="92"/>
  <c r="AG21" i="92"/>
  <c r="AO21" i="92"/>
  <c r="AH37" i="92"/>
  <c r="AP37" i="92"/>
  <c r="AP10" i="92"/>
  <c r="AH10" i="92"/>
  <c r="AF49" i="92"/>
  <c r="AN49" i="92"/>
  <c r="AE32" i="92"/>
  <c r="AM32" i="92"/>
  <c r="AL15" i="92"/>
  <c r="AD15" i="92"/>
  <c r="AJ54" i="92"/>
  <c r="AB54" i="92"/>
  <c r="AA38" i="92"/>
  <c r="AI38" i="92"/>
  <c r="AH18" i="92"/>
  <c r="AP18" i="92"/>
  <c r="AF57" i="92"/>
  <c r="AN57" i="92"/>
  <c r="AE40" i="92"/>
  <c r="AM40" i="92"/>
  <c r="AL23" i="92"/>
  <c r="AD23" i="92"/>
  <c r="AB62" i="92"/>
  <c r="AJ62" i="92"/>
  <c r="AA45" i="92"/>
  <c r="AI45" i="92"/>
  <c r="AH35" i="92"/>
  <c r="AP35" i="92"/>
  <c r="AG18" i="92"/>
  <c r="AO18" i="92"/>
  <c r="AE57" i="92"/>
  <c r="AM57" i="92"/>
  <c r="AD40" i="92"/>
  <c r="AL40" i="92"/>
  <c r="AC23" i="92"/>
  <c r="AK23" i="92"/>
  <c r="AA62" i="92"/>
  <c r="AI62" i="92"/>
  <c r="AP52" i="92"/>
  <c r="AH52" i="92"/>
  <c r="AG35" i="92"/>
  <c r="AO35" i="92"/>
  <c r="AF18" i="92"/>
  <c r="AN18" i="92"/>
  <c r="AD57" i="92"/>
  <c r="AL57" i="92"/>
  <c r="AC40" i="92"/>
  <c r="AK40" i="92"/>
  <c r="AB23" i="92"/>
  <c r="AJ23" i="92"/>
  <c r="AA11" i="92"/>
  <c r="AI11" i="92"/>
  <c r="AG52" i="92"/>
  <c r="AO52" i="92"/>
  <c r="AF35" i="92"/>
  <c r="AN35" i="92"/>
  <c r="AE18" i="92"/>
  <c r="AM18" i="92"/>
  <c r="AC57" i="92"/>
  <c r="AK57" i="92"/>
  <c r="AB40" i="92"/>
  <c r="AJ40" i="92"/>
  <c r="AA26" i="92"/>
  <c r="AI26" i="92"/>
  <c r="AH14" i="92"/>
  <c r="AP14" i="92"/>
  <c r="AF52" i="92"/>
  <c r="AN52" i="92"/>
  <c r="AE35" i="92"/>
  <c r="AM35" i="92"/>
  <c r="AD18" i="92"/>
  <c r="AL18" i="92"/>
  <c r="AB57" i="92"/>
  <c r="AJ57" i="92"/>
  <c r="AA41" i="92"/>
  <c r="AI41" i="92"/>
  <c r="AP31" i="92"/>
  <c r="AH31" i="92"/>
  <c r="AG14" i="92"/>
  <c r="AO14" i="92"/>
  <c r="AE52" i="92"/>
  <c r="AM52" i="92"/>
  <c r="AD35" i="92"/>
  <c r="AL35" i="92"/>
  <c r="AC18" i="92"/>
  <c r="AK18" i="92"/>
  <c r="AA57" i="92"/>
  <c r="AI57" i="92"/>
  <c r="AH48" i="92"/>
  <c r="AP48" i="92"/>
  <c r="AO31" i="92"/>
  <c r="AG31" i="92"/>
  <c r="AF14" i="92"/>
  <c r="AN14" i="92"/>
  <c r="AD52" i="92"/>
  <c r="AL52" i="92"/>
  <c r="AC35" i="92"/>
  <c r="AK35" i="92"/>
  <c r="AB18" i="92"/>
  <c r="AJ18" i="92"/>
  <c r="AE21" i="92"/>
  <c r="AM21" i="92"/>
  <c r="AG45" i="92"/>
  <c r="AO45" i="92"/>
  <c r="AH61" i="92"/>
  <c r="AP61" i="92"/>
  <c r="AJ53" i="92"/>
  <c r="AB53" i="92"/>
  <c r="AE61" i="92"/>
  <c r="AM61" i="92"/>
  <c r="AH29" i="92"/>
  <c r="AP29" i="92"/>
  <c r="AJ21" i="92"/>
  <c r="AB21" i="92"/>
  <c r="AO57" i="92"/>
  <c r="AG57" i="92"/>
  <c r="AF40" i="92"/>
  <c r="AN40" i="92"/>
  <c r="AM23" i="92"/>
  <c r="AE23" i="92"/>
  <c r="AC62" i="92"/>
  <c r="AK62" i="92"/>
  <c r="AB44" i="92"/>
  <c r="AJ44" i="92"/>
  <c r="AA30" i="92"/>
  <c r="AI30" i="92"/>
  <c r="AP9" i="92"/>
  <c r="AH9" i="92"/>
  <c r="AF48" i="92"/>
  <c r="AN48" i="92"/>
  <c r="AM31" i="92"/>
  <c r="AE31" i="92"/>
  <c r="AD14" i="92"/>
  <c r="AL14" i="92"/>
  <c r="AB52" i="92"/>
  <c r="AJ52" i="92"/>
  <c r="AI37" i="92"/>
  <c r="AA37" i="92"/>
  <c r="AH26" i="92"/>
  <c r="AP26" i="92"/>
  <c r="AG9" i="92"/>
  <c r="AO9" i="92"/>
  <c r="AE48" i="92"/>
  <c r="AM48" i="92"/>
  <c r="AD31" i="92"/>
  <c r="AL31" i="92"/>
  <c r="AC14" i="92"/>
  <c r="AK14" i="92"/>
  <c r="AA52" i="92"/>
  <c r="AI52" i="92"/>
  <c r="AH43" i="92"/>
  <c r="AP43" i="92"/>
  <c r="AO26" i="92"/>
  <c r="AG26" i="92"/>
  <c r="AF9" i="92"/>
  <c r="AN9" i="92"/>
  <c r="AD48" i="92"/>
  <c r="AL48" i="92"/>
  <c r="AC31" i="92"/>
  <c r="AK31" i="92"/>
  <c r="AB14" i="92"/>
  <c r="AJ14" i="92"/>
  <c r="AH60" i="92"/>
  <c r="AP60" i="92"/>
  <c r="AG43" i="92"/>
  <c r="AO43" i="92"/>
  <c r="AF26" i="92"/>
  <c r="AN26" i="92"/>
  <c r="AE9" i="92"/>
  <c r="AM9" i="92"/>
  <c r="AC48" i="92"/>
  <c r="AK48" i="92"/>
  <c r="AB31" i="92"/>
  <c r="AJ31" i="92"/>
  <c r="AA18" i="92"/>
  <c r="AI18" i="92"/>
  <c r="AO60" i="92"/>
  <c r="AG60" i="92"/>
  <c r="AF43" i="92"/>
  <c r="AN43" i="92"/>
  <c r="AE26" i="92"/>
  <c r="AM26" i="92"/>
  <c r="AD9" i="92"/>
  <c r="AL9" i="92"/>
  <c r="AB48" i="92"/>
  <c r="AJ48" i="92"/>
  <c r="AA33" i="92"/>
  <c r="AI33" i="92"/>
  <c r="AH22" i="92"/>
  <c r="AP22" i="92"/>
  <c r="AF60" i="92"/>
  <c r="AN60" i="92"/>
  <c r="AE43" i="92"/>
  <c r="AM43" i="92"/>
  <c r="AD26" i="92"/>
  <c r="AL26" i="92"/>
  <c r="AC9" i="92"/>
  <c r="AK9" i="92"/>
  <c r="AA48" i="92"/>
  <c r="AI48" i="92"/>
  <c r="AP39" i="92"/>
  <c r="AH39" i="92"/>
  <c r="AG22" i="92"/>
  <c r="AO22" i="92"/>
  <c r="AE60" i="92"/>
  <c r="AM60" i="92"/>
  <c r="AD43" i="92"/>
  <c r="AL43" i="92"/>
  <c r="AC26" i="92"/>
  <c r="AK26" i="92"/>
  <c r="AB9" i="92"/>
  <c r="AJ9" i="92"/>
  <c r="AF29" i="92"/>
  <c r="AN29" i="92"/>
  <c r="AH53" i="92"/>
  <c r="AP53" i="92"/>
  <c r="AJ45" i="92"/>
  <c r="AB45" i="92"/>
  <c r="AK29" i="92"/>
  <c r="AC29" i="92"/>
  <c r="AG13" i="92"/>
  <c r="AO13" i="92"/>
  <c r="AJ13" i="92"/>
  <c r="AB13" i="92"/>
  <c r="AJ61" i="92"/>
  <c r="AB61" i="92"/>
  <c r="AO48" i="92"/>
  <c r="AG48" i="92"/>
  <c r="AN31" i="92"/>
  <c r="AF31" i="92"/>
  <c r="AE14" i="92"/>
  <c r="AM14" i="92"/>
  <c r="AC52" i="92"/>
  <c r="AK52" i="92"/>
  <c r="AB35" i="92"/>
  <c r="AJ35" i="92"/>
  <c r="AA22" i="92"/>
  <c r="AI22" i="92"/>
  <c r="AO56" i="92"/>
  <c r="AG56" i="92"/>
  <c r="AN39" i="92"/>
  <c r="AF39" i="92"/>
  <c r="AE22" i="92"/>
  <c r="AM22" i="92"/>
  <c r="AC60" i="92"/>
  <c r="AK60" i="92"/>
  <c r="AB43" i="92"/>
  <c r="AJ43" i="92"/>
  <c r="AI29" i="92"/>
  <c r="AA29" i="92"/>
  <c r="AP17" i="92"/>
  <c r="AH17" i="92"/>
  <c r="AF56" i="92"/>
  <c r="AN56" i="92"/>
  <c r="AE39" i="92"/>
  <c r="AM39" i="92"/>
  <c r="AD22" i="92"/>
  <c r="AL22" i="92"/>
  <c r="AB60" i="92"/>
  <c r="AJ60" i="92"/>
  <c r="AA44" i="92"/>
  <c r="AI44" i="92"/>
  <c r="AH34" i="92"/>
  <c r="AP34" i="92"/>
  <c r="AG17" i="92"/>
  <c r="AO17" i="92"/>
  <c r="AE56" i="92"/>
  <c r="AM56" i="92"/>
  <c r="AD39" i="92"/>
  <c r="AL39" i="92"/>
  <c r="AC22" i="92"/>
  <c r="AK22" i="92"/>
  <c r="AA60" i="92"/>
  <c r="AI60" i="92"/>
  <c r="AP51" i="92"/>
  <c r="AH51" i="92"/>
  <c r="AG34" i="92"/>
  <c r="AO34" i="92"/>
  <c r="AF17" i="92"/>
  <c r="AN17" i="92"/>
  <c r="AD56" i="92"/>
  <c r="AL56" i="92"/>
  <c r="AK39" i="92"/>
  <c r="AC39" i="92"/>
  <c r="AJ22" i="92"/>
  <c r="AB22" i="92"/>
  <c r="AA10" i="92"/>
  <c r="AI10" i="92"/>
  <c r="AG51" i="92"/>
  <c r="AO51" i="92"/>
  <c r="AF34" i="92"/>
  <c r="AN34" i="92"/>
  <c r="AE17" i="92"/>
  <c r="AM17" i="92"/>
  <c r="AC56" i="92"/>
  <c r="AK56" i="92"/>
  <c r="AB39" i="92"/>
  <c r="AJ39" i="92"/>
  <c r="AA25" i="92"/>
  <c r="AI25" i="92"/>
  <c r="AH12" i="92"/>
  <c r="AP12" i="92"/>
  <c r="AF51" i="92"/>
  <c r="AN51" i="92"/>
  <c r="AE34" i="92"/>
  <c r="AM34" i="92"/>
  <c r="AD17" i="92"/>
  <c r="AL17" i="92"/>
  <c r="AB56" i="92"/>
  <c r="AJ56" i="92"/>
  <c r="AA40" i="92"/>
  <c r="AI40" i="92"/>
  <c r="AH30" i="92"/>
  <c r="AP30" i="92"/>
  <c r="AG12" i="92"/>
  <c r="AO12" i="92"/>
  <c r="AM51" i="92"/>
  <c r="AE51" i="92"/>
  <c r="AD34" i="92"/>
  <c r="AL34" i="92"/>
  <c r="AC17" i="92"/>
  <c r="AK17" i="92"/>
  <c r="AA56" i="92"/>
  <c r="AI56" i="92"/>
  <c r="AG37" i="92"/>
  <c r="AO37" i="92"/>
  <c r="AJ37" i="92"/>
  <c r="AB37" i="92"/>
  <c r="AK21" i="92"/>
  <c r="AC21" i="92"/>
  <c r="AD45" i="92"/>
  <c r="AL45" i="92"/>
  <c r="AH21" i="92"/>
  <c r="AP21" i="92"/>
  <c r="AK53" i="92"/>
  <c r="AC53" i="92"/>
  <c r="AH56" i="92"/>
  <c r="AP56" i="92"/>
  <c r="AO39" i="92"/>
  <c r="AG39" i="92"/>
  <c r="AF22" i="92"/>
  <c r="AN22" i="92"/>
  <c r="AD60" i="92"/>
  <c r="AL60" i="92"/>
  <c r="AC43" i="92"/>
  <c r="AK43" i="92"/>
  <c r="AB26" i="92"/>
  <c r="AJ26" i="92"/>
  <c r="AA14" i="92"/>
  <c r="AI14" i="92"/>
  <c r="AO47" i="92"/>
  <c r="AG47" i="92"/>
  <c r="AF30" i="92"/>
  <c r="AN30" i="92"/>
  <c r="AE12" i="92"/>
  <c r="AM12" i="92"/>
  <c r="AC51" i="92"/>
  <c r="AK51" i="92"/>
  <c r="AB34" i="92"/>
  <c r="AJ34" i="92"/>
  <c r="AI21" i="92"/>
  <c r="AA21" i="92"/>
  <c r="AH8" i="92"/>
  <c r="AP8" i="92"/>
  <c r="AF47" i="92"/>
  <c r="AN47" i="92"/>
  <c r="AE30" i="92"/>
  <c r="AM30" i="92"/>
  <c r="AD12" i="92"/>
  <c r="AL12" i="92"/>
  <c r="AB51" i="92"/>
  <c r="AJ51" i="92"/>
  <c r="AA36" i="92"/>
  <c r="AI36" i="92"/>
  <c r="AH25" i="92"/>
  <c r="AP25" i="92"/>
  <c r="AG8" i="92"/>
  <c r="AO8" i="92"/>
  <c r="AE47" i="92"/>
  <c r="AM47" i="92"/>
  <c r="AD30" i="92"/>
  <c r="AL30" i="92"/>
  <c r="AC12" i="92"/>
  <c r="AK12" i="92"/>
  <c r="AA51" i="92"/>
  <c r="AI51" i="92"/>
  <c r="AH42" i="92"/>
  <c r="AP42" i="92"/>
  <c r="AG25" i="92"/>
  <c r="AO25" i="92"/>
  <c r="AF8" i="92"/>
  <c r="AN8" i="92"/>
  <c r="AL47" i="92"/>
  <c r="AD47" i="92"/>
  <c r="AC30" i="92"/>
  <c r="AK30" i="92"/>
  <c r="AB12" i="92"/>
  <c r="AJ12" i="92"/>
  <c r="AH59" i="92"/>
  <c r="AP59" i="92"/>
  <c r="AG42" i="92"/>
  <c r="AO42" i="92"/>
  <c r="AF25" i="92"/>
  <c r="AN25" i="92"/>
  <c r="AE8" i="92"/>
  <c r="AM8" i="92"/>
  <c r="AK47" i="92"/>
  <c r="AC47" i="92"/>
  <c r="AJ30" i="92"/>
  <c r="AB30" i="92"/>
  <c r="AA17" i="92"/>
  <c r="AI17" i="92"/>
  <c r="AG59" i="92"/>
  <c r="AO59" i="92"/>
  <c r="AF42" i="92"/>
  <c r="AN42" i="92"/>
  <c r="AE25" i="92"/>
  <c r="AM25" i="92"/>
  <c r="AD8" i="92"/>
  <c r="AL8" i="92"/>
  <c r="AB47" i="92"/>
  <c r="AJ47" i="92"/>
  <c r="AA32" i="92"/>
  <c r="AI32" i="92"/>
  <c r="AP20" i="92"/>
  <c r="AH20" i="92"/>
  <c r="AF59" i="92"/>
  <c r="AN59" i="92"/>
  <c r="AE42" i="92"/>
  <c r="AM42" i="92"/>
  <c r="AD25" i="92"/>
  <c r="AL25" i="92"/>
  <c r="AC8" i="92"/>
  <c r="AK8" i="92"/>
  <c r="AA47" i="92"/>
  <c r="AI47" i="92"/>
  <c r="AH45" i="92"/>
  <c r="AP45" i="92"/>
  <c r="AK13" i="92"/>
  <c r="AC13" i="92"/>
  <c r="AA61" i="92"/>
  <c r="AI61" i="92"/>
  <c r="AE53" i="92"/>
  <c r="AM53" i="92"/>
  <c r="AA53" i="92"/>
  <c r="AI53" i="92"/>
  <c r="AK61" i="92"/>
  <c r="AC61" i="92"/>
  <c r="AP47" i="92"/>
  <c r="AH47" i="92"/>
  <c r="AG30" i="92"/>
  <c r="AO30" i="92"/>
  <c r="AF12" i="92"/>
  <c r="AN12" i="92"/>
  <c r="AD51" i="92"/>
  <c r="AL51" i="92"/>
  <c r="AC34" i="92"/>
  <c r="AK34" i="92"/>
  <c r="AB17" i="92"/>
  <c r="AJ17" i="92"/>
  <c r="AP55" i="92"/>
  <c r="AH55" i="92"/>
  <c r="AO38" i="92"/>
  <c r="AG38" i="92"/>
  <c r="AF20" i="92"/>
  <c r="AN20" i="92"/>
  <c r="AD59" i="92"/>
  <c r="AL59" i="92"/>
  <c r="AC42" i="92"/>
  <c r="AK42" i="92"/>
  <c r="AB25" i="92"/>
  <c r="AJ25" i="92"/>
  <c r="AI13" i="92"/>
  <c r="AA13" i="92"/>
  <c r="AG55" i="92"/>
  <c r="AO55" i="92"/>
  <c r="AF38" i="92"/>
  <c r="AN38" i="92"/>
  <c r="AE20" i="92"/>
  <c r="AM20" i="92"/>
  <c r="AC59" i="92"/>
  <c r="AK59" i="92"/>
  <c r="AB42" i="92"/>
  <c r="AJ42" i="92"/>
  <c r="AA28" i="92"/>
  <c r="AI28" i="92"/>
  <c r="AP16" i="92"/>
  <c r="AH16" i="92"/>
  <c r="AF55" i="92"/>
  <c r="AN55" i="92"/>
  <c r="AE38" i="92"/>
  <c r="AM38" i="92"/>
  <c r="AD20" i="92"/>
  <c r="AL20" i="92"/>
  <c r="AB59" i="92"/>
  <c r="AJ59" i="92"/>
  <c r="AA43" i="92"/>
  <c r="AI43" i="92"/>
  <c r="AH33" i="92"/>
  <c r="AP33" i="92"/>
  <c r="AG16" i="92"/>
  <c r="AO16" i="92"/>
  <c r="AM55" i="92"/>
  <c r="AE55" i="92"/>
  <c r="AD38" i="92"/>
  <c r="AL38" i="92"/>
  <c r="AC20" i="92"/>
  <c r="AK20" i="92"/>
  <c r="AA59" i="92"/>
  <c r="AI59" i="92"/>
  <c r="AH50" i="92"/>
  <c r="AP50" i="92"/>
  <c r="AG33" i="92"/>
  <c r="AO33" i="92"/>
  <c r="AF16" i="92"/>
  <c r="AN16" i="92"/>
  <c r="AL55" i="92"/>
  <c r="AD55" i="92"/>
  <c r="AK38" i="92"/>
  <c r="AC38" i="92"/>
  <c r="AB20" i="92"/>
  <c r="AJ20" i="92"/>
  <c r="AA9" i="92"/>
  <c r="AI9" i="92"/>
  <c r="AG50" i="92"/>
  <c r="AO50" i="92"/>
  <c r="AF33" i="92"/>
  <c r="AN33" i="92"/>
  <c r="AE16" i="92"/>
  <c r="AM16" i="92"/>
  <c r="AK55" i="92"/>
  <c r="AC55" i="92"/>
  <c r="AJ38" i="92"/>
  <c r="AB38" i="92"/>
  <c r="AA24" i="92"/>
  <c r="AI24" i="92"/>
  <c r="AP11" i="92"/>
  <c r="AH11" i="92"/>
  <c r="AF50" i="92"/>
  <c r="AN50" i="92"/>
  <c r="AE33" i="92"/>
  <c r="AM33" i="92"/>
  <c r="AD16" i="92"/>
  <c r="AL16" i="92"/>
  <c r="AB55" i="92"/>
  <c r="AJ55" i="92"/>
  <c r="AA39" i="92"/>
  <c r="AI39" i="92"/>
  <c r="AJ29" i="92"/>
  <c r="AB29" i="92"/>
  <c r="AD29" i="92"/>
  <c r="AL29" i="92"/>
  <c r="AD37" i="92"/>
  <c r="AL37" i="92"/>
  <c r="AF61" i="92"/>
  <c r="AN61" i="92"/>
  <c r="AK45" i="92"/>
  <c r="AC45" i="92"/>
  <c r="AE13" i="92"/>
  <c r="AM13" i="92"/>
  <c r="AH38" i="92"/>
  <c r="AP38" i="92"/>
  <c r="AG20" i="92"/>
  <c r="AO20" i="92"/>
  <c r="AE59" i="92"/>
  <c r="AM59" i="92"/>
  <c r="AD42" i="92"/>
  <c r="AL42" i="92"/>
  <c r="AC25" i="92"/>
  <c r="AK25" i="92"/>
  <c r="AB8" i="92"/>
  <c r="AJ8" i="92"/>
  <c r="AH46" i="92"/>
  <c r="AP46" i="92"/>
  <c r="AG28" i="92"/>
  <c r="AO28" i="92"/>
  <c r="AF11" i="92"/>
  <c r="AN11" i="92"/>
  <c r="AD50" i="92"/>
  <c r="AL50" i="92"/>
  <c r="AC33" i="92"/>
  <c r="AK33" i="92"/>
  <c r="AB16" i="92"/>
  <c r="AJ16" i="92"/>
  <c r="AH63" i="92"/>
  <c r="AP63" i="92"/>
  <c r="AO46" i="92"/>
  <c r="AG46" i="92"/>
  <c r="AF28" i="92"/>
  <c r="AN28" i="92"/>
  <c r="AE11" i="92"/>
  <c r="AM11" i="92"/>
  <c r="AC50" i="92"/>
  <c r="AK50" i="92"/>
  <c r="AB33" i="92"/>
  <c r="AJ33" i="92"/>
  <c r="AA20" i="92"/>
  <c r="AI20" i="92"/>
  <c r="AG63" i="92"/>
  <c r="AO63" i="92"/>
  <c r="AF46" i="92"/>
  <c r="AN46" i="92"/>
  <c r="AE28" i="92"/>
  <c r="AM28" i="92"/>
  <c r="AD11" i="92"/>
  <c r="AL11" i="92"/>
  <c r="AB50" i="92"/>
  <c r="AJ50" i="92"/>
  <c r="AA35" i="92"/>
  <c r="AI35" i="92"/>
  <c r="AH24" i="92"/>
  <c r="AP24" i="92"/>
  <c r="AN63" i="92"/>
  <c r="AF63" i="92"/>
  <c r="AE46" i="92"/>
  <c r="AM46" i="92"/>
  <c r="AD28" i="92"/>
  <c r="AL28" i="92"/>
  <c r="AC11" i="92"/>
  <c r="AK11" i="92"/>
  <c r="AA50" i="92"/>
  <c r="AI50" i="92"/>
  <c r="AP41" i="92"/>
  <c r="AH41" i="92"/>
  <c r="AG24" i="92"/>
  <c r="AO24" i="92"/>
  <c r="AM63" i="92"/>
  <c r="AE63" i="92"/>
  <c r="AD46" i="92"/>
  <c r="AL46" i="92"/>
  <c r="AC28" i="92"/>
  <c r="AK28" i="92"/>
  <c r="AB11" i="92"/>
  <c r="AJ11" i="92"/>
  <c r="AH58" i="92"/>
  <c r="AP58" i="92"/>
  <c r="AG41" i="92"/>
  <c r="AO41" i="92"/>
  <c r="AF24" i="92"/>
  <c r="AN24" i="92"/>
  <c r="AL63" i="92"/>
  <c r="AD63" i="92"/>
  <c r="AC46" i="92"/>
  <c r="AK46" i="92"/>
  <c r="AB28" i="92"/>
  <c r="AJ28" i="92"/>
  <c r="AA16" i="92"/>
  <c r="AI16" i="92"/>
  <c r="AO58" i="92"/>
  <c r="AG58" i="92"/>
  <c r="AF41" i="92"/>
  <c r="AN41" i="92"/>
  <c r="AE24" i="92"/>
  <c r="AM24" i="92"/>
  <c r="AK63" i="92"/>
  <c r="AC63" i="92"/>
  <c r="AJ46" i="92"/>
  <c r="AB46" i="92"/>
  <c r="AA31" i="92"/>
  <c r="AI31" i="92"/>
  <c r="AD21" i="92"/>
  <c r="AL21" i="92"/>
  <c r="AE37" i="92"/>
  <c r="AM37" i="92"/>
  <c r="AE45" i="92"/>
  <c r="AM45" i="92"/>
  <c r="AH13" i="92"/>
  <c r="AP13" i="92"/>
  <c r="AD61" i="92"/>
  <c r="AL61" i="92"/>
  <c r="AF21" i="92"/>
  <c r="AN21" i="92"/>
  <c r="AH28" i="92"/>
  <c r="AP28" i="92"/>
  <c r="AG11" i="92"/>
  <c r="AO11" i="92"/>
  <c r="AE50" i="92"/>
  <c r="AM50" i="92"/>
  <c r="AD33" i="92"/>
  <c r="AL33" i="92"/>
  <c r="AC16" i="92"/>
  <c r="AK16" i="92"/>
  <c r="AA55" i="92"/>
  <c r="AI55" i="92"/>
  <c r="AH36" i="92"/>
  <c r="AP36" i="92"/>
  <c r="AG19" i="92"/>
  <c r="AO19" i="92"/>
  <c r="AE58" i="92"/>
  <c r="AM58" i="92"/>
  <c r="AD41" i="92"/>
  <c r="AL41" i="92"/>
  <c r="AC24" i="92"/>
  <c r="AK24" i="92"/>
  <c r="AA63" i="92"/>
  <c r="AI63" i="92"/>
  <c r="AH54" i="92"/>
  <c r="AP54" i="92"/>
  <c r="AO36" i="92"/>
  <c r="AG36" i="92"/>
  <c r="AF19" i="92"/>
  <c r="AN19" i="92"/>
  <c r="AD58" i="92"/>
  <c r="AL58" i="92"/>
  <c r="AC41" i="92"/>
  <c r="AK41" i="92"/>
  <c r="AB24" i="92"/>
  <c r="AJ24" i="92"/>
  <c r="AA12" i="92"/>
  <c r="AI12" i="92"/>
  <c r="AG54" i="92"/>
  <c r="AO54" i="92"/>
  <c r="AF36" i="92"/>
  <c r="AN36" i="92"/>
  <c r="AE19" i="92"/>
  <c r="AM19" i="92"/>
  <c r="AC58" i="92"/>
  <c r="AK58" i="92"/>
  <c r="AB41" i="92"/>
  <c r="AJ41" i="92"/>
  <c r="AA27" i="92"/>
  <c r="AI27" i="92"/>
  <c r="AP15" i="92"/>
  <c r="AH15" i="92"/>
  <c r="AF54" i="92"/>
  <c r="AN54" i="92"/>
  <c r="AE36" i="92"/>
  <c r="AM36" i="92"/>
  <c r="AD19" i="92"/>
  <c r="AL19" i="92"/>
  <c r="AB58" i="92"/>
  <c r="AJ58" i="92"/>
  <c r="AA42" i="92"/>
  <c r="AI42" i="92"/>
  <c r="AH32" i="92"/>
  <c r="AP32" i="92"/>
  <c r="AO15" i="92"/>
  <c r="AG15" i="92"/>
  <c r="AE54" i="92"/>
  <c r="AM54" i="92"/>
  <c r="AD36" i="92"/>
  <c r="AL36" i="92"/>
  <c r="AC19" i="92"/>
  <c r="AK19" i="92"/>
  <c r="AA58" i="92"/>
  <c r="AI58" i="92"/>
  <c r="AH49" i="92"/>
  <c r="AP49" i="92"/>
  <c r="AG32" i="92"/>
  <c r="AO32" i="92"/>
  <c r="AN15" i="92"/>
  <c r="AF15" i="92"/>
  <c r="AD54" i="92"/>
  <c r="AL54" i="92"/>
  <c r="AC36" i="92"/>
  <c r="AK36" i="92"/>
  <c r="AB19" i="92"/>
  <c r="AJ19" i="92"/>
  <c r="AA8" i="92"/>
  <c r="AI8" i="92"/>
  <c r="AO49" i="92"/>
  <c r="AG49" i="92"/>
  <c r="AF32" i="92"/>
  <c r="AN32" i="92"/>
  <c r="AM15" i="92"/>
  <c r="AE15" i="92"/>
  <c r="AC54" i="92"/>
  <c r="AK54" i="92"/>
  <c r="AB36" i="92"/>
  <c r="AJ36" i="92"/>
  <c r="AA23" i="92"/>
  <c r="AI23" i="92"/>
  <c r="BD23" i="27" s="1" a="1"/>
  <c r="BD23" i="27" s="1"/>
  <c r="AE29" i="92"/>
  <c r="AM29" i="92"/>
  <c r="AF45" i="92"/>
  <c r="AN45" i="92"/>
  <c r="AF53" i="92"/>
  <c r="AN53" i="92"/>
  <c r="AK37" i="92"/>
  <c r="AC37" i="92"/>
  <c r="AF13" i="92"/>
  <c r="AN13" i="92"/>
  <c r="AG29" i="92"/>
  <c r="AO29" i="92"/>
  <c r="AP19" i="92"/>
  <c r="AH19" i="92"/>
  <c r="AN58" i="92"/>
  <c r="AF58" i="92"/>
  <c r="AE41" i="92"/>
  <c r="AM41" i="92"/>
  <c r="AD24" i="92"/>
  <c r="AL24" i="92"/>
  <c r="AJ63" i="92"/>
  <c r="AB63" i="92"/>
  <c r="AA46" i="92"/>
  <c r="AI46" i="92"/>
  <c r="AH27" i="92"/>
  <c r="AP27" i="92"/>
  <c r="AG10" i="92"/>
  <c r="AO10" i="92"/>
  <c r="AE49" i="92"/>
  <c r="AM49" i="92"/>
  <c r="AD32" i="92"/>
  <c r="AL32" i="92"/>
  <c r="AK15" i="92"/>
  <c r="AC15" i="92"/>
  <c r="AA54" i="92"/>
  <c r="AI54" i="92"/>
  <c r="AH44" i="92"/>
  <c r="AP44" i="92"/>
  <c r="AG27" i="92"/>
  <c r="AO27" i="92"/>
  <c r="AF10" i="92"/>
  <c r="AN10" i="92"/>
  <c r="AD49" i="92"/>
  <c r="AL49" i="92"/>
  <c r="AC32" i="92"/>
  <c r="AK32" i="92"/>
  <c r="AB15" i="92"/>
  <c r="AJ15" i="92"/>
  <c r="AP62" i="92"/>
  <c r="AH62" i="92"/>
  <c r="AO44" i="92"/>
  <c r="AG44" i="92"/>
  <c r="AF27" i="92"/>
  <c r="AN27" i="92"/>
  <c r="AE10" i="92"/>
  <c r="AM10" i="92"/>
  <c r="AC49" i="92"/>
  <c r="AK49" i="92"/>
  <c r="AB32" i="92"/>
  <c r="AJ32" i="92"/>
  <c r="AA19" i="92"/>
  <c r="AI19" i="92"/>
  <c r="AO62" i="92"/>
  <c r="AG62" i="92"/>
  <c r="AF44" i="92"/>
  <c r="AN44" i="92"/>
  <c r="AE27" i="92"/>
  <c r="AM27" i="92"/>
  <c r="AD10" i="92"/>
  <c r="AL10" i="92"/>
  <c r="AB49" i="92"/>
  <c r="AJ49" i="92"/>
  <c r="AA34" i="92"/>
  <c r="AI34" i="92"/>
  <c r="AP23" i="92"/>
  <c r="AH23" i="92"/>
  <c r="AF62" i="92"/>
  <c r="AN62" i="92"/>
  <c r="AE44" i="92"/>
  <c r="AM44" i="92"/>
  <c r="AD27" i="92"/>
  <c r="AL27" i="92"/>
  <c r="AC10" i="92"/>
  <c r="AK10" i="92"/>
  <c r="AA49" i="92"/>
  <c r="AI49" i="92"/>
  <c r="AH40" i="92"/>
  <c r="AP40" i="92"/>
  <c r="AO23" i="92"/>
  <c r="AG23" i="92"/>
  <c r="AE62" i="92"/>
  <c r="AM62" i="92"/>
  <c r="AL44" i="92"/>
  <c r="AD44" i="92"/>
  <c r="AC27" i="92"/>
  <c r="AK27" i="92"/>
  <c r="AB10" i="92"/>
  <c r="AJ10" i="92"/>
  <c r="AH57" i="92"/>
  <c r="AP57" i="92"/>
  <c r="AG40" i="92"/>
  <c r="AO40" i="92"/>
  <c r="AN23" i="92"/>
  <c r="AF23" i="92"/>
  <c r="AD62" i="92"/>
  <c r="AL62" i="92"/>
  <c r="AC44" i="92"/>
  <c r="AK44" i="92"/>
  <c r="AB27" i="92"/>
  <c r="AJ27" i="92"/>
  <c r="AA15" i="92"/>
  <c r="AI15" i="92"/>
  <c r="AP141" i="93"/>
  <c r="AO141" i="93" a="1"/>
  <c r="AO141" i="93" s="1"/>
  <c r="AO103" i="93" a="1"/>
  <c r="AO103" i="93" s="1"/>
  <c r="AP103" i="93"/>
  <c r="AO142" i="93" a="1"/>
  <c r="AO142" i="93" s="1"/>
  <c r="AP142" i="93"/>
  <c r="AP132" i="93"/>
  <c r="AO132" i="93" a="1"/>
  <c r="AO132" i="93" s="1"/>
  <c r="AO112" i="93" a="1"/>
  <c r="AO112" i="93" s="1"/>
  <c r="AP112" i="93"/>
  <c r="AO147" i="93" a="1"/>
  <c r="AO147" i="93" s="1"/>
  <c r="AP147" i="93"/>
  <c r="AO36" i="93" a="1"/>
  <c r="AO36" i="93" s="1"/>
  <c r="AP36" i="93"/>
  <c r="AO84" i="93" a="1"/>
  <c r="AO84" i="93" s="1"/>
  <c r="AP84" i="93"/>
  <c r="AO138" i="93" a="1"/>
  <c r="AO138" i="93" s="1"/>
  <c r="AP138" i="93"/>
  <c r="AP45" i="93"/>
  <c r="AO45" i="93" a="1"/>
  <c r="AO45" i="93" s="1"/>
  <c r="AO136" i="93" a="1"/>
  <c r="AO136" i="93" s="1"/>
  <c r="AP136" i="93"/>
  <c r="AP63" i="93"/>
  <c r="AO63" i="93" a="1"/>
  <c r="AO63" i="93" s="1"/>
  <c r="AP116" i="93"/>
  <c r="AO116" i="93" a="1"/>
  <c r="AO116" i="93" s="1"/>
  <c r="AP43" i="93"/>
  <c r="AO43" i="93" a="1"/>
  <c r="AO43" i="93" s="1"/>
  <c r="AO161" i="93" a="1"/>
  <c r="AO161" i="93" s="1"/>
  <c r="AP161" i="93"/>
  <c r="AO88" i="93" a="1"/>
  <c r="AO88" i="93" s="1"/>
  <c r="AP88" i="93"/>
  <c r="AP15" i="93"/>
  <c r="AO15" i="93" a="1"/>
  <c r="AO15" i="93" s="1"/>
  <c r="AP140" i="93"/>
  <c r="AO140" i="93" a="1"/>
  <c r="AO140" i="93" s="1"/>
  <c r="AP67" i="93"/>
  <c r="AO67" i="93" a="1"/>
  <c r="AO67" i="93" s="1"/>
  <c r="AO130" i="93" a="1"/>
  <c r="AO130" i="93" s="1"/>
  <c r="AP130" i="93"/>
  <c r="AO156" i="93" a="1"/>
  <c r="AO156" i="93" s="1"/>
  <c r="AP156" i="93"/>
  <c r="AO134" i="93" a="1"/>
  <c r="AO134" i="93" s="1"/>
  <c r="AP134" i="93"/>
  <c r="AO46" i="93" a="1"/>
  <c r="AO46" i="93" s="1"/>
  <c r="AP46" i="93"/>
  <c r="AO30" i="93" a="1"/>
  <c r="AO30" i="93" s="1"/>
  <c r="AP30" i="93"/>
  <c r="AP38" i="93"/>
  <c r="AO38" i="93" a="1"/>
  <c r="AO38" i="93" s="1"/>
  <c r="AP59" i="93"/>
  <c r="AO59" i="93" a="1"/>
  <c r="AO59" i="93" s="1"/>
  <c r="AO93" i="93" a="1"/>
  <c r="AO93" i="93" s="1"/>
  <c r="AP93" i="93"/>
  <c r="AO129" i="93" a="1"/>
  <c r="AO129" i="93" s="1"/>
  <c r="AP129" i="93"/>
  <c r="AO18" i="93" a="1"/>
  <c r="AO18" i="93" s="1"/>
  <c r="AP18" i="93"/>
  <c r="AO66" i="93" a="1"/>
  <c r="AO66" i="93" s="1"/>
  <c r="AP66" i="93"/>
  <c r="AO120" i="93" a="1"/>
  <c r="AO120" i="93" s="1"/>
  <c r="AP120" i="93"/>
  <c r="AO27" i="93" a="1"/>
  <c r="AO27" i="93" s="1"/>
  <c r="AP27" i="93"/>
  <c r="AP127" i="93"/>
  <c r="AO127" i="93" a="1"/>
  <c r="AO127" i="93" s="1"/>
  <c r="AP53" i="93"/>
  <c r="AO53" i="93" a="1"/>
  <c r="AO53" i="93" s="1"/>
  <c r="AP107" i="93"/>
  <c r="AO107" i="93" a="1"/>
  <c r="AO107" i="93" s="1"/>
  <c r="AO34" i="93" a="1"/>
  <c r="AO34" i="93" s="1"/>
  <c r="AP34" i="93"/>
  <c r="AO152" i="93" a="1"/>
  <c r="AO152" i="93" s="1"/>
  <c r="AP152" i="93"/>
  <c r="AO79" i="93" a="1"/>
  <c r="AO79" i="93" s="1"/>
  <c r="AP79" i="93"/>
  <c r="AP13" i="93"/>
  <c r="AO13" i="93" a="1"/>
  <c r="AO13" i="93" s="1"/>
  <c r="AP131" i="93"/>
  <c r="AO131" i="93" a="1"/>
  <c r="AO131" i="93" s="1"/>
  <c r="AP58" i="93"/>
  <c r="AO58" i="93" a="1"/>
  <c r="AO58" i="93" s="1"/>
  <c r="AP11" i="93"/>
  <c r="AO11" i="93" a="1"/>
  <c r="AO11" i="93" s="1"/>
  <c r="AO64" i="93" a="1"/>
  <c r="AO64" i="93" s="1"/>
  <c r="AP64" i="93"/>
  <c r="AO145" i="93" a="1"/>
  <c r="AO145" i="93" s="1"/>
  <c r="AP145" i="93"/>
  <c r="AO97" i="93" a="1"/>
  <c r="AO97" i="93" s="1"/>
  <c r="AP97" i="93"/>
  <c r="AP149" i="93"/>
  <c r="AO149" i="93" a="1"/>
  <c r="AO149" i="93" s="1"/>
  <c r="AO86" i="93" a="1"/>
  <c r="AO86" i="93" s="1"/>
  <c r="AP86" i="93"/>
  <c r="AP94" i="93"/>
  <c r="AO94" i="93" a="1"/>
  <c r="AO94" i="93" s="1"/>
  <c r="AP114" i="93"/>
  <c r="AO114" i="93" a="1"/>
  <c r="AO114" i="93" s="1"/>
  <c r="AO96" i="93" a="1"/>
  <c r="AO96" i="93" s="1"/>
  <c r="AP96" i="93"/>
  <c r="AO151" i="93" a="1"/>
  <c r="AO151" i="93" s="1"/>
  <c r="AP151" i="93"/>
  <c r="AP75" i="93"/>
  <c r="AO75" i="93" a="1"/>
  <c r="AO75" i="93" s="1"/>
  <c r="AO111" i="93" a="1"/>
  <c r="AO111" i="93" s="1"/>
  <c r="AP111" i="93"/>
  <c r="AO146" i="93" a="1"/>
  <c r="AO146" i="93" s="1"/>
  <c r="AP146" i="93"/>
  <c r="AO48" i="93" a="1"/>
  <c r="AO48" i="93" s="1"/>
  <c r="AP48" i="93"/>
  <c r="AO101" i="93" a="1"/>
  <c r="AO101" i="93" s="1"/>
  <c r="AP101" i="93"/>
  <c r="AO155" i="93" a="1"/>
  <c r="AO155" i="93" s="1"/>
  <c r="AP155" i="93"/>
  <c r="AP117" i="93"/>
  <c r="AO117" i="93" a="1"/>
  <c r="AO117" i="93" s="1"/>
  <c r="AP44" i="93"/>
  <c r="AO44" i="93" a="1"/>
  <c r="AO44" i="93" s="1"/>
  <c r="AO98" i="93" a="1"/>
  <c r="AO98" i="93" s="1"/>
  <c r="AP98" i="93"/>
  <c r="AO25" i="93" a="1"/>
  <c r="AO25" i="93" s="1"/>
  <c r="AP25" i="93"/>
  <c r="AP143" i="93"/>
  <c r="AO143" i="93" a="1"/>
  <c r="AO143" i="93" s="1"/>
  <c r="AP69" i="93"/>
  <c r="AO69" i="93" a="1"/>
  <c r="AO69" i="93" s="1"/>
  <c r="AP122" i="93"/>
  <c r="AO122" i="93" a="1"/>
  <c r="AO122" i="93" s="1"/>
  <c r="AP49" i="93"/>
  <c r="AO49" i="93" a="1"/>
  <c r="AO49" i="93" s="1"/>
  <c r="AO62" i="93" a="1"/>
  <c r="AO62" i="93" s="1"/>
  <c r="AP62" i="93"/>
  <c r="AO72" i="93" a="1"/>
  <c r="AO72" i="93" s="1"/>
  <c r="AP72" i="93"/>
  <c r="AO24" i="93" a="1"/>
  <c r="AO24" i="93" s="1"/>
  <c r="AP24" i="93"/>
  <c r="AO78" i="93" a="1"/>
  <c r="AO78" i="93" s="1"/>
  <c r="AP78" i="93"/>
  <c r="AP118" i="93"/>
  <c r="AO118" i="93" a="1"/>
  <c r="AO118" i="93" s="1"/>
  <c r="AP68" i="93"/>
  <c r="AO68" i="93" a="1"/>
  <c r="AO68" i="93" s="1"/>
  <c r="AP41" i="93"/>
  <c r="AO41" i="93" a="1"/>
  <c r="AO41" i="93" s="1"/>
  <c r="AP23" i="93"/>
  <c r="AO23" i="93" a="1"/>
  <c r="AO23" i="93" s="1"/>
  <c r="AP77" i="93"/>
  <c r="AO77" i="93" a="1"/>
  <c r="AO77" i="93" s="1"/>
  <c r="AP57" i="93"/>
  <c r="AO57" i="93" a="1"/>
  <c r="AO57" i="93" s="1"/>
  <c r="AO92" i="93" a="1"/>
  <c r="AO92" i="93" s="1"/>
  <c r="AP92" i="93"/>
  <c r="AO128" i="93" a="1"/>
  <c r="AO128" i="93" s="1"/>
  <c r="AP128" i="93"/>
  <c r="AO29" i="93" a="1"/>
  <c r="AO29" i="93" s="1"/>
  <c r="AP29" i="93"/>
  <c r="AO83" i="93" a="1"/>
  <c r="AO83" i="93" s="1"/>
  <c r="AP83" i="93"/>
  <c r="AO137" i="93" a="1"/>
  <c r="AO137" i="93" s="1"/>
  <c r="AP137" i="93"/>
  <c r="AP108" i="93"/>
  <c r="AO108" i="93" a="1"/>
  <c r="AO108" i="93" s="1"/>
  <c r="AO35" i="93" a="1"/>
  <c r="AO35" i="93" s="1"/>
  <c r="AP35" i="93"/>
  <c r="AO162" i="93" a="1"/>
  <c r="AO162" i="93" s="1"/>
  <c r="AP162" i="93"/>
  <c r="AO89" i="93" a="1"/>
  <c r="AO89" i="93" s="1"/>
  <c r="AP89" i="93"/>
  <c r="AP16" i="93"/>
  <c r="AO16" i="93" a="1"/>
  <c r="AO16" i="93" s="1"/>
  <c r="AP133" i="93"/>
  <c r="AO133" i="93" a="1"/>
  <c r="AO133" i="93" s="1"/>
  <c r="AP60" i="93"/>
  <c r="AO60" i="93" a="1"/>
  <c r="AO60" i="93" s="1"/>
  <c r="AP113" i="93"/>
  <c r="AO113" i="93" a="1"/>
  <c r="AO113" i="93" s="1"/>
  <c r="AP40" i="93"/>
  <c r="AO40" i="93" a="1"/>
  <c r="AO40" i="93" s="1"/>
  <c r="AO150" i="93" a="1"/>
  <c r="AO150" i="93" s="1"/>
  <c r="AP150" i="93"/>
  <c r="AO32" i="93" a="1"/>
  <c r="AO32" i="93" s="1"/>
  <c r="AP32" i="93"/>
  <c r="AP125" i="93"/>
  <c r="AO125" i="93" a="1"/>
  <c r="AO125" i="93" s="1"/>
  <c r="AO70" i="93" a="1"/>
  <c r="AO70" i="93" s="1"/>
  <c r="AP70" i="93"/>
  <c r="AP126" i="93"/>
  <c r="AO126" i="93" a="1"/>
  <c r="AO126" i="93" s="1"/>
  <c r="AO39" i="93" a="1"/>
  <c r="AO39" i="93" s="1"/>
  <c r="AP39" i="93"/>
  <c r="AO74" i="93" a="1"/>
  <c r="AO74" i="93" s="1"/>
  <c r="AP74" i="93"/>
  <c r="AP109" i="93"/>
  <c r="AO109" i="93" a="1"/>
  <c r="AO109" i="93" s="1"/>
  <c r="AO157" i="93" a="1"/>
  <c r="AO157" i="93" s="1"/>
  <c r="AP157" i="93"/>
  <c r="AO10" i="93" a="1"/>
  <c r="AO10" i="93" s="1"/>
  <c r="AP10" i="93"/>
  <c r="AO65" i="93" a="1"/>
  <c r="AO65" i="93" s="1"/>
  <c r="AP65" i="93"/>
  <c r="AP119" i="93"/>
  <c r="AO119" i="93" a="1"/>
  <c r="AO119" i="93" s="1"/>
  <c r="AO99" i="93" a="1"/>
  <c r="AO99" i="93" s="1"/>
  <c r="AP99" i="93"/>
  <c r="AO26" i="93" a="1"/>
  <c r="AO26" i="93" s="1"/>
  <c r="AP26" i="93"/>
  <c r="AO153" i="93" a="1"/>
  <c r="AO153" i="93" s="1"/>
  <c r="AP153" i="93"/>
  <c r="AO80" i="93" a="1"/>
  <c r="AO80" i="93" s="1"/>
  <c r="AP80" i="93"/>
  <c r="AP124" i="93"/>
  <c r="AO124" i="93" a="1"/>
  <c r="AO124" i="93" s="1"/>
  <c r="AP51" i="93"/>
  <c r="AO51" i="93" a="1"/>
  <c r="AO51" i="93" s="1"/>
  <c r="AP104" i="93"/>
  <c r="AO104" i="93" a="1"/>
  <c r="AO104" i="93" s="1"/>
  <c r="AO31" i="93" a="1"/>
  <c r="AO31" i="93" s="1"/>
  <c r="AP31" i="93"/>
  <c r="AP22" i="93"/>
  <c r="AO22" i="93" a="1"/>
  <c r="AO22" i="93" s="1"/>
  <c r="AP123" i="93"/>
  <c r="AO123" i="93" a="1"/>
  <c r="AO123" i="93" s="1"/>
  <c r="AO160" i="93" a="1"/>
  <c r="AO160" i="93" s="1"/>
  <c r="AP160" i="93"/>
  <c r="AO20" i="93" a="1"/>
  <c r="AO20" i="93" s="1"/>
  <c r="AP20" i="93"/>
  <c r="AO56" i="93" a="1"/>
  <c r="AO56" i="93" s="1"/>
  <c r="AP56" i="93"/>
  <c r="AO91" i="93" a="1"/>
  <c r="AO91" i="93" s="1"/>
  <c r="AP91" i="93"/>
  <c r="AP139" i="93"/>
  <c r="AO139" i="93" a="1"/>
  <c r="AO139" i="93" s="1"/>
  <c r="AO47" i="93" a="1"/>
  <c r="AO47" i="93" s="1"/>
  <c r="AP47" i="93"/>
  <c r="AO100" i="93" a="1"/>
  <c r="AO100" i="93" s="1"/>
  <c r="AP100" i="93"/>
  <c r="AO90" i="93" a="1"/>
  <c r="AO90" i="93" s="1"/>
  <c r="AP90" i="93"/>
  <c r="AP17" i="93"/>
  <c r="AO17" i="93" a="1"/>
  <c r="AO17" i="93" s="1"/>
  <c r="AO144" i="93" a="1"/>
  <c r="AO144" i="93" s="1"/>
  <c r="AP144" i="93"/>
  <c r="AP71" i="93"/>
  <c r="AO71" i="93" a="1"/>
  <c r="AO71" i="93" s="1"/>
  <c r="AP115" i="93"/>
  <c r="AO115" i="93" a="1"/>
  <c r="AO115" i="93" s="1"/>
  <c r="AP42" i="93"/>
  <c r="AO42" i="93" a="1"/>
  <c r="AO42" i="93" s="1"/>
  <c r="AO95" i="93" a="1"/>
  <c r="AO95" i="93" s="1"/>
  <c r="AP95" i="93"/>
  <c r="AP21" i="93"/>
  <c r="AO21" i="93" a="1"/>
  <c r="AO21" i="93" s="1"/>
  <c r="AO19" i="93" a="1"/>
  <c r="AO19" i="93" s="1"/>
  <c r="AP19" i="93"/>
  <c r="AO55" i="93" a="1"/>
  <c r="AO55" i="93" s="1"/>
  <c r="AP55" i="93"/>
  <c r="AO9" i="93" a="1"/>
  <c r="AO9" i="93" s="1"/>
  <c r="AP9" i="93"/>
  <c r="AP52" i="93"/>
  <c r="AO52" i="93" a="1"/>
  <c r="AO52" i="93" s="1"/>
  <c r="AP76" i="93"/>
  <c r="AO76" i="93" a="1"/>
  <c r="AO76" i="93" s="1"/>
  <c r="AO158" i="93" a="1"/>
  <c r="AO158" i="93" s="1"/>
  <c r="AP158" i="93"/>
  <c r="AO110" i="93" a="1"/>
  <c r="AO110" i="93" s="1"/>
  <c r="AP110" i="93"/>
  <c r="AO102" i="93" a="1"/>
  <c r="AO102" i="93" s="1"/>
  <c r="AP102" i="93"/>
  <c r="AP14" i="93"/>
  <c r="AO14" i="93" a="1"/>
  <c r="AO14" i="93" s="1"/>
  <c r="AO54" i="93" a="1"/>
  <c r="AO54" i="93" s="1"/>
  <c r="AP54" i="93"/>
  <c r="AP50" i="93"/>
  <c r="AO50" i="93" a="1"/>
  <c r="AO50" i="93" s="1"/>
  <c r="AP105" i="93"/>
  <c r="AO105" i="93" a="1"/>
  <c r="AO105" i="93" s="1"/>
  <c r="AP87" i="93"/>
  <c r="AO87" i="93" a="1"/>
  <c r="AO87" i="93" s="1"/>
  <c r="AP148" i="93"/>
  <c r="AO148" i="93" a="1"/>
  <c r="AO148" i="93" s="1"/>
  <c r="AO37" i="93" a="1"/>
  <c r="AO37" i="93" s="1"/>
  <c r="AP37" i="93"/>
  <c r="AO73" i="93" a="1"/>
  <c r="AO73" i="93" s="1"/>
  <c r="AP73" i="93"/>
  <c r="AO121" i="93" a="1"/>
  <c r="AO121" i="93" s="1"/>
  <c r="AP121" i="93"/>
  <c r="AO28" i="93" a="1"/>
  <c r="AO28" i="93" s="1"/>
  <c r="AP28" i="93"/>
  <c r="AO82" i="93" a="1"/>
  <c r="AO82" i="93" s="1"/>
  <c r="AP82" i="93"/>
  <c r="AO154" i="93" a="1"/>
  <c r="AO154" i="93" s="1"/>
  <c r="AP154" i="93"/>
  <c r="AO81" i="93" a="1"/>
  <c r="AO81" i="93" s="1"/>
  <c r="AP81" i="93"/>
  <c r="AO8" i="93" a="1"/>
  <c r="AO8" i="93" s="1"/>
  <c r="AP8" i="93"/>
  <c r="AO135" i="93" a="1"/>
  <c r="AO135" i="93" s="1"/>
  <c r="AP135" i="93"/>
  <c r="AP61" i="93"/>
  <c r="AO61" i="93" a="1"/>
  <c r="AO61" i="93" s="1"/>
  <c r="AP106" i="93"/>
  <c r="AO106" i="93" a="1"/>
  <c r="AO106" i="93" s="1"/>
  <c r="AO33" i="93" a="1"/>
  <c r="AO33" i="93" s="1"/>
  <c r="AP33" i="93"/>
  <c r="AO159" i="93" a="1"/>
  <c r="AO159" i="93" s="1"/>
  <c r="AP159" i="93"/>
  <c r="AP85" i="93"/>
  <c r="AO85" i="93" a="1"/>
  <c r="AO85" i="93" s="1"/>
  <c r="AO12" i="93" a="1"/>
  <c r="AO12" i="93" s="1"/>
  <c r="AP12" i="93"/>
  <c r="AG4" i="93"/>
  <c r="AG5" i="93"/>
  <c r="AG6" i="93"/>
  <c r="AG7" i="93"/>
  <c r="BC28" i="27" l="1" a="1"/>
  <c r="BC28" i="27" s="1"/>
  <c r="BD28" i="27" a="1"/>
  <c r="BD28" i="27" s="1"/>
  <c r="BD32" i="27" a="1"/>
  <c r="BD32" i="27" s="1"/>
  <c r="BC32" i="27" a="1"/>
  <c r="BC32" i="27" s="1"/>
  <c r="BD34" i="27" a="1"/>
  <c r="BD34" i="27" s="1"/>
  <c r="BC34" i="27" a="1"/>
  <c r="BC34" i="27" s="1"/>
  <c r="BC23" i="27" a="1"/>
  <c r="BC23" i="27" s="1"/>
  <c r="BC19" i="27" a="1"/>
  <c r="BC19" i="27" s="1"/>
  <c r="BD19" i="27" a="1"/>
  <c r="BD19" i="27" s="1"/>
  <c r="BC30" i="27" a="1"/>
  <c r="BC30" i="27" s="1"/>
  <c r="BD30" i="27" a="1"/>
  <c r="BD30" i="27" s="1"/>
  <c r="BK31" i="27"/>
  <c r="BK9" i="27"/>
  <c r="BN22" i="27" s="1"/>
  <c r="BK37" i="27"/>
  <c r="BK39" i="27"/>
  <c r="BK56" i="27"/>
  <c r="BN51" i="27" s="1"/>
  <c r="BK28" i="27"/>
  <c r="BK33" i="27"/>
  <c r="BK42" i="27"/>
  <c r="BK21" i="27"/>
  <c r="BK35" i="27"/>
  <c r="BK10" i="27"/>
  <c r="BK63" i="27"/>
  <c r="BK53" i="27"/>
  <c r="BK32" i="27"/>
  <c r="BK59" i="27"/>
  <c r="BK8" i="27"/>
  <c r="BK50" i="27"/>
  <c r="BK19" i="27"/>
  <c r="BK13" i="27"/>
  <c r="BK18" i="27"/>
  <c r="BN18" i="27" s="1"/>
  <c r="BK51" i="27"/>
  <c r="BK48" i="27"/>
  <c r="BK36" i="27"/>
  <c r="BN59" i="27" s="1"/>
  <c r="BK23" i="27"/>
  <c r="BK62" i="27"/>
  <c r="BK16" i="27"/>
  <c r="BN16" i="27" s="1"/>
  <c r="BK55" i="27"/>
  <c r="BK29" i="27"/>
  <c r="BK38" i="27"/>
  <c r="BK12" i="27"/>
  <c r="BK22" i="27"/>
  <c r="BK17" i="27"/>
  <c r="BK60" i="27"/>
  <c r="BN43" i="27" s="1"/>
  <c r="BK34" i="27"/>
  <c r="BM34" i="27" s="1"/>
  <c r="BK11" i="27"/>
  <c r="BK41" i="27"/>
  <c r="BM41" i="27" s="1"/>
  <c r="BK54" i="27"/>
  <c r="BK49" i="27"/>
  <c r="BK30" i="27"/>
  <c r="BK40" i="27"/>
  <c r="BN62" i="27" s="1"/>
  <c r="BK52" i="27"/>
  <c r="BK58" i="27"/>
  <c r="BN57" i="27" s="1"/>
  <c r="BK43" i="27"/>
  <c r="BK20" i="27"/>
  <c r="BN23" i="27" s="1"/>
  <c r="BN33" i="27"/>
  <c r="BC17" i="27" a="1"/>
  <c r="BC17" i="27" s="1"/>
  <c r="BD17" i="27" a="1"/>
  <c r="BD17" i="27" s="1"/>
  <c r="BD57" i="27" a="1"/>
  <c r="BD57" i="27" s="1"/>
  <c r="BC57" i="27" a="1"/>
  <c r="BC57" i="27" s="1"/>
  <c r="BC10" i="27" a="1"/>
  <c r="BC10" i="27" s="1"/>
  <c r="BD10" i="27" a="1"/>
  <c r="BD10" i="27" s="1"/>
  <c r="BB23" i="27" a="1"/>
  <c r="BB23" i="27" s="1"/>
  <c r="BA23" i="27" a="1"/>
  <c r="BA23" i="27" s="1"/>
  <c r="BC54" i="27" a="1"/>
  <c r="BC54" i="27" s="1"/>
  <c r="BD54" i="27" a="1"/>
  <c r="BD54" i="27" s="1"/>
  <c r="BA41" i="27" a="1"/>
  <c r="BA41" i="27" s="1"/>
  <c r="BB41" i="27" a="1"/>
  <c r="BB41" i="27" s="1"/>
  <c r="BB50" i="27" a="1"/>
  <c r="BB50" i="27" s="1"/>
  <c r="BA50" i="27" a="1"/>
  <c r="BA50" i="27" s="1"/>
  <c r="BD38" i="27" a="1"/>
  <c r="BD38" i="27" s="1"/>
  <c r="BC38" i="27" a="1"/>
  <c r="BC38" i="27" s="1"/>
  <c r="BB59" i="27" a="1"/>
  <c r="BB59" i="27" s="1"/>
  <c r="BA59" i="27" a="1"/>
  <c r="BA59" i="27" s="1"/>
  <c r="BD53" i="27" a="1"/>
  <c r="BD53" i="27" s="1"/>
  <c r="BC53" i="27" a="1"/>
  <c r="BC53" i="27" s="1"/>
  <c r="BD8" i="27" a="1"/>
  <c r="BD8" i="27" s="1"/>
  <c r="BC8" i="27" a="1"/>
  <c r="BC8" i="27" s="1"/>
  <c r="BC12" i="27" a="1"/>
  <c r="BC12" i="27" s="1"/>
  <c r="BD12" i="27" a="1"/>
  <c r="BD12" i="27" s="1"/>
  <c r="BB17" i="27" a="1"/>
  <c r="BB17" i="27" s="1"/>
  <c r="BA17" i="27" a="1"/>
  <c r="BA17" i="27" s="1"/>
  <c r="BD56" i="27" a="1"/>
  <c r="BD56" i="27" s="1"/>
  <c r="BC56" i="27" a="1"/>
  <c r="BC56" i="27" s="1"/>
  <c r="BC22" i="27" a="1"/>
  <c r="BC22" i="27" s="1"/>
  <c r="BD22" i="27" a="1"/>
  <c r="BD22" i="27" s="1"/>
  <c r="BB35" i="27" a="1"/>
  <c r="BB35" i="27" s="1"/>
  <c r="BA35" i="27" a="1"/>
  <c r="BA35" i="27" s="1"/>
  <c r="BB40" i="27" a="1"/>
  <c r="BB40" i="27" s="1"/>
  <c r="BA40" i="27" a="1"/>
  <c r="BA40" i="27" s="1"/>
  <c r="BC63" i="27" a="1"/>
  <c r="BC63" i="27" s="1"/>
  <c r="BD63" i="27" a="1"/>
  <c r="BD63" i="27" s="1"/>
  <c r="BC31" i="27" a="1"/>
  <c r="BC31" i="27" s="1"/>
  <c r="BD31" i="27" a="1"/>
  <c r="BD31" i="27" s="1"/>
  <c r="BA10" i="27" a="1"/>
  <c r="BA10" i="27" s="1"/>
  <c r="BB10" i="27" a="1"/>
  <c r="BB10" i="27" s="1"/>
  <c r="BB19" i="27" a="1"/>
  <c r="BB19" i="27" s="1"/>
  <c r="BA19" i="27" a="1"/>
  <c r="BA19" i="27" s="1"/>
  <c r="BB49" i="27" a="1"/>
  <c r="BB49" i="27" s="1"/>
  <c r="BA49" i="27" a="1"/>
  <c r="BA49" i="27" s="1"/>
  <c r="BA54" i="27" a="1"/>
  <c r="BA54" i="27" s="1"/>
  <c r="BB54" i="27" a="1"/>
  <c r="BB54" i="27" s="1"/>
  <c r="BD58" i="27" a="1"/>
  <c r="BD58" i="27" s="1"/>
  <c r="BC58" i="27" a="1"/>
  <c r="BC58" i="27" s="1"/>
  <c r="BD16" i="27" a="1"/>
  <c r="BD16" i="27" s="1"/>
  <c r="BC16" i="27" a="1"/>
  <c r="BC16" i="27" s="1"/>
  <c r="BB38" i="27" a="1"/>
  <c r="BB38" i="27" s="1"/>
  <c r="BA38" i="27" a="1"/>
  <c r="BA38" i="27" s="1"/>
  <c r="BB12" i="27" a="1"/>
  <c r="BB12" i="27" s="1"/>
  <c r="BA12" i="27" a="1"/>
  <c r="BA12" i="27" s="1"/>
  <c r="BA56" i="27" a="1"/>
  <c r="BA56" i="27" s="1"/>
  <c r="BB56" i="27" a="1"/>
  <c r="BB56" i="27" s="1"/>
  <c r="BB22" i="27" a="1"/>
  <c r="BB22" i="27" s="1"/>
  <c r="BA22" i="27" a="1"/>
  <c r="BA22" i="27" s="1"/>
  <c r="BD43" i="27" a="1"/>
  <c r="BD43" i="27" s="1"/>
  <c r="BC43" i="27" a="1"/>
  <c r="BC43" i="27" s="1"/>
  <c r="BB9" i="27" a="1"/>
  <c r="BB9" i="27" s="1"/>
  <c r="BA9" i="27" a="1"/>
  <c r="BA9" i="27" s="1"/>
  <c r="BB31" i="27" a="1"/>
  <c r="BB31" i="27" s="1"/>
  <c r="BA31" i="27" a="1"/>
  <c r="BA31" i="27" s="1"/>
  <c r="BD52" i="27" a="1"/>
  <c r="BD52" i="27" s="1"/>
  <c r="BC52" i="27" a="1"/>
  <c r="BC52" i="27" s="1"/>
  <c r="BB18" i="27" a="1"/>
  <c r="BB18" i="27" s="1"/>
  <c r="BA18" i="27" a="1"/>
  <c r="BA18" i="27" s="1"/>
  <c r="BD40" i="27" a="1"/>
  <c r="BD40" i="27" s="1"/>
  <c r="BC40" i="27" a="1"/>
  <c r="BC40" i="27" s="1"/>
  <c r="BB63" i="27" a="1"/>
  <c r="BB63" i="27" s="1"/>
  <c r="BA63" i="27" a="1"/>
  <c r="BA63" i="27" s="1"/>
  <c r="BD37" i="27" a="1"/>
  <c r="BD37" i="27" s="1"/>
  <c r="BC37" i="27" a="1"/>
  <c r="BC37" i="27" s="1"/>
  <c r="BA37" i="27" a="1"/>
  <c r="BA37" i="27" s="1"/>
  <c r="BB37" i="27" a="1"/>
  <c r="BB37" i="27" s="1"/>
  <c r="BB15" i="27" a="1"/>
  <c r="BB15" i="27" s="1"/>
  <c r="BA15" i="27" a="1"/>
  <c r="BA15" i="27" s="1"/>
  <c r="BD62" i="27" a="1"/>
  <c r="BD62" i="27" s="1"/>
  <c r="BC62" i="27" a="1"/>
  <c r="BC62" i="27" s="1"/>
  <c r="BD49" i="27" a="1"/>
  <c r="BD49" i="27" s="1"/>
  <c r="BC49" i="27" a="1"/>
  <c r="BC49" i="27" s="1"/>
  <c r="BD36" i="27" a="1"/>
  <c r="BD36" i="27" s="1"/>
  <c r="BC36" i="27" a="1"/>
  <c r="BC36" i="27" s="1"/>
  <c r="BB58" i="27" a="1"/>
  <c r="BB58" i="27" s="1"/>
  <c r="BA58" i="27" a="1"/>
  <c r="BA58" i="27" s="1"/>
  <c r="BD33" i="27" a="1"/>
  <c r="BD33" i="27" s="1"/>
  <c r="BC33" i="27" a="1"/>
  <c r="BC33" i="27" s="1"/>
  <c r="BC11" i="27" a="1"/>
  <c r="BC11" i="27" s="1"/>
  <c r="BD11" i="27" a="1"/>
  <c r="BD11" i="27" s="1"/>
  <c r="BA42" i="27" a="1"/>
  <c r="BA42" i="27" s="1"/>
  <c r="BB42" i="27" a="1"/>
  <c r="BB42" i="27" s="1"/>
  <c r="BC13" i="27" a="1"/>
  <c r="BC13" i="27" s="1"/>
  <c r="BD13" i="27" a="1"/>
  <c r="BD13" i="27" s="1"/>
  <c r="BC29" i="27" a="1"/>
  <c r="BC29" i="27" s="1"/>
  <c r="BD29" i="27" a="1"/>
  <c r="BD29" i="27" s="1"/>
  <c r="BA16" i="27" a="1"/>
  <c r="BA16" i="27" s="1"/>
  <c r="BB16" i="27" a="1"/>
  <c r="BB16" i="27" s="1"/>
  <c r="BD20" i="27" a="1"/>
  <c r="BD20" i="27" s="1"/>
  <c r="BC20" i="27" a="1"/>
  <c r="BC20" i="27" s="1"/>
  <c r="BA51" i="27" a="1"/>
  <c r="BA51" i="27" s="1"/>
  <c r="BB51" i="27" a="1"/>
  <c r="BB51" i="27" s="1"/>
  <c r="BA32" i="27" a="1"/>
  <c r="BA32" i="27" s="1"/>
  <c r="BB32" i="27" a="1"/>
  <c r="BB32" i="27" s="1"/>
  <c r="BB60" i="27" a="1"/>
  <c r="BB60" i="27" s="1"/>
  <c r="BA60" i="27" a="1"/>
  <c r="BA60" i="27" s="1"/>
  <c r="BC39" i="27" a="1"/>
  <c r="BC39" i="27" s="1"/>
  <c r="BD39" i="27" a="1"/>
  <c r="BD39" i="27" s="1"/>
  <c r="BD14" i="27" a="1"/>
  <c r="BD14" i="27" s="1"/>
  <c r="BC14" i="27" a="1"/>
  <c r="BC14" i="27" s="1"/>
  <c r="BB43" i="27" a="1"/>
  <c r="BB43" i="27" s="1"/>
  <c r="BA43" i="27" a="1"/>
  <c r="BA43" i="27" s="1"/>
  <c r="BC9" i="27" a="1"/>
  <c r="BC9" i="27" s="1"/>
  <c r="BD9" i="27" a="1"/>
  <c r="BD9" i="27" s="1"/>
  <c r="BA48" i="27" a="1"/>
  <c r="BA48" i="27" s="1"/>
  <c r="BB48" i="27" a="1"/>
  <c r="BB48" i="27" s="1"/>
  <c r="BA52" i="27" a="1"/>
  <c r="BA52" i="27" s="1"/>
  <c r="BB52" i="27" a="1"/>
  <c r="BB52" i="27" s="1"/>
  <c r="BD18" i="27" a="1"/>
  <c r="BD18" i="27" s="1"/>
  <c r="BC18" i="27" a="1"/>
  <c r="BC18" i="27" s="1"/>
  <c r="BC55" i="27" a="1"/>
  <c r="BC55" i="27" s="1"/>
  <c r="BD55" i="27" a="1"/>
  <c r="BD55" i="27" s="1"/>
  <c r="BA62" i="27" a="1"/>
  <c r="BA62" i="27" s="1"/>
  <c r="BB62" i="27" a="1"/>
  <c r="BB62" i="27" s="1"/>
  <c r="BB34" i="27" a="1"/>
  <c r="BB34" i="27" s="1"/>
  <c r="BA34" i="27" a="1"/>
  <c r="BA34" i="27" s="1"/>
  <c r="BD41" i="27" a="1"/>
  <c r="BD41" i="27" s="1"/>
  <c r="BC41" i="27" a="1"/>
  <c r="BC41" i="27" s="1"/>
  <c r="BB29" i="27" a="1"/>
  <c r="BB29" i="27" s="1"/>
  <c r="BA29" i="27" a="1"/>
  <c r="BA29" i="27" s="1"/>
  <c r="BA36" i="27" a="1"/>
  <c r="BA36" i="27" s="1"/>
  <c r="BB36" i="27" a="1"/>
  <c r="BB36" i="27" s="1"/>
  <c r="BD50" i="27" a="1"/>
  <c r="BD50" i="27" s="1"/>
  <c r="BC50" i="27" a="1"/>
  <c r="BC50" i="27" s="1"/>
  <c r="BA61" i="27" a="1"/>
  <c r="BA61" i="27" s="1"/>
  <c r="BB61" i="27" a="1"/>
  <c r="BB61" i="27" s="1"/>
  <c r="BA21" i="27" a="1"/>
  <c r="BA21" i="27" s="1"/>
  <c r="BB21" i="27" a="1"/>
  <c r="BB21" i="27" s="1"/>
  <c r="BA11" i="27" a="1"/>
  <c r="BA11" i="27" s="1"/>
  <c r="BB11" i="27" a="1"/>
  <c r="BB11" i="27" s="1"/>
  <c r="BC59" i="27" a="1"/>
  <c r="BC59" i="27" s="1"/>
  <c r="BD59" i="27" a="1"/>
  <c r="BD59" i="27" s="1"/>
  <c r="BB33" i="27" a="1"/>
  <c r="BB33" i="27" s="1"/>
  <c r="BA33" i="27" a="1"/>
  <c r="BA33" i="27" s="1"/>
  <c r="BA20" i="27" a="1"/>
  <c r="BA20" i="27" s="1"/>
  <c r="BB20" i="27" a="1"/>
  <c r="BB20" i="27" s="1"/>
  <c r="BA28" i="27" a="1"/>
  <c r="BA28" i="27" s="1"/>
  <c r="BB28" i="27" a="1"/>
  <c r="BB28" i="27" s="1"/>
  <c r="BC42" i="27" a="1"/>
  <c r="BC42" i="27" s="1"/>
  <c r="BD42" i="27" a="1"/>
  <c r="BD42" i="27" s="1"/>
  <c r="BB8" i="27" a="1"/>
  <c r="BB8" i="27" s="1"/>
  <c r="BA8" i="27" a="1"/>
  <c r="BA8" i="27" s="1"/>
  <c r="BA39" i="27" a="1"/>
  <c r="BA39" i="27" s="1"/>
  <c r="BB39" i="27" a="1"/>
  <c r="BB39" i="27" s="1"/>
  <c r="BD60" i="27" a="1"/>
  <c r="BD60" i="27" s="1"/>
  <c r="BC60" i="27" a="1"/>
  <c r="BC60" i="27" s="1"/>
  <c r="BC48" i="27" a="1"/>
  <c r="BC48" i="27" s="1"/>
  <c r="BD48" i="27" a="1"/>
  <c r="BD48" i="27" s="1"/>
  <c r="BA14" i="27" a="1"/>
  <c r="BA14" i="27" s="1"/>
  <c r="BB14" i="27" a="1"/>
  <c r="BB14" i="27" s="1"/>
  <c r="BB30" i="27" a="1"/>
  <c r="BB30" i="27" s="1"/>
  <c r="BA30" i="27" a="1"/>
  <c r="BA30" i="27" s="1"/>
  <c r="BD61" i="27" a="1"/>
  <c r="BD61" i="27" s="1"/>
  <c r="BC61" i="27" a="1"/>
  <c r="BC61" i="27" s="1"/>
  <c r="BD21" i="27" a="1"/>
  <c r="BD21" i="27" s="1"/>
  <c r="BC21" i="27" a="1"/>
  <c r="BC21" i="27" s="1"/>
  <c r="BD35" i="27" a="1"/>
  <c r="BD35" i="27" s="1"/>
  <c r="BC35" i="27" a="1"/>
  <c r="BC35" i="27" s="1"/>
  <c r="BB57" i="27" a="1"/>
  <c r="BB57" i="27" s="1"/>
  <c r="BA57" i="27" a="1"/>
  <c r="BA57" i="27" s="1"/>
  <c r="BB53" i="27" a="1"/>
  <c r="BB53" i="27" s="1"/>
  <c r="BA53" i="27" a="1"/>
  <c r="BA53" i="27" s="1"/>
  <c r="BA13" i="27" a="1"/>
  <c r="BA13" i="27" s="1"/>
  <c r="BB13" i="27" a="1"/>
  <c r="BB13" i="27" s="1"/>
  <c r="BC15" i="27" a="1"/>
  <c r="BC15" i="27" s="1"/>
  <c r="BD15" i="27" a="1"/>
  <c r="BD15" i="27" s="1"/>
  <c r="BB55" i="27" a="1"/>
  <c r="BB55" i="27" s="1"/>
  <c r="BA55" i="27" a="1"/>
  <c r="BA55" i="27" s="1"/>
  <c r="BD51" i="27" a="1"/>
  <c r="BD51" i="27" s="1"/>
  <c r="BC51" i="27" a="1"/>
  <c r="BC51" i="27" s="1"/>
  <c r="AT159" i="93"/>
  <c r="AT135" i="93"/>
  <c r="AT85" i="93"/>
  <c r="AT61" i="93"/>
  <c r="AT105" i="93"/>
  <c r="AT52" i="93"/>
  <c r="AT21" i="93"/>
  <c r="AT12" i="93"/>
  <c r="AT81" i="93"/>
  <c r="AT121" i="93"/>
  <c r="AT19" i="93"/>
  <c r="AT90" i="93"/>
  <c r="AT26" i="93"/>
  <c r="AT10" i="93"/>
  <c r="AT39" i="93"/>
  <c r="AT71" i="93"/>
  <c r="AT22" i="93"/>
  <c r="AT126" i="93"/>
  <c r="AT77" i="93"/>
  <c r="AT33" i="93"/>
  <c r="AT8" i="93"/>
  <c r="AT54" i="93"/>
  <c r="AT158" i="93"/>
  <c r="AT55" i="93"/>
  <c r="AT160" i="93"/>
  <c r="AT153" i="93"/>
  <c r="AT65" i="93"/>
  <c r="AT74" i="93"/>
  <c r="AT89" i="93"/>
  <c r="AT137" i="93"/>
  <c r="AT92" i="93"/>
  <c r="AT24" i="93"/>
  <c r="AT98" i="93"/>
  <c r="AT101" i="93"/>
  <c r="AT145" i="93"/>
  <c r="AT34" i="93"/>
  <c r="AT129" i="93"/>
  <c r="AT30" i="93"/>
  <c r="AT130" i="93"/>
  <c r="AT28" i="93"/>
  <c r="AT119" i="93"/>
  <c r="AT109" i="93"/>
  <c r="AT40" i="93"/>
  <c r="AT124" i="93"/>
  <c r="AT133" i="93"/>
  <c r="AT118" i="93"/>
  <c r="AT143" i="93"/>
  <c r="AT117" i="93"/>
  <c r="AT149" i="93"/>
  <c r="AT11" i="93"/>
  <c r="AT53" i="93"/>
  <c r="AT59" i="93"/>
  <c r="AT140" i="93"/>
  <c r="AT82" i="93"/>
  <c r="AT37" i="93"/>
  <c r="AT110" i="93"/>
  <c r="AT9" i="93"/>
  <c r="AT138" i="93"/>
  <c r="AT147" i="93"/>
  <c r="AT103" i="93"/>
  <c r="AT32" i="93"/>
  <c r="AT162" i="93"/>
  <c r="AT83" i="93"/>
  <c r="AT72" i="93"/>
  <c r="AT48" i="93"/>
  <c r="AT151" i="93"/>
  <c r="AT86" i="93"/>
  <c r="AT64" i="93"/>
  <c r="AT120" i="93"/>
  <c r="AT93" i="93"/>
  <c r="AT46" i="93"/>
  <c r="AT161" i="93"/>
  <c r="AT136" i="93"/>
  <c r="AT36" i="93"/>
  <c r="AT142" i="93"/>
  <c r="AT16" i="93"/>
  <c r="AT108" i="93"/>
  <c r="AT23" i="93"/>
  <c r="AT114" i="93"/>
  <c r="AT58" i="93"/>
  <c r="AT152" i="93"/>
  <c r="AT127" i="93"/>
  <c r="AT38" i="93"/>
  <c r="AT15" i="93"/>
  <c r="AT141" i="93"/>
  <c r="AT43" i="93"/>
  <c r="AT100" i="93"/>
  <c r="AT99" i="93"/>
  <c r="AT95" i="93"/>
  <c r="AT144" i="93"/>
  <c r="AT47" i="93"/>
  <c r="AT20" i="93"/>
  <c r="AT128" i="93"/>
  <c r="AT78" i="93"/>
  <c r="AT25" i="93"/>
  <c r="AT112" i="93"/>
  <c r="AT88" i="93"/>
  <c r="AT84" i="93"/>
  <c r="AT148" i="93"/>
  <c r="AT42" i="93"/>
  <c r="AT17" i="93"/>
  <c r="AT139" i="93"/>
  <c r="AT104" i="93"/>
  <c r="AT125" i="93"/>
  <c r="AT113" i="93"/>
  <c r="AT41" i="93"/>
  <c r="AT122" i="93"/>
  <c r="AT75" i="93"/>
  <c r="AT94" i="93"/>
  <c r="AT131" i="93"/>
  <c r="AT27" i="93"/>
  <c r="AT63" i="93"/>
  <c r="AT132" i="93"/>
  <c r="AT106" i="93"/>
  <c r="AT87" i="93"/>
  <c r="AT14" i="93"/>
  <c r="AT76" i="93"/>
  <c r="AT115" i="93"/>
  <c r="AT91" i="93"/>
  <c r="AT123" i="93"/>
  <c r="AT51" i="93"/>
  <c r="AT60" i="93"/>
  <c r="AT57" i="93"/>
  <c r="AT68" i="93"/>
  <c r="AT69" i="93"/>
  <c r="AT44" i="93"/>
  <c r="AT13" i="93"/>
  <c r="AT107" i="93"/>
  <c r="AT67" i="93"/>
  <c r="AT45" i="93"/>
  <c r="AT154" i="93"/>
  <c r="AT73" i="93"/>
  <c r="AT102" i="93"/>
  <c r="AT56" i="93"/>
  <c r="AT157" i="93"/>
  <c r="AT150" i="93"/>
  <c r="AT35" i="93"/>
  <c r="AT29" i="93"/>
  <c r="AT62" i="93"/>
  <c r="AT146" i="93"/>
  <c r="AT96" i="93"/>
  <c r="AT79" i="93"/>
  <c r="AT66" i="93"/>
  <c r="AT134" i="93"/>
  <c r="AT50" i="93"/>
  <c r="AT49" i="93"/>
  <c r="AT155" i="93"/>
  <c r="AT116" i="93"/>
  <c r="AT31" i="93"/>
  <c r="AT80" i="93"/>
  <c r="AT70" i="93"/>
  <c r="AT111" i="93"/>
  <c r="AT97" i="93"/>
  <c r="AT18" i="93"/>
  <c r="AT156" i="93"/>
  <c r="AE4" i="93"/>
  <c r="N4" i="94" a="1"/>
  <c r="N4" i="94" s="1"/>
  <c r="AC4" i="93" s="1"/>
  <c r="N5" i="94" a="1"/>
  <c r="N5" i="94" s="1"/>
  <c r="N6" i="94" a="1"/>
  <c r="N6" i="94" s="1"/>
  <c r="W4" i="93"/>
  <c r="Q5" i="94" a="1"/>
  <c r="Q5" i="94" s="1"/>
  <c r="Q4" i="94" a="1"/>
  <c r="Q4" i="94" s="1"/>
  <c r="AD4" i="93" s="1"/>
  <c r="Q6" i="94" a="1"/>
  <c r="Q6" i="94" s="1"/>
  <c r="W6" i="93"/>
  <c r="W5" i="93"/>
  <c r="W7" i="93"/>
  <c r="X4" i="93"/>
  <c r="X6" i="93"/>
  <c r="X5" i="93"/>
  <c r="X7" i="93"/>
  <c r="Y4" i="93"/>
  <c r="Y6" i="93"/>
  <c r="Y5" i="93"/>
  <c r="Y7" i="93"/>
  <c r="Z4" i="93"/>
  <c r="Z6" i="93"/>
  <c r="Z5" i="93"/>
  <c r="Z7" i="93"/>
  <c r="AA4" i="93"/>
  <c r="AM4" i="93" s="1"/>
  <c r="AA6" i="93"/>
  <c r="AM6" i="93" s="1"/>
  <c r="AA5" i="93"/>
  <c r="AM5" i="93" s="1"/>
  <c r="AA7" i="93"/>
  <c r="AM7" i="93" s="1"/>
  <c r="AH5" i="93"/>
  <c r="AH7" i="93"/>
  <c r="AH4" i="93"/>
  <c r="AH6" i="93"/>
  <c r="AI5" i="93"/>
  <c r="AJ5" i="93" s="1" a="1"/>
  <c r="AJ5" i="93" s="1"/>
  <c r="AI7" i="93"/>
  <c r="AK7" i="93" s="1" a="1"/>
  <c r="AK7" i="93" s="1"/>
  <c r="AL7" i="93" s="1" a="1"/>
  <c r="AL7" i="93" s="1"/>
  <c r="AI4" i="93"/>
  <c r="AK4" i="93" s="1" a="1"/>
  <c r="AK4" i="93" s="1"/>
  <c r="AL4" i="93" s="1" a="1"/>
  <c r="AL4" i="93" s="1"/>
  <c r="AI6" i="93"/>
  <c r="AJ6" i="93" s="1" a="1"/>
  <c r="AJ6" i="93" s="1"/>
  <c r="Z5" i="27"/>
  <c r="Z7" i="27"/>
  <c r="Z4" i="27"/>
  <c r="Z6" i="27"/>
  <c r="AA5" i="27"/>
  <c r="AA7" i="27"/>
  <c r="AA4" i="27"/>
  <c r="AA6" i="27"/>
  <c r="W5" i="27"/>
  <c r="W7" i="27"/>
  <c r="W4" i="27"/>
  <c r="W6" i="27"/>
  <c r="X5" i="27"/>
  <c r="X7" i="27"/>
  <c r="X4" i="27"/>
  <c r="X6" i="27"/>
  <c r="Y5" i="27"/>
  <c r="Y7" i="27"/>
  <c r="Y4" i="27"/>
  <c r="Y6" i="27"/>
  <c r="AB5" i="27"/>
  <c r="AB7" i="27"/>
  <c r="AB4" i="27"/>
  <c r="AB6" i="27"/>
  <c r="AC5" i="27"/>
  <c r="AC7" i="27"/>
  <c r="AC4" i="27"/>
  <c r="AC6" i="27"/>
  <c r="AD5" i="27"/>
  <c r="AD7" i="27"/>
  <c r="AD4" i="27"/>
  <c r="AD6" i="27"/>
  <c r="AE5" i="27"/>
  <c r="AE7" i="27"/>
  <c r="AE4" i="27"/>
  <c r="AE6" i="27"/>
  <c r="AF5" i="27"/>
  <c r="AF7" i="27"/>
  <c r="AF4" i="27"/>
  <c r="AF6" i="27"/>
  <c r="AG5" i="27"/>
  <c r="AG7" i="27"/>
  <c r="AG4" i="27"/>
  <c r="AG6" i="27"/>
  <c r="AH5" i="27"/>
  <c r="AH7" i="27"/>
  <c r="AH4" i="27"/>
  <c r="AH6" i="27"/>
  <c r="AI5" i="27"/>
  <c r="AI7" i="27"/>
  <c r="AI4" i="27"/>
  <c r="AI6" i="27"/>
  <c r="AL5" i="27"/>
  <c r="AL7" i="27"/>
  <c r="AL4" i="27"/>
  <c r="AL6" i="27"/>
  <c r="Y13" i="112"/>
  <c r="Z13" i="112"/>
  <c r="AA13" i="112"/>
  <c r="Y14" i="112"/>
  <c r="Z14" i="112"/>
  <c r="AA14" i="112"/>
  <c r="Y15" i="112"/>
  <c r="Z15" i="112"/>
  <c r="AA15" i="112"/>
  <c r="K13" i="112"/>
  <c r="L13" i="112"/>
  <c r="M13" i="112"/>
  <c r="K14" i="112"/>
  <c r="L14" i="112"/>
  <c r="M14" i="112"/>
  <c r="K15" i="112"/>
  <c r="L15" i="112"/>
  <c r="M15" i="112"/>
  <c r="C4" i="112" a="1"/>
  <c r="C4" i="112" s="1"/>
  <c r="C14" i="112" s="1"/>
  <c r="P5" i="112" a="1"/>
  <c r="B5" i="112" a="1"/>
  <c r="K10" i="112" s="1"/>
  <c r="Q4" i="112" a="1"/>
  <c r="T13" i="112" s="1"/>
  <c r="J12" i="110" a="1"/>
  <c r="J12" i="110" s="1"/>
  <c r="J13" i="110" a="1"/>
  <c r="J13" i="110" s="1"/>
  <c r="K13" i="110" a="1"/>
  <c r="K13" i="110" s="1"/>
  <c r="J14" i="110" a="1"/>
  <c r="J14" i="110" s="1"/>
  <c r="K14" i="110" a="1"/>
  <c r="K14" i="110" s="1"/>
  <c r="L14" i="110" a="1"/>
  <c r="L14" i="110" s="1"/>
  <c r="A4" i="110" a="1"/>
  <c r="W12" i="110" a="1"/>
  <c r="W12" i="110" s="1"/>
  <c r="W13" i="110" a="1"/>
  <c r="W13" i="110" s="1"/>
  <c r="X13" i="110" a="1"/>
  <c r="X13" i="110" s="1"/>
  <c r="W14" i="110" a="1"/>
  <c r="W14" i="110" s="1"/>
  <c r="X14" i="110" a="1"/>
  <c r="X14" i="110" s="1"/>
  <c r="Y14" i="110" a="1"/>
  <c r="Y14" i="110" s="1"/>
  <c r="N4" i="110" a="1"/>
  <c r="O3" i="110" a="1"/>
  <c r="R12" i="110" s="1" a="1"/>
  <c r="R12" i="110" s="1"/>
  <c r="B3" i="110" a="1"/>
  <c r="C12" i="110" s="1" a="1"/>
  <c r="C12" i="110" s="1"/>
  <c r="N4" i="108" a="1"/>
  <c r="O3" i="108" a="1"/>
  <c r="T12" i="108" s="1"/>
  <c r="Y14" i="108"/>
  <c r="X14" i="108"/>
  <c r="W14" i="108"/>
  <c r="X13" i="108"/>
  <c r="W13" i="108"/>
  <c r="W12" i="108"/>
  <c r="AC27" i="105"/>
  <c r="L27" i="105"/>
  <c r="K27" i="105"/>
  <c r="U26" i="105" a="1"/>
  <c r="U26" i="105" s="1"/>
  <c r="C26" i="105" a="1"/>
  <c r="C26" i="105" s="1"/>
  <c r="A5" i="105"/>
  <c r="A7" i="105" s="1"/>
  <c r="W3" i="105" a="1"/>
  <c r="AC5" i="105" s="1" a="1"/>
  <c r="AC5" i="105" s="1"/>
  <c r="B2" i="105" a="1"/>
  <c r="D3" i="105" s="1"/>
  <c r="I77" i="100" a="1"/>
  <c r="I77" i="100" s="1"/>
  <c r="F77" i="100" a="1"/>
  <c r="F77" i="100" s="1"/>
  <c r="E77" i="100" a="1"/>
  <c r="E77" i="100" s="1"/>
  <c r="B77" i="100" a="1"/>
  <c r="B77" i="100" s="1"/>
  <c r="I76" i="100" a="1"/>
  <c r="I76" i="100" s="1"/>
  <c r="F76" i="100" a="1"/>
  <c r="F76" i="100" s="1"/>
  <c r="E76" i="100" a="1"/>
  <c r="E76" i="100" s="1"/>
  <c r="B76" i="100" a="1"/>
  <c r="B76" i="100" s="1"/>
  <c r="I75" i="100" a="1"/>
  <c r="I75" i="100" s="1"/>
  <c r="F75" i="100" a="1"/>
  <c r="F75" i="100" s="1"/>
  <c r="E75" i="100" a="1"/>
  <c r="E75" i="100" s="1"/>
  <c r="B75" i="100" a="1"/>
  <c r="B75" i="100" s="1"/>
  <c r="I74" i="100" a="1"/>
  <c r="I74" i="100" s="1"/>
  <c r="F74" i="100" a="1"/>
  <c r="F74" i="100" s="1"/>
  <c r="E74" i="100" a="1"/>
  <c r="E74" i="100" s="1"/>
  <c r="B74" i="100" a="1"/>
  <c r="B74" i="100" s="1"/>
  <c r="I73" i="100" a="1"/>
  <c r="I73" i="100" s="1"/>
  <c r="F73" i="100" a="1"/>
  <c r="F73" i="100" s="1"/>
  <c r="E73" i="100" a="1"/>
  <c r="E73" i="100" s="1"/>
  <c r="B73" i="100" a="1"/>
  <c r="B73" i="100" s="1"/>
  <c r="I72" i="100" a="1"/>
  <c r="I72" i="100" s="1"/>
  <c r="F72" i="100" a="1"/>
  <c r="F72" i="100" s="1"/>
  <c r="E72" i="100" a="1"/>
  <c r="E72" i="100" s="1"/>
  <c r="B72" i="100" a="1"/>
  <c r="B72" i="100" s="1"/>
  <c r="I71" i="100" a="1"/>
  <c r="I71" i="100" s="1"/>
  <c r="F71" i="100" a="1"/>
  <c r="F71" i="100" s="1"/>
  <c r="E71" i="100" a="1"/>
  <c r="E71" i="100" s="1"/>
  <c r="B71" i="100" a="1"/>
  <c r="B71" i="100" s="1"/>
  <c r="I70" i="100" a="1"/>
  <c r="I70" i="100" s="1"/>
  <c r="F70" i="100" a="1"/>
  <c r="F70" i="100" s="1"/>
  <c r="E70" i="100" a="1"/>
  <c r="E70" i="100" s="1"/>
  <c r="B70" i="100" a="1"/>
  <c r="B70" i="100" s="1"/>
  <c r="I69" i="100" a="1"/>
  <c r="I69" i="100" s="1"/>
  <c r="F69" i="100" a="1"/>
  <c r="F69" i="100" s="1"/>
  <c r="E69" i="100" a="1"/>
  <c r="E69" i="100" s="1"/>
  <c r="B69" i="100" a="1"/>
  <c r="B69" i="100" s="1"/>
  <c r="I68" i="100" a="1"/>
  <c r="I68" i="100" s="1"/>
  <c r="F68" i="100" a="1"/>
  <c r="F68" i="100" s="1"/>
  <c r="E68" i="100" a="1"/>
  <c r="E68" i="100" s="1"/>
  <c r="B68" i="100" a="1"/>
  <c r="B68" i="100" s="1"/>
  <c r="I67" i="100" a="1"/>
  <c r="I67" i="100" s="1"/>
  <c r="F67" i="100" a="1"/>
  <c r="F67" i="100" s="1"/>
  <c r="E67" i="100" a="1"/>
  <c r="E67" i="100" s="1"/>
  <c r="B67" i="100" a="1"/>
  <c r="B67" i="100" s="1"/>
  <c r="I66" i="100" a="1"/>
  <c r="I66" i="100" s="1"/>
  <c r="F66" i="100" a="1"/>
  <c r="F66" i="100" s="1"/>
  <c r="E66" i="100" a="1"/>
  <c r="E66" i="100" s="1"/>
  <c r="B66" i="100" a="1"/>
  <c r="B66" i="100" s="1"/>
  <c r="I65" i="100" a="1"/>
  <c r="I65" i="100" s="1"/>
  <c r="F65" i="100" a="1"/>
  <c r="F65" i="100" s="1"/>
  <c r="E65" i="100" a="1"/>
  <c r="E65" i="100" s="1"/>
  <c r="B65" i="100" a="1"/>
  <c r="B65" i="100" s="1"/>
  <c r="I64" i="100" a="1"/>
  <c r="I64" i="100" s="1"/>
  <c r="F64" i="100" a="1"/>
  <c r="F64" i="100" s="1"/>
  <c r="E64" i="100" a="1"/>
  <c r="E64" i="100" s="1"/>
  <c r="B64" i="100" a="1"/>
  <c r="B64" i="100" s="1"/>
  <c r="I63" i="100" a="1"/>
  <c r="I63" i="100" s="1"/>
  <c r="F63" i="100" a="1"/>
  <c r="F63" i="100" s="1"/>
  <c r="E63" i="100" a="1"/>
  <c r="E63" i="100" s="1"/>
  <c r="B63" i="100" a="1"/>
  <c r="B63" i="100" s="1"/>
  <c r="I62" i="100" a="1"/>
  <c r="I62" i="100" s="1"/>
  <c r="F62" i="100" a="1"/>
  <c r="F62" i="100" s="1"/>
  <c r="E62" i="100" a="1"/>
  <c r="E62" i="100" s="1"/>
  <c r="B62" i="100" a="1"/>
  <c r="B62" i="100" s="1"/>
  <c r="I61" i="100" a="1"/>
  <c r="I61" i="100" s="1"/>
  <c r="F61" i="100" a="1"/>
  <c r="F61" i="100" s="1"/>
  <c r="E61" i="100" a="1"/>
  <c r="E61" i="100" s="1"/>
  <c r="B61" i="100" a="1"/>
  <c r="B61" i="100" s="1"/>
  <c r="I60" i="100" a="1"/>
  <c r="I60" i="100" s="1"/>
  <c r="F60" i="100" a="1"/>
  <c r="F60" i="100" s="1"/>
  <c r="E60" i="100" a="1"/>
  <c r="E60" i="100" s="1"/>
  <c r="B60" i="100" a="1"/>
  <c r="B60" i="100" s="1"/>
  <c r="I59" i="100" a="1"/>
  <c r="I59" i="100" s="1"/>
  <c r="F59" i="100" a="1"/>
  <c r="F59" i="100" s="1"/>
  <c r="E59" i="100" a="1"/>
  <c r="E59" i="100" s="1"/>
  <c r="B59" i="100" a="1"/>
  <c r="B59" i="100" s="1"/>
  <c r="I58" i="100" a="1"/>
  <c r="I58" i="100" s="1"/>
  <c r="F58" i="100" a="1"/>
  <c r="F58" i="100" s="1"/>
  <c r="E58" i="100" a="1"/>
  <c r="E58" i="100" s="1"/>
  <c r="B58" i="100" a="1"/>
  <c r="B58" i="100" s="1"/>
  <c r="I57" i="100" a="1"/>
  <c r="I57" i="100" s="1"/>
  <c r="F57" i="100" a="1"/>
  <c r="F57" i="100" s="1"/>
  <c r="E57" i="100" a="1"/>
  <c r="E57" i="100" s="1"/>
  <c r="B57" i="100" a="1"/>
  <c r="B57" i="100" s="1"/>
  <c r="I56" i="100" a="1"/>
  <c r="I56" i="100" s="1"/>
  <c r="F56" i="100" a="1"/>
  <c r="F56" i="100" s="1"/>
  <c r="E56" i="100" a="1"/>
  <c r="E56" i="100" s="1"/>
  <c r="B56" i="100" a="1"/>
  <c r="B56" i="100" s="1"/>
  <c r="I55" i="100" a="1"/>
  <c r="I55" i="100" s="1"/>
  <c r="F55" i="100" a="1"/>
  <c r="F55" i="100" s="1"/>
  <c r="E55" i="100" a="1"/>
  <c r="E55" i="100" s="1"/>
  <c r="B55" i="100" a="1"/>
  <c r="B55" i="100" s="1"/>
  <c r="I54" i="100" a="1"/>
  <c r="I54" i="100" s="1"/>
  <c r="F54" i="100" a="1"/>
  <c r="F54" i="100" s="1"/>
  <c r="E54" i="100" a="1"/>
  <c r="E54" i="100" s="1"/>
  <c r="B54" i="100" a="1"/>
  <c r="B54" i="100" s="1"/>
  <c r="I53" i="100" a="1"/>
  <c r="I53" i="100" s="1"/>
  <c r="F53" i="100" a="1"/>
  <c r="F53" i="100" s="1"/>
  <c r="E53" i="100" a="1"/>
  <c r="E53" i="100" s="1"/>
  <c r="B53" i="100" a="1"/>
  <c r="B53" i="100" s="1"/>
  <c r="I52" i="100" a="1"/>
  <c r="I52" i="100" s="1"/>
  <c r="F52" i="100" a="1"/>
  <c r="F52" i="100" s="1"/>
  <c r="E52" i="100" a="1"/>
  <c r="E52" i="100" s="1"/>
  <c r="B52" i="100" a="1"/>
  <c r="B52" i="100" s="1"/>
  <c r="I51" i="100" a="1"/>
  <c r="I51" i="100" s="1"/>
  <c r="F51" i="100" a="1"/>
  <c r="F51" i="100" s="1"/>
  <c r="E51" i="100" a="1"/>
  <c r="E51" i="100" s="1"/>
  <c r="B51" i="100" a="1"/>
  <c r="B51" i="100" s="1"/>
  <c r="I50" i="100" a="1"/>
  <c r="I50" i="100" s="1"/>
  <c r="F50" i="100" a="1"/>
  <c r="F50" i="100" s="1"/>
  <c r="E50" i="100" a="1"/>
  <c r="E50" i="100" s="1"/>
  <c r="B50" i="100" a="1"/>
  <c r="B50" i="100" s="1"/>
  <c r="I49" i="100" a="1"/>
  <c r="I49" i="100" s="1"/>
  <c r="F49" i="100" a="1"/>
  <c r="F49" i="100" s="1"/>
  <c r="E49" i="100" a="1"/>
  <c r="E49" i="100" s="1"/>
  <c r="B49" i="100" a="1"/>
  <c r="B49" i="100" s="1"/>
  <c r="I48" i="100" a="1"/>
  <c r="I48" i="100" s="1"/>
  <c r="F48" i="100" a="1"/>
  <c r="F48" i="100" s="1"/>
  <c r="E48" i="100" a="1"/>
  <c r="E48" i="100" s="1"/>
  <c r="B48" i="100" a="1"/>
  <c r="B48" i="100" s="1"/>
  <c r="I47" i="100" a="1"/>
  <c r="I47" i="100" s="1"/>
  <c r="F47" i="100" a="1"/>
  <c r="F47" i="100" s="1"/>
  <c r="E47" i="100" a="1"/>
  <c r="E47" i="100" s="1"/>
  <c r="B47" i="100" a="1"/>
  <c r="B47" i="100" s="1"/>
  <c r="I46" i="100" a="1"/>
  <c r="I46" i="100" s="1"/>
  <c r="F46" i="100" a="1"/>
  <c r="F46" i="100" s="1"/>
  <c r="E46" i="100" a="1"/>
  <c r="E46" i="100" s="1"/>
  <c r="B46" i="100" a="1"/>
  <c r="B46" i="100" s="1"/>
  <c r="I45" i="100" a="1"/>
  <c r="I45" i="100" s="1"/>
  <c r="F45" i="100" a="1"/>
  <c r="F45" i="100" s="1"/>
  <c r="E45" i="100" a="1"/>
  <c r="E45" i="100" s="1"/>
  <c r="B45" i="100" a="1"/>
  <c r="B45" i="100" s="1"/>
  <c r="I44" i="100" a="1"/>
  <c r="I44" i="100" s="1"/>
  <c r="F44" i="100" a="1"/>
  <c r="F44" i="100" s="1"/>
  <c r="E44" i="100" a="1"/>
  <c r="E44" i="100" s="1"/>
  <c r="B44" i="100" a="1"/>
  <c r="B44" i="100" s="1"/>
  <c r="I43" i="100" a="1"/>
  <c r="I43" i="100" s="1"/>
  <c r="F43" i="100" a="1"/>
  <c r="F43" i="100" s="1"/>
  <c r="E43" i="100" a="1"/>
  <c r="E43" i="100" s="1"/>
  <c r="B43" i="100" a="1"/>
  <c r="B43" i="100" s="1"/>
  <c r="I42" i="100" a="1"/>
  <c r="I42" i="100" s="1"/>
  <c r="F42" i="100" a="1"/>
  <c r="F42" i="100" s="1"/>
  <c r="E42" i="100" a="1"/>
  <c r="E42" i="100" s="1"/>
  <c r="B42" i="100" a="1"/>
  <c r="B42" i="100" s="1"/>
  <c r="I41" i="100" a="1"/>
  <c r="I41" i="100" s="1"/>
  <c r="F41" i="100" a="1"/>
  <c r="F41" i="100" s="1"/>
  <c r="E41" i="100" a="1"/>
  <c r="E41" i="100" s="1"/>
  <c r="B41" i="100" a="1"/>
  <c r="B41" i="100" s="1"/>
  <c r="I40" i="100" a="1"/>
  <c r="I40" i="100" s="1"/>
  <c r="F40" i="100" a="1"/>
  <c r="F40" i="100" s="1"/>
  <c r="E40" i="100" a="1"/>
  <c r="E40" i="100" s="1"/>
  <c r="B40" i="100" a="1"/>
  <c r="B40" i="100" s="1"/>
  <c r="I39" i="100" a="1"/>
  <c r="I39" i="100" s="1"/>
  <c r="F39" i="100" a="1"/>
  <c r="F39" i="100" s="1"/>
  <c r="E39" i="100" a="1"/>
  <c r="E39" i="100" s="1"/>
  <c r="B39" i="100" a="1"/>
  <c r="B39" i="100" s="1"/>
  <c r="I38" i="100" a="1"/>
  <c r="I38" i="100" s="1"/>
  <c r="F38" i="100" a="1"/>
  <c r="F38" i="100" s="1"/>
  <c r="E38" i="100" a="1"/>
  <c r="E38" i="100" s="1"/>
  <c r="B38" i="100" a="1"/>
  <c r="B38" i="100" s="1"/>
  <c r="I37" i="100" a="1"/>
  <c r="I37" i="100" s="1"/>
  <c r="F37" i="100" a="1"/>
  <c r="F37" i="100" s="1"/>
  <c r="E37" i="100" a="1"/>
  <c r="E37" i="100" s="1"/>
  <c r="B37" i="100" a="1"/>
  <c r="B37" i="100" s="1"/>
  <c r="I36" i="100" a="1"/>
  <c r="I36" i="100" s="1"/>
  <c r="F36" i="100" a="1"/>
  <c r="F36" i="100" s="1"/>
  <c r="E36" i="100" a="1"/>
  <c r="E36" i="100" s="1"/>
  <c r="B36" i="100" a="1"/>
  <c r="B36" i="100" s="1"/>
  <c r="I35" i="100" a="1"/>
  <c r="I35" i="100" s="1"/>
  <c r="F35" i="100" a="1"/>
  <c r="F35" i="100" s="1"/>
  <c r="E35" i="100" a="1"/>
  <c r="E35" i="100" s="1"/>
  <c r="B35" i="100" a="1"/>
  <c r="B35" i="100" s="1"/>
  <c r="AB34" i="100" a="1"/>
  <c r="AB34" i="100" s="1"/>
  <c r="Q34" i="100"/>
  <c r="I34" i="100" a="1"/>
  <c r="I34" i="100" s="1"/>
  <c r="F34" i="100" a="1"/>
  <c r="F34" i="100" s="1"/>
  <c r="E34" i="100" a="1"/>
  <c r="E34" i="100" s="1"/>
  <c r="B34" i="100" a="1"/>
  <c r="B34" i="100" s="1"/>
  <c r="AB33" i="100" a="1"/>
  <c r="AB33" i="100" s="1"/>
  <c r="Q33" i="100"/>
  <c r="I33" i="100" a="1"/>
  <c r="I33" i="100" s="1"/>
  <c r="F33" i="100" a="1"/>
  <c r="F33" i="100" s="1"/>
  <c r="E33" i="100" a="1"/>
  <c r="E33" i="100" s="1"/>
  <c r="B33" i="100" a="1"/>
  <c r="B33" i="100" s="1"/>
  <c r="I32" i="100" a="1"/>
  <c r="I32" i="100" s="1"/>
  <c r="F32" i="100" a="1"/>
  <c r="F32" i="100" s="1"/>
  <c r="E32" i="100" a="1"/>
  <c r="E32" i="100" s="1"/>
  <c r="B32" i="100" a="1"/>
  <c r="B32" i="100" s="1"/>
  <c r="I31" i="100" a="1"/>
  <c r="I31" i="100" s="1"/>
  <c r="F31" i="100" a="1"/>
  <c r="F31" i="100" s="1"/>
  <c r="E31" i="100" a="1"/>
  <c r="E31" i="100" s="1"/>
  <c r="B31" i="100" a="1"/>
  <c r="B31" i="100" s="1"/>
  <c r="I30" i="100" a="1"/>
  <c r="I30" i="100" s="1"/>
  <c r="F30" i="100" a="1"/>
  <c r="F30" i="100" s="1"/>
  <c r="E30" i="100" a="1"/>
  <c r="E30" i="100" s="1"/>
  <c r="B30" i="100" a="1"/>
  <c r="B30" i="100" s="1"/>
  <c r="I29" i="100" a="1"/>
  <c r="I29" i="100" s="1"/>
  <c r="F29" i="100" a="1"/>
  <c r="F29" i="100" s="1"/>
  <c r="E29" i="100" a="1"/>
  <c r="E29" i="100" s="1"/>
  <c r="B29" i="100" a="1"/>
  <c r="B29" i="100" s="1"/>
  <c r="I28" i="100" a="1"/>
  <c r="I28" i="100" s="1"/>
  <c r="F28" i="100" a="1"/>
  <c r="F28" i="100" s="1"/>
  <c r="E28" i="100" a="1"/>
  <c r="E28" i="100" s="1"/>
  <c r="B28" i="100" a="1"/>
  <c r="B28" i="100" s="1"/>
  <c r="I27" i="100" a="1"/>
  <c r="I27" i="100" s="1"/>
  <c r="F27" i="100" a="1"/>
  <c r="F27" i="100" s="1"/>
  <c r="E27" i="100" a="1"/>
  <c r="E27" i="100" s="1"/>
  <c r="B27" i="100" a="1"/>
  <c r="B27" i="100" s="1"/>
  <c r="F26" i="100" a="1"/>
  <c r="F26" i="100" s="1"/>
  <c r="E26" i="100" a="1"/>
  <c r="E26" i="100" s="1"/>
  <c r="B26" i="100" a="1"/>
  <c r="B26" i="100" s="1"/>
  <c r="F25" i="100" a="1"/>
  <c r="F25" i="100" s="1"/>
  <c r="E25" i="100" a="1"/>
  <c r="E25" i="100" s="1"/>
  <c r="B25" i="100" a="1"/>
  <c r="B25" i="100" s="1"/>
  <c r="F24" i="100" a="1"/>
  <c r="F24" i="100" s="1"/>
  <c r="E24" i="100" a="1"/>
  <c r="E24" i="100" s="1"/>
  <c r="B24" i="100" a="1"/>
  <c r="B24" i="100" s="1"/>
  <c r="F23" i="100" a="1"/>
  <c r="F23" i="100" s="1"/>
  <c r="E23" i="100" a="1"/>
  <c r="E23" i="100" s="1"/>
  <c r="B23" i="100" a="1"/>
  <c r="B23" i="100" s="1"/>
  <c r="F22" i="100" a="1"/>
  <c r="F22" i="100" s="1"/>
  <c r="E22" i="100" a="1"/>
  <c r="E22" i="100" s="1"/>
  <c r="B22" i="100" a="1"/>
  <c r="B22" i="100" s="1"/>
  <c r="F21" i="100" a="1"/>
  <c r="F21" i="100" s="1"/>
  <c r="E21" i="100" a="1"/>
  <c r="E21" i="100" s="1"/>
  <c r="B21" i="100" a="1"/>
  <c r="B21" i="100" s="1"/>
  <c r="F20" i="100" a="1"/>
  <c r="F20" i="100" s="1"/>
  <c r="E20" i="100" a="1"/>
  <c r="E20" i="100" s="1"/>
  <c r="B20" i="100" a="1"/>
  <c r="B20" i="100" s="1"/>
  <c r="F19" i="100" a="1"/>
  <c r="F19" i="100" s="1"/>
  <c r="E19" i="100" a="1"/>
  <c r="E19" i="100" s="1"/>
  <c r="B19" i="100" a="1"/>
  <c r="B19" i="100" s="1"/>
  <c r="F18" i="100" a="1"/>
  <c r="F18" i="100" s="1"/>
  <c r="E18" i="100" a="1"/>
  <c r="E18" i="100" s="1"/>
  <c r="B18" i="100" a="1"/>
  <c r="B18" i="100" s="1"/>
  <c r="I5" i="100" a="1"/>
  <c r="I5" i="100" s="1"/>
  <c r="B5" i="100" a="1"/>
  <c r="B5" i="100" s="1"/>
  <c r="L14" i="108"/>
  <c r="K14" i="108"/>
  <c r="J14" i="108"/>
  <c r="K13" i="108"/>
  <c r="J13" i="108"/>
  <c r="J12" i="108"/>
  <c r="A4" i="108" a="1"/>
  <c r="B3" i="108" a="1"/>
  <c r="I12" i="108" s="1"/>
  <c r="BG1" i="27"/>
  <c r="BI19" i="27" l="1"/>
  <c r="BJ19" i="27" s="1"/>
  <c r="BI34" i="27"/>
  <c r="BJ34" i="27" s="1"/>
  <c r="BM17" i="27"/>
  <c r="BM50" i="27"/>
  <c r="BN50" i="27"/>
  <c r="BN61" i="27"/>
  <c r="BN63" i="27"/>
  <c r="BN30" i="27"/>
  <c r="BM37" i="27"/>
  <c r="BM42" i="27"/>
  <c r="BM51" i="27"/>
  <c r="BM21" i="27"/>
  <c r="BM22" i="27"/>
  <c r="BM33" i="27"/>
  <c r="BM19" i="27"/>
  <c r="BM38" i="27"/>
  <c r="BM40" i="27"/>
  <c r="BN29" i="27"/>
  <c r="BM39" i="27"/>
  <c r="BM63" i="27"/>
  <c r="BM57" i="27"/>
  <c r="BM20" i="27"/>
  <c r="BN52" i="27"/>
  <c r="BM43" i="27"/>
  <c r="BN58" i="27"/>
  <c r="BN48" i="27"/>
  <c r="BM28" i="27"/>
  <c r="BM52" i="27"/>
  <c r="BM56" i="27"/>
  <c r="BN42" i="27"/>
  <c r="BM30" i="27"/>
  <c r="BM55" i="27"/>
  <c r="BN39" i="27"/>
  <c r="BM59" i="27"/>
  <c r="BN60" i="27"/>
  <c r="BN54" i="27"/>
  <c r="BN49" i="27"/>
  <c r="BN21" i="27"/>
  <c r="BM32" i="27"/>
  <c r="BN19" i="27"/>
  <c r="BM54" i="27"/>
  <c r="BM62" i="27"/>
  <c r="BM53" i="27"/>
  <c r="BM31" i="27"/>
  <c r="BM23" i="27"/>
  <c r="BM61" i="27"/>
  <c r="BM36" i="27"/>
  <c r="BN41" i="27"/>
  <c r="BN53" i="27"/>
  <c r="BM48" i="27"/>
  <c r="BM35" i="27"/>
  <c r="BM60" i="27"/>
  <c r="BN35" i="27"/>
  <c r="BN36" i="27"/>
  <c r="BM18" i="27"/>
  <c r="BN56" i="27"/>
  <c r="BN20" i="27"/>
  <c r="BN40" i="27"/>
  <c r="BM49" i="27"/>
  <c r="BN55" i="27"/>
  <c r="BN38" i="27"/>
  <c r="BM29" i="27"/>
  <c r="BM16" i="27"/>
  <c r="BM58" i="27"/>
  <c r="BI30" i="27"/>
  <c r="BJ30" i="27" s="1"/>
  <c r="BI55" i="27"/>
  <c r="BJ55" i="27" s="1"/>
  <c r="BI43" i="27"/>
  <c r="BJ43" i="27" s="1"/>
  <c r="BI23" i="27"/>
  <c r="BJ23" i="27" s="1"/>
  <c r="BI28" i="27"/>
  <c r="BJ28" i="27" s="1"/>
  <c r="BI32" i="27"/>
  <c r="BJ32" i="27" s="1"/>
  <c r="BI22" i="27"/>
  <c r="BJ22" i="27" s="1"/>
  <c r="BI39" i="27"/>
  <c r="BJ39" i="27" s="1"/>
  <c r="BI10" i="27"/>
  <c r="BJ10" i="27" s="1"/>
  <c r="BI8" i="27"/>
  <c r="BJ8" i="27" s="1"/>
  <c r="BI14" i="27"/>
  <c r="BJ14" i="27" s="1"/>
  <c r="BI52" i="27"/>
  <c r="BJ52" i="27" s="1"/>
  <c r="BI57" i="27"/>
  <c r="BJ57" i="27" s="1"/>
  <c r="BI20" i="27"/>
  <c r="BJ20" i="27" s="1"/>
  <c r="BI17" i="27"/>
  <c r="BJ17" i="27" s="1"/>
  <c r="BI33" i="27"/>
  <c r="BJ33" i="27" s="1"/>
  <c r="BI31" i="27"/>
  <c r="BJ31" i="27" s="1"/>
  <c r="BI58" i="27"/>
  <c r="BJ58" i="27" s="1"/>
  <c r="BI38" i="27"/>
  <c r="BJ38" i="27" s="1"/>
  <c r="BI53" i="27"/>
  <c r="BJ53" i="27" s="1"/>
  <c r="BI29" i="27"/>
  <c r="BJ29" i="27" s="1"/>
  <c r="BI63" i="27"/>
  <c r="BJ63" i="27" s="1"/>
  <c r="BI37" i="27"/>
  <c r="BJ37" i="27" s="1"/>
  <c r="BI9" i="27"/>
  <c r="BJ9" i="27" s="1"/>
  <c r="BI12" i="27"/>
  <c r="BJ12" i="27" s="1"/>
  <c r="BI35" i="27"/>
  <c r="BJ35" i="27" s="1"/>
  <c r="BI59" i="27"/>
  <c r="BJ59" i="27" s="1"/>
  <c r="BI51" i="27"/>
  <c r="BJ51" i="27" s="1"/>
  <c r="BI18" i="27"/>
  <c r="BJ18" i="27" s="1"/>
  <c r="BI13" i="27"/>
  <c r="BJ13" i="27" s="1"/>
  <c r="BI36" i="27"/>
  <c r="BJ36" i="27" s="1"/>
  <c r="BI62" i="27"/>
  <c r="BJ62" i="27" s="1"/>
  <c r="BI48" i="27"/>
  <c r="BJ48" i="27" s="1"/>
  <c r="BI42" i="27"/>
  <c r="BJ42" i="27" s="1"/>
  <c r="BI54" i="27"/>
  <c r="BJ54" i="27" s="1"/>
  <c r="BI60" i="27"/>
  <c r="BJ60" i="27" s="1"/>
  <c r="BI15" i="27"/>
  <c r="BJ15" i="27" s="1"/>
  <c r="BI49" i="27"/>
  <c r="BJ49" i="27" s="1"/>
  <c r="BI50" i="27"/>
  <c r="BJ50" i="27" s="1"/>
  <c r="BI21" i="27"/>
  <c r="BJ21" i="27" s="1"/>
  <c r="BI16" i="27"/>
  <c r="BJ16" i="27" s="1"/>
  <c r="BI40" i="27"/>
  <c r="BJ40" i="27" s="1"/>
  <c r="BI11" i="27"/>
  <c r="BJ11" i="27" s="1"/>
  <c r="BI61" i="27"/>
  <c r="BJ61" i="27" s="1"/>
  <c r="BI56" i="27"/>
  <c r="BJ56" i="27" s="1"/>
  <c r="BI41" i="27"/>
  <c r="BJ41" i="27" s="1"/>
  <c r="AN4" i="93"/>
  <c r="AN7" i="93"/>
  <c r="AN5" i="93"/>
  <c r="AN6" i="93"/>
  <c r="AK4" i="27"/>
  <c r="AM4" i="27" s="1"/>
  <c r="AC7" i="92"/>
  <c r="AE6" i="92"/>
  <c r="AE5" i="92"/>
  <c r="AE4" i="92"/>
  <c r="AE7" i="93"/>
  <c r="AE6" i="93"/>
  <c r="AE5" i="93"/>
  <c r="AA5" i="94" a="1"/>
  <c r="AA5" i="94" s="1"/>
  <c r="AA4" i="94" a="1"/>
  <c r="AA4" i="94" s="1"/>
  <c r="AF4" i="93" s="1"/>
  <c r="AO4" i="93" s="1" a="1"/>
  <c r="AO4" i="93" s="1"/>
  <c r="AA6" i="94" a="1"/>
  <c r="AA6" i="94" s="1"/>
  <c r="AJ7" i="93" a="1"/>
  <c r="AJ7" i="93" s="1"/>
  <c r="AJ4" i="93" a="1"/>
  <c r="AJ4" i="93" s="1"/>
  <c r="AU7" i="93"/>
  <c r="AU6" i="93"/>
  <c r="AU5" i="93"/>
  <c r="AU4" i="93"/>
  <c r="BE4" i="27" s="1"/>
  <c r="AK6" i="93" a="1"/>
  <c r="AK6" i="93" s="1"/>
  <c r="AL6" i="93" s="1" a="1"/>
  <c r="AL6" i="93" s="1"/>
  <c r="AK5" i="93" a="1"/>
  <c r="AK5" i="93" s="1"/>
  <c r="AL5" i="93" s="1" a="1"/>
  <c r="AL5" i="93" s="1"/>
  <c r="V11" i="108"/>
  <c r="X12" i="112"/>
  <c r="Q6" i="108"/>
  <c r="R7" i="110" a="1"/>
  <c r="R7" i="110" s="1"/>
  <c r="Z12" i="112"/>
  <c r="AE4" i="105" a="1"/>
  <c r="AE4" i="105" s="1"/>
  <c r="Y12" i="112"/>
  <c r="T12" i="110" a="1"/>
  <c r="T12" i="110" s="1"/>
  <c r="AB4" i="105" a="1"/>
  <c r="AB4" i="105" s="1"/>
  <c r="Y8" i="105" a="1"/>
  <c r="Y8" i="105" s="1"/>
  <c r="AG8" i="105" a="1"/>
  <c r="AG8" i="105" s="1"/>
  <c r="AH8" i="105" a="1"/>
  <c r="AH8" i="105" s="1"/>
  <c r="AE5" i="105" a="1"/>
  <c r="AE5" i="105" s="1"/>
  <c r="Q12" i="108"/>
  <c r="V14" i="110" a="1"/>
  <c r="V14" i="110" s="1"/>
  <c r="P7" i="110" a="1"/>
  <c r="P7" i="110" s="1"/>
  <c r="X13" i="112"/>
  <c r="AH5" i="105" a="1"/>
  <c r="AH5" i="105" s="1"/>
  <c r="P11" i="108"/>
  <c r="Q14" i="110" a="1"/>
  <c r="Q14" i="110" s="1"/>
  <c r="AA12" i="112"/>
  <c r="Y6" i="105" a="1"/>
  <c r="Y6" i="105" s="1"/>
  <c r="V12" i="108"/>
  <c r="U10" i="108"/>
  <c r="AG6" i="105" a="1"/>
  <c r="AG6" i="105" s="1"/>
  <c r="R10" i="108"/>
  <c r="AH6" i="105" a="1"/>
  <c r="AH6" i="105" s="1"/>
  <c r="V13" i="108"/>
  <c r="R8" i="108"/>
  <c r="V13" i="110" a="1"/>
  <c r="V13" i="110" s="1"/>
  <c r="Z7" i="105" a="1"/>
  <c r="Z7" i="105" s="1"/>
  <c r="P8" i="108"/>
  <c r="S13" i="110" a="1"/>
  <c r="S13" i="110" s="1"/>
  <c r="AC7" i="105" a="1"/>
  <c r="AC7" i="105" s="1"/>
  <c r="Q7" i="108"/>
  <c r="AH7" i="105" a="1"/>
  <c r="AH7" i="105" s="1"/>
  <c r="V14" i="108"/>
  <c r="V12" i="110" a="1"/>
  <c r="V12" i="110" s="1"/>
  <c r="R14" i="108"/>
  <c r="X15" i="112"/>
  <c r="AA8" i="105" a="1"/>
  <c r="AA8" i="105" s="1"/>
  <c r="P14" i="108"/>
  <c r="Z4" i="105" a="1"/>
  <c r="Z4" i="105" s="1"/>
  <c r="AD8" i="105" a="1"/>
  <c r="AD8" i="105" s="1"/>
  <c r="V11" i="110" a="1"/>
  <c r="V11" i="110" s="1"/>
  <c r="T11" i="110" a="1"/>
  <c r="T11" i="110" s="1"/>
  <c r="S10" i="110" a="1"/>
  <c r="S10" i="110" s="1"/>
  <c r="X14" i="112"/>
  <c r="AH4" i="105" a="1"/>
  <c r="AH4" i="105" s="1"/>
  <c r="R13" i="108"/>
  <c r="Q10" i="110" a="1"/>
  <c r="Q10" i="110" s="1"/>
  <c r="P13" i="108"/>
  <c r="Q9" i="110" a="1"/>
  <c r="Q9" i="110" s="1"/>
  <c r="AF8" i="105" a="1"/>
  <c r="AF8" i="105" s="1"/>
  <c r="AB7" i="105" a="1"/>
  <c r="AB7" i="105" s="1"/>
  <c r="X6" i="105" a="1"/>
  <c r="X6" i="105" s="1"/>
  <c r="AG4" i="105" a="1"/>
  <c r="AG4" i="105" s="1"/>
  <c r="AE8" i="105" a="1"/>
  <c r="AE8" i="105" s="1"/>
  <c r="AA7" i="105" a="1"/>
  <c r="AA7" i="105" s="1"/>
  <c r="AF4" i="105" a="1"/>
  <c r="AF4" i="105" s="1"/>
  <c r="AC8" i="105" a="1"/>
  <c r="AC8" i="105" s="1"/>
  <c r="Y7" i="105" a="1"/>
  <c r="Y7" i="105" s="1"/>
  <c r="AG5" i="105" a="1"/>
  <c r="AG5" i="105" s="1"/>
  <c r="AD4" i="105" a="1"/>
  <c r="AD4" i="105" s="1"/>
  <c r="AB8" i="105" a="1"/>
  <c r="AB8" i="105" s="1"/>
  <c r="X7" i="105" a="1"/>
  <c r="X7" i="105" s="1"/>
  <c r="AF5" i="105" a="1"/>
  <c r="AF5" i="105" s="1"/>
  <c r="AC4" i="105" a="1"/>
  <c r="AC4" i="105" s="1"/>
  <c r="Z8" i="105" a="1"/>
  <c r="Z8" i="105" s="1"/>
  <c r="AD5" i="105" a="1"/>
  <c r="AD5" i="105" s="1"/>
  <c r="AA4" i="105" a="1"/>
  <c r="AA4" i="105" s="1"/>
  <c r="X8" i="105" a="1"/>
  <c r="X8" i="105" s="1"/>
  <c r="AF6" i="105" a="1"/>
  <c r="AF6" i="105" s="1"/>
  <c r="AB5" i="105" a="1"/>
  <c r="AB5" i="105" s="1"/>
  <c r="Y4" i="105" a="1"/>
  <c r="Y4" i="105" s="1"/>
  <c r="AE6" i="105" a="1"/>
  <c r="AE6" i="105" s="1"/>
  <c r="AA5" i="105" a="1"/>
  <c r="AA5" i="105" s="1"/>
  <c r="X4" i="105" a="1"/>
  <c r="X4" i="105" s="1"/>
  <c r="AD6" i="105" a="1"/>
  <c r="AD6" i="105" s="1"/>
  <c r="Z5" i="105" a="1"/>
  <c r="Z5" i="105" s="1"/>
  <c r="AG7" i="105" a="1"/>
  <c r="AG7" i="105" s="1"/>
  <c r="AC6" i="105" a="1"/>
  <c r="AC6" i="105" s="1"/>
  <c r="Y5" i="105" a="1"/>
  <c r="Y5" i="105" s="1"/>
  <c r="W3" i="105"/>
  <c r="AF7" i="105" a="1"/>
  <c r="AF7" i="105" s="1"/>
  <c r="AB6" i="105" a="1"/>
  <c r="AB6" i="105" s="1"/>
  <c r="X5" i="105" a="1"/>
  <c r="X5" i="105" s="1"/>
  <c r="O3" i="108"/>
  <c r="O6" i="108" s="1"/>
  <c r="R12" i="108"/>
  <c r="S12" i="108"/>
  <c r="U12" i="108"/>
  <c r="Q14" i="108"/>
  <c r="Q13" i="108"/>
  <c r="S14" i="108"/>
  <c r="Q11" i="108"/>
  <c r="S13" i="108"/>
  <c r="T14" i="108"/>
  <c r="R11" i="108"/>
  <c r="T13" i="108"/>
  <c r="U14" i="108"/>
  <c r="S11" i="108"/>
  <c r="U13" i="108"/>
  <c r="T11" i="108"/>
  <c r="U11" i="108"/>
  <c r="U11" i="110" a="1"/>
  <c r="U11" i="110" s="1"/>
  <c r="T13" i="110" a="1"/>
  <c r="T13" i="110" s="1"/>
  <c r="U13" i="110" a="1"/>
  <c r="U13" i="110" s="1"/>
  <c r="P6" i="110" a="1"/>
  <c r="P6" i="110" s="1"/>
  <c r="T9" i="110" a="1"/>
  <c r="T9" i="110" s="1"/>
  <c r="N4" i="108"/>
  <c r="P10" i="108"/>
  <c r="P7" i="108"/>
  <c r="Q10" i="108"/>
  <c r="R7" i="108"/>
  <c r="S10" i="108"/>
  <c r="T10" i="108"/>
  <c r="Q8" i="108"/>
  <c r="S8" i="108"/>
  <c r="P9" i="108"/>
  <c r="Q9" i="108"/>
  <c r="P5" i="108"/>
  <c r="R9" i="108"/>
  <c r="P5" i="110" a="1"/>
  <c r="P5" i="110" s="1"/>
  <c r="R9" i="110" a="1"/>
  <c r="R9" i="110" s="1"/>
  <c r="S9" i="110" a="1"/>
  <c r="S9" i="110" s="1"/>
  <c r="Z6" i="105" a="1"/>
  <c r="Z6" i="105" s="1"/>
  <c r="AD7" i="105" a="1"/>
  <c r="AD7" i="105" s="1"/>
  <c r="P12" i="108"/>
  <c r="T9" i="108"/>
  <c r="P6" i="108"/>
  <c r="R13" i="110" a="1"/>
  <c r="R13" i="110" s="1"/>
  <c r="S11" i="110" a="1"/>
  <c r="S11" i="110" s="1"/>
  <c r="P9" i="110" a="1"/>
  <c r="P9" i="110" s="1"/>
  <c r="AA6" i="105" a="1"/>
  <c r="AA6" i="105" s="1"/>
  <c r="AE7" i="105" a="1"/>
  <c r="AE7" i="105" s="1"/>
  <c r="S9" i="108"/>
  <c r="Q13" i="110" a="1"/>
  <c r="Q13" i="110" s="1"/>
  <c r="R11" i="110" a="1"/>
  <c r="R11" i="110" s="1"/>
  <c r="P13" i="110" a="1"/>
  <c r="P13" i="110" s="1"/>
  <c r="Q11" i="110" a="1"/>
  <c r="Q11" i="110" s="1"/>
  <c r="S8" i="110" a="1"/>
  <c r="S8" i="110" s="1"/>
  <c r="U14" i="110" a="1"/>
  <c r="U14" i="110" s="1"/>
  <c r="P11" i="110" a="1"/>
  <c r="P11" i="110" s="1"/>
  <c r="R8" i="110" a="1"/>
  <c r="R8" i="110" s="1"/>
  <c r="T14" i="110" a="1"/>
  <c r="T14" i="110" s="1"/>
  <c r="Q8" i="110" a="1"/>
  <c r="Q8" i="110" s="1"/>
  <c r="S14" i="110" a="1"/>
  <c r="S14" i="110" s="1"/>
  <c r="U10" i="110" a="1"/>
  <c r="U10" i="110" s="1"/>
  <c r="P8" i="110" a="1"/>
  <c r="P8" i="110" s="1"/>
  <c r="R14" i="110" a="1"/>
  <c r="R14" i="110" s="1"/>
  <c r="U12" i="110" a="1"/>
  <c r="U12" i="110" s="1"/>
  <c r="T10" i="110" a="1"/>
  <c r="T10" i="110" s="1"/>
  <c r="P14" i="110" a="1"/>
  <c r="P14" i="110" s="1"/>
  <c r="S12" i="110" a="1"/>
  <c r="S12" i="110" s="1"/>
  <c r="R10" i="110" a="1"/>
  <c r="R10" i="110" s="1"/>
  <c r="Q7" i="110" a="1"/>
  <c r="Q7" i="110" s="1"/>
  <c r="Q12" i="110" a="1"/>
  <c r="Q12" i="110" s="1"/>
  <c r="P10" i="110" a="1"/>
  <c r="P10" i="110" s="1"/>
  <c r="P12" i="110" a="1"/>
  <c r="P12" i="110" s="1"/>
  <c r="Q6" i="110" a="1"/>
  <c r="Q6" i="110" s="1"/>
  <c r="AD5" i="93"/>
  <c r="AL6" i="92"/>
  <c r="AA5" i="92"/>
  <c r="AF4" i="92"/>
  <c r="D20" i="100" a="1"/>
  <c r="D20" i="100" s="1"/>
  <c r="D75" i="100" a="1"/>
  <c r="D75" i="100" s="1"/>
  <c r="D40" i="100" a="1"/>
  <c r="D40" i="100" s="1"/>
  <c r="D64" i="100" a="1"/>
  <c r="D64" i="100" s="1"/>
  <c r="D28" i="100" a="1"/>
  <c r="D28" i="100" s="1"/>
  <c r="D72" i="100" a="1"/>
  <c r="D72" i="100" s="1"/>
  <c r="D25" i="100" a="1"/>
  <c r="D25" i="100" s="1"/>
  <c r="D35" i="100" a="1"/>
  <c r="D35" i="100" s="1"/>
  <c r="D43" i="100" a="1"/>
  <c r="D43" i="100" s="1"/>
  <c r="D33" i="100" a="1"/>
  <c r="D33" i="100" s="1"/>
  <c r="D51" i="100" a="1"/>
  <c r="D51" i="100" s="1"/>
  <c r="D59" i="100" a="1"/>
  <c r="D59" i="100" s="1"/>
  <c r="D48" i="100" a="1"/>
  <c r="D48" i="100" s="1"/>
  <c r="D67" i="100" a="1"/>
  <c r="D67" i="100" s="1"/>
  <c r="D56" i="100" a="1"/>
  <c r="D56" i="100" s="1"/>
  <c r="I13" i="108"/>
  <c r="I14" i="108"/>
  <c r="I11" i="110" a="1"/>
  <c r="I11" i="110" s="1"/>
  <c r="J14" i="112"/>
  <c r="J13" i="112"/>
  <c r="M3" i="105"/>
  <c r="J15" i="112"/>
  <c r="I14" i="110" a="1"/>
  <c r="I14" i="110" s="1"/>
  <c r="I11" i="108"/>
  <c r="I13" i="110" a="1"/>
  <c r="I13" i="110" s="1"/>
  <c r="I12" i="110" a="1"/>
  <c r="I12" i="110" s="1"/>
  <c r="M12" i="112"/>
  <c r="L12" i="112"/>
  <c r="K12" i="112"/>
  <c r="J12" i="112"/>
  <c r="G14" i="108"/>
  <c r="E12" i="108"/>
  <c r="D36" i="100" a="1"/>
  <c r="D36" i="100" s="1"/>
  <c r="D76" i="100" a="1"/>
  <c r="D76" i="100" s="1"/>
  <c r="C24" i="100" a="1"/>
  <c r="C24" i="100" s="1"/>
  <c r="C34" i="100" a="1"/>
  <c r="C34" i="100" s="1"/>
  <c r="C39" i="100" a="1"/>
  <c r="C39" i="100" s="1"/>
  <c r="C47" i="100" a="1"/>
  <c r="C47" i="100" s="1"/>
  <c r="C55" i="100" a="1"/>
  <c r="C55" i="100" s="1"/>
  <c r="C63" i="100" a="1"/>
  <c r="C63" i="100" s="1"/>
  <c r="C71" i="100" a="1"/>
  <c r="C71" i="100" s="1"/>
  <c r="D44" i="100" a="1"/>
  <c r="D44" i="100" s="1"/>
  <c r="C32" i="100" a="1"/>
  <c r="C32" i="100" s="1"/>
  <c r="D34" i="100" a="1"/>
  <c r="D34" i="100" s="1"/>
  <c r="D39" i="100" a="1"/>
  <c r="D39" i="100" s="1"/>
  <c r="D47" i="100" a="1"/>
  <c r="D47" i="100" s="1"/>
  <c r="D55" i="100" a="1"/>
  <c r="D55" i="100" s="1"/>
  <c r="D63" i="100" a="1"/>
  <c r="D63" i="100" s="1"/>
  <c r="D71" i="100" a="1"/>
  <c r="D71" i="100" s="1"/>
  <c r="C27" i="100" a="1"/>
  <c r="C27" i="100" s="1"/>
  <c r="D32" i="100" a="1"/>
  <c r="D32" i="100" s="1"/>
  <c r="C42" i="100" a="1"/>
  <c r="C42" i="100" s="1"/>
  <c r="C50" i="100" a="1"/>
  <c r="C50" i="100" s="1"/>
  <c r="C58" i="100" a="1"/>
  <c r="C58" i="100" s="1"/>
  <c r="C66" i="100" a="1"/>
  <c r="C66" i="100" s="1"/>
  <c r="C74" i="100" a="1"/>
  <c r="C74" i="100" s="1"/>
  <c r="D21" i="100" a="1"/>
  <c r="D21" i="100" s="1"/>
  <c r="D24" i="100" a="1"/>
  <c r="D24" i="100" s="1"/>
  <c r="C19" i="100" a="1"/>
  <c r="C19" i="100" s="1"/>
  <c r="D19" i="100" a="1"/>
  <c r="D19" i="100" s="1"/>
  <c r="D27" i="100" a="1"/>
  <c r="D27" i="100" s="1"/>
  <c r="D42" i="100" a="1"/>
  <c r="D42" i="100" s="1"/>
  <c r="D50" i="100" a="1"/>
  <c r="D50" i="100" s="1"/>
  <c r="D58" i="100" a="1"/>
  <c r="D58" i="100" s="1"/>
  <c r="D66" i="100" a="1"/>
  <c r="D66" i="100" s="1"/>
  <c r="D74" i="100" a="1"/>
  <c r="D74" i="100" s="1"/>
  <c r="D29" i="100" a="1"/>
  <c r="D29" i="100" s="1"/>
  <c r="D52" i="100" a="1"/>
  <c r="D52" i="100" s="1"/>
  <c r="D68" i="100" a="1"/>
  <c r="D68" i="100" s="1"/>
  <c r="C22" i="100" a="1"/>
  <c r="C22" i="100" s="1"/>
  <c r="C30" i="100" a="1"/>
  <c r="C30" i="100" s="1"/>
  <c r="C37" i="100" a="1"/>
  <c r="C37" i="100" s="1"/>
  <c r="C45" i="100" a="1"/>
  <c r="C45" i="100" s="1"/>
  <c r="C53" i="100" a="1"/>
  <c r="C53" i="100" s="1"/>
  <c r="C61" i="100" a="1"/>
  <c r="C61" i="100" s="1"/>
  <c r="C69" i="100" a="1"/>
  <c r="C69" i="100" s="1"/>
  <c r="C77" i="100" a="1"/>
  <c r="C77" i="100" s="1"/>
  <c r="D60" i="100" a="1"/>
  <c r="D60" i="100" s="1"/>
  <c r="D22" i="100" a="1"/>
  <c r="D22" i="100" s="1"/>
  <c r="D30" i="100" a="1"/>
  <c r="D30" i="100" s="1"/>
  <c r="D37" i="100" a="1"/>
  <c r="D37" i="100" s="1"/>
  <c r="D45" i="100" a="1"/>
  <c r="D45" i="100" s="1"/>
  <c r="D53" i="100" a="1"/>
  <c r="D53" i="100" s="1"/>
  <c r="D61" i="100" a="1"/>
  <c r="D61" i="100" s="1"/>
  <c r="D69" i="100" a="1"/>
  <c r="D69" i="100" s="1"/>
  <c r="D77" i="100" a="1"/>
  <c r="D77" i="100" s="1"/>
  <c r="C25" i="100" a="1"/>
  <c r="C25" i="100" s="1"/>
  <c r="C40" i="100" a="1"/>
  <c r="C40" i="100" s="1"/>
  <c r="C48" i="100" a="1"/>
  <c r="C48" i="100" s="1"/>
  <c r="C56" i="100" a="1"/>
  <c r="C56" i="100" s="1"/>
  <c r="C64" i="100" a="1"/>
  <c r="C64" i="100" s="1"/>
  <c r="C72" i="100" a="1"/>
  <c r="C72" i="100" s="1"/>
  <c r="C20" i="100" a="1"/>
  <c r="C20" i="100" s="1"/>
  <c r="C28" i="100" a="1"/>
  <c r="C28" i="100" s="1"/>
  <c r="C33" i="100" a="1"/>
  <c r="C33" i="100" s="1"/>
  <c r="C35" i="100" a="1"/>
  <c r="C35" i="100" s="1"/>
  <c r="C43" i="100" a="1"/>
  <c r="C43" i="100" s="1"/>
  <c r="C51" i="100" a="1"/>
  <c r="C51" i="100" s="1"/>
  <c r="C59" i="100" a="1"/>
  <c r="C59" i="100" s="1"/>
  <c r="C67" i="100" a="1"/>
  <c r="C67" i="100" s="1"/>
  <c r="C75" i="100" a="1"/>
  <c r="C75" i="100" s="1"/>
  <c r="C23" i="100" a="1"/>
  <c r="C23" i="100" s="1"/>
  <c r="C38" i="100" a="1"/>
  <c r="C38" i="100" s="1"/>
  <c r="C46" i="100" a="1"/>
  <c r="C46" i="100" s="1"/>
  <c r="C54" i="100" a="1"/>
  <c r="C54" i="100" s="1"/>
  <c r="C62" i="100" a="1"/>
  <c r="C62" i="100" s="1"/>
  <c r="C70" i="100" a="1"/>
  <c r="C70" i="100" s="1"/>
  <c r="C31" i="100" a="1"/>
  <c r="C31" i="100" s="1"/>
  <c r="D23" i="100" a="1"/>
  <c r="D23" i="100" s="1"/>
  <c r="D31" i="100" a="1"/>
  <c r="D31" i="100" s="1"/>
  <c r="D38" i="100" a="1"/>
  <c r="D38" i="100" s="1"/>
  <c r="D46" i="100" a="1"/>
  <c r="D46" i="100" s="1"/>
  <c r="D54" i="100" a="1"/>
  <c r="D54" i="100" s="1"/>
  <c r="D62" i="100" a="1"/>
  <c r="D62" i="100" s="1"/>
  <c r="D70" i="100" a="1"/>
  <c r="D70" i="100" s="1"/>
  <c r="C41" i="100" a="1"/>
  <c r="C41" i="100" s="1"/>
  <c r="C49" i="100" a="1"/>
  <c r="C49" i="100" s="1"/>
  <c r="C57" i="100" a="1"/>
  <c r="C57" i="100" s="1"/>
  <c r="C65" i="100" a="1"/>
  <c r="C65" i="100" s="1"/>
  <c r="C73" i="100" a="1"/>
  <c r="C73" i="100" s="1"/>
  <c r="C18" i="100" a="1"/>
  <c r="C18" i="100" s="1"/>
  <c r="C26" i="100" a="1"/>
  <c r="C26" i="100" s="1"/>
  <c r="D18" i="100" a="1"/>
  <c r="D18" i="100" s="1"/>
  <c r="D26" i="100" a="1"/>
  <c r="D26" i="100" s="1"/>
  <c r="D41" i="100" a="1"/>
  <c r="D41" i="100" s="1"/>
  <c r="D49" i="100" a="1"/>
  <c r="D49" i="100" s="1"/>
  <c r="D57" i="100" a="1"/>
  <c r="D57" i="100" s="1"/>
  <c r="D65" i="100" a="1"/>
  <c r="D65" i="100" s="1"/>
  <c r="D73" i="100" a="1"/>
  <c r="D73" i="100" s="1"/>
  <c r="C21" i="100" a="1"/>
  <c r="C21" i="100" s="1"/>
  <c r="C29" i="100" a="1"/>
  <c r="C29" i="100" s="1"/>
  <c r="C36" i="100" a="1"/>
  <c r="C36" i="100" s="1"/>
  <c r="C44" i="100" a="1"/>
  <c r="C44" i="100" s="1"/>
  <c r="C52" i="100" a="1"/>
  <c r="C52" i="100" s="1"/>
  <c r="C60" i="100" a="1"/>
  <c r="C60" i="100" s="1"/>
  <c r="C68" i="100" a="1"/>
  <c r="C68" i="100" s="1"/>
  <c r="C76" i="100" a="1"/>
  <c r="C76" i="100" s="1"/>
  <c r="B3" i="108"/>
  <c r="B14" i="108" s="1"/>
  <c r="G12" i="108"/>
  <c r="H12" i="108"/>
  <c r="C13" i="108"/>
  <c r="AO4" i="27" a="1"/>
  <c r="AO4" i="27" s="1"/>
  <c r="D14" i="108"/>
  <c r="E14" i="108"/>
  <c r="F14" i="108"/>
  <c r="C5" i="110" a="1"/>
  <c r="C5" i="110" s="1"/>
  <c r="F11" i="110" a="1"/>
  <c r="F11" i="110" s="1"/>
  <c r="E11" i="110" a="1"/>
  <c r="E11" i="110" s="1"/>
  <c r="AK7" i="27"/>
  <c r="AM7" i="27" s="1"/>
  <c r="AJ7" i="27" a="1"/>
  <c r="AJ7" i="27" s="1"/>
  <c r="AN7" i="27" s="1" a="1"/>
  <c r="AN7" i="27" s="1"/>
  <c r="AK5" i="27"/>
  <c r="AM5" i="27" s="1"/>
  <c r="AJ5" i="27" a="1"/>
  <c r="AJ5" i="27" s="1"/>
  <c r="AN5" i="27" s="1" a="1"/>
  <c r="AN5" i="27" s="1"/>
  <c r="AJ6" i="27" a="1"/>
  <c r="AJ6" i="27" s="1"/>
  <c r="AN6" i="27" s="1" a="1"/>
  <c r="AN6" i="27" s="1"/>
  <c r="AK6" i="27"/>
  <c r="AM6" i="27" s="1"/>
  <c r="AO7" i="27" a="1"/>
  <c r="AO7" i="27" s="1"/>
  <c r="AO6" i="27" a="1"/>
  <c r="AO6" i="27" s="1"/>
  <c r="AO5" i="27" a="1"/>
  <c r="AO5" i="27" s="1"/>
  <c r="AJ4" i="27" a="1"/>
  <c r="AJ4" i="27" s="1"/>
  <c r="AN4" i="27" s="1" a="1"/>
  <c r="AN4" i="27" s="1"/>
  <c r="C11" i="110" a="1"/>
  <c r="C11" i="110" s="1"/>
  <c r="H14" i="108"/>
  <c r="G9" i="110" a="1"/>
  <c r="G9" i="110" s="1"/>
  <c r="E9" i="110" a="1"/>
  <c r="E9" i="110" s="1"/>
  <c r="H14" i="110" a="1"/>
  <c r="H14" i="110" s="1"/>
  <c r="F8" i="110" a="1"/>
  <c r="F8" i="110" s="1"/>
  <c r="F14" i="110" a="1"/>
  <c r="F14" i="110" s="1"/>
  <c r="D7" i="110" a="1"/>
  <c r="D7" i="110" s="1"/>
  <c r="C11" i="108"/>
  <c r="D13" i="108"/>
  <c r="D14" i="110" a="1"/>
  <c r="D14" i="110" s="1"/>
  <c r="D11" i="108"/>
  <c r="E13" i="108"/>
  <c r="H13" i="110" a="1"/>
  <c r="H13" i="110" s="1"/>
  <c r="E10" i="110" a="1"/>
  <c r="E10" i="110" s="1"/>
  <c r="E11" i="108"/>
  <c r="F13" i="108"/>
  <c r="G13" i="110" a="1"/>
  <c r="G13" i="110" s="1"/>
  <c r="F11" i="108"/>
  <c r="G13" i="108"/>
  <c r="E13" i="110" a="1"/>
  <c r="E13" i="110" s="1"/>
  <c r="C6" i="110" a="1"/>
  <c r="C6" i="110" s="1"/>
  <c r="G11" i="108"/>
  <c r="H13" i="108"/>
  <c r="C13" i="110" a="1"/>
  <c r="C13" i="110" s="1"/>
  <c r="H11" i="108"/>
  <c r="H12" i="110" a="1"/>
  <c r="H12" i="110" s="1"/>
  <c r="G10" i="110" a="1"/>
  <c r="G10" i="110" s="1"/>
  <c r="F12" i="110" a="1"/>
  <c r="F12" i="110" s="1"/>
  <c r="C12" i="108"/>
  <c r="D12" i="110" a="1"/>
  <c r="D12" i="110" s="1"/>
  <c r="D12" i="108"/>
  <c r="G11" i="110" a="1"/>
  <c r="G11" i="110" s="1"/>
  <c r="C10" i="110" a="1"/>
  <c r="C10" i="110" s="1"/>
  <c r="A6" i="100" a="1"/>
  <c r="F8" i="108"/>
  <c r="G9" i="108"/>
  <c r="C6" i="108"/>
  <c r="D8" i="108"/>
  <c r="C9" i="110" a="1"/>
  <c r="C9" i="110" s="1"/>
  <c r="A4" i="108"/>
  <c r="D9" i="108"/>
  <c r="E9" i="108"/>
  <c r="F9" i="108"/>
  <c r="D8" i="110" a="1"/>
  <c r="D8" i="110" s="1"/>
  <c r="C5" i="108"/>
  <c r="C9" i="108"/>
  <c r="C7" i="108"/>
  <c r="F10" i="108"/>
  <c r="C10" i="108"/>
  <c r="D10" i="108"/>
  <c r="B2" i="105"/>
  <c r="B3" i="105" s="1"/>
  <c r="K3" i="105"/>
  <c r="I3" i="105"/>
  <c r="G3" i="105"/>
  <c r="E3" i="105"/>
  <c r="C3" i="105"/>
  <c r="D7" i="108"/>
  <c r="G10" i="108"/>
  <c r="F3" i="105"/>
  <c r="D6" i="108"/>
  <c r="E7" i="108"/>
  <c r="H10" i="108"/>
  <c r="H3" i="105"/>
  <c r="E10" i="108"/>
  <c r="J3" i="105"/>
  <c r="A4" i="110"/>
  <c r="H10" i="110" a="1"/>
  <c r="H10" i="110" s="1"/>
  <c r="F9" i="110" a="1"/>
  <c r="F9" i="110" s="1"/>
  <c r="D6" i="110" a="1"/>
  <c r="D6" i="110" s="1"/>
  <c r="C7" i="110" a="1"/>
  <c r="C7" i="110" s="1"/>
  <c r="D10" i="110" a="1"/>
  <c r="D10" i="110" s="1"/>
  <c r="E7" i="110" a="1"/>
  <c r="E7" i="110" s="1"/>
  <c r="F10" i="110" a="1"/>
  <c r="F10" i="110" s="1"/>
  <c r="C8" i="110" a="1"/>
  <c r="C8" i="110" s="1"/>
  <c r="E8" i="110" a="1"/>
  <c r="E8" i="110" s="1"/>
  <c r="D9" i="110" a="1"/>
  <c r="D9" i="110" s="1"/>
  <c r="C8" i="108"/>
  <c r="L3" i="105"/>
  <c r="E8" i="108"/>
  <c r="F12" i="108"/>
  <c r="C14" i="108"/>
  <c r="C14" i="110" a="1"/>
  <c r="C14" i="110" s="1"/>
  <c r="H11" i="110" a="1"/>
  <c r="H11" i="110" s="1"/>
  <c r="F13" i="110" a="1"/>
  <c r="F13" i="110" s="1"/>
  <c r="D11" i="110" a="1"/>
  <c r="D11" i="110" s="1"/>
  <c r="D13" i="110" a="1"/>
  <c r="D13" i="110" s="1"/>
  <c r="G12" i="110" a="1"/>
  <c r="G12" i="110" s="1"/>
  <c r="G14" i="110" a="1"/>
  <c r="G14" i="110" s="1"/>
  <c r="E12" i="110" a="1"/>
  <c r="E12" i="110" s="1"/>
  <c r="E14" i="110" a="1"/>
  <c r="E14" i="110" s="1"/>
  <c r="V14" i="112"/>
  <c r="U14" i="112"/>
  <c r="K11" i="112"/>
  <c r="W14" i="112"/>
  <c r="W11" i="112"/>
  <c r="H13" i="112"/>
  <c r="T14" i="112"/>
  <c r="G13" i="112"/>
  <c r="H10" i="112"/>
  <c r="F13" i="112"/>
  <c r="D6" i="112"/>
  <c r="E13" i="112"/>
  <c r="AA9" i="112"/>
  <c r="Z8" i="112"/>
  <c r="E15" i="112"/>
  <c r="S13" i="112"/>
  <c r="Y8" i="112"/>
  <c r="D15" i="112"/>
  <c r="R13" i="112"/>
  <c r="C15" i="112"/>
  <c r="M8" i="112"/>
  <c r="L8" i="112"/>
  <c r="L7" i="112"/>
  <c r="I13" i="112"/>
  <c r="M11" i="112"/>
  <c r="K7" i="112"/>
  <c r="Y11" i="112"/>
  <c r="S7" i="112"/>
  <c r="L11" i="112"/>
  <c r="S14" i="112"/>
  <c r="Z9" i="112"/>
  <c r="AA6" i="112"/>
  <c r="D13" i="112"/>
  <c r="K8" i="112"/>
  <c r="W15" i="112"/>
  <c r="R14" i="112"/>
  <c r="Y9" i="112"/>
  <c r="T8" i="112"/>
  <c r="Z6" i="112"/>
  <c r="I14" i="112"/>
  <c r="C13" i="112"/>
  <c r="I11" i="112"/>
  <c r="E7" i="112"/>
  <c r="V15" i="112"/>
  <c r="Y6" i="112"/>
  <c r="H14" i="112"/>
  <c r="U15" i="112"/>
  <c r="Q4" i="112"/>
  <c r="G14" i="112"/>
  <c r="M9" i="112"/>
  <c r="T15" i="112"/>
  <c r="AA10" i="112"/>
  <c r="F14" i="112"/>
  <c r="L9" i="112"/>
  <c r="M6" i="112"/>
  <c r="S15" i="112"/>
  <c r="Z10" i="112"/>
  <c r="U9" i="112"/>
  <c r="AA7" i="112"/>
  <c r="E14" i="112"/>
  <c r="K9" i="112"/>
  <c r="F8" i="112"/>
  <c r="L6" i="112"/>
  <c r="R15" i="112"/>
  <c r="Y10" i="112"/>
  <c r="Z7" i="112"/>
  <c r="I15" i="112"/>
  <c r="D14" i="112"/>
  <c r="K6" i="112"/>
  <c r="W13" i="112"/>
  <c r="Y7" i="112"/>
  <c r="H15" i="112"/>
  <c r="V13" i="112"/>
  <c r="G15" i="112"/>
  <c r="M10" i="112"/>
  <c r="U13" i="112"/>
  <c r="AA11" i="112"/>
  <c r="V10" i="112"/>
  <c r="R6" i="112"/>
  <c r="F15" i="112"/>
  <c r="L10" i="112"/>
  <c r="G9" i="112"/>
  <c r="M7" i="112"/>
  <c r="Z11" i="112"/>
  <c r="AA8" i="112"/>
  <c r="B5" i="112"/>
  <c r="P5" i="112"/>
  <c r="V6" i="105"/>
  <c r="V5" i="105"/>
  <c r="V8" i="105"/>
  <c r="V4" i="105"/>
  <c r="V7" i="105"/>
  <c r="AL1" i="27"/>
  <c r="B3" i="110"/>
  <c r="B5" i="110" s="1" a="1"/>
  <c r="B5" i="110" s="1"/>
  <c r="N4" i="110"/>
  <c r="O3" i="110"/>
  <c r="O8" i="110" s="1" a="1"/>
  <c r="O8" i="110" s="1"/>
  <c r="BE44" i="27" l="1"/>
  <c r="BE24" i="27"/>
  <c r="BE5" i="27"/>
  <c r="BE45" i="27"/>
  <c r="BE25" i="27"/>
  <c r="BE6" i="27"/>
  <c r="BE46" i="27"/>
  <c r="BE26" i="27"/>
  <c r="BE47" i="27"/>
  <c r="BE7" i="27"/>
  <c r="BE27" i="27"/>
  <c r="BA26" i="27" a="1"/>
  <c r="BA26" i="27" s="1"/>
  <c r="BB26" i="27" a="1"/>
  <c r="BB26" i="27" s="1"/>
  <c r="AS7" i="27"/>
  <c r="AT7" i="27" s="1" a="1"/>
  <c r="AT7" i="27" s="1"/>
  <c r="AS5" i="27"/>
  <c r="AT5" i="27" s="1" a="1"/>
  <c r="AT5" i="27" s="1"/>
  <c r="AP4" i="93"/>
  <c r="AF7" i="93"/>
  <c r="AF5" i="93"/>
  <c r="AF6" i="93"/>
  <c r="AQ4" i="27"/>
  <c r="AQ6" i="27"/>
  <c r="AS6" i="27"/>
  <c r="AT6" i="27" s="1" a="1"/>
  <c r="AT6" i="27" s="1"/>
  <c r="F17" i="100" a="1"/>
  <c r="F17" i="100" s="1"/>
  <c r="E17" i="100" a="1"/>
  <c r="E17" i="100" s="1"/>
  <c r="B17" i="100" a="1"/>
  <c r="B17" i="100" s="1"/>
  <c r="C17" i="100" a="1"/>
  <c r="C17" i="100" s="1"/>
  <c r="D17" i="100" a="1"/>
  <c r="D17" i="100" s="1"/>
  <c r="F16" i="100" a="1"/>
  <c r="F16" i="100" s="1"/>
  <c r="B16" i="100" a="1"/>
  <c r="B16" i="100" s="1"/>
  <c r="E16" i="100" a="1"/>
  <c r="E16" i="100" s="1"/>
  <c r="C16" i="100" a="1"/>
  <c r="C16" i="100" s="1"/>
  <c r="D16" i="100" a="1"/>
  <c r="D16" i="100" s="1"/>
  <c r="AK7" i="92"/>
  <c r="AD6" i="93"/>
  <c r="AC7" i="93"/>
  <c r="AC5" i="93"/>
  <c r="AC6" i="93"/>
  <c r="AD7" i="93"/>
  <c r="AM4" i="92"/>
  <c r="F15" i="100" a="1"/>
  <c r="F15" i="100" s="1"/>
  <c r="E15" i="100" a="1"/>
  <c r="E15" i="100" s="1"/>
  <c r="B15" i="100" a="1"/>
  <c r="B15" i="100" s="1"/>
  <c r="D15" i="100" a="1"/>
  <c r="D15" i="100" s="1"/>
  <c r="C15" i="100" a="1"/>
  <c r="C15" i="100" s="1"/>
  <c r="AM6" i="92"/>
  <c r="AM5" i="92"/>
  <c r="AE9" i="105"/>
  <c r="AB9" i="105"/>
  <c r="AH9" i="105"/>
  <c r="AG9" i="105"/>
  <c r="AD9" i="105"/>
  <c r="AA9" i="105"/>
  <c r="O9" i="108"/>
  <c r="O5" i="108"/>
  <c r="X11" i="112"/>
  <c r="O8" i="108"/>
  <c r="AC9" i="105"/>
  <c r="Y9" i="105"/>
  <c r="AF9" i="105"/>
  <c r="X9" i="105"/>
  <c r="Z9" i="105"/>
  <c r="U12" i="112"/>
  <c r="O7" i="108"/>
  <c r="O4" i="108"/>
  <c r="V12" i="112"/>
  <c r="X8" i="112"/>
  <c r="O6" i="110" a="1"/>
  <c r="O6" i="110" s="1"/>
  <c r="W6" i="105" a="1"/>
  <c r="W6" i="105" s="1"/>
  <c r="W7" i="105" a="1"/>
  <c r="W7" i="105" s="1"/>
  <c r="W8" i="105" a="1"/>
  <c r="W8" i="105" s="1"/>
  <c r="W4" i="105" a="1"/>
  <c r="W4" i="105" s="1"/>
  <c r="W5" i="105" a="1"/>
  <c r="W5" i="105" s="1"/>
  <c r="X10" i="112"/>
  <c r="T12" i="112"/>
  <c r="W12" i="112"/>
  <c r="X9" i="112"/>
  <c r="AB27" i="105"/>
  <c r="O12" i="110" a="1"/>
  <c r="O12" i="110" s="1"/>
  <c r="O10" i="110" a="1"/>
  <c r="O10" i="110" s="1"/>
  <c r="O7" i="110" a="1"/>
  <c r="O7" i="110" s="1"/>
  <c r="O14" i="110" a="1"/>
  <c r="O14" i="110" s="1"/>
  <c r="O11" i="110" a="1"/>
  <c r="O11" i="110" s="1"/>
  <c r="O13" i="110" a="1"/>
  <c r="O13" i="110" s="1"/>
  <c r="O9" i="110" a="1"/>
  <c r="O9" i="110" s="1"/>
  <c r="O5" i="110" a="1"/>
  <c r="O5" i="110" s="1"/>
  <c r="O4" i="110" a="1"/>
  <c r="O4" i="110" s="1"/>
  <c r="X7" i="112"/>
  <c r="R12" i="112"/>
  <c r="O14" i="108"/>
  <c r="O13" i="108"/>
  <c r="O11" i="108"/>
  <c r="O10" i="108"/>
  <c r="O12" i="108"/>
  <c r="X6" i="112"/>
  <c r="S12" i="112"/>
  <c r="AC5" i="92"/>
  <c r="AK5" i="92"/>
  <c r="AD5" i="92"/>
  <c r="AL5" i="92"/>
  <c r="AC6" i="92"/>
  <c r="AK6" i="92"/>
  <c r="AB6" i="92"/>
  <c r="AJ6" i="92"/>
  <c r="AB5" i="92"/>
  <c r="AJ5" i="92"/>
  <c r="AD4" i="92"/>
  <c r="AL4" i="92"/>
  <c r="AB7" i="92"/>
  <c r="AJ7" i="92"/>
  <c r="AE7" i="92"/>
  <c r="AM7" i="92"/>
  <c r="AB4" i="92"/>
  <c r="AJ4" i="92"/>
  <c r="AD7" i="92"/>
  <c r="AL7" i="92"/>
  <c r="AC4" i="92"/>
  <c r="AK4" i="92"/>
  <c r="AD6" i="92"/>
  <c r="AI5" i="92"/>
  <c r="AN7" i="92"/>
  <c r="AF7" i="92"/>
  <c r="AO7" i="92"/>
  <c r="AG7" i="92"/>
  <c r="AI7" i="92"/>
  <c r="AA7" i="92"/>
  <c r="AH7" i="92"/>
  <c r="AP7" i="92"/>
  <c r="AP4" i="92"/>
  <c r="AH4" i="92"/>
  <c r="AH5" i="92"/>
  <c r="AP5" i="92"/>
  <c r="AI6" i="92"/>
  <c r="BA6" i="27" s="1" a="1"/>
  <c r="BA6" i="27" s="1"/>
  <c r="AA6" i="92"/>
  <c r="AF5" i="92"/>
  <c r="AN5" i="92"/>
  <c r="AO6" i="92"/>
  <c r="AG6" i="92"/>
  <c r="AG5" i="92"/>
  <c r="AO5" i="92"/>
  <c r="AG4" i="92"/>
  <c r="AO4" i="92"/>
  <c r="AP6" i="92"/>
  <c r="AH6" i="92"/>
  <c r="AI4" i="92"/>
  <c r="AA4" i="92"/>
  <c r="AN6" i="92"/>
  <c r="AF6" i="92"/>
  <c r="AN4" i="92"/>
  <c r="AS4" i="27"/>
  <c r="AT4" i="27" s="1" a="1"/>
  <c r="AT4" i="27" s="1"/>
  <c r="B13" i="108"/>
  <c r="B8" i="108"/>
  <c r="B6" i="108"/>
  <c r="B4" i="108"/>
  <c r="B7" i="108"/>
  <c r="B5" i="108"/>
  <c r="B11" i="108"/>
  <c r="B12" i="108"/>
  <c r="B10" i="108"/>
  <c r="B9" i="108"/>
  <c r="AQ7" i="27"/>
  <c r="J27" i="105"/>
  <c r="AR4" i="27"/>
  <c r="AU4" i="27" a="1"/>
  <c r="AU4" i="27" s="1"/>
  <c r="AP4" i="27" a="1"/>
  <c r="AP4" i="27" s="1"/>
  <c r="C12" i="100" a="1"/>
  <c r="C12" i="100" s="1"/>
  <c r="B12" i="100" a="1"/>
  <c r="B12" i="100" s="1"/>
  <c r="D11" i="100" a="1"/>
  <c r="D11" i="100" s="1"/>
  <c r="F14" i="100" a="1"/>
  <c r="F14" i="100" s="1"/>
  <c r="E11" i="100" a="1"/>
  <c r="E11" i="100" s="1"/>
  <c r="E14" i="100" a="1"/>
  <c r="E14" i="100" s="1"/>
  <c r="D14" i="100" a="1"/>
  <c r="D14" i="100" s="1"/>
  <c r="C11" i="100" a="1"/>
  <c r="C11" i="100" s="1"/>
  <c r="C14" i="100" a="1"/>
  <c r="C14" i="100" s="1"/>
  <c r="B11" i="100" a="1"/>
  <c r="B11" i="100" s="1"/>
  <c r="B14" i="100" a="1"/>
  <c r="B14" i="100" s="1"/>
  <c r="F10" i="100" a="1"/>
  <c r="F10" i="100" s="1"/>
  <c r="F11" i="100" a="1"/>
  <c r="F11" i="100" s="1"/>
  <c r="F13" i="100" a="1"/>
  <c r="F13" i="100" s="1"/>
  <c r="E10" i="100" a="1"/>
  <c r="E10" i="100" s="1"/>
  <c r="D10" i="100" a="1"/>
  <c r="D10" i="100" s="1"/>
  <c r="B13" i="100" a="1"/>
  <c r="B13" i="100" s="1"/>
  <c r="E13" i="100" a="1"/>
  <c r="E13" i="100" s="1"/>
  <c r="C13" i="100" a="1"/>
  <c r="C13" i="100" s="1"/>
  <c r="D13" i="100" a="1"/>
  <c r="D13" i="100" s="1"/>
  <c r="C10" i="100" a="1"/>
  <c r="C10" i="100" s="1"/>
  <c r="B10" i="100" a="1"/>
  <c r="B10" i="100" s="1"/>
  <c r="F12" i="100" a="1"/>
  <c r="F12" i="100" s="1"/>
  <c r="D12" i="100" a="1"/>
  <c r="D12" i="100" s="1"/>
  <c r="E12" i="100" a="1"/>
  <c r="E12" i="100" s="1"/>
  <c r="F9" i="100" a="1"/>
  <c r="F9" i="100" s="1"/>
  <c r="E9" i="100" a="1"/>
  <c r="E9" i="100" s="1"/>
  <c r="D9" i="100" a="1"/>
  <c r="D9" i="100" s="1"/>
  <c r="C9" i="100" a="1"/>
  <c r="C9" i="100" s="1"/>
  <c r="B9" i="100" a="1"/>
  <c r="B9" i="100" s="1"/>
  <c r="AR5" i="27"/>
  <c r="AU5" i="27" a="1"/>
  <c r="AU5" i="27" s="1"/>
  <c r="AP5" i="27" a="1"/>
  <c r="AP5" i="27" s="1"/>
  <c r="AQ5" i="27"/>
  <c r="AR6" i="27"/>
  <c r="AP6" i="27" a="1"/>
  <c r="AP6" i="27" s="1"/>
  <c r="AU6" i="27" a="1"/>
  <c r="AU6" i="27" s="1"/>
  <c r="AU7" i="27" a="1"/>
  <c r="AU7" i="27" s="1"/>
  <c r="AP7" i="27" a="1"/>
  <c r="AP7" i="27" s="1"/>
  <c r="AR7" i="27"/>
  <c r="C4" i="105" a="1"/>
  <c r="C4" i="105" s="1"/>
  <c r="A6" i="100"/>
  <c r="E8" i="100" a="1"/>
  <c r="E8" i="100" s="1"/>
  <c r="C8" i="100" a="1"/>
  <c r="C8" i="100" s="1"/>
  <c r="F7" i="100" a="1"/>
  <c r="F7" i="100" s="1"/>
  <c r="B7" i="100" a="1"/>
  <c r="B7" i="100" s="1"/>
  <c r="C7" i="100" a="1"/>
  <c r="C7" i="100" s="1"/>
  <c r="B8" i="100" a="1"/>
  <c r="B8" i="100" s="1"/>
  <c r="F8" i="100" a="1"/>
  <c r="F8" i="100" s="1"/>
  <c r="D8" i="100" a="1"/>
  <c r="D8" i="100" s="1"/>
  <c r="E7" i="100" a="1"/>
  <c r="E7" i="100" s="1"/>
  <c r="D7" i="100" a="1"/>
  <c r="D7" i="100" s="1"/>
  <c r="B6" i="110" a="1"/>
  <c r="B6" i="110" s="1"/>
  <c r="B13" i="110" a="1"/>
  <c r="B13" i="110" s="1"/>
  <c r="B11" i="110" a="1"/>
  <c r="B11" i="110" s="1"/>
  <c r="B7" i="110" a="1"/>
  <c r="B7" i="110" s="1"/>
  <c r="B12" i="110" a="1"/>
  <c r="B12" i="110" s="1"/>
  <c r="B8" i="110" a="1"/>
  <c r="B8" i="110" s="1"/>
  <c r="B14" i="110" a="1"/>
  <c r="B14" i="110" s="1"/>
  <c r="B4" i="110" a="1"/>
  <c r="B4" i="110" s="1"/>
  <c r="B9" i="110" a="1"/>
  <c r="B9" i="110" s="1"/>
  <c r="B10" i="110" a="1"/>
  <c r="B10" i="110" s="1"/>
  <c r="W6" i="112"/>
  <c r="R10" i="112"/>
  <c r="T6" i="112"/>
  <c r="T10" i="112"/>
  <c r="U11" i="112"/>
  <c r="W10" i="112"/>
  <c r="U6" i="112"/>
  <c r="T9" i="112"/>
  <c r="S8" i="112"/>
  <c r="T7" i="112"/>
  <c r="R7" i="112"/>
  <c r="V9" i="112"/>
  <c r="R11" i="112"/>
  <c r="W7" i="112"/>
  <c r="U8" i="112"/>
  <c r="U7" i="112"/>
  <c r="S9" i="112"/>
  <c r="T11" i="112"/>
  <c r="V8" i="112"/>
  <c r="V6" i="112"/>
  <c r="Q9" i="112"/>
  <c r="S10" i="112"/>
  <c r="V7" i="112"/>
  <c r="R8" i="112"/>
  <c r="W8" i="112"/>
  <c r="V11" i="112"/>
  <c r="S6" i="112"/>
  <c r="W9" i="112"/>
  <c r="R5" i="112"/>
  <c r="U10" i="112"/>
  <c r="R9" i="112"/>
  <c r="S11" i="112"/>
  <c r="H27" i="105"/>
  <c r="Q11" i="112"/>
  <c r="Y5" i="112"/>
  <c r="X5" i="112"/>
  <c r="W5" i="112"/>
  <c r="AA5" i="112"/>
  <c r="U5" i="112"/>
  <c r="V5" i="112"/>
  <c r="T5" i="112"/>
  <c r="S5" i="112"/>
  <c r="Q5" i="112"/>
  <c r="Z5" i="112"/>
  <c r="Q12" i="112"/>
  <c r="Q15" i="112"/>
  <c r="Q10" i="112"/>
  <c r="Q14" i="112"/>
  <c r="Q13" i="112"/>
  <c r="Q7" i="112"/>
  <c r="M5" i="112"/>
  <c r="C5" i="112"/>
  <c r="L5" i="112"/>
  <c r="K5" i="112"/>
  <c r="Q8" i="112"/>
  <c r="Q6" i="112"/>
  <c r="G27" i="105"/>
  <c r="I27" i="105"/>
  <c r="AA27" i="105"/>
  <c r="Z27" i="105"/>
  <c r="Y27" i="105"/>
  <c r="X27" i="105"/>
  <c r="W27" i="105"/>
  <c r="V27" i="105"/>
  <c r="U27" i="105"/>
  <c r="C27" i="105"/>
  <c r="D27" i="105"/>
  <c r="E27" i="105"/>
  <c r="F27" i="105"/>
  <c r="V9" i="105"/>
  <c r="AM1" i="27"/>
  <c r="BD27" i="27" l="1" a="1"/>
  <c r="BD27" i="27" s="1"/>
  <c r="BC27" i="27" a="1"/>
  <c r="BC27" i="27" s="1"/>
  <c r="BN14" i="27"/>
  <c r="BN13" i="27"/>
  <c r="BN15" i="27"/>
  <c r="BN11" i="27"/>
  <c r="BN12" i="27"/>
  <c r="BN10" i="27"/>
  <c r="BN8" i="27"/>
  <c r="BN9" i="27"/>
  <c r="BA46" i="27" a="1"/>
  <c r="BA46" i="27" s="1"/>
  <c r="BB46" i="27" a="1"/>
  <c r="BB46" i="27" s="1"/>
  <c r="BF27" i="27"/>
  <c r="BN27" i="27"/>
  <c r="BF7" i="27"/>
  <c r="BN7" i="27"/>
  <c r="BF47" i="27"/>
  <c r="BN47" i="27"/>
  <c r="BF26" i="27"/>
  <c r="BF46" i="27"/>
  <c r="BF6" i="27"/>
  <c r="BF25" i="27"/>
  <c r="BN25" i="27"/>
  <c r="BF45" i="27"/>
  <c r="BN45" i="27"/>
  <c r="BF5" i="27"/>
  <c r="BN5" i="27"/>
  <c r="BF24" i="27"/>
  <c r="BN24" i="27"/>
  <c r="BF44" i="27"/>
  <c r="BN44" i="27"/>
  <c r="BC45" i="27" a="1"/>
  <c r="BC45" i="27" s="1"/>
  <c r="BD45" i="27" a="1"/>
  <c r="BD45" i="27" s="1"/>
  <c r="BA27" i="27" a="1"/>
  <c r="BA27" i="27" s="1"/>
  <c r="BB27" i="27" a="1"/>
  <c r="BB27" i="27" s="1"/>
  <c r="BD47" i="27" a="1"/>
  <c r="BD47" i="27" s="1"/>
  <c r="BC47" i="27" a="1"/>
  <c r="BC47" i="27" s="1"/>
  <c r="BA45" i="27" a="1"/>
  <c r="BA45" i="27" s="1"/>
  <c r="BB45" i="27" a="1"/>
  <c r="BB45" i="27" s="1"/>
  <c r="BD44" i="27" a="1"/>
  <c r="BD44" i="27" s="1"/>
  <c r="BC44" i="27" a="1"/>
  <c r="BC44" i="27" s="1"/>
  <c r="BD24" i="27" a="1"/>
  <c r="BD24" i="27" s="1"/>
  <c r="BC24" i="27" a="1"/>
  <c r="BC24" i="27" s="1"/>
  <c r="BC25" i="27" a="1"/>
  <c r="BC25" i="27" s="1"/>
  <c r="BD25" i="27" a="1"/>
  <c r="BD25" i="27" s="1"/>
  <c r="BB25" i="27" a="1"/>
  <c r="BB25" i="27" s="1"/>
  <c r="BA25" i="27" a="1"/>
  <c r="BA25" i="27" s="1"/>
  <c r="BI25" i="27" s="1"/>
  <c r="BJ25" i="27" s="1"/>
  <c r="BA24" i="27" a="1"/>
  <c r="BA24" i="27" s="1"/>
  <c r="BB24" i="27" a="1"/>
  <c r="BB24" i="27" s="1"/>
  <c r="BA44" i="27" a="1"/>
  <c r="BA44" i="27" s="1"/>
  <c r="BB44" i="27" a="1"/>
  <c r="BB44" i="27" s="1"/>
  <c r="BD46" i="27" a="1"/>
  <c r="BD46" i="27" s="1"/>
  <c r="BC46" i="27" a="1"/>
  <c r="BC46" i="27" s="1"/>
  <c r="BC26" i="27" a="1"/>
  <c r="BC26" i="27" s="1"/>
  <c r="BD26" i="27" a="1"/>
  <c r="BD26" i="27" s="1"/>
  <c r="BB47" i="27" a="1"/>
  <c r="BB47" i="27" s="1"/>
  <c r="BA47" i="27" a="1"/>
  <c r="BA47" i="27" s="1"/>
  <c r="BC5" i="27" a="1"/>
  <c r="BC5" i="27" s="1"/>
  <c r="BA7" i="27" a="1"/>
  <c r="BA7" i="27" s="1"/>
  <c r="BC7" i="27" a="1"/>
  <c r="BC7" i="27" s="1"/>
  <c r="BA4" i="27" a="1"/>
  <c r="BA4" i="27" s="1"/>
  <c r="BA5" i="27" a="1"/>
  <c r="BA5" i="27" s="1"/>
  <c r="BC6" i="27" a="1"/>
  <c r="BC6" i="27" s="1"/>
  <c r="BC4" i="27" a="1"/>
  <c r="BC4" i="27" s="1"/>
  <c r="BF4" i="27"/>
  <c r="BK4" i="27" s="1"/>
  <c r="BB4" i="27" a="1"/>
  <c r="BB4" i="27" s="1"/>
  <c r="BB6" i="27" a="1"/>
  <c r="BB6" i="27" s="1"/>
  <c r="BB7" i="27" a="1"/>
  <c r="BB7" i="27" s="1"/>
  <c r="BB5" i="27" a="1"/>
  <c r="BB5" i="27" s="1"/>
  <c r="BD4" i="27" a="1"/>
  <c r="BD4" i="27" s="1"/>
  <c r="AO6" i="93" a="1"/>
  <c r="AO6" i="93" s="1"/>
  <c r="AP6" i="93"/>
  <c r="AP5" i="93"/>
  <c r="AO5" i="93" a="1"/>
  <c r="AO5" i="93" s="1"/>
  <c r="AO7" i="93" a="1"/>
  <c r="AO7" i="93" s="1"/>
  <c r="AP7" i="93"/>
  <c r="BD7" i="27" a="1"/>
  <c r="BD7" i="27" s="1"/>
  <c r="BD5" i="27" a="1"/>
  <c r="BD5" i="27" s="1"/>
  <c r="AT1" i="27"/>
  <c r="D10" i="112"/>
  <c r="BD6" i="27" a="1"/>
  <c r="BD6" i="27" s="1"/>
  <c r="W9" i="105"/>
  <c r="V10" i="105" s="1" a="1"/>
  <c r="V10" i="105" s="1"/>
  <c r="J5" i="112"/>
  <c r="F12" i="112"/>
  <c r="D9" i="112"/>
  <c r="E12" i="112"/>
  <c r="H12" i="112"/>
  <c r="G12" i="112"/>
  <c r="J7" i="112"/>
  <c r="J8" i="112"/>
  <c r="J9" i="112"/>
  <c r="I12" i="112"/>
  <c r="J11" i="112"/>
  <c r="J10" i="112"/>
  <c r="C12" i="112"/>
  <c r="J6" i="112"/>
  <c r="D12" i="112"/>
  <c r="G5" i="112"/>
  <c r="AW4" i="27"/>
  <c r="AV4" i="27" a="1"/>
  <c r="AV4" i="27" s="1"/>
  <c r="AX4" i="27"/>
  <c r="F6" i="112"/>
  <c r="D8" i="112"/>
  <c r="D11" i="112"/>
  <c r="G7" i="112"/>
  <c r="D5" i="112"/>
  <c r="D7" i="112"/>
  <c r="F9" i="112"/>
  <c r="AW7" i="27"/>
  <c r="AV7" i="27" a="1"/>
  <c r="AV7" i="27" s="1"/>
  <c r="AX7" i="27"/>
  <c r="F11" i="112"/>
  <c r="G6" i="112"/>
  <c r="AX6" i="27"/>
  <c r="AV6" i="27" a="1"/>
  <c r="AV6" i="27" s="1"/>
  <c r="AW6" i="27"/>
  <c r="F5" i="112"/>
  <c r="H9" i="112"/>
  <c r="C9" i="112"/>
  <c r="C8" i="112"/>
  <c r="C7" i="112"/>
  <c r="G8" i="112"/>
  <c r="C11" i="112"/>
  <c r="F10" i="112"/>
  <c r="F7" i="112"/>
  <c r="C6" i="112"/>
  <c r="G10" i="112"/>
  <c r="C10" i="112"/>
  <c r="G11" i="112"/>
  <c r="AW5" i="27"/>
  <c r="AV5" i="27" a="1"/>
  <c r="AV5" i="27" s="1"/>
  <c r="AX5" i="27"/>
  <c r="I7" i="112"/>
  <c r="H8" i="112"/>
  <c r="H6" i="100" a="1"/>
  <c r="F6" i="100" a="1"/>
  <c r="F6" i="100" s="1"/>
  <c r="E6" i="100" a="1"/>
  <c r="E6" i="100" s="1"/>
  <c r="D6" i="100" a="1"/>
  <c r="D6" i="100" s="1"/>
  <c r="Q32" i="100" s="1"/>
  <c r="C6" i="100" a="1"/>
  <c r="C6" i="100" s="1"/>
  <c r="Q31" i="100" s="1"/>
  <c r="B6" i="100" a="1"/>
  <c r="B6" i="100" s="1"/>
  <c r="Q30" i="100" s="1"/>
  <c r="H7" i="112"/>
  <c r="H11" i="112"/>
  <c r="E8" i="112"/>
  <c r="E11" i="112"/>
  <c r="E9" i="112"/>
  <c r="E6" i="112"/>
  <c r="E10" i="112"/>
  <c r="I6" i="112"/>
  <c r="H5" i="112"/>
  <c r="AN1" i="27"/>
  <c r="I5" i="112"/>
  <c r="E5" i="112"/>
  <c r="I10" i="112"/>
  <c r="I9" i="112"/>
  <c r="H6" i="112"/>
  <c r="I8" i="112"/>
  <c r="BI27" i="27" l="1"/>
  <c r="BJ27" i="27" s="1"/>
  <c r="BK44" i="27"/>
  <c r="BK46" i="27"/>
  <c r="BN46" i="27" s="1"/>
  <c r="BK24" i="27"/>
  <c r="BM24" i="27" s="1"/>
  <c r="BK26" i="27"/>
  <c r="BN26" i="27" s="1"/>
  <c r="BK5" i="27"/>
  <c r="BK47" i="27"/>
  <c r="BK45" i="27"/>
  <c r="BK7" i="27"/>
  <c r="BK25" i="27"/>
  <c r="BK27" i="27"/>
  <c r="BK6" i="27"/>
  <c r="BN6" i="27" s="1"/>
  <c r="BM4" i="27"/>
  <c r="BF1" i="27"/>
  <c r="BN4" i="27"/>
  <c r="BI46" i="27"/>
  <c r="BJ46" i="27" s="1"/>
  <c r="BI26" i="27"/>
  <c r="BJ26" i="27" s="1"/>
  <c r="BI44" i="27"/>
  <c r="BJ44" i="27" s="1"/>
  <c r="BI45" i="27"/>
  <c r="BJ45" i="27" s="1"/>
  <c r="BI24" i="27"/>
  <c r="BJ24" i="27" s="1"/>
  <c r="BI47" i="27"/>
  <c r="BJ47" i="27" s="1"/>
  <c r="AT5" i="93"/>
  <c r="B5" i="105"/>
  <c r="AT6" i="93"/>
  <c r="AT7" i="93"/>
  <c r="AT4" i="93"/>
  <c r="I25" i="100" a="1"/>
  <c r="I25" i="100" s="1"/>
  <c r="I26" i="100" a="1"/>
  <c r="I26" i="100" s="1"/>
  <c r="AY4" i="27"/>
  <c r="AZ4" i="27" s="1" a="1"/>
  <c r="AZ4" i="27" s="1"/>
  <c r="AY5" i="27"/>
  <c r="AZ5" i="27" s="1" a="1"/>
  <c r="AZ5" i="27" s="1"/>
  <c r="AY6" i="27"/>
  <c r="AZ6" i="27" s="1" a="1"/>
  <c r="AZ6" i="27" s="1"/>
  <c r="AY7" i="27"/>
  <c r="AZ7" i="27" s="1" a="1"/>
  <c r="AZ7" i="27" s="1"/>
  <c r="I24" i="100" a="1"/>
  <c r="I24" i="100" s="1"/>
  <c r="I23" i="100" a="1"/>
  <c r="I23" i="100" s="1"/>
  <c r="I22" i="100" a="1"/>
  <c r="I22" i="100" s="1"/>
  <c r="BD1" i="27"/>
  <c r="BB1" i="27"/>
  <c r="I21" i="100" a="1"/>
  <c r="I21" i="100" s="1"/>
  <c r="I17" i="100" a="1"/>
  <c r="I17" i="100" s="1"/>
  <c r="I20" i="100" a="1"/>
  <c r="I20" i="100" s="1"/>
  <c r="I16" i="100" a="1"/>
  <c r="I16" i="100" s="1"/>
  <c r="I15" i="100" a="1"/>
  <c r="I15" i="100" s="1"/>
  <c r="I19" i="100" a="1"/>
  <c r="I19" i="100" s="1"/>
  <c r="I18" i="100" a="1"/>
  <c r="I18" i="100" s="1"/>
  <c r="I13" i="100" a="1"/>
  <c r="I13" i="100" s="1"/>
  <c r="I14" i="100" a="1"/>
  <c r="I14" i="100" s="1"/>
  <c r="H6" i="100"/>
  <c r="I12" i="100" a="1"/>
  <c r="I12" i="100" s="1"/>
  <c r="I11" i="100" a="1"/>
  <c r="I11" i="100" s="1"/>
  <c r="I10" i="100" a="1"/>
  <c r="I10" i="100" s="1"/>
  <c r="I9" i="100" a="1"/>
  <c r="I9" i="100" s="1"/>
  <c r="I8" i="100" a="1"/>
  <c r="I8" i="100" s="1"/>
  <c r="I7" i="100" a="1"/>
  <c r="I7" i="100" s="1"/>
  <c r="BN1" i="27" l="1"/>
  <c r="BK1" i="27"/>
  <c r="BM5" i="27"/>
  <c r="BM44" i="27"/>
  <c r="BM6" i="27"/>
  <c r="BM10" i="27"/>
  <c r="BM27" i="27"/>
  <c r="BM14" i="27"/>
  <c r="BM25" i="27"/>
  <c r="BM8" i="27"/>
  <c r="BM7" i="27"/>
  <c r="BM13" i="27"/>
  <c r="BM45" i="27"/>
  <c r="BM9" i="27"/>
  <c r="BM47" i="27"/>
  <c r="BM15" i="27"/>
  <c r="BM26" i="27"/>
  <c r="BM11" i="27"/>
  <c r="BM46" i="27"/>
  <c r="BM12" i="27"/>
  <c r="AT2" i="93"/>
  <c r="AZ1" i="27"/>
  <c r="BI7" i="27"/>
  <c r="BJ7" i="27" s="1"/>
  <c r="BI5" i="27"/>
  <c r="BJ5" i="27" s="1"/>
  <c r="BI4" i="27"/>
  <c r="BJ4" i="27" s="1"/>
  <c r="BI6" i="27"/>
  <c r="BJ6" i="27" s="1"/>
  <c r="J6" i="100" a="1"/>
  <c r="J6" i="100" s="1"/>
  <c r="J7" i="100" s="1" a="1"/>
  <c r="J7" i="100" s="1"/>
  <c r="J8" i="100" s="1" a="1"/>
  <c r="J8" i="100" s="1"/>
  <c r="J9" i="100" s="1" a="1"/>
  <c r="J9" i="100" s="1"/>
  <c r="J10" i="100" s="1" a="1"/>
  <c r="J10" i="100" s="1"/>
  <c r="J11" i="100" s="1" a="1"/>
  <c r="J11" i="100" s="1"/>
  <c r="J12" i="100" s="1" a="1"/>
  <c r="J12" i="100" s="1"/>
  <c r="J13" i="100" s="1" a="1"/>
  <c r="J13" i="100" s="1"/>
  <c r="J14" i="100" s="1" a="1"/>
  <c r="J14" i="100" s="1"/>
  <c r="J15" i="100" s="1" a="1"/>
  <c r="J15" i="100" s="1"/>
  <c r="J16" i="100" s="1" a="1"/>
  <c r="J16" i="100" s="1"/>
  <c r="J17" i="100" s="1" a="1"/>
  <c r="J17" i="100" s="1"/>
  <c r="J18" i="100" s="1" a="1"/>
  <c r="J18" i="100" s="1"/>
  <c r="J19" i="100" s="1" a="1"/>
  <c r="J19" i="100" s="1"/>
  <c r="J20" i="100" s="1" a="1"/>
  <c r="J20" i="100" s="1"/>
  <c r="J21" i="100" s="1" a="1"/>
  <c r="J21" i="100" s="1"/>
  <c r="J22" i="100" s="1" a="1"/>
  <c r="J22" i="100" s="1"/>
  <c r="J23" i="100" s="1" a="1"/>
  <c r="J23" i="100" s="1"/>
  <c r="J24" i="100" s="1" a="1"/>
  <c r="J24" i="100" s="1"/>
  <c r="J25" i="100" s="1" a="1"/>
  <c r="J25" i="100" s="1"/>
  <c r="J26" i="100" s="1" a="1"/>
  <c r="J26" i="100" s="1"/>
  <c r="J27" i="100" s="1" a="1"/>
  <c r="J27" i="100" s="1"/>
  <c r="J28" i="100" s="1" a="1"/>
  <c r="J28" i="100" s="1"/>
  <c r="J29" i="100" s="1" a="1"/>
  <c r="J29" i="100" s="1"/>
  <c r="J30" i="100" s="1" a="1"/>
  <c r="J30" i="100" s="1"/>
  <c r="J31" i="100" s="1" a="1"/>
  <c r="J31" i="100" s="1"/>
  <c r="J32" i="100" s="1" a="1"/>
  <c r="J32" i="100" s="1"/>
  <c r="J33" i="100" s="1" a="1"/>
  <c r="J33" i="100" s="1"/>
  <c r="J34" i="100" s="1" a="1"/>
  <c r="J34" i="100" s="1"/>
  <c r="J35" i="100" s="1" a="1"/>
  <c r="J35" i="100" s="1"/>
  <c r="J36" i="100" s="1" a="1"/>
  <c r="J36" i="100" s="1"/>
  <c r="J37" i="100" s="1" a="1"/>
  <c r="J37" i="100" s="1"/>
  <c r="J38" i="100" s="1" a="1"/>
  <c r="J38" i="100" s="1"/>
  <c r="J39" i="100" s="1" a="1"/>
  <c r="J39" i="100" s="1"/>
  <c r="J40" i="100" s="1" a="1"/>
  <c r="J40" i="100" s="1"/>
  <c r="J41" i="100" s="1" a="1"/>
  <c r="J41" i="100" s="1"/>
  <c r="J42" i="100" s="1" a="1"/>
  <c r="J42" i="100" s="1"/>
  <c r="J43" i="100" s="1" a="1"/>
  <c r="J43" i="100" s="1"/>
  <c r="J44" i="100" s="1" a="1"/>
  <c r="J44" i="100" s="1"/>
  <c r="J45" i="100" s="1" a="1"/>
  <c r="J45" i="100" s="1"/>
  <c r="J46" i="100" s="1" a="1"/>
  <c r="J46" i="100" s="1"/>
  <c r="J47" i="100" s="1" a="1"/>
  <c r="J47" i="100" s="1"/>
  <c r="J48" i="100" s="1" a="1"/>
  <c r="J48" i="100" s="1"/>
  <c r="J49" i="100" s="1" a="1"/>
  <c r="J49" i="100" s="1"/>
  <c r="J50" i="100" s="1" a="1"/>
  <c r="J50" i="100" s="1"/>
  <c r="J51" i="100" s="1" a="1"/>
  <c r="J51" i="100" s="1"/>
  <c r="J52" i="100" s="1" a="1"/>
  <c r="J52" i="100" s="1"/>
  <c r="J53" i="100" s="1" a="1"/>
  <c r="J53" i="100" s="1"/>
  <c r="J54" i="100" s="1" a="1"/>
  <c r="J54" i="100" s="1"/>
  <c r="J55" i="100" s="1" a="1"/>
  <c r="J55" i="100" s="1"/>
  <c r="J56" i="100" s="1" a="1"/>
  <c r="J56" i="100" s="1"/>
  <c r="J57" i="100" s="1" a="1"/>
  <c r="J57" i="100" s="1"/>
  <c r="J58" i="100" s="1" a="1"/>
  <c r="J58" i="100" s="1"/>
  <c r="J59" i="100" s="1" a="1"/>
  <c r="J59" i="100" s="1"/>
  <c r="J60" i="100" s="1" a="1"/>
  <c r="J60" i="100" s="1"/>
  <c r="J61" i="100" s="1" a="1"/>
  <c r="J61" i="100" s="1"/>
  <c r="J62" i="100" s="1" a="1"/>
  <c r="J62" i="100" s="1"/>
  <c r="J63" i="100" s="1" a="1"/>
  <c r="J63" i="100" s="1"/>
  <c r="J64" i="100" s="1" a="1"/>
  <c r="J64" i="100" s="1"/>
  <c r="J65" i="100" s="1" a="1"/>
  <c r="J65" i="100" s="1"/>
  <c r="J66" i="100" s="1" a="1"/>
  <c r="J66" i="100" s="1"/>
  <c r="J67" i="100" s="1" a="1"/>
  <c r="J67" i="100" s="1"/>
  <c r="J68" i="100" s="1" a="1"/>
  <c r="J68" i="100" s="1"/>
  <c r="J69" i="100" s="1" a="1"/>
  <c r="J69" i="100" s="1"/>
  <c r="J70" i="100" s="1" a="1"/>
  <c r="J70" i="100" s="1"/>
  <c r="J71" i="100" s="1" a="1"/>
  <c r="J71" i="100" s="1"/>
  <c r="J72" i="100" s="1" a="1"/>
  <c r="J72" i="100" s="1"/>
  <c r="J73" i="100" s="1" a="1"/>
  <c r="J73" i="100" s="1"/>
  <c r="J74" i="100" s="1" a="1"/>
  <c r="J74" i="100" s="1"/>
  <c r="J75" i="100" s="1" a="1"/>
  <c r="J75" i="100" s="1"/>
  <c r="J76" i="100" s="1" a="1"/>
  <c r="J76" i="100" s="1"/>
  <c r="J77" i="100" s="1" a="1"/>
  <c r="J77" i="100" s="1"/>
  <c r="I6" i="100" a="1"/>
  <c r="I6" i="100" s="1"/>
  <c r="AB30" i="100" s="1" a="1"/>
  <c r="AB30" i="100" s="1"/>
  <c r="M6" i="100" a="1"/>
  <c r="M6" i="100" s="1"/>
  <c r="M7" i="100" s="1" a="1"/>
  <c r="M7" i="100" s="1"/>
  <c r="M8" i="100" s="1" a="1"/>
  <c r="M8" i="100" s="1"/>
  <c r="M9" i="100" s="1" a="1"/>
  <c r="M9" i="100" s="1"/>
  <c r="M10" i="100" s="1" a="1"/>
  <c r="M10" i="100" s="1"/>
  <c r="M11" i="100" s="1" a="1"/>
  <c r="M11" i="100" s="1"/>
  <c r="M12" i="100" s="1" a="1"/>
  <c r="M12" i="100" s="1"/>
  <c r="M13" i="100" s="1" a="1"/>
  <c r="M13" i="100" s="1"/>
  <c r="M14" i="100" s="1" a="1"/>
  <c r="M14" i="100" s="1"/>
  <c r="M15" i="100" s="1" a="1"/>
  <c r="M15" i="100" s="1"/>
  <c r="M16" i="100" s="1" a="1"/>
  <c r="M16" i="100" s="1"/>
  <c r="M17" i="100" s="1" a="1"/>
  <c r="M17" i="100" s="1"/>
  <c r="M18" i="100" s="1" a="1"/>
  <c r="M18" i="100" s="1"/>
  <c r="M19" i="100" s="1" a="1"/>
  <c r="M19" i="100" s="1"/>
  <c r="M20" i="100" s="1" a="1"/>
  <c r="M20" i="100" s="1"/>
  <c r="M21" i="100" s="1" a="1"/>
  <c r="M21" i="100" s="1"/>
  <c r="M22" i="100" s="1" a="1"/>
  <c r="M22" i="100" s="1"/>
  <c r="M23" i="100" s="1" a="1"/>
  <c r="M23" i="100" s="1"/>
  <c r="M24" i="100" s="1" a="1"/>
  <c r="M24" i="100" s="1"/>
  <c r="M25" i="100" s="1" a="1"/>
  <c r="M25" i="100" s="1"/>
  <c r="M26" i="100" s="1" a="1"/>
  <c r="M26" i="100" s="1"/>
  <c r="M27" i="100" s="1" a="1"/>
  <c r="M27" i="100" s="1"/>
  <c r="M28" i="100" s="1" a="1"/>
  <c r="M28" i="100" s="1"/>
  <c r="M29" i="100" s="1" a="1"/>
  <c r="M29" i="100" s="1"/>
  <c r="M30" i="100" s="1" a="1"/>
  <c r="M30" i="100" s="1"/>
  <c r="M31" i="100" s="1" a="1"/>
  <c r="M31" i="100" s="1"/>
  <c r="M32" i="100" s="1" a="1"/>
  <c r="M32" i="100" s="1"/>
  <c r="M33" i="100" s="1" a="1"/>
  <c r="M33" i="100" s="1"/>
  <c r="M34" i="100" s="1" a="1"/>
  <c r="M34" i="100" s="1"/>
  <c r="M35" i="100" s="1" a="1"/>
  <c r="M35" i="100" s="1"/>
  <c r="M36" i="100" s="1" a="1"/>
  <c r="M36" i="100" s="1"/>
  <c r="M37" i="100" s="1" a="1"/>
  <c r="M37" i="100" s="1"/>
  <c r="M38" i="100" s="1" a="1"/>
  <c r="M38" i="100" s="1"/>
  <c r="M39" i="100" s="1" a="1"/>
  <c r="M39" i="100" s="1"/>
  <c r="M40" i="100" s="1" a="1"/>
  <c r="M40" i="100" s="1"/>
  <c r="M41" i="100" s="1" a="1"/>
  <c r="M41" i="100" s="1"/>
  <c r="M42" i="100" s="1" a="1"/>
  <c r="M42" i="100" s="1"/>
  <c r="M43" i="100" s="1" a="1"/>
  <c r="M43" i="100" s="1"/>
  <c r="M44" i="100" s="1" a="1"/>
  <c r="M44" i="100" s="1"/>
  <c r="M45" i="100" s="1" a="1"/>
  <c r="M45" i="100" s="1"/>
  <c r="M46" i="100" s="1" a="1"/>
  <c r="M46" i="100" s="1"/>
  <c r="M47" i="100" s="1" a="1"/>
  <c r="M47" i="100" s="1"/>
  <c r="M48" i="100" s="1" a="1"/>
  <c r="M48" i="100" s="1"/>
  <c r="M49" i="100" s="1" a="1"/>
  <c r="M49" i="100" s="1"/>
  <c r="M50" i="100" s="1" a="1"/>
  <c r="M50" i="100" s="1"/>
  <c r="M51" i="100" s="1" a="1"/>
  <c r="M51" i="100" s="1"/>
  <c r="M52" i="100" s="1" a="1"/>
  <c r="M52" i="100" s="1"/>
  <c r="M53" i="100" s="1" a="1"/>
  <c r="M53" i="100" s="1"/>
  <c r="M54" i="100" s="1" a="1"/>
  <c r="M54" i="100" s="1"/>
  <c r="M55" i="100" s="1" a="1"/>
  <c r="M55" i="100" s="1"/>
  <c r="M56" i="100" s="1" a="1"/>
  <c r="M56" i="100" s="1"/>
  <c r="M57" i="100" s="1" a="1"/>
  <c r="M57" i="100" s="1"/>
  <c r="M58" i="100" s="1" a="1"/>
  <c r="M58" i="100" s="1"/>
  <c r="M59" i="100" s="1" a="1"/>
  <c r="M59" i="100" s="1"/>
  <c r="M60" i="100" s="1" a="1"/>
  <c r="M60" i="100" s="1"/>
  <c r="M61" i="100" s="1" a="1"/>
  <c r="M61" i="100" s="1"/>
  <c r="M62" i="100" s="1" a="1"/>
  <c r="M62" i="100" s="1"/>
  <c r="M63" i="100" s="1" a="1"/>
  <c r="M63" i="100" s="1"/>
  <c r="M64" i="100" s="1" a="1"/>
  <c r="M64" i="100" s="1"/>
  <c r="M65" i="100" s="1" a="1"/>
  <c r="M65" i="100" s="1"/>
  <c r="M66" i="100" s="1" a="1"/>
  <c r="M66" i="100" s="1"/>
  <c r="M67" i="100" s="1" a="1"/>
  <c r="M67" i="100" s="1"/>
  <c r="M68" i="100" s="1" a="1"/>
  <c r="M68" i="100" s="1"/>
  <c r="M69" i="100" s="1" a="1"/>
  <c r="M69" i="100" s="1"/>
  <c r="M70" i="100" s="1" a="1"/>
  <c r="M70" i="100" s="1"/>
  <c r="M71" i="100" s="1" a="1"/>
  <c r="M71" i="100" s="1"/>
  <c r="M72" i="100" s="1" a="1"/>
  <c r="M72" i="100" s="1"/>
  <c r="M73" i="100" s="1" a="1"/>
  <c r="M73" i="100" s="1"/>
  <c r="M74" i="100" s="1" a="1"/>
  <c r="M74" i="100" s="1"/>
  <c r="M75" i="100" s="1" a="1"/>
  <c r="M75" i="100" s="1"/>
  <c r="M76" i="100" s="1" a="1"/>
  <c r="M76" i="100" s="1"/>
  <c r="M77" i="100" s="1" a="1"/>
  <c r="M77" i="100" s="1"/>
  <c r="L6" i="100" a="1"/>
  <c r="L6" i="100" s="1"/>
  <c r="L7" i="100" s="1" a="1"/>
  <c r="L7" i="100" s="1"/>
  <c r="L8" i="100" s="1" a="1"/>
  <c r="L8" i="100" s="1"/>
  <c r="L9" i="100" s="1" a="1"/>
  <c r="L9" i="100" s="1"/>
  <c r="L10" i="100" s="1" a="1"/>
  <c r="L10" i="100" s="1"/>
  <c r="L11" i="100" s="1" a="1"/>
  <c r="L11" i="100" s="1"/>
  <c r="L12" i="100" s="1" a="1"/>
  <c r="L12" i="100" s="1"/>
  <c r="L13" i="100" s="1" a="1"/>
  <c r="L13" i="100" s="1"/>
  <c r="L14" i="100" s="1" a="1"/>
  <c r="L14" i="100" s="1"/>
  <c r="L15" i="100" s="1" a="1"/>
  <c r="L15" i="100" s="1"/>
  <c r="L16" i="100" s="1" a="1"/>
  <c r="L16" i="100" s="1"/>
  <c r="L17" i="100" s="1" a="1"/>
  <c r="L17" i="100" s="1"/>
  <c r="L18" i="100" s="1" a="1"/>
  <c r="L18" i="100" s="1"/>
  <c r="L19" i="100" s="1" a="1"/>
  <c r="L19" i="100" s="1"/>
  <c r="L20" i="100" s="1" a="1"/>
  <c r="L20" i="100" s="1"/>
  <c r="L21" i="100" s="1" a="1"/>
  <c r="L21" i="100" s="1"/>
  <c r="L22" i="100" s="1" a="1"/>
  <c r="L22" i="100" s="1"/>
  <c r="L23" i="100" s="1" a="1"/>
  <c r="L23" i="100" s="1"/>
  <c r="L24" i="100" s="1" a="1"/>
  <c r="L24" i="100" s="1"/>
  <c r="L25" i="100" s="1" a="1"/>
  <c r="L25" i="100" s="1"/>
  <c r="L26" i="100" s="1" a="1"/>
  <c r="L26" i="100" s="1"/>
  <c r="L27" i="100" s="1" a="1"/>
  <c r="L27" i="100" s="1"/>
  <c r="L28" i="100" s="1" a="1"/>
  <c r="L28" i="100" s="1"/>
  <c r="L29" i="100" s="1" a="1"/>
  <c r="L29" i="100" s="1"/>
  <c r="L30" i="100" s="1" a="1"/>
  <c r="L30" i="100" s="1"/>
  <c r="L31" i="100" s="1" a="1"/>
  <c r="L31" i="100" s="1"/>
  <c r="L32" i="100" s="1" a="1"/>
  <c r="L32" i="100" s="1"/>
  <c r="L33" i="100" s="1" a="1"/>
  <c r="L33" i="100" s="1"/>
  <c r="L34" i="100" s="1" a="1"/>
  <c r="L34" i="100" s="1"/>
  <c r="L35" i="100" s="1" a="1"/>
  <c r="L35" i="100" s="1"/>
  <c r="L36" i="100" s="1" a="1"/>
  <c r="L36" i="100" s="1"/>
  <c r="L37" i="100" s="1" a="1"/>
  <c r="L37" i="100" s="1"/>
  <c r="L38" i="100" s="1" a="1"/>
  <c r="L38" i="100" s="1"/>
  <c r="L39" i="100" s="1" a="1"/>
  <c r="L39" i="100" s="1"/>
  <c r="L40" i="100" s="1" a="1"/>
  <c r="L40" i="100" s="1"/>
  <c r="L41" i="100" s="1" a="1"/>
  <c r="L41" i="100" s="1"/>
  <c r="L42" i="100" s="1" a="1"/>
  <c r="L42" i="100" s="1"/>
  <c r="L43" i="100" s="1" a="1"/>
  <c r="L43" i="100" s="1"/>
  <c r="L44" i="100" s="1" a="1"/>
  <c r="L44" i="100" s="1"/>
  <c r="L45" i="100" s="1" a="1"/>
  <c r="L45" i="100" s="1"/>
  <c r="L46" i="100" s="1" a="1"/>
  <c r="L46" i="100" s="1"/>
  <c r="L47" i="100" s="1" a="1"/>
  <c r="L47" i="100" s="1"/>
  <c r="L48" i="100" s="1" a="1"/>
  <c r="L48" i="100" s="1"/>
  <c r="L49" i="100" s="1" a="1"/>
  <c r="L49" i="100" s="1"/>
  <c r="L50" i="100" s="1" a="1"/>
  <c r="L50" i="100" s="1"/>
  <c r="L51" i="100" s="1" a="1"/>
  <c r="L51" i="100" s="1"/>
  <c r="L52" i="100" s="1" a="1"/>
  <c r="L52" i="100" s="1"/>
  <c r="L53" i="100" s="1" a="1"/>
  <c r="L53" i="100" s="1"/>
  <c r="L54" i="100" s="1" a="1"/>
  <c r="L54" i="100" s="1"/>
  <c r="L55" i="100" s="1" a="1"/>
  <c r="L55" i="100" s="1"/>
  <c r="L56" i="100" s="1" a="1"/>
  <c r="L56" i="100" s="1"/>
  <c r="L57" i="100" s="1" a="1"/>
  <c r="L57" i="100" s="1"/>
  <c r="L58" i="100" s="1" a="1"/>
  <c r="L58" i="100" s="1"/>
  <c r="L59" i="100" s="1" a="1"/>
  <c r="L59" i="100" s="1"/>
  <c r="L60" i="100" s="1" a="1"/>
  <c r="L60" i="100" s="1"/>
  <c r="L61" i="100" s="1" a="1"/>
  <c r="L61" i="100" s="1"/>
  <c r="L62" i="100" s="1" a="1"/>
  <c r="L62" i="100" s="1"/>
  <c r="L63" i="100" s="1" a="1"/>
  <c r="L63" i="100" s="1"/>
  <c r="L64" i="100" s="1" a="1"/>
  <c r="L64" i="100" s="1"/>
  <c r="L65" i="100" s="1" a="1"/>
  <c r="L65" i="100" s="1"/>
  <c r="L66" i="100" s="1" a="1"/>
  <c r="L66" i="100" s="1"/>
  <c r="L67" i="100" s="1" a="1"/>
  <c r="L67" i="100" s="1"/>
  <c r="L68" i="100" s="1" a="1"/>
  <c r="L68" i="100" s="1"/>
  <c r="L69" i="100" s="1" a="1"/>
  <c r="L69" i="100" s="1"/>
  <c r="L70" i="100" s="1" a="1"/>
  <c r="L70" i="100" s="1"/>
  <c r="L71" i="100" s="1" a="1"/>
  <c r="L71" i="100" s="1"/>
  <c r="L72" i="100" s="1" a="1"/>
  <c r="L72" i="100" s="1"/>
  <c r="L73" i="100" s="1" a="1"/>
  <c r="L73" i="100" s="1"/>
  <c r="L74" i="100" s="1" a="1"/>
  <c r="L74" i="100" s="1"/>
  <c r="L75" i="100" s="1" a="1"/>
  <c r="L75" i="100" s="1"/>
  <c r="L76" i="100" s="1" a="1"/>
  <c r="L76" i="100" s="1"/>
  <c r="L77" i="100" s="1" a="1"/>
  <c r="L77" i="100" s="1"/>
  <c r="K6" i="100" a="1"/>
  <c r="K6" i="100" s="1"/>
  <c r="K7" i="100" s="1" a="1"/>
  <c r="K7" i="100" s="1"/>
  <c r="K8" i="100" s="1" a="1"/>
  <c r="K8" i="100" s="1"/>
  <c r="K9" i="100" s="1" a="1"/>
  <c r="K9" i="100" s="1"/>
  <c r="K10" i="100" s="1" a="1"/>
  <c r="K10" i="100" s="1"/>
  <c r="K11" i="100" s="1" a="1"/>
  <c r="K11" i="100" s="1"/>
  <c r="K12" i="100" s="1" a="1"/>
  <c r="K12" i="100" s="1"/>
  <c r="K13" i="100" s="1" a="1"/>
  <c r="K13" i="100" s="1"/>
  <c r="K14" i="100" s="1" a="1"/>
  <c r="K14" i="100" s="1"/>
  <c r="K15" i="100" s="1" a="1"/>
  <c r="K15" i="100" s="1"/>
  <c r="K16" i="100" s="1" a="1"/>
  <c r="K16" i="100" s="1"/>
  <c r="K17" i="100" s="1" a="1"/>
  <c r="K17" i="100" s="1"/>
  <c r="K18" i="100" s="1" a="1"/>
  <c r="K18" i="100" s="1"/>
  <c r="K19" i="100" s="1" a="1"/>
  <c r="K19" i="100" s="1"/>
  <c r="K20" i="100" s="1" a="1"/>
  <c r="K20" i="100" s="1"/>
  <c r="K21" i="100" s="1" a="1"/>
  <c r="K21" i="100" s="1"/>
  <c r="K22" i="100" s="1" a="1"/>
  <c r="K22" i="100" s="1"/>
  <c r="K23" i="100" s="1" a="1"/>
  <c r="K23" i="100" s="1"/>
  <c r="K24" i="100" s="1" a="1"/>
  <c r="K24" i="100" s="1"/>
  <c r="K25" i="100" s="1" a="1"/>
  <c r="K25" i="100" s="1"/>
  <c r="K26" i="100" s="1" a="1"/>
  <c r="K26" i="100" s="1"/>
  <c r="K27" i="100" s="1" a="1"/>
  <c r="K27" i="100" s="1"/>
  <c r="K28" i="100" s="1" a="1"/>
  <c r="K28" i="100" s="1"/>
  <c r="K29" i="100" s="1" a="1"/>
  <c r="K29" i="100" s="1"/>
  <c r="K30" i="100" s="1" a="1"/>
  <c r="K30" i="100" s="1"/>
  <c r="K31" i="100" s="1" a="1"/>
  <c r="K31" i="100" s="1"/>
  <c r="K32" i="100" s="1" a="1"/>
  <c r="K32" i="100" s="1"/>
  <c r="K33" i="100" s="1" a="1"/>
  <c r="K33" i="100" s="1"/>
  <c r="K34" i="100" s="1" a="1"/>
  <c r="K34" i="100" s="1"/>
  <c r="K35" i="100" s="1" a="1"/>
  <c r="K35" i="100" s="1"/>
  <c r="K36" i="100" s="1" a="1"/>
  <c r="K36" i="100" s="1"/>
  <c r="K37" i="100" s="1" a="1"/>
  <c r="K37" i="100" s="1"/>
  <c r="K38" i="100" s="1" a="1"/>
  <c r="K38" i="100" s="1"/>
  <c r="K39" i="100" s="1" a="1"/>
  <c r="K39" i="100" s="1"/>
  <c r="K40" i="100" s="1" a="1"/>
  <c r="K40" i="100" s="1"/>
  <c r="K41" i="100" s="1" a="1"/>
  <c r="K41" i="100" s="1"/>
  <c r="K42" i="100" s="1" a="1"/>
  <c r="K42" i="100" s="1"/>
  <c r="K43" i="100" s="1" a="1"/>
  <c r="K43" i="100" s="1"/>
  <c r="K44" i="100" s="1" a="1"/>
  <c r="K44" i="100" s="1"/>
  <c r="K45" i="100" s="1" a="1"/>
  <c r="K45" i="100" s="1"/>
  <c r="K46" i="100" s="1" a="1"/>
  <c r="K46" i="100" s="1"/>
  <c r="K47" i="100" s="1" a="1"/>
  <c r="K47" i="100" s="1"/>
  <c r="K48" i="100" s="1" a="1"/>
  <c r="K48" i="100" s="1"/>
  <c r="K49" i="100" s="1" a="1"/>
  <c r="K49" i="100" s="1"/>
  <c r="K50" i="100" s="1" a="1"/>
  <c r="K50" i="100" s="1"/>
  <c r="K51" i="100" s="1" a="1"/>
  <c r="K51" i="100" s="1"/>
  <c r="K52" i="100" s="1" a="1"/>
  <c r="K52" i="100" s="1"/>
  <c r="K53" i="100" s="1" a="1"/>
  <c r="K53" i="100" s="1"/>
  <c r="K54" i="100" s="1" a="1"/>
  <c r="K54" i="100" s="1"/>
  <c r="K55" i="100" s="1" a="1"/>
  <c r="K55" i="100" s="1"/>
  <c r="K56" i="100" s="1" a="1"/>
  <c r="K56" i="100" s="1"/>
  <c r="K57" i="100" s="1" a="1"/>
  <c r="K57" i="100" s="1"/>
  <c r="K58" i="100" s="1" a="1"/>
  <c r="K58" i="100" s="1"/>
  <c r="K59" i="100" s="1" a="1"/>
  <c r="K59" i="100" s="1"/>
  <c r="K60" i="100" s="1" a="1"/>
  <c r="K60" i="100" s="1"/>
  <c r="K61" i="100" s="1" a="1"/>
  <c r="K61" i="100" s="1"/>
  <c r="K62" i="100" s="1" a="1"/>
  <c r="K62" i="100" s="1"/>
  <c r="K63" i="100" s="1" a="1"/>
  <c r="K63" i="100" s="1"/>
  <c r="K64" i="100" s="1" a="1"/>
  <c r="K64" i="100" s="1"/>
  <c r="K65" i="100" s="1" a="1"/>
  <c r="K65" i="100" s="1"/>
  <c r="K66" i="100" s="1" a="1"/>
  <c r="K66" i="100" s="1"/>
  <c r="K67" i="100" s="1" a="1"/>
  <c r="K67" i="100" s="1"/>
  <c r="K68" i="100" s="1" a="1"/>
  <c r="K68" i="100" s="1"/>
  <c r="K69" i="100" s="1" a="1"/>
  <c r="K69" i="100" s="1"/>
  <c r="K70" i="100" s="1" a="1"/>
  <c r="K70" i="100" s="1"/>
  <c r="K71" i="100" s="1" a="1"/>
  <c r="K71" i="100" s="1"/>
  <c r="K72" i="100" s="1" a="1"/>
  <c r="K72" i="100" s="1"/>
  <c r="K73" i="100" s="1" a="1"/>
  <c r="K73" i="100" s="1"/>
  <c r="K74" i="100" s="1" a="1"/>
  <c r="K74" i="100" s="1"/>
  <c r="K75" i="100" s="1" a="1"/>
  <c r="K75" i="100" s="1"/>
  <c r="K76" i="100" s="1" a="1"/>
  <c r="K76" i="100" s="1"/>
  <c r="K77" i="100" s="1" a="1"/>
  <c r="K77" i="100" s="1"/>
  <c r="BM1" i="27" l="1"/>
  <c r="BI1" i="27"/>
  <c r="AB31" i="100" a="1"/>
  <c r="AB31" i="100" s="1"/>
  <c r="AB32" i="100" a="1"/>
  <c r="AB32" i="10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Rawa GANJANI</author>
  </authors>
  <commentList>
    <comment ref="W2" authorId="0" shapeId="0" xr:uid="{09265785-C7EA-46BF-AB28-3BBEE8009B08}">
      <text>
        <r>
          <rPr>
            <b/>
            <sz val="9"/>
            <color rgb="FF000000"/>
            <rFont val="Tahoma"/>
            <family val="2"/>
          </rPr>
          <t>Rawa GANJANI:</t>
        </r>
        <r>
          <rPr>
            <sz val="9"/>
            <color rgb="FF000000"/>
            <rFont val="Tahoma"/>
            <family val="2"/>
          </rPr>
          <t xml:space="preserve">
</t>
        </r>
        <r>
          <rPr>
            <sz val="9"/>
            <color rgb="FF000000"/>
            <rFont val="Tahoma"/>
            <family val="2"/>
          </rPr>
          <t xml:space="preserve">Rounded to the nearest 5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<sst xmlns="http://schemas.openxmlformats.org/spreadsheetml/2006/main" count="2783" uniqueCount="719">
  <si>
    <t>JIAF 2 Tool 3: PiN &amp; Severity estimation template</t>
  </si>
  <si>
    <t>Warnings for all sheets!</t>
  </si>
  <si>
    <r>
      <t xml:space="preserve">Pre-set data checks have been coded into the template and they will be implemented as soon as sector data is inserted into the template. OCHA analysis teams are free to modify the template, including additional checks or removing any checks that are deemed not useful by the analysis team. 
At a minimum, the following columns will need to be updated by the teams:
</t>
    </r>
    <r>
      <rPr>
        <b/>
        <sz val="11"/>
        <color theme="1"/>
        <rFont val="Calibri"/>
        <family val="2"/>
        <scheme val="minor"/>
      </rPr>
      <t>ID</t>
    </r>
    <r>
      <rPr>
        <sz val="11"/>
        <color theme="1"/>
        <rFont val="Calibri"/>
        <family val="2"/>
        <scheme val="minor"/>
      </rPr>
      <t xml:space="preserve">: A unique identifier, automatically generated and required to link certain formulas. </t>
    </r>
    <r>
      <rPr>
        <sz val="11"/>
        <color rgb="FFFF0000"/>
        <rFont val="Calibri"/>
        <family val="2"/>
        <scheme val="minor"/>
      </rPr>
      <t>Do not change or delete.</t>
    </r>
    <r>
      <rPr>
        <sz val="11"/>
        <color theme="1"/>
        <rFont val="Calibri"/>
        <family val="2"/>
        <scheme val="minor"/>
      </rPr>
      <t xml:space="preserve">
</t>
    </r>
    <r>
      <rPr>
        <b/>
        <sz val="11"/>
        <color theme="1"/>
        <rFont val="Calibri"/>
        <family val="2"/>
        <scheme val="minor"/>
      </rPr>
      <t>Geographic and Population related columns</t>
    </r>
    <r>
      <rPr>
        <sz val="11"/>
        <color theme="1"/>
        <rFont val="Calibri"/>
        <family val="2"/>
        <scheme val="minor"/>
      </rPr>
      <t xml:space="preserve">: Do not delete columns for admin units and population group; please just hide any column if not needed.
</t>
    </r>
    <r>
      <rPr>
        <b/>
        <sz val="11"/>
        <color theme="1"/>
        <rFont val="Calibri"/>
        <family val="2"/>
        <scheme val="minor"/>
      </rPr>
      <t>Sectoral Data</t>
    </r>
    <r>
      <rPr>
        <sz val="11"/>
        <color theme="1"/>
        <rFont val="Calibri"/>
        <family val="2"/>
        <scheme val="minor"/>
      </rPr>
      <t xml:space="preserve">: sectoral header names can be changed; sector columns can be removed or added in between the first and last collumn (but do not remove the first and the last sector columns); make sure the order of the sector names match the order of their percentage column and if new sector columns are added make sure to write the formula for the percentage calculation. More importantly, </t>
    </r>
    <r>
      <rPr>
        <b/>
        <sz val="11"/>
        <color theme="1"/>
        <rFont val="Calibri"/>
        <family val="2"/>
        <scheme val="minor"/>
      </rPr>
      <t>Do not delete the first and last column of the sectoral data sectio</t>
    </r>
    <r>
      <rPr>
        <sz val="11"/>
        <color theme="1"/>
        <rFont val="Calibri"/>
        <family val="2"/>
        <scheme val="minor"/>
      </rPr>
      <t>n.</t>
    </r>
  </si>
  <si>
    <t>Sheet</t>
  </si>
  <si>
    <t>Description</t>
  </si>
  <si>
    <t>Thresholds</t>
  </si>
  <si>
    <t>Thresholds
- Flagging criteria &amp; thresholds: OCHA analysis team to adjust if necessary the thresholds for pre-set data checks as per agreements with partners.
- Sub-population group sectors: OCHA analysis team to list all sectors targeting sub-population groups (e.g. kids, women, IDPs) in their context.</t>
  </si>
  <si>
    <t>Overall PiN</t>
  </si>
  <si>
    <t>Preliminary PiN: Highest PiN among the Sector PINs is automatically taken as the preliminary PiN.</t>
  </si>
  <si>
    <r>
      <rPr>
        <b/>
        <sz val="11"/>
        <color rgb="FF000000"/>
        <rFont val="Arial"/>
        <family val="2"/>
      </rPr>
      <t>Flags and Outlier Checks:</t>
    </r>
    <r>
      <rPr>
        <sz val="10"/>
        <color rgb="FF000000"/>
        <rFont val="Arial"/>
        <family val="2"/>
      </rPr>
      <t xml:space="preserve">
Please note that the analysis team could decide to adjust the thresholds of these indicators, in the Threshold spreadshee or eliminate  flags that they consider not relevant to their contexts</t>
    </r>
  </si>
  <si>
    <r>
      <rPr>
        <b/>
        <u/>
        <sz val="11"/>
        <color theme="10"/>
        <rFont val="Calibri"/>
        <family val="2"/>
        <scheme val="minor"/>
      </rPr>
      <t xml:space="preserve">Number of missing or zero PiN: </t>
    </r>
    <r>
      <rPr>
        <u/>
        <sz val="11"/>
        <color theme="10"/>
        <rFont val="Calibri"/>
        <family val="2"/>
        <scheme val="minor"/>
      </rPr>
      <t>OCHA analysis team to decide the threshold for accepted number of sectors at unit level not to provide a PiN value or have zero PiN.</t>
    </r>
  </si>
  <si>
    <r>
      <rPr>
        <b/>
        <u/>
        <sz val="11"/>
        <color theme="10"/>
        <rFont val="Calibri"/>
        <family val="2"/>
        <scheme val="minor"/>
      </rPr>
      <t xml:space="preserve">Highest PiN close to the total affected population: </t>
    </r>
    <r>
      <rPr>
        <u/>
        <sz val="11"/>
        <color theme="10"/>
        <rFont val="Calibri"/>
        <family val="2"/>
        <scheme val="minor"/>
      </rPr>
      <t>OCHA analysis team to decide the threshold of acceptable proportion of people in need to the affected population at unit level.</t>
    </r>
  </si>
  <si>
    <r>
      <rPr>
        <b/>
        <u/>
        <sz val="11"/>
        <color theme="10"/>
        <rFont val="Calibri"/>
        <family val="2"/>
        <scheme val="minor"/>
      </rPr>
      <t xml:space="preserve">Highest Sector targets only a subset of the affected population: </t>
    </r>
    <r>
      <rPr>
        <u/>
        <sz val="11"/>
        <color theme="10"/>
        <rFont val="Calibri"/>
        <family val="2"/>
        <scheme val="minor"/>
      </rPr>
      <t>OCHA analysis team to decide the sectors that target only a subset of the affected population.</t>
    </r>
  </si>
  <si>
    <r>
      <rPr>
        <b/>
        <u/>
        <sz val="11"/>
        <color theme="10"/>
        <rFont val="Calibri"/>
        <family val="2"/>
        <scheme val="minor"/>
      </rPr>
      <t xml:space="preserve">Difference b/w highest and 2nd highest: </t>
    </r>
    <r>
      <rPr>
        <u/>
        <sz val="11"/>
        <color theme="10"/>
        <rFont val="Calibri"/>
        <family val="2"/>
        <scheme val="minor"/>
      </rPr>
      <t>OCHA analysis team to decide whether certain outliers between highest sector with 2nd or 3rd highest require flagging for review and to enter 'Flagged' in the column.</t>
    </r>
  </si>
  <si>
    <r>
      <rPr>
        <b/>
        <u/>
        <sz val="11"/>
        <color theme="10"/>
        <rFont val="Calibri"/>
        <family val="2"/>
        <scheme val="minor"/>
      </rPr>
      <t xml:space="preserve">Difference b/w highest and 3rd highest: </t>
    </r>
    <r>
      <rPr>
        <u/>
        <sz val="11"/>
        <color theme="10"/>
        <rFont val="Calibri"/>
        <family val="2"/>
        <scheme val="minor"/>
      </rPr>
      <t>OCHA analysis team to decide whether certain outliers between highest sector with 2nd or 3rd highest require flagging for review and to enter 'Flagged' in the column.</t>
    </r>
  </si>
  <si>
    <r>
      <rPr>
        <b/>
        <u/>
        <sz val="11"/>
        <color theme="10"/>
        <rFont val="Calibri"/>
        <family val="2"/>
        <scheme val="minor"/>
      </rPr>
      <t>% Difference between this HNO's highest or 2nd highest sector PiN to same sector in the last HNO:</t>
    </r>
    <r>
      <rPr>
        <u/>
        <sz val="11"/>
        <color theme="10"/>
        <rFont val="Calibri"/>
        <family val="2"/>
        <scheme val="minor"/>
      </rPr>
      <t xml:space="preserve"> OCHA analysis team to decide the threshold of change for this HNO's highest or 2nd higehst sector PiN and last HNO's PiN for the same sector.</t>
    </r>
  </si>
  <si>
    <t>PiN Historical Trend</t>
  </si>
  <si>
    <t xml:space="preserve">This table can be used to compare current sector PiNs to the previous year's PiNs to identify increases or decreases. 
The current PIN will be automatically loaded from the Overal PIN spreadsheet, provided that the unique ID of the rows match. 
The Previous year's HNO data needs to be loaded in the Historical Trend spreadsheet.
Formulas will automatically calculate the %change from previous to current year and highlights area where PiN is 50% higher or lower than the last HNO's PiN for further investigation. Countries can decide to change this 50% threshold according to their context. </t>
  </si>
  <si>
    <t>PiN Visulas</t>
  </si>
  <si>
    <t>Two visuals that can help better understand sectoral PiN affecting percentage of affected population and the percentage of change from one HNO to the last distribution.</t>
  </si>
  <si>
    <t>Intersectoral Severity</t>
  </si>
  <si>
    <r>
      <rPr>
        <b/>
        <sz val="10"/>
        <color rgb="FF000000"/>
        <rFont val="Arial"/>
        <family val="2"/>
      </rPr>
      <t xml:space="preserve"># of sectors falling under severity phases: </t>
    </r>
    <r>
      <rPr>
        <sz val="10"/>
        <color rgb="FF000000"/>
        <rFont val="Arial"/>
        <family val="2"/>
      </rPr>
      <t>The number of sectors fallen under each severity phase can help better understand and see the relationship of the sectoral severities to the preliminary intersectoral severity.</t>
    </r>
    <r>
      <rPr>
        <b/>
        <sz val="10"/>
        <color rgb="FF000000"/>
        <rFont val="Arial"/>
        <family val="2"/>
      </rPr>
      <t xml:space="preserve">
Preliminary Intersectoral Severity</t>
    </r>
    <r>
      <rPr>
        <sz val="10"/>
        <color rgb="FF000000"/>
        <rFont val="Arial"/>
        <family val="2"/>
      </rPr>
      <t xml:space="preserve">: preliminary intersectoral severity is automatically calculated according to the logical formula.
</t>
    </r>
    <r>
      <rPr>
        <b/>
        <sz val="11"/>
        <color rgb="FF000000"/>
        <rFont val="Arial"/>
        <family val="2"/>
      </rPr>
      <t xml:space="preserve">
Flags and Outlier Checks:
</t>
    </r>
    <r>
      <rPr>
        <b/>
        <sz val="10"/>
        <color rgb="FF000000"/>
        <rFont val="Arial"/>
        <family val="2"/>
      </rPr>
      <t xml:space="preserve">Some sectors having severity phase 5 or 4: </t>
    </r>
    <r>
      <rPr>
        <sz val="10"/>
        <color rgb="FF000000"/>
        <rFont val="Arial"/>
        <family val="2"/>
      </rPr>
      <t xml:space="preserve">OCHA analysis team to decide number of sectors in phase 5 or 4 to be flagged and reviewed to confirm the concentration of high sectoral severities .
</t>
    </r>
    <r>
      <rPr>
        <b/>
        <sz val="10"/>
        <color rgb="FF000000"/>
        <rFont val="Arial"/>
        <family val="2"/>
      </rPr>
      <t>Variation between preliminary severity and outcome indicators:</t>
    </r>
    <r>
      <rPr>
        <sz val="10"/>
        <color rgb="FF000000"/>
        <rFont val="Arial"/>
        <family val="2"/>
      </rPr>
      <t xml:space="preserve"> preliminary intersectoral severity is higher or lower then outcome indicators (by 1 or more).</t>
    </r>
  </si>
  <si>
    <t>Reference Table indicators</t>
  </si>
  <si>
    <t>Fill in reference table indicators data at unit level to automatically calculate the severity of the indicator which will be used to compare the intersectoral severity results with.
If any indicators are added, removed or modified, please make sure that the formulas correctly reflect these changes.</t>
  </si>
  <si>
    <t>Please do not delete this sheet or tables in this sheet!</t>
  </si>
  <si>
    <t>Tables in this sheet are being used in formulas in other sheets!</t>
  </si>
  <si>
    <t>PiN Flagging criteria &amp; thresholds</t>
  </si>
  <si>
    <t>Please assign the thresholds relevant for your country</t>
  </si>
  <si>
    <t>Flag Name</t>
  </si>
  <si>
    <t xml:space="preserve">Flag Description </t>
  </si>
  <si>
    <t>Recommended Threshold</t>
  </si>
  <si>
    <t>Country Threshold</t>
  </si>
  <si>
    <t xml:space="preserve">Explanation for proposing another threshold </t>
  </si>
  <si>
    <t>Purpose</t>
  </si>
  <si>
    <t># Sectors with 0 PiN</t>
  </si>
  <si>
    <t>To flag potential data quality issue</t>
  </si>
  <si>
    <t>% Difference between 1st and 2nd highest PIN</t>
  </si>
  <si>
    <t>% difference threshold between 1st and 2nd highest PiN greater than 30%</t>
  </si>
  <si>
    <t>To identify areas to manual review</t>
  </si>
  <si>
    <t>% Difference between 1st and 3rd highest PIN</t>
  </si>
  <si>
    <t>% difference threshold between 1st and 3rd highest PiN greater than 50%</t>
  </si>
  <si>
    <t>Highest sector PIN targets sub-population group(s)</t>
  </si>
  <si>
    <t>Whenever a sector dealing with a sub-population group is higher than any other sector - e.g., Education and Nutrition</t>
  </si>
  <si>
    <t>PiN greater than 90% of total affected population</t>
  </si>
  <si>
    <t>Flag where the 1st or the 2nd highest PiN is 90% of the affected population</t>
  </si>
  <si>
    <t>Change from last year</t>
  </si>
  <si>
    <t>Flag where the change from last year of the 1st or 2nd highest PiN is significantly higher than the the average change from last year of all sectors</t>
  </si>
  <si>
    <t>Manual Flag</t>
  </si>
  <si>
    <t>Any area can be flagged manually whenever there is a concern by any JIAF analysts about the PIN</t>
  </si>
  <si>
    <t>Outliers from the porpotion of highest PiN in the population nationwide</t>
  </si>
  <si>
    <t>% difference threshold between sectoral PiN change between this year and last year</t>
  </si>
  <si>
    <t>2std</t>
  </si>
  <si>
    <t>PiN - Sub-population group sectors</t>
  </si>
  <si>
    <t>Sector</t>
  </si>
  <si>
    <t>Proportion of sector target population in overall population</t>
  </si>
  <si>
    <t>Decision Rule for determining PIN</t>
  </si>
  <si>
    <t>Education</t>
  </si>
  <si>
    <t>1. accept highest PIN with no flags.  2. Accept highest PiN after reconciling any flags.  3. If no concensus on highest PIN, use 2nd highest PIN.  4. If no consensus on 2nd highest PIN elevate decision to HC level</t>
  </si>
  <si>
    <t>Severity Flagging criteria &amp; thresholds</t>
  </si>
  <si>
    <t xml:space="preserve">Flagging criterion for PIN </t>
  </si>
  <si>
    <t># of sectors in phase 5</t>
  </si>
  <si>
    <t># of sectors in phase 4 with preliminary in phase 4</t>
  </si>
  <si>
    <t>Targeting thresholds</t>
  </si>
  <si>
    <t>Targeting criteria</t>
  </si>
  <si>
    <t>Areas in severity 3</t>
  </si>
  <si>
    <t>50% is the maximun threshold for Severity 3</t>
  </si>
  <si>
    <t>Areas in severity 4 &amp; 5</t>
  </si>
  <si>
    <t>Location</t>
  </si>
  <si>
    <t>Populaton</t>
  </si>
  <si>
    <t>Sectoral PiN (Number)</t>
  </si>
  <si>
    <t>Protection AoRs</t>
  </si>
  <si>
    <t xml:space="preserve">Sectoral % PiN (over total population) </t>
  </si>
  <si>
    <t>Protection AoRs %</t>
  </si>
  <si>
    <t>Highest Sector(s)</t>
  </si>
  <si>
    <t>2nd Highest Sector(s)</t>
  </si>
  <si>
    <t>Difference between Highest and 2nd Highest PiN</t>
  </si>
  <si>
    <t>3rd Highest Sector(s)</t>
  </si>
  <si>
    <t>Difference between Highest and 3rd Highest PiN</t>
  </si>
  <si>
    <t>Historical PiN</t>
  </si>
  <si>
    <t>All Flags</t>
  </si>
  <si>
    <t>Targets</t>
  </si>
  <si>
    <t>ID</t>
  </si>
  <si>
    <t>Admin 1</t>
  </si>
  <si>
    <t>Admin 1 P-Code</t>
  </si>
  <si>
    <t>Admin 2</t>
  </si>
  <si>
    <t>Admin 2 P-Code</t>
  </si>
  <si>
    <t>Admin 3</t>
  </si>
  <si>
    <t>Admin 3 P-Code</t>
  </si>
  <si>
    <t>Pocket of need</t>
  </si>
  <si>
    <t>Population</t>
  </si>
  <si>
    <t>Population Group</t>
  </si>
  <si>
    <t>CCCM</t>
  </si>
  <si>
    <t>Nutrition</t>
  </si>
  <si>
    <t>Food Security</t>
  </si>
  <si>
    <t>Health</t>
  </si>
  <si>
    <t>Overarching Protection</t>
  </si>
  <si>
    <t>Shelter</t>
  </si>
  <si>
    <t>WASH</t>
  </si>
  <si>
    <t>CP</t>
  </si>
  <si>
    <t>GBV</t>
  </si>
  <si>
    <t>GP</t>
  </si>
  <si>
    <t>HLP</t>
  </si>
  <si>
    <t>CCCM%</t>
  </si>
  <si>
    <t>Education%</t>
  </si>
  <si>
    <t>Nutrition%</t>
  </si>
  <si>
    <t>Food Security%</t>
  </si>
  <si>
    <t>Health%</t>
  </si>
  <si>
    <t>Overarching Protection%</t>
  </si>
  <si>
    <t>Shelter%</t>
  </si>
  <si>
    <t>WASH%</t>
  </si>
  <si>
    <t>Child Protection (CP)%</t>
  </si>
  <si>
    <t>Gender-based Violence (GBV)%</t>
  </si>
  <si>
    <t>GP%</t>
  </si>
  <si>
    <t>HLP%</t>
  </si>
  <si>
    <t>Highest PiN</t>
  </si>
  <si>
    <t>Highest sector(s)</t>
  </si>
  <si>
    <t>Highest sector(s') PiN %</t>
  </si>
  <si>
    <t>Number of missing / zero PiNs greater than threshold - Data quality</t>
  </si>
  <si>
    <t>Highest PiN greater than 90% of total affected population</t>
  </si>
  <si>
    <t>Highest sector targets sub-population group(s)</t>
  </si>
  <si>
    <t>2nd Highest PiN</t>
  </si>
  <si>
    <t>2nd Highest sector(s)</t>
  </si>
  <si>
    <t>2nd Highest sector PiN %</t>
  </si>
  <si>
    <t>Difference of PiN between Highest and 2nd Highest</t>
  </si>
  <si>
    <t>% Difference between Highest and 2nd Highest</t>
  </si>
  <si>
    <t>% difference is over a specified threshold between Highest and 2nd Highest</t>
  </si>
  <si>
    <t>3rd Highest PiN</t>
  </si>
  <si>
    <t>3rd Highest sector(s)</t>
  </si>
  <si>
    <t>3rd Highest sector PiN %</t>
  </si>
  <si>
    <t>Difference of PiN between Highest and 3rd Highest</t>
  </si>
  <si>
    <t>% Difference between Highest and 3rd Highest</t>
  </si>
  <si>
    <t>% difference is over a specified threshold between Highest and 3rd Highest</t>
  </si>
  <si>
    <t>Change from last year for the highest sector(s)</t>
  </si>
  <si>
    <t>Change from last year for the highest sector(s) has significantly increased or decreased</t>
  </si>
  <si>
    <t>Change from last year for the 2nd highest sector(s)</t>
  </si>
  <si>
    <t>Change from last year for the 2nd highest sector(s) has significantly increased or decreased</t>
  </si>
  <si>
    <t>Severity</t>
  </si>
  <si>
    <t>Preliminary PiN</t>
  </si>
  <si>
    <t>Explanation for Manual Flag</t>
  </si>
  <si>
    <t># Flags</t>
  </si>
  <si>
    <t>Flagged</t>
  </si>
  <si>
    <t>Final PiN</t>
  </si>
  <si>
    <t>Evidence &amp; Comments</t>
  </si>
  <si>
    <t>People targeted</t>
  </si>
  <si>
    <t>People prioritized</t>
  </si>
  <si>
    <t>MZ0101</t>
  </si>
  <si>
    <t>Cabo Delgado</t>
  </si>
  <si>
    <t>MZ01</t>
  </si>
  <si>
    <t>Ancuabe</t>
  </si>
  <si>
    <t>IDPs</t>
  </si>
  <si>
    <t>MZ0102</t>
  </si>
  <si>
    <t>Balama</t>
  </si>
  <si>
    <t>MZ0103</t>
  </si>
  <si>
    <t>Chiure</t>
  </si>
  <si>
    <t>MZ0104</t>
  </si>
  <si>
    <t>Cidade De Pemba</t>
  </si>
  <si>
    <t>MZ0105</t>
  </si>
  <si>
    <t>Ibo</t>
  </si>
  <si>
    <t>MZ0106</t>
  </si>
  <si>
    <t>Macomia</t>
  </si>
  <si>
    <t>MZ0107</t>
  </si>
  <si>
    <t>Mecufi</t>
  </si>
  <si>
    <t>MZ0108</t>
  </si>
  <si>
    <t>Meluco</t>
  </si>
  <si>
    <t>MZ0109</t>
  </si>
  <si>
    <t>Metuge</t>
  </si>
  <si>
    <t>MZ0110</t>
  </si>
  <si>
    <t>Mocimboa Da Praia</t>
  </si>
  <si>
    <t>MZ0111</t>
  </si>
  <si>
    <t>Montepuez</t>
  </si>
  <si>
    <t>MZ0112</t>
  </si>
  <si>
    <t>Mueda</t>
  </si>
  <si>
    <t>MZ0113</t>
  </si>
  <si>
    <t>Muidumbe</t>
  </si>
  <si>
    <t>MZ0114</t>
  </si>
  <si>
    <t>Namuno</t>
  </si>
  <si>
    <t>MZ0115</t>
  </si>
  <si>
    <t>Nangade</t>
  </si>
  <si>
    <t>MZ0116</t>
  </si>
  <si>
    <t>Palma</t>
  </si>
  <si>
    <t>MZ0118</t>
  </si>
  <si>
    <t>Quissanga</t>
  </si>
  <si>
    <t>MZ0703</t>
  </si>
  <si>
    <t>Nampula</t>
  </si>
  <si>
    <t>MZ07</t>
  </si>
  <si>
    <t>Erati</t>
  </si>
  <si>
    <t>MZ0711</t>
  </si>
  <si>
    <t>Memba</t>
  </si>
  <si>
    <t>MZ0814</t>
  </si>
  <si>
    <t>Niassa</t>
  </si>
  <si>
    <t>MZ08</t>
  </si>
  <si>
    <t>Mecula</t>
  </si>
  <si>
    <t>Returnees</t>
  </si>
  <si>
    <t>Non-Displaced</t>
  </si>
  <si>
    <t>The 1st highest was education hence took 2nd highest</t>
  </si>
  <si>
    <t>Previous Year's Clusters' PiN</t>
  </si>
  <si>
    <t>Current Sectoral PiN</t>
  </si>
  <si>
    <t>Absolute PiN Differences</t>
  </si>
  <si>
    <t>% PiN Differences</t>
  </si>
  <si>
    <t>CCCM - old</t>
  </si>
  <si>
    <t>Education - old</t>
  </si>
  <si>
    <t>Nutrition - old</t>
  </si>
  <si>
    <t>Food Security - old</t>
  </si>
  <si>
    <t>Health - old</t>
  </si>
  <si>
    <t>Overarching Protection - old</t>
  </si>
  <si>
    <t>Shelter - old</t>
  </si>
  <si>
    <t>WASH - old</t>
  </si>
  <si>
    <t>CCCM - new</t>
  </si>
  <si>
    <t>Education - new</t>
  </si>
  <si>
    <t>Nutrition - new</t>
  </si>
  <si>
    <t>Food Security - new</t>
  </si>
  <si>
    <t>Health - new</t>
  </si>
  <si>
    <t>Overarching Protection - new</t>
  </si>
  <si>
    <t>Shelter - new</t>
  </si>
  <si>
    <t>WASH - new</t>
  </si>
  <si>
    <t>PiN Difference for CCCM</t>
  </si>
  <si>
    <t>PiN Difference for Education</t>
  </si>
  <si>
    <t>PiN Difference for Nutrition</t>
  </si>
  <si>
    <t>PiN Difference for Food Security</t>
  </si>
  <si>
    <t>PiN Difference for Health</t>
  </si>
  <si>
    <t>PiN Difference for Overarching Protection</t>
  </si>
  <si>
    <t>PiN Difference for Shelter</t>
  </si>
  <si>
    <t>PiN Difference for WASH</t>
  </si>
  <si>
    <t>Select a sector:</t>
  </si>
  <si>
    <t>Graph Bins</t>
  </si>
  <si>
    <t>Notes:</t>
  </si>
  <si>
    <t>percentages are rounded to the nearest 5 multiples, i.e. 0, 5, 10, 15, …</t>
  </si>
  <si>
    <t>Sectoral Severity</t>
  </si>
  <si>
    <t>Humanitarian Conditions/Outcomes</t>
  </si>
  <si>
    <t>Number of sectors per severity phase</t>
  </si>
  <si>
    <t>Life Threatening</t>
  </si>
  <si>
    <t>Irreversible Harm</t>
  </si>
  <si>
    <t>Basic Analysis</t>
  </si>
  <si>
    <t>Sectoral Severity Flags</t>
  </si>
  <si>
    <t>Reference Indicator Flags</t>
  </si>
  <si>
    <t xml:space="preserve">Final Results
</t>
  </si>
  <si>
    <t>Child Protection (CP)</t>
  </si>
  <si>
    <t>Gender-based Violence (GBV)</t>
  </si>
  <si>
    <t xml:space="preserve"> 1 </t>
  </si>
  <si>
    <t xml:space="preserve"> 2 </t>
  </si>
  <si>
    <t xml:space="preserve"> 3 </t>
  </si>
  <si>
    <t xml:space="preserve"> 4 </t>
  </si>
  <si>
    <t>5</t>
  </si>
  <si>
    <t>Preliminary Intersectoral Severity based on overlap of sectoral deprivations</t>
  </si>
  <si>
    <t>Mortality</t>
  </si>
  <si>
    <t>Malnutrition</t>
  </si>
  <si>
    <t>Epidemics</t>
  </si>
  <si>
    <t>Livelihood Coping</t>
  </si>
  <si>
    <t>HR/IHL Violation</t>
  </si>
  <si>
    <t>Average severity</t>
  </si>
  <si>
    <t>Highest Severity</t>
  </si>
  <si>
    <t>Sectors with Highest Severity</t>
  </si>
  <si>
    <t>2nd Highest Severity</t>
  </si>
  <si>
    <t>Sectors with 2nd Highest Severity</t>
  </si>
  <si>
    <t>1 sector in severity phase 5 [modify the threshold]</t>
  </si>
  <si>
    <t xml:space="preserve">More than 4 Sectors in 4 or worse while Preliminary is 4 </t>
  </si>
  <si>
    <t>2+ phase variation between preliminary severity and severity of any of the outcome indicators</t>
  </si>
  <si>
    <t>1+ phase variation between preliminary severity and severity of at least two of the outcome indicators - in the same direction</t>
  </si>
  <si>
    <t>Severity indicated by sub-national level</t>
  </si>
  <si>
    <t>Final Severity</t>
  </si>
  <si>
    <t>Gaza</t>
  </si>
  <si>
    <t>MZ02</t>
  </si>
  <si>
    <t>Bilene</t>
  </si>
  <si>
    <t>MZ0201</t>
  </si>
  <si>
    <t xml:space="preserve">  </t>
  </si>
  <si>
    <t>Chibuto</t>
  </si>
  <si>
    <t>MZ0202</t>
  </si>
  <si>
    <t>Chicualacuala</t>
  </si>
  <si>
    <t>MZ0203</t>
  </si>
  <si>
    <t>Chigubo</t>
  </si>
  <si>
    <t>MZ0204</t>
  </si>
  <si>
    <t>Chokwe</t>
  </si>
  <si>
    <t>MZ0205</t>
  </si>
  <si>
    <t>Chongoene</t>
  </si>
  <si>
    <t>MZ0206</t>
  </si>
  <si>
    <t>Cidade De Xai-Xai</t>
  </si>
  <si>
    <t>MZ0207</t>
  </si>
  <si>
    <t>Guija</t>
  </si>
  <si>
    <t>MZ0208</t>
  </si>
  <si>
    <t>Limpopo</t>
  </si>
  <si>
    <t>MZ0209</t>
  </si>
  <si>
    <t>Mabalane</t>
  </si>
  <si>
    <t>MZ0210</t>
  </si>
  <si>
    <t>Mandlakaze</t>
  </si>
  <si>
    <t>MZ0211</t>
  </si>
  <si>
    <t>Mapai</t>
  </si>
  <si>
    <t>MZ0212</t>
  </si>
  <si>
    <t>Massangena</t>
  </si>
  <si>
    <t>MZ0213</t>
  </si>
  <si>
    <t>Massingir</t>
  </si>
  <si>
    <t>MZ0214</t>
  </si>
  <si>
    <t>Inhambane</t>
  </si>
  <si>
    <t>MZ03</t>
  </si>
  <si>
    <t>Cidade De Inhambane</t>
  </si>
  <si>
    <t>MZ0301</t>
  </si>
  <si>
    <t>Funhalouro</t>
  </si>
  <si>
    <t>MZ0302</t>
  </si>
  <si>
    <t>Govuro</t>
  </si>
  <si>
    <t>MZ0303</t>
  </si>
  <si>
    <t>Homoine</t>
  </si>
  <si>
    <t>MZ0304</t>
  </si>
  <si>
    <t>Inharrime</t>
  </si>
  <si>
    <t>MZ0305</t>
  </si>
  <si>
    <t>Inhassoro</t>
  </si>
  <si>
    <t>MZ0306</t>
  </si>
  <si>
    <t>Jangamo</t>
  </si>
  <si>
    <t>MZ0307</t>
  </si>
  <si>
    <t>Mabote</t>
  </si>
  <si>
    <t>MZ0308</t>
  </si>
  <si>
    <t>Massinga</t>
  </si>
  <si>
    <t>MZ0309</t>
  </si>
  <si>
    <t>Maxixe</t>
  </si>
  <si>
    <t>MZ0310</t>
  </si>
  <si>
    <t>Morrumbene</t>
  </si>
  <si>
    <t>MZ0311</t>
  </si>
  <si>
    <t>Panda</t>
  </si>
  <si>
    <t>MZ0312</t>
  </si>
  <si>
    <t>Vilankulo</t>
  </si>
  <si>
    <t>MZ0313</t>
  </si>
  <si>
    <t>Zavala</t>
  </si>
  <si>
    <t>MZ0314</t>
  </si>
  <si>
    <t>Manica</t>
  </si>
  <si>
    <t>MZ04</t>
  </si>
  <si>
    <t>Barue</t>
  </si>
  <si>
    <t>MZ0401</t>
  </si>
  <si>
    <t>Cidade De Chimoio</t>
  </si>
  <si>
    <t>MZ0402</t>
  </si>
  <si>
    <t>Gondola</t>
  </si>
  <si>
    <t>MZ0403</t>
  </si>
  <si>
    <t>Guro</t>
  </si>
  <si>
    <t>MZ0404</t>
  </si>
  <si>
    <t>Macate</t>
  </si>
  <si>
    <t>MZ0405</t>
  </si>
  <si>
    <t>Machaze</t>
  </si>
  <si>
    <t>MZ0406</t>
  </si>
  <si>
    <t>Macossa</t>
  </si>
  <si>
    <t>MZ0407</t>
  </si>
  <si>
    <t>MZ0408</t>
  </si>
  <si>
    <t>Mossurize</t>
  </si>
  <si>
    <t>MZ0409</t>
  </si>
  <si>
    <t>Sussundenga</t>
  </si>
  <si>
    <t>MZ0410</t>
  </si>
  <si>
    <t>Tambara</t>
  </si>
  <si>
    <t>MZ0411</t>
  </si>
  <si>
    <t>Vanduzi</t>
  </si>
  <si>
    <t>MZ0412</t>
  </si>
  <si>
    <t>Maputo</t>
  </si>
  <si>
    <t>MZ05</t>
  </si>
  <si>
    <t>Boane</t>
  </si>
  <si>
    <t>MZ0501</t>
  </si>
  <si>
    <t>Cidade Da Matola</t>
  </si>
  <si>
    <t>MZ0502</t>
  </si>
  <si>
    <t>Magude</t>
  </si>
  <si>
    <t>MZ0503</t>
  </si>
  <si>
    <t>Manhiça</t>
  </si>
  <si>
    <t>MZ0504</t>
  </si>
  <si>
    <t>Marracuene</t>
  </si>
  <si>
    <t>MZ0505</t>
  </si>
  <si>
    <t>Matutuine</t>
  </si>
  <si>
    <t>MZ0506</t>
  </si>
  <si>
    <t>Moamba</t>
  </si>
  <si>
    <t>MZ0507</t>
  </si>
  <si>
    <t>Namaacha</t>
  </si>
  <si>
    <t>MZ0508</t>
  </si>
  <si>
    <t>Maputo City</t>
  </si>
  <si>
    <t>MZ06</t>
  </si>
  <si>
    <t>Cidade De Maputo</t>
  </si>
  <si>
    <t>MZ0601</t>
  </si>
  <si>
    <t>Angoche</t>
  </si>
  <si>
    <t>MZ0701</t>
  </si>
  <si>
    <t>Cidade De Nampula</t>
  </si>
  <si>
    <t>MZ0702</t>
  </si>
  <si>
    <t>Ilha De Moçambique</t>
  </si>
  <si>
    <t>MZ0704</t>
  </si>
  <si>
    <t>Lalaua</t>
  </si>
  <si>
    <t>MZ0705</t>
  </si>
  <si>
    <t>Larde</t>
  </si>
  <si>
    <t>MZ0706</t>
  </si>
  <si>
    <t>Liúpo</t>
  </si>
  <si>
    <t>MZ0707</t>
  </si>
  <si>
    <t>Malema</t>
  </si>
  <si>
    <t>MZ0708</t>
  </si>
  <si>
    <t>Meconta</t>
  </si>
  <si>
    <t>MZ0709</t>
  </si>
  <si>
    <t>Mecuburi</t>
  </si>
  <si>
    <t>MZ0710</t>
  </si>
  <si>
    <t>Mogincual</t>
  </si>
  <si>
    <t>MZ0712</t>
  </si>
  <si>
    <t>Mogovolas</t>
  </si>
  <si>
    <t>MZ0713</t>
  </si>
  <si>
    <t>Moma</t>
  </si>
  <si>
    <t>MZ0714</t>
  </si>
  <si>
    <t>Monapo</t>
  </si>
  <si>
    <t>MZ0715</t>
  </si>
  <si>
    <t>Mossuril</t>
  </si>
  <si>
    <t>MZ0716</t>
  </si>
  <si>
    <t>Muecate</t>
  </si>
  <si>
    <t>MZ0717</t>
  </si>
  <si>
    <t>Murrupula</t>
  </si>
  <si>
    <t>MZ0718</t>
  </si>
  <si>
    <t>Nacala</t>
  </si>
  <si>
    <t>MZ0719</t>
  </si>
  <si>
    <t>Nacala-A-Velha</t>
  </si>
  <si>
    <t>MZ0720</t>
  </si>
  <si>
    <t>Nacaroa</t>
  </si>
  <si>
    <t>MZ0721</t>
  </si>
  <si>
    <t>Rapale</t>
  </si>
  <si>
    <t>MZ0722</t>
  </si>
  <si>
    <t>Ribaue</t>
  </si>
  <si>
    <t>MZ0723</t>
  </si>
  <si>
    <t>Chimbonila</t>
  </si>
  <si>
    <t>MZ0801</t>
  </si>
  <si>
    <t>Cidade De Lichinga</t>
  </si>
  <si>
    <t>MZ0802</t>
  </si>
  <si>
    <t>Cuamba</t>
  </si>
  <si>
    <t>MZ0803</t>
  </si>
  <si>
    <t>Ilha Licom</t>
  </si>
  <si>
    <t>MZ0804</t>
  </si>
  <si>
    <t>Ilha Risunodo</t>
  </si>
  <si>
    <t>MZ0805</t>
  </si>
  <si>
    <t>Lago</t>
  </si>
  <si>
    <t>MZ0806</t>
  </si>
  <si>
    <t>Lago Niassa</t>
  </si>
  <si>
    <t>MZ0807</t>
  </si>
  <si>
    <t>Majune</t>
  </si>
  <si>
    <t>MZ0808</t>
  </si>
  <si>
    <t>Mandimba</t>
  </si>
  <si>
    <t>MZ0809</t>
  </si>
  <si>
    <t>Marrupa</t>
  </si>
  <si>
    <t>MZ0810</t>
  </si>
  <si>
    <t>Maua</t>
  </si>
  <si>
    <t>MZ0811</t>
  </si>
  <si>
    <t>Mavago</t>
  </si>
  <si>
    <t>MZ0812</t>
  </si>
  <si>
    <t>Mecanhelas</t>
  </si>
  <si>
    <t>MZ0813</t>
  </si>
  <si>
    <t>Metarica</t>
  </si>
  <si>
    <t>MZ0815</t>
  </si>
  <si>
    <t>Muembe</t>
  </si>
  <si>
    <t>MZ0816</t>
  </si>
  <si>
    <t>Ngauma</t>
  </si>
  <si>
    <t>MZ0817</t>
  </si>
  <si>
    <t>Nipepe</t>
  </si>
  <si>
    <t>MZ0818</t>
  </si>
  <si>
    <t>Sanga</t>
  </si>
  <si>
    <t>MZ0819</t>
  </si>
  <si>
    <t>Sofala</t>
  </si>
  <si>
    <t>MZ09</t>
  </si>
  <si>
    <t>Buzi</t>
  </si>
  <si>
    <t>MZ0901</t>
  </si>
  <si>
    <t>Caia</t>
  </si>
  <si>
    <t>MZ0902</t>
  </si>
  <si>
    <t>Chemba</t>
  </si>
  <si>
    <t>MZ0903</t>
  </si>
  <si>
    <t>Cheringoma</t>
  </si>
  <si>
    <t>MZ0904</t>
  </si>
  <si>
    <t>Chibabava</t>
  </si>
  <si>
    <t>MZ0905</t>
  </si>
  <si>
    <t>Cidade Da Beira</t>
  </si>
  <si>
    <t>MZ0906</t>
  </si>
  <si>
    <t>Dondo</t>
  </si>
  <si>
    <t>MZ0907</t>
  </si>
  <si>
    <t>Gorongosa</t>
  </si>
  <si>
    <t>MZ0908</t>
  </si>
  <si>
    <t>Machanga</t>
  </si>
  <si>
    <t>MZ0909</t>
  </si>
  <si>
    <t>Maringue</t>
  </si>
  <si>
    <t>MZ0910</t>
  </si>
  <si>
    <t>Marromeu</t>
  </si>
  <si>
    <t>MZ0911</t>
  </si>
  <si>
    <t>Muanza</t>
  </si>
  <si>
    <t>MZ0912</t>
  </si>
  <si>
    <t>Nhamatanda</t>
  </si>
  <si>
    <t>MZ0913</t>
  </si>
  <si>
    <t>Tete</t>
  </si>
  <si>
    <t>MZ10</t>
  </si>
  <si>
    <t>Angonia</t>
  </si>
  <si>
    <t>MZ1001</t>
  </si>
  <si>
    <t>Cahora Bassa</t>
  </si>
  <si>
    <t>MZ1002</t>
  </si>
  <si>
    <t>Changara</t>
  </si>
  <si>
    <t>MZ1003</t>
  </si>
  <si>
    <t>Chifunde</t>
  </si>
  <si>
    <t>MZ1004</t>
  </si>
  <si>
    <t>Chiuta</t>
  </si>
  <si>
    <t>MZ1005</t>
  </si>
  <si>
    <t>Cidade De Tete</t>
  </si>
  <si>
    <t>MZ1006</t>
  </si>
  <si>
    <t>Doa</t>
  </si>
  <si>
    <t>MZ1007</t>
  </si>
  <si>
    <t>Macanga</t>
  </si>
  <si>
    <t>MZ1008</t>
  </si>
  <si>
    <t>Magoe</t>
  </si>
  <si>
    <t>MZ1009</t>
  </si>
  <si>
    <t>Marara</t>
  </si>
  <si>
    <t>MZ1010</t>
  </si>
  <si>
    <t>Maravia</t>
  </si>
  <si>
    <t>MZ1011</t>
  </si>
  <si>
    <t>Moatize</t>
  </si>
  <si>
    <t>MZ1012</t>
  </si>
  <si>
    <t>Mutarara</t>
  </si>
  <si>
    <t>MZ1013</t>
  </si>
  <si>
    <t>Tsangano</t>
  </si>
  <si>
    <t>MZ1014</t>
  </si>
  <si>
    <t>Zumbu</t>
  </si>
  <si>
    <t>MZ1015</t>
  </si>
  <si>
    <t>Zambezia</t>
  </si>
  <si>
    <t>MZ11</t>
  </si>
  <si>
    <t>Alto Molocue</t>
  </si>
  <si>
    <t>MZ1101</t>
  </si>
  <si>
    <t>Chinde</t>
  </si>
  <si>
    <t>MZ1102</t>
  </si>
  <si>
    <t>Cidade De Quelimane</t>
  </si>
  <si>
    <t>MZ1103</t>
  </si>
  <si>
    <t>Derre</t>
  </si>
  <si>
    <t>MZ1104</t>
  </si>
  <si>
    <t>Gile</t>
  </si>
  <si>
    <t>MZ1105</t>
  </si>
  <si>
    <t>Gurue</t>
  </si>
  <si>
    <t>MZ1106</t>
  </si>
  <si>
    <t>Ile</t>
  </si>
  <si>
    <t>MZ1107</t>
  </si>
  <si>
    <t>Inhassunge</t>
  </si>
  <si>
    <t>MZ1108</t>
  </si>
  <si>
    <t>Luabo</t>
  </si>
  <si>
    <t>MZ1109</t>
  </si>
  <si>
    <t>Lugela</t>
  </si>
  <si>
    <t>MZ1110</t>
  </si>
  <si>
    <t>Maganja Da Costa</t>
  </si>
  <si>
    <t>MZ1111</t>
  </si>
  <si>
    <t>Maquival</t>
  </si>
  <si>
    <t>MZ1112</t>
  </si>
  <si>
    <t>Milange</t>
  </si>
  <si>
    <t>MZ1113</t>
  </si>
  <si>
    <t>Mocuba</t>
  </si>
  <si>
    <t>MZ1114</t>
  </si>
  <si>
    <t>Mocubela</t>
  </si>
  <si>
    <t>MZ1115</t>
  </si>
  <si>
    <t>Molumbo</t>
  </si>
  <si>
    <t>MZ1116</t>
  </si>
  <si>
    <t>Mopeia</t>
  </si>
  <si>
    <t>MZ1117</t>
  </si>
  <si>
    <t>Morrumbala</t>
  </si>
  <si>
    <t>MZ1118</t>
  </si>
  <si>
    <t>Mulevala</t>
  </si>
  <si>
    <t>MZ1119</t>
  </si>
  <si>
    <t>Namacurra</t>
  </si>
  <si>
    <t>MZ1120</t>
  </si>
  <si>
    <t>Namarroi</t>
  </si>
  <si>
    <t>MZ1121</t>
  </si>
  <si>
    <t>Nicoadala</t>
  </si>
  <si>
    <t>MZ1122</t>
  </si>
  <si>
    <t>Pebane</t>
  </si>
  <si>
    <t>MZ1123</t>
  </si>
  <si>
    <t>Humanitarian Conditions</t>
  </si>
  <si>
    <t>Life Threatining Conditions</t>
  </si>
  <si>
    <t>CDR x/10,000/day</t>
  </si>
  <si>
    <t>Under 5 Death Rate</t>
  </si>
  <si>
    <t>Civilian Casualty</t>
  </si>
  <si>
    <t>Death or Iminanet Risk of Death Severity</t>
  </si>
  <si>
    <t>WHZ</t>
  </si>
  <si>
    <t>MUAC</t>
  </si>
  <si>
    <t>Malnutrition Severity</t>
  </si>
  <si>
    <t>Epidemic 1</t>
  </si>
  <si>
    <t>Epidemic 2</t>
  </si>
  <si>
    <t>Epidemic Severity</t>
  </si>
  <si>
    <t>Coping Strategy (Minimal)</t>
  </si>
  <si>
    <t>Coping Strategy (Stress)</t>
  </si>
  <si>
    <t>Coping Strategy (Severe)</t>
  </si>
  <si>
    <t>Coping Strategy (Extreme)</t>
  </si>
  <si>
    <t>Coping Strategy (Catastrophic)</t>
  </si>
  <si>
    <t>Coping Strategy Severity</t>
  </si>
  <si>
    <t>Values</t>
  </si>
  <si>
    <t>Sum of Population</t>
  </si>
  <si>
    <t>Sum of CCCM</t>
  </si>
  <si>
    <t>Sum of Education</t>
  </si>
  <si>
    <t>Sum of Food Security</t>
  </si>
  <si>
    <t>Sum of Health</t>
  </si>
  <si>
    <t>Sum of Nutrition</t>
  </si>
  <si>
    <t>Sum of Overarching Protection</t>
  </si>
  <si>
    <t>Sum of GP</t>
  </si>
  <si>
    <t>Sum of CP</t>
  </si>
  <si>
    <t>Sum of GBV</t>
  </si>
  <si>
    <t>Sum of HLP</t>
  </si>
  <si>
    <t>Sum of Shelter</t>
  </si>
  <si>
    <t>Sum of WASH</t>
  </si>
  <si>
    <t>Sum of Final PiN</t>
  </si>
  <si>
    <t>Sum of People targeted</t>
  </si>
  <si>
    <t>Sum of People prioritized</t>
  </si>
  <si>
    <t>Max of Severity</t>
  </si>
  <si>
    <t>Grand Total</t>
  </si>
  <si>
    <t>Cluster</t>
  </si>
  <si>
    <t>2026 Need Indicator</t>
  </si>
  <si>
    <t xml:space="preserve"> Vulnerable groups</t>
  </si>
  <si>
    <t>Data Sources</t>
  </si>
  <si>
    <t>Data limitation</t>
  </si>
  <si>
    <t>% of Households that Received Assistance, by Timing of Last Assistance</t>
  </si>
  <si>
    <t>MSNA 18092025</t>
  </si>
  <si>
    <t>HH level, weights at District Level</t>
  </si>
  <si>
    <t>% of households having faced barriers towards accessing aid in the 12 months prior to data collection, by barrier</t>
  </si>
  <si>
    <t>% of households by information type received in the last 30 days</t>
  </si>
  <si>
    <t>% of households by preferred means (channel) for providing feedback</t>
  </si>
  <si>
    <t>% of households reporting conflicts/problems in relations between host and displaced communities</t>
  </si>
  <si>
    <t>IDP demographic data</t>
  </si>
  <si>
    <t>INGD Ponto de Situacao de Deslocamentos Internos face aos ataques exporadicos ocorridos na Provincia 28Sep25</t>
  </si>
  <si>
    <t># children accesssing learning in poor conditions and unprotected enviroments</t>
  </si>
  <si>
    <t>Children 5-17 y-o; Teachers</t>
  </si>
  <si>
    <t>MSNA; School Census</t>
  </si>
  <si>
    <t>Limited comparability of data between sources</t>
  </si>
  <si>
    <t># children out-of-school</t>
  </si>
  <si>
    <t xml:space="preserve">Children 5-17 y-o; </t>
  </si>
  <si>
    <t>MSNA</t>
  </si>
  <si>
    <t xml:space="preserve"> Household bias</t>
  </si>
  <si>
    <t>FSL</t>
  </si>
  <si>
    <t>FSC - Food Consuption Score</t>
  </si>
  <si>
    <t>All Population (Breakdown of IDPs available for certain districts, and for returnees and Non-displaced we used proporcional of 50% of each group)</t>
  </si>
  <si>
    <t>IPC Report post Shocks - MAAP (SETSAN)</t>
  </si>
  <si>
    <t>Coverage of districts limited to 66, beased on most affected by shocks</t>
  </si>
  <si>
    <t>HDDS - Household Diet Diversity Score</t>
  </si>
  <si>
    <t>HHS - Household Hunger Score</t>
  </si>
  <si>
    <t>rCSI - Reduced Coping Strategy Index</t>
  </si>
  <si>
    <t>Livelihood Change</t>
  </si>
  <si>
    <t># of children under 1 year of age receiving (DPT3/PENTA3)</t>
  </si>
  <si>
    <t>Children &lt;1 year</t>
  </si>
  <si>
    <t>SISMA-MISAU-2024</t>
  </si>
  <si>
    <t># OF CHILDREN RECEIVING DPT3/PENTA</t>
  </si>
  <si>
    <t># of children under 1 receiving measles vaccination</t>
  </si>
  <si>
    <t xml:space="preserve"># OF CHILDREN VACINATED </t>
  </si>
  <si>
    <t>Acute Watery Diarrhoea (AWD) Attack rate per 100 people</t>
  </si>
  <si>
    <t>Whole population</t>
  </si>
  <si>
    <t>under-reporting for community based events. Inadequate community surveillance some cases may be under reported</t>
  </si>
  <si>
    <t xml:space="preserve">Percentage of functional health facilities </t>
  </si>
  <si>
    <t>HeRAMS last Q (Oct-Dec)_2024</t>
  </si>
  <si>
    <t>HeRAMS data covers only- Cabo Delgado</t>
  </si>
  <si>
    <t xml:space="preserve">Nutrition </t>
  </si>
  <si>
    <t xml:space="preserve">Number of Children under 5 admited for SAM tretament </t>
  </si>
  <si>
    <t>Children U5</t>
  </si>
  <si>
    <t>SISMA-MISAU</t>
  </si>
  <si>
    <t>Desagregation by admin 3</t>
  </si>
  <si>
    <t xml:space="preserve">Number of Children under 5 admited for MAM tretament </t>
  </si>
  <si>
    <t xml:space="preserve">Number of PBW admited for malnutrition treatment </t>
  </si>
  <si>
    <t>PBW</t>
  </si>
  <si>
    <t>Number of children 6 to 59 months receiving Vitamin A</t>
  </si>
  <si>
    <t>Number of children 12 to 59 months receiving Deworming</t>
  </si>
  <si>
    <t xml:space="preserve">Number of Caregivers attending the IYCF sessions </t>
  </si>
  <si>
    <t>People</t>
  </si>
  <si>
    <t xml:space="preserve">Number of children 6 to 59 months screened for malnutrition </t>
  </si>
  <si>
    <t xml:space="preserve"> % people accessing a sufficient quantity of safe water for drinking and domestic use  (disaggregated by age, gender and disability)</t>
  </si>
  <si>
    <t>IDPs, Returnees, Non-displaced</t>
  </si>
  <si>
    <t>MSNA 2025 and JMP</t>
  </si>
  <si>
    <t>JMP 17 used for severity in southern and center provinces where MSNA did not cover.</t>
  </si>
  <si>
    <t>% of people accessing safe and appropriate sanitation facilities (Appropriate = sex disaggregated, secure, private, clean, and well maintained for communal facilities and secure, private, clean and well maintained for household facilities )</t>
  </si>
  <si>
    <t>% of people having access to basic hygiene materials for handwashing and menstrual hygiene health (disaggregated by age, gender and disability)</t>
  </si>
  <si>
    <t>Cholera vulnerability (Hotspot, Cholera cases)</t>
  </si>
  <si>
    <t>MISAU: Instituto Nacional de Saude -
Direccao de inqueritos e Observacao em Saude. Relatório de Mapemento de Areas Criticas de Cólera em Moçambique. 2023
MISAU: Actualização epidemiológica sobre a cólera. Casos de 2022 - Junio 2023, Nov - Julho 2024, Agosto 2025</t>
  </si>
  <si>
    <t>Acute malnutrition rate (GAM)</t>
  </si>
  <si>
    <t>Nutrition cluster: 
Acute malnutrition (IDS 2022-2023) OR SMART 2025 (Combined)</t>
  </si>
  <si>
    <t>For districts where latest GAM rates were not available IDS 2022-2023 was used as recommended by Nutrition Cluster</t>
  </si>
  <si>
    <t>Natural Disasters</t>
  </si>
  <si>
    <t>INGD Natural disasters vulnerability</t>
  </si>
  <si>
    <t>Protection</t>
  </si>
  <si>
    <t># of people reached through early warning messages</t>
  </si>
  <si>
    <t># of persons (humanitarian actors, local authorities, etc) reached through capacity strengthening, training, and advocacy</t>
  </si>
  <si>
    <t># of persons assisted with civil documentation needs or requirements</t>
  </si>
  <si>
    <t># of persons assisted through case management (Legal services, MHPSS, PWSN)</t>
  </si>
  <si>
    <t># of persons reached through community-based protection</t>
  </si>
  <si>
    <t>Child Protection</t>
  </si>
  <si>
    <t>#of recreational MHPSS activities conducted in safe spaces or communities</t>
  </si>
  <si>
    <t>#children and caregivers accessing focused and specialized MHPSS services, including through referral</t>
  </si>
  <si>
    <t># of children affected by violence, abuse, neglect, and exploitation including survivors of sexual and gender-based violence receiving individual case management services</t>
  </si>
  <si>
    <t># of cases closed with positive outcomes for the child and family.</t>
  </si>
  <si>
    <t># of UA/SC identified and documented</t>
  </si>
  <si>
    <t># of UA/SC reunited with their families or primary caregivers</t>
  </si>
  <si>
    <t># of UA/SC accessed to alternative care</t>
  </si>
  <si>
    <t># of girls and boys released/exited from the armed forces or armed groups benefited from reintegration services</t>
  </si>
  <si>
    <t># of child marriage cases identified, referred, and supported through case management services</t>
  </si>
  <si>
    <t># of children, adolescents, and caregivers access to key messages and youth empowerment initiatives, including CP, GBV</t>
  </si>
  <si>
    <t># of girls and boys whose births have been officially registered</t>
  </si>
  <si>
    <t>Gender Based Violence</t>
  </si>
  <si>
    <t>% of safety audit recommendations addressed  by partners , # of safety audits conducted</t>
  </si>
  <si>
    <t># of districts with functional case management services</t>
  </si>
  <si>
    <t># of CAIs providing multisectoral services in Cabo Delgado</t>
  </si>
  <si>
    <t># of women , girls, men and boys including persons with disabilites reached with GBV prevention and risk mitigation activities and messages including PSEA</t>
  </si>
  <si>
    <t># of districts with functional referral pathways in place</t>
  </si>
  <si>
    <t xml:space="preserve"># of community based GBV networks strengthened to provide information on GBV services and referral, community risk mitigation and preparedness actions. </t>
  </si>
  <si>
    <t># of women, girls, men and boys who received PFA &amp; PSS services</t>
  </si>
  <si>
    <t xml:space="preserve"># of women and girls who received material assistances - dignity kits, cash /vouchers for case management and access to health </t>
  </si>
  <si>
    <t xml:space="preserve"># of women and girls that recieved psychosocial support ( individual and group therapy sessions) from WGSS                                       </t>
  </si>
  <si>
    <t xml:space="preserve"># of functional WGSS providing GBV services including empowerment and life skills training </t>
  </si>
  <si>
    <t># of GBV specialised and Non-specialised personnel trained on GBV and health applicable thematic areas</t>
  </si>
  <si>
    <t>Housing, Land and Property</t>
  </si>
  <si>
    <t># of community leaders who benefited from HLP capacity-building &amp; mainstreaming activities</t>
  </si>
  <si>
    <t># of people consulted/sensitized via HLP due diligence exercises</t>
  </si>
  <si>
    <t># of people who received awareness raising sessions on HLP rights</t>
  </si>
  <si>
    <t># of people who received HLP legal assistance (collectively or individually)</t>
  </si>
  <si>
    <t>Ind 1.1: Level of safety and security provided by the shelter (defects, issues, damage, location / environment)</t>
  </si>
  <si>
    <t>IDPs, Rerturnees and HC</t>
  </si>
  <si>
    <t>Dtm collected 88% of the data prior to the recent wave of attacks</t>
  </si>
  <si>
    <t>Ind 1.2: Level of privacy provided by the shelter (overcrowding, partitions)</t>
  </si>
  <si>
    <t>Ind 1.3: Level of thermal comfort provided by the shelter (protection against weather)</t>
  </si>
  <si>
    <t>Ind 1.4: Level of security of tenure</t>
  </si>
  <si>
    <t>Ind 2.1: Ability to cook</t>
  </si>
  <si>
    <t>Ind 2.2: Able to store food / water</t>
  </si>
  <si>
    <t>Ind 2.3: Able to sleep</t>
  </si>
  <si>
    <t>Ind 2.4: Able to perform personal hygiene</t>
  </si>
  <si>
    <t>Ind 2.5: Adequate access to electricity</t>
  </si>
  <si>
    <t>Ind 2.6: Able to perform any other core domestic function (as relevant to the context)</t>
  </si>
  <si>
    <t>% of hhs without access to multi sector services</t>
  </si>
  <si>
    <t>(Multiple Items)</t>
  </si>
  <si>
    <t>Count of Health</t>
  </si>
  <si>
    <t>Total</t>
  </si>
  <si>
    <t>PiN Correlation Coefficient</t>
  </si>
  <si>
    <t>Severity Correlation Coefficient</t>
  </si>
  <si>
    <t>Sectoral PiN values overlapping at unit level 
(they have a value in the same rounded percentage range)</t>
  </si>
  <si>
    <t>Sectoral severity values overlapping at unit level 
(they have the same severity phase)</t>
  </si>
  <si>
    <t>Sectoral PiN values coming up as highest and second highest at unit level 
(# of units sector A is highest and sector B is second highest)</t>
  </si>
  <si>
    <t>Sectoral Severity phases coming up as highest and second highest at unit level 
(# of units sector A is highest and sector B is second highest)</t>
  </si>
  <si>
    <t>Highest Sectors</t>
  </si>
  <si>
    <t>Second Highest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</si>
</sst>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 #,##0.00_-;\-* #,##0.00_-;_-* &quot;-&quot;??_-;_-@_-"/>
    <numFmt numFmtId="165" formatCode="_ * #,##0.00_ ;_ * \-#,##0.00_ ;_ * &quot;-&quot;??_ ;_ @_ "/>
    <numFmt numFmtId="166" formatCode="_-* #,##0_-;\-* #,##0_-;_-* &quot;-&quot;??_-;_-@_-"/>
    <numFmt numFmtId="167" formatCode="_ * #,##0_ ;_ * \-#,##0_ ;_ * &quot;-&quot;??_ ;_ @_ "/>
    <numFmt numFmtId="168" formatCode="_ * #,##0.0_ ;_ * \-#,##0.0_ ;_ * &quot;-&quot;??_ ;_ @_ "/>
    <numFmt numFmtId="169" formatCode="0.0%"/>
    <numFmt numFmtId="170" formatCode="#,##0_ ;\-#,##0\ "/>
  </numFmts>
  <fonts count="48">
    <font>
      <sz val="11"/>
      <color theme="1"/>
      <name val="Calibri"/>
      <family val="2"/>
      <scheme val="minor"/>
    </font>
    <font>
      <sz val="11"/>
      <color theme="1"/>
      <name val="Arial"/>
      <family val="2"/>
    </font>
    <font>
      <sz val="11"/>
      <color theme="1"/>
      <name val="Calibri"/>
      <family val="2"/>
      <scheme val="minor"/>
    </font>
    <font>
      <sz val="10"/>
      <color theme="1"/>
      <name val="Arial Narrow"/>
      <family val="2"/>
    </font>
    <font>
      <sz val="11"/>
      <color theme="1"/>
      <name val="Arial"/>
      <family val="2"/>
    </font>
    <font>
      <b/>
      <sz val="10"/>
      <color theme="0"/>
      <name val="Arial"/>
      <family val="2"/>
    </font>
    <font>
      <sz val="10"/>
      <color theme="1"/>
      <name val="Arial"/>
      <family val="2"/>
    </font>
    <font>
      <b/>
      <sz val="12"/>
      <color theme="0"/>
      <name val="Arial"/>
      <family val="2"/>
    </font>
    <font>
      <sz val="10"/>
      <color rgb="FF000000"/>
      <name val="Arial"/>
      <family val="2"/>
    </font>
    <font>
      <sz val="8"/>
      <name val="Calibri"/>
      <family val="2"/>
      <scheme val="minor"/>
    </font>
    <font>
      <sz val="10"/>
      <name val="Arial"/>
      <family val="2"/>
    </font>
    <font>
      <b/>
      <sz val="10"/>
      <color rgb="FFFFC000"/>
      <name val="Arial"/>
      <family val="2"/>
    </font>
    <font>
      <b/>
      <sz val="18"/>
      <color theme="1"/>
      <name val="Arial"/>
      <family val="2"/>
    </font>
    <font>
      <sz val="8"/>
      <color theme="1"/>
      <name val="Arial"/>
      <family val="2"/>
    </font>
    <font>
      <sz val="8"/>
      <name val="Arial"/>
      <family val="2"/>
    </font>
    <font>
      <b/>
      <sz val="8"/>
      <color theme="1"/>
      <name val="Arial"/>
      <family val="2"/>
    </font>
    <font>
      <sz val="8"/>
      <color rgb="FFFF0000"/>
      <name val="Arial"/>
      <family val="2"/>
    </font>
    <font>
      <b/>
      <sz val="9"/>
      <color theme="0"/>
      <name val="Arial"/>
      <family val="2"/>
    </font>
    <font>
      <b/>
      <sz val="12"/>
      <color theme="1"/>
      <name val="Arial"/>
      <family val="2"/>
    </font>
    <font>
      <b/>
      <sz val="10"/>
      <name val="Arial"/>
      <family val="2"/>
    </font>
    <font>
      <sz val="9"/>
      <color rgb="FFFFC000"/>
      <name val="Arial"/>
      <family val="2"/>
    </font>
    <font>
      <b/>
      <sz val="9"/>
      <color rgb="FFFFC000"/>
      <name val="Arial"/>
      <family val="2"/>
    </font>
    <font>
      <b/>
      <sz val="9"/>
      <name val="Arial"/>
      <family val="2"/>
    </font>
    <font>
      <b/>
      <sz val="14"/>
      <color theme="0"/>
      <name val="Arial"/>
      <family val="2"/>
    </font>
    <font>
      <b/>
      <sz val="11"/>
      <color theme="0"/>
      <name val="Arial"/>
      <family val="2"/>
    </font>
    <font>
      <sz val="10"/>
      <color theme="1"/>
      <name val="Calibri"/>
      <family val="2"/>
      <scheme val="minor"/>
    </font>
    <font>
      <b/>
      <sz val="9"/>
      <color rgb="FF000000"/>
      <name val="Tahoma"/>
      <family val="2"/>
    </font>
    <font>
      <sz val="9"/>
      <color rgb="FF000000"/>
      <name val="Tahoma"/>
      <family val="2"/>
    </font>
    <font>
      <b/>
      <sz val="9"/>
      <color theme="3"/>
      <name val="Arial"/>
      <family val="2"/>
    </font>
    <font>
      <b/>
      <sz val="11"/>
      <name val="Arial"/>
      <family val="2"/>
    </font>
    <font>
      <b/>
      <sz val="10"/>
      <color rgb="FF000000"/>
      <name val="Arial"/>
      <family val="2"/>
    </font>
    <font>
      <b/>
      <sz val="11"/>
      <color theme="1"/>
      <name val="Arial"/>
      <family val="2"/>
    </font>
    <font>
      <b/>
      <sz val="8"/>
      <name val="Arial"/>
      <family val="2"/>
    </font>
    <font>
      <sz val="10"/>
      <color rgb="FFFF0000"/>
      <name val="Arial"/>
      <family val="2"/>
    </font>
    <font>
      <sz val="8"/>
      <color theme="0"/>
      <name val="Arial"/>
      <family val="2"/>
    </font>
    <font>
      <sz val="8"/>
      <color theme="0" tint="-4.9989318521683403E-2"/>
      <name val="Arial"/>
      <family val="2"/>
    </font>
    <font>
      <b/>
      <sz val="14"/>
      <color theme="1"/>
      <name val="Calibri"/>
      <family val="2"/>
      <scheme val="minor"/>
    </font>
    <font>
      <sz val="11"/>
      <name val="Arial"/>
      <family val="2"/>
    </font>
    <font>
      <sz val="10"/>
      <color rgb="FFFFC000"/>
      <name val="Arial"/>
      <family val="2"/>
    </font>
    <font>
      <b/>
      <i/>
      <sz val="10"/>
      <color theme="1"/>
      <name val="Arial"/>
      <family val="2"/>
    </font>
    <font>
      <b/>
      <sz val="11"/>
      <color rgb="FF000000"/>
      <name val="Arial"/>
      <family val="2"/>
    </font>
    <font>
      <b/>
      <sz val="11"/>
      <color theme="1"/>
      <name val="Calibri"/>
      <family val="2"/>
      <scheme val="minor"/>
    </font>
    <font>
      <sz val="11"/>
      <color rgb="FFFF0000"/>
      <name val="Calibri"/>
      <family val="2"/>
      <scheme val="minor"/>
    </font>
    <font>
      <u/>
      <sz val="11"/>
      <color theme="10"/>
      <name val="Calibri"/>
      <family val="2"/>
      <scheme val="minor"/>
    </font>
    <font>
      <b/>
      <u/>
      <sz val="11"/>
      <color theme="10"/>
      <name val="Calibri"/>
      <family val="2"/>
      <scheme val="minor"/>
    </font>
    <font>
      <b/>
      <sz val="11"/>
      <color rgb="FFFF0000"/>
      <name val="Arial"/>
      <family val="2"/>
    </font>
    <font>
      <b/>
      <sz val="16"/>
      <color theme="0"/>
      <name val="Calibri"/>
      <family val="2"/>
      <scheme val="minor"/>
    </font>
    <font>
      <sz val="11"/>
      <color theme="0"/>
      <name val="Calibri"/>
      <family val="2"/>
      <scheme val="minor"/>
    </font>
  </fonts>
  <fills count="39">
    <fill>
      <patternFill patternType="none"/>
    </fill>
    <fill>
      <patternFill patternType="gray125"/>
    </fill>
    <fill>
      <patternFill patternType="solid">
        <fgColor rgb="FF335E8D"/>
        <bgColor theme="4"/>
      </patternFill>
    </fill>
    <fill>
      <patternFill patternType="solid">
        <fgColor rgb="FFFFFF00"/>
        <bgColor indexed="64"/>
      </patternFill>
    </fill>
    <fill>
      <patternFill patternType="solid">
        <fgColor rgb="FF8FB6C9"/>
        <bgColor indexed="64"/>
      </patternFill>
    </fill>
    <fill>
      <patternFill patternType="solid">
        <fgColor rgb="FF744368"/>
        <bgColor indexed="64"/>
      </patternFill>
    </fill>
    <fill>
      <patternFill patternType="solid">
        <fgColor rgb="FF628FA5"/>
        <bgColor indexed="64"/>
      </patternFill>
    </fill>
    <fill>
      <patternFill patternType="solid">
        <fgColor rgb="FF5C3553"/>
        <bgColor indexed="64"/>
      </patternFill>
    </fill>
    <fill>
      <patternFill patternType="solid">
        <fgColor rgb="FF45283E"/>
        <bgColor indexed="64"/>
      </patternFill>
    </fill>
    <fill>
      <patternFill patternType="solid">
        <fgColor rgb="FF142538"/>
        <bgColor theme="4"/>
      </patternFill>
    </fill>
    <fill>
      <patternFill patternType="solid">
        <fgColor rgb="FF1E3854"/>
        <bgColor theme="4"/>
      </patternFill>
    </fill>
    <fill>
      <patternFill patternType="solid">
        <fgColor rgb="FF284B70"/>
        <bgColor theme="4"/>
      </patternFill>
    </fill>
    <fill>
      <patternFill patternType="solid">
        <fgColor rgb="FF5B7EA3"/>
        <bgColor indexed="64"/>
      </patternFill>
    </fill>
    <fill>
      <patternFill patternType="solid">
        <fgColor rgb="FF44748C"/>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5F9822"/>
        <bgColor indexed="64"/>
      </patternFill>
    </fill>
    <fill>
      <patternFill patternType="solid">
        <fgColor rgb="FFFFC000"/>
        <bgColor indexed="64"/>
      </patternFill>
    </fill>
    <fill>
      <patternFill patternType="solid">
        <fgColor rgb="FF4A7082"/>
        <bgColor indexed="64"/>
      </patternFill>
    </fill>
    <fill>
      <patternFill patternType="solid">
        <fgColor rgb="FFDDEBF7"/>
        <bgColor indexed="64"/>
      </patternFill>
    </fill>
    <fill>
      <patternFill patternType="solid">
        <fgColor theme="2" tint="-9.9978637043366805E-2"/>
        <bgColor indexed="64"/>
      </patternFill>
    </fill>
    <fill>
      <patternFill patternType="solid">
        <fgColor rgb="FF284B70"/>
        <bgColor indexed="64"/>
      </patternFill>
    </fill>
    <fill>
      <patternFill patternType="solid">
        <fgColor rgb="FFAC38DE"/>
        <bgColor indexed="64"/>
      </patternFill>
    </fill>
    <fill>
      <patternFill patternType="solid">
        <fgColor rgb="FFBB0F46"/>
        <bgColor indexed="64"/>
      </patternFill>
    </fill>
    <fill>
      <patternFill patternType="solid">
        <fgColor rgb="FFDF1154"/>
        <bgColor theme="4"/>
      </patternFill>
    </fill>
    <fill>
      <patternFill patternType="solid">
        <fgColor rgb="FFDF1154"/>
        <bgColor indexed="64"/>
      </patternFill>
    </fill>
    <fill>
      <patternFill patternType="solid">
        <fgColor rgb="FFDC9100"/>
        <bgColor indexed="64"/>
      </patternFill>
    </fill>
    <fill>
      <patternFill patternType="solid">
        <fgColor rgb="FF5D903B"/>
        <bgColor indexed="64"/>
      </patternFill>
    </fill>
    <fill>
      <patternFill patternType="solid">
        <fgColor rgb="FF0D39C8"/>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C00000"/>
        <bgColor indexed="64"/>
      </patternFill>
    </fill>
    <fill>
      <patternFill patternType="solid">
        <fgColor theme="0"/>
        <bgColor indexed="64"/>
      </patternFill>
    </fill>
    <fill>
      <patternFill patternType="solid">
        <fgColor theme="7" tint="0.59999389629810485"/>
        <bgColor indexed="64"/>
      </patternFill>
    </fill>
    <fill>
      <patternFill patternType="solid">
        <fgColor rgb="FFBDD7EE"/>
        <bgColor indexed="64"/>
      </patternFill>
    </fill>
    <fill>
      <patternFill patternType="solid">
        <fgColor theme="7"/>
        <bgColor indexed="64"/>
      </patternFill>
    </fill>
    <fill>
      <patternFill patternType="solid">
        <fgColor theme="5"/>
        <bgColor indexed="64"/>
      </patternFill>
    </fill>
    <fill>
      <patternFill patternType="solid">
        <fgColor theme="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indexed="64"/>
      </left>
      <right style="thick">
        <color indexed="64"/>
      </right>
      <top style="thick">
        <color indexed="64"/>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style="thick">
        <color indexed="64"/>
      </bottom>
      <diagonal/>
    </border>
    <border>
      <left style="thick">
        <color indexed="64"/>
      </left>
      <right/>
      <top style="thin">
        <color indexed="64"/>
      </top>
      <bottom style="thin">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
      <left/>
      <right style="thick">
        <color auto="1"/>
      </right>
      <top/>
      <bottom/>
      <diagonal/>
    </border>
    <border>
      <left/>
      <right style="thin">
        <color indexed="64"/>
      </right>
      <top style="thick">
        <color indexed="64"/>
      </top>
      <bottom style="thick">
        <color indexed="64"/>
      </bottom>
      <diagonal/>
    </border>
    <border>
      <left/>
      <right style="thick">
        <color indexed="64"/>
      </right>
      <top style="thin">
        <color indexed="64"/>
      </top>
      <bottom style="thin">
        <color indexed="64"/>
      </bottom>
      <diagonal/>
    </border>
    <border>
      <left style="thick">
        <color indexed="64"/>
      </left>
      <right/>
      <top/>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thin">
        <color rgb="FF000000"/>
      </top>
      <bottom style="thin">
        <color rgb="FF000000"/>
      </bottom>
      <diagonal/>
    </border>
    <border>
      <left/>
      <right style="thick">
        <color indexed="64"/>
      </right>
      <top/>
      <bottom style="thin">
        <color indexed="64"/>
      </bottom>
      <diagonal/>
    </border>
    <border>
      <left style="thick">
        <color indexed="64"/>
      </left>
      <right/>
      <top style="thick">
        <color indexed="64"/>
      </top>
      <bottom/>
      <diagonal/>
    </border>
    <border>
      <left/>
      <right/>
      <top style="thick">
        <color indexed="64"/>
      </top>
      <bottom/>
      <diagonal/>
    </border>
    <border>
      <left style="thin">
        <color indexed="64"/>
      </left>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style="thick">
        <color indexed="64"/>
      </right>
      <top style="thick">
        <color indexed="64"/>
      </top>
      <bottom/>
      <diagonal/>
    </border>
    <border>
      <left/>
      <right style="thick">
        <color indexed="64"/>
      </right>
      <top style="thin">
        <color indexed="64"/>
      </top>
      <bottom style="thick">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ck">
        <color indexed="64"/>
      </right>
      <top/>
      <bottom/>
      <diagonal/>
    </border>
    <border>
      <left/>
      <right style="thin">
        <color indexed="64"/>
      </right>
      <top style="thin">
        <color indexed="64"/>
      </top>
      <bottom/>
      <diagonal/>
    </border>
    <border>
      <left style="thick">
        <color indexed="64"/>
      </left>
      <right style="thin">
        <color indexed="64"/>
      </right>
      <top style="thick">
        <color indexed="64"/>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s>
  <cellStyleXfs count="8">
    <xf numFmtId="0" fontId="0" fillId="0" borderId="0"/>
    <xf numFmtId="0" fontId="3" fillId="0" borderId="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41" fontId="2" fillId="0" borderId="0" applyFont="0" applyFill="0" applyBorder="0" applyAlignment="0" applyProtection="0"/>
    <xf numFmtId="0" fontId="43" fillId="0" borderId="0" applyNumberFormat="0" applyFill="0" applyBorder="0" applyAlignment="0" applyProtection="0"/>
  </cellStyleXfs>
  <cellXfs count="467">
    <xf numFmtId="0" fontId="0" fillId="0" borderId="0" xfId="0"/>
    <xf numFmtId="0" fontId="1" fillId="0" borderId="0" xfId="0" applyFont="1"/>
    <xf numFmtId="0" fontId="0" fillId="0" borderId="0" xfId="0" applyAlignment="1">
      <alignment wrapText="1"/>
    </xf>
    <xf numFmtId="0" fontId="11" fillId="14" borderId="9" xfId="0" applyFont="1" applyFill="1" applyBorder="1" applyAlignment="1">
      <alignment horizontal="center" vertical="center"/>
    </xf>
    <xf numFmtId="0" fontId="12" fillId="0" borderId="0" xfId="0" applyFont="1"/>
    <xf numFmtId="0" fontId="0" fillId="15" borderId="0" xfId="0" applyFill="1"/>
    <xf numFmtId="0" fontId="12" fillId="15" borderId="0" xfId="0" applyFont="1" applyFill="1"/>
    <xf numFmtId="0" fontId="13" fillId="0" borderId="0" xfId="0" applyFont="1"/>
    <xf numFmtId="0" fontId="13" fillId="0" borderId="1" xfId="0" applyFont="1" applyBorder="1"/>
    <xf numFmtId="9" fontId="13" fillId="0" borderId="1" xfId="0" applyNumberFormat="1" applyFont="1" applyBorder="1"/>
    <xf numFmtId="0" fontId="14" fillId="16" borderId="1" xfId="0" applyFont="1" applyFill="1" applyBorder="1" applyAlignment="1">
      <alignment wrapText="1"/>
    </xf>
    <xf numFmtId="0" fontId="14" fillId="16" borderId="1" xfId="0" applyFont="1" applyFill="1" applyBorder="1"/>
    <xf numFmtId="0" fontId="13" fillId="0" borderId="0" xfId="0" applyFont="1" applyAlignment="1">
      <alignment wrapText="1"/>
    </xf>
    <xf numFmtId="0" fontId="4" fillId="0" borderId="0" xfId="0" applyFont="1" applyAlignment="1">
      <alignment wrapText="1"/>
    </xf>
    <xf numFmtId="0" fontId="4" fillId="0" borderId="0" xfId="0" applyFont="1" applyAlignment="1">
      <alignment horizontal="left" wrapText="1"/>
    </xf>
    <xf numFmtId="167" fontId="4" fillId="0" borderId="0" xfId="4" applyNumberFormat="1" applyFont="1" applyAlignment="1">
      <alignment wrapText="1"/>
    </xf>
    <xf numFmtId="165" fontId="4" fillId="0" borderId="0" xfId="4" applyFont="1" applyAlignment="1">
      <alignment wrapText="1"/>
    </xf>
    <xf numFmtId="0" fontId="1" fillId="0" borderId="0" xfId="0" applyFont="1" applyAlignment="1">
      <alignment wrapText="1"/>
    </xf>
    <xf numFmtId="167" fontId="1" fillId="0" borderId="0" xfId="4" applyNumberFormat="1" applyFont="1"/>
    <xf numFmtId="9" fontId="0" fillId="0" borderId="0" xfId="3" applyFont="1"/>
    <xf numFmtId="0" fontId="1" fillId="0" borderId="0" xfId="0" applyFont="1" applyAlignment="1">
      <alignment horizontal="left" wrapText="1"/>
    </xf>
    <xf numFmtId="167" fontId="1" fillId="0" borderId="0" xfId="4" applyNumberFormat="1" applyFont="1" applyAlignment="1">
      <alignment wrapText="1"/>
    </xf>
    <xf numFmtId="167" fontId="0" fillId="0" borderId="0" xfId="4" applyNumberFormat="1" applyFont="1"/>
    <xf numFmtId="167" fontId="0" fillId="0" borderId="0" xfId="4" applyNumberFormat="1" applyFont="1" applyAlignment="1">
      <alignment wrapText="1"/>
    </xf>
    <xf numFmtId="165" fontId="1" fillId="0" borderId="0" xfId="4" applyFont="1" applyAlignment="1">
      <alignment wrapText="1"/>
    </xf>
    <xf numFmtId="167" fontId="8" fillId="0" borderId="1" xfId="4" applyNumberFormat="1" applyFont="1" applyBorder="1"/>
    <xf numFmtId="166" fontId="8" fillId="0" borderId="1" xfId="0" applyNumberFormat="1" applyFont="1" applyBorder="1"/>
    <xf numFmtId="167" fontId="8" fillId="0" borderId="1" xfId="4" applyNumberFormat="1" applyFont="1" applyFill="1" applyBorder="1" applyAlignment="1">
      <alignment vertical="center" wrapText="1"/>
    </xf>
    <xf numFmtId="166" fontId="8" fillId="0" borderId="2" xfId="0" applyNumberFormat="1" applyFont="1" applyBorder="1"/>
    <xf numFmtId="0" fontId="13" fillId="0" borderId="7" xfId="0" applyFont="1" applyBorder="1"/>
    <xf numFmtId="167" fontId="6" fillId="0" borderId="1" xfId="4" applyNumberFormat="1" applyFont="1" applyFill="1" applyBorder="1" applyAlignment="1">
      <alignment horizontal="center" vertical="center" wrapText="1"/>
    </xf>
    <xf numFmtId="167" fontId="4" fillId="0" borderId="0" xfId="4" applyNumberFormat="1" applyFont="1" applyAlignment="1">
      <alignment horizontal="center" vertical="center" wrapText="1"/>
    </xf>
    <xf numFmtId="167" fontId="6" fillId="0" borderId="1" xfId="4" applyNumberFormat="1" applyFont="1" applyFill="1" applyBorder="1" applyAlignment="1">
      <alignment vertical="center" wrapText="1"/>
    </xf>
    <xf numFmtId="0" fontId="6" fillId="0" borderId="1" xfId="0" applyFont="1" applyBorder="1" applyAlignment="1">
      <alignment horizontal="left" vertical="center" wrapText="1"/>
    </xf>
    <xf numFmtId="167" fontId="10" fillId="0" borderId="1" xfId="4" applyNumberFormat="1" applyFont="1" applyFill="1" applyBorder="1" applyAlignment="1">
      <alignment vertical="center" wrapText="1"/>
    </xf>
    <xf numFmtId="9" fontId="8" fillId="0" borderId="1" xfId="3" applyFont="1" applyFill="1" applyBorder="1" applyAlignment="1">
      <alignment vertical="center" wrapText="1"/>
    </xf>
    <xf numFmtId="0" fontId="0" fillId="0" borderId="1" xfId="0" applyBorder="1" applyAlignment="1">
      <alignment horizontal="left" vertical="center" wrapText="1"/>
    </xf>
    <xf numFmtId="9" fontId="8" fillId="0" borderId="1" xfId="3" applyFont="1" applyBorder="1" applyAlignment="1">
      <alignment vertical="center" wrapText="1"/>
    </xf>
    <xf numFmtId="9" fontId="8" fillId="0" borderId="1" xfId="0" applyNumberFormat="1" applyFont="1" applyBorder="1" applyAlignment="1">
      <alignment vertical="center" wrapText="1"/>
    </xf>
    <xf numFmtId="0" fontId="6" fillId="0" borderId="13" xfId="0" applyFont="1" applyBorder="1" applyAlignment="1">
      <alignment horizontal="left" vertical="center" wrapText="1"/>
    </xf>
    <xf numFmtId="167" fontId="6" fillId="0" borderId="14" xfId="4" applyNumberFormat="1" applyFont="1" applyFill="1" applyBorder="1" applyAlignment="1">
      <alignment horizontal="left" vertical="center" wrapText="1"/>
    </xf>
    <xf numFmtId="167" fontId="6" fillId="0" borderId="14" xfId="4" applyNumberFormat="1" applyFont="1" applyFill="1" applyBorder="1" applyAlignment="1">
      <alignment vertical="center" wrapText="1"/>
    </xf>
    <xf numFmtId="167" fontId="6" fillId="0" borderId="13" xfId="4" applyNumberFormat="1" applyFont="1" applyFill="1" applyBorder="1" applyAlignment="1">
      <alignment horizontal="right" vertical="center" wrapText="1"/>
    </xf>
    <xf numFmtId="167" fontId="6" fillId="0" borderId="13" xfId="4" applyNumberFormat="1" applyFont="1" applyFill="1" applyBorder="1" applyAlignment="1">
      <alignment horizontal="center" vertical="center" wrapText="1"/>
    </xf>
    <xf numFmtId="166" fontId="8" fillId="0" borderId="13" xfId="0" applyNumberFormat="1" applyFont="1" applyBorder="1" applyAlignment="1">
      <alignment vertical="center" wrapText="1"/>
    </xf>
    <xf numFmtId="167" fontId="8" fillId="0" borderId="13" xfId="4" applyNumberFormat="1" applyFont="1" applyFill="1" applyBorder="1" applyAlignment="1">
      <alignment vertical="center" wrapText="1"/>
    </xf>
    <xf numFmtId="167" fontId="8" fillId="0" borderId="13" xfId="4" applyNumberFormat="1" applyFont="1" applyBorder="1" applyAlignment="1">
      <alignment vertical="center" wrapText="1"/>
    </xf>
    <xf numFmtId="166" fontId="5" fillId="19" borderId="15" xfId="2" applyNumberFormat="1" applyFont="1" applyFill="1" applyBorder="1" applyAlignment="1">
      <alignment horizontal="left" vertical="center" wrapText="1"/>
    </xf>
    <xf numFmtId="166" fontId="5" fillId="19" borderId="16" xfId="2" applyNumberFormat="1" applyFont="1" applyFill="1" applyBorder="1" applyAlignment="1">
      <alignment horizontal="left" vertical="center" wrapText="1"/>
    </xf>
    <xf numFmtId="166" fontId="5" fillId="19" borderId="17" xfId="2" applyNumberFormat="1" applyFont="1" applyFill="1" applyBorder="1" applyAlignment="1">
      <alignment horizontal="left" vertical="center" wrapText="1"/>
    </xf>
    <xf numFmtId="166" fontId="17" fillId="8" borderId="15" xfId="2" applyNumberFormat="1" applyFont="1" applyFill="1" applyBorder="1" applyAlignment="1">
      <alignment horizontal="center" vertical="center" wrapText="1"/>
    </xf>
    <xf numFmtId="166" fontId="17" fillId="8" borderId="16" xfId="2" applyNumberFormat="1" applyFont="1" applyFill="1" applyBorder="1" applyAlignment="1">
      <alignment horizontal="center" vertical="center" wrapText="1"/>
    </xf>
    <xf numFmtId="166" fontId="20" fillId="8" borderId="16" xfId="2" applyNumberFormat="1" applyFont="1" applyFill="1" applyBorder="1" applyAlignment="1">
      <alignment horizontal="center" vertical="center" wrapText="1"/>
    </xf>
    <xf numFmtId="166" fontId="17" fillId="8" borderId="17" xfId="2" applyNumberFormat="1" applyFont="1" applyFill="1" applyBorder="1" applyAlignment="1">
      <alignment horizontal="center" vertical="center" wrapText="1"/>
    </xf>
    <xf numFmtId="166" fontId="17" fillId="7" borderId="16" xfId="2" applyNumberFormat="1" applyFont="1" applyFill="1" applyBorder="1" applyAlignment="1">
      <alignment horizontal="center" vertical="center" wrapText="1"/>
    </xf>
    <xf numFmtId="167" fontId="17" fillId="5" borderId="15" xfId="4" applyNumberFormat="1" applyFont="1" applyFill="1" applyBorder="1" applyAlignment="1">
      <alignment horizontal="center" vertical="center" wrapText="1"/>
    </xf>
    <xf numFmtId="166" fontId="17" fillId="5" borderId="16" xfId="2" applyNumberFormat="1" applyFont="1" applyFill="1" applyBorder="1" applyAlignment="1">
      <alignment horizontal="center" vertical="center" wrapText="1"/>
    </xf>
    <xf numFmtId="166" fontId="21" fillId="5" borderId="17" xfId="2" applyNumberFormat="1" applyFont="1" applyFill="1" applyBorder="1" applyAlignment="1">
      <alignment horizontal="center" vertical="center" wrapText="1"/>
    </xf>
    <xf numFmtId="0" fontId="17" fillId="10" borderId="11" xfId="1" applyFont="1" applyFill="1" applyBorder="1" applyAlignment="1">
      <alignment horizontal="center" vertical="center" wrapText="1"/>
    </xf>
    <xf numFmtId="167" fontId="8" fillId="0" borderId="20" xfId="4" applyNumberFormat="1" applyFont="1" applyFill="1" applyBorder="1" applyAlignment="1">
      <alignment vertical="center" wrapText="1"/>
    </xf>
    <xf numFmtId="166" fontId="21" fillId="8" borderId="15" xfId="2" applyNumberFormat="1" applyFont="1" applyFill="1" applyBorder="1" applyAlignment="1">
      <alignment horizontal="center" vertical="center" wrapText="1"/>
    </xf>
    <xf numFmtId="166" fontId="8" fillId="0" borderId="14" xfId="0" applyNumberFormat="1" applyFont="1" applyBorder="1" applyAlignment="1">
      <alignment vertical="center" wrapText="1"/>
    </xf>
    <xf numFmtId="166" fontId="5" fillId="4" borderId="16" xfId="2" applyNumberFormat="1" applyFont="1" applyFill="1" applyBorder="1" applyAlignment="1">
      <alignment horizontal="center" vertical="center" wrapText="1"/>
    </xf>
    <xf numFmtId="166" fontId="5" fillId="4" borderId="17" xfId="2" applyNumberFormat="1" applyFont="1" applyFill="1" applyBorder="1" applyAlignment="1">
      <alignment horizontal="center" vertical="center" wrapText="1"/>
    </xf>
    <xf numFmtId="167" fontId="1" fillId="0" borderId="0" xfId="4" applyNumberFormat="1" applyFont="1" applyAlignment="1">
      <alignment horizontal="center" wrapText="1"/>
    </xf>
    <xf numFmtId="167" fontId="6" fillId="0" borderId="8" xfId="4" applyNumberFormat="1" applyFont="1" applyFill="1" applyBorder="1" applyAlignment="1">
      <alignment horizontal="center" vertical="center" wrapText="1"/>
    </xf>
    <xf numFmtId="167" fontId="4" fillId="0" borderId="0" xfId="4" applyNumberFormat="1" applyFont="1" applyAlignment="1">
      <alignment horizontal="center" wrapText="1"/>
    </xf>
    <xf numFmtId="0" fontId="17" fillId="9" borderId="11" xfId="1" applyFont="1" applyFill="1" applyBorder="1" applyAlignment="1">
      <alignment vertical="center" wrapText="1"/>
    </xf>
    <xf numFmtId="167" fontId="5" fillId="4" borderId="15" xfId="4" applyNumberFormat="1" applyFont="1" applyFill="1" applyBorder="1" applyAlignment="1">
      <alignment horizontal="center" vertical="center" wrapText="1"/>
    </xf>
    <xf numFmtId="167" fontId="5" fillId="4" borderId="16" xfId="4" applyNumberFormat="1" applyFont="1" applyFill="1" applyBorder="1" applyAlignment="1">
      <alignment horizontal="center" vertical="center" wrapText="1"/>
    </xf>
    <xf numFmtId="167" fontId="5" fillId="4" borderId="17" xfId="4" applyNumberFormat="1" applyFont="1" applyFill="1" applyBorder="1" applyAlignment="1">
      <alignment horizontal="center" vertical="center" wrapText="1"/>
    </xf>
    <xf numFmtId="167" fontId="17" fillId="6" borderId="15" xfId="4" applyNumberFormat="1" applyFont="1" applyFill="1" applyBorder="1" applyAlignment="1">
      <alignment horizontal="center" vertical="center" wrapText="1"/>
    </xf>
    <xf numFmtId="9" fontId="1" fillId="0" borderId="0" xfId="3" applyFont="1" applyAlignment="1">
      <alignment wrapText="1"/>
    </xf>
    <xf numFmtId="9" fontId="4" fillId="0" borderId="0" xfId="3" applyFont="1" applyAlignment="1">
      <alignment wrapText="1"/>
    </xf>
    <xf numFmtId="9" fontId="13" fillId="0" borderId="0" xfId="3" applyFont="1" applyBorder="1"/>
    <xf numFmtId="167" fontId="8" fillId="5" borderId="15" xfId="4" applyNumberFormat="1" applyFont="1" applyFill="1" applyBorder="1" applyAlignment="1">
      <alignment horizontal="center" vertical="center" wrapText="1"/>
    </xf>
    <xf numFmtId="9" fontId="8" fillId="5" borderId="16" xfId="3" applyFont="1" applyFill="1" applyBorder="1" applyAlignment="1">
      <alignment horizontal="center" vertical="center" wrapText="1"/>
    </xf>
    <xf numFmtId="167" fontId="8" fillId="5" borderId="16" xfId="4" applyNumberFormat="1" applyFont="1" applyFill="1" applyBorder="1" applyAlignment="1">
      <alignment horizontal="center" vertical="center" wrapText="1"/>
    </xf>
    <xf numFmtId="9" fontId="8" fillId="5" borderId="17" xfId="3" applyFont="1" applyFill="1" applyBorder="1" applyAlignment="1">
      <alignment horizontal="center" vertical="center" wrapText="1"/>
    </xf>
    <xf numFmtId="167" fontId="17" fillId="6" borderId="16" xfId="4" applyNumberFormat="1" applyFont="1" applyFill="1" applyBorder="1" applyAlignment="1">
      <alignment horizontal="center" vertical="center" wrapText="1"/>
    </xf>
    <xf numFmtId="167" fontId="6" fillId="0" borderId="13" xfId="4" applyNumberFormat="1" applyFont="1" applyFill="1" applyBorder="1" applyAlignment="1">
      <alignment vertical="center" wrapText="1"/>
    </xf>
    <xf numFmtId="165" fontId="8" fillId="0" borderId="13" xfId="4" applyFont="1" applyBorder="1" applyAlignment="1">
      <alignment vertical="center" wrapText="1"/>
    </xf>
    <xf numFmtId="166" fontId="22" fillId="18" borderId="31" xfId="2" applyNumberFormat="1" applyFont="1" applyFill="1" applyBorder="1" applyAlignment="1">
      <alignment horizontal="center" vertical="center" wrapText="1"/>
    </xf>
    <xf numFmtId="167" fontId="6" fillId="0" borderId="4" xfId="4" applyNumberFormat="1" applyFont="1" applyFill="1" applyBorder="1" applyAlignment="1">
      <alignment vertical="center" wrapText="1"/>
    </xf>
    <xf numFmtId="0" fontId="4" fillId="0" borderId="0" xfId="0" applyFont="1" applyAlignment="1">
      <alignment horizontal="right" wrapText="1"/>
    </xf>
    <xf numFmtId="9" fontId="0" fillId="0" borderId="0" xfId="3" applyFont="1" applyAlignment="1">
      <alignment horizontal="center"/>
    </xf>
    <xf numFmtId="0" fontId="0" fillId="0" borderId="0" xfId="0" applyAlignment="1">
      <alignment horizontal="center"/>
    </xf>
    <xf numFmtId="0" fontId="0" fillId="0" borderId="0" xfId="0" applyAlignment="1">
      <alignment horizontal="center" vertical="center"/>
    </xf>
    <xf numFmtId="9" fontId="0" fillId="0" borderId="0" xfId="3" applyFont="1" applyAlignment="1">
      <alignment horizontal="center" vertical="center"/>
    </xf>
    <xf numFmtId="0" fontId="0" fillId="0" borderId="0" xfId="0" applyAlignment="1">
      <alignment vertical="center"/>
    </xf>
    <xf numFmtId="0" fontId="0" fillId="16" borderId="1" xfId="0" applyFill="1" applyBorder="1" applyAlignment="1">
      <alignment horizontal="center" vertical="center"/>
    </xf>
    <xf numFmtId="0" fontId="0" fillId="0" borderId="1" xfId="0" applyBorder="1" applyAlignment="1">
      <alignment horizontal="center" vertical="center"/>
    </xf>
    <xf numFmtId="9" fontId="0" fillId="0" borderId="1" xfId="3" applyFont="1" applyBorder="1" applyAlignment="1">
      <alignment horizontal="center" vertical="center"/>
    </xf>
    <xf numFmtId="9" fontId="0" fillId="0" borderId="1" xfId="3" applyFont="1" applyBorder="1" applyAlignment="1">
      <alignment horizontal="center"/>
    </xf>
    <xf numFmtId="166" fontId="8" fillId="0" borderId="1" xfId="0" applyNumberFormat="1" applyFont="1" applyBorder="1" applyAlignment="1">
      <alignment horizontal="left" vertical="center" wrapText="1"/>
    </xf>
    <xf numFmtId="167" fontId="6" fillId="0" borderId="1" xfId="4" applyNumberFormat="1" applyFont="1" applyBorder="1" applyAlignment="1">
      <alignment horizontal="left" vertical="center" wrapText="1"/>
    </xf>
    <xf numFmtId="166" fontId="5" fillId="19" borderId="22" xfId="2" applyNumberFormat="1" applyFont="1" applyFill="1" applyBorder="1" applyAlignment="1">
      <alignment horizontal="left" vertical="center" wrapText="1"/>
    </xf>
    <xf numFmtId="0" fontId="25" fillId="0" borderId="0" xfId="0" applyFont="1"/>
    <xf numFmtId="0" fontId="6" fillId="0" borderId="1" xfId="0" applyFont="1" applyBorder="1" applyAlignment="1">
      <alignment horizontal="left" wrapText="1"/>
    </xf>
    <xf numFmtId="167" fontId="5" fillId="19" borderId="16" xfId="4" applyNumberFormat="1" applyFont="1" applyFill="1" applyBorder="1" applyAlignment="1">
      <alignment horizontal="left" vertical="center" wrapText="1"/>
    </xf>
    <xf numFmtId="167" fontId="0" fillId="0" borderId="1" xfId="4" applyNumberFormat="1" applyFont="1" applyBorder="1" applyAlignment="1">
      <alignment horizontal="left" vertical="center" wrapText="1"/>
    </xf>
    <xf numFmtId="0" fontId="1" fillId="0" borderId="0" xfId="0" applyFont="1" applyAlignment="1">
      <alignment horizontal="center" wrapText="1"/>
    </xf>
    <xf numFmtId="166" fontId="5" fillId="19" borderId="16" xfId="2"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horizontal="center" wrapText="1"/>
    </xf>
    <xf numFmtId="166" fontId="17" fillId="7" borderId="34" xfId="2" applyNumberFormat="1" applyFont="1" applyFill="1" applyBorder="1" applyAlignment="1">
      <alignment horizontal="center" vertical="center" wrapText="1"/>
    </xf>
    <xf numFmtId="167" fontId="17" fillId="7" borderId="34" xfId="4" applyNumberFormat="1" applyFont="1" applyFill="1" applyBorder="1" applyAlignment="1">
      <alignment horizontal="center" vertical="center" wrapText="1"/>
    </xf>
    <xf numFmtId="167" fontId="0" fillId="0" borderId="0" xfId="0" applyNumberFormat="1"/>
    <xf numFmtId="0" fontId="6" fillId="0" borderId="14" xfId="6" applyNumberFormat="1" applyFont="1" applyFill="1" applyBorder="1" applyAlignment="1">
      <alignment horizontal="left" vertical="center" wrapText="1"/>
    </xf>
    <xf numFmtId="9" fontId="1" fillId="0" borderId="0" xfId="3" applyFont="1"/>
    <xf numFmtId="166" fontId="5" fillId="4" borderId="6" xfId="2" applyNumberFormat="1" applyFont="1" applyFill="1" applyBorder="1" applyAlignment="1">
      <alignment horizontal="center" vertical="center" wrapText="1"/>
    </xf>
    <xf numFmtId="9" fontId="5" fillId="19" borderId="6" xfId="3" applyFont="1" applyFill="1" applyBorder="1" applyAlignment="1">
      <alignment horizontal="center" vertical="center" wrapText="1"/>
    </xf>
    <xf numFmtId="9" fontId="10" fillId="0" borderId="1" xfId="3" applyFont="1" applyBorder="1"/>
    <xf numFmtId="167" fontId="17" fillId="6" borderId="26" xfId="4" applyNumberFormat="1" applyFont="1" applyFill="1" applyBorder="1" applyAlignment="1">
      <alignment horizontal="center" vertical="center" wrapText="1"/>
    </xf>
    <xf numFmtId="167" fontId="17" fillId="8" borderId="15" xfId="4" applyNumberFormat="1" applyFont="1" applyFill="1" applyBorder="1" applyAlignment="1">
      <alignment horizontal="center" vertical="center" wrapText="1"/>
    </xf>
    <xf numFmtId="0" fontId="24" fillId="10" borderId="11" xfId="1" applyFont="1" applyFill="1" applyBorder="1" applyAlignment="1">
      <alignment horizontal="center" vertical="center" wrapText="1"/>
    </xf>
    <xf numFmtId="167" fontId="5" fillId="6" borderId="15" xfId="4" applyNumberFormat="1" applyFont="1" applyFill="1" applyBorder="1" applyAlignment="1">
      <alignment horizontal="center" vertical="center" wrapText="1"/>
    </xf>
    <xf numFmtId="167" fontId="5" fillId="6" borderId="16" xfId="4" applyNumberFormat="1" applyFont="1" applyFill="1" applyBorder="1" applyAlignment="1">
      <alignment horizontal="center" vertical="center" wrapText="1"/>
    </xf>
    <xf numFmtId="167" fontId="5" fillId="6" borderId="17" xfId="4" applyNumberFormat="1" applyFont="1" applyFill="1" applyBorder="1" applyAlignment="1">
      <alignment horizontal="center" vertical="center" wrapText="1"/>
    </xf>
    <xf numFmtId="1" fontId="0" fillId="0" borderId="0" xfId="0" applyNumberFormat="1"/>
    <xf numFmtId="0" fontId="24" fillId="22" borderId="24" xfId="1" applyFont="1" applyFill="1" applyBorder="1" applyAlignment="1">
      <alignment horizontal="center" vertical="center"/>
    </xf>
    <xf numFmtId="1" fontId="24" fillId="22" borderId="24" xfId="1" applyNumberFormat="1" applyFont="1" applyFill="1" applyBorder="1" applyAlignment="1">
      <alignment horizontal="center" vertical="center"/>
    </xf>
    <xf numFmtId="167" fontId="19" fillId="26" borderId="5" xfId="4" applyNumberFormat="1" applyFont="1" applyFill="1" applyBorder="1" applyAlignment="1">
      <alignment horizontal="center" vertical="center" wrapText="1"/>
    </xf>
    <xf numFmtId="166" fontId="29" fillId="29" borderId="30" xfId="2" applyNumberFormat="1" applyFont="1" applyFill="1" applyBorder="1" applyAlignment="1">
      <alignment horizontal="center" vertical="center" wrapText="1"/>
    </xf>
    <xf numFmtId="166" fontId="24" fillId="29" borderId="31" xfId="2" applyNumberFormat="1" applyFont="1" applyFill="1" applyBorder="1" applyAlignment="1">
      <alignment horizontal="center" vertical="center" wrapText="1"/>
    </xf>
    <xf numFmtId="0" fontId="0" fillId="0" borderId="4" xfId="0" applyBorder="1" applyAlignment="1">
      <alignment horizontal="center" vertical="center" wrapText="1"/>
    </xf>
    <xf numFmtId="0" fontId="17" fillId="10" borderId="30" xfId="1" applyFont="1" applyFill="1" applyBorder="1" applyAlignment="1">
      <alignment horizontal="center" vertical="center" wrapText="1"/>
    </xf>
    <xf numFmtId="0" fontId="13" fillId="30" borderId="1" xfId="0" applyFont="1" applyFill="1" applyBorder="1" applyAlignment="1">
      <alignment wrapText="1"/>
    </xf>
    <xf numFmtId="0" fontId="13" fillId="30" borderId="2" xfId="0" applyFont="1" applyFill="1" applyBorder="1"/>
    <xf numFmtId="167" fontId="33" fillId="0" borderId="21" xfId="4" applyNumberFormat="1" applyFont="1" applyBorder="1" applyAlignment="1"/>
    <xf numFmtId="0" fontId="13" fillId="30" borderId="1" xfId="0" applyFont="1" applyFill="1" applyBorder="1"/>
    <xf numFmtId="1" fontId="30" fillId="0" borderId="13" xfId="3" applyNumberFormat="1" applyFont="1" applyFill="1" applyBorder="1" applyAlignment="1">
      <alignment horizontal="center" vertical="center" wrapText="1"/>
    </xf>
    <xf numFmtId="9" fontId="30" fillId="0" borderId="1" xfId="3" applyFont="1" applyFill="1" applyBorder="1" applyAlignment="1">
      <alignment horizontal="center" vertical="center" wrapText="1"/>
    </xf>
    <xf numFmtId="1" fontId="31" fillId="0" borderId="21" xfId="4" applyNumberFormat="1" applyFont="1" applyFill="1" applyBorder="1" applyAlignment="1">
      <alignment horizontal="center" vertical="center" wrapText="1"/>
    </xf>
    <xf numFmtId="1" fontId="31" fillId="0" borderId="21" xfId="4" applyNumberFormat="1" applyFont="1" applyFill="1" applyBorder="1" applyAlignment="1">
      <alignment vertical="center" wrapText="1"/>
    </xf>
    <xf numFmtId="167" fontId="1" fillId="0" borderId="0" xfId="4" applyNumberFormat="1" applyFont="1" applyFill="1" applyAlignment="1">
      <alignment horizontal="center" wrapText="1"/>
    </xf>
    <xf numFmtId="9" fontId="5" fillId="19" borderId="22" xfId="3" applyFont="1" applyFill="1" applyBorder="1" applyAlignment="1">
      <alignment horizontal="left" vertical="center" wrapText="1"/>
    </xf>
    <xf numFmtId="167" fontId="33" fillId="0" borderId="21" xfId="4" applyNumberFormat="1" applyFont="1" applyBorder="1" applyAlignment="1">
      <alignment wrapText="1"/>
    </xf>
    <xf numFmtId="9" fontId="13" fillId="0" borderId="1" xfId="3" applyFont="1" applyBorder="1"/>
    <xf numFmtId="0" fontId="32" fillId="16" borderId="1" xfId="0" applyFont="1" applyFill="1" applyBorder="1" applyAlignment="1">
      <alignment horizontal="center" vertical="center" wrapText="1"/>
    </xf>
    <xf numFmtId="0" fontId="32" fillId="31" borderId="1" xfId="0" applyFont="1" applyFill="1" applyBorder="1" applyAlignment="1">
      <alignment horizontal="center" vertical="center" wrapText="1"/>
    </xf>
    <xf numFmtId="166" fontId="29" fillId="32" borderId="39" xfId="2" applyNumberFormat="1" applyFont="1" applyFill="1" applyBorder="1" applyAlignment="1">
      <alignment horizontal="center" vertical="center" wrapText="1"/>
    </xf>
    <xf numFmtId="166" fontId="29" fillId="32" borderId="24" xfId="2" applyNumberFormat="1" applyFont="1" applyFill="1" applyBorder="1" applyAlignment="1">
      <alignment horizontal="center" vertical="center" wrapText="1"/>
    </xf>
    <xf numFmtId="167" fontId="28" fillId="21" borderId="22" xfId="4" applyNumberFormat="1" applyFont="1" applyFill="1" applyBorder="1" applyAlignment="1">
      <alignment horizontal="center" vertical="center" wrapText="1"/>
    </xf>
    <xf numFmtId="167" fontId="28" fillId="21" borderId="23" xfId="4" applyNumberFormat="1" applyFont="1" applyFill="1" applyBorder="1" applyAlignment="1">
      <alignment horizontal="center" vertical="center" wrapText="1"/>
    </xf>
    <xf numFmtId="0" fontId="13" fillId="0" borderId="1" xfId="0" applyFont="1" applyBorder="1" applyAlignment="1">
      <alignment wrapText="1"/>
    </xf>
    <xf numFmtId="0" fontId="35" fillId="0" borderId="0" xfId="0" applyFont="1"/>
    <xf numFmtId="0" fontId="35" fillId="0" borderId="6" xfId="0" applyFont="1" applyBorder="1"/>
    <xf numFmtId="0" fontId="14" fillId="0" borderId="0" xfId="0" applyFont="1"/>
    <xf numFmtId="0" fontId="14" fillId="0" borderId="0" xfId="0" applyFont="1" applyAlignment="1">
      <alignment wrapText="1"/>
    </xf>
    <xf numFmtId="9" fontId="14" fillId="0" borderId="0" xfId="3" applyFont="1" applyBorder="1"/>
    <xf numFmtId="0" fontId="34" fillId="0" borderId="4" xfId="0" applyFont="1" applyBorder="1" applyAlignment="1">
      <alignment wrapText="1"/>
    </xf>
    <xf numFmtId="9" fontId="34" fillId="0" borderId="1" xfId="3" applyFont="1" applyBorder="1"/>
    <xf numFmtId="0" fontId="34" fillId="0" borderId="1" xfId="0" applyFont="1" applyBorder="1"/>
    <xf numFmtId="0" fontId="34" fillId="0" borderId="0" xfId="0" applyFont="1"/>
    <xf numFmtId="0" fontId="35" fillId="0" borderId="5" xfId="0" applyFont="1" applyBorder="1" applyAlignment="1">
      <alignment wrapText="1"/>
    </xf>
    <xf numFmtId="9" fontId="35" fillId="0" borderId="6" xfId="3" applyFont="1" applyBorder="1"/>
    <xf numFmtId="0" fontId="14" fillId="16" borderId="1" xfId="0" applyFont="1" applyFill="1" applyBorder="1" applyAlignment="1">
      <alignment horizontal="center" vertical="center" wrapText="1"/>
    </xf>
    <xf numFmtId="0" fontId="14" fillId="31"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wrapText="1"/>
    </xf>
    <xf numFmtId="166" fontId="21" fillId="5" borderId="32" xfId="2" applyNumberFormat="1" applyFont="1" applyFill="1" applyBorder="1" applyAlignment="1">
      <alignment horizontal="center" vertical="center" wrapText="1"/>
    </xf>
    <xf numFmtId="167" fontId="21" fillId="5" borderId="32" xfId="4" applyNumberFormat="1" applyFont="1" applyFill="1" applyBorder="1" applyAlignment="1">
      <alignment horizontal="center" vertical="center" wrapText="1"/>
    </xf>
    <xf numFmtId="9" fontId="8" fillId="5" borderId="34" xfId="3" applyFont="1" applyFill="1" applyBorder="1" applyAlignment="1">
      <alignment horizontal="center" vertical="center" wrapText="1"/>
    </xf>
    <xf numFmtId="167" fontId="8" fillId="5" borderId="17" xfId="4" applyNumberFormat="1" applyFont="1" applyFill="1" applyBorder="1" applyAlignment="1">
      <alignment horizontal="center" vertical="center" wrapText="1"/>
    </xf>
    <xf numFmtId="166" fontId="5" fillId="19" borderId="34" xfId="2" applyNumberFormat="1" applyFont="1" applyFill="1" applyBorder="1" applyAlignment="1">
      <alignment horizontal="left" vertical="center" wrapText="1"/>
    </xf>
    <xf numFmtId="166" fontId="5" fillId="19" borderId="19" xfId="2" applyNumberFormat="1" applyFont="1" applyFill="1" applyBorder="1" applyAlignment="1">
      <alignment horizontal="center" vertical="center" wrapText="1"/>
    </xf>
    <xf numFmtId="167" fontId="6" fillId="0" borderId="41" xfId="4" applyNumberFormat="1" applyFont="1" applyFill="1" applyBorder="1" applyAlignment="1">
      <alignment horizontal="center" vertical="center" wrapText="1"/>
    </xf>
    <xf numFmtId="4" fontId="0" fillId="0" borderId="33" xfId="0" applyNumberFormat="1" applyBorder="1"/>
    <xf numFmtId="167" fontId="28" fillId="21" borderId="44" xfId="4" applyNumberFormat="1" applyFont="1" applyFill="1" applyBorder="1" applyAlignment="1">
      <alignment horizontal="center" vertical="center" wrapText="1"/>
    </xf>
    <xf numFmtId="166" fontId="5" fillId="4" borderId="15" xfId="2" applyNumberFormat="1" applyFont="1" applyFill="1" applyBorder="1" applyAlignment="1">
      <alignment horizontal="center" vertical="center" wrapText="1"/>
    </xf>
    <xf numFmtId="166" fontId="17" fillId="4" borderId="16" xfId="2" applyNumberFormat="1" applyFont="1" applyFill="1" applyBorder="1" applyAlignment="1">
      <alignment horizontal="center" vertical="center" wrapText="1"/>
    </xf>
    <xf numFmtId="167" fontId="17" fillId="7" borderId="15" xfId="4" applyNumberFormat="1" applyFont="1" applyFill="1" applyBorder="1" applyAlignment="1">
      <alignment horizontal="center" vertical="center" wrapText="1"/>
    </xf>
    <xf numFmtId="0" fontId="33" fillId="0" borderId="21" xfId="0" applyFont="1" applyBorder="1" applyAlignment="1">
      <alignment wrapText="1"/>
    </xf>
    <xf numFmtId="0" fontId="30" fillId="0" borderId="0" xfId="0" applyFont="1"/>
    <xf numFmtId="167" fontId="6" fillId="0" borderId="12" xfId="4" applyNumberFormat="1" applyFont="1" applyBorder="1" applyAlignment="1">
      <alignment horizontal="left" vertical="center" wrapText="1"/>
    </xf>
    <xf numFmtId="165" fontId="0" fillId="0" borderId="0" xfId="4" applyFont="1" applyAlignment="1">
      <alignment horizontal="center" vertical="center"/>
    </xf>
    <xf numFmtId="0" fontId="0" fillId="0" borderId="0" xfId="0" applyAlignment="1">
      <alignment horizontal="right" vertical="center"/>
    </xf>
    <xf numFmtId="165" fontId="0" fillId="0" borderId="0" xfId="4" applyFont="1" applyAlignment="1">
      <alignment horizontal="center" vertical="center" wrapText="1"/>
    </xf>
    <xf numFmtId="0" fontId="36" fillId="0" borderId="0" xfId="0" applyFont="1" applyAlignment="1">
      <alignment horizontal="center" vertical="center" wrapText="1"/>
    </xf>
    <xf numFmtId="0" fontId="0" fillId="0" borderId="0" xfId="0" applyAlignment="1">
      <alignment horizontal="right"/>
    </xf>
    <xf numFmtId="0" fontId="0" fillId="0" borderId="0" xfId="0" applyAlignment="1">
      <alignment horizontal="center" vertical="center" wrapText="1"/>
    </xf>
    <xf numFmtId="0" fontId="0" fillId="0" borderId="36" xfId="0" applyBorder="1"/>
    <xf numFmtId="167" fontId="36" fillId="0" borderId="0" xfId="4" applyNumberFormat="1" applyFont="1" applyAlignment="1">
      <alignment horizontal="center" vertical="center" wrapText="1"/>
    </xf>
    <xf numFmtId="167" fontId="0" fillId="0" borderId="0" xfId="4" applyNumberFormat="1" applyFont="1" applyAlignment="1">
      <alignment horizontal="center" vertical="center" wrapText="1"/>
    </xf>
    <xf numFmtId="9" fontId="8" fillId="0" borderId="4" xfId="0" applyNumberFormat="1" applyFont="1" applyBorder="1" applyAlignment="1">
      <alignment vertical="center" wrapText="1"/>
    </xf>
    <xf numFmtId="9" fontId="8" fillId="0" borderId="13" xfId="0" applyNumberFormat="1" applyFont="1" applyBorder="1" applyAlignment="1">
      <alignment vertical="center" wrapText="1"/>
    </xf>
    <xf numFmtId="9" fontId="8" fillId="0" borderId="1" xfId="0" applyNumberFormat="1" applyFont="1" applyBorder="1" applyAlignment="1">
      <alignment horizontal="left" vertical="center" wrapText="1"/>
    </xf>
    <xf numFmtId="167" fontId="8" fillId="0" borderId="13" xfId="4" applyNumberFormat="1" applyFont="1" applyBorder="1" applyAlignment="1">
      <alignment horizontal="right" vertical="center" wrapText="1"/>
    </xf>
    <xf numFmtId="167" fontId="5" fillId="4" borderId="34" xfId="4" applyNumberFormat="1" applyFont="1" applyFill="1" applyBorder="1" applyAlignment="1">
      <alignment horizontal="center" vertical="center" wrapText="1"/>
    </xf>
    <xf numFmtId="168" fontId="8" fillId="0" borderId="1" xfId="4" applyNumberFormat="1" applyFont="1" applyBorder="1"/>
    <xf numFmtId="168" fontId="1" fillId="0" borderId="0" xfId="4" applyNumberFormat="1" applyFont="1" applyAlignment="1">
      <alignment horizontal="left"/>
    </xf>
    <xf numFmtId="166" fontId="5" fillId="19" borderId="26" xfId="2" applyNumberFormat="1" applyFont="1" applyFill="1" applyBorder="1" applyAlignment="1">
      <alignment horizontal="left" vertical="center" wrapText="1"/>
    </xf>
    <xf numFmtId="167" fontId="5" fillId="19" borderId="15" xfId="4" applyNumberFormat="1" applyFont="1" applyFill="1" applyBorder="1" applyAlignment="1">
      <alignment horizontal="left" vertical="center" wrapText="1"/>
    </xf>
    <xf numFmtId="165" fontId="5" fillId="8" borderId="45" xfId="4" applyFont="1" applyFill="1" applyBorder="1" applyAlignment="1">
      <alignment horizontal="center" vertical="center" wrapText="1"/>
    </xf>
    <xf numFmtId="167" fontId="5" fillId="8" borderId="22" xfId="4" applyNumberFormat="1" applyFont="1" applyFill="1" applyBorder="1" applyAlignment="1">
      <alignment horizontal="center" vertical="center" wrapText="1"/>
    </xf>
    <xf numFmtId="166" fontId="5" fillId="8" borderId="22" xfId="2" applyNumberFormat="1" applyFont="1" applyFill="1" applyBorder="1" applyAlignment="1">
      <alignment horizontal="center" vertical="center" wrapText="1"/>
    </xf>
    <xf numFmtId="167" fontId="5" fillId="8" borderId="23" xfId="4" applyNumberFormat="1" applyFont="1" applyFill="1" applyBorder="1" applyAlignment="1">
      <alignment horizontal="center" vertical="center" wrapText="1"/>
    </xf>
    <xf numFmtId="1" fontId="38" fillId="8" borderId="45" xfId="2" applyNumberFormat="1" applyFont="1" applyFill="1" applyBorder="1" applyAlignment="1">
      <alignment horizontal="center" vertical="center" wrapText="1"/>
    </xf>
    <xf numFmtId="1" fontId="38" fillId="8" borderId="23" xfId="2" applyNumberFormat="1" applyFont="1" applyFill="1" applyBorder="1" applyAlignment="1">
      <alignment horizontal="center" vertical="center" wrapText="1"/>
    </xf>
    <xf numFmtId="166" fontId="11" fillId="8" borderId="4" xfId="2" applyNumberFormat="1" applyFont="1" applyFill="1" applyBorder="1" applyAlignment="1">
      <alignment horizontal="center" vertical="center" wrapText="1"/>
    </xf>
    <xf numFmtId="1" fontId="11" fillId="8" borderId="45" xfId="2" applyNumberFormat="1" applyFont="1" applyFill="1" applyBorder="1" applyAlignment="1">
      <alignment horizontal="center" vertical="center" wrapText="1"/>
    </xf>
    <xf numFmtId="1" fontId="11" fillId="8" borderId="23" xfId="2" applyNumberFormat="1" applyFont="1" applyFill="1" applyBorder="1" applyAlignment="1">
      <alignment horizontal="center" vertical="center" wrapText="1"/>
    </xf>
    <xf numFmtId="166" fontId="5" fillId="28" borderId="45" xfId="2" applyNumberFormat="1" applyFont="1" applyFill="1" applyBorder="1" applyAlignment="1">
      <alignment horizontal="center" vertical="center" wrapText="1"/>
    </xf>
    <xf numFmtId="166" fontId="5" fillId="28" borderId="23" xfId="2" applyNumberFormat="1" applyFont="1" applyFill="1" applyBorder="1" applyAlignment="1">
      <alignment horizontal="center" vertical="center" wrapText="1"/>
    </xf>
    <xf numFmtId="167" fontId="19" fillId="26" borderId="13" xfId="4" applyNumberFormat="1" applyFont="1" applyFill="1" applyBorder="1" applyAlignment="1">
      <alignment horizontal="center" vertical="center" wrapText="1"/>
    </xf>
    <xf numFmtId="167" fontId="19" fillId="26" borderId="1" xfId="4" applyNumberFormat="1" applyFont="1" applyFill="1" applyBorder="1" applyAlignment="1">
      <alignment horizontal="center" vertical="center" wrapText="1"/>
    </xf>
    <xf numFmtId="167" fontId="19" fillId="26" borderId="14" xfId="4" applyNumberFormat="1" applyFont="1" applyFill="1" applyBorder="1" applyAlignment="1">
      <alignment horizontal="center" vertical="center" wrapText="1"/>
    </xf>
    <xf numFmtId="166" fontId="5" fillId="4" borderId="5" xfId="2" applyNumberFormat="1" applyFont="1" applyFill="1" applyBorder="1" applyAlignment="1">
      <alignment horizontal="center" vertical="center" wrapText="1"/>
    </xf>
    <xf numFmtId="168" fontId="5" fillId="4" borderId="15" xfId="4" applyNumberFormat="1" applyFont="1" applyFill="1" applyBorder="1" applyAlignment="1">
      <alignment horizontal="center" vertical="center" wrapText="1"/>
    </xf>
    <xf numFmtId="168" fontId="5" fillId="4" borderId="16" xfId="4" applyNumberFormat="1" applyFont="1" applyFill="1" applyBorder="1" applyAlignment="1">
      <alignment horizontal="center" vertical="center" wrapText="1"/>
    </xf>
    <xf numFmtId="9" fontId="5" fillId="4" borderId="16" xfId="3" applyFont="1" applyFill="1" applyBorder="1" applyAlignment="1">
      <alignment horizontal="center" vertical="center" wrapText="1"/>
    </xf>
    <xf numFmtId="0" fontId="1" fillId="0" borderId="1" xfId="0" applyFont="1" applyBorder="1" applyAlignment="1">
      <alignment horizontal="center" vertical="center" wrapText="1"/>
    </xf>
    <xf numFmtId="167" fontId="6" fillId="33" borderId="1" xfId="4" applyNumberFormat="1" applyFont="1" applyFill="1" applyBorder="1" applyAlignment="1">
      <alignment vertical="center" wrapText="1"/>
    </xf>
    <xf numFmtId="167" fontId="8" fillId="0" borderId="20" xfId="4" applyNumberFormat="1" applyFont="1" applyBorder="1" applyAlignment="1">
      <alignment vertical="center" wrapText="1"/>
    </xf>
    <xf numFmtId="9" fontId="17" fillId="7" borderId="16" xfId="3" applyFont="1" applyFill="1" applyBorder="1" applyAlignment="1">
      <alignment horizontal="center" vertical="center" wrapText="1"/>
    </xf>
    <xf numFmtId="9" fontId="30" fillId="0" borderId="1" xfId="3" applyFont="1" applyBorder="1" applyAlignment="1">
      <alignment horizontal="center" vertical="center" wrapText="1"/>
    </xf>
    <xf numFmtId="167" fontId="6" fillId="33" borderId="8" xfId="4" applyNumberFormat="1" applyFont="1" applyFill="1" applyBorder="1" applyAlignment="1">
      <alignment horizontal="center" vertical="center" wrapText="1"/>
    </xf>
    <xf numFmtId="0" fontId="6" fillId="33" borderId="13" xfId="0" applyFont="1" applyFill="1" applyBorder="1" applyAlignment="1">
      <alignment horizontal="left" vertical="center" wrapText="1"/>
    </xf>
    <xf numFmtId="0" fontId="6" fillId="33" borderId="1" xfId="0" applyFont="1" applyFill="1" applyBorder="1" applyAlignment="1">
      <alignment horizontal="left" vertical="center" wrapText="1"/>
    </xf>
    <xf numFmtId="167" fontId="6" fillId="33" borderId="1" xfId="4" applyNumberFormat="1" applyFont="1" applyFill="1" applyBorder="1" applyAlignment="1">
      <alignment horizontal="left" vertical="center" wrapText="1"/>
    </xf>
    <xf numFmtId="167" fontId="6" fillId="33" borderId="14" xfId="4" applyNumberFormat="1" applyFont="1" applyFill="1" applyBorder="1" applyAlignment="1">
      <alignment horizontal="left" vertical="center" wrapText="1"/>
    </xf>
    <xf numFmtId="167" fontId="6" fillId="33" borderId="13" xfId="4" applyNumberFormat="1" applyFont="1" applyFill="1" applyBorder="1" applyAlignment="1">
      <alignment horizontal="right" vertical="center" wrapText="1"/>
    </xf>
    <xf numFmtId="167" fontId="10" fillId="33" borderId="1" xfId="4" applyNumberFormat="1" applyFont="1" applyFill="1" applyBorder="1" applyAlignment="1">
      <alignment vertical="center" wrapText="1"/>
    </xf>
    <xf numFmtId="167" fontId="6" fillId="33" borderId="14" xfId="4" applyNumberFormat="1" applyFont="1" applyFill="1" applyBorder="1" applyAlignment="1">
      <alignment vertical="center" wrapText="1"/>
    </xf>
    <xf numFmtId="167" fontId="6" fillId="33" borderId="13" xfId="4" applyNumberFormat="1" applyFont="1" applyFill="1" applyBorder="1" applyAlignment="1">
      <alignment horizontal="center" vertical="center" wrapText="1"/>
    </xf>
    <xf numFmtId="167" fontId="6" fillId="33" borderId="1" xfId="4" applyNumberFormat="1" applyFont="1" applyFill="1" applyBorder="1" applyAlignment="1">
      <alignment horizontal="center" vertical="center" wrapText="1"/>
    </xf>
    <xf numFmtId="0" fontId="6" fillId="33" borderId="14" xfId="6" applyNumberFormat="1" applyFont="1" applyFill="1" applyBorder="1" applyAlignment="1">
      <alignment horizontal="left" vertical="center" wrapText="1"/>
    </xf>
    <xf numFmtId="167" fontId="6" fillId="33" borderId="13" xfId="4" applyNumberFormat="1" applyFont="1" applyFill="1" applyBorder="1" applyAlignment="1">
      <alignment vertical="center" wrapText="1"/>
    </xf>
    <xf numFmtId="167" fontId="6" fillId="33" borderId="4" xfId="4" applyNumberFormat="1" applyFont="1" applyFill="1" applyBorder="1" applyAlignment="1">
      <alignment vertical="center" wrapText="1"/>
    </xf>
    <xf numFmtId="165" fontId="8" fillId="33" borderId="13" xfId="4" applyFont="1" applyFill="1" applyBorder="1" applyAlignment="1">
      <alignment vertical="center" wrapText="1"/>
    </xf>
    <xf numFmtId="167" fontId="8" fillId="33" borderId="1" xfId="4" applyNumberFormat="1" applyFont="1" applyFill="1" applyBorder="1" applyAlignment="1">
      <alignment vertical="center" wrapText="1"/>
    </xf>
    <xf numFmtId="166" fontId="8" fillId="33" borderId="1" xfId="0" applyNumberFormat="1" applyFont="1" applyFill="1" applyBorder="1" applyAlignment="1">
      <alignment horizontal="left" vertical="center" wrapText="1"/>
    </xf>
    <xf numFmtId="9" fontId="8" fillId="33" borderId="1" xfId="3" applyFont="1" applyFill="1" applyBorder="1" applyAlignment="1">
      <alignment vertical="center" wrapText="1"/>
    </xf>
    <xf numFmtId="1" fontId="30" fillId="33" borderId="13" xfId="3" applyNumberFormat="1" applyFont="1" applyFill="1" applyBorder="1" applyAlignment="1">
      <alignment horizontal="center" vertical="center" wrapText="1"/>
    </xf>
    <xf numFmtId="9" fontId="30" fillId="33" borderId="1" xfId="3" applyFont="1" applyFill="1" applyBorder="1" applyAlignment="1">
      <alignment horizontal="center" vertical="center" wrapText="1"/>
    </xf>
    <xf numFmtId="166" fontId="8" fillId="33" borderId="13" xfId="0" applyNumberFormat="1" applyFont="1" applyFill="1" applyBorder="1" applyAlignment="1">
      <alignment vertical="center" wrapText="1"/>
    </xf>
    <xf numFmtId="166" fontId="8" fillId="33" borderId="14" xfId="0" applyNumberFormat="1" applyFont="1" applyFill="1" applyBorder="1" applyAlignment="1">
      <alignment vertical="center" wrapText="1"/>
    </xf>
    <xf numFmtId="0" fontId="0" fillId="33" borderId="0" xfId="0" applyFill="1"/>
    <xf numFmtId="166" fontId="8" fillId="33" borderId="40" xfId="0" applyNumberFormat="1" applyFont="1" applyFill="1" applyBorder="1" applyAlignment="1">
      <alignment vertical="center" wrapText="1"/>
    </xf>
    <xf numFmtId="0" fontId="0" fillId="33" borderId="4" xfId="0" applyFill="1" applyBorder="1" applyAlignment="1">
      <alignment horizontal="center" vertical="center" wrapText="1"/>
    </xf>
    <xf numFmtId="0" fontId="0" fillId="33" borderId="1" xfId="0" applyFill="1" applyBorder="1" applyAlignment="1">
      <alignment horizontal="center" vertical="center" wrapText="1"/>
    </xf>
    <xf numFmtId="167" fontId="0" fillId="33" borderId="1" xfId="4" applyNumberFormat="1" applyFont="1" applyFill="1" applyBorder="1" applyAlignment="1">
      <alignment horizontal="left" vertical="center" wrapText="1"/>
    </xf>
    <xf numFmtId="167" fontId="6" fillId="33" borderId="25" xfId="4" applyNumberFormat="1" applyFont="1" applyFill="1" applyBorder="1" applyAlignment="1">
      <alignment vertical="center" wrapText="1"/>
    </xf>
    <xf numFmtId="167" fontId="6" fillId="33" borderId="2" xfId="4" applyNumberFormat="1" applyFont="1" applyFill="1" applyBorder="1" applyAlignment="1">
      <alignment vertical="center" wrapText="1"/>
    </xf>
    <xf numFmtId="167" fontId="8" fillId="33" borderId="14" xfId="4" applyNumberFormat="1" applyFont="1" applyFill="1" applyBorder="1" applyAlignment="1">
      <alignment vertical="center" wrapText="1"/>
    </xf>
    <xf numFmtId="9" fontId="6" fillId="33" borderId="3" xfId="3" applyFont="1" applyFill="1" applyBorder="1" applyAlignment="1">
      <alignment vertical="center" wrapText="1"/>
    </xf>
    <xf numFmtId="9" fontId="6" fillId="33" borderId="2" xfId="3" applyFont="1" applyFill="1" applyBorder="1" applyAlignment="1">
      <alignment vertical="center" wrapText="1"/>
    </xf>
    <xf numFmtId="9" fontId="8" fillId="33" borderId="14" xfId="3" applyFont="1" applyFill="1" applyBorder="1" applyAlignment="1">
      <alignment vertical="center" wrapText="1"/>
    </xf>
    <xf numFmtId="0" fontId="1" fillId="33" borderId="1" xfId="0" applyFont="1" applyFill="1" applyBorder="1" applyAlignment="1">
      <alignment horizontal="center" vertical="center" wrapText="1"/>
    </xf>
    <xf numFmtId="9" fontId="6" fillId="33" borderId="13" xfId="4" applyNumberFormat="1" applyFont="1" applyFill="1" applyBorder="1" applyAlignment="1">
      <alignment vertical="center" wrapText="1"/>
    </xf>
    <xf numFmtId="9" fontId="6" fillId="33" borderId="1" xfId="4" applyNumberFormat="1" applyFont="1" applyFill="1" applyBorder="1" applyAlignment="1">
      <alignment vertical="center" wrapText="1"/>
    </xf>
    <xf numFmtId="9" fontId="6" fillId="33" borderId="1" xfId="0" applyNumberFormat="1" applyFont="1" applyFill="1" applyBorder="1" applyAlignment="1">
      <alignment vertical="center" wrapText="1"/>
    </xf>
    <xf numFmtId="9" fontId="6" fillId="33" borderId="14" xfId="0" applyNumberFormat="1" applyFont="1" applyFill="1" applyBorder="1" applyAlignment="1">
      <alignment vertical="center" wrapText="1"/>
    </xf>
    <xf numFmtId="166" fontId="8" fillId="33" borderId="13" xfId="4" applyNumberFormat="1" applyFont="1" applyFill="1" applyBorder="1" applyAlignment="1">
      <alignment vertical="center" wrapText="1"/>
    </xf>
    <xf numFmtId="166" fontId="8" fillId="33" borderId="1" xfId="4" applyNumberFormat="1" applyFont="1" applyFill="1" applyBorder="1" applyAlignment="1">
      <alignment vertical="center" wrapText="1"/>
    </xf>
    <xf numFmtId="9" fontId="8" fillId="33" borderId="1" xfId="4" applyNumberFormat="1" applyFont="1" applyFill="1" applyBorder="1" applyAlignment="1">
      <alignment vertical="center" wrapText="1"/>
    </xf>
    <xf numFmtId="10" fontId="8" fillId="33" borderId="1" xfId="4" applyNumberFormat="1" applyFont="1" applyFill="1" applyBorder="1" applyAlignment="1">
      <alignment horizontal="left" vertical="center" wrapText="1"/>
    </xf>
    <xf numFmtId="9" fontId="8" fillId="33" borderId="14" xfId="0" applyNumberFormat="1" applyFont="1" applyFill="1" applyBorder="1" applyAlignment="1">
      <alignment vertical="center" wrapText="1"/>
    </xf>
    <xf numFmtId="167" fontId="8" fillId="33" borderId="13" xfId="4" applyNumberFormat="1" applyFont="1" applyFill="1" applyBorder="1" applyAlignment="1">
      <alignment vertical="center" wrapText="1"/>
    </xf>
    <xf numFmtId="166" fontId="8" fillId="33" borderId="1" xfId="0" applyNumberFormat="1" applyFont="1" applyFill="1" applyBorder="1" applyAlignment="1">
      <alignment vertical="center" wrapText="1"/>
    </xf>
    <xf numFmtId="9" fontId="8" fillId="33" borderId="1" xfId="0" applyNumberFormat="1" applyFont="1" applyFill="1" applyBorder="1" applyAlignment="1">
      <alignment vertical="center" wrapText="1"/>
    </xf>
    <xf numFmtId="167" fontId="8" fillId="33" borderId="4" xfId="4" applyNumberFormat="1" applyFont="1" applyFill="1" applyBorder="1" applyAlignment="1">
      <alignment vertical="center" wrapText="1"/>
    </xf>
    <xf numFmtId="9" fontId="8" fillId="33" borderId="4" xfId="0" applyNumberFormat="1" applyFont="1" applyFill="1" applyBorder="1" applyAlignment="1">
      <alignment vertical="center" wrapText="1"/>
    </xf>
    <xf numFmtId="167" fontId="8" fillId="33" borderId="35" xfId="4" applyNumberFormat="1" applyFont="1" applyFill="1" applyBorder="1" applyAlignment="1">
      <alignment vertical="center" wrapText="1"/>
    </xf>
    <xf numFmtId="9" fontId="8" fillId="33" borderId="35" xfId="4" applyNumberFormat="1" applyFont="1" applyFill="1" applyBorder="1" applyAlignment="1">
      <alignment vertical="center" wrapText="1"/>
    </xf>
    <xf numFmtId="0" fontId="1" fillId="33" borderId="0" xfId="0" applyFont="1" applyFill="1" applyAlignment="1">
      <alignment wrapText="1"/>
    </xf>
    <xf numFmtId="0" fontId="1" fillId="33" borderId="0" xfId="0" applyFont="1" applyFill="1" applyAlignment="1">
      <alignment horizontal="right" wrapText="1"/>
    </xf>
    <xf numFmtId="165" fontId="1" fillId="33" borderId="0" xfId="4" applyFont="1" applyFill="1" applyAlignment="1">
      <alignment wrapText="1"/>
    </xf>
    <xf numFmtId="167" fontId="1" fillId="33" borderId="0" xfId="4" applyNumberFormat="1" applyFont="1" applyFill="1" applyAlignment="1">
      <alignment wrapText="1"/>
    </xf>
    <xf numFmtId="166" fontId="17" fillId="8" borderId="26" xfId="2" applyNumberFormat="1" applyFont="1" applyFill="1" applyBorder="1" applyAlignment="1">
      <alignment horizontal="center" vertical="center" wrapText="1"/>
    </xf>
    <xf numFmtId="166" fontId="8" fillId="33" borderId="2" xfId="0" applyNumberFormat="1" applyFont="1" applyFill="1" applyBorder="1" applyAlignment="1">
      <alignment horizontal="left" vertical="center" wrapText="1"/>
    </xf>
    <xf numFmtId="167" fontId="18" fillId="18" borderId="1" xfId="4" applyNumberFormat="1" applyFont="1" applyFill="1" applyBorder="1" applyAlignment="1">
      <alignment horizontal="center"/>
    </xf>
    <xf numFmtId="166" fontId="23" fillId="17" borderId="1" xfId="2" applyNumberFormat="1" applyFont="1" applyFill="1" applyBorder="1" applyAlignment="1">
      <alignment horizontal="center" vertical="center" wrapText="1"/>
    </xf>
    <xf numFmtId="166" fontId="24" fillId="17" borderId="1" xfId="2" applyNumberFormat="1" applyFont="1" applyFill="1" applyBorder="1" applyAlignment="1">
      <alignment horizontal="center" vertical="center" wrapText="1"/>
    </xf>
    <xf numFmtId="0" fontId="39" fillId="18" borderId="1" xfId="0" applyFont="1" applyFill="1" applyBorder="1" applyAlignment="1">
      <alignment vertical="center"/>
    </xf>
    <xf numFmtId="0" fontId="5" fillId="13" borderId="10" xfId="0" applyFont="1" applyFill="1" applyBorder="1" applyAlignment="1">
      <alignment horizontal="center" vertical="center"/>
    </xf>
    <xf numFmtId="0" fontId="19" fillId="34" borderId="10" xfId="0" applyFont="1" applyFill="1" applyBorder="1" applyAlignment="1">
      <alignment horizontal="center" vertical="center"/>
    </xf>
    <xf numFmtId="0" fontId="8" fillId="0" borderId="10" xfId="0" applyFont="1" applyBorder="1" applyAlignment="1">
      <alignment vertical="center" wrapText="1"/>
    </xf>
    <xf numFmtId="0" fontId="6" fillId="0" borderId="10" xfId="0" applyFont="1" applyBorder="1" applyAlignment="1">
      <alignment vertical="top" wrapText="1"/>
    </xf>
    <xf numFmtId="0" fontId="19" fillId="35" borderId="10" xfId="0" applyFont="1" applyFill="1" applyBorder="1" applyAlignment="1">
      <alignment horizontal="center" vertical="center"/>
    </xf>
    <xf numFmtId="0" fontId="0" fillId="0" borderId="10" xfId="0" applyBorder="1" applyAlignment="1">
      <alignment horizontal="left" vertical="top" wrapText="1"/>
    </xf>
    <xf numFmtId="0" fontId="43" fillId="0" borderId="10" xfId="7" applyBorder="1" applyAlignment="1">
      <alignment vertical="center" wrapText="1"/>
    </xf>
    <xf numFmtId="0" fontId="43" fillId="0" borderId="10" xfId="7" applyBorder="1" applyAlignment="1">
      <alignment horizontal="left" vertical="center" wrapText="1" indent="1"/>
    </xf>
    <xf numFmtId="0" fontId="0" fillId="0" borderId="0" xfId="0" applyAlignment="1">
      <alignment horizontal="left" indent="1"/>
    </xf>
    <xf numFmtId="166" fontId="8" fillId="0" borderId="2" xfId="0" applyNumberFormat="1" applyFont="1" applyBorder="1" applyAlignment="1">
      <alignment horizontal="left" vertical="center" wrapText="1"/>
    </xf>
    <xf numFmtId="166" fontId="5" fillId="8" borderId="50" xfId="2" applyNumberFormat="1" applyFont="1" applyFill="1" applyBorder="1" applyAlignment="1">
      <alignment horizontal="center" vertical="center" wrapText="1"/>
    </xf>
    <xf numFmtId="9" fontId="8" fillId="33" borderId="35" xfId="0" applyNumberFormat="1" applyFont="1" applyFill="1" applyBorder="1" applyAlignment="1">
      <alignment vertical="center" wrapText="1"/>
    </xf>
    <xf numFmtId="167" fontId="24" fillId="24" borderId="0" xfId="4" applyNumberFormat="1" applyFont="1" applyFill="1" applyBorder="1" applyAlignment="1">
      <alignment horizontal="center" vertical="center" wrapText="1"/>
    </xf>
    <xf numFmtId="167" fontId="19" fillId="26" borderId="51" xfId="4" applyNumberFormat="1" applyFont="1" applyFill="1" applyBorder="1" applyAlignment="1">
      <alignment horizontal="center" vertical="center" wrapText="1"/>
    </xf>
    <xf numFmtId="166" fontId="5" fillId="19" borderId="0" xfId="2" applyNumberFormat="1" applyFont="1" applyFill="1" applyBorder="1" applyAlignment="1">
      <alignment horizontal="left" vertical="center" wrapText="1"/>
    </xf>
    <xf numFmtId="1" fontId="45" fillId="0" borderId="0" xfId="4" applyNumberFormat="1" applyFont="1" applyFill="1" applyBorder="1" applyAlignment="1">
      <alignment vertical="center" wrapText="1"/>
    </xf>
    <xf numFmtId="9" fontId="30" fillId="0" borderId="2" xfId="3" applyFont="1" applyFill="1" applyBorder="1" applyAlignment="1">
      <alignment horizontal="center" vertical="center" wrapText="1"/>
    </xf>
    <xf numFmtId="9" fontId="30" fillId="33" borderId="2" xfId="3" applyFont="1" applyFill="1" applyBorder="1" applyAlignment="1">
      <alignment horizontal="center" vertical="center" wrapText="1"/>
    </xf>
    <xf numFmtId="167" fontId="33" fillId="0" borderId="0" xfId="4" applyNumberFormat="1" applyFont="1" applyBorder="1" applyAlignment="1"/>
    <xf numFmtId="166" fontId="22" fillId="36" borderId="32" xfId="2" applyNumberFormat="1" applyFont="1" applyFill="1" applyBorder="1" applyAlignment="1">
      <alignment horizontal="center" vertical="center" wrapText="1"/>
    </xf>
    <xf numFmtId="0" fontId="17" fillId="9" borderId="11" xfId="1" applyFont="1" applyFill="1" applyBorder="1" applyAlignment="1">
      <alignment horizontal="center" vertical="center" wrapText="1"/>
    </xf>
    <xf numFmtId="0" fontId="17" fillId="9" borderId="19" xfId="1" applyFont="1" applyFill="1" applyBorder="1" applyAlignment="1">
      <alignment horizontal="center" vertical="center" wrapText="1"/>
    </xf>
    <xf numFmtId="0" fontId="24" fillId="9" borderId="24" xfId="1" applyFont="1" applyFill="1" applyBorder="1" applyAlignment="1">
      <alignment horizontal="center" vertical="center" wrapText="1"/>
    </xf>
    <xf numFmtId="0" fontId="13" fillId="37" borderId="0" xfId="0" applyFont="1" applyFill="1"/>
    <xf numFmtId="9" fontId="13" fillId="30" borderId="2" xfId="3" applyFont="1" applyFill="1" applyBorder="1"/>
    <xf numFmtId="9" fontId="13" fillId="30" borderId="1" xfId="3" applyFont="1" applyFill="1" applyBorder="1"/>
    <xf numFmtId="167" fontId="6" fillId="0" borderId="1" xfId="4" applyNumberFormat="1" applyFont="1" applyBorder="1" applyAlignment="1">
      <alignment vertical="center" wrapText="1"/>
    </xf>
    <xf numFmtId="167" fontId="10" fillId="0" borderId="1" xfId="4" applyNumberFormat="1" applyFont="1" applyBorder="1" applyAlignment="1">
      <alignment vertical="center" wrapText="1"/>
    </xf>
    <xf numFmtId="9" fontId="6" fillId="0" borderId="13" xfId="4" applyNumberFormat="1" applyFont="1" applyBorder="1" applyAlignment="1">
      <alignment vertical="center" wrapText="1"/>
    </xf>
    <xf numFmtId="9" fontId="6" fillId="0" borderId="1" xfId="4" applyNumberFormat="1" applyFont="1" applyBorder="1" applyAlignment="1">
      <alignment vertical="center" wrapText="1"/>
    </xf>
    <xf numFmtId="9" fontId="6" fillId="0" borderId="1" xfId="0" applyNumberFormat="1" applyFont="1" applyBorder="1" applyAlignment="1">
      <alignment vertical="center" wrapText="1"/>
    </xf>
    <xf numFmtId="9" fontId="6" fillId="0" borderId="14" xfId="0" applyNumberFormat="1" applyFont="1" applyBorder="1" applyAlignment="1">
      <alignment vertical="center" wrapText="1"/>
    </xf>
    <xf numFmtId="166" fontId="8" fillId="0" borderId="13" xfId="4" applyNumberFormat="1" applyFont="1" applyBorder="1" applyAlignment="1">
      <alignment vertical="center" wrapText="1"/>
    </xf>
    <xf numFmtId="166" fontId="8" fillId="0" borderId="1" xfId="4" applyNumberFormat="1" applyFont="1" applyBorder="1" applyAlignment="1">
      <alignment vertical="center" wrapText="1"/>
    </xf>
    <xf numFmtId="9" fontId="8" fillId="0" borderId="1" xfId="4" applyNumberFormat="1" applyFont="1" applyFill="1" applyBorder="1" applyAlignment="1">
      <alignment vertical="center" wrapText="1"/>
    </xf>
    <xf numFmtId="10" fontId="8" fillId="0" borderId="1" xfId="4" applyNumberFormat="1" applyFont="1" applyBorder="1" applyAlignment="1">
      <alignment horizontal="left" vertical="center" wrapText="1"/>
    </xf>
    <xf numFmtId="9" fontId="8" fillId="0" borderId="1" xfId="4" applyNumberFormat="1" applyFont="1" applyBorder="1" applyAlignment="1">
      <alignment vertical="center" wrapText="1"/>
    </xf>
    <xf numFmtId="9" fontId="8" fillId="0" borderId="14" xfId="0" applyNumberFormat="1" applyFont="1" applyBorder="1" applyAlignment="1">
      <alignment vertical="center" wrapText="1"/>
    </xf>
    <xf numFmtId="166" fontId="8" fillId="0" borderId="1" xfId="0" applyNumberFormat="1" applyFont="1" applyBorder="1" applyAlignment="1">
      <alignment vertical="center" wrapText="1"/>
    </xf>
    <xf numFmtId="167" fontId="8" fillId="0" borderId="4" xfId="4" applyNumberFormat="1" applyFont="1" applyFill="1" applyBorder="1" applyAlignment="1">
      <alignment vertical="center" wrapText="1"/>
    </xf>
    <xf numFmtId="167" fontId="8" fillId="0" borderId="35" xfId="4" applyNumberFormat="1" applyFont="1" applyFill="1" applyBorder="1" applyAlignment="1">
      <alignment vertical="center" wrapText="1"/>
    </xf>
    <xf numFmtId="9" fontId="8" fillId="0" borderId="35" xfId="4" applyNumberFormat="1" applyFont="1" applyFill="1" applyBorder="1" applyAlignment="1">
      <alignment vertical="center" wrapText="1"/>
    </xf>
    <xf numFmtId="167" fontId="6" fillId="0" borderId="13" xfId="6" applyNumberFormat="1" applyFont="1" applyBorder="1" applyAlignment="1">
      <alignment horizontal="center" vertical="center" wrapText="1"/>
    </xf>
    <xf numFmtId="0" fontId="6" fillId="0" borderId="13" xfId="0" applyFont="1" applyBorder="1" applyAlignment="1">
      <alignment horizontal="center" vertical="center" wrapText="1"/>
    </xf>
    <xf numFmtId="167" fontId="6" fillId="0" borderId="13" xfId="4" applyNumberFormat="1" applyFont="1" applyBorder="1" applyAlignment="1">
      <alignment vertical="center" wrapText="1"/>
    </xf>
    <xf numFmtId="166" fontId="8" fillId="0" borderId="40" xfId="0" applyNumberFormat="1" applyFont="1" applyBorder="1" applyAlignment="1">
      <alignment vertical="center" wrapText="1"/>
    </xf>
    <xf numFmtId="167" fontId="6" fillId="0" borderId="4" xfId="4" applyNumberFormat="1" applyFont="1" applyBorder="1" applyAlignment="1">
      <alignment vertical="center" wrapText="1"/>
    </xf>
    <xf numFmtId="167" fontId="6" fillId="0" borderId="25" xfId="4" applyNumberFormat="1" applyFont="1" applyBorder="1" applyAlignment="1">
      <alignment vertical="center" wrapText="1"/>
    </xf>
    <xf numFmtId="167" fontId="6" fillId="0" borderId="2" xfId="4" applyNumberFormat="1" applyFont="1" applyBorder="1" applyAlignment="1">
      <alignment vertical="center" wrapText="1"/>
    </xf>
    <xf numFmtId="167" fontId="8" fillId="0" borderId="1" xfId="4" applyNumberFormat="1" applyFont="1" applyBorder="1" applyAlignment="1">
      <alignment vertical="center" wrapText="1"/>
    </xf>
    <xf numFmtId="9" fontId="8" fillId="0" borderId="2" xfId="3" applyFont="1" applyBorder="1" applyAlignment="1">
      <alignment vertical="center" wrapText="1"/>
    </xf>
    <xf numFmtId="9" fontId="6" fillId="0" borderId="2" xfId="3" applyFont="1" applyBorder="1" applyAlignment="1">
      <alignment vertical="center" wrapText="1"/>
    </xf>
    <xf numFmtId="167" fontId="6" fillId="0" borderId="3" xfId="4" applyNumberFormat="1" applyFont="1" applyBorder="1" applyAlignment="1">
      <alignment horizontal="center" vertical="center" wrapText="1"/>
    </xf>
    <xf numFmtId="167" fontId="6" fillId="0" borderId="13" xfId="4" applyNumberFormat="1" applyFont="1" applyBorder="1" applyAlignment="1">
      <alignment horizontal="center" vertical="center" wrapText="1"/>
    </xf>
    <xf numFmtId="167" fontId="6" fillId="0" borderId="1" xfId="4" applyNumberFormat="1" applyFont="1" applyBorder="1" applyAlignment="1">
      <alignment horizontal="center" vertical="center" wrapText="1"/>
    </xf>
    <xf numFmtId="0" fontId="6" fillId="0" borderId="14" xfId="6" applyNumberFormat="1" applyFont="1" applyBorder="1" applyAlignment="1">
      <alignment horizontal="left" vertical="center" wrapText="1"/>
    </xf>
    <xf numFmtId="166" fontId="8" fillId="0" borderId="1" xfId="4" applyNumberFormat="1" applyFont="1" applyBorder="1" applyAlignment="1">
      <alignment horizontal="left" vertical="center" wrapText="1"/>
    </xf>
    <xf numFmtId="9" fontId="30" fillId="0" borderId="14" xfId="3" applyFont="1" applyFill="1" applyBorder="1" applyAlignment="1">
      <alignment horizontal="center" vertical="center" wrapText="1"/>
    </xf>
    <xf numFmtId="166" fontId="30" fillId="0" borderId="1" xfId="3" applyNumberFormat="1" applyFont="1" applyFill="1" applyBorder="1" applyAlignment="1">
      <alignment horizontal="left" vertical="center" wrapText="1"/>
    </xf>
    <xf numFmtId="167" fontId="0" fillId="0" borderId="1" xfId="4" applyNumberFormat="1" applyFont="1" applyBorder="1"/>
    <xf numFmtId="166" fontId="30" fillId="0" borderId="4" xfId="3" applyNumberFormat="1" applyFont="1" applyFill="1" applyBorder="1" applyAlignment="1">
      <alignment horizontal="left" vertical="center" wrapText="1"/>
    </xf>
    <xf numFmtId="166" fontId="8" fillId="0" borderId="4" xfId="4" applyNumberFormat="1" applyFont="1" applyBorder="1" applyAlignment="1">
      <alignment vertical="center" wrapText="1"/>
    </xf>
    <xf numFmtId="166" fontId="8" fillId="0" borderId="2" xfId="0" applyNumberFormat="1" applyFont="1" applyBorder="1" applyAlignment="1">
      <alignment vertical="center" wrapText="1"/>
    </xf>
    <xf numFmtId="0" fontId="1" fillId="0" borderId="1" xfId="0" applyFont="1" applyBorder="1" applyAlignment="1">
      <alignment horizontal="left" vertical="center" wrapText="1"/>
    </xf>
    <xf numFmtId="167" fontId="6" fillId="0" borderId="35" xfId="4" applyNumberFormat="1" applyFont="1" applyBorder="1" applyAlignment="1">
      <alignment horizontal="center" vertical="center" wrapText="1"/>
    </xf>
    <xf numFmtId="167" fontId="6" fillId="0" borderId="54" xfId="4" applyNumberFormat="1" applyFont="1" applyFill="1" applyBorder="1" applyAlignment="1">
      <alignment horizontal="left" vertical="center" wrapText="1"/>
    </xf>
    <xf numFmtId="167" fontId="6" fillId="0" borderId="12" xfId="4" applyNumberFormat="1" applyFont="1" applyFill="1" applyBorder="1" applyAlignment="1">
      <alignment horizontal="left" vertical="center" wrapText="1"/>
    </xf>
    <xf numFmtId="168" fontId="8" fillId="0" borderId="1" xfId="4" applyNumberFormat="1" applyFont="1" applyBorder="1" applyAlignment="1">
      <alignment horizontal="left"/>
    </xf>
    <xf numFmtId="166" fontId="8" fillId="0" borderId="1" xfId="4" applyNumberFormat="1" applyFont="1" applyBorder="1"/>
    <xf numFmtId="166" fontId="8" fillId="0" borderId="2" xfId="4" applyNumberFormat="1" applyFont="1" applyBorder="1" applyAlignment="1">
      <alignment vertical="center" wrapText="1"/>
    </xf>
    <xf numFmtId="0" fontId="6" fillId="0" borderId="4" xfId="0" applyFont="1" applyBorder="1" applyAlignment="1">
      <alignment horizontal="center" vertical="center" wrapText="1"/>
    </xf>
    <xf numFmtId="0" fontId="36" fillId="0" borderId="5" xfId="0" applyFont="1" applyBorder="1" applyAlignment="1">
      <alignment vertical="center"/>
    </xf>
    <xf numFmtId="0" fontId="36" fillId="0" borderId="6" xfId="0" applyFont="1" applyBorder="1" applyAlignment="1">
      <alignment vertical="center"/>
    </xf>
    <xf numFmtId="0" fontId="36" fillId="0" borderId="53" xfId="0" applyFont="1" applyBorder="1" applyAlignment="1">
      <alignment vertical="center"/>
    </xf>
    <xf numFmtId="169" fontId="8" fillId="0" borderId="1" xfId="3" applyNumberFormat="1" applyFont="1" applyBorder="1"/>
    <xf numFmtId="169" fontId="8" fillId="0" borderId="1" xfId="3" applyNumberFormat="1" applyFont="1" applyBorder="1" applyAlignment="1">
      <alignment vertical="center" wrapText="1"/>
    </xf>
    <xf numFmtId="169" fontId="8" fillId="0" borderId="1" xfId="3" applyNumberFormat="1" applyFont="1" applyBorder="1" applyAlignment="1">
      <alignment horizontal="right" vertical="center" wrapText="1"/>
    </xf>
    <xf numFmtId="169" fontId="8" fillId="0" borderId="1" xfId="0" applyNumberFormat="1" applyFont="1" applyBorder="1" applyAlignment="1">
      <alignment vertical="center" wrapText="1"/>
    </xf>
    <xf numFmtId="0" fontId="1" fillId="33" borderId="1" xfId="0" applyFont="1" applyFill="1" applyBorder="1" applyAlignment="1">
      <alignment horizontal="left" vertical="center" wrapText="1"/>
    </xf>
    <xf numFmtId="1" fontId="8" fillId="33" borderId="35" xfId="4" applyNumberFormat="1" applyFont="1" applyFill="1" applyBorder="1" applyAlignment="1">
      <alignment vertical="center" wrapText="1"/>
    </xf>
    <xf numFmtId="167" fontId="6" fillId="33" borderId="53" xfId="4" applyNumberFormat="1" applyFont="1" applyFill="1" applyBorder="1" applyAlignment="1">
      <alignment horizontal="left" vertical="center" wrapText="1"/>
    </xf>
    <xf numFmtId="167" fontId="6" fillId="0" borderId="2" xfId="4" applyNumberFormat="1" applyFont="1" applyBorder="1" applyAlignment="1">
      <alignment horizontal="left" vertical="center" wrapText="1"/>
    </xf>
    <xf numFmtId="167" fontId="17" fillId="6" borderId="56" xfId="4" applyNumberFormat="1" applyFont="1" applyFill="1" applyBorder="1" applyAlignment="1">
      <alignment horizontal="center" vertical="center" wrapText="1"/>
    </xf>
    <xf numFmtId="167" fontId="17" fillId="6" borderId="57" xfId="4" applyNumberFormat="1" applyFont="1" applyFill="1" applyBorder="1" applyAlignment="1">
      <alignment horizontal="center" vertical="center" wrapText="1"/>
    </xf>
    <xf numFmtId="166" fontId="17" fillId="6" borderId="58" xfId="2" applyNumberFormat="1" applyFont="1" applyFill="1" applyBorder="1" applyAlignment="1">
      <alignment horizontal="center" vertical="center" wrapText="1"/>
    </xf>
    <xf numFmtId="166" fontId="17" fillId="6" borderId="59" xfId="2" applyNumberFormat="1" applyFont="1" applyFill="1" applyBorder="1" applyAlignment="1">
      <alignment horizontal="center" vertical="center" wrapText="1"/>
    </xf>
    <xf numFmtId="167" fontId="6" fillId="33" borderId="1" xfId="4" applyNumberFormat="1" applyFont="1" applyFill="1" applyBorder="1" applyAlignment="1">
      <alignment horizontal="right" vertical="center" wrapText="1"/>
    </xf>
    <xf numFmtId="167" fontId="6" fillId="0" borderId="1" xfId="4" applyNumberFormat="1" applyFont="1" applyBorder="1" applyAlignment="1">
      <alignment horizontal="right" vertical="center" wrapText="1"/>
    </xf>
    <xf numFmtId="0" fontId="0" fillId="0" borderId="0" xfId="0" pivotButton="1"/>
    <xf numFmtId="0" fontId="0" fillId="0" borderId="0" xfId="0" applyAlignment="1">
      <alignment vertical="center" wrapText="1"/>
    </xf>
    <xf numFmtId="0" fontId="47" fillId="38" borderId="0" xfId="0" applyFont="1" applyFill="1" applyAlignment="1">
      <alignment vertical="center" wrapText="1"/>
    </xf>
    <xf numFmtId="0" fontId="0" fillId="3" borderId="0" xfId="0" applyFill="1" applyAlignment="1">
      <alignment wrapText="1"/>
    </xf>
    <xf numFmtId="0" fontId="0" fillId="0" borderId="1" xfId="0" pivotButton="1" applyBorder="1"/>
    <xf numFmtId="170" fontId="6" fillId="0" borderId="1" xfId="4" applyNumberFormat="1" applyFont="1" applyFill="1" applyBorder="1" applyAlignment="1">
      <alignment vertical="center" wrapText="1"/>
    </xf>
    <xf numFmtId="170" fontId="6" fillId="33" borderId="1" xfId="4" applyNumberFormat="1" applyFont="1" applyFill="1" applyBorder="1" applyAlignment="1">
      <alignment vertical="center" wrapText="1"/>
    </xf>
    <xf numFmtId="170" fontId="6" fillId="0" borderId="1" xfId="4" applyNumberFormat="1" applyFont="1" applyBorder="1" applyAlignment="1">
      <alignment vertical="center" wrapText="1"/>
    </xf>
    <xf numFmtId="0" fontId="1" fillId="0" borderId="0" xfId="0" applyFont="1" applyAlignment="1">
      <alignment vertical="top" wrapText="1"/>
    </xf>
    <xf numFmtId="166" fontId="5" fillId="19" borderId="16" xfId="2" applyNumberFormat="1" applyFont="1" applyFill="1" applyBorder="1" applyAlignment="1">
      <alignment vertical="top" wrapText="1"/>
    </xf>
    <xf numFmtId="0" fontId="0" fillId="33" borderId="1" xfId="0" applyFill="1" applyBorder="1" applyAlignment="1">
      <alignment vertical="top" wrapText="1"/>
    </xf>
    <xf numFmtId="0" fontId="1" fillId="0" borderId="1" xfId="0" applyFont="1" applyBorder="1" applyAlignment="1">
      <alignment vertical="top" wrapText="1"/>
    </xf>
    <xf numFmtId="0" fontId="4" fillId="0" borderId="0" xfId="0" applyFont="1" applyAlignment="1">
      <alignment vertical="top" wrapText="1"/>
    </xf>
    <xf numFmtId="167" fontId="6" fillId="3" borderId="1" xfId="4" applyNumberFormat="1" applyFont="1" applyFill="1" applyBorder="1" applyAlignment="1">
      <alignment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55" xfId="0" applyBorder="1" applyAlignment="1">
      <alignment horizontal="left" vertical="center"/>
    </xf>
    <xf numFmtId="0" fontId="0" fillId="0" borderId="7" xfId="0" applyBorder="1" applyAlignment="1">
      <alignment horizontal="left" vertical="center"/>
    </xf>
    <xf numFmtId="0" fontId="0" fillId="0" borderId="52" xfId="0" applyBorder="1" applyAlignment="1">
      <alignment horizontal="left" vertical="center"/>
    </xf>
    <xf numFmtId="0" fontId="0" fillId="3" borderId="0" xfId="0" applyFill="1"/>
    <xf numFmtId="166" fontId="24" fillId="37" borderId="1" xfId="2" applyNumberFormat="1" applyFont="1" applyFill="1" applyBorder="1" applyAlignment="1">
      <alignment horizontal="center" vertical="center" wrapText="1"/>
    </xf>
    <xf numFmtId="166" fontId="8" fillId="0" borderId="13" xfId="4" applyNumberFormat="1" applyFont="1" applyFill="1" applyBorder="1" applyAlignment="1">
      <alignment vertical="center" wrapText="1"/>
    </xf>
    <xf numFmtId="167" fontId="6" fillId="0" borderId="13" xfId="6" applyNumberFormat="1" applyFont="1" applyFill="1" applyBorder="1" applyAlignment="1">
      <alignment horizontal="center" vertical="center" wrapText="1"/>
    </xf>
    <xf numFmtId="0" fontId="1" fillId="0" borderId="0" xfId="0" applyFont="1" applyAlignment="1">
      <alignment horizontal="right" wrapText="1"/>
    </xf>
    <xf numFmtId="167" fontId="1" fillId="0" borderId="0" xfId="4" applyNumberFormat="1" applyFont="1" applyFill="1" applyAlignment="1">
      <alignment wrapText="1"/>
    </xf>
    <xf numFmtId="167" fontId="1" fillId="0" borderId="0" xfId="4" applyNumberFormat="1" applyFont="1" applyAlignment="1">
      <alignment horizontal="center" vertical="center" wrapText="1"/>
    </xf>
    <xf numFmtId="166" fontId="29" fillId="27" borderId="49" xfId="2" applyNumberFormat="1" applyFont="1" applyFill="1" applyBorder="1" applyAlignment="1">
      <alignment horizontal="center" vertical="center" wrapText="1"/>
    </xf>
    <xf numFmtId="0" fontId="19" fillId="34" borderId="9" xfId="0" applyFont="1" applyFill="1" applyBorder="1" applyAlignment="1">
      <alignment horizontal="center" vertical="center"/>
    </xf>
    <xf numFmtId="0" fontId="19" fillId="34" borderId="47" xfId="0" applyFont="1" applyFill="1" applyBorder="1" applyAlignment="1">
      <alignment horizontal="center" vertical="center"/>
    </xf>
    <xf numFmtId="0" fontId="19" fillId="34" borderId="48" xfId="0" applyFont="1" applyFill="1" applyBorder="1" applyAlignment="1">
      <alignment horizontal="center" vertical="center"/>
    </xf>
    <xf numFmtId="0" fontId="17" fillId="37" borderId="8" xfId="0" applyFont="1" applyFill="1" applyBorder="1" applyAlignment="1">
      <alignment horizontal="center" vertical="center"/>
    </xf>
    <xf numFmtId="0" fontId="16" fillId="3" borderId="0" xfId="0" applyFont="1" applyFill="1" applyAlignment="1">
      <alignment horizontal="center"/>
    </xf>
    <xf numFmtId="0" fontId="15" fillId="0" borderId="8" xfId="0" applyFont="1" applyBorder="1" applyAlignment="1">
      <alignment horizontal="center"/>
    </xf>
    <xf numFmtId="0" fontId="13" fillId="0" borderId="0" xfId="0" applyFont="1" applyAlignment="1">
      <alignment horizontal="left" vertical="top" wrapText="1"/>
    </xf>
    <xf numFmtId="0" fontId="15" fillId="0" borderId="0" xfId="0" applyFont="1" applyAlignment="1">
      <alignment horizontal="center"/>
    </xf>
    <xf numFmtId="167" fontId="33" fillId="0" borderId="21" xfId="4" applyNumberFormat="1" applyFont="1" applyBorder="1" applyAlignment="1">
      <alignment horizontal="right" wrapText="1"/>
    </xf>
    <xf numFmtId="0" fontId="33" fillId="0" borderId="21" xfId="0" applyFont="1" applyBorder="1" applyAlignment="1">
      <alignment horizontal="right" wrapText="1"/>
    </xf>
    <xf numFmtId="0" fontId="17" fillId="9" borderId="11" xfId="1" applyFont="1" applyFill="1" applyBorder="1" applyAlignment="1">
      <alignment horizontal="center" vertical="center" wrapText="1"/>
    </xf>
    <xf numFmtId="0" fontId="17" fillId="10" borderId="11" xfId="1" applyFont="1" applyFill="1" applyBorder="1" applyAlignment="1">
      <alignment horizontal="center" vertical="center" wrapText="1"/>
    </xf>
    <xf numFmtId="0" fontId="46" fillId="37" borderId="1" xfId="0" applyFont="1" applyFill="1" applyBorder="1" applyAlignment="1">
      <alignment horizontal="center" vertical="center"/>
    </xf>
    <xf numFmtId="166" fontId="23" fillId="17" borderId="1" xfId="2" applyNumberFormat="1" applyFont="1" applyFill="1" applyBorder="1" applyAlignment="1">
      <alignment horizontal="center" vertical="center" wrapText="1"/>
    </xf>
    <xf numFmtId="167" fontId="17" fillId="11" borderId="11" xfId="4" applyNumberFormat="1" applyFont="1" applyFill="1" applyBorder="1" applyAlignment="1">
      <alignment horizontal="center" vertical="center" wrapText="1"/>
    </xf>
    <xf numFmtId="0" fontId="17" fillId="2" borderId="11" xfId="1" applyFont="1" applyFill="1" applyBorder="1" applyAlignment="1">
      <alignment horizontal="center" vertical="center" wrapText="1"/>
    </xf>
    <xf numFmtId="0" fontId="17" fillId="12" borderId="11" xfId="1" applyFont="1" applyFill="1" applyBorder="1" applyAlignment="1">
      <alignment horizontal="center" vertical="center" wrapText="1"/>
    </xf>
    <xf numFmtId="167" fontId="17" fillId="12" borderId="11" xfId="4" applyNumberFormat="1" applyFont="1" applyFill="1" applyBorder="1" applyAlignment="1">
      <alignment horizontal="center" vertical="center" wrapText="1"/>
    </xf>
    <xf numFmtId="167" fontId="17" fillId="12" borderId="18" xfId="4" applyNumberFormat="1" applyFont="1" applyFill="1" applyBorder="1" applyAlignment="1">
      <alignment horizontal="center" vertical="center" wrapText="1"/>
    </xf>
    <xf numFmtId="0" fontId="17" fillId="12" borderId="24" xfId="1" applyFont="1" applyFill="1" applyBorder="1" applyAlignment="1">
      <alignment horizontal="center" vertical="center" wrapText="1"/>
    </xf>
    <xf numFmtId="0" fontId="17" fillId="2" borderId="18" xfId="1" applyFont="1" applyFill="1" applyBorder="1" applyAlignment="1">
      <alignment horizontal="center" vertical="center" wrapText="1"/>
    </xf>
    <xf numFmtId="0" fontId="17" fillId="2" borderId="24" xfId="1" applyFont="1" applyFill="1" applyBorder="1" applyAlignment="1">
      <alignment horizontal="center" vertical="center" wrapText="1"/>
    </xf>
    <xf numFmtId="0" fontId="17" fillId="2" borderId="19" xfId="1" applyFont="1" applyFill="1" applyBorder="1" applyAlignment="1">
      <alignment horizontal="center" vertical="center" wrapText="1"/>
    </xf>
    <xf numFmtId="167" fontId="17" fillId="11" borderId="37" xfId="4" applyNumberFormat="1" applyFont="1" applyFill="1" applyBorder="1" applyAlignment="1">
      <alignment horizontal="center" vertical="center" wrapText="1"/>
    </xf>
    <xf numFmtId="167" fontId="17" fillId="11" borderId="38" xfId="4" applyNumberFormat="1" applyFont="1" applyFill="1" applyBorder="1" applyAlignment="1">
      <alignment horizontal="center" vertical="center" wrapText="1"/>
    </xf>
    <xf numFmtId="167" fontId="17" fillId="11" borderId="18" xfId="4" applyNumberFormat="1" applyFont="1" applyFill="1" applyBorder="1" applyAlignment="1">
      <alignment horizontal="center" vertical="center" wrapText="1"/>
    </xf>
    <xf numFmtId="167" fontId="17" fillId="11" borderId="24" xfId="4" applyNumberFormat="1" applyFont="1" applyFill="1" applyBorder="1" applyAlignment="1">
      <alignment horizontal="center" vertical="center" wrapText="1"/>
    </xf>
    <xf numFmtId="167" fontId="17" fillId="11" borderId="19" xfId="4" applyNumberFormat="1" applyFont="1" applyFill="1" applyBorder="1" applyAlignment="1">
      <alignment horizontal="center" vertical="center" wrapText="1"/>
    </xf>
    <xf numFmtId="167" fontId="22" fillId="36" borderId="43" xfId="4" applyNumberFormat="1" applyFont="1" applyFill="1" applyBorder="1" applyAlignment="1">
      <alignment horizontal="center" vertical="center" wrapText="1"/>
    </xf>
    <xf numFmtId="167" fontId="22" fillId="36" borderId="49" xfId="4" applyNumberFormat="1" applyFont="1" applyFill="1" applyBorder="1" applyAlignment="1">
      <alignment horizontal="center" vertical="center" wrapText="1"/>
    </xf>
    <xf numFmtId="167" fontId="17" fillId="12" borderId="42" xfId="4" applyNumberFormat="1" applyFont="1" applyFill="1" applyBorder="1" applyAlignment="1">
      <alignment horizontal="center" vertical="center" wrapText="1"/>
    </xf>
    <xf numFmtId="167" fontId="17" fillId="12" borderId="43" xfId="4" applyNumberFormat="1" applyFont="1" applyFill="1" applyBorder="1" applyAlignment="1">
      <alignment horizontal="center" vertical="center" wrapText="1"/>
    </xf>
    <xf numFmtId="167" fontId="17" fillId="12" borderId="49" xfId="4" applyNumberFormat="1" applyFont="1" applyFill="1" applyBorder="1" applyAlignment="1">
      <alignment horizontal="center" vertical="center" wrapText="1"/>
    </xf>
    <xf numFmtId="0" fontId="7" fillId="10" borderId="18" xfId="1" applyFont="1" applyFill="1" applyBorder="1" applyAlignment="1">
      <alignment horizontal="center" vertical="center" wrapText="1"/>
    </xf>
    <xf numFmtId="0" fontId="7" fillId="10" borderId="24" xfId="1" applyFont="1" applyFill="1" applyBorder="1" applyAlignment="1">
      <alignment horizontal="center" vertical="center" wrapText="1"/>
    </xf>
    <xf numFmtId="0" fontId="7" fillId="10" borderId="19" xfId="1" applyFont="1" applyFill="1" applyBorder="1" applyAlignment="1">
      <alignment horizontal="center" vertical="center" wrapText="1"/>
    </xf>
    <xf numFmtId="0" fontId="17" fillId="9" borderId="18" xfId="1" applyFont="1" applyFill="1" applyBorder="1" applyAlignment="1">
      <alignment horizontal="center" vertical="center" wrapText="1"/>
    </xf>
    <xf numFmtId="0" fontId="17" fillId="9" borderId="24" xfId="1" applyFont="1" applyFill="1" applyBorder="1" applyAlignment="1">
      <alignment horizontal="center" vertical="center" wrapText="1"/>
    </xf>
    <xf numFmtId="0" fontId="17" fillId="9" borderId="19" xfId="1" applyFont="1" applyFill="1" applyBorder="1" applyAlignment="1">
      <alignment horizontal="center" vertical="center" wrapText="1"/>
    </xf>
    <xf numFmtId="0" fontId="1" fillId="0" borderId="21" xfId="0" applyFont="1" applyBorder="1" applyAlignment="1">
      <alignment horizontal="center" wrapText="1"/>
    </xf>
    <xf numFmtId="0" fontId="24" fillId="28" borderId="27" xfId="0" applyFont="1" applyFill="1" applyBorder="1" applyAlignment="1">
      <alignment horizontal="center" vertical="center" wrapText="1"/>
    </xf>
    <xf numFmtId="0" fontId="24" fillId="28" borderId="29" xfId="0" applyFont="1" applyFill="1" applyBorder="1" applyAlignment="1">
      <alignment horizontal="center" vertical="center" wrapText="1"/>
    </xf>
    <xf numFmtId="0" fontId="24" fillId="10" borderId="18" xfId="1" applyFont="1" applyFill="1" applyBorder="1" applyAlignment="1">
      <alignment horizontal="center" vertical="center" wrapText="1"/>
    </xf>
    <xf numFmtId="0" fontId="24" fillId="10" borderId="19" xfId="1" applyFont="1" applyFill="1" applyBorder="1" applyAlignment="1">
      <alignment horizontal="center" vertical="center" wrapText="1"/>
    </xf>
    <xf numFmtId="167" fontId="24" fillId="11" borderId="18" xfId="4" applyNumberFormat="1" applyFont="1" applyFill="1" applyBorder="1" applyAlignment="1">
      <alignment horizontal="center" vertical="center" wrapText="1"/>
    </xf>
    <xf numFmtId="167" fontId="24" fillId="11" borderId="24" xfId="4" applyNumberFormat="1" applyFont="1" applyFill="1" applyBorder="1" applyAlignment="1">
      <alignment horizontal="center" vertical="center" wrapText="1"/>
    </xf>
    <xf numFmtId="167" fontId="24" fillId="11" borderId="19" xfId="4" applyNumberFormat="1" applyFont="1" applyFill="1" applyBorder="1" applyAlignment="1">
      <alignment horizontal="center" vertical="center" wrapText="1"/>
    </xf>
    <xf numFmtId="0" fontId="24" fillId="2" borderId="27" xfId="1" applyFont="1" applyFill="1" applyBorder="1" applyAlignment="1">
      <alignment horizontal="center" vertical="center" wrapText="1"/>
    </xf>
    <xf numFmtId="0" fontId="24" fillId="2" borderId="28" xfId="1" applyFont="1" applyFill="1" applyBorder="1" applyAlignment="1">
      <alignment horizontal="center" vertical="center" wrapText="1"/>
    </xf>
    <xf numFmtId="0" fontId="24" fillId="2" borderId="29" xfId="1" applyFont="1" applyFill="1" applyBorder="1" applyAlignment="1">
      <alignment horizontal="center" vertical="center" wrapText="1"/>
    </xf>
    <xf numFmtId="167" fontId="24" fillId="23" borderId="21" xfId="4" applyNumberFormat="1" applyFont="1" applyFill="1" applyBorder="1" applyAlignment="1">
      <alignment horizontal="center" vertical="center" wrapText="1"/>
    </xf>
    <xf numFmtId="167" fontId="24" fillId="25" borderId="46" xfId="4" applyNumberFormat="1" applyFont="1" applyFill="1" applyBorder="1" applyAlignment="1">
      <alignment horizontal="center" vertical="center" wrapText="1"/>
    </xf>
    <xf numFmtId="167" fontId="24" fillId="25" borderId="37" xfId="4" applyNumberFormat="1" applyFont="1" applyFill="1" applyBorder="1" applyAlignment="1">
      <alignment horizontal="center" vertical="center" wrapText="1"/>
    </xf>
    <xf numFmtId="167" fontId="24" fillId="25" borderId="38" xfId="4" applyNumberFormat="1" applyFont="1" applyFill="1" applyBorder="1" applyAlignment="1">
      <alignment horizontal="center" vertical="center" wrapText="1"/>
    </xf>
    <xf numFmtId="166" fontId="37" fillId="27" borderId="27" xfId="2" applyNumberFormat="1" applyFont="1" applyFill="1" applyBorder="1" applyAlignment="1">
      <alignment horizontal="center" vertical="center" wrapText="1"/>
    </xf>
    <xf numFmtId="166" fontId="37" fillId="27" borderId="29" xfId="2" applyNumberFormat="1" applyFont="1" applyFill="1" applyBorder="1" applyAlignment="1">
      <alignment horizontal="center" vertical="center" wrapText="1"/>
    </xf>
    <xf numFmtId="167" fontId="24" fillId="24" borderId="21" xfId="4" applyNumberFormat="1" applyFont="1" applyFill="1" applyBorder="1" applyAlignment="1">
      <alignment horizontal="center" vertical="center" wrapText="1"/>
    </xf>
    <xf numFmtId="1" fontId="31" fillId="0" borderId="21" xfId="4" applyNumberFormat="1" applyFont="1" applyFill="1" applyBorder="1" applyAlignment="1">
      <alignment horizontal="center" vertical="center" wrapText="1"/>
    </xf>
    <xf numFmtId="166" fontId="29" fillId="27" borderId="27" xfId="2" applyNumberFormat="1" applyFont="1" applyFill="1" applyBorder="1" applyAlignment="1">
      <alignment horizontal="center" vertical="center" wrapText="1"/>
    </xf>
    <xf numFmtId="166" fontId="29" fillId="27" borderId="29" xfId="2" applyNumberFormat="1" applyFont="1" applyFill="1" applyBorder="1" applyAlignment="1">
      <alignment horizontal="center" vertical="center" wrapText="1"/>
    </xf>
    <xf numFmtId="0" fontId="24" fillId="9" borderId="18" xfId="1" applyFont="1" applyFill="1" applyBorder="1" applyAlignment="1">
      <alignment horizontal="center" vertical="center" wrapText="1"/>
    </xf>
    <xf numFmtId="0" fontId="24" fillId="9" borderId="24" xfId="1" applyFont="1" applyFill="1" applyBorder="1" applyAlignment="1">
      <alignment horizontal="center" vertical="center" wrapText="1"/>
    </xf>
    <xf numFmtId="167" fontId="24" fillId="25" borderId="42" xfId="4" applyNumberFormat="1" applyFont="1" applyFill="1" applyBorder="1" applyAlignment="1">
      <alignment horizontal="center" vertical="center" wrapText="1"/>
    </xf>
    <xf numFmtId="167" fontId="24" fillId="25" borderId="49" xfId="4" applyNumberFormat="1" applyFont="1" applyFill="1" applyBorder="1" applyAlignment="1">
      <alignment horizontal="center" vertical="center" wrapText="1"/>
    </xf>
    <xf numFmtId="166" fontId="29" fillId="27" borderId="46" xfId="2" applyNumberFormat="1" applyFont="1" applyFill="1" applyBorder="1" applyAlignment="1">
      <alignment horizontal="center" vertical="center" wrapText="1"/>
    </xf>
    <xf numFmtId="166" fontId="29" fillId="27" borderId="37" xfId="2" applyNumberFormat="1" applyFont="1" applyFill="1" applyBorder="1" applyAlignment="1">
      <alignment horizontal="center" vertical="center" wrapText="1"/>
    </xf>
    <xf numFmtId="166" fontId="29" fillId="27" borderId="38" xfId="2" applyNumberFormat="1" applyFont="1" applyFill="1" applyBorder="1" applyAlignment="1">
      <alignment horizontal="center" vertical="center" wrapText="1"/>
    </xf>
    <xf numFmtId="168" fontId="1" fillId="20" borderId="21" xfId="4" applyNumberFormat="1" applyFont="1" applyFill="1" applyBorder="1" applyAlignment="1">
      <alignment horizontal="center"/>
    </xf>
    <xf numFmtId="0" fontId="36" fillId="0" borderId="0" xfId="0" applyFont="1" applyAlignment="1">
      <alignment horizontal="center" vertical="center" wrapText="1"/>
    </xf>
    <xf numFmtId="167" fontId="36" fillId="0" borderId="0" xfId="4" applyNumberFormat="1" applyFont="1" applyAlignment="1">
      <alignment horizontal="center" vertical="center" wrapText="1"/>
    </xf>
    <xf numFmtId="0" fontId="36" fillId="0" borderId="0" xfId="0" applyFont="1" applyAlignment="1">
      <alignment horizontal="center" vertical="center" textRotation="90" wrapText="1"/>
    </xf>
    <xf numFmtId="0" fontId="36" fillId="0" borderId="36" xfId="0" applyFont="1" applyBorder="1" applyAlignment="1">
      <alignment horizontal="center" vertical="center" textRotation="90" wrapText="1"/>
    </xf>
  </cellXfs>
  <cellStyles count="8">
    <cellStyle name="Comma" xfId="4" builtinId="3"/>
    <cellStyle name="Comma [0]" xfId="6" builtinId="6"/>
    <cellStyle name="Comma 2" xfId="2" xr:uid="{5D38CDC1-E85E-41E9-9606-1CCEEB01D8F0}"/>
    <cellStyle name="Hyperlink" xfId="7" builtinId="8"/>
    <cellStyle name="Normal" xfId="0" builtinId="0"/>
    <cellStyle name="Normal 2" xfId="1" xr:uid="{302DEB05-DCF2-4BA3-83E1-73B661067522}"/>
    <cellStyle name="Percent" xfId="3" builtinId="5"/>
    <cellStyle name="Percent 2" xfId="5" xr:uid="{FD1A6169-9F19-48BF-8E96-E95C4B0D624C}"/>
  </cellStyles>
  <dxfs count="269">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left" vertical="center" textRotation="0" indent="0" justifyLastLine="0" shrinkToFit="0" readingOrder="0"/>
    </dxf>
    <dxf>
      <font>
        <b/>
        <strike val="0"/>
        <outline val="0"/>
        <shadow val="0"/>
        <u val="none"/>
        <vertAlign val="baseline"/>
        <sz val="14"/>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0.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0_ ;_ * \-#,##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0_ ;_ * \-#,##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0_ ;_ * \-#,##0.0_ ;_ * &quot;-&quot;??_ ;_ @_ "/>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ck">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right style="thick">
          <color indexed="64"/>
        </right>
        <top style="thin">
          <color indexed="64"/>
        </top>
        <bottom style="thin">
          <color indexed="64"/>
        </bottom>
        <vertical/>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5" formatCode="_ * #,##0.00_ ;_ * \-#,##0.0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numFmt numFmtId="167" formatCode="_ * #,##0_ ;_ * \-#,##0_ ;_ * &quot;-&quot;??_ ;_ @_ "/>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70" formatCode="#,##0_ ;\-#,##0\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right/>
        <top style="thin">
          <color indexed="64"/>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9999"/>
        </patternFill>
      </fill>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ck">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left style="medium">
          <color rgb="FF000000"/>
        </left>
        <right style="medium">
          <color rgb="FF000000"/>
        </right>
        <top style="thin">
          <color rgb="FF000000"/>
        </top>
        <bottom style="thin">
          <color rgb="FF000000"/>
        </bottom>
        <vertical/>
        <horizontal style="thin">
          <color rgb="FF000000"/>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FF0000"/>
      </font>
      <fill>
        <patternFill patternType="none">
          <bgColor auto="1"/>
        </patternFill>
      </fill>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9999"/>
        </patternFill>
      </fill>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border>
    </dxf>
    <dxf>
      <border outline="0">
        <bottom style="thin">
          <color indexed="64"/>
        </bottom>
      </border>
    </dxf>
    <dxf>
      <border outline="0">
        <top style="thin">
          <color indexed="64"/>
        </top>
      </border>
    </dxf>
    <dxf>
      <font>
        <strike val="0"/>
        <outline val="0"/>
        <shadow val="0"/>
        <u val="none"/>
        <vertAlign val="baseline"/>
        <sz val="8"/>
        <name val="Arial"/>
        <family val="2"/>
        <scheme val="none"/>
      </font>
    </dxf>
    <dxf>
      <font>
        <b val="0"/>
        <strike val="0"/>
        <outline val="0"/>
        <shadow val="0"/>
        <u val="none"/>
        <vertAlign val="baseline"/>
        <sz val="8"/>
        <color auto="1"/>
        <name val="Arial"/>
        <family val="2"/>
        <scheme val="none"/>
      </font>
      <fill>
        <patternFill patternType="solid">
          <fgColor indexed="64"/>
          <bgColor theme="0" tint="-0.14999847407452621"/>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 #,##0_ ;_ * \-#,##0_ ;_ * &quot;-&quot;??_ ;_ @_ "/>
    </dxf>
    <dxf>
      <fill>
        <patternFill patternType="solid">
          <bgColor rgb="FFFFFF00"/>
        </patternFill>
      </fill>
    </dxf>
    <dxf>
      <fill>
        <patternFill patternType="solid">
          <bgColor theme="1"/>
        </patternFill>
      </fill>
    </dxf>
    <dxf>
      <font>
        <color theme="0"/>
      </font>
    </dxf>
    <dxf>
      <alignment wrapText="1"/>
    </dxf>
    <dxf>
      <alignment vertical="center"/>
    </dxf>
    <dxf>
      <alignment wrapText="1"/>
    </dxf>
    <dxf>
      <alignment vertical="center" wrapText="1"/>
    </dxf>
    <dxf>
      <numFmt numFmtId="167" formatCode="_ * #,##0_ ;_ * \-#,##0_ ;_ * &quot;-&quot;??_ ;_ @_ "/>
    </dxf>
    <dxf>
      <fill>
        <patternFill patternType="solid">
          <bgColor rgb="FFFFFF00"/>
        </patternFill>
      </fill>
    </dxf>
    <dxf>
      <fill>
        <patternFill patternType="solid">
          <bgColor theme="1"/>
        </patternFill>
      </fill>
    </dxf>
    <dxf>
      <font>
        <color theme="0"/>
      </font>
    </dxf>
    <dxf>
      <alignment wrapText="1"/>
    </dxf>
    <dxf>
      <alignment vertical="center"/>
    </dxf>
    <dxf>
      <alignment wrapText="1"/>
    </dxf>
    <dxf>
      <alignment vertical="center" wrapText="1"/>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DF1154"/>
      <color rgb="FFBDD7EE"/>
      <color rgb="FF628FA5"/>
      <color rgb="FF0D39C8"/>
      <color rgb="FFAD7BE9"/>
      <color rgb="FF5D903B"/>
      <color rgb="FFDC9100"/>
      <color rgb="FFFFAA04"/>
      <color rgb="FFBB0F46"/>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17/06/relationships/rdRichValueStructure" Target="richData/rdrichvaluestructure.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SupportingPropertyBagStructure" Target="richData/rdsupportingpropertybagstructure.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 Overall PiN of all units of analyses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manualLayout>
          <c:layoutTarget val="inner"/>
          <c:xMode val="edge"/>
          <c:yMode val="edge"/>
          <c:x val="6.6343815957912944E-2"/>
          <c:y val="0.11097642612245212"/>
          <c:w val="0.91309876290644332"/>
          <c:h val="0.7074031414349482"/>
        </c:manualLayout>
      </c:layout>
      <c:scatterChart>
        <c:scatterStyle val="smoothMarker"/>
        <c:varyColors val="0"/>
        <c:ser>
          <c:idx val="1"/>
          <c:order val="0"/>
          <c:tx>
            <c:strRef>
              <c:f>'PiN Visuals'!$B$5</c:f>
              <c:strCache>
                <c:ptCount val="1"/>
                <c:pt idx="0">
                  <c:v> IDPs </c:v>
                </c:pt>
              </c:strCache>
            </c:strRef>
          </c:tx>
          <c:spPr>
            <a:ln w="9525" cap="rnd">
              <a:solidFill>
                <a:schemeClr val="accent5"/>
              </a:solid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xVal>
            <c:strRef>
              <c:f>'PiN Visuals'!$A$6:$A$77</c:f>
              <c:strCache>
                <c:ptCount val="6"/>
                <c:pt idx="0">
                  <c:v>5%</c:v>
                </c:pt>
                <c:pt idx="1">
                  <c:v>10%</c:v>
                </c:pt>
                <c:pt idx="2">
                  <c:v>15%</c:v>
                </c:pt>
                <c:pt idx="3">
                  <c:v>20%</c:v>
                </c:pt>
                <c:pt idx="4">
                  <c:v>25%</c:v>
                </c:pt>
                <c:pt idx="5">
                  <c:v>30%</c:v>
                </c:pt>
              </c:strCache>
            </c:strRef>
          </c:xVal>
          <c:yVal>
            <c:numRef>
              <c:f>'PiN Visuals'!$B$6:$B$77</c:f>
              <c:numCache>
                <c:formatCode>General</c:formatCode>
                <c:ptCount val="72"/>
                <c:pt idx="0">
                  <c:v>4</c:v>
                </c:pt>
                <c:pt idx="1">
                  <c:v>7</c:v>
                </c:pt>
                <c:pt idx="2">
                  <c:v>2</c:v>
                </c:pt>
                <c:pt idx="3">
                  <c:v>3</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yVal>
          <c:smooth val="1"/>
          <c:extLst>
            <c:ext xmlns:c16="http://schemas.microsoft.com/office/drawing/2014/chart" uri="{C3380CC4-5D6E-409C-BE32-E72D297353CC}">
              <c16:uniqueId val="{00000001-6380-477A-B4EC-4E1DFDC086E8}"/>
            </c:ext>
          </c:extLst>
        </c:ser>
        <c:ser>
          <c:idx val="2"/>
          <c:order val="1"/>
          <c:tx>
            <c:strRef>
              <c:f>'PiN Visuals'!$C$5</c:f>
              <c:strCache>
                <c:ptCount val="1"/>
                <c:pt idx="0">
                  <c:v> Returnees </c:v>
                </c:pt>
              </c:strCache>
            </c:strRef>
          </c:tx>
          <c:spPr>
            <a:ln w="9525" cap="rnd">
              <a:solidFill>
                <a:schemeClr val="accent4"/>
              </a:solidFill>
              <a:round/>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xVal>
            <c:strRef>
              <c:f>'PiN Visuals'!$A$6:$A$77</c:f>
              <c:strCache>
                <c:ptCount val="6"/>
                <c:pt idx="0">
                  <c:v>5%</c:v>
                </c:pt>
                <c:pt idx="1">
                  <c:v>10%</c:v>
                </c:pt>
                <c:pt idx="2">
                  <c:v>15%</c:v>
                </c:pt>
                <c:pt idx="3">
                  <c:v>20%</c:v>
                </c:pt>
                <c:pt idx="4">
                  <c:v>25%</c:v>
                </c:pt>
                <c:pt idx="5">
                  <c:v>30%</c:v>
                </c:pt>
              </c:strCache>
            </c:strRef>
          </c:xVal>
          <c:yVal>
            <c:numRef>
              <c:f>'PiN Visuals'!$C$6:$C$77</c:f>
              <c:numCache>
                <c:formatCode>General</c:formatCode>
                <c:ptCount val="72"/>
                <c:pt idx="0">
                  <c:v>2</c:v>
                </c:pt>
                <c:pt idx="1">
                  <c:v>2</c:v>
                </c:pt>
                <c:pt idx="2">
                  <c:v>5</c:v>
                </c:pt>
                <c:pt idx="3">
                  <c:v>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yVal>
          <c:smooth val="1"/>
          <c:extLst>
            <c:ext xmlns:c16="http://schemas.microsoft.com/office/drawing/2014/chart" uri="{C3380CC4-5D6E-409C-BE32-E72D297353CC}">
              <c16:uniqueId val="{00000002-6380-477A-B4EC-4E1DFDC086E8}"/>
            </c:ext>
          </c:extLst>
        </c:ser>
        <c:ser>
          <c:idx val="3"/>
          <c:order val="2"/>
          <c:tx>
            <c:strRef>
              <c:f>'PiN Visuals'!$D$5</c:f>
              <c:strCache>
                <c:ptCount val="1"/>
                <c:pt idx="0">
                  <c:v> Non-Displaced </c:v>
                </c:pt>
              </c:strCache>
              <c:extLst xmlns:c15="http://schemas.microsoft.com/office/drawing/2012/chart"/>
            </c:strRef>
          </c:tx>
          <c:spPr>
            <a:ln w="9525" cap="rnd">
              <a:solidFill>
                <a:schemeClr val="accent6">
                  <a:lumMod val="60000"/>
                </a:schemeClr>
              </a:solidFill>
              <a:round/>
            </a:ln>
            <a:effectLst/>
          </c:spPr>
          <c:marker>
            <c:symbol val="circle"/>
            <c:size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xVal>
            <c:strRef>
              <c:f>'PiN Visuals'!$A$6:$A$77</c:f>
              <c:strCache>
                <c:ptCount val="6"/>
                <c:pt idx="0">
                  <c:v>5%</c:v>
                </c:pt>
                <c:pt idx="1">
                  <c:v>10%</c:v>
                </c:pt>
                <c:pt idx="2">
                  <c:v>15%</c:v>
                </c:pt>
                <c:pt idx="3">
                  <c:v>20%</c:v>
                </c:pt>
                <c:pt idx="4">
                  <c:v>25%</c:v>
                </c:pt>
                <c:pt idx="5">
                  <c:v>30%</c:v>
                </c:pt>
              </c:strCache>
            </c:strRef>
          </c:xVal>
          <c:yVal>
            <c:numRef>
              <c:f>'PiN Visuals'!$D$6:$D$16</c:f>
              <c:numCache>
                <c:formatCode>General</c:formatCode>
                <c:ptCount val="11"/>
                <c:pt idx="0">
                  <c:v>3</c:v>
                </c:pt>
                <c:pt idx="1">
                  <c:v>6</c:v>
                </c:pt>
                <c:pt idx="2">
                  <c:v>7</c:v>
                </c:pt>
                <c:pt idx="3">
                  <c:v>1</c:v>
                </c:pt>
                <c:pt idx="4">
                  <c:v>1</c:v>
                </c:pt>
                <c:pt idx="5">
                  <c:v>1</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6380-477A-B4EC-4E1DFDC086E8}"/>
            </c:ext>
          </c:extLst>
        </c:ser>
        <c:ser>
          <c:idx val="4"/>
          <c:order val="3"/>
          <c:tx>
            <c:strRef>
              <c:f>'PiN Visuals'!$E$5</c:f>
              <c:strCache>
                <c:ptCount val="1"/>
              </c:strCache>
              <c:extLst xmlns:c15="http://schemas.microsoft.com/office/drawing/2012/chart"/>
            </c:strRef>
          </c:tx>
          <c:spPr>
            <a:ln w="9525" cap="rnd">
              <a:solidFill>
                <a:schemeClr val="accent5">
                  <a:lumMod val="60000"/>
                </a:schemeClr>
              </a:solidFill>
              <a:round/>
            </a:ln>
            <a:effectLst/>
          </c:spPr>
          <c:marker>
            <c:symbol val="circle"/>
            <c:size val="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xVal>
            <c:strRef>
              <c:f>'PiN Visuals'!$A$6:$A$77</c:f>
              <c:strCache>
                <c:ptCount val="6"/>
                <c:pt idx="0">
                  <c:v>5%</c:v>
                </c:pt>
                <c:pt idx="1">
                  <c:v>10%</c:v>
                </c:pt>
                <c:pt idx="2">
                  <c:v>15%</c:v>
                </c:pt>
                <c:pt idx="3">
                  <c:v>20%</c:v>
                </c:pt>
                <c:pt idx="4">
                  <c:v>25%</c:v>
                </c:pt>
                <c:pt idx="5">
                  <c:v>30%</c:v>
                </c:pt>
              </c:strCache>
            </c:strRef>
          </c:xVal>
          <c:yVal>
            <c:numRef>
              <c:f>'PiN Visuals'!$E$6:$E$16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4-6380-477A-B4EC-4E1DFDC086E8}"/>
            </c:ext>
          </c:extLst>
        </c:ser>
        <c:ser>
          <c:idx val="5"/>
          <c:order val="4"/>
          <c:tx>
            <c:strRef>
              <c:f>'PiN Visuals'!$F$5</c:f>
              <c:strCache>
                <c:ptCount val="1"/>
              </c:strCache>
              <c:extLst xmlns:c15="http://schemas.microsoft.com/office/drawing/2012/chart"/>
            </c:strRef>
          </c:tx>
          <c:spPr>
            <a:ln w="9525" cap="rnd">
              <a:solidFill>
                <a:schemeClr val="accent4">
                  <a:lumMod val="60000"/>
                </a:schemeClr>
              </a:solidFill>
              <a:round/>
            </a:ln>
            <a:effectLst/>
          </c:spPr>
          <c:marker>
            <c:symbol val="circle"/>
            <c:size val="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xVal>
            <c:strRef>
              <c:f>'PiN Visuals'!$A$6:$A$77</c:f>
              <c:strCache>
                <c:ptCount val="6"/>
                <c:pt idx="0">
                  <c:v>5%</c:v>
                </c:pt>
                <c:pt idx="1">
                  <c:v>10%</c:v>
                </c:pt>
                <c:pt idx="2">
                  <c:v>15%</c:v>
                </c:pt>
                <c:pt idx="3">
                  <c:v>20%</c:v>
                </c:pt>
                <c:pt idx="4">
                  <c:v>25%</c:v>
                </c:pt>
                <c:pt idx="5">
                  <c:v>30%</c:v>
                </c:pt>
              </c:strCache>
            </c:strRef>
          </c:xVal>
          <c:yVal>
            <c:numRef>
              <c:f>'PiN Visuals'!$F$6:$F$16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5-6380-477A-B4EC-4E1DFDC086E8}"/>
            </c:ext>
          </c:extLst>
        </c:ser>
        <c:dLbls>
          <c:showLegendKey val="0"/>
          <c:showVal val="0"/>
          <c:showCatName val="0"/>
          <c:showSerName val="0"/>
          <c:showPercent val="0"/>
          <c:showBubbleSize val="0"/>
        </c:dLbls>
        <c:axId val="278040799"/>
        <c:axId val="278042463"/>
        <c:extLst/>
      </c:scatterChart>
      <c:valAx>
        <c:axId val="278040799"/>
        <c:scaling>
          <c:orientation val="minMax"/>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PiN</a:t>
                </a:r>
              </a:p>
            </c:rich>
          </c:tx>
          <c:layout>
            <c:manualLayout>
              <c:xMode val="edge"/>
              <c:yMode val="edge"/>
              <c:x val="0.49175580174378231"/>
              <c:y val="0.880219745811336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78042463"/>
        <c:crosses val="autoZero"/>
        <c:crossBetween val="midCat"/>
      </c:valAx>
      <c:valAx>
        <c:axId val="278042463"/>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units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7804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of PiN change between last year's HNO and this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manualLayout>
          <c:layoutTarget val="inner"/>
          <c:xMode val="edge"/>
          <c:yMode val="edge"/>
          <c:x val="4.0825232981477146E-2"/>
          <c:y val="0.11371445255421546"/>
          <c:w val="0.91332920504981796"/>
          <c:h val="0.66030240635594117"/>
        </c:manualLayout>
      </c:layout>
      <c:scatterChart>
        <c:scatterStyle val="smoothMarker"/>
        <c:varyColors val="0"/>
        <c:ser>
          <c:idx val="0"/>
          <c:order val="0"/>
          <c:tx>
            <c:strRef>
              <c:f>'PiN Visuals'!$I$5</c:f>
              <c:strCache>
                <c:ptCount val="1"/>
                <c:pt idx="0">
                  <c:v> IDPs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'PiN Visuals'!$H$6:$H$31</c:f>
              <c:numCache>
                <c:formatCode>0%</c:formatCode>
                <c:ptCount val="26"/>
                <c:pt idx="0">
                  <c:v>-1</c:v>
                </c:pt>
                <c:pt idx="1">
                  <c:v>-0.8</c:v>
                </c:pt>
                <c:pt idx="2">
                  <c:v>-0.7</c:v>
                </c:pt>
                <c:pt idx="3">
                  <c:v>-0.6</c:v>
                </c:pt>
                <c:pt idx="4">
                  <c:v>-0.5</c:v>
                </c:pt>
                <c:pt idx="5">
                  <c:v>-0.4</c:v>
                </c:pt>
                <c:pt idx="6">
                  <c:v>-0.3</c:v>
                </c:pt>
                <c:pt idx="7">
                  <c:v>-0.2</c:v>
                </c:pt>
                <c:pt idx="8">
                  <c:v>0.1</c:v>
                </c:pt>
                <c:pt idx="9">
                  <c:v>0.2</c:v>
                </c:pt>
                <c:pt idx="10">
                  <c:v>0.3</c:v>
                </c:pt>
                <c:pt idx="11">
                  <c:v>0.4</c:v>
                </c:pt>
                <c:pt idx="12">
                  <c:v>0.5</c:v>
                </c:pt>
                <c:pt idx="13">
                  <c:v>0.7</c:v>
                </c:pt>
                <c:pt idx="14">
                  <c:v>0.9</c:v>
                </c:pt>
                <c:pt idx="15">
                  <c:v>1.3</c:v>
                </c:pt>
                <c:pt idx="16">
                  <c:v>1.4</c:v>
                </c:pt>
                <c:pt idx="17">
                  <c:v>1.6</c:v>
                </c:pt>
                <c:pt idx="18">
                  <c:v>1.7</c:v>
                </c:pt>
              </c:numCache>
            </c:numRef>
          </c:xVal>
          <c:yVal>
            <c:numRef>
              <c:f>'PiN Visuals'!$I$6:$I$31</c:f>
              <c:numCache>
                <c:formatCode>General</c:formatCode>
                <c:ptCount val="26"/>
                <c:pt idx="0">
                  <c:v>1</c:v>
                </c:pt>
                <c:pt idx="1">
                  <c:v>1</c:v>
                </c:pt>
                <c:pt idx="2">
                  <c:v>0</c:v>
                </c:pt>
                <c:pt idx="3">
                  <c:v>2</c:v>
                </c:pt>
                <c:pt idx="4">
                  <c:v>3</c:v>
                </c:pt>
                <c:pt idx="5">
                  <c:v>1</c:v>
                </c:pt>
                <c:pt idx="6">
                  <c:v>0</c:v>
                </c:pt>
                <c:pt idx="7">
                  <c:v>0</c:v>
                </c:pt>
                <c:pt idx="8">
                  <c:v>1</c:v>
                </c:pt>
                <c:pt idx="9">
                  <c:v>1</c:v>
                </c:pt>
                <c:pt idx="10">
                  <c:v>0</c:v>
                </c:pt>
                <c:pt idx="11">
                  <c:v>1</c:v>
                </c:pt>
                <c:pt idx="12">
                  <c:v>1</c:v>
                </c:pt>
                <c:pt idx="13">
                  <c:v>0</c:v>
                </c:pt>
                <c:pt idx="14">
                  <c:v>1</c:v>
                </c:pt>
                <c:pt idx="15">
                  <c:v>0</c:v>
                </c:pt>
                <c:pt idx="16">
                  <c:v>0</c:v>
                </c:pt>
                <c:pt idx="17">
                  <c:v>0</c:v>
                </c:pt>
                <c:pt idx="18">
                  <c:v>1</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0-958B-4DE1-B8B7-29F662A9504D}"/>
            </c:ext>
          </c:extLst>
        </c:ser>
        <c:ser>
          <c:idx val="1"/>
          <c:order val="1"/>
          <c:tx>
            <c:strRef>
              <c:f>'PiN Visuals'!$J$5</c:f>
              <c:strCache>
                <c:ptCount val="1"/>
                <c:pt idx="0">
                  <c:v> Returnees </c:v>
                </c:pt>
              </c:strCache>
            </c:strRef>
          </c:tx>
          <c:spPr>
            <a:ln w="9525"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numRef>
              <c:f>'PiN Visuals'!$H$6:$H$31</c:f>
              <c:numCache>
                <c:formatCode>0%</c:formatCode>
                <c:ptCount val="26"/>
                <c:pt idx="0">
                  <c:v>-1</c:v>
                </c:pt>
                <c:pt idx="1">
                  <c:v>-0.8</c:v>
                </c:pt>
                <c:pt idx="2">
                  <c:v>-0.7</c:v>
                </c:pt>
                <c:pt idx="3">
                  <c:v>-0.6</c:v>
                </c:pt>
                <c:pt idx="4">
                  <c:v>-0.5</c:v>
                </c:pt>
                <c:pt idx="5">
                  <c:v>-0.4</c:v>
                </c:pt>
                <c:pt idx="6">
                  <c:v>-0.3</c:v>
                </c:pt>
                <c:pt idx="7">
                  <c:v>-0.2</c:v>
                </c:pt>
                <c:pt idx="8">
                  <c:v>0.1</c:v>
                </c:pt>
                <c:pt idx="9">
                  <c:v>0.2</c:v>
                </c:pt>
                <c:pt idx="10">
                  <c:v>0.3</c:v>
                </c:pt>
                <c:pt idx="11">
                  <c:v>0.4</c:v>
                </c:pt>
                <c:pt idx="12">
                  <c:v>0.5</c:v>
                </c:pt>
                <c:pt idx="13">
                  <c:v>0.7</c:v>
                </c:pt>
                <c:pt idx="14">
                  <c:v>0.9</c:v>
                </c:pt>
                <c:pt idx="15">
                  <c:v>1.3</c:v>
                </c:pt>
                <c:pt idx="16">
                  <c:v>1.4</c:v>
                </c:pt>
                <c:pt idx="17">
                  <c:v>1.6</c:v>
                </c:pt>
                <c:pt idx="18">
                  <c:v>1.7</c:v>
                </c:pt>
              </c:numCache>
            </c:numRef>
          </c:xVal>
          <c:yVal>
            <c:numRef>
              <c:f>'PiN Visuals'!$J$6:$J$31</c:f>
              <c:numCache>
                <c:formatCode>General</c:formatCode>
                <c:ptCount val="2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1-958B-4DE1-B8B7-29F662A9504D}"/>
            </c:ext>
          </c:extLst>
        </c:ser>
        <c:ser>
          <c:idx val="2"/>
          <c:order val="2"/>
          <c:tx>
            <c:strRef>
              <c:f>'PiN Visuals'!$K$5</c:f>
              <c:strCache>
                <c:ptCount val="1"/>
                <c:pt idx="0">
                  <c:v> Non-Displaced </c:v>
                </c:pt>
              </c:strCache>
            </c:strRef>
          </c:tx>
          <c:spPr>
            <a:ln w="9525" cap="rnd">
              <a:solidFill>
                <a:schemeClr val="accent3"/>
              </a:solidFill>
              <a:round/>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xVal>
            <c:numRef>
              <c:f>'PiN Visuals'!$H$6:$H$31</c:f>
              <c:numCache>
                <c:formatCode>0%</c:formatCode>
                <c:ptCount val="26"/>
                <c:pt idx="0">
                  <c:v>-1</c:v>
                </c:pt>
                <c:pt idx="1">
                  <c:v>-0.8</c:v>
                </c:pt>
                <c:pt idx="2">
                  <c:v>-0.7</c:v>
                </c:pt>
                <c:pt idx="3">
                  <c:v>-0.6</c:v>
                </c:pt>
                <c:pt idx="4">
                  <c:v>-0.5</c:v>
                </c:pt>
                <c:pt idx="5">
                  <c:v>-0.4</c:v>
                </c:pt>
                <c:pt idx="6">
                  <c:v>-0.3</c:v>
                </c:pt>
                <c:pt idx="7">
                  <c:v>-0.2</c:v>
                </c:pt>
                <c:pt idx="8">
                  <c:v>0.1</c:v>
                </c:pt>
                <c:pt idx="9">
                  <c:v>0.2</c:v>
                </c:pt>
                <c:pt idx="10">
                  <c:v>0.3</c:v>
                </c:pt>
                <c:pt idx="11">
                  <c:v>0.4</c:v>
                </c:pt>
                <c:pt idx="12">
                  <c:v>0.5</c:v>
                </c:pt>
                <c:pt idx="13">
                  <c:v>0.7</c:v>
                </c:pt>
                <c:pt idx="14">
                  <c:v>0.9</c:v>
                </c:pt>
                <c:pt idx="15">
                  <c:v>1.3</c:v>
                </c:pt>
                <c:pt idx="16">
                  <c:v>1.4</c:v>
                </c:pt>
                <c:pt idx="17">
                  <c:v>1.6</c:v>
                </c:pt>
                <c:pt idx="18">
                  <c:v>1.7</c:v>
                </c:pt>
              </c:numCache>
            </c:numRef>
          </c:xVal>
          <c:yVal>
            <c:numRef>
              <c:f>'PiN Visuals'!$K$6:$K$31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2-958B-4DE1-B8B7-29F662A9504D}"/>
            </c:ext>
          </c:extLst>
        </c:ser>
        <c:ser>
          <c:idx val="3"/>
          <c:order val="3"/>
          <c:tx>
            <c:strRef>
              <c:f>'PiN Visuals'!$L$5</c:f>
              <c:strCache>
                <c:ptCount val="1"/>
              </c:strCache>
            </c:strRef>
          </c:tx>
          <c:spPr>
            <a:ln w="9525" cap="rnd">
              <a:solidFill>
                <a:schemeClr val="accent4"/>
              </a:solidFill>
              <a:round/>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xVal>
            <c:numRef>
              <c:f>'PiN Visuals'!$H$6:$H$31</c:f>
              <c:numCache>
                <c:formatCode>0%</c:formatCode>
                <c:ptCount val="26"/>
                <c:pt idx="0">
                  <c:v>-1</c:v>
                </c:pt>
                <c:pt idx="1">
                  <c:v>-0.8</c:v>
                </c:pt>
                <c:pt idx="2">
                  <c:v>-0.7</c:v>
                </c:pt>
                <c:pt idx="3">
                  <c:v>-0.6</c:v>
                </c:pt>
                <c:pt idx="4">
                  <c:v>-0.5</c:v>
                </c:pt>
                <c:pt idx="5">
                  <c:v>-0.4</c:v>
                </c:pt>
                <c:pt idx="6">
                  <c:v>-0.3</c:v>
                </c:pt>
                <c:pt idx="7">
                  <c:v>-0.2</c:v>
                </c:pt>
                <c:pt idx="8">
                  <c:v>0.1</c:v>
                </c:pt>
                <c:pt idx="9">
                  <c:v>0.2</c:v>
                </c:pt>
                <c:pt idx="10">
                  <c:v>0.3</c:v>
                </c:pt>
                <c:pt idx="11">
                  <c:v>0.4</c:v>
                </c:pt>
                <c:pt idx="12">
                  <c:v>0.5</c:v>
                </c:pt>
                <c:pt idx="13">
                  <c:v>0.7</c:v>
                </c:pt>
                <c:pt idx="14">
                  <c:v>0.9</c:v>
                </c:pt>
                <c:pt idx="15">
                  <c:v>1.3</c:v>
                </c:pt>
                <c:pt idx="16">
                  <c:v>1.4</c:v>
                </c:pt>
                <c:pt idx="17">
                  <c:v>1.6</c:v>
                </c:pt>
                <c:pt idx="18">
                  <c:v>1.7</c:v>
                </c:pt>
              </c:numCache>
            </c:numRef>
          </c:xVal>
          <c:yVal>
            <c:numRef>
              <c:f>'PiN Visuals'!$L$6:$L$31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0-FB8F-4450-A049-7F64D1F1CAF5}"/>
            </c:ext>
          </c:extLst>
        </c:ser>
        <c:ser>
          <c:idx val="4"/>
          <c:order val="4"/>
          <c:tx>
            <c:strRef>
              <c:f>'PiN Visuals'!$M$5</c:f>
              <c:strCache>
                <c:ptCount val="1"/>
              </c:strCache>
            </c:strRef>
          </c:tx>
          <c:spPr>
            <a:ln w="9525" cap="rnd">
              <a:solidFill>
                <a:schemeClr val="accent5"/>
              </a:solid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xVal>
            <c:numRef>
              <c:f>'PiN Visuals'!$H$6:$H$31</c:f>
              <c:numCache>
                <c:formatCode>0%</c:formatCode>
                <c:ptCount val="26"/>
                <c:pt idx="0">
                  <c:v>-1</c:v>
                </c:pt>
                <c:pt idx="1">
                  <c:v>-0.8</c:v>
                </c:pt>
                <c:pt idx="2">
                  <c:v>-0.7</c:v>
                </c:pt>
                <c:pt idx="3">
                  <c:v>-0.6</c:v>
                </c:pt>
                <c:pt idx="4">
                  <c:v>-0.5</c:v>
                </c:pt>
                <c:pt idx="5">
                  <c:v>-0.4</c:v>
                </c:pt>
                <c:pt idx="6">
                  <c:v>-0.3</c:v>
                </c:pt>
                <c:pt idx="7">
                  <c:v>-0.2</c:v>
                </c:pt>
                <c:pt idx="8">
                  <c:v>0.1</c:v>
                </c:pt>
                <c:pt idx="9">
                  <c:v>0.2</c:v>
                </c:pt>
                <c:pt idx="10">
                  <c:v>0.3</c:v>
                </c:pt>
                <c:pt idx="11">
                  <c:v>0.4</c:v>
                </c:pt>
                <c:pt idx="12">
                  <c:v>0.5</c:v>
                </c:pt>
                <c:pt idx="13">
                  <c:v>0.7</c:v>
                </c:pt>
                <c:pt idx="14">
                  <c:v>0.9</c:v>
                </c:pt>
                <c:pt idx="15">
                  <c:v>1.3</c:v>
                </c:pt>
                <c:pt idx="16">
                  <c:v>1.4</c:v>
                </c:pt>
                <c:pt idx="17">
                  <c:v>1.6</c:v>
                </c:pt>
                <c:pt idx="18">
                  <c:v>1.7</c:v>
                </c:pt>
              </c:numCache>
            </c:numRef>
          </c:xVal>
          <c:yVal>
            <c:numRef>
              <c:f>'PiN Visuals'!$M$6:$M$31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1-FB8F-4450-A049-7F64D1F1CAF5}"/>
            </c:ext>
          </c:extLst>
        </c:ser>
        <c:dLbls>
          <c:showLegendKey val="0"/>
          <c:showVal val="0"/>
          <c:showCatName val="0"/>
          <c:showSerName val="0"/>
          <c:showPercent val="0"/>
          <c:showBubbleSize val="0"/>
        </c:dLbls>
        <c:axId val="354961231"/>
        <c:axId val="354960271"/>
      </c:scatterChart>
      <c:valAx>
        <c:axId val="354961231"/>
        <c:scaling>
          <c:orientation val="minMax"/>
          <c:max val="2"/>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PiN</a:t>
                </a:r>
                <a:r>
                  <a:rPr lang="en-GB" baseline="0"/>
                  <a:t> change</a:t>
                </a:r>
                <a:endParaRPr lang="en-GB"/>
              </a:p>
            </c:rich>
          </c:tx>
          <c:layout>
            <c:manualLayout>
              <c:xMode val="edge"/>
              <c:yMode val="edge"/>
              <c:x val="0.45259603888065963"/>
              <c:y val="0.832720670393533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54960271"/>
        <c:crosses val="autoZero"/>
        <c:crossBetween val="midCat"/>
      </c:valAx>
      <c:valAx>
        <c:axId val="354960271"/>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units</a:t>
                </a:r>
              </a:p>
            </c:rich>
          </c:tx>
          <c:layout>
            <c:manualLayout>
              <c:xMode val="edge"/>
              <c:yMode val="edge"/>
              <c:x val="1.1437909968337961E-2"/>
              <c:y val="0.424338917002409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54961231"/>
        <c:crosses val="autoZero"/>
        <c:crossBetween val="midCat"/>
      </c:valAx>
      <c:spPr>
        <a:noFill/>
        <a:ln>
          <a:noFill/>
        </a:ln>
        <a:effectLst/>
      </c:spPr>
    </c:plotArea>
    <c:legend>
      <c:legendPos val="b"/>
      <c:layout>
        <c:manualLayout>
          <c:xMode val="edge"/>
          <c:yMode val="edge"/>
          <c:x val="0.31439469332441627"/>
          <c:y val="0.92448160395998424"/>
          <c:w val="0.254165328848457"/>
          <c:h val="4.615415428091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'Preliminary results graph'!$A$7</c:f>
          <c:strCache>
            <c:ptCount val="1"/>
            <c:pt idx="0">
              <c:v>Total Sectoral and Overall PiN, from a total population of 3,985,685</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0938683349512818"/>
          <c:y val="0.12633663366336634"/>
          <c:w val="0.87052184230395857"/>
          <c:h val="0.57051928814928732"/>
        </c:manualLayout>
      </c:layout>
      <c:barChart>
        <c:barDir val="col"/>
        <c:grouping val="clustered"/>
        <c:varyColors val="0"/>
        <c:ser>
          <c:idx val="0"/>
          <c:order val="0"/>
          <c:spPr>
            <a:solidFill>
              <a:schemeClr val="accent2"/>
            </a:solidFill>
            <a:ln>
              <a:noFill/>
            </a:ln>
            <a:effectLst/>
          </c:spPr>
          <c:invertIfNegative val="0"/>
          <c:cat>
            <c:strRef>
              <c:f>'Preliminary results graph'!$B$4:$N$4</c:f>
              <c:strCache>
                <c:ptCount val="13"/>
                <c:pt idx="0">
                  <c:v>Overall PiN</c:v>
                </c:pt>
                <c:pt idx="1">
                  <c:v>CCCM</c:v>
                </c:pt>
                <c:pt idx="2">
                  <c:v>Education</c:v>
                </c:pt>
                <c:pt idx="3">
                  <c:v>Nutrition</c:v>
                </c:pt>
                <c:pt idx="4">
                  <c:v>Food Security</c:v>
                </c:pt>
                <c:pt idx="5">
                  <c:v>Health</c:v>
                </c:pt>
                <c:pt idx="6">
                  <c:v>Overarching Protection</c:v>
                </c:pt>
                <c:pt idx="7">
                  <c:v>Shelter</c:v>
                </c:pt>
                <c:pt idx="8">
                  <c:v>WASH</c:v>
                </c:pt>
                <c:pt idx="9">
                  <c:v>CP</c:v>
                </c:pt>
                <c:pt idx="10">
                  <c:v>GBV</c:v>
                </c:pt>
                <c:pt idx="11">
                  <c:v>GP</c:v>
                </c:pt>
                <c:pt idx="12">
                  <c:v>HLP</c:v>
                </c:pt>
              </c:strCache>
            </c:strRef>
          </c:cat>
          <c:val>
            <c:numRef>
              <c:f>'Preliminary results graph'!$B$5:$N$5</c:f>
              <c:numCache>
                <c:formatCode>_ * #,##0_ ;_ * \-#,##0_ ;_ * "-"??_ ;_ @_ </c:formatCode>
                <c:ptCount val="13"/>
                <c:pt idx="0">
                  <c:v>1663441.7789789471</c:v>
                </c:pt>
                <c:pt idx="1">
                  <c:v>544238.59999999986</c:v>
                </c:pt>
                <c:pt idx="2">
                  <c:v>459117</c:v>
                </c:pt>
                <c:pt idx="3">
                  <c:v>369169.9</c:v>
                </c:pt>
                <c:pt idx="4">
                  <c:v>977110</c:v>
                </c:pt>
                <c:pt idx="5">
                  <c:v>399489.86292846524</c:v>
                </c:pt>
                <c:pt idx="6">
                  <c:v>890740</c:v>
                </c:pt>
                <c:pt idx="7">
                  <c:v>882942.5</c:v>
                </c:pt>
                <c:pt idx="8">
                  <c:v>961651</c:v>
                </c:pt>
                <c:pt idx="9">
                  <c:v>553104</c:v>
                </c:pt>
                <c:pt idx="10">
                  <c:v>470555</c:v>
                </c:pt>
                <c:pt idx="11">
                  <c:v>606688</c:v>
                </c:pt>
                <c:pt idx="12">
                  <c:v>283651</c:v>
                </c:pt>
              </c:numCache>
            </c:numRef>
          </c:val>
          <c:extLst>
            <c:ext xmlns:c16="http://schemas.microsoft.com/office/drawing/2014/chart" uri="{C3380CC4-5D6E-409C-BE32-E72D297353CC}">
              <c16:uniqueId val="{00000000-3700-0149-90BD-58D70062A1A7}"/>
            </c:ext>
          </c:extLst>
        </c:ser>
        <c:dLbls>
          <c:showLegendKey val="0"/>
          <c:showVal val="0"/>
          <c:showCatName val="0"/>
          <c:showSerName val="0"/>
          <c:showPercent val="0"/>
          <c:showBubbleSize val="0"/>
        </c:dLbls>
        <c:gapWidth val="219"/>
        <c:overlap val="-27"/>
        <c:axId val="1113616592"/>
        <c:axId val="261902624"/>
      </c:barChart>
      <c:catAx>
        <c:axId val="11136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1902624"/>
        <c:crosses val="autoZero"/>
        <c:auto val="1"/>
        <c:lblAlgn val="ctr"/>
        <c:lblOffset val="100"/>
        <c:noMultiLvlLbl val="0"/>
      </c:catAx>
      <c:valAx>
        <c:axId val="2619026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616592"/>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units for Sectoral and Intersectoral Severity per severity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0"/>
          <c:tx>
            <c:v>1</c:v>
          </c:tx>
          <c:spPr>
            <a:solidFill>
              <a:schemeClr val="accent5">
                <a:lumMod val="20000"/>
                <a:lumOff val="80000"/>
              </a:schemeClr>
            </a:solidFill>
            <a:ln>
              <a:noFill/>
            </a:ln>
            <a:effectLst/>
          </c:spPr>
          <c:invertIfNegative val="0"/>
          <c:cat>
            <c:strRef>
              <c:f>'Preliminary results graph'!$V$10:$AJ$10</c:f>
              <c:strCache>
                <c:ptCount val="13"/>
                <c:pt idx="0">
                  <c:v>Intersectoral Severity</c:v>
                </c:pt>
                <c:pt idx="1">
                  <c:v>CCCM</c:v>
                </c:pt>
                <c:pt idx="2">
                  <c:v>Education</c:v>
                </c:pt>
                <c:pt idx="3">
                  <c:v>Nutrition</c:v>
                </c:pt>
                <c:pt idx="4">
                  <c:v>Food Security</c:v>
                </c:pt>
                <c:pt idx="5">
                  <c:v>Health</c:v>
                </c:pt>
                <c:pt idx="6">
                  <c:v>Overarching Protection</c:v>
                </c:pt>
                <c:pt idx="7">
                  <c:v>Shelter</c:v>
                </c:pt>
                <c:pt idx="8">
                  <c:v>WASH</c:v>
                </c:pt>
                <c:pt idx="9">
                  <c:v>Child Protection (CP)</c:v>
                </c:pt>
                <c:pt idx="10">
                  <c:v>Gender-based Violence (GBV)</c:v>
                </c:pt>
                <c:pt idx="11">
                  <c:v>GP</c:v>
                </c:pt>
                <c:pt idx="12">
                  <c:v>HLP</c:v>
                </c:pt>
              </c:strCache>
            </c:strRef>
          </c:cat>
          <c:val>
            <c:numRef>
              <c:f>'Preliminary results graph'!$V$11:$AI$11</c:f>
              <c:numCache>
                <c:formatCode>General</c:formatCode>
                <c:ptCount val="14"/>
                <c:pt idx="0">
                  <c:v>139</c:v>
                </c:pt>
                <c:pt idx="1">
                  <c:v>0</c:v>
                </c:pt>
                <c:pt idx="2">
                  <c:v>0</c:v>
                </c:pt>
                <c:pt idx="3">
                  <c:v>1</c:v>
                </c:pt>
                <c:pt idx="4">
                  <c:v>0</c:v>
                </c:pt>
                <c:pt idx="5">
                  <c:v>12</c:v>
                </c:pt>
                <c:pt idx="6">
                  <c:v>0</c:v>
                </c:pt>
                <c:pt idx="7">
                  <c:v>0</c:v>
                </c:pt>
                <c:pt idx="8">
                  <c:v>16</c:v>
                </c:pt>
                <c:pt idx="9">
                  <c:v>2</c:v>
                </c:pt>
                <c:pt idx="10">
                  <c:v>0</c:v>
                </c:pt>
                <c:pt idx="11">
                  <c:v>0</c:v>
                </c:pt>
                <c:pt idx="12">
                  <c:v>3</c:v>
                </c:pt>
              </c:numCache>
            </c:numRef>
          </c:val>
          <c:extLst>
            <c:ext xmlns:c16="http://schemas.microsoft.com/office/drawing/2014/chart" uri="{C3380CC4-5D6E-409C-BE32-E72D297353CC}">
              <c16:uniqueId val="{00000001-2410-E245-9BB0-E5D4ACCFBF52}"/>
            </c:ext>
          </c:extLst>
        </c:ser>
        <c:ser>
          <c:idx val="2"/>
          <c:order val="1"/>
          <c:tx>
            <c:v>2</c:v>
          </c:tx>
          <c:spPr>
            <a:solidFill>
              <a:schemeClr val="accent5">
                <a:lumMod val="40000"/>
                <a:lumOff val="60000"/>
              </a:schemeClr>
            </a:solidFill>
            <a:ln>
              <a:noFill/>
            </a:ln>
            <a:effectLst/>
          </c:spPr>
          <c:invertIfNegative val="0"/>
          <c:cat>
            <c:strRef>
              <c:f>'Preliminary results graph'!$V$10:$AJ$10</c:f>
              <c:strCache>
                <c:ptCount val="13"/>
                <c:pt idx="0">
                  <c:v>Intersectoral Severity</c:v>
                </c:pt>
                <c:pt idx="1">
                  <c:v>CCCM</c:v>
                </c:pt>
                <c:pt idx="2">
                  <c:v>Education</c:v>
                </c:pt>
                <c:pt idx="3">
                  <c:v>Nutrition</c:v>
                </c:pt>
                <c:pt idx="4">
                  <c:v>Food Security</c:v>
                </c:pt>
                <c:pt idx="5">
                  <c:v>Health</c:v>
                </c:pt>
                <c:pt idx="6">
                  <c:v>Overarching Protection</c:v>
                </c:pt>
                <c:pt idx="7">
                  <c:v>Shelter</c:v>
                </c:pt>
                <c:pt idx="8">
                  <c:v>WASH</c:v>
                </c:pt>
                <c:pt idx="9">
                  <c:v>Child Protection (CP)</c:v>
                </c:pt>
                <c:pt idx="10">
                  <c:v>Gender-based Violence (GBV)</c:v>
                </c:pt>
                <c:pt idx="11">
                  <c:v>GP</c:v>
                </c:pt>
                <c:pt idx="12">
                  <c:v>HLP</c:v>
                </c:pt>
              </c:strCache>
            </c:strRef>
          </c:cat>
          <c:val>
            <c:numRef>
              <c:f>'Preliminary results graph'!$V$12:$AI$12</c:f>
              <c:numCache>
                <c:formatCode>General</c:formatCode>
                <c:ptCount val="14"/>
                <c:pt idx="0">
                  <c:v>0</c:v>
                </c:pt>
                <c:pt idx="1">
                  <c:v>2</c:v>
                </c:pt>
                <c:pt idx="2">
                  <c:v>1</c:v>
                </c:pt>
                <c:pt idx="3">
                  <c:v>43</c:v>
                </c:pt>
                <c:pt idx="4">
                  <c:v>22</c:v>
                </c:pt>
                <c:pt idx="5">
                  <c:v>3</c:v>
                </c:pt>
                <c:pt idx="6">
                  <c:v>1</c:v>
                </c:pt>
                <c:pt idx="7">
                  <c:v>0</c:v>
                </c:pt>
                <c:pt idx="8">
                  <c:v>45</c:v>
                </c:pt>
                <c:pt idx="9">
                  <c:v>3</c:v>
                </c:pt>
                <c:pt idx="10">
                  <c:v>7</c:v>
                </c:pt>
                <c:pt idx="11">
                  <c:v>3</c:v>
                </c:pt>
                <c:pt idx="12">
                  <c:v>6</c:v>
                </c:pt>
              </c:numCache>
            </c:numRef>
          </c:val>
          <c:extLst>
            <c:ext xmlns:c16="http://schemas.microsoft.com/office/drawing/2014/chart" uri="{C3380CC4-5D6E-409C-BE32-E72D297353CC}">
              <c16:uniqueId val="{00000002-2410-E245-9BB0-E5D4ACCFBF52}"/>
            </c:ext>
          </c:extLst>
        </c:ser>
        <c:ser>
          <c:idx val="3"/>
          <c:order val="2"/>
          <c:tx>
            <c:v>3</c:v>
          </c:tx>
          <c:spPr>
            <a:solidFill>
              <a:schemeClr val="accent5">
                <a:lumMod val="60000"/>
                <a:lumOff val="40000"/>
              </a:schemeClr>
            </a:solidFill>
            <a:ln>
              <a:noFill/>
            </a:ln>
            <a:effectLst/>
          </c:spPr>
          <c:invertIfNegative val="0"/>
          <c:cat>
            <c:strRef>
              <c:f>'Preliminary results graph'!$V$10:$AJ$10</c:f>
              <c:strCache>
                <c:ptCount val="13"/>
                <c:pt idx="0">
                  <c:v>Intersectoral Severity</c:v>
                </c:pt>
                <c:pt idx="1">
                  <c:v>CCCM</c:v>
                </c:pt>
                <c:pt idx="2">
                  <c:v>Education</c:v>
                </c:pt>
                <c:pt idx="3">
                  <c:v>Nutrition</c:v>
                </c:pt>
                <c:pt idx="4">
                  <c:v>Food Security</c:v>
                </c:pt>
                <c:pt idx="5">
                  <c:v>Health</c:v>
                </c:pt>
                <c:pt idx="6">
                  <c:v>Overarching Protection</c:v>
                </c:pt>
                <c:pt idx="7">
                  <c:v>Shelter</c:v>
                </c:pt>
                <c:pt idx="8">
                  <c:v>WASH</c:v>
                </c:pt>
                <c:pt idx="9">
                  <c:v>Child Protection (CP)</c:v>
                </c:pt>
                <c:pt idx="10">
                  <c:v>Gender-based Violence (GBV)</c:v>
                </c:pt>
                <c:pt idx="11">
                  <c:v>GP</c:v>
                </c:pt>
                <c:pt idx="12">
                  <c:v>HLP</c:v>
                </c:pt>
              </c:strCache>
            </c:strRef>
          </c:cat>
          <c:val>
            <c:numRef>
              <c:f>'Preliminary results graph'!$V$13:$AI$13</c:f>
              <c:numCache>
                <c:formatCode>General</c:formatCode>
                <c:ptCount val="14"/>
                <c:pt idx="0">
                  <c:v>14</c:v>
                </c:pt>
                <c:pt idx="1">
                  <c:v>13</c:v>
                </c:pt>
                <c:pt idx="2">
                  <c:v>9</c:v>
                </c:pt>
                <c:pt idx="3">
                  <c:v>6</c:v>
                </c:pt>
                <c:pt idx="4">
                  <c:v>42</c:v>
                </c:pt>
                <c:pt idx="5">
                  <c:v>5</c:v>
                </c:pt>
                <c:pt idx="6">
                  <c:v>6</c:v>
                </c:pt>
                <c:pt idx="7">
                  <c:v>13</c:v>
                </c:pt>
                <c:pt idx="8">
                  <c:v>79</c:v>
                </c:pt>
                <c:pt idx="9">
                  <c:v>4</c:v>
                </c:pt>
                <c:pt idx="10">
                  <c:v>8</c:v>
                </c:pt>
                <c:pt idx="11">
                  <c:v>6</c:v>
                </c:pt>
                <c:pt idx="12">
                  <c:v>8</c:v>
                </c:pt>
              </c:numCache>
            </c:numRef>
          </c:val>
          <c:extLst>
            <c:ext xmlns:c16="http://schemas.microsoft.com/office/drawing/2014/chart" uri="{C3380CC4-5D6E-409C-BE32-E72D297353CC}">
              <c16:uniqueId val="{00000003-2410-E245-9BB0-E5D4ACCFBF52}"/>
            </c:ext>
          </c:extLst>
        </c:ser>
        <c:ser>
          <c:idx val="4"/>
          <c:order val="3"/>
          <c:tx>
            <c:v>4</c:v>
          </c:tx>
          <c:spPr>
            <a:solidFill>
              <a:schemeClr val="accent5">
                <a:lumMod val="75000"/>
              </a:schemeClr>
            </a:solidFill>
            <a:ln>
              <a:noFill/>
            </a:ln>
            <a:effectLst/>
          </c:spPr>
          <c:invertIfNegative val="0"/>
          <c:cat>
            <c:strRef>
              <c:f>'Preliminary results graph'!$V$10:$AJ$10</c:f>
              <c:strCache>
                <c:ptCount val="13"/>
                <c:pt idx="0">
                  <c:v>Intersectoral Severity</c:v>
                </c:pt>
                <c:pt idx="1">
                  <c:v>CCCM</c:v>
                </c:pt>
                <c:pt idx="2">
                  <c:v>Education</c:v>
                </c:pt>
                <c:pt idx="3">
                  <c:v>Nutrition</c:v>
                </c:pt>
                <c:pt idx="4">
                  <c:v>Food Security</c:v>
                </c:pt>
                <c:pt idx="5">
                  <c:v>Health</c:v>
                </c:pt>
                <c:pt idx="6">
                  <c:v>Overarching Protection</c:v>
                </c:pt>
                <c:pt idx="7">
                  <c:v>Shelter</c:v>
                </c:pt>
                <c:pt idx="8">
                  <c:v>WASH</c:v>
                </c:pt>
                <c:pt idx="9">
                  <c:v>Child Protection (CP)</c:v>
                </c:pt>
                <c:pt idx="10">
                  <c:v>Gender-based Violence (GBV)</c:v>
                </c:pt>
                <c:pt idx="11">
                  <c:v>GP</c:v>
                </c:pt>
                <c:pt idx="12">
                  <c:v>HLP</c:v>
                </c:pt>
              </c:strCache>
            </c:strRef>
          </c:cat>
          <c:val>
            <c:numRef>
              <c:f>'Preliminary results graph'!$V$14:$AI$14</c:f>
              <c:numCache>
                <c:formatCode>General</c:formatCode>
                <c:ptCount val="14"/>
                <c:pt idx="0">
                  <c:v>6</c:v>
                </c:pt>
                <c:pt idx="1">
                  <c:v>5</c:v>
                </c:pt>
                <c:pt idx="2">
                  <c:v>9</c:v>
                </c:pt>
                <c:pt idx="3">
                  <c:v>2</c:v>
                </c:pt>
                <c:pt idx="4">
                  <c:v>0</c:v>
                </c:pt>
                <c:pt idx="5">
                  <c:v>0</c:v>
                </c:pt>
                <c:pt idx="6">
                  <c:v>10</c:v>
                </c:pt>
                <c:pt idx="7">
                  <c:v>7</c:v>
                </c:pt>
                <c:pt idx="8">
                  <c:v>19</c:v>
                </c:pt>
                <c:pt idx="9">
                  <c:v>8</c:v>
                </c:pt>
                <c:pt idx="10">
                  <c:v>5</c:v>
                </c:pt>
                <c:pt idx="11">
                  <c:v>8</c:v>
                </c:pt>
                <c:pt idx="12">
                  <c:v>3</c:v>
                </c:pt>
              </c:numCache>
            </c:numRef>
          </c:val>
          <c:extLst>
            <c:ext xmlns:c16="http://schemas.microsoft.com/office/drawing/2014/chart" uri="{C3380CC4-5D6E-409C-BE32-E72D297353CC}">
              <c16:uniqueId val="{00000004-2410-E245-9BB0-E5D4ACCFBF52}"/>
            </c:ext>
          </c:extLst>
        </c:ser>
        <c:ser>
          <c:idx val="5"/>
          <c:order val="4"/>
          <c:tx>
            <c:v>5</c:v>
          </c:tx>
          <c:spPr>
            <a:solidFill>
              <a:schemeClr val="accent5">
                <a:lumMod val="50000"/>
              </a:schemeClr>
            </a:solidFill>
            <a:ln>
              <a:noFill/>
            </a:ln>
            <a:effectLst/>
          </c:spPr>
          <c:invertIfNegative val="0"/>
          <c:cat>
            <c:strRef>
              <c:f>'Preliminary results graph'!$V$10:$AJ$10</c:f>
              <c:strCache>
                <c:ptCount val="13"/>
                <c:pt idx="0">
                  <c:v>Intersectoral Severity</c:v>
                </c:pt>
                <c:pt idx="1">
                  <c:v>CCCM</c:v>
                </c:pt>
                <c:pt idx="2">
                  <c:v>Education</c:v>
                </c:pt>
                <c:pt idx="3">
                  <c:v>Nutrition</c:v>
                </c:pt>
                <c:pt idx="4">
                  <c:v>Food Security</c:v>
                </c:pt>
                <c:pt idx="5">
                  <c:v>Health</c:v>
                </c:pt>
                <c:pt idx="6">
                  <c:v>Overarching Protection</c:v>
                </c:pt>
                <c:pt idx="7">
                  <c:v>Shelter</c:v>
                </c:pt>
                <c:pt idx="8">
                  <c:v>WASH</c:v>
                </c:pt>
                <c:pt idx="9">
                  <c:v>Child Protection (CP)</c:v>
                </c:pt>
                <c:pt idx="10">
                  <c:v>Gender-based Violence (GBV)</c:v>
                </c:pt>
                <c:pt idx="11">
                  <c:v>GP</c:v>
                </c:pt>
                <c:pt idx="12">
                  <c:v>HLP</c:v>
                </c:pt>
              </c:strCache>
            </c:strRef>
          </c:cat>
          <c:val>
            <c:numRef>
              <c:f>'Preliminary results graph'!$V$15:$AI$15</c:f>
              <c:numCache>
                <c:formatCode>General</c:formatCode>
                <c:ptCount val="14"/>
                <c:pt idx="0">
                  <c:v>0</c:v>
                </c:pt>
                <c:pt idx="1">
                  <c:v>0</c:v>
                </c:pt>
                <c:pt idx="2">
                  <c:v>1</c:v>
                </c:pt>
                <c:pt idx="3">
                  <c:v>0</c:v>
                </c:pt>
                <c:pt idx="4">
                  <c:v>0</c:v>
                </c:pt>
                <c:pt idx="5">
                  <c:v>0</c:v>
                </c:pt>
                <c:pt idx="6">
                  <c:v>3</c:v>
                </c:pt>
                <c:pt idx="7">
                  <c:v>0</c:v>
                </c:pt>
                <c:pt idx="8">
                  <c:v>0</c:v>
                </c:pt>
                <c:pt idx="9">
                  <c:v>3</c:v>
                </c:pt>
                <c:pt idx="10">
                  <c:v>0</c:v>
                </c:pt>
                <c:pt idx="11">
                  <c:v>3</c:v>
                </c:pt>
                <c:pt idx="12">
                  <c:v>0</c:v>
                </c:pt>
              </c:numCache>
            </c:numRef>
          </c:val>
          <c:extLst>
            <c:ext xmlns:c16="http://schemas.microsoft.com/office/drawing/2014/chart" uri="{C3380CC4-5D6E-409C-BE32-E72D297353CC}">
              <c16:uniqueId val="{00000000-0CCB-4100-BB53-AB6C020F6BCA}"/>
            </c:ext>
          </c:extLst>
        </c:ser>
        <c:dLbls>
          <c:showLegendKey val="0"/>
          <c:showVal val="0"/>
          <c:showCatName val="0"/>
          <c:showSerName val="0"/>
          <c:showPercent val="0"/>
          <c:showBubbleSize val="0"/>
        </c:dLbls>
        <c:gapWidth val="219"/>
        <c:overlap val="-27"/>
        <c:axId val="1629549456"/>
        <c:axId val="1629551184"/>
      </c:barChart>
      <c:catAx>
        <c:axId val="16295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9551184"/>
        <c:crosses val="autoZero"/>
        <c:auto val="1"/>
        <c:lblAlgn val="ctr"/>
        <c:lblOffset val="100"/>
        <c:noMultiLvlLbl val="0"/>
      </c:catAx>
      <c:valAx>
        <c:axId val="162955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units</a:t>
                </a:r>
              </a:p>
            </c:rich>
          </c:tx>
          <c:layout>
            <c:manualLayout>
              <c:xMode val="edge"/>
              <c:yMode val="edge"/>
              <c:x val="8.21917808219178E-3"/>
              <c:y val="0.378213889545561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9549456"/>
        <c:crosses val="autoZero"/>
        <c:crossBetween val="between"/>
      </c:valAx>
      <c:spPr>
        <a:noFill/>
        <a:ln>
          <a:noFill/>
        </a:ln>
        <a:effectLst/>
      </c:spPr>
    </c:plotArea>
    <c:legend>
      <c:legendPos val="b"/>
      <c:layout>
        <c:manualLayout>
          <c:xMode val="edge"/>
          <c:yMode val="edge"/>
          <c:x val="0.48221385826771651"/>
          <c:y val="0.93331381498790711"/>
          <c:w val="0.16709828148966019"/>
          <c:h val="6.6686245300418528E-2"/>
        </c:manualLayout>
      </c:layout>
      <c:overlay val="0"/>
      <c:spPr>
        <a:solidFill>
          <a:schemeClr val="lt1"/>
        </a:solidFill>
        <a:ln w="12700" cap="flat" cmpd="sng" algn="ctr">
          <a:solidFill>
            <a:schemeClr val="dk1"/>
          </a:solidFill>
          <a:prstDash val="solid"/>
          <a:miter lim="800000"/>
        </a:ln>
        <a:effectLst>
          <a:outerShdw algn="ctr" rotWithShape="0">
            <a:srgbClr val="000000"/>
          </a:outerShdw>
          <a:softEdge rad="0"/>
        </a:effectLst>
      </c:spPr>
      <c:txPr>
        <a:bodyPr rot="0" spcFirstLastPara="1" vertOverflow="ellipsis" vert="horz" wrap="square" anchor="ctr" anchorCtr="1"/>
        <a:lstStyle/>
        <a:p>
          <a:pPr>
            <a:defRPr sz="1200" b="0" i="0" u="none" strike="noStrike" kern="1200" baseline="0">
              <a:ln>
                <a:noFill/>
              </a:ln>
              <a:solidFill>
                <a:schemeClr val="dk1"/>
              </a:solidFill>
              <a:latin typeface="+mn-lt"/>
              <a:ea typeface="+mn-ea"/>
              <a:cs typeface="+mn-cs"/>
            </a:defRPr>
          </a:pPr>
          <a:endParaRPr lang="fr-F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units each sector is the driver for PiN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'Preliminary results graph'!$C$26:$J$26</c:f>
              <c:strCache>
                <c:ptCount val="8"/>
                <c:pt idx="0">
                  <c:v>CCCM</c:v>
                </c:pt>
                <c:pt idx="1">
                  <c:v>Education</c:v>
                </c:pt>
                <c:pt idx="2">
                  <c:v>Nutrition</c:v>
                </c:pt>
                <c:pt idx="3">
                  <c:v>Food Security</c:v>
                </c:pt>
                <c:pt idx="4">
                  <c:v>Health</c:v>
                </c:pt>
                <c:pt idx="5">
                  <c:v>Overarching Protection</c:v>
                </c:pt>
                <c:pt idx="6">
                  <c:v>Shelter</c:v>
                </c:pt>
                <c:pt idx="7">
                  <c:v>WASH</c:v>
                </c:pt>
              </c:strCache>
            </c:strRef>
          </c:cat>
          <c:val>
            <c:numRef>
              <c:f>'Preliminary results graph'!$C$27:$J$27</c:f>
              <c:numCache>
                <c:formatCode>General</c:formatCode>
                <c:ptCount val="8"/>
                <c:pt idx="0">
                  <c:v>14</c:v>
                </c:pt>
                <c:pt idx="1">
                  <c:v>1</c:v>
                </c:pt>
                <c:pt idx="2">
                  <c:v>0</c:v>
                </c:pt>
                <c:pt idx="3">
                  <c:v>23</c:v>
                </c:pt>
                <c:pt idx="4">
                  <c:v>1</c:v>
                </c:pt>
                <c:pt idx="5">
                  <c:v>6</c:v>
                </c:pt>
                <c:pt idx="6">
                  <c:v>3</c:v>
                </c:pt>
                <c:pt idx="7">
                  <c:v>13</c:v>
                </c:pt>
              </c:numCache>
            </c:numRef>
          </c:val>
          <c:extLst>
            <c:ext xmlns:c16="http://schemas.microsoft.com/office/drawing/2014/chart" uri="{C3380CC4-5D6E-409C-BE32-E72D297353CC}">
              <c16:uniqueId val="{00000000-3652-4BDA-A750-A2E73AF19B9C}"/>
            </c:ext>
          </c:extLst>
        </c:ser>
        <c:dLbls>
          <c:showLegendKey val="0"/>
          <c:showVal val="0"/>
          <c:showCatName val="0"/>
          <c:showSerName val="0"/>
          <c:showPercent val="0"/>
          <c:showBubbleSize val="0"/>
        </c:dLbls>
        <c:gapWidth val="219"/>
        <c:overlap val="-27"/>
        <c:axId val="756465080"/>
        <c:axId val="756458848"/>
      </c:barChart>
      <c:catAx>
        <c:axId val="75646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6458848"/>
        <c:crosses val="autoZero"/>
        <c:auto val="1"/>
        <c:lblAlgn val="ctr"/>
        <c:lblOffset val="100"/>
        <c:noMultiLvlLbl val="0"/>
      </c:catAx>
      <c:valAx>
        <c:axId val="756458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6465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units each sector has the highest severity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'Preliminary results graph'!$U$26:$AB$26</c:f>
              <c:strCache>
                <c:ptCount val="8"/>
                <c:pt idx="0">
                  <c:v>CCCM</c:v>
                </c:pt>
                <c:pt idx="1">
                  <c:v>Education</c:v>
                </c:pt>
                <c:pt idx="2">
                  <c:v>Nutrition</c:v>
                </c:pt>
                <c:pt idx="3">
                  <c:v>Food Security</c:v>
                </c:pt>
                <c:pt idx="4">
                  <c:v>Health</c:v>
                </c:pt>
                <c:pt idx="5">
                  <c:v>Overarching Protection</c:v>
                </c:pt>
                <c:pt idx="6">
                  <c:v>Shelter</c:v>
                </c:pt>
                <c:pt idx="7">
                  <c:v>WASH</c:v>
                </c:pt>
              </c:strCache>
            </c:strRef>
          </c:cat>
          <c:val>
            <c:numRef>
              <c:f>'Preliminary results graph'!$U$27:$AB$27</c:f>
              <c:numCache>
                <c:formatCode>General</c:formatCode>
                <c:ptCount val="8"/>
                <c:pt idx="0">
                  <c:v>4</c:v>
                </c:pt>
                <c:pt idx="1">
                  <c:v>10</c:v>
                </c:pt>
                <c:pt idx="2">
                  <c:v>12</c:v>
                </c:pt>
                <c:pt idx="3">
                  <c:v>31</c:v>
                </c:pt>
                <c:pt idx="4">
                  <c:v>0</c:v>
                </c:pt>
                <c:pt idx="5">
                  <c:v>15</c:v>
                </c:pt>
                <c:pt idx="6">
                  <c:v>9</c:v>
                </c:pt>
                <c:pt idx="7">
                  <c:v>131</c:v>
                </c:pt>
              </c:numCache>
            </c:numRef>
          </c:val>
          <c:extLst>
            <c:ext xmlns:c16="http://schemas.microsoft.com/office/drawing/2014/chart" uri="{C3380CC4-5D6E-409C-BE32-E72D297353CC}">
              <c16:uniqueId val="{00000000-5539-4294-958A-FA04950A98E4}"/>
            </c:ext>
          </c:extLst>
        </c:ser>
        <c:dLbls>
          <c:showLegendKey val="0"/>
          <c:showVal val="0"/>
          <c:showCatName val="0"/>
          <c:showSerName val="0"/>
          <c:showPercent val="0"/>
          <c:showBubbleSize val="0"/>
        </c:dLbls>
        <c:gapWidth val="219"/>
        <c:overlap val="-27"/>
        <c:axId val="762467096"/>
        <c:axId val="762473984"/>
      </c:barChart>
      <c:catAx>
        <c:axId val="76246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2473984"/>
        <c:crosses val="autoZero"/>
        <c:auto val="1"/>
        <c:lblAlgn val="ctr"/>
        <c:lblOffset val="100"/>
        <c:noMultiLvlLbl val="0"/>
      </c:catAx>
      <c:valAx>
        <c:axId val="76247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units</a:t>
                </a:r>
                <a:r>
                  <a:rPr lang="en-US" sz="1000" b="0" i="0" u="none" strike="noStrike" baseline="0"/>
                  <a:t> </a:t>
                </a:r>
                <a:endParaRPr lang="en-US"/>
              </a:p>
            </c:rich>
          </c:tx>
          <c:layout>
            <c:manualLayout>
              <c:xMode val="edge"/>
              <c:yMode val="edge"/>
              <c:x val="1.4007440487679518E-2"/>
              <c:y val="0.416317755512774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246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487018</xdr:colOff>
      <xdr:row>16</xdr:row>
      <xdr:rowOff>6627</xdr:rowOff>
    </xdr:from>
    <xdr:to>
      <xdr:col>12</xdr:col>
      <xdr:colOff>325107</xdr:colOff>
      <xdr:row>17</xdr:row>
      <xdr:rowOff>116529</xdr:rowOff>
    </xdr:to>
    <xdr:pic>
      <xdr:nvPicPr>
        <xdr:cNvPr id="2" name="Picture 1">
          <a:extLst>
            <a:ext uri="{FF2B5EF4-FFF2-40B4-BE49-F238E27FC236}">
              <a16:creationId xmlns:a16="http://schemas.microsoft.com/office/drawing/2014/main" id="{A197C327-93F3-ABB6-4E90-6B63E2F97B2A}"/>
            </a:ext>
          </a:extLst>
        </xdr:cNvPr>
        <xdr:cNvPicPr>
          <a:picLocks noChangeAspect="1"/>
        </xdr:cNvPicPr>
      </xdr:nvPicPr>
      <xdr:blipFill>
        <a:blip xmlns:r="http://schemas.openxmlformats.org/officeDocument/2006/relationships" r:embed="rId1"/>
        <a:stretch>
          <a:fillRect/>
        </a:stretch>
      </xdr:blipFill>
      <xdr:spPr>
        <a:xfrm>
          <a:off x="9949070" y="7752523"/>
          <a:ext cx="6132872" cy="1561015"/>
        </a:xfrm>
        <a:prstGeom prst="rect">
          <a:avLst/>
        </a:prstGeom>
      </xdr:spPr>
    </xdr:pic>
    <xdr:clientData/>
  </xdr:twoCellAnchor>
  <xdr:twoCellAnchor>
    <xdr:from>
      <xdr:col>1</xdr:col>
      <xdr:colOff>7431158</xdr:colOff>
      <xdr:row>16</xdr:row>
      <xdr:rowOff>271668</xdr:rowOff>
    </xdr:from>
    <xdr:to>
      <xdr:col>2</xdr:col>
      <xdr:colOff>311427</xdr:colOff>
      <xdr:row>16</xdr:row>
      <xdr:rowOff>543338</xdr:rowOff>
    </xdr:to>
    <xdr:sp macro="" textlink="">
      <xdr:nvSpPr>
        <xdr:cNvPr id="3" name="Arrow: Right 2">
          <a:extLst>
            <a:ext uri="{FF2B5EF4-FFF2-40B4-BE49-F238E27FC236}">
              <a16:creationId xmlns:a16="http://schemas.microsoft.com/office/drawing/2014/main" id="{4DC80B5F-D4E2-2325-9431-2D914024FC63}"/>
            </a:ext>
          </a:extLst>
        </xdr:cNvPr>
        <xdr:cNvSpPr/>
      </xdr:nvSpPr>
      <xdr:spPr>
        <a:xfrm>
          <a:off x="9064488" y="8017564"/>
          <a:ext cx="708991" cy="27167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436562</xdr:colOff>
      <xdr:row>3</xdr:row>
      <xdr:rowOff>19051</xdr:rowOff>
    </xdr:from>
    <xdr:to>
      <xdr:col>25</xdr:col>
      <xdr:colOff>76200</xdr:colOff>
      <xdr:row>26</xdr:row>
      <xdr:rowOff>85726</xdr:rowOff>
    </xdr:to>
    <xdr:graphicFrame macro="">
      <xdr:nvGraphicFramePr>
        <xdr:cNvPr id="17" name="Chart 7">
          <a:extLst>
            <a:ext uri="{FF2B5EF4-FFF2-40B4-BE49-F238E27FC236}">
              <a16:creationId xmlns:a16="http://schemas.microsoft.com/office/drawing/2014/main" id="{D73B1969-C870-5C90-1254-E842B28FF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495300</xdr:colOff>
      <xdr:row>2</xdr:row>
      <xdr:rowOff>280985</xdr:rowOff>
    </xdr:from>
    <xdr:to>
      <xdr:col>40</xdr:col>
      <xdr:colOff>76200</xdr:colOff>
      <xdr:row>26</xdr:row>
      <xdr:rowOff>85724</xdr:rowOff>
    </xdr:to>
    <xdr:graphicFrame macro="">
      <xdr:nvGraphicFramePr>
        <xdr:cNvPr id="2" name="Chart 1">
          <a:extLst>
            <a:ext uri="{FF2B5EF4-FFF2-40B4-BE49-F238E27FC236}">
              <a16:creationId xmlns:a16="http://schemas.microsoft.com/office/drawing/2014/main" id="{1E061ACB-6B44-AF8A-704E-BE6D337B88FE}"/>
            </a:ext>
            <a:ext uri="{147F2762-F138-4A5C-976F-8EAC2B608ADB}">
              <a16:predDERef xmlns:a16="http://schemas.microsoft.com/office/drawing/2014/main" pred="{D73B1969-C870-5C90-1254-E842B28FF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76200</xdr:colOff>
      <xdr:row>26</xdr:row>
      <xdr:rowOff>149225</xdr:rowOff>
    </xdr:from>
    <xdr:to>
      <xdr:col>8</xdr:col>
      <xdr:colOff>120650</xdr:colOff>
      <xdr:row>34</xdr:row>
      <xdr:rowOff>133350</xdr:rowOff>
    </xdr:to>
    <mc:AlternateContent xmlns:mc="http://schemas.openxmlformats.org/markup-compatibility/2006" xmlns:a14="http://schemas.microsoft.com/office/drawing/2010/main">
      <mc:Choice Requires="a14">
        <xdr:graphicFrame macro="">
          <xdr:nvGraphicFramePr>
            <xdr:cNvPr id="2" name="Population Group">
              <a:extLst>
                <a:ext uri="{FF2B5EF4-FFF2-40B4-BE49-F238E27FC236}">
                  <a16:creationId xmlns:a16="http://schemas.microsoft.com/office/drawing/2014/main" id="{C6E1EC3F-E911-6C5E-E318-C3E13CB3D771}"/>
                </a:ext>
              </a:extLst>
            </xdr:cNvPr>
            <xdr:cNvGraphicFramePr/>
          </xdr:nvGraphicFramePr>
          <xdr:xfrm>
            <a:off x="0" y="0"/>
            <a:ext cx="0" cy="0"/>
          </xdr:xfrm>
          <a:graphic>
            <a:graphicData uri="http://schemas.microsoft.com/office/drawing/2010/slicer">
              <sle:slicer xmlns:sle="http://schemas.microsoft.com/office/drawing/2010/slicer" name="Population Group"/>
            </a:graphicData>
          </a:graphic>
        </xdr:graphicFrame>
      </mc:Choice>
      <mc:Fallback xmlns="">
        <xdr:sp macro="" textlink="">
          <xdr:nvSpPr>
            <xdr:cNvPr id="0" name=""/>
            <xdr:cNvSpPr>
              <a:spLocks noTextEdit="1"/>
            </xdr:cNvSpPr>
          </xdr:nvSpPr>
          <xdr:spPr>
            <a:xfrm>
              <a:off x="5238750" y="52260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76200</xdr:colOff>
      <xdr:row>26</xdr:row>
      <xdr:rowOff>149225</xdr:rowOff>
    </xdr:from>
    <xdr:to>
      <xdr:col>8</xdr:col>
      <xdr:colOff>104775</xdr:colOff>
      <xdr:row>34</xdr:row>
      <xdr:rowOff>133350</xdr:rowOff>
    </xdr:to>
    <mc:AlternateContent xmlns:mc="http://schemas.openxmlformats.org/markup-compatibility/2006" xmlns:a14="http://schemas.microsoft.com/office/drawing/2010/main">
      <mc:Choice Requires="a14">
        <xdr:graphicFrame macro="">
          <xdr:nvGraphicFramePr>
            <xdr:cNvPr id="2" name="Population Group 1">
              <a:extLst>
                <a:ext uri="{FF2B5EF4-FFF2-40B4-BE49-F238E27FC236}">
                  <a16:creationId xmlns:a16="http://schemas.microsoft.com/office/drawing/2014/main" id="{CA114A29-238E-4B87-AC14-9E1140AEEE7C}"/>
                </a:ext>
              </a:extLst>
            </xdr:cNvPr>
            <xdr:cNvGraphicFramePr/>
          </xdr:nvGraphicFramePr>
          <xdr:xfrm>
            <a:off x="0" y="0"/>
            <a:ext cx="0" cy="0"/>
          </xdr:xfrm>
          <a:graphic>
            <a:graphicData uri="http://schemas.microsoft.com/office/drawing/2010/slicer">
              <sle:slicer xmlns:sle="http://schemas.microsoft.com/office/drawing/2010/slicer" name="Population Group 1"/>
            </a:graphicData>
          </a:graphic>
        </xdr:graphicFrame>
      </mc:Choice>
      <mc:Fallback xmlns="">
        <xdr:sp macro="" textlink="">
          <xdr:nvSpPr>
            <xdr:cNvPr id="0" name=""/>
            <xdr:cNvSpPr>
              <a:spLocks noTextEdit="1"/>
            </xdr:cNvSpPr>
          </xdr:nvSpPr>
          <xdr:spPr>
            <a:xfrm>
              <a:off x="4533900" y="5597525"/>
              <a:ext cx="1800225" cy="14319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0</xdr:row>
      <xdr:rowOff>34925</xdr:rowOff>
    </xdr:from>
    <xdr:to>
      <xdr:col>17</xdr:col>
      <xdr:colOff>571500</xdr:colOff>
      <xdr:row>18</xdr:row>
      <xdr:rowOff>133350</xdr:rowOff>
    </xdr:to>
    <xdr:graphicFrame macro="">
      <xdr:nvGraphicFramePr>
        <xdr:cNvPr id="26" name="Chart 5">
          <a:extLst>
            <a:ext uri="{FF2B5EF4-FFF2-40B4-BE49-F238E27FC236}">
              <a16:creationId xmlns:a16="http://schemas.microsoft.com/office/drawing/2014/main" id="{A43B19F8-5C5E-0FA5-0B72-79A9BF4E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596899</xdr:colOff>
      <xdr:row>0</xdr:row>
      <xdr:rowOff>47625</xdr:rowOff>
    </xdr:from>
    <xdr:to>
      <xdr:col>36</xdr:col>
      <xdr:colOff>428624</xdr:colOff>
      <xdr:row>18</xdr:row>
      <xdr:rowOff>142875</xdr:rowOff>
    </xdr:to>
    <xdr:graphicFrame macro="">
      <xdr:nvGraphicFramePr>
        <xdr:cNvPr id="78" name="Chart 1">
          <a:extLst>
            <a:ext uri="{FF2B5EF4-FFF2-40B4-BE49-F238E27FC236}">
              <a16:creationId xmlns:a16="http://schemas.microsoft.com/office/drawing/2014/main" id="{433B0AA5-E000-C738-5866-D00020D385BF}"/>
            </a:ext>
            <a:ext uri="{147F2762-F138-4A5C-976F-8EAC2B608ADB}">
              <a16:predDERef xmlns:a16="http://schemas.microsoft.com/office/drawing/2014/main" pred="{A43B19F8-5C5E-0FA5-0B72-79A9BF4E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18</xdr:row>
      <xdr:rowOff>157162</xdr:rowOff>
    </xdr:from>
    <xdr:to>
      <xdr:col>17</xdr:col>
      <xdr:colOff>561975</xdr:colOff>
      <xdr:row>35</xdr:row>
      <xdr:rowOff>57150</xdr:rowOff>
    </xdr:to>
    <xdr:graphicFrame macro="">
      <xdr:nvGraphicFramePr>
        <xdr:cNvPr id="4" name="Chart 3">
          <a:extLst>
            <a:ext uri="{FF2B5EF4-FFF2-40B4-BE49-F238E27FC236}">
              <a16:creationId xmlns:a16="http://schemas.microsoft.com/office/drawing/2014/main" id="{FA557E21-025F-6321-980B-59FC0549699B}"/>
            </a:ext>
            <a:ext uri="{147F2762-F138-4A5C-976F-8EAC2B608ADB}">
              <a16:predDERef xmlns:a16="http://schemas.microsoft.com/office/drawing/2014/main" pred="{433B0AA5-E000-C738-5866-D00020D38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576261</xdr:colOff>
      <xdr:row>18</xdr:row>
      <xdr:rowOff>176211</xdr:rowOff>
    </xdr:from>
    <xdr:to>
      <xdr:col>36</xdr:col>
      <xdr:colOff>390524</xdr:colOff>
      <xdr:row>35</xdr:row>
      <xdr:rowOff>47624</xdr:rowOff>
    </xdr:to>
    <xdr:graphicFrame macro="">
      <xdr:nvGraphicFramePr>
        <xdr:cNvPr id="72" name="Chart 4">
          <a:extLst>
            <a:ext uri="{FF2B5EF4-FFF2-40B4-BE49-F238E27FC236}">
              <a16:creationId xmlns:a16="http://schemas.microsoft.com/office/drawing/2014/main" id="{C52AC021-AB76-5490-8FAD-151F828F56C9}"/>
            </a:ext>
            <a:ext uri="{147F2762-F138-4A5C-976F-8EAC2B608ADB}">
              <a16:predDERef xmlns:a16="http://schemas.microsoft.com/office/drawing/2014/main" pred="{FA557E21-025F-6321-980B-59FC05496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e Muchori" refreshedDate="45936.665421064812" createdVersion="8" refreshedVersion="8" minRefreshableVersion="3" recordCount="159" xr:uid="{B6460CD0-05E6-4683-A5CE-E8CFE81D5866}">
  <cacheSource type="worksheet">
    <worksheetSource name="tblSeverityAnalysis"/>
  </cacheSource>
  <cacheFields count="48">
    <cacheField name="ID" numFmtId="167">
      <sharedItems/>
    </cacheField>
    <cacheField name="Admin 1" numFmtId="0">
      <sharedItems count="11">
        <s v="Cabo Delgado"/>
        <s v="Gaza"/>
        <s v="Inhambane"/>
        <s v="Manica"/>
        <s v="Maputo"/>
        <s v="Maputo City"/>
        <s v="Nampula"/>
        <s v="Niassa"/>
        <s v="Sofala"/>
        <s v="Tete"/>
        <s v="Zambezia"/>
      </sharedItems>
    </cacheField>
    <cacheField name="Admin 1 P-Code" numFmtId="0">
      <sharedItems/>
    </cacheField>
    <cacheField name="Admin 2" numFmtId="0">
      <sharedItems count="159">
        <s v="Ancuabe"/>
        <s v="Balama"/>
        <s v="Chiure"/>
        <s v="Cidade De Pemba"/>
        <s v="Ibo"/>
        <s v="Macomia"/>
        <s v="Mecufi"/>
        <s v="Meluco"/>
        <s v="Metuge"/>
        <s v="Mocimboa Da Praia"/>
        <s v="Montepuez"/>
        <s v="Mueda"/>
        <s v="Muidumbe"/>
        <s v="Namuno"/>
        <s v="Nangade"/>
        <s v="Palma"/>
        <s v="Quissanga"/>
        <s v="Bilene"/>
        <s v="Chibuto"/>
        <s v="Chicualacuala"/>
        <s v="Chigubo"/>
        <s v="Chokwe"/>
        <s v="Chongoene"/>
        <s v="Cidade De Xai-Xai"/>
        <s v="Guija"/>
        <s v="Limpopo"/>
        <s v="Mabalane"/>
        <s v="Mandlakaze"/>
        <s v="Mapai"/>
        <s v="Massangena"/>
        <s v="Massingir"/>
        <s v="Cidade De Inhambane"/>
        <s v="Funhalouro"/>
        <s v="Govuro"/>
        <s v="Homoine"/>
        <s v="Inharrime"/>
        <s v="Inhassoro"/>
        <s v="Jangamo"/>
        <s v="Mabote"/>
        <s v="Massinga"/>
        <s v="Maxixe"/>
        <s v="Morrumbene"/>
        <s v="Panda"/>
        <s v="Vilankulo"/>
        <s v="Zavala"/>
        <s v="Barue"/>
        <s v="Cidade De Chimoio"/>
        <s v="Gondola"/>
        <s v="Guro"/>
        <s v="Macate"/>
        <s v="Machaze"/>
        <s v="Macossa"/>
        <s v="Manica"/>
        <s v="Mossurize"/>
        <s v="Sussundenga"/>
        <s v="Tambara"/>
        <s v="Vanduzi"/>
        <s v="Boane"/>
        <s v="Cidade Da Matola"/>
        <s v="Magude"/>
        <s v="Manhiça"/>
        <s v="Marracuene"/>
        <s v="Matutuine"/>
        <s v="Moamba"/>
        <s v="Namaacha"/>
        <s v="Cidade De Maputo"/>
        <s v="Angoche"/>
        <s v="Cidade De Nampula"/>
        <s v="Erati"/>
        <s v="Ilha De Moçambique"/>
        <s v="Lalaua"/>
        <s v="Larde"/>
        <s v="Liúpo"/>
        <s v="Malema"/>
        <s v="Meconta"/>
        <s v="Mecuburi"/>
        <s v="Memba"/>
        <s v="Mogincual"/>
        <s v="Mogovolas"/>
        <s v="Moma"/>
        <s v="Monapo"/>
        <s v="Mossuril"/>
        <s v="Muecate"/>
        <s v="Murrupula"/>
        <s v="Nacala"/>
        <s v="Nacala-A-Velha"/>
        <s v="Nacaroa"/>
        <s v="Rapale"/>
        <s v="Ribaue"/>
        <s v="Chimbonila"/>
        <s v="Cidade De Lichinga"/>
        <s v="Cuamba"/>
        <s v="Ilha Licom"/>
        <s v="Ilha Risunodo"/>
        <s v="Lago"/>
        <s v="Lago Niassa"/>
        <s v="Majune"/>
        <s v="Mandimba"/>
        <s v="Marrupa"/>
        <s v="Maua"/>
        <s v="Mavago"/>
        <s v="Mecanhelas"/>
        <s v="Mecula"/>
        <s v="Metarica"/>
        <s v="Muembe"/>
        <s v="Ngauma"/>
        <s v="Nipepe"/>
        <s v="Sanga"/>
        <s v="Buzi"/>
        <s v="Caia"/>
        <s v="Chemba"/>
        <s v="Cheringoma"/>
        <s v="Chibabava"/>
        <s v="Cidade Da Beira"/>
        <s v="Dondo"/>
        <s v="Gorongosa"/>
        <s v="Machanga"/>
        <s v="Maringue"/>
        <s v="Marromeu"/>
        <s v="Muanza"/>
        <s v="Nhamatanda"/>
        <s v="Angonia"/>
        <s v="Cahora Bassa"/>
        <s v="Changara"/>
        <s v="Chifunde"/>
        <s v="Chiuta"/>
        <s v="Cidade De Tete"/>
        <s v="Doa"/>
        <s v="Macanga"/>
        <s v="Magoe"/>
        <s v="Marara"/>
        <s v="Maravia"/>
        <s v="Moatize"/>
        <s v="Mutarara"/>
        <s v="Tsangano"/>
        <s v="Zumbu"/>
        <s v="Alto Molocue"/>
        <s v="Chinde"/>
        <s v="Cidade De Quelimane"/>
        <s v="Derre"/>
        <s v="Gile"/>
        <s v="Gurue"/>
        <s v="Ile"/>
        <s v="Inhassunge"/>
        <s v="Luabo"/>
        <s v="Lugela"/>
        <s v="Maganja Da Costa"/>
        <s v="Maquival"/>
        <s v="Milange"/>
        <s v="Mocuba"/>
        <s v="Mocubela"/>
        <s v="Molumbo"/>
        <s v="Mopeia"/>
        <s v="Morrumbala"/>
        <s v="Mulevala"/>
        <s v="Namacurra"/>
        <s v="Namarroi"/>
        <s v="Nicoadala"/>
        <s v="Pebane"/>
      </sharedItems>
    </cacheField>
    <cacheField name="Admin 2 P-Code" numFmtId="0">
      <sharedItems/>
    </cacheField>
    <cacheField name="Admin 3" numFmtId="0">
      <sharedItems containsNonDate="0" containsString="0" containsBlank="1"/>
    </cacheField>
    <cacheField name="Admin 3 P-Code" numFmtId="0">
      <sharedItems containsNonDate="0" containsString="0" containsBlank="1"/>
    </cacheField>
    <cacheField name="Pocket of need" numFmtId="0">
      <sharedItems containsNonDate="0" containsString="0" containsBlank="1"/>
    </cacheField>
    <cacheField name="Population" numFmtId="167">
      <sharedItems containsString="0" containsBlank="1" containsNumber="1" containsInteger="1" minValue="23875" maxValue="1384147"/>
    </cacheField>
    <cacheField name="Population Group" numFmtId="167">
      <sharedItems containsNonDate="0" containsString="0" containsBlank="1"/>
    </cacheField>
    <cacheField name="CCCM" numFmtId="167">
      <sharedItems containsString="0" containsBlank="1" containsNumber="1" containsInteger="1" minValue="0" maxValue="4" count="5">
        <n v="3"/>
        <n v="1"/>
        <n v="4"/>
        <n v="0"/>
        <m/>
      </sharedItems>
    </cacheField>
    <cacheField name="Education" numFmtId="167">
      <sharedItems containsString="0" containsBlank="1" containsNumber="1" containsInteger="1" minValue="2" maxValue="5" count="5">
        <n v="4"/>
        <n v="3"/>
        <n v="5"/>
        <n v="2"/>
        <m/>
      </sharedItems>
    </cacheField>
    <cacheField name="Nutrition" numFmtId="167">
      <sharedItems containsMixedTypes="1" containsNumber="1" containsInteger="1" minValue="1" maxValue="4" count="5">
        <n v="2"/>
        <n v="4"/>
        <s v="  "/>
        <n v="3"/>
        <n v="1"/>
      </sharedItems>
    </cacheField>
    <cacheField name="Food Security" numFmtId="167">
      <sharedItems containsString="0" containsBlank="1" containsNumber="1" containsInteger="1" minValue="2" maxValue="3"/>
    </cacheField>
    <cacheField name="Health" numFmtId="170">
      <sharedItems containsString="0" containsBlank="1" containsNumber="1" minValue="1" maxValue="3" count="5">
        <n v="1"/>
        <n v="3"/>
        <n v="2"/>
        <n v="1.5"/>
        <m/>
      </sharedItems>
    </cacheField>
    <cacheField name="Overarching Protection" numFmtId="167">
      <sharedItems containsSemiMixedTypes="0" containsString="0" containsNumber="1" containsInteger="1" minValue="0" maxValue="5"/>
    </cacheField>
    <cacheField name="Shelter" numFmtId="167">
      <sharedItems containsNonDate="0" containsString="0" containsBlank="1"/>
    </cacheField>
    <cacheField name="WASH" numFmtId="167">
      <sharedItems containsSemiMixedTypes="0" containsString="0" containsNumber="1" containsInteger="1" minValue="1" maxValue="4"/>
    </cacheField>
    <cacheField name="Child Protection (CP)" numFmtId="167">
      <sharedItems containsString="0" containsBlank="1" containsNumber="1" containsInteger="1" minValue="1" maxValue="5"/>
    </cacheField>
    <cacheField name="Gender-based Violence (GBV)" numFmtId="167">
      <sharedItems containsString="0" containsBlank="1" containsNumber="1" containsInteger="1" minValue="2" maxValue="4"/>
    </cacheField>
    <cacheField name="GP" numFmtId="167">
      <sharedItems containsString="0" containsBlank="1" containsNumber="1" containsInteger="1" minValue="2" maxValue="5"/>
    </cacheField>
    <cacheField name="HLP" numFmtId="167">
      <sharedItems containsString="0" containsBlank="1" containsNumber="1" containsInteger="1" minValue="1" maxValue="4"/>
    </cacheField>
    <cacheField name=" 1 " numFmtId="167">
      <sharedItems containsMixedTypes="1" containsNumber="1" containsInteger="1" minValue="1" maxValue="2"/>
    </cacheField>
    <cacheField name=" 2 " numFmtId="167">
      <sharedItems containsMixedTypes="1" containsNumber="1" containsInteger="1" minValue="1" maxValue="3"/>
    </cacheField>
    <cacheField name=" 3 " numFmtId="167">
      <sharedItems containsMixedTypes="1" containsNumber="1" containsInteger="1" minValue="1" maxValue="5"/>
    </cacheField>
    <cacheField name=" 4 " numFmtId="167">
      <sharedItems containsMixedTypes="1" containsNumber="1" containsInteger="1" minValue="1" maxValue="4"/>
    </cacheField>
    <cacheField name="5" numFmtId="0">
      <sharedItems containsMixedTypes="1" containsNumber="1" containsInteger="1" minValue="1" maxValue="2"/>
    </cacheField>
    <cacheField name="Preliminary Intersectoral Severity based on overlap of sectoral deprivations" numFmtId="167">
      <sharedItems containsSemiMixedTypes="0" containsString="0" containsNumber="1" containsInteger="1" minValue="1" maxValue="4"/>
    </cacheField>
    <cacheField name="Mortality" numFmtId="167">
      <sharedItems/>
    </cacheField>
    <cacheField name="Malnutrition" numFmtId="167">
      <sharedItems containsMixedTypes="1" containsNumber="1" containsInteger="1" minValue="2" maxValue="4"/>
    </cacheField>
    <cacheField name="Epidemics" numFmtId="167">
      <sharedItems containsMixedTypes="1" containsNumber="1" minValue="1" maxValue="4"/>
    </cacheField>
    <cacheField name="Livelihood Coping" numFmtId="167">
      <sharedItems containsMixedTypes="1" containsNumber="1" containsInteger="1" minValue="1" maxValue="4"/>
    </cacheField>
    <cacheField name="HR/IHL Violation" numFmtId="167">
      <sharedItems/>
    </cacheField>
    <cacheField name="Average severity" numFmtId="165">
      <sharedItems containsSemiMixedTypes="0" containsString="0" containsNumber="1" minValue="0.5" maxValue="3.5714285714285716"/>
    </cacheField>
    <cacheField name="Highest Severity" numFmtId="167">
      <sharedItems containsSemiMixedTypes="0" containsString="0" containsNumber="1" containsInteger="1" minValue="1" maxValue="5"/>
    </cacheField>
    <cacheField name="Sectors with Highest Severity" numFmtId="166">
      <sharedItems/>
    </cacheField>
    <cacheField name="2nd Highest Severity" numFmtId="167">
      <sharedItems containsSemiMixedTypes="0" containsString="0" containsNumber="1" minValue="0" maxValue="4"/>
    </cacheField>
    <cacheField name="Sectors with 2nd Highest Severity" numFmtId="9">
      <sharedItems/>
    </cacheField>
    <cacheField name="1 sector in severity phase 5 [modify the threshold]" numFmtId="1">
      <sharedItems/>
    </cacheField>
    <cacheField name="More than 4 Sectors in 4 or worse while Preliminary is 4 " numFmtId="9">
      <sharedItems/>
    </cacheField>
    <cacheField name="2+ phase variation between preliminary severity and severity of any of the outcome indicators" numFmtId="9">
      <sharedItems/>
    </cacheField>
    <cacheField name="1+ phase variation between preliminary severity and severity of at least two of the outcome indicators - in the same direction" numFmtId="9">
      <sharedItems/>
    </cacheField>
    <cacheField name="Manual Flag" numFmtId="166">
      <sharedItems containsNonDate="0" containsString="0" containsBlank="1"/>
    </cacheField>
    <cacheField name="Severity indicated by sub-national level" numFmtId="0">
      <sharedItems containsNonDate="0" containsString="0" containsBlank="1"/>
    </cacheField>
    <cacheField name="Explanation for Manual Flag" numFmtId="166">
      <sharedItems containsNonDate="0" containsString="0" containsBlank="1"/>
    </cacheField>
    <cacheField name="# Flags" numFmtId="166">
      <sharedItems containsSemiMixedTypes="0" containsString="0" containsNumber="1" containsInteger="1" minValue="0" maxValue="3"/>
    </cacheField>
    <cacheField name="Final Severity" numFmtId="166">
      <sharedItems containsSemiMixedTypes="0" containsString="0" containsNumber="1" containsInteger="1" minValue="1" maxValue="4"/>
    </cacheField>
    <cacheField name="Evidence &amp; Comments" numFmtId="166">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Florence Muchori" refreshedDate="45938.883597916669" createdVersion="8" refreshedVersion="8" minRefreshableVersion="3" recordCount="60" xr:uid="{A5A533B2-E93D-4B24-B860-E3B2044FF8CA}">
  <cacheSource type="worksheet">
    <worksheetSource ref="B3:BN63" sheet="WS - 3.1 Overall PiN"/>
  </cacheSource>
  <cacheFields count="65">
    <cacheField name="Admin 1" numFmtId="0">
      <sharedItems count="3">
        <s v="Cabo Delgado"/>
        <s v="Nampula"/>
        <s v="Niassa"/>
      </sharedItems>
    </cacheField>
    <cacheField name="Admin 1 P-Code" numFmtId="0">
      <sharedItems/>
    </cacheField>
    <cacheField name="Admin 2" numFmtId="0">
      <sharedItems count="20">
        <s v="Ancuabe"/>
        <s v="Balama"/>
        <s v="Chiure"/>
        <s v="Cidade De Pemba"/>
        <s v="Ibo"/>
        <s v="Macomia"/>
        <s v="Mecufi"/>
        <s v="Meluco"/>
        <s v="Metuge"/>
        <s v="Mocimboa Da Praia"/>
        <s v="Montepuez"/>
        <s v="Mueda"/>
        <s v="Muidumbe"/>
        <s v="Namuno"/>
        <s v="Nangade"/>
        <s v="Palma"/>
        <s v="Quissanga"/>
        <s v="Erati"/>
        <s v="Memba"/>
        <s v="Mecula"/>
      </sharedItems>
    </cacheField>
    <cacheField name="Admin 2 P-Code" numFmtId="0">
      <sharedItems/>
    </cacheField>
    <cacheField name="Admin 3" numFmtId="0">
      <sharedItems containsNonDate="0" containsString="0" containsBlank="1"/>
    </cacheField>
    <cacheField name="Admin 3 P-Code" numFmtId="0">
      <sharedItems containsNonDate="0" containsString="0" containsBlank="1"/>
    </cacheField>
    <cacheField name="Pocket of need" numFmtId="0">
      <sharedItems containsNonDate="0" containsString="0" containsBlank="1"/>
    </cacheField>
    <cacheField name="Population" numFmtId="167">
      <sharedItems containsString="0" containsBlank="1" containsNumber="1" containsInteger="1" minValue="1165" maxValue="492955"/>
    </cacheField>
    <cacheField name="Population Group" numFmtId="167">
      <sharedItems count="3">
        <s v="IDPs"/>
        <s v="Returnees"/>
        <s v="Non-Displaced"/>
      </sharedItems>
    </cacheField>
    <cacheField name="CCCM" numFmtId="167">
      <sharedItems containsString="0" containsBlank="1" containsNumber="1" minValue="0" maxValue="60466"/>
    </cacheField>
    <cacheField name="Education" numFmtId="167">
      <sharedItems containsString="0" containsBlank="1" containsNumber="1" containsInteger="1" minValue="38" maxValue="73780"/>
    </cacheField>
    <cacheField name="Nutrition" numFmtId="167">
      <sharedItems containsString="0" containsBlank="1" containsNumber="1" minValue="119.9" maxValue="51093"/>
    </cacheField>
    <cacheField name="Food Security" numFmtId="167">
      <sharedItems containsString="0" containsBlank="1" containsNumber="1" minValue="1165" maxValue="106444"/>
    </cacheField>
    <cacheField name="Health" numFmtId="167">
      <sharedItems containsString="0" containsBlank="1" containsNumber="1" minValue="0.36826476363810529" maxValue="131128.77897894711"/>
    </cacheField>
    <cacheField name="Overarching Protection" numFmtId="167">
      <sharedItems containsString="0" containsBlank="1" containsNumber="1" containsInteger="1" minValue="220" maxValue="128075"/>
    </cacheField>
    <cacheField name="Shelter" numFmtId="167">
      <sharedItems containsString="0" containsBlank="1" containsNumber="1" minValue="0" maxValue="61107"/>
    </cacheField>
    <cacheField name="WASH" numFmtId="167">
      <sharedItems containsString="0" containsBlank="1" containsNumber="1" containsInteger="1" minValue="0" maxValue="81317"/>
    </cacheField>
    <cacheField name="CP" numFmtId="167">
      <sharedItems containsString="0" containsBlank="1" containsNumber="1" containsInteger="1" minValue="0" maxValue="58760"/>
    </cacheField>
    <cacheField name="GBV" numFmtId="167">
      <sharedItems containsString="0" containsBlank="1" containsNumber="1" containsInteger="1" minValue="129" maxValue="64924"/>
    </cacheField>
    <cacheField name="GP" numFmtId="167">
      <sharedItems containsString="0" containsBlank="1" containsNumber="1" containsInteger="1" minValue="0" maxValue="128075"/>
    </cacheField>
    <cacheField name="HLP" numFmtId="167">
      <sharedItems containsString="0" containsBlank="1" containsNumber="1" containsInteger="1" minValue="0" maxValue="28920"/>
    </cacheField>
    <cacheField name="CCCM%" numFmtId="9">
      <sharedItems containsMixedTypes="1" containsNumber="1" minValue="0" maxValue="1"/>
    </cacheField>
    <cacheField name="Education%" numFmtId="9">
      <sharedItems containsMixedTypes="1" containsNumber="1" minValue="0.05" maxValue="0.30000000000000004"/>
    </cacheField>
    <cacheField name="Nutrition%" numFmtId="9">
      <sharedItems containsMixedTypes="1" containsNumber="1" minValue="0.1" maxValue="0.25"/>
    </cacheField>
    <cacheField name="Food Security%" numFmtId="9">
      <sharedItems containsMixedTypes="1" containsNumber="1" minValue="0.05" maxValue="1"/>
    </cacheField>
    <cacheField name="Health%" numFmtId="9">
      <sharedItems containsMixedTypes="1" containsNumber="1" minValue="0" maxValue="0.8"/>
    </cacheField>
    <cacheField name="Overarching Protection%" numFmtId="9">
      <sharedItems containsMixedTypes="1" containsNumber="1" minValue="0.1" maxValue="1"/>
    </cacheField>
    <cacheField name="Shelter%" numFmtId="9">
      <sharedItems containsMixedTypes="1" containsNumber="1" minValue="0" maxValue="0.8"/>
    </cacheField>
    <cacheField name="WASH%" numFmtId="9">
      <sharedItems containsMixedTypes="1" containsNumber="1" minValue="0" maxValue="1"/>
    </cacheField>
    <cacheField name="Child Protection (CP)%" numFmtId="9">
      <sharedItems containsMixedTypes="1" containsNumber="1" minValue="0" maxValue="1"/>
    </cacheField>
    <cacheField name="Gender-based Violence (GBV)%" numFmtId="9">
      <sharedItems containsMixedTypes="1" containsNumber="1" minValue="0.05" maxValue="0.8"/>
    </cacheField>
    <cacheField name="GP%" numFmtId="9">
      <sharedItems containsMixedTypes="1" containsNumber="1" minValue="0" maxValue="0.75"/>
    </cacheField>
    <cacheField name="HLP%" numFmtId="9">
      <sharedItems containsMixedTypes="1" containsNumber="1" minValue="0" maxValue="0.4"/>
    </cacheField>
    <cacheField name="Highest PiN" numFmtId="166">
      <sharedItems containsMixedTypes="1" containsNumber="1" minValue="1165" maxValue="131128.77897894711"/>
    </cacheField>
    <cacheField name="Highest sector(s)" numFmtId="166">
      <sharedItems/>
    </cacheField>
    <cacheField name="Highest sector(s') PiN %" numFmtId="9">
      <sharedItems containsMixedTypes="1" containsNumber="1" minValue="0.11970456317768428" maxValue="1"/>
    </cacheField>
    <cacheField name="Number of missing / zero PiNs greater than threshold - Data quality" numFmtId="10">
      <sharedItems/>
    </cacheField>
    <cacheField name="Highest PiN greater than 90% of total affected population" numFmtId="9">
      <sharedItems/>
    </cacheField>
    <cacheField name="Highest sector targets sub-population group(s)" numFmtId="9">
      <sharedItems/>
    </cacheField>
    <cacheField name="2nd Highest PiN" numFmtId="167">
      <sharedItems containsMixedTypes="1" containsNumber="1" minValue="536" maxValue="128075"/>
    </cacheField>
    <cacheField name="2nd Highest sector(s)" numFmtId="166">
      <sharedItems/>
    </cacheField>
    <cacheField name="2nd Highest sector PiN %" numFmtId="9">
      <sharedItems containsMixedTypes="1" containsNumber="1" minValue="0.10975567354926513" maxValue="0.97777308855595413"/>
    </cacheField>
    <cacheField name="Difference of PiN between Highest and 2nd Highest" numFmtId="167">
      <sharedItems containsMixedTypes="1" containsNumber="1" minValue="117" maxValue="47743"/>
    </cacheField>
    <cacheField name="% Difference between Highest and 2nd Highest" numFmtId="9">
      <sharedItems containsMixedTypes="1" containsNumber="1" minValue="2.2732177541184086E-2" maxValue="3.9999999999999996"/>
    </cacheField>
    <cacheField name="% difference is over a specified threshold between Highest and 2nd Highest" numFmtId="9">
      <sharedItems/>
    </cacheField>
    <cacheField name="3rd Highest PiN" numFmtId="167">
      <sharedItems containsMixedTypes="1" containsNumber="1" minValue="226" maxValue="81317"/>
    </cacheField>
    <cacheField name="3rd Highest sector(s)" numFmtId="9">
      <sharedItems/>
    </cacheField>
    <cacheField name="3rd Highest sector PiN %" numFmtId="9">
      <sharedItems containsMixedTypes="1" containsNumber="1" minValue="8.8094611307859269E-2" maxValue="0.80070015667841754"/>
    </cacheField>
    <cacheField name="Difference of PiN between Highest and 3rd Highest" numFmtId="167">
      <sharedItems containsMixedTypes="1" containsNumber="1" minValue="734" maxValue="55800"/>
    </cacheField>
    <cacheField name="% Difference between Highest and 3rd Highest" numFmtId="9">
      <sharedItems containsMixedTypes="1" containsNumber="1" minValue="8.0428954423592491E-2" maxValue="5.2666878575969482"/>
    </cacheField>
    <cacheField name="% difference is over a specified threshold between Highest and 3rd Highest" numFmtId="9">
      <sharedItems/>
    </cacheField>
    <cacheField name="Change from last year for the highest sector(s)" numFmtId="9">
      <sharedItems containsMixedTypes="1" containsNumber="1" minValue="-1" maxValue="15.7"/>
    </cacheField>
    <cacheField name="Change from last year for the highest sector(s) has significantly increased or decreased" numFmtId="167">
      <sharedItems/>
    </cacheField>
    <cacheField name="Change from last year for the 2nd highest sector(s)" numFmtId="167">
      <sharedItems containsMixedTypes="1" containsNumber="1" minValue="-0.7" maxValue="3"/>
    </cacheField>
    <cacheField name="Change from last year for the 2nd highest sector(s) has significantly increased or decreased" numFmtId="9">
      <sharedItems/>
    </cacheField>
    <cacheField name="Severity" numFmtId="1">
      <sharedItems containsSemiMixedTypes="0" containsString="0" containsNumber="1" containsInteger="1" minValue="3" maxValue="4"/>
    </cacheField>
    <cacheField name="Preliminary PiN" numFmtId="167">
      <sharedItems containsMixedTypes="1" containsNumber="1" minValue="1165" maxValue="131128.77897894711"/>
    </cacheField>
    <cacheField name="Manual Flag" numFmtId="9">
      <sharedItems containsNonDate="0" containsString="0" containsBlank="1"/>
    </cacheField>
    <cacheField name="Explanation for Manual Flag" numFmtId="9">
      <sharedItems containsNonDate="0" containsString="0" containsBlank="1"/>
    </cacheField>
    <cacheField name="# Flags" numFmtId="167">
      <sharedItems containsSemiMixedTypes="0" containsString="0" containsNumber="1" containsInteger="1" minValue="0" maxValue="5"/>
    </cacheField>
    <cacheField name="Flagged" numFmtId="166">
      <sharedItems/>
    </cacheField>
    <cacheField name="Final PiN" numFmtId="166">
      <sharedItems containsMixedTypes="1" containsNumber="1" minValue="1165" maxValue="131128.77897894711"/>
    </cacheField>
    <cacheField name="Evidence &amp; Comments" numFmtId="166">
      <sharedItems containsBlank="1"/>
    </cacheField>
    <cacheField name="People targeted" numFmtId="166">
      <sharedItems containsSemiMixedTypes="0" containsString="0" containsNumber="1" minValue="0" maxValue="71603"/>
    </cacheField>
    <cacheField name="People prioritized" numFmtId="166">
      <sharedItems containsSemiMixedTypes="0" containsString="0" containsNumber="1" containsInteger="1" minValue="0" maxValue="71603"/>
    </cacheField>
  </cacheFields>
  <extLst>
    <ext xmlns:x14="http://schemas.microsoft.com/office/spreadsheetml/2009/9/main" uri="{725AE2AE-9491-48be-B2B4-4EB974FC3084}">
      <x14:pivotCacheDefinition pivotCacheId="1368020430"/>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A5A533B2-E93D-4B24-B860-E3B2044FF8CA}" pivotIgnoreInvalidCache="1" r:id="r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s v="MZ0101"/>
    <x v="0"/>
    <s v="MZ01"/>
    <x v="0"/>
    <s v="MZ0101"/>
    <m/>
    <m/>
    <m/>
    <n v="193878"/>
    <m/>
    <x v="0"/>
    <x v="0"/>
    <x v="0"/>
    <n v="3"/>
    <x v="0"/>
    <n v="4"/>
    <m/>
    <n v="3"/>
    <n v="4"/>
    <n v="2"/>
    <n v="4"/>
    <n v="3"/>
    <n v="1"/>
    <n v="1"/>
    <n v="3"/>
    <n v="2"/>
    <s v=""/>
    <n v="3"/>
    <s v=""/>
    <n v="2"/>
    <n v="2.2352941176470589"/>
    <n v="3"/>
    <s v=""/>
    <n v="2.8571428571428572"/>
    <n v="4"/>
    <s v="Education_x000a_Overarching Protection"/>
    <n v="3"/>
    <s v="CCCM_x000a_Food Security_x000a_WASH"/>
    <s v=""/>
    <s v=""/>
    <s v=""/>
    <s v=""/>
    <m/>
    <m/>
    <m/>
    <n v="0"/>
    <n v="3"/>
    <m/>
  </r>
  <r>
    <s v="MZ0102"/>
    <x v="0"/>
    <s v="MZ01"/>
    <x v="1"/>
    <s v="MZ0102"/>
    <m/>
    <m/>
    <m/>
    <n v="182448"/>
    <m/>
    <x v="0"/>
    <x v="0"/>
    <x v="0"/>
    <n v="3"/>
    <x v="0"/>
    <n v="3"/>
    <m/>
    <n v="3"/>
    <n v="1"/>
    <n v="3"/>
    <n v="2"/>
    <n v="2"/>
    <n v="1"/>
    <n v="1"/>
    <n v="4"/>
    <n v="1"/>
    <s v=""/>
    <n v="3"/>
    <s v=""/>
    <n v="2"/>
    <n v="1.8235294117647056"/>
    <n v="3"/>
    <s v=""/>
    <n v="2.7142857142857144"/>
    <n v="4"/>
    <s v="Education"/>
    <n v="3"/>
    <s v="CCCM_x000a_Food Security_x000a_Overarching Protection_x000a_WASH"/>
    <s v=""/>
    <s v=""/>
    <s v=""/>
    <s v="Flagged"/>
    <m/>
    <m/>
    <m/>
    <n v="1"/>
    <n v="3"/>
    <m/>
  </r>
  <r>
    <s v="MZ0103"/>
    <x v="0"/>
    <s v="MZ01"/>
    <x v="2"/>
    <s v="MZ0103"/>
    <m/>
    <m/>
    <m/>
    <n v="316049"/>
    <m/>
    <x v="0"/>
    <x v="0"/>
    <x v="0"/>
    <n v="3"/>
    <x v="0"/>
    <n v="4"/>
    <m/>
    <n v="3"/>
    <n v="4"/>
    <n v="3"/>
    <n v="4"/>
    <n v="3"/>
    <n v="1"/>
    <n v="1"/>
    <n v="3"/>
    <n v="2"/>
    <s v=""/>
    <n v="3"/>
    <s v=""/>
    <n v="2"/>
    <n v="2"/>
    <n v="1"/>
    <s v=""/>
    <n v="2.8571428571428572"/>
    <n v="4"/>
    <s v="Education_x000a_Overarching Protection"/>
    <n v="3"/>
    <s v="CCCM_x000a_Food Security_x000a_WASH"/>
    <s v=""/>
    <s v=""/>
    <s v="Flagged"/>
    <s v="Flagged"/>
    <m/>
    <m/>
    <m/>
    <n v="2"/>
    <n v="3"/>
    <m/>
  </r>
  <r>
    <s v="MZ0104"/>
    <x v="0"/>
    <s v="MZ01"/>
    <x v="3"/>
    <s v="MZ0104"/>
    <m/>
    <m/>
    <m/>
    <n v="286814"/>
    <m/>
    <x v="1"/>
    <x v="1"/>
    <x v="0"/>
    <n v="2"/>
    <x v="0"/>
    <n v="3"/>
    <m/>
    <n v="3"/>
    <n v="2"/>
    <n v="2"/>
    <n v="2"/>
    <n v="3"/>
    <n v="2"/>
    <n v="2"/>
    <n v="3"/>
    <s v=""/>
    <s v=""/>
    <n v="2"/>
    <s v=""/>
    <n v="2"/>
    <n v="2.8235294117647061"/>
    <n v="2"/>
    <s v=""/>
    <n v="2.1428571428571428"/>
    <n v="3"/>
    <s v="Education_x000a_Overarching Protection_x000a_WASH"/>
    <n v="2"/>
    <s v="Nutrition_x000a_Food Security"/>
    <s v=""/>
    <s v=""/>
    <s v=""/>
    <s v=""/>
    <m/>
    <m/>
    <m/>
    <n v="0"/>
    <n v="2"/>
    <m/>
  </r>
  <r>
    <s v="MZ0105"/>
    <x v="0"/>
    <s v="MZ01"/>
    <x v="4"/>
    <s v="MZ0105"/>
    <m/>
    <m/>
    <m/>
    <n v="33798"/>
    <m/>
    <x v="0"/>
    <x v="1"/>
    <x v="0"/>
    <n v="3"/>
    <x v="1"/>
    <n v="4"/>
    <m/>
    <n v="3"/>
    <n v="4"/>
    <n v="4"/>
    <n v="4"/>
    <n v="3"/>
    <s v=""/>
    <n v="1"/>
    <n v="5"/>
    <n v="1"/>
    <s v=""/>
    <n v="3"/>
    <s v=""/>
    <n v="2"/>
    <n v="2.6470588235294117"/>
    <n v="3"/>
    <s v=""/>
    <n v="3"/>
    <n v="4"/>
    <s v="Overarching Protection"/>
    <n v="3"/>
    <s v="CCCM_x000a_Education_x000a_Food Security_x000a_Health_x000a_WASH"/>
    <s v=""/>
    <s v=""/>
    <s v=""/>
    <s v=""/>
    <m/>
    <m/>
    <m/>
    <n v="0"/>
    <n v="3"/>
    <m/>
  </r>
  <r>
    <s v="MZ0106"/>
    <x v="0"/>
    <s v="MZ01"/>
    <x v="5"/>
    <s v="MZ0106"/>
    <m/>
    <m/>
    <m/>
    <n v="209241"/>
    <m/>
    <x v="2"/>
    <x v="0"/>
    <x v="0"/>
    <n v="3"/>
    <x v="1"/>
    <n v="5"/>
    <m/>
    <n v="4"/>
    <n v="5"/>
    <n v="4"/>
    <n v="5"/>
    <n v="4"/>
    <s v=""/>
    <n v="1"/>
    <n v="2"/>
    <n v="3"/>
    <n v="1"/>
    <n v="4"/>
    <s v=""/>
    <n v="2"/>
    <n v="4"/>
    <n v="3"/>
    <s v=""/>
    <n v="3.5714285714285716"/>
    <n v="5"/>
    <s v="Overarching Protection"/>
    <n v="4"/>
    <s v="CCCM_x000a_Education_x000a_WASH"/>
    <s v="Flagged"/>
    <s v=""/>
    <s v="Flagged"/>
    <s v="Flagged"/>
    <m/>
    <m/>
    <m/>
    <n v="3"/>
    <n v="4"/>
    <m/>
  </r>
  <r>
    <s v="MZ0107"/>
    <x v="0"/>
    <s v="MZ01"/>
    <x v="6"/>
    <s v="MZ0107"/>
    <m/>
    <m/>
    <m/>
    <n v="63528"/>
    <m/>
    <x v="1"/>
    <x v="1"/>
    <x v="0"/>
    <n v="3"/>
    <x v="0"/>
    <n v="2"/>
    <m/>
    <n v="3"/>
    <n v="2"/>
    <n v="2"/>
    <n v="2"/>
    <n v="2"/>
    <n v="2"/>
    <n v="2"/>
    <n v="3"/>
    <s v=""/>
    <s v=""/>
    <n v="2"/>
    <s v=""/>
    <n v="2"/>
    <n v="1.8235294117647056"/>
    <n v="3"/>
    <s v=""/>
    <n v="2.1428571428571428"/>
    <n v="3"/>
    <s v="Education_x000a_Food Security_x000a_WASH"/>
    <n v="2"/>
    <s v="Nutrition_x000a_Overarching Protection"/>
    <s v=""/>
    <s v=""/>
    <s v=""/>
    <s v=""/>
    <m/>
    <m/>
    <m/>
    <n v="0"/>
    <n v="2"/>
    <m/>
  </r>
  <r>
    <s v="MZ0108"/>
    <x v="0"/>
    <s v="MZ01"/>
    <x v="7"/>
    <s v="MZ0108"/>
    <m/>
    <m/>
    <m/>
    <n v="43796"/>
    <m/>
    <x v="3"/>
    <x v="1"/>
    <x v="0"/>
    <n v="3"/>
    <x v="0"/>
    <n v="4"/>
    <m/>
    <n v="4"/>
    <n v="4"/>
    <n v="3"/>
    <n v="4"/>
    <n v="2"/>
    <n v="1"/>
    <n v="1"/>
    <n v="2"/>
    <n v="2"/>
    <s v=""/>
    <n v="3"/>
    <s v=""/>
    <n v="2"/>
    <n v="3.2352941176470589"/>
    <n v="3"/>
    <s v=""/>
    <n v="2.4285714285714284"/>
    <n v="4"/>
    <s v="Overarching Protection_x000a_WASH"/>
    <n v="3"/>
    <s v="Education_x000a_Food Security"/>
    <s v=""/>
    <s v=""/>
    <s v=""/>
    <s v=""/>
    <m/>
    <m/>
    <m/>
    <n v="0"/>
    <n v="3"/>
    <m/>
  </r>
  <r>
    <s v="MZ0109"/>
    <x v="0"/>
    <s v="MZ01"/>
    <x v="8"/>
    <s v="MZ0109"/>
    <m/>
    <m/>
    <m/>
    <n v="150029"/>
    <m/>
    <x v="0"/>
    <x v="1"/>
    <x v="0"/>
    <n v="3"/>
    <x v="0"/>
    <n v="4"/>
    <m/>
    <n v="3"/>
    <n v="3"/>
    <n v="3"/>
    <n v="3"/>
    <n v="4"/>
    <n v="1"/>
    <n v="1"/>
    <n v="4"/>
    <n v="1"/>
    <s v=""/>
    <n v="3"/>
    <s v=""/>
    <n v="2"/>
    <n v="2.6470588235294117"/>
    <n v="3"/>
    <s v=""/>
    <n v="2.7142857142857144"/>
    <n v="4"/>
    <s v="Overarching Protection"/>
    <n v="3"/>
    <s v="CCCM_x000a_Education_x000a_Food Security_x000a_WASH"/>
    <s v=""/>
    <s v=""/>
    <s v=""/>
    <s v=""/>
    <m/>
    <m/>
    <m/>
    <n v="0"/>
    <n v="3"/>
    <m/>
  </r>
  <r>
    <s v="MZ0110"/>
    <x v="0"/>
    <s v="MZ01"/>
    <x v="9"/>
    <s v="MZ0110"/>
    <m/>
    <m/>
    <m/>
    <n v="314265"/>
    <m/>
    <x v="2"/>
    <x v="2"/>
    <x v="0"/>
    <n v="3"/>
    <x v="1"/>
    <n v="5"/>
    <m/>
    <n v="3"/>
    <n v="5"/>
    <n v="4"/>
    <n v="5"/>
    <n v="4"/>
    <s v=""/>
    <n v="1"/>
    <n v="3"/>
    <n v="1"/>
    <n v="2"/>
    <n v="3"/>
    <s v=""/>
    <n v="2"/>
    <n v="2.6470588235294117"/>
    <n v="2"/>
    <s v=""/>
    <n v="3.5714285714285716"/>
    <n v="5"/>
    <s v="Education_x000a_Overarching Protection"/>
    <n v="4"/>
    <s v="CCCM"/>
    <s v="Flagged"/>
    <s v=""/>
    <s v=""/>
    <s v="Flagged"/>
    <m/>
    <m/>
    <m/>
    <n v="2"/>
    <n v="3"/>
    <m/>
  </r>
  <r>
    <s v="MZ0111"/>
    <x v="0"/>
    <s v="MZ01"/>
    <x v="10"/>
    <s v="MZ0111"/>
    <m/>
    <m/>
    <m/>
    <n v="304525"/>
    <m/>
    <x v="1"/>
    <x v="1"/>
    <x v="0"/>
    <n v="2"/>
    <x v="0"/>
    <n v="3"/>
    <m/>
    <n v="3"/>
    <n v="3"/>
    <n v="3"/>
    <n v="3"/>
    <n v="3"/>
    <n v="2"/>
    <n v="2"/>
    <n v="3"/>
    <s v=""/>
    <s v=""/>
    <n v="2"/>
    <s v=""/>
    <n v="2"/>
    <n v="1.8235294117647056"/>
    <n v="3"/>
    <s v=""/>
    <n v="2.1428571428571428"/>
    <n v="3"/>
    <s v="Education_x000a_Overarching Protection_x000a_WASH"/>
    <n v="2"/>
    <s v="Nutrition_x000a_Food Security"/>
    <s v=""/>
    <s v=""/>
    <s v=""/>
    <s v=""/>
    <m/>
    <m/>
    <m/>
    <n v="0"/>
    <n v="2"/>
    <m/>
  </r>
  <r>
    <s v="MZ0112"/>
    <x v="0"/>
    <s v="MZ01"/>
    <x v="11"/>
    <s v="MZ0112"/>
    <m/>
    <m/>
    <m/>
    <n v="225863"/>
    <m/>
    <x v="0"/>
    <x v="0"/>
    <x v="0"/>
    <n v="3"/>
    <x v="0"/>
    <n v="4"/>
    <m/>
    <n v="4"/>
    <n v="3"/>
    <n v="3"/>
    <n v="4"/>
    <n v="3"/>
    <n v="1"/>
    <n v="1"/>
    <n v="2"/>
    <n v="3"/>
    <s v=""/>
    <n v="3"/>
    <s v=""/>
    <n v="2"/>
    <n v="2.2352941176470589"/>
    <n v="3"/>
    <s v=""/>
    <n v="3"/>
    <n v="4"/>
    <s v="Education_x000a_Overarching Protection_x000a_WASH"/>
    <n v="3"/>
    <s v="CCCM_x000a_Food Security"/>
    <s v=""/>
    <s v=""/>
    <s v=""/>
    <s v=""/>
    <m/>
    <m/>
    <m/>
    <n v="0"/>
    <n v="3"/>
    <m/>
  </r>
  <r>
    <s v="MZ0113"/>
    <x v="0"/>
    <s v="MZ01"/>
    <x v="12"/>
    <s v="MZ0113"/>
    <m/>
    <m/>
    <m/>
    <n v="84885"/>
    <m/>
    <x v="2"/>
    <x v="0"/>
    <x v="0"/>
    <n v="3"/>
    <x v="0"/>
    <n v="4"/>
    <m/>
    <n v="4"/>
    <n v="4"/>
    <n v="4"/>
    <n v="4"/>
    <n v="2"/>
    <n v="1"/>
    <n v="1"/>
    <n v="1"/>
    <n v="4"/>
    <s v=""/>
    <n v="4"/>
    <s v=""/>
    <n v="2"/>
    <n v="2.4117647058823528"/>
    <n v="3"/>
    <s v=""/>
    <n v="3.1428571428571428"/>
    <n v="4"/>
    <s v="CCCM_x000a_Education_x000a_Overarching Protection_x000a_WASH"/>
    <n v="3"/>
    <s v="Food Security"/>
    <s v=""/>
    <s v=""/>
    <s v="Flagged"/>
    <s v="Flagged"/>
    <m/>
    <m/>
    <m/>
    <n v="2"/>
    <n v="4"/>
    <m/>
  </r>
  <r>
    <s v="MZ0114"/>
    <x v="0"/>
    <s v="MZ01"/>
    <x v="13"/>
    <s v="MZ0114"/>
    <m/>
    <m/>
    <m/>
    <n v="244898"/>
    <m/>
    <x v="0"/>
    <x v="3"/>
    <x v="0"/>
    <n v="3"/>
    <x v="0"/>
    <n v="3"/>
    <m/>
    <n v="3"/>
    <n v="1"/>
    <n v="2"/>
    <n v="3"/>
    <n v="2"/>
    <n v="1"/>
    <n v="2"/>
    <n v="4"/>
    <s v=""/>
    <s v=""/>
    <n v="3"/>
    <s v=""/>
    <n v="2"/>
    <n v="1"/>
    <n v="3"/>
    <s v=""/>
    <n v="2.4285714285714284"/>
    <n v="3"/>
    <s v="CCCM_x000a_Food Security_x000a_Overarching Protection_x000a_WASH"/>
    <n v="2"/>
    <s v="Education_x000a_Nutrition"/>
    <s v=""/>
    <s v=""/>
    <s v="Flagged"/>
    <s v="Flagged"/>
    <m/>
    <m/>
    <m/>
    <n v="2"/>
    <n v="3"/>
    <m/>
  </r>
  <r>
    <s v="MZ0115"/>
    <x v="0"/>
    <s v="MZ01"/>
    <x v="14"/>
    <s v="MZ0115"/>
    <m/>
    <m/>
    <m/>
    <n v="95974"/>
    <m/>
    <x v="2"/>
    <x v="0"/>
    <x v="0"/>
    <n v="3"/>
    <x v="2"/>
    <n v="4"/>
    <m/>
    <n v="4"/>
    <n v="4"/>
    <n v="3"/>
    <n v="4"/>
    <n v="3"/>
    <s v=""/>
    <n v="2"/>
    <n v="1"/>
    <n v="4"/>
    <s v=""/>
    <n v="4"/>
    <s v=""/>
    <n v="2"/>
    <n v="1.8235294117647056"/>
    <n v="4"/>
    <s v=""/>
    <n v="3.2857142857142856"/>
    <n v="4"/>
    <s v="CCCM_x000a_Education_x000a_Overarching Protection_x000a_WASH"/>
    <n v="3"/>
    <s v="Food Security"/>
    <s v=""/>
    <s v=""/>
    <s v="Flagged"/>
    <s v="Flagged"/>
    <m/>
    <m/>
    <m/>
    <n v="2"/>
    <n v="4"/>
    <m/>
  </r>
  <r>
    <s v="MZ0116"/>
    <x v="0"/>
    <s v="MZ01"/>
    <x v="15"/>
    <s v="MZ0116"/>
    <m/>
    <m/>
    <m/>
    <n v="191317"/>
    <m/>
    <x v="0"/>
    <x v="1"/>
    <x v="1"/>
    <n v="3"/>
    <x v="0"/>
    <n v="4"/>
    <m/>
    <n v="3"/>
    <n v="4"/>
    <n v="3"/>
    <n v="3"/>
    <n v="3"/>
    <n v="1"/>
    <s v=""/>
    <n v="4"/>
    <n v="2"/>
    <s v=""/>
    <n v="3"/>
    <s v=""/>
    <n v="4"/>
    <n v="2.6470588235294117"/>
    <n v="3"/>
    <s v=""/>
    <n v="3"/>
    <n v="4"/>
    <s v="Nutrition_x000a_Overarching Protection"/>
    <n v="3"/>
    <s v="CCCM_x000a_Education_x000a_Food Security_x000a_WASH"/>
    <s v=""/>
    <s v=""/>
    <s v=""/>
    <s v=""/>
    <m/>
    <m/>
    <m/>
    <n v="0"/>
    <n v="3"/>
    <m/>
  </r>
  <r>
    <s v="MZ0118"/>
    <x v="0"/>
    <s v="MZ01"/>
    <x v="16"/>
    <s v="MZ0118"/>
    <m/>
    <m/>
    <m/>
    <n v="82515"/>
    <m/>
    <x v="2"/>
    <x v="0"/>
    <x v="0"/>
    <n v="3"/>
    <x v="1"/>
    <n v="5"/>
    <m/>
    <n v="4"/>
    <n v="5"/>
    <n v="4"/>
    <n v="5"/>
    <n v="2"/>
    <s v=""/>
    <n v="1"/>
    <n v="2"/>
    <n v="3"/>
    <n v="1"/>
    <n v="4"/>
    <s v=""/>
    <n v="2"/>
    <n v="2.6470588235294117"/>
    <n v="2"/>
    <s v=""/>
    <n v="3.5714285714285716"/>
    <n v="5"/>
    <s v="Overarching Protection"/>
    <n v="4"/>
    <s v="CCCM_x000a_Education_x000a_WASH"/>
    <s v="Flagged"/>
    <s v=""/>
    <s v="Flagged"/>
    <s v="Flagged"/>
    <m/>
    <m/>
    <m/>
    <n v="3"/>
    <n v="4"/>
    <m/>
  </r>
  <r>
    <s v="MZ0201"/>
    <x v="1"/>
    <s v="MZ02"/>
    <x v="17"/>
    <s v="MZ0201"/>
    <m/>
    <m/>
    <m/>
    <n v="171626"/>
    <m/>
    <x v="4"/>
    <x v="4"/>
    <x v="2"/>
    <m/>
    <x v="3"/>
    <n v="0"/>
    <m/>
    <n v="2"/>
    <m/>
    <m/>
    <m/>
    <m/>
    <s v=""/>
    <n v="1"/>
    <s v=""/>
    <s v=""/>
    <s v=""/>
    <n v="1"/>
    <s v=""/>
    <s v=""/>
    <n v="2.2352941176470589"/>
    <s v=""/>
    <s v=""/>
    <n v="1.1666666666666667"/>
    <n v="2"/>
    <s v="WASH"/>
    <n v="1.5"/>
    <s v="Health"/>
    <s v=""/>
    <s v=""/>
    <s v=""/>
    <s v=""/>
    <m/>
    <m/>
    <m/>
    <n v="0"/>
    <n v="1"/>
    <m/>
  </r>
  <r>
    <s v="MZ0202"/>
    <x v="1"/>
    <s v="MZ02"/>
    <x v="18"/>
    <s v="MZ0202"/>
    <m/>
    <m/>
    <m/>
    <n v="256288"/>
    <m/>
    <x v="4"/>
    <x v="4"/>
    <x v="0"/>
    <n v="2"/>
    <x v="3"/>
    <n v="0"/>
    <m/>
    <n v="1"/>
    <m/>
    <m/>
    <m/>
    <m/>
    <n v="1"/>
    <n v="2"/>
    <s v=""/>
    <s v=""/>
    <s v=""/>
    <n v="1"/>
    <s v=""/>
    <s v=""/>
    <n v="2.2352941176470589"/>
    <s v=""/>
    <s v=""/>
    <n v="1.3"/>
    <n v="2"/>
    <s v="Nutrition_x000a_Food Security"/>
    <n v="1.5"/>
    <s v="Health"/>
    <s v=""/>
    <s v=""/>
    <s v=""/>
    <s v=""/>
    <m/>
    <m/>
    <m/>
    <n v="0"/>
    <n v="1"/>
    <m/>
  </r>
  <r>
    <s v="MZ0203"/>
    <x v="1"/>
    <s v="MZ02"/>
    <x v="19"/>
    <s v="MZ0203"/>
    <m/>
    <m/>
    <m/>
    <n v="30948"/>
    <m/>
    <x v="4"/>
    <x v="4"/>
    <x v="2"/>
    <m/>
    <x v="3"/>
    <n v="0"/>
    <m/>
    <n v="3"/>
    <m/>
    <m/>
    <m/>
    <m/>
    <s v=""/>
    <s v=""/>
    <n v="1"/>
    <s v=""/>
    <s v=""/>
    <n v="1"/>
    <s v=""/>
    <s v=""/>
    <n v="2.8235294117647061"/>
    <n v="1"/>
    <s v=""/>
    <n v="1.5"/>
    <n v="3"/>
    <s v="WASH"/>
    <n v="1.5"/>
    <s v="Health"/>
    <s v=""/>
    <s v=""/>
    <s v=""/>
    <s v=""/>
    <m/>
    <m/>
    <m/>
    <n v="0"/>
    <n v="1"/>
    <m/>
  </r>
  <r>
    <s v="MZ0204"/>
    <x v="1"/>
    <s v="MZ02"/>
    <x v="20"/>
    <s v="MZ0204"/>
    <m/>
    <m/>
    <m/>
    <n v="23875"/>
    <m/>
    <x v="4"/>
    <x v="4"/>
    <x v="2"/>
    <m/>
    <x v="4"/>
    <n v="0"/>
    <m/>
    <n v="3"/>
    <m/>
    <m/>
    <m/>
    <m/>
    <s v=""/>
    <s v=""/>
    <n v="1"/>
    <s v=""/>
    <s v=""/>
    <n v="1"/>
    <s v=""/>
    <s v=""/>
    <n v="2.4117647058823528"/>
    <s v=""/>
    <s v=""/>
    <n v="1.5"/>
    <n v="3"/>
    <s v="WASH"/>
    <n v="0"/>
    <s v="CCCM_x000a_Education_x000a_Food Security_x000a_Health_x000a_Overarching Protection_x000a_Shelter"/>
    <s v=""/>
    <s v=""/>
    <s v=""/>
    <s v=""/>
    <m/>
    <m/>
    <m/>
    <n v="0"/>
    <n v="1"/>
    <m/>
  </r>
  <r>
    <s v="MZ0205"/>
    <x v="1"/>
    <s v="MZ02"/>
    <x v="21"/>
    <s v="MZ0205"/>
    <m/>
    <m/>
    <m/>
    <n v="261037"/>
    <m/>
    <x v="4"/>
    <x v="4"/>
    <x v="2"/>
    <m/>
    <x v="4"/>
    <n v="0"/>
    <m/>
    <n v="1"/>
    <m/>
    <m/>
    <m/>
    <m/>
    <n v="1"/>
    <s v=""/>
    <s v=""/>
    <s v=""/>
    <s v=""/>
    <n v="1"/>
    <s v=""/>
    <s v=""/>
    <n v="2.2352941176470589"/>
    <s v=""/>
    <s v=""/>
    <n v="0.5"/>
    <n v="1"/>
    <s v="WASH"/>
    <n v="0"/>
    <s v="CCCM_x000a_Education_x000a_Food Security_x000a_Health_x000a_Overarching Protection_x000a_Shelter"/>
    <s v=""/>
    <s v=""/>
    <s v=""/>
    <s v=""/>
    <m/>
    <m/>
    <m/>
    <n v="0"/>
    <n v="1"/>
    <m/>
  </r>
  <r>
    <s v="MZ0206"/>
    <x v="1"/>
    <s v="MZ02"/>
    <x v="22"/>
    <s v="MZ0206"/>
    <m/>
    <m/>
    <m/>
    <n v="141869"/>
    <m/>
    <x v="4"/>
    <x v="4"/>
    <x v="2"/>
    <m/>
    <x v="4"/>
    <n v="0"/>
    <m/>
    <n v="2"/>
    <m/>
    <m/>
    <m/>
    <m/>
    <s v=""/>
    <n v="1"/>
    <s v=""/>
    <s v=""/>
    <s v=""/>
    <n v="1"/>
    <s v=""/>
    <s v=""/>
    <n v="2.2352941176470589"/>
    <s v=""/>
    <s v=""/>
    <n v="1"/>
    <n v="2"/>
    <s v="WASH"/>
    <n v="0"/>
    <s v="CCCM_x000a_Education_x000a_Food Security_x000a_Health_x000a_Overarching Protection_x000a_Shelter"/>
    <s v=""/>
    <s v=""/>
    <s v=""/>
    <s v=""/>
    <m/>
    <m/>
    <m/>
    <n v="0"/>
    <n v="1"/>
    <m/>
  </r>
  <r>
    <s v="MZ0207"/>
    <x v="1"/>
    <s v="MZ02"/>
    <x v="23"/>
    <s v="MZ0207"/>
    <m/>
    <m/>
    <m/>
    <n v="186425"/>
    <m/>
    <x v="4"/>
    <x v="4"/>
    <x v="2"/>
    <m/>
    <x v="4"/>
    <n v="0"/>
    <m/>
    <n v="2"/>
    <m/>
    <m/>
    <m/>
    <m/>
    <s v=""/>
    <n v="1"/>
    <s v=""/>
    <s v=""/>
    <s v=""/>
    <n v="1"/>
    <s v=""/>
    <s v=""/>
    <n v="2.2352941176470589"/>
    <s v=""/>
    <s v=""/>
    <n v="1"/>
    <n v="2"/>
    <s v="WASH"/>
    <n v="0"/>
    <s v="CCCM_x000a_Education_x000a_Food Security_x000a_Health_x000a_Overarching Protection_x000a_Shelter"/>
    <s v=""/>
    <s v=""/>
    <s v=""/>
    <s v=""/>
    <m/>
    <m/>
    <m/>
    <n v="0"/>
    <n v="1"/>
    <m/>
  </r>
  <r>
    <s v="MZ0208"/>
    <x v="1"/>
    <s v="MZ02"/>
    <x v="24"/>
    <s v="MZ0208"/>
    <m/>
    <m/>
    <m/>
    <n v="102635"/>
    <m/>
    <x v="4"/>
    <x v="4"/>
    <x v="0"/>
    <n v="3"/>
    <x v="4"/>
    <n v="0"/>
    <m/>
    <n v="1"/>
    <m/>
    <m/>
    <m/>
    <m/>
    <n v="1"/>
    <n v="1"/>
    <n v="1"/>
    <s v=""/>
    <s v=""/>
    <n v="1"/>
    <s v=""/>
    <s v=""/>
    <n v="2.2352941176470589"/>
    <n v="3"/>
    <s v=""/>
    <n v="1.5"/>
    <n v="3"/>
    <s v="Food Security"/>
    <n v="2"/>
    <s v="Nutrition"/>
    <s v=""/>
    <s v=""/>
    <s v="Flagged"/>
    <s v="Flagged"/>
    <m/>
    <m/>
    <m/>
    <n v="2"/>
    <n v="1"/>
    <m/>
  </r>
  <r>
    <s v="MZ0209"/>
    <x v="1"/>
    <s v="MZ02"/>
    <x v="25"/>
    <s v="MZ0209"/>
    <m/>
    <m/>
    <m/>
    <n v="180614"/>
    <m/>
    <x v="4"/>
    <x v="4"/>
    <x v="2"/>
    <m/>
    <x v="4"/>
    <n v="0"/>
    <m/>
    <n v="2"/>
    <m/>
    <m/>
    <m/>
    <m/>
    <s v=""/>
    <n v="1"/>
    <s v=""/>
    <s v=""/>
    <s v=""/>
    <n v="1"/>
    <s v=""/>
    <s v=""/>
    <n v="2.2352941176470589"/>
    <s v=""/>
    <s v=""/>
    <n v="1"/>
    <n v="2"/>
    <s v="WASH"/>
    <n v="0"/>
    <s v="CCCM_x000a_Education_x000a_Food Security_x000a_Health_x000a_Overarching Protection_x000a_Shelter"/>
    <s v=""/>
    <s v=""/>
    <s v=""/>
    <s v=""/>
    <m/>
    <m/>
    <m/>
    <n v="0"/>
    <n v="1"/>
    <m/>
  </r>
  <r>
    <s v="MZ0210"/>
    <x v="1"/>
    <s v="MZ02"/>
    <x v="26"/>
    <s v="MZ0210"/>
    <m/>
    <m/>
    <m/>
    <n v="42998"/>
    <m/>
    <x v="4"/>
    <x v="4"/>
    <x v="0"/>
    <n v="3"/>
    <x v="4"/>
    <n v="0"/>
    <m/>
    <n v="2"/>
    <m/>
    <m/>
    <m/>
    <m/>
    <s v=""/>
    <n v="2"/>
    <n v="1"/>
    <s v=""/>
    <s v=""/>
    <n v="1"/>
    <s v=""/>
    <s v=""/>
    <n v="2.2352941176470589"/>
    <n v="3"/>
    <s v=""/>
    <n v="1.75"/>
    <n v="3"/>
    <s v="Food Security"/>
    <n v="2"/>
    <s v="Nutrition_x000a_WASH"/>
    <s v=""/>
    <s v=""/>
    <s v="Flagged"/>
    <s v="Flagged"/>
    <m/>
    <m/>
    <m/>
    <n v="2"/>
    <n v="1"/>
    <m/>
  </r>
  <r>
    <s v="MZ0211"/>
    <x v="1"/>
    <s v="MZ02"/>
    <x v="27"/>
    <s v="MZ0211"/>
    <m/>
    <m/>
    <m/>
    <n v="159767"/>
    <m/>
    <x v="4"/>
    <x v="4"/>
    <x v="2"/>
    <m/>
    <x v="4"/>
    <n v="0"/>
    <m/>
    <n v="2"/>
    <m/>
    <m/>
    <m/>
    <m/>
    <s v=""/>
    <n v="1"/>
    <s v=""/>
    <s v=""/>
    <s v=""/>
    <n v="1"/>
    <s v=""/>
    <s v=""/>
    <n v="2.2352941176470589"/>
    <s v=""/>
    <s v=""/>
    <n v="1"/>
    <n v="2"/>
    <s v="WASH"/>
    <n v="0"/>
    <s v="CCCM_x000a_Education_x000a_Food Security_x000a_Health_x000a_Overarching Protection_x000a_Shelter"/>
    <s v=""/>
    <s v=""/>
    <s v=""/>
    <s v=""/>
    <m/>
    <m/>
    <m/>
    <n v="0"/>
    <n v="1"/>
    <m/>
  </r>
  <r>
    <s v="MZ0212"/>
    <x v="1"/>
    <s v="MZ02"/>
    <x v="28"/>
    <s v="MZ0212"/>
    <m/>
    <m/>
    <m/>
    <n v="32120"/>
    <m/>
    <x v="4"/>
    <x v="4"/>
    <x v="2"/>
    <m/>
    <x v="4"/>
    <n v="0"/>
    <m/>
    <n v="3"/>
    <m/>
    <m/>
    <m/>
    <m/>
    <s v=""/>
    <s v=""/>
    <n v="1"/>
    <s v=""/>
    <s v=""/>
    <n v="1"/>
    <s v=""/>
    <s v=""/>
    <n v="2.8235294117647061"/>
    <n v="3"/>
    <s v=""/>
    <n v="1.5"/>
    <n v="3"/>
    <s v="WASH"/>
    <n v="0"/>
    <s v="CCCM_x000a_Education_x000a_Food Security_x000a_Health_x000a_Overarching Protection_x000a_Shelter"/>
    <s v=""/>
    <s v=""/>
    <s v="Flagged"/>
    <s v="Flagged"/>
    <m/>
    <m/>
    <m/>
    <n v="2"/>
    <n v="1"/>
    <m/>
  </r>
  <r>
    <s v="MZ0213"/>
    <x v="1"/>
    <s v="MZ02"/>
    <x v="29"/>
    <s v="MZ0213"/>
    <m/>
    <m/>
    <m/>
    <n v="25433"/>
    <m/>
    <x v="4"/>
    <x v="4"/>
    <x v="2"/>
    <m/>
    <x v="4"/>
    <n v="0"/>
    <m/>
    <n v="3"/>
    <m/>
    <m/>
    <m/>
    <m/>
    <s v=""/>
    <s v=""/>
    <n v="1"/>
    <s v=""/>
    <s v=""/>
    <n v="1"/>
    <s v=""/>
    <s v=""/>
    <n v="2.8235294117647061"/>
    <s v=""/>
    <s v=""/>
    <n v="1.5"/>
    <n v="3"/>
    <s v="WASH"/>
    <n v="0"/>
    <s v="CCCM_x000a_Education_x000a_Food Security_x000a_Health_x000a_Overarching Protection_x000a_Shelter"/>
    <s v=""/>
    <s v=""/>
    <s v=""/>
    <s v=""/>
    <m/>
    <m/>
    <m/>
    <n v="0"/>
    <n v="1"/>
    <m/>
  </r>
  <r>
    <s v="MZ0214"/>
    <x v="1"/>
    <s v="MZ02"/>
    <x v="30"/>
    <s v="MZ0214"/>
    <m/>
    <m/>
    <m/>
    <n v="40871"/>
    <m/>
    <x v="4"/>
    <x v="4"/>
    <x v="0"/>
    <n v="3"/>
    <x v="4"/>
    <n v="0"/>
    <m/>
    <n v="1"/>
    <m/>
    <m/>
    <m/>
    <m/>
    <n v="1"/>
    <n v="1"/>
    <n v="1"/>
    <s v=""/>
    <s v=""/>
    <n v="1"/>
    <s v=""/>
    <s v=""/>
    <n v="2.8235294117647061"/>
    <n v="3"/>
    <s v=""/>
    <n v="1.5"/>
    <n v="3"/>
    <s v="Food Security"/>
    <n v="2"/>
    <s v="Nutrition"/>
    <s v=""/>
    <s v=""/>
    <s v="Flagged"/>
    <s v="Flagged"/>
    <m/>
    <m/>
    <m/>
    <n v="2"/>
    <n v="1"/>
    <m/>
  </r>
  <r>
    <s v="MZ0301"/>
    <x v="2"/>
    <s v="MZ03"/>
    <x v="31"/>
    <s v="MZ0301"/>
    <m/>
    <m/>
    <m/>
    <n v="103874"/>
    <m/>
    <x v="4"/>
    <x v="4"/>
    <x v="2"/>
    <m/>
    <x v="4"/>
    <n v="0"/>
    <m/>
    <n v="2"/>
    <m/>
    <m/>
    <m/>
    <m/>
    <s v=""/>
    <n v="1"/>
    <s v=""/>
    <s v=""/>
    <s v=""/>
    <n v="1"/>
    <s v=""/>
    <s v=""/>
    <n v="2.2352941176470589"/>
    <s v=""/>
    <s v=""/>
    <n v="1"/>
    <n v="2"/>
    <s v="WASH"/>
    <n v="0"/>
    <s v="CCCM_x000a_Education_x000a_Food Security_x000a_Health_x000a_Overarching Protection_x000a_Shelter"/>
    <s v=""/>
    <s v=""/>
    <s v=""/>
    <s v=""/>
    <m/>
    <m/>
    <m/>
    <n v="0"/>
    <n v="1"/>
    <m/>
  </r>
  <r>
    <s v="MZ0302"/>
    <x v="2"/>
    <s v="MZ03"/>
    <x v="32"/>
    <s v="MZ0302"/>
    <m/>
    <m/>
    <m/>
    <n v="49387"/>
    <m/>
    <x v="4"/>
    <x v="4"/>
    <x v="0"/>
    <n v="3"/>
    <x v="4"/>
    <n v="0"/>
    <m/>
    <n v="3"/>
    <m/>
    <m/>
    <m/>
    <m/>
    <s v=""/>
    <n v="1"/>
    <n v="2"/>
    <s v=""/>
    <s v=""/>
    <n v="1"/>
    <s v=""/>
    <s v=""/>
    <n v="2.2352941176470589"/>
    <n v="1"/>
    <s v=""/>
    <n v="2"/>
    <n v="3"/>
    <s v="Food Security_x000a_WASH"/>
    <n v="2"/>
    <s v="Nutrition"/>
    <s v=""/>
    <s v=""/>
    <s v=""/>
    <s v=""/>
    <m/>
    <m/>
    <m/>
    <n v="0"/>
    <n v="1"/>
    <m/>
  </r>
  <r>
    <s v="MZ0303"/>
    <x v="2"/>
    <s v="MZ03"/>
    <x v="33"/>
    <s v="MZ0303"/>
    <m/>
    <m/>
    <m/>
    <n v="41456"/>
    <m/>
    <x v="4"/>
    <x v="4"/>
    <x v="0"/>
    <n v="3"/>
    <x v="4"/>
    <n v="0"/>
    <m/>
    <n v="3"/>
    <m/>
    <m/>
    <m/>
    <m/>
    <s v=""/>
    <n v="1"/>
    <n v="2"/>
    <s v=""/>
    <s v=""/>
    <n v="1"/>
    <s v=""/>
    <s v=""/>
    <n v="2.8235294117647061"/>
    <n v="3"/>
    <s v=""/>
    <n v="2"/>
    <n v="3"/>
    <s v="Food Security_x000a_WASH"/>
    <n v="2"/>
    <s v="Nutrition"/>
    <s v=""/>
    <s v=""/>
    <s v="Flagged"/>
    <s v="Flagged"/>
    <m/>
    <m/>
    <m/>
    <n v="2"/>
    <n v="1"/>
    <m/>
  </r>
  <r>
    <s v="MZ0304"/>
    <x v="2"/>
    <s v="MZ03"/>
    <x v="34"/>
    <s v="MZ0304"/>
    <m/>
    <m/>
    <m/>
    <n v="130957"/>
    <m/>
    <x v="4"/>
    <x v="4"/>
    <x v="2"/>
    <m/>
    <x v="4"/>
    <n v="0"/>
    <m/>
    <n v="1"/>
    <m/>
    <m/>
    <m/>
    <m/>
    <n v="1"/>
    <s v=""/>
    <s v=""/>
    <s v=""/>
    <s v=""/>
    <n v="1"/>
    <s v=""/>
    <s v=""/>
    <n v="2.2352941176470589"/>
    <s v=""/>
    <s v=""/>
    <n v="0.5"/>
    <n v="1"/>
    <s v="WASH"/>
    <n v="0"/>
    <s v="CCCM_x000a_Education_x000a_Food Security_x000a_Health_x000a_Overarching Protection_x000a_Shelter"/>
    <s v=""/>
    <s v=""/>
    <s v=""/>
    <s v=""/>
    <m/>
    <m/>
    <m/>
    <n v="0"/>
    <n v="1"/>
    <m/>
  </r>
  <r>
    <s v="MZ0305"/>
    <x v="2"/>
    <s v="MZ03"/>
    <x v="35"/>
    <s v="MZ0305"/>
    <m/>
    <m/>
    <m/>
    <n v="128419"/>
    <m/>
    <x v="4"/>
    <x v="4"/>
    <x v="2"/>
    <m/>
    <x v="4"/>
    <n v="0"/>
    <m/>
    <n v="2"/>
    <m/>
    <m/>
    <m/>
    <m/>
    <s v=""/>
    <n v="1"/>
    <s v=""/>
    <s v=""/>
    <s v=""/>
    <n v="1"/>
    <s v=""/>
    <s v=""/>
    <n v="2.2352941176470589"/>
    <s v=""/>
    <s v=""/>
    <n v="1"/>
    <n v="2"/>
    <s v="WASH"/>
    <n v="0"/>
    <s v="CCCM_x000a_Education_x000a_Food Security_x000a_Health_x000a_Overarching Protection_x000a_Shelter"/>
    <s v=""/>
    <s v=""/>
    <s v=""/>
    <s v=""/>
    <m/>
    <m/>
    <m/>
    <n v="0"/>
    <n v="1"/>
    <m/>
  </r>
  <r>
    <s v="MZ0306"/>
    <x v="2"/>
    <s v="MZ03"/>
    <x v="36"/>
    <s v="MZ0306"/>
    <m/>
    <m/>
    <m/>
    <n v="65733"/>
    <m/>
    <x v="4"/>
    <x v="4"/>
    <x v="2"/>
    <m/>
    <x v="4"/>
    <n v="0"/>
    <m/>
    <n v="2"/>
    <m/>
    <m/>
    <m/>
    <m/>
    <s v=""/>
    <n v="1"/>
    <s v=""/>
    <s v=""/>
    <s v=""/>
    <n v="1"/>
    <s v=""/>
    <s v=""/>
    <n v="2.2352941176470589"/>
    <s v=""/>
    <s v=""/>
    <n v="1"/>
    <n v="2"/>
    <s v="WASH"/>
    <n v="0"/>
    <s v="CCCM_x000a_Education_x000a_Food Security_x000a_Health_x000a_Overarching Protection_x000a_Shelter"/>
    <s v=""/>
    <s v=""/>
    <s v=""/>
    <s v=""/>
    <m/>
    <m/>
    <m/>
    <n v="0"/>
    <n v="1"/>
    <m/>
  </r>
  <r>
    <s v="MZ0307"/>
    <x v="2"/>
    <s v="MZ03"/>
    <x v="37"/>
    <s v="MZ0307"/>
    <m/>
    <m/>
    <m/>
    <n v="119100"/>
    <m/>
    <x v="4"/>
    <x v="4"/>
    <x v="2"/>
    <m/>
    <x v="4"/>
    <n v="0"/>
    <m/>
    <n v="1"/>
    <m/>
    <m/>
    <m/>
    <m/>
    <n v="1"/>
    <s v=""/>
    <s v=""/>
    <s v=""/>
    <s v=""/>
    <n v="1"/>
    <s v=""/>
    <s v=""/>
    <n v="2.2352941176470589"/>
    <s v=""/>
    <s v=""/>
    <n v="0.5"/>
    <n v="1"/>
    <s v="WASH"/>
    <n v="0"/>
    <s v="CCCM_x000a_Education_x000a_Food Security_x000a_Health_x000a_Overarching Protection_x000a_Shelter"/>
    <s v=""/>
    <s v=""/>
    <s v=""/>
    <s v=""/>
    <m/>
    <m/>
    <m/>
    <n v="0"/>
    <n v="1"/>
    <m/>
  </r>
  <r>
    <s v="MZ0308"/>
    <x v="2"/>
    <s v="MZ03"/>
    <x v="38"/>
    <s v="MZ0308"/>
    <m/>
    <m/>
    <m/>
    <n v="57132"/>
    <m/>
    <x v="4"/>
    <x v="4"/>
    <x v="0"/>
    <n v="2"/>
    <x v="4"/>
    <n v="0"/>
    <m/>
    <n v="3"/>
    <m/>
    <m/>
    <m/>
    <m/>
    <s v=""/>
    <n v="2"/>
    <n v="1"/>
    <s v=""/>
    <s v=""/>
    <n v="1"/>
    <s v=""/>
    <s v=""/>
    <n v="2.2352941176470589"/>
    <n v="1"/>
    <s v=""/>
    <n v="1.75"/>
    <n v="3"/>
    <s v="WASH"/>
    <n v="2"/>
    <s v="Nutrition_x000a_Food Security"/>
    <s v=""/>
    <s v=""/>
    <s v=""/>
    <s v=""/>
    <m/>
    <m/>
    <m/>
    <n v="0"/>
    <n v="1"/>
    <m/>
  </r>
  <r>
    <s v="MZ0309"/>
    <x v="2"/>
    <s v="MZ03"/>
    <x v="39"/>
    <s v="MZ0309"/>
    <m/>
    <m/>
    <m/>
    <n v="282201"/>
    <m/>
    <x v="4"/>
    <x v="4"/>
    <x v="2"/>
    <m/>
    <x v="4"/>
    <n v="0"/>
    <m/>
    <n v="2"/>
    <m/>
    <m/>
    <m/>
    <m/>
    <s v=""/>
    <n v="1"/>
    <s v=""/>
    <s v=""/>
    <s v=""/>
    <n v="1"/>
    <s v=""/>
    <s v=""/>
    <n v="2.2352941176470589"/>
    <s v=""/>
    <s v=""/>
    <n v="1"/>
    <n v="2"/>
    <s v="WASH"/>
    <n v="0"/>
    <s v="CCCM_x000a_Education_x000a_Food Security_x000a_Health_x000a_Overarching Protection_x000a_Shelter"/>
    <s v=""/>
    <s v=""/>
    <s v=""/>
    <s v=""/>
    <m/>
    <m/>
    <m/>
    <n v="0"/>
    <n v="1"/>
    <m/>
  </r>
  <r>
    <s v="MZ0310"/>
    <x v="2"/>
    <s v="MZ03"/>
    <x v="40"/>
    <s v="MZ0310"/>
    <m/>
    <m/>
    <m/>
    <n v="161359"/>
    <m/>
    <x v="4"/>
    <x v="4"/>
    <x v="2"/>
    <m/>
    <x v="4"/>
    <n v="0"/>
    <m/>
    <n v="2"/>
    <m/>
    <m/>
    <m/>
    <m/>
    <s v=""/>
    <n v="1"/>
    <s v=""/>
    <s v=""/>
    <s v=""/>
    <n v="1"/>
    <s v=""/>
    <s v=""/>
    <n v="2.2352941176470589"/>
    <s v=""/>
    <s v=""/>
    <n v="1"/>
    <n v="2"/>
    <s v="WASH"/>
    <n v="0"/>
    <s v="CCCM_x000a_Education_x000a_Food Security_x000a_Health_x000a_Overarching Protection_x000a_Shelter"/>
    <s v=""/>
    <s v=""/>
    <s v=""/>
    <s v=""/>
    <m/>
    <m/>
    <m/>
    <n v="0"/>
    <n v="1"/>
    <m/>
  </r>
  <r>
    <s v="MZ0311"/>
    <x v="2"/>
    <s v="MZ03"/>
    <x v="41"/>
    <s v="MZ0311"/>
    <m/>
    <m/>
    <m/>
    <n v="158553"/>
    <m/>
    <x v="4"/>
    <x v="4"/>
    <x v="2"/>
    <m/>
    <x v="4"/>
    <n v="0"/>
    <m/>
    <n v="3"/>
    <m/>
    <m/>
    <m/>
    <m/>
    <s v=""/>
    <s v=""/>
    <n v="1"/>
    <s v=""/>
    <s v=""/>
    <n v="1"/>
    <s v=""/>
    <s v=""/>
    <n v="2.2352941176470589"/>
    <s v=""/>
    <s v=""/>
    <n v="1.5"/>
    <n v="3"/>
    <s v="WASH"/>
    <n v="0"/>
    <s v="CCCM_x000a_Education_x000a_Food Security_x000a_Health_x000a_Overarching Protection_x000a_Shelter"/>
    <s v=""/>
    <s v=""/>
    <s v=""/>
    <s v=""/>
    <m/>
    <m/>
    <m/>
    <n v="0"/>
    <n v="1"/>
    <m/>
  </r>
  <r>
    <s v="MZ0312"/>
    <x v="2"/>
    <s v="MZ03"/>
    <x v="42"/>
    <s v="MZ0312"/>
    <m/>
    <m/>
    <m/>
    <n v="48757"/>
    <m/>
    <x v="4"/>
    <x v="4"/>
    <x v="0"/>
    <n v="3"/>
    <x v="4"/>
    <n v="0"/>
    <m/>
    <n v="2"/>
    <m/>
    <m/>
    <m/>
    <m/>
    <s v=""/>
    <n v="2"/>
    <n v="1"/>
    <s v=""/>
    <s v=""/>
    <n v="1"/>
    <s v=""/>
    <s v=""/>
    <n v="2.2352941176470589"/>
    <n v="2"/>
    <s v=""/>
    <n v="1.75"/>
    <n v="3"/>
    <s v="Food Security"/>
    <n v="2"/>
    <s v="Nutrition_x000a_WASH"/>
    <s v=""/>
    <s v=""/>
    <s v=""/>
    <s v="Flagged"/>
    <m/>
    <m/>
    <m/>
    <n v="1"/>
    <n v="1"/>
    <m/>
  </r>
  <r>
    <s v="MZ0313"/>
    <x v="2"/>
    <s v="MZ03"/>
    <x v="43"/>
    <s v="MZ0313"/>
    <m/>
    <m/>
    <m/>
    <n v="179548"/>
    <m/>
    <x v="4"/>
    <x v="4"/>
    <x v="2"/>
    <m/>
    <x v="4"/>
    <n v="0"/>
    <m/>
    <n v="2"/>
    <m/>
    <m/>
    <m/>
    <m/>
    <s v=""/>
    <n v="1"/>
    <s v=""/>
    <s v=""/>
    <s v=""/>
    <n v="1"/>
    <s v=""/>
    <s v=""/>
    <n v="2.2352941176470589"/>
    <s v=""/>
    <s v=""/>
    <n v="1"/>
    <n v="2"/>
    <s v="WASH"/>
    <n v="0"/>
    <s v="CCCM_x000a_Education_x000a_Food Security_x000a_Health_x000a_Overarching Protection_x000a_Shelter"/>
    <s v=""/>
    <s v=""/>
    <s v=""/>
    <s v=""/>
    <m/>
    <m/>
    <m/>
    <n v="0"/>
    <n v="1"/>
    <m/>
  </r>
  <r>
    <s v="MZ0314"/>
    <x v="2"/>
    <s v="MZ03"/>
    <x v="44"/>
    <s v="MZ0314"/>
    <m/>
    <m/>
    <m/>
    <n v="172377"/>
    <m/>
    <x v="4"/>
    <x v="4"/>
    <x v="2"/>
    <m/>
    <x v="4"/>
    <n v="0"/>
    <m/>
    <n v="2"/>
    <m/>
    <m/>
    <m/>
    <m/>
    <s v=""/>
    <n v="1"/>
    <s v=""/>
    <s v=""/>
    <s v=""/>
    <n v="1"/>
    <s v=""/>
    <s v=""/>
    <n v="2.2352941176470589"/>
    <s v=""/>
    <s v=""/>
    <n v="1"/>
    <n v="2"/>
    <s v="WASH"/>
    <n v="0"/>
    <s v="CCCM_x000a_Education_x000a_Food Security_x000a_Health_x000a_Overarching Protection_x000a_Shelter"/>
    <s v=""/>
    <s v=""/>
    <s v=""/>
    <s v=""/>
    <m/>
    <m/>
    <m/>
    <n v="0"/>
    <n v="1"/>
    <m/>
  </r>
  <r>
    <s v="MZ0401"/>
    <x v="3"/>
    <s v="MZ04"/>
    <x v="45"/>
    <s v="MZ0401"/>
    <m/>
    <m/>
    <m/>
    <n v="254827"/>
    <m/>
    <x v="4"/>
    <x v="4"/>
    <x v="2"/>
    <m/>
    <x v="4"/>
    <n v="0"/>
    <m/>
    <n v="2"/>
    <m/>
    <m/>
    <m/>
    <m/>
    <s v=""/>
    <n v="1"/>
    <s v=""/>
    <s v=""/>
    <s v=""/>
    <n v="1"/>
    <s v=""/>
    <s v=""/>
    <n v="2.2352941176470589"/>
    <s v=""/>
    <s v=""/>
    <n v="1"/>
    <n v="2"/>
    <s v="WASH"/>
    <n v="0"/>
    <s v="CCCM_x000a_Education_x000a_Food Security_x000a_Health_x000a_Overarching Protection_x000a_Shelter"/>
    <s v=""/>
    <s v=""/>
    <s v=""/>
    <s v=""/>
    <m/>
    <m/>
    <m/>
    <n v="0"/>
    <n v="1"/>
    <m/>
  </r>
  <r>
    <s v="MZ0402"/>
    <x v="3"/>
    <s v="MZ04"/>
    <x v="46"/>
    <s v="MZ0402"/>
    <m/>
    <m/>
    <m/>
    <n v="548642"/>
    <m/>
    <x v="4"/>
    <x v="4"/>
    <x v="2"/>
    <m/>
    <x v="4"/>
    <n v="0"/>
    <m/>
    <n v="3"/>
    <m/>
    <m/>
    <m/>
    <m/>
    <s v=""/>
    <s v=""/>
    <n v="1"/>
    <s v=""/>
    <s v=""/>
    <n v="1"/>
    <s v=""/>
    <s v=""/>
    <n v="2.8235294117647061"/>
    <s v=""/>
    <s v=""/>
    <n v="1.5"/>
    <n v="3"/>
    <s v="WASH"/>
    <n v="0"/>
    <s v="CCCM_x000a_Education_x000a_Food Security_x000a_Health_x000a_Overarching Protection_x000a_Shelter"/>
    <s v=""/>
    <s v=""/>
    <s v=""/>
    <s v=""/>
    <m/>
    <m/>
    <m/>
    <n v="0"/>
    <n v="1"/>
    <m/>
  </r>
  <r>
    <s v="MZ0403"/>
    <x v="3"/>
    <s v="MZ04"/>
    <x v="47"/>
    <s v="MZ0403"/>
    <m/>
    <m/>
    <m/>
    <n v="267197"/>
    <m/>
    <x v="4"/>
    <x v="4"/>
    <x v="2"/>
    <m/>
    <x v="4"/>
    <n v="0"/>
    <m/>
    <n v="2"/>
    <m/>
    <m/>
    <m/>
    <m/>
    <s v=""/>
    <n v="1"/>
    <s v=""/>
    <s v=""/>
    <s v=""/>
    <n v="1"/>
    <s v=""/>
    <s v=""/>
    <n v="1.8235294117647056"/>
    <s v=""/>
    <s v=""/>
    <n v="1"/>
    <n v="2"/>
    <s v="WASH"/>
    <n v="0"/>
    <s v="CCCM_x000a_Education_x000a_Food Security_x000a_Health_x000a_Overarching Protection_x000a_Shelter"/>
    <s v=""/>
    <s v=""/>
    <s v=""/>
    <s v=""/>
    <m/>
    <m/>
    <m/>
    <n v="0"/>
    <n v="1"/>
    <m/>
  </r>
  <r>
    <s v="MZ0404"/>
    <x v="3"/>
    <s v="MZ04"/>
    <x v="48"/>
    <s v="MZ0404"/>
    <m/>
    <m/>
    <m/>
    <n v="128114"/>
    <m/>
    <x v="4"/>
    <x v="4"/>
    <x v="2"/>
    <n v="2"/>
    <x v="4"/>
    <n v="0"/>
    <m/>
    <n v="3"/>
    <m/>
    <m/>
    <m/>
    <m/>
    <s v=""/>
    <n v="1"/>
    <n v="1"/>
    <s v=""/>
    <s v=""/>
    <n v="1"/>
    <s v=""/>
    <n v="2"/>
    <n v="2.2352941176470589"/>
    <n v="2"/>
    <s v=""/>
    <n v="1.6666666666666667"/>
    <n v="3"/>
    <s v="WASH"/>
    <n v="2"/>
    <s v="Food Security"/>
    <s v=""/>
    <s v=""/>
    <s v=""/>
    <s v="Flagged"/>
    <m/>
    <m/>
    <m/>
    <n v="1"/>
    <n v="1"/>
    <m/>
  </r>
  <r>
    <s v="MZ0405"/>
    <x v="3"/>
    <s v="MZ04"/>
    <x v="49"/>
    <s v="MZ0405"/>
    <m/>
    <m/>
    <m/>
    <n v="113191"/>
    <m/>
    <x v="4"/>
    <x v="4"/>
    <x v="2"/>
    <m/>
    <x v="4"/>
    <n v="0"/>
    <m/>
    <n v="2"/>
    <m/>
    <m/>
    <m/>
    <m/>
    <s v=""/>
    <n v="1"/>
    <s v=""/>
    <s v=""/>
    <s v=""/>
    <n v="1"/>
    <s v=""/>
    <s v=""/>
    <n v="2.2352941176470589"/>
    <s v=""/>
    <s v=""/>
    <n v="1"/>
    <n v="2"/>
    <s v="WASH"/>
    <n v="0"/>
    <s v="CCCM_x000a_Education_x000a_Food Security_x000a_Health_x000a_Overarching Protection_x000a_Shelter"/>
    <s v=""/>
    <s v=""/>
    <s v=""/>
    <s v=""/>
    <m/>
    <m/>
    <m/>
    <n v="0"/>
    <n v="1"/>
    <m/>
  </r>
  <r>
    <s v="MZ0406"/>
    <x v="3"/>
    <s v="MZ04"/>
    <x v="50"/>
    <s v="MZ0406"/>
    <m/>
    <m/>
    <m/>
    <n v="177509"/>
    <m/>
    <x v="4"/>
    <x v="4"/>
    <x v="2"/>
    <n v="3"/>
    <x v="4"/>
    <n v="0"/>
    <m/>
    <n v="3"/>
    <m/>
    <m/>
    <m/>
    <m/>
    <s v=""/>
    <s v=""/>
    <n v="2"/>
    <s v=""/>
    <s v=""/>
    <n v="1"/>
    <s v=""/>
    <n v="2"/>
    <n v="2.2352941176470589"/>
    <n v="3"/>
    <s v=""/>
    <n v="2"/>
    <n v="3"/>
    <s v="Food Security_x000a_WASH"/>
    <n v="0"/>
    <s v="CCCM_x000a_Education_x000a_Health_x000a_Overarching Protection_x000a_Shelter"/>
    <s v=""/>
    <s v=""/>
    <s v="Flagged"/>
    <s v="Flagged"/>
    <m/>
    <m/>
    <m/>
    <n v="2"/>
    <n v="1"/>
    <m/>
  </r>
  <r>
    <s v="MZ0407"/>
    <x v="3"/>
    <s v="MZ04"/>
    <x v="51"/>
    <s v="MZ0407"/>
    <m/>
    <m/>
    <m/>
    <n v="66742"/>
    <m/>
    <x v="4"/>
    <x v="4"/>
    <x v="2"/>
    <n v="2"/>
    <x v="4"/>
    <n v="0"/>
    <m/>
    <n v="2"/>
    <m/>
    <m/>
    <m/>
    <m/>
    <s v=""/>
    <n v="2"/>
    <s v=""/>
    <s v=""/>
    <s v=""/>
    <n v="1"/>
    <s v=""/>
    <n v="3"/>
    <n v="2.8235294117647061"/>
    <n v="2"/>
    <s v=""/>
    <n v="1.3333333333333333"/>
    <n v="2"/>
    <s v="Food Security_x000a_WASH"/>
    <n v="0"/>
    <s v="CCCM_x000a_Education_x000a_Health_x000a_Overarching Protection_x000a_Shelter"/>
    <s v=""/>
    <s v=""/>
    <s v="Flagged"/>
    <s v="Flagged"/>
    <m/>
    <m/>
    <m/>
    <n v="2"/>
    <n v="1"/>
    <m/>
  </r>
  <r>
    <s v="MZ0408"/>
    <x v="3"/>
    <s v="MZ04"/>
    <x v="52"/>
    <s v="MZ0408"/>
    <m/>
    <m/>
    <m/>
    <n v="299795"/>
    <m/>
    <x v="4"/>
    <x v="4"/>
    <x v="2"/>
    <m/>
    <x v="4"/>
    <n v="0"/>
    <m/>
    <n v="2"/>
    <m/>
    <m/>
    <m/>
    <m/>
    <s v=""/>
    <n v="1"/>
    <s v=""/>
    <s v=""/>
    <s v=""/>
    <n v="1"/>
    <s v=""/>
    <s v=""/>
    <n v="2.2352941176470589"/>
    <s v=""/>
    <s v=""/>
    <n v="1"/>
    <n v="2"/>
    <s v="WASH"/>
    <n v="0"/>
    <s v="CCCM_x000a_Education_x000a_Food Security_x000a_Health_x000a_Overarching Protection_x000a_Shelter"/>
    <s v=""/>
    <s v=""/>
    <s v=""/>
    <s v=""/>
    <m/>
    <m/>
    <m/>
    <n v="0"/>
    <n v="1"/>
    <m/>
  </r>
  <r>
    <s v="MZ0409"/>
    <x v="3"/>
    <s v="MZ04"/>
    <x v="53"/>
    <s v="MZ0409"/>
    <m/>
    <m/>
    <m/>
    <n v="298897"/>
    <m/>
    <x v="4"/>
    <x v="4"/>
    <x v="2"/>
    <m/>
    <x v="4"/>
    <n v="0"/>
    <m/>
    <n v="2"/>
    <m/>
    <m/>
    <m/>
    <m/>
    <s v=""/>
    <n v="1"/>
    <s v=""/>
    <s v=""/>
    <s v=""/>
    <n v="1"/>
    <s v=""/>
    <s v=""/>
    <n v="1.8235294117647056"/>
    <s v=""/>
    <s v=""/>
    <n v="1"/>
    <n v="2"/>
    <s v="WASH"/>
    <n v="0"/>
    <s v="CCCM_x000a_Education_x000a_Food Security_x000a_Health_x000a_Overarching Protection_x000a_Shelter"/>
    <s v=""/>
    <s v=""/>
    <s v=""/>
    <s v=""/>
    <m/>
    <m/>
    <m/>
    <n v="0"/>
    <n v="1"/>
    <m/>
  </r>
  <r>
    <s v="MZ0410"/>
    <x v="3"/>
    <s v="MZ04"/>
    <x v="54"/>
    <s v="MZ0410"/>
    <m/>
    <m/>
    <m/>
    <n v="234153"/>
    <m/>
    <x v="4"/>
    <x v="4"/>
    <x v="2"/>
    <m/>
    <x v="4"/>
    <n v="0"/>
    <m/>
    <n v="2"/>
    <m/>
    <m/>
    <m/>
    <m/>
    <s v=""/>
    <n v="1"/>
    <s v=""/>
    <s v=""/>
    <s v=""/>
    <n v="1"/>
    <s v=""/>
    <s v=""/>
    <n v="2.2352941176470589"/>
    <s v=""/>
    <s v=""/>
    <n v="1"/>
    <n v="2"/>
    <s v="WASH"/>
    <n v="0"/>
    <s v="CCCM_x000a_Education_x000a_Food Security_x000a_Health_x000a_Overarching Protection_x000a_Shelter"/>
    <s v=""/>
    <s v=""/>
    <s v=""/>
    <s v=""/>
    <m/>
    <m/>
    <m/>
    <n v="0"/>
    <n v="1"/>
    <m/>
  </r>
  <r>
    <s v="MZ0411"/>
    <x v="3"/>
    <s v="MZ04"/>
    <x v="55"/>
    <s v="MZ0411"/>
    <m/>
    <m/>
    <m/>
    <n v="68750"/>
    <m/>
    <x v="4"/>
    <x v="4"/>
    <x v="2"/>
    <n v="3"/>
    <x v="4"/>
    <n v="0"/>
    <m/>
    <n v="4"/>
    <m/>
    <m/>
    <m/>
    <m/>
    <s v=""/>
    <s v=""/>
    <n v="1"/>
    <n v="1"/>
    <s v=""/>
    <n v="1"/>
    <s v=""/>
    <s v=""/>
    <n v="1.8235294117647056"/>
    <n v="3"/>
    <s v=""/>
    <n v="2.3333333333333335"/>
    <n v="4"/>
    <s v="WASH"/>
    <n v="3"/>
    <s v="Food Security"/>
    <s v=""/>
    <s v=""/>
    <s v="Flagged"/>
    <s v=""/>
    <m/>
    <m/>
    <m/>
    <n v="1"/>
    <n v="1"/>
    <m/>
  </r>
  <r>
    <s v="MZ0412"/>
    <x v="3"/>
    <s v="MZ04"/>
    <x v="56"/>
    <s v="MZ0412"/>
    <m/>
    <m/>
    <m/>
    <n v="157014"/>
    <m/>
    <x v="4"/>
    <x v="4"/>
    <x v="2"/>
    <m/>
    <x v="4"/>
    <n v="0"/>
    <m/>
    <n v="3"/>
    <m/>
    <m/>
    <m/>
    <m/>
    <s v=""/>
    <s v=""/>
    <n v="1"/>
    <s v=""/>
    <s v=""/>
    <n v="1"/>
    <s v=""/>
    <s v=""/>
    <n v="1.8235294117647056"/>
    <s v=""/>
    <s v=""/>
    <n v="1.5"/>
    <n v="3"/>
    <s v="WASH"/>
    <n v="0"/>
    <s v="CCCM_x000a_Education_x000a_Food Security_x000a_Health_x000a_Overarching Protection_x000a_Shelter"/>
    <s v=""/>
    <s v=""/>
    <s v=""/>
    <s v=""/>
    <m/>
    <m/>
    <m/>
    <n v="0"/>
    <n v="1"/>
    <m/>
  </r>
  <r>
    <s v="MZ0501"/>
    <x v="4"/>
    <s v="MZ05"/>
    <x v="57"/>
    <s v="MZ0501"/>
    <m/>
    <m/>
    <m/>
    <n v="270319"/>
    <m/>
    <x v="4"/>
    <x v="4"/>
    <x v="2"/>
    <m/>
    <x v="4"/>
    <n v="0"/>
    <m/>
    <n v="1"/>
    <m/>
    <m/>
    <m/>
    <m/>
    <n v="1"/>
    <s v=""/>
    <s v=""/>
    <s v=""/>
    <s v=""/>
    <n v="1"/>
    <s v=""/>
    <s v=""/>
    <n v="2.2352941176470589"/>
    <s v=""/>
    <s v=""/>
    <n v="0.5"/>
    <n v="1"/>
    <s v="WASH"/>
    <n v="0"/>
    <s v="CCCM_x000a_Education_x000a_Food Security_x000a_Health_x000a_Overarching Protection_x000a_Shelter"/>
    <s v=""/>
    <s v=""/>
    <s v=""/>
    <s v=""/>
    <m/>
    <m/>
    <m/>
    <n v="0"/>
    <n v="1"/>
    <m/>
  </r>
  <r>
    <s v="MZ0502"/>
    <x v="4"/>
    <s v="MZ05"/>
    <x v="58"/>
    <s v="MZ0502"/>
    <m/>
    <m/>
    <m/>
    <n v="1384147"/>
    <m/>
    <x v="4"/>
    <x v="4"/>
    <x v="2"/>
    <m/>
    <x v="4"/>
    <n v="0"/>
    <m/>
    <n v="1"/>
    <m/>
    <m/>
    <m/>
    <m/>
    <n v="1"/>
    <s v=""/>
    <s v=""/>
    <s v=""/>
    <s v=""/>
    <n v="1"/>
    <s v=""/>
    <s v=""/>
    <n v="2.6470588235294117"/>
    <s v=""/>
    <s v=""/>
    <n v="0.5"/>
    <n v="1"/>
    <s v="WASH"/>
    <n v="0"/>
    <s v="CCCM_x000a_Education_x000a_Food Security_x000a_Health_x000a_Overarching Protection_x000a_Shelter"/>
    <s v=""/>
    <s v=""/>
    <s v=""/>
    <s v=""/>
    <m/>
    <m/>
    <m/>
    <n v="0"/>
    <n v="1"/>
    <m/>
  </r>
  <r>
    <s v="MZ0503"/>
    <x v="4"/>
    <s v="MZ05"/>
    <x v="59"/>
    <s v="MZ0503"/>
    <m/>
    <m/>
    <m/>
    <n v="73471"/>
    <m/>
    <x v="4"/>
    <x v="4"/>
    <x v="0"/>
    <n v="3"/>
    <x v="4"/>
    <n v="0"/>
    <m/>
    <n v="1"/>
    <m/>
    <m/>
    <m/>
    <m/>
    <n v="1"/>
    <n v="1"/>
    <n v="1"/>
    <s v=""/>
    <s v=""/>
    <n v="1"/>
    <s v=""/>
    <s v=""/>
    <n v="1.5882352941176472"/>
    <n v="2"/>
    <s v=""/>
    <n v="1.5"/>
    <n v="3"/>
    <s v="Food Security"/>
    <n v="2"/>
    <s v="Nutrition"/>
    <s v=""/>
    <s v=""/>
    <s v=""/>
    <s v=""/>
    <m/>
    <m/>
    <m/>
    <n v="0"/>
    <n v="1"/>
    <m/>
  </r>
  <r>
    <s v="MZ0504"/>
    <x v="4"/>
    <s v="MZ05"/>
    <x v="60"/>
    <s v="MZ0504"/>
    <m/>
    <m/>
    <m/>
    <n v="248437"/>
    <m/>
    <x v="4"/>
    <x v="4"/>
    <x v="2"/>
    <n v="2"/>
    <x v="4"/>
    <n v="0"/>
    <m/>
    <n v="2"/>
    <m/>
    <m/>
    <m/>
    <m/>
    <s v=""/>
    <n v="2"/>
    <s v=""/>
    <s v=""/>
    <s v=""/>
    <n v="1"/>
    <s v=""/>
    <s v=""/>
    <n v="2.2352941176470589"/>
    <n v="2"/>
    <s v=""/>
    <n v="1.3333333333333333"/>
    <n v="2"/>
    <s v="Food Security_x000a_WASH"/>
    <n v="0"/>
    <s v="CCCM_x000a_Education_x000a_Health_x000a_Overarching Protection_x000a_Shelter"/>
    <s v=""/>
    <s v=""/>
    <s v=""/>
    <s v="Flagged"/>
    <m/>
    <m/>
    <m/>
    <n v="1"/>
    <n v="1"/>
    <m/>
  </r>
  <r>
    <s v="MZ0505"/>
    <x v="4"/>
    <s v="MZ05"/>
    <x v="61"/>
    <s v="MZ0505"/>
    <m/>
    <m/>
    <m/>
    <n v="284675"/>
    <m/>
    <x v="4"/>
    <x v="4"/>
    <x v="2"/>
    <m/>
    <x v="4"/>
    <n v="0"/>
    <m/>
    <n v="2"/>
    <m/>
    <m/>
    <m/>
    <m/>
    <s v=""/>
    <n v="1"/>
    <s v=""/>
    <s v=""/>
    <s v=""/>
    <n v="1"/>
    <s v=""/>
    <s v=""/>
    <n v="1.5882352941176472"/>
    <s v=""/>
    <s v=""/>
    <n v="1"/>
    <n v="2"/>
    <s v="WASH"/>
    <n v="0"/>
    <s v="CCCM_x000a_Education_x000a_Food Security_x000a_Health_x000a_Overarching Protection_x000a_Shelter"/>
    <s v=""/>
    <s v=""/>
    <s v=""/>
    <s v=""/>
    <m/>
    <m/>
    <m/>
    <n v="0"/>
    <n v="1"/>
    <m/>
  </r>
  <r>
    <s v="MZ0506"/>
    <x v="4"/>
    <s v="MZ05"/>
    <x v="62"/>
    <s v="MZ0506"/>
    <m/>
    <m/>
    <m/>
    <n v="53924"/>
    <m/>
    <x v="4"/>
    <x v="4"/>
    <x v="0"/>
    <n v="2"/>
    <x v="4"/>
    <n v="0"/>
    <m/>
    <n v="2"/>
    <m/>
    <m/>
    <m/>
    <m/>
    <s v=""/>
    <n v="3"/>
    <s v=""/>
    <s v=""/>
    <s v=""/>
    <n v="1"/>
    <s v=""/>
    <s v=""/>
    <n v="2.8235294117647061"/>
    <n v="2"/>
    <s v=""/>
    <n v="1.5"/>
    <n v="2"/>
    <s v="Nutrition_x000a_Food Security_x000a_WASH"/>
    <n v="0"/>
    <s v="CCCM_x000a_Education_x000a_Health_x000a_Overarching Protection_x000a_Shelter"/>
    <s v=""/>
    <s v=""/>
    <s v=""/>
    <s v="Flagged"/>
    <m/>
    <m/>
    <m/>
    <n v="1"/>
    <n v="1"/>
    <m/>
  </r>
  <r>
    <s v="MZ0507"/>
    <x v="4"/>
    <s v="MZ05"/>
    <x v="63"/>
    <s v="MZ0507"/>
    <m/>
    <m/>
    <m/>
    <n v="109873"/>
    <m/>
    <x v="4"/>
    <x v="4"/>
    <x v="2"/>
    <n v="2"/>
    <x v="4"/>
    <n v="0"/>
    <m/>
    <n v="1"/>
    <m/>
    <m/>
    <m/>
    <m/>
    <n v="1"/>
    <n v="1"/>
    <s v=""/>
    <s v=""/>
    <s v=""/>
    <n v="1"/>
    <s v=""/>
    <s v=""/>
    <n v="2.8235294117647061"/>
    <n v="2"/>
    <s v=""/>
    <n v="1"/>
    <n v="2"/>
    <s v="Food Security"/>
    <n v="1"/>
    <s v="WASH"/>
    <s v=""/>
    <s v=""/>
    <s v=""/>
    <s v="Flagged"/>
    <m/>
    <m/>
    <m/>
    <n v="1"/>
    <n v="1"/>
    <m/>
  </r>
  <r>
    <s v="MZ0508"/>
    <x v="4"/>
    <s v="MZ05"/>
    <x v="64"/>
    <s v="MZ0508"/>
    <m/>
    <m/>
    <m/>
    <n v="58385"/>
    <m/>
    <x v="4"/>
    <x v="4"/>
    <x v="0"/>
    <m/>
    <x v="4"/>
    <n v="0"/>
    <m/>
    <n v="1"/>
    <m/>
    <m/>
    <m/>
    <m/>
    <n v="1"/>
    <n v="1"/>
    <s v=""/>
    <s v=""/>
    <s v=""/>
    <n v="1"/>
    <s v=""/>
    <s v=""/>
    <n v="2.8235294117647061"/>
    <s v=""/>
    <s v=""/>
    <n v="1"/>
    <n v="2"/>
    <s v="Nutrition"/>
    <n v="1"/>
    <s v="WASH"/>
    <s v=""/>
    <s v=""/>
    <s v=""/>
    <s v=""/>
    <m/>
    <m/>
    <m/>
    <n v="0"/>
    <n v="1"/>
    <m/>
  </r>
  <r>
    <s v="MZ0601"/>
    <x v="5"/>
    <s v="MZ06"/>
    <x v="65"/>
    <s v="MZ0601"/>
    <m/>
    <m/>
    <m/>
    <n v="1327194"/>
    <m/>
    <x v="4"/>
    <x v="4"/>
    <x v="2"/>
    <n v="2"/>
    <x v="4"/>
    <n v="0"/>
    <m/>
    <n v="2"/>
    <m/>
    <m/>
    <m/>
    <m/>
    <s v=""/>
    <n v="2"/>
    <s v=""/>
    <s v=""/>
    <s v=""/>
    <n v="1"/>
    <s v=""/>
    <s v=""/>
    <s v=""/>
    <n v="3"/>
    <s v=""/>
    <n v="1.3333333333333333"/>
    <n v="2"/>
    <s v="Food Security_x000a_WASH"/>
    <n v="0"/>
    <s v="CCCM_x000a_Education_x000a_Health_x000a_Overarching Protection_x000a_Shelter"/>
    <s v=""/>
    <s v=""/>
    <s v="Flagged"/>
    <s v=""/>
    <m/>
    <m/>
    <m/>
    <n v="1"/>
    <n v="1"/>
    <m/>
  </r>
  <r>
    <s v="MZ0701"/>
    <x v="6"/>
    <s v="MZ07"/>
    <x v="66"/>
    <s v="MZ0701"/>
    <m/>
    <m/>
    <m/>
    <n v="450762"/>
    <m/>
    <x v="4"/>
    <x v="4"/>
    <x v="2"/>
    <n v="2"/>
    <x v="4"/>
    <n v="0"/>
    <m/>
    <n v="3"/>
    <m/>
    <m/>
    <m/>
    <m/>
    <s v=""/>
    <n v="1"/>
    <n v="1"/>
    <s v=""/>
    <s v=""/>
    <n v="1"/>
    <s v=""/>
    <n v="2"/>
    <n v="2.2352941176470589"/>
    <n v="2"/>
    <s v=""/>
    <n v="1.6666666666666667"/>
    <n v="3"/>
    <s v="WASH"/>
    <n v="2"/>
    <s v="Food Security"/>
    <s v=""/>
    <s v=""/>
    <s v=""/>
    <s v="Flagged"/>
    <m/>
    <m/>
    <m/>
    <n v="1"/>
    <n v="1"/>
    <m/>
  </r>
  <r>
    <s v="MZ0702"/>
    <x v="6"/>
    <s v="MZ07"/>
    <x v="67"/>
    <s v="MZ0702"/>
    <m/>
    <m/>
    <m/>
    <n v="1110373"/>
    <m/>
    <x v="4"/>
    <x v="4"/>
    <x v="2"/>
    <m/>
    <x v="4"/>
    <n v="0"/>
    <m/>
    <n v="2"/>
    <m/>
    <m/>
    <m/>
    <m/>
    <s v=""/>
    <n v="1"/>
    <s v=""/>
    <s v=""/>
    <s v=""/>
    <n v="1"/>
    <s v=""/>
    <s v=""/>
    <n v="2.2352941176470589"/>
    <s v=""/>
    <s v=""/>
    <n v="1"/>
    <n v="2"/>
    <s v="WASH"/>
    <n v="0"/>
    <s v="CCCM_x000a_Education_x000a_Food Security_x000a_Health_x000a_Overarching Protection_x000a_Shelter"/>
    <s v=""/>
    <s v=""/>
    <s v=""/>
    <s v=""/>
    <m/>
    <m/>
    <m/>
    <n v="0"/>
    <n v="1"/>
    <m/>
  </r>
  <r>
    <s v="MZ0703"/>
    <x v="6"/>
    <s v="MZ07"/>
    <x v="68"/>
    <s v="MZ0703"/>
    <m/>
    <m/>
    <m/>
    <n v="513629"/>
    <m/>
    <x v="0"/>
    <x v="0"/>
    <x v="3"/>
    <n v="3"/>
    <x v="2"/>
    <n v="3"/>
    <m/>
    <n v="4"/>
    <n v="3"/>
    <n v="2"/>
    <n v="3"/>
    <n v="1"/>
    <s v=""/>
    <n v="1"/>
    <n v="4"/>
    <n v="2"/>
    <s v=""/>
    <n v="3"/>
    <s v=""/>
    <n v="2"/>
    <n v="2.2352941176470589"/>
    <n v="3"/>
    <s v=""/>
    <n v="3.1428571428571428"/>
    <n v="4"/>
    <s v="Education_x000a_WASH"/>
    <n v="3"/>
    <s v="CCCM_x000a_Nutrition_x000a_Food Security_x000a_Overarching Protection"/>
    <s v=""/>
    <s v=""/>
    <s v=""/>
    <s v=""/>
    <m/>
    <m/>
    <m/>
    <n v="0"/>
    <n v="3"/>
    <m/>
  </r>
  <r>
    <s v="MZ0704"/>
    <x v="6"/>
    <s v="MZ07"/>
    <x v="69"/>
    <s v="MZ0704"/>
    <m/>
    <m/>
    <m/>
    <n v="87319"/>
    <m/>
    <x v="4"/>
    <x v="4"/>
    <x v="2"/>
    <n v="3"/>
    <x v="4"/>
    <n v="0"/>
    <m/>
    <n v="4"/>
    <m/>
    <m/>
    <m/>
    <m/>
    <s v=""/>
    <s v=""/>
    <n v="1"/>
    <n v="1"/>
    <s v=""/>
    <n v="1"/>
    <s v=""/>
    <n v="2"/>
    <n v="1.8235294117647056"/>
    <n v="3"/>
    <s v=""/>
    <n v="2.3333333333333335"/>
    <n v="4"/>
    <s v="WASH"/>
    <n v="3"/>
    <s v="Food Security"/>
    <s v=""/>
    <s v=""/>
    <s v="Flagged"/>
    <s v="Flagged"/>
    <m/>
    <m/>
    <m/>
    <n v="2"/>
    <n v="1"/>
    <m/>
  </r>
  <r>
    <s v="MZ0705"/>
    <x v="6"/>
    <s v="MZ07"/>
    <x v="70"/>
    <s v="MZ0705"/>
    <m/>
    <m/>
    <m/>
    <n v="132566"/>
    <m/>
    <x v="4"/>
    <x v="4"/>
    <x v="2"/>
    <m/>
    <x v="4"/>
    <n v="0"/>
    <m/>
    <n v="2"/>
    <m/>
    <m/>
    <m/>
    <m/>
    <s v=""/>
    <n v="1"/>
    <s v=""/>
    <s v=""/>
    <s v=""/>
    <n v="1"/>
    <s v=""/>
    <s v=""/>
    <n v="1"/>
    <s v=""/>
    <s v=""/>
    <n v="1"/>
    <n v="2"/>
    <s v="WASH"/>
    <n v="0"/>
    <s v="CCCM_x000a_Education_x000a_Food Security_x000a_Health_x000a_Overarching Protection_x000a_Shelter"/>
    <s v=""/>
    <s v=""/>
    <s v=""/>
    <s v=""/>
    <m/>
    <m/>
    <m/>
    <n v="0"/>
    <n v="1"/>
    <m/>
  </r>
  <r>
    <s v="MZ0706"/>
    <x v="6"/>
    <s v="MZ07"/>
    <x v="71"/>
    <s v="MZ0706"/>
    <m/>
    <m/>
    <m/>
    <n v="123802"/>
    <m/>
    <x v="4"/>
    <x v="4"/>
    <x v="2"/>
    <m/>
    <x v="4"/>
    <n v="0"/>
    <m/>
    <n v="3"/>
    <m/>
    <m/>
    <m/>
    <m/>
    <s v=""/>
    <s v=""/>
    <n v="1"/>
    <s v=""/>
    <s v=""/>
    <n v="1"/>
    <s v=""/>
    <s v=""/>
    <n v="1"/>
    <s v=""/>
    <s v=""/>
    <n v="1.5"/>
    <n v="3"/>
    <s v="WASH"/>
    <n v="0"/>
    <s v="CCCM_x000a_Education_x000a_Food Security_x000a_Health_x000a_Overarching Protection_x000a_Shelter"/>
    <s v=""/>
    <s v=""/>
    <s v=""/>
    <s v=""/>
    <m/>
    <m/>
    <m/>
    <n v="0"/>
    <n v="1"/>
    <m/>
  </r>
  <r>
    <s v="MZ0707"/>
    <x v="6"/>
    <s v="MZ07"/>
    <x v="72"/>
    <s v="MZ0707"/>
    <m/>
    <m/>
    <m/>
    <n v="114176"/>
    <m/>
    <x v="4"/>
    <x v="4"/>
    <x v="2"/>
    <m/>
    <x v="4"/>
    <n v="0"/>
    <m/>
    <n v="3"/>
    <m/>
    <m/>
    <m/>
    <m/>
    <s v=""/>
    <s v=""/>
    <n v="1"/>
    <s v=""/>
    <s v=""/>
    <n v="1"/>
    <s v=""/>
    <s v=""/>
    <n v="2.2352941176470589"/>
    <s v=""/>
    <s v=""/>
    <n v="1.5"/>
    <n v="3"/>
    <s v="WASH"/>
    <n v="0"/>
    <s v="CCCM_x000a_Education_x000a_Food Security_x000a_Health_x000a_Overarching Protection_x000a_Shelter"/>
    <s v=""/>
    <s v=""/>
    <s v=""/>
    <s v=""/>
    <m/>
    <m/>
    <m/>
    <n v="0"/>
    <n v="1"/>
    <m/>
  </r>
  <r>
    <s v="MZ0708"/>
    <x v="6"/>
    <s v="MZ07"/>
    <x v="73"/>
    <s v="MZ0708"/>
    <m/>
    <m/>
    <m/>
    <n v="278852"/>
    <m/>
    <x v="4"/>
    <x v="4"/>
    <x v="2"/>
    <m/>
    <x v="4"/>
    <n v="0"/>
    <m/>
    <n v="3"/>
    <m/>
    <m/>
    <m/>
    <m/>
    <s v=""/>
    <s v=""/>
    <n v="1"/>
    <s v=""/>
    <s v=""/>
    <n v="1"/>
    <s v=""/>
    <s v=""/>
    <n v="2.2352941176470589"/>
    <s v=""/>
    <s v=""/>
    <n v="1.5"/>
    <n v="3"/>
    <s v="WASH"/>
    <n v="0"/>
    <s v="CCCM_x000a_Education_x000a_Food Security_x000a_Health_x000a_Overarching Protection_x000a_Shelter"/>
    <s v=""/>
    <s v=""/>
    <s v=""/>
    <s v=""/>
    <m/>
    <m/>
    <m/>
    <n v="0"/>
    <n v="1"/>
    <m/>
  </r>
  <r>
    <s v="MZ0709"/>
    <x v="6"/>
    <s v="MZ07"/>
    <x v="74"/>
    <s v="MZ0709"/>
    <m/>
    <m/>
    <m/>
    <n v="309547"/>
    <m/>
    <x v="4"/>
    <x v="4"/>
    <x v="2"/>
    <m/>
    <x v="4"/>
    <n v="0"/>
    <m/>
    <n v="3"/>
    <m/>
    <m/>
    <m/>
    <m/>
    <s v=""/>
    <s v=""/>
    <n v="1"/>
    <s v=""/>
    <s v=""/>
    <n v="1"/>
    <s v=""/>
    <s v=""/>
    <n v="2.2352941176470589"/>
    <s v=""/>
    <s v=""/>
    <n v="1.5"/>
    <n v="3"/>
    <s v="WASH"/>
    <n v="0"/>
    <s v="CCCM_x000a_Education_x000a_Food Security_x000a_Health_x000a_Overarching Protection_x000a_Shelter"/>
    <s v=""/>
    <s v=""/>
    <s v=""/>
    <s v=""/>
    <m/>
    <m/>
    <m/>
    <n v="0"/>
    <n v="1"/>
    <m/>
  </r>
  <r>
    <s v="MZ0710"/>
    <x v="6"/>
    <s v="MZ07"/>
    <x v="75"/>
    <s v="MZ0710"/>
    <m/>
    <m/>
    <m/>
    <n v="264578"/>
    <m/>
    <x v="4"/>
    <x v="4"/>
    <x v="2"/>
    <m/>
    <x v="4"/>
    <n v="0"/>
    <m/>
    <n v="3"/>
    <m/>
    <m/>
    <m/>
    <m/>
    <s v=""/>
    <s v=""/>
    <n v="1"/>
    <s v=""/>
    <s v=""/>
    <n v="1"/>
    <s v=""/>
    <s v=""/>
    <n v="2.2352941176470589"/>
    <s v=""/>
    <s v=""/>
    <n v="1.5"/>
    <n v="3"/>
    <s v="WASH"/>
    <n v="0"/>
    <s v="CCCM_x000a_Education_x000a_Food Security_x000a_Health_x000a_Overarching Protection_x000a_Shelter"/>
    <s v=""/>
    <s v=""/>
    <s v=""/>
    <s v=""/>
    <m/>
    <m/>
    <m/>
    <n v="0"/>
    <n v="1"/>
    <m/>
  </r>
  <r>
    <s v="MZ0711"/>
    <x v="6"/>
    <s v="MZ07"/>
    <x v="76"/>
    <s v="MZ0711"/>
    <m/>
    <m/>
    <m/>
    <n v="417406"/>
    <m/>
    <x v="4"/>
    <x v="1"/>
    <x v="3"/>
    <n v="3"/>
    <x v="2"/>
    <n v="4"/>
    <m/>
    <n v="4"/>
    <n v="4"/>
    <n v="2"/>
    <n v="4"/>
    <n v="1"/>
    <s v=""/>
    <n v="1"/>
    <n v="3"/>
    <n v="2"/>
    <s v=""/>
    <n v="3"/>
    <s v=""/>
    <n v="2"/>
    <n v="2.2352941176470589"/>
    <s v=""/>
    <s v=""/>
    <n v="3.1666666666666665"/>
    <n v="4"/>
    <s v="Overarching Protection_x000a_WASH"/>
    <n v="3"/>
    <s v="Education_x000a_Nutrition_x000a_Food Security"/>
    <s v=""/>
    <s v=""/>
    <s v=""/>
    <s v=""/>
    <m/>
    <m/>
    <m/>
    <n v="0"/>
    <n v="3"/>
    <m/>
  </r>
  <r>
    <s v="MZ0712"/>
    <x v="6"/>
    <s v="MZ07"/>
    <x v="77"/>
    <s v="MZ0712"/>
    <m/>
    <m/>
    <m/>
    <n v="124118"/>
    <m/>
    <x v="4"/>
    <x v="4"/>
    <x v="0"/>
    <m/>
    <x v="4"/>
    <n v="0"/>
    <m/>
    <n v="3"/>
    <m/>
    <m/>
    <m/>
    <m/>
    <s v=""/>
    <n v="1"/>
    <n v="1"/>
    <s v=""/>
    <s v=""/>
    <n v="1"/>
    <s v=""/>
    <s v=""/>
    <n v="1.8235294117647056"/>
    <s v=""/>
    <s v=""/>
    <n v="1.6666666666666667"/>
    <n v="3"/>
    <s v="WASH"/>
    <n v="2"/>
    <s v="Nutrition"/>
    <s v=""/>
    <s v=""/>
    <s v=""/>
    <s v=""/>
    <m/>
    <m/>
    <m/>
    <n v="0"/>
    <n v="1"/>
    <m/>
  </r>
  <r>
    <s v="MZ0713"/>
    <x v="6"/>
    <s v="MZ07"/>
    <x v="78"/>
    <s v="MZ0713"/>
    <m/>
    <m/>
    <m/>
    <n v="473226"/>
    <m/>
    <x v="4"/>
    <x v="4"/>
    <x v="2"/>
    <m/>
    <x v="4"/>
    <n v="0"/>
    <m/>
    <n v="3"/>
    <m/>
    <m/>
    <m/>
    <m/>
    <s v=""/>
    <s v=""/>
    <n v="1"/>
    <s v=""/>
    <s v=""/>
    <n v="1"/>
    <s v=""/>
    <s v=""/>
    <n v="3"/>
    <s v=""/>
    <s v=""/>
    <n v="1.5"/>
    <n v="3"/>
    <s v="WASH"/>
    <n v="0"/>
    <s v="CCCM_x000a_Education_x000a_Food Security_x000a_Health_x000a_Overarching Protection_x000a_Shelter"/>
    <s v=""/>
    <s v=""/>
    <s v="Flagged"/>
    <s v=""/>
    <m/>
    <m/>
    <m/>
    <n v="1"/>
    <n v="1"/>
    <m/>
  </r>
  <r>
    <s v="MZ0714"/>
    <x v="6"/>
    <s v="MZ07"/>
    <x v="79"/>
    <s v="MZ0714"/>
    <m/>
    <m/>
    <m/>
    <n v="412736"/>
    <m/>
    <x v="4"/>
    <x v="4"/>
    <x v="2"/>
    <m/>
    <x v="4"/>
    <n v="0"/>
    <m/>
    <n v="3"/>
    <m/>
    <m/>
    <m/>
    <m/>
    <s v=""/>
    <s v=""/>
    <n v="1"/>
    <s v=""/>
    <s v=""/>
    <n v="1"/>
    <s v=""/>
    <s v=""/>
    <n v="1.8235294117647056"/>
    <s v=""/>
    <s v=""/>
    <n v="1.5"/>
    <n v="3"/>
    <s v="WASH"/>
    <n v="0"/>
    <s v="CCCM_x000a_Education_x000a_Food Security_x000a_Health_x000a_Overarching Protection_x000a_Shelter"/>
    <s v=""/>
    <s v=""/>
    <s v=""/>
    <s v=""/>
    <m/>
    <m/>
    <m/>
    <n v="0"/>
    <n v="1"/>
    <m/>
  </r>
  <r>
    <s v="MZ0715"/>
    <x v="6"/>
    <s v="MZ07"/>
    <x v="80"/>
    <s v="MZ0715"/>
    <m/>
    <m/>
    <m/>
    <n v="514410"/>
    <m/>
    <x v="4"/>
    <x v="4"/>
    <x v="2"/>
    <n v="3"/>
    <x v="4"/>
    <n v="0"/>
    <m/>
    <n v="3"/>
    <m/>
    <m/>
    <m/>
    <m/>
    <s v=""/>
    <s v=""/>
    <n v="2"/>
    <s v=""/>
    <s v=""/>
    <n v="1"/>
    <s v=""/>
    <n v="2"/>
    <n v="2.2352941176470589"/>
    <n v="2"/>
    <s v=""/>
    <n v="2"/>
    <n v="3"/>
    <s v="Food Security_x000a_WASH"/>
    <n v="0"/>
    <s v="CCCM_x000a_Education_x000a_Health_x000a_Overarching Protection_x000a_Shelter"/>
    <s v=""/>
    <s v=""/>
    <s v=""/>
    <s v="Flagged"/>
    <m/>
    <m/>
    <m/>
    <n v="1"/>
    <n v="1"/>
    <m/>
  </r>
  <r>
    <s v="MZ0716"/>
    <x v="6"/>
    <s v="MZ07"/>
    <x v="81"/>
    <s v="MZ0716"/>
    <m/>
    <m/>
    <m/>
    <n v="230193"/>
    <m/>
    <x v="4"/>
    <x v="4"/>
    <x v="2"/>
    <n v="3"/>
    <x v="4"/>
    <n v="0"/>
    <m/>
    <n v="3"/>
    <m/>
    <m/>
    <m/>
    <m/>
    <s v=""/>
    <s v=""/>
    <n v="2"/>
    <s v=""/>
    <s v=""/>
    <n v="1"/>
    <s v=""/>
    <n v="2"/>
    <n v="2.2352941176470589"/>
    <n v="3"/>
    <s v=""/>
    <n v="2"/>
    <n v="3"/>
    <s v="Food Security_x000a_WASH"/>
    <n v="0"/>
    <s v="CCCM_x000a_Education_x000a_Health_x000a_Overarching Protection_x000a_Shelter"/>
    <s v=""/>
    <s v=""/>
    <s v="Flagged"/>
    <s v="Flagged"/>
    <m/>
    <m/>
    <m/>
    <n v="2"/>
    <n v="1"/>
    <m/>
  </r>
  <r>
    <s v="MZ0717"/>
    <x v="6"/>
    <s v="MZ07"/>
    <x v="82"/>
    <s v="MZ0717"/>
    <m/>
    <m/>
    <m/>
    <n v="169549"/>
    <m/>
    <x v="4"/>
    <x v="4"/>
    <x v="2"/>
    <m/>
    <x v="4"/>
    <n v="0"/>
    <m/>
    <n v="3"/>
    <m/>
    <m/>
    <m/>
    <m/>
    <s v=""/>
    <s v=""/>
    <n v="1"/>
    <s v=""/>
    <s v=""/>
    <n v="1"/>
    <s v=""/>
    <s v=""/>
    <n v="2.2352941176470589"/>
    <s v=""/>
    <s v=""/>
    <n v="1.5"/>
    <n v="3"/>
    <s v="WASH"/>
    <n v="0"/>
    <s v="CCCM_x000a_Education_x000a_Food Security_x000a_Health_x000a_Overarching Protection_x000a_Shelter"/>
    <s v=""/>
    <s v=""/>
    <s v=""/>
    <s v=""/>
    <m/>
    <m/>
    <m/>
    <n v="0"/>
    <n v="1"/>
    <m/>
  </r>
  <r>
    <s v="MZ0718"/>
    <x v="6"/>
    <s v="MZ07"/>
    <x v="83"/>
    <s v="MZ0718"/>
    <m/>
    <m/>
    <m/>
    <n v="231761"/>
    <m/>
    <x v="4"/>
    <x v="4"/>
    <x v="2"/>
    <m/>
    <x v="4"/>
    <n v="0"/>
    <m/>
    <n v="3"/>
    <m/>
    <m/>
    <m/>
    <m/>
    <s v=""/>
    <s v=""/>
    <n v="1"/>
    <s v=""/>
    <s v=""/>
    <n v="1"/>
    <s v=""/>
    <s v=""/>
    <n v="1.8235294117647056"/>
    <s v=""/>
    <s v=""/>
    <n v="1.5"/>
    <n v="3"/>
    <s v="WASH"/>
    <n v="0"/>
    <s v="CCCM_x000a_Education_x000a_Food Security_x000a_Health_x000a_Overarching Protection_x000a_Shelter"/>
    <s v=""/>
    <s v=""/>
    <s v=""/>
    <s v=""/>
    <m/>
    <m/>
    <m/>
    <n v="0"/>
    <n v="1"/>
    <m/>
  </r>
  <r>
    <s v="MZ0719"/>
    <x v="6"/>
    <s v="MZ07"/>
    <x v="84"/>
    <s v="MZ0719"/>
    <m/>
    <m/>
    <m/>
    <n v="408435"/>
    <m/>
    <x v="4"/>
    <x v="4"/>
    <x v="2"/>
    <n v="2"/>
    <x v="4"/>
    <n v="0"/>
    <m/>
    <n v="3"/>
    <m/>
    <m/>
    <m/>
    <m/>
    <s v=""/>
    <n v="1"/>
    <n v="1"/>
    <s v=""/>
    <s v=""/>
    <n v="1"/>
    <s v=""/>
    <n v="2"/>
    <n v="2.6470588235294117"/>
    <n v="3"/>
    <s v=""/>
    <n v="1.6666666666666667"/>
    <n v="3"/>
    <s v="WASH"/>
    <n v="2"/>
    <s v="Food Security"/>
    <s v=""/>
    <s v=""/>
    <s v="Flagged"/>
    <s v="Flagged"/>
    <m/>
    <m/>
    <m/>
    <n v="2"/>
    <n v="1"/>
    <m/>
  </r>
  <r>
    <s v="MZ0720"/>
    <x v="6"/>
    <s v="MZ07"/>
    <x v="85"/>
    <s v="MZ0720"/>
    <m/>
    <m/>
    <m/>
    <n v="160552"/>
    <m/>
    <x v="4"/>
    <x v="4"/>
    <x v="2"/>
    <m/>
    <x v="4"/>
    <n v="0"/>
    <m/>
    <n v="3"/>
    <m/>
    <m/>
    <m/>
    <m/>
    <s v=""/>
    <s v=""/>
    <n v="1"/>
    <s v=""/>
    <s v=""/>
    <n v="1"/>
    <s v=""/>
    <s v=""/>
    <n v="1.5882352941176472"/>
    <s v=""/>
    <s v=""/>
    <n v="1.5"/>
    <n v="3"/>
    <s v="WASH"/>
    <n v="0"/>
    <s v="CCCM_x000a_Education_x000a_Food Security_x000a_Health_x000a_Overarching Protection_x000a_Shelter"/>
    <s v=""/>
    <s v=""/>
    <s v=""/>
    <s v=""/>
    <m/>
    <m/>
    <m/>
    <n v="0"/>
    <n v="1"/>
    <m/>
  </r>
  <r>
    <s v="MZ0721"/>
    <x v="6"/>
    <s v="MZ07"/>
    <x v="86"/>
    <s v="MZ0721"/>
    <m/>
    <m/>
    <m/>
    <n v="188737"/>
    <m/>
    <x v="4"/>
    <x v="4"/>
    <x v="2"/>
    <m/>
    <x v="4"/>
    <n v="0"/>
    <m/>
    <n v="3"/>
    <m/>
    <m/>
    <m/>
    <m/>
    <s v=""/>
    <s v=""/>
    <n v="1"/>
    <s v=""/>
    <s v=""/>
    <n v="1"/>
    <s v=""/>
    <s v=""/>
    <n v="1.8235294117647056"/>
    <s v=""/>
    <s v=""/>
    <n v="1.5"/>
    <n v="3"/>
    <s v="WASH"/>
    <n v="0"/>
    <s v="CCCM_x000a_Education_x000a_Food Security_x000a_Health_x000a_Overarching Protection_x000a_Shelter"/>
    <s v=""/>
    <s v=""/>
    <s v=""/>
    <s v=""/>
    <m/>
    <m/>
    <m/>
    <n v="0"/>
    <n v="1"/>
    <m/>
  </r>
  <r>
    <s v="MZ0722"/>
    <x v="6"/>
    <s v="MZ07"/>
    <x v="87"/>
    <s v="MZ0722"/>
    <m/>
    <m/>
    <m/>
    <n v="216590"/>
    <m/>
    <x v="4"/>
    <x v="4"/>
    <x v="2"/>
    <m/>
    <x v="4"/>
    <n v="0"/>
    <m/>
    <n v="3"/>
    <m/>
    <m/>
    <m/>
    <m/>
    <s v=""/>
    <s v=""/>
    <n v="1"/>
    <s v=""/>
    <s v=""/>
    <n v="1"/>
    <s v=""/>
    <s v=""/>
    <n v="2.2352941176470589"/>
    <s v=""/>
    <s v=""/>
    <n v="1.5"/>
    <n v="3"/>
    <s v="WASH"/>
    <n v="0"/>
    <s v="CCCM_x000a_Education_x000a_Food Security_x000a_Health_x000a_Overarching Protection_x000a_Shelter"/>
    <s v=""/>
    <s v=""/>
    <s v=""/>
    <s v=""/>
    <m/>
    <m/>
    <m/>
    <n v="0"/>
    <n v="1"/>
    <m/>
  </r>
  <r>
    <s v="MZ0723"/>
    <x v="6"/>
    <s v="MZ07"/>
    <x v="88"/>
    <s v="MZ0723"/>
    <m/>
    <m/>
    <m/>
    <n v="321803"/>
    <m/>
    <x v="4"/>
    <x v="4"/>
    <x v="2"/>
    <m/>
    <x v="4"/>
    <n v="0"/>
    <m/>
    <n v="3"/>
    <m/>
    <m/>
    <m/>
    <m/>
    <s v=""/>
    <s v=""/>
    <n v="1"/>
    <s v=""/>
    <s v=""/>
    <n v="1"/>
    <s v=""/>
    <s v=""/>
    <n v="2.2352941176470589"/>
    <s v=""/>
    <s v=""/>
    <n v="1.5"/>
    <n v="3"/>
    <s v="WASH"/>
    <n v="0"/>
    <s v="CCCM_x000a_Education_x000a_Food Security_x000a_Health_x000a_Overarching Protection_x000a_Shelter"/>
    <s v=""/>
    <s v=""/>
    <s v=""/>
    <s v=""/>
    <m/>
    <m/>
    <m/>
    <n v="0"/>
    <n v="1"/>
    <m/>
  </r>
  <r>
    <s v="MZ0801"/>
    <x v="7"/>
    <s v="MZ08"/>
    <x v="89"/>
    <s v="MZ0801"/>
    <m/>
    <m/>
    <m/>
    <n v="99629"/>
    <m/>
    <x v="4"/>
    <x v="4"/>
    <x v="2"/>
    <m/>
    <x v="4"/>
    <n v="0"/>
    <m/>
    <n v="2"/>
    <m/>
    <m/>
    <m/>
    <m/>
    <s v=""/>
    <n v="1"/>
    <s v=""/>
    <s v=""/>
    <s v=""/>
    <n v="1"/>
    <s v=""/>
    <n v="2"/>
    <n v="2.4117647058823528"/>
    <s v=""/>
    <s v=""/>
    <n v="1"/>
    <n v="2"/>
    <s v="WASH"/>
    <n v="0"/>
    <s v="CCCM_x000a_Education_x000a_Food Security_x000a_Health_x000a_Overarching Protection_x000a_Shelter"/>
    <s v=""/>
    <s v=""/>
    <s v=""/>
    <s v="Flagged"/>
    <m/>
    <m/>
    <m/>
    <n v="1"/>
    <n v="1"/>
    <m/>
  </r>
  <r>
    <s v="MZ0802"/>
    <x v="7"/>
    <s v="MZ08"/>
    <x v="90"/>
    <s v="MZ0802"/>
    <m/>
    <m/>
    <m/>
    <n v="365136"/>
    <m/>
    <x v="4"/>
    <x v="4"/>
    <x v="2"/>
    <m/>
    <x v="4"/>
    <n v="0"/>
    <m/>
    <n v="2"/>
    <m/>
    <m/>
    <m/>
    <m/>
    <s v=""/>
    <n v="1"/>
    <s v=""/>
    <s v=""/>
    <s v=""/>
    <n v="1"/>
    <s v=""/>
    <n v="2"/>
    <n v="2.8235294117647061"/>
    <s v=""/>
    <s v=""/>
    <n v="1"/>
    <n v="2"/>
    <s v="WASH"/>
    <n v="0"/>
    <s v="CCCM_x000a_Education_x000a_Food Security_x000a_Health_x000a_Overarching Protection_x000a_Shelter"/>
    <s v=""/>
    <s v=""/>
    <s v=""/>
    <s v="Flagged"/>
    <m/>
    <m/>
    <m/>
    <n v="1"/>
    <n v="1"/>
    <m/>
  </r>
  <r>
    <s v="MZ0803"/>
    <x v="7"/>
    <s v="MZ08"/>
    <x v="91"/>
    <s v="MZ0803"/>
    <m/>
    <m/>
    <m/>
    <n v="381691"/>
    <m/>
    <x v="4"/>
    <x v="4"/>
    <x v="0"/>
    <n v="2"/>
    <x v="4"/>
    <n v="0"/>
    <m/>
    <n v="3"/>
    <m/>
    <m/>
    <m/>
    <m/>
    <s v=""/>
    <n v="2"/>
    <n v="1"/>
    <s v=""/>
    <s v=""/>
    <n v="1"/>
    <s v=""/>
    <n v="2"/>
    <n v="2.8235294117647061"/>
    <n v="1"/>
    <s v=""/>
    <n v="1.75"/>
    <n v="3"/>
    <s v="WASH"/>
    <n v="2"/>
    <s v="Nutrition_x000a_Food Security"/>
    <s v=""/>
    <s v=""/>
    <s v=""/>
    <s v="Flagged"/>
    <m/>
    <m/>
    <m/>
    <n v="1"/>
    <n v="1"/>
    <m/>
  </r>
  <r>
    <s v="MZ0804"/>
    <x v="7"/>
    <s v="MZ08"/>
    <x v="92"/>
    <s v="MZ0804"/>
    <m/>
    <m/>
    <m/>
    <m/>
    <m/>
    <x v="4"/>
    <x v="4"/>
    <x v="2"/>
    <m/>
    <x v="4"/>
    <n v="0"/>
    <m/>
    <n v="3"/>
    <m/>
    <m/>
    <m/>
    <m/>
    <s v=""/>
    <s v=""/>
    <n v="1"/>
    <s v=""/>
    <s v=""/>
    <n v="1"/>
    <s v=""/>
    <s v=""/>
    <s v=""/>
    <s v=""/>
    <s v=""/>
    <n v="1.5"/>
    <n v="3"/>
    <s v="WASH"/>
    <n v="0"/>
    <s v="CCCM_x000a_Education_x000a_Food Security_x000a_Health_x000a_Overarching Protection_x000a_Shelter"/>
    <s v=""/>
    <s v=""/>
    <s v=""/>
    <s v=""/>
    <m/>
    <m/>
    <m/>
    <n v="0"/>
    <n v="1"/>
    <m/>
  </r>
  <r>
    <s v="MZ0805"/>
    <x v="7"/>
    <s v="MZ08"/>
    <x v="93"/>
    <s v="MZ0805"/>
    <m/>
    <m/>
    <m/>
    <m/>
    <m/>
    <x v="4"/>
    <x v="4"/>
    <x v="2"/>
    <m/>
    <x v="4"/>
    <n v="0"/>
    <m/>
    <n v="3"/>
    <m/>
    <m/>
    <m/>
    <m/>
    <s v=""/>
    <s v=""/>
    <n v="1"/>
    <s v=""/>
    <s v=""/>
    <n v="1"/>
    <s v=""/>
    <s v=""/>
    <s v=""/>
    <s v=""/>
    <s v=""/>
    <n v="1.5"/>
    <n v="3"/>
    <s v="WASH"/>
    <n v="0"/>
    <s v="CCCM_x000a_Education_x000a_Food Security_x000a_Health_x000a_Overarching Protection_x000a_Shelter"/>
    <s v=""/>
    <s v=""/>
    <s v=""/>
    <s v=""/>
    <m/>
    <m/>
    <m/>
    <n v="0"/>
    <n v="1"/>
    <m/>
  </r>
  <r>
    <s v="MZ0806"/>
    <x v="7"/>
    <s v="MZ08"/>
    <x v="94"/>
    <s v="MZ0806"/>
    <m/>
    <m/>
    <m/>
    <n v="152634"/>
    <m/>
    <x v="4"/>
    <x v="4"/>
    <x v="2"/>
    <n v="2"/>
    <x v="4"/>
    <n v="0"/>
    <m/>
    <n v="3"/>
    <m/>
    <m/>
    <m/>
    <m/>
    <s v=""/>
    <n v="1"/>
    <n v="1"/>
    <s v=""/>
    <s v=""/>
    <n v="1"/>
    <s v=""/>
    <n v="2"/>
    <s v=""/>
    <n v="2"/>
    <s v=""/>
    <n v="1.6666666666666667"/>
    <n v="3"/>
    <s v="WASH"/>
    <n v="2"/>
    <s v="Food Security"/>
    <s v=""/>
    <s v=""/>
    <s v=""/>
    <s v="Flagged"/>
    <m/>
    <m/>
    <m/>
    <n v="1"/>
    <n v="1"/>
    <m/>
  </r>
  <r>
    <s v="MZ0807"/>
    <x v="7"/>
    <s v="MZ08"/>
    <x v="95"/>
    <s v="MZ0807"/>
    <m/>
    <m/>
    <m/>
    <m/>
    <m/>
    <x v="4"/>
    <x v="4"/>
    <x v="2"/>
    <m/>
    <x v="4"/>
    <n v="0"/>
    <m/>
    <n v="3"/>
    <m/>
    <m/>
    <m/>
    <m/>
    <s v=""/>
    <s v=""/>
    <n v="1"/>
    <s v=""/>
    <s v=""/>
    <n v="1"/>
    <s v=""/>
    <s v=""/>
    <n v="2.8235294117647061"/>
    <s v=""/>
    <s v=""/>
    <n v="1.5"/>
    <n v="3"/>
    <s v="WASH"/>
    <n v="0"/>
    <s v="CCCM_x000a_Education_x000a_Food Security_x000a_Health_x000a_Overarching Protection_x000a_Shelter"/>
    <s v=""/>
    <s v=""/>
    <s v=""/>
    <s v=""/>
    <m/>
    <m/>
    <m/>
    <n v="0"/>
    <n v="1"/>
    <m/>
  </r>
  <r>
    <s v="MZ0808"/>
    <x v="7"/>
    <s v="MZ08"/>
    <x v="96"/>
    <s v="MZ0808"/>
    <m/>
    <m/>
    <m/>
    <n v="56015"/>
    <m/>
    <x v="4"/>
    <x v="4"/>
    <x v="2"/>
    <m/>
    <x v="4"/>
    <n v="0"/>
    <m/>
    <n v="3"/>
    <m/>
    <m/>
    <m/>
    <m/>
    <s v=""/>
    <s v=""/>
    <n v="1"/>
    <s v=""/>
    <s v=""/>
    <n v="1"/>
    <s v=""/>
    <n v="2"/>
    <n v="2.8235294117647061"/>
    <s v=""/>
    <s v=""/>
    <n v="1.5"/>
    <n v="3"/>
    <s v="WASH"/>
    <n v="0"/>
    <s v="CCCM_x000a_Education_x000a_Food Security_x000a_Health_x000a_Overarching Protection_x000a_Shelter"/>
    <s v=""/>
    <s v=""/>
    <s v=""/>
    <s v="Flagged"/>
    <m/>
    <m/>
    <m/>
    <n v="1"/>
    <n v="1"/>
    <m/>
  </r>
  <r>
    <s v="MZ0809"/>
    <x v="7"/>
    <s v="MZ08"/>
    <x v="97"/>
    <s v="MZ0809"/>
    <m/>
    <m/>
    <m/>
    <n v="286386"/>
    <m/>
    <x v="4"/>
    <x v="4"/>
    <x v="2"/>
    <n v="2"/>
    <x v="4"/>
    <n v="0"/>
    <m/>
    <n v="3"/>
    <m/>
    <m/>
    <m/>
    <m/>
    <s v=""/>
    <n v="1"/>
    <n v="1"/>
    <s v=""/>
    <s v=""/>
    <n v="1"/>
    <s v=""/>
    <n v="2"/>
    <n v="1.8235294117647056"/>
    <n v="2"/>
    <s v=""/>
    <n v="1.6666666666666667"/>
    <n v="3"/>
    <s v="WASH"/>
    <n v="2"/>
    <s v="Food Security"/>
    <s v=""/>
    <s v=""/>
    <s v=""/>
    <s v="Flagged"/>
    <m/>
    <m/>
    <m/>
    <n v="1"/>
    <n v="1"/>
    <m/>
  </r>
  <r>
    <s v="MZ0810"/>
    <x v="7"/>
    <s v="MZ08"/>
    <x v="98"/>
    <s v="MZ0810"/>
    <m/>
    <m/>
    <m/>
    <n v="108054"/>
    <m/>
    <x v="4"/>
    <x v="4"/>
    <x v="2"/>
    <n v="2"/>
    <x v="4"/>
    <n v="0"/>
    <m/>
    <n v="3"/>
    <m/>
    <m/>
    <m/>
    <m/>
    <s v=""/>
    <n v="1"/>
    <n v="1"/>
    <s v=""/>
    <s v=""/>
    <n v="1"/>
    <s v=""/>
    <n v="2"/>
    <n v="2.8235294117647061"/>
    <n v="2"/>
    <s v=""/>
    <n v="1.6666666666666667"/>
    <n v="3"/>
    <s v="WASH"/>
    <n v="2"/>
    <s v="Food Security"/>
    <s v=""/>
    <s v=""/>
    <s v=""/>
    <s v="Flagged"/>
    <m/>
    <m/>
    <m/>
    <n v="1"/>
    <n v="1"/>
    <m/>
  </r>
  <r>
    <s v="MZ0811"/>
    <x v="7"/>
    <s v="MZ08"/>
    <x v="99"/>
    <s v="MZ0811"/>
    <m/>
    <m/>
    <m/>
    <n v="93261"/>
    <m/>
    <x v="4"/>
    <x v="4"/>
    <x v="2"/>
    <m/>
    <x v="4"/>
    <n v="0"/>
    <m/>
    <n v="3"/>
    <m/>
    <m/>
    <m/>
    <m/>
    <s v=""/>
    <s v=""/>
    <n v="1"/>
    <s v=""/>
    <s v=""/>
    <n v="1"/>
    <s v=""/>
    <n v="2"/>
    <n v="3.2352941176470589"/>
    <s v=""/>
    <s v=""/>
    <n v="1.5"/>
    <n v="3"/>
    <s v="WASH"/>
    <n v="0"/>
    <s v="CCCM_x000a_Education_x000a_Food Security_x000a_Health_x000a_Overarching Protection_x000a_Shelter"/>
    <s v=""/>
    <s v=""/>
    <s v="Flagged"/>
    <s v="Flagged"/>
    <m/>
    <m/>
    <m/>
    <n v="2"/>
    <n v="1"/>
    <m/>
  </r>
  <r>
    <s v="MZ0812"/>
    <x v="7"/>
    <s v="MZ08"/>
    <x v="100"/>
    <s v="MZ0812"/>
    <m/>
    <m/>
    <m/>
    <n v="40194"/>
    <m/>
    <x v="4"/>
    <x v="4"/>
    <x v="2"/>
    <m/>
    <x v="4"/>
    <n v="0"/>
    <m/>
    <n v="3"/>
    <m/>
    <m/>
    <m/>
    <m/>
    <s v=""/>
    <s v=""/>
    <n v="1"/>
    <s v=""/>
    <s v=""/>
    <n v="1"/>
    <s v=""/>
    <n v="2"/>
    <n v="1"/>
    <s v=""/>
    <s v=""/>
    <n v="1.5"/>
    <n v="3"/>
    <s v="WASH"/>
    <n v="0"/>
    <s v="CCCM_x000a_Education_x000a_Food Security_x000a_Health_x000a_Overarching Protection_x000a_Shelter"/>
    <s v=""/>
    <s v=""/>
    <s v=""/>
    <s v=""/>
    <m/>
    <m/>
    <m/>
    <n v="0"/>
    <n v="1"/>
    <m/>
  </r>
  <r>
    <s v="MZ0813"/>
    <x v="7"/>
    <s v="MZ08"/>
    <x v="101"/>
    <s v="MZ0813"/>
    <m/>
    <m/>
    <m/>
    <n v="354895"/>
    <m/>
    <x v="4"/>
    <x v="4"/>
    <x v="0"/>
    <n v="2"/>
    <x v="4"/>
    <n v="0"/>
    <m/>
    <n v="3"/>
    <m/>
    <m/>
    <m/>
    <m/>
    <s v=""/>
    <n v="2"/>
    <n v="1"/>
    <s v=""/>
    <s v=""/>
    <n v="1"/>
    <s v=""/>
    <n v="2"/>
    <n v="2.2352941176470589"/>
    <n v="1"/>
    <s v=""/>
    <n v="1.75"/>
    <n v="3"/>
    <s v="WASH"/>
    <n v="2"/>
    <s v="Nutrition_x000a_Food Security"/>
    <s v=""/>
    <s v=""/>
    <s v=""/>
    <s v="Flagged"/>
    <m/>
    <m/>
    <m/>
    <n v="1"/>
    <n v="1"/>
    <m/>
  </r>
  <r>
    <s v="MZ0814"/>
    <x v="7"/>
    <s v="MZ08"/>
    <x v="102"/>
    <s v="MZ0814"/>
    <m/>
    <m/>
    <m/>
    <n v="30360"/>
    <m/>
    <x v="1"/>
    <x v="1"/>
    <x v="4"/>
    <n v="3"/>
    <x v="1"/>
    <n v="3"/>
    <m/>
    <n v="4"/>
    <n v="2"/>
    <n v="2"/>
    <n v="3"/>
    <n v="1"/>
    <n v="2"/>
    <s v=""/>
    <n v="4"/>
    <n v="1"/>
    <s v=""/>
    <n v="3"/>
    <s v=""/>
    <s v=""/>
    <n v="2.8235294117647061"/>
    <s v=""/>
    <s v=""/>
    <n v="2.5714285714285716"/>
    <n v="4"/>
    <s v="WASH"/>
    <n v="3"/>
    <s v="Education_x000a_Food Security_x000a_Health_x000a_Overarching Protection"/>
    <s v=""/>
    <s v=""/>
    <s v=""/>
    <s v=""/>
    <m/>
    <m/>
    <m/>
    <n v="0"/>
    <n v="3"/>
    <m/>
  </r>
  <r>
    <s v="MZ0815"/>
    <x v="7"/>
    <s v="MZ08"/>
    <x v="103"/>
    <s v="MZ0815"/>
    <m/>
    <m/>
    <m/>
    <n v="61328"/>
    <m/>
    <x v="4"/>
    <x v="4"/>
    <x v="2"/>
    <m/>
    <x v="4"/>
    <n v="0"/>
    <m/>
    <n v="3"/>
    <m/>
    <m/>
    <m/>
    <m/>
    <s v=""/>
    <s v=""/>
    <n v="1"/>
    <s v=""/>
    <s v=""/>
    <n v="1"/>
    <s v=""/>
    <s v=""/>
    <n v="2.2352941176470589"/>
    <s v=""/>
    <s v=""/>
    <n v="1.5"/>
    <n v="3"/>
    <s v="WASH"/>
    <n v="0"/>
    <s v="CCCM_x000a_Education_x000a_Food Security_x000a_Health_x000a_Overarching Protection_x000a_Shelter"/>
    <s v=""/>
    <s v=""/>
    <s v=""/>
    <s v=""/>
    <m/>
    <m/>
    <m/>
    <n v="0"/>
    <n v="1"/>
    <m/>
  </r>
  <r>
    <s v="MZ0816"/>
    <x v="7"/>
    <s v="MZ08"/>
    <x v="104"/>
    <s v="MZ0816"/>
    <m/>
    <m/>
    <m/>
    <n v="59482"/>
    <m/>
    <x v="4"/>
    <x v="4"/>
    <x v="2"/>
    <m/>
    <x v="4"/>
    <n v="0"/>
    <m/>
    <n v="3"/>
    <m/>
    <m/>
    <m/>
    <m/>
    <s v=""/>
    <s v=""/>
    <n v="1"/>
    <s v=""/>
    <s v=""/>
    <n v="1"/>
    <s v=""/>
    <s v=""/>
    <n v="2.2352941176470589"/>
    <s v=""/>
    <s v=""/>
    <n v="1.5"/>
    <n v="3"/>
    <s v="WASH"/>
    <n v="0"/>
    <s v="CCCM_x000a_Education_x000a_Food Security_x000a_Health_x000a_Overarching Protection_x000a_Shelter"/>
    <s v=""/>
    <s v=""/>
    <s v=""/>
    <s v=""/>
    <m/>
    <m/>
    <m/>
    <n v="0"/>
    <n v="1"/>
    <m/>
  </r>
  <r>
    <s v="MZ0817"/>
    <x v="7"/>
    <s v="MZ08"/>
    <x v="105"/>
    <s v="MZ0817"/>
    <m/>
    <m/>
    <m/>
    <n v="132194"/>
    <m/>
    <x v="4"/>
    <x v="4"/>
    <x v="2"/>
    <m/>
    <x v="4"/>
    <n v="0"/>
    <m/>
    <n v="3"/>
    <m/>
    <m/>
    <m/>
    <m/>
    <s v=""/>
    <s v=""/>
    <n v="1"/>
    <s v=""/>
    <s v=""/>
    <n v="1"/>
    <s v=""/>
    <s v=""/>
    <n v="1.8235294117647056"/>
    <s v=""/>
    <s v=""/>
    <n v="1.5"/>
    <n v="3"/>
    <s v="WASH"/>
    <n v="0"/>
    <s v="CCCM_x000a_Education_x000a_Food Security_x000a_Health_x000a_Overarching Protection_x000a_Shelter"/>
    <s v=""/>
    <s v=""/>
    <s v=""/>
    <s v=""/>
    <m/>
    <m/>
    <m/>
    <n v="0"/>
    <n v="1"/>
    <m/>
  </r>
  <r>
    <s v="MZ0818"/>
    <x v="7"/>
    <s v="MZ08"/>
    <x v="106"/>
    <s v="MZ0818"/>
    <m/>
    <m/>
    <m/>
    <n v="60817"/>
    <m/>
    <x v="4"/>
    <x v="4"/>
    <x v="2"/>
    <m/>
    <x v="4"/>
    <n v="0"/>
    <m/>
    <n v="2"/>
    <m/>
    <m/>
    <m/>
    <m/>
    <s v=""/>
    <n v="1"/>
    <s v=""/>
    <s v=""/>
    <s v=""/>
    <n v="1"/>
    <s v=""/>
    <s v=""/>
    <n v="2.2352941176470589"/>
    <s v=""/>
    <s v=""/>
    <n v="1"/>
    <n v="2"/>
    <s v="WASH"/>
    <n v="0"/>
    <s v="CCCM_x000a_Education_x000a_Food Security_x000a_Health_x000a_Overarching Protection_x000a_Shelter"/>
    <s v=""/>
    <s v=""/>
    <s v=""/>
    <s v=""/>
    <m/>
    <m/>
    <m/>
    <n v="0"/>
    <n v="1"/>
    <m/>
  </r>
  <r>
    <s v="MZ0819"/>
    <x v="7"/>
    <s v="MZ08"/>
    <x v="107"/>
    <s v="MZ0819"/>
    <m/>
    <m/>
    <m/>
    <n v="103494"/>
    <m/>
    <x v="4"/>
    <x v="4"/>
    <x v="2"/>
    <m/>
    <x v="4"/>
    <n v="0"/>
    <m/>
    <n v="4"/>
    <m/>
    <m/>
    <m/>
    <m/>
    <s v=""/>
    <s v=""/>
    <s v=""/>
    <n v="1"/>
    <s v=""/>
    <n v="1"/>
    <s v=""/>
    <s v=""/>
    <n v="2.4117647058823528"/>
    <s v=""/>
    <s v=""/>
    <n v="2"/>
    <n v="4"/>
    <s v="WASH"/>
    <n v="0"/>
    <s v="CCCM_x000a_Education_x000a_Food Security_x000a_Health_x000a_Overarching Protection_x000a_Shelter"/>
    <s v=""/>
    <s v=""/>
    <s v=""/>
    <s v=""/>
    <m/>
    <m/>
    <m/>
    <n v="0"/>
    <n v="1"/>
    <m/>
  </r>
  <r>
    <s v="MZ0901"/>
    <x v="8"/>
    <s v="MZ09"/>
    <x v="108"/>
    <s v="MZ0901"/>
    <m/>
    <m/>
    <m/>
    <n v="229917"/>
    <m/>
    <x v="4"/>
    <x v="4"/>
    <x v="0"/>
    <n v="3"/>
    <x v="4"/>
    <n v="0"/>
    <m/>
    <n v="3"/>
    <m/>
    <m/>
    <m/>
    <m/>
    <s v=""/>
    <n v="1"/>
    <n v="2"/>
    <s v=""/>
    <s v=""/>
    <n v="1"/>
    <s v=""/>
    <n v="2"/>
    <n v="2.2352941176470589"/>
    <n v="2"/>
    <s v=""/>
    <n v="2"/>
    <n v="3"/>
    <s v="Food Security_x000a_WASH"/>
    <n v="2"/>
    <s v="Nutrition"/>
    <s v=""/>
    <s v=""/>
    <s v=""/>
    <s v="Flagged"/>
    <m/>
    <m/>
    <m/>
    <n v="1"/>
    <n v="1"/>
    <m/>
  </r>
  <r>
    <s v="MZ0902"/>
    <x v="8"/>
    <s v="MZ09"/>
    <x v="109"/>
    <s v="MZ0902"/>
    <m/>
    <m/>
    <m/>
    <n v="202204"/>
    <m/>
    <x v="4"/>
    <x v="4"/>
    <x v="0"/>
    <n v="3"/>
    <x v="4"/>
    <n v="0"/>
    <m/>
    <n v="3"/>
    <m/>
    <m/>
    <m/>
    <m/>
    <s v=""/>
    <n v="1"/>
    <n v="2"/>
    <s v=""/>
    <s v=""/>
    <n v="1"/>
    <s v=""/>
    <n v="2"/>
    <n v="1.8235294117647056"/>
    <n v="3"/>
    <s v=""/>
    <n v="2"/>
    <n v="3"/>
    <s v="Food Security_x000a_WASH"/>
    <n v="2"/>
    <s v="Nutrition"/>
    <s v=""/>
    <s v=""/>
    <s v="Flagged"/>
    <s v="Flagged"/>
    <m/>
    <m/>
    <m/>
    <n v="2"/>
    <n v="1"/>
    <m/>
  </r>
  <r>
    <s v="MZ0903"/>
    <x v="8"/>
    <s v="MZ09"/>
    <x v="110"/>
    <s v="MZ0903"/>
    <m/>
    <m/>
    <m/>
    <n v="96822"/>
    <m/>
    <x v="4"/>
    <x v="4"/>
    <x v="0"/>
    <n v="3"/>
    <x v="4"/>
    <n v="0"/>
    <m/>
    <n v="4"/>
    <m/>
    <m/>
    <m/>
    <m/>
    <s v=""/>
    <n v="1"/>
    <n v="1"/>
    <n v="1"/>
    <s v=""/>
    <n v="1"/>
    <s v=""/>
    <n v="2"/>
    <n v="2.4117647058823528"/>
    <n v="4"/>
    <s v=""/>
    <n v="2.25"/>
    <n v="4"/>
    <s v="WASH"/>
    <n v="3"/>
    <s v="Food Security"/>
    <s v=""/>
    <s v=""/>
    <s v="Flagged"/>
    <s v="Flagged"/>
    <m/>
    <m/>
    <m/>
    <n v="2"/>
    <n v="1"/>
    <m/>
  </r>
  <r>
    <s v="MZ0904"/>
    <x v="8"/>
    <s v="MZ09"/>
    <x v="111"/>
    <s v="MZ0904"/>
    <m/>
    <m/>
    <m/>
    <n v="70246"/>
    <m/>
    <x v="4"/>
    <x v="4"/>
    <x v="2"/>
    <m/>
    <x v="4"/>
    <n v="0"/>
    <m/>
    <n v="3"/>
    <m/>
    <m/>
    <m/>
    <m/>
    <s v=""/>
    <s v=""/>
    <n v="1"/>
    <s v=""/>
    <s v=""/>
    <n v="1"/>
    <s v=""/>
    <n v="2"/>
    <n v="2.4117647058823528"/>
    <s v=""/>
    <s v=""/>
    <n v="1.5"/>
    <n v="3"/>
    <s v="WASH"/>
    <n v="0"/>
    <s v="CCCM_x000a_Education_x000a_Food Security_x000a_Health_x000a_Overarching Protection_x000a_Shelter"/>
    <s v=""/>
    <s v=""/>
    <s v=""/>
    <s v="Flagged"/>
    <m/>
    <m/>
    <m/>
    <n v="1"/>
    <n v="1"/>
    <m/>
  </r>
  <r>
    <s v="MZ0905"/>
    <x v="8"/>
    <s v="MZ09"/>
    <x v="112"/>
    <s v="MZ0905"/>
    <m/>
    <m/>
    <m/>
    <n v="188801"/>
    <m/>
    <x v="4"/>
    <x v="4"/>
    <x v="2"/>
    <n v="2"/>
    <x v="4"/>
    <n v="0"/>
    <m/>
    <n v="2"/>
    <m/>
    <m/>
    <m/>
    <m/>
    <s v=""/>
    <n v="2"/>
    <s v=""/>
    <s v=""/>
    <s v=""/>
    <n v="1"/>
    <s v=""/>
    <n v="2"/>
    <n v="2.2352941176470589"/>
    <n v="1"/>
    <s v=""/>
    <n v="1.3333333333333333"/>
    <n v="2"/>
    <s v="Food Security_x000a_WASH"/>
    <n v="0"/>
    <s v="CCCM_x000a_Education_x000a_Health_x000a_Overarching Protection_x000a_Shelter"/>
    <s v=""/>
    <s v=""/>
    <s v=""/>
    <s v="Flagged"/>
    <m/>
    <m/>
    <m/>
    <n v="1"/>
    <n v="1"/>
    <m/>
  </r>
  <r>
    <s v="MZ0906"/>
    <x v="8"/>
    <s v="MZ09"/>
    <x v="113"/>
    <s v="MZ0906"/>
    <m/>
    <m/>
    <m/>
    <n v="873500"/>
    <m/>
    <x v="4"/>
    <x v="4"/>
    <x v="2"/>
    <m/>
    <x v="4"/>
    <n v="0"/>
    <m/>
    <n v="3"/>
    <m/>
    <m/>
    <m/>
    <m/>
    <s v=""/>
    <s v=""/>
    <n v="1"/>
    <s v=""/>
    <s v=""/>
    <n v="1"/>
    <s v=""/>
    <n v="3"/>
    <n v="2.8235294117647061"/>
    <s v=""/>
    <s v=""/>
    <n v="1.5"/>
    <n v="3"/>
    <s v="WASH"/>
    <n v="0"/>
    <s v="CCCM_x000a_Education_x000a_Food Security_x000a_Health_x000a_Overarching Protection_x000a_Shelter"/>
    <s v=""/>
    <s v=""/>
    <s v="Flagged"/>
    <s v="Flagged"/>
    <m/>
    <m/>
    <m/>
    <n v="2"/>
    <n v="1"/>
    <m/>
  </r>
  <r>
    <s v="MZ0907"/>
    <x v="8"/>
    <s v="MZ09"/>
    <x v="114"/>
    <s v="MZ0907"/>
    <m/>
    <m/>
    <m/>
    <n v="270074"/>
    <m/>
    <x v="4"/>
    <x v="4"/>
    <x v="2"/>
    <m/>
    <x v="4"/>
    <n v="0"/>
    <m/>
    <n v="3"/>
    <m/>
    <m/>
    <m/>
    <m/>
    <s v=""/>
    <s v=""/>
    <n v="1"/>
    <s v=""/>
    <s v=""/>
    <n v="1"/>
    <s v=""/>
    <n v="2"/>
    <n v="2.8235294117647061"/>
    <s v=""/>
    <s v=""/>
    <n v="1.5"/>
    <n v="3"/>
    <s v="WASH"/>
    <n v="0"/>
    <s v="CCCM_x000a_Education_x000a_Food Security_x000a_Health_x000a_Overarching Protection_x000a_Shelter"/>
    <s v=""/>
    <s v=""/>
    <s v=""/>
    <s v="Flagged"/>
    <m/>
    <m/>
    <m/>
    <n v="1"/>
    <n v="1"/>
    <m/>
  </r>
  <r>
    <s v="MZ0908"/>
    <x v="8"/>
    <s v="MZ09"/>
    <x v="115"/>
    <s v="MZ0908"/>
    <m/>
    <m/>
    <m/>
    <n v="220396"/>
    <m/>
    <x v="4"/>
    <x v="4"/>
    <x v="2"/>
    <m/>
    <x v="4"/>
    <n v="0"/>
    <m/>
    <n v="2"/>
    <m/>
    <m/>
    <m/>
    <m/>
    <s v=""/>
    <n v="1"/>
    <s v=""/>
    <s v=""/>
    <s v=""/>
    <n v="1"/>
    <s v=""/>
    <n v="2"/>
    <n v="1.8235294117647056"/>
    <s v=""/>
    <s v=""/>
    <n v="1"/>
    <n v="2"/>
    <s v="WASH"/>
    <n v="0"/>
    <s v="CCCM_x000a_Education_x000a_Food Security_x000a_Health_x000a_Overarching Protection_x000a_Shelter"/>
    <s v=""/>
    <s v=""/>
    <s v=""/>
    <s v=""/>
    <m/>
    <m/>
    <m/>
    <n v="0"/>
    <n v="1"/>
    <m/>
  </r>
  <r>
    <s v="MZ0909"/>
    <x v="8"/>
    <s v="MZ09"/>
    <x v="116"/>
    <s v="MZ0909"/>
    <m/>
    <m/>
    <m/>
    <n v="73826"/>
    <m/>
    <x v="4"/>
    <x v="4"/>
    <x v="0"/>
    <n v="2"/>
    <x v="4"/>
    <n v="0"/>
    <m/>
    <n v="4"/>
    <m/>
    <m/>
    <m/>
    <m/>
    <s v=""/>
    <n v="2"/>
    <s v=""/>
    <n v="1"/>
    <s v=""/>
    <n v="1"/>
    <s v=""/>
    <n v="2"/>
    <n v="2.2352941176470589"/>
    <n v="2"/>
    <s v=""/>
    <n v="2"/>
    <n v="4"/>
    <s v="WASH"/>
    <n v="2"/>
    <s v="Nutrition_x000a_Food Security"/>
    <s v=""/>
    <s v=""/>
    <s v=""/>
    <s v="Flagged"/>
    <m/>
    <m/>
    <m/>
    <n v="1"/>
    <n v="1"/>
    <m/>
  </r>
  <r>
    <s v="MZ0910"/>
    <x v="8"/>
    <s v="MZ09"/>
    <x v="117"/>
    <s v="MZ0910"/>
    <m/>
    <m/>
    <m/>
    <n v="106978"/>
    <m/>
    <x v="4"/>
    <x v="4"/>
    <x v="0"/>
    <m/>
    <x v="4"/>
    <n v="0"/>
    <m/>
    <n v="3"/>
    <m/>
    <m/>
    <m/>
    <m/>
    <s v=""/>
    <n v="1"/>
    <n v="1"/>
    <s v=""/>
    <s v=""/>
    <n v="1"/>
    <s v=""/>
    <n v="2"/>
    <n v="1.5882352941176472"/>
    <s v=""/>
    <s v=""/>
    <n v="1.6666666666666667"/>
    <n v="3"/>
    <s v="WASH"/>
    <n v="2"/>
    <s v="Nutrition"/>
    <s v=""/>
    <s v=""/>
    <s v=""/>
    <s v=""/>
    <m/>
    <m/>
    <m/>
    <n v="0"/>
    <n v="1"/>
    <m/>
  </r>
  <r>
    <s v="MZ0911"/>
    <x v="8"/>
    <s v="MZ09"/>
    <x v="118"/>
    <s v="MZ0911"/>
    <m/>
    <m/>
    <m/>
    <n v="195744"/>
    <m/>
    <x v="4"/>
    <x v="4"/>
    <x v="2"/>
    <m/>
    <x v="4"/>
    <n v="0"/>
    <m/>
    <n v="4"/>
    <m/>
    <m/>
    <m/>
    <m/>
    <s v=""/>
    <s v=""/>
    <s v=""/>
    <n v="1"/>
    <s v=""/>
    <n v="1"/>
    <s v=""/>
    <n v="2"/>
    <n v="2.2352941176470589"/>
    <s v=""/>
    <s v=""/>
    <n v="2"/>
    <n v="4"/>
    <s v="WASH"/>
    <n v="0"/>
    <s v="CCCM_x000a_Education_x000a_Food Security_x000a_Health_x000a_Overarching Protection_x000a_Shelter"/>
    <s v=""/>
    <s v=""/>
    <s v=""/>
    <s v="Flagged"/>
    <m/>
    <m/>
    <m/>
    <n v="1"/>
    <n v="1"/>
    <m/>
  </r>
  <r>
    <s v="MZ0912"/>
    <x v="8"/>
    <s v="MZ09"/>
    <x v="119"/>
    <s v="MZ0912"/>
    <m/>
    <m/>
    <m/>
    <n v="46564"/>
    <m/>
    <x v="4"/>
    <x v="4"/>
    <x v="0"/>
    <n v="3"/>
    <x v="4"/>
    <n v="0"/>
    <m/>
    <n v="4"/>
    <m/>
    <m/>
    <m/>
    <m/>
    <s v=""/>
    <n v="1"/>
    <n v="1"/>
    <n v="1"/>
    <s v=""/>
    <n v="1"/>
    <s v=""/>
    <n v="2"/>
    <n v="2.4117647058823528"/>
    <n v="3"/>
    <s v=""/>
    <n v="2.25"/>
    <n v="4"/>
    <s v="WASH"/>
    <n v="3"/>
    <s v="Food Security"/>
    <s v=""/>
    <s v=""/>
    <s v="Flagged"/>
    <s v="Flagged"/>
    <m/>
    <m/>
    <m/>
    <n v="2"/>
    <n v="1"/>
    <m/>
  </r>
  <r>
    <s v="MZ0913"/>
    <x v="8"/>
    <s v="MZ09"/>
    <x v="120"/>
    <s v="MZ0913"/>
    <m/>
    <m/>
    <m/>
    <n v="364464"/>
    <m/>
    <x v="4"/>
    <x v="4"/>
    <x v="0"/>
    <m/>
    <x v="4"/>
    <n v="0"/>
    <m/>
    <n v="3"/>
    <m/>
    <m/>
    <m/>
    <m/>
    <s v=""/>
    <n v="1"/>
    <n v="1"/>
    <s v=""/>
    <s v=""/>
    <n v="1"/>
    <s v=""/>
    <n v="2"/>
    <n v="2.4117647058823528"/>
    <s v=""/>
    <s v=""/>
    <n v="1.6666666666666667"/>
    <n v="3"/>
    <s v="WASH"/>
    <n v="2"/>
    <s v="Nutrition"/>
    <s v=""/>
    <s v=""/>
    <s v=""/>
    <s v="Flagged"/>
    <m/>
    <m/>
    <m/>
    <n v="1"/>
    <n v="1"/>
    <m/>
  </r>
  <r>
    <s v="MZ1001"/>
    <x v="9"/>
    <s v="MZ10"/>
    <x v="121"/>
    <s v="MZ1001"/>
    <m/>
    <m/>
    <m/>
    <n v="653486"/>
    <m/>
    <x v="4"/>
    <x v="4"/>
    <x v="2"/>
    <m/>
    <x v="4"/>
    <n v="0"/>
    <m/>
    <n v="2"/>
    <m/>
    <m/>
    <m/>
    <m/>
    <s v=""/>
    <n v="1"/>
    <s v=""/>
    <s v=""/>
    <s v=""/>
    <n v="1"/>
    <s v=""/>
    <s v=""/>
    <n v="2.2352941176470589"/>
    <s v=""/>
    <s v=""/>
    <n v="1"/>
    <n v="2"/>
    <s v="WASH"/>
    <n v="0"/>
    <s v="CCCM_x000a_Education_x000a_Food Security_x000a_Health_x000a_Overarching Protection_x000a_Shelter"/>
    <s v=""/>
    <s v=""/>
    <s v=""/>
    <s v=""/>
    <m/>
    <m/>
    <m/>
    <n v="0"/>
    <n v="1"/>
    <m/>
  </r>
  <r>
    <s v="MZ1002"/>
    <x v="9"/>
    <s v="MZ10"/>
    <x v="122"/>
    <s v="MZ1002"/>
    <m/>
    <m/>
    <m/>
    <n v="176851"/>
    <m/>
    <x v="4"/>
    <x v="4"/>
    <x v="2"/>
    <m/>
    <x v="4"/>
    <n v="0"/>
    <m/>
    <n v="2"/>
    <m/>
    <m/>
    <m/>
    <m/>
    <s v=""/>
    <n v="1"/>
    <s v=""/>
    <s v=""/>
    <s v=""/>
    <n v="1"/>
    <s v=""/>
    <s v=""/>
    <n v="2.8235294117647061"/>
    <s v=""/>
    <s v=""/>
    <n v="1"/>
    <n v="2"/>
    <s v="WASH"/>
    <n v="0"/>
    <s v="CCCM_x000a_Education_x000a_Food Security_x000a_Health_x000a_Overarching Protection_x000a_Shelter"/>
    <s v=""/>
    <s v=""/>
    <s v=""/>
    <s v=""/>
    <m/>
    <m/>
    <m/>
    <n v="0"/>
    <n v="1"/>
    <m/>
  </r>
  <r>
    <s v="MZ1003"/>
    <x v="9"/>
    <s v="MZ10"/>
    <x v="123"/>
    <s v="MZ1003"/>
    <m/>
    <m/>
    <m/>
    <n v="161576"/>
    <m/>
    <x v="4"/>
    <x v="4"/>
    <x v="2"/>
    <n v="3"/>
    <x v="4"/>
    <n v="0"/>
    <m/>
    <n v="2"/>
    <m/>
    <m/>
    <m/>
    <m/>
    <s v=""/>
    <n v="1"/>
    <n v="1"/>
    <s v=""/>
    <s v=""/>
    <n v="1"/>
    <s v=""/>
    <n v="2"/>
    <n v="2.2352941176470589"/>
    <n v="2"/>
    <s v=""/>
    <n v="1.6666666666666667"/>
    <n v="3"/>
    <s v="Food Security"/>
    <n v="2"/>
    <s v="WASH"/>
    <s v=""/>
    <s v=""/>
    <s v=""/>
    <s v="Flagged"/>
    <m/>
    <m/>
    <m/>
    <n v="1"/>
    <n v="1"/>
    <m/>
  </r>
  <r>
    <s v="MZ1004"/>
    <x v="9"/>
    <s v="MZ10"/>
    <x v="124"/>
    <s v="MZ1004"/>
    <m/>
    <m/>
    <m/>
    <n v="207379"/>
    <m/>
    <x v="4"/>
    <x v="4"/>
    <x v="0"/>
    <m/>
    <x v="4"/>
    <n v="0"/>
    <m/>
    <n v="1"/>
    <m/>
    <m/>
    <m/>
    <m/>
    <n v="1"/>
    <n v="1"/>
    <s v=""/>
    <s v=""/>
    <s v=""/>
    <n v="1"/>
    <s v=""/>
    <s v=""/>
    <n v="2.2352941176470589"/>
    <s v=""/>
    <s v=""/>
    <n v="1"/>
    <n v="2"/>
    <s v="Nutrition"/>
    <n v="1"/>
    <s v="WASH"/>
    <s v=""/>
    <s v=""/>
    <s v=""/>
    <s v=""/>
    <m/>
    <m/>
    <m/>
    <n v="0"/>
    <n v="1"/>
    <m/>
  </r>
  <r>
    <s v="MZ1005"/>
    <x v="9"/>
    <s v="MZ10"/>
    <x v="125"/>
    <s v="MZ1005"/>
    <m/>
    <m/>
    <m/>
    <n v="130316"/>
    <m/>
    <x v="4"/>
    <x v="4"/>
    <x v="0"/>
    <m/>
    <x v="4"/>
    <n v="0"/>
    <m/>
    <n v="1"/>
    <m/>
    <m/>
    <m/>
    <m/>
    <n v="1"/>
    <n v="1"/>
    <s v=""/>
    <s v=""/>
    <s v=""/>
    <n v="1"/>
    <s v=""/>
    <s v=""/>
    <n v="2.2352941176470589"/>
    <s v=""/>
    <s v=""/>
    <n v="1"/>
    <n v="2"/>
    <s v="Nutrition"/>
    <n v="1"/>
    <s v="WASH"/>
    <s v=""/>
    <s v=""/>
    <s v=""/>
    <s v=""/>
    <m/>
    <m/>
    <m/>
    <n v="0"/>
    <n v="1"/>
    <m/>
  </r>
  <r>
    <s v="MZ1006"/>
    <x v="9"/>
    <s v="MZ10"/>
    <x v="126"/>
    <s v="MZ1006"/>
    <m/>
    <m/>
    <m/>
    <n v="460248"/>
    <m/>
    <x v="4"/>
    <x v="4"/>
    <x v="2"/>
    <m/>
    <x v="4"/>
    <n v="0"/>
    <m/>
    <n v="2"/>
    <m/>
    <m/>
    <m/>
    <m/>
    <s v=""/>
    <n v="1"/>
    <s v=""/>
    <s v=""/>
    <s v=""/>
    <n v="1"/>
    <s v=""/>
    <s v=""/>
    <n v="2.8235294117647061"/>
    <s v=""/>
    <s v=""/>
    <n v="1"/>
    <n v="2"/>
    <s v="WASH"/>
    <n v="0"/>
    <s v="CCCM_x000a_Education_x000a_Food Security_x000a_Health_x000a_Overarching Protection_x000a_Shelter"/>
    <s v=""/>
    <s v=""/>
    <s v=""/>
    <s v=""/>
    <m/>
    <m/>
    <m/>
    <n v="0"/>
    <n v="1"/>
    <m/>
  </r>
  <r>
    <s v="MZ1007"/>
    <x v="9"/>
    <s v="MZ10"/>
    <x v="127"/>
    <s v="MZ1007"/>
    <m/>
    <m/>
    <m/>
    <n v="109437"/>
    <m/>
    <x v="4"/>
    <x v="4"/>
    <x v="3"/>
    <n v="3"/>
    <x v="4"/>
    <n v="0"/>
    <m/>
    <n v="1"/>
    <m/>
    <m/>
    <m/>
    <m/>
    <n v="1"/>
    <s v=""/>
    <n v="2"/>
    <s v=""/>
    <s v=""/>
    <n v="1"/>
    <s v=""/>
    <n v="2"/>
    <n v="2.2352941176470589"/>
    <n v="2"/>
    <s v=""/>
    <n v="1.75"/>
    <n v="3"/>
    <s v="Nutrition_x000a_Food Security"/>
    <n v="1"/>
    <s v="WASH"/>
    <s v=""/>
    <s v=""/>
    <s v=""/>
    <s v="Flagged"/>
    <m/>
    <m/>
    <m/>
    <n v="1"/>
    <n v="1"/>
    <m/>
  </r>
  <r>
    <s v="MZ1008"/>
    <x v="9"/>
    <s v="MZ10"/>
    <x v="128"/>
    <s v="MZ1008"/>
    <m/>
    <m/>
    <m/>
    <n v="206662"/>
    <m/>
    <x v="4"/>
    <x v="4"/>
    <x v="2"/>
    <m/>
    <x v="4"/>
    <n v="0"/>
    <m/>
    <n v="2"/>
    <m/>
    <m/>
    <m/>
    <m/>
    <s v=""/>
    <n v="1"/>
    <s v=""/>
    <s v=""/>
    <s v=""/>
    <n v="1"/>
    <s v=""/>
    <s v=""/>
    <n v="1.8235294117647056"/>
    <s v=""/>
    <s v=""/>
    <n v="1"/>
    <n v="2"/>
    <s v="WASH"/>
    <n v="0"/>
    <s v="CCCM_x000a_Education_x000a_Food Security_x000a_Health_x000a_Overarching Protection_x000a_Shelter"/>
    <s v=""/>
    <s v=""/>
    <s v=""/>
    <s v=""/>
    <m/>
    <m/>
    <m/>
    <n v="0"/>
    <n v="1"/>
    <m/>
  </r>
  <r>
    <s v="MZ1009"/>
    <x v="9"/>
    <s v="MZ10"/>
    <x v="129"/>
    <s v="MZ1009"/>
    <m/>
    <m/>
    <m/>
    <n v="120444"/>
    <m/>
    <x v="4"/>
    <x v="4"/>
    <x v="0"/>
    <n v="3"/>
    <x v="4"/>
    <n v="0"/>
    <m/>
    <n v="2"/>
    <m/>
    <m/>
    <m/>
    <m/>
    <s v=""/>
    <n v="2"/>
    <n v="1"/>
    <s v=""/>
    <s v=""/>
    <n v="1"/>
    <s v=""/>
    <s v=""/>
    <n v="2.2352941176470589"/>
    <n v="2"/>
    <s v=""/>
    <n v="1.75"/>
    <n v="3"/>
    <s v="Food Security"/>
    <n v="2"/>
    <s v="Nutrition_x000a_WASH"/>
    <s v=""/>
    <s v=""/>
    <s v=""/>
    <s v="Flagged"/>
    <m/>
    <m/>
    <m/>
    <n v="1"/>
    <n v="1"/>
    <m/>
  </r>
  <r>
    <s v="MZ1010"/>
    <x v="9"/>
    <s v="MZ10"/>
    <x v="130"/>
    <s v="MZ1010"/>
    <m/>
    <m/>
    <m/>
    <n v="94569"/>
    <m/>
    <x v="4"/>
    <x v="4"/>
    <x v="0"/>
    <n v="2"/>
    <x v="4"/>
    <n v="0"/>
    <m/>
    <n v="2"/>
    <m/>
    <m/>
    <m/>
    <m/>
    <s v=""/>
    <n v="3"/>
    <s v=""/>
    <s v=""/>
    <s v=""/>
    <n v="1"/>
    <s v=""/>
    <n v="2"/>
    <n v="1.8235294117647056"/>
    <n v="3"/>
    <s v=""/>
    <n v="1.5"/>
    <n v="2"/>
    <s v="Nutrition_x000a_Food Security_x000a_WASH"/>
    <n v="0"/>
    <s v="CCCM_x000a_Education_x000a_Health_x000a_Overarching Protection_x000a_Shelter"/>
    <s v=""/>
    <s v=""/>
    <s v="Flagged"/>
    <s v="Flagged"/>
    <m/>
    <m/>
    <m/>
    <n v="2"/>
    <n v="1"/>
    <m/>
  </r>
  <r>
    <s v="MZ1011"/>
    <x v="9"/>
    <s v="MZ10"/>
    <x v="131"/>
    <s v="MZ1011"/>
    <m/>
    <m/>
    <m/>
    <n v="159367"/>
    <m/>
    <x v="4"/>
    <x v="4"/>
    <x v="2"/>
    <m/>
    <x v="4"/>
    <n v="0"/>
    <m/>
    <n v="1"/>
    <m/>
    <m/>
    <m/>
    <m/>
    <n v="1"/>
    <s v=""/>
    <s v=""/>
    <s v=""/>
    <s v=""/>
    <n v="1"/>
    <s v=""/>
    <s v=""/>
    <n v="1.5882352941176472"/>
    <s v=""/>
    <s v=""/>
    <n v="0.5"/>
    <n v="1"/>
    <s v="WASH"/>
    <n v="0"/>
    <s v="CCCM_x000a_Education_x000a_Food Security_x000a_Health_x000a_Overarching Protection_x000a_Shelter"/>
    <s v=""/>
    <s v=""/>
    <s v=""/>
    <s v=""/>
    <m/>
    <m/>
    <m/>
    <n v="0"/>
    <n v="1"/>
    <m/>
  </r>
  <r>
    <s v="MZ1012"/>
    <x v="9"/>
    <s v="MZ10"/>
    <x v="132"/>
    <s v="MZ1012"/>
    <m/>
    <m/>
    <m/>
    <n v="349103"/>
    <m/>
    <x v="4"/>
    <x v="4"/>
    <x v="2"/>
    <n v="3"/>
    <x v="4"/>
    <n v="0"/>
    <m/>
    <n v="2"/>
    <m/>
    <m/>
    <m/>
    <m/>
    <s v=""/>
    <n v="1"/>
    <n v="1"/>
    <s v=""/>
    <s v=""/>
    <n v="1"/>
    <s v=""/>
    <n v="2"/>
    <n v="2.2352941176470589"/>
    <n v="2"/>
    <s v=""/>
    <n v="1.6666666666666667"/>
    <n v="3"/>
    <s v="Food Security"/>
    <n v="2"/>
    <s v="WASH"/>
    <s v=""/>
    <s v=""/>
    <s v=""/>
    <s v="Flagged"/>
    <m/>
    <m/>
    <m/>
    <n v="1"/>
    <n v="1"/>
    <m/>
  </r>
  <r>
    <s v="MZ1013"/>
    <x v="9"/>
    <s v="MZ10"/>
    <x v="133"/>
    <s v="MZ1013"/>
    <m/>
    <m/>
    <m/>
    <n v="215009"/>
    <m/>
    <x v="4"/>
    <x v="4"/>
    <x v="3"/>
    <n v="3"/>
    <x v="4"/>
    <n v="0"/>
    <m/>
    <n v="2"/>
    <m/>
    <m/>
    <m/>
    <m/>
    <s v=""/>
    <n v="1"/>
    <n v="2"/>
    <s v=""/>
    <s v=""/>
    <n v="1"/>
    <s v=""/>
    <n v="2"/>
    <n v="3.2352941176470589"/>
    <n v="4"/>
    <s v=""/>
    <n v="2"/>
    <n v="3"/>
    <s v="Nutrition_x000a_Food Security"/>
    <n v="2"/>
    <s v="WASH"/>
    <s v=""/>
    <s v=""/>
    <s v="Flagged"/>
    <s v="Flagged"/>
    <m/>
    <m/>
    <m/>
    <n v="2"/>
    <n v="1"/>
    <m/>
  </r>
  <r>
    <s v="MZ1014"/>
    <x v="9"/>
    <s v="MZ10"/>
    <x v="134"/>
    <s v="MZ1014"/>
    <m/>
    <m/>
    <m/>
    <n v="287629"/>
    <m/>
    <x v="4"/>
    <x v="4"/>
    <x v="2"/>
    <m/>
    <x v="4"/>
    <n v="0"/>
    <m/>
    <n v="2"/>
    <m/>
    <m/>
    <m/>
    <m/>
    <s v=""/>
    <n v="1"/>
    <s v=""/>
    <s v=""/>
    <s v=""/>
    <n v="1"/>
    <s v=""/>
    <s v=""/>
    <n v="2.2352941176470589"/>
    <s v=""/>
    <s v=""/>
    <n v="1"/>
    <n v="2"/>
    <s v="WASH"/>
    <n v="0"/>
    <s v="CCCM_x000a_Education_x000a_Food Security_x000a_Health_x000a_Overarching Protection_x000a_Shelter"/>
    <s v=""/>
    <s v=""/>
    <s v=""/>
    <s v=""/>
    <m/>
    <m/>
    <m/>
    <n v="0"/>
    <n v="1"/>
    <m/>
  </r>
  <r>
    <s v="MZ1015"/>
    <x v="9"/>
    <s v="MZ10"/>
    <x v="135"/>
    <s v="MZ1015"/>
    <m/>
    <m/>
    <m/>
    <n v="100885"/>
    <m/>
    <x v="4"/>
    <x v="4"/>
    <x v="2"/>
    <m/>
    <x v="4"/>
    <n v="0"/>
    <m/>
    <n v="1"/>
    <m/>
    <m/>
    <m/>
    <m/>
    <n v="1"/>
    <s v=""/>
    <s v=""/>
    <s v=""/>
    <s v=""/>
    <n v="1"/>
    <s v=""/>
    <s v=""/>
    <n v="1.8235294117647056"/>
    <s v=""/>
    <s v=""/>
    <n v="0.5"/>
    <n v="1"/>
    <s v="WASH"/>
    <n v="0"/>
    <s v="CCCM_x000a_Education_x000a_Food Security_x000a_Health_x000a_Overarching Protection_x000a_Shelter"/>
    <s v=""/>
    <s v=""/>
    <s v=""/>
    <s v=""/>
    <m/>
    <m/>
    <m/>
    <n v="0"/>
    <n v="1"/>
    <m/>
  </r>
  <r>
    <s v="MZ1101"/>
    <x v="10"/>
    <s v="MZ11"/>
    <x v="136"/>
    <s v="MZ1101"/>
    <m/>
    <m/>
    <m/>
    <n v="429472"/>
    <m/>
    <x v="4"/>
    <x v="4"/>
    <x v="2"/>
    <m/>
    <x v="4"/>
    <n v="0"/>
    <m/>
    <n v="4"/>
    <m/>
    <m/>
    <m/>
    <m/>
    <s v=""/>
    <s v=""/>
    <s v=""/>
    <n v="1"/>
    <s v=""/>
    <n v="1"/>
    <s v=""/>
    <s v=""/>
    <n v="2.2352941176470589"/>
    <s v=""/>
    <s v=""/>
    <n v="2"/>
    <n v="4"/>
    <s v="WASH"/>
    <n v="0"/>
    <s v="CCCM_x000a_Education_x000a_Food Security_x000a_Health_x000a_Overarching Protection_x000a_Shelter"/>
    <s v=""/>
    <s v=""/>
    <s v=""/>
    <s v=""/>
    <m/>
    <m/>
    <m/>
    <n v="0"/>
    <n v="1"/>
    <m/>
  </r>
  <r>
    <s v="MZ1102"/>
    <x v="10"/>
    <s v="MZ11"/>
    <x v="137"/>
    <s v="MZ1102"/>
    <m/>
    <m/>
    <m/>
    <n v="109426"/>
    <m/>
    <x v="4"/>
    <x v="4"/>
    <x v="2"/>
    <m/>
    <x v="4"/>
    <n v="0"/>
    <m/>
    <n v="3"/>
    <m/>
    <m/>
    <m/>
    <m/>
    <s v=""/>
    <s v=""/>
    <n v="1"/>
    <s v=""/>
    <s v=""/>
    <n v="1"/>
    <s v=""/>
    <s v=""/>
    <n v="2.8235294117647061"/>
    <s v=""/>
    <s v=""/>
    <n v="1.5"/>
    <n v="3"/>
    <s v="WASH"/>
    <n v="0"/>
    <s v="CCCM_x000a_Education_x000a_Food Security_x000a_Health_x000a_Overarching Protection_x000a_Shelter"/>
    <s v=""/>
    <s v=""/>
    <s v=""/>
    <s v=""/>
    <m/>
    <m/>
    <m/>
    <n v="0"/>
    <n v="1"/>
    <m/>
  </r>
  <r>
    <s v="MZ1103"/>
    <x v="10"/>
    <s v="MZ11"/>
    <x v="138"/>
    <s v="MZ1103"/>
    <m/>
    <m/>
    <m/>
    <n v="502879"/>
    <m/>
    <x v="4"/>
    <x v="4"/>
    <x v="2"/>
    <m/>
    <x v="4"/>
    <n v="0"/>
    <m/>
    <n v="3"/>
    <m/>
    <m/>
    <m/>
    <m/>
    <s v=""/>
    <s v=""/>
    <n v="1"/>
    <s v=""/>
    <s v=""/>
    <n v="1"/>
    <s v=""/>
    <s v=""/>
    <n v="2.8235294117647061"/>
    <s v=""/>
    <s v=""/>
    <n v="1.5"/>
    <n v="3"/>
    <s v="WASH"/>
    <n v="0"/>
    <s v="CCCM_x000a_Education_x000a_Food Security_x000a_Health_x000a_Overarching Protection_x000a_Shelter"/>
    <s v=""/>
    <s v=""/>
    <s v=""/>
    <s v=""/>
    <m/>
    <m/>
    <m/>
    <n v="0"/>
    <n v="1"/>
    <m/>
  </r>
  <r>
    <s v="MZ1104"/>
    <x v="10"/>
    <s v="MZ11"/>
    <x v="139"/>
    <s v="MZ1104"/>
    <m/>
    <m/>
    <m/>
    <n v="132396"/>
    <m/>
    <x v="4"/>
    <x v="4"/>
    <x v="2"/>
    <n v="2"/>
    <x v="4"/>
    <n v="0"/>
    <m/>
    <n v="2"/>
    <m/>
    <m/>
    <m/>
    <m/>
    <s v=""/>
    <n v="2"/>
    <s v=""/>
    <s v=""/>
    <s v=""/>
    <n v="1"/>
    <s v=""/>
    <n v="2"/>
    <n v="1.8235294117647056"/>
    <n v="3"/>
    <s v=""/>
    <n v="1.3333333333333333"/>
    <n v="2"/>
    <s v="Food Security_x000a_WASH"/>
    <n v="0"/>
    <s v="CCCM_x000a_Education_x000a_Health_x000a_Overarching Protection_x000a_Shelter"/>
    <s v=""/>
    <s v=""/>
    <s v="Flagged"/>
    <s v="Flagged"/>
    <m/>
    <m/>
    <m/>
    <n v="2"/>
    <n v="1"/>
    <m/>
  </r>
  <r>
    <s v="MZ1105"/>
    <x v="10"/>
    <s v="MZ11"/>
    <x v="140"/>
    <s v="MZ1105"/>
    <m/>
    <m/>
    <m/>
    <n v="258617"/>
    <m/>
    <x v="4"/>
    <x v="4"/>
    <x v="2"/>
    <m/>
    <x v="4"/>
    <n v="0"/>
    <m/>
    <n v="3"/>
    <m/>
    <m/>
    <m/>
    <m/>
    <s v=""/>
    <s v=""/>
    <n v="1"/>
    <s v=""/>
    <s v=""/>
    <n v="1"/>
    <s v=""/>
    <s v=""/>
    <n v="1.8235294117647056"/>
    <s v=""/>
    <s v=""/>
    <n v="1.5"/>
    <n v="3"/>
    <s v="WASH"/>
    <n v="0"/>
    <s v="CCCM_x000a_Education_x000a_Food Security_x000a_Health_x000a_Overarching Protection_x000a_Shelter"/>
    <s v=""/>
    <s v=""/>
    <s v=""/>
    <s v=""/>
    <m/>
    <m/>
    <m/>
    <n v="0"/>
    <n v="1"/>
    <m/>
  </r>
  <r>
    <s v="MZ1106"/>
    <x v="10"/>
    <s v="MZ11"/>
    <x v="141"/>
    <s v="MZ1106"/>
    <m/>
    <m/>
    <m/>
    <n v="527624"/>
    <m/>
    <x v="4"/>
    <x v="4"/>
    <x v="2"/>
    <m/>
    <x v="4"/>
    <n v="0"/>
    <m/>
    <n v="3"/>
    <m/>
    <m/>
    <m/>
    <m/>
    <s v=""/>
    <s v=""/>
    <n v="1"/>
    <s v=""/>
    <s v=""/>
    <n v="1"/>
    <s v=""/>
    <s v=""/>
    <n v="2.4117647058823528"/>
    <s v=""/>
    <s v=""/>
    <n v="1.5"/>
    <n v="3"/>
    <s v="WASH"/>
    <n v="0"/>
    <s v="CCCM_x000a_Education_x000a_Food Security_x000a_Health_x000a_Overarching Protection_x000a_Shelter"/>
    <s v=""/>
    <s v=""/>
    <s v=""/>
    <s v=""/>
    <m/>
    <m/>
    <m/>
    <n v="0"/>
    <n v="1"/>
    <m/>
  </r>
  <r>
    <s v="MZ1107"/>
    <x v="10"/>
    <s v="MZ11"/>
    <x v="142"/>
    <s v="MZ1107"/>
    <m/>
    <m/>
    <m/>
    <n v="246872"/>
    <m/>
    <x v="4"/>
    <x v="4"/>
    <x v="2"/>
    <m/>
    <x v="4"/>
    <n v="0"/>
    <m/>
    <n v="3"/>
    <m/>
    <m/>
    <m/>
    <m/>
    <s v=""/>
    <s v=""/>
    <n v="1"/>
    <s v=""/>
    <s v=""/>
    <n v="1"/>
    <s v=""/>
    <s v=""/>
    <n v="1.411764705882353"/>
    <s v=""/>
    <s v=""/>
    <n v="1.5"/>
    <n v="3"/>
    <s v="WASH"/>
    <n v="0"/>
    <s v="CCCM_x000a_Education_x000a_Food Security_x000a_Health_x000a_Overarching Protection_x000a_Shelter"/>
    <s v=""/>
    <s v=""/>
    <s v=""/>
    <s v=""/>
    <m/>
    <m/>
    <m/>
    <n v="0"/>
    <n v="1"/>
    <m/>
  </r>
  <r>
    <s v="MZ1108"/>
    <x v="10"/>
    <s v="MZ11"/>
    <x v="143"/>
    <s v="MZ1108"/>
    <m/>
    <m/>
    <m/>
    <n v="120285"/>
    <m/>
    <x v="4"/>
    <x v="4"/>
    <x v="2"/>
    <m/>
    <x v="4"/>
    <n v="0"/>
    <m/>
    <n v="4"/>
    <m/>
    <m/>
    <m/>
    <m/>
    <s v=""/>
    <s v=""/>
    <s v=""/>
    <n v="1"/>
    <s v=""/>
    <n v="1"/>
    <s v=""/>
    <n v="2"/>
    <n v="2.2352941176470589"/>
    <s v=""/>
    <s v=""/>
    <n v="2"/>
    <n v="4"/>
    <s v="WASH"/>
    <n v="0"/>
    <s v="CCCM_x000a_Education_x000a_Food Security_x000a_Health_x000a_Overarching Protection_x000a_Shelter"/>
    <s v=""/>
    <s v=""/>
    <s v=""/>
    <s v="Flagged"/>
    <m/>
    <m/>
    <m/>
    <n v="1"/>
    <n v="1"/>
    <m/>
  </r>
  <r>
    <s v="MZ1109"/>
    <x v="10"/>
    <s v="MZ11"/>
    <x v="144"/>
    <s v="MZ1109"/>
    <m/>
    <m/>
    <m/>
    <n v="72148"/>
    <m/>
    <x v="4"/>
    <x v="4"/>
    <x v="0"/>
    <m/>
    <x v="4"/>
    <n v="0"/>
    <m/>
    <n v="3"/>
    <m/>
    <m/>
    <m/>
    <m/>
    <s v=""/>
    <n v="1"/>
    <n v="1"/>
    <s v=""/>
    <s v=""/>
    <n v="1"/>
    <s v=""/>
    <s v=""/>
    <n v="2.8235294117647061"/>
    <s v=""/>
    <s v=""/>
    <n v="1.6666666666666667"/>
    <n v="3"/>
    <s v="WASH"/>
    <n v="2"/>
    <s v="Nutrition"/>
    <s v=""/>
    <s v=""/>
    <s v=""/>
    <s v=""/>
    <m/>
    <m/>
    <m/>
    <n v="0"/>
    <n v="1"/>
    <m/>
  </r>
  <r>
    <s v="MZ1110"/>
    <x v="10"/>
    <s v="MZ11"/>
    <x v="145"/>
    <s v="MZ1110"/>
    <m/>
    <m/>
    <m/>
    <n v="228996"/>
    <m/>
    <x v="4"/>
    <x v="4"/>
    <x v="2"/>
    <m/>
    <x v="4"/>
    <n v="0"/>
    <m/>
    <n v="3"/>
    <m/>
    <m/>
    <m/>
    <m/>
    <s v=""/>
    <s v=""/>
    <n v="1"/>
    <s v=""/>
    <s v=""/>
    <n v="1"/>
    <s v=""/>
    <s v=""/>
    <n v="1.8235294117647056"/>
    <s v=""/>
    <s v=""/>
    <n v="1.5"/>
    <n v="3"/>
    <s v="WASH"/>
    <n v="0"/>
    <s v="CCCM_x000a_Education_x000a_Food Security_x000a_Health_x000a_Overarching Protection_x000a_Shelter"/>
    <s v=""/>
    <s v=""/>
    <s v=""/>
    <s v=""/>
    <m/>
    <m/>
    <m/>
    <n v="0"/>
    <n v="1"/>
    <m/>
  </r>
  <r>
    <s v="MZ1111"/>
    <x v="10"/>
    <s v="MZ11"/>
    <x v="146"/>
    <s v="MZ1111"/>
    <m/>
    <m/>
    <m/>
    <n v="187094"/>
    <m/>
    <x v="4"/>
    <x v="4"/>
    <x v="3"/>
    <n v="3"/>
    <x v="4"/>
    <n v="0"/>
    <m/>
    <n v="2"/>
    <m/>
    <m/>
    <m/>
    <m/>
    <s v=""/>
    <n v="1"/>
    <n v="2"/>
    <s v=""/>
    <s v=""/>
    <n v="1"/>
    <s v=""/>
    <n v="2"/>
    <n v="1.8235294117647056"/>
    <n v="1"/>
    <s v=""/>
    <n v="2"/>
    <n v="3"/>
    <s v="Nutrition_x000a_Food Security"/>
    <n v="2"/>
    <s v="WASH"/>
    <s v=""/>
    <s v=""/>
    <s v=""/>
    <s v=""/>
    <m/>
    <m/>
    <m/>
    <n v="0"/>
    <n v="1"/>
    <m/>
  </r>
  <r>
    <s v="MZ1112"/>
    <x v="10"/>
    <s v="MZ11"/>
    <x v="147"/>
    <s v="MZ1112"/>
    <m/>
    <m/>
    <m/>
    <m/>
    <m/>
    <x v="4"/>
    <x v="4"/>
    <x v="2"/>
    <m/>
    <x v="4"/>
    <n v="0"/>
    <m/>
    <n v="3"/>
    <m/>
    <m/>
    <m/>
    <m/>
    <s v=""/>
    <s v=""/>
    <n v="1"/>
    <s v=""/>
    <s v=""/>
    <n v="1"/>
    <s v=""/>
    <s v=""/>
    <s v=""/>
    <s v=""/>
    <s v=""/>
    <n v="1.5"/>
    <n v="3"/>
    <s v="WASH"/>
    <n v="0"/>
    <s v="CCCM_x000a_Education_x000a_Food Security_x000a_Health_x000a_Overarching Protection_x000a_Shelter"/>
    <s v=""/>
    <s v=""/>
    <s v=""/>
    <s v=""/>
    <m/>
    <m/>
    <m/>
    <n v="0"/>
    <n v="1"/>
    <m/>
  </r>
  <r>
    <s v="MZ1113"/>
    <x v="10"/>
    <s v="MZ11"/>
    <x v="148"/>
    <s v="MZ1113"/>
    <m/>
    <m/>
    <m/>
    <n v="741486"/>
    <m/>
    <x v="4"/>
    <x v="4"/>
    <x v="2"/>
    <m/>
    <x v="4"/>
    <n v="0"/>
    <m/>
    <n v="3"/>
    <m/>
    <m/>
    <m/>
    <m/>
    <s v=""/>
    <s v=""/>
    <n v="1"/>
    <s v=""/>
    <s v=""/>
    <n v="1"/>
    <s v=""/>
    <s v=""/>
    <n v="1.8235294117647056"/>
    <s v=""/>
    <s v=""/>
    <n v="1.5"/>
    <n v="3"/>
    <s v="WASH"/>
    <n v="0"/>
    <s v="CCCM_x000a_Education_x000a_Food Security_x000a_Health_x000a_Overarching Protection_x000a_Shelter"/>
    <s v=""/>
    <s v=""/>
    <s v=""/>
    <s v=""/>
    <m/>
    <m/>
    <m/>
    <n v="0"/>
    <n v="1"/>
    <m/>
  </r>
  <r>
    <s v="MZ1114"/>
    <x v="10"/>
    <s v="MZ11"/>
    <x v="149"/>
    <s v="MZ1114"/>
    <m/>
    <m/>
    <m/>
    <n v="512134"/>
    <m/>
    <x v="4"/>
    <x v="4"/>
    <x v="2"/>
    <m/>
    <x v="4"/>
    <n v="0"/>
    <m/>
    <n v="3"/>
    <m/>
    <m/>
    <m/>
    <m/>
    <s v=""/>
    <s v=""/>
    <n v="1"/>
    <s v=""/>
    <s v=""/>
    <n v="1"/>
    <s v=""/>
    <s v=""/>
    <n v="2.2352941176470589"/>
    <s v=""/>
    <s v=""/>
    <n v="1.5"/>
    <n v="3"/>
    <s v="WASH"/>
    <n v="0"/>
    <s v="CCCM_x000a_Education_x000a_Food Security_x000a_Health_x000a_Overarching Protection_x000a_Shelter"/>
    <s v=""/>
    <s v=""/>
    <s v=""/>
    <s v=""/>
    <m/>
    <m/>
    <m/>
    <n v="0"/>
    <n v="1"/>
    <m/>
  </r>
  <r>
    <s v="MZ1115"/>
    <x v="10"/>
    <s v="MZ11"/>
    <x v="150"/>
    <s v="MZ1115"/>
    <m/>
    <m/>
    <m/>
    <n v="151875"/>
    <m/>
    <x v="4"/>
    <x v="4"/>
    <x v="2"/>
    <m/>
    <x v="4"/>
    <n v="0"/>
    <m/>
    <n v="3"/>
    <m/>
    <m/>
    <m/>
    <m/>
    <s v=""/>
    <s v=""/>
    <n v="1"/>
    <s v=""/>
    <s v=""/>
    <n v="1"/>
    <s v=""/>
    <s v=""/>
    <n v="1.8235294117647056"/>
    <s v=""/>
    <s v=""/>
    <n v="1.5"/>
    <n v="3"/>
    <s v="WASH"/>
    <n v="0"/>
    <s v="CCCM_x000a_Education_x000a_Food Security_x000a_Health_x000a_Overarching Protection_x000a_Shelter"/>
    <s v=""/>
    <s v=""/>
    <s v=""/>
    <s v=""/>
    <m/>
    <m/>
    <m/>
    <n v="0"/>
    <n v="1"/>
    <m/>
  </r>
  <r>
    <s v="MZ1116"/>
    <x v="10"/>
    <s v="MZ11"/>
    <x v="151"/>
    <s v="MZ1116"/>
    <m/>
    <m/>
    <m/>
    <n v="387180"/>
    <m/>
    <x v="4"/>
    <x v="4"/>
    <x v="2"/>
    <m/>
    <x v="4"/>
    <n v="0"/>
    <m/>
    <n v="3"/>
    <m/>
    <m/>
    <m/>
    <m/>
    <s v=""/>
    <s v=""/>
    <n v="1"/>
    <s v=""/>
    <s v=""/>
    <n v="1"/>
    <s v=""/>
    <s v=""/>
    <n v="2.2352941176470589"/>
    <s v=""/>
    <s v=""/>
    <n v="1.5"/>
    <n v="3"/>
    <s v="WASH"/>
    <n v="0"/>
    <s v="CCCM_x000a_Education_x000a_Food Security_x000a_Health_x000a_Overarching Protection_x000a_Shelter"/>
    <s v=""/>
    <s v=""/>
    <s v=""/>
    <s v=""/>
    <m/>
    <m/>
    <m/>
    <n v="0"/>
    <n v="1"/>
    <m/>
  </r>
  <r>
    <s v="MZ1117"/>
    <x v="10"/>
    <s v="MZ11"/>
    <x v="152"/>
    <s v="MZ1117"/>
    <m/>
    <m/>
    <m/>
    <n v="188827"/>
    <m/>
    <x v="4"/>
    <x v="4"/>
    <x v="2"/>
    <n v="3"/>
    <x v="4"/>
    <n v="0"/>
    <m/>
    <n v="3"/>
    <m/>
    <m/>
    <m/>
    <m/>
    <s v=""/>
    <s v=""/>
    <n v="2"/>
    <s v=""/>
    <s v=""/>
    <n v="1"/>
    <s v=""/>
    <n v="2"/>
    <n v="1.411764705882353"/>
    <n v="2"/>
    <s v=""/>
    <n v="2"/>
    <n v="3"/>
    <s v="Food Security_x000a_WASH"/>
    <n v="0"/>
    <s v="CCCM_x000a_Education_x000a_Health_x000a_Overarching Protection_x000a_Shelter"/>
    <s v=""/>
    <s v=""/>
    <s v=""/>
    <s v="Flagged"/>
    <m/>
    <m/>
    <m/>
    <n v="1"/>
    <n v="1"/>
    <m/>
  </r>
  <r>
    <s v="MZ1118"/>
    <x v="10"/>
    <s v="MZ11"/>
    <x v="153"/>
    <s v="MZ1118"/>
    <m/>
    <m/>
    <m/>
    <n v="446555"/>
    <m/>
    <x v="4"/>
    <x v="4"/>
    <x v="1"/>
    <m/>
    <x v="4"/>
    <n v="0"/>
    <m/>
    <n v="3"/>
    <m/>
    <m/>
    <m/>
    <m/>
    <s v=""/>
    <s v=""/>
    <n v="1"/>
    <n v="1"/>
    <s v=""/>
    <n v="1"/>
    <s v=""/>
    <n v="3"/>
    <n v="2.2352941176470589"/>
    <s v=""/>
    <s v=""/>
    <n v="2.3333333333333335"/>
    <n v="4"/>
    <s v="Nutrition"/>
    <n v="3"/>
    <s v="WASH"/>
    <s v=""/>
    <s v=""/>
    <s v="Flagged"/>
    <s v="Flagged"/>
    <m/>
    <m/>
    <m/>
    <n v="2"/>
    <n v="1"/>
    <m/>
  </r>
  <r>
    <s v="MZ1119"/>
    <x v="10"/>
    <s v="MZ11"/>
    <x v="154"/>
    <s v="MZ1119"/>
    <m/>
    <m/>
    <m/>
    <n v="131684"/>
    <m/>
    <x v="4"/>
    <x v="4"/>
    <x v="2"/>
    <m/>
    <x v="4"/>
    <n v="0"/>
    <m/>
    <n v="4"/>
    <m/>
    <m/>
    <m/>
    <m/>
    <s v=""/>
    <s v=""/>
    <s v=""/>
    <n v="1"/>
    <s v=""/>
    <n v="1"/>
    <s v=""/>
    <s v=""/>
    <n v="1.8235294117647056"/>
    <s v=""/>
    <s v=""/>
    <n v="2"/>
    <n v="4"/>
    <s v="WASH"/>
    <n v="0"/>
    <s v="CCCM_x000a_Education_x000a_Food Security_x000a_Health_x000a_Overarching Protection_x000a_Shelter"/>
    <s v=""/>
    <s v=""/>
    <s v=""/>
    <s v=""/>
    <m/>
    <m/>
    <m/>
    <n v="0"/>
    <n v="1"/>
    <m/>
  </r>
  <r>
    <s v="MZ1120"/>
    <x v="10"/>
    <s v="MZ11"/>
    <x v="155"/>
    <s v="MZ1120"/>
    <m/>
    <m/>
    <m/>
    <n v="291514"/>
    <m/>
    <x v="4"/>
    <x v="4"/>
    <x v="0"/>
    <n v="2"/>
    <x v="4"/>
    <n v="0"/>
    <m/>
    <n v="3"/>
    <m/>
    <m/>
    <m/>
    <m/>
    <s v=""/>
    <n v="2"/>
    <n v="1"/>
    <s v=""/>
    <s v=""/>
    <n v="1"/>
    <s v=""/>
    <n v="2"/>
    <n v="1.8235294117647056"/>
    <n v="1"/>
    <s v=""/>
    <n v="1.75"/>
    <n v="3"/>
    <s v="WASH"/>
    <n v="2"/>
    <s v="Nutrition_x000a_Food Security"/>
    <s v=""/>
    <s v=""/>
    <s v=""/>
    <s v=""/>
    <m/>
    <m/>
    <m/>
    <n v="0"/>
    <n v="1"/>
    <m/>
  </r>
  <r>
    <s v="MZ1121"/>
    <x v="10"/>
    <s v="MZ11"/>
    <x v="156"/>
    <s v="MZ1121"/>
    <m/>
    <m/>
    <m/>
    <n v="178851"/>
    <m/>
    <x v="4"/>
    <x v="4"/>
    <x v="2"/>
    <m/>
    <x v="4"/>
    <n v="0"/>
    <m/>
    <n v="3"/>
    <m/>
    <m/>
    <m/>
    <m/>
    <s v=""/>
    <s v=""/>
    <n v="1"/>
    <s v=""/>
    <s v=""/>
    <n v="1"/>
    <s v=""/>
    <s v=""/>
    <n v="1.8235294117647056"/>
    <s v=""/>
    <s v=""/>
    <n v="1.5"/>
    <n v="3"/>
    <s v="WASH"/>
    <n v="0"/>
    <s v="CCCM_x000a_Education_x000a_Food Security_x000a_Health_x000a_Overarching Protection_x000a_Shelter"/>
    <s v=""/>
    <s v=""/>
    <s v=""/>
    <s v=""/>
    <m/>
    <m/>
    <m/>
    <n v="0"/>
    <n v="1"/>
    <m/>
  </r>
  <r>
    <s v="MZ1122"/>
    <x v="10"/>
    <s v="MZ11"/>
    <x v="157"/>
    <s v="MZ1122"/>
    <m/>
    <m/>
    <m/>
    <n v="247047"/>
    <m/>
    <x v="4"/>
    <x v="4"/>
    <x v="3"/>
    <m/>
    <x v="4"/>
    <n v="0"/>
    <m/>
    <n v="3"/>
    <m/>
    <m/>
    <m/>
    <m/>
    <s v=""/>
    <s v=""/>
    <n v="2"/>
    <s v=""/>
    <s v=""/>
    <n v="1"/>
    <s v=""/>
    <n v="2"/>
    <n v="2.2352941176470589"/>
    <s v=""/>
    <s v=""/>
    <n v="2"/>
    <n v="3"/>
    <s v="Nutrition_x000a_WASH"/>
    <n v="0"/>
    <s v="CCCM_x000a_Education_x000a_Food Security_x000a_Health_x000a_Overarching Protection_x000a_Shelter"/>
    <s v=""/>
    <s v=""/>
    <s v=""/>
    <s v="Flagged"/>
    <m/>
    <m/>
    <m/>
    <n v="1"/>
    <n v="1"/>
    <m/>
  </r>
  <r>
    <s v="MZ1123"/>
    <x v="10"/>
    <s v="MZ11"/>
    <x v="158"/>
    <s v="MZ1123"/>
    <m/>
    <m/>
    <m/>
    <n v="253405"/>
    <m/>
    <x v="4"/>
    <x v="4"/>
    <x v="2"/>
    <n v="3"/>
    <x v="4"/>
    <n v="0"/>
    <m/>
    <n v="2"/>
    <m/>
    <m/>
    <m/>
    <m/>
    <s v=""/>
    <n v="1"/>
    <n v="1"/>
    <s v=""/>
    <s v=""/>
    <n v="1"/>
    <s v=""/>
    <n v="2"/>
    <n v="1.8235294117647056"/>
    <n v="3"/>
    <s v=""/>
    <n v="1.6666666666666667"/>
    <n v="3"/>
    <s v="Food Security"/>
    <n v="2"/>
    <s v="WASH"/>
    <s v=""/>
    <s v=""/>
    <s v="Flagged"/>
    <s v="Flagged"/>
    <m/>
    <m/>
    <m/>
    <n v="2"/>
    <n v="1"/>
    <m/>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MZ01"/>
    <x v="0"/>
    <s v="MZ0101"/>
    <m/>
    <m/>
    <m/>
    <n v="40848"/>
    <x v="0"/>
    <n v="40848"/>
    <n v="2711"/>
    <n v="3790"/>
    <n v="22467"/>
    <n v="236.54359336392511"/>
    <n v="7750"/>
    <n v="32707"/>
    <n v="33278"/>
    <n v="7750"/>
    <n v="4572"/>
    <n v="7141"/>
    <n v="7750"/>
    <n v="1"/>
    <n v="0.05"/>
    <n v="0.1"/>
    <n v="0.55000000000000004"/>
    <n v="0"/>
    <n v="0.2"/>
    <n v="0.8"/>
    <n v="0.8"/>
    <n v="0.2"/>
    <n v="0.1"/>
    <n v="0.15000000000000002"/>
    <n v="0.2"/>
    <n v="40848"/>
    <s v="CCCM"/>
    <n v="1"/>
    <s v=""/>
    <s v="Flagged"/>
    <s v=""/>
    <n v="33278"/>
    <s v="WASH"/>
    <n v="0.81467880924402658"/>
    <n v="7570"/>
    <n v="0.22747761283730994"/>
    <s v=""/>
    <n v="32707"/>
    <s v="Shelter"/>
    <n v="0.80070015667841754"/>
    <n v="8141"/>
    <n v="0.24890696181245606"/>
    <s v=""/>
    <n v="0.3"/>
    <s v=""/>
    <n v="0"/>
    <s v=""/>
    <n v="3"/>
    <n v="40848"/>
    <m/>
    <m/>
    <n v="1"/>
    <s v="Flagged"/>
    <n v="40848"/>
    <m/>
    <n v="20424"/>
    <n v="0"/>
  </r>
  <r>
    <x v="0"/>
    <s v="MZ01"/>
    <x v="1"/>
    <s v="MZ0102"/>
    <m/>
    <m/>
    <m/>
    <n v="9822"/>
    <x v="0"/>
    <n v="9822"/>
    <n v="583"/>
    <n v="1033"/>
    <n v="9822"/>
    <m/>
    <n v="2000"/>
    <n v="5467"/>
    <n v="4844"/>
    <n v="1862"/>
    <n v="1098"/>
    <n v="2000"/>
    <n v="1862"/>
    <n v="1"/>
    <n v="0.05"/>
    <n v="0.1"/>
    <n v="1"/>
    <s v=""/>
    <n v="0.2"/>
    <n v="0.55000000000000004"/>
    <n v="0.5"/>
    <n v="0.2"/>
    <n v="0.1"/>
    <n v="0.2"/>
    <n v="0.2"/>
    <n v="9822"/>
    <s v="CCCM_x000a_Food Security"/>
    <n v="1"/>
    <s v=""/>
    <s v="Flagged"/>
    <s v=""/>
    <n v="5467"/>
    <s v="Shelter"/>
    <n v="0.55660761555691307"/>
    <n v="4355"/>
    <n v="0.79659776842875429"/>
    <s v=""/>
    <n v="4844"/>
    <s v="WASH"/>
    <n v="0.49317857870087556"/>
    <n v="4978"/>
    <n v="1.0276630883567299"/>
    <s v=""/>
    <s v="#SPILL!"/>
    <s v=""/>
    <s v=""/>
    <s v=""/>
    <n v="3"/>
    <n v="9822"/>
    <m/>
    <m/>
    <n v="1"/>
    <s v="Flagged"/>
    <n v="9822"/>
    <m/>
    <n v="4911"/>
    <n v="0"/>
  </r>
  <r>
    <x v="0"/>
    <s v="MZ01"/>
    <x v="2"/>
    <s v="MZ0103"/>
    <m/>
    <m/>
    <m/>
    <n v="22052"/>
    <x v="0"/>
    <n v="22052"/>
    <n v="2555"/>
    <n v="2276"/>
    <n v="22052"/>
    <n v="71.451173590885858"/>
    <n v="4410"/>
    <n v="15319"/>
    <n v="20032"/>
    <n v="4410"/>
    <n v="2601"/>
    <n v="84"/>
    <n v="4410"/>
    <n v="1"/>
    <n v="0.1"/>
    <n v="0.1"/>
    <n v="1"/>
    <n v="0"/>
    <n v="0.2"/>
    <n v="0.70000000000000007"/>
    <n v="0.9"/>
    <n v="0.2"/>
    <n v="0.1"/>
    <n v="0"/>
    <n v="0.2"/>
    <n v="22052"/>
    <s v="CCCM_x000a_Food Security"/>
    <n v="1"/>
    <s v=""/>
    <s v="Flagged"/>
    <s v=""/>
    <n v="20032"/>
    <s v="WASH"/>
    <n v="0.90839833121712321"/>
    <n v="2020"/>
    <n v="0.10083865814696485"/>
    <s v=""/>
    <n v="15319"/>
    <s v="Shelter"/>
    <n v="0.69467621984400507"/>
    <n v="6733"/>
    <n v="0.43951955088452249"/>
    <s v=""/>
    <s v="#SPILL!"/>
    <s v="Flagged"/>
    <n v="0.2"/>
    <s v=""/>
    <n v="3"/>
    <n v="22052"/>
    <m/>
    <m/>
    <n v="2"/>
    <s v="Flagged"/>
    <n v="22052"/>
    <m/>
    <n v="11026"/>
    <n v="0"/>
  </r>
  <r>
    <x v="0"/>
    <s v="MZ01"/>
    <x v="3"/>
    <s v="MZ0104"/>
    <m/>
    <m/>
    <m/>
    <n v="59691"/>
    <x v="0"/>
    <n v="0"/>
    <n v="4915"/>
    <n v="5153"/>
    <n v="23711"/>
    <n v="1101.6011074474636"/>
    <n v="7754"/>
    <n v="45183"/>
    <n v="43317"/>
    <n v="0"/>
    <n v="4574"/>
    <n v="3731"/>
    <n v="7754"/>
    <n v="0"/>
    <n v="0.1"/>
    <n v="0.1"/>
    <n v="0.4"/>
    <n v="0"/>
    <n v="0.15000000000000002"/>
    <n v="0.75"/>
    <n v="0.75"/>
    <n v="0"/>
    <n v="0.1"/>
    <n v="0.05"/>
    <n v="0.15000000000000002"/>
    <n v="45183"/>
    <s v="Shelter"/>
    <n v="0.75694828366085343"/>
    <s v=""/>
    <s v=""/>
    <s v=""/>
    <n v="43317"/>
    <s v="WASH"/>
    <n v="0.72568728954113682"/>
    <n v="1866"/>
    <n v="4.3077775469215318E-2"/>
    <s v=""/>
    <n v="23711"/>
    <s v="Food Security"/>
    <n v="0.39722906300782362"/>
    <n v="21472"/>
    <n v="0.90557125384842474"/>
    <s v="Flagged"/>
    <n v="0.5"/>
    <s v=""/>
    <n v="0.2"/>
    <s v=""/>
    <n v="3"/>
    <n v="45183"/>
    <m/>
    <m/>
    <n v="1"/>
    <s v="Flagged"/>
    <n v="45183"/>
    <m/>
    <n v="22591.5"/>
    <n v="0"/>
  </r>
  <r>
    <x v="0"/>
    <s v="MZ01"/>
    <x v="4"/>
    <s v="MZ0105"/>
    <m/>
    <m/>
    <m/>
    <n v="19901"/>
    <x v="0"/>
    <n v="19901"/>
    <n v="1769"/>
    <n v="1863"/>
    <n v="3175"/>
    <n v="9845.3742647490017"/>
    <n v="9987"/>
    <n v="9191"/>
    <n v="17006"/>
    <n v="3776"/>
    <n v="7799"/>
    <n v="9987"/>
    <n v="3776"/>
    <n v="1"/>
    <n v="0.1"/>
    <n v="0.1"/>
    <n v="0.15000000000000002"/>
    <n v="0.5"/>
    <n v="0.5"/>
    <n v="0.45"/>
    <n v="0.85000000000000009"/>
    <n v="0.2"/>
    <n v="0.4"/>
    <n v="0.5"/>
    <n v="0.2"/>
    <n v="19901"/>
    <s v="CCCM"/>
    <n v="1"/>
    <s v=""/>
    <s v="Flagged"/>
    <s v=""/>
    <n v="17006"/>
    <s v="WASH"/>
    <n v="0.8545299231194412"/>
    <n v="2895"/>
    <n v="0.17023403504645418"/>
    <s v=""/>
    <n v="9987"/>
    <s v="Overarching Protection"/>
    <n v="0.50183407868951313"/>
    <n v="9914"/>
    <n v="0.99269049764694106"/>
    <s v="Flagged"/>
    <n v="3.9"/>
    <s v="Flagged"/>
    <n v="-0.1"/>
    <s v=""/>
    <n v="3"/>
    <n v="19901"/>
    <m/>
    <m/>
    <n v="3"/>
    <s v="Flagged"/>
    <n v="19901"/>
    <m/>
    <n v="9950.5"/>
    <n v="0"/>
  </r>
  <r>
    <x v="0"/>
    <s v="MZ01"/>
    <x v="5"/>
    <s v="MZ0106"/>
    <m/>
    <m/>
    <m/>
    <n v="51599"/>
    <x v="0"/>
    <n v="51599"/>
    <n v="10423"/>
    <n v="5518"/>
    <n v="13980"/>
    <n v="40684.850624461513"/>
    <n v="37981"/>
    <n v="41208"/>
    <n v="40849"/>
    <n v="9784"/>
    <n v="20203"/>
    <n v="37981"/>
    <n v="4892"/>
    <n v="1"/>
    <n v="0.2"/>
    <n v="0.1"/>
    <n v="0.25"/>
    <n v="0.8"/>
    <n v="0.75"/>
    <n v="0.8"/>
    <n v="0.8"/>
    <n v="0.2"/>
    <n v="0.4"/>
    <n v="0.75"/>
    <n v="0.1"/>
    <n v="51599"/>
    <s v="CCCM"/>
    <n v="1"/>
    <s v=""/>
    <s v="Flagged"/>
    <s v=""/>
    <n v="41208"/>
    <s v="Shelter"/>
    <n v="0.79862012829705997"/>
    <n v="10391"/>
    <n v="0.25215977480100954"/>
    <s v=""/>
    <n v="40849"/>
    <s v="WASH"/>
    <n v="0.79166262912071939"/>
    <n v="10750"/>
    <n v="0.2631643369482729"/>
    <s v=""/>
    <n v="4.3"/>
    <s v="Flagged"/>
    <n v="-0.1"/>
    <s v=""/>
    <n v="4"/>
    <n v="51599"/>
    <m/>
    <m/>
    <n v="2"/>
    <s v="Flagged"/>
    <n v="51599"/>
    <m/>
    <n v="51599"/>
    <n v="51599"/>
  </r>
  <r>
    <x v="0"/>
    <s v="MZ01"/>
    <x v="6"/>
    <s v="MZ0107"/>
    <m/>
    <m/>
    <m/>
    <n v="3177"/>
    <x v="0"/>
    <n v="1957"/>
    <n v="727"/>
    <n v="367"/>
    <n v="3177"/>
    <n v="15.43281154253245"/>
    <n v="602"/>
    <n v="2005"/>
    <n v="1092"/>
    <n v="602"/>
    <n v="355"/>
    <n v="397"/>
    <n v="602"/>
    <n v="0.60000000000000009"/>
    <n v="0.25"/>
    <n v="0.1"/>
    <n v="1"/>
    <n v="0"/>
    <n v="0.2"/>
    <n v="0.65"/>
    <n v="0.35000000000000003"/>
    <n v="0.2"/>
    <n v="0.1"/>
    <n v="0.1"/>
    <n v="0.2"/>
    <n v="3177"/>
    <s v="Food Security"/>
    <n v="1"/>
    <s v=""/>
    <s v="Flagged"/>
    <s v=""/>
    <n v="2005"/>
    <s v="Shelter"/>
    <n v="0.63109852061693417"/>
    <n v="1172"/>
    <n v="0.5845386533665835"/>
    <s v="Flagged"/>
    <n v="1957"/>
    <s v="CCCM"/>
    <n v="0.61598992760465854"/>
    <n v="1220"/>
    <n v="0.62340316811446095"/>
    <s v="Flagged"/>
    <n v="0.7"/>
    <s v=""/>
    <n v="-0.6"/>
    <s v=""/>
    <n v="3"/>
    <n v="3177"/>
    <m/>
    <m/>
    <n v="3"/>
    <s v="Flagged"/>
    <n v="3177"/>
    <m/>
    <n v="1588.5"/>
    <n v="0"/>
  </r>
  <r>
    <x v="0"/>
    <s v="MZ01"/>
    <x v="7"/>
    <s v="MZ0108"/>
    <m/>
    <m/>
    <m/>
    <n v="11706"/>
    <x v="0"/>
    <n v="11706"/>
    <n v="1776"/>
    <n v="973"/>
    <n v="3796"/>
    <n v="238.34416903966203"/>
    <n v="7033"/>
    <n v="1513"/>
    <n v="6409"/>
    <n v="2220"/>
    <n v="1309"/>
    <n v="7033"/>
    <n v="2220"/>
    <n v="1"/>
    <n v="0.15000000000000002"/>
    <n v="0.1"/>
    <n v="0.30000000000000004"/>
    <n v="0"/>
    <n v="0.60000000000000009"/>
    <n v="0.15000000000000002"/>
    <n v="0.55000000000000004"/>
    <n v="0.2"/>
    <n v="0.1"/>
    <n v="0.60000000000000009"/>
    <n v="0.2"/>
    <n v="11706"/>
    <s v="CCCM"/>
    <n v="1"/>
    <s v=""/>
    <s v="Flagged"/>
    <s v=""/>
    <n v="7033"/>
    <s v="Overarching Protection"/>
    <n v="0.6008030070049547"/>
    <n v="4673"/>
    <n v="0.66443907294184557"/>
    <s v="Flagged"/>
    <n v="6409"/>
    <s v="WASH"/>
    <n v="0.54749701008030072"/>
    <n v="5297"/>
    <n v="0.82649399282259328"/>
    <s v="Flagged"/>
    <n v="15.7"/>
    <s v="Flagged"/>
    <n v="1"/>
    <s v="Flagged"/>
    <n v="3"/>
    <n v="11706"/>
    <m/>
    <m/>
    <n v="5"/>
    <s v="Flagged"/>
    <n v="11706"/>
    <m/>
    <n v="5853"/>
    <n v="0"/>
  </r>
  <r>
    <x v="0"/>
    <s v="MZ01"/>
    <x v="8"/>
    <s v="MZ0109"/>
    <m/>
    <m/>
    <m/>
    <n v="60466"/>
    <x v="0"/>
    <n v="60466"/>
    <n v="5415"/>
    <n v="5002"/>
    <n v="20606"/>
    <n v="1247.8018037536478"/>
    <n v="24270"/>
    <n v="40799"/>
    <n v="33267"/>
    <n v="11450"/>
    <n v="6755"/>
    <n v="24270"/>
    <n v="5725"/>
    <n v="1"/>
    <n v="0.1"/>
    <n v="0.1"/>
    <n v="0.35000000000000003"/>
    <n v="0"/>
    <n v="0.4"/>
    <n v="0.65"/>
    <n v="0.55000000000000004"/>
    <n v="0.2"/>
    <n v="0.1"/>
    <n v="0.4"/>
    <n v="0.1"/>
    <n v="60466"/>
    <s v="CCCM"/>
    <n v="1"/>
    <s v=""/>
    <s v="Flagged"/>
    <s v=""/>
    <n v="40799"/>
    <s v="Shelter"/>
    <n v="0.67474283068170537"/>
    <n v="19667"/>
    <n v="0.48204612858158286"/>
    <s v="Flagged"/>
    <n v="33267"/>
    <s v="WASH"/>
    <n v="0.55017695895213836"/>
    <n v="27199"/>
    <n v="0.8175970180659512"/>
    <s v="Flagged"/>
    <n v="0.5"/>
    <s v=""/>
    <n v="-0.3"/>
    <s v=""/>
    <n v="3"/>
    <n v="60466"/>
    <m/>
    <m/>
    <n v="3"/>
    <s v="Flagged"/>
    <n v="60466"/>
    <m/>
    <n v="30233"/>
    <n v="0"/>
  </r>
  <r>
    <x v="0"/>
    <s v="MZ01"/>
    <x v="9"/>
    <s v="MZ0110"/>
    <m/>
    <m/>
    <m/>
    <n v="1989"/>
    <x v="0"/>
    <n v="1989"/>
    <n v="177"/>
    <n v="173"/>
    <n v="1989"/>
    <n v="1318.1002940745823"/>
    <n v="1253"/>
    <n v="726"/>
    <n v="1243"/>
    <n v="376"/>
    <n v="777"/>
    <n v="1253"/>
    <n v="188"/>
    <n v="1"/>
    <n v="0.1"/>
    <n v="0.1"/>
    <n v="1"/>
    <n v="0.65"/>
    <n v="0.65"/>
    <n v="0.35000000000000003"/>
    <n v="0.60000000000000009"/>
    <n v="0.2"/>
    <n v="0.4"/>
    <n v="0.65"/>
    <n v="0.1"/>
    <n v="1989"/>
    <s v="CCCM_x000a_Food Security"/>
    <n v="1"/>
    <s v=""/>
    <s v="Flagged"/>
    <s v=""/>
    <n v="1318.1002940745823"/>
    <s v="Health"/>
    <n v="0.66269496936881966"/>
    <n v="670.89970592541772"/>
    <n v="0.50898987652259498"/>
    <s v=""/>
    <n v="1253"/>
    <s v="Overarching Protection"/>
    <n v="0.62996480643539465"/>
    <n v="736"/>
    <n v="0.587390263367917"/>
    <s v=""/>
    <s v="#SPILL!"/>
    <s v=""/>
    <n v="0.4"/>
    <s v=""/>
    <n v="3"/>
    <n v="1989"/>
    <m/>
    <m/>
    <n v="1"/>
    <s v="Flagged"/>
    <n v="1989"/>
    <m/>
    <n v="994.5"/>
    <n v="0"/>
  </r>
  <r>
    <x v="0"/>
    <s v="MZ01"/>
    <x v="10"/>
    <s v="MZ0111"/>
    <m/>
    <m/>
    <m/>
    <n v="20334"/>
    <x v="0"/>
    <n v="455"/>
    <n v="1548"/>
    <n v="1935"/>
    <n v="20334"/>
    <n v="54.78261484723879"/>
    <n v="4066"/>
    <n v="14409"/>
    <n v="10369"/>
    <n v="4066"/>
    <n v="2398"/>
    <n v="135"/>
    <n v="4066"/>
    <n v="0"/>
    <n v="0.1"/>
    <n v="0.1"/>
    <n v="1"/>
    <n v="0"/>
    <n v="0.2"/>
    <n v="0.70000000000000007"/>
    <n v="0.5"/>
    <n v="0.2"/>
    <n v="0.1"/>
    <n v="0"/>
    <n v="0.2"/>
    <n v="20334"/>
    <s v="Food Security"/>
    <n v="1"/>
    <s v=""/>
    <s v="Flagged"/>
    <s v=""/>
    <n v="14409"/>
    <s v="Shelter"/>
    <n v="0.70861611094718202"/>
    <n v="5925"/>
    <n v="0.41120133250052049"/>
    <s v="Flagged"/>
    <n v="10369"/>
    <s v="WASH"/>
    <n v="0.5099341005212944"/>
    <n v="9965"/>
    <n v="0.96103770855434467"/>
    <s v="Flagged"/>
    <n v="2.4"/>
    <s v="Flagged"/>
    <n v="0"/>
    <s v=""/>
    <n v="3"/>
    <n v="20334"/>
    <m/>
    <m/>
    <n v="4"/>
    <s v="Flagged"/>
    <n v="20334"/>
    <m/>
    <n v="10167"/>
    <n v="0"/>
  </r>
  <r>
    <x v="0"/>
    <s v="MZ01"/>
    <x v="11"/>
    <s v="MZ0112"/>
    <m/>
    <m/>
    <m/>
    <n v="48358"/>
    <x v="0"/>
    <n v="23978"/>
    <n v="10650"/>
    <n v="4765"/>
    <n v="16925"/>
    <n v="275.00568687056682"/>
    <n v="6520"/>
    <n v="30425"/>
    <n v="43522"/>
    <n v="6520"/>
    <n v="3846"/>
    <n v="3224"/>
    <n v="6520"/>
    <n v="0.5"/>
    <n v="0.2"/>
    <n v="0.1"/>
    <n v="0.35000000000000003"/>
    <n v="0"/>
    <n v="0.15000000000000002"/>
    <n v="0.65"/>
    <n v="0.9"/>
    <n v="0.15000000000000002"/>
    <n v="0.1"/>
    <n v="0.05"/>
    <n v="0.15000000000000002"/>
    <n v="43522"/>
    <s v="WASH"/>
    <n v="0.89999586417966004"/>
    <s v=""/>
    <s v=""/>
    <s v=""/>
    <n v="30425"/>
    <s v="Shelter"/>
    <n v="0.62916166921708916"/>
    <n v="13097"/>
    <n v="0.43046836483155299"/>
    <s v="Flagged"/>
    <n v="23978"/>
    <s v="CCCM"/>
    <n v="0.49584350055833576"/>
    <n v="19544"/>
    <n v="0.81508049044957875"/>
    <s v="Flagged"/>
    <n v="-0.1"/>
    <s v=""/>
    <n v="0.1"/>
    <s v=""/>
    <n v="4"/>
    <n v="43522"/>
    <m/>
    <m/>
    <n v="2"/>
    <s v="Flagged"/>
    <n v="43522"/>
    <m/>
    <n v="43522"/>
    <n v="43522"/>
  </r>
  <r>
    <x v="0"/>
    <s v="MZ01"/>
    <x v="12"/>
    <s v="MZ0113"/>
    <m/>
    <m/>
    <m/>
    <n v="14217"/>
    <x v="0"/>
    <n v="14217"/>
    <n v="2546"/>
    <n v="1290"/>
    <n v="14217"/>
    <n v="201.58532572932657"/>
    <n v="8109"/>
    <n v="8846"/>
    <n v="13901"/>
    <n v="2694"/>
    <n v="5565"/>
    <n v="8109"/>
    <n v="0"/>
    <n v="1"/>
    <n v="0.2"/>
    <n v="0.1"/>
    <n v="1"/>
    <n v="0"/>
    <n v="0.55000000000000004"/>
    <n v="0.60000000000000009"/>
    <n v="1"/>
    <n v="0.2"/>
    <n v="0.4"/>
    <n v="0.55000000000000004"/>
    <n v="0"/>
    <n v="14217"/>
    <s v="CCCM_x000a_Food Security"/>
    <n v="1"/>
    <s v=""/>
    <s v="Flagged"/>
    <s v=""/>
    <n v="13901"/>
    <s v="WASH"/>
    <n v="0.97777308855595413"/>
    <n v="316"/>
    <n v="2.2732177541184086E-2"/>
    <s v=""/>
    <n v="8846"/>
    <s v="Shelter"/>
    <n v="0.622212843778575"/>
    <n v="5371"/>
    <n v="0.60716708116662899"/>
    <s v=""/>
    <s v="#SPILL!"/>
    <s v="Flagged"/>
    <n v="0.5"/>
    <s v=""/>
    <n v="4"/>
    <n v="14217"/>
    <m/>
    <m/>
    <n v="2"/>
    <s v="Flagged"/>
    <n v="14217"/>
    <m/>
    <n v="14217"/>
    <n v="14217"/>
  </r>
  <r>
    <x v="0"/>
    <s v="MZ01"/>
    <x v="13"/>
    <s v="MZ0114"/>
    <m/>
    <m/>
    <m/>
    <n v="3149"/>
    <x v="0"/>
    <n v="3149"/>
    <n v="128"/>
    <n v="366"/>
    <n v="3149"/>
    <m/>
    <n v="647"/>
    <n v="1125"/>
    <n v="1968"/>
    <n v="606"/>
    <n v="357"/>
    <n v="647"/>
    <n v="606"/>
    <n v="1"/>
    <n v="0.05"/>
    <n v="0.1"/>
    <n v="1"/>
    <s v=""/>
    <n v="0.2"/>
    <n v="0.35000000000000003"/>
    <n v="0.60000000000000009"/>
    <n v="0.2"/>
    <n v="0.1"/>
    <n v="0.2"/>
    <n v="0.2"/>
    <n v="3149"/>
    <s v="CCCM_x000a_Food Security"/>
    <n v="1"/>
    <s v=""/>
    <s v="Flagged"/>
    <s v=""/>
    <n v="1968"/>
    <s v="WASH"/>
    <n v="0.62496030485868526"/>
    <n v="1181"/>
    <n v="0.60010162601626016"/>
    <s v=""/>
    <n v="1125"/>
    <s v="Shelter"/>
    <n v="0.35725627183232772"/>
    <n v="2024"/>
    <n v="1.7991111111111111"/>
    <s v=""/>
    <s v="#SPILL!"/>
    <s v=""/>
    <s v=""/>
    <s v=""/>
    <n v="3"/>
    <n v="3149"/>
    <m/>
    <m/>
    <n v="1"/>
    <s v="Flagged"/>
    <n v="3149"/>
    <m/>
    <n v="1574.5"/>
    <n v="0"/>
  </r>
  <r>
    <x v="0"/>
    <s v="MZ01"/>
    <x v="14"/>
    <s v="MZ0115"/>
    <m/>
    <m/>
    <m/>
    <n v="59894"/>
    <x v="0"/>
    <n v="59894"/>
    <n v="10299"/>
    <n v="6063"/>
    <n v="14328"/>
    <n v="20068.709140014478"/>
    <n v="11360"/>
    <n v="46090"/>
    <n v="58490"/>
    <n v="11360"/>
    <n v="6702"/>
    <n v="4211"/>
    <n v="11360"/>
    <n v="1"/>
    <n v="0.15000000000000002"/>
    <n v="0.1"/>
    <n v="0.25"/>
    <n v="0.35000000000000003"/>
    <n v="0.2"/>
    <n v="0.75"/>
    <n v="1"/>
    <n v="0.2"/>
    <n v="0.1"/>
    <n v="0.05"/>
    <n v="0.2"/>
    <n v="59894"/>
    <s v="CCCM"/>
    <n v="1"/>
    <s v=""/>
    <s v="Flagged"/>
    <s v=""/>
    <n v="58490"/>
    <s v="WASH"/>
    <n v="0.9765585868367449"/>
    <n v="1404"/>
    <n v="2.4004103265515473E-2"/>
    <s v=""/>
    <n v="46090"/>
    <s v="Shelter"/>
    <n v="0.76952616288776843"/>
    <n v="13804"/>
    <n v="0.29950097635061834"/>
    <s v=""/>
    <n v="1.5"/>
    <s v="Flagged"/>
    <n v="0.2"/>
    <s v=""/>
    <n v="4"/>
    <n v="59894"/>
    <m/>
    <m/>
    <n v="2"/>
    <s v="Flagged"/>
    <n v="59894"/>
    <m/>
    <n v="59894"/>
    <n v="59894"/>
  </r>
  <r>
    <x v="0"/>
    <s v="MZ01"/>
    <x v="15"/>
    <s v="MZ0116"/>
    <m/>
    <m/>
    <m/>
    <m/>
    <x v="0"/>
    <m/>
    <m/>
    <m/>
    <m/>
    <m/>
    <m/>
    <m/>
    <m/>
    <m/>
    <m/>
    <m/>
    <m/>
    <s v=""/>
    <s v=""/>
    <s v=""/>
    <s v=""/>
    <s v=""/>
    <s v=""/>
    <s v=""/>
    <s v=""/>
    <s v=""/>
    <s v=""/>
    <s v=""/>
    <s v=""/>
    <s v=""/>
    <s v=""/>
    <s v=""/>
    <s v=""/>
    <s v=""/>
    <s v=""/>
    <s v=""/>
    <s v=""/>
    <s v=""/>
    <s v=""/>
    <s v=""/>
    <s v=""/>
    <s v=""/>
    <s v=""/>
    <s v=""/>
    <s v=""/>
    <s v=""/>
    <s v=""/>
    <s v="#SPILL!"/>
    <s v=""/>
    <s v="#SPILL!"/>
    <s v=""/>
    <n v="3"/>
    <s v=""/>
    <m/>
    <m/>
    <n v="0"/>
    <s v=""/>
    <s v=""/>
    <m/>
    <n v="0"/>
    <n v="0"/>
  </r>
  <r>
    <x v="0"/>
    <s v="MZ01"/>
    <x v="16"/>
    <s v="MZ0118"/>
    <m/>
    <m/>
    <m/>
    <n v="1742"/>
    <x v="0"/>
    <n v="1742"/>
    <m/>
    <n v="180"/>
    <n v="1742"/>
    <n v="1207.4289233807724"/>
    <n v="683"/>
    <n v="0"/>
    <n v="0"/>
    <n v="330"/>
    <n v="683"/>
    <n v="0"/>
    <n v="0"/>
    <n v="1"/>
    <s v=""/>
    <n v="0.1"/>
    <n v="1"/>
    <n v="0.70000000000000007"/>
    <n v="0.4"/>
    <n v="0"/>
    <n v="0"/>
    <n v="0.2"/>
    <n v="0.4"/>
    <n v="0"/>
    <n v="0"/>
    <n v="1742"/>
    <s v="CCCM_x000a_Food Security"/>
    <n v="1"/>
    <s v=""/>
    <s v="Flagged"/>
    <s v=""/>
    <n v="1207.4289233807724"/>
    <s v="Health"/>
    <n v="0.69312796979378444"/>
    <n v="534.5710766192276"/>
    <n v="0.44273502668996967"/>
    <s v=""/>
    <n v="683"/>
    <s v="Overarching Protection"/>
    <n v="0.39207807118254878"/>
    <n v="1059"/>
    <n v="1.5505124450951684"/>
    <s v=""/>
    <s v="#SPILL!"/>
    <s v=""/>
    <n v="-0.7"/>
    <s v=""/>
    <n v="4"/>
    <n v="1742"/>
    <m/>
    <m/>
    <n v="1"/>
    <s v="Flagged"/>
    <n v="1742"/>
    <m/>
    <n v="1742"/>
    <n v="1742"/>
  </r>
  <r>
    <x v="1"/>
    <s v="MZ07"/>
    <x v="17"/>
    <s v="MZ0703"/>
    <m/>
    <m/>
    <m/>
    <n v="1199"/>
    <x v="0"/>
    <n v="1199"/>
    <n v="125"/>
    <n v="119.9"/>
    <n v="1199"/>
    <n v="1.5974630055519989"/>
    <n v="226"/>
    <n v="536"/>
    <n v="1199"/>
    <n v="226"/>
    <n v="133"/>
    <n v="0"/>
    <n v="0"/>
    <n v="1"/>
    <n v="0.1"/>
    <n v="0.1"/>
    <n v="1"/>
    <n v="0"/>
    <n v="0.2"/>
    <n v="0.45"/>
    <n v="1"/>
    <n v="0.2"/>
    <n v="0.1"/>
    <n v="0"/>
    <n v="0"/>
    <n v="1199"/>
    <s v="CCCM_x000a_Food Security_x000a_WASH"/>
    <n v="1"/>
    <s v=""/>
    <s v="Flagged"/>
    <s v=""/>
    <n v="536"/>
    <s v="Shelter"/>
    <n v="0.4470391993327773"/>
    <n v="663"/>
    <n v="1.2369402985074627"/>
    <s v=""/>
    <n v="226"/>
    <s v="Overarching Protection"/>
    <n v="0.18849040867389491"/>
    <n v="973"/>
    <n v="4.3053097345132745"/>
    <s v=""/>
    <s v="#SPILL!"/>
    <s v=""/>
    <s v=""/>
    <s v=""/>
    <n v="3"/>
    <n v="1199"/>
    <m/>
    <m/>
    <n v="1"/>
    <s v="Flagged"/>
    <n v="1199"/>
    <m/>
    <n v="599.5"/>
    <n v="0"/>
  </r>
  <r>
    <x v="1"/>
    <s v="MZ07"/>
    <x v="18"/>
    <s v="MZ0711"/>
    <m/>
    <m/>
    <m/>
    <n v="1165"/>
    <x v="0"/>
    <n v="1165"/>
    <n v="38"/>
    <n v="318"/>
    <n v="1165"/>
    <n v="0.36826476363810529"/>
    <n v="220"/>
    <n v="431"/>
    <n v="1048"/>
    <n v="220"/>
    <n v="129"/>
    <n v="29"/>
    <n v="0"/>
    <n v="1"/>
    <n v="0.05"/>
    <n v="0.25"/>
    <n v="1"/>
    <n v="0"/>
    <n v="0.2"/>
    <n v="0.35000000000000003"/>
    <n v="0.9"/>
    <n v="0.2"/>
    <n v="0.1"/>
    <n v="0"/>
    <n v="0"/>
    <n v="1165"/>
    <s v="CCCM_x000a_Food Security"/>
    <n v="1"/>
    <s v=""/>
    <s v="Flagged"/>
    <s v=""/>
    <n v="1048"/>
    <s v="WASH"/>
    <n v="0.89957081545064377"/>
    <n v="117"/>
    <n v="0.11164122137404581"/>
    <s v=""/>
    <n v="431"/>
    <s v="Shelter"/>
    <n v="0.3699570815450644"/>
    <n v="734"/>
    <n v="1.703016241299304"/>
    <s v=""/>
    <s v="#SPILL!"/>
    <s v=""/>
    <s v=""/>
    <s v=""/>
    <n v="3"/>
    <n v="1165"/>
    <m/>
    <m/>
    <n v="1"/>
    <s v="Flagged"/>
    <n v="1165"/>
    <m/>
    <n v="582.5"/>
    <n v="0"/>
  </r>
  <r>
    <x v="2"/>
    <s v="MZ08"/>
    <x v="19"/>
    <s v="MZ0814"/>
    <m/>
    <m/>
    <m/>
    <m/>
    <x v="0"/>
    <m/>
    <m/>
    <m/>
    <m/>
    <m/>
    <m/>
    <m/>
    <m/>
    <m/>
    <m/>
    <m/>
    <m/>
    <s v=""/>
    <s v=""/>
    <s v=""/>
    <s v=""/>
    <s v=""/>
    <s v=""/>
    <s v=""/>
    <s v=""/>
    <s v=""/>
    <s v=""/>
    <s v=""/>
    <s v=""/>
    <s v=""/>
    <s v=""/>
    <s v=""/>
    <s v=""/>
    <s v=""/>
    <s v=""/>
    <s v=""/>
    <s v=""/>
    <s v=""/>
    <s v=""/>
    <s v=""/>
    <s v=""/>
    <s v=""/>
    <s v=""/>
    <s v=""/>
    <s v=""/>
    <s v=""/>
    <s v=""/>
    <s v="#SPILL!"/>
    <s v=""/>
    <s v="#SPILL!"/>
    <s v=""/>
    <n v="3"/>
    <s v=""/>
    <m/>
    <m/>
    <n v="0"/>
    <s v=""/>
    <s v=""/>
    <m/>
    <n v="0"/>
    <n v="0"/>
  </r>
  <r>
    <x v="0"/>
    <s v="MZ01"/>
    <x v="0"/>
    <s v="MZ0101"/>
    <m/>
    <m/>
    <m/>
    <n v="49618"/>
    <x v="1"/>
    <n v="0"/>
    <n v="8211"/>
    <n v="4545"/>
    <n v="40170.5"/>
    <n v="287.32912298108198"/>
    <n v="13900"/>
    <n v="13900"/>
    <n v="35894"/>
    <n v="0"/>
    <n v="4662"/>
    <n v="13900"/>
    <n v="7902"/>
    <n v="0"/>
    <n v="0.15000000000000002"/>
    <n v="0.1"/>
    <n v="0.8"/>
    <n v="0"/>
    <n v="0.30000000000000004"/>
    <n v="0.30000000000000004"/>
    <n v="0.70000000000000007"/>
    <n v="0"/>
    <n v="0.1"/>
    <n v="0.30000000000000004"/>
    <n v="0.15000000000000002"/>
    <n v="40170.5"/>
    <s v="Food Security"/>
    <n v="0.80959530815429881"/>
    <s v=""/>
    <s v=""/>
    <s v=""/>
    <n v="35894"/>
    <s v="WASH"/>
    <n v="0.72340682816719737"/>
    <n v="4276.5"/>
    <n v="0.11914247506547056"/>
    <s v=""/>
    <n v="13900"/>
    <s v="Overarching Protection_x000a_Shelter"/>
    <n v="0.28014027167560157"/>
    <n v="26270.5"/>
    <n v="1.8899640287769783"/>
    <s v="Flagged"/>
    <n v="0.1"/>
    <s v=""/>
    <n v="0"/>
    <s v=""/>
    <n v="3"/>
    <n v="40170.5"/>
    <m/>
    <m/>
    <n v="1"/>
    <s v="Flagged"/>
    <n v="40170.5"/>
    <m/>
    <n v="20085.25"/>
    <n v="0"/>
  </r>
  <r>
    <x v="0"/>
    <s v="MZ01"/>
    <x v="1"/>
    <s v="MZ0102"/>
    <m/>
    <m/>
    <m/>
    <m/>
    <x v="1"/>
    <m/>
    <m/>
    <m/>
    <m/>
    <m/>
    <m/>
    <m/>
    <m/>
    <m/>
    <m/>
    <m/>
    <m/>
    <s v=""/>
    <s v=""/>
    <s v=""/>
    <s v=""/>
    <s v=""/>
    <s v=""/>
    <s v=""/>
    <s v=""/>
    <s v=""/>
    <s v=""/>
    <s v=""/>
    <s v=""/>
    <s v=""/>
    <s v=""/>
    <s v=""/>
    <s v=""/>
    <s v=""/>
    <s v=""/>
    <s v=""/>
    <s v=""/>
    <s v=""/>
    <s v=""/>
    <s v=""/>
    <s v=""/>
    <s v=""/>
    <s v=""/>
    <s v=""/>
    <s v=""/>
    <s v=""/>
    <s v=""/>
    <s v="#SPILL!"/>
    <s v=""/>
    <s v="#SPILL!"/>
    <s v=""/>
    <n v="3"/>
    <s v=""/>
    <m/>
    <m/>
    <n v="0"/>
    <s v=""/>
    <s v=""/>
    <m/>
    <n v="0"/>
    <n v="0"/>
  </r>
  <r>
    <x v="0"/>
    <s v="MZ01"/>
    <x v="2"/>
    <s v="MZ0103"/>
    <m/>
    <m/>
    <m/>
    <n v="38442"/>
    <x v="1"/>
    <n v="7688.4000000000005"/>
    <m/>
    <n v="3968"/>
    <n v="38442"/>
    <n v="124.55677558411182"/>
    <n v="6140"/>
    <n v="0"/>
    <n v="0"/>
    <n v="6140"/>
    <n v="3622"/>
    <n v="0"/>
    <n v="6140"/>
    <n v="0.2"/>
    <s v=""/>
    <n v="0.1"/>
    <n v="1"/>
    <n v="0"/>
    <n v="0.15000000000000002"/>
    <n v="0"/>
    <n v="0"/>
    <n v="0.15000000000000002"/>
    <n v="0.1"/>
    <n v="0"/>
    <n v="0.15000000000000002"/>
    <n v="38442"/>
    <s v="Food Security"/>
    <n v="1"/>
    <s v=""/>
    <s v="Flagged"/>
    <s v=""/>
    <n v="7688.4000000000005"/>
    <s v="CCCM"/>
    <n v="0.2"/>
    <n v="30753.599999999999"/>
    <n v="3.9999999999999996"/>
    <s v="Flagged"/>
    <n v="6140"/>
    <s v="Overarching Protection"/>
    <n v="0.15972113833827584"/>
    <n v="32302"/>
    <n v="5.2609120521172636"/>
    <s v="Flagged"/>
    <n v="2.6"/>
    <s v="Flagged"/>
    <n v="-0.1"/>
    <s v=""/>
    <n v="3"/>
    <n v="38442"/>
    <m/>
    <m/>
    <n v="4"/>
    <s v="Flagged"/>
    <n v="38442"/>
    <m/>
    <n v="19221"/>
    <n v="0"/>
  </r>
  <r>
    <x v="0"/>
    <s v="MZ01"/>
    <x v="3"/>
    <s v="MZ0104"/>
    <m/>
    <m/>
    <m/>
    <m/>
    <x v="1"/>
    <m/>
    <m/>
    <m/>
    <m/>
    <m/>
    <m/>
    <m/>
    <m/>
    <m/>
    <m/>
    <m/>
    <m/>
    <s v=""/>
    <s v=""/>
    <s v=""/>
    <s v=""/>
    <s v=""/>
    <s v=""/>
    <s v=""/>
    <s v=""/>
    <s v=""/>
    <s v=""/>
    <s v=""/>
    <s v=""/>
    <s v=""/>
    <s v=""/>
    <s v=""/>
    <s v=""/>
    <s v=""/>
    <s v=""/>
    <s v=""/>
    <s v=""/>
    <s v=""/>
    <s v=""/>
    <s v=""/>
    <s v=""/>
    <s v=""/>
    <s v=""/>
    <s v=""/>
    <s v=""/>
    <s v=""/>
    <s v=""/>
    <s v="#SPILL!"/>
    <s v=""/>
    <s v="#SPILL!"/>
    <s v=""/>
    <n v="3"/>
    <s v=""/>
    <m/>
    <m/>
    <n v="0"/>
    <s v=""/>
    <s v=""/>
    <m/>
    <n v="0"/>
    <n v="0"/>
  </r>
  <r>
    <x v="0"/>
    <s v="MZ01"/>
    <x v="4"/>
    <s v="MZ0105"/>
    <m/>
    <m/>
    <m/>
    <m/>
    <x v="1"/>
    <m/>
    <m/>
    <m/>
    <m/>
    <m/>
    <m/>
    <m/>
    <m/>
    <m/>
    <m/>
    <m/>
    <m/>
    <s v=""/>
    <s v=""/>
    <s v=""/>
    <s v=""/>
    <s v=""/>
    <s v=""/>
    <s v=""/>
    <s v=""/>
    <s v=""/>
    <s v=""/>
    <s v=""/>
    <s v=""/>
    <s v=""/>
    <s v=""/>
    <s v=""/>
    <s v=""/>
    <s v=""/>
    <s v=""/>
    <s v=""/>
    <s v=""/>
    <s v=""/>
    <s v=""/>
    <s v=""/>
    <s v=""/>
    <s v=""/>
    <s v=""/>
    <s v=""/>
    <s v=""/>
    <s v=""/>
    <s v=""/>
    <s v="#SPILL!"/>
    <s v="Flagged"/>
    <s v="#SPILL!"/>
    <s v="Flagged"/>
    <n v="3"/>
    <s v=""/>
    <m/>
    <m/>
    <n v="2"/>
    <s v="Flagged"/>
    <s v=""/>
    <m/>
    <n v="0"/>
    <n v="0"/>
  </r>
  <r>
    <x v="0"/>
    <s v="MZ01"/>
    <x v="5"/>
    <s v="MZ0106"/>
    <m/>
    <m/>
    <m/>
    <n v="81470"/>
    <x v="1"/>
    <n v="16294"/>
    <n v="8999"/>
    <n v="8402"/>
    <n v="13980"/>
    <n v="64237.577867301297"/>
    <n v="40876"/>
    <n v="49333"/>
    <n v="71603"/>
    <n v="12976"/>
    <n v="26796"/>
    <n v="40876"/>
    <n v="6488"/>
    <n v="0.2"/>
    <n v="0.1"/>
    <n v="0.1"/>
    <n v="0.15000000000000002"/>
    <n v="0.8"/>
    <n v="0.5"/>
    <n v="0.60000000000000009"/>
    <n v="0.9"/>
    <n v="0.15000000000000002"/>
    <n v="0.35000000000000003"/>
    <n v="0.5"/>
    <n v="0.1"/>
    <n v="71603"/>
    <s v="WASH"/>
    <n v="0.8788879342089112"/>
    <s v=""/>
    <s v=""/>
    <s v=""/>
    <n v="64237.577867301297"/>
    <s v="Health"/>
    <n v="0.78848137802014606"/>
    <n v="7365.4221326987026"/>
    <n v="0.11465908860875507"/>
    <s v=""/>
    <n v="49333"/>
    <s v="Shelter"/>
    <n v="0.60553578004173314"/>
    <n v="22270"/>
    <n v="0.45142196906735854"/>
    <s v=""/>
    <n v="-0.3"/>
    <s v=""/>
    <n v="-0.4"/>
    <s v=""/>
    <n v="4"/>
    <n v="71603"/>
    <m/>
    <m/>
    <n v="0"/>
    <s v=""/>
    <n v="71603"/>
    <m/>
    <n v="71603"/>
    <n v="71603"/>
  </r>
  <r>
    <x v="0"/>
    <s v="MZ01"/>
    <x v="6"/>
    <s v="MZ0107"/>
    <m/>
    <m/>
    <m/>
    <m/>
    <x v="1"/>
    <m/>
    <m/>
    <m/>
    <m/>
    <m/>
    <m/>
    <m/>
    <m/>
    <m/>
    <m/>
    <m/>
    <m/>
    <s v=""/>
    <s v=""/>
    <s v=""/>
    <s v=""/>
    <s v=""/>
    <s v=""/>
    <s v=""/>
    <s v=""/>
    <s v=""/>
    <s v=""/>
    <s v=""/>
    <s v=""/>
    <s v=""/>
    <s v=""/>
    <s v=""/>
    <s v=""/>
    <s v=""/>
    <s v=""/>
    <s v=""/>
    <s v=""/>
    <s v=""/>
    <s v=""/>
    <s v=""/>
    <s v=""/>
    <s v=""/>
    <s v=""/>
    <s v=""/>
    <s v=""/>
    <s v=""/>
    <s v=""/>
    <s v="#SPILL!"/>
    <s v=""/>
    <s v="#SPILL!"/>
    <s v=""/>
    <n v="3"/>
    <s v=""/>
    <m/>
    <m/>
    <n v="0"/>
    <s v=""/>
    <s v=""/>
    <m/>
    <n v="0"/>
    <n v="0"/>
  </r>
  <r>
    <x v="0"/>
    <s v="MZ01"/>
    <x v="7"/>
    <s v="MZ0108"/>
    <m/>
    <m/>
    <m/>
    <n v="11921"/>
    <x v="1"/>
    <n v="2384.2000000000003"/>
    <n v="2164"/>
    <n v="992"/>
    <n v="3796"/>
    <n v="242.72175287218613"/>
    <n v="5166"/>
    <n v="1192"/>
    <n v="6932"/>
    <n v="1902"/>
    <n v="1122"/>
    <n v="5166"/>
    <n v="0"/>
    <n v="0.2"/>
    <n v="0.2"/>
    <n v="0.1"/>
    <n v="0.30000000000000004"/>
    <n v="0"/>
    <n v="0.45"/>
    <n v="0.1"/>
    <n v="0.60000000000000009"/>
    <n v="0.15000000000000002"/>
    <n v="0.1"/>
    <n v="0.45"/>
    <n v="0"/>
    <n v="6932"/>
    <s v="WASH"/>
    <n v="0.5814948410368258"/>
    <s v=""/>
    <s v=""/>
    <s v=""/>
    <n v="5166"/>
    <s v="Overarching Protection"/>
    <n v="0.43335290663534937"/>
    <n v="1766"/>
    <n v="0.34185056136275649"/>
    <s v="Flagged"/>
    <n v="3796"/>
    <s v="Food Security"/>
    <n v="0.31842966194111233"/>
    <n v="3136"/>
    <n v="0.8261327713382508"/>
    <s v="Flagged"/>
    <n v="-0.1"/>
    <s v=""/>
    <n v="1"/>
    <s v="Flagged"/>
    <n v="3"/>
    <n v="6932"/>
    <m/>
    <m/>
    <n v="3"/>
    <s v="Flagged"/>
    <n v="6932"/>
    <m/>
    <n v="3466"/>
    <n v="0"/>
  </r>
  <r>
    <x v="0"/>
    <s v="MZ01"/>
    <x v="8"/>
    <s v="MZ0109"/>
    <m/>
    <m/>
    <m/>
    <m/>
    <x v="1"/>
    <m/>
    <m/>
    <m/>
    <m/>
    <m/>
    <m/>
    <m/>
    <m/>
    <m/>
    <m/>
    <m/>
    <m/>
    <s v=""/>
    <s v=""/>
    <s v=""/>
    <s v=""/>
    <s v=""/>
    <s v=""/>
    <s v=""/>
    <s v=""/>
    <s v=""/>
    <s v=""/>
    <s v=""/>
    <s v=""/>
    <s v=""/>
    <s v=""/>
    <s v=""/>
    <s v=""/>
    <s v=""/>
    <s v=""/>
    <s v=""/>
    <s v=""/>
    <s v=""/>
    <s v=""/>
    <s v=""/>
    <s v=""/>
    <s v=""/>
    <s v=""/>
    <s v=""/>
    <s v=""/>
    <s v=""/>
    <s v=""/>
    <s v="#SPILL!"/>
    <s v=""/>
    <s v="#SPILL!"/>
    <s v=""/>
    <n v="3"/>
    <s v=""/>
    <m/>
    <m/>
    <n v="0"/>
    <s v=""/>
    <s v=""/>
    <m/>
    <n v="0"/>
    <n v="0"/>
  </r>
  <r>
    <x v="0"/>
    <s v="MZ01"/>
    <x v="9"/>
    <s v="MZ0110"/>
    <m/>
    <m/>
    <m/>
    <n v="197872"/>
    <x v="1"/>
    <n v="39574.400000000001"/>
    <n v="7812"/>
    <n v="17112"/>
    <n v="24515"/>
    <n v="131128.77897894711"/>
    <n v="128075"/>
    <n v="37270"/>
    <n v="81317"/>
    <n v="31440"/>
    <n v="64924"/>
    <n v="128075"/>
    <n v="15720"/>
    <n v="0.2"/>
    <n v="0.05"/>
    <n v="0.1"/>
    <n v="0.1"/>
    <n v="0.65"/>
    <n v="0.65"/>
    <n v="0.2"/>
    <n v="0.4"/>
    <n v="0.15000000000000002"/>
    <n v="0.35000000000000003"/>
    <n v="0.65"/>
    <n v="0.1"/>
    <n v="131128.77897894711"/>
    <s v="Health"/>
    <n v="0.66269496936881978"/>
    <s v=""/>
    <s v=""/>
    <s v=""/>
    <n v="128075"/>
    <s v="Overarching Protection"/>
    <n v="0.64726186625697424"/>
    <n v="3053.7789789471135"/>
    <n v="2.3843677368316326E-2"/>
    <s v=""/>
    <n v="81317"/>
    <s v="WASH"/>
    <n v="0.41095758874423871"/>
    <n v="49811.778978947114"/>
    <n v="0.61256292016364489"/>
    <s v="Flagged"/>
    <n v="0.4"/>
    <s v=""/>
    <n v="0.3"/>
    <s v=""/>
    <n v="3"/>
    <n v="131128.77897894711"/>
    <m/>
    <m/>
    <n v="1"/>
    <s v="Flagged"/>
    <n v="131128.77897894711"/>
    <m/>
    <n v="65564.389489473557"/>
    <n v="0"/>
  </r>
  <r>
    <x v="0"/>
    <s v="MZ01"/>
    <x v="10"/>
    <s v="MZ0111"/>
    <m/>
    <m/>
    <m/>
    <m/>
    <x v="1"/>
    <m/>
    <m/>
    <m/>
    <m/>
    <m/>
    <m/>
    <m/>
    <m/>
    <m/>
    <m/>
    <m/>
    <m/>
    <s v=""/>
    <s v=""/>
    <s v=""/>
    <s v=""/>
    <s v=""/>
    <s v=""/>
    <s v=""/>
    <s v=""/>
    <s v=""/>
    <s v=""/>
    <s v=""/>
    <s v=""/>
    <s v=""/>
    <s v=""/>
    <s v=""/>
    <s v=""/>
    <s v=""/>
    <s v=""/>
    <s v=""/>
    <s v=""/>
    <s v=""/>
    <s v=""/>
    <s v=""/>
    <s v=""/>
    <s v=""/>
    <s v=""/>
    <s v=""/>
    <s v=""/>
    <s v=""/>
    <s v=""/>
    <s v="#SPILL!"/>
    <s v=""/>
    <s v="#SPILL!"/>
    <s v=""/>
    <n v="3"/>
    <s v=""/>
    <m/>
    <m/>
    <n v="0"/>
    <s v=""/>
    <s v=""/>
    <m/>
    <n v="0"/>
    <n v="0"/>
  </r>
  <r>
    <x v="0"/>
    <s v="MZ01"/>
    <x v="11"/>
    <s v="MZ0112"/>
    <m/>
    <m/>
    <m/>
    <n v="58674"/>
    <x v="1"/>
    <n v="11734.800000000001"/>
    <n v="10352"/>
    <n v="5709"/>
    <n v="17065"/>
    <n v="333.67144363794284"/>
    <n v="9372"/>
    <n v="16417"/>
    <n v="43169"/>
    <n v="9372"/>
    <n v="5529"/>
    <n v="1216"/>
    <n v="9372"/>
    <n v="0.2"/>
    <n v="0.2"/>
    <n v="0.1"/>
    <n v="0.30000000000000004"/>
    <n v="0"/>
    <n v="0.15000000000000002"/>
    <n v="0.30000000000000004"/>
    <n v="0.75"/>
    <n v="0.15000000000000002"/>
    <n v="0.1"/>
    <n v="0"/>
    <n v="0.15000000000000002"/>
    <n v="43169"/>
    <s v="WASH"/>
    <n v="0.7357432593653066"/>
    <s v=""/>
    <s v=""/>
    <s v=""/>
    <n v="17065"/>
    <s v="Food Security"/>
    <n v="0.29084432627739715"/>
    <n v="26104"/>
    <n v="1.5296806328743042"/>
    <s v="Flagged"/>
    <n v="16417"/>
    <s v="Shelter"/>
    <n v="0.27980025224119714"/>
    <n v="26752"/>
    <n v="1.629530364865688"/>
    <s v="Flagged"/>
    <n v="-0.1"/>
    <s v=""/>
    <n v="-0.3"/>
    <s v=""/>
    <n v="4"/>
    <n v="43169"/>
    <m/>
    <m/>
    <n v="2"/>
    <s v="Flagged"/>
    <n v="43169"/>
    <m/>
    <n v="43169"/>
    <n v="43169"/>
  </r>
  <r>
    <x v="0"/>
    <s v="MZ01"/>
    <x v="12"/>
    <s v="MZ0113"/>
    <m/>
    <m/>
    <m/>
    <n v="39768"/>
    <x v="1"/>
    <n v="7953.6"/>
    <n v="5802"/>
    <n v="3596"/>
    <n v="32015"/>
    <n v="563.87741672672576"/>
    <n v="23945"/>
    <n v="15683"/>
    <n v="35147"/>
    <n v="6342"/>
    <n v="13097"/>
    <n v="23945"/>
    <n v="6342"/>
    <n v="0.2"/>
    <n v="0.15000000000000002"/>
    <n v="0.1"/>
    <n v="0.8"/>
    <n v="0"/>
    <n v="0.60000000000000009"/>
    <n v="0.4"/>
    <n v="0.9"/>
    <n v="0.15000000000000002"/>
    <n v="0.35000000000000003"/>
    <n v="0.60000000000000009"/>
    <n v="0.15000000000000002"/>
    <n v="35147"/>
    <s v="WASH"/>
    <n v="0.88380104606718968"/>
    <s v=""/>
    <s v=""/>
    <s v=""/>
    <n v="32015"/>
    <s v="Food Security"/>
    <n v="0.80504425668879498"/>
    <n v="3132"/>
    <n v="9.7829142589411208E-2"/>
    <s v=""/>
    <n v="23945"/>
    <s v="Overarching Protection"/>
    <n v="0.60211728022530675"/>
    <n v="11202"/>
    <n v="0.46782209229484234"/>
    <s v=""/>
    <n v="0.5"/>
    <s v=""/>
    <n v="3"/>
    <s v="Flagged"/>
    <n v="4"/>
    <n v="35147"/>
    <m/>
    <m/>
    <n v="1"/>
    <s v="Flagged"/>
    <n v="35147"/>
    <m/>
    <n v="35147"/>
    <n v="35147"/>
  </r>
  <r>
    <x v="0"/>
    <s v="MZ01"/>
    <x v="13"/>
    <s v="MZ0114"/>
    <m/>
    <m/>
    <m/>
    <m/>
    <x v="1"/>
    <m/>
    <m/>
    <m/>
    <m/>
    <m/>
    <m/>
    <m/>
    <m/>
    <m/>
    <m/>
    <m/>
    <m/>
    <s v=""/>
    <s v=""/>
    <s v=""/>
    <s v=""/>
    <s v=""/>
    <s v=""/>
    <s v=""/>
    <s v=""/>
    <s v=""/>
    <s v=""/>
    <s v=""/>
    <s v=""/>
    <s v=""/>
    <s v=""/>
    <s v=""/>
    <s v=""/>
    <s v=""/>
    <s v=""/>
    <s v=""/>
    <s v=""/>
    <s v=""/>
    <s v=""/>
    <s v=""/>
    <s v=""/>
    <s v=""/>
    <s v=""/>
    <s v=""/>
    <s v=""/>
    <s v=""/>
    <s v=""/>
    <s v="#SPILL!"/>
    <s v=""/>
    <s v="#SPILL!"/>
    <s v=""/>
    <n v="3"/>
    <s v=""/>
    <m/>
    <m/>
    <n v="0"/>
    <s v=""/>
    <s v=""/>
    <m/>
    <n v="0"/>
    <n v="0"/>
  </r>
  <r>
    <x v="0"/>
    <s v="MZ01"/>
    <x v="14"/>
    <s v="MZ0115"/>
    <m/>
    <m/>
    <m/>
    <n v="11633"/>
    <x v="1"/>
    <n v="0"/>
    <n v="1948"/>
    <n v="1099"/>
    <n v="11633"/>
    <n v="3897.8744686577693"/>
    <n v="1860"/>
    <n v="3704"/>
    <n v="11216"/>
    <n v="1860"/>
    <n v="1097"/>
    <n v="887"/>
    <n v="1860"/>
    <n v="0"/>
    <n v="0.15000000000000002"/>
    <n v="0.1"/>
    <n v="1"/>
    <n v="0.35000000000000003"/>
    <n v="0.15000000000000002"/>
    <n v="0.30000000000000004"/>
    <n v="0.95000000000000007"/>
    <n v="0.15000000000000002"/>
    <n v="0.1"/>
    <n v="0.1"/>
    <n v="0.15000000000000002"/>
    <n v="11633"/>
    <s v="Food Security"/>
    <n v="1"/>
    <s v=""/>
    <s v="Flagged"/>
    <s v=""/>
    <n v="11216"/>
    <s v="WASH"/>
    <n v="0.96415370067910255"/>
    <n v="417"/>
    <n v="3.7179029957203992E-2"/>
    <s v=""/>
    <n v="3897.8744686577693"/>
    <s v="Health"/>
    <n v="0.33507044345033693"/>
    <n v="7735.1255313422307"/>
    <n v="1.9844470604528772"/>
    <s v="Flagged"/>
    <n v="0.3"/>
    <s v=""/>
    <n v="0.2"/>
    <s v=""/>
    <n v="4"/>
    <n v="11633"/>
    <m/>
    <m/>
    <n v="2"/>
    <s v="Flagged"/>
    <n v="11633"/>
    <m/>
    <n v="11633"/>
    <n v="11633"/>
  </r>
  <r>
    <x v="0"/>
    <s v="MZ01"/>
    <x v="15"/>
    <s v="MZ0116"/>
    <m/>
    <m/>
    <m/>
    <n v="121669"/>
    <x v="1"/>
    <n v="0"/>
    <n v="11526"/>
    <n v="17592"/>
    <n v="12675"/>
    <n v="6381.1423492797003"/>
    <n v="19334"/>
    <n v="28389"/>
    <n v="52047"/>
    <n v="19334"/>
    <n v="11407"/>
    <n v="18926"/>
    <n v="19334"/>
    <n v="0"/>
    <n v="0.1"/>
    <n v="0.15000000000000002"/>
    <n v="0.1"/>
    <n v="0.05"/>
    <n v="0.15000000000000002"/>
    <n v="0.25"/>
    <n v="0.45"/>
    <n v="0.15000000000000002"/>
    <n v="0.1"/>
    <n v="0.15000000000000002"/>
    <n v="0.15000000000000002"/>
    <n v="52047"/>
    <s v="WASH"/>
    <n v="0.4277753577328654"/>
    <s v=""/>
    <s v=""/>
    <s v=""/>
    <n v="28389"/>
    <s v="Shelter"/>
    <n v="0.2333297717578019"/>
    <n v="23658"/>
    <n v="0.83335094578886193"/>
    <s v="Flagged"/>
    <n v="19334"/>
    <s v="Overarching Protection"/>
    <n v="0.15890654151838185"/>
    <n v="32713"/>
    <n v="1.6919933795386366"/>
    <s v="Flagged"/>
    <s v=""/>
    <s v=""/>
    <s v=""/>
    <s v=""/>
    <n v="3"/>
    <n v="52047"/>
    <m/>
    <m/>
    <n v="2"/>
    <s v="Flagged"/>
    <n v="52047"/>
    <m/>
    <n v="26023.5"/>
    <n v="0"/>
  </r>
  <r>
    <x v="0"/>
    <s v="MZ01"/>
    <x v="16"/>
    <s v="MZ0118"/>
    <m/>
    <m/>
    <m/>
    <n v="50734"/>
    <x v="1"/>
    <n v="10146.800000000001"/>
    <n v="11400"/>
    <n v="4944"/>
    <n v="7451"/>
    <n v="35165.154419517865"/>
    <n v="20484"/>
    <n v="21199"/>
    <n v="46447"/>
    <n v="8070"/>
    <n v="16664"/>
    <n v="20484"/>
    <n v="8070"/>
    <n v="0.2"/>
    <n v="0.2"/>
    <n v="0.1"/>
    <n v="0.15000000000000002"/>
    <n v="0.70000000000000007"/>
    <n v="0.4"/>
    <n v="0.4"/>
    <n v="0.9"/>
    <n v="0.15000000000000002"/>
    <n v="0.35000000000000003"/>
    <n v="0.4"/>
    <n v="0.15000000000000002"/>
    <n v="46447"/>
    <s v="WASH"/>
    <n v="0.91550045334489694"/>
    <s v=""/>
    <s v="Flagged"/>
    <s v=""/>
    <n v="35165.154419517865"/>
    <s v="Health"/>
    <n v="0.69312796979378455"/>
    <n v="11281.845580482135"/>
    <n v="0.32082457099122885"/>
    <s v="Flagged"/>
    <n v="21199"/>
    <s v="Shelter"/>
    <n v="0.417846020420231"/>
    <n v="25248"/>
    <n v="1.1909995754516722"/>
    <s v="Flagged"/>
    <n v="-1"/>
    <s v="Flagged"/>
    <n v="-0.7"/>
    <s v=""/>
    <n v="4"/>
    <n v="46447"/>
    <m/>
    <m/>
    <n v="4"/>
    <s v="Flagged"/>
    <n v="46447"/>
    <m/>
    <n v="46447"/>
    <n v="46447"/>
  </r>
  <r>
    <x v="1"/>
    <s v="MZ07"/>
    <x v="17"/>
    <s v="MZ0703"/>
    <m/>
    <m/>
    <m/>
    <n v="19715"/>
    <x v="1"/>
    <n v="0"/>
    <n v="2491"/>
    <n v="2043"/>
    <n v="19715"/>
    <n v="26.26687502456852"/>
    <n v="3146"/>
    <n v="5807"/>
    <n v="19715"/>
    <n v="3146"/>
    <n v="1856"/>
    <n v="0"/>
    <n v="3146"/>
    <n v="0"/>
    <n v="0.15000000000000002"/>
    <n v="0.1"/>
    <n v="1"/>
    <n v="0"/>
    <n v="0.15000000000000002"/>
    <n v="0.30000000000000004"/>
    <n v="1"/>
    <n v="0.15000000000000002"/>
    <n v="0.1"/>
    <n v="0"/>
    <n v="0.15000000000000002"/>
    <n v="19715"/>
    <s v="Food Security_x000a_WASH"/>
    <n v="1"/>
    <s v=""/>
    <s v="Flagged"/>
    <s v=""/>
    <n v="5807"/>
    <s v="Shelter"/>
    <n v="0.29454729901090543"/>
    <n v="13908"/>
    <n v="2.3950404684002065"/>
    <s v=""/>
    <n v="3146"/>
    <s v="Overarching Protection"/>
    <n v="0.15957392848085214"/>
    <n v="16569"/>
    <n v="5.2666878575969482"/>
    <s v=""/>
    <s v="#SPILL!"/>
    <s v=""/>
    <s v=""/>
    <s v=""/>
    <n v="3"/>
    <n v="19715"/>
    <m/>
    <m/>
    <n v="1"/>
    <s v="Flagged"/>
    <n v="19715"/>
    <m/>
    <n v="9857.5"/>
    <n v="0"/>
  </r>
  <r>
    <x v="1"/>
    <s v="MZ07"/>
    <x v="18"/>
    <s v="MZ0711"/>
    <m/>
    <m/>
    <m/>
    <n v="13757"/>
    <x v="1"/>
    <n v="0"/>
    <n v="903"/>
    <n v="1211"/>
    <n v="13757"/>
    <n v="4.3486852818621582"/>
    <n v="2198"/>
    <n v="4877"/>
    <n v="10882"/>
    <n v="2198"/>
    <n v="1296"/>
    <n v="975"/>
    <n v="2198"/>
    <n v="0"/>
    <n v="0.05"/>
    <n v="0.1"/>
    <n v="1"/>
    <n v="0"/>
    <n v="0.15000000000000002"/>
    <n v="0.35000000000000003"/>
    <n v="0.8"/>
    <n v="0.15000000000000002"/>
    <n v="0.1"/>
    <n v="0.05"/>
    <n v="0.15000000000000002"/>
    <n v="13757"/>
    <s v="Food Security"/>
    <n v="1"/>
    <s v=""/>
    <s v="Flagged"/>
    <s v=""/>
    <n v="10882"/>
    <s v="WASH"/>
    <n v="0.79101548302682267"/>
    <n v="2875"/>
    <n v="0.26419775776511673"/>
    <s v=""/>
    <n v="4877"/>
    <s v="Shelter"/>
    <n v="0.35451043105328195"/>
    <n v="8880"/>
    <n v="1.8207914701660857"/>
    <s v="Flagged"/>
    <s v=""/>
    <s v=""/>
    <s v=""/>
    <s v=""/>
    <n v="3"/>
    <n v="13757"/>
    <m/>
    <m/>
    <n v="2"/>
    <s v="Flagged"/>
    <n v="13757"/>
    <m/>
    <n v="6878.5"/>
    <n v="0"/>
  </r>
  <r>
    <x v="2"/>
    <s v="MZ08"/>
    <x v="19"/>
    <s v="MZ0814"/>
    <m/>
    <m/>
    <m/>
    <n v="3968"/>
    <x v="1"/>
    <n v="0"/>
    <n v="602"/>
    <n v="325"/>
    <n v="2636"/>
    <n v="53.61809573908468"/>
    <n v="1416"/>
    <n v="2063"/>
    <n v="3304"/>
    <n v="634"/>
    <n v="374"/>
    <n v="1416"/>
    <n v="0"/>
    <n v="0"/>
    <n v="0.15000000000000002"/>
    <n v="0.1"/>
    <n v="0.65"/>
    <n v="0"/>
    <n v="0.35000000000000003"/>
    <n v="0.5"/>
    <n v="0.85000000000000009"/>
    <n v="0.15000000000000002"/>
    <n v="0.1"/>
    <n v="0.35000000000000003"/>
    <n v="0"/>
    <n v="3304"/>
    <s v="WASH"/>
    <n v="0.83266129032258063"/>
    <s v=""/>
    <s v=""/>
    <s v=""/>
    <n v="2636"/>
    <s v="Food Security"/>
    <n v="0.66431451612903225"/>
    <n v="668"/>
    <n v="0.25341426403641881"/>
    <s v=""/>
    <n v="2063"/>
    <s v="Shelter"/>
    <n v="0.51990927419354838"/>
    <n v="1241"/>
    <n v="0.60155113911778968"/>
    <s v="Flagged"/>
    <s v=""/>
    <s v=""/>
    <s v=""/>
    <s v=""/>
    <n v="3"/>
    <n v="3304"/>
    <m/>
    <m/>
    <n v="1"/>
    <s v="Flagged"/>
    <n v="3304"/>
    <m/>
    <n v="1652"/>
    <n v="0"/>
  </r>
  <r>
    <x v="0"/>
    <s v="MZ01"/>
    <x v="0"/>
    <s v="MZ0101"/>
    <m/>
    <m/>
    <m/>
    <n v="119176"/>
    <x v="2"/>
    <n v="0"/>
    <n v="9104"/>
    <n v="10167"/>
    <n v="40170.5"/>
    <n v="690.12728365499265"/>
    <n v="30851"/>
    <n v="13312"/>
    <n v="25204"/>
    <n v="12396"/>
    <n v="7313"/>
    <n v="30851"/>
    <n v="12396"/>
    <n v="0"/>
    <n v="0.1"/>
    <n v="0.1"/>
    <n v="0.35000000000000003"/>
    <n v="0"/>
    <n v="0.25"/>
    <n v="0.1"/>
    <n v="0.2"/>
    <n v="0.1"/>
    <n v="0.05"/>
    <n v="0.25"/>
    <n v="0.1"/>
    <n v="40170.5"/>
    <s v="Food Security"/>
    <n v="0.33706870510841108"/>
    <s v=""/>
    <s v=""/>
    <s v=""/>
    <n v="30851"/>
    <s v="Overarching Protection"/>
    <n v="0.25886923541652684"/>
    <n v="9319.5"/>
    <n v="0.30208096982269617"/>
    <s v="Flagged"/>
    <n v="25204"/>
    <s v="WASH"/>
    <n v="0.21148553400013426"/>
    <n v="14966.5"/>
    <n v="0.59381447389303288"/>
    <s v="Flagged"/>
    <n v="0.1"/>
    <s v=""/>
    <n v="-0.6"/>
    <s v=""/>
    <n v="3"/>
    <n v="40170.5"/>
    <m/>
    <m/>
    <n v="2"/>
    <s v="Flagged"/>
    <n v="40170.5"/>
    <m/>
    <n v="20085.25"/>
    <n v="0"/>
  </r>
  <r>
    <x v="0"/>
    <s v="MZ01"/>
    <x v="1"/>
    <s v="MZ0102"/>
    <m/>
    <m/>
    <m/>
    <n v="194226"/>
    <x v="2"/>
    <n v="0"/>
    <n v="21119"/>
    <n v="16942"/>
    <n v="34478"/>
    <m/>
    <n v="21000"/>
    <n v="46882"/>
    <n v="4930"/>
    <n v="20550"/>
    <n v="12124"/>
    <n v="21000"/>
    <n v="0"/>
    <n v="0"/>
    <n v="0.1"/>
    <n v="0.1"/>
    <n v="0.2"/>
    <s v=""/>
    <n v="0.1"/>
    <n v="0.25"/>
    <n v="0.05"/>
    <n v="0.1"/>
    <n v="0.05"/>
    <n v="0.1"/>
    <n v="0"/>
    <n v="46882"/>
    <s v="Shelter"/>
    <n v="0.24137860018741053"/>
    <s v=""/>
    <s v=""/>
    <s v=""/>
    <n v="34478"/>
    <s v="Food Security"/>
    <n v="0.17751485383007423"/>
    <n v="12404"/>
    <n v="0.35976564765937702"/>
    <s v="Flagged"/>
    <n v="21119"/>
    <s v="Education"/>
    <n v="0.1087341550564806"/>
    <n v="25763"/>
    <n v="1.2198967754155026"/>
    <s v="Flagged"/>
    <s v=""/>
    <s v=""/>
    <s v=""/>
    <s v=""/>
    <n v="3"/>
    <n v="46882"/>
    <m/>
    <m/>
    <n v="2"/>
    <s v="Flagged"/>
    <n v="46882"/>
    <m/>
    <n v="23441"/>
    <n v="0"/>
  </r>
  <r>
    <x v="0"/>
    <s v="MZ01"/>
    <x v="2"/>
    <s v="MZ0103"/>
    <m/>
    <m/>
    <m/>
    <n v="293505"/>
    <x v="2"/>
    <n v="58701"/>
    <n v="31944"/>
    <n v="25286"/>
    <n v="106444"/>
    <n v="950.99205082500225"/>
    <n v="28920"/>
    <n v="50644"/>
    <n v="19631"/>
    <n v="28920"/>
    <n v="17062"/>
    <n v="4604"/>
    <n v="28920"/>
    <n v="0.2"/>
    <n v="0.1"/>
    <n v="0.1"/>
    <n v="0.35000000000000003"/>
    <n v="0"/>
    <n v="0.1"/>
    <n v="0.15000000000000002"/>
    <n v="0.05"/>
    <n v="0.1"/>
    <n v="0.05"/>
    <n v="0"/>
    <n v="0.1"/>
    <n v="106444"/>
    <s v="Food Security"/>
    <n v="0.36266503126011485"/>
    <s v=""/>
    <s v=""/>
    <s v=""/>
    <n v="58701"/>
    <s v="CCCM"/>
    <n v="0.2"/>
    <n v="47743"/>
    <n v="0.81332515630057411"/>
    <s v="Flagged"/>
    <n v="50644"/>
    <s v="Shelter"/>
    <n v="0.17254901960784313"/>
    <n v="55800"/>
    <n v="1.1018087038938473"/>
    <s v="Flagged"/>
    <n v="2.6"/>
    <s v="Flagged"/>
    <n v="-0.1"/>
    <s v=""/>
    <n v="3"/>
    <n v="106444"/>
    <m/>
    <m/>
    <n v="3"/>
    <s v="Flagged"/>
    <n v="106444"/>
    <m/>
    <n v="53222"/>
    <n v="0"/>
  </r>
  <r>
    <x v="0"/>
    <s v="MZ01"/>
    <x v="3"/>
    <s v="MZ0104"/>
    <m/>
    <m/>
    <m/>
    <n v="247192"/>
    <x v="2"/>
    <n v="0"/>
    <n v="40051"/>
    <n v="19607"/>
    <n v="39165"/>
    <n v="4561.943692552536"/>
    <n v="28920"/>
    <m/>
    <n v="42315"/>
    <n v="28920"/>
    <n v="17062"/>
    <n v="3386"/>
    <n v="28920"/>
    <n v="0"/>
    <n v="0.15000000000000002"/>
    <n v="0.1"/>
    <n v="0.15000000000000002"/>
    <n v="0"/>
    <n v="0.1"/>
    <s v=""/>
    <n v="0.15000000000000002"/>
    <n v="0.1"/>
    <n v="0.05"/>
    <n v="0"/>
    <n v="0.1"/>
    <n v="42315"/>
    <s v="WASH"/>
    <n v="0.17118272436001164"/>
    <s v=""/>
    <s v=""/>
    <s v=""/>
    <n v="40051"/>
    <s v="Education"/>
    <n v="0.16202385190459237"/>
    <n v="2264"/>
    <n v="5.6527926893211157E-2"/>
    <s v=""/>
    <n v="39165"/>
    <s v="Food Security"/>
    <n v="0.15843959351435322"/>
    <n v="3150"/>
    <n v="8.0428954423592491E-2"/>
    <s v=""/>
    <n v="0.2"/>
    <s v=""/>
    <n v="0.4"/>
    <s v=""/>
    <n v="3"/>
    <n v="42315"/>
    <m/>
    <m/>
    <n v="0"/>
    <s v=""/>
    <n v="42315"/>
    <m/>
    <n v="21157.5"/>
    <n v="0"/>
  </r>
  <r>
    <x v="0"/>
    <s v="MZ01"/>
    <x v="4"/>
    <s v="MZ0105"/>
    <m/>
    <m/>
    <m/>
    <n v="12430"/>
    <x v="2"/>
    <n v="2486"/>
    <n v="1177"/>
    <n v="1037"/>
    <n v="3175"/>
    <n v="6149.3393352509975"/>
    <n v="7927"/>
    <n v="2017"/>
    <n v="8912"/>
    <n v="1660"/>
    <n v="3429"/>
    <n v="7927"/>
    <n v="1660"/>
    <n v="0.2"/>
    <n v="0.1"/>
    <n v="0.1"/>
    <n v="0.25"/>
    <n v="0.5"/>
    <n v="0.65"/>
    <n v="0.15000000000000002"/>
    <n v="0.70000000000000007"/>
    <n v="0.15000000000000002"/>
    <n v="0.30000000000000004"/>
    <n v="0.65"/>
    <n v="0.15000000000000002"/>
    <n v="8912"/>
    <s v="WASH"/>
    <n v="0.71697506033789216"/>
    <s v=""/>
    <s v=""/>
    <s v=""/>
    <n v="7927"/>
    <s v="Overarching Protection"/>
    <n v="0.63773129525341909"/>
    <n v="985"/>
    <n v="0.12425886211681594"/>
    <s v=""/>
    <n v="6149.3393352509975"/>
    <s v="Health"/>
    <n v="0.49471756518511645"/>
    <n v="2762.6606647490025"/>
    <n v="0.44926137819588047"/>
    <s v=""/>
    <n v="-0.1"/>
    <s v=""/>
    <n v="0.3"/>
    <s v=""/>
    <n v="3"/>
    <n v="8912"/>
    <m/>
    <m/>
    <n v="0"/>
    <s v=""/>
    <n v="8912"/>
    <m/>
    <n v="4456"/>
    <n v="0"/>
  </r>
  <r>
    <x v="0"/>
    <s v="MZ01"/>
    <x v="5"/>
    <s v="MZ0106"/>
    <m/>
    <m/>
    <m/>
    <n v="24084"/>
    <x v="2"/>
    <n v="4816.8"/>
    <n v="3034"/>
    <n v="2147"/>
    <n v="13980"/>
    <n v="18989.785508237197"/>
    <n v="23983"/>
    <n v="6560"/>
    <n v="21029"/>
    <n v="23983"/>
    <n v="18869"/>
    <n v="10964"/>
    <n v="9138"/>
    <n v="0.2"/>
    <n v="0.15000000000000002"/>
    <n v="0.1"/>
    <n v="0.60000000000000009"/>
    <n v="0.8"/>
    <n v="1"/>
    <n v="0.25"/>
    <n v="0.85000000000000009"/>
    <n v="1"/>
    <n v="0.8"/>
    <n v="0.45"/>
    <n v="0.4"/>
    <n v="23983"/>
    <s v="Overarching Protection"/>
    <n v="0.99580634446105298"/>
    <s v=""/>
    <s v="Flagged"/>
    <s v=""/>
    <n v="21029"/>
    <s v="WASH"/>
    <n v="0.87315230028234514"/>
    <n v="2954"/>
    <n v="0.14047268058395548"/>
    <s v=""/>
    <n v="18989.785508237197"/>
    <s v="Health"/>
    <n v="0.78848137802014606"/>
    <n v="4993.2144917628029"/>
    <n v="0.26294212167888348"/>
    <s v=""/>
    <n v="0.1"/>
    <s v=""/>
    <n v="-0.3"/>
    <s v=""/>
    <n v="4"/>
    <n v="23983"/>
    <m/>
    <m/>
    <n v="1"/>
    <s v="Flagged"/>
    <n v="23983"/>
    <m/>
    <n v="23983"/>
    <n v="23983"/>
  </r>
  <r>
    <x v="0"/>
    <s v="MZ01"/>
    <x v="6"/>
    <s v="MZ0107"/>
    <m/>
    <m/>
    <m/>
    <n v="86578"/>
    <x v="2"/>
    <n v="0"/>
    <n v="22867"/>
    <n v="8085"/>
    <n v="35599"/>
    <n v="420.56718845746758"/>
    <n v="7234"/>
    <n v="21105.5"/>
    <n v="1085"/>
    <n v="7234"/>
    <n v="4268"/>
    <n v="6162"/>
    <n v="0"/>
    <n v="0"/>
    <n v="0.25"/>
    <n v="0.1"/>
    <n v="0.4"/>
    <n v="0"/>
    <n v="0.1"/>
    <n v="0.25"/>
    <n v="0"/>
    <n v="0.1"/>
    <n v="0.05"/>
    <n v="0.05"/>
    <n v="0"/>
    <n v="35599"/>
    <s v="Food Security"/>
    <n v="0.41117835939846148"/>
    <s v=""/>
    <s v=""/>
    <s v=""/>
    <n v="22867"/>
    <s v="Education"/>
    <n v="0.26412021529718865"/>
    <n v="12732"/>
    <n v="0.5567848865176892"/>
    <s v="Flagged"/>
    <n v="21105.5"/>
    <s v="Shelter"/>
    <n v="0.2437743999630391"/>
    <n v="14493.5"/>
    <n v="0.68671673260524513"/>
    <s v="Flagged"/>
    <n v="0.7"/>
    <s v=""/>
    <n v="0.9"/>
    <s v=""/>
    <n v="3"/>
    <n v="35599"/>
    <m/>
    <m/>
    <n v="2"/>
    <s v="Flagged"/>
    <n v="35599"/>
    <m/>
    <n v="17799.5"/>
    <n v="0"/>
  </r>
  <r>
    <x v="0"/>
    <s v="MZ01"/>
    <x v="7"/>
    <s v="MZ0108"/>
    <m/>
    <m/>
    <m/>
    <n v="23950"/>
    <x v="2"/>
    <n v="0"/>
    <n v="2194"/>
    <n v="1854"/>
    <n v="3797"/>
    <n v="487.6424780881519"/>
    <n v="12599"/>
    <n v="623.5"/>
    <n v="5365"/>
    <n v="2496"/>
    <n v="1472"/>
    <n v="12599"/>
    <n v="0"/>
    <n v="0"/>
    <n v="0.1"/>
    <n v="0.1"/>
    <n v="0.15000000000000002"/>
    <n v="0"/>
    <n v="0.55000000000000004"/>
    <n v="0.05"/>
    <n v="0.2"/>
    <n v="0.1"/>
    <n v="0.05"/>
    <n v="0.55000000000000004"/>
    <n v="0"/>
    <n v="12599"/>
    <s v="Overarching Protection"/>
    <n v="0.52605427974947805"/>
    <s v=""/>
    <s v=""/>
    <s v=""/>
    <n v="5365"/>
    <s v="WASH"/>
    <n v="0.22400835073068895"/>
    <n v="7234"/>
    <n v="1.3483690587138863"/>
    <s v="Flagged"/>
    <n v="3797"/>
    <s v="Food Security"/>
    <n v="0.15853862212943631"/>
    <n v="8802"/>
    <n v="2.3181459046615749"/>
    <s v="Flagged"/>
    <n v="1"/>
    <s v="Flagged"/>
    <n v="-0.1"/>
    <s v=""/>
    <n v="3"/>
    <n v="12599"/>
    <m/>
    <m/>
    <n v="3"/>
    <s v="Flagged"/>
    <n v="12599"/>
    <m/>
    <n v="6299.5"/>
    <n v="0"/>
  </r>
  <r>
    <x v="0"/>
    <s v="MZ01"/>
    <x v="8"/>
    <s v="MZ0109"/>
    <m/>
    <m/>
    <m/>
    <n v="91333"/>
    <x v="2"/>
    <n v="18266.600000000002"/>
    <n v="6510"/>
    <n v="6998"/>
    <n v="49274"/>
    <n v="1884.7861962463521"/>
    <n v="41370"/>
    <n v="19253"/>
    <n v="32867"/>
    <n v="10714"/>
    <n v="6321"/>
    <n v="41370"/>
    <n v="10714"/>
    <n v="0.2"/>
    <n v="0.05"/>
    <n v="0.1"/>
    <n v="0.55000000000000004"/>
    <n v="0"/>
    <n v="0.45"/>
    <n v="0.2"/>
    <n v="0.35000000000000003"/>
    <n v="0.1"/>
    <n v="0.05"/>
    <n v="0.45"/>
    <n v="0.1"/>
    <n v="49274"/>
    <s v="Food Security"/>
    <n v="0.53949831933693193"/>
    <s v=""/>
    <s v=""/>
    <s v=""/>
    <n v="41370"/>
    <s v="Overarching Protection"/>
    <n v="0.45295785751042889"/>
    <n v="7904"/>
    <n v="0.19105632100555958"/>
    <s v=""/>
    <n v="32867"/>
    <s v="WASH"/>
    <n v="0.35985897758750945"/>
    <n v="16407"/>
    <n v="0.4991937201448261"/>
    <s v=""/>
    <n v="-0.4"/>
    <s v=""/>
    <n v="-0.5"/>
    <s v=""/>
    <n v="3"/>
    <n v="49274"/>
    <m/>
    <m/>
    <n v="0"/>
    <s v=""/>
    <n v="49274"/>
    <m/>
    <n v="24637"/>
    <n v="0"/>
  </r>
  <r>
    <x v="0"/>
    <s v="MZ01"/>
    <x v="9"/>
    <s v="MZ0110"/>
    <m/>
    <m/>
    <m/>
    <n v="36173"/>
    <x v="2"/>
    <n v="7234.6"/>
    <m/>
    <n v="2989"/>
    <n v="24515"/>
    <n v="23971.665126978318"/>
    <n v="34085"/>
    <m/>
    <n v="0"/>
    <n v="34085"/>
    <n v="28370"/>
    <n v="0"/>
    <n v="13738"/>
    <n v="0.2"/>
    <s v=""/>
    <n v="0.1"/>
    <n v="0.70000000000000007"/>
    <n v="0.65"/>
    <n v="0.95000000000000007"/>
    <s v=""/>
    <n v="0"/>
    <n v="0.95000000000000007"/>
    <n v="0.8"/>
    <n v="0"/>
    <n v="0.4"/>
    <n v="34085"/>
    <s v="Overarching Protection"/>
    <n v="0.9422773892129489"/>
    <s v=""/>
    <s v="Flagged"/>
    <s v=""/>
    <n v="24515"/>
    <s v="Food Security"/>
    <n v="0.67771542310563126"/>
    <n v="9570"/>
    <n v="0.39037324087293496"/>
    <s v="Flagged"/>
    <n v="23971.665126978318"/>
    <s v="Health"/>
    <n v="0.66269496936881978"/>
    <n v="10113.334873021682"/>
    <n v="0.42188704119848058"/>
    <s v=""/>
    <n v="0.3"/>
    <s v=""/>
    <n v="0.2"/>
    <s v=""/>
    <n v="3"/>
    <n v="34085"/>
    <m/>
    <m/>
    <n v="2"/>
    <s v="Flagged"/>
    <n v="34085"/>
    <m/>
    <n v="17042.5"/>
    <n v="0"/>
  </r>
  <r>
    <x v="0"/>
    <s v="MZ01"/>
    <x v="10"/>
    <s v="MZ0111"/>
    <m/>
    <m/>
    <m/>
    <n v="318921"/>
    <x v="2"/>
    <n v="0"/>
    <n v="36897"/>
    <n v="26749"/>
    <n v="32322"/>
    <n v="859.21738515276104"/>
    <n v="24174"/>
    <n v="61107"/>
    <n v="8089"/>
    <n v="24174"/>
    <n v="14262"/>
    <n v="1164"/>
    <n v="0"/>
    <n v="0"/>
    <n v="0.1"/>
    <n v="0.1"/>
    <n v="0.1"/>
    <n v="0"/>
    <n v="0.1"/>
    <n v="0.2"/>
    <n v="0.05"/>
    <n v="0.1"/>
    <n v="0.05"/>
    <n v="0"/>
    <n v="0"/>
    <n v="61107"/>
    <s v="Shelter"/>
    <n v="0.19160544460853943"/>
    <s v=""/>
    <s v=""/>
    <s v=""/>
    <n v="36897"/>
    <s v="Education"/>
    <n v="0.11569322810351153"/>
    <n v="24210"/>
    <n v="0.65615090657777053"/>
    <s v="Flagged"/>
    <n v="32322"/>
    <s v="Food Security"/>
    <n v="0.10134798272926523"/>
    <n v="28785"/>
    <n v="0.89056989047707447"/>
    <s v="Flagged"/>
    <n v="0"/>
    <s v=""/>
    <n v="-0.6"/>
    <s v=""/>
    <n v="3"/>
    <n v="61107"/>
    <m/>
    <m/>
    <n v="2"/>
    <s v="Flagged"/>
    <n v="61107"/>
    <m/>
    <n v="30553.5"/>
    <n v="0"/>
  </r>
  <r>
    <x v="0"/>
    <s v="MZ01"/>
    <x v="11"/>
    <s v="MZ0112"/>
    <m/>
    <m/>
    <m/>
    <n v="134753"/>
    <x v="2"/>
    <n v="26950.600000000002"/>
    <n v="20822"/>
    <n v="12195"/>
    <n v="17066"/>
    <n v="766.32286949149045"/>
    <n v="23766"/>
    <n v="23568"/>
    <n v="40597"/>
    <n v="23766"/>
    <n v="14021"/>
    <n v="14973"/>
    <n v="23766"/>
    <n v="0.2"/>
    <n v="0.15000000000000002"/>
    <n v="0.1"/>
    <n v="0.15000000000000002"/>
    <n v="0"/>
    <n v="0.2"/>
    <n v="0.15000000000000002"/>
    <n v="0.30000000000000004"/>
    <n v="0.2"/>
    <n v="0.1"/>
    <n v="0.1"/>
    <n v="0.2"/>
    <n v="40597"/>
    <s v="WASH"/>
    <n v="0.30126973054403239"/>
    <s v=""/>
    <s v=""/>
    <s v=""/>
    <n v="26950.600000000002"/>
    <s v="CCCM"/>
    <n v="0.2"/>
    <n v="13646.399999999998"/>
    <n v="0.50634865272016194"/>
    <s v="Flagged"/>
    <n v="23766"/>
    <s v="Overarching Protection"/>
    <n v="0.17636713097296536"/>
    <n v="16831"/>
    <n v="0.70819658335437174"/>
    <s v="Flagged"/>
    <n v="-0.1"/>
    <s v=""/>
    <n v="-0.3"/>
    <s v=""/>
    <n v="4"/>
    <n v="40597"/>
    <m/>
    <m/>
    <n v="2"/>
    <s v="Flagged"/>
    <n v="40597"/>
    <m/>
    <n v="40597"/>
    <n v="40597"/>
  </r>
  <r>
    <x v="0"/>
    <s v="MZ01"/>
    <x v="12"/>
    <s v="MZ0113"/>
    <m/>
    <m/>
    <m/>
    <n v="9841"/>
    <x v="2"/>
    <n v="1968.2"/>
    <n v="1950"/>
    <n v="880"/>
    <n v="9841"/>
    <n v="139.53725754394759"/>
    <n v="7596"/>
    <n v="1769"/>
    <n v="0"/>
    <n v="3678"/>
    <n v="7596"/>
    <n v="6303"/>
    <n v="0"/>
    <n v="0.2"/>
    <n v="0.2"/>
    <n v="0.1"/>
    <n v="1"/>
    <n v="0"/>
    <n v="0.75"/>
    <n v="0.2"/>
    <n v="0"/>
    <n v="0.35000000000000003"/>
    <n v="0.75"/>
    <n v="0.65"/>
    <n v="0"/>
    <n v="9841"/>
    <s v="Food Security"/>
    <n v="1"/>
    <s v=""/>
    <s v="Flagged"/>
    <s v=""/>
    <n v="7596"/>
    <s v="Overarching Protection"/>
    <n v="0.77187277715679303"/>
    <n v="2245"/>
    <n v="0.29555028962611901"/>
    <s v=""/>
    <n v="1968.2"/>
    <s v="CCCM"/>
    <n v="0.2"/>
    <n v="7872.8"/>
    <n v="4"/>
    <s v="Flagged"/>
    <n v="3"/>
    <s v="Flagged"/>
    <n v="0.2"/>
    <s v=""/>
    <n v="4"/>
    <n v="9841"/>
    <m/>
    <m/>
    <n v="3"/>
    <s v="Flagged"/>
    <n v="9841"/>
    <m/>
    <n v="9841"/>
    <n v="9841"/>
  </r>
  <r>
    <x v="0"/>
    <s v="MZ01"/>
    <x v="13"/>
    <s v="MZ0114"/>
    <m/>
    <m/>
    <m/>
    <n v="273174"/>
    <x v="2"/>
    <n v="0"/>
    <n v="15285"/>
    <n v="26444"/>
    <n v="58674"/>
    <m/>
    <n v="50748"/>
    <n v="34551.5"/>
    <n v="0"/>
    <n v="28766"/>
    <n v="16971"/>
    <n v="50748"/>
    <n v="0"/>
    <n v="0"/>
    <n v="0.05"/>
    <n v="0.1"/>
    <n v="0.2"/>
    <s v=""/>
    <n v="0.2"/>
    <n v="0.15000000000000002"/>
    <n v="0"/>
    <n v="0.1"/>
    <n v="0.05"/>
    <n v="0.2"/>
    <n v="0"/>
    <n v="58674"/>
    <s v="Food Security"/>
    <n v="0.21478618023677218"/>
    <s v=""/>
    <s v=""/>
    <s v=""/>
    <n v="50748"/>
    <s v="Overarching Protection"/>
    <n v="0.185771705945661"/>
    <n v="7926"/>
    <n v="0.15618349491605579"/>
    <s v=""/>
    <n v="34551.5"/>
    <s v="Shelter"/>
    <n v="0.12648165638018261"/>
    <n v="24122.5"/>
    <n v="0.69816071661143508"/>
    <s v="Flagged"/>
    <s v=""/>
    <s v=""/>
    <s v=""/>
    <s v=""/>
    <n v="3"/>
    <n v="58674"/>
    <m/>
    <m/>
    <n v="1"/>
    <s v="Flagged"/>
    <n v="58674"/>
    <m/>
    <n v="29337"/>
    <n v="0"/>
  </r>
  <r>
    <x v="0"/>
    <s v="MZ01"/>
    <x v="14"/>
    <s v="MZ0115"/>
    <m/>
    <m/>
    <m/>
    <n v="36219"/>
    <x v="2"/>
    <n v="0"/>
    <n v="6053"/>
    <n v="3180"/>
    <n v="14327"/>
    <n v="12135.916391327752"/>
    <n v="2952"/>
    <n v="5411"/>
    <n v="0"/>
    <n v="2952"/>
    <n v="1741"/>
    <n v="2886"/>
    <n v="2952"/>
    <n v="0"/>
    <n v="0.15000000000000002"/>
    <n v="0.1"/>
    <n v="0.4"/>
    <n v="0.35000000000000003"/>
    <n v="0.1"/>
    <n v="0.15000000000000002"/>
    <n v="0"/>
    <n v="0.1"/>
    <n v="0.05"/>
    <n v="0.1"/>
    <n v="0.1"/>
    <n v="14327"/>
    <s v="Food Security"/>
    <n v="0.39556586322096138"/>
    <s v=""/>
    <s v=""/>
    <s v=""/>
    <n v="12135.916391327752"/>
    <s v="Health"/>
    <n v="0.33507044345033687"/>
    <n v="2191.0836086722484"/>
    <n v="0.18054537770530313"/>
    <s v=""/>
    <n v="6053"/>
    <s v="Education"/>
    <n v="0.16712222866451309"/>
    <n v="8274"/>
    <n v="1.3669254914918223"/>
    <s v="Flagged"/>
    <n v="0.3"/>
    <s v=""/>
    <n v="-0.2"/>
    <s v=""/>
    <n v="4"/>
    <n v="14327"/>
    <m/>
    <m/>
    <n v="1"/>
    <s v="Flagged"/>
    <n v="14327"/>
    <m/>
    <n v="14327"/>
    <n v="14327"/>
  </r>
  <r>
    <x v="0"/>
    <s v="MZ01"/>
    <x v="15"/>
    <s v="MZ0116"/>
    <m/>
    <m/>
    <m/>
    <n v="22021"/>
    <x v="2"/>
    <n v="0"/>
    <n v="2790"/>
    <n v="2305"/>
    <n v="12674"/>
    <n v="1154.9296507203007"/>
    <n v="8354"/>
    <m/>
    <n v="0"/>
    <n v="8354"/>
    <n v="4928"/>
    <n v="2481"/>
    <n v="0"/>
    <n v="0"/>
    <n v="0.15000000000000002"/>
    <n v="0.1"/>
    <n v="0.60000000000000009"/>
    <n v="0.05"/>
    <n v="0.4"/>
    <s v=""/>
    <n v="0"/>
    <n v="0.4"/>
    <n v="0.2"/>
    <n v="0.1"/>
    <n v="0"/>
    <n v="12674"/>
    <s v="Food Security"/>
    <n v="0.57554152854093821"/>
    <s v=""/>
    <s v=""/>
    <s v=""/>
    <n v="8354"/>
    <s v="Overarching Protection"/>
    <n v="0.37936515144634669"/>
    <n v="4320"/>
    <n v="0.51711754847977021"/>
    <s v="Flagged"/>
    <n v="2790"/>
    <s v="Education"/>
    <n v="0.12669724354025702"/>
    <n v="9884"/>
    <n v="3.5426523297491039"/>
    <s v="Flagged"/>
    <s v=""/>
    <s v=""/>
    <s v=""/>
    <s v=""/>
    <n v="3"/>
    <n v="12674"/>
    <m/>
    <m/>
    <n v="2"/>
    <s v="Flagged"/>
    <n v="12674"/>
    <m/>
    <n v="6337"/>
    <n v="0"/>
  </r>
  <r>
    <x v="0"/>
    <s v="MZ01"/>
    <x v="16"/>
    <s v="MZ0118"/>
    <m/>
    <m/>
    <m/>
    <n v="9498"/>
    <x v="2"/>
    <n v="1899.6000000000001"/>
    <n v="2616"/>
    <n v="860"/>
    <n v="7451"/>
    <n v="6583.3294571013657"/>
    <n v="8686"/>
    <n v="1076"/>
    <n v="0"/>
    <n v="8686"/>
    <n v="7484"/>
    <n v="3228"/>
    <n v="0"/>
    <n v="0.2"/>
    <n v="0.30000000000000004"/>
    <n v="0.1"/>
    <n v="0.8"/>
    <n v="0.70000000000000007"/>
    <n v="0.9"/>
    <n v="0.1"/>
    <n v="0"/>
    <n v="0.9"/>
    <n v="0.8"/>
    <n v="0.35000000000000003"/>
    <n v="0"/>
    <n v="8686"/>
    <s v="Overarching Protection"/>
    <n v="0.91450831754053485"/>
    <s v=""/>
    <s v="Flagged"/>
    <s v=""/>
    <n v="7451"/>
    <s v="Food Security"/>
    <n v="0.7844809433564961"/>
    <n v="1235"/>
    <n v="0.16574956381693731"/>
    <s v=""/>
    <n v="6583.3294571013657"/>
    <s v="Health"/>
    <n v="0.69312796979378455"/>
    <n v="2102.6705428986343"/>
    <n v="0.31939318191504246"/>
    <s v=""/>
    <n v="-0.7"/>
    <s v=""/>
    <n v="-0.7"/>
    <s v=""/>
    <n v="4"/>
    <n v="8686"/>
    <m/>
    <m/>
    <n v="1"/>
    <s v="Flagged"/>
    <n v="8686"/>
    <m/>
    <n v="8686"/>
    <n v="8686"/>
  </r>
  <r>
    <x v="1"/>
    <s v="MZ07"/>
    <x v="17"/>
    <s v="MZ0703"/>
    <m/>
    <m/>
    <m/>
    <n v="492955"/>
    <x v="2"/>
    <n v="0"/>
    <n v="73780"/>
    <n v="51093"/>
    <n v="20914"/>
    <n v="228.66237347028138"/>
    <n v="58760"/>
    <n v="55055"/>
    <n v="1199"/>
    <n v="58760"/>
    <n v="34668"/>
    <n v="1694"/>
    <n v="0"/>
    <n v="0"/>
    <n v="0.15000000000000002"/>
    <n v="0.1"/>
    <n v="0.05"/>
    <n v="0"/>
    <n v="0.1"/>
    <n v="0.1"/>
    <n v="0"/>
    <n v="0.1"/>
    <n v="0.05"/>
    <n v="0"/>
    <n v="0"/>
    <n v="73780"/>
    <s v="Education"/>
    <n v="0.14966883386921728"/>
    <s v=""/>
    <s v=""/>
    <s v="Flagged"/>
    <n v="58760"/>
    <s v="Overarching Protection"/>
    <n v="0.11919952125447555"/>
    <n v="15020"/>
    <n v="0.25561606535057863"/>
    <s v=""/>
    <n v="55055"/>
    <s v="Shelter"/>
    <n v="0.11168362223732389"/>
    <n v="18725"/>
    <n v="0.34011443102352196"/>
    <s v=""/>
    <s v=""/>
    <s v=""/>
    <s v=""/>
    <s v=""/>
    <n v="3"/>
    <n v="73780"/>
    <m/>
    <m/>
    <n v="1"/>
    <s v="Flagged"/>
    <n v="58760"/>
    <s v="The 1st highest was education hence took 2nd highest"/>
    <n v="29380"/>
    <n v="0"/>
  </r>
  <r>
    <x v="1"/>
    <s v="MZ07"/>
    <x v="18"/>
    <s v="MZ0711"/>
    <m/>
    <m/>
    <m/>
    <n v="402658"/>
    <x v="2"/>
    <n v="0"/>
    <n v="28785"/>
    <n v="35472"/>
    <n v="14922"/>
    <n v="81.014454715264137"/>
    <n v="48200"/>
    <n v="44194"/>
    <n v="921"/>
    <n v="48200"/>
    <n v="28438"/>
    <n v="8418"/>
    <n v="0"/>
    <n v="0"/>
    <n v="0.05"/>
    <n v="0.1"/>
    <n v="0.05"/>
    <n v="0"/>
    <n v="0.1"/>
    <n v="0.1"/>
    <n v="0"/>
    <n v="0.1"/>
    <n v="0.05"/>
    <n v="0"/>
    <n v="0"/>
    <n v="48200"/>
    <s v="Overarching Protection"/>
    <n v="0.11970456317768428"/>
    <s v=""/>
    <s v=""/>
    <s v=""/>
    <n v="44194"/>
    <s v="Shelter"/>
    <n v="0.10975567354926513"/>
    <n v="4006"/>
    <n v="9.0645789021134085E-2"/>
    <s v=""/>
    <n v="35472"/>
    <s v="Nutrition"/>
    <n v="8.8094611307859269E-2"/>
    <n v="12728"/>
    <n v="0.35881822282363557"/>
    <s v=""/>
    <s v=""/>
    <s v=""/>
    <s v=""/>
    <s v=""/>
    <n v="3"/>
    <n v="48200"/>
    <m/>
    <m/>
    <n v="0"/>
    <s v=""/>
    <n v="48200"/>
    <m/>
    <n v="24100"/>
    <n v="0"/>
  </r>
  <r>
    <x v="2"/>
    <s v="MZ08"/>
    <x v="19"/>
    <s v="MZ0814"/>
    <m/>
    <m/>
    <m/>
    <n v="26448"/>
    <x v="2"/>
    <n v="0"/>
    <n v="3544"/>
    <n v="2157"/>
    <n v="2637"/>
    <n v="418.18871646501839"/>
    <n v="9832"/>
    <m/>
    <n v="0"/>
    <n v="3144"/>
    <n v="1854"/>
    <n v="9832"/>
    <n v="3144"/>
    <n v="0"/>
    <n v="0.15000000000000002"/>
    <n v="0.1"/>
    <n v="0.1"/>
    <n v="0"/>
    <n v="0.35000000000000003"/>
    <s v=""/>
    <n v="0"/>
    <n v="0.1"/>
    <n v="0.05"/>
    <n v="0.35000000000000003"/>
    <n v="0.1"/>
    <n v="9832"/>
    <s v="Overarching Protection"/>
    <n v="0.3717483363581367"/>
    <s v=""/>
    <s v=""/>
    <s v=""/>
    <n v="3544"/>
    <s v="Education"/>
    <n v="0.13399879007864487"/>
    <n v="6288"/>
    <n v="1.7742663656884876"/>
    <s v="Flagged"/>
    <n v="2637"/>
    <s v="Food Security"/>
    <n v="9.970508166969147E-2"/>
    <n v="7195"/>
    <n v="2.7284793325748957"/>
    <s v="Flagged"/>
    <s v=""/>
    <s v=""/>
    <s v=""/>
    <s v=""/>
    <n v="3"/>
    <n v="9832"/>
    <m/>
    <m/>
    <n v="2"/>
    <s v="Flagged"/>
    <n v="9832"/>
    <m/>
    <n v="491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099397-0501-42EB-A8AE-5D6B0CB316DF}" name="PivotTable1" cacheId="202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S25" firstHeaderRow="1" firstDataRow="2" firstDataCol="2"/>
  <pivotFields count="65">
    <pivotField axis="axisRow" compact="0" outline="0" showAll="0" defaultSubtotal="0">
      <items count="3">
        <item x="0"/>
        <item x="1"/>
        <item x="2"/>
      </items>
    </pivotField>
    <pivotField compact="0" outline="0" showAll="0" defaultSubtotal="0"/>
    <pivotField axis="axisRow" compact="0" outline="0" showAll="0" defaultSubtotal="0">
      <items count="20">
        <item x="0"/>
        <item x="1"/>
        <item x="2"/>
        <item x="3"/>
        <item x="17"/>
        <item x="4"/>
        <item x="5"/>
        <item x="6"/>
        <item x="19"/>
        <item x="7"/>
        <item x="18"/>
        <item x="8"/>
        <item x="9"/>
        <item x="10"/>
        <item x="11"/>
        <item x="12"/>
        <item x="13"/>
        <item x="14"/>
        <item x="15"/>
        <item x="16"/>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3">
        <item x="0"/>
        <item x="1"/>
        <item x="2"/>
      </items>
    </pivotField>
    <pivotField dataField="1" compact="0" outline="0" showAll="0" defaultSubtotal="0"/>
    <pivotField dataField="1" compact="0" outline="0" showAll="0" defaultSubtotal="0"/>
    <pivotField dataField="1" compact="0" numFmtId="167"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numFmtId="167" outline="0" subtotalTop="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numFmtId="166"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numFmtId="167" outline="0" showAll="0" defaultSubtotal="0"/>
    <pivotField compact="0" outline="0" showAll="0" defaultSubtotal="0"/>
    <pivotField compact="0" outline="0" showAll="0" defaultSubtotal="0"/>
    <pivotField compact="0" numFmtId="167" outline="0" showAll="0" defaultSubtotal="0"/>
    <pivotField compact="0" outline="0" showAll="0" defaultSubtotal="0"/>
    <pivotField dataField="1" compact="0" numFmtId="166" outline="0" showAll="0" defaultSubtotal="0"/>
    <pivotField compact="0" outline="0" showAll="0" defaultSubtotal="0"/>
    <pivotField dataField="1" compact="0" outline="0" showAll="0" defaultSubtotal="0"/>
    <pivotField dataField="1" compact="0" outline="0" showAll="0" defaultSubtotal="0"/>
  </pivotFields>
  <rowFields count="2">
    <field x="0"/>
    <field x="2"/>
  </rowFields>
  <rowItems count="21">
    <i>
      <x/>
      <x/>
    </i>
    <i r="1">
      <x v="1"/>
    </i>
    <i r="1">
      <x v="2"/>
    </i>
    <i r="1">
      <x v="3"/>
    </i>
    <i r="1">
      <x v="5"/>
    </i>
    <i r="1">
      <x v="6"/>
    </i>
    <i r="1">
      <x v="7"/>
    </i>
    <i r="1">
      <x v="9"/>
    </i>
    <i r="1">
      <x v="11"/>
    </i>
    <i r="1">
      <x v="12"/>
    </i>
    <i r="1">
      <x v="13"/>
    </i>
    <i r="1">
      <x v="14"/>
    </i>
    <i r="1">
      <x v="15"/>
    </i>
    <i r="1">
      <x v="16"/>
    </i>
    <i r="1">
      <x v="17"/>
    </i>
    <i r="1">
      <x v="18"/>
    </i>
    <i r="1">
      <x v="19"/>
    </i>
    <i>
      <x v="1"/>
      <x v="4"/>
    </i>
    <i r="1">
      <x v="10"/>
    </i>
    <i>
      <x v="2"/>
      <x v="8"/>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name="Sum of Population" fld="7" baseField="0" baseItem="0"/>
    <dataField name="Sum of CCCM" fld="9" baseField="0" baseItem="0"/>
    <dataField name="Sum of Education" fld="10" baseField="0" baseItem="0"/>
    <dataField name="Sum of Food Security" fld="12" baseField="0" baseItem="0"/>
    <dataField name="Sum of Health" fld="13" baseField="0" baseItem="0"/>
    <dataField name="Sum of Nutrition" fld="11" baseField="0" baseItem="0" numFmtId="167"/>
    <dataField name="Sum of Overarching Protection" fld="14" baseField="0" baseItem="0"/>
    <dataField name="Sum of GP" fld="19" baseField="0" baseItem="0" numFmtId="167"/>
    <dataField name="Sum of CP" fld="17" baseField="0" baseItem="0"/>
    <dataField name="Sum of GBV" fld="18" baseField="0" baseItem="0"/>
    <dataField name="Sum of HLP" fld="20" baseField="0" baseItem="0"/>
    <dataField name="Sum of Shelter" fld="15" baseField="0" baseItem="0"/>
    <dataField name="Sum of WASH" fld="16" baseField="0" baseItem="0"/>
    <dataField name="Sum of Final PiN" fld="61" baseField="0" baseItem="0" numFmtId="166"/>
    <dataField name="Sum of People targeted" fld="63" baseField="0" baseItem="0"/>
    <dataField name="Sum of People prioritized" fld="64" baseField="0" baseItem="0"/>
    <dataField name="Max of Severity" fld="55" subtotal="max" baseField="2" baseItem="0" numFmtId="1"/>
  </dataFields>
  <formats count="13">
    <format dxfId="256">
      <pivotArea outline="0" collapsedLevelsAreSubtotals="1" fieldPosition="0"/>
    </format>
    <format dxfId="257">
      <pivotArea dataOnly="0" labelOnly="1" outline="0" fieldPosition="0">
        <references count="1">
          <reference field="4294967294" count="3">
            <x v="13"/>
            <x v="14"/>
            <x v="15"/>
          </reference>
        </references>
      </pivotArea>
    </format>
    <format dxfId="258">
      <pivotArea dataOnly="0" labelOnly="1" outline="0" fieldPosition="0">
        <references count="1">
          <reference field="4294967294" count="1">
            <x v="0"/>
          </reference>
        </references>
      </pivotArea>
    </format>
    <format dxfId="259">
      <pivotArea dataOnly="0" labelOnly="1" outline="0" fieldPosition="0">
        <references count="1">
          <reference field="4294967294" count="1">
            <x v="0"/>
          </reference>
        </references>
      </pivotArea>
    </format>
    <format dxfId="260">
      <pivotArea dataOnly="0" labelOnly="1" outline="0" fieldPosition="0">
        <references count="1">
          <reference field="4294967294" count="12">
            <x v="0"/>
            <x v="1"/>
            <x v="2"/>
            <x v="3"/>
            <x v="4"/>
            <x v="5"/>
            <x v="6"/>
            <x v="8"/>
            <x v="9"/>
            <x v="10"/>
            <x v="11"/>
            <x v="12"/>
          </reference>
        </references>
      </pivotArea>
    </format>
    <format dxfId="261">
      <pivotArea dataOnly="0" labelOnly="1" outline="0" fieldPosition="0">
        <references count="1">
          <reference field="4294967294" count="12">
            <x v="0"/>
            <x v="1"/>
            <x v="2"/>
            <x v="3"/>
            <x v="4"/>
            <x v="5"/>
            <x v="6"/>
            <x v="8"/>
            <x v="9"/>
            <x v="10"/>
            <x v="11"/>
            <x v="12"/>
          </reference>
        </references>
      </pivotArea>
    </format>
    <format dxfId="262">
      <pivotArea dataOnly="0" labelOnly="1" outline="0" fieldPosition="0">
        <references count="1">
          <reference field="4294967294" count="3">
            <x v="13"/>
            <x v="14"/>
            <x v="15"/>
          </reference>
        </references>
      </pivotArea>
    </format>
    <format dxfId="263">
      <pivotArea dataOnly="0" labelOnly="1" outline="0" fieldPosition="0">
        <references count="1">
          <reference field="4294967294" count="1">
            <x v="7"/>
          </reference>
        </references>
      </pivotArea>
    </format>
    <format dxfId="264">
      <pivotArea dataOnly="0" labelOnly="1" outline="0" fieldPosition="0">
        <references count="2">
          <reference field="0" count="1" selected="0">
            <x v="0"/>
          </reference>
          <reference field="2" count="1">
            <x v="6"/>
          </reference>
        </references>
      </pivotArea>
    </format>
    <format dxfId="265">
      <pivotArea dataOnly="0" labelOnly="1" outline="0" fieldPosition="0">
        <references count="2">
          <reference field="0" count="1" selected="0">
            <x v="0"/>
          </reference>
          <reference field="2" count="1">
            <x v="14"/>
          </reference>
        </references>
      </pivotArea>
    </format>
    <format dxfId="266">
      <pivotArea dataOnly="0" labelOnly="1" outline="0" fieldPosition="0">
        <references count="2">
          <reference field="0" count="1" selected="0">
            <x v="0"/>
          </reference>
          <reference field="2" count="1">
            <x v="15"/>
          </reference>
        </references>
      </pivotArea>
    </format>
    <format dxfId="267">
      <pivotArea dataOnly="0" labelOnly="1" outline="0" fieldPosition="0">
        <references count="2">
          <reference field="0" count="1" selected="0">
            <x v="0"/>
          </reference>
          <reference field="2" count="1">
            <x v="19"/>
          </reference>
        </references>
      </pivotArea>
    </format>
    <format dxfId="268">
      <pivotArea dataOnly="0" labelOnly="1" outline="0" fieldPosition="0">
        <references count="2">
          <reference field="0" count="1" selected="0">
            <x v="0"/>
          </reference>
          <reference field="2" count="1">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AE5F2-1232-4ABF-8247-6F3812411236}" name="PivotTable1" cacheId="202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S23" firstHeaderRow="1" firstDataRow="2" firstDataCol="2"/>
  <pivotFields count="65">
    <pivotField axis="axisRow" compact="0" outline="0" showAll="0" defaultSubtotal="0">
      <items count="3">
        <item x="0"/>
        <item x="1"/>
        <item x="2"/>
      </items>
    </pivotField>
    <pivotField compact="0" outline="0" showAll="0" defaultSubtotal="0"/>
    <pivotField axis="axisRow" compact="0" outline="0" showAll="0" defaultSubtotal="0">
      <items count="20">
        <item x="0"/>
        <item h="1" x="1"/>
        <item x="2"/>
        <item x="3"/>
        <item x="17"/>
        <item x="4"/>
        <item x="5"/>
        <item x="6"/>
        <item x="19"/>
        <item x="7"/>
        <item x="18"/>
        <item x="8"/>
        <item x="9"/>
        <item x="10"/>
        <item x="11"/>
        <item x="12"/>
        <item h="1" x="13"/>
        <item x="14"/>
        <item x="15"/>
        <item x="16"/>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3">
        <item x="0"/>
        <item x="1"/>
        <item x="2"/>
      </items>
    </pivotField>
    <pivotField dataField="1" compact="0" outline="0" showAll="0" defaultSubtotal="0"/>
    <pivotField dataField="1" compact="0" outline="0" showAll="0" defaultSubtotal="0"/>
    <pivotField dataField="1" compact="0" numFmtId="167"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numFmtId="167" outline="0" subtotalTop="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numFmtId="166"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numFmtId="167" outline="0" showAll="0" defaultSubtotal="0"/>
    <pivotField compact="0" outline="0" showAll="0" defaultSubtotal="0"/>
    <pivotField compact="0" outline="0" showAll="0" defaultSubtotal="0"/>
    <pivotField compact="0" numFmtId="167" outline="0" showAll="0" defaultSubtotal="0"/>
    <pivotField compact="0" outline="0" showAll="0" defaultSubtotal="0"/>
    <pivotField dataField="1" compact="0" numFmtId="166" outline="0" showAll="0" defaultSubtotal="0"/>
    <pivotField compact="0" outline="0" showAll="0" defaultSubtotal="0"/>
    <pivotField dataField="1" compact="0" outline="0" showAll="0" defaultSubtotal="0"/>
    <pivotField dataField="1" compact="0" outline="0" showAll="0" defaultSubtotal="0"/>
  </pivotFields>
  <rowFields count="2">
    <field x="0"/>
    <field x="2"/>
  </rowFields>
  <rowItems count="19">
    <i>
      <x/>
      <x/>
    </i>
    <i r="1">
      <x v="2"/>
    </i>
    <i r="1">
      <x v="3"/>
    </i>
    <i r="1">
      <x v="5"/>
    </i>
    <i r="1">
      <x v="6"/>
    </i>
    <i r="1">
      <x v="7"/>
    </i>
    <i r="1">
      <x v="9"/>
    </i>
    <i r="1">
      <x v="11"/>
    </i>
    <i r="1">
      <x v="12"/>
    </i>
    <i r="1">
      <x v="13"/>
    </i>
    <i r="1">
      <x v="14"/>
    </i>
    <i r="1">
      <x v="15"/>
    </i>
    <i r="1">
      <x v="17"/>
    </i>
    <i r="1">
      <x v="18"/>
    </i>
    <i r="1">
      <x v="19"/>
    </i>
    <i>
      <x v="1"/>
      <x v="4"/>
    </i>
    <i r="1">
      <x v="10"/>
    </i>
    <i>
      <x v="2"/>
      <x v="8"/>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name="Sum of CCCM" fld="9" baseField="0" baseItem="0"/>
    <dataField name="Sum of Education" fld="10" baseField="0" baseItem="0"/>
    <dataField name="Sum of Food Security" fld="12" baseField="0" baseItem="0"/>
    <dataField name="Sum of Health" fld="13" baseField="0" baseItem="0"/>
    <dataField name="Sum of Nutrition" fld="11" baseField="0" baseItem="0" numFmtId="167"/>
    <dataField name="Sum of Overarching Protection" fld="14" baseField="0" baseItem="0"/>
    <dataField name="Sum of GP" fld="19" baseField="0" baseItem="0" numFmtId="167"/>
    <dataField name="Sum of CP" fld="17" baseField="0" baseItem="0"/>
    <dataField name="Sum of GBV" fld="18" baseField="0" baseItem="0"/>
    <dataField name="Sum of HLP" fld="20" baseField="0" baseItem="0"/>
    <dataField name="Sum of Shelter" fld="15" baseField="0" baseItem="0"/>
    <dataField name="Sum of WASH" fld="16" baseField="0" baseItem="0"/>
    <dataField name="Sum of Population" fld="7" baseField="0" baseItem="0"/>
    <dataField name="Sum of Final PiN" fld="61" baseField="0" baseItem="0" numFmtId="166"/>
    <dataField name="Sum of People targeted" fld="63" baseField="0" baseItem="0"/>
    <dataField name="Sum of People prioritized" fld="64" baseField="0" baseItem="0"/>
    <dataField name="Max of Severity" fld="55" subtotal="max" baseField="2" baseItem="0" numFmtId="1"/>
  </dataFields>
  <formats count="8">
    <format dxfId="248">
      <pivotArea outline="0" collapsedLevelsAreSubtotals="1" fieldPosition="0"/>
    </format>
    <format dxfId="249">
      <pivotArea dataOnly="0" labelOnly="1" outline="0" fieldPosition="0">
        <references count="1">
          <reference field="4294967294" count="3">
            <x v="13"/>
            <x v="14"/>
            <x v="15"/>
          </reference>
        </references>
      </pivotArea>
    </format>
    <format dxfId="250">
      <pivotArea dataOnly="0" labelOnly="1" outline="0" fieldPosition="0">
        <references count="1">
          <reference field="4294967294" count="1">
            <x v="12"/>
          </reference>
        </references>
      </pivotArea>
    </format>
    <format dxfId="251">
      <pivotArea dataOnly="0" labelOnly="1" outline="0" fieldPosition="0">
        <references count="1">
          <reference field="4294967294" count="1">
            <x v="12"/>
          </reference>
        </references>
      </pivotArea>
    </format>
    <format dxfId="252">
      <pivotArea dataOnly="0" labelOnly="1" outline="0" fieldPosition="0">
        <references count="1">
          <reference field="4294967294" count="12">
            <x v="0"/>
            <x v="1"/>
            <x v="2"/>
            <x v="3"/>
            <x v="4"/>
            <x v="5"/>
            <x v="7"/>
            <x v="8"/>
            <x v="9"/>
            <x v="10"/>
            <x v="11"/>
            <x v="12"/>
          </reference>
        </references>
      </pivotArea>
    </format>
    <format dxfId="253">
      <pivotArea dataOnly="0" labelOnly="1" outline="0" fieldPosition="0">
        <references count="1">
          <reference field="4294967294" count="12">
            <x v="0"/>
            <x v="1"/>
            <x v="2"/>
            <x v="3"/>
            <x v="4"/>
            <x v="5"/>
            <x v="7"/>
            <x v="8"/>
            <x v="9"/>
            <x v="10"/>
            <x v="11"/>
            <x v="12"/>
          </reference>
        </references>
      </pivotArea>
    </format>
    <format dxfId="254">
      <pivotArea dataOnly="0" labelOnly="1" outline="0" fieldPosition="0">
        <references count="1">
          <reference field="4294967294" count="3">
            <x v="13"/>
            <x v="14"/>
            <x v="15"/>
          </reference>
        </references>
      </pivotArea>
    </format>
    <format dxfId="255">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E07F7D-AAB5-4ECA-8541-F44121173ED6}" name="PivotTable1" cacheId="202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E6" firstHeaderRow="1" firstDataRow="2" firstDataCol="1" rowPageCount="2" colPageCount="1"/>
  <pivotFields count="48">
    <pivotField compact="0" outline="0" showAll="0" defaultSubtotal="0"/>
    <pivotField axis="axisPage" compact="0" outline="0" multipleItemSelectionAllowed="1" showAll="0" defaultSubtotal="0">
      <items count="11">
        <item x="0"/>
        <item h="1" x="1"/>
        <item h="1" x="2"/>
        <item h="1" x="3"/>
        <item h="1" x="4"/>
        <item h="1" x="5"/>
        <item x="6"/>
        <item x="7"/>
        <item h="1" x="8"/>
        <item h="1" x="9"/>
        <item h="1" x="10"/>
      </items>
    </pivotField>
    <pivotField compact="0" outline="0" showAll="0" defaultSubtotal="0"/>
    <pivotField axis="axisPage" compact="0" outline="0" multipleItemSelectionAllowed="1" showAll="0" defaultSubtotal="0">
      <items count="159">
        <item h="1" x="136"/>
        <item x="0"/>
        <item h="1" x="66"/>
        <item h="1" x="121"/>
        <item x="1"/>
        <item h="1" x="45"/>
        <item h="1" x="17"/>
        <item h="1" x="57"/>
        <item h="1" x="108"/>
        <item h="1" x="122"/>
        <item h="1" x="109"/>
        <item h="1" x="123"/>
        <item h="1" x="110"/>
        <item h="1" x="111"/>
        <item h="1" x="112"/>
        <item h="1" x="18"/>
        <item h="1" x="19"/>
        <item h="1" x="124"/>
        <item h="1" x="20"/>
        <item h="1" x="89"/>
        <item h="1" x="137"/>
        <item x="2"/>
        <item h="1" x="125"/>
        <item h="1" x="21"/>
        <item h="1" x="22"/>
        <item h="1" x="113"/>
        <item h="1" x="58"/>
        <item h="1" x="46"/>
        <item h="1" x="31"/>
        <item h="1" x="90"/>
        <item h="1" x="65"/>
        <item h="1" x="67"/>
        <item x="3"/>
        <item h="1" x="138"/>
        <item h="1" x="126"/>
        <item h="1" x="23"/>
        <item h="1" x="91"/>
        <item h="1" x="139"/>
        <item h="1" x="127"/>
        <item h="1" x="114"/>
        <item x="68"/>
        <item h="1" x="32"/>
        <item h="1" x="140"/>
        <item h="1" x="47"/>
        <item h="1" x="115"/>
        <item h="1" x="33"/>
        <item h="1" x="24"/>
        <item h="1" x="48"/>
        <item h="1" x="141"/>
        <item h="1" x="34"/>
        <item x="4"/>
        <item h="1" x="142"/>
        <item h="1" x="69"/>
        <item h="1" x="92"/>
        <item h="1" x="93"/>
        <item h="1" x="35"/>
        <item h="1" x="36"/>
        <item h="1" x="143"/>
        <item h="1" x="37"/>
        <item h="1" x="94"/>
        <item h="1" x="95"/>
        <item h="1" x="70"/>
        <item h="1" x="71"/>
        <item h="1" x="25"/>
        <item h="1" x="72"/>
        <item h="1" x="144"/>
        <item h="1" x="145"/>
        <item h="1" x="26"/>
        <item h="1" x="38"/>
        <item h="1" x="128"/>
        <item h="1" x="49"/>
        <item h="1" x="116"/>
        <item h="1" x="50"/>
        <item x="5"/>
        <item h="1" x="51"/>
        <item h="1" x="146"/>
        <item h="1" x="129"/>
        <item h="1" x="59"/>
        <item h="1" x="96"/>
        <item h="1" x="73"/>
        <item h="1" x="97"/>
        <item h="1" x="27"/>
        <item h="1" x="60"/>
        <item h="1" x="52"/>
        <item h="1" x="28"/>
        <item h="1" x="147"/>
        <item h="1" x="130"/>
        <item h="1" x="131"/>
        <item h="1" x="117"/>
        <item h="1" x="61"/>
        <item h="1" x="118"/>
        <item h="1" x="98"/>
        <item h="1" x="29"/>
        <item h="1" x="39"/>
        <item h="1" x="30"/>
        <item h="1" x="62"/>
        <item h="1" x="99"/>
        <item h="1" x="100"/>
        <item h="1" x="40"/>
        <item h="1" x="101"/>
        <item h="1" x="74"/>
        <item h="1" x="75"/>
        <item x="6"/>
        <item x="102"/>
        <item x="7"/>
        <item x="76"/>
        <item h="1" x="103"/>
        <item x="8"/>
        <item h="1" x="148"/>
        <item h="1" x="63"/>
        <item h="1" x="132"/>
        <item x="9"/>
        <item h="1" x="149"/>
        <item h="1" x="150"/>
        <item h="1" x="77"/>
        <item h="1" x="78"/>
        <item h="1" x="151"/>
        <item h="1" x="79"/>
        <item h="1" x="80"/>
        <item x="10"/>
        <item h="1" x="152"/>
        <item h="1" x="153"/>
        <item h="1" x="41"/>
        <item h="1" x="81"/>
        <item h="1" x="53"/>
        <item h="1" x="119"/>
        <item h="1" x="82"/>
        <item x="11"/>
        <item h="1" x="104"/>
        <item x="12"/>
        <item h="1" x="154"/>
        <item h="1" x="83"/>
        <item h="1" x="133"/>
        <item h="1" x="84"/>
        <item h="1" x="85"/>
        <item h="1" x="86"/>
        <item h="1" x="64"/>
        <item h="1" x="155"/>
        <item h="1" x="156"/>
        <item x="13"/>
        <item x="14"/>
        <item h="1" x="105"/>
        <item h="1" x="120"/>
        <item h="1" x="157"/>
        <item h="1" x="106"/>
        <item x="15"/>
        <item h="1" x="42"/>
        <item h="1" x="158"/>
        <item x="16"/>
        <item h="1" x="87"/>
        <item h="1" x="88"/>
        <item h="1" x="107"/>
        <item h="1" x="54"/>
        <item h="1" x="55"/>
        <item h="1" x="134"/>
        <item h="1" x="56"/>
        <item h="1" x="43"/>
        <item h="1" x="44"/>
        <item h="1" x="13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3"/>
        <item x="1"/>
        <item x="0"/>
        <item x="2"/>
        <item x="4"/>
      </items>
    </pivotField>
    <pivotField compact="0" outline="0" showAll="0" defaultSubtotal="0">
      <items count="5">
        <item x="3"/>
        <item x="1"/>
        <item x="0"/>
        <item x="2"/>
        <item x="4"/>
      </items>
    </pivotField>
    <pivotField compact="0" outline="0" showAll="0" defaultSubtotal="0">
      <items count="5">
        <item x="0"/>
        <item x="3"/>
        <item x="1"/>
        <item x="2"/>
        <item x="4"/>
      </items>
    </pivotField>
    <pivotField compact="0" outline="0" showAll="0" defaultSubtotal="0"/>
    <pivotField axis="axisCol" dataField="1" compact="0" outline="0" showAll="0" defaultSubtotal="0">
      <items count="5">
        <item x="0"/>
        <item x="3"/>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pivotField compact="0" outline="0" showAll="0" defaultSubtotal="0"/>
    <pivotField compact="0" outline="0" showAll="0" defaultSubtotal="0"/>
  </pivotFields>
  <rowItems count="1">
    <i/>
  </rowItems>
  <colFields count="1">
    <field x="14"/>
  </colFields>
  <colItems count="4">
    <i>
      <x/>
    </i>
    <i>
      <x v="2"/>
    </i>
    <i>
      <x v="3"/>
    </i>
    <i t="grand">
      <x/>
    </i>
  </colItems>
  <pageFields count="2">
    <pageField fld="1" hier="-1"/>
    <pageField fld="3" hier="-1"/>
  </pageFields>
  <dataFields count="1">
    <dataField name="Count of Health" fld="14" subtotal="count" baseField="14" baseItem="0"/>
  </dataFields>
  <formats count="2">
    <format dxfId="246">
      <pivotArea field="3" type="button" dataOnly="0" labelOnly="1" outline="0" axis="axisPage" fieldPosition="1"/>
    </format>
    <format dxfId="2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2">
  <a r="61">
    <v t="e">#NULL!</v>
    <v t="e">#NULL!</v>
    <v t="e">#NULL!</v>
    <v t="e">#NULL!</v>
    <v t="e">#NULL!</v>
    <v t="e">#NULL!</v>
    <v t="e">#NULL!</v>
    <v t="e">#NULL!</v>
    <v t="e">#NULL!</v>
    <v t="e">#NULL!</v>
    <v t="e">#NULL!</v>
    <v t="e">#NULL!</v>
    <v t="e">#NULL!</v>
    <v t="e">#NULL!</v>
    <v t="e">#NULL!</v>
    <v t="r">3</v>
    <v t="e">#NULL!</v>
    <v t="e">#NULL!</v>
    <v t="e">#NULL!</v>
    <v t="r">3</v>
    <v t="e">#NULL!</v>
    <v t="r">3</v>
    <v t="e">#NULL!</v>
    <v t="r">3</v>
    <v t="r">3</v>
    <v t="e">#NULL!</v>
    <v t="r">3</v>
    <v t="e">#NULL!</v>
    <v t="r">3</v>
    <v t="e">#NULL!</v>
    <v t="r">3</v>
    <v t="e">#NULL!</v>
    <v t="e">#NULL!</v>
    <v t="r">3</v>
    <v t="e">#NULL!</v>
    <v t="e">#NULL!</v>
    <v t="e">#NULL!</v>
    <v t="e">#NULL!</v>
    <v t="e">#NULL!</v>
    <v t="e">#NULL!</v>
    <v t="e">#NULL!</v>
    <v t="e">#NULL!</v>
    <v t="e">#NULL!</v>
    <v t="e">#NULL!</v>
    <v t="e">#NULL!</v>
    <v t="e">#NULL!</v>
    <v t="e">#NULL!</v>
    <v t="e">#NULL!</v>
    <v t="e">#NULL!</v>
    <v t="e">#NULL!</v>
    <v t="e">#NULL!</v>
    <v t="e">#NULL!</v>
    <v t="e">#NULL!</v>
    <v t="e">#NULL!</v>
    <v t="e">#NULL!</v>
    <v t="e">#NULL!</v>
    <v t="e">#NULL!</v>
    <v t="e">#NULL!</v>
    <v t="e">#NULL!</v>
    <v t="e">#NULL!</v>
    <v t="i">2</v>
  </a>
  <a r="61">
    <v t="e">#NULL!</v>
    <v t="r">3</v>
    <v t="r">3</v>
    <v t="e">#NULL!</v>
    <v t="e">#NULL!</v>
    <v t="e">#NULL!</v>
    <v t="e">#NULL!</v>
    <v t="e">#NULL!</v>
    <v t="e">#NULL!</v>
    <v t="r">3</v>
    <v t="e">#NULL!</v>
    <v t="e">#NULL!</v>
    <v t="r">3</v>
    <v t="r">3</v>
    <v t="e">#NULL!</v>
    <v t="r">3</v>
    <v t="r">3</v>
    <v t="r">3</v>
    <v t="r">3</v>
    <v t="r">3</v>
    <v t="e">#NULL!</v>
    <v t="r">3</v>
    <v t="e">#NULL!</v>
    <v t="r">3</v>
    <v t="r">3</v>
    <v t="e">#NULL!</v>
    <v t="r">3</v>
    <v t="e">#NULL!</v>
    <v t="r">3</v>
    <v t="e">#NULL!</v>
    <v t="r">3</v>
    <v t="e">#NULL!</v>
    <v t="e">#NULL!</v>
    <v t="r">3</v>
    <v t="e">#NULL!</v>
    <v t="e">#NULL!</v>
    <v t="e">#NULL!</v>
    <v t="r">3</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7">
  <rv s="0">
    <v>1</v>
    <v>8</v>
    <v>0</v>
    <v>5</v>
  </rv>
  <rv s="0">
    <v>7</v>
    <v>8</v>
    <v>0</v>
    <v>5</v>
  </rv>
  <rv s="0">
    <v>2</v>
    <v>8</v>
    <v>0</v>
    <v>5</v>
  </rv>
  <rv s="1">
    <v>8</v>
    <v>1</v>
  </rv>
  <rv s="2">
    <v>0</v>
  </rv>
  <rv s="2">
    <v>1</v>
  </rv>
  <rv s="3">
    <v>{A5A533B2-E93D-4B24-B860-E3B2044FF8CA}</v>
    <v>0</v>
    <v>0</v>
    <v>4</v>
    <v>5</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Change from last year for the 2nd highest sector(s)" t="r"/>
    <k n="Change from last year for the highest sector(s)" t="r"/>
  </s>
</rvStructures>
</file>

<file path=xl/richData/rdsupportingpropertybag.xml><?xml version="1.0" encoding="utf-8"?>
<supportingPropertyBags xmlns="http://schemas.microsoft.com/office/spreadsheetml/2017/richdata2">
  <spbArrays count="1">
    <a count="5">
      <v t="s">Change from last year for the highest sector(s)</v>
      <v t="s">Change from last year for the 2nd highest sector(s)</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tion_Group" xr10:uid="{62BAC0A6-1FDC-4540-BB71-3398153F5C77}" sourceName="Population Group">
  <pivotTables>
    <pivotTable tabId="114" name="PivotTable1"/>
  </pivotTables>
  <data>
    <tabular pivotCacheId="136802043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tion_Group1" xr10:uid="{BFFCBFA7-DADB-4191-B785-D5F9C5926C41}" sourceName="Population Group">
  <pivotTables>
    <pivotTable tabId="116" name="PivotTable1"/>
  </pivotTables>
  <data>
    <tabular pivotCacheId="136802043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tion Group" xr10:uid="{06BD4ECD-159C-4C6B-BB2E-3A81978430E8}" cache="Slicer_Population_Group" caption="Population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tion Group 1" xr10:uid="{28F1D8BD-E643-40FB-9608-5FA7D9780AA8}" cache="Slicer_Population_Group1" caption="Population 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1B2E729-C4CB-4990-8130-69B8BDF0ADD8}" name="tblSubSectorPopulation" displayName="tblSubSectorPopulation" ref="B19:C23" totalsRowShown="0" headerRowDxfId="245" dataDxfId="244" headerRowBorderDxfId="242" tableBorderDxfId="243">
  <autoFilter ref="B19:C23" xr:uid="{00EC1285-A7DF-434F-A470-6874D5630451}"/>
  <tableColumns count="2">
    <tableColumn id="1" xr3:uid="{6F9626FB-B046-4FA6-904A-8BB4B957CB86}" name="Sector" dataDxfId="241"/>
    <tableColumn id="2" xr3:uid="{88B372FE-9A02-42DE-9216-ADA6FDC49EF0}" name="Proportion of sector target population in overall population" dataDxfId="2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A02FA4-D22E-4C99-BCE9-7238505316C0}" name="tblThresholds" displayName="tblThresholds" ref="B7:F16" totalsRowShown="0" headerRowDxfId="239" headerRowBorderDxfId="237" tableBorderDxfId="238" totalsRowBorderDxfId="236">
  <autoFilter ref="B7:F16" xr:uid="{0DE4E12E-91D1-4306-9474-A7F058008BD9}"/>
  <tableColumns count="5">
    <tableColumn id="1" xr3:uid="{5E3DD8AF-1226-4011-B808-49265632B755}" name="Flag Description " dataDxfId="235"/>
    <tableColumn id="2" xr3:uid="{CE07FA20-4A30-4068-9EE9-D2C5FA1F0238}" name="Recommended Threshold" dataDxfId="234"/>
    <tableColumn id="3" xr3:uid="{7C9E4D63-8010-4899-8DBC-3ECAEEB1F411}" name="Country Threshold" dataDxfId="233"/>
    <tableColumn id="4" xr3:uid="{9BE9BB1C-324E-4B22-8F47-34B9FEFC219F}" name="Explanation for proposing another threshold " dataDxfId="232"/>
    <tableColumn id="5" xr3:uid="{0A46C68D-C00F-49A0-91D8-05C1B4548EF3}" name="Purpose" dataDxfId="2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C7DAF7-37A5-437D-A71A-78BDE7153DE7}" name="tblPiNAnalysis" displayName="tblPiNAnalysis" ref="A3:BL63" totalsRowShown="0" headerRowDxfId="229" dataDxfId="228" headerRowBorderDxfId="226" tableBorderDxfId="227" totalsRowBorderDxfId="225" headerRowCellStyle="Comma 2">
  <autoFilter ref="A3:BL63" xr:uid="{11C7DAF7-37A5-437D-A71A-78BDE7153DE7}"/>
  <sortState xmlns:xlrd2="http://schemas.microsoft.com/office/spreadsheetml/2017/richdata2" ref="A4:BL63">
    <sortCondition ref="J3:J63" customList="IDPs,Returnees,Non-displaced"/>
    <sortCondition ref="B3:B63"/>
    <sortCondition ref="D3:D63" customList="Cabo Delgado,Nampula,Niassa"/>
  </sortState>
  <tableColumns count="64">
    <tableColumn id="1" xr3:uid="{54AEF9E4-9BDD-4CFB-A31A-26775997174F}" name="ID" dataDxfId="224" dataCellStyle="Comma"/>
    <tableColumn id="2" xr3:uid="{90C30682-CC85-4A40-8C59-3DE4818FD180}" name="Admin 1" dataDxfId="223"/>
    <tableColumn id="15" xr3:uid="{7B726629-BA89-49F5-8F57-2B9EB4CDD021}" name="Admin 1 P-Code" dataDxfId="222"/>
    <tableColumn id="14" xr3:uid="{BAE67459-66F5-4493-A91C-9D2B08E6B8EC}" name="Admin 2" dataDxfId="221"/>
    <tableColumn id="3" xr3:uid="{19F61B87-5E5C-480C-970D-62A72E5FF1E6}" name="Admin 2 P-Code" dataDxfId="220"/>
    <tableColumn id="6" xr3:uid="{609BB18B-6ABB-4D6B-B7DF-6BF1B8616362}" name="Admin 3" dataDxfId="219"/>
    <tableColumn id="36" xr3:uid="{1AA7E3AC-4E2A-47D9-B88F-FE8FFB3130DE}" name="Admin 3 P-Code" dataDxfId="218"/>
    <tableColumn id="42" xr3:uid="{E21DA0D5-0352-4E73-81A8-EC8BEA83DC13}" name="Pocket of need" dataDxfId="217"/>
    <tableColumn id="4" xr3:uid="{C3D266F4-08AD-4E59-ACFC-6FCB92954911}" name="Population" dataDxfId="216" dataCellStyle="Comma"/>
    <tableColumn id="29" xr3:uid="{E0F650EC-BD3F-4798-948C-937FC547C3AC}" name="Population Group" dataDxfId="215" dataCellStyle="Comma"/>
    <tableColumn id="8" xr3:uid="{F9A63AE1-604E-42EF-A449-294D1C9BA734}" name="CCCM" dataDxfId="214" dataCellStyle="Comma [0]"/>
    <tableColumn id="31" xr3:uid="{C853B6B0-0D51-4D27-A0DE-8BBED5DB5DBC}" name="Education" dataDxfId="213" dataCellStyle="Comma"/>
    <tableColumn id="32" xr3:uid="{56EE9F16-B087-4DC5-9E34-9168FFDBAB16}" name="Nutrition" dataDxfId="212" dataCellStyle="Comma"/>
    <tableColumn id="10" xr3:uid="{C2D31B2E-F8B2-40B5-B8BE-579B6F858303}" name="Food Security" dataDxfId="211" dataCellStyle="Comma"/>
    <tableColumn id="33" xr3:uid="{EA7D01DC-FF04-481D-832D-E586DCE04584}" name="Health" dataDxfId="210" dataCellStyle="Comma"/>
    <tableColumn id="11" xr3:uid="{35F16878-B666-46A1-BBFF-0BE781639BC0}" name="Overarching Protection" dataDxfId="209" dataCellStyle="Comma"/>
    <tableColumn id="9" xr3:uid="{11307CA3-5DE0-484A-AA61-91E0ABC3D54A}" name="Shelter" dataDxfId="208" dataCellStyle="Comma"/>
    <tableColumn id="17" xr3:uid="{BB2853C7-D9DD-4C35-A144-B7DE9E3D8429}" name="WASH" dataDxfId="207" dataCellStyle="Comma"/>
    <tableColumn id="66" xr3:uid="{A3B5A376-64B2-4BCD-AEDF-EAA9FEEA0CF0}" name="CP" dataDxfId="206" dataCellStyle="Comma"/>
    <tableColumn id="65" xr3:uid="{560FC162-D3A5-42CC-BD97-D595B39B18E3}" name="GBV" dataDxfId="205" dataCellStyle="Comma"/>
    <tableColumn id="64" xr3:uid="{BB4F3E41-F899-4CD2-AE0B-09D7AF93EA95}" name="GP" dataDxfId="204" dataCellStyle="Comma"/>
    <tableColumn id="63" xr3:uid="{67480CAD-7DF9-43EE-AA75-530A1DACB064}" name="HLP" dataDxfId="203" dataCellStyle="Comma"/>
    <tableColumn id="13" xr3:uid="{84EB6432-4FF9-4406-915E-0C0FFA9C3B31}" name="CCCM%" dataDxfId="202">
      <calculatedColumnFormula>IFERROR(IF(tblPiNAnalysis[[#This Row],[CCCM]]="", "", MROUND(tblPiNAnalysis[[#This Row],[CCCM]]/tblPiNAnalysis[[#This Row],[Population]], 0.05)), "")</calculatedColumnFormula>
    </tableColumn>
    <tableColumn id="16" xr3:uid="{614333A2-B706-4F70-9C4F-9CC17D604920}" name="Education%" dataDxfId="201">
      <calculatedColumnFormula>IFERROR(IF(tblPiNAnalysis[[#This Row],[Education]]="", "", MROUND(tblPiNAnalysis[[#This Row],[Education]]/tblPiNAnalysis[[#This Row],[Population]], 0.05)), "")</calculatedColumnFormula>
    </tableColumn>
    <tableColumn id="19" xr3:uid="{2D3BACE2-BF35-4152-A515-D3C0068BE785}" name="Nutrition%" dataDxfId="200">
      <calculatedColumnFormula>IFERROR(IF(tblPiNAnalysis[[#This Row],[Nutrition]]="", "", MROUND(tblPiNAnalysis[[#This Row],[Nutrition]]/tblPiNAnalysis[[#This Row],[Population]], 0.05)), "")</calculatedColumnFormula>
    </tableColumn>
    <tableColumn id="41" xr3:uid="{B00207D5-50EC-44D1-BB96-A8C43B705FF2}" name="Food Security%" dataDxfId="199" dataCellStyle="Comma">
      <calculatedColumnFormula>IFERROR(IF(tblPiNAnalysis[[#This Row],[Food Security]]="", "", MROUND(tblPiNAnalysis[[#This Row],[Food Security]]/tblPiNAnalysis[[#This Row],[Population]], 0.05)), "")</calculatedColumnFormula>
    </tableColumn>
    <tableColumn id="18" xr3:uid="{274587A6-D19C-4004-9BE3-EEF2BF4636E0}" name="Health%" dataDxfId="198" dataCellStyle="Comma">
      <calculatedColumnFormula>IFERROR(IF(tblPiNAnalysis[[#This Row],[Health]]="", "", MROUND(tblPiNAnalysis[[#This Row],[Health]]/tblPiNAnalysis[[#This Row],[Population]], 0.05)), "")</calculatedColumnFormula>
    </tableColumn>
    <tableColumn id="30" xr3:uid="{76A8633A-9354-4BA9-A815-969A9A4095BC}" name="Overarching Protection%" dataDxfId="197">
      <calculatedColumnFormula>IFERROR(IF(tblPiNAnalysis[[#This Row],[Overarching Protection]]="", "", MROUND(tblPiNAnalysis[[#This Row],[Overarching Protection]]/tblPiNAnalysis[[#This Row],[Population]], 0.05)), "")</calculatedColumnFormula>
    </tableColumn>
    <tableColumn id="34" xr3:uid="{AD862933-9C52-4EA8-BE0A-8C747B0FDA55}" name="Shelter%" dataDxfId="196">
      <calculatedColumnFormula>IFERROR(IF(tblPiNAnalysis[[#This Row],[Shelter]]="", "", MROUND(tblPiNAnalysis[[#This Row],[Shelter]]/tblPiNAnalysis[[#This Row],[Population]], 0.05)), "")</calculatedColumnFormula>
    </tableColumn>
    <tableColumn id="35" xr3:uid="{3C23AE7E-5AB3-47CF-9EA0-02463685ADA4}" name="WASH%" dataDxfId="195">
      <calculatedColumnFormula>IFERROR(IF(tblPiNAnalysis[[#This Row],[WASH]]="", "", MROUND(tblPiNAnalysis[[#This Row],[WASH]]/tblPiNAnalysis[[#This Row],[Population]], 0.05)), "")</calculatedColumnFormula>
    </tableColumn>
    <tableColumn id="61" xr3:uid="{112CF96E-9F13-544B-A245-73545238CFF5}" name="Child Protection (CP)%" dataDxfId="194" dataCellStyle="Comma">
      <calculatedColumnFormula>IFERROR(MROUND(tblPiNAnalysis[[#This Row],[CP]]/tblPiNAnalysis[[#This Row],[Population]], 0.05), "")</calculatedColumnFormula>
    </tableColumn>
    <tableColumn id="62" xr3:uid="{C41733D8-6D32-2F4D-99C1-0BACA483FAB4}" name="Gender-based Violence (GBV)%" dataDxfId="193" dataCellStyle="Comma">
      <calculatedColumnFormula>IFERROR(MROUND(tblPiNAnalysis[[#This Row],[GBV]]/tblPiNAnalysis[[#This Row],[Population]], 0.05), "")</calculatedColumnFormula>
    </tableColumn>
    <tableColumn id="48" xr3:uid="{681CFBE2-2587-BC40-BC23-27962C6185A0}" name="GP%" dataDxfId="192" dataCellStyle="Comma">
      <calculatedColumnFormula>IFERROR(MROUND(tblPiNAnalysis[[#This Row],[GP]]/tblPiNAnalysis[[#This Row],[Population]], 0.05), "")</calculatedColumnFormula>
    </tableColumn>
    <tableColumn id="60" xr3:uid="{DE455047-9A49-E74F-98B5-B0C0FCA1249D}" name="HLP%" dataDxfId="191" dataCellStyle="Comma">
      <calculatedColumnFormula>IFERROR(MROUND(tblPiNAnalysis[[#This Row],[HLP]]/tblPiNAnalysis[[#This Row],[Population]], 0.05), "")</calculatedColumnFormula>
    </tableColumn>
    <tableColumn id="12" xr3:uid="{F51CCB8C-B7B3-49F6-B2F6-2ABEDE72599E}" name="Highest PiN" dataDxfId="190">
      <calculatedColumnFormula>IFERROR(LARGE(tblPiNAnalysis[[#This Row],[CCCM]:[WASH]], 1), "")</calculatedColumnFormula>
    </tableColumn>
    <tableColumn id="20" xr3:uid="{EE7E5C5D-8DD5-4982-8D9F-B98888048773}" name="Highest sector(s)" dataDxfId="189">
      <calculatedColumnFormula array="1">IF(tblPiNAnalysis[[#This Row],[Highest PiN]]="", "", _xlfn.TEXTJOIN(CHAR(10), TRUE, IF(tblPiNAnalysis[[#This Row],[Highest PiN]]=tblPiNAnalysis[[#This Row],[CCCM]:[WASH]], tblPiNAnalysis[[#Headers],[CCCM]:[WASH]], "")))</calculatedColumnFormula>
    </tableColumn>
    <tableColumn id="27" xr3:uid="{5BDD9F1E-13DE-4906-8856-160E9BE502BA}" name="Highest sector(s') PiN %" dataDxfId="188">
      <calculatedColumnFormula>IF(tblPiNAnalysis[[#This Row],[Highest PiN]]="", "", tblPiNAnalysis[[#This Row],[Highest PiN]]/tblPiNAnalysis[[#This Row],[Population]])</calculatedColumnFormula>
    </tableColumn>
    <tableColumn id="50" xr3:uid="{BF376171-8A95-4AAD-A80E-E0B2F59D8B94}" name="Number of missing / zero PiNs greater than threshold - Data quality" dataDxfId="187" dataCellStyle="Comma">
      <calculatedColumnFormula>IF(SUM(tblPiNAnalysis[[#This Row],[CCCM]:[WASH]])=0, "",IF(COUNTIF(tblPiNAnalysis[[#This Row],[CCCM]:[WASH]],"=0")+COUNTIF(tblPiNAnalysis[[#This Row],[CCCM]:[WASH]],"")&gt;=zero_pin_thresh, "Flagged", ""))</calculatedColumnFormula>
    </tableColumn>
    <tableColumn id="45" xr3:uid="{6223ED00-19BF-42C3-A58C-3611DAB4D294}" name="Highest PiN greater than 90% of total affected population" dataDxfId="186">
      <calculatedColumnFormula>IFERROR(IF(tblPiNAnalysis[[#This Row],[Highest PiN]]="", "", IF(tblPiNAnalysis[[#This Row],[Highest sector(s'') PiN %]]&gt;=flag_pin_perc, "Flagged", "")), "")</calculatedColumnFormula>
    </tableColumn>
    <tableColumn id="24" xr3:uid="{0A335051-02C6-487B-8072-88B6D80285FC}" name="Highest sector targets sub-population group(s)" dataDxfId="185">
      <calculatedColumnFormula array="1">IF(tblPiNAnalysis[[#This Row],[Highest PiN]]=0, "",  IF(OR(COUNTIF(tblPiNAnalysis[[#This Row],[Highest sector(s)]],tblSubSectorPopulation[Sector])), "Flagged", ""))</calculatedColumnFormula>
    </tableColumn>
    <tableColumn id="21" xr3:uid="{AFD138FA-405D-4253-8B62-242D86672B24}" name="2nd Highest PiN" dataDxfId="184" dataCellStyle="Comma">
      <calculatedColumnFormula array="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calculatedColumnFormula>
    </tableColumn>
    <tableColumn id="22" xr3:uid="{9AF1A09D-DE69-44D5-9BBD-930114D52CC6}" name="2nd Highest sector(s)" dataDxfId="183">
      <calculatedColumnFormula array="1">IF(tblPiNAnalysis[[#This Row],[2nd Highest PiN]]="", "", _xlfn.TEXTJOIN(CHAR(10), TRUE, IF(tblPiNAnalysis[[#This Row],[2nd Highest PiN]]=tblPiNAnalysis[[#This Row],[CCCM]:[WASH]], tblPiNAnalysis[[#Headers],[CCCM]:[WASH]], "")))</calculatedColumnFormula>
    </tableColumn>
    <tableColumn id="23" xr3:uid="{9B412B06-DB20-499A-923F-93A9D074723E}" name="2nd Highest sector PiN %" dataDxfId="182" dataCellStyle="Percent">
      <calculatedColumnFormula>IFERROR(tblPiNAnalysis[[#This Row],[2nd Highest PiN]]/tblPiNAnalysis[[#This Row],[Population]], "")</calculatedColumnFormula>
    </tableColumn>
    <tableColumn id="25" xr3:uid="{B380F038-9191-4339-80BF-41DB7772018A}" name="Difference of PiN between Highest and 2nd Highest" dataDxfId="181" dataCellStyle="Comma">
      <calculatedColumnFormula>IFERROR(tblPiNAnalysis[[#This Row],[Highest PiN]]-tblPiNAnalysis[[#This Row],[2nd Highest PiN]], "")</calculatedColumnFormula>
    </tableColumn>
    <tableColumn id="26" xr3:uid="{321F52D6-AAC0-4898-ABE0-58D30ADD9109}" name="% Difference between Highest and 2nd Highest" dataDxfId="180">
      <calculatedColumnFormula>IFERROR(((tblPiNAnalysis[[#This Row],[Highest PiN]]-tblPiNAnalysis[[#This Row],[2nd Highest PiN]])/tblPiNAnalysis[[#This Row],[2nd Highest PiN]]),"")</calculatedColumnFormula>
    </tableColumn>
    <tableColumn id="7" xr3:uid="{7CC3128D-723E-40AA-BA15-5A26C53727C1}" name="% difference is over a specified threshold between Highest and 2nd Highest" dataDxfId="179">
      <calculatedColumnFormula array="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calculatedColumnFormula>
    </tableColumn>
    <tableColumn id="49" xr3:uid="{88B9779E-AADD-48C6-BAA4-BD1417FF03CA}" name="3rd Highest PiN" dataDxfId="178" dataCellStyle="Comma">
      <calculatedColumnFormula array="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calculatedColumnFormula>
    </tableColumn>
    <tableColumn id="51" xr3:uid="{A05FB10D-6128-4237-B011-FCDD3211239F}" name="3rd Highest sector(s)" dataDxfId="177">
      <calculatedColumnFormula array="1">IF(tblPiNAnalysis[[#This Row],[3rd Highest PiN]]="", "", _xlfn.TEXTJOIN(CHAR(10), TRUE, IF(tblPiNAnalysis[[#This Row],[3rd Highest PiN]]=tblPiNAnalysis[[#This Row],[CCCM]:[WASH]], tblPiNAnalysis[[#Headers],[CCCM]:[WASH]], "")))</calculatedColumnFormula>
    </tableColumn>
    <tableColumn id="52" xr3:uid="{994A81BE-6DA1-4B93-9693-EE185E5560A0}" name="3rd Highest sector PiN %" dataDxfId="176">
      <calculatedColumnFormula>IFERROR(tblPiNAnalysis[[#This Row],[3rd Highest PiN]]/tblPiNAnalysis[[#This Row],[Population]], "")</calculatedColumnFormula>
    </tableColumn>
    <tableColumn id="54" xr3:uid="{842D2CFE-79B7-49FF-A2EC-799DFCD95490}" name="Difference of PiN between Highest and 3rd Highest" dataDxfId="175" dataCellStyle="Comma">
      <calculatedColumnFormula>IFERROR(tblPiNAnalysis[[#This Row],[Highest PiN]]-tblPiNAnalysis[[#This Row],[3rd Highest PiN]],"")</calculatedColumnFormula>
    </tableColumn>
    <tableColumn id="58" xr3:uid="{DE68B50D-DC7A-4947-8BAA-B53F0E3BABE0}" name="% Difference between Highest and 3rd Highest" dataDxfId="174">
      <calculatedColumnFormula>IFERROR(tblPiNAnalysis[[#This Row],[Difference of PiN between Highest and 3rd Highest]]/tblPiNAnalysis[[#This Row],[3rd Highest PiN]], "")</calculatedColumnFormula>
    </tableColumn>
    <tableColumn id="59" xr3:uid="{39E4DD04-652F-421B-AD59-CB32A95C5E58}" name="% difference is over a specified threshold between Highest and 3rd Highest" dataDxfId="173">
      <calculatedColumnFormula array="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calculatedColumnFormula>
    </tableColumn>
    <tableColumn id="38" xr3:uid="{55D3F4B6-0C81-47B6-9C29-FD9110513E4F}" name="Change from last year for the highest sector(s)" dataDxfId="172">
      <calculatedColumnFormula array="1">IFERROR(IF(tblPiNAnalysis[[#This Row],[ID]]="", "", INDEX(tblPiNHistorical[[CCCM]:[WASH]], MATCH(tblPiNAnalysis[[#This Row],[ID]],tblPiNHistorical[ID], 0),MATCH(_xlfn._xlws.FILTER(tblPiNAnalysis[[#Headers],[CCCM]:[WASH]], tblPiNAnalysis[[#This Row],[Highest PiN]]=tblPiNAnalysis[[#This Row],[CCCM]:[WASH]]), tblPiNHistorical[[#Headers],[CCCM]:[WASH]], 0))), "")</calculatedColumnFormula>
    </tableColumn>
    <tableColumn id="28" xr3:uid="{1B12C2BF-8164-4E79-A2A3-3FD89A7D05A0}" name="Change from last year for the highest sector(s) has significantly increased or decreased" dataDxfId="171" dataCellStyle="Comma">
      <calculatedColumnFormula array="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calculatedColumnFormula>
    </tableColumn>
    <tableColumn id="39" xr3:uid="{95788CC6-87F0-4242-8F75-BB77F49FDEF1}" name="Change from last year for the 2nd highest sector(s)" dataDxfId="170" dataCellStyle="Comma">
      <calculatedColumnFormula array="1">IFERROR(IF(tblPiNAnalysis[[#This Row],[ID]]="", "", INDEX(tblPiNHistorical[[CCCM]:[WASH]], MATCH(tblPiNAnalysis[[#This Row],[ID]],tblPiNHistorical[ID], 0),MATCH(_xlfn._xlws.FILTER(tblPiNAnalysis[[#Headers],[CCCM]:[WASH]], tblPiNAnalysis[[#This Row],[2nd Highest PiN]]=tblPiNAnalysis[[#This Row],[CCCM]:[WASH]]), tblPiNHistorical[[#Headers],[CCCM]:[WASH]], 0))), "")</calculatedColumnFormula>
    </tableColumn>
    <tableColumn id="40" xr3:uid="{6E12C916-37E1-467C-ABE0-CED4F871E2EE}" name="Change from last year for the 2nd highest sector(s) has significantly increased or decreased" dataDxfId="169" dataCellStyle="Comma">
      <calculatedColumnFormula array="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calculatedColumnFormula>
    </tableColumn>
    <tableColumn id="46" xr3:uid="{853C4793-8062-4F33-8EAD-C16A7B220EFD}" name="Severity" dataDxfId="168" dataCellStyle="Comma">
      <calculatedColumnFormula>INDEX(tblSeverityAnalysis[Final Severity], MATCH(tblPiNAnalysis[[#This Row],[ID]],tblSeverityAnalysis[ID], 0))</calculatedColumnFormula>
    </tableColumn>
    <tableColumn id="56" xr3:uid="{CF7DC092-BFB4-4899-987D-F32FC1BAACB2}" name="Preliminary PiN" dataDxfId="167" dataCellStyle="Comma">
      <calculatedColumnFormula>IF(tblPiNAnalysis[[#This Row],[Severity]]&gt;2,tblPiNAnalysis[[#This Row],[Highest PiN]],)</calculatedColumnFormula>
    </tableColumn>
    <tableColumn id="53" xr3:uid="{7C03EE48-EEA9-4476-A6DD-4158C12C4F8E}" name="Manual Flag" dataDxfId="166"/>
    <tableColumn id="55" xr3:uid="{11CE3DCA-E095-40B8-A7E6-2E4D874070E9}" name="Explanation for Manual Flag" dataDxfId="165"/>
    <tableColumn id="43" xr3:uid="{CFE4F24F-8A37-42E8-9228-246259204EF1}" name="# Flags" dataDxfId="164" dataCellStyle="Comma">
      <calculatedColumnFormula>COUNTIFS(tblPiNAnalysis[[#This Row],[Number of missing / zero PiNs greater than threshold - Data quality]:[Manual Flag]],"Flagged")</calculatedColumnFormula>
    </tableColumn>
    <tableColumn id="37" xr3:uid="{2AC961A8-EBC6-4B58-950C-076CC926484C}" name="Flagged" dataDxfId="163">
      <calculatedColumnFormula>IF(tblPiNAnalysis[[#This Row],['# Flags]]&gt;0, "Flagged", "")</calculatedColumnFormula>
    </tableColumn>
    <tableColumn id="44" xr3:uid="{F0A6E442-5E92-474E-A531-A201AC702C5A}" name="Final PiN" dataDxfId="162">
      <calculatedColumnFormula>tblPiNAnalysis[[#This Row],[Preliminary PiN]]</calculatedColumnFormula>
    </tableColumn>
    <tableColumn id="5" xr3:uid="{CCDCA844-1C62-445A-A508-2D171AEA612C}" name="Evidence &amp; Comments" dataDxfId="161"/>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25301-D0EB-4466-8610-593D4070A226}" name="tblPiNHistorical" displayName="tblPiNHistorical" ref="A3:AP63" totalsRowShown="0" headerRowDxfId="159" dataDxfId="158" headerRowBorderDxfId="156" tableBorderDxfId="157" totalsRowBorderDxfId="155" headerRowCellStyle="Comma 2">
  <autoFilter ref="A3:AP63" xr:uid="{62F25301-D0EB-4466-8610-593D4070A226}"/>
  <sortState xmlns:xlrd2="http://schemas.microsoft.com/office/spreadsheetml/2017/richdata2" ref="A5:AP7">
    <sortCondition ref="E3:E7"/>
  </sortState>
  <tableColumns count="42">
    <tableColumn id="1" xr3:uid="{EBEDD39D-0803-488F-B264-37F11E97AA0A}" name="ID" dataDxfId="154"/>
    <tableColumn id="2" xr3:uid="{F6E6FC1E-F46B-4373-A498-70FBD8D55403}" name="Admin 1" dataDxfId="153"/>
    <tableColumn id="15" xr3:uid="{7205F2A9-2D90-4E82-AA2B-9E03B32722F5}" name="Admin 1 P-Code" dataDxfId="152"/>
    <tableColumn id="14" xr3:uid="{3C82ABBD-107D-4174-A0E8-A34A809196B4}" name="Admin 2" dataDxfId="151"/>
    <tableColumn id="3" xr3:uid="{7AADCFA6-7AD6-4673-AADF-84C1095146FD}" name="Admin 2 P-Code" dataDxfId="150"/>
    <tableColumn id="6" xr3:uid="{8D2BC654-2071-43F8-A743-AB5731DEB983}" name="Admin 3" dataDxfId="149"/>
    <tableColumn id="36" xr3:uid="{D116B196-FB88-4BE4-91D3-5A3B3E7AE184}" name="Admin 3 P-Code" dataDxfId="148"/>
    <tableColumn id="28" xr3:uid="{EC5D12CD-CC45-4DF0-957A-89A376453DAB}" name="Pocket of need" dataDxfId="147"/>
    <tableColumn id="4" xr3:uid="{0F1C3EBE-F260-40F3-9FBE-0D21DA819B8C}" name="Population" dataDxfId="146" dataCellStyle="Comma"/>
    <tableColumn id="29" xr3:uid="{88EA9ED2-9C4C-4000-80ED-6F73E1829DE6}" name="Population Group" dataDxfId="145" dataCellStyle="Comma"/>
    <tableColumn id="8" xr3:uid="{030C5973-1707-4485-A6B1-521E6912BBFE}" name="CCCM - old" dataDxfId="144" dataCellStyle="Comma"/>
    <tableColumn id="18" xr3:uid="{8E881CE5-2E7E-413E-A529-FC4AF564AF52}" name="Education - old" dataDxfId="143" dataCellStyle="Comma"/>
    <tableColumn id="10" xr3:uid="{8754FC3D-E4A5-41DD-BB52-C1AA3AF08FB5}" name="Nutrition - old" dataDxfId="142" dataCellStyle="Comma"/>
    <tableColumn id="31" xr3:uid="{769C8193-6632-41B7-B237-D48D3062C82B}" name="Food Security - old" dataDxfId="141" dataCellStyle="Comma"/>
    <tableColumn id="33" xr3:uid="{B3A5DF0D-28A2-477B-881E-23313A01BA60}" name="Health - old" dataDxfId="140" dataCellStyle="Comma"/>
    <tableColumn id="11" xr3:uid="{630EBA6D-F1E8-4DF6-8A23-E83979B0F803}" name="Overarching Protection - old" dataDxfId="139" dataCellStyle="Comma"/>
    <tableColumn id="9" xr3:uid="{5C7F0089-EFE8-4543-B000-7F9117FE0ABA}" name="Shelter - old" dataDxfId="138" dataCellStyle="Comma"/>
    <tableColumn id="17" xr3:uid="{BE065327-F485-4EA1-86E5-9B34975EB75D}" name="WASH - old" dataDxfId="137" dataCellStyle="Comma"/>
    <tableColumn id="13" xr3:uid="{4CC9CDCA-F7C8-4F2B-A54C-CC17517583F3}" name="CCCM - new" dataDxfId="136" dataCellStyle="Comma"/>
    <tableColumn id="27" xr3:uid="{90CBBEA2-52CD-4938-A731-A3039A83AA27}" name="Education - new" dataDxfId="135" dataCellStyle="Comma"/>
    <tableColumn id="39" xr3:uid="{79049057-4CB6-4344-B8AE-D043DE348509}" name="Nutrition - new" dataDxfId="134" dataCellStyle="Comma"/>
    <tableColumn id="16" xr3:uid="{AB91784D-784E-470B-9B6B-0C5C96DE7BC3}" name="Food Security - new" dataDxfId="133" dataCellStyle="Comma"/>
    <tableColumn id="19" xr3:uid="{DF836EFA-4D5C-4A76-A230-CFE18E7635C8}" name="Health - new" dataDxfId="132" dataCellStyle="Comma"/>
    <tableColumn id="30" xr3:uid="{4F573CA9-AAC4-4543-A2D5-BEAFABE4C540}" name="Overarching Protection - new" dataDxfId="131" dataCellStyle="Comma"/>
    <tableColumn id="34" xr3:uid="{4240201E-BD32-4261-B98A-8D0DA7648C58}" name="Shelter - new" dataDxfId="130" dataCellStyle="Comma"/>
    <tableColumn id="35" xr3:uid="{2967BDE4-A11B-4005-A24B-D9CFBB6026D1}" name="WASH - new" dataDxfId="129" dataCellStyle="Comma"/>
    <tableColumn id="32" xr3:uid="{112BC0F4-3EB6-4905-B067-C9CFE2267560}" name="PiN Difference for CCCM" dataDxfId="128" dataCellStyle="Comma">
      <calculatedColumnFormula>IF(OR(tblPiNHistorical[[#This Row],[CCCM - old]]="", tblPiNHistorical[[#This Row],[CCCM - old]]=0, tblPiNHistorical[[#This Row],[CCCM - new]]="", tblPiNHistorical[[#This Row],[CCCM - new]]=0), "", tblPiNHistorical[[#This Row],[CCCM - new]]-tblPiNHistorical[[#This Row],[CCCM - old]])</calculatedColumnFormula>
    </tableColumn>
    <tableColumn id="25" xr3:uid="{794F3A76-2CF2-4DB6-B3A7-A8FBC4A039A4}" name="PiN Difference for Education" dataDxfId="127" dataCellStyle="Comma">
      <calculatedColumnFormula>IF(OR(tblPiNHistorical[[#This Row],[Education - old]]="", tblPiNHistorical[[#This Row],[Education - old]]=0, tblPiNHistorical[[#This Row],[Education - new]]="", tblPiNHistorical[[#This Row],[Education - new]]=0), "", tblPiNHistorical[[#This Row],[Education - new]]-tblPiNHistorical[[#This Row],[Education - old]])</calculatedColumnFormula>
    </tableColumn>
    <tableColumn id="23" xr3:uid="{208EA54B-C721-4CC7-8278-0241C2CF01E7}" name="PiN Difference for Nutrition" dataDxfId="126" dataCellStyle="Comma">
      <calculatedColumnFormula>IF(OR(tblPiNHistorical[[#This Row],[Nutrition - old]]="", tblPiNHistorical[[#This Row],[Nutrition - old]]=0, tblPiNHistorical[[#This Row],[Nutrition - new]]="", tblPiNHistorical[[#This Row],[Nutrition - new]]=0), "", tblPiNHistorical[[#This Row],[Nutrition - new]]-tblPiNHistorical[[#This Row],[Nutrition - old]])</calculatedColumnFormula>
    </tableColumn>
    <tableColumn id="21" xr3:uid="{40533A56-0681-449E-B1DB-61A403CAF744}" name="PiN Difference for Food Security" dataDxfId="125" dataCellStyle="Comma">
      <calculatedColumnFormula>IF(OR(tblPiNHistorical[[#This Row],[Food Security - old]]="", tblPiNHistorical[[#This Row],[Food Security - old]]=0, tblPiNHistorical[[#This Row],[Food Security - new]]="", tblPiNHistorical[[#This Row],[Food Security - new]]=0), "", tblPiNHistorical[[#This Row],[Food Security - new]]-tblPiNHistorical[[#This Row],[Food Security - old]])</calculatedColumnFormula>
    </tableColumn>
    <tableColumn id="38" xr3:uid="{0E421EF8-4E9C-4FDD-9078-6F037F6B5AAE}" name="PiN Difference for Health" dataDxfId="124" dataCellStyle="Comma">
      <calculatedColumnFormula>IF(OR(tblPiNHistorical[[#This Row],[Health - old]]="", tblPiNHistorical[[#This Row],[Health - old]]=0, tblPiNHistorical[[#This Row],[Health - new]]="", tblPiNHistorical[[#This Row],[Health - new]]=0), "", tblPiNHistorical[[#This Row],[Health - new]]-tblPiNHistorical[[#This Row],[Health - old]])</calculatedColumnFormula>
    </tableColumn>
    <tableColumn id="12" xr3:uid="{BE2332DE-8C64-4A96-BC08-85AC305264CB}" name="PiN Difference for Overarching Protection" dataDxfId="123" dataCellStyle="Comma">
      <calculatedColumnFormula>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calculatedColumnFormula>
    </tableColumn>
    <tableColumn id="40" xr3:uid="{3B8D8A64-8484-4AFE-BE65-0C2BCB9F7887}" name="PiN Difference for Shelter" dataDxfId="122" dataCellStyle="Comma">
      <calculatedColumnFormula>IF(OR(tblPiNHistorical[[#This Row],[Shelter - old]]="", tblPiNHistorical[[#This Row],[Shelter - old]]=0, tblPiNHistorical[[#This Row],[Shelter - new]]="", tblPiNHistorical[[#This Row],[Shelter - new]]=0), "", tblPiNHistorical[[#This Row],[Shelter - new]]-tblPiNHistorical[[#This Row],[Shelter - old]])</calculatedColumnFormula>
    </tableColumn>
    <tableColumn id="5" xr3:uid="{5E99E83B-21D7-4AB9-9389-9E3FBBB916EE}" name="PiN Difference for WASH" dataDxfId="121" dataCellStyle="Comma">
      <calculatedColumnFormula>IF(OR(tblPiNHistorical[[#This Row],[WASH - old]]="", tblPiNHistorical[[#This Row],[WASH - old]]=0, tblPiNHistorical[[#This Row],[WASH - new]]="", tblPiNHistorical[[#This Row],[WASH - new]]=0), "", tblPiNHistorical[[#This Row],[WASH - new]]-tblPiNHistorical[[#This Row],[WASH - old]])</calculatedColumnFormula>
    </tableColumn>
    <tableColumn id="37" xr3:uid="{7D7EBA8D-F540-446F-90A8-354EDCB9EA65}" name="CCCM" dataDxfId="120" dataCellStyle="Percent">
      <calculatedColumnFormula>IFERROR(ROUND((tblPiNHistorical[[#This Row],[CCCM - new]] - tblPiNHistorical[[#This Row],[CCCM - old]])/tblPiNHistorical[[#This Row],[CCCM - old]], 1), "")</calculatedColumnFormula>
    </tableColumn>
    <tableColumn id="26" xr3:uid="{10261328-1C0B-4D45-98A3-77FF935B86EE}" name="Education" dataDxfId="119" dataCellStyle="Percent">
      <calculatedColumnFormula>IFERROR(ROUND((tblPiNHistorical[[#This Row],[Education - new]]-tblPiNHistorical[[#This Row],[Education - old]])/tblPiNHistorical[[#This Row],[Education - old]], 1), "")</calculatedColumnFormula>
    </tableColumn>
    <tableColumn id="24" xr3:uid="{E1D42502-F0CC-4C4E-9DB3-2544989D2B90}" name="Nutrition" dataDxfId="118" dataCellStyle="Percent">
      <calculatedColumnFormula>IFERROR(ROUND((tblPiNHistorical[[#This Row],[Nutrition - new]]-tblPiNHistorical[[#This Row],[Nutrition - old]])/tblPiNHistorical[[#This Row],[Nutrition - old]], 1), "")</calculatedColumnFormula>
    </tableColumn>
    <tableColumn id="22" xr3:uid="{1B7E3635-614A-4EA6-B272-7391D69C00F2}" name="Food Security" dataDxfId="117" dataCellStyle="Percent">
      <calculatedColumnFormula>IFERROR(ROUND((tblPiNHistorical[[#This Row],[Food Security - new]]-tblPiNHistorical[[#This Row],[Food Security - old]])/tblPiNHistorical[[#This Row],[Food Security - old]], 1), "")</calculatedColumnFormula>
    </tableColumn>
    <tableColumn id="42" xr3:uid="{FC34482E-E387-497E-8003-2417B5E19C46}" name="Health" dataDxfId="116" dataCellStyle="Percent">
      <calculatedColumnFormula>IFERROR(ROUND((tblPiNHistorical[[#This Row],[Health - new]]-tblPiNHistorical[[#This Row],[Health - old]])/tblPiNHistorical[[#This Row],[Health - old]], 1), "")</calculatedColumnFormula>
    </tableColumn>
    <tableColumn id="20" xr3:uid="{65C345EC-E776-478C-8FB0-EA96406E6DCC}" name="Overarching Protection" dataDxfId="115" dataCellStyle="Percent">
      <calculatedColumnFormula>IFERROR(ROUND((tblPiNHistorical[[#This Row],[Overarching Protection - new]]-tblPiNHistorical[[#This Row],[Overarching Protection - old]])/tblPiNHistorical[[#This Row],[Overarching Protection - old]], 1), "")</calculatedColumnFormula>
    </tableColumn>
    <tableColumn id="41" xr3:uid="{0725D732-91AD-4A3F-9238-B3A1376580BF}" name="Shelter" dataDxfId="114" dataCellStyle="Percent">
      <calculatedColumnFormula>IFERROR(ROUND((tblPiNHistorical[[#This Row],[Shelter - new]]-tblPiNHistorical[[#This Row],[Shelter - old]])/tblPiNHistorical[[#This Row],[Shelter - old]], 1), "")</calculatedColumnFormula>
    </tableColumn>
    <tableColumn id="7" xr3:uid="{3CD32DEE-C0B2-4756-8061-4C4FC7A219E4}" name="WASH" dataDxfId="113">
      <calculatedColumnFormula>IFERROR(ROUND((tblPiNHistorical[[#This Row],[WASH - new]]-tblPiNHistorical[[#This Row],[WASH - old]])/tblPiNHistorical[[#This Row],[WASH - old]], 1), "")</calculatedColumnFormula>
    </tableColumn>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C62CB9-79E0-497E-A079-06B621BAA7FA}" name="tblSeverityAnalysis" displayName="tblSeverityAnalysis" ref="A3:AV162" totalsRowShown="0" headerRowDxfId="111" dataDxfId="110" headerRowBorderDxfId="108" tableBorderDxfId="109" totalsRowBorderDxfId="107" headerRowCellStyle="Comma 2">
  <autoFilter ref="A3:AV162" xr:uid="{C1C62CB9-79E0-497E-A079-06B621BAA7FA}">
    <filterColumn colId="1">
      <filters>
        <filter val="Cabo Delgado"/>
        <filter val="Nampula"/>
        <filter val="Niassa"/>
      </filters>
    </filterColumn>
    <filterColumn colId="3">
      <filters>
        <filter val="Ancuabe"/>
        <filter val="Balama"/>
        <filter val="Chiure"/>
        <filter val="Cidade De Pemba"/>
        <filter val="Erati"/>
        <filter val="Ibo"/>
        <filter val="Macomia"/>
        <filter val="Mecufi"/>
        <filter val="Mecula"/>
        <filter val="Meluco"/>
        <filter val="Memba"/>
        <filter val="Metuge"/>
        <filter val="Mocimboa Da Praia"/>
        <filter val="Montepuez"/>
        <filter val="Mueda"/>
        <filter val="Muidumbe"/>
        <filter val="Namuno"/>
        <filter val="Nangade"/>
        <filter val="Palma"/>
        <filter val="Quissanga"/>
      </filters>
    </filterColumn>
  </autoFilter>
  <tableColumns count="48">
    <tableColumn id="7" xr3:uid="{12E8B687-B3A9-47AD-878D-880B213B4194}" name="ID" dataDxfId="106" dataCellStyle="Comma">
      <calculatedColumnFormula>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calculatedColumnFormula>
    </tableColumn>
    <tableColumn id="2" xr3:uid="{DE5C2973-C3F7-4CA7-A76B-64D8D90C3D11}" name="Admin 1" dataDxfId="105"/>
    <tableColumn id="15" xr3:uid="{B194334C-81FA-4EF2-9AE3-5E75730B9BF4}" name="Admin 1 P-Code" dataDxfId="104"/>
    <tableColumn id="14" xr3:uid="{3DF13833-849E-4712-95EC-D8335688FB50}" name="Admin 2" dataDxfId="103"/>
    <tableColumn id="3" xr3:uid="{D7B62F2F-A63B-44BE-AE4E-30223A2CCBFD}" name="Admin 2 P-Code" dataDxfId="102"/>
    <tableColumn id="36" xr3:uid="{AE0E4B39-6771-400C-BA34-196CDDB3E923}" name="Admin 3" dataDxfId="101"/>
    <tableColumn id="41" xr3:uid="{F32FC4B7-A02C-46B4-B978-07AA9DCF90D3}" name="Admin 3 P-Code" dataDxfId="100"/>
    <tableColumn id="26" xr3:uid="{40FF3AD1-DD26-46EA-B9BC-669716DCC145}" name="Pocket of need"/>
    <tableColumn id="4" xr3:uid="{A48A17EA-68C0-4A1F-9FBF-4FDCF8A3B119}" name="Population" dataDxfId="99" dataCellStyle="Comma"/>
    <tableColumn id="29" xr3:uid="{F731F25E-5448-4170-BE76-BCA9E8A21DF1}" name="Population Group" dataDxfId="98" dataCellStyle="Comma"/>
    <tableColumn id="8" xr3:uid="{2EAA504B-FE48-494A-8CCF-FE05D7E55168}" name="CCCM" dataDxfId="97" dataCellStyle="Comma"/>
    <tableColumn id="10" xr3:uid="{8E2042EE-1CD5-45A3-A0F4-6E648C2C2C9A}" name="Education" dataDxfId="96" dataCellStyle="Comma"/>
    <tableColumn id="31" xr3:uid="{623EB35B-A873-438D-B4FC-568020B0E314}" name="Nutrition" dataDxfId="95" dataCellStyle="Comma"/>
    <tableColumn id="33" xr3:uid="{A3845C6F-B00A-4D3D-BCD9-7001DF7C2BF3}" name="Food Security" dataDxfId="94" dataCellStyle="Comma"/>
    <tableColumn id="16" xr3:uid="{CCC771BB-071E-462D-BAD3-7ECDFD8BA39C}" name="Health" dataDxfId="93" dataCellStyle="Comma"/>
    <tableColumn id="11" xr3:uid="{C2D74A6D-BDA9-499B-B531-C38E9D023E99}" name="Overarching Protection" dataDxfId="92" dataCellStyle="Comma"/>
    <tableColumn id="9" xr3:uid="{89554A4D-4796-4166-AEA8-75E4763F3CF9}" name="Shelter" dataDxfId="91" dataCellStyle="Comma"/>
    <tableColumn id="17" xr3:uid="{E84A9292-43B6-4C5B-94DA-076D49B68338}" name="WASH" dataDxfId="90" dataCellStyle="Comma"/>
    <tableColumn id="21" xr3:uid="{C48240FC-85EC-B548-BDBE-D7ECF22A8C33}" name="Child Protection (CP)" dataDxfId="89" dataCellStyle="Comma"/>
    <tableColumn id="23" xr3:uid="{BE6A09F9-4A73-E54A-BF31-9F855B209A36}" name="Gender-based Violence (GBV)" dataDxfId="88" dataCellStyle="Comma"/>
    <tableColumn id="25" xr3:uid="{C03DC446-1D83-844A-9E03-2E9406A823F3}" name="GP" dataDxfId="87" dataCellStyle="Comma"/>
    <tableColumn id="22" xr3:uid="{4B787361-B788-4E4D-897A-486A99CAA304}" name="HLP" dataDxfId="86" dataCellStyle="Comma"/>
    <tableColumn id="32" xr3:uid="{A49C4B3C-7EE7-47B7-8956-A2E6603DB966}" name=" 1 " dataDxfId="85" dataCellStyle="Comma">
      <calculatedColumnFormula>IF(COUNTIF(tblSeverityAnalysis[[#This Row],[CCCM]:[WASH]], 1)=0, "", COUNTIF(tblSeverityAnalysis[[#This Row],[CCCM]:[WASH]], 1))</calculatedColumnFormula>
    </tableColumn>
    <tableColumn id="38" xr3:uid="{6D27F5BF-2269-470D-AB93-ECADB389B60C}" name=" 2 " dataDxfId="84" dataCellStyle="Comma">
      <calculatedColumnFormula>IF(COUNTIF(tblSeverityAnalysis[[#This Row],[CCCM]:[WASH]], 2)=0, "", COUNTIF(tblSeverityAnalysis[[#This Row],[CCCM]:[WASH]], 2))</calculatedColumnFormula>
    </tableColumn>
    <tableColumn id="39" xr3:uid="{1E74531A-C61A-413B-B1BC-92F41D56542F}" name=" 3 " dataDxfId="83" dataCellStyle="Comma">
      <calculatedColumnFormula>IF(COUNTIF(tblSeverityAnalysis[[#This Row],[CCCM]:[WASH]], 3)=0, "", COUNTIF(tblSeverityAnalysis[[#This Row],[CCCM]:[WASH]], 3))</calculatedColumnFormula>
    </tableColumn>
    <tableColumn id="45" xr3:uid="{18DBAD4C-1868-4113-B9B0-5C9A2BE963EB}" name=" 4 " dataDxfId="82" dataCellStyle="Comma">
      <calculatedColumnFormula>IF(COUNTIF(tblSeverityAnalysis[[#This Row],[CCCM]:[WASH]], 4)=0, "", COUNTIF(tblSeverityAnalysis[[#This Row],[CCCM]:[WASH]], 4))</calculatedColumnFormula>
    </tableColumn>
    <tableColumn id="50" xr3:uid="{32158D2A-FFD3-47A5-BAD2-0E76DE3E6ECB}" name="5" dataDxfId="81" dataCellStyle="Comma [0]">
      <calculatedColumnFormula>IF(COUNTIF(tblSeverityAnalysis[[#This Row],[CCCM]:[WASH]], 5)=0, "", COUNTIF(tblSeverityAnalysis[[#This Row],[CCCM]:[WASH]], 5))</calculatedColumnFormula>
    </tableColumn>
    <tableColumn id="56" xr3:uid="{BCD5170C-CF9D-4191-BCCB-28922DB24DAD}" name="Preliminary Intersectoral Severity based on overlap of sectoral deprivations" dataDxfId="80" dataCellStyle="Comma">
      <calculatedColumnFormula array="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calculatedColumnFormula>
    </tableColumn>
    <tableColumn id="30" xr3:uid="{898C226D-603A-4B03-8AB3-F1B1EC15F4D3}" name="Mortality" dataDxfId="79" dataCellStyle="Comma">
      <calculatedColumnFormula>IFERROR(IF(INDEX(tblSeverityReference[Death or Iminanet Risk of Death Severity],MATCH(tblSeverityAnalysis[[#This Row],[ID]], tblSeverityReference[ID], 0))= "", "",INDEX(tblSeverityReference[Death or Iminanet Risk of Death Severity],MATCH(tblSeverityAnalysis[[#This Row],[ID]], tblSeverityReference[ID], 0)) ), "")</calculatedColumnFormula>
    </tableColumn>
    <tableColumn id="35" xr3:uid="{52915851-B9BD-417C-9D89-D537647E1C1F}" name="Malnutrition" dataDxfId="78" dataCellStyle="Comma">
      <calculatedColumnFormula>IFERROR(IF(INDEX(tblSeverityReference[Malnutrition Severity],MATCH(tblSeverityAnalysis[[#This Row],[ID]], tblSeverityReference[ID], 0))= "", "",INDEX(tblSeverityReference[Malnutrition Severity],MATCH(tblSeverityAnalysis[[#This Row],[ID]], tblSeverityReference[ID], 0)) ), "")</calculatedColumnFormula>
    </tableColumn>
    <tableColumn id="34" xr3:uid="{BDB14026-41EC-4A9C-A4E8-BAA7D3A952B2}" name="Epidemics" dataDxfId="77" dataCellStyle="Comma">
      <calculatedColumnFormula>IFERROR(IF(INDEX(tblSeverityReference[Epidemic Severity],MATCH(tblSeverityAnalysis[[#This Row],[ID]], tblSeverityReference[ID], 0))= "", "",INDEX(tblSeverityReference[Epidemic Severity],MATCH(tblSeverityAnalysis[[#This Row],[ID]], tblSeverityReference[ID], 0)) ), "")</calculatedColumnFormula>
    </tableColumn>
    <tableColumn id="13" xr3:uid="{91890E29-2CD2-4CF5-965E-648927B4CD6E}" name="Livelihood Coping" dataDxfId="76" dataCellStyle="Comma">
      <calculatedColumnFormula>IFERROR(IF(INDEX(tblSeverityReference[Coping Strategy Severity],MATCH(tblSeverityAnalysis[[#This Row],[ID]], tblSeverityReference[ID], 0))= "", "",INDEX(tblSeverityReference[Coping Strategy Severity],MATCH(tblSeverityAnalysis[[#This Row],[ID]], tblSeverityReference[ID], 0)) ), "")</calculatedColumnFormula>
    </tableColumn>
    <tableColumn id="18" xr3:uid="{06E2A20B-4EBA-4551-95F0-A0BB49DFCB92}" name="HR/IHL Violation" dataDxfId="75">
      <calculatedColumnFormula>IFERROR(IF(INDEX(tblSeverityReference[HR/IHL Violation],MATCH(tblSeverityAnalysis[[#This Row],[ID]], tblSeverityReference[ID], 0))= "", "",INDEX(tblSeverityReference[HR/IHL Violation],MATCH(tblSeverityAnalysis[[#This Row],[ID]], tblSeverityReference[ID], 0)) ), "")</calculatedColumnFormula>
    </tableColumn>
    <tableColumn id="12" xr3:uid="{BDDA1786-6073-428A-A7AF-90CE142A8E41}" name="Average severity" dataDxfId="74" dataCellStyle="Comma">
      <calculatedColumnFormula>IFERROR(AVERAGE(tblSeverityAnalysis[[#This Row],[CCCM]:[WASH]]), "")</calculatedColumnFormula>
    </tableColumn>
    <tableColumn id="57" xr3:uid="{B4AA718F-F9E7-4A38-939F-5CF3AC13993E}" name="Highest Severity" dataDxfId="73" dataCellStyle="Comma">
      <calculatedColumnFormula>IF(SUM(tblSeverityAnalysis[[#This Row],[CCCM]:[WASH]])=0, "", MAX(tblSeverityAnalysis[[#This Row],[CCCM]:[WASH]]))</calculatedColumnFormula>
    </tableColumn>
    <tableColumn id="20" xr3:uid="{B0D41582-83E1-494A-B553-BD98ABC0A586}" name="Sectors with Highest Severity" dataDxfId="72">
      <calculatedColumnFormula array="1">IFERROR(IF(tblSeverityAnalysis[[#This Row],[Highest Severity]]="", "", _xlfn.TEXTJOIN(CHAR(10), TRUE, IF(tblSeverityAnalysis[[#This Row],[CCCM]:[WASH]]=tblSeverityAnalysis[[#This Row],[Highest Severity]], tblSeverityAnalysis[[#Headers],[CCCM]:[WASH]], ""), "")), "")</calculatedColumnFormula>
    </tableColumn>
    <tableColumn id="27" xr3:uid="{97CE0432-3503-4907-89A1-126532EAE14B}" name="2nd Highest Severity" dataDxfId="71" dataCellStyle="Comma">
      <calculatedColumnFormula array="1">IFERROR(MAX(_xlfn._xlws.FILTER(tblSeverityAnalysis[[#This Row],[CCCM]:[WASH]], tblSeverityAnalysis[[#This Row],[CCCM]:[WASH]]&lt;tblSeverityAnalysis[[#This Row],[Highest Severity]])), "")</calculatedColumnFormula>
    </tableColumn>
    <tableColumn id="24" xr3:uid="{7908F3B1-A685-4D7E-8B68-BDDAB612B082}" name="Sectors with 2nd Highest Severity" dataDxfId="70">
      <calculatedColumnFormula array="1">IFERROR(IF(tblSeverityAnalysis[[#This Row],[2nd Highest Severity]]="", "", _xlfn.TEXTJOIN(CHAR(10), TRUE, IF(tblSeverityAnalysis[[#This Row],[CCCM]:[WASH]]=tblSeverityAnalysis[[#This Row],[2nd Highest Severity]], tblSeverityAnalysis[[#Headers],[CCCM]:[WASH]], ""), "")), "")</calculatedColumnFormula>
    </tableColumn>
    <tableColumn id="1" xr3:uid="{E5324947-EF33-46C6-9A5F-4E4B0271CA4A}" name="1 sector in severity phase 5 [modify the threshold]" dataDxfId="69" dataCellStyle="Percent">
      <calculatedColumnFormula>IFERROR(IF(AND(tblSeverityAnalysis[[#This Row],[5]] &lt;&gt; "", tblSeverityAnalysis[[#This Row],[5]]&gt;=sectors_sev_5), "Flagged", ""), "")</calculatedColumnFormula>
    </tableColumn>
    <tableColumn id="6" xr3:uid="{04E92991-ACD3-46CA-BF57-66EC74948A62}" name="More than 4 Sectors in 4 or worse while Preliminary is 4 " dataDxfId="68" dataCellStyle="Percent">
      <calculatedColumnFormula>IFERROR(IF(AND(tblSeverityAnalysis[[#This Row],[Preliminary Intersectoral Severity based on overlap of sectoral deprivations]]=4, SUM(tblSeverityAnalysis[[#This Row],[ 4 ]:[5]])&gt;=sectors_sev_4), "Flagged", ""), "")</calculatedColumnFormula>
    </tableColumn>
    <tableColumn id="42" xr3:uid="{CF7F22EC-2B20-46A7-9ECE-38202C063A99}" name="2+ phase variation between preliminary severity and severity of any of the outcome indicators" dataDxfId="67" dataCellStyle="Percent">
      <calculatedColumnFormula array="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calculatedColumnFormula>
    </tableColumn>
    <tableColumn id="46" xr3:uid="{477EA2A8-3464-463B-B14F-E6C50EACD0C0}" name="1+ phase variation between preliminary severity and severity of at least two of the outcome indicators - in the same direction" dataDxfId="66" dataCellStyle="Percent">
      <calculatedColumnFormula>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calculatedColumnFormula>
    </tableColumn>
    <tableColumn id="52" xr3:uid="{F4C98AEA-A2B9-4138-8DCA-1D09D65131D5}" name="Manual Flag" dataDxfId="65" dataCellStyle="Percent"/>
    <tableColumn id="19" xr3:uid="{39A8E2D8-7EAA-4F67-B221-8BADB133E700}" name="Severity indicated by sub-national level" dataDxfId="64"/>
    <tableColumn id="54" xr3:uid="{8AF44857-9B03-4E29-90F4-7BAB96595ABB}" name="Explanation for Manual Flag" dataDxfId="63" dataCellStyle="Percent"/>
    <tableColumn id="43" xr3:uid="{3627B379-5857-4DE8-97E3-98B77B9F16ED}" name="# Flags" dataDxfId="62" dataCellStyle="Percent">
      <calculatedColumnFormula>COUNTIF(tblSeverityAnalysis[[#This Row],[1 sector in severity phase 5 '[modify the threshold']]:[Manual Flag]], "Flagged")</calculatedColumnFormula>
    </tableColumn>
    <tableColumn id="44" xr3:uid="{03F94C7E-8EDA-4018-9837-589E65ECA95C}" name="Final Severity" dataDxfId="61">
      <calculatedColumnFormula>tblSeverityAnalysis[[#This Row],[Preliminary Intersectoral Severity based on overlap of sectoral deprivations]]</calculatedColumnFormula>
    </tableColumn>
    <tableColumn id="5" xr3:uid="{8C5B51FE-2FF3-4432-A4F9-72475869B3BB}" name="Evidence &amp; Comments" dataDxfId="60"/>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BF5B1A-B6A1-484D-BF81-A5488E04A560}" name="tblSeverityReference" displayName="tblSeverityReference" ref="A3:AA162" totalsRowShown="0" headerRowDxfId="59" dataDxfId="58" headerRowBorderDxfId="56" tableBorderDxfId="57" totalsRowBorderDxfId="55" headerRowCellStyle="Comma 2">
  <autoFilter ref="A3:AA162" xr:uid="{85BF5B1A-B6A1-484D-BF81-A5488E04A560}"/>
  <sortState xmlns:xlrd2="http://schemas.microsoft.com/office/spreadsheetml/2017/richdata2" ref="A4:AA6">
    <sortCondition ref="B4:B6"/>
    <sortCondition ref="D4:D6"/>
  </sortState>
  <tableColumns count="27">
    <tableColumn id="1" xr3:uid="{24C66158-02F3-400E-BC52-87559454F3BD}" name="ID" dataDxfId="54" dataCellStyle="Comma">
      <calculatedColumnFormula>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calculatedColumnFormula>
    </tableColumn>
    <tableColumn id="2" xr3:uid="{5DC6AC69-6C07-4315-BBEA-5918E5448609}" name="Admin 1" dataDxfId="53"/>
    <tableColumn id="15" xr3:uid="{4EA63701-0CB2-4A55-8370-61E80E5899C0}" name="Admin 1 P-Code" dataDxfId="52"/>
    <tableColumn id="14" xr3:uid="{885AD3D6-0994-4B7D-AE97-97E6A7FE1CDF}" name="Admin 2" dataDxfId="51"/>
    <tableColumn id="3" xr3:uid="{42D64701-C39F-4754-8AE0-045A3E355FD5}" name="Admin 2 P-Code" dataDxfId="50"/>
    <tableColumn id="6" xr3:uid="{BAEC7335-E660-40A9-8E82-00CFB139FF39}" name="Admin 3" dataDxfId="49"/>
    <tableColumn id="36" xr3:uid="{1758CEF1-5355-4EFB-AE03-CB8C83E5918C}" name="Admin 3 P-Code" dataDxfId="48"/>
    <tableColumn id="13" xr3:uid="{176175E1-49AF-44DF-A63F-3E97F7FB788C}" name="Pocket of need" dataDxfId="47"/>
    <tableColumn id="4" xr3:uid="{02B5914B-C0BE-4235-BF9C-915E2B509B37}" name="Population" dataDxfId="46" dataCellStyle="Comma"/>
    <tableColumn id="29" xr3:uid="{FB41FEF7-F374-4CF1-A22B-AD36EB766BE2}" name="Population Group" dataDxfId="45" dataCellStyle="Comma"/>
    <tableColumn id="45" xr3:uid="{557BE843-F5AF-4BDC-ACF8-03C6F968B99F}" name="CDR x/10,000/day" dataDxfId="44" dataCellStyle="Comma"/>
    <tableColumn id="7" xr3:uid="{5F9388E3-72A2-4AA4-A2B3-30F1F64F1CE8}" name="Under 5 Death Rate" dataDxfId="43" dataCellStyle="Comma"/>
    <tableColumn id="5" xr3:uid="{7DEA85F9-5885-491C-88E2-890AAB2E80E7}" name="Civilian Casualty" dataDxfId="42" dataCellStyle="Comma"/>
    <tableColumn id="8" xr3:uid="{E32D3781-4602-4E73-95EB-DA2705ACBF62}" name="Death or Iminanet Risk of Death Severity" dataDxfId="41" dataCellStyle="Comma">
      <calculatedColumnFormula array="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calculatedColumnFormula>
    </tableColumn>
    <tableColumn id="31" xr3:uid="{23922B33-0085-45F2-BB44-B33A144B1C54}" name="WHZ" dataDxfId="40" dataCellStyle="Percent"/>
    <tableColumn id="12" xr3:uid="{C6C12292-1F2C-403A-9912-DB64FC439D74}" name="MUAC" dataDxfId="39" dataCellStyle="Percent"/>
    <tableColumn id="33" xr3:uid="{7203C1C9-945E-4F25-B27B-179E5D0F90BD}" name="Malnutrition Severity" dataDxfId="38" dataCellStyle="Comma">
      <calculatedColumnFormula array="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calculatedColumnFormula>
    </tableColumn>
    <tableColumn id="18" xr3:uid="{D0C4B065-CC30-4233-B8B6-C90883EA4916}" name="Epidemic 1" dataDxfId="37" dataCellStyle="Percent"/>
    <tableColumn id="9" xr3:uid="{9F9DE9AB-5588-48E7-BA26-4FB6BCD4482A}" name="Epidemic 2" dataDxfId="36" dataCellStyle="Percent"/>
    <tableColumn id="10" xr3:uid="{83B53DC6-75D9-431D-B235-F3E11C44957B}" name="Epidemic Severity" dataDxfId="35" dataCellStyle="Comma"/>
    <tableColumn id="11" xr3:uid="{44BC475A-D95D-4D15-923C-DA24B4FA24BC}" name="HR/IHL Violation" dataDxfId="34"/>
    <tableColumn id="17" xr3:uid="{BCE88250-BB8E-4C8A-9C03-E7022A09521F}" name="Coping Strategy (Minimal)" dataDxfId="33"/>
    <tableColumn id="46" xr3:uid="{373BD611-D9B0-4066-AB33-A7859A6D501D}" name="Coping Strategy (Stress)" dataDxfId="32"/>
    <tableColumn id="47" xr3:uid="{05DFD7E1-7704-4386-A5E9-816CD3B72724}" name="Coping Strategy (Severe)" dataDxfId="31"/>
    <tableColumn id="48" xr3:uid="{9C31F5FC-D186-4677-A497-48B112788A30}" name="Coping Strategy (Extreme)" dataDxfId="30"/>
    <tableColumn id="49" xr3:uid="{25DA146F-5FA1-4712-894A-54C6A8219859}" name="Coping Strategy (Catastrophic)" dataDxfId="29"/>
    <tableColumn id="50" xr3:uid="{E1913089-62D2-4264-96D2-08B70EFDBB72}" name="Coping Strategy Severity" dataDxfId="28" dataCellStyle="Comma">
      <calculatedColumnFormula array="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calculatedColumnFormula>
    </tableColumn>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07B78B-C393-4AF7-B72C-06F347ED5569}" name="Table4" displayName="Table4" ref="A1:E74" totalsRowShown="0" headerRowDxfId="27" dataDxfId="26" headerRowBorderDxfId="24" tableBorderDxfId="25" totalsRowBorderDxfId="23">
  <tableColumns count="5">
    <tableColumn id="1" xr3:uid="{9C4E3D48-A345-4F86-9FD3-7E15CCC655C1}" name="Cluster" dataDxfId="22"/>
    <tableColumn id="2" xr3:uid="{C4644F75-6474-4A6F-BCB1-53EDDBEE277E}" name="2026 Need Indicator" dataDxfId="21"/>
    <tableColumn id="3" xr3:uid="{FEBC1534-3282-4DFA-B912-EF0978430D8D}" name=" Vulnerable groups" dataDxfId="20"/>
    <tableColumn id="4" xr3:uid="{D60AFECB-C9A8-47BE-B826-A8EFE7A90BEE}" name="Data Sources" dataDxfId="19"/>
    <tableColumn id="5" xr3:uid="{FB45D18F-F6F4-4A78-BE7F-EF953C5A3490}" name="Data limitation" dataDxfId="18"/>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65D9-0AF3-4313-A41A-F50B37D11B3E}">
  <sheetPr codeName="Sheet1">
    <tabColor theme="6" tint="0.59999389629810485"/>
  </sheetPr>
  <dimension ref="A1:C18"/>
  <sheetViews>
    <sheetView topLeftCell="A13" zoomScale="115" zoomScaleNormal="115" workbookViewId="0">
      <selection activeCell="G24" sqref="G24"/>
    </sheetView>
  </sheetViews>
  <sheetFormatPr defaultColWidth="8.5703125" defaultRowHeight="14.45"/>
  <cols>
    <col min="1" max="1" width="22.5703125" customWidth="1"/>
    <col min="2" max="2" width="108.140625" customWidth="1"/>
  </cols>
  <sheetData>
    <row r="1" spans="1:3" ht="23.1">
      <c r="A1" s="6" t="s">
        <v>0</v>
      </c>
      <c r="B1" s="5"/>
    </row>
    <row r="2" spans="1:3" ht="14.25" customHeight="1">
      <c r="A2" s="4"/>
    </row>
    <row r="3" spans="1:3" ht="160.5" customHeight="1">
      <c r="A3" s="276" t="s">
        <v>1</v>
      </c>
      <c r="B3" s="36" t="s">
        <v>2</v>
      </c>
    </row>
    <row r="5" spans="1:3" ht="26.25" customHeight="1">
      <c r="A5" s="3" t="s">
        <v>3</v>
      </c>
      <c r="B5" s="3" t="s">
        <v>4</v>
      </c>
    </row>
    <row r="6" spans="1:3" ht="86.25" customHeight="1">
      <c r="A6" s="277" t="s">
        <v>5</v>
      </c>
      <c r="B6" s="282" t="s">
        <v>6</v>
      </c>
    </row>
    <row r="7" spans="1:3">
      <c r="A7" s="395" t="s">
        <v>7</v>
      </c>
      <c r="B7" s="283" t="s">
        <v>8</v>
      </c>
    </row>
    <row r="8" spans="1:3" ht="39">
      <c r="A8" s="396"/>
      <c r="B8" s="279" t="s">
        <v>9</v>
      </c>
    </row>
    <row r="9" spans="1:3" ht="29.1">
      <c r="A9" s="396"/>
      <c r="B9" s="284" t="s">
        <v>10</v>
      </c>
      <c r="C9" s="285"/>
    </row>
    <row r="10" spans="1:3" ht="29.1">
      <c r="A10" s="396"/>
      <c r="B10" s="284" t="s">
        <v>11</v>
      </c>
      <c r="C10" s="285"/>
    </row>
    <row r="11" spans="1:3" ht="29.1">
      <c r="A11" s="396"/>
      <c r="B11" s="284" t="s">
        <v>12</v>
      </c>
      <c r="C11" s="285"/>
    </row>
    <row r="12" spans="1:3" ht="29.1">
      <c r="A12" s="396"/>
      <c r="B12" s="284" t="s">
        <v>13</v>
      </c>
      <c r="C12" s="285"/>
    </row>
    <row r="13" spans="1:3" ht="29.1">
      <c r="A13" s="396"/>
      <c r="B13" s="284" t="s">
        <v>14</v>
      </c>
      <c r="C13" s="285"/>
    </row>
    <row r="14" spans="1:3" ht="29.1">
      <c r="A14" s="397"/>
      <c r="B14" s="284" t="s">
        <v>15</v>
      </c>
      <c r="C14" s="285"/>
    </row>
    <row r="15" spans="1:3" ht="99.95">
      <c r="A15" s="278" t="s">
        <v>16</v>
      </c>
      <c r="B15" s="280" t="s">
        <v>17</v>
      </c>
    </row>
    <row r="16" spans="1:3" ht="24.95" hidden="1">
      <c r="A16" s="278" t="s">
        <v>18</v>
      </c>
      <c r="B16" s="280" t="s">
        <v>19</v>
      </c>
    </row>
    <row r="17" spans="1:2" ht="117.95">
      <c r="A17" s="281" t="s">
        <v>20</v>
      </c>
      <c r="B17" s="279" t="s">
        <v>21</v>
      </c>
    </row>
    <row r="18" spans="1:2" ht="45" customHeight="1">
      <c r="A18" s="281" t="s">
        <v>22</v>
      </c>
      <c r="B18" s="279" t="s">
        <v>23</v>
      </c>
    </row>
  </sheetData>
  <mergeCells count="1">
    <mergeCell ref="A7:A14"/>
  </mergeCells>
  <hyperlinks>
    <hyperlink ref="B9" location="'WS - 3.1 Overall PiN'!AK3" display="Number of missing or zero PiN: OCHA analysis team to decide the threshold for accepted number of sectors at unit level not to provide a PiN value or have zero PiN." xr:uid="{C597A2A8-8DBB-4472-9A2E-97C2E3E58B20}"/>
    <hyperlink ref="B10" location="'WS - 3.1 Overall PiN'!AL3" display="Highest PiN close to the total affected population: OCHA analysis team to decide the threshold of acceptable proportion of people in need to the affected population at unit level." xr:uid="{332FD5BA-51FD-41A3-915E-C5FF93F5156F}"/>
    <hyperlink ref="B11" location="'WS - 3.1 Overall PiN'!AM3" display="Highest Sector targets only a subset of the affected population: OCHA analysis team to decide the sectors that target only a subset of the affected population." xr:uid="{F2D74E37-1A08-4D7F-9267-44BFE130676C}"/>
    <hyperlink ref="B14" location="'WS - 3.1 Overall PiN'!AZ3" display="% Difference between this HNO's highest or 2nd highest sector PiN to same sector in the last HNO: OCHA analysis team to decide the threshold of change for this HNO's highest or 2nd higehst sector PiN and last HNO's PiN for the same sector." xr:uid="{9F4FE1C6-1C91-407F-A915-1B484DAA7B69}"/>
    <hyperlink ref="B12" location="'WS - 3.1 Overall PiN'!AS3" display="Difference b/w highest with 2nd highest: OCHA analysis team to decide whether certain outliers between highest sector with 2nd or 3rd highest require flagging for review and to enter 'Flagged' in the column." xr:uid="{34C7B92C-32B7-4C62-9EEB-6B25D4631D90}"/>
    <hyperlink ref="B13" location="'WS - 3.1 Overall PiN'!AY3" display="Difference b/w highest and 3rd highest: OCHA analysis team to decide whether certain outliers between highest sector with 2nd or 3rd highest require flagging for review and to enter 'Flagged' in the column." xr:uid="{7D031399-E85E-4F20-958C-3F7C6EB772BB}"/>
    <hyperlink ref="B7" location="'WS - 3.1 Overall PiN'!BB3" display="Preliminary PiN: Highest PiN among the Sector PINs is automatically taken as the preliminary PiN." xr:uid="{EECADD44-264E-4D02-9121-A4DB48707F79}"/>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5889-E388-4FA4-B65E-534DEACB1C87}">
  <sheetPr codeName="Sheet9">
    <tabColor theme="0" tint="-0.14999847407452621"/>
  </sheetPr>
  <dimension ref="A1:F36"/>
  <sheetViews>
    <sheetView zoomScale="110" zoomScaleNormal="110" workbookViewId="0">
      <selection activeCell="G20" sqref="G20"/>
    </sheetView>
  </sheetViews>
  <sheetFormatPr defaultColWidth="8.5703125" defaultRowHeight="9.9499999999999993"/>
  <cols>
    <col min="1" max="1" width="44.85546875" style="7" customWidth="1"/>
    <col min="2" max="2" width="60" style="7" customWidth="1"/>
    <col min="3" max="3" width="16.5703125" style="7" customWidth="1"/>
    <col min="4" max="4" width="15.140625" style="7" customWidth="1"/>
    <col min="5" max="5" width="13.140625" style="7" customWidth="1"/>
    <col min="6" max="6" width="17.28515625" style="7" customWidth="1"/>
    <col min="7" max="7" width="17.140625" style="7" bestFit="1" customWidth="1"/>
    <col min="8" max="8" width="13.140625" style="7" bestFit="1" customWidth="1"/>
    <col min="9" max="9" width="17.5703125" style="7" bestFit="1" customWidth="1"/>
    <col min="10" max="16384" width="8.5703125" style="7"/>
  </cols>
  <sheetData>
    <row r="1" spans="1:6">
      <c r="C1" s="399" t="s">
        <v>24</v>
      </c>
      <c r="D1" s="399"/>
      <c r="E1" s="399"/>
      <c r="F1" s="399"/>
    </row>
    <row r="3" spans="1:6" ht="10.5" customHeight="1">
      <c r="C3" s="399" t="s">
        <v>25</v>
      </c>
      <c r="D3" s="399"/>
      <c r="E3" s="399"/>
      <c r="F3" s="399"/>
    </row>
    <row r="6" spans="1:6" ht="10.5">
      <c r="B6" s="402" t="s">
        <v>26</v>
      </c>
      <c r="C6" s="402"/>
      <c r="D6" s="7" t="s">
        <v>27</v>
      </c>
    </row>
    <row r="7" spans="1:6" ht="30">
      <c r="A7" s="140" t="s">
        <v>28</v>
      </c>
      <c r="B7" s="158" t="s">
        <v>29</v>
      </c>
      <c r="C7" s="158" t="s">
        <v>30</v>
      </c>
      <c r="D7" s="159" t="s">
        <v>31</v>
      </c>
      <c r="E7" s="158" t="s">
        <v>32</v>
      </c>
      <c r="F7" s="158" t="s">
        <v>33</v>
      </c>
    </row>
    <row r="8" spans="1:6" s="147" customFormat="1">
      <c r="A8" s="160"/>
      <c r="B8" s="161" t="s">
        <v>34</v>
      </c>
      <c r="C8" s="160">
        <v>2</v>
      </c>
      <c r="D8" s="160">
        <v>5</v>
      </c>
      <c r="E8" s="160"/>
      <c r="F8" s="160" t="s">
        <v>35</v>
      </c>
    </row>
    <row r="9" spans="1:6" ht="45" customHeight="1">
      <c r="A9" s="8" t="s">
        <v>36</v>
      </c>
      <c r="B9" s="146" t="s">
        <v>37</v>
      </c>
      <c r="C9" s="139">
        <v>0.3</v>
      </c>
      <c r="D9" s="139">
        <v>0.3</v>
      </c>
      <c r="E9" s="8"/>
      <c r="F9" s="8" t="s">
        <v>38</v>
      </c>
    </row>
    <row r="10" spans="1:6">
      <c r="A10" s="8" t="s">
        <v>39</v>
      </c>
      <c r="B10" s="146" t="s">
        <v>40</v>
      </c>
      <c r="C10" s="139">
        <v>0.5</v>
      </c>
      <c r="D10" s="139">
        <v>0.5</v>
      </c>
      <c r="E10" s="8"/>
      <c r="F10" s="8" t="s">
        <v>38</v>
      </c>
    </row>
    <row r="11" spans="1:6" ht="20.100000000000001">
      <c r="A11" s="8" t="s">
        <v>41</v>
      </c>
      <c r="B11" s="146" t="s">
        <v>42</v>
      </c>
      <c r="C11" s="139"/>
      <c r="D11" s="8"/>
      <c r="E11" s="8"/>
      <c r="F11" s="8"/>
    </row>
    <row r="12" spans="1:6">
      <c r="A12" s="8" t="s">
        <v>43</v>
      </c>
      <c r="B12" s="146" t="s">
        <v>44</v>
      </c>
      <c r="C12" s="139">
        <v>0.9</v>
      </c>
      <c r="D12" s="139">
        <v>0.9</v>
      </c>
      <c r="E12" s="8"/>
      <c r="F12" s="8"/>
    </row>
    <row r="13" spans="1:6" ht="20.100000000000001">
      <c r="A13" s="8" t="s">
        <v>45</v>
      </c>
      <c r="B13" s="146" t="s">
        <v>46</v>
      </c>
      <c r="C13" s="139">
        <v>1</v>
      </c>
      <c r="D13" s="139">
        <v>1</v>
      </c>
      <c r="E13" s="8"/>
      <c r="F13" s="8"/>
    </row>
    <row r="14" spans="1:6" ht="20.100000000000001">
      <c r="A14" s="8" t="s">
        <v>47</v>
      </c>
      <c r="B14" s="146" t="s">
        <v>48</v>
      </c>
      <c r="C14" s="139"/>
      <c r="D14" s="139"/>
      <c r="E14" s="8"/>
      <c r="F14" s="8"/>
    </row>
    <row r="15" spans="1:6" s="147" customFormat="1" ht="29.25" hidden="1" customHeight="1">
      <c r="B15" s="156" t="s">
        <v>49</v>
      </c>
      <c r="C15" s="157"/>
      <c r="D15" s="157"/>
      <c r="E15" s="148"/>
      <c r="F15" s="148"/>
    </row>
    <row r="16" spans="1:6" s="155" customFormat="1" hidden="1">
      <c r="B16" s="152" t="s">
        <v>50</v>
      </c>
      <c r="C16" s="153" t="s">
        <v>51</v>
      </c>
      <c r="D16" s="153" t="s">
        <v>51</v>
      </c>
      <c r="E16" s="154"/>
      <c r="F16" s="154" t="s">
        <v>38</v>
      </c>
    </row>
    <row r="17" spans="1:5" s="149" customFormat="1">
      <c r="B17" s="150"/>
      <c r="C17" s="151"/>
      <c r="D17" s="151"/>
    </row>
    <row r="18" spans="1:5" ht="10.5">
      <c r="B18" s="402" t="s">
        <v>52</v>
      </c>
      <c r="C18" s="402"/>
    </row>
    <row r="19" spans="1:5" ht="30">
      <c r="B19" s="11" t="s">
        <v>53</v>
      </c>
      <c r="C19" s="10" t="s">
        <v>54</v>
      </c>
    </row>
    <row r="20" spans="1:5" ht="12.95">
      <c r="A20" s="175" t="s">
        <v>55</v>
      </c>
      <c r="B20" s="8" t="s">
        <v>56</v>
      </c>
      <c r="C20" s="9"/>
    </row>
    <row r="21" spans="1:5">
      <c r="A21" s="401" t="s">
        <v>57</v>
      </c>
      <c r="B21" s="8"/>
      <c r="C21" s="9"/>
    </row>
    <row r="22" spans="1:5">
      <c r="A22" s="401"/>
      <c r="B22" s="29"/>
      <c r="C22" s="9"/>
    </row>
    <row r="23" spans="1:5">
      <c r="A23" s="401"/>
      <c r="B23" s="8"/>
      <c r="C23" s="9"/>
    </row>
    <row r="24" spans="1:5">
      <c r="A24" s="401"/>
    </row>
    <row r="25" spans="1:5">
      <c r="A25" s="401"/>
      <c r="B25" s="12"/>
      <c r="C25" s="74"/>
    </row>
    <row r="26" spans="1:5" ht="22.5" customHeight="1">
      <c r="B26" s="400" t="s">
        <v>58</v>
      </c>
      <c r="C26" s="400"/>
      <c r="D26" s="7" t="s">
        <v>27</v>
      </c>
    </row>
    <row r="27" spans="1:5" ht="42">
      <c r="B27" s="140" t="s">
        <v>59</v>
      </c>
      <c r="C27" s="140" t="s">
        <v>30</v>
      </c>
      <c r="D27" s="141" t="s">
        <v>31</v>
      </c>
      <c r="E27" s="140" t="s">
        <v>32</v>
      </c>
    </row>
    <row r="28" spans="1:5">
      <c r="B28" s="128" t="s">
        <v>60</v>
      </c>
      <c r="C28" s="129">
        <v>1</v>
      </c>
      <c r="D28" s="131">
        <v>1</v>
      </c>
      <c r="E28" s="131"/>
    </row>
    <row r="29" spans="1:5">
      <c r="B29" s="146" t="s">
        <v>61</v>
      </c>
      <c r="C29" s="8">
        <v>5</v>
      </c>
      <c r="D29" s="8">
        <v>5</v>
      </c>
      <c r="E29" s="9"/>
    </row>
    <row r="30" spans="1:5">
      <c r="B30" s="12"/>
      <c r="C30" s="74"/>
    </row>
    <row r="31" spans="1:5">
      <c r="B31" s="12"/>
      <c r="C31" s="74"/>
    </row>
    <row r="33" spans="2:5" ht="15.95" customHeight="1">
      <c r="B33" s="398" t="s">
        <v>62</v>
      </c>
      <c r="C33" s="398"/>
      <c r="D33" s="300"/>
    </row>
    <row r="34" spans="2:5" ht="21">
      <c r="B34" s="140" t="s">
        <v>63</v>
      </c>
      <c r="C34" s="140" t="s">
        <v>30</v>
      </c>
      <c r="D34" s="141" t="s">
        <v>31</v>
      </c>
    </row>
    <row r="35" spans="2:5">
      <c r="B35" s="128" t="s">
        <v>64</v>
      </c>
      <c r="C35" s="301">
        <v>0.5</v>
      </c>
      <c r="D35" s="302">
        <v>0.5</v>
      </c>
      <c r="E35" s="7" t="s">
        <v>65</v>
      </c>
    </row>
    <row r="36" spans="2:5">
      <c r="B36" s="146" t="s">
        <v>66</v>
      </c>
      <c r="C36" s="139">
        <v>1</v>
      </c>
      <c r="D36" s="139">
        <v>1</v>
      </c>
    </row>
  </sheetData>
  <mergeCells count="7">
    <mergeCell ref="B33:C33"/>
    <mergeCell ref="C1:F1"/>
    <mergeCell ref="C3:F3"/>
    <mergeCell ref="B26:C26"/>
    <mergeCell ref="A21:A25"/>
    <mergeCell ref="B18:C18"/>
    <mergeCell ref="B6:C6"/>
  </mergeCells>
  <phoneticPr fontId="9" type="noConversion"/>
  <pageMargins left="0.7" right="0.7" top="0.75" bottom="0.75" header="0.3" footer="0.3"/>
  <pageSetup paperSize="9" orientation="portrait" verticalDpi="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E69F-9856-4D47-A31A-7469FA8D9F17}">
  <sheetPr codeName="Sheet6">
    <tabColor theme="7" tint="0.59999389629810485"/>
  </sheetPr>
  <dimension ref="A1:CF64"/>
  <sheetViews>
    <sheetView showGridLines="0" zoomScale="80" zoomScaleNormal="80" workbookViewId="0">
      <pane xSplit="10" ySplit="3" topLeftCell="K4" activePane="bottomRight" state="frozen"/>
      <selection pane="bottomRight" activeCell="AZ3" sqref="AZ3"/>
      <selection pane="bottomLeft" activeCell="A4" sqref="A4"/>
      <selection pane="topRight" activeCell="K1" sqref="K1"/>
    </sheetView>
  </sheetViews>
  <sheetFormatPr defaultColWidth="8.5703125" defaultRowHeight="14.45"/>
  <cols>
    <col min="1" max="1" width="19.7109375" style="66" bestFit="1" customWidth="1"/>
    <col min="2" max="2" width="18" style="14" customWidth="1"/>
    <col min="3" max="3" width="19.5703125" style="105" hidden="1" customWidth="1"/>
    <col min="4" max="4" width="17.42578125" style="14" customWidth="1"/>
    <col min="5" max="5" width="18" style="105" hidden="1" customWidth="1"/>
    <col min="6" max="6" width="14.5703125" style="14" hidden="1" customWidth="1"/>
    <col min="7" max="8" width="18.140625" style="14" hidden="1" customWidth="1"/>
    <col min="9" max="9" width="12.140625" style="15" customWidth="1"/>
    <col min="10" max="10" width="11.42578125" style="15" customWidth="1"/>
    <col min="11" max="11" width="12.85546875" style="22" customWidth="1"/>
    <col min="12" max="18" width="12.85546875" style="15" customWidth="1"/>
    <col min="19" max="23" width="13.140625" style="15" customWidth="1"/>
    <col min="24" max="27" width="13.42578125" style="15" customWidth="1"/>
    <col min="28" max="28" width="14" customWidth="1"/>
    <col min="29" max="29" width="13.85546875" customWidth="1"/>
    <col min="30" max="30" width="13.140625" customWidth="1"/>
    <col min="31" max="31" width="14.5703125" customWidth="1"/>
    <col min="32" max="33" width="13.42578125" style="15" customWidth="1"/>
    <col min="34" max="34" width="13.28515625" style="15" customWidth="1"/>
    <col min="35" max="35" width="13.42578125" style="15" customWidth="1"/>
    <col min="36" max="36" width="28.140625" style="15" customWidth="1"/>
    <col min="37" max="37" width="12.140625" style="15" customWidth="1"/>
    <col min="38" max="38" width="16.140625" style="13" customWidth="1"/>
    <col min="39" max="39" width="19.140625" style="15" customWidth="1"/>
    <col min="40" max="40" width="15" customWidth="1"/>
    <col min="41" max="41" width="13.5703125" style="22" customWidth="1"/>
    <col min="42" max="42" width="13.85546875" style="13" customWidth="1"/>
    <col min="43" max="43" width="10" style="19" customWidth="1"/>
    <col min="44" max="44" width="10.5703125" style="13" customWidth="1"/>
    <col min="45" max="45" width="14.85546875" style="13" customWidth="1"/>
    <col min="46" max="46" width="16.140625" customWidth="1"/>
    <col min="47" max="47" width="13.7109375" style="31" customWidth="1"/>
    <col min="48" max="48" width="16.28515625" style="13" customWidth="1"/>
    <col min="49" max="49" width="11.5703125" style="2" customWidth="1"/>
    <col min="50" max="50" width="17" style="13" customWidth="1"/>
    <col min="51" max="51" width="15.5703125" customWidth="1"/>
    <col min="52" max="52" width="15.42578125" customWidth="1"/>
    <col min="53" max="53" width="13.42578125" customWidth="1"/>
    <col min="54" max="54" width="18.85546875" style="22" customWidth="1"/>
    <col min="55" max="55" width="10.7109375" style="22" customWidth="1"/>
    <col min="56" max="56" width="19.7109375" customWidth="1"/>
    <col min="57" max="57" width="12.85546875" customWidth="1"/>
    <col min="58" max="58" width="15.85546875" style="22" customWidth="1"/>
    <col min="59" max="59" width="16.28515625" hidden="1" customWidth="1"/>
    <col min="60" max="60" width="25.140625" hidden="1" customWidth="1"/>
    <col min="61" max="61" width="13.28515625" style="22" customWidth="1"/>
    <col min="62" max="62" width="15.7109375" style="13" customWidth="1"/>
    <col min="63" max="63" width="16.42578125" style="15" customWidth="1"/>
    <col min="64" max="64" width="23.5703125" customWidth="1"/>
    <col min="65" max="65" width="14.140625" style="22" customWidth="1"/>
    <col min="66" max="66" width="13.42578125" style="13" customWidth="1"/>
    <col min="67" max="68" width="25.140625" style="13" customWidth="1"/>
    <col min="69" max="69" width="27.5703125" style="13" customWidth="1"/>
    <col min="70" max="70" width="25.42578125" customWidth="1"/>
    <col min="71" max="71" width="24.28515625" customWidth="1"/>
    <col min="72" max="72" width="25.85546875" style="84" customWidth="1"/>
    <col min="73" max="74" width="25.85546875" style="13" customWidth="1"/>
    <col min="75" max="75" width="38.5703125" style="13" customWidth="1"/>
    <col min="76" max="76" width="57.28515625" style="13" customWidth="1"/>
    <col min="77" max="77" width="25.42578125" style="13" customWidth="1"/>
    <col min="78" max="78" width="27.28515625" customWidth="1"/>
    <col min="79" max="79" width="22.140625" customWidth="1"/>
    <col min="80" max="80" width="16" style="13" customWidth="1"/>
    <col min="81" max="81" width="11.140625" customWidth="1"/>
    <col min="82" max="82" width="12.5703125" style="16" customWidth="1"/>
    <col min="83" max="83" width="20" style="15" bestFit="1" customWidth="1"/>
    <col min="84" max="84" width="46.140625" style="13" customWidth="1"/>
  </cols>
  <sheetData>
    <row r="1" spans="1:84" ht="30" customHeight="1" thickBot="1">
      <c r="A1" s="64"/>
      <c r="B1" s="20"/>
      <c r="C1" s="101"/>
      <c r="D1" s="20"/>
      <c r="E1" s="101"/>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1"/>
      <c r="AI1" s="17"/>
      <c r="AJ1" s="17"/>
      <c r="AK1" s="17"/>
      <c r="AL1" s="138" t="str">
        <f>_xlfn.CONCAT(COUNTIF(tblPiNAnalysis[Number of missing / zero PiNs greater than threshold - Data quality],"Flagged"), "/", COUNTA(tblPiNAnalysis[Number of missing / zero PiNs greater than threshold - Data quality]), " (", ROUND((COUNTIF(tblPiNAnalysis[Number of missing / zero PiNs greater than threshold - Data quality],"Flagged")/(COUNTA(tblPiNAnalysis[Number of missing / zero PiNs greater than threshold - Data quality]) + COUNTBLANK(tblPiNAnalysis[Number of missing / zero PiNs greater than threshold - Data quality])))*100, 0), "%) flagged")</f>
        <v>0/60 (0%) flagged</v>
      </c>
      <c r="AM1" s="138" t="str">
        <f>_xlfn.CONCAT(COUNTIF(tblPiNAnalysis[Highest PiN greater than 90% of total affected population],"Flagged"), "/", COUNTA(tblPiNAnalysis[Admin 1]), " (", ROUND((COUNTIF(tblPiNAnalysis[Highest PiN greater than 90% of total affected population],"Flagged")/(COUNTA(tblPiNAnalysis[Highest PiN greater than 90% of total affected population]) + COUNTBLANK(tblPiNAnalysis[Highest PiN greater than 90% of total affected population])))*100, 0), "%) flagged")</f>
        <v>25/60 (26%) flagged</v>
      </c>
      <c r="AN1" s="130" t="str">
        <f>_xlfn.CONCAT(COUNTIF(tblPiNAnalysis[Highest sector targets sub-population group(s)],"Flagged"), "/", COUNTA(tblPiNAnalysis[Admin 1]), " (", ROUND((COUNTIF(tblPiNAnalysis[Highest sector targets sub-population group(s)],"Flagged")/(COUNTA(tblPiNAnalysis[Highest sector targets sub-population group(s)]) + COUNTBLANK(tblPiNAnalysis[Highest sector targets sub-population group(s)])))*100, 0), "%) flagged")</f>
        <v>1/60 (1%) flagged</v>
      </c>
      <c r="AO1" s="21"/>
      <c r="AP1" s="17"/>
      <c r="AQ1" s="72"/>
      <c r="AR1" s="23"/>
      <c r="AS1" s="17"/>
      <c r="AT1" s="130" t="str">
        <f>_xlfn.CONCAT(COUNTIF(tblPiNAnalysis[% difference is over a specified threshold between Highest and 2nd Highest],"Flagged"), "/", COUNTA(tblPiNAnalysis[Admin 1]), " (", ROUND((COUNTIF(tblPiNAnalysis[% difference is over a specified threshold between Highest and 2nd Highest],"Flagged")/(COUNTA(tblPiNAnalysis[% difference is over a specified threshold between Highest and 2nd Highest]) + COUNTBLANK(tblPiNAnalysis[% difference is over a specified threshold between Highest and 2nd Highest])))*100, 0), "%) flagged")</f>
        <v>20/60 (20%) flagged</v>
      </c>
      <c r="AU1" s="21"/>
      <c r="AV1" s="17"/>
      <c r="AW1" s="17"/>
      <c r="AX1" s="21"/>
      <c r="AY1" s="17"/>
      <c r="AZ1" s="130" t="str">
        <f>_xlfn.CONCAT(COUNTIF(tblPiNAnalysis[% difference is over a specified threshold between Highest and 3rd Highest],"Flagged"), "/", COUNTA(tblPiNAnalysis[Admin 1]), " (", ROUND((COUNTIF(tblPiNAnalysis[% difference is over a specified threshold between Highest and 3rd Highest],"Flagged")/(COUNTA(tblPiNAnalysis[% difference is over a specified threshold between Highest and 3rd Highest]) + COUNTBLANK(tblPiNAnalysis[% difference is over a specified threshold between Highest and 3rd Highest])))*100, 0), "%) flagged")</f>
        <v>29/60 (32%) flagged</v>
      </c>
      <c r="BA1" s="130"/>
      <c r="BB1" s="130" t="str">
        <f>_xlfn.CONCAT(COUNTIF(tblPiNAnalysis[Change from last year for the highest sector(s) has significantly increased or decreased],"Flagged"), "/", COUNTA(tblPiNAnalysis[Admin 1]), " (", ROUND((COUNTIF(tblPiNAnalysis[Change from last year for the highest sector(s) has significantly increased or decreased],"Flagged")/(COUNTA(tblPiNAnalysis[Change from last year for the highest sector(s) has significantly increased or decreased]) + COUNTBLANK(tblPiNAnalysis[Change from last year for the highest sector(s) has significantly increased or decreased])))*100, 0), "%) flagged")</f>
        <v>13/60 (12%) flagged</v>
      </c>
      <c r="BC1" s="130"/>
      <c r="BD1" s="130" t="str">
        <f>_xlfn.CONCAT(COUNTIF(tblPiNAnalysis[Change from last year for the 2nd highest sector(s) has significantly increased or decreased],"Flagged"), "/", COUNTA(tblPiNAnalysis[Admin 1]), " (", ROUND((COUNTIF(tblPiNAnalysis[Change from last year for the 2nd highest sector(s) has significantly increased or decreased],"Flagged")/(COUNTA(tblPiNAnalysis[Change from last year for the 2nd highest sector(s) has significantly increased or decreased]) + COUNTBLANK(tblPiNAnalysis[Change from last year for the 2nd highest sector(s) has significantly increased or decreased])))*100, 0), "%) flagged")</f>
        <v>4/60 (3%) flagged</v>
      </c>
      <c r="BE1" s="295"/>
      <c r="BF1" s="273">
        <f>SUBTOTAL(9,BF4:BF63)</f>
        <v>1663441.7789789471</v>
      </c>
      <c r="BG1" s="130" t="str">
        <f>_xlfn.CONCAT(COUNTIF(tblPiNAnalysis[Manual Flag],"Flagged"), "/", COUNTA(tblPiNAnalysis[Admin 1]), " (", ROUND((COUNTIF(tblPiNAnalysis[Manual Flag],"Flagged")/(COUNTA(tblPiNAnalysis[Manual Flag]) + COUNTBLANK(tblPiNAnalysis[Manual Flag])))*100, 0), "%) flagged")</f>
        <v>0/60 (0%) flagged</v>
      </c>
      <c r="BH1" s="174"/>
      <c r="BI1" s="403" t="str">
        <f ca="1">_xlfn.CONCAT(COUNTIF(tblPiNAnalysis[Flagged],"Flagged"), "/", COUNTA(tblPiNAnalysis[Admin 1]), " (", ROUND((COUNTIF(tblPiNAnalysis[Flagged],"Flagged")/(COUNTA(tblPiNAnalysis[Flagged]) + COUNTBLANK(tblPiNAnalysis[Flagged])))*100, 0), "%) flagged")</f>
        <v>47/60 (64%) flagged</v>
      </c>
      <c r="BJ1" s="404"/>
      <c r="BK1" s="273">
        <f>SUBTOTAL(9,BK4:BK63)</f>
        <v>1648421.7789789471</v>
      </c>
      <c r="BL1" s="273"/>
      <c r="BM1" s="273">
        <f>SUBTOTAL(9,BM4:BM63)</f>
        <v>1145883.3894894735</v>
      </c>
      <c r="BN1" s="273">
        <f>SUBTOTAL(9,BN4:BN63)</f>
        <v>643345</v>
      </c>
      <c r="BO1"/>
      <c r="BP1"/>
      <c r="BQ1"/>
      <c r="BT1"/>
      <c r="BU1"/>
      <c r="BV1"/>
      <c r="BW1"/>
      <c r="BX1"/>
      <c r="BY1"/>
      <c r="CB1"/>
      <c r="CD1"/>
      <c r="CE1"/>
      <c r="CF1"/>
    </row>
    <row r="2" spans="1:84" ht="50.45" customHeight="1" thickTop="1" thickBot="1">
      <c r="A2" s="127"/>
      <c r="B2" s="405" t="s">
        <v>67</v>
      </c>
      <c r="C2" s="405"/>
      <c r="D2" s="405"/>
      <c r="E2" s="405"/>
      <c r="F2" s="405"/>
      <c r="G2" s="405"/>
      <c r="H2" s="297"/>
      <c r="I2" s="406" t="s">
        <v>68</v>
      </c>
      <c r="J2" s="406"/>
      <c r="K2" s="409" t="s">
        <v>69</v>
      </c>
      <c r="L2" s="409"/>
      <c r="M2" s="409"/>
      <c r="N2" s="409"/>
      <c r="O2" s="409"/>
      <c r="P2" s="409"/>
      <c r="Q2" s="409"/>
      <c r="R2" s="409"/>
      <c r="S2" s="418" t="s">
        <v>70</v>
      </c>
      <c r="T2" s="418"/>
      <c r="U2" s="418"/>
      <c r="V2" s="419"/>
      <c r="W2" s="420" t="s">
        <v>71</v>
      </c>
      <c r="X2" s="421"/>
      <c r="Y2" s="421"/>
      <c r="Z2" s="421"/>
      <c r="AA2" s="421"/>
      <c r="AB2" s="421"/>
      <c r="AC2" s="421"/>
      <c r="AD2" s="422"/>
      <c r="AE2" s="421" t="s">
        <v>72</v>
      </c>
      <c r="AF2" s="421"/>
      <c r="AG2" s="421"/>
      <c r="AH2" s="422"/>
      <c r="AI2" s="415" t="s">
        <v>73</v>
      </c>
      <c r="AJ2" s="416"/>
      <c r="AK2" s="416"/>
      <c r="AL2" s="416"/>
      <c r="AM2" s="416"/>
      <c r="AN2" s="417"/>
      <c r="AO2" s="410" t="s">
        <v>74</v>
      </c>
      <c r="AP2" s="410"/>
      <c r="AQ2" s="410"/>
      <c r="AR2" s="412" t="s">
        <v>75</v>
      </c>
      <c r="AS2" s="412"/>
      <c r="AT2" s="412"/>
      <c r="AU2" s="410" t="s">
        <v>76</v>
      </c>
      <c r="AV2" s="410"/>
      <c r="AW2" s="410"/>
      <c r="AX2" s="412" t="s">
        <v>77</v>
      </c>
      <c r="AY2" s="412"/>
      <c r="AZ2" s="412"/>
      <c r="BA2" s="425" t="s">
        <v>78</v>
      </c>
      <c r="BB2" s="426"/>
      <c r="BC2" s="426"/>
      <c r="BD2" s="427"/>
      <c r="BE2" s="423"/>
      <c r="BF2" s="424"/>
      <c r="BG2" s="411" t="s">
        <v>47</v>
      </c>
      <c r="BH2" s="411"/>
      <c r="BI2" s="413" t="s">
        <v>79</v>
      </c>
      <c r="BJ2" s="414"/>
      <c r="BK2" s="408"/>
      <c r="BL2" s="408"/>
      <c r="BM2" s="407" t="s">
        <v>80</v>
      </c>
      <c r="BN2" s="407"/>
      <c r="BO2"/>
      <c r="BP2"/>
      <c r="BQ2"/>
      <c r="BT2"/>
      <c r="BU2"/>
      <c r="BV2"/>
      <c r="BW2"/>
      <c r="BX2"/>
      <c r="BY2"/>
      <c r="CB2"/>
      <c r="CD2"/>
      <c r="CE2"/>
      <c r="CF2"/>
    </row>
    <row r="3" spans="1:84" ht="93.75" customHeight="1">
      <c r="A3" s="49" t="s">
        <v>81</v>
      </c>
      <c r="B3" s="166" t="s">
        <v>82</v>
      </c>
      <c r="C3" s="102" t="s">
        <v>83</v>
      </c>
      <c r="D3" s="48" t="s">
        <v>84</v>
      </c>
      <c r="E3" s="102" t="s">
        <v>85</v>
      </c>
      <c r="F3" s="48" t="s">
        <v>86</v>
      </c>
      <c r="G3" s="48" t="s">
        <v>87</v>
      </c>
      <c r="H3" s="48" t="s">
        <v>88</v>
      </c>
      <c r="I3" s="99" t="s">
        <v>89</v>
      </c>
      <c r="J3" s="49" t="s">
        <v>90</v>
      </c>
      <c r="K3" s="71" t="s">
        <v>91</v>
      </c>
      <c r="L3" s="79" t="s">
        <v>56</v>
      </c>
      <c r="M3" s="79" t="s">
        <v>92</v>
      </c>
      <c r="N3" s="79" t="s">
        <v>93</v>
      </c>
      <c r="O3" s="79" t="s">
        <v>94</v>
      </c>
      <c r="P3" s="79" t="s">
        <v>95</v>
      </c>
      <c r="Q3" s="79" t="s">
        <v>96</v>
      </c>
      <c r="R3" s="114" t="s">
        <v>97</v>
      </c>
      <c r="S3" s="144" t="s">
        <v>98</v>
      </c>
      <c r="T3" s="144" t="s">
        <v>99</v>
      </c>
      <c r="U3" s="144" t="s">
        <v>100</v>
      </c>
      <c r="V3" s="170" t="s">
        <v>101</v>
      </c>
      <c r="W3" s="171" t="s">
        <v>102</v>
      </c>
      <c r="X3" s="172" t="s">
        <v>103</v>
      </c>
      <c r="Y3" s="172" t="s">
        <v>104</v>
      </c>
      <c r="Z3" s="62" t="s">
        <v>105</v>
      </c>
      <c r="AA3" s="62" t="s">
        <v>106</v>
      </c>
      <c r="AB3" s="62" t="s">
        <v>107</v>
      </c>
      <c r="AC3" s="62" t="s">
        <v>108</v>
      </c>
      <c r="AD3" s="63" t="s">
        <v>109</v>
      </c>
      <c r="AE3" s="144" t="s">
        <v>110</v>
      </c>
      <c r="AF3" s="144" t="s">
        <v>111</v>
      </c>
      <c r="AG3" s="144" t="s">
        <v>112</v>
      </c>
      <c r="AH3" s="145" t="s">
        <v>113</v>
      </c>
      <c r="AI3" s="50" t="s">
        <v>114</v>
      </c>
      <c r="AJ3" s="51" t="s">
        <v>115</v>
      </c>
      <c r="AK3" s="51" t="s">
        <v>116</v>
      </c>
      <c r="AL3" s="52" t="s">
        <v>117</v>
      </c>
      <c r="AM3" s="52" t="s">
        <v>118</v>
      </c>
      <c r="AN3" s="52" t="s">
        <v>119</v>
      </c>
      <c r="AO3" s="173" t="s">
        <v>120</v>
      </c>
      <c r="AP3" s="54" t="s">
        <v>121</v>
      </c>
      <c r="AQ3" s="216" t="s">
        <v>122</v>
      </c>
      <c r="AR3" s="55" t="s">
        <v>123</v>
      </c>
      <c r="AS3" s="56" t="s">
        <v>124</v>
      </c>
      <c r="AT3" s="57" t="s">
        <v>125</v>
      </c>
      <c r="AU3" s="107" t="s">
        <v>126</v>
      </c>
      <c r="AV3" s="106" t="s">
        <v>127</v>
      </c>
      <c r="AW3" s="106" t="s">
        <v>128</v>
      </c>
      <c r="AX3" s="55" t="s">
        <v>129</v>
      </c>
      <c r="AY3" s="56" t="s">
        <v>130</v>
      </c>
      <c r="AZ3" s="57" t="s">
        <v>131</v>
      </c>
      <c r="BA3" s="55" t="s">
        <v>132</v>
      </c>
      <c r="BB3" s="163" t="s">
        <v>133</v>
      </c>
      <c r="BC3" s="55" t="s">
        <v>134</v>
      </c>
      <c r="BD3" s="162" t="s">
        <v>135</v>
      </c>
      <c r="BE3" s="296" t="s">
        <v>136</v>
      </c>
      <c r="BF3" s="82" t="s">
        <v>137</v>
      </c>
      <c r="BG3" s="60" t="s">
        <v>47</v>
      </c>
      <c r="BH3" s="53" t="s">
        <v>138</v>
      </c>
      <c r="BI3" s="115" t="s">
        <v>139</v>
      </c>
      <c r="BJ3" s="271" t="s">
        <v>140</v>
      </c>
      <c r="BK3" s="274" t="s">
        <v>141</v>
      </c>
      <c r="BL3" s="275" t="s">
        <v>142</v>
      </c>
      <c r="BM3" s="388" t="s">
        <v>143</v>
      </c>
      <c r="BN3" s="388" t="s">
        <v>144</v>
      </c>
      <c r="BO3"/>
      <c r="BP3"/>
      <c r="BQ3"/>
      <c r="BT3"/>
      <c r="BU3"/>
      <c r="BV3"/>
      <c r="BW3"/>
      <c r="BX3"/>
      <c r="BY3"/>
      <c r="CB3"/>
      <c r="CD3"/>
      <c r="CE3"/>
      <c r="CF3"/>
    </row>
    <row r="4" spans="1:84" s="239" customFormat="1" ht="24.95" customHeight="1" thickTop="1">
      <c r="A4" s="227" t="s">
        <v>145</v>
      </c>
      <c r="B4" s="219" t="s">
        <v>146</v>
      </c>
      <c r="C4" s="213" t="s">
        <v>147</v>
      </c>
      <c r="D4" s="355" t="s">
        <v>148</v>
      </c>
      <c r="E4" s="250" t="s">
        <v>145</v>
      </c>
      <c r="F4" s="98"/>
      <c r="G4" s="33"/>
      <c r="H4" s="33"/>
      <c r="I4" s="95">
        <v>40848</v>
      </c>
      <c r="J4" s="221" t="s">
        <v>149</v>
      </c>
      <c r="K4" s="390">
        <v>40848</v>
      </c>
      <c r="L4" s="214">
        <v>2711</v>
      </c>
      <c r="M4" s="214">
        <v>3790</v>
      </c>
      <c r="N4" s="214">
        <v>22467</v>
      </c>
      <c r="O4" s="214">
        <v>236.54359336392511</v>
      </c>
      <c r="P4" s="214">
        <v>7750</v>
      </c>
      <c r="Q4" s="224">
        <v>32707</v>
      </c>
      <c r="R4" s="214">
        <v>33278</v>
      </c>
      <c r="S4" s="32">
        <v>7750</v>
      </c>
      <c r="T4" s="32">
        <v>4572</v>
      </c>
      <c r="U4" s="32">
        <v>7141</v>
      </c>
      <c r="V4" s="214">
        <v>7750</v>
      </c>
      <c r="W4" s="251">
        <f>IFERROR(IF(tblPiNAnalysis[[#This Row],[CCCM]]="", "", MROUND(tblPiNAnalysis[[#This Row],[CCCM]]/tblPiNAnalysis[[#This Row],[Population]], 0.05)), "")</f>
        <v>1</v>
      </c>
      <c r="X4" s="252">
        <f>IFERROR(IF(tblPiNAnalysis[[#This Row],[Education]]="", "", MROUND(tblPiNAnalysis[[#This Row],[Education]]/tblPiNAnalysis[[#This Row],[Population]], 0.05)), "")</f>
        <v>0.05</v>
      </c>
      <c r="Y4" s="252">
        <f>IFERROR(IF(tblPiNAnalysis[[#This Row],[Nutrition]]="", "", MROUND(tblPiNAnalysis[[#This Row],[Nutrition]]/tblPiNAnalysis[[#This Row],[Population]], 0.05)), "")</f>
        <v>0.1</v>
      </c>
      <c r="Z4" s="252">
        <f>IFERROR(IF(tblPiNAnalysis[[#This Row],[Food Security]]="", "", MROUND(tblPiNAnalysis[[#This Row],[Food Security]]/tblPiNAnalysis[[#This Row],[Population]], 0.05)), "")</f>
        <v>0.55000000000000004</v>
      </c>
      <c r="AA4" s="252">
        <f>IFERROR(IF(tblPiNAnalysis[[#This Row],[Health]]="", "", MROUND(tblPiNAnalysis[[#This Row],[Health]]/tblPiNAnalysis[[#This Row],[Population]], 0.05)), "")</f>
        <v>0</v>
      </c>
      <c r="AB4" s="253">
        <f>IFERROR(IF(tblPiNAnalysis[[#This Row],[Overarching Protection]]="", "", MROUND(tblPiNAnalysis[[#This Row],[Overarching Protection]]/tblPiNAnalysis[[#This Row],[Population]], 0.05)), "")</f>
        <v>0.2</v>
      </c>
      <c r="AC4" s="253">
        <f>IFERROR(IF(tblPiNAnalysis[[#This Row],[Shelter]]="", "", MROUND(tblPiNAnalysis[[#This Row],[Shelter]]/tblPiNAnalysis[[#This Row],[Population]], 0.05)), "")</f>
        <v>0.8</v>
      </c>
      <c r="AD4" s="254">
        <f>IFERROR(IF(tblPiNAnalysis[[#This Row],[WASH]]="", "", MROUND(tblPiNAnalysis[[#This Row],[WASH]]/tblPiNAnalysis[[#This Row],[Population]], 0.05)), "")</f>
        <v>0.8</v>
      </c>
      <c r="AE4" s="252">
        <f>IFERROR(MROUND(tblPiNAnalysis[[#This Row],[CP]]/tblPiNAnalysis[[#This Row],[Population]], 0.05), "")</f>
        <v>0.2</v>
      </c>
      <c r="AF4" s="252">
        <f>IFERROR(MROUND(tblPiNAnalysis[[#This Row],[GBV]]/tblPiNAnalysis[[#This Row],[Population]], 0.05), "")</f>
        <v>0.1</v>
      </c>
      <c r="AG4" s="252">
        <f>IFERROR(MROUND(tblPiNAnalysis[[#This Row],[GP]]/tblPiNAnalysis[[#This Row],[Population]], 0.05), "")</f>
        <v>0.15000000000000002</v>
      </c>
      <c r="AH4" s="252">
        <f>IFERROR(MROUND(tblPiNAnalysis[[#This Row],[HLP]]/tblPiNAnalysis[[#This Row],[Population]], 0.05), "")</f>
        <v>0.2</v>
      </c>
      <c r="AI4" s="255">
        <f>IFERROR(LARGE(tblPiNAnalysis[[#This Row],[CCCM]:[WASH]], 1), "")</f>
        <v>40848</v>
      </c>
      <c r="AJ4" s="256" t="str" cm="1">
        <f t="array" ref="AJ4">IF(tblPiNAnalysis[[#This Row],[Highest PiN]]="", "", _xlfn.TEXTJOIN(CHAR(10), TRUE, IF(tblPiNAnalysis[[#This Row],[Highest PiN]]=tblPiNAnalysis[[#This Row],[CCCM]:[WASH]], tblPiNAnalysis[[#Headers],[CCCM]:[WASH]], "")))</f>
        <v>CCCM</v>
      </c>
      <c r="AK4" s="257">
        <f>IF(tblPiNAnalysis[[#This Row],[Highest PiN]]="", "", tblPiNAnalysis[[#This Row],[Highest PiN]]/tblPiNAnalysis[[#This Row],[Population]])</f>
        <v>1</v>
      </c>
      <c r="AL4" s="258" t="str">
        <f>IF(SUM(tblPiNAnalysis[[#This Row],[CCCM]:[WASH]])=0, "",IF(COUNTIF(tblPiNAnalysis[[#This Row],[CCCM]:[WASH]],"=0")+COUNTIF(tblPiNAnalysis[[#This Row],[CCCM]:[WASH]],"")&gt;=zero_pin_thresh, "Flagged", ""))</f>
        <v/>
      </c>
      <c r="AM4" s="257" t="str">
        <f>IFERROR(IF(tblPiNAnalysis[[#This Row],[Highest PiN]]="", "", IF(tblPiNAnalysis[[#This Row],[Highest sector(s'') PiN %]]&gt;=flag_pin_perc, "Flagged", "")), "")</f>
        <v>Flagged</v>
      </c>
      <c r="AN4" s="259" t="str" cm="1">
        <f t="array" ref="AN4">IF(tblPiNAnalysis[[#This Row],[Highest PiN]]=0, "",  IF(OR(COUNTIF(tblPiNAnalysis[[#This Row],[Highest sector(s)]],tblSubSectorPopulation[Sector])), "Flagged", ""))</f>
        <v/>
      </c>
      <c r="AO4" s="260" cm="1">
        <f t="array" ref="AO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33278</v>
      </c>
      <c r="AP4" s="261" t="str" cm="1">
        <f t="array" ref="AP4">IF(tblPiNAnalysis[[#This Row],[2nd Highest PiN]]="", "", _xlfn.TEXTJOIN(CHAR(10), TRUE, IF(tblPiNAnalysis[[#This Row],[2nd Highest PiN]]=tblPiNAnalysis[[#This Row],[CCCM]:[WASH]], tblPiNAnalysis[[#Headers],[CCCM]:[WASH]], "")))</f>
        <v>WASH</v>
      </c>
      <c r="AQ4" s="37">
        <f>IFERROR(tblPiNAnalysis[[#This Row],[2nd Highest PiN]]/tblPiNAnalysis[[#This Row],[Population]], "")</f>
        <v>0.81467880924402658</v>
      </c>
      <c r="AR4" s="46">
        <f>IFERROR(tblPiNAnalysis[[#This Row],[Highest PiN]]-tblPiNAnalysis[[#This Row],[2nd Highest PiN]], "")</f>
        <v>7570</v>
      </c>
      <c r="AS4" s="38">
        <f>IFERROR(((tblPiNAnalysis[[#This Row],[Highest PiN]]-tblPiNAnalysis[[#This Row],[2nd Highest PiN]])/tblPiNAnalysis[[#This Row],[2nd Highest PiN]]),"")</f>
        <v>0.22747761283730994</v>
      </c>
      <c r="AT4" s="262" t="str" cm="1">
        <f t="array" ref="AT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 s="263" cm="1">
        <f t="array" ref="AU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32707</v>
      </c>
      <c r="AV4" s="264" t="str" cm="1">
        <f t="array" ref="AV4">IF(tblPiNAnalysis[[#This Row],[3rd Highest PiN]]="", "", _xlfn.TEXTJOIN(CHAR(10), TRUE, IF(tblPiNAnalysis[[#This Row],[3rd Highest PiN]]=tblPiNAnalysis[[#This Row],[CCCM]:[WASH]], tblPiNAnalysis[[#Headers],[CCCM]:[WASH]], "")))</f>
        <v>Shelter</v>
      </c>
      <c r="AW4" s="186">
        <f>IFERROR(tblPiNAnalysis[[#This Row],[3rd Highest PiN]]/tblPiNAnalysis[[#This Row],[Population]], "")</f>
        <v>0.80070015667841754</v>
      </c>
      <c r="AX4" s="46">
        <f>IFERROR(tblPiNAnalysis[[#This Row],[Highest PiN]]-tblPiNAnalysis[[#This Row],[3rd Highest PiN]],"")</f>
        <v>8141</v>
      </c>
      <c r="AY4" s="38">
        <f>IFERROR(tblPiNAnalysis[[#This Row],[Difference of PiN between Highest and 3rd Highest]]/tblPiNAnalysis[[#This Row],[3rd Highest PiN]], "")</f>
        <v>0.24890696181245606</v>
      </c>
      <c r="AZ4" s="259" t="str" cm="1">
        <f t="array" ref="AZ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 s="288" cm="1">
        <f t="array" ref="BA4">IFERROR(IF(tblPiNAnalysis[[#This Row],[ID]]="", "", INDEX(tblPiNHistorical[[CCCM]:[WASH]], MATCH(tblPiNAnalysis[[#This Row],[ID]],tblPiNHistorical[ID], 0),MATCH(_xlfn._xlws.FILTER(tblPiNAnalysis[[#Headers],[CCCM]:[WASH]], tblPiNAnalysis[[#This Row],[Highest PiN]]=tblPiNAnalysis[[#This Row],[CCCM]:[WASH]]), tblPiNHistorical[[#Headers],[CCCM]:[WASH]], 0))), "")</f>
        <v>0.3</v>
      </c>
      <c r="BB4" s="265" t="str" cm="1">
        <f t="array" ref="BB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 s="265" cm="1">
        <f t="array" ref="BC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4" s="266" t="str" cm="1">
        <f t="array" ref="BD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 s="356">
        <f>INDEX(tblSeverityAnalysis[Final Severity], MATCH(tblPiNAnalysis[[#This Row],[ID]],tblSeverityAnalysis[ID], 0))</f>
        <v>3</v>
      </c>
      <c r="BF4" s="215">
        <f>IF(tblPiNAnalysis[[#This Row],[Severity]]&gt;2,tblPiNAnalysis[[#This Row],[Highest PiN]],)</f>
        <v>40848</v>
      </c>
      <c r="BG4" s="187"/>
      <c r="BH4" s="188"/>
      <c r="BI4" s="189">
        <f>COUNTIFS(tblPiNAnalysis[[#This Row],[Number of missing / zero PiNs greater than threshold - Data quality]:[Manual Flag]],"Flagged")</f>
        <v>1</v>
      </c>
      <c r="BJ4" s="272" t="str">
        <f>IF(tblPiNAnalysis[[#This Row],['# Flags]]&gt;0, "Flagged", "")</f>
        <v>Flagged</v>
      </c>
      <c r="BK4" s="256">
        <f>tblPiNAnalysis[[#This Row],[Preliminary PiN]]</f>
        <v>40848</v>
      </c>
      <c r="BL4" s="261"/>
      <c r="BM4" s="256">
        <f>IFERROR(IF(tblPiNAnalysis[[#This Row],[Severity]]=3,tblPiNAnalysis[[#This Row],[Final PiN]]*Thresholds!$D$35,tblPiNAnalysis[[#This Row],[Final PiN]]*Thresholds!$D$36),)</f>
        <v>20424</v>
      </c>
      <c r="BN4" s="256">
        <f>IFERROR(IF(tblPiNAnalysis[[#This Row],[Severity]]&gt;3,tblPiNAnalysis[[#This Row],[Final PiN]]*Thresholds!$D$36,),)</f>
        <v>0</v>
      </c>
      <c r="BO4" s="267"/>
      <c r="BP4" s="267"/>
      <c r="BQ4" s="267"/>
      <c r="BT4" s="268"/>
      <c r="BU4" s="267"/>
      <c r="BV4" s="267"/>
      <c r="BW4" s="267"/>
      <c r="BX4" s="267"/>
      <c r="BY4" s="267"/>
      <c r="CB4" s="267"/>
      <c r="CD4" s="269"/>
      <c r="CE4" s="270"/>
      <c r="CF4" s="267"/>
    </row>
    <row r="5" spans="1:84" s="239" customFormat="1" ht="24.95" customHeight="1">
      <c r="A5" s="227" t="s">
        <v>150</v>
      </c>
      <c r="B5" s="219" t="s">
        <v>146</v>
      </c>
      <c r="C5" s="213" t="s">
        <v>147</v>
      </c>
      <c r="D5" s="355" t="s">
        <v>151</v>
      </c>
      <c r="E5" s="250" t="s">
        <v>150</v>
      </c>
      <c r="F5" s="98"/>
      <c r="G5" s="33"/>
      <c r="H5" s="33"/>
      <c r="I5" s="95">
        <v>9822</v>
      </c>
      <c r="J5" s="221" t="s">
        <v>149</v>
      </c>
      <c r="K5" s="390">
        <v>9822</v>
      </c>
      <c r="L5" s="214">
        <v>583</v>
      </c>
      <c r="M5" s="214">
        <v>1033</v>
      </c>
      <c r="N5" s="214">
        <v>9822</v>
      </c>
      <c r="O5" s="214"/>
      <c r="P5" s="214">
        <v>2000</v>
      </c>
      <c r="Q5" s="224">
        <v>5467</v>
      </c>
      <c r="R5" s="214">
        <v>4844</v>
      </c>
      <c r="S5" s="32">
        <v>1862</v>
      </c>
      <c r="T5" s="32">
        <v>1098</v>
      </c>
      <c r="U5" s="32">
        <v>2000</v>
      </c>
      <c r="V5" s="214">
        <v>1862</v>
      </c>
      <c r="W5" s="251">
        <f>IFERROR(IF(tblPiNAnalysis[[#This Row],[CCCM]]="", "", MROUND(tblPiNAnalysis[[#This Row],[CCCM]]/tblPiNAnalysis[[#This Row],[Population]], 0.05)), "")</f>
        <v>1</v>
      </c>
      <c r="X5" s="252">
        <f>IFERROR(IF(tblPiNAnalysis[[#This Row],[Education]]="", "", MROUND(tblPiNAnalysis[[#This Row],[Education]]/tblPiNAnalysis[[#This Row],[Population]], 0.05)), "")</f>
        <v>0.05</v>
      </c>
      <c r="Y5" s="252">
        <f>IFERROR(IF(tblPiNAnalysis[[#This Row],[Nutrition]]="", "", MROUND(tblPiNAnalysis[[#This Row],[Nutrition]]/tblPiNAnalysis[[#This Row],[Population]], 0.05)), "")</f>
        <v>0.1</v>
      </c>
      <c r="Z5" s="252">
        <f>IFERROR(IF(tblPiNAnalysis[[#This Row],[Food Security]]="", "", MROUND(tblPiNAnalysis[[#This Row],[Food Security]]/tblPiNAnalysis[[#This Row],[Population]], 0.05)), "")</f>
        <v>1</v>
      </c>
      <c r="AA5" s="252" t="str">
        <f>IFERROR(IF(tblPiNAnalysis[[#This Row],[Health]]="", "", MROUND(tblPiNAnalysis[[#This Row],[Health]]/tblPiNAnalysis[[#This Row],[Population]], 0.05)), "")</f>
        <v/>
      </c>
      <c r="AB5" s="253">
        <f>IFERROR(IF(tblPiNAnalysis[[#This Row],[Overarching Protection]]="", "", MROUND(tblPiNAnalysis[[#This Row],[Overarching Protection]]/tblPiNAnalysis[[#This Row],[Population]], 0.05)), "")</f>
        <v>0.2</v>
      </c>
      <c r="AC5" s="253">
        <f>IFERROR(IF(tblPiNAnalysis[[#This Row],[Shelter]]="", "", MROUND(tblPiNAnalysis[[#This Row],[Shelter]]/tblPiNAnalysis[[#This Row],[Population]], 0.05)), "")</f>
        <v>0.55000000000000004</v>
      </c>
      <c r="AD5" s="254">
        <f>IFERROR(IF(tblPiNAnalysis[[#This Row],[WASH]]="", "", MROUND(tblPiNAnalysis[[#This Row],[WASH]]/tblPiNAnalysis[[#This Row],[Population]], 0.05)), "")</f>
        <v>0.5</v>
      </c>
      <c r="AE5" s="252">
        <f>IFERROR(MROUND(tblPiNAnalysis[[#This Row],[CP]]/tblPiNAnalysis[[#This Row],[Population]], 0.05), "")</f>
        <v>0.2</v>
      </c>
      <c r="AF5" s="252">
        <f>IFERROR(MROUND(tblPiNAnalysis[[#This Row],[GBV]]/tblPiNAnalysis[[#This Row],[Population]], 0.05), "")</f>
        <v>0.1</v>
      </c>
      <c r="AG5" s="252">
        <f>IFERROR(MROUND(tblPiNAnalysis[[#This Row],[GP]]/tblPiNAnalysis[[#This Row],[Population]], 0.05), "")</f>
        <v>0.2</v>
      </c>
      <c r="AH5" s="252">
        <f>IFERROR(MROUND(tblPiNAnalysis[[#This Row],[HLP]]/tblPiNAnalysis[[#This Row],[Population]], 0.05), "")</f>
        <v>0.2</v>
      </c>
      <c r="AI5" s="255">
        <f>IFERROR(LARGE(tblPiNAnalysis[[#This Row],[CCCM]:[WASH]], 1), "")</f>
        <v>9822</v>
      </c>
      <c r="AJ5" s="256" t="str" cm="1">
        <f t="array" ref="AJ5">IF(tblPiNAnalysis[[#This Row],[Highest PiN]]="", "", _xlfn.TEXTJOIN(CHAR(10), TRUE, IF(tblPiNAnalysis[[#This Row],[Highest PiN]]=tblPiNAnalysis[[#This Row],[CCCM]:[WASH]], tblPiNAnalysis[[#Headers],[CCCM]:[WASH]], "")))</f>
        <v>CCCM
Food Security</v>
      </c>
      <c r="AK5" s="257">
        <f>IF(tblPiNAnalysis[[#This Row],[Highest PiN]]="", "", tblPiNAnalysis[[#This Row],[Highest PiN]]/tblPiNAnalysis[[#This Row],[Population]])</f>
        <v>1</v>
      </c>
      <c r="AL5" s="258" t="str">
        <f>IF(SUM(tblPiNAnalysis[[#This Row],[CCCM]:[WASH]])=0, "",IF(COUNTIF(tblPiNAnalysis[[#This Row],[CCCM]:[WASH]],"=0")+COUNTIF(tblPiNAnalysis[[#This Row],[CCCM]:[WASH]],"")&gt;=zero_pin_thresh, "Flagged", ""))</f>
        <v/>
      </c>
      <c r="AM5" s="257" t="str">
        <f>IFERROR(IF(tblPiNAnalysis[[#This Row],[Highest PiN]]="", "", IF(tblPiNAnalysis[[#This Row],[Highest sector(s'') PiN %]]&gt;=flag_pin_perc, "Flagged", "")), "")</f>
        <v>Flagged</v>
      </c>
      <c r="AN5" s="259" t="str" cm="1">
        <f t="array" ref="AN5">IF(tblPiNAnalysis[[#This Row],[Highest PiN]]=0, "",  IF(OR(COUNTIF(tblPiNAnalysis[[#This Row],[Highest sector(s)]],tblSubSectorPopulation[Sector])), "Flagged", ""))</f>
        <v/>
      </c>
      <c r="AO5" s="260" cm="1">
        <f t="array" ref="AO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5467</v>
      </c>
      <c r="AP5" s="261" t="str" cm="1">
        <f t="array" ref="AP5">IF(tblPiNAnalysis[[#This Row],[2nd Highest PiN]]="", "", _xlfn.TEXTJOIN(CHAR(10), TRUE, IF(tblPiNAnalysis[[#This Row],[2nd Highest PiN]]=tblPiNAnalysis[[#This Row],[CCCM]:[WASH]], tblPiNAnalysis[[#Headers],[CCCM]:[WASH]], "")))</f>
        <v>Shelter</v>
      </c>
      <c r="AQ5" s="37">
        <f>IFERROR(tblPiNAnalysis[[#This Row],[2nd Highest PiN]]/tblPiNAnalysis[[#This Row],[Population]], "")</f>
        <v>0.55660761555691307</v>
      </c>
      <c r="AR5" s="46">
        <f>IFERROR(tblPiNAnalysis[[#This Row],[Highest PiN]]-tblPiNAnalysis[[#This Row],[2nd Highest PiN]], "")</f>
        <v>4355</v>
      </c>
      <c r="AS5" s="38">
        <f>IFERROR(((tblPiNAnalysis[[#This Row],[Highest PiN]]-tblPiNAnalysis[[#This Row],[2nd Highest PiN]])/tblPiNAnalysis[[#This Row],[2nd Highest PiN]]),"")</f>
        <v>0.79659776842875429</v>
      </c>
      <c r="AT5" s="262" t="str" cm="1">
        <f t="array" ref="AT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 s="263" cm="1">
        <f t="array" ref="AU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4844</v>
      </c>
      <c r="AV5" s="264" t="str" cm="1">
        <f t="array" ref="AV5">IF(tblPiNAnalysis[[#This Row],[3rd Highest PiN]]="", "", _xlfn.TEXTJOIN(CHAR(10), TRUE, IF(tblPiNAnalysis[[#This Row],[3rd Highest PiN]]=tblPiNAnalysis[[#This Row],[CCCM]:[WASH]], tblPiNAnalysis[[#Headers],[CCCM]:[WASH]], "")))</f>
        <v>WASH</v>
      </c>
      <c r="AW5" s="186">
        <f>IFERROR(tblPiNAnalysis[[#This Row],[3rd Highest PiN]]/tblPiNAnalysis[[#This Row],[Population]], "")</f>
        <v>0.49317857870087556</v>
      </c>
      <c r="AX5" s="45">
        <f>IFERROR(tblPiNAnalysis[[#This Row],[Highest PiN]]-tblPiNAnalysis[[#This Row],[3rd Highest PiN]],"")</f>
        <v>4978</v>
      </c>
      <c r="AY5" s="38">
        <f>IFERROR(tblPiNAnalysis[[#This Row],[Difference of PiN between Highest and 3rd Highest]]/tblPiNAnalysis[[#This Row],[3rd Highest PiN]], "")</f>
        <v>1.0276630883567299</v>
      </c>
      <c r="AZ5" s="259" t="str" cm="1">
        <f t="array" ref="AZ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 s="288" t="e" cm="1" vm="1">
        <f t="array" aca="1" ref="BA5"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5" s="265" t="str" cm="1">
        <f t="array" ref="BB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 s="265" t="str" cm="1">
        <f t="array" ref="BC5">IFERROR(IF(tblPiNAnalysis[[#This Row],[ID]]="", "", INDEX(tblPiNHistorical[[CCCM]:[WASH]], MATCH(tblPiNAnalysis[[#This Row],[ID]],tblPiNHistorical[ID], 0),MATCH(_xlfn._xlws.FILTER(tblPiNAnalysis[[#Headers],[CCCM]:[WASH]], tblPiNAnalysis[[#This Row],[2nd Highest PiN]]=tblPiNAnalysis[[#This Row],[CCCM]:[WASH]]), tblPiNHistorical[[#Headers],[CCCM]:[WASH]], 0))), "")</f>
        <v/>
      </c>
      <c r="BD5" s="266" t="str" cm="1">
        <f t="array" ref="BD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 s="356">
        <f>INDEX(tblSeverityAnalysis[Final Severity], MATCH(tblPiNAnalysis[[#This Row],[ID]],tblSeverityAnalysis[ID], 0))</f>
        <v>3</v>
      </c>
      <c r="BF5" s="59">
        <f>IF(tblPiNAnalysis[[#This Row],[Severity]]&gt;2,tblPiNAnalysis[[#This Row],[Highest PiN]],)</f>
        <v>9822</v>
      </c>
      <c r="BG5" s="187"/>
      <c r="BH5" s="188"/>
      <c r="BI5" s="189">
        <f ca="1">COUNTIFS(tblPiNAnalysis[[#This Row],[Number of missing / zero PiNs greater than threshold - Data quality]:[Manual Flag]],"Flagged")</f>
        <v>1</v>
      </c>
      <c r="BJ5" s="272" t="str">
        <f ca="1">IF(tblPiNAnalysis[[#This Row],['# Flags]]&gt;0, "Flagged", "")</f>
        <v>Flagged</v>
      </c>
      <c r="BK5" s="256">
        <f>tblPiNAnalysis[[#This Row],[Preliminary PiN]]</f>
        <v>9822</v>
      </c>
      <c r="BL5" s="261"/>
      <c r="BM5" s="256">
        <f>IFERROR(IF(tblPiNAnalysis[[#This Row],[Severity]]=3,tblPiNAnalysis[[#This Row],[Final PiN]]*Thresholds!$D$35,tblPiNAnalysis[[#This Row],[Final PiN]]*Thresholds!$D$36),)</f>
        <v>4911</v>
      </c>
      <c r="BN5" s="256">
        <f>IFERROR(IF(tblPiNAnalysis[[#This Row],[Severity]]&gt;3,tblPiNAnalysis[[#This Row],[Final PiN]]*Thresholds!$D$36,),)</f>
        <v>0</v>
      </c>
      <c r="BO5" s="267"/>
      <c r="BP5" s="267"/>
      <c r="BQ5" s="267"/>
      <c r="BT5" s="268"/>
      <c r="BU5" s="267"/>
      <c r="BV5" s="267"/>
      <c r="BW5" s="267"/>
      <c r="BX5" s="267"/>
      <c r="BY5" s="267"/>
      <c r="CB5" s="267"/>
      <c r="CD5" s="269"/>
      <c r="CE5" s="270"/>
      <c r="CF5" s="267"/>
    </row>
    <row r="6" spans="1:84" s="239" customFormat="1" ht="24.95" customHeight="1">
      <c r="A6" s="227" t="s">
        <v>152</v>
      </c>
      <c r="B6" s="219" t="s">
        <v>146</v>
      </c>
      <c r="C6" s="213" t="s">
        <v>147</v>
      </c>
      <c r="D6" s="355" t="s">
        <v>153</v>
      </c>
      <c r="E6" s="103" t="s">
        <v>152</v>
      </c>
      <c r="F6" s="98"/>
      <c r="G6" s="33"/>
      <c r="H6" s="33"/>
      <c r="I6" s="95">
        <v>22052</v>
      </c>
      <c r="J6" s="221" t="s">
        <v>149</v>
      </c>
      <c r="K6" s="390">
        <v>22052</v>
      </c>
      <c r="L6" s="214">
        <v>2555</v>
      </c>
      <c r="M6" s="214">
        <v>2276</v>
      </c>
      <c r="N6" s="214">
        <v>22052</v>
      </c>
      <c r="O6" s="214">
        <v>71.451173590885858</v>
      </c>
      <c r="P6" s="214">
        <v>4410</v>
      </c>
      <c r="Q6" s="224">
        <v>15319</v>
      </c>
      <c r="R6" s="214">
        <v>20032</v>
      </c>
      <c r="S6" s="32">
        <v>4410</v>
      </c>
      <c r="T6" s="32">
        <v>2601</v>
      </c>
      <c r="U6" s="32">
        <v>84</v>
      </c>
      <c r="V6" s="214">
        <v>4410</v>
      </c>
      <c r="W6" s="251">
        <f>IFERROR(IF(tblPiNAnalysis[[#This Row],[CCCM]]="", "", MROUND(tblPiNAnalysis[[#This Row],[CCCM]]/tblPiNAnalysis[[#This Row],[Population]], 0.05)), "")</f>
        <v>1</v>
      </c>
      <c r="X6" s="252">
        <f>IFERROR(IF(tblPiNAnalysis[[#This Row],[Education]]="", "", MROUND(tblPiNAnalysis[[#This Row],[Education]]/tblPiNAnalysis[[#This Row],[Population]], 0.05)), "")</f>
        <v>0.1</v>
      </c>
      <c r="Y6" s="252">
        <f>IFERROR(IF(tblPiNAnalysis[[#This Row],[Nutrition]]="", "", MROUND(tblPiNAnalysis[[#This Row],[Nutrition]]/tblPiNAnalysis[[#This Row],[Population]], 0.05)), "")</f>
        <v>0.1</v>
      </c>
      <c r="Z6" s="252">
        <f>IFERROR(IF(tblPiNAnalysis[[#This Row],[Food Security]]="", "", MROUND(tblPiNAnalysis[[#This Row],[Food Security]]/tblPiNAnalysis[[#This Row],[Population]], 0.05)), "")</f>
        <v>1</v>
      </c>
      <c r="AA6" s="252">
        <f>IFERROR(IF(tblPiNAnalysis[[#This Row],[Health]]="", "", MROUND(tblPiNAnalysis[[#This Row],[Health]]/tblPiNAnalysis[[#This Row],[Population]], 0.05)), "")</f>
        <v>0</v>
      </c>
      <c r="AB6" s="253">
        <f>IFERROR(IF(tblPiNAnalysis[[#This Row],[Overarching Protection]]="", "", MROUND(tblPiNAnalysis[[#This Row],[Overarching Protection]]/tblPiNAnalysis[[#This Row],[Population]], 0.05)), "")</f>
        <v>0.2</v>
      </c>
      <c r="AC6" s="253">
        <f>IFERROR(IF(tblPiNAnalysis[[#This Row],[Shelter]]="", "", MROUND(tblPiNAnalysis[[#This Row],[Shelter]]/tblPiNAnalysis[[#This Row],[Population]], 0.05)), "")</f>
        <v>0.70000000000000007</v>
      </c>
      <c r="AD6" s="254">
        <f>IFERROR(IF(tblPiNAnalysis[[#This Row],[WASH]]="", "", MROUND(tblPiNAnalysis[[#This Row],[WASH]]/tblPiNAnalysis[[#This Row],[Population]], 0.05)), "")</f>
        <v>0.9</v>
      </c>
      <c r="AE6" s="252">
        <f>IFERROR(MROUND(tblPiNAnalysis[[#This Row],[CP]]/tblPiNAnalysis[[#This Row],[Population]], 0.05), "")</f>
        <v>0.2</v>
      </c>
      <c r="AF6" s="252">
        <f>IFERROR(MROUND(tblPiNAnalysis[[#This Row],[GBV]]/tblPiNAnalysis[[#This Row],[Population]], 0.05), "")</f>
        <v>0.1</v>
      </c>
      <c r="AG6" s="252">
        <f>IFERROR(MROUND(tblPiNAnalysis[[#This Row],[GP]]/tblPiNAnalysis[[#This Row],[Population]], 0.05), "")</f>
        <v>0</v>
      </c>
      <c r="AH6" s="252">
        <f>IFERROR(MROUND(tblPiNAnalysis[[#This Row],[HLP]]/tblPiNAnalysis[[#This Row],[Population]], 0.05), "")</f>
        <v>0.2</v>
      </c>
      <c r="AI6" s="255">
        <f>IFERROR(LARGE(tblPiNAnalysis[[#This Row],[CCCM]:[WASH]], 1), "")</f>
        <v>22052</v>
      </c>
      <c r="AJ6" s="256" t="str" cm="1">
        <f t="array" ref="AJ6">IF(tblPiNAnalysis[[#This Row],[Highest PiN]]="", "", _xlfn.TEXTJOIN(CHAR(10), TRUE, IF(tblPiNAnalysis[[#This Row],[Highest PiN]]=tblPiNAnalysis[[#This Row],[CCCM]:[WASH]], tblPiNAnalysis[[#Headers],[CCCM]:[WASH]], "")))</f>
        <v>CCCM
Food Security</v>
      </c>
      <c r="AK6" s="257">
        <f>IF(tblPiNAnalysis[[#This Row],[Highest PiN]]="", "", tblPiNAnalysis[[#This Row],[Highest PiN]]/tblPiNAnalysis[[#This Row],[Population]])</f>
        <v>1</v>
      </c>
      <c r="AL6" s="258" t="str">
        <f>IF(SUM(tblPiNAnalysis[[#This Row],[CCCM]:[WASH]])=0, "",IF(COUNTIF(tblPiNAnalysis[[#This Row],[CCCM]:[WASH]],"=0")+COUNTIF(tblPiNAnalysis[[#This Row],[CCCM]:[WASH]],"")&gt;=zero_pin_thresh, "Flagged", ""))</f>
        <v/>
      </c>
      <c r="AM6" s="257" t="str">
        <f>IFERROR(IF(tblPiNAnalysis[[#This Row],[Highest PiN]]="", "", IF(tblPiNAnalysis[[#This Row],[Highest sector(s'') PiN %]]&gt;=flag_pin_perc, "Flagged", "")), "")</f>
        <v>Flagged</v>
      </c>
      <c r="AN6" s="259" t="str" cm="1">
        <f t="array" ref="AN6">IF(tblPiNAnalysis[[#This Row],[Highest PiN]]=0, "",  IF(OR(COUNTIF(tblPiNAnalysis[[#This Row],[Highest sector(s)]],tblSubSectorPopulation[Sector])), "Flagged", ""))</f>
        <v/>
      </c>
      <c r="AO6" s="260" cm="1">
        <f t="array" ref="AO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20032</v>
      </c>
      <c r="AP6" s="261" t="str" cm="1">
        <f t="array" ref="AP6">IF(tblPiNAnalysis[[#This Row],[2nd Highest PiN]]="", "", _xlfn.TEXTJOIN(CHAR(10), TRUE, IF(tblPiNAnalysis[[#This Row],[2nd Highest PiN]]=tblPiNAnalysis[[#This Row],[CCCM]:[WASH]], tblPiNAnalysis[[#Headers],[CCCM]:[WASH]], "")))</f>
        <v>WASH</v>
      </c>
      <c r="AQ6" s="37">
        <f>IFERROR(tblPiNAnalysis[[#This Row],[2nd Highest PiN]]/tblPiNAnalysis[[#This Row],[Population]], "")</f>
        <v>0.90839833121712321</v>
      </c>
      <c r="AR6" s="46">
        <f>IFERROR(tblPiNAnalysis[[#This Row],[Highest PiN]]-tblPiNAnalysis[[#This Row],[2nd Highest PiN]], "")</f>
        <v>2020</v>
      </c>
      <c r="AS6" s="38">
        <f>IFERROR(((tblPiNAnalysis[[#This Row],[Highest PiN]]-tblPiNAnalysis[[#This Row],[2nd Highest PiN]])/tblPiNAnalysis[[#This Row],[2nd Highest PiN]]),"")</f>
        <v>0.10083865814696485</v>
      </c>
      <c r="AT6" s="262" t="str" cm="1">
        <f t="array" ref="AT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 s="263" cm="1">
        <f t="array" ref="AU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15319</v>
      </c>
      <c r="AV6" s="264" t="str" cm="1">
        <f t="array" ref="AV6">IF(tblPiNAnalysis[[#This Row],[3rd Highest PiN]]="", "", _xlfn.TEXTJOIN(CHAR(10), TRUE, IF(tblPiNAnalysis[[#This Row],[3rd Highest PiN]]=tblPiNAnalysis[[#This Row],[CCCM]:[WASH]], tblPiNAnalysis[[#Headers],[CCCM]:[WASH]], "")))</f>
        <v>Shelter</v>
      </c>
      <c r="AW6" s="186">
        <f>IFERROR(tblPiNAnalysis[[#This Row],[3rd Highest PiN]]/tblPiNAnalysis[[#This Row],[Population]], "")</f>
        <v>0.69467621984400507</v>
      </c>
      <c r="AX6" s="45">
        <f>IFERROR(tblPiNAnalysis[[#This Row],[Highest PiN]]-tblPiNAnalysis[[#This Row],[3rd Highest PiN]],"")</f>
        <v>6733</v>
      </c>
      <c r="AY6" s="38">
        <f>IFERROR(tblPiNAnalysis[[#This Row],[Difference of PiN between Highest and 3rd Highest]]/tblPiNAnalysis[[#This Row],[3rd Highest PiN]], "")</f>
        <v>0.43951955088452249</v>
      </c>
      <c r="AZ6" s="259" t="str" cm="1">
        <f t="array" ref="AZ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 s="288" t="e" cm="1" vm="1">
        <f t="array" aca="1" ref="BA6"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6" s="265" t="str" cm="1">
        <f t="array" ref="BB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6" s="265" cm="1">
        <f t="array" ref="BC6">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6" s="266" t="str" cm="1">
        <f t="array" ref="BD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 s="356">
        <f>INDEX(tblSeverityAnalysis[Final Severity], MATCH(tblPiNAnalysis[[#This Row],[ID]],tblSeverityAnalysis[ID], 0))</f>
        <v>4</v>
      </c>
      <c r="BF6" s="59">
        <f>IF(tblPiNAnalysis[[#This Row],[Severity]]&gt;2,tblPiNAnalysis[[#This Row],[Highest PiN]],)</f>
        <v>22052</v>
      </c>
      <c r="BG6" s="187"/>
      <c r="BH6" s="188"/>
      <c r="BI6" s="189">
        <f ca="1">COUNTIFS(tblPiNAnalysis[[#This Row],[Number of missing / zero PiNs greater than threshold - Data quality]:[Manual Flag]],"Flagged")</f>
        <v>2</v>
      </c>
      <c r="BJ6" s="272" t="str">
        <f ca="1">IF(tblPiNAnalysis[[#This Row],['# Flags]]&gt;0, "Flagged", "")</f>
        <v>Flagged</v>
      </c>
      <c r="BK6" s="256">
        <f>tblPiNAnalysis[[#This Row],[Preliminary PiN]]</f>
        <v>22052</v>
      </c>
      <c r="BL6" s="261"/>
      <c r="BM6" s="256">
        <f>IFERROR(IF(tblPiNAnalysis[[#This Row],[Severity]]=3,tblPiNAnalysis[[#This Row],[Final PiN]]*Thresholds!$D$35,tblPiNAnalysis[[#This Row],[Final PiN]]*Thresholds!$D$36),)</f>
        <v>22052</v>
      </c>
      <c r="BN6" s="256">
        <f>IFERROR(IF(tblPiNAnalysis[[#This Row],[Severity]]&gt;3,tblPiNAnalysis[[#This Row],[Final PiN]]*Thresholds!$D$36,),)</f>
        <v>22052</v>
      </c>
      <c r="BO6" s="267"/>
      <c r="BP6" s="267"/>
      <c r="BQ6" s="267"/>
      <c r="BT6" s="268"/>
      <c r="BU6" s="267"/>
      <c r="BV6" s="267"/>
      <c r="BW6" s="267"/>
      <c r="BX6" s="267"/>
      <c r="BY6" s="267"/>
      <c r="CB6" s="267"/>
      <c r="CD6" s="269"/>
      <c r="CE6" s="270"/>
      <c r="CF6" s="267"/>
    </row>
    <row r="7" spans="1:84" s="239" customFormat="1" ht="24.95" customHeight="1">
      <c r="A7" s="227" t="s">
        <v>154</v>
      </c>
      <c r="B7" s="219" t="s">
        <v>146</v>
      </c>
      <c r="C7" s="213" t="s">
        <v>147</v>
      </c>
      <c r="D7" s="355" t="s">
        <v>155</v>
      </c>
      <c r="E7" s="103" t="s">
        <v>154</v>
      </c>
      <c r="F7" s="98"/>
      <c r="G7" s="33"/>
      <c r="H7" s="33"/>
      <c r="I7" s="95">
        <v>59691</v>
      </c>
      <c r="J7" s="221" t="s">
        <v>149</v>
      </c>
      <c r="K7" s="390">
        <v>0</v>
      </c>
      <c r="L7" s="214">
        <v>4915</v>
      </c>
      <c r="M7" s="214">
        <v>5153</v>
      </c>
      <c r="N7" s="214">
        <v>23711</v>
      </c>
      <c r="O7" s="214">
        <v>1101.6011074474636</v>
      </c>
      <c r="P7" s="214">
        <v>7754</v>
      </c>
      <c r="Q7" s="224">
        <v>45183</v>
      </c>
      <c r="R7" s="214">
        <v>43317</v>
      </c>
      <c r="S7" s="32">
        <v>0</v>
      </c>
      <c r="T7" s="32">
        <v>4574</v>
      </c>
      <c r="U7" s="32">
        <v>3731</v>
      </c>
      <c r="V7" s="214">
        <v>7754</v>
      </c>
      <c r="W7" s="251">
        <f>IFERROR(IF(tblPiNAnalysis[[#This Row],[CCCM]]="", "", MROUND(tblPiNAnalysis[[#This Row],[CCCM]]/tblPiNAnalysis[[#This Row],[Population]], 0.05)), "")</f>
        <v>0</v>
      </c>
      <c r="X7" s="252">
        <f>IFERROR(IF(tblPiNAnalysis[[#This Row],[Education]]="", "", MROUND(tblPiNAnalysis[[#This Row],[Education]]/tblPiNAnalysis[[#This Row],[Population]], 0.05)), "")</f>
        <v>0.1</v>
      </c>
      <c r="Y7" s="252">
        <f>IFERROR(IF(tblPiNAnalysis[[#This Row],[Nutrition]]="", "", MROUND(tblPiNAnalysis[[#This Row],[Nutrition]]/tblPiNAnalysis[[#This Row],[Population]], 0.05)), "")</f>
        <v>0.1</v>
      </c>
      <c r="Z7" s="252">
        <f>IFERROR(IF(tblPiNAnalysis[[#This Row],[Food Security]]="", "", MROUND(tblPiNAnalysis[[#This Row],[Food Security]]/tblPiNAnalysis[[#This Row],[Population]], 0.05)), "")</f>
        <v>0.4</v>
      </c>
      <c r="AA7" s="252">
        <f>IFERROR(IF(tblPiNAnalysis[[#This Row],[Health]]="", "", MROUND(tblPiNAnalysis[[#This Row],[Health]]/tblPiNAnalysis[[#This Row],[Population]], 0.05)), "")</f>
        <v>0</v>
      </c>
      <c r="AB7" s="253">
        <f>IFERROR(IF(tblPiNAnalysis[[#This Row],[Overarching Protection]]="", "", MROUND(tblPiNAnalysis[[#This Row],[Overarching Protection]]/tblPiNAnalysis[[#This Row],[Population]], 0.05)), "")</f>
        <v>0.15000000000000002</v>
      </c>
      <c r="AC7" s="253">
        <f>IFERROR(IF(tblPiNAnalysis[[#This Row],[Shelter]]="", "", MROUND(tblPiNAnalysis[[#This Row],[Shelter]]/tblPiNAnalysis[[#This Row],[Population]], 0.05)), "")</f>
        <v>0.75</v>
      </c>
      <c r="AD7" s="254">
        <f>IFERROR(IF(tblPiNAnalysis[[#This Row],[WASH]]="", "", MROUND(tblPiNAnalysis[[#This Row],[WASH]]/tblPiNAnalysis[[#This Row],[Population]], 0.05)), "")</f>
        <v>0.75</v>
      </c>
      <c r="AE7" s="252">
        <f>IFERROR(MROUND(tblPiNAnalysis[[#This Row],[CP]]/tblPiNAnalysis[[#This Row],[Population]], 0.05), "")</f>
        <v>0</v>
      </c>
      <c r="AF7" s="252">
        <f>IFERROR(MROUND(tblPiNAnalysis[[#This Row],[GBV]]/tblPiNAnalysis[[#This Row],[Population]], 0.05), "")</f>
        <v>0.1</v>
      </c>
      <c r="AG7" s="252">
        <f>IFERROR(MROUND(tblPiNAnalysis[[#This Row],[GP]]/tblPiNAnalysis[[#This Row],[Population]], 0.05), "")</f>
        <v>0.05</v>
      </c>
      <c r="AH7" s="252">
        <f>IFERROR(MROUND(tblPiNAnalysis[[#This Row],[HLP]]/tblPiNAnalysis[[#This Row],[Population]], 0.05), "")</f>
        <v>0.15000000000000002</v>
      </c>
      <c r="AI7" s="255">
        <f>IFERROR(LARGE(tblPiNAnalysis[[#This Row],[CCCM]:[WASH]], 1), "")</f>
        <v>45183</v>
      </c>
      <c r="AJ7" s="256" t="str" cm="1">
        <f t="array" ref="AJ7">IF(tblPiNAnalysis[[#This Row],[Highest PiN]]="", "", _xlfn.TEXTJOIN(CHAR(10), TRUE, IF(tblPiNAnalysis[[#This Row],[Highest PiN]]=tblPiNAnalysis[[#This Row],[CCCM]:[WASH]], tblPiNAnalysis[[#Headers],[CCCM]:[WASH]], "")))</f>
        <v>Shelter</v>
      </c>
      <c r="AK7" s="257">
        <f>IF(tblPiNAnalysis[[#This Row],[Highest PiN]]="", "", tblPiNAnalysis[[#This Row],[Highest PiN]]/tblPiNAnalysis[[#This Row],[Population]])</f>
        <v>0.75694828366085343</v>
      </c>
      <c r="AL7" s="258" t="str">
        <f>IF(SUM(tblPiNAnalysis[[#This Row],[CCCM]:[WASH]])=0, "",IF(COUNTIF(tblPiNAnalysis[[#This Row],[CCCM]:[WASH]],"=0")+COUNTIF(tblPiNAnalysis[[#This Row],[CCCM]:[WASH]],"")&gt;=zero_pin_thresh, "Flagged", ""))</f>
        <v/>
      </c>
      <c r="AM7" s="257" t="str">
        <f>IFERROR(IF(tblPiNAnalysis[[#This Row],[Highest PiN]]="", "", IF(tblPiNAnalysis[[#This Row],[Highest sector(s'') PiN %]]&gt;=flag_pin_perc, "Flagged", "")), "")</f>
        <v/>
      </c>
      <c r="AN7" s="259" t="str" cm="1">
        <f t="array" ref="AN7">IF(tblPiNAnalysis[[#This Row],[Highest PiN]]=0, "",  IF(OR(COUNTIF(tblPiNAnalysis[[#This Row],[Highest sector(s)]],tblSubSectorPopulation[Sector])), "Flagged", ""))</f>
        <v/>
      </c>
      <c r="AO7" s="260" cm="1">
        <f t="array" ref="AO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43317</v>
      </c>
      <c r="AP7" s="261" t="str" cm="1">
        <f t="array" ref="AP7">IF(tblPiNAnalysis[[#This Row],[2nd Highest PiN]]="", "", _xlfn.TEXTJOIN(CHAR(10), TRUE, IF(tblPiNAnalysis[[#This Row],[2nd Highest PiN]]=tblPiNAnalysis[[#This Row],[CCCM]:[WASH]], tblPiNAnalysis[[#Headers],[CCCM]:[WASH]], "")))</f>
        <v>WASH</v>
      </c>
      <c r="AQ7" s="37">
        <f>IFERROR(tblPiNAnalysis[[#This Row],[2nd Highest PiN]]/tblPiNAnalysis[[#This Row],[Population]], "")</f>
        <v>0.72568728954113682</v>
      </c>
      <c r="AR7" s="46">
        <f>IFERROR(tblPiNAnalysis[[#This Row],[Highest PiN]]-tblPiNAnalysis[[#This Row],[2nd Highest PiN]], "")</f>
        <v>1866</v>
      </c>
      <c r="AS7" s="38">
        <f>IFERROR(((tblPiNAnalysis[[#This Row],[Highest PiN]]-tblPiNAnalysis[[#This Row],[2nd Highest PiN]])/tblPiNAnalysis[[#This Row],[2nd Highest PiN]]),"")</f>
        <v>4.3077775469215318E-2</v>
      </c>
      <c r="AT7" s="262" t="str" cm="1">
        <f t="array" ref="AT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 s="263" cm="1">
        <f t="array" ref="AU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23711</v>
      </c>
      <c r="AV7" s="264" t="str" cm="1">
        <f t="array" ref="AV7">IF(tblPiNAnalysis[[#This Row],[3rd Highest PiN]]="", "", _xlfn.TEXTJOIN(CHAR(10), TRUE, IF(tblPiNAnalysis[[#This Row],[3rd Highest PiN]]=tblPiNAnalysis[[#This Row],[CCCM]:[WASH]], tblPiNAnalysis[[#Headers],[CCCM]:[WASH]], "")))</f>
        <v>Food Security</v>
      </c>
      <c r="AW7" s="186">
        <f>IFERROR(tblPiNAnalysis[[#This Row],[3rd Highest PiN]]/tblPiNAnalysis[[#This Row],[Population]], "")</f>
        <v>0.39722906300782362</v>
      </c>
      <c r="AX7" s="45">
        <f>IFERROR(tblPiNAnalysis[[#This Row],[Highest PiN]]-tblPiNAnalysis[[#This Row],[3rd Highest PiN]],"")</f>
        <v>21472</v>
      </c>
      <c r="AY7" s="38">
        <f>IFERROR(tblPiNAnalysis[[#This Row],[Difference of PiN between Highest and 3rd Highest]]/tblPiNAnalysis[[#This Row],[3rd Highest PiN]], "")</f>
        <v>0.90557125384842474</v>
      </c>
      <c r="AZ7" s="259" t="str" cm="1">
        <f t="array" ref="AZ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 s="288" cm="1">
        <f t="array" ref="BA7">IFERROR(IF(tblPiNAnalysis[[#This Row],[ID]]="", "", INDEX(tblPiNHistorical[[CCCM]:[WASH]], MATCH(tblPiNAnalysis[[#This Row],[ID]],tblPiNHistorical[ID], 0),MATCH(_xlfn._xlws.FILTER(tblPiNAnalysis[[#Headers],[CCCM]:[WASH]], tblPiNAnalysis[[#This Row],[Highest PiN]]=tblPiNAnalysis[[#This Row],[CCCM]:[WASH]]), tblPiNHistorical[[#Headers],[CCCM]:[WASH]], 0))), "")</f>
        <v>0.5</v>
      </c>
      <c r="BB7" s="265" t="str" cm="1">
        <f t="array" ref="BB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 s="265" cm="1">
        <f t="array" ref="BC7">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7" s="266" t="str" cm="1">
        <f t="array" ref="BD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 s="356">
        <f>INDEX(tblSeverityAnalysis[Final Severity], MATCH(tblPiNAnalysis[[#This Row],[ID]],tblSeverityAnalysis[ID], 0))</f>
        <v>3</v>
      </c>
      <c r="BF7" s="59">
        <f>IF(tblPiNAnalysis[[#This Row],[Severity]]&gt;2,tblPiNAnalysis[[#This Row],[Highest PiN]],)</f>
        <v>45183</v>
      </c>
      <c r="BG7" s="187"/>
      <c r="BH7" s="188"/>
      <c r="BI7" s="189">
        <f>COUNTIFS(tblPiNAnalysis[[#This Row],[Number of missing / zero PiNs greater than threshold - Data quality]:[Manual Flag]],"Flagged")</f>
        <v>1</v>
      </c>
      <c r="BJ7" s="272" t="str">
        <f>IF(tblPiNAnalysis[[#This Row],['# Flags]]&gt;0, "Flagged", "")</f>
        <v>Flagged</v>
      </c>
      <c r="BK7" s="256">
        <f>tblPiNAnalysis[[#This Row],[Preliminary PiN]]</f>
        <v>45183</v>
      </c>
      <c r="BL7" s="261"/>
      <c r="BM7" s="256">
        <f>IFERROR(IF(tblPiNAnalysis[[#This Row],[Severity]]=3,tblPiNAnalysis[[#This Row],[Final PiN]]*Thresholds!$D$35,tblPiNAnalysis[[#This Row],[Final PiN]]*Thresholds!$D$36),)</f>
        <v>22591.5</v>
      </c>
      <c r="BN7" s="256">
        <f>IFERROR(IF(tblPiNAnalysis[[#This Row],[Severity]]&gt;3,tblPiNAnalysis[[#This Row],[Final PiN]]*Thresholds!$D$36,),)</f>
        <v>0</v>
      </c>
      <c r="BO7" s="267"/>
      <c r="BP7" s="267"/>
      <c r="BQ7" s="267"/>
      <c r="BT7" s="268"/>
      <c r="BU7" s="267"/>
      <c r="BV7" s="267"/>
      <c r="BW7" s="267"/>
      <c r="BX7" s="267"/>
      <c r="BY7" s="267"/>
      <c r="CB7" s="267"/>
      <c r="CD7" s="269"/>
      <c r="CE7" s="270"/>
      <c r="CF7" s="267"/>
    </row>
    <row r="8" spans="1:84" ht="24.95" customHeight="1">
      <c r="A8" s="30" t="s">
        <v>156</v>
      </c>
      <c r="B8" s="39" t="s">
        <v>146</v>
      </c>
      <c r="C8" s="213" t="s">
        <v>147</v>
      </c>
      <c r="D8" s="340" t="s">
        <v>157</v>
      </c>
      <c r="E8" s="103" t="s">
        <v>156</v>
      </c>
      <c r="F8" s="98"/>
      <c r="G8" s="33"/>
      <c r="H8" s="33"/>
      <c r="I8" s="95">
        <v>19901</v>
      </c>
      <c r="J8" s="95" t="s">
        <v>149</v>
      </c>
      <c r="K8" s="390">
        <v>19901</v>
      </c>
      <c r="L8" s="303">
        <v>1769</v>
      </c>
      <c r="M8" s="303">
        <v>1863</v>
      </c>
      <c r="N8" s="303">
        <v>3175</v>
      </c>
      <c r="O8" s="303">
        <v>9845.3742647490017</v>
      </c>
      <c r="P8" s="303">
        <v>9987</v>
      </c>
      <c r="Q8" s="304">
        <v>9191</v>
      </c>
      <c r="R8" s="303">
        <v>17006</v>
      </c>
      <c r="S8" s="32">
        <v>3776</v>
      </c>
      <c r="T8" s="32">
        <v>7799</v>
      </c>
      <c r="U8" s="32">
        <v>9987</v>
      </c>
      <c r="V8" s="303">
        <v>3776</v>
      </c>
      <c r="W8" s="305">
        <f>IFERROR(IF(tblPiNAnalysis[[#This Row],[CCCM]]="", "", MROUND(tblPiNAnalysis[[#This Row],[CCCM]]/tblPiNAnalysis[[#This Row],[Population]], 0.05)), "")</f>
        <v>1</v>
      </c>
      <c r="X8" s="306">
        <f>IFERROR(IF(tblPiNAnalysis[[#This Row],[Education]]="", "", MROUND(tblPiNAnalysis[[#This Row],[Education]]/tblPiNAnalysis[[#This Row],[Population]], 0.05)), "")</f>
        <v>0.1</v>
      </c>
      <c r="Y8" s="306">
        <f>IFERROR(IF(tblPiNAnalysis[[#This Row],[Nutrition]]="", "", MROUND(tblPiNAnalysis[[#This Row],[Nutrition]]/tblPiNAnalysis[[#This Row],[Population]], 0.05)), "")</f>
        <v>0.1</v>
      </c>
      <c r="Z8" s="306">
        <f>IFERROR(IF(tblPiNAnalysis[[#This Row],[Food Security]]="", "", MROUND(tblPiNAnalysis[[#This Row],[Food Security]]/tblPiNAnalysis[[#This Row],[Population]], 0.05)), "")</f>
        <v>0.15000000000000002</v>
      </c>
      <c r="AA8" s="306">
        <f>IFERROR(IF(tblPiNAnalysis[[#This Row],[Health]]="", "", MROUND(tblPiNAnalysis[[#This Row],[Health]]/tblPiNAnalysis[[#This Row],[Population]], 0.05)), "")</f>
        <v>0.5</v>
      </c>
      <c r="AB8" s="307">
        <f>IFERROR(IF(tblPiNAnalysis[[#This Row],[Overarching Protection]]="", "", MROUND(tblPiNAnalysis[[#This Row],[Overarching Protection]]/tblPiNAnalysis[[#This Row],[Population]], 0.05)), "")</f>
        <v>0.5</v>
      </c>
      <c r="AC8" s="307">
        <f>IFERROR(IF(tblPiNAnalysis[[#This Row],[Shelter]]="", "", MROUND(tblPiNAnalysis[[#This Row],[Shelter]]/tblPiNAnalysis[[#This Row],[Population]], 0.05)), "")</f>
        <v>0.45</v>
      </c>
      <c r="AD8" s="308">
        <f>IFERROR(IF(tblPiNAnalysis[[#This Row],[WASH]]="", "", MROUND(tblPiNAnalysis[[#This Row],[WASH]]/tblPiNAnalysis[[#This Row],[Population]], 0.05)), "")</f>
        <v>0.85000000000000009</v>
      </c>
      <c r="AE8" s="306">
        <f>IFERROR(MROUND(tblPiNAnalysis[[#This Row],[CP]]/tblPiNAnalysis[[#This Row],[Population]], 0.05), "")</f>
        <v>0.2</v>
      </c>
      <c r="AF8" s="306">
        <f>IFERROR(MROUND(tblPiNAnalysis[[#This Row],[GBV]]/tblPiNAnalysis[[#This Row],[Population]], 0.05), "")</f>
        <v>0.4</v>
      </c>
      <c r="AG8" s="306">
        <f>IFERROR(MROUND(tblPiNAnalysis[[#This Row],[GP]]/tblPiNAnalysis[[#This Row],[Population]], 0.05), "")</f>
        <v>0.5</v>
      </c>
      <c r="AH8" s="306">
        <f>IFERROR(MROUND(tblPiNAnalysis[[#This Row],[HLP]]/tblPiNAnalysis[[#This Row],[Population]], 0.05), "")</f>
        <v>0.2</v>
      </c>
      <c r="AI8" s="309">
        <f>IFERROR(LARGE(tblPiNAnalysis[[#This Row],[CCCM]:[WASH]], 1), "")</f>
        <v>19901</v>
      </c>
      <c r="AJ8" s="310" t="str" cm="1">
        <f t="array" ref="AJ8">IF(tblPiNAnalysis[[#This Row],[Highest PiN]]="", "", _xlfn.TEXTJOIN(CHAR(10), TRUE, IF(tblPiNAnalysis[[#This Row],[Highest PiN]]=tblPiNAnalysis[[#This Row],[CCCM]:[WASH]], tblPiNAnalysis[[#Headers],[CCCM]:[WASH]], "")))</f>
        <v>CCCM</v>
      </c>
      <c r="AK8" s="311">
        <f>IF(tblPiNAnalysis[[#This Row],[Highest PiN]]="", "", tblPiNAnalysis[[#This Row],[Highest PiN]]/tblPiNAnalysis[[#This Row],[Population]])</f>
        <v>1</v>
      </c>
      <c r="AL8" s="312" t="str">
        <f>IF(SUM(tblPiNAnalysis[[#This Row],[CCCM]:[WASH]])=0, "",IF(COUNTIF(tblPiNAnalysis[[#This Row],[CCCM]:[WASH]],"=0")+COUNTIF(tblPiNAnalysis[[#This Row],[CCCM]:[WASH]],"")&gt;=zero_pin_thresh, "Flagged", ""))</f>
        <v/>
      </c>
      <c r="AM8" s="313" t="str">
        <f>IFERROR(IF(tblPiNAnalysis[[#This Row],[Highest PiN]]="", "", IF(tblPiNAnalysis[[#This Row],[Highest sector(s'') PiN %]]&gt;=flag_pin_perc, "Flagged", "")), "")</f>
        <v>Flagged</v>
      </c>
      <c r="AN8" s="314" t="str" cm="1">
        <f t="array" ref="AN8">IF(tblPiNAnalysis[[#This Row],[Highest PiN]]=0, "",  IF(OR(COUNTIF(tblPiNAnalysis[[#This Row],[Highest sector(s)]],tblSubSectorPopulation[Sector])), "Flagged", ""))</f>
        <v/>
      </c>
      <c r="AO8" s="46" cm="1">
        <f t="array" ref="AO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17006</v>
      </c>
      <c r="AP8" s="315" t="str" cm="1">
        <f t="array" ref="AP8">IF(tblPiNAnalysis[[#This Row],[2nd Highest PiN]]="", "", _xlfn.TEXTJOIN(CHAR(10), TRUE, IF(tblPiNAnalysis[[#This Row],[2nd Highest PiN]]=tblPiNAnalysis[[#This Row],[CCCM]:[WASH]], tblPiNAnalysis[[#Headers],[CCCM]:[WASH]], "")))</f>
        <v>WASH</v>
      </c>
      <c r="AQ8" s="35">
        <f>IFERROR(tblPiNAnalysis[[#This Row],[2nd Highest PiN]]/tblPiNAnalysis[[#This Row],[Population]], "")</f>
        <v>0.8545299231194412</v>
      </c>
      <c r="AR8" s="46">
        <f>IFERROR(tblPiNAnalysis[[#This Row],[Highest PiN]]-tblPiNAnalysis[[#This Row],[2nd Highest PiN]], "")</f>
        <v>2895</v>
      </c>
      <c r="AS8" s="38">
        <f>IFERROR(((tblPiNAnalysis[[#This Row],[Highest PiN]]-tblPiNAnalysis[[#This Row],[2nd Highest PiN]])/tblPiNAnalysis[[#This Row],[2nd Highest PiN]]),"")</f>
        <v>0.17023403504645418</v>
      </c>
      <c r="AT8" s="38" t="str" cm="1">
        <f t="array" ref="AT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 s="316" cm="1">
        <f t="array" ref="AU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9987</v>
      </c>
      <c r="AV8" s="186" t="str" cm="1">
        <f t="array" ref="AV8">IF(tblPiNAnalysis[[#This Row],[3rd Highest PiN]]="", "", _xlfn.TEXTJOIN(CHAR(10), TRUE, IF(tblPiNAnalysis[[#This Row],[3rd Highest PiN]]=tblPiNAnalysis[[#This Row],[CCCM]:[WASH]], tblPiNAnalysis[[#Headers],[CCCM]:[WASH]], "")))</f>
        <v>Overarching Protection</v>
      </c>
      <c r="AW8" s="186">
        <f>IFERROR(tblPiNAnalysis[[#This Row],[3rd Highest PiN]]/tblPiNAnalysis[[#This Row],[Population]], "")</f>
        <v>0.50183407868951313</v>
      </c>
      <c r="AX8" s="45">
        <f>IFERROR(tblPiNAnalysis[[#This Row],[Highest PiN]]-tblPiNAnalysis[[#This Row],[3rd Highest PiN]],"")</f>
        <v>9914</v>
      </c>
      <c r="AY8" s="38">
        <f>IFERROR(tblPiNAnalysis[[#This Row],[Difference of PiN between Highest and 3rd Highest]]/tblPiNAnalysis[[#This Row],[3rd Highest PiN]], "")</f>
        <v>0.99269049764694106</v>
      </c>
      <c r="AZ8" s="314" t="str" cm="1">
        <f t="array" ref="AZ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8" s="288" cm="1">
        <f t="array" ref="BA8">IFERROR(IF(tblPiNAnalysis[[#This Row],[ID]]="", "", INDEX(tblPiNHistorical[[CCCM]:[WASH]], MATCH(tblPiNAnalysis[[#This Row],[ID]],tblPiNHistorical[ID], 0),MATCH(_xlfn._xlws.FILTER(tblPiNAnalysis[[#Headers],[CCCM]:[WASH]], tblPiNAnalysis[[#This Row],[Highest PiN]]=tblPiNAnalysis[[#This Row],[CCCM]:[WASH]]), tblPiNHistorical[[#Headers],[CCCM]:[WASH]], 0))), "")</f>
        <v>3.9</v>
      </c>
      <c r="BB8" s="317" t="str" cm="1">
        <f t="array" ref="BB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 s="265" cm="1">
        <f t="array" ref="BC8">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8" s="318" t="str" cm="1">
        <f t="array" ref="BD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 s="356">
        <f>INDEX(tblSeverityAnalysis[Final Severity], MATCH(tblPiNAnalysis[[#This Row],[ID]],tblSeverityAnalysis[ID], 0))</f>
        <v>3</v>
      </c>
      <c r="BF8" s="59">
        <f>IF(tblPiNAnalysis[[#This Row],[Severity]]&gt;2,tblPiNAnalysis[[#This Row],[Highest PiN]],)</f>
        <v>19901</v>
      </c>
      <c r="BG8" s="187"/>
      <c r="BH8" s="188"/>
      <c r="BI8" s="189">
        <f>COUNTIFS(tblPiNAnalysis[[#This Row],[Number of missing / zero PiNs greater than threshold - Data quality]:[Manual Flag]],"Flagged")</f>
        <v>3</v>
      </c>
      <c r="BJ8" s="94" t="str">
        <f>IF(tblPiNAnalysis[[#This Row],['# Flags]]&gt;0, "Flagged", "")</f>
        <v>Flagged</v>
      </c>
      <c r="BK8" s="310">
        <f>tblPiNAnalysis[[#This Row],[Preliminary PiN]]</f>
        <v>19901</v>
      </c>
      <c r="BL8" s="315"/>
      <c r="BM8" s="256">
        <f>IFERROR(IF(tblPiNAnalysis[[#This Row],[Severity]]=3,tblPiNAnalysis[[#This Row],[Final PiN]]*Thresholds!$D$35,tblPiNAnalysis[[#This Row],[Final PiN]]*Thresholds!$D$36),)</f>
        <v>9950.5</v>
      </c>
      <c r="BN8" s="256">
        <f>IFERROR(IF(tblPiNAnalysis[[#This Row],[Severity]]&gt;3,tblPiNAnalysis[[#This Row],[Final PiN]]*Thresholds!$D$36,),)</f>
        <v>0</v>
      </c>
      <c r="BO8" s="17"/>
      <c r="BP8" s="17"/>
      <c r="BQ8" s="17"/>
      <c r="BT8" s="391"/>
      <c r="BU8" s="17"/>
      <c r="BV8" s="17"/>
      <c r="BW8" s="17"/>
      <c r="BX8" s="17"/>
      <c r="BY8" s="17"/>
      <c r="CB8" s="17"/>
      <c r="CD8" s="24"/>
      <c r="CE8" s="21"/>
      <c r="CF8" s="17"/>
    </row>
    <row r="9" spans="1:84" ht="24.95" customHeight="1">
      <c r="A9" s="30" t="s">
        <v>158</v>
      </c>
      <c r="B9" s="39" t="s">
        <v>146</v>
      </c>
      <c r="C9" s="213" t="s">
        <v>147</v>
      </c>
      <c r="D9" s="340" t="s">
        <v>159</v>
      </c>
      <c r="E9" s="103" t="s">
        <v>158</v>
      </c>
      <c r="F9" s="98"/>
      <c r="G9" s="33"/>
      <c r="H9" s="33"/>
      <c r="I9" s="95">
        <v>51599</v>
      </c>
      <c r="J9" s="95" t="s">
        <v>149</v>
      </c>
      <c r="K9" s="390">
        <v>51599</v>
      </c>
      <c r="L9" s="303">
        <v>10423</v>
      </c>
      <c r="M9" s="303">
        <v>5518</v>
      </c>
      <c r="N9" s="303">
        <v>13980</v>
      </c>
      <c r="O9" s="303">
        <v>40684.850624461513</v>
      </c>
      <c r="P9" s="303">
        <v>37981</v>
      </c>
      <c r="Q9" s="304">
        <v>41208</v>
      </c>
      <c r="R9" s="303">
        <v>40849</v>
      </c>
      <c r="S9" s="32">
        <v>9784</v>
      </c>
      <c r="T9" s="32">
        <v>20203</v>
      </c>
      <c r="U9" s="32">
        <v>37981</v>
      </c>
      <c r="V9" s="303">
        <v>4892</v>
      </c>
      <c r="W9" s="305">
        <f>IFERROR(IF(tblPiNAnalysis[[#This Row],[CCCM]]="", "", MROUND(tblPiNAnalysis[[#This Row],[CCCM]]/tblPiNAnalysis[[#This Row],[Population]], 0.05)), "")</f>
        <v>1</v>
      </c>
      <c r="X9" s="306">
        <f>IFERROR(IF(tblPiNAnalysis[[#This Row],[Education]]="", "", MROUND(tblPiNAnalysis[[#This Row],[Education]]/tblPiNAnalysis[[#This Row],[Population]], 0.05)), "")</f>
        <v>0.2</v>
      </c>
      <c r="Y9" s="306">
        <f>IFERROR(IF(tblPiNAnalysis[[#This Row],[Nutrition]]="", "", MROUND(tblPiNAnalysis[[#This Row],[Nutrition]]/tblPiNAnalysis[[#This Row],[Population]], 0.05)), "")</f>
        <v>0.1</v>
      </c>
      <c r="Z9" s="306">
        <f>IFERROR(IF(tblPiNAnalysis[[#This Row],[Food Security]]="", "", MROUND(tblPiNAnalysis[[#This Row],[Food Security]]/tblPiNAnalysis[[#This Row],[Population]], 0.05)), "")</f>
        <v>0.25</v>
      </c>
      <c r="AA9" s="306">
        <f>IFERROR(IF(tblPiNAnalysis[[#This Row],[Health]]="", "", MROUND(tblPiNAnalysis[[#This Row],[Health]]/tblPiNAnalysis[[#This Row],[Population]], 0.05)), "")</f>
        <v>0.8</v>
      </c>
      <c r="AB9" s="307">
        <f>IFERROR(IF(tblPiNAnalysis[[#This Row],[Overarching Protection]]="", "", MROUND(tblPiNAnalysis[[#This Row],[Overarching Protection]]/tblPiNAnalysis[[#This Row],[Population]], 0.05)), "")</f>
        <v>0.75</v>
      </c>
      <c r="AC9" s="307">
        <f>IFERROR(IF(tblPiNAnalysis[[#This Row],[Shelter]]="", "", MROUND(tblPiNAnalysis[[#This Row],[Shelter]]/tblPiNAnalysis[[#This Row],[Population]], 0.05)), "")</f>
        <v>0.8</v>
      </c>
      <c r="AD9" s="308">
        <f>IFERROR(IF(tblPiNAnalysis[[#This Row],[WASH]]="", "", MROUND(tblPiNAnalysis[[#This Row],[WASH]]/tblPiNAnalysis[[#This Row],[Population]], 0.05)), "")</f>
        <v>0.8</v>
      </c>
      <c r="AE9" s="306">
        <f>IFERROR(MROUND(tblPiNAnalysis[[#This Row],[CP]]/tblPiNAnalysis[[#This Row],[Population]], 0.05), "")</f>
        <v>0.2</v>
      </c>
      <c r="AF9" s="306">
        <f>IFERROR(MROUND(tblPiNAnalysis[[#This Row],[GBV]]/tblPiNAnalysis[[#This Row],[Population]], 0.05), "")</f>
        <v>0.4</v>
      </c>
      <c r="AG9" s="306">
        <f>IFERROR(MROUND(tblPiNAnalysis[[#This Row],[GP]]/tblPiNAnalysis[[#This Row],[Population]], 0.05), "")</f>
        <v>0.75</v>
      </c>
      <c r="AH9" s="306">
        <f>IFERROR(MROUND(tblPiNAnalysis[[#This Row],[HLP]]/tblPiNAnalysis[[#This Row],[Population]], 0.05), "")</f>
        <v>0.1</v>
      </c>
      <c r="AI9" s="309">
        <f>IFERROR(LARGE(tblPiNAnalysis[[#This Row],[CCCM]:[WASH]], 1), "")</f>
        <v>51599</v>
      </c>
      <c r="AJ9" s="310" t="str" cm="1">
        <f t="array" ref="AJ9">IF(tblPiNAnalysis[[#This Row],[Highest PiN]]="", "", _xlfn.TEXTJOIN(CHAR(10), TRUE, IF(tblPiNAnalysis[[#This Row],[Highest PiN]]=tblPiNAnalysis[[#This Row],[CCCM]:[WASH]], tblPiNAnalysis[[#Headers],[CCCM]:[WASH]], "")))</f>
        <v>CCCM</v>
      </c>
      <c r="AK9" s="311">
        <f>IF(tblPiNAnalysis[[#This Row],[Highest PiN]]="", "", tblPiNAnalysis[[#This Row],[Highest PiN]]/tblPiNAnalysis[[#This Row],[Population]])</f>
        <v>1</v>
      </c>
      <c r="AL9" s="312" t="str">
        <f>IF(SUM(tblPiNAnalysis[[#This Row],[CCCM]:[WASH]])=0, "",IF(COUNTIF(tblPiNAnalysis[[#This Row],[CCCM]:[WASH]],"=0")+COUNTIF(tblPiNAnalysis[[#This Row],[CCCM]:[WASH]],"")&gt;=zero_pin_thresh, "Flagged", ""))</f>
        <v/>
      </c>
      <c r="AM9" s="313" t="str">
        <f>IFERROR(IF(tblPiNAnalysis[[#This Row],[Highest PiN]]="", "", IF(tblPiNAnalysis[[#This Row],[Highest sector(s'') PiN %]]&gt;=flag_pin_perc, "Flagged", "")), "")</f>
        <v>Flagged</v>
      </c>
      <c r="AN9" s="314" t="str" cm="1">
        <f t="array" ref="AN9">IF(tblPiNAnalysis[[#This Row],[Highest PiN]]=0, "",  IF(OR(COUNTIF(tblPiNAnalysis[[#This Row],[Highest sector(s)]],tblSubSectorPopulation[Sector])), "Flagged", ""))</f>
        <v/>
      </c>
      <c r="AO9" s="46" cm="1">
        <f t="array" ref="AO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41208</v>
      </c>
      <c r="AP9" s="315" t="str" cm="1">
        <f t="array" ref="AP9">IF(tblPiNAnalysis[[#This Row],[2nd Highest PiN]]="", "", _xlfn.TEXTJOIN(CHAR(10), TRUE, IF(tblPiNAnalysis[[#This Row],[2nd Highest PiN]]=tblPiNAnalysis[[#This Row],[CCCM]:[WASH]], tblPiNAnalysis[[#Headers],[CCCM]:[WASH]], "")))</f>
        <v>Shelter</v>
      </c>
      <c r="AQ9" s="35">
        <f>IFERROR(tblPiNAnalysis[[#This Row],[2nd Highest PiN]]/tblPiNAnalysis[[#This Row],[Population]], "")</f>
        <v>0.79862012829705997</v>
      </c>
      <c r="AR9" s="46">
        <f>IFERROR(tblPiNAnalysis[[#This Row],[Highest PiN]]-tblPiNAnalysis[[#This Row],[2nd Highest PiN]], "")</f>
        <v>10391</v>
      </c>
      <c r="AS9" s="38">
        <f>IFERROR(((tblPiNAnalysis[[#This Row],[Highest PiN]]-tblPiNAnalysis[[#This Row],[2nd Highest PiN]])/tblPiNAnalysis[[#This Row],[2nd Highest PiN]]),"")</f>
        <v>0.25215977480100954</v>
      </c>
      <c r="AT9" s="38" t="str" cm="1">
        <f t="array" ref="AT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 s="316" cm="1">
        <f t="array" ref="AU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40849</v>
      </c>
      <c r="AV9" s="186" t="str" cm="1">
        <f t="array" ref="AV9">IF(tblPiNAnalysis[[#This Row],[3rd Highest PiN]]="", "", _xlfn.TEXTJOIN(CHAR(10), TRUE, IF(tblPiNAnalysis[[#This Row],[3rd Highest PiN]]=tblPiNAnalysis[[#This Row],[CCCM]:[WASH]], tblPiNAnalysis[[#Headers],[CCCM]:[WASH]], "")))</f>
        <v>WASH</v>
      </c>
      <c r="AW9" s="186">
        <f>IFERROR(tblPiNAnalysis[[#This Row],[3rd Highest PiN]]/tblPiNAnalysis[[#This Row],[Population]], "")</f>
        <v>0.79166262912071939</v>
      </c>
      <c r="AX9" s="45">
        <f>IFERROR(tblPiNAnalysis[[#This Row],[Highest PiN]]-tblPiNAnalysis[[#This Row],[3rd Highest PiN]],"")</f>
        <v>10750</v>
      </c>
      <c r="AY9" s="38">
        <f>IFERROR(tblPiNAnalysis[[#This Row],[Difference of PiN between Highest and 3rd Highest]]/tblPiNAnalysis[[#This Row],[3rd Highest PiN]], "")</f>
        <v>0.2631643369482729</v>
      </c>
      <c r="AZ9" s="314" t="str" cm="1">
        <f t="array" ref="AZ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 s="288" cm="1">
        <f t="array" ref="BA9">IFERROR(IF(tblPiNAnalysis[[#This Row],[ID]]="", "", INDEX(tblPiNHistorical[[CCCM]:[WASH]], MATCH(tblPiNAnalysis[[#This Row],[ID]],tblPiNHistorical[ID], 0),MATCH(_xlfn._xlws.FILTER(tblPiNAnalysis[[#Headers],[CCCM]:[WASH]], tblPiNAnalysis[[#This Row],[Highest PiN]]=tblPiNAnalysis[[#This Row],[CCCM]:[WASH]]), tblPiNHistorical[[#Headers],[CCCM]:[WASH]], 0))), "")</f>
        <v>4.3</v>
      </c>
      <c r="BB9" s="317" t="str" cm="1">
        <f t="array" ref="BB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9" s="265" cm="1">
        <f t="array" ref="BC9">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9" s="318" t="str" cm="1">
        <f t="array" ref="BD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 s="356">
        <f>INDEX(tblSeverityAnalysis[Final Severity], MATCH(tblPiNAnalysis[[#This Row],[ID]],tblSeverityAnalysis[ID], 0))</f>
        <v>4</v>
      </c>
      <c r="BF9" s="59">
        <f>IF(tblPiNAnalysis[[#This Row],[Severity]]&gt;2,tblPiNAnalysis[[#This Row],[Highest PiN]],)</f>
        <v>51599</v>
      </c>
      <c r="BG9" s="187"/>
      <c r="BH9" s="188"/>
      <c r="BI9" s="189">
        <f>COUNTIFS(tblPiNAnalysis[[#This Row],[Number of missing / zero PiNs greater than threshold - Data quality]:[Manual Flag]],"Flagged")</f>
        <v>2</v>
      </c>
      <c r="BJ9" s="94" t="str">
        <f>IF(tblPiNAnalysis[[#This Row],['# Flags]]&gt;0, "Flagged", "")</f>
        <v>Flagged</v>
      </c>
      <c r="BK9" s="310">
        <f>tblPiNAnalysis[[#This Row],[Preliminary PiN]]</f>
        <v>51599</v>
      </c>
      <c r="BL9" s="315"/>
      <c r="BM9" s="256">
        <f>IFERROR(IF(tblPiNAnalysis[[#This Row],[Severity]]=3,tblPiNAnalysis[[#This Row],[Final PiN]]*Thresholds!$D$35,tblPiNAnalysis[[#This Row],[Final PiN]]*Thresholds!$D$36),)</f>
        <v>51599</v>
      </c>
      <c r="BN9" s="256">
        <f>IFERROR(IF(tblPiNAnalysis[[#This Row],[Severity]]&gt;3,tblPiNAnalysis[[#This Row],[Final PiN]]*Thresholds!$D$36,),)</f>
        <v>51599</v>
      </c>
      <c r="BO9" s="17"/>
      <c r="BP9" s="17"/>
      <c r="BQ9" s="17"/>
      <c r="BT9" s="391"/>
      <c r="BU9" s="17"/>
      <c r="BV9" s="17"/>
      <c r="BW9" s="17"/>
      <c r="BX9" s="17"/>
      <c r="BY9" s="17"/>
      <c r="CB9" s="17"/>
      <c r="CD9" s="24"/>
      <c r="CE9" s="21"/>
      <c r="CF9" s="17"/>
    </row>
    <row r="10" spans="1:84" ht="24.95" customHeight="1">
      <c r="A10" s="30" t="s">
        <v>160</v>
      </c>
      <c r="B10" s="39" t="s">
        <v>146</v>
      </c>
      <c r="C10" s="213" t="s">
        <v>147</v>
      </c>
      <c r="D10" s="340" t="s">
        <v>161</v>
      </c>
      <c r="E10" s="103" t="s">
        <v>160</v>
      </c>
      <c r="F10" s="98"/>
      <c r="G10" s="33"/>
      <c r="H10" s="33"/>
      <c r="I10" s="95">
        <v>3177</v>
      </c>
      <c r="J10" s="95" t="s">
        <v>149</v>
      </c>
      <c r="K10" s="390">
        <v>1957</v>
      </c>
      <c r="L10" s="303">
        <v>727</v>
      </c>
      <c r="M10" s="303">
        <v>367</v>
      </c>
      <c r="N10" s="303">
        <v>3177</v>
      </c>
      <c r="O10" s="303">
        <v>15.43281154253245</v>
      </c>
      <c r="P10" s="303">
        <v>602</v>
      </c>
      <c r="Q10" s="304">
        <v>2005</v>
      </c>
      <c r="R10" s="303">
        <v>1092</v>
      </c>
      <c r="S10" s="32">
        <v>602</v>
      </c>
      <c r="T10" s="32">
        <v>355</v>
      </c>
      <c r="U10" s="32">
        <v>397</v>
      </c>
      <c r="V10" s="303">
        <v>602</v>
      </c>
      <c r="W10" s="305">
        <f>IFERROR(IF(tblPiNAnalysis[[#This Row],[CCCM]]="", "", MROUND(tblPiNAnalysis[[#This Row],[CCCM]]/tblPiNAnalysis[[#This Row],[Population]], 0.05)), "")</f>
        <v>0.60000000000000009</v>
      </c>
      <c r="X10" s="306">
        <f>IFERROR(IF(tblPiNAnalysis[[#This Row],[Education]]="", "", MROUND(tblPiNAnalysis[[#This Row],[Education]]/tblPiNAnalysis[[#This Row],[Population]], 0.05)), "")</f>
        <v>0.25</v>
      </c>
      <c r="Y10" s="306">
        <f>IFERROR(IF(tblPiNAnalysis[[#This Row],[Nutrition]]="", "", MROUND(tblPiNAnalysis[[#This Row],[Nutrition]]/tblPiNAnalysis[[#This Row],[Population]], 0.05)), "")</f>
        <v>0.1</v>
      </c>
      <c r="Z10" s="306">
        <f>IFERROR(IF(tblPiNAnalysis[[#This Row],[Food Security]]="", "", MROUND(tblPiNAnalysis[[#This Row],[Food Security]]/tblPiNAnalysis[[#This Row],[Population]], 0.05)), "")</f>
        <v>1</v>
      </c>
      <c r="AA10" s="306">
        <f>IFERROR(IF(tblPiNAnalysis[[#This Row],[Health]]="", "", MROUND(tblPiNAnalysis[[#This Row],[Health]]/tblPiNAnalysis[[#This Row],[Population]], 0.05)), "")</f>
        <v>0</v>
      </c>
      <c r="AB10" s="307">
        <f>IFERROR(IF(tblPiNAnalysis[[#This Row],[Overarching Protection]]="", "", MROUND(tblPiNAnalysis[[#This Row],[Overarching Protection]]/tblPiNAnalysis[[#This Row],[Population]], 0.05)), "")</f>
        <v>0.2</v>
      </c>
      <c r="AC10" s="307">
        <f>IFERROR(IF(tblPiNAnalysis[[#This Row],[Shelter]]="", "", MROUND(tblPiNAnalysis[[#This Row],[Shelter]]/tblPiNAnalysis[[#This Row],[Population]], 0.05)), "")</f>
        <v>0.65</v>
      </c>
      <c r="AD10" s="308">
        <f>IFERROR(IF(tblPiNAnalysis[[#This Row],[WASH]]="", "", MROUND(tblPiNAnalysis[[#This Row],[WASH]]/tblPiNAnalysis[[#This Row],[Population]], 0.05)), "")</f>
        <v>0.35000000000000003</v>
      </c>
      <c r="AE10" s="306">
        <f>IFERROR(MROUND(tblPiNAnalysis[[#This Row],[CP]]/tblPiNAnalysis[[#This Row],[Population]], 0.05), "")</f>
        <v>0.2</v>
      </c>
      <c r="AF10" s="306">
        <f>IFERROR(MROUND(tblPiNAnalysis[[#This Row],[GBV]]/tblPiNAnalysis[[#This Row],[Population]], 0.05), "")</f>
        <v>0.1</v>
      </c>
      <c r="AG10" s="306">
        <f>IFERROR(MROUND(tblPiNAnalysis[[#This Row],[GP]]/tblPiNAnalysis[[#This Row],[Population]], 0.05), "")</f>
        <v>0.1</v>
      </c>
      <c r="AH10" s="306">
        <f>IFERROR(MROUND(tblPiNAnalysis[[#This Row],[HLP]]/tblPiNAnalysis[[#This Row],[Population]], 0.05), "")</f>
        <v>0.2</v>
      </c>
      <c r="AI10" s="309">
        <f>IFERROR(LARGE(tblPiNAnalysis[[#This Row],[CCCM]:[WASH]], 1), "")</f>
        <v>3177</v>
      </c>
      <c r="AJ10" s="310" t="str" cm="1">
        <f t="array" ref="AJ10">IF(tblPiNAnalysis[[#This Row],[Highest PiN]]="", "", _xlfn.TEXTJOIN(CHAR(10), TRUE, IF(tblPiNAnalysis[[#This Row],[Highest PiN]]=tblPiNAnalysis[[#This Row],[CCCM]:[WASH]], tblPiNAnalysis[[#Headers],[CCCM]:[WASH]], "")))</f>
        <v>Food Security</v>
      </c>
      <c r="AK10" s="311">
        <f>IF(tblPiNAnalysis[[#This Row],[Highest PiN]]="", "", tblPiNAnalysis[[#This Row],[Highest PiN]]/tblPiNAnalysis[[#This Row],[Population]])</f>
        <v>1</v>
      </c>
      <c r="AL10" s="312" t="str">
        <f>IF(SUM(tblPiNAnalysis[[#This Row],[CCCM]:[WASH]])=0, "",IF(COUNTIF(tblPiNAnalysis[[#This Row],[CCCM]:[WASH]],"=0")+COUNTIF(tblPiNAnalysis[[#This Row],[CCCM]:[WASH]],"")&gt;=zero_pin_thresh, "Flagged", ""))</f>
        <v/>
      </c>
      <c r="AM10" s="313" t="str">
        <f>IFERROR(IF(tblPiNAnalysis[[#This Row],[Highest PiN]]="", "", IF(tblPiNAnalysis[[#This Row],[Highest sector(s'') PiN %]]&gt;=flag_pin_perc, "Flagged", "")), "")</f>
        <v>Flagged</v>
      </c>
      <c r="AN10" s="314" t="str" cm="1">
        <f t="array" ref="AN10">IF(tblPiNAnalysis[[#This Row],[Highest PiN]]=0, "",  IF(OR(COUNTIF(tblPiNAnalysis[[#This Row],[Highest sector(s)]],tblSubSectorPopulation[Sector])), "Flagged", ""))</f>
        <v/>
      </c>
      <c r="AO10" s="46" cm="1">
        <f t="array" ref="AO1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2005</v>
      </c>
      <c r="AP10" s="315" t="str" cm="1">
        <f t="array" ref="AP10">IF(tblPiNAnalysis[[#This Row],[2nd Highest PiN]]="", "", _xlfn.TEXTJOIN(CHAR(10), TRUE, IF(tblPiNAnalysis[[#This Row],[2nd Highest PiN]]=tblPiNAnalysis[[#This Row],[CCCM]:[WASH]], tblPiNAnalysis[[#Headers],[CCCM]:[WASH]], "")))</f>
        <v>Shelter</v>
      </c>
      <c r="AQ10" s="35">
        <f>IFERROR(tblPiNAnalysis[[#This Row],[2nd Highest PiN]]/tblPiNAnalysis[[#This Row],[Population]], "")</f>
        <v>0.63109852061693417</v>
      </c>
      <c r="AR10" s="46">
        <f>IFERROR(tblPiNAnalysis[[#This Row],[Highest PiN]]-tblPiNAnalysis[[#This Row],[2nd Highest PiN]], "")</f>
        <v>1172</v>
      </c>
      <c r="AS10" s="38">
        <f>IFERROR(((tblPiNAnalysis[[#This Row],[Highest PiN]]-tblPiNAnalysis[[#This Row],[2nd Highest PiN]])/tblPiNAnalysis[[#This Row],[2nd Highest PiN]]),"")</f>
        <v>0.5845386533665835</v>
      </c>
      <c r="AT10" s="38" t="str" cm="1">
        <f t="array" ref="AT1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 s="316" cm="1">
        <f t="array" ref="AU1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1957</v>
      </c>
      <c r="AV10" s="186" t="str" cm="1">
        <f t="array" ref="AV10">IF(tblPiNAnalysis[[#This Row],[3rd Highest PiN]]="", "", _xlfn.TEXTJOIN(CHAR(10), TRUE, IF(tblPiNAnalysis[[#This Row],[3rd Highest PiN]]=tblPiNAnalysis[[#This Row],[CCCM]:[WASH]], tblPiNAnalysis[[#Headers],[CCCM]:[WASH]], "")))</f>
        <v>CCCM</v>
      </c>
      <c r="AW10" s="186">
        <f>IFERROR(tblPiNAnalysis[[#This Row],[3rd Highest PiN]]/tblPiNAnalysis[[#This Row],[Population]], "")</f>
        <v>0.61598992760465854</v>
      </c>
      <c r="AX10" s="45">
        <f>IFERROR(tblPiNAnalysis[[#This Row],[Highest PiN]]-tblPiNAnalysis[[#This Row],[3rd Highest PiN]],"")</f>
        <v>1220</v>
      </c>
      <c r="AY10" s="38">
        <f>IFERROR(tblPiNAnalysis[[#This Row],[Difference of PiN between Highest and 3rd Highest]]/tblPiNAnalysis[[#This Row],[3rd Highest PiN]], "")</f>
        <v>0.62340316811446095</v>
      </c>
      <c r="AZ10" s="314" t="str" cm="1">
        <f t="array" ref="AZ1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 s="288" cm="1">
        <f t="array" ref="BA10">IFERROR(IF(tblPiNAnalysis[[#This Row],[ID]]="", "", INDEX(tblPiNHistorical[[CCCM]:[WASH]], MATCH(tblPiNAnalysis[[#This Row],[ID]],tblPiNHistorical[ID], 0),MATCH(_xlfn._xlws.FILTER(tblPiNAnalysis[[#Headers],[CCCM]:[WASH]], tblPiNAnalysis[[#This Row],[Highest PiN]]=tblPiNAnalysis[[#This Row],[CCCM]:[WASH]]), tblPiNHistorical[[#Headers],[CCCM]:[WASH]], 0))), "")</f>
        <v>0.7</v>
      </c>
      <c r="BB10" s="317" t="str" cm="1">
        <f t="array" ref="BB1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 s="265" cm="1">
        <f t="array" ref="BC10">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10" s="318" t="str" cm="1">
        <f t="array" ref="BD1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 s="356">
        <f>INDEX(tblSeverityAnalysis[Final Severity], MATCH(tblPiNAnalysis[[#This Row],[ID]],tblSeverityAnalysis[ID], 0))</f>
        <v>3</v>
      </c>
      <c r="BF10" s="59">
        <f>IF(tblPiNAnalysis[[#This Row],[Severity]]&gt;2,tblPiNAnalysis[[#This Row],[Highest PiN]],)</f>
        <v>3177</v>
      </c>
      <c r="BG10" s="187"/>
      <c r="BH10" s="188"/>
      <c r="BI10" s="189">
        <f>COUNTIFS(tblPiNAnalysis[[#This Row],[Number of missing / zero PiNs greater than threshold - Data quality]:[Manual Flag]],"Flagged")</f>
        <v>3</v>
      </c>
      <c r="BJ10" s="94" t="str">
        <f>IF(tblPiNAnalysis[[#This Row],['# Flags]]&gt;0, "Flagged", "")</f>
        <v>Flagged</v>
      </c>
      <c r="BK10" s="310">
        <f>tblPiNAnalysis[[#This Row],[Preliminary PiN]]</f>
        <v>3177</v>
      </c>
      <c r="BL10" s="315"/>
      <c r="BM10" s="256">
        <f>IFERROR(IF(tblPiNAnalysis[[#This Row],[Severity]]=3,tblPiNAnalysis[[#This Row],[Final PiN]]*Thresholds!$D$35,tblPiNAnalysis[[#This Row],[Final PiN]]*Thresholds!$D$36),)</f>
        <v>1588.5</v>
      </c>
      <c r="BN10" s="256">
        <f>IFERROR(IF(tblPiNAnalysis[[#This Row],[Severity]]&gt;3,tblPiNAnalysis[[#This Row],[Final PiN]]*Thresholds!$D$36,),)</f>
        <v>0</v>
      </c>
      <c r="BO10" s="17"/>
      <c r="BP10" s="17"/>
      <c r="BQ10" s="17"/>
      <c r="BT10" s="391"/>
      <c r="BU10" s="17"/>
      <c r="BV10" s="17"/>
      <c r="BW10" s="17"/>
      <c r="BX10" s="17"/>
      <c r="BY10" s="17"/>
      <c r="CB10" s="17"/>
      <c r="CD10" s="24"/>
      <c r="CE10" s="21"/>
      <c r="CF10" s="17"/>
    </row>
    <row r="11" spans="1:84" ht="24.95" customHeight="1">
      <c r="A11" s="30" t="s">
        <v>162</v>
      </c>
      <c r="B11" s="39" t="s">
        <v>146</v>
      </c>
      <c r="C11" s="213" t="s">
        <v>147</v>
      </c>
      <c r="D11" s="340" t="s">
        <v>163</v>
      </c>
      <c r="E11" s="103" t="s">
        <v>162</v>
      </c>
      <c r="F11" s="98"/>
      <c r="G11" s="33"/>
      <c r="H11" s="33"/>
      <c r="I11" s="95">
        <v>11706</v>
      </c>
      <c r="J11" s="95" t="s">
        <v>149</v>
      </c>
      <c r="K11" s="390">
        <v>11706</v>
      </c>
      <c r="L11" s="303">
        <v>1776</v>
      </c>
      <c r="M11" s="303">
        <v>973</v>
      </c>
      <c r="N11" s="303">
        <v>3796</v>
      </c>
      <c r="O11" s="303">
        <v>238.34416903966203</v>
      </c>
      <c r="P11" s="303">
        <v>7033</v>
      </c>
      <c r="Q11" s="304">
        <v>1513</v>
      </c>
      <c r="R11" s="303">
        <v>6409</v>
      </c>
      <c r="S11" s="32">
        <v>2220</v>
      </c>
      <c r="T11" s="32">
        <v>1309</v>
      </c>
      <c r="U11" s="32">
        <v>7033</v>
      </c>
      <c r="V11" s="303">
        <v>2220</v>
      </c>
      <c r="W11" s="305">
        <f>IFERROR(IF(tblPiNAnalysis[[#This Row],[CCCM]]="", "", MROUND(tblPiNAnalysis[[#This Row],[CCCM]]/tblPiNAnalysis[[#This Row],[Population]], 0.05)), "")</f>
        <v>1</v>
      </c>
      <c r="X11" s="306">
        <f>IFERROR(IF(tblPiNAnalysis[[#This Row],[Education]]="", "", MROUND(tblPiNAnalysis[[#This Row],[Education]]/tblPiNAnalysis[[#This Row],[Population]], 0.05)), "")</f>
        <v>0.15000000000000002</v>
      </c>
      <c r="Y11" s="306">
        <f>IFERROR(IF(tblPiNAnalysis[[#This Row],[Nutrition]]="", "", MROUND(tblPiNAnalysis[[#This Row],[Nutrition]]/tblPiNAnalysis[[#This Row],[Population]], 0.05)), "")</f>
        <v>0.1</v>
      </c>
      <c r="Z11" s="306">
        <f>IFERROR(IF(tblPiNAnalysis[[#This Row],[Food Security]]="", "", MROUND(tblPiNAnalysis[[#This Row],[Food Security]]/tblPiNAnalysis[[#This Row],[Population]], 0.05)), "")</f>
        <v>0.30000000000000004</v>
      </c>
      <c r="AA11" s="306">
        <f>IFERROR(IF(tblPiNAnalysis[[#This Row],[Health]]="", "", MROUND(tblPiNAnalysis[[#This Row],[Health]]/tblPiNAnalysis[[#This Row],[Population]], 0.05)), "")</f>
        <v>0</v>
      </c>
      <c r="AB11" s="307">
        <f>IFERROR(IF(tblPiNAnalysis[[#This Row],[Overarching Protection]]="", "", MROUND(tblPiNAnalysis[[#This Row],[Overarching Protection]]/tblPiNAnalysis[[#This Row],[Population]], 0.05)), "")</f>
        <v>0.60000000000000009</v>
      </c>
      <c r="AC11" s="307">
        <f>IFERROR(IF(tblPiNAnalysis[[#This Row],[Shelter]]="", "", MROUND(tblPiNAnalysis[[#This Row],[Shelter]]/tblPiNAnalysis[[#This Row],[Population]], 0.05)), "")</f>
        <v>0.15000000000000002</v>
      </c>
      <c r="AD11" s="308">
        <f>IFERROR(IF(tblPiNAnalysis[[#This Row],[WASH]]="", "", MROUND(tblPiNAnalysis[[#This Row],[WASH]]/tblPiNAnalysis[[#This Row],[Population]], 0.05)), "")</f>
        <v>0.55000000000000004</v>
      </c>
      <c r="AE11" s="306">
        <f>IFERROR(MROUND(tblPiNAnalysis[[#This Row],[CP]]/tblPiNAnalysis[[#This Row],[Population]], 0.05), "")</f>
        <v>0.2</v>
      </c>
      <c r="AF11" s="306">
        <f>IFERROR(MROUND(tblPiNAnalysis[[#This Row],[GBV]]/tblPiNAnalysis[[#This Row],[Population]], 0.05), "")</f>
        <v>0.1</v>
      </c>
      <c r="AG11" s="306">
        <f>IFERROR(MROUND(tblPiNAnalysis[[#This Row],[GP]]/tblPiNAnalysis[[#This Row],[Population]], 0.05), "")</f>
        <v>0.60000000000000009</v>
      </c>
      <c r="AH11" s="306">
        <f>IFERROR(MROUND(tblPiNAnalysis[[#This Row],[HLP]]/tblPiNAnalysis[[#This Row],[Population]], 0.05), "")</f>
        <v>0.2</v>
      </c>
      <c r="AI11" s="309">
        <f>IFERROR(LARGE(tblPiNAnalysis[[#This Row],[CCCM]:[WASH]], 1), "")</f>
        <v>11706</v>
      </c>
      <c r="AJ11" s="310" t="str" cm="1">
        <f t="array" ref="AJ11">IF(tblPiNAnalysis[[#This Row],[Highest PiN]]="", "", _xlfn.TEXTJOIN(CHAR(10), TRUE, IF(tblPiNAnalysis[[#This Row],[Highest PiN]]=tblPiNAnalysis[[#This Row],[CCCM]:[WASH]], tblPiNAnalysis[[#Headers],[CCCM]:[WASH]], "")))</f>
        <v>CCCM</v>
      </c>
      <c r="AK11" s="311">
        <f>IF(tblPiNAnalysis[[#This Row],[Highest PiN]]="", "", tblPiNAnalysis[[#This Row],[Highest PiN]]/tblPiNAnalysis[[#This Row],[Population]])</f>
        <v>1</v>
      </c>
      <c r="AL11" s="312" t="str">
        <f>IF(SUM(tblPiNAnalysis[[#This Row],[CCCM]:[WASH]])=0, "",IF(COUNTIF(tblPiNAnalysis[[#This Row],[CCCM]:[WASH]],"=0")+COUNTIF(tblPiNAnalysis[[#This Row],[CCCM]:[WASH]],"")&gt;=zero_pin_thresh, "Flagged", ""))</f>
        <v/>
      </c>
      <c r="AM11" s="313" t="str">
        <f>IFERROR(IF(tblPiNAnalysis[[#This Row],[Highest PiN]]="", "", IF(tblPiNAnalysis[[#This Row],[Highest sector(s'') PiN %]]&gt;=flag_pin_perc, "Flagged", "")), "")</f>
        <v>Flagged</v>
      </c>
      <c r="AN11" s="314" t="str" cm="1">
        <f t="array" ref="AN11">IF(tblPiNAnalysis[[#This Row],[Highest PiN]]=0, "",  IF(OR(COUNTIF(tblPiNAnalysis[[#This Row],[Highest sector(s)]],tblSubSectorPopulation[Sector])), "Flagged", ""))</f>
        <v/>
      </c>
      <c r="AO11" s="46" cm="1">
        <f t="array" ref="AO1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7033</v>
      </c>
      <c r="AP11" s="315" t="str" cm="1">
        <f t="array" ref="AP11">IF(tblPiNAnalysis[[#This Row],[2nd Highest PiN]]="", "", _xlfn.TEXTJOIN(CHAR(10), TRUE, IF(tblPiNAnalysis[[#This Row],[2nd Highest PiN]]=tblPiNAnalysis[[#This Row],[CCCM]:[WASH]], tblPiNAnalysis[[#Headers],[CCCM]:[WASH]], "")))</f>
        <v>Overarching Protection</v>
      </c>
      <c r="AQ11" s="35">
        <f>IFERROR(tblPiNAnalysis[[#This Row],[2nd Highest PiN]]/tblPiNAnalysis[[#This Row],[Population]], "")</f>
        <v>0.6008030070049547</v>
      </c>
      <c r="AR11" s="46">
        <f>IFERROR(tblPiNAnalysis[[#This Row],[Highest PiN]]-tblPiNAnalysis[[#This Row],[2nd Highest PiN]], "")</f>
        <v>4673</v>
      </c>
      <c r="AS11" s="38">
        <f>IFERROR(((tblPiNAnalysis[[#This Row],[Highest PiN]]-tblPiNAnalysis[[#This Row],[2nd Highest PiN]])/tblPiNAnalysis[[#This Row],[2nd Highest PiN]]),"")</f>
        <v>0.66443907294184557</v>
      </c>
      <c r="AT11" s="38" t="str" cm="1">
        <f t="array" ref="AT1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1" s="316" cm="1">
        <f t="array" ref="AU1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6409</v>
      </c>
      <c r="AV11" s="186" t="str" cm="1">
        <f t="array" ref="AV11">IF(tblPiNAnalysis[[#This Row],[3rd Highest PiN]]="", "", _xlfn.TEXTJOIN(CHAR(10), TRUE, IF(tblPiNAnalysis[[#This Row],[3rd Highest PiN]]=tblPiNAnalysis[[#This Row],[CCCM]:[WASH]], tblPiNAnalysis[[#Headers],[CCCM]:[WASH]], "")))</f>
        <v>WASH</v>
      </c>
      <c r="AW11" s="186">
        <f>IFERROR(tblPiNAnalysis[[#This Row],[3rd Highest PiN]]/tblPiNAnalysis[[#This Row],[Population]], "")</f>
        <v>0.54749701008030072</v>
      </c>
      <c r="AX11" s="45">
        <f>IFERROR(tblPiNAnalysis[[#This Row],[Highest PiN]]-tblPiNAnalysis[[#This Row],[3rd Highest PiN]],"")</f>
        <v>5297</v>
      </c>
      <c r="AY11" s="38">
        <f>IFERROR(tblPiNAnalysis[[#This Row],[Difference of PiN between Highest and 3rd Highest]]/tblPiNAnalysis[[#This Row],[3rd Highest PiN]], "")</f>
        <v>0.82649399282259328</v>
      </c>
      <c r="AZ11" s="314" t="str" cm="1">
        <f t="array" ref="AZ1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 s="288" cm="1">
        <f t="array" ref="BA11">IFERROR(IF(tblPiNAnalysis[[#This Row],[ID]]="", "", INDEX(tblPiNHistorical[[CCCM]:[WASH]], MATCH(tblPiNAnalysis[[#This Row],[ID]],tblPiNHistorical[ID], 0),MATCH(_xlfn._xlws.FILTER(tblPiNAnalysis[[#Headers],[CCCM]:[WASH]], tblPiNAnalysis[[#This Row],[Highest PiN]]=tblPiNAnalysis[[#This Row],[CCCM]:[WASH]]), tblPiNHistorical[[#Headers],[CCCM]:[WASH]], 0))), "")</f>
        <v>15.7</v>
      </c>
      <c r="BB11" s="317" t="str" cm="1">
        <f t="array" ref="BB1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1" s="265" cm="1">
        <f t="array" ref="BC11">IFERROR(IF(tblPiNAnalysis[[#This Row],[ID]]="", "", INDEX(tblPiNHistorical[[CCCM]:[WASH]], MATCH(tblPiNAnalysis[[#This Row],[ID]],tblPiNHistorical[ID], 0),MATCH(_xlfn._xlws.FILTER(tblPiNAnalysis[[#Headers],[CCCM]:[WASH]], tblPiNAnalysis[[#This Row],[2nd Highest PiN]]=tblPiNAnalysis[[#This Row],[CCCM]:[WASH]]), tblPiNHistorical[[#Headers],[CCCM]:[WASH]], 0))), "")</f>
        <v>1</v>
      </c>
      <c r="BD11" s="318" t="str" cm="1">
        <f t="array" ref="BD1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11" s="356">
        <f>INDEX(tblSeverityAnalysis[Final Severity], MATCH(tblPiNAnalysis[[#This Row],[ID]],tblSeverityAnalysis[ID], 0))</f>
        <v>3</v>
      </c>
      <c r="BF11" s="59">
        <f>IF(tblPiNAnalysis[[#This Row],[Severity]]&gt;2,tblPiNAnalysis[[#This Row],[Highest PiN]],)</f>
        <v>11706</v>
      </c>
      <c r="BG11" s="187"/>
      <c r="BH11" s="188"/>
      <c r="BI11" s="189">
        <f>COUNTIFS(tblPiNAnalysis[[#This Row],[Number of missing / zero PiNs greater than threshold - Data quality]:[Manual Flag]],"Flagged")</f>
        <v>5</v>
      </c>
      <c r="BJ11" s="94" t="str">
        <f>IF(tblPiNAnalysis[[#This Row],['# Flags]]&gt;0, "Flagged", "")</f>
        <v>Flagged</v>
      </c>
      <c r="BK11" s="310">
        <f>tblPiNAnalysis[[#This Row],[Preliminary PiN]]</f>
        <v>11706</v>
      </c>
      <c r="BL11" s="315"/>
      <c r="BM11" s="256">
        <f>IFERROR(IF(tblPiNAnalysis[[#This Row],[Severity]]=3,tblPiNAnalysis[[#This Row],[Final PiN]]*Thresholds!$D$35,tblPiNAnalysis[[#This Row],[Final PiN]]*Thresholds!$D$36),)</f>
        <v>5853</v>
      </c>
      <c r="BN11" s="256">
        <f>IFERROR(IF(tblPiNAnalysis[[#This Row],[Severity]]&gt;3,tblPiNAnalysis[[#This Row],[Final PiN]]*Thresholds!$D$36,),)</f>
        <v>0</v>
      </c>
      <c r="BO11" s="17"/>
      <c r="BP11" s="17"/>
      <c r="BQ11" s="17"/>
      <c r="BT11" s="391"/>
      <c r="BU11" s="17"/>
      <c r="BV11" s="17"/>
      <c r="BW11" s="17"/>
      <c r="BX11" s="17"/>
      <c r="BY11" s="17"/>
      <c r="CB11" s="17"/>
      <c r="CD11" s="24"/>
      <c r="CE11" s="21"/>
      <c r="CF11" s="17"/>
    </row>
    <row r="12" spans="1:84" ht="24.95" customHeight="1">
      <c r="A12" s="30" t="s">
        <v>164</v>
      </c>
      <c r="B12" s="39" t="s">
        <v>146</v>
      </c>
      <c r="C12" s="213" t="s">
        <v>147</v>
      </c>
      <c r="D12" s="340" t="s">
        <v>165</v>
      </c>
      <c r="E12" s="103" t="s">
        <v>164</v>
      </c>
      <c r="F12" s="98"/>
      <c r="G12" s="33"/>
      <c r="H12" s="33"/>
      <c r="I12" s="95">
        <v>60466</v>
      </c>
      <c r="J12" s="95" t="s">
        <v>149</v>
      </c>
      <c r="K12" s="390">
        <v>60466</v>
      </c>
      <c r="L12" s="303">
        <v>5415</v>
      </c>
      <c r="M12" s="303">
        <v>5002</v>
      </c>
      <c r="N12" s="303">
        <v>20606</v>
      </c>
      <c r="O12" s="303">
        <v>1247.8018037536478</v>
      </c>
      <c r="P12" s="303">
        <v>24270</v>
      </c>
      <c r="Q12" s="304">
        <v>40799</v>
      </c>
      <c r="R12" s="303">
        <v>33267</v>
      </c>
      <c r="S12" s="32">
        <v>11450</v>
      </c>
      <c r="T12" s="32">
        <v>6755</v>
      </c>
      <c r="U12" s="32">
        <v>24270</v>
      </c>
      <c r="V12" s="303">
        <v>5725</v>
      </c>
      <c r="W12" s="305">
        <f>IFERROR(IF(tblPiNAnalysis[[#This Row],[CCCM]]="", "", MROUND(tblPiNAnalysis[[#This Row],[CCCM]]/tblPiNAnalysis[[#This Row],[Population]], 0.05)), "")</f>
        <v>1</v>
      </c>
      <c r="X12" s="306">
        <f>IFERROR(IF(tblPiNAnalysis[[#This Row],[Education]]="", "", MROUND(tblPiNAnalysis[[#This Row],[Education]]/tblPiNAnalysis[[#This Row],[Population]], 0.05)), "")</f>
        <v>0.1</v>
      </c>
      <c r="Y12" s="306">
        <f>IFERROR(IF(tblPiNAnalysis[[#This Row],[Nutrition]]="", "", MROUND(tblPiNAnalysis[[#This Row],[Nutrition]]/tblPiNAnalysis[[#This Row],[Population]], 0.05)), "")</f>
        <v>0.1</v>
      </c>
      <c r="Z12" s="306">
        <f>IFERROR(IF(tblPiNAnalysis[[#This Row],[Food Security]]="", "", MROUND(tblPiNAnalysis[[#This Row],[Food Security]]/tblPiNAnalysis[[#This Row],[Population]], 0.05)), "")</f>
        <v>0.35000000000000003</v>
      </c>
      <c r="AA12" s="306">
        <f>IFERROR(IF(tblPiNAnalysis[[#This Row],[Health]]="", "", MROUND(tblPiNAnalysis[[#This Row],[Health]]/tblPiNAnalysis[[#This Row],[Population]], 0.05)), "")</f>
        <v>0</v>
      </c>
      <c r="AB12" s="307">
        <f>IFERROR(IF(tblPiNAnalysis[[#This Row],[Overarching Protection]]="", "", MROUND(tblPiNAnalysis[[#This Row],[Overarching Protection]]/tblPiNAnalysis[[#This Row],[Population]], 0.05)), "")</f>
        <v>0.4</v>
      </c>
      <c r="AC12" s="307">
        <f>IFERROR(IF(tblPiNAnalysis[[#This Row],[Shelter]]="", "", MROUND(tblPiNAnalysis[[#This Row],[Shelter]]/tblPiNAnalysis[[#This Row],[Population]], 0.05)), "")</f>
        <v>0.65</v>
      </c>
      <c r="AD12" s="308">
        <f>IFERROR(IF(tblPiNAnalysis[[#This Row],[WASH]]="", "", MROUND(tblPiNAnalysis[[#This Row],[WASH]]/tblPiNAnalysis[[#This Row],[Population]], 0.05)), "")</f>
        <v>0.55000000000000004</v>
      </c>
      <c r="AE12" s="306">
        <f>IFERROR(MROUND(tblPiNAnalysis[[#This Row],[CP]]/tblPiNAnalysis[[#This Row],[Population]], 0.05), "")</f>
        <v>0.2</v>
      </c>
      <c r="AF12" s="306">
        <f>IFERROR(MROUND(tblPiNAnalysis[[#This Row],[GBV]]/tblPiNAnalysis[[#This Row],[Population]], 0.05), "")</f>
        <v>0.1</v>
      </c>
      <c r="AG12" s="306">
        <f>IFERROR(MROUND(tblPiNAnalysis[[#This Row],[GP]]/tblPiNAnalysis[[#This Row],[Population]], 0.05), "")</f>
        <v>0.4</v>
      </c>
      <c r="AH12" s="306">
        <f>IFERROR(MROUND(tblPiNAnalysis[[#This Row],[HLP]]/tblPiNAnalysis[[#This Row],[Population]], 0.05), "")</f>
        <v>0.1</v>
      </c>
      <c r="AI12" s="309">
        <f>IFERROR(LARGE(tblPiNAnalysis[[#This Row],[CCCM]:[WASH]], 1), "")</f>
        <v>60466</v>
      </c>
      <c r="AJ12" s="310" t="str" cm="1">
        <f t="array" ref="AJ12">IF(tblPiNAnalysis[[#This Row],[Highest PiN]]="", "", _xlfn.TEXTJOIN(CHAR(10), TRUE, IF(tblPiNAnalysis[[#This Row],[Highest PiN]]=tblPiNAnalysis[[#This Row],[CCCM]:[WASH]], tblPiNAnalysis[[#Headers],[CCCM]:[WASH]], "")))</f>
        <v>CCCM</v>
      </c>
      <c r="AK12" s="311">
        <f>IF(tblPiNAnalysis[[#This Row],[Highest PiN]]="", "", tblPiNAnalysis[[#This Row],[Highest PiN]]/tblPiNAnalysis[[#This Row],[Population]])</f>
        <v>1</v>
      </c>
      <c r="AL12" s="312" t="str">
        <f>IF(SUM(tblPiNAnalysis[[#This Row],[CCCM]:[WASH]])=0, "",IF(COUNTIF(tblPiNAnalysis[[#This Row],[CCCM]:[WASH]],"=0")+COUNTIF(tblPiNAnalysis[[#This Row],[CCCM]:[WASH]],"")&gt;=zero_pin_thresh, "Flagged", ""))</f>
        <v/>
      </c>
      <c r="AM12" s="313" t="str">
        <f>IFERROR(IF(tblPiNAnalysis[[#This Row],[Highest PiN]]="", "", IF(tblPiNAnalysis[[#This Row],[Highest sector(s'') PiN %]]&gt;=flag_pin_perc, "Flagged", "")), "")</f>
        <v>Flagged</v>
      </c>
      <c r="AN12" s="314" t="str" cm="1">
        <f t="array" ref="AN12">IF(tblPiNAnalysis[[#This Row],[Highest PiN]]=0, "",  IF(OR(COUNTIF(tblPiNAnalysis[[#This Row],[Highest sector(s)]],tblSubSectorPopulation[Sector])), "Flagged", ""))</f>
        <v/>
      </c>
      <c r="AO12" s="46" cm="1">
        <f t="array" ref="AO1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40799</v>
      </c>
      <c r="AP12" s="315" t="str" cm="1">
        <f t="array" ref="AP12">IF(tblPiNAnalysis[[#This Row],[2nd Highest PiN]]="", "", _xlfn.TEXTJOIN(CHAR(10), TRUE, IF(tblPiNAnalysis[[#This Row],[2nd Highest PiN]]=tblPiNAnalysis[[#This Row],[CCCM]:[WASH]], tblPiNAnalysis[[#Headers],[CCCM]:[WASH]], "")))</f>
        <v>Shelter</v>
      </c>
      <c r="AQ12" s="35">
        <f>IFERROR(tblPiNAnalysis[[#This Row],[2nd Highest PiN]]/tblPiNAnalysis[[#This Row],[Population]], "")</f>
        <v>0.67474283068170537</v>
      </c>
      <c r="AR12" s="46">
        <f>IFERROR(tblPiNAnalysis[[#This Row],[Highest PiN]]-tblPiNAnalysis[[#This Row],[2nd Highest PiN]], "")</f>
        <v>19667</v>
      </c>
      <c r="AS12" s="38">
        <f>IFERROR(((tblPiNAnalysis[[#This Row],[Highest PiN]]-tblPiNAnalysis[[#This Row],[2nd Highest PiN]])/tblPiNAnalysis[[#This Row],[2nd Highest PiN]]),"")</f>
        <v>0.48204612858158286</v>
      </c>
      <c r="AT12" s="38" t="str" cm="1">
        <f t="array" ref="AT1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 s="316" cm="1">
        <f t="array" ref="AU1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33267</v>
      </c>
      <c r="AV12" s="186" t="str" cm="1">
        <f t="array" ref="AV12">IF(tblPiNAnalysis[[#This Row],[3rd Highest PiN]]="", "", _xlfn.TEXTJOIN(CHAR(10), TRUE, IF(tblPiNAnalysis[[#This Row],[3rd Highest PiN]]=tblPiNAnalysis[[#This Row],[CCCM]:[WASH]], tblPiNAnalysis[[#Headers],[CCCM]:[WASH]], "")))</f>
        <v>WASH</v>
      </c>
      <c r="AW12" s="186">
        <f>IFERROR(tblPiNAnalysis[[#This Row],[3rd Highest PiN]]/tblPiNAnalysis[[#This Row],[Population]], "")</f>
        <v>0.55017695895213836</v>
      </c>
      <c r="AX12" s="45">
        <f>IFERROR(tblPiNAnalysis[[#This Row],[Highest PiN]]-tblPiNAnalysis[[#This Row],[3rd Highest PiN]],"")</f>
        <v>27199</v>
      </c>
      <c r="AY12" s="38">
        <f>IFERROR(tblPiNAnalysis[[#This Row],[Difference of PiN between Highest and 3rd Highest]]/tblPiNAnalysis[[#This Row],[3rd Highest PiN]], "")</f>
        <v>0.8175970180659512</v>
      </c>
      <c r="AZ12" s="314" t="str" cm="1">
        <f t="array" ref="AZ1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 s="288" cm="1">
        <f t="array" ref="BA12">IFERROR(IF(tblPiNAnalysis[[#This Row],[ID]]="", "", INDEX(tblPiNHistorical[[CCCM]:[WASH]], MATCH(tblPiNAnalysis[[#This Row],[ID]],tblPiNHistorical[ID], 0),MATCH(_xlfn._xlws.FILTER(tblPiNAnalysis[[#Headers],[CCCM]:[WASH]], tblPiNAnalysis[[#This Row],[Highest PiN]]=tblPiNAnalysis[[#This Row],[CCCM]:[WASH]]), tblPiNHistorical[[#Headers],[CCCM]:[WASH]], 0))), "")</f>
        <v>0.5</v>
      </c>
      <c r="BB12" s="317" t="str" cm="1">
        <f t="array" ref="BB1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 s="265" cm="1">
        <f t="array" ref="BC12">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12" s="318" t="str" cm="1">
        <f t="array" ref="BD1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 s="356">
        <f>INDEX(tblSeverityAnalysis[Final Severity], MATCH(tblPiNAnalysis[[#This Row],[ID]],tblSeverityAnalysis[ID], 0))</f>
        <v>3</v>
      </c>
      <c r="BF12" s="59">
        <f>IF(tblPiNAnalysis[[#This Row],[Severity]]&gt;2,tblPiNAnalysis[[#This Row],[Highest PiN]],)</f>
        <v>60466</v>
      </c>
      <c r="BG12" s="187"/>
      <c r="BH12" s="188"/>
      <c r="BI12" s="189">
        <f>COUNTIFS(tblPiNAnalysis[[#This Row],[Number of missing / zero PiNs greater than threshold - Data quality]:[Manual Flag]],"Flagged")</f>
        <v>3</v>
      </c>
      <c r="BJ12" s="94" t="str">
        <f>IF(tblPiNAnalysis[[#This Row],['# Flags]]&gt;0, "Flagged", "")</f>
        <v>Flagged</v>
      </c>
      <c r="BK12" s="310">
        <f>tblPiNAnalysis[[#This Row],[Preliminary PiN]]</f>
        <v>60466</v>
      </c>
      <c r="BL12" s="315"/>
      <c r="BM12" s="256">
        <f>IFERROR(IF(tblPiNAnalysis[[#This Row],[Severity]]=3,tblPiNAnalysis[[#This Row],[Final PiN]]*Thresholds!$D$35,tblPiNAnalysis[[#This Row],[Final PiN]]*Thresholds!$D$36),)</f>
        <v>30233</v>
      </c>
      <c r="BN12" s="256">
        <f>IFERROR(IF(tblPiNAnalysis[[#This Row],[Severity]]&gt;3,tblPiNAnalysis[[#This Row],[Final PiN]]*Thresholds!$D$36,),)</f>
        <v>0</v>
      </c>
      <c r="BO12" s="17"/>
      <c r="BP12" s="17"/>
      <c r="BQ12" s="17"/>
      <c r="BT12" s="391"/>
      <c r="BU12" s="17"/>
      <c r="BV12" s="17"/>
      <c r="BW12" s="17"/>
      <c r="BX12" s="17"/>
      <c r="BY12" s="17"/>
      <c r="CB12" s="17"/>
      <c r="CD12" s="24"/>
      <c r="CE12" s="21"/>
      <c r="CF12" s="17"/>
    </row>
    <row r="13" spans="1:84" ht="24.95" customHeight="1">
      <c r="A13" s="30" t="s">
        <v>166</v>
      </c>
      <c r="B13" s="39" t="s">
        <v>146</v>
      </c>
      <c r="C13" s="213" t="s">
        <v>147</v>
      </c>
      <c r="D13" s="340" t="s">
        <v>167</v>
      </c>
      <c r="E13" s="103" t="s">
        <v>166</v>
      </c>
      <c r="F13" s="98"/>
      <c r="G13" s="33"/>
      <c r="H13" s="33"/>
      <c r="I13" s="95">
        <v>1989</v>
      </c>
      <c r="J13" s="95" t="s">
        <v>149</v>
      </c>
      <c r="K13" s="390">
        <v>1989</v>
      </c>
      <c r="L13" s="303">
        <v>177</v>
      </c>
      <c r="M13" s="303">
        <v>173</v>
      </c>
      <c r="N13" s="303">
        <v>1989</v>
      </c>
      <c r="O13" s="303">
        <v>1318.1002940745823</v>
      </c>
      <c r="P13" s="303">
        <v>1253</v>
      </c>
      <c r="Q13" s="304">
        <v>726</v>
      </c>
      <c r="R13" s="303">
        <v>1243</v>
      </c>
      <c r="S13" s="32">
        <v>376</v>
      </c>
      <c r="T13" s="32">
        <v>777</v>
      </c>
      <c r="U13" s="32">
        <v>1253</v>
      </c>
      <c r="V13" s="303">
        <v>188</v>
      </c>
      <c r="W13" s="305">
        <f>IFERROR(IF(tblPiNAnalysis[[#This Row],[CCCM]]="", "", MROUND(tblPiNAnalysis[[#This Row],[CCCM]]/tblPiNAnalysis[[#This Row],[Population]], 0.05)), "")</f>
        <v>1</v>
      </c>
      <c r="X13" s="306">
        <f>IFERROR(IF(tblPiNAnalysis[[#This Row],[Education]]="", "", MROUND(tblPiNAnalysis[[#This Row],[Education]]/tblPiNAnalysis[[#This Row],[Population]], 0.05)), "")</f>
        <v>0.1</v>
      </c>
      <c r="Y13" s="306">
        <f>IFERROR(IF(tblPiNAnalysis[[#This Row],[Nutrition]]="", "", MROUND(tblPiNAnalysis[[#This Row],[Nutrition]]/tblPiNAnalysis[[#This Row],[Population]], 0.05)), "")</f>
        <v>0.1</v>
      </c>
      <c r="Z13" s="306">
        <f>IFERROR(IF(tblPiNAnalysis[[#This Row],[Food Security]]="", "", MROUND(tblPiNAnalysis[[#This Row],[Food Security]]/tblPiNAnalysis[[#This Row],[Population]], 0.05)), "")</f>
        <v>1</v>
      </c>
      <c r="AA13" s="306">
        <f>IFERROR(IF(tblPiNAnalysis[[#This Row],[Health]]="", "", MROUND(tblPiNAnalysis[[#This Row],[Health]]/tblPiNAnalysis[[#This Row],[Population]], 0.05)), "")</f>
        <v>0.65</v>
      </c>
      <c r="AB13" s="307">
        <f>IFERROR(IF(tblPiNAnalysis[[#This Row],[Overarching Protection]]="", "", MROUND(tblPiNAnalysis[[#This Row],[Overarching Protection]]/tblPiNAnalysis[[#This Row],[Population]], 0.05)), "")</f>
        <v>0.65</v>
      </c>
      <c r="AC13" s="307">
        <f>IFERROR(IF(tblPiNAnalysis[[#This Row],[Shelter]]="", "", MROUND(tblPiNAnalysis[[#This Row],[Shelter]]/tblPiNAnalysis[[#This Row],[Population]], 0.05)), "")</f>
        <v>0.35000000000000003</v>
      </c>
      <c r="AD13" s="308">
        <f>IFERROR(IF(tblPiNAnalysis[[#This Row],[WASH]]="", "", MROUND(tblPiNAnalysis[[#This Row],[WASH]]/tblPiNAnalysis[[#This Row],[Population]], 0.05)), "")</f>
        <v>0.60000000000000009</v>
      </c>
      <c r="AE13" s="306">
        <f>IFERROR(MROUND(tblPiNAnalysis[[#This Row],[CP]]/tblPiNAnalysis[[#This Row],[Population]], 0.05), "")</f>
        <v>0.2</v>
      </c>
      <c r="AF13" s="306">
        <f>IFERROR(MROUND(tblPiNAnalysis[[#This Row],[GBV]]/tblPiNAnalysis[[#This Row],[Population]], 0.05), "")</f>
        <v>0.4</v>
      </c>
      <c r="AG13" s="306">
        <f>IFERROR(MROUND(tblPiNAnalysis[[#This Row],[GP]]/tblPiNAnalysis[[#This Row],[Population]], 0.05), "")</f>
        <v>0.65</v>
      </c>
      <c r="AH13" s="306">
        <f>IFERROR(MROUND(tblPiNAnalysis[[#This Row],[HLP]]/tblPiNAnalysis[[#This Row],[Population]], 0.05), "")</f>
        <v>0.1</v>
      </c>
      <c r="AI13" s="309">
        <f>IFERROR(LARGE(tblPiNAnalysis[[#This Row],[CCCM]:[WASH]], 1), "")</f>
        <v>1989</v>
      </c>
      <c r="AJ13" s="310" t="str" cm="1">
        <f t="array" ref="AJ13">IF(tblPiNAnalysis[[#This Row],[Highest PiN]]="", "", _xlfn.TEXTJOIN(CHAR(10), TRUE, IF(tblPiNAnalysis[[#This Row],[Highest PiN]]=tblPiNAnalysis[[#This Row],[CCCM]:[WASH]], tblPiNAnalysis[[#Headers],[CCCM]:[WASH]], "")))</f>
        <v>CCCM
Food Security</v>
      </c>
      <c r="AK13" s="311">
        <f>IF(tblPiNAnalysis[[#This Row],[Highest PiN]]="", "", tblPiNAnalysis[[#This Row],[Highest PiN]]/tblPiNAnalysis[[#This Row],[Population]])</f>
        <v>1</v>
      </c>
      <c r="AL13" s="312" t="str">
        <f>IF(SUM(tblPiNAnalysis[[#This Row],[CCCM]:[WASH]])=0, "",IF(COUNTIF(tblPiNAnalysis[[#This Row],[CCCM]:[WASH]],"=0")+COUNTIF(tblPiNAnalysis[[#This Row],[CCCM]:[WASH]],"")&gt;=zero_pin_thresh, "Flagged", ""))</f>
        <v/>
      </c>
      <c r="AM13" s="313" t="str">
        <f>IFERROR(IF(tblPiNAnalysis[[#This Row],[Highest PiN]]="", "", IF(tblPiNAnalysis[[#This Row],[Highest sector(s'') PiN %]]&gt;=flag_pin_perc, "Flagged", "")), "")</f>
        <v>Flagged</v>
      </c>
      <c r="AN13" s="314" t="str" cm="1">
        <f t="array" ref="AN13">IF(tblPiNAnalysis[[#This Row],[Highest PiN]]=0, "",  IF(OR(COUNTIF(tblPiNAnalysis[[#This Row],[Highest sector(s)]],tblSubSectorPopulation[Sector])), "Flagged", ""))</f>
        <v/>
      </c>
      <c r="AO13" s="46" cm="1">
        <f t="array" ref="AO1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1318.1002940745823</v>
      </c>
      <c r="AP13" s="315" t="str" cm="1">
        <f t="array" ref="AP13">IF(tblPiNAnalysis[[#This Row],[2nd Highest PiN]]="", "", _xlfn.TEXTJOIN(CHAR(10), TRUE, IF(tblPiNAnalysis[[#This Row],[2nd Highest PiN]]=tblPiNAnalysis[[#This Row],[CCCM]:[WASH]], tblPiNAnalysis[[#Headers],[CCCM]:[WASH]], "")))</f>
        <v>Health</v>
      </c>
      <c r="AQ13" s="35">
        <f>IFERROR(tblPiNAnalysis[[#This Row],[2nd Highest PiN]]/tblPiNAnalysis[[#This Row],[Population]], "")</f>
        <v>0.66269496936881966</v>
      </c>
      <c r="AR13" s="46">
        <f>IFERROR(tblPiNAnalysis[[#This Row],[Highest PiN]]-tblPiNAnalysis[[#This Row],[2nd Highest PiN]], "")</f>
        <v>670.89970592541772</v>
      </c>
      <c r="AS13" s="38">
        <f>IFERROR(((tblPiNAnalysis[[#This Row],[Highest PiN]]-tblPiNAnalysis[[#This Row],[2nd Highest PiN]])/tblPiNAnalysis[[#This Row],[2nd Highest PiN]]),"")</f>
        <v>0.50898987652259498</v>
      </c>
      <c r="AT13" s="38" t="str" cm="1">
        <f t="array" ref="AT1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 s="316" cm="1">
        <f t="array" ref="AU1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1253</v>
      </c>
      <c r="AV13" s="186" t="str" cm="1">
        <f t="array" ref="AV13">IF(tblPiNAnalysis[[#This Row],[3rd Highest PiN]]="", "", _xlfn.TEXTJOIN(CHAR(10), TRUE, IF(tblPiNAnalysis[[#This Row],[3rd Highest PiN]]=tblPiNAnalysis[[#This Row],[CCCM]:[WASH]], tblPiNAnalysis[[#Headers],[CCCM]:[WASH]], "")))</f>
        <v>Overarching Protection</v>
      </c>
      <c r="AW13" s="186">
        <f>IFERROR(tblPiNAnalysis[[#This Row],[3rd Highest PiN]]/tblPiNAnalysis[[#This Row],[Population]], "")</f>
        <v>0.62996480643539465</v>
      </c>
      <c r="AX13" s="45">
        <f>IFERROR(tblPiNAnalysis[[#This Row],[Highest PiN]]-tblPiNAnalysis[[#This Row],[3rd Highest PiN]],"")</f>
        <v>736</v>
      </c>
      <c r="AY13" s="38">
        <f>IFERROR(tblPiNAnalysis[[#This Row],[Difference of PiN between Highest and 3rd Highest]]/tblPiNAnalysis[[#This Row],[3rd Highest PiN]], "")</f>
        <v>0.587390263367917</v>
      </c>
      <c r="AZ13" s="314" t="str" cm="1">
        <f t="array" ref="AZ1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 s="288" t="e" cm="1" vm="1">
        <f t="array" aca="1" ref="BA13"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13" s="317" t="str" cm="1">
        <f t="array" ref="BB1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 s="265" cm="1">
        <f t="array" ref="BC13">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13" s="318" t="str" cm="1">
        <f t="array" ref="BD1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 s="356">
        <f>INDEX(tblSeverityAnalysis[Final Severity], MATCH(tblPiNAnalysis[[#This Row],[ID]],tblSeverityAnalysis[ID], 0))</f>
        <v>3</v>
      </c>
      <c r="BF13" s="59">
        <f>IF(tblPiNAnalysis[[#This Row],[Severity]]&gt;2,tblPiNAnalysis[[#This Row],[Highest PiN]],)</f>
        <v>1989</v>
      </c>
      <c r="BG13" s="187"/>
      <c r="BH13" s="188"/>
      <c r="BI13" s="189">
        <f ca="1">COUNTIFS(tblPiNAnalysis[[#This Row],[Number of missing / zero PiNs greater than threshold - Data quality]:[Manual Flag]],"Flagged")</f>
        <v>1</v>
      </c>
      <c r="BJ13" s="94" t="str">
        <f ca="1">IF(tblPiNAnalysis[[#This Row],['# Flags]]&gt;0, "Flagged", "")</f>
        <v>Flagged</v>
      </c>
      <c r="BK13" s="310">
        <f>tblPiNAnalysis[[#This Row],[Preliminary PiN]]</f>
        <v>1989</v>
      </c>
      <c r="BL13" s="315"/>
      <c r="BM13" s="256">
        <f>IFERROR(IF(tblPiNAnalysis[[#This Row],[Severity]]=3,tblPiNAnalysis[[#This Row],[Final PiN]]*Thresholds!$D$35,tblPiNAnalysis[[#This Row],[Final PiN]]*Thresholds!$D$36),)</f>
        <v>994.5</v>
      </c>
      <c r="BN13" s="256">
        <f>IFERROR(IF(tblPiNAnalysis[[#This Row],[Severity]]&gt;3,tblPiNAnalysis[[#This Row],[Final PiN]]*Thresholds!$D$36,),)</f>
        <v>0</v>
      </c>
      <c r="BO13" s="17"/>
      <c r="BP13" s="17"/>
      <c r="BQ13" s="17"/>
      <c r="BT13" s="391"/>
      <c r="BU13" s="17"/>
      <c r="BV13" s="17"/>
      <c r="BW13" s="17"/>
      <c r="BX13" s="17"/>
      <c r="BY13" s="17"/>
      <c r="CB13" s="17"/>
      <c r="CD13" s="24"/>
      <c r="CE13" s="21"/>
      <c r="CF13" s="17"/>
    </row>
    <row r="14" spans="1:84" ht="24.95" customHeight="1">
      <c r="A14" s="30" t="s">
        <v>168</v>
      </c>
      <c r="B14" s="39" t="s">
        <v>146</v>
      </c>
      <c r="C14" s="213" t="s">
        <v>147</v>
      </c>
      <c r="D14" s="340" t="s">
        <v>169</v>
      </c>
      <c r="E14" s="103" t="s">
        <v>168</v>
      </c>
      <c r="F14" s="98"/>
      <c r="G14" s="33"/>
      <c r="H14" s="33"/>
      <c r="I14" s="95">
        <v>20334</v>
      </c>
      <c r="J14" s="95" t="s">
        <v>149</v>
      </c>
      <c r="K14" s="390">
        <v>455</v>
      </c>
      <c r="L14" s="303">
        <v>1548</v>
      </c>
      <c r="M14" s="303">
        <v>1935</v>
      </c>
      <c r="N14" s="303">
        <v>20334</v>
      </c>
      <c r="O14" s="303">
        <v>54.78261484723879</v>
      </c>
      <c r="P14" s="303">
        <v>4066</v>
      </c>
      <c r="Q14" s="304">
        <v>14409</v>
      </c>
      <c r="R14" s="303">
        <v>10369</v>
      </c>
      <c r="S14" s="32">
        <v>4066</v>
      </c>
      <c r="T14" s="32">
        <v>2398</v>
      </c>
      <c r="U14" s="32">
        <v>135</v>
      </c>
      <c r="V14" s="303">
        <v>4066</v>
      </c>
      <c r="W14" s="305">
        <f>IFERROR(IF(tblPiNAnalysis[[#This Row],[CCCM]]="", "", MROUND(tblPiNAnalysis[[#This Row],[CCCM]]/tblPiNAnalysis[[#This Row],[Population]], 0.05)), "")</f>
        <v>0</v>
      </c>
      <c r="X14" s="306">
        <f>IFERROR(IF(tblPiNAnalysis[[#This Row],[Education]]="", "", MROUND(tblPiNAnalysis[[#This Row],[Education]]/tblPiNAnalysis[[#This Row],[Population]], 0.05)), "")</f>
        <v>0.1</v>
      </c>
      <c r="Y14" s="306">
        <f>IFERROR(IF(tblPiNAnalysis[[#This Row],[Nutrition]]="", "", MROUND(tblPiNAnalysis[[#This Row],[Nutrition]]/tblPiNAnalysis[[#This Row],[Population]], 0.05)), "")</f>
        <v>0.1</v>
      </c>
      <c r="Z14" s="306">
        <f>IFERROR(IF(tblPiNAnalysis[[#This Row],[Food Security]]="", "", MROUND(tblPiNAnalysis[[#This Row],[Food Security]]/tblPiNAnalysis[[#This Row],[Population]], 0.05)), "")</f>
        <v>1</v>
      </c>
      <c r="AA14" s="306">
        <f>IFERROR(IF(tblPiNAnalysis[[#This Row],[Health]]="", "", MROUND(tblPiNAnalysis[[#This Row],[Health]]/tblPiNAnalysis[[#This Row],[Population]], 0.05)), "")</f>
        <v>0</v>
      </c>
      <c r="AB14" s="307">
        <f>IFERROR(IF(tblPiNAnalysis[[#This Row],[Overarching Protection]]="", "", MROUND(tblPiNAnalysis[[#This Row],[Overarching Protection]]/tblPiNAnalysis[[#This Row],[Population]], 0.05)), "")</f>
        <v>0.2</v>
      </c>
      <c r="AC14" s="307">
        <f>IFERROR(IF(tblPiNAnalysis[[#This Row],[Shelter]]="", "", MROUND(tblPiNAnalysis[[#This Row],[Shelter]]/tblPiNAnalysis[[#This Row],[Population]], 0.05)), "")</f>
        <v>0.70000000000000007</v>
      </c>
      <c r="AD14" s="308">
        <f>IFERROR(IF(tblPiNAnalysis[[#This Row],[WASH]]="", "", MROUND(tblPiNAnalysis[[#This Row],[WASH]]/tblPiNAnalysis[[#This Row],[Population]], 0.05)), "")</f>
        <v>0.5</v>
      </c>
      <c r="AE14" s="306">
        <f>IFERROR(MROUND(tblPiNAnalysis[[#This Row],[CP]]/tblPiNAnalysis[[#This Row],[Population]], 0.05), "")</f>
        <v>0.2</v>
      </c>
      <c r="AF14" s="306">
        <f>IFERROR(MROUND(tblPiNAnalysis[[#This Row],[GBV]]/tblPiNAnalysis[[#This Row],[Population]], 0.05), "")</f>
        <v>0.1</v>
      </c>
      <c r="AG14" s="306">
        <f>IFERROR(MROUND(tblPiNAnalysis[[#This Row],[GP]]/tblPiNAnalysis[[#This Row],[Population]], 0.05), "")</f>
        <v>0</v>
      </c>
      <c r="AH14" s="306">
        <f>IFERROR(MROUND(tblPiNAnalysis[[#This Row],[HLP]]/tblPiNAnalysis[[#This Row],[Population]], 0.05), "")</f>
        <v>0.2</v>
      </c>
      <c r="AI14" s="309">
        <f>IFERROR(LARGE(tblPiNAnalysis[[#This Row],[CCCM]:[WASH]], 1), "")</f>
        <v>20334</v>
      </c>
      <c r="AJ14" s="310" t="str" cm="1">
        <f t="array" ref="AJ14">IF(tblPiNAnalysis[[#This Row],[Highest PiN]]="", "", _xlfn.TEXTJOIN(CHAR(10), TRUE, IF(tblPiNAnalysis[[#This Row],[Highest PiN]]=tblPiNAnalysis[[#This Row],[CCCM]:[WASH]], tblPiNAnalysis[[#Headers],[CCCM]:[WASH]], "")))</f>
        <v>Food Security</v>
      </c>
      <c r="AK14" s="311">
        <f>IF(tblPiNAnalysis[[#This Row],[Highest PiN]]="", "", tblPiNAnalysis[[#This Row],[Highest PiN]]/tblPiNAnalysis[[#This Row],[Population]])</f>
        <v>1</v>
      </c>
      <c r="AL14" s="312" t="str">
        <f>IF(SUM(tblPiNAnalysis[[#This Row],[CCCM]:[WASH]])=0, "",IF(COUNTIF(tblPiNAnalysis[[#This Row],[CCCM]:[WASH]],"=0")+COUNTIF(tblPiNAnalysis[[#This Row],[CCCM]:[WASH]],"")&gt;=zero_pin_thresh, "Flagged", ""))</f>
        <v/>
      </c>
      <c r="AM14" s="313" t="str">
        <f>IFERROR(IF(tblPiNAnalysis[[#This Row],[Highest PiN]]="", "", IF(tblPiNAnalysis[[#This Row],[Highest sector(s'') PiN %]]&gt;=flag_pin_perc, "Flagged", "")), "")</f>
        <v>Flagged</v>
      </c>
      <c r="AN14" s="314" t="str" cm="1">
        <f t="array" ref="AN14">IF(tblPiNAnalysis[[#This Row],[Highest PiN]]=0, "",  IF(OR(COUNTIF(tblPiNAnalysis[[#This Row],[Highest sector(s)]],tblSubSectorPopulation[Sector])), "Flagged", ""))</f>
        <v/>
      </c>
      <c r="AO14" s="46" cm="1">
        <f t="array" ref="AO1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14409</v>
      </c>
      <c r="AP14" s="315" t="str" cm="1">
        <f t="array" ref="AP14">IF(tblPiNAnalysis[[#This Row],[2nd Highest PiN]]="", "", _xlfn.TEXTJOIN(CHAR(10), TRUE, IF(tblPiNAnalysis[[#This Row],[2nd Highest PiN]]=tblPiNAnalysis[[#This Row],[CCCM]:[WASH]], tblPiNAnalysis[[#Headers],[CCCM]:[WASH]], "")))</f>
        <v>Shelter</v>
      </c>
      <c r="AQ14" s="35">
        <f>IFERROR(tblPiNAnalysis[[#This Row],[2nd Highest PiN]]/tblPiNAnalysis[[#This Row],[Population]], "")</f>
        <v>0.70861611094718202</v>
      </c>
      <c r="AR14" s="46">
        <f>IFERROR(tblPiNAnalysis[[#This Row],[Highest PiN]]-tblPiNAnalysis[[#This Row],[2nd Highest PiN]], "")</f>
        <v>5925</v>
      </c>
      <c r="AS14" s="38">
        <f>IFERROR(((tblPiNAnalysis[[#This Row],[Highest PiN]]-tblPiNAnalysis[[#This Row],[2nd Highest PiN]])/tblPiNAnalysis[[#This Row],[2nd Highest PiN]]),"")</f>
        <v>0.41120133250052049</v>
      </c>
      <c r="AT14" s="38" t="str" cm="1">
        <f t="array" ref="AT1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4" s="316" cm="1">
        <f t="array" ref="AU1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10369</v>
      </c>
      <c r="AV14" s="186" t="str" cm="1">
        <f t="array" ref="AV14">IF(tblPiNAnalysis[[#This Row],[3rd Highest PiN]]="", "", _xlfn.TEXTJOIN(CHAR(10), TRUE, IF(tblPiNAnalysis[[#This Row],[3rd Highest PiN]]=tblPiNAnalysis[[#This Row],[CCCM]:[WASH]], tblPiNAnalysis[[#Headers],[CCCM]:[WASH]], "")))</f>
        <v>WASH</v>
      </c>
      <c r="AW14" s="186">
        <f>IFERROR(tblPiNAnalysis[[#This Row],[3rd Highest PiN]]/tblPiNAnalysis[[#This Row],[Population]], "")</f>
        <v>0.5099341005212944</v>
      </c>
      <c r="AX14" s="45">
        <f>IFERROR(tblPiNAnalysis[[#This Row],[Highest PiN]]-tblPiNAnalysis[[#This Row],[3rd Highest PiN]],"")</f>
        <v>9965</v>
      </c>
      <c r="AY14" s="38">
        <f>IFERROR(tblPiNAnalysis[[#This Row],[Difference of PiN between Highest and 3rd Highest]]/tblPiNAnalysis[[#This Row],[3rd Highest PiN]], "")</f>
        <v>0.96103770855434467</v>
      </c>
      <c r="AZ14" s="314" t="str" cm="1">
        <f t="array" ref="AZ1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4" s="288" cm="1">
        <f t="array" ref="BA14">IFERROR(IF(tblPiNAnalysis[[#This Row],[ID]]="", "", INDEX(tblPiNHistorical[[CCCM]:[WASH]], MATCH(tblPiNAnalysis[[#This Row],[ID]],tblPiNHistorical[ID], 0),MATCH(_xlfn._xlws.FILTER(tblPiNAnalysis[[#Headers],[CCCM]:[WASH]], tblPiNAnalysis[[#This Row],[Highest PiN]]=tblPiNAnalysis[[#This Row],[CCCM]:[WASH]]), tblPiNHistorical[[#Headers],[CCCM]:[WASH]], 0))), "")</f>
        <v>2.4</v>
      </c>
      <c r="BB14" s="317" t="str" cm="1">
        <f t="array" ref="BB1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4" s="265" cm="1">
        <f t="array" ref="BC1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4" s="318" t="str" cm="1">
        <f t="array" ref="BD1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 s="356">
        <f>INDEX(tblSeverityAnalysis[Final Severity], MATCH(tblPiNAnalysis[[#This Row],[ID]],tblSeverityAnalysis[ID], 0))</f>
        <v>3</v>
      </c>
      <c r="BF14" s="59">
        <f>IF(tblPiNAnalysis[[#This Row],[Severity]]&gt;2,tblPiNAnalysis[[#This Row],[Highest PiN]],)</f>
        <v>20334</v>
      </c>
      <c r="BG14" s="187"/>
      <c r="BH14" s="188"/>
      <c r="BI14" s="189">
        <f>COUNTIFS(tblPiNAnalysis[[#This Row],[Number of missing / zero PiNs greater than threshold - Data quality]:[Manual Flag]],"Flagged")</f>
        <v>4</v>
      </c>
      <c r="BJ14" s="94" t="str">
        <f>IF(tblPiNAnalysis[[#This Row],['# Flags]]&gt;0, "Flagged", "")</f>
        <v>Flagged</v>
      </c>
      <c r="BK14" s="310">
        <f>tblPiNAnalysis[[#This Row],[Preliminary PiN]]</f>
        <v>20334</v>
      </c>
      <c r="BL14" s="315"/>
      <c r="BM14" s="256">
        <f>IFERROR(IF(tblPiNAnalysis[[#This Row],[Severity]]=3,tblPiNAnalysis[[#This Row],[Final PiN]]*Thresholds!$D$35,tblPiNAnalysis[[#This Row],[Final PiN]]*Thresholds!$D$36),)</f>
        <v>10167</v>
      </c>
      <c r="BN14" s="256">
        <f>IFERROR(IF(tblPiNAnalysis[[#This Row],[Severity]]&gt;3,tblPiNAnalysis[[#This Row],[Final PiN]]*Thresholds!$D$36,),)</f>
        <v>0</v>
      </c>
      <c r="BO14" s="17"/>
      <c r="BP14" s="17"/>
      <c r="BQ14" s="17"/>
      <c r="BT14" s="391"/>
      <c r="BU14" s="17"/>
      <c r="BV14" s="17"/>
      <c r="BW14" s="17"/>
      <c r="BX14" s="17"/>
      <c r="BY14" s="17"/>
      <c r="CB14" s="17"/>
      <c r="CD14" s="24"/>
      <c r="CE14" s="21"/>
      <c r="CF14" s="17"/>
    </row>
    <row r="15" spans="1:84" ht="24.95" customHeight="1">
      <c r="A15" s="30" t="s">
        <v>170</v>
      </c>
      <c r="B15" s="39" t="s">
        <v>146</v>
      </c>
      <c r="C15" s="213" t="s">
        <v>147</v>
      </c>
      <c r="D15" s="340" t="s">
        <v>171</v>
      </c>
      <c r="E15" s="103" t="s">
        <v>170</v>
      </c>
      <c r="F15" s="98"/>
      <c r="G15" s="33"/>
      <c r="H15" s="33"/>
      <c r="I15" s="95">
        <v>48358</v>
      </c>
      <c r="J15" s="95" t="s">
        <v>149</v>
      </c>
      <c r="K15" s="390">
        <v>23978</v>
      </c>
      <c r="L15" s="303">
        <v>10650</v>
      </c>
      <c r="M15" s="303">
        <v>4765</v>
      </c>
      <c r="N15" s="303">
        <v>16925</v>
      </c>
      <c r="O15" s="303">
        <v>275.00568687056682</v>
      </c>
      <c r="P15" s="303">
        <v>6520</v>
      </c>
      <c r="Q15" s="304">
        <v>30425</v>
      </c>
      <c r="R15" s="303">
        <v>43522</v>
      </c>
      <c r="S15" s="32">
        <v>6520</v>
      </c>
      <c r="T15" s="32">
        <v>3846</v>
      </c>
      <c r="U15" s="32">
        <v>3224</v>
      </c>
      <c r="V15" s="303">
        <v>6520</v>
      </c>
      <c r="W15" s="305">
        <f>IFERROR(IF(tblPiNAnalysis[[#This Row],[CCCM]]="", "", MROUND(tblPiNAnalysis[[#This Row],[CCCM]]/tblPiNAnalysis[[#This Row],[Population]], 0.05)), "")</f>
        <v>0.5</v>
      </c>
      <c r="X15" s="306">
        <f>IFERROR(IF(tblPiNAnalysis[[#This Row],[Education]]="", "", MROUND(tblPiNAnalysis[[#This Row],[Education]]/tblPiNAnalysis[[#This Row],[Population]], 0.05)), "")</f>
        <v>0.2</v>
      </c>
      <c r="Y15" s="306">
        <f>IFERROR(IF(tblPiNAnalysis[[#This Row],[Nutrition]]="", "", MROUND(tblPiNAnalysis[[#This Row],[Nutrition]]/tblPiNAnalysis[[#This Row],[Population]], 0.05)), "")</f>
        <v>0.1</v>
      </c>
      <c r="Z15" s="306">
        <f>IFERROR(IF(tblPiNAnalysis[[#This Row],[Food Security]]="", "", MROUND(tblPiNAnalysis[[#This Row],[Food Security]]/tblPiNAnalysis[[#This Row],[Population]], 0.05)), "")</f>
        <v>0.35000000000000003</v>
      </c>
      <c r="AA15" s="306">
        <f>IFERROR(IF(tblPiNAnalysis[[#This Row],[Health]]="", "", MROUND(tblPiNAnalysis[[#This Row],[Health]]/tblPiNAnalysis[[#This Row],[Population]], 0.05)), "")</f>
        <v>0</v>
      </c>
      <c r="AB15" s="307">
        <f>IFERROR(IF(tblPiNAnalysis[[#This Row],[Overarching Protection]]="", "", MROUND(tblPiNAnalysis[[#This Row],[Overarching Protection]]/tblPiNAnalysis[[#This Row],[Population]], 0.05)), "")</f>
        <v>0.15000000000000002</v>
      </c>
      <c r="AC15" s="307">
        <f>IFERROR(IF(tblPiNAnalysis[[#This Row],[Shelter]]="", "", MROUND(tblPiNAnalysis[[#This Row],[Shelter]]/tblPiNAnalysis[[#This Row],[Population]], 0.05)), "")</f>
        <v>0.65</v>
      </c>
      <c r="AD15" s="308">
        <f>IFERROR(IF(tblPiNAnalysis[[#This Row],[WASH]]="", "", MROUND(tblPiNAnalysis[[#This Row],[WASH]]/tblPiNAnalysis[[#This Row],[Population]], 0.05)), "")</f>
        <v>0.9</v>
      </c>
      <c r="AE15" s="306">
        <f>IFERROR(MROUND(tblPiNAnalysis[[#This Row],[CP]]/tblPiNAnalysis[[#This Row],[Population]], 0.05), "")</f>
        <v>0.15000000000000002</v>
      </c>
      <c r="AF15" s="306">
        <f>IFERROR(MROUND(tblPiNAnalysis[[#This Row],[GBV]]/tblPiNAnalysis[[#This Row],[Population]], 0.05), "")</f>
        <v>0.1</v>
      </c>
      <c r="AG15" s="306">
        <f>IFERROR(MROUND(tblPiNAnalysis[[#This Row],[GP]]/tblPiNAnalysis[[#This Row],[Population]], 0.05), "")</f>
        <v>0.05</v>
      </c>
      <c r="AH15" s="306">
        <f>IFERROR(MROUND(tblPiNAnalysis[[#This Row],[HLP]]/tblPiNAnalysis[[#This Row],[Population]], 0.05), "")</f>
        <v>0.15000000000000002</v>
      </c>
      <c r="AI15" s="309">
        <f>IFERROR(LARGE(tblPiNAnalysis[[#This Row],[CCCM]:[WASH]], 1), "")</f>
        <v>43522</v>
      </c>
      <c r="AJ15" s="310" t="str" cm="1">
        <f t="array" ref="AJ15">IF(tblPiNAnalysis[[#This Row],[Highest PiN]]="", "", _xlfn.TEXTJOIN(CHAR(10), TRUE, IF(tblPiNAnalysis[[#This Row],[Highest PiN]]=tblPiNAnalysis[[#This Row],[CCCM]:[WASH]], tblPiNAnalysis[[#Headers],[CCCM]:[WASH]], "")))</f>
        <v>WASH</v>
      </c>
      <c r="AK15" s="311">
        <f>IF(tblPiNAnalysis[[#This Row],[Highest PiN]]="", "", tblPiNAnalysis[[#This Row],[Highest PiN]]/tblPiNAnalysis[[#This Row],[Population]])</f>
        <v>0.89999586417966004</v>
      </c>
      <c r="AL15" s="312" t="str">
        <f>IF(SUM(tblPiNAnalysis[[#This Row],[CCCM]:[WASH]])=0, "",IF(COUNTIF(tblPiNAnalysis[[#This Row],[CCCM]:[WASH]],"=0")+COUNTIF(tblPiNAnalysis[[#This Row],[CCCM]:[WASH]],"")&gt;=zero_pin_thresh, "Flagged", ""))</f>
        <v/>
      </c>
      <c r="AM15" s="313" t="str">
        <f>IFERROR(IF(tblPiNAnalysis[[#This Row],[Highest PiN]]="", "", IF(tblPiNAnalysis[[#This Row],[Highest sector(s'') PiN %]]&gt;=flag_pin_perc, "Flagged", "")), "")</f>
        <v/>
      </c>
      <c r="AN15" s="314" t="str" cm="1">
        <f t="array" ref="AN15">IF(tblPiNAnalysis[[#This Row],[Highest PiN]]=0, "",  IF(OR(COUNTIF(tblPiNAnalysis[[#This Row],[Highest sector(s)]],tblSubSectorPopulation[Sector])), "Flagged", ""))</f>
        <v/>
      </c>
      <c r="AO15" s="46" cm="1">
        <f t="array" ref="AO1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30425</v>
      </c>
      <c r="AP15" s="315" t="str" cm="1">
        <f t="array" ref="AP15">IF(tblPiNAnalysis[[#This Row],[2nd Highest PiN]]="", "", _xlfn.TEXTJOIN(CHAR(10), TRUE, IF(tblPiNAnalysis[[#This Row],[2nd Highest PiN]]=tblPiNAnalysis[[#This Row],[CCCM]:[WASH]], tblPiNAnalysis[[#Headers],[CCCM]:[WASH]], "")))</f>
        <v>Shelter</v>
      </c>
      <c r="AQ15" s="35">
        <f>IFERROR(tblPiNAnalysis[[#This Row],[2nd Highest PiN]]/tblPiNAnalysis[[#This Row],[Population]], "")</f>
        <v>0.62916166921708916</v>
      </c>
      <c r="AR15" s="46">
        <f>IFERROR(tblPiNAnalysis[[#This Row],[Highest PiN]]-tblPiNAnalysis[[#This Row],[2nd Highest PiN]], "")</f>
        <v>13097</v>
      </c>
      <c r="AS15" s="38">
        <f>IFERROR(((tblPiNAnalysis[[#This Row],[Highest PiN]]-tblPiNAnalysis[[#This Row],[2nd Highest PiN]])/tblPiNAnalysis[[#This Row],[2nd Highest PiN]]),"")</f>
        <v>0.43046836483155299</v>
      </c>
      <c r="AT15" s="38" t="str" cm="1">
        <f t="array" ref="AT1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5" s="316" cm="1">
        <f t="array" ref="AU1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23978</v>
      </c>
      <c r="AV15" s="186" t="str" cm="1">
        <f t="array" ref="AV15">IF(tblPiNAnalysis[[#This Row],[3rd Highest PiN]]="", "", _xlfn.TEXTJOIN(CHAR(10), TRUE, IF(tblPiNAnalysis[[#This Row],[3rd Highest PiN]]=tblPiNAnalysis[[#This Row],[CCCM]:[WASH]], tblPiNAnalysis[[#Headers],[CCCM]:[WASH]], "")))</f>
        <v>CCCM</v>
      </c>
      <c r="AW15" s="186">
        <f>IFERROR(tblPiNAnalysis[[#This Row],[3rd Highest PiN]]/tblPiNAnalysis[[#This Row],[Population]], "")</f>
        <v>0.49584350055833576</v>
      </c>
      <c r="AX15" s="45">
        <f>IFERROR(tblPiNAnalysis[[#This Row],[Highest PiN]]-tblPiNAnalysis[[#This Row],[3rd Highest PiN]],"")</f>
        <v>19544</v>
      </c>
      <c r="AY15" s="38">
        <f>IFERROR(tblPiNAnalysis[[#This Row],[Difference of PiN between Highest and 3rd Highest]]/tblPiNAnalysis[[#This Row],[3rd Highest PiN]], "")</f>
        <v>0.81508049044957875</v>
      </c>
      <c r="AZ15" s="314" t="str" cm="1">
        <f t="array" ref="AZ1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5" s="288" cm="1">
        <f t="array" ref="BA15">IFERROR(IF(tblPiNAnalysis[[#This Row],[ID]]="", "", INDEX(tblPiNHistorical[[CCCM]:[WASH]], MATCH(tblPiNAnalysis[[#This Row],[ID]],tblPiNHistorical[ID], 0),MATCH(_xlfn._xlws.FILTER(tblPiNAnalysis[[#Headers],[CCCM]:[WASH]], tblPiNAnalysis[[#This Row],[Highest PiN]]=tblPiNAnalysis[[#This Row],[CCCM]:[WASH]]), tblPiNHistorical[[#Headers],[CCCM]:[WASH]], 0))), "")</f>
        <v>-0.1</v>
      </c>
      <c r="BB15" s="317" t="str" cm="1">
        <f t="array" ref="BB1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 s="265" cm="1">
        <f t="array" ref="BC15">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5" s="318" t="str" cm="1">
        <f t="array" ref="BD1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 s="356">
        <f>INDEX(tblSeverityAnalysis[Final Severity], MATCH(tblPiNAnalysis[[#This Row],[ID]],tblSeverityAnalysis[ID], 0))</f>
        <v>4</v>
      </c>
      <c r="BF15" s="59">
        <f>IF(tblPiNAnalysis[[#This Row],[Severity]]&gt;2,tblPiNAnalysis[[#This Row],[Highest PiN]],)</f>
        <v>43522</v>
      </c>
      <c r="BG15" s="187"/>
      <c r="BH15" s="188"/>
      <c r="BI15" s="189">
        <f>COUNTIFS(tblPiNAnalysis[[#This Row],[Number of missing / zero PiNs greater than threshold - Data quality]:[Manual Flag]],"Flagged")</f>
        <v>2</v>
      </c>
      <c r="BJ15" s="94" t="str">
        <f>IF(tblPiNAnalysis[[#This Row],['# Flags]]&gt;0, "Flagged", "")</f>
        <v>Flagged</v>
      </c>
      <c r="BK15" s="310">
        <f>tblPiNAnalysis[[#This Row],[Preliminary PiN]]</f>
        <v>43522</v>
      </c>
      <c r="BL15" s="315"/>
      <c r="BM15" s="256">
        <f>IFERROR(IF(tblPiNAnalysis[[#This Row],[Severity]]=3,tblPiNAnalysis[[#This Row],[Final PiN]]*Thresholds!$D$35,tblPiNAnalysis[[#This Row],[Final PiN]]*Thresholds!$D$36),)</f>
        <v>43522</v>
      </c>
      <c r="BN15" s="256">
        <f>IFERROR(IF(tblPiNAnalysis[[#This Row],[Severity]]&gt;3,tblPiNAnalysis[[#This Row],[Final PiN]]*Thresholds!$D$36,),)</f>
        <v>43522</v>
      </c>
      <c r="BO15" s="17"/>
      <c r="BP15" s="17"/>
      <c r="BQ15" s="17"/>
      <c r="BT15" s="391"/>
      <c r="BU15" s="17"/>
      <c r="BV15" s="17"/>
      <c r="BW15" s="17"/>
      <c r="BX15" s="17"/>
      <c r="BY15" s="17"/>
      <c r="CB15" s="17"/>
      <c r="CD15" s="24"/>
      <c r="CE15" s="21"/>
      <c r="CF15" s="17"/>
    </row>
    <row r="16" spans="1:84" ht="24.95" customHeight="1">
      <c r="A16" s="30" t="s">
        <v>172</v>
      </c>
      <c r="B16" s="39" t="s">
        <v>146</v>
      </c>
      <c r="C16" s="213" t="s">
        <v>147</v>
      </c>
      <c r="D16" s="340" t="s">
        <v>173</v>
      </c>
      <c r="E16" s="103" t="s">
        <v>172</v>
      </c>
      <c r="F16" s="98"/>
      <c r="G16" s="33"/>
      <c r="H16" s="33"/>
      <c r="I16" s="95">
        <v>14217</v>
      </c>
      <c r="J16" s="95" t="s">
        <v>149</v>
      </c>
      <c r="K16" s="390">
        <v>14217</v>
      </c>
      <c r="L16" s="303">
        <v>2546</v>
      </c>
      <c r="M16" s="303">
        <v>1290</v>
      </c>
      <c r="N16" s="303">
        <v>14217</v>
      </c>
      <c r="O16" s="303">
        <v>201.58532572932657</v>
      </c>
      <c r="P16" s="303">
        <v>8109</v>
      </c>
      <c r="Q16" s="304">
        <v>8846</v>
      </c>
      <c r="R16" s="303">
        <v>13901</v>
      </c>
      <c r="S16" s="32">
        <v>2694</v>
      </c>
      <c r="T16" s="32">
        <v>5565</v>
      </c>
      <c r="U16" s="32">
        <v>8109</v>
      </c>
      <c r="V16" s="303">
        <v>0</v>
      </c>
      <c r="W16" s="305">
        <f>IFERROR(IF(tblPiNAnalysis[[#This Row],[CCCM]]="", "", MROUND(tblPiNAnalysis[[#This Row],[CCCM]]/tblPiNAnalysis[[#This Row],[Population]], 0.05)), "")</f>
        <v>1</v>
      </c>
      <c r="X16" s="306">
        <f>IFERROR(IF(tblPiNAnalysis[[#This Row],[Education]]="", "", MROUND(tblPiNAnalysis[[#This Row],[Education]]/tblPiNAnalysis[[#This Row],[Population]], 0.05)), "")</f>
        <v>0.2</v>
      </c>
      <c r="Y16" s="306">
        <f>IFERROR(IF(tblPiNAnalysis[[#This Row],[Nutrition]]="", "", MROUND(tblPiNAnalysis[[#This Row],[Nutrition]]/tblPiNAnalysis[[#This Row],[Population]], 0.05)), "")</f>
        <v>0.1</v>
      </c>
      <c r="Z16" s="306">
        <f>IFERROR(IF(tblPiNAnalysis[[#This Row],[Food Security]]="", "", MROUND(tblPiNAnalysis[[#This Row],[Food Security]]/tblPiNAnalysis[[#This Row],[Population]], 0.05)), "")</f>
        <v>1</v>
      </c>
      <c r="AA16" s="306">
        <f>IFERROR(IF(tblPiNAnalysis[[#This Row],[Health]]="", "", MROUND(tblPiNAnalysis[[#This Row],[Health]]/tblPiNAnalysis[[#This Row],[Population]], 0.05)), "")</f>
        <v>0</v>
      </c>
      <c r="AB16" s="307">
        <f>IFERROR(IF(tblPiNAnalysis[[#This Row],[Overarching Protection]]="", "", MROUND(tblPiNAnalysis[[#This Row],[Overarching Protection]]/tblPiNAnalysis[[#This Row],[Population]], 0.05)), "")</f>
        <v>0.55000000000000004</v>
      </c>
      <c r="AC16" s="307">
        <f>IFERROR(IF(tblPiNAnalysis[[#This Row],[Shelter]]="", "", MROUND(tblPiNAnalysis[[#This Row],[Shelter]]/tblPiNAnalysis[[#This Row],[Population]], 0.05)), "")</f>
        <v>0.60000000000000009</v>
      </c>
      <c r="AD16" s="308">
        <f>IFERROR(IF(tblPiNAnalysis[[#This Row],[WASH]]="", "", MROUND(tblPiNAnalysis[[#This Row],[WASH]]/tblPiNAnalysis[[#This Row],[Population]], 0.05)), "")</f>
        <v>1</v>
      </c>
      <c r="AE16" s="306">
        <f>IFERROR(MROUND(tblPiNAnalysis[[#This Row],[CP]]/tblPiNAnalysis[[#This Row],[Population]], 0.05), "")</f>
        <v>0.2</v>
      </c>
      <c r="AF16" s="306">
        <f>IFERROR(MROUND(tblPiNAnalysis[[#This Row],[GBV]]/tblPiNAnalysis[[#This Row],[Population]], 0.05), "")</f>
        <v>0.4</v>
      </c>
      <c r="AG16" s="306">
        <f>IFERROR(MROUND(tblPiNAnalysis[[#This Row],[GP]]/tblPiNAnalysis[[#This Row],[Population]], 0.05), "")</f>
        <v>0.55000000000000004</v>
      </c>
      <c r="AH16" s="306">
        <f>IFERROR(MROUND(tblPiNAnalysis[[#This Row],[HLP]]/tblPiNAnalysis[[#This Row],[Population]], 0.05), "")</f>
        <v>0</v>
      </c>
      <c r="AI16" s="309">
        <f>IFERROR(LARGE(tblPiNAnalysis[[#This Row],[CCCM]:[WASH]], 1), "")</f>
        <v>14217</v>
      </c>
      <c r="AJ16" s="310" t="str" cm="1">
        <f t="array" ref="AJ16">IF(tblPiNAnalysis[[#This Row],[Highest PiN]]="", "", _xlfn.TEXTJOIN(CHAR(10), TRUE, IF(tblPiNAnalysis[[#This Row],[Highest PiN]]=tblPiNAnalysis[[#This Row],[CCCM]:[WASH]], tblPiNAnalysis[[#Headers],[CCCM]:[WASH]], "")))</f>
        <v>CCCM
Food Security</v>
      </c>
      <c r="AK16" s="311">
        <f>IF(tblPiNAnalysis[[#This Row],[Highest PiN]]="", "", tblPiNAnalysis[[#This Row],[Highest PiN]]/tblPiNAnalysis[[#This Row],[Population]])</f>
        <v>1</v>
      </c>
      <c r="AL16" s="312" t="str">
        <f>IF(SUM(tblPiNAnalysis[[#This Row],[CCCM]:[WASH]])=0, "",IF(COUNTIF(tblPiNAnalysis[[#This Row],[CCCM]:[WASH]],"=0")+COUNTIF(tblPiNAnalysis[[#This Row],[CCCM]:[WASH]],"")&gt;=zero_pin_thresh, "Flagged", ""))</f>
        <v/>
      </c>
      <c r="AM16" s="313" t="str">
        <f>IFERROR(IF(tblPiNAnalysis[[#This Row],[Highest PiN]]="", "", IF(tblPiNAnalysis[[#This Row],[Highest sector(s'') PiN %]]&gt;=flag_pin_perc, "Flagged", "")), "")</f>
        <v>Flagged</v>
      </c>
      <c r="AN16" s="314" t="str" cm="1">
        <f t="array" ref="AN16">IF(tblPiNAnalysis[[#This Row],[Highest PiN]]=0, "",  IF(OR(COUNTIF(tblPiNAnalysis[[#This Row],[Highest sector(s)]],tblSubSectorPopulation[Sector])), "Flagged", ""))</f>
        <v/>
      </c>
      <c r="AO16" s="46" cm="1">
        <f t="array" ref="AO1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13901</v>
      </c>
      <c r="AP16" s="315" t="str" cm="1">
        <f t="array" ref="AP16">IF(tblPiNAnalysis[[#This Row],[2nd Highest PiN]]="", "", _xlfn.TEXTJOIN(CHAR(10), TRUE, IF(tblPiNAnalysis[[#This Row],[2nd Highest PiN]]=tblPiNAnalysis[[#This Row],[CCCM]:[WASH]], tblPiNAnalysis[[#Headers],[CCCM]:[WASH]], "")))</f>
        <v>WASH</v>
      </c>
      <c r="AQ16" s="35">
        <f>IFERROR(tblPiNAnalysis[[#This Row],[2nd Highest PiN]]/tblPiNAnalysis[[#This Row],[Population]], "")</f>
        <v>0.97777308855595413</v>
      </c>
      <c r="AR16" s="46">
        <f>IFERROR(tblPiNAnalysis[[#This Row],[Highest PiN]]-tblPiNAnalysis[[#This Row],[2nd Highest PiN]], "")</f>
        <v>316</v>
      </c>
      <c r="AS16" s="38">
        <f>IFERROR(((tblPiNAnalysis[[#This Row],[Highest PiN]]-tblPiNAnalysis[[#This Row],[2nd Highest PiN]])/tblPiNAnalysis[[#This Row],[2nd Highest PiN]]),"")</f>
        <v>2.2732177541184086E-2</v>
      </c>
      <c r="AT16" s="38" t="str" cm="1">
        <f t="array" ref="AT1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 s="316" cm="1">
        <f t="array" ref="AU1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8846</v>
      </c>
      <c r="AV16" s="186" t="str" cm="1">
        <f t="array" ref="AV16">IF(tblPiNAnalysis[[#This Row],[3rd Highest PiN]]="", "", _xlfn.TEXTJOIN(CHAR(10), TRUE, IF(tblPiNAnalysis[[#This Row],[3rd Highest PiN]]=tblPiNAnalysis[[#This Row],[CCCM]:[WASH]], tblPiNAnalysis[[#Headers],[CCCM]:[WASH]], "")))</f>
        <v>Shelter</v>
      </c>
      <c r="AW16" s="186">
        <f>IFERROR(tblPiNAnalysis[[#This Row],[3rd Highest PiN]]/tblPiNAnalysis[[#This Row],[Population]], "")</f>
        <v>0.622212843778575</v>
      </c>
      <c r="AX16" s="45">
        <f>IFERROR(tblPiNAnalysis[[#This Row],[Highest PiN]]-tblPiNAnalysis[[#This Row],[3rd Highest PiN]],"")</f>
        <v>5371</v>
      </c>
      <c r="AY16" s="38">
        <f>IFERROR(tblPiNAnalysis[[#This Row],[Difference of PiN between Highest and 3rd Highest]]/tblPiNAnalysis[[#This Row],[3rd Highest PiN]], "")</f>
        <v>0.60716708116662899</v>
      </c>
      <c r="AZ16" s="314" t="str" cm="1">
        <f t="array" ref="AZ1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 s="288" t="e" cm="1" vm="1">
        <f t="array" aca="1" ref="BA16"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16" s="317" t="str" cm="1">
        <f t="array" ref="BB1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6" s="265" cm="1">
        <f t="array" ref="BC16">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16" s="318" t="str" cm="1">
        <f t="array" ref="BD1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 s="356">
        <f>INDEX(tblSeverityAnalysis[Final Severity], MATCH(tblPiNAnalysis[[#This Row],[ID]],tblSeverityAnalysis[ID], 0))</f>
        <v>4</v>
      </c>
      <c r="BF16" s="59">
        <f>IF(tblPiNAnalysis[[#This Row],[Severity]]&gt;2,tblPiNAnalysis[[#This Row],[Highest PiN]],)</f>
        <v>14217</v>
      </c>
      <c r="BG16" s="187"/>
      <c r="BH16" s="188"/>
      <c r="BI16" s="189">
        <f ca="1">COUNTIFS(tblPiNAnalysis[[#This Row],[Number of missing / zero PiNs greater than threshold - Data quality]:[Manual Flag]],"Flagged")</f>
        <v>2</v>
      </c>
      <c r="BJ16" s="94" t="str">
        <f ca="1">IF(tblPiNAnalysis[[#This Row],['# Flags]]&gt;0, "Flagged", "")</f>
        <v>Flagged</v>
      </c>
      <c r="BK16" s="310">
        <f>tblPiNAnalysis[[#This Row],[Preliminary PiN]]</f>
        <v>14217</v>
      </c>
      <c r="BL16" s="315"/>
      <c r="BM16" s="256">
        <f>IFERROR(IF(tblPiNAnalysis[[#This Row],[Severity]]=3,tblPiNAnalysis[[#This Row],[Final PiN]]*Thresholds!$D$35,tblPiNAnalysis[[#This Row],[Final PiN]]*Thresholds!$D$36),)</f>
        <v>14217</v>
      </c>
      <c r="BN16" s="256">
        <f>IFERROR(IF(tblPiNAnalysis[[#This Row],[Severity]]&gt;3,tblPiNAnalysis[[#This Row],[Final PiN]]*Thresholds!$D$36,),)</f>
        <v>14217</v>
      </c>
      <c r="BO16" s="17"/>
      <c r="BP16" s="17"/>
      <c r="BQ16" s="17"/>
      <c r="BT16" s="391"/>
      <c r="BU16" s="17"/>
      <c r="BV16" s="17"/>
      <c r="BW16" s="17"/>
      <c r="BX16" s="17"/>
      <c r="BY16" s="17"/>
      <c r="CB16" s="17"/>
      <c r="CD16" s="24"/>
      <c r="CE16" s="21"/>
      <c r="CF16" s="17"/>
    </row>
    <row r="17" spans="1:66" ht="24.95" customHeight="1">
      <c r="A17" s="30" t="s">
        <v>174</v>
      </c>
      <c r="B17" s="39" t="s">
        <v>146</v>
      </c>
      <c r="C17" s="213" t="s">
        <v>147</v>
      </c>
      <c r="D17" s="340" t="s">
        <v>175</v>
      </c>
      <c r="E17" s="103" t="s">
        <v>174</v>
      </c>
      <c r="F17" s="98"/>
      <c r="G17" s="33"/>
      <c r="H17" s="33"/>
      <c r="I17" s="95">
        <v>3149</v>
      </c>
      <c r="J17" s="95" t="s">
        <v>149</v>
      </c>
      <c r="K17" s="390">
        <v>3149</v>
      </c>
      <c r="L17" s="303">
        <v>128</v>
      </c>
      <c r="M17" s="303">
        <v>366</v>
      </c>
      <c r="N17" s="303">
        <v>3149</v>
      </c>
      <c r="O17" s="303"/>
      <c r="P17" s="303">
        <v>647</v>
      </c>
      <c r="Q17" s="304">
        <v>1125</v>
      </c>
      <c r="R17" s="303">
        <v>1968</v>
      </c>
      <c r="S17" s="32">
        <v>606</v>
      </c>
      <c r="T17" s="32">
        <v>357</v>
      </c>
      <c r="U17" s="32">
        <v>647</v>
      </c>
      <c r="V17" s="303">
        <v>606</v>
      </c>
      <c r="W17" s="305">
        <f>IFERROR(IF(tblPiNAnalysis[[#This Row],[CCCM]]="", "", MROUND(tblPiNAnalysis[[#This Row],[CCCM]]/tblPiNAnalysis[[#This Row],[Population]], 0.05)), "")</f>
        <v>1</v>
      </c>
      <c r="X17" s="306">
        <f>IFERROR(IF(tblPiNAnalysis[[#This Row],[Education]]="", "", MROUND(tblPiNAnalysis[[#This Row],[Education]]/tblPiNAnalysis[[#This Row],[Population]], 0.05)), "")</f>
        <v>0.05</v>
      </c>
      <c r="Y17" s="306">
        <f>IFERROR(IF(tblPiNAnalysis[[#This Row],[Nutrition]]="", "", MROUND(tblPiNAnalysis[[#This Row],[Nutrition]]/tblPiNAnalysis[[#This Row],[Population]], 0.05)), "")</f>
        <v>0.1</v>
      </c>
      <c r="Z17" s="306">
        <f>IFERROR(IF(tblPiNAnalysis[[#This Row],[Food Security]]="", "", MROUND(tblPiNAnalysis[[#This Row],[Food Security]]/tblPiNAnalysis[[#This Row],[Population]], 0.05)), "")</f>
        <v>1</v>
      </c>
      <c r="AA17" s="306" t="str">
        <f>IFERROR(IF(tblPiNAnalysis[[#This Row],[Health]]="", "", MROUND(tblPiNAnalysis[[#This Row],[Health]]/tblPiNAnalysis[[#This Row],[Population]], 0.05)), "")</f>
        <v/>
      </c>
      <c r="AB17" s="307">
        <f>IFERROR(IF(tblPiNAnalysis[[#This Row],[Overarching Protection]]="", "", MROUND(tblPiNAnalysis[[#This Row],[Overarching Protection]]/tblPiNAnalysis[[#This Row],[Population]], 0.05)), "")</f>
        <v>0.2</v>
      </c>
      <c r="AC17" s="307">
        <f>IFERROR(IF(tblPiNAnalysis[[#This Row],[Shelter]]="", "", MROUND(tblPiNAnalysis[[#This Row],[Shelter]]/tblPiNAnalysis[[#This Row],[Population]], 0.05)), "")</f>
        <v>0.35000000000000003</v>
      </c>
      <c r="AD17" s="308">
        <f>IFERROR(IF(tblPiNAnalysis[[#This Row],[WASH]]="", "", MROUND(tblPiNAnalysis[[#This Row],[WASH]]/tblPiNAnalysis[[#This Row],[Population]], 0.05)), "")</f>
        <v>0.60000000000000009</v>
      </c>
      <c r="AE17" s="306">
        <f>IFERROR(MROUND(tblPiNAnalysis[[#This Row],[CP]]/tblPiNAnalysis[[#This Row],[Population]], 0.05), "")</f>
        <v>0.2</v>
      </c>
      <c r="AF17" s="306">
        <f>IFERROR(MROUND(tblPiNAnalysis[[#This Row],[GBV]]/tblPiNAnalysis[[#This Row],[Population]], 0.05), "")</f>
        <v>0.1</v>
      </c>
      <c r="AG17" s="306">
        <f>IFERROR(MROUND(tblPiNAnalysis[[#This Row],[GP]]/tblPiNAnalysis[[#This Row],[Population]], 0.05), "")</f>
        <v>0.2</v>
      </c>
      <c r="AH17" s="306">
        <f>IFERROR(MROUND(tblPiNAnalysis[[#This Row],[HLP]]/tblPiNAnalysis[[#This Row],[Population]], 0.05), "")</f>
        <v>0.2</v>
      </c>
      <c r="AI17" s="309">
        <f>IFERROR(LARGE(tblPiNAnalysis[[#This Row],[CCCM]:[WASH]], 1), "")</f>
        <v>3149</v>
      </c>
      <c r="AJ17" s="310" t="str" cm="1">
        <f t="array" ref="AJ17">IF(tblPiNAnalysis[[#This Row],[Highest PiN]]="", "", _xlfn.TEXTJOIN(CHAR(10), TRUE, IF(tblPiNAnalysis[[#This Row],[Highest PiN]]=tblPiNAnalysis[[#This Row],[CCCM]:[WASH]], tblPiNAnalysis[[#Headers],[CCCM]:[WASH]], "")))</f>
        <v>CCCM
Food Security</v>
      </c>
      <c r="AK17" s="311">
        <f>IF(tblPiNAnalysis[[#This Row],[Highest PiN]]="", "", tblPiNAnalysis[[#This Row],[Highest PiN]]/tblPiNAnalysis[[#This Row],[Population]])</f>
        <v>1</v>
      </c>
      <c r="AL17" s="312" t="str">
        <f>IF(SUM(tblPiNAnalysis[[#This Row],[CCCM]:[WASH]])=0, "",IF(COUNTIF(tblPiNAnalysis[[#This Row],[CCCM]:[WASH]],"=0")+COUNTIF(tblPiNAnalysis[[#This Row],[CCCM]:[WASH]],"")&gt;=zero_pin_thresh, "Flagged", ""))</f>
        <v/>
      </c>
      <c r="AM17" s="313" t="str">
        <f>IFERROR(IF(tblPiNAnalysis[[#This Row],[Highest PiN]]="", "", IF(tblPiNAnalysis[[#This Row],[Highest sector(s'') PiN %]]&gt;=flag_pin_perc, "Flagged", "")), "")</f>
        <v>Flagged</v>
      </c>
      <c r="AN17" s="314" t="str" cm="1">
        <f t="array" ref="AN17">IF(tblPiNAnalysis[[#This Row],[Highest PiN]]=0, "",  IF(OR(COUNTIF(tblPiNAnalysis[[#This Row],[Highest sector(s)]],tblSubSectorPopulation[Sector])), "Flagged", ""))</f>
        <v/>
      </c>
      <c r="AO17" s="46" cm="1">
        <f t="array" ref="AO1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1968</v>
      </c>
      <c r="AP17" s="315" t="str" cm="1">
        <f t="array" ref="AP17">IF(tblPiNAnalysis[[#This Row],[2nd Highest PiN]]="", "", _xlfn.TEXTJOIN(CHAR(10), TRUE, IF(tblPiNAnalysis[[#This Row],[2nd Highest PiN]]=tblPiNAnalysis[[#This Row],[CCCM]:[WASH]], tblPiNAnalysis[[#Headers],[CCCM]:[WASH]], "")))</f>
        <v>WASH</v>
      </c>
      <c r="AQ17" s="35">
        <f>IFERROR(tblPiNAnalysis[[#This Row],[2nd Highest PiN]]/tblPiNAnalysis[[#This Row],[Population]], "")</f>
        <v>0.62496030485868526</v>
      </c>
      <c r="AR17" s="46">
        <f>IFERROR(tblPiNAnalysis[[#This Row],[Highest PiN]]-tblPiNAnalysis[[#This Row],[2nd Highest PiN]], "")</f>
        <v>1181</v>
      </c>
      <c r="AS17" s="38">
        <f>IFERROR(((tblPiNAnalysis[[#This Row],[Highest PiN]]-tblPiNAnalysis[[#This Row],[2nd Highest PiN]])/tblPiNAnalysis[[#This Row],[2nd Highest PiN]]),"")</f>
        <v>0.60010162601626016</v>
      </c>
      <c r="AT17" s="38" t="str" cm="1">
        <f t="array" ref="AT1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 s="316" cm="1">
        <f t="array" ref="AU1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1125</v>
      </c>
      <c r="AV17" s="186" t="str" cm="1">
        <f t="array" ref="AV17">IF(tblPiNAnalysis[[#This Row],[3rd Highest PiN]]="", "", _xlfn.TEXTJOIN(CHAR(10), TRUE, IF(tblPiNAnalysis[[#This Row],[3rd Highest PiN]]=tblPiNAnalysis[[#This Row],[CCCM]:[WASH]], tblPiNAnalysis[[#Headers],[CCCM]:[WASH]], "")))</f>
        <v>Shelter</v>
      </c>
      <c r="AW17" s="186">
        <f>IFERROR(tblPiNAnalysis[[#This Row],[3rd Highest PiN]]/tblPiNAnalysis[[#This Row],[Population]], "")</f>
        <v>0.35725627183232772</v>
      </c>
      <c r="AX17" s="45">
        <f>IFERROR(tblPiNAnalysis[[#This Row],[Highest PiN]]-tblPiNAnalysis[[#This Row],[3rd Highest PiN]],"")</f>
        <v>2024</v>
      </c>
      <c r="AY17" s="38">
        <f>IFERROR(tblPiNAnalysis[[#This Row],[Difference of PiN between Highest and 3rd Highest]]/tblPiNAnalysis[[#This Row],[3rd Highest PiN]], "")</f>
        <v>1.7991111111111111</v>
      </c>
      <c r="AZ17" s="314" t="str" cm="1">
        <f t="array" ref="AZ1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 s="288" t="e" cm="1" vm="1">
        <f t="array" aca="1" ref="BA17"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17" s="317" t="str" cm="1">
        <f t="array" ref="BB1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 s="265" t="str" cm="1">
        <f t="array" ref="BC1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 s="318" t="str" cm="1">
        <f t="array" ref="BD1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 s="356">
        <f>INDEX(tblSeverityAnalysis[Final Severity], MATCH(tblPiNAnalysis[[#This Row],[ID]],tblSeverityAnalysis[ID], 0))</f>
        <v>3</v>
      </c>
      <c r="BF17" s="59">
        <f>IF(tblPiNAnalysis[[#This Row],[Severity]]&gt;2,tblPiNAnalysis[[#This Row],[Highest PiN]],)</f>
        <v>3149</v>
      </c>
      <c r="BG17" s="187"/>
      <c r="BH17" s="188"/>
      <c r="BI17" s="189">
        <f ca="1">COUNTIFS(tblPiNAnalysis[[#This Row],[Number of missing / zero PiNs greater than threshold - Data quality]:[Manual Flag]],"Flagged")</f>
        <v>1</v>
      </c>
      <c r="BJ17" s="94" t="str">
        <f ca="1">IF(tblPiNAnalysis[[#This Row],['# Flags]]&gt;0, "Flagged", "")</f>
        <v>Flagged</v>
      </c>
      <c r="BK17" s="310">
        <f>tblPiNAnalysis[[#This Row],[Preliminary PiN]]</f>
        <v>3149</v>
      </c>
      <c r="BL17" s="315"/>
      <c r="BM17" s="256">
        <f>IFERROR(IF(tblPiNAnalysis[[#This Row],[Severity]]=3,tblPiNAnalysis[[#This Row],[Final PiN]]*Thresholds!$D$35,tblPiNAnalysis[[#This Row],[Final PiN]]*Thresholds!$D$36),)</f>
        <v>1574.5</v>
      </c>
      <c r="BN17" s="256">
        <f>IFERROR(IF(tblPiNAnalysis[[#This Row],[Severity]]&gt;3,tblPiNAnalysis[[#This Row],[Final PiN]]*Thresholds!$D$36,),)</f>
        <v>0</v>
      </c>
    </row>
    <row r="18" spans="1:66" ht="24.95" customHeight="1">
      <c r="A18" s="30" t="s">
        <v>176</v>
      </c>
      <c r="B18" s="39" t="s">
        <v>146</v>
      </c>
      <c r="C18" s="213" t="s">
        <v>147</v>
      </c>
      <c r="D18" s="340" t="s">
        <v>177</v>
      </c>
      <c r="E18" s="103" t="s">
        <v>176</v>
      </c>
      <c r="F18" s="98"/>
      <c r="G18" s="33"/>
      <c r="H18" s="33"/>
      <c r="I18" s="95">
        <v>59894</v>
      </c>
      <c r="J18" s="95" t="s">
        <v>149</v>
      </c>
      <c r="K18" s="390">
        <v>59894</v>
      </c>
      <c r="L18" s="303">
        <v>10299</v>
      </c>
      <c r="M18" s="303">
        <v>6063</v>
      </c>
      <c r="N18" s="303">
        <v>14328</v>
      </c>
      <c r="O18" s="303">
        <v>20068.709140014478</v>
      </c>
      <c r="P18" s="303">
        <v>11360</v>
      </c>
      <c r="Q18" s="304">
        <v>46090</v>
      </c>
      <c r="R18" s="303">
        <v>58490</v>
      </c>
      <c r="S18" s="32">
        <v>11360</v>
      </c>
      <c r="T18" s="32">
        <v>6702</v>
      </c>
      <c r="U18" s="32">
        <v>4211</v>
      </c>
      <c r="V18" s="303">
        <v>11360</v>
      </c>
      <c r="W18" s="305">
        <f>IFERROR(IF(tblPiNAnalysis[[#This Row],[CCCM]]="", "", MROUND(tblPiNAnalysis[[#This Row],[CCCM]]/tblPiNAnalysis[[#This Row],[Population]], 0.05)), "")</f>
        <v>1</v>
      </c>
      <c r="X18" s="306">
        <f>IFERROR(IF(tblPiNAnalysis[[#This Row],[Education]]="", "", MROUND(tblPiNAnalysis[[#This Row],[Education]]/tblPiNAnalysis[[#This Row],[Population]], 0.05)), "")</f>
        <v>0.15000000000000002</v>
      </c>
      <c r="Y18" s="306">
        <f>IFERROR(IF(tblPiNAnalysis[[#This Row],[Nutrition]]="", "", MROUND(tblPiNAnalysis[[#This Row],[Nutrition]]/tblPiNAnalysis[[#This Row],[Population]], 0.05)), "")</f>
        <v>0.1</v>
      </c>
      <c r="Z18" s="306">
        <f>IFERROR(IF(tblPiNAnalysis[[#This Row],[Food Security]]="", "", MROUND(tblPiNAnalysis[[#This Row],[Food Security]]/tblPiNAnalysis[[#This Row],[Population]], 0.05)), "")</f>
        <v>0.25</v>
      </c>
      <c r="AA18" s="306">
        <f>IFERROR(IF(tblPiNAnalysis[[#This Row],[Health]]="", "", MROUND(tblPiNAnalysis[[#This Row],[Health]]/tblPiNAnalysis[[#This Row],[Population]], 0.05)), "")</f>
        <v>0.35000000000000003</v>
      </c>
      <c r="AB18" s="307">
        <f>IFERROR(IF(tblPiNAnalysis[[#This Row],[Overarching Protection]]="", "", MROUND(tblPiNAnalysis[[#This Row],[Overarching Protection]]/tblPiNAnalysis[[#This Row],[Population]], 0.05)), "")</f>
        <v>0.2</v>
      </c>
      <c r="AC18" s="307">
        <f>IFERROR(IF(tblPiNAnalysis[[#This Row],[Shelter]]="", "", MROUND(tblPiNAnalysis[[#This Row],[Shelter]]/tblPiNAnalysis[[#This Row],[Population]], 0.05)), "")</f>
        <v>0.75</v>
      </c>
      <c r="AD18" s="308">
        <f>IFERROR(IF(tblPiNAnalysis[[#This Row],[WASH]]="", "", MROUND(tblPiNAnalysis[[#This Row],[WASH]]/tblPiNAnalysis[[#This Row],[Population]], 0.05)), "")</f>
        <v>1</v>
      </c>
      <c r="AE18" s="306">
        <f>IFERROR(MROUND(tblPiNAnalysis[[#This Row],[CP]]/tblPiNAnalysis[[#This Row],[Population]], 0.05), "")</f>
        <v>0.2</v>
      </c>
      <c r="AF18" s="306">
        <f>IFERROR(MROUND(tblPiNAnalysis[[#This Row],[GBV]]/tblPiNAnalysis[[#This Row],[Population]], 0.05), "")</f>
        <v>0.1</v>
      </c>
      <c r="AG18" s="306">
        <f>IFERROR(MROUND(tblPiNAnalysis[[#This Row],[GP]]/tblPiNAnalysis[[#This Row],[Population]], 0.05), "")</f>
        <v>0.05</v>
      </c>
      <c r="AH18" s="306">
        <f>IFERROR(MROUND(tblPiNAnalysis[[#This Row],[HLP]]/tblPiNAnalysis[[#This Row],[Population]], 0.05), "")</f>
        <v>0.2</v>
      </c>
      <c r="AI18" s="309">
        <f>IFERROR(LARGE(tblPiNAnalysis[[#This Row],[CCCM]:[WASH]], 1), "")</f>
        <v>59894</v>
      </c>
      <c r="AJ18" s="310" t="str" cm="1">
        <f t="array" ref="AJ18">IF(tblPiNAnalysis[[#This Row],[Highest PiN]]="", "", _xlfn.TEXTJOIN(CHAR(10), TRUE, IF(tblPiNAnalysis[[#This Row],[Highest PiN]]=tblPiNAnalysis[[#This Row],[CCCM]:[WASH]], tblPiNAnalysis[[#Headers],[CCCM]:[WASH]], "")))</f>
        <v>CCCM</v>
      </c>
      <c r="AK18" s="311">
        <f>IF(tblPiNAnalysis[[#This Row],[Highest PiN]]="", "", tblPiNAnalysis[[#This Row],[Highest PiN]]/tblPiNAnalysis[[#This Row],[Population]])</f>
        <v>1</v>
      </c>
      <c r="AL18" s="312" t="str">
        <f>IF(SUM(tblPiNAnalysis[[#This Row],[CCCM]:[WASH]])=0, "",IF(COUNTIF(tblPiNAnalysis[[#This Row],[CCCM]:[WASH]],"=0")+COUNTIF(tblPiNAnalysis[[#This Row],[CCCM]:[WASH]],"")&gt;=zero_pin_thresh, "Flagged", ""))</f>
        <v/>
      </c>
      <c r="AM18" s="313" t="str">
        <f>IFERROR(IF(tblPiNAnalysis[[#This Row],[Highest PiN]]="", "", IF(tblPiNAnalysis[[#This Row],[Highest sector(s'') PiN %]]&gt;=flag_pin_perc, "Flagged", "")), "")</f>
        <v>Flagged</v>
      </c>
      <c r="AN18" s="314" t="str" cm="1">
        <f t="array" ref="AN18">IF(tblPiNAnalysis[[#This Row],[Highest PiN]]=0, "",  IF(OR(COUNTIF(tblPiNAnalysis[[#This Row],[Highest sector(s)]],tblSubSectorPopulation[Sector])), "Flagged", ""))</f>
        <v/>
      </c>
      <c r="AO18" s="46" cm="1">
        <f t="array" ref="AO1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58490</v>
      </c>
      <c r="AP18" s="315" t="str" cm="1">
        <f t="array" ref="AP18">IF(tblPiNAnalysis[[#This Row],[2nd Highest PiN]]="", "", _xlfn.TEXTJOIN(CHAR(10), TRUE, IF(tblPiNAnalysis[[#This Row],[2nd Highest PiN]]=tblPiNAnalysis[[#This Row],[CCCM]:[WASH]], tblPiNAnalysis[[#Headers],[CCCM]:[WASH]], "")))</f>
        <v>WASH</v>
      </c>
      <c r="AQ18" s="35">
        <f>IFERROR(tblPiNAnalysis[[#This Row],[2nd Highest PiN]]/tblPiNAnalysis[[#This Row],[Population]], "")</f>
        <v>0.9765585868367449</v>
      </c>
      <c r="AR18" s="46">
        <f>IFERROR(tblPiNAnalysis[[#This Row],[Highest PiN]]-tblPiNAnalysis[[#This Row],[2nd Highest PiN]], "")</f>
        <v>1404</v>
      </c>
      <c r="AS18" s="38">
        <f>IFERROR(((tblPiNAnalysis[[#This Row],[Highest PiN]]-tblPiNAnalysis[[#This Row],[2nd Highest PiN]])/tblPiNAnalysis[[#This Row],[2nd Highest PiN]]),"")</f>
        <v>2.4004103265515473E-2</v>
      </c>
      <c r="AT18" s="38" t="str" cm="1">
        <f t="array" ref="AT1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 s="316" cm="1">
        <f t="array" ref="AU1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46090</v>
      </c>
      <c r="AV18" s="186" t="str" cm="1">
        <f t="array" ref="AV18">IF(tblPiNAnalysis[[#This Row],[3rd Highest PiN]]="", "", _xlfn.TEXTJOIN(CHAR(10), TRUE, IF(tblPiNAnalysis[[#This Row],[3rd Highest PiN]]=tblPiNAnalysis[[#This Row],[CCCM]:[WASH]], tblPiNAnalysis[[#Headers],[CCCM]:[WASH]], "")))</f>
        <v>Shelter</v>
      </c>
      <c r="AW18" s="186">
        <f>IFERROR(tblPiNAnalysis[[#This Row],[3rd Highest PiN]]/tblPiNAnalysis[[#This Row],[Population]], "")</f>
        <v>0.76952616288776843</v>
      </c>
      <c r="AX18" s="45">
        <f>IFERROR(tblPiNAnalysis[[#This Row],[Highest PiN]]-tblPiNAnalysis[[#This Row],[3rd Highest PiN]],"")</f>
        <v>13804</v>
      </c>
      <c r="AY18" s="38">
        <f>IFERROR(tblPiNAnalysis[[#This Row],[Difference of PiN between Highest and 3rd Highest]]/tblPiNAnalysis[[#This Row],[3rd Highest PiN]], "")</f>
        <v>0.29950097635061834</v>
      </c>
      <c r="AZ18" s="314" t="str" cm="1">
        <f t="array" ref="AZ1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 s="288" cm="1">
        <f t="array" ref="BA18">IFERROR(IF(tblPiNAnalysis[[#This Row],[ID]]="", "", INDEX(tblPiNHistorical[[CCCM]:[WASH]], MATCH(tblPiNAnalysis[[#This Row],[ID]],tblPiNHistorical[ID], 0),MATCH(_xlfn._xlws.FILTER(tblPiNAnalysis[[#Headers],[CCCM]:[WASH]], tblPiNAnalysis[[#This Row],[Highest PiN]]=tblPiNAnalysis[[#This Row],[CCCM]:[WASH]]), tblPiNHistorical[[#Headers],[CCCM]:[WASH]], 0))), "")</f>
        <v>1.5</v>
      </c>
      <c r="BB18" s="317" t="str" cm="1">
        <f t="array" ref="BB1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8" s="265" cm="1">
        <f t="array" ref="BC18">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8" s="318" t="str" cm="1">
        <f t="array" ref="BD1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 s="356">
        <f>INDEX(tblSeverityAnalysis[Final Severity], MATCH(tblPiNAnalysis[[#This Row],[ID]],tblSeverityAnalysis[ID], 0))</f>
        <v>4</v>
      </c>
      <c r="BF18" s="59">
        <f>IF(tblPiNAnalysis[[#This Row],[Severity]]&gt;2,tblPiNAnalysis[[#This Row],[Highest PiN]],)</f>
        <v>59894</v>
      </c>
      <c r="BG18" s="187"/>
      <c r="BH18" s="188"/>
      <c r="BI18" s="189">
        <f>COUNTIFS(tblPiNAnalysis[[#This Row],[Number of missing / zero PiNs greater than threshold - Data quality]:[Manual Flag]],"Flagged")</f>
        <v>2</v>
      </c>
      <c r="BJ18" s="94" t="str">
        <f>IF(tblPiNAnalysis[[#This Row],['# Flags]]&gt;0, "Flagged", "")</f>
        <v>Flagged</v>
      </c>
      <c r="BK18" s="310">
        <f>tblPiNAnalysis[[#This Row],[Preliminary PiN]]</f>
        <v>59894</v>
      </c>
      <c r="BL18" s="315"/>
      <c r="BM18" s="256">
        <f>IFERROR(IF(tblPiNAnalysis[[#This Row],[Severity]]=3,tblPiNAnalysis[[#This Row],[Final PiN]]*Thresholds!$D$35,tblPiNAnalysis[[#This Row],[Final PiN]]*Thresholds!$D$36),)</f>
        <v>59894</v>
      </c>
      <c r="BN18" s="256">
        <f>IFERROR(IF(tblPiNAnalysis[[#This Row],[Severity]]&gt;3,tblPiNAnalysis[[#This Row],[Final PiN]]*Thresholds!$D$36,),)</f>
        <v>59894</v>
      </c>
    </row>
    <row r="19" spans="1:66" ht="24.95" customHeight="1">
      <c r="A19" s="30" t="s">
        <v>178</v>
      </c>
      <c r="B19" s="39" t="s">
        <v>146</v>
      </c>
      <c r="C19" s="213" t="s">
        <v>147</v>
      </c>
      <c r="D19" s="340" t="s">
        <v>179</v>
      </c>
      <c r="E19" s="103" t="s">
        <v>178</v>
      </c>
      <c r="F19" s="98"/>
      <c r="G19" s="33"/>
      <c r="H19" s="33"/>
      <c r="I19" s="95"/>
      <c r="J19" s="95" t="s">
        <v>149</v>
      </c>
      <c r="K19" s="319"/>
      <c r="L19" s="303"/>
      <c r="M19" s="32"/>
      <c r="N19" s="32"/>
      <c r="O19" s="32"/>
      <c r="P19" s="32"/>
      <c r="Q19" s="304"/>
      <c r="R19" s="303"/>
      <c r="S19" s="32"/>
      <c r="T19" s="32"/>
      <c r="U19" s="32"/>
      <c r="V19" s="303"/>
      <c r="W19" s="305" t="str">
        <f>IFERROR(IF(tblPiNAnalysis[[#This Row],[CCCM]]="", "", MROUND(tblPiNAnalysis[[#This Row],[CCCM]]/tblPiNAnalysis[[#This Row],[Population]], 0.05)), "")</f>
        <v/>
      </c>
      <c r="X19" s="306" t="str">
        <f>IFERROR(IF(tblPiNAnalysis[[#This Row],[Education]]="", "", MROUND(tblPiNAnalysis[[#This Row],[Education]]/tblPiNAnalysis[[#This Row],[Population]], 0.05)), "")</f>
        <v/>
      </c>
      <c r="Y19" s="306" t="str">
        <f>IFERROR(IF(tblPiNAnalysis[[#This Row],[Nutrition]]="", "", MROUND(tblPiNAnalysis[[#This Row],[Nutrition]]/tblPiNAnalysis[[#This Row],[Population]], 0.05)), "")</f>
        <v/>
      </c>
      <c r="Z19" s="306" t="str">
        <f>IFERROR(IF(tblPiNAnalysis[[#This Row],[Food Security]]="", "", MROUND(tblPiNAnalysis[[#This Row],[Food Security]]/tblPiNAnalysis[[#This Row],[Population]], 0.05)), "")</f>
        <v/>
      </c>
      <c r="AA19" s="306" t="str">
        <f>IFERROR(IF(tblPiNAnalysis[[#This Row],[Health]]="", "", MROUND(tblPiNAnalysis[[#This Row],[Health]]/tblPiNAnalysis[[#This Row],[Population]], 0.05)), "")</f>
        <v/>
      </c>
      <c r="AB19" s="307" t="str">
        <f>IFERROR(IF(tblPiNAnalysis[[#This Row],[Overarching Protection]]="", "", MROUND(tblPiNAnalysis[[#This Row],[Overarching Protection]]/tblPiNAnalysis[[#This Row],[Population]], 0.05)), "")</f>
        <v/>
      </c>
      <c r="AC19" s="307" t="str">
        <f>IFERROR(IF(tblPiNAnalysis[[#This Row],[Shelter]]="", "", MROUND(tblPiNAnalysis[[#This Row],[Shelter]]/tblPiNAnalysis[[#This Row],[Population]], 0.05)), "")</f>
        <v/>
      </c>
      <c r="AD19" s="308" t="str">
        <f>IFERROR(IF(tblPiNAnalysis[[#This Row],[WASH]]="", "", MROUND(tblPiNAnalysis[[#This Row],[WASH]]/tblPiNAnalysis[[#This Row],[Population]], 0.05)), "")</f>
        <v/>
      </c>
      <c r="AE19" s="306" t="str">
        <f>IFERROR(MROUND(tblPiNAnalysis[[#This Row],[CP]]/tblPiNAnalysis[[#This Row],[Population]], 0.05), "")</f>
        <v/>
      </c>
      <c r="AF19" s="306" t="str">
        <f>IFERROR(MROUND(tblPiNAnalysis[[#This Row],[GBV]]/tblPiNAnalysis[[#This Row],[Population]], 0.05), "")</f>
        <v/>
      </c>
      <c r="AG19" s="306" t="str">
        <f>IFERROR(MROUND(tblPiNAnalysis[[#This Row],[GP]]/tblPiNAnalysis[[#This Row],[Population]], 0.05), "")</f>
        <v/>
      </c>
      <c r="AH19" s="306" t="str">
        <f>IFERROR(MROUND(tblPiNAnalysis[[#This Row],[HLP]]/tblPiNAnalysis[[#This Row],[Population]], 0.05), "")</f>
        <v/>
      </c>
      <c r="AI19" s="309" t="str">
        <f>IFERROR(LARGE(tblPiNAnalysis[[#This Row],[CCCM]:[WASH]], 1), "")</f>
        <v/>
      </c>
      <c r="AJ19" s="310" t="str" cm="1">
        <f t="array" ref="AJ19">IF(tblPiNAnalysis[[#This Row],[Highest PiN]]="", "", _xlfn.TEXTJOIN(CHAR(10), TRUE, IF(tblPiNAnalysis[[#This Row],[Highest PiN]]=tblPiNAnalysis[[#This Row],[CCCM]:[WASH]], tblPiNAnalysis[[#Headers],[CCCM]:[WASH]], "")))</f>
        <v/>
      </c>
      <c r="AK19" s="311" t="str">
        <f>IF(tblPiNAnalysis[[#This Row],[Highest PiN]]="", "", tblPiNAnalysis[[#This Row],[Highest PiN]]/tblPiNAnalysis[[#This Row],[Population]])</f>
        <v/>
      </c>
      <c r="AL19" s="312" t="str">
        <f>IF(SUM(tblPiNAnalysis[[#This Row],[CCCM]:[WASH]])=0, "",IF(COUNTIF(tblPiNAnalysis[[#This Row],[CCCM]:[WASH]],"=0")+COUNTIF(tblPiNAnalysis[[#This Row],[CCCM]:[WASH]],"")&gt;=zero_pin_thresh, "Flagged", ""))</f>
        <v/>
      </c>
      <c r="AM19" s="313" t="str">
        <f>IFERROR(IF(tblPiNAnalysis[[#This Row],[Highest PiN]]="", "", IF(tblPiNAnalysis[[#This Row],[Highest sector(s'') PiN %]]&gt;=flag_pin_perc, "Flagged", "")), "")</f>
        <v/>
      </c>
      <c r="AN19" s="314" t="str" cm="1">
        <f t="array" ref="AN19">IF(tblPiNAnalysis[[#This Row],[Highest PiN]]=0, "",  IF(OR(COUNTIF(tblPiNAnalysis[[#This Row],[Highest sector(s)]],tblSubSectorPopulation[Sector])), "Flagged", ""))</f>
        <v/>
      </c>
      <c r="AO19" s="46" t="str" cm="1">
        <f t="array" ref="AO1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19" s="315" t="str" cm="1">
        <f t="array" ref="AP19">IF(tblPiNAnalysis[[#This Row],[2nd Highest PiN]]="", "", _xlfn.TEXTJOIN(CHAR(10), TRUE, IF(tblPiNAnalysis[[#This Row],[2nd Highest PiN]]=tblPiNAnalysis[[#This Row],[CCCM]:[WASH]], tblPiNAnalysis[[#Headers],[CCCM]:[WASH]], "")))</f>
        <v/>
      </c>
      <c r="AQ19" s="35" t="str">
        <f>IFERROR(tblPiNAnalysis[[#This Row],[2nd Highest PiN]]/tblPiNAnalysis[[#This Row],[Population]], "")</f>
        <v/>
      </c>
      <c r="AR19" s="46" t="str">
        <f>IFERROR(tblPiNAnalysis[[#This Row],[Highest PiN]]-tblPiNAnalysis[[#This Row],[2nd Highest PiN]], "")</f>
        <v/>
      </c>
      <c r="AS19" s="38" t="str">
        <f>IFERROR(((tblPiNAnalysis[[#This Row],[Highest PiN]]-tblPiNAnalysis[[#This Row],[2nd Highest PiN]])/tblPiNAnalysis[[#This Row],[2nd Highest PiN]]),"")</f>
        <v/>
      </c>
      <c r="AT19" s="38" t="str" cm="1">
        <f t="array" ref="AT1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 s="316" t="str" cm="1">
        <f t="array" ref="AU1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19" s="186" t="str" cm="1">
        <f t="array" ref="AV19">IF(tblPiNAnalysis[[#This Row],[3rd Highest PiN]]="", "", _xlfn.TEXTJOIN(CHAR(10), TRUE, IF(tblPiNAnalysis[[#This Row],[3rd Highest PiN]]=tblPiNAnalysis[[#This Row],[CCCM]:[WASH]], tblPiNAnalysis[[#Headers],[CCCM]:[WASH]], "")))</f>
        <v/>
      </c>
      <c r="AW19" s="186" t="str">
        <f>IFERROR(tblPiNAnalysis[[#This Row],[3rd Highest PiN]]/tblPiNAnalysis[[#This Row],[Population]], "")</f>
        <v/>
      </c>
      <c r="AX19" s="45" t="str">
        <f>IFERROR(tblPiNAnalysis[[#This Row],[Highest PiN]]-tblPiNAnalysis[[#This Row],[3rd Highest PiN]],"")</f>
        <v/>
      </c>
      <c r="AY19" s="38" t="str">
        <f>IFERROR(tblPiNAnalysis[[#This Row],[Difference of PiN between Highest and 3rd Highest]]/tblPiNAnalysis[[#This Row],[3rd Highest PiN]], "")</f>
        <v/>
      </c>
      <c r="AZ19" s="314" t="str" cm="1">
        <f t="array" ref="AZ1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 s="288" t="e" cm="1" vm="2">
        <f t="array" aca="1" ref="BA19"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19" s="317" t="str" cm="1">
        <f t="array" ref="BB1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 s="265" t="e" cm="1" vm="2">
        <f t="array" aca="1" ref="BC19"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19" s="318" t="str" cm="1">
        <f t="array" ref="BD1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 s="356">
        <f>INDEX(tblSeverityAnalysis[Final Severity], MATCH(tblPiNAnalysis[[#This Row],[ID]],tblSeverityAnalysis[ID], 0))</f>
        <v>3</v>
      </c>
      <c r="BF19" s="59" t="str">
        <f>IF(tblPiNAnalysis[[#This Row],[Severity]]&gt;2,tblPiNAnalysis[[#This Row],[Highest PiN]],)</f>
        <v/>
      </c>
      <c r="BG19" s="187"/>
      <c r="BH19" s="188"/>
      <c r="BI19" s="189">
        <f ca="1">COUNTIFS(tblPiNAnalysis[[#This Row],[Number of missing / zero PiNs greater than threshold - Data quality]:[Manual Flag]],"Flagged")</f>
        <v>0</v>
      </c>
      <c r="BJ19" s="94" t="str">
        <f ca="1">IF(tblPiNAnalysis[[#This Row],['# Flags]]&gt;0, "Flagged", "")</f>
        <v/>
      </c>
      <c r="BK19" s="310" t="str">
        <f>tblPiNAnalysis[[#This Row],[Preliminary PiN]]</f>
        <v/>
      </c>
      <c r="BL19" s="315"/>
      <c r="BM19" s="256">
        <f>IFERROR(IF(tblPiNAnalysis[[#This Row],[Severity]]=3,tblPiNAnalysis[[#This Row],[Final PiN]]*Thresholds!$D$35,tblPiNAnalysis[[#This Row],[Final PiN]]*Thresholds!$D$36),)</f>
        <v>0</v>
      </c>
      <c r="BN19" s="256">
        <f>IFERROR(IF(tblPiNAnalysis[[#This Row],[Severity]]&gt;3,tblPiNAnalysis[[#This Row],[Final PiN]]*Thresholds!$D$36,),)</f>
        <v>0</v>
      </c>
    </row>
    <row r="20" spans="1:66" ht="24.95" customHeight="1">
      <c r="A20" s="30" t="s">
        <v>180</v>
      </c>
      <c r="B20" s="39" t="s">
        <v>146</v>
      </c>
      <c r="C20" s="213" t="s">
        <v>147</v>
      </c>
      <c r="D20" s="340" t="s">
        <v>181</v>
      </c>
      <c r="E20" s="103" t="s">
        <v>180</v>
      </c>
      <c r="F20" s="98"/>
      <c r="G20" s="33"/>
      <c r="H20" s="33"/>
      <c r="I20" s="95">
        <v>1742</v>
      </c>
      <c r="J20" s="95" t="s">
        <v>149</v>
      </c>
      <c r="K20" s="319">
        <v>1742</v>
      </c>
      <c r="L20" s="303"/>
      <c r="M20" s="32">
        <v>180</v>
      </c>
      <c r="N20" s="32">
        <v>1742</v>
      </c>
      <c r="O20" s="32">
        <v>1207.4289233807724</v>
      </c>
      <c r="P20" s="32">
        <v>683</v>
      </c>
      <c r="Q20" s="304">
        <v>0</v>
      </c>
      <c r="R20" s="303">
        <v>0</v>
      </c>
      <c r="S20" s="32">
        <v>330</v>
      </c>
      <c r="T20" s="32">
        <v>683</v>
      </c>
      <c r="U20" s="32">
        <v>0</v>
      </c>
      <c r="V20" s="303">
        <v>0</v>
      </c>
      <c r="W20" s="305">
        <f>IFERROR(IF(tblPiNAnalysis[[#This Row],[CCCM]]="", "", MROUND(tblPiNAnalysis[[#This Row],[CCCM]]/tblPiNAnalysis[[#This Row],[Population]], 0.05)), "")</f>
        <v>1</v>
      </c>
      <c r="X20" s="306" t="str">
        <f>IFERROR(IF(tblPiNAnalysis[[#This Row],[Education]]="", "", MROUND(tblPiNAnalysis[[#This Row],[Education]]/tblPiNAnalysis[[#This Row],[Population]], 0.05)), "")</f>
        <v/>
      </c>
      <c r="Y20" s="306">
        <f>IFERROR(IF(tblPiNAnalysis[[#This Row],[Nutrition]]="", "", MROUND(tblPiNAnalysis[[#This Row],[Nutrition]]/tblPiNAnalysis[[#This Row],[Population]], 0.05)), "")</f>
        <v>0.1</v>
      </c>
      <c r="Z20" s="306">
        <f>IFERROR(IF(tblPiNAnalysis[[#This Row],[Food Security]]="", "", MROUND(tblPiNAnalysis[[#This Row],[Food Security]]/tblPiNAnalysis[[#This Row],[Population]], 0.05)), "")</f>
        <v>1</v>
      </c>
      <c r="AA20" s="306">
        <f>IFERROR(IF(tblPiNAnalysis[[#This Row],[Health]]="", "", MROUND(tblPiNAnalysis[[#This Row],[Health]]/tblPiNAnalysis[[#This Row],[Population]], 0.05)), "")</f>
        <v>0.70000000000000007</v>
      </c>
      <c r="AB20" s="307">
        <f>IFERROR(IF(tblPiNAnalysis[[#This Row],[Overarching Protection]]="", "", MROUND(tblPiNAnalysis[[#This Row],[Overarching Protection]]/tblPiNAnalysis[[#This Row],[Population]], 0.05)), "")</f>
        <v>0.4</v>
      </c>
      <c r="AC20" s="307">
        <f>IFERROR(IF(tblPiNAnalysis[[#This Row],[Shelter]]="", "", MROUND(tblPiNAnalysis[[#This Row],[Shelter]]/tblPiNAnalysis[[#This Row],[Population]], 0.05)), "")</f>
        <v>0</v>
      </c>
      <c r="AD20" s="308">
        <f>IFERROR(IF(tblPiNAnalysis[[#This Row],[WASH]]="", "", MROUND(tblPiNAnalysis[[#This Row],[WASH]]/tblPiNAnalysis[[#This Row],[Population]], 0.05)), "")</f>
        <v>0</v>
      </c>
      <c r="AE20" s="306">
        <f>IFERROR(MROUND(tblPiNAnalysis[[#This Row],[CP]]/tblPiNAnalysis[[#This Row],[Population]], 0.05), "")</f>
        <v>0.2</v>
      </c>
      <c r="AF20" s="306">
        <f>IFERROR(MROUND(tblPiNAnalysis[[#This Row],[GBV]]/tblPiNAnalysis[[#This Row],[Population]], 0.05), "")</f>
        <v>0.4</v>
      </c>
      <c r="AG20" s="306">
        <f>IFERROR(MROUND(tblPiNAnalysis[[#This Row],[GP]]/tblPiNAnalysis[[#This Row],[Population]], 0.05), "")</f>
        <v>0</v>
      </c>
      <c r="AH20" s="306">
        <f>IFERROR(MROUND(tblPiNAnalysis[[#This Row],[HLP]]/tblPiNAnalysis[[#This Row],[Population]], 0.05), "")</f>
        <v>0</v>
      </c>
      <c r="AI20" s="309">
        <f>IFERROR(LARGE(tblPiNAnalysis[[#This Row],[CCCM]:[WASH]], 1), "")</f>
        <v>1742</v>
      </c>
      <c r="AJ20" s="310" t="str" cm="1">
        <f t="array" ref="AJ20">IF(tblPiNAnalysis[[#This Row],[Highest PiN]]="", "", _xlfn.TEXTJOIN(CHAR(10), TRUE, IF(tblPiNAnalysis[[#This Row],[Highest PiN]]=tblPiNAnalysis[[#This Row],[CCCM]:[WASH]], tblPiNAnalysis[[#Headers],[CCCM]:[WASH]], "")))</f>
        <v>CCCM
Food Security</v>
      </c>
      <c r="AK20" s="311">
        <f>IF(tblPiNAnalysis[[#This Row],[Highest PiN]]="", "", tblPiNAnalysis[[#This Row],[Highest PiN]]/tblPiNAnalysis[[#This Row],[Population]])</f>
        <v>1</v>
      </c>
      <c r="AL20" s="312" t="str">
        <f>IF(SUM(tblPiNAnalysis[[#This Row],[CCCM]:[WASH]])=0, "",IF(COUNTIF(tblPiNAnalysis[[#This Row],[CCCM]:[WASH]],"=0")+COUNTIF(tblPiNAnalysis[[#This Row],[CCCM]:[WASH]],"")&gt;=zero_pin_thresh, "Flagged", ""))</f>
        <v/>
      </c>
      <c r="AM20" s="313" t="str">
        <f>IFERROR(IF(tblPiNAnalysis[[#This Row],[Highest PiN]]="", "", IF(tblPiNAnalysis[[#This Row],[Highest sector(s'') PiN %]]&gt;=flag_pin_perc, "Flagged", "")), "")</f>
        <v>Flagged</v>
      </c>
      <c r="AN20" s="314" t="str" cm="1">
        <f t="array" ref="AN20">IF(tblPiNAnalysis[[#This Row],[Highest PiN]]=0, "",  IF(OR(COUNTIF(tblPiNAnalysis[[#This Row],[Highest sector(s)]],tblSubSectorPopulation[Sector])), "Flagged", ""))</f>
        <v/>
      </c>
      <c r="AO20" s="46" cm="1">
        <f t="array" ref="AO2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1207.4289233807724</v>
      </c>
      <c r="AP20" s="315" t="str" cm="1">
        <f t="array" ref="AP20">IF(tblPiNAnalysis[[#This Row],[2nd Highest PiN]]="", "", _xlfn.TEXTJOIN(CHAR(10), TRUE, IF(tblPiNAnalysis[[#This Row],[2nd Highest PiN]]=tblPiNAnalysis[[#This Row],[CCCM]:[WASH]], tblPiNAnalysis[[#Headers],[CCCM]:[WASH]], "")))</f>
        <v>Health</v>
      </c>
      <c r="AQ20" s="35">
        <f>IFERROR(tblPiNAnalysis[[#This Row],[2nd Highest PiN]]/tblPiNAnalysis[[#This Row],[Population]], "")</f>
        <v>0.69312796979378444</v>
      </c>
      <c r="AR20" s="46">
        <f>IFERROR(tblPiNAnalysis[[#This Row],[Highest PiN]]-tblPiNAnalysis[[#This Row],[2nd Highest PiN]], "")</f>
        <v>534.5710766192276</v>
      </c>
      <c r="AS20" s="38">
        <f>IFERROR(((tblPiNAnalysis[[#This Row],[Highest PiN]]-tblPiNAnalysis[[#This Row],[2nd Highest PiN]])/tblPiNAnalysis[[#This Row],[2nd Highest PiN]]),"")</f>
        <v>0.44273502668996967</v>
      </c>
      <c r="AT20" s="38" t="str" cm="1">
        <f t="array" ref="AT2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 s="316" cm="1">
        <f t="array" ref="AU2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683</v>
      </c>
      <c r="AV20" s="186" t="str" cm="1">
        <f t="array" ref="AV20">IF(tblPiNAnalysis[[#This Row],[3rd Highest PiN]]="", "", _xlfn.TEXTJOIN(CHAR(10), TRUE, IF(tblPiNAnalysis[[#This Row],[3rd Highest PiN]]=tblPiNAnalysis[[#This Row],[CCCM]:[WASH]], tblPiNAnalysis[[#Headers],[CCCM]:[WASH]], "")))</f>
        <v>Overarching Protection</v>
      </c>
      <c r="AW20" s="186">
        <f>IFERROR(tblPiNAnalysis[[#This Row],[3rd Highest PiN]]/tblPiNAnalysis[[#This Row],[Population]], "")</f>
        <v>0.39207807118254878</v>
      </c>
      <c r="AX20" s="45">
        <f>IFERROR(tblPiNAnalysis[[#This Row],[Highest PiN]]-tblPiNAnalysis[[#This Row],[3rd Highest PiN]],"")</f>
        <v>1059</v>
      </c>
      <c r="AY20" s="38">
        <f>IFERROR(tblPiNAnalysis[[#This Row],[Difference of PiN between Highest and 3rd Highest]]/tblPiNAnalysis[[#This Row],[3rd Highest PiN]], "")</f>
        <v>1.5505124450951684</v>
      </c>
      <c r="AZ20" s="314" t="str" cm="1">
        <f t="array" ref="AZ2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 s="288" t="e" cm="1" vm="1">
        <f t="array" aca="1" ref="BA20"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0" s="317" t="str" cm="1">
        <f t="array" ref="BB2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 s="265" cm="1">
        <f t="array" ref="BC20">IFERROR(IF(tblPiNAnalysis[[#This Row],[ID]]="", "", INDEX(tblPiNHistorical[[CCCM]:[WASH]], MATCH(tblPiNAnalysis[[#This Row],[ID]],tblPiNHistorical[ID], 0),MATCH(_xlfn._xlws.FILTER(tblPiNAnalysis[[#Headers],[CCCM]:[WASH]], tblPiNAnalysis[[#This Row],[2nd Highest PiN]]=tblPiNAnalysis[[#This Row],[CCCM]:[WASH]]), tblPiNHistorical[[#Headers],[CCCM]:[WASH]], 0))), "")</f>
        <v>-0.7</v>
      </c>
      <c r="BD20" s="318" t="str" cm="1">
        <f t="array" ref="BD2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 s="356">
        <f>INDEX(tblSeverityAnalysis[Final Severity], MATCH(tblPiNAnalysis[[#This Row],[ID]],tblSeverityAnalysis[ID], 0))</f>
        <v>4</v>
      </c>
      <c r="BF20" s="59">
        <f>IF(tblPiNAnalysis[[#This Row],[Severity]]&gt;2,tblPiNAnalysis[[#This Row],[Highest PiN]],)</f>
        <v>1742</v>
      </c>
      <c r="BG20" s="187"/>
      <c r="BH20" s="188"/>
      <c r="BI20" s="189">
        <f ca="1">COUNTIFS(tblPiNAnalysis[[#This Row],[Number of missing / zero PiNs greater than threshold - Data quality]:[Manual Flag]],"Flagged")</f>
        <v>1</v>
      </c>
      <c r="BJ20" s="94" t="str">
        <f ca="1">IF(tblPiNAnalysis[[#This Row],['# Flags]]&gt;0, "Flagged", "")</f>
        <v>Flagged</v>
      </c>
      <c r="BK20" s="310">
        <f>tblPiNAnalysis[[#This Row],[Preliminary PiN]]</f>
        <v>1742</v>
      </c>
      <c r="BL20" s="315"/>
      <c r="BM20" s="256">
        <f>IFERROR(IF(tblPiNAnalysis[[#This Row],[Severity]]=3,tblPiNAnalysis[[#This Row],[Final PiN]]*Thresholds!$D$35,tblPiNAnalysis[[#This Row],[Final PiN]]*Thresholds!$D$36),)</f>
        <v>1742</v>
      </c>
      <c r="BN20" s="256">
        <f>IFERROR(IF(tblPiNAnalysis[[#This Row],[Severity]]&gt;3,tblPiNAnalysis[[#This Row],[Final PiN]]*Thresholds!$D$36,),)</f>
        <v>1742</v>
      </c>
    </row>
    <row r="21" spans="1:66" ht="24.95" customHeight="1">
      <c r="A21" s="30" t="s">
        <v>182</v>
      </c>
      <c r="B21" s="39" t="s">
        <v>183</v>
      </c>
      <c r="C21" s="213" t="s">
        <v>184</v>
      </c>
      <c r="D21" s="340" t="s">
        <v>185</v>
      </c>
      <c r="E21" s="103" t="s">
        <v>182</v>
      </c>
      <c r="F21" s="98"/>
      <c r="G21" s="33"/>
      <c r="H21" s="33"/>
      <c r="I21" s="95">
        <v>1199</v>
      </c>
      <c r="J21" s="95" t="s">
        <v>149</v>
      </c>
      <c r="K21" s="319">
        <v>1199</v>
      </c>
      <c r="L21" s="303">
        <v>125</v>
      </c>
      <c r="M21" s="32">
        <f>0.1*tblPiNAnalysis[[#This Row],[Population]]</f>
        <v>119.9</v>
      </c>
      <c r="N21" s="32">
        <v>1199</v>
      </c>
      <c r="O21" s="32">
        <v>1.5974630055519989</v>
      </c>
      <c r="P21" s="32">
        <v>226</v>
      </c>
      <c r="Q21" s="304">
        <v>536</v>
      </c>
      <c r="R21" s="303">
        <v>1199</v>
      </c>
      <c r="S21" s="32">
        <v>226</v>
      </c>
      <c r="T21" s="32">
        <v>133</v>
      </c>
      <c r="U21" s="32">
        <v>0</v>
      </c>
      <c r="V21" s="303">
        <v>0</v>
      </c>
      <c r="W21" s="305">
        <f>IFERROR(IF(tblPiNAnalysis[[#This Row],[CCCM]]="", "", MROUND(tblPiNAnalysis[[#This Row],[CCCM]]/tblPiNAnalysis[[#This Row],[Population]], 0.05)), "")</f>
        <v>1</v>
      </c>
      <c r="X21" s="306">
        <f>IFERROR(IF(tblPiNAnalysis[[#This Row],[Education]]="", "", MROUND(tblPiNAnalysis[[#This Row],[Education]]/tblPiNAnalysis[[#This Row],[Population]], 0.05)), "")</f>
        <v>0.1</v>
      </c>
      <c r="Y21" s="306">
        <f>IFERROR(IF(tblPiNAnalysis[[#This Row],[Nutrition]]="", "", MROUND(tblPiNAnalysis[[#This Row],[Nutrition]]/tblPiNAnalysis[[#This Row],[Population]], 0.05)), "")</f>
        <v>0.1</v>
      </c>
      <c r="Z21" s="306">
        <f>IFERROR(IF(tblPiNAnalysis[[#This Row],[Food Security]]="", "", MROUND(tblPiNAnalysis[[#This Row],[Food Security]]/tblPiNAnalysis[[#This Row],[Population]], 0.05)), "")</f>
        <v>1</v>
      </c>
      <c r="AA21" s="306">
        <f>IFERROR(IF(tblPiNAnalysis[[#This Row],[Health]]="", "", MROUND(tblPiNAnalysis[[#This Row],[Health]]/tblPiNAnalysis[[#This Row],[Population]], 0.05)), "")</f>
        <v>0</v>
      </c>
      <c r="AB21" s="307">
        <f>IFERROR(IF(tblPiNAnalysis[[#This Row],[Overarching Protection]]="", "", MROUND(tblPiNAnalysis[[#This Row],[Overarching Protection]]/tblPiNAnalysis[[#This Row],[Population]], 0.05)), "")</f>
        <v>0.2</v>
      </c>
      <c r="AC21" s="307">
        <f>IFERROR(IF(tblPiNAnalysis[[#This Row],[Shelter]]="", "", MROUND(tblPiNAnalysis[[#This Row],[Shelter]]/tblPiNAnalysis[[#This Row],[Population]], 0.05)), "")</f>
        <v>0.45</v>
      </c>
      <c r="AD21" s="308">
        <f>IFERROR(IF(tblPiNAnalysis[[#This Row],[WASH]]="", "", MROUND(tblPiNAnalysis[[#This Row],[WASH]]/tblPiNAnalysis[[#This Row],[Population]], 0.05)), "")</f>
        <v>1</v>
      </c>
      <c r="AE21" s="306">
        <f>IFERROR(MROUND(tblPiNAnalysis[[#This Row],[CP]]/tblPiNAnalysis[[#This Row],[Population]], 0.05), "")</f>
        <v>0.2</v>
      </c>
      <c r="AF21" s="306">
        <f>IFERROR(MROUND(tblPiNAnalysis[[#This Row],[GBV]]/tblPiNAnalysis[[#This Row],[Population]], 0.05), "")</f>
        <v>0.1</v>
      </c>
      <c r="AG21" s="306">
        <f>IFERROR(MROUND(tblPiNAnalysis[[#This Row],[GP]]/tblPiNAnalysis[[#This Row],[Population]], 0.05), "")</f>
        <v>0</v>
      </c>
      <c r="AH21" s="306">
        <f>IFERROR(MROUND(tblPiNAnalysis[[#This Row],[HLP]]/tblPiNAnalysis[[#This Row],[Population]], 0.05), "")</f>
        <v>0</v>
      </c>
      <c r="AI21" s="309">
        <f>IFERROR(LARGE(tblPiNAnalysis[[#This Row],[CCCM]:[WASH]], 1), "")</f>
        <v>1199</v>
      </c>
      <c r="AJ21" s="310" t="str" cm="1">
        <f t="array" ref="AJ21">IF(tblPiNAnalysis[[#This Row],[Highest PiN]]="", "", _xlfn.TEXTJOIN(CHAR(10), TRUE, IF(tblPiNAnalysis[[#This Row],[Highest PiN]]=tblPiNAnalysis[[#This Row],[CCCM]:[WASH]], tblPiNAnalysis[[#Headers],[CCCM]:[WASH]], "")))</f>
        <v>CCCM
Food Security
WASH</v>
      </c>
      <c r="AK21" s="311">
        <f>IF(tblPiNAnalysis[[#This Row],[Highest PiN]]="", "", tblPiNAnalysis[[#This Row],[Highest PiN]]/tblPiNAnalysis[[#This Row],[Population]])</f>
        <v>1</v>
      </c>
      <c r="AL21" s="312" t="str">
        <f>IF(SUM(tblPiNAnalysis[[#This Row],[CCCM]:[WASH]])=0, "",IF(COUNTIF(tblPiNAnalysis[[#This Row],[CCCM]:[WASH]],"=0")+COUNTIF(tblPiNAnalysis[[#This Row],[CCCM]:[WASH]],"")&gt;=zero_pin_thresh, "Flagged", ""))</f>
        <v/>
      </c>
      <c r="AM21" s="313" t="str">
        <f>IFERROR(IF(tblPiNAnalysis[[#This Row],[Highest PiN]]="", "", IF(tblPiNAnalysis[[#This Row],[Highest sector(s'') PiN %]]&gt;=flag_pin_perc, "Flagged", "")), "")</f>
        <v>Flagged</v>
      </c>
      <c r="AN21" s="314" t="str" cm="1">
        <f t="array" ref="AN21">IF(tblPiNAnalysis[[#This Row],[Highest PiN]]=0, "",  IF(OR(COUNTIF(tblPiNAnalysis[[#This Row],[Highest sector(s)]],tblSubSectorPopulation[Sector])), "Flagged", ""))</f>
        <v/>
      </c>
      <c r="AO21" s="46" cm="1">
        <f t="array" ref="AO2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536</v>
      </c>
      <c r="AP21" s="315" t="str" cm="1">
        <f t="array" ref="AP21">IF(tblPiNAnalysis[[#This Row],[2nd Highest PiN]]="", "", _xlfn.TEXTJOIN(CHAR(10), TRUE, IF(tblPiNAnalysis[[#This Row],[2nd Highest PiN]]=tblPiNAnalysis[[#This Row],[CCCM]:[WASH]], tblPiNAnalysis[[#Headers],[CCCM]:[WASH]], "")))</f>
        <v>Shelter</v>
      </c>
      <c r="AQ21" s="35">
        <f>IFERROR(tblPiNAnalysis[[#This Row],[2nd Highest PiN]]/tblPiNAnalysis[[#This Row],[Population]], "")</f>
        <v>0.4470391993327773</v>
      </c>
      <c r="AR21" s="46">
        <f>IFERROR(tblPiNAnalysis[[#This Row],[Highest PiN]]-tblPiNAnalysis[[#This Row],[2nd Highest PiN]], "")</f>
        <v>663</v>
      </c>
      <c r="AS21" s="38">
        <f>IFERROR(((tblPiNAnalysis[[#This Row],[Highest PiN]]-tblPiNAnalysis[[#This Row],[2nd Highest PiN]])/tblPiNAnalysis[[#This Row],[2nd Highest PiN]]),"")</f>
        <v>1.2369402985074627</v>
      </c>
      <c r="AT21" s="38" t="str" cm="1">
        <f t="array" ref="AT2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 s="316" cm="1">
        <f t="array" ref="AU2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226</v>
      </c>
      <c r="AV21" s="186" t="str" cm="1">
        <f t="array" ref="AV21">IF(tblPiNAnalysis[[#This Row],[3rd Highest PiN]]="", "", _xlfn.TEXTJOIN(CHAR(10), TRUE, IF(tblPiNAnalysis[[#This Row],[3rd Highest PiN]]=tblPiNAnalysis[[#This Row],[CCCM]:[WASH]], tblPiNAnalysis[[#Headers],[CCCM]:[WASH]], "")))</f>
        <v>Overarching Protection</v>
      </c>
      <c r="AW21" s="186">
        <f>IFERROR(tblPiNAnalysis[[#This Row],[3rd Highest PiN]]/tblPiNAnalysis[[#This Row],[Population]], "")</f>
        <v>0.18849040867389491</v>
      </c>
      <c r="AX21" s="45">
        <f>IFERROR(tblPiNAnalysis[[#This Row],[Highest PiN]]-tblPiNAnalysis[[#This Row],[3rd Highest PiN]],"")</f>
        <v>973</v>
      </c>
      <c r="AY21" s="38">
        <f>IFERROR(tblPiNAnalysis[[#This Row],[Difference of PiN between Highest and 3rd Highest]]/tblPiNAnalysis[[#This Row],[3rd Highest PiN]], "")</f>
        <v>4.3053097345132745</v>
      </c>
      <c r="AZ21" s="314" t="str" cm="1">
        <f t="array" ref="AZ2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 s="288" t="e" cm="1" vm="3">
        <f t="array" aca="1" ref="BA21"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1" s="317" t="str" cm="1">
        <f t="array" ref="BB2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 s="265" t="str" cm="1">
        <f t="array" ref="BC2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 s="318" t="str" cm="1">
        <f t="array" ref="BD2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 s="356">
        <f>INDEX(tblSeverityAnalysis[Final Severity], MATCH(tblPiNAnalysis[[#This Row],[ID]],tblSeverityAnalysis[ID], 0))</f>
        <v>3</v>
      </c>
      <c r="BF21" s="59">
        <f>IF(tblPiNAnalysis[[#This Row],[Severity]]&gt;2,tblPiNAnalysis[[#This Row],[Highest PiN]],)</f>
        <v>1199</v>
      </c>
      <c r="BG21" s="187"/>
      <c r="BH21" s="188"/>
      <c r="BI21" s="189">
        <f ca="1">COUNTIFS(tblPiNAnalysis[[#This Row],[Number of missing / zero PiNs greater than threshold - Data quality]:[Manual Flag]],"Flagged")</f>
        <v>1</v>
      </c>
      <c r="BJ21" s="94" t="str">
        <f ca="1">IF(tblPiNAnalysis[[#This Row],['# Flags]]&gt;0, "Flagged", "")</f>
        <v>Flagged</v>
      </c>
      <c r="BK21" s="310">
        <f>tblPiNAnalysis[[#This Row],[Preliminary PiN]]</f>
        <v>1199</v>
      </c>
      <c r="BL21" s="315"/>
      <c r="BM21" s="256">
        <f>IFERROR(IF(tblPiNAnalysis[[#This Row],[Severity]]=3,tblPiNAnalysis[[#This Row],[Final PiN]]*Thresholds!$D$35,tblPiNAnalysis[[#This Row],[Final PiN]]*Thresholds!$D$36),)</f>
        <v>599.5</v>
      </c>
      <c r="BN21" s="256">
        <f>IFERROR(IF(tblPiNAnalysis[[#This Row],[Severity]]&gt;3,tblPiNAnalysis[[#This Row],[Final PiN]]*Thresholds!$D$36,),)</f>
        <v>0</v>
      </c>
    </row>
    <row r="22" spans="1:66" ht="24.95" customHeight="1">
      <c r="A22" s="30" t="s">
        <v>186</v>
      </c>
      <c r="B22" s="39" t="s">
        <v>183</v>
      </c>
      <c r="C22" s="213" t="s">
        <v>184</v>
      </c>
      <c r="D22" s="340" t="s">
        <v>187</v>
      </c>
      <c r="E22" s="103" t="s">
        <v>186</v>
      </c>
      <c r="F22" s="98"/>
      <c r="G22" s="33"/>
      <c r="H22" s="33"/>
      <c r="I22" s="95">
        <v>1165</v>
      </c>
      <c r="J22" s="95" t="s">
        <v>149</v>
      </c>
      <c r="K22" s="319">
        <v>1165</v>
      </c>
      <c r="L22" s="303">
        <v>38</v>
      </c>
      <c r="M22" s="32">
        <v>318</v>
      </c>
      <c r="N22" s="32">
        <v>1165</v>
      </c>
      <c r="O22" s="32">
        <v>0.36826476363810529</v>
      </c>
      <c r="P22" s="32">
        <v>220</v>
      </c>
      <c r="Q22" s="304">
        <v>431</v>
      </c>
      <c r="R22" s="303">
        <v>1048</v>
      </c>
      <c r="S22" s="32">
        <v>220</v>
      </c>
      <c r="T22" s="32">
        <v>129</v>
      </c>
      <c r="U22" s="32">
        <v>29</v>
      </c>
      <c r="V22" s="303">
        <v>0</v>
      </c>
      <c r="W22" s="305">
        <f>IFERROR(IF(tblPiNAnalysis[[#This Row],[CCCM]]="", "", MROUND(tblPiNAnalysis[[#This Row],[CCCM]]/tblPiNAnalysis[[#This Row],[Population]], 0.05)), "")</f>
        <v>1</v>
      </c>
      <c r="X22" s="306">
        <f>IFERROR(IF(tblPiNAnalysis[[#This Row],[Education]]="", "", MROUND(tblPiNAnalysis[[#This Row],[Education]]/tblPiNAnalysis[[#This Row],[Population]], 0.05)), "")</f>
        <v>0.05</v>
      </c>
      <c r="Y22" s="306">
        <f>IFERROR(IF(tblPiNAnalysis[[#This Row],[Nutrition]]="", "", MROUND(tblPiNAnalysis[[#This Row],[Nutrition]]/tblPiNAnalysis[[#This Row],[Population]], 0.05)), "")</f>
        <v>0.25</v>
      </c>
      <c r="Z22" s="306">
        <f>IFERROR(IF(tblPiNAnalysis[[#This Row],[Food Security]]="", "", MROUND(tblPiNAnalysis[[#This Row],[Food Security]]/tblPiNAnalysis[[#This Row],[Population]], 0.05)), "")</f>
        <v>1</v>
      </c>
      <c r="AA22" s="306">
        <f>IFERROR(IF(tblPiNAnalysis[[#This Row],[Health]]="", "", MROUND(tblPiNAnalysis[[#This Row],[Health]]/tblPiNAnalysis[[#This Row],[Population]], 0.05)), "")</f>
        <v>0</v>
      </c>
      <c r="AB22" s="307">
        <f>IFERROR(IF(tblPiNAnalysis[[#This Row],[Overarching Protection]]="", "", MROUND(tblPiNAnalysis[[#This Row],[Overarching Protection]]/tblPiNAnalysis[[#This Row],[Population]], 0.05)), "")</f>
        <v>0.2</v>
      </c>
      <c r="AC22" s="307">
        <f>IFERROR(IF(tblPiNAnalysis[[#This Row],[Shelter]]="", "", MROUND(tblPiNAnalysis[[#This Row],[Shelter]]/tblPiNAnalysis[[#This Row],[Population]], 0.05)), "")</f>
        <v>0.35000000000000003</v>
      </c>
      <c r="AD22" s="308">
        <f>IFERROR(IF(tblPiNAnalysis[[#This Row],[WASH]]="", "", MROUND(tblPiNAnalysis[[#This Row],[WASH]]/tblPiNAnalysis[[#This Row],[Population]], 0.05)), "")</f>
        <v>0.9</v>
      </c>
      <c r="AE22" s="306">
        <f>IFERROR(MROUND(tblPiNAnalysis[[#This Row],[CP]]/tblPiNAnalysis[[#This Row],[Population]], 0.05), "")</f>
        <v>0.2</v>
      </c>
      <c r="AF22" s="306">
        <f>IFERROR(MROUND(tblPiNAnalysis[[#This Row],[GBV]]/tblPiNAnalysis[[#This Row],[Population]], 0.05), "")</f>
        <v>0.1</v>
      </c>
      <c r="AG22" s="306">
        <f>IFERROR(MROUND(tblPiNAnalysis[[#This Row],[GP]]/tblPiNAnalysis[[#This Row],[Population]], 0.05), "")</f>
        <v>0</v>
      </c>
      <c r="AH22" s="306">
        <f>IFERROR(MROUND(tblPiNAnalysis[[#This Row],[HLP]]/tblPiNAnalysis[[#This Row],[Population]], 0.05), "")</f>
        <v>0</v>
      </c>
      <c r="AI22" s="309">
        <f>IFERROR(LARGE(tblPiNAnalysis[[#This Row],[CCCM]:[WASH]], 1), "")</f>
        <v>1165</v>
      </c>
      <c r="AJ22" s="310" t="str" cm="1">
        <f t="array" ref="AJ22">IF(tblPiNAnalysis[[#This Row],[Highest PiN]]="", "", _xlfn.TEXTJOIN(CHAR(10), TRUE, IF(tblPiNAnalysis[[#This Row],[Highest PiN]]=tblPiNAnalysis[[#This Row],[CCCM]:[WASH]], tblPiNAnalysis[[#Headers],[CCCM]:[WASH]], "")))</f>
        <v>CCCM
Food Security</v>
      </c>
      <c r="AK22" s="311">
        <f>IF(tblPiNAnalysis[[#This Row],[Highest PiN]]="", "", tblPiNAnalysis[[#This Row],[Highest PiN]]/tblPiNAnalysis[[#This Row],[Population]])</f>
        <v>1</v>
      </c>
      <c r="AL22" s="312" t="str">
        <f>IF(SUM(tblPiNAnalysis[[#This Row],[CCCM]:[WASH]])=0, "",IF(COUNTIF(tblPiNAnalysis[[#This Row],[CCCM]:[WASH]],"=0")+COUNTIF(tblPiNAnalysis[[#This Row],[CCCM]:[WASH]],"")&gt;=zero_pin_thresh, "Flagged", ""))</f>
        <v/>
      </c>
      <c r="AM22" s="313" t="str">
        <f>IFERROR(IF(tblPiNAnalysis[[#This Row],[Highest PiN]]="", "", IF(tblPiNAnalysis[[#This Row],[Highest sector(s'') PiN %]]&gt;=flag_pin_perc, "Flagged", "")), "")</f>
        <v>Flagged</v>
      </c>
      <c r="AN22" s="314" t="str" cm="1">
        <f t="array" ref="AN22">IF(tblPiNAnalysis[[#This Row],[Highest PiN]]=0, "",  IF(OR(COUNTIF(tblPiNAnalysis[[#This Row],[Highest sector(s)]],tblSubSectorPopulation[Sector])), "Flagged", ""))</f>
        <v/>
      </c>
      <c r="AO22" s="46" cm="1">
        <f t="array" ref="AO2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1048</v>
      </c>
      <c r="AP22" s="315" t="str" cm="1">
        <f t="array" ref="AP22">IF(tblPiNAnalysis[[#This Row],[2nd Highest PiN]]="", "", _xlfn.TEXTJOIN(CHAR(10), TRUE, IF(tblPiNAnalysis[[#This Row],[2nd Highest PiN]]=tblPiNAnalysis[[#This Row],[CCCM]:[WASH]], tblPiNAnalysis[[#Headers],[CCCM]:[WASH]], "")))</f>
        <v>WASH</v>
      </c>
      <c r="AQ22" s="35">
        <f>IFERROR(tblPiNAnalysis[[#This Row],[2nd Highest PiN]]/tblPiNAnalysis[[#This Row],[Population]], "")</f>
        <v>0.89957081545064377</v>
      </c>
      <c r="AR22" s="46">
        <f>IFERROR(tblPiNAnalysis[[#This Row],[Highest PiN]]-tblPiNAnalysis[[#This Row],[2nd Highest PiN]], "")</f>
        <v>117</v>
      </c>
      <c r="AS22" s="38">
        <f>IFERROR(((tblPiNAnalysis[[#This Row],[Highest PiN]]-tblPiNAnalysis[[#This Row],[2nd Highest PiN]])/tblPiNAnalysis[[#This Row],[2nd Highest PiN]]),"")</f>
        <v>0.11164122137404581</v>
      </c>
      <c r="AT22" s="38" t="str" cm="1">
        <f t="array" ref="AT2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 s="316" cm="1">
        <f t="array" ref="AU2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431</v>
      </c>
      <c r="AV22" s="186" t="str" cm="1">
        <f t="array" ref="AV22">IF(tblPiNAnalysis[[#This Row],[3rd Highest PiN]]="", "", _xlfn.TEXTJOIN(CHAR(10), TRUE, IF(tblPiNAnalysis[[#This Row],[3rd Highest PiN]]=tblPiNAnalysis[[#This Row],[CCCM]:[WASH]], tblPiNAnalysis[[#Headers],[CCCM]:[WASH]], "")))</f>
        <v>Shelter</v>
      </c>
      <c r="AW22" s="186">
        <f>IFERROR(tblPiNAnalysis[[#This Row],[3rd Highest PiN]]/tblPiNAnalysis[[#This Row],[Population]], "")</f>
        <v>0.3699570815450644</v>
      </c>
      <c r="AX22" s="45">
        <f>IFERROR(tblPiNAnalysis[[#This Row],[Highest PiN]]-tblPiNAnalysis[[#This Row],[3rd Highest PiN]],"")</f>
        <v>734</v>
      </c>
      <c r="AY22" s="38">
        <f>IFERROR(tblPiNAnalysis[[#This Row],[Difference of PiN between Highest and 3rd Highest]]/tblPiNAnalysis[[#This Row],[3rd Highest PiN]], "")</f>
        <v>1.703016241299304</v>
      </c>
      <c r="AZ22" s="314" t="str" cm="1">
        <f t="array" ref="AZ2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 s="288" t="e" cm="1" vm="1">
        <f t="array" aca="1" ref="BA22"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2" s="317" t="str" cm="1">
        <f t="array" ref="BB2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 s="265" t="str" cm="1">
        <f t="array" ref="BC22">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 s="318" t="str" cm="1">
        <f t="array" ref="BD2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 s="356">
        <f>INDEX(tblSeverityAnalysis[Final Severity], MATCH(tblPiNAnalysis[[#This Row],[ID]],tblSeverityAnalysis[ID], 0))</f>
        <v>3</v>
      </c>
      <c r="BF22" s="59">
        <f>IF(tblPiNAnalysis[[#This Row],[Severity]]&gt;2,tblPiNAnalysis[[#This Row],[Highest PiN]],)</f>
        <v>1165</v>
      </c>
      <c r="BG22" s="187"/>
      <c r="BH22" s="188"/>
      <c r="BI22" s="189">
        <f ca="1">COUNTIFS(tblPiNAnalysis[[#This Row],[Number of missing / zero PiNs greater than threshold - Data quality]:[Manual Flag]],"Flagged")</f>
        <v>1</v>
      </c>
      <c r="BJ22" s="94" t="str">
        <f ca="1">IF(tblPiNAnalysis[[#This Row],['# Flags]]&gt;0, "Flagged", "")</f>
        <v>Flagged</v>
      </c>
      <c r="BK22" s="310">
        <f>tblPiNAnalysis[[#This Row],[Preliminary PiN]]</f>
        <v>1165</v>
      </c>
      <c r="BL22" s="315"/>
      <c r="BM22" s="256">
        <f>IFERROR(IF(tblPiNAnalysis[[#This Row],[Severity]]=3,tblPiNAnalysis[[#This Row],[Final PiN]]*Thresholds!$D$35,tblPiNAnalysis[[#This Row],[Final PiN]]*Thresholds!$D$36),)</f>
        <v>582.5</v>
      </c>
      <c r="BN22" s="256">
        <f>IFERROR(IF(tblPiNAnalysis[[#This Row],[Severity]]&gt;3,tblPiNAnalysis[[#This Row],[Final PiN]]*Thresholds!$D$36,),)</f>
        <v>0</v>
      </c>
    </row>
    <row r="23" spans="1:66" ht="24.95" customHeight="1">
      <c r="A23" s="30" t="s">
        <v>188</v>
      </c>
      <c r="B23" s="39" t="s">
        <v>189</v>
      </c>
      <c r="C23" s="213" t="s">
        <v>190</v>
      </c>
      <c r="D23" s="340" t="s">
        <v>191</v>
      </c>
      <c r="E23" s="103" t="s">
        <v>188</v>
      </c>
      <c r="F23" s="98"/>
      <c r="G23" s="33"/>
      <c r="H23" s="33"/>
      <c r="I23" s="95"/>
      <c r="J23" s="95" t="s">
        <v>149</v>
      </c>
      <c r="K23" s="319"/>
      <c r="L23" s="303"/>
      <c r="M23" s="32"/>
      <c r="N23" s="32"/>
      <c r="O23" s="32"/>
      <c r="P23" s="32"/>
      <c r="Q23" s="304"/>
      <c r="R23" s="303"/>
      <c r="S23" s="32"/>
      <c r="T23" s="32"/>
      <c r="U23" s="32"/>
      <c r="V23" s="303"/>
      <c r="W23" s="305" t="str">
        <f>IFERROR(IF(tblPiNAnalysis[[#This Row],[CCCM]]="", "", MROUND(tblPiNAnalysis[[#This Row],[CCCM]]/tblPiNAnalysis[[#This Row],[Population]], 0.05)), "")</f>
        <v/>
      </c>
      <c r="X23" s="306" t="str">
        <f>IFERROR(IF(tblPiNAnalysis[[#This Row],[Education]]="", "", MROUND(tblPiNAnalysis[[#This Row],[Education]]/tblPiNAnalysis[[#This Row],[Population]], 0.05)), "")</f>
        <v/>
      </c>
      <c r="Y23" s="306" t="str">
        <f>IFERROR(IF(tblPiNAnalysis[[#This Row],[Nutrition]]="", "", MROUND(tblPiNAnalysis[[#This Row],[Nutrition]]/tblPiNAnalysis[[#This Row],[Population]], 0.05)), "")</f>
        <v/>
      </c>
      <c r="Z23" s="306" t="str">
        <f>IFERROR(IF(tblPiNAnalysis[[#This Row],[Food Security]]="", "", MROUND(tblPiNAnalysis[[#This Row],[Food Security]]/tblPiNAnalysis[[#This Row],[Population]], 0.05)), "")</f>
        <v/>
      </c>
      <c r="AA23" s="306" t="str">
        <f>IFERROR(IF(tblPiNAnalysis[[#This Row],[Health]]="", "", MROUND(tblPiNAnalysis[[#This Row],[Health]]/tblPiNAnalysis[[#This Row],[Population]], 0.05)), "")</f>
        <v/>
      </c>
      <c r="AB23" s="307" t="str">
        <f>IFERROR(IF(tblPiNAnalysis[[#This Row],[Overarching Protection]]="", "", MROUND(tblPiNAnalysis[[#This Row],[Overarching Protection]]/tblPiNAnalysis[[#This Row],[Population]], 0.05)), "")</f>
        <v/>
      </c>
      <c r="AC23" s="307" t="str">
        <f>IFERROR(IF(tblPiNAnalysis[[#This Row],[Shelter]]="", "", MROUND(tblPiNAnalysis[[#This Row],[Shelter]]/tblPiNAnalysis[[#This Row],[Population]], 0.05)), "")</f>
        <v/>
      </c>
      <c r="AD23" s="308" t="str">
        <f>IFERROR(IF(tblPiNAnalysis[[#This Row],[WASH]]="", "", MROUND(tblPiNAnalysis[[#This Row],[WASH]]/tblPiNAnalysis[[#This Row],[Population]], 0.05)), "")</f>
        <v/>
      </c>
      <c r="AE23" s="306" t="str">
        <f>IFERROR(MROUND(tblPiNAnalysis[[#This Row],[CP]]/tblPiNAnalysis[[#This Row],[Population]], 0.05), "")</f>
        <v/>
      </c>
      <c r="AF23" s="306" t="str">
        <f>IFERROR(MROUND(tblPiNAnalysis[[#This Row],[GBV]]/tblPiNAnalysis[[#This Row],[Population]], 0.05), "")</f>
        <v/>
      </c>
      <c r="AG23" s="306" t="str">
        <f>IFERROR(MROUND(tblPiNAnalysis[[#This Row],[GP]]/tblPiNAnalysis[[#This Row],[Population]], 0.05), "")</f>
        <v/>
      </c>
      <c r="AH23" s="306" t="str">
        <f>IFERROR(MROUND(tblPiNAnalysis[[#This Row],[HLP]]/tblPiNAnalysis[[#This Row],[Population]], 0.05), "")</f>
        <v/>
      </c>
      <c r="AI23" s="309" t="str">
        <f>IFERROR(LARGE(tblPiNAnalysis[[#This Row],[CCCM]:[WASH]], 1), "")</f>
        <v/>
      </c>
      <c r="AJ23" s="310" t="str" cm="1">
        <f t="array" ref="AJ23">IF(tblPiNAnalysis[[#This Row],[Highest PiN]]="", "", _xlfn.TEXTJOIN(CHAR(10), TRUE, IF(tblPiNAnalysis[[#This Row],[Highest PiN]]=tblPiNAnalysis[[#This Row],[CCCM]:[WASH]], tblPiNAnalysis[[#Headers],[CCCM]:[WASH]], "")))</f>
        <v/>
      </c>
      <c r="AK23" s="311" t="str">
        <f>IF(tblPiNAnalysis[[#This Row],[Highest PiN]]="", "", tblPiNAnalysis[[#This Row],[Highest PiN]]/tblPiNAnalysis[[#This Row],[Population]])</f>
        <v/>
      </c>
      <c r="AL23" s="312" t="str">
        <f>IF(SUM(tblPiNAnalysis[[#This Row],[CCCM]:[WASH]])=0, "",IF(COUNTIF(tblPiNAnalysis[[#This Row],[CCCM]:[WASH]],"=0")+COUNTIF(tblPiNAnalysis[[#This Row],[CCCM]:[WASH]],"")&gt;=zero_pin_thresh, "Flagged", ""))</f>
        <v/>
      </c>
      <c r="AM23" s="313" t="str">
        <f>IFERROR(IF(tblPiNAnalysis[[#This Row],[Highest PiN]]="", "", IF(tblPiNAnalysis[[#This Row],[Highest sector(s'') PiN %]]&gt;=flag_pin_perc, "Flagged", "")), "")</f>
        <v/>
      </c>
      <c r="AN23" s="314" t="str" cm="1">
        <f t="array" ref="AN23">IF(tblPiNAnalysis[[#This Row],[Highest PiN]]=0, "",  IF(OR(COUNTIF(tblPiNAnalysis[[#This Row],[Highest sector(s)]],tblSubSectorPopulation[Sector])), "Flagged", ""))</f>
        <v/>
      </c>
      <c r="AO23" s="46" t="str" cm="1">
        <f t="array" ref="AO2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23" s="315" t="str" cm="1">
        <f t="array" ref="AP23">IF(tblPiNAnalysis[[#This Row],[2nd Highest PiN]]="", "", _xlfn.TEXTJOIN(CHAR(10), TRUE, IF(tblPiNAnalysis[[#This Row],[2nd Highest PiN]]=tblPiNAnalysis[[#This Row],[CCCM]:[WASH]], tblPiNAnalysis[[#Headers],[CCCM]:[WASH]], "")))</f>
        <v/>
      </c>
      <c r="AQ23" s="35" t="str">
        <f>IFERROR(tblPiNAnalysis[[#This Row],[2nd Highest PiN]]/tblPiNAnalysis[[#This Row],[Population]], "")</f>
        <v/>
      </c>
      <c r="AR23" s="46" t="str">
        <f>IFERROR(tblPiNAnalysis[[#This Row],[Highest PiN]]-tblPiNAnalysis[[#This Row],[2nd Highest PiN]], "")</f>
        <v/>
      </c>
      <c r="AS23" s="38" t="str">
        <f>IFERROR(((tblPiNAnalysis[[#This Row],[Highest PiN]]-tblPiNAnalysis[[#This Row],[2nd Highest PiN]])/tblPiNAnalysis[[#This Row],[2nd Highest PiN]]),"")</f>
        <v/>
      </c>
      <c r="AT23" s="38" t="str" cm="1">
        <f t="array" ref="AT2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 s="316" t="str" cm="1">
        <f t="array" ref="AU2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23" s="186" t="str" cm="1">
        <f t="array" ref="AV23">IF(tblPiNAnalysis[[#This Row],[3rd Highest PiN]]="", "", _xlfn.TEXTJOIN(CHAR(10), TRUE, IF(tblPiNAnalysis[[#This Row],[3rd Highest PiN]]=tblPiNAnalysis[[#This Row],[CCCM]:[WASH]], tblPiNAnalysis[[#Headers],[CCCM]:[WASH]], "")))</f>
        <v/>
      </c>
      <c r="AW23" s="186" t="str">
        <f>IFERROR(tblPiNAnalysis[[#This Row],[3rd Highest PiN]]/tblPiNAnalysis[[#This Row],[Population]], "")</f>
        <v/>
      </c>
      <c r="AX23" s="45" t="str">
        <f>IFERROR(tblPiNAnalysis[[#This Row],[Highest PiN]]-tblPiNAnalysis[[#This Row],[3rd Highest PiN]],"")</f>
        <v/>
      </c>
      <c r="AY23" s="38" t="str">
        <f>IFERROR(tblPiNAnalysis[[#This Row],[Difference of PiN between Highest and 3rd Highest]]/tblPiNAnalysis[[#This Row],[3rd Highest PiN]], "")</f>
        <v/>
      </c>
      <c r="AZ23" s="314" t="str" cm="1">
        <f t="array" ref="AZ2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 s="288" t="e" cm="1" vm="2">
        <f t="array" aca="1" ref="BA23"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3" s="317" t="str" cm="1">
        <f t="array" ref="BB2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 s="265" t="e" cm="1" vm="2">
        <f t="array" aca="1" ref="BC23"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23" s="318" t="str" cm="1">
        <f t="array" ref="BD2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 s="356">
        <f>INDEX(tblSeverityAnalysis[Final Severity], MATCH(tblPiNAnalysis[[#This Row],[ID]],tblSeverityAnalysis[ID], 0))</f>
        <v>3</v>
      </c>
      <c r="BF23" s="59" t="str">
        <f>IF(tblPiNAnalysis[[#This Row],[Severity]]&gt;2,tblPiNAnalysis[[#This Row],[Highest PiN]],)</f>
        <v/>
      </c>
      <c r="BG23" s="187"/>
      <c r="BH23" s="188"/>
      <c r="BI23" s="189">
        <f ca="1">COUNTIFS(tblPiNAnalysis[[#This Row],[Number of missing / zero PiNs greater than threshold - Data quality]:[Manual Flag]],"Flagged")</f>
        <v>0</v>
      </c>
      <c r="BJ23" s="94" t="str">
        <f ca="1">IF(tblPiNAnalysis[[#This Row],['# Flags]]&gt;0, "Flagged", "")</f>
        <v/>
      </c>
      <c r="BK23" s="310" t="str">
        <f>tblPiNAnalysis[[#This Row],[Preliminary PiN]]</f>
        <v/>
      </c>
      <c r="BL23" s="315"/>
      <c r="BM23" s="256">
        <f>IFERROR(IF(tblPiNAnalysis[[#This Row],[Severity]]=3,tblPiNAnalysis[[#This Row],[Final PiN]]*Thresholds!$D$35,tblPiNAnalysis[[#This Row],[Final PiN]]*Thresholds!$D$36),)</f>
        <v>0</v>
      </c>
      <c r="BN23" s="256">
        <f>IFERROR(IF(tblPiNAnalysis[[#This Row],[Severity]]&gt;3,tblPiNAnalysis[[#This Row],[Final PiN]]*Thresholds!$D$36,),)</f>
        <v>0</v>
      </c>
    </row>
    <row r="24" spans="1:66" ht="24.95" customHeight="1">
      <c r="A24" s="30" t="s">
        <v>145</v>
      </c>
      <c r="B24" s="39" t="s">
        <v>146</v>
      </c>
      <c r="C24" s="213" t="s">
        <v>147</v>
      </c>
      <c r="D24" s="340" t="s">
        <v>148</v>
      </c>
      <c r="E24" s="103" t="s">
        <v>145</v>
      </c>
      <c r="F24" s="98"/>
      <c r="G24" s="33"/>
      <c r="H24" s="33"/>
      <c r="I24" s="95">
        <v>49618</v>
      </c>
      <c r="J24" s="95" t="s">
        <v>192</v>
      </c>
      <c r="K24" s="319">
        <v>0</v>
      </c>
      <c r="L24" s="303">
        <v>8211</v>
      </c>
      <c r="M24" s="32">
        <v>4545</v>
      </c>
      <c r="N24" s="32">
        <v>40170.5</v>
      </c>
      <c r="O24" s="32">
        <v>287.32912298108198</v>
      </c>
      <c r="P24" s="32">
        <v>13900</v>
      </c>
      <c r="Q24" s="304">
        <v>13900</v>
      </c>
      <c r="R24" s="303">
        <v>35894</v>
      </c>
      <c r="S24" s="32">
        <v>0</v>
      </c>
      <c r="T24" s="32">
        <v>4662</v>
      </c>
      <c r="U24" s="32">
        <v>13900</v>
      </c>
      <c r="V24" s="303">
        <v>7902</v>
      </c>
      <c r="W24" s="305">
        <f>IFERROR(IF(tblPiNAnalysis[[#This Row],[CCCM]]="", "", MROUND(tblPiNAnalysis[[#This Row],[CCCM]]/tblPiNAnalysis[[#This Row],[Population]], 0.05)), "")</f>
        <v>0</v>
      </c>
      <c r="X24" s="306">
        <f>IFERROR(IF(tblPiNAnalysis[[#This Row],[Education]]="", "", MROUND(tblPiNAnalysis[[#This Row],[Education]]/tblPiNAnalysis[[#This Row],[Population]], 0.05)), "")</f>
        <v>0.15000000000000002</v>
      </c>
      <c r="Y24" s="306">
        <f>IFERROR(IF(tblPiNAnalysis[[#This Row],[Nutrition]]="", "", MROUND(tblPiNAnalysis[[#This Row],[Nutrition]]/tblPiNAnalysis[[#This Row],[Population]], 0.05)), "")</f>
        <v>0.1</v>
      </c>
      <c r="Z24" s="306">
        <f>IFERROR(IF(tblPiNAnalysis[[#This Row],[Food Security]]="", "", MROUND(tblPiNAnalysis[[#This Row],[Food Security]]/tblPiNAnalysis[[#This Row],[Population]], 0.05)), "")</f>
        <v>0.8</v>
      </c>
      <c r="AA24" s="306">
        <f>IFERROR(IF(tblPiNAnalysis[[#This Row],[Health]]="", "", MROUND(tblPiNAnalysis[[#This Row],[Health]]/tblPiNAnalysis[[#This Row],[Population]], 0.05)), "")</f>
        <v>0</v>
      </c>
      <c r="AB24" s="307">
        <f>IFERROR(IF(tblPiNAnalysis[[#This Row],[Overarching Protection]]="", "", MROUND(tblPiNAnalysis[[#This Row],[Overarching Protection]]/tblPiNAnalysis[[#This Row],[Population]], 0.05)), "")</f>
        <v>0.30000000000000004</v>
      </c>
      <c r="AC24" s="307">
        <f>IFERROR(IF(tblPiNAnalysis[[#This Row],[Shelter]]="", "", MROUND(tblPiNAnalysis[[#This Row],[Shelter]]/tblPiNAnalysis[[#This Row],[Population]], 0.05)), "")</f>
        <v>0.30000000000000004</v>
      </c>
      <c r="AD24" s="308">
        <f>IFERROR(IF(tblPiNAnalysis[[#This Row],[WASH]]="", "", MROUND(tblPiNAnalysis[[#This Row],[WASH]]/tblPiNAnalysis[[#This Row],[Population]], 0.05)), "")</f>
        <v>0.70000000000000007</v>
      </c>
      <c r="AE24" s="306">
        <f>IFERROR(MROUND(tblPiNAnalysis[[#This Row],[CP]]/tblPiNAnalysis[[#This Row],[Population]], 0.05), "")</f>
        <v>0</v>
      </c>
      <c r="AF24" s="306">
        <f>IFERROR(MROUND(tblPiNAnalysis[[#This Row],[GBV]]/tblPiNAnalysis[[#This Row],[Population]], 0.05), "")</f>
        <v>0.1</v>
      </c>
      <c r="AG24" s="306">
        <f>IFERROR(MROUND(tblPiNAnalysis[[#This Row],[GP]]/tblPiNAnalysis[[#This Row],[Population]], 0.05), "")</f>
        <v>0.30000000000000004</v>
      </c>
      <c r="AH24" s="306">
        <f>IFERROR(MROUND(tblPiNAnalysis[[#This Row],[HLP]]/tblPiNAnalysis[[#This Row],[Population]], 0.05), "")</f>
        <v>0.15000000000000002</v>
      </c>
      <c r="AI24" s="309">
        <f>IFERROR(LARGE(tblPiNAnalysis[[#This Row],[CCCM]:[WASH]], 1), "")</f>
        <v>40170.5</v>
      </c>
      <c r="AJ24" s="310" t="str" cm="1">
        <f t="array" ref="AJ24">IF(tblPiNAnalysis[[#This Row],[Highest PiN]]="", "", _xlfn.TEXTJOIN(CHAR(10), TRUE, IF(tblPiNAnalysis[[#This Row],[Highest PiN]]=tblPiNAnalysis[[#This Row],[CCCM]:[WASH]], tblPiNAnalysis[[#Headers],[CCCM]:[WASH]], "")))</f>
        <v>Food Security</v>
      </c>
      <c r="AK24" s="311">
        <f>IF(tblPiNAnalysis[[#This Row],[Highest PiN]]="", "", tblPiNAnalysis[[#This Row],[Highest PiN]]/tblPiNAnalysis[[#This Row],[Population]])</f>
        <v>0.80959530815429881</v>
      </c>
      <c r="AL24" s="312" t="str">
        <f>IF(SUM(tblPiNAnalysis[[#This Row],[CCCM]:[WASH]])=0, "",IF(COUNTIF(tblPiNAnalysis[[#This Row],[CCCM]:[WASH]],"=0")+COUNTIF(tblPiNAnalysis[[#This Row],[CCCM]:[WASH]],"")&gt;=zero_pin_thresh, "Flagged", ""))</f>
        <v/>
      </c>
      <c r="AM24" s="313" t="str">
        <f>IFERROR(IF(tblPiNAnalysis[[#This Row],[Highest PiN]]="", "", IF(tblPiNAnalysis[[#This Row],[Highest sector(s'') PiN %]]&gt;=flag_pin_perc, "Flagged", "")), "")</f>
        <v/>
      </c>
      <c r="AN24" s="314" t="str" cm="1">
        <f t="array" ref="AN24">IF(tblPiNAnalysis[[#This Row],[Highest PiN]]=0, "",  IF(OR(COUNTIF(tblPiNAnalysis[[#This Row],[Highest sector(s)]],tblSubSectorPopulation[Sector])), "Flagged", ""))</f>
        <v/>
      </c>
      <c r="AO24" s="46" cm="1">
        <f t="array" ref="AO2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35894</v>
      </c>
      <c r="AP24" s="315" t="str" cm="1">
        <f t="array" ref="AP24">IF(tblPiNAnalysis[[#This Row],[2nd Highest PiN]]="", "", _xlfn.TEXTJOIN(CHAR(10), TRUE, IF(tblPiNAnalysis[[#This Row],[2nd Highest PiN]]=tblPiNAnalysis[[#This Row],[CCCM]:[WASH]], tblPiNAnalysis[[#Headers],[CCCM]:[WASH]], "")))</f>
        <v>WASH</v>
      </c>
      <c r="AQ24" s="35">
        <f>IFERROR(tblPiNAnalysis[[#This Row],[2nd Highest PiN]]/tblPiNAnalysis[[#This Row],[Population]], "")</f>
        <v>0.72340682816719737</v>
      </c>
      <c r="AR24" s="46">
        <f>IFERROR(tblPiNAnalysis[[#This Row],[Highest PiN]]-tblPiNAnalysis[[#This Row],[2nd Highest PiN]], "")</f>
        <v>4276.5</v>
      </c>
      <c r="AS24" s="38">
        <f>IFERROR(((tblPiNAnalysis[[#This Row],[Highest PiN]]-tblPiNAnalysis[[#This Row],[2nd Highest PiN]])/tblPiNAnalysis[[#This Row],[2nd Highest PiN]]),"")</f>
        <v>0.11914247506547056</v>
      </c>
      <c r="AT24" s="38" t="str" cm="1">
        <f t="array" ref="AT2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4" s="316" cm="1">
        <f t="array" ref="AU2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13900</v>
      </c>
      <c r="AV24" s="186" t="str" cm="1">
        <f t="array" ref="AV24">IF(tblPiNAnalysis[[#This Row],[3rd Highest PiN]]="", "", _xlfn.TEXTJOIN(CHAR(10), TRUE, IF(tblPiNAnalysis[[#This Row],[3rd Highest PiN]]=tblPiNAnalysis[[#This Row],[CCCM]:[WASH]], tblPiNAnalysis[[#Headers],[CCCM]:[WASH]], "")))</f>
        <v>Overarching Protection
Shelter</v>
      </c>
      <c r="AW24" s="186">
        <f>IFERROR(tblPiNAnalysis[[#This Row],[3rd Highest PiN]]/tblPiNAnalysis[[#This Row],[Population]], "")</f>
        <v>0.28014027167560157</v>
      </c>
      <c r="AX24" s="45">
        <f>IFERROR(tblPiNAnalysis[[#This Row],[Highest PiN]]-tblPiNAnalysis[[#This Row],[3rd Highest PiN]],"")</f>
        <v>26270.5</v>
      </c>
      <c r="AY24" s="38">
        <f>IFERROR(tblPiNAnalysis[[#This Row],[Difference of PiN between Highest and 3rd Highest]]/tblPiNAnalysis[[#This Row],[3rd Highest PiN]], "")</f>
        <v>1.8899640287769783</v>
      </c>
      <c r="AZ24" s="314" t="str" cm="1">
        <f t="array" ref="AZ2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4" s="288" cm="1">
        <f t="array" ref="BA24">IFERROR(IF(tblPiNAnalysis[[#This Row],[ID]]="", "", INDEX(tblPiNHistorical[[CCCM]:[WASH]], MATCH(tblPiNAnalysis[[#This Row],[ID]],tblPiNHistorical[ID], 0),MATCH(_xlfn._xlws.FILTER(tblPiNAnalysis[[#Headers],[CCCM]:[WASH]], tblPiNAnalysis[[#This Row],[Highest PiN]]=tblPiNAnalysis[[#This Row],[CCCM]:[WASH]]), tblPiNHistorical[[#Headers],[CCCM]:[WASH]], 0))), "")</f>
        <v>0.1</v>
      </c>
      <c r="BB24" s="317" t="str" cm="1">
        <f t="array" ref="BB2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4" s="265" cm="1">
        <f t="array" ref="BC2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24" s="318" t="str" cm="1">
        <f t="array" ref="BD2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4" s="356">
        <f>INDEX(tblSeverityAnalysis[Final Severity], MATCH(tblPiNAnalysis[[#This Row],[ID]],tblSeverityAnalysis[ID], 0))</f>
        <v>3</v>
      </c>
      <c r="BF24" s="59">
        <f>IF(tblPiNAnalysis[[#This Row],[Severity]]&gt;2,tblPiNAnalysis[[#This Row],[Highest PiN]],)</f>
        <v>40170.5</v>
      </c>
      <c r="BG24" s="187"/>
      <c r="BH24" s="188"/>
      <c r="BI24" s="189">
        <f>COUNTIFS(tblPiNAnalysis[[#This Row],[Number of missing / zero PiNs greater than threshold - Data quality]:[Manual Flag]],"Flagged")</f>
        <v>1</v>
      </c>
      <c r="BJ24" s="94" t="str">
        <f>IF(tblPiNAnalysis[[#This Row],['# Flags]]&gt;0, "Flagged", "")</f>
        <v>Flagged</v>
      </c>
      <c r="BK24" s="310">
        <f>tblPiNAnalysis[[#This Row],[Preliminary PiN]]</f>
        <v>40170.5</v>
      </c>
      <c r="BL24" s="315"/>
      <c r="BM24" s="256">
        <f>IFERROR(IF(tblPiNAnalysis[[#This Row],[Severity]]=3,tblPiNAnalysis[[#This Row],[Final PiN]]*Thresholds!$D$35,tblPiNAnalysis[[#This Row],[Final PiN]]*Thresholds!$D$36),)</f>
        <v>20085.25</v>
      </c>
      <c r="BN24" s="256">
        <f>IFERROR(IF(tblPiNAnalysis[[#This Row],[Severity]]&gt;3,tblPiNAnalysis[[#This Row],[Final PiN]]*Thresholds!$D$36,),)</f>
        <v>0</v>
      </c>
    </row>
    <row r="25" spans="1:66" ht="24.95" customHeight="1">
      <c r="A25" s="30" t="s">
        <v>150</v>
      </c>
      <c r="B25" s="39" t="s">
        <v>146</v>
      </c>
      <c r="C25" s="213" t="s">
        <v>147</v>
      </c>
      <c r="D25" s="340" t="s">
        <v>151</v>
      </c>
      <c r="E25" s="103" t="s">
        <v>150</v>
      </c>
      <c r="F25" s="98"/>
      <c r="G25" s="33"/>
      <c r="H25" s="33"/>
      <c r="I25" s="95"/>
      <c r="J25" s="95" t="s">
        <v>192</v>
      </c>
      <c r="K25" s="319"/>
      <c r="L25" s="303"/>
      <c r="M25" s="32"/>
      <c r="N25" s="32"/>
      <c r="O25" s="32"/>
      <c r="P25" s="32"/>
      <c r="Q25" s="304"/>
      <c r="R25" s="303"/>
      <c r="S25" s="32"/>
      <c r="T25" s="32"/>
      <c r="U25" s="32"/>
      <c r="V25" s="303"/>
      <c r="W25" s="305" t="str">
        <f>IFERROR(IF(tblPiNAnalysis[[#This Row],[CCCM]]="", "", MROUND(tblPiNAnalysis[[#This Row],[CCCM]]/tblPiNAnalysis[[#This Row],[Population]], 0.05)), "")</f>
        <v/>
      </c>
      <c r="X25" s="306" t="str">
        <f>IFERROR(IF(tblPiNAnalysis[[#This Row],[Education]]="", "", MROUND(tblPiNAnalysis[[#This Row],[Education]]/tblPiNAnalysis[[#This Row],[Population]], 0.05)), "")</f>
        <v/>
      </c>
      <c r="Y25" s="306" t="str">
        <f>IFERROR(IF(tblPiNAnalysis[[#This Row],[Nutrition]]="", "", MROUND(tblPiNAnalysis[[#This Row],[Nutrition]]/tblPiNAnalysis[[#This Row],[Population]], 0.05)), "")</f>
        <v/>
      </c>
      <c r="Z25" s="306" t="str">
        <f>IFERROR(IF(tblPiNAnalysis[[#This Row],[Food Security]]="", "", MROUND(tblPiNAnalysis[[#This Row],[Food Security]]/tblPiNAnalysis[[#This Row],[Population]], 0.05)), "")</f>
        <v/>
      </c>
      <c r="AA25" s="306" t="str">
        <f>IFERROR(IF(tblPiNAnalysis[[#This Row],[Health]]="", "", MROUND(tblPiNAnalysis[[#This Row],[Health]]/tblPiNAnalysis[[#This Row],[Population]], 0.05)), "")</f>
        <v/>
      </c>
      <c r="AB25" s="307" t="str">
        <f>IFERROR(IF(tblPiNAnalysis[[#This Row],[Overarching Protection]]="", "", MROUND(tblPiNAnalysis[[#This Row],[Overarching Protection]]/tblPiNAnalysis[[#This Row],[Population]], 0.05)), "")</f>
        <v/>
      </c>
      <c r="AC25" s="307" t="str">
        <f>IFERROR(IF(tblPiNAnalysis[[#This Row],[Shelter]]="", "", MROUND(tblPiNAnalysis[[#This Row],[Shelter]]/tblPiNAnalysis[[#This Row],[Population]], 0.05)), "")</f>
        <v/>
      </c>
      <c r="AD25" s="308" t="str">
        <f>IFERROR(IF(tblPiNAnalysis[[#This Row],[WASH]]="", "", MROUND(tblPiNAnalysis[[#This Row],[WASH]]/tblPiNAnalysis[[#This Row],[Population]], 0.05)), "")</f>
        <v/>
      </c>
      <c r="AE25" s="306" t="str">
        <f>IFERROR(MROUND(tblPiNAnalysis[[#This Row],[CP]]/tblPiNAnalysis[[#This Row],[Population]], 0.05), "")</f>
        <v/>
      </c>
      <c r="AF25" s="306" t="str">
        <f>IFERROR(MROUND(tblPiNAnalysis[[#This Row],[GBV]]/tblPiNAnalysis[[#This Row],[Population]], 0.05), "")</f>
        <v/>
      </c>
      <c r="AG25" s="306" t="str">
        <f>IFERROR(MROUND(tblPiNAnalysis[[#This Row],[GP]]/tblPiNAnalysis[[#This Row],[Population]], 0.05), "")</f>
        <v/>
      </c>
      <c r="AH25" s="306" t="str">
        <f>IFERROR(MROUND(tblPiNAnalysis[[#This Row],[HLP]]/tblPiNAnalysis[[#This Row],[Population]], 0.05), "")</f>
        <v/>
      </c>
      <c r="AI25" s="309" t="str">
        <f>IFERROR(LARGE(tblPiNAnalysis[[#This Row],[CCCM]:[WASH]], 1), "")</f>
        <v/>
      </c>
      <c r="AJ25" s="310" t="str" cm="1">
        <f t="array" ref="AJ25">IF(tblPiNAnalysis[[#This Row],[Highest PiN]]="", "", _xlfn.TEXTJOIN(CHAR(10), TRUE, IF(tblPiNAnalysis[[#This Row],[Highest PiN]]=tblPiNAnalysis[[#This Row],[CCCM]:[WASH]], tblPiNAnalysis[[#Headers],[CCCM]:[WASH]], "")))</f>
        <v/>
      </c>
      <c r="AK25" s="311" t="str">
        <f>IF(tblPiNAnalysis[[#This Row],[Highest PiN]]="", "", tblPiNAnalysis[[#This Row],[Highest PiN]]/tblPiNAnalysis[[#This Row],[Population]])</f>
        <v/>
      </c>
      <c r="AL25" s="312" t="str">
        <f>IF(SUM(tblPiNAnalysis[[#This Row],[CCCM]:[WASH]])=0, "",IF(COUNTIF(tblPiNAnalysis[[#This Row],[CCCM]:[WASH]],"=0")+COUNTIF(tblPiNAnalysis[[#This Row],[CCCM]:[WASH]],"")&gt;=zero_pin_thresh, "Flagged", ""))</f>
        <v/>
      </c>
      <c r="AM25" s="313" t="str">
        <f>IFERROR(IF(tblPiNAnalysis[[#This Row],[Highest PiN]]="", "", IF(tblPiNAnalysis[[#This Row],[Highest sector(s'') PiN %]]&gt;=flag_pin_perc, "Flagged", "")), "")</f>
        <v/>
      </c>
      <c r="AN25" s="314" t="str" cm="1">
        <f t="array" ref="AN25">IF(tblPiNAnalysis[[#This Row],[Highest PiN]]=0, "",  IF(OR(COUNTIF(tblPiNAnalysis[[#This Row],[Highest sector(s)]],tblSubSectorPopulation[Sector])), "Flagged", ""))</f>
        <v/>
      </c>
      <c r="AO25" s="46" t="str" cm="1">
        <f t="array" ref="AO2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25" s="315" t="str" cm="1">
        <f t="array" ref="AP25">IF(tblPiNAnalysis[[#This Row],[2nd Highest PiN]]="", "", _xlfn.TEXTJOIN(CHAR(10), TRUE, IF(tblPiNAnalysis[[#This Row],[2nd Highest PiN]]=tblPiNAnalysis[[#This Row],[CCCM]:[WASH]], tblPiNAnalysis[[#Headers],[CCCM]:[WASH]], "")))</f>
        <v/>
      </c>
      <c r="AQ25" s="35" t="str">
        <f>IFERROR(tblPiNAnalysis[[#This Row],[2nd Highest PiN]]/tblPiNAnalysis[[#This Row],[Population]], "")</f>
        <v/>
      </c>
      <c r="AR25" s="46" t="str">
        <f>IFERROR(tblPiNAnalysis[[#This Row],[Highest PiN]]-tblPiNAnalysis[[#This Row],[2nd Highest PiN]], "")</f>
        <v/>
      </c>
      <c r="AS25" s="38" t="str">
        <f>IFERROR(((tblPiNAnalysis[[#This Row],[Highest PiN]]-tblPiNAnalysis[[#This Row],[2nd Highest PiN]])/tblPiNAnalysis[[#This Row],[2nd Highest PiN]]),"")</f>
        <v/>
      </c>
      <c r="AT25" s="38" t="str" cm="1">
        <f t="array" ref="AT2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5" s="316" t="str" cm="1">
        <f t="array" ref="AU2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25" s="186" t="str" cm="1">
        <f t="array" ref="AV25">IF(tblPiNAnalysis[[#This Row],[3rd Highest PiN]]="", "", _xlfn.TEXTJOIN(CHAR(10), TRUE, IF(tblPiNAnalysis[[#This Row],[3rd Highest PiN]]=tblPiNAnalysis[[#This Row],[CCCM]:[WASH]], tblPiNAnalysis[[#Headers],[CCCM]:[WASH]], "")))</f>
        <v/>
      </c>
      <c r="AW25" s="186" t="str">
        <f>IFERROR(tblPiNAnalysis[[#This Row],[3rd Highest PiN]]/tblPiNAnalysis[[#This Row],[Population]], "")</f>
        <v/>
      </c>
      <c r="AX25" s="45" t="str">
        <f>IFERROR(tblPiNAnalysis[[#This Row],[Highest PiN]]-tblPiNAnalysis[[#This Row],[3rd Highest PiN]],"")</f>
        <v/>
      </c>
      <c r="AY25" s="38" t="str">
        <f>IFERROR(tblPiNAnalysis[[#This Row],[Difference of PiN between Highest and 3rd Highest]]/tblPiNAnalysis[[#This Row],[3rd Highest PiN]], "")</f>
        <v/>
      </c>
      <c r="AZ25" s="314" t="str" cm="1">
        <f t="array" ref="AZ2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5" s="288" t="e" cm="1" vm="2">
        <f t="array" aca="1" ref="BA25"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5" s="317" t="str" cm="1">
        <f t="array" ref="BB2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5" s="265" t="e" cm="1" vm="2">
        <f t="array" aca="1" ref="BC25"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25" s="318" t="str" cm="1">
        <f t="array" ref="BD2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5" s="356">
        <f>INDEX(tblSeverityAnalysis[Final Severity], MATCH(tblPiNAnalysis[[#This Row],[ID]],tblSeverityAnalysis[ID], 0))</f>
        <v>3</v>
      </c>
      <c r="BF25" s="59" t="str">
        <f>IF(tblPiNAnalysis[[#This Row],[Severity]]&gt;2,tblPiNAnalysis[[#This Row],[Highest PiN]],)</f>
        <v/>
      </c>
      <c r="BG25" s="187"/>
      <c r="BH25" s="188"/>
      <c r="BI25" s="189">
        <f ca="1">COUNTIFS(tblPiNAnalysis[[#This Row],[Number of missing / zero PiNs greater than threshold - Data quality]:[Manual Flag]],"Flagged")</f>
        <v>0</v>
      </c>
      <c r="BJ25" s="94" t="str">
        <f ca="1">IF(tblPiNAnalysis[[#This Row],['# Flags]]&gt;0, "Flagged", "")</f>
        <v/>
      </c>
      <c r="BK25" s="310" t="str">
        <f>tblPiNAnalysis[[#This Row],[Preliminary PiN]]</f>
        <v/>
      </c>
      <c r="BL25" s="315"/>
      <c r="BM25" s="256">
        <f>IFERROR(IF(tblPiNAnalysis[[#This Row],[Severity]]=3,tblPiNAnalysis[[#This Row],[Final PiN]]*Thresholds!$D$35,tblPiNAnalysis[[#This Row],[Final PiN]]*Thresholds!$D$36),)</f>
        <v>0</v>
      </c>
      <c r="BN25" s="256">
        <f>IFERROR(IF(tblPiNAnalysis[[#This Row],[Severity]]&gt;3,tblPiNAnalysis[[#This Row],[Final PiN]]*Thresholds!$D$36,),)</f>
        <v>0</v>
      </c>
    </row>
    <row r="26" spans="1:66" ht="24.95" customHeight="1">
      <c r="A26" s="30" t="s">
        <v>152</v>
      </c>
      <c r="B26" s="39" t="s">
        <v>146</v>
      </c>
      <c r="C26" s="213" t="s">
        <v>147</v>
      </c>
      <c r="D26" s="340" t="s">
        <v>153</v>
      </c>
      <c r="E26" s="103" t="s">
        <v>152</v>
      </c>
      <c r="F26" s="98"/>
      <c r="G26" s="33"/>
      <c r="H26" s="33"/>
      <c r="I26" s="95">
        <v>38442</v>
      </c>
      <c r="J26" s="95" t="s">
        <v>192</v>
      </c>
      <c r="K26" s="319">
        <v>7688.4000000000005</v>
      </c>
      <c r="L26" s="303"/>
      <c r="M26" s="32">
        <v>3968</v>
      </c>
      <c r="N26" s="32">
        <v>38442</v>
      </c>
      <c r="O26" s="32">
        <v>124.55677558411182</v>
      </c>
      <c r="P26" s="32">
        <v>6140</v>
      </c>
      <c r="Q26" s="304">
        <v>0</v>
      </c>
      <c r="R26" s="303">
        <v>0</v>
      </c>
      <c r="S26" s="32">
        <v>6140</v>
      </c>
      <c r="T26" s="32">
        <v>3622</v>
      </c>
      <c r="U26" s="32">
        <v>0</v>
      </c>
      <c r="V26" s="303">
        <v>6140</v>
      </c>
      <c r="W26" s="305">
        <f>IFERROR(IF(tblPiNAnalysis[[#This Row],[CCCM]]="", "", MROUND(tblPiNAnalysis[[#This Row],[CCCM]]/tblPiNAnalysis[[#This Row],[Population]], 0.05)), "")</f>
        <v>0.2</v>
      </c>
      <c r="X26" s="306" t="str">
        <f>IFERROR(IF(tblPiNAnalysis[[#This Row],[Education]]="", "", MROUND(tblPiNAnalysis[[#This Row],[Education]]/tblPiNAnalysis[[#This Row],[Population]], 0.05)), "")</f>
        <v/>
      </c>
      <c r="Y26" s="306">
        <f>IFERROR(IF(tblPiNAnalysis[[#This Row],[Nutrition]]="", "", MROUND(tblPiNAnalysis[[#This Row],[Nutrition]]/tblPiNAnalysis[[#This Row],[Population]], 0.05)), "")</f>
        <v>0.1</v>
      </c>
      <c r="Z26" s="306">
        <f>IFERROR(IF(tblPiNAnalysis[[#This Row],[Food Security]]="", "", MROUND(tblPiNAnalysis[[#This Row],[Food Security]]/tblPiNAnalysis[[#This Row],[Population]], 0.05)), "")</f>
        <v>1</v>
      </c>
      <c r="AA26" s="306">
        <f>IFERROR(IF(tblPiNAnalysis[[#This Row],[Health]]="", "", MROUND(tblPiNAnalysis[[#This Row],[Health]]/tblPiNAnalysis[[#This Row],[Population]], 0.05)), "")</f>
        <v>0</v>
      </c>
      <c r="AB26" s="307">
        <f>IFERROR(IF(tblPiNAnalysis[[#This Row],[Overarching Protection]]="", "", MROUND(tblPiNAnalysis[[#This Row],[Overarching Protection]]/tblPiNAnalysis[[#This Row],[Population]], 0.05)), "")</f>
        <v>0.15000000000000002</v>
      </c>
      <c r="AC26" s="307">
        <f>IFERROR(IF(tblPiNAnalysis[[#This Row],[Shelter]]="", "", MROUND(tblPiNAnalysis[[#This Row],[Shelter]]/tblPiNAnalysis[[#This Row],[Population]], 0.05)), "")</f>
        <v>0</v>
      </c>
      <c r="AD26" s="308">
        <f>IFERROR(IF(tblPiNAnalysis[[#This Row],[WASH]]="", "", MROUND(tblPiNAnalysis[[#This Row],[WASH]]/tblPiNAnalysis[[#This Row],[Population]], 0.05)), "")</f>
        <v>0</v>
      </c>
      <c r="AE26" s="306">
        <f>IFERROR(MROUND(tblPiNAnalysis[[#This Row],[CP]]/tblPiNAnalysis[[#This Row],[Population]], 0.05), "")</f>
        <v>0.15000000000000002</v>
      </c>
      <c r="AF26" s="306">
        <f>IFERROR(MROUND(tblPiNAnalysis[[#This Row],[GBV]]/tblPiNAnalysis[[#This Row],[Population]], 0.05), "")</f>
        <v>0.1</v>
      </c>
      <c r="AG26" s="306">
        <f>IFERROR(MROUND(tblPiNAnalysis[[#This Row],[GP]]/tblPiNAnalysis[[#This Row],[Population]], 0.05), "")</f>
        <v>0</v>
      </c>
      <c r="AH26" s="306">
        <f>IFERROR(MROUND(tblPiNAnalysis[[#This Row],[HLP]]/tblPiNAnalysis[[#This Row],[Population]], 0.05), "")</f>
        <v>0.15000000000000002</v>
      </c>
      <c r="AI26" s="309">
        <f>IFERROR(LARGE(tblPiNAnalysis[[#This Row],[CCCM]:[WASH]], 1), "")</f>
        <v>38442</v>
      </c>
      <c r="AJ26" s="310" t="str" cm="1">
        <f t="array" ref="AJ26">IF(tblPiNAnalysis[[#This Row],[Highest PiN]]="", "", _xlfn.TEXTJOIN(CHAR(10), TRUE, IF(tblPiNAnalysis[[#This Row],[Highest PiN]]=tblPiNAnalysis[[#This Row],[CCCM]:[WASH]], tblPiNAnalysis[[#Headers],[CCCM]:[WASH]], "")))</f>
        <v>Food Security</v>
      </c>
      <c r="AK26" s="311">
        <f>IF(tblPiNAnalysis[[#This Row],[Highest PiN]]="", "", tblPiNAnalysis[[#This Row],[Highest PiN]]/tblPiNAnalysis[[#This Row],[Population]])</f>
        <v>1</v>
      </c>
      <c r="AL26" s="312" t="str">
        <f>IF(SUM(tblPiNAnalysis[[#This Row],[CCCM]:[WASH]])=0, "",IF(COUNTIF(tblPiNAnalysis[[#This Row],[CCCM]:[WASH]],"=0")+COUNTIF(tblPiNAnalysis[[#This Row],[CCCM]:[WASH]],"")&gt;=zero_pin_thresh, "Flagged", ""))</f>
        <v/>
      </c>
      <c r="AM26" s="313" t="str">
        <f>IFERROR(IF(tblPiNAnalysis[[#This Row],[Highest PiN]]="", "", IF(tblPiNAnalysis[[#This Row],[Highest sector(s'') PiN %]]&gt;=flag_pin_perc, "Flagged", "")), "")</f>
        <v>Flagged</v>
      </c>
      <c r="AN26" s="314" t="str" cm="1">
        <f t="array" ref="AN26">IF(tblPiNAnalysis[[#This Row],[Highest PiN]]=0, "",  IF(OR(COUNTIF(tblPiNAnalysis[[#This Row],[Highest sector(s)]],tblSubSectorPopulation[Sector])), "Flagged", ""))</f>
        <v/>
      </c>
      <c r="AO26" s="46" cm="1">
        <f t="array" ref="AO2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7688.4000000000005</v>
      </c>
      <c r="AP26" s="315" t="str" cm="1">
        <f t="array" ref="AP26">IF(tblPiNAnalysis[[#This Row],[2nd Highest PiN]]="", "", _xlfn.TEXTJOIN(CHAR(10), TRUE, IF(tblPiNAnalysis[[#This Row],[2nd Highest PiN]]=tblPiNAnalysis[[#This Row],[CCCM]:[WASH]], tblPiNAnalysis[[#Headers],[CCCM]:[WASH]], "")))</f>
        <v>CCCM</v>
      </c>
      <c r="AQ26" s="35">
        <f>IFERROR(tblPiNAnalysis[[#This Row],[2nd Highest PiN]]/tblPiNAnalysis[[#This Row],[Population]], "")</f>
        <v>0.2</v>
      </c>
      <c r="AR26" s="46">
        <f>IFERROR(tblPiNAnalysis[[#This Row],[Highest PiN]]-tblPiNAnalysis[[#This Row],[2nd Highest PiN]], "")</f>
        <v>30753.599999999999</v>
      </c>
      <c r="AS26" s="38">
        <f>IFERROR(((tblPiNAnalysis[[#This Row],[Highest PiN]]-tblPiNAnalysis[[#This Row],[2nd Highest PiN]])/tblPiNAnalysis[[#This Row],[2nd Highest PiN]]),"")</f>
        <v>3.9999999999999996</v>
      </c>
      <c r="AT26" s="38" t="str" cm="1">
        <f t="array" ref="AT2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6" s="316" cm="1">
        <f t="array" ref="AU2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6140</v>
      </c>
      <c r="AV26" s="186" t="str" cm="1">
        <f t="array" ref="AV26">IF(tblPiNAnalysis[[#This Row],[3rd Highest PiN]]="", "", _xlfn.TEXTJOIN(CHAR(10), TRUE, IF(tblPiNAnalysis[[#This Row],[3rd Highest PiN]]=tblPiNAnalysis[[#This Row],[CCCM]:[WASH]], tblPiNAnalysis[[#Headers],[CCCM]:[WASH]], "")))</f>
        <v>Overarching Protection</v>
      </c>
      <c r="AW26" s="186">
        <f>IFERROR(tblPiNAnalysis[[#This Row],[3rd Highest PiN]]/tblPiNAnalysis[[#This Row],[Population]], "")</f>
        <v>0.15972113833827584</v>
      </c>
      <c r="AX26" s="45">
        <f>IFERROR(tblPiNAnalysis[[#This Row],[Highest PiN]]-tblPiNAnalysis[[#This Row],[3rd Highest PiN]],"")</f>
        <v>32302</v>
      </c>
      <c r="AY26" s="38">
        <f>IFERROR(tblPiNAnalysis[[#This Row],[Difference of PiN between Highest and 3rd Highest]]/tblPiNAnalysis[[#This Row],[3rd Highest PiN]], "")</f>
        <v>5.2609120521172636</v>
      </c>
      <c r="AZ26" s="314" t="str" cm="1">
        <f t="array" ref="AZ2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6" s="288" cm="1">
        <f t="array" ref="BA26">IFERROR(IF(tblPiNAnalysis[[#This Row],[ID]]="", "", INDEX(tblPiNHistorical[[CCCM]:[WASH]], MATCH(tblPiNAnalysis[[#This Row],[ID]],tblPiNHistorical[ID], 0),MATCH(_xlfn._xlws.FILTER(tblPiNAnalysis[[#Headers],[CCCM]:[WASH]], tblPiNAnalysis[[#This Row],[Highest PiN]]=tblPiNAnalysis[[#This Row],[CCCM]:[WASH]]), tblPiNHistorical[[#Headers],[CCCM]:[WASH]], 0))), "")</f>
        <v>2.6</v>
      </c>
      <c r="BB26" s="317" t="str" cm="1">
        <f t="array" ref="BB2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26" s="265" cm="1">
        <f t="array" ref="BC26">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26" s="318" t="str" cm="1">
        <f t="array" ref="BD2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6" s="356">
        <f>INDEX(tblSeverityAnalysis[Final Severity], MATCH(tblPiNAnalysis[[#This Row],[ID]],tblSeverityAnalysis[ID], 0))</f>
        <v>4</v>
      </c>
      <c r="BF26" s="59">
        <f>IF(tblPiNAnalysis[[#This Row],[Severity]]&gt;2,tblPiNAnalysis[[#This Row],[Highest PiN]],)</f>
        <v>38442</v>
      </c>
      <c r="BG26" s="187"/>
      <c r="BH26" s="188"/>
      <c r="BI26" s="189">
        <f>COUNTIFS(tblPiNAnalysis[[#This Row],[Number of missing / zero PiNs greater than threshold - Data quality]:[Manual Flag]],"Flagged")</f>
        <v>4</v>
      </c>
      <c r="BJ26" s="94" t="str">
        <f>IF(tblPiNAnalysis[[#This Row],['# Flags]]&gt;0, "Flagged", "")</f>
        <v>Flagged</v>
      </c>
      <c r="BK26" s="310">
        <f>tblPiNAnalysis[[#This Row],[Preliminary PiN]]</f>
        <v>38442</v>
      </c>
      <c r="BL26" s="315"/>
      <c r="BM26" s="256">
        <f>IFERROR(IF(tblPiNAnalysis[[#This Row],[Severity]]=3,tblPiNAnalysis[[#This Row],[Final PiN]]*Thresholds!$D$35,tblPiNAnalysis[[#This Row],[Final PiN]]*Thresholds!$D$36),)</f>
        <v>38442</v>
      </c>
      <c r="BN26" s="256">
        <f>IFERROR(IF(tblPiNAnalysis[[#This Row],[Severity]]&gt;3,tblPiNAnalysis[[#This Row],[Final PiN]]*Thresholds!$D$36,),)</f>
        <v>38442</v>
      </c>
    </row>
    <row r="27" spans="1:66" ht="24.95" customHeight="1">
      <c r="A27" s="30" t="s">
        <v>154</v>
      </c>
      <c r="B27" s="39" t="s">
        <v>146</v>
      </c>
      <c r="C27" s="213" t="s">
        <v>147</v>
      </c>
      <c r="D27" s="340" t="s">
        <v>155</v>
      </c>
      <c r="E27" s="103" t="s">
        <v>154</v>
      </c>
      <c r="F27" s="98"/>
      <c r="G27" s="33"/>
      <c r="H27" s="33"/>
      <c r="I27" s="95"/>
      <c r="J27" s="95" t="s">
        <v>192</v>
      </c>
      <c r="K27" s="319"/>
      <c r="L27" s="303"/>
      <c r="M27" s="32"/>
      <c r="N27" s="32"/>
      <c r="O27" s="32"/>
      <c r="P27" s="32"/>
      <c r="Q27" s="304"/>
      <c r="R27" s="303"/>
      <c r="S27" s="32"/>
      <c r="T27" s="32"/>
      <c r="U27" s="32"/>
      <c r="V27" s="303"/>
      <c r="W27" s="305" t="str">
        <f>IFERROR(IF(tblPiNAnalysis[[#This Row],[CCCM]]="", "", MROUND(tblPiNAnalysis[[#This Row],[CCCM]]/tblPiNAnalysis[[#This Row],[Population]], 0.05)), "")</f>
        <v/>
      </c>
      <c r="X27" s="306" t="str">
        <f>IFERROR(IF(tblPiNAnalysis[[#This Row],[Education]]="", "", MROUND(tblPiNAnalysis[[#This Row],[Education]]/tblPiNAnalysis[[#This Row],[Population]], 0.05)), "")</f>
        <v/>
      </c>
      <c r="Y27" s="306" t="str">
        <f>IFERROR(IF(tblPiNAnalysis[[#This Row],[Nutrition]]="", "", MROUND(tblPiNAnalysis[[#This Row],[Nutrition]]/tblPiNAnalysis[[#This Row],[Population]], 0.05)), "")</f>
        <v/>
      </c>
      <c r="Z27" s="306" t="str">
        <f>IFERROR(IF(tblPiNAnalysis[[#This Row],[Food Security]]="", "", MROUND(tblPiNAnalysis[[#This Row],[Food Security]]/tblPiNAnalysis[[#This Row],[Population]], 0.05)), "")</f>
        <v/>
      </c>
      <c r="AA27" s="306" t="str">
        <f>IFERROR(IF(tblPiNAnalysis[[#This Row],[Health]]="", "", MROUND(tblPiNAnalysis[[#This Row],[Health]]/tblPiNAnalysis[[#This Row],[Population]], 0.05)), "")</f>
        <v/>
      </c>
      <c r="AB27" s="307" t="str">
        <f>IFERROR(IF(tblPiNAnalysis[[#This Row],[Overarching Protection]]="", "", MROUND(tblPiNAnalysis[[#This Row],[Overarching Protection]]/tblPiNAnalysis[[#This Row],[Population]], 0.05)), "")</f>
        <v/>
      </c>
      <c r="AC27" s="307" t="str">
        <f>IFERROR(IF(tblPiNAnalysis[[#This Row],[Shelter]]="", "", MROUND(tblPiNAnalysis[[#This Row],[Shelter]]/tblPiNAnalysis[[#This Row],[Population]], 0.05)), "")</f>
        <v/>
      </c>
      <c r="AD27" s="308" t="str">
        <f>IFERROR(IF(tblPiNAnalysis[[#This Row],[WASH]]="", "", MROUND(tblPiNAnalysis[[#This Row],[WASH]]/tblPiNAnalysis[[#This Row],[Population]], 0.05)), "")</f>
        <v/>
      </c>
      <c r="AE27" s="306" t="str">
        <f>IFERROR(MROUND(tblPiNAnalysis[[#This Row],[CP]]/tblPiNAnalysis[[#This Row],[Population]], 0.05), "")</f>
        <v/>
      </c>
      <c r="AF27" s="306" t="str">
        <f>IFERROR(MROUND(tblPiNAnalysis[[#This Row],[GBV]]/tblPiNAnalysis[[#This Row],[Population]], 0.05), "")</f>
        <v/>
      </c>
      <c r="AG27" s="306" t="str">
        <f>IFERROR(MROUND(tblPiNAnalysis[[#This Row],[GP]]/tblPiNAnalysis[[#This Row],[Population]], 0.05), "")</f>
        <v/>
      </c>
      <c r="AH27" s="306" t="str">
        <f>IFERROR(MROUND(tblPiNAnalysis[[#This Row],[HLP]]/tblPiNAnalysis[[#This Row],[Population]], 0.05), "")</f>
        <v/>
      </c>
      <c r="AI27" s="309" t="str">
        <f>IFERROR(LARGE(tblPiNAnalysis[[#This Row],[CCCM]:[WASH]], 1), "")</f>
        <v/>
      </c>
      <c r="AJ27" s="310" t="str" cm="1">
        <f t="array" ref="AJ27">IF(tblPiNAnalysis[[#This Row],[Highest PiN]]="", "", _xlfn.TEXTJOIN(CHAR(10), TRUE, IF(tblPiNAnalysis[[#This Row],[Highest PiN]]=tblPiNAnalysis[[#This Row],[CCCM]:[WASH]], tblPiNAnalysis[[#Headers],[CCCM]:[WASH]], "")))</f>
        <v/>
      </c>
      <c r="AK27" s="311" t="str">
        <f>IF(tblPiNAnalysis[[#This Row],[Highest PiN]]="", "", tblPiNAnalysis[[#This Row],[Highest PiN]]/tblPiNAnalysis[[#This Row],[Population]])</f>
        <v/>
      </c>
      <c r="AL27" s="312" t="str">
        <f>IF(SUM(tblPiNAnalysis[[#This Row],[CCCM]:[WASH]])=0, "",IF(COUNTIF(tblPiNAnalysis[[#This Row],[CCCM]:[WASH]],"=0")+COUNTIF(tblPiNAnalysis[[#This Row],[CCCM]:[WASH]],"")&gt;=zero_pin_thresh, "Flagged", ""))</f>
        <v/>
      </c>
      <c r="AM27" s="313" t="str">
        <f>IFERROR(IF(tblPiNAnalysis[[#This Row],[Highest PiN]]="", "", IF(tblPiNAnalysis[[#This Row],[Highest sector(s'') PiN %]]&gt;=flag_pin_perc, "Flagged", "")), "")</f>
        <v/>
      </c>
      <c r="AN27" s="314" t="str" cm="1">
        <f t="array" ref="AN27">IF(tblPiNAnalysis[[#This Row],[Highest PiN]]=0, "",  IF(OR(COUNTIF(tblPiNAnalysis[[#This Row],[Highest sector(s)]],tblSubSectorPopulation[Sector])), "Flagged", ""))</f>
        <v/>
      </c>
      <c r="AO27" s="46" t="str" cm="1">
        <f t="array" ref="AO2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27" s="315" t="str" cm="1">
        <f t="array" ref="AP27">IF(tblPiNAnalysis[[#This Row],[2nd Highest PiN]]="", "", _xlfn.TEXTJOIN(CHAR(10), TRUE, IF(tblPiNAnalysis[[#This Row],[2nd Highest PiN]]=tblPiNAnalysis[[#This Row],[CCCM]:[WASH]], tblPiNAnalysis[[#Headers],[CCCM]:[WASH]], "")))</f>
        <v/>
      </c>
      <c r="AQ27" s="35" t="str">
        <f>IFERROR(tblPiNAnalysis[[#This Row],[2nd Highest PiN]]/tblPiNAnalysis[[#This Row],[Population]], "")</f>
        <v/>
      </c>
      <c r="AR27" s="46" t="str">
        <f>IFERROR(tblPiNAnalysis[[#This Row],[Highest PiN]]-tblPiNAnalysis[[#This Row],[2nd Highest PiN]], "")</f>
        <v/>
      </c>
      <c r="AS27" s="38" t="str">
        <f>IFERROR(((tblPiNAnalysis[[#This Row],[Highest PiN]]-tblPiNAnalysis[[#This Row],[2nd Highest PiN]])/tblPiNAnalysis[[#This Row],[2nd Highest PiN]]),"")</f>
        <v/>
      </c>
      <c r="AT27" s="38" t="str" cm="1">
        <f t="array" ref="AT2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7" s="316" t="str" cm="1">
        <f t="array" ref="AU2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27" s="186" t="str" cm="1">
        <f t="array" ref="AV27">IF(tblPiNAnalysis[[#This Row],[3rd Highest PiN]]="", "", _xlfn.TEXTJOIN(CHAR(10), TRUE, IF(tblPiNAnalysis[[#This Row],[3rd Highest PiN]]=tblPiNAnalysis[[#This Row],[CCCM]:[WASH]], tblPiNAnalysis[[#Headers],[CCCM]:[WASH]], "")))</f>
        <v/>
      </c>
      <c r="AW27" s="186" t="str">
        <f>IFERROR(tblPiNAnalysis[[#This Row],[3rd Highest PiN]]/tblPiNAnalysis[[#This Row],[Population]], "")</f>
        <v/>
      </c>
      <c r="AX27" s="45" t="str">
        <f>IFERROR(tblPiNAnalysis[[#This Row],[Highest PiN]]-tblPiNAnalysis[[#This Row],[3rd Highest PiN]],"")</f>
        <v/>
      </c>
      <c r="AY27" s="38" t="str">
        <f>IFERROR(tblPiNAnalysis[[#This Row],[Difference of PiN between Highest and 3rd Highest]]/tblPiNAnalysis[[#This Row],[3rd Highest PiN]], "")</f>
        <v/>
      </c>
      <c r="AZ27" s="314" t="str" cm="1">
        <f t="array" ref="AZ2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7" s="288" t="e" cm="1" vm="2">
        <f t="array" aca="1" ref="BA27"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7" s="317" t="str" cm="1">
        <f t="array" ref="BB2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7" s="265" t="e" cm="1" vm="2">
        <f t="array" aca="1" ref="BC27"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27" s="318" t="str" cm="1">
        <f t="array" ref="BD2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7" s="356">
        <f>INDEX(tblSeverityAnalysis[Final Severity], MATCH(tblPiNAnalysis[[#This Row],[ID]],tblSeverityAnalysis[ID], 0))</f>
        <v>3</v>
      </c>
      <c r="BF27" s="59" t="str">
        <f>IF(tblPiNAnalysis[[#This Row],[Severity]]&gt;2,tblPiNAnalysis[[#This Row],[Highest PiN]],)</f>
        <v/>
      </c>
      <c r="BG27" s="187"/>
      <c r="BH27" s="188"/>
      <c r="BI27" s="189">
        <f ca="1">COUNTIFS(tblPiNAnalysis[[#This Row],[Number of missing / zero PiNs greater than threshold - Data quality]:[Manual Flag]],"Flagged")</f>
        <v>0</v>
      </c>
      <c r="BJ27" s="94" t="str">
        <f ca="1">IF(tblPiNAnalysis[[#This Row],['# Flags]]&gt;0, "Flagged", "")</f>
        <v/>
      </c>
      <c r="BK27" s="310" t="str">
        <f>tblPiNAnalysis[[#This Row],[Preliminary PiN]]</f>
        <v/>
      </c>
      <c r="BL27" s="315"/>
      <c r="BM27" s="256">
        <f>IFERROR(IF(tblPiNAnalysis[[#This Row],[Severity]]=3,tblPiNAnalysis[[#This Row],[Final PiN]]*Thresholds!$D$35,tblPiNAnalysis[[#This Row],[Final PiN]]*Thresholds!$D$36),)</f>
        <v>0</v>
      </c>
      <c r="BN27" s="256">
        <f>IFERROR(IF(tblPiNAnalysis[[#This Row],[Severity]]&gt;3,tblPiNAnalysis[[#This Row],[Final PiN]]*Thresholds!$D$36,),)</f>
        <v>0</v>
      </c>
    </row>
    <row r="28" spans="1:66" ht="24.95" customHeight="1">
      <c r="A28" s="30" t="s">
        <v>156</v>
      </c>
      <c r="B28" s="39" t="s">
        <v>146</v>
      </c>
      <c r="C28" s="213" t="s">
        <v>147</v>
      </c>
      <c r="D28" s="340" t="s">
        <v>157</v>
      </c>
      <c r="E28" s="103" t="s">
        <v>156</v>
      </c>
      <c r="F28" s="98"/>
      <c r="G28" s="33"/>
      <c r="H28" s="33"/>
      <c r="I28" s="95"/>
      <c r="J28" s="95" t="s">
        <v>192</v>
      </c>
      <c r="K28" s="319"/>
      <c r="L28" s="303"/>
      <c r="M28" s="32"/>
      <c r="N28" s="32"/>
      <c r="O28" s="32"/>
      <c r="P28" s="32"/>
      <c r="Q28" s="304"/>
      <c r="R28" s="303"/>
      <c r="S28" s="32"/>
      <c r="T28" s="32"/>
      <c r="U28" s="32"/>
      <c r="V28" s="303"/>
      <c r="W28" s="305" t="str">
        <f>IFERROR(IF(tblPiNAnalysis[[#This Row],[CCCM]]="", "", MROUND(tblPiNAnalysis[[#This Row],[CCCM]]/tblPiNAnalysis[[#This Row],[Population]], 0.05)), "")</f>
        <v/>
      </c>
      <c r="X28" s="306" t="str">
        <f>IFERROR(IF(tblPiNAnalysis[[#This Row],[Education]]="", "", MROUND(tblPiNAnalysis[[#This Row],[Education]]/tblPiNAnalysis[[#This Row],[Population]], 0.05)), "")</f>
        <v/>
      </c>
      <c r="Y28" s="306" t="str">
        <f>IFERROR(IF(tblPiNAnalysis[[#This Row],[Nutrition]]="", "", MROUND(tblPiNAnalysis[[#This Row],[Nutrition]]/tblPiNAnalysis[[#This Row],[Population]], 0.05)), "")</f>
        <v/>
      </c>
      <c r="Z28" s="306" t="str">
        <f>IFERROR(IF(tblPiNAnalysis[[#This Row],[Food Security]]="", "", MROUND(tblPiNAnalysis[[#This Row],[Food Security]]/tblPiNAnalysis[[#This Row],[Population]], 0.05)), "")</f>
        <v/>
      </c>
      <c r="AA28" s="306" t="str">
        <f>IFERROR(IF(tblPiNAnalysis[[#This Row],[Health]]="", "", MROUND(tblPiNAnalysis[[#This Row],[Health]]/tblPiNAnalysis[[#This Row],[Population]], 0.05)), "")</f>
        <v/>
      </c>
      <c r="AB28" s="307" t="str">
        <f>IFERROR(IF(tblPiNAnalysis[[#This Row],[Overarching Protection]]="", "", MROUND(tblPiNAnalysis[[#This Row],[Overarching Protection]]/tblPiNAnalysis[[#This Row],[Population]], 0.05)), "")</f>
        <v/>
      </c>
      <c r="AC28" s="307" t="str">
        <f>IFERROR(IF(tblPiNAnalysis[[#This Row],[Shelter]]="", "", MROUND(tblPiNAnalysis[[#This Row],[Shelter]]/tblPiNAnalysis[[#This Row],[Population]], 0.05)), "")</f>
        <v/>
      </c>
      <c r="AD28" s="308" t="str">
        <f>IFERROR(IF(tblPiNAnalysis[[#This Row],[WASH]]="", "", MROUND(tblPiNAnalysis[[#This Row],[WASH]]/tblPiNAnalysis[[#This Row],[Population]], 0.05)), "")</f>
        <v/>
      </c>
      <c r="AE28" s="306" t="str">
        <f>IFERROR(MROUND(tblPiNAnalysis[[#This Row],[CP]]/tblPiNAnalysis[[#This Row],[Population]], 0.05), "")</f>
        <v/>
      </c>
      <c r="AF28" s="306" t="str">
        <f>IFERROR(MROUND(tblPiNAnalysis[[#This Row],[GBV]]/tblPiNAnalysis[[#This Row],[Population]], 0.05), "")</f>
        <v/>
      </c>
      <c r="AG28" s="306" t="str">
        <f>IFERROR(MROUND(tblPiNAnalysis[[#This Row],[GP]]/tblPiNAnalysis[[#This Row],[Population]], 0.05), "")</f>
        <v/>
      </c>
      <c r="AH28" s="306" t="str">
        <f>IFERROR(MROUND(tblPiNAnalysis[[#This Row],[HLP]]/tblPiNAnalysis[[#This Row],[Population]], 0.05), "")</f>
        <v/>
      </c>
      <c r="AI28" s="309" t="str">
        <f>IFERROR(LARGE(tblPiNAnalysis[[#This Row],[CCCM]:[WASH]], 1), "")</f>
        <v/>
      </c>
      <c r="AJ28" s="310" t="str" cm="1">
        <f t="array" ref="AJ28">IF(tblPiNAnalysis[[#This Row],[Highest PiN]]="", "", _xlfn.TEXTJOIN(CHAR(10), TRUE, IF(tblPiNAnalysis[[#This Row],[Highest PiN]]=tblPiNAnalysis[[#This Row],[CCCM]:[WASH]], tblPiNAnalysis[[#Headers],[CCCM]:[WASH]], "")))</f>
        <v/>
      </c>
      <c r="AK28" s="311" t="str">
        <f>IF(tblPiNAnalysis[[#This Row],[Highest PiN]]="", "", tblPiNAnalysis[[#This Row],[Highest PiN]]/tblPiNAnalysis[[#This Row],[Population]])</f>
        <v/>
      </c>
      <c r="AL28" s="312" t="str">
        <f>IF(SUM(tblPiNAnalysis[[#This Row],[CCCM]:[WASH]])=0, "",IF(COUNTIF(tblPiNAnalysis[[#This Row],[CCCM]:[WASH]],"=0")+COUNTIF(tblPiNAnalysis[[#This Row],[CCCM]:[WASH]],"")&gt;=zero_pin_thresh, "Flagged", ""))</f>
        <v/>
      </c>
      <c r="AM28" s="313" t="str">
        <f>IFERROR(IF(tblPiNAnalysis[[#This Row],[Highest PiN]]="", "", IF(tblPiNAnalysis[[#This Row],[Highest sector(s'') PiN %]]&gt;=flag_pin_perc, "Flagged", "")), "")</f>
        <v/>
      </c>
      <c r="AN28" s="314" t="str" cm="1">
        <f t="array" ref="AN28">IF(tblPiNAnalysis[[#This Row],[Highest PiN]]=0, "",  IF(OR(COUNTIF(tblPiNAnalysis[[#This Row],[Highest sector(s)]],tblSubSectorPopulation[Sector])), "Flagged", ""))</f>
        <v/>
      </c>
      <c r="AO28" s="46" t="str" cm="1">
        <f t="array" ref="AO2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28" s="315" t="str" cm="1">
        <f t="array" ref="AP28">IF(tblPiNAnalysis[[#This Row],[2nd Highest PiN]]="", "", _xlfn.TEXTJOIN(CHAR(10), TRUE, IF(tblPiNAnalysis[[#This Row],[2nd Highest PiN]]=tblPiNAnalysis[[#This Row],[CCCM]:[WASH]], tblPiNAnalysis[[#Headers],[CCCM]:[WASH]], "")))</f>
        <v/>
      </c>
      <c r="AQ28" s="35" t="str">
        <f>IFERROR(tblPiNAnalysis[[#This Row],[2nd Highest PiN]]/tblPiNAnalysis[[#This Row],[Population]], "")</f>
        <v/>
      </c>
      <c r="AR28" s="46" t="str">
        <f>IFERROR(tblPiNAnalysis[[#This Row],[Highest PiN]]-tblPiNAnalysis[[#This Row],[2nd Highest PiN]], "")</f>
        <v/>
      </c>
      <c r="AS28" s="38" t="str">
        <f>IFERROR(((tblPiNAnalysis[[#This Row],[Highest PiN]]-tblPiNAnalysis[[#This Row],[2nd Highest PiN]])/tblPiNAnalysis[[#This Row],[2nd Highest PiN]]),"")</f>
        <v/>
      </c>
      <c r="AT28" s="38" t="str" cm="1">
        <f t="array" ref="AT2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8" s="316" t="str" cm="1">
        <f t="array" ref="AU2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28" s="186" t="str" cm="1">
        <f t="array" ref="AV28">IF(tblPiNAnalysis[[#This Row],[3rd Highest PiN]]="", "", _xlfn.TEXTJOIN(CHAR(10), TRUE, IF(tblPiNAnalysis[[#This Row],[3rd Highest PiN]]=tblPiNAnalysis[[#This Row],[CCCM]:[WASH]], tblPiNAnalysis[[#Headers],[CCCM]:[WASH]], "")))</f>
        <v/>
      </c>
      <c r="AW28" s="186" t="str">
        <f>IFERROR(tblPiNAnalysis[[#This Row],[3rd Highest PiN]]/tblPiNAnalysis[[#This Row],[Population]], "")</f>
        <v/>
      </c>
      <c r="AX28" s="45" t="str">
        <f>IFERROR(tblPiNAnalysis[[#This Row],[Highest PiN]]-tblPiNAnalysis[[#This Row],[3rd Highest PiN]],"")</f>
        <v/>
      </c>
      <c r="AY28" s="38" t="str">
        <f>IFERROR(tblPiNAnalysis[[#This Row],[Difference of PiN between Highest and 3rd Highest]]/tblPiNAnalysis[[#This Row],[3rd Highest PiN]], "")</f>
        <v/>
      </c>
      <c r="AZ28" s="314" t="str" cm="1">
        <f t="array" ref="AZ2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8" s="288" t="e" cm="1" vm="2">
        <f t="array" aca="1" ref="BA28"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8" s="317" t="str" cm="1">
        <f t="array" ref="BB2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28" s="265" t="e" cm="1" vm="2">
        <f t="array" aca="1" ref="BC28"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28" s="318" t="str" cm="1">
        <f t="array" ref="BD2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28" s="356">
        <f>INDEX(tblSeverityAnalysis[Final Severity], MATCH(tblPiNAnalysis[[#This Row],[ID]],tblSeverityAnalysis[ID], 0))</f>
        <v>3</v>
      </c>
      <c r="BF28" s="59" t="str">
        <f>IF(tblPiNAnalysis[[#This Row],[Severity]]&gt;2,tblPiNAnalysis[[#This Row],[Highest PiN]],)</f>
        <v/>
      </c>
      <c r="BG28" s="187"/>
      <c r="BH28" s="188"/>
      <c r="BI28" s="189">
        <f ca="1">COUNTIFS(tblPiNAnalysis[[#This Row],[Number of missing / zero PiNs greater than threshold - Data quality]:[Manual Flag]],"Flagged")</f>
        <v>2</v>
      </c>
      <c r="BJ28" s="94" t="str">
        <f ca="1">IF(tblPiNAnalysis[[#This Row],['# Flags]]&gt;0, "Flagged", "")</f>
        <v>Flagged</v>
      </c>
      <c r="BK28" s="310" t="str">
        <f>tblPiNAnalysis[[#This Row],[Preliminary PiN]]</f>
        <v/>
      </c>
      <c r="BL28" s="315"/>
      <c r="BM28" s="256">
        <f>IFERROR(IF(tblPiNAnalysis[[#This Row],[Severity]]=3,tblPiNAnalysis[[#This Row],[Final PiN]]*Thresholds!$D$35,tblPiNAnalysis[[#This Row],[Final PiN]]*Thresholds!$D$36),)</f>
        <v>0</v>
      </c>
      <c r="BN28" s="256">
        <f>IFERROR(IF(tblPiNAnalysis[[#This Row],[Severity]]&gt;3,tblPiNAnalysis[[#This Row],[Final PiN]]*Thresholds!$D$36,),)</f>
        <v>0</v>
      </c>
    </row>
    <row r="29" spans="1:66" ht="24.95" customHeight="1">
      <c r="A29" s="30" t="s">
        <v>158</v>
      </c>
      <c r="B29" s="39" t="s">
        <v>146</v>
      </c>
      <c r="C29" s="213" t="s">
        <v>147</v>
      </c>
      <c r="D29" s="340" t="s">
        <v>159</v>
      </c>
      <c r="E29" s="103" t="s">
        <v>158</v>
      </c>
      <c r="F29" s="98"/>
      <c r="G29" s="33"/>
      <c r="H29" s="33"/>
      <c r="I29" s="95">
        <v>81470</v>
      </c>
      <c r="J29" s="95" t="s">
        <v>192</v>
      </c>
      <c r="K29" s="319">
        <v>16294</v>
      </c>
      <c r="L29" s="303">
        <v>8999</v>
      </c>
      <c r="M29" s="32">
        <v>8402</v>
      </c>
      <c r="N29" s="32">
        <v>13980</v>
      </c>
      <c r="O29" s="32">
        <v>64237.577867301297</v>
      </c>
      <c r="P29" s="32">
        <v>40876</v>
      </c>
      <c r="Q29" s="304">
        <v>49333</v>
      </c>
      <c r="R29" s="303">
        <v>71603</v>
      </c>
      <c r="S29" s="32">
        <v>12976</v>
      </c>
      <c r="T29" s="32">
        <v>26796</v>
      </c>
      <c r="U29" s="32">
        <v>40876</v>
      </c>
      <c r="V29" s="303">
        <v>6488</v>
      </c>
      <c r="W29" s="305">
        <f>IFERROR(IF(tblPiNAnalysis[[#This Row],[CCCM]]="", "", MROUND(tblPiNAnalysis[[#This Row],[CCCM]]/tblPiNAnalysis[[#This Row],[Population]], 0.05)), "")</f>
        <v>0.2</v>
      </c>
      <c r="X29" s="306">
        <f>IFERROR(IF(tblPiNAnalysis[[#This Row],[Education]]="", "", MROUND(tblPiNAnalysis[[#This Row],[Education]]/tblPiNAnalysis[[#This Row],[Population]], 0.05)), "")</f>
        <v>0.1</v>
      </c>
      <c r="Y29" s="306">
        <f>IFERROR(IF(tblPiNAnalysis[[#This Row],[Nutrition]]="", "", MROUND(tblPiNAnalysis[[#This Row],[Nutrition]]/tblPiNAnalysis[[#This Row],[Population]], 0.05)), "")</f>
        <v>0.1</v>
      </c>
      <c r="Z29" s="306">
        <f>IFERROR(IF(tblPiNAnalysis[[#This Row],[Food Security]]="", "", MROUND(tblPiNAnalysis[[#This Row],[Food Security]]/tblPiNAnalysis[[#This Row],[Population]], 0.05)), "")</f>
        <v>0.15000000000000002</v>
      </c>
      <c r="AA29" s="306">
        <f>IFERROR(IF(tblPiNAnalysis[[#This Row],[Health]]="", "", MROUND(tblPiNAnalysis[[#This Row],[Health]]/tblPiNAnalysis[[#This Row],[Population]], 0.05)), "")</f>
        <v>0.8</v>
      </c>
      <c r="AB29" s="307">
        <f>IFERROR(IF(tblPiNAnalysis[[#This Row],[Overarching Protection]]="", "", MROUND(tblPiNAnalysis[[#This Row],[Overarching Protection]]/tblPiNAnalysis[[#This Row],[Population]], 0.05)), "")</f>
        <v>0.5</v>
      </c>
      <c r="AC29" s="307">
        <f>IFERROR(IF(tblPiNAnalysis[[#This Row],[Shelter]]="", "", MROUND(tblPiNAnalysis[[#This Row],[Shelter]]/tblPiNAnalysis[[#This Row],[Population]], 0.05)), "")</f>
        <v>0.60000000000000009</v>
      </c>
      <c r="AD29" s="308">
        <f>IFERROR(IF(tblPiNAnalysis[[#This Row],[WASH]]="", "", MROUND(tblPiNAnalysis[[#This Row],[WASH]]/tblPiNAnalysis[[#This Row],[Population]], 0.05)), "")</f>
        <v>0.9</v>
      </c>
      <c r="AE29" s="306">
        <f>IFERROR(MROUND(tblPiNAnalysis[[#This Row],[CP]]/tblPiNAnalysis[[#This Row],[Population]], 0.05), "")</f>
        <v>0.15000000000000002</v>
      </c>
      <c r="AF29" s="306">
        <f>IFERROR(MROUND(tblPiNAnalysis[[#This Row],[GBV]]/tblPiNAnalysis[[#This Row],[Population]], 0.05), "")</f>
        <v>0.35000000000000003</v>
      </c>
      <c r="AG29" s="306">
        <f>IFERROR(MROUND(tblPiNAnalysis[[#This Row],[GP]]/tblPiNAnalysis[[#This Row],[Population]], 0.05), "")</f>
        <v>0.5</v>
      </c>
      <c r="AH29" s="306">
        <f>IFERROR(MROUND(tblPiNAnalysis[[#This Row],[HLP]]/tblPiNAnalysis[[#This Row],[Population]], 0.05), "")</f>
        <v>0.1</v>
      </c>
      <c r="AI29" s="309">
        <f>IFERROR(LARGE(tblPiNAnalysis[[#This Row],[CCCM]:[WASH]], 1), "")</f>
        <v>71603</v>
      </c>
      <c r="AJ29" s="310" t="str" cm="1">
        <f t="array" ref="AJ29">IF(tblPiNAnalysis[[#This Row],[Highest PiN]]="", "", _xlfn.TEXTJOIN(CHAR(10), TRUE, IF(tblPiNAnalysis[[#This Row],[Highest PiN]]=tblPiNAnalysis[[#This Row],[CCCM]:[WASH]], tblPiNAnalysis[[#Headers],[CCCM]:[WASH]], "")))</f>
        <v>WASH</v>
      </c>
      <c r="AK29" s="311">
        <f>IF(tblPiNAnalysis[[#This Row],[Highest PiN]]="", "", tblPiNAnalysis[[#This Row],[Highest PiN]]/tblPiNAnalysis[[#This Row],[Population]])</f>
        <v>0.8788879342089112</v>
      </c>
      <c r="AL29" s="312" t="str">
        <f>IF(SUM(tblPiNAnalysis[[#This Row],[CCCM]:[WASH]])=0, "",IF(COUNTIF(tblPiNAnalysis[[#This Row],[CCCM]:[WASH]],"=0")+COUNTIF(tblPiNAnalysis[[#This Row],[CCCM]:[WASH]],"")&gt;=zero_pin_thresh, "Flagged", ""))</f>
        <v/>
      </c>
      <c r="AM29" s="313" t="str">
        <f>IFERROR(IF(tblPiNAnalysis[[#This Row],[Highest PiN]]="", "", IF(tblPiNAnalysis[[#This Row],[Highest sector(s'') PiN %]]&gt;=flag_pin_perc, "Flagged", "")), "")</f>
        <v/>
      </c>
      <c r="AN29" s="314" t="str" cm="1">
        <f t="array" ref="AN29">IF(tblPiNAnalysis[[#This Row],[Highest PiN]]=0, "",  IF(OR(COUNTIF(tblPiNAnalysis[[#This Row],[Highest sector(s)]],tblSubSectorPopulation[Sector])), "Flagged", ""))</f>
        <v/>
      </c>
      <c r="AO29" s="46" cm="1">
        <f t="array" ref="AO2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64237.577867301297</v>
      </c>
      <c r="AP29" s="315" t="str" cm="1">
        <f t="array" ref="AP29">IF(tblPiNAnalysis[[#This Row],[2nd Highest PiN]]="", "", _xlfn.TEXTJOIN(CHAR(10), TRUE, IF(tblPiNAnalysis[[#This Row],[2nd Highest PiN]]=tblPiNAnalysis[[#This Row],[CCCM]:[WASH]], tblPiNAnalysis[[#Headers],[CCCM]:[WASH]], "")))</f>
        <v>Health</v>
      </c>
      <c r="AQ29" s="35">
        <f>IFERROR(tblPiNAnalysis[[#This Row],[2nd Highest PiN]]/tblPiNAnalysis[[#This Row],[Population]], "")</f>
        <v>0.78848137802014606</v>
      </c>
      <c r="AR29" s="46">
        <f>IFERROR(tblPiNAnalysis[[#This Row],[Highest PiN]]-tblPiNAnalysis[[#This Row],[2nd Highest PiN]], "")</f>
        <v>7365.4221326987026</v>
      </c>
      <c r="AS29" s="38">
        <f>IFERROR(((tblPiNAnalysis[[#This Row],[Highest PiN]]-tblPiNAnalysis[[#This Row],[2nd Highest PiN]])/tblPiNAnalysis[[#This Row],[2nd Highest PiN]]),"")</f>
        <v>0.11465908860875507</v>
      </c>
      <c r="AT29" s="38" t="str" cm="1">
        <f t="array" ref="AT2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9" s="316" cm="1">
        <f t="array" ref="AU2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49333</v>
      </c>
      <c r="AV29" s="186" t="str" cm="1">
        <f t="array" ref="AV29">IF(tblPiNAnalysis[[#This Row],[3rd Highest PiN]]="", "", _xlfn.TEXTJOIN(CHAR(10), TRUE, IF(tblPiNAnalysis[[#This Row],[3rd Highest PiN]]=tblPiNAnalysis[[#This Row],[CCCM]:[WASH]], tblPiNAnalysis[[#Headers],[CCCM]:[WASH]], "")))</f>
        <v>Shelter</v>
      </c>
      <c r="AW29" s="186">
        <f>IFERROR(tblPiNAnalysis[[#This Row],[3rd Highest PiN]]/tblPiNAnalysis[[#This Row],[Population]], "")</f>
        <v>0.60553578004173314</v>
      </c>
      <c r="AX29" s="45">
        <f>IFERROR(tblPiNAnalysis[[#This Row],[Highest PiN]]-tblPiNAnalysis[[#This Row],[3rd Highest PiN]],"")</f>
        <v>22270</v>
      </c>
      <c r="AY29" s="38">
        <f>IFERROR(tblPiNAnalysis[[#This Row],[Difference of PiN between Highest and 3rd Highest]]/tblPiNAnalysis[[#This Row],[3rd Highest PiN]], "")</f>
        <v>0.45142196906735854</v>
      </c>
      <c r="AZ29" s="314" t="str" cm="1">
        <f t="array" ref="AZ2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9" s="288" cm="1">
        <f t="array" ref="BA29">IFERROR(IF(tblPiNAnalysis[[#This Row],[ID]]="", "", INDEX(tblPiNHistorical[[CCCM]:[WASH]], MATCH(tblPiNAnalysis[[#This Row],[ID]],tblPiNHistorical[ID], 0),MATCH(_xlfn._xlws.FILTER(tblPiNAnalysis[[#Headers],[CCCM]:[WASH]], tblPiNAnalysis[[#This Row],[Highest PiN]]=tblPiNAnalysis[[#This Row],[CCCM]:[WASH]]), tblPiNHistorical[[#Headers],[CCCM]:[WASH]], 0))), "")</f>
        <v>-0.3</v>
      </c>
      <c r="BB29" s="317" t="str" cm="1">
        <f t="array" ref="BB2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9" s="265" cm="1">
        <f t="array" ref="BC29">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29" s="318" t="str" cm="1">
        <f t="array" ref="BD2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9" s="356">
        <f>INDEX(tblSeverityAnalysis[Final Severity], MATCH(tblPiNAnalysis[[#This Row],[ID]],tblSeverityAnalysis[ID], 0))</f>
        <v>4</v>
      </c>
      <c r="BF29" s="59">
        <f>IF(tblPiNAnalysis[[#This Row],[Severity]]&gt;2,tblPiNAnalysis[[#This Row],[Highest PiN]],)</f>
        <v>71603</v>
      </c>
      <c r="BG29" s="187"/>
      <c r="BH29" s="188"/>
      <c r="BI29" s="189">
        <f>COUNTIFS(tblPiNAnalysis[[#This Row],[Number of missing / zero PiNs greater than threshold - Data quality]:[Manual Flag]],"Flagged")</f>
        <v>0</v>
      </c>
      <c r="BJ29" s="94" t="str">
        <f>IF(tblPiNAnalysis[[#This Row],['# Flags]]&gt;0, "Flagged", "")</f>
        <v/>
      </c>
      <c r="BK29" s="310">
        <f>tblPiNAnalysis[[#This Row],[Preliminary PiN]]</f>
        <v>71603</v>
      </c>
      <c r="BL29" s="315"/>
      <c r="BM29" s="256">
        <f>IFERROR(IF(tblPiNAnalysis[[#This Row],[Severity]]=3,tblPiNAnalysis[[#This Row],[Final PiN]]*Thresholds!$D$35,tblPiNAnalysis[[#This Row],[Final PiN]]*Thresholds!$D$36),)</f>
        <v>71603</v>
      </c>
      <c r="BN29" s="256">
        <f>IFERROR(IF(tblPiNAnalysis[[#This Row],[Severity]]&gt;3,tblPiNAnalysis[[#This Row],[Final PiN]]*Thresholds!$D$36,),)</f>
        <v>71603</v>
      </c>
    </row>
    <row r="30" spans="1:66" ht="24.95" customHeight="1">
      <c r="A30" s="30" t="s">
        <v>160</v>
      </c>
      <c r="B30" s="39" t="s">
        <v>146</v>
      </c>
      <c r="C30" s="213" t="s">
        <v>147</v>
      </c>
      <c r="D30" s="340" t="s">
        <v>161</v>
      </c>
      <c r="E30" s="103" t="s">
        <v>160</v>
      </c>
      <c r="F30" s="98"/>
      <c r="G30" s="33"/>
      <c r="H30" s="33"/>
      <c r="I30" s="95"/>
      <c r="J30" s="95" t="s">
        <v>192</v>
      </c>
      <c r="K30" s="319"/>
      <c r="L30" s="303"/>
      <c r="M30" s="32"/>
      <c r="N30" s="32"/>
      <c r="O30" s="32"/>
      <c r="P30" s="32"/>
      <c r="Q30" s="304"/>
      <c r="R30" s="303"/>
      <c r="S30" s="32"/>
      <c r="T30" s="32"/>
      <c r="U30" s="32"/>
      <c r="V30" s="303"/>
      <c r="W30" s="305" t="str">
        <f>IFERROR(IF(tblPiNAnalysis[[#This Row],[CCCM]]="", "", MROUND(tblPiNAnalysis[[#This Row],[CCCM]]/tblPiNAnalysis[[#This Row],[Population]], 0.05)), "")</f>
        <v/>
      </c>
      <c r="X30" s="306" t="str">
        <f>IFERROR(IF(tblPiNAnalysis[[#This Row],[Education]]="", "", MROUND(tblPiNAnalysis[[#This Row],[Education]]/tblPiNAnalysis[[#This Row],[Population]], 0.05)), "")</f>
        <v/>
      </c>
      <c r="Y30" s="306" t="str">
        <f>IFERROR(IF(tblPiNAnalysis[[#This Row],[Nutrition]]="", "", MROUND(tblPiNAnalysis[[#This Row],[Nutrition]]/tblPiNAnalysis[[#This Row],[Population]], 0.05)), "")</f>
        <v/>
      </c>
      <c r="Z30" s="306" t="str">
        <f>IFERROR(IF(tblPiNAnalysis[[#This Row],[Food Security]]="", "", MROUND(tblPiNAnalysis[[#This Row],[Food Security]]/tblPiNAnalysis[[#This Row],[Population]], 0.05)), "")</f>
        <v/>
      </c>
      <c r="AA30" s="306" t="str">
        <f>IFERROR(IF(tblPiNAnalysis[[#This Row],[Health]]="", "", MROUND(tblPiNAnalysis[[#This Row],[Health]]/tblPiNAnalysis[[#This Row],[Population]], 0.05)), "")</f>
        <v/>
      </c>
      <c r="AB30" s="307" t="str">
        <f>IFERROR(IF(tblPiNAnalysis[[#This Row],[Overarching Protection]]="", "", MROUND(tblPiNAnalysis[[#This Row],[Overarching Protection]]/tblPiNAnalysis[[#This Row],[Population]], 0.05)), "")</f>
        <v/>
      </c>
      <c r="AC30" s="307" t="str">
        <f>IFERROR(IF(tblPiNAnalysis[[#This Row],[Shelter]]="", "", MROUND(tblPiNAnalysis[[#This Row],[Shelter]]/tblPiNAnalysis[[#This Row],[Population]], 0.05)), "")</f>
        <v/>
      </c>
      <c r="AD30" s="308" t="str">
        <f>IFERROR(IF(tblPiNAnalysis[[#This Row],[WASH]]="", "", MROUND(tblPiNAnalysis[[#This Row],[WASH]]/tblPiNAnalysis[[#This Row],[Population]], 0.05)), "")</f>
        <v/>
      </c>
      <c r="AE30" s="306" t="str">
        <f>IFERROR(MROUND(tblPiNAnalysis[[#This Row],[CP]]/tblPiNAnalysis[[#This Row],[Population]], 0.05), "")</f>
        <v/>
      </c>
      <c r="AF30" s="306" t="str">
        <f>IFERROR(MROUND(tblPiNAnalysis[[#This Row],[GBV]]/tblPiNAnalysis[[#This Row],[Population]], 0.05), "")</f>
        <v/>
      </c>
      <c r="AG30" s="306" t="str">
        <f>IFERROR(MROUND(tblPiNAnalysis[[#This Row],[GP]]/tblPiNAnalysis[[#This Row],[Population]], 0.05), "")</f>
        <v/>
      </c>
      <c r="AH30" s="306" t="str">
        <f>IFERROR(MROUND(tblPiNAnalysis[[#This Row],[HLP]]/tblPiNAnalysis[[#This Row],[Population]], 0.05), "")</f>
        <v/>
      </c>
      <c r="AI30" s="309" t="str">
        <f>IFERROR(LARGE(tblPiNAnalysis[[#This Row],[CCCM]:[WASH]], 1), "")</f>
        <v/>
      </c>
      <c r="AJ30" s="310" t="str" cm="1">
        <f t="array" ref="AJ30">IF(tblPiNAnalysis[[#This Row],[Highest PiN]]="", "", _xlfn.TEXTJOIN(CHAR(10), TRUE, IF(tblPiNAnalysis[[#This Row],[Highest PiN]]=tblPiNAnalysis[[#This Row],[CCCM]:[WASH]], tblPiNAnalysis[[#Headers],[CCCM]:[WASH]], "")))</f>
        <v/>
      </c>
      <c r="AK30" s="311" t="str">
        <f>IF(tblPiNAnalysis[[#This Row],[Highest PiN]]="", "", tblPiNAnalysis[[#This Row],[Highest PiN]]/tblPiNAnalysis[[#This Row],[Population]])</f>
        <v/>
      </c>
      <c r="AL30" s="312" t="str">
        <f>IF(SUM(tblPiNAnalysis[[#This Row],[CCCM]:[WASH]])=0, "",IF(COUNTIF(tblPiNAnalysis[[#This Row],[CCCM]:[WASH]],"=0")+COUNTIF(tblPiNAnalysis[[#This Row],[CCCM]:[WASH]],"")&gt;=zero_pin_thresh, "Flagged", ""))</f>
        <v/>
      </c>
      <c r="AM30" s="313" t="str">
        <f>IFERROR(IF(tblPiNAnalysis[[#This Row],[Highest PiN]]="", "", IF(tblPiNAnalysis[[#This Row],[Highest sector(s'') PiN %]]&gt;=flag_pin_perc, "Flagged", "")), "")</f>
        <v/>
      </c>
      <c r="AN30" s="314" t="str" cm="1">
        <f t="array" ref="AN30">IF(tblPiNAnalysis[[#This Row],[Highest PiN]]=0, "",  IF(OR(COUNTIF(tblPiNAnalysis[[#This Row],[Highest sector(s)]],tblSubSectorPopulation[Sector])), "Flagged", ""))</f>
        <v/>
      </c>
      <c r="AO30" s="46" t="str" cm="1">
        <f t="array" ref="AO3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30" s="315" t="str" cm="1">
        <f t="array" ref="AP30">IF(tblPiNAnalysis[[#This Row],[2nd Highest PiN]]="", "", _xlfn.TEXTJOIN(CHAR(10), TRUE, IF(tblPiNAnalysis[[#This Row],[2nd Highest PiN]]=tblPiNAnalysis[[#This Row],[CCCM]:[WASH]], tblPiNAnalysis[[#Headers],[CCCM]:[WASH]], "")))</f>
        <v/>
      </c>
      <c r="AQ30" s="35" t="str">
        <f>IFERROR(tblPiNAnalysis[[#This Row],[2nd Highest PiN]]/tblPiNAnalysis[[#This Row],[Population]], "")</f>
        <v/>
      </c>
      <c r="AR30" s="46" t="str">
        <f>IFERROR(tblPiNAnalysis[[#This Row],[Highest PiN]]-tblPiNAnalysis[[#This Row],[2nd Highest PiN]], "")</f>
        <v/>
      </c>
      <c r="AS30" s="38" t="str">
        <f>IFERROR(((tblPiNAnalysis[[#This Row],[Highest PiN]]-tblPiNAnalysis[[#This Row],[2nd Highest PiN]])/tblPiNAnalysis[[#This Row],[2nd Highest PiN]]),"")</f>
        <v/>
      </c>
      <c r="AT30" s="38" t="str" cm="1">
        <f t="array" ref="AT3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0" s="316" t="str" cm="1">
        <f t="array" ref="AU3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30" s="186" t="str" cm="1">
        <f t="array" ref="AV30">IF(tblPiNAnalysis[[#This Row],[3rd Highest PiN]]="", "", _xlfn.TEXTJOIN(CHAR(10), TRUE, IF(tblPiNAnalysis[[#This Row],[3rd Highest PiN]]=tblPiNAnalysis[[#This Row],[CCCM]:[WASH]], tblPiNAnalysis[[#Headers],[CCCM]:[WASH]], "")))</f>
        <v/>
      </c>
      <c r="AW30" s="186" t="str">
        <f>IFERROR(tblPiNAnalysis[[#This Row],[3rd Highest PiN]]/tblPiNAnalysis[[#This Row],[Population]], "")</f>
        <v/>
      </c>
      <c r="AX30" s="45" t="str">
        <f>IFERROR(tblPiNAnalysis[[#This Row],[Highest PiN]]-tblPiNAnalysis[[#This Row],[3rd Highest PiN]],"")</f>
        <v/>
      </c>
      <c r="AY30" s="38" t="str">
        <f>IFERROR(tblPiNAnalysis[[#This Row],[Difference of PiN between Highest and 3rd Highest]]/tblPiNAnalysis[[#This Row],[3rd Highest PiN]], "")</f>
        <v/>
      </c>
      <c r="AZ30" s="314" t="str" cm="1">
        <f t="array" ref="AZ3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0" s="288" t="e" cm="1" vm="2">
        <f t="array" aca="1" ref="BA30"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30" s="317" t="str" cm="1">
        <f t="array" ref="BB3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0" s="265" t="e" cm="1" vm="2">
        <f t="array" aca="1" ref="BC30"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30" s="318" t="str" cm="1">
        <f t="array" ref="BD3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0" s="356">
        <f>INDEX(tblSeverityAnalysis[Final Severity], MATCH(tblPiNAnalysis[[#This Row],[ID]],tblSeverityAnalysis[ID], 0))</f>
        <v>3</v>
      </c>
      <c r="BF30" s="59" t="str">
        <f>IF(tblPiNAnalysis[[#This Row],[Severity]]&gt;2,tblPiNAnalysis[[#This Row],[Highest PiN]],)</f>
        <v/>
      </c>
      <c r="BG30" s="187"/>
      <c r="BH30" s="188"/>
      <c r="BI30" s="189">
        <f ca="1">COUNTIFS(tblPiNAnalysis[[#This Row],[Number of missing / zero PiNs greater than threshold - Data quality]:[Manual Flag]],"Flagged")</f>
        <v>0</v>
      </c>
      <c r="BJ30" s="94" t="str">
        <f ca="1">IF(tblPiNAnalysis[[#This Row],['# Flags]]&gt;0, "Flagged", "")</f>
        <v/>
      </c>
      <c r="BK30" s="310" t="str">
        <f>tblPiNAnalysis[[#This Row],[Preliminary PiN]]</f>
        <v/>
      </c>
      <c r="BL30" s="315"/>
      <c r="BM30" s="256">
        <f>IFERROR(IF(tblPiNAnalysis[[#This Row],[Severity]]=3,tblPiNAnalysis[[#This Row],[Final PiN]]*Thresholds!$D$35,tblPiNAnalysis[[#This Row],[Final PiN]]*Thresholds!$D$36),)</f>
        <v>0</v>
      </c>
      <c r="BN30" s="256">
        <f>IFERROR(IF(tblPiNAnalysis[[#This Row],[Severity]]&gt;3,tblPiNAnalysis[[#This Row],[Final PiN]]*Thresholds!$D$36,),)</f>
        <v>0</v>
      </c>
    </row>
    <row r="31" spans="1:66" ht="24.95" customHeight="1">
      <c r="A31" s="30" t="s">
        <v>162</v>
      </c>
      <c r="B31" s="39" t="s">
        <v>146</v>
      </c>
      <c r="C31" s="213" t="s">
        <v>147</v>
      </c>
      <c r="D31" s="340" t="s">
        <v>163</v>
      </c>
      <c r="E31" s="103" t="s">
        <v>162</v>
      </c>
      <c r="F31" s="98"/>
      <c r="G31" s="33"/>
      <c r="H31" s="33"/>
      <c r="I31" s="95">
        <v>11921</v>
      </c>
      <c r="J31" s="95" t="s">
        <v>192</v>
      </c>
      <c r="K31" s="319">
        <v>2384.2000000000003</v>
      </c>
      <c r="L31" s="303">
        <v>2164</v>
      </c>
      <c r="M31" s="32">
        <v>992</v>
      </c>
      <c r="N31" s="32">
        <v>3796</v>
      </c>
      <c r="O31" s="32">
        <v>242.72175287218613</v>
      </c>
      <c r="P31" s="32">
        <v>5166</v>
      </c>
      <c r="Q31" s="304">
        <v>1192</v>
      </c>
      <c r="R31" s="303">
        <v>6932</v>
      </c>
      <c r="S31" s="32">
        <v>1902</v>
      </c>
      <c r="T31" s="32">
        <v>1122</v>
      </c>
      <c r="U31" s="32">
        <v>5166</v>
      </c>
      <c r="V31" s="303">
        <v>0</v>
      </c>
      <c r="W31" s="305">
        <f>IFERROR(IF(tblPiNAnalysis[[#This Row],[CCCM]]="", "", MROUND(tblPiNAnalysis[[#This Row],[CCCM]]/tblPiNAnalysis[[#This Row],[Population]], 0.05)), "")</f>
        <v>0.2</v>
      </c>
      <c r="X31" s="306">
        <f>IFERROR(IF(tblPiNAnalysis[[#This Row],[Education]]="", "", MROUND(tblPiNAnalysis[[#This Row],[Education]]/tblPiNAnalysis[[#This Row],[Population]], 0.05)), "")</f>
        <v>0.2</v>
      </c>
      <c r="Y31" s="306">
        <f>IFERROR(IF(tblPiNAnalysis[[#This Row],[Nutrition]]="", "", MROUND(tblPiNAnalysis[[#This Row],[Nutrition]]/tblPiNAnalysis[[#This Row],[Population]], 0.05)), "")</f>
        <v>0.1</v>
      </c>
      <c r="Z31" s="306">
        <f>IFERROR(IF(tblPiNAnalysis[[#This Row],[Food Security]]="", "", MROUND(tblPiNAnalysis[[#This Row],[Food Security]]/tblPiNAnalysis[[#This Row],[Population]], 0.05)), "")</f>
        <v>0.30000000000000004</v>
      </c>
      <c r="AA31" s="306">
        <f>IFERROR(IF(tblPiNAnalysis[[#This Row],[Health]]="", "", MROUND(tblPiNAnalysis[[#This Row],[Health]]/tblPiNAnalysis[[#This Row],[Population]], 0.05)), "")</f>
        <v>0</v>
      </c>
      <c r="AB31" s="307">
        <f>IFERROR(IF(tblPiNAnalysis[[#This Row],[Overarching Protection]]="", "", MROUND(tblPiNAnalysis[[#This Row],[Overarching Protection]]/tblPiNAnalysis[[#This Row],[Population]], 0.05)), "")</f>
        <v>0.45</v>
      </c>
      <c r="AC31" s="307">
        <f>IFERROR(IF(tblPiNAnalysis[[#This Row],[Shelter]]="", "", MROUND(tblPiNAnalysis[[#This Row],[Shelter]]/tblPiNAnalysis[[#This Row],[Population]], 0.05)), "")</f>
        <v>0.1</v>
      </c>
      <c r="AD31" s="308">
        <f>IFERROR(IF(tblPiNAnalysis[[#This Row],[WASH]]="", "", MROUND(tblPiNAnalysis[[#This Row],[WASH]]/tblPiNAnalysis[[#This Row],[Population]], 0.05)), "")</f>
        <v>0.60000000000000009</v>
      </c>
      <c r="AE31" s="306">
        <f>IFERROR(MROUND(tblPiNAnalysis[[#This Row],[CP]]/tblPiNAnalysis[[#This Row],[Population]], 0.05), "")</f>
        <v>0.15000000000000002</v>
      </c>
      <c r="AF31" s="306">
        <f>IFERROR(MROUND(tblPiNAnalysis[[#This Row],[GBV]]/tblPiNAnalysis[[#This Row],[Population]], 0.05), "")</f>
        <v>0.1</v>
      </c>
      <c r="AG31" s="306">
        <f>IFERROR(MROUND(tblPiNAnalysis[[#This Row],[GP]]/tblPiNAnalysis[[#This Row],[Population]], 0.05), "")</f>
        <v>0.45</v>
      </c>
      <c r="AH31" s="306">
        <f>IFERROR(MROUND(tblPiNAnalysis[[#This Row],[HLP]]/tblPiNAnalysis[[#This Row],[Population]], 0.05), "")</f>
        <v>0</v>
      </c>
      <c r="AI31" s="309">
        <f>IFERROR(LARGE(tblPiNAnalysis[[#This Row],[CCCM]:[WASH]], 1), "")</f>
        <v>6932</v>
      </c>
      <c r="AJ31" s="310" t="str" cm="1">
        <f t="array" ref="AJ31">IF(tblPiNAnalysis[[#This Row],[Highest PiN]]="", "", _xlfn.TEXTJOIN(CHAR(10), TRUE, IF(tblPiNAnalysis[[#This Row],[Highest PiN]]=tblPiNAnalysis[[#This Row],[CCCM]:[WASH]], tblPiNAnalysis[[#Headers],[CCCM]:[WASH]], "")))</f>
        <v>WASH</v>
      </c>
      <c r="AK31" s="311">
        <f>IF(tblPiNAnalysis[[#This Row],[Highest PiN]]="", "", tblPiNAnalysis[[#This Row],[Highest PiN]]/tblPiNAnalysis[[#This Row],[Population]])</f>
        <v>0.5814948410368258</v>
      </c>
      <c r="AL31" s="312" t="str">
        <f>IF(SUM(tblPiNAnalysis[[#This Row],[CCCM]:[WASH]])=0, "",IF(COUNTIF(tblPiNAnalysis[[#This Row],[CCCM]:[WASH]],"=0")+COUNTIF(tblPiNAnalysis[[#This Row],[CCCM]:[WASH]],"")&gt;=zero_pin_thresh, "Flagged", ""))</f>
        <v/>
      </c>
      <c r="AM31" s="313" t="str">
        <f>IFERROR(IF(tblPiNAnalysis[[#This Row],[Highest PiN]]="", "", IF(tblPiNAnalysis[[#This Row],[Highest sector(s'') PiN %]]&gt;=flag_pin_perc, "Flagged", "")), "")</f>
        <v/>
      </c>
      <c r="AN31" s="314" t="str" cm="1">
        <f t="array" ref="AN31">IF(tblPiNAnalysis[[#This Row],[Highest PiN]]=0, "",  IF(OR(COUNTIF(tblPiNAnalysis[[#This Row],[Highest sector(s)]],tblSubSectorPopulation[Sector])), "Flagged", ""))</f>
        <v/>
      </c>
      <c r="AO31" s="46" cm="1">
        <f t="array" ref="AO3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5166</v>
      </c>
      <c r="AP31" s="315" t="str" cm="1">
        <f t="array" ref="AP31">IF(tblPiNAnalysis[[#This Row],[2nd Highest PiN]]="", "", _xlfn.TEXTJOIN(CHAR(10), TRUE, IF(tblPiNAnalysis[[#This Row],[2nd Highest PiN]]=tblPiNAnalysis[[#This Row],[CCCM]:[WASH]], tblPiNAnalysis[[#Headers],[CCCM]:[WASH]], "")))</f>
        <v>Overarching Protection</v>
      </c>
      <c r="AQ31" s="35">
        <f>IFERROR(tblPiNAnalysis[[#This Row],[2nd Highest PiN]]/tblPiNAnalysis[[#This Row],[Population]], "")</f>
        <v>0.43335290663534937</v>
      </c>
      <c r="AR31" s="46">
        <f>IFERROR(tblPiNAnalysis[[#This Row],[Highest PiN]]-tblPiNAnalysis[[#This Row],[2nd Highest PiN]], "")</f>
        <v>1766</v>
      </c>
      <c r="AS31" s="38">
        <f>IFERROR(((tblPiNAnalysis[[#This Row],[Highest PiN]]-tblPiNAnalysis[[#This Row],[2nd Highest PiN]])/tblPiNAnalysis[[#This Row],[2nd Highest PiN]]),"")</f>
        <v>0.34185056136275649</v>
      </c>
      <c r="AT31" s="38" t="str" cm="1">
        <f t="array" ref="AT3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1" s="316" cm="1">
        <f t="array" ref="AU3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3796</v>
      </c>
      <c r="AV31" s="186" t="str" cm="1">
        <f t="array" ref="AV31">IF(tblPiNAnalysis[[#This Row],[3rd Highest PiN]]="", "", _xlfn.TEXTJOIN(CHAR(10), TRUE, IF(tblPiNAnalysis[[#This Row],[3rd Highest PiN]]=tblPiNAnalysis[[#This Row],[CCCM]:[WASH]], tblPiNAnalysis[[#Headers],[CCCM]:[WASH]], "")))</f>
        <v>Food Security</v>
      </c>
      <c r="AW31" s="186">
        <f>IFERROR(tblPiNAnalysis[[#This Row],[3rd Highest PiN]]/tblPiNAnalysis[[#This Row],[Population]], "")</f>
        <v>0.31842966194111233</v>
      </c>
      <c r="AX31" s="45">
        <f>IFERROR(tblPiNAnalysis[[#This Row],[Highest PiN]]-tblPiNAnalysis[[#This Row],[3rd Highest PiN]],"")</f>
        <v>3136</v>
      </c>
      <c r="AY31" s="38">
        <f>IFERROR(tblPiNAnalysis[[#This Row],[Difference of PiN between Highest and 3rd Highest]]/tblPiNAnalysis[[#This Row],[3rd Highest PiN]], "")</f>
        <v>0.8261327713382508</v>
      </c>
      <c r="AZ31" s="314" t="str" cm="1">
        <f t="array" ref="AZ3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1" s="288" cm="1">
        <f t="array" ref="BA31">IFERROR(IF(tblPiNAnalysis[[#This Row],[ID]]="", "", INDEX(tblPiNHistorical[[CCCM]:[WASH]], MATCH(tblPiNAnalysis[[#This Row],[ID]],tblPiNHistorical[ID], 0),MATCH(_xlfn._xlws.FILTER(tblPiNAnalysis[[#Headers],[CCCM]:[WASH]], tblPiNAnalysis[[#This Row],[Highest PiN]]=tblPiNAnalysis[[#This Row],[CCCM]:[WASH]]), tblPiNHistorical[[#Headers],[CCCM]:[WASH]], 0))), "")</f>
        <v>-0.1</v>
      </c>
      <c r="BB31" s="317" t="str" cm="1">
        <f t="array" ref="BB3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1" s="265" cm="1">
        <f t="array" ref="BC31">IFERROR(IF(tblPiNAnalysis[[#This Row],[ID]]="", "", INDEX(tblPiNHistorical[[CCCM]:[WASH]], MATCH(tblPiNAnalysis[[#This Row],[ID]],tblPiNHistorical[ID], 0),MATCH(_xlfn._xlws.FILTER(tblPiNAnalysis[[#Headers],[CCCM]:[WASH]], tblPiNAnalysis[[#This Row],[2nd Highest PiN]]=tblPiNAnalysis[[#This Row],[CCCM]:[WASH]]), tblPiNHistorical[[#Headers],[CCCM]:[WASH]], 0))), "")</f>
        <v>1</v>
      </c>
      <c r="BD31" s="318" t="str" cm="1">
        <f t="array" ref="BD3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31" s="356">
        <f>INDEX(tblSeverityAnalysis[Final Severity], MATCH(tblPiNAnalysis[[#This Row],[ID]],tblSeverityAnalysis[ID], 0))</f>
        <v>3</v>
      </c>
      <c r="BF31" s="59">
        <f>IF(tblPiNAnalysis[[#This Row],[Severity]]&gt;2,tblPiNAnalysis[[#This Row],[Highest PiN]],)</f>
        <v>6932</v>
      </c>
      <c r="BG31" s="187"/>
      <c r="BH31" s="188"/>
      <c r="BI31" s="189">
        <f>COUNTIFS(tblPiNAnalysis[[#This Row],[Number of missing / zero PiNs greater than threshold - Data quality]:[Manual Flag]],"Flagged")</f>
        <v>3</v>
      </c>
      <c r="BJ31" s="94" t="str">
        <f>IF(tblPiNAnalysis[[#This Row],['# Flags]]&gt;0, "Flagged", "")</f>
        <v>Flagged</v>
      </c>
      <c r="BK31" s="310">
        <f>tblPiNAnalysis[[#This Row],[Preliminary PiN]]</f>
        <v>6932</v>
      </c>
      <c r="BL31" s="315"/>
      <c r="BM31" s="256">
        <f>IFERROR(IF(tblPiNAnalysis[[#This Row],[Severity]]=3,tblPiNAnalysis[[#This Row],[Final PiN]]*Thresholds!$D$35,tblPiNAnalysis[[#This Row],[Final PiN]]*Thresholds!$D$36),)</f>
        <v>3466</v>
      </c>
      <c r="BN31" s="256">
        <f>IFERROR(IF(tblPiNAnalysis[[#This Row],[Severity]]&gt;3,tblPiNAnalysis[[#This Row],[Final PiN]]*Thresholds!$D$36,),)</f>
        <v>0</v>
      </c>
    </row>
    <row r="32" spans="1:66" ht="24.95" customHeight="1">
      <c r="A32" s="30" t="s">
        <v>164</v>
      </c>
      <c r="B32" s="39" t="s">
        <v>146</v>
      </c>
      <c r="C32" s="213" t="s">
        <v>147</v>
      </c>
      <c r="D32" s="340" t="s">
        <v>165</v>
      </c>
      <c r="E32" s="103" t="s">
        <v>164</v>
      </c>
      <c r="F32" s="98"/>
      <c r="G32" s="33"/>
      <c r="H32" s="33"/>
      <c r="I32" s="95"/>
      <c r="J32" s="95" t="s">
        <v>192</v>
      </c>
      <c r="K32" s="319"/>
      <c r="L32" s="303"/>
      <c r="M32" s="32"/>
      <c r="N32" s="32"/>
      <c r="O32" s="32"/>
      <c r="P32" s="32"/>
      <c r="Q32" s="304"/>
      <c r="R32" s="303"/>
      <c r="S32" s="32"/>
      <c r="T32" s="32"/>
      <c r="U32" s="32"/>
      <c r="V32" s="303"/>
      <c r="W32" s="305" t="str">
        <f>IFERROR(IF(tblPiNAnalysis[[#This Row],[CCCM]]="", "", MROUND(tblPiNAnalysis[[#This Row],[CCCM]]/tblPiNAnalysis[[#This Row],[Population]], 0.05)), "")</f>
        <v/>
      </c>
      <c r="X32" s="306" t="str">
        <f>IFERROR(IF(tblPiNAnalysis[[#This Row],[Education]]="", "", MROUND(tblPiNAnalysis[[#This Row],[Education]]/tblPiNAnalysis[[#This Row],[Population]], 0.05)), "")</f>
        <v/>
      </c>
      <c r="Y32" s="306" t="str">
        <f>IFERROR(IF(tblPiNAnalysis[[#This Row],[Nutrition]]="", "", MROUND(tblPiNAnalysis[[#This Row],[Nutrition]]/tblPiNAnalysis[[#This Row],[Population]], 0.05)), "")</f>
        <v/>
      </c>
      <c r="Z32" s="306" t="str">
        <f>IFERROR(IF(tblPiNAnalysis[[#This Row],[Food Security]]="", "", MROUND(tblPiNAnalysis[[#This Row],[Food Security]]/tblPiNAnalysis[[#This Row],[Population]], 0.05)), "")</f>
        <v/>
      </c>
      <c r="AA32" s="306" t="str">
        <f>IFERROR(IF(tblPiNAnalysis[[#This Row],[Health]]="", "", MROUND(tblPiNAnalysis[[#This Row],[Health]]/tblPiNAnalysis[[#This Row],[Population]], 0.05)), "")</f>
        <v/>
      </c>
      <c r="AB32" s="307" t="str">
        <f>IFERROR(IF(tblPiNAnalysis[[#This Row],[Overarching Protection]]="", "", MROUND(tblPiNAnalysis[[#This Row],[Overarching Protection]]/tblPiNAnalysis[[#This Row],[Population]], 0.05)), "")</f>
        <v/>
      </c>
      <c r="AC32" s="307" t="str">
        <f>IFERROR(IF(tblPiNAnalysis[[#This Row],[Shelter]]="", "", MROUND(tblPiNAnalysis[[#This Row],[Shelter]]/tblPiNAnalysis[[#This Row],[Population]], 0.05)), "")</f>
        <v/>
      </c>
      <c r="AD32" s="308" t="str">
        <f>IFERROR(IF(tblPiNAnalysis[[#This Row],[WASH]]="", "", MROUND(tblPiNAnalysis[[#This Row],[WASH]]/tblPiNAnalysis[[#This Row],[Population]], 0.05)), "")</f>
        <v/>
      </c>
      <c r="AE32" s="306" t="str">
        <f>IFERROR(MROUND(tblPiNAnalysis[[#This Row],[CP]]/tblPiNAnalysis[[#This Row],[Population]], 0.05), "")</f>
        <v/>
      </c>
      <c r="AF32" s="306" t="str">
        <f>IFERROR(MROUND(tblPiNAnalysis[[#This Row],[GBV]]/tblPiNAnalysis[[#This Row],[Population]], 0.05), "")</f>
        <v/>
      </c>
      <c r="AG32" s="306" t="str">
        <f>IFERROR(MROUND(tblPiNAnalysis[[#This Row],[GP]]/tblPiNAnalysis[[#This Row],[Population]], 0.05), "")</f>
        <v/>
      </c>
      <c r="AH32" s="306" t="str">
        <f>IFERROR(MROUND(tblPiNAnalysis[[#This Row],[HLP]]/tblPiNAnalysis[[#This Row],[Population]], 0.05), "")</f>
        <v/>
      </c>
      <c r="AI32" s="309" t="str">
        <f>IFERROR(LARGE(tblPiNAnalysis[[#This Row],[CCCM]:[WASH]], 1), "")</f>
        <v/>
      </c>
      <c r="AJ32" s="310" t="str" cm="1">
        <f t="array" ref="AJ32">IF(tblPiNAnalysis[[#This Row],[Highest PiN]]="", "", _xlfn.TEXTJOIN(CHAR(10), TRUE, IF(tblPiNAnalysis[[#This Row],[Highest PiN]]=tblPiNAnalysis[[#This Row],[CCCM]:[WASH]], tblPiNAnalysis[[#Headers],[CCCM]:[WASH]], "")))</f>
        <v/>
      </c>
      <c r="AK32" s="311" t="str">
        <f>IF(tblPiNAnalysis[[#This Row],[Highest PiN]]="", "", tblPiNAnalysis[[#This Row],[Highest PiN]]/tblPiNAnalysis[[#This Row],[Population]])</f>
        <v/>
      </c>
      <c r="AL32" s="312" t="str">
        <f>IF(SUM(tblPiNAnalysis[[#This Row],[CCCM]:[WASH]])=0, "",IF(COUNTIF(tblPiNAnalysis[[#This Row],[CCCM]:[WASH]],"=0")+COUNTIF(tblPiNAnalysis[[#This Row],[CCCM]:[WASH]],"")&gt;=zero_pin_thresh, "Flagged", ""))</f>
        <v/>
      </c>
      <c r="AM32" s="313" t="str">
        <f>IFERROR(IF(tblPiNAnalysis[[#This Row],[Highest PiN]]="", "", IF(tblPiNAnalysis[[#This Row],[Highest sector(s'') PiN %]]&gt;=flag_pin_perc, "Flagged", "")), "")</f>
        <v/>
      </c>
      <c r="AN32" s="314" t="str" cm="1">
        <f t="array" ref="AN32">IF(tblPiNAnalysis[[#This Row],[Highest PiN]]=0, "",  IF(OR(COUNTIF(tblPiNAnalysis[[#This Row],[Highest sector(s)]],tblSubSectorPopulation[Sector])), "Flagged", ""))</f>
        <v/>
      </c>
      <c r="AO32" s="46" t="str" cm="1">
        <f t="array" ref="AO3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32" s="315" t="str" cm="1">
        <f t="array" ref="AP32">IF(tblPiNAnalysis[[#This Row],[2nd Highest PiN]]="", "", _xlfn.TEXTJOIN(CHAR(10), TRUE, IF(tblPiNAnalysis[[#This Row],[2nd Highest PiN]]=tblPiNAnalysis[[#This Row],[CCCM]:[WASH]], tblPiNAnalysis[[#Headers],[CCCM]:[WASH]], "")))</f>
        <v/>
      </c>
      <c r="AQ32" s="35" t="str">
        <f>IFERROR(tblPiNAnalysis[[#This Row],[2nd Highest PiN]]/tblPiNAnalysis[[#This Row],[Population]], "")</f>
        <v/>
      </c>
      <c r="AR32" s="46" t="str">
        <f>IFERROR(tblPiNAnalysis[[#This Row],[Highest PiN]]-tblPiNAnalysis[[#This Row],[2nd Highest PiN]], "")</f>
        <v/>
      </c>
      <c r="AS32" s="38" t="str">
        <f>IFERROR(((tblPiNAnalysis[[#This Row],[Highest PiN]]-tblPiNAnalysis[[#This Row],[2nd Highest PiN]])/tblPiNAnalysis[[#This Row],[2nd Highest PiN]]),"")</f>
        <v/>
      </c>
      <c r="AT32" s="38" t="str" cm="1">
        <f t="array" ref="AT3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2" s="316" t="str" cm="1">
        <f t="array" ref="AU3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32" s="186" t="str" cm="1">
        <f t="array" ref="AV32">IF(tblPiNAnalysis[[#This Row],[3rd Highest PiN]]="", "", _xlfn.TEXTJOIN(CHAR(10), TRUE, IF(tblPiNAnalysis[[#This Row],[3rd Highest PiN]]=tblPiNAnalysis[[#This Row],[CCCM]:[WASH]], tblPiNAnalysis[[#Headers],[CCCM]:[WASH]], "")))</f>
        <v/>
      </c>
      <c r="AW32" s="186" t="str">
        <f>IFERROR(tblPiNAnalysis[[#This Row],[3rd Highest PiN]]/tblPiNAnalysis[[#This Row],[Population]], "")</f>
        <v/>
      </c>
      <c r="AX32" s="45" t="str">
        <f>IFERROR(tblPiNAnalysis[[#This Row],[Highest PiN]]-tblPiNAnalysis[[#This Row],[3rd Highest PiN]],"")</f>
        <v/>
      </c>
      <c r="AY32" s="38" t="str">
        <f>IFERROR(tblPiNAnalysis[[#This Row],[Difference of PiN between Highest and 3rd Highest]]/tblPiNAnalysis[[#This Row],[3rd Highest PiN]], "")</f>
        <v/>
      </c>
      <c r="AZ32" s="314" t="str" cm="1">
        <f t="array" ref="AZ3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2" s="288" t="e" cm="1" vm="2">
        <f t="array" aca="1" ref="BA32"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32" s="317" t="str" cm="1">
        <f t="array" ref="BB3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2" s="265" t="e" cm="1" vm="2">
        <f t="array" aca="1" ref="BC32"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32" s="318" t="str" cm="1">
        <f t="array" ref="BD3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2" s="356">
        <f>INDEX(tblSeverityAnalysis[Final Severity], MATCH(tblPiNAnalysis[[#This Row],[ID]],tblSeverityAnalysis[ID], 0))</f>
        <v>3</v>
      </c>
      <c r="BF32" s="59" t="str">
        <f>IF(tblPiNAnalysis[[#This Row],[Severity]]&gt;2,tblPiNAnalysis[[#This Row],[Highest PiN]],)</f>
        <v/>
      </c>
      <c r="BG32" s="187"/>
      <c r="BH32" s="188"/>
      <c r="BI32" s="189">
        <f ca="1">COUNTIFS(tblPiNAnalysis[[#This Row],[Number of missing / zero PiNs greater than threshold - Data quality]:[Manual Flag]],"Flagged")</f>
        <v>0</v>
      </c>
      <c r="BJ32" s="94" t="str">
        <f ca="1">IF(tblPiNAnalysis[[#This Row],['# Flags]]&gt;0, "Flagged", "")</f>
        <v/>
      </c>
      <c r="BK32" s="310" t="str">
        <f>tblPiNAnalysis[[#This Row],[Preliminary PiN]]</f>
        <v/>
      </c>
      <c r="BL32" s="315"/>
      <c r="BM32" s="256">
        <f>IFERROR(IF(tblPiNAnalysis[[#This Row],[Severity]]=3,tblPiNAnalysis[[#This Row],[Final PiN]]*Thresholds!$D$35,tblPiNAnalysis[[#This Row],[Final PiN]]*Thresholds!$D$36),)</f>
        <v>0</v>
      </c>
      <c r="BN32" s="256">
        <f>IFERROR(IF(tblPiNAnalysis[[#This Row],[Severity]]&gt;3,tblPiNAnalysis[[#This Row],[Final PiN]]*Thresholds!$D$36,),)</f>
        <v>0</v>
      </c>
    </row>
    <row r="33" spans="1:66" ht="24.95" customHeight="1">
      <c r="A33" s="30" t="s">
        <v>166</v>
      </c>
      <c r="B33" s="39" t="s">
        <v>146</v>
      </c>
      <c r="C33" s="213" t="s">
        <v>147</v>
      </c>
      <c r="D33" s="340" t="s">
        <v>167</v>
      </c>
      <c r="E33" s="103" t="s">
        <v>166</v>
      </c>
      <c r="F33" s="98"/>
      <c r="G33" s="33"/>
      <c r="H33" s="33"/>
      <c r="I33" s="95">
        <v>197872</v>
      </c>
      <c r="J33" s="95" t="s">
        <v>192</v>
      </c>
      <c r="K33" s="319">
        <v>39574.400000000001</v>
      </c>
      <c r="L33" s="303">
        <v>7812</v>
      </c>
      <c r="M33" s="32">
        <v>17112</v>
      </c>
      <c r="N33" s="32">
        <v>24515</v>
      </c>
      <c r="O33" s="32">
        <v>131128.77897894711</v>
      </c>
      <c r="P33" s="32">
        <v>128075</v>
      </c>
      <c r="Q33" s="304">
        <v>37270</v>
      </c>
      <c r="R33" s="303">
        <v>81317</v>
      </c>
      <c r="S33" s="32">
        <v>31440</v>
      </c>
      <c r="T33" s="32">
        <v>64924</v>
      </c>
      <c r="U33" s="32">
        <v>128075</v>
      </c>
      <c r="V33" s="303">
        <v>15720</v>
      </c>
      <c r="W33" s="305">
        <f>IFERROR(IF(tblPiNAnalysis[[#This Row],[CCCM]]="", "", MROUND(tblPiNAnalysis[[#This Row],[CCCM]]/tblPiNAnalysis[[#This Row],[Population]], 0.05)), "")</f>
        <v>0.2</v>
      </c>
      <c r="X33" s="306">
        <f>IFERROR(IF(tblPiNAnalysis[[#This Row],[Education]]="", "", MROUND(tblPiNAnalysis[[#This Row],[Education]]/tblPiNAnalysis[[#This Row],[Population]], 0.05)), "")</f>
        <v>0.05</v>
      </c>
      <c r="Y33" s="306">
        <f>IFERROR(IF(tblPiNAnalysis[[#This Row],[Nutrition]]="", "", MROUND(tblPiNAnalysis[[#This Row],[Nutrition]]/tblPiNAnalysis[[#This Row],[Population]], 0.05)), "")</f>
        <v>0.1</v>
      </c>
      <c r="Z33" s="306">
        <f>IFERROR(IF(tblPiNAnalysis[[#This Row],[Food Security]]="", "", MROUND(tblPiNAnalysis[[#This Row],[Food Security]]/tblPiNAnalysis[[#This Row],[Population]], 0.05)), "")</f>
        <v>0.1</v>
      </c>
      <c r="AA33" s="306">
        <f>IFERROR(IF(tblPiNAnalysis[[#This Row],[Health]]="", "", MROUND(tblPiNAnalysis[[#This Row],[Health]]/tblPiNAnalysis[[#This Row],[Population]], 0.05)), "")</f>
        <v>0.65</v>
      </c>
      <c r="AB33" s="307">
        <f>IFERROR(IF(tblPiNAnalysis[[#This Row],[Overarching Protection]]="", "", MROUND(tblPiNAnalysis[[#This Row],[Overarching Protection]]/tblPiNAnalysis[[#This Row],[Population]], 0.05)), "")</f>
        <v>0.65</v>
      </c>
      <c r="AC33" s="307">
        <f>IFERROR(IF(tblPiNAnalysis[[#This Row],[Shelter]]="", "", MROUND(tblPiNAnalysis[[#This Row],[Shelter]]/tblPiNAnalysis[[#This Row],[Population]], 0.05)), "")</f>
        <v>0.2</v>
      </c>
      <c r="AD33" s="308">
        <f>IFERROR(IF(tblPiNAnalysis[[#This Row],[WASH]]="", "", MROUND(tblPiNAnalysis[[#This Row],[WASH]]/tblPiNAnalysis[[#This Row],[Population]], 0.05)), "")</f>
        <v>0.4</v>
      </c>
      <c r="AE33" s="306">
        <f>IFERROR(MROUND(tblPiNAnalysis[[#This Row],[CP]]/tblPiNAnalysis[[#This Row],[Population]], 0.05), "")</f>
        <v>0.15000000000000002</v>
      </c>
      <c r="AF33" s="306">
        <f>IFERROR(MROUND(tblPiNAnalysis[[#This Row],[GBV]]/tblPiNAnalysis[[#This Row],[Population]], 0.05), "")</f>
        <v>0.35000000000000003</v>
      </c>
      <c r="AG33" s="306">
        <f>IFERROR(MROUND(tblPiNAnalysis[[#This Row],[GP]]/tblPiNAnalysis[[#This Row],[Population]], 0.05), "")</f>
        <v>0.65</v>
      </c>
      <c r="AH33" s="306">
        <f>IFERROR(MROUND(tblPiNAnalysis[[#This Row],[HLP]]/tblPiNAnalysis[[#This Row],[Population]], 0.05), "")</f>
        <v>0.1</v>
      </c>
      <c r="AI33" s="309">
        <f>IFERROR(LARGE(tblPiNAnalysis[[#This Row],[CCCM]:[WASH]], 1), "")</f>
        <v>131128.77897894711</v>
      </c>
      <c r="AJ33" s="310" t="str" cm="1">
        <f t="array" ref="AJ33">IF(tblPiNAnalysis[[#This Row],[Highest PiN]]="", "", _xlfn.TEXTJOIN(CHAR(10), TRUE, IF(tblPiNAnalysis[[#This Row],[Highest PiN]]=tblPiNAnalysis[[#This Row],[CCCM]:[WASH]], tblPiNAnalysis[[#Headers],[CCCM]:[WASH]], "")))</f>
        <v>Health</v>
      </c>
      <c r="AK33" s="311">
        <f>IF(tblPiNAnalysis[[#This Row],[Highest PiN]]="", "", tblPiNAnalysis[[#This Row],[Highest PiN]]/tblPiNAnalysis[[#This Row],[Population]])</f>
        <v>0.66269496936881978</v>
      </c>
      <c r="AL33" s="312" t="str">
        <f>IF(SUM(tblPiNAnalysis[[#This Row],[CCCM]:[WASH]])=0, "",IF(COUNTIF(tblPiNAnalysis[[#This Row],[CCCM]:[WASH]],"=0")+COUNTIF(tblPiNAnalysis[[#This Row],[CCCM]:[WASH]],"")&gt;=zero_pin_thresh, "Flagged", ""))</f>
        <v/>
      </c>
      <c r="AM33" s="313" t="str">
        <f>IFERROR(IF(tblPiNAnalysis[[#This Row],[Highest PiN]]="", "", IF(tblPiNAnalysis[[#This Row],[Highest sector(s'') PiN %]]&gt;=flag_pin_perc, "Flagged", "")), "")</f>
        <v/>
      </c>
      <c r="AN33" s="314" t="str" cm="1">
        <f t="array" ref="AN33">IF(tblPiNAnalysis[[#This Row],[Highest PiN]]=0, "",  IF(OR(COUNTIF(tblPiNAnalysis[[#This Row],[Highest sector(s)]],tblSubSectorPopulation[Sector])), "Flagged", ""))</f>
        <v/>
      </c>
      <c r="AO33" s="46" cm="1">
        <f t="array" ref="AO3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128075</v>
      </c>
      <c r="AP33" s="315" t="str" cm="1">
        <f t="array" ref="AP33">IF(tblPiNAnalysis[[#This Row],[2nd Highest PiN]]="", "", _xlfn.TEXTJOIN(CHAR(10), TRUE, IF(tblPiNAnalysis[[#This Row],[2nd Highest PiN]]=tblPiNAnalysis[[#This Row],[CCCM]:[WASH]], tblPiNAnalysis[[#Headers],[CCCM]:[WASH]], "")))</f>
        <v>Overarching Protection</v>
      </c>
      <c r="AQ33" s="35">
        <f>IFERROR(tblPiNAnalysis[[#This Row],[2nd Highest PiN]]/tblPiNAnalysis[[#This Row],[Population]], "")</f>
        <v>0.64726186625697424</v>
      </c>
      <c r="AR33" s="46">
        <f>IFERROR(tblPiNAnalysis[[#This Row],[Highest PiN]]-tblPiNAnalysis[[#This Row],[2nd Highest PiN]], "")</f>
        <v>3053.7789789471135</v>
      </c>
      <c r="AS33" s="38">
        <f>IFERROR(((tblPiNAnalysis[[#This Row],[Highest PiN]]-tblPiNAnalysis[[#This Row],[2nd Highest PiN]])/tblPiNAnalysis[[#This Row],[2nd Highest PiN]]),"")</f>
        <v>2.3843677368316326E-2</v>
      </c>
      <c r="AT33" s="38" t="str" cm="1">
        <f t="array" ref="AT3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3" s="316" cm="1">
        <f t="array" ref="AU3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81317</v>
      </c>
      <c r="AV33" s="186" t="str" cm="1">
        <f t="array" ref="AV33">IF(tblPiNAnalysis[[#This Row],[3rd Highest PiN]]="", "", _xlfn.TEXTJOIN(CHAR(10), TRUE, IF(tblPiNAnalysis[[#This Row],[3rd Highest PiN]]=tblPiNAnalysis[[#This Row],[CCCM]:[WASH]], tblPiNAnalysis[[#Headers],[CCCM]:[WASH]], "")))</f>
        <v>WASH</v>
      </c>
      <c r="AW33" s="186">
        <f>IFERROR(tblPiNAnalysis[[#This Row],[3rd Highest PiN]]/tblPiNAnalysis[[#This Row],[Population]], "")</f>
        <v>0.41095758874423871</v>
      </c>
      <c r="AX33" s="45">
        <f>IFERROR(tblPiNAnalysis[[#This Row],[Highest PiN]]-tblPiNAnalysis[[#This Row],[3rd Highest PiN]],"")</f>
        <v>49811.778978947114</v>
      </c>
      <c r="AY33" s="38">
        <f>IFERROR(tblPiNAnalysis[[#This Row],[Difference of PiN between Highest and 3rd Highest]]/tblPiNAnalysis[[#This Row],[3rd Highest PiN]], "")</f>
        <v>0.61256292016364489</v>
      </c>
      <c r="AZ33" s="314" t="str" cm="1">
        <f t="array" ref="AZ3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3" s="288" cm="1">
        <f t="array" ref="BA33">IFERROR(IF(tblPiNAnalysis[[#This Row],[ID]]="", "", INDEX(tblPiNHistorical[[CCCM]:[WASH]], MATCH(tblPiNAnalysis[[#This Row],[ID]],tblPiNHistorical[ID], 0),MATCH(_xlfn._xlws.FILTER(tblPiNAnalysis[[#Headers],[CCCM]:[WASH]], tblPiNAnalysis[[#This Row],[Highest PiN]]=tblPiNAnalysis[[#This Row],[CCCM]:[WASH]]), tblPiNHistorical[[#Headers],[CCCM]:[WASH]], 0))), "")</f>
        <v>0.4</v>
      </c>
      <c r="BB33" s="317" t="str" cm="1">
        <f t="array" ref="BB3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3" s="265" cm="1">
        <f t="array" ref="BC33">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33" s="318" t="str" cm="1">
        <f t="array" ref="BD3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3" s="356">
        <f>INDEX(tblSeverityAnalysis[Final Severity], MATCH(tblPiNAnalysis[[#This Row],[ID]],tblSeverityAnalysis[ID], 0))</f>
        <v>3</v>
      </c>
      <c r="BF33" s="59">
        <f>IF(tblPiNAnalysis[[#This Row],[Severity]]&gt;2,tblPiNAnalysis[[#This Row],[Highest PiN]],)</f>
        <v>131128.77897894711</v>
      </c>
      <c r="BG33" s="187"/>
      <c r="BH33" s="188"/>
      <c r="BI33" s="189">
        <f>COUNTIFS(tblPiNAnalysis[[#This Row],[Number of missing / zero PiNs greater than threshold - Data quality]:[Manual Flag]],"Flagged")</f>
        <v>1</v>
      </c>
      <c r="BJ33" s="94" t="str">
        <f>IF(tblPiNAnalysis[[#This Row],['# Flags]]&gt;0, "Flagged", "")</f>
        <v>Flagged</v>
      </c>
      <c r="BK33" s="310">
        <f>tblPiNAnalysis[[#This Row],[Preliminary PiN]]</f>
        <v>131128.77897894711</v>
      </c>
      <c r="BL33" s="315"/>
      <c r="BM33" s="256">
        <f>IFERROR(IF(tblPiNAnalysis[[#This Row],[Severity]]=3,tblPiNAnalysis[[#This Row],[Final PiN]]*Thresholds!$D$35,tblPiNAnalysis[[#This Row],[Final PiN]]*Thresholds!$D$36),)</f>
        <v>65564.389489473557</v>
      </c>
      <c r="BN33" s="256">
        <f>IFERROR(IF(tblPiNAnalysis[[#This Row],[Severity]]&gt;3,tblPiNAnalysis[[#This Row],[Final PiN]]*Thresholds!$D$36,),)</f>
        <v>0</v>
      </c>
    </row>
    <row r="34" spans="1:66" ht="24.95" customHeight="1">
      <c r="A34" s="30" t="s">
        <v>168</v>
      </c>
      <c r="B34" s="39" t="s">
        <v>146</v>
      </c>
      <c r="C34" s="213" t="s">
        <v>147</v>
      </c>
      <c r="D34" s="340" t="s">
        <v>169</v>
      </c>
      <c r="E34" s="103" t="s">
        <v>168</v>
      </c>
      <c r="F34" s="98"/>
      <c r="G34" s="33"/>
      <c r="H34" s="33"/>
      <c r="I34" s="95"/>
      <c r="J34" s="95" t="s">
        <v>192</v>
      </c>
      <c r="K34" s="319"/>
      <c r="L34" s="303"/>
      <c r="M34" s="32"/>
      <c r="N34" s="32"/>
      <c r="O34" s="32"/>
      <c r="P34" s="32"/>
      <c r="Q34" s="304"/>
      <c r="R34" s="303"/>
      <c r="S34" s="32"/>
      <c r="T34" s="32"/>
      <c r="U34" s="32"/>
      <c r="V34" s="303"/>
      <c r="W34" s="305" t="str">
        <f>IFERROR(IF(tblPiNAnalysis[[#This Row],[CCCM]]="", "", MROUND(tblPiNAnalysis[[#This Row],[CCCM]]/tblPiNAnalysis[[#This Row],[Population]], 0.05)), "")</f>
        <v/>
      </c>
      <c r="X34" s="306" t="str">
        <f>IFERROR(IF(tblPiNAnalysis[[#This Row],[Education]]="", "", MROUND(tblPiNAnalysis[[#This Row],[Education]]/tblPiNAnalysis[[#This Row],[Population]], 0.05)), "")</f>
        <v/>
      </c>
      <c r="Y34" s="306" t="str">
        <f>IFERROR(IF(tblPiNAnalysis[[#This Row],[Nutrition]]="", "", MROUND(tblPiNAnalysis[[#This Row],[Nutrition]]/tblPiNAnalysis[[#This Row],[Population]], 0.05)), "")</f>
        <v/>
      </c>
      <c r="Z34" s="306" t="str">
        <f>IFERROR(IF(tblPiNAnalysis[[#This Row],[Food Security]]="", "", MROUND(tblPiNAnalysis[[#This Row],[Food Security]]/tblPiNAnalysis[[#This Row],[Population]], 0.05)), "")</f>
        <v/>
      </c>
      <c r="AA34" s="306" t="str">
        <f>IFERROR(IF(tblPiNAnalysis[[#This Row],[Health]]="", "", MROUND(tblPiNAnalysis[[#This Row],[Health]]/tblPiNAnalysis[[#This Row],[Population]], 0.05)), "")</f>
        <v/>
      </c>
      <c r="AB34" s="307" t="str">
        <f>IFERROR(IF(tblPiNAnalysis[[#This Row],[Overarching Protection]]="", "", MROUND(tblPiNAnalysis[[#This Row],[Overarching Protection]]/tblPiNAnalysis[[#This Row],[Population]], 0.05)), "")</f>
        <v/>
      </c>
      <c r="AC34" s="307" t="str">
        <f>IFERROR(IF(tblPiNAnalysis[[#This Row],[Shelter]]="", "", MROUND(tblPiNAnalysis[[#This Row],[Shelter]]/tblPiNAnalysis[[#This Row],[Population]], 0.05)), "")</f>
        <v/>
      </c>
      <c r="AD34" s="308" t="str">
        <f>IFERROR(IF(tblPiNAnalysis[[#This Row],[WASH]]="", "", MROUND(tblPiNAnalysis[[#This Row],[WASH]]/tblPiNAnalysis[[#This Row],[Population]], 0.05)), "")</f>
        <v/>
      </c>
      <c r="AE34" s="306" t="str">
        <f>IFERROR(MROUND(tblPiNAnalysis[[#This Row],[CP]]/tblPiNAnalysis[[#This Row],[Population]], 0.05), "")</f>
        <v/>
      </c>
      <c r="AF34" s="306" t="str">
        <f>IFERROR(MROUND(tblPiNAnalysis[[#This Row],[GBV]]/tblPiNAnalysis[[#This Row],[Population]], 0.05), "")</f>
        <v/>
      </c>
      <c r="AG34" s="306" t="str">
        <f>IFERROR(MROUND(tblPiNAnalysis[[#This Row],[GP]]/tblPiNAnalysis[[#This Row],[Population]], 0.05), "")</f>
        <v/>
      </c>
      <c r="AH34" s="306" t="str">
        <f>IFERROR(MROUND(tblPiNAnalysis[[#This Row],[HLP]]/tblPiNAnalysis[[#This Row],[Population]], 0.05), "")</f>
        <v/>
      </c>
      <c r="AI34" s="309" t="str">
        <f>IFERROR(LARGE(tblPiNAnalysis[[#This Row],[CCCM]:[WASH]], 1), "")</f>
        <v/>
      </c>
      <c r="AJ34" s="310" t="str" cm="1">
        <f t="array" ref="AJ34">IF(tblPiNAnalysis[[#This Row],[Highest PiN]]="", "", _xlfn.TEXTJOIN(CHAR(10), TRUE, IF(tblPiNAnalysis[[#This Row],[Highest PiN]]=tblPiNAnalysis[[#This Row],[CCCM]:[WASH]], tblPiNAnalysis[[#Headers],[CCCM]:[WASH]], "")))</f>
        <v/>
      </c>
      <c r="AK34" s="311" t="str">
        <f>IF(tblPiNAnalysis[[#This Row],[Highest PiN]]="", "", tblPiNAnalysis[[#This Row],[Highest PiN]]/tblPiNAnalysis[[#This Row],[Population]])</f>
        <v/>
      </c>
      <c r="AL34" s="312" t="str">
        <f>IF(SUM(tblPiNAnalysis[[#This Row],[CCCM]:[WASH]])=0, "",IF(COUNTIF(tblPiNAnalysis[[#This Row],[CCCM]:[WASH]],"=0")+COUNTIF(tblPiNAnalysis[[#This Row],[CCCM]:[WASH]],"")&gt;=zero_pin_thresh, "Flagged", ""))</f>
        <v/>
      </c>
      <c r="AM34" s="313" t="str">
        <f>IFERROR(IF(tblPiNAnalysis[[#This Row],[Highest PiN]]="", "", IF(tblPiNAnalysis[[#This Row],[Highest sector(s'') PiN %]]&gt;=flag_pin_perc, "Flagged", "")), "")</f>
        <v/>
      </c>
      <c r="AN34" s="314" t="str" cm="1">
        <f t="array" ref="AN34">IF(tblPiNAnalysis[[#This Row],[Highest PiN]]=0, "",  IF(OR(COUNTIF(tblPiNAnalysis[[#This Row],[Highest sector(s)]],tblSubSectorPopulation[Sector])), "Flagged", ""))</f>
        <v/>
      </c>
      <c r="AO34" s="46" t="str" cm="1">
        <f t="array" ref="AO3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34" s="315" t="str" cm="1">
        <f t="array" ref="AP34">IF(tblPiNAnalysis[[#This Row],[2nd Highest PiN]]="", "", _xlfn.TEXTJOIN(CHAR(10), TRUE, IF(tblPiNAnalysis[[#This Row],[2nd Highest PiN]]=tblPiNAnalysis[[#This Row],[CCCM]:[WASH]], tblPiNAnalysis[[#Headers],[CCCM]:[WASH]], "")))</f>
        <v/>
      </c>
      <c r="AQ34" s="35" t="str">
        <f>IFERROR(tblPiNAnalysis[[#This Row],[2nd Highest PiN]]/tblPiNAnalysis[[#This Row],[Population]], "")</f>
        <v/>
      </c>
      <c r="AR34" s="46" t="str">
        <f>IFERROR(tblPiNAnalysis[[#This Row],[Highest PiN]]-tblPiNAnalysis[[#This Row],[2nd Highest PiN]], "")</f>
        <v/>
      </c>
      <c r="AS34" s="38" t="str">
        <f>IFERROR(((tblPiNAnalysis[[#This Row],[Highest PiN]]-tblPiNAnalysis[[#This Row],[2nd Highest PiN]])/tblPiNAnalysis[[#This Row],[2nd Highest PiN]]),"")</f>
        <v/>
      </c>
      <c r="AT34" s="38" t="str" cm="1">
        <f t="array" ref="AT3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4" s="316" t="str" cm="1">
        <f t="array" ref="AU3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34" s="186" t="str" cm="1">
        <f t="array" ref="AV34">IF(tblPiNAnalysis[[#This Row],[3rd Highest PiN]]="", "", _xlfn.TEXTJOIN(CHAR(10), TRUE, IF(tblPiNAnalysis[[#This Row],[3rd Highest PiN]]=tblPiNAnalysis[[#This Row],[CCCM]:[WASH]], tblPiNAnalysis[[#Headers],[CCCM]:[WASH]], "")))</f>
        <v/>
      </c>
      <c r="AW34" s="186" t="str">
        <f>IFERROR(tblPiNAnalysis[[#This Row],[3rd Highest PiN]]/tblPiNAnalysis[[#This Row],[Population]], "")</f>
        <v/>
      </c>
      <c r="AX34" s="45" t="str">
        <f>IFERROR(tblPiNAnalysis[[#This Row],[Highest PiN]]-tblPiNAnalysis[[#This Row],[3rd Highest PiN]],"")</f>
        <v/>
      </c>
      <c r="AY34" s="38" t="str">
        <f>IFERROR(tblPiNAnalysis[[#This Row],[Difference of PiN between Highest and 3rd Highest]]/tblPiNAnalysis[[#This Row],[3rd Highest PiN]], "")</f>
        <v/>
      </c>
      <c r="AZ34" s="314" t="str" cm="1">
        <f t="array" ref="AZ3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4" s="288" t="e" cm="1" vm="2">
        <f t="array" aca="1" ref="BA34"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34" s="317" t="str" cm="1">
        <f t="array" ref="BB3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4" s="265" t="e" cm="1" vm="2">
        <f t="array" aca="1" ref="BC34"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34" s="318" t="str" cm="1">
        <f t="array" ref="BD3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4" s="356">
        <f>INDEX(tblSeverityAnalysis[Final Severity], MATCH(tblPiNAnalysis[[#This Row],[ID]],tblSeverityAnalysis[ID], 0))</f>
        <v>3</v>
      </c>
      <c r="BF34" s="59" t="str">
        <f>IF(tblPiNAnalysis[[#This Row],[Severity]]&gt;2,tblPiNAnalysis[[#This Row],[Highest PiN]],)</f>
        <v/>
      </c>
      <c r="BG34" s="187"/>
      <c r="BH34" s="188"/>
      <c r="BI34" s="189">
        <f ca="1">COUNTIFS(tblPiNAnalysis[[#This Row],[Number of missing / zero PiNs greater than threshold - Data quality]:[Manual Flag]],"Flagged")</f>
        <v>0</v>
      </c>
      <c r="BJ34" s="94" t="str">
        <f ca="1">IF(tblPiNAnalysis[[#This Row],['# Flags]]&gt;0, "Flagged", "")</f>
        <v/>
      </c>
      <c r="BK34" s="310" t="str">
        <f>tblPiNAnalysis[[#This Row],[Preliminary PiN]]</f>
        <v/>
      </c>
      <c r="BL34" s="315"/>
      <c r="BM34" s="256">
        <f>IFERROR(IF(tblPiNAnalysis[[#This Row],[Severity]]=3,tblPiNAnalysis[[#This Row],[Final PiN]]*Thresholds!$D$35,tblPiNAnalysis[[#This Row],[Final PiN]]*Thresholds!$D$36),)</f>
        <v>0</v>
      </c>
      <c r="BN34" s="256">
        <f>IFERROR(IF(tblPiNAnalysis[[#This Row],[Severity]]&gt;3,tblPiNAnalysis[[#This Row],[Final PiN]]*Thresholds!$D$36,),)</f>
        <v>0</v>
      </c>
    </row>
    <row r="35" spans="1:66" ht="24.95" customHeight="1">
      <c r="A35" s="30" t="s">
        <v>170</v>
      </c>
      <c r="B35" s="39" t="s">
        <v>146</v>
      </c>
      <c r="C35" s="213" t="s">
        <v>147</v>
      </c>
      <c r="D35" s="340" t="s">
        <v>171</v>
      </c>
      <c r="E35" s="103" t="s">
        <v>170</v>
      </c>
      <c r="F35" s="98"/>
      <c r="G35" s="33"/>
      <c r="H35" s="33"/>
      <c r="I35" s="95">
        <v>58674</v>
      </c>
      <c r="J35" s="95" t="s">
        <v>192</v>
      </c>
      <c r="K35" s="319">
        <v>11734.800000000001</v>
      </c>
      <c r="L35" s="303">
        <v>10352</v>
      </c>
      <c r="M35" s="32">
        <v>5709</v>
      </c>
      <c r="N35" s="32">
        <v>17065</v>
      </c>
      <c r="O35" s="32">
        <v>333.67144363794284</v>
      </c>
      <c r="P35" s="32">
        <v>9372</v>
      </c>
      <c r="Q35" s="304">
        <v>16417</v>
      </c>
      <c r="R35" s="303">
        <v>43169</v>
      </c>
      <c r="S35" s="32">
        <v>9372</v>
      </c>
      <c r="T35" s="32">
        <v>5529</v>
      </c>
      <c r="U35" s="32">
        <v>1216</v>
      </c>
      <c r="V35" s="303">
        <v>9372</v>
      </c>
      <c r="W35" s="305">
        <f>IFERROR(IF(tblPiNAnalysis[[#This Row],[CCCM]]="", "", MROUND(tblPiNAnalysis[[#This Row],[CCCM]]/tblPiNAnalysis[[#This Row],[Population]], 0.05)), "")</f>
        <v>0.2</v>
      </c>
      <c r="X35" s="306">
        <f>IFERROR(IF(tblPiNAnalysis[[#This Row],[Education]]="", "", MROUND(tblPiNAnalysis[[#This Row],[Education]]/tblPiNAnalysis[[#This Row],[Population]], 0.05)), "")</f>
        <v>0.2</v>
      </c>
      <c r="Y35" s="306">
        <f>IFERROR(IF(tblPiNAnalysis[[#This Row],[Nutrition]]="", "", MROUND(tblPiNAnalysis[[#This Row],[Nutrition]]/tblPiNAnalysis[[#This Row],[Population]], 0.05)), "")</f>
        <v>0.1</v>
      </c>
      <c r="Z35" s="306">
        <f>IFERROR(IF(tblPiNAnalysis[[#This Row],[Food Security]]="", "", MROUND(tblPiNAnalysis[[#This Row],[Food Security]]/tblPiNAnalysis[[#This Row],[Population]], 0.05)), "")</f>
        <v>0.30000000000000004</v>
      </c>
      <c r="AA35" s="306">
        <f>IFERROR(IF(tblPiNAnalysis[[#This Row],[Health]]="", "", MROUND(tblPiNAnalysis[[#This Row],[Health]]/tblPiNAnalysis[[#This Row],[Population]], 0.05)), "")</f>
        <v>0</v>
      </c>
      <c r="AB35" s="307">
        <f>IFERROR(IF(tblPiNAnalysis[[#This Row],[Overarching Protection]]="", "", MROUND(tblPiNAnalysis[[#This Row],[Overarching Protection]]/tblPiNAnalysis[[#This Row],[Population]], 0.05)), "")</f>
        <v>0.15000000000000002</v>
      </c>
      <c r="AC35" s="307">
        <f>IFERROR(IF(tblPiNAnalysis[[#This Row],[Shelter]]="", "", MROUND(tblPiNAnalysis[[#This Row],[Shelter]]/tblPiNAnalysis[[#This Row],[Population]], 0.05)), "")</f>
        <v>0.30000000000000004</v>
      </c>
      <c r="AD35" s="308">
        <f>IFERROR(IF(tblPiNAnalysis[[#This Row],[WASH]]="", "", MROUND(tblPiNAnalysis[[#This Row],[WASH]]/tblPiNAnalysis[[#This Row],[Population]], 0.05)), "")</f>
        <v>0.75</v>
      </c>
      <c r="AE35" s="306">
        <f>IFERROR(MROUND(tblPiNAnalysis[[#This Row],[CP]]/tblPiNAnalysis[[#This Row],[Population]], 0.05), "")</f>
        <v>0.15000000000000002</v>
      </c>
      <c r="AF35" s="306">
        <f>IFERROR(MROUND(tblPiNAnalysis[[#This Row],[GBV]]/tblPiNAnalysis[[#This Row],[Population]], 0.05), "")</f>
        <v>0.1</v>
      </c>
      <c r="AG35" s="306">
        <f>IFERROR(MROUND(tblPiNAnalysis[[#This Row],[GP]]/tblPiNAnalysis[[#This Row],[Population]], 0.05), "")</f>
        <v>0</v>
      </c>
      <c r="AH35" s="306">
        <f>IFERROR(MROUND(tblPiNAnalysis[[#This Row],[HLP]]/tblPiNAnalysis[[#This Row],[Population]], 0.05), "")</f>
        <v>0.15000000000000002</v>
      </c>
      <c r="AI35" s="309">
        <f>IFERROR(LARGE(tblPiNAnalysis[[#This Row],[CCCM]:[WASH]], 1), "")</f>
        <v>43169</v>
      </c>
      <c r="AJ35" s="310" t="str" cm="1">
        <f t="array" ref="AJ35">IF(tblPiNAnalysis[[#This Row],[Highest PiN]]="", "", _xlfn.TEXTJOIN(CHAR(10), TRUE, IF(tblPiNAnalysis[[#This Row],[Highest PiN]]=tblPiNAnalysis[[#This Row],[CCCM]:[WASH]], tblPiNAnalysis[[#Headers],[CCCM]:[WASH]], "")))</f>
        <v>WASH</v>
      </c>
      <c r="AK35" s="311">
        <f>IF(tblPiNAnalysis[[#This Row],[Highest PiN]]="", "", tblPiNAnalysis[[#This Row],[Highest PiN]]/tblPiNAnalysis[[#This Row],[Population]])</f>
        <v>0.7357432593653066</v>
      </c>
      <c r="AL35" s="312" t="str">
        <f>IF(SUM(tblPiNAnalysis[[#This Row],[CCCM]:[WASH]])=0, "",IF(COUNTIF(tblPiNAnalysis[[#This Row],[CCCM]:[WASH]],"=0")+COUNTIF(tblPiNAnalysis[[#This Row],[CCCM]:[WASH]],"")&gt;=zero_pin_thresh, "Flagged", ""))</f>
        <v/>
      </c>
      <c r="AM35" s="313" t="str">
        <f>IFERROR(IF(tblPiNAnalysis[[#This Row],[Highest PiN]]="", "", IF(tblPiNAnalysis[[#This Row],[Highest sector(s'') PiN %]]&gt;=flag_pin_perc, "Flagged", "")), "")</f>
        <v/>
      </c>
      <c r="AN35" s="314" t="str" cm="1">
        <f t="array" ref="AN35">IF(tblPiNAnalysis[[#This Row],[Highest PiN]]=0, "",  IF(OR(COUNTIF(tblPiNAnalysis[[#This Row],[Highest sector(s)]],tblSubSectorPopulation[Sector])), "Flagged", ""))</f>
        <v/>
      </c>
      <c r="AO35" s="46" cm="1">
        <f t="array" ref="AO3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17065</v>
      </c>
      <c r="AP35" s="315" t="str" cm="1">
        <f t="array" ref="AP35">IF(tblPiNAnalysis[[#This Row],[2nd Highest PiN]]="", "", _xlfn.TEXTJOIN(CHAR(10), TRUE, IF(tblPiNAnalysis[[#This Row],[2nd Highest PiN]]=tblPiNAnalysis[[#This Row],[CCCM]:[WASH]], tblPiNAnalysis[[#Headers],[CCCM]:[WASH]], "")))</f>
        <v>Food Security</v>
      </c>
      <c r="AQ35" s="35">
        <f>IFERROR(tblPiNAnalysis[[#This Row],[2nd Highest PiN]]/tblPiNAnalysis[[#This Row],[Population]], "")</f>
        <v>0.29084432627739715</v>
      </c>
      <c r="AR35" s="46">
        <f>IFERROR(tblPiNAnalysis[[#This Row],[Highest PiN]]-tblPiNAnalysis[[#This Row],[2nd Highest PiN]], "")</f>
        <v>26104</v>
      </c>
      <c r="AS35" s="38">
        <f>IFERROR(((tblPiNAnalysis[[#This Row],[Highest PiN]]-tblPiNAnalysis[[#This Row],[2nd Highest PiN]])/tblPiNAnalysis[[#This Row],[2nd Highest PiN]]),"")</f>
        <v>1.5296806328743042</v>
      </c>
      <c r="AT35" s="38" t="str" cm="1">
        <f t="array" ref="AT3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5" s="316" cm="1">
        <f t="array" ref="AU3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16417</v>
      </c>
      <c r="AV35" s="186" t="str" cm="1">
        <f t="array" ref="AV35">IF(tblPiNAnalysis[[#This Row],[3rd Highest PiN]]="", "", _xlfn.TEXTJOIN(CHAR(10), TRUE, IF(tblPiNAnalysis[[#This Row],[3rd Highest PiN]]=tblPiNAnalysis[[#This Row],[CCCM]:[WASH]], tblPiNAnalysis[[#Headers],[CCCM]:[WASH]], "")))</f>
        <v>Shelter</v>
      </c>
      <c r="AW35" s="186">
        <f>IFERROR(tblPiNAnalysis[[#This Row],[3rd Highest PiN]]/tblPiNAnalysis[[#This Row],[Population]], "")</f>
        <v>0.27980025224119714</v>
      </c>
      <c r="AX35" s="45">
        <f>IFERROR(tblPiNAnalysis[[#This Row],[Highest PiN]]-tblPiNAnalysis[[#This Row],[3rd Highest PiN]],"")</f>
        <v>26752</v>
      </c>
      <c r="AY35" s="38">
        <f>IFERROR(tblPiNAnalysis[[#This Row],[Difference of PiN between Highest and 3rd Highest]]/tblPiNAnalysis[[#This Row],[3rd Highest PiN]], "")</f>
        <v>1.629530364865688</v>
      </c>
      <c r="AZ35" s="314" t="str" cm="1">
        <f t="array" ref="AZ3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5" s="288" cm="1">
        <f t="array" ref="BA35">IFERROR(IF(tblPiNAnalysis[[#This Row],[ID]]="", "", INDEX(tblPiNHistorical[[CCCM]:[WASH]], MATCH(tblPiNAnalysis[[#This Row],[ID]],tblPiNHistorical[ID], 0),MATCH(_xlfn._xlws.FILTER(tblPiNAnalysis[[#Headers],[CCCM]:[WASH]], tblPiNAnalysis[[#This Row],[Highest PiN]]=tblPiNAnalysis[[#This Row],[CCCM]:[WASH]]), tblPiNHistorical[[#Headers],[CCCM]:[WASH]], 0))), "")</f>
        <v>-0.1</v>
      </c>
      <c r="BB35" s="317" t="str" cm="1">
        <f t="array" ref="BB3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5" s="265" cm="1">
        <f t="array" ref="BC35">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35" s="318" t="str" cm="1">
        <f t="array" ref="BD3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5" s="356">
        <f>INDEX(tblSeverityAnalysis[Final Severity], MATCH(tblPiNAnalysis[[#This Row],[ID]],tblSeverityAnalysis[ID], 0))</f>
        <v>4</v>
      </c>
      <c r="BF35" s="59">
        <f>IF(tblPiNAnalysis[[#This Row],[Severity]]&gt;2,tblPiNAnalysis[[#This Row],[Highest PiN]],)</f>
        <v>43169</v>
      </c>
      <c r="BG35" s="187"/>
      <c r="BH35" s="188"/>
      <c r="BI35" s="189">
        <f>COUNTIFS(tblPiNAnalysis[[#This Row],[Number of missing / zero PiNs greater than threshold - Data quality]:[Manual Flag]],"Flagged")</f>
        <v>2</v>
      </c>
      <c r="BJ35" s="94" t="str">
        <f>IF(tblPiNAnalysis[[#This Row],['# Flags]]&gt;0, "Flagged", "")</f>
        <v>Flagged</v>
      </c>
      <c r="BK35" s="310">
        <f>tblPiNAnalysis[[#This Row],[Preliminary PiN]]</f>
        <v>43169</v>
      </c>
      <c r="BL35" s="315"/>
      <c r="BM35" s="256">
        <f>IFERROR(IF(tblPiNAnalysis[[#This Row],[Severity]]=3,tblPiNAnalysis[[#This Row],[Final PiN]]*Thresholds!$D$35,tblPiNAnalysis[[#This Row],[Final PiN]]*Thresholds!$D$36),)</f>
        <v>43169</v>
      </c>
      <c r="BN35" s="256">
        <f>IFERROR(IF(tblPiNAnalysis[[#This Row],[Severity]]&gt;3,tblPiNAnalysis[[#This Row],[Final PiN]]*Thresholds!$D$36,),)</f>
        <v>43169</v>
      </c>
    </row>
    <row r="36" spans="1:66" ht="24.95" customHeight="1">
      <c r="A36" s="30" t="s">
        <v>172</v>
      </c>
      <c r="B36" s="39" t="s">
        <v>146</v>
      </c>
      <c r="C36" s="213" t="s">
        <v>147</v>
      </c>
      <c r="D36" s="340" t="s">
        <v>173</v>
      </c>
      <c r="E36" s="103" t="s">
        <v>172</v>
      </c>
      <c r="F36" s="98"/>
      <c r="G36" s="33"/>
      <c r="H36" s="33"/>
      <c r="I36" s="95">
        <v>39768</v>
      </c>
      <c r="J36" s="95" t="s">
        <v>192</v>
      </c>
      <c r="K36" s="319">
        <v>7953.6</v>
      </c>
      <c r="L36" s="303">
        <v>5802</v>
      </c>
      <c r="M36" s="32">
        <v>3596</v>
      </c>
      <c r="N36" s="32">
        <v>32015</v>
      </c>
      <c r="O36" s="32">
        <v>563.87741672672576</v>
      </c>
      <c r="P36" s="32">
        <v>23945</v>
      </c>
      <c r="Q36" s="304">
        <v>15683</v>
      </c>
      <c r="R36" s="303">
        <v>35147</v>
      </c>
      <c r="S36" s="32">
        <v>6342</v>
      </c>
      <c r="T36" s="32">
        <v>13097</v>
      </c>
      <c r="U36" s="32">
        <v>23945</v>
      </c>
      <c r="V36" s="303">
        <v>6342</v>
      </c>
      <c r="W36" s="305">
        <f>IFERROR(IF(tblPiNAnalysis[[#This Row],[CCCM]]="", "", MROUND(tblPiNAnalysis[[#This Row],[CCCM]]/tblPiNAnalysis[[#This Row],[Population]], 0.05)), "")</f>
        <v>0.2</v>
      </c>
      <c r="X36" s="306">
        <f>IFERROR(IF(tblPiNAnalysis[[#This Row],[Education]]="", "", MROUND(tblPiNAnalysis[[#This Row],[Education]]/tblPiNAnalysis[[#This Row],[Population]], 0.05)), "")</f>
        <v>0.15000000000000002</v>
      </c>
      <c r="Y36" s="306">
        <f>IFERROR(IF(tblPiNAnalysis[[#This Row],[Nutrition]]="", "", MROUND(tblPiNAnalysis[[#This Row],[Nutrition]]/tblPiNAnalysis[[#This Row],[Population]], 0.05)), "")</f>
        <v>0.1</v>
      </c>
      <c r="Z36" s="306">
        <f>IFERROR(IF(tblPiNAnalysis[[#This Row],[Food Security]]="", "", MROUND(tblPiNAnalysis[[#This Row],[Food Security]]/tblPiNAnalysis[[#This Row],[Population]], 0.05)), "")</f>
        <v>0.8</v>
      </c>
      <c r="AA36" s="306">
        <f>IFERROR(IF(tblPiNAnalysis[[#This Row],[Health]]="", "", MROUND(tblPiNAnalysis[[#This Row],[Health]]/tblPiNAnalysis[[#This Row],[Population]], 0.05)), "")</f>
        <v>0</v>
      </c>
      <c r="AB36" s="307">
        <f>IFERROR(IF(tblPiNAnalysis[[#This Row],[Overarching Protection]]="", "", MROUND(tblPiNAnalysis[[#This Row],[Overarching Protection]]/tblPiNAnalysis[[#This Row],[Population]], 0.05)), "")</f>
        <v>0.60000000000000009</v>
      </c>
      <c r="AC36" s="307">
        <f>IFERROR(IF(tblPiNAnalysis[[#This Row],[Shelter]]="", "", MROUND(tblPiNAnalysis[[#This Row],[Shelter]]/tblPiNAnalysis[[#This Row],[Population]], 0.05)), "")</f>
        <v>0.4</v>
      </c>
      <c r="AD36" s="308">
        <f>IFERROR(IF(tblPiNAnalysis[[#This Row],[WASH]]="", "", MROUND(tblPiNAnalysis[[#This Row],[WASH]]/tblPiNAnalysis[[#This Row],[Population]], 0.05)), "")</f>
        <v>0.9</v>
      </c>
      <c r="AE36" s="306">
        <f>IFERROR(MROUND(tblPiNAnalysis[[#This Row],[CP]]/tblPiNAnalysis[[#This Row],[Population]], 0.05), "")</f>
        <v>0.15000000000000002</v>
      </c>
      <c r="AF36" s="306">
        <f>IFERROR(MROUND(tblPiNAnalysis[[#This Row],[GBV]]/tblPiNAnalysis[[#This Row],[Population]], 0.05), "")</f>
        <v>0.35000000000000003</v>
      </c>
      <c r="AG36" s="306">
        <f>IFERROR(MROUND(tblPiNAnalysis[[#This Row],[GP]]/tblPiNAnalysis[[#This Row],[Population]], 0.05), "")</f>
        <v>0.60000000000000009</v>
      </c>
      <c r="AH36" s="306">
        <f>IFERROR(MROUND(tblPiNAnalysis[[#This Row],[HLP]]/tblPiNAnalysis[[#This Row],[Population]], 0.05), "")</f>
        <v>0.15000000000000002</v>
      </c>
      <c r="AI36" s="309">
        <f>IFERROR(LARGE(tblPiNAnalysis[[#This Row],[CCCM]:[WASH]], 1), "")</f>
        <v>35147</v>
      </c>
      <c r="AJ36" s="310" t="str" cm="1">
        <f t="array" ref="AJ36">IF(tblPiNAnalysis[[#This Row],[Highest PiN]]="", "", _xlfn.TEXTJOIN(CHAR(10), TRUE, IF(tblPiNAnalysis[[#This Row],[Highest PiN]]=tblPiNAnalysis[[#This Row],[CCCM]:[WASH]], tblPiNAnalysis[[#Headers],[CCCM]:[WASH]], "")))</f>
        <v>WASH</v>
      </c>
      <c r="AK36" s="311">
        <f>IF(tblPiNAnalysis[[#This Row],[Highest PiN]]="", "", tblPiNAnalysis[[#This Row],[Highest PiN]]/tblPiNAnalysis[[#This Row],[Population]])</f>
        <v>0.88380104606718968</v>
      </c>
      <c r="AL36" s="312" t="str">
        <f>IF(SUM(tblPiNAnalysis[[#This Row],[CCCM]:[WASH]])=0, "",IF(COUNTIF(tblPiNAnalysis[[#This Row],[CCCM]:[WASH]],"=0")+COUNTIF(tblPiNAnalysis[[#This Row],[CCCM]:[WASH]],"")&gt;=zero_pin_thresh, "Flagged", ""))</f>
        <v/>
      </c>
      <c r="AM36" s="313" t="str">
        <f>IFERROR(IF(tblPiNAnalysis[[#This Row],[Highest PiN]]="", "", IF(tblPiNAnalysis[[#This Row],[Highest sector(s'') PiN %]]&gt;=flag_pin_perc, "Flagged", "")), "")</f>
        <v/>
      </c>
      <c r="AN36" s="314" t="str" cm="1">
        <f t="array" ref="AN36">IF(tblPiNAnalysis[[#This Row],[Highest PiN]]=0, "",  IF(OR(COUNTIF(tblPiNAnalysis[[#This Row],[Highest sector(s)]],tblSubSectorPopulation[Sector])), "Flagged", ""))</f>
        <v/>
      </c>
      <c r="AO36" s="46" cm="1">
        <f t="array" ref="AO3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32015</v>
      </c>
      <c r="AP36" s="315" t="str" cm="1">
        <f t="array" ref="AP36">IF(tblPiNAnalysis[[#This Row],[2nd Highest PiN]]="", "", _xlfn.TEXTJOIN(CHAR(10), TRUE, IF(tblPiNAnalysis[[#This Row],[2nd Highest PiN]]=tblPiNAnalysis[[#This Row],[CCCM]:[WASH]], tblPiNAnalysis[[#Headers],[CCCM]:[WASH]], "")))</f>
        <v>Food Security</v>
      </c>
      <c r="AQ36" s="35">
        <f>IFERROR(tblPiNAnalysis[[#This Row],[2nd Highest PiN]]/tblPiNAnalysis[[#This Row],[Population]], "")</f>
        <v>0.80504425668879498</v>
      </c>
      <c r="AR36" s="46">
        <f>IFERROR(tblPiNAnalysis[[#This Row],[Highest PiN]]-tblPiNAnalysis[[#This Row],[2nd Highest PiN]], "")</f>
        <v>3132</v>
      </c>
      <c r="AS36" s="38">
        <f>IFERROR(((tblPiNAnalysis[[#This Row],[Highest PiN]]-tblPiNAnalysis[[#This Row],[2nd Highest PiN]])/tblPiNAnalysis[[#This Row],[2nd Highest PiN]]),"")</f>
        <v>9.7829142589411208E-2</v>
      </c>
      <c r="AT36" s="38" t="str" cm="1">
        <f t="array" ref="AT3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6" s="316" cm="1">
        <f t="array" ref="AU3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23945</v>
      </c>
      <c r="AV36" s="186" t="str" cm="1">
        <f t="array" ref="AV36">IF(tblPiNAnalysis[[#This Row],[3rd Highest PiN]]="", "", _xlfn.TEXTJOIN(CHAR(10), TRUE, IF(tblPiNAnalysis[[#This Row],[3rd Highest PiN]]=tblPiNAnalysis[[#This Row],[CCCM]:[WASH]], tblPiNAnalysis[[#Headers],[CCCM]:[WASH]], "")))</f>
        <v>Overarching Protection</v>
      </c>
      <c r="AW36" s="186">
        <f>IFERROR(tblPiNAnalysis[[#This Row],[3rd Highest PiN]]/tblPiNAnalysis[[#This Row],[Population]], "")</f>
        <v>0.60211728022530675</v>
      </c>
      <c r="AX36" s="45">
        <f>IFERROR(tblPiNAnalysis[[#This Row],[Highest PiN]]-tblPiNAnalysis[[#This Row],[3rd Highest PiN]],"")</f>
        <v>11202</v>
      </c>
      <c r="AY36" s="38">
        <f>IFERROR(tblPiNAnalysis[[#This Row],[Difference of PiN between Highest and 3rd Highest]]/tblPiNAnalysis[[#This Row],[3rd Highest PiN]], "")</f>
        <v>0.46782209229484234</v>
      </c>
      <c r="AZ36" s="314" t="str" cm="1">
        <f t="array" ref="AZ3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6" s="288" cm="1">
        <f t="array" ref="BA36">IFERROR(IF(tblPiNAnalysis[[#This Row],[ID]]="", "", INDEX(tblPiNHistorical[[CCCM]:[WASH]], MATCH(tblPiNAnalysis[[#This Row],[ID]],tblPiNHistorical[ID], 0),MATCH(_xlfn._xlws.FILTER(tblPiNAnalysis[[#Headers],[CCCM]:[WASH]], tblPiNAnalysis[[#This Row],[Highest PiN]]=tblPiNAnalysis[[#This Row],[CCCM]:[WASH]]), tblPiNHistorical[[#Headers],[CCCM]:[WASH]], 0))), "")</f>
        <v>0.5</v>
      </c>
      <c r="BB36" s="317" t="str" cm="1">
        <f t="array" ref="BB3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6" s="265" cm="1">
        <f t="array" ref="BC36">IFERROR(IF(tblPiNAnalysis[[#This Row],[ID]]="", "", INDEX(tblPiNHistorical[[CCCM]:[WASH]], MATCH(tblPiNAnalysis[[#This Row],[ID]],tblPiNHistorical[ID], 0),MATCH(_xlfn._xlws.FILTER(tblPiNAnalysis[[#Headers],[CCCM]:[WASH]], tblPiNAnalysis[[#This Row],[2nd Highest PiN]]=tblPiNAnalysis[[#This Row],[CCCM]:[WASH]]), tblPiNHistorical[[#Headers],[CCCM]:[WASH]], 0))), "")</f>
        <v>3</v>
      </c>
      <c r="BD36" s="318" t="str" cm="1">
        <f t="array" ref="BD3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36" s="356">
        <f>INDEX(tblSeverityAnalysis[Final Severity], MATCH(tblPiNAnalysis[[#This Row],[ID]],tblSeverityAnalysis[ID], 0))</f>
        <v>4</v>
      </c>
      <c r="BF36" s="59">
        <f>IF(tblPiNAnalysis[[#This Row],[Severity]]&gt;2,tblPiNAnalysis[[#This Row],[Highest PiN]],)</f>
        <v>35147</v>
      </c>
      <c r="BG36" s="187"/>
      <c r="BH36" s="188"/>
      <c r="BI36" s="189">
        <f>COUNTIFS(tblPiNAnalysis[[#This Row],[Number of missing / zero PiNs greater than threshold - Data quality]:[Manual Flag]],"Flagged")</f>
        <v>1</v>
      </c>
      <c r="BJ36" s="94" t="str">
        <f>IF(tblPiNAnalysis[[#This Row],['# Flags]]&gt;0, "Flagged", "")</f>
        <v>Flagged</v>
      </c>
      <c r="BK36" s="310">
        <f>tblPiNAnalysis[[#This Row],[Preliminary PiN]]</f>
        <v>35147</v>
      </c>
      <c r="BL36" s="315"/>
      <c r="BM36" s="256">
        <f>IFERROR(IF(tblPiNAnalysis[[#This Row],[Severity]]=3,tblPiNAnalysis[[#This Row],[Final PiN]]*Thresholds!$D$35,tblPiNAnalysis[[#This Row],[Final PiN]]*Thresholds!$D$36),)</f>
        <v>35147</v>
      </c>
      <c r="BN36" s="256">
        <f>IFERROR(IF(tblPiNAnalysis[[#This Row],[Severity]]&gt;3,tblPiNAnalysis[[#This Row],[Final PiN]]*Thresholds!$D$36,),)</f>
        <v>35147</v>
      </c>
    </row>
    <row r="37" spans="1:66" ht="24.95" customHeight="1">
      <c r="A37" s="30" t="s">
        <v>174</v>
      </c>
      <c r="B37" s="39" t="s">
        <v>146</v>
      </c>
      <c r="C37" s="213" t="s">
        <v>147</v>
      </c>
      <c r="D37" s="340" t="s">
        <v>175</v>
      </c>
      <c r="E37" s="103" t="s">
        <v>174</v>
      </c>
      <c r="F37" s="98"/>
      <c r="G37" s="33"/>
      <c r="H37" s="33"/>
      <c r="I37" s="95"/>
      <c r="J37" s="95" t="s">
        <v>192</v>
      </c>
      <c r="K37" s="319"/>
      <c r="L37" s="303"/>
      <c r="M37" s="32"/>
      <c r="N37" s="32"/>
      <c r="O37" s="32"/>
      <c r="P37" s="32"/>
      <c r="Q37" s="304"/>
      <c r="R37" s="303"/>
      <c r="S37" s="32"/>
      <c r="T37" s="32"/>
      <c r="U37" s="32"/>
      <c r="V37" s="303"/>
      <c r="W37" s="305" t="str">
        <f>IFERROR(IF(tblPiNAnalysis[[#This Row],[CCCM]]="", "", MROUND(tblPiNAnalysis[[#This Row],[CCCM]]/tblPiNAnalysis[[#This Row],[Population]], 0.05)), "")</f>
        <v/>
      </c>
      <c r="X37" s="306" t="str">
        <f>IFERROR(IF(tblPiNAnalysis[[#This Row],[Education]]="", "", MROUND(tblPiNAnalysis[[#This Row],[Education]]/tblPiNAnalysis[[#This Row],[Population]], 0.05)), "")</f>
        <v/>
      </c>
      <c r="Y37" s="306" t="str">
        <f>IFERROR(IF(tblPiNAnalysis[[#This Row],[Nutrition]]="", "", MROUND(tblPiNAnalysis[[#This Row],[Nutrition]]/tblPiNAnalysis[[#This Row],[Population]], 0.05)), "")</f>
        <v/>
      </c>
      <c r="Z37" s="306" t="str">
        <f>IFERROR(IF(tblPiNAnalysis[[#This Row],[Food Security]]="", "", MROUND(tblPiNAnalysis[[#This Row],[Food Security]]/tblPiNAnalysis[[#This Row],[Population]], 0.05)), "")</f>
        <v/>
      </c>
      <c r="AA37" s="306" t="str">
        <f>IFERROR(IF(tblPiNAnalysis[[#This Row],[Health]]="", "", MROUND(tblPiNAnalysis[[#This Row],[Health]]/tblPiNAnalysis[[#This Row],[Population]], 0.05)), "")</f>
        <v/>
      </c>
      <c r="AB37" s="307" t="str">
        <f>IFERROR(IF(tblPiNAnalysis[[#This Row],[Overarching Protection]]="", "", MROUND(tblPiNAnalysis[[#This Row],[Overarching Protection]]/tblPiNAnalysis[[#This Row],[Population]], 0.05)), "")</f>
        <v/>
      </c>
      <c r="AC37" s="307" t="str">
        <f>IFERROR(IF(tblPiNAnalysis[[#This Row],[Shelter]]="", "", MROUND(tblPiNAnalysis[[#This Row],[Shelter]]/tblPiNAnalysis[[#This Row],[Population]], 0.05)), "")</f>
        <v/>
      </c>
      <c r="AD37" s="308" t="str">
        <f>IFERROR(IF(tblPiNAnalysis[[#This Row],[WASH]]="", "", MROUND(tblPiNAnalysis[[#This Row],[WASH]]/tblPiNAnalysis[[#This Row],[Population]], 0.05)), "")</f>
        <v/>
      </c>
      <c r="AE37" s="306" t="str">
        <f>IFERROR(MROUND(tblPiNAnalysis[[#This Row],[CP]]/tblPiNAnalysis[[#This Row],[Population]], 0.05), "")</f>
        <v/>
      </c>
      <c r="AF37" s="306" t="str">
        <f>IFERROR(MROUND(tblPiNAnalysis[[#This Row],[GBV]]/tblPiNAnalysis[[#This Row],[Population]], 0.05), "")</f>
        <v/>
      </c>
      <c r="AG37" s="306" t="str">
        <f>IFERROR(MROUND(tblPiNAnalysis[[#This Row],[GP]]/tblPiNAnalysis[[#This Row],[Population]], 0.05), "")</f>
        <v/>
      </c>
      <c r="AH37" s="306" t="str">
        <f>IFERROR(MROUND(tblPiNAnalysis[[#This Row],[HLP]]/tblPiNAnalysis[[#This Row],[Population]], 0.05), "")</f>
        <v/>
      </c>
      <c r="AI37" s="309" t="str">
        <f>IFERROR(LARGE(tblPiNAnalysis[[#This Row],[CCCM]:[WASH]], 1), "")</f>
        <v/>
      </c>
      <c r="AJ37" s="310" t="str" cm="1">
        <f t="array" ref="AJ37">IF(tblPiNAnalysis[[#This Row],[Highest PiN]]="", "", _xlfn.TEXTJOIN(CHAR(10), TRUE, IF(tblPiNAnalysis[[#This Row],[Highest PiN]]=tblPiNAnalysis[[#This Row],[CCCM]:[WASH]], tblPiNAnalysis[[#Headers],[CCCM]:[WASH]], "")))</f>
        <v/>
      </c>
      <c r="AK37" s="311" t="str">
        <f>IF(tblPiNAnalysis[[#This Row],[Highest PiN]]="", "", tblPiNAnalysis[[#This Row],[Highest PiN]]/tblPiNAnalysis[[#This Row],[Population]])</f>
        <v/>
      </c>
      <c r="AL37" s="312" t="str">
        <f>IF(SUM(tblPiNAnalysis[[#This Row],[CCCM]:[WASH]])=0, "",IF(COUNTIF(tblPiNAnalysis[[#This Row],[CCCM]:[WASH]],"=0")+COUNTIF(tblPiNAnalysis[[#This Row],[CCCM]:[WASH]],"")&gt;=zero_pin_thresh, "Flagged", ""))</f>
        <v/>
      </c>
      <c r="AM37" s="313" t="str">
        <f>IFERROR(IF(tblPiNAnalysis[[#This Row],[Highest PiN]]="", "", IF(tblPiNAnalysis[[#This Row],[Highest sector(s'') PiN %]]&gt;=flag_pin_perc, "Flagged", "")), "")</f>
        <v/>
      </c>
      <c r="AN37" s="314" t="str" cm="1">
        <f t="array" ref="AN37">IF(tblPiNAnalysis[[#This Row],[Highest PiN]]=0, "",  IF(OR(COUNTIF(tblPiNAnalysis[[#This Row],[Highest sector(s)]],tblSubSectorPopulation[Sector])), "Flagged", ""))</f>
        <v/>
      </c>
      <c r="AO37" s="46" t="str" cm="1">
        <f t="array" ref="AO3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
      </c>
      <c r="AP37" s="315" t="str" cm="1">
        <f t="array" ref="AP37">IF(tblPiNAnalysis[[#This Row],[2nd Highest PiN]]="", "", _xlfn.TEXTJOIN(CHAR(10), TRUE, IF(tblPiNAnalysis[[#This Row],[2nd Highest PiN]]=tblPiNAnalysis[[#This Row],[CCCM]:[WASH]], tblPiNAnalysis[[#Headers],[CCCM]:[WASH]], "")))</f>
        <v/>
      </c>
      <c r="AQ37" s="35" t="str">
        <f>IFERROR(tblPiNAnalysis[[#This Row],[2nd Highest PiN]]/tblPiNAnalysis[[#This Row],[Population]], "")</f>
        <v/>
      </c>
      <c r="AR37" s="46" t="str">
        <f>IFERROR(tblPiNAnalysis[[#This Row],[Highest PiN]]-tblPiNAnalysis[[#This Row],[2nd Highest PiN]], "")</f>
        <v/>
      </c>
      <c r="AS37" s="38" t="str">
        <f>IFERROR(((tblPiNAnalysis[[#This Row],[Highest PiN]]-tblPiNAnalysis[[#This Row],[2nd Highest PiN]])/tblPiNAnalysis[[#This Row],[2nd Highest PiN]]),"")</f>
        <v/>
      </c>
      <c r="AT37" s="38" t="str" cm="1">
        <f t="array" ref="AT3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7" s="316" t="str" cm="1">
        <f t="array" ref="AU3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
      </c>
      <c r="AV37" s="186" t="str" cm="1">
        <f t="array" ref="AV37">IF(tblPiNAnalysis[[#This Row],[3rd Highest PiN]]="", "", _xlfn.TEXTJOIN(CHAR(10), TRUE, IF(tblPiNAnalysis[[#This Row],[3rd Highest PiN]]=tblPiNAnalysis[[#This Row],[CCCM]:[WASH]], tblPiNAnalysis[[#Headers],[CCCM]:[WASH]], "")))</f>
        <v/>
      </c>
      <c r="AW37" s="186" t="str">
        <f>IFERROR(tblPiNAnalysis[[#This Row],[3rd Highest PiN]]/tblPiNAnalysis[[#This Row],[Population]], "")</f>
        <v/>
      </c>
      <c r="AX37" s="45" t="str">
        <f>IFERROR(tblPiNAnalysis[[#This Row],[Highest PiN]]-tblPiNAnalysis[[#This Row],[3rd Highest PiN]],"")</f>
        <v/>
      </c>
      <c r="AY37" s="38" t="str">
        <f>IFERROR(tblPiNAnalysis[[#This Row],[Difference of PiN between Highest and 3rd Highest]]/tblPiNAnalysis[[#This Row],[3rd Highest PiN]], "")</f>
        <v/>
      </c>
      <c r="AZ37" s="314" t="str" cm="1">
        <f t="array" ref="AZ3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7" s="288" t="e" cm="1" vm="2">
        <f t="array" aca="1" ref="BA37"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37" s="317" t="str" cm="1">
        <f t="array" ref="BB3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7" s="265" t="e" cm="1" vm="2">
        <f t="array" aca="1" ref="BC37"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37" s="318" t="str" cm="1">
        <f t="array" ref="BD3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7" s="356">
        <f>INDEX(tblSeverityAnalysis[Final Severity], MATCH(tblPiNAnalysis[[#This Row],[ID]],tblSeverityAnalysis[ID], 0))</f>
        <v>3</v>
      </c>
      <c r="BF37" s="59" t="str">
        <f>IF(tblPiNAnalysis[[#This Row],[Severity]]&gt;2,tblPiNAnalysis[[#This Row],[Highest PiN]],)</f>
        <v/>
      </c>
      <c r="BG37" s="187"/>
      <c r="BH37" s="188"/>
      <c r="BI37" s="189">
        <f ca="1">COUNTIFS(tblPiNAnalysis[[#This Row],[Number of missing / zero PiNs greater than threshold - Data quality]:[Manual Flag]],"Flagged")</f>
        <v>0</v>
      </c>
      <c r="BJ37" s="94" t="str">
        <f ca="1">IF(tblPiNAnalysis[[#This Row],['# Flags]]&gt;0, "Flagged", "")</f>
        <v/>
      </c>
      <c r="BK37" s="310" t="str">
        <f>tblPiNAnalysis[[#This Row],[Preliminary PiN]]</f>
        <v/>
      </c>
      <c r="BL37" s="315"/>
      <c r="BM37" s="256">
        <f>IFERROR(IF(tblPiNAnalysis[[#This Row],[Severity]]=3,tblPiNAnalysis[[#This Row],[Final PiN]]*Thresholds!$D$35,tblPiNAnalysis[[#This Row],[Final PiN]]*Thresholds!$D$36),)</f>
        <v>0</v>
      </c>
      <c r="BN37" s="256">
        <f>IFERROR(IF(tblPiNAnalysis[[#This Row],[Severity]]&gt;3,tblPiNAnalysis[[#This Row],[Final PiN]]*Thresholds!$D$36,),)</f>
        <v>0</v>
      </c>
    </row>
    <row r="38" spans="1:66" ht="24.95" customHeight="1">
      <c r="A38" s="30" t="s">
        <v>176</v>
      </c>
      <c r="B38" s="39" t="s">
        <v>146</v>
      </c>
      <c r="C38" s="213" t="s">
        <v>147</v>
      </c>
      <c r="D38" s="340" t="s">
        <v>177</v>
      </c>
      <c r="E38" s="103" t="s">
        <v>176</v>
      </c>
      <c r="F38" s="98"/>
      <c r="G38" s="33"/>
      <c r="H38" s="33"/>
      <c r="I38" s="95">
        <v>11633</v>
      </c>
      <c r="J38" s="95" t="s">
        <v>192</v>
      </c>
      <c r="K38" s="319">
        <v>0</v>
      </c>
      <c r="L38" s="303">
        <v>1948</v>
      </c>
      <c r="M38" s="32">
        <v>1099</v>
      </c>
      <c r="N38" s="32">
        <v>11633</v>
      </c>
      <c r="O38" s="32">
        <v>3897.8744686577693</v>
      </c>
      <c r="P38" s="32">
        <v>1860</v>
      </c>
      <c r="Q38" s="304">
        <v>3704</v>
      </c>
      <c r="R38" s="303">
        <v>11216</v>
      </c>
      <c r="S38" s="32">
        <v>1860</v>
      </c>
      <c r="T38" s="32">
        <v>1097</v>
      </c>
      <c r="U38" s="32">
        <v>887</v>
      </c>
      <c r="V38" s="303">
        <v>1860</v>
      </c>
      <c r="W38" s="305">
        <f>IFERROR(IF(tblPiNAnalysis[[#This Row],[CCCM]]="", "", MROUND(tblPiNAnalysis[[#This Row],[CCCM]]/tblPiNAnalysis[[#This Row],[Population]], 0.05)), "")</f>
        <v>0</v>
      </c>
      <c r="X38" s="306">
        <f>IFERROR(IF(tblPiNAnalysis[[#This Row],[Education]]="", "", MROUND(tblPiNAnalysis[[#This Row],[Education]]/tblPiNAnalysis[[#This Row],[Population]], 0.05)), "")</f>
        <v>0.15000000000000002</v>
      </c>
      <c r="Y38" s="306">
        <f>IFERROR(IF(tblPiNAnalysis[[#This Row],[Nutrition]]="", "", MROUND(tblPiNAnalysis[[#This Row],[Nutrition]]/tblPiNAnalysis[[#This Row],[Population]], 0.05)), "")</f>
        <v>0.1</v>
      </c>
      <c r="Z38" s="306">
        <f>IFERROR(IF(tblPiNAnalysis[[#This Row],[Food Security]]="", "", MROUND(tblPiNAnalysis[[#This Row],[Food Security]]/tblPiNAnalysis[[#This Row],[Population]], 0.05)), "")</f>
        <v>1</v>
      </c>
      <c r="AA38" s="306">
        <f>IFERROR(IF(tblPiNAnalysis[[#This Row],[Health]]="", "", MROUND(tblPiNAnalysis[[#This Row],[Health]]/tblPiNAnalysis[[#This Row],[Population]], 0.05)), "")</f>
        <v>0.35000000000000003</v>
      </c>
      <c r="AB38" s="307">
        <f>IFERROR(IF(tblPiNAnalysis[[#This Row],[Overarching Protection]]="", "", MROUND(tblPiNAnalysis[[#This Row],[Overarching Protection]]/tblPiNAnalysis[[#This Row],[Population]], 0.05)), "")</f>
        <v>0.15000000000000002</v>
      </c>
      <c r="AC38" s="307">
        <f>IFERROR(IF(tblPiNAnalysis[[#This Row],[Shelter]]="", "", MROUND(tblPiNAnalysis[[#This Row],[Shelter]]/tblPiNAnalysis[[#This Row],[Population]], 0.05)), "")</f>
        <v>0.30000000000000004</v>
      </c>
      <c r="AD38" s="308">
        <f>IFERROR(IF(tblPiNAnalysis[[#This Row],[WASH]]="", "", MROUND(tblPiNAnalysis[[#This Row],[WASH]]/tblPiNAnalysis[[#This Row],[Population]], 0.05)), "")</f>
        <v>0.95000000000000007</v>
      </c>
      <c r="AE38" s="306">
        <f>IFERROR(MROUND(tblPiNAnalysis[[#This Row],[CP]]/tblPiNAnalysis[[#This Row],[Population]], 0.05), "")</f>
        <v>0.15000000000000002</v>
      </c>
      <c r="AF38" s="306">
        <f>IFERROR(MROUND(tblPiNAnalysis[[#This Row],[GBV]]/tblPiNAnalysis[[#This Row],[Population]], 0.05), "")</f>
        <v>0.1</v>
      </c>
      <c r="AG38" s="306">
        <f>IFERROR(MROUND(tblPiNAnalysis[[#This Row],[GP]]/tblPiNAnalysis[[#This Row],[Population]], 0.05), "")</f>
        <v>0.1</v>
      </c>
      <c r="AH38" s="306">
        <f>IFERROR(MROUND(tblPiNAnalysis[[#This Row],[HLP]]/tblPiNAnalysis[[#This Row],[Population]], 0.05), "")</f>
        <v>0.15000000000000002</v>
      </c>
      <c r="AI38" s="309">
        <f>IFERROR(LARGE(tblPiNAnalysis[[#This Row],[CCCM]:[WASH]], 1), "")</f>
        <v>11633</v>
      </c>
      <c r="AJ38" s="310" t="str" cm="1">
        <f t="array" ref="AJ38">IF(tblPiNAnalysis[[#This Row],[Highest PiN]]="", "", _xlfn.TEXTJOIN(CHAR(10), TRUE, IF(tblPiNAnalysis[[#This Row],[Highest PiN]]=tblPiNAnalysis[[#This Row],[CCCM]:[WASH]], tblPiNAnalysis[[#Headers],[CCCM]:[WASH]], "")))</f>
        <v>Food Security</v>
      </c>
      <c r="AK38" s="311">
        <f>IF(tblPiNAnalysis[[#This Row],[Highest PiN]]="", "", tblPiNAnalysis[[#This Row],[Highest PiN]]/tblPiNAnalysis[[#This Row],[Population]])</f>
        <v>1</v>
      </c>
      <c r="AL38" s="312" t="str">
        <f>IF(SUM(tblPiNAnalysis[[#This Row],[CCCM]:[WASH]])=0, "",IF(COUNTIF(tblPiNAnalysis[[#This Row],[CCCM]:[WASH]],"=0")+COUNTIF(tblPiNAnalysis[[#This Row],[CCCM]:[WASH]],"")&gt;=zero_pin_thresh, "Flagged", ""))</f>
        <v/>
      </c>
      <c r="AM38" s="313" t="str">
        <f>IFERROR(IF(tblPiNAnalysis[[#This Row],[Highest PiN]]="", "", IF(tblPiNAnalysis[[#This Row],[Highest sector(s'') PiN %]]&gt;=flag_pin_perc, "Flagged", "")), "")</f>
        <v>Flagged</v>
      </c>
      <c r="AN38" s="314" t="str" cm="1">
        <f t="array" ref="AN38">IF(tblPiNAnalysis[[#This Row],[Highest PiN]]=0, "",  IF(OR(COUNTIF(tblPiNAnalysis[[#This Row],[Highest sector(s)]],tblSubSectorPopulation[Sector])), "Flagged", ""))</f>
        <v/>
      </c>
      <c r="AO38" s="46" cm="1">
        <f t="array" ref="AO3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11216</v>
      </c>
      <c r="AP38" s="315" t="str" cm="1">
        <f t="array" ref="AP38">IF(tblPiNAnalysis[[#This Row],[2nd Highest PiN]]="", "", _xlfn.TEXTJOIN(CHAR(10), TRUE, IF(tblPiNAnalysis[[#This Row],[2nd Highest PiN]]=tblPiNAnalysis[[#This Row],[CCCM]:[WASH]], tblPiNAnalysis[[#Headers],[CCCM]:[WASH]], "")))</f>
        <v>WASH</v>
      </c>
      <c r="AQ38" s="35">
        <f>IFERROR(tblPiNAnalysis[[#This Row],[2nd Highest PiN]]/tblPiNAnalysis[[#This Row],[Population]], "")</f>
        <v>0.96415370067910255</v>
      </c>
      <c r="AR38" s="46">
        <f>IFERROR(tblPiNAnalysis[[#This Row],[Highest PiN]]-tblPiNAnalysis[[#This Row],[2nd Highest PiN]], "")</f>
        <v>417</v>
      </c>
      <c r="AS38" s="38">
        <f>IFERROR(((tblPiNAnalysis[[#This Row],[Highest PiN]]-tblPiNAnalysis[[#This Row],[2nd Highest PiN]])/tblPiNAnalysis[[#This Row],[2nd Highest PiN]]),"")</f>
        <v>3.7179029957203992E-2</v>
      </c>
      <c r="AT38" s="38" t="str" cm="1">
        <f t="array" ref="AT3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8" s="316" cm="1">
        <f t="array" ref="AU3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3897.8744686577693</v>
      </c>
      <c r="AV38" s="186" t="str" cm="1">
        <f t="array" ref="AV38">IF(tblPiNAnalysis[[#This Row],[3rd Highest PiN]]="", "", _xlfn.TEXTJOIN(CHAR(10), TRUE, IF(tblPiNAnalysis[[#This Row],[3rd Highest PiN]]=tblPiNAnalysis[[#This Row],[CCCM]:[WASH]], tblPiNAnalysis[[#Headers],[CCCM]:[WASH]], "")))</f>
        <v>Health</v>
      </c>
      <c r="AW38" s="186">
        <f>IFERROR(tblPiNAnalysis[[#This Row],[3rd Highest PiN]]/tblPiNAnalysis[[#This Row],[Population]], "")</f>
        <v>0.33507044345033693</v>
      </c>
      <c r="AX38" s="45">
        <f>IFERROR(tblPiNAnalysis[[#This Row],[Highest PiN]]-tblPiNAnalysis[[#This Row],[3rd Highest PiN]],"")</f>
        <v>7735.1255313422307</v>
      </c>
      <c r="AY38" s="38">
        <f>IFERROR(tblPiNAnalysis[[#This Row],[Difference of PiN between Highest and 3rd Highest]]/tblPiNAnalysis[[#This Row],[3rd Highest PiN]], "")</f>
        <v>1.9844470604528772</v>
      </c>
      <c r="AZ38" s="314" t="str" cm="1">
        <f t="array" ref="AZ3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8" s="288" cm="1">
        <f t="array" ref="BA38">IFERROR(IF(tblPiNAnalysis[[#This Row],[ID]]="", "", INDEX(tblPiNHistorical[[CCCM]:[WASH]], MATCH(tblPiNAnalysis[[#This Row],[ID]],tblPiNHistorical[ID], 0),MATCH(_xlfn._xlws.FILTER(tblPiNAnalysis[[#Headers],[CCCM]:[WASH]], tblPiNAnalysis[[#This Row],[Highest PiN]]=tblPiNAnalysis[[#This Row],[CCCM]:[WASH]]), tblPiNHistorical[[#Headers],[CCCM]:[WASH]], 0))), "")</f>
        <v>0.3</v>
      </c>
      <c r="BB38" s="317" t="str" cm="1">
        <f t="array" ref="BB3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8" s="265" cm="1">
        <f t="array" ref="BC38">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38" s="318" t="str" cm="1">
        <f t="array" ref="BD3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8" s="356">
        <f>INDEX(tblSeverityAnalysis[Final Severity], MATCH(tblPiNAnalysis[[#This Row],[ID]],tblSeverityAnalysis[ID], 0))</f>
        <v>4</v>
      </c>
      <c r="BF38" s="59">
        <f>IF(tblPiNAnalysis[[#This Row],[Severity]]&gt;2,tblPiNAnalysis[[#This Row],[Highest PiN]],)</f>
        <v>11633</v>
      </c>
      <c r="BG38" s="187"/>
      <c r="BH38" s="188"/>
      <c r="BI38" s="189">
        <f>COUNTIFS(tblPiNAnalysis[[#This Row],[Number of missing / zero PiNs greater than threshold - Data quality]:[Manual Flag]],"Flagged")</f>
        <v>2</v>
      </c>
      <c r="BJ38" s="94" t="str">
        <f>IF(tblPiNAnalysis[[#This Row],['# Flags]]&gt;0, "Flagged", "")</f>
        <v>Flagged</v>
      </c>
      <c r="BK38" s="310">
        <f>tblPiNAnalysis[[#This Row],[Preliminary PiN]]</f>
        <v>11633</v>
      </c>
      <c r="BL38" s="315"/>
      <c r="BM38" s="256">
        <f>IFERROR(IF(tblPiNAnalysis[[#This Row],[Severity]]=3,tblPiNAnalysis[[#This Row],[Final PiN]]*Thresholds!$D$35,tblPiNAnalysis[[#This Row],[Final PiN]]*Thresholds!$D$36),)</f>
        <v>11633</v>
      </c>
      <c r="BN38" s="256">
        <f>IFERROR(IF(tblPiNAnalysis[[#This Row],[Severity]]&gt;3,tblPiNAnalysis[[#This Row],[Final PiN]]*Thresholds!$D$36,),)</f>
        <v>11633</v>
      </c>
    </row>
    <row r="39" spans="1:66" ht="24.95" customHeight="1">
      <c r="A39" s="30" t="s">
        <v>178</v>
      </c>
      <c r="B39" s="39" t="s">
        <v>146</v>
      </c>
      <c r="C39" s="213" t="s">
        <v>147</v>
      </c>
      <c r="D39" s="340" t="s">
        <v>179</v>
      </c>
      <c r="E39" s="103" t="s">
        <v>178</v>
      </c>
      <c r="F39" s="98"/>
      <c r="G39" s="33"/>
      <c r="H39" s="33"/>
      <c r="I39" s="95">
        <v>121669</v>
      </c>
      <c r="J39" s="95" t="s">
        <v>192</v>
      </c>
      <c r="K39" s="319">
        <v>0</v>
      </c>
      <c r="L39" s="303">
        <v>11526</v>
      </c>
      <c r="M39" s="32">
        <v>17592</v>
      </c>
      <c r="N39" s="32">
        <v>12675</v>
      </c>
      <c r="O39" s="32">
        <v>6381.1423492797003</v>
      </c>
      <c r="P39" s="32">
        <v>19334</v>
      </c>
      <c r="Q39" s="304">
        <v>28389</v>
      </c>
      <c r="R39" s="303">
        <v>52047</v>
      </c>
      <c r="S39" s="32">
        <v>19334</v>
      </c>
      <c r="T39" s="32">
        <v>11407</v>
      </c>
      <c r="U39" s="32">
        <v>18926</v>
      </c>
      <c r="V39" s="303">
        <v>19334</v>
      </c>
      <c r="W39" s="305">
        <f>IFERROR(IF(tblPiNAnalysis[[#This Row],[CCCM]]="", "", MROUND(tblPiNAnalysis[[#This Row],[CCCM]]/tblPiNAnalysis[[#This Row],[Population]], 0.05)), "")</f>
        <v>0</v>
      </c>
      <c r="X39" s="306">
        <f>IFERROR(IF(tblPiNAnalysis[[#This Row],[Education]]="", "", MROUND(tblPiNAnalysis[[#This Row],[Education]]/tblPiNAnalysis[[#This Row],[Population]], 0.05)), "")</f>
        <v>0.1</v>
      </c>
      <c r="Y39" s="306">
        <f>IFERROR(IF(tblPiNAnalysis[[#This Row],[Nutrition]]="", "", MROUND(tblPiNAnalysis[[#This Row],[Nutrition]]/tblPiNAnalysis[[#This Row],[Population]], 0.05)), "")</f>
        <v>0.15000000000000002</v>
      </c>
      <c r="Z39" s="306">
        <f>IFERROR(IF(tblPiNAnalysis[[#This Row],[Food Security]]="", "", MROUND(tblPiNAnalysis[[#This Row],[Food Security]]/tblPiNAnalysis[[#This Row],[Population]], 0.05)), "")</f>
        <v>0.1</v>
      </c>
      <c r="AA39" s="306">
        <f>IFERROR(IF(tblPiNAnalysis[[#This Row],[Health]]="", "", MROUND(tblPiNAnalysis[[#This Row],[Health]]/tblPiNAnalysis[[#This Row],[Population]], 0.05)), "")</f>
        <v>0.05</v>
      </c>
      <c r="AB39" s="307">
        <f>IFERROR(IF(tblPiNAnalysis[[#This Row],[Overarching Protection]]="", "", MROUND(tblPiNAnalysis[[#This Row],[Overarching Protection]]/tblPiNAnalysis[[#This Row],[Population]], 0.05)), "")</f>
        <v>0.15000000000000002</v>
      </c>
      <c r="AC39" s="307">
        <f>IFERROR(IF(tblPiNAnalysis[[#This Row],[Shelter]]="", "", MROUND(tblPiNAnalysis[[#This Row],[Shelter]]/tblPiNAnalysis[[#This Row],[Population]], 0.05)), "")</f>
        <v>0.25</v>
      </c>
      <c r="AD39" s="308">
        <f>IFERROR(IF(tblPiNAnalysis[[#This Row],[WASH]]="", "", MROUND(tblPiNAnalysis[[#This Row],[WASH]]/tblPiNAnalysis[[#This Row],[Population]], 0.05)), "")</f>
        <v>0.45</v>
      </c>
      <c r="AE39" s="306">
        <f>IFERROR(MROUND(tblPiNAnalysis[[#This Row],[CP]]/tblPiNAnalysis[[#This Row],[Population]], 0.05), "")</f>
        <v>0.15000000000000002</v>
      </c>
      <c r="AF39" s="306">
        <f>IFERROR(MROUND(tblPiNAnalysis[[#This Row],[GBV]]/tblPiNAnalysis[[#This Row],[Population]], 0.05), "")</f>
        <v>0.1</v>
      </c>
      <c r="AG39" s="306">
        <f>IFERROR(MROUND(tblPiNAnalysis[[#This Row],[GP]]/tblPiNAnalysis[[#This Row],[Population]], 0.05), "")</f>
        <v>0.15000000000000002</v>
      </c>
      <c r="AH39" s="306">
        <f>IFERROR(MROUND(tblPiNAnalysis[[#This Row],[HLP]]/tblPiNAnalysis[[#This Row],[Population]], 0.05), "")</f>
        <v>0.15000000000000002</v>
      </c>
      <c r="AI39" s="309">
        <f>IFERROR(LARGE(tblPiNAnalysis[[#This Row],[CCCM]:[WASH]], 1), "")</f>
        <v>52047</v>
      </c>
      <c r="AJ39" s="310" t="str" cm="1">
        <f t="array" ref="AJ39">IF(tblPiNAnalysis[[#This Row],[Highest PiN]]="", "", _xlfn.TEXTJOIN(CHAR(10), TRUE, IF(tblPiNAnalysis[[#This Row],[Highest PiN]]=tblPiNAnalysis[[#This Row],[CCCM]:[WASH]], tblPiNAnalysis[[#Headers],[CCCM]:[WASH]], "")))</f>
        <v>WASH</v>
      </c>
      <c r="AK39" s="311">
        <f>IF(tblPiNAnalysis[[#This Row],[Highest PiN]]="", "", tblPiNAnalysis[[#This Row],[Highest PiN]]/tblPiNAnalysis[[#This Row],[Population]])</f>
        <v>0.4277753577328654</v>
      </c>
      <c r="AL39" s="312" t="str">
        <f>IF(SUM(tblPiNAnalysis[[#This Row],[CCCM]:[WASH]])=0, "",IF(COUNTIF(tblPiNAnalysis[[#This Row],[CCCM]:[WASH]],"=0")+COUNTIF(tblPiNAnalysis[[#This Row],[CCCM]:[WASH]],"")&gt;=zero_pin_thresh, "Flagged", ""))</f>
        <v/>
      </c>
      <c r="AM39" s="313" t="str">
        <f>IFERROR(IF(tblPiNAnalysis[[#This Row],[Highest PiN]]="", "", IF(tblPiNAnalysis[[#This Row],[Highest sector(s'') PiN %]]&gt;=flag_pin_perc, "Flagged", "")), "")</f>
        <v/>
      </c>
      <c r="AN39" s="314" t="str" cm="1">
        <f t="array" ref="AN39">IF(tblPiNAnalysis[[#This Row],[Highest PiN]]=0, "",  IF(OR(COUNTIF(tblPiNAnalysis[[#This Row],[Highest sector(s)]],tblSubSectorPopulation[Sector])), "Flagged", ""))</f>
        <v/>
      </c>
      <c r="AO39" s="46" cm="1">
        <f t="array" ref="AO3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28389</v>
      </c>
      <c r="AP39" s="315" t="str" cm="1">
        <f t="array" ref="AP39">IF(tblPiNAnalysis[[#This Row],[2nd Highest PiN]]="", "", _xlfn.TEXTJOIN(CHAR(10), TRUE, IF(tblPiNAnalysis[[#This Row],[2nd Highest PiN]]=tblPiNAnalysis[[#This Row],[CCCM]:[WASH]], tblPiNAnalysis[[#Headers],[CCCM]:[WASH]], "")))</f>
        <v>Shelter</v>
      </c>
      <c r="AQ39" s="35">
        <f>IFERROR(tblPiNAnalysis[[#This Row],[2nd Highest PiN]]/tblPiNAnalysis[[#This Row],[Population]], "")</f>
        <v>0.2333297717578019</v>
      </c>
      <c r="AR39" s="46">
        <f>IFERROR(tblPiNAnalysis[[#This Row],[Highest PiN]]-tblPiNAnalysis[[#This Row],[2nd Highest PiN]], "")</f>
        <v>23658</v>
      </c>
      <c r="AS39" s="38">
        <f>IFERROR(((tblPiNAnalysis[[#This Row],[Highest PiN]]-tblPiNAnalysis[[#This Row],[2nd Highest PiN]])/tblPiNAnalysis[[#This Row],[2nd Highest PiN]]),"")</f>
        <v>0.83335094578886193</v>
      </c>
      <c r="AT39" s="38" t="str" cm="1">
        <f t="array" ref="AT3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9" s="316" cm="1">
        <f t="array" ref="AU3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19334</v>
      </c>
      <c r="AV39" s="186" t="str" cm="1">
        <f t="array" ref="AV39">IF(tblPiNAnalysis[[#This Row],[3rd Highest PiN]]="", "", _xlfn.TEXTJOIN(CHAR(10), TRUE, IF(tblPiNAnalysis[[#This Row],[3rd Highest PiN]]=tblPiNAnalysis[[#This Row],[CCCM]:[WASH]], tblPiNAnalysis[[#Headers],[CCCM]:[WASH]], "")))</f>
        <v>Overarching Protection</v>
      </c>
      <c r="AW39" s="186">
        <f>IFERROR(tblPiNAnalysis[[#This Row],[3rd Highest PiN]]/tblPiNAnalysis[[#This Row],[Population]], "")</f>
        <v>0.15890654151838185</v>
      </c>
      <c r="AX39" s="45">
        <f>IFERROR(tblPiNAnalysis[[#This Row],[Highest PiN]]-tblPiNAnalysis[[#This Row],[3rd Highest PiN]],"")</f>
        <v>32713</v>
      </c>
      <c r="AY39" s="38">
        <f>IFERROR(tblPiNAnalysis[[#This Row],[Difference of PiN between Highest and 3rd Highest]]/tblPiNAnalysis[[#This Row],[3rd Highest PiN]], "")</f>
        <v>1.6919933795386366</v>
      </c>
      <c r="AZ39" s="314" t="str" cm="1">
        <f t="array" ref="AZ3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9" s="288" t="str" cm="1">
        <f t="array" ref="BA39">IFERROR(IF(tblPiNAnalysis[[#This Row],[ID]]="", "", INDEX(tblPiNHistorical[[CCCM]:[WASH]], MATCH(tblPiNAnalysis[[#This Row],[ID]],tblPiNHistorical[ID], 0),MATCH(_xlfn._xlws.FILTER(tblPiNAnalysis[[#Headers],[CCCM]:[WASH]], tblPiNAnalysis[[#This Row],[Highest PiN]]=tblPiNAnalysis[[#This Row],[CCCM]:[WASH]]), tblPiNHistorical[[#Headers],[CCCM]:[WASH]], 0))), "")</f>
        <v/>
      </c>
      <c r="BB39" s="317" t="str" cm="1">
        <f t="array" ref="BB3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9" s="265" t="str" cm="1">
        <f t="array" ref="BC39">IFERROR(IF(tblPiNAnalysis[[#This Row],[ID]]="", "", INDEX(tblPiNHistorical[[CCCM]:[WASH]], MATCH(tblPiNAnalysis[[#This Row],[ID]],tblPiNHistorical[ID], 0),MATCH(_xlfn._xlws.FILTER(tblPiNAnalysis[[#Headers],[CCCM]:[WASH]], tblPiNAnalysis[[#This Row],[2nd Highest PiN]]=tblPiNAnalysis[[#This Row],[CCCM]:[WASH]]), tblPiNHistorical[[#Headers],[CCCM]:[WASH]], 0))), "")</f>
        <v/>
      </c>
      <c r="BD39" s="318" t="str" cm="1">
        <f t="array" ref="BD3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9" s="356">
        <f>INDEX(tblSeverityAnalysis[Final Severity], MATCH(tblPiNAnalysis[[#This Row],[ID]],tblSeverityAnalysis[ID], 0))</f>
        <v>3</v>
      </c>
      <c r="BF39" s="59">
        <f>IF(tblPiNAnalysis[[#This Row],[Severity]]&gt;2,tblPiNAnalysis[[#This Row],[Highest PiN]],)</f>
        <v>52047</v>
      </c>
      <c r="BG39" s="187"/>
      <c r="BH39" s="188"/>
      <c r="BI39" s="189">
        <f>COUNTIFS(tblPiNAnalysis[[#This Row],[Number of missing / zero PiNs greater than threshold - Data quality]:[Manual Flag]],"Flagged")</f>
        <v>2</v>
      </c>
      <c r="BJ39" s="94" t="str">
        <f>IF(tblPiNAnalysis[[#This Row],['# Flags]]&gt;0, "Flagged", "")</f>
        <v>Flagged</v>
      </c>
      <c r="BK39" s="310">
        <f>tblPiNAnalysis[[#This Row],[Preliminary PiN]]</f>
        <v>52047</v>
      </c>
      <c r="BL39" s="315"/>
      <c r="BM39" s="256">
        <f>IFERROR(IF(tblPiNAnalysis[[#This Row],[Severity]]=3,tblPiNAnalysis[[#This Row],[Final PiN]]*Thresholds!$D$35,tblPiNAnalysis[[#This Row],[Final PiN]]*Thresholds!$D$36),)</f>
        <v>26023.5</v>
      </c>
      <c r="BN39" s="256">
        <f>IFERROR(IF(tblPiNAnalysis[[#This Row],[Severity]]&gt;3,tblPiNAnalysis[[#This Row],[Final PiN]]*Thresholds!$D$36,),)</f>
        <v>0</v>
      </c>
    </row>
    <row r="40" spans="1:66" ht="24.95" customHeight="1">
      <c r="A40" s="30" t="s">
        <v>180</v>
      </c>
      <c r="B40" s="39" t="s">
        <v>146</v>
      </c>
      <c r="C40" s="213" t="s">
        <v>147</v>
      </c>
      <c r="D40" s="340" t="s">
        <v>181</v>
      </c>
      <c r="E40" s="103" t="s">
        <v>180</v>
      </c>
      <c r="F40" s="98"/>
      <c r="G40" s="33"/>
      <c r="H40" s="33"/>
      <c r="I40" s="95">
        <v>50734</v>
      </c>
      <c r="J40" s="95" t="s">
        <v>192</v>
      </c>
      <c r="K40" s="319">
        <v>10146.800000000001</v>
      </c>
      <c r="L40" s="303">
        <v>11400</v>
      </c>
      <c r="M40" s="32">
        <v>4944</v>
      </c>
      <c r="N40" s="32">
        <v>7451</v>
      </c>
      <c r="O40" s="32">
        <v>35165.154419517865</v>
      </c>
      <c r="P40" s="32">
        <v>20484</v>
      </c>
      <c r="Q40" s="304">
        <v>21199</v>
      </c>
      <c r="R40" s="303">
        <v>46447</v>
      </c>
      <c r="S40" s="32">
        <v>8070</v>
      </c>
      <c r="T40" s="32">
        <v>16664</v>
      </c>
      <c r="U40" s="32">
        <v>20484</v>
      </c>
      <c r="V40" s="303">
        <v>8070</v>
      </c>
      <c r="W40" s="305">
        <f>IFERROR(IF(tblPiNAnalysis[[#This Row],[CCCM]]="", "", MROUND(tblPiNAnalysis[[#This Row],[CCCM]]/tblPiNAnalysis[[#This Row],[Population]], 0.05)), "")</f>
        <v>0.2</v>
      </c>
      <c r="X40" s="306">
        <f>IFERROR(IF(tblPiNAnalysis[[#This Row],[Education]]="", "", MROUND(tblPiNAnalysis[[#This Row],[Education]]/tblPiNAnalysis[[#This Row],[Population]], 0.05)), "")</f>
        <v>0.2</v>
      </c>
      <c r="Y40" s="306">
        <f>IFERROR(IF(tblPiNAnalysis[[#This Row],[Nutrition]]="", "", MROUND(tblPiNAnalysis[[#This Row],[Nutrition]]/tblPiNAnalysis[[#This Row],[Population]], 0.05)), "")</f>
        <v>0.1</v>
      </c>
      <c r="Z40" s="306">
        <f>IFERROR(IF(tblPiNAnalysis[[#This Row],[Food Security]]="", "", MROUND(tblPiNAnalysis[[#This Row],[Food Security]]/tblPiNAnalysis[[#This Row],[Population]], 0.05)), "")</f>
        <v>0.15000000000000002</v>
      </c>
      <c r="AA40" s="306">
        <f>IFERROR(IF(tblPiNAnalysis[[#This Row],[Health]]="", "", MROUND(tblPiNAnalysis[[#This Row],[Health]]/tblPiNAnalysis[[#This Row],[Population]], 0.05)), "")</f>
        <v>0.70000000000000007</v>
      </c>
      <c r="AB40" s="307">
        <f>IFERROR(IF(tblPiNAnalysis[[#This Row],[Overarching Protection]]="", "", MROUND(tblPiNAnalysis[[#This Row],[Overarching Protection]]/tblPiNAnalysis[[#This Row],[Population]], 0.05)), "")</f>
        <v>0.4</v>
      </c>
      <c r="AC40" s="307">
        <f>IFERROR(IF(tblPiNAnalysis[[#This Row],[Shelter]]="", "", MROUND(tblPiNAnalysis[[#This Row],[Shelter]]/tblPiNAnalysis[[#This Row],[Population]], 0.05)), "")</f>
        <v>0.4</v>
      </c>
      <c r="AD40" s="308">
        <f>IFERROR(IF(tblPiNAnalysis[[#This Row],[WASH]]="", "", MROUND(tblPiNAnalysis[[#This Row],[WASH]]/tblPiNAnalysis[[#This Row],[Population]], 0.05)), "")</f>
        <v>0.9</v>
      </c>
      <c r="AE40" s="306">
        <f>IFERROR(MROUND(tblPiNAnalysis[[#This Row],[CP]]/tblPiNAnalysis[[#This Row],[Population]], 0.05), "")</f>
        <v>0.15000000000000002</v>
      </c>
      <c r="AF40" s="306">
        <f>IFERROR(MROUND(tblPiNAnalysis[[#This Row],[GBV]]/tblPiNAnalysis[[#This Row],[Population]], 0.05), "")</f>
        <v>0.35000000000000003</v>
      </c>
      <c r="AG40" s="306">
        <f>IFERROR(MROUND(tblPiNAnalysis[[#This Row],[GP]]/tblPiNAnalysis[[#This Row],[Population]], 0.05), "")</f>
        <v>0.4</v>
      </c>
      <c r="AH40" s="306">
        <f>IFERROR(MROUND(tblPiNAnalysis[[#This Row],[HLP]]/tblPiNAnalysis[[#This Row],[Population]], 0.05), "")</f>
        <v>0.15000000000000002</v>
      </c>
      <c r="AI40" s="309">
        <f>IFERROR(LARGE(tblPiNAnalysis[[#This Row],[CCCM]:[WASH]], 1), "")</f>
        <v>46447</v>
      </c>
      <c r="AJ40" s="310" t="str" cm="1">
        <f t="array" ref="AJ40">IF(tblPiNAnalysis[[#This Row],[Highest PiN]]="", "", _xlfn.TEXTJOIN(CHAR(10), TRUE, IF(tblPiNAnalysis[[#This Row],[Highest PiN]]=tblPiNAnalysis[[#This Row],[CCCM]:[WASH]], tblPiNAnalysis[[#Headers],[CCCM]:[WASH]], "")))</f>
        <v>WASH</v>
      </c>
      <c r="AK40" s="311">
        <f>IF(tblPiNAnalysis[[#This Row],[Highest PiN]]="", "", tblPiNAnalysis[[#This Row],[Highest PiN]]/tblPiNAnalysis[[#This Row],[Population]])</f>
        <v>0.91550045334489694</v>
      </c>
      <c r="AL40" s="312" t="str">
        <f>IF(SUM(tblPiNAnalysis[[#This Row],[CCCM]:[WASH]])=0, "",IF(COUNTIF(tblPiNAnalysis[[#This Row],[CCCM]:[WASH]],"=0")+COUNTIF(tblPiNAnalysis[[#This Row],[CCCM]:[WASH]],"")&gt;=zero_pin_thresh, "Flagged", ""))</f>
        <v/>
      </c>
      <c r="AM40" s="313" t="str">
        <f>IFERROR(IF(tblPiNAnalysis[[#This Row],[Highest PiN]]="", "", IF(tblPiNAnalysis[[#This Row],[Highest sector(s'') PiN %]]&gt;=flag_pin_perc, "Flagged", "")), "")</f>
        <v>Flagged</v>
      </c>
      <c r="AN40" s="314" t="str" cm="1">
        <f t="array" ref="AN40">IF(tblPiNAnalysis[[#This Row],[Highest PiN]]=0, "",  IF(OR(COUNTIF(tblPiNAnalysis[[#This Row],[Highest sector(s)]],tblSubSectorPopulation[Sector])), "Flagged", ""))</f>
        <v/>
      </c>
      <c r="AO40" s="46" cm="1">
        <f t="array" ref="AO4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35165.154419517865</v>
      </c>
      <c r="AP40" s="315" t="str" cm="1">
        <f t="array" ref="AP40">IF(tblPiNAnalysis[[#This Row],[2nd Highest PiN]]="", "", _xlfn.TEXTJOIN(CHAR(10), TRUE, IF(tblPiNAnalysis[[#This Row],[2nd Highest PiN]]=tblPiNAnalysis[[#This Row],[CCCM]:[WASH]], tblPiNAnalysis[[#Headers],[CCCM]:[WASH]], "")))</f>
        <v>Health</v>
      </c>
      <c r="AQ40" s="35">
        <f>IFERROR(tblPiNAnalysis[[#This Row],[2nd Highest PiN]]/tblPiNAnalysis[[#This Row],[Population]], "")</f>
        <v>0.69312796979378455</v>
      </c>
      <c r="AR40" s="46">
        <f>IFERROR(tblPiNAnalysis[[#This Row],[Highest PiN]]-tblPiNAnalysis[[#This Row],[2nd Highest PiN]], "")</f>
        <v>11281.845580482135</v>
      </c>
      <c r="AS40" s="38">
        <f>IFERROR(((tblPiNAnalysis[[#This Row],[Highest PiN]]-tblPiNAnalysis[[#This Row],[2nd Highest PiN]])/tblPiNAnalysis[[#This Row],[2nd Highest PiN]]),"")</f>
        <v>0.32082457099122885</v>
      </c>
      <c r="AT40" s="38" t="str" cm="1">
        <f t="array" ref="AT4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0" s="316" cm="1">
        <f t="array" ref="AU4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21199</v>
      </c>
      <c r="AV40" s="186" t="str" cm="1">
        <f t="array" ref="AV40">IF(tblPiNAnalysis[[#This Row],[3rd Highest PiN]]="", "", _xlfn.TEXTJOIN(CHAR(10), TRUE, IF(tblPiNAnalysis[[#This Row],[3rd Highest PiN]]=tblPiNAnalysis[[#This Row],[CCCM]:[WASH]], tblPiNAnalysis[[#Headers],[CCCM]:[WASH]], "")))</f>
        <v>Shelter</v>
      </c>
      <c r="AW40" s="186">
        <f>IFERROR(tblPiNAnalysis[[#This Row],[3rd Highest PiN]]/tblPiNAnalysis[[#This Row],[Population]], "")</f>
        <v>0.417846020420231</v>
      </c>
      <c r="AX40" s="45">
        <f>IFERROR(tblPiNAnalysis[[#This Row],[Highest PiN]]-tblPiNAnalysis[[#This Row],[3rd Highest PiN]],"")</f>
        <v>25248</v>
      </c>
      <c r="AY40" s="38">
        <f>IFERROR(tblPiNAnalysis[[#This Row],[Difference of PiN between Highest and 3rd Highest]]/tblPiNAnalysis[[#This Row],[3rd Highest PiN]], "")</f>
        <v>1.1909995754516722</v>
      </c>
      <c r="AZ40" s="314" t="str" cm="1">
        <f t="array" ref="AZ4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0" s="288" cm="1">
        <f t="array" ref="BA40">IFERROR(IF(tblPiNAnalysis[[#This Row],[ID]]="", "", INDEX(tblPiNHistorical[[CCCM]:[WASH]], MATCH(tblPiNAnalysis[[#This Row],[ID]],tblPiNHistorical[ID], 0),MATCH(_xlfn._xlws.FILTER(tblPiNAnalysis[[#Headers],[CCCM]:[WASH]], tblPiNAnalysis[[#This Row],[Highest PiN]]=tblPiNAnalysis[[#This Row],[CCCM]:[WASH]]), tblPiNHistorical[[#Headers],[CCCM]:[WASH]], 0))), "")</f>
        <v>-1</v>
      </c>
      <c r="BB40" s="317" t="str" cm="1">
        <f t="array" ref="BB4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40" s="265" cm="1">
        <f t="array" ref="BC40">IFERROR(IF(tblPiNAnalysis[[#This Row],[ID]]="", "", INDEX(tblPiNHistorical[[CCCM]:[WASH]], MATCH(tblPiNAnalysis[[#This Row],[ID]],tblPiNHistorical[ID], 0),MATCH(_xlfn._xlws.FILTER(tblPiNAnalysis[[#Headers],[CCCM]:[WASH]], tblPiNAnalysis[[#This Row],[2nd Highest PiN]]=tblPiNAnalysis[[#This Row],[CCCM]:[WASH]]), tblPiNHistorical[[#Headers],[CCCM]:[WASH]], 0))), "")</f>
        <v>-0.7</v>
      </c>
      <c r="BD40" s="318" t="str" cm="1">
        <f t="array" ref="BD4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0" s="356">
        <f>INDEX(tblSeverityAnalysis[Final Severity], MATCH(tblPiNAnalysis[[#This Row],[ID]],tblSeverityAnalysis[ID], 0))</f>
        <v>4</v>
      </c>
      <c r="BF40" s="59">
        <f>IF(tblPiNAnalysis[[#This Row],[Severity]]&gt;2,tblPiNAnalysis[[#This Row],[Highest PiN]],)</f>
        <v>46447</v>
      </c>
      <c r="BG40" s="187"/>
      <c r="BH40" s="188"/>
      <c r="BI40" s="189">
        <f>COUNTIFS(tblPiNAnalysis[[#This Row],[Number of missing / zero PiNs greater than threshold - Data quality]:[Manual Flag]],"Flagged")</f>
        <v>4</v>
      </c>
      <c r="BJ40" s="94" t="str">
        <f>IF(tblPiNAnalysis[[#This Row],['# Flags]]&gt;0, "Flagged", "")</f>
        <v>Flagged</v>
      </c>
      <c r="BK40" s="310">
        <f>tblPiNAnalysis[[#This Row],[Preliminary PiN]]</f>
        <v>46447</v>
      </c>
      <c r="BL40" s="315"/>
      <c r="BM40" s="256">
        <f>IFERROR(IF(tblPiNAnalysis[[#This Row],[Severity]]=3,tblPiNAnalysis[[#This Row],[Final PiN]]*Thresholds!$D$35,tblPiNAnalysis[[#This Row],[Final PiN]]*Thresholds!$D$36),)</f>
        <v>46447</v>
      </c>
      <c r="BN40" s="256">
        <f>IFERROR(IF(tblPiNAnalysis[[#This Row],[Severity]]&gt;3,tblPiNAnalysis[[#This Row],[Final PiN]]*Thresholds!$D$36,),)</f>
        <v>46447</v>
      </c>
    </row>
    <row r="41" spans="1:66" ht="24.95" customHeight="1">
      <c r="A41" s="30" t="s">
        <v>182</v>
      </c>
      <c r="B41" s="39" t="s">
        <v>183</v>
      </c>
      <c r="C41" s="213" t="s">
        <v>184</v>
      </c>
      <c r="D41" s="340" t="s">
        <v>185</v>
      </c>
      <c r="E41" s="103" t="s">
        <v>182</v>
      </c>
      <c r="F41" s="98"/>
      <c r="G41" s="33"/>
      <c r="H41" s="33"/>
      <c r="I41" s="95">
        <v>19715</v>
      </c>
      <c r="J41" s="95" t="s">
        <v>192</v>
      </c>
      <c r="K41" s="319">
        <v>0</v>
      </c>
      <c r="L41" s="303">
        <v>2491</v>
      </c>
      <c r="M41" s="32">
        <v>2043</v>
      </c>
      <c r="N41" s="32">
        <v>19715</v>
      </c>
      <c r="O41" s="32">
        <v>26.26687502456852</v>
      </c>
      <c r="P41" s="32">
        <v>3146</v>
      </c>
      <c r="Q41" s="304">
        <v>5807</v>
      </c>
      <c r="R41" s="303">
        <v>19715</v>
      </c>
      <c r="S41" s="32">
        <v>3146</v>
      </c>
      <c r="T41" s="32">
        <v>1856</v>
      </c>
      <c r="U41" s="32">
        <v>0</v>
      </c>
      <c r="V41" s="303">
        <v>3146</v>
      </c>
      <c r="W41" s="305">
        <f>IFERROR(IF(tblPiNAnalysis[[#This Row],[CCCM]]="", "", MROUND(tblPiNAnalysis[[#This Row],[CCCM]]/tblPiNAnalysis[[#This Row],[Population]], 0.05)), "")</f>
        <v>0</v>
      </c>
      <c r="X41" s="306">
        <f>IFERROR(IF(tblPiNAnalysis[[#This Row],[Education]]="", "", MROUND(tblPiNAnalysis[[#This Row],[Education]]/tblPiNAnalysis[[#This Row],[Population]], 0.05)), "")</f>
        <v>0.15000000000000002</v>
      </c>
      <c r="Y41" s="306">
        <f>IFERROR(IF(tblPiNAnalysis[[#This Row],[Nutrition]]="", "", MROUND(tblPiNAnalysis[[#This Row],[Nutrition]]/tblPiNAnalysis[[#This Row],[Population]], 0.05)), "")</f>
        <v>0.1</v>
      </c>
      <c r="Z41" s="306">
        <f>IFERROR(IF(tblPiNAnalysis[[#This Row],[Food Security]]="", "", MROUND(tblPiNAnalysis[[#This Row],[Food Security]]/tblPiNAnalysis[[#This Row],[Population]], 0.05)), "")</f>
        <v>1</v>
      </c>
      <c r="AA41" s="306">
        <f>IFERROR(IF(tblPiNAnalysis[[#This Row],[Health]]="", "", MROUND(tblPiNAnalysis[[#This Row],[Health]]/tblPiNAnalysis[[#This Row],[Population]], 0.05)), "")</f>
        <v>0</v>
      </c>
      <c r="AB41" s="307">
        <f>IFERROR(IF(tblPiNAnalysis[[#This Row],[Overarching Protection]]="", "", MROUND(tblPiNAnalysis[[#This Row],[Overarching Protection]]/tblPiNAnalysis[[#This Row],[Population]], 0.05)), "")</f>
        <v>0.15000000000000002</v>
      </c>
      <c r="AC41" s="307">
        <f>IFERROR(IF(tblPiNAnalysis[[#This Row],[Shelter]]="", "", MROUND(tblPiNAnalysis[[#This Row],[Shelter]]/tblPiNAnalysis[[#This Row],[Population]], 0.05)), "")</f>
        <v>0.30000000000000004</v>
      </c>
      <c r="AD41" s="308">
        <f>IFERROR(IF(tblPiNAnalysis[[#This Row],[WASH]]="", "", MROUND(tblPiNAnalysis[[#This Row],[WASH]]/tblPiNAnalysis[[#This Row],[Population]], 0.05)), "")</f>
        <v>1</v>
      </c>
      <c r="AE41" s="306">
        <f>IFERROR(MROUND(tblPiNAnalysis[[#This Row],[CP]]/tblPiNAnalysis[[#This Row],[Population]], 0.05), "")</f>
        <v>0.15000000000000002</v>
      </c>
      <c r="AF41" s="306">
        <f>IFERROR(MROUND(tblPiNAnalysis[[#This Row],[GBV]]/tblPiNAnalysis[[#This Row],[Population]], 0.05), "")</f>
        <v>0.1</v>
      </c>
      <c r="AG41" s="306">
        <f>IFERROR(MROUND(tblPiNAnalysis[[#This Row],[GP]]/tblPiNAnalysis[[#This Row],[Population]], 0.05), "")</f>
        <v>0</v>
      </c>
      <c r="AH41" s="306">
        <f>IFERROR(MROUND(tblPiNAnalysis[[#This Row],[HLP]]/tblPiNAnalysis[[#This Row],[Population]], 0.05), "")</f>
        <v>0.15000000000000002</v>
      </c>
      <c r="AI41" s="309">
        <f>IFERROR(LARGE(tblPiNAnalysis[[#This Row],[CCCM]:[WASH]], 1), "")</f>
        <v>19715</v>
      </c>
      <c r="AJ41" s="310" t="str" cm="1">
        <f t="array" ref="AJ41">IF(tblPiNAnalysis[[#This Row],[Highest PiN]]="", "", _xlfn.TEXTJOIN(CHAR(10), TRUE, IF(tblPiNAnalysis[[#This Row],[Highest PiN]]=tblPiNAnalysis[[#This Row],[CCCM]:[WASH]], tblPiNAnalysis[[#Headers],[CCCM]:[WASH]], "")))</f>
        <v>Food Security
WASH</v>
      </c>
      <c r="AK41" s="311">
        <f>IF(tblPiNAnalysis[[#This Row],[Highest PiN]]="", "", tblPiNAnalysis[[#This Row],[Highest PiN]]/tblPiNAnalysis[[#This Row],[Population]])</f>
        <v>1</v>
      </c>
      <c r="AL41" s="312" t="str">
        <f>IF(SUM(tblPiNAnalysis[[#This Row],[CCCM]:[WASH]])=0, "",IF(COUNTIF(tblPiNAnalysis[[#This Row],[CCCM]:[WASH]],"=0")+COUNTIF(tblPiNAnalysis[[#This Row],[CCCM]:[WASH]],"")&gt;=zero_pin_thresh, "Flagged", ""))</f>
        <v/>
      </c>
      <c r="AM41" s="313" t="str">
        <f>IFERROR(IF(tblPiNAnalysis[[#This Row],[Highest PiN]]="", "", IF(tblPiNAnalysis[[#This Row],[Highest sector(s'') PiN %]]&gt;=flag_pin_perc, "Flagged", "")), "")</f>
        <v>Flagged</v>
      </c>
      <c r="AN41" s="314" t="str" cm="1">
        <f t="array" ref="AN41">IF(tblPiNAnalysis[[#This Row],[Highest PiN]]=0, "",  IF(OR(COUNTIF(tblPiNAnalysis[[#This Row],[Highest sector(s)]],tblSubSectorPopulation[Sector])), "Flagged", ""))</f>
        <v/>
      </c>
      <c r="AO41" s="46" cm="1">
        <f t="array" ref="AO4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5807</v>
      </c>
      <c r="AP41" s="315" t="str" cm="1">
        <f t="array" ref="AP41">IF(tblPiNAnalysis[[#This Row],[2nd Highest PiN]]="", "", _xlfn.TEXTJOIN(CHAR(10), TRUE, IF(tblPiNAnalysis[[#This Row],[2nd Highest PiN]]=tblPiNAnalysis[[#This Row],[CCCM]:[WASH]], tblPiNAnalysis[[#Headers],[CCCM]:[WASH]], "")))</f>
        <v>Shelter</v>
      </c>
      <c r="AQ41" s="35">
        <f>IFERROR(tblPiNAnalysis[[#This Row],[2nd Highest PiN]]/tblPiNAnalysis[[#This Row],[Population]], "")</f>
        <v>0.29454729901090543</v>
      </c>
      <c r="AR41" s="46">
        <f>IFERROR(tblPiNAnalysis[[#This Row],[Highest PiN]]-tblPiNAnalysis[[#This Row],[2nd Highest PiN]], "")</f>
        <v>13908</v>
      </c>
      <c r="AS41" s="38">
        <f>IFERROR(((tblPiNAnalysis[[#This Row],[Highest PiN]]-tblPiNAnalysis[[#This Row],[2nd Highest PiN]])/tblPiNAnalysis[[#This Row],[2nd Highest PiN]]),"")</f>
        <v>2.3950404684002065</v>
      </c>
      <c r="AT41" s="38" t="str" cm="1">
        <f t="array" ref="AT4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1" s="316" cm="1">
        <f t="array" ref="AU4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3146</v>
      </c>
      <c r="AV41" s="186" t="str" cm="1">
        <f t="array" ref="AV41">IF(tblPiNAnalysis[[#This Row],[3rd Highest PiN]]="", "", _xlfn.TEXTJOIN(CHAR(10), TRUE, IF(tblPiNAnalysis[[#This Row],[3rd Highest PiN]]=tblPiNAnalysis[[#This Row],[CCCM]:[WASH]], tblPiNAnalysis[[#Headers],[CCCM]:[WASH]], "")))</f>
        <v>Overarching Protection</v>
      </c>
      <c r="AW41" s="186">
        <f>IFERROR(tblPiNAnalysis[[#This Row],[3rd Highest PiN]]/tblPiNAnalysis[[#This Row],[Population]], "")</f>
        <v>0.15957392848085214</v>
      </c>
      <c r="AX41" s="45">
        <f>IFERROR(tblPiNAnalysis[[#This Row],[Highest PiN]]-tblPiNAnalysis[[#This Row],[3rd Highest PiN]],"")</f>
        <v>16569</v>
      </c>
      <c r="AY41" s="38">
        <f>IFERROR(tblPiNAnalysis[[#This Row],[Difference of PiN between Highest and 3rd Highest]]/tblPiNAnalysis[[#This Row],[3rd Highest PiN]], "")</f>
        <v>5.2666878575969482</v>
      </c>
      <c r="AZ41" s="314" t="str" cm="1">
        <f t="array" ref="AZ4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1" s="288" t="e" cm="1" vm="1">
        <f t="array" aca="1" ref="BA41"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41" s="317" t="str" cm="1">
        <f t="array" ref="BB4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1" s="265" t="str" cm="1">
        <f t="array" ref="BC41">IFERROR(IF(tblPiNAnalysis[[#This Row],[ID]]="", "", INDEX(tblPiNHistorical[[CCCM]:[WASH]], MATCH(tblPiNAnalysis[[#This Row],[ID]],tblPiNHistorical[ID], 0),MATCH(_xlfn._xlws.FILTER(tblPiNAnalysis[[#Headers],[CCCM]:[WASH]], tblPiNAnalysis[[#This Row],[2nd Highest PiN]]=tblPiNAnalysis[[#This Row],[CCCM]:[WASH]]), tblPiNHistorical[[#Headers],[CCCM]:[WASH]], 0))), "")</f>
        <v/>
      </c>
      <c r="BD41" s="318" t="str" cm="1">
        <f t="array" ref="BD4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1" s="356">
        <f>INDEX(tblSeverityAnalysis[Final Severity], MATCH(tblPiNAnalysis[[#This Row],[ID]],tblSeverityAnalysis[ID], 0))</f>
        <v>3</v>
      </c>
      <c r="BF41" s="59">
        <f>IF(tblPiNAnalysis[[#This Row],[Severity]]&gt;2,tblPiNAnalysis[[#This Row],[Highest PiN]],)</f>
        <v>19715</v>
      </c>
      <c r="BG41" s="187"/>
      <c r="BH41" s="188"/>
      <c r="BI41" s="189">
        <f ca="1">COUNTIFS(tblPiNAnalysis[[#This Row],[Number of missing / zero PiNs greater than threshold - Data quality]:[Manual Flag]],"Flagged")</f>
        <v>1</v>
      </c>
      <c r="BJ41" s="94" t="str">
        <f ca="1">IF(tblPiNAnalysis[[#This Row],['# Flags]]&gt;0, "Flagged", "")</f>
        <v>Flagged</v>
      </c>
      <c r="BK41" s="310">
        <f>tblPiNAnalysis[[#This Row],[Preliminary PiN]]</f>
        <v>19715</v>
      </c>
      <c r="BL41" s="315"/>
      <c r="BM41" s="256">
        <f>IFERROR(IF(tblPiNAnalysis[[#This Row],[Severity]]=3,tblPiNAnalysis[[#This Row],[Final PiN]]*Thresholds!$D$35,tblPiNAnalysis[[#This Row],[Final PiN]]*Thresholds!$D$36),)</f>
        <v>9857.5</v>
      </c>
      <c r="BN41" s="256">
        <f>IFERROR(IF(tblPiNAnalysis[[#This Row],[Severity]]&gt;3,tblPiNAnalysis[[#This Row],[Final PiN]]*Thresholds!$D$36,),)</f>
        <v>0</v>
      </c>
    </row>
    <row r="42" spans="1:66" ht="24.95" customHeight="1">
      <c r="A42" s="30" t="s">
        <v>186</v>
      </c>
      <c r="B42" s="39" t="s">
        <v>183</v>
      </c>
      <c r="C42" s="213" t="s">
        <v>184</v>
      </c>
      <c r="D42" s="340" t="s">
        <v>187</v>
      </c>
      <c r="E42" s="103" t="s">
        <v>186</v>
      </c>
      <c r="F42" s="98"/>
      <c r="G42" s="33"/>
      <c r="H42" s="33"/>
      <c r="I42" s="95">
        <v>13757</v>
      </c>
      <c r="J42" s="95" t="s">
        <v>192</v>
      </c>
      <c r="K42" s="319">
        <v>0</v>
      </c>
      <c r="L42" s="303">
        <v>903</v>
      </c>
      <c r="M42" s="32">
        <v>1211</v>
      </c>
      <c r="N42" s="32">
        <v>13757</v>
      </c>
      <c r="O42" s="32">
        <v>4.3486852818621582</v>
      </c>
      <c r="P42" s="32">
        <v>2198</v>
      </c>
      <c r="Q42" s="304">
        <v>4877</v>
      </c>
      <c r="R42" s="303">
        <v>10882</v>
      </c>
      <c r="S42" s="32">
        <v>2198</v>
      </c>
      <c r="T42" s="32">
        <v>1296</v>
      </c>
      <c r="U42" s="32">
        <v>975</v>
      </c>
      <c r="V42" s="303">
        <v>2198</v>
      </c>
      <c r="W42" s="305">
        <f>IFERROR(IF(tblPiNAnalysis[[#This Row],[CCCM]]="", "", MROUND(tblPiNAnalysis[[#This Row],[CCCM]]/tblPiNAnalysis[[#This Row],[Population]], 0.05)), "")</f>
        <v>0</v>
      </c>
      <c r="X42" s="306">
        <f>IFERROR(IF(tblPiNAnalysis[[#This Row],[Education]]="", "", MROUND(tblPiNAnalysis[[#This Row],[Education]]/tblPiNAnalysis[[#This Row],[Population]], 0.05)), "")</f>
        <v>0.05</v>
      </c>
      <c r="Y42" s="306">
        <f>IFERROR(IF(tblPiNAnalysis[[#This Row],[Nutrition]]="", "", MROUND(tblPiNAnalysis[[#This Row],[Nutrition]]/tblPiNAnalysis[[#This Row],[Population]], 0.05)), "")</f>
        <v>0.1</v>
      </c>
      <c r="Z42" s="306">
        <f>IFERROR(IF(tblPiNAnalysis[[#This Row],[Food Security]]="", "", MROUND(tblPiNAnalysis[[#This Row],[Food Security]]/tblPiNAnalysis[[#This Row],[Population]], 0.05)), "")</f>
        <v>1</v>
      </c>
      <c r="AA42" s="306">
        <f>IFERROR(IF(tblPiNAnalysis[[#This Row],[Health]]="", "", MROUND(tblPiNAnalysis[[#This Row],[Health]]/tblPiNAnalysis[[#This Row],[Population]], 0.05)), "")</f>
        <v>0</v>
      </c>
      <c r="AB42" s="307">
        <f>IFERROR(IF(tblPiNAnalysis[[#This Row],[Overarching Protection]]="", "", MROUND(tblPiNAnalysis[[#This Row],[Overarching Protection]]/tblPiNAnalysis[[#This Row],[Population]], 0.05)), "")</f>
        <v>0.15000000000000002</v>
      </c>
      <c r="AC42" s="307">
        <f>IFERROR(IF(tblPiNAnalysis[[#This Row],[Shelter]]="", "", MROUND(tblPiNAnalysis[[#This Row],[Shelter]]/tblPiNAnalysis[[#This Row],[Population]], 0.05)), "")</f>
        <v>0.35000000000000003</v>
      </c>
      <c r="AD42" s="308">
        <f>IFERROR(IF(tblPiNAnalysis[[#This Row],[WASH]]="", "", MROUND(tblPiNAnalysis[[#This Row],[WASH]]/tblPiNAnalysis[[#This Row],[Population]], 0.05)), "")</f>
        <v>0.8</v>
      </c>
      <c r="AE42" s="306">
        <f>IFERROR(MROUND(tblPiNAnalysis[[#This Row],[CP]]/tblPiNAnalysis[[#This Row],[Population]], 0.05), "")</f>
        <v>0.15000000000000002</v>
      </c>
      <c r="AF42" s="306">
        <f>IFERROR(MROUND(tblPiNAnalysis[[#This Row],[GBV]]/tblPiNAnalysis[[#This Row],[Population]], 0.05), "")</f>
        <v>0.1</v>
      </c>
      <c r="AG42" s="306">
        <f>IFERROR(MROUND(tblPiNAnalysis[[#This Row],[GP]]/tblPiNAnalysis[[#This Row],[Population]], 0.05), "")</f>
        <v>0.05</v>
      </c>
      <c r="AH42" s="306">
        <f>IFERROR(MROUND(tblPiNAnalysis[[#This Row],[HLP]]/tblPiNAnalysis[[#This Row],[Population]], 0.05), "")</f>
        <v>0.15000000000000002</v>
      </c>
      <c r="AI42" s="309">
        <f>IFERROR(LARGE(tblPiNAnalysis[[#This Row],[CCCM]:[WASH]], 1), "")</f>
        <v>13757</v>
      </c>
      <c r="AJ42" s="310" t="str" cm="1">
        <f t="array" ref="AJ42">IF(tblPiNAnalysis[[#This Row],[Highest PiN]]="", "", _xlfn.TEXTJOIN(CHAR(10), TRUE, IF(tblPiNAnalysis[[#This Row],[Highest PiN]]=tblPiNAnalysis[[#This Row],[CCCM]:[WASH]], tblPiNAnalysis[[#Headers],[CCCM]:[WASH]], "")))</f>
        <v>Food Security</v>
      </c>
      <c r="AK42" s="311">
        <f>IF(tblPiNAnalysis[[#This Row],[Highest PiN]]="", "", tblPiNAnalysis[[#This Row],[Highest PiN]]/tblPiNAnalysis[[#This Row],[Population]])</f>
        <v>1</v>
      </c>
      <c r="AL42" s="312" t="str">
        <f>IF(SUM(tblPiNAnalysis[[#This Row],[CCCM]:[WASH]])=0, "",IF(COUNTIF(tblPiNAnalysis[[#This Row],[CCCM]:[WASH]],"=0")+COUNTIF(tblPiNAnalysis[[#This Row],[CCCM]:[WASH]],"")&gt;=zero_pin_thresh, "Flagged", ""))</f>
        <v/>
      </c>
      <c r="AM42" s="313" t="str">
        <f>IFERROR(IF(tblPiNAnalysis[[#This Row],[Highest PiN]]="", "", IF(tblPiNAnalysis[[#This Row],[Highest sector(s'') PiN %]]&gt;=flag_pin_perc, "Flagged", "")), "")</f>
        <v>Flagged</v>
      </c>
      <c r="AN42" s="314" t="str" cm="1">
        <f t="array" ref="AN42">IF(tblPiNAnalysis[[#This Row],[Highest PiN]]=0, "",  IF(OR(COUNTIF(tblPiNAnalysis[[#This Row],[Highest sector(s)]],tblSubSectorPopulation[Sector])), "Flagged", ""))</f>
        <v/>
      </c>
      <c r="AO42" s="46" cm="1">
        <f t="array" ref="AO4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10882</v>
      </c>
      <c r="AP42" s="315" t="str" cm="1">
        <f t="array" ref="AP42">IF(tblPiNAnalysis[[#This Row],[2nd Highest PiN]]="", "", _xlfn.TEXTJOIN(CHAR(10), TRUE, IF(tblPiNAnalysis[[#This Row],[2nd Highest PiN]]=tblPiNAnalysis[[#This Row],[CCCM]:[WASH]], tblPiNAnalysis[[#Headers],[CCCM]:[WASH]], "")))</f>
        <v>WASH</v>
      </c>
      <c r="AQ42" s="35">
        <f>IFERROR(tblPiNAnalysis[[#This Row],[2nd Highest PiN]]/tblPiNAnalysis[[#This Row],[Population]], "")</f>
        <v>0.79101548302682267</v>
      </c>
      <c r="AR42" s="46">
        <f>IFERROR(tblPiNAnalysis[[#This Row],[Highest PiN]]-tblPiNAnalysis[[#This Row],[2nd Highest PiN]], "")</f>
        <v>2875</v>
      </c>
      <c r="AS42" s="38">
        <f>IFERROR(((tblPiNAnalysis[[#This Row],[Highest PiN]]-tblPiNAnalysis[[#This Row],[2nd Highest PiN]])/tblPiNAnalysis[[#This Row],[2nd Highest PiN]]),"")</f>
        <v>0.26419775776511673</v>
      </c>
      <c r="AT42" s="38" t="str" cm="1">
        <f t="array" ref="AT4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2" s="316" cm="1">
        <f t="array" ref="AU4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4877</v>
      </c>
      <c r="AV42" s="186" t="str" cm="1">
        <f t="array" ref="AV42">IF(tblPiNAnalysis[[#This Row],[3rd Highest PiN]]="", "", _xlfn.TEXTJOIN(CHAR(10), TRUE, IF(tblPiNAnalysis[[#This Row],[3rd Highest PiN]]=tblPiNAnalysis[[#This Row],[CCCM]:[WASH]], tblPiNAnalysis[[#Headers],[CCCM]:[WASH]], "")))</f>
        <v>Shelter</v>
      </c>
      <c r="AW42" s="186">
        <f>IFERROR(tblPiNAnalysis[[#This Row],[3rd Highest PiN]]/tblPiNAnalysis[[#This Row],[Population]], "")</f>
        <v>0.35451043105328195</v>
      </c>
      <c r="AX42" s="45">
        <f>IFERROR(tblPiNAnalysis[[#This Row],[Highest PiN]]-tblPiNAnalysis[[#This Row],[3rd Highest PiN]],"")</f>
        <v>8880</v>
      </c>
      <c r="AY42" s="38">
        <f>IFERROR(tblPiNAnalysis[[#This Row],[Difference of PiN between Highest and 3rd Highest]]/tblPiNAnalysis[[#This Row],[3rd Highest PiN]], "")</f>
        <v>1.8207914701660857</v>
      </c>
      <c r="AZ42" s="314" t="str" cm="1">
        <f t="array" ref="AZ4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2" s="288" t="str" cm="1">
        <f t="array" ref="BA42">IFERROR(IF(tblPiNAnalysis[[#This Row],[ID]]="", "", INDEX(tblPiNHistorical[[CCCM]:[WASH]], MATCH(tblPiNAnalysis[[#This Row],[ID]],tblPiNHistorical[ID], 0),MATCH(_xlfn._xlws.FILTER(tblPiNAnalysis[[#Headers],[CCCM]:[WASH]], tblPiNAnalysis[[#This Row],[Highest PiN]]=tblPiNAnalysis[[#This Row],[CCCM]:[WASH]]), tblPiNHistorical[[#Headers],[CCCM]:[WASH]], 0))), "")</f>
        <v/>
      </c>
      <c r="BB42" s="317" t="str" cm="1">
        <f t="array" ref="BB4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2" s="265" t="str" cm="1">
        <f t="array" ref="BC42">IFERROR(IF(tblPiNAnalysis[[#This Row],[ID]]="", "", INDEX(tblPiNHistorical[[CCCM]:[WASH]], MATCH(tblPiNAnalysis[[#This Row],[ID]],tblPiNHistorical[ID], 0),MATCH(_xlfn._xlws.FILTER(tblPiNAnalysis[[#Headers],[CCCM]:[WASH]], tblPiNAnalysis[[#This Row],[2nd Highest PiN]]=tblPiNAnalysis[[#This Row],[CCCM]:[WASH]]), tblPiNHistorical[[#Headers],[CCCM]:[WASH]], 0))), "")</f>
        <v/>
      </c>
      <c r="BD42" s="318" t="str" cm="1">
        <f t="array" ref="BD4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2" s="356">
        <f>INDEX(tblSeverityAnalysis[Final Severity], MATCH(tblPiNAnalysis[[#This Row],[ID]],tblSeverityAnalysis[ID], 0))</f>
        <v>3</v>
      </c>
      <c r="BF42" s="59">
        <f>IF(tblPiNAnalysis[[#This Row],[Severity]]&gt;2,tblPiNAnalysis[[#This Row],[Highest PiN]],)</f>
        <v>13757</v>
      </c>
      <c r="BG42" s="187"/>
      <c r="BH42" s="188"/>
      <c r="BI42" s="189">
        <f>COUNTIFS(tblPiNAnalysis[[#This Row],[Number of missing / zero PiNs greater than threshold - Data quality]:[Manual Flag]],"Flagged")</f>
        <v>2</v>
      </c>
      <c r="BJ42" s="94" t="str">
        <f>IF(tblPiNAnalysis[[#This Row],['# Flags]]&gt;0, "Flagged", "")</f>
        <v>Flagged</v>
      </c>
      <c r="BK42" s="310">
        <f>tblPiNAnalysis[[#This Row],[Preliminary PiN]]</f>
        <v>13757</v>
      </c>
      <c r="BL42" s="315"/>
      <c r="BM42" s="256">
        <f>IFERROR(IF(tblPiNAnalysis[[#This Row],[Severity]]=3,tblPiNAnalysis[[#This Row],[Final PiN]]*Thresholds!$D$35,tblPiNAnalysis[[#This Row],[Final PiN]]*Thresholds!$D$36),)</f>
        <v>6878.5</v>
      </c>
      <c r="BN42" s="256">
        <f>IFERROR(IF(tblPiNAnalysis[[#This Row],[Severity]]&gt;3,tblPiNAnalysis[[#This Row],[Final PiN]]*Thresholds!$D$36,),)</f>
        <v>0</v>
      </c>
    </row>
    <row r="43" spans="1:66" ht="24.95" customHeight="1">
      <c r="A43" s="30" t="s">
        <v>188</v>
      </c>
      <c r="B43" s="39" t="s">
        <v>189</v>
      </c>
      <c r="C43" s="213" t="s">
        <v>190</v>
      </c>
      <c r="D43" s="340" t="s">
        <v>191</v>
      </c>
      <c r="E43" s="103" t="s">
        <v>188</v>
      </c>
      <c r="F43" s="98"/>
      <c r="G43" s="33"/>
      <c r="H43" s="33"/>
      <c r="I43" s="95">
        <v>3968</v>
      </c>
      <c r="J43" s="95" t="s">
        <v>192</v>
      </c>
      <c r="K43" s="319">
        <v>0</v>
      </c>
      <c r="L43" s="303">
        <v>602</v>
      </c>
      <c r="M43" s="32">
        <v>325</v>
      </c>
      <c r="N43" s="32">
        <v>2636</v>
      </c>
      <c r="O43" s="32">
        <v>53.61809573908468</v>
      </c>
      <c r="P43" s="32">
        <v>1416</v>
      </c>
      <c r="Q43" s="304">
        <v>2063</v>
      </c>
      <c r="R43" s="303">
        <v>3304</v>
      </c>
      <c r="S43" s="32">
        <v>634</v>
      </c>
      <c r="T43" s="32">
        <v>374</v>
      </c>
      <c r="U43" s="32">
        <v>1416</v>
      </c>
      <c r="V43" s="303">
        <v>0</v>
      </c>
      <c r="W43" s="305">
        <f>IFERROR(IF(tblPiNAnalysis[[#This Row],[CCCM]]="", "", MROUND(tblPiNAnalysis[[#This Row],[CCCM]]/tblPiNAnalysis[[#This Row],[Population]], 0.05)), "")</f>
        <v>0</v>
      </c>
      <c r="X43" s="306">
        <f>IFERROR(IF(tblPiNAnalysis[[#This Row],[Education]]="", "", MROUND(tblPiNAnalysis[[#This Row],[Education]]/tblPiNAnalysis[[#This Row],[Population]], 0.05)), "")</f>
        <v>0.15000000000000002</v>
      </c>
      <c r="Y43" s="306">
        <f>IFERROR(IF(tblPiNAnalysis[[#This Row],[Nutrition]]="", "", MROUND(tblPiNAnalysis[[#This Row],[Nutrition]]/tblPiNAnalysis[[#This Row],[Population]], 0.05)), "")</f>
        <v>0.1</v>
      </c>
      <c r="Z43" s="306">
        <f>IFERROR(IF(tblPiNAnalysis[[#This Row],[Food Security]]="", "", MROUND(tblPiNAnalysis[[#This Row],[Food Security]]/tblPiNAnalysis[[#This Row],[Population]], 0.05)), "")</f>
        <v>0.65</v>
      </c>
      <c r="AA43" s="306">
        <f>IFERROR(IF(tblPiNAnalysis[[#This Row],[Health]]="", "", MROUND(tblPiNAnalysis[[#This Row],[Health]]/tblPiNAnalysis[[#This Row],[Population]], 0.05)), "")</f>
        <v>0</v>
      </c>
      <c r="AB43" s="307">
        <f>IFERROR(IF(tblPiNAnalysis[[#This Row],[Overarching Protection]]="", "", MROUND(tblPiNAnalysis[[#This Row],[Overarching Protection]]/tblPiNAnalysis[[#This Row],[Population]], 0.05)), "")</f>
        <v>0.35000000000000003</v>
      </c>
      <c r="AC43" s="307">
        <f>IFERROR(IF(tblPiNAnalysis[[#This Row],[Shelter]]="", "", MROUND(tblPiNAnalysis[[#This Row],[Shelter]]/tblPiNAnalysis[[#This Row],[Population]], 0.05)), "")</f>
        <v>0.5</v>
      </c>
      <c r="AD43" s="308">
        <f>IFERROR(IF(tblPiNAnalysis[[#This Row],[WASH]]="", "", MROUND(tblPiNAnalysis[[#This Row],[WASH]]/tblPiNAnalysis[[#This Row],[Population]], 0.05)), "")</f>
        <v>0.85000000000000009</v>
      </c>
      <c r="AE43" s="306">
        <f>IFERROR(MROUND(tblPiNAnalysis[[#This Row],[CP]]/tblPiNAnalysis[[#This Row],[Population]], 0.05), "")</f>
        <v>0.15000000000000002</v>
      </c>
      <c r="AF43" s="306">
        <f>IFERROR(MROUND(tblPiNAnalysis[[#This Row],[GBV]]/tblPiNAnalysis[[#This Row],[Population]], 0.05), "")</f>
        <v>0.1</v>
      </c>
      <c r="AG43" s="306">
        <f>IFERROR(MROUND(tblPiNAnalysis[[#This Row],[GP]]/tblPiNAnalysis[[#This Row],[Population]], 0.05), "")</f>
        <v>0.35000000000000003</v>
      </c>
      <c r="AH43" s="306">
        <f>IFERROR(MROUND(tblPiNAnalysis[[#This Row],[HLP]]/tblPiNAnalysis[[#This Row],[Population]], 0.05), "")</f>
        <v>0</v>
      </c>
      <c r="AI43" s="309">
        <f>IFERROR(LARGE(tblPiNAnalysis[[#This Row],[CCCM]:[WASH]], 1), "")</f>
        <v>3304</v>
      </c>
      <c r="AJ43" s="310" t="str" cm="1">
        <f t="array" ref="AJ43">IF(tblPiNAnalysis[[#This Row],[Highest PiN]]="", "", _xlfn.TEXTJOIN(CHAR(10), TRUE, IF(tblPiNAnalysis[[#This Row],[Highest PiN]]=tblPiNAnalysis[[#This Row],[CCCM]:[WASH]], tblPiNAnalysis[[#Headers],[CCCM]:[WASH]], "")))</f>
        <v>WASH</v>
      </c>
      <c r="AK43" s="311">
        <f>IF(tblPiNAnalysis[[#This Row],[Highest PiN]]="", "", tblPiNAnalysis[[#This Row],[Highest PiN]]/tblPiNAnalysis[[#This Row],[Population]])</f>
        <v>0.83266129032258063</v>
      </c>
      <c r="AL43" s="312" t="str">
        <f>IF(SUM(tblPiNAnalysis[[#This Row],[CCCM]:[WASH]])=0, "",IF(COUNTIF(tblPiNAnalysis[[#This Row],[CCCM]:[WASH]],"=0")+COUNTIF(tblPiNAnalysis[[#This Row],[CCCM]:[WASH]],"")&gt;=zero_pin_thresh, "Flagged", ""))</f>
        <v/>
      </c>
      <c r="AM43" s="313" t="str">
        <f>IFERROR(IF(tblPiNAnalysis[[#This Row],[Highest PiN]]="", "", IF(tblPiNAnalysis[[#This Row],[Highest sector(s'') PiN %]]&gt;=flag_pin_perc, "Flagged", "")), "")</f>
        <v/>
      </c>
      <c r="AN43" s="314" t="str" cm="1">
        <f t="array" ref="AN43">IF(tblPiNAnalysis[[#This Row],[Highest PiN]]=0, "",  IF(OR(COUNTIF(tblPiNAnalysis[[#This Row],[Highest sector(s)]],tblSubSectorPopulation[Sector])), "Flagged", ""))</f>
        <v/>
      </c>
      <c r="AO43" s="46" cm="1">
        <f t="array" ref="AO4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2636</v>
      </c>
      <c r="AP43" s="315" t="str" cm="1">
        <f t="array" ref="AP43">IF(tblPiNAnalysis[[#This Row],[2nd Highest PiN]]="", "", _xlfn.TEXTJOIN(CHAR(10), TRUE, IF(tblPiNAnalysis[[#This Row],[2nd Highest PiN]]=tblPiNAnalysis[[#This Row],[CCCM]:[WASH]], tblPiNAnalysis[[#Headers],[CCCM]:[WASH]], "")))</f>
        <v>Food Security</v>
      </c>
      <c r="AQ43" s="35">
        <f>IFERROR(tblPiNAnalysis[[#This Row],[2nd Highest PiN]]/tblPiNAnalysis[[#This Row],[Population]], "")</f>
        <v>0.66431451612903225</v>
      </c>
      <c r="AR43" s="46">
        <f>IFERROR(tblPiNAnalysis[[#This Row],[Highest PiN]]-tblPiNAnalysis[[#This Row],[2nd Highest PiN]], "")</f>
        <v>668</v>
      </c>
      <c r="AS43" s="38">
        <f>IFERROR(((tblPiNAnalysis[[#This Row],[Highest PiN]]-tblPiNAnalysis[[#This Row],[2nd Highest PiN]])/tblPiNAnalysis[[#This Row],[2nd Highest PiN]]),"")</f>
        <v>0.25341426403641881</v>
      </c>
      <c r="AT43" s="38" t="str" cm="1">
        <f t="array" ref="AT4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3" s="316" cm="1">
        <f t="array" ref="AU4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2063</v>
      </c>
      <c r="AV43" s="186" t="str" cm="1">
        <f t="array" ref="AV43">IF(tblPiNAnalysis[[#This Row],[3rd Highest PiN]]="", "", _xlfn.TEXTJOIN(CHAR(10), TRUE, IF(tblPiNAnalysis[[#This Row],[3rd Highest PiN]]=tblPiNAnalysis[[#This Row],[CCCM]:[WASH]], tblPiNAnalysis[[#Headers],[CCCM]:[WASH]], "")))</f>
        <v>Shelter</v>
      </c>
      <c r="AW43" s="186">
        <f>IFERROR(tblPiNAnalysis[[#This Row],[3rd Highest PiN]]/tblPiNAnalysis[[#This Row],[Population]], "")</f>
        <v>0.51990927419354838</v>
      </c>
      <c r="AX43" s="45">
        <f>IFERROR(tblPiNAnalysis[[#This Row],[Highest PiN]]-tblPiNAnalysis[[#This Row],[3rd Highest PiN]],"")</f>
        <v>1241</v>
      </c>
      <c r="AY43" s="38">
        <f>IFERROR(tblPiNAnalysis[[#This Row],[Difference of PiN between Highest and 3rd Highest]]/tblPiNAnalysis[[#This Row],[3rd Highest PiN]], "")</f>
        <v>0.60155113911778968</v>
      </c>
      <c r="AZ43" s="314" t="str" cm="1">
        <f t="array" ref="AZ4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3" s="288" t="str" cm="1">
        <f t="array" ref="BA43">IFERROR(IF(tblPiNAnalysis[[#This Row],[ID]]="", "", INDEX(tblPiNHistorical[[CCCM]:[WASH]], MATCH(tblPiNAnalysis[[#This Row],[ID]],tblPiNHistorical[ID], 0),MATCH(_xlfn._xlws.FILTER(tblPiNAnalysis[[#Headers],[CCCM]:[WASH]], tblPiNAnalysis[[#This Row],[Highest PiN]]=tblPiNAnalysis[[#This Row],[CCCM]:[WASH]]), tblPiNHistorical[[#Headers],[CCCM]:[WASH]], 0))), "")</f>
        <v/>
      </c>
      <c r="BB43" s="317" t="str" cm="1">
        <f t="array" ref="BB4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3" s="265" t="str" cm="1">
        <f t="array" ref="BC43">IFERROR(IF(tblPiNAnalysis[[#This Row],[ID]]="", "", INDEX(tblPiNHistorical[[CCCM]:[WASH]], MATCH(tblPiNAnalysis[[#This Row],[ID]],tblPiNHistorical[ID], 0),MATCH(_xlfn._xlws.FILTER(tblPiNAnalysis[[#Headers],[CCCM]:[WASH]], tblPiNAnalysis[[#This Row],[2nd Highest PiN]]=tblPiNAnalysis[[#This Row],[CCCM]:[WASH]]), tblPiNHistorical[[#Headers],[CCCM]:[WASH]], 0))), "")</f>
        <v/>
      </c>
      <c r="BD43" s="318" t="str" cm="1">
        <f t="array" ref="BD4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3" s="356">
        <f>INDEX(tblSeverityAnalysis[Final Severity], MATCH(tblPiNAnalysis[[#This Row],[ID]],tblSeverityAnalysis[ID], 0))</f>
        <v>3</v>
      </c>
      <c r="BF43" s="59">
        <f>IF(tblPiNAnalysis[[#This Row],[Severity]]&gt;2,tblPiNAnalysis[[#This Row],[Highest PiN]],)</f>
        <v>3304</v>
      </c>
      <c r="BG43" s="187"/>
      <c r="BH43" s="188"/>
      <c r="BI43" s="189">
        <f>COUNTIFS(tblPiNAnalysis[[#This Row],[Number of missing / zero PiNs greater than threshold - Data quality]:[Manual Flag]],"Flagged")</f>
        <v>1</v>
      </c>
      <c r="BJ43" s="94" t="str">
        <f>IF(tblPiNAnalysis[[#This Row],['# Flags]]&gt;0, "Flagged", "")</f>
        <v>Flagged</v>
      </c>
      <c r="BK43" s="310">
        <f>tblPiNAnalysis[[#This Row],[Preliminary PiN]]</f>
        <v>3304</v>
      </c>
      <c r="BL43" s="315"/>
      <c r="BM43" s="256">
        <f>IFERROR(IF(tblPiNAnalysis[[#This Row],[Severity]]=3,tblPiNAnalysis[[#This Row],[Final PiN]]*Thresholds!$D$35,tblPiNAnalysis[[#This Row],[Final PiN]]*Thresholds!$D$36),)</f>
        <v>1652</v>
      </c>
      <c r="BN43" s="256">
        <f>IFERROR(IF(tblPiNAnalysis[[#This Row],[Severity]]&gt;3,tblPiNAnalysis[[#This Row],[Final PiN]]*Thresholds!$D$36,),)</f>
        <v>0</v>
      </c>
    </row>
    <row r="44" spans="1:66" ht="24.95" customHeight="1">
      <c r="A44" s="30" t="s">
        <v>145</v>
      </c>
      <c r="B44" s="39" t="s">
        <v>146</v>
      </c>
      <c r="C44" s="213" t="s">
        <v>147</v>
      </c>
      <c r="D44" s="340" t="s">
        <v>148</v>
      </c>
      <c r="E44" s="103" t="s">
        <v>145</v>
      </c>
      <c r="F44" s="98"/>
      <c r="G44" s="33"/>
      <c r="H44" s="33"/>
      <c r="I44" s="95">
        <v>119176</v>
      </c>
      <c r="J44" s="95" t="s">
        <v>193</v>
      </c>
      <c r="K44" s="319">
        <v>0</v>
      </c>
      <c r="L44" s="303">
        <v>9104</v>
      </c>
      <c r="M44" s="32">
        <v>10167</v>
      </c>
      <c r="N44" s="32">
        <v>40170.5</v>
      </c>
      <c r="O44" s="32">
        <v>690.12728365499265</v>
      </c>
      <c r="P44" s="32">
        <v>30851</v>
      </c>
      <c r="Q44" s="304">
        <v>13312</v>
      </c>
      <c r="R44" s="303">
        <v>25204</v>
      </c>
      <c r="S44" s="32">
        <v>12396</v>
      </c>
      <c r="T44" s="32">
        <v>7313</v>
      </c>
      <c r="U44" s="32">
        <v>30851</v>
      </c>
      <c r="V44" s="303">
        <v>12396</v>
      </c>
      <c r="W44" s="305">
        <f>IFERROR(IF(tblPiNAnalysis[[#This Row],[CCCM]]="", "", MROUND(tblPiNAnalysis[[#This Row],[CCCM]]/tblPiNAnalysis[[#This Row],[Population]], 0.05)), "")</f>
        <v>0</v>
      </c>
      <c r="X44" s="306">
        <f>IFERROR(IF(tblPiNAnalysis[[#This Row],[Education]]="", "", MROUND(tblPiNAnalysis[[#This Row],[Education]]/tblPiNAnalysis[[#This Row],[Population]], 0.05)), "")</f>
        <v>0.1</v>
      </c>
      <c r="Y44" s="306">
        <f>IFERROR(IF(tblPiNAnalysis[[#This Row],[Nutrition]]="", "", MROUND(tblPiNAnalysis[[#This Row],[Nutrition]]/tblPiNAnalysis[[#This Row],[Population]], 0.05)), "")</f>
        <v>0.1</v>
      </c>
      <c r="Z44" s="306">
        <f>IFERROR(IF(tblPiNAnalysis[[#This Row],[Food Security]]="", "", MROUND(tblPiNAnalysis[[#This Row],[Food Security]]/tblPiNAnalysis[[#This Row],[Population]], 0.05)), "")</f>
        <v>0.35000000000000003</v>
      </c>
      <c r="AA44" s="306">
        <f>IFERROR(IF(tblPiNAnalysis[[#This Row],[Health]]="", "", MROUND(tblPiNAnalysis[[#This Row],[Health]]/tblPiNAnalysis[[#This Row],[Population]], 0.05)), "")</f>
        <v>0</v>
      </c>
      <c r="AB44" s="307">
        <f>IFERROR(IF(tblPiNAnalysis[[#This Row],[Overarching Protection]]="", "", MROUND(tblPiNAnalysis[[#This Row],[Overarching Protection]]/tblPiNAnalysis[[#This Row],[Population]], 0.05)), "")</f>
        <v>0.25</v>
      </c>
      <c r="AC44" s="307">
        <f>IFERROR(IF(tblPiNAnalysis[[#This Row],[Shelter]]="", "", MROUND(tblPiNAnalysis[[#This Row],[Shelter]]/tblPiNAnalysis[[#This Row],[Population]], 0.05)), "")</f>
        <v>0.1</v>
      </c>
      <c r="AD44" s="308">
        <f>IFERROR(IF(tblPiNAnalysis[[#This Row],[WASH]]="", "", MROUND(tblPiNAnalysis[[#This Row],[WASH]]/tblPiNAnalysis[[#This Row],[Population]], 0.05)), "")</f>
        <v>0.2</v>
      </c>
      <c r="AE44" s="306">
        <f>IFERROR(MROUND(tblPiNAnalysis[[#This Row],[CP]]/tblPiNAnalysis[[#This Row],[Population]], 0.05), "")</f>
        <v>0.1</v>
      </c>
      <c r="AF44" s="306">
        <f>IFERROR(MROUND(tblPiNAnalysis[[#This Row],[GBV]]/tblPiNAnalysis[[#This Row],[Population]], 0.05), "")</f>
        <v>0.05</v>
      </c>
      <c r="AG44" s="306">
        <f>IFERROR(MROUND(tblPiNAnalysis[[#This Row],[GP]]/tblPiNAnalysis[[#This Row],[Population]], 0.05), "")</f>
        <v>0.25</v>
      </c>
      <c r="AH44" s="306">
        <f>IFERROR(MROUND(tblPiNAnalysis[[#This Row],[HLP]]/tblPiNAnalysis[[#This Row],[Population]], 0.05), "")</f>
        <v>0.1</v>
      </c>
      <c r="AI44" s="309">
        <f>IFERROR(LARGE(tblPiNAnalysis[[#This Row],[CCCM]:[WASH]], 1), "")</f>
        <v>40170.5</v>
      </c>
      <c r="AJ44" s="310" t="str" cm="1">
        <f t="array" ref="AJ44">IF(tblPiNAnalysis[[#This Row],[Highest PiN]]="", "", _xlfn.TEXTJOIN(CHAR(10), TRUE, IF(tblPiNAnalysis[[#This Row],[Highest PiN]]=tblPiNAnalysis[[#This Row],[CCCM]:[WASH]], tblPiNAnalysis[[#Headers],[CCCM]:[WASH]], "")))</f>
        <v>Food Security</v>
      </c>
      <c r="AK44" s="311">
        <f>IF(tblPiNAnalysis[[#This Row],[Highest PiN]]="", "", tblPiNAnalysis[[#This Row],[Highest PiN]]/tblPiNAnalysis[[#This Row],[Population]])</f>
        <v>0.33706870510841108</v>
      </c>
      <c r="AL44" s="312" t="str">
        <f>IF(SUM(tblPiNAnalysis[[#This Row],[CCCM]:[WASH]])=0, "",IF(COUNTIF(tblPiNAnalysis[[#This Row],[CCCM]:[WASH]],"=0")+COUNTIF(tblPiNAnalysis[[#This Row],[CCCM]:[WASH]],"")&gt;=zero_pin_thresh, "Flagged", ""))</f>
        <v/>
      </c>
      <c r="AM44" s="313" t="str">
        <f>IFERROR(IF(tblPiNAnalysis[[#This Row],[Highest PiN]]="", "", IF(tblPiNAnalysis[[#This Row],[Highest sector(s'') PiN %]]&gt;=flag_pin_perc, "Flagged", "")), "")</f>
        <v/>
      </c>
      <c r="AN44" s="314" t="str" cm="1">
        <f t="array" ref="AN44">IF(tblPiNAnalysis[[#This Row],[Highest PiN]]=0, "",  IF(OR(COUNTIF(tblPiNAnalysis[[#This Row],[Highest sector(s)]],tblSubSectorPopulation[Sector])), "Flagged", ""))</f>
        <v/>
      </c>
      <c r="AO44" s="46" cm="1">
        <f t="array" ref="AO4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30851</v>
      </c>
      <c r="AP44" s="315" t="str" cm="1">
        <f t="array" ref="AP44">IF(tblPiNAnalysis[[#This Row],[2nd Highest PiN]]="", "", _xlfn.TEXTJOIN(CHAR(10), TRUE, IF(tblPiNAnalysis[[#This Row],[2nd Highest PiN]]=tblPiNAnalysis[[#This Row],[CCCM]:[WASH]], tblPiNAnalysis[[#Headers],[CCCM]:[WASH]], "")))</f>
        <v>Overarching Protection</v>
      </c>
      <c r="AQ44" s="35">
        <f>IFERROR(tblPiNAnalysis[[#This Row],[2nd Highest PiN]]/tblPiNAnalysis[[#This Row],[Population]], "")</f>
        <v>0.25886923541652684</v>
      </c>
      <c r="AR44" s="46">
        <f>IFERROR(tblPiNAnalysis[[#This Row],[Highest PiN]]-tblPiNAnalysis[[#This Row],[2nd Highest PiN]], "")</f>
        <v>9319.5</v>
      </c>
      <c r="AS44" s="38">
        <f>IFERROR(((tblPiNAnalysis[[#This Row],[Highest PiN]]-tblPiNAnalysis[[#This Row],[2nd Highest PiN]])/tblPiNAnalysis[[#This Row],[2nd Highest PiN]]),"")</f>
        <v>0.30208096982269617</v>
      </c>
      <c r="AT44" s="38" t="str" cm="1">
        <f t="array" ref="AT4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4" s="316" cm="1">
        <f t="array" ref="AU4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25204</v>
      </c>
      <c r="AV44" s="186" t="str" cm="1">
        <f t="array" ref="AV44">IF(tblPiNAnalysis[[#This Row],[3rd Highest PiN]]="", "", _xlfn.TEXTJOIN(CHAR(10), TRUE, IF(tblPiNAnalysis[[#This Row],[3rd Highest PiN]]=tblPiNAnalysis[[#This Row],[CCCM]:[WASH]], tblPiNAnalysis[[#Headers],[CCCM]:[WASH]], "")))</f>
        <v>WASH</v>
      </c>
      <c r="AW44" s="186">
        <f>IFERROR(tblPiNAnalysis[[#This Row],[3rd Highest PiN]]/tblPiNAnalysis[[#This Row],[Population]], "")</f>
        <v>0.21148553400013426</v>
      </c>
      <c r="AX44" s="45">
        <f>IFERROR(tblPiNAnalysis[[#This Row],[Highest PiN]]-tblPiNAnalysis[[#This Row],[3rd Highest PiN]],"")</f>
        <v>14966.5</v>
      </c>
      <c r="AY44" s="38">
        <f>IFERROR(tblPiNAnalysis[[#This Row],[Difference of PiN between Highest and 3rd Highest]]/tblPiNAnalysis[[#This Row],[3rd Highest PiN]], "")</f>
        <v>0.59381447389303288</v>
      </c>
      <c r="AZ44" s="314" t="str" cm="1">
        <f t="array" ref="AZ4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4" s="288" cm="1">
        <f t="array" ref="BA44">IFERROR(IF(tblPiNAnalysis[[#This Row],[ID]]="", "", INDEX(tblPiNHistorical[[CCCM]:[WASH]], MATCH(tblPiNAnalysis[[#This Row],[ID]],tblPiNHistorical[ID], 0),MATCH(_xlfn._xlws.FILTER(tblPiNAnalysis[[#Headers],[CCCM]:[WASH]], tblPiNAnalysis[[#This Row],[Highest PiN]]=tblPiNAnalysis[[#This Row],[CCCM]:[WASH]]), tblPiNHistorical[[#Headers],[CCCM]:[WASH]], 0))), "")</f>
        <v>0.1</v>
      </c>
      <c r="BB44" s="317" t="str" cm="1">
        <f t="array" ref="BB4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4" s="265" cm="1">
        <f t="array" ref="BC44">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44" s="318" t="str" cm="1">
        <f t="array" ref="BD4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4" s="356">
        <f>INDEX(tblSeverityAnalysis[Final Severity], MATCH(tblPiNAnalysis[[#This Row],[ID]],tblSeverityAnalysis[ID], 0))</f>
        <v>3</v>
      </c>
      <c r="BF44" s="59">
        <f>IF(tblPiNAnalysis[[#This Row],[Severity]]&gt;2,tblPiNAnalysis[[#This Row],[Highest PiN]],)</f>
        <v>40170.5</v>
      </c>
      <c r="BG44" s="187"/>
      <c r="BH44" s="188"/>
      <c r="BI44" s="189">
        <f>COUNTIFS(tblPiNAnalysis[[#This Row],[Number of missing / zero PiNs greater than threshold - Data quality]:[Manual Flag]],"Flagged")</f>
        <v>2</v>
      </c>
      <c r="BJ44" s="94" t="str">
        <f>IF(tblPiNAnalysis[[#This Row],['# Flags]]&gt;0, "Flagged", "")</f>
        <v>Flagged</v>
      </c>
      <c r="BK44" s="310">
        <f>tblPiNAnalysis[[#This Row],[Preliminary PiN]]</f>
        <v>40170.5</v>
      </c>
      <c r="BL44" s="315"/>
      <c r="BM44" s="256">
        <f>IFERROR(IF(tblPiNAnalysis[[#This Row],[Severity]]=3,tblPiNAnalysis[[#This Row],[Final PiN]]*Thresholds!$D$35,tblPiNAnalysis[[#This Row],[Final PiN]]*Thresholds!$D$36),)</f>
        <v>20085.25</v>
      </c>
      <c r="BN44" s="256">
        <f>IFERROR(IF(tblPiNAnalysis[[#This Row],[Severity]]&gt;3,tblPiNAnalysis[[#This Row],[Final PiN]]*Thresholds!$D$36,),)</f>
        <v>0</v>
      </c>
    </row>
    <row r="45" spans="1:66" ht="24.95" customHeight="1">
      <c r="A45" s="30" t="s">
        <v>150</v>
      </c>
      <c r="B45" s="39" t="s">
        <v>146</v>
      </c>
      <c r="C45" s="213" t="s">
        <v>147</v>
      </c>
      <c r="D45" s="340" t="s">
        <v>151</v>
      </c>
      <c r="E45" s="103" t="s">
        <v>150</v>
      </c>
      <c r="F45" s="98"/>
      <c r="G45" s="33"/>
      <c r="H45" s="33"/>
      <c r="I45" s="95">
        <v>194226</v>
      </c>
      <c r="J45" s="95" t="s">
        <v>193</v>
      </c>
      <c r="K45" s="319">
        <v>0</v>
      </c>
      <c r="L45" s="303">
        <v>21119</v>
      </c>
      <c r="M45" s="32">
        <v>16942</v>
      </c>
      <c r="N45" s="32">
        <v>34478</v>
      </c>
      <c r="O45" s="32"/>
      <c r="P45" s="32">
        <v>21000</v>
      </c>
      <c r="Q45" s="304">
        <v>46882</v>
      </c>
      <c r="R45" s="303">
        <v>4930</v>
      </c>
      <c r="S45" s="32">
        <v>20550</v>
      </c>
      <c r="T45" s="32">
        <v>12124</v>
      </c>
      <c r="U45" s="32">
        <v>21000</v>
      </c>
      <c r="V45" s="303">
        <v>0</v>
      </c>
      <c r="W45" s="305">
        <f>IFERROR(IF(tblPiNAnalysis[[#This Row],[CCCM]]="", "", MROUND(tblPiNAnalysis[[#This Row],[CCCM]]/tblPiNAnalysis[[#This Row],[Population]], 0.05)), "")</f>
        <v>0</v>
      </c>
      <c r="X45" s="306">
        <f>IFERROR(IF(tblPiNAnalysis[[#This Row],[Education]]="", "", MROUND(tblPiNAnalysis[[#This Row],[Education]]/tblPiNAnalysis[[#This Row],[Population]], 0.05)), "")</f>
        <v>0.1</v>
      </c>
      <c r="Y45" s="306">
        <f>IFERROR(IF(tblPiNAnalysis[[#This Row],[Nutrition]]="", "", MROUND(tblPiNAnalysis[[#This Row],[Nutrition]]/tblPiNAnalysis[[#This Row],[Population]], 0.05)), "")</f>
        <v>0.1</v>
      </c>
      <c r="Z45" s="306">
        <f>IFERROR(IF(tblPiNAnalysis[[#This Row],[Food Security]]="", "", MROUND(tblPiNAnalysis[[#This Row],[Food Security]]/tblPiNAnalysis[[#This Row],[Population]], 0.05)), "")</f>
        <v>0.2</v>
      </c>
      <c r="AA45" s="306" t="str">
        <f>IFERROR(IF(tblPiNAnalysis[[#This Row],[Health]]="", "", MROUND(tblPiNAnalysis[[#This Row],[Health]]/tblPiNAnalysis[[#This Row],[Population]], 0.05)), "")</f>
        <v/>
      </c>
      <c r="AB45" s="307">
        <f>IFERROR(IF(tblPiNAnalysis[[#This Row],[Overarching Protection]]="", "", MROUND(tblPiNAnalysis[[#This Row],[Overarching Protection]]/tblPiNAnalysis[[#This Row],[Population]], 0.05)), "")</f>
        <v>0.1</v>
      </c>
      <c r="AC45" s="307">
        <f>IFERROR(IF(tblPiNAnalysis[[#This Row],[Shelter]]="", "", MROUND(tblPiNAnalysis[[#This Row],[Shelter]]/tblPiNAnalysis[[#This Row],[Population]], 0.05)), "")</f>
        <v>0.25</v>
      </c>
      <c r="AD45" s="308">
        <f>IFERROR(IF(tblPiNAnalysis[[#This Row],[WASH]]="", "", MROUND(tblPiNAnalysis[[#This Row],[WASH]]/tblPiNAnalysis[[#This Row],[Population]], 0.05)), "")</f>
        <v>0.05</v>
      </c>
      <c r="AE45" s="306">
        <f>IFERROR(MROUND(tblPiNAnalysis[[#This Row],[CP]]/tblPiNAnalysis[[#This Row],[Population]], 0.05), "")</f>
        <v>0.1</v>
      </c>
      <c r="AF45" s="306">
        <f>IFERROR(MROUND(tblPiNAnalysis[[#This Row],[GBV]]/tblPiNAnalysis[[#This Row],[Population]], 0.05), "")</f>
        <v>0.05</v>
      </c>
      <c r="AG45" s="306">
        <f>IFERROR(MROUND(tblPiNAnalysis[[#This Row],[GP]]/tblPiNAnalysis[[#This Row],[Population]], 0.05), "")</f>
        <v>0.1</v>
      </c>
      <c r="AH45" s="306">
        <f>IFERROR(MROUND(tblPiNAnalysis[[#This Row],[HLP]]/tblPiNAnalysis[[#This Row],[Population]], 0.05), "")</f>
        <v>0</v>
      </c>
      <c r="AI45" s="309">
        <f>IFERROR(LARGE(tblPiNAnalysis[[#This Row],[CCCM]:[WASH]], 1), "")</f>
        <v>46882</v>
      </c>
      <c r="AJ45" s="310" t="str" cm="1">
        <f t="array" ref="AJ45">IF(tblPiNAnalysis[[#This Row],[Highest PiN]]="", "", _xlfn.TEXTJOIN(CHAR(10), TRUE, IF(tblPiNAnalysis[[#This Row],[Highest PiN]]=tblPiNAnalysis[[#This Row],[CCCM]:[WASH]], tblPiNAnalysis[[#Headers],[CCCM]:[WASH]], "")))</f>
        <v>Shelter</v>
      </c>
      <c r="AK45" s="311">
        <f>IF(tblPiNAnalysis[[#This Row],[Highest PiN]]="", "", tblPiNAnalysis[[#This Row],[Highest PiN]]/tblPiNAnalysis[[#This Row],[Population]])</f>
        <v>0.24137860018741053</v>
      </c>
      <c r="AL45" s="312" t="str">
        <f>IF(SUM(tblPiNAnalysis[[#This Row],[CCCM]:[WASH]])=0, "",IF(COUNTIF(tblPiNAnalysis[[#This Row],[CCCM]:[WASH]],"=0")+COUNTIF(tblPiNAnalysis[[#This Row],[CCCM]:[WASH]],"")&gt;=zero_pin_thresh, "Flagged", ""))</f>
        <v/>
      </c>
      <c r="AM45" s="313" t="str">
        <f>IFERROR(IF(tblPiNAnalysis[[#This Row],[Highest PiN]]="", "", IF(tblPiNAnalysis[[#This Row],[Highest sector(s'') PiN %]]&gt;=flag_pin_perc, "Flagged", "")), "")</f>
        <v/>
      </c>
      <c r="AN45" s="314" t="str" cm="1">
        <f t="array" ref="AN45">IF(tblPiNAnalysis[[#This Row],[Highest PiN]]=0, "",  IF(OR(COUNTIF(tblPiNAnalysis[[#This Row],[Highest sector(s)]],tblSubSectorPopulation[Sector])), "Flagged", ""))</f>
        <v/>
      </c>
      <c r="AO45" s="46" cm="1">
        <f t="array" ref="AO4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34478</v>
      </c>
      <c r="AP45" s="315" t="str" cm="1">
        <f t="array" ref="AP45">IF(tblPiNAnalysis[[#This Row],[2nd Highest PiN]]="", "", _xlfn.TEXTJOIN(CHAR(10), TRUE, IF(tblPiNAnalysis[[#This Row],[2nd Highest PiN]]=tblPiNAnalysis[[#This Row],[CCCM]:[WASH]], tblPiNAnalysis[[#Headers],[CCCM]:[WASH]], "")))</f>
        <v>Food Security</v>
      </c>
      <c r="AQ45" s="35">
        <f>IFERROR(tblPiNAnalysis[[#This Row],[2nd Highest PiN]]/tblPiNAnalysis[[#This Row],[Population]], "")</f>
        <v>0.17751485383007423</v>
      </c>
      <c r="AR45" s="46">
        <f>IFERROR(tblPiNAnalysis[[#This Row],[Highest PiN]]-tblPiNAnalysis[[#This Row],[2nd Highest PiN]], "")</f>
        <v>12404</v>
      </c>
      <c r="AS45" s="38">
        <f>IFERROR(((tblPiNAnalysis[[#This Row],[Highest PiN]]-tblPiNAnalysis[[#This Row],[2nd Highest PiN]])/tblPiNAnalysis[[#This Row],[2nd Highest PiN]]),"")</f>
        <v>0.35976564765937702</v>
      </c>
      <c r="AT45" s="38" t="str" cm="1">
        <f t="array" ref="AT4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5" s="316" cm="1">
        <f t="array" ref="AU4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21119</v>
      </c>
      <c r="AV45" s="186" t="str" cm="1">
        <f t="array" ref="AV45">IF(tblPiNAnalysis[[#This Row],[3rd Highest PiN]]="", "", _xlfn.TEXTJOIN(CHAR(10), TRUE, IF(tblPiNAnalysis[[#This Row],[3rd Highest PiN]]=tblPiNAnalysis[[#This Row],[CCCM]:[WASH]], tblPiNAnalysis[[#Headers],[CCCM]:[WASH]], "")))</f>
        <v>Education</v>
      </c>
      <c r="AW45" s="186">
        <f>IFERROR(tblPiNAnalysis[[#This Row],[3rd Highest PiN]]/tblPiNAnalysis[[#This Row],[Population]], "")</f>
        <v>0.1087341550564806</v>
      </c>
      <c r="AX45" s="45">
        <f>IFERROR(tblPiNAnalysis[[#This Row],[Highest PiN]]-tblPiNAnalysis[[#This Row],[3rd Highest PiN]],"")</f>
        <v>25763</v>
      </c>
      <c r="AY45" s="38">
        <f>IFERROR(tblPiNAnalysis[[#This Row],[Difference of PiN between Highest and 3rd Highest]]/tblPiNAnalysis[[#This Row],[3rd Highest PiN]], "")</f>
        <v>1.2198967754155026</v>
      </c>
      <c r="AZ45" s="314" t="str" cm="1">
        <f t="array" ref="AZ4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5" s="288" t="str" cm="1">
        <f t="array" ref="BA45">IFERROR(IF(tblPiNAnalysis[[#This Row],[ID]]="", "", INDEX(tblPiNHistorical[[CCCM]:[WASH]], MATCH(tblPiNAnalysis[[#This Row],[ID]],tblPiNHistorical[ID], 0),MATCH(_xlfn._xlws.FILTER(tblPiNAnalysis[[#Headers],[CCCM]:[WASH]], tblPiNAnalysis[[#This Row],[Highest PiN]]=tblPiNAnalysis[[#This Row],[CCCM]:[WASH]]), tblPiNHistorical[[#Headers],[CCCM]:[WASH]], 0))), "")</f>
        <v/>
      </c>
      <c r="BB45" s="317" t="str" cm="1">
        <f t="array" ref="BB4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5" s="265" t="str" cm="1">
        <f t="array" ref="BC45">IFERROR(IF(tblPiNAnalysis[[#This Row],[ID]]="", "", INDEX(tblPiNHistorical[[CCCM]:[WASH]], MATCH(tblPiNAnalysis[[#This Row],[ID]],tblPiNHistorical[ID], 0),MATCH(_xlfn._xlws.FILTER(tblPiNAnalysis[[#Headers],[CCCM]:[WASH]], tblPiNAnalysis[[#This Row],[2nd Highest PiN]]=tblPiNAnalysis[[#This Row],[CCCM]:[WASH]]), tblPiNHistorical[[#Headers],[CCCM]:[WASH]], 0))), "")</f>
        <v/>
      </c>
      <c r="BD45" s="318" t="str" cm="1">
        <f t="array" ref="BD4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5" s="356">
        <f>INDEX(tblSeverityAnalysis[Final Severity], MATCH(tblPiNAnalysis[[#This Row],[ID]],tblSeverityAnalysis[ID], 0))</f>
        <v>3</v>
      </c>
      <c r="BF45" s="59">
        <f>IF(tblPiNAnalysis[[#This Row],[Severity]]&gt;2,tblPiNAnalysis[[#This Row],[Highest PiN]],)</f>
        <v>46882</v>
      </c>
      <c r="BG45" s="187"/>
      <c r="BH45" s="188"/>
      <c r="BI45" s="189">
        <f>COUNTIFS(tblPiNAnalysis[[#This Row],[Number of missing / zero PiNs greater than threshold - Data quality]:[Manual Flag]],"Flagged")</f>
        <v>2</v>
      </c>
      <c r="BJ45" s="94" t="str">
        <f>IF(tblPiNAnalysis[[#This Row],['# Flags]]&gt;0, "Flagged", "")</f>
        <v>Flagged</v>
      </c>
      <c r="BK45" s="310">
        <f>tblPiNAnalysis[[#This Row],[Preliminary PiN]]</f>
        <v>46882</v>
      </c>
      <c r="BL45" s="315"/>
      <c r="BM45" s="256">
        <f>IFERROR(IF(tblPiNAnalysis[[#This Row],[Severity]]=3,tblPiNAnalysis[[#This Row],[Final PiN]]*Thresholds!$D$35,tblPiNAnalysis[[#This Row],[Final PiN]]*Thresholds!$D$36),)</f>
        <v>23441</v>
      </c>
      <c r="BN45" s="256">
        <f>IFERROR(IF(tblPiNAnalysis[[#This Row],[Severity]]&gt;3,tblPiNAnalysis[[#This Row],[Final PiN]]*Thresholds!$D$36,),)</f>
        <v>0</v>
      </c>
    </row>
    <row r="46" spans="1:66" ht="24.95" customHeight="1">
      <c r="A46" s="30" t="s">
        <v>152</v>
      </c>
      <c r="B46" s="39" t="s">
        <v>146</v>
      </c>
      <c r="C46" s="213" t="s">
        <v>147</v>
      </c>
      <c r="D46" s="340" t="s">
        <v>153</v>
      </c>
      <c r="E46" s="103" t="s">
        <v>152</v>
      </c>
      <c r="F46" s="98"/>
      <c r="G46" s="33"/>
      <c r="H46" s="33"/>
      <c r="I46" s="95">
        <v>293505</v>
      </c>
      <c r="J46" s="95" t="s">
        <v>193</v>
      </c>
      <c r="K46" s="319">
        <v>58701</v>
      </c>
      <c r="L46" s="303">
        <v>31944</v>
      </c>
      <c r="M46" s="303">
        <v>25286</v>
      </c>
      <c r="N46" s="303">
        <v>106444</v>
      </c>
      <c r="O46" s="303">
        <v>950.99205082500225</v>
      </c>
      <c r="P46" s="303">
        <v>28920</v>
      </c>
      <c r="Q46" s="304">
        <v>50644</v>
      </c>
      <c r="R46" s="303">
        <v>19631</v>
      </c>
      <c r="S46" s="32">
        <v>28920</v>
      </c>
      <c r="T46" s="32">
        <v>17062</v>
      </c>
      <c r="U46" s="32">
        <v>4604</v>
      </c>
      <c r="V46" s="303">
        <v>28920</v>
      </c>
      <c r="W46" s="305">
        <f>IFERROR(IF(tblPiNAnalysis[[#This Row],[CCCM]]="", "", MROUND(tblPiNAnalysis[[#This Row],[CCCM]]/tblPiNAnalysis[[#This Row],[Population]], 0.05)), "")</f>
        <v>0.2</v>
      </c>
      <c r="X46" s="306">
        <f>IFERROR(IF(tblPiNAnalysis[[#This Row],[Education]]="", "", MROUND(tblPiNAnalysis[[#This Row],[Education]]/tblPiNAnalysis[[#This Row],[Population]], 0.05)), "")</f>
        <v>0.1</v>
      </c>
      <c r="Y46" s="306">
        <f>IFERROR(IF(tblPiNAnalysis[[#This Row],[Nutrition]]="", "", MROUND(tblPiNAnalysis[[#This Row],[Nutrition]]/tblPiNAnalysis[[#This Row],[Population]], 0.05)), "")</f>
        <v>0.1</v>
      </c>
      <c r="Z46" s="306">
        <f>IFERROR(IF(tblPiNAnalysis[[#This Row],[Food Security]]="", "", MROUND(tblPiNAnalysis[[#This Row],[Food Security]]/tblPiNAnalysis[[#This Row],[Population]], 0.05)), "")</f>
        <v>0.35000000000000003</v>
      </c>
      <c r="AA46" s="306">
        <f>IFERROR(IF(tblPiNAnalysis[[#This Row],[Health]]="", "", MROUND(tblPiNAnalysis[[#This Row],[Health]]/tblPiNAnalysis[[#This Row],[Population]], 0.05)), "")</f>
        <v>0</v>
      </c>
      <c r="AB46" s="307">
        <f>IFERROR(IF(tblPiNAnalysis[[#This Row],[Overarching Protection]]="", "", MROUND(tblPiNAnalysis[[#This Row],[Overarching Protection]]/tblPiNAnalysis[[#This Row],[Population]], 0.05)), "")</f>
        <v>0.1</v>
      </c>
      <c r="AC46" s="307">
        <f>IFERROR(IF(tblPiNAnalysis[[#This Row],[Shelter]]="", "", MROUND(tblPiNAnalysis[[#This Row],[Shelter]]/tblPiNAnalysis[[#This Row],[Population]], 0.05)), "")</f>
        <v>0.15000000000000002</v>
      </c>
      <c r="AD46" s="308">
        <f>IFERROR(IF(tblPiNAnalysis[[#This Row],[WASH]]="", "", MROUND(tblPiNAnalysis[[#This Row],[WASH]]/tblPiNAnalysis[[#This Row],[Population]], 0.05)), "")</f>
        <v>0.05</v>
      </c>
      <c r="AE46" s="306">
        <f>IFERROR(MROUND(tblPiNAnalysis[[#This Row],[CP]]/tblPiNAnalysis[[#This Row],[Population]], 0.05), "")</f>
        <v>0.1</v>
      </c>
      <c r="AF46" s="306">
        <f>IFERROR(MROUND(tblPiNAnalysis[[#This Row],[GBV]]/tblPiNAnalysis[[#This Row],[Population]], 0.05), "")</f>
        <v>0.05</v>
      </c>
      <c r="AG46" s="306">
        <f>IFERROR(MROUND(tblPiNAnalysis[[#This Row],[GP]]/tblPiNAnalysis[[#This Row],[Population]], 0.05), "")</f>
        <v>0</v>
      </c>
      <c r="AH46" s="306">
        <f>IFERROR(MROUND(tblPiNAnalysis[[#This Row],[HLP]]/tblPiNAnalysis[[#This Row],[Population]], 0.05), "")</f>
        <v>0.1</v>
      </c>
      <c r="AI46" s="309">
        <f>IFERROR(LARGE(tblPiNAnalysis[[#This Row],[CCCM]:[WASH]], 1), "")</f>
        <v>106444</v>
      </c>
      <c r="AJ46" s="310" t="str" cm="1">
        <f t="array" ref="AJ46">IF(tblPiNAnalysis[[#This Row],[Highest PiN]]="", "", _xlfn.TEXTJOIN(CHAR(10), TRUE, IF(tblPiNAnalysis[[#This Row],[Highest PiN]]=tblPiNAnalysis[[#This Row],[CCCM]:[WASH]], tblPiNAnalysis[[#Headers],[CCCM]:[WASH]], "")))</f>
        <v>Food Security</v>
      </c>
      <c r="AK46" s="311">
        <f>IF(tblPiNAnalysis[[#This Row],[Highest PiN]]="", "", tblPiNAnalysis[[#This Row],[Highest PiN]]/tblPiNAnalysis[[#This Row],[Population]])</f>
        <v>0.36266503126011485</v>
      </c>
      <c r="AL46" s="312" t="str">
        <f>IF(SUM(tblPiNAnalysis[[#This Row],[CCCM]:[WASH]])=0, "",IF(COUNTIF(tblPiNAnalysis[[#This Row],[CCCM]:[WASH]],"=0")+COUNTIF(tblPiNAnalysis[[#This Row],[CCCM]:[WASH]],"")&gt;=zero_pin_thresh, "Flagged", ""))</f>
        <v/>
      </c>
      <c r="AM46" s="313" t="str">
        <f>IFERROR(IF(tblPiNAnalysis[[#This Row],[Highest PiN]]="", "", IF(tblPiNAnalysis[[#This Row],[Highest sector(s'') PiN %]]&gt;=flag_pin_perc, "Flagged", "")), "")</f>
        <v/>
      </c>
      <c r="AN46" s="314" t="str" cm="1">
        <f t="array" ref="AN46">IF(tblPiNAnalysis[[#This Row],[Highest PiN]]=0, "",  IF(OR(COUNTIF(tblPiNAnalysis[[#This Row],[Highest sector(s)]],tblSubSectorPopulation[Sector])), "Flagged", ""))</f>
        <v/>
      </c>
      <c r="AO46" s="46" cm="1">
        <f t="array" ref="AO4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58701</v>
      </c>
      <c r="AP46" s="315" t="str" cm="1">
        <f t="array" ref="AP46">IF(tblPiNAnalysis[[#This Row],[2nd Highest PiN]]="", "", _xlfn.TEXTJOIN(CHAR(10), TRUE, IF(tblPiNAnalysis[[#This Row],[2nd Highest PiN]]=tblPiNAnalysis[[#This Row],[CCCM]:[WASH]], tblPiNAnalysis[[#Headers],[CCCM]:[WASH]], "")))</f>
        <v>CCCM</v>
      </c>
      <c r="AQ46" s="35">
        <f>IFERROR(tblPiNAnalysis[[#This Row],[2nd Highest PiN]]/tblPiNAnalysis[[#This Row],[Population]], "")</f>
        <v>0.2</v>
      </c>
      <c r="AR46" s="46">
        <f>IFERROR(tblPiNAnalysis[[#This Row],[Highest PiN]]-tblPiNAnalysis[[#This Row],[2nd Highest PiN]], "")</f>
        <v>47743</v>
      </c>
      <c r="AS46" s="38">
        <f>IFERROR(((tblPiNAnalysis[[#This Row],[Highest PiN]]-tblPiNAnalysis[[#This Row],[2nd Highest PiN]])/tblPiNAnalysis[[#This Row],[2nd Highest PiN]]),"")</f>
        <v>0.81332515630057411</v>
      </c>
      <c r="AT46" s="38" t="str" cm="1">
        <f t="array" ref="AT4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6" s="316" cm="1">
        <f t="array" ref="AU4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50644</v>
      </c>
      <c r="AV46" s="186" t="str" cm="1">
        <f t="array" ref="AV46">IF(tblPiNAnalysis[[#This Row],[3rd Highest PiN]]="", "", _xlfn.TEXTJOIN(CHAR(10), TRUE, IF(tblPiNAnalysis[[#This Row],[3rd Highest PiN]]=tblPiNAnalysis[[#This Row],[CCCM]:[WASH]], tblPiNAnalysis[[#Headers],[CCCM]:[WASH]], "")))</f>
        <v>Shelter</v>
      </c>
      <c r="AW46" s="186">
        <f>IFERROR(tblPiNAnalysis[[#This Row],[3rd Highest PiN]]/tblPiNAnalysis[[#This Row],[Population]], "")</f>
        <v>0.17254901960784313</v>
      </c>
      <c r="AX46" s="45">
        <f>IFERROR(tblPiNAnalysis[[#This Row],[Highest PiN]]-tblPiNAnalysis[[#This Row],[3rd Highest PiN]],"")</f>
        <v>55800</v>
      </c>
      <c r="AY46" s="38">
        <f>IFERROR(tblPiNAnalysis[[#This Row],[Difference of PiN between Highest and 3rd Highest]]/tblPiNAnalysis[[#This Row],[3rd Highest PiN]], "")</f>
        <v>1.1018087038938473</v>
      </c>
      <c r="AZ46" s="314" t="str" cm="1">
        <f t="array" ref="AZ4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6" s="288" cm="1">
        <f t="array" ref="BA46">IFERROR(IF(tblPiNAnalysis[[#This Row],[ID]]="", "", INDEX(tblPiNHistorical[[CCCM]:[WASH]], MATCH(tblPiNAnalysis[[#This Row],[ID]],tblPiNHistorical[ID], 0),MATCH(_xlfn._xlws.FILTER(tblPiNAnalysis[[#Headers],[CCCM]:[WASH]], tblPiNAnalysis[[#This Row],[Highest PiN]]=tblPiNAnalysis[[#This Row],[CCCM]:[WASH]]), tblPiNHistorical[[#Headers],[CCCM]:[WASH]], 0))), "")</f>
        <v>2.6</v>
      </c>
      <c r="BB46" s="317" t="str" cm="1">
        <f t="array" ref="BB4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46" s="265" cm="1">
        <f t="array" ref="BC46">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46" s="318" t="str" cm="1">
        <f t="array" ref="BD4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6" s="356">
        <f>INDEX(tblSeverityAnalysis[Final Severity], MATCH(tblPiNAnalysis[[#This Row],[ID]],tblSeverityAnalysis[ID], 0))</f>
        <v>4</v>
      </c>
      <c r="BF46" s="59">
        <f>IF(tblPiNAnalysis[[#This Row],[Severity]]&gt;2,tblPiNAnalysis[[#This Row],[Highest PiN]],)</f>
        <v>106444</v>
      </c>
      <c r="BG46" s="187"/>
      <c r="BH46" s="188"/>
      <c r="BI46" s="189">
        <f>COUNTIFS(tblPiNAnalysis[[#This Row],[Number of missing / zero PiNs greater than threshold - Data quality]:[Manual Flag]],"Flagged")</f>
        <v>3</v>
      </c>
      <c r="BJ46" s="94" t="str">
        <f>IF(tblPiNAnalysis[[#This Row],['# Flags]]&gt;0, "Flagged", "")</f>
        <v>Flagged</v>
      </c>
      <c r="BK46" s="310">
        <f>tblPiNAnalysis[[#This Row],[Preliminary PiN]]</f>
        <v>106444</v>
      </c>
      <c r="BL46" s="315"/>
      <c r="BM46" s="256">
        <f>IFERROR(IF(tblPiNAnalysis[[#This Row],[Severity]]=3,tblPiNAnalysis[[#This Row],[Final PiN]]*Thresholds!$D$35,tblPiNAnalysis[[#This Row],[Final PiN]]*Thresholds!$D$36),)</f>
        <v>106444</v>
      </c>
      <c r="BN46" s="256">
        <f>IFERROR(IF(tblPiNAnalysis[[#This Row],[Severity]]&gt;3,tblPiNAnalysis[[#This Row],[Final PiN]]*Thresholds!$D$36,),)</f>
        <v>106444</v>
      </c>
    </row>
    <row r="47" spans="1:66" ht="24.95" customHeight="1">
      <c r="A47" s="30" t="s">
        <v>154</v>
      </c>
      <c r="B47" s="39" t="s">
        <v>146</v>
      </c>
      <c r="C47" s="213" t="s">
        <v>147</v>
      </c>
      <c r="D47" s="340" t="s">
        <v>155</v>
      </c>
      <c r="E47" s="103" t="s">
        <v>154</v>
      </c>
      <c r="F47" s="98"/>
      <c r="G47" s="33"/>
      <c r="H47" s="33"/>
      <c r="I47" s="95">
        <v>247192</v>
      </c>
      <c r="J47" s="95" t="s">
        <v>193</v>
      </c>
      <c r="K47" s="319">
        <v>0</v>
      </c>
      <c r="L47" s="303">
        <v>40051</v>
      </c>
      <c r="M47" s="303">
        <v>19607</v>
      </c>
      <c r="N47" s="303">
        <v>39165</v>
      </c>
      <c r="O47" s="303">
        <v>4561.943692552536</v>
      </c>
      <c r="P47" s="303">
        <v>28920</v>
      </c>
      <c r="Q47" s="34"/>
      <c r="R47" s="303">
        <v>42315</v>
      </c>
      <c r="S47" s="32">
        <v>28920</v>
      </c>
      <c r="T47" s="32">
        <v>17062</v>
      </c>
      <c r="U47" s="32">
        <v>3386</v>
      </c>
      <c r="V47" s="303">
        <v>28920</v>
      </c>
      <c r="W47" s="305">
        <f>IFERROR(IF(tblPiNAnalysis[[#This Row],[CCCM]]="", "", MROUND(tblPiNAnalysis[[#This Row],[CCCM]]/tblPiNAnalysis[[#This Row],[Population]], 0.05)), "")</f>
        <v>0</v>
      </c>
      <c r="X47" s="306">
        <f>IFERROR(IF(tblPiNAnalysis[[#This Row],[Education]]="", "", MROUND(tblPiNAnalysis[[#This Row],[Education]]/tblPiNAnalysis[[#This Row],[Population]], 0.05)), "")</f>
        <v>0.15000000000000002</v>
      </c>
      <c r="Y47" s="306">
        <f>IFERROR(IF(tblPiNAnalysis[[#This Row],[Nutrition]]="", "", MROUND(tblPiNAnalysis[[#This Row],[Nutrition]]/tblPiNAnalysis[[#This Row],[Population]], 0.05)), "")</f>
        <v>0.1</v>
      </c>
      <c r="Z47" s="306">
        <f>IFERROR(IF(tblPiNAnalysis[[#This Row],[Food Security]]="", "", MROUND(tblPiNAnalysis[[#This Row],[Food Security]]/tblPiNAnalysis[[#This Row],[Population]], 0.05)), "")</f>
        <v>0.15000000000000002</v>
      </c>
      <c r="AA47" s="306">
        <f>IFERROR(IF(tblPiNAnalysis[[#This Row],[Health]]="", "", MROUND(tblPiNAnalysis[[#This Row],[Health]]/tblPiNAnalysis[[#This Row],[Population]], 0.05)), "")</f>
        <v>0</v>
      </c>
      <c r="AB47" s="307">
        <f>IFERROR(IF(tblPiNAnalysis[[#This Row],[Overarching Protection]]="", "", MROUND(tblPiNAnalysis[[#This Row],[Overarching Protection]]/tblPiNAnalysis[[#This Row],[Population]], 0.05)), "")</f>
        <v>0.1</v>
      </c>
      <c r="AC47" s="307" t="str">
        <f>IFERROR(IF(tblPiNAnalysis[[#This Row],[Shelter]]="", "", MROUND(tblPiNAnalysis[[#This Row],[Shelter]]/tblPiNAnalysis[[#This Row],[Population]], 0.05)), "")</f>
        <v/>
      </c>
      <c r="AD47" s="308">
        <f>IFERROR(IF(tblPiNAnalysis[[#This Row],[WASH]]="", "", MROUND(tblPiNAnalysis[[#This Row],[WASH]]/tblPiNAnalysis[[#This Row],[Population]], 0.05)), "")</f>
        <v>0.15000000000000002</v>
      </c>
      <c r="AE47" s="306">
        <f>IFERROR(MROUND(tblPiNAnalysis[[#This Row],[CP]]/tblPiNAnalysis[[#This Row],[Population]], 0.05), "")</f>
        <v>0.1</v>
      </c>
      <c r="AF47" s="306">
        <f>IFERROR(MROUND(tblPiNAnalysis[[#This Row],[GBV]]/tblPiNAnalysis[[#This Row],[Population]], 0.05), "")</f>
        <v>0.05</v>
      </c>
      <c r="AG47" s="306">
        <f>IFERROR(MROUND(tblPiNAnalysis[[#This Row],[GP]]/tblPiNAnalysis[[#This Row],[Population]], 0.05), "")</f>
        <v>0</v>
      </c>
      <c r="AH47" s="306">
        <f>IFERROR(MROUND(tblPiNAnalysis[[#This Row],[HLP]]/tblPiNAnalysis[[#This Row],[Population]], 0.05), "")</f>
        <v>0.1</v>
      </c>
      <c r="AI47" s="309">
        <f>IFERROR(LARGE(tblPiNAnalysis[[#This Row],[CCCM]:[WASH]], 1), "")</f>
        <v>42315</v>
      </c>
      <c r="AJ47" s="310" t="str" cm="1">
        <f t="array" ref="AJ47">IF(tblPiNAnalysis[[#This Row],[Highest PiN]]="", "", _xlfn.TEXTJOIN(CHAR(10), TRUE, IF(tblPiNAnalysis[[#This Row],[Highest PiN]]=tblPiNAnalysis[[#This Row],[CCCM]:[WASH]], tblPiNAnalysis[[#Headers],[CCCM]:[WASH]], "")))</f>
        <v>WASH</v>
      </c>
      <c r="AK47" s="311">
        <f>IF(tblPiNAnalysis[[#This Row],[Highest PiN]]="", "", tblPiNAnalysis[[#This Row],[Highest PiN]]/tblPiNAnalysis[[#This Row],[Population]])</f>
        <v>0.17118272436001164</v>
      </c>
      <c r="AL47" s="312" t="str">
        <f>IF(SUM(tblPiNAnalysis[[#This Row],[CCCM]:[WASH]])=0, "",IF(COUNTIF(tblPiNAnalysis[[#This Row],[CCCM]:[WASH]],"=0")+COUNTIF(tblPiNAnalysis[[#This Row],[CCCM]:[WASH]],"")&gt;=zero_pin_thresh, "Flagged", ""))</f>
        <v/>
      </c>
      <c r="AM47" s="313" t="str">
        <f>IFERROR(IF(tblPiNAnalysis[[#This Row],[Highest PiN]]="", "", IF(tblPiNAnalysis[[#This Row],[Highest sector(s'') PiN %]]&gt;=flag_pin_perc, "Flagged", "")), "")</f>
        <v/>
      </c>
      <c r="AN47" s="314" t="str" cm="1">
        <f t="array" ref="AN47">IF(tblPiNAnalysis[[#This Row],[Highest PiN]]=0, "",  IF(OR(COUNTIF(tblPiNAnalysis[[#This Row],[Highest sector(s)]],tblSubSectorPopulation[Sector])), "Flagged", ""))</f>
        <v/>
      </c>
      <c r="AO47" s="46" cm="1">
        <f t="array" ref="AO4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40051</v>
      </c>
      <c r="AP47" s="315" t="str" cm="1">
        <f t="array" ref="AP47">IF(tblPiNAnalysis[[#This Row],[2nd Highest PiN]]="", "", _xlfn.TEXTJOIN(CHAR(10), TRUE, IF(tblPiNAnalysis[[#This Row],[2nd Highest PiN]]=tblPiNAnalysis[[#This Row],[CCCM]:[WASH]], tblPiNAnalysis[[#Headers],[CCCM]:[WASH]], "")))</f>
        <v>Education</v>
      </c>
      <c r="AQ47" s="35">
        <f>IFERROR(tblPiNAnalysis[[#This Row],[2nd Highest PiN]]/tblPiNAnalysis[[#This Row],[Population]], "")</f>
        <v>0.16202385190459237</v>
      </c>
      <c r="AR47" s="46">
        <f>IFERROR(tblPiNAnalysis[[#This Row],[Highest PiN]]-tblPiNAnalysis[[#This Row],[2nd Highest PiN]], "")</f>
        <v>2264</v>
      </c>
      <c r="AS47" s="38">
        <f>IFERROR(((tblPiNAnalysis[[#This Row],[Highest PiN]]-tblPiNAnalysis[[#This Row],[2nd Highest PiN]])/tblPiNAnalysis[[#This Row],[2nd Highest PiN]]),"")</f>
        <v>5.6527926893211157E-2</v>
      </c>
      <c r="AT47" s="38" t="str" cm="1">
        <f t="array" ref="AT4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7" s="316" cm="1">
        <f t="array" ref="AU4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39165</v>
      </c>
      <c r="AV47" s="186" t="str" cm="1">
        <f t="array" ref="AV47">IF(tblPiNAnalysis[[#This Row],[3rd Highest PiN]]="", "", _xlfn.TEXTJOIN(CHAR(10), TRUE, IF(tblPiNAnalysis[[#This Row],[3rd Highest PiN]]=tblPiNAnalysis[[#This Row],[CCCM]:[WASH]], tblPiNAnalysis[[#Headers],[CCCM]:[WASH]], "")))</f>
        <v>Food Security</v>
      </c>
      <c r="AW47" s="186">
        <f>IFERROR(tblPiNAnalysis[[#This Row],[3rd Highest PiN]]/tblPiNAnalysis[[#This Row],[Population]], "")</f>
        <v>0.15843959351435322</v>
      </c>
      <c r="AX47" s="45">
        <f>IFERROR(tblPiNAnalysis[[#This Row],[Highest PiN]]-tblPiNAnalysis[[#This Row],[3rd Highest PiN]],"")</f>
        <v>3150</v>
      </c>
      <c r="AY47" s="38">
        <f>IFERROR(tblPiNAnalysis[[#This Row],[Difference of PiN between Highest and 3rd Highest]]/tblPiNAnalysis[[#This Row],[3rd Highest PiN]], "")</f>
        <v>8.0428954423592491E-2</v>
      </c>
      <c r="AZ47" s="314" t="str" cm="1">
        <f t="array" ref="AZ4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7" s="288" cm="1">
        <f t="array" ref="BA47">IFERROR(IF(tblPiNAnalysis[[#This Row],[ID]]="", "", INDEX(tblPiNHistorical[[CCCM]:[WASH]], MATCH(tblPiNAnalysis[[#This Row],[ID]],tblPiNHistorical[ID], 0),MATCH(_xlfn._xlws.FILTER(tblPiNAnalysis[[#Headers],[CCCM]:[WASH]], tblPiNAnalysis[[#This Row],[Highest PiN]]=tblPiNAnalysis[[#This Row],[CCCM]:[WASH]]), tblPiNHistorical[[#Headers],[CCCM]:[WASH]], 0))), "")</f>
        <v>0.2</v>
      </c>
      <c r="BB47" s="317" t="str" cm="1">
        <f t="array" ref="BB4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7" s="265" cm="1">
        <f t="array" ref="BC47">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47" s="318" t="str" cm="1">
        <f t="array" ref="BD4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7" s="356">
        <f>INDEX(tblSeverityAnalysis[Final Severity], MATCH(tblPiNAnalysis[[#This Row],[ID]],tblSeverityAnalysis[ID], 0))</f>
        <v>3</v>
      </c>
      <c r="BF47" s="59">
        <f>IF(tblPiNAnalysis[[#This Row],[Severity]]&gt;2,tblPiNAnalysis[[#This Row],[Highest PiN]],)</f>
        <v>42315</v>
      </c>
      <c r="BG47" s="187"/>
      <c r="BH47" s="188"/>
      <c r="BI47" s="189">
        <f>COUNTIFS(tblPiNAnalysis[[#This Row],[Number of missing / zero PiNs greater than threshold - Data quality]:[Manual Flag]],"Flagged")</f>
        <v>0</v>
      </c>
      <c r="BJ47" s="94" t="str">
        <f>IF(tblPiNAnalysis[[#This Row],['# Flags]]&gt;0, "Flagged", "")</f>
        <v/>
      </c>
      <c r="BK47" s="310">
        <f>tblPiNAnalysis[[#This Row],[Preliminary PiN]]</f>
        <v>42315</v>
      </c>
      <c r="BL47" s="315"/>
      <c r="BM47" s="256">
        <f>IFERROR(IF(tblPiNAnalysis[[#This Row],[Severity]]=3,tblPiNAnalysis[[#This Row],[Final PiN]]*Thresholds!$D$35,tblPiNAnalysis[[#This Row],[Final PiN]]*Thresholds!$D$36),)</f>
        <v>21157.5</v>
      </c>
      <c r="BN47" s="256">
        <f>IFERROR(IF(tblPiNAnalysis[[#This Row],[Severity]]&gt;3,tblPiNAnalysis[[#This Row],[Final PiN]]*Thresholds!$D$36,),)</f>
        <v>0</v>
      </c>
    </row>
    <row r="48" spans="1:66" ht="24.95" customHeight="1">
      <c r="A48" s="30" t="s">
        <v>156</v>
      </c>
      <c r="B48" s="39" t="s">
        <v>146</v>
      </c>
      <c r="C48" s="213" t="s">
        <v>147</v>
      </c>
      <c r="D48" s="340" t="s">
        <v>157</v>
      </c>
      <c r="E48" s="103" t="s">
        <v>156</v>
      </c>
      <c r="F48" s="98"/>
      <c r="G48" s="33"/>
      <c r="H48" s="33"/>
      <c r="I48" s="95">
        <v>12430</v>
      </c>
      <c r="J48" s="95" t="s">
        <v>193</v>
      </c>
      <c r="K48" s="319">
        <v>2486</v>
      </c>
      <c r="L48" s="303">
        <v>1177</v>
      </c>
      <c r="M48" s="303">
        <v>1037</v>
      </c>
      <c r="N48" s="303">
        <v>3175</v>
      </c>
      <c r="O48" s="303">
        <v>6149.3393352509975</v>
      </c>
      <c r="P48" s="303">
        <v>7927</v>
      </c>
      <c r="Q48" s="34">
        <v>2017</v>
      </c>
      <c r="R48" s="303">
        <v>8912</v>
      </c>
      <c r="S48" s="32">
        <v>1660</v>
      </c>
      <c r="T48" s="32">
        <v>3429</v>
      </c>
      <c r="U48" s="32">
        <v>7927</v>
      </c>
      <c r="V48" s="303">
        <v>1660</v>
      </c>
      <c r="W48" s="305">
        <f>IFERROR(IF(tblPiNAnalysis[[#This Row],[CCCM]]="", "", MROUND(tblPiNAnalysis[[#This Row],[CCCM]]/tblPiNAnalysis[[#This Row],[Population]], 0.05)), "")</f>
        <v>0.2</v>
      </c>
      <c r="X48" s="306">
        <f>IFERROR(IF(tblPiNAnalysis[[#This Row],[Education]]="", "", MROUND(tblPiNAnalysis[[#This Row],[Education]]/tblPiNAnalysis[[#This Row],[Population]], 0.05)), "")</f>
        <v>0.1</v>
      </c>
      <c r="Y48" s="306">
        <f>IFERROR(IF(tblPiNAnalysis[[#This Row],[Nutrition]]="", "", MROUND(tblPiNAnalysis[[#This Row],[Nutrition]]/tblPiNAnalysis[[#This Row],[Population]], 0.05)), "")</f>
        <v>0.1</v>
      </c>
      <c r="Z48" s="306">
        <f>IFERROR(IF(tblPiNAnalysis[[#This Row],[Food Security]]="", "", MROUND(tblPiNAnalysis[[#This Row],[Food Security]]/tblPiNAnalysis[[#This Row],[Population]], 0.05)), "")</f>
        <v>0.25</v>
      </c>
      <c r="AA48" s="306">
        <f>IFERROR(IF(tblPiNAnalysis[[#This Row],[Health]]="", "", MROUND(tblPiNAnalysis[[#This Row],[Health]]/tblPiNAnalysis[[#This Row],[Population]], 0.05)), "")</f>
        <v>0.5</v>
      </c>
      <c r="AB48" s="307">
        <f>IFERROR(IF(tblPiNAnalysis[[#This Row],[Overarching Protection]]="", "", MROUND(tblPiNAnalysis[[#This Row],[Overarching Protection]]/tblPiNAnalysis[[#This Row],[Population]], 0.05)), "")</f>
        <v>0.65</v>
      </c>
      <c r="AC48" s="307">
        <f>IFERROR(IF(tblPiNAnalysis[[#This Row],[Shelter]]="", "", MROUND(tblPiNAnalysis[[#This Row],[Shelter]]/tblPiNAnalysis[[#This Row],[Population]], 0.05)), "")</f>
        <v>0.15000000000000002</v>
      </c>
      <c r="AD48" s="308">
        <f>IFERROR(IF(tblPiNAnalysis[[#This Row],[WASH]]="", "", MROUND(tblPiNAnalysis[[#This Row],[WASH]]/tblPiNAnalysis[[#This Row],[Population]], 0.05)), "")</f>
        <v>0.70000000000000007</v>
      </c>
      <c r="AE48" s="306">
        <f>IFERROR(MROUND(tblPiNAnalysis[[#This Row],[CP]]/tblPiNAnalysis[[#This Row],[Population]], 0.05), "")</f>
        <v>0.15000000000000002</v>
      </c>
      <c r="AF48" s="306">
        <f>IFERROR(MROUND(tblPiNAnalysis[[#This Row],[GBV]]/tblPiNAnalysis[[#This Row],[Population]], 0.05), "")</f>
        <v>0.30000000000000004</v>
      </c>
      <c r="AG48" s="306">
        <f>IFERROR(MROUND(tblPiNAnalysis[[#This Row],[GP]]/tblPiNAnalysis[[#This Row],[Population]], 0.05), "")</f>
        <v>0.65</v>
      </c>
      <c r="AH48" s="306">
        <f>IFERROR(MROUND(tblPiNAnalysis[[#This Row],[HLP]]/tblPiNAnalysis[[#This Row],[Population]], 0.05), "")</f>
        <v>0.15000000000000002</v>
      </c>
      <c r="AI48" s="309">
        <f>IFERROR(LARGE(tblPiNAnalysis[[#This Row],[CCCM]:[WASH]], 1), "")</f>
        <v>8912</v>
      </c>
      <c r="AJ48" s="310" t="str" cm="1">
        <f t="array" ref="AJ48">IF(tblPiNAnalysis[[#This Row],[Highest PiN]]="", "", _xlfn.TEXTJOIN(CHAR(10), TRUE, IF(tblPiNAnalysis[[#This Row],[Highest PiN]]=tblPiNAnalysis[[#This Row],[CCCM]:[WASH]], tblPiNAnalysis[[#Headers],[CCCM]:[WASH]], "")))</f>
        <v>WASH</v>
      </c>
      <c r="AK48" s="311">
        <f>IF(tblPiNAnalysis[[#This Row],[Highest PiN]]="", "", tblPiNAnalysis[[#This Row],[Highest PiN]]/tblPiNAnalysis[[#This Row],[Population]])</f>
        <v>0.71697506033789216</v>
      </c>
      <c r="AL48" s="312" t="str">
        <f>IF(SUM(tblPiNAnalysis[[#This Row],[CCCM]:[WASH]])=0, "",IF(COUNTIF(tblPiNAnalysis[[#This Row],[CCCM]:[WASH]],"=0")+COUNTIF(tblPiNAnalysis[[#This Row],[CCCM]:[WASH]],"")&gt;=zero_pin_thresh, "Flagged", ""))</f>
        <v/>
      </c>
      <c r="AM48" s="313" t="str">
        <f>IFERROR(IF(tblPiNAnalysis[[#This Row],[Highest PiN]]="", "", IF(tblPiNAnalysis[[#This Row],[Highest sector(s'') PiN %]]&gt;=flag_pin_perc, "Flagged", "")), "")</f>
        <v/>
      </c>
      <c r="AN48" s="314" t="str" cm="1">
        <f t="array" ref="AN48">IF(tblPiNAnalysis[[#This Row],[Highest PiN]]=0, "",  IF(OR(COUNTIF(tblPiNAnalysis[[#This Row],[Highest sector(s)]],tblSubSectorPopulation[Sector])), "Flagged", ""))</f>
        <v/>
      </c>
      <c r="AO48" s="46" cm="1">
        <f t="array" ref="AO4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7927</v>
      </c>
      <c r="AP48" s="315" t="str" cm="1">
        <f t="array" ref="AP48">IF(tblPiNAnalysis[[#This Row],[2nd Highest PiN]]="", "", _xlfn.TEXTJOIN(CHAR(10), TRUE, IF(tblPiNAnalysis[[#This Row],[2nd Highest PiN]]=tblPiNAnalysis[[#This Row],[CCCM]:[WASH]], tblPiNAnalysis[[#Headers],[CCCM]:[WASH]], "")))</f>
        <v>Overarching Protection</v>
      </c>
      <c r="AQ48" s="35">
        <f>IFERROR(tblPiNAnalysis[[#This Row],[2nd Highest PiN]]/tblPiNAnalysis[[#This Row],[Population]], "")</f>
        <v>0.63773129525341909</v>
      </c>
      <c r="AR48" s="46">
        <f>IFERROR(tblPiNAnalysis[[#This Row],[Highest PiN]]-tblPiNAnalysis[[#This Row],[2nd Highest PiN]], "")</f>
        <v>985</v>
      </c>
      <c r="AS48" s="38">
        <f>IFERROR(((tblPiNAnalysis[[#This Row],[Highest PiN]]-tblPiNAnalysis[[#This Row],[2nd Highest PiN]])/tblPiNAnalysis[[#This Row],[2nd Highest PiN]]),"")</f>
        <v>0.12425886211681594</v>
      </c>
      <c r="AT48" s="38" t="str" cm="1">
        <f t="array" ref="AT4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8" s="316" cm="1">
        <f t="array" ref="AU4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6149.3393352509975</v>
      </c>
      <c r="AV48" s="186" t="str" cm="1">
        <f t="array" ref="AV48">IF(tblPiNAnalysis[[#This Row],[3rd Highest PiN]]="", "", _xlfn.TEXTJOIN(CHAR(10), TRUE, IF(tblPiNAnalysis[[#This Row],[3rd Highest PiN]]=tblPiNAnalysis[[#This Row],[CCCM]:[WASH]], tblPiNAnalysis[[#Headers],[CCCM]:[WASH]], "")))</f>
        <v>Health</v>
      </c>
      <c r="AW48" s="186">
        <f>IFERROR(tblPiNAnalysis[[#This Row],[3rd Highest PiN]]/tblPiNAnalysis[[#This Row],[Population]], "")</f>
        <v>0.49471756518511645</v>
      </c>
      <c r="AX48" s="45">
        <f>IFERROR(tblPiNAnalysis[[#This Row],[Highest PiN]]-tblPiNAnalysis[[#This Row],[3rd Highest PiN]],"")</f>
        <v>2762.6606647490025</v>
      </c>
      <c r="AY48" s="38">
        <f>IFERROR(tblPiNAnalysis[[#This Row],[Difference of PiN between Highest and 3rd Highest]]/tblPiNAnalysis[[#This Row],[3rd Highest PiN]], "")</f>
        <v>0.44926137819588047</v>
      </c>
      <c r="AZ48" s="314" t="str" cm="1">
        <f t="array" ref="AZ4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8" s="288" cm="1">
        <f t="array" ref="BA48">IFERROR(IF(tblPiNAnalysis[[#This Row],[ID]]="", "", INDEX(tblPiNHistorical[[CCCM]:[WASH]], MATCH(tblPiNAnalysis[[#This Row],[ID]],tblPiNHistorical[ID], 0),MATCH(_xlfn._xlws.FILTER(tblPiNAnalysis[[#Headers],[CCCM]:[WASH]], tblPiNAnalysis[[#This Row],[Highest PiN]]=tblPiNAnalysis[[#This Row],[CCCM]:[WASH]]), tblPiNHistorical[[#Headers],[CCCM]:[WASH]], 0))), "")</f>
        <v>-0.1</v>
      </c>
      <c r="BB48" s="317" t="str" cm="1">
        <f t="array" ref="BB4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8" s="265" cm="1">
        <f t="array" ref="BC48">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48" s="318" t="str" cm="1">
        <f t="array" ref="BD4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8" s="356">
        <f>INDEX(tblSeverityAnalysis[Final Severity], MATCH(tblPiNAnalysis[[#This Row],[ID]],tblSeverityAnalysis[ID], 0))</f>
        <v>3</v>
      </c>
      <c r="BF48" s="59">
        <f>IF(tblPiNAnalysis[[#This Row],[Severity]]&gt;2,tblPiNAnalysis[[#This Row],[Highest PiN]],)</f>
        <v>8912</v>
      </c>
      <c r="BG48" s="187"/>
      <c r="BH48" s="188"/>
      <c r="BI48" s="189">
        <f>COUNTIFS(tblPiNAnalysis[[#This Row],[Number of missing / zero PiNs greater than threshold - Data quality]:[Manual Flag]],"Flagged")</f>
        <v>0</v>
      </c>
      <c r="BJ48" s="94" t="str">
        <f>IF(tblPiNAnalysis[[#This Row],['# Flags]]&gt;0, "Flagged", "")</f>
        <v/>
      </c>
      <c r="BK48" s="310">
        <f>tblPiNAnalysis[[#This Row],[Preliminary PiN]]</f>
        <v>8912</v>
      </c>
      <c r="BL48" s="315"/>
      <c r="BM48" s="256">
        <f>IFERROR(IF(tblPiNAnalysis[[#This Row],[Severity]]=3,tblPiNAnalysis[[#This Row],[Final PiN]]*Thresholds!$D$35,tblPiNAnalysis[[#This Row],[Final PiN]]*Thresholds!$D$36),)</f>
        <v>4456</v>
      </c>
      <c r="BN48" s="256">
        <f>IFERROR(IF(tblPiNAnalysis[[#This Row],[Severity]]&gt;3,tblPiNAnalysis[[#This Row],[Final PiN]]*Thresholds!$D$36,),)</f>
        <v>0</v>
      </c>
    </row>
    <row r="49" spans="1:66" ht="24.95" customHeight="1">
      <c r="A49" s="30" t="s">
        <v>158</v>
      </c>
      <c r="B49" s="39" t="s">
        <v>146</v>
      </c>
      <c r="C49" s="213" t="s">
        <v>147</v>
      </c>
      <c r="D49" s="340" t="s">
        <v>159</v>
      </c>
      <c r="E49" s="103" t="s">
        <v>158</v>
      </c>
      <c r="F49" s="98"/>
      <c r="G49" s="33"/>
      <c r="H49" s="33"/>
      <c r="I49" s="95">
        <v>24084</v>
      </c>
      <c r="J49" s="95" t="s">
        <v>193</v>
      </c>
      <c r="K49" s="319">
        <v>4816.8</v>
      </c>
      <c r="L49" s="303">
        <v>3034</v>
      </c>
      <c r="M49" s="303">
        <v>2147</v>
      </c>
      <c r="N49" s="303">
        <v>13980</v>
      </c>
      <c r="O49" s="303">
        <v>18989.785508237197</v>
      </c>
      <c r="P49" s="32">
        <v>23983</v>
      </c>
      <c r="Q49" s="34">
        <v>6560</v>
      </c>
      <c r="R49" s="303">
        <v>21029</v>
      </c>
      <c r="S49" s="32">
        <v>23983</v>
      </c>
      <c r="T49" s="32">
        <v>18869</v>
      </c>
      <c r="U49" s="32">
        <v>10964</v>
      </c>
      <c r="V49" s="303">
        <v>9138</v>
      </c>
      <c r="W49" s="305">
        <f>IFERROR(IF(tblPiNAnalysis[[#This Row],[CCCM]]="", "", MROUND(tblPiNAnalysis[[#This Row],[CCCM]]/tblPiNAnalysis[[#This Row],[Population]], 0.05)), "")</f>
        <v>0.2</v>
      </c>
      <c r="X49" s="306">
        <f>IFERROR(IF(tblPiNAnalysis[[#This Row],[Education]]="", "", MROUND(tblPiNAnalysis[[#This Row],[Education]]/tblPiNAnalysis[[#This Row],[Population]], 0.05)), "")</f>
        <v>0.15000000000000002</v>
      </c>
      <c r="Y49" s="306">
        <f>IFERROR(IF(tblPiNAnalysis[[#This Row],[Nutrition]]="", "", MROUND(tblPiNAnalysis[[#This Row],[Nutrition]]/tblPiNAnalysis[[#This Row],[Population]], 0.05)), "")</f>
        <v>0.1</v>
      </c>
      <c r="Z49" s="306">
        <f>IFERROR(IF(tblPiNAnalysis[[#This Row],[Food Security]]="", "", MROUND(tblPiNAnalysis[[#This Row],[Food Security]]/tblPiNAnalysis[[#This Row],[Population]], 0.05)), "")</f>
        <v>0.60000000000000009</v>
      </c>
      <c r="AA49" s="306">
        <f>IFERROR(IF(tblPiNAnalysis[[#This Row],[Health]]="", "", MROUND(tblPiNAnalysis[[#This Row],[Health]]/tblPiNAnalysis[[#This Row],[Population]], 0.05)), "")</f>
        <v>0.8</v>
      </c>
      <c r="AB49" s="307">
        <f>IFERROR(IF(tblPiNAnalysis[[#This Row],[Overarching Protection]]="", "", MROUND(tblPiNAnalysis[[#This Row],[Overarching Protection]]/tblPiNAnalysis[[#This Row],[Population]], 0.05)), "")</f>
        <v>1</v>
      </c>
      <c r="AC49" s="307">
        <f>IFERROR(IF(tblPiNAnalysis[[#This Row],[Shelter]]="", "", MROUND(tblPiNAnalysis[[#This Row],[Shelter]]/tblPiNAnalysis[[#This Row],[Population]], 0.05)), "")</f>
        <v>0.25</v>
      </c>
      <c r="AD49" s="308">
        <f>IFERROR(IF(tblPiNAnalysis[[#This Row],[WASH]]="", "", MROUND(tblPiNAnalysis[[#This Row],[WASH]]/tblPiNAnalysis[[#This Row],[Population]], 0.05)), "")</f>
        <v>0.85000000000000009</v>
      </c>
      <c r="AE49" s="306">
        <f>IFERROR(MROUND(tblPiNAnalysis[[#This Row],[CP]]/tblPiNAnalysis[[#This Row],[Population]], 0.05), "")</f>
        <v>1</v>
      </c>
      <c r="AF49" s="306">
        <f>IFERROR(MROUND(tblPiNAnalysis[[#This Row],[GBV]]/tblPiNAnalysis[[#This Row],[Population]], 0.05), "")</f>
        <v>0.8</v>
      </c>
      <c r="AG49" s="306">
        <f>IFERROR(MROUND(tblPiNAnalysis[[#This Row],[GP]]/tblPiNAnalysis[[#This Row],[Population]], 0.05), "")</f>
        <v>0.45</v>
      </c>
      <c r="AH49" s="306">
        <f>IFERROR(MROUND(tblPiNAnalysis[[#This Row],[HLP]]/tblPiNAnalysis[[#This Row],[Population]], 0.05), "")</f>
        <v>0.4</v>
      </c>
      <c r="AI49" s="309">
        <f>IFERROR(LARGE(tblPiNAnalysis[[#This Row],[CCCM]:[WASH]], 1), "")</f>
        <v>23983</v>
      </c>
      <c r="AJ49" s="310" t="str" cm="1">
        <f t="array" ref="AJ49">IF(tblPiNAnalysis[[#This Row],[Highest PiN]]="", "", _xlfn.TEXTJOIN(CHAR(10), TRUE, IF(tblPiNAnalysis[[#This Row],[Highest PiN]]=tblPiNAnalysis[[#This Row],[CCCM]:[WASH]], tblPiNAnalysis[[#Headers],[CCCM]:[WASH]], "")))</f>
        <v>Overarching Protection</v>
      </c>
      <c r="AK49" s="311">
        <f>IF(tblPiNAnalysis[[#This Row],[Highest PiN]]="", "", tblPiNAnalysis[[#This Row],[Highest PiN]]/tblPiNAnalysis[[#This Row],[Population]])</f>
        <v>0.99580634446105298</v>
      </c>
      <c r="AL49" s="312" t="str">
        <f>IF(SUM(tblPiNAnalysis[[#This Row],[CCCM]:[WASH]])=0, "",IF(COUNTIF(tblPiNAnalysis[[#This Row],[CCCM]:[WASH]],"=0")+COUNTIF(tblPiNAnalysis[[#This Row],[CCCM]:[WASH]],"")&gt;=zero_pin_thresh, "Flagged", ""))</f>
        <v/>
      </c>
      <c r="AM49" s="313" t="str">
        <f>IFERROR(IF(tblPiNAnalysis[[#This Row],[Highest PiN]]="", "", IF(tblPiNAnalysis[[#This Row],[Highest sector(s'') PiN %]]&gt;=flag_pin_perc, "Flagged", "")), "")</f>
        <v>Flagged</v>
      </c>
      <c r="AN49" s="314" t="str" cm="1">
        <f t="array" ref="AN49">IF(tblPiNAnalysis[[#This Row],[Highest PiN]]=0, "",  IF(OR(COUNTIF(tblPiNAnalysis[[#This Row],[Highest sector(s)]],tblSubSectorPopulation[Sector])), "Flagged", ""))</f>
        <v/>
      </c>
      <c r="AO49" s="46" cm="1">
        <f t="array" ref="AO4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21029</v>
      </c>
      <c r="AP49" s="315" t="str" cm="1">
        <f t="array" ref="AP49">IF(tblPiNAnalysis[[#This Row],[2nd Highest PiN]]="", "", _xlfn.TEXTJOIN(CHAR(10), TRUE, IF(tblPiNAnalysis[[#This Row],[2nd Highest PiN]]=tblPiNAnalysis[[#This Row],[CCCM]:[WASH]], tblPiNAnalysis[[#Headers],[CCCM]:[WASH]], "")))</f>
        <v>WASH</v>
      </c>
      <c r="AQ49" s="35">
        <f>IFERROR(tblPiNAnalysis[[#This Row],[2nd Highest PiN]]/tblPiNAnalysis[[#This Row],[Population]], "")</f>
        <v>0.87315230028234514</v>
      </c>
      <c r="AR49" s="46">
        <f>IFERROR(tblPiNAnalysis[[#This Row],[Highest PiN]]-tblPiNAnalysis[[#This Row],[2nd Highest PiN]], "")</f>
        <v>2954</v>
      </c>
      <c r="AS49" s="38">
        <f>IFERROR(((tblPiNAnalysis[[#This Row],[Highest PiN]]-tblPiNAnalysis[[#This Row],[2nd Highest PiN]])/tblPiNAnalysis[[#This Row],[2nd Highest PiN]]),"")</f>
        <v>0.14047268058395548</v>
      </c>
      <c r="AT49" s="38" t="str" cm="1">
        <f t="array" ref="AT4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9" s="316" cm="1">
        <f t="array" ref="AU4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18989.785508237197</v>
      </c>
      <c r="AV49" s="186" t="str" cm="1">
        <f t="array" ref="AV49">IF(tblPiNAnalysis[[#This Row],[3rd Highest PiN]]="", "", _xlfn.TEXTJOIN(CHAR(10), TRUE, IF(tblPiNAnalysis[[#This Row],[3rd Highest PiN]]=tblPiNAnalysis[[#This Row],[CCCM]:[WASH]], tblPiNAnalysis[[#Headers],[CCCM]:[WASH]], "")))</f>
        <v>Health</v>
      </c>
      <c r="AW49" s="186">
        <f>IFERROR(tblPiNAnalysis[[#This Row],[3rd Highest PiN]]/tblPiNAnalysis[[#This Row],[Population]], "")</f>
        <v>0.78848137802014606</v>
      </c>
      <c r="AX49" s="45">
        <f>IFERROR(tblPiNAnalysis[[#This Row],[Highest PiN]]-tblPiNAnalysis[[#This Row],[3rd Highest PiN]],"")</f>
        <v>4993.2144917628029</v>
      </c>
      <c r="AY49" s="38">
        <f>IFERROR(tblPiNAnalysis[[#This Row],[Difference of PiN between Highest and 3rd Highest]]/tblPiNAnalysis[[#This Row],[3rd Highest PiN]], "")</f>
        <v>0.26294212167888348</v>
      </c>
      <c r="AZ49" s="314" t="str" cm="1">
        <f t="array" ref="AZ4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9" s="288" cm="1">
        <f t="array" ref="BA49">IFERROR(IF(tblPiNAnalysis[[#This Row],[ID]]="", "", INDEX(tblPiNHistorical[[CCCM]:[WASH]], MATCH(tblPiNAnalysis[[#This Row],[ID]],tblPiNHistorical[ID], 0),MATCH(_xlfn._xlws.FILTER(tblPiNAnalysis[[#Headers],[CCCM]:[WASH]], tblPiNAnalysis[[#This Row],[Highest PiN]]=tblPiNAnalysis[[#This Row],[CCCM]:[WASH]]), tblPiNHistorical[[#Headers],[CCCM]:[WASH]], 0))), "")</f>
        <v>0.1</v>
      </c>
      <c r="BB49" s="317" t="str" cm="1">
        <f t="array" ref="BB4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9" s="265" cm="1">
        <f t="array" ref="BC49">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49" s="318" t="str" cm="1">
        <f t="array" ref="BD4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9" s="356">
        <f>INDEX(tblSeverityAnalysis[Final Severity], MATCH(tblPiNAnalysis[[#This Row],[ID]],tblSeverityAnalysis[ID], 0))</f>
        <v>4</v>
      </c>
      <c r="BF49" s="59">
        <f>IF(tblPiNAnalysis[[#This Row],[Severity]]&gt;2,tblPiNAnalysis[[#This Row],[Highest PiN]],)</f>
        <v>23983</v>
      </c>
      <c r="BG49" s="187"/>
      <c r="BH49" s="188"/>
      <c r="BI49" s="189">
        <f>COUNTIFS(tblPiNAnalysis[[#This Row],[Number of missing / zero PiNs greater than threshold - Data quality]:[Manual Flag]],"Flagged")</f>
        <v>1</v>
      </c>
      <c r="BJ49" s="94" t="str">
        <f>IF(tblPiNAnalysis[[#This Row],['# Flags]]&gt;0, "Flagged", "")</f>
        <v>Flagged</v>
      </c>
      <c r="BK49" s="310">
        <f>tblPiNAnalysis[[#This Row],[Preliminary PiN]]</f>
        <v>23983</v>
      </c>
      <c r="BL49" s="315"/>
      <c r="BM49" s="256">
        <f>IFERROR(IF(tblPiNAnalysis[[#This Row],[Severity]]=3,tblPiNAnalysis[[#This Row],[Final PiN]]*Thresholds!$D$35,tblPiNAnalysis[[#This Row],[Final PiN]]*Thresholds!$D$36),)</f>
        <v>23983</v>
      </c>
      <c r="BN49" s="256">
        <f>IFERROR(IF(tblPiNAnalysis[[#This Row],[Severity]]&gt;3,tblPiNAnalysis[[#This Row],[Final PiN]]*Thresholds!$D$36,),)</f>
        <v>23983</v>
      </c>
    </row>
    <row r="50" spans="1:66" ht="24.95" customHeight="1">
      <c r="A50" s="30" t="s">
        <v>160</v>
      </c>
      <c r="B50" s="39" t="s">
        <v>146</v>
      </c>
      <c r="C50" s="213" t="s">
        <v>147</v>
      </c>
      <c r="D50" s="340" t="s">
        <v>161</v>
      </c>
      <c r="E50" s="103" t="s">
        <v>160</v>
      </c>
      <c r="F50" s="98"/>
      <c r="G50" s="33"/>
      <c r="H50" s="33"/>
      <c r="I50" s="95">
        <v>86578</v>
      </c>
      <c r="J50" s="95" t="s">
        <v>193</v>
      </c>
      <c r="K50" s="319">
        <v>0</v>
      </c>
      <c r="L50" s="303">
        <v>22867</v>
      </c>
      <c r="M50" s="303">
        <v>8085</v>
      </c>
      <c r="N50" s="303">
        <v>35599</v>
      </c>
      <c r="O50" s="303">
        <v>420.56718845746758</v>
      </c>
      <c r="P50" s="303">
        <v>7234</v>
      </c>
      <c r="Q50" s="34">
        <v>21105.5</v>
      </c>
      <c r="R50" s="303">
        <v>1085</v>
      </c>
      <c r="S50" s="32">
        <v>7234</v>
      </c>
      <c r="T50" s="32">
        <v>4268</v>
      </c>
      <c r="U50" s="32">
        <v>6162</v>
      </c>
      <c r="V50" s="303">
        <v>0</v>
      </c>
      <c r="W50" s="305">
        <f>IFERROR(IF(tblPiNAnalysis[[#This Row],[CCCM]]="", "", MROUND(tblPiNAnalysis[[#This Row],[CCCM]]/tblPiNAnalysis[[#This Row],[Population]], 0.05)), "")</f>
        <v>0</v>
      </c>
      <c r="X50" s="306">
        <f>IFERROR(IF(tblPiNAnalysis[[#This Row],[Education]]="", "", MROUND(tblPiNAnalysis[[#This Row],[Education]]/tblPiNAnalysis[[#This Row],[Population]], 0.05)), "")</f>
        <v>0.25</v>
      </c>
      <c r="Y50" s="306">
        <f>IFERROR(IF(tblPiNAnalysis[[#This Row],[Nutrition]]="", "", MROUND(tblPiNAnalysis[[#This Row],[Nutrition]]/tblPiNAnalysis[[#This Row],[Population]], 0.05)), "")</f>
        <v>0.1</v>
      </c>
      <c r="Z50" s="306">
        <f>IFERROR(IF(tblPiNAnalysis[[#This Row],[Food Security]]="", "", MROUND(tblPiNAnalysis[[#This Row],[Food Security]]/tblPiNAnalysis[[#This Row],[Population]], 0.05)), "")</f>
        <v>0.4</v>
      </c>
      <c r="AA50" s="306">
        <f>IFERROR(IF(tblPiNAnalysis[[#This Row],[Health]]="", "", MROUND(tblPiNAnalysis[[#This Row],[Health]]/tblPiNAnalysis[[#This Row],[Population]], 0.05)), "")</f>
        <v>0</v>
      </c>
      <c r="AB50" s="307">
        <f>IFERROR(IF(tblPiNAnalysis[[#This Row],[Overarching Protection]]="", "", MROUND(tblPiNAnalysis[[#This Row],[Overarching Protection]]/tblPiNAnalysis[[#This Row],[Population]], 0.05)), "")</f>
        <v>0.1</v>
      </c>
      <c r="AC50" s="307">
        <f>IFERROR(IF(tblPiNAnalysis[[#This Row],[Shelter]]="", "", MROUND(tblPiNAnalysis[[#This Row],[Shelter]]/tblPiNAnalysis[[#This Row],[Population]], 0.05)), "")</f>
        <v>0.25</v>
      </c>
      <c r="AD50" s="308">
        <f>IFERROR(IF(tblPiNAnalysis[[#This Row],[WASH]]="", "", MROUND(tblPiNAnalysis[[#This Row],[WASH]]/tblPiNAnalysis[[#This Row],[Population]], 0.05)), "")</f>
        <v>0</v>
      </c>
      <c r="AE50" s="306">
        <f>IFERROR(MROUND(tblPiNAnalysis[[#This Row],[CP]]/tblPiNAnalysis[[#This Row],[Population]], 0.05), "")</f>
        <v>0.1</v>
      </c>
      <c r="AF50" s="306">
        <f>IFERROR(MROUND(tblPiNAnalysis[[#This Row],[GBV]]/tblPiNAnalysis[[#This Row],[Population]], 0.05), "")</f>
        <v>0.05</v>
      </c>
      <c r="AG50" s="306">
        <f>IFERROR(MROUND(tblPiNAnalysis[[#This Row],[GP]]/tblPiNAnalysis[[#This Row],[Population]], 0.05), "")</f>
        <v>0.05</v>
      </c>
      <c r="AH50" s="306">
        <f>IFERROR(MROUND(tblPiNAnalysis[[#This Row],[HLP]]/tblPiNAnalysis[[#This Row],[Population]], 0.05), "")</f>
        <v>0</v>
      </c>
      <c r="AI50" s="309">
        <f>IFERROR(LARGE(tblPiNAnalysis[[#This Row],[CCCM]:[WASH]], 1), "")</f>
        <v>35599</v>
      </c>
      <c r="AJ50" s="310" t="str" cm="1">
        <f t="array" ref="AJ50">IF(tblPiNAnalysis[[#This Row],[Highest PiN]]="", "", _xlfn.TEXTJOIN(CHAR(10), TRUE, IF(tblPiNAnalysis[[#This Row],[Highest PiN]]=tblPiNAnalysis[[#This Row],[CCCM]:[WASH]], tblPiNAnalysis[[#Headers],[CCCM]:[WASH]], "")))</f>
        <v>Food Security</v>
      </c>
      <c r="AK50" s="311">
        <f>IF(tblPiNAnalysis[[#This Row],[Highest PiN]]="", "", tblPiNAnalysis[[#This Row],[Highest PiN]]/tblPiNAnalysis[[#This Row],[Population]])</f>
        <v>0.41117835939846148</v>
      </c>
      <c r="AL50" s="312" t="str">
        <f>IF(SUM(tblPiNAnalysis[[#This Row],[CCCM]:[WASH]])=0, "",IF(COUNTIF(tblPiNAnalysis[[#This Row],[CCCM]:[WASH]],"=0")+COUNTIF(tblPiNAnalysis[[#This Row],[CCCM]:[WASH]],"")&gt;=zero_pin_thresh, "Flagged", ""))</f>
        <v/>
      </c>
      <c r="AM50" s="313" t="str">
        <f>IFERROR(IF(tblPiNAnalysis[[#This Row],[Highest PiN]]="", "", IF(tblPiNAnalysis[[#This Row],[Highest sector(s'') PiN %]]&gt;=flag_pin_perc, "Flagged", "")), "")</f>
        <v/>
      </c>
      <c r="AN50" s="314" t="str" cm="1">
        <f t="array" ref="AN50">IF(tblPiNAnalysis[[#This Row],[Highest PiN]]=0, "",  IF(OR(COUNTIF(tblPiNAnalysis[[#This Row],[Highest sector(s)]],tblSubSectorPopulation[Sector])), "Flagged", ""))</f>
        <v/>
      </c>
      <c r="AO50" s="46" cm="1">
        <f t="array" ref="AO5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22867</v>
      </c>
      <c r="AP50" s="315" t="str" cm="1">
        <f t="array" ref="AP50">IF(tblPiNAnalysis[[#This Row],[2nd Highest PiN]]="", "", _xlfn.TEXTJOIN(CHAR(10), TRUE, IF(tblPiNAnalysis[[#This Row],[2nd Highest PiN]]=tblPiNAnalysis[[#This Row],[CCCM]:[WASH]], tblPiNAnalysis[[#Headers],[CCCM]:[WASH]], "")))</f>
        <v>Education</v>
      </c>
      <c r="AQ50" s="35">
        <f>IFERROR(tblPiNAnalysis[[#This Row],[2nd Highest PiN]]/tblPiNAnalysis[[#This Row],[Population]], "")</f>
        <v>0.26412021529718865</v>
      </c>
      <c r="AR50" s="46">
        <f>IFERROR(tblPiNAnalysis[[#This Row],[Highest PiN]]-tblPiNAnalysis[[#This Row],[2nd Highest PiN]], "")</f>
        <v>12732</v>
      </c>
      <c r="AS50" s="38">
        <f>IFERROR(((tblPiNAnalysis[[#This Row],[Highest PiN]]-tblPiNAnalysis[[#This Row],[2nd Highest PiN]])/tblPiNAnalysis[[#This Row],[2nd Highest PiN]]),"")</f>
        <v>0.5567848865176892</v>
      </c>
      <c r="AT50" s="38" t="str" cm="1">
        <f t="array" ref="AT5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0" s="316" cm="1">
        <f t="array" ref="AU5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21105.5</v>
      </c>
      <c r="AV50" s="186" t="str" cm="1">
        <f t="array" ref="AV50">IF(tblPiNAnalysis[[#This Row],[3rd Highest PiN]]="", "", _xlfn.TEXTJOIN(CHAR(10), TRUE, IF(tblPiNAnalysis[[#This Row],[3rd Highest PiN]]=tblPiNAnalysis[[#This Row],[CCCM]:[WASH]], tblPiNAnalysis[[#Headers],[CCCM]:[WASH]], "")))</f>
        <v>Shelter</v>
      </c>
      <c r="AW50" s="186">
        <f>IFERROR(tblPiNAnalysis[[#This Row],[3rd Highest PiN]]/tblPiNAnalysis[[#This Row],[Population]], "")</f>
        <v>0.2437743999630391</v>
      </c>
      <c r="AX50" s="45">
        <f>IFERROR(tblPiNAnalysis[[#This Row],[Highest PiN]]-tblPiNAnalysis[[#This Row],[3rd Highest PiN]],"")</f>
        <v>14493.5</v>
      </c>
      <c r="AY50" s="38">
        <f>IFERROR(tblPiNAnalysis[[#This Row],[Difference of PiN between Highest and 3rd Highest]]/tblPiNAnalysis[[#This Row],[3rd Highest PiN]], "")</f>
        <v>0.68671673260524513</v>
      </c>
      <c r="AZ50" s="314" t="str" cm="1">
        <f t="array" ref="AZ5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0" s="288" cm="1">
        <f t="array" ref="BA50">IFERROR(IF(tblPiNAnalysis[[#This Row],[ID]]="", "", INDEX(tblPiNHistorical[[CCCM]:[WASH]], MATCH(tblPiNAnalysis[[#This Row],[ID]],tblPiNHistorical[ID], 0),MATCH(_xlfn._xlws.FILTER(tblPiNAnalysis[[#Headers],[CCCM]:[WASH]], tblPiNAnalysis[[#This Row],[Highest PiN]]=tblPiNAnalysis[[#This Row],[CCCM]:[WASH]]), tblPiNHistorical[[#Headers],[CCCM]:[WASH]], 0))), "")</f>
        <v>0.7</v>
      </c>
      <c r="BB50" s="317" t="str" cm="1">
        <f t="array" ref="BB5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0" s="265" cm="1">
        <f t="array" ref="BC50">IFERROR(IF(tblPiNAnalysis[[#This Row],[ID]]="", "", INDEX(tblPiNHistorical[[CCCM]:[WASH]], MATCH(tblPiNAnalysis[[#This Row],[ID]],tblPiNHistorical[ID], 0),MATCH(_xlfn._xlws.FILTER(tblPiNAnalysis[[#Headers],[CCCM]:[WASH]], tblPiNAnalysis[[#This Row],[2nd Highest PiN]]=tblPiNAnalysis[[#This Row],[CCCM]:[WASH]]), tblPiNHistorical[[#Headers],[CCCM]:[WASH]], 0))), "")</f>
        <v>0.9</v>
      </c>
      <c r="BD50" s="318" t="str" cm="1">
        <f t="array" ref="BD5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0" s="356">
        <f>INDEX(tblSeverityAnalysis[Final Severity], MATCH(tblPiNAnalysis[[#This Row],[ID]],tblSeverityAnalysis[ID], 0))</f>
        <v>3</v>
      </c>
      <c r="BF50" s="59">
        <f>IF(tblPiNAnalysis[[#This Row],[Severity]]&gt;2,tblPiNAnalysis[[#This Row],[Highest PiN]],)</f>
        <v>35599</v>
      </c>
      <c r="BG50" s="187"/>
      <c r="BH50" s="188"/>
      <c r="BI50" s="189">
        <f>COUNTIFS(tblPiNAnalysis[[#This Row],[Number of missing / zero PiNs greater than threshold - Data quality]:[Manual Flag]],"Flagged")</f>
        <v>2</v>
      </c>
      <c r="BJ50" s="94" t="str">
        <f>IF(tblPiNAnalysis[[#This Row],['# Flags]]&gt;0, "Flagged", "")</f>
        <v>Flagged</v>
      </c>
      <c r="BK50" s="310">
        <f>tblPiNAnalysis[[#This Row],[Preliminary PiN]]</f>
        <v>35599</v>
      </c>
      <c r="BL50" s="315"/>
      <c r="BM50" s="256">
        <f>IFERROR(IF(tblPiNAnalysis[[#This Row],[Severity]]=3,tblPiNAnalysis[[#This Row],[Final PiN]]*Thresholds!$D$35,tblPiNAnalysis[[#This Row],[Final PiN]]*Thresholds!$D$36),)</f>
        <v>17799.5</v>
      </c>
      <c r="BN50" s="256">
        <f>IFERROR(IF(tblPiNAnalysis[[#This Row],[Severity]]&gt;3,tblPiNAnalysis[[#This Row],[Final PiN]]*Thresholds!$D$36,),)</f>
        <v>0</v>
      </c>
    </row>
    <row r="51" spans="1:66" ht="24.95" customHeight="1">
      <c r="A51" s="30" t="s">
        <v>162</v>
      </c>
      <c r="B51" s="39" t="s">
        <v>146</v>
      </c>
      <c r="C51" s="213" t="s">
        <v>147</v>
      </c>
      <c r="D51" s="340" t="s">
        <v>163</v>
      </c>
      <c r="E51" s="103" t="s">
        <v>162</v>
      </c>
      <c r="F51" s="98"/>
      <c r="G51" s="33"/>
      <c r="H51" s="33"/>
      <c r="I51" s="95">
        <v>23950</v>
      </c>
      <c r="J51" s="95" t="s">
        <v>193</v>
      </c>
      <c r="K51" s="319">
        <v>0</v>
      </c>
      <c r="L51" s="303">
        <v>2194</v>
      </c>
      <c r="M51" s="303">
        <v>1854</v>
      </c>
      <c r="N51" s="303">
        <v>3797</v>
      </c>
      <c r="O51" s="303">
        <v>487.6424780881519</v>
      </c>
      <c r="P51" s="303">
        <v>12599</v>
      </c>
      <c r="Q51" s="34">
        <v>623.5</v>
      </c>
      <c r="R51" s="303">
        <v>5365</v>
      </c>
      <c r="S51" s="32">
        <v>2496</v>
      </c>
      <c r="T51" s="32">
        <v>1472</v>
      </c>
      <c r="U51" s="32">
        <v>12599</v>
      </c>
      <c r="V51" s="303">
        <v>0</v>
      </c>
      <c r="W51" s="305">
        <f>IFERROR(IF(tblPiNAnalysis[[#This Row],[CCCM]]="", "", MROUND(tblPiNAnalysis[[#This Row],[CCCM]]/tblPiNAnalysis[[#This Row],[Population]], 0.05)), "")</f>
        <v>0</v>
      </c>
      <c r="X51" s="306">
        <f>IFERROR(IF(tblPiNAnalysis[[#This Row],[Education]]="", "", MROUND(tblPiNAnalysis[[#This Row],[Education]]/tblPiNAnalysis[[#This Row],[Population]], 0.05)), "")</f>
        <v>0.1</v>
      </c>
      <c r="Y51" s="306">
        <f>IFERROR(IF(tblPiNAnalysis[[#This Row],[Nutrition]]="", "", MROUND(tblPiNAnalysis[[#This Row],[Nutrition]]/tblPiNAnalysis[[#This Row],[Population]], 0.05)), "")</f>
        <v>0.1</v>
      </c>
      <c r="Z51" s="306">
        <f>IFERROR(IF(tblPiNAnalysis[[#This Row],[Food Security]]="", "", MROUND(tblPiNAnalysis[[#This Row],[Food Security]]/tblPiNAnalysis[[#This Row],[Population]], 0.05)), "")</f>
        <v>0.15000000000000002</v>
      </c>
      <c r="AA51" s="306">
        <f>IFERROR(IF(tblPiNAnalysis[[#This Row],[Health]]="", "", MROUND(tblPiNAnalysis[[#This Row],[Health]]/tblPiNAnalysis[[#This Row],[Population]], 0.05)), "")</f>
        <v>0</v>
      </c>
      <c r="AB51" s="307">
        <f>IFERROR(IF(tblPiNAnalysis[[#This Row],[Overarching Protection]]="", "", MROUND(tblPiNAnalysis[[#This Row],[Overarching Protection]]/tblPiNAnalysis[[#This Row],[Population]], 0.05)), "")</f>
        <v>0.55000000000000004</v>
      </c>
      <c r="AC51" s="307">
        <f>IFERROR(IF(tblPiNAnalysis[[#This Row],[Shelter]]="", "", MROUND(tblPiNAnalysis[[#This Row],[Shelter]]/tblPiNAnalysis[[#This Row],[Population]], 0.05)), "")</f>
        <v>0.05</v>
      </c>
      <c r="AD51" s="308">
        <f>IFERROR(IF(tblPiNAnalysis[[#This Row],[WASH]]="", "", MROUND(tblPiNAnalysis[[#This Row],[WASH]]/tblPiNAnalysis[[#This Row],[Population]], 0.05)), "")</f>
        <v>0.2</v>
      </c>
      <c r="AE51" s="306">
        <f>IFERROR(MROUND(tblPiNAnalysis[[#This Row],[CP]]/tblPiNAnalysis[[#This Row],[Population]], 0.05), "")</f>
        <v>0.1</v>
      </c>
      <c r="AF51" s="306">
        <f>IFERROR(MROUND(tblPiNAnalysis[[#This Row],[GBV]]/tblPiNAnalysis[[#This Row],[Population]], 0.05), "")</f>
        <v>0.05</v>
      </c>
      <c r="AG51" s="306">
        <f>IFERROR(MROUND(tblPiNAnalysis[[#This Row],[GP]]/tblPiNAnalysis[[#This Row],[Population]], 0.05), "")</f>
        <v>0.55000000000000004</v>
      </c>
      <c r="AH51" s="306">
        <f>IFERROR(MROUND(tblPiNAnalysis[[#This Row],[HLP]]/tblPiNAnalysis[[#This Row],[Population]], 0.05), "")</f>
        <v>0</v>
      </c>
      <c r="AI51" s="309">
        <f>IFERROR(LARGE(tblPiNAnalysis[[#This Row],[CCCM]:[WASH]], 1), "")</f>
        <v>12599</v>
      </c>
      <c r="AJ51" s="310" t="str" cm="1">
        <f t="array" ref="AJ51">IF(tblPiNAnalysis[[#This Row],[Highest PiN]]="", "", _xlfn.TEXTJOIN(CHAR(10), TRUE, IF(tblPiNAnalysis[[#This Row],[Highest PiN]]=tblPiNAnalysis[[#This Row],[CCCM]:[WASH]], tblPiNAnalysis[[#Headers],[CCCM]:[WASH]], "")))</f>
        <v>Overarching Protection</v>
      </c>
      <c r="AK51" s="311">
        <f>IF(tblPiNAnalysis[[#This Row],[Highest PiN]]="", "", tblPiNAnalysis[[#This Row],[Highest PiN]]/tblPiNAnalysis[[#This Row],[Population]])</f>
        <v>0.52605427974947805</v>
      </c>
      <c r="AL51" s="312" t="str">
        <f>IF(SUM(tblPiNAnalysis[[#This Row],[CCCM]:[WASH]])=0, "",IF(COUNTIF(tblPiNAnalysis[[#This Row],[CCCM]:[WASH]],"=0")+COUNTIF(tblPiNAnalysis[[#This Row],[CCCM]:[WASH]],"")&gt;=zero_pin_thresh, "Flagged", ""))</f>
        <v/>
      </c>
      <c r="AM51" s="313" t="str">
        <f>IFERROR(IF(tblPiNAnalysis[[#This Row],[Highest PiN]]="", "", IF(tblPiNAnalysis[[#This Row],[Highest sector(s'') PiN %]]&gt;=flag_pin_perc, "Flagged", "")), "")</f>
        <v/>
      </c>
      <c r="AN51" s="314" t="str" cm="1">
        <f t="array" ref="AN51">IF(tblPiNAnalysis[[#This Row],[Highest PiN]]=0, "",  IF(OR(COUNTIF(tblPiNAnalysis[[#This Row],[Highest sector(s)]],tblSubSectorPopulation[Sector])), "Flagged", ""))</f>
        <v/>
      </c>
      <c r="AO51" s="46" cm="1">
        <f t="array" ref="AO5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5365</v>
      </c>
      <c r="AP51" s="315" t="str" cm="1">
        <f t="array" ref="AP51">IF(tblPiNAnalysis[[#This Row],[2nd Highest PiN]]="", "", _xlfn.TEXTJOIN(CHAR(10), TRUE, IF(tblPiNAnalysis[[#This Row],[2nd Highest PiN]]=tblPiNAnalysis[[#This Row],[CCCM]:[WASH]], tblPiNAnalysis[[#Headers],[CCCM]:[WASH]], "")))</f>
        <v>WASH</v>
      </c>
      <c r="AQ51" s="35">
        <f>IFERROR(tblPiNAnalysis[[#This Row],[2nd Highest PiN]]/tblPiNAnalysis[[#This Row],[Population]], "")</f>
        <v>0.22400835073068895</v>
      </c>
      <c r="AR51" s="46">
        <f>IFERROR(tblPiNAnalysis[[#This Row],[Highest PiN]]-tblPiNAnalysis[[#This Row],[2nd Highest PiN]], "")</f>
        <v>7234</v>
      </c>
      <c r="AS51" s="38">
        <f>IFERROR(((tblPiNAnalysis[[#This Row],[Highest PiN]]-tblPiNAnalysis[[#This Row],[2nd Highest PiN]])/tblPiNAnalysis[[#This Row],[2nd Highest PiN]]),"")</f>
        <v>1.3483690587138863</v>
      </c>
      <c r="AT51" s="38" t="str" cm="1">
        <f t="array" ref="AT5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1" s="316" cm="1">
        <f t="array" ref="AU5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3797</v>
      </c>
      <c r="AV51" s="186" t="str" cm="1">
        <f t="array" ref="AV51">IF(tblPiNAnalysis[[#This Row],[3rd Highest PiN]]="", "", _xlfn.TEXTJOIN(CHAR(10), TRUE, IF(tblPiNAnalysis[[#This Row],[3rd Highest PiN]]=tblPiNAnalysis[[#This Row],[CCCM]:[WASH]], tblPiNAnalysis[[#Headers],[CCCM]:[WASH]], "")))</f>
        <v>Food Security</v>
      </c>
      <c r="AW51" s="186">
        <f>IFERROR(tblPiNAnalysis[[#This Row],[3rd Highest PiN]]/tblPiNAnalysis[[#This Row],[Population]], "")</f>
        <v>0.15853862212943631</v>
      </c>
      <c r="AX51" s="45">
        <f>IFERROR(tblPiNAnalysis[[#This Row],[Highest PiN]]-tblPiNAnalysis[[#This Row],[3rd Highest PiN]],"")</f>
        <v>8802</v>
      </c>
      <c r="AY51" s="38">
        <f>IFERROR(tblPiNAnalysis[[#This Row],[Difference of PiN between Highest and 3rd Highest]]/tblPiNAnalysis[[#This Row],[3rd Highest PiN]], "")</f>
        <v>2.3181459046615749</v>
      </c>
      <c r="AZ51" s="314" t="str" cm="1">
        <f t="array" ref="AZ5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1" s="288" cm="1">
        <f t="array" ref="BA51">IFERROR(IF(tblPiNAnalysis[[#This Row],[ID]]="", "", INDEX(tblPiNHistorical[[CCCM]:[WASH]], MATCH(tblPiNAnalysis[[#This Row],[ID]],tblPiNHistorical[ID], 0),MATCH(_xlfn._xlws.FILTER(tblPiNAnalysis[[#Headers],[CCCM]:[WASH]], tblPiNAnalysis[[#This Row],[Highest PiN]]=tblPiNAnalysis[[#This Row],[CCCM]:[WASH]]), tblPiNHistorical[[#Headers],[CCCM]:[WASH]], 0))), "")</f>
        <v>1</v>
      </c>
      <c r="BB51" s="317" t="str" cm="1">
        <f t="array" ref="BB5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51" s="265" cm="1">
        <f t="array" ref="BC51">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51" s="318" t="str" cm="1">
        <f t="array" ref="BD5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1" s="356">
        <f>INDEX(tblSeverityAnalysis[Final Severity], MATCH(tblPiNAnalysis[[#This Row],[ID]],tblSeverityAnalysis[ID], 0))</f>
        <v>3</v>
      </c>
      <c r="BF51" s="59">
        <f>IF(tblPiNAnalysis[[#This Row],[Severity]]&gt;2,tblPiNAnalysis[[#This Row],[Highest PiN]],)</f>
        <v>12599</v>
      </c>
      <c r="BG51" s="187"/>
      <c r="BH51" s="188"/>
      <c r="BI51" s="189">
        <f>COUNTIFS(tblPiNAnalysis[[#This Row],[Number of missing / zero PiNs greater than threshold - Data quality]:[Manual Flag]],"Flagged")</f>
        <v>3</v>
      </c>
      <c r="BJ51" s="94" t="str">
        <f>IF(tblPiNAnalysis[[#This Row],['# Flags]]&gt;0, "Flagged", "")</f>
        <v>Flagged</v>
      </c>
      <c r="BK51" s="310">
        <f>tblPiNAnalysis[[#This Row],[Preliminary PiN]]</f>
        <v>12599</v>
      </c>
      <c r="BL51" s="315"/>
      <c r="BM51" s="256">
        <f>IFERROR(IF(tblPiNAnalysis[[#This Row],[Severity]]=3,tblPiNAnalysis[[#This Row],[Final PiN]]*Thresholds!$D$35,tblPiNAnalysis[[#This Row],[Final PiN]]*Thresholds!$D$36),)</f>
        <v>6299.5</v>
      </c>
      <c r="BN51" s="256">
        <f>IFERROR(IF(tblPiNAnalysis[[#This Row],[Severity]]&gt;3,tblPiNAnalysis[[#This Row],[Final PiN]]*Thresholds!$D$36,),)</f>
        <v>0</v>
      </c>
    </row>
    <row r="52" spans="1:66" ht="24.95" customHeight="1">
      <c r="A52" s="30" t="s">
        <v>164</v>
      </c>
      <c r="B52" s="39" t="s">
        <v>146</v>
      </c>
      <c r="C52" s="213" t="s">
        <v>147</v>
      </c>
      <c r="D52" s="340" t="s">
        <v>165</v>
      </c>
      <c r="E52" s="103" t="s">
        <v>164</v>
      </c>
      <c r="F52" s="98"/>
      <c r="G52" s="33"/>
      <c r="H52" s="33"/>
      <c r="I52" s="95">
        <v>91333</v>
      </c>
      <c r="J52" s="95" t="s">
        <v>193</v>
      </c>
      <c r="K52" s="319">
        <v>18266.600000000002</v>
      </c>
      <c r="L52" s="303">
        <v>6510</v>
      </c>
      <c r="M52" s="303">
        <v>6998</v>
      </c>
      <c r="N52" s="303">
        <v>49274</v>
      </c>
      <c r="O52" s="303">
        <v>1884.7861962463521</v>
      </c>
      <c r="P52" s="303">
        <v>41370</v>
      </c>
      <c r="Q52" s="34">
        <v>19253</v>
      </c>
      <c r="R52" s="303">
        <v>32867</v>
      </c>
      <c r="S52" s="32">
        <v>10714</v>
      </c>
      <c r="T52" s="32">
        <v>6321</v>
      </c>
      <c r="U52" s="32">
        <v>41370</v>
      </c>
      <c r="V52" s="303">
        <v>10714</v>
      </c>
      <c r="W52" s="305">
        <f>IFERROR(IF(tblPiNAnalysis[[#This Row],[CCCM]]="", "", MROUND(tblPiNAnalysis[[#This Row],[CCCM]]/tblPiNAnalysis[[#This Row],[Population]], 0.05)), "")</f>
        <v>0.2</v>
      </c>
      <c r="X52" s="306">
        <f>IFERROR(IF(tblPiNAnalysis[[#This Row],[Education]]="", "", MROUND(tblPiNAnalysis[[#This Row],[Education]]/tblPiNAnalysis[[#This Row],[Population]], 0.05)), "")</f>
        <v>0.05</v>
      </c>
      <c r="Y52" s="306">
        <f>IFERROR(IF(tblPiNAnalysis[[#This Row],[Nutrition]]="", "", MROUND(tblPiNAnalysis[[#This Row],[Nutrition]]/tblPiNAnalysis[[#This Row],[Population]], 0.05)), "")</f>
        <v>0.1</v>
      </c>
      <c r="Z52" s="306">
        <f>IFERROR(IF(tblPiNAnalysis[[#This Row],[Food Security]]="", "", MROUND(tblPiNAnalysis[[#This Row],[Food Security]]/tblPiNAnalysis[[#This Row],[Population]], 0.05)), "")</f>
        <v>0.55000000000000004</v>
      </c>
      <c r="AA52" s="306">
        <f>IFERROR(IF(tblPiNAnalysis[[#This Row],[Health]]="", "", MROUND(tblPiNAnalysis[[#This Row],[Health]]/tblPiNAnalysis[[#This Row],[Population]], 0.05)), "")</f>
        <v>0</v>
      </c>
      <c r="AB52" s="307">
        <f>IFERROR(IF(tblPiNAnalysis[[#This Row],[Overarching Protection]]="", "", MROUND(tblPiNAnalysis[[#This Row],[Overarching Protection]]/tblPiNAnalysis[[#This Row],[Population]], 0.05)), "")</f>
        <v>0.45</v>
      </c>
      <c r="AC52" s="307">
        <f>IFERROR(IF(tblPiNAnalysis[[#This Row],[Shelter]]="", "", MROUND(tblPiNAnalysis[[#This Row],[Shelter]]/tblPiNAnalysis[[#This Row],[Population]], 0.05)), "")</f>
        <v>0.2</v>
      </c>
      <c r="AD52" s="308">
        <f>IFERROR(IF(tblPiNAnalysis[[#This Row],[WASH]]="", "", MROUND(tblPiNAnalysis[[#This Row],[WASH]]/tblPiNAnalysis[[#This Row],[Population]], 0.05)), "")</f>
        <v>0.35000000000000003</v>
      </c>
      <c r="AE52" s="306">
        <f>IFERROR(MROUND(tblPiNAnalysis[[#This Row],[CP]]/tblPiNAnalysis[[#This Row],[Population]], 0.05), "")</f>
        <v>0.1</v>
      </c>
      <c r="AF52" s="306">
        <f>IFERROR(MROUND(tblPiNAnalysis[[#This Row],[GBV]]/tblPiNAnalysis[[#This Row],[Population]], 0.05), "")</f>
        <v>0.05</v>
      </c>
      <c r="AG52" s="306">
        <f>IFERROR(MROUND(tblPiNAnalysis[[#This Row],[GP]]/tblPiNAnalysis[[#This Row],[Population]], 0.05), "")</f>
        <v>0.45</v>
      </c>
      <c r="AH52" s="306">
        <f>IFERROR(MROUND(tblPiNAnalysis[[#This Row],[HLP]]/tblPiNAnalysis[[#This Row],[Population]], 0.05), "")</f>
        <v>0.1</v>
      </c>
      <c r="AI52" s="309">
        <f>IFERROR(LARGE(tblPiNAnalysis[[#This Row],[CCCM]:[WASH]], 1), "")</f>
        <v>49274</v>
      </c>
      <c r="AJ52" s="310" t="str" cm="1">
        <f t="array" ref="AJ52">IF(tblPiNAnalysis[[#This Row],[Highest PiN]]="", "", _xlfn.TEXTJOIN(CHAR(10), TRUE, IF(tblPiNAnalysis[[#This Row],[Highest PiN]]=tblPiNAnalysis[[#This Row],[CCCM]:[WASH]], tblPiNAnalysis[[#Headers],[CCCM]:[WASH]], "")))</f>
        <v>Food Security</v>
      </c>
      <c r="AK52" s="311">
        <f>IF(tblPiNAnalysis[[#This Row],[Highest PiN]]="", "", tblPiNAnalysis[[#This Row],[Highest PiN]]/tblPiNAnalysis[[#This Row],[Population]])</f>
        <v>0.53949831933693193</v>
      </c>
      <c r="AL52" s="312" t="str">
        <f>IF(SUM(tblPiNAnalysis[[#This Row],[CCCM]:[WASH]])=0, "",IF(COUNTIF(tblPiNAnalysis[[#This Row],[CCCM]:[WASH]],"=0")+COUNTIF(tblPiNAnalysis[[#This Row],[CCCM]:[WASH]],"")&gt;=zero_pin_thresh, "Flagged", ""))</f>
        <v/>
      </c>
      <c r="AM52" s="313" t="str">
        <f>IFERROR(IF(tblPiNAnalysis[[#This Row],[Highest PiN]]="", "", IF(tblPiNAnalysis[[#This Row],[Highest sector(s'') PiN %]]&gt;=flag_pin_perc, "Flagged", "")), "")</f>
        <v/>
      </c>
      <c r="AN52" s="314" t="str" cm="1">
        <f t="array" ref="AN52">IF(tblPiNAnalysis[[#This Row],[Highest PiN]]=0, "",  IF(OR(COUNTIF(tblPiNAnalysis[[#This Row],[Highest sector(s)]],tblSubSectorPopulation[Sector])), "Flagged", ""))</f>
        <v/>
      </c>
      <c r="AO52" s="46" cm="1">
        <f t="array" ref="AO5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41370</v>
      </c>
      <c r="AP52" s="315" t="str" cm="1">
        <f t="array" ref="AP52">IF(tblPiNAnalysis[[#This Row],[2nd Highest PiN]]="", "", _xlfn.TEXTJOIN(CHAR(10), TRUE, IF(tblPiNAnalysis[[#This Row],[2nd Highest PiN]]=tblPiNAnalysis[[#This Row],[CCCM]:[WASH]], tblPiNAnalysis[[#Headers],[CCCM]:[WASH]], "")))</f>
        <v>Overarching Protection</v>
      </c>
      <c r="AQ52" s="35">
        <f>IFERROR(tblPiNAnalysis[[#This Row],[2nd Highest PiN]]/tblPiNAnalysis[[#This Row],[Population]], "")</f>
        <v>0.45295785751042889</v>
      </c>
      <c r="AR52" s="46">
        <f>IFERROR(tblPiNAnalysis[[#This Row],[Highest PiN]]-tblPiNAnalysis[[#This Row],[2nd Highest PiN]], "")</f>
        <v>7904</v>
      </c>
      <c r="AS52" s="38">
        <f>IFERROR(((tblPiNAnalysis[[#This Row],[Highest PiN]]-tblPiNAnalysis[[#This Row],[2nd Highest PiN]])/tblPiNAnalysis[[#This Row],[2nd Highest PiN]]),"")</f>
        <v>0.19105632100555958</v>
      </c>
      <c r="AT52" s="38" t="str" cm="1">
        <f t="array" ref="AT5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2" s="316" cm="1">
        <f t="array" ref="AU5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32867</v>
      </c>
      <c r="AV52" s="186" t="str" cm="1">
        <f t="array" ref="AV52">IF(tblPiNAnalysis[[#This Row],[3rd Highest PiN]]="", "", _xlfn.TEXTJOIN(CHAR(10), TRUE, IF(tblPiNAnalysis[[#This Row],[3rd Highest PiN]]=tblPiNAnalysis[[#This Row],[CCCM]:[WASH]], tblPiNAnalysis[[#Headers],[CCCM]:[WASH]], "")))</f>
        <v>WASH</v>
      </c>
      <c r="AW52" s="186">
        <f>IFERROR(tblPiNAnalysis[[#This Row],[3rd Highest PiN]]/tblPiNAnalysis[[#This Row],[Population]], "")</f>
        <v>0.35985897758750945</v>
      </c>
      <c r="AX52" s="45">
        <f>IFERROR(tblPiNAnalysis[[#This Row],[Highest PiN]]-tblPiNAnalysis[[#This Row],[3rd Highest PiN]],"")</f>
        <v>16407</v>
      </c>
      <c r="AY52" s="38">
        <f>IFERROR(tblPiNAnalysis[[#This Row],[Difference of PiN between Highest and 3rd Highest]]/tblPiNAnalysis[[#This Row],[3rd Highest PiN]], "")</f>
        <v>0.4991937201448261</v>
      </c>
      <c r="AZ52" s="314" t="str" cm="1">
        <f t="array" ref="AZ5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2" s="288" cm="1">
        <f t="array" ref="BA52">IFERROR(IF(tblPiNAnalysis[[#This Row],[ID]]="", "", INDEX(tblPiNHistorical[[CCCM]:[WASH]], MATCH(tblPiNAnalysis[[#This Row],[ID]],tblPiNHistorical[ID], 0),MATCH(_xlfn._xlws.FILTER(tblPiNAnalysis[[#Headers],[CCCM]:[WASH]], tblPiNAnalysis[[#This Row],[Highest PiN]]=tblPiNAnalysis[[#This Row],[CCCM]:[WASH]]), tblPiNHistorical[[#Headers],[CCCM]:[WASH]], 0))), "")</f>
        <v>-0.4</v>
      </c>
      <c r="BB52" s="317" t="str" cm="1">
        <f t="array" ref="BB5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2" s="265" cm="1">
        <f t="array" ref="BC52">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52" s="318" t="str" cm="1">
        <f t="array" ref="BD5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2" s="356">
        <f>INDEX(tblSeverityAnalysis[Final Severity], MATCH(tblPiNAnalysis[[#This Row],[ID]],tblSeverityAnalysis[ID], 0))</f>
        <v>3</v>
      </c>
      <c r="BF52" s="59">
        <f>IF(tblPiNAnalysis[[#This Row],[Severity]]&gt;2,tblPiNAnalysis[[#This Row],[Highest PiN]],)</f>
        <v>49274</v>
      </c>
      <c r="BG52" s="187"/>
      <c r="BH52" s="188"/>
      <c r="BI52" s="189">
        <f>COUNTIFS(tblPiNAnalysis[[#This Row],[Number of missing / zero PiNs greater than threshold - Data quality]:[Manual Flag]],"Flagged")</f>
        <v>0</v>
      </c>
      <c r="BJ52" s="94" t="str">
        <f>IF(tblPiNAnalysis[[#This Row],['# Flags]]&gt;0, "Flagged", "")</f>
        <v/>
      </c>
      <c r="BK52" s="310">
        <f>tblPiNAnalysis[[#This Row],[Preliminary PiN]]</f>
        <v>49274</v>
      </c>
      <c r="BL52" s="315"/>
      <c r="BM52" s="256">
        <f>IFERROR(IF(tblPiNAnalysis[[#This Row],[Severity]]=3,tblPiNAnalysis[[#This Row],[Final PiN]]*Thresholds!$D$35,tblPiNAnalysis[[#This Row],[Final PiN]]*Thresholds!$D$36),)</f>
        <v>24637</v>
      </c>
      <c r="BN52" s="256">
        <f>IFERROR(IF(tblPiNAnalysis[[#This Row],[Severity]]&gt;3,tblPiNAnalysis[[#This Row],[Final PiN]]*Thresholds!$D$36,),)</f>
        <v>0</v>
      </c>
    </row>
    <row r="53" spans="1:66" ht="24.95" customHeight="1">
      <c r="A53" s="30" t="s">
        <v>166</v>
      </c>
      <c r="B53" s="39" t="s">
        <v>146</v>
      </c>
      <c r="C53" s="213" t="s">
        <v>147</v>
      </c>
      <c r="D53" s="340" t="s">
        <v>167</v>
      </c>
      <c r="E53" s="103" t="s">
        <v>166</v>
      </c>
      <c r="F53" s="98"/>
      <c r="G53" s="33"/>
      <c r="H53" s="33"/>
      <c r="I53" s="95">
        <v>36173</v>
      </c>
      <c r="J53" s="95" t="s">
        <v>193</v>
      </c>
      <c r="K53" s="319">
        <v>7234.6</v>
      </c>
      <c r="L53" s="303"/>
      <c r="M53" s="303">
        <v>2989</v>
      </c>
      <c r="N53" s="303">
        <v>24515</v>
      </c>
      <c r="O53" s="303">
        <v>23971.665126978318</v>
      </c>
      <c r="P53" s="32">
        <v>34085</v>
      </c>
      <c r="Q53" s="34"/>
      <c r="R53" s="303">
        <v>0</v>
      </c>
      <c r="S53" s="32">
        <v>34085</v>
      </c>
      <c r="T53" s="32">
        <v>28370</v>
      </c>
      <c r="U53" s="32">
        <v>0</v>
      </c>
      <c r="V53" s="303">
        <v>13738</v>
      </c>
      <c r="W53" s="305">
        <f>IFERROR(IF(tblPiNAnalysis[[#This Row],[CCCM]]="", "", MROUND(tblPiNAnalysis[[#This Row],[CCCM]]/tblPiNAnalysis[[#This Row],[Population]], 0.05)), "")</f>
        <v>0.2</v>
      </c>
      <c r="X53" s="306" t="str">
        <f>IFERROR(IF(tblPiNAnalysis[[#This Row],[Education]]="", "", MROUND(tblPiNAnalysis[[#This Row],[Education]]/tblPiNAnalysis[[#This Row],[Population]], 0.05)), "")</f>
        <v/>
      </c>
      <c r="Y53" s="306">
        <f>IFERROR(IF(tblPiNAnalysis[[#This Row],[Nutrition]]="", "", MROUND(tblPiNAnalysis[[#This Row],[Nutrition]]/tblPiNAnalysis[[#This Row],[Population]], 0.05)), "")</f>
        <v>0.1</v>
      </c>
      <c r="Z53" s="306">
        <f>IFERROR(IF(tblPiNAnalysis[[#This Row],[Food Security]]="", "", MROUND(tblPiNAnalysis[[#This Row],[Food Security]]/tblPiNAnalysis[[#This Row],[Population]], 0.05)), "")</f>
        <v>0.70000000000000007</v>
      </c>
      <c r="AA53" s="306">
        <f>IFERROR(IF(tblPiNAnalysis[[#This Row],[Health]]="", "", MROUND(tblPiNAnalysis[[#This Row],[Health]]/tblPiNAnalysis[[#This Row],[Population]], 0.05)), "")</f>
        <v>0.65</v>
      </c>
      <c r="AB53" s="307">
        <f>IFERROR(IF(tblPiNAnalysis[[#This Row],[Overarching Protection]]="", "", MROUND(tblPiNAnalysis[[#This Row],[Overarching Protection]]/tblPiNAnalysis[[#This Row],[Population]], 0.05)), "")</f>
        <v>0.95000000000000007</v>
      </c>
      <c r="AC53" s="307" t="str">
        <f>IFERROR(IF(tblPiNAnalysis[[#This Row],[Shelter]]="", "", MROUND(tblPiNAnalysis[[#This Row],[Shelter]]/tblPiNAnalysis[[#This Row],[Population]], 0.05)), "")</f>
        <v/>
      </c>
      <c r="AD53" s="308">
        <f>IFERROR(IF(tblPiNAnalysis[[#This Row],[WASH]]="", "", MROUND(tblPiNAnalysis[[#This Row],[WASH]]/tblPiNAnalysis[[#This Row],[Population]], 0.05)), "")</f>
        <v>0</v>
      </c>
      <c r="AE53" s="306">
        <f>IFERROR(MROUND(tblPiNAnalysis[[#This Row],[CP]]/tblPiNAnalysis[[#This Row],[Population]], 0.05), "")</f>
        <v>0.95000000000000007</v>
      </c>
      <c r="AF53" s="306">
        <f>IFERROR(MROUND(tblPiNAnalysis[[#This Row],[GBV]]/tblPiNAnalysis[[#This Row],[Population]], 0.05), "")</f>
        <v>0.8</v>
      </c>
      <c r="AG53" s="306">
        <f>IFERROR(MROUND(tblPiNAnalysis[[#This Row],[GP]]/tblPiNAnalysis[[#This Row],[Population]], 0.05), "")</f>
        <v>0</v>
      </c>
      <c r="AH53" s="306">
        <f>IFERROR(MROUND(tblPiNAnalysis[[#This Row],[HLP]]/tblPiNAnalysis[[#This Row],[Population]], 0.05), "")</f>
        <v>0.4</v>
      </c>
      <c r="AI53" s="309">
        <f>IFERROR(LARGE(tblPiNAnalysis[[#This Row],[CCCM]:[WASH]], 1), "")</f>
        <v>34085</v>
      </c>
      <c r="AJ53" s="310" t="str" cm="1">
        <f t="array" ref="AJ53">IF(tblPiNAnalysis[[#This Row],[Highest PiN]]="", "", _xlfn.TEXTJOIN(CHAR(10), TRUE, IF(tblPiNAnalysis[[#This Row],[Highest PiN]]=tblPiNAnalysis[[#This Row],[CCCM]:[WASH]], tblPiNAnalysis[[#Headers],[CCCM]:[WASH]], "")))</f>
        <v>Overarching Protection</v>
      </c>
      <c r="AK53" s="311">
        <f>IF(tblPiNAnalysis[[#This Row],[Highest PiN]]="", "", tblPiNAnalysis[[#This Row],[Highest PiN]]/tblPiNAnalysis[[#This Row],[Population]])</f>
        <v>0.9422773892129489</v>
      </c>
      <c r="AL53" s="312" t="str">
        <f>IF(SUM(tblPiNAnalysis[[#This Row],[CCCM]:[WASH]])=0, "",IF(COUNTIF(tblPiNAnalysis[[#This Row],[CCCM]:[WASH]],"=0")+COUNTIF(tblPiNAnalysis[[#This Row],[CCCM]:[WASH]],"")&gt;=zero_pin_thresh, "Flagged", ""))</f>
        <v/>
      </c>
      <c r="AM53" s="313" t="str">
        <f>IFERROR(IF(tblPiNAnalysis[[#This Row],[Highest PiN]]="", "", IF(tblPiNAnalysis[[#This Row],[Highest sector(s'') PiN %]]&gt;=flag_pin_perc, "Flagged", "")), "")</f>
        <v>Flagged</v>
      </c>
      <c r="AN53" s="314" t="str" cm="1">
        <f t="array" ref="AN53">IF(tblPiNAnalysis[[#This Row],[Highest PiN]]=0, "",  IF(OR(COUNTIF(tblPiNAnalysis[[#This Row],[Highest sector(s)]],tblSubSectorPopulation[Sector])), "Flagged", ""))</f>
        <v/>
      </c>
      <c r="AO53" s="46" cm="1">
        <f t="array" ref="AO5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24515</v>
      </c>
      <c r="AP53" s="315" t="str" cm="1">
        <f t="array" ref="AP53">IF(tblPiNAnalysis[[#This Row],[2nd Highest PiN]]="", "", _xlfn.TEXTJOIN(CHAR(10), TRUE, IF(tblPiNAnalysis[[#This Row],[2nd Highest PiN]]=tblPiNAnalysis[[#This Row],[CCCM]:[WASH]], tblPiNAnalysis[[#Headers],[CCCM]:[WASH]], "")))</f>
        <v>Food Security</v>
      </c>
      <c r="AQ53" s="35">
        <f>IFERROR(tblPiNAnalysis[[#This Row],[2nd Highest PiN]]/tblPiNAnalysis[[#This Row],[Population]], "")</f>
        <v>0.67771542310563126</v>
      </c>
      <c r="AR53" s="46">
        <f>IFERROR(tblPiNAnalysis[[#This Row],[Highest PiN]]-tblPiNAnalysis[[#This Row],[2nd Highest PiN]], "")</f>
        <v>9570</v>
      </c>
      <c r="AS53" s="38">
        <f>IFERROR(((tblPiNAnalysis[[#This Row],[Highest PiN]]-tblPiNAnalysis[[#This Row],[2nd Highest PiN]])/tblPiNAnalysis[[#This Row],[2nd Highest PiN]]),"")</f>
        <v>0.39037324087293496</v>
      </c>
      <c r="AT53" s="38" t="str" cm="1">
        <f t="array" ref="AT5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3" s="316" cm="1">
        <f t="array" ref="AU5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23971.665126978318</v>
      </c>
      <c r="AV53" s="186" t="str" cm="1">
        <f t="array" ref="AV53">IF(tblPiNAnalysis[[#This Row],[3rd Highest PiN]]="", "", _xlfn.TEXTJOIN(CHAR(10), TRUE, IF(tblPiNAnalysis[[#This Row],[3rd Highest PiN]]=tblPiNAnalysis[[#This Row],[CCCM]:[WASH]], tblPiNAnalysis[[#Headers],[CCCM]:[WASH]], "")))</f>
        <v>Health</v>
      </c>
      <c r="AW53" s="186">
        <f>IFERROR(tblPiNAnalysis[[#This Row],[3rd Highest PiN]]/tblPiNAnalysis[[#This Row],[Population]], "")</f>
        <v>0.66269496936881978</v>
      </c>
      <c r="AX53" s="45">
        <f>IFERROR(tblPiNAnalysis[[#This Row],[Highest PiN]]-tblPiNAnalysis[[#This Row],[3rd Highest PiN]],"")</f>
        <v>10113.334873021682</v>
      </c>
      <c r="AY53" s="38">
        <f>IFERROR(tblPiNAnalysis[[#This Row],[Difference of PiN between Highest and 3rd Highest]]/tblPiNAnalysis[[#This Row],[3rd Highest PiN]], "")</f>
        <v>0.42188704119848058</v>
      </c>
      <c r="AZ53" s="314" t="str" cm="1">
        <f t="array" ref="AZ5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3" s="288" cm="1">
        <f t="array" ref="BA53">IFERROR(IF(tblPiNAnalysis[[#This Row],[ID]]="", "", INDEX(tblPiNHistorical[[CCCM]:[WASH]], MATCH(tblPiNAnalysis[[#This Row],[ID]],tblPiNHistorical[ID], 0),MATCH(_xlfn._xlws.FILTER(tblPiNAnalysis[[#Headers],[CCCM]:[WASH]], tblPiNAnalysis[[#This Row],[Highest PiN]]=tblPiNAnalysis[[#This Row],[CCCM]:[WASH]]), tblPiNHistorical[[#Headers],[CCCM]:[WASH]], 0))), "")</f>
        <v>0.3</v>
      </c>
      <c r="BB53" s="317" t="str" cm="1">
        <f t="array" ref="BB5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3" s="265" cm="1">
        <f t="array" ref="BC53">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53" s="318" t="str" cm="1">
        <f t="array" ref="BD5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3" s="356">
        <f>INDEX(tblSeverityAnalysis[Final Severity], MATCH(tblPiNAnalysis[[#This Row],[ID]],tblSeverityAnalysis[ID], 0))</f>
        <v>3</v>
      </c>
      <c r="BF53" s="59">
        <f>IF(tblPiNAnalysis[[#This Row],[Severity]]&gt;2,tblPiNAnalysis[[#This Row],[Highest PiN]],)</f>
        <v>34085</v>
      </c>
      <c r="BG53" s="187"/>
      <c r="BH53" s="188"/>
      <c r="BI53" s="189">
        <f>COUNTIFS(tblPiNAnalysis[[#This Row],[Number of missing / zero PiNs greater than threshold - Data quality]:[Manual Flag]],"Flagged")</f>
        <v>2</v>
      </c>
      <c r="BJ53" s="94" t="str">
        <f>IF(tblPiNAnalysis[[#This Row],['# Flags]]&gt;0, "Flagged", "")</f>
        <v>Flagged</v>
      </c>
      <c r="BK53" s="310">
        <f>tblPiNAnalysis[[#This Row],[Preliminary PiN]]</f>
        <v>34085</v>
      </c>
      <c r="BL53" s="315"/>
      <c r="BM53" s="256">
        <f>IFERROR(IF(tblPiNAnalysis[[#This Row],[Severity]]=3,tblPiNAnalysis[[#This Row],[Final PiN]]*Thresholds!$D$35,tblPiNAnalysis[[#This Row],[Final PiN]]*Thresholds!$D$36),)</f>
        <v>17042.5</v>
      </c>
      <c r="BN53" s="256">
        <f>IFERROR(IF(tblPiNAnalysis[[#This Row],[Severity]]&gt;3,tblPiNAnalysis[[#This Row],[Final PiN]]*Thresholds!$D$36,),)</f>
        <v>0</v>
      </c>
    </row>
    <row r="54" spans="1:66" ht="24.95" customHeight="1">
      <c r="A54" s="30" t="s">
        <v>168</v>
      </c>
      <c r="B54" s="39" t="s">
        <v>146</v>
      </c>
      <c r="C54" s="213" t="s">
        <v>147</v>
      </c>
      <c r="D54" s="340" t="s">
        <v>169</v>
      </c>
      <c r="E54" s="103" t="s">
        <v>168</v>
      </c>
      <c r="F54" s="98"/>
      <c r="G54" s="33"/>
      <c r="H54" s="33"/>
      <c r="I54" s="95">
        <v>318921</v>
      </c>
      <c r="J54" s="95" t="s">
        <v>193</v>
      </c>
      <c r="K54" s="319">
        <v>0</v>
      </c>
      <c r="L54" s="303">
        <v>36897</v>
      </c>
      <c r="M54" s="303">
        <v>26749</v>
      </c>
      <c r="N54" s="303">
        <v>32322</v>
      </c>
      <c r="O54" s="303">
        <v>859.21738515276104</v>
      </c>
      <c r="P54" s="303">
        <v>24174</v>
      </c>
      <c r="Q54" s="34">
        <v>61107</v>
      </c>
      <c r="R54" s="303">
        <v>8089</v>
      </c>
      <c r="S54" s="32">
        <v>24174</v>
      </c>
      <c r="T54" s="32">
        <v>14262</v>
      </c>
      <c r="U54" s="32">
        <v>1164</v>
      </c>
      <c r="V54" s="303">
        <v>0</v>
      </c>
      <c r="W54" s="305">
        <f>IFERROR(IF(tblPiNAnalysis[[#This Row],[CCCM]]="", "", MROUND(tblPiNAnalysis[[#This Row],[CCCM]]/tblPiNAnalysis[[#This Row],[Population]], 0.05)), "")</f>
        <v>0</v>
      </c>
      <c r="X54" s="306">
        <f>IFERROR(IF(tblPiNAnalysis[[#This Row],[Education]]="", "", MROUND(tblPiNAnalysis[[#This Row],[Education]]/tblPiNAnalysis[[#This Row],[Population]], 0.05)), "")</f>
        <v>0.1</v>
      </c>
      <c r="Y54" s="306">
        <f>IFERROR(IF(tblPiNAnalysis[[#This Row],[Nutrition]]="", "", MROUND(tblPiNAnalysis[[#This Row],[Nutrition]]/tblPiNAnalysis[[#This Row],[Population]], 0.05)), "")</f>
        <v>0.1</v>
      </c>
      <c r="Z54" s="306">
        <f>IFERROR(IF(tblPiNAnalysis[[#This Row],[Food Security]]="", "", MROUND(tblPiNAnalysis[[#This Row],[Food Security]]/tblPiNAnalysis[[#This Row],[Population]], 0.05)), "")</f>
        <v>0.1</v>
      </c>
      <c r="AA54" s="306">
        <f>IFERROR(IF(tblPiNAnalysis[[#This Row],[Health]]="", "", MROUND(tblPiNAnalysis[[#This Row],[Health]]/tblPiNAnalysis[[#This Row],[Population]], 0.05)), "")</f>
        <v>0</v>
      </c>
      <c r="AB54" s="307">
        <f>IFERROR(IF(tblPiNAnalysis[[#This Row],[Overarching Protection]]="", "", MROUND(tblPiNAnalysis[[#This Row],[Overarching Protection]]/tblPiNAnalysis[[#This Row],[Population]], 0.05)), "")</f>
        <v>0.1</v>
      </c>
      <c r="AC54" s="307">
        <f>IFERROR(IF(tblPiNAnalysis[[#This Row],[Shelter]]="", "", MROUND(tblPiNAnalysis[[#This Row],[Shelter]]/tblPiNAnalysis[[#This Row],[Population]], 0.05)), "")</f>
        <v>0.2</v>
      </c>
      <c r="AD54" s="308">
        <f>IFERROR(IF(tblPiNAnalysis[[#This Row],[WASH]]="", "", MROUND(tblPiNAnalysis[[#This Row],[WASH]]/tblPiNAnalysis[[#This Row],[Population]], 0.05)), "")</f>
        <v>0.05</v>
      </c>
      <c r="AE54" s="306">
        <f>IFERROR(MROUND(tblPiNAnalysis[[#This Row],[CP]]/tblPiNAnalysis[[#This Row],[Population]], 0.05), "")</f>
        <v>0.1</v>
      </c>
      <c r="AF54" s="306">
        <f>IFERROR(MROUND(tblPiNAnalysis[[#This Row],[GBV]]/tblPiNAnalysis[[#This Row],[Population]], 0.05), "")</f>
        <v>0.05</v>
      </c>
      <c r="AG54" s="306">
        <f>IFERROR(MROUND(tblPiNAnalysis[[#This Row],[GP]]/tblPiNAnalysis[[#This Row],[Population]], 0.05), "")</f>
        <v>0</v>
      </c>
      <c r="AH54" s="306">
        <f>IFERROR(MROUND(tblPiNAnalysis[[#This Row],[HLP]]/tblPiNAnalysis[[#This Row],[Population]], 0.05), "")</f>
        <v>0</v>
      </c>
      <c r="AI54" s="389">
        <f>IFERROR(LARGE(tblPiNAnalysis[[#This Row],[CCCM]:[WASH]], 1), "")</f>
        <v>61107</v>
      </c>
      <c r="AJ54" s="310" t="str" cm="1">
        <f t="array" ref="AJ54">IF(tblPiNAnalysis[[#This Row],[Highest PiN]]="", "", _xlfn.TEXTJOIN(CHAR(10), TRUE, IF(tblPiNAnalysis[[#This Row],[Highest PiN]]=tblPiNAnalysis[[#This Row],[CCCM]:[WASH]], tblPiNAnalysis[[#Headers],[CCCM]:[WASH]], "")))</f>
        <v>Shelter</v>
      </c>
      <c r="AK54" s="311">
        <f>IF(tblPiNAnalysis[[#This Row],[Highest PiN]]="", "", tblPiNAnalysis[[#This Row],[Highest PiN]]/tblPiNAnalysis[[#This Row],[Population]])</f>
        <v>0.19160544460853943</v>
      </c>
      <c r="AL54" s="312" t="str">
        <f>IF(SUM(tblPiNAnalysis[[#This Row],[CCCM]:[WASH]])=0, "",IF(COUNTIF(tblPiNAnalysis[[#This Row],[CCCM]:[WASH]],"=0")+COUNTIF(tblPiNAnalysis[[#This Row],[CCCM]:[WASH]],"")&gt;=zero_pin_thresh, "Flagged", ""))</f>
        <v/>
      </c>
      <c r="AM54" s="313" t="str">
        <f>IFERROR(IF(tblPiNAnalysis[[#This Row],[Highest PiN]]="", "", IF(tblPiNAnalysis[[#This Row],[Highest sector(s'') PiN %]]&gt;=flag_pin_perc, "Flagged", "")), "")</f>
        <v/>
      </c>
      <c r="AN54" s="314" t="str" cm="1">
        <f t="array" ref="AN54">IF(tblPiNAnalysis[[#This Row],[Highest PiN]]=0, "",  IF(OR(COUNTIF(tblPiNAnalysis[[#This Row],[Highest sector(s)]],tblSubSectorPopulation[Sector])), "Flagged", ""))</f>
        <v/>
      </c>
      <c r="AO54" s="46" cm="1">
        <f t="array" ref="AO5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36897</v>
      </c>
      <c r="AP54" s="315" t="str" cm="1">
        <f t="array" ref="AP54">IF(tblPiNAnalysis[[#This Row],[2nd Highest PiN]]="", "", _xlfn.TEXTJOIN(CHAR(10), TRUE, IF(tblPiNAnalysis[[#This Row],[2nd Highest PiN]]=tblPiNAnalysis[[#This Row],[CCCM]:[WASH]], tblPiNAnalysis[[#Headers],[CCCM]:[WASH]], "")))</f>
        <v>Education</v>
      </c>
      <c r="AQ54" s="35">
        <f>IFERROR(tblPiNAnalysis[[#This Row],[2nd Highest PiN]]/tblPiNAnalysis[[#This Row],[Population]], "")</f>
        <v>0.11569322810351153</v>
      </c>
      <c r="AR54" s="46">
        <f>IFERROR(tblPiNAnalysis[[#This Row],[Highest PiN]]-tblPiNAnalysis[[#This Row],[2nd Highest PiN]], "")</f>
        <v>24210</v>
      </c>
      <c r="AS54" s="38">
        <f>IFERROR(((tblPiNAnalysis[[#This Row],[Highest PiN]]-tblPiNAnalysis[[#This Row],[2nd Highest PiN]])/tblPiNAnalysis[[#This Row],[2nd Highest PiN]]),"")</f>
        <v>0.65615090657777053</v>
      </c>
      <c r="AT54" s="38" t="str" cm="1">
        <f t="array" ref="AT5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4" s="316" cm="1">
        <f t="array" ref="AU5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32322</v>
      </c>
      <c r="AV54" s="186" t="str" cm="1">
        <f t="array" ref="AV54">IF(tblPiNAnalysis[[#This Row],[3rd Highest PiN]]="", "", _xlfn.TEXTJOIN(CHAR(10), TRUE, IF(tblPiNAnalysis[[#This Row],[3rd Highest PiN]]=tblPiNAnalysis[[#This Row],[CCCM]:[WASH]], tblPiNAnalysis[[#Headers],[CCCM]:[WASH]], "")))</f>
        <v>Food Security</v>
      </c>
      <c r="AW54" s="186">
        <f>IFERROR(tblPiNAnalysis[[#This Row],[3rd Highest PiN]]/tblPiNAnalysis[[#This Row],[Population]], "")</f>
        <v>0.10134798272926523</v>
      </c>
      <c r="AX54" s="45">
        <f>IFERROR(tblPiNAnalysis[[#This Row],[Highest PiN]]-tblPiNAnalysis[[#This Row],[3rd Highest PiN]],"")</f>
        <v>28785</v>
      </c>
      <c r="AY54" s="38">
        <f>IFERROR(tblPiNAnalysis[[#This Row],[Difference of PiN between Highest and 3rd Highest]]/tblPiNAnalysis[[#This Row],[3rd Highest PiN]], "")</f>
        <v>0.89056989047707447</v>
      </c>
      <c r="AZ54" s="314" t="str" cm="1">
        <f t="array" ref="AZ5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4" s="288" cm="1">
        <f t="array" ref="BA54">IFERROR(IF(tblPiNAnalysis[[#This Row],[ID]]="", "", INDEX(tblPiNHistorical[[CCCM]:[WASH]], MATCH(tblPiNAnalysis[[#This Row],[ID]],tblPiNHistorical[ID], 0),MATCH(_xlfn._xlws.FILTER(tblPiNAnalysis[[#Headers],[CCCM]:[WASH]], tblPiNAnalysis[[#This Row],[Highest PiN]]=tblPiNAnalysis[[#This Row],[CCCM]:[WASH]]), tblPiNHistorical[[#Headers],[CCCM]:[WASH]], 0))), "")</f>
        <v>0</v>
      </c>
      <c r="BB54" s="317" t="str" cm="1">
        <f t="array" ref="BB5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4" s="265" cm="1">
        <f t="array" ref="BC54">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54" s="318" t="str" cm="1">
        <f t="array" ref="BD5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4" s="356">
        <f>INDEX(tblSeverityAnalysis[Final Severity], MATCH(tblPiNAnalysis[[#This Row],[ID]],tblSeverityAnalysis[ID], 0))</f>
        <v>3</v>
      </c>
      <c r="BF54" s="59">
        <f>IF(tblPiNAnalysis[[#This Row],[Severity]]&gt;2,tblPiNAnalysis[[#This Row],[Highest PiN]],)</f>
        <v>61107</v>
      </c>
      <c r="BG54" s="187"/>
      <c r="BH54" s="188"/>
      <c r="BI54" s="189">
        <f>COUNTIFS(tblPiNAnalysis[[#This Row],[Number of missing / zero PiNs greater than threshold - Data quality]:[Manual Flag]],"Flagged")</f>
        <v>2</v>
      </c>
      <c r="BJ54" s="94" t="str">
        <f>IF(tblPiNAnalysis[[#This Row],['# Flags]]&gt;0, "Flagged", "")</f>
        <v>Flagged</v>
      </c>
      <c r="BK54" s="310">
        <f>tblPiNAnalysis[[#This Row],[Preliminary PiN]]</f>
        <v>61107</v>
      </c>
      <c r="BL54" s="315"/>
      <c r="BM54" s="256">
        <f>IFERROR(IF(tblPiNAnalysis[[#This Row],[Severity]]=3,tblPiNAnalysis[[#This Row],[Final PiN]]*Thresholds!$D$35,tblPiNAnalysis[[#This Row],[Final PiN]]*Thresholds!$D$36),)</f>
        <v>30553.5</v>
      </c>
      <c r="BN54" s="256">
        <f>IFERROR(IF(tblPiNAnalysis[[#This Row],[Severity]]&gt;3,tblPiNAnalysis[[#This Row],[Final PiN]]*Thresholds!$D$36,),)</f>
        <v>0</v>
      </c>
    </row>
    <row r="55" spans="1:66" ht="24.95" customHeight="1">
      <c r="A55" s="30" t="s">
        <v>170</v>
      </c>
      <c r="B55" s="39" t="s">
        <v>146</v>
      </c>
      <c r="C55" s="213" t="s">
        <v>147</v>
      </c>
      <c r="D55" s="340" t="s">
        <v>171</v>
      </c>
      <c r="E55" s="103" t="s">
        <v>170</v>
      </c>
      <c r="F55" s="98"/>
      <c r="G55" s="33"/>
      <c r="H55" s="33"/>
      <c r="I55" s="95">
        <v>134753</v>
      </c>
      <c r="J55" s="95" t="s">
        <v>193</v>
      </c>
      <c r="K55" s="319">
        <v>26950.600000000002</v>
      </c>
      <c r="L55" s="303">
        <v>20822</v>
      </c>
      <c r="M55" s="303">
        <v>12195</v>
      </c>
      <c r="N55" s="303">
        <v>17066</v>
      </c>
      <c r="O55" s="303">
        <v>766.32286949149045</v>
      </c>
      <c r="P55" s="303">
        <v>23766</v>
      </c>
      <c r="Q55" s="34">
        <v>23568</v>
      </c>
      <c r="R55" s="303">
        <v>40597</v>
      </c>
      <c r="S55" s="32">
        <v>23766</v>
      </c>
      <c r="T55" s="32">
        <v>14021</v>
      </c>
      <c r="U55" s="32">
        <v>14973</v>
      </c>
      <c r="V55" s="303">
        <v>23766</v>
      </c>
      <c r="W55" s="305">
        <f>IFERROR(IF(tblPiNAnalysis[[#This Row],[CCCM]]="", "", MROUND(tblPiNAnalysis[[#This Row],[CCCM]]/tblPiNAnalysis[[#This Row],[Population]], 0.05)), "")</f>
        <v>0.2</v>
      </c>
      <c r="X55" s="306">
        <f>IFERROR(IF(tblPiNAnalysis[[#This Row],[Education]]="", "", MROUND(tblPiNAnalysis[[#This Row],[Education]]/tblPiNAnalysis[[#This Row],[Population]], 0.05)), "")</f>
        <v>0.15000000000000002</v>
      </c>
      <c r="Y55" s="306">
        <f>IFERROR(IF(tblPiNAnalysis[[#This Row],[Nutrition]]="", "", MROUND(tblPiNAnalysis[[#This Row],[Nutrition]]/tblPiNAnalysis[[#This Row],[Population]], 0.05)), "")</f>
        <v>0.1</v>
      </c>
      <c r="Z55" s="306">
        <f>IFERROR(IF(tblPiNAnalysis[[#This Row],[Food Security]]="", "", MROUND(tblPiNAnalysis[[#This Row],[Food Security]]/tblPiNAnalysis[[#This Row],[Population]], 0.05)), "")</f>
        <v>0.15000000000000002</v>
      </c>
      <c r="AA55" s="306">
        <f>IFERROR(IF(tblPiNAnalysis[[#This Row],[Health]]="", "", MROUND(tblPiNAnalysis[[#This Row],[Health]]/tblPiNAnalysis[[#This Row],[Population]], 0.05)), "")</f>
        <v>0</v>
      </c>
      <c r="AB55" s="307">
        <f>IFERROR(IF(tblPiNAnalysis[[#This Row],[Overarching Protection]]="", "", MROUND(tblPiNAnalysis[[#This Row],[Overarching Protection]]/tblPiNAnalysis[[#This Row],[Population]], 0.05)), "")</f>
        <v>0.2</v>
      </c>
      <c r="AC55" s="307">
        <f>IFERROR(IF(tblPiNAnalysis[[#This Row],[Shelter]]="", "", MROUND(tblPiNAnalysis[[#This Row],[Shelter]]/tblPiNAnalysis[[#This Row],[Population]], 0.05)), "")</f>
        <v>0.15000000000000002</v>
      </c>
      <c r="AD55" s="308">
        <f>IFERROR(IF(tblPiNAnalysis[[#This Row],[WASH]]="", "", MROUND(tblPiNAnalysis[[#This Row],[WASH]]/tblPiNAnalysis[[#This Row],[Population]], 0.05)), "")</f>
        <v>0.30000000000000004</v>
      </c>
      <c r="AE55" s="306">
        <f>IFERROR(MROUND(tblPiNAnalysis[[#This Row],[CP]]/tblPiNAnalysis[[#This Row],[Population]], 0.05), "")</f>
        <v>0.2</v>
      </c>
      <c r="AF55" s="306">
        <f>IFERROR(MROUND(tblPiNAnalysis[[#This Row],[GBV]]/tblPiNAnalysis[[#This Row],[Population]], 0.05), "")</f>
        <v>0.1</v>
      </c>
      <c r="AG55" s="306">
        <f>IFERROR(MROUND(tblPiNAnalysis[[#This Row],[GP]]/tblPiNAnalysis[[#This Row],[Population]], 0.05), "")</f>
        <v>0.1</v>
      </c>
      <c r="AH55" s="306">
        <f>IFERROR(MROUND(tblPiNAnalysis[[#This Row],[HLP]]/tblPiNAnalysis[[#This Row],[Population]], 0.05), "")</f>
        <v>0.2</v>
      </c>
      <c r="AI55" s="309">
        <f>IFERROR(LARGE(tblPiNAnalysis[[#This Row],[CCCM]:[WASH]], 1), "")</f>
        <v>40597</v>
      </c>
      <c r="AJ55" s="310" t="str" cm="1">
        <f t="array" ref="AJ55">IF(tblPiNAnalysis[[#This Row],[Highest PiN]]="", "", _xlfn.TEXTJOIN(CHAR(10), TRUE, IF(tblPiNAnalysis[[#This Row],[Highest PiN]]=tblPiNAnalysis[[#This Row],[CCCM]:[WASH]], tblPiNAnalysis[[#Headers],[CCCM]:[WASH]], "")))</f>
        <v>WASH</v>
      </c>
      <c r="AK55" s="311">
        <f>IF(tblPiNAnalysis[[#This Row],[Highest PiN]]="", "", tblPiNAnalysis[[#This Row],[Highest PiN]]/tblPiNAnalysis[[#This Row],[Population]])</f>
        <v>0.30126973054403239</v>
      </c>
      <c r="AL55" s="312" t="str">
        <f>IF(SUM(tblPiNAnalysis[[#This Row],[CCCM]:[WASH]])=0, "",IF(COUNTIF(tblPiNAnalysis[[#This Row],[CCCM]:[WASH]],"=0")+COUNTIF(tblPiNAnalysis[[#This Row],[CCCM]:[WASH]],"")&gt;=zero_pin_thresh, "Flagged", ""))</f>
        <v/>
      </c>
      <c r="AM55" s="313" t="str">
        <f>IFERROR(IF(tblPiNAnalysis[[#This Row],[Highest PiN]]="", "", IF(tblPiNAnalysis[[#This Row],[Highest sector(s'') PiN %]]&gt;=flag_pin_perc, "Flagged", "")), "")</f>
        <v/>
      </c>
      <c r="AN55" s="314" t="str" cm="1">
        <f t="array" ref="AN55">IF(tblPiNAnalysis[[#This Row],[Highest PiN]]=0, "",  IF(OR(COUNTIF(tblPiNAnalysis[[#This Row],[Highest sector(s)]],tblSubSectorPopulation[Sector])), "Flagged", ""))</f>
        <v/>
      </c>
      <c r="AO55" s="46" cm="1">
        <f t="array" ref="AO5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26950.600000000002</v>
      </c>
      <c r="AP55" s="315" t="str" cm="1">
        <f t="array" ref="AP55">IF(tblPiNAnalysis[[#This Row],[2nd Highest PiN]]="", "", _xlfn.TEXTJOIN(CHAR(10), TRUE, IF(tblPiNAnalysis[[#This Row],[2nd Highest PiN]]=tblPiNAnalysis[[#This Row],[CCCM]:[WASH]], tblPiNAnalysis[[#Headers],[CCCM]:[WASH]], "")))</f>
        <v>CCCM</v>
      </c>
      <c r="AQ55" s="35">
        <f>IFERROR(tblPiNAnalysis[[#This Row],[2nd Highest PiN]]/tblPiNAnalysis[[#This Row],[Population]], "")</f>
        <v>0.2</v>
      </c>
      <c r="AR55" s="46">
        <f>IFERROR(tblPiNAnalysis[[#This Row],[Highest PiN]]-tblPiNAnalysis[[#This Row],[2nd Highest PiN]], "")</f>
        <v>13646.399999999998</v>
      </c>
      <c r="AS55" s="38">
        <f>IFERROR(((tblPiNAnalysis[[#This Row],[Highest PiN]]-tblPiNAnalysis[[#This Row],[2nd Highest PiN]])/tblPiNAnalysis[[#This Row],[2nd Highest PiN]]),"")</f>
        <v>0.50634865272016194</v>
      </c>
      <c r="AT55" s="38" t="str" cm="1">
        <f t="array" ref="AT5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5" s="316" cm="1">
        <f t="array" ref="AU5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23766</v>
      </c>
      <c r="AV55" s="186" t="str" cm="1">
        <f t="array" ref="AV55">IF(tblPiNAnalysis[[#This Row],[3rd Highest PiN]]="", "", _xlfn.TEXTJOIN(CHAR(10), TRUE, IF(tblPiNAnalysis[[#This Row],[3rd Highest PiN]]=tblPiNAnalysis[[#This Row],[CCCM]:[WASH]], tblPiNAnalysis[[#Headers],[CCCM]:[WASH]], "")))</f>
        <v>Overarching Protection</v>
      </c>
      <c r="AW55" s="186">
        <f>IFERROR(tblPiNAnalysis[[#This Row],[3rd Highest PiN]]/tblPiNAnalysis[[#This Row],[Population]], "")</f>
        <v>0.17636713097296536</v>
      </c>
      <c r="AX55" s="45">
        <f>IFERROR(tblPiNAnalysis[[#This Row],[Highest PiN]]-tblPiNAnalysis[[#This Row],[3rd Highest PiN]],"")</f>
        <v>16831</v>
      </c>
      <c r="AY55" s="38">
        <f>IFERROR(tblPiNAnalysis[[#This Row],[Difference of PiN between Highest and 3rd Highest]]/tblPiNAnalysis[[#This Row],[3rd Highest PiN]], "")</f>
        <v>0.70819658335437174</v>
      </c>
      <c r="AZ55" s="314" t="str" cm="1">
        <f t="array" ref="AZ5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5" s="288" cm="1">
        <f t="array" ref="BA55">IFERROR(IF(tblPiNAnalysis[[#This Row],[ID]]="", "", INDEX(tblPiNHistorical[[CCCM]:[WASH]], MATCH(tblPiNAnalysis[[#This Row],[ID]],tblPiNHistorical[ID], 0),MATCH(_xlfn._xlws.FILTER(tblPiNAnalysis[[#Headers],[CCCM]:[WASH]], tblPiNAnalysis[[#This Row],[Highest PiN]]=tblPiNAnalysis[[#This Row],[CCCM]:[WASH]]), tblPiNHistorical[[#Headers],[CCCM]:[WASH]], 0))), "")</f>
        <v>-0.1</v>
      </c>
      <c r="BB55" s="317" t="str" cm="1">
        <f t="array" ref="BB5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5" s="265" cm="1">
        <f t="array" ref="BC55">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55" s="318" t="str" cm="1">
        <f t="array" ref="BD5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5" s="356">
        <f>INDEX(tblSeverityAnalysis[Final Severity], MATCH(tblPiNAnalysis[[#This Row],[ID]],tblSeverityAnalysis[ID], 0))</f>
        <v>4</v>
      </c>
      <c r="BF55" s="59">
        <f>IF(tblPiNAnalysis[[#This Row],[Severity]]&gt;2,tblPiNAnalysis[[#This Row],[Highest PiN]],)</f>
        <v>40597</v>
      </c>
      <c r="BG55" s="187"/>
      <c r="BH55" s="188"/>
      <c r="BI55" s="189">
        <f>COUNTIFS(tblPiNAnalysis[[#This Row],[Number of missing / zero PiNs greater than threshold - Data quality]:[Manual Flag]],"Flagged")</f>
        <v>2</v>
      </c>
      <c r="BJ55" s="94" t="str">
        <f>IF(tblPiNAnalysis[[#This Row],['# Flags]]&gt;0, "Flagged", "")</f>
        <v>Flagged</v>
      </c>
      <c r="BK55" s="310">
        <f>tblPiNAnalysis[[#This Row],[Preliminary PiN]]</f>
        <v>40597</v>
      </c>
      <c r="BL55" s="315"/>
      <c r="BM55" s="256">
        <f>IFERROR(IF(tblPiNAnalysis[[#This Row],[Severity]]=3,tblPiNAnalysis[[#This Row],[Final PiN]]*Thresholds!$D$35,tblPiNAnalysis[[#This Row],[Final PiN]]*Thresholds!$D$36),)</f>
        <v>40597</v>
      </c>
      <c r="BN55" s="256">
        <f>IFERROR(IF(tblPiNAnalysis[[#This Row],[Severity]]&gt;3,tblPiNAnalysis[[#This Row],[Final PiN]]*Thresholds!$D$36,),)</f>
        <v>40597</v>
      </c>
    </row>
    <row r="56" spans="1:66" ht="24.95" customHeight="1">
      <c r="A56" s="30" t="s">
        <v>172</v>
      </c>
      <c r="B56" s="39" t="s">
        <v>146</v>
      </c>
      <c r="C56" s="213" t="s">
        <v>147</v>
      </c>
      <c r="D56" s="340" t="s">
        <v>173</v>
      </c>
      <c r="E56" s="103" t="s">
        <v>172</v>
      </c>
      <c r="F56" s="98"/>
      <c r="G56" s="33"/>
      <c r="H56" s="33"/>
      <c r="I56" s="95">
        <v>9841</v>
      </c>
      <c r="J56" s="95" t="s">
        <v>193</v>
      </c>
      <c r="K56" s="319">
        <v>1968.2</v>
      </c>
      <c r="L56" s="303">
        <v>1950</v>
      </c>
      <c r="M56" s="303">
        <v>880</v>
      </c>
      <c r="N56" s="303">
        <v>9841</v>
      </c>
      <c r="O56" s="303">
        <v>139.53725754394759</v>
      </c>
      <c r="P56" s="303">
        <v>7596</v>
      </c>
      <c r="Q56" s="34">
        <v>1769</v>
      </c>
      <c r="R56" s="303">
        <v>0</v>
      </c>
      <c r="S56" s="32">
        <v>3678</v>
      </c>
      <c r="T56" s="32">
        <v>7596</v>
      </c>
      <c r="U56" s="32">
        <v>6303</v>
      </c>
      <c r="V56" s="303">
        <v>0</v>
      </c>
      <c r="W56" s="305">
        <f>IFERROR(IF(tblPiNAnalysis[[#This Row],[CCCM]]="", "", MROUND(tblPiNAnalysis[[#This Row],[CCCM]]/tblPiNAnalysis[[#This Row],[Population]], 0.05)), "")</f>
        <v>0.2</v>
      </c>
      <c r="X56" s="306">
        <f>IFERROR(IF(tblPiNAnalysis[[#This Row],[Education]]="", "", MROUND(tblPiNAnalysis[[#This Row],[Education]]/tblPiNAnalysis[[#This Row],[Population]], 0.05)), "")</f>
        <v>0.2</v>
      </c>
      <c r="Y56" s="306">
        <f>IFERROR(IF(tblPiNAnalysis[[#This Row],[Nutrition]]="", "", MROUND(tblPiNAnalysis[[#This Row],[Nutrition]]/tblPiNAnalysis[[#This Row],[Population]], 0.05)), "")</f>
        <v>0.1</v>
      </c>
      <c r="Z56" s="306">
        <f>IFERROR(IF(tblPiNAnalysis[[#This Row],[Food Security]]="", "", MROUND(tblPiNAnalysis[[#This Row],[Food Security]]/tblPiNAnalysis[[#This Row],[Population]], 0.05)), "")</f>
        <v>1</v>
      </c>
      <c r="AA56" s="306">
        <f>IFERROR(IF(tblPiNAnalysis[[#This Row],[Health]]="", "", MROUND(tblPiNAnalysis[[#This Row],[Health]]/tblPiNAnalysis[[#This Row],[Population]], 0.05)), "")</f>
        <v>0</v>
      </c>
      <c r="AB56" s="307">
        <f>IFERROR(IF(tblPiNAnalysis[[#This Row],[Overarching Protection]]="", "", MROUND(tblPiNAnalysis[[#This Row],[Overarching Protection]]/tblPiNAnalysis[[#This Row],[Population]], 0.05)), "")</f>
        <v>0.75</v>
      </c>
      <c r="AC56" s="307">
        <f>IFERROR(IF(tblPiNAnalysis[[#This Row],[Shelter]]="", "", MROUND(tblPiNAnalysis[[#This Row],[Shelter]]/tblPiNAnalysis[[#This Row],[Population]], 0.05)), "")</f>
        <v>0.2</v>
      </c>
      <c r="AD56" s="308">
        <f>IFERROR(IF(tblPiNAnalysis[[#This Row],[WASH]]="", "", MROUND(tblPiNAnalysis[[#This Row],[WASH]]/tblPiNAnalysis[[#This Row],[Population]], 0.05)), "")</f>
        <v>0</v>
      </c>
      <c r="AE56" s="306">
        <f>IFERROR(MROUND(tblPiNAnalysis[[#This Row],[CP]]/tblPiNAnalysis[[#This Row],[Population]], 0.05), "")</f>
        <v>0.35000000000000003</v>
      </c>
      <c r="AF56" s="306">
        <f>IFERROR(MROUND(tblPiNAnalysis[[#This Row],[GBV]]/tblPiNAnalysis[[#This Row],[Population]], 0.05), "")</f>
        <v>0.75</v>
      </c>
      <c r="AG56" s="306">
        <f>IFERROR(MROUND(tblPiNAnalysis[[#This Row],[GP]]/tblPiNAnalysis[[#This Row],[Population]], 0.05), "")</f>
        <v>0.65</v>
      </c>
      <c r="AH56" s="306">
        <f>IFERROR(MROUND(tblPiNAnalysis[[#This Row],[HLP]]/tblPiNAnalysis[[#This Row],[Population]], 0.05), "")</f>
        <v>0</v>
      </c>
      <c r="AI56" s="309">
        <f>IFERROR(LARGE(tblPiNAnalysis[[#This Row],[CCCM]:[WASH]], 1), "")</f>
        <v>9841</v>
      </c>
      <c r="AJ56" s="310" t="str" cm="1">
        <f t="array" ref="AJ56">IF(tblPiNAnalysis[[#This Row],[Highest PiN]]="", "", _xlfn.TEXTJOIN(CHAR(10), TRUE, IF(tblPiNAnalysis[[#This Row],[Highest PiN]]=tblPiNAnalysis[[#This Row],[CCCM]:[WASH]], tblPiNAnalysis[[#Headers],[CCCM]:[WASH]], "")))</f>
        <v>Food Security</v>
      </c>
      <c r="AK56" s="311">
        <f>IF(tblPiNAnalysis[[#This Row],[Highest PiN]]="", "", tblPiNAnalysis[[#This Row],[Highest PiN]]/tblPiNAnalysis[[#This Row],[Population]])</f>
        <v>1</v>
      </c>
      <c r="AL56" s="312" t="str">
        <f>IF(SUM(tblPiNAnalysis[[#This Row],[CCCM]:[WASH]])=0, "",IF(COUNTIF(tblPiNAnalysis[[#This Row],[CCCM]:[WASH]],"=0")+COUNTIF(tblPiNAnalysis[[#This Row],[CCCM]:[WASH]],"")&gt;=zero_pin_thresh, "Flagged", ""))</f>
        <v/>
      </c>
      <c r="AM56" s="313" t="str">
        <f>IFERROR(IF(tblPiNAnalysis[[#This Row],[Highest PiN]]="", "", IF(tblPiNAnalysis[[#This Row],[Highest sector(s'') PiN %]]&gt;=flag_pin_perc, "Flagged", "")), "")</f>
        <v>Flagged</v>
      </c>
      <c r="AN56" s="314" t="str" cm="1">
        <f t="array" ref="AN56">IF(tblPiNAnalysis[[#This Row],[Highest PiN]]=0, "",  IF(OR(COUNTIF(tblPiNAnalysis[[#This Row],[Highest sector(s)]],tblSubSectorPopulation[Sector])), "Flagged", ""))</f>
        <v/>
      </c>
      <c r="AO56" s="46" cm="1">
        <f t="array" ref="AO5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7596</v>
      </c>
      <c r="AP56" s="315" t="str" cm="1">
        <f t="array" ref="AP56">IF(tblPiNAnalysis[[#This Row],[2nd Highest PiN]]="", "", _xlfn.TEXTJOIN(CHAR(10), TRUE, IF(tblPiNAnalysis[[#This Row],[2nd Highest PiN]]=tblPiNAnalysis[[#This Row],[CCCM]:[WASH]], tblPiNAnalysis[[#Headers],[CCCM]:[WASH]], "")))</f>
        <v>Overarching Protection</v>
      </c>
      <c r="AQ56" s="35">
        <f>IFERROR(tblPiNAnalysis[[#This Row],[2nd Highest PiN]]/tblPiNAnalysis[[#This Row],[Population]], "")</f>
        <v>0.77187277715679303</v>
      </c>
      <c r="AR56" s="46">
        <f>IFERROR(tblPiNAnalysis[[#This Row],[Highest PiN]]-tblPiNAnalysis[[#This Row],[2nd Highest PiN]], "")</f>
        <v>2245</v>
      </c>
      <c r="AS56" s="38">
        <f>IFERROR(((tblPiNAnalysis[[#This Row],[Highest PiN]]-tblPiNAnalysis[[#This Row],[2nd Highest PiN]])/tblPiNAnalysis[[#This Row],[2nd Highest PiN]]),"")</f>
        <v>0.29555028962611901</v>
      </c>
      <c r="AT56" s="38" t="str" cm="1">
        <f t="array" ref="AT5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6" s="316" cm="1">
        <f t="array" ref="AU5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1968.2</v>
      </c>
      <c r="AV56" s="186" t="str" cm="1">
        <f t="array" ref="AV56">IF(tblPiNAnalysis[[#This Row],[3rd Highest PiN]]="", "", _xlfn.TEXTJOIN(CHAR(10), TRUE, IF(tblPiNAnalysis[[#This Row],[3rd Highest PiN]]=tblPiNAnalysis[[#This Row],[CCCM]:[WASH]], tblPiNAnalysis[[#Headers],[CCCM]:[WASH]], "")))</f>
        <v>CCCM</v>
      </c>
      <c r="AW56" s="186">
        <f>IFERROR(tblPiNAnalysis[[#This Row],[3rd Highest PiN]]/tblPiNAnalysis[[#This Row],[Population]], "")</f>
        <v>0.2</v>
      </c>
      <c r="AX56" s="45">
        <f>IFERROR(tblPiNAnalysis[[#This Row],[Highest PiN]]-tblPiNAnalysis[[#This Row],[3rd Highest PiN]],"")</f>
        <v>7872.8</v>
      </c>
      <c r="AY56" s="38">
        <f>IFERROR(tblPiNAnalysis[[#This Row],[Difference of PiN between Highest and 3rd Highest]]/tblPiNAnalysis[[#This Row],[3rd Highest PiN]], "")</f>
        <v>4</v>
      </c>
      <c r="AZ56" s="314" t="str" cm="1">
        <f t="array" ref="AZ5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6" s="288" cm="1">
        <f t="array" ref="BA56">IFERROR(IF(tblPiNAnalysis[[#This Row],[ID]]="", "", INDEX(tblPiNHistorical[[CCCM]:[WASH]], MATCH(tblPiNAnalysis[[#This Row],[ID]],tblPiNHistorical[ID], 0),MATCH(_xlfn._xlws.FILTER(tblPiNAnalysis[[#Headers],[CCCM]:[WASH]], tblPiNAnalysis[[#This Row],[Highest PiN]]=tblPiNAnalysis[[#This Row],[CCCM]:[WASH]]), tblPiNHistorical[[#Headers],[CCCM]:[WASH]], 0))), "")</f>
        <v>3</v>
      </c>
      <c r="BB56" s="317" t="str" cm="1">
        <f t="array" ref="BB5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56" s="265" cm="1">
        <f t="array" ref="BC56">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56" s="318" t="str" cm="1">
        <f t="array" ref="BD5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6" s="356">
        <f>INDEX(tblSeverityAnalysis[Final Severity], MATCH(tblPiNAnalysis[[#This Row],[ID]],tblSeverityAnalysis[ID], 0))</f>
        <v>4</v>
      </c>
      <c r="BF56" s="59">
        <f>IF(tblPiNAnalysis[[#This Row],[Severity]]&gt;2,tblPiNAnalysis[[#This Row],[Highest PiN]],)</f>
        <v>9841</v>
      </c>
      <c r="BG56" s="187"/>
      <c r="BH56" s="188"/>
      <c r="BI56" s="189">
        <f>COUNTIFS(tblPiNAnalysis[[#This Row],[Number of missing / zero PiNs greater than threshold - Data quality]:[Manual Flag]],"Flagged")</f>
        <v>3</v>
      </c>
      <c r="BJ56" s="94" t="str">
        <f>IF(tblPiNAnalysis[[#This Row],['# Flags]]&gt;0, "Flagged", "")</f>
        <v>Flagged</v>
      </c>
      <c r="BK56" s="310">
        <f>tblPiNAnalysis[[#This Row],[Preliminary PiN]]</f>
        <v>9841</v>
      </c>
      <c r="BL56" s="315"/>
      <c r="BM56" s="256">
        <f>IFERROR(IF(tblPiNAnalysis[[#This Row],[Severity]]=3,tblPiNAnalysis[[#This Row],[Final PiN]]*Thresholds!$D$35,tblPiNAnalysis[[#This Row],[Final PiN]]*Thresholds!$D$36),)</f>
        <v>9841</v>
      </c>
      <c r="BN56" s="256">
        <f>IFERROR(IF(tblPiNAnalysis[[#This Row],[Severity]]&gt;3,tblPiNAnalysis[[#This Row],[Final PiN]]*Thresholds!$D$36,),)</f>
        <v>9841</v>
      </c>
    </row>
    <row r="57" spans="1:66" ht="24.95" customHeight="1">
      <c r="A57" s="30" t="s">
        <v>174</v>
      </c>
      <c r="B57" s="39" t="s">
        <v>146</v>
      </c>
      <c r="C57" s="213" t="s">
        <v>147</v>
      </c>
      <c r="D57" s="340" t="s">
        <v>175</v>
      </c>
      <c r="E57" s="103" t="s">
        <v>174</v>
      </c>
      <c r="F57" s="98"/>
      <c r="G57" s="33"/>
      <c r="H57" s="33"/>
      <c r="I57" s="95">
        <v>273174</v>
      </c>
      <c r="J57" s="95" t="s">
        <v>193</v>
      </c>
      <c r="K57" s="319">
        <v>0</v>
      </c>
      <c r="L57" s="303">
        <v>15285</v>
      </c>
      <c r="M57" s="303">
        <v>26444</v>
      </c>
      <c r="N57" s="303">
        <v>58674</v>
      </c>
      <c r="O57" s="303"/>
      <c r="P57" s="303">
        <v>50748</v>
      </c>
      <c r="Q57" s="34">
        <v>34551.5</v>
      </c>
      <c r="R57" s="303">
        <v>0</v>
      </c>
      <c r="S57" s="32">
        <v>28766</v>
      </c>
      <c r="T57" s="32">
        <v>16971</v>
      </c>
      <c r="U57" s="32">
        <v>50748</v>
      </c>
      <c r="V57" s="303">
        <v>0</v>
      </c>
      <c r="W57" s="305">
        <f>IFERROR(IF(tblPiNAnalysis[[#This Row],[CCCM]]="", "", MROUND(tblPiNAnalysis[[#This Row],[CCCM]]/tblPiNAnalysis[[#This Row],[Population]], 0.05)), "")</f>
        <v>0</v>
      </c>
      <c r="X57" s="306">
        <f>IFERROR(IF(tblPiNAnalysis[[#This Row],[Education]]="", "", MROUND(tblPiNAnalysis[[#This Row],[Education]]/tblPiNAnalysis[[#This Row],[Population]], 0.05)), "")</f>
        <v>0.05</v>
      </c>
      <c r="Y57" s="306">
        <f>IFERROR(IF(tblPiNAnalysis[[#This Row],[Nutrition]]="", "", MROUND(tblPiNAnalysis[[#This Row],[Nutrition]]/tblPiNAnalysis[[#This Row],[Population]], 0.05)), "")</f>
        <v>0.1</v>
      </c>
      <c r="Z57" s="306">
        <f>IFERROR(IF(tblPiNAnalysis[[#This Row],[Food Security]]="", "", MROUND(tblPiNAnalysis[[#This Row],[Food Security]]/tblPiNAnalysis[[#This Row],[Population]], 0.05)), "")</f>
        <v>0.2</v>
      </c>
      <c r="AA57" s="306" t="str">
        <f>IFERROR(IF(tblPiNAnalysis[[#This Row],[Health]]="", "", MROUND(tblPiNAnalysis[[#This Row],[Health]]/tblPiNAnalysis[[#This Row],[Population]], 0.05)), "")</f>
        <v/>
      </c>
      <c r="AB57" s="307">
        <f>IFERROR(IF(tblPiNAnalysis[[#This Row],[Overarching Protection]]="", "", MROUND(tblPiNAnalysis[[#This Row],[Overarching Protection]]/tblPiNAnalysis[[#This Row],[Population]], 0.05)), "")</f>
        <v>0.2</v>
      </c>
      <c r="AC57" s="307">
        <f>IFERROR(IF(tblPiNAnalysis[[#This Row],[Shelter]]="", "", MROUND(tblPiNAnalysis[[#This Row],[Shelter]]/tblPiNAnalysis[[#This Row],[Population]], 0.05)), "")</f>
        <v>0.15000000000000002</v>
      </c>
      <c r="AD57" s="308">
        <f>IFERROR(IF(tblPiNAnalysis[[#This Row],[WASH]]="", "", MROUND(tblPiNAnalysis[[#This Row],[WASH]]/tblPiNAnalysis[[#This Row],[Population]], 0.05)), "")</f>
        <v>0</v>
      </c>
      <c r="AE57" s="306">
        <f>IFERROR(MROUND(tblPiNAnalysis[[#This Row],[CP]]/tblPiNAnalysis[[#This Row],[Population]], 0.05), "")</f>
        <v>0.1</v>
      </c>
      <c r="AF57" s="306">
        <f>IFERROR(MROUND(tblPiNAnalysis[[#This Row],[GBV]]/tblPiNAnalysis[[#This Row],[Population]], 0.05), "")</f>
        <v>0.05</v>
      </c>
      <c r="AG57" s="306">
        <f>IFERROR(MROUND(tblPiNAnalysis[[#This Row],[GP]]/tblPiNAnalysis[[#This Row],[Population]], 0.05), "")</f>
        <v>0.2</v>
      </c>
      <c r="AH57" s="306">
        <f>IFERROR(MROUND(tblPiNAnalysis[[#This Row],[HLP]]/tblPiNAnalysis[[#This Row],[Population]], 0.05), "")</f>
        <v>0</v>
      </c>
      <c r="AI57" s="309">
        <f>IFERROR(LARGE(tblPiNAnalysis[[#This Row],[CCCM]:[WASH]], 1), "")</f>
        <v>58674</v>
      </c>
      <c r="AJ57" s="310" t="str" cm="1">
        <f t="array" ref="AJ57">IF(tblPiNAnalysis[[#This Row],[Highest PiN]]="", "", _xlfn.TEXTJOIN(CHAR(10), TRUE, IF(tblPiNAnalysis[[#This Row],[Highest PiN]]=tblPiNAnalysis[[#This Row],[CCCM]:[WASH]], tblPiNAnalysis[[#Headers],[CCCM]:[WASH]], "")))</f>
        <v>Food Security</v>
      </c>
      <c r="AK57" s="311">
        <f>IF(tblPiNAnalysis[[#This Row],[Highest PiN]]="", "", tblPiNAnalysis[[#This Row],[Highest PiN]]/tblPiNAnalysis[[#This Row],[Population]])</f>
        <v>0.21478618023677218</v>
      </c>
      <c r="AL57" s="312" t="str">
        <f>IF(SUM(tblPiNAnalysis[[#This Row],[CCCM]:[WASH]])=0, "",IF(COUNTIF(tblPiNAnalysis[[#This Row],[CCCM]:[WASH]],"=0")+COUNTIF(tblPiNAnalysis[[#This Row],[CCCM]:[WASH]],"")&gt;=zero_pin_thresh, "Flagged", ""))</f>
        <v/>
      </c>
      <c r="AM57" s="313" t="str">
        <f>IFERROR(IF(tblPiNAnalysis[[#This Row],[Highest PiN]]="", "", IF(tblPiNAnalysis[[#This Row],[Highest sector(s'') PiN %]]&gt;=flag_pin_perc, "Flagged", "")), "")</f>
        <v/>
      </c>
      <c r="AN57" s="314" t="str" cm="1">
        <f t="array" ref="AN57">IF(tblPiNAnalysis[[#This Row],[Highest PiN]]=0, "",  IF(OR(COUNTIF(tblPiNAnalysis[[#This Row],[Highest sector(s)]],tblSubSectorPopulation[Sector])), "Flagged", ""))</f>
        <v/>
      </c>
      <c r="AO57" s="46" cm="1">
        <f t="array" ref="AO5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50748</v>
      </c>
      <c r="AP57" s="315" t="str" cm="1">
        <f t="array" ref="AP57">IF(tblPiNAnalysis[[#This Row],[2nd Highest PiN]]="", "", _xlfn.TEXTJOIN(CHAR(10), TRUE, IF(tblPiNAnalysis[[#This Row],[2nd Highest PiN]]=tblPiNAnalysis[[#This Row],[CCCM]:[WASH]], tblPiNAnalysis[[#Headers],[CCCM]:[WASH]], "")))</f>
        <v>Overarching Protection</v>
      </c>
      <c r="AQ57" s="35">
        <f>IFERROR(tblPiNAnalysis[[#This Row],[2nd Highest PiN]]/tblPiNAnalysis[[#This Row],[Population]], "")</f>
        <v>0.185771705945661</v>
      </c>
      <c r="AR57" s="46">
        <f>IFERROR(tblPiNAnalysis[[#This Row],[Highest PiN]]-tblPiNAnalysis[[#This Row],[2nd Highest PiN]], "")</f>
        <v>7926</v>
      </c>
      <c r="AS57" s="38">
        <f>IFERROR(((tblPiNAnalysis[[#This Row],[Highest PiN]]-tblPiNAnalysis[[#This Row],[2nd Highest PiN]])/tblPiNAnalysis[[#This Row],[2nd Highest PiN]]),"")</f>
        <v>0.15618349491605579</v>
      </c>
      <c r="AT57" s="38" t="str" cm="1">
        <f t="array" ref="AT5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7" s="316" cm="1">
        <f t="array" ref="AU5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34551.5</v>
      </c>
      <c r="AV57" s="186" t="str" cm="1">
        <f t="array" ref="AV57">IF(tblPiNAnalysis[[#This Row],[3rd Highest PiN]]="", "", _xlfn.TEXTJOIN(CHAR(10), TRUE, IF(tblPiNAnalysis[[#This Row],[3rd Highest PiN]]=tblPiNAnalysis[[#This Row],[CCCM]:[WASH]], tblPiNAnalysis[[#Headers],[CCCM]:[WASH]], "")))</f>
        <v>Shelter</v>
      </c>
      <c r="AW57" s="186">
        <f>IFERROR(tblPiNAnalysis[[#This Row],[3rd Highest PiN]]/tblPiNAnalysis[[#This Row],[Population]], "")</f>
        <v>0.12648165638018261</v>
      </c>
      <c r="AX57" s="45">
        <f>IFERROR(tblPiNAnalysis[[#This Row],[Highest PiN]]-tblPiNAnalysis[[#This Row],[3rd Highest PiN]],"")</f>
        <v>24122.5</v>
      </c>
      <c r="AY57" s="38">
        <f>IFERROR(tblPiNAnalysis[[#This Row],[Difference of PiN between Highest and 3rd Highest]]/tblPiNAnalysis[[#This Row],[3rd Highest PiN]], "")</f>
        <v>0.69816071661143508</v>
      </c>
      <c r="AZ57" s="314" t="str" cm="1">
        <f t="array" ref="AZ5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7" s="288" t="str" cm="1">
        <f t="array" ref="BA57">IFERROR(IF(tblPiNAnalysis[[#This Row],[ID]]="", "", INDEX(tblPiNHistorical[[CCCM]:[WASH]], MATCH(tblPiNAnalysis[[#This Row],[ID]],tblPiNHistorical[ID], 0),MATCH(_xlfn._xlws.FILTER(tblPiNAnalysis[[#Headers],[CCCM]:[WASH]], tblPiNAnalysis[[#This Row],[Highest PiN]]=tblPiNAnalysis[[#This Row],[CCCM]:[WASH]]), tblPiNHistorical[[#Headers],[CCCM]:[WASH]], 0))), "")</f>
        <v/>
      </c>
      <c r="BB57" s="317" t="str" cm="1">
        <f t="array" ref="BB5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7" s="265" t="str" cm="1">
        <f t="array" ref="BC57">IFERROR(IF(tblPiNAnalysis[[#This Row],[ID]]="", "", INDEX(tblPiNHistorical[[CCCM]:[WASH]], MATCH(tblPiNAnalysis[[#This Row],[ID]],tblPiNHistorical[ID], 0),MATCH(_xlfn._xlws.FILTER(tblPiNAnalysis[[#Headers],[CCCM]:[WASH]], tblPiNAnalysis[[#This Row],[2nd Highest PiN]]=tblPiNAnalysis[[#This Row],[CCCM]:[WASH]]), tblPiNHistorical[[#Headers],[CCCM]:[WASH]], 0))), "")</f>
        <v/>
      </c>
      <c r="BD57" s="318" t="str" cm="1">
        <f t="array" ref="BD5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7" s="356">
        <f>INDEX(tblSeverityAnalysis[Final Severity], MATCH(tblPiNAnalysis[[#This Row],[ID]],tblSeverityAnalysis[ID], 0))</f>
        <v>3</v>
      </c>
      <c r="BF57" s="59">
        <f>IF(tblPiNAnalysis[[#This Row],[Severity]]&gt;2,tblPiNAnalysis[[#This Row],[Highest PiN]],)</f>
        <v>58674</v>
      </c>
      <c r="BG57" s="187"/>
      <c r="BH57" s="188"/>
      <c r="BI57" s="189">
        <f>COUNTIFS(tblPiNAnalysis[[#This Row],[Number of missing / zero PiNs greater than threshold - Data quality]:[Manual Flag]],"Flagged")</f>
        <v>1</v>
      </c>
      <c r="BJ57" s="94" t="str">
        <f>IF(tblPiNAnalysis[[#This Row],['# Flags]]&gt;0, "Flagged", "")</f>
        <v>Flagged</v>
      </c>
      <c r="BK57" s="310">
        <f>tblPiNAnalysis[[#This Row],[Preliminary PiN]]</f>
        <v>58674</v>
      </c>
      <c r="BL57" s="315"/>
      <c r="BM57" s="256">
        <f>IFERROR(IF(tblPiNAnalysis[[#This Row],[Severity]]=3,tblPiNAnalysis[[#This Row],[Final PiN]]*Thresholds!$D$35,tblPiNAnalysis[[#This Row],[Final PiN]]*Thresholds!$D$36),)</f>
        <v>29337</v>
      </c>
      <c r="BN57" s="256">
        <f>IFERROR(IF(tblPiNAnalysis[[#This Row],[Severity]]&gt;3,tblPiNAnalysis[[#This Row],[Final PiN]]*Thresholds!$D$36,),)</f>
        <v>0</v>
      </c>
    </row>
    <row r="58" spans="1:66" ht="24.95" customHeight="1">
      <c r="A58" s="30" t="s">
        <v>176</v>
      </c>
      <c r="B58" s="39" t="s">
        <v>146</v>
      </c>
      <c r="C58" s="213" t="s">
        <v>147</v>
      </c>
      <c r="D58" s="340" t="s">
        <v>177</v>
      </c>
      <c r="E58" s="103" t="s">
        <v>176</v>
      </c>
      <c r="F58" s="98"/>
      <c r="G58" s="33"/>
      <c r="H58" s="33"/>
      <c r="I58" s="95">
        <v>36219</v>
      </c>
      <c r="J58" s="95" t="s">
        <v>193</v>
      </c>
      <c r="K58" s="319">
        <v>0</v>
      </c>
      <c r="L58" s="303">
        <v>6053</v>
      </c>
      <c r="M58" s="303">
        <v>3180</v>
      </c>
      <c r="N58" s="303">
        <v>14327</v>
      </c>
      <c r="O58" s="303">
        <v>12135.916391327752</v>
      </c>
      <c r="P58" s="303">
        <v>2952</v>
      </c>
      <c r="Q58" s="34">
        <v>5411</v>
      </c>
      <c r="R58" s="303">
        <v>0</v>
      </c>
      <c r="S58" s="32">
        <v>2952</v>
      </c>
      <c r="T58" s="32">
        <v>1741</v>
      </c>
      <c r="U58" s="32">
        <v>2886</v>
      </c>
      <c r="V58" s="303">
        <v>2952</v>
      </c>
      <c r="W58" s="305">
        <f>IFERROR(IF(tblPiNAnalysis[[#This Row],[CCCM]]="", "", MROUND(tblPiNAnalysis[[#This Row],[CCCM]]/tblPiNAnalysis[[#This Row],[Population]], 0.05)), "")</f>
        <v>0</v>
      </c>
      <c r="X58" s="306">
        <f>IFERROR(IF(tblPiNAnalysis[[#This Row],[Education]]="", "", MROUND(tblPiNAnalysis[[#This Row],[Education]]/tblPiNAnalysis[[#This Row],[Population]], 0.05)), "")</f>
        <v>0.15000000000000002</v>
      </c>
      <c r="Y58" s="306">
        <f>IFERROR(IF(tblPiNAnalysis[[#This Row],[Nutrition]]="", "", MROUND(tblPiNAnalysis[[#This Row],[Nutrition]]/tblPiNAnalysis[[#This Row],[Population]], 0.05)), "")</f>
        <v>0.1</v>
      </c>
      <c r="Z58" s="306">
        <f>IFERROR(IF(tblPiNAnalysis[[#This Row],[Food Security]]="", "", MROUND(tblPiNAnalysis[[#This Row],[Food Security]]/tblPiNAnalysis[[#This Row],[Population]], 0.05)), "")</f>
        <v>0.4</v>
      </c>
      <c r="AA58" s="306">
        <f>IFERROR(IF(tblPiNAnalysis[[#This Row],[Health]]="", "", MROUND(tblPiNAnalysis[[#This Row],[Health]]/tblPiNAnalysis[[#This Row],[Population]], 0.05)), "")</f>
        <v>0.35000000000000003</v>
      </c>
      <c r="AB58" s="307">
        <f>IFERROR(IF(tblPiNAnalysis[[#This Row],[Overarching Protection]]="", "", MROUND(tblPiNAnalysis[[#This Row],[Overarching Protection]]/tblPiNAnalysis[[#This Row],[Population]], 0.05)), "")</f>
        <v>0.1</v>
      </c>
      <c r="AC58" s="307">
        <f>IFERROR(IF(tblPiNAnalysis[[#This Row],[Shelter]]="", "", MROUND(tblPiNAnalysis[[#This Row],[Shelter]]/tblPiNAnalysis[[#This Row],[Population]], 0.05)), "")</f>
        <v>0.15000000000000002</v>
      </c>
      <c r="AD58" s="308">
        <f>IFERROR(IF(tblPiNAnalysis[[#This Row],[WASH]]="", "", MROUND(tblPiNAnalysis[[#This Row],[WASH]]/tblPiNAnalysis[[#This Row],[Population]], 0.05)), "")</f>
        <v>0</v>
      </c>
      <c r="AE58" s="306">
        <f>IFERROR(MROUND(tblPiNAnalysis[[#This Row],[CP]]/tblPiNAnalysis[[#This Row],[Population]], 0.05), "")</f>
        <v>0.1</v>
      </c>
      <c r="AF58" s="306">
        <f>IFERROR(MROUND(tblPiNAnalysis[[#This Row],[GBV]]/tblPiNAnalysis[[#This Row],[Population]], 0.05), "")</f>
        <v>0.05</v>
      </c>
      <c r="AG58" s="306">
        <f>IFERROR(MROUND(tblPiNAnalysis[[#This Row],[GP]]/tblPiNAnalysis[[#This Row],[Population]], 0.05), "")</f>
        <v>0.1</v>
      </c>
      <c r="AH58" s="306">
        <f>IFERROR(MROUND(tblPiNAnalysis[[#This Row],[HLP]]/tblPiNAnalysis[[#This Row],[Population]], 0.05), "")</f>
        <v>0.1</v>
      </c>
      <c r="AI58" s="309">
        <f>IFERROR(LARGE(tblPiNAnalysis[[#This Row],[CCCM]:[WASH]], 1), "")</f>
        <v>14327</v>
      </c>
      <c r="AJ58" s="310" t="str" cm="1">
        <f t="array" ref="AJ58">IF(tblPiNAnalysis[[#This Row],[Highest PiN]]="", "", _xlfn.TEXTJOIN(CHAR(10), TRUE, IF(tblPiNAnalysis[[#This Row],[Highest PiN]]=tblPiNAnalysis[[#This Row],[CCCM]:[WASH]], tblPiNAnalysis[[#Headers],[CCCM]:[WASH]], "")))</f>
        <v>Food Security</v>
      </c>
      <c r="AK58" s="311">
        <f>IF(tblPiNAnalysis[[#This Row],[Highest PiN]]="", "", tblPiNAnalysis[[#This Row],[Highest PiN]]/tblPiNAnalysis[[#This Row],[Population]])</f>
        <v>0.39556586322096138</v>
      </c>
      <c r="AL58" s="312" t="str">
        <f>IF(SUM(tblPiNAnalysis[[#This Row],[CCCM]:[WASH]])=0, "",IF(COUNTIF(tblPiNAnalysis[[#This Row],[CCCM]:[WASH]],"=0")+COUNTIF(tblPiNAnalysis[[#This Row],[CCCM]:[WASH]],"")&gt;=zero_pin_thresh, "Flagged", ""))</f>
        <v/>
      </c>
      <c r="AM58" s="313" t="str">
        <f>IFERROR(IF(tblPiNAnalysis[[#This Row],[Highest PiN]]="", "", IF(tblPiNAnalysis[[#This Row],[Highest sector(s'') PiN %]]&gt;=flag_pin_perc, "Flagged", "")), "")</f>
        <v/>
      </c>
      <c r="AN58" s="314" t="str" cm="1">
        <f t="array" ref="AN58">IF(tblPiNAnalysis[[#This Row],[Highest PiN]]=0, "",  IF(OR(COUNTIF(tblPiNAnalysis[[#This Row],[Highest sector(s)]],tblSubSectorPopulation[Sector])), "Flagged", ""))</f>
        <v/>
      </c>
      <c r="AO58" s="46" cm="1">
        <f t="array" ref="AO5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12135.916391327752</v>
      </c>
      <c r="AP58" s="315" t="str" cm="1">
        <f t="array" ref="AP58">IF(tblPiNAnalysis[[#This Row],[2nd Highest PiN]]="", "", _xlfn.TEXTJOIN(CHAR(10), TRUE, IF(tblPiNAnalysis[[#This Row],[2nd Highest PiN]]=tblPiNAnalysis[[#This Row],[CCCM]:[WASH]], tblPiNAnalysis[[#Headers],[CCCM]:[WASH]], "")))</f>
        <v>Health</v>
      </c>
      <c r="AQ58" s="35">
        <f>IFERROR(tblPiNAnalysis[[#This Row],[2nd Highest PiN]]/tblPiNAnalysis[[#This Row],[Population]], "")</f>
        <v>0.33507044345033687</v>
      </c>
      <c r="AR58" s="46">
        <f>IFERROR(tblPiNAnalysis[[#This Row],[Highest PiN]]-tblPiNAnalysis[[#This Row],[2nd Highest PiN]], "")</f>
        <v>2191.0836086722484</v>
      </c>
      <c r="AS58" s="38">
        <f>IFERROR(((tblPiNAnalysis[[#This Row],[Highest PiN]]-tblPiNAnalysis[[#This Row],[2nd Highest PiN]])/tblPiNAnalysis[[#This Row],[2nd Highest PiN]]),"")</f>
        <v>0.18054537770530313</v>
      </c>
      <c r="AT58" s="38" t="str" cm="1">
        <f t="array" ref="AT5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8" s="316" cm="1">
        <f t="array" ref="AU5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6053</v>
      </c>
      <c r="AV58" s="186" t="str" cm="1">
        <f t="array" ref="AV58">IF(tblPiNAnalysis[[#This Row],[3rd Highest PiN]]="", "", _xlfn.TEXTJOIN(CHAR(10), TRUE, IF(tblPiNAnalysis[[#This Row],[3rd Highest PiN]]=tblPiNAnalysis[[#This Row],[CCCM]:[WASH]], tblPiNAnalysis[[#Headers],[CCCM]:[WASH]], "")))</f>
        <v>Education</v>
      </c>
      <c r="AW58" s="186">
        <f>IFERROR(tblPiNAnalysis[[#This Row],[3rd Highest PiN]]/tblPiNAnalysis[[#This Row],[Population]], "")</f>
        <v>0.16712222866451309</v>
      </c>
      <c r="AX58" s="45">
        <f>IFERROR(tblPiNAnalysis[[#This Row],[Highest PiN]]-tblPiNAnalysis[[#This Row],[3rd Highest PiN]],"")</f>
        <v>8274</v>
      </c>
      <c r="AY58" s="38">
        <f>IFERROR(tblPiNAnalysis[[#This Row],[Difference of PiN between Highest and 3rd Highest]]/tblPiNAnalysis[[#This Row],[3rd Highest PiN]], "")</f>
        <v>1.3669254914918223</v>
      </c>
      <c r="AZ58" s="314" t="str" cm="1">
        <f t="array" ref="AZ5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8" s="288" cm="1">
        <f t="array" ref="BA58">IFERROR(IF(tblPiNAnalysis[[#This Row],[ID]]="", "", INDEX(tblPiNHistorical[[CCCM]:[WASH]], MATCH(tblPiNAnalysis[[#This Row],[ID]],tblPiNHistorical[ID], 0),MATCH(_xlfn._xlws.FILTER(tblPiNAnalysis[[#Headers],[CCCM]:[WASH]], tblPiNAnalysis[[#This Row],[Highest PiN]]=tblPiNAnalysis[[#This Row],[CCCM]:[WASH]]), tblPiNHistorical[[#Headers],[CCCM]:[WASH]], 0))), "")</f>
        <v>0.3</v>
      </c>
      <c r="BB58" s="317" t="str" cm="1">
        <f t="array" ref="BB5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8" s="265" cm="1">
        <f t="array" ref="BC58">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58" s="318" t="str" cm="1">
        <f t="array" ref="BD5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8" s="356">
        <f>INDEX(tblSeverityAnalysis[Final Severity], MATCH(tblPiNAnalysis[[#This Row],[ID]],tblSeverityAnalysis[ID], 0))</f>
        <v>4</v>
      </c>
      <c r="BF58" s="59">
        <f>IF(tblPiNAnalysis[[#This Row],[Severity]]&gt;2,tblPiNAnalysis[[#This Row],[Highest PiN]],)</f>
        <v>14327</v>
      </c>
      <c r="BG58" s="187"/>
      <c r="BH58" s="188"/>
      <c r="BI58" s="189">
        <f>COUNTIFS(tblPiNAnalysis[[#This Row],[Number of missing / zero PiNs greater than threshold - Data quality]:[Manual Flag]],"Flagged")</f>
        <v>1</v>
      </c>
      <c r="BJ58" s="94" t="str">
        <f>IF(tblPiNAnalysis[[#This Row],['# Flags]]&gt;0, "Flagged", "")</f>
        <v>Flagged</v>
      </c>
      <c r="BK58" s="310">
        <f>tblPiNAnalysis[[#This Row],[Preliminary PiN]]</f>
        <v>14327</v>
      </c>
      <c r="BL58" s="315"/>
      <c r="BM58" s="256">
        <f>IFERROR(IF(tblPiNAnalysis[[#This Row],[Severity]]=3,tblPiNAnalysis[[#This Row],[Final PiN]]*Thresholds!$D$35,tblPiNAnalysis[[#This Row],[Final PiN]]*Thresholds!$D$36),)</f>
        <v>14327</v>
      </c>
      <c r="BN58" s="256">
        <f>IFERROR(IF(tblPiNAnalysis[[#This Row],[Severity]]&gt;3,tblPiNAnalysis[[#This Row],[Final PiN]]*Thresholds!$D$36,),)</f>
        <v>14327</v>
      </c>
    </row>
    <row r="59" spans="1:66" ht="24.95" customHeight="1">
      <c r="A59" s="30" t="s">
        <v>178</v>
      </c>
      <c r="B59" s="39" t="s">
        <v>146</v>
      </c>
      <c r="C59" s="213" t="s">
        <v>147</v>
      </c>
      <c r="D59" s="340" t="s">
        <v>179</v>
      </c>
      <c r="E59" s="103" t="s">
        <v>178</v>
      </c>
      <c r="F59" s="98"/>
      <c r="G59" s="33"/>
      <c r="H59" s="33"/>
      <c r="I59" s="95">
        <v>22021</v>
      </c>
      <c r="J59" s="95" t="s">
        <v>193</v>
      </c>
      <c r="K59" s="319">
        <v>0</v>
      </c>
      <c r="L59" s="303">
        <v>2790</v>
      </c>
      <c r="M59" s="303">
        <v>2305</v>
      </c>
      <c r="N59" s="303">
        <v>12674</v>
      </c>
      <c r="O59" s="303">
        <v>1154.9296507203007</v>
      </c>
      <c r="P59" s="303">
        <v>8354</v>
      </c>
      <c r="Q59" s="34"/>
      <c r="R59" s="303">
        <v>0</v>
      </c>
      <c r="S59" s="32">
        <v>8354</v>
      </c>
      <c r="T59" s="32">
        <v>4928</v>
      </c>
      <c r="U59" s="32">
        <v>2481</v>
      </c>
      <c r="V59" s="303">
        <v>0</v>
      </c>
      <c r="W59" s="305">
        <f>IFERROR(IF(tblPiNAnalysis[[#This Row],[CCCM]]="", "", MROUND(tblPiNAnalysis[[#This Row],[CCCM]]/tblPiNAnalysis[[#This Row],[Population]], 0.05)), "")</f>
        <v>0</v>
      </c>
      <c r="X59" s="306">
        <f>IFERROR(IF(tblPiNAnalysis[[#This Row],[Education]]="", "", MROUND(tblPiNAnalysis[[#This Row],[Education]]/tblPiNAnalysis[[#This Row],[Population]], 0.05)), "")</f>
        <v>0.15000000000000002</v>
      </c>
      <c r="Y59" s="306">
        <f>IFERROR(IF(tblPiNAnalysis[[#This Row],[Nutrition]]="", "", MROUND(tblPiNAnalysis[[#This Row],[Nutrition]]/tblPiNAnalysis[[#This Row],[Population]], 0.05)), "")</f>
        <v>0.1</v>
      </c>
      <c r="Z59" s="306">
        <f>IFERROR(IF(tblPiNAnalysis[[#This Row],[Food Security]]="", "", MROUND(tblPiNAnalysis[[#This Row],[Food Security]]/tblPiNAnalysis[[#This Row],[Population]], 0.05)), "")</f>
        <v>0.60000000000000009</v>
      </c>
      <c r="AA59" s="306">
        <f>IFERROR(IF(tblPiNAnalysis[[#This Row],[Health]]="", "", MROUND(tblPiNAnalysis[[#This Row],[Health]]/tblPiNAnalysis[[#This Row],[Population]], 0.05)), "")</f>
        <v>0.05</v>
      </c>
      <c r="AB59" s="307">
        <f>IFERROR(IF(tblPiNAnalysis[[#This Row],[Overarching Protection]]="", "", MROUND(tblPiNAnalysis[[#This Row],[Overarching Protection]]/tblPiNAnalysis[[#This Row],[Population]], 0.05)), "")</f>
        <v>0.4</v>
      </c>
      <c r="AC59" s="307" t="str">
        <f>IFERROR(IF(tblPiNAnalysis[[#This Row],[Shelter]]="", "", MROUND(tblPiNAnalysis[[#This Row],[Shelter]]/tblPiNAnalysis[[#This Row],[Population]], 0.05)), "")</f>
        <v/>
      </c>
      <c r="AD59" s="308">
        <f>IFERROR(IF(tblPiNAnalysis[[#This Row],[WASH]]="", "", MROUND(tblPiNAnalysis[[#This Row],[WASH]]/tblPiNAnalysis[[#This Row],[Population]], 0.05)), "")</f>
        <v>0</v>
      </c>
      <c r="AE59" s="306">
        <f>IFERROR(MROUND(tblPiNAnalysis[[#This Row],[CP]]/tblPiNAnalysis[[#This Row],[Population]], 0.05), "")</f>
        <v>0.4</v>
      </c>
      <c r="AF59" s="306">
        <f>IFERROR(MROUND(tblPiNAnalysis[[#This Row],[GBV]]/tblPiNAnalysis[[#This Row],[Population]], 0.05), "")</f>
        <v>0.2</v>
      </c>
      <c r="AG59" s="306">
        <f>IFERROR(MROUND(tblPiNAnalysis[[#This Row],[GP]]/tblPiNAnalysis[[#This Row],[Population]], 0.05), "")</f>
        <v>0.1</v>
      </c>
      <c r="AH59" s="306">
        <f>IFERROR(MROUND(tblPiNAnalysis[[#This Row],[HLP]]/tblPiNAnalysis[[#This Row],[Population]], 0.05), "")</f>
        <v>0</v>
      </c>
      <c r="AI59" s="309">
        <f>IFERROR(LARGE(tblPiNAnalysis[[#This Row],[CCCM]:[WASH]], 1), "")</f>
        <v>12674</v>
      </c>
      <c r="AJ59" s="310" t="str" cm="1">
        <f t="array" ref="AJ59">IF(tblPiNAnalysis[[#This Row],[Highest PiN]]="", "", _xlfn.TEXTJOIN(CHAR(10), TRUE, IF(tblPiNAnalysis[[#This Row],[Highest PiN]]=tblPiNAnalysis[[#This Row],[CCCM]:[WASH]], tblPiNAnalysis[[#Headers],[CCCM]:[WASH]], "")))</f>
        <v>Food Security</v>
      </c>
      <c r="AK59" s="311">
        <f>IF(tblPiNAnalysis[[#This Row],[Highest PiN]]="", "", tblPiNAnalysis[[#This Row],[Highest PiN]]/tblPiNAnalysis[[#This Row],[Population]])</f>
        <v>0.57554152854093821</v>
      </c>
      <c r="AL59" s="312" t="str">
        <f>IF(SUM(tblPiNAnalysis[[#This Row],[CCCM]:[WASH]])=0, "",IF(COUNTIF(tblPiNAnalysis[[#This Row],[CCCM]:[WASH]],"=0")+COUNTIF(tblPiNAnalysis[[#This Row],[CCCM]:[WASH]],"")&gt;=zero_pin_thresh, "Flagged", ""))</f>
        <v/>
      </c>
      <c r="AM59" s="313" t="str">
        <f>IFERROR(IF(tblPiNAnalysis[[#This Row],[Highest PiN]]="", "", IF(tblPiNAnalysis[[#This Row],[Highest sector(s'') PiN %]]&gt;=flag_pin_perc, "Flagged", "")), "")</f>
        <v/>
      </c>
      <c r="AN59" s="314" t="str" cm="1">
        <f t="array" ref="AN59">IF(tblPiNAnalysis[[#This Row],[Highest PiN]]=0, "",  IF(OR(COUNTIF(tblPiNAnalysis[[#This Row],[Highest sector(s)]],tblSubSectorPopulation[Sector])), "Flagged", ""))</f>
        <v/>
      </c>
      <c r="AO59" s="46" cm="1">
        <f t="array" ref="AO5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8354</v>
      </c>
      <c r="AP59" s="315" t="str" cm="1">
        <f t="array" ref="AP59">IF(tblPiNAnalysis[[#This Row],[2nd Highest PiN]]="", "", _xlfn.TEXTJOIN(CHAR(10), TRUE, IF(tblPiNAnalysis[[#This Row],[2nd Highest PiN]]=tblPiNAnalysis[[#This Row],[CCCM]:[WASH]], tblPiNAnalysis[[#Headers],[CCCM]:[WASH]], "")))</f>
        <v>Overarching Protection</v>
      </c>
      <c r="AQ59" s="35">
        <f>IFERROR(tblPiNAnalysis[[#This Row],[2nd Highest PiN]]/tblPiNAnalysis[[#This Row],[Population]], "")</f>
        <v>0.37936515144634669</v>
      </c>
      <c r="AR59" s="46">
        <f>IFERROR(tblPiNAnalysis[[#This Row],[Highest PiN]]-tblPiNAnalysis[[#This Row],[2nd Highest PiN]], "")</f>
        <v>4320</v>
      </c>
      <c r="AS59" s="38">
        <f>IFERROR(((tblPiNAnalysis[[#This Row],[Highest PiN]]-tblPiNAnalysis[[#This Row],[2nd Highest PiN]])/tblPiNAnalysis[[#This Row],[2nd Highest PiN]]),"")</f>
        <v>0.51711754847977021</v>
      </c>
      <c r="AT59" s="38" t="str" cm="1">
        <f t="array" ref="AT5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9" s="316" cm="1">
        <f t="array" ref="AU5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2790</v>
      </c>
      <c r="AV59" s="186" t="str" cm="1">
        <f t="array" ref="AV59">IF(tblPiNAnalysis[[#This Row],[3rd Highest PiN]]="", "", _xlfn.TEXTJOIN(CHAR(10), TRUE, IF(tblPiNAnalysis[[#This Row],[3rd Highest PiN]]=tblPiNAnalysis[[#This Row],[CCCM]:[WASH]], tblPiNAnalysis[[#Headers],[CCCM]:[WASH]], "")))</f>
        <v>Education</v>
      </c>
      <c r="AW59" s="186">
        <f>IFERROR(tblPiNAnalysis[[#This Row],[3rd Highest PiN]]/tblPiNAnalysis[[#This Row],[Population]], "")</f>
        <v>0.12669724354025702</v>
      </c>
      <c r="AX59" s="45">
        <f>IFERROR(tblPiNAnalysis[[#This Row],[Highest PiN]]-tblPiNAnalysis[[#This Row],[3rd Highest PiN]],"")</f>
        <v>9884</v>
      </c>
      <c r="AY59" s="38">
        <f>IFERROR(tblPiNAnalysis[[#This Row],[Difference of PiN between Highest and 3rd Highest]]/tblPiNAnalysis[[#This Row],[3rd Highest PiN]], "")</f>
        <v>3.5426523297491039</v>
      </c>
      <c r="AZ59" s="314" t="str" cm="1">
        <f t="array" ref="AZ5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9" s="288" t="str" cm="1">
        <f t="array" ref="BA59">IFERROR(IF(tblPiNAnalysis[[#This Row],[ID]]="", "", INDEX(tblPiNHistorical[[CCCM]:[WASH]], MATCH(tblPiNAnalysis[[#This Row],[ID]],tblPiNHistorical[ID], 0),MATCH(_xlfn._xlws.FILTER(tblPiNAnalysis[[#Headers],[CCCM]:[WASH]], tblPiNAnalysis[[#This Row],[Highest PiN]]=tblPiNAnalysis[[#This Row],[CCCM]:[WASH]]), tblPiNHistorical[[#Headers],[CCCM]:[WASH]], 0))), "")</f>
        <v/>
      </c>
      <c r="BB59" s="317" t="str" cm="1">
        <f t="array" ref="BB5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9" s="265" t="str" cm="1">
        <f t="array" ref="BC59">IFERROR(IF(tblPiNAnalysis[[#This Row],[ID]]="", "", INDEX(tblPiNHistorical[[CCCM]:[WASH]], MATCH(tblPiNAnalysis[[#This Row],[ID]],tblPiNHistorical[ID], 0),MATCH(_xlfn._xlws.FILTER(tblPiNAnalysis[[#Headers],[CCCM]:[WASH]], tblPiNAnalysis[[#This Row],[2nd Highest PiN]]=tblPiNAnalysis[[#This Row],[CCCM]:[WASH]]), tblPiNHistorical[[#Headers],[CCCM]:[WASH]], 0))), "")</f>
        <v/>
      </c>
      <c r="BD59" s="318" t="str" cm="1">
        <f t="array" ref="BD5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9" s="356">
        <f>INDEX(tblSeverityAnalysis[Final Severity], MATCH(tblPiNAnalysis[[#This Row],[ID]],tblSeverityAnalysis[ID], 0))</f>
        <v>3</v>
      </c>
      <c r="BF59" s="59">
        <f>IF(tblPiNAnalysis[[#This Row],[Severity]]&gt;2,tblPiNAnalysis[[#This Row],[Highest PiN]],)</f>
        <v>12674</v>
      </c>
      <c r="BG59" s="187"/>
      <c r="BH59" s="188"/>
      <c r="BI59" s="189">
        <f>COUNTIFS(tblPiNAnalysis[[#This Row],[Number of missing / zero PiNs greater than threshold - Data quality]:[Manual Flag]],"Flagged")</f>
        <v>2</v>
      </c>
      <c r="BJ59" s="94" t="str">
        <f>IF(tblPiNAnalysis[[#This Row],['# Flags]]&gt;0, "Flagged", "")</f>
        <v>Flagged</v>
      </c>
      <c r="BK59" s="310">
        <f>tblPiNAnalysis[[#This Row],[Preliminary PiN]]</f>
        <v>12674</v>
      </c>
      <c r="BL59" s="315"/>
      <c r="BM59" s="256">
        <f>IFERROR(IF(tblPiNAnalysis[[#This Row],[Severity]]=3,tblPiNAnalysis[[#This Row],[Final PiN]]*Thresholds!$D$35,tblPiNAnalysis[[#This Row],[Final PiN]]*Thresholds!$D$36),)</f>
        <v>6337</v>
      </c>
      <c r="BN59" s="256">
        <f>IFERROR(IF(tblPiNAnalysis[[#This Row],[Severity]]&gt;3,tblPiNAnalysis[[#This Row],[Final PiN]]*Thresholds!$D$36,),)</f>
        <v>0</v>
      </c>
    </row>
    <row r="60" spans="1:66" ht="24.95" customHeight="1">
      <c r="A60" s="30" t="s">
        <v>180</v>
      </c>
      <c r="B60" s="39" t="s">
        <v>146</v>
      </c>
      <c r="C60" s="213" t="s">
        <v>147</v>
      </c>
      <c r="D60" s="340" t="s">
        <v>181</v>
      </c>
      <c r="E60" s="103" t="s">
        <v>180</v>
      </c>
      <c r="F60" s="98"/>
      <c r="G60" s="33"/>
      <c r="H60" s="33"/>
      <c r="I60" s="95">
        <v>9498</v>
      </c>
      <c r="J60" s="95" t="s">
        <v>193</v>
      </c>
      <c r="K60" s="319">
        <v>1899.6000000000001</v>
      </c>
      <c r="L60" s="303">
        <v>2616</v>
      </c>
      <c r="M60" s="303">
        <v>860</v>
      </c>
      <c r="N60" s="303">
        <v>7451</v>
      </c>
      <c r="O60" s="303">
        <v>6583.3294571013657</v>
      </c>
      <c r="P60" s="303">
        <v>8686</v>
      </c>
      <c r="Q60" s="304">
        <v>1076</v>
      </c>
      <c r="R60" s="303">
        <v>0</v>
      </c>
      <c r="S60" s="32">
        <v>8686</v>
      </c>
      <c r="T60" s="32">
        <v>7484</v>
      </c>
      <c r="U60" s="32">
        <v>3228</v>
      </c>
      <c r="V60" s="303">
        <v>0</v>
      </c>
      <c r="W60" s="305">
        <f>IFERROR(IF(tblPiNAnalysis[[#This Row],[CCCM]]="", "", MROUND(tblPiNAnalysis[[#This Row],[CCCM]]/tblPiNAnalysis[[#This Row],[Population]], 0.05)), "")</f>
        <v>0.2</v>
      </c>
      <c r="X60" s="306">
        <f>IFERROR(IF(tblPiNAnalysis[[#This Row],[Education]]="", "", MROUND(tblPiNAnalysis[[#This Row],[Education]]/tblPiNAnalysis[[#This Row],[Population]], 0.05)), "")</f>
        <v>0.30000000000000004</v>
      </c>
      <c r="Y60" s="306">
        <f>IFERROR(IF(tblPiNAnalysis[[#This Row],[Nutrition]]="", "", MROUND(tblPiNAnalysis[[#This Row],[Nutrition]]/tblPiNAnalysis[[#This Row],[Population]], 0.05)), "")</f>
        <v>0.1</v>
      </c>
      <c r="Z60" s="306">
        <f>IFERROR(IF(tblPiNAnalysis[[#This Row],[Food Security]]="", "", MROUND(tblPiNAnalysis[[#This Row],[Food Security]]/tblPiNAnalysis[[#This Row],[Population]], 0.05)), "")</f>
        <v>0.8</v>
      </c>
      <c r="AA60" s="306">
        <f>IFERROR(IF(tblPiNAnalysis[[#This Row],[Health]]="", "", MROUND(tblPiNAnalysis[[#This Row],[Health]]/tblPiNAnalysis[[#This Row],[Population]], 0.05)), "")</f>
        <v>0.70000000000000007</v>
      </c>
      <c r="AB60" s="307">
        <f>IFERROR(IF(tblPiNAnalysis[[#This Row],[Overarching Protection]]="", "", MROUND(tblPiNAnalysis[[#This Row],[Overarching Protection]]/tblPiNAnalysis[[#This Row],[Population]], 0.05)), "")</f>
        <v>0.9</v>
      </c>
      <c r="AC60" s="307">
        <f>IFERROR(IF(tblPiNAnalysis[[#This Row],[Shelter]]="", "", MROUND(tblPiNAnalysis[[#This Row],[Shelter]]/tblPiNAnalysis[[#This Row],[Population]], 0.05)), "")</f>
        <v>0.1</v>
      </c>
      <c r="AD60" s="308">
        <f>IFERROR(IF(tblPiNAnalysis[[#This Row],[WASH]]="", "", MROUND(tblPiNAnalysis[[#This Row],[WASH]]/tblPiNAnalysis[[#This Row],[Population]], 0.05)), "")</f>
        <v>0</v>
      </c>
      <c r="AE60" s="306">
        <f>IFERROR(MROUND(tblPiNAnalysis[[#This Row],[CP]]/tblPiNAnalysis[[#This Row],[Population]], 0.05), "")</f>
        <v>0.9</v>
      </c>
      <c r="AF60" s="306">
        <f>IFERROR(MROUND(tblPiNAnalysis[[#This Row],[GBV]]/tblPiNAnalysis[[#This Row],[Population]], 0.05), "")</f>
        <v>0.8</v>
      </c>
      <c r="AG60" s="306">
        <f>IFERROR(MROUND(tblPiNAnalysis[[#This Row],[GP]]/tblPiNAnalysis[[#This Row],[Population]], 0.05), "")</f>
        <v>0.35000000000000003</v>
      </c>
      <c r="AH60" s="306">
        <f>IFERROR(MROUND(tblPiNAnalysis[[#This Row],[HLP]]/tblPiNAnalysis[[#This Row],[Population]], 0.05), "")</f>
        <v>0</v>
      </c>
      <c r="AI60" s="309">
        <f>IFERROR(LARGE(tblPiNAnalysis[[#This Row],[CCCM]:[WASH]], 1), "")</f>
        <v>8686</v>
      </c>
      <c r="AJ60" s="310" t="str" cm="1">
        <f t="array" ref="AJ60">IF(tblPiNAnalysis[[#This Row],[Highest PiN]]="", "", _xlfn.TEXTJOIN(CHAR(10), TRUE, IF(tblPiNAnalysis[[#This Row],[Highest PiN]]=tblPiNAnalysis[[#This Row],[CCCM]:[WASH]], tblPiNAnalysis[[#Headers],[CCCM]:[WASH]], "")))</f>
        <v>Overarching Protection</v>
      </c>
      <c r="AK60" s="311">
        <f>IF(tblPiNAnalysis[[#This Row],[Highest PiN]]="", "", tblPiNAnalysis[[#This Row],[Highest PiN]]/tblPiNAnalysis[[#This Row],[Population]])</f>
        <v>0.91450831754053485</v>
      </c>
      <c r="AL60" s="312" t="str">
        <f>IF(SUM(tblPiNAnalysis[[#This Row],[CCCM]:[WASH]])=0, "",IF(COUNTIF(tblPiNAnalysis[[#This Row],[CCCM]:[WASH]],"=0")+COUNTIF(tblPiNAnalysis[[#This Row],[CCCM]:[WASH]],"")&gt;=zero_pin_thresh, "Flagged", ""))</f>
        <v/>
      </c>
      <c r="AM60" s="313" t="str">
        <f>IFERROR(IF(tblPiNAnalysis[[#This Row],[Highest PiN]]="", "", IF(tblPiNAnalysis[[#This Row],[Highest sector(s'') PiN %]]&gt;=flag_pin_perc, "Flagged", "")), "")</f>
        <v>Flagged</v>
      </c>
      <c r="AN60" s="314" t="str" cm="1">
        <f t="array" ref="AN60">IF(tblPiNAnalysis[[#This Row],[Highest PiN]]=0, "",  IF(OR(COUNTIF(tblPiNAnalysis[[#This Row],[Highest sector(s)]],tblSubSectorPopulation[Sector])), "Flagged", ""))</f>
        <v/>
      </c>
      <c r="AO60" s="46" cm="1">
        <f t="array" ref="AO6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7451</v>
      </c>
      <c r="AP60" s="315" t="str" cm="1">
        <f t="array" ref="AP60">IF(tblPiNAnalysis[[#This Row],[2nd Highest PiN]]="", "", _xlfn.TEXTJOIN(CHAR(10), TRUE, IF(tblPiNAnalysis[[#This Row],[2nd Highest PiN]]=tblPiNAnalysis[[#This Row],[CCCM]:[WASH]], tblPiNAnalysis[[#Headers],[CCCM]:[WASH]], "")))</f>
        <v>Food Security</v>
      </c>
      <c r="AQ60" s="35">
        <f>IFERROR(tblPiNAnalysis[[#This Row],[2nd Highest PiN]]/tblPiNAnalysis[[#This Row],[Population]], "")</f>
        <v>0.7844809433564961</v>
      </c>
      <c r="AR60" s="46">
        <f>IFERROR(tblPiNAnalysis[[#This Row],[Highest PiN]]-tblPiNAnalysis[[#This Row],[2nd Highest PiN]], "")</f>
        <v>1235</v>
      </c>
      <c r="AS60" s="38">
        <f>IFERROR(((tblPiNAnalysis[[#This Row],[Highest PiN]]-tblPiNAnalysis[[#This Row],[2nd Highest PiN]])/tblPiNAnalysis[[#This Row],[2nd Highest PiN]]),"")</f>
        <v>0.16574956381693731</v>
      </c>
      <c r="AT60" s="38" t="str" cm="1">
        <f t="array" ref="AT6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0" s="316" cm="1">
        <f t="array" ref="AU6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6583.3294571013657</v>
      </c>
      <c r="AV60" s="186" t="str" cm="1">
        <f t="array" ref="AV60">IF(tblPiNAnalysis[[#This Row],[3rd Highest PiN]]="", "", _xlfn.TEXTJOIN(CHAR(10), TRUE, IF(tblPiNAnalysis[[#This Row],[3rd Highest PiN]]=tblPiNAnalysis[[#This Row],[CCCM]:[WASH]], tblPiNAnalysis[[#Headers],[CCCM]:[WASH]], "")))</f>
        <v>Health</v>
      </c>
      <c r="AW60" s="186">
        <f>IFERROR(tblPiNAnalysis[[#This Row],[3rd Highest PiN]]/tblPiNAnalysis[[#This Row],[Population]], "")</f>
        <v>0.69312796979378455</v>
      </c>
      <c r="AX60" s="45">
        <f>IFERROR(tblPiNAnalysis[[#This Row],[Highest PiN]]-tblPiNAnalysis[[#This Row],[3rd Highest PiN]],"")</f>
        <v>2102.6705428986343</v>
      </c>
      <c r="AY60" s="38">
        <f>IFERROR(tblPiNAnalysis[[#This Row],[Difference of PiN between Highest and 3rd Highest]]/tblPiNAnalysis[[#This Row],[3rd Highest PiN]], "")</f>
        <v>0.31939318191504246</v>
      </c>
      <c r="AZ60" s="314" t="str" cm="1">
        <f t="array" ref="AZ6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0" s="288" cm="1">
        <f t="array" ref="BA60">IFERROR(IF(tblPiNAnalysis[[#This Row],[ID]]="", "", INDEX(tblPiNHistorical[[CCCM]:[WASH]], MATCH(tblPiNAnalysis[[#This Row],[ID]],tblPiNHistorical[ID], 0),MATCH(_xlfn._xlws.FILTER(tblPiNAnalysis[[#Headers],[CCCM]:[WASH]], tblPiNAnalysis[[#This Row],[Highest PiN]]=tblPiNAnalysis[[#This Row],[CCCM]:[WASH]]), tblPiNHistorical[[#Headers],[CCCM]:[WASH]], 0))), "")</f>
        <v>-0.7</v>
      </c>
      <c r="BB60" s="317" t="str" cm="1">
        <f t="array" ref="BB6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0" s="265" cm="1">
        <f t="array" ref="BC60">IFERROR(IF(tblPiNAnalysis[[#This Row],[ID]]="", "", INDEX(tblPiNHistorical[[CCCM]:[WASH]], MATCH(tblPiNAnalysis[[#This Row],[ID]],tblPiNHistorical[ID], 0),MATCH(_xlfn._xlws.FILTER(tblPiNAnalysis[[#Headers],[CCCM]:[WASH]], tblPiNAnalysis[[#This Row],[2nd Highest PiN]]=tblPiNAnalysis[[#This Row],[CCCM]:[WASH]]), tblPiNHistorical[[#Headers],[CCCM]:[WASH]], 0))), "")</f>
        <v>-0.7</v>
      </c>
      <c r="BD60" s="318" t="str" cm="1">
        <f t="array" ref="BD6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0" s="356">
        <f>INDEX(tblSeverityAnalysis[Final Severity], MATCH(tblPiNAnalysis[[#This Row],[ID]],tblSeverityAnalysis[ID], 0))</f>
        <v>4</v>
      </c>
      <c r="BF60" s="59">
        <f>IF(tblPiNAnalysis[[#This Row],[Severity]]&gt;2,tblPiNAnalysis[[#This Row],[Highest PiN]],)</f>
        <v>8686</v>
      </c>
      <c r="BG60" s="187"/>
      <c r="BH60" s="188"/>
      <c r="BI60" s="189">
        <f>COUNTIFS(tblPiNAnalysis[[#This Row],[Number of missing / zero PiNs greater than threshold - Data quality]:[Manual Flag]],"Flagged")</f>
        <v>1</v>
      </c>
      <c r="BJ60" s="94" t="str">
        <f>IF(tblPiNAnalysis[[#This Row],['# Flags]]&gt;0, "Flagged", "")</f>
        <v>Flagged</v>
      </c>
      <c r="BK60" s="310">
        <f>tblPiNAnalysis[[#This Row],[Preliminary PiN]]</f>
        <v>8686</v>
      </c>
      <c r="BL60" s="315"/>
      <c r="BM60" s="256">
        <f>IFERROR(IF(tblPiNAnalysis[[#This Row],[Severity]]=3,tblPiNAnalysis[[#This Row],[Final PiN]]*Thresholds!$D$35,tblPiNAnalysis[[#This Row],[Final PiN]]*Thresholds!$D$36),)</f>
        <v>8686</v>
      </c>
      <c r="BN60" s="256">
        <f>IFERROR(IF(tblPiNAnalysis[[#This Row],[Severity]]&gt;3,tblPiNAnalysis[[#This Row],[Final PiN]]*Thresholds!$D$36,),)</f>
        <v>8686</v>
      </c>
    </row>
    <row r="61" spans="1:66" ht="53.1" customHeight="1">
      <c r="A61" s="30" t="s">
        <v>182</v>
      </c>
      <c r="B61" s="39" t="s">
        <v>183</v>
      </c>
      <c r="C61" s="213" t="s">
        <v>184</v>
      </c>
      <c r="D61" s="340" t="s">
        <v>185</v>
      </c>
      <c r="E61" s="103" t="s">
        <v>182</v>
      </c>
      <c r="F61" s="98"/>
      <c r="G61" s="33"/>
      <c r="H61" s="33"/>
      <c r="I61" s="95">
        <v>492955</v>
      </c>
      <c r="J61" s="95" t="s">
        <v>193</v>
      </c>
      <c r="K61" s="319">
        <v>0</v>
      </c>
      <c r="L61" s="303">
        <v>73780</v>
      </c>
      <c r="M61" s="303">
        <v>51093</v>
      </c>
      <c r="N61" s="303">
        <v>20914</v>
      </c>
      <c r="O61" s="303">
        <v>228.66237347028138</v>
      </c>
      <c r="P61" s="303">
        <v>58760</v>
      </c>
      <c r="Q61" s="304">
        <v>55055</v>
      </c>
      <c r="R61" s="303">
        <v>1199</v>
      </c>
      <c r="S61" s="32">
        <v>58760</v>
      </c>
      <c r="T61" s="32">
        <v>34668</v>
      </c>
      <c r="U61" s="32">
        <v>1694</v>
      </c>
      <c r="V61" s="303">
        <v>0</v>
      </c>
      <c r="W61" s="305">
        <f>IFERROR(IF(tblPiNAnalysis[[#This Row],[CCCM]]="", "", MROUND(tblPiNAnalysis[[#This Row],[CCCM]]/tblPiNAnalysis[[#This Row],[Population]], 0.05)), "")</f>
        <v>0</v>
      </c>
      <c r="X61" s="306">
        <f>IFERROR(IF(tblPiNAnalysis[[#This Row],[Education]]="", "", MROUND(tblPiNAnalysis[[#This Row],[Education]]/tblPiNAnalysis[[#This Row],[Population]], 0.05)), "")</f>
        <v>0.15000000000000002</v>
      </c>
      <c r="Y61" s="306">
        <f>IFERROR(IF(tblPiNAnalysis[[#This Row],[Nutrition]]="", "", MROUND(tblPiNAnalysis[[#This Row],[Nutrition]]/tblPiNAnalysis[[#This Row],[Population]], 0.05)), "")</f>
        <v>0.1</v>
      </c>
      <c r="Z61" s="306">
        <f>IFERROR(IF(tblPiNAnalysis[[#This Row],[Food Security]]="", "", MROUND(tblPiNAnalysis[[#This Row],[Food Security]]/tblPiNAnalysis[[#This Row],[Population]], 0.05)), "")</f>
        <v>0.05</v>
      </c>
      <c r="AA61" s="306">
        <f>IFERROR(IF(tblPiNAnalysis[[#This Row],[Health]]="", "", MROUND(tblPiNAnalysis[[#This Row],[Health]]/tblPiNAnalysis[[#This Row],[Population]], 0.05)), "")</f>
        <v>0</v>
      </c>
      <c r="AB61" s="307">
        <f>IFERROR(IF(tblPiNAnalysis[[#This Row],[Overarching Protection]]="", "", MROUND(tblPiNAnalysis[[#This Row],[Overarching Protection]]/tblPiNAnalysis[[#This Row],[Population]], 0.05)), "")</f>
        <v>0.1</v>
      </c>
      <c r="AC61" s="307">
        <f>IFERROR(IF(tblPiNAnalysis[[#This Row],[Shelter]]="", "", MROUND(tblPiNAnalysis[[#This Row],[Shelter]]/tblPiNAnalysis[[#This Row],[Population]], 0.05)), "")</f>
        <v>0.1</v>
      </c>
      <c r="AD61" s="308">
        <f>IFERROR(IF(tblPiNAnalysis[[#This Row],[WASH]]="", "", MROUND(tblPiNAnalysis[[#This Row],[WASH]]/tblPiNAnalysis[[#This Row],[Population]], 0.05)), "")</f>
        <v>0</v>
      </c>
      <c r="AE61" s="306">
        <f>IFERROR(MROUND(tblPiNAnalysis[[#This Row],[CP]]/tblPiNAnalysis[[#This Row],[Population]], 0.05), "")</f>
        <v>0.1</v>
      </c>
      <c r="AF61" s="306">
        <f>IFERROR(MROUND(tblPiNAnalysis[[#This Row],[GBV]]/tblPiNAnalysis[[#This Row],[Population]], 0.05), "")</f>
        <v>0.05</v>
      </c>
      <c r="AG61" s="306">
        <f>IFERROR(MROUND(tblPiNAnalysis[[#This Row],[GP]]/tblPiNAnalysis[[#This Row],[Population]], 0.05), "")</f>
        <v>0</v>
      </c>
      <c r="AH61" s="306">
        <f>IFERROR(MROUND(tblPiNAnalysis[[#This Row],[HLP]]/tblPiNAnalysis[[#This Row],[Population]], 0.05), "")</f>
        <v>0</v>
      </c>
      <c r="AI61" s="309">
        <f>IFERROR(LARGE(tblPiNAnalysis[[#This Row],[CCCM]:[WASH]], 1), "")</f>
        <v>73780</v>
      </c>
      <c r="AJ61" s="310" t="str" cm="1">
        <f t="array" ref="AJ61">IF(tblPiNAnalysis[[#This Row],[Highest PiN]]="", "", _xlfn.TEXTJOIN(CHAR(10), TRUE, IF(tblPiNAnalysis[[#This Row],[Highest PiN]]=tblPiNAnalysis[[#This Row],[CCCM]:[WASH]], tblPiNAnalysis[[#Headers],[CCCM]:[WASH]], "")))</f>
        <v>Education</v>
      </c>
      <c r="AK61" s="311">
        <f>IF(tblPiNAnalysis[[#This Row],[Highest PiN]]="", "", tblPiNAnalysis[[#This Row],[Highest PiN]]/tblPiNAnalysis[[#This Row],[Population]])</f>
        <v>0.14966883386921728</v>
      </c>
      <c r="AL61" s="312" t="str">
        <f>IF(SUM(tblPiNAnalysis[[#This Row],[CCCM]:[WASH]])=0, "",IF(COUNTIF(tblPiNAnalysis[[#This Row],[CCCM]:[WASH]],"=0")+COUNTIF(tblPiNAnalysis[[#This Row],[CCCM]:[WASH]],"")&gt;=zero_pin_thresh, "Flagged", ""))</f>
        <v/>
      </c>
      <c r="AM61" s="313" t="str">
        <f>IFERROR(IF(tblPiNAnalysis[[#This Row],[Highest PiN]]="", "", IF(tblPiNAnalysis[[#This Row],[Highest sector(s'') PiN %]]&gt;=flag_pin_perc, "Flagged", "")), "")</f>
        <v/>
      </c>
      <c r="AN61" s="314" t="str" cm="1">
        <f t="array" ref="AN61">IF(tblPiNAnalysis[[#This Row],[Highest PiN]]=0, "",  IF(OR(COUNTIF(tblPiNAnalysis[[#This Row],[Highest sector(s)]],tblSubSectorPopulation[Sector])), "Flagged", ""))</f>
        <v>Flagged</v>
      </c>
      <c r="AO61" s="46" cm="1">
        <f t="array" ref="AO6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58760</v>
      </c>
      <c r="AP61" s="315" t="str" cm="1">
        <f t="array" ref="AP61">IF(tblPiNAnalysis[[#This Row],[2nd Highest PiN]]="", "", _xlfn.TEXTJOIN(CHAR(10), TRUE, IF(tblPiNAnalysis[[#This Row],[2nd Highest PiN]]=tblPiNAnalysis[[#This Row],[CCCM]:[WASH]], tblPiNAnalysis[[#Headers],[CCCM]:[WASH]], "")))</f>
        <v>Overarching Protection</v>
      </c>
      <c r="AQ61" s="35">
        <f>IFERROR(tblPiNAnalysis[[#This Row],[2nd Highest PiN]]/tblPiNAnalysis[[#This Row],[Population]], "")</f>
        <v>0.11919952125447555</v>
      </c>
      <c r="AR61" s="46">
        <f>IFERROR(tblPiNAnalysis[[#This Row],[Highest PiN]]-tblPiNAnalysis[[#This Row],[2nd Highest PiN]], "")</f>
        <v>15020</v>
      </c>
      <c r="AS61" s="38">
        <f>IFERROR(((tblPiNAnalysis[[#This Row],[Highest PiN]]-tblPiNAnalysis[[#This Row],[2nd Highest PiN]])/tblPiNAnalysis[[#This Row],[2nd Highest PiN]]),"")</f>
        <v>0.25561606535057863</v>
      </c>
      <c r="AT61" s="38" t="str" cm="1">
        <f t="array" ref="AT6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1" s="316" cm="1">
        <f t="array" ref="AU6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55055</v>
      </c>
      <c r="AV61" s="186" t="str" cm="1">
        <f t="array" ref="AV61">IF(tblPiNAnalysis[[#This Row],[3rd Highest PiN]]="", "", _xlfn.TEXTJOIN(CHAR(10), TRUE, IF(tblPiNAnalysis[[#This Row],[3rd Highest PiN]]=tblPiNAnalysis[[#This Row],[CCCM]:[WASH]], tblPiNAnalysis[[#Headers],[CCCM]:[WASH]], "")))</f>
        <v>Shelter</v>
      </c>
      <c r="AW61" s="186">
        <f>IFERROR(tblPiNAnalysis[[#This Row],[3rd Highest PiN]]/tblPiNAnalysis[[#This Row],[Population]], "")</f>
        <v>0.11168362223732389</v>
      </c>
      <c r="AX61" s="45">
        <f>IFERROR(tblPiNAnalysis[[#This Row],[Highest PiN]]-tblPiNAnalysis[[#This Row],[3rd Highest PiN]],"")</f>
        <v>18725</v>
      </c>
      <c r="AY61" s="38">
        <f>IFERROR(tblPiNAnalysis[[#This Row],[Difference of PiN between Highest and 3rd Highest]]/tblPiNAnalysis[[#This Row],[3rd Highest PiN]], "")</f>
        <v>0.34011443102352196</v>
      </c>
      <c r="AZ61" s="314" t="str" cm="1">
        <f t="array" ref="AZ6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1" s="288" t="str" cm="1">
        <f t="array" ref="BA61">IFERROR(IF(tblPiNAnalysis[[#This Row],[ID]]="", "", INDEX(tblPiNHistorical[[CCCM]:[WASH]], MATCH(tblPiNAnalysis[[#This Row],[ID]],tblPiNHistorical[ID], 0),MATCH(_xlfn._xlws.FILTER(tblPiNAnalysis[[#Headers],[CCCM]:[WASH]], tblPiNAnalysis[[#This Row],[Highest PiN]]=tblPiNAnalysis[[#This Row],[CCCM]:[WASH]]), tblPiNHistorical[[#Headers],[CCCM]:[WASH]], 0))), "")</f>
        <v/>
      </c>
      <c r="BB61" s="317" t="str" cm="1">
        <f t="array" ref="BB6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1" s="265" t="str" cm="1">
        <f t="array" ref="BC61">IFERROR(IF(tblPiNAnalysis[[#This Row],[ID]]="", "", INDEX(tblPiNHistorical[[CCCM]:[WASH]], MATCH(tblPiNAnalysis[[#This Row],[ID]],tblPiNHistorical[ID], 0),MATCH(_xlfn._xlws.FILTER(tblPiNAnalysis[[#Headers],[CCCM]:[WASH]], tblPiNAnalysis[[#This Row],[2nd Highest PiN]]=tblPiNAnalysis[[#This Row],[CCCM]:[WASH]]), tblPiNHistorical[[#Headers],[CCCM]:[WASH]], 0))), "")</f>
        <v/>
      </c>
      <c r="BD61" s="318" t="str" cm="1">
        <f t="array" ref="BD6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1" s="356">
        <f>INDEX(tblSeverityAnalysis[Final Severity], MATCH(tblPiNAnalysis[[#This Row],[ID]],tblSeverityAnalysis[ID], 0))</f>
        <v>3</v>
      </c>
      <c r="BF61" s="59">
        <f>IF(tblPiNAnalysis[[#This Row],[Severity]]&gt;2,tblPiNAnalysis[[#This Row],[Highest PiN]],)</f>
        <v>73780</v>
      </c>
      <c r="BG61" s="187"/>
      <c r="BH61" s="188"/>
      <c r="BI61" s="189">
        <f>COUNTIFS(tblPiNAnalysis[[#This Row],[Number of missing / zero PiNs greater than threshold - Data quality]:[Manual Flag]],"Flagged")</f>
        <v>1</v>
      </c>
      <c r="BJ61" s="94" t="str">
        <f>IF(tblPiNAnalysis[[#This Row],['# Flags]]&gt;0, "Flagged", "")</f>
        <v>Flagged</v>
      </c>
      <c r="BK61" s="310">
        <f>tblPiNAnalysis[[#This Row],[2nd Highest PiN]]</f>
        <v>58760</v>
      </c>
      <c r="BL61" s="315" t="s">
        <v>194</v>
      </c>
      <c r="BM61" s="256">
        <f>IFERROR(IF(tblPiNAnalysis[[#This Row],[Severity]]=3,tblPiNAnalysis[[#This Row],[Final PiN]]*Thresholds!$D$35,tblPiNAnalysis[[#This Row],[Final PiN]]*Thresholds!$D$36),)</f>
        <v>29380</v>
      </c>
      <c r="BN61" s="256">
        <f>IFERROR(IF(tblPiNAnalysis[[#This Row],[Severity]]&gt;3,tblPiNAnalysis[[#This Row],[Final PiN]]*Thresholds!$D$36,),)</f>
        <v>0</v>
      </c>
    </row>
    <row r="62" spans="1:66" ht="24.95" customHeight="1">
      <c r="A62" s="30" t="s">
        <v>186</v>
      </c>
      <c r="B62" s="39" t="s">
        <v>183</v>
      </c>
      <c r="C62" s="213" t="s">
        <v>184</v>
      </c>
      <c r="D62" s="340" t="s">
        <v>187</v>
      </c>
      <c r="E62" s="103" t="s">
        <v>186</v>
      </c>
      <c r="F62" s="98"/>
      <c r="G62" s="33"/>
      <c r="H62" s="33"/>
      <c r="I62" s="95">
        <v>402658</v>
      </c>
      <c r="J62" s="95" t="s">
        <v>193</v>
      </c>
      <c r="K62" s="319">
        <v>0</v>
      </c>
      <c r="L62" s="303">
        <v>28785</v>
      </c>
      <c r="M62" s="303">
        <v>35472</v>
      </c>
      <c r="N62" s="303">
        <v>14922</v>
      </c>
      <c r="O62" s="303">
        <v>81.014454715264137</v>
      </c>
      <c r="P62" s="303">
        <v>48200</v>
      </c>
      <c r="Q62" s="304">
        <v>44194</v>
      </c>
      <c r="R62" s="303">
        <v>921</v>
      </c>
      <c r="S62" s="32">
        <v>48200</v>
      </c>
      <c r="T62" s="32">
        <v>28438</v>
      </c>
      <c r="U62" s="32">
        <v>8418</v>
      </c>
      <c r="V62" s="303">
        <v>0</v>
      </c>
      <c r="W62" s="305">
        <f>IFERROR(IF(tblPiNAnalysis[[#This Row],[CCCM]]="", "", MROUND(tblPiNAnalysis[[#This Row],[CCCM]]/tblPiNAnalysis[[#This Row],[Population]], 0.05)), "")</f>
        <v>0</v>
      </c>
      <c r="X62" s="306">
        <f>IFERROR(IF(tblPiNAnalysis[[#This Row],[Education]]="", "", MROUND(tblPiNAnalysis[[#This Row],[Education]]/tblPiNAnalysis[[#This Row],[Population]], 0.05)), "")</f>
        <v>0.05</v>
      </c>
      <c r="Y62" s="306">
        <f>IFERROR(IF(tblPiNAnalysis[[#This Row],[Nutrition]]="", "", MROUND(tblPiNAnalysis[[#This Row],[Nutrition]]/tblPiNAnalysis[[#This Row],[Population]], 0.05)), "")</f>
        <v>0.1</v>
      </c>
      <c r="Z62" s="306">
        <f>IFERROR(IF(tblPiNAnalysis[[#This Row],[Food Security]]="", "", MROUND(tblPiNAnalysis[[#This Row],[Food Security]]/tblPiNAnalysis[[#This Row],[Population]], 0.05)), "")</f>
        <v>0.05</v>
      </c>
      <c r="AA62" s="306">
        <f>IFERROR(IF(tblPiNAnalysis[[#This Row],[Health]]="", "", MROUND(tblPiNAnalysis[[#This Row],[Health]]/tblPiNAnalysis[[#This Row],[Population]], 0.05)), "")</f>
        <v>0</v>
      </c>
      <c r="AB62" s="307">
        <f>IFERROR(IF(tblPiNAnalysis[[#This Row],[Overarching Protection]]="", "", MROUND(tblPiNAnalysis[[#This Row],[Overarching Protection]]/tblPiNAnalysis[[#This Row],[Population]], 0.05)), "")</f>
        <v>0.1</v>
      </c>
      <c r="AC62" s="307">
        <f>IFERROR(IF(tblPiNAnalysis[[#This Row],[Shelter]]="", "", MROUND(tblPiNAnalysis[[#This Row],[Shelter]]/tblPiNAnalysis[[#This Row],[Population]], 0.05)), "")</f>
        <v>0.1</v>
      </c>
      <c r="AD62" s="308">
        <f>IFERROR(IF(tblPiNAnalysis[[#This Row],[WASH]]="", "", MROUND(tblPiNAnalysis[[#This Row],[WASH]]/tblPiNAnalysis[[#This Row],[Population]], 0.05)), "")</f>
        <v>0</v>
      </c>
      <c r="AE62" s="306">
        <f>IFERROR(MROUND(tblPiNAnalysis[[#This Row],[CP]]/tblPiNAnalysis[[#This Row],[Population]], 0.05), "")</f>
        <v>0.1</v>
      </c>
      <c r="AF62" s="306">
        <f>IFERROR(MROUND(tblPiNAnalysis[[#This Row],[GBV]]/tblPiNAnalysis[[#This Row],[Population]], 0.05), "")</f>
        <v>0.05</v>
      </c>
      <c r="AG62" s="306">
        <f>IFERROR(MROUND(tblPiNAnalysis[[#This Row],[GP]]/tblPiNAnalysis[[#This Row],[Population]], 0.05), "")</f>
        <v>0</v>
      </c>
      <c r="AH62" s="306">
        <f>IFERROR(MROUND(tblPiNAnalysis[[#This Row],[HLP]]/tblPiNAnalysis[[#This Row],[Population]], 0.05), "")</f>
        <v>0</v>
      </c>
      <c r="AI62" s="309">
        <f>IFERROR(LARGE(tblPiNAnalysis[[#This Row],[CCCM]:[WASH]], 1), "")</f>
        <v>48200</v>
      </c>
      <c r="AJ62" s="310" t="str" cm="1">
        <f t="array" ref="AJ62">IF(tblPiNAnalysis[[#This Row],[Highest PiN]]="", "", _xlfn.TEXTJOIN(CHAR(10), TRUE, IF(tblPiNAnalysis[[#This Row],[Highest PiN]]=tblPiNAnalysis[[#This Row],[CCCM]:[WASH]], tblPiNAnalysis[[#Headers],[CCCM]:[WASH]], "")))</f>
        <v>Overarching Protection</v>
      </c>
      <c r="AK62" s="311">
        <f>IF(tblPiNAnalysis[[#This Row],[Highest PiN]]="", "", tblPiNAnalysis[[#This Row],[Highest PiN]]/tblPiNAnalysis[[#This Row],[Population]])</f>
        <v>0.11970456317768428</v>
      </c>
      <c r="AL62" s="312" t="str">
        <f>IF(SUM(tblPiNAnalysis[[#This Row],[CCCM]:[WASH]])=0, "",IF(COUNTIF(tblPiNAnalysis[[#This Row],[CCCM]:[WASH]],"=0")+COUNTIF(tblPiNAnalysis[[#This Row],[CCCM]:[WASH]],"")&gt;=zero_pin_thresh, "Flagged", ""))</f>
        <v/>
      </c>
      <c r="AM62" s="313" t="str">
        <f>IFERROR(IF(tblPiNAnalysis[[#This Row],[Highest PiN]]="", "", IF(tblPiNAnalysis[[#This Row],[Highest sector(s'') PiN %]]&gt;=flag_pin_perc, "Flagged", "")), "")</f>
        <v/>
      </c>
      <c r="AN62" s="314" t="str" cm="1">
        <f t="array" ref="AN62">IF(tblPiNAnalysis[[#This Row],[Highest PiN]]=0, "",  IF(OR(COUNTIF(tblPiNAnalysis[[#This Row],[Highest sector(s)]],tblSubSectorPopulation[Sector])), "Flagged", ""))</f>
        <v/>
      </c>
      <c r="AO62" s="46" cm="1">
        <f t="array" ref="AO6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44194</v>
      </c>
      <c r="AP62" s="315" t="str" cm="1">
        <f t="array" ref="AP62">IF(tblPiNAnalysis[[#This Row],[2nd Highest PiN]]="", "", _xlfn.TEXTJOIN(CHAR(10), TRUE, IF(tblPiNAnalysis[[#This Row],[2nd Highest PiN]]=tblPiNAnalysis[[#This Row],[CCCM]:[WASH]], tblPiNAnalysis[[#Headers],[CCCM]:[WASH]], "")))</f>
        <v>Shelter</v>
      </c>
      <c r="AQ62" s="35">
        <f>IFERROR(tblPiNAnalysis[[#This Row],[2nd Highest PiN]]/tblPiNAnalysis[[#This Row],[Population]], "")</f>
        <v>0.10975567354926513</v>
      </c>
      <c r="AR62" s="46">
        <f>IFERROR(tblPiNAnalysis[[#This Row],[Highest PiN]]-tblPiNAnalysis[[#This Row],[2nd Highest PiN]], "")</f>
        <v>4006</v>
      </c>
      <c r="AS62" s="38">
        <f>IFERROR(((tblPiNAnalysis[[#This Row],[Highest PiN]]-tblPiNAnalysis[[#This Row],[2nd Highest PiN]])/tblPiNAnalysis[[#This Row],[2nd Highest PiN]]),"")</f>
        <v>9.0645789021134085E-2</v>
      </c>
      <c r="AT62" s="38" t="str" cm="1">
        <f t="array" ref="AT6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2" s="316" cm="1">
        <f t="array" ref="AU6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35472</v>
      </c>
      <c r="AV62" s="186" t="str" cm="1">
        <f t="array" ref="AV62">IF(tblPiNAnalysis[[#This Row],[3rd Highest PiN]]="", "", _xlfn.TEXTJOIN(CHAR(10), TRUE, IF(tblPiNAnalysis[[#This Row],[3rd Highest PiN]]=tblPiNAnalysis[[#This Row],[CCCM]:[WASH]], tblPiNAnalysis[[#Headers],[CCCM]:[WASH]], "")))</f>
        <v>Nutrition</v>
      </c>
      <c r="AW62" s="186">
        <f>IFERROR(tblPiNAnalysis[[#This Row],[3rd Highest PiN]]/tblPiNAnalysis[[#This Row],[Population]], "")</f>
        <v>8.8094611307859269E-2</v>
      </c>
      <c r="AX62" s="45">
        <f>IFERROR(tblPiNAnalysis[[#This Row],[Highest PiN]]-tblPiNAnalysis[[#This Row],[3rd Highest PiN]],"")</f>
        <v>12728</v>
      </c>
      <c r="AY62" s="38">
        <f>IFERROR(tblPiNAnalysis[[#This Row],[Difference of PiN between Highest and 3rd Highest]]/tblPiNAnalysis[[#This Row],[3rd Highest PiN]], "")</f>
        <v>0.35881822282363557</v>
      </c>
      <c r="AZ62" s="314" t="str" cm="1">
        <f t="array" ref="AZ6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2" s="288" t="str" cm="1">
        <f t="array" ref="BA62">IFERROR(IF(tblPiNAnalysis[[#This Row],[ID]]="", "", INDEX(tblPiNHistorical[[CCCM]:[WASH]], MATCH(tblPiNAnalysis[[#This Row],[ID]],tblPiNHistorical[ID], 0),MATCH(_xlfn._xlws.FILTER(tblPiNAnalysis[[#Headers],[CCCM]:[WASH]], tblPiNAnalysis[[#This Row],[Highest PiN]]=tblPiNAnalysis[[#This Row],[CCCM]:[WASH]]), tblPiNHistorical[[#Headers],[CCCM]:[WASH]], 0))), "")</f>
        <v/>
      </c>
      <c r="BB62" s="317" t="str" cm="1">
        <f t="array" ref="BB6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2" s="265" t="str" cm="1">
        <f t="array" ref="BC62">IFERROR(IF(tblPiNAnalysis[[#This Row],[ID]]="", "", INDEX(tblPiNHistorical[[CCCM]:[WASH]], MATCH(tblPiNAnalysis[[#This Row],[ID]],tblPiNHistorical[ID], 0),MATCH(_xlfn._xlws.FILTER(tblPiNAnalysis[[#Headers],[CCCM]:[WASH]], tblPiNAnalysis[[#This Row],[2nd Highest PiN]]=tblPiNAnalysis[[#This Row],[CCCM]:[WASH]]), tblPiNHistorical[[#Headers],[CCCM]:[WASH]], 0))), "")</f>
        <v/>
      </c>
      <c r="BD62" s="318" t="str" cm="1">
        <f t="array" ref="BD6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2" s="356">
        <f>INDEX(tblSeverityAnalysis[Final Severity], MATCH(tblPiNAnalysis[[#This Row],[ID]],tblSeverityAnalysis[ID], 0))</f>
        <v>3</v>
      </c>
      <c r="BF62" s="59">
        <f>IF(tblPiNAnalysis[[#This Row],[Severity]]&gt;2,tblPiNAnalysis[[#This Row],[Highest PiN]],)</f>
        <v>48200</v>
      </c>
      <c r="BG62" s="187"/>
      <c r="BH62" s="188"/>
      <c r="BI62" s="189">
        <f>COUNTIFS(tblPiNAnalysis[[#This Row],[Number of missing / zero PiNs greater than threshold - Data quality]:[Manual Flag]],"Flagged")</f>
        <v>0</v>
      </c>
      <c r="BJ62" s="94" t="str">
        <f>IF(tblPiNAnalysis[[#This Row],['# Flags]]&gt;0, "Flagged", "")</f>
        <v/>
      </c>
      <c r="BK62" s="310">
        <f>tblPiNAnalysis[[#This Row],[Preliminary PiN]]</f>
        <v>48200</v>
      </c>
      <c r="BL62" s="315"/>
      <c r="BM62" s="256">
        <f>IFERROR(IF(tblPiNAnalysis[[#This Row],[Severity]]=3,tblPiNAnalysis[[#This Row],[Final PiN]]*Thresholds!$D$35,tblPiNAnalysis[[#This Row],[Final PiN]]*Thresholds!$D$36),)</f>
        <v>24100</v>
      </c>
      <c r="BN62" s="256">
        <f>IFERROR(IF(tblPiNAnalysis[[#This Row],[Severity]]&gt;3,tblPiNAnalysis[[#This Row],[Final PiN]]*Thresholds!$D$36,),)</f>
        <v>0</v>
      </c>
    </row>
    <row r="63" spans="1:66" ht="24.95" customHeight="1">
      <c r="A63" s="30" t="s">
        <v>188</v>
      </c>
      <c r="B63" s="39" t="s">
        <v>189</v>
      </c>
      <c r="C63" s="213" t="s">
        <v>190</v>
      </c>
      <c r="D63" s="340" t="s">
        <v>191</v>
      </c>
      <c r="E63" s="103" t="s">
        <v>188</v>
      </c>
      <c r="F63" s="98"/>
      <c r="G63" s="33"/>
      <c r="H63" s="33"/>
      <c r="I63" s="95">
        <v>26448</v>
      </c>
      <c r="J63" s="95" t="s">
        <v>193</v>
      </c>
      <c r="K63" s="319">
        <v>0</v>
      </c>
      <c r="L63" s="303">
        <v>3544</v>
      </c>
      <c r="M63" s="303">
        <v>2157</v>
      </c>
      <c r="N63" s="303">
        <v>2637</v>
      </c>
      <c r="O63" s="303">
        <v>418.18871646501839</v>
      </c>
      <c r="P63" s="303">
        <v>9832</v>
      </c>
      <c r="Q63" s="304"/>
      <c r="R63" s="303">
        <v>0</v>
      </c>
      <c r="S63" s="32">
        <v>3144</v>
      </c>
      <c r="T63" s="32">
        <v>1854</v>
      </c>
      <c r="U63" s="32">
        <v>9832</v>
      </c>
      <c r="V63" s="303">
        <v>3144</v>
      </c>
      <c r="W63" s="305">
        <f>IFERROR(IF(tblPiNAnalysis[[#This Row],[CCCM]]="", "", MROUND(tblPiNAnalysis[[#This Row],[CCCM]]/tblPiNAnalysis[[#This Row],[Population]], 0.05)), "")</f>
        <v>0</v>
      </c>
      <c r="X63" s="306">
        <f>IFERROR(IF(tblPiNAnalysis[[#This Row],[Education]]="", "", MROUND(tblPiNAnalysis[[#This Row],[Education]]/tblPiNAnalysis[[#This Row],[Population]], 0.05)), "")</f>
        <v>0.15000000000000002</v>
      </c>
      <c r="Y63" s="306">
        <f>IFERROR(IF(tblPiNAnalysis[[#This Row],[Nutrition]]="", "", MROUND(tblPiNAnalysis[[#This Row],[Nutrition]]/tblPiNAnalysis[[#This Row],[Population]], 0.05)), "")</f>
        <v>0.1</v>
      </c>
      <c r="Z63" s="306">
        <f>IFERROR(IF(tblPiNAnalysis[[#This Row],[Food Security]]="", "", MROUND(tblPiNAnalysis[[#This Row],[Food Security]]/tblPiNAnalysis[[#This Row],[Population]], 0.05)), "")</f>
        <v>0.1</v>
      </c>
      <c r="AA63" s="306">
        <f>IFERROR(IF(tblPiNAnalysis[[#This Row],[Health]]="", "", MROUND(tblPiNAnalysis[[#This Row],[Health]]/tblPiNAnalysis[[#This Row],[Population]], 0.05)), "")</f>
        <v>0</v>
      </c>
      <c r="AB63" s="307">
        <f>IFERROR(IF(tblPiNAnalysis[[#This Row],[Overarching Protection]]="", "", MROUND(tblPiNAnalysis[[#This Row],[Overarching Protection]]/tblPiNAnalysis[[#This Row],[Population]], 0.05)), "")</f>
        <v>0.35000000000000003</v>
      </c>
      <c r="AC63" s="307" t="str">
        <f>IFERROR(IF(tblPiNAnalysis[[#This Row],[Shelter]]="", "", MROUND(tblPiNAnalysis[[#This Row],[Shelter]]/tblPiNAnalysis[[#This Row],[Population]], 0.05)), "")</f>
        <v/>
      </c>
      <c r="AD63" s="308">
        <f>IFERROR(IF(tblPiNAnalysis[[#This Row],[WASH]]="", "", MROUND(tblPiNAnalysis[[#This Row],[WASH]]/tblPiNAnalysis[[#This Row],[Population]], 0.05)), "")</f>
        <v>0</v>
      </c>
      <c r="AE63" s="306">
        <f>IFERROR(MROUND(tblPiNAnalysis[[#This Row],[CP]]/tblPiNAnalysis[[#This Row],[Population]], 0.05), "")</f>
        <v>0.1</v>
      </c>
      <c r="AF63" s="306">
        <f>IFERROR(MROUND(tblPiNAnalysis[[#This Row],[GBV]]/tblPiNAnalysis[[#This Row],[Population]], 0.05), "")</f>
        <v>0.05</v>
      </c>
      <c r="AG63" s="306">
        <f>IFERROR(MROUND(tblPiNAnalysis[[#This Row],[GP]]/tblPiNAnalysis[[#This Row],[Population]], 0.05), "")</f>
        <v>0.35000000000000003</v>
      </c>
      <c r="AH63" s="306">
        <f>IFERROR(MROUND(tblPiNAnalysis[[#This Row],[HLP]]/tblPiNAnalysis[[#This Row],[Population]], 0.05), "")</f>
        <v>0.1</v>
      </c>
      <c r="AI63" s="309">
        <f>IFERROR(LARGE(tblPiNAnalysis[[#This Row],[CCCM]:[WASH]], 1), "")</f>
        <v>9832</v>
      </c>
      <c r="AJ63" s="310" t="str" cm="1">
        <f t="array" ref="AJ63">IF(tblPiNAnalysis[[#This Row],[Highest PiN]]="", "", _xlfn.TEXTJOIN(CHAR(10), TRUE, IF(tblPiNAnalysis[[#This Row],[Highest PiN]]=tblPiNAnalysis[[#This Row],[CCCM]:[WASH]], tblPiNAnalysis[[#Headers],[CCCM]:[WASH]], "")))</f>
        <v>Overarching Protection</v>
      </c>
      <c r="AK63" s="311">
        <f>IF(tblPiNAnalysis[[#This Row],[Highest PiN]]="", "", tblPiNAnalysis[[#This Row],[Highest PiN]]/tblPiNAnalysis[[#This Row],[Population]])</f>
        <v>0.3717483363581367</v>
      </c>
      <c r="AL63" s="312" t="str">
        <f>IF(SUM(tblPiNAnalysis[[#This Row],[CCCM]:[WASH]])=0, "",IF(COUNTIF(tblPiNAnalysis[[#This Row],[CCCM]:[WASH]],"=0")+COUNTIF(tblPiNAnalysis[[#This Row],[CCCM]:[WASH]],"")&gt;=zero_pin_thresh, "Flagged", ""))</f>
        <v/>
      </c>
      <c r="AM63" s="313" t="str">
        <f>IFERROR(IF(tblPiNAnalysis[[#This Row],[Highest PiN]]="", "", IF(tblPiNAnalysis[[#This Row],[Highest sector(s'') PiN %]]&gt;=flag_pin_perc, "Flagged", "")), "")</f>
        <v/>
      </c>
      <c r="AN63" s="314" t="str" cm="1">
        <f t="array" ref="AN63">IF(tblPiNAnalysis[[#This Row],[Highest PiN]]=0, "",  IF(OR(COUNTIF(tblPiNAnalysis[[#This Row],[Highest sector(s)]],tblSubSectorPopulation[Sector])), "Flagged", ""))</f>
        <v/>
      </c>
      <c r="AO63" s="46" cm="1">
        <f t="array" ref="AO6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3544</v>
      </c>
      <c r="AP63" s="315" t="str" cm="1">
        <f t="array" ref="AP63">IF(tblPiNAnalysis[[#This Row],[2nd Highest PiN]]="", "", _xlfn.TEXTJOIN(CHAR(10), TRUE, IF(tblPiNAnalysis[[#This Row],[2nd Highest PiN]]=tblPiNAnalysis[[#This Row],[CCCM]:[WASH]], tblPiNAnalysis[[#Headers],[CCCM]:[WASH]], "")))</f>
        <v>Education</v>
      </c>
      <c r="AQ63" s="35">
        <f>IFERROR(tblPiNAnalysis[[#This Row],[2nd Highest PiN]]/tblPiNAnalysis[[#This Row],[Population]], "")</f>
        <v>0.13399879007864487</v>
      </c>
      <c r="AR63" s="46">
        <f>IFERROR(tblPiNAnalysis[[#This Row],[Highest PiN]]-tblPiNAnalysis[[#This Row],[2nd Highest PiN]], "")</f>
        <v>6288</v>
      </c>
      <c r="AS63" s="38">
        <f>IFERROR(((tblPiNAnalysis[[#This Row],[Highest PiN]]-tblPiNAnalysis[[#This Row],[2nd Highest PiN]])/tblPiNAnalysis[[#This Row],[2nd Highest PiN]]),"")</f>
        <v>1.7742663656884876</v>
      </c>
      <c r="AT63" s="38" t="str" cm="1">
        <f t="array" ref="AT6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63" s="316" cm="1">
        <f t="array" ref="AU6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2637</v>
      </c>
      <c r="AV63" s="186" t="str" cm="1">
        <f t="array" ref="AV63">IF(tblPiNAnalysis[[#This Row],[3rd Highest PiN]]="", "", _xlfn.TEXTJOIN(CHAR(10), TRUE, IF(tblPiNAnalysis[[#This Row],[3rd Highest PiN]]=tblPiNAnalysis[[#This Row],[CCCM]:[WASH]], tblPiNAnalysis[[#Headers],[CCCM]:[WASH]], "")))</f>
        <v>Food Security</v>
      </c>
      <c r="AW63" s="186">
        <f>IFERROR(tblPiNAnalysis[[#This Row],[3rd Highest PiN]]/tblPiNAnalysis[[#This Row],[Population]], "")</f>
        <v>9.970508166969147E-2</v>
      </c>
      <c r="AX63" s="45">
        <f>IFERROR(tblPiNAnalysis[[#This Row],[Highest PiN]]-tblPiNAnalysis[[#This Row],[3rd Highest PiN]],"")</f>
        <v>7195</v>
      </c>
      <c r="AY63" s="38">
        <f>IFERROR(tblPiNAnalysis[[#This Row],[Difference of PiN between Highest and 3rd Highest]]/tblPiNAnalysis[[#This Row],[3rd Highest PiN]], "")</f>
        <v>2.7284793325748957</v>
      </c>
      <c r="AZ63" s="314" t="str" cm="1">
        <f t="array" ref="AZ6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3" s="288" t="str" cm="1">
        <f t="array" ref="BA63">IFERROR(IF(tblPiNAnalysis[[#This Row],[ID]]="", "", INDEX(tblPiNHistorical[[CCCM]:[WASH]], MATCH(tblPiNAnalysis[[#This Row],[ID]],tblPiNHistorical[ID], 0),MATCH(_xlfn._xlws.FILTER(tblPiNAnalysis[[#Headers],[CCCM]:[WASH]], tblPiNAnalysis[[#This Row],[Highest PiN]]=tblPiNAnalysis[[#This Row],[CCCM]:[WASH]]), tblPiNHistorical[[#Headers],[CCCM]:[WASH]], 0))), "")</f>
        <v/>
      </c>
      <c r="BB63" s="317" t="str" cm="1">
        <f t="array" ref="BB6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3" s="265" t="str" cm="1">
        <f t="array" ref="BC63">IFERROR(IF(tblPiNAnalysis[[#This Row],[ID]]="", "", INDEX(tblPiNHistorical[[CCCM]:[WASH]], MATCH(tblPiNAnalysis[[#This Row],[ID]],tblPiNHistorical[ID], 0),MATCH(_xlfn._xlws.FILTER(tblPiNAnalysis[[#Headers],[CCCM]:[WASH]], tblPiNAnalysis[[#This Row],[2nd Highest PiN]]=tblPiNAnalysis[[#This Row],[CCCM]:[WASH]]), tblPiNHistorical[[#Headers],[CCCM]:[WASH]], 0))), "")</f>
        <v/>
      </c>
      <c r="BD63" s="318" t="str" cm="1">
        <f t="array" ref="BD6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3" s="356">
        <f>INDEX(tblSeverityAnalysis[Final Severity], MATCH(tblPiNAnalysis[[#This Row],[ID]],tblSeverityAnalysis[ID], 0))</f>
        <v>3</v>
      </c>
      <c r="BF63" s="59">
        <f>IF(tblPiNAnalysis[[#This Row],[Severity]]&gt;2,tblPiNAnalysis[[#This Row],[Highest PiN]],)</f>
        <v>9832</v>
      </c>
      <c r="BG63" s="187"/>
      <c r="BH63" s="188"/>
      <c r="BI63" s="189">
        <f>COUNTIFS(tblPiNAnalysis[[#This Row],[Number of missing / zero PiNs greater than threshold - Data quality]:[Manual Flag]],"Flagged")</f>
        <v>2</v>
      </c>
      <c r="BJ63" s="94" t="str">
        <f>IF(tblPiNAnalysis[[#This Row],['# Flags]]&gt;0, "Flagged", "")</f>
        <v>Flagged</v>
      </c>
      <c r="BK63" s="310">
        <f>tblPiNAnalysis[[#This Row],[Preliminary PiN]]</f>
        <v>9832</v>
      </c>
      <c r="BL63" s="315"/>
      <c r="BM63" s="256">
        <f>IFERROR(IF(tblPiNAnalysis[[#This Row],[Severity]]=3,tblPiNAnalysis[[#This Row],[Final PiN]]*Thresholds!$D$35,tblPiNAnalysis[[#This Row],[Final PiN]]*Thresholds!$D$36),)</f>
        <v>4916</v>
      </c>
      <c r="BN63" s="256">
        <f>IFERROR(IF(tblPiNAnalysis[[#This Row],[Severity]]&gt;3,tblPiNAnalysis[[#This Row],[Final PiN]]*Thresholds!$D$36,),)</f>
        <v>0</v>
      </c>
    </row>
    <row r="64" spans="1:66">
      <c r="A64" s="64"/>
      <c r="B64" s="20"/>
      <c r="C64" s="101"/>
      <c r="D64" s="20"/>
      <c r="E64" s="101"/>
      <c r="F64" s="20"/>
      <c r="G64" s="20"/>
      <c r="H64" s="20"/>
      <c r="I64" s="21"/>
      <c r="J64" s="21"/>
      <c r="L64" s="21"/>
      <c r="M64" s="21"/>
      <c r="N64" s="21"/>
      <c r="O64" s="21"/>
      <c r="P64" s="21"/>
      <c r="Q64" s="21"/>
      <c r="R64" s="21"/>
      <c r="S64" s="392"/>
      <c r="T64" s="392"/>
      <c r="U64" s="392"/>
      <c r="V64" s="21"/>
      <c r="W64" s="21"/>
      <c r="X64" s="21"/>
      <c r="Y64" s="21"/>
      <c r="Z64" s="21"/>
      <c r="AA64" s="21"/>
      <c r="AF64" s="21"/>
      <c r="AG64" s="21"/>
      <c r="AH64" s="21"/>
      <c r="AI64" s="21"/>
      <c r="AJ64" s="21"/>
      <c r="AK64" s="21"/>
      <c r="AL64" s="17"/>
      <c r="AM64" s="21"/>
      <c r="AP64" s="17"/>
      <c r="AR64" s="17"/>
      <c r="AS64" s="17"/>
      <c r="AU64" s="393"/>
      <c r="AV64" s="17"/>
      <c r="AX64" s="17"/>
      <c r="BJ64" s="17"/>
      <c r="BK64" s="21"/>
      <c r="BN64" s="17"/>
    </row>
  </sheetData>
  <mergeCells count="18">
    <mergeCell ref="BE2:BF2"/>
    <mergeCell ref="BA2:BD2"/>
    <mergeCell ref="BI1:BJ1"/>
    <mergeCell ref="B2:G2"/>
    <mergeCell ref="I2:J2"/>
    <mergeCell ref="BM2:BN2"/>
    <mergeCell ref="BK2:BL2"/>
    <mergeCell ref="K2:R2"/>
    <mergeCell ref="AO2:AQ2"/>
    <mergeCell ref="BG2:BH2"/>
    <mergeCell ref="AR2:AT2"/>
    <mergeCell ref="BI2:BJ2"/>
    <mergeCell ref="AU2:AW2"/>
    <mergeCell ref="AX2:AZ2"/>
    <mergeCell ref="AI2:AN2"/>
    <mergeCell ref="S2:V2"/>
    <mergeCell ref="W2:AD2"/>
    <mergeCell ref="AE2:AH2"/>
  </mergeCells>
  <phoneticPr fontId="9" type="noConversion"/>
  <conditionalFormatting sqref="AL4:BJ63">
    <cfRule type="containsText" dxfId="230" priority="4" operator="containsText" text="Flagged">
      <formula>NOT(ISERROR(SEARCH("Flagged",AL4)))</formula>
    </cfRule>
  </conditionalFormatting>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E15B-4A90-4D7A-AE3A-79F27D5C8718}">
  <sheetPr codeName="Sheet3">
    <tabColor theme="7" tint="0.59999389629810485"/>
  </sheetPr>
  <dimension ref="A1:BE63"/>
  <sheetViews>
    <sheetView showGridLines="0" zoomScaleNormal="100" workbookViewId="0">
      <pane ySplit="3" topLeftCell="I4" activePane="bottomLeft" state="frozen"/>
      <selection pane="bottomLeft" activeCell="C1" sqref="C1"/>
      <selection activeCell="R19" sqref="R19"/>
    </sheetView>
  </sheetViews>
  <sheetFormatPr defaultColWidth="8.5703125" defaultRowHeight="14.45"/>
  <cols>
    <col min="1" max="1" width="13.28515625" customWidth="1"/>
    <col min="2" max="2" width="16.28515625" style="14" customWidth="1"/>
    <col min="3" max="3" width="16.85546875" style="14" hidden="1" customWidth="1"/>
    <col min="4" max="4" width="16.42578125" style="377" customWidth="1"/>
    <col min="5" max="5" width="18" style="14" hidden="1" customWidth="1"/>
    <col min="6" max="6" width="14.5703125" style="14" hidden="1" customWidth="1"/>
    <col min="7" max="8" width="18.140625" style="14" hidden="1" customWidth="1"/>
    <col min="9" max="9" width="9.5703125" style="15" customWidth="1"/>
    <col min="10" max="10" width="10.7109375" style="15" customWidth="1"/>
    <col min="11" max="11" width="7.85546875" style="15" customWidth="1"/>
    <col min="12" max="12" width="9.85546875" style="15" customWidth="1"/>
    <col min="13" max="13" width="10.28515625" style="15" customWidth="1"/>
    <col min="14" max="14" width="10.140625" style="15" customWidth="1"/>
    <col min="15" max="15" width="8.5703125" style="15" customWidth="1"/>
    <col min="16" max="16" width="10.28515625" style="15" customWidth="1"/>
    <col min="17" max="17" width="9.140625" style="15" customWidth="1"/>
    <col min="18" max="18" width="9.5703125" style="15" customWidth="1"/>
    <col min="19" max="19" width="11.28515625" style="15" customWidth="1"/>
    <col min="20" max="20" width="9.28515625" style="15" customWidth="1"/>
    <col min="21" max="21" width="11.85546875" style="15" customWidth="1"/>
    <col min="22" max="22" width="11" style="15" customWidth="1"/>
    <col min="23" max="23" width="9.7109375" style="15" customWidth="1"/>
    <col min="24" max="24" width="13.5703125" style="15" customWidth="1"/>
    <col min="25" max="25" width="9.7109375" style="15" customWidth="1"/>
    <col min="26" max="26" width="11" style="15" customWidth="1"/>
    <col min="27" max="27" width="18.42578125" style="15" customWidth="1"/>
    <col min="28" max="29" width="18.42578125" hidden="1" customWidth="1"/>
    <col min="30" max="30" width="15" hidden="1" customWidth="1"/>
    <col min="31" max="34" width="18.42578125" hidden="1" customWidth="1"/>
    <col min="35" max="36" width="14.42578125" style="15" customWidth="1"/>
    <col min="37" max="37" width="17.28515625" style="73" customWidth="1"/>
    <col min="38" max="38" width="11" style="15" customWidth="1"/>
    <col min="39" max="39" width="14.42578125" style="15" customWidth="1"/>
    <col min="40" max="40" width="14.42578125" style="73" customWidth="1"/>
    <col min="41" max="41" width="19.140625" style="22" customWidth="1"/>
    <col min="42" max="42" width="14.42578125" style="73" customWidth="1"/>
    <col min="43" max="43" width="14.42578125" style="15" customWidth="1"/>
    <col min="44" max="44" width="14.42578125" style="73" customWidth="1"/>
    <col min="45" max="45" width="14.42578125" style="15" customWidth="1"/>
    <col min="46" max="46" width="14.42578125" style="73" customWidth="1"/>
    <col min="47" max="47" width="14.42578125" style="15" customWidth="1"/>
    <col min="48" max="48" width="14.42578125" style="73" customWidth="1"/>
    <col min="49" max="49" width="20.140625" style="19" customWidth="1"/>
    <col min="50" max="50" width="25.42578125" style="13" customWidth="1"/>
    <col min="51" max="51" width="27.28515625" customWidth="1"/>
    <col min="52" max="52" width="22.140625" customWidth="1"/>
    <col min="53" max="53" width="16" style="13" customWidth="1"/>
    <col min="54" max="54" width="11.140625" customWidth="1"/>
    <col min="55" max="55" width="12.5703125" style="16" customWidth="1"/>
    <col min="56" max="56" width="20" style="15" bestFit="1" customWidth="1"/>
    <col min="57" max="57" width="46.140625" style="13" customWidth="1"/>
  </cols>
  <sheetData>
    <row r="1" spans="1:57" ht="30" customHeight="1" thickBot="1">
      <c r="B1" s="20"/>
      <c r="C1" s="20"/>
      <c r="D1" s="373"/>
      <c r="E1" s="20"/>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2"/>
      <c r="AI1" s="72"/>
      <c r="AJ1" s="72"/>
      <c r="AK1" s="72"/>
      <c r="AL1" s="72"/>
      <c r="AM1" s="72"/>
      <c r="AN1" s="72"/>
      <c r="AO1" s="72"/>
      <c r="AP1" s="19"/>
      <c r="AQ1"/>
      <c r="AR1"/>
      <c r="AS1"/>
      <c r="AT1"/>
      <c r="AU1"/>
      <c r="AV1"/>
      <c r="AW1"/>
      <c r="AX1"/>
      <c r="BA1"/>
      <c r="BC1"/>
      <c r="BD1"/>
      <c r="BE1"/>
    </row>
    <row r="2" spans="1:57" ht="50.45" customHeight="1" thickTop="1" thickBot="1">
      <c r="A2" s="67"/>
      <c r="B2" s="431" t="s">
        <v>67</v>
      </c>
      <c r="C2" s="432"/>
      <c r="D2" s="432"/>
      <c r="E2" s="432"/>
      <c r="F2" s="432"/>
      <c r="G2" s="433"/>
      <c r="H2" s="298"/>
      <c r="I2" s="406" t="s">
        <v>68</v>
      </c>
      <c r="J2" s="406"/>
      <c r="K2" s="409" t="s">
        <v>195</v>
      </c>
      <c r="L2" s="409"/>
      <c r="M2" s="409"/>
      <c r="N2" s="409"/>
      <c r="O2" s="409"/>
      <c r="P2" s="409"/>
      <c r="Q2" s="409"/>
      <c r="R2" s="409"/>
      <c r="S2" s="409" t="s">
        <v>196</v>
      </c>
      <c r="T2" s="409"/>
      <c r="U2" s="409"/>
      <c r="V2" s="409"/>
      <c r="W2" s="409"/>
      <c r="X2" s="409"/>
      <c r="Y2" s="409"/>
      <c r="Z2" s="409"/>
      <c r="AA2" s="428" t="s">
        <v>197</v>
      </c>
      <c r="AB2" s="429"/>
      <c r="AC2" s="429"/>
      <c r="AD2" s="429"/>
      <c r="AE2" s="429"/>
      <c r="AF2" s="429"/>
      <c r="AG2" s="429"/>
      <c r="AH2" s="430"/>
      <c r="AI2" s="428" t="s">
        <v>198</v>
      </c>
      <c r="AJ2" s="429"/>
      <c r="AK2" s="429"/>
      <c r="AL2" s="429"/>
      <c r="AM2" s="429"/>
      <c r="AN2" s="429"/>
      <c r="AO2" s="429"/>
      <c r="AP2" s="430"/>
      <c r="AQ2"/>
      <c r="AR2"/>
      <c r="AS2"/>
      <c r="AT2"/>
      <c r="AU2"/>
      <c r="AV2"/>
      <c r="AW2"/>
      <c r="AX2"/>
      <c r="BA2"/>
      <c r="BC2"/>
      <c r="BD2"/>
      <c r="BE2"/>
    </row>
    <row r="3" spans="1:57" ht="93.75" customHeight="1" thickTop="1" thickBot="1">
      <c r="A3" s="142" t="s">
        <v>81</v>
      </c>
      <c r="B3" s="47" t="s">
        <v>82</v>
      </c>
      <c r="C3" s="48" t="s">
        <v>83</v>
      </c>
      <c r="D3" s="374" t="s">
        <v>84</v>
      </c>
      <c r="E3" s="48" t="s">
        <v>85</v>
      </c>
      <c r="F3" s="48" t="s">
        <v>86</v>
      </c>
      <c r="G3" s="48" t="s">
        <v>87</v>
      </c>
      <c r="H3" s="48" t="s">
        <v>88</v>
      </c>
      <c r="I3" s="48" t="s">
        <v>89</v>
      </c>
      <c r="J3" s="49" t="s">
        <v>90</v>
      </c>
      <c r="K3" s="359" t="s">
        <v>199</v>
      </c>
      <c r="L3" s="360" t="s">
        <v>200</v>
      </c>
      <c r="M3" s="361" t="s">
        <v>201</v>
      </c>
      <c r="N3" s="361" t="s">
        <v>202</v>
      </c>
      <c r="O3" s="361" t="s">
        <v>203</v>
      </c>
      <c r="P3" s="361" t="s">
        <v>204</v>
      </c>
      <c r="Q3" s="361" t="s">
        <v>205</v>
      </c>
      <c r="R3" s="362" t="s">
        <v>206</v>
      </c>
      <c r="S3" s="68" t="s">
        <v>207</v>
      </c>
      <c r="T3" s="190" t="s">
        <v>208</v>
      </c>
      <c r="U3" s="69" t="s">
        <v>209</v>
      </c>
      <c r="V3" s="69" t="s">
        <v>210</v>
      </c>
      <c r="W3" s="69" t="s">
        <v>211</v>
      </c>
      <c r="X3" s="69" t="s">
        <v>212</v>
      </c>
      <c r="Y3" s="69" t="s">
        <v>213</v>
      </c>
      <c r="Z3" s="70" t="s">
        <v>214</v>
      </c>
      <c r="AA3" s="75" t="s">
        <v>215</v>
      </c>
      <c r="AB3" s="77" t="s">
        <v>216</v>
      </c>
      <c r="AC3" s="77" t="s">
        <v>217</v>
      </c>
      <c r="AD3" s="77" t="s">
        <v>218</v>
      </c>
      <c r="AE3" s="77" t="s">
        <v>219</v>
      </c>
      <c r="AF3" s="77" t="s">
        <v>220</v>
      </c>
      <c r="AG3" s="76" t="s">
        <v>221</v>
      </c>
      <c r="AH3" s="165" t="s">
        <v>222</v>
      </c>
      <c r="AI3" s="164" t="s">
        <v>91</v>
      </c>
      <c r="AJ3" s="76" t="s">
        <v>56</v>
      </c>
      <c r="AK3" s="76" t="s">
        <v>92</v>
      </c>
      <c r="AL3" s="76" t="s">
        <v>93</v>
      </c>
      <c r="AM3" s="76" t="s">
        <v>94</v>
      </c>
      <c r="AN3" s="76" t="s">
        <v>95</v>
      </c>
      <c r="AO3" s="76" t="s">
        <v>96</v>
      </c>
      <c r="AP3" s="78" t="s">
        <v>97</v>
      </c>
      <c r="AQ3"/>
      <c r="AR3"/>
      <c r="AS3"/>
      <c r="AT3"/>
      <c r="AU3"/>
      <c r="AV3"/>
      <c r="AW3"/>
      <c r="AX3"/>
      <c r="BA3"/>
      <c r="BC3"/>
      <c r="BD3"/>
      <c r="BE3"/>
    </row>
    <row r="4" spans="1:57" s="239" customFormat="1" ht="15" thickTop="1">
      <c r="A4" s="240" t="s">
        <v>145</v>
      </c>
      <c r="B4" s="241" t="s">
        <v>146</v>
      </c>
      <c r="C4" s="242" t="s">
        <v>147</v>
      </c>
      <c r="D4" s="375" t="s">
        <v>148</v>
      </c>
      <c r="E4" s="242" t="s">
        <v>145</v>
      </c>
      <c r="F4" s="98"/>
      <c r="G4" s="36"/>
      <c r="H4" s="36"/>
      <c r="I4" s="243">
        <v>40848</v>
      </c>
      <c r="J4" s="357" t="s">
        <v>149</v>
      </c>
      <c r="K4" s="363">
        <v>31087</v>
      </c>
      <c r="L4" s="363">
        <v>6042.4212379237997</v>
      </c>
      <c r="M4" s="214">
        <v>5214.8880000000008</v>
      </c>
      <c r="N4" s="214">
        <v>19573</v>
      </c>
      <c r="O4" s="214">
        <v>2568.7414284693855</v>
      </c>
      <c r="P4" s="214">
        <v>18919.638574892673</v>
      </c>
      <c r="Q4" s="224">
        <v>41076</v>
      </c>
      <c r="R4" s="214">
        <v>34828</v>
      </c>
      <c r="S4" s="230">
        <v>40848</v>
      </c>
      <c r="T4" s="230">
        <v>2711</v>
      </c>
      <c r="U4" s="214">
        <v>3790</v>
      </c>
      <c r="V4" s="214">
        <v>22467</v>
      </c>
      <c r="W4" s="214">
        <v>236.54359336392511</v>
      </c>
      <c r="X4" s="214">
        <v>7750</v>
      </c>
      <c r="Y4" s="214">
        <v>32707</v>
      </c>
      <c r="Z4" s="225">
        <v>33278</v>
      </c>
      <c r="AA4" s="244">
        <f>IF(OR(tblPiNHistorical[[#This Row],[CCCM - old]]="", tblPiNHistorical[[#This Row],[CCCM - old]]=0, tblPiNHistorical[[#This Row],[CCCM - new]]="", tblPiNHistorical[[#This Row],[CCCM - new]]=0), "", tblPiNHistorical[[#This Row],[CCCM - new]]-tblPiNHistorical[[#This Row],[CCCM - old]])</f>
        <v>9761</v>
      </c>
      <c r="AB4" s="245">
        <f>IF(OR(tblPiNHistorical[[#This Row],[Education - old]]="", tblPiNHistorical[[#This Row],[Education - old]]=0, tblPiNHistorical[[#This Row],[Education - new]]="", tblPiNHistorical[[#This Row],[Education - new]]=0), "", tblPiNHistorical[[#This Row],[Education - new]]-tblPiNHistorical[[#This Row],[Education - old]])</f>
        <v>-3331.4212379237997</v>
      </c>
      <c r="AC4" s="245">
        <f>IF(OR(tblPiNHistorical[[#This Row],[Nutrition - old]]="", tblPiNHistorical[[#This Row],[Nutrition - old]]=0, tblPiNHistorical[[#This Row],[Nutrition - new]]="", tblPiNHistorical[[#This Row],[Nutrition - new]]=0), "", tblPiNHistorical[[#This Row],[Nutrition - new]]-tblPiNHistorical[[#This Row],[Nutrition - old]])</f>
        <v>-1424.8880000000008</v>
      </c>
      <c r="AD4" s="245">
        <f>IF(OR(tblPiNHistorical[[#This Row],[Food Security - old]]="", tblPiNHistorical[[#This Row],[Food Security - old]]=0, tblPiNHistorical[[#This Row],[Food Security - new]]="", tblPiNHistorical[[#This Row],[Food Security - new]]=0), "", tblPiNHistorical[[#This Row],[Food Security - new]]-tblPiNHistorical[[#This Row],[Food Security - old]])</f>
        <v>2894</v>
      </c>
      <c r="AE4" s="245">
        <f>IF(OR(tblPiNHistorical[[#This Row],[Health - old]]="", tblPiNHistorical[[#This Row],[Health - old]]=0, tblPiNHistorical[[#This Row],[Health - new]]="", tblPiNHistorical[[#This Row],[Health - new]]=0), "", tblPiNHistorical[[#This Row],[Health - new]]-tblPiNHistorical[[#This Row],[Health - old]])</f>
        <v>-2332.1978351054604</v>
      </c>
      <c r="AF4" s="24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-11169.638574892673</v>
      </c>
      <c r="AG4" s="245">
        <f>IF(OR(tblPiNHistorical[[#This Row],[Shelter - old]]="", tblPiNHistorical[[#This Row],[Shelter - old]]=0, tblPiNHistorical[[#This Row],[Shelter - new]]="", tblPiNHistorical[[#This Row],[Shelter - new]]=0), "", tblPiNHistorical[[#This Row],[Shelter - new]]-tblPiNHistorical[[#This Row],[Shelter - old]])</f>
        <v>-8369</v>
      </c>
      <c r="AH4" s="246">
        <f>IF(OR(tblPiNHistorical[[#This Row],[WASH - old]]="", tblPiNHistorical[[#This Row],[WASH - old]]=0, tblPiNHistorical[[#This Row],[WASH - new]]="", tblPiNHistorical[[#This Row],[WASH - new]]=0), "", tblPiNHistorical[[#This Row],[WASH - new]]-tblPiNHistorical[[#This Row],[WASH - old]])</f>
        <v>-1550</v>
      </c>
      <c r="AI4" s="247">
        <f>IFERROR(ROUND((tblPiNHistorical[[#This Row],[CCCM - new]] - tblPiNHistorical[[#This Row],[CCCM - old]])/tblPiNHistorical[[#This Row],[CCCM - old]], 1), "")</f>
        <v>0.3</v>
      </c>
      <c r="AJ4" s="248">
        <f>IFERROR(ROUND((tblPiNHistorical[[#This Row],[Education - new]]-tblPiNHistorical[[#This Row],[Education - old]])/tblPiNHistorical[[#This Row],[Education - old]], 1), "")</f>
        <v>-0.6</v>
      </c>
      <c r="AK4" s="248">
        <f>IFERROR(ROUND((tblPiNHistorical[[#This Row],[Nutrition - new]]-tblPiNHistorical[[#This Row],[Nutrition - old]])/tblPiNHistorical[[#This Row],[Nutrition - old]], 1), "")</f>
        <v>-0.3</v>
      </c>
      <c r="AL4" s="248">
        <f>IFERROR(ROUND((tblPiNHistorical[[#This Row],[Food Security - new]]-tblPiNHistorical[[#This Row],[Food Security - old]])/tblPiNHistorical[[#This Row],[Food Security - old]], 1), "")</f>
        <v>0.1</v>
      </c>
      <c r="AM4" s="248">
        <f>IFERROR(ROUND((tblPiNHistorical[[#This Row],[Health - new]]-tblPiNHistorical[[#This Row],[Health - old]])/tblPiNHistorical[[#This Row],[Health - old]], 1), "")</f>
        <v>-0.9</v>
      </c>
      <c r="AN4" s="248">
        <f>IFERROR(ROUND((tblPiNHistorical[[#This Row],[Overarching Protection - new]]-tblPiNHistorical[[#This Row],[Overarching Protection - old]])/tblPiNHistorical[[#This Row],[Overarching Protection - old]], 1), "")</f>
        <v>-0.6</v>
      </c>
      <c r="AO4" s="248">
        <f>IFERROR(ROUND((tblPiNHistorical[[#This Row],[Shelter - new]]-tblPiNHistorical[[#This Row],[Shelter - old]])/tblPiNHistorical[[#This Row],[Shelter - old]], 1), "")</f>
        <v>-0.2</v>
      </c>
      <c r="AP4" s="249">
        <f>IFERROR(ROUND((tblPiNHistorical[[#This Row],[WASH - new]]-tblPiNHistorical[[#This Row],[WASH - old]])/tblPiNHistorical[[#This Row],[WASH - old]], 1), "")</f>
        <v>0</v>
      </c>
    </row>
    <row r="5" spans="1:57" s="239" customFormat="1">
      <c r="A5" s="240" t="s">
        <v>150</v>
      </c>
      <c r="B5" s="241" t="s">
        <v>146</v>
      </c>
      <c r="C5" s="242" t="s">
        <v>147</v>
      </c>
      <c r="D5" s="375" t="s">
        <v>151</v>
      </c>
      <c r="E5" s="242" t="s">
        <v>150</v>
      </c>
      <c r="F5" s="98"/>
      <c r="G5" s="36"/>
      <c r="H5" s="36"/>
      <c r="I5" s="243">
        <v>9822</v>
      </c>
      <c r="J5" s="357" t="s">
        <v>149</v>
      </c>
      <c r="K5" s="363"/>
      <c r="L5" s="363"/>
      <c r="M5" s="214"/>
      <c r="N5" s="214"/>
      <c r="O5" s="214"/>
      <c r="P5" s="214"/>
      <c r="Q5" s="224"/>
      <c r="R5" s="214"/>
      <c r="S5" s="230">
        <v>9822</v>
      </c>
      <c r="T5" s="230">
        <v>583</v>
      </c>
      <c r="U5" s="214">
        <v>1033</v>
      </c>
      <c r="V5" s="214">
        <v>9822</v>
      </c>
      <c r="W5" s="214"/>
      <c r="X5" s="214">
        <v>2000</v>
      </c>
      <c r="Y5" s="214">
        <v>5467</v>
      </c>
      <c r="Z5" s="225">
        <v>4844</v>
      </c>
      <c r="AA5" s="244" t="str">
        <f>IF(OR(tblPiNHistorical[[#This Row],[CCCM - old]]="", tblPiNHistorical[[#This Row],[CCCM - old]]=0, tblPiNHistorical[[#This Row],[CCCM - new]]="", tblPiNHistorical[[#This Row],[CCCM - new]]=0), "", tblPiNHistorical[[#This Row],[CCCM - new]]-tblPiNHistorical[[#This Row],[CCCM - old]])</f>
        <v/>
      </c>
      <c r="AB5" s="245" t="str">
        <f>IF(OR(tblPiNHistorical[[#This Row],[Education - old]]="", tblPiNHistorical[[#This Row],[Education - old]]=0, tblPiNHistorical[[#This Row],[Education - new]]="", tblPiNHistorical[[#This Row],[Education - new]]=0), "", tblPiNHistorical[[#This Row],[Education - new]]-tblPiNHistorical[[#This Row],[Education - old]])</f>
        <v/>
      </c>
      <c r="AC5" s="245" t="str">
        <f>IF(OR(tblPiNHistorical[[#This Row],[Nutrition - old]]="", tblPiNHistorical[[#This Row],[Nutrition - old]]=0, tblPiNHistorical[[#This Row],[Nutrition - new]]="", tblPiNHistorical[[#This Row],[Nutrition - new]]=0), "", tblPiNHistorical[[#This Row],[Nutrition - new]]-tblPiNHistorical[[#This Row],[Nutrition - old]])</f>
        <v/>
      </c>
      <c r="AD5" s="24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5" s="245" t="str">
        <f>IF(OR(tblPiNHistorical[[#This Row],[Health - old]]="", tblPiNHistorical[[#This Row],[Health - old]]=0, tblPiNHistorical[[#This Row],[Health - new]]="", tblPiNHistorical[[#This Row],[Health - new]]=0), "", tblPiNHistorical[[#This Row],[Health - new]]-tblPiNHistorical[[#This Row],[Health - old]])</f>
        <v/>
      </c>
      <c r="AF5" s="24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5" s="245" t="str">
        <f>IF(OR(tblPiNHistorical[[#This Row],[Shelter - old]]="", tblPiNHistorical[[#This Row],[Shelter - old]]=0, tblPiNHistorical[[#This Row],[Shelter - new]]="", tblPiNHistorical[[#This Row],[Shelter - new]]=0), "", tblPiNHistorical[[#This Row],[Shelter - new]]-tblPiNHistorical[[#This Row],[Shelter - old]])</f>
        <v/>
      </c>
      <c r="AH5" s="246" t="str">
        <f>IF(OR(tblPiNHistorical[[#This Row],[WASH - old]]="", tblPiNHistorical[[#This Row],[WASH - old]]=0, tblPiNHistorical[[#This Row],[WASH - new]]="", tblPiNHistorical[[#This Row],[WASH - new]]=0), "", tblPiNHistorical[[#This Row],[WASH - new]]-tblPiNHistorical[[#This Row],[WASH - old]])</f>
        <v/>
      </c>
      <c r="AI5" s="247" t="str">
        <f>IFERROR(ROUND((tblPiNHistorical[[#This Row],[CCCM - new]] - tblPiNHistorical[[#This Row],[CCCM - old]])/tblPiNHistorical[[#This Row],[CCCM - old]], 1), "")</f>
        <v/>
      </c>
      <c r="AJ5" s="248" t="str">
        <f>IFERROR(ROUND((tblPiNHistorical[[#This Row],[Education - new]]-tblPiNHistorical[[#This Row],[Education - old]])/tblPiNHistorical[[#This Row],[Education - old]], 1), "")</f>
        <v/>
      </c>
      <c r="AK5" s="248" t="str">
        <f>IFERROR(ROUND((tblPiNHistorical[[#This Row],[Nutrition - new]]-tblPiNHistorical[[#This Row],[Nutrition - old]])/tblPiNHistorical[[#This Row],[Nutrition - old]], 1), "")</f>
        <v/>
      </c>
      <c r="AL5" s="248" t="str">
        <f>IFERROR(ROUND((tblPiNHistorical[[#This Row],[Food Security - new]]-tblPiNHistorical[[#This Row],[Food Security - old]])/tblPiNHistorical[[#This Row],[Food Security - old]], 1), "")</f>
        <v/>
      </c>
      <c r="AM5" s="248" t="str">
        <f>IFERROR(ROUND((tblPiNHistorical[[#This Row],[Health - new]]-tblPiNHistorical[[#This Row],[Health - old]])/tblPiNHistorical[[#This Row],[Health - old]], 1), "")</f>
        <v/>
      </c>
      <c r="AN5" s="248" t="str">
        <f>IFERROR(ROUND((tblPiNHistorical[[#This Row],[Overarching Protection - new]]-tblPiNHistorical[[#This Row],[Overarching Protection - old]])/tblPiNHistorical[[#This Row],[Overarching Protection - old]], 1), "")</f>
        <v/>
      </c>
      <c r="AO5" s="248" t="str">
        <f>IFERROR(ROUND((tblPiNHistorical[[#This Row],[Shelter - new]]-tblPiNHistorical[[#This Row],[Shelter - old]])/tblPiNHistorical[[#This Row],[Shelter - old]], 1), "")</f>
        <v/>
      </c>
      <c r="AP5" s="249" t="str">
        <f>IFERROR(ROUND((tblPiNHistorical[[#This Row],[WASH - new]]-tblPiNHistorical[[#This Row],[WASH - old]])/tblPiNHistorical[[#This Row],[WASH - old]], 1), "")</f>
        <v/>
      </c>
    </row>
    <row r="6" spans="1:57" s="239" customFormat="1">
      <c r="A6" s="240" t="s">
        <v>152</v>
      </c>
      <c r="B6" s="241" t="s">
        <v>146</v>
      </c>
      <c r="C6" s="242" t="s">
        <v>147</v>
      </c>
      <c r="D6" s="375" t="s">
        <v>153</v>
      </c>
      <c r="E6" s="242" t="s">
        <v>152</v>
      </c>
      <c r="F6" s="98"/>
      <c r="G6" s="36"/>
      <c r="H6" s="36"/>
      <c r="I6" s="243">
        <v>22052</v>
      </c>
      <c r="J6" s="357" t="s">
        <v>149</v>
      </c>
      <c r="K6" s="363">
        <v>24059</v>
      </c>
      <c r="L6" s="363">
        <v>4567.5040845070398</v>
      </c>
      <c r="M6" s="214">
        <v>5806.3919999999998</v>
      </c>
      <c r="N6" s="214">
        <v>6176</v>
      </c>
      <c r="O6" s="214">
        <v>1770.2091386750399</v>
      </c>
      <c r="P6" s="214">
        <v>21117.866173230748</v>
      </c>
      <c r="Q6" s="224">
        <v>21597</v>
      </c>
      <c r="R6" s="214">
        <v>16776</v>
      </c>
      <c r="S6" s="230">
        <v>22052</v>
      </c>
      <c r="T6" s="230">
        <v>2555</v>
      </c>
      <c r="U6" s="214">
        <v>2276</v>
      </c>
      <c r="V6" s="214">
        <v>22052</v>
      </c>
      <c r="W6" s="214">
        <v>71.451173590885858</v>
      </c>
      <c r="X6" s="214">
        <v>4410</v>
      </c>
      <c r="Y6" s="214">
        <v>15319</v>
      </c>
      <c r="Z6" s="225">
        <v>20032</v>
      </c>
      <c r="AA6" s="244">
        <f>IF(OR(tblPiNHistorical[[#This Row],[CCCM - old]]="", tblPiNHistorical[[#This Row],[CCCM - old]]=0, tblPiNHistorical[[#This Row],[CCCM - new]]="", tblPiNHistorical[[#This Row],[CCCM - new]]=0), "", tblPiNHistorical[[#This Row],[CCCM - new]]-tblPiNHistorical[[#This Row],[CCCM - old]])</f>
        <v>-2007</v>
      </c>
      <c r="AB6" s="245">
        <f>IF(OR(tblPiNHistorical[[#This Row],[Education - old]]="", tblPiNHistorical[[#This Row],[Education - old]]=0, tblPiNHistorical[[#This Row],[Education - new]]="", tblPiNHistorical[[#This Row],[Education - new]]=0), "", tblPiNHistorical[[#This Row],[Education - new]]-tblPiNHistorical[[#This Row],[Education - old]])</f>
        <v>-2012.5040845070398</v>
      </c>
      <c r="AC6" s="245">
        <f>IF(OR(tblPiNHistorical[[#This Row],[Nutrition - old]]="", tblPiNHistorical[[#This Row],[Nutrition - old]]=0, tblPiNHistorical[[#This Row],[Nutrition - new]]="", tblPiNHistorical[[#This Row],[Nutrition - new]]=0), "", tblPiNHistorical[[#This Row],[Nutrition - new]]-tblPiNHistorical[[#This Row],[Nutrition - old]])</f>
        <v>-3530.3919999999998</v>
      </c>
      <c r="AD6" s="245">
        <f>IF(OR(tblPiNHistorical[[#This Row],[Food Security - old]]="", tblPiNHistorical[[#This Row],[Food Security - old]]=0, tblPiNHistorical[[#This Row],[Food Security - new]]="", tblPiNHistorical[[#This Row],[Food Security - new]]=0), "", tblPiNHistorical[[#This Row],[Food Security - new]]-tblPiNHistorical[[#This Row],[Food Security - old]])</f>
        <v>15876</v>
      </c>
      <c r="AE6" s="245">
        <f>IF(OR(tblPiNHistorical[[#This Row],[Health - old]]="", tblPiNHistorical[[#This Row],[Health - old]]=0, tblPiNHistorical[[#This Row],[Health - new]]="", tblPiNHistorical[[#This Row],[Health - new]]=0), "", tblPiNHistorical[[#This Row],[Health - new]]-tblPiNHistorical[[#This Row],[Health - old]])</f>
        <v>-1698.757965084154</v>
      </c>
      <c r="AF6" s="24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-16707.866173230748</v>
      </c>
      <c r="AG6" s="245">
        <f>IF(OR(tblPiNHistorical[[#This Row],[Shelter - old]]="", tblPiNHistorical[[#This Row],[Shelter - old]]=0, tblPiNHistorical[[#This Row],[Shelter - new]]="", tblPiNHistorical[[#This Row],[Shelter - new]]=0), "", tblPiNHistorical[[#This Row],[Shelter - new]]-tblPiNHistorical[[#This Row],[Shelter - old]])</f>
        <v>-6278</v>
      </c>
      <c r="AH6" s="246">
        <f>IF(OR(tblPiNHistorical[[#This Row],[WASH - old]]="", tblPiNHistorical[[#This Row],[WASH - old]]=0, tblPiNHistorical[[#This Row],[WASH - new]]="", tblPiNHistorical[[#This Row],[WASH - new]]=0), "", tblPiNHistorical[[#This Row],[WASH - new]]-tblPiNHistorical[[#This Row],[WASH - old]])</f>
        <v>3256</v>
      </c>
      <c r="AI6" s="247">
        <f>IFERROR(ROUND((tblPiNHistorical[[#This Row],[CCCM - new]] - tblPiNHistorical[[#This Row],[CCCM - old]])/tblPiNHistorical[[#This Row],[CCCM - old]], 1), "")</f>
        <v>-0.1</v>
      </c>
      <c r="AJ6" s="248">
        <f>IFERROR(ROUND((tblPiNHistorical[[#This Row],[Education - new]]-tblPiNHistorical[[#This Row],[Education - old]])/tblPiNHistorical[[#This Row],[Education - old]], 1), "")</f>
        <v>-0.4</v>
      </c>
      <c r="AK6" s="248">
        <f>IFERROR(ROUND((tblPiNHistorical[[#This Row],[Nutrition - new]]-tblPiNHistorical[[#This Row],[Nutrition - old]])/tblPiNHistorical[[#This Row],[Nutrition - old]], 1), "")</f>
        <v>-0.6</v>
      </c>
      <c r="AL6" s="248">
        <f>IFERROR(ROUND((tblPiNHistorical[[#This Row],[Food Security - new]]-tblPiNHistorical[[#This Row],[Food Security - old]])/tblPiNHistorical[[#This Row],[Food Security - old]], 1), "")</f>
        <v>2.6</v>
      </c>
      <c r="AM6" s="248">
        <f>IFERROR(ROUND((tblPiNHistorical[[#This Row],[Health - new]]-tblPiNHistorical[[#This Row],[Health - old]])/tblPiNHistorical[[#This Row],[Health - old]], 1), "")</f>
        <v>-1</v>
      </c>
      <c r="AN6" s="248">
        <f>IFERROR(ROUND((tblPiNHistorical[[#This Row],[Overarching Protection - new]]-tblPiNHistorical[[#This Row],[Overarching Protection - old]])/tblPiNHistorical[[#This Row],[Overarching Protection - old]], 1), "")</f>
        <v>-0.8</v>
      </c>
      <c r="AO6" s="248">
        <f>IFERROR(ROUND((tblPiNHistorical[[#This Row],[Shelter - new]]-tblPiNHistorical[[#This Row],[Shelter - old]])/tblPiNHistorical[[#This Row],[Shelter - old]], 1), "")</f>
        <v>-0.3</v>
      </c>
      <c r="AP6" s="249">
        <f>IFERROR(ROUND((tblPiNHistorical[[#This Row],[WASH - new]]-tblPiNHistorical[[#This Row],[WASH - old]])/tblPiNHistorical[[#This Row],[WASH - old]], 1), "")</f>
        <v>0.2</v>
      </c>
    </row>
    <row r="7" spans="1:57" s="239" customFormat="1">
      <c r="A7" s="240" t="s">
        <v>154</v>
      </c>
      <c r="B7" s="241" t="s">
        <v>146</v>
      </c>
      <c r="C7" s="242" t="s">
        <v>147</v>
      </c>
      <c r="D7" s="375" t="s">
        <v>155</v>
      </c>
      <c r="E7" s="242" t="s">
        <v>154</v>
      </c>
      <c r="F7" s="98"/>
      <c r="G7" s="36"/>
      <c r="H7" s="36"/>
      <c r="I7" s="243">
        <v>59691</v>
      </c>
      <c r="J7" s="357" t="s">
        <v>149</v>
      </c>
      <c r="K7" s="363">
        <v>0</v>
      </c>
      <c r="L7" s="363">
        <v>3441.7807756782649</v>
      </c>
      <c r="M7" s="214">
        <v>13317.76</v>
      </c>
      <c r="N7" s="214">
        <v>52608</v>
      </c>
      <c r="O7" s="214">
        <v>4888.8747410063979</v>
      </c>
      <c r="P7" s="214">
        <v>31369.720151012571</v>
      </c>
      <c r="Q7" s="224">
        <v>30000</v>
      </c>
      <c r="R7" s="214">
        <v>35910.599999999991</v>
      </c>
      <c r="S7" s="230">
        <v>0</v>
      </c>
      <c r="T7" s="230">
        <v>4915</v>
      </c>
      <c r="U7" s="214">
        <v>5153</v>
      </c>
      <c r="V7" s="214">
        <v>23711</v>
      </c>
      <c r="W7" s="214">
        <v>1101.6011074474636</v>
      </c>
      <c r="X7" s="214">
        <v>7754</v>
      </c>
      <c r="Y7" s="214">
        <v>45183</v>
      </c>
      <c r="Z7" s="225">
        <v>43317</v>
      </c>
      <c r="AA7" s="244" t="str">
        <f>IF(OR(tblPiNHistorical[[#This Row],[CCCM - old]]="", tblPiNHistorical[[#This Row],[CCCM - old]]=0, tblPiNHistorical[[#This Row],[CCCM - new]]="", tblPiNHistorical[[#This Row],[CCCM - new]]=0), "", tblPiNHistorical[[#This Row],[CCCM - new]]-tblPiNHistorical[[#This Row],[CCCM - old]])</f>
        <v/>
      </c>
      <c r="AB7" s="245">
        <f>IF(OR(tblPiNHistorical[[#This Row],[Education - old]]="", tblPiNHistorical[[#This Row],[Education - old]]=0, tblPiNHistorical[[#This Row],[Education - new]]="", tblPiNHistorical[[#This Row],[Education - new]]=0), "", tblPiNHistorical[[#This Row],[Education - new]]-tblPiNHistorical[[#This Row],[Education - old]])</f>
        <v>1473.2192243217351</v>
      </c>
      <c r="AC7" s="245">
        <f>IF(OR(tblPiNHistorical[[#This Row],[Nutrition - old]]="", tblPiNHistorical[[#This Row],[Nutrition - old]]=0, tblPiNHistorical[[#This Row],[Nutrition - new]]="", tblPiNHistorical[[#This Row],[Nutrition - new]]=0), "", tblPiNHistorical[[#This Row],[Nutrition - new]]-tblPiNHistorical[[#This Row],[Nutrition - old]])</f>
        <v>-8164.76</v>
      </c>
      <c r="AD7" s="245">
        <f>IF(OR(tblPiNHistorical[[#This Row],[Food Security - old]]="", tblPiNHistorical[[#This Row],[Food Security - old]]=0, tblPiNHistorical[[#This Row],[Food Security - new]]="", tblPiNHistorical[[#This Row],[Food Security - new]]=0), "", tblPiNHistorical[[#This Row],[Food Security - new]]-tblPiNHistorical[[#This Row],[Food Security - old]])</f>
        <v>-28897</v>
      </c>
      <c r="AE7" s="245">
        <f>IF(OR(tblPiNHistorical[[#This Row],[Health - old]]="", tblPiNHistorical[[#This Row],[Health - old]]=0, tblPiNHistorical[[#This Row],[Health - new]]="", tblPiNHistorical[[#This Row],[Health - new]]=0), "", tblPiNHistorical[[#This Row],[Health - new]]-tblPiNHistorical[[#This Row],[Health - old]])</f>
        <v>-3787.2736335589343</v>
      </c>
      <c r="AF7" s="24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-23615.720151012571</v>
      </c>
      <c r="AG7" s="245">
        <f>IF(OR(tblPiNHistorical[[#This Row],[Shelter - old]]="", tblPiNHistorical[[#This Row],[Shelter - old]]=0, tblPiNHistorical[[#This Row],[Shelter - new]]="", tblPiNHistorical[[#This Row],[Shelter - new]]=0), "", tblPiNHistorical[[#This Row],[Shelter - new]]-tblPiNHistorical[[#This Row],[Shelter - old]])</f>
        <v>15183</v>
      </c>
      <c r="AH7" s="246">
        <f>IF(OR(tblPiNHistorical[[#This Row],[WASH - old]]="", tblPiNHistorical[[#This Row],[WASH - old]]=0, tblPiNHistorical[[#This Row],[WASH - new]]="", tblPiNHistorical[[#This Row],[WASH - new]]=0), "", tblPiNHistorical[[#This Row],[WASH - new]]-tblPiNHistorical[[#This Row],[WASH - old]])</f>
        <v>7406.4000000000087</v>
      </c>
      <c r="AI7" s="247" t="str">
        <f>IFERROR(ROUND((tblPiNHistorical[[#This Row],[CCCM - new]] - tblPiNHistorical[[#This Row],[CCCM - old]])/tblPiNHistorical[[#This Row],[CCCM - old]], 1), "")</f>
        <v/>
      </c>
      <c r="AJ7" s="248">
        <f>IFERROR(ROUND((tblPiNHistorical[[#This Row],[Education - new]]-tblPiNHistorical[[#This Row],[Education - old]])/tblPiNHistorical[[#This Row],[Education - old]], 1), "")</f>
        <v>0.4</v>
      </c>
      <c r="AK7" s="248">
        <f>IFERROR(ROUND((tblPiNHistorical[[#This Row],[Nutrition - new]]-tblPiNHistorical[[#This Row],[Nutrition - old]])/tblPiNHistorical[[#This Row],[Nutrition - old]], 1), "")</f>
        <v>-0.6</v>
      </c>
      <c r="AL7" s="248">
        <f>IFERROR(ROUND((tblPiNHistorical[[#This Row],[Food Security - new]]-tblPiNHistorical[[#This Row],[Food Security - old]])/tblPiNHistorical[[#This Row],[Food Security - old]], 1), "")</f>
        <v>-0.5</v>
      </c>
      <c r="AM7" s="248">
        <f>IFERROR(ROUND((tblPiNHistorical[[#This Row],[Health - new]]-tblPiNHistorical[[#This Row],[Health - old]])/tblPiNHistorical[[#This Row],[Health - old]], 1), "")</f>
        <v>-0.8</v>
      </c>
      <c r="AN7" s="248">
        <f>IFERROR(ROUND((tblPiNHistorical[[#This Row],[Overarching Protection - new]]-tblPiNHistorical[[#This Row],[Overarching Protection - old]])/tblPiNHistorical[[#This Row],[Overarching Protection - old]], 1), "")</f>
        <v>-0.8</v>
      </c>
      <c r="AO7" s="248">
        <f>IFERROR(ROUND((tblPiNHistorical[[#This Row],[Shelter - new]]-tblPiNHistorical[[#This Row],[Shelter - old]])/tblPiNHistorical[[#This Row],[Shelter - old]], 1), "")</f>
        <v>0.5</v>
      </c>
      <c r="AP7" s="249">
        <f>IFERROR(ROUND((tblPiNHistorical[[#This Row],[WASH - new]]-tblPiNHistorical[[#This Row],[WASH - old]])/tblPiNHistorical[[#This Row],[WASH - old]], 1), "")</f>
        <v>0.2</v>
      </c>
    </row>
    <row r="8" spans="1:57">
      <c r="A8" s="322" t="s">
        <v>156</v>
      </c>
      <c r="B8" s="320" t="s">
        <v>146</v>
      </c>
      <c r="C8" s="213" t="s">
        <v>147</v>
      </c>
      <c r="D8" s="376" t="s">
        <v>157</v>
      </c>
      <c r="E8" s="103" t="s">
        <v>156</v>
      </c>
      <c r="F8" s="98"/>
      <c r="G8" s="33"/>
      <c r="H8" s="340"/>
      <c r="I8" s="95">
        <v>19901</v>
      </c>
      <c r="J8" s="358" t="s">
        <v>149</v>
      </c>
      <c r="K8" s="303">
        <v>4034.8</v>
      </c>
      <c r="L8" s="364">
        <v>3332.6192307692309</v>
      </c>
      <c r="M8" s="303">
        <v>4026.4880000000003</v>
      </c>
      <c r="N8" s="303">
        <v>5165</v>
      </c>
      <c r="O8" s="303">
        <v>12037.151549280759</v>
      </c>
      <c r="P8" s="303">
        <v>7642.8590518243082</v>
      </c>
      <c r="Q8" s="304">
        <v>18157</v>
      </c>
      <c r="R8" s="303">
        <v>17973.2</v>
      </c>
      <c r="S8" s="323">
        <v>19901</v>
      </c>
      <c r="T8" s="323">
        <v>1769</v>
      </c>
      <c r="U8" s="303">
        <v>1863</v>
      </c>
      <c r="V8" s="303">
        <v>3175</v>
      </c>
      <c r="W8" s="303">
        <v>9845.3742647490017</v>
      </c>
      <c r="X8" s="303">
        <v>9987</v>
      </c>
      <c r="Y8" s="303">
        <v>9191</v>
      </c>
      <c r="Z8" s="303">
        <v>17006</v>
      </c>
      <c r="AA8" s="324">
        <f>IF(OR(tblPiNHistorical[[#This Row],[CCCM - old]]="", tblPiNHistorical[[#This Row],[CCCM - old]]=0, tblPiNHistorical[[#This Row],[CCCM - new]]="", tblPiNHistorical[[#This Row],[CCCM - new]]=0), "", tblPiNHistorical[[#This Row],[CCCM - new]]-tblPiNHistorical[[#This Row],[CCCM - old]])</f>
        <v>15866.2</v>
      </c>
      <c r="AB8" s="325">
        <f>IF(OR(tblPiNHistorical[[#This Row],[Education - old]]="", tblPiNHistorical[[#This Row],[Education - old]]=0, tblPiNHistorical[[#This Row],[Education - new]]="", tblPiNHistorical[[#This Row],[Education - new]]=0), "", tblPiNHistorical[[#This Row],[Education - new]]-tblPiNHistorical[[#This Row],[Education - old]])</f>
        <v>-1563.6192307692309</v>
      </c>
      <c r="AC8" s="325">
        <f>IF(OR(tblPiNHistorical[[#This Row],[Nutrition - old]]="", tblPiNHistorical[[#This Row],[Nutrition - old]]=0, tblPiNHistorical[[#This Row],[Nutrition - new]]="", tblPiNHistorical[[#This Row],[Nutrition - new]]=0), "", tblPiNHistorical[[#This Row],[Nutrition - new]]-tblPiNHistorical[[#This Row],[Nutrition - old]])</f>
        <v>-2163.4880000000003</v>
      </c>
      <c r="AD8" s="325">
        <f>IF(OR(tblPiNHistorical[[#This Row],[Food Security - old]]="", tblPiNHistorical[[#This Row],[Food Security - old]]=0, tblPiNHistorical[[#This Row],[Food Security - new]]="", tblPiNHistorical[[#This Row],[Food Security - new]]=0), "", tblPiNHistorical[[#This Row],[Food Security - new]]-tblPiNHistorical[[#This Row],[Food Security - old]])</f>
        <v>-1990</v>
      </c>
      <c r="AE8" s="325">
        <f>IF(OR(tblPiNHistorical[[#This Row],[Health - old]]="", tblPiNHistorical[[#This Row],[Health - old]]=0, tblPiNHistorical[[#This Row],[Health - new]]="", tblPiNHistorical[[#This Row],[Health - new]]=0), "", tblPiNHistorical[[#This Row],[Health - new]]-tblPiNHistorical[[#This Row],[Health - old]])</f>
        <v>-2191.7772845317577</v>
      </c>
      <c r="AF8"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2344.1409481756918</v>
      </c>
      <c r="AG8" s="325">
        <f>IF(OR(tblPiNHistorical[[#This Row],[Shelter - old]]="", tblPiNHistorical[[#This Row],[Shelter - old]]=0, tblPiNHistorical[[#This Row],[Shelter - new]]="", tblPiNHistorical[[#This Row],[Shelter - new]]=0), "", tblPiNHistorical[[#This Row],[Shelter - new]]-tblPiNHistorical[[#This Row],[Shelter - old]])</f>
        <v>-8966</v>
      </c>
      <c r="AH8" s="326">
        <f>IF(OR(tblPiNHistorical[[#This Row],[WASH - old]]="", tblPiNHistorical[[#This Row],[WASH - old]]=0, tblPiNHistorical[[#This Row],[WASH - new]]="", tblPiNHistorical[[#This Row],[WASH - new]]=0), "", tblPiNHistorical[[#This Row],[WASH - new]]-tblPiNHistorical[[#This Row],[WASH - old]])</f>
        <v>-967.20000000000073</v>
      </c>
      <c r="AI8" s="327">
        <f>IFERROR(ROUND((tblPiNHistorical[[#This Row],[CCCM - new]] - tblPiNHistorical[[#This Row],[CCCM - old]])/tblPiNHistorical[[#This Row],[CCCM - old]], 1), "")</f>
        <v>3.9</v>
      </c>
      <c r="AJ8" s="328">
        <f>IFERROR(ROUND((tblPiNHistorical[[#This Row],[Education - new]]-tblPiNHistorical[[#This Row],[Education - old]])/tblPiNHistorical[[#This Row],[Education - old]], 1), "")</f>
        <v>-0.5</v>
      </c>
      <c r="AK8" s="328">
        <f>IFERROR(ROUND((tblPiNHistorical[[#This Row],[Nutrition - new]]-tblPiNHistorical[[#This Row],[Nutrition - old]])/tblPiNHistorical[[#This Row],[Nutrition - old]], 1), "")</f>
        <v>-0.5</v>
      </c>
      <c r="AL8" s="328">
        <f>IFERROR(ROUND((tblPiNHistorical[[#This Row],[Food Security - new]]-tblPiNHistorical[[#This Row],[Food Security - old]])/tblPiNHistorical[[#This Row],[Food Security - old]], 1), "")</f>
        <v>-0.4</v>
      </c>
      <c r="AM8" s="328">
        <f>IFERROR(ROUND((tblPiNHistorical[[#This Row],[Health - new]]-tblPiNHistorical[[#This Row],[Health - old]])/tblPiNHistorical[[#This Row],[Health - old]], 1), "")</f>
        <v>-0.2</v>
      </c>
      <c r="AN8" s="328">
        <f>IFERROR(ROUND((tblPiNHistorical[[#This Row],[Overarching Protection - new]]-tblPiNHistorical[[#This Row],[Overarching Protection - old]])/tblPiNHistorical[[#This Row],[Overarching Protection - old]], 1), "")</f>
        <v>0.3</v>
      </c>
      <c r="AO8" s="328">
        <f>IFERROR(ROUND((tblPiNHistorical[[#This Row],[Shelter - new]]-tblPiNHistorical[[#This Row],[Shelter - old]])/tblPiNHistorical[[#This Row],[Shelter - old]], 1), "")</f>
        <v>-0.5</v>
      </c>
      <c r="AP8" s="37">
        <f>IFERROR(ROUND((tblPiNHistorical[[#This Row],[WASH - new]]-tblPiNHistorical[[#This Row],[WASH - old]])/tblPiNHistorical[[#This Row],[WASH - old]], 1), "")</f>
        <v>-0.1</v>
      </c>
      <c r="AQ8" s="21"/>
      <c r="AR8" s="72"/>
      <c r="AS8" s="21"/>
      <c r="AT8" s="72"/>
      <c r="AU8" s="21"/>
      <c r="AV8" s="72"/>
      <c r="AX8" s="17"/>
      <c r="BA8" s="17"/>
      <c r="BC8" s="24"/>
      <c r="BD8" s="21"/>
      <c r="BE8" s="17"/>
    </row>
    <row r="9" spans="1:57">
      <c r="A9" s="322" t="s">
        <v>158</v>
      </c>
      <c r="B9" s="320" t="s">
        <v>146</v>
      </c>
      <c r="C9" s="213" t="s">
        <v>147</v>
      </c>
      <c r="D9" s="376" t="s">
        <v>159</v>
      </c>
      <c r="E9" s="103" t="s">
        <v>158</v>
      </c>
      <c r="F9" s="98"/>
      <c r="G9" s="33"/>
      <c r="H9" s="340"/>
      <c r="I9" s="95">
        <v>51599</v>
      </c>
      <c r="J9" s="358" t="s">
        <v>149</v>
      </c>
      <c r="K9" s="303">
        <v>9749</v>
      </c>
      <c r="L9" s="364">
        <v>20639.884999999998</v>
      </c>
      <c r="M9" s="303">
        <v>16233.560000000001</v>
      </c>
      <c r="N9" s="303">
        <v>53245</v>
      </c>
      <c r="O9" s="303">
        <v>64190.207779643271</v>
      </c>
      <c r="P9" s="303">
        <v>35788</v>
      </c>
      <c r="Q9" s="304">
        <v>45500</v>
      </c>
      <c r="R9" s="303">
        <v>59329.919999999998</v>
      </c>
      <c r="S9" s="323">
        <v>51599</v>
      </c>
      <c r="T9" s="323">
        <v>10423</v>
      </c>
      <c r="U9" s="303">
        <v>5518</v>
      </c>
      <c r="V9" s="303">
        <v>13980</v>
      </c>
      <c r="W9" s="303">
        <v>40684.850624461513</v>
      </c>
      <c r="X9" s="303">
        <v>37981</v>
      </c>
      <c r="Y9" s="303">
        <v>41208</v>
      </c>
      <c r="Z9" s="303">
        <v>40849</v>
      </c>
      <c r="AA9" s="324">
        <f>IF(OR(tblPiNHistorical[[#This Row],[CCCM - old]]="", tblPiNHistorical[[#This Row],[CCCM - old]]=0, tblPiNHistorical[[#This Row],[CCCM - new]]="", tblPiNHistorical[[#This Row],[CCCM - new]]=0), "", tblPiNHistorical[[#This Row],[CCCM - new]]-tblPiNHistorical[[#This Row],[CCCM - old]])</f>
        <v>41850</v>
      </c>
      <c r="AB9" s="325">
        <f>IF(OR(tblPiNHistorical[[#This Row],[Education - old]]="", tblPiNHistorical[[#This Row],[Education - old]]=0, tblPiNHistorical[[#This Row],[Education - new]]="", tblPiNHistorical[[#This Row],[Education - new]]=0), "", tblPiNHistorical[[#This Row],[Education - new]]-tblPiNHistorical[[#This Row],[Education - old]])</f>
        <v>-10216.884999999998</v>
      </c>
      <c r="AC9" s="325">
        <f>IF(OR(tblPiNHistorical[[#This Row],[Nutrition - old]]="", tblPiNHistorical[[#This Row],[Nutrition - old]]=0, tblPiNHistorical[[#This Row],[Nutrition - new]]="", tblPiNHistorical[[#This Row],[Nutrition - new]]=0), "", tblPiNHistorical[[#This Row],[Nutrition - new]]-tblPiNHistorical[[#This Row],[Nutrition - old]])</f>
        <v>-10715.560000000001</v>
      </c>
      <c r="AD9" s="325">
        <f>IF(OR(tblPiNHistorical[[#This Row],[Food Security - old]]="", tblPiNHistorical[[#This Row],[Food Security - old]]=0, tblPiNHistorical[[#This Row],[Food Security - new]]="", tblPiNHistorical[[#This Row],[Food Security - new]]=0), "", tblPiNHistorical[[#This Row],[Food Security - new]]-tblPiNHistorical[[#This Row],[Food Security - old]])</f>
        <v>-39265</v>
      </c>
      <c r="AE9" s="325">
        <f>IF(OR(tblPiNHistorical[[#This Row],[Health - old]]="", tblPiNHistorical[[#This Row],[Health - old]]=0, tblPiNHistorical[[#This Row],[Health - new]]="", tblPiNHistorical[[#This Row],[Health - new]]=0), "", tblPiNHistorical[[#This Row],[Health - new]]-tblPiNHistorical[[#This Row],[Health - old]])</f>
        <v>-23505.357155181759</v>
      </c>
      <c r="AF9"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2193</v>
      </c>
      <c r="AG9" s="325">
        <f>IF(OR(tblPiNHistorical[[#This Row],[Shelter - old]]="", tblPiNHistorical[[#This Row],[Shelter - old]]=0, tblPiNHistorical[[#This Row],[Shelter - new]]="", tblPiNHistorical[[#This Row],[Shelter - new]]=0), "", tblPiNHistorical[[#This Row],[Shelter - new]]-tblPiNHistorical[[#This Row],[Shelter - old]])</f>
        <v>-4292</v>
      </c>
      <c r="AH9" s="326">
        <f>IF(OR(tblPiNHistorical[[#This Row],[WASH - old]]="", tblPiNHistorical[[#This Row],[WASH - old]]=0, tblPiNHistorical[[#This Row],[WASH - new]]="", tblPiNHistorical[[#This Row],[WASH - new]]=0), "", tblPiNHistorical[[#This Row],[WASH - new]]-tblPiNHistorical[[#This Row],[WASH - old]])</f>
        <v>-18480.919999999998</v>
      </c>
      <c r="AI9" s="327">
        <f>IFERROR(ROUND((tblPiNHistorical[[#This Row],[CCCM - new]] - tblPiNHistorical[[#This Row],[CCCM - old]])/tblPiNHistorical[[#This Row],[CCCM - old]], 1), "")</f>
        <v>4.3</v>
      </c>
      <c r="AJ9" s="328">
        <f>IFERROR(ROUND((tblPiNHistorical[[#This Row],[Education - new]]-tblPiNHistorical[[#This Row],[Education - old]])/tblPiNHistorical[[#This Row],[Education - old]], 1), "")</f>
        <v>-0.5</v>
      </c>
      <c r="AK9" s="328">
        <f>IFERROR(ROUND((tblPiNHistorical[[#This Row],[Nutrition - new]]-tblPiNHistorical[[#This Row],[Nutrition - old]])/tblPiNHistorical[[#This Row],[Nutrition - old]], 1), "")</f>
        <v>-0.7</v>
      </c>
      <c r="AL9" s="328">
        <f>IFERROR(ROUND((tblPiNHistorical[[#This Row],[Food Security - new]]-tblPiNHistorical[[#This Row],[Food Security - old]])/tblPiNHistorical[[#This Row],[Food Security - old]], 1), "")</f>
        <v>-0.7</v>
      </c>
      <c r="AM9" s="328">
        <f>IFERROR(ROUND((tblPiNHistorical[[#This Row],[Health - new]]-tblPiNHistorical[[#This Row],[Health - old]])/tblPiNHistorical[[#This Row],[Health - old]], 1), "")</f>
        <v>-0.4</v>
      </c>
      <c r="AN9" s="328">
        <f>IFERROR(ROUND((tblPiNHistorical[[#This Row],[Overarching Protection - new]]-tblPiNHistorical[[#This Row],[Overarching Protection - old]])/tblPiNHistorical[[#This Row],[Overarching Protection - old]], 1), "")</f>
        <v>0.1</v>
      </c>
      <c r="AO9" s="328">
        <f>IFERROR(ROUND((tblPiNHistorical[[#This Row],[Shelter - new]]-tblPiNHistorical[[#This Row],[Shelter - old]])/tblPiNHistorical[[#This Row],[Shelter - old]], 1), "")</f>
        <v>-0.1</v>
      </c>
      <c r="AP9" s="37">
        <f>IFERROR(ROUND((tblPiNHistorical[[#This Row],[WASH - new]]-tblPiNHistorical[[#This Row],[WASH - old]])/tblPiNHistorical[[#This Row],[WASH - old]], 1), "")</f>
        <v>-0.3</v>
      </c>
      <c r="AQ9" s="21"/>
      <c r="AR9" s="72"/>
      <c r="AS9" s="21"/>
      <c r="AT9" s="72"/>
      <c r="AU9" s="21"/>
      <c r="AV9" s="72"/>
      <c r="AX9" s="17"/>
      <c r="BA9" s="17"/>
      <c r="BC9" s="24"/>
      <c r="BD9" s="21"/>
      <c r="BE9" s="17"/>
    </row>
    <row r="10" spans="1:57">
      <c r="A10" s="322" t="s">
        <v>160</v>
      </c>
      <c r="B10" s="320" t="s">
        <v>146</v>
      </c>
      <c r="C10" s="213" t="s">
        <v>147</v>
      </c>
      <c r="D10" s="376" t="s">
        <v>161</v>
      </c>
      <c r="E10" s="103" t="s">
        <v>160</v>
      </c>
      <c r="F10" s="98"/>
      <c r="G10" s="33"/>
      <c r="H10" s="340"/>
      <c r="I10" s="95">
        <v>3177</v>
      </c>
      <c r="J10" s="358" t="s">
        <v>149</v>
      </c>
      <c r="K10" s="303">
        <v>0</v>
      </c>
      <c r="L10" s="364">
        <v>385.44021948140238</v>
      </c>
      <c r="M10" s="303">
        <v>1384.9080000000001</v>
      </c>
      <c r="N10" s="303">
        <v>1890</v>
      </c>
      <c r="O10" s="303">
        <v>269.29960353773339</v>
      </c>
      <c r="P10" s="303">
        <v>6096.4785290948284</v>
      </c>
      <c r="Q10" s="304">
        <v>4851</v>
      </c>
      <c r="R10" s="303">
        <v>4323.73474801061</v>
      </c>
      <c r="S10" s="323">
        <v>1957</v>
      </c>
      <c r="T10" s="323">
        <v>727</v>
      </c>
      <c r="U10" s="303">
        <v>367</v>
      </c>
      <c r="V10" s="303">
        <v>3177</v>
      </c>
      <c r="W10" s="303">
        <v>15.43281154253245</v>
      </c>
      <c r="X10" s="303">
        <v>602</v>
      </c>
      <c r="Y10" s="303">
        <v>2005</v>
      </c>
      <c r="Z10" s="303">
        <v>1092</v>
      </c>
      <c r="AA10" s="324" t="str">
        <f>IF(OR(tblPiNHistorical[[#This Row],[CCCM - old]]="", tblPiNHistorical[[#This Row],[CCCM - old]]=0, tblPiNHistorical[[#This Row],[CCCM - new]]="", tblPiNHistorical[[#This Row],[CCCM - new]]=0), "", tblPiNHistorical[[#This Row],[CCCM - new]]-tblPiNHistorical[[#This Row],[CCCM - old]])</f>
        <v/>
      </c>
      <c r="AB10" s="325">
        <f>IF(OR(tblPiNHistorical[[#This Row],[Education - old]]="", tblPiNHistorical[[#This Row],[Education - old]]=0, tblPiNHistorical[[#This Row],[Education - new]]="", tblPiNHistorical[[#This Row],[Education - new]]=0), "", tblPiNHistorical[[#This Row],[Education - new]]-tblPiNHistorical[[#This Row],[Education - old]])</f>
        <v>341.55978051859762</v>
      </c>
      <c r="AC10" s="325">
        <f>IF(OR(tblPiNHistorical[[#This Row],[Nutrition - old]]="", tblPiNHistorical[[#This Row],[Nutrition - old]]=0, tblPiNHistorical[[#This Row],[Nutrition - new]]="", tblPiNHistorical[[#This Row],[Nutrition - new]]=0), "", tblPiNHistorical[[#This Row],[Nutrition - new]]-tblPiNHistorical[[#This Row],[Nutrition - old]])</f>
        <v>-1017.9080000000001</v>
      </c>
      <c r="AD10" s="325">
        <f>IF(OR(tblPiNHistorical[[#This Row],[Food Security - old]]="", tblPiNHistorical[[#This Row],[Food Security - old]]=0, tblPiNHistorical[[#This Row],[Food Security - new]]="", tblPiNHistorical[[#This Row],[Food Security - new]]=0), "", tblPiNHistorical[[#This Row],[Food Security - new]]-tblPiNHistorical[[#This Row],[Food Security - old]])</f>
        <v>1287</v>
      </c>
      <c r="AE10" s="325">
        <f>IF(OR(tblPiNHistorical[[#This Row],[Health - old]]="", tblPiNHistorical[[#This Row],[Health - old]]=0, tblPiNHistorical[[#This Row],[Health - new]]="", tblPiNHistorical[[#This Row],[Health - new]]=0), "", tblPiNHistorical[[#This Row],[Health - new]]-tblPiNHistorical[[#This Row],[Health - old]])</f>
        <v>-253.86679199520094</v>
      </c>
      <c r="AF10"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-5494.4785290948284</v>
      </c>
      <c r="AG10" s="325">
        <f>IF(OR(tblPiNHistorical[[#This Row],[Shelter - old]]="", tblPiNHistorical[[#This Row],[Shelter - old]]=0, tblPiNHistorical[[#This Row],[Shelter - new]]="", tblPiNHistorical[[#This Row],[Shelter - new]]=0), "", tblPiNHistorical[[#This Row],[Shelter - new]]-tblPiNHistorical[[#This Row],[Shelter - old]])</f>
        <v>-2846</v>
      </c>
      <c r="AH10" s="326">
        <f>IF(OR(tblPiNHistorical[[#This Row],[WASH - old]]="", tblPiNHistorical[[#This Row],[WASH - old]]=0, tblPiNHistorical[[#This Row],[WASH - new]]="", tblPiNHistorical[[#This Row],[WASH - new]]=0), "", tblPiNHistorical[[#This Row],[WASH - new]]-tblPiNHistorical[[#This Row],[WASH - old]])</f>
        <v>-3231.73474801061</v>
      </c>
      <c r="AI10" s="327" t="str">
        <f>IFERROR(ROUND((tblPiNHistorical[[#This Row],[CCCM - new]] - tblPiNHistorical[[#This Row],[CCCM - old]])/tblPiNHistorical[[#This Row],[CCCM - old]], 1), "")</f>
        <v/>
      </c>
      <c r="AJ10" s="328">
        <f>IFERROR(ROUND((tblPiNHistorical[[#This Row],[Education - new]]-tblPiNHistorical[[#This Row],[Education - old]])/tblPiNHistorical[[#This Row],[Education - old]], 1), "")</f>
        <v>0.9</v>
      </c>
      <c r="AK10" s="328">
        <f>IFERROR(ROUND((tblPiNHistorical[[#This Row],[Nutrition - new]]-tblPiNHistorical[[#This Row],[Nutrition - old]])/tblPiNHistorical[[#This Row],[Nutrition - old]], 1), "")</f>
        <v>-0.7</v>
      </c>
      <c r="AL10" s="328">
        <f>IFERROR(ROUND((tblPiNHistorical[[#This Row],[Food Security - new]]-tblPiNHistorical[[#This Row],[Food Security - old]])/tblPiNHistorical[[#This Row],[Food Security - old]], 1), "")</f>
        <v>0.7</v>
      </c>
      <c r="AM10" s="328">
        <f>IFERROR(ROUND((tblPiNHistorical[[#This Row],[Health - new]]-tblPiNHistorical[[#This Row],[Health - old]])/tblPiNHistorical[[#This Row],[Health - old]], 1), "")</f>
        <v>-0.9</v>
      </c>
      <c r="AN10" s="328">
        <f>IFERROR(ROUND((tblPiNHistorical[[#This Row],[Overarching Protection - new]]-tblPiNHistorical[[#This Row],[Overarching Protection - old]])/tblPiNHistorical[[#This Row],[Overarching Protection - old]], 1), "")</f>
        <v>-0.9</v>
      </c>
      <c r="AO10" s="328">
        <f>IFERROR(ROUND((tblPiNHistorical[[#This Row],[Shelter - new]]-tblPiNHistorical[[#This Row],[Shelter - old]])/tblPiNHistorical[[#This Row],[Shelter - old]], 1), "")</f>
        <v>-0.6</v>
      </c>
      <c r="AP10" s="37">
        <f>IFERROR(ROUND((tblPiNHistorical[[#This Row],[WASH - new]]-tblPiNHistorical[[#This Row],[WASH - old]])/tblPiNHistorical[[#This Row],[WASH - old]], 1), "")</f>
        <v>-0.7</v>
      </c>
      <c r="AQ10" s="21"/>
      <c r="AR10" s="72"/>
      <c r="AS10" s="21"/>
      <c r="AT10" s="72"/>
      <c r="AU10" s="21"/>
      <c r="AV10" s="72"/>
      <c r="AX10" s="17"/>
      <c r="BA10" s="17"/>
      <c r="BC10" s="24"/>
      <c r="BD10" s="21"/>
      <c r="BE10" s="17"/>
    </row>
    <row r="11" spans="1:57">
      <c r="A11" s="322" t="s">
        <v>162</v>
      </c>
      <c r="B11" s="320" t="s">
        <v>146</v>
      </c>
      <c r="C11" s="213" t="s">
        <v>147</v>
      </c>
      <c r="D11" s="376" t="s">
        <v>163</v>
      </c>
      <c r="E11" s="103" t="s">
        <v>162</v>
      </c>
      <c r="F11" s="98"/>
      <c r="G11" s="33"/>
      <c r="H11" s="340"/>
      <c r="I11" s="95">
        <v>11706</v>
      </c>
      <c r="J11" s="358" t="s">
        <v>149</v>
      </c>
      <c r="K11" s="303">
        <v>700</v>
      </c>
      <c r="L11" s="364">
        <v>1608.6795454545399</v>
      </c>
      <c r="M11" s="303">
        <v>1165.02</v>
      </c>
      <c r="N11" s="303">
        <v>2653</v>
      </c>
      <c r="O11" s="303">
        <v>386.98911606386054</v>
      </c>
      <c r="P11" s="303">
        <v>3525.9942316280722</v>
      </c>
      <c r="Q11" s="304">
        <v>7079</v>
      </c>
      <c r="R11" s="303">
        <v>7272.5684931506839</v>
      </c>
      <c r="S11" s="323">
        <v>11706</v>
      </c>
      <c r="T11" s="323">
        <v>1776</v>
      </c>
      <c r="U11" s="303">
        <v>973</v>
      </c>
      <c r="V11" s="303">
        <v>3796</v>
      </c>
      <c r="W11" s="303">
        <v>238.34416903966203</v>
      </c>
      <c r="X11" s="303">
        <v>7033</v>
      </c>
      <c r="Y11" s="303">
        <v>1513</v>
      </c>
      <c r="Z11" s="303">
        <v>6409</v>
      </c>
      <c r="AA11" s="324">
        <f>IF(OR(tblPiNHistorical[[#This Row],[CCCM - old]]="", tblPiNHistorical[[#This Row],[CCCM - old]]=0, tblPiNHistorical[[#This Row],[CCCM - new]]="", tblPiNHistorical[[#This Row],[CCCM - new]]=0), "", tblPiNHistorical[[#This Row],[CCCM - new]]-tblPiNHistorical[[#This Row],[CCCM - old]])</f>
        <v>11006</v>
      </c>
      <c r="AB11" s="325">
        <f>IF(OR(tblPiNHistorical[[#This Row],[Education - old]]="", tblPiNHistorical[[#This Row],[Education - old]]=0, tblPiNHistorical[[#This Row],[Education - new]]="", tblPiNHistorical[[#This Row],[Education - new]]=0), "", tblPiNHistorical[[#This Row],[Education - new]]-tblPiNHistorical[[#This Row],[Education - old]])</f>
        <v>167.32045454546005</v>
      </c>
      <c r="AC11" s="325">
        <f>IF(OR(tblPiNHistorical[[#This Row],[Nutrition - old]]="", tblPiNHistorical[[#This Row],[Nutrition - old]]=0, tblPiNHistorical[[#This Row],[Nutrition - new]]="", tblPiNHistorical[[#This Row],[Nutrition - new]]=0), "", tblPiNHistorical[[#This Row],[Nutrition - new]]-tblPiNHistorical[[#This Row],[Nutrition - old]])</f>
        <v>-192.01999999999998</v>
      </c>
      <c r="AD11" s="325">
        <f>IF(OR(tblPiNHistorical[[#This Row],[Food Security - old]]="", tblPiNHistorical[[#This Row],[Food Security - old]]=0, tblPiNHistorical[[#This Row],[Food Security - new]]="", tblPiNHistorical[[#This Row],[Food Security - new]]=0), "", tblPiNHistorical[[#This Row],[Food Security - new]]-tblPiNHistorical[[#This Row],[Food Security - old]])</f>
        <v>1143</v>
      </c>
      <c r="AE11" s="325">
        <f>IF(OR(tblPiNHistorical[[#This Row],[Health - old]]="", tblPiNHistorical[[#This Row],[Health - old]]=0, tblPiNHistorical[[#This Row],[Health - new]]="", tblPiNHistorical[[#This Row],[Health - new]]=0), "", tblPiNHistorical[[#This Row],[Health - new]]-tblPiNHistorical[[#This Row],[Health - old]])</f>
        <v>-148.6449470241985</v>
      </c>
      <c r="AF11"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3507.0057683719278</v>
      </c>
      <c r="AG11" s="325">
        <f>IF(OR(tblPiNHistorical[[#This Row],[Shelter - old]]="", tblPiNHistorical[[#This Row],[Shelter - old]]=0, tblPiNHistorical[[#This Row],[Shelter - new]]="", tblPiNHistorical[[#This Row],[Shelter - new]]=0), "", tblPiNHistorical[[#This Row],[Shelter - new]]-tblPiNHistorical[[#This Row],[Shelter - old]])</f>
        <v>-5566</v>
      </c>
      <c r="AH11" s="326">
        <f>IF(OR(tblPiNHistorical[[#This Row],[WASH - old]]="", tblPiNHistorical[[#This Row],[WASH - old]]=0, tblPiNHistorical[[#This Row],[WASH - new]]="", tblPiNHistorical[[#This Row],[WASH - new]]=0), "", tblPiNHistorical[[#This Row],[WASH - new]]-tblPiNHistorical[[#This Row],[WASH - old]])</f>
        <v>-863.56849315068393</v>
      </c>
      <c r="AI11" s="327">
        <f>IFERROR(ROUND((tblPiNHistorical[[#This Row],[CCCM - new]] - tblPiNHistorical[[#This Row],[CCCM - old]])/tblPiNHistorical[[#This Row],[CCCM - old]], 1), "")</f>
        <v>15.7</v>
      </c>
      <c r="AJ11" s="328">
        <f>IFERROR(ROUND((tblPiNHistorical[[#This Row],[Education - new]]-tblPiNHistorical[[#This Row],[Education - old]])/tblPiNHistorical[[#This Row],[Education - old]], 1), "")</f>
        <v>0.1</v>
      </c>
      <c r="AK11" s="328">
        <f>IFERROR(ROUND((tblPiNHistorical[[#This Row],[Nutrition - new]]-tblPiNHistorical[[#This Row],[Nutrition - old]])/tblPiNHistorical[[#This Row],[Nutrition - old]], 1), "")</f>
        <v>-0.2</v>
      </c>
      <c r="AL11" s="328">
        <f>IFERROR(ROUND((tblPiNHistorical[[#This Row],[Food Security - new]]-tblPiNHistorical[[#This Row],[Food Security - old]])/tblPiNHistorical[[#This Row],[Food Security - old]], 1), "")</f>
        <v>0.4</v>
      </c>
      <c r="AM11" s="328">
        <f>IFERROR(ROUND((tblPiNHistorical[[#This Row],[Health - new]]-tblPiNHistorical[[#This Row],[Health - old]])/tblPiNHistorical[[#This Row],[Health - old]], 1), "")</f>
        <v>-0.4</v>
      </c>
      <c r="AN11" s="328">
        <f>IFERROR(ROUND((tblPiNHistorical[[#This Row],[Overarching Protection - new]]-tblPiNHistorical[[#This Row],[Overarching Protection - old]])/tblPiNHistorical[[#This Row],[Overarching Protection - old]], 1), "")</f>
        <v>1</v>
      </c>
      <c r="AO11" s="328">
        <f>IFERROR(ROUND((tblPiNHistorical[[#This Row],[Shelter - new]]-tblPiNHistorical[[#This Row],[Shelter - old]])/tblPiNHistorical[[#This Row],[Shelter - old]], 1), "")</f>
        <v>-0.8</v>
      </c>
      <c r="AP11" s="37">
        <f>IFERROR(ROUND((tblPiNHistorical[[#This Row],[WASH - new]]-tblPiNHistorical[[#This Row],[WASH - old]])/tblPiNHistorical[[#This Row],[WASH - old]], 1), "")</f>
        <v>-0.1</v>
      </c>
      <c r="AQ11" s="21"/>
      <c r="AR11" s="72"/>
      <c r="AS11" s="21"/>
      <c r="AT11" s="72"/>
      <c r="AU11" s="21"/>
      <c r="AV11" s="72"/>
      <c r="AX11" s="17"/>
      <c r="BA11" s="17"/>
      <c r="BC11" s="24"/>
      <c r="BD11" s="21"/>
      <c r="BE11" s="17"/>
    </row>
    <row r="12" spans="1:57">
      <c r="A12" s="322" t="s">
        <v>164</v>
      </c>
      <c r="B12" s="320" t="s">
        <v>146</v>
      </c>
      <c r="C12" s="213" t="s">
        <v>147</v>
      </c>
      <c r="D12" s="376" t="s">
        <v>165</v>
      </c>
      <c r="E12" s="103" t="s">
        <v>164</v>
      </c>
      <c r="F12" s="98"/>
      <c r="G12" s="33"/>
      <c r="H12" s="340"/>
      <c r="I12" s="95">
        <v>60466</v>
      </c>
      <c r="J12" s="358" t="s">
        <v>149</v>
      </c>
      <c r="K12" s="303">
        <v>40366</v>
      </c>
      <c r="L12" s="364">
        <v>22925.880769230698</v>
      </c>
      <c r="M12" s="303">
        <v>10810.532000000001</v>
      </c>
      <c r="N12" s="303">
        <v>34488</v>
      </c>
      <c r="O12" s="303">
        <v>5997.4307857415361</v>
      </c>
      <c r="P12" s="303">
        <v>51859.930818256573</v>
      </c>
      <c r="Q12" s="304">
        <v>58598</v>
      </c>
      <c r="R12" s="303">
        <v>29554</v>
      </c>
      <c r="S12" s="323">
        <v>60466</v>
      </c>
      <c r="T12" s="323">
        <v>5415</v>
      </c>
      <c r="U12" s="303">
        <v>5002</v>
      </c>
      <c r="V12" s="303">
        <v>20606</v>
      </c>
      <c r="W12" s="303">
        <v>1247.8018037536478</v>
      </c>
      <c r="X12" s="303">
        <v>24270</v>
      </c>
      <c r="Y12" s="303">
        <v>40799</v>
      </c>
      <c r="Z12" s="303">
        <v>33267</v>
      </c>
      <c r="AA12" s="324">
        <f>IF(OR(tblPiNHistorical[[#This Row],[CCCM - old]]="", tblPiNHistorical[[#This Row],[CCCM - old]]=0, tblPiNHistorical[[#This Row],[CCCM - new]]="", tblPiNHistorical[[#This Row],[CCCM - new]]=0), "", tblPiNHistorical[[#This Row],[CCCM - new]]-tblPiNHistorical[[#This Row],[CCCM - old]])</f>
        <v>20100</v>
      </c>
      <c r="AB12" s="325">
        <f>IF(OR(tblPiNHistorical[[#This Row],[Education - old]]="", tblPiNHistorical[[#This Row],[Education - old]]=0, tblPiNHistorical[[#This Row],[Education - new]]="", tblPiNHistorical[[#This Row],[Education - new]]=0), "", tblPiNHistorical[[#This Row],[Education - new]]-tblPiNHistorical[[#This Row],[Education - old]])</f>
        <v>-17510.880769230698</v>
      </c>
      <c r="AC12" s="325">
        <f>IF(OR(tblPiNHistorical[[#This Row],[Nutrition - old]]="", tblPiNHistorical[[#This Row],[Nutrition - old]]=0, tblPiNHistorical[[#This Row],[Nutrition - new]]="", tblPiNHistorical[[#This Row],[Nutrition - new]]=0), "", tblPiNHistorical[[#This Row],[Nutrition - new]]-tblPiNHistorical[[#This Row],[Nutrition - old]])</f>
        <v>-5808.5320000000011</v>
      </c>
      <c r="AD12" s="325">
        <f>IF(OR(tblPiNHistorical[[#This Row],[Food Security - old]]="", tblPiNHistorical[[#This Row],[Food Security - old]]=0, tblPiNHistorical[[#This Row],[Food Security - new]]="", tblPiNHistorical[[#This Row],[Food Security - new]]=0), "", tblPiNHistorical[[#This Row],[Food Security - new]]-tblPiNHistorical[[#This Row],[Food Security - old]])</f>
        <v>-13882</v>
      </c>
      <c r="AE12" s="325">
        <f>IF(OR(tblPiNHistorical[[#This Row],[Health - old]]="", tblPiNHistorical[[#This Row],[Health - old]]=0, tblPiNHistorical[[#This Row],[Health - new]]="", tblPiNHistorical[[#This Row],[Health - new]]=0), "", tblPiNHistorical[[#This Row],[Health - new]]-tblPiNHistorical[[#This Row],[Health - old]])</f>
        <v>-4749.6289819878884</v>
      </c>
      <c r="AF12"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-27589.930818256573</v>
      </c>
      <c r="AG12" s="325">
        <f>IF(OR(tblPiNHistorical[[#This Row],[Shelter - old]]="", tblPiNHistorical[[#This Row],[Shelter - old]]=0, tblPiNHistorical[[#This Row],[Shelter - new]]="", tblPiNHistorical[[#This Row],[Shelter - new]]=0), "", tblPiNHistorical[[#This Row],[Shelter - new]]-tblPiNHistorical[[#This Row],[Shelter - old]])</f>
        <v>-17799</v>
      </c>
      <c r="AH12" s="326">
        <f>IF(OR(tblPiNHistorical[[#This Row],[WASH - old]]="", tblPiNHistorical[[#This Row],[WASH - old]]=0, tblPiNHistorical[[#This Row],[WASH - new]]="", tblPiNHistorical[[#This Row],[WASH - new]]=0), "", tblPiNHistorical[[#This Row],[WASH - new]]-tblPiNHistorical[[#This Row],[WASH - old]])</f>
        <v>3713</v>
      </c>
      <c r="AI12" s="327">
        <f>IFERROR(ROUND((tblPiNHistorical[[#This Row],[CCCM - new]] - tblPiNHistorical[[#This Row],[CCCM - old]])/tblPiNHistorical[[#This Row],[CCCM - old]], 1), "")</f>
        <v>0.5</v>
      </c>
      <c r="AJ12" s="328">
        <f>IFERROR(ROUND((tblPiNHistorical[[#This Row],[Education - new]]-tblPiNHistorical[[#This Row],[Education - old]])/tblPiNHistorical[[#This Row],[Education - old]], 1), "")</f>
        <v>-0.8</v>
      </c>
      <c r="AK12" s="328">
        <f>IFERROR(ROUND((tblPiNHistorical[[#This Row],[Nutrition - new]]-tblPiNHistorical[[#This Row],[Nutrition - old]])/tblPiNHistorical[[#This Row],[Nutrition - old]], 1), "")</f>
        <v>-0.5</v>
      </c>
      <c r="AL12" s="328">
        <f>IFERROR(ROUND((tblPiNHistorical[[#This Row],[Food Security - new]]-tblPiNHistorical[[#This Row],[Food Security - old]])/tblPiNHistorical[[#This Row],[Food Security - old]], 1), "")</f>
        <v>-0.4</v>
      </c>
      <c r="AM12" s="328">
        <f>IFERROR(ROUND((tblPiNHistorical[[#This Row],[Health - new]]-tblPiNHistorical[[#This Row],[Health - old]])/tblPiNHistorical[[#This Row],[Health - old]], 1), "")</f>
        <v>-0.8</v>
      </c>
      <c r="AN12" s="328">
        <f>IFERROR(ROUND((tblPiNHistorical[[#This Row],[Overarching Protection - new]]-tblPiNHistorical[[#This Row],[Overarching Protection - old]])/tblPiNHistorical[[#This Row],[Overarching Protection - old]], 1), "")</f>
        <v>-0.5</v>
      </c>
      <c r="AO12" s="328">
        <f>IFERROR(ROUND((tblPiNHistorical[[#This Row],[Shelter - new]]-tblPiNHistorical[[#This Row],[Shelter - old]])/tblPiNHistorical[[#This Row],[Shelter - old]], 1), "")</f>
        <v>-0.3</v>
      </c>
      <c r="AP12" s="37">
        <f>IFERROR(ROUND((tblPiNHistorical[[#This Row],[WASH - new]]-tblPiNHistorical[[#This Row],[WASH - old]])/tblPiNHistorical[[#This Row],[WASH - old]], 1), "")</f>
        <v>0.1</v>
      </c>
      <c r="AQ12" s="21"/>
      <c r="AR12" s="72"/>
      <c r="AS12" s="21"/>
      <c r="AT12" s="72"/>
      <c r="AU12" s="21"/>
      <c r="AV12" s="72"/>
      <c r="AX12" s="17"/>
      <c r="BA12" s="17"/>
      <c r="BC12" s="24"/>
      <c r="BD12" s="21"/>
      <c r="BE12" s="17"/>
    </row>
    <row r="13" spans="1:57" ht="27.95">
      <c r="A13" s="322" t="s">
        <v>166</v>
      </c>
      <c r="B13" s="320" t="s">
        <v>146</v>
      </c>
      <c r="C13" s="213" t="s">
        <v>147</v>
      </c>
      <c r="D13" s="376" t="s">
        <v>167</v>
      </c>
      <c r="E13" s="103" t="s">
        <v>166</v>
      </c>
      <c r="F13" s="98"/>
      <c r="G13" s="33"/>
      <c r="H13" s="340"/>
      <c r="I13" s="95">
        <v>1989</v>
      </c>
      <c r="J13" s="358" t="s">
        <v>149</v>
      </c>
      <c r="K13" s="303">
        <v>1694</v>
      </c>
      <c r="L13" s="364">
        <v>355.67174999999997</v>
      </c>
      <c r="M13" s="303">
        <v>324.28399999999999</v>
      </c>
      <c r="N13" s="303">
        <v>1694</v>
      </c>
      <c r="O13" s="303">
        <v>921.76717777046269</v>
      </c>
      <c r="P13" s="303">
        <v>943</v>
      </c>
      <c r="Q13" s="304">
        <v>1162</v>
      </c>
      <c r="R13" s="303">
        <v>1306.3898305084747</v>
      </c>
      <c r="S13" s="323">
        <v>1989</v>
      </c>
      <c r="T13" s="323">
        <v>177</v>
      </c>
      <c r="U13" s="303">
        <v>173</v>
      </c>
      <c r="V13" s="303">
        <v>1989</v>
      </c>
      <c r="W13" s="303">
        <v>1318.1002940745823</v>
      </c>
      <c r="X13" s="303">
        <v>1253</v>
      </c>
      <c r="Y13" s="303">
        <v>726</v>
      </c>
      <c r="Z13" s="303">
        <v>1243</v>
      </c>
      <c r="AA13" s="324">
        <f>IF(OR(tblPiNHistorical[[#This Row],[CCCM - old]]="", tblPiNHistorical[[#This Row],[CCCM - old]]=0, tblPiNHistorical[[#This Row],[CCCM - new]]="", tblPiNHistorical[[#This Row],[CCCM - new]]=0), "", tblPiNHistorical[[#This Row],[CCCM - new]]-tblPiNHistorical[[#This Row],[CCCM - old]])</f>
        <v>295</v>
      </c>
      <c r="AB13" s="325">
        <f>IF(OR(tblPiNHistorical[[#This Row],[Education - old]]="", tblPiNHistorical[[#This Row],[Education - old]]=0, tblPiNHistorical[[#This Row],[Education - new]]="", tblPiNHistorical[[#This Row],[Education - new]]=0), "", tblPiNHistorical[[#This Row],[Education - new]]-tblPiNHistorical[[#This Row],[Education - old]])</f>
        <v>-178.67174999999997</v>
      </c>
      <c r="AC13" s="325">
        <f>IF(OR(tblPiNHistorical[[#This Row],[Nutrition - old]]="", tblPiNHistorical[[#This Row],[Nutrition - old]]=0, tblPiNHistorical[[#This Row],[Nutrition - new]]="", tblPiNHistorical[[#This Row],[Nutrition - new]]=0), "", tblPiNHistorical[[#This Row],[Nutrition - new]]-tblPiNHistorical[[#This Row],[Nutrition - old]])</f>
        <v>-151.28399999999999</v>
      </c>
      <c r="AD13" s="325">
        <f>IF(OR(tblPiNHistorical[[#This Row],[Food Security - old]]="", tblPiNHistorical[[#This Row],[Food Security - old]]=0, tblPiNHistorical[[#This Row],[Food Security - new]]="", tblPiNHistorical[[#This Row],[Food Security - new]]=0), "", tblPiNHistorical[[#This Row],[Food Security - new]]-tblPiNHistorical[[#This Row],[Food Security - old]])</f>
        <v>295</v>
      </c>
      <c r="AE13" s="325">
        <f>IF(OR(tblPiNHistorical[[#This Row],[Health - old]]="", tblPiNHistorical[[#This Row],[Health - old]]=0, tblPiNHistorical[[#This Row],[Health - new]]="", tblPiNHistorical[[#This Row],[Health - new]]=0), "", tblPiNHistorical[[#This Row],[Health - new]]-tblPiNHistorical[[#This Row],[Health - old]])</f>
        <v>396.33311630411959</v>
      </c>
      <c r="AF13"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310</v>
      </c>
      <c r="AG13" s="325">
        <f>IF(OR(tblPiNHistorical[[#This Row],[Shelter - old]]="", tblPiNHistorical[[#This Row],[Shelter - old]]=0, tblPiNHistorical[[#This Row],[Shelter - new]]="", tblPiNHistorical[[#This Row],[Shelter - new]]=0), "", tblPiNHistorical[[#This Row],[Shelter - new]]-tblPiNHistorical[[#This Row],[Shelter - old]])</f>
        <v>-436</v>
      </c>
      <c r="AH13" s="326">
        <f>IF(OR(tblPiNHistorical[[#This Row],[WASH - old]]="", tblPiNHistorical[[#This Row],[WASH - old]]=0, tblPiNHistorical[[#This Row],[WASH - new]]="", tblPiNHistorical[[#This Row],[WASH - new]]=0), "", tblPiNHistorical[[#This Row],[WASH - new]]-tblPiNHistorical[[#This Row],[WASH - old]])</f>
        <v>-63.389830508474688</v>
      </c>
      <c r="AI13" s="327">
        <f>IFERROR(ROUND((tblPiNHistorical[[#This Row],[CCCM - new]] - tblPiNHistorical[[#This Row],[CCCM - old]])/tblPiNHistorical[[#This Row],[CCCM - old]], 1), "")</f>
        <v>0.2</v>
      </c>
      <c r="AJ13" s="328">
        <f>IFERROR(ROUND((tblPiNHistorical[[#This Row],[Education - new]]-tblPiNHistorical[[#This Row],[Education - old]])/tblPiNHistorical[[#This Row],[Education - old]], 1), "")</f>
        <v>-0.5</v>
      </c>
      <c r="AK13" s="328">
        <f>IFERROR(ROUND((tblPiNHistorical[[#This Row],[Nutrition - new]]-tblPiNHistorical[[#This Row],[Nutrition - old]])/tblPiNHistorical[[#This Row],[Nutrition - old]], 1), "")</f>
        <v>-0.5</v>
      </c>
      <c r="AL13" s="328">
        <f>IFERROR(ROUND((tblPiNHistorical[[#This Row],[Food Security - new]]-tblPiNHistorical[[#This Row],[Food Security - old]])/tblPiNHistorical[[#This Row],[Food Security - old]], 1), "")</f>
        <v>0.2</v>
      </c>
      <c r="AM13" s="328">
        <f>IFERROR(ROUND((tblPiNHistorical[[#This Row],[Health - new]]-tblPiNHistorical[[#This Row],[Health - old]])/tblPiNHistorical[[#This Row],[Health - old]], 1), "")</f>
        <v>0.4</v>
      </c>
      <c r="AN13" s="328">
        <f>IFERROR(ROUND((tblPiNHistorical[[#This Row],[Overarching Protection - new]]-tblPiNHistorical[[#This Row],[Overarching Protection - old]])/tblPiNHistorical[[#This Row],[Overarching Protection - old]], 1), "")</f>
        <v>0.3</v>
      </c>
      <c r="AO13" s="328">
        <f>IFERROR(ROUND((tblPiNHistorical[[#This Row],[Shelter - new]]-tblPiNHistorical[[#This Row],[Shelter - old]])/tblPiNHistorical[[#This Row],[Shelter - old]], 1), "")</f>
        <v>-0.4</v>
      </c>
      <c r="AP13" s="37">
        <f>IFERROR(ROUND((tblPiNHistorical[[#This Row],[WASH - new]]-tblPiNHistorical[[#This Row],[WASH - old]])/tblPiNHistorical[[#This Row],[WASH - old]], 1), "")</f>
        <v>0</v>
      </c>
      <c r="AQ13" s="21"/>
      <c r="AR13" s="72"/>
      <c r="AS13" s="21"/>
      <c r="AT13" s="72"/>
      <c r="AU13" s="21"/>
      <c r="AV13" s="72"/>
      <c r="AX13" s="17"/>
      <c r="BA13" s="17"/>
      <c r="BC13" s="24"/>
      <c r="BD13" s="21"/>
      <c r="BE13" s="17"/>
    </row>
    <row r="14" spans="1:57">
      <c r="A14" s="322" t="s">
        <v>168</v>
      </c>
      <c r="B14" s="320" t="s">
        <v>146</v>
      </c>
      <c r="C14" s="213" t="s">
        <v>147</v>
      </c>
      <c r="D14" s="376" t="s">
        <v>169</v>
      </c>
      <c r="E14" s="103" t="s">
        <v>168</v>
      </c>
      <c r="F14" s="98"/>
      <c r="G14" s="33"/>
      <c r="H14" s="340"/>
      <c r="I14" s="95">
        <v>20334</v>
      </c>
      <c r="J14" s="358" t="s">
        <v>149</v>
      </c>
      <c r="K14" s="303">
        <v>0</v>
      </c>
      <c r="L14" s="364">
        <v>4391.2686678840901</v>
      </c>
      <c r="M14" s="303">
        <v>4297.18</v>
      </c>
      <c r="N14" s="303">
        <v>6010</v>
      </c>
      <c r="O14" s="303">
        <v>399.02346745124026</v>
      </c>
      <c r="P14" s="303">
        <v>12469.328293877221</v>
      </c>
      <c r="Q14" s="304">
        <v>15000</v>
      </c>
      <c r="R14" s="303">
        <v>26475.209213051825</v>
      </c>
      <c r="S14" s="323">
        <v>455</v>
      </c>
      <c r="T14" s="323">
        <v>1548</v>
      </c>
      <c r="U14" s="303">
        <v>1935</v>
      </c>
      <c r="V14" s="303">
        <v>20334</v>
      </c>
      <c r="W14" s="303">
        <v>54.78261484723879</v>
      </c>
      <c r="X14" s="303">
        <v>4066</v>
      </c>
      <c r="Y14" s="303">
        <v>14409</v>
      </c>
      <c r="Z14" s="303">
        <v>10369</v>
      </c>
      <c r="AA14" s="324" t="str">
        <f>IF(OR(tblPiNHistorical[[#This Row],[CCCM - old]]="", tblPiNHistorical[[#This Row],[CCCM - old]]=0, tblPiNHistorical[[#This Row],[CCCM - new]]="", tblPiNHistorical[[#This Row],[CCCM - new]]=0), "", tblPiNHistorical[[#This Row],[CCCM - new]]-tblPiNHistorical[[#This Row],[CCCM - old]])</f>
        <v/>
      </c>
      <c r="AB14" s="325">
        <f>IF(OR(tblPiNHistorical[[#This Row],[Education - old]]="", tblPiNHistorical[[#This Row],[Education - old]]=0, tblPiNHistorical[[#This Row],[Education - new]]="", tblPiNHistorical[[#This Row],[Education - new]]=0), "", tblPiNHistorical[[#This Row],[Education - new]]-tblPiNHistorical[[#This Row],[Education - old]])</f>
        <v>-2843.2686678840901</v>
      </c>
      <c r="AC14" s="325">
        <f>IF(OR(tblPiNHistorical[[#This Row],[Nutrition - old]]="", tblPiNHistorical[[#This Row],[Nutrition - old]]=0, tblPiNHistorical[[#This Row],[Nutrition - new]]="", tblPiNHistorical[[#This Row],[Nutrition - new]]=0), "", tblPiNHistorical[[#This Row],[Nutrition - new]]-tblPiNHistorical[[#This Row],[Nutrition - old]])</f>
        <v>-2362.1800000000003</v>
      </c>
      <c r="AD14" s="325">
        <f>IF(OR(tblPiNHistorical[[#This Row],[Food Security - old]]="", tblPiNHistorical[[#This Row],[Food Security - old]]=0, tblPiNHistorical[[#This Row],[Food Security - new]]="", tblPiNHistorical[[#This Row],[Food Security - new]]=0), "", tblPiNHistorical[[#This Row],[Food Security - new]]-tblPiNHistorical[[#This Row],[Food Security - old]])</f>
        <v>14324</v>
      </c>
      <c r="AE14" s="325">
        <f>IF(OR(tblPiNHistorical[[#This Row],[Health - old]]="", tblPiNHistorical[[#This Row],[Health - old]]=0, tblPiNHistorical[[#This Row],[Health - new]]="", tblPiNHistorical[[#This Row],[Health - new]]=0), "", tblPiNHistorical[[#This Row],[Health - new]]-tblPiNHistorical[[#This Row],[Health - old]])</f>
        <v>-344.24085260400147</v>
      </c>
      <c r="AF14"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-8403.3282938772209</v>
      </c>
      <c r="AG14" s="325">
        <f>IF(OR(tblPiNHistorical[[#This Row],[Shelter - old]]="", tblPiNHistorical[[#This Row],[Shelter - old]]=0, tblPiNHistorical[[#This Row],[Shelter - new]]="", tblPiNHistorical[[#This Row],[Shelter - new]]=0), "", tblPiNHistorical[[#This Row],[Shelter - new]]-tblPiNHistorical[[#This Row],[Shelter - old]])</f>
        <v>-591</v>
      </c>
      <c r="AH14" s="326">
        <f>IF(OR(tblPiNHistorical[[#This Row],[WASH - old]]="", tblPiNHistorical[[#This Row],[WASH - old]]=0, tblPiNHistorical[[#This Row],[WASH - new]]="", tblPiNHistorical[[#This Row],[WASH - new]]=0), "", tblPiNHistorical[[#This Row],[WASH - new]]-tblPiNHistorical[[#This Row],[WASH - old]])</f>
        <v>-16106.209213051825</v>
      </c>
      <c r="AI14" s="327" t="str">
        <f>IFERROR(ROUND((tblPiNHistorical[[#This Row],[CCCM - new]] - tblPiNHistorical[[#This Row],[CCCM - old]])/tblPiNHistorical[[#This Row],[CCCM - old]], 1), "")</f>
        <v/>
      </c>
      <c r="AJ14" s="328">
        <f>IFERROR(ROUND((tblPiNHistorical[[#This Row],[Education - new]]-tblPiNHistorical[[#This Row],[Education - old]])/tblPiNHistorical[[#This Row],[Education - old]], 1), "")</f>
        <v>-0.6</v>
      </c>
      <c r="AK14" s="328">
        <f>IFERROR(ROUND((tblPiNHistorical[[#This Row],[Nutrition - new]]-tblPiNHistorical[[#This Row],[Nutrition - old]])/tblPiNHistorical[[#This Row],[Nutrition - old]], 1), "")</f>
        <v>-0.5</v>
      </c>
      <c r="AL14" s="328">
        <f>IFERROR(ROUND((tblPiNHistorical[[#This Row],[Food Security - new]]-tblPiNHistorical[[#This Row],[Food Security - old]])/tblPiNHistorical[[#This Row],[Food Security - old]], 1), "")</f>
        <v>2.4</v>
      </c>
      <c r="AM14" s="328">
        <f>IFERROR(ROUND((tblPiNHistorical[[#This Row],[Health - new]]-tblPiNHistorical[[#This Row],[Health - old]])/tblPiNHistorical[[#This Row],[Health - old]], 1), "")</f>
        <v>-0.9</v>
      </c>
      <c r="AN14" s="328">
        <f>IFERROR(ROUND((tblPiNHistorical[[#This Row],[Overarching Protection - new]]-tblPiNHistorical[[#This Row],[Overarching Protection - old]])/tblPiNHistorical[[#This Row],[Overarching Protection - old]], 1), "")</f>
        <v>-0.7</v>
      </c>
      <c r="AO14" s="328">
        <f>IFERROR(ROUND((tblPiNHistorical[[#This Row],[Shelter - new]]-tblPiNHistorical[[#This Row],[Shelter - old]])/tblPiNHistorical[[#This Row],[Shelter - old]], 1), "")</f>
        <v>0</v>
      </c>
      <c r="AP14" s="37">
        <f>IFERROR(ROUND((tblPiNHistorical[[#This Row],[WASH - new]]-tblPiNHistorical[[#This Row],[WASH - old]])/tblPiNHistorical[[#This Row],[WASH - old]], 1), "")</f>
        <v>-0.6</v>
      </c>
      <c r="AQ14" s="21"/>
      <c r="AR14" s="72"/>
      <c r="AS14" s="21"/>
      <c r="AT14" s="72"/>
      <c r="AU14" s="21"/>
      <c r="AV14" s="72"/>
      <c r="AX14" s="17"/>
      <c r="BA14" s="17"/>
      <c r="BC14" s="24"/>
      <c r="BD14" s="21"/>
      <c r="BE14" s="17"/>
    </row>
    <row r="15" spans="1:57">
      <c r="A15" s="322" t="s">
        <v>170</v>
      </c>
      <c r="B15" s="320" t="s">
        <v>146</v>
      </c>
      <c r="C15" s="213" t="s">
        <v>147</v>
      </c>
      <c r="D15" s="376" t="s">
        <v>171</v>
      </c>
      <c r="E15" s="103" t="s">
        <v>170</v>
      </c>
      <c r="F15" s="98"/>
      <c r="G15" s="33"/>
      <c r="H15" s="340"/>
      <c r="I15" s="95">
        <v>48358</v>
      </c>
      <c r="J15" s="358" t="s">
        <v>149</v>
      </c>
      <c r="K15" s="303">
        <v>33640</v>
      </c>
      <c r="L15" s="364">
        <v>8662.7649537912203</v>
      </c>
      <c r="M15" s="303">
        <v>8585.1239999999998</v>
      </c>
      <c r="N15" s="303">
        <v>24842</v>
      </c>
      <c r="O15" s="303">
        <v>1689.1678468185819</v>
      </c>
      <c r="P15" s="303">
        <v>24439</v>
      </c>
      <c r="Q15" s="304">
        <v>27205</v>
      </c>
      <c r="R15" s="303">
        <v>49728.33638025594</v>
      </c>
      <c r="S15" s="323">
        <v>23978</v>
      </c>
      <c r="T15" s="323">
        <v>10650</v>
      </c>
      <c r="U15" s="303">
        <v>4765</v>
      </c>
      <c r="V15" s="303">
        <v>16925</v>
      </c>
      <c r="W15" s="303">
        <v>275.00568687056682</v>
      </c>
      <c r="X15" s="303">
        <v>6520</v>
      </c>
      <c r="Y15" s="303">
        <v>30425</v>
      </c>
      <c r="Z15" s="303">
        <v>43522</v>
      </c>
      <c r="AA15" s="324">
        <f>IF(OR(tblPiNHistorical[[#This Row],[CCCM - old]]="", tblPiNHistorical[[#This Row],[CCCM - old]]=0, tblPiNHistorical[[#This Row],[CCCM - new]]="", tblPiNHistorical[[#This Row],[CCCM - new]]=0), "", tblPiNHistorical[[#This Row],[CCCM - new]]-tblPiNHistorical[[#This Row],[CCCM - old]])</f>
        <v>-9662</v>
      </c>
      <c r="AB15" s="325">
        <f>IF(OR(tblPiNHistorical[[#This Row],[Education - old]]="", tblPiNHistorical[[#This Row],[Education - old]]=0, tblPiNHistorical[[#This Row],[Education - new]]="", tblPiNHistorical[[#This Row],[Education - new]]=0), "", tblPiNHistorical[[#This Row],[Education - new]]-tblPiNHistorical[[#This Row],[Education - old]])</f>
        <v>1987.2350462087797</v>
      </c>
      <c r="AC15" s="325">
        <f>IF(OR(tblPiNHistorical[[#This Row],[Nutrition - old]]="", tblPiNHistorical[[#This Row],[Nutrition - old]]=0, tblPiNHistorical[[#This Row],[Nutrition - new]]="", tblPiNHistorical[[#This Row],[Nutrition - new]]=0), "", tblPiNHistorical[[#This Row],[Nutrition - new]]-tblPiNHistorical[[#This Row],[Nutrition - old]])</f>
        <v>-3820.1239999999998</v>
      </c>
      <c r="AD15" s="325">
        <f>IF(OR(tblPiNHistorical[[#This Row],[Food Security - old]]="", tblPiNHistorical[[#This Row],[Food Security - old]]=0, tblPiNHistorical[[#This Row],[Food Security - new]]="", tblPiNHistorical[[#This Row],[Food Security - new]]=0), "", tblPiNHistorical[[#This Row],[Food Security - new]]-tblPiNHistorical[[#This Row],[Food Security - old]])</f>
        <v>-7917</v>
      </c>
      <c r="AE15" s="325">
        <f>IF(OR(tblPiNHistorical[[#This Row],[Health - old]]="", tblPiNHistorical[[#This Row],[Health - old]]=0, tblPiNHistorical[[#This Row],[Health - new]]="", tblPiNHistorical[[#This Row],[Health - new]]=0), "", tblPiNHistorical[[#This Row],[Health - new]]-tblPiNHistorical[[#This Row],[Health - old]])</f>
        <v>-1414.162159948015</v>
      </c>
      <c r="AF15"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-17919</v>
      </c>
      <c r="AG15" s="325">
        <f>IF(OR(tblPiNHistorical[[#This Row],[Shelter - old]]="", tblPiNHistorical[[#This Row],[Shelter - old]]=0, tblPiNHistorical[[#This Row],[Shelter - new]]="", tblPiNHistorical[[#This Row],[Shelter - new]]=0), "", tblPiNHistorical[[#This Row],[Shelter - new]]-tblPiNHistorical[[#This Row],[Shelter - old]])</f>
        <v>3220</v>
      </c>
      <c r="AH15" s="326">
        <f>IF(OR(tblPiNHistorical[[#This Row],[WASH - old]]="", tblPiNHistorical[[#This Row],[WASH - old]]=0, tblPiNHistorical[[#This Row],[WASH - new]]="", tblPiNHistorical[[#This Row],[WASH - new]]=0), "", tblPiNHistorical[[#This Row],[WASH - new]]-tblPiNHistorical[[#This Row],[WASH - old]])</f>
        <v>-6206.3363802559397</v>
      </c>
      <c r="AI15" s="327">
        <f>IFERROR(ROUND((tblPiNHistorical[[#This Row],[CCCM - new]] - tblPiNHistorical[[#This Row],[CCCM - old]])/tblPiNHistorical[[#This Row],[CCCM - old]], 1), "")</f>
        <v>-0.3</v>
      </c>
      <c r="AJ15" s="328">
        <f>IFERROR(ROUND((tblPiNHistorical[[#This Row],[Education - new]]-tblPiNHistorical[[#This Row],[Education - old]])/tblPiNHistorical[[#This Row],[Education - old]], 1), "")</f>
        <v>0.2</v>
      </c>
      <c r="AK15" s="328">
        <f>IFERROR(ROUND((tblPiNHistorical[[#This Row],[Nutrition - new]]-tblPiNHistorical[[#This Row],[Nutrition - old]])/tblPiNHistorical[[#This Row],[Nutrition - old]], 1), "")</f>
        <v>-0.4</v>
      </c>
      <c r="AL15" s="328">
        <f>IFERROR(ROUND((tblPiNHistorical[[#This Row],[Food Security - new]]-tblPiNHistorical[[#This Row],[Food Security - old]])/tblPiNHistorical[[#This Row],[Food Security - old]], 1), "")</f>
        <v>-0.3</v>
      </c>
      <c r="AM15" s="328">
        <f>IFERROR(ROUND((tblPiNHistorical[[#This Row],[Health - new]]-tblPiNHistorical[[#This Row],[Health - old]])/tblPiNHistorical[[#This Row],[Health - old]], 1), "")</f>
        <v>-0.8</v>
      </c>
      <c r="AN15" s="328">
        <f>IFERROR(ROUND((tblPiNHistorical[[#This Row],[Overarching Protection - new]]-tblPiNHistorical[[#This Row],[Overarching Protection - old]])/tblPiNHistorical[[#This Row],[Overarching Protection - old]], 1), "")</f>
        <v>-0.7</v>
      </c>
      <c r="AO15" s="328">
        <f>IFERROR(ROUND((tblPiNHistorical[[#This Row],[Shelter - new]]-tblPiNHistorical[[#This Row],[Shelter - old]])/tblPiNHistorical[[#This Row],[Shelter - old]], 1), "")</f>
        <v>0.1</v>
      </c>
      <c r="AP15" s="37">
        <f>IFERROR(ROUND((tblPiNHistorical[[#This Row],[WASH - new]]-tblPiNHistorical[[#This Row],[WASH - old]])/tblPiNHistorical[[#This Row],[WASH - old]], 1), "")</f>
        <v>-0.1</v>
      </c>
      <c r="AQ15" s="21"/>
      <c r="AR15" s="72"/>
      <c r="AS15" s="21"/>
      <c r="AT15" s="72"/>
      <c r="AU15" s="21"/>
      <c r="AV15" s="72"/>
      <c r="AX15" s="17"/>
      <c r="BA15" s="17"/>
      <c r="BC15" s="24"/>
      <c r="BD15" s="21"/>
      <c r="BE15" s="17"/>
    </row>
    <row r="16" spans="1:57">
      <c r="A16" s="322" t="s">
        <v>172</v>
      </c>
      <c r="B16" s="320" t="s">
        <v>146</v>
      </c>
      <c r="C16" s="213" t="s">
        <v>147</v>
      </c>
      <c r="D16" s="376" t="s">
        <v>173</v>
      </c>
      <c r="E16" s="103" t="s">
        <v>172</v>
      </c>
      <c r="F16" s="98"/>
      <c r="G16" s="33"/>
      <c r="H16" s="340"/>
      <c r="I16" s="95">
        <v>14217</v>
      </c>
      <c r="J16" s="358" t="s">
        <v>149</v>
      </c>
      <c r="K16" s="303">
        <v>6641</v>
      </c>
      <c r="L16" s="364">
        <v>940.95555555555552</v>
      </c>
      <c r="M16" s="303">
        <v>1756.7280000000001</v>
      </c>
      <c r="N16" s="303">
        <v>3570</v>
      </c>
      <c r="O16" s="303">
        <v>803.22971231989993</v>
      </c>
      <c r="P16" s="303">
        <v>7043.2509837962971</v>
      </c>
      <c r="Q16" s="304">
        <v>7518</v>
      </c>
      <c r="R16" s="303">
        <v>9445.347826086956</v>
      </c>
      <c r="S16" s="323">
        <v>14217</v>
      </c>
      <c r="T16" s="323">
        <v>2546</v>
      </c>
      <c r="U16" s="303">
        <v>1290</v>
      </c>
      <c r="V16" s="303">
        <v>14217</v>
      </c>
      <c r="W16" s="303">
        <v>201.58532572932657</v>
      </c>
      <c r="X16" s="303">
        <v>8109</v>
      </c>
      <c r="Y16" s="303">
        <v>8846</v>
      </c>
      <c r="Z16" s="303">
        <v>13901</v>
      </c>
      <c r="AA16" s="324">
        <f>IF(OR(tblPiNHistorical[[#This Row],[CCCM - old]]="", tblPiNHistorical[[#This Row],[CCCM - old]]=0, tblPiNHistorical[[#This Row],[CCCM - new]]="", tblPiNHistorical[[#This Row],[CCCM - new]]=0), "", tblPiNHistorical[[#This Row],[CCCM - new]]-tblPiNHistorical[[#This Row],[CCCM - old]])</f>
        <v>7576</v>
      </c>
      <c r="AB16" s="325">
        <f>IF(OR(tblPiNHistorical[[#This Row],[Education - old]]="", tblPiNHistorical[[#This Row],[Education - old]]=0, tblPiNHistorical[[#This Row],[Education - new]]="", tblPiNHistorical[[#This Row],[Education - new]]=0), "", tblPiNHistorical[[#This Row],[Education - new]]-tblPiNHistorical[[#This Row],[Education - old]])</f>
        <v>1605.0444444444445</v>
      </c>
      <c r="AC16" s="325">
        <f>IF(OR(tblPiNHistorical[[#This Row],[Nutrition - old]]="", tblPiNHistorical[[#This Row],[Nutrition - old]]=0, tblPiNHistorical[[#This Row],[Nutrition - new]]="", tblPiNHistorical[[#This Row],[Nutrition - new]]=0), "", tblPiNHistorical[[#This Row],[Nutrition - new]]-tblPiNHistorical[[#This Row],[Nutrition - old]])</f>
        <v>-466.72800000000007</v>
      </c>
      <c r="AD16" s="325">
        <f>IF(OR(tblPiNHistorical[[#This Row],[Food Security - old]]="", tblPiNHistorical[[#This Row],[Food Security - old]]=0, tblPiNHistorical[[#This Row],[Food Security - new]]="", tblPiNHistorical[[#This Row],[Food Security - new]]=0), "", tblPiNHistorical[[#This Row],[Food Security - new]]-tblPiNHistorical[[#This Row],[Food Security - old]])</f>
        <v>10647</v>
      </c>
      <c r="AE16" s="325">
        <f>IF(OR(tblPiNHistorical[[#This Row],[Health - old]]="", tblPiNHistorical[[#This Row],[Health - old]]=0, tblPiNHistorical[[#This Row],[Health - new]]="", tblPiNHistorical[[#This Row],[Health - new]]=0), "", tblPiNHistorical[[#This Row],[Health - new]]-tblPiNHistorical[[#This Row],[Health - old]])</f>
        <v>-601.64438659057339</v>
      </c>
      <c r="AF16"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1065.7490162037029</v>
      </c>
      <c r="AG16" s="325">
        <f>IF(OR(tblPiNHistorical[[#This Row],[Shelter - old]]="", tblPiNHistorical[[#This Row],[Shelter - old]]=0, tblPiNHistorical[[#This Row],[Shelter - new]]="", tblPiNHistorical[[#This Row],[Shelter - new]]=0), "", tblPiNHistorical[[#This Row],[Shelter - new]]-tblPiNHistorical[[#This Row],[Shelter - old]])</f>
        <v>1328</v>
      </c>
      <c r="AH16" s="326">
        <f>IF(OR(tblPiNHistorical[[#This Row],[WASH - old]]="", tblPiNHistorical[[#This Row],[WASH - old]]=0, tblPiNHistorical[[#This Row],[WASH - new]]="", tblPiNHistorical[[#This Row],[WASH - new]]=0), "", tblPiNHistorical[[#This Row],[WASH - new]]-tblPiNHistorical[[#This Row],[WASH - old]])</f>
        <v>4455.652173913044</v>
      </c>
      <c r="AI16" s="327">
        <f>IFERROR(ROUND((tblPiNHistorical[[#This Row],[CCCM - new]] - tblPiNHistorical[[#This Row],[CCCM - old]])/tblPiNHistorical[[#This Row],[CCCM - old]], 1), "")</f>
        <v>1.1000000000000001</v>
      </c>
      <c r="AJ16" s="328">
        <f>IFERROR(ROUND((tblPiNHistorical[[#This Row],[Education - new]]-tblPiNHistorical[[#This Row],[Education - old]])/tblPiNHistorical[[#This Row],[Education - old]], 1), "")</f>
        <v>1.7</v>
      </c>
      <c r="AK16" s="328">
        <f>IFERROR(ROUND((tblPiNHistorical[[#This Row],[Nutrition - new]]-tblPiNHistorical[[#This Row],[Nutrition - old]])/tblPiNHistorical[[#This Row],[Nutrition - old]], 1), "")</f>
        <v>-0.3</v>
      </c>
      <c r="AL16" s="328">
        <f>IFERROR(ROUND((tblPiNHistorical[[#This Row],[Food Security - new]]-tblPiNHistorical[[#This Row],[Food Security - old]])/tblPiNHistorical[[#This Row],[Food Security - old]], 1), "")</f>
        <v>3</v>
      </c>
      <c r="AM16" s="328">
        <f>IFERROR(ROUND((tblPiNHistorical[[#This Row],[Health - new]]-tblPiNHistorical[[#This Row],[Health - old]])/tblPiNHistorical[[#This Row],[Health - old]], 1), "")</f>
        <v>-0.7</v>
      </c>
      <c r="AN16" s="328">
        <f>IFERROR(ROUND((tblPiNHistorical[[#This Row],[Overarching Protection - new]]-tblPiNHistorical[[#This Row],[Overarching Protection - old]])/tblPiNHistorical[[#This Row],[Overarching Protection - old]], 1), "")</f>
        <v>0.2</v>
      </c>
      <c r="AO16" s="328">
        <f>IFERROR(ROUND((tblPiNHistorical[[#This Row],[Shelter - new]]-tblPiNHistorical[[#This Row],[Shelter - old]])/tblPiNHistorical[[#This Row],[Shelter - old]], 1), "")</f>
        <v>0.2</v>
      </c>
      <c r="AP16" s="37">
        <f>IFERROR(ROUND((tblPiNHistorical[[#This Row],[WASH - new]]-tblPiNHistorical[[#This Row],[WASH - old]])/tblPiNHistorical[[#This Row],[WASH - old]], 1), "")</f>
        <v>0.5</v>
      </c>
      <c r="AQ16" s="21"/>
      <c r="AR16" s="72"/>
      <c r="AS16" s="21"/>
      <c r="AT16" s="72"/>
      <c r="AU16" s="21"/>
      <c r="AV16" s="72"/>
      <c r="AX16" s="17"/>
      <c r="BA16" s="17"/>
      <c r="BC16" s="24"/>
      <c r="BD16" s="21"/>
      <c r="BE16" s="17"/>
    </row>
    <row r="17" spans="1:42">
      <c r="A17" s="322" t="s">
        <v>174</v>
      </c>
      <c r="B17" s="320" t="s">
        <v>146</v>
      </c>
      <c r="C17" s="213" t="s">
        <v>147</v>
      </c>
      <c r="D17" s="376" t="s">
        <v>175</v>
      </c>
      <c r="E17" s="103" t="s">
        <v>174</v>
      </c>
      <c r="F17" s="98"/>
      <c r="G17" s="33"/>
      <c r="H17" s="340"/>
      <c r="I17" s="95">
        <v>3149</v>
      </c>
      <c r="J17" s="358" t="s">
        <v>149</v>
      </c>
      <c r="K17" s="303"/>
      <c r="L17" s="364"/>
      <c r="M17" s="303"/>
      <c r="N17" s="303"/>
      <c r="O17" s="303"/>
      <c r="P17" s="303"/>
      <c r="Q17" s="304"/>
      <c r="R17" s="303"/>
      <c r="S17" s="323">
        <v>3149</v>
      </c>
      <c r="T17" s="323">
        <v>128</v>
      </c>
      <c r="U17" s="303">
        <v>366</v>
      </c>
      <c r="V17" s="303">
        <v>3149</v>
      </c>
      <c r="W17" s="303"/>
      <c r="X17" s="303">
        <v>647</v>
      </c>
      <c r="Y17" s="303">
        <v>1125</v>
      </c>
      <c r="Z17" s="303">
        <v>1968</v>
      </c>
      <c r="AA17" s="324" t="str">
        <f>IF(OR(tblPiNHistorical[[#This Row],[CCCM - old]]="", tblPiNHistorical[[#This Row],[CCCM - old]]=0, tblPiNHistorical[[#This Row],[CCCM - new]]="", tblPiNHistorical[[#This Row],[CCCM - new]]=0), "", tblPiNHistorical[[#This Row],[CCCM - new]]-tblPiNHistorical[[#This Row],[CCCM - old]])</f>
        <v/>
      </c>
      <c r="AB17" s="325" t="str">
        <f>IF(OR(tblPiNHistorical[[#This Row],[Education - old]]="", tblPiNHistorical[[#This Row],[Education - old]]=0, tblPiNHistorical[[#This Row],[Education - new]]="", tblPiNHistorical[[#This Row],[Education - new]]=0), "", tblPiNHistorical[[#This Row],[Education - new]]-tblPiNHistorical[[#This Row],[Education - old]])</f>
        <v/>
      </c>
      <c r="AC17" s="325" t="str">
        <f>IF(OR(tblPiNHistorical[[#This Row],[Nutrition - old]]="", tblPiNHistorical[[#This Row],[Nutrition - old]]=0, tblPiNHistorical[[#This Row],[Nutrition - new]]="", tblPiNHistorical[[#This Row],[Nutrition - new]]=0), "", tblPiNHistorical[[#This Row],[Nutrition - new]]-tblPiNHistorical[[#This Row],[Nutrition - old]])</f>
        <v/>
      </c>
      <c r="AD17"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7" s="325" t="str">
        <f>IF(OR(tblPiNHistorical[[#This Row],[Health - old]]="", tblPiNHistorical[[#This Row],[Health - old]]=0, tblPiNHistorical[[#This Row],[Health - new]]="", tblPiNHistorical[[#This Row],[Health - new]]=0), "", tblPiNHistorical[[#This Row],[Health - new]]-tblPiNHistorical[[#This Row],[Health - old]])</f>
        <v/>
      </c>
      <c r="AF17"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7" s="325" t="str">
        <f>IF(OR(tblPiNHistorical[[#This Row],[Shelter - old]]="", tblPiNHistorical[[#This Row],[Shelter - old]]=0, tblPiNHistorical[[#This Row],[Shelter - new]]="", tblPiNHistorical[[#This Row],[Shelter - new]]=0), "", tblPiNHistorical[[#This Row],[Shelter - new]]-tblPiNHistorical[[#This Row],[Shelter - old]])</f>
        <v/>
      </c>
      <c r="AH17" s="326" t="str">
        <f>IF(OR(tblPiNHistorical[[#This Row],[WASH - old]]="", tblPiNHistorical[[#This Row],[WASH - old]]=0, tblPiNHistorical[[#This Row],[WASH - new]]="", tblPiNHistorical[[#This Row],[WASH - new]]=0), "", tblPiNHistorical[[#This Row],[WASH - new]]-tblPiNHistorical[[#This Row],[WASH - old]])</f>
        <v/>
      </c>
      <c r="AI17" s="327" t="str">
        <f>IFERROR(ROUND((tblPiNHistorical[[#This Row],[CCCM - new]] - tblPiNHistorical[[#This Row],[CCCM - old]])/tblPiNHistorical[[#This Row],[CCCM - old]], 1), "")</f>
        <v/>
      </c>
      <c r="AJ17" s="328" t="str">
        <f>IFERROR(ROUND((tblPiNHistorical[[#This Row],[Education - new]]-tblPiNHistorical[[#This Row],[Education - old]])/tblPiNHistorical[[#This Row],[Education - old]], 1), "")</f>
        <v/>
      </c>
      <c r="AK17" s="328" t="str">
        <f>IFERROR(ROUND((tblPiNHistorical[[#This Row],[Nutrition - new]]-tblPiNHistorical[[#This Row],[Nutrition - old]])/tblPiNHistorical[[#This Row],[Nutrition - old]], 1), "")</f>
        <v/>
      </c>
      <c r="AL17" s="328" t="str">
        <f>IFERROR(ROUND((tblPiNHistorical[[#This Row],[Food Security - new]]-tblPiNHistorical[[#This Row],[Food Security - old]])/tblPiNHistorical[[#This Row],[Food Security - old]], 1), "")</f>
        <v/>
      </c>
      <c r="AM17" s="328" t="str">
        <f>IFERROR(ROUND((tblPiNHistorical[[#This Row],[Health - new]]-tblPiNHistorical[[#This Row],[Health - old]])/tblPiNHistorical[[#This Row],[Health - old]], 1), "")</f>
        <v/>
      </c>
      <c r="AN17" s="328" t="str">
        <f>IFERROR(ROUND((tblPiNHistorical[[#This Row],[Overarching Protection - new]]-tblPiNHistorical[[#This Row],[Overarching Protection - old]])/tblPiNHistorical[[#This Row],[Overarching Protection - old]], 1), "")</f>
        <v/>
      </c>
      <c r="AO17" s="328" t="str">
        <f>IFERROR(ROUND((tblPiNHistorical[[#This Row],[Shelter - new]]-tblPiNHistorical[[#This Row],[Shelter - old]])/tblPiNHistorical[[#This Row],[Shelter - old]], 1), "")</f>
        <v/>
      </c>
      <c r="AP17" s="37" t="str">
        <f>IFERROR(ROUND((tblPiNHistorical[[#This Row],[WASH - new]]-tblPiNHistorical[[#This Row],[WASH - old]])/tblPiNHistorical[[#This Row],[WASH - old]], 1), "")</f>
        <v/>
      </c>
    </row>
    <row r="18" spans="1:42">
      <c r="A18" s="322" t="s">
        <v>176</v>
      </c>
      <c r="B18" s="320" t="s">
        <v>146</v>
      </c>
      <c r="C18" s="213" t="s">
        <v>147</v>
      </c>
      <c r="D18" s="376" t="s">
        <v>177</v>
      </c>
      <c r="E18" s="103" t="s">
        <v>176</v>
      </c>
      <c r="F18" s="98"/>
      <c r="G18" s="33"/>
      <c r="H18" s="340"/>
      <c r="I18" s="95">
        <v>59894</v>
      </c>
      <c r="J18" s="358" t="s">
        <v>149</v>
      </c>
      <c r="K18" s="303">
        <v>23522</v>
      </c>
      <c r="L18" s="364">
        <v>6782.1776470588238</v>
      </c>
      <c r="M18" s="303">
        <v>10308.02</v>
      </c>
      <c r="N18" s="303">
        <v>11019</v>
      </c>
      <c r="O18" s="303">
        <v>26654.193088251737</v>
      </c>
      <c r="P18" s="303">
        <v>43377.191507812502</v>
      </c>
      <c r="Q18" s="304">
        <v>34341</v>
      </c>
      <c r="R18" s="303">
        <v>46935.972881355934</v>
      </c>
      <c r="S18" s="323">
        <v>59894</v>
      </c>
      <c r="T18" s="323">
        <v>10299</v>
      </c>
      <c r="U18" s="303">
        <v>6063</v>
      </c>
      <c r="V18" s="303">
        <v>14328</v>
      </c>
      <c r="W18" s="303">
        <v>20068.709140014478</v>
      </c>
      <c r="X18" s="303">
        <v>11360</v>
      </c>
      <c r="Y18" s="303">
        <v>46090</v>
      </c>
      <c r="Z18" s="303">
        <v>58490</v>
      </c>
      <c r="AA18" s="324">
        <f>IF(OR(tblPiNHistorical[[#This Row],[CCCM - old]]="", tblPiNHistorical[[#This Row],[CCCM - old]]=0, tblPiNHistorical[[#This Row],[CCCM - new]]="", tblPiNHistorical[[#This Row],[CCCM - new]]=0), "", tblPiNHistorical[[#This Row],[CCCM - new]]-tblPiNHistorical[[#This Row],[CCCM - old]])</f>
        <v>36372</v>
      </c>
      <c r="AB18" s="325">
        <f>IF(OR(tblPiNHistorical[[#This Row],[Education - old]]="", tblPiNHistorical[[#This Row],[Education - old]]=0, tblPiNHistorical[[#This Row],[Education - new]]="", tblPiNHistorical[[#This Row],[Education - new]]=0), "", tblPiNHistorical[[#This Row],[Education - new]]-tblPiNHistorical[[#This Row],[Education - old]])</f>
        <v>3516.8223529411762</v>
      </c>
      <c r="AC18" s="325">
        <f>IF(OR(tblPiNHistorical[[#This Row],[Nutrition - old]]="", tblPiNHistorical[[#This Row],[Nutrition - old]]=0, tblPiNHistorical[[#This Row],[Nutrition - new]]="", tblPiNHistorical[[#This Row],[Nutrition - new]]=0), "", tblPiNHistorical[[#This Row],[Nutrition - new]]-tblPiNHistorical[[#This Row],[Nutrition - old]])</f>
        <v>-4245.0200000000004</v>
      </c>
      <c r="AD18" s="325">
        <f>IF(OR(tblPiNHistorical[[#This Row],[Food Security - old]]="", tblPiNHistorical[[#This Row],[Food Security - old]]=0, tblPiNHistorical[[#This Row],[Food Security - new]]="", tblPiNHistorical[[#This Row],[Food Security - new]]=0), "", tblPiNHistorical[[#This Row],[Food Security - new]]-tblPiNHistorical[[#This Row],[Food Security - old]])</f>
        <v>3309</v>
      </c>
      <c r="AE18" s="325">
        <f>IF(OR(tblPiNHistorical[[#This Row],[Health - old]]="", tblPiNHistorical[[#This Row],[Health - old]]=0, tblPiNHistorical[[#This Row],[Health - new]]="", tblPiNHistorical[[#This Row],[Health - new]]=0), "", tblPiNHistorical[[#This Row],[Health - new]]-tblPiNHistorical[[#This Row],[Health - old]])</f>
        <v>-6585.483948237259</v>
      </c>
      <c r="AF18"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-32017.191507812502</v>
      </c>
      <c r="AG18" s="325">
        <f>IF(OR(tblPiNHistorical[[#This Row],[Shelter - old]]="", tblPiNHistorical[[#This Row],[Shelter - old]]=0, tblPiNHistorical[[#This Row],[Shelter - new]]="", tblPiNHistorical[[#This Row],[Shelter - new]]=0), "", tblPiNHistorical[[#This Row],[Shelter - new]]-tblPiNHistorical[[#This Row],[Shelter - old]])</f>
        <v>11749</v>
      </c>
      <c r="AH18" s="326">
        <f>IF(OR(tblPiNHistorical[[#This Row],[WASH - old]]="", tblPiNHistorical[[#This Row],[WASH - old]]=0, tblPiNHistorical[[#This Row],[WASH - new]]="", tblPiNHistorical[[#This Row],[WASH - new]]=0), "", tblPiNHistorical[[#This Row],[WASH - new]]-tblPiNHistorical[[#This Row],[WASH - old]])</f>
        <v>11554.027118644066</v>
      </c>
      <c r="AI18" s="327">
        <f>IFERROR(ROUND((tblPiNHistorical[[#This Row],[CCCM - new]] - tblPiNHistorical[[#This Row],[CCCM - old]])/tblPiNHistorical[[#This Row],[CCCM - old]], 1), "")</f>
        <v>1.5</v>
      </c>
      <c r="AJ18" s="328">
        <f>IFERROR(ROUND((tblPiNHistorical[[#This Row],[Education - new]]-tblPiNHistorical[[#This Row],[Education - old]])/tblPiNHistorical[[#This Row],[Education - old]], 1), "")</f>
        <v>0.5</v>
      </c>
      <c r="AK18" s="328">
        <f>IFERROR(ROUND((tblPiNHistorical[[#This Row],[Nutrition - new]]-tblPiNHistorical[[#This Row],[Nutrition - old]])/tblPiNHistorical[[#This Row],[Nutrition - old]], 1), "")</f>
        <v>-0.4</v>
      </c>
      <c r="AL18" s="328">
        <f>IFERROR(ROUND((tblPiNHistorical[[#This Row],[Food Security - new]]-tblPiNHistorical[[#This Row],[Food Security - old]])/tblPiNHistorical[[#This Row],[Food Security - old]], 1), "")</f>
        <v>0.3</v>
      </c>
      <c r="AM18" s="328">
        <f>IFERROR(ROUND((tblPiNHistorical[[#This Row],[Health - new]]-tblPiNHistorical[[#This Row],[Health - old]])/tblPiNHistorical[[#This Row],[Health - old]], 1), "")</f>
        <v>-0.2</v>
      </c>
      <c r="AN18" s="328">
        <f>IFERROR(ROUND((tblPiNHistorical[[#This Row],[Overarching Protection - new]]-tblPiNHistorical[[#This Row],[Overarching Protection - old]])/tblPiNHistorical[[#This Row],[Overarching Protection - old]], 1), "")</f>
        <v>-0.7</v>
      </c>
      <c r="AO18" s="328">
        <f>IFERROR(ROUND((tblPiNHistorical[[#This Row],[Shelter - new]]-tblPiNHistorical[[#This Row],[Shelter - old]])/tblPiNHistorical[[#This Row],[Shelter - old]], 1), "")</f>
        <v>0.3</v>
      </c>
      <c r="AP18" s="37">
        <f>IFERROR(ROUND((tblPiNHistorical[[#This Row],[WASH - new]]-tblPiNHistorical[[#This Row],[WASH - old]])/tblPiNHistorical[[#This Row],[WASH - old]], 1), "")</f>
        <v>0.2</v>
      </c>
    </row>
    <row r="19" spans="1:42">
      <c r="A19" s="322" t="s">
        <v>178</v>
      </c>
      <c r="B19" s="320" t="s">
        <v>146</v>
      </c>
      <c r="C19" s="213" t="s">
        <v>147</v>
      </c>
      <c r="D19" s="376" t="s">
        <v>179</v>
      </c>
      <c r="E19" s="103" t="s">
        <v>178</v>
      </c>
      <c r="F19" s="98"/>
      <c r="G19" s="33"/>
      <c r="H19" s="340"/>
      <c r="I19" s="95"/>
      <c r="J19" s="358" t="s">
        <v>149</v>
      </c>
      <c r="K19" s="303">
        <v>0</v>
      </c>
      <c r="L19" s="364">
        <v>0</v>
      </c>
      <c r="M19" s="303">
        <v>0</v>
      </c>
      <c r="N19" s="303"/>
      <c r="O19" s="303">
        <v>0</v>
      </c>
      <c r="P19" s="303">
        <v>0</v>
      </c>
      <c r="Q19" s="304">
        <v>0</v>
      </c>
      <c r="R19" s="303">
        <v>0</v>
      </c>
      <c r="S19" s="323">
        <v>0</v>
      </c>
      <c r="T19" s="323"/>
      <c r="U19" s="303">
        <v>0</v>
      </c>
      <c r="V19" s="303"/>
      <c r="W19" s="303">
        <v>0</v>
      </c>
      <c r="X19" s="303">
        <v>0</v>
      </c>
      <c r="Y19" s="303">
        <v>0</v>
      </c>
      <c r="Z19" s="303">
        <v>0</v>
      </c>
      <c r="AA19" s="324" t="str">
        <f>IF(OR(tblPiNHistorical[[#This Row],[CCCM - old]]="", tblPiNHistorical[[#This Row],[CCCM - old]]=0, tblPiNHistorical[[#This Row],[CCCM - new]]="", tblPiNHistorical[[#This Row],[CCCM - new]]=0), "", tblPiNHistorical[[#This Row],[CCCM - new]]-tblPiNHistorical[[#This Row],[CCCM - old]])</f>
        <v/>
      </c>
      <c r="AB19" s="325" t="str">
        <f>IF(OR(tblPiNHistorical[[#This Row],[Education - old]]="", tblPiNHistorical[[#This Row],[Education - old]]=0, tblPiNHistorical[[#This Row],[Education - new]]="", tblPiNHistorical[[#This Row],[Education - new]]=0), "", tblPiNHistorical[[#This Row],[Education - new]]-tblPiNHistorical[[#This Row],[Education - old]])</f>
        <v/>
      </c>
      <c r="AC19" s="325" t="str">
        <f>IF(OR(tblPiNHistorical[[#This Row],[Nutrition - old]]="", tblPiNHistorical[[#This Row],[Nutrition - old]]=0, tblPiNHistorical[[#This Row],[Nutrition - new]]="", tblPiNHistorical[[#This Row],[Nutrition - new]]=0), "", tblPiNHistorical[[#This Row],[Nutrition - new]]-tblPiNHistorical[[#This Row],[Nutrition - old]])</f>
        <v/>
      </c>
      <c r="AD19"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9" s="325" t="str">
        <f>IF(OR(tblPiNHistorical[[#This Row],[Health - old]]="", tblPiNHistorical[[#This Row],[Health - old]]=0, tblPiNHistorical[[#This Row],[Health - new]]="", tblPiNHistorical[[#This Row],[Health - new]]=0), "", tblPiNHistorical[[#This Row],[Health - new]]-tblPiNHistorical[[#This Row],[Health - old]])</f>
        <v/>
      </c>
      <c r="AF19"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9" s="325" t="str">
        <f>IF(OR(tblPiNHistorical[[#This Row],[Shelter - old]]="", tblPiNHistorical[[#This Row],[Shelter - old]]=0, tblPiNHistorical[[#This Row],[Shelter - new]]="", tblPiNHistorical[[#This Row],[Shelter - new]]=0), "", tblPiNHistorical[[#This Row],[Shelter - new]]-tblPiNHistorical[[#This Row],[Shelter - old]])</f>
        <v/>
      </c>
      <c r="AH19" s="326" t="str">
        <f>IF(OR(tblPiNHistorical[[#This Row],[WASH - old]]="", tblPiNHistorical[[#This Row],[WASH - old]]=0, tblPiNHistorical[[#This Row],[WASH - new]]="", tblPiNHistorical[[#This Row],[WASH - new]]=0), "", tblPiNHistorical[[#This Row],[WASH - new]]-tblPiNHistorical[[#This Row],[WASH - old]])</f>
        <v/>
      </c>
      <c r="AI19" s="327" t="str">
        <f>IFERROR(ROUND((tblPiNHistorical[[#This Row],[CCCM - new]] - tblPiNHistorical[[#This Row],[CCCM - old]])/tblPiNHistorical[[#This Row],[CCCM - old]], 1), "")</f>
        <v/>
      </c>
      <c r="AJ19" s="328" t="str">
        <f>IFERROR(ROUND((tblPiNHistorical[[#This Row],[Education - new]]-tblPiNHistorical[[#This Row],[Education - old]])/tblPiNHistorical[[#This Row],[Education - old]], 1), "")</f>
        <v/>
      </c>
      <c r="AK19" s="328" t="str">
        <f>IFERROR(ROUND((tblPiNHistorical[[#This Row],[Nutrition - new]]-tblPiNHistorical[[#This Row],[Nutrition - old]])/tblPiNHistorical[[#This Row],[Nutrition - old]], 1), "")</f>
        <v/>
      </c>
      <c r="AL19" s="328" t="str">
        <f>IFERROR(ROUND((tblPiNHistorical[[#This Row],[Food Security - new]]-tblPiNHistorical[[#This Row],[Food Security - old]])/tblPiNHistorical[[#This Row],[Food Security - old]], 1), "")</f>
        <v/>
      </c>
      <c r="AM19" s="328" t="str">
        <f>IFERROR(ROUND((tblPiNHistorical[[#This Row],[Health - new]]-tblPiNHistorical[[#This Row],[Health - old]])/tblPiNHistorical[[#This Row],[Health - old]], 1), "")</f>
        <v/>
      </c>
      <c r="AN19" s="328" t="str">
        <f>IFERROR(ROUND((tblPiNHistorical[[#This Row],[Overarching Protection - new]]-tblPiNHistorical[[#This Row],[Overarching Protection - old]])/tblPiNHistorical[[#This Row],[Overarching Protection - old]], 1), "")</f>
        <v/>
      </c>
      <c r="AO19" s="328" t="str">
        <f>IFERROR(ROUND((tblPiNHistorical[[#This Row],[Shelter - new]]-tblPiNHistorical[[#This Row],[Shelter - old]])/tblPiNHistorical[[#This Row],[Shelter - old]], 1), "")</f>
        <v/>
      </c>
      <c r="AP19" s="37" t="str">
        <f>IFERROR(ROUND((tblPiNHistorical[[#This Row],[WASH - new]]-tblPiNHistorical[[#This Row],[WASH - old]])/tblPiNHistorical[[#This Row],[WASH - old]], 1), "")</f>
        <v/>
      </c>
    </row>
    <row r="20" spans="1:42">
      <c r="A20" s="322" t="s">
        <v>180</v>
      </c>
      <c r="B20" s="320" t="s">
        <v>146</v>
      </c>
      <c r="C20" s="213" t="s">
        <v>147</v>
      </c>
      <c r="D20" s="376" t="s">
        <v>181</v>
      </c>
      <c r="E20" s="103" t="s">
        <v>180</v>
      </c>
      <c r="F20" s="98"/>
      <c r="G20" s="33"/>
      <c r="H20" s="340"/>
      <c r="I20" s="95">
        <v>1742</v>
      </c>
      <c r="J20" s="358" t="s">
        <v>149</v>
      </c>
      <c r="K20" s="303">
        <v>2251</v>
      </c>
      <c r="L20" s="364">
        <v>1038.905</v>
      </c>
      <c r="M20" s="303">
        <v>977.88000000000011</v>
      </c>
      <c r="N20" s="303">
        <v>5952</v>
      </c>
      <c r="O20" s="303">
        <v>4068.6911237742952</v>
      </c>
      <c r="P20" s="303">
        <v>2680.3549291283343</v>
      </c>
      <c r="Q20" s="304">
        <v>5952</v>
      </c>
      <c r="R20" s="303">
        <v>5654.4</v>
      </c>
      <c r="S20" s="323">
        <v>1742</v>
      </c>
      <c r="T20" s="323"/>
      <c r="U20" s="303">
        <v>180</v>
      </c>
      <c r="V20" s="303">
        <v>1742</v>
      </c>
      <c r="W20" s="303">
        <v>1207.4289233807724</v>
      </c>
      <c r="X20" s="303">
        <v>683</v>
      </c>
      <c r="Y20" s="303">
        <v>0</v>
      </c>
      <c r="Z20" s="303">
        <v>0</v>
      </c>
      <c r="AA20" s="324">
        <f>IF(OR(tblPiNHistorical[[#This Row],[CCCM - old]]="", tblPiNHistorical[[#This Row],[CCCM - old]]=0, tblPiNHistorical[[#This Row],[CCCM - new]]="", tblPiNHistorical[[#This Row],[CCCM - new]]=0), "", tblPiNHistorical[[#This Row],[CCCM - new]]-tblPiNHistorical[[#This Row],[CCCM - old]])</f>
        <v>-509</v>
      </c>
      <c r="AB20" s="325" t="str">
        <f>IF(OR(tblPiNHistorical[[#This Row],[Education - old]]="", tblPiNHistorical[[#This Row],[Education - old]]=0, tblPiNHistorical[[#This Row],[Education - new]]="", tblPiNHistorical[[#This Row],[Education - new]]=0), "", tblPiNHistorical[[#This Row],[Education - new]]-tblPiNHistorical[[#This Row],[Education - old]])</f>
        <v/>
      </c>
      <c r="AC20" s="325">
        <f>IF(OR(tblPiNHistorical[[#This Row],[Nutrition - old]]="", tblPiNHistorical[[#This Row],[Nutrition - old]]=0, tblPiNHistorical[[#This Row],[Nutrition - new]]="", tblPiNHistorical[[#This Row],[Nutrition - new]]=0), "", tblPiNHistorical[[#This Row],[Nutrition - new]]-tblPiNHistorical[[#This Row],[Nutrition - old]])</f>
        <v>-797.88000000000011</v>
      </c>
      <c r="AD20" s="325">
        <f>IF(OR(tblPiNHistorical[[#This Row],[Food Security - old]]="", tblPiNHistorical[[#This Row],[Food Security - old]]=0, tblPiNHistorical[[#This Row],[Food Security - new]]="", tblPiNHistorical[[#This Row],[Food Security - new]]=0), "", tblPiNHistorical[[#This Row],[Food Security - new]]-tblPiNHistorical[[#This Row],[Food Security - old]])</f>
        <v>-4210</v>
      </c>
      <c r="AE20" s="325">
        <f>IF(OR(tblPiNHistorical[[#This Row],[Health - old]]="", tblPiNHistorical[[#This Row],[Health - old]]=0, tblPiNHistorical[[#This Row],[Health - new]]="", tblPiNHistorical[[#This Row],[Health - new]]=0), "", tblPiNHistorical[[#This Row],[Health - new]]-tblPiNHistorical[[#This Row],[Health - old]])</f>
        <v>-2861.262200393523</v>
      </c>
      <c r="AF20"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-1997.3549291283343</v>
      </c>
      <c r="AG20" s="325" t="str">
        <f>IF(OR(tblPiNHistorical[[#This Row],[Shelter - old]]="", tblPiNHistorical[[#This Row],[Shelter - old]]=0, tblPiNHistorical[[#This Row],[Shelter - new]]="", tblPiNHistorical[[#This Row],[Shelter - new]]=0), "", tblPiNHistorical[[#This Row],[Shelter - new]]-tblPiNHistorical[[#This Row],[Shelter - old]])</f>
        <v/>
      </c>
      <c r="AH20" s="326" t="str">
        <f>IF(OR(tblPiNHistorical[[#This Row],[WASH - old]]="", tblPiNHistorical[[#This Row],[WASH - old]]=0, tblPiNHistorical[[#This Row],[WASH - new]]="", tblPiNHistorical[[#This Row],[WASH - new]]=0), "", tblPiNHistorical[[#This Row],[WASH - new]]-tblPiNHistorical[[#This Row],[WASH - old]])</f>
        <v/>
      </c>
      <c r="AI20" s="327">
        <f>IFERROR(ROUND((tblPiNHistorical[[#This Row],[CCCM - new]] - tblPiNHistorical[[#This Row],[CCCM - old]])/tblPiNHistorical[[#This Row],[CCCM - old]], 1), "")</f>
        <v>-0.2</v>
      </c>
      <c r="AJ20" s="328">
        <f>IFERROR(ROUND((tblPiNHistorical[[#This Row],[Education - new]]-tblPiNHistorical[[#This Row],[Education - old]])/tblPiNHistorical[[#This Row],[Education - old]], 1), "")</f>
        <v>-1</v>
      </c>
      <c r="AK20" s="328">
        <f>IFERROR(ROUND((tblPiNHistorical[[#This Row],[Nutrition - new]]-tblPiNHistorical[[#This Row],[Nutrition - old]])/tblPiNHistorical[[#This Row],[Nutrition - old]], 1), "")</f>
        <v>-0.8</v>
      </c>
      <c r="AL20" s="328">
        <f>IFERROR(ROUND((tblPiNHistorical[[#This Row],[Food Security - new]]-tblPiNHistorical[[#This Row],[Food Security - old]])/tblPiNHistorical[[#This Row],[Food Security - old]], 1), "")</f>
        <v>-0.7</v>
      </c>
      <c r="AM20" s="328">
        <f>IFERROR(ROUND((tblPiNHistorical[[#This Row],[Health - new]]-tblPiNHistorical[[#This Row],[Health - old]])/tblPiNHistorical[[#This Row],[Health - old]], 1), "")</f>
        <v>-0.7</v>
      </c>
      <c r="AN20" s="328">
        <f>IFERROR(ROUND((tblPiNHistorical[[#This Row],[Overarching Protection - new]]-tblPiNHistorical[[#This Row],[Overarching Protection - old]])/tblPiNHistorical[[#This Row],[Overarching Protection - old]], 1), "")</f>
        <v>-0.7</v>
      </c>
      <c r="AO20" s="328">
        <f>IFERROR(ROUND((tblPiNHistorical[[#This Row],[Shelter - new]]-tblPiNHistorical[[#This Row],[Shelter - old]])/tblPiNHistorical[[#This Row],[Shelter - old]], 1), "")</f>
        <v>-1</v>
      </c>
      <c r="AP20" s="37">
        <f>IFERROR(ROUND((tblPiNHistorical[[#This Row],[WASH - new]]-tblPiNHistorical[[#This Row],[WASH - old]])/tblPiNHistorical[[#This Row],[WASH - old]], 1), "")</f>
        <v>-1</v>
      </c>
    </row>
    <row r="21" spans="1:42">
      <c r="A21" s="322" t="s">
        <v>182</v>
      </c>
      <c r="B21" s="320" t="s">
        <v>183</v>
      </c>
      <c r="C21" s="213" t="s">
        <v>184</v>
      </c>
      <c r="D21" s="376" t="s">
        <v>185</v>
      </c>
      <c r="E21" s="103" t="s">
        <v>182</v>
      </c>
      <c r="F21" s="98"/>
      <c r="G21" s="33"/>
      <c r="H21" s="340"/>
      <c r="I21" s="95">
        <v>1199</v>
      </c>
      <c r="J21" s="358" t="s">
        <v>149</v>
      </c>
      <c r="K21" s="303"/>
      <c r="L21" s="364"/>
      <c r="M21" s="303"/>
      <c r="N21" s="303"/>
      <c r="O21" s="303"/>
      <c r="P21" s="303"/>
      <c r="Q21" s="304"/>
      <c r="R21" s="303"/>
      <c r="S21" s="323">
        <v>1199</v>
      </c>
      <c r="T21" s="323">
        <v>125</v>
      </c>
      <c r="U21" s="303">
        <v>1255</v>
      </c>
      <c r="V21" s="303">
        <v>1199</v>
      </c>
      <c r="W21" s="303">
        <v>1.5974630055519989</v>
      </c>
      <c r="X21" s="303">
        <v>226</v>
      </c>
      <c r="Y21" s="303">
        <v>536</v>
      </c>
      <c r="Z21" s="303">
        <v>1199</v>
      </c>
      <c r="AA21" s="324" t="str">
        <f>IF(OR(tblPiNHistorical[[#This Row],[CCCM - old]]="", tblPiNHistorical[[#This Row],[CCCM - old]]=0, tblPiNHistorical[[#This Row],[CCCM - new]]="", tblPiNHistorical[[#This Row],[CCCM - new]]=0), "", tblPiNHistorical[[#This Row],[CCCM - new]]-tblPiNHistorical[[#This Row],[CCCM - old]])</f>
        <v/>
      </c>
      <c r="AB21" s="325" t="str">
        <f>IF(OR(tblPiNHistorical[[#This Row],[Education - old]]="", tblPiNHistorical[[#This Row],[Education - old]]=0, tblPiNHistorical[[#This Row],[Education - new]]="", tblPiNHistorical[[#This Row],[Education - new]]=0), "", tblPiNHistorical[[#This Row],[Education - new]]-tblPiNHistorical[[#This Row],[Education - old]])</f>
        <v/>
      </c>
      <c r="AC21" s="325" t="str">
        <f>IF(OR(tblPiNHistorical[[#This Row],[Nutrition - old]]="", tblPiNHistorical[[#This Row],[Nutrition - old]]=0, tblPiNHistorical[[#This Row],[Nutrition - new]]="", tblPiNHistorical[[#This Row],[Nutrition - new]]=0), "", tblPiNHistorical[[#This Row],[Nutrition - new]]-tblPiNHistorical[[#This Row],[Nutrition - old]])</f>
        <v/>
      </c>
      <c r="AD21"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1" s="325" t="str">
        <f>IF(OR(tblPiNHistorical[[#This Row],[Health - old]]="", tblPiNHistorical[[#This Row],[Health - old]]=0, tblPiNHistorical[[#This Row],[Health - new]]="", tblPiNHistorical[[#This Row],[Health - new]]=0), "", tblPiNHistorical[[#This Row],[Health - new]]-tblPiNHistorical[[#This Row],[Health - old]])</f>
        <v/>
      </c>
      <c r="AF21"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1" s="325" t="str">
        <f>IF(OR(tblPiNHistorical[[#This Row],[Shelter - old]]="", tblPiNHistorical[[#This Row],[Shelter - old]]=0, tblPiNHistorical[[#This Row],[Shelter - new]]="", tblPiNHistorical[[#This Row],[Shelter - new]]=0), "", tblPiNHistorical[[#This Row],[Shelter - new]]-tblPiNHistorical[[#This Row],[Shelter - old]])</f>
        <v/>
      </c>
      <c r="AH21" s="326" t="str">
        <f>IF(OR(tblPiNHistorical[[#This Row],[WASH - old]]="", tblPiNHistorical[[#This Row],[WASH - old]]=0, tblPiNHistorical[[#This Row],[WASH - new]]="", tblPiNHistorical[[#This Row],[WASH - new]]=0), "", tblPiNHistorical[[#This Row],[WASH - new]]-tblPiNHistorical[[#This Row],[WASH - old]])</f>
        <v/>
      </c>
      <c r="AI21" s="327" t="str">
        <f>IFERROR(ROUND((tblPiNHistorical[[#This Row],[CCCM - new]] - tblPiNHistorical[[#This Row],[CCCM - old]])/tblPiNHistorical[[#This Row],[CCCM - old]], 1), "")</f>
        <v/>
      </c>
      <c r="AJ21" s="328" t="str">
        <f>IFERROR(ROUND((tblPiNHistorical[[#This Row],[Education - new]]-tblPiNHistorical[[#This Row],[Education - old]])/tblPiNHistorical[[#This Row],[Education - old]], 1), "")</f>
        <v/>
      </c>
      <c r="AK21" s="328" t="str">
        <f>IFERROR(ROUND((tblPiNHistorical[[#This Row],[Nutrition - new]]-tblPiNHistorical[[#This Row],[Nutrition - old]])/tblPiNHistorical[[#This Row],[Nutrition - old]], 1), "")</f>
        <v/>
      </c>
      <c r="AL21" s="328" t="str">
        <f>IFERROR(ROUND((tblPiNHistorical[[#This Row],[Food Security - new]]-tblPiNHistorical[[#This Row],[Food Security - old]])/tblPiNHistorical[[#This Row],[Food Security - old]], 1), "")</f>
        <v/>
      </c>
      <c r="AM21" s="328" t="str">
        <f>IFERROR(ROUND((tblPiNHistorical[[#This Row],[Health - new]]-tblPiNHistorical[[#This Row],[Health - old]])/tblPiNHistorical[[#This Row],[Health - old]], 1), "")</f>
        <v/>
      </c>
      <c r="AN21" s="328" t="str">
        <f>IFERROR(ROUND((tblPiNHistorical[[#This Row],[Overarching Protection - new]]-tblPiNHistorical[[#This Row],[Overarching Protection - old]])/tblPiNHistorical[[#This Row],[Overarching Protection - old]], 1), "")</f>
        <v/>
      </c>
      <c r="AO21" s="328" t="str">
        <f>IFERROR(ROUND((tblPiNHistorical[[#This Row],[Shelter - new]]-tblPiNHistorical[[#This Row],[Shelter - old]])/tblPiNHistorical[[#This Row],[Shelter - old]], 1), "")</f>
        <v/>
      </c>
      <c r="AP21" s="37" t="str">
        <f>IFERROR(ROUND((tblPiNHistorical[[#This Row],[WASH - new]]-tblPiNHistorical[[#This Row],[WASH - old]])/tblPiNHistorical[[#This Row],[WASH - old]], 1), "")</f>
        <v/>
      </c>
    </row>
    <row r="22" spans="1:42">
      <c r="A22" s="322" t="s">
        <v>186</v>
      </c>
      <c r="B22" s="320" t="s">
        <v>183</v>
      </c>
      <c r="C22" s="213" t="s">
        <v>184</v>
      </c>
      <c r="D22" s="376" t="s">
        <v>187</v>
      </c>
      <c r="E22" s="103" t="s">
        <v>186</v>
      </c>
      <c r="F22" s="98"/>
      <c r="G22" s="33"/>
      <c r="H22" s="340"/>
      <c r="I22" s="95">
        <v>1165</v>
      </c>
      <c r="J22" s="358" t="s">
        <v>149</v>
      </c>
      <c r="K22" s="303"/>
      <c r="L22" s="364"/>
      <c r="M22" s="303"/>
      <c r="N22" s="303"/>
      <c r="O22" s="303"/>
      <c r="P22" s="303"/>
      <c r="Q22" s="304"/>
      <c r="R22" s="303"/>
      <c r="S22" s="323">
        <v>1165</v>
      </c>
      <c r="T22" s="323">
        <v>38</v>
      </c>
      <c r="U22" s="303">
        <v>318</v>
      </c>
      <c r="V22" s="303">
        <v>1165</v>
      </c>
      <c r="W22" s="303">
        <v>0.36826476363810529</v>
      </c>
      <c r="X22" s="303">
        <v>220</v>
      </c>
      <c r="Y22" s="303">
        <v>431</v>
      </c>
      <c r="Z22" s="303">
        <v>1048</v>
      </c>
      <c r="AA22" s="324" t="str">
        <f>IF(OR(tblPiNHistorical[[#This Row],[CCCM - old]]="", tblPiNHistorical[[#This Row],[CCCM - old]]=0, tblPiNHistorical[[#This Row],[CCCM - new]]="", tblPiNHistorical[[#This Row],[CCCM - new]]=0), "", tblPiNHistorical[[#This Row],[CCCM - new]]-tblPiNHistorical[[#This Row],[CCCM - old]])</f>
        <v/>
      </c>
      <c r="AB22" s="325" t="str">
        <f>IF(OR(tblPiNHistorical[[#This Row],[Education - old]]="", tblPiNHistorical[[#This Row],[Education - old]]=0, tblPiNHistorical[[#This Row],[Education - new]]="", tblPiNHistorical[[#This Row],[Education - new]]=0), "", tblPiNHistorical[[#This Row],[Education - new]]-tblPiNHistorical[[#This Row],[Education - old]])</f>
        <v/>
      </c>
      <c r="AC22" s="325" t="str">
        <f>IF(OR(tblPiNHistorical[[#This Row],[Nutrition - old]]="", tblPiNHistorical[[#This Row],[Nutrition - old]]=0, tblPiNHistorical[[#This Row],[Nutrition - new]]="", tblPiNHistorical[[#This Row],[Nutrition - new]]=0), "", tblPiNHistorical[[#This Row],[Nutrition - new]]-tblPiNHistorical[[#This Row],[Nutrition - old]])</f>
        <v/>
      </c>
      <c r="AD22"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2" s="325" t="str">
        <f>IF(OR(tblPiNHistorical[[#This Row],[Health - old]]="", tblPiNHistorical[[#This Row],[Health - old]]=0, tblPiNHistorical[[#This Row],[Health - new]]="", tblPiNHistorical[[#This Row],[Health - new]]=0), "", tblPiNHistorical[[#This Row],[Health - new]]-tblPiNHistorical[[#This Row],[Health - old]])</f>
        <v/>
      </c>
      <c r="AF22"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2" s="325" t="str">
        <f>IF(OR(tblPiNHistorical[[#This Row],[Shelter - old]]="", tblPiNHistorical[[#This Row],[Shelter - old]]=0, tblPiNHistorical[[#This Row],[Shelter - new]]="", tblPiNHistorical[[#This Row],[Shelter - new]]=0), "", tblPiNHistorical[[#This Row],[Shelter - new]]-tblPiNHistorical[[#This Row],[Shelter - old]])</f>
        <v/>
      </c>
      <c r="AH22" s="326" t="str">
        <f>IF(OR(tblPiNHistorical[[#This Row],[WASH - old]]="", tblPiNHistorical[[#This Row],[WASH - old]]=0, tblPiNHistorical[[#This Row],[WASH - new]]="", tblPiNHistorical[[#This Row],[WASH - new]]=0), "", tblPiNHistorical[[#This Row],[WASH - new]]-tblPiNHistorical[[#This Row],[WASH - old]])</f>
        <v/>
      </c>
      <c r="AI22" s="327" t="str">
        <f>IFERROR(ROUND((tblPiNHistorical[[#This Row],[CCCM - new]] - tblPiNHistorical[[#This Row],[CCCM - old]])/tblPiNHistorical[[#This Row],[CCCM - old]], 1), "")</f>
        <v/>
      </c>
      <c r="AJ22" s="328" t="str">
        <f>IFERROR(ROUND((tblPiNHistorical[[#This Row],[Education - new]]-tblPiNHistorical[[#This Row],[Education - old]])/tblPiNHistorical[[#This Row],[Education - old]], 1), "")</f>
        <v/>
      </c>
      <c r="AK22" s="328" t="str">
        <f>IFERROR(ROUND((tblPiNHistorical[[#This Row],[Nutrition - new]]-tblPiNHistorical[[#This Row],[Nutrition - old]])/tblPiNHistorical[[#This Row],[Nutrition - old]], 1), "")</f>
        <v/>
      </c>
      <c r="AL22" s="328" t="str">
        <f>IFERROR(ROUND((tblPiNHistorical[[#This Row],[Food Security - new]]-tblPiNHistorical[[#This Row],[Food Security - old]])/tblPiNHistorical[[#This Row],[Food Security - old]], 1), "")</f>
        <v/>
      </c>
      <c r="AM22" s="328" t="str">
        <f>IFERROR(ROUND((tblPiNHistorical[[#This Row],[Health - new]]-tblPiNHistorical[[#This Row],[Health - old]])/tblPiNHistorical[[#This Row],[Health - old]], 1), "")</f>
        <v/>
      </c>
      <c r="AN22" s="328" t="str">
        <f>IFERROR(ROUND((tblPiNHistorical[[#This Row],[Overarching Protection - new]]-tblPiNHistorical[[#This Row],[Overarching Protection - old]])/tblPiNHistorical[[#This Row],[Overarching Protection - old]], 1), "")</f>
        <v/>
      </c>
      <c r="AO22" s="328" t="str">
        <f>IFERROR(ROUND((tblPiNHistorical[[#This Row],[Shelter - new]]-tblPiNHistorical[[#This Row],[Shelter - old]])/tblPiNHistorical[[#This Row],[Shelter - old]], 1), "")</f>
        <v/>
      </c>
      <c r="AP22" s="37" t="str">
        <f>IFERROR(ROUND((tblPiNHistorical[[#This Row],[WASH - new]]-tblPiNHistorical[[#This Row],[WASH - old]])/tblPiNHistorical[[#This Row],[WASH - old]], 1), "")</f>
        <v/>
      </c>
    </row>
    <row r="23" spans="1:42">
      <c r="A23" s="322" t="s">
        <v>188</v>
      </c>
      <c r="B23" s="320" t="s">
        <v>189</v>
      </c>
      <c r="C23" s="213" t="s">
        <v>190</v>
      </c>
      <c r="D23" s="376" t="s">
        <v>191</v>
      </c>
      <c r="E23" s="103" t="s">
        <v>188</v>
      </c>
      <c r="F23" s="98"/>
      <c r="G23" s="33"/>
      <c r="H23" s="340"/>
      <c r="I23" s="95"/>
      <c r="J23" s="358" t="s">
        <v>149</v>
      </c>
      <c r="K23" s="303"/>
      <c r="L23" s="364"/>
      <c r="M23" s="303"/>
      <c r="N23" s="303"/>
      <c r="O23" s="303"/>
      <c r="P23" s="303"/>
      <c r="Q23" s="304"/>
      <c r="R23" s="303"/>
      <c r="S23" s="323">
        <v>0</v>
      </c>
      <c r="T23" s="323"/>
      <c r="U23" s="303"/>
      <c r="V23" s="303"/>
      <c r="W23" s="303">
        <v>0</v>
      </c>
      <c r="X23" s="303">
        <v>0</v>
      </c>
      <c r="Y23" s="303">
        <v>0</v>
      </c>
      <c r="Z23" s="303">
        <v>0</v>
      </c>
      <c r="AA23" s="324" t="str">
        <f>IF(OR(tblPiNHistorical[[#This Row],[CCCM - old]]="", tblPiNHistorical[[#This Row],[CCCM - old]]=0, tblPiNHistorical[[#This Row],[CCCM - new]]="", tblPiNHistorical[[#This Row],[CCCM - new]]=0), "", tblPiNHistorical[[#This Row],[CCCM - new]]-tblPiNHistorical[[#This Row],[CCCM - old]])</f>
        <v/>
      </c>
      <c r="AB23" s="325" t="str">
        <f>IF(OR(tblPiNHistorical[[#This Row],[Education - old]]="", tblPiNHistorical[[#This Row],[Education - old]]=0, tblPiNHistorical[[#This Row],[Education - new]]="", tblPiNHistorical[[#This Row],[Education - new]]=0), "", tblPiNHistorical[[#This Row],[Education - new]]-tblPiNHistorical[[#This Row],[Education - old]])</f>
        <v/>
      </c>
      <c r="AC23" s="325" t="str">
        <f>IF(OR(tblPiNHistorical[[#This Row],[Nutrition - old]]="", tblPiNHistorical[[#This Row],[Nutrition - old]]=0, tblPiNHistorical[[#This Row],[Nutrition - new]]="", tblPiNHistorical[[#This Row],[Nutrition - new]]=0), "", tblPiNHistorical[[#This Row],[Nutrition - new]]-tblPiNHistorical[[#This Row],[Nutrition - old]])</f>
        <v/>
      </c>
      <c r="AD23"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3" s="325" t="str">
        <f>IF(OR(tblPiNHistorical[[#This Row],[Health - old]]="", tblPiNHistorical[[#This Row],[Health - old]]=0, tblPiNHistorical[[#This Row],[Health - new]]="", tblPiNHistorical[[#This Row],[Health - new]]=0), "", tblPiNHistorical[[#This Row],[Health - new]]-tblPiNHistorical[[#This Row],[Health - old]])</f>
        <v/>
      </c>
      <c r="AF23"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3" s="325" t="str">
        <f>IF(OR(tblPiNHistorical[[#This Row],[Shelter - old]]="", tblPiNHistorical[[#This Row],[Shelter - old]]=0, tblPiNHistorical[[#This Row],[Shelter - new]]="", tblPiNHistorical[[#This Row],[Shelter - new]]=0), "", tblPiNHistorical[[#This Row],[Shelter - new]]-tblPiNHistorical[[#This Row],[Shelter - old]])</f>
        <v/>
      </c>
      <c r="AH23" s="326" t="str">
        <f>IF(OR(tblPiNHistorical[[#This Row],[WASH - old]]="", tblPiNHistorical[[#This Row],[WASH - old]]=0, tblPiNHistorical[[#This Row],[WASH - new]]="", tblPiNHistorical[[#This Row],[WASH - new]]=0), "", tblPiNHistorical[[#This Row],[WASH - new]]-tblPiNHistorical[[#This Row],[WASH - old]])</f>
        <v/>
      </c>
      <c r="AI23" s="327" t="str">
        <f>IFERROR(ROUND((tblPiNHistorical[[#This Row],[CCCM - new]] - tblPiNHistorical[[#This Row],[CCCM - old]])/tblPiNHistorical[[#This Row],[CCCM - old]], 1), "")</f>
        <v/>
      </c>
      <c r="AJ23" s="328" t="str">
        <f>IFERROR(ROUND((tblPiNHistorical[[#This Row],[Education - new]]-tblPiNHistorical[[#This Row],[Education - old]])/tblPiNHistorical[[#This Row],[Education - old]], 1), "")</f>
        <v/>
      </c>
      <c r="AK23" s="328" t="str">
        <f>IFERROR(ROUND((tblPiNHistorical[[#This Row],[Nutrition - new]]-tblPiNHistorical[[#This Row],[Nutrition - old]])/tblPiNHistorical[[#This Row],[Nutrition - old]], 1), "")</f>
        <v/>
      </c>
      <c r="AL23" s="328" t="str">
        <f>IFERROR(ROUND((tblPiNHistorical[[#This Row],[Food Security - new]]-tblPiNHistorical[[#This Row],[Food Security - old]])/tblPiNHistorical[[#This Row],[Food Security - old]], 1), "")</f>
        <v/>
      </c>
      <c r="AM23" s="328" t="str">
        <f>IFERROR(ROUND((tblPiNHistorical[[#This Row],[Health - new]]-tblPiNHistorical[[#This Row],[Health - old]])/tblPiNHistorical[[#This Row],[Health - old]], 1), "")</f>
        <v/>
      </c>
      <c r="AN23" s="328" t="str">
        <f>IFERROR(ROUND((tblPiNHistorical[[#This Row],[Overarching Protection - new]]-tblPiNHistorical[[#This Row],[Overarching Protection - old]])/tblPiNHistorical[[#This Row],[Overarching Protection - old]], 1), "")</f>
        <v/>
      </c>
      <c r="AO23" s="328" t="str">
        <f>IFERROR(ROUND((tblPiNHistorical[[#This Row],[Shelter - new]]-tblPiNHistorical[[#This Row],[Shelter - old]])/tblPiNHistorical[[#This Row],[Shelter - old]], 1), "")</f>
        <v/>
      </c>
      <c r="AP23" s="37" t="str">
        <f>IFERROR(ROUND((tblPiNHistorical[[#This Row],[WASH - new]]-tblPiNHistorical[[#This Row],[WASH - old]])/tblPiNHistorical[[#This Row],[WASH - old]], 1), "")</f>
        <v/>
      </c>
    </row>
    <row r="24" spans="1:42">
      <c r="A24" s="322" t="s">
        <v>145</v>
      </c>
      <c r="B24" s="320" t="s">
        <v>146</v>
      </c>
      <c r="C24" s="213" t="s">
        <v>147</v>
      </c>
      <c r="D24" s="376" t="s">
        <v>148</v>
      </c>
      <c r="E24" s="103" t="s">
        <v>145</v>
      </c>
      <c r="F24" s="98"/>
      <c r="G24" s="33"/>
      <c r="H24" s="340"/>
      <c r="I24" s="95">
        <v>49618</v>
      </c>
      <c r="J24" s="358" t="s">
        <v>192</v>
      </c>
      <c r="K24" s="303">
        <v>14661.3</v>
      </c>
      <c r="L24" s="364">
        <v>613.16323943661973</v>
      </c>
      <c r="M24" s="303">
        <v>5257.72</v>
      </c>
      <c r="N24" s="303">
        <v>19572</v>
      </c>
      <c r="O24" s="303">
        <v>2488.4797566952707</v>
      </c>
      <c r="P24" s="303">
        <v>44829.509179687499</v>
      </c>
      <c r="Q24" s="304">
        <v>0</v>
      </c>
      <c r="R24" s="303">
        <v>25847</v>
      </c>
      <c r="S24" s="323">
        <v>0</v>
      </c>
      <c r="T24" s="323">
        <v>8211</v>
      </c>
      <c r="U24" s="303">
        <v>4545</v>
      </c>
      <c r="V24" s="303">
        <v>40170.5</v>
      </c>
      <c r="W24" s="303">
        <v>287.32912298108198</v>
      </c>
      <c r="X24" s="303">
        <v>13900</v>
      </c>
      <c r="Y24" s="303">
        <v>13900</v>
      </c>
      <c r="Z24" s="303">
        <v>35894</v>
      </c>
      <c r="AA24" s="324" t="str">
        <f>IF(OR(tblPiNHistorical[[#This Row],[CCCM - old]]="", tblPiNHistorical[[#This Row],[CCCM - old]]=0, tblPiNHistorical[[#This Row],[CCCM - new]]="", tblPiNHistorical[[#This Row],[CCCM - new]]=0), "", tblPiNHistorical[[#This Row],[CCCM - new]]-tblPiNHistorical[[#This Row],[CCCM - old]])</f>
        <v/>
      </c>
      <c r="AB24" s="325">
        <f>IF(OR(tblPiNHistorical[[#This Row],[Education - old]]="", tblPiNHistorical[[#This Row],[Education - old]]=0, tblPiNHistorical[[#This Row],[Education - new]]="", tblPiNHistorical[[#This Row],[Education - new]]=0), "", tblPiNHistorical[[#This Row],[Education - new]]-tblPiNHistorical[[#This Row],[Education - old]])</f>
        <v>7597.8367605633803</v>
      </c>
      <c r="AC24" s="325">
        <f>IF(OR(tblPiNHistorical[[#This Row],[Nutrition - old]]="", tblPiNHistorical[[#This Row],[Nutrition - old]]=0, tblPiNHistorical[[#This Row],[Nutrition - new]]="", tblPiNHistorical[[#This Row],[Nutrition - new]]=0), "", tblPiNHistorical[[#This Row],[Nutrition - new]]-tblPiNHistorical[[#This Row],[Nutrition - old]])</f>
        <v>-712.72000000000025</v>
      </c>
      <c r="AD24" s="325">
        <f>IF(OR(tblPiNHistorical[[#This Row],[Food Security - old]]="", tblPiNHistorical[[#This Row],[Food Security - old]]=0, tblPiNHistorical[[#This Row],[Food Security - new]]="", tblPiNHistorical[[#This Row],[Food Security - new]]=0), "", tblPiNHistorical[[#This Row],[Food Security - new]]-tblPiNHistorical[[#This Row],[Food Security - old]])</f>
        <v>20598.5</v>
      </c>
      <c r="AE24" s="325">
        <f>IF(OR(tblPiNHistorical[[#This Row],[Health - old]]="", tblPiNHistorical[[#This Row],[Health - old]]=0, tblPiNHistorical[[#This Row],[Health - new]]="", tblPiNHistorical[[#This Row],[Health - new]]=0), "", tblPiNHistorical[[#This Row],[Health - new]]-tblPiNHistorical[[#This Row],[Health - old]])</f>
        <v>-2201.1506337141886</v>
      </c>
      <c r="AF24"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-30929.509179687499</v>
      </c>
      <c r="AG24" s="325" t="str">
        <f>IF(OR(tblPiNHistorical[[#This Row],[Shelter - old]]="", tblPiNHistorical[[#This Row],[Shelter - old]]=0, tblPiNHistorical[[#This Row],[Shelter - new]]="", tblPiNHistorical[[#This Row],[Shelter - new]]=0), "", tblPiNHistorical[[#This Row],[Shelter - new]]-tblPiNHistorical[[#This Row],[Shelter - old]])</f>
        <v/>
      </c>
      <c r="AH24" s="326">
        <f>IF(OR(tblPiNHistorical[[#This Row],[WASH - old]]="", tblPiNHistorical[[#This Row],[WASH - old]]=0, tblPiNHistorical[[#This Row],[WASH - new]]="", tblPiNHistorical[[#This Row],[WASH - new]]=0), "", tblPiNHistorical[[#This Row],[WASH - new]]-tblPiNHistorical[[#This Row],[WASH - old]])</f>
        <v>10047</v>
      </c>
      <c r="AI24" s="327">
        <f>IFERROR(ROUND((tblPiNHistorical[[#This Row],[CCCM - new]] - tblPiNHistorical[[#This Row],[CCCM - old]])/tblPiNHistorical[[#This Row],[CCCM - old]], 1), "")</f>
        <v>-1</v>
      </c>
      <c r="AJ24" s="328">
        <f>IFERROR(ROUND((tblPiNHistorical[[#This Row],[Education - new]]-tblPiNHistorical[[#This Row],[Education - old]])/tblPiNHistorical[[#This Row],[Education - old]], 1), "")</f>
        <v>12.4</v>
      </c>
      <c r="AK24" s="328">
        <f>IFERROR(ROUND((tblPiNHistorical[[#This Row],[Nutrition - new]]-tblPiNHistorical[[#This Row],[Nutrition - old]])/tblPiNHistorical[[#This Row],[Nutrition - old]], 1), "")</f>
        <v>-0.1</v>
      </c>
      <c r="AL24" s="328">
        <f>IFERROR(ROUND((tblPiNHistorical[[#This Row],[Food Security - new]]-tblPiNHistorical[[#This Row],[Food Security - old]])/tblPiNHistorical[[#This Row],[Food Security - old]], 1), "")</f>
        <v>1.1000000000000001</v>
      </c>
      <c r="AM24" s="328">
        <f>IFERROR(ROUND((tblPiNHistorical[[#This Row],[Health - new]]-tblPiNHistorical[[#This Row],[Health - old]])/tblPiNHistorical[[#This Row],[Health - old]], 1), "")</f>
        <v>-0.9</v>
      </c>
      <c r="AN24" s="328">
        <f>IFERROR(ROUND((tblPiNHistorical[[#This Row],[Overarching Protection - new]]-tblPiNHistorical[[#This Row],[Overarching Protection - old]])/tblPiNHistorical[[#This Row],[Overarching Protection - old]], 1), "")</f>
        <v>-0.7</v>
      </c>
      <c r="AO24" s="328" t="str">
        <f>IFERROR(ROUND((tblPiNHistorical[[#This Row],[Shelter - new]]-tblPiNHistorical[[#This Row],[Shelter - old]])/tblPiNHistorical[[#This Row],[Shelter - old]], 1), "")</f>
        <v/>
      </c>
      <c r="AP24" s="37">
        <f>IFERROR(ROUND((tblPiNHistorical[[#This Row],[WASH - new]]-tblPiNHistorical[[#This Row],[WASH - old]])/tblPiNHistorical[[#This Row],[WASH - old]], 1), "")</f>
        <v>0.4</v>
      </c>
    </row>
    <row r="25" spans="1:42">
      <c r="A25" s="322" t="s">
        <v>150</v>
      </c>
      <c r="B25" s="320" t="s">
        <v>146</v>
      </c>
      <c r="C25" s="213" t="s">
        <v>147</v>
      </c>
      <c r="D25" s="376" t="s">
        <v>151</v>
      </c>
      <c r="E25" s="103" t="s">
        <v>150</v>
      </c>
      <c r="F25" s="98"/>
      <c r="G25" s="33"/>
      <c r="H25" s="340"/>
      <c r="I25" s="95"/>
      <c r="J25" s="358" t="s">
        <v>192</v>
      </c>
      <c r="K25" s="303"/>
      <c r="L25" s="364"/>
      <c r="M25" s="303"/>
      <c r="N25" s="303"/>
      <c r="O25" s="303"/>
      <c r="P25" s="303"/>
      <c r="Q25" s="304"/>
      <c r="R25" s="303"/>
      <c r="S25" s="323">
        <v>0</v>
      </c>
      <c r="T25" s="323"/>
      <c r="U25" s="303">
        <v>0</v>
      </c>
      <c r="V25" s="303"/>
      <c r="W25" s="303"/>
      <c r="X25" s="303">
        <v>0</v>
      </c>
      <c r="Y25" s="303">
        <v>0</v>
      </c>
      <c r="Z25" s="303">
        <v>0</v>
      </c>
      <c r="AA25" s="324" t="str">
        <f>IF(OR(tblPiNHistorical[[#This Row],[CCCM - old]]="", tblPiNHistorical[[#This Row],[CCCM - old]]=0, tblPiNHistorical[[#This Row],[CCCM - new]]="", tblPiNHistorical[[#This Row],[CCCM - new]]=0), "", tblPiNHistorical[[#This Row],[CCCM - new]]-tblPiNHistorical[[#This Row],[CCCM - old]])</f>
        <v/>
      </c>
      <c r="AB25" s="325" t="str">
        <f>IF(OR(tblPiNHistorical[[#This Row],[Education - old]]="", tblPiNHistorical[[#This Row],[Education - old]]=0, tblPiNHistorical[[#This Row],[Education - new]]="", tblPiNHistorical[[#This Row],[Education - new]]=0), "", tblPiNHistorical[[#This Row],[Education - new]]-tblPiNHistorical[[#This Row],[Education - old]])</f>
        <v/>
      </c>
      <c r="AC25" s="325" t="str">
        <f>IF(OR(tblPiNHistorical[[#This Row],[Nutrition - old]]="", tblPiNHistorical[[#This Row],[Nutrition - old]]=0, tblPiNHistorical[[#This Row],[Nutrition - new]]="", tblPiNHistorical[[#This Row],[Nutrition - new]]=0), "", tblPiNHistorical[[#This Row],[Nutrition - new]]-tblPiNHistorical[[#This Row],[Nutrition - old]])</f>
        <v/>
      </c>
      <c r="AD25"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5" s="325" t="str">
        <f>IF(OR(tblPiNHistorical[[#This Row],[Health - old]]="", tblPiNHistorical[[#This Row],[Health - old]]=0, tblPiNHistorical[[#This Row],[Health - new]]="", tblPiNHistorical[[#This Row],[Health - new]]=0), "", tblPiNHistorical[[#This Row],[Health - new]]-tblPiNHistorical[[#This Row],[Health - old]])</f>
        <v/>
      </c>
      <c r="AF25"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5" s="325" t="str">
        <f>IF(OR(tblPiNHistorical[[#This Row],[Shelter - old]]="", tblPiNHistorical[[#This Row],[Shelter - old]]=0, tblPiNHistorical[[#This Row],[Shelter - new]]="", tblPiNHistorical[[#This Row],[Shelter - new]]=0), "", tblPiNHistorical[[#This Row],[Shelter - new]]-tblPiNHistorical[[#This Row],[Shelter - old]])</f>
        <v/>
      </c>
      <c r="AH25" s="326" t="str">
        <f>IF(OR(tblPiNHistorical[[#This Row],[WASH - old]]="", tblPiNHistorical[[#This Row],[WASH - old]]=0, tblPiNHistorical[[#This Row],[WASH - new]]="", tblPiNHistorical[[#This Row],[WASH - new]]=0), "", tblPiNHistorical[[#This Row],[WASH - new]]-tblPiNHistorical[[#This Row],[WASH - old]])</f>
        <v/>
      </c>
      <c r="AI25" s="327" t="str">
        <f>IFERROR(ROUND((tblPiNHistorical[[#This Row],[CCCM - new]] - tblPiNHistorical[[#This Row],[CCCM - old]])/tblPiNHistorical[[#This Row],[CCCM - old]], 1), "")</f>
        <v/>
      </c>
      <c r="AJ25" s="328" t="str">
        <f>IFERROR(ROUND((tblPiNHistorical[[#This Row],[Education - new]]-tblPiNHistorical[[#This Row],[Education - old]])/tblPiNHistorical[[#This Row],[Education - old]], 1), "")</f>
        <v/>
      </c>
      <c r="AK25" s="328" t="str">
        <f>IFERROR(ROUND((tblPiNHistorical[[#This Row],[Nutrition - new]]-tblPiNHistorical[[#This Row],[Nutrition - old]])/tblPiNHistorical[[#This Row],[Nutrition - old]], 1), "")</f>
        <v/>
      </c>
      <c r="AL25" s="328" t="str">
        <f>IFERROR(ROUND((tblPiNHistorical[[#This Row],[Food Security - new]]-tblPiNHistorical[[#This Row],[Food Security - old]])/tblPiNHistorical[[#This Row],[Food Security - old]], 1), "")</f>
        <v/>
      </c>
      <c r="AM25" s="328" t="str">
        <f>IFERROR(ROUND((tblPiNHistorical[[#This Row],[Health - new]]-tblPiNHistorical[[#This Row],[Health - old]])/tblPiNHistorical[[#This Row],[Health - old]], 1), "")</f>
        <v/>
      </c>
      <c r="AN25" s="328" t="str">
        <f>IFERROR(ROUND((tblPiNHistorical[[#This Row],[Overarching Protection - new]]-tblPiNHistorical[[#This Row],[Overarching Protection - old]])/tblPiNHistorical[[#This Row],[Overarching Protection - old]], 1), "")</f>
        <v/>
      </c>
      <c r="AO25" s="328" t="str">
        <f>IFERROR(ROUND((tblPiNHistorical[[#This Row],[Shelter - new]]-tblPiNHistorical[[#This Row],[Shelter - old]])/tblPiNHistorical[[#This Row],[Shelter - old]], 1), "")</f>
        <v/>
      </c>
      <c r="AP25" s="37" t="str">
        <f>IFERROR(ROUND((tblPiNHistorical[[#This Row],[WASH - new]]-tblPiNHistorical[[#This Row],[WASH - old]])/tblPiNHistorical[[#This Row],[WASH - old]], 1), "")</f>
        <v/>
      </c>
    </row>
    <row r="26" spans="1:42">
      <c r="A26" s="322" t="s">
        <v>152</v>
      </c>
      <c r="B26" s="320" t="s">
        <v>146</v>
      </c>
      <c r="C26" s="213" t="s">
        <v>147</v>
      </c>
      <c r="D26" s="376" t="s">
        <v>153</v>
      </c>
      <c r="E26" s="103" t="s">
        <v>152</v>
      </c>
      <c r="F26" s="98"/>
      <c r="G26" s="33"/>
      <c r="H26" s="340"/>
      <c r="I26" s="95">
        <v>38442</v>
      </c>
      <c r="J26" s="358" t="s">
        <v>192</v>
      </c>
      <c r="K26" s="303">
        <v>2583.2999999999997</v>
      </c>
      <c r="L26" s="364">
        <v>1117.9992253521127</v>
      </c>
      <c r="M26" s="303">
        <v>1561.9760000000001</v>
      </c>
      <c r="N26" s="303">
        <v>8611</v>
      </c>
      <c r="O26" s="303">
        <v>424.03668891539911</v>
      </c>
      <c r="P26" s="303">
        <v>4507</v>
      </c>
      <c r="Q26" s="304">
        <v>0</v>
      </c>
      <c r="R26" s="303">
        <v>4305</v>
      </c>
      <c r="S26" s="323">
        <v>7688.4000000000005</v>
      </c>
      <c r="T26" s="323"/>
      <c r="U26" s="303">
        <v>3968</v>
      </c>
      <c r="V26" s="303">
        <v>38442</v>
      </c>
      <c r="W26" s="303">
        <v>124.55677558411182</v>
      </c>
      <c r="X26" s="303">
        <v>6140</v>
      </c>
      <c r="Y26" s="303">
        <v>0</v>
      </c>
      <c r="Z26" s="303">
        <v>0</v>
      </c>
      <c r="AA26" s="324">
        <f>IF(OR(tblPiNHistorical[[#This Row],[CCCM - old]]="", tblPiNHistorical[[#This Row],[CCCM - old]]=0, tblPiNHistorical[[#This Row],[CCCM - new]]="", tblPiNHistorical[[#This Row],[CCCM - new]]=0), "", tblPiNHistorical[[#This Row],[CCCM - new]]-tblPiNHistorical[[#This Row],[CCCM - old]])</f>
        <v>5105.1000000000004</v>
      </c>
      <c r="AB26" s="325" t="str">
        <f>IF(OR(tblPiNHistorical[[#This Row],[Education - old]]="", tblPiNHistorical[[#This Row],[Education - old]]=0, tblPiNHistorical[[#This Row],[Education - new]]="", tblPiNHistorical[[#This Row],[Education - new]]=0), "", tblPiNHistorical[[#This Row],[Education - new]]-tblPiNHistorical[[#This Row],[Education - old]])</f>
        <v/>
      </c>
      <c r="AC26" s="325">
        <f>IF(OR(tblPiNHistorical[[#This Row],[Nutrition - old]]="", tblPiNHistorical[[#This Row],[Nutrition - old]]=0, tblPiNHistorical[[#This Row],[Nutrition - new]]="", tblPiNHistorical[[#This Row],[Nutrition - new]]=0), "", tblPiNHistorical[[#This Row],[Nutrition - new]]-tblPiNHistorical[[#This Row],[Nutrition - old]])</f>
        <v>2406.0239999999999</v>
      </c>
      <c r="AD26" s="325">
        <f>IF(OR(tblPiNHistorical[[#This Row],[Food Security - old]]="", tblPiNHistorical[[#This Row],[Food Security - old]]=0, tblPiNHistorical[[#This Row],[Food Security - new]]="", tblPiNHistorical[[#This Row],[Food Security - new]]=0), "", tblPiNHistorical[[#This Row],[Food Security - new]]-tblPiNHistorical[[#This Row],[Food Security - old]])</f>
        <v>29831</v>
      </c>
      <c r="AE26" s="325">
        <f>IF(OR(tblPiNHistorical[[#This Row],[Health - old]]="", tblPiNHistorical[[#This Row],[Health - old]]=0, tblPiNHistorical[[#This Row],[Health - new]]="", tblPiNHistorical[[#This Row],[Health - new]]=0), "", tblPiNHistorical[[#This Row],[Health - new]]-tblPiNHistorical[[#This Row],[Health - old]])</f>
        <v>-299.47991333128732</v>
      </c>
      <c r="AF26"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1633</v>
      </c>
      <c r="AG26" s="325" t="str">
        <f>IF(OR(tblPiNHistorical[[#This Row],[Shelter - old]]="", tblPiNHistorical[[#This Row],[Shelter - old]]=0, tblPiNHistorical[[#This Row],[Shelter - new]]="", tblPiNHistorical[[#This Row],[Shelter - new]]=0), "", tblPiNHistorical[[#This Row],[Shelter - new]]-tblPiNHistorical[[#This Row],[Shelter - old]])</f>
        <v/>
      </c>
      <c r="AH26" s="326" t="str">
        <f>IF(OR(tblPiNHistorical[[#This Row],[WASH - old]]="", tblPiNHistorical[[#This Row],[WASH - old]]=0, tblPiNHistorical[[#This Row],[WASH - new]]="", tblPiNHistorical[[#This Row],[WASH - new]]=0), "", tblPiNHistorical[[#This Row],[WASH - new]]-tblPiNHistorical[[#This Row],[WASH - old]])</f>
        <v/>
      </c>
      <c r="AI26" s="327">
        <f>IFERROR(ROUND((tblPiNHistorical[[#This Row],[CCCM - new]] - tblPiNHistorical[[#This Row],[CCCM - old]])/tblPiNHistorical[[#This Row],[CCCM - old]], 1), "")</f>
        <v>2</v>
      </c>
      <c r="AJ26" s="328">
        <f>IFERROR(ROUND((tblPiNHistorical[[#This Row],[Education - new]]-tblPiNHistorical[[#This Row],[Education - old]])/tblPiNHistorical[[#This Row],[Education - old]], 1), "")</f>
        <v>-1</v>
      </c>
      <c r="AK26" s="328">
        <f>IFERROR(ROUND((tblPiNHistorical[[#This Row],[Nutrition - new]]-tblPiNHistorical[[#This Row],[Nutrition - old]])/tblPiNHistorical[[#This Row],[Nutrition - old]], 1), "")</f>
        <v>1.5</v>
      </c>
      <c r="AL26" s="328">
        <f>IFERROR(ROUND((tblPiNHistorical[[#This Row],[Food Security - new]]-tblPiNHistorical[[#This Row],[Food Security - old]])/tblPiNHistorical[[#This Row],[Food Security - old]], 1), "")</f>
        <v>3.5</v>
      </c>
      <c r="AM26" s="328">
        <f>IFERROR(ROUND((tblPiNHistorical[[#This Row],[Health - new]]-tblPiNHistorical[[#This Row],[Health - old]])/tblPiNHistorical[[#This Row],[Health - old]], 1), "")</f>
        <v>-0.7</v>
      </c>
      <c r="AN26" s="328">
        <f>IFERROR(ROUND((tblPiNHistorical[[#This Row],[Overarching Protection - new]]-tblPiNHistorical[[#This Row],[Overarching Protection - old]])/tblPiNHistorical[[#This Row],[Overarching Protection - old]], 1), "")</f>
        <v>0.4</v>
      </c>
      <c r="AO26" s="328" t="str">
        <f>IFERROR(ROUND((tblPiNHistorical[[#This Row],[Shelter - new]]-tblPiNHistorical[[#This Row],[Shelter - old]])/tblPiNHistorical[[#This Row],[Shelter - old]], 1), "")</f>
        <v/>
      </c>
      <c r="AP26" s="37">
        <f>IFERROR(ROUND((tblPiNHistorical[[#This Row],[WASH - new]]-tblPiNHistorical[[#This Row],[WASH - old]])/tblPiNHistorical[[#This Row],[WASH - old]], 1), "")</f>
        <v>-1</v>
      </c>
    </row>
    <row r="27" spans="1:42" ht="27.95">
      <c r="A27" s="322" t="s">
        <v>154</v>
      </c>
      <c r="B27" s="320" t="s">
        <v>146</v>
      </c>
      <c r="C27" s="213" t="s">
        <v>147</v>
      </c>
      <c r="D27" s="376" t="s">
        <v>155</v>
      </c>
      <c r="E27" s="103" t="s">
        <v>154</v>
      </c>
      <c r="F27" s="98"/>
      <c r="G27" s="33"/>
      <c r="H27" s="340"/>
      <c r="I27" s="95"/>
      <c r="J27" s="358" t="s">
        <v>192</v>
      </c>
      <c r="K27" s="303">
        <v>0</v>
      </c>
      <c r="L27" s="364">
        <v>0</v>
      </c>
      <c r="M27" s="303">
        <v>0</v>
      </c>
      <c r="N27" s="303"/>
      <c r="O27" s="303">
        <v>0</v>
      </c>
      <c r="P27" s="303">
        <v>0</v>
      </c>
      <c r="Q27" s="304">
        <v>0</v>
      </c>
      <c r="R27" s="303">
        <v>0</v>
      </c>
      <c r="S27" s="323">
        <v>0</v>
      </c>
      <c r="T27" s="323"/>
      <c r="U27" s="303">
        <v>0</v>
      </c>
      <c r="V27" s="303"/>
      <c r="W27" s="303">
        <v>0</v>
      </c>
      <c r="X27" s="303">
        <v>0</v>
      </c>
      <c r="Y27" s="303">
        <v>0</v>
      </c>
      <c r="Z27" s="303">
        <v>0</v>
      </c>
      <c r="AA27" s="324" t="str">
        <f>IF(OR(tblPiNHistorical[[#This Row],[CCCM - old]]="", tblPiNHistorical[[#This Row],[CCCM - old]]=0, tblPiNHistorical[[#This Row],[CCCM - new]]="", tblPiNHistorical[[#This Row],[CCCM - new]]=0), "", tblPiNHistorical[[#This Row],[CCCM - new]]-tblPiNHistorical[[#This Row],[CCCM - old]])</f>
        <v/>
      </c>
      <c r="AB27" s="325" t="str">
        <f>IF(OR(tblPiNHistorical[[#This Row],[Education - old]]="", tblPiNHistorical[[#This Row],[Education - old]]=0, tblPiNHistorical[[#This Row],[Education - new]]="", tblPiNHistorical[[#This Row],[Education - new]]=0), "", tblPiNHistorical[[#This Row],[Education - new]]-tblPiNHistorical[[#This Row],[Education - old]])</f>
        <v/>
      </c>
      <c r="AC27" s="325" t="str">
        <f>IF(OR(tblPiNHistorical[[#This Row],[Nutrition - old]]="", tblPiNHistorical[[#This Row],[Nutrition - old]]=0, tblPiNHistorical[[#This Row],[Nutrition - new]]="", tblPiNHistorical[[#This Row],[Nutrition - new]]=0), "", tblPiNHistorical[[#This Row],[Nutrition - new]]-tblPiNHistorical[[#This Row],[Nutrition - old]])</f>
        <v/>
      </c>
      <c r="AD27"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7" s="325" t="str">
        <f>IF(OR(tblPiNHistorical[[#This Row],[Health - old]]="", tblPiNHistorical[[#This Row],[Health - old]]=0, tblPiNHistorical[[#This Row],[Health - new]]="", tblPiNHistorical[[#This Row],[Health - new]]=0), "", tblPiNHistorical[[#This Row],[Health - new]]-tblPiNHistorical[[#This Row],[Health - old]])</f>
        <v/>
      </c>
      <c r="AF27"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7" s="325" t="str">
        <f>IF(OR(tblPiNHistorical[[#This Row],[Shelter - old]]="", tblPiNHistorical[[#This Row],[Shelter - old]]=0, tblPiNHistorical[[#This Row],[Shelter - new]]="", tblPiNHistorical[[#This Row],[Shelter - new]]=0), "", tblPiNHistorical[[#This Row],[Shelter - new]]-tblPiNHistorical[[#This Row],[Shelter - old]])</f>
        <v/>
      </c>
      <c r="AH27" s="326" t="str">
        <f>IF(OR(tblPiNHistorical[[#This Row],[WASH - old]]="", tblPiNHistorical[[#This Row],[WASH - old]]=0, tblPiNHistorical[[#This Row],[WASH - new]]="", tblPiNHistorical[[#This Row],[WASH - new]]=0), "", tblPiNHistorical[[#This Row],[WASH - new]]-tblPiNHistorical[[#This Row],[WASH - old]])</f>
        <v/>
      </c>
      <c r="AI27" s="327" t="str">
        <f>IFERROR(ROUND((tblPiNHistorical[[#This Row],[CCCM - new]] - tblPiNHistorical[[#This Row],[CCCM - old]])/tblPiNHistorical[[#This Row],[CCCM - old]], 1), "")</f>
        <v/>
      </c>
      <c r="AJ27" s="328" t="str">
        <f>IFERROR(ROUND((tblPiNHistorical[[#This Row],[Education - new]]-tblPiNHistorical[[#This Row],[Education - old]])/tblPiNHistorical[[#This Row],[Education - old]], 1), "")</f>
        <v/>
      </c>
      <c r="AK27" s="328" t="str">
        <f>IFERROR(ROUND((tblPiNHistorical[[#This Row],[Nutrition - new]]-tblPiNHistorical[[#This Row],[Nutrition - old]])/tblPiNHistorical[[#This Row],[Nutrition - old]], 1), "")</f>
        <v/>
      </c>
      <c r="AL27" s="328" t="str">
        <f>IFERROR(ROUND((tblPiNHistorical[[#This Row],[Food Security - new]]-tblPiNHistorical[[#This Row],[Food Security - old]])/tblPiNHistorical[[#This Row],[Food Security - old]], 1), "")</f>
        <v/>
      </c>
      <c r="AM27" s="328" t="str">
        <f>IFERROR(ROUND((tblPiNHistorical[[#This Row],[Health - new]]-tblPiNHistorical[[#This Row],[Health - old]])/tblPiNHistorical[[#This Row],[Health - old]], 1), "")</f>
        <v/>
      </c>
      <c r="AN27" s="328" t="str">
        <f>IFERROR(ROUND((tblPiNHistorical[[#This Row],[Overarching Protection - new]]-tblPiNHistorical[[#This Row],[Overarching Protection - old]])/tblPiNHistorical[[#This Row],[Overarching Protection - old]], 1), "")</f>
        <v/>
      </c>
      <c r="AO27" s="328" t="str">
        <f>IFERROR(ROUND((tblPiNHistorical[[#This Row],[Shelter - new]]-tblPiNHistorical[[#This Row],[Shelter - old]])/tblPiNHistorical[[#This Row],[Shelter - old]], 1), "")</f>
        <v/>
      </c>
      <c r="AP27" s="37" t="str">
        <f>IFERROR(ROUND((tblPiNHistorical[[#This Row],[WASH - new]]-tblPiNHistorical[[#This Row],[WASH - old]])/tblPiNHistorical[[#This Row],[WASH - old]], 1), "")</f>
        <v/>
      </c>
    </row>
    <row r="28" spans="1:42">
      <c r="A28" s="322" t="s">
        <v>156</v>
      </c>
      <c r="B28" s="320" t="s">
        <v>146</v>
      </c>
      <c r="C28" s="213" t="s">
        <v>147</v>
      </c>
      <c r="D28" s="376" t="s">
        <v>157</v>
      </c>
      <c r="E28" s="103" t="s">
        <v>156</v>
      </c>
      <c r="F28" s="98"/>
      <c r="G28" s="33"/>
      <c r="H28" s="340"/>
      <c r="I28" s="95"/>
      <c r="J28" s="358" t="s">
        <v>192</v>
      </c>
      <c r="K28" s="303">
        <v>0</v>
      </c>
      <c r="L28" s="364">
        <v>0</v>
      </c>
      <c r="M28" s="303">
        <v>0</v>
      </c>
      <c r="N28" s="303"/>
      <c r="O28" s="303">
        <v>0</v>
      </c>
      <c r="P28" s="303">
        <v>0</v>
      </c>
      <c r="Q28" s="304">
        <v>0</v>
      </c>
      <c r="R28" s="303">
        <v>0</v>
      </c>
      <c r="S28" s="323">
        <v>0</v>
      </c>
      <c r="T28" s="323"/>
      <c r="U28" s="303">
        <v>0</v>
      </c>
      <c r="V28" s="303"/>
      <c r="W28" s="303">
        <v>0</v>
      </c>
      <c r="X28" s="303">
        <v>0</v>
      </c>
      <c r="Y28" s="303">
        <v>0</v>
      </c>
      <c r="Z28" s="303">
        <v>0</v>
      </c>
      <c r="AA28" s="324" t="str">
        <f>IF(OR(tblPiNHistorical[[#This Row],[CCCM - old]]="", tblPiNHistorical[[#This Row],[CCCM - old]]=0, tblPiNHistorical[[#This Row],[CCCM - new]]="", tblPiNHistorical[[#This Row],[CCCM - new]]=0), "", tblPiNHistorical[[#This Row],[CCCM - new]]-tblPiNHistorical[[#This Row],[CCCM - old]])</f>
        <v/>
      </c>
      <c r="AB28" s="325" t="str">
        <f>IF(OR(tblPiNHistorical[[#This Row],[Education - old]]="", tblPiNHistorical[[#This Row],[Education - old]]=0, tblPiNHistorical[[#This Row],[Education - new]]="", tblPiNHistorical[[#This Row],[Education - new]]=0), "", tblPiNHistorical[[#This Row],[Education - new]]-tblPiNHistorical[[#This Row],[Education - old]])</f>
        <v/>
      </c>
      <c r="AC28" s="325" t="str">
        <f>IF(OR(tblPiNHistorical[[#This Row],[Nutrition - old]]="", tblPiNHistorical[[#This Row],[Nutrition - old]]=0, tblPiNHistorical[[#This Row],[Nutrition - new]]="", tblPiNHistorical[[#This Row],[Nutrition - new]]=0), "", tblPiNHistorical[[#This Row],[Nutrition - new]]-tblPiNHistorical[[#This Row],[Nutrition - old]])</f>
        <v/>
      </c>
      <c r="AD28"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8" s="325" t="str">
        <f>IF(OR(tblPiNHistorical[[#This Row],[Health - old]]="", tblPiNHistorical[[#This Row],[Health - old]]=0, tblPiNHistorical[[#This Row],[Health - new]]="", tblPiNHistorical[[#This Row],[Health - new]]=0), "", tblPiNHistorical[[#This Row],[Health - new]]-tblPiNHistorical[[#This Row],[Health - old]])</f>
        <v/>
      </c>
      <c r="AF28"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8" s="325" t="str">
        <f>IF(OR(tblPiNHistorical[[#This Row],[Shelter - old]]="", tblPiNHistorical[[#This Row],[Shelter - old]]=0, tblPiNHistorical[[#This Row],[Shelter - new]]="", tblPiNHistorical[[#This Row],[Shelter - new]]=0), "", tblPiNHistorical[[#This Row],[Shelter - new]]-tblPiNHistorical[[#This Row],[Shelter - old]])</f>
        <v/>
      </c>
      <c r="AH28" s="326" t="str">
        <f>IF(OR(tblPiNHistorical[[#This Row],[WASH - old]]="", tblPiNHistorical[[#This Row],[WASH - old]]=0, tblPiNHistorical[[#This Row],[WASH - new]]="", tblPiNHistorical[[#This Row],[WASH - new]]=0), "", tblPiNHistorical[[#This Row],[WASH - new]]-tblPiNHistorical[[#This Row],[WASH - old]])</f>
        <v/>
      </c>
      <c r="AI28" s="327" t="str">
        <f>IFERROR(ROUND((tblPiNHistorical[[#This Row],[CCCM - new]] - tblPiNHistorical[[#This Row],[CCCM - old]])/tblPiNHistorical[[#This Row],[CCCM - old]], 1), "")</f>
        <v/>
      </c>
      <c r="AJ28" s="328" t="str">
        <f>IFERROR(ROUND((tblPiNHistorical[[#This Row],[Education - new]]-tblPiNHistorical[[#This Row],[Education - old]])/tblPiNHistorical[[#This Row],[Education - old]], 1), "")</f>
        <v/>
      </c>
      <c r="AK28" s="328" t="str">
        <f>IFERROR(ROUND((tblPiNHistorical[[#This Row],[Nutrition - new]]-tblPiNHistorical[[#This Row],[Nutrition - old]])/tblPiNHistorical[[#This Row],[Nutrition - old]], 1), "")</f>
        <v/>
      </c>
      <c r="AL28" s="328" t="str">
        <f>IFERROR(ROUND((tblPiNHistorical[[#This Row],[Food Security - new]]-tblPiNHistorical[[#This Row],[Food Security - old]])/tblPiNHistorical[[#This Row],[Food Security - old]], 1), "")</f>
        <v/>
      </c>
      <c r="AM28" s="328" t="str">
        <f>IFERROR(ROUND((tblPiNHistorical[[#This Row],[Health - new]]-tblPiNHistorical[[#This Row],[Health - old]])/tblPiNHistorical[[#This Row],[Health - old]], 1), "")</f>
        <v/>
      </c>
      <c r="AN28" s="328" t="str">
        <f>IFERROR(ROUND((tblPiNHistorical[[#This Row],[Overarching Protection - new]]-tblPiNHistorical[[#This Row],[Overarching Protection - old]])/tblPiNHistorical[[#This Row],[Overarching Protection - old]], 1), "")</f>
        <v/>
      </c>
      <c r="AO28" s="328" t="str">
        <f>IFERROR(ROUND((tblPiNHistorical[[#This Row],[Shelter - new]]-tblPiNHistorical[[#This Row],[Shelter - old]])/tblPiNHistorical[[#This Row],[Shelter - old]], 1), "")</f>
        <v/>
      </c>
      <c r="AP28" s="37" t="str">
        <f>IFERROR(ROUND((tblPiNHistorical[[#This Row],[WASH - new]]-tblPiNHistorical[[#This Row],[WASH - old]])/tblPiNHistorical[[#This Row],[WASH - old]], 1), "")</f>
        <v/>
      </c>
    </row>
    <row r="29" spans="1:42">
      <c r="A29" s="322" t="s">
        <v>158</v>
      </c>
      <c r="B29" s="320" t="s">
        <v>146</v>
      </c>
      <c r="C29" s="213" t="s">
        <v>147</v>
      </c>
      <c r="D29" s="376" t="s">
        <v>159</v>
      </c>
      <c r="E29" s="103" t="s">
        <v>158</v>
      </c>
      <c r="F29" s="98"/>
      <c r="G29" s="33"/>
      <c r="H29" s="340"/>
      <c r="I29" s="95">
        <v>81470</v>
      </c>
      <c r="J29" s="358" t="s">
        <v>192</v>
      </c>
      <c r="K29" s="303">
        <v>35963</v>
      </c>
      <c r="L29" s="364">
        <v>14623</v>
      </c>
      <c r="M29" s="303">
        <v>6550.1760000000004</v>
      </c>
      <c r="N29" s="303">
        <v>24350</v>
      </c>
      <c r="O29" s="303">
        <v>39658.111910977015</v>
      </c>
      <c r="P29" s="303">
        <v>33426.614648437506</v>
      </c>
      <c r="Q29" s="304">
        <v>32325</v>
      </c>
      <c r="R29" s="303">
        <v>36655.32</v>
      </c>
      <c r="S29" s="323">
        <v>16294</v>
      </c>
      <c r="T29" s="323">
        <v>8999</v>
      </c>
      <c r="U29" s="303">
        <v>8402</v>
      </c>
      <c r="V29" s="303">
        <v>13980</v>
      </c>
      <c r="W29" s="303">
        <v>64237.577867301297</v>
      </c>
      <c r="X29" s="303">
        <v>40876</v>
      </c>
      <c r="Y29" s="303">
        <v>49333</v>
      </c>
      <c r="Z29" s="303">
        <v>71603</v>
      </c>
      <c r="AA29" s="324">
        <f>IF(OR(tblPiNHistorical[[#This Row],[CCCM - old]]="", tblPiNHistorical[[#This Row],[CCCM - old]]=0, tblPiNHistorical[[#This Row],[CCCM - new]]="", tblPiNHistorical[[#This Row],[CCCM - new]]=0), "", tblPiNHistorical[[#This Row],[CCCM - new]]-tblPiNHistorical[[#This Row],[CCCM - old]])</f>
        <v>-19669</v>
      </c>
      <c r="AB29" s="325">
        <f>IF(OR(tblPiNHistorical[[#This Row],[Education - old]]="", tblPiNHistorical[[#This Row],[Education - old]]=0, tblPiNHistorical[[#This Row],[Education - new]]="", tblPiNHistorical[[#This Row],[Education - new]]=0), "", tblPiNHistorical[[#This Row],[Education - new]]-tblPiNHistorical[[#This Row],[Education - old]])</f>
        <v>-5624</v>
      </c>
      <c r="AC29" s="325">
        <f>IF(OR(tblPiNHistorical[[#This Row],[Nutrition - old]]="", tblPiNHistorical[[#This Row],[Nutrition - old]]=0, tblPiNHistorical[[#This Row],[Nutrition - new]]="", tblPiNHistorical[[#This Row],[Nutrition - new]]=0), "", tblPiNHistorical[[#This Row],[Nutrition - new]]-tblPiNHistorical[[#This Row],[Nutrition - old]])</f>
        <v>1851.8239999999996</v>
      </c>
      <c r="AD29" s="325">
        <f>IF(OR(tblPiNHistorical[[#This Row],[Food Security - old]]="", tblPiNHistorical[[#This Row],[Food Security - old]]=0, tblPiNHistorical[[#This Row],[Food Security - new]]="", tblPiNHistorical[[#This Row],[Food Security - new]]=0), "", tblPiNHistorical[[#This Row],[Food Security - new]]-tblPiNHistorical[[#This Row],[Food Security - old]])</f>
        <v>-10370</v>
      </c>
      <c r="AE29" s="325">
        <f>IF(OR(tblPiNHistorical[[#This Row],[Health - old]]="", tblPiNHistorical[[#This Row],[Health - old]]=0, tblPiNHistorical[[#This Row],[Health - new]]="", tblPiNHistorical[[#This Row],[Health - new]]=0), "", tblPiNHistorical[[#This Row],[Health - new]]-tblPiNHistorical[[#This Row],[Health - old]])</f>
        <v>24579.465956324282</v>
      </c>
      <c r="AF29"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7449.3853515624942</v>
      </c>
      <c r="AG29" s="325">
        <f>IF(OR(tblPiNHistorical[[#This Row],[Shelter - old]]="", tblPiNHistorical[[#This Row],[Shelter - old]]=0, tblPiNHistorical[[#This Row],[Shelter - new]]="", tblPiNHistorical[[#This Row],[Shelter - new]]=0), "", tblPiNHistorical[[#This Row],[Shelter - new]]-tblPiNHistorical[[#This Row],[Shelter - old]])</f>
        <v>17008</v>
      </c>
      <c r="AH29" s="326">
        <f>IF(OR(tblPiNHistorical[[#This Row],[WASH - old]]="", tblPiNHistorical[[#This Row],[WASH - old]]=0, tblPiNHistorical[[#This Row],[WASH - new]]="", tblPiNHistorical[[#This Row],[WASH - new]]=0), "", tblPiNHistorical[[#This Row],[WASH - new]]-tblPiNHistorical[[#This Row],[WASH - old]])</f>
        <v>34947.68</v>
      </c>
      <c r="AI29" s="327">
        <f>IFERROR(ROUND((tblPiNHistorical[[#This Row],[CCCM - new]] - tblPiNHistorical[[#This Row],[CCCM - old]])/tblPiNHistorical[[#This Row],[CCCM - old]], 1), "")</f>
        <v>-0.5</v>
      </c>
      <c r="AJ29" s="328">
        <f>IFERROR(ROUND((tblPiNHistorical[[#This Row],[Education - new]]-tblPiNHistorical[[#This Row],[Education - old]])/tblPiNHistorical[[#This Row],[Education - old]], 1), "")</f>
        <v>-0.4</v>
      </c>
      <c r="AK29" s="328">
        <f>IFERROR(ROUND((tblPiNHistorical[[#This Row],[Nutrition - new]]-tblPiNHistorical[[#This Row],[Nutrition - old]])/tblPiNHistorical[[#This Row],[Nutrition - old]], 1), "")</f>
        <v>0.3</v>
      </c>
      <c r="AL29" s="328">
        <f>IFERROR(ROUND((tblPiNHistorical[[#This Row],[Food Security - new]]-tblPiNHistorical[[#This Row],[Food Security - old]])/tblPiNHistorical[[#This Row],[Food Security - old]], 1), "")</f>
        <v>-0.4</v>
      </c>
      <c r="AM29" s="328">
        <f>IFERROR(ROUND((tblPiNHistorical[[#This Row],[Health - new]]-tblPiNHistorical[[#This Row],[Health - old]])/tblPiNHistorical[[#This Row],[Health - old]], 1), "")</f>
        <v>0.6</v>
      </c>
      <c r="AN29" s="328">
        <f>IFERROR(ROUND((tblPiNHistorical[[#This Row],[Overarching Protection - new]]-tblPiNHistorical[[#This Row],[Overarching Protection - old]])/tblPiNHistorical[[#This Row],[Overarching Protection - old]], 1), "")</f>
        <v>0.2</v>
      </c>
      <c r="AO29" s="328">
        <f>IFERROR(ROUND((tblPiNHistorical[[#This Row],[Shelter - new]]-tblPiNHistorical[[#This Row],[Shelter - old]])/tblPiNHistorical[[#This Row],[Shelter - old]], 1), "")</f>
        <v>0.5</v>
      </c>
      <c r="AP29" s="37">
        <f>IFERROR(ROUND((tblPiNHistorical[[#This Row],[WASH - new]]-tblPiNHistorical[[#This Row],[WASH - old]])/tblPiNHistorical[[#This Row],[WASH - old]], 1), "")</f>
        <v>1</v>
      </c>
    </row>
    <row r="30" spans="1:42">
      <c r="A30" s="322" t="s">
        <v>160</v>
      </c>
      <c r="B30" s="320" t="s">
        <v>146</v>
      </c>
      <c r="C30" s="213" t="s">
        <v>147</v>
      </c>
      <c r="D30" s="376" t="s">
        <v>161</v>
      </c>
      <c r="E30" s="103" t="s">
        <v>160</v>
      </c>
      <c r="F30" s="98"/>
      <c r="G30" s="33"/>
      <c r="H30" s="340"/>
      <c r="I30" s="95"/>
      <c r="J30" s="358" t="s">
        <v>192</v>
      </c>
      <c r="K30" s="303">
        <v>0</v>
      </c>
      <c r="L30" s="364">
        <v>0</v>
      </c>
      <c r="M30" s="303">
        <v>0</v>
      </c>
      <c r="N30" s="303"/>
      <c r="O30" s="303">
        <v>0</v>
      </c>
      <c r="P30" s="303">
        <v>0</v>
      </c>
      <c r="Q30" s="304">
        <v>0</v>
      </c>
      <c r="R30" s="303">
        <v>0</v>
      </c>
      <c r="S30" s="323">
        <v>0</v>
      </c>
      <c r="T30" s="323"/>
      <c r="U30" s="303">
        <v>0</v>
      </c>
      <c r="V30" s="303"/>
      <c r="W30" s="303">
        <v>0</v>
      </c>
      <c r="X30" s="303">
        <v>0</v>
      </c>
      <c r="Y30" s="303">
        <v>0</v>
      </c>
      <c r="Z30" s="303">
        <v>0</v>
      </c>
      <c r="AA30" s="324" t="str">
        <f>IF(OR(tblPiNHistorical[[#This Row],[CCCM - old]]="", tblPiNHistorical[[#This Row],[CCCM - old]]=0, tblPiNHistorical[[#This Row],[CCCM - new]]="", tblPiNHistorical[[#This Row],[CCCM - new]]=0), "", tblPiNHistorical[[#This Row],[CCCM - new]]-tblPiNHistorical[[#This Row],[CCCM - old]])</f>
        <v/>
      </c>
      <c r="AB30" s="325" t="str">
        <f>IF(OR(tblPiNHistorical[[#This Row],[Education - old]]="", tblPiNHistorical[[#This Row],[Education - old]]=0, tblPiNHistorical[[#This Row],[Education - new]]="", tblPiNHistorical[[#This Row],[Education - new]]=0), "", tblPiNHistorical[[#This Row],[Education - new]]-tblPiNHistorical[[#This Row],[Education - old]])</f>
        <v/>
      </c>
      <c r="AC30" s="325" t="str">
        <f>IF(OR(tblPiNHistorical[[#This Row],[Nutrition - old]]="", tblPiNHistorical[[#This Row],[Nutrition - old]]=0, tblPiNHistorical[[#This Row],[Nutrition - new]]="", tblPiNHistorical[[#This Row],[Nutrition - new]]=0), "", tblPiNHistorical[[#This Row],[Nutrition - new]]-tblPiNHistorical[[#This Row],[Nutrition - old]])</f>
        <v/>
      </c>
      <c r="AD30"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30" s="325" t="str">
        <f>IF(OR(tblPiNHistorical[[#This Row],[Health - old]]="", tblPiNHistorical[[#This Row],[Health - old]]=0, tblPiNHistorical[[#This Row],[Health - new]]="", tblPiNHistorical[[#This Row],[Health - new]]=0), "", tblPiNHistorical[[#This Row],[Health - new]]-tblPiNHistorical[[#This Row],[Health - old]])</f>
        <v/>
      </c>
      <c r="AF30"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30" s="325" t="str">
        <f>IF(OR(tblPiNHistorical[[#This Row],[Shelter - old]]="", tblPiNHistorical[[#This Row],[Shelter - old]]=0, tblPiNHistorical[[#This Row],[Shelter - new]]="", tblPiNHistorical[[#This Row],[Shelter - new]]=0), "", tblPiNHistorical[[#This Row],[Shelter - new]]-tblPiNHistorical[[#This Row],[Shelter - old]])</f>
        <v/>
      </c>
      <c r="AH30" s="326" t="str">
        <f>IF(OR(tblPiNHistorical[[#This Row],[WASH - old]]="", tblPiNHistorical[[#This Row],[WASH - old]]=0, tblPiNHistorical[[#This Row],[WASH - new]]="", tblPiNHistorical[[#This Row],[WASH - new]]=0), "", tblPiNHistorical[[#This Row],[WASH - new]]-tblPiNHistorical[[#This Row],[WASH - old]])</f>
        <v/>
      </c>
      <c r="AI30" s="327" t="str">
        <f>IFERROR(ROUND((tblPiNHistorical[[#This Row],[CCCM - new]] - tblPiNHistorical[[#This Row],[CCCM - old]])/tblPiNHistorical[[#This Row],[CCCM - old]], 1), "")</f>
        <v/>
      </c>
      <c r="AJ30" s="328" t="str">
        <f>IFERROR(ROUND((tblPiNHistorical[[#This Row],[Education - new]]-tblPiNHistorical[[#This Row],[Education - old]])/tblPiNHistorical[[#This Row],[Education - old]], 1), "")</f>
        <v/>
      </c>
      <c r="AK30" s="328" t="str">
        <f>IFERROR(ROUND((tblPiNHistorical[[#This Row],[Nutrition - new]]-tblPiNHistorical[[#This Row],[Nutrition - old]])/tblPiNHistorical[[#This Row],[Nutrition - old]], 1), "")</f>
        <v/>
      </c>
      <c r="AL30" s="328" t="str">
        <f>IFERROR(ROUND((tblPiNHistorical[[#This Row],[Food Security - new]]-tblPiNHistorical[[#This Row],[Food Security - old]])/tblPiNHistorical[[#This Row],[Food Security - old]], 1), "")</f>
        <v/>
      </c>
      <c r="AM30" s="328" t="str">
        <f>IFERROR(ROUND((tblPiNHistorical[[#This Row],[Health - new]]-tblPiNHistorical[[#This Row],[Health - old]])/tblPiNHistorical[[#This Row],[Health - old]], 1), "")</f>
        <v/>
      </c>
      <c r="AN30" s="328" t="str">
        <f>IFERROR(ROUND((tblPiNHistorical[[#This Row],[Overarching Protection - new]]-tblPiNHistorical[[#This Row],[Overarching Protection - old]])/tblPiNHistorical[[#This Row],[Overarching Protection - old]], 1), "")</f>
        <v/>
      </c>
      <c r="AO30" s="328" t="str">
        <f>IFERROR(ROUND((tblPiNHistorical[[#This Row],[Shelter - new]]-tblPiNHistorical[[#This Row],[Shelter - old]])/tblPiNHistorical[[#This Row],[Shelter - old]], 1), "")</f>
        <v/>
      </c>
      <c r="AP30" s="37" t="str">
        <f>IFERROR(ROUND((tblPiNHistorical[[#This Row],[WASH - new]]-tblPiNHistorical[[#This Row],[WASH - old]])/tblPiNHistorical[[#This Row],[WASH - old]], 1), "")</f>
        <v/>
      </c>
    </row>
    <row r="31" spans="1:42">
      <c r="A31" s="322" t="s">
        <v>162</v>
      </c>
      <c r="B31" s="320" t="s">
        <v>146</v>
      </c>
      <c r="C31" s="213" t="s">
        <v>147</v>
      </c>
      <c r="D31" s="376" t="s">
        <v>163</v>
      </c>
      <c r="E31" s="103" t="s">
        <v>162</v>
      </c>
      <c r="F31" s="98"/>
      <c r="G31" s="33"/>
      <c r="H31" s="340"/>
      <c r="I31" s="95">
        <v>11921</v>
      </c>
      <c r="J31" s="358" t="s">
        <v>192</v>
      </c>
      <c r="K31" s="303">
        <v>8695</v>
      </c>
      <c r="L31" s="364">
        <v>957.80402097902095</v>
      </c>
      <c r="M31" s="303">
        <v>2030.94</v>
      </c>
      <c r="N31" s="303">
        <v>3624</v>
      </c>
      <c r="O31" s="303">
        <v>493.32415207101047</v>
      </c>
      <c r="P31" s="303">
        <v>8371.7887207031235</v>
      </c>
      <c r="Q31" s="304">
        <v>5075</v>
      </c>
      <c r="R31" s="303">
        <v>9316.0231660231657</v>
      </c>
      <c r="S31" s="323">
        <v>2384.2000000000003</v>
      </c>
      <c r="T31" s="323">
        <v>2164</v>
      </c>
      <c r="U31" s="303">
        <v>992</v>
      </c>
      <c r="V31" s="303">
        <v>3796</v>
      </c>
      <c r="W31" s="303">
        <v>242.72175287218613</v>
      </c>
      <c r="X31" s="303">
        <v>5166</v>
      </c>
      <c r="Y31" s="303">
        <v>1192</v>
      </c>
      <c r="Z31" s="303">
        <v>6932</v>
      </c>
      <c r="AA31" s="324">
        <f>IF(OR(tblPiNHistorical[[#This Row],[CCCM - old]]="", tblPiNHistorical[[#This Row],[CCCM - old]]=0, tblPiNHistorical[[#This Row],[CCCM - new]]="", tblPiNHistorical[[#This Row],[CCCM - new]]=0), "", tblPiNHistorical[[#This Row],[CCCM - new]]-tblPiNHistorical[[#This Row],[CCCM - old]])</f>
        <v>-6310.7999999999993</v>
      </c>
      <c r="AB31" s="325">
        <f>IF(OR(tblPiNHistorical[[#This Row],[Education - old]]="", tblPiNHistorical[[#This Row],[Education - old]]=0, tblPiNHistorical[[#This Row],[Education - new]]="", tblPiNHistorical[[#This Row],[Education - new]]=0), "", tblPiNHistorical[[#This Row],[Education - new]]-tblPiNHistorical[[#This Row],[Education - old]])</f>
        <v>1206.1959790209789</v>
      </c>
      <c r="AC31" s="325">
        <f>IF(OR(tblPiNHistorical[[#This Row],[Nutrition - old]]="", tblPiNHistorical[[#This Row],[Nutrition - old]]=0, tblPiNHistorical[[#This Row],[Nutrition - new]]="", tblPiNHistorical[[#This Row],[Nutrition - new]]=0), "", tblPiNHistorical[[#This Row],[Nutrition - new]]-tblPiNHistorical[[#This Row],[Nutrition - old]])</f>
        <v>-1038.94</v>
      </c>
      <c r="AD31" s="325">
        <f>IF(OR(tblPiNHistorical[[#This Row],[Food Security - old]]="", tblPiNHistorical[[#This Row],[Food Security - old]]=0, tblPiNHistorical[[#This Row],[Food Security - new]]="", tblPiNHistorical[[#This Row],[Food Security - new]]=0), "", tblPiNHistorical[[#This Row],[Food Security - new]]-tblPiNHistorical[[#This Row],[Food Security - old]])</f>
        <v>172</v>
      </c>
      <c r="AE31" s="325">
        <f>IF(OR(tblPiNHistorical[[#This Row],[Health - old]]="", tblPiNHistorical[[#This Row],[Health - old]]=0, tblPiNHistorical[[#This Row],[Health - new]]="", tblPiNHistorical[[#This Row],[Health - new]]=0), "", tblPiNHistorical[[#This Row],[Health - new]]-tblPiNHistorical[[#This Row],[Health - old]])</f>
        <v>-250.60239919882434</v>
      </c>
      <c r="AF31"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-3205.7887207031235</v>
      </c>
      <c r="AG31" s="325">
        <f>IF(OR(tblPiNHistorical[[#This Row],[Shelter - old]]="", tblPiNHistorical[[#This Row],[Shelter - old]]=0, tblPiNHistorical[[#This Row],[Shelter - new]]="", tblPiNHistorical[[#This Row],[Shelter - new]]=0), "", tblPiNHistorical[[#This Row],[Shelter - new]]-tblPiNHistorical[[#This Row],[Shelter - old]])</f>
        <v>-3883</v>
      </c>
      <c r="AH31" s="326">
        <f>IF(OR(tblPiNHistorical[[#This Row],[WASH - old]]="", tblPiNHistorical[[#This Row],[WASH - old]]=0, tblPiNHistorical[[#This Row],[WASH - new]]="", tblPiNHistorical[[#This Row],[WASH - new]]=0), "", tblPiNHistorical[[#This Row],[WASH - new]]-tblPiNHistorical[[#This Row],[WASH - old]])</f>
        <v>-2384.0231660231657</v>
      </c>
      <c r="AI31" s="327">
        <f>IFERROR(ROUND((tblPiNHistorical[[#This Row],[CCCM - new]] - tblPiNHistorical[[#This Row],[CCCM - old]])/tblPiNHistorical[[#This Row],[CCCM - old]], 1), "")</f>
        <v>-0.7</v>
      </c>
      <c r="AJ31" s="328">
        <f>IFERROR(ROUND((tblPiNHistorical[[#This Row],[Education - new]]-tblPiNHistorical[[#This Row],[Education - old]])/tblPiNHistorical[[#This Row],[Education - old]], 1), "")</f>
        <v>1.3</v>
      </c>
      <c r="AK31" s="328">
        <f>IFERROR(ROUND((tblPiNHistorical[[#This Row],[Nutrition - new]]-tblPiNHistorical[[#This Row],[Nutrition - old]])/tblPiNHistorical[[#This Row],[Nutrition - old]], 1), "")</f>
        <v>-0.5</v>
      </c>
      <c r="AL31" s="328">
        <f>IFERROR(ROUND((tblPiNHistorical[[#This Row],[Food Security - new]]-tblPiNHistorical[[#This Row],[Food Security - old]])/tblPiNHistorical[[#This Row],[Food Security - old]], 1), "")</f>
        <v>0</v>
      </c>
      <c r="AM31" s="328">
        <f>IFERROR(ROUND((tblPiNHistorical[[#This Row],[Health - new]]-tblPiNHistorical[[#This Row],[Health - old]])/tblPiNHistorical[[#This Row],[Health - old]], 1), "")</f>
        <v>-0.5</v>
      </c>
      <c r="AN31" s="328">
        <f>IFERROR(ROUND((tblPiNHistorical[[#This Row],[Overarching Protection - new]]-tblPiNHistorical[[#This Row],[Overarching Protection - old]])/tblPiNHistorical[[#This Row],[Overarching Protection - old]], 1), "")</f>
        <v>-0.4</v>
      </c>
      <c r="AO31" s="328">
        <f>IFERROR(ROUND((tblPiNHistorical[[#This Row],[Shelter - new]]-tblPiNHistorical[[#This Row],[Shelter - old]])/tblPiNHistorical[[#This Row],[Shelter - old]], 1), "")</f>
        <v>-0.8</v>
      </c>
      <c r="AP31" s="37">
        <f>IFERROR(ROUND((tblPiNHistorical[[#This Row],[WASH - new]]-tblPiNHistorical[[#This Row],[WASH - old]])/tblPiNHistorical[[#This Row],[WASH - old]], 1), "")</f>
        <v>-0.3</v>
      </c>
    </row>
    <row r="32" spans="1:42">
      <c r="A32" s="322" t="s">
        <v>164</v>
      </c>
      <c r="B32" s="320" t="s">
        <v>146</v>
      </c>
      <c r="C32" s="213" t="s">
        <v>147</v>
      </c>
      <c r="D32" s="376" t="s">
        <v>165</v>
      </c>
      <c r="E32" s="103" t="s">
        <v>164</v>
      </c>
      <c r="F32" s="98"/>
      <c r="G32" s="33"/>
      <c r="H32" s="340"/>
      <c r="I32" s="95"/>
      <c r="J32" s="358" t="s">
        <v>192</v>
      </c>
      <c r="K32" s="303">
        <v>0</v>
      </c>
      <c r="L32" s="364">
        <v>0</v>
      </c>
      <c r="M32" s="303">
        <v>0</v>
      </c>
      <c r="N32" s="303"/>
      <c r="O32" s="303">
        <v>0</v>
      </c>
      <c r="P32" s="303">
        <v>0</v>
      </c>
      <c r="Q32" s="304">
        <v>0</v>
      </c>
      <c r="R32" s="303">
        <v>0</v>
      </c>
      <c r="S32" s="323">
        <v>0</v>
      </c>
      <c r="T32" s="323"/>
      <c r="U32" s="303">
        <v>0</v>
      </c>
      <c r="V32" s="303"/>
      <c r="W32" s="303">
        <v>0</v>
      </c>
      <c r="X32" s="303">
        <v>0</v>
      </c>
      <c r="Y32" s="303"/>
      <c r="Z32" s="303">
        <v>0</v>
      </c>
      <c r="AA32" s="324" t="str">
        <f>IF(OR(tblPiNHistorical[[#This Row],[CCCM - old]]="", tblPiNHistorical[[#This Row],[CCCM - old]]=0, tblPiNHistorical[[#This Row],[CCCM - new]]="", tblPiNHistorical[[#This Row],[CCCM - new]]=0), "", tblPiNHistorical[[#This Row],[CCCM - new]]-tblPiNHistorical[[#This Row],[CCCM - old]])</f>
        <v/>
      </c>
      <c r="AB32" s="325" t="str">
        <f>IF(OR(tblPiNHistorical[[#This Row],[Education - old]]="", tblPiNHistorical[[#This Row],[Education - old]]=0, tblPiNHistorical[[#This Row],[Education - new]]="", tblPiNHistorical[[#This Row],[Education - new]]=0), "", tblPiNHistorical[[#This Row],[Education - new]]-tblPiNHistorical[[#This Row],[Education - old]])</f>
        <v/>
      </c>
      <c r="AC32" s="325" t="str">
        <f>IF(OR(tblPiNHistorical[[#This Row],[Nutrition - old]]="", tblPiNHistorical[[#This Row],[Nutrition - old]]=0, tblPiNHistorical[[#This Row],[Nutrition - new]]="", tblPiNHistorical[[#This Row],[Nutrition - new]]=0), "", tblPiNHistorical[[#This Row],[Nutrition - new]]-tblPiNHistorical[[#This Row],[Nutrition - old]])</f>
        <v/>
      </c>
      <c r="AD32"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32" s="325" t="str">
        <f>IF(OR(tblPiNHistorical[[#This Row],[Health - old]]="", tblPiNHistorical[[#This Row],[Health - old]]=0, tblPiNHistorical[[#This Row],[Health - new]]="", tblPiNHistorical[[#This Row],[Health - new]]=0), "", tblPiNHistorical[[#This Row],[Health - new]]-tblPiNHistorical[[#This Row],[Health - old]])</f>
        <v/>
      </c>
      <c r="AF32"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32" s="325" t="str">
        <f>IF(OR(tblPiNHistorical[[#This Row],[Shelter - old]]="", tblPiNHistorical[[#This Row],[Shelter - old]]=0, tblPiNHistorical[[#This Row],[Shelter - new]]="", tblPiNHistorical[[#This Row],[Shelter - new]]=0), "", tblPiNHistorical[[#This Row],[Shelter - new]]-tblPiNHistorical[[#This Row],[Shelter - old]])</f>
        <v/>
      </c>
      <c r="AH32" s="326" t="str">
        <f>IF(OR(tblPiNHistorical[[#This Row],[WASH - old]]="", tblPiNHistorical[[#This Row],[WASH - old]]=0, tblPiNHistorical[[#This Row],[WASH - new]]="", tblPiNHistorical[[#This Row],[WASH - new]]=0), "", tblPiNHistorical[[#This Row],[WASH - new]]-tblPiNHistorical[[#This Row],[WASH - old]])</f>
        <v/>
      </c>
      <c r="AI32" s="327" t="str">
        <f>IFERROR(ROUND((tblPiNHistorical[[#This Row],[CCCM - new]] - tblPiNHistorical[[#This Row],[CCCM - old]])/tblPiNHistorical[[#This Row],[CCCM - old]], 1), "")</f>
        <v/>
      </c>
      <c r="AJ32" s="328" t="str">
        <f>IFERROR(ROUND((tblPiNHistorical[[#This Row],[Education - new]]-tblPiNHistorical[[#This Row],[Education - old]])/tblPiNHistorical[[#This Row],[Education - old]], 1), "")</f>
        <v/>
      </c>
      <c r="AK32" s="328" t="str">
        <f>IFERROR(ROUND((tblPiNHistorical[[#This Row],[Nutrition - new]]-tblPiNHistorical[[#This Row],[Nutrition - old]])/tblPiNHistorical[[#This Row],[Nutrition - old]], 1), "")</f>
        <v/>
      </c>
      <c r="AL32" s="328" t="str">
        <f>IFERROR(ROUND((tblPiNHistorical[[#This Row],[Food Security - new]]-tblPiNHistorical[[#This Row],[Food Security - old]])/tblPiNHistorical[[#This Row],[Food Security - old]], 1), "")</f>
        <v/>
      </c>
      <c r="AM32" s="328" t="str">
        <f>IFERROR(ROUND((tblPiNHistorical[[#This Row],[Health - new]]-tblPiNHistorical[[#This Row],[Health - old]])/tblPiNHistorical[[#This Row],[Health - old]], 1), "")</f>
        <v/>
      </c>
      <c r="AN32" s="328" t="str">
        <f>IFERROR(ROUND((tblPiNHistorical[[#This Row],[Overarching Protection - new]]-tblPiNHistorical[[#This Row],[Overarching Protection - old]])/tblPiNHistorical[[#This Row],[Overarching Protection - old]], 1), "")</f>
        <v/>
      </c>
      <c r="AO32" s="328" t="str">
        <f>IFERROR(ROUND((tblPiNHistorical[[#This Row],[Shelter - new]]-tblPiNHistorical[[#This Row],[Shelter - old]])/tblPiNHistorical[[#This Row],[Shelter - old]], 1), "")</f>
        <v/>
      </c>
      <c r="AP32" s="37" t="str">
        <f>IFERROR(ROUND((tblPiNHistorical[[#This Row],[WASH - new]]-tblPiNHistorical[[#This Row],[WASH - old]])/tblPiNHistorical[[#This Row],[WASH - old]], 1), "")</f>
        <v/>
      </c>
    </row>
    <row r="33" spans="1:42" ht="27.95">
      <c r="A33" s="322" t="s">
        <v>166</v>
      </c>
      <c r="B33" s="320" t="s">
        <v>146</v>
      </c>
      <c r="C33" s="213" t="s">
        <v>147</v>
      </c>
      <c r="D33" s="376" t="s">
        <v>167</v>
      </c>
      <c r="E33" s="103" t="s">
        <v>166</v>
      </c>
      <c r="F33" s="98"/>
      <c r="G33" s="33"/>
      <c r="H33" s="340"/>
      <c r="I33" s="95">
        <v>197872</v>
      </c>
      <c r="J33" s="358" t="s">
        <v>192</v>
      </c>
      <c r="K33" s="303">
        <v>508.2</v>
      </c>
      <c r="L33" s="364">
        <v>30227.52075</v>
      </c>
      <c r="M33" s="303">
        <v>36799.164000000004</v>
      </c>
      <c r="N33" s="303">
        <v>27351</v>
      </c>
      <c r="O33" s="303">
        <v>104309.8727533897</v>
      </c>
      <c r="P33" s="303">
        <v>88975</v>
      </c>
      <c r="Q33" s="304">
        <v>84764</v>
      </c>
      <c r="R33" s="303">
        <v>94924.411575562684</v>
      </c>
      <c r="S33" s="323">
        <v>39574.400000000001</v>
      </c>
      <c r="T33" s="323">
        <v>7812</v>
      </c>
      <c r="U33" s="303">
        <v>17112</v>
      </c>
      <c r="V33" s="303">
        <v>24515</v>
      </c>
      <c r="W33" s="303">
        <v>131128.77897894711</v>
      </c>
      <c r="X33" s="303">
        <v>128075</v>
      </c>
      <c r="Y33" s="303">
        <v>37270</v>
      </c>
      <c r="Z33" s="303">
        <v>81317</v>
      </c>
      <c r="AA33" s="324">
        <f>IF(OR(tblPiNHistorical[[#This Row],[CCCM - old]]="", tblPiNHistorical[[#This Row],[CCCM - old]]=0, tblPiNHistorical[[#This Row],[CCCM - new]]="", tblPiNHistorical[[#This Row],[CCCM - new]]=0), "", tblPiNHistorical[[#This Row],[CCCM - new]]-tblPiNHistorical[[#This Row],[CCCM - old]])</f>
        <v>39066.200000000004</v>
      </c>
      <c r="AB33" s="325">
        <f>IF(OR(tblPiNHistorical[[#This Row],[Education - old]]="", tblPiNHistorical[[#This Row],[Education - old]]=0, tblPiNHistorical[[#This Row],[Education - new]]="", tblPiNHistorical[[#This Row],[Education - new]]=0), "", tblPiNHistorical[[#This Row],[Education - new]]-tblPiNHistorical[[#This Row],[Education - old]])</f>
        <v>-22415.52075</v>
      </c>
      <c r="AC33" s="325">
        <f>IF(OR(tblPiNHistorical[[#This Row],[Nutrition - old]]="", tblPiNHistorical[[#This Row],[Nutrition - old]]=0, tblPiNHistorical[[#This Row],[Nutrition - new]]="", tblPiNHistorical[[#This Row],[Nutrition - new]]=0), "", tblPiNHistorical[[#This Row],[Nutrition - new]]-tblPiNHistorical[[#This Row],[Nutrition - old]])</f>
        <v>-19687.164000000004</v>
      </c>
      <c r="AD33" s="325">
        <f>IF(OR(tblPiNHistorical[[#This Row],[Food Security - old]]="", tblPiNHistorical[[#This Row],[Food Security - old]]=0, tblPiNHistorical[[#This Row],[Food Security - new]]="", tblPiNHistorical[[#This Row],[Food Security - new]]=0), "", tblPiNHistorical[[#This Row],[Food Security - new]]-tblPiNHistorical[[#This Row],[Food Security - old]])</f>
        <v>-2836</v>
      </c>
      <c r="AE33" s="325">
        <f>IF(OR(tblPiNHistorical[[#This Row],[Health - old]]="", tblPiNHistorical[[#This Row],[Health - old]]=0, tblPiNHistorical[[#This Row],[Health - new]]="", tblPiNHistorical[[#This Row],[Health - new]]=0), "", tblPiNHistorical[[#This Row],[Health - new]]-tblPiNHistorical[[#This Row],[Health - old]])</f>
        <v>26818.90622555741</v>
      </c>
      <c r="AF33"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39100</v>
      </c>
      <c r="AG33" s="325">
        <f>IF(OR(tblPiNHistorical[[#This Row],[Shelter - old]]="", tblPiNHistorical[[#This Row],[Shelter - old]]=0, tblPiNHistorical[[#This Row],[Shelter - new]]="", tblPiNHistorical[[#This Row],[Shelter - new]]=0), "", tblPiNHistorical[[#This Row],[Shelter - new]]-tblPiNHistorical[[#This Row],[Shelter - old]])</f>
        <v>-47494</v>
      </c>
      <c r="AH33" s="326">
        <f>IF(OR(tblPiNHistorical[[#This Row],[WASH - old]]="", tblPiNHistorical[[#This Row],[WASH - old]]=0, tblPiNHistorical[[#This Row],[WASH - new]]="", tblPiNHistorical[[#This Row],[WASH - new]]=0), "", tblPiNHistorical[[#This Row],[WASH - new]]-tblPiNHistorical[[#This Row],[WASH - old]])</f>
        <v>-13607.411575562684</v>
      </c>
      <c r="AI33" s="327">
        <f>IFERROR(ROUND((tblPiNHistorical[[#This Row],[CCCM - new]] - tblPiNHistorical[[#This Row],[CCCM - old]])/tblPiNHistorical[[#This Row],[CCCM - old]], 1), "")</f>
        <v>76.900000000000006</v>
      </c>
      <c r="AJ33" s="328">
        <f>IFERROR(ROUND((tblPiNHistorical[[#This Row],[Education - new]]-tblPiNHistorical[[#This Row],[Education - old]])/tblPiNHistorical[[#This Row],[Education - old]], 1), "")</f>
        <v>-0.7</v>
      </c>
      <c r="AK33" s="328">
        <f>IFERROR(ROUND((tblPiNHistorical[[#This Row],[Nutrition - new]]-tblPiNHistorical[[#This Row],[Nutrition - old]])/tblPiNHistorical[[#This Row],[Nutrition - old]], 1), "")</f>
        <v>-0.5</v>
      </c>
      <c r="AL33" s="328">
        <f>IFERROR(ROUND((tblPiNHistorical[[#This Row],[Food Security - new]]-tblPiNHistorical[[#This Row],[Food Security - old]])/tblPiNHistorical[[#This Row],[Food Security - old]], 1), "")</f>
        <v>-0.1</v>
      </c>
      <c r="AM33" s="328">
        <f>IFERROR(ROUND((tblPiNHistorical[[#This Row],[Health - new]]-tblPiNHistorical[[#This Row],[Health - old]])/tblPiNHistorical[[#This Row],[Health - old]], 1), "")</f>
        <v>0.3</v>
      </c>
      <c r="AN33" s="328">
        <f>IFERROR(ROUND((tblPiNHistorical[[#This Row],[Overarching Protection - new]]-tblPiNHistorical[[#This Row],[Overarching Protection - old]])/tblPiNHistorical[[#This Row],[Overarching Protection - old]], 1), "")</f>
        <v>0.4</v>
      </c>
      <c r="AO33" s="328">
        <f>IFERROR(ROUND((tblPiNHistorical[[#This Row],[Shelter - new]]-tblPiNHistorical[[#This Row],[Shelter - old]])/tblPiNHistorical[[#This Row],[Shelter - old]], 1), "")</f>
        <v>-0.6</v>
      </c>
      <c r="AP33" s="37">
        <f>IFERROR(ROUND((tblPiNHistorical[[#This Row],[WASH - new]]-tblPiNHistorical[[#This Row],[WASH - old]])/tblPiNHistorical[[#This Row],[WASH - old]], 1), "")</f>
        <v>-0.1</v>
      </c>
    </row>
    <row r="34" spans="1:42">
      <c r="A34" s="322" t="s">
        <v>168</v>
      </c>
      <c r="B34" s="320" t="s">
        <v>146</v>
      </c>
      <c r="C34" s="213" t="s">
        <v>147</v>
      </c>
      <c r="D34" s="376" t="s">
        <v>169</v>
      </c>
      <c r="E34" s="103" t="s">
        <v>168</v>
      </c>
      <c r="F34" s="98"/>
      <c r="G34" s="33"/>
      <c r="H34" s="340"/>
      <c r="I34" s="95"/>
      <c r="J34" s="358" t="s">
        <v>192</v>
      </c>
      <c r="K34" s="303">
        <v>0</v>
      </c>
      <c r="L34" s="364">
        <v>0</v>
      </c>
      <c r="M34" s="303">
        <v>0</v>
      </c>
      <c r="N34" s="303"/>
      <c r="O34" s="303">
        <v>0</v>
      </c>
      <c r="P34" s="303">
        <v>0</v>
      </c>
      <c r="Q34" s="304">
        <v>0</v>
      </c>
      <c r="R34" s="303">
        <v>0</v>
      </c>
      <c r="S34" s="323">
        <v>0</v>
      </c>
      <c r="T34" s="323"/>
      <c r="U34" s="303">
        <v>0</v>
      </c>
      <c r="V34" s="303"/>
      <c r="W34" s="303">
        <v>0</v>
      </c>
      <c r="X34" s="303">
        <v>0</v>
      </c>
      <c r="Y34" s="303"/>
      <c r="Z34" s="303">
        <v>0</v>
      </c>
      <c r="AA34" s="324" t="str">
        <f>IF(OR(tblPiNHistorical[[#This Row],[CCCM - old]]="", tblPiNHistorical[[#This Row],[CCCM - old]]=0, tblPiNHistorical[[#This Row],[CCCM - new]]="", tblPiNHistorical[[#This Row],[CCCM - new]]=0), "", tblPiNHistorical[[#This Row],[CCCM - new]]-tblPiNHistorical[[#This Row],[CCCM - old]])</f>
        <v/>
      </c>
      <c r="AB34" s="325" t="str">
        <f>IF(OR(tblPiNHistorical[[#This Row],[Education - old]]="", tblPiNHistorical[[#This Row],[Education - old]]=0, tblPiNHistorical[[#This Row],[Education - new]]="", tblPiNHistorical[[#This Row],[Education - new]]=0), "", tblPiNHistorical[[#This Row],[Education - new]]-tblPiNHistorical[[#This Row],[Education - old]])</f>
        <v/>
      </c>
      <c r="AC34" s="325" t="str">
        <f>IF(OR(tblPiNHistorical[[#This Row],[Nutrition - old]]="", tblPiNHistorical[[#This Row],[Nutrition - old]]=0, tblPiNHistorical[[#This Row],[Nutrition - new]]="", tblPiNHistorical[[#This Row],[Nutrition - new]]=0), "", tblPiNHistorical[[#This Row],[Nutrition - new]]-tblPiNHistorical[[#This Row],[Nutrition - old]])</f>
        <v/>
      </c>
      <c r="AD34"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34" s="325" t="str">
        <f>IF(OR(tblPiNHistorical[[#This Row],[Health - old]]="", tblPiNHistorical[[#This Row],[Health - old]]=0, tblPiNHistorical[[#This Row],[Health - new]]="", tblPiNHistorical[[#This Row],[Health - new]]=0), "", tblPiNHistorical[[#This Row],[Health - new]]-tblPiNHistorical[[#This Row],[Health - old]])</f>
        <v/>
      </c>
      <c r="AF34"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34" s="325" t="str">
        <f>IF(OR(tblPiNHistorical[[#This Row],[Shelter - old]]="", tblPiNHistorical[[#This Row],[Shelter - old]]=0, tblPiNHistorical[[#This Row],[Shelter - new]]="", tblPiNHistorical[[#This Row],[Shelter - new]]=0), "", tblPiNHistorical[[#This Row],[Shelter - new]]-tblPiNHistorical[[#This Row],[Shelter - old]])</f>
        <v/>
      </c>
      <c r="AH34" s="326" t="str">
        <f>IF(OR(tblPiNHistorical[[#This Row],[WASH - old]]="", tblPiNHistorical[[#This Row],[WASH - old]]=0, tblPiNHistorical[[#This Row],[WASH - new]]="", tblPiNHistorical[[#This Row],[WASH - new]]=0), "", tblPiNHistorical[[#This Row],[WASH - new]]-tblPiNHistorical[[#This Row],[WASH - old]])</f>
        <v/>
      </c>
      <c r="AI34" s="327" t="str">
        <f>IFERROR(ROUND((tblPiNHistorical[[#This Row],[CCCM - new]] - tblPiNHistorical[[#This Row],[CCCM - old]])/tblPiNHistorical[[#This Row],[CCCM - old]], 1), "")</f>
        <v/>
      </c>
      <c r="AJ34" s="328" t="str">
        <f>IFERROR(ROUND((tblPiNHistorical[[#This Row],[Education - new]]-tblPiNHistorical[[#This Row],[Education - old]])/tblPiNHistorical[[#This Row],[Education - old]], 1), "")</f>
        <v/>
      </c>
      <c r="AK34" s="328" t="str">
        <f>IFERROR(ROUND((tblPiNHistorical[[#This Row],[Nutrition - new]]-tblPiNHistorical[[#This Row],[Nutrition - old]])/tblPiNHistorical[[#This Row],[Nutrition - old]], 1), "")</f>
        <v/>
      </c>
      <c r="AL34" s="328" t="str">
        <f>IFERROR(ROUND((tblPiNHistorical[[#This Row],[Food Security - new]]-tblPiNHistorical[[#This Row],[Food Security - old]])/tblPiNHistorical[[#This Row],[Food Security - old]], 1), "")</f>
        <v/>
      </c>
      <c r="AM34" s="328" t="str">
        <f>IFERROR(ROUND((tblPiNHistorical[[#This Row],[Health - new]]-tblPiNHistorical[[#This Row],[Health - old]])/tblPiNHistorical[[#This Row],[Health - old]], 1), "")</f>
        <v/>
      </c>
      <c r="AN34" s="328" t="str">
        <f>IFERROR(ROUND((tblPiNHistorical[[#This Row],[Overarching Protection - new]]-tblPiNHistorical[[#This Row],[Overarching Protection - old]])/tblPiNHistorical[[#This Row],[Overarching Protection - old]], 1), "")</f>
        <v/>
      </c>
      <c r="AO34" s="328" t="str">
        <f>IFERROR(ROUND((tblPiNHistorical[[#This Row],[Shelter - new]]-tblPiNHistorical[[#This Row],[Shelter - old]])/tblPiNHistorical[[#This Row],[Shelter - old]], 1), "")</f>
        <v/>
      </c>
      <c r="AP34" s="37" t="str">
        <f>IFERROR(ROUND((tblPiNHistorical[[#This Row],[WASH - new]]-tblPiNHistorical[[#This Row],[WASH - old]])/tblPiNHistorical[[#This Row],[WASH - old]], 1), "")</f>
        <v/>
      </c>
    </row>
    <row r="35" spans="1:42">
      <c r="A35" s="322" t="s">
        <v>170</v>
      </c>
      <c r="B35" s="320" t="s">
        <v>146</v>
      </c>
      <c r="C35" s="213" t="s">
        <v>147</v>
      </c>
      <c r="D35" s="376" t="s">
        <v>171</v>
      </c>
      <c r="E35" s="103" t="s">
        <v>170</v>
      </c>
      <c r="F35" s="98"/>
      <c r="G35" s="33"/>
      <c r="H35" s="340"/>
      <c r="I35" s="95">
        <v>58674</v>
      </c>
      <c r="J35" s="358" t="s">
        <v>192</v>
      </c>
      <c r="K35" s="303">
        <v>36421</v>
      </c>
      <c r="L35" s="364">
        <v>4321.8755007424734</v>
      </c>
      <c r="M35" s="303">
        <v>9438.9720000000016</v>
      </c>
      <c r="N35" s="303">
        <v>24842</v>
      </c>
      <c r="O35" s="303">
        <v>1787.4078974043125</v>
      </c>
      <c r="P35" s="303">
        <v>24827</v>
      </c>
      <c r="Q35" s="304">
        <v>19794</v>
      </c>
      <c r="R35" s="303">
        <v>51022.851851851847</v>
      </c>
      <c r="S35" s="323">
        <v>11734.800000000001</v>
      </c>
      <c r="T35" s="323">
        <v>10352</v>
      </c>
      <c r="U35" s="303">
        <v>5709</v>
      </c>
      <c r="V35" s="303">
        <v>17065</v>
      </c>
      <c r="W35" s="303">
        <v>333.67144363794284</v>
      </c>
      <c r="X35" s="303">
        <v>9372</v>
      </c>
      <c r="Y35" s="303">
        <v>16417</v>
      </c>
      <c r="Z35" s="303">
        <v>43169</v>
      </c>
      <c r="AA35" s="324">
        <f>IF(OR(tblPiNHistorical[[#This Row],[CCCM - old]]="", tblPiNHistorical[[#This Row],[CCCM - old]]=0, tblPiNHistorical[[#This Row],[CCCM - new]]="", tblPiNHistorical[[#This Row],[CCCM - new]]=0), "", tblPiNHistorical[[#This Row],[CCCM - new]]-tblPiNHistorical[[#This Row],[CCCM - old]])</f>
        <v>-24686.199999999997</v>
      </c>
      <c r="AB35" s="325">
        <f>IF(OR(tblPiNHistorical[[#This Row],[Education - old]]="", tblPiNHistorical[[#This Row],[Education - old]]=0, tblPiNHistorical[[#This Row],[Education - new]]="", tblPiNHistorical[[#This Row],[Education - new]]=0), "", tblPiNHistorical[[#This Row],[Education - new]]-tblPiNHistorical[[#This Row],[Education - old]])</f>
        <v>6030.1244992575266</v>
      </c>
      <c r="AC35" s="325">
        <f>IF(OR(tblPiNHistorical[[#This Row],[Nutrition - old]]="", tblPiNHistorical[[#This Row],[Nutrition - old]]=0, tblPiNHistorical[[#This Row],[Nutrition - new]]="", tblPiNHistorical[[#This Row],[Nutrition - new]]=0), "", tblPiNHistorical[[#This Row],[Nutrition - new]]-tblPiNHistorical[[#This Row],[Nutrition - old]])</f>
        <v>-3729.9720000000016</v>
      </c>
      <c r="AD35" s="325">
        <f>IF(OR(tblPiNHistorical[[#This Row],[Food Security - old]]="", tblPiNHistorical[[#This Row],[Food Security - old]]=0, tblPiNHistorical[[#This Row],[Food Security - new]]="", tblPiNHistorical[[#This Row],[Food Security - new]]=0), "", tblPiNHistorical[[#This Row],[Food Security - new]]-tblPiNHistorical[[#This Row],[Food Security - old]])</f>
        <v>-7777</v>
      </c>
      <c r="AE35" s="325">
        <f>IF(OR(tblPiNHistorical[[#This Row],[Health - old]]="", tblPiNHistorical[[#This Row],[Health - old]]=0, tblPiNHistorical[[#This Row],[Health - new]]="", tblPiNHistorical[[#This Row],[Health - new]]=0), "", tblPiNHistorical[[#This Row],[Health - new]]-tblPiNHistorical[[#This Row],[Health - old]])</f>
        <v>-1453.7364537663698</v>
      </c>
      <c r="AF35"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-15455</v>
      </c>
      <c r="AG35" s="325">
        <f>IF(OR(tblPiNHistorical[[#This Row],[Shelter - old]]="", tblPiNHistorical[[#This Row],[Shelter - old]]=0, tblPiNHistorical[[#This Row],[Shelter - new]]="", tblPiNHistorical[[#This Row],[Shelter - new]]=0), "", tblPiNHistorical[[#This Row],[Shelter - new]]-tblPiNHistorical[[#This Row],[Shelter - old]])</f>
        <v>-3377</v>
      </c>
      <c r="AH35" s="326">
        <f>IF(OR(tblPiNHistorical[[#This Row],[WASH - old]]="", tblPiNHistorical[[#This Row],[WASH - old]]=0, tblPiNHistorical[[#This Row],[WASH - new]]="", tblPiNHistorical[[#This Row],[WASH - new]]=0), "", tblPiNHistorical[[#This Row],[WASH - new]]-tblPiNHistorical[[#This Row],[WASH - old]])</f>
        <v>-7853.8518518518467</v>
      </c>
      <c r="AI35" s="327">
        <f>IFERROR(ROUND((tblPiNHistorical[[#This Row],[CCCM - new]] - tblPiNHistorical[[#This Row],[CCCM - old]])/tblPiNHistorical[[#This Row],[CCCM - old]], 1), "")</f>
        <v>-0.7</v>
      </c>
      <c r="AJ35" s="328">
        <f>IFERROR(ROUND((tblPiNHistorical[[#This Row],[Education - new]]-tblPiNHistorical[[#This Row],[Education - old]])/tblPiNHistorical[[#This Row],[Education - old]], 1), "")</f>
        <v>1.4</v>
      </c>
      <c r="AK35" s="328">
        <f>IFERROR(ROUND((tblPiNHistorical[[#This Row],[Nutrition - new]]-tblPiNHistorical[[#This Row],[Nutrition - old]])/tblPiNHistorical[[#This Row],[Nutrition - old]], 1), "")</f>
        <v>-0.4</v>
      </c>
      <c r="AL35" s="328">
        <f>IFERROR(ROUND((tblPiNHistorical[[#This Row],[Food Security - new]]-tblPiNHistorical[[#This Row],[Food Security - old]])/tblPiNHistorical[[#This Row],[Food Security - old]], 1), "")</f>
        <v>-0.3</v>
      </c>
      <c r="AM35" s="328">
        <f>IFERROR(ROUND((tblPiNHistorical[[#This Row],[Health - new]]-tblPiNHistorical[[#This Row],[Health - old]])/tblPiNHistorical[[#This Row],[Health - old]], 1), "")</f>
        <v>-0.8</v>
      </c>
      <c r="AN35" s="328">
        <f>IFERROR(ROUND((tblPiNHistorical[[#This Row],[Overarching Protection - new]]-tblPiNHistorical[[#This Row],[Overarching Protection - old]])/tblPiNHistorical[[#This Row],[Overarching Protection - old]], 1), "")</f>
        <v>-0.6</v>
      </c>
      <c r="AO35" s="328">
        <f>IFERROR(ROUND((tblPiNHistorical[[#This Row],[Shelter - new]]-tblPiNHistorical[[#This Row],[Shelter - old]])/tblPiNHistorical[[#This Row],[Shelter - old]], 1), "")</f>
        <v>-0.2</v>
      </c>
      <c r="AP35" s="37">
        <f>IFERROR(ROUND((tblPiNHistorical[[#This Row],[WASH - new]]-tblPiNHistorical[[#This Row],[WASH - old]])/tblPiNHistorical[[#This Row],[WASH - old]], 1), "")</f>
        <v>-0.2</v>
      </c>
    </row>
    <row r="36" spans="1:42">
      <c r="A36" s="322" t="s">
        <v>172</v>
      </c>
      <c r="B36" s="320" t="s">
        <v>146</v>
      </c>
      <c r="C36" s="213" t="s">
        <v>147</v>
      </c>
      <c r="D36" s="376" t="s">
        <v>173</v>
      </c>
      <c r="E36" s="103" t="s">
        <v>172</v>
      </c>
      <c r="F36" s="98"/>
      <c r="G36" s="33"/>
      <c r="H36" s="340"/>
      <c r="I36" s="95">
        <v>39768</v>
      </c>
      <c r="J36" s="358" t="s">
        <v>192</v>
      </c>
      <c r="K36" s="303">
        <v>9645</v>
      </c>
      <c r="L36" s="364">
        <v>4766.8405555555555</v>
      </c>
      <c r="M36" s="303">
        <v>7924.764000000001</v>
      </c>
      <c r="N36" s="303">
        <v>20001</v>
      </c>
      <c r="O36" s="303">
        <v>4129.6540642745022</v>
      </c>
      <c r="P36" s="303">
        <v>20870.715593475623</v>
      </c>
      <c r="Q36" s="304">
        <v>19337</v>
      </c>
      <c r="R36" s="303">
        <v>50150.328671328665</v>
      </c>
      <c r="S36" s="323">
        <v>7953.6</v>
      </c>
      <c r="T36" s="323">
        <v>5802</v>
      </c>
      <c r="U36" s="303">
        <v>3596</v>
      </c>
      <c r="V36" s="303">
        <v>32015</v>
      </c>
      <c r="W36" s="303">
        <v>563.87741672672576</v>
      </c>
      <c r="X36" s="303">
        <v>23945</v>
      </c>
      <c r="Y36" s="303">
        <v>15683</v>
      </c>
      <c r="Z36" s="303">
        <v>35147</v>
      </c>
      <c r="AA36" s="324">
        <f>IF(OR(tblPiNHistorical[[#This Row],[CCCM - old]]="", tblPiNHistorical[[#This Row],[CCCM - old]]=0, tblPiNHistorical[[#This Row],[CCCM - new]]="", tblPiNHistorical[[#This Row],[CCCM - new]]=0), "", tblPiNHistorical[[#This Row],[CCCM - new]]-tblPiNHistorical[[#This Row],[CCCM - old]])</f>
        <v>-1691.3999999999996</v>
      </c>
      <c r="AB36" s="325">
        <f>IF(OR(tblPiNHistorical[[#This Row],[Education - old]]="", tblPiNHistorical[[#This Row],[Education - old]]=0, tblPiNHistorical[[#This Row],[Education - new]]="", tblPiNHistorical[[#This Row],[Education - new]]=0), "", tblPiNHistorical[[#This Row],[Education - new]]-tblPiNHistorical[[#This Row],[Education - old]])</f>
        <v>1035.1594444444445</v>
      </c>
      <c r="AC36" s="325">
        <f>IF(OR(tblPiNHistorical[[#This Row],[Nutrition - old]]="", tblPiNHistorical[[#This Row],[Nutrition - old]]=0, tblPiNHistorical[[#This Row],[Nutrition - new]]="", tblPiNHistorical[[#This Row],[Nutrition - new]]=0), "", tblPiNHistorical[[#This Row],[Nutrition - new]]-tblPiNHistorical[[#This Row],[Nutrition - old]])</f>
        <v>-4328.764000000001</v>
      </c>
      <c r="AD36" s="325">
        <f>IF(OR(tblPiNHistorical[[#This Row],[Food Security - old]]="", tblPiNHistorical[[#This Row],[Food Security - old]]=0, tblPiNHistorical[[#This Row],[Food Security - new]]="", tblPiNHistorical[[#This Row],[Food Security - new]]=0), "", tblPiNHistorical[[#This Row],[Food Security - new]]-tblPiNHistorical[[#This Row],[Food Security - old]])</f>
        <v>12014</v>
      </c>
      <c r="AE36" s="325">
        <f>IF(OR(tblPiNHistorical[[#This Row],[Health - old]]="", tblPiNHistorical[[#This Row],[Health - old]]=0, tblPiNHistorical[[#This Row],[Health - new]]="", tblPiNHistorical[[#This Row],[Health - new]]=0), "", tblPiNHistorical[[#This Row],[Health - new]]-tblPiNHistorical[[#This Row],[Health - old]])</f>
        <v>-3565.7766475477765</v>
      </c>
      <c r="AF36"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3074.2844065243771</v>
      </c>
      <c r="AG36" s="325">
        <f>IF(OR(tblPiNHistorical[[#This Row],[Shelter - old]]="", tblPiNHistorical[[#This Row],[Shelter - old]]=0, tblPiNHistorical[[#This Row],[Shelter - new]]="", tblPiNHistorical[[#This Row],[Shelter - new]]=0), "", tblPiNHistorical[[#This Row],[Shelter - new]]-tblPiNHistorical[[#This Row],[Shelter - old]])</f>
        <v>-3654</v>
      </c>
      <c r="AH36" s="326">
        <f>IF(OR(tblPiNHistorical[[#This Row],[WASH - old]]="", tblPiNHistorical[[#This Row],[WASH - old]]=0, tblPiNHistorical[[#This Row],[WASH - new]]="", tblPiNHistorical[[#This Row],[WASH - new]]=0), "", tblPiNHistorical[[#This Row],[WASH - new]]-tblPiNHistorical[[#This Row],[WASH - old]])</f>
        <v>-15003.328671328665</v>
      </c>
      <c r="AI36" s="327">
        <f>IFERROR(ROUND((tblPiNHistorical[[#This Row],[CCCM - new]] - tblPiNHistorical[[#This Row],[CCCM - old]])/tblPiNHistorical[[#This Row],[CCCM - old]], 1), "")</f>
        <v>-0.2</v>
      </c>
      <c r="AJ36" s="328">
        <f>IFERROR(ROUND((tblPiNHistorical[[#This Row],[Education - new]]-tblPiNHistorical[[#This Row],[Education - old]])/tblPiNHistorical[[#This Row],[Education - old]], 1), "")</f>
        <v>0.2</v>
      </c>
      <c r="AK36" s="328">
        <f>IFERROR(ROUND((tblPiNHistorical[[#This Row],[Nutrition - new]]-tblPiNHistorical[[#This Row],[Nutrition - old]])/tblPiNHistorical[[#This Row],[Nutrition - old]], 1), "")</f>
        <v>-0.5</v>
      </c>
      <c r="AL36" s="328">
        <f>IFERROR(ROUND((tblPiNHistorical[[#This Row],[Food Security - new]]-tblPiNHistorical[[#This Row],[Food Security - old]])/tblPiNHistorical[[#This Row],[Food Security - old]], 1), "")</f>
        <v>0.6</v>
      </c>
      <c r="AM36" s="328">
        <f>IFERROR(ROUND((tblPiNHistorical[[#This Row],[Health - new]]-tblPiNHistorical[[#This Row],[Health - old]])/tblPiNHistorical[[#This Row],[Health - old]], 1), "")</f>
        <v>-0.9</v>
      </c>
      <c r="AN36" s="328">
        <f>IFERROR(ROUND((tblPiNHistorical[[#This Row],[Overarching Protection - new]]-tblPiNHistorical[[#This Row],[Overarching Protection - old]])/tblPiNHistorical[[#This Row],[Overarching Protection - old]], 1), "")</f>
        <v>0.1</v>
      </c>
      <c r="AO36" s="328">
        <f>IFERROR(ROUND((tblPiNHistorical[[#This Row],[Shelter - new]]-tblPiNHistorical[[#This Row],[Shelter - old]])/tblPiNHistorical[[#This Row],[Shelter - old]], 1), "")</f>
        <v>-0.2</v>
      </c>
      <c r="AP36" s="37">
        <f>IFERROR(ROUND((tblPiNHistorical[[#This Row],[WASH - new]]-tblPiNHistorical[[#This Row],[WASH - old]])/tblPiNHistorical[[#This Row],[WASH - old]], 1), "")</f>
        <v>-0.3</v>
      </c>
    </row>
    <row r="37" spans="1:42">
      <c r="A37" s="322" t="s">
        <v>174</v>
      </c>
      <c r="B37" s="320" t="s">
        <v>146</v>
      </c>
      <c r="C37" s="213" t="s">
        <v>147</v>
      </c>
      <c r="D37" s="376" t="s">
        <v>175</v>
      </c>
      <c r="E37" s="103" t="s">
        <v>174</v>
      </c>
      <c r="F37" s="98"/>
      <c r="G37" s="33"/>
      <c r="H37" s="340"/>
      <c r="I37" s="95"/>
      <c r="J37" s="358" t="s">
        <v>192</v>
      </c>
      <c r="K37" s="303"/>
      <c r="L37" s="364"/>
      <c r="M37" s="303"/>
      <c r="N37" s="303"/>
      <c r="O37" s="303"/>
      <c r="P37" s="303"/>
      <c r="Q37" s="304"/>
      <c r="R37" s="303"/>
      <c r="S37" s="323">
        <v>0</v>
      </c>
      <c r="T37" s="323"/>
      <c r="U37" s="303">
        <v>0</v>
      </c>
      <c r="V37" s="303"/>
      <c r="W37" s="303"/>
      <c r="X37" s="303">
        <v>0</v>
      </c>
      <c r="Y37" s="303"/>
      <c r="Z37" s="303">
        <v>0</v>
      </c>
      <c r="AA37" s="324" t="str">
        <f>IF(OR(tblPiNHistorical[[#This Row],[CCCM - old]]="", tblPiNHistorical[[#This Row],[CCCM - old]]=0, tblPiNHistorical[[#This Row],[CCCM - new]]="", tblPiNHistorical[[#This Row],[CCCM - new]]=0), "", tblPiNHistorical[[#This Row],[CCCM - new]]-tblPiNHistorical[[#This Row],[CCCM - old]])</f>
        <v/>
      </c>
      <c r="AB37" s="325" t="str">
        <f>IF(OR(tblPiNHistorical[[#This Row],[Education - old]]="", tblPiNHistorical[[#This Row],[Education - old]]=0, tblPiNHistorical[[#This Row],[Education - new]]="", tblPiNHistorical[[#This Row],[Education - new]]=0), "", tblPiNHistorical[[#This Row],[Education - new]]-tblPiNHistorical[[#This Row],[Education - old]])</f>
        <v/>
      </c>
      <c r="AC37" s="325" t="str">
        <f>IF(OR(tblPiNHistorical[[#This Row],[Nutrition - old]]="", tblPiNHistorical[[#This Row],[Nutrition - old]]=0, tblPiNHistorical[[#This Row],[Nutrition - new]]="", tblPiNHistorical[[#This Row],[Nutrition - new]]=0), "", tblPiNHistorical[[#This Row],[Nutrition - new]]-tblPiNHistorical[[#This Row],[Nutrition - old]])</f>
        <v/>
      </c>
      <c r="AD37"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37" s="325" t="str">
        <f>IF(OR(tblPiNHistorical[[#This Row],[Health - old]]="", tblPiNHistorical[[#This Row],[Health - old]]=0, tblPiNHistorical[[#This Row],[Health - new]]="", tblPiNHistorical[[#This Row],[Health - new]]=0), "", tblPiNHistorical[[#This Row],[Health - new]]-tblPiNHistorical[[#This Row],[Health - old]])</f>
        <v/>
      </c>
      <c r="AF37"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37" s="325" t="str">
        <f>IF(OR(tblPiNHistorical[[#This Row],[Shelter - old]]="", tblPiNHistorical[[#This Row],[Shelter - old]]=0, tblPiNHistorical[[#This Row],[Shelter - new]]="", tblPiNHistorical[[#This Row],[Shelter - new]]=0), "", tblPiNHistorical[[#This Row],[Shelter - new]]-tblPiNHistorical[[#This Row],[Shelter - old]])</f>
        <v/>
      </c>
      <c r="AH37" s="326" t="str">
        <f>IF(OR(tblPiNHistorical[[#This Row],[WASH - old]]="", tblPiNHistorical[[#This Row],[WASH - old]]=0, tblPiNHistorical[[#This Row],[WASH - new]]="", tblPiNHistorical[[#This Row],[WASH - new]]=0), "", tblPiNHistorical[[#This Row],[WASH - new]]-tblPiNHistorical[[#This Row],[WASH - old]])</f>
        <v/>
      </c>
      <c r="AI37" s="327" t="str">
        <f>IFERROR(ROUND((tblPiNHistorical[[#This Row],[CCCM - new]] - tblPiNHistorical[[#This Row],[CCCM - old]])/tblPiNHistorical[[#This Row],[CCCM - old]], 1), "")</f>
        <v/>
      </c>
      <c r="AJ37" s="328" t="str">
        <f>IFERROR(ROUND((tblPiNHistorical[[#This Row],[Education - new]]-tblPiNHistorical[[#This Row],[Education - old]])/tblPiNHistorical[[#This Row],[Education - old]], 1), "")</f>
        <v/>
      </c>
      <c r="AK37" s="328" t="str">
        <f>IFERROR(ROUND((tblPiNHistorical[[#This Row],[Nutrition - new]]-tblPiNHistorical[[#This Row],[Nutrition - old]])/tblPiNHistorical[[#This Row],[Nutrition - old]], 1), "")</f>
        <v/>
      </c>
      <c r="AL37" s="328" t="str">
        <f>IFERROR(ROUND((tblPiNHistorical[[#This Row],[Food Security - new]]-tblPiNHistorical[[#This Row],[Food Security - old]])/tblPiNHistorical[[#This Row],[Food Security - old]], 1), "")</f>
        <v/>
      </c>
      <c r="AM37" s="328" t="str">
        <f>IFERROR(ROUND((tblPiNHistorical[[#This Row],[Health - new]]-tblPiNHistorical[[#This Row],[Health - old]])/tblPiNHistorical[[#This Row],[Health - old]], 1), "")</f>
        <v/>
      </c>
      <c r="AN37" s="328" t="str">
        <f>IFERROR(ROUND((tblPiNHistorical[[#This Row],[Overarching Protection - new]]-tblPiNHistorical[[#This Row],[Overarching Protection - old]])/tblPiNHistorical[[#This Row],[Overarching Protection - old]], 1), "")</f>
        <v/>
      </c>
      <c r="AO37" s="328" t="str">
        <f>IFERROR(ROUND((tblPiNHistorical[[#This Row],[Shelter - new]]-tblPiNHistorical[[#This Row],[Shelter - old]])/tblPiNHistorical[[#This Row],[Shelter - old]], 1), "")</f>
        <v/>
      </c>
      <c r="AP37" s="37" t="str">
        <f>IFERROR(ROUND((tblPiNHistorical[[#This Row],[WASH - new]]-tblPiNHistorical[[#This Row],[WASH - old]])/tblPiNHistorical[[#This Row],[WASH - old]], 1), "")</f>
        <v/>
      </c>
    </row>
    <row r="38" spans="1:42">
      <c r="A38" s="322" t="s">
        <v>176</v>
      </c>
      <c r="B38" s="320" t="s">
        <v>146</v>
      </c>
      <c r="C38" s="213" t="s">
        <v>147</v>
      </c>
      <c r="D38" s="376" t="s">
        <v>177</v>
      </c>
      <c r="E38" s="103" t="s">
        <v>176</v>
      </c>
      <c r="F38" s="98"/>
      <c r="G38" s="33"/>
      <c r="H38" s="340"/>
      <c r="I38" s="95">
        <v>11633</v>
      </c>
      <c r="J38" s="358" t="s">
        <v>192</v>
      </c>
      <c r="K38" s="303">
        <v>10236</v>
      </c>
      <c r="L38" s="364">
        <v>1144.7929411764705</v>
      </c>
      <c r="M38" s="303">
        <v>1877.796</v>
      </c>
      <c r="N38" s="303">
        <v>11018</v>
      </c>
      <c r="O38" s="303">
        <v>5805.7699147464346</v>
      </c>
      <c r="P38" s="303">
        <v>5244.8342326152224</v>
      </c>
      <c r="Q38" s="304">
        <v>4616</v>
      </c>
      <c r="R38" s="303">
        <v>11155.885714285714</v>
      </c>
      <c r="S38" s="323">
        <v>0</v>
      </c>
      <c r="T38" s="323">
        <v>1948</v>
      </c>
      <c r="U38" s="303">
        <v>1099</v>
      </c>
      <c r="V38" s="303">
        <v>11633</v>
      </c>
      <c r="W38" s="303">
        <v>3897.8744686577693</v>
      </c>
      <c r="X38" s="303">
        <v>1860</v>
      </c>
      <c r="Y38" s="303">
        <v>3704</v>
      </c>
      <c r="Z38" s="303">
        <v>11216</v>
      </c>
      <c r="AA38" s="324" t="str">
        <f>IF(OR(tblPiNHistorical[[#This Row],[CCCM - old]]="", tblPiNHistorical[[#This Row],[CCCM - old]]=0, tblPiNHistorical[[#This Row],[CCCM - new]]="", tblPiNHistorical[[#This Row],[CCCM - new]]=0), "", tblPiNHistorical[[#This Row],[CCCM - new]]-tblPiNHistorical[[#This Row],[CCCM - old]])</f>
        <v/>
      </c>
      <c r="AB38" s="325">
        <f>IF(OR(tblPiNHistorical[[#This Row],[Education - old]]="", tblPiNHistorical[[#This Row],[Education - old]]=0, tblPiNHistorical[[#This Row],[Education - new]]="", tblPiNHistorical[[#This Row],[Education - new]]=0), "", tblPiNHistorical[[#This Row],[Education - new]]-tblPiNHistorical[[#This Row],[Education - old]])</f>
        <v>803.20705882352945</v>
      </c>
      <c r="AC38" s="325">
        <f>IF(OR(tblPiNHistorical[[#This Row],[Nutrition - old]]="", tblPiNHistorical[[#This Row],[Nutrition - old]]=0, tblPiNHistorical[[#This Row],[Nutrition - new]]="", tblPiNHistorical[[#This Row],[Nutrition - new]]=0), "", tblPiNHistorical[[#This Row],[Nutrition - new]]-tblPiNHistorical[[#This Row],[Nutrition - old]])</f>
        <v>-778.79600000000005</v>
      </c>
      <c r="AD38" s="325">
        <f>IF(OR(tblPiNHistorical[[#This Row],[Food Security - old]]="", tblPiNHistorical[[#This Row],[Food Security - old]]=0, tblPiNHistorical[[#This Row],[Food Security - new]]="", tblPiNHistorical[[#This Row],[Food Security - new]]=0), "", tblPiNHistorical[[#This Row],[Food Security - new]]-tblPiNHistorical[[#This Row],[Food Security - old]])</f>
        <v>615</v>
      </c>
      <c r="AE38" s="325">
        <f>IF(OR(tblPiNHistorical[[#This Row],[Health - old]]="", tblPiNHistorical[[#This Row],[Health - old]]=0, tblPiNHistorical[[#This Row],[Health - new]]="", tblPiNHistorical[[#This Row],[Health - new]]=0), "", tblPiNHistorical[[#This Row],[Health - new]]-tblPiNHistorical[[#This Row],[Health - old]])</f>
        <v>-1907.8954460886653</v>
      </c>
      <c r="AF38"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-3384.8342326152224</v>
      </c>
      <c r="AG38" s="325">
        <f>IF(OR(tblPiNHistorical[[#This Row],[Shelter - old]]="", tblPiNHistorical[[#This Row],[Shelter - old]]=0, tblPiNHistorical[[#This Row],[Shelter - new]]="", tblPiNHistorical[[#This Row],[Shelter - new]]=0), "", tblPiNHistorical[[#This Row],[Shelter - new]]-tblPiNHistorical[[#This Row],[Shelter - old]])</f>
        <v>-912</v>
      </c>
      <c r="AH38" s="326">
        <f>IF(OR(tblPiNHistorical[[#This Row],[WASH - old]]="", tblPiNHistorical[[#This Row],[WASH - old]]=0, tblPiNHistorical[[#This Row],[WASH - new]]="", tblPiNHistorical[[#This Row],[WASH - new]]=0), "", tblPiNHistorical[[#This Row],[WASH - new]]-tblPiNHistorical[[#This Row],[WASH - old]])</f>
        <v>60.11428571428587</v>
      </c>
      <c r="AI38" s="327">
        <f>IFERROR(ROUND((tblPiNHistorical[[#This Row],[CCCM - new]] - tblPiNHistorical[[#This Row],[CCCM - old]])/tblPiNHistorical[[#This Row],[CCCM - old]], 1), "")</f>
        <v>-1</v>
      </c>
      <c r="AJ38" s="328">
        <f>IFERROR(ROUND((tblPiNHistorical[[#This Row],[Education - new]]-tblPiNHistorical[[#This Row],[Education - old]])/tblPiNHistorical[[#This Row],[Education - old]], 1), "")</f>
        <v>0.7</v>
      </c>
      <c r="AK38" s="328">
        <f>IFERROR(ROUND((tblPiNHistorical[[#This Row],[Nutrition - new]]-tblPiNHistorical[[#This Row],[Nutrition - old]])/tblPiNHistorical[[#This Row],[Nutrition - old]], 1), "")</f>
        <v>-0.4</v>
      </c>
      <c r="AL38" s="328">
        <f>IFERROR(ROUND((tblPiNHistorical[[#This Row],[Food Security - new]]-tblPiNHistorical[[#This Row],[Food Security - old]])/tblPiNHistorical[[#This Row],[Food Security - old]], 1), "")</f>
        <v>0.1</v>
      </c>
      <c r="AM38" s="328">
        <f>IFERROR(ROUND((tblPiNHistorical[[#This Row],[Health - new]]-tblPiNHistorical[[#This Row],[Health - old]])/tblPiNHistorical[[#This Row],[Health - old]], 1), "")</f>
        <v>-0.3</v>
      </c>
      <c r="AN38" s="328">
        <f>IFERROR(ROUND((tblPiNHistorical[[#This Row],[Overarching Protection - new]]-tblPiNHistorical[[#This Row],[Overarching Protection - old]])/tblPiNHistorical[[#This Row],[Overarching Protection - old]], 1), "")</f>
        <v>-0.6</v>
      </c>
      <c r="AO38" s="328">
        <f>IFERROR(ROUND((tblPiNHistorical[[#This Row],[Shelter - new]]-tblPiNHistorical[[#This Row],[Shelter - old]])/tblPiNHistorical[[#This Row],[Shelter - old]], 1), "")</f>
        <v>-0.2</v>
      </c>
      <c r="AP38" s="37">
        <f>IFERROR(ROUND((tblPiNHistorical[[#This Row],[WASH - new]]-tblPiNHistorical[[#This Row],[WASH - old]])/tblPiNHistorical[[#This Row],[WASH - old]], 1), "")</f>
        <v>0</v>
      </c>
    </row>
    <row r="39" spans="1:42">
      <c r="A39" s="322" t="s">
        <v>178</v>
      </c>
      <c r="B39" s="320" t="s">
        <v>146</v>
      </c>
      <c r="C39" s="213" t="s">
        <v>147</v>
      </c>
      <c r="D39" s="376" t="s">
        <v>179</v>
      </c>
      <c r="E39" s="103" t="s">
        <v>178</v>
      </c>
      <c r="F39" s="98"/>
      <c r="G39" s="33"/>
      <c r="H39" s="340"/>
      <c r="I39" s="95">
        <v>121669</v>
      </c>
      <c r="J39" s="358" t="s">
        <v>192</v>
      </c>
      <c r="K39" s="303">
        <v>4362</v>
      </c>
      <c r="L39" s="364">
        <v>17500.5214579606</v>
      </c>
      <c r="M39" s="303">
        <v>11585.464</v>
      </c>
      <c r="N39" s="303">
        <v>10292.5</v>
      </c>
      <c r="O39" s="303">
        <v>5654.8399796064868</v>
      </c>
      <c r="P39" s="303">
        <v>36559.718303866328</v>
      </c>
      <c r="Q39" s="304">
        <v>21882</v>
      </c>
      <c r="R39" s="303">
        <v>47594.076404494379</v>
      </c>
      <c r="S39" s="323">
        <v>0</v>
      </c>
      <c r="T39" s="323">
        <v>11526</v>
      </c>
      <c r="U39" s="303">
        <v>17592</v>
      </c>
      <c r="V39" s="303">
        <v>12675</v>
      </c>
      <c r="W39" s="303">
        <v>6381.1423492797003</v>
      </c>
      <c r="X39" s="303">
        <v>19334</v>
      </c>
      <c r="Y39" s="303">
        <v>28389</v>
      </c>
      <c r="Z39" s="303">
        <v>52047</v>
      </c>
      <c r="AA39" s="324" t="str">
        <f>IF(OR(tblPiNHistorical[[#This Row],[CCCM - old]]="", tblPiNHistorical[[#This Row],[CCCM - old]]=0, tblPiNHistorical[[#This Row],[CCCM - new]]="", tblPiNHistorical[[#This Row],[CCCM - new]]=0), "", tblPiNHistorical[[#This Row],[CCCM - new]]-tblPiNHistorical[[#This Row],[CCCM - old]])</f>
        <v/>
      </c>
      <c r="AB39" s="325">
        <f>IF(OR(tblPiNHistorical[[#This Row],[Education - old]]="", tblPiNHistorical[[#This Row],[Education - old]]=0, tblPiNHistorical[[#This Row],[Education - new]]="", tblPiNHistorical[[#This Row],[Education - new]]=0), "", tblPiNHistorical[[#This Row],[Education - new]]-tblPiNHistorical[[#This Row],[Education - old]])</f>
        <v>-5974.5214579605999</v>
      </c>
      <c r="AC39" s="325">
        <f>IF(OR(tblPiNHistorical[[#This Row],[Nutrition - old]]="", tblPiNHistorical[[#This Row],[Nutrition - old]]=0, tblPiNHistorical[[#This Row],[Nutrition - new]]="", tblPiNHistorical[[#This Row],[Nutrition - new]]=0), "", tblPiNHistorical[[#This Row],[Nutrition - new]]-tblPiNHistorical[[#This Row],[Nutrition - old]])</f>
        <v>6006.5360000000001</v>
      </c>
      <c r="AD39" s="325">
        <f>IF(OR(tblPiNHistorical[[#This Row],[Food Security - old]]="", tblPiNHistorical[[#This Row],[Food Security - old]]=0, tblPiNHistorical[[#This Row],[Food Security - new]]="", tblPiNHistorical[[#This Row],[Food Security - new]]=0), "", tblPiNHistorical[[#This Row],[Food Security - new]]-tblPiNHistorical[[#This Row],[Food Security - old]])</f>
        <v>2382.5</v>
      </c>
      <c r="AE39" s="325">
        <f>IF(OR(tblPiNHistorical[[#This Row],[Health - old]]="", tblPiNHistorical[[#This Row],[Health - old]]=0, tblPiNHistorical[[#This Row],[Health - new]]="", tblPiNHistorical[[#This Row],[Health - new]]=0), "", tblPiNHistorical[[#This Row],[Health - new]]-tblPiNHistorical[[#This Row],[Health - old]])</f>
        <v>726.30236967321343</v>
      </c>
      <c r="AF39"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-17225.718303866328</v>
      </c>
      <c r="AG39" s="325">
        <f>IF(OR(tblPiNHistorical[[#This Row],[Shelter - old]]="", tblPiNHistorical[[#This Row],[Shelter - old]]=0, tblPiNHistorical[[#This Row],[Shelter - new]]="", tblPiNHistorical[[#This Row],[Shelter - new]]=0), "", tblPiNHistorical[[#This Row],[Shelter - new]]-tblPiNHistorical[[#This Row],[Shelter - old]])</f>
        <v>6507</v>
      </c>
      <c r="AH39" s="326">
        <f>IF(OR(tblPiNHistorical[[#This Row],[WASH - old]]="", tblPiNHistorical[[#This Row],[WASH - old]]=0, tblPiNHistorical[[#This Row],[WASH - new]]="", tblPiNHistorical[[#This Row],[WASH - new]]=0), "", tblPiNHistorical[[#This Row],[WASH - new]]-tblPiNHistorical[[#This Row],[WASH - old]])</f>
        <v>4452.9235955056211</v>
      </c>
      <c r="AI39" s="327">
        <f>IFERROR(ROUND((tblPiNHistorical[[#This Row],[CCCM - new]] - tblPiNHistorical[[#This Row],[CCCM - old]])/tblPiNHistorical[[#This Row],[CCCM - old]], 1), "")</f>
        <v>-1</v>
      </c>
      <c r="AJ39" s="328">
        <f>IFERROR(ROUND((tblPiNHistorical[[#This Row],[Education - new]]-tblPiNHistorical[[#This Row],[Education - old]])/tblPiNHistorical[[#This Row],[Education - old]], 1), "")</f>
        <v>-0.3</v>
      </c>
      <c r="AK39" s="328">
        <f>IFERROR(ROUND((tblPiNHistorical[[#This Row],[Nutrition - new]]-tblPiNHistorical[[#This Row],[Nutrition - old]])/tblPiNHistorical[[#This Row],[Nutrition - old]], 1), "")</f>
        <v>0.5</v>
      </c>
      <c r="AL39" s="328">
        <f>IFERROR(ROUND((tblPiNHistorical[[#This Row],[Food Security - new]]-tblPiNHistorical[[#This Row],[Food Security - old]])/tblPiNHistorical[[#This Row],[Food Security - old]], 1), "")</f>
        <v>0.2</v>
      </c>
      <c r="AM39" s="328">
        <f>IFERROR(ROUND((tblPiNHistorical[[#This Row],[Health - new]]-tblPiNHistorical[[#This Row],[Health - old]])/tblPiNHistorical[[#This Row],[Health - old]], 1), "")</f>
        <v>0.1</v>
      </c>
      <c r="AN39" s="328">
        <f>IFERROR(ROUND((tblPiNHistorical[[#This Row],[Overarching Protection - new]]-tblPiNHistorical[[#This Row],[Overarching Protection - old]])/tblPiNHistorical[[#This Row],[Overarching Protection - old]], 1), "")</f>
        <v>-0.5</v>
      </c>
      <c r="AO39" s="328">
        <f>IFERROR(ROUND((tblPiNHistorical[[#This Row],[Shelter - new]]-tblPiNHistorical[[#This Row],[Shelter - old]])/tblPiNHistorical[[#This Row],[Shelter - old]], 1), "")</f>
        <v>0.3</v>
      </c>
      <c r="AP39" s="37">
        <f>IFERROR(ROUND((tblPiNHistorical[[#This Row],[WASH - new]]-tblPiNHistorical[[#This Row],[WASH - old]])/tblPiNHistorical[[#This Row],[WASH - old]], 1), "")</f>
        <v>0.1</v>
      </c>
    </row>
    <row r="40" spans="1:42">
      <c r="A40" s="322" t="s">
        <v>180</v>
      </c>
      <c r="B40" s="320" t="s">
        <v>146</v>
      </c>
      <c r="C40" s="213" t="s">
        <v>147</v>
      </c>
      <c r="D40" s="376" t="s">
        <v>181</v>
      </c>
      <c r="E40" s="103" t="s">
        <v>180</v>
      </c>
      <c r="F40" s="98"/>
      <c r="G40" s="33"/>
      <c r="H40" s="340"/>
      <c r="I40" s="95">
        <v>50734</v>
      </c>
      <c r="J40" s="358" t="s">
        <v>192</v>
      </c>
      <c r="K40" s="303">
        <v>1785.6</v>
      </c>
      <c r="L40" s="364">
        <v>8991</v>
      </c>
      <c r="M40" s="303">
        <v>8512.4239999999991</v>
      </c>
      <c r="N40" s="303">
        <v>18692</v>
      </c>
      <c r="O40" s="303">
        <v>32439.47198903044</v>
      </c>
      <c r="P40" s="303">
        <v>33757.72119140625</v>
      </c>
      <c r="Q40" s="304">
        <v>36523</v>
      </c>
      <c r="R40" s="303">
        <v>45082.25</v>
      </c>
      <c r="S40" s="323">
        <v>10146.800000000001</v>
      </c>
      <c r="T40" s="323">
        <v>11400</v>
      </c>
      <c r="U40" s="303">
        <v>4944</v>
      </c>
      <c r="V40" s="303">
        <v>7451</v>
      </c>
      <c r="W40" s="303">
        <v>35165.154419517865</v>
      </c>
      <c r="X40" s="303">
        <v>20484</v>
      </c>
      <c r="Y40" s="303">
        <v>21199</v>
      </c>
      <c r="Z40" s="303">
        <v>46447</v>
      </c>
      <c r="AA40" s="324">
        <f>IF(OR(tblPiNHistorical[[#This Row],[CCCM - old]]="", tblPiNHistorical[[#This Row],[CCCM - old]]=0, tblPiNHistorical[[#This Row],[CCCM - new]]="", tblPiNHistorical[[#This Row],[CCCM - new]]=0), "", tblPiNHistorical[[#This Row],[CCCM - new]]-tblPiNHistorical[[#This Row],[CCCM - old]])</f>
        <v>8361.2000000000007</v>
      </c>
      <c r="AB40" s="325">
        <f>IF(OR(tblPiNHistorical[[#This Row],[Education - old]]="", tblPiNHistorical[[#This Row],[Education - old]]=0, tblPiNHistorical[[#This Row],[Education - new]]="", tblPiNHistorical[[#This Row],[Education - new]]=0), "", tblPiNHistorical[[#This Row],[Education - new]]-tblPiNHistorical[[#This Row],[Education - old]])</f>
        <v>2409</v>
      </c>
      <c r="AC40" s="325">
        <f>IF(OR(tblPiNHistorical[[#This Row],[Nutrition - old]]="", tblPiNHistorical[[#This Row],[Nutrition - old]]=0, tblPiNHistorical[[#This Row],[Nutrition - new]]="", tblPiNHistorical[[#This Row],[Nutrition - new]]=0), "", tblPiNHistorical[[#This Row],[Nutrition - new]]-tblPiNHistorical[[#This Row],[Nutrition - old]])</f>
        <v>-3568.4239999999991</v>
      </c>
      <c r="AD40" s="325">
        <f>IF(OR(tblPiNHistorical[[#This Row],[Food Security - old]]="", tblPiNHistorical[[#This Row],[Food Security - old]]=0, tblPiNHistorical[[#This Row],[Food Security - new]]="", tblPiNHistorical[[#This Row],[Food Security - new]]=0), "", tblPiNHistorical[[#This Row],[Food Security - new]]-tblPiNHistorical[[#This Row],[Food Security - old]])</f>
        <v>-11241</v>
      </c>
      <c r="AE40" s="325">
        <f>IF(OR(tblPiNHistorical[[#This Row],[Health - old]]="", tblPiNHistorical[[#This Row],[Health - old]]=0, tblPiNHistorical[[#This Row],[Health - new]]="", tblPiNHistorical[[#This Row],[Health - new]]=0), "", tblPiNHistorical[[#This Row],[Health - new]]-tblPiNHistorical[[#This Row],[Health - old]])</f>
        <v>2725.6824304874244</v>
      </c>
      <c r="AF40"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-13273.72119140625</v>
      </c>
      <c r="AG40" s="325">
        <f>IF(OR(tblPiNHistorical[[#This Row],[Shelter - old]]="", tblPiNHistorical[[#This Row],[Shelter - old]]=0, tblPiNHistorical[[#This Row],[Shelter - new]]="", tblPiNHistorical[[#This Row],[Shelter - new]]=0), "", tblPiNHistorical[[#This Row],[Shelter - new]]-tblPiNHistorical[[#This Row],[Shelter - old]])</f>
        <v>-15324</v>
      </c>
      <c r="AH40" s="326">
        <f>IF(OR(tblPiNHistorical[[#This Row],[WASH - old]]="", tblPiNHistorical[[#This Row],[WASH - old]]=0, tblPiNHistorical[[#This Row],[WASH - new]]="", tblPiNHistorical[[#This Row],[WASH - new]]=0), "", tblPiNHistorical[[#This Row],[WASH - new]]-tblPiNHistorical[[#This Row],[WASH - old]])</f>
        <v>1364.75</v>
      </c>
      <c r="AI40" s="327">
        <f>IFERROR(ROUND((tblPiNHistorical[[#This Row],[CCCM - new]] - tblPiNHistorical[[#This Row],[CCCM - old]])/tblPiNHistorical[[#This Row],[CCCM - old]], 1), "")</f>
        <v>4.7</v>
      </c>
      <c r="AJ40" s="328">
        <f>IFERROR(ROUND((tblPiNHistorical[[#This Row],[Education - new]]-tblPiNHistorical[[#This Row],[Education - old]])/tblPiNHistorical[[#This Row],[Education - old]], 1), "")</f>
        <v>0.3</v>
      </c>
      <c r="AK40" s="328">
        <f>IFERROR(ROUND((tblPiNHistorical[[#This Row],[Nutrition - new]]-tblPiNHistorical[[#This Row],[Nutrition - old]])/tblPiNHistorical[[#This Row],[Nutrition - old]], 1), "")</f>
        <v>-0.4</v>
      </c>
      <c r="AL40" s="328">
        <f>IFERROR(ROUND((tblPiNHistorical[[#This Row],[Food Security - new]]-tblPiNHistorical[[#This Row],[Food Security - old]])/tblPiNHistorical[[#This Row],[Food Security - old]], 1), "")</f>
        <v>-0.6</v>
      </c>
      <c r="AM40" s="328">
        <f>IFERROR(ROUND((tblPiNHistorical[[#This Row],[Health - new]]-tblPiNHistorical[[#This Row],[Health - old]])/tblPiNHistorical[[#This Row],[Health - old]], 1), "")</f>
        <v>0.1</v>
      </c>
      <c r="AN40" s="328">
        <f>IFERROR(ROUND((tblPiNHistorical[[#This Row],[Overarching Protection - new]]-tblPiNHistorical[[#This Row],[Overarching Protection - old]])/tblPiNHistorical[[#This Row],[Overarching Protection - old]], 1), "")</f>
        <v>-0.4</v>
      </c>
      <c r="AO40" s="328">
        <f>IFERROR(ROUND((tblPiNHistorical[[#This Row],[Shelter - new]]-tblPiNHistorical[[#This Row],[Shelter - old]])/tblPiNHistorical[[#This Row],[Shelter - old]], 1), "")</f>
        <v>-0.4</v>
      </c>
      <c r="AP40" s="37">
        <f>IFERROR(ROUND((tblPiNHistorical[[#This Row],[WASH - new]]-tblPiNHistorical[[#This Row],[WASH - old]])/tblPiNHistorical[[#This Row],[WASH - old]], 1), "")</f>
        <v>0</v>
      </c>
    </row>
    <row r="41" spans="1:42">
      <c r="A41" s="322" t="s">
        <v>182</v>
      </c>
      <c r="B41" s="320" t="s">
        <v>183</v>
      </c>
      <c r="C41" s="213" t="s">
        <v>184</v>
      </c>
      <c r="D41" s="376" t="s">
        <v>185</v>
      </c>
      <c r="E41" s="103" t="s">
        <v>182</v>
      </c>
      <c r="F41" s="98"/>
      <c r="G41" s="33"/>
      <c r="H41" s="340"/>
      <c r="I41" s="95">
        <v>19715</v>
      </c>
      <c r="J41" s="358" t="s">
        <v>192</v>
      </c>
      <c r="K41" s="303"/>
      <c r="L41" s="364"/>
      <c r="M41" s="303"/>
      <c r="N41" s="303"/>
      <c r="O41" s="303"/>
      <c r="P41" s="303"/>
      <c r="Q41" s="304"/>
      <c r="R41" s="303"/>
      <c r="S41" s="323">
        <v>0</v>
      </c>
      <c r="T41" s="323">
        <v>2491</v>
      </c>
      <c r="U41" s="303">
        <v>2043</v>
      </c>
      <c r="V41" s="303">
        <v>19715</v>
      </c>
      <c r="W41" s="303">
        <v>26.26687502456852</v>
      </c>
      <c r="X41" s="303">
        <v>3146</v>
      </c>
      <c r="Y41" s="303">
        <v>5807</v>
      </c>
      <c r="Z41" s="303">
        <v>19715</v>
      </c>
      <c r="AA41" s="324" t="str">
        <f>IF(OR(tblPiNHistorical[[#This Row],[CCCM - old]]="", tblPiNHistorical[[#This Row],[CCCM - old]]=0, tblPiNHistorical[[#This Row],[CCCM - new]]="", tblPiNHistorical[[#This Row],[CCCM - new]]=0), "", tblPiNHistorical[[#This Row],[CCCM - new]]-tblPiNHistorical[[#This Row],[CCCM - old]])</f>
        <v/>
      </c>
      <c r="AB41" s="325" t="str">
        <f>IF(OR(tblPiNHistorical[[#This Row],[Education - old]]="", tblPiNHistorical[[#This Row],[Education - old]]=0, tblPiNHistorical[[#This Row],[Education - new]]="", tblPiNHistorical[[#This Row],[Education - new]]=0), "", tblPiNHistorical[[#This Row],[Education - new]]-tblPiNHistorical[[#This Row],[Education - old]])</f>
        <v/>
      </c>
      <c r="AC41" s="325" t="str">
        <f>IF(OR(tblPiNHistorical[[#This Row],[Nutrition - old]]="", tblPiNHistorical[[#This Row],[Nutrition - old]]=0, tblPiNHistorical[[#This Row],[Nutrition - new]]="", tblPiNHistorical[[#This Row],[Nutrition - new]]=0), "", tblPiNHistorical[[#This Row],[Nutrition - new]]-tblPiNHistorical[[#This Row],[Nutrition - old]])</f>
        <v/>
      </c>
      <c r="AD41"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41" s="325" t="str">
        <f>IF(OR(tblPiNHistorical[[#This Row],[Health - old]]="", tblPiNHistorical[[#This Row],[Health - old]]=0, tblPiNHistorical[[#This Row],[Health - new]]="", tblPiNHistorical[[#This Row],[Health - new]]=0), "", tblPiNHistorical[[#This Row],[Health - new]]-tblPiNHistorical[[#This Row],[Health - old]])</f>
        <v/>
      </c>
      <c r="AF41"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41" s="325" t="str">
        <f>IF(OR(tblPiNHistorical[[#This Row],[Shelter - old]]="", tblPiNHistorical[[#This Row],[Shelter - old]]=0, tblPiNHistorical[[#This Row],[Shelter - new]]="", tblPiNHistorical[[#This Row],[Shelter - new]]=0), "", tblPiNHistorical[[#This Row],[Shelter - new]]-tblPiNHistorical[[#This Row],[Shelter - old]])</f>
        <v/>
      </c>
      <c r="AH41" s="326" t="str">
        <f>IF(OR(tblPiNHistorical[[#This Row],[WASH - old]]="", tblPiNHistorical[[#This Row],[WASH - old]]=0, tblPiNHistorical[[#This Row],[WASH - new]]="", tblPiNHistorical[[#This Row],[WASH - new]]=0), "", tblPiNHistorical[[#This Row],[WASH - new]]-tblPiNHistorical[[#This Row],[WASH - old]])</f>
        <v/>
      </c>
      <c r="AI41" s="327" t="str">
        <f>IFERROR(ROUND((tblPiNHistorical[[#This Row],[CCCM - new]] - tblPiNHistorical[[#This Row],[CCCM - old]])/tblPiNHistorical[[#This Row],[CCCM - old]], 1), "")</f>
        <v/>
      </c>
      <c r="AJ41" s="328" t="str">
        <f>IFERROR(ROUND((tblPiNHistorical[[#This Row],[Education - new]]-tblPiNHistorical[[#This Row],[Education - old]])/tblPiNHistorical[[#This Row],[Education - old]], 1), "")</f>
        <v/>
      </c>
      <c r="AK41" s="328" t="str">
        <f>IFERROR(ROUND((tblPiNHistorical[[#This Row],[Nutrition - new]]-tblPiNHistorical[[#This Row],[Nutrition - old]])/tblPiNHistorical[[#This Row],[Nutrition - old]], 1), "")</f>
        <v/>
      </c>
      <c r="AL41" s="328" t="str">
        <f>IFERROR(ROUND((tblPiNHistorical[[#This Row],[Food Security - new]]-tblPiNHistorical[[#This Row],[Food Security - old]])/tblPiNHistorical[[#This Row],[Food Security - old]], 1), "")</f>
        <v/>
      </c>
      <c r="AM41" s="328" t="str">
        <f>IFERROR(ROUND((tblPiNHistorical[[#This Row],[Health - new]]-tblPiNHistorical[[#This Row],[Health - old]])/tblPiNHistorical[[#This Row],[Health - old]], 1), "")</f>
        <v/>
      </c>
      <c r="AN41" s="328" t="str">
        <f>IFERROR(ROUND((tblPiNHistorical[[#This Row],[Overarching Protection - new]]-tblPiNHistorical[[#This Row],[Overarching Protection - old]])/tblPiNHistorical[[#This Row],[Overarching Protection - old]], 1), "")</f>
        <v/>
      </c>
      <c r="AO41" s="328" t="str">
        <f>IFERROR(ROUND((tblPiNHistorical[[#This Row],[Shelter - new]]-tblPiNHistorical[[#This Row],[Shelter - old]])/tblPiNHistorical[[#This Row],[Shelter - old]], 1), "")</f>
        <v/>
      </c>
      <c r="AP41" s="37" t="str">
        <f>IFERROR(ROUND((tblPiNHistorical[[#This Row],[WASH - new]]-tblPiNHistorical[[#This Row],[WASH - old]])/tblPiNHistorical[[#This Row],[WASH - old]], 1), "")</f>
        <v/>
      </c>
    </row>
    <row r="42" spans="1:42">
      <c r="A42" s="322" t="s">
        <v>186</v>
      </c>
      <c r="B42" s="320" t="s">
        <v>183</v>
      </c>
      <c r="C42" s="213" t="s">
        <v>184</v>
      </c>
      <c r="D42" s="376" t="s">
        <v>187</v>
      </c>
      <c r="E42" s="103" t="s">
        <v>186</v>
      </c>
      <c r="F42" s="98"/>
      <c r="G42" s="33"/>
      <c r="H42" s="340"/>
      <c r="I42" s="95">
        <v>13757</v>
      </c>
      <c r="J42" s="358" t="s">
        <v>192</v>
      </c>
      <c r="K42" s="303"/>
      <c r="L42" s="364"/>
      <c r="M42" s="303"/>
      <c r="N42" s="303"/>
      <c r="O42" s="303"/>
      <c r="P42" s="303"/>
      <c r="Q42" s="304"/>
      <c r="R42" s="303"/>
      <c r="S42" s="323">
        <v>0</v>
      </c>
      <c r="T42" s="323">
        <v>903</v>
      </c>
      <c r="U42" s="303">
        <v>1211</v>
      </c>
      <c r="V42" s="303">
        <v>13757</v>
      </c>
      <c r="W42" s="303">
        <v>4.3486852818621582</v>
      </c>
      <c r="X42" s="303">
        <v>2198</v>
      </c>
      <c r="Y42" s="303">
        <v>4877</v>
      </c>
      <c r="Z42" s="303">
        <v>10882</v>
      </c>
      <c r="AA42" s="324" t="str">
        <f>IF(OR(tblPiNHistorical[[#This Row],[CCCM - old]]="", tblPiNHistorical[[#This Row],[CCCM - old]]=0, tblPiNHistorical[[#This Row],[CCCM - new]]="", tblPiNHistorical[[#This Row],[CCCM - new]]=0), "", tblPiNHistorical[[#This Row],[CCCM - new]]-tblPiNHistorical[[#This Row],[CCCM - old]])</f>
        <v/>
      </c>
      <c r="AB42" s="325" t="str">
        <f>IF(OR(tblPiNHistorical[[#This Row],[Education - old]]="", tblPiNHistorical[[#This Row],[Education - old]]=0, tblPiNHistorical[[#This Row],[Education - new]]="", tblPiNHistorical[[#This Row],[Education - new]]=0), "", tblPiNHistorical[[#This Row],[Education - new]]-tblPiNHistorical[[#This Row],[Education - old]])</f>
        <v/>
      </c>
      <c r="AC42" s="325" t="str">
        <f>IF(OR(tblPiNHistorical[[#This Row],[Nutrition - old]]="", tblPiNHistorical[[#This Row],[Nutrition - old]]=0, tblPiNHistorical[[#This Row],[Nutrition - new]]="", tblPiNHistorical[[#This Row],[Nutrition - new]]=0), "", tblPiNHistorical[[#This Row],[Nutrition - new]]-tblPiNHistorical[[#This Row],[Nutrition - old]])</f>
        <v/>
      </c>
      <c r="AD42"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42" s="325" t="str">
        <f>IF(OR(tblPiNHistorical[[#This Row],[Health - old]]="", tblPiNHistorical[[#This Row],[Health - old]]=0, tblPiNHistorical[[#This Row],[Health - new]]="", tblPiNHistorical[[#This Row],[Health - new]]=0), "", tblPiNHistorical[[#This Row],[Health - new]]-tblPiNHistorical[[#This Row],[Health - old]])</f>
        <v/>
      </c>
      <c r="AF42"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42" s="325" t="str">
        <f>IF(OR(tblPiNHistorical[[#This Row],[Shelter - old]]="", tblPiNHistorical[[#This Row],[Shelter - old]]=0, tblPiNHistorical[[#This Row],[Shelter - new]]="", tblPiNHistorical[[#This Row],[Shelter - new]]=0), "", tblPiNHistorical[[#This Row],[Shelter - new]]-tblPiNHistorical[[#This Row],[Shelter - old]])</f>
        <v/>
      </c>
      <c r="AH42" s="326" t="str">
        <f>IF(OR(tblPiNHistorical[[#This Row],[WASH - old]]="", tblPiNHistorical[[#This Row],[WASH - old]]=0, tblPiNHistorical[[#This Row],[WASH - new]]="", tblPiNHistorical[[#This Row],[WASH - new]]=0), "", tblPiNHistorical[[#This Row],[WASH - new]]-tblPiNHistorical[[#This Row],[WASH - old]])</f>
        <v/>
      </c>
      <c r="AI42" s="327" t="str">
        <f>IFERROR(ROUND((tblPiNHistorical[[#This Row],[CCCM - new]] - tblPiNHistorical[[#This Row],[CCCM - old]])/tblPiNHistorical[[#This Row],[CCCM - old]], 1), "")</f>
        <v/>
      </c>
      <c r="AJ42" s="328" t="str">
        <f>IFERROR(ROUND((tblPiNHistorical[[#This Row],[Education - new]]-tblPiNHistorical[[#This Row],[Education - old]])/tblPiNHistorical[[#This Row],[Education - old]], 1), "")</f>
        <v/>
      </c>
      <c r="AK42" s="328" t="str">
        <f>IFERROR(ROUND((tblPiNHistorical[[#This Row],[Nutrition - new]]-tblPiNHistorical[[#This Row],[Nutrition - old]])/tblPiNHistorical[[#This Row],[Nutrition - old]], 1), "")</f>
        <v/>
      </c>
      <c r="AL42" s="328" t="str">
        <f>IFERROR(ROUND((tblPiNHistorical[[#This Row],[Food Security - new]]-tblPiNHistorical[[#This Row],[Food Security - old]])/tblPiNHistorical[[#This Row],[Food Security - old]], 1), "")</f>
        <v/>
      </c>
      <c r="AM42" s="328" t="str">
        <f>IFERROR(ROUND((tblPiNHistorical[[#This Row],[Health - new]]-tblPiNHistorical[[#This Row],[Health - old]])/tblPiNHistorical[[#This Row],[Health - old]], 1), "")</f>
        <v/>
      </c>
      <c r="AN42" s="328" t="str">
        <f>IFERROR(ROUND((tblPiNHistorical[[#This Row],[Overarching Protection - new]]-tblPiNHistorical[[#This Row],[Overarching Protection - old]])/tblPiNHistorical[[#This Row],[Overarching Protection - old]], 1), "")</f>
        <v/>
      </c>
      <c r="AO42" s="328" t="str">
        <f>IFERROR(ROUND((tblPiNHistorical[[#This Row],[Shelter - new]]-tblPiNHistorical[[#This Row],[Shelter - old]])/tblPiNHistorical[[#This Row],[Shelter - old]], 1), "")</f>
        <v/>
      </c>
      <c r="AP42" s="37" t="str">
        <f>IFERROR(ROUND((tblPiNHistorical[[#This Row],[WASH - new]]-tblPiNHistorical[[#This Row],[WASH - old]])/tblPiNHistorical[[#This Row],[WASH - old]], 1), "")</f>
        <v/>
      </c>
    </row>
    <row r="43" spans="1:42">
      <c r="A43" s="322" t="s">
        <v>188</v>
      </c>
      <c r="B43" s="320" t="s">
        <v>189</v>
      </c>
      <c r="C43" s="213" t="s">
        <v>190</v>
      </c>
      <c r="D43" s="376" t="s">
        <v>191</v>
      </c>
      <c r="E43" s="103" t="s">
        <v>188</v>
      </c>
      <c r="F43" s="98"/>
      <c r="G43" s="33"/>
      <c r="H43" s="340"/>
      <c r="I43" s="95">
        <v>3968</v>
      </c>
      <c r="J43" s="358" t="s">
        <v>192</v>
      </c>
      <c r="K43" s="303"/>
      <c r="L43" s="364"/>
      <c r="M43" s="303"/>
      <c r="N43" s="303"/>
      <c r="O43" s="303"/>
      <c r="P43" s="303"/>
      <c r="Q43" s="304"/>
      <c r="R43" s="303"/>
      <c r="S43" s="323">
        <v>0</v>
      </c>
      <c r="T43" s="323">
        <v>602</v>
      </c>
      <c r="U43" s="303">
        <v>325</v>
      </c>
      <c r="V43" s="303">
        <v>2636</v>
      </c>
      <c r="W43" s="303">
        <v>53.61809573908468</v>
      </c>
      <c r="X43" s="303">
        <v>1416</v>
      </c>
      <c r="Y43" s="303">
        <v>2063</v>
      </c>
      <c r="Z43" s="303">
        <v>3304</v>
      </c>
      <c r="AA43" s="324" t="str">
        <f>IF(OR(tblPiNHistorical[[#This Row],[CCCM - old]]="", tblPiNHistorical[[#This Row],[CCCM - old]]=0, tblPiNHistorical[[#This Row],[CCCM - new]]="", tblPiNHistorical[[#This Row],[CCCM - new]]=0), "", tblPiNHistorical[[#This Row],[CCCM - new]]-tblPiNHistorical[[#This Row],[CCCM - old]])</f>
        <v/>
      </c>
      <c r="AB43" s="325" t="str">
        <f>IF(OR(tblPiNHistorical[[#This Row],[Education - old]]="", tblPiNHistorical[[#This Row],[Education - old]]=0, tblPiNHistorical[[#This Row],[Education - new]]="", tblPiNHistorical[[#This Row],[Education - new]]=0), "", tblPiNHistorical[[#This Row],[Education - new]]-tblPiNHistorical[[#This Row],[Education - old]])</f>
        <v/>
      </c>
      <c r="AC43" s="325" t="str">
        <f>IF(OR(tblPiNHistorical[[#This Row],[Nutrition - old]]="", tblPiNHistorical[[#This Row],[Nutrition - old]]=0, tblPiNHistorical[[#This Row],[Nutrition - new]]="", tblPiNHistorical[[#This Row],[Nutrition - new]]=0), "", tblPiNHistorical[[#This Row],[Nutrition - new]]-tblPiNHistorical[[#This Row],[Nutrition - old]])</f>
        <v/>
      </c>
      <c r="AD43"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43" s="325" t="str">
        <f>IF(OR(tblPiNHistorical[[#This Row],[Health - old]]="", tblPiNHistorical[[#This Row],[Health - old]]=0, tblPiNHistorical[[#This Row],[Health - new]]="", tblPiNHistorical[[#This Row],[Health - new]]=0), "", tblPiNHistorical[[#This Row],[Health - new]]-tblPiNHistorical[[#This Row],[Health - old]])</f>
        <v/>
      </c>
      <c r="AF43"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43" s="325" t="str">
        <f>IF(OR(tblPiNHistorical[[#This Row],[Shelter - old]]="", tblPiNHistorical[[#This Row],[Shelter - old]]=0, tblPiNHistorical[[#This Row],[Shelter - new]]="", tblPiNHistorical[[#This Row],[Shelter - new]]=0), "", tblPiNHistorical[[#This Row],[Shelter - new]]-tblPiNHistorical[[#This Row],[Shelter - old]])</f>
        <v/>
      </c>
      <c r="AH43" s="326" t="str">
        <f>IF(OR(tblPiNHistorical[[#This Row],[WASH - old]]="", tblPiNHistorical[[#This Row],[WASH - old]]=0, tblPiNHistorical[[#This Row],[WASH - new]]="", tblPiNHistorical[[#This Row],[WASH - new]]=0), "", tblPiNHistorical[[#This Row],[WASH - new]]-tblPiNHistorical[[#This Row],[WASH - old]])</f>
        <v/>
      </c>
      <c r="AI43" s="327" t="str">
        <f>IFERROR(ROUND((tblPiNHistorical[[#This Row],[CCCM - new]] - tblPiNHistorical[[#This Row],[CCCM - old]])/tblPiNHistorical[[#This Row],[CCCM - old]], 1), "")</f>
        <v/>
      </c>
      <c r="AJ43" s="328" t="str">
        <f>IFERROR(ROUND((tblPiNHistorical[[#This Row],[Education - new]]-tblPiNHistorical[[#This Row],[Education - old]])/tblPiNHistorical[[#This Row],[Education - old]], 1), "")</f>
        <v/>
      </c>
      <c r="AK43" s="328" t="str">
        <f>IFERROR(ROUND((tblPiNHistorical[[#This Row],[Nutrition - new]]-tblPiNHistorical[[#This Row],[Nutrition - old]])/tblPiNHistorical[[#This Row],[Nutrition - old]], 1), "")</f>
        <v/>
      </c>
      <c r="AL43" s="328" t="str">
        <f>IFERROR(ROUND((tblPiNHistorical[[#This Row],[Food Security - new]]-tblPiNHistorical[[#This Row],[Food Security - old]])/tblPiNHistorical[[#This Row],[Food Security - old]], 1), "")</f>
        <v/>
      </c>
      <c r="AM43" s="328" t="str">
        <f>IFERROR(ROUND((tblPiNHistorical[[#This Row],[Health - new]]-tblPiNHistorical[[#This Row],[Health - old]])/tblPiNHistorical[[#This Row],[Health - old]], 1), "")</f>
        <v/>
      </c>
      <c r="AN43" s="328" t="str">
        <f>IFERROR(ROUND((tblPiNHistorical[[#This Row],[Overarching Protection - new]]-tblPiNHistorical[[#This Row],[Overarching Protection - old]])/tblPiNHistorical[[#This Row],[Overarching Protection - old]], 1), "")</f>
        <v/>
      </c>
      <c r="AO43" s="328" t="str">
        <f>IFERROR(ROUND((tblPiNHistorical[[#This Row],[Shelter - new]]-tblPiNHistorical[[#This Row],[Shelter - old]])/tblPiNHistorical[[#This Row],[Shelter - old]], 1), "")</f>
        <v/>
      </c>
      <c r="AP43" s="37" t="str">
        <f>IFERROR(ROUND((tblPiNHistorical[[#This Row],[WASH - new]]-tblPiNHistorical[[#This Row],[WASH - old]])/tblPiNHistorical[[#This Row],[WASH - old]], 1), "")</f>
        <v/>
      </c>
    </row>
    <row r="44" spans="1:42" ht="24.95">
      <c r="A44" s="322" t="s">
        <v>145</v>
      </c>
      <c r="B44" s="320" t="s">
        <v>146</v>
      </c>
      <c r="C44" s="213" t="s">
        <v>147</v>
      </c>
      <c r="D44" s="376" t="s">
        <v>148</v>
      </c>
      <c r="E44" s="103" t="s">
        <v>145</v>
      </c>
      <c r="F44" s="98"/>
      <c r="G44" s="33"/>
      <c r="H44" s="340"/>
      <c r="I44" s="95">
        <v>119176</v>
      </c>
      <c r="J44" s="358" t="s">
        <v>193</v>
      </c>
      <c r="K44" s="303">
        <v>35123</v>
      </c>
      <c r="L44" s="364">
        <v>2936.8665412671467</v>
      </c>
      <c r="M44" s="303">
        <v>7607.2560000000003</v>
      </c>
      <c r="N44" s="303">
        <v>19573</v>
      </c>
      <c r="O44" s="303">
        <v>5423.1555393829831</v>
      </c>
      <c r="P44" s="303">
        <v>27851.765625</v>
      </c>
      <c r="Q44" s="304">
        <v>41076</v>
      </c>
      <c r="R44" s="303">
        <v>17414</v>
      </c>
      <c r="S44" s="323">
        <v>0</v>
      </c>
      <c r="T44" s="323">
        <v>9104</v>
      </c>
      <c r="U44" s="303">
        <v>10167</v>
      </c>
      <c r="V44" s="303">
        <v>40170.5</v>
      </c>
      <c r="W44" s="303">
        <v>690.12728365499265</v>
      </c>
      <c r="X44" s="303">
        <v>30851</v>
      </c>
      <c r="Y44" s="303">
        <v>13312</v>
      </c>
      <c r="Z44" s="303">
        <v>25204</v>
      </c>
      <c r="AA44" s="324" t="str">
        <f>IF(OR(tblPiNHistorical[[#This Row],[CCCM - old]]="", tblPiNHistorical[[#This Row],[CCCM - old]]=0, tblPiNHistorical[[#This Row],[CCCM - new]]="", tblPiNHistorical[[#This Row],[CCCM - new]]=0), "", tblPiNHistorical[[#This Row],[CCCM - new]]-tblPiNHistorical[[#This Row],[CCCM - old]])</f>
        <v/>
      </c>
      <c r="AB44" s="325">
        <f>IF(OR(tblPiNHistorical[[#This Row],[Education - old]]="", tblPiNHistorical[[#This Row],[Education - old]]=0, tblPiNHistorical[[#This Row],[Education - new]]="", tblPiNHistorical[[#This Row],[Education - new]]=0), "", tblPiNHistorical[[#This Row],[Education - new]]-tblPiNHistorical[[#This Row],[Education - old]])</f>
        <v>6167.1334587328529</v>
      </c>
      <c r="AC44" s="325">
        <f>IF(OR(tblPiNHistorical[[#This Row],[Nutrition - old]]="", tblPiNHistorical[[#This Row],[Nutrition - old]]=0, tblPiNHistorical[[#This Row],[Nutrition - new]]="", tblPiNHistorical[[#This Row],[Nutrition - new]]=0), "", tblPiNHistorical[[#This Row],[Nutrition - new]]-tblPiNHistorical[[#This Row],[Nutrition - old]])</f>
        <v>2559.7439999999997</v>
      </c>
      <c r="AD44" s="325">
        <f>IF(OR(tblPiNHistorical[[#This Row],[Food Security - old]]="", tblPiNHistorical[[#This Row],[Food Security - old]]=0, tblPiNHistorical[[#This Row],[Food Security - new]]="", tblPiNHistorical[[#This Row],[Food Security - new]]=0), "", tblPiNHistorical[[#This Row],[Food Security - new]]-tblPiNHistorical[[#This Row],[Food Security - old]])</f>
        <v>20597.5</v>
      </c>
      <c r="AE44" s="325">
        <f>IF(OR(tblPiNHistorical[[#This Row],[Health - old]]="", tblPiNHistorical[[#This Row],[Health - old]]=0, tblPiNHistorical[[#This Row],[Health - new]]="", tblPiNHistorical[[#This Row],[Health - new]]=0), "", tblPiNHistorical[[#This Row],[Health - new]]-tblPiNHistorical[[#This Row],[Health - old]])</f>
        <v>-4733.0282557279907</v>
      </c>
      <c r="AF44"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2999.234375</v>
      </c>
      <c r="AG44" s="325">
        <f>IF(OR(tblPiNHistorical[[#This Row],[Shelter - old]]="", tblPiNHistorical[[#This Row],[Shelter - old]]=0, tblPiNHistorical[[#This Row],[Shelter - new]]="", tblPiNHistorical[[#This Row],[Shelter - new]]=0), "", tblPiNHistorical[[#This Row],[Shelter - new]]-tblPiNHistorical[[#This Row],[Shelter - old]])</f>
        <v>-27764</v>
      </c>
      <c r="AH44" s="326">
        <f>IF(OR(tblPiNHistorical[[#This Row],[WASH - old]]="", tblPiNHistorical[[#This Row],[WASH - old]]=0, tblPiNHistorical[[#This Row],[WASH - new]]="", tblPiNHistorical[[#This Row],[WASH - new]]=0), "", tblPiNHistorical[[#This Row],[WASH - new]]-tblPiNHistorical[[#This Row],[WASH - old]])</f>
        <v>7790</v>
      </c>
      <c r="AI44" s="327">
        <f>IFERROR(ROUND((tblPiNHistorical[[#This Row],[CCCM - new]] - tblPiNHistorical[[#This Row],[CCCM - old]])/tblPiNHistorical[[#This Row],[CCCM - old]], 1), "")</f>
        <v>-1</v>
      </c>
      <c r="AJ44" s="328">
        <f>IFERROR(ROUND((tblPiNHistorical[[#This Row],[Education - new]]-tblPiNHistorical[[#This Row],[Education - old]])/tblPiNHistorical[[#This Row],[Education - old]], 1), "")</f>
        <v>2.1</v>
      </c>
      <c r="AK44" s="328">
        <f>IFERROR(ROUND((tblPiNHistorical[[#This Row],[Nutrition - new]]-tblPiNHistorical[[#This Row],[Nutrition - old]])/tblPiNHistorical[[#This Row],[Nutrition - old]], 1), "")</f>
        <v>0.3</v>
      </c>
      <c r="AL44" s="328">
        <f>IFERROR(ROUND((tblPiNHistorical[[#This Row],[Food Security - new]]-tblPiNHistorical[[#This Row],[Food Security - old]])/tblPiNHistorical[[#This Row],[Food Security - old]], 1), "")</f>
        <v>1.1000000000000001</v>
      </c>
      <c r="AM44" s="328">
        <f>IFERROR(ROUND((tblPiNHistorical[[#This Row],[Health - new]]-tblPiNHistorical[[#This Row],[Health - old]])/tblPiNHistorical[[#This Row],[Health - old]], 1), "")</f>
        <v>-0.9</v>
      </c>
      <c r="AN44" s="328">
        <f>IFERROR(ROUND((tblPiNHistorical[[#This Row],[Overarching Protection - new]]-tblPiNHistorical[[#This Row],[Overarching Protection - old]])/tblPiNHistorical[[#This Row],[Overarching Protection - old]], 1), "")</f>
        <v>0.1</v>
      </c>
      <c r="AO44" s="328">
        <f>IFERROR(ROUND((tblPiNHistorical[[#This Row],[Shelter - new]]-tblPiNHistorical[[#This Row],[Shelter - old]])/tblPiNHistorical[[#This Row],[Shelter - old]], 1), "")</f>
        <v>-0.7</v>
      </c>
      <c r="AP44" s="37">
        <f>IFERROR(ROUND((tblPiNHistorical[[#This Row],[WASH - new]]-tblPiNHistorical[[#This Row],[WASH - old]])/tblPiNHistorical[[#This Row],[WASH - old]], 1), "")</f>
        <v>0.4</v>
      </c>
    </row>
    <row r="45" spans="1:42" ht="24.95">
      <c r="A45" s="322" t="s">
        <v>150</v>
      </c>
      <c r="B45" s="320" t="s">
        <v>146</v>
      </c>
      <c r="C45" s="213" t="s">
        <v>147</v>
      </c>
      <c r="D45" s="376" t="s">
        <v>151</v>
      </c>
      <c r="E45" s="103" t="s">
        <v>150</v>
      </c>
      <c r="F45" s="98"/>
      <c r="G45" s="33"/>
      <c r="H45" s="340"/>
      <c r="I45" s="95">
        <v>194226</v>
      </c>
      <c r="J45" s="358" t="s">
        <v>193</v>
      </c>
      <c r="K45" s="303"/>
      <c r="L45" s="364"/>
      <c r="M45" s="303"/>
      <c r="N45" s="303"/>
      <c r="O45" s="303"/>
      <c r="P45" s="303"/>
      <c r="Q45" s="304"/>
      <c r="R45" s="303"/>
      <c r="S45" s="323">
        <v>0</v>
      </c>
      <c r="T45" s="323">
        <v>21119</v>
      </c>
      <c r="U45" s="303">
        <v>16942</v>
      </c>
      <c r="V45" s="303">
        <v>34478</v>
      </c>
      <c r="W45" s="303"/>
      <c r="X45" s="303">
        <v>21000</v>
      </c>
      <c r="Y45" s="303">
        <v>46882</v>
      </c>
      <c r="Z45" s="303">
        <v>4930</v>
      </c>
      <c r="AA45" s="324" t="str">
        <f>IF(OR(tblPiNHistorical[[#This Row],[CCCM - old]]="", tblPiNHistorical[[#This Row],[CCCM - old]]=0, tblPiNHistorical[[#This Row],[CCCM - new]]="", tblPiNHistorical[[#This Row],[CCCM - new]]=0), "", tblPiNHistorical[[#This Row],[CCCM - new]]-tblPiNHistorical[[#This Row],[CCCM - old]])</f>
        <v/>
      </c>
      <c r="AB45" s="325" t="str">
        <f>IF(OR(tblPiNHistorical[[#This Row],[Education - old]]="", tblPiNHistorical[[#This Row],[Education - old]]=0, tblPiNHistorical[[#This Row],[Education - new]]="", tblPiNHistorical[[#This Row],[Education - new]]=0), "", tblPiNHistorical[[#This Row],[Education - new]]-tblPiNHistorical[[#This Row],[Education - old]])</f>
        <v/>
      </c>
      <c r="AC45" s="325" t="str">
        <f>IF(OR(tblPiNHistorical[[#This Row],[Nutrition - old]]="", tblPiNHistorical[[#This Row],[Nutrition - old]]=0, tblPiNHistorical[[#This Row],[Nutrition - new]]="", tblPiNHistorical[[#This Row],[Nutrition - new]]=0), "", tblPiNHistorical[[#This Row],[Nutrition - new]]-tblPiNHistorical[[#This Row],[Nutrition - old]])</f>
        <v/>
      </c>
      <c r="AD45"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45" s="325" t="str">
        <f>IF(OR(tblPiNHistorical[[#This Row],[Health - old]]="", tblPiNHistorical[[#This Row],[Health - old]]=0, tblPiNHistorical[[#This Row],[Health - new]]="", tblPiNHistorical[[#This Row],[Health - new]]=0), "", tblPiNHistorical[[#This Row],[Health - new]]-tblPiNHistorical[[#This Row],[Health - old]])</f>
        <v/>
      </c>
      <c r="AF45"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45" s="325" t="str">
        <f>IF(OR(tblPiNHistorical[[#This Row],[Shelter - old]]="", tblPiNHistorical[[#This Row],[Shelter - old]]=0, tblPiNHistorical[[#This Row],[Shelter - new]]="", tblPiNHistorical[[#This Row],[Shelter - new]]=0), "", tblPiNHistorical[[#This Row],[Shelter - new]]-tblPiNHistorical[[#This Row],[Shelter - old]])</f>
        <v/>
      </c>
      <c r="AH45" s="326" t="str">
        <f>IF(OR(tblPiNHistorical[[#This Row],[WASH - old]]="", tblPiNHistorical[[#This Row],[WASH - old]]=0, tblPiNHistorical[[#This Row],[WASH - new]]="", tblPiNHistorical[[#This Row],[WASH - new]]=0), "", tblPiNHistorical[[#This Row],[WASH - new]]-tblPiNHistorical[[#This Row],[WASH - old]])</f>
        <v/>
      </c>
      <c r="AI45" s="327" t="str">
        <f>IFERROR(ROUND((tblPiNHistorical[[#This Row],[CCCM - new]] - tblPiNHistorical[[#This Row],[CCCM - old]])/tblPiNHistorical[[#This Row],[CCCM - old]], 1), "")</f>
        <v/>
      </c>
      <c r="AJ45" s="328" t="str">
        <f>IFERROR(ROUND((tblPiNHistorical[[#This Row],[Education - new]]-tblPiNHistorical[[#This Row],[Education - old]])/tblPiNHistorical[[#This Row],[Education - old]], 1), "")</f>
        <v/>
      </c>
      <c r="AK45" s="328" t="str">
        <f>IFERROR(ROUND((tblPiNHistorical[[#This Row],[Nutrition - new]]-tblPiNHistorical[[#This Row],[Nutrition - old]])/tblPiNHistorical[[#This Row],[Nutrition - old]], 1), "")</f>
        <v/>
      </c>
      <c r="AL45" s="328" t="str">
        <f>IFERROR(ROUND((tblPiNHistorical[[#This Row],[Food Security - new]]-tblPiNHistorical[[#This Row],[Food Security - old]])/tblPiNHistorical[[#This Row],[Food Security - old]], 1), "")</f>
        <v/>
      </c>
      <c r="AM45" s="328" t="str">
        <f>IFERROR(ROUND((tblPiNHistorical[[#This Row],[Health - new]]-tblPiNHistorical[[#This Row],[Health - old]])/tblPiNHistorical[[#This Row],[Health - old]], 1), "")</f>
        <v/>
      </c>
      <c r="AN45" s="328" t="str">
        <f>IFERROR(ROUND((tblPiNHistorical[[#This Row],[Overarching Protection - new]]-tblPiNHistorical[[#This Row],[Overarching Protection - old]])/tblPiNHistorical[[#This Row],[Overarching Protection - old]], 1), "")</f>
        <v/>
      </c>
      <c r="AO45" s="328" t="str">
        <f>IFERROR(ROUND((tblPiNHistorical[[#This Row],[Shelter - new]]-tblPiNHistorical[[#This Row],[Shelter - old]])/tblPiNHistorical[[#This Row],[Shelter - old]], 1), "")</f>
        <v/>
      </c>
      <c r="AP45" s="37" t="str">
        <f>IFERROR(ROUND((tblPiNHistorical[[#This Row],[WASH - new]]-tblPiNHistorical[[#This Row],[WASH - old]])/tblPiNHistorical[[#This Row],[WASH - old]], 1), "")</f>
        <v/>
      </c>
    </row>
    <row r="46" spans="1:42" ht="24.95">
      <c r="A46" s="322" t="s">
        <v>152</v>
      </c>
      <c r="B46" s="320" t="s">
        <v>146</v>
      </c>
      <c r="C46" s="213" t="s">
        <v>147</v>
      </c>
      <c r="D46" s="376" t="s">
        <v>153</v>
      </c>
      <c r="E46" s="103" t="s">
        <v>152</v>
      </c>
      <c r="F46" s="98"/>
      <c r="G46" s="33"/>
      <c r="H46" s="340"/>
      <c r="I46" s="95">
        <v>293505</v>
      </c>
      <c r="J46" s="358" t="s">
        <v>193</v>
      </c>
      <c r="K46" s="303">
        <v>26313</v>
      </c>
      <c r="L46" s="364">
        <v>19082.144366197186</v>
      </c>
      <c r="M46" s="303">
        <v>12023.600000000002</v>
      </c>
      <c r="N46" s="303">
        <v>107218</v>
      </c>
      <c r="O46" s="303">
        <v>12840.910360195821</v>
      </c>
      <c r="P46" s="303">
        <v>35052.391406249997</v>
      </c>
      <c r="Q46" s="304">
        <v>21597</v>
      </c>
      <c r="R46" s="303">
        <v>8388</v>
      </c>
      <c r="S46" s="323">
        <v>58701</v>
      </c>
      <c r="T46" s="323">
        <v>31944</v>
      </c>
      <c r="U46" s="303">
        <v>25286</v>
      </c>
      <c r="V46" s="303">
        <v>106444</v>
      </c>
      <c r="W46" s="303">
        <v>950.99205082500225</v>
      </c>
      <c r="X46" s="303">
        <v>28920</v>
      </c>
      <c r="Y46" s="303">
        <v>50644</v>
      </c>
      <c r="Z46" s="303">
        <v>19631</v>
      </c>
      <c r="AA46" s="324">
        <f>IF(OR(tblPiNHistorical[[#This Row],[CCCM - old]]="", tblPiNHistorical[[#This Row],[CCCM - old]]=0, tblPiNHistorical[[#This Row],[CCCM - new]]="", tblPiNHistorical[[#This Row],[CCCM - new]]=0), "", tblPiNHistorical[[#This Row],[CCCM - new]]-tblPiNHistorical[[#This Row],[CCCM - old]])</f>
        <v>32388</v>
      </c>
      <c r="AB46" s="325">
        <f>IF(OR(tblPiNHistorical[[#This Row],[Education - old]]="", tblPiNHistorical[[#This Row],[Education - old]]=0, tblPiNHistorical[[#This Row],[Education - new]]="", tblPiNHistorical[[#This Row],[Education - new]]=0), "", tblPiNHistorical[[#This Row],[Education - new]]-tblPiNHistorical[[#This Row],[Education - old]])</f>
        <v>12861.855633802814</v>
      </c>
      <c r="AC46" s="325">
        <f>IF(OR(tblPiNHistorical[[#This Row],[Nutrition - old]]="", tblPiNHistorical[[#This Row],[Nutrition - old]]=0, tblPiNHistorical[[#This Row],[Nutrition - new]]="", tblPiNHistorical[[#This Row],[Nutrition - new]]=0), "", tblPiNHistorical[[#This Row],[Nutrition - new]]-tblPiNHistorical[[#This Row],[Nutrition - old]])</f>
        <v>13262.399999999998</v>
      </c>
      <c r="AD46" s="325">
        <f>IF(OR(tblPiNHistorical[[#This Row],[Food Security - old]]="", tblPiNHistorical[[#This Row],[Food Security - old]]=0, tblPiNHistorical[[#This Row],[Food Security - new]]="", tblPiNHistorical[[#This Row],[Food Security - new]]=0), "", tblPiNHistorical[[#This Row],[Food Security - new]]-tblPiNHistorical[[#This Row],[Food Security - old]])</f>
        <v>-774</v>
      </c>
      <c r="AE46" s="325">
        <f>IF(OR(tblPiNHistorical[[#This Row],[Health - old]]="", tblPiNHistorical[[#This Row],[Health - old]]=0, tblPiNHistorical[[#This Row],[Health - new]]="", tblPiNHistorical[[#This Row],[Health - new]]=0), "", tblPiNHistorical[[#This Row],[Health - new]]-tblPiNHistorical[[#This Row],[Health - old]])</f>
        <v>-11889.91830937082</v>
      </c>
      <c r="AF46"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-6132.3914062499971</v>
      </c>
      <c r="AG46" s="325">
        <f>IF(OR(tblPiNHistorical[[#This Row],[Shelter - old]]="", tblPiNHistorical[[#This Row],[Shelter - old]]=0, tblPiNHistorical[[#This Row],[Shelter - new]]="", tblPiNHistorical[[#This Row],[Shelter - new]]=0), "", tblPiNHistorical[[#This Row],[Shelter - new]]-tblPiNHistorical[[#This Row],[Shelter - old]])</f>
        <v>29047</v>
      </c>
      <c r="AH46" s="326">
        <f>IF(OR(tblPiNHistorical[[#This Row],[WASH - old]]="", tblPiNHistorical[[#This Row],[WASH - old]]=0, tblPiNHistorical[[#This Row],[WASH - new]]="", tblPiNHistorical[[#This Row],[WASH - new]]=0), "", tblPiNHistorical[[#This Row],[WASH - new]]-tblPiNHistorical[[#This Row],[WASH - old]])</f>
        <v>11243</v>
      </c>
      <c r="AI46" s="327">
        <f>IFERROR(ROUND((tblPiNHistorical[[#This Row],[CCCM - new]] - tblPiNHistorical[[#This Row],[CCCM - old]])/tblPiNHistorical[[#This Row],[CCCM - old]], 1), "")</f>
        <v>1.2</v>
      </c>
      <c r="AJ46" s="328">
        <f>IFERROR(ROUND((tblPiNHistorical[[#This Row],[Education - new]]-tblPiNHistorical[[#This Row],[Education - old]])/tblPiNHistorical[[#This Row],[Education - old]], 1), "")</f>
        <v>0.7</v>
      </c>
      <c r="AK46" s="328">
        <f>IFERROR(ROUND((tblPiNHistorical[[#This Row],[Nutrition - new]]-tblPiNHistorical[[#This Row],[Nutrition - old]])/tblPiNHistorical[[#This Row],[Nutrition - old]], 1), "")</f>
        <v>1.1000000000000001</v>
      </c>
      <c r="AL46" s="328">
        <f>IFERROR(ROUND((tblPiNHistorical[[#This Row],[Food Security - new]]-tblPiNHistorical[[#This Row],[Food Security - old]])/tblPiNHistorical[[#This Row],[Food Security - old]], 1), "")</f>
        <v>0</v>
      </c>
      <c r="AM46" s="328">
        <f>IFERROR(ROUND((tblPiNHistorical[[#This Row],[Health - new]]-tblPiNHistorical[[#This Row],[Health - old]])/tblPiNHistorical[[#This Row],[Health - old]], 1), "")</f>
        <v>-0.9</v>
      </c>
      <c r="AN46" s="328">
        <f>IFERROR(ROUND((tblPiNHistorical[[#This Row],[Overarching Protection - new]]-tblPiNHistorical[[#This Row],[Overarching Protection - old]])/tblPiNHistorical[[#This Row],[Overarching Protection - old]], 1), "")</f>
        <v>-0.2</v>
      </c>
      <c r="AO46" s="328">
        <f>IFERROR(ROUND((tblPiNHistorical[[#This Row],[Shelter - new]]-tblPiNHistorical[[#This Row],[Shelter - old]])/tblPiNHistorical[[#This Row],[Shelter - old]], 1), "")</f>
        <v>1.3</v>
      </c>
      <c r="AP46" s="37">
        <f>IFERROR(ROUND((tblPiNHistorical[[#This Row],[WASH - new]]-tblPiNHistorical[[#This Row],[WASH - old]])/tblPiNHistorical[[#This Row],[WASH - old]], 1), "")</f>
        <v>1.3</v>
      </c>
    </row>
    <row r="47" spans="1:42" ht="27.95">
      <c r="A47" s="322" t="s">
        <v>154</v>
      </c>
      <c r="B47" s="320" t="s">
        <v>146</v>
      </c>
      <c r="C47" s="213" t="s">
        <v>147</v>
      </c>
      <c r="D47" s="376" t="s">
        <v>155</v>
      </c>
      <c r="E47" s="103" t="s">
        <v>154</v>
      </c>
      <c r="F47" s="98"/>
      <c r="G47" s="33"/>
      <c r="H47" s="340"/>
      <c r="I47" s="95">
        <v>247192</v>
      </c>
      <c r="J47" s="358" t="s">
        <v>193</v>
      </c>
      <c r="K47" s="303">
        <v>0</v>
      </c>
      <c r="L47" s="364">
        <v>6156.7852753923607</v>
      </c>
      <c r="M47" s="303">
        <v>11773.68</v>
      </c>
      <c r="N47" s="303">
        <v>32131</v>
      </c>
      <c r="O47" s="303">
        <v>12966.674749576561</v>
      </c>
      <c r="P47" s="303">
        <v>29219.994843750002</v>
      </c>
      <c r="Q47" s="304">
        <v>0</v>
      </c>
      <c r="R47" s="303">
        <v>17955.299999999996</v>
      </c>
      <c r="S47" s="323">
        <v>0</v>
      </c>
      <c r="T47" s="323">
        <v>40051</v>
      </c>
      <c r="U47" s="303">
        <v>19607</v>
      </c>
      <c r="V47" s="303">
        <v>39165</v>
      </c>
      <c r="W47" s="303">
        <v>4561.943692552536</v>
      </c>
      <c r="X47" s="303">
        <v>28920</v>
      </c>
      <c r="Y47" s="303"/>
      <c r="Z47" s="303">
        <v>42315</v>
      </c>
      <c r="AA47" s="324" t="str">
        <f>IF(OR(tblPiNHistorical[[#This Row],[CCCM - old]]="", tblPiNHistorical[[#This Row],[CCCM - old]]=0, tblPiNHistorical[[#This Row],[CCCM - new]]="", tblPiNHistorical[[#This Row],[CCCM - new]]=0), "", tblPiNHistorical[[#This Row],[CCCM - new]]-tblPiNHistorical[[#This Row],[CCCM - old]])</f>
        <v/>
      </c>
      <c r="AB47" s="325">
        <f>IF(OR(tblPiNHistorical[[#This Row],[Education - old]]="", tblPiNHistorical[[#This Row],[Education - old]]=0, tblPiNHistorical[[#This Row],[Education - new]]="", tblPiNHistorical[[#This Row],[Education - new]]=0), "", tblPiNHistorical[[#This Row],[Education - new]]-tblPiNHistorical[[#This Row],[Education - old]])</f>
        <v>33894.214724607642</v>
      </c>
      <c r="AC47" s="325">
        <f>IF(OR(tblPiNHistorical[[#This Row],[Nutrition - old]]="", tblPiNHistorical[[#This Row],[Nutrition - old]]=0, tblPiNHistorical[[#This Row],[Nutrition - new]]="", tblPiNHistorical[[#This Row],[Nutrition - new]]=0), "", tblPiNHistorical[[#This Row],[Nutrition - new]]-tblPiNHistorical[[#This Row],[Nutrition - old]])</f>
        <v>7833.32</v>
      </c>
      <c r="AD47" s="325">
        <f>IF(OR(tblPiNHistorical[[#This Row],[Food Security - old]]="", tblPiNHistorical[[#This Row],[Food Security - old]]=0, tblPiNHistorical[[#This Row],[Food Security - new]]="", tblPiNHistorical[[#This Row],[Food Security - new]]=0), "", tblPiNHistorical[[#This Row],[Food Security - new]]-tblPiNHistorical[[#This Row],[Food Security - old]])</f>
        <v>7034</v>
      </c>
      <c r="AE47" s="325">
        <f>IF(OR(tblPiNHistorical[[#This Row],[Health - old]]="", tblPiNHistorical[[#This Row],[Health - old]]=0, tblPiNHistorical[[#This Row],[Health - new]]="", tblPiNHistorical[[#This Row],[Health - new]]=0), "", tblPiNHistorical[[#This Row],[Health - new]]-tblPiNHistorical[[#This Row],[Health - old]])</f>
        <v>-8404.7310570240261</v>
      </c>
      <c r="AF47"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-299.99484375000247</v>
      </c>
      <c r="AG47" s="325" t="str">
        <f>IF(OR(tblPiNHistorical[[#This Row],[Shelter - old]]="", tblPiNHistorical[[#This Row],[Shelter - old]]=0, tblPiNHistorical[[#This Row],[Shelter - new]]="", tblPiNHistorical[[#This Row],[Shelter - new]]=0), "", tblPiNHistorical[[#This Row],[Shelter - new]]-tblPiNHistorical[[#This Row],[Shelter - old]])</f>
        <v/>
      </c>
      <c r="AH47" s="326">
        <f>IF(OR(tblPiNHistorical[[#This Row],[WASH - old]]="", tblPiNHistorical[[#This Row],[WASH - old]]=0, tblPiNHistorical[[#This Row],[WASH - new]]="", tblPiNHistorical[[#This Row],[WASH - new]]=0), "", tblPiNHistorical[[#This Row],[WASH - new]]-tblPiNHistorical[[#This Row],[WASH - old]])</f>
        <v>24359.700000000004</v>
      </c>
      <c r="AI47" s="327" t="str">
        <f>IFERROR(ROUND((tblPiNHistorical[[#This Row],[CCCM - new]] - tblPiNHistorical[[#This Row],[CCCM - old]])/tblPiNHistorical[[#This Row],[CCCM - old]], 1), "")</f>
        <v/>
      </c>
      <c r="AJ47" s="328">
        <f>IFERROR(ROUND((tblPiNHistorical[[#This Row],[Education - new]]-tblPiNHistorical[[#This Row],[Education - old]])/tblPiNHistorical[[#This Row],[Education - old]], 1), "")</f>
        <v>5.5</v>
      </c>
      <c r="AK47" s="328">
        <f>IFERROR(ROUND((tblPiNHistorical[[#This Row],[Nutrition - new]]-tblPiNHistorical[[#This Row],[Nutrition - old]])/tblPiNHistorical[[#This Row],[Nutrition - old]], 1), "")</f>
        <v>0.7</v>
      </c>
      <c r="AL47" s="328">
        <f>IFERROR(ROUND((tblPiNHistorical[[#This Row],[Food Security - new]]-tblPiNHistorical[[#This Row],[Food Security - old]])/tblPiNHistorical[[#This Row],[Food Security - old]], 1), "")</f>
        <v>0.2</v>
      </c>
      <c r="AM47" s="328">
        <f>IFERROR(ROUND((tblPiNHistorical[[#This Row],[Health - new]]-tblPiNHistorical[[#This Row],[Health - old]])/tblPiNHistorical[[#This Row],[Health - old]], 1), "")</f>
        <v>-0.6</v>
      </c>
      <c r="AN47" s="328">
        <f>IFERROR(ROUND((tblPiNHistorical[[#This Row],[Overarching Protection - new]]-tblPiNHistorical[[#This Row],[Overarching Protection - old]])/tblPiNHistorical[[#This Row],[Overarching Protection - old]], 1), "")</f>
        <v>0</v>
      </c>
      <c r="AO47" s="328" t="str">
        <f>IFERROR(ROUND((tblPiNHistorical[[#This Row],[Shelter - new]]-tblPiNHistorical[[#This Row],[Shelter - old]])/tblPiNHistorical[[#This Row],[Shelter - old]], 1), "")</f>
        <v/>
      </c>
      <c r="AP47" s="37">
        <f>IFERROR(ROUND((tblPiNHistorical[[#This Row],[WASH - new]]-tblPiNHistorical[[#This Row],[WASH - old]])/tblPiNHistorical[[#This Row],[WASH - old]], 1), "")</f>
        <v>1.4</v>
      </c>
    </row>
    <row r="48" spans="1:42" ht="24.95">
      <c r="A48" s="322" t="s">
        <v>156</v>
      </c>
      <c r="B48" s="320" t="s">
        <v>146</v>
      </c>
      <c r="C48" s="213" t="s">
        <v>147</v>
      </c>
      <c r="D48" s="376" t="s">
        <v>157</v>
      </c>
      <c r="E48" s="103" t="s">
        <v>156</v>
      </c>
      <c r="F48" s="98"/>
      <c r="G48" s="33"/>
      <c r="H48" s="340"/>
      <c r="I48" s="95">
        <v>12430</v>
      </c>
      <c r="J48" s="358" t="s">
        <v>193</v>
      </c>
      <c r="K48" s="303">
        <v>6052.2</v>
      </c>
      <c r="L48" s="364">
        <v>2353.2692307692314</v>
      </c>
      <c r="M48" s="303">
        <v>1134.008</v>
      </c>
      <c r="N48" s="303">
        <v>3854</v>
      </c>
      <c r="O48" s="303">
        <v>5935.0424536877017</v>
      </c>
      <c r="P48" s="303">
        <v>2509</v>
      </c>
      <c r="Q48" s="304">
        <v>9947</v>
      </c>
      <c r="R48" s="303">
        <v>7767.3784860557771</v>
      </c>
      <c r="S48" s="323">
        <v>2486</v>
      </c>
      <c r="T48" s="323">
        <v>1177</v>
      </c>
      <c r="U48" s="303">
        <v>1037</v>
      </c>
      <c r="V48" s="303">
        <v>3175</v>
      </c>
      <c r="W48" s="303">
        <v>6149.3393352509975</v>
      </c>
      <c r="X48" s="303">
        <v>7927</v>
      </c>
      <c r="Y48" s="303">
        <v>2017</v>
      </c>
      <c r="Z48" s="303">
        <v>8912</v>
      </c>
      <c r="AA48" s="324">
        <f>IF(OR(tblPiNHistorical[[#This Row],[CCCM - old]]="", tblPiNHistorical[[#This Row],[CCCM - old]]=0, tblPiNHistorical[[#This Row],[CCCM - new]]="", tblPiNHistorical[[#This Row],[CCCM - new]]=0), "", tblPiNHistorical[[#This Row],[CCCM - new]]-tblPiNHistorical[[#This Row],[CCCM - old]])</f>
        <v>-3566.2</v>
      </c>
      <c r="AB48" s="325">
        <f>IF(OR(tblPiNHistorical[[#This Row],[Education - old]]="", tblPiNHistorical[[#This Row],[Education - old]]=0, tblPiNHistorical[[#This Row],[Education - new]]="", tblPiNHistorical[[#This Row],[Education - new]]=0), "", tblPiNHistorical[[#This Row],[Education - new]]-tblPiNHistorical[[#This Row],[Education - old]])</f>
        <v>-1176.2692307692314</v>
      </c>
      <c r="AC48" s="325">
        <f>IF(OR(tblPiNHistorical[[#This Row],[Nutrition - old]]="", tblPiNHistorical[[#This Row],[Nutrition - old]]=0, tblPiNHistorical[[#This Row],[Nutrition - new]]="", tblPiNHistorical[[#This Row],[Nutrition - new]]=0), "", tblPiNHistorical[[#This Row],[Nutrition - new]]-tblPiNHistorical[[#This Row],[Nutrition - old]])</f>
        <v>-97.008000000000038</v>
      </c>
      <c r="AD48" s="325">
        <f>IF(OR(tblPiNHistorical[[#This Row],[Food Security - old]]="", tblPiNHistorical[[#This Row],[Food Security - old]]=0, tblPiNHistorical[[#This Row],[Food Security - new]]="", tblPiNHistorical[[#This Row],[Food Security - new]]=0), "", tblPiNHistorical[[#This Row],[Food Security - new]]-tblPiNHistorical[[#This Row],[Food Security - old]])</f>
        <v>-679</v>
      </c>
      <c r="AE48" s="325">
        <f>IF(OR(tblPiNHistorical[[#This Row],[Health - old]]="", tblPiNHistorical[[#This Row],[Health - old]]=0, tblPiNHistorical[[#This Row],[Health - new]]="", tblPiNHistorical[[#This Row],[Health - new]]=0), "", tblPiNHistorical[[#This Row],[Health - new]]-tblPiNHistorical[[#This Row],[Health - old]])</f>
        <v>214.29688156329576</v>
      </c>
      <c r="AF48"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5418</v>
      </c>
      <c r="AG48" s="325">
        <f>IF(OR(tblPiNHistorical[[#This Row],[Shelter - old]]="", tblPiNHistorical[[#This Row],[Shelter - old]]=0, tblPiNHistorical[[#This Row],[Shelter - new]]="", tblPiNHistorical[[#This Row],[Shelter - new]]=0), "", tblPiNHistorical[[#This Row],[Shelter - new]]-tblPiNHistorical[[#This Row],[Shelter - old]])</f>
        <v>-7930</v>
      </c>
      <c r="AH48" s="326">
        <f>IF(OR(tblPiNHistorical[[#This Row],[WASH - old]]="", tblPiNHistorical[[#This Row],[WASH - old]]=0, tblPiNHistorical[[#This Row],[WASH - new]]="", tblPiNHistorical[[#This Row],[WASH - new]]=0), "", tblPiNHistorical[[#This Row],[WASH - new]]-tblPiNHistorical[[#This Row],[WASH - old]])</f>
        <v>1144.6215139442229</v>
      </c>
      <c r="AI48" s="327">
        <f>IFERROR(ROUND((tblPiNHistorical[[#This Row],[CCCM - new]] - tblPiNHistorical[[#This Row],[CCCM - old]])/tblPiNHistorical[[#This Row],[CCCM - old]], 1), "")</f>
        <v>-0.6</v>
      </c>
      <c r="AJ48" s="328">
        <f>IFERROR(ROUND((tblPiNHistorical[[#This Row],[Education - new]]-tblPiNHistorical[[#This Row],[Education - old]])/tblPiNHistorical[[#This Row],[Education - old]], 1), "")</f>
        <v>-0.5</v>
      </c>
      <c r="AK48" s="328">
        <f>IFERROR(ROUND((tblPiNHistorical[[#This Row],[Nutrition - new]]-tblPiNHistorical[[#This Row],[Nutrition - old]])/tblPiNHistorical[[#This Row],[Nutrition - old]], 1), "")</f>
        <v>-0.1</v>
      </c>
      <c r="AL48" s="328">
        <f>IFERROR(ROUND((tblPiNHistorical[[#This Row],[Food Security - new]]-tblPiNHistorical[[#This Row],[Food Security - old]])/tblPiNHistorical[[#This Row],[Food Security - old]], 1), "")</f>
        <v>-0.2</v>
      </c>
      <c r="AM48" s="328">
        <f>IFERROR(ROUND((tblPiNHistorical[[#This Row],[Health - new]]-tblPiNHistorical[[#This Row],[Health - old]])/tblPiNHistorical[[#This Row],[Health - old]], 1), "")</f>
        <v>0</v>
      </c>
      <c r="AN48" s="328">
        <f>IFERROR(ROUND((tblPiNHistorical[[#This Row],[Overarching Protection - new]]-tblPiNHistorical[[#This Row],[Overarching Protection - old]])/tblPiNHistorical[[#This Row],[Overarching Protection - old]], 1), "")</f>
        <v>2.2000000000000002</v>
      </c>
      <c r="AO48" s="328">
        <f>IFERROR(ROUND((tblPiNHistorical[[#This Row],[Shelter - new]]-tblPiNHistorical[[#This Row],[Shelter - old]])/tblPiNHistorical[[#This Row],[Shelter - old]], 1), "")</f>
        <v>-0.8</v>
      </c>
      <c r="AP48" s="37">
        <f>IFERROR(ROUND((tblPiNHistorical[[#This Row],[WASH - new]]-tblPiNHistorical[[#This Row],[WASH - old]])/tblPiNHistorical[[#This Row],[WASH - old]], 1), "")</f>
        <v>0.1</v>
      </c>
    </row>
    <row r="49" spans="1:42" ht="24.95">
      <c r="A49" s="322" t="s">
        <v>158</v>
      </c>
      <c r="B49" s="320" t="s">
        <v>146</v>
      </c>
      <c r="C49" s="213" t="s">
        <v>147</v>
      </c>
      <c r="D49" s="376" t="s">
        <v>159</v>
      </c>
      <c r="E49" s="103" t="s">
        <v>158</v>
      </c>
      <c r="F49" s="98"/>
      <c r="G49" s="33"/>
      <c r="H49" s="340"/>
      <c r="I49" s="95">
        <v>24084</v>
      </c>
      <c r="J49" s="358" t="s">
        <v>193</v>
      </c>
      <c r="K49" s="303">
        <v>0</v>
      </c>
      <c r="L49" s="364">
        <v>5435</v>
      </c>
      <c r="M49" s="303">
        <v>4237.3959999999997</v>
      </c>
      <c r="N49" s="303">
        <v>12170</v>
      </c>
      <c r="O49" s="303">
        <v>10270.230709379714</v>
      </c>
      <c r="P49" s="303">
        <v>11920</v>
      </c>
      <c r="Q49" s="304">
        <v>12170</v>
      </c>
      <c r="R49" s="303">
        <v>9492.6</v>
      </c>
      <c r="S49" s="323">
        <v>4816.8</v>
      </c>
      <c r="T49" s="323">
        <v>3034</v>
      </c>
      <c r="U49" s="303">
        <v>2147</v>
      </c>
      <c r="V49" s="303">
        <v>13980</v>
      </c>
      <c r="W49" s="303">
        <v>18989.785508237197</v>
      </c>
      <c r="X49" s="303">
        <v>23983</v>
      </c>
      <c r="Y49" s="303">
        <v>6560</v>
      </c>
      <c r="Z49" s="303">
        <v>21029</v>
      </c>
      <c r="AA49" s="324" t="str">
        <f>IF(OR(tblPiNHistorical[[#This Row],[CCCM - old]]="", tblPiNHistorical[[#This Row],[CCCM - old]]=0, tblPiNHistorical[[#This Row],[CCCM - new]]="", tblPiNHistorical[[#This Row],[CCCM - new]]=0), "", tblPiNHistorical[[#This Row],[CCCM - new]]-tblPiNHistorical[[#This Row],[CCCM - old]])</f>
        <v/>
      </c>
      <c r="AB49" s="325">
        <f>IF(OR(tblPiNHistorical[[#This Row],[Education - old]]="", tblPiNHistorical[[#This Row],[Education - old]]=0, tblPiNHistorical[[#This Row],[Education - new]]="", tblPiNHistorical[[#This Row],[Education - new]]=0), "", tblPiNHistorical[[#This Row],[Education - new]]-tblPiNHistorical[[#This Row],[Education - old]])</f>
        <v>-2401</v>
      </c>
      <c r="AC49" s="325">
        <f>IF(OR(tblPiNHistorical[[#This Row],[Nutrition - old]]="", tblPiNHistorical[[#This Row],[Nutrition - old]]=0, tblPiNHistorical[[#This Row],[Nutrition - new]]="", tblPiNHistorical[[#This Row],[Nutrition - new]]=0), "", tblPiNHistorical[[#This Row],[Nutrition - new]]-tblPiNHistorical[[#This Row],[Nutrition - old]])</f>
        <v>-2090.3959999999997</v>
      </c>
      <c r="AD49" s="325">
        <f>IF(OR(tblPiNHistorical[[#This Row],[Food Security - old]]="", tblPiNHistorical[[#This Row],[Food Security - old]]=0, tblPiNHistorical[[#This Row],[Food Security - new]]="", tblPiNHistorical[[#This Row],[Food Security - new]]=0), "", tblPiNHistorical[[#This Row],[Food Security - new]]-tblPiNHistorical[[#This Row],[Food Security - old]])</f>
        <v>1810</v>
      </c>
      <c r="AE49" s="325">
        <f>IF(OR(tblPiNHistorical[[#This Row],[Health - old]]="", tblPiNHistorical[[#This Row],[Health - old]]=0, tblPiNHistorical[[#This Row],[Health - new]]="", tblPiNHistorical[[#This Row],[Health - new]]=0), "", tblPiNHistorical[[#This Row],[Health - new]]-tblPiNHistorical[[#This Row],[Health - old]])</f>
        <v>8719.5547988574835</v>
      </c>
      <c r="AF49"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12063</v>
      </c>
      <c r="AG49" s="325">
        <f>IF(OR(tblPiNHistorical[[#This Row],[Shelter - old]]="", tblPiNHistorical[[#This Row],[Shelter - old]]=0, tblPiNHistorical[[#This Row],[Shelter - new]]="", tblPiNHistorical[[#This Row],[Shelter - new]]=0), "", tblPiNHistorical[[#This Row],[Shelter - new]]-tblPiNHistorical[[#This Row],[Shelter - old]])</f>
        <v>-5610</v>
      </c>
      <c r="AH49" s="326">
        <f>IF(OR(tblPiNHistorical[[#This Row],[WASH - old]]="", tblPiNHistorical[[#This Row],[WASH - old]]=0, tblPiNHistorical[[#This Row],[WASH - new]]="", tblPiNHistorical[[#This Row],[WASH - new]]=0), "", tblPiNHistorical[[#This Row],[WASH - new]]-tblPiNHistorical[[#This Row],[WASH - old]])</f>
        <v>11536.4</v>
      </c>
      <c r="AI49" s="327" t="str">
        <f>IFERROR(ROUND((tblPiNHistorical[[#This Row],[CCCM - new]] - tblPiNHistorical[[#This Row],[CCCM - old]])/tblPiNHistorical[[#This Row],[CCCM - old]], 1), "")</f>
        <v/>
      </c>
      <c r="AJ49" s="328">
        <f>IFERROR(ROUND((tblPiNHistorical[[#This Row],[Education - new]]-tblPiNHistorical[[#This Row],[Education - old]])/tblPiNHistorical[[#This Row],[Education - old]], 1), "")</f>
        <v>-0.4</v>
      </c>
      <c r="AK49" s="328">
        <f>IFERROR(ROUND((tblPiNHistorical[[#This Row],[Nutrition - new]]-tblPiNHistorical[[#This Row],[Nutrition - old]])/tblPiNHistorical[[#This Row],[Nutrition - old]], 1), "")</f>
        <v>-0.5</v>
      </c>
      <c r="AL49" s="328">
        <f>IFERROR(ROUND((tblPiNHistorical[[#This Row],[Food Security - new]]-tblPiNHistorical[[#This Row],[Food Security - old]])/tblPiNHistorical[[#This Row],[Food Security - old]], 1), "")</f>
        <v>0.1</v>
      </c>
      <c r="AM49" s="328">
        <f>IFERROR(ROUND((tblPiNHistorical[[#This Row],[Health - new]]-tblPiNHistorical[[#This Row],[Health - old]])/tblPiNHistorical[[#This Row],[Health - old]], 1), "")</f>
        <v>0.8</v>
      </c>
      <c r="AN49" s="328">
        <f>IFERROR(ROUND((tblPiNHistorical[[#This Row],[Overarching Protection - new]]-tblPiNHistorical[[#This Row],[Overarching Protection - old]])/tblPiNHistorical[[#This Row],[Overarching Protection - old]], 1), "")</f>
        <v>1</v>
      </c>
      <c r="AO49" s="328">
        <f>IFERROR(ROUND((tblPiNHistorical[[#This Row],[Shelter - new]]-tblPiNHistorical[[#This Row],[Shelter - old]])/tblPiNHistorical[[#This Row],[Shelter - old]], 1), "")</f>
        <v>-0.5</v>
      </c>
      <c r="AP49" s="37">
        <f>IFERROR(ROUND((tblPiNHistorical[[#This Row],[WASH - new]]-tblPiNHistorical[[#This Row],[WASH - old]])/tblPiNHistorical[[#This Row],[WASH - old]], 1), "")</f>
        <v>1.2</v>
      </c>
    </row>
    <row r="50" spans="1:42" ht="24.95">
      <c r="A50" s="322" t="s">
        <v>160</v>
      </c>
      <c r="B50" s="320" t="s">
        <v>146</v>
      </c>
      <c r="C50" s="213" t="s">
        <v>147</v>
      </c>
      <c r="D50" s="376" t="s">
        <v>161</v>
      </c>
      <c r="E50" s="103" t="s">
        <v>160</v>
      </c>
      <c r="F50" s="98"/>
      <c r="G50" s="33"/>
      <c r="H50" s="340"/>
      <c r="I50" s="95">
        <v>86578</v>
      </c>
      <c r="J50" s="358" t="s">
        <v>193</v>
      </c>
      <c r="K50" s="303">
        <v>0</v>
      </c>
      <c r="L50" s="364">
        <v>2850.7142857142899</v>
      </c>
      <c r="M50" s="303">
        <v>2624.2640000000001</v>
      </c>
      <c r="N50" s="303">
        <v>25129</v>
      </c>
      <c r="O50" s="303">
        <v>2250.5408945367212</v>
      </c>
      <c r="P50" s="303">
        <v>8172.2550585937497</v>
      </c>
      <c r="Q50" s="304">
        <v>4851</v>
      </c>
      <c r="R50" s="303">
        <v>2161.867374005305</v>
      </c>
      <c r="S50" s="323">
        <v>0</v>
      </c>
      <c r="T50" s="323">
        <v>22867</v>
      </c>
      <c r="U50" s="303">
        <v>8085</v>
      </c>
      <c r="V50" s="303">
        <v>35599</v>
      </c>
      <c r="W50" s="303">
        <v>420.56718845746758</v>
      </c>
      <c r="X50" s="303">
        <v>7234</v>
      </c>
      <c r="Y50" s="303">
        <v>21105.5</v>
      </c>
      <c r="Z50" s="303">
        <v>1085</v>
      </c>
      <c r="AA50" s="324" t="str">
        <f>IF(OR(tblPiNHistorical[[#This Row],[CCCM - old]]="", tblPiNHistorical[[#This Row],[CCCM - old]]=0, tblPiNHistorical[[#This Row],[CCCM - new]]="", tblPiNHistorical[[#This Row],[CCCM - new]]=0), "", tblPiNHistorical[[#This Row],[CCCM - new]]-tblPiNHistorical[[#This Row],[CCCM - old]])</f>
        <v/>
      </c>
      <c r="AB50" s="325">
        <f>IF(OR(tblPiNHistorical[[#This Row],[Education - old]]="", tblPiNHistorical[[#This Row],[Education - old]]=0, tblPiNHistorical[[#This Row],[Education - new]]="", tblPiNHistorical[[#This Row],[Education - new]]=0), "", tblPiNHistorical[[#This Row],[Education - new]]-tblPiNHistorical[[#This Row],[Education - old]])</f>
        <v>20016.28571428571</v>
      </c>
      <c r="AC50" s="325">
        <f>IF(OR(tblPiNHistorical[[#This Row],[Nutrition - old]]="", tblPiNHistorical[[#This Row],[Nutrition - old]]=0, tblPiNHistorical[[#This Row],[Nutrition - new]]="", tblPiNHistorical[[#This Row],[Nutrition - new]]=0), "", tblPiNHistorical[[#This Row],[Nutrition - new]]-tblPiNHistorical[[#This Row],[Nutrition - old]])</f>
        <v>5460.7359999999999</v>
      </c>
      <c r="AD50" s="325">
        <f>IF(OR(tblPiNHistorical[[#This Row],[Food Security - old]]="", tblPiNHistorical[[#This Row],[Food Security - old]]=0, tblPiNHistorical[[#This Row],[Food Security - new]]="", tblPiNHistorical[[#This Row],[Food Security - new]]=0), "", tblPiNHistorical[[#This Row],[Food Security - new]]-tblPiNHistorical[[#This Row],[Food Security - old]])</f>
        <v>10470</v>
      </c>
      <c r="AE50" s="325">
        <f>IF(OR(tblPiNHistorical[[#This Row],[Health - old]]="", tblPiNHistorical[[#This Row],[Health - old]]=0, tblPiNHistorical[[#This Row],[Health - new]]="", tblPiNHistorical[[#This Row],[Health - new]]=0), "", tblPiNHistorical[[#This Row],[Health - new]]-tblPiNHistorical[[#This Row],[Health - old]])</f>
        <v>-1829.9737060792536</v>
      </c>
      <c r="AF50"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-938.25505859374971</v>
      </c>
      <c r="AG50" s="325">
        <f>IF(OR(tblPiNHistorical[[#This Row],[Shelter - old]]="", tblPiNHistorical[[#This Row],[Shelter - old]]=0, tblPiNHistorical[[#This Row],[Shelter - new]]="", tblPiNHistorical[[#This Row],[Shelter - new]]=0), "", tblPiNHistorical[[#This Row],[Shelter - new]]-tblPiNHistorical[[#This Row],[Shelter - old]])</f>
        <v>16254.5</v>
      </c>
      <c r="AH50" s="326">
        <f>IF(OR(tblPiNHistorical[[#This Row],[WASH - old]]="", tblPiNHistorical[[#This Row],[WASH - old]]=0, tblPiNHistorical[[#This Row],[WASH - new]]="", tblPiNHistorical[[#This Row],[WASH - new]]=0), "", tblPiNHistorical[[#This Row],[WASH - new]]-tblPiNHistorical[[#This Row],[WASH - old]])</f>
        <v>-1076.867374005305</v>
      </c>
      <c r="AI50" s="327" t="str">
        <f>IFERROR(ROUND((tblPiNHistorical[[#This Row],[CCCM - new]] - tblPiNHistorical[[#This Row],[CCCM - old]])/tblPiNHistorical[[#This Row],[CCCM - old]], 1), "")</f>
        <v/>
      </c>
      <c r="AJ50" s="328">
        <f>IFERROR(ROUND((tblPiNHistorical[[#This Row],[Education - new]]-tblPiNHistorical[[#This Row],[Education - old]])/tblPiNHistorical[[#This Row],[Education - old]], 1), "")</f>
        <v>7</v>
      </c>
      <c r="AK50" s="328">
        <f>IFERROR(ROUND((tblPiNHistorical[[#This Row],[Nutrition - new]]-tblPiNHistorical[[#This Row],[Nutrition - old]])/tblPiNHistorical[[#This Row],[Nutrition - old]], 1), "")</f>
        <v>2.1</v>
      </c>
      <c r="AL50" s="328">
        <f>IFERROR(ROUND((tblPiNHistorical[[#This Row],[Food Security - new]]-tblPiNHistorical[[#This Row],[Food Security - old]])/tblPiNHistorical[[#This Row],[Food Security - old]], 1), "")</f>
        <v>0.4</v>
      </c>
      <c r="AM50" s="328">
        <f>IFERROR(ROUND((tblPiNHistorical[[#This Row],[Health - new]]-tblPiNHistorical[[#This Row],[Health - old]])/tblPiNHistorical[[#This Row],[Health - old]], 1), "")</f>
        <v>-0.8</v>
      </c>
      <c r="AN50" s="328">
        <f>IFERROR(ROUND((tblPiNHistorical[[#This Row],[Overarching Protection - new]]-tblPiNHistorical[[#This Row],[Overarching Protection - old]])/tblPiNHistorical[[#This Row],[Overarching Protection - old]], 1), "")</f>
        <v>-0.1</v>
      </c>
      <c r="AO50" s="328">
        <f>IFERROR(ROUND((tblPiNHistorical[[#This Row],[Shelter - new]]-tblPiNHistorical[[#This Row],[Shelter - old]])/tblPiNHistorical[[#This Row],[Shelter - old]], 1), "")</f>
        <v>3.4</v>
      </c>
      <c r="AP50" s="37">
        <f>IFERROR(ROUND((tblPiNHistorical[[#This Row],[WASH - new]]-tblPiNHistorical[[#This Row],[WASH - old]])/tblPiNHistorical[[#This Row],[WASH - old]], 1), "")</f>
        <v>-0.5</v>
      </c>
    </row>
    <row r="51" spans="1:42" ht="24.95">
      <c r="A51" s="322" t="s">
        <v>162</v>
      </c>
      <c r="B51" s="320" t="s">
        <v>146</v>
      </c>
      <c r="C51" s="213" t="s">
        <v>147</v>
      </c>
      <c r="D51" s="376" t="s">
        <v>163</v>
      </c>
      <c r="E51" s="103" t="s">
        <v>162</v>
      </c>
      <c r="F51" s="98"/>
      <c r="G51" s="33"/>
      <c r="H51" s="340"/>
      <c r="I51" s="95">
        <v>23950</v>
      </c>
      <c r="J51" s="358" t="s">
        <v>193</v>
      </c>
      <c r="K51" s="303">
        <v>7564</v>
      </c>
      <c r="L51" s="364">
        <v>1790.681818181818</v>
      </c>
      <c r="M51" s="303">
        <v>1591.2240000000002</v>
      </c>
      <c r="N51" s="303">
        <v>3624</v>
      </c>
      <c r="O51" s="303">
        <v>893.47416734900003</v>
      </c>
      <c r="P51" s="303">
        <v>5749.2935156249996</v>
      </c>
      <c r="Q51" s="304">
        <v>7079</v>
      </c>
      <c r="R51" s="303">
        <v>3636.284246575342</v>
      </c>
      <c r="S51" s="323">
        <v>0</v>
      </c>
      <c r="T51" s="323">
        <v>2194</v>
      </c>
      <c r="U51" s="303">
        <v>1854</v>
      </c>
      <c r="V51" s="303">
        <v>3797</v>
      </c>
      <c r="W51" s="303">
        <v>487.6424780881519</v>
      </c>
      <c r="X51" s="303">
        <v>12599</v>
      </c>
      <c r="Y51" s="303">
        <v>623.5</v>
      </c>
      <c r="Z51" s="303">
        <v>5365</v>
      </c>
      <c r="AA51" s="324" t="str">
        <f>IF(OR(tblPiNHistorical[[#This Row],[CCCM - old]]="", tblPiNHistorical[[#This Row],[CCCM - old]]=0, tblPiNHistorical[[#This Row],[CCCM - new]]="", tblPiNHistorical[[#This Row],[CCCM - new]]=0), "", tblPiNHistorical[[#This Row],[CCCM - new]]-tblPiNHistorical[[#This Row],[CCCM - old]])</f>
        <v/>
      </c>
      <c r="AB51" s="325">
        <f>IF(OR(tblPiNHistorical[[#This Row],[Education - old]]="", tblPiNHistorical[[#This Row],[Education - old]]=0, tblPiNHistorical[[#This Row],[Education - new]]="", tblPiNHistorical[[#This Row],[Education - new]]=0), "", tblPiNHistorical[[#This Row],[Education - new]]-tblPiNHistorical[[#This Row],[Education - old]])</f>
        <v>403.31818181818198</v>
      </c>
      <c r="AC51" s="325">
        <f>IF(OR(tblPiNHistorical[[#This Row],[Nutrition - old]]="", tblPiNHistorical[[#This Row],[Nutrition - old]]=0, tblPiNHistorical[[#This Row],[Nutrition - new]]="", tblPiNHistorical[[#This Row],[Nutrition - new]]=0), "", tblPiNHistorical[[#This Row],[Nutrition - new]]-tblPiNHistorical[[#This Row],[Nutrition - old]])</f>
        <v>262.77599999999984</v>
      </c>
      <c r="AD51" s="325">
        <f>IF(OR(tblPiNHistorical[[#This Row],[Food Security - old]]="", tblPiNHistorical[[#This Row],[Food Security - old]]=0, tblPiNHistorical[[#This Row],[Food Security - new]]="", tblPiNHistorical[[#This Row],[Food Security - new]]=0), "", tblPiNHistorical[[#This Row],[Food Security - new]]-tblPiNHistorical[[#This Row],[Food Security - old]])</f>
        <v>173</v>
      </c>
      <c r="AE51" s="325">
        <f>IF(OR(tblPiNHistorical[[#This Row],[Health - old]]="", tblPiNHistorical[[#This Row],[Health - old]]=0, tblPiNHistorical[[#This Row],[Health - new]]="", tblPiNHistorical[[#This Row],[Health - new]]=0), "", tblPiNHistorical[[#This Row],[Health - new]]-tblPiNHistorical[[#This Row],[Health - old]])</f>
        <v>-405.83168926084812</v>
      </c>
      <c r="AF51"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6849.7064843750004</v>
      </c>
      <c r="AG51" s="325">
        <f>IF(OR(tblPiNHistorical[[#This Row],[Shelter - old]]="", tblPiNHistorical[[#This Row],[Shelter - old]]=0, tblPiNHistorical[[#This Row],[Shelter - new]]="", tblPiNHistorical[[#This Row],[Shelter - new]]=0), "", tblPiNHistorical[[#This Row],[Shelter - new]]-tblPiNHistorical[[#This Row],[Shelter - old]])</f>
        <v>-6455.5</v>
      </c>
      <c r="AH51" s="326">
        <f>IF(OR(tblPiNHistorical[[#This Row],[WASH - old]]="", tblPiNHistorical[[#This Row],[WASH - old]]=0, tblPiNHistorical[[#This Row],[WASH - new]]="", tblPiNHistorical[[#This Row],[WASH - new]]=0), "", tblPiNHistorical[[#This Row],[WASH - new]]-tblPiNHistorical[[#This Row],[WASH - old]])</f>
        <v>1728.715753424658</v>
      </c>
      <c r="AI51" s="327">
        <f>IFERROR(ROUND((tblPiNHistorical[[#This Row],[CCCM - new]] - tblPiNHistorical[[#This Row],[CCCM - old]])/tblPiNHistorical[[#This Row],[CCCM - old]], 1), "")</f>
        <v>-1</v>
      </c>
      <c r="AJ51" s="328">
        <f>IFERROR(ROUND((tblPiNHistorical[[#This Row],[Education - new]]-tblPiNHistorical[[#This Row],[Education - old]])/tblPiNHistorical[[#This Row],[Education - old]], 1), "")</f>
        <v>0.2</v>
      </c>
      <c r="AK51" s="328">
        <f>IFERROR(ROUND((tblPiNHistorical[[#This Row],[Nutrition - new]]-tblPiNHistorical[[#This Row],[Nutrition - old]])/tblPiNHistorical[[#This Row],[Nutrition - old]], 1), "")</f>
        <v>0.2</v>
      </c>
      <c r="AL51" s="328">
        <f>IFERROR(ROUND((tblPiNHistorical[[#This Row],[Food Security - new]]-tblPiNHistorical[[#This Row],[Food Security - old]])/tblPiNHistorical[[#This Row],[Food Security - old]], 1), "")</f>
        <v>0</v>
      </c>
      <c r="AM51" s="328">
        <f>IFERROR(ROUND((tblPiNHistorical[[#This Row],[Health - new]]-tblPiNHistorical[[#This Row],[Health - old]])/tblPiNHistorical[[#This Row],[Health - old]], 1), "")</f>
        <v>-0.5</v>
      </c>
      <c r="AN51" s="328">
        <f>IFERROR(ROUND((tblPiNHistorical[[#This Row],[Overarching Protection - new]]-tblPiNHistorical[[#This Row],[Overarching Protection - old]])/tblPiNHistorical[[#This Row],[Overarching Protection - old]], 1), "")</f>
        <v>1.2</v>
      </c>
      <c r="AO51" s="328">
        <f>IFERROR(ROUND((tblPiNHistorical[[#This Row],[Shelter - new]]-tblPiNHistorical[[#This Row],[Shelter - old]])/tblPiNHistorical[[#This Row],[Shelter - old]], 1), "")</f>
        <v>-0.9</v>
      </c>
      <c r="AP51" s="37">
        <f>IFERROR(ROUND((tblPiNHistorical[[#This Row],[WASH - new]]-tblPiNHistorical[[#This Row],[WASH - old]])/tblPiNHistorical[[#This Row],[WASH - old]], 1), "")</f>
        <v>0.5</v>
      </c>
    </row>
    <row r="52" spans="1:42" ht="24.95">
      <c r="A52" s="322" t="s">
        <v>164</v>
      </c>
      <c r="B52" s="320" t="s">
        <v>146</v>
      </c>
      <c r="C52" s="213" t="s">
        <v>147</v>
      </c>
      <c r="D52" s="376" t="s">
        <v>165</v>
      </c>
      <c r="E52" s="103" t="s">
        <v>164</v>
      </c>
      <c r="F52" s="98"/>
      <c r="G52" s="33"/>
      <c r="H52" s="340"/>
      <c r="I52" s="95">
        <v>91333</v>
      </c>
      <c r="J52" s="358" t="s">
        <v>193</v>
      </c>
      <c r="K52" s="303">
        <v>23647</v>
      </c>
      <c r="L52" s="364">
        <v>1973.4615384615381</v>
      </c>
      <c r="M52" s="303">
        <v>5951.3320000000003</v>
      </c>
      <c r="N52" s="303">
        <v>10522</v>
      </c>
      <c r="O52" s="303">
        <v>5876.065111317288</v>
      </c>
      <c r="P52" s="303">
        <v>10566.6830859375</v>
      </c>
      <c r="Q52" s="304">
        <v>58598</v>
      </c>
      <c r="R52" s="303">
        <v>14777</v>
      </c>
      <c r="S52" s="323">
        <v>18266.600000000002</v>
      </c>
      <c r="T52" s="323">
        <v>6510</v>
      </c>
      <c r="U52" s="303">
        <v>6998</v>
      </c>
      <c r="V52" s="303">
        <v>49274</v>
      </c>
      <c r="W52" s="303">
        <v>1884.7861962463521</v>
      </c>
      <c r="X52" s="303">
        <v>41370</v>
      </c>
      <c r="Y52" s="303">
        <v>19253</v>
      </c>
      <c r="Z52" s="303">
        <v>32867</v>
      </c>
      <c r="AA52" s="324">
        <f>IF(OR(tblPiNHistorical[[#This Row],[CCCM - old]]="", tblPiNHistorical[[#This Row],[CCCM - old]]=0, tblPiNHistorical[[#This Row],[CCCM - new]]="", tblPiNHistorical[[#This Row],[CCCM - new]]=0), "", tblPiNHistorical[[#This Row],[CCCM - new]]-tblPiNHistorical[[#This Row],[CCCM - old]])</f>
        <v>-5380.3999999999978</v>
      </c>
      <c r="AB52" s="325">
        <f>IF(OR(tblPiNHistorical[[#This Row],[Education - old]]="", tblPiNHistorical[[#This Row],[Education - old]]=0, tblPiNHistorical[[#This Row],[Education - new]]="", tblPiNHistorical[[#This Row],[Education - new]]=0), "", tblPiNHistorical[[#This Row],[Education - new]]-tblPiNHistorical[[#This Row],[Education - old]])</f>
        <v>4536.5384615384619</v>
      </c>
      <c r="AC52" s="325">
        <f>IF(OR(tblPiNHistorical[[#This Row],[Nutrition - old]]="", tblPiNHistorical[[#This Row],[Nutrition - old]]=0, tblPiNHistorical[[#This Row],[Nutrition - new]]="", tblPiNHistorical[[#This Row],[Nutrition - new]]=0), "", tblPiNHistorical[[#This Row],[Nutrition - new]]-tblPiNHistorical[[#This Row],[Nutrition - old]])</f>
        <v>1046.6679999999997</v>
      </c>
      <c r="AD52" s="325">
        <f>IF(OR(tblPiNHistorical[[#This Row],[Food Security - old]]="", tblPiNHistorical[[#This Row],[Food Security - old]]=0, tblPiNHistorical[[#This Row],[Food Security - new]]="", tblPiNHistorical[[#This Row],[Food Security - new]]=0), "", tblPiNHistorical[[#This Row],[Food Security - new]]-tblPiNHistorical[[#This Row],[Food Security - old]])</f>
        <v>38752</v>
      </c>
      <c r="AE52" s="325">
        <f>IF(OR(tblPiNHistorical[[#This Row],[Health - old]]="", tblPiNHistorical[[#This Row],[Health - old]]=0, tblPiNHistorical[[#This Row],[Health - new]]="", tblPiNHistorical[[#This Row],[Health - new]]=0), "", tblPiNHistorical[[#This Row],[Health - new]]-tblPiNHistorical[[#This Row],[Health - old]])</f>
        <v>-3991.2789150709359</v>
      </c>
      <c r="AF52"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30803.3169140625</v>
      </c>
      <c r="AG52" s="325">
        <f>IF(OR(tblPiNHistorical[[#This Row],[Shelter - old]]="", tblPiNHistorical[[#This Row],[Shelter - old]]=0, tblPiNHistorical[[#This Row],[Shelter - new]]="", tblPiNHistorical[[#This Row],[Shelter - new]]=0), "", tblPiNHistorical[[#This Row],[Shelter - new]]-tblPiNHistorical[[#This Row],[Shelter - old]])</f>
        <v>-39345</v>
      </c>
      <c r="AH52" s="326">
        <f>IF(OR(tblPiNHistorical[[#This Row],[WASH - old]]="", tblPiNHistorical[[#This Row],[WASH - old]]=0, tblPiNHistorical[[#This Row],[WASH - new]]="", tblPiNHistorical[[#This Row],[WASH - new]]=0), "", tblPiNHistorical[[#This Row],[WASH - new]]-tblPiNHistorical[[#This Row],[WASH - old]])</f>
        <v>18090</v>
      </c>
      <c r="AI52" s="327">
        <f>IFERROR(ROUND((tblPiNHistorical[[#This Row],[CCCM - new]] - tblPiNHistorical[[#This Row],[CCCM - old]])/tblPiNHistorical[[#This Row],[CCCM - old]], 1), "")</f>
        <v>-0.2</v>
      </c>
      <c r="AJ52" s="328">
        <f>IFERROR(ROUND((tblPiNHistorical[[#This Row],[Education - new]]-tblPiNHistorical[[#This Row],[Education - old]])/tblPiNHistorical[[#This Row],[Education - old]], 1), "")</f>
        <v>2.2999999999999998</v>
      </c>
      <c r="AK52" s="328">
        <f>IFERROR(ROUND((tblPiNHistorical[[#This Row],[Nutrition - new]]-tblPiNHistorical[[#This Row],[Nutrition - old]])/tblPiNHistorical[[#This Row],[Nutrition - old]], 1), "")</f>
        <v>0.2</v>
      </c>
      <c r="AL52" s="328">
        <f>IFERROR(ROUND((tblPiNHistorical[[#This Row],[Food Security - new]]-tblPiNHistorical[[#This Row],[Food Security - old]])/tblPiNHistorical[[#This Row],[Food Security - old]], 1), "")</f>
        <v>3.7</v>
      </c>
      <c r="AM52" s="328">
        <f>IFERROR(ROUND((tblPiNHistorical[[#This Row],[Health - new]]-tblPiNHistorical[[#This Row],[Health - old]])/tblPiNHistorical[[#This Row],[Health - old]], 1), "")</f>
        <v>-0.7</v>
      </c>
      <c r="AN52" s="328">
        <f>IFERROR(ROUND((tblPiNHistorical[[#This Row],[Overarching Protection - new]]-tblPiNHistorical[[#This Row],[Overarching Protection - old]])/tblPiNHistorical[[#This Row],[Overarching Protection - old]], 1), "")</f>
        <v>2.9</v>
      </c>
      <c r="AO52" s="328">
        <f>IFERROR(ROUND((tblPiNHistorical[[#This Row],[Shelter - new]]-tblPiNHistorical[[#This Row],[Shelter - old]])/tblPiNHistorical[[#This Row],[Shelter - old]], 1), "")</f>
        <v>-0.7</v>
      </c>
      <c r="AP52" s="37">
        <f>IFERROR(ROUND((tblPiNHistorical[[#This Row],[WASH - new]]-tblPiNHistorical[[#This Row],[WASH - old]])/tblPiNHistorical[[#This Row],[WASH - old]], 1), "")</f>
        <v>1.2</v>
      </c>
    </row>
    <row r="53" spans="1:42" ht="27.95">
      <c r="A53" s="322" t="s">
        <v>166</v>
      </c>
      <c r="B53" s="320" t="s">
        <v>146</v>
      </c>
      <c r="C53" s="213" t="s">
        <v>147</v>
      </c>
      <c r="D53" s="376" t="s">
        <v>167</v>
      </c>
      <c r="E53" s="103" t="s">
        <v>166</v>
      </c>
      <c r="F53" s="98"/>
      <c r="G53" s="33"/>
      <c r="H53" s="340"/>
      <c r="I53" s="95">
        <v>36173</v>
      </c>
      <c r="J53" s="358" t="s">
        <v>193</v>
      </c>
      <c r="K53" s="303">
        <v>763</v>
      </c>
      <c r="L53" s="364">
        <v>17200.55</v>
      </c>
      <c r="M53" s="303">
        <v>10942.896000000001</v>
      </c>
      <c r="N53" s="303">
        <v>27350</v>
      </c>
      <c r="O53" s="303">
        <v>55104.156036385466</v>
      </c>
      <c r="P53" s="303">
        <v>30351</v>
      </c>
      <c r="Q53" s="304">
        <v>1162</v>
      </c>
      <c r="R53" s="303">
        <v>653.19491525423734</v>
      </c>
      <c r="S53" s="323">
        <v>7234.6</v>
      </c>
      <c r="T53" s="323"/>
      <c r="U53" s="303">
        <v>2989</v>
      </c>
      <c r="V53" s="303">
        <v>24515</v>
      </c>
      <c r="W53" s="303">
        <v>23971.665126978318</v>
      </c>
      <c r="X53" s="303">
        <v>34085</v>
      </c>
      <c r="Y53" s="303"/>
      <c r="Z53" s="303">
        <v>0</v>
      </c>
      <c r="AA53" s="324">
        <f>IF(OR(tblPiNHistorical[[#This Row],[CCCM - old]]="", tblPiNHistorical[[#This Row],[CCCM - old]]=0, tblPiNHistorical[[#This Row],[CCCM - new]]="", tblPiNHistorical[[#This Row],[CCCM - new]]=0), "", tblPiNHistorical[[#This Row],[CCCM - new]]-tblPiNHistorical[[#This Row],[CCCM - old]])</f>
        <v>6471.6</v>
      </c>
      <c r="AB53" s="325" t="str">
        <f>IF(OR(tblPiNHistorical[[#This Row],[Education - old]]="", tblPiNHistorical[[#This Row],[Education - old]]=0, tblPiNHistorical[[#This Row],[Education - new]]="", tblPiNHistorical[[#This Row],[Education - new]]=0), "", tblPiNHistorical[[#This Row],[Education - new]]-tblPiNHistorical[[#This Row],[Education - old]])</f>
        <v/>
      </c>
      <c r="AC53" s="325">
        <f>IF(OR(tblPiNHistorical[[#This Row],[Nutrition - old]]="", tblPiNHistorical[[#This Row],[Nutrition - old]]=0, tblPiNHistorical[[#This Row],[Nutrition - new]]="", tblPiNHistorical[[#This Row],[Nutrition - new]]=0), "", tblPiNHistorical[[#This Row],[Nutrition - new]]-tblPiNHistorical[[#This Row],[Nutrition - old]])</f>
        <v>-7953.8960000000006</v>
      </c>
      <c r="AD53" s="325">
        <f>IF(OR(tblPiNHistorical[[#This Row],[Food Security - old]]="", tblPiNHistorical[[#This Row],[Food Security - old]]=0, tblPiNHistorical[[#This Row],[Food Security - new]]="", tblPiNHistorical[[#This Row],[Food Security - new]]=0), "", tblPiNHistorical[[#This Row],[Food Security - new]]-tblPiNHistorical[[#This Row],[Food Security - old]])</f>
        <v>-2835</v>
      </c>
      <c r="AE53" s="325">
        <f>IF(OR(tblPiNHistorical[[#This Row],[Health - old]]="", tblPiNHistorical[[#This Row],[Health - old]]=0, tblPiNHistorical[[#This Row],[Health - new]]="", tblPiNHistorical[[#This Row],[Health - new]]=0), "", tblPiNHistorical[[#This Row],[Health - new]]-tblPiNHistorical[[#This Row],[Health - old]])</f>
        <v>-31132.490909407148</v>
      </c>
      <c r="AF53"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3734</v>
      </c>
      <c r="AG53" s="325" t="str">
        <f>IF(OR(tblPiNHistorical[[#This Row],[Shelter - old]]="", tblPiNHistorical[[#This Row],[Shelter - old]]=0, tblPiNHistorical[[#This Row],[Shelter - new]]="", tblPiNHistorical[[#This Row],[Shelter - new]]=0), "", tblPiNHistorical[[#This Row],[Shelter - new]]-tblPiNHistorical[[#This Row],[Shelter - old]])</f>
        <v/>
      </c>
      <c r="AH53" s="326" t="str">
        <f>IF(OR(tblPiNHistorical[[#This Row],[WASH - old]]="", tblPiNHistorical[[#This Row],[WASH - old]]=0, tblPiNHistorical[[#This Row],[WASH - new]]="", tblPiNHistorical[[#This Row],[WASH - new]]=0), "", tblPiNHistorical[[#This Row],[WASH - new]]-tblPiNHistorical[[#This Row],[WASH - old]])</f>
        <v/>
      </c>
      <c r="AI53" s="327">
        <f>IFERROR(ROUND((tblPiNHistorical[[#This Row],[CCCM - new]] - tblPiNHistorical[[#This Row],[CCCM - old]])/tblPiNHistorical[[#This Row],[CCCM - old]], 1), "")</f>
        <v>8.5</v>
      </c>
      <c r="AJ53" s="328">
        <f>IFERROR(ROUND((tblPiNHistorical[[#This Row],[Education - new]]-tblPiNHistorical[[#This Row],[Education - old]])/tblPiNHistorical[[#This Row],[Education - old]], 1), "")</f>
        <v>-1</v>
      </c>
      <c r="AK53" s="328">
        <f>IFERROR(ROUND((tblPiNHistorical[[#This Row],[Nutrition - new]]-tblPiNHistorical[[#This Row],[Nutrition - old]])/tblPiNHistorical[[#This Row],[Nutrition - old]], 1), "")</f>
        <v>-0.7</v>
      </c>
      <c r="AL53" s="328">
        <f>IFERROR(ROUND((tblPiNHistorical[[#This Row],[Food Security - new]]-tblPiNHistorical[[#This Row],[Food Security - old]])/tblPiNHistorical[[#This Row],[Food Security - old]], 1), "")</f>
        <v>-0.1</v>
      </c>
      <c r="AM53" s="328">
        <f>IFERROR(ROUND((tblPiNHistorical[[#This Row],[Health - new]]-tblPiNHistorical[[#This Row],[Health - old]])/tblPiNHistorical[[#This Row],[Health - old]], 1), "")</f>
        <v>-0.6</v>
      </c>
      <c r="AN53" s="328">
        <f>IFERROR(ROUND((tblPiNHistorical[[#This Row],[Overarching Protection - new]]-tblPiNHistorical[[#This Row],[Overarching Protection - old]])/tblPiNHistorical[[#This Row],[Overarching Protection - old]], 1), "")</f>
        <v>0.1</v>
      </c>
      <c r="AO53" s="328">
        <f>IFERROR(ROUND((tblPiNHistorical[[#This Row],[Shelter - new]]-tblPiNHistorical[[#This Row],[Shelter - old]])/tblPiNHistorical[[#This Row],[Shelter - old]], 1), "")</f>
        <v>-1</v>
      </c>
      <c r="AP53" s="37">
        <f>IFERROR(ROUND((tblPiNHistorical[[#This Row],[WASH - new]]-tblPiNHistorical[[#This Row],[WASH - old]])/tblPiNHistorical[[#This Row],[WASH - old]], 1), "")</f>
        <v>-1</v>
      </c>
    </row>
    <row r="54" spans="1:42" ht="24.95">
      <c r="A54" s="322" t="s">
        <v>168</v>
      </c>
      <c r="B54" s="320" t="s">
        <v>146</v>
      </c>
      <c r="C54" s="213" t="s">
        <v>147</v>
      </c>
      <c r="D54" s="376" t="s">
        <v>169</v>
      </c>
      <c r="E54" s="103" t="s">
        <v>168</v>
      </c>
      <c r="F54" s="98"/>
      <c r="G54" s="33"/>
      <c r="H54" s="340"/>
      <c r="I54" s="95">
        <v>318921</v>
      </c>
      <c r="J54" s="358" t="s">
        <v>193</v>
      </c>
      <c r="K54" s="303">
        <v>0</v>
      </c>
      <c r="L54" s="364">
        <v>24006.040327629999</v>
      </c>
      <c r="M54" s="303">
        <v>12456.456000000002</v>
      </c>
      <c r="N54" s="303">
        <v>49047</v>
      </c>
      <c r="O54" s="303">
        <v>3578.3718333567149</v>
      </c>
      <c r="P54" s="303">
        <v>25860.000937500001</v>
      </c>
      <c r="Q54" s="304">
        <v>15000</v>
      </c>
      <c r="R54" s="303">
        <v>13237.604606525912</v>
      </c>
      <c r="S54" s="323">
        <v>0</v>
      </c>
      <c r="T54" s="323">
        <v>36897</v>
      </c>
      <c r="U54" s="303">
        <v>26749</v>
      </c>
      <c r="V54" s="303">
        <v>32322</v>
      </c>
      <c r="W54" s="303">
        <v>859.21738515276104</v>
      </c>
      <c r="X54" s="303">
        <v>24174</v>
      </c>
      <c r="Y54" s="303">
        <v>61107</v>
      </c>
      <c r="Z54" s="303">
        <v>8089</v>
      </c>
      <c r="AA54" s="324" t="str">
        <f>IF(OR(tblPiNHistorical[[#This Row],[CCCM - old]]="", tblPiNHistorical[[#This Row],[CCCM - old]]=0, tblPiNHistorical[[#This Row],[CCCM - new]]="", tblPiNHistorical[[#This Row],[CCCM - new]]=0), "", tblPiNHistorical[[#This Row],[CCCM - new]]-tblPiNHistorical[[#This Row],[CCCM - old]])</f>
        <v/>
      </c>
      <c r="AB54" s="325">
        <f>IF(OR(tblPiNHistorical[[#This Row],[Education - old]]="", tblPiNHistorical[[#This Row],[Education - old]]=0, tblPiNHistorical[[#This Row],[Education - new]]="", tblPiNHistorical[[#This Row],[Education - new]]=0), "", tblPiNHistorical[[#This Row],[Education - new]]-tblPiNHistorical[[#This Row],[Education - old]])</f>
        <v>12890.959672370001</v>
      </c>
      <c r="AC54" s="325">
        <f>IF(OR(tblPiNHistorical[[#This Row],[Nutrition - old]]="", tblPiNHistorical[[#This Row],[Nutrition - old]]=0, tblPiNHistorical[[#This Row],[Nutrition - new]]="", tblPiNHistorical[[#This Row],[Nutrition - new]]=0), "", tblPiNHistorical[[#This Row],[Nutrition - new]]-tblPiNHistorical[[#This Row],[Nutrition - old]])</f>
        <v>14292.543999999998</v>
      </c>
      <c r="AD54" s="325">
        <f>IF(OR(tblPiNHistorical[[#This Row],[Food Security - old]]="", tblPiNHistorical[[#This Row],[Food Security - old]]=0, tblPiNHistorical[[#This Row],[Food Security - new]]="", tblPiNHistorical[[#This Row],[Food Security - new]]=0), "", tblPiNHistorical[[#This Row],[Food Security - new]]-tblPiNHistorical[[#This Row],[Food Security - old]])</f>
        <v>-16725</v>
      </c>
      <c r="AE54" s="325">
        <f>IF(OR(tblPiNHistorical[[#This Row],[Health - old]]="", tblPiNHistorical[[#This Row],[Health - old]]=0, tblPiNHistorical[[#This Row],[Health - new]]="", tblPiNHistorical[[#This Row],[Health - new]]=0), "", tblPiNHistorical[[#This Row],[Health - new]]-tblPiNHistorical[[#This Row],[Health - old]])</f>
        <v>-2719.154448203954</v>
      </c>
      <c r="AF54"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-1686.0009375000009</v>
      </c>
      <c r="AG54" s="325">
        <f>IF(OR(tblPiNHistorical[[#This Row],[Shelter - old]]="", tblPiNHistorical[[#This Row],[Shelter - old]]=0, tblPiNHistorical[[#This Row],[Shelter - new]]="", tblPiNHistorical[[#This Row],[Shelter - new]]=0), "", tblPiNHistorical[[#This Row],[Shelter - new]]-tblPiNHistorical[[#This Row],[Shelter - old]])</f>
        <v>46107</v>
      </c>
      <c r="AH54" s="326">
        <f>IF(OR(tblPiNHistorical[[#This Row],[WASH - old]]="", tblPiNHistorical[[#This Row],[WASH - old]]=0, tblPiNHistorical[[#This Row],[WASH - new]]="", tblPiNHistorical[[#This Row],[WASH - new]]=0), "", tblPiNHistorical[[#This Row],[WASH - new]]-tblPiNHistorical[[#This Row],[WASH - old]])</f>
        <v>-5148.6046065259125</v>
      </c>
      <c r="AI54" s="327" t="str">
        <f>IFERROR(ROUND((tblPiNHistorical[[#This Row],[CCCM - new]] - tblPiNHistorical[[#This Row],[CCCM - old]])/tblPiNHistorical[[#This Row],[CCCM - old]], 1), "")</f>
        <v/>
      </c>
      <c r="AJ54" s="328">
        <f>IFERROR(ROUND((tblPiNHistorical[[#This Row],[Education - new]]-tblPiNHistorical[[#This Row],[Education - old]])/tblPiNHistorical[[#This Row],[Education - old]], 1), "")</f>
        <v>0.5</v>
      </c>
      <c r="AK54" s="328">
        <f>IFERROR(ROUND((tblPiNHistorical[[#This Row],[Nutrition - new]]-tblPiNHistorical[[#This Row],[Nutrition - old]])/tblPiNHistorical[[#This Row],[Nutrition - old]], 1), "")</f>
        <v>1.1000000000000001</v>
      </c>
      <c r="AL54" s="328">
        <f>IFERROR(ROUND((tblPiNHistorical[[#This Row],[Food Security - new]]-tblPiNHistorical[[#This Row],[Food Security - old]])/tblPiNHistorical[[#This Row],[Food Security - old]], 1), "")</f>
        <v>-0.3</v>
      </c>
      <c r="AM54" s="328">
        <f>IFERROR(ROUND((tblPiNHistorical[[#This Row],[Health - new]]-tblPiNHistorical[[#This Row],[Health - old]])/tblPiNHistorical[[#This Row],[Health - old]], 1), "")</f>
        <v>-0.8</v>
      </c>
      <c r="AN54" s="328">
        <f>IFERROR(ROUND((tblPiNHistorical[[#This Row],[Overarching Protection - new]]-tblPiNHistorical[[#This Row],[Overarching Protection - old]])/tblPiNHistorical[[#This Row],[Overarching Protection - old]], 1), "")</f>
        <v>-0.1</v>
      </c>
      <c r="AO54" s="328">
        <f>IFERROR(ROUND((tblPiNHistorical[[#This Row],[Shelter - new]]-tblPiNHistorical[[#This Row],[Shelter - old]])/tblPiNHistorical[[#This Row],[Shelter - old]], 1), "")</f>
        <v>3.1</v>
      </c>
      <c r="AP54" s="37">
        <f>IFERROR(ROUND((tblPiNHistorical[[#This Row],[WASH - new]]-tblPiNHistorical[[#This Row],[WASH - old]])/tblPiNHistorical[[#This Row],[WASH - old]], 1), "")</f>
        <v>-0.4</v>
      </c>
    </row>
    <row r="55" spans="1:42" ht="24.95">
      <c r="A55" s="322" t="s">
        <v>170</v>
      </c>
      <c r="B55" s="320" t="s">
        <v>146</v>
      </c>
      <c r="C55" s="213" t="s">
        <v>147</v>
      </c>
      <c r="D55" s="376" t="s">
        <v>171</v>
      </c>
      <c r="E55" s="103" t="s">
        <v>170</v>
      </c>
      <c r="F55" s="98"/>
      <c r="G55" s="33"/>
      <c r="H55" s="340"/>
      <c r="I55" s="95">
        <v>134753</v>
      </c>
      <c r="J55" s="358" t="s">
        <v>193</v>
      </c>
      <c r="K55" s="303">
        <v>26301</v>
      </c>
      <c r="L55" s="364">
        <v>5934.11809553086</v>
      </c>
      <c r="M55" s="303">
        <v>8194.9880000000012</v>
      </c>
      <c r="N55" s="303">
        <v>24842</v>
      </c>
      <c r="O55" s="303">
        <v>3299.335081884331</v>
      </c>
      <c r="P55" s="303">
        <v>23343</v>
      </c>
      <c r="Q55" s="304">
        <v>27205</v>
      </c>
      <c r="R55" s="303">
        <v>24864.16819012797</v>
      </c>
      <c r="S55" s="323">
        <v>26950.600000000002</v>
      </c>
      <c r="T55" s="323">
        <v>20822</v>
      </c>
      <c r="U55" s="303">
        <v>12195</v>
      </c>
      <c r="V55" s="303">
        <v>17066</v>
      </c>
      <c r="W55" s="303">
        <v>766.32286949149045</v>
      </c>
      <c r="X55" s="303">
        <v>23766</v>
      </c>
      <c r="Y55" s="303">
        <v>23568</v>
      </c>
      <c r="Z55" s="303">
        <v>40597</v>
      </c>
      <c r="AA55" s="324">
        <f>IF(OR(tblPiNHistorical[[#This Row],[CCCM - old]]="", tblPiNHistorical[[#This Row],[CCCM - old]]=0, tblPiNHistorical[[#This Row],[CCCM - new]]="", tblPiNHistorical[[#This Row],[CCCM - new]]=0), "", tblPiNHistorical[[#This Row],[CCCM - new]]-tblPiNHistorical[[#This Row],[CCCM - old]])</f>
        <v>649.60000000000218</v>
      </c>
      <c r="AB55" s="325">
        <f>IF(OR(tblPiNHistorical[[#This Row],[Education - old]]="", tblPiNHistorical[[#This Row],[Education - old]]=0, tblPiNHistorical[[#This Row],[Education - new]]="", tblPiNHistorical[[#This Row],[Education - new]]=0), "", tblPiNHistorical[[#This Row],[Education - new]]-tblPiNHistorical[[#This Row],[Education - old]])</f>
        <v>14887.881904469141</v>
      </c>
      <c r="AC55" s="325">
        <f>IF(OR(tblPiNHistorical[[#This Row],[Nutrition - old]]="", tblPiNHistorical[[#This Row],[Nutrition - old]]=0, tblPiNHistorical[[#This Row],[Nutrition - new]]="", tblPiNHistorical[[#This Row],[Nutrition - new]]=0), "", tblPiNHistorical[[#This Row],[Nutrition - new]]-tblPiNHistorical[[#This Row],[Nutrition - old]])</f>
        <v>4000.0119999999988</v>
      </c>
      <c r="AD55" s="325">
        <f>IF(OR(tblPiNHistorical[[#This Row],[Food Security - old]]="", tblPiNHistorical[[#This Row],[Food Security - old]]=0, tblPiNHistorical[[#This Row],[Food Security - new]]="", tblPiNHistorical[[#This Row],[Food Security - new]]=0), "", tblPiNHistorical[[#This Row],[Food Security - new]]-tblPiNHistorical[[#This Row],[Food Security - old]])</f>
        <v>-7776</v>
      </c>
      <c r="AE55" s="325">
        <f>IF(OR(tblPiNHistorical[[#This Row],[Health - old]]="", tblPiNHistorical[[#This Row],[Health - old]]=0, tblPiNHistorical[[#This Row],[Health - new]]="", tblPiNHistorical[[#This Row],[Health - new]]=0), "", tblPiNHistorical[[#This Row],[Health - new]]-tblPiNHistorical[[#This Row],[Health - old]])</f>
        <v>-2533.0122123928404</v>
      </c>
      <c r="AF55"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423</v>
      </c>
      <c r="AG55" s="325">
        <f>IF(OR(tblPiNHistorical[[#This Row],[Shelter - old]]="", tblPiNHistorical[[#This Row],[Shelter - old]]=0, tblPiNHistorical[[#This Row],[Shelter - new]]="", tblPiNHistorical[[#This Row],[Shelter - new]]=0), "", tblPiNHistorical[[#This Row],[Shelter - new]]-tblPiNHistorical[[#This Row],[Shelter - old]])</f>
        <v>-3637</v>
      </c>
      <c r="AH55" s="326">
        <f>IF(OR(tblPiNHistorical[[#This Row],[WASH - old]]="", tblPiNHistorical[[#This Row],[WASH - old]]=0, tblPiNHistorical[[#This Row],[WASH - new]]="", tblPiNHistorical[[#This Row],[WASH - new]]=0), "", tblPiNHistorical[[#This Row],[WASH - new]]-tblPiNHistorical[[#This Row],[WASH - old]])</f>
        <v>15732.83180987203</v>
      </c>
      <c r="AI55" s="327">
        <f>IFERROR(ROUND((tblPiNHistorical[[#This Row],[CCCM - new]] - tblPiNHistorical[[#This Row],[CCCM - old]])/tblPiNHistorical[[#This Row],[CCCM - old]], 1), "")</f>
        <v>0</v>
      </c>
      <c r="AJ55" s="328">
        <f>IFERROR(ROUND((tblPiNHistorical[[#This Row],[Education - new]]-tblPiNHistorical[[#This Row],[Education - old]])/tblPiNHistorical[[#This Row],[Education - old]], 1), "")</f>
        <v>2.5</v>
      </c>
      <c r="AK55" s="328">
        <f>IFERROR(ROUND((tblPiNHistorical[[#This Row],[Nutrition - new]]-tblPiNHistorical[[#This Row],[Nutrition - old]])/tblPiNHistorical[[#This Row],[Nutrition - old]], 1), "")</f>
        <v>0.5</v>
      </c>
      <c r="AL55" s="328">
        <f>IFERROR(ROUND((tblPiNHistorical[[#This Row],[Food Security - new]]-tblPiNHistorical[[#This Row],[Food Security - old]])/tblPiNHistorical[[#This Row],[Food Security - old]], 1), "")</f>
        <v>-0.3</v>
      </c>
      <c r="AM55" s="328">
        <f>IFERROR(ROUND((tblPiNHistorical[[#This Row],[Health - new]]-tblPiNHistorical[[#This Row],[Health - old]])/tblPiNHistorical[[#This Row],[Health - old]], 1), "")</f>
        <v>-0.8</v>
      </c>
      <c r="AN55" s="328">
        <f>IFERROR(ROUND((tblPiNHistorical[[#This Row],[Overarching Protection - new]]-tblPiNHistorical[[#This Row],[Overarching Protection - old]])/tblPiNHistorical[[#This Row],[Overarching Protection - old]], 1), "")</f>
        <v>0</v>
      </c>
      <c r="AO55" s="328">
        <f>IFERROR(ROUND((tblPiNHistorical[[#This Row],[Shelter - new]]-tblPiNHistorical[[#This Row],[Shelter - old]])/tblPiNHistorical[[#This Row],[Shelter - old]], 1), "")</f>
        <v>-0.1</v>
      </c>
      <c r="AP55" s="37">
        <f>IFERROR(ROUND((tblPiNHistorical[[#This Row],[WASH - new]]-tblPiNHistorical[[#This Row],[WASH - old]])/tblPiNHistorical[[#This Row],[WASH - old]], 1), "")</f>
        <v>0.6</v>
      </c>
    </row>
    <row r="56" spans="1:42" ht="24.95">
      <c r="A56" s="322" t="s">
        <v>172</v>
      </c>
      <c r="B56" s="320" t="s">
        <v>146</v>
      </c>
      <c r="C56" s="213" t="s">
        <v>147</v>
      </c>
      <c r="D56" s="376" t="s">
        <v>173</v>
      </c>
      <c r="E56" s="103" t="s">
        <v>172</v>
      </c>
      <c r="F56" s="98"/>
      <c r="G56" s="33"/>
      <c r="H56" s="340"/>
      <c r="I56" s="95">
        <v>9841</v>
      </c>
      <c r="J56" s="358" t="s">
        <v>193</v>
      </c>
      <c r="K56" s="303">
        <v>7564</v>
      </c>
      <c r="L56" s="364">
        <v>6860.3888888888878</v>
      </c>
      <c r="M56" s="303">
        <v>3586.9400000000005</v>
      </c>
      <c r="N56" s="303">
        <v>20001</v>
      </c>
      <c r="O56" s="303">
        <v>2588.4157334492661</v>
      </c>
      <c r="P56" s="303">
        <v>9397.0589062499985</v>
      </c>
      <c r="Q56" s="304">
        <v>7518</v>
      </c>
      <c r="R56" s="303">
        <v>4722.673913043478</v>
      </c>
      <c r="S56" s="323">
        <v>1968.2</v>
      </c>
      <c r="T56" s="323">
        <v>1950</v>
      </c>
      <c r="U56" s="303">
        <v>880</v>
      </c>
      <c r="V56" s="303">
        <v>9841</v>
      </c>
      <c r="W56" s="303">
        <v>139.53725754394759</v>
      </c>
      <c r="X56" s="303">
        <v>7596</v>
      </c>
      <c r="Y56" s="303">
        <v>1769</v>
      </c>
      <c r="Z56" s="303">
        <v>0</v>
      </c>
      <c r="AA56" s="324">
        <f>IF(OR(tblPiNHistorical[[#This Row],[CCCM - old]]="", tblPiNHistorical[[#This Row],[CCCM - old]]=0, tblPiNHistorical[[#This Row],[CCCM - new]]="", tblPiNHistorical[[#This Row],[CCCM - new]]=0), "", tblPiNHistorical[[#This Row],[CCCM - new]]-tblPiNHistorical[[#This Row],[CCCM - old]])</f>
        <v>-5595.8</v>
      </c>
      <c r="AB56" s="325">
        <f>IF(OR(tblPiNHistorical[[#This Row],[Education - old]]="", tblPiNHistorical[[#This Row],[Education - old]]=0, tblPiNHistorical[[#This Row],[Education - new]]="", tblPiNHistorical[[#This Row],[Education - new]]=0), "", tblPiNHistorical[[#This Row],[Education - new]]-tblPiNHistorical[[#This Row],[Education - old]])</f>
        <v>-4910.3888888888878</v>
      </c>
      <c r="AC56" s="325">
        <f>IF(OR(tblPiNHistorical[[#This Row],[Nutrition - old]]="", tblPiNHistorical[[#This Row],[Nutrition - old]]=0, tblPiNHistorical[[#This Row],[Nutrition - new]]="", tblPiNHistorical[[#This Row],[Nutrition - new]]=0), "", tblPiNHistorical[[#This Row],[Nutrition - new]]-tblPiNHistorical[[#This Row],[Nutrition - old]])</f>
        <v>-2706.9400000000005</v>
      </c>
      <c r="AD56" s="325">
        <f>IF(OR(tblPiNHistorical[[#This Row],[Food Security - old]]="", tblPiNHistorical[[#This Row],[Food Security - old]]=0, tblPiNHistorical[[#This Row],[Food Security - new]]="", tblPiNHistorical[[#This Row],[Food Security - new]]=0), "", tblPiNHistorical[[#This Row],[Food Security - new]]-tblPiNHistorical[[#This Row],[Food Security - old]])</f>
        <v>-10160</v>
      </c>
      <c r="AE56" s="325">
        <f>IF(OR(tblPiNHistorical[[#This Row],[Health - old]]="", tblPiNHistorical[[#This Row],[Health - old]]=0, tblPiNHistorical[[#This Row],[Health - new]]="", tblPiNHistorical[[#This Row],[Health - new]]=0), "", tblPiNHistorical[[#This Row],[Health - new]]-tblPiNHistorical[[#This Row],[Health - old]])</f>
        <v>-2448.8784759053187</v>
      </c>
      <c r="AF56"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-1801.0589062499985</v>
      </c>
      <c r="AG56" s="325">
        <f>IF(OR(tblPiNHistorical[[#This Row],[Shelter - old]]="", tblPiNHistorical[[#This Row],[Shelter - old]]=0, tblPiNHistorical[[#This Row],[Shelter - new]]="", tblPiNHistorical[[#This Row],[Shelter - new]]=0), "", tblPiNHistorical[[#This Row],[Shelter - new]]-tblPiNHistorical[[#This Row],[Shelter - old]])</f>
        <v>-5749</v>
      </c>
      <c r="AH56" s="326" t="str">
        <f>IF(OR(tblPiNHistorical[[#This Row],[WASH - old]]="", tblPiNHistorical[[#This Row],[WASH - old]]=0, tblPiNHistorical[[#This Row],[WASH - new]]="", tblPiNHistorical[[#This Row],[WASH - new]]=0), "", tblPiNHistorical[[#This Row],[WASH - new]]-tblPiNHistorical[[#This Row],[WASH - old]])</f>
        <v/>
      </c>
      <c r="AI56" s="327">
        <f>IFERROR(ROUND((tblPiNHistorical[[#This Row],[CCCM - new]] - tblPiNHistorical[[#This Row],[CCCM - old]])/tblPiNHistorical[[#This Row],[CCCM - old]], 1), "")</f>
        <v>-0.7</v>
      </c>
      <c r="AJ56" s="328">
        <f>IFERROR(ROUND((tblPiNHistorical[[#This Row],[Education - new]]-tblPiNHistorical[[#This Row],[Education - old]])/tblPiNHistorical[[#This Row],[Education - old]], 1), "")</f>
        <v>-0.7</v>
      </c>
      <c r="AK56" s="328">
        <f>IFERROR(ROUND((tblPiNHistorical[[#This Row],[Nutrition - new]]-tblPiNHistorical[[#This Row],[Nutrition - old]])/tblPiNHistorical[[#This Row],[Nutrition - old]], 1), "")</f>
        <v>-0.8</v>
      </c>
      <c r="AL56" s="328">
        <f>IFERROR(ROUND((tblPiNHistorical[[#This Row],[Food Security - new]]-tblPiNHistorical[[#This Row],[Food Security - old]])/tblPiNHistorical[[#This Row],[Food Security - old]], 1), "")</f>
        <v>-0.5</v>
      </c>
      <c r="AM56" s="328">
        <f>IFERROR(ROUND((tblPiNHistorical[[#This Row],[Health - new]]-tblPiNHistorical[[#This Row],[Health - old]])/tblPiNHistorical[[#This Row],[Health - old]], 1), "")</f>
        <v>-0.9</v>
      </c>
      <c r="AN56" s="328">
        <f>IFERROR(ROUND((tblPiNHistorical[[#This Row],[Overarching Protection - new]]-tblPiNHistorical[[#This Row],[Overarching Protection - old]])/tblPiNHistorical[[#This Row],[Overarching Protection - old]], 1), "")</f>
        <v>-0.2</v>
      </c>
      <c r="AO56" s="328">
        <f>IFERROR(ROUND((tblPiNHistorical[[#This Row],[Shelter - new]]-tblPiNHistorical[[#This Row],[Shelter - old]])/tblPiNHistorical[[#This Row],[Shelter - old]], 1), "")</f>
        <v>-0.8</v>
      </c>
      <c r="AP56" s="37">
        <f>IFERROR(ROUND((tblPiNHistorical[[#This Row],[WASH - new]]-tblPiNHistorical[[#This Row],[WASH - old]])/tblPiNHistorical[[#This Row],[WASH - old]], 1), "")</f>
        <v>-1</v>
      </c>
    </row>
    <row r="57" spans="1:42" ht="24.95">
      <c r="A57" s="322" t="s">
        <v>174</v>
      </c>
      <c r="B57" s="320" t="s">
        <v>146</v>
      </c>
      <c r="C57" s="213" t="s">
        <v>147</v>
      </c>
      <c r="D57" s="376" t="s">
        <v>175</v>
      </c>
      <c r="E57" s="103" t="s">
        <v>174</v>
      </c>
      <c r="F57" s="98"/>
      <c r="G57" s="33"/>
      <c r="H57" s="340"/>
      <c r="I57" s="95">
        <v>273174</v>
      </c>
      <c r="J57" s="358" t="s">
        <v>193</v>
      </c>
      <c r="K57" s="303"/>
      <c r="L57" s="364"/>
      <c r="M57" s="303"/>
      <c r="N57" s="303"/>
      <c r="O57" s="303"/>
      <c r="P57" s="303"/>
      <c r="Q57" s="304"/>
      <c r="R57" s="303"/>
      <c r="S57" s="323">
        <v>0</v>
      </c>
      <c r="T57" s="323">
        <v>15285</v>
      </c>
      <c r="U57" s="303">
        <v>26444</v>
      </c>
      <c r="V57" s="303">
        <v>58674</v>
      </c>
      <c r="W57" s="303"/>
      <c r="X57" s="303">
        <v>50748</v>
      </c>
      <c r="Y57" s="303">
        <v>34551.5</v>
      </c>
      <c r="Z57" s="303">
        <v>0</v>
      </c>
      <c r="AA57" s="324" t="str">
        <f>IF(OR(tblPiNHistorical[[#This Row],[CCCM - old]]="", tblPiNHistorical[[#This Row],[CCCM - old]]=0, tblPiNHistorical[[#This Row],[CCCM - new]]="", tblPiNHistorical[[#This Row],[CCCM - new]]=0), "", tblPiNHistorical[[#This Row],[CCCM - new]]-tblPiNHistorical[[#This Row],[CCCM - old]])</f>
        <v/>
      </c>
      <c r="AB57" s="325" t="str">
        <f>IF(OR(tblPiNHistorical[[#This Row],[Education - old]]="", tblPiNHistorical[[#This Row],[Education - old]]=0, tblPiNHistorical[[#This Row],[Education - new]]="", tblPiNHistorical[[#This Row],[Education - new]]=0), "", tblPiNHistorical[[#This Row],[Education - new]]-tblPiNHistorical[[#This Row],[Education - old]])</f>
        <v/>
      </c>
      <c r="AC57" s="325" t="str">
        <f>IF(OR(tblPiNHistorical[[#This Row],[Nutrition - old]]="", tblPiNHistorical[[#This Row],[Nutrition - old]]=0, tblPiNHistorical[[#This Row],[Nutrition - new]]="", tblPiNHistorical[[#This Row],[Nutrition - new]]=0), "", tblPiNHistorical[[#This Row],[Nutrition - new]]-tblPiNHistorical[[#This Row],[Nutrition - old]])</f>
        <v/>
      </c>
      <c r="AD57"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57" s="325" t="str">
        <f>IF(OR(tblPiNHistorical[[#This Row],[Health - old]]="", tblPiNHistorical[[#This Row],[Health - old]]=0, tblPiNHistorical[[#This Row],[Health - new]]="", tblPiNHistorical[[#This Row],[Health - new]]=0), "", tblPiNHistorical[[#This Row],[Health - new]]-tblPiNHistorical[[#This Row],[Health - old]])</f>
        <v/>
      </c>
      <c r="AF57"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57" s="325" t="str">
        <f>IF(OR(tblPiNHistorical[[#This Row],[Shelter - old]]="", tblPiNHistorical[[#This Row],[Shelter - old]]=0, tblPiNHistorical[[#This Row],[Shelter - new]]="", tblPiNHistorical[[#This Row],[Shelter - new]]=0), "", tblPiNHistorical[[#This Row],[Shelter - new]]-tblPiNHistorical[[#This Row],[Shelter - old]])</f>
        <v/>
      </c>
      <c r="AH57" s="326" t="str">
        <f>IF(OR(tblPiNHistorical[[#This Row],[WASH - old]]="", tblPiNHistorical[[#This Row],[WASH - old]]=0, tblPiNHistorical[[#This Row],[WASH - new]]="", tblPiNHistorical[[#This Row],[WASH - new]]=0), "", tblPiNHistorical[[#This Row],[WASH - new]]-tblPiNHistorical[[#This Row],[WASH - old]])</f>
        <v/>
      </c>
      <c r="AI57" s="327" t="str">
        <f>IFERROR(ROUND((tblPiNHistorical[[#This Row],[CCCM - new]] - tblPiNHistorical[[#This Row],[CCCM - old]])/tblPiNHistorical[[#This Row],[CCCM - old]], 1), "")</f>
        <v/>
      </c>
      <c r="AJ57" s="328" t="str">
        <f>IFERROR(ROUND((tblPiNHistorical[[#This Row],[Education - new]]-tblPiNHistorical[[#This Row],[Education - old]])/tblPiNHistorical[[#This Row],[Education - old]], 1), "")</f>
        <v/>
      </c>
      <c r="AK57" s="328" t="str">
        <f>IFERROR(ROUND((tblPiNHistorical[[#This Row],[Nutrition - new]]-tblPiNHistorical[[#This Row],[Nutrition - old]])/tblPiNHistorical[[#This Row],[Nutrition - old]], 1), "")</f>
        <v/>
      </c>
      <c r="AL57" s="328" t="str">
        <f>IFERROR(ROUND((tblPiNHistorical[[#This Row],[Food Security - new]]-tblPiNHistorical[[#This Row],[Food Security - old]])/tblPiNHistorical[[#This Row],[Food Security - old]], 1), "")</f>
        <v/>
      </c>
      <c r="AM57" s="328" t="str">
        <f>IFERROR(ROUND((tblPiNHistorical[[#This Row],[Health - new]]-tblPiNHistorical[[#This Row],[Health - old]])/tblPiNHistorical[[#This Row],[Health - old]], 1), "")</f>
        <v/>
      </c>
      <c r="AN57" s="328" t="str">
        <f>IFERROR(ROUND((tblPiNHistorical[[#This Row],[Overarching Protection - new]]-tblPiNHistorical[[#This Row],[Overarching Protection - old]])/tblPiNHistorical[[#This Row],[Overarching Protection - old]], 1), "")</f>
        <v/>
      </c>
      <c r="AO57" s="328" t="str">
        <f>IFERROR(ROUND((tblPiNHistorical[[#This Row],[Shelter - new]]-tblPiNHistorical[[#This Row],[Shelter - old]])/tblPiNHistorical[[#This Row],[Shelter - old]], 1), "")</f>
        <v/>
      </c>
      <c r="AP57" s="37" t="str">
        <f>IFERROR(ROUND((tblPiNHistorical[[#This Row],[WASH - new]]-tblPiNHistorical[[#This Row],[WASH - old]])/tblPiNHistorical[[#This Row],[WASH - old]], 1), "")</f>
        <v/>
      </c>
    </row>
    <row r="58" spans="1:42" ht="24.95">
      <c r="A58" s="322" t="s">
        <v>176</v>
      </c>
      <c r="B58" s="320" t="s">
        <v>146</v>
      </c>
      <c r="C58" s="213" t="s">
        <v>147</v>
      </c>
      <c r="D58" s="376" t="s">
        <v>177</v>
      </c>
      <c r="E58" s="103" t="s">
        <v>176</v>
      </c>
      <c r="F58" s="98"/>
      <c r="G58" s="33"/>
      <c r="H58" s="340"/>
      <c r="I58" s="95">
        <v>36219</v>
      </c>
      <c r="J58" s="358" t="s">
        <v>193</v>
      </c>
      <c r="K58" s="303">
        <v>5149.5</v>
      </c>
      <c r="L58" s="364">
        <v>2362.9411764705883</v>
      </c>
      <c r="M58" s="303">
        <v>3386.3240000000005</v>
      </c>
      <c r="N58" s="303">
        <v>11019</v>
      </c>
      <c r="O58" s="303">
        <v>6891.1177218926605</v>
      </c>
      <c r="P58" s="303">
        <v>9481</v>
      </c>
      <c r="Q58" s="304">
        <v>7840</v>
      </c>
      <c r="R58" s="303">
        <v>12442.35</v>
      </c>
      <c r="S58" s="323">
        <v>0</v>
      </c>
      <c r="T58" s="323">
        <v>6053</v>
      </c>
      <c r="U58" s="303">
        <v>3180</v>
      </c>
      <c r="V58" s="303">
        <v>14327</v>
      </c>
      <c r="W58" s="303">
        <v>12135.916391327752</v>
      </c>
      <c r="X58" s="303">
        <v>2952</v>
      </c>
      <c r="Y58" s="303">
        <v>5411</v>
      </c>
      <c r="Z58" s="303">
        <v>0</v>
      </c>
      <c r="AA58" s="324" t="str">
        <f>IF(OR(tblPiNHistorical[[#This Row],[CCCM - old]]="", tblPiNHistorical[[#This Row],[CCCM - old]]=0, tblPiNHistorical[[#This Row],[CCCM - new]]="", tblPiNHistorical[[#This Row],[CCCM - new]]=0), "", tblPiNHistorical[[#This Row],[CCCM - new]]-tblPiNHistorical[[#This Row],[CCCM - old]])</f>
        <v/>
      </c>
      <c r="AB58" s="325">
        <f>IF(OR(tblPiNHistorical[[#This Row],[Education - old]]="", tblPiNHistorical[[#This Row],[Education - old]]=0, tblPiNHistorical[[#This Row],[Education - new]]="", tblPiNHistorical[[#This Row],[Education - new]]=0), "", tblPiNHistorical[[#This Row],[Education - new]]-tblPiNHistorical[[#This Row],[Education - old]])</f>
        <v>3690.0588235294117</v>
      </c>
      <c r="AC58" s="325">
        <f>IF(OR(tblPiNHistorical[[#This Row],[Nutrition - old]]="", tblPiNHistorical[[#This Row],[Nutrition - old]]=0, tblPiNHistorical[[#This Row],[Nutrition - new]]="", tblPiNHistorical[[#This Row],[Nutrition - new]]=0), "", tblPiNHistorical[[#This Row],[Nutrition - new]]-tblPiNHistorical[[#This Row],[Nutrition - old]])</f>
        <v>-206.32400000000052</v>
      </c>
      <c r="AD58" s="325">
        <f>IF(OR(tblPiNHistorical[[#This Row],[Food Security - old]]="", tblPiNHistorical[[#This Row],[Food Security - old]]=0, tblPiNHistorical[[#This Row],[Food Security - new]]="", tblPiNHistorical[[#This Row],[Food Security - new]]=0), "", tblPiNHistorical[[#This Row],[Food Security - new]]-tblPiNHistorical[[#This Row],[Food Security - old]])</f>
        <v>3308</v>
      </c>
      <c r="AE58" s="325">
        <f>IF(OR(tblPiNHistorical[[#This Row],[Health - old]]="", tblPiNHistorical[[#This Row],[Health - old]]=0, tblPiNHistorical[[#This Row],[Health - new]]="", tblPiNHistorical[[#This Row],[Health - new]]=0), "", tblPiNHistorical[[#This Row],[Health - new]]-tblPiNHistorical[[#This Row],[Health - old]])</f>
        <v>5244.7986694350911</v>
      </c>
      <c r="AF58"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-6529</v>
      </c>
      <c r="AG58" s="325">
        <f>IF(OR(tblPiNHistorical[[#This Row],[Shelter - old]]="", tblPiNHistorical[[#This Row],[Shelter - old]]=0, tblPiNHistorical[[#This Row],[Shelter - new]]="", tblPiNHistorical[[#This Row],[Shelter - new]]=0), "", tblPiNHistorical[[#This Row],[Shelter - new]]-tblPiNHistorical[[#This Row],[Shelter - old]])</f>
        <v>-2429</v>
      </c>
      <c r="AH58" s="326" t="str">
        <f>IF(OR(tblPiNHistorical[[#This Row],[WASH - old]]="", tblPiNHistorical[[#This Row],[WASH - old]]=0, tblPiNHistorical[[#This Row],[WASH - new]]="", tblPiNHistorical[[#This Row],[WASH - new]]=0), "", tblPiNHistorical[[#This Row],[WASH - new]]-tblPiNHistorical[[#This Row],[WASH - old]])</f>
        <v/>
      </c>
      <c r="AI58" s="327">
        <f>IFERROR(ROUND((tblPiNHistorical[[#This Row],[CCCM - new]] - tblPiNHistorical[[#This Row],[CCCM - old]])/tblPiNHistorical[[#This Row],[CCCM - old]], 1), "")</f>
        <v>-1</v>
      </c>
      <c r="AJ58" s="328">
        <f>IFERROR(ROUND((tblPiNHistorical[[#This Row],[Education - new]]-tblPiNHistorical[[#This Row],[Education - old]])/tblPiNHistorical[[#This Row],[Education - old]], 1), "")</f>
        <v>1.6</v>
      </c>
      <c r="AK58" s="328">
        <f>IFERROR(ROUND((tblPiNHistorical[[#This Row],[Nutrition - new]]-tblPiNHistorical[[#This Row],[Nutrition - old]])/tblPiNHistorical[[#This Row],[Nutrition - old]], 1), "")</f>
        <v>-0.1</v>
      </c>
      <c r="AL58" s="328">
        <f>IFERROR(ROUND((tblPiNHistorical[[#This Row],[Food Security - new]]-tblPiNHistorical[[#This Row],[Food Security - old]])/tblPiNHistorical[[#This Row],[Food Security - old]], 1), "")</f>
        <v>0.3</v>
      </c>
      <c r="AM58" s="328">
        <f>IFERROR(ROUND((tblPiNHistorical[[#This Row],[Health - new]]-tblPiNHistorical[[#This Row],[Health - old]])/tblPiNHistorical[[#This Row],[Health - old]], 1), "")</f>
        <v>0.8</v>
      </c>
      <c r="AN58" s="328">
        <f>IFERROR(ROUND((tblPiNHistorical[[#This Row],[Overarching Protection - new]]-tblPiNHistorical[[#This Row],[Overarching Protection - old]])/tblPiNHistorical[[#This Row],[Overarching Protection - old]], 1), "")</f>
        <v>-0.7</v>
      </c>
      <c r="AO58" s="328">
        <f>IFERROR(ROUND((tblPiNHistorical[[#This Row],[Shelter - new]]-tblPiNHistorical[[#This Row],[Shelter - old]])/tblPiNHistorical[[#This Row],[Shelter - old]], 1), "")</f>
        <v>-0.3</v>
      </c>
      <c r="AP58" s="37">
        <f>IFERROR(ROUND((tblPiNHistorical[[#This Row],[WASH - new]]-tblPiNHistorical[[#This Row],[WASH - old]])/tblPiNHistorical[[#This Row],[WASH - old]], 1), "")</f>
        <v>-1</v>
      </c>
    </row>
    <row r="59" spans="1:42" ht="24.95">
      <c r="A59" s="322" t="s">
        <v>178</v>
      </c>
      <c r="B59" s="320" t="s">
        <v>146</v>
      </c>
      <c r="C59" s="213" t="s">
        <v>147</v>
      </c>
      <c r="D59" s="376" t="s">
        <v>179</v>
      </c>
      <c r="E59" s="103" t="s">
        <v>178</v>
      </c>
      <c r="F59" s="98"/>
      <c r="G59" s="33"/>
      <c r="H59" s="340"/>
      <c r="I59" s="95">
        <v>22021</v>
      </c>
      <c r="J59" s="358" t="s">
        <v>193</v>
      </c>
      <c r="K59" s="303">
        <v>5494</v>
      </c>
      <c r="L59" s="364">
        <v>3337.5348837209308</v>
      </c>
      <c r="M59" s="303">
        <v>5217.6000000000004</v>
      </c>
      <c r="N59" s="303">
        <v>10292.5</v>
      </c>
      <c r="O59" s="303">
        <v>2730.7529640938546</v>
      </c>
      <c r="P59" s="303">
        <v>14067</v>
      </c>
      <c r="Q59" s="304">
        <v>12370</v>
      </c>
      <c r="R59" s="303">
        <v>0</v>
      </c>
      <c r="S59" s="323">
        <v>0</v>
      </c>
      <c r="T59" s="323">
        <v>2790</v>
      </c>
      <c r="U59" s="303">
        <v>2305</v>
      </c>
      <c r="V59" s="303">
        <v>12674</v>
      </c>
      <c r="W59" s="303">
        <v>1154.9296507203007</v>
      </c>
      <c r="X59" s="303">
        <v>8354</v>
      </c>
      <c r="Y59" s="303"/>
      <c r="Z59" s="303">
        <v>0</v>
      </c>
      <c r="AA59" s="324" t="str">
        <f>IF(OR(tblPiNHistorical[[#This Row],[CCCM - old]]="", tblPiNHistorical[[#This Row],[CCCM - old]]=0, tblPiNHistorical[[#This Row],[CCCM - new]]="", tblPiNHistorical[[#This Row],[CCCM - new]]=0), "", tblPiNHistorical[[#This Row],[CCCM - new]]-tblPiNHistorical[[#This Row],[CCCM - old]])</f>
        <v/>
      </c>
      <c r="AB59" s="325">
        <f>IF(OR(tblPiNHistorical[[#This Row],[Education - old]]="", tblPiNHistorical[[#This Row],[Education - old]]=0, tblPiNHistorical[[#This Row],[Education - new]]="", tblPiNHistorical[[#This Row],[Education - new]]=0), "", tblPiNHistorical[[#This Row],[Education - new]]-tblPiNHistorical[[#This Row],[Education - old]])</f>
        <v>-547.53488372093079</v>
      </c>
      <c r="AC59" s="325">
        <f>IF(OR(tblPiNHistorical[[#This Row],[Nutrition - old]]="", tblPiNHistorical[[#This Row],[Nutrition - old]]=0, tblPiNHistorical[[#This Row],[Nutrition - new]]="", tblPiNHistorical[[#This Row],[Nutrition - new]]=0), "", tblPiNHistorical[[#This Row],[Nutrition - new]]-tblPiNHistorical[[#This Row],[Nutrition - old]])</f>
        <v>-2912.6000000000004</v>
      </c>
      <c r="AD59" s="325">
        <f>IF(OR(tblPiNHistorical[[#This Row],[Food Security - old]]="", tblPiNHistorical[[#This Row],[Food Security - old]]=0, tblPiNHistorical[[#This Row],[Food Security - new]]="", tblPiNHistorical[[#This Row],[Food Security - new]]=0), "", tblPiNHistorical[[#This Row],[Food Security - new]]-tblPiNHistorical[[#This Row],[Food Security - old]])</f>
        <v>2381.5</v>
      </c>
      <c r="AE59" s="325">
        <f>IF(OR(tblPiNHistorical[[#This Row],[Health - old]]="", tblPiNHistorical[[#This Row],[Health - old]]=0, tblPiNHistorical[[#This Row],[Health - new]]="", tblPiNHistorical[[#This Row],[Health - new]]=0), "", tblPiNHistorical[[#This Row],[Health - new]]-tblPiNHistorical[[#This Row],[Health - old]])</f>
        <v>-1575.8233133735539</v>
      </c>
      <c r="AF59"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-5713</v>
      </c>
      <c r="AG59" s="325" t="str">
        <f>IF(OR(tblPiNHistorical[[#This Row],[Shelter - old]]="", tblPiNHistorical[[#This Row],[Shelter - old]]=0, tblPiNHistorical[[#This Row],[Shelter - new]]="", tblPiNHistorical[[#This Row],[Shelter - new]]=0), "", tblPiNHistorical[[#This Row],[Shelter - new]]-tblPiNHistorical[[#This Row],[Shelter - old]])</f>
        <v/>
      </c>
      <c r="AH59" s="326" t="str">
        <f>IF(OR(tblPiNHistorical[[#This Row],[WASH - old]]="", tblPiNHistorical[[#This Row],[WASH - old]]=0, tblPiNHistorical[[#This Row],[WASH - new]]="", tblPiNHistorical[[#This Row],[WASH - new]]=0), "", tblPiNHistorical[[#This Row],[WASH - new]]-tblPiNHistorical[[#This Row],[WASH - old]])</f>
        <v/>
      </c>
      <c r="AI59" s="327">
        <f>IFERROR(ROUND((tblPiNHistorical[[#This Row],[CCCM - new]] - tblPiNHistorical[[#This Row],[CCCM - old]])/tblPiNHistorical[[#This Row],[CCCM - old]], 1), "")</f>
        <v>-1</v>
      </c>
      <c r="AJ59" s="328">
        <f>IFERROR(ROUND((tblPiNHistorical[[#This Row],[Education - new]]-tblPiNHistorical[[#This Row],[Education - old]])/tblPiNHistorical[[#This Row],[Education - old]], 1), "")</f>
        <v>-0.2</v>
      </c>
      <c r="AK59" s="328">
        <f>IFERROR(ROUND((tblPiNHistorical[[#This Row],[Nutrition - new]]-tblPiNHistorical[[#This Row],[Nutrition - old]])/tblPiNHistorical[[#This Row],[Nutrition - old]], 1), "")</f>
        <v>-0.6</v>
      </c>
      <c r="AL59" s="328">
        <f>IFERROR(ROUND((tblPiNHistorical[[#This Row],[Food Security - new]]-tblPiNHistorical[[#This Row],[Food Security - old]])/tblPiNHistorical[[#This Row],[Food Security - old]], 1), "")</f>
        <v>0.2</v>
      </c>
      <c r="AM59" s="328">
        <f>IFERROR(ROUND((tblPiNHistorical[[#This Row],[Health - new]]-tblPiNHistorical[[#This Row],[Health - old]])/tblPiNHistorical[[#This Row],[Health - old]], 1), "")</f>
        <v>-0.6</v>
      </c>
      <c r="AN59" s="328">
        <f>IFERROR(ROUND((tblPiNHistorical[[#This Row],[Overarching Protection - new]]-tblPiNHistorical[[#This Row],[Overarching Protection - old]])/tblPiNHistorical[[#This Row],[Overarching Protection - old]], 1), "")</f>
        <v>-0.4</v>
      </c>
      <c r="AO59" s="328">
        <f>IFERROR(ROUND((tblPiNHistorical[[#This Row],[Shelter - new]]-tblPiNHistorical[[#This Row],[Shelter - old]])/tblPiNHistorical[[#This Row],[Shelter - old]], 1), "")</f>
        <v>-1</v>
      </c>
      <c r="AP59" s="37" t="str">
        <f>IFERROR(ROUND((tblPiNHistorical[[#This Row],[WASH - new]]-tblPiNHistorical[[#This Row],[WASH - old]])/tblPiNHistorical[[#This Row],[WASH - old]], 1), "")</f>
        <v/>
      </c>
    </row>
    <row r="60" spans="1:42" ht="24.95">
      <c r="A60" s="322" t="s">
        <v>180</v>
      </c>
      <c r="B60" s="320" t="s">
        <v>146</v>
      </c>
      <c r="C60" s="213" t="s">
        <v>147</v>
      </c>
      <c r="D60" s="376" t="s">
        <v>181</v>
      </c>
      <c r="E60" s="103" t="s">
        <v>180</v>
      </c>
      <c r="F60" s="98"/>
      <c r="G60" s="33"/>
      <c r="H60" s="340"/>
      <c r="I60" s="95">
        <v>9498</v>
      </c>
      <c r="J60" s="358" t="s">
        <v>193</v>
      </c>
      <c r="K60" s="303">
        <v>36</v>
      </c>
      <c r="L60" s="364">
        <v>6618</v>
      </c>
      <c r="M60" s="303">
        <v>2008.9880000000001</v>
      </c>
      <c r="N60" s="303">
        <v>9312</v>
      </c>
      <c r="O60" s="303">
        <v>6365.5328871952679</v>
      </c>
      <c r="P60" s="303">
        <v>5596</v>
      </c>
      <c r="Q60" s="304">
        <v>5952</v>
      </c>
      <c r="R60" s="303">
        <v>2827.2</v>
      </c>
      <c r="S60" s="323">
        <v>1899.6000000000001</v>
      </c>
      <c r="T60" s="323">
        <v>2616</v>
      </c>
      <c r="U60" s="303">
        <v>860</v>
      </c>
      <c r="V60" s="303">
        <v>7451</v>
      </c>
      <c r="W60" s="303">
        <v>6583.3294571013657</v>
      </c>
      <c r="X60" s="303">
        <v>8686</v>
      </c>
      <c r="Y60" s="303">
        <v>1076</v>
      </c>
      <c r="Z60" s="303">
        <v>0</v>
      </c>
      <c r="AA60" s="324">
        <f>IF(OR(tblPiNHistorical[[#This Row],[CCCM - old]]="", tblPiNHistorical[[#This Row],[CCCM - old]]=0, tblPiNHistorical[[#This Row],[CCCM - new]]="", tblPiNHistorical[[#This Row],[CCCM - new]]=0), "", tblPiNHistorical[[#This Row],[CCCM - new]]-tblPiNHistorical[[#This Row],[CCCM - old]])</f>
        <v>1863.6000000000001</v>
      </c>
      <c r="AB60" s="325">
        <f>IF(OR(tblPiNHistorical[[#This Row],[Education - old]]="", tblPiNHistorical[[#This Row],[Education - old]]=0, tblPiNHistorical[[#This Row],[Education - new]]="", tblPiNHistorical[[#This Row],[Education - new]]=0), "", tblPiNHistorical[[#This Row],[Education - new]]-tblPiNHistorical[[#This Row],[Education - old]])</f>
        <v>-4002</v>
      </c>
      <c r="AC60" s="325">
        <f>IF(OR(tblPiNHistorical[[#This Row],[Nutrition - old]]="", tblPiNHistorical[[#This Row],[Nutrition - old]]=0, tblPiNHistorical[[#This Row],[Nutrition - new]]="", tblPiNHistorical[[#This Row],[Nutrition - new]]=0), "", tblPiNHistorical[[#This Row],[Nutrition - new]]-tblPiNHistorical[[#This Row],[Nutrition - old]])</f>
        <v>-1148.9880000000001</v>
      </c>
      <c r="AD60" s="325">
        <f>IF(OR(tblPiNHistorical[[#This Row],[Food Security - old]]="", tblPiNHistorical[[#This Row],[Food Security - old]]=0, tblPiNHistorical[[#This Row],[Food Security - new]]="", tblPiNHistorical[[#This Row],[Food Security - new]]=0), "", tblPiNHistorical[[#This Row],[Food Security - new]]-tblPiNHistorical[[#This Row],[Food Security - old]])</f>
        <v>-1861</v>
      </c>
      <c r="AE60" s="325">
        <f>IF(OR(tblPiNHistorical[[#This Row],[Health - old]]="", tblPiNHistorical[[#This Row],[Health - old]]=0, tblPiNHistorical[[#This Row],[Health - new]]="", tblPiNHistorical[[#This Row],[Health - new]]=0), "", tblPiNHistorical[[#This Row],[Health - new]]-tblPiNHistorical[[#This Row],[Health - old]])</f>
        <v>217.79656990609783</v>
      </c>
      <c r="AF60" s="325">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3090</v>
      </c>
      <c r="AG60" s="325">
        <f>IF(OR(tblPiNHistorical[[#This Row],[Shelter - old]]="", tblPiNHistorical[[#This Row],[Shelter - old]]=0, tblPiNHistorical[[#This Row],[Shelter - new]]="", tblPiNHistorical[[#This Row],[Shelter - new]]=0), "", tblPiNHistorical[[#This Row],[Shelter - new]]-tblPiNHistorical[[#This Row],[Shelter - old]])</f>
        <v>-4876</v>
      </c>
      <c r="AH60" s="326" t="str">
        <f>IF(OR(tblPiNHistorical[[#This Row],[WASH - old]]="", tblPiNHistorical[[#This Row],[WASH - old]]=0, tblPiNHistorical[[#This Row],[WASH - new]]="", tblPiNHistorical[[#This Row],[WASH - new]]=0), "", tblPiNHistorical[[#This Row],[WASH - new]]-tblPiNHistorical[[#This Row],[WASH - old]])</f>
        <v/>
      </c>
      <c r="AI60" s="327">
        <f>IFERROR(ROUND((tblPiNHistorical[[#This Row],[CCCM - new]] - tblPiNHistorical[[#This Row],[CCCM - old]])/tblPiNHistorical[[#This Row],[CCCM - old]], 1), "")</f>
        <v>51.8</v>
      </c>
      <c r="AJ60" s="328">
        <f>IFERROR(ROUND((tblPiNHistorical[[#This Row],[Education - new]]-tblPiNHistorical[[#This Row],[Education - old]])/tblPiNHistorical[[#This Row],[Education - old]], 1), "")</f>
        <v>-0.6</v>
      </c>
      <c r="AK60" s="328">
        <f>IFERROR(ROUND((tblPiNHistorical[[#This Row],[Nutrition - new]]-tblPiNHistorical[[#This Row],[Nutrition - old]])/tblPiNHistorical[[#This Row],[Nutrition - old]], 1), "")</f>
        <v>-0.6</v>
      </c>
      <c r="AL60" s="328">
        <f>IFERROR(ROUND((tblPiNHistorical[[#This Row],[Food Security - new]]-tblPiNHistorical[[#This Row],[Food Security - old]])/tblPiNHistorical[[#This Row],[Food Security - old]], 1), "")</f>
        <v>-0.2</v>
      </c>
      <c r="AM60" s="328">
        <f>IFERROR(ROUND((tblPiNHistorical[[#This Row],[Health - new]]-tblPiNHistorical[[#This Row],[Health - old]])/tblPiNHistorical[[#This Row],[Health - old]], 1), "")</f>
        <v>0</v>
      </c>
      <c r="AN60" s="328">
        <f>IFERROR(ROUND((tblPiNHistorical[[#This Row],[Overarching Protection - new]]-tblPiNHistorical[[#This Row],[Overarching Protection - old]])/tblPiNHistorical[[#This Row],[Overarching Protection - old]], 1), "")</f>
        <v>0.6</v>
      </c>
      <c r="AO60" s="328">
        <f>IFERROR(ROUND((tblPiNHistorical[[#This Row],[Shelter - new]]-tblPiNHistorical[[#This Row],[Shelter - old]])/tblPiNHistorical[[#This Row],[Shelter - old]], 1), "")</f>
        <v>-0.8</v>
      </c>
      <c r="AP60" s="37">
        <f>IFERROR(ROUND((tblPiNHistorical[[#This Row],[WASH - new]]-tblPiNHistorical[[#This Row],[WASH - old]])/tblPiNHistorical[[#This Row],[WASH - old]], 1), "")</f>
        <v>-1</v>
      </c>
    </row>
    <row r="61" spans="1:42" ht="24.95">
      <c r="A61" s="322" t="s">
        <v>182</v>
      </c>
      <c r="B61" s="320" t="s">
        <v>183</v>
      </c>
      <c r="C61" s="213" t="s">
        <v>184</v>
      </c>
      <c r="D61" s="376" t="s">
        <v>185</v>
      </c>
      <c r="E61" s="103" t="s">
        <v>182</v>
      </c>
      <c r="F61" s="98"/>
      <c r="G61" s="33"/>
      <c r="H61" s="340"/>
      <c r="I61" s="95">
        <v>492955</v>
      </c>
      <c r="J61" s="358" t="s">
        <v>193</v>
      </c>
      <c r="K61" s="303"/>
      <c r="L61" s="364"/>
      <c r="M61" s="303"/>
      <c r="N61" s="303"/>
      <c r="O61" s="303"/>
      <c r="P61" s="303"/>
      <c r="Q61" s="304"/>
      <c r="R61" s="303"/>
      <c r="S61" s="323">
        <v>0</v>
      </c>
      <c r="T61" s="323">
        <v>73780</v>
      </c>
      <c r="U61" s="303">
        <v>51093</v>
      </c>
      <c r="V61" s="303">
        <v>20914</v>
      </c>
      <c r="W61" s="303">
        <v>228.66237347028138</v>
      </c>
      <c r="X61" s="303">
        <v>58760</v>
      </c>
      <c r="Y61" s="303">
        <v>55055</v>
      </c>
      <c r="Z61" s="303">
        <v>1199</v>
      </c>
      <c r="AA61" s="324" t="str">
        <f>IF(OR(tblPiNHistorical[[#This Row],[CCCM - old]]="", tblPiNHistorical[[#This Row],[CCCM - old]]=0, tblPiNHistorical[[#This Row],[CCCM - new]]="", tblPiNHistorical[[#This Row],[CCCM - new]]=0), "", tblPiNHistorical[[#This Row],[CCCM - new]]-tblPiNHistorical[[#This Row],[CCCM - old]])</f>
        <v/>
      </c>
      <c r="AB61" s="325" t="str">
        <f>IF(OR(tblPiNHistorical[[#This Row],[Education - old]]="", tblPiNHistorical[[#This Row],[Education - old]]=0, tblPiNHistorical[[#This Row],[Education - new]]="", tblPiNHistorical[[#This Row],[Education - new]]=0), "", tblPiNHistorical[[#This Row],[Education - new]]-tblPiNHistorical[[#This Row],[Education - old]])</f>
        <v/>
      </c>
      <c r="AC61" s="325" t="str">
        <f>IF(OR(tblPiNHistorical[[#This Row],[Nutrition - old]]="", tblPiNHistorical[[#This Row],[Nutrition - old]]=0, tblPiNHistorical[[#This Row],[Nutrition - new]]="", tblPiNHistorical[[#This Row],[Nutrition - new]]=0), "", tblPiNHistorical[[#This Row],[Nutrition - new]]-tblPiNHistorical[[#This Row],[Nutrition - old]])</f>
        <v/>
      </c>
      <c r="AD61"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61" s="325" t="str">
        <f>IF(OR(tblPiNHistorical[[#This Row],[Health - old]]="", tblPiNHistorical[[#This Row],[Health - old]]=0, tblPiNHistorical[[#This Row],[Health - new]]="", tblPiNHistorical[[#This Row],[Health - new]]=0), "", tblPiNHistorical[[#This Row],[Health - new]]-tblPiNHistorical[[#This Row],[Health - old]])</f>
        <v/>
      </c>
      <c r="AF61"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61" s="325" t="str">
        <f>IF(OR(tblPiNHistorical[[#This Row],[Shelter - old]]="", tblPiNHistorical[[#This Row],[Shelter - old]]=0, tblPiNHistorical[[#This Row],[Shelter - new]]="", tblPiNHistorical[[#This Row],[Shelter - new]]=0), "", tblPiNHistorical[[#This Row],[Shelter - new]]-tblPiNHistorical[[#This Row],[Shelter - old]])</f>
        <v/>
      </c>
      <c r="AH61" s="326" t="str">
        <f>IF(OR(tblPiNHistorical[[#This Row],[WASH - old]]="", tblPiNHistorical[[#This Row],[WASH - old]]=0, tblPiNHistorical[[#This Row],[WASH - new]]="", tblPiNHistorical[[#This Row],[WASH - new]]=0), "", tblPiNHistorical[[#This Row],[WASH - new]]-tblPiNHistorical[[#This Row],[WASH - old]])</f>
        <v/>
      </c>
      <c r="AI61" s="327" t="str">
        <f>IFERROR(ROUND((tblPiNHistorical[[#This Row],[CCCM - new]] - tblPiNHistorical[[#This Row],[CCCM - old]])/tblPiNHistorical[[#This Row],[CCCM - old]], 1), "")</f>
        <v/>
      </c>
      <c r="AJ61" s="328" t="str">
        <f>IFERROR(ROUND((tblPiNHistorical[[#This Row],[Education - new]]-tblPiNHistorical[[#This Row],[Education - old]])/tblPiNHistorical[[#This Row],[Education - old]], 1), "")</f>
        <v/>
      </c>
      <c r="AK61" s="328" t="str">
        <f>IFERROR(ROUND((tblPiNHistorical[[#This Row],[Nutrition - new]]-tblPiNHistorical[[#This Row],[Nutrition - old]])/tblPiNHistorical[[#This Row],[Nutrition - old]], 1), "")</f>
        <v/>
      </c>
      <c r="AL61" s="328" t="str">
        <f>IFERROR(ROUND((tblPiNHistorical[[#This Row],[Food Security - new]]-tblPiNHistorical[[#This Row],[Food Security - old]])/tblPiNHistorical[[#This Row],[Food Security - old]], 1), "")</f>
        <v/>
      </c>
      <c r="AM61" s="328" t="str">
        <f>IFERROR(ROUND((tblPiNHistorical[[#This Row],[Health - new]]-tblPiNHistorical[[#This Row],[Health - old]])/tblPiNHistorical[[#This Row],[Health - old]], 1), "")</f>
        <v/>
      </c>
      <c r="AN61" s="328" t="str">
        <f>IFERROR(ROUND((tblPiNHistorical[[#This Row],[Overarching Protection - new]]-tblPiNHistorical[[#This Row],[Overarching Protection - old]])/tblPiNHistorical[[#This Row],[Overarching Protection - old]], 1), "")</f>
        <v/>
      </c>
      <c r="AO61" s="328" t="str">
        <f>IFERROR(ROUND((tblPiNHistorical[[#This Row],[Shelter - new]]-tblPiNHistorical[[#This Row],[Shelter - old]])/tblPiNHistorical[[#This Row],[Shelter - old]], 1), "")</f>
        <v/>
      </c>
      <c r="AP61" s="37" t="str">
        <f>IFERROR(ROUND((tblPiNHistorical[[#This Row],[WASH - new]]-tblPiNHistorical[[#This Row],[WASH - old]])/tblPiNHistorical[[#This Row],[WASH - old]], 1), "")</f>
        <v/>
      </c>
    </row>
    <row r="62" spans="1:42" ht="24.95">
      <c r="A62" s="322" t="s">
        <v>186</v>
      </c>
      <c r="B62" s="320" t="s">
        <v>183</v>
      </c>
      <c r="C62" s="213" t="s">
        <v>184</v>
      </c>
      <c r="D62" s="376" t="s">
        <v>187</v>
      </c>
      <c r="E62" s="103" t="s">
        <v>186</v>
      </c>
      <c r="F62" s="98"/>
      <c r="G62" s="33"/>
      <c r="H62" s="340"/>
      <c r="I62" s="95">
        <v>402658</v>
      </c>
      <c r="J62" s="358" t="s">
        <v>193</v>
      </c>
      <c r="K62" s="303"/>
      <c r="L62" s="364"/>
      <c r="M62" s="303"/>
      <c r="N62" s="303"/>
      <c r="O62" s="303"/>
      <c r="P62" s="303"/>
      <c r="Q62" s="304"/>
      <c r="R62" s="303"/>
      <c r="S62" s="323">
        <v>0</v>
      </c>
      <c r="T62" s="323">
        <v>28785</v>
      </c>
      <c r="U62" s="303">
        <v>35472</v>
      </c>
      <c r="V62" s="303">
        <v>14922</v>
      </c>
      <c r="W62" s="303">
        <v>81.014454715264137</v>
      </c>
      <c r="X62" s="303">
        <v>48200</v>
      </c>
      <c r="Y62" s="303">
        <v>44194</v>
      </c>
      <c r="Z62" s="303">
        <v>921</v>
      </c>
      <c r="AA62" s="324" t="str">
        <f>IF(OR(tblPiNHistorical[[#This Row],[CCCM - old]]="", tblPiNHistorical[[#This Row],[CCCM - old]]=0, tblPiNHistorical[[#This Row],[CCCM - new]]="", tblPiNHistorical[[#This Row],[CCCM - new]]=0), "", tblPiNHistorical[[#This Row],[CCCM - new]]-tblPiNHistorical[[#This Row],[CCCM - old]])</f>
        <v/>
      </c>
      <c r="AB62" s="325" t="str">
        <f>IF(OR(tblPiNHistorical[[#This Row],[Education - old]]="", tblPiNHistorical[[#This Row],[Education - old]]=0, tblPiNHistorical[[#This Row],[Education - new]]="", tblPiNHistorical[[#This Row],[Education - new]]=0), "", tblPiNHistorical[[#This Row],[Education - new]]-tblPiNHistorical[[#This Row],[Education - old]])</f>
        <v/>
      </c>
      <c r="AC62" s="325" t="str">
        <f>IF(OR(tblPiNHistorical[[#This Row],[Nutrition - old]]="", tblPiNHistorical[[#This Row],[Nutrition - old]]=0, tblPiNHistorical[[#This Row],[Nutrition - new]]="", tblPiNHistorical[[#This Row],[Nutrition - new]]=0), "", tblPiNHistorical[[#This Row],[Nutrition - new]]-tblPiNHistorical[[#This Row],[Nutrition - old]])</f>
        <v/>
      </c>
      <c r="AD62"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62" s="325" t="str">
        <f>IF(OR(tblPiNHistorical[[#This Row],[Health - old]]="", tblPiNHistorical[[#This Row],[Health - old]]=0, tblPiNHistorical[[#This Row],[Health - new]]="", tblPiNHistorical[[#This Row],[Health - new]]=0), "", tblPiNHistorical[[#This Row],[Health - new]]-tblPiNHistorical[[#This Row],[Health - old]])</f>
        <v/>
      </c>
      <c r="AF62"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62" s="325" t="str">
        <f>IF(OR(tblPiNHistorical[[#This Row],[Shelter - old]]="", tblPiNHistorical[[#This Row],[Shelter - old]]=0, tblPiNHistorical[[#This Row],[Shelter - new]]="", tblPiNHistorical[[#This Row],[Shelter - new]]=0), "", tblPiNHistorical[[#This Row],[Shelter - new]]-tblPiNHistorical[[#This Row],[Shelter - old]])</f>
        <v/>
      </c>
      <c r="AH62" s="326" t="str">
        <f>IF(OR(tblPiNHistorical[[#This Row],[WASH - old]]="", tblPiNHistorical[[#This Row],[WASH - old]]=0, tblPiNHistorical[[#This Row],[WASH - new]]="", tblPiNHistorical[[#This Row],[WASH - new]]=0), "", tblPiNHistorical[[#This Row],[WASH - new]]-tblPiNHistorical[[#This Row],[WASH - old]])</f>
        <v/>
      </c>
      <c r="AI62" s="327" t="str">
        <f>IFERROR(ROUND((tblPiNHistorical[[#This Row],[CCCM - new]] - tblPiNHistorical[[#This Row],[CCCM - old]])/tblPiNHistorical[[#This Row],[CCCM - old]], 1), "")</f>
        <v/>
      </c>
      <c r="AJ62" s="328" t="str">
        <f>IFERROR(ROUND((tblPiNHistorical[[#This Row],[Education - new]]-tblPiNHistorical[[#This Row],[Education - old]])/tblPiNHistorical[[#This Row],[Education - old]], 1), "")</f>
        <v/>
      </c>
      <c r="AK62" s="328" t="str">
        <f>IFERROR(ROUND((tblPiNHistorical[[#This Row],[Nutrition - new]]-tblPiNHistorical[[#This Row],[Nutrition - old]])/tblPiNHistorical[[#This Row],[Nutrition - old]], 1), "")</f>
        <v/>
      </c>
      <c r="AL62" s="328" t="str">
        <f>IFERROR(ROUND((tblPiNHistorical[[#This Row],[Food Security - new]]-tblPiNHistorical[[#This Row],[Food Security - old]])/tblPiNHistorical[[#This Row],[Food Security - old]], 1), "")</f>
        <v/>
      </c>
      <c r="AM62" s="328" t="str">
        <f>IFERROR(ROUND((tblPiNHistorical[[#This Row],[Health - new]]-tblPiNHistorical[[#This Row],[Health - old]])/tblPiNHistorical[[#This Row],[Health - old]], 1), "")</f>
        <v/>
      </c>
      <c r="AN62" s="328" t="str">
        <f>IFERROR(ROUND((tblPiNHistorical[[#This Row],[Overarching Protection - new]]-tblPiNHistorical[[#This Row],[Overarching Protection - old]])/tblPiNHistorical[[#This Row],[Overarching Protection - old]], 1), "")</f>
        <v/>
      </c>
      <c r="AO62" s="328" t="str">
        <f>IFERROR(ROUND((tblPiNHistorical[[#This Row],[Shelter - new]]-tblPiNHistorical[[#This Row],[Shelter - old]])/tblPiNHistorical[[#This Row],[Shelter - old]], 1), "")</f>
        <v/>
      </c>
      <c r="AP62" s="37" t="str">
        <f>IFERROR(ROUND((tblPiNHistorical[[#This Row],[WASH - new]]-tblPiNHistorical[[#This Row],[WASH - old]])/tblPiNHistorical[[#This Row],[WASH - old]], 1), "")</f>
        <v/>
      </c>
    </row>
    <row r="63" spans="1:42" ht="24.95">
      <c r="A63" s="322" t="s">
        <v>188</v>
      </c>
      <c r="B63" s="320" t="s">
        <v>189</v>
      </c>
      <c r="C63" s="213" t="s">
        <v>190</v>
      </c>
      <c r="D63" s="376" t="s">
        <v>191</v>
      </c>
      <c r="E63" s="103" t="s">
        <v>188</v>
      </c>
      <c r="F63" s="98"/>
      <c r="G63" s="33"/>
      <c r="H63" s="340"/>
      <c r="I63" s="95">
        <v>26448</v>
      </c>
      <c r="J63" s="358" t="s">
        <v>193</v>
      </c>
      <c r="K63" s="303"/>
      <c r="L63" s="364"/>
      <c r="M63" s="303"/>
      <c r="N63" s="303"/>
      <c r="O63" s="303"/>
      <c r="P63" s="303"/>
      <c r="Q63" s="304"/>
      <c r="R63" s="303"/>
      <c r="S63" s="323">
        <v>0</v>
      </c>
      <c r="T63" s="323">
        <v>3544</v>
      </c>
      <c r="U63" s="303">
        <v>2157</v>
      </c>
      <c r="V63" s="303">
        <v>2637</v>
      </c>
      <c r="W63" s="303">
        <v>418.18871646501839</v>
      </c>
      <c r="X63" s="303">
        <v>9832</v>
      </c>
      <c r="Y63" s="303"/>
      <c r="Z63" s="303">
        <v>0</v>
      </c>
      <c r="AA63" s="324" t="str">
        <f>IF(OR(tblPiNHistorical[[#This Row],[CCCM - old]]="", tblPiNHistorical[[#This Row],[CCCM - old]]=0, tblPiNHistorical[[#This Row],[CCCM - new]]="", tblPiNHistorical[[#This Row],[CCCM - new]]=0), "", tblPiNHistorical[[#This Row],[CCCM - new]]-tblPiNHistorical[[#This Row],[CCCM - old]])</f>
        <v/>
      </c>
      <c r="AB63" s="325" t="str">
        <f>IF(OR(tblPiNHistorical[[#This Row],[Education - old]]="", tblPiNHistorical[[#This Row],[Education - old]]=0, tblPiNHistorical[[#This Row],[Education - new]]="", tblPiNHistorical[[#This Row],[Education - new]]=0), "", tblPiNHistorical[[#This Row],[Education - new]]-tblPiNHistorical[[#This Row],[Education - old]])</f>
        <v/>
      </c>
      <c r="AC63" s="325" t="str">
        <f>IF(OR(tblPiNHistorical[[#This Row],[Nutrition - old]]="", tblPiNHistorical[[#This Row],[Nutrition - old]]=0, tblPiNHistorical[[#This Row],[Nutrition - new]]="", tblPiNHistorical[[#This Row],[Nutrition - new]]=0), "", tblPiNHistorical[[#This Row],[Nutrition - new]]-tblPiNHistorical[[#This Row],[Nutrition - old]])</f>
        <v/>
      </c>
      <c r="AD63" s="325"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63" s="325" t="str">
        <f>IF(OR(tblPiNHistorical[[#This Row],[Health - old]]="", tblPiNHistorical[[#This Row],[Health - old]]=0, tblPiNHistorical[[#This Row],[Health - new]]="", tblPiNHistorical[[#This Row],[Health - new]]=0), "", tblPiNHistorical[[#This Row],[Health - new]]-tblPiNHistorical[[#This Row],[Health - old]])</f>
        <v/>
      </c>
      <c r="AF63" s="325"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63" s="325" t="str">
        <f>IF(OR(tblPiNHistorical[[#This Row],[Shelter - old]]="", tblPiNHistorical[[#This Row],[Shelter - old]]=0, tblPiNHistorical[[#This Row],[Shelter - new]]="", tblPiNHistorical[[#This Row],[Shelter - new]]=0), "", tblPiNHistorical[[#This Row],[Shelter - new]]-tblPiNHistorical[[#This Row],[Shelter - old]])</f>
        <v/>
      </c>
      <c r="AH63" s="326" t="str">
        <f>IF(OR(tblPiNHistorical[[#This Row],[WASH - old]]="", tblPiNHistorical[[#This Row],[WASH - old]]=0, tblPiNHistorical[[#This Row],[WASH - new]]="", tblPiNHistorical[[#This Row],[WASH - new]]=0), "", tblPiNHistorical[[#This Row],[WASH - new]]-tblPiNHistorical[[#This Row],[WASH - old]])</f>
        <v/>
      </c>
      <c r="AI63" s="327" t="str">
        <f>IFERROR(ROUND((tblPiNHistorical[[#This Row],[CCCM - new]] - tblPiNHistorical[[#This Row],[CCCM - old]])/tblPiNHistorical[[#This Row],[CCCM - old]], 1), "")</f>
        <v/>
      </c>
      <c r="AJ63" s="328" t="str">
        <f>IFERROR(ROUND((tblPiNHistorical[[#This Row],[Education - new]]-tblPiNHistorical[[#This Row],[Education - old]])/tblPiNHistorical[[#This Row],[Education - old]], 1), "")</f>
        <v/>
      </c>
      <c r="AK63" s="328" t="str">
        <f>IFERROR(ROUND((tblPiNHistorical[[#This Row],[Nutrition - new]]-tblPiNHistorical[[#This Row],[Nutrition - old]])/tblPiNHistorical[[#This Row],[Nutrition - old]], 1), "")</f>
        <v/>
      </c>
      <c r="AL63" s="328" t="str">
        <f>IFERROR(ROUND((tblPiNHistorical[[#This Row],[Food Security - new]]-tblPiNHistorical[[#This Row],[Food Security - old]])/tblPiNHistorical[[#This Row],[Food Security - old]], 1), "")</f>
        <v/>
      </c>
      <c r="AM63" s="328" t="str">
        <f>IFERROR(ROUND((tblPiNHistorical[[#This Row],[Health - new]]-tblPiNHistorical[[#This Row],[Health - old]])/tblPiNHistorical[[#This Row],[Health - old]], 1), "")</f>
        <v/>
      </c>
      <c r="AN63" s="328" t="str">
        <f>IFERROR(ROUND((tblPiNHistorical[[#This Row],[Overarching Protection - new]]-tblPiNHistorical[[#This Row],[Overarching Protection - old]])/tblPiNHistorical[[#This Row],[Overarching Protection - old]], 1), "")</f>
        <v/>
      </c>
      <c r="AO63" s="328" t="str">
        <f>IFERROR(ROUND((tblPiNHistorical[[#This Row],[Shelter - new]]-tblPiNHistorical[[#This Row],[Shelter - old]])/tblPiNHistorical[[#This Row],[Shelter - old]], 1), "")</f>
        <v/>
      </c>
      <c r="AP63" s="37" t="str">
        <f>IFERROR(ROUND((tblPiNHistorical[[#This Row],[WASH - new]]-tblPiNHistorical[[#This Row],[WASH - old]])/tblPiNHistorical[[#This Row],[WASH - old]], 1), "")</f>
        <v/>
      </c>
    </row>
  </sheetData>
  <mergeCells count="6">
    <mergeCell ref="AI2:AP2"/>
    <mergeCell ref="B2:G2"/>
    <mergeCell ref="I2:J2"/>
    <mergeCell ref="K2:R2"/>
    <mergeCell ref="S2:Z2"/>
    <mergeCell ref="AA2:AH2"/>
  </mergeCells>
  <phoneticPr fontId="9" type="noConversion"/>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notBetween" id="{44980C84-2A4A-4B13-B285-48DD8024EE62}">
            <xm:f>Thresholds!$D$13*-1</xm:f>
            <xm:f>Thresholds!$D$13</xm:f>
            <x14:dxf>
              <font>
                <color rgb="FFFF0000"/>
              </font>
              <fill>
                <patternFill patternType="none">
                  <bgColor auto="1"/>
                </patternFill>
              </fill>
            </x14:dxf>
          </x14:cfRule>
          <xm:sqref>AI4:AP63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57F7-6C31-4B6E-9251-013C1D64B81D}">
  <sheetPr codeName="Sheet4">
    <tabColor theme="7" tint="0.59999389629810485"/>
  </sheetPr>
  <dimension ref="A1:AB77"/>
  <sheetViews>
    <sheetView showGridLines="0" topLeftCell="P1" zoomScaleNormal="100" workbookViewId="0">
      <selection activeCell="AO11" sqref="AO11"/>
    </sheetView>
  </sheetViews>
  <sheetFormatPr defaultColWidth="8.85546875" defaultRowHeight="14.45"/>
  <cols>
    <col min="1" max="1" width="14.28515625" style="86" hidden="1" customWidth="1"/>
    <col min="2" max="2" width="21" style="88" hidden="1" customWidth="1"/>
    <col min="3" max="4" width="21" style="86" hidden="1" customWidth="1"/>
    <col min="5" max="5" width="10.28515625" style="86" hidden="1" customWidth="1"/>
    <col min="6" max="6" width="9" style="86" hidden="1" customWidth="1"/>
    <col min="7" max="7" width="9.140625" hidden="1" customWidth="1"/>
    <col min="8" max="8" width="12.140625" style="19" hidden="1" customWidth="1"/>
    <col min="9" max="9" width="14.42578125" hidden="1" customWidth="1"/>
    <col min="10" max="10" width="16.28515625" hidden="1" customWidth="1"/>
    <col min="11" max="11" width="13.28515625" hidden="1" customWidth="1"/>
    <col min="12" max="12" width="14.85546875" hidden="1" customWidth="1"/>
    <col min="13" max="14" width="9.140625" hidden="1" customWidth="1"/>
    <col min="15" max="15" width="8.85546875" hidden="1" customWidth="1"/>
    <col min="16" max="16" width="15.85546875" customWidth="1"/>
    <col min="17" max="17" width="28.85546875" customWidth="1"/>
    <col min="27" max="41" width="8.85546875" customWidth="1"/>
  </cols>
  <sheetData>
    <row r="1" spans="1:26">
      <c r="A1" s="85"/>
      <c r="B1" s="87"/>
      <c r="F1"/>
    </row>
    <row r="2" spans="1:26" ht="24.75" customHeight="1">
      <c r="A2" s="85"/>
      <c r="B2" s="87"/>
      <c r="F2"/>
      <c r="P2" s="89" t="s">
        <v>223</v>
      </c>
      <c r="Q2" s="90" t="s">
        <v>56</v>
      </c>
    </row>
    <row r="3" spans="1:26" ht="24.75" customHeight="1">
      <c r="A3" s="85"/>
      <c r="B3" s="87"/>
      <c r="F3"/>
      <c r="Z3" s="169"/>
    </row>
    <row r="4" spans="1:26" ht="24.75" customHeight="1">
      <c r="A4" s="85"/>
      <c r="B4" s="87"/>
      <c r="F4"/>
      <c r="Z4" s="169"/>
    </row>
    <row r="5" spans="1:26" ht="26.45" thickBot="1">
      <c r="A5" s="96" t="s">
        <v>224</v>
      </c>
      <c r="B5" s="96" t="str" cm="1">
        <f t="array" ref="B5:D5">TRANSPOSE(_xlfn.UNIQUE(tblPiNAnalysis[Population Group]))</f>
        <v>IDPs</v>
      </c>
      <c r="C5" s="96" t="str">
        <v>Returnees</v>
      </c>
      <c r="D5" s="96" t="str">
        <v>Non-Displaced</v>
      </c>
      <c r="E5" s="96"/>
      <c r="F5" s="96"/>
      <c r="H5" s="137" t="s">
        <v>224</v>
      </c>
      <c r="I5" s="96" t="str" cm="1">
        <f t="array" ref="I5:K5">TRANSPOSE(_xlfn.UNIQUE(tblPiNHistorical[Population Group]))</f>
        <v>IDPs</v>
      </c>
      <c r="J5" s="96" t="str">
        <v>Returnees</v>
      </c>
      <c r="K5" s="96" t="str">
        <v>Non-Displaced</v>
      </c>
      <c r="L5" s="96"/>
      <c r="M5" s="96"/>
      <c r="Z5" s="169"/>
    </row>
    <row r="6" spans="1:26" ht="15" thickTop="1">
      <c r="A6" s="92" cm="1">
        <f t="array" ref="A6:A12">_xlfn._xlws.SORT(_xlfn.UNIQUE(INDEX(tblPiNAnalysis[[CCCM%]:[WASH%]], 0, MATCH(_xlfn.CONCAT($Q$2, "%"), tblPiNAnalysis[[#Headers],[CCCM%]:[WASH%]], 0))))</f>
        <v>0.05</v>
      </c>
      <c r="B6" s="91" cm="1">
        <f t="array" ref="B6">IF($A6="", "", IF(SUM(IF(INDEX(_xlfn._xlws.FILTER(tblPiNAnalysis[[CCCM%]:[WASH%]], tblPiNAnalysis[Population Group]=B$5), 0, MATCH(_xlfn.CONCAT($Q$2, "%"), tblPiNAnalysis[[#Headers],[CCCM%]:[WASH%]], 0))=$A6, 1, 0))=0, "",SUM(IF(INDEX(_xlfn._xlws.FILTER(tblPiNAnalysis[[CCCM%]:[WASH%]], tblPiNAnalysis[Population Group]=B$5), 0, MATCH(_xlfn.CONCAT($Q$2, "%"), tblPiNAnalysis[[#Headers],[CCCM%]:[WASH%]], 0))=$A6, 1, 0))))</f>
        <v>4</v>
      </c>
      <c r="C6" s="91" cm="1">
        <f t="array" ref="C6">IFERROR(IF(OR($A6="", C$5=""), "", IF(SUM(IF(INDEX(_xlfn._xlws.FILTER(tblPiNAnalysis[[CCCM%]:[WASH%]], tblPiNAnalysis[Population Group]=C$5), 0, MATCH(_xlfn.CONCAT($Q$2, "%"), tblPiNAnalysis[[#Headers],[CCCM%]:[WASH%]], 0))=$A6, 1, 0))=0, "",SUM(IF(INDEX(_xlfn._xlws.FILTER(tblPiNAnalysis[[CCCM%]:[WASH%]], tblPiNAnalysis[Population Group]=C$5), 0, MATCH(_xlfn.CONCAT($Q$2, "%"), tblPiNAnalysis[[#Headers],[CCCM%]:[WASH%]], 0))=$A6, 1, 0)))), "")</f>
        <v>2</v>
      </c>
      <c r="D6" s="91" cm="1">
        <f t="array" ref="D6">IFERROR(IF(OR($A6="", D$5=""), "", IF(SUM(IF(INDEX(_xlfn._xlws.FILTER(tblPiNAnalysis[[CCCM%]:[WASH%]], tblPiNAnalysis[Population Group]=D$5), 0, MATCH(_xlfn.CONCAT($Q$2, "%"), tblPiNAnalysis[[#Headers],[CCCM%]:[WASH%]], 0))=$A6, 1, 0))=0, "",SUM(IF(INDEX(_xlfn._xlws.FILTER(tblPiNAnalysis[[CCCM%]:[WASH%]], tblPiNAnalysis[Population Group]=D$5), 0, MATCH(_xlfn.CONCAT($Q$2, "%"), tblPiNAnalysis[[#Headers],[CCCM%]:[WASH%]], 0))=$A6, 1, 0)))), "")</f>
        <v>3</v>
      </c>
      <c r="E6" s="91" t="str" cm="1">
        <f t="array" ref="E6">IFERROR(IF(OR($A6="", E$5=""), "", IF(SUM(IF(INDEX(_xlfn._xlws.FILTER(tblPiNAnalysis[[CCCM%]:[WASH%]], tblPiNAnalysis[Population Group]=E$5), 0, MATCH(_xlfn.CONCAT($Q$2, "%"), tblPiNAnalysis[[#Headers],[CCCM%]:[WASH%]], 0))=$A6, 1, 0))=0, "",SUM(IF(INDEX(_xlfn._xlws.FILTER(tblPiNAnalysis[[CCCM%]:[WASH%]], tblPiNAnalysis[Population Group]=E$5), 0, MATCH(_xlfn.CONCAT($Q$2, "%"), tblPiNAnalysis[[#Headers],[CCCM%]:[WASH%]], 0))=$A6, 1, 0)))), "")</f>
        <v/>
      </c>
      <c r="F6" s="91" t="str" cm="1">
        <f t="array" ref="F6">IFERROR(IF(OR($A6="", F$5=""), "", IF(SUM(IF(INDEX(_xlfn._xlws.FILTER(tblPiNAnalysis[[CCCM%]:[WASH%]], tblPiNAnalysis[CCCM]=F$5), 0, MATCH(_xlfn.CONCAT($Q$2, "%"), tblPiNAnalysis[[#Headers],[CCCM%]:[WASH%]], 0))=$A6, 1, 0))=0, "",SUM(IF(INDEX(_xlfn._xlws.FILTER(tblPiNAnalysis[[CCCM%]:[WASH%]], tblPiNAnalysis[CCCM]=F$5), 0, MATCH(_xlfn.CONCAT($Q$2, "%"), tblPiNAnalysis[[#Headers],[CCCM%]:[WASH%]], 0))=$A6, 1, 0)))), "")</f>
        <v/>
      </c>
      <c r="H6" s="92" cm="1">
        <f t="array" ref="H6:H24">_xlfn._xlws.SORT(_xlfn.UNIQUE(_xlfn._xlws.FILTER(INDEX(tblPiNHistorical[[CCCM]:[WASH]],0,MATCH($Q$2,tblPiNHistorical[[#Headers],[CCCM]:[WASH]],0)),INDEX(tblPiNHistorical[[CCCM]:[WASH]],0,MATCH($Q$2,tblPiNHistorical[[#Headers],[CCCM]:[WASH]],0))&lt;=2)))</f>
        <v>-1</v>
      </c>
      <c r="I6" s="91" cm="1">
        <f t="array" ref="I6">IF($H6="", "", IF($H6=2, SUM(IF(INDEX(_xlfn._xlws.FILTER(tblPiNHistorical[[CCCM]:[WASH]], tblPiNHistorical[Population Group]=I$5), 0, MATCH($Q$2, tblPiNHistorical[[#Headers],[CCCM]:[WASH]], 0))&gt;1.9, 1, 0)), IF(SUM(IF(INDEX(_xlfn._xlws.FILTER(tblPiNHistorical[[CCCM]:[WASH]], tblPiNHistorical[Population Group]=I$5), 0, MATCH($Q$2, tblPiNHistorical[[#Headers],[CCCM]:[WASH]], 0))=$H6, 1, 0))=0, "", SUM(IF(INDEX(_xlfn._xlws.FILTER(tblPiNHistorical[[CCCM]:[WASH]], tblPiNHistorical[Population Group]=I$5), 0, MATCH($Q$2, tblPiNHistorical[[#Headers],[CCCM]:[WASH]], 0))=$H6, 1, 0)))))</f>
        <v>1</v>
      </c>
      <c r="J6" s="91" cm="1">
        <f t="array" ref="J6">IFERROR(IF(OR($H6="", J5=""), "", IF($H6=2, SUM(IF(INDEX(_xlfn._xlws.FILTER(tblPiNHistorical[[CCCM]:[WASH]], tblPiNHistorical[Population Group]=J$5), 0, MATCH($Q$2, tblPiNHistorical[[#Headers],[CCCM]:[WASH]], 0))&gt;1.9, 1, 0)), IF(SUM(IF(INDEX(_xlfn._xlws.FILTER(tblPiNHistorical[[CCCM]:[WASH]], tblPiNHistorical[Population Group]=J$5), 0, MATCH($Q$2, tblPiNHistorical[[#Headers],[CCCM]:[WASH]], 0))=$H6, 1, 0))=0, "", SUM(IF(INDEX(_xlfn._xlws.FILTER(tblPiNHistorical[[CCCM]:[WASH]], tblPiNHistorical[Population Group]=J$5), 0, MATCH($Q$2, tblPiNHistorical[[#Headers],[CCCM]:[WASH]], 0))=$H6, 1, 0))))), "")</f>
        <v>1</v>
      </c>
      <c r="K6" s="91" t="str" cm="1">
        <f t="array" ref="K6">IFERROR(IF(OR($H6="", K5=""), "", IF($H6=2, SUM(IF(INDEX(_xlfn._xlws.FILTER(tblPiNHistorical[[CCCM]:[WASH]], tblPiNHistorical[CCCM - old]=K$5), 0, MATCH($Q$2, tblPiNHistorical[[#Headers],[CCCM]:[WASH]], 0))&gt;1.9, 1, 0)), IF(SUM(IF(INDEX(_xlfn._xlws.FILTER(tblPiNHistorical[[CCCM]:[WASH]], tblPiNHistorical[CCCM - old]=K$5), 0, MATCH($Q$2, tblPiNHistorical[[#Headers],[CCCM]:[WASH]], 0))=$H6, 1, 0))=0, "", SUM(IF(INDEX(_xlfn._xlws.FILTER(tblPiNHistorical[[CCCM]:[WASH]], tblPiNHistorical[CCCM - old]=K$5), 0, MATCH($Q$2, tblPiNHistorical[[#Headers],[CCCM]:[WASH]], 0))=$H6, 1, 0))))), "")</f>
        <v/>
      </c>
      <c r="L6" s="91" t="str" cm="1">
        <f t="array" ref="L6">IFERROR(IF(OR($H6="", L5=""), "", IF($H6=2, SUM(IF(INDEX(_xlfn._xlws.FILTER(tblPiNHistorical[[CCCM]:[WASH]],#REF!= L$5), 0, MATCH($Q$2, tblPiNHistorical[[#Headers],[CCCM]:[WASH]], 0))&gt;1.9, 1, 0)), IF(SUM(IF(INDEX(_xlfn._xlws.FILTER(tblPiNHistorical[[CCCM]:[WASH]],#REF!= L$5), 0, MATCH($Q$2, tblPiNHistorical[[#Headers],[CCCM]:[WASH]], 0))=$H6, 1, 0))=0, "", SUM(IF(INDEX(_xlfn._xlws.FILTER(tblPiNHistorical[[CCCM]:[WASH]],#REF!= L$5), 0, MATCH($Q$2, tblPiNHistorical[[#Headers],[CCCM]:[WASH]], 0))=$H6, 1, 0))))), "")</f>
        <v/>
      </c>
      <c r="M6" s="91" t="str" cm="1">
        <f t="array" ref="M6">IFERROR(IF(OR($H6="", M5=""), "", IF($H6=2, SUM(IF(INDEX(_xlfn._xlws.FILTER(tblPiNHistorical[[CCCM]:[WASH]],#REF!= M$5), 0, MATCH($Q$2, tblPiNHistorical[[#Headers],[CCCM]:[WASH]], 0))&gt;1.9, 1, 0)), IF(SUM(IF(INDEX(_xlfn._xlws.FILTER(tblPiNHistorical[[CCCM]:[WASH]],#REF!= M$5), 0, MATCH($Q$2, tblPiNHistorical[[#Headers],[CCCM]:[WASH]], 0))=$H6, 1, 0))=0, "", SUM(IF(INDEX(_xlfn._xlws.FILTER(tblPiNHistorical[[CCCM]:[WASH]],#REF!= M$5), 0, MATCH($Q$2, tblPiNHistorical[[#Headers],[CCCM]:[WASH]], 0))=$H6, 1, 0))))), "")</f>
        <v/>
      </c>
      <c r="Z6" s="169"/>
    </row>
    <row r="7" spans="1:26">
      <c r="A7" s="93">
        <v>0.1</v>
      </c>
      <c r="B7" s="91" cm="1">
        <f t="array" ref="B7">IF($A7="", "", IF(SUM(IF(INDEX(_xlfn._xlws.FILTER(tblPiNAnalysis[[CCCM%]:[WASH%]], tblPiNAnalysis[Population Group]=B$5), 0, MATCH(_xlfn.CONCAT($Q$2, "%"), tblPiNAnalysis[[#Headers],[CCCM%]:[WASH%]], 0))=$A7, 1, 0))=0, "",SUM(IF(INDEX(_xlfn._xlws.FILTER(tblPiNAnalysis[[CCCM%]:[WASH%]], tblPiNAnalysis[Population Group]=B$5), 0, MATCH(_xlfn.CONCAT($Q$2, "%"), tblPiNAnalysis[[#Headers],[CCCM%]:[WASH%]], 0))=$A7, 1, 0))))</f>
        <v>7</v>
      </c>
      <c r="C7" s="91" cm="1">
        <f t="array" ref="C7">IFERROR(IF(OR($A7="", C$5=""), "", IF(SUM(IF(INDEX(_xlfn._xlws.FILTER(tblPiNAnalysis[[CCCM%]:[WASH%]], tblPiNAnalysis[Population Group]=C$5), 0, MATCH(_xlfn.CONCAT($Q$2, "%"), tblPiNAnalysis[[#Headers],[CCCM%]:[WASH%]], 0))=$A7, 1, 0))=0, "",SUM(IF(INDEX(_xlfn._xlws.FILTER(tblPiNAnalysis[[CCCM%]:[WASH%]], tblPiNAnalysis[Population Group]=C$5), 0, MATCH(_xlfn.CONCAT($Q$2, "%"), tblPiNAnalysis[[#Headers],[CCCM%]:[WASH%]], 0))=$A7, 1, 0)))), "")</f>
        <v>2</v>
      </c>
      <c r="D7" s="91" cm="1">
        <f t="array" ref="D7">IFERROR(IF(OR($A7="", D$5=""), "", IF(SUM(IF(INDEX(_xlfn._xlws.FILTER(tblPiNAnalysis[[CCCM%]:[WASH%]], tblPiNAnalysis[Population Group]=D$5), 0, MATCH(_xlfn.CONCAT($Q$2, "%"), tblPiNAnalysis[[#Headers],[CCCM%]:[WASH%]], 0))=$A7, 1, 0))=0, "",SUM(IF(INDEX(_xlfn._xlws.FILTER(tblPiNAnalysis[[CCCM%]:[WASH%]], tblPiNAnalysis[Population Group]=D$5), 0, MATCH(_xlfn.CONCAT($Q$2, "%"), tblPiNAnalysis[[#Headers],[CCCM%]:[WASH%]], 0))=$A7, 1, 0)))), "")</f>
        <v>6</v>
      </c>
      <c r="E7" s="91" t="str" cm="1">
        <f t="array" ref="E7">IFERROR(IF(OR($A7="", E$5=""), "", IF(SUM(IF(INDEX(_xlfn._xlws.FILTER(tblPiNAnalysis[[CCCM%]:[WASH%]], tblPiNAnalysis[Population Group]=E$5), 0, MATCH(_xlfn.CONCAT($Q$2, "%"), tblPiNAnalysis[[#Headers],[CCCM%]:[WASH%]], 0))=$A7, 1, 0))=0, "",SUM(IF(INDEX(_xlfn._xlws.FILTER(tblPiNAnalysis[[CCCM%]:[WASH%]], tblPiNAnalysis[Population Group]=E$5), 0, MATCH(_xlfn.CONCAT($Q$2, "%"), tblPiNAnalysis[[#Headers],[CCCM%]:[WASH%]], 0))=$A7, 1, 0)))), "")</f>
        <v/>
      </c>
      <c r="F7" s="91" t="str" cm="1">
        <f t="array" ref="F7">IFERROR(IF(OR($A7="", F$5=""), "", IF(SUM(IF(INDEX(_xlfn._xlws.FILTER(tblPiNAnalysis[[CCCM%]:[WASH%]], tblPiNAnalysis[CCCM]=F$5), 0, MATCH(_xlfn.CONCAT($Q$2, "%"), tblPiNAnalysis[[#Headers],[CCCM%]:[WASH%]], 0))=$A7, 1, 0))=0, "",SUM(IF(INDEX(_xlfn._xlws.FILTER(tblPiNAnalysis[[CCCM%]:[WASH%]], tblPiNAnalysis[CCCM]=F$5), 0, MATCH(_xlfn.CONCAT($Q$2, "%"), tblPiNAnalysis[[#Headers],[CCCM%]:[WASH%]], 0))=$A7, 1, 0)))), "")</f>
        <v/>
      </c>
      <c r="H7" s="93">
        <v>-0.8</v>
      </c>
      <c r="I7" s="91" cm="1">
        <f t="array" ref="I7">IF($H7="", "", IF($H7=2, SUM(IF(INDEX(_xlfn._xlws.FILTER(tblPiNHistorical[[CCCM]:[WASH]], tblPiNHistorical[Population Group]=I$5), 0, MATCH($Q$2, tblPiNHistorical[[#Headers],[CCCM]:[WASH]], 0))&gt;1.9, 1, 0)), IF(SUM(IF(INDEX(_xlfn._xlws.FILTER(tblPiNHistorical[[CCCM]:[WASH]], tblPiNHistorical[Population Group]=I$5), 0, MATCH($Q$2, tblPiNHistorical[[#Headers],[CCCM]:[WASH]], 0))=$H7, 1, 0))=0, "", SUM(IF(INDEX(_xlfn._xlws.FILTER(tblPiNHistorical[[CCCM]:[WASH]], tblPiNHistorical[Population Group]=I$5), 0, MATCH($Q$2, tblPiNHistorical[[#Headers],[CCCM]:[WASH]], 0))=$H7, 1, 0)))))</f>
        <v>1</v>
      </c>
      <c r="J7" s="91" t="str" cm="1">
        <f t="array" ref="J7">IFERROR(IF(OR($H7="", J6=""), "", IF($H7=2, SUM(IF(INDEX(_xlfn._xlws.FILTER(tblPiNHistorical[[CCCM]:[WASH]], tblPiNHistorical[Population Group]=J$5), 0, MATCH($Q$2, tblPiNHistorical[[#Headers],[CCCM]:[WASH]], 0))&gt;1.9, 1, 0)), IF(SUM(IF(INDEX(_xlfn._xlws.FILTER(tblPiNHistorical[[CCCM]:[WASH]], tblPiNHistorical[Population Group]=J$5), 0, MATCH($Q$2, tblPiNHistorical[[#Headers],[CCCM]:[WASH]], 0))=$H7, 1, 0))=0, "", SUM(IF(INDEX(_xlfn._xlws.FILTER(tblPiNHistorical[[CCCM]:[WASH]], tblPiNHistorical[Population Group]=J$5), 0, MATCH($Q$2, tblPiNHistorical[[#Headers],[CCCM]:[WASH]], 0))=$H7, 1, 0))))), "")</f>
        <v/>
      </c>
      <c r="K7" s="91" t="str" cm="1">
        <f t="array" ref="K7">IFERROR(IF(OR($H7="", K6=""), "", IF($H7=2, SUM(IF(INDEX(_xlfn._xlws.FILTER(tblPiNHistorical[[CCCM]:[WASH]], tblPiNHistorical[CCCM - old]=K$5), 0, MATCH($Q$2, tblPiNHistorical[[#Headers],[CCCM]:[WASH]], 0))&gt;1.9, 1, 0)), IF(SUM(IF(INDEX(_xlfn._xlws.FILTER(tblPiNHistorical[[CCCM]:[WASH]], tblPiNHistorical[CCCM - old]=K$5), 0, MATCH($Q$2, tblPiNHistorical[[#Headers],[CCCM]:[WASH]], 0))=$H7, 1, 0))=0, "", SUM(IF(INDEX(_xlfn._xlws.FILTER(tblPiNHistorical[[CCCM]:[WASH]], tblPiNHistorical[CCCM - old]=K$5), 0, MATCH($Q$2, tblPiNHistorical[[#Headers],[CCCM]:[WASH]], 0))=$H7, 1, 0))))), "")</f>
        <v/>
      </c>
      <c r="L7" s="91" t="str" cm="1">
        <f t="array" ref="L7">IFERROR(IF(OR($H7="", L6=""), "", IF($H7=2, SUM(IF(INDEX(_xlfn._xlws.FILTER(tblPiNHistorical[[CCCM]:[WASH]],#REF!= L$5), 0, MATCH($Q$2, tblPiNHistorical[[#Headers],[CCCM]:[WASH]], 0))&gt;1.9, 1, 0)), IF(SUM(IF(INDEX(_xlfn._xlws.FILTER(tblPiNHistorical[[CCCM]:[WASH]],#REF!= L$5), 0, MATCH($Q$2, tblPiNHistorical[[#Headers],[CCCM]:[WASH]], 0))=$H7, 1, 0))=0, "", SUM(IF(INDEX(_xlfn._xlws.FILTER(tblPiNHistorical[[CCCM]:[WASH]],#REF!= L$5), 0, MATCH($Q$2, tblPiNHistorical[[#Headers],[CCCM]:[WASH]], 0))=$H7, 1, 0))))), "")</f>
        <v/>
      </c>
      <c r="M7" s="91" t="str" cm="1">
        <f t="array" ref="M7">IFERROR(IF(OR($H7="", M6=""), "", IF($H7=2, SUM(IF(INDEX(_xlfn._xlws.FILTER(tblPiNHistorical[[CCCM]:[WASH]],#REF!= M$5), 0, MATCH($Q$2, tblPiNHistorical[[#Headers],[CCCM]:[WASH]], 0))&gt;1.9, 1, 0)), IF(SUM(IF(INDEX(_xlfn._xlws.FILTER(tblPiNHistorical[[CCCM]:[WASH]],#REF!= M$5), 0, MATCH($Q$2, tblPiNHistorical[[#Headers],[CCCM]:[WASH]], 0))=$H7, 1, 0))=0, "", SUM(IF(INDEX(_xlfn._xlws.FILTER(tblPiNHistorical[[CCCM]:[WASH]],#REF!= M$5), 0, MATCH($Q$2, tblPiNHistorical[[#Headers],[CCCM]:[WASH]], 0))=$H7, 1, 0))))), "")</f>
        <v/>
      </c>
      <c r="Z7" s="169"/>
    </row>
    <row r="8" spans="1:26">
      <c r="A8" s="93">
        <v>0.15000000000000002</v>
      </c>
      <c r="B8" s="91" cm="1">
        <f t="array" ref="B8">IF($A8="", "", IF(SUM(IF(INDEX(_xlfn._xlws.FILTER(tblPiNAnalysis[[CCCM%]:[WASH%]], tblPiNAnalysis[Population Group]=B$5), 0, MATCH(_xlfn.CONCAT($Q$2, "%"), tblPiNAnalysis[[#Headers],[CCCM%]:[WASH%]], 0))=$A8, 1, 0))=0, "",SUM(IF(INDEX(_xlfn._xlws.FILTER(tblPiNAnalysis[[CCCM%]:[WASH%]], tblPiNAnalysis[Population Group]=B$5), 0, MATCH(_xlfn.CONCAT($Q$2, "%"), tblPiNAnalysis[[#Headers],[CCCM%]:[WASH%]], 0))=$A8, 1, 0))))</f>
        <v>2</v>
      </c>
      <c r="C8" s="91" cm="1">
        <f t="array" ref="C8">IFERROR(IF(OR($A8="", C$5=""), "", IF(SUM(IF(INDEX(_xlfn._xlws.FILTER(tblPiNAnalysis[[CCCM%]:[WASH%]], tblPiNAnalysis[Population Group]=C$5), 0, MATCH(_xlfn.CONCAT($Q$2, "%"), tblPiNAnalysis[[#Headers],[CCCM%]:[WASH%]], 0))=$A8, 1, 0))=0, "",SUM(IF(INDEX(_xlfn._xlws.FILTER(tblPiNAnalysis[[CCCM%]:[WASH%]], tblPiNAnalysis[Population Group]=C$5), 0, MATCH(_xlfn.CONCAT($Q$2, "%"), tblPiNAnalysis[[#Headers],[CCCM%]:[WASH%]], 0))=$A8, 1, 0)))), "")</f>
        <v>5</v>
      </c>
      <c r="D8" s="91" cm="1">
        <f t="array" ref="D8">IFERROR(IF(OR($A8="", D$5=""), "", IF(SUM(IF(INDEX(_xlfn._xlws.FILTER(tblPiNAnalysis[[CCCM%]:[WASH%]], tblPiNAnalysis[Population Group]=D$5), 0, MATCH(_xlfn.CONCAT($Q$2, "%"), tblPiNAnalysis[[#Headers],[CCCM%]:[WASH%]], 0))=$A8, 1, 0))=0, "",SUM(IF(INDEX(_xlfn._xlws.FILTER(tblPiNAnalysis[[CCCM%]:[WASH%]], tblPiNAnalysis[Population Group]=D$5), 0, MATCH(_xlfn.CONCAT($Q$2, "%"), tblPiNAnalysis[[#Headers],[CCCM%]:[WASH%]], 0))=$A8, 1, 0)))), "")</f>
        <v>7</v>
      </c>
      <c r="E8" s="91" t="str" cm="1">
        <f t="array" ref="E8">IFERROR(IF(OR($A8="", E$5=""), "", IF(SUM(IF(INDEX(_xlfn._xlws.FILTER(tblPiNAnalysis[[CCCM%]:[WASH%]], tblPiNAnalysis[Population Group]=E$5), 0, MATCH(_xlfn.CONCAT($Q$2, "%"), tblPiNAnalysis[[#Headers],[CCCM%]:[WASH%]], 0))=$A8, 1, 0))=0, "",SUM(IF(INDEX(_xlfn._xlws.FILTER(tblPiNAnalysis[[CCCM%]:[WASH%]], tblPiNAnalysis[Population Group]=E$5), 0, MATCH(_xlfn.CONCAT($Q$2, "%"), tblPiNAnalysis[[#Headers],[CCCM%]:[WASH%]], 0))=$A8, 1, 0)))), "")</f>
        <v/>
      </c>
      <c r="F8" s="91" t="str" cm="1">
        <f t="array" ref="F8">IFERROR(IF(OR($A8="", F$5=""), "", IF(SUM(IF(INDEX(_xlfn._xlws.FILTER(tblPiNAnalysis[[CCCM%]:[WASH%]], tblPiNAnalysis[CCCM]=F$5), 0, MATCH(_xlfn.CONCAT($Q$2, "%"), tblPiNAnalysis[[#Headers],[CCCM%]:[WASH%]], 0))=$A8, 1, 0))=0, "",SUM(IF(INDEX(_xlfn._xlws.FILTER(tblPiNAnalysis[[CCCM%]:[WASH%]], tblPiNAnalysis[CCCM]=F$5), 0, MATCH(_xlfn.CONCAT($Q$2, "%"), tblPiNAnalysis[[#Headers],[CCCM%]:[WASH%]], 0))=$A8, 1, 0)))), "")</f>
        <v/>
      </c>
      <c r="H8" s="93">
        <v>-0.7</v>
      </c>
      <c r="I8" s="91" t="str" cm="1">
        <f t="array" ref="I8">IF($H8="", "", IF($H8=2, SUM(IF(INDEX(_xlfn._xlws.FILTER(tblPiNHistorical[[CCCM]:[WASH]], tblPiNHistorical[Population Group]=I$5), 0, MATCH($Q$2, tblPiNHistorical[[#Headers],[CCCM]:[WASH]], 0))&gt;1.9, 1, 0)), IF(SUM(IF(INDEX(_xlfn._xlws.FILTER(tblPiNHistorical[[CCCM]:[WASH]], tblPiNHistorical[Population Group]=I$5), 0, MATCH($Q$2, tblPiNHistorical[[#Headers],[CCCM]:[WASH]], 0))=$H8, 1, 0))=0, "", SUM(IF(INDEX(_xlfn._xlws.FILTER(tblPiNHistorical[[CCCM]:[WASH]], tblPiNHistorical[Population Group]=I$5), 0, MATCH($Q$2, tblPiNHistorical[[#Headers],[CCCM]:[WASH]], 0))=$H8, 1, 0)))))</f>
        <v/>
      </c>
      <c r="J8" s="91" t="str" cm="1">
        <f t="array" ref="J8">IFERROR(IF(OR($H8="", J7=""), "", IF($H8=2, SUM(IF(INDEX(_xlfn._xlws.FILTER(tblPiNHistorical[[CCCM]:[WASH]], tblPiNHistorical[Population Group]=J$5), 0, MATCH($Q$2, tblPiNHistorical[[#Headers],[CCCM]:[WASH]], 0))&gt;1.9, 1, 0)), IF(SUM(IF(INDEX(_xlfn._xlws.FILTER(tblPiNHistorical[[CCCM]:[WASH]], tblPiNHistorical[Population Group]=J$5), 0, MATCH($Q$2, tblPiNHistorical[[#Headers],[CCCM]:[WASH]], 0))=$H8, 1, 0))=0, "", SUM(IF(INDEX(_xlfn._xlws.FILTER(tblPiNHistorical[[CCCM]:[WASH]], tblPiNHistorical[Population Group]=J$5), 0, MATCH($Q$2, tblPiNHistorical[[#Headers],[CCCM]:[WASH]], 0))=$H8, 1, 0))))), "")</f>
        <v/>
      </c>
      <c r="K8" s="91" t="str" cm="1">
        <f t="array" ref="K8">IFERROR(IF(OR($H8="", K7=""), "", IF($H8=2, SUM(IF(INDEX(_xlfn._xlws.FILTER(tblPiNHistorical[[CCCM]:[WASH]], tblPiNHistorical[CCCM - old]=K$5), 0, MATCH($Q$2, tblPiNHistorical[[#Headers],[CCCM]:[WASH]], 0))&gt;1.9, 1, 0)), IF(SUM(IF(INDEX(_xlfn._xlws.FILTER(tblPiNHistorical[[CCCM]:[WASH]], tblPiNHistorical[CCCM - old]=K$5), 0, MATCH($Q$2, tblPiNHistorical[[#Headers],[CCCM]:[WASH]], 0))=$H8, 1, 0))=0, "", SUM(IF(INDEX(_xlfn._xlws.FILTER(tblPiNHistorical[[CCCM]:[WASH]], tblPiNHistorical[CCCM - old]=K$5), 0, MATCH($Q$2, tblPiNHistorical[[#Headers],[CCCM]:[WASH]], 0))=$H8, 1, 0))))), "")</f>
        <v/>
      </c>
      <c r="L8" s="91" t="str" cm="1">
        <f t="array" ref="L8">IFERROR(IF(OR($H8="", L7=""), "", IF($H8=2, SUM(IF(INDEX(_xlfn._xlws.FILTER(tblPiNHistorical[[CCCM]:[WASH]],#REF!= L$5), 0, MATCH($Q$2, tblPiNHistorical[[#Headers],[CCCM]:[WASH]], 0))&gt;1.9, 1, 0)), IF(SUM(IF(INDEX(_xlfn._xlws.FILTER(tblPiNHistorical[[CCCM]:[WASH]],#REF!= L$5), 0, MATCH($Q$2, tblPiNHistorical[[#Headers],[CCCM]:[WASH]], 0))=$H8, 1, 0))=0, "", SUM(IF(INDEX(_xlfn._xlws.FILTER(tblPiNHistorical[[CCCM]:[WASH]],#REF!= L$5), 0, MATCH($Q$2, tblPiNHistorical[[#Headers],[CCCM]:[WASH]], 0))=$H8, 1, 0))))), "")</f>
        <v/>
      </c>
      <c r="M8" s="91" t="str" cm="1">
        <f t="array" ref="M8">IFERROR(IF(OR($H8="", M7=""), "", IF($H8=2, SUM(IF(INDEX(_xlfn._xlws.FILTER(tblPiNHistorical[[CCCM]:[WASH]],#REF!= M$5), 0, MATCH($Q$2, tblPiNHistorical[[#Headers],[CCCM]:[WASH]], 0))&gt;1.9, 1, 0)), IF(SUM(IF(INDEX(_xlfn._xlws.FILTER(tblPiNHistorical[[CCCM]:[WASH]],#REF!= M$5), 0, MATCH($Q$2, tblPiNHistorical[[#Headers],[CCCM]:[WASH]], 0))=$H8, 1, 0))=0, "", SUM(IF(INDEX(_xlfn._xlws.FILTER(tblPiNHistorical[[CCCM]:[WASH]],#REF!= M$5), 0, MATCH($Q$2, tblPiNHistorical[[#Headers],[CCCM]:[WASH]], 0))=$H8, 1, 0))))), "")</f>
        <v/>
      </c>
      <c r="Z8" s="169"/>
    </row>
    <row r="9" spans="1:26">
      <c r="A9" s="93">
        <v>0.2</v>
      </c>
      <c r="B9" s="91" cm="1">
        <f t="array" ref="B9">IF($A9="", "", IF(SUM(IF(INDEX(_xlfn._xlws.FILTER(tblPiNAnalysis[[CCCM%]:[WASH%]], tblPiNAnalysis[Population Group]=B$5), 0, MATCH(_xlfn.CONCAT($Q$2, "%"), tblPiNAnalysis[[#Headers],[CCCM%]:[WASH%]], 0))=$A9, 1, 0))=0, "",SUM(IF(INDEX(_xlfn._xlws.FILTER(tblPiNAnalysis[[CCCM%]:[WASH%]], tblPiNAnalysis[Population Group]=B$5), 0, MATCH(_xlfn.CONCAT($Q$2, "%"), tblPiNAnalysis[[#Headers],[CCCM%]:[WASH%]], 0))=$A9, 1, 0))))</f>
        <v>3</v>
      </c>
      <c r="C9" s="91" cm="1">
        <f t="array" ref="C9">IFERROR(IF(OR($A9="", C$5=""), "", IF(SUM(IF(INDEX(_xlfn._xlws.FILTER(tblPiNAnalysis[[CCCM%]:[WASH%]], tblPiNAnalysis[Population Group]=C$5), 0, MATCH(_xlfn.CONCAT($Q$2, "%"), tblPiNAnalysis[[#Headers],[CCCM%]:[WASH%]], 0))=$A9, 1, 0))=0, "",SUM(IF(INDEX(_xlfn._xlws.FILTER(tblPiNAnalysis[[CCCM%]:[WASH%]], tblPiNAnalysis[Population Group]=C$5), 0, MATCH(_xlfn.CONCAT($Q$2, "%"), tblPiNAnalysis[[#Headers],[CCCM%]:[WASH%]], 0))=$A9, 1, 0)))), "")</f>
        <v>3</v>
      </c>
      <c r="D9" s="91" cm="1">
        <f t="array" ref="D9">IFERROR(IF(OR($A9="", D$5=""), "", IF(SUM(IF(INDEX(_xlfn._xlws.FILTER(tblPiNAnalysis[[CCCM%]:[WASH%]], tblPiNAnalysis[Population Group]=D$5), 0, MATCH(_xlfn.CONCAT($Q$2, "%"), tblPiNAnalysis[[#Headers],[CCCM%]:[WASH%]], 0))=$A9, 1, 0))=0, "",SUM(IF(INDEX(_xlfn._xlws.FILTER(tblPiNAnalysis[[CCCM%]:[WASH%]], tblPiNAnalysis[Population Group]=D$5), 0, MATCH(_xlfn.CONCAT($Q$2, "%"), tblPiNAnalysis[[#Headers],[CCCM%]:[WASH%]], 0))=$A9, 1, 0)))), "")</f>
        <v>1</v>
      </c>
      <c r="E9" s="91" t="str" cm="1">
        <f t="array" ref="E9">IFERROR(IF(OR($A9="", E$5=""), "", IF(SUM(IF(INDEX(_xlfn._xlws.FILTER(tblPiNAnalysis[[CCCM%]:[WASH%]], tblPiNAnalysis[Population Group]=E$5), 0, MATCH(_xlfn.CONCAT($Q$2, "%"), tblPiNAnalysis[[#Headers],[CCCM%]:[WASH%]], 0))=$A9, 1, 0))=0, "",SUM(IF(INDEX(_xlfn._xlws.FILTER(tblPiNAnalysis[[CCCM%]:[WASH%]], tblPiNAnalysis[Population Group]=E$5), 0, MATCH(_xlfn.CONCAT($Q$2, "%"), tblPiNAnalysis[[#Headers],[CCCM%]:[WASH%]], 0))=$A9, 1, 0)))), "")</f>
        <v/>
      </c>
      <c r="F9" s="91" t="str" cm="1">
        <f t="array" ref="F9">IFERROR(IF(OR($A9="", F$5=""), "", IF(SUM(IF(INDEX(_xlfn._xlws.FILTER(tblPiNAnalysis[[CCCM%]:[WASH%]], tblPiNAnalysis[CCCM]=F$5), 0, MATCH(_xlfn.CONCAT($Q$2, "%"), tblPiNAnalysis[[#Headers],[CCCM%]:[WASH%]], 0))=$A9, 1, 0))=0, "",SUM(IF(INDEX(_xlfn._xlws.FILTER(tblPiNAnalysis[[CCCM%]:[WASH%]], tblPiNAnalysis[CCCM]=F$5), 0, MATCH(_xlfn.CONCAT($Q$2, "%"), tblPiNAnalysis[[#Headers],[CCCM%]:[WASH%]], 0))=$A9, 1, 0)))), "")</f>
        <v/>
      </c>
      <c r="H9" s="93">
        <v>-0.6</v>
      </c>
      <c r="I9" s="91" cm="1">
        <f t="array" ref="I9">IF($H9="", "", IF($H9=2, SUM(IF(INDEX(_xlfn._xlws.FILTER(tblPiNHistorical[[CCCM]:[WASH]], tblPiNHistorical[Population Group]=I$5), 0, MATCH($Q$2, tblPiNHistorical[[#Headers],[CCCM]:[WASH]], 0))&gt;1.9, 1, 0)), IF(SUM(IF(INDEX(_xlfn._xlws.FILTER(tblPiNHistorical[[CCCM]:[WASH]], tblPiNHistorical[Population Group]=I$5), 0, MATCH($Q$2, tblPiNHistorical[[#Headers],[CCCM]:[WASH]], 0))=$H9, 1, 0))=0, "", SUM(IF(INDEX(_xlfn._xlws.FILTER(tblPiNHistorical[[CCCM]:[WASH]], tblPiNHistorical[Population Group]=I$5), 0, MATCH($Q$2, tblPiNHistorical[[#Headers],[CCCM]:[WASH]], 0))=$H9, 1, 0)))))</f>
        <v>2</v>
      </c>
      <c r="J9" s="91" t="str" cm="1">
        <f t="array" ref="J9">IFERROR(IF(OR($H9="", J8=""), "", IF($H9=2, SUM(IF(INDEX(_xlfn._xlws.FILTER(tblPiNHistorical[[CCCM]:[WASH]], tblPiNHistorical[Population Group]=J$5), 0, MATCH($Q$2, tblPiNHistorical[[#Headers],[CCCM]:[WASH]], 0))&gt;1.9, 1, 0)), IF(SUM(IF(INDEX(_xlfn._xlws.FILTER(tblPiNHistorical[[CCCM]:[WASH]], tblPiNHistorical[Population Group]=J$5), 0, MATCH($Q$2, tblPiNHistorical[[#Headers],[CCCM]:[WASH]], 0))=$H9, 1, 0))=0, "", SUM(IF(INDEX(_xlfn._xlws.FILTER(tblPiNHistorical[[CCCM]:[WASH]], tblPiNHistorical[Population Group]=J$5), 0, MATCH($Q$2, tblPiNHistorical[[#Headers],[CCCM]:[WASH]], 0))=$H9, 1, 0))))), "")</f>
        <v/>
      </c>
      <c r="K9" s="91" t="str" cm="1">
        <f t="array" ref="K9">IFERROR(IF(OR($H9="", K8=""), "", IF($H9=2, SUM(IF(INDEX(_xlfn._xlws.FILTER(tblPiNHistorical[[CCCM]:[WASH]], tblPiNHistorical[CCCM - old]=K$5), 0, MATCH($Q$2, tblPiNHistorical[[#Headers],[CCCM]:[WASH]], 0))&gt;1.9, 1, 0)), IF(SUM(IF(INDEX(_xlfn._xlws.FILTER(tblPiNHistorical[[CCCM]:[WASH]], tblPiNHistorical[CCCM - old]=K$5), 0, MATCH($Q$2, tblPiNHistorical[[#Headers],[CCCM]:[WASH]], 0))=$H9, 1, 0))=0, "", SUM(IF(INDEX(_xlfn._xlws.FILTER(tblPiNHistorical[[CCCM]:[WASH]], tblPiNHistorical[CCCM - old]=K$5), 0, MATCH($Q$2, tblPiNHistorical[[#Headers],[CCCM]:[WASH]], 0))=$H9, 1, 0))))), "")</f>
        <v/>
      </c>
      <c r="L9" s="91" t="str" cm="1">
        <f t="array" ref="L9">IFERROR(IF(OR($H9="", L8=""), "", IF($H9=2, SUM(IF(INDEX(_xlfn._xlws.FILTER(tblPiNHistorical[[CCCM]:[WASH]],#REF!= L$5), 0, MATCH($Q$2, tblPiNHistorical[[#Headers],[CCCM]:[WASH]], 0))&gt;1.9, 1, 0)), IF(SUM(IF(INDEX(_xlfn._xlws.FILTER(tblPiNHistorical[[CCCM]:[WASH]],#REF!= L$5), 0, MATCH($Q$2, tblPiNHistorical[[#Headers],[CCCM]:[WASH]], 0))=$H9, 1, 0))=0, "", SUM(IF(INDEX(_xlfn._xlws.FILTER(tblPiNHistorical[[CCCM]:[WASH]],#REF!= L$5), 0, MATCH($Q$2, tblPiNHistorical[[#Headers],[CCCM]:[WASH]], 0))=$H9, 1, 0))))), "")</f>
        <v/>
      </c>
      <c r="M9" s="91" t="str" cm="1">
        <f t="array" ref="M9">IFERROR(IF(OR($H9="", M8=""), "", IF($H9=2, SUM(IF(INDEX(_xlfn._xlws.FILTER(tblPiNHistorical[[CCCM]:[WASH]],#REF!= M$5), 0, MATCH($Q$2, tblPiNHistorical[[#Headers],[CCCM]:[WASH]], 0))&gt;1.9, 1, 0)), IF(SUM(IF(INDEX(_xlfn._xlws.FILTER(tblPiNHistorical[[CCCM]:[WASH]],#REF!= M$5), 0, MATCH($Q$2, tblPiNHistorical[[#Headers],[CCCM]:[WASH]], 0))=$H9, 1, 0))=0, "", SUM(IF(INDEX(_xlfn._xlws.FILTER(tblPiNHistorical[[CCCM]:[WASH]],#REF!= M$5), 0, MATCH($Q$2, tblPiNHistorical[[#Headers],[CCCM]:[WASH]], 0))=$H9, 1, 0))))), "")</f>
        <v/>
      </c>
      <c r="Z9" s="169"/>
    </row>
    <row r="10" spans="1:26">
      <c r="A10" s="93">
        <v>0.25</v>
      </c>
      <c r="B10" s="91" cm="1">
        <f t="array" ref="B10">IF($A10="", "", IF(SUM(IF(INDEX(_xlfn._xlws.FILTER(tblPiNAnalysis[[CCCM%]:[WASH%]], tblPiNAnalysis[Population Group]=B$5), 0, MATCH(_xlfn.CONCAT($Q$2, "%"), tblPiNAnalysis[[#Headers],[CCCM%]:[WASH%]], 0))=$A10, 1, 0))=0, "",SUM(IF(INDEX(_xlfn._xlws.FILTER(tblPiNAnalysis[[CCCM%]:[WASH%]], tblPiNAnalysis[Population Group]=B$5), 0, MATCH(_xlfn.CONCAT($Q$2, "%"), tblPiNAnalysis[[#Headers],[CCCM%]:[WASH%]], 0))=$A10, 1, 0))))</f>
        <v>1</v>
      </c>
      <c r="C10" s="91" t="str" cm="1">
        <f t="array" ref="C10">IFERROR(IF(OR($A10="", C$5=""), "", IF(SUM(IF(INDEX(_xlfn._xlws.FILTER(tblPiNAnalysis[[CCCM%]:[WASH%]], tblPiNAnalysis[Population Group]=C$5), 0, MATCH(_xlfn.CONCAT($Q$2, "%"), tblPiNAnalysis[[#Headers],[CCCM%]:[WASH%]], 0))=$A10, 1, 0))=0, "",SUM(IF(INDEX(_xlfn._xlws.FILTER(tblPiNAnalysis[[CCCM%]:[WASH%]], tblPiNAnalysis[Population Group]=C$5), 0, MATCH(_xlfn.CONCAT($Q$2, "%"), tblPiNAnalysis[[#Headers],[CCCM%]:[WASH%]], 0))=$A10, 1, 0)))), "")</f>
        <v/>
      </c>
      <c r="D10" s="91" cm="1">
        <f t="array" ref="D10">IFERROR(IF(OR($A10="", D$5=""), "", IF(SUM(IF(INDEX(_xlfn._xlws.FILTER(tblPiNAnalysis[[CCCM%]:[WASH%]], tblPiNAnalysis[Population Group]=D$5), 0, MATCH(_xlfn.CONCAT($Q$2, "%"), tblPiNAnalysis[[#Headers],[CCCM%]:[WASH%]], 0))=$A10, 1, 0))=0, "",SUM(IF(INDEX(_xlfn._xlws.FILTER(tblPiNAnalysis[[CCCM%]:[WASH%]], tblPiNAnalysis[Population Group]=D$5), 0, MATCH(_xlfn.CONCAT($Q$2, "%"), tblPiNAnalysis[[#Headers],[CCCM%]:[WASH%]], 0))=$A10, 1, 0)))), "")</f>
        <v>1</v>
      </c>
      <c r="E10" s="91" t="str" cm="1">
        <f t="array" ref="E10">IFERROR(IF(OR($A10="", E$5=""), "", IF(SUM(IF(INDEX(_xlfn._xlws.FILTER(tblPiNAnalysis[[CCCM%]:[WASH%]], tblPiNAnalysis[Population Group]=E$5), 0, MATCH(_xlfn.CONCAT($Q$2, "%"), tblPiNAnalysis[[#Headers],[CCCM%]:[WASH%]], 0))=$A10, 1, 0))=0, "",SUM(IF(INDEX(_xlfn._xlws.FILTER(tblPiNAnalysis[[CCCM%]:[WASH%]], tblPiNAnalysis[Population Group]=E$5), 0, MATCH(_xlfn.CONCAT($Q$2, "%"), tblPiNAnalysis[[#Headers],[CCCM%]:[WASH%]], 0))=$A10, 1, 0)))), "")</f>
        <v/>
      </c>
      <c r="F10" s="91" t="str" cm="1">
        <f t="array" ref="F10">IFERROR(IF(OR($A10="", F$5=""), "", IF(SUM(IF(INDEX(_xlfn._xlws.FILTER(tblPiNAnalysis[[CCCM%]:[WASH%]], tblPiNAnalysis[CCCM]=F$5), 0, MATCH(_xlfn.CONCAT($Q$2, "%"), tblPiNAnalysis[[#Headers],[CCCM%]:[WASH%]], 0))=$A10, 1, 0))=0, "",SUM(IF(INDEX(_xlfn._xlws.FILTER(tblPiNAnalysis[[CCCM%]:[WASH%]], tblPiNAnalysis[CCCM]=F$5), 0, MATCH(_xlfn.CONCAT($Q$2, "%"), tblPiNAnalysis[[#Headers],[CCCM%]:[WASH%]], 0))=$A10, 1, 0)))), "")</f>
        <v/>
      </c>
      <c r="H10" s="93">
        <v>-0.5</v>
      </c>
      <c r="I10" s="91" cm="1">
        <f t="array" ref="I10">IF($H10="", "", IF($H10=2, SUM(IF(INDEX(_xlfn._xlws.FILTER(tblPiNHistorical[[CCCM]:[WASH]], tblPiNHistorical[Population Group]=I$5), 0, MATCH($Q$2, tblPiNHistorical[[#Headers],[CCCM]:[WASH]], 0))&gt;1.9, 1, 0)), IF(SUM(IF(INDEX(_xlfn._xlws.FILTER(tblPiNHistorical[[CCCM]:[WASH]], tblPiNHistorical[Population Group]=I$5), 0, MATCH($Q$2, tblPiNHistorical[[#Headers],[CCCM]:[WASH]], 0))=$H10, 1, 0))=0, "", SUM(IF(INDEX(_xlfn._xlws.FILTER(tblPiNHistorical[[CCCM]:[WASH]], tblPiNHistorical[Population Group]=I$5), 0, MATCH($Q$2, tblPiNHistorical[[#Headers],[CCCM]:[WASH]], 0))=$H10, 1, 0)))))</f>
        <v>3</v>
      </c>
      <c r="J10" s="91" t="str" cm="1">
        <f t="array" ref="J10">IFERROR(IF(OR($H10="", J9=""), "", IF($H10=2, SUM(IF(INDEX(_xlfn._xlws.FILTER(tblPiNHistorical[[CCCM]:[WASH]], tblPiNHistorical[Population Group]=J$5), 0, MATCH($Q$2, tblPiNHistorical[[#Headers],[CCCM]:[WASH]], 0))&gt;1.9, 1, 0)), IF(SUM(IF(INDEX(_xlfn._xlws.FILTER(tblPiNHistorical[[CCCM]:[WASH]], tblPiNHistorical[Population Group]=J$5), 0, MATCH($Q$2, tblPiNHistorical[[#Headers],[CCCM]:[WASH]], 0))=$H10, 1, 0))=0, "", SUM(IF(INDEX(_xlfn._xlws.FILTER(tblPiNHistorical[[CCCM]:[WASH]], tblPiNHistorical[Population Group]=J$5), 0, MATCH($Q$2, tblPiNHistorical[[#Headers],[CCCM]:[WASH]], 0))=$H10, 1, 0))))), "")</f>
        <v/>
      </c>
      <c r="K10" s="91" t="str" cm="1">
        <f t="array" ref="K10">IFERROR(IF(OR($H10="", K9=""), "", IF($H10=2, SUM(IF(INDEX(_xlfn._xlws.FILTER(tblPiNHistorical[[CCCM]:[WASH]], tblPiNHistorical[CCCM - old]=K$5), 0, MATCH($Q$2, tblPiNHistorical[[#Headers],[CCCM]:[WASH]], 0))&gt;1.9, 1, 0)), IF(SUM(IF(INDEX(_xlfn._xlws.FILTER(tblPiNHistorical[[CCCM]:[WASH]], tblPiNHistorical[CCCM - old]=K$5), 0, MATCH($Q$2, tblPiNHistorical[[#Headers],[CCCM]:[WASH]], 0))=$H10, 1, 0))=0, "", SUM(IF(INDEX(_xlfn._xlws.FILTER(tblPiNHistorical[[CCCM]:[WASH]], tblPiNHistorical[CCCM - old]=K$5), 0, MATCH($Q$2, tblPiNHistorical[[#Headers],[CCCM]:[WASH]], 0))=$H10, 1, 0))))), "")</f>
        <v/>
      </c>
      <c r="L10" s="91" t="str" cm="1">
        <f t="array" ref="L10">IFERROR(IF(OR($H10="", L9=""), "", IF($H10=2, SUM(IF(INDEX(_xlfn._xlws.FILTER(tblPiNHistorical[[CCCM]:[WASH]],#REF!= L$5), 0, MATCH($Q$2, tblPiNHistorical[[#Headers],[CCCM]:[WASH]], 0))&gt;1.9, 1, 0)), IF(SUM(IF(INDEX(_xlfn._xlws.FILTER(tblPiNHistorical[[CCCM]:[WASH]],#REF!= L$5), 0, MATCH($Q$2, tblPiNHistorical[[#Headers],[CCCM]:[WASH]], 0))=$H10, 1, 0))=0, "", SUM(IF(INDEX(_xlfn._xlws.FILTER(tblPiNHistorical[[CCCM]:[WASH]],#REF!= L$5), 0, MATCH($Q$2, tblPiNHistorical[[#Headers],[CCCM]:[WASH]], 0))=$H10, 1, 0))))), "")</f>
        <v/>
      </c>
      <c r="M10" s="91" t="str" cm="1">
        <f t="array" ref="M10">IFERROR(IF(OR($H10="", M9=""), "", IF($H10=2, SUM(IF(INDEX(_xlfn._xlws.FILTER(tblPiNHistorical[[CCCM]:[WASH]],#REF!= M$5), 0, MATCH($Q$2, tblPiNHistorical[[#Headers],[CCCM]:[WASH]], 0))&gt;1.9, 1, 0)), IF(SUM(IF(INDEX(_xlfn._xlws.FILTER(tblPiNHistorical[[CCCM]:[WASH]],#REF!= M$5), 0, MATCH($Q$2, tblPiNHistorical[[#Headers],[CCCM]:[WASH]], 0))=$H10, 1, 0))=0, "", SUM(IF(INDEX(_xlfn._xlws.FILTER(tblPiNHistorical[[CCCM]:[WASH]],#REF!= M$5), 0, MATCH($Q$2, tblPiNHistorical[[#Headers],[CCCM]:[WASH]], 0))=$H10, 1, 0))))), "")</f>
        <v/>
      </c>
      <c r="Z10" s="169"/>
    </row>
    <row r="11" spans="1:26">
      <c r="A11" s="93">
        <v>0.30000000000000004</v>
      </c>
      <c r="B11" s="91" t="str" cm="1">
        <f t="array" ref="B11">IF($A11="", "", IF(SUM(IF(INDEX(_xlfn._xlws.FILTER(tblPiNAnalysis[[CCCM%]:[WASH%]], tblPiNAnalysis[Population Group]=B$5), 0, MATCH(_xlfn.CONCAT($Q$2, "%"), tblPiNAnalysis[[#Headers],[CCCM%]:[WASH%]], 0))=$A11, 1, 0))=0, "",SUM(IF(INDEX(_xlfn._xlws.FILTER(tblPiNAnalysis[[CCCM%]:[WASH%]], tblPiNAnalysis[Population Group]=B$5), 0, MATCH(_xlfn.CONCAT($Q$2, "%"), tblPiNAnalysis[[#Headers],[CCCM%]:[WASH%]], 0))=$A11, 1, 0))))</f>
        <v/>
      </c>
      <c r="C11" s="91" t="str" cm="1">
        <f t="array" ref="C11">IFERROR(IF(OR($A11="", C$5=""), "", IF(SUM(IF(INDEX(_xlfn._xlws.FILTER(tblPiNAnalysis[[CCCM%]:[WASH%]], tblPiNAnalysis[Population Group]=C$5), 0, MATCH(_xlfn.CONCAT($Q$2, "%"), tblPiNAnalysis[[#Headers],[CCCM%]:[WASH%]], 0))=$A11, 1, 0))=0, "",SUM(IF(INDEX(_xlfn._xlws.FILTER(tblPiNAnalysis[[CCCM%]:[WASH%]], tblPiNAnalysis[Population Group]=C$5), 0, MATCH(_xlfn.CONCAT($Q$2, "%"), tblPiNAnalysis[[#Headers],[CCCM%]:[WASH%]], 0))=$A11, 1, 0)))), "")</f>
        <v/>
      </c>
      <c r="D11" s="91" cm="1">
        <f t="array" ref="D11">IFERROR(IF(OR($A11="", D$5=""), "", IF(SUM(IF(INDEX(_xlfn._xlws.FILTER(tblPiNAnalysis[[CCCM%]:[WASH%]], tblPiNAnalysis[Population Group]=D$5), 0, MATCH(_xlfn.CONCAT($Q$2, "%"), tblPiNAnalysis[[#Headers],[CCCM%]:[WASH%]], 0))=$A11, 1, 0))=0, "",SUM(IF(INDEX(_xlfn._xlws.FILTER(tblPiNAnalysis[[CCCM%]:[WASH%]], tblPiNAnalysis[Population Group]=D$5), 0, MATCH(_xlfn.CONCAT($Q$2, "%"), tblPiNAnalysis[[#Headers],[CCCM%]:[WASH%]], 0))=$A11, 1, 0)))), "")</f>
        <v>1</v>
      </c>
      <c r="E11" s="91" t="str" cm="1">
        <f t="array" ref="E11">IFERROR(IF(OR($A11="", E$5=""), "", IF(SUM(IF(INDEX(_xlfn._xlws.FILTER(tblPiNAnalysis[[CCCM%]:[WASH%]], tblPiNAnalysis[Population Group]=E$5), 0, MATCH(_xlfn.CONCAT($Q$2, "%"), tblPiNAnalysis[[#Headers],[CCCM%]:[WASH%]], 0))=$A11, 1, 0))=0, "",SUM(IF(INDEX(_xlfn._xlws.FILTER(tblPiNAnalysis[[CCCM%]:[WASH%]], tblPiNAnalysis[Population Group]=E$5), 0, MATCH(_xlfn.CONCAT($Q$2, "%"), tblPiNAnalysis[[#Headers],[CCCM%]:[WASH%]], 0))=$A11, 1, 0)))), "")</f>
        <v/>
      </c>
      <c r="F11" s="91" t="str" cm="1">
        <f t="array" ref="F11">IFERROR(IF(OR($A11="", F$5=""), "", IF(SUM(IF(INDEX(_xlfn._xlws.FILTER(tblPiNAnalysis[[CCCM%]:[WASH%]], tblPiNAnalysis[CCCM]=F$5), 0, MATCH(_xlfn.CONCAT($Q$2, "%"), tblPiNAnalysis[[#Headers],[CCCM%]:[WASH%]], 0))=$A11, 1, 0))=0, "",SUM(IF(INDEX(_xlfn._xlws.FILTER(tblPiNAnalysis[[CCCM%]:[WASH%]], tblPiNAnalysis[CCCM]=F$5), 0, MATCH(_xlfn.CONCAT($Q$2, "%"), tblPiNAnalysis[[#Headers],[CCCM%]:[WASH%]], 0))=$A11, 1, 0)))), "")</f>
        <v/>
      </c>
      <c r="H11" s="93">
        <v>-0.4</v>
      </c>
      <c r="I11" s="91" cm="1">
        <f t="array" ref="I11">IF($H11="", "", IF($H11=2, SUM(IF(INDEX(_xlfn._xlws.FILTER(tblPiNHistorical[[CCCM]:[WASH]], tblPiNHistorical[Population Group]=I$5), 0, MATCH($Q$2, tblPiNHistorical[[#Headers],[CCCM]:[WASH]], 0))&gt;1.9, 1, 0)), IF(SUM(IF(INDEX(_xlfn._xlws.FILTER(tblPiNHistorical[[CCCM]:[WASH]], tblPiNHistorical[Population Group]=I$5), 0, MATCH($Q$2, tblPiNHistorical[[#Headers],[CCCM]:[WASH]], 0))=$H11, 1, 0))=0, "", SUM(IF(INDEX(_xlfn._xlws.FILTER(tblPiNHistorical[[CCCM]:[WASH]], tblPiNHistorical[Population Group]=I$5), 0, MATCH($Q$2, tblPiNHistorical[[#Headers],[CCCM]:[WASH]], 0))=$H11, 1, 0)))))</f>
        <v>1</v>
      </c>
      <c r="J11" s="91" t="str" cm="1">
        <f t="array" ref="J11">IFERROR(IF(OR($H11="", J10=""), "", IF($H11=2, SUM(IF(INDEX(_xlfn._xlws.FILTER(tblPiNHistorical[[CCCM]:[WASH]], tblPiNHistorical[Population Group]=J$5), 0, MATCH($Q$2, tblPiNHistorical[[#Headers],[CCCM]:[WASH]], 0))&gt;1.9, 1, 0)), IF(SUM(IF(INDEX(_xlfn._xlws.FILTER(tblPiNHistorical[[CCCM]:[WASH]], tblPiNHistorical[Population Group]=J$5), 0, MATCH($Q$2, tblPiNHistorical[[#Headers],[CCCM]:[WASH]], 0))=$H11, 1, 0))=0, "", SUM(IF(INDEX(_xlfn._xlws.FILTER(tblPiNHistorical[[CCCM]:[WASH]], tblPiNHistorical[Population Group]=J$5), 0, MATCH($Q$2, tblPiNHistorical[[#Headers],[CCCM]:[WASH]], 0))=$H11, 1, 0))))), "")</f>
        <v/>
      </c>
      <c r="K11" s="91" t="str" cm="1">
        <f t="array" ref="K11">IFERROR(IF(OR($H11="", K10=""), "", IF($H11=2, SUM(IF(INDEX(_xlfn._xlws.FILTER(tblPiNHistorical[[CCCM]:[WASH]], tblPiNHistorical[CCCM - old]=K$5), 0, MATCH($Q$2, tblPiNHistorical[[#Headers],[CCCM]:[WASH]], 0))&gt;1.9, 1, 0)), IF(SUM(IF(INDEX(_xlfn._xlws.FILTER(tblPiNHistorical[[CCCM]:[WASH]], tblPiNHistorical[CCCM - old]=K$5), 0, MATCH($Q$2, tblPiNHistorical[[#Headers],[CCCM]:[WASH]], 0))=$H11, 1, 0))=0, "", SUM(IF(INDEX(_xlfn._xlws.FILTER(tblPiNHistorical[[CCCM]:[WASH]], tblPiNHistorical[CCCM - old]=K$5), 0, MATCH($Q$2, tblPiNHistorical[[#Headers],[CCCM]:[WASH]], 0))=$H11, 1, 0))))), "")</f>
        <v/>
      </c>
      <c r="L11" s="91" t="str" cm="1">
        <f t="array" ref="L11">IFERROR(IF(OR($H11="", L10=""), "", IF($H11=2, SUM(IF(INDEX(_xlfn._xlws.FILTER(tblPiNHistorical[[CCCM]:[WASH]],#REF!= L$5), 0, MATCH($Q$2, tblPiNHistorical[[#Headers],[CCCM]:[WASH]], 0))&gt;1.9, 1, 0)), IF(SUM(IF(INDEX(_xlfn._xlws.FILTER(tblPiNHistorical[[CCCM]:[WASH]],#REF!= L$5), 0, MATCH($Q$2, tblPiNHistorical[[#Headers],[CCCM]:[WASH]], 0))=$H11, 1, 0))=0, "", SUM(IF(INDEX(_xlfn._xlws.FILTER(tblPiNHistorical[[CCCM]:[WASH]],#REF!= L$5), 0, MATCH($Q$2, tblPiNHistorical[[#Headers],[CCCM]:[WASH]], 0))=$H11, 1, 0))))), "")</f>
        <v/>
      </c>
      <c r="M11" s="91" t="str" cm="1">
        <f t="array" ref="M11">IFERROR(IF(OR($H11="", M10=""), "", IF($H11=2, SUM(IF(INDEX(_xlfn._xlws.FILTER(tblPiNHistorical[[CCCM]:[WASH]],#REF!= M$5), 0, MATCH($Q$2, tblPiNHistorical[[#Headers],[CCCM]:[WASH]], 0))&gt;1.9, 1, 0)), IF(SUM(IF(INDEX(_xlfn._xlws.FILTER(tblPiNHistorical[[CCCM]:[WASH]],#REF!= M$5), 0, MATCH($Q$2, tblPiNHistorical[[#Headers],[CCCM]:[WASH]], 0))=$H11, 1, 0))=0, "", SUM(IF(INDEX(_xlfn._xlws.FILTER(tblPiNHistorical[[CCCM]:[WASH]],#REF!= M$5), 0, MATCH($Q$2, tblPiNHistorical[[#Headers],[CCCM]:[WASH]], 0))=$H11, 1, 0))))), "")</f>
        <v/>
      </c>
      <c r="Z11" s="169"/>
    </row>
    <row r="12" spans="1:26">
      <c r="A12" s="93" t="str">
        <v/>
      </c>
      <c r="B12" s="91" t="str" cm="1">
        <f t="array" ref="B12">IF($A12="", "", IF(SUM(IF(INDEX(_xlfn._xlws.FILTER(tblPiNAnalysis[[CCCM%]:[WASH%]], tblPiNAnalysis[Population Group]=B$5), 0, MATCH(_xlfn.CONCAT($Q$2, "%"), tblPiNAnalysis[[#Headers],[CCCM%]:[WASH%]], 0))=$A12, 1, 0))=0, "",SUM(IF(INDEX(_xlfn._xlws.FILTER(tblPiNAnalysis[[CCCM%]:[WASH%]], tblPiNAnalysis[Population Group]=B$5), 0, MATCH(_xlfn.CONCAT($Q$2, "%"), tblPiNAnalysis[[#Headers],[CCCM%]:[WASH%]], 0))=$A12, 1, 0))))</f>
        <v/>
      </c>
      <c r="C12" s="91" t="str" cm="1">
        <f t="array" ref="C12">IFERROR(IF(OR($A12="", C$5=""), "", IF(SUM(IF(INDEX(_xlfn._xlws.FILTER(tblPiNAnalysis[[CCCM%]:[WASH%]], tblPiNAnalysis[Population Group]=C$5), 0, MATCH(_xlfn.CONCAT($Q$2, "%"), tblPiNAnalysis[[#Headers],[CCCM%]:[WASH%]], 0))=$A12, 1, 0))=0, "",SUM(IF(INDEX(_xlfn._xlws.FILTER(tblPiNAnalysis[[CCCM%]:[WASH%]], tblPiNAnalysis[Population Group]=C$5), 0, MATCH(_xlfn.CONCAT($Q$2, "%"), tblPiNAnalysis[[#Headers],[CCCM%]:[WASH%]], 0))=$A12, 1, 0)))), "")</f>
        <v/>
      </c>
      <c r="D12" s="91" t="str" cm="1">
        <f t="array" ref="D12">IFERROR(IF(OR($A12="", D$5=""), "", IF(SUM(IF(INDEX(_xlfn._xlws.FILTER(tblPiNAnalysis[[CCCM%]:[WASH%]], tblPiNAnalysis[Population Group]=D$5), 0, MATCH(_xlfn.CONCAT($Q$2, "%"), tblPiNAnalysis[[#Headers],[CCCM%]:[WASH%]], 0))=$A12, 1, 0))=0, "",SUM(IF(INDEX(_xlfn._xlws.FILTER(tblPiNAnalysis[[CCCM%]:[WASH%]], tblPiNAnalysis[Population Group]=D$5), 0, MATCH(_xlfn.CONCAT($Q$2, "%"), tblPiNAnalysis[[#Headers],[CCCM%]:[WASH%]], 0))=$A12, 1, 0)))), "")</f>
        <v/>
      </c>
      <c r="E12" s="91" t="str" cm="1">
        <f t="array" ref="E12">IFERROR(IF(OR($A12="", E$5=""), "", IF(SUM(IF(INDEX(_xlfn._xlws.FILTER(tblPiNAnalysis[[CCCM%]:[WASH%]], tblPiNAnalysis[Population Group]=E$5), 0, MATCH(_xlfn.CONCAT($Q$2, "%"), tblPiNAnalysis[[#Headers],[CCCM%]:[WASH%]], 0))=$A12, 1, 0))=0, "",SUM(IF(INDEX(_xlfn._xlws.FILTER(tblPiNAnalysis[[CCCM%]:[WASH%]], tblPiNAnalysis[Population Group]=E$5), 0, MATCH(_xlfn.CONCAT($Q$2, "%"), tblPiNAnalysis[[#Headers],[CCCM%]:[WASH%]], 0))=$A12, 1, 0)))), "")</f>
        <v/>
      </c>
      <c r="F12" s="91" t="str" cm="1">
        <f t="array" ref="F12">IFERROR(IF(OR($A12="", F$5=""), "", IF(SUM(IF(INDEX(_xlfn._xlws.FILTER(tblPiNAnalysis[[CCCM%]:[WASH%]], tblPiNAnalysis[CCCM]=F$5), 0, MATCH(_xlfn.CONCAT($Q$2, "%"), tblPiNAnalysis[[#Headers],[CCCM%]:[WASH%]], 0))=$A12, 1, 0))=0, "",SUM(IF(INDEX(_xlfn._xlws.FILTER(tblPiNAnalysis[[CCCM%]:[WASH%]], tblPiNAnalysis[CCCM]=F$5), 0, MATCH(_xlfn.CONCAT($Q$2, "%"), tblPiNAnalysis[[#Headers],[CCCM%]:[WASH%]], 0))=$A12, 1, 0)))), "")</f>
        <v/>
      </c>
      <c r="H12" s="93">
        <v>-0.3</v>
      </c>
      <c r="I12" s="91" t="str" cm="1">
        <f t="array" ref="I12">IF($H12="", "", IF($H12=2, SUM(IF(INDEX(_xlfn._xlws.FILTER(tblPiNHistorical[[CCCM]:[WASH]], tblPiNHistorical[Population Group]=I$5), 0, MATCH($Q$2, tblPiNHistorical[[#Headers],[CCCM]:[WASH]], 0))&gt;1.9, 1, 0)), IF(SUM(IF(INDEX(_xlfn._xlws.FILTER(tblPiNHistorical[[CCCM]:[WASH]], tblPiNHistorical[Population Group]=I$5), 0, MATCH($Q$2, tblPiNHistorical[[#Headers],[CCCM]:[WASH]], 0))=$H12, 1, 0))=0, "", SUM(IF(INDEX(_xlfn._xlws.FILTER(tblPiNHistorical[[CCCM]:[WASH]], tblPiNHistorical[Population Group]=I$5), 0, MATCH($Q$2, tblPiNHistorical[[#Headers],[CCCM]:[WASH]], 0))=$H12, 1, 0)))))</f>
        <v/>
      </c>
      <c r="J12" s="91" t="str" cm="1">
        <f t="array" ref="J12">IFERROR(IF(OR($H12="", J11=""), "", IF($H12=2, SUM(IF(INDEX(_xlfn._xlws.FILTER(tblPiNHistorical[[CCCM]:[WASH]], tblPiNHistorical[Population Group]=J$5), 0, MATCH($Q$2, tblPiNHistorical[[#Headers],[CCCM]:[WASH]], 0))&gt;1.9, 1, 0)), IF(SUM(IF(INDEX(_xlfn._xlws.FILTER(tblPiNHistorical[[CCCM]:[WASH]], tblPiNHistorical[Population Group]=J$5), 0, MATCH($Q$2, tblPiNHistorical[[#Headers],[CCCM]:[WASH]], 0))=$H12, 1, 0))=0, "", SUM(IF(INDEX(_xlfn._xlws.FILTER(tblPiNHistorical[[CCCM]:[WASH]], tblPiNHistorical[Population Group]=J$5), 0, MATCH($Q$2, tblPiNHistorical[[#Headers],[CCCM]:[WASH]], 0))=$H12, 1, 0))))), "")</f>
        <v/>
      </c>
      <c r="K12" s="91" t="str" cm="1">
        <f t="array" ref="K12">IFERROR(IF(OR($H12="", K11=""), "", IF($H12=2, SUM(IF(INDEX(_xlfn._xlws.FILTER(tblPiNHistorical[[CCCM]:[WASH]], tblPiNHistorical[CCCM - old]=K$5), 0, MATCH($Q$2, tblPiNHistorical[[#Headers],[CCCM]:[WASH]], 0))&gt;1.9, 1, 0)), IF(SUM(IF(INDEX(_xlfn._xlws.FILTER(tblPiNHistorical[[CCCM]:[WASH]], tblPiNHistorical[CCCM - old]=K$5), 0, MATCH($Q$2, tblPiNHistorical[[#Headers],[CCCM]:[WASH]], 0))=$H12, 1, 0))=0, "", SUM(IF(INDEX(_xlfn._xlws.FILTER(tblPiNHistorical[[CCCM]:[WASH]], tblPiNHistorical[CCCM - old]=K$5), 0, MATCH($Q$2, tblPiNHistorical[[#Headers],[CCCM]:[WASH]], 0))=$H12, 1, 0))))), "")</f>
        <v/>
      </c>
      <c r="L12" s="91" t="str" cm="1">
        <f t="array" ref="L12">IFERROR(IF(OR($H12="", L11=""), "", IF($H12=2, SUM(IF(INDEX(_xlfn._xlws.FILTER(tblPiNHistorical[[CCCM]:[WASH]],#REF!= L$5), 0, MATCH($Q$2, tblPiNHistorical[[#Headers],[CCCM]:[WASH]], 0))&gt;1.9, 1, 0)), IF(SUM(IF(INDEX(_xlfn._xlws.FILTER(tblPiNHistorical[[CCCM]:[WASH]],#REF!= L$5), 0, MATCH($Q$2, tblPiNHistorical[[#Headers],[CCCM]:[WASH]], 0))=$H12, 1, 0))=0, "", SUM(IF(INDEX(_xlfn._xlws.FILTER(tblPiNHistorical[[CCCM]:[WASH]],#REF!= L$5), 0, MATCH($Q$2, tblPiNHistorical[[#Headers],[CCCM]:[WASH]], 0))=$H12, 1, 0))))), "")</f>
        <v/>
      </c>
      <c r="M12" s="91" t="str" cm="1">
        <f t="array" ref="M12">IFERROR(IF(OR($H12="", M11=""), "", IF($H12=2, SUM(IF(INDEX(_xlfn._xlws.FILTER(tblPiNHistorical[[CCCM]:[WASH]],#REF!= M$5), 0, MATCH($Q$2, tblPiNHistorical[[#Headers],[CCCM]:[WASH]], 0))&gt;1.9, 1, 0)), IF(SUM(IF(INDEX(_xlfn._xlws.FILTER(tblPiNHistorical[[CCCM]:[WASH]],#REF!= M$5), 0, MATCH($Q$2, tblPiNHistorical[[#Headers],[CCCM]:[WASH]], 0))=$H12, 1, 0))=0, "", SUM(IF(INDEX(_xlfn._xlws.FILTER(tblPiNHistorical[[CCCM]:[WASH]],#REF!= M$5), 0, MATCH($Q$2, tblPiNHistorical[[#Headers],[CCCM]:[WASH]], 0))=$H12, 1, 0))))), "")</f>
        <v/>
      </c>
      <c r="Z12" s="169"/>
    </row>
    <row r="13" spans="1:26">
      <c r="A13" s="93"/>
      <c r="B13" s="91" t="str" cm="1">
        <f t="array" ref="B13">IF($A13="", "", IF(SUM(IF(INDEX(_xlfn._xlws.FILTER(tblPiNAnalysis[[CCCM%]:[WASH%]], tblPiNAnalysis[Population Group]=B$5), 0, MATCH(_xlfn.CONCAT($Q$2, "%"), tblPiNAnalysis[[#Headers],[CCCM%]:[WASH%]], 0))=$A13, 1, 0))=0, "",SUM(IF(INDEX(_xlfn._xlws.FILTER(tblPiNAnalysis[[CCCM%]:[WASH%]], tblPiNAnalysis[Population Group]=B$5), 0, MATCH(_xlfn.CONCAT($Q$2, "%"), tblPiNAnalysis[[#Headers],[CCCM%]:[WASH%]], 0))=$A13, 1, 0))))</f>
        <v/>
      </c>
      <c r="C13" s="91" t="str" cm="1">
        <f t="array" ref="C13">IFERROR(IF(OR($A13="", C$5=""), "", IF(SUM(IF(INDEX(_xlfn._xlws.FILTER(tblPiNAnalysis[[CCCM%]:[WASH%]], tblPiNAnalysis[Population Group]=C$5), 0, MATCH(_xlfn.CONCAT($Q$2, "%"), tblPiNAnalysis[[#Headers],[CCCM%]:[WASH%]], 0))=$A13, 1, 0))=0, "",SUM(IF(INDEX(_xlfn._xlws.FILTER(tblPiNAnalysis[[CCCM%]:[WASH%]], tblPiNAnalysis[Population Group]=C$5), 0, MATCH(_xlfn.CONCAT($Q$2, "%"), tblPiNAnalysis[[#Headers],[CCCM%]:[WASH%]], 0))=$A13, 1, 0)))), "")</f>
        <v/>
      </c>
      <c r="D13" s="91" t="str" cm="1">
        <f t="array" ref="D13">IFERROR(IF(OR($A13="", D$5=""), "", IF(SUM(IF(INDEX(_xlfn._xlws.FILTER(tblPiNAnalysis[[CCCM%]:[WASH%]], tblPiNAnalysis[Population Group]=D$5), 0, MATCH(_xlfn.CONCAT($Q$2, "%"), tblPiNAnalysis[[#Headers],[CCCM%]:[WASH%]], 0))=$A13, 1, 0))=0, "",SUM(IF(INDEX(_xlfn._xlws.FILTER(tblPiNAnalysis[[CCCM%]:[WASH%]], tblPiNAnalysis[Population Group]=D$5), 0, MATCH(_xlfn.CONCAT($Q$2, "%"), tblPiNAnalysis[[#Headers],[CCCM%]:[WASH%]], 0))=$A13, 1, 0)))), "")</f>
        <v/>
      </c>
      <c r="E13" s="91" t="str" cm="1">
        <f t="array" ref="E13">IFERROR(IF(OR($A13="", E$5=""), "", IF(SUM(IF(INDEX(_xlfn._xlws.FILTER(tblPiNAnalysis[[CCCM%]:[WASH%]], tblPiNAnalysis[Population Group]=E$5), 0, MATCH(_xlfn.CONCAT($Q$2, "%"), tblPiNAnalysis[[#Headers],[CCCM%]:[WASH%]], 0))=$A13, 1, 0))=0, "",SUM(IF(INDEX(_xlfn._xlws.FILTER(tblPiNAnalysis[[CCCM%]:[WASH%]], tblPiNAnalysis[Population Group]=E$5), 0, MATCH(_xlfn.CONCAT($Q$2, "%"), tblPiNAnalysis[[#Headers],[CCCM%]:[WASH%]], 0))=$A13, 1, 0)))), "")</f>
        <v/>
      </c>
      <c r="F13" s="91" t="str" cm="1">
        <f t="array" ref="F13">IFERROR(IF(OR($A13="", F$5=""), "", IF(SUM(IF(INDEX(_xlfn._xlws.FILTER(tblPiNAnalysis[[CCCM%]:[WASH%]], tblPiNAnalysis[CCCM]=F$5), 0, MATCH(_xlfn.CONCAT($Q$2, "%"), tblPiNAnalysis[[#Headers],[CCCM%]:[WASH%]], 0))=$A13, 1, 0))=0, "",SUM(IF(INDEX(_xlfn._xlws.FILTER(tblPiNAnalysis[[CCCM%]:[WASH%]], tblPiNAnalysis[CCCM]=F$5), 0, MATCH(_xlfn.CONCAT($Q$2, "%"), tblPiNAnalysis[[#Headers],[CCCM%]:[WASH%]], 0))=$A13, 1, 0)))), "")</f>
        <v/>
      </c>
      <c r="H13" s="93">
        <v>-0.2</v>
      </c>
      <c r="I13" s="91" t="str" cm="1">
        <f t="array" ref="I13">IF($H13="", "", IF($H13=2, SUM(IF(INDEX(_xlfn._xlws.FILTER(tblPiNHistorical[[CCCM]:[WASH]], tblPiNHistorical[Population Group]=I$5), 0, MATCH($Q$2, tblPiNHistorical[[#Headers],[CCCM]:[WASH]], 0))&gt;1.9, 1, 0)), IF(SUM(IF(INDEX(_xlfn._xlws.FILTER(tblPiNHistorical[[CCCM]:[WASH]], tblPiNHistorical[Population Group]=I$5), 0, MATCH($Q$2, tblPiNHistorical[[#Headers],[CCCM]:[WASH]], 0))=$H13, 1, 0))=0, "", SUM(IF(INDEX(_xlfn._xlws.FILTER(tblPiNHistorical[[CCCM]:[WASH]], tblPiNHistorical[Population Group]=I$5), 0, MATCH($Q$2, tblPiNHistorical[[#Headers],[CCCM]:[WASH]], 0))=$H13, 1, 0)))))</f>
        <v/>
      </c>
      <c r="J13" s="91" t="str" cm="1">
        <f t="array" ref="J13">IFERROR(IF(OR($H13="", J12=""), "", IF($H13=2, SUM(IF(INDEX(_xlfn._xlws.FILTER(tblPiNHistorical[[CCCM]:[WASH]], tblPiNHistorical[Population Group]=J$5), 0, MATCH($Q$2, tblPiNHistorical[[#Headers],[CCCM]:[WASH]], 0))&gt;1.9, 1, 0)), IF(SUM(IF(INDEX(_xlfn._xlws.FILTER(tblPiNHistorical[[CCCM]:[WASH]], tblPiNHistorical[Population Group]=J$5), 0, MATCH($Q$2, tblPiNHistorical[[#Headers],[CCCM]:[WASH]], 0))=$H13, 1, 0))=0, "", SUM(IF(INDEX(_xlfn._xlws.FILTER(tblPiNHistorical[[CCCM]:[WASH]], tblPiNHistorical[Population Group]=J$5), 0, MATCH($Q$2, tblPiNHistorical[[#Headers],[CCCM]:[WASH]], 0))=$H13, 1, 0))))), "")</f>
        <v/>
      </c>
      <c r="K13" s="91" t="str" cm="1">
        <f t="array" ref="K13">IFERROR(IF(OR($H13="", K12=""), "", IF($H13=2, SUM(IF(INDEX(_xlfn._xlws.FILTER(tblPiNHistorical[[CCCM]:[WASH]], tblPiNHistorical[CCCM - old]=K$5), 0, MATCH($Q$2, tblPiNHistorical[[#Headers],[CCCM]:[WASH]], 0))&gt;1.9, 1, 0)), IF(SUM(IF(INDEX(_xlfn._xlws.FILTER(tblPiNHistorical[[CCCM]:[WASH]], tblPiNHistorical[CCCM - old]=K$5), 0, MATCH($Q$2, tblPiNHistorical[[#Headers],[CCCM]:[WASH]], 0))=$H13, 1, 0))=0, "", SUM(IF(INDEX(_xlfn._xlws.FILTER(tblPiNHistorical[[CCCM]:[WASH]], tblPiNHistorical[CCCM - old]=K$5), 0, MATCH($Q$2, tblPiNHistorical[[#Headers],[CCCM]:[WASH]], 0))=$H13, 1, 0))))), "")</f>
        <v/>
      </c>
      <c r="L13" s="91" t="str" cm="1">
        <f t="array" ref="L13">IFERROR(IF(OR($H13="", L12=""), "", IF($H13=2, SUM(IF(INDEX(_xlfn._xlws.FILTER(tblPiNHistorical[[CCCM]:[WASH]],#REF!= L$5), 0, MATCH($Q$2, tblPiNHistorical[[#Headers],[CCCM]:[WASH]], 0))&gt;1.9, 1, 0)), IF(SUM(IF(INDEX(_xlfn._xlws.FILTER(tblPiNHistorical[[CCCM]:[WASH]],#REF!= L$5), 0, MATCH($Q$2, tblPiNHistorical[[#Headers],[CCCM]:[WASH]], 0))=$H13, 1, 0))=0, "", SUM(IF(INDEX(_xlfn._xlws.FILTER(tblPiNHistorical[[CCCM]:[WASH]],#REF!= L$5), 0, MATCH($Q$2, tblPiNHistorical[[#Headers],[CCCM]:[WASH]], 0))=$H13, 1, 0))))), "")</f>
        <v/>
      </c>
      <c r="M13" s="91" t="str" cm="1">
        <f t="array" ref="M13">IFERROR(IF(OR($H13="", M12=""), "", IF($H13=2, SUM(IF(INDEX(_xlfn._xlws.FILTER(tblPiNHistorical[[CCCM]:[WASH]],#REF!= M$5), 0, MATCH($Q$2, tblPiNHistorical[[#Headers],[CCCM]:[WASH]], 0))&gt;1.9, 1, 0)), IF(SUM(IF(INDEX(_xlfn._xlws.FILTER(tblPiNHistorical[[CCCM]:[WASH]],#REF!= M$5), 0, MATCH($Q$2, tblPiNHistorical[[#Headers],[CCCM]:[WASH]], 0))=$H13, 1, 0))=0, "", SUM(IF(INDEX(_xlfn._xlws.FILTER(tblPiNHistorical[[CCCM]:[WASH]],#REF!= M$5), 0, MATCH($Q$2, tblPiNHistorical[[#Headers],[CCCM]:[WASH]], 0))=$H13, 1, 0))))), "")</f>
        <v/>
      </c>
      <c r="Z13" s="169"/>
    </row>
    <row r="14" spans="1:26">
      <c r="A14" s="93"/>
      <c r="B14" s="91" t="str" cm="1">
        <f t="array" ref="B14">IF($A14="", "", IF(SUM(IF(INDEX(_xlfn._xlws.FILTER(tblPiNAnalysis[[CCCM%]:[WASH%]], tblPiNAnalysis[Population Group]=B$5), 0, MATCH(_xlfn.CONCAT($Q$2, "%"), tblPiNAnalysis[[#Headers],[CCCM%]:[WASH%]], 0))=$A14, 1, 0))=0, "",SUM(IF(INDEX(_xlfn._xlws.FILTER(tblPiNAnalysis[[CCCM%]:[WASH%]], tblPiNAnalysis[Population Group]=B$5), 0, MATCH(_xlfn.CONCAT($Q$2, "%"), tblPiNAnalysis[[#Headers],[CCCM%]:[WASH%]], 0))=$A14, 1, 0))))</f>
        <v/>
      </c>
      <c r="C14" s="91" t="str" cm="1">
        <f t="array" ref="C14">IFERROR(IF(OR($A14="", C$5=""), "", IF(SUM(IF(INDEX(_xlfn._xlws.FILTER(tblPiNAnalysis[[CCCM%]:[WASH%]], tblPiNAnalysis[Population Group]=C$5), 0, MATCH(_xlfn.CONCAT($Q$2, "%"), tblPiNAnalysis[[#Headers],[CCCM%]:[WASH%]], 0))=$A14, 1, 0))=0, "",SUM(IF(INDEX(_xlfn._xlws.FILTER(tblPiNAnalysis[[CCCM%]:[WASH%]], tblPiNAnalysis[Population Group]=C$5), 0, MATCH(_xlfn.CONCAT($Q$2, "%"), tblPiNAnalysis[[#Headers],[CCCM%]:[WASH%]], 0))=$A14, 1, 0)))), "")</f>
        <v/>
      </c>
      <c r="D14" s="91" t="str" cm="1">
        <f t="array" ref="D14">IFERROR(IF(OR($A14="", D$5=""), "", IF(SUM(IF(INDEX(_xlfn._xlws.FILTER(tblPiNAnalysis[[CCCM%]:[WASH%]], tblPiNAnalysis[Population Group]=D$5), 0, MATCH(_xlfn.CONCAT($Q$2, "%"), tblPiNAnalysis[[#Headers],[CCCM%]:[WASH%]], 0))=$A14, 1, 0))=0, "",SUM(IF(INDEX(_xlfn._xlws.FILTER(tblPiNAnalysis[[CCCM%]:[WASH%]], tblPiNAnalysis[Population Group]=D$5), 0, MATCH(_xlfn.CONCAT($Q$2, "%"), tblPiNAnalysis[[#Headers],[CCCM%]:[WASH%]], 0))=$A14, 1, 0)))), "")</f>
        <v/>
      </c>
      <c r="E14" s="91" t="str" cm="1">
        <f t="array" ref="E14">IFERROR(IF(OR($A14="", E$5=""), "", IF(SUM(IF(INDEX(_xlfn._xlws.FILTER(tblPiNAnalysis[[CCCM%]:[WASH%]], tblPiNAnalysis[Population Group]=E$5), 0, MATCH(_xlfn.CONCAT($Q$2, "%"), tblPiNAnalysis[[#Headers],[CCCM%]:[WASH%]], 0))=$A14, 1, 0))=0, "",SUM(IF(INDEX(_xlfn._xlws.FILTER(tblPiNAnalysis[[CCCM%]:[WASH%]], tblPiNAnalysis[Population Group]=E$5), 0, MATCH(_xlfn.CONCAT($Q$2, "%"), tblPiNAnalysis[[#Headers],[CCCM%]:[WASH%]], 0))=$A14, 1, 0)))), "")</f>
        <v/>
      </c>
      <c r="F14" s="91" t="str" cm="1">
        <f t="array" ref="F14">IFERROR(IF(OR($A14="", F$5=""), "", IF(SUM(IF(INDEX(_xlfn._xlws.FILTER(tblPiNAnalysis[[CCCM%]:[WASH%]], tblPiNAnalysis[CCCM]=F$5), 0, MATCH(_xlfn.CONCAT($Q$2, "%"), tblPiNAnalysis[[#Headers],[CCCM%]:[WASH%]], 0))=$A14, 1, 0))=0, "",SUM(IF(INDEX(_xlfn._xlws.FILTER(tblPiNAnalysis[[CCCM%]:[WASH%]], tblPiNAnalysis[CCCM]=F$5), 0, MATCH(_xlfn.CONCAT($Q$2, "%"), tblPiNAnalysis[[#Headers],[CCCM%]:[WASH%]], 0))=$A14, 1, 0)))), "")</f>
        <v/>
      </c>
      <c r="H14" s="93">
        <v>0.1</v>
      </c>
      <c r="I14" s="91" cm="1">
        <f t="array" ref="I14">IF($H14="", "", IF($H14=2, SUM(IF(INDEX(_xlfn._xlws.FILTER(tblPiNHistorical[[CCCM]:[WASH]], tblPiNHistorical[Population Group]=I$5), 0, MATCH($Q$2, tblPiNHistorical[[#Headers],[CCCM]:[WASH]], 0))&gt;1.9, 1, 0)), IF(SUM(IF(INDEX(_xlfn._xlws.FILTER(tblPiNHistorical[[CCCM]:[WASH]], tblPiNHistorical[Population Group]=I$5), 0, MATCH($Q$2, tblPiNHistorical[[#Headers],[CCCM]:[WASH]], 0))=$H14, 1, 0))=0, "", SUM(IF(INDEX(_xlfn._xlws.FILTER(tblPiNHistorical[[CCCM]:[WASH]], tblPiNHistorical[Population Group]=I$5), 0, MATCH($Q$2, tblPiNHistorical[[#Headers],[CCCM]:[WASH]], 0))=$H14, 1, 0)))))</f>
        <v>1</v>
      </c>
      <c r="J14" s="91" t="str" cm="1">
        <f t="array" ref="J14">IFERROR(IF(OR($H14="", J13=""), "", IF($H14=2, SUM(IF(INDEX(_xlfn._xlws.FILTER(tblPiNHistorical[[CCCM]:[WASH]], tblPiNHistorical[Population Group]=J$5), 0, MATCH($Q$2, tblPiNHistorical[[#Headers],[CCCM]:[WASH]], 0))&gt;1.9, 1, 0)), IF(SUM(IF(INDEX(_xlfn._xlws.FILTER(tblPiNHistorical[[CCCM]:[WASH]], tblPiNHistorical[Population Group]=J$5), 0, MATCH($Q$2, tblPiNHistorical[[#Headers],[CCCM]:[WASH]], 0))=$H14, 1, 0))=0, "", SUM(IF(INDEX(_xlfn._xlws.FILTER(tblPiNHistorical[[CCCM]:[WASH]], tblPiNHistorical[Population Group]=J$5), 0, MATCH($Q$2, tblPiNHistorical[[#Headers],[CCCM]:[WASH]], 0))=$H14, 1, 0))))), "")</f>
        <v/>
      </c>
      <c r="K14" s="91" t="str" cm="1">
        <f t="array" ref="K14">IFERROR(IF(OR($H14="", K13=""), "", IF($H14=2, SUM(IF(INDEX(_xlfn._xlws.FILTER(tblPiNHistorical[[CCCM]:[WASH]], tblPiNHistorical[CCCM - old]=K$5), 0, MATCH($Q$2, tblPiNHistorical[[#Headers],[CCCM]:[WASH]], 0))&gt;1.9, 1, 0)), IF(SUM(IF(INDEX(_xlfn._xlws.FILTER(tblPiNHistorical[[CCCM]:[WASH]], tblPiNHistorical[CCCM - old]=K$5), 0, MATCH($Q$2, tblPiNHistorical[[#Headers],[CCCM]:[WASH]], 0))=$H14, 1, 0))=0, "", SUM(IF(INDEX(_xlfn._xlws.FILTER(tblPiNHistorical[[CCCM]:[WASH]], tblPiNHistorical[CCCM - old]=K$5), 0, MATCH($Q$2, tblPiNHistorical[[#Headers],[CCCM]:[WASH]], 0))=$H14, 1, 0))))), "")</f>
        <v/>
      </c>
      <c r="L14" s="91" t="str" cm="1">
        <f t="array" ref="L14">IFERROR(IF(OR($H14="", L13=""), "", IF($H14=2, SUM(IF(INDEX(_xlfn._xlws.FILTER(tblPiNHistorical[[CCCM]:[WASH]],#REF!= L$5), 0, MATCH($Q$2, tblPiNHistorical[[#Headers],[CCCM]:[WASH]], 0))&gt;1.9, 1, 0)), IF(SUM(IF(INDEX(_xlfn._xlws.FILTER(tblPiNHistorical[[CCCM]:[WASH]],#REF!= L$5), 0, MATCH($Q$2, tblPiNHistorical[[#Headers],[CCCM]:[WASH]], 0))=$H14, 1, 0))=0, "", SUM(IF(INDEX(_xlfn._xlws.FILTER(tblPiNHistorical[[CCCM]:[WASH]],#REF!= L$5), 0, MATCH($Q$2, tblPiNHistorical[[#Headers],[CCCM]:[WASH]], 0))=$H14, 1, 0))))), "")</f>
        <v/>
      </c>
      <c r="M14" s="91" t="str" cm="1">
        <f t="array" ref="M14">IFERROR(IF(OR($H14="", M13=""), "", IF($H14=2, SUM(IF(INDEX(_xlfn._xlws.FILTER(tblPiNHistorical[[CCCM]:[WASH]],#REF!= M$5), 0, MATCH($Q$2, tblPiNHistorical[[#Headers],[CCCM]:[WASH]], 0))&gt;1.9, 1, 0)), IF(SUM(IF(INDEX(_xlfn._xlws.FILTER(tblPiNHistorical[[CCCM]:[WASH]],#REF!= M$5), 0, MATCH($Q$2, tblPiNHistorical[[#Headers],[CCCM]:[WASH]], 0))=$H14, 1, 0))=0, "", SUM(IF(INDEX(_xlfn._xlws.FILTER(tblPiNHistorical[[CCCM]:[WASH]],#REF!= M$5), 0, MATCH($Q$2, tblPiNHistorical[[#Headers],[CCCM]:[WASH]], 0))=$H14, 1, 0))))), "")</f>
        <v/>
      </c>
      <c r="Z14" s="169"/>
    </row>
    <row r="15" spans="1:26">
      <c r="A15" s="93"/>
      <c r="B15" s="91" t="str" cm="1">
        <f t="array" ref="B15">IF($A15="", "", IF(SUM(IF(INDEX(_xlfn._xlws.FILTER(tblPiNAnalysis[[CCCM%]:[WASH%]], tblPiNAnalysis[Population Group]=B$5), 0, MATCH(_xlfn.CONCAT($Q$2, "%"), tblPiNAnalysis[[#Headers],[CCCM%]:[WASH%]], 0))=$A15, 1, 0))=0, "",SUM(IF(INDEX(_xlfn._xlws.FILTER(tblPiNAnalysis[[CCCM%]:[WASH%]], tblPiNAnalysis[Population Group]=B$5), 0, MATCH(_xlfn.CONCAT($Q$2, "%"), tblPiNAnalysis[[#Headers],[CCCM%]:[WASH%]], 0))=$A15, 1, 0))))</f>
        <v/>
      </c>
      <c r="C15" s="91" t="str" cm="1">
        <f t="array" ref="C15">IFERROR(IF(OR($A15="", C$5=""), "", IF(SUM(IF(INDEX(_xlfn._xlws.FILTER(tblPiNAnalysis[[CCCM%]:[WASH%]], tblPiNAnalysis[Population Group]=C$5), 0, MATCH(_xlfn.CONCAT($Q$2, "%"), tblPiNAnalysis[[#Headers],[CCCM%]:[WASH%]], 0))=$A15, 1, 0))=0, "",SUM(IF(INDEX(_xlfn._xlws.FILTER(tblPiNAnalysis[[CCCM%]:[WASH%]], tblPiNAnalysis[Population Group]=C$5), 0, MATCH(_xlfn.CONCAT($Q$2, "%"), tblPiNAnalysis[[#Headers],[CCCM%]:[WASH%]], 0))=$A15, 1, 0)))), "")</f>
        <v/>
      </c>
      <c r="D15" s="91" t="str" cm="1">
        <f t="array" ref="D15">IFERROR(IF(OR($A15="", D$5=""), "", IF(SUM(IF(INDEX(_xlfn._xlws.FILTER(tblPiNAnalysis[[CCCM%]:[WASH%]], tblPiNAnalysis[Population Group]=D$5), 0, MATCH(_xlfn.CONCAT($Q$2, "%"), tblPiNAnalysis[[#Headers],[CCCM%]:[WASH%]], 0))=$A15, 1, 0))=0, "",SUM(IF(INDEX(_xlfn._xlws.FILTER(tblPiNAnalysis[[CCCM%]:[WASH%]], tblPiNAnalysis[Population Group]=D$5), 0, MATCH(_xlfn.CONCAT($Q$2, "%"), tblPiNAnalysis[[#Headers],[CCCM%]:[WASH%]], 0))=$A15, 1, 0)))), "")</f>
        <v/>
      </c>
      <c r="E15" s="91" t="str" cm="1">
        <f t="array" ref="E15">IFERROR(IF(OR($A15="", E$5=""), "", IF(SUM(IF(INDEX(_xlfn._xlws.FILTER(tblPiNAnalysis[[CCCM%]:[WASH%]], tblPiNAnalysis[Population Group]=E$5), 0, MATCH(_xlfn.CONCAT($Q$2, "%"), tblPiNAnalysis[[#Headers],[CCCM%]:[WASH%]], 0))=$A15, 1, 0))=0, "",SUM(IF(INDEX(_xlfn._xlws.FILTER(tblPiNAnalysis[[CCCM%]:[WASH%]], tblPiNAnalysis[Population Group]=E$5), 0, MATCH(_xlfn.CONCAT($Q$2, "%"), tblPiNAnalysis[[#Headers],[CCCM%]:[WASH%]], 0))=$A15, 1, 0)))), "")</f>
        <v/>
      </c>
      <c r="F15" s="91" t="str" cm="1">
        <f t="array" ref="F15">IFERROR(IF(OR($A15="", F$5=""), "", IF(SUM(IF(INDEX(_xlfn._xlws.FILTER(tblPiNAnalysis[[CCCM%]:[WASH%]], tblPiNAnalysis[CCCM]=F$5), 0, MATCH(_xlfn.CONCAT($Q$2, "%"), tblPiNAnalysis[[#Headers],[CCCM%]:[WASH%]], 0))=$A15, 1, 0))=0, "",SUM(IF(INDEX(_xlfn._xlws.FILTER(tblPiNAnalysis[[CCCM%]:[WASH%]], tblPiNAnalysis[CCCM]=F$5), 0, MATCH(_xlfn.CONCAT($Q$2, "%"), tblPiNAnalysis[[#Headers],[CCCM%]:[WASH%]], 0))=$A15, 1, 0)))), "")</f>
        <v/>
      </c>
      <c r="H15" s="93">
        <v>0.2</v>
      </c>
      <c r="I15" s="91" cm="1">
        <f t="array" ref="I15">IF($H15="", "", IF($H15=2, SUM(IF(INDEX(_xlfn._xlws.FILTER(tblPiNHistorical[[CCCM]:[WASH]], tblPiNHistorical[Population Group]=I$5), 0, MATCH($Q$2, tblPiNHistorical[[#Headers],[CCCM]:[WASH]], 0))&gt;1.9, 1, 0)), IF(SUM(IF(INDEX(_xlfn._xlws.FILTER(tblPiNHistorical[[CCCM]:[WASH]], tblPiNHistorical[Population Group]=I$5), 0, MATCH($Q$2, tblPiNHistorical[[#Headers],[CCCM]:[WASH]], 0))=$H15, 1, 0))=0, "", SUM(IF(INDEX(_xlfn._xlws.FILTER(tblPiNHistorical[[CCCM]:[WASH]], tblPiNHistorical[Population Group]=I$5), 0, MATCH($Q$2, tblPiNHistorical[[#Headers],[CCCM]:[WASH]], 0))=$H15, 1, 0)))))</f>
        <v>1</v>
      </c>
      <c r="J15" s="91" t="str" cm="1">
        <f t="array" ref="J15">IFERROR(IF(OR($H15="", J14=""), "", IF($H15=2, SUM(IF(INDEX(_xlfn._xlws.FILTER(tblPiNHistorical[[CCCM]:[WASH]], tblPiNHistorical[Population Group]=J$5), 0, MATCH($Q$2, tblPiNHistorical[[#Headers],[CCCM]:[WASH]], 0))&gt;1.9, 1, 0)), IF(SUM(IF(INDEX(_xlfn._xlws.FILTER(tblPiNHistorical[[CCCM]:[WASH]], tblPiNHistorical[Population Group]=J$5), 0, MATCH($Q$2, tblPiNHistorical[[#Headers],[CCCM]:[WASH]], 0))=$H15, 1, 0))=0, "", SUM(IF(INDEX(_xlfn._xlws.FILTER(tblPiNHistorical[[CCCM]:[WASH]], tblPiNHistorical[Population Group]=J$5), 0, MATCH($Q$2, tblPiNHistorical[[#Headers],[CCCM]:[WASH]], 0))=$H15, 1, 0))))), "")</f>
        <v/>
      </c>
      <c r="K15" s="91" t="str" cm="1">
        <f t="array" ref="K15">IFERROR(IF(OR($H15="", K14=""), "", IF($H15=2, SUM(IF(INDEX(_xlfn._xlws.FILTER(tblPiNHistorical[[CCCM]:[WASH]], tblPiNHistorical[CCCM - old]=K$5), 0, MATCH($Q$2, tblPiNHistorical[[#Headers],[CCCM]:[WASH]], 0))&gt;1.9, 1, 0)), IF(SUM(IF(INDEX(_xlfn._xlws.FILTER(tblPiNHistorical[[CCCM]:[WASH]], tblPiNHistorical[CCCM - old]=K$5), 0, MATCH($Q$2, tblPiNHistorical[[#Headers],[CCCM]:[WASH]], 0))=$H15, 1, 0))=0, "", SUM(IF(INDEX(_xlfn._xlws.FILTER(tblPiNHistorical[[CCCM]:[WASH]], tblPiNHistorical[CCCM - old]=K$5), 0, MATCH($Q$2, tblPiNHistorical[[#Headers],[CCCM]:[WASH]], 0))=$H15, 1, 0))))), "")</f>
        <v/>
      </c>
      <c r="L15" s="91" t="str" cm="1">
        <f t="array" ref="L15">IFERROR(IF(OR($H15="", L14=""), "", IF($H15=2, SUM(IF(INDEX(_xlfn._xlws.FILTER(tblPiNHistorical[[CCCM]:[WASH]],#REF!= L$5), 0, MATCH($Q$2, tblPiNHistorical[[#Headers],[CCCM]:[WASH]], 0))&gt;1.9, 1, 0)), IF(SUM(IF(INDEX(_xlfn._xlws.FILTER(tblPiNHistorical[[CCCM]:[WASH]],#REF!= L$5), 0, MATCH($Q$2, tblPiNHistorical[[#Headers],[CCCM]:[WASH]], 0))=$H15, 1, 0))=0, "", SUM(IF(INDEX(_xlfn._xlws.FILTER(tblPiNHistorical[[CCCM]:[WASH]],#REF!= L$5), 0, MATCH($Q$2, tblPiNHistorical[[#Headers],[CCCM]:[WASH]], 0))=$H15, 1, 0))))), "")</f>
        <v/>
      </c>
      <c r="M15" s="91" t="str" cm="1">
        <f t="array" ref="M15">IFERROR(IF(OR($H15="", M14=""), "", IF($H15=2, SUM(IF(INDEX(_xlfn._xlws.FILTER(tblPiNHistorical[[CCCM]:[WASH]],#REF!= M$5), 0, MATCH($Q$2, tblPiNHistorical[[#Headers],[CCCM]:[WASH]], 0))&gt;1.9, 1, 0)), IF(SUM(IF(INDEX(_xlfn._xlws.FILTER(tblPiNHistorical[[CCCM]:[WASH]],#REF!= M$5), 0, MATCH($Q$2, tblPiNHistorical[[#Headers],[CCCM]:[WASH]], 0))=$H15, 1, 0))=0, "", SUM(IF(INDEX(_xlfn._xlws.FILTER(tblPiNHistorical[[CCCM]:[WASH]],#REF!= M$5), 0, MATCH($Q$2, tblPiNHistorical[[#Headers],[CCCM]:[WASH]], 0))=$H15, 1, 0))))), "")</f>
        <v/>
      </c>
      <c r="Z15" s="169"/>
    </row>
    <row r="16" spans="1:26">
      <c r="A16" s="93"/>
      <c r="B16" s="91" t="str" cm="1">
        <f t="array" ref="B16">IF($A16="", "", IF(SUM(IF(INDEX(_xlfn._xlws.FILTER(tblPiNAnalysis[[CCCM%]:[WASH%]], tblPiNAnalysis[Population Group]=B$5), 0, MATCH(_xlfn.CONCAT($Q$2, "%"), tblPiNAnalysis[[#Headers],[CCCM%]:[WASH%]], 0))=$A16, 1, 0))=0, "",SUM(IF(INDEX(_xlfn._xlws.FILTER(tblPiNAnalysis[[CCCM%]:[WASH%]], tblPiNAnalysis[Population Group]=B$5), 0, MATCH(_xlfn.CONCAT($Q$2, "%"), tblPiNAnalysis[[#Headers],[CCCM%]:[WASH%]], 0))=$A16, 1, 0))))</f>
        <v/>
      </c>
      <c r="C16" s="91" t="str" cm="1">
        <f t="array" ref="C16">IFERROR(IF(OR($A16="", C$5=""), "", IF(SUM(IF(INDEX(_xlfn._xlws.FILTER(tblPiNAnalysis[[CCCM%]:[WASH%]], tblPiNAnalysis[Population Group]=C$5), 0, MATCH(_xlfn.CONCAT($Q$2, "%"), tblPiNAnalysis[[#Headers],[CCCM%]:[WASH%]], 0))=$A16, 1, 0))=0, "",SUM(IF(INDEX(_xlfn._xlws.FILTER(tblPiNAnalysis[[CCCM%]:[WASH%]], tblPiNAnalysis[Population Group]=C$5), 0, MATCH(_xlfn.CONCAT($Q$2, "%"), tblPiNAnalysis[[#Headers],[CCCM%]:[WASH%]], 0))=$A16, 1, 0)))), "")</f>
        <v/>
      </c>
      <c r="D16" s="91" t="str" cm="1">
        <f t="array" ref="D16">IFERROR(IF(OR($A16="", D$5=""), "", IF(SUM(IF(INDEX(_xlfn._xlws.FILTER(tblPiNAnalysis[[CCCM%]:[WASH%]], tblPiNAnalysis[Population Group]=D$5), 0, MATCH(_xlfn.CONCAT($Q$2, "%"), tblPiNAnalysis[[#Headers],[CCCM%]:[WASH%]], 0))=$A16, 1, 0))=0, "",SUM(IF(INDEX(_xlfn._xlws.FILTER(tblPiNAnalysis[[CCCM%]:[WASH%]], tblPiNAnalysis[Population Group]=D$5), 0, MATCH(_xlfn.CONCAT($Q$2, "%"), tblPiNAnalysis[[#Headers],[CCCM%]:[WASH%]], 0))=$A16, 1, 0)))), "")</f>
        <v/>
      </c>
      <c r="E16" s="91" t="str" cm="1">
        <f t="array" ref="E16">IFERROR(IF(OR($A16="", E$5=""), "", IF(SUM(IF(INDEX(_xlfn._xlws.FILTER(tblPiNAnalysis[[CCCM%]:[WASH%]], tblPiNAnalysis[Population Group]=E$5), 0, MATCH(_xlfn.CONCAT($Q$2, "%"), tblPiNAnalysis[[#Headers],[CCCM%]:[WASH%]], 0))=$A16, 1, 0))=0, "",SUM(IF(INDEX(_xlfn._xlws.FILTER(tblPiNAnalysis[[CCCM%]:[WASH%]], tblPiNAnalysis[Population Group]=E$5), 0, MATCH(_xlfn.CONCAT($Q$2, "%"), tblPiNAnalysis[[#Headers],[CCCM%]:[WASH%]], 0))=$A16, 1, 0)))), "")</f>
        <v/>
      </c>
      <c r="F16" s="91" t="str" cm="1">
        <f t="array" ref="F16">IFERROR(IF(OR($A16="", F$5=""), "", IF(SUM(IF(INDEX(_xlfn._xlws.FILTER(tblPiNAnalysis[[CCCM%]:[WASH%]], tblPiNAnalysis[CCCM]=F$5), 0, MATCH(_xlfn.CONCAT($Q$2, "%"), tblPiNAnalysis[[#Headers],[CCCM%]:[WASH%]], 0))=$A16, 1, 0))=0, "",SUM(IF(INDEX(_xlfn._xlws.FILTER(tblPiNAnalysis[[CCCM%]:[WASH%]], tblPiNAnalysis[CCCM]=F$5), 0, MATCH(_xlfn.CONCAT($Q$2, "%"), tblPiNAnalysis[[#Headers],[CCCM%]:[WASH%]], 0))=$A16, 1, 0)))), "")</f>
        <v/>
      </c>
      <c r="H16" s="93">
        <v>0.3</v>
      </c>
      <c r="I16" s="91" t="str" cm="1">
        <f t="array" ref="I16">IF($H16="", "", IF($H16=2, SUM(IF(INDEX(_xlfn._xlws.FILTER(tblPiNHistorical[[CCCM]:[WASH]], tblPiNHistorical[Population Group]=I$5), 0, MATCH($Q$2, tblPiNHistorical[[#Headers],[CCCM]:[WASH]], 0))&gt;1.9, 1, 0)), IF(SUM(IF(INDEX(_xlfn._xlws.FILTER(tblPiNHistorical[[CCCM]:[WASH]], tblPiNHistorical[Population Group]=I$5), 0, MATCH($Q$2, tblPiNHistorical[[#Headers],[CCCM]:[WASH]], 0))=$H16, 1, 0))=0, "", SUM(IF(INDEX(_xlfn._xlws.FILTER(tblPiNHistorical[[CCCM]:[WASH]], tblPiNHistorical[Population Group]=I$5), 0, MATCH($Q$2, tblPiNHistorical[[#Headers],[CCCM]:[WASH]], 0))=$H16, 1, 0)))))</f>
        <v/>
      </c>
      <c r="J16" s="91" t="str" cm="1">
        <f t="array" ref="J16">IFERROR(IF(OR($H16="", J15=""), "", IF($H16=2, SUM(IF(INDEX(_xlfn._xlws.FILTER(tblPiNHistorical[[CCCM]:[WASH]], tblPiNHistorical[Population Group]=J$5), 0, MATCH($Q$2, tblPiNHistorical[[#Headers],[CCCM]:[WASH]], 0))&gt;1.9, 1, 0)), IF(SUM(IF(INDEX(_xlfn._xlws.FILTER(tblPiNHistorical[[CCCM]:[WASH]], tblPiNHistorical[Population Group]=J$5), 0, MATCH($Q$2, tblPiNHistorical[[#Headers],[CCCM]:[WASH]], 0))=$H16, 1, 0))=0, "", SUM(IF(INDEX(_xlfn._xlws.FILTER(tblPiNHistorical[[CCCM]:[WASH]], tblPiNHistorical[Population Group]=J$5), 0, MATCH($Q$2, tblPiNHistorical[[#Headers],[CCCM]:[WASH]], 0))=$H16, 1, 0))))), "")</f>
        <v/>
      </c>
      <c r="K16" s="91" t="str" cm="1">
        <f t="array" ref="K16">IFERROR(IF(OR($H16="", K15=""), "", IF($H16=2, SUM(IF(INDEX(_xlfn._xlws.FILTER(tblPiNHistorical[[CCCM]:[WASH]], tblPiNHistorical[CCCM - old]=K$5), 0, MATCH($Q$2, tblPiNHistorical[[#Headers],[CCCM]:[WASH]], 0))&gt;1.9, 1, 0)), IF(SUM(IF(INDEX(_xlfn._xlws.FILTER(tblPiNHistorical[[CCCM]:[WASH]], tblPiNHistorical[CCCM - old]=K$5), 0, MATCH($Q$2, tblPiNHistorical[[#Headers],[CCCM]:[WASH]], 0))=$H16, 1, 0))=0, "", SUM(IF(INDEX(_xlfn._xlws.FILTER(tblPiNHistorical[[CCCM]:[WASH]], tblPiNHistorical[CCCM - old]=K$5), 0, MATCH($Q$2, tblPiNHistorical[[#Headers],[CCCM]:[WASH]], 0))=$H16, 1, 0))))), "")</f>
        <v/>
      </c>
      <c r="L16" s="91" t="str" cm="1">
        <f t="array" ref="L16">IFERROR(IF(OR($H16="", L15=""), "", IF($H16=2, SUM(IF(INDEX(_xlfn._xlws.FILTER(tblPiNHistorical[[CCCM]:[WASH]],#REF!= L$5), 0, MATCH($Q$2, tblPiNHistorical[[#Headers],[CCCM]:[WASH]], 0))&gt;1.9, 1, 0)), IF(SUM(IF(INDEX(_xlfn._xlws.FILTER(tblPiNHistorical[[CCCM]:[WASH]],#REF!= L$5), 0, MATCH($Q$2, tblPiNHistorical[[#Headers],[CCCM]:[WASH]], 0))=$H16, 1, 0))=0, "", SUM(IF(INDEX(_xlfn._xlws.FILTER(tblPiNHistorical[[CCCM]:[WASH]],#REF!= L$5), 0, MATCH($Q$2, tblPiNHistorical[[#Headers],[CCCM]:[WASH]], 0))=$H16, 1, 0))))), "")</f>
        <v/>
      </c>
      <c r="M16" s="91" t="str" cm="1">
        <f t="array" ref="M16">IFERROR(IF(OR($H16="", M15=""), "", IF($H16=2, SUM(IF(INDEX(_xlfn._xlws.FILTER(tblPiNHistorical[[CCCM]:[WASH]],#REF!= M$5), 0, MATCH($Q$2, tblPiNHistorical[[#Headers],[CCCM]:[WASH]], 0))&gt;1.9, 1, 0)), IF(SUM(IF(INDEX(_xlfn._xlws.FILTER(tblPiNHistorical[[CCCM]:[WASH]],#REF!= M$5), 0, MATCH($Q$2, tblPiNHistorical[[#Headers],[CCCM]:[WASH]], 0))=$H16, 1, 0))=0, "", SUM(IF(INDEX(_xlfn._xlws.FILTER(tblPiNHistorical[[CCCM]:[WASH]],#REF!= M$5), 0, MATCH($Q$2, tblPiNHistorical[[#Headers],[CCCM]:[WASH]], 0))=$H16, 1, 0))))), "")</f>
        <v/>
      </c>
      <c r="Z16" s="169"/>
    </row>
    <row r="17" spans="1:28">
      <c r="A17" s="93"/>
      <c r="B17" s="91" t="str" cm="1">
        <f t="array" ref="B17">IF($A17="", "", IF(SUM(IF(INDEX(_xlfn._xlws.FILTER(tblPiNAnalysis[[CCCM%]:[WASH%]], tblPiNAnalysis[Population Group]=B$5), 0, MATCH(_xlfn.CONCAT($Q$2, "%"), tblPiNAnalysis[[#Headers],[CCCM%]:[WASH%]], 0))=$A17, 1, 0))=0, "",SUM(IF(INDEX(_xlfn._xlws.FILTER(tblPiNAnalysis[[CCCM%]:[WASH%]], tblPiNAnalysis[Population Group]=B$5), 0, MATCH(_xlfn.CONCAT($Q$2, "%"), tblPiNAnalysis[[#Headers],[CCCM%]:[WASH%]], 0))=$A17, 1, 0))))</f>
        <v/>
      </c>
      <c r="C17" s="91" t="str" cm="1">
        <f t="array" ref="C17">IFERROR(IF(OR($A17="", C$5=""), "", IF(SUM(IF(INDEX(_xlfn._xlws.FILTER(tblPiNAnalysis[[CCCM%]:[WASH%]], tblPiNAnalysis[Population Group]=C$5), 0, MATCH(_xlfn.CONCAT($Q$2, "%"), tblPiNAnalysis[[#Headers],[CCCM%]:[WASH%]], 0))=$A17, 1, 0))=0, "",SUM(IF(INDEX(_xlfn._xlws.FILTER(tblPiNAnalysis[[CCCM%]:[WASH%]], tblPiNAnalysis[Population Group]=C$5), 0, MATCH(_xlfn.CONCAT($Q$2, "%"), tblPiNAnalysis[[#Headers],[CCCM%]:[WASH%]], 0))=$A17, 1, 0)))), "")</f>
        <v/>
      </c>
      <c r="D17" s="91" t="str" cm="1">
        <f t="array" ref="D17">IFERROR(IF(OR($A17="", D$5=""), "", IF(SUM(IF(INDEX(_xlfn._xlws.FILTER(tblPiNAnalysis[[CCCM%]:[WASH%]], tblPiNAnalysis[Population Group]=D$5), 0, MATCH(_xlfn.CONCAT($Q$2, "%"), tblPiNAnalysis[[#Headers],[CCCM%]:[WASH%]], 0))=$A17, 1, 0))=0, "",SUM(IF(INDEX(_xlfn._xlws.FILTER(tblPiNAnalysis[[CCCM%]:[WASH%]], tblPiNAnalysis[Population Group]=D$5), 0, MATCH(_xlfn.CONCAT($Q$2, "%"), tblPiNAnalysis[[#Headers],[CCCM%]:[WASH%]], 0))=$A17, 1, 0)))), "")</f>
        <v/>
      </c>
      <c r="E17" s="91" t="str" cm="1">
        <f t="array" ref="E17">IFERROR(IF(OR($A17="", E$5=""), "", IF(SUM(IF(INDEX(_xlfn._xlws.FILTER(tblPiNAnalysis[[CCCM%]:[WASH%]], tblPiNAnalysis[Population Group]=E$5), 0, MATCH(_xlfn.CONCAT($Q$2, "%"), tblPiNAnalysis[[#Headers],[CCCM%]:[WASH%]], 0))=$A17, 1, 0))=0, "",SUM(IF(INDEX(_xlfn._xlws.FILTER(tblPiNAnalysis[[CCCM%]:[WASH%]], tblPiNAnalysis[Population Group]=E$5), 0, MATCH(_xlfn.CONCAT($Q$2, "%"), tblPiNAnalysis[[#Headers],[CCCM%]:[WASH%]], 0))=$A17, 1, 0)))), "")</f>
        <v/>
      </c>
      <c r="F17" s="91" t="str" cm="1">
        <f t="array" ref="F17">IFERROR(IF(OR($A17="", F$5=""), "", IF(SUM(IF(INDEX(_xlfn._xlws.FILTER(tblPiNAnalysis[[CCCM%]:[WASH%]], tblPiNAnalysis[CCCM]=F$5), 0, MATCH(_xlfn.CONCAT($Q$2, "%"), tblPiNAnalysis[[#Headers],[CCCM%]:[WASH%]], 0))=$A17, 1, 0))=0, "",SUM(IF(INDEX(_xlfn._xlws.FILTER(tblPiNAnalysis[[CCCM%]:[WASH%]], tblPiNAnalysis[CCCM]=F$5), 0, MATCH(_xlfn.CONCAT($Q$2, "%"), tblPiNAnalysis[[#Headers],[CCCM%]:[WASH%]], 0))=$A17, 1, 0)))), "")</f>
        <v/>
      </c>
      <c r="H17" s="93">
        <v>0.4</v>
      </c>
      <c r="I17" s="91" cm="1">
        <f t="array" ref="I17">IF($H17="", "", IF($H17=2, SUM(IF(INDEX(_xlfn._xlws.FILTER(tblPiNHistorical[[CCCM]:[WASH]], tblPiNHistorical[Population Group]=I$5), 0, MATCH($Q$2, tblPiNHistorical[[#Headers],[CCCM]:[WASH]], 0))&gt;1.9, 1, 0)), IF(SUM(IF(INDEX(_xlfn._xlws.FILTER(tblPiNHistorical[[CCCM]:[WASH]], tblPiNHistorical[Population Group]=I$5), 0, MATCH($Q$2, tblPiNHistorical[[#Headers],[CCCM]:[WASH]], 0))=$H17, 1, 0))=0, "", SUM(IF(INDEX(_xlfn._xlws.FILTER(tblPiNHistorical[[CCCM]:[WASH]], tblPiNHistorical[Population Group]=I$5), 0, MATCH($Q$2, tblPiNHistorical[[#Headers],[CCCM]:[WASH]], 0))=$H17, 1, 0)))))</f>
        <v>1</v>
      </c>
      <c r="J17" s="91" t="str" cm="1">
        <f t="array" ref="J17">IFERROR(IF(OR($H17="", J16=""), "", IF($H17=2, SUM(IF(INDEX(_xlfn._xlws.FILTER(tblPiNHistorical[[CCCM]:[WASH]], tblPiNHistorical[Population Group]=J$5), 0, MATCH($Q$2, tblPiNHistorical[[#Headers],[CCCM]:[WASH]], 0))&gt;1.9, 1, 0)), IF(SUM(IF(INDEX(_xlfn._xlws.FILTER(tblPiNHistorical[[CCCM]:[WASH]], tblPiNHistorical[Population Group]=J$5), 0, MATCH($Q$2, tblPiNHistorical[[#Headers],[CCCM]:[WASH]], 0))=$H17, 1, 0))=0, "", SUM(IF(INDEX(_xlfn._xlws.FILTER(tblPiNHistorical[[CCCM]:[WASH]], tblPiNHistorical[Population Group]=J$5), 0, MATCH($Q$2, tblPiNHistorical[[#Headers],[CCCM]:[WASH]], 0))=$H17, 1, 0))))), "")</f>
        <v/>
      </c>
      <c r="K17" s="91" t="str" cm="1">
        <f t="array" ref="K17">IFERROR(IF(OR($H17="", K16=""), "", IF($H17=2, SUM(IF(INDEX(_xlfn._xlws.FILTER(tblPiNHistorical[[CCCM]:[WASH]], tblPiNHistorical[CCCM - old]=K$5), 0, MATCH($Q$2, tblPiNHistorical[[#Headers],[CCCM]:[WASH]], 0))&gt;1.9, 1, 0)), IF(SUM(IF(INDEX(_xlfn._xlws.FILTER(tblPiNHistorical[[CCCM]:[WASH]], tblPiNHistorical[CCCM - old]=K$5), 0, MATCH($Q$2, tblPiNHistorical[[#Headers],[CCCM]:[WASH]], 0))=$H17, 1, 0))=0, "", SUM(IF(INDEX(_xlfn._xlws.FILTER(tblPiNHistorical[[CCCM]:[WASH]], tblPiNHistorical[CCCM - old]=K$5), 0, MATCH($Q$2, tblPiNHistorical[[#Headers],[CCCM]:[WASH]], 0))=$H17, 1, 0))))), "")</f>
        <v/>
      </c>
      <c r="L17" s="91" t="str" cm="1">
        <f t="array" ref="L17">IFERROR(IF(OR($H17="", L16=""), "", IF($H17=2, SUM(IF(INDEX(_xlfn._xlws.FILTER(tblPiNHistorical[[CCCM]:[WASH]],#REF!= L$5), 0, MATCH($Q$2, tblPiNHistorical[[#Headers],[CCCM]:[WASH]], 0))&gt;1.9, 1, 0)), IF(SUM(IF(INDEX(_xlfn._xlws.FILTER(tblPiNHistorical[[CCCM]:[WASH]],#REF!= L$5), 0, MATCH($Q$2, tblPiNHistorical[[#Headers],[CCCM]:[WASH]], 0))=$H17, 1, 0))=0, "", SUM(IF(INDEX(_xlfn._xlws.FILTER(tblPiNHistorical[[CCCM]:[WASH]],#REF!= L$5), 0, MATCH($Q$2, tblPiNHistorical[[#Headers],[CCCM]:[WASH]], 0))=$H17, 1, 0))))), "")</f>
        <v/>
      </c>
      <c r="M17" s="91" t="str" cm="1">
        <f t="array" ref="M17">IFERROR(IF(OR($H17="", M16=""), "", IF($H17=2, SUM(IF(INDEX(_xlfn._xlws.FILTER(tblPiNHistorical[[CCCM]:[WASH]],#REF!= M$5), 0, MATCH($Q$2, tblPiNHistorical[[#Headers],[CCCM]:[WASH]], 0))&gt;1.9, 1, 0)), IF(SUM(IF(INDEX(_xlfn._xlws.FILTER(tblPiNHistorical[[CCCM]:[WASH]],#REF!= M$5), 0, MATCH($Q$2, tblPiNHistorical[[#Headers],[CCCM]:[WASH]], 0))=$H17, 1, 0))=0, "", SUM(IF(INDEX(_xlfn._xlws.FILTER(tblPiNHistorical[[CCCM]:[WASH]],#REF!= M$5), 0, MATCH($Q$2, tblPiNHistorical[[#Headers],[CCCM]:[WASH]], 0))=$H17, 1, 0))))), "")</f>
        <v/>
      </c>
      <c r="Z17" s="169"/>
    </row>
    <row r="18" spans="1:28">
      <c r="A18" s="93"/>
      <c r="B18" s="91" t="str" cm="1">
        <f t="array" ref="B18">IF($A18="", "", IF(SUM(IF(INDEX(_xlfn._xlws.FILTER(tblPiNAnalysis[[CCCM%]:[WASH%]], tblPiNAnalysis[Population Group]=B$5), 0, MATCH(_xlfn.CONCAT($Q$2, "%"), tblPiNAnalysis[[#Headers],[CCCM%]:[WASH%]], 0))=$A18, 1, 0))=0, "",SUM(IF(INDEX(_xlfn._xlws.FILTER(tblPiNAnalysis[[CCCM%]:[WASH%]], tblPiNAnalysis[Population Group]=B$5), 0, MATCH(_xlfn.CONCAT($Q$2, "%"), tblPiNAnalysis[[#Headers],[CCCM%]:[WASH%]], 0))=$A18, 1, 0))))</f>
        <v/>
      </c>
      <c r="C18" s="91" t="str" cm="1">
        <f t="array" ref="C18">IFERROR(IF(OR($A18="", C$5=""), "", IF(SUM(IF(INDEX(_xlfn._xlws.FILTER(tblPiNAnalysis[[CCCM%]:[WASH%]], tblPiNAnalysis[Population Group]=C$5), 0, MATCH(_xlfn.CONCAT($Q$2, "%"), tblPiNAnalysis[[#Headers],[CCCM%]:[WASH%]], 0))=$A18, 1, 0))=0, "",SUM(IF(INDEX(_xlfn._xlws.FILTER(tblPiNAnalysis[[CCCM%]:[WASH%]], tblPiNAnalysis[Population Group]=C$5), 0, MATCH(_xlfn.CONCAT($Q$2, "%"), tblPiNAnalysis[[#Headers],[CCCM%]:[WASH%]], 0))=$A18, 1, 0)))), "")</f>
        <v/>
      </c>
      <c r="D18" s="91" t="str" cm="1">
        <f t="array" ref="D18">IFERROR(IF(OR($A18="", D$5=""), "", IF(SUM(IF(INDEX(_xlfn._xlws.FILTER(tblPiNAnalysis[[CCCM%]:[WASH%]], tblPiNAnalysis[Population Group]=D$5), 0, MATCH(_xlfn.CONCAT($Q$2, "%"), tblPiNAnalysis[[#Headers],[CCCM%]:[WASH%]], 0))=$A18, 1, 0))=0, "",SUM(IF(INDEX(_xlfn._xlws.FILTER(tblPiNAnalysis[[CCCM%]:[WASH%]], tblPiNAnalysis[Population Group]=D$5), 0, MATCH(_xlfn.CONCAT($Q$2, "%"), tblPiNAnalysis[[#Headers],[CCCM%]:[WASH%]], 0))=$A18, 1, 0)))), "")</f>
        <v/>
      </c>
      <c r="E18" s="91" t="str" cm="1">
        <f t="array" ref="E18">IFERROR(IF(OR($A18="", E$5=""), "", IF(SUM(IF(INDEX(_xlfn._xlws.FILTER(tblPiNAnalysis[[CCCM%]:[WASH%]], tblPiNAnalysis[Population Group]=E$5), 0, MATCH(_xlfn.CONCAT($Q$2, "%"), tblPiNAnalysis[[#Headers],[CCCM%]:[WASH%]], 0))=$A18, 1, 0))=0, "",SUM(IF(INDEX(_xlfn._xlws.FILTER(tblPiNAnalysis[[CCCM%]:[WASH%]], tblPiNAnalysis[Population Group]=E$5), 0, MATCH(_xlfn.CONCAT($Q$2, "%"), tblPiNAnalysis[[#Headers],[CCCM%]:[WASH%]], 0))=$A18, 1, 0)))), "")</f>
        <v/>
      </c>
      <c r="F18" s="91" t="str" cm="1">
        <f t="array" ref="F18">IFERROR(IF(OR($A18="", F$5=""), "", IF(SUM(IF(INDEX(_xlfn._xlws.FILTER(tblPiNAnalysis[[CCCM%]:[WASH%]], tblPiNAnalysis[CCCM]=F$5), 0, MATCH(_xlfn.CONCAT($Q$2, "%"), tblPiNAnalysis[[#Headers],[CCCM%]:[WASH%]], 0))=$A18, 1, 0))=0, "",SUM(IF(INDEX(_xlfn._xlws.FILTER(tblPiNAnalysis[[CCCM%]:[WASH%]], tblPiNAnalysis[CCCM]=F$5), 0, MATCH(_xlfn.CONCAT($Q$2, "%"), tblPiNAnalysis[[#Headers],[CCCM%]:[WASH%]], 0))=$A18, 1, 0)))), "")</f>
        <v/>
      </c>
      <c r="H18" s="93">
        <v>0.5</v>
      </c>
      <c r="I18" s="91" cm="1">
        <f t="array" ref="I18">IF($H18="", "", IF($H18=2, SUM(IF(INDEX(_xlfn._xlws.FILTER(tblPiNHistorical[[CCCM]:[WASH]], tblPiNHistorical[Population Group]=I$5), 0, MATCH($Q$2, tblPiNHistorical[[#Headers],[CCCM]:[WASH]], 0))&gt;1.9, 1, 0)), IF(SUM(IF(INDEX(_xlfn._xlws.FILTER(tblPiNHistorical[[CCCM]:[WASH]], tblPiNHistorical[Population Group]=I$5), 0, MATCH($Q$2, tblPiNHistorical[[#Headers],[CCCM]:[WASH]], 0))=$H18, 1, 0))=0, "", SUM(IF(INDEX(_xlfn._xlws.FILTER(tblPiNHistorical[[CCCM]:[WASH]], tblPiNHistorical[Population Group]=I$5), 0, MATCH($Q$2, tblPiNHistorical[[#Headers],[CCCM]:[WASH]], 0))=$H18, 1, 0)))))</f>
        <v>1</v>
      </c>
      <c r="J18" s="91" t="str" cm="1">
        <f t="array" ref="J18">IFERROR(IF(OR($H18="", J17=""), "", IF($H18=2, SUM(IF(INDEX(_xlfn._xlws.FILTER(tblPiNHistorical[[CCCM]:[WASH]], tblPiNHistorical[Population Group]=J$5), 0, MATCH($Q$2, tblPiNHistorical[[#Headers],[CCCM]:[WASH]], 0))&gt;1.9, 1, 0)), IF(SUM(IF(INDEX(_xlfn._xlws.FILTER(tblPiNHistorical[[CCCM]:[WASH]], tblPiNHistorical[Population Group]=J$5), 0, MATCH($Q$2, tblPiNHistorical[[#Headers],[CCCM]:[WASH]], 0))=$H18, 1, 0))=0, "", SUM(IF(INDEX(_xlfn._xlws.FILTER(tblPiNHistorical[[CCCM]:[WASH]], tblPiNHistorical[Population Group]=J$5), 0, MATCH($Q$2, tblPiNHistorical[[#Headers],[CCCM]:[WASH]], 0))=$H18, 1, 0))))), "")</f>
        <v/>
      </c>
      <c r="K18" s="91" t="str" cm="1">
        <f t="array" ref="K18">IFERROR(IF(OR($H18="", K17=""), "", IF($H18=2, SUM(IF(INDEX(_xlfn._xlws.FILTER(tblPiNHistorical[[CCCM]:[WASH]], tblPiNHistorical[CCCM - old]=K$5), 0, MATCH($Q$2, tblPiNHistorical[[#Headers],[CCCM]:[WASH]], 0))&gt;1.9, 1, 0)), IF(SUM(IF(INDEX(_xlfn._xlws.FILTER(tblPiNHistorical[[CCCM]:[WASH]], tblPiNHistorical[CCCM - old]=K$5), 0, MATCH($Q$2, tblPiNHistorical[[#Headers],[CCCM]:[WASH]], 0))=$H18, 1, 0))=0, "", SUM(IF(INDEX(_xlfn._xlws.FILTER(tblPiNHistorical[[CCCM]:[WASH]], tblPiNHistorical[CCCM - old]=K$5), 0, MATCH($Q$2, tblPiNHistorical[[#Headers],[CCCM]:[WASH]], 0))=$H18, 1, 0))))), "")</f>
        <v/>
      </c>
      <c r="L18" s="91" t="str" cm="1">
        <f t="array" ref="L18">IFERROR(IF(OR($H18="", L17=""), "", IF($H18=2, SUM(IF(INDEX(_xlfn._xlws.FILTER(tblPiNHistorical[[CCCM]:[WASH]],#REF!= L$5), 0, MATCH($Q$2, tblPiNHistorical[[#Headers],[CCCM]:[WASH]], 0))&gt;1.9, 1, 0)), IF(SUM(IF(INDEX(_xlfn._xlws.FILTER(tblPiNHistorical[[CCCM]:[WASH]],#REF!= L$5), 0, MATCH($Q$2, tblPiNHistorical[[#Headers],[CCCM]:[WASH]], 0))=$H18, 1, 0))=0, "", SUM(IF(INDEX(_xlfn._xlws.FILTER(tblPiNHistorical[[CCCM]:[WASH]],#REF!= L$5), 0, MATCH($Q$2, tblPiNHistorical[[#Headers],[CCCM]:[WASH]], 0))=$H18, 1, 0))))), "")</f>
        <v/>
      </c>
      <c r="M18" s="91" t="str" cm="1">
        <f t="array" ref="M18">IFERROR(IF(OR($H18="", M17=""), "", IF($H18=2, SUM(IF(INDEX(_xlfn._xlws.FILTER(tblPiNHistorical[[CCCM]:[WASH]],#REF!= M$5), 0, MATCH($Q$2, tblPiNHistorical[[#Headers],[CCCM]:[WASH]], 0))&gt;1.9, 1, 0)), IF(SUM(IF(INDEX(_xlfn._xlws.FILTER(tblPiNHistorical[[CCCM]:[WASH]],#REF!= M$5), 0, MATCH($Q$2, tblPiNHistorical[[#Headers],[CCCM]:[WASH]], 0))=$H18, 1, 0))=0, "", SUM(IF(INDEX(_xlfn._xlws.FILTER(tblPiNHistorical[[CCCM]:[WASH]],#REF!= M$5), 0, MATCH($Q$2, tblPiNHistorical[[#Headers],[CCCM]:[WASH]], 0))=$H18, 1, 0))))), "")</f>
        <v/>
      </c>
      <c r="Z18" s="169"/>
    </row>
    <row r="19" spans="1:28">
      <c r="A19" s="93"/>
      <c r="B19" s="91" t="str" cm="1">
        <f t="array" ref="B19">IF($A19="", "", IF(SUM(IF(INDEX(_xlfn._xlws.FILTER(tblPiNAnalysis[[CCCM%]:[WASH%]], tblPiNAnalysis[Population Group]=B$5), 0, MATCH(_xlfn.CONCAT($Q$2, "%"), tblPiNAnalysis[[#Headers],[CCCM%]:[WASH%]], 0))=$A19, 1, 0))=0, "",SUM(IF(INDEX(_xlfn._xlws.FILTER(tblPiNAnalysis[[CCCM%]:[WASH%]], tblPiNAnalysis[Population Group]=B$5), 0, MATCH(_xlfn.CONCAT($Q$2, "%"), tblPiNAnalysis[[#Headers],[CCCM%]:[WASH%]], 0))=$A19, 1, 0))))</f>
        <v/>
      </c>
      <c r="C19" s="91" t="str" cm="1">
        <f t="array" ref="C19">IFERROR(IF(OR($A19="", C$5=""), "", IF(SUM(IF(INDEX(_xlfn._xlws.FILTER(tblPiNAnalysis[[CCCM%]:[WASH%]], tblPiNAnalysis[Population Group]=C$5), 0, MATCH(_xlfn.CONCAT($Q$2, "%"), tblPiNAnalysis[[#Headers],[CCCM%]:[WASH%]], 0))=$A19, 1, 0))=0, "",SUM(IF(INDEX(_xlfn._xlws.FILTER(tblPiNAnalysis[[CCCM%]:[WASH%]], tblPiNAnalysis[Population Group]=C$5), 0, MATCH(_xlfn.CONCAT($Q$2, "%"), tblPiNAnalysis[[#Headers],[CCCM%]:[WASH%]], 0))=$A19, 1, 0)))), "")</f>
        <v/>
      </c>
      <c r="D19" s="91" t="str" cm="1">
        <f t="array" ref="D19">IFERROR(IF(OR($A19="", D$5=""), "", IF(SUM(IF(INDEX(_xlfn._xlws.FILTER(tblPiNAnalysis[[CCCM%]:[WASH%]], tblPiNAnalysis[Population Group]=D$5), 0, MATCH(_xlfn.CONCAT($Q$2, "%"), tblPiNAnalysis[[#Headers],[CCCM%]:[WASH%]], 0))=$A19, 1, 0))=0, "",SUM(IF(INDEX(_xlfn._xlws.FILTER(tblPiNAnalysis[[CCCM%]:[WASH%]], tblPiNAnalysis[Population Group]=D$5), 0, MATCH(_xlfn.CONCAT($Q$2, "%"), tblPiNAnalysis[[#Headers],[CCCM%]:[WASH%]], 0))=$A19, 1, 0)))), "")</f>
        <v/>
      </c>
      <c r="E19" s="91" t="str" cm="1">
        <f t="array" ref="E19">IFERROR(IF(OR($A19="", E$5=""), "", IF(SUM(IF(INDEX(_xlfn._xlws.FILTER(tblPiNAnalysis[[CCCM%]:[WASH%]], tblPiNAnalysis[Population Group]=E$5), 0, MATCH(_xlfn.CONCAT($Q$2, "%"), tblPiNAnalysis[[#Headers],[CCCM%]:[WASH%]], 0))=$A19, 1, 0))=0, "",SUM(IF(INDEX(_xlfn._xlws.FILTER(tblPiNAnalysis[[CCCM%]:[WASH%]], tblPiNAnalysis[Population Group]=E$5), 0, MATCH(_xlfn.CONCAT($Q$2, "%"), tblPiNAnalysis[[#Headers],[CCCM%]:[WASH%]], 0))=$A19, 1, 0)))), "")</f>
        <v/>
      </c>
      <c r="F19" s="91" t="str" cm="1">
        <f t="array" ref="F19">IFERROR(IF(OR($A19="", F$5=""), "", IF(SUM(IF(INDEX(_xlfn._xlws.FILTER(tblPiNAnalysis[[CCCM%]:[WASH%]], tblPiNAnalysis[CCCM]=F$5), 0, MATCH(_xlfn.CONCAT($Q$2, "%"), tblPiNAnalysis[[#Headers],[CCCM%]:[WASH%]], 0))=$A19, 1, 0))=0, "",SUM(IF(INDEX(_xlfn._xlws.FILTER(tblPiNAnalysis[[CCCM%]:[WASH%]], tblPiNAnalysis[CCCM]=F$5), 0, MATCH(_xlfn.CONCAT($Q$2, "%"), tblPiNAnalysis[[#Headers],[CCCM%]:[WASH%]], 0))=$A19, 1, 0)))), "")</f>
        <v/>
      </c>
      <c r="H19" s="93">
        <v>0.7</v>
      </c>
      <c r="I19" s="91" t="str" cm="1">
        <f t="array" ref="I19">IF($H19="", "", IF($H19=2, SUM(IF(INDEX(_xlfn._xlws.FILTER(tblPiNHistorical[[CCCM]:[WASH]], tblPiNHistorical[Population Group]=I$5), 0, MATCH($Q$2, tblPiNHistorical[[#Headers],[CCCM]:[WASH]], 0))&gt;1.9, 1, 0)), IF(SUM(IF(INDEX(_xlfn._xlws.FILTER(tblPiNHistorical[[CCCM]:[WASH]], tblPiNHistorical[Population Group]=I$5), 0, MATCH($Q$2, tblPiNHistorical[[#Headers],[CCCM]:[WASH]], 0))=$H19, 1, 0))=0, "", SUM(IF(INDEX(_xlfn._xlws.FILTER(tblPiNHistorical[[CCCM]:[WASH]], tblPiNHistorical[Population Group]=I$5), 0, MATCH($Q$2, tblPiNHistorical[[#Headers],[CCCM]:[WASH]], 0))=$H19, 1, 0)))))</f>
        <v/>
      </c>
      <c r="J19" s="91" t="str" cm="1">
        <f t="array" ref="J19">IFERROR(IF(OR($H19="", J18=""), "", IF($H19=2, SUM(IF(INDEX(_xlfn._xlws.FILTER(tblPiNHistorical[[CCCM]:[WASH]], tblPiNHistorical[Population Group]=J$5), 0, MATCH($Q$2, tblPiNHistorical[[#Headers],[CCCM]:[WASH]], 0))&gt;1.9, 1, 0)), IF(SUM(IF(INDEX(_xlfn._xlws.FILTER(tblPiNHistorical[[CCCM]:[WASH]], tblPiNHistorical[Population Group]=J$5), 0, MATCH($Q$2, tblPiNHistorical[[#Headers],[CCCM]:[WASH]], 0))=$H19, 1, 0))=0, "", SUM(IF(INDEX(_xlfn._xlws.FILTER(tblPiNHistorical[[CCCM]:[WASH]], tblPiNHistorical[Population Group]=J$5), 0, MATCH($Q$2, tblPiNHistorical[[#Headers],[CCCM]:[WASH]], 0))=$H19, 1, 0))))), "")</f>
        <v/>
      </c>
      <c r="K19" s="91" t="str" cm="1">
        <f t="array" ref="K19">IFERROR(IF(OR($H19="", K18=""), "", IF($H19=2, SUM(IF(INDEX(_xlfn._xlws.FILTER(tblPiNHistorical[[CCCM]:[WASH]], tblPiNHistorical[CCCM - old]=K$5), 0, MATCH($Q$2, tblPiNHistorical[[#Headers],[CCCM]:[WASH]], 0))&gt;1.9, 1, 0)), IF(SUM(IF(INDEX(_xlfn._xlws.FILTER(tblPiNHistorical[[CCCM]:[WASH]], tblPiNHistorical[CCCM - old]=K$5), 0, MATCH($Q$2, tblPiNHistorical[[#Headers],[CCCM]:[WASH]], 0))=$H19, 1, 0))=0, "", SUM(IF(INDEX(_xlfn._xlws.FILTER(tblPiNHistorical[[CCCM]:[WASH]], tblPiNHistorical[CCCM - old]=K$5), 0, MATCH($Q$2, tblPiNHistorical[[#Headers],[CCCM]:[WASH]], 0))=$H19, 1, 0))))), "")</f>
        <v/>
      </c>
      <c r="L19" s="91" t="str" cm="1">
        <f t="array" ref="L19">IFERROR(IF(OR($H19="", L18=""), "", IF($H19=2, SUM(IF(INDEX(_xlfn._xlws.FILTER(tblPiNHistorical[[CCCM]:[WASH]],#REF!= L$5), 0, MATCH($Q$2, tblPiNHistorical[[#Headers],[CCCM]:[WASH]], 0))&gt;1.9, 1, 0)), IF(SUM(IF(INDEX(_xlfn._xlws.FILTER(tblPiNHistorical[[CCCM]:[WASH]],#REF!= L$5), 0, MATCH($Q$2, tblPiNHistorical[[#Headers],[CCCM]:[WASH]], 0))=$H19, 1, 0))=0, "", SUM(IF(INDEX(_xlfn._xlws.FILTER(tblPiNHistorical[[CCCM]:[WASH]],#REF!= L$5), 0, MATCH($Q$2, tblPiNHistorical[[#Headers],[CCCM]:[WASH]], 0))=$H19, 1, 0))))), "")</f>
        <v/>
      </c>
      <c r="M19" s="91" t="str" cm="1">
        <f t="array" ref="M19">IFERROR(IF(OR($H19="", M18=""), "", IF($H19=2, SUM(IF(INDEX(_xlfn._xlws.FILTER(tblPiNHistorical[[CCCM]:[WASH]],#REF!= M$5), 0, MATCH($Q$2, tblPiNHistorical[[#Headers],[CCCM]:[WASH]], 0))&gt;1.9, 1, 0)), IF(SUM(IF(INDEX(_xlfn._xlws.FILTER(tblPiNHistorical[[CCCM]:[WASH]],#REF!= M$5), 0, MATCH($Q$2, tblPiNHistorical[[#Headers],[CCCM]:[WASH]], 0))=$H19, 1, 0))=0, "", SUM(IF(INDEX(_xlfn._xlws.FILTER(tblPiNHistorical[[CCCM]:[WASH]],#REF!= M$5), 0, MATCH($Q$2, tblPiNHistorical[[#Headers],[CCCM]:[WASH]], 0))=$H19, 1, 0))))), "")</f>
        <v/>
      </c>
      <c r="Z19" s="169"/>
    </row>
    <row r="20" spans="1:28">
      <c r="A20" s="93"/>
      <c r="B20" s="91" t="str" cm="1">
        <f t="array" ref="B20">IF($A20="", "", IF(SUM(IF(INDEX(_xlfn._xlws.FILTER(tblPiNAnalysis[[CCCM%]:[WASH%]], tblPiNAnalysis[Population Group]=B$5), 0, MATCH(_xlfn.CONCAT($Q$2, "%"), tblPiNAnalysis[[#Headers],[CCCM%]:[WASH%]], 0))=$A20, 1, 0))=0, "",SUM(IF(INDEX(_xlfn._xlws.FILTER(tblPiNAnalysis[[CCCM%]:[WASH%]], tblPiNAnalysis[Population Group]=B$5), 0, MATCH(_xlfn.CONCAT($Q$2, "%"), tblPiNAnalysis[[#Headers],[CCCM%]:[WASH%]], 0))=$A20, 1, 0))))</f>
        <v/>
      </c>
      <c r="C20" s="91" t="str" cm="1">
        <f t="array" ref="C20">IFERROR(IF(OR($A20="", C$5=""), "", IF(SUM(IF(INDEX(_xlfn._xlws.FILTER(tblPiNAnalysis[[CCCM%]:[WASH%]], tblPiNAnalysis[Population Group]=C$5), 0, MATCH(_xlfn.CONCAT($Q$2, "%"), tblPiNAnalysis[[#Headers],[CCCM%]:[WASH%]], 0))=$A20, 1, 0))=0, "",SUM(IF(INDEX(_xlfn._xlws.FILTER(tblPiNAnalysis[[CCCM%]:[WASH%]], tblPiNAnalysis[Population Group]=C$5), 0, MATCH(_xlfn.CONCAT($Q$2, "%"), tblPiNAnalysis[[#Headers],[CCCM%]:[WASH%]], 0))=$A20, 1, 0)))), "")</f>
        <v/>
      </c>
      <c r="D20" s="91" t="str" cm="1">
        <f t="array" ref="D20">IFERROR(IF(OR($A20="", D$5=""), "", IF(SUM(IF(INDEX(_xlfn._xlws.FILTER(tblPiNAnalysis[[CCCM%]:[WASH%]], tblPiNAnalysis[Population Group]=D$5), 0, MATCH(_xlfn.CONCAT($Q$2, "%"), tblPiNAnalysis[[#Headers],[CCCM%]:[WASH%]], 0))=$A20, 1, 0))=0, "",SUM(IF(INDEX(_xlfn._xlws.FILTER(tblPiNAnalysis[[CCCM%]:[WASH%]], tblPiNAnalysis[Population Group]=D$5), 0, MATCH(_xlfn.CONCAT($Q$2, "%"), tblPiNAnalysis[[#Headers],[CCCM%]:[WASH%]], 0))=$A20, 1, 0)))), "")</f>
        <v/>
      </c>
      <c r="E20" s="91" t="str" cm="1">
        <f t="array" ref="E20">IFERROR(IF(OR($A20="", E$5=""), "", IF(SUM(IF(INDEX(_xlfn._xlws.FILTER(tblPiNAnalysis[[CCCM%]:[WASH%]], tblPiNAnalysis[Population Group]=E$5), 0, MATCH(_xlfn.CONCAT($Q$2, "%"), tblPiNAnalysis[[#Headers],[CCCM%]:[WASH%]], 0))=$A20, 1, 0))=0, "",SUM(IF(INDEX(_xlfn._xlws.FILTER(tblPiNAnalysis[[CCCM%]:[WASH%]], tblPiNAnalysis[Population Group]=E$5), 0, MATCH(_xlfn.CONCAT($Q$2, "%"), tblPiNAnalysis[[#Headers],[CCCM%]:[WASH%]], 0))=$A20, 1, 0)))), "")</f>
        <v/>
      </c>
      <c r="F20" s="91" t="str" cm="1">
        <f t="array" ref="F20">IFERROR(IF(OR($A20="", F$5=""), "", IF(SUM(IF(INDEX(_xlfn._xlws.FILTER(tblPiNAnalysis[[CCCM%]:[WASH%]], tblPiNAnalysis[CCCM]=F$5), 0, MATCH(_xlfn.CONCAT($Q$2, "%"), tblPiNAnalysis[[#Headers],[CCCM%]:[WASH%]], 0))=$A20, 1, 0))=0, "",SUM(IF(INDEX(_xlfn._xlws.FILTER(tblPiNAnalysis[[CCCM%]:[WASH%]], tblPiNAnalysis[CCCM]=F$5), 0, MATCH(_xlfn.CONCAT($Q$2, "%"), tblPiNAnalysis[[#Headers],[CCCM%]:[WASH%]], 0))=$A20, 1, 0)))), "")</f>
        <v/>
      </c>
      <c r="H20" s="93">
        <v>0.9</v>
      </c>
      <c r="I20" s="91" cm="1">
        <f t="array" ref="I20">IF($H20="", "", IF($H20=2, SUM(IF(INDEX(_xlfn._xlws.FILTER(tblPiNHistorical[[CCCM]:[WASH]], tblPiNHistorical[Population Group]=I$5), 0, MATCH($Q$2, tblPiNHistorical[[#Headers],[CCCM]:[WASH]], 0))&gt;1.9, 1, 0)), IF(SUM(IF(INDEX(_xlfn._xlws.FILTER(tblPiNHistorical[[CCCM]:[WASH]], tblPiNHistorical[Population Group]=I$5), 0, MATCH($Q$2, tblPiNHistorical[[#Headers],[CCCM]:[WASH]], 0))=$H20, 1, 0))=0, "", SUM(IF(INDEX(_xlfn._xlws.FILTER(tblPiNHistorical[[CCCM]:[WASH]], tblPiNHistorical[Population Group]=I$5), 0, MATCH($Q$2, tblPiNHistorical[[#Headers],[CCCM]:[WASH]], 0))=$H20, 1, 0)))))</f>
        <v>1</v>
      </c>
      <c r="J20" s="91" t="str" cm="1">
        <f t="array" ref="J20">IFERROR(IF(OR($H20="", J19=""), "", IF($H20=2, SUM(IF(INDEX(_xlfn._xlws.FILTER(tblPiNHistorical[[CCCM]:[WASH]], tblPiNHistorical[Population Group]=J$5), 0, MATCH($Q$2, tblPiNHistorical[[#Headers],[CCCM]:[WASH]], 0))&gt;1.9, 1, 0)), IF(SUM(IF(INDEX(_xlfn._xlws.FILTER(tblPiNHistorical[[CCCM]:[WASH]], tblPiNHistorical[Population Group]=J$5), 0, MATCH($Q$2, tblPiNHistorical[[#Headers],[CCCM]:[WASH]], 0))=$H20, 1, 0))=0, "", SUM(IF(INDEX(_xlfn._xlws.FILTER(tblPiNHistorical[[CCCM]:[WASH]], tblPiNHistorical[Population Group]=J$5), 0, MATCH($Q$2, tblPiNHistorical[[#Headers],[CCCM]:[WASH]], 0))=$H20, 1, 0))))), "")</f>
        <v/>
      </c>
      <c r="K20" s="91" t="str" cm="1">
        <f t="array" ref="K20">IFERROR(IF(OR($H20="", K19=""), "", IF($H20=2, SUM(IF(INDEX(_xlfn._xlws.FILTER(tblPiNHistorical[[CCCM]:[WASH]], tblPiNHistorical[CCCM - old]=K$5), 0, MATCH($Q$2, tblPiNHistorical[[#Headers],[CCCM]:[WASH]], 0))&gt;1.9, 1, 0)), IF(SUM(IF(INDEX(_xlfn._xlws.FILTER(tblPiNHistorical[[CCCM]:[WASH]], tblPiNHistorical[CCCM - old]=K$5), 0, MATCH($Q$2, tblPiNHistorical[[#Headers],[CCCM]:[WASH]], 0))=$H20, 1, 0))=0, "", SUM(IF(INDEX(_xlfn._xlws.FILTER(tblPiNHistorical[[CCCM]:[WASH]], tblPiNHistorical[CCCM - old]=K$5), 0, MATCH($Q$2, tblPiNHistorical[[#Headers],[CCCM]:[WASH]], 0))=$H20, 1, 0))))), "")</f>
        <v/>
      </c>
      <c r="L20" s="91" t="str" cm="1">
        <f t="array" ref="L20">IFERROR(IF(OR($H20="", L19=""), "", IF($H20=2, SUM(IF(INDEX(_xlfn._xlws.FILTER(tblPiNHistorical[[CCCM]:[WASH]],#REF!= L$5), 0, MATCH($Q$2, tblPiNHistorical[[#Headers],[CCCM]:[WASH]], 0))&gt;1.9, 1, 0)), IF(SUM(IF(INDEX(_xlfn._xlws.FILTER(tblPiNHistorical[[CCCM]:[WASH]],#REF!= L$5), 0, MATCH($Q$2, tblPiNHistorical[[#Headers],[CCCM]:[WASH]], 0))=$H20, 1, 0))=0, "", SUM(IF(INDEX(_xlfn._xlws.FILTER(tblPiNHistorical[[CCCM]:[WASH]],#REF!= L$5), 0, MATCH($Q$2, tblPiNHistorical[[#Headers],[CCCM]:[WASH]], 0))=$H20, 1, 0))))), "")</f>
        <v/>
      </c>
      <c r="M20" s="91" t="str" cm="1">
        <f t="array" ref="M20">IFERROR(IF(OR($H20="", M19=""), "", IF($H20=2, SUM(IF(INDEX(_xlfn._xlws.FILTER(tblPiNHistorical[[CCCM]:[WASH]],#REF!= M$5), 0, MATCH($Q$2, tblPiNHistorical[[#Headers],[CCCM]:[WASH]], 0))&gt;1.9, 1, 0)), IF(SUM(IF(INDEX(_xlfn._xlws.FILTER(tblPiNHistorical[[CCCM]:[WASH]],#REF!= M$5), 0, MATCH($Q$2, tblPiNHistorical[[#Headers],[CCCM]:[WASH]], 0))=$H20, 1, 0))=0, "", SUM(IF(INDEX(_xlfn._xlws.FILTER(tblPiNHistorical[[CCCM]:[WASH]],#REF!= M$5), 0, MATCH($Q$2, tblPiNHistorical[[#Headers],[CCCM]:[WASH]], 0))=$H20, 1, 0))))), "")</f>
        <v/>
      </c>
      <c r="Z20" s="169"/>
    </row>
    <row r="21" spans="1:28">
      <c r="A21" s="93"/>
      <c r="B21" s="91" t="str" cm="1">
        <f t="array" ref="B21">IF($A21="", "", IF(SUM(IF(INDEX(_xlfn._xlws.FILTER(tblPiNAnalysis[[CCCM%]:[WASH%]], tblPiNAnalysis[Population Group]=B$5), 0, MATCH(_xlfn.CONCAT($Q$2, "%"), tblPiNAnalysis[[#Headers],[CCCM%]:[WASH%]], 0))=$A21, 1, 0))=0, "",SUM(IF(INDEX(_xlfn._xlws.FILTER(tblPiNAnalysis[[CCCM%]:[WASH%]], tblPiNAnalysis[Population Group]=B$5), 0, MATCH(_xlfn.CONCAT($Q$2, "%"), tblPiNAnalysis[[#Headers],[CCCM%]:[WASH%]], 0))=$A21, 1, 0))))</f>
        <v/>
      </c>
      <c r="C21" s="91" t="str" cm="1">
        <f t="array" ref="C21">IFERROR(IF(OR($A21="", C$5=""), "", IF(SUM(IF(INDEX(_xlfn._xlws.FILTER(tblPiNAnalysis[[CCCM%]:[WASH%]], tblPiNAnalysis[Population Group]=C$5), 0, MATCH(_xlfn.CONCAT($Q$2, "%"), tblPiNAnalysis[[#Headers],[CCCM%]:[WASH%]], 0))=$A21, 1, 0))=0, "",SUM(IF(INDEX(_xlfn._xlws.FILTER(tblPiNAnalysis[[CCCM%]:[WASH%]], tblPiNAnalysis[Population Group]=C$5), 0, MATCH(_xlfn.CONCAT($Q$2, "%"), tblPiNAnalysis[[#Headers],[CCCM%]:[WASH%]], 0))=$A21, 1, 0)))), "")</f>
        <v/>
      </c>
      <c r="D21" s="91" t="str" cm="1">
        <f t="array" ref="D21">IFERROR(IF(OR($A21="", D$5=""), "", IF(SUM(IF(INDEX(_xlfn._xlws.FILTER(tblPiNAnalysis[[CCCM%]:[WASH%]], tblPiNAnalysis[Population Group]=D$5), 0, MATCH(_xlfn.CONCAT($Q$2, "%"), tblPiNAnalysis[[#Headers],[CCCM%]:[WASH%]], 0))=$A21, 1, 0))=0, "",SUM(IF(INDEX(_xlfn._xlws.FILTER(tblPiNAnalysis[[CCCM%]:[WASH%]], tblPiNAnalysis[Population Group]=D$5), 0, MATCH(_xlfn.CONCAT($Q$2, "%"), tblPiNAnalysis[[#Headers],[CCCM%]:[WASH%]], 0))=$A21, 1, 0)))), "")</f>
        <v/>
      </c>
      <c r="E21" s="91" t="str" cm="1">
        <f t="array" ref="E21">IFERROR(IF(OR($A21="", E$5=""), "", IF(SUM(IF(INDEX(_xlfn._xlws.FILTER(tblPiNAnalysis[[CCCM%]:[WASH%]], tblPiNAnalysis[Population Group]=E$5), 0, MATCH(_xlfn.CONCAT($Q$2, "%"), tblPiNAnalysis[[#Headers],[CCCM%]:[WASH%]], 0))=$A21, 1, 0))=0, "",SUM(IF(INDEX(_xlfn._xlws.FILTER(tblPiNAnalysis[[CCCM%]:[WASH%]], tblPiNAnalysis[Population Group]=E$5), 0, MATCH(_xlfn.CONCAT($Q$2, "%"), tblPiNAnalysis[[#Headers],[CCCM%]:[WASH%]], 0))=$A21, 1, 0)))), "")</f>
        <v/>
      </c>
      <c r="F21" s="91" t="str" cm="1">
        <f t="array" ref="F21">IFERROR(IF(OR($A21="", F$5=""), "", IF(SUM(IF(INDEX(_xlfn._xlws.FILTER(tblPiNAnalysis[[CCCM%]:[WASH%]], tblPiNAnalysis[CCCM]=F$5), 0, MATCH(_xlfn.CONCAT($Q$2, "%"), tblPiNAnalysis[[#Headers],[CCCM%]:[WASH%]], 0))=$A21, 1, 0))=0, "",SUM(IF(INDEX(_xlfn._xlws.FILTER(tblPiNAnalysis[[CCCM%]:[WASH%]], tblPiNAnalysis[CCCM]=F$5), 0, MATCH(_xlfn.CONCAT($Q$2, "%"), tblPiNAnalysis[[#Headers],[CCCM%]:[WASH%]], 0))=$A21, 1, 0)))), "")</f>
        <v/>
      </c>
      <c r="H21" s="93">
        <v>1.3</v>
      </c>
      <c r="I21" s="91" t="str" cm="1">
        <f t="array" ref="I21">IF($H21="", "", IF($H21=2, SUM(IF(INDEX(_xlfn._xlws.FILTER(tblPiNHistorical[[CCCM]:[WASH]], tblPiNHistorical[Population Group]=I$5), 0, MATCH($Q$2, tblPiNHistorical[[#Headers],[CCCM]:[WASH]], 0))&gt;1.9, 1, 0)), IF(SUM(IF(INDEX(_xlfn._xlws.FILTER(tblPiNHistorical[[CCCM]:[WASH]], tblPiNHistorical[Population Group]=I$5), 0, MATCH($Q$2, tblPiNHistorical[[#Headers],[CCCM]:[WASH]], 0))=$H21, 1, 0))=0, "", SUM(IF(INDEX(_xlfn._xlws.FILTER(tblPiNHistorical[[CCCM]:[WASH]], tblPiNHistorical[Population Group]=I$5), 0, MATCH($Q$2, tblPiNHistorical[[#Headers],[CCCM]:[WASH]], 0))=$H21, 1, 0)))))</f>
        <v/>
      </c>
      <c r="J21" s="91" t="str" cm="1">
        <f t="array" ref="J21">IFERROR(IF(OR($H21="", J20=""), "", IF($H21=2, SUM(IF(INDEX(_xlfn._xlws.FILTER(tblPiNHistorical[[CCCM]:[WASH]], tblPiNHistorical[Population Group]=J$5), 0, MATCH($Q$2, tblPiNHistorical[[#Headers],[CCCM]:[WASH]], 0))&gt;1.9, 1, 0)), IF(SUM(IF(INDEX(_xlfn._xlws.FILTER(tblPiNHistorical[[CCCM]:[WASH]], tblPiNHistorical[Population Group]=J$5), 0, MATCH($Q$2, tblPiNHistorical[[#Headers],[CCCM]:[WASH]], 0))=$H21, 1, 0))=0, "", SUM(IF(INDEX(_xlfn._xlws.FILTER(tblPiNHistorical[[CCCM]:[WASH]], tblPiNHistorical[Population Group]=J$5), 0, MATCH($Q$2, tblPiNHistorical[[#Headers],[CCCM]:[WASH]], 0))=$H21, 1, 0))))), "")</f>
        <v/>
      </c>
      <c r="K21" s="91" t="str" cm="1">
        <f t="array" ref="K21">IFERROR(IF(OR($H21="", K20=""), "", IF($H21=2, SUM(IF(INDEX(_xlfn._xlws.FILTER(tblPiNHistorical[[CCCM]:[WASH]], tblPiNHistorical[CCCM - old]=K$5), 0, MATCH($Q$2, tblPiNHistorical[[#Headers],[CCCM]:[WASH]], 0))&gt;1.9, 1, 0)), IF(SUM(IF(INDEX(_xlfn._xlws.FILTER(tblPiNHistorical[[CCCM]:[WASH]], tblPiNHistorical[CCCM - old]=K$5), 0, MATCH($Q$2, tblPiNHistorical[[#Headers],[CCCM]:[WASH]], 0))=$H21, 1, 0))=0, "", SUM(IF(INDEX(_xlfn._xlws.FILTER(tblPiNHistorical[[CCCM]:[WASH]], tblPiNHistorical[CCCM - old]=K$5), 0, MATCH($Q$2, tblPiNHistorical[[#Headers],[CCCM]:[WASH]], 0))=$H21, 1, 0))))), "")</f>
        <v/>
      </c>
      <c r="L21" s="91" t="str" cm="1">
        <f t="array" ref="L21">IFERROR(IF(OR($H21="", L20=""), "", IF($H21=2, SUM(IF(INDEX(_xlfn._xlws.FILTER(tblPiNHistorical[[CCCM]:[WASH]],#REF!= L$5), 0, MATCH($Q$2, tblPiNHistorical[[#Headers],[CCCM]:[WASH]], 0))&gt;1.9, 1, 0)), IF(SUM(IF(INDEX(_xlfn._xlws.FILTER(tblPiNHistorical[[CCCM]:[WASH]],#REF!= L$5), 0, MATCH($Q$2, tblPiNHistorical[[#Headers],[CCCM]:[WASH]], 0))=$H21, 1, 0))=0, "", SUM(IF(INDEX(_xlfn._xlws.FILTER(tblPiNHistorical[[CCCM]:[WASH]],#REF!= L$5), 0, MATCH($Q$2, tblPiNHistorical[[#Headers],[CCCM]:[WASH]], 0))=$H21, 1, 0))))), "")</f>
        <v/>
      </c>
      <c r="M21" s="91" t="str" cm="1">
        <f t="array" ref="M21">IFERROR(IF(OR($H21="", M20=""), "", IF($H21=2, SUM(IF(INDEX(_xlfn._xlws.FILTER(tblPiNHistorical[[CCCM]:[WASH]],#REF!= M$5), 0, MATCH($Q$2, tblPiNHistorical[[#Headers],[CCCM]:[WASH]], 0))&gt;1.9, 1, 0)), IF(SUM(IF(INDEX(_xlfn._xlws.FILTER(tblPiNHistorical[[CCCM]:[WASH]],#REF!= M$5), 0, MATCH($Q$2, tblPiNHistorical[[#Headers],[CCCM]:[WASH]], 0))=$H21, 1, 0))=0, "", SUM(IF(INDEX(_xlfn._xlws.FILTER(tblPiNHistorical[[CCCM]:[WASH]],#REF!= M$5), 0, MATCH($Q$2, tblPiNHistorical[[#Headers],[CCCM]:[WASH]], 0))=$H21, 1, 0))))), "")</f>
        <v/>
      </c>
      <c r="Z21" s="169"/>
    </row>
    <row r="22" spans="1:28">
      <c r="A22" s="93"/>
      <c r="B22" s="91" t="str" cm="1">
        <f t="array" ref="B22">IF($A22="", "", IF(SUM(IF(INDEX(_xlfn._xlws.FILTER(tblPiNAnalysis[[CCCM%]:[WASH%]], tblPiNAnalysis[Population Group]=B$5), 0, MATCH(_xlfn.CONCAT($Q$2, "%"), tblPiNAnalysis[[#Headers],[CCCM%]:[WASH%]], 0))=$A22, 1, 0))=0, "",SUM(IF(INDEX(_xlfn._xlws.FILTER(tblPiNAnalysis[[CCCM%]:[WASH%]], tblPiNAnalysis[Population Group]=B$5), 0, MATCH(_xlfn.CONCAT($Q$2, "%"), tblPiNAnalysis[[#Headers],[CCCM%]:[WASH%]], 0))=$A22, 1, 0))))</f>
        <v/>
      </c>
      <c r="C22" s="91" t="str" cm="1">
        <f t="array" ref="C22">IFERROR(IF(OR($A22="", C$5=""), "", IF(SUM(IF(INDEX(_xlfn._xlws.FILTER(tblPiNAnalysis[[CCCM%]:[WASH%]], tblPiNAnalysis[Population Group]=C$5), 0, MATCH(_xlfn.CONCAT($Q$2, "%"), tblPiNAnalysis[[#Headers],[CCCM%]:[WASH%]], 0))=$A22, 1, 0))=0, "",SUM(IF(INDEX(_xlfn._xlws.FILTER(tblPiNAnalysis[[CCCM%]:[WASH%]], tblPiNAnalysis[Population Group]=C$5), 0, MATCH(_xlfn.CONCAT($Q$2, "%"), tblPiNAnalysis[[#Headers],[CCCM%]:[WASH%]], 0))=$A22, 1, 0)))), "")</f>
        <v/>
      </c>
      <c r="D22" s="91" t="str" cm="1">
        <f t="array" ref="D22">IFERROR(IF(OR($A22="", D$5=""), "", IF(SUM(IF(INDEX(_xlfn._xlws.FILTER(tblPiNAnalysis[[CCCM%]:[WASH%]], tblPiNAnalysis[Population Group]=D$5), 0, MATCH(_xlfn.CONCAT($Q$2, "%"), tblPiNAnalysis[[#Headers],[CCCM%]:[WASH%]], 0))=$A22, 1, 0))=0, "",SUM(IF(INDEX(_xlfn._xlws.FILTER(tblPiNAnalysis[[CCCM%]:[WASH%]], tblPiNAnalysis[Population Group]=D$5), 0, MATCH(_xlfn.CONCAT($Q$2, "%"), tblPiNAnalysis[[#Headers],[CCCM%]:[WASH%]], 0))=$A22, 1, 0)))), "")</f>
        <v/>
      </c>
      <c r="E22" s="91" t="str" cm="1">
        <f t="array" ref="E22">IFERROR(IF(OR($A22="", E$5=""), "", IF(SUM(IF(INDEX(_xlfn._xlws.FILTER(tblPiNAnalysis[[CCCM%]:[WASH%]], tblPiNAnalysis[Population Group]=E$5), 0, MATCH(_xlfn.CONCAT($Q$2, "%"), tblPiNAnalysis[[#Headers],[CCCM%]:[WASH%]], 0))=$A22, 1, 0))=0, "",SUM(IF(INDEX(_xlfn._xlws.FILTER(tblPiNAnalysis[[CCCM%]:[WASH%]], tblPiNAnalysis[Population Group]=E$5), 0, MATCH(_xlfn.CONCAT($Q$2, "%"), tblPiNAnalysis[[#Headers],[CCCM%]:[WASH%]], 0))=$A22, 1, 0)))), "")</f>
        <v/>
      </c>
      <c r="F22" s="91" t="str" cm="1">
        <f t="array" ref="F22">IFERROR(IF(OR($A22="", F$5=""), "", IF(SUM(IF(INDEX(_xlfn._xlws.FILTER(tblPiNAnalysis[[CCCM%]:[WASH%]], tblPiNAnalysis[CCCM]=F$5), 0, MATCH(_xlfn.CONCAT($Q$2, "%"), tblPiNAnalysis[[#Headers],[CCCM%]:[WASH%]], 0))=$A22, 1, 0))=0, "",SUM(IF(INDEX(_xlfn._xlws.FILTER(tblPiNAnalysis[[CCCM%]:[WASH%]], tblPiNAnalysis[CCCM]=F$5), 0, MATCH(_xlfn.CONCAT($Q$2, "%"), tblPiNAnalysis[[#Headers],[CCCM%]:[WASH%]], 0))=$A22, 1, 0)))), "")</f>
        <v/>
      </c>
      <c r="H22" s="93">
        <v>1.4</v>
      </c>
      <c r="I22" s="91" t="str" cm="1">
        <f t="array" ref="I22">IF($H22="", "", IF($H22=2, SUM(IF(INDEX(_xlfn._xlws.FILTER(tblPiNHistorical[[CCCM]:[WASH]], tblPiNHistorical[Population Group]=I$5), 0, MATCH($Q$2, tblPiNHistorical[[#Headers],[CCCM]:[WASH]], 0))&gt;1.9, 1, 0)), IF(SUM(IF(INDEX(_xlfn._xlws.FILTER(tblPiNHistorical[[CCCM]:[WASH]], tblPiNHistorical[Population Group]=I$5), 0, MATCH($Q$2, tblPiNHistorical[[#Headers],[CCCM]:[WASH]], 0))=$H22, 1, 0))=0, "", SUM(IF(INDEX(_xlfn._xlws.FILTER(tblPiNHistorical[[CCCM]:[WASH]], tblPiNHistorical[Population Group]=I$5), 0, MATCH($Q$2, tblPiNHistorical[[#Headers],[CCCM]:[WASH]], 0))=$H22, 1, 0)))))</f>
        <v/>
      </c>
      <c r="J22" s="91" t="str" cm="1">
        <f t="array" ref="J22">IFERROR(IF(OR($H22="", J21=""), "", IF($H22=2, SUM(IF(INDEX(_xlfn._xlws.FILTER(tblPiNHistorical[[CCCM]:[WASH]], tblPiNHistorical[Population Group]=J$5), 0, MATCH($Q$2, tblPiNHistorical[[#Headers],[CCCM]:[WASH]], 0))&gt;1.9, 1, 0)), IF(SUM(IF(INDEX(_xlfn._xlws.FILTER(tblPiNHistorical[[CCCM]:[WASH]], tblPiNHistorical[Population Group]=J$5), 0, MATCH($Q$2, tblPiNHistorical[[#Headers],[CCCM]:[WASH]], 0))=$H22, 1, 0))=0, "", SUM(IF(INDEX(_xlfn._xlws.FILTER(tblPiNHistorical[[CCCM]:[WASH]], tblPiNHistorical[Population Group]=J$5), 0, MATCH($Q$2, tblPiNHistorical[[#Headers],[CCCM]:[WASH]], 0))=$H22, 1, 0))))), "")</f>
        <v/>
      </c>
      <c r="K22" s="91" t="str" cm="1">
        <f t="array" ref="K22">IFERROR(IF(OR($H22="", K21=""), "", IF($H22=2, SUM(IF(INDEX(_xlfn._xlws.FILTER(tblPiNHistorical[[CCCM]:[WASH]], tblPiNHistorical[CCCM - old]=K$5), 0, MATCH($Q$2, tblPiNHistorical[[#Headers],[CCCM]:[WASH]], 0))&gt;1.9, 1, 0)), IF(SUM(IF(INDEX(_xlfn._xlws.FILTER(tblPiNHistorical[[CCCM]:[WASH]], tblPiNHistorical[CCCM - old]=K$5), 0, MATCH($Q$2, tblPiNHistorical[[#Headers],[CCCM]:[WASH]], 0))=$H22, 1, 0))=0, "", SUM(IF(INDEX(_xlfn._xlws.FILTER(tblPiNHistorical[[CCCM]:[WASH]], tblPiNHistorical[CCCM - old]=K$5), 0, MATCH($Q$2, tblPiNHistorical[[#Headers],[CCCM]:[WASH]], 0))=$H22, 1, 0))))), "")</f>
        <v/>
      </c>
      <c r="L22" s="91" t="str" cm="1">
        <f t="array" ref="L22">IFERROR(IF(OR($H22="", L21=""), "", IF($H22=2, SUM(IF(INDEX(_xlfn._xlws.FILTER(tblPiNHistorical[[CCCM]:[WASH]],#REF!= L$5), 0, MATCH($Q$2, tblPiNHistorical[[#Headers],[CCCM]:[WASH]], 0))&gt;1.9, 1, 0)), IF(SUM(IF(INDEX(_xlfn._xlws.FILTER(tblPiNHistorical[[CCCM]:[WASH]],#REF!= L$5), 0, MATCH($Q$2, tblPiNHistorical[[#Headers],[CCCM]:[WASH]], 0))=$H22, 1, 0))=0, "", SUM(IF(INDEX(_xlfn._xlws.FILTER(tblPiNHistorical[[CCCM]:[WASH]],#REF!= L$5), 0, MATCH($Q$2, tblPiNHistorical[[#Headers],[CCCM]:[WASH]], 0))=$H22, 1, 0))))), "")</f>
        <v/>
      </c>
      <c r="M22" s="91" t="str" cm="1">
        <f t="array" ref="M22">IFERROR(IF(OR($H22="", M21=""), "", IF($H22=2, SUM(IF(INDEX(_xlfn._xlws.FILTER(tblPiNHistorical[[CCCM]:[WASH]],#REF!= M$5), 0, MATCH($Q$2, tblPiNHistorical[[#Headers],[CCCM]:[WASH]], 0))&gt;1.9, 1, 0)), IF(SUM(IF(INDEX(_xlfn._xlws.FILTER(tblPiNHistorical[[CCCM]:[WASH]],#REF!= M$5), 0, MATCH($Q$2, tblPiNHistorical[[#Headers],[CCCM]:[WASH]], 0))=$H22, 1, 0))=0, "", SUM(IF(INDEX(_xlfn._xlws.FILTER(tblPiNHistorical[[CCCM]:[WASH]],#REF!= M$5), 0, MATCH($Q$2, tblPiNHistorical[[#Headers],[CCCM]:[WASH]], 0))=$H22, 1, 0))))), "")</f>
        <v/>
      </c>
      <c r="Z22" s="169"/>
    </row>
    <row r="23" spans="1:28">
      <c r="A23" s="93"/>
      <c r="B23" s="91" t="str" cm="1">
        <f t="array" ref="B23">IF($A23="", "", IF(SUM(IF(INDEX(_xlfn._xlws.FILTER(tblPiNAnalysis[[CCCM%]:[WASH%]], tblPiNAnalysis[Population Group]=B$5), 0, MATCH(_xlfn.CONCAT($Q$2, "%"), tblPiNAnalysis[[#Headers],[CCCM%]:[WASH%]], 0))=$A23, 1, 0))=0, "",SUM(IF(INDEX(_xlfn._xlws.FILTER(tblPiNAnalysis[[CCCM%]:[WASH%]], tblPiNAnalysis[Population Group]=B$5), 0, MATCH(_xlfn.CONCAT($Q$2, "%"), tblPiNAnalysis[[#Headers],[CCCM%]:[WASH%]], 0))=$A23, 1, 0))))</f>
        <v/>
      </c>
      <c r="C23" s="91" t="str" cm="1">
        <f t="array" ref="C23">IFERROR(IF(OR($A23="", C$5=""), "", IF(SUM(IF(INDEX(_xlfn._xlws.FILTER(tblPiNAnalysis[[CCCM%]:[WASH%]], tblPiNAnalysis[Population Group]=C$5), 0, MATCH(_xlfn.CONCAT($Q$2, "%"), tblPiNAnalysis[[#Headers],[CCCM%]:[WASH%]], 0))=$A23, 1, 0))=0, "",SUM(IF(INDEX(_xlfn._xlws.FILTER(tblPiNAnalysis[[CCCM%]:[WASH%]], tblPiNAnalysis[Population Group]=C$5), 0, MATCH(_xlfn.CONCAT($Q$2, "%"), tblPiNAnalysis[[#Headers],[CCCM%]:[WASH%]], 0))=$A23, 1, 0)))), "")</f>
        <v/>
      </c>
      <c r="D23" s="91" t="str" cm="1">
        <f t="array" ref="D23">IFERROR(IF(OR($A23="", D$5=""), "", IF(SUM(IF(INDEX(_xlfn._xlws.FILTER(tblPiNAnalysis[[CCCM%]:[WASH%]], tblPiNAnalysis[Population Group]=D$5), 0, MATCH(_xlfn.CONCAT($Q$2, "%"), tblPiNAnalysis[[#Headers],[CCCM%]:[WASH%]], 0))=$A23, 1, 0))=0, "",SUM(IF(INDEX(_xlfn._xlws.FILTER(tblPiNAnalysis[[CCCM%]:[WASH%]], tblPiNAnalysis[Population Group]=D$5), 0, MATCH(_xlfn.CONCAT($Q$2, "%"), tblPiNAnalysis[[#Headers],[CCCM%]:[WASH%]], 0))=$A23, 1, 0)))), "")</f>
        <v/>
      </c>
      <c r="E23" s="91" t="str" cm="1">
        <f t="array" ref="E23">IFERROR(IF(OR($A23="", E$5=""), "", IF(SUM(IF(INDEX(_xlfn._xlws.FILTER(tblPiNAnalysis[[CCCM%]:[WASH%]], tblPiNAnalysis[Population Group]=E$5), 0, MATCH(_xlfn.CONCAT($Q$2, "%"), tblPiNAnalysis[[#Headers],[CCCM%]:[WASH%]], 0))=$A23, 1, 0))=0, "",SUM(IF(INDEX(_xlfn._xlws.FILTER(tblPiNAnalysis[[CCCM%]:[WASH%]], tblPiNAnalysis[Population Group]=E$5), 0, MATCH(_xlfn.CONCAT($Q$2, "%"), tblPiNAnalysis[[#Headers],[CCCM%]:[WASH%]], 0))=$A23, 1, 0)))), "")</f>
        <v/>
      </c>
      <c r="F23" s="91" t="str" cm="1">
        <f t="array" ref="F23">IFERROR(IF(OR($A23="", F$5=""), "", IF(SUM(IF(INDEX(_xlfn._xlws.FILTER(tblPiNAnalysis[[CCCM%]:[WASH%]], tblPiNAnalysis[CCCM]=F$5), 0, MATCH(_xlfn.CONCAT($Q$2, "%"), tblPiNAnalysis[[#Headers],[CCCM%]:[WASH%]], 0))=$A23, 1, 0))=0, "",SUM(IF(INDEX(_xlfn._xlws.FILTER(tblPiNAnalysis[[CCCM%]:[WASH%]], tblPiNAnalysis[CCCM]=F$5), 0, MATCH(_xlfn.CONCAT($Q$2, "%"), tblPiNAnalysis[[#Headers],[CCCM%]:[WASH%]], 0))=$A23, 1, 0)))), "")</f>
        <v/>
      </c>
      <c r="H23" s="93">
        <v>1.6</v>
      </c>
      <c r="I23" s="91" t="str" cm="1">
        <f t="array" ref="I23">IF($H23="", "", IF($H23=2, SUM(IF(INDEX(_xlfn._xlws.FILTER(tblPiNHistorical[[CCCM]:[WASH]], tblPiNHistorical[Population Group]=I$5), 0, MATCH($Q$2, tblPiNHistorical[[#Headers],[CCCM]:[WASH]], 0))&gt;1.9, 1, 0)), IF(SUM(IF(INDEX(_xlfn._xlws.FILTER(tblPiNHistorical[[CCCM]:[WASH]], tblPiNHistorical[Population Group]=I$5), 0, MATCH($Q$2, tblPiNHistorical[[#Headers],[CCCM]:[WASH]], 0))=$H23, 1, 0))=0, "", SUM(IF(INDEX(_xlfn._xlws.FILTER(tblPiNHistorical[[CCCM]:[WASH]], tblPiNHistorical[Population Group]=I$5), 0, MATCH($Q$2, tblPiNHistorical[[#Headers],[CCCM]:[WASH]], 0))=$H23, 1, 0)))))</f>
        <v/>
      </c>
      <c r="J23" s="91" t="str" cm="1">
        <f t="array" ref="J23">IFERROR(IF(OR($H23="", J22=""), "", IF($H23=2, SUM(IF(INDEX(_xlfn._xlws.FILTER(tblPiNHistorical[[CCCM]:[WASH]], tblPiNHistorical[Population Group]=J$5), 0, MATCH($Q$2, tblPiNHistorical[[#Headers],[CCCM]:[WASH]], 0))&gt;1.9, 1, 0)), IF(SUM(IF(INDEX(_xlfn._xlws.FILTER(tblPiNHistorical[[CCCM]:[WASH]], tblPiNHistorical[Population Group]=J$5), 0, MATCH($Q$2, tblPiNHistorical[[#Headers],[CCCM]:[WASH]], 0))=$H23, 1, 0))=0, "", SUM(IF(INDEX(_xlfn._xlws.FILTER(tblPiNHistorical[[CCCM]:[WASH]], tblPiNHistorical[Population Group]=J$5), 0, MATCH($Q$2, tblPiNHistorical[[#Headers],[CCCM]:[WASH]], 0))=$H23, 1, 0))))), "")</f>
        <v/>
      </c>
      <c r="K23" s="91" t="str" cm="1">
        <f t="array" ref="K23">IFERROR(IF(OR($H23="", K22=""), "", IF($H23=2, SUM(IF(INDEX(_xlfn._xlws.FILTER(tblPiNHistorical[[CCCM]:[WASH]], tblPiNHistorical[CCCM - old]=K$5), 0, MATCH($Q$2, tblPiNHistorical[[#Headers],[CCCM]:[WASH]], 0))&gt;1.9, 1, 0)), IF(SUM(IF(INDEX(_xlfn._xlws.FILTER(tblPiNHistorical[[CCCM]:[WASH]], tblPiNHistorical[CCCM - old]=K$5), 0, MATCH($Q$2, tblPiNHistorical[[#Headers],[CCCM]:[WASH]], 0))=$H23, 1, 0))=0, "", SUM(IF(INDEX(_xlfn._xlws.FILTER(tblPiNHistorical[[CCCM]:[WASH]], tblPiNHistorical[CCCM - old]=K$5), 0, MATCH($Q$2, tblPiNHistorical[[#Headers],[CCCM]:[WASH]], 0))=$H23, 1, 0))))), "")</f>
        <v/>
      </c>
      <c r="L23" s="91" t="str" cm="1">
        <f t="array" ref="L23">IFERROR(IF(OR($H23="", L22=""), "", IF($H23=2, SUM(IF(INDEX(_xlfn._xlws.FILTER(tblPiNHistorical[[CCCM]:[WASH]],#REF!= L$5), 0, MATCH($Q$2, tblPiNHistorical[[#Headers],[CCCM]:[WASH]], 0))&gt;1.9, 1, 0)), IF(SUM(IF(INDEX(_xlfn._xlws.FILTER(tblPiNHistorical[[CCCM]:[WASH]],#REF!= L$5), 0, MATCH($Q$2, tblPiNHistorical[[#Headers],[CCCM]:[WASH]], 0))=$H23, 1, 0))=0, "", SUM(IF(INDEX(_xlfn._xlws.FILTER(tblPiNHistorical[[CCCM]:[WASH]],#REF!= L$5), 0, MATCH($Q$2, tblPiNHistorical[[#Headers],[CCCM]:[WASH]], 0))=$H23, 1, 0))))), "")</f>
        <v/>
      </c>
      <c r="M23" s="91" t="str" cm="1">
        <f t="array" ref="M23">IFERROR(IF(OR($H23="", M22=""), "", IF($H23=2, SUM(IF(INDEX(_xlfn._xlws.FILTER(tblPiNHistorical[[CCCM]:[WASH]],#REF!= M$5), 0, MATCH($Q$2, tblPiNHistorical[[#Headers],[CCCM]:[WASH]], 0))&gt;1.9, 1, 0)), IF(SUM(IF(INDEX(_xlfn._xlws.FILTER(tblPiNHistorical[[CCCM]:[WASH]],#REF!= M$5), 0, MATCH($Q$2, tblPiNHistorical[[#Headers],[CCCM]:[WASH]], 0))=$H23, 1, 0))=0, "", SUM(IF(INDEX(_xlfn._xlws.FILTER(tblPiNHistorical[[CCCM]:[WASH]],#REF!= M$5), 0, MATCH($Q$2, tblPiNHistorical[[#Headers],[CCCM]:[WASH]], 0))=$H23, 1, 0))))), "")</f>
        <v/>
      </c>
      <c r="Z23" s="169"/>
    </row>
    <row r="24" spans="1:28">
      <c r="A24" s="93"/>
      <c r="B24" s="91" t="str" cm="1">
        <f t="array" ref="B24">IF($A24="", "", IF(SUM(IF(INDEX(_xlfn._xlws.FILTER(tblPiNAnalysis[[CCCM%]:[WASH%]], tblPiNAnalysis[Population Group]=B$5), 0, MATCH(_xlfn.CONCAT($Q$2, "%"), tblPiNAnalysis[[#Headers],[CCCM%]:[WASH%]], 0))=$A24, 1, 0))=0, "",SUM(IF(INDEX(_xlfn._xlws.FILTER(tblPiNAnalysis[[CCCM%]:[WASH%]], tblPiNAnalysis[Population Group]=B$5), 0, MATCH(_xlfn.CONCAT($Q$2, "%"), tblPiNAnalysis[[#Headers],[CCCM%]:[WASH%]], 0))=$A24, 1, 0))))</f>
        <v/>
      </c>
      <c r="C24" s="91" t="str" cm="1">
        <f t="array" ref="C24">IFERROR(IF(OR($A24="", C$5=""), "", IF(SUM(IF(INDEX(_xlfn._xlws.FILTER(tblPiNAnalysis[[CCCM%]:[WASH%]], tblPiNAnalysis[Population Group]=C$5), 0, MATCH(_xlfn.CONCAT($Q$2, "%"), tblPiNAnalysis[[#Headers],[CCCM%]:[WASH%]], 0))=$A24, 1, 0))=0, "",SUM(IF(INDEX(_xlfn._xlws.FILTER(tblPiNAnalysis[[CCCM%]:[WASH%]], tblPiNAnalysis[Population Group]=C$5), 0, MATCH(_xlfn.CONCAT($Q$2, "%"), tblPiNAnalysis[[#Headers],[CCCM%]:[WASH%]], 0))=$A24, 1, 0)))), "")</f>
        <v/>
      </c>
      <c r="D24" s="91" t="str" cm="1">
        <f t="array" ref="D24">IFERROR(IF(OR($A24="", D$5=""), "", IF(SUM(IF(INDEX(_xlfn._xlws.FILTER(tblPiNAnalysis[[CCCM%]:[WASH%]], tblPiNAnalysis[Population Group]=D$5), 0, MATCH(_xlfn.CONCAT($Q$2, "%"), tblPiNAnalysis[[#Headers],[CCCM%]:[WASH%]], 0))=$A24, 1, 0))=0, "",SUM(IF(INDEX(_xlfn._xlws.FILTER(tblPiNAnalysis[[CCCM%]:[WASH%]], tblPiNAnalysis[Population Group]=D$5), 0, MATCH(_xlfn.CONCAT($Q$2, "%"), tblPiNAnalysis[[#Headers],[CCCM%]:[WASH%]], 0))=$A24, 1, 0)))), "")</f>
        <v/>
      </c>
      <c r="E24" s="91" t="str" cm="1">
        <f t="array" ref="E24">IFERROR(IF(OR($A24="", E$5=""), "", IF(SUM(IF(INDEX(_xlfn._xlws.FILTER(tblPiNAnalysis[[CCCM%]:[WASH%]], tblPiNAnalysis[Population Group]=E$5), 0, MATCH(_xlfn.CONCAT($Q$2, "%"), tblPiNAnalysis[[#Headers],[CCCM%]:[WASH%]], 0))=$A24, 1, 0))=0, "",SUM(IF(INDEX(_xlfn._xlws.FILTER(tblPiNAnalysis[[CCCM%]:[WASH%]], tblPiNAnalysis[Population Group]=E$5), 0, MATCH(_xlfn.CONCAT($Q$2, "%"), tblPiNAnalysis[[#Headers],[CCCM%]:[WASH%]], 0))=$A24, 1, 0)))), "")</f>
        <v/>
      </c>
      <c r="F24" s="91" t="str" cm="1">
        <f t="array" ref="F24">IFERROR(IF(OR($A24="", F$5=""), "", IF(SUM(IF(INDEX(_xlfn._xlws.FILTER(tblPiNAnalysis[[CCCM%]:[WASH%]], tblPiNAnalysis[CCCM]=F$5), 0, MATCH(_xlfn.CONCAT($Q$2, "%"), tblPiNAnalysis[[#Headers],[CCCM%]:[WASH%]], 0))=$A24, 1, 0))=0, "",SUM(IF(INDEX(_xlfn._xlws.FILTER(tblPiNAnalysis[[CCCM%]:[WASH%]], tblPiNAnalysis[CCCM]=F$5), 0, MATCH(_xlfn.CONCAT($Q$2, "%"), tblPiNAnalysis[[#Headers],[CCCM%]:[WASH%]], 0))=$A24, 1, 0)))), "")</f>
        <v/>
      </c>
      <c r="H24" s="93">
        <v>1.7</v>
      </c>
      <c r="I24" s="91" cm="1">
        <f t="array" ref="I24">IF($H24="", "", IF($H24=2, SUM(IF(INDEX(_xlfn._xlws.FILTER(tblPiNHistorical[[CCCM]:[WASH]], tblPiNHistorical[Population Group]=I$5), 0, MATCH($Q$2, tblPiNHistorical[[#Headers],[CCCM]:[WASH]], 0))&gt;1.9, 1, 0)), IF(SUM(IF(INDEX(_xlfn._xlws.FILTER(tblPiNHistorical[[CCCM]:[WASH]], tblPiNHistorical[Population Group]=I$5), 0, MATCH($Q$2, tblPiNHistorical[[#Headers],[CCCM]:[WASH]], 0))=$H24, 1, 0))=0, "", SUM(IF(INDEX(_xlfn._xlws.FILTER(tblPiNHistorical[[CCCM]:[WASH]], tblPiNHistorical[Population Group]=I$5), 0, MATCH($Q$2, tblPiNHistorical[[#Headers],[CCCM]:[WASH]], 0))=$H24, 1, 0)))))</f>
        <v>1</v>
      </c>
      <c r="J24" s="91" t="str" cm="1">
        <f t="array" ref="J24">IFERROR(IF(OR($H24="", J23=""), "", IF($H24=2, SUM(IF(INDEX(_xlfn._xlws.FILTER(tblPiNHistorical[[CCCM]:[WASH]], tblPiNHistorical[Population Group]=J$5), 0, MATCH($Q$2, tblPiNHistorical[[#Headers],[CCCM]:[WASH]], 0))&gt;1.9, 1, 0)), IF(SUM(IF(INDEX(_xlfn._xlws.FILTER(tblPiNHistorical[[CCCM]:[WASH]], tblPiNHistorical[Population Group]=J$5), 0, MATCH($Q$2, tblPiNHistorical[[#Headers],[CCCM]:[WASH]], 0))=$H24, 1, 0))=0, "", SUM(IF(INDEX(_xlfn._xlws.FILTER(tblPiNHistorical[[CCCM]:[WASH]], tblPiNHistorical[Population Group]=J$5), 0, MATCH($Q$2, tblPiNHistorical[[#Headers],[CCCM]:[WASH]], 0))=$H24, 1, 0))))), "")</f>
        <v/>
      </c>
      <c r="K24" s="91" t="str" cm="1">
        <f t="array" ref="K24">IFERROR(IF(OR($H24="", K23=""), "", IF($H24=2, SUM(IF(INDEX(_xlfn._xlws.FILTER(tblPiNHistorical[[CCCM]:[WASH]], tblPiNHistorical[CCCM - old]=K$5), 0, MATCH($Q$2, tblPiNHistorical[[#Headers],[CCCM]:[WASH]], 0))&gt;1.9, 1, 0)), IF(SUM(IF(INDEX(_xlfn._xlws.FILTER(tblPiNHistorical[[CCCM]:[WASH]], tblPiNHistorical[CCCM - old]=K$5), 0, MATCH($Q$2, tblPiNHistorical[[#Headers],[CCCM]:[WASH]], 0))=$H24, 1, 0))=0, "", SUM(IF(INDEX(_xlfn._xlws.FILTER(tblPiNHistorical[[CCCM]:[WASH]], tblPiNHistorical[CCCM - old]=K$5), 0, MATCH($Q$2, tblPiNHistorical[[#Headers],[CCCM]:[WASH]], 0))=$H24, 1, 0))))), "")</f>
        <v/>
      </c>
      <c r="L24" s="91" t="str" cm="1">
        <f t="array" ref="L24">IFERROR(IF(OR($H24="", L23=""), "", IF($H24=2, SUM(IF(INDEX(_xlfn._xlws.FILTER(tblPiNHistorical[[CCCM]:[WASH]],#REF!= L$5), 0, MATCH($Q$2, tblPiNHistorical[[#Headers],[CCCM]:[WASH]], 0))&gt;1.9, 1, 0)), IF(SUM(IF(INDEX(_xlfn._xlws.FILTER(tblPiNHistorical[[CCCM]:[WASH]],#REF!= L$5), 0, MATCH($Q$2, tblPiNHistorical[[#Headers],[CCCM]:[WASH]], 0))=$H24, 1, 0))=0, "", SUM(IF(INDEX(_xlfn._xlws.FILTER(tblPiNHistorical[[CCCM]:[WASH]],#REF!= L$5), 0, MATCH($Q$2, tblPiNHistorical[[#Headers],[CCCM]:[WASH]], 0))=$H24, 1, 0))))), "")</f>
        <v/>
      </c>
      <c r="M24" s="91" t="str" cm="1">
        <f t="array" ref="M24">IFERROR(IF(OR($H24="", M23=""), "", IF($H24=2, SUM(IF(INDEX(_xlfn._xlws.FILTER(tblPiNHistorical[[CCCM]:[WASH]],#REF!= M$5), 0, MATCH($Q$2, tblPiNHistorical[[#Headers],[CCCM]:[WASH]], 0))&gt;1.9, 1, 0)), IF(SUM(IF(INDEX(_xlfn._xlws.FILTER(tblPiNHistorical[[CCCM]:[WASH]],#REF!= M$5), 0, MATCH($Q$2, tblPiNHistorical[[#Headers],[CCCM]:[WASH]], 0))=$H24, 1, 0))=0, "", SUM(IF(INDEX(_xlfn._xlws.FILTER(tblPiNHistorical[[CCCM]:[WASH]],#REF!= M$5), 0, MATCH($Q$2, tblPiNHistorical[[#Headers],[CCCM]:[WASH]], 0))=$H24, 1, 0))))), "")</f>
        <v/>
      </c>
      <c r="Z24" s="169"/>
    </row>
    <row r="25" spans="1:28">
      <c r="A25" s="93"/>
      <c r="B25" s="91" t="str" cm="1">
        <f t="array" ref="B25">IF($A25="", "", IF(SUM(IF(INDEX(_xlfn._xlws.FILTER(tblPiNAnalysis[[CCCM%]:[WASH%]], tblPiNAnalysis[Population Group]=B$5), 0, MATCH(_xlfn.CONCAT($Q$2, "%"), tblPiNAnalysis[[#Headers],[CCCM%]:[WASH%]], 0))=$A25, 1, 0))=0, "",SUM(IF(INDEX(_xlfn._xlws.FILTER(tblPiNAnalysis[[CCCM%]:[WASH%]], tblPiNAnalysis[Population Group]=B$5), 0, MATCH(_xlfn.CONCAT($Q$2, "%"), tblPiNAnalysis[[#Headers],[CCCM%]:[WASH%]], 0))=$A25, 1, 0))))</f>
        <v/>
      </c>
      <c r="C25" s="91" t="str" cm="1">
        <f t="array" ref="C25">IFERROR(IF(OR($A25="", C$5=""), "", IF(SUM(IF(INDEX(_xlfn._xlws.FILTER(tblPiNAnalysis[[CCCM%]:[WASH%]], tblPiNAnalysis[Population Group]=C$5), 0, MATCH(_xlfn.CONCAT($Q$2, "%"), tblPiNAnalysis[[#Headers],[CCCM%]:[WASH%]], 0))=$A25, 1, 0))=0, "",SUM(IF(INDEX(_xlfn._xlws.FILTER(tblPiNAnalysis[[CCCM%]:[WASH%]], tblPiNAnalysis[Population Group]=C$5), 0, MATCH(_xlfn.CONCAT($Q$2, "%"), tblPiNAnalysis[[#Headers],[CCCM%]:[WASH%]], 0))=$A25, 1, 0)))), "")</f>
        <v/>
      </c>
      <c r="D25" s="91" t="str" cm="1">
        <f t="array" ref="D25">IFERROR(IF(OR($A25="", D$5=""), "", IF(SUM(IF(INDEX(_xlfn._xlws.FILTER(tblPiNAnalysis[[CCCM%]:[WASH%]], tblPiNAnalysis[Population Group]=D$5), 0, MATCH(_xlfn.CONCAT($Q$2, "%"), tblPiNAnalysis[[#Headers],[CCCM%]:[WASH%]], 0))=$A25, 1, 0))=0, "",SUM(IF(INDEX(_xlfn._xlws.FILTER(tblPiNAnalysis[[CCCM%]:[WASH%]], tblPiNAnalysis[Population Group]=D$5), 0, MATCH(_xlfn.CONCAT($Q$2, "%"), tblPiNAnalysis[[#Headers],[CCCM%]:[WASH%]], 0))=$A25, 1, 0)))), "")</f>
        <v/>
      </c>
      <c r="E25" s="91" t="str" cm="1">
        <f t="array" ref="E25">IFERROR(IF(OR($A25="", E$5=""), "", IF(SUM(IF(INDEX(_xlfn._xlws.FILTER(tblPiNAnalysis[[CCCM%]:[WASH%]], tblPiNAnalysis[Population Group]=E$5), 0, MATCH(_xlfn.CONCAT($Q$2, "%"), tblPiNAnalysis[[#Headers],[CCCM%]:[WASH%]], 0))=$A25, 1, 0))=0, "",SUM(IF(INDEX(_xlfn._xlws.FILTER(tblPiNAnalysis[[CCCM%]:[WASH%]], tblPiNAnalysis[Population Group]=E$5), 0, MATCH(_xlfn.CONCAT($Q$2, "%"), tblPiNAnalysis[[#Headers],[CCCM%]:[WASH%]], 0))=$A25, 1, 0)))), "")</f>
        <v/>
      </c>
      <c r="F25" s="91" t="str" cm="1">
        <f t="array" ref="F25">IFERROR(IF(OR($A25="", F$5=""), "", IF(SUM(IF(INDEX(_xlfn._xlws.FILTER(tblPiNAnalysis[[CCCM%]:[WASH%]], tblPiNAnalysis[CCCM]=F$5), 0, MATCH(_xlfn.CONCAT($Q$2, "%"), tblPiNAnalysis[[#Headers],[CCCM%]:[WASH%]], 0))=$A25, 1, 0))=0, "",SUM(IF(INDEX(_xlfn._xlws.FILTER(tblPiNAnalysis[[CCCM%]:[WASH%]], tblPiNAnalysis[CCCM]=F$5), 0, MATCH(_xlfn.CONCAT($Q$2, "%"), tblPiNAnalysis[[#Headers],[CCCM%]:[WASH%]], 0))=$A25, 1, 0)))), "")</f>
        <v/>
      </c>
      <c r="H25" s="93"/>
      <c r="I25" s="91" t="str" cm="1">
        <f t="array" ref="I25">IF($H25="", "", IF($H25=2, SUM(IF(INDEX(_xlfn._xlws.FILTER(tblPiNHistorical[[CCCM]:[WASH]], tblPiNHistorical[Population Group]=I$5), 0, MATCH($Q$2, tblPiNHistorical[[#Headers],[CCCM]:[WASH]], 0))&gt;1.9, 1, 0)), IF(SUM(IF(INDEX(_xlfn._xlws.FILTER(tblPiNHistorical[[CCCM]:[WASH]], tblPiNHistorical[Population Group]=I$5), 0, MATCH($Q$2, tblPiNHistorical[[#Headers],[CCCM]:[WASH]], 0))=$H25, 1, 0))=0, "", SUM(IF(INDEX(_xlfn._xlws.FILTER(tblPiNHistorical[[CCCM]:[WASH]], tblPiNHistorical[Population Group]=I$5), 0, MATCH($Q$2, tblPiNHistorical[[#Headers],[CCCM]:[WASH]], 0))=$H25, 1, 0)))))</f>
        <v/>
      </c>
      <c r="J25" s="91" t="str" cm="1">
        <f t="array" ref="J25">IFERROR(IF(OR($H25="", J24=""), "", IF($H25=2, SUM(IF(INDEX(_xlfn._xlws.FILTER(tblPiNHistorical[[CCCM]:[WASH]], tblPiNHistorical[Population Group]=J$5), 0, MATCH($Q$2, tblPiNHistorical[[#Headers],[CCCM]:[WASH]], 0))&gt;1.9, 1, 0)), IF(SUM(IF(INDEX(_xlfn._xlws.FILTER(tblPiNHistorical[[CCCM]:[WASH]], tblPiNHistorical[Population Group]=J$5), 0, MATCH($Q$2, tblPiNHistorical[[#Headers],[CCCM]:[WASH]], 0))=$H25, 1, 0))=0, "", SUM(IF(INDEX(_xlfn._xlws.FILTER(tblPiNHistorical[[CCCM]:[WASH]], tblPiNHistorical[Population Group]=J$5), 0, MATCH($Q$2, tblPiNHistorical[[#Headers],[CCCM]:[WASH]], 0))=$H25, 1, 0))))), "")</f>
        <v/>
      </c>
      <c r="K25" s="91" t="str" cm="1">
        <f t="array" ref="K25">IFERROR(IF(OR($H25="", K24=""), "", IF($H25=2, SUM(IF(INDEX(_xlfn._xlws.FILTER(tblPiNHistorical[[CCCM]:[WASH]], tblPiNHistorical[CCCM - old]=K$5), 0, MATCH($Q$2, tblPiNHistorical[[#Headers],[CCCM]:[WASH]], 0))&gt;1.9, 1, 0)), IF(SUM(IF(INDEX(_xlfn._xlws.FILTER(tblPiNHistorical[[CCCM]:[WASH]], tblPiNHistorical[CCCM - old]=K$5), 0, MATCH($Q$2, tblPiNHistorical[[#Headers],[CCCM]:[WASH]], 0))=$H25, 1, 0))=0, "", SUM(IF(INDEX(_xlfn._xlws.FILTER(tblPiNHistorical[[CCCM]:[WASH]], tblPiNHistorical[CCCM - old]=K$5), 0, MATCH($Q$2, tblPiNHistorical[[#Headers],[CCCM]:[WASH]], 0))=$H25, 1, 0))))), "")</f>
        <v/>
      </c>
      <c r="L25" s="91" t="str" cm="1">
        <f t="array" ref="L25">IFERROR(IF(OR($H25="", L24=""), "", IF($H25=2, SUM(IF(INDEX(_xlfn._xlws.FILTER(tblPiNHistorical[[CCCM]:[WASH]],#REF!= L$5), 0, MATCH($Q$2, tblPiNHistorical[[#Headers],[CCCM]:[WASH]], 0))&gt;1.9, 1, 0)), IF(SUM(IF(INDEX(_xlfn._xlws.FILTER(tblPiNHistorical[[CCCM]:[WASH]],#REF!= L$5), 0, MATCH($Q$2, tblPiNHistorical[[#Headers],[CCCM]:[WASH]], 0))=$H25, 1, 0))=0, "", SUM(IF(INDEX(_xlfn._xlws.FILTER(tblPiNHistorical[[CCCM]:[WASH]],#REF!= L$5), 0, MATCH($Q$2, tblPiNHistorical[[#Headers],[CCCM]:[WASH]], 0))=$H25, 1, 0))))), "")</f>
        <v/>
      </c>
      <c r="M25" s="91" t="str" cm="1">
        <f t="array" ref="M25">IFERROR(IF(OR($H25="", M24=""), "", IF($H25=2, SUM(IF(INDEX(_xlfn._xlws.FILTER(tblPiNHistorical[[CCCM]:[WASH]],#REF!= M$5), 0, MATCH($Q$2, tblPiNHistorical[[#Headers],[CCCM]:[WASH]], 0))&gt;1.9, 1, 0)), IF(SUM(IF(INDEX(_xlfn._xlws.FILTER(tblPiNHistorical[[CCCM]:[WASH]],#REF!= M$5), 0, MATCH($Q$2, tblPiNHistorical[[#Headers],[CCCM]:[WASH]], 0))=$H25, 1, 0))=0, "", SUM(IF(INDEX(_xlfn._xlws.FILTER(tblPiNHistorical[[CCCM]:[WASH]],#REF!= M$5), 0, MATCH($Q$2, tblPiNHistorical[[#Headers],[CCCM]:[WASH]], 0))=$H25, 1, 0))))), "")</f>
        <v/>
      </c>
      <c r="Z25" s="169"/>
    </row>
    <row r="26" spans="1:28">
      <c r="A26" s="93"/>
      <c r="B26" s="91" t="str" cm="1">
        <f t="array" ref="B26">IF($A26="", "", IF(SUM(IF(INDEX(_xlfn._xlws.FILTER(tblPiNAnalysis[[CCCM%]:[WASH%]], tblPiNAnalysis[Population Group]=B$5), 0, MATCH(_xlfn.CONCAT($Q$2, "%"), tblPiNAnalysis[[#Headers],[CCCM%]:[WASH%]], 0))=$A26, 1, 0))=0, "",SUM(IF(INDEX(_xlfn._xlws.FILTER(tblPiNAnalysis[[CCCM%]:[WASH%]], tblPiNAnalysis[Population Group]=B$5), 0, MATCH(_xlfn.CONCAT($Q$2, "%"), tblPiNAnalysis[[#Headers],[CCCM%]:[WASH%]], 0))=$A26, 1, 0))))</f>
        <v/>
      </c>
      <c r="C26" s="91" t="str" cm="1">
        <f t="array" ref="C26">IFERROR(IF(OR($A26="", C$5=""), "", IF(SUM(IF(INDEX(_xlfn._xlws.FILTER(tblPiNAnalysis[[CCCM%]:[WASH%]], tblPiNAnalysis[Population Group]=C$5), 0, MATCH(_xlfn.CONCAT($Q$2, "%"), tblPiNAnalysis[[#Headers],[CCCM%]:[WASH%]], 0))=$A26, 1, 0))=0, "",SUM(IF(INDEX(_xlfn._xlws.FILTER(tblPiNAnalysis[[CCCM%]:[WASH%]], tblPiNAnalysis[Population Group]=C$5), 0, MATCH(_xlfn.CONCAT($Q$2, "%"), tblPiNAnalysis[[#Headers],[CCCM%]:[WASH%]], 0))=$A26, 1, 0)))), "")</f>
        <v/>
      </c>
      <c r="D26" s="91" t="str" cm="1">
        <f t="array" ref="D26">IFERROR(IF(OR($A26="", D$5=""), "", IF(SUM(IF(INDEX(_xlfn._xlws.FILTER(tblPiNAnalysis[[CCCM%]:[WASH%]], tblPiNAnalysis[Population Group]=D$5), 0, MATCH(_xlfn.CONCAT($Q$2, "%"), tblPiNAnalysis[[#Headers],[CCCM%]:[WASH%]], 0))=$A26, 1, 0))=0, "",SUM(IF(INDEX(_xlfn._xlws.FILTER(tblPiNAnalysis[[CCCM%]:[WASH%]], tblPiNAnalysis[Population Group]=D$5), 0, MATCH(_xlfn.CONCAT($Q$2, "%"), tblPiNAnalysis[[#Headers],[CCCM%]:[WASH%]], 0))=$A26, 1, 0)))), "")</f>
        <v/>
      </c>
      <c r="E26" s="91" t="str" cm="1">
        <f t="array" ref="E26">IFERROR(IF(OR($A26="", E$5=""), "", IF(SUM(IF(INDEX(_xlfn._xlws.FILTER(tblPiNAnalysis[[CCCM%]:[WASH%]], tblPiNAnalysis[Population Group]=E$5), 0, MATCH(_xlfn.CONCAT($Q$2, "%"), tblPiNAnalysis[[#Headers],[CCCM%]:[WASH%]], 0))=$A26, 1, 0))=0, "",SUM(IF(INDEX(_xlfn._xlws.FILTER(tblPiNAnalysis[[CCCM%]:[WASH%]], tblPiNAnalysis[Population Group]=E$5), 0, MATCH(_xlfn.CONCAT($Q$2, "%"), tblPiNAnalysis[[#Headers],[CCCM%]:[WASH%]], 0))=$A26, 1, 0)))), "")</f>
        <v/>
      </c>
      <c r="F26" s="91" t="str" cm="1">
        <f t="array" ref="F26">IFERROR(IF(OR($A26="", F$5=""), "", IF(SUM(IF(INDEX(_xlfn._xlws.FILTER(tblPiNAnalysis[[CCCM%]:[WASH%]], tblPiNAnalysis[CCCM]=F$5), 0, MATCH(_xlfn.CONCAT($Q$2, "%"), tblPiNAnalysis[[#Headers],[CCCM%]:[WASH%]], 0))=$A26, 1, 0))=0, "",SUM(IF(INDEX(_xlfn._xlws.FILTER(tblPiNAnalysis[[CCCM%]:[WASH%]], tblPiNAnalysis[CCCM]=F$5), 0, MATCH(_xlfn.CONCAT($Q$2, "%"), tblPiNAnalysis[[#Headers],[CCCM%]:[WASH%]], 0))=$A26, 1, 0)))), "")</f>
        <v/>
      </c>
      <c r="H26" s="93"/>
      <c r="I26" s="91" t="str" cm="1">
        <f t="array" ref="I26">IF($H26="", "", IF($H26=2, SUM(IF(INDEX(_xlfn._xlws.FILTER(tblPiNHistorical[[CCCM]:[WASH]], tblPiNHistorical[Population Group]=I$5), 0, MATCH($Q$2, tblPiNHistorical[[#Headers],[CCCM]:[WASH]], 0))&gt;1.9, 1, 0)), IF(SUM(IF(INDEX(_xlfn._xlws.FILTER(tblPiNHistorical[[CCCM]:[WASH]], tblPiNHistorical[Population Group]=I$5), 0, MATCH($Q$2, tblPiNHistorical[[#Headers],[CCCM]:[WASH]], 0))=$H26, 1, 0))=0, "", SUM(IF(INDEX(_xlfn._xlws.FILTER(tblPiNHistorical[[CCCM]:[WASH]], tblPiNHistorical[Population Group]=I$5), 0, MATCH($Q$2, tblPiNHistorical[[#Headers],[CCCM]:[WASH]], 0))=$H26, 1, 0)))))</f>
        <v/>
      </c>
      <c r="J26" s="91" t="str" cm="1">
        <f t="array" ref="J26">IFERROR(IF(OR($H26="", J25=""), "", IF($H26=2, SUM(IF(INDEX(_xlfn._xlws.FILTER(tblPiNHistorical[[CCCM]:[WASH]], tblPiNHistorical[Population Group]=J$5), 0, MATCH($Q$2, tblPiNHistorical[[#Headers],[CCCM]:[WASH]], 0))&gt;1.9, 1, 0)), IF(SUM(IF(INDEX(_xlfn._xlws.FILTER(tblPiNHistorical[[CCCM]:[WASH]], tblPiNHistorical[Population Group]=J$5), 0, MATCH($Q$2, tblPiNHistorical[[#Headers],[CCCM]:[WASH]], 0))=$H26, 1, 0))=0, "", SUM(IF(INDEX(_xlfn._xlws.FILTER(tblPiNHistorical[[CCCM]:[WASH]], tblPiNHistorical[Population Group]=J$5), 0, MATCH($Q$2, tblPiNHistorical[[#Headers],[CCCM]:[WASH]], 0))=$H26, 1, 0))))), "")</f>
        <v/>
      </c>
      <c r="K26" s="91" t="str" cm="1">
        <f t="array" ref="K26">IFERROR(IF(OR($H26="", K25=""), "", IF($H26=2, SUM(IF(INDEX(_xlfn._xlws.FILTER(tblPiNHistorical[[CCCM]:[WASH]], tblPiNHistorical[CCCM - old]=K$5), 0, MATCH($Q$2, tblPiNHistorical[[#Headers],[CCCM]:[WASH]], 0))&gt;1.9, 1, 0)), IF(SUM(IF(INDEX(_xlfn._xlws.FILTER(tblPiNHistorical[[CCCM]:[WASH]], tblPiNHistorical[CCCM - old]=K$5), 0, MATCH($Q$2, tblPiNHistorical[[#Headers],[CCCM]:[WASH]], 0))=$H26, 1, 0))=0, "", SUM(IF(INDEX(_xlfn._xlws.FILTER(tblPiNHistorical[[CCCM]:[WASH]], tblPiNHistorical[CCCM - old]=K$5), 0, MATCH($Q$2, tblPiNHistorical[[#Headers],[CCCM]:[WASH]], 0))=$H26, 1, 0))))), "")</f>
        <v/>
      </c>
      <c r="L26" s="91" t="str" cm="1">
        <f t="array" ref="L26">IFERROR(IF(OR($H26="", L25=""), "", IF($H26=2, SUM(IF(INDEX(_xlfn._xlws.FILTER(tblPiNHistorical[[CCCM]:[WASH]],#REF!= L$5), 0, MATCH($Q$2, tblPiNHistorical[[#Headers],[CCCM]:[WASH]], 0))&gt;1.9, 1, 0)), IF(SUM(IF(INDEX(_xlfn._xlws.FILTER(tblPiNHistorical[[CCCM]:[WASH]],#REF!= L$5), 0, MATCH($Q$2, tblPiNHistorical[[#Headers],[CCCM]:[WASH]], 0))=$H26, 1, 0))=0, "", SUM(IF(INDEX(_xlfn._xlws.FILTER(tblPiNHistorical[[CCCM]:[WASH]],#REF!= L$5), 0, MATCH($Q$2, tblPiNHistorical[[#Headers],[CCCM]:[WASH]], 0))=$H26, 1, 0))))), "")</f>
        <v/>
      </c>
      <c r="M26" s="91" t="str" cm="1">
        <f t="array" ref="M26">IFERROR(IF(OR($H26="", M25=""), "", IF($H26=2, SUM(IF(INDEX(_xlfn._xlws.FILTER(tblPiNHistorical[[CCCM]:[WASH]],#REF!= M$5), 0, MATCH($Q$2, tblPiNHistorical[[#Headers],[CCCM]:[WASH]], 0))&gt;1.9, 1, 0)), IF(SUM(IF(INDEX(_xlfn._xlws.FILTER(tblPiNHistorical[[CCCM]:[WASH]],#REF!= M$5), 0, MATCH($Q$2, tblPiNHistorical[[#Headers],[CCCM]:[WASH]], 0))=$H26, 1, 0))=0, "", SUM(IF(INDEX(_xlfn._xlws.FILTER(tblPiNHistorical[[CCCM]:[WASH]],#REF!= M$5), 0, MATCH($Q$2, tblPiNHistorical[[#Headers],[CCCM]:[WASH]], 0))=$H26, 1, 0))))), "")</f>
        <v/>
      </c>
      <c r="Z26" s="169"/>
    </row>
    <row r="27" spans="1:28">
      <c r="A27" s="93"/>
      <c r="B27" s="91" t="str" cm="1">
        <f t="array" ref="B27">IF($A27="", "", IF(SUM(IF(INDEX(_xlfn._xlws.FILTER(tblPiNAnalysis[[CCCM%]:[WASH%]], tblPiNAnalysis[Population Group]=B$5), 0, MATCH(_xlfn.CONCAT($Q$2, "%"), tblPiNAnalysis[[#Headers],[CCCM%]:[WASH%]], 0))=$A27, 1, 0))=0, "",SUM(IF(INDEX(_xlfn._xlws.FILTER(tblPiNAnalysis[[CCCM%]:[WASH%]], tblPiNAnalysis[Population Group]=B$5), 0, MATCH(_xlfn.CONCAT($Q$2, "%"), tblPiNAnalysis[[#Headers],[CCCM%]:[WASH%]], 0))=$A27, 1, 0))))</f>
        <v/>
      </c>
      <c r="C27" s="91" t="str" cm="1">
        <f t="array" ref="C27">IFERROR(IF(OR($A27="", C$5=""), "", IF(SUM(IF(INDEX(_xlfn._xlws.FILTER(tblPiNAnalysis[[CCCM%]:[WASH%]], tblPiNAnalysis[Population Group]=C$5), 0, MATCH(_xlfn.CONCAT($Q$2, "%"), tblPiNAnalysis[[#Headers],[CCCM%]:[WASH%]], 0))=$A27, 1, 0))=0, "",SUM(IF(INDEX(_xlfn._xlws.FILTER(tblPiNAnalysis[[CCCM%]:[WASH%]], tblPiNAnalysis[Population Group]=C$5), 0, MATCH(_xlfn.CONCAT($Q$2, "%"), tblPiNAnalysis[[#Headers],[CCCM%]:[WASH%]], 0))=$A27, 1, 0)))), "")</f>
        <v/>
      </c>
      <c r="D27" s="91" t="str" cm="1">
        <f t="array" ref="D27">IFERROR(IF(OR($A27="", D$5=""), "", IF(SUM(IF(INDEX(_xlfn._xlws.FILTER(tblPiNAnalysis[[CCCM%]:[WASH%]], tblPiNAnalysis[Population Group]=D$5), 0, MATCH(_xlfn.CONCAT($Q$2, "%"), tblPiNAnalysis[[#Headers],[CCCM%]:[WASH%]], 0))=$A27, 1, 0))=0, "",SUM(IF(INDEX(_xlfn._xlws.FILTER(tblPiNAnalysis[[CCCM%]:[WASH%]], tblPiNAnalysis[Population Group]=D$5), 0, MATCH(_xlfn.CONCAT($Q$2, "%"), tblPiNAnalysis[[#Headers],[CCCM%]:[WASH%]], 0))=$A27, 1, 0)))), "")</f>
        <v/>
      </c>
      <c r="E27" s="91" t="str" cm="1">
        <f t="array" ref="E27">IFERROR(IF(OR($A27="", E$5=""), "", IF(SUM(IF(INDEX(_xlfn._xlws.FILTER(tblPiNAnalysis[[CCCM%]:[WASH%]], tblPiNAnalysis[Population Group]=E$5), 0, MATCH(_xlfn.CONCAT($Q$2, "%"), tblPiNAnalysis[[#Headers],[CCCM%]:[WASH%]], 0))=$A27, 1, 0))=0, "",SUM(IF(INDEX(_xlfn._xlws.FILTER(tblPiNAnalysis[[CCCM%]:[WASH%]], tblPiNAnalysis[Population Group]=E$5), 0, MATCH(_xlfn.CONCAT($Q$2, "%"), tblPiNAnalysis[[#Headers],[CCCM%]:[WASH%]], 0))=$A27, 1, 0)))), "")</f>
        <v/>
      </c>
      <c r="F27" s="91" t="str" cm="1">
        <f t="array" ref="F27">IFERROR(IF(OR($A27="", F$5=""), "", IF(SUM(IF(INDEX(_xlfn._xlws.FILTER(tblPiNAnalysis[[CCCM%]:[WASH%]], tblPiNAnalysis[CCCM]=F$5), 0, MATCH(_xlfn.CONCAT($Q$2, "%"), tblPiNAnalysis[[#Headers],[CCCM%]:[WASH%]], 0))=$A27, 1, 0))=0, "",SUM(IF(INDEX(_xlfn._xlws.FILTER(tblPiNAnalysis[[CCCM%]:[WASH%]], tblPiNAnalysis[CCCM]=F$5), 0, MATCH(_xlfn.CONCAT($Q$2, "%"), tblPiNAnalysis[[#Headers],[CCCM%]:[WASH%]], 0))=$A27, 1, 0)))), "")</f>
        <v/>
      </c>
      <c r="H27" s="93"/>
      <c r="I27" s="91" t="str" cm="1">
        <f t="array" ref="I27">IF($H27="", "", IF($H27=2, SUM(IF(INDEX(_xlfn._xlws.FILTER(tblPiNHistorical[[CCCM]:[WASH]], tblPiNHistorical[Population Group]=I$5), 0, MATCH($Q$2, tblPiNHistorical[[#Headers],[CCCM]:[WASH]], 0))&gt;1.9, 1, 0)), IF(SUM(IF(INDEX(_xlfn._xlws.FILTER(tblPiNHistorical[[CCCM]:[WASH]], tblPiNHistorical[Population Group]=I$5), 0, MATCH($Q$2, tblPiNHistorical[[#Headers],[CCCM]:[WASH]], 0))=$H27, 1, 0))=0, "", SUM(IF(INDEX(_xlfn._xlws.FILTER(tblPiNHistorical[[CCCM]:[WASH]], tblPiNHistorical[Population Group]=I$5), 0, MATCH($Q$2, tblPiNHistorical[[#Headers],[CCCM]:[WASH]], 0))=$H27, 1, 0)))))</f>
        <v/>
      </c>
      <c r="J27" s="91" t="str" cm="1">
        <f t="array" ref="J27">IFERROR(IF(OR($H27="", J26=""), "", IF($H27=2, SUM(IF(INDEX(_xlfn._xlws.FILTER(tblPiNHistorical[[CCCM]:[WASH]], tblPiNHistorical[Population Group]=J$5), 0, MATCH($Q$2, tblPiNHistorical[[#Headers],[CCCM]:[WASH]], 0))&gt;1.9, 1, 0)), IF(SUM(IF(INDEX(_xlfn._xlws.FILTER(tblPiNHistorical[[CCCM]:[WASH]], tblPiNHistorical[Population Group]=J$5), 0, MATCH($Q$2, tblPiNHistorical[[#Headers],[CCCM]:[WASH]], 0))=$H27, 1, 0))=0, "", SUM(IF(INDEX(_xlfn._xlws.FILTER(tblPiNHistorical[[CCCM]:[WASH]], tblPiNHistorical[Population Group]=J$5), 0, MATCH($Q$2, tblPiNHistorical[[#Headers],[CCCM]:[WASH]], 0))=$H27, 1, 0))))), "")</f>
        <v/>
      </c>
      <c r="K27" s="91" t="str" cm="1">
        <f t="array" ref="K27">IFERROR(IF(OR($H27="", K26=""), "", IF($H27=2, SUM(IF(INDEX(_xlfn._xlws.FILTER(tblPiNHistorical[[CCCM]:[WASH]], tblPiNHistorical[CCCM - old]=K$5), 0, MATCH($Q$2, tblPiNHistorical[[#Headers],[CCCM]:[WASH]], 0))&gt;1.9, 1, 0)), IF(SUM(IF(INDEX(_xlfn._xlws.FILTER(tblPiNHistorical[[CCCM]:[WASH]], tblPiNHistorical[CCCM - old]=K$5), 0, MATCH($Q$2, tblPiNHistorical[[#Headers],[CCCM]:[WASH]], 0))=$H27, 1, 0))=0, "", SUM(IF(INDEX(_xlfn._xlws.FILTER(tblPiNHistorical[[CCCM]:[WASH]], tblPiNHistorical[CCCM - old]=K$5), 0, MATCH($Q$2, tblPiNHistorical[[#Headers],[CCCM]:[WASH]], 0))=$H27, 1, 0))))), "")</f>
        <v/>
      </c>
      <c r="L27" s="91" t="str" cm="1">
        <f t="array" ref="L27">IFERROR(IF(OR($H27="", L26=""), "", IF($H27=2, SUM(IF(INDEX(_xlfn._xlws.FILTER(tblPiNHistorical[[CCCM]:[WASH]],#REF!= L$5), 0, MATCH($Q$2, tblPiNHistorical[[#Headers],[CCCM]:[WASH]], 0))&gt;1.9, 1, 0)), IF(SUM(IF(INDEX(_xlfn._xlws.FILTER(tblPiNHistorical[[CCCM]:[WASH]],#REF!= L$5), 0, MATCH($Q$2, tblPiNHistorical[[#Headers],[CCCM]:[WASH]], 0))=$H27, 1, 0))=0, "", SUM(IF(INDEX(_xlfn._xlws.FILTER(tblPiNHistorical[[CCCM]:[WASH]],#REF!= L$5), 0, MATCH($Q$2, tblPiNHistorical[[#Headers],[CCCM]:[WASH]], 0))=$H27, 1, 0))))), "")</f>
        <v/>
      </c>
      <c r="M27" s="91" t="str" cm="1">
        <f t="array" ref="M27">IFERROR(IF(OR($H27="", M26=""), "", IF($H27=2, SUM(IF(INDEX(_xlfn._xlws.FILTER(tblPiNHistorical[[CCCM]:[WASH]],#REF!= M$5), 0, MATCH($Q$2, tblPiNHistorical[[#Headers],[CCCM]:[WASH]], 0))&gt;1.9, 1, 0)), IF(SUM(IF(INDEX(_xlfn._xlws.FILTER(tblPiNHistorical[[CCCM]:[WASH]],#REF!= M$5), 0, MATCH($Q$2, tblPiNHistorical[[#Headers],[CCCM]:[WASH]], 0))=$H27, 1, 0))=0, "", SUM(IF(INDEX(_xlfn._xlws.FILTER(tblPiNHistorical[[CCCM]:[WASH]],#REF!= M$5), 0, MATCH($Q$2, tblPiNHistorical[[#Headers],[CCCM]:[WASH]], 0))=$H27, 1, 0))))), "")</f>
        <v/>
      </c>
      <c r="Z27" s="169"/>
    </row>
    <row r="28" spans="1:28">
      <c r="A28" s="93"/>
      <c r="B28" s="91" t="str" cm="1">
        <f t="array" ref="B28">IF($A28="", "", IF(SUM(IF(INDEX(_xlfn._xlws.FILTER(tblPiNAnalysis[[CCCM%]:[WASH%]], tblPiNAnalysis[Population Group]=B$5), 0, MATCH(_xlfn.CONCAT($Q$2, "%"), tblPiNAnalysis[[#Headers],[CCCM%]:[WASH%]], 0))=$A28, 1, 0))=0, "",SUM(IF(INDEX(_xlfn._xlws.FILTER(tblPiNAnalysis[[CCCM%]:[WASH%]], tblPiNAnalysis[Population Group]=B$5), 0, MATCH(_xlfn.CONCAT($Q$2, "%"), tblPiNAnalysis[[#Headers],[CCCM%]:[WASH%]], 0))=$A28, 1, 0))))</f>
        <v/>
      </c>
      <c r="C28" s="91" t="str" cm="1">
        <f t="array" ref="C28">IFERROR(IF(OR($A28="", C$5=""), "", IF(SUM(IF(INDEX(_xlfn._xlws.FILTER(tblPiNAnalysis[[CCCM%]:[WASH%]], tblPiNAnalysis[Population Group]=C$5), 0, MATCH(_xlfn.CONCAT($Q$2, "%"), tblPiNAnalysis[[#Headers],[CCCM%]:[WASH%]], 0))=$A28, 1, 0))=0, "",SUM(IF(INDEX(_xlfn._xlws.FILTER(tblPiNAnalysis[[CCCM%]:[WASH%]], tblPiNAnalysis[Population Group]=C$5), 0, MATCH(_xlfn.CONCAT($Q$2, "%"), tblPiNAnalysis[[#Headers],[CCCM%]:[WASH%]], 0))=$A28, 1, 0)))), "")</f>
        <v/>
      </c>
      <c r="D28" s="91" t="str" cm="1">
        <f t="array" ref="D28">IFERROR(IF(OR($A28="", D$5=""), "", IF(SUM(IF(INDEX(_xlfn._xlws.FILTER(tblPiNAnalysis[[CCCM%]:[WASH%]], tblPiNAnalysis[Population Group]=D$5), 0, MATCH(_xlfn.CONCAT($Q$2, "%"), tblPiNAnalysis[[#Headers],[CCCM%]:[WASH%]], 0))=$A28, 1, 0))=0, "",SUM(IF(INDEX(_xlfn._xlws.FILTER(tblPiNAnalysis[[CCCM%]:[WASH%]], tblPiNAnalysis[Population Group]=D$5), 0, MATCH(_xlfn.CONCAT($Q$2, "%"), tblPiNAnalysis[[#Headers],[CCCM%]:[WASH%]], 0))=$A28, 1, 0)))), "")</f>
        <v/>
      </c>
      <c r="E28" s="91" t="str" cm="1">
        <f t="array" ref="E28">IFERROR(IF(OR($A28="", E$5=""), "", IF(SUM(IF(INDEX(_xlfn._xlws.FILTER(tblPiNAnalysis[[CCCM%]:[WASH%]], tblPiNAnalysis[Population Group]=E$5), 0, MATCH(_xlfn.CONCAT($Q$2, "%"), tblPiNAnalysis[[#Headers],[CCCM%]:[WASH%]], 0))=$A28, 1, 0))=0, "",SUM(IF(INDEX(_xlfn._xlws.FILTER(tblPiNAnalysis[[CCCM%]:[WASH%]], tblPiNAnalysis[Population Group]=E$5), 0, MATCH(_xlfn.CONCAT($Q$2, "%"), tblPiNAnalysis[[#Headers],[CCCM%]:[WASH%]], 0))=$A28, 1, 0)))), "")</f>
        <v/>
      </c>
      <c r="F28" s="91" t="str" cm="1">
        <f t="array" ref="F28">IFERROR(IF(OR($A28="", F$5=""), "", IF(SUM(IF(INDEX(_xlfn._xlws.FILTER(tblPiNAnalysis[[CCCM%]:[WASH%]], tblPiNAnalysis[CCCM]=F$5), 0, MATCH(_xlfn.CONCAT($Q$2, "%"), tblPiNAnalysis[[#Headers],[CCCM%]:[WASH%]], 0))=$A28, 1, 0))=0, "",SUM(IF(INDEX(_xlfn._xlws.FILTER(tblPiNAnalysis[[CCCM%]:[WASH%]], tblPiNAnalysis[CCCM]=F$5), 0, MATCH(_xlfn.CONCAT($Q$2, "%"), tblPiNAnalysis[[#Headers],[CCCM%]:[WASH%]], 0))=$A28, 1, 0)))), "")</f>
        <v/>
      </c>
      <c r="H28" s="93"/>
      <c r="I28" s="91" t="str" cm="1">
        <f t="array" ref="I28">IF($H28="", "", IF($H28=2, SUM(IF(INDEX(_xlfn._xlws.FILTER(tblPiNHistorical[[CCCM]:[WASH]], tblPiNHistorical[Population Group]=I$5), 0, MATCH($Q$2, tblPiNHistorical[[#Headers],[CCCM]:[WASH]], 0))&gt;1.9, 1, 0)), IF(SUM(IF(INDEX(_xlfn._xlws.FILTER(tblPiNHistorical[[CCCM]:[WASH]], tblPiNHistorical[Population Group]=I$5), 0, MATCH($Q$2, tblPiNHistorical[[#Headers],[CCCM]:[WASH]], 0))=$H28, 1, 0))=0, "", SUM(IF(INDEX(_xlfn._xlws.FILTER(tblPiNHistorical[[CCCM]:[WASH]], tblPiNHistorical[Population Group]=I$5), 0, MATCH($Q$2, tblPiNHistorical[[#Headers],[CCCM]:[WASH]], 0))=$H28, 1, 0)))))</f>
        <v/>
      </c>
      <c r="J28" s="91" t="str" cm="1">
        <f t="array" ref="J28">IFERROR(IF(OR($H28="", J27=""), "", IF($H28=2, SUM(IF(INDEX(_xlfn._xlws.FILTER(tblPiNHistorical[[CCCM]:[WASH]], tblPiNHistorical[Population Group]=J$5), 0, MATCH($Q$2, tblPiNHistorical[[#Headers],[CCCM]:[WASH]], 0))&gt;1.9, 1, 0)), IF(SUM(IF(INDEX(_xlfn._xlws.FILTER(tblPiNHistorical[[CCCM]:[WASH]], tblPiNHistorical[Population Group]=J$5), 0, MATCH($Q$2, tblPiNHistorical[[#Headers],[CCCM]:[WASH]], 0))=$H28, 1, 0))=0, "", SUM(IF(INDEX(_xlfn._xlws.FILTER(tblPiNHistorical[[CCCM]:[WASH]], tblPiNHistorical[Population Group]=J$5), 0, MATCH($Q$2, tblPiNHistorical[[#Headers],[CCCM]:[WASH]], 0))=$H28, 1, 0))))), "")</f>
        <v/>
      </c>
      <c r="K28" s="91" t="str" cm="1">
        <f t="array" ref="K28">IFERROR(IF(OR($H28="", K27=""), "", IF($H28=2, SUM(IF(INDEX(_xlfn._xlws.FILTER(tblPiNHistorical[[CCCM]:[WASH]], tblPiNHistorical[CCCM - old]=K$5), 0, MATCH($Q$2, tblPiNHistorical[[#Headers],[CCCM]:[WASH]], 0))&gt;1.9, 1, 0)), IF(SUM(IF(INDEX(_xlfn._xlws.FILTER(tblPiNHistorical[[CCCM]:[WASH]], tblPiNHistorical[CCCM - old]=K$5), 0, MATCH($Q$2, tblPiNHistorical[[#Headers],[CCCM]:[WASH]], 0))=$H28, 1, 0))=0, "", SUM(IF(INDEX(_xlfn._xlws.FILTER(tblPiNHistorical[[CCCM]:[WASH]], tblPiNHistorical[CCCM - old]=K$5), 0, MATCH($Q$2, tblPiNHistorical[[#Headers],[CCCM]:[WASH]], 0))=$H28, 1, 0))))), "")</f>
        <v/>
      </c>
      <c r="L28" s="91" t="str" cm="1">
        <f t="array" ref="L28">IFERROR(IF(OR($H28="", L27=""), "", IF($H28=2, SUM(IF(INDEX(_xlfn._xlws.FILTER(tblPiNHistorical[[CCCM]:[WASH]],#REF!= L$5), 0, MATCH($Q$2, tblPiNHistorical[[#Headers],[CCCM]:[WASH]], 0))&gt;1.9, 1, 0)), IF(SUM(IF(INDEX(_xlfn._xlws.FILTER(tblPiNHistorical[[CCCM]:[WASH]],#REF!= L$5), 0, MATCH($Q$2, tblPiNHistorical[[#Headers],[CCCM]:[WASH]], 0))=$H28, 1, 0))=0, "", SUM(IF(INDEX(_xlfn._xlws.FILTER(tblPiNHistorical[[CCCM]:[WASH]],#REF!= L$5), 0, MATCH($Q$2, tblPiNHistorical[[#Headers],[CCCM]:[WASH]], 0))=$H28, 1, 0))))), "")</f>
        <v/>
      </c>
      <c r="M28" s="91" t="str" cm="1">
        <f t="array" ref="M28">IFERROR(IF(OR($H28="", M27=""), "", IF($H28=2, SUM(IF(INDEX(_xlfn._xlws.FILTER(tblPiNHistorical[[CCCM]:[WASH]],#REF!= M$5), 0, MATCH($Q$2, tblPiNHistorical[[#Headers],[CCCM]:[WASH]], 0))&gt;1.9, 1, 0)), IF(SUM(IF(INDEX(_xlfn._xlws.FILTER(tblPiNHistorical[[CCCM]:[WASH]],#REF!= M$5), 0, MATCH($Q$2, tblPiNHistorical[[#Headers],[CCCM]:[WASH]], 0))=$H28, 1, 0))=0, "", SUM(IF(INDEX(_xlfn._xlws.FILTER(tblPiNHistorical[[CCCM]:[WASH]],#REF!= M$5), 0, MATCH($Q$2, tblPiNHistorical[[#Headers],[CCCM]:[WASH]], 0))=$H28, 1, 0))))), "")</f>
        <v/>
      </c>
      <c r="Q28" t="s">
        <v>225</v>
      </c>
      <c r="Z28" s="169"/>
      <c r="AB28" t="s">
        <v>225</v>
      </c>
    </row>
    <row r="29" spans="1:28">
      <c r="A29" s="93"/>
      <c r="B29" s="91" t="str" cm="1">
        <f t="array" ref="B29">IF($A29="", "", IF(SUM(IF(INDEX(_xlfn._xlws.FILTER(tblPiNAnalysis[[CCCM%]:[WASH%]], tblPiNAnalysis[Population Group]=B$5), 0, MATCH(_xlfn.CONCAT($Q$2, "%"), tblPiNAnalysis[[#Headers],[CCCM%]:[WASH%]], 0))=$A29, 1, 0))=0, "",SUM(IF(INDEX(_xlfn._xlws.FILTER(tblPiNAnalysis[[CCCM%]:[WASH%]], tblPiNAnalysis[Population Group]=B$5), 0, MATCH(_xlfn.CONCAT($Q$2, "%"), tblPiNAnalysis[[#Headers],[CCCM%]:[WASH%]], 0))=$A29, 1, 0))))</f>
        <v/>
      </c>
      <c r="C29" s="91" t="str" cm="1">
        <f t="array" ref="C29">IFERROR(IF(OR($A29="", C$5=""), "", IF(SUM(IF(INDEX(_xlfn._xlws.FILTER(tblPiNAnalysis[[CCCM%]:[WASH%]], tblPiNAnalysis[Population Group]=C$5), 0, MATCH(_xlfn.CONCAT($Q$2, "%"), tblPiNAnalysis[[#Headers],[CCCM%]:[WASH%]], 0))=$A29, 1, 0))=0, "",SUM(IF(INDEX(_xlfn._xlws.FILTER(tblPiNAnalysis[[CCCM%]:[WASH%]], tblPiNAnalysis[Population Group]=C$5), 0, MATCH(_xlfn.CONCAT($Q$2, "%"), tblPiNAnalysis[[#Headers],[CCCM%]:[WASH%]], 0))=$A29, 1, 0)))), "")</f>
        <v/>
      </c>
      <c r="D29" s="91" t="str" cm="1">
        <f t="array" ref="D29">IFERROR(IF(OR($A29="", D$5=""), "", IF(SUM(IF(INDEX(_xlfn._xlws.FILTER(tblPiNAnalysis[[CCCM%]:[WASH%]], tblPiNAnalysis[Population Group]=D$5), 0, MATCH(_xlfn.CONCAT($Q$2, "%"), tblPiNAnalysis[[#Headers],[CCCM%]:[WASH%]], 0))=$A29, 1, 0))=0, "",SUM(IF(INDEX(_xlfn._xlws.FILTER(tblPiNAnalysis[[CCCM%]:[WASH%]], tblPiNAnalysis[Population Group]=D$5), 0, MATCH(_xlfn.CONCAT($Q$2, "%"), tblPiNAnalysis[[#Headers],[CCCM%]:[WASH%]], 0))=$A29, 1, 0)))), "")</f>
        <v/>
      </c>
      <c r="E29" s="91" t="str" cm="1">
        <f t="array" ref="E29">IFERROR(IF(OR($A29="", E$5=""), "", IF(SUM(IF(INDEX(_xlfn._xlws.FILTER(tblPiNAnalysis[[CCCM%]:[WASH%]], tblPiNAnalysis[Population Group]=E$5), 0, MATCH(_xlfn.CONCAT($Q$2, "%"), tblPiNAnalysis[[#Headers],[CCCM%]:[WASH%]], 0))=$A29, 1, 0))=0, "",SUM(IF(INDEX(_xlfn._xlws.FILTER(tblPiNAnalysis[[CCCM%]:[WASH%]], tblPiNAnalysis[Population Group]=E$5), 0, MATCH(_xlfn.CONCAT($Q$2, "%"), tblPiNAnalysis[[#Headers],[CCCM%]:[WASH%]], 0))=$A29, 1, 0)))), "")</f>
        <v/>
      </c>
      <c r="F29" s="91" t="str" cm="1">
        <f t="array" ref="F29">IFERROR(IF(OR($A29="", F$5=""), "", IF(SUM(IF(INDEX(_xlfn._xlws.FILTER(tblPiNAnalysis[[CCCM%]:[WASH%]], tblPiNAnalysis[CCCM]=F$5), 0, MATCH(_xlfn.CONCAT($Q$2, "%"), tblPiNAnalysis[[#Headers],[CCCM%]:[WASH%]], 0))=$A29, 1, 0))=0, "",SUM(IF(INDEX(_xlfn._xlws.FILTER(tblPiNAnalysis[[CCCM%]:[WASH%]], tblPiNAnalysis[CCCM]=F$5), 0, MATCH(_xlfn.CONCAT($Q$2, "%"), tblPiNAnalysis[[#Headers],[CCCM%]:[WASH%]], 0))=$A29, 1, 0)))), "")</f>
        <v/>
      </c>
      <c r="H29" s="93"/>
      <c r="I29" s="91" t="str" cm="1">
        <f t="array" ref="I29">IF($H29="", "", IF($H29=2, SUM(IF(INDEX(_xlfn._xlws.FILTER(tblPiNHistorical[[CCCM]:[WASH]], tblPiNHistorical[Population Group]=I$5), 0, MATCH($Q$2, tblPiNHistorical[[#Headers],[CCCM]:[WASH]], 0))&gt;1.9, 1, 0)), IF(SUM(IF(INDEX(_xlfn._xlws.FILTER(tblPiNHistorical[[CCCM]:[WASH]], tblPiNHistorical[Population Group]=I$5), 0, MATCH($Q$2, tblPiNHistorical[[#Headers],[CCCM]:[WASH]], 0))=$H29, 1, 0))=0, "", SUM(IF(INDEX(_xlfn._xlws.FILTER(tblPiNHistorical[[CCCM]:[WASH]], tblPiNHistorical[Population Group]=I$5), 0, MATCH($Q$2, tblPiNHistorical[[#Headers],[CCCM]:[WASH]], 0))=$H29, 1, 0)))))</f>
        <v/>
      </c>
      <c r="J29" s="91" t="str" cm="1">
        <f t="array" ref="J29">IFERROR(IF(OR($H29="", J28=""), "", IF($H29=2, SUM(IF(INDEX(_xlfn._xlws.FILTER(tblPiNHistorical[[CCCM]:[WASH]], tblPiNHistorical[Population Group]=J$5), 0, MATCH($Q$2, tblPiNHistorical[[#Headers],[CCCM]:[WASH]], 0))&gt;1.9, 1, 0)), IF(SUM(IF(INDEX(_xlfn._xlws.FILTER(tblPiNHistorical[[CCCM]:[WASH]], tblPiNHistorical[Population Group]=J$5), 0, MATCH($Q$2, tblPiNHistorical[[#Headers],[CCCM]:[WASH]], 0))=$H29, 1, 0))=0, "", SUM(IF(INDEX(_xlfn._xlws.FILTER(tblPiNHistorical[[CCCM]:[WASH]], tblPiNHistorical[Population Group]=J$5), 0, MATCH($Q$2, tblPiNHistorical[[#Headers],[CCCM]:[WASH]], 0))=$H29, 1, 0))))), "")</f>
        <v/>
      </c>
      <c r="K29" s="91" t="str" cm="1">
        <f t="array" ref="K29">IFERROR(IF(OR($H29="", K28=""), "", IF($H29=2, SUM(IF(INDEX(_xlfn._xlws.FILTER(tblPiNHistorical[[CCCM]:[WASH]], tblPiNHistorical[CCCM - old]=K$5), 0, MATCH($Q$2, tblPiNHistorical[[#Headers],[CCCM]:[WASH]], 0))&gt;1.9, 1, 0)), IF(SUM(IF(INDEX(_xlfn._xlws.FILTER(tblPiNHistorical[[CCCM]:[WASH]], tblPiNHistorical[CCCM - old]=K$5), 0, MATCH($Q$2, tblPiNHistorical[[#Headers],[CCCM]:[WASH]], 0))=$H29, 1, 0))=0, "", SUM(IF(INDEX(_xlfn._xlws.FILTER(tblPiNHistorical[[CCCM]:[WASH]], tblPiNHistorical[CCCM - old]=K$5), 0, MATCH($Q$2, tblPiNHistorical[[#Headers],[CCCM]:[WASH]], 0))=$H29, 1, 0))))), "")</f>
        <v/>
      </c>
      <c r="L29" s="91" t="str" cm="1">
        <f t="array" ref="L29">IFERROR(IF(OR($H29="", L28=""), "", IF($H29=2, SUM(IF(INDEX(_xlfn._xlws.FILTER(tblPiNHistorical[[CCCM]:[WASH]],#REF!= L$5), 0, MATCH($Q$2, tblPiNHistorical[[#Headers],[CCCM]:[WASH]], 0))&gt;1.9, 1, 0)), IF(SUM(IF(INDEX(_xlfn._xlws.FILTER(tblPiNHistorical[[CCCM]:[WASH]],#REF!= L$5), 0, MATCH($Q$2, tblPiNHistorical[[#Headers],[CCCM]:[WASH]], 0))=$H29, 1, 0))=0, "", SUM(IF(INDEX(_xlfn._xlws.FILTER(tblPiNHistorical[[CCCM]:[WASH]],#REF!= L$5), 0, MATCH($Q$2, tblPiNHistorical[[#Headers],[CCCM]:[WASH]], 0))=$H29, 1, 0))))), "")</f>
        <v/>
      </c>
      <c r="M29" s="91" t="str" cm="1">
        <f t="array" ref="M29">IFERROR(IF(OR($H29="", M28=""), "", IF($H29=2, SUM(IF(INDEX(_xlfn._xlws.FILTER(tblPiNHistorical[[CCCM]:[WASH]],#REF!= M$5), 0, MATCH($Q$2, tblPiNHistorical[[#Headers],[CCCM]:[WASH]], 0))&gt;1.9, 1, 0)), IF(SUM(IF(INDEX(_xlfn._xlws.FILTER(tblPiNHistorical[[CCCM]:[WASH]],#REF!= M$5), 0, MATCH($Q$2, tblPiNHistorical[[#Headers],[CCCM]:[WASH]], 0))=$H29, 1, 0))=0, "", SUM(IF(INDEX(_xlfn._xlws.FILTER(tblPiNHistorical[[CCCM]:[WASH]],#REF!= M$5), 0, MATCH($Q$2, tblPiNHistorical[[#Headers],[CCCM]:[WASH]], 0))=$H29, 1, 0))))), "")</f>
        <v/>
      </c>
      <c r="Q29" s="97" t="s">
        <v>226</v>
      </c>
      <c r="Z29" s="169"/>
      <c r="AB29" s="97" t="s">
        <v>226</v>
      </c>
    </row>
    <row r="30" spans="1:28">
      <c r="A30" s="93"/>
      <c r="B30" s="91" t="str" cm="1">
        <f t="array" ref="B30">IF($A30="", "", IF(SUM(IF(INDEX(_xlfn._xlws.FILTER(tblPiNAnalysis[[CCCM%]:[WASH%]], tblPiNAnalysis[Population Group]=B$5), 0, MATCH(_xlfn.CONCAT($Q$2, "%"), tblPiNAnalysis[[#Headers],[CCCM%]:[WASH%]], 0))=$A30, 1, 0))=0, "",SUM(IF(INDEX(_xlfn._xlws.FILTER(tblPiNAnalysis[[CCCM%]:[WASH%]], tblPiNAnalysis[Population Group]=B$5), 0, MATCH(_xlfn.CONCAT($Q$2, "%"), tblPiNAnalysis[[#Headers],[CCCM%]:[WASH%]], 0))=$A30, 1, 0))))</f>
        <v/>
      </c>
      <c r="C30" s="91" t="str" cm="1">
        <f t="array" ref="C30">IFERROR(IF(OR($A30="", C$5=""), "", IF(SUM(IF(INDEX(_xlfn._xlws.FILTER(tblPiNAnalysis[[CCCM%]:[WASH%]], tblPiNAnalysis[Population Group]=C$5), 0, MATCH(_xlfn.CONCAT($Q$2, "%"), tblPiNAnalysis[[#Headers],[CCCM%]:[WASH%]], 0))=$A30, 1, 0))=0, "",SUM(IF(INDEX(_xlfn._xlws.FILTER(tblPiNAnalysis[[CCCM%]:[WASH%]], tblPiNAnalysis[Population Group]=C$5), 0, MATCH(_xlfn.CONCAT($Q$2, "%"), tblPiNAnalysis[[#Headers],[CCCM%]:[WASH%]], 0))=$A30, 1, 0)))), "")</f>
        <v/>
      </c>
      <c r="D30" s="91" t="str" cm="1">
        <f t="array" ref="D30">IFERROR(IF(OR($A30="", D$5=""), "", IF(SUM(IF(INDEX(_xlfn._xlws.FILTER(tblPiNAnalysis[[CCCM%]:[WASH%]], tblPiNAnalysis[Population Group]=D$5), 0, MATCH(_xlfn.CONCAT($Q$2, "%"), tblPiNAnalysis[[#Headers],[CCCM%]:[WASH%]], 0))=$A30, 1, 0))=0, "",SUM(IF(INDEX(_xlfn._xlws.FILTER(tblPiNAnalysis[[CCCM%]:[WASH%]], tblPiNAnalysis[Population Group]=D$5), 0, MATCH(_xlfn.CONCAT($Q$2, "%"), tblPiNAnalysis[[#Headers],[CCCM%]:[WASH%]], 0))=$A30, 1, 0)))), "")</f>
        <v/>
      </c>
      <c r="E30" s="91" t="str" cm="1">
        <f t="array" ref="E30">IFERROR(IF(OR($A30="", E$5=""), "", IF(SUM(IF(INDEX(_xlfn._xlws.FILTER(tblPiNAnalysis[[CCCM%]:[WASH%]], tblPiNAnalysis[Population Group]=E$5), 0, MATCH(_xlfn.CONCAT($Q$2, "%"), tblPiNAnalysis[[#Headers],[CCCM%]:[WASH%]], 0))=$A30, 1, 0))=0, "",SUM(IF(INDEX(_xlfn._xlws.FILTER(tblPiNAnalysis[[CCCM%]:[WASH%]], tblPiNAnalysis[Population Group]=E$5), 0, MATCH(_xlfn.CONCAT($Q$2, "%"), tblPiNAnalysis[[#Headers],[CCCM%]:[WASH%]], 0))=$A30, 1, 0)))), "")</f>
        <v/>
      </c>
      <c r="F30" s="91" t="str" cm="1">
        <f t="array" ref="F30">IFERROR(IF(OR($A30="", F$5=""), "", IF(SUM(IF(INDEX(_xlfn._xlws.FILTER(tblPiNAnalysis[[CCCM%]:[WASH%]], tblPiNAnalysis[CCCM]=F$5), 0, MATCH(_xlfn.CONCAT($Q$2, "%"), tblPiNAnalysis[[#Headers],[CCCM%]:[WASH%]], 0))=$A30, 1, 0))=0, "",SUM(IF(INDEX(_xlfn._xlws.FILTER(tblPiNAnalysis[[CCCM%]:[WASH%]], tblPiNAnalysis[CCCM]=F$5), 0, MATCH(_xlfn.CONCAT($Q$2, "%"), tblPiNAnalysis[[#Headers],[CCCM%]:[WASH%]], 0))=$A30, 1, 0)))), "")</f>
        <v/>
      </c>
      <c r="H30" s="93"/>
      <c r="I30" s="91" t="str" cm="1">
        <f t="array" ref="I30">IF($H30="", "", IF($H30=2, SUM(IF(INDEX(_xlfn._xlws.FILTER(tblPiNHistorical[[CCCM]:[WASH]], tblPiNHistorical[Population Group]=I$5), 0, MATCH($Q$2, tblPiNHistorical[[#Headers],[CCCM]:[WASH]], 0))&gt;1.9, 1, 0)), IF(SUM(IF(INDEX(_xlfn._xlws.FILTER(tblPiNHistorical[[CCCM]:[WASH]], tblPiNHistorical[Population Group]=I$5), 0, MATCH($Q$2, tblPiNHistorical[[#Headers],[CCCM]:[WASH]], 0))=$H30, 1, 0))=0, "", SUM(IF(INDEX(_xlfn._xlws.FILTER(tblPiNHistorical[[CCCM]:[WASH]], tblPiNHistorical[Population Group]=I$5), 0, MATCH($Q$2, tblPiNHistorical[[#Headers],[CCCM]:[WASH]], 0))=$H30, 1, 0)))))</f>
        <v/>
      </c>
      <c r="J30" s="91" t="str" cm="1">
        <f t="array" ref="J30">IFERROR(IF(OR($H30="", J29=""), "", IF($H30=2, SUM(IF(INDEX(_xlfn._xlws.FILTER(tblPiNHistorical[[CCCM]:[WASH]], tblPiNHistorical[Population Group]=J$5), 0, MATCH($Q$2, tblPiNHistorical[[#Headers],[CCCM]:[WASH]], 0))&gt;1.9, 1, 0)), IF(SUM(IF(INDEX(_xlfn._xlws.FILTER(tblPiNHistorical[[CCCM]:[WASH]], tblPiNHistorical[Population Group]=J$5), 0, MATCH($Q$2, tblPiNHistorical[[#Headers],[CCCM]:[WASH]], 0))=$H30, 1, 0))=0, "", SUM(IF(INDEX(_xlfn._xlws.FILTER(tblPiNHistorical[[CCCM]:[WASH]], tblPiNHistorical[Population Group]=J$5), 0, MATCH($Q$2, tblPiNHistorical[[#Headers],[CCCM]:[WASH]], 0))=$H30, 1, 0))))), "")</f>
        <v/>
      </c>
      <c r="K30" s="91" t="str" cm="1">
        <f t="array" ref="K30">IFERROR(IF(OR($H30="", K29=""), "", IF($H30=2, SUM(IF(INDEX(_xlfn._xlws.FILTER(tblPiNHistorical[[CCCM]:[WASH]], tblPiNHistorical[CCCM - old]=K$5), 0, MATCH($Q$2, tblPiNHistorical[[#Headers],[CCCM]:[WASH]], 0))&gt;1.9, 1, 0)), IF(SUM(IF(INDEX(_xlfn._xlws.FILTER(tblPiNHistorical[[CCCM]:[WASH]], tblPiNHistorical[CCCM - old]=K$5), 0, MATCH($Q$2, tblPiNHistorical[[#Headers],[CCCM]:[WASH]], 0))=$H30, 1, 0))=0, "", SUM(IF(INDEX(_xlfn._xlws.FILTER(tblPiNHistorical[[CCCM]:[WASH]], tblPiNHistorical[CCCM - old]=K$5), 0, MATCH($Q$2, tblPiNHistorical[[#Headers],[CCCM]:[WASH]], 0))=$H30, 1, 0))))), "")</f>
        <v/>
      </c>
      <c r="L30" s="91" t="str" cm="1">
        <f t="array" ref="L30">IFERROR(IF(OR($H30="", L29=""), "", IF($H30=2, SUM(IF(INDEX(_xlfn._xlws.FILTER(tblPiNHistorical[[CCCM]:[WASH]],#REF!= L$5), 0, MATCH($Q$2, tblPiNHistorical[[#Headers],[CCCM]:[WASH]], 0))&gt;1.9, 1, 0)), IF(SUM(IF(INDEX(_xlfn._xlws.FILTER(tblPiNHistorical[[CCCM]:[WASH]],#REF!= L$5), 0, MATCH($Q$2, tblPiNHistorical[[#Headers],[CCCM]:[WASH]], 0))=$H30, 1, 0))=0, "", SUM(IF(INDEX(_xlfn._xlws.FILTER(tblPiNHistorical[[CCCM]:[WASH]],#REF!= L$5), 0, MATCH($Q$2, tblPiNHistorical[[#Headers],[CCCM]:[WASH]], 0))=$H30, 1, 0))))), "")</f>
        <v/>
      </c>
      <c r="M30" s="91" t="str" cm="1">
        <f t="array" ref="M30">IFERROR(IF(OR($H30="", M29=""), "", IF($H30=2, SUM(IF(INDEX(_xlfn._xlws.FILTER(tblPiNHistorical[[CCCM]:[WASH]],#REF!= M$5), 0, MATCH($Q$2, tblPiNHistorical[[#Headers],[CCCM]:[WASH]], 0))&gt;1.9, 1, 0)), IF(SUM(IF(INDEX(_xlfn._xlws.FILTER(tblPiNHistorical[[CCCM]:[WASH]],#REF!= M$5), 0, MATCH($Q$2, tblPiNHistorical[[#Headers],[CCCM]:[WASH]], 0))=$H30, 1, 0))=0, "", SUM(IF(INDEX(_xlfn._xlws.FILTER(tblPiNHistorical[[CCCM]:[WASH]],#REF!= M$5), 0, MATCH($Q$2, tblPiNHistorical[[#Headers],[CCCM]:[WASH]], 0))=$H30, 1, 0))))), "")</f>
        <v/>
      </c>
      <c r="Q30" t="str">
        <f>_xlfn.CONCAT("- ", MAXA(B$6:B$77)," units ", IF(OR(C$5="", C$5="NA"), "", _xlfn.CONCAT("of ", B$5, " population group ")), "have a % PiN at of ", INDEX(A$6:A$77, MATCH(MAXA(B$6:B$77), B$6:B$77, 0))*100, "%")</f>
        <v>- 7 units of IDPs population group have a % PiN at of 10%</v>
      </c>
      <c r="Z30" s="169"/>
      <c r="AB30" t="str" cm="1">
        <f t="array" ref="AB30">_xlfn.CONCAT("- ", IF(IFERROR(MAXA(_xlfn._xlws.FILTER(I$6:I$77, H$6:H$77&gt;0)), 0) = 0, "", _xlfn.CONCAT(MAXA(_xlfn._xlws.FILTER(I$6:I$77, H$6:H$77&gt;0)), " units have ", INDEX(H$6:H$77, MATCH(MAXA(_xlfn._xlws.FILTER(I$6:I$77, H$6:H$77&gt;0)), I$6:I$77, 0))*100, "% PiN increase")), IF(OR(IFERROR(MAXA(_xlfn._xlws.FILTER(I$6:I$77, H$6:H$77&gt;0)), 0) = 0,IFERROR(MAXA(_xlfn._xlws.FILTER(I$6:I$77, H$6:H$77&lt;0)), 0) = 0), "", " and "), IF(IFERROR(MAXA(_xlfn._xlws.FILTER(I$6:I$77, H$6:H$77&lt;0)), 0)=0, "", _xlfn.CONCAT(MAXA(_xlfn._xlws.FILTER(I$6:I$77, H$6:H$77&lt;0)), " units have ", INDEX(H$6:H$77, MATCH(MAXA(_xlfn._xlws.FILTER(I$6:I$77, H$6:H$77&lt;0)), I$6:I$77, 0))*-100, "% PiN decrease")), " from ",  $Q$2, IF(OR(I$5="", I$5="NA"), "", _xlfn.CONCAT(" for the ", I$5," population group")))</f>
        <v>- 1 units have -100% PiN increase and 3 units have 50% PiN decrease from Education for the IDPs population group</v>
      </c>
    </row>
    <row r="31" spans="1:28">
      <c r="A31" s="93"/>
      <c r="B31" s="91" t="str" cm="1">
        <f t="array" ref="B31">IF($A31="", "", IF(SUM(IF(INDEX(_xlfn._xlws.FILTER(tblPiNAnalysis[[CCCM%]:[WASH%]], tblPiNAnalysis[Population Group]=B$5), 0, MATCH(_xlfn.CONCAT($Q$2, "%"), tblPiNAnalysis[[#Headers],[CCCM%]:[WASH%]], 0))=$A31, 1, 0))=0, "",SUM(IF(INDEX(_xlfn._xlws.FILTER(tblPiNAnalysis[[CCCM%]:[WASH%]], tblPiNAnalysis[Population Group]=B$5), 0, MATCH(_xlfn.CONCAT($Q$2, "%"), tblPiNAnalysis[[#Headers],[CCCM%]:[WASH%]], 0))=$A31, 1, 0))))</f>
        <v/>
      </c>
      <c r="C31" s="91" t="str" cm="1">
        <f t="array" ref="C31">IFERROR(IF(OR($A31="", C$5=""), "", IF(SUM(IF(INDEX(_xlfn._xlws.FILTER(tblPiNAnalysis[[CCCM%]:[WASH%]], tblPiNAnalysis[Population Group]=C$5), 0, MATCH(_xlfn.CONCAT($Q$2, "%"), tblPiNAnalysis[[#Headers],[CCCM%]:[WASH%]], 0))=$A31, 1, 0))=0, "",SUM(IF(INDEX(_xlfn._xlws.FILTER(tblPiNAnalysis[[CCCM%]:[WASH%]], tblPiNAnalysis[Population Group]=C$5), 0, MATCH(_xlfn.CONCAT($Q$2, "%"), tblPiNAnalysis[[#Headers],[CCCM%]:[WASH%]], 0))=$A31, 1, 0)))), "")</f>
        <v/>
      </c>
      <c r="D31" s="91" t="str" cm="1">
        <f t="array" ref="D31">IFERROR(IF(OR($A31="", D$5=""), "", IF(SUM(IF(INDEX(_xlfn._xlws.FILTER(tblPiNAnalysis[[CCCM%]:[WASH%]], tblPiNAnalysis[Population Group]=D$5), 0, MATCH(_xlfn.CONCAT($Q$2, "%"), tblPiNAnalysis[[#Headers],[CCCM%]:[WASH%]], 0))=$A31, 1, 0))=0, "",SUM(IF(INDEX(_xlfn._xlws.FILTER(tblPiNAnalysis[[CCCM%]:[WASH%]], tblPiNAnalysis[Population Group]=D$5), 0, MATCH(_xlfn.CONCAT($Q$2, "%"), tblPiNAnalysis[[#Headers],[CCCM%]:[WASH%]], 0))=$A31, 1, 0)))), "")</f>
        <v/>
      </c>
      <c r="E31" s="91" t="str" cm="1">
        <f t="array" ref="E31">IFERROR(IF(OR($A31="", E$5=""), "", IF(SUM(IF(INDEX(_xlfn._xlws.FILTER(tblPiNAnalysis[[CCCM%]:[WASH%]], tblPiNAnalysis[Population Group]=E$5), 0, MATCH(_xlfn.CONCAT($Q$2, "%"), tblPiNAnalysis[[#Headers],[CCCM%]:[WASH%]], 0))=$A31, 1, 0))=0, "",SUM(IF(INDEX(_xlfn._xlws.FILTER(tblPiNAnalysis[[CCCM%]:[WASH%]], tblPiNAnalysis[Population Group]=E$5), 0, MATCH(_xlfn.CONCAT($Q$2, "%"), tblPiNAnalysis[[#Headers],[CCCM%]:[WASH%]], 0))=$A31, 1, 0)))), "")</f>
        <v/>
      </c>
      <c r="F31" s="91" t="str" cm="1">
        <f t="array" ref="F31">IFERROR(IF(OR($A31="", F$5=""), "", IF(SUM(IF(INDEX(_xlfn._xlws.FILTER(tblPiNAnalysis[[CCCM%]:[WASH%]], tblPiNAnalysis[CCCM]=F$5), 0, MATCH(_xlfn.CONCAT($Q$2, "%"), tblPiNAnalysis[[#Headers],[CCCM%]:[WASH%]], 0))=$A31, 1, 0))=0, "",SUM(IF(INDEX(_xlfn._xlws.FILTER(tblPiNAnalysis[[CCCM%]:[WASH%]], tblPiNAnalysis[CCCM]=F$5), 0, MATCH(_xlfn.CONCAT($Q$2, "%"), tblPiNAnalysis[[#Headers],[CCCM%]:[WASH%]], 0))=$A31, 1, 0)))), "")</f>
        <v/>
      </c>
      <c r="H31" s="93"/>
      <c r="I31" s="91" t="str" cm="1">
        <f t="array" ref="I31">IF($H31="", "", IF($H31=2, SUM(IF(INDEX(_xlfn._xlws.FILTER(tblPiNHistorical[[CCCM]:[WASH]], tblPiNHistorical[Population Group]=I$5), 0, MATCH($Q$2, tblPiNHistorical[[#Headers],[CCCM]:[WASH]], 0))&gt;1.9, 1, 0)), IF(SUM(IF(INDEX(_xlfn._xlws.FILTER(tblPiNHistorical[[CCCM]:[WASH]], tblPiNHistorical[Population Group]=I$5), 0, MATCH($Q$2, tblPiNHistorical[[#Headers],[CCCM]:[WASH]], 0))=$H31, 1, 0))=0, "", SUM(IF(INDEX(_xlfn._xlws.FILTER(tblPiNHistorical[[CCCM]:[WASH]], tblPiNHistorical[Population Group]=I$5), 0, MATCH($Q$2, tblPiNHistorical[[#Headers],[CCCM]:[WASH]], 0))=$H31, 1, 0)))))</f>
        <v/>
      </c>
      <c r="J31" s="91" t="str" cm="1">
        <f t="array" ref="J31">IFERROR(IF(OR($H31="", J30=""), "", IF($H31=2, SUM(IF(INDEX(_xlfn._xlws.FILTER(tblPiNHistorical[[CCCM]:[WASH]], tblPiNHistorical[Population Group]=J$5), 0, MATCH($Q$2, tblPiNHistorical[[#Headers],[CCCM]:[WASH]], 0))&gt;1.9, 1, 0)), IF(SUM(IF(INDEX(_xlfn._xlws.FILTER(tblPiNHistorical[[CCCM]:[WASH]], tblPiNHistorical[Population Group]=J$5), 0, MATCH($Q$2, tblPiNHistorical[[#Headers],[CCCM]:[WASH]], 0))=$H31, 1, 0))=0, "", SUM(IF(INDEX(_xlfn._xlws.FILTER(tblPiNHistorical[[CCCM]:[WASH]], tblPiNHistorical[Population Group]=J$5), 0, MATCH($Q$2, tblPiNHistorical[[#Headers],[CCCM]:[WASH]], 0))=$H31, 1, 0))))), "")</f>
        <v/>
      </c>
      <c r="K31" s="91" t="str" cm="1">
        <f t="array" ref="K31">IFERROR(IF(OR($H31="", K30=""), "", IF($H31=2, SUM(IF(INDEX(_xlfn._xlws.FILTER(tblPiNHistorical[[CCCM]:[WASH]], tblPiNHistorical[CCCM - old]=K$5), 0, MATCH($Q$2, tblPiNHistorical[[#Headers],[CCCM]:[WASH]], 0))&gt;1.9, 1, 0)), IF(SUM(IF(INDEX(_xlfn._xlws.FILTER(tblPiNHistorical[[CCCM]:[WASH]], tblPiNHistorical[CCCM - old]=K$5), 0, MATCH($Q$2, tblPiNHistorical[[#Headers],[CCCM]:[WASH]], 0))=$H31, 1, 0))=0, "", SUM(IF(INDEX(_xlfn._xlws.FILTER(tblPiNHistorical[[CCCM]:[WASH]], tblPiNHistorical[CCCM - old]=K$5), 0, MATCH($Q$2, tblPiNHistorical[[#Headers],[CCCM]:[WASH]], 0))=$H31, 1, 0))))), "")</f>
        <v/>
      </c>
      <c r="L31" s="91" t="str" cm="1">
        <f t="array" ref="L31">IFERROR(IF(OR($H31="", L30=""), "", IF($H31=2, SUM(IF(INDEX(_xlfn._xlws.FILTER(tblPiNHistorical[[CCCM]:[WASH]],#REF!= L$5), 0, MATCH($Q$2, tblPiNHistorical[[#Headers],[CCCM]:[WASH]], 0))&gt;1.9, 1, 0)), IF(SUM(IF(INDEX(_xlfn._xlws.FILTER(tblPiNHistorical[[CCCM]:[WASH]],#REF!= L$5), 0, MATCH($Q$2, tblPiNHistorical[[#Headers],[CCCM]:[WASH]], 0))=$H31, 1, 0))=0, "", SUM(IF(INDEX(_xlfn._xlws.FILTER(tblPiNHistorical[[CCCM]:[WASH]],#REF!= L$5), 0, MATCH($Q$2, tblPiNHistorical[[#Headers],[CCCM]:[WASH]], 0))=$H31, 1, 0))))), "")</f>
        <v/>
      </c>
      <c r="M31" s="91" t="str" cm="1">
        <f t="array" ref="M31">IFERROR(IF(OR($H31="", M30=""), "", IF($H31=2, SUM(IF(INDEX(_xlfn._xlws.FILTER(tblPiNHistorical[[CCCM]:[WASH]],#REF!= M$5), 0, MATCH($Q$2, tblPiNHistorical[[#Headers],[CCCM]:[WASH]], 0))&gt;1.9, 1, 0)), IF(SUM(IF(INDEX(_xlfn._xlws.FILTER(tblPiNHistorical[[CCCM]:[WASH]],#REF!= M$5), 0, MATCH($Q$2, tblPiNHistorical[[#Headers],[CCCM]:[WASH]], 0))=$H31, 1, 0))=0, "", SUM(IF(INDEX(_xlfn._xlws.FILTER(tblPiNHistorical[[CCCM]:[WASH]],#REF!= M$5), 0, MATCH($Q$2, tblPiNHistorical[[#Headers],[CCCM]:[WASH]], 0))=$H31, 1, 0))))), "")</f>
        <v/>
      </c>
      <c r="Q31" t="str">
        <f>IF(C$5 = "", "", _xlfn.CONCAT("- ", MAXA(C$6:C$77)," units of ", C$5, " population group have a % PiN at of ", INDEX(A$6:A$77, MATCH(MAXA(C$6:C$77), C$6:C$77, 0))*100, "%"))</f>
        <v>- 5 units of Returnees population group have a % PiN at of 15%</v>
      </c>
      <c r="Z31" s="169"/>
      <c r="AB31" t="str" cm="1">
        <f t="array" ref="AB31">IF(J$5="", "", _xlfn.CONCAT("- ", IF(IFERROR(MAXA(_xlfn._xlws.FILTER(J$6:J$77, H$6:H$77&gt;0)), 0) = 0, "", _xlfn.CONCAT(MAXA(_xlfn._xlws.FILTER(J$6:J$77, H$6:H$77&gt;0)), " units have ", INDEX(H$6:H$77, MATCH(MAXA(_xlfn._xlws.FILTER(J$6:J$77, H$6:H$77&gt;0)), J$6:J$77, 0))*100, "% PiN increase")), IF(OR(IFERROR(MAXA(_xlfn._xlws.FILTER(J$6:J$77, H$6:H$77&gt;0)), 0) = 0,IFERROR(MAXA(_xlfn._xlws.FILTER(J$6:J$77, H$6:H$77&lt;0)), 0) = 0), "", " and "), IF(IFERROR(MAXA(_xlfn._xlws.FILTER(J$6:J$77, H$6:H$77&lt;0)), 0)=0, "", _xlfn.CONCAT(MAXA(_xlfn._xlws.FILTER(J$6:J$77, H$6:H$77&lt;0)), " units have ", INDEX(H$6:H$77, MATCH(MAXA(_xlfn._xlws.FILTER(J$6:J$77, H$6:H$77&lt;0)), J$6:J$77, 0))*-100, "% PiN decrease")), " from ",  $Q$2, IF(J$5="", "", _xlfn.CONCAT(" for the ", J$5," population group"))))</f>
        <v>- 1 units have 100% PiN decrease from Education for the Returnees population group</v>
      </c>
    </row>
    <row r="32" spans="1:28">
      <c r="A32" s="93"/>
      <c r="B32" s="91" t="str" cm="1">
        <f t="array" ref="B32">IF($A32="", "", IF(SUM(IF(INDEX(_xlfn._xlws.FILTER(tblPiNAnalysis[[CCCM%]:[WASH%]], tblPiNAnalysis[Population Group]=B$5), 0, MATCH(_xlfn.CONCAT($Q$2, "%"), tblPiNAnalysis[[#Headers],[CCCM%]:[WASH%]], 0))=$A32, 1, 0))=0, "",SUM(IF(INDEX(_xlfn._xlws.FILTER(tblPiNAnalysis[[CCCM%]:[WASH%]], tblPiNAnalysis[Population Group]=B$5), 0, MATCH(_xlfn.CONCAT($Q$2, "%"), tblPiNAnalysis[[#Headers],[CCCM%]:[WASH%]], 0))=$A32, 1, 0))))</f>
        <v/>
      </c>
      <c r="C32" s="91" t="str" cm="1">
        <f t="array" ref="C32">IFERROR(IF(OR($A32="", C$5=""), "", IF(SUM(IF(INDEX(_xlfn._xlws.FILTER(tblPiNAnalysis[[CCCM%]:[WASH%]], tblPiNAnalysis[Population Group]=C$5), 0, MATCH(_xlfn.CONCAT($Q$2, "%"), tblPiNAnalysis[[#Headers],[CCCM%]:[WASH%]], 0))=$A32, 1, 0))=0, "",SUM(IF(INDEX(_xlfn._xlws.FILTER(tblPiNAnalysis[[CCCM%]:[WASH%]], tblPiNAnalysis[Population Group]=C$5), 0, MATCH(_xlfn.CONCAT($Q$2, "%"), tblPiNAnalysis[[#Headers],[CCCM%]:[WASH%]], 0))=$A32, 1, 0)))), "")</f>
        <v/>
      </c>
      <c r="D32" s="91" t="str" cm="1">
        <f t="array" ref="D32">IFERROR(IF(OR($A32="", D$5=""), "", IF(SUM(IF(INDEX(_xlfn._xlws.FILTER(tblPiNAnalysis[[CCCM%]:[WASH%]], tblPiNAnalysis[Population Group]=D$5), 0, MATCH(_xlfn.CONCAT($Q$2, "%"), tblPiNAnalysis[[#Headers],[CCCM%]:[WASH%]], 0))=$A32, 1, 0))=0, "",SUM(IF(INDEX(_xlfn._xlws.FILTER(tblPiNAnalysis[[CCCM%]:[WASH%]], tblPiNAnalysis[Population Group]=D$5), 0, MATCH(_xlfn.CONCAT($Q$2, "%"), tblPiNAnalysis[[#Headers],[CCCM%]:[WASH%]], 0))=$A32, 1, 0)))), "")</f>
        <v/>
      </c>
      <c r="E32" s="91" t="str" cm="1">
        <f t="array" ref="E32">IFERROR(IF(OR($A32="", E$5=""), "", IF(SUM(IF(INDEX(_xlfn._xlws.FILTER(tblPiNAnalysis[[CCCM%]:[WASH%]], tblPiNAnalysis[Population Group]=E$5), 0, MATCH(_xlfn.CONCAT($Q$2, "%"), tblPiNAnalysis[[#Headers],[CCCM%]:[WASH%]], 0))=$A32, 1, 0))=0, "",SUM(IF(INDEX(_xlfn._xlws.FILTER(tblPiNAnalysis[[CCCM%]:[WASH%]], tblPiNAnalysis[Population Group]=E$5), 0, MATCH(_xlfn.CONCAT($Q$2, "%"), tblPiNAnalysis[[#Headers],[CCCM%]:[WASH%]], 0))=$A32, 1, 0)))), "")</f>
        <v/>
      </c>
      <c r="F32" s="91" t="str" cm="1">
        <f t="array" ref="F32">IFERROR(IF(OR($A32="", F$5=""), "", IF(SUM(IF(INDEX(_xlfn._xlws.FILTER(tblPiNAnalysis[[CCCM%]:[WASH%]], tblPiNAnalysis[CCCM]=F$5), 0, MATCH(_xlfn.CONCAT($Q$2, "%"), tblPiNAnalysis[[#Headers],[CCCM%]:[WASH%]], 0))=$A32, 1, 0))=0, "",SUM(IF(INDEX(_xlfn._xlws.FILTER(tblPiNAnalysis[[CCCM%]:[WASH%]], tblPiNAnalysis[CCCM]=F$5), 0, MATCH(_xlfn.CONCAT($Q$2, "%"), tblPiNAnalysis[[#Headers],[CCCM%]:[WASH%]], 0))=$A32, 1, 0)))), "")</f>
        <v/>
      </c>
      <c r="H32" s="93"/>
      <c r="I32" s="91" t="str" cm="1">
        <f t="array" ref="I32">IF($H32="", "", IF($H32=2, SUM(IF(INDEX(_xlfn._xlws.FILTER(tblPiNHistorical[[CCCM]:[WASH]], tblPiNHistorical[Population Group]=I$5), 0, MATCH($Q$2, tblPiNHistorical[[#Headers],[CCCM]:[WASH]], 0))&gt;1.9, 1, 0)), IF(SUM(IF(INDEX(_xlfn._xlws.FILTER(tblPiNHistorical[[CCCM]:[WASH]], tblPiNHistorical[Population Group]=I$5), 0, MATCH($Q$2, tblPiNHistorical[[#Headers],[CCCM]:[WASH]], 0))=$H32, 1, 0))=0, "", SUM(IF(INDEX(_xlfn._xlws.FILTER(tblPiNHistorical[[CCCM]:[WASH]], tblPiNHistorical[Population Group]=I$5), 0, MATCH($Q$2, tblPiNHistorical[[#Headers],[CCCM]:[WASH]], 0))=$H32, 1, 0)))))</f>
        <v/>
      </c>
      <c r="J32" s="91" t="str" cm="1">
        <f t="array" ref="J32">IFERROR(IF(OR($H32="", J31=""), "", IF($H32=2, SUM(IF(INDEX(_xlfn._xlws.FILTER(tblPiNHistorical[[CCCM]:[WASH]], tblPiNHistorical[Population Group]=J$5), 0, MATCH($Q$2, tblPiNHistorical[[#Headers],[CCCM]:[WASH]], 0))&gt;1.9, 1, 0)), IF(SUM(IF(INDEX(_xlfn._xlws.FILTER(tblPiNHistorical[[CCCM]:[WASH]], tblPiNHistorical[Population Group]=J$5), 0, MATCH($Q$2, tblPiNHistorical[[#Headers],[CCCM]:[WASH]], 0))=$H32, 1, 0))=0, "", SUM(IF(INDEX(_xlfn._xlws.FILTER(tblPiNHistorical[[CCCM]:[WASH]], tblPiNHistorical[Population Group]=J$5), 0, MATCH($Q$2, tblPiNHistorical[[#Headers],[CCCM]:[WASH]], 0))=$H32, 1, 0))))), "")</f>
        <v/>
      </c>
      <c r="K32" s="91" t="str" cm="1">
        <f t="array" ref="K32">IFERROR(IF(OR($H32="", K31=""), "", IF($H32=2, SUM(IF(INDEX(_xlfn._xlws.FILTER(tblPiNHistorical[[CCCM]:[WASH]], tblPiNHistorical[CCCM - old]=K$5), 0, MATCH($Q$2, tblPiNHistorical[[#Headers],[CCCM]:[WASH]], 0))&gt;1.9, 1, 0)), IF(SUM(IF(INDEX(_xlfn._xlws.FILTER(tblPiNHistorical[[CCCM]:[WASH]], tblPiNHistorical[CCCM - old]=K$5), 0, MATCH($Q$2, tblPiNHistorical[[#Headers],[CCCM]:[WASH]], 0))=$H32, 1, 0))=0, "", SUM(IF(INDEX(_xlfn._xlws.FILTER(tblPiNHistorical[[CCCM]:[WASH]], tblPiNHistorical[CCCM - old]=K$5), 0, MATCH($Q$2, tblPiNHistorical[[#Headers],[CCCM]:[WASH]], 0))=$H32, 1, 0))))), "")</f>
        <v/>
      </c>
      <c r="L32" s="91" t="str" cm="1">
        <f t="array" ref="L32">IFERROR(IF(OR($H32="", L31=""), "", IF($H32=2, SUM(IF(INDEX(_xlfn._xlws.FILTER(tblPiNHistorical[[CCCM]:[WASH]],#REF!= L$5), 0, MATCH($Q$2, tblPiNHistorical[[#Headers],[CCCM]:[WASH]], 0))&gt;1.9, 1, 0)), IF(SUM(IF(INDEX(_xlfn._xlws.FILTER(tblPiNHistorical[[CCCM]:[WASH]],#REF!= L$5), 0, MATCH($Q$2, tblPiNHistorical[[#Headers],[CCCM]:[WASH]], 0))=$H32, 1, 0))=0, "", SUM(IF(INDEX(_xlfn._xlws.FILTER(tblPiNHistorical[[CCCM]:[WASH]],#REF!= L$5), 0, MATCH($Q$2, tblPiNHistorical[[#Headers],[CCCM]:[WASH]], 0))=$H32, 1, 0))))), "")</f>
        <v/>
      </c>
      <c r="M32" s="91" t="str" cm="1">
        <f t="array" ref="M32">IFERROR(IF(OR($H32="", M31=""), "", IF($H32=2, SUM(IF(INDEX(_xlfn._xlws.FILTER(tblPiNHistorical[[CCCM]:[WASH]],#REF!= M$5), 0, MATCH($Q$2, tblPiNHistorical[[#Headers],[CCCM]:[WASH]], 0))&gt;1.9, 1, 0)), IF(SUM(IF(INDEX(_xlfn._xlws.FILTER(tblPiNHistorical[[CCCM]:[WASH]],#REF!= M$5), 0, MATCH($Q$2, tblPiNHistorical[[#Headers],[CCCM]:[WASH]], 0))=$H32, 1, 0))=0, "", SUM(IF(INDEX(_xlfn._xlws.FILTER(tblPiNHistorical[[CCCM]:[WASH]],#REF!= M$5), 0, MATCH($Q$2, tblPiNHistorical[[#Headers],[CCCM]:[WASH]], 0))=$H32, 1, 0))))), "")</f>
        <v/>
      </c>
      <c r="Q32" t="str">
        <f>IF(D$5 = "", "", _xlfn.CONCAT("- ", MAXA(D$6:D$77)," units of ", D$5, " population group have a % PiN at of ", INDEX(A$6:A$77, MATCH(MAXA(D$6:D$77), D$6:D$77, 0))*100, "%"))</f>
        <v>- 7 units of Non-Displaced population group have a % PiN at of 15%</v>
      </c>
      <c r="Z32" s="169"/>
      <c r="AB32" t="str" cm="1">
        <f t="array" ref="AB32">IF(K$5="", "", _xlfn.CONCAT("- ", IF(IFERROR(MAXA(_xlfn._xlws.FILTER(K$6:K$77, H$6:H$77&gt;0)), 0) = 0, "", _xlfn.CONCAT(MAXA(_xlfn._xlws.FILTER(K$6:K$77, H$6:H$77&gt;0)), " units have ", INDEX(H$6:H$77, MATCH(MAXA(_xlfn._xlws.FILTER(K$6:K$77, H$6:H$77&gt;0)), K$6:K$77, 0))*100, "% PiN increase")), IF(OR(IFERROR(MAXA(_xlfn._xlws.FILTER(K$6:K$77, H$6:H$77&gt;0)), 0) = 0,IFERROR(MAXA(_xlfn._xlws.FILTER(K$6:K$77, H$6:H$77&lt;0)), 0) = 0), "", " and "), IF(IFERROR(MAXA(_xlfn._xlws.FILTER(K$6:K$77, H$6:H$77&lt;0)), 0)=0, "", _xlfn.CONCAT(MAXA(_xlfn._xlws.FILTER(K$6:K$77, H$6:H$77&lt;0)), " units have ", INDEX(H$6:H$77, MATCH(MAXA(_xlfn._xlws.FILTER(K$6:K$77, H$6:H$77&lt;0)), K$6:K$77, 0))*-100, "% PiN decrease")), " from ",  $Q$2, IF(K$5="", "", _xlfn.CONCAT(" for the ", K$5," population group"))))</f>
        <v>-  from Education for the Non-Displaced population group</v>
      </c>
    </row>
    <row r="33" spans="1:28">
      <c r="A33" s="93"/>
      <c r="B33" s="91" t="str" cm="1">
        <f t="array" ref="B33">IF($A33="", "", IF(SUM(IF(INDEX(_xlfn._xlws.FILTER(tblPiNAnalysis[[CCCM%]:[WASH%]], tblPiNAnalysis[Population Group]=B$5), 0, MATCH(_xlfn.CONCAT($Q$2, "%"), tblPiNAnalysis[[#Headers],[CCCM%]:[WASH%]], 0))=$A33, 1, 0))=0, "",SUM(IF(INDEX(_xlfn._xlws.FILTER(tblPiNAnalysis[[CCCM%]:[WASH%]], tblPiNAnalysis[Population Group]=B$5), 0, MATCH(_xlfn.CONCAT($Q$2, "%"), tblPiNAnalysis[[#Headers],[CCCM%]:[WASH%]], 0))=$A33, 1, 0))))</f>
        <v/>
      </c>
      <c r="C33" s="91" t="str" cm="1">
        <f t="array" ref="C33">IFERROR(IF(OR($A33="", C$5=""), "", IF(SUM(IF(INDEX(_xlfn._xlws.FILTER(tblPiNAnalysis[[CCCM%]:[WASH%]], tblPiNAnalysis[Population Group]=C$5), 0, MATCH(_xlfn.CONCAT($Q$2, "%"), tblPiNAnalysis[[#Headers],[CCCM%]:[WASH%]], 0))=$A33, 1, 0))=0, "",SUM(IF(INDEX(_xlfn._xlws.FILTER(tblPiNAnalysis[[CCCM%]:[WASH%]], tblPiNAnalysis[Population Group]=C$5), 0, MATCH(_xlfn.CONCAT($Q$2, "%"), tblPiNAnalysis[[#Headers],[CCCM%]:[WASH%]], 0))=$A33, 1, 0)))), "")</f>
        <v/>
      </c>
      <c r="D33" s="91" t="str" cm="1">
        <f t="array" ref="D33">IFERROR(IF(OR($A33="", D$5=""), "", IF(SUM(IF(INDEX(_xlfn._xlws.FILTER(tblPiNAnalysis[[CCCM%]:[WASH%]], tblPiNAnalysis[Population Group]=D$5), 0, MATCH(_xlfn.CONCAT($Q$2, "%"), tblPiNAnalysis[[#Headers],[CCCM%]:[WASH%]], 0))=$A33, 1, 0))=0, "",SUM(IF(INDEX(_xlfn._xlws.FILTER(tblPiNAnalysis[[CCCM%]:[WASH%]], tblPiNAnalysis[Population Group]=D$5), 0, MATCH(_xlfn.CONCAT($Q$2, "%"), tblPiNAnalysis[[#Headers],[CCCM%]:[WASH%]], 0))=$A33, 1, 0)))), "")</f>
        <v/>
      </c>
      <c r="E33" s="91" t="str" cm="1">
        <f t="array" ref="E33">IFERROR(IF(OR($A33="", E$5=""), "", IF(SUM(IF(INDEX(_xlfn._xlws.FILTER(tblPiNAnalysis[[CCCM%]:[WASH%]], tblPiNAnalysis[Population Group]=E$5), 0, MATCH(_xlfn.CONCAT($Q$2, "%"), tblPiNAnalysis[[#Headers],[CCCM%]:[WASH%]], 0))=$A33, 1, 0))=0, "",SUM(IF(INDEX(_xlfn._xlws.FILTER(tblPiNAnalysis[[CCCM%]:[WASH%]], tblPiNAnalysis[Population Group]=E$5), 0, MATCH(_xlfn.CONCAT($Q$2, "%"), tblPiNAnalysis[[#Headers],[CCCM%]:[WASH%]], 0))=$A33, 1, 0)))), "")</f>
        <v/>
      </c>
      <c r="F33" s="91" t="str" cm="1">
        <f t="array" ref="F33">IFERROR(IF(OR($A33="", F$5=""), "", IF(SUM(IF(INDEX(_xlfn._xlws.FILTER(tblPiNAnalysis[[CCCM%]:[WASH%]], tblPiNAnalysis[CCCM]=F$5), 0, MATCH(_xlfn.CONCAT($Q$2, "%"), tblPiNAnalysis[[#Headers],[CCCM%]:[WASH%]], 0))=$A33, 1, 0))=0, "",SUM(IF(INDEX(_xlfn._xlws.FILTER(tblPiNAnalysis[[CCCM%]:[WASH%]], tblPiNAnalysis[CCCM]=F$5), 0, MATCH(_xlfn.CONCAT($Q$2, "%"), tblPiNAnalysis[[#Headers],[CCCM%]:[WASH%]], 0))=$A33, 1, 0)))), "")</f>
        <v/>
      </c>
      <c r="H33" s="93"/>
      <c r="I33" s="91" t="str" cm="1">
        <f t="array" ref="I33">IF($H33="", "", IF($H33=2, SUM(IF(INDEX(_xlfn._xlws.FILTER(tblPiNHistorical[[CCCM]:[WASH]], tblPiNHistorical[Population Group]=I$5), 0, MATCH($Q$2, tblPiNHistorical[[#Headers],[CCCM]:[WASH]], 0))&gt;1.9, 1, 0)), IF(SUM(IF(INDEX(_xlfn._xlws.FILTER(tblPiNHistorical[[CCCM]:[WASH]], tblPiNHistorical[Population Group]=I$5), 0, MATCH($Q$2, tblPiNHistorical[[#Headers],[CCCM]:[WASH]], 0))=$H33, 1, 0))=0, "", SUM(IF(INDEX(_xlfn._xlws.FILTER(tblPiNHistorical[[CCCM]:[WASH]], tblPiNHistorical[Population Group]=I$5), 0, MATCH($Q$2, tblPiNHistorical[[#Headers],[CCCM]:[WASH]], 0))=$H33, 1, 0)))))</f>
        <v/>
      </c>
      <c r="J33" s="91" t="str" cm="1">
        <f t="array" ref="J33">IFERROR(IF(OR($H33="", J32=""), "", IF($H33=2, SUM(IF(INDEX(_xlfn._xlws.FILTER(tblPiNHistorical[[CCCM]:[WASH]], tblPiNHistorical[Population Group]=J$5), 0, MATCH($Q$2, tblPiNHistorical[[#Headers],[CCCM]:[WASH]], 0))&gt;1.9, 1, 0)), IF(SUM(IF(INDEX(_xlfn._xlws.FILTER(tblPiNHistorical[[CCCM]:[WASH]], tblPiNHistorical[Population Group]=J$5), 0, MATCH($Q$2, tblPiNHistorical[[#Headers],[CCCM]:[WASH]], 0))=$H33, 1, 0))=0, "", SUM(IF(INDEX(_xlfn._xlws.FILTER(tblPiNHistorical[[CCCM]:[WASH]], tblPiNHistorical[Population Group]=J$5), 0, MATCH($Q$2, tblPiNHistorical[[#Headers],[CCCM]:[WASH]], 0))=$H33, 1, 0))))), "")</f>
        <v/>
      </c>
      <c r="K33" s="91" t="str" cm="1">
        <f t="array" ref="K33">IFERROR(IF(OR($H33="", K32=""), "", IF($H33=2, SUM(IF(INDEX(_xlfn._xlws.FILTER(tblPiNHistorical[[CCCM]:[WASH]], tblPiNHistorical[CCCM - old]=K$5), 0, MATCH($Q$2, tblPiNHistorical[[#Headers],[CCCM]:[WASH]], 0))&gt;1.9, 1, 0)), IF(SUM(IF(INDEX(_xlfn._xlws.FILTER(tblPiNHistorical[[CCCM]:[WASH]], tblPiNHistorical[CCCM - old]=K$5), 0, MATCH($Q$2, tblPiNHistorical[[#Headers],[CCCM]:[WASH]], 0))=$H33, 1, 0))=0, "", SUM(IF(INDEX(_xlfn._xlws.FILTER(tblPiNHistorical[[CCCM]:[WASH]], tblPiNHistorical[CCCM - old]=K$5), 0, MATCH($Q$2, tblPiNHistorical[[#Headers],[CCCM]:[WASH]], 0))=$H33, 1, 0))))), "")</f>
        <v/>
      </c>
      <c r="L33" s="91" t="str" cm="1">
        <f t="array" ref="L33">IFERROR(IF(OR($H33="", L32=""), "", IF($H33=2, SUM(IF(INDEX(_xlfn._xlws.FILTER(tblPiNHistorical[[CCCM]:[WASH]],#REF!= L$5), 0, MATCH($Q$2, tblPiNHistorical[[#Headers],[CCCM]:[WASH]], 0))&gt;1.9, 1, 0)), IF(SUM(IF(INDEX(_xlfn._xlws.FILTER(tblPiNHistorical[[CCCM]:[WASH]],#REF!= L$5), 0, MATCH($Q$2, tblPiNHistorical[[#Headers],[CCCM]:[WASH]], 0))=$H33, 1, 0))=0, "", SUM(IF(INDEX(_xlfn._xlws.FILTER(tblPiNHistorical[[CCCM]:[WASH]],#REF!= L$5), 0, MATCH($Q$2, tblPiNHistorical[[#Headers],[CCCM]:[WASH]], 0))=$H33, 1, 0))))), "")</f>
        <v/>
      </c>
      <c r="M33" s="91" t="str" cm="1">
        <f t="array" ref="M33">IFERROR(IF(OR($H33="", M32=""), "", IF($H33=2, SUM(IF(INDEX(_xlfn._xlws.FILTER(tblPiNHistorical[[CCCM]:[WASH]],#REF!= M$5), 0, MATCH($Q$2, tblPiNHistorical[[#Headers],[CCCM]:[WASH]], 0))&gt;1.9, 1, 0)), IF(SUM(IF(INDEX(_xlfn._xlws.FILTER(tblPiNHistorical[[CCCM]:[WASH]],#REF!= M$5), 0, MATCH($Q$2, tblPiNHistorical[[#Headers],[CCCM]:[WASH]], 0))=$H33, 1, 0))=0, "", SUM(IF(INDEX(_xlfn._xlws.FILTER(tblPiNHistorical[[CCCM]:[WASH]],#REF!= M$5), 0, MATCH($Q$2, tblPiNHistorical[[#Headers],[CCCM]:[WASH]], 0))=$H33, 1, 0))))), "")</f>
        <v/>
      </c>
      <c r="Q33" t="str">
        <f>IF(E$5 = "", "", _xlfn.CONCAT("- ", MAXA(E$6:E$77)," units of ", E$5, " population group have a % PiN at of ", INDEX(A$6:A$77, MATCH(MAXA(E$6:E$77), E$6:E$77, 0))*100, "%"))</f>
        <v/>
      </c>
      <c r="Z33" s="169"/>
      <c r="AB33" t="str" cm="1">
        <f t="array" ref="AB33">IF(L$5="", "", _xlfn.CONCAT("- ", IF(IFERROR(MAXA(_xlfn._xlws.FILTER(L$6:L$77, H$6:H$77&gt;0)), 0) = 0, "", _xlfn.CONCAT(MAXA(_xlfn._xlws.FILTER(L$6:L$77, H$6:H$77&gt;0)), " units have ", INDEX(H$6:H$77, MATCH(MAXA(_xlfn._xlws.FILTER(L$6:L$77, H$6:H$77&gt;0)), L$6:L$77, 0))*100, "% PiN increase")), IF(OR(IFERROR(MAXA(_xlfn._xlws.FILTER(L$6:L$77, H$6:H$77&gt;0)), 0) = 0,IFERROR(MAXA(_xlfn._xlws.FILTER(L$6:L$77, H$6:H$77&lt;0)), 0) = 0), "", " and "), IF(IFERROR(MAXA(_xlfn._xlws.FILTER(L$6:L$77, H$6:H$77&lt;0)), 0)=0, "", _xlfn.CONCAT(MAXA(_xlfn._xlws.FILTER(L$6:L$77, H$6:H$77&lt;0)), " units have ", INDEX(H$6:H$77, MATCH(MAXA(_xlfn._xlws.FILTER(L$6:L$77, H$6:H$77&lt;0)), L$6:L$77, 0))*-100, "% PiN decrease")), " from ",  $Q$2, IF(L$5="", "", _xlfn.CONCAT(" for the ", L$5," population group"))))</f>
        <v/>
      </c>
    </row>
    <row r="34" spans="1:28">
      <c r="A34" s="93"/>
      <c r="B34" s="91" t="str" cm="1">
        <f t="array" ref="B34">IF($A34="", "", IF(SUM(IF(INDEX(_xlfn._xlws.FILTER(tblPiNAnalysis[[CCCM%]:[WASH%]], tblPiNAnalysis[Population Group]=B$5), 0, MATCH(_xlfn.CONCAT($Q$2, "%"), tblPiNAnalysis[[#Headers],[CCCM%]:[WASH%]], 0))=$A34, 1, 0))=0, "",SUM(IF(INDEX(_xlfn._xlws.FILTER(tblPiNAnalysis[[CCCM%]:[WASH%]], tblPiNAnalysis[Population Group]=B$5), 0, MATCH(_xlfn.CONCAT($Q$2, "%"), tblPiNAnalysis[[#Headers],[CCCM%]:[WASH%]], 0))=$A34, 1, 0))))</f>
        <v/>
      </c>
      <c r="C34" s="91" t="str" cm="1">
        <f t="array" ref="C34">IFERROR(IF(OR($A34="", C$5=""), "", IF(SUM(IF(INDEX(_xlfn._xlws.FILTER(tblPiNAnalysis[[CCCM%]:[WASH%]], tblPiNAnalysis[Population Group]=C$5), 0, MATCH(_xlfn.CONCAT($Q$2, "%"), tblPiNAnalysis[[#Headers],[CCCM%]:[WASH%]], 0))=$A34, 1, 0))=0, "",SUM(IF(INDEX(_xlfn._xlws.FILTER(tblPiNAnalysis[[CCCM%]:[WASH%]], tblPiNAnalysis[Population Group]=C$5), 0, MATCH(_xlfn.CONCAT($Q$2, "%"), tblPiNAnalysis[[#Headers],[CCCM%]:[WASH%]], 0))=$A34, 1, 0)))), "")</f>
        <v/>
      </c>
      <c r="D34" s="91" t="str" cm="1">
        <f t="array" ref="D34">IFERROR(IF(OR($A34="", D$5=""), "", IF(SUM(IF(INDEX(_xlfn._xlws.FILTER(tblPiNAnalysis[[CCCM%]:[WASH%]], tblPiNAnalysis[Population Group]=D$5), 0, MATCH(_xlfn.CONCAT($Q$2, "%"), tblPiNAnalysis[[#Headers],[CCCM%]:[WASH%]], 0))=$A34, 1, 0))=0, "",SUM(IF(INDEX(_xlfn._xlws.FILTER(tblPiNAnalysis[[CCCM%]:[WASH%]], tblPiNAnalysis[Population Group]=D$5), 0, MATCH(_xlfn.CONCAT($Q$2, "%"), tblPiNAnalysis[[#Headers],[CCCM%]:[WASH%]], 0))=$A34, 1, 0)))), "")</f>
        <v/>
      </c>
      <c r="E34" s="91" t="str" cm="1">
        <f t="array" ref="E34">IFERROR(IF(OR($A34="", E$5=""), "", IF(SUM(IF(INDEX(_xlfn._xlws.FILTER(tblPiNAnalysis[[CCCM%]:[WASH%]], tblPiNAnalysis[Population Group]=E$5), 0, MATCH(_xlfn.CONCAT($Q$2, "%"), tblPiNAnalysis[[#Headers],[CCCM%]:[WASH%]], 0))=$A34, 1, 0))=0, "",SUM(IF(INDEX(_xlfn._xlws.FILTER(tblPiNAnalysis[[CCCM%]:[WASH%]], tblPiNAnalysis[Population Group]=E$5), 0, MATCH(_xlfn.CONCAT($Q$2, "%"), tblPiNAnalysis[[#Headers],[CCCM%]:[WASH%]], 0))=$A34, 1, 0)))), "")</f>
        <v/>
      </c>
      <c r="F34" s="91" t="str" cm="1">
        <f t="array" ref="F34">IFERROR(IF(OR($A34="", F$5=""), "", IF(SUM(IF(INDEX(_xlfn._xlws.FILTER(tblPiNAnalysis[[CCCM%]:[WASH%]], tblPiNAnalysis[CCCM]=F$5), 0, MATCH(_xlfn.CONCAT($Q$2, "%"), tblPiNAnalysis[[#Headers],[CCCM%]:[WASH%]], 0))=$A34, 1, 0))=0, "",SUM(IF(INDEX(_xlfn._xlws.FILTER(tblPiNAnalysis[[CCCM%]:[WASH%]], tblPiNAnalysis[CCCM]=F$5), 0, MATCH(_xlfn.CONCAT($Q$2, "%"), tblPiNAnalysis[[#Headers],[CCCM%]:[WASH%]], 0))=$A34, 1, 0)))), "")</f>
        <v/>
      </c>
      <c r="H34" s="93"/>
      <c r="I34" s="91" t="str" cm="1">
        <f t="array" ref="I34">IF($H34="", "", IF($H34=2, SUM(IF(INDEX(_xlfn._xlws.FILTER(tblPiNHistorical[[CCCM]:[WASH]], tblPiNHistorical[Population Group]=I$5), 0, MATCH($Q$2, tblPiNHistorical[[#Headers],[CCCM]:[WASH]], 0))&gt;1.9, 1, 0)), IF(SUM(IF(INDEX(_xlfn._xlws.FILTER(tblPiNHistorical[[CCCM]:[WASH]], tblPiNHistorical[Population Group]=I$5), 0, MATCH($Q$2, tblPiNHistorical[[#Headers],[CCCM]:[WASH]], 0))=$H34, 1, 0))=0, "", SUM(IF(INDEX(_xlfn._xlws.FILTER(tblPiNHistorical[[CCCM]:[WASH]], tblPiNHistorical[Population Group]=I$5), 0, MATCH($Q$2, tblPiNHistorical[[#Headers],[CCCM]:[WASH]], 0))=$H34, 1, 0)))))</f>
        <v/>
      </c>
      <c r="J34" s="91" t="str" cm="1">
        <f t="array" ref="J34">IFERROR(IF(OR($H34="", J33=""), "", IF($H34=2, SUM(IF(INDEX(_xlfn._xlws.FILTER(tblPiNHistorical[[CCCM]:[WASH]], tblPiNHistorical[Population Group]=J$5), 0, MATCH($Q$2, tblPiNHistorical[[#Headers],[CCCM]:[WASH]], 0))&gt;1.9, 1, 0)), IF(SUM(IF(INDEX(_xlfn._xlws.FILTER(tblPiNHistorical[[CCCM]:[WASH]], tblPiNHistorical[Population Group]=J$5), 0, MATCH($Q$2, tblPiNHistorical[[#Headers],[CCCM]:[WASH]], 0))=$H34, 1, 0))=0, "", SUM(IF(INDEX(_xlfn._xlws.FILTER(tblPiNHistorical[[CCCM]:[WASH]], tblPiNHistorical[Population Group]=J$5), 0, MATCH($Q$2, tblPiNHistorical[[#Headers],[CCCM]:[WASH]], 0))=$H34, 1, 0))))), "")</f>
        <v/>
      </c>
      <c r="K34" s="91" t="str" cm="1">
        <f t="array" ref="K34">IFERROR(IF(OR($H34="", K33=""), "", IF($H34=2, SUM(IF(INDEX(_xlfn._xlws.FILTER(tblPiNHistorical[[CCCM]:[WASH]], tblPiNHistorical[CCCM - old]=K$5), 0, MATCH($Q$2, tblPiNHistorical[[#Headers],[CCCM]:[WASH]], 0))&gt;1.9, 1, 0)), IF(SUM(IF(INDEX(_xlfn._xlws.FILTER(tblPiNHistorical[[CCCM]:[WASH]], tblPiNHistorical[CCCM - old]=K$5), 0, MATCH($Q$2, tblPiNHistorical[[#Headers],[CCCM]:[WASH]], 0))=$H34, 1, 0))=0, "", SUM(IF(INDEX(_xlfn._xlws.FILTER(tblPiNHistorical[[CCCM]:[WASH]], tblPiNHistorical[CCCM - old]=K$5), 0, MATCH($Q$2, tblPiNHistorical[[#Headers],[CCCM]:[WASH]], 0))=$H34, 1, 0))))), "")</f>
        <v/>
      </c>
      <c r="L34" s="91" t="str" cm="1">
        <f t="array" ref="L34">IFERROR(IF(OR($H34="", L33=""), "", IF($H34=2, SUM(IF(INDEX(_xlfn._xlws.FILTER(tblPiNHistorical[[CCCM]:[WASH]],#REF!= L$5), 0, MATCH($Q$2, tblPiNHistorical[[#Headers],[CCCM]:[WASH]], 0))&gt;1.9, 1, 0)), IF(SUM(IF(INDEX(_xlfn._xlws.FILTER(tblPiNHistorical[[CCCM]:[WASH]],#REF!= L$5), 0, MATCH($Q$2, tblPiNHistorical[[#Headers],[CCCM]:[WASH]], 0))=$H34, 1, 0))=0, "", SUM(IF(INDEX(_xlfn._xlws.FILTER(tblPiNHistorical[[CCCM]:[WASH]],#REF!= L$5), 0, MATCH($Q$2, tblPiNHistorical[[#Headers],[CCCM]:[WASH]], 0))=$H34, 1, 0))))), "")</f>
        <v/>
      </c>
      <c r="M34" s="91" t="str" cm="1">
        <f t="array" ref="M34">IFERROR(IF(OR($H34="", M33=""), "", IF($H34=2, SUM(IF(INDEX(_xlfn._xlws.FILTER(tblPiNHistorical[[CCCM]:[WASH]],#REF!= M$5), 0, MATCH($Q$2, tblPiNHistorical[[#Headers],[CCCM]:[WASH]], 0))&gt;1.9, 1, 0)), IF(SUM(IF(INDEX(_xlfn._xlws.FILTER(tblPiNHistorical[[CCCM]:[WASH]],#REF!= M$5), 0, MATCH($Q$2, tblPiNHistorical[[#Headers],[CCCM]:[WASH]], 0))=$H34, 1, 0))=0, "", SUM(IF(INDEX(_xlfn._xlws.FILTER(tblPiNHistorical[[CCCM]:[WASH]],#REF!= M$5), 0, MATCH($Q$2, tblPiNHistorical[[#Headers],[CCCM]:[WASH]], 0))=$H34, 1, 0))))), "")</f>
        <v/>
      </c>
      <c r="Q34" t="str">
        <f>IF(F$5 = "", "", _xlfn.CONCAT("- ", MAXA(F$6:F$77)," units of ", F$5, " population group have a % PiN at of ", INDEX(A$6:A$77, MATCH(MAXA(F$6:F$77), F$6:F$77, 0))*100, "%"))</f>
        <v/>
      </c>
      <c r="AB34" t="str" cm="1">
        <f t="array" ref="AB34">IF(M$5="", "", _xlfn.CONCAT("- ", IF(IFERROR(MAXA(_xlfn._xlws.FILTER(M$6:M$77, H$6:H$77&gt;0)), 0) = 0, "", _xlfn.CONCAT(MAXA(_xlfn._xlws.FILTER(M$6:M$77, H$6:H$77&gt;0)), " units have ", INDEX(H$6:H$77, MATCH(MAXA(_xlfn._xlws.FILTER(M$6:M$77, H$6:H$77&gt;0)), M$6:M$77, 0))*100, "% PiN increase")), IF(OR(IFERROR(MAXA(_xlfn._xlws.FILTER(M$6:M$77, H$6:H$77&gt;0)), 0) = 0,IFERROR(MAXA(_xlfn._xlws.FILTER(M$6:M$77, H$6:H$77&lt;0)), 0) = 0), "", " and "), IF(IFERROR(MAXA(_xlfn._xlws.FILTER(M$6:M$77, H$6:H$77&lt;0)), 0)=0, "", _xlfn.CONCAT(MAXA(_xlfn._xlws.FILTER(M$6:M$77, H$6:H$77&lt;0)), " units have ", INDEX(H$6:H$77, MATCH(MAXA(_xlfn._xlws.FILTER(M$6:M$77, H$6:H$77&lt;0)), M$6:M$77, 0))*-100, "% PiN decrease")), " from ",  $Q$2, IF(M$5="", "", _xlfn.CONCAT(" for the ", M$5," population group"))))</f>
        <v/>
      </c>
    </row>
    <row r="35" spans="1:28">
      <c r="A35" s="93"/>
      <c r="B35" s="91" t="str" cm="1">
        <f t="array" ref="B35">IF($A35="", "", IF(SUM(IF(INDEX(_xlfn._xlws.FILTER(tblPiNAnalysis[[CCCM%]:[WASH%]], tblPiNAnalysis[Population Group]=B$5), 0, MATCH(_xlfn.CONCAT($Q$2, "%"), tblPiNAnalysis[[#Headers],[CCCM%]:[WASH%]], 0))=$A35, 1, 0))=0, "",SUM(IF(INDEX(_xlfn._xlws.FILTER(tblPiNAnalysis[[CCCM%]:[WASH%]], tblPiNAnalysis[Population Group]=B$5), 0, MATCH(_xlfn.CONCAT($Q$2, "%"), tblPiNAnalysis[[#Headers],[CCCM%]:[WASH%]], 0))=$A35, 1, 0))))</f>
        <v/>
      </c>
      <c r="C35" s="91" t="str" cm="1">
        <f t="array" ref="C35">IFERROR(IF(OR($A35="", C$5=""), "", IF(SUM(IF(INDEX(_xlfn._xlws.FILTER(tblPiNAnalysis[[CCCM%]:[WASH%]], tblPiNAnalysis[Population Group]=C$5), 0, MATCH(_xlfn.CONCAT($Q$2, "%"), tblPiNAnalysis[[#Headers],[CCCM%]:[WASH%]], 0))=$A35, 1, 0))=0, "",SUM(IF(INDEX(_xlfn._xlws.FILTER(tblPiNAnalysis[[CCCM%]:[WASH%]], tblPiNAnalysis[Population Group]=C$5), 0, MATCH(_xlfn.CONCAT($Q$2, "%"), tblPiNAnalysis[[#Headers],[CCCM%]:[WASH%]], 0))=$A35, 1, 0)))), "")</f>
        <v/>
      </c>
      <c r="D35" s="91" t="str" cm="1">
        <f t="array" ref="D35">IFERROR(IF(OR($A35="", D$5=""), "", IF(SUM(IF(INDEX(_xlfn._xlws.FILTER(tblPiNAnalysis[[CCCM%]:[WASH%]], tblPiNAnalysis[Population Group]=D$5), 0, MATCH(_xlfn.CONCAT($Q$2, "%"), tblPiNAnalysis[[#Headers],[CCCM%]:[WASH%]], 0))=$A35, 1, 0))=0, "",SUM(IF(INDEX(_xlfn._xlws.FILTER(tblPiNAnalysis[[CCCM%]:[WASH%]], tblPiNAnalysis[Population Group]=D$5), 0, MATCH(_xlfn.CONCAT($Q$2, "%"), tblPiNAnalysis[[#Headers],[CCCM%]:[WASH%]], 0))=$A35, 1, 0)))), "")</f>
        <v/>
      </c>
      <c r="E35" s="91" t="str" cm="1">
        <f t="array" ref="E35">IFERROR(IF(OR($A35="", E$5=""), "", IF(SUM(IF(INDEX(_xlfn._xlws.FILTER(tblPiNAnalysis[[CCCM%]:[WASH%]], tblPiNAnalysis[Population Group]=E$5), 0, MATCH(_xlfn.CONCAT($Q$2, "%"), tblPiNAnalysis[[#Headers],[CCCM%]:[WASH%]], 0))=$A35, 1, 0))=0, "",SUM(IF(INDEX(_xlfn._xlws.FILTER(tblPiNAnalysis[[CCCM%]:[WASH%]], tblPiNAnalysis[Population Group]=E$5), 0, MATCH(_xlfn.CONCAT($Q$2, "%"), tblPiNAnalysis[[#Headers],[CCCM%]:[WASH%]], 0))=$A35, 1, 0)))), "")</f>
        <v/>
      </c>
      <c r="F35" s="91" t="str" cm="1">
        <f t="array" ref="F35">IFERROR(IF(OR($A35="", F$5=""), "", IF(SUM(IF(INDEX(_xlfn._xlws.FILTER(tblPiNAnalysis[[CCCM%]:[WASH%]], tblPiNAnalysis[CCCM]=F$5), 0, MATCH(_xlfn.CONCAT($Q$2, "%"), tblPiNAnalysis[[#Headers],[CCCM%]:[WASH%]], 0))=$A35, 1, 0))=0, "",SUM(IF(INDEX(_xlfn._xlws.FILTER(tblPiNAnalysis[[CCCM%]:[WASH%]], tblPiNAnalysis[CCCM]=F$5), 0, MATCH(_xlfn.CONCAT($Q$2, "%"), tblPiNAnalysis[[#Headers],[CCCM%]:[WASH%]], 0))=$A35, 1, 0)))), "")</f>
        <v/>
      </c>
      <c r="H35" s="93"/>
      <c r="I35" s="91" t="str" cm="1">
        <f t="array" ref="I35">IF($H35="", "", IF($H35=2, SUM(IF(INDEX(_xlfn._xlws.FILTER(tblPiNHistorical[[CCCM]:[WASH]], tblPiNHistorical[Population Group]=I$5), 0, MATCH($Q$2, tblPiNHistorical[[#Headers],[CCCM]:[WASH]], 0))&gt;1.9, 1, 0)), IF(SUM(IF(INDEX(_xlfn._xlws.FILTER(tblPiNHistorical[[CCCM]:[WASH]], tblPiNHistorical[Population Group]=I$5), 0, MATCH($Q$2, tblPiNHistorical[[#Headers],[CCCM]:[WASH]], 0))=$H35, 1, 0))=0, "", SUM(IF(INDEX(_xlfn._xlws.FILTER(tblPiNHistorical[[CCCM]:[WASH]], tblPiNHistorical[Population Group]=I$5), 0, MATCH($Q$2, tblPiNHistorical[[#Headers],[CCCM]:[WASH]], 0))=$H35, 1, 0)))))</f>
        <v/>
      </c>
      <c r="J35" s="91" t="str" cm="1">
        <f t="array" ref="J35">IFERROR(IF(OR($H35="", J34=""), "", IF($H35=2, SUM(IF(INDEX(_xlfn._xlws.FILTER(tblPiNHistorical[[CCCM]:[WASH]], tblPiNHistorical[Population Group]=J$5), 0, MATCH($Q$2, tblPiNHistorical[[#Headers],[CCCM]:[WASH]], 0))&gt;1.9, 1, 0)), IF(SUM(IF(INDEX(_xlfn._xlws.FILTER(tblPiNHistorical[[CCCM]:[WASH]], tblPiNHistorical[Population Group]=J$5), 0, MATCH($Q$2, tblPiNHistorical[[#Headers],[CCCM]:[WASH]], 0))=$H35, 1, 0))=0, "", SUM(IF(INDEX(_xlfn._xlws.FILTER(tblPiNHistorical[[CCCM]:[WASH]], tblPiNHistorical[Population Group]=J$5), 0, MATCH($Q$2, tblPiNHistorical[[#Headers],[CCCM]:[WASH]], 0))=$H35, 1, 0))))), "")</f>
        <v/>
      </c>
      <c r="K35" s="91" t="str" cm="1">
        <f t="array" ref="K35">IFERROR(IF(OR($H35="", K34=""), "", IF($H35=2, SUM(IF(INDEX(_xlfn._xlws.FILTER(tblPiNHistorical[[CCCM]:[WASH]], tblPiNHistorical[CCCM - old]=K$5), 0, MATCH($Q$2, tblPiNHistorical[[#Headers],[CCCM]:[WASH]], 0))&gt;1.9, 1, 0)), IF(SUM(IF(INDEX(_xlfn._xlws.FILTER(tblPiNHistorical[[CCCM]:[WASH]], tblPiNHistorical[CCCM - old]=K$5), 0, MATCH($Q$2, tblPiNHistorical[[#Headers],[CCCM]:[WASH]], 0))=$H35, 1, 0))=0, "", SUM(IF(INDEX(_xlfn._xlws.FILTER(tblPiNHistorical[[CCCM]:[WASH]], tblPiNHistorical[CCCM - old]=K$5), 0, MATCH($Q$2, tblPiNHistorical[[#Headers],[CCCM]:[WASH]], 0))=$H35, 1, 0))))), "")</f>
        <v/>
      </c>
      <c r="L35" s="91" t="str" cm="1">
        <f t="array" ref="L35">IFERROR(IF(OR($H35="", L34=""), "", IF($H35=2, SUM(IF(INDEX(_xlfn._xlws.FILTER(tblPiNHistorical[[CCCM]:[WASH]],#REF!= L$5), 0, MATCH($Q$2, tblPiNHistorical[[#Headers],[CCCM]:[WASH]], 0))&gt;1.9, 1, 0)), IF(SUM(IF(INDEX(_xlfn._xlws.FILTER(tblPiNHistorical[[CCCM]:[WASH]],#REF!= L$5), 0, MATCH($Q$2, tblPiNHistorical[[#Headers],[CCCM]:[WASH]], 0))=$H35, 1, 0))=0, "", SUM(IF(INDEX(_xlfn._xlws.FILTER(tblPiNHistorical[[CCCM]:[WASH]],#REF!= L$5), 0, MATCH($Q$2, tblPiNHistorical[[#Headers],[CCCM]:[WASH]], 0))=$H35, 1, 0))))), "")</f>
        <v/>
      </c>
      <c r="M35" s="91" t="str" cm="1">
        <f t="array" ref="M35">IFERROR(IF(OR($H35="", M34=""), "", IF($H35=2, SUM(IF(INDEX(_xlfn._xlws.FILTER(tblPiNHistorical[[CCCM]:[WASH]],#REF!= M$5), 0, MATCH($Q$2, tblPiNHistorical[[#Headers],[CCCM]:[WASH]], 0))&gt;1.9, 1, 0)), IF(SUM(IF(INDEX(_xlfn._xlws.FILTER(tblPiNHistorical[[CCCM]:[WASH]],#REF!= M$5), 0, MATCH($Q$2, tblPiNHistorical[[#Headers],[CCCM]:[WASH]], 0))=$H35, 1, 0))=0, "", SUM(IF(INDEX(_xlfn._xlws.FILTER(tblPiNHistorical[[CCCM]:[WASH]],#REF!= M$5), 0, MATCH($Q$2, tblPiNHistorical[[#Headers],[CCCM]:[WASH]], 0))=$H35, 1, 0))))), "")</f>
        <v/>
      </c>
    </row>
    <row r="36" spans="1:28">
      <c r="A36" s="93"/>
      <c r="B36" s="91" t="str" cm="1">
        <f t="array" ref="B36">IF($A36="", "", IF(SUM(IF(INDEX(_xlfn._xlws.FILTER(tblPiNAnalysis[[CCCM%]:[WASH%]], tblPiNAnalysis[Population Group]=B$5), 0, MATCH(_xlfn.CONCAT($Q$2, "%"), tblPiNAnalysis[[#Headers],[CCCM%]:[WASH%]], 0))=$A36, 1, 0))=0, "",SUM(IF(INDEX(_xlfn._xlws.FILTER(tblPiNAnalysis[[CCCM%]:[WASH%]], tblPiNAnalysis[Population Group]=B$5), 0, MATCH(_xlfn.CONCAT($Q$2, "%"), tblPiNAnalysis[[#Headers],[CCCM%]:[WASH%]], 0))=$A36, 1, 0))))</f>
        <v/>
      </c>
      <c r="C36" s="91" t="str" cm="1">
        <f t="array" ref="C36">IFERROR(IF(OR($A36="", C$5=""), "", IF(SUM(IF(INDEX(_xlfn._xlws.FILTER(tblPiNAnalysis[[CCCM%]:[WASH%]], tblPiNAnalysis[Population Group]=C$5), 0, MATCH(_xlfn.CONCAT($Q$2, "%"), tblPiNAnalysis[[#Headers],[CCCM%]:[WASH%]], 0))=$A36, 1, 0))=0, "",SUM(IF(INDEX(_xlfn._xlws.FILTER(tblPiNAnalysis[[CCCM%]:[WASH%]], tblPiNAnalysis[Population Group]=C$5), 0, MATCH(_xlfn.CONCAT($Q$2, "%"), tblPiNAnalysis[[#Headers],[CCCM%]:[WASH%]], 0))=$A36, 1, 0)))), "")</f>
        <v/>
      </c>
      <c r="D36" s="91" t="str" cm="1">
        <f t="array" ref="D36">IFERROR(IF(OR($A36="", D$5=""), "", IF(SUM(IF(INDEX(_xlfn._xlws.FILTER(tblPiNAnalysis[[CCCM%]:[WASH%]], tblPiNAnalysis[Population Group]=D$5), 0, MATCH(_xlfn.CONCAT($Q$2, "%"), tblPiNAnalysis[[#Headers],[CCCM%]:[WASH%]], 0))=$A36, 1, 0))=0, "",SUM(IF(INDEX(_xlfn._xlws.FILTER(tblPiNAnalysis[[CCCM%]:[WASH%]], tblPiNAnalysis[Population Group]=D$5), 0, MATCH(_xlfn.CONCAT($Q$2, "%"), tblPiNAnalysis[[#Headers],[CCCM%]:[WASH%]], 0))=$A36, 1, 0)))), "")</f>
        <v/>
      </c>
      <c r="E36" s="91" t="str" cm="1">
        <f t="array" ref="E36">IFERROR(IF(OR($A36="", E$5=""), "", IF(SUM(IF(INDEX(_xlfn._xlws.FILTER(tblPiNAnalysis[[CCCM%]:[WASH%]], tblPiNAnalysis[Population Group]=E$5), 0, MATCH(_xlfn.CONCAT($Q$2, "%"), tblPiNAnalysis[[#Headers],[CCCM%]:[WASH%]], 0))=$A36, 1, 0))=0, "",SUM(IF(INDEX(_xlfn._xlws.FILTER(tblPiNAnalysis[[CCCM%]:[WASH%]], tblPiNAnalysis[Population Group]=E$5), 0, MATCH(_xlfn.CONCAT($Q$2, "%"), tblPiNAnalysis[[#Headers],[CCCM%]:[WASH%]], 0))=$A36, 1, 0)))), "")</f>
        <v/>
      </c>
      <c r="F36" s="91" t="str" cm="1">
        <f t="array" ref="F36">IFERROR(IF(OR($A36="", F$5=""), "", IF(SUM(IF(INDEX(_xlfn._xlws.FILTER(tblPiNAnalysis[[CCCM%]:[WASH%]], tblPiNAnalysis[CCCM]=F$5), 0, MATCH(_xlfn.CONCAT($Q$2, "%"), tblPiNAnalysis[[#Headers],[CCCM%]:[WASH%]], 0))=$A36, 1, 0))=0, "",SUM(IF(INDEX(_xlfn._xlws.FILTER(tblPiNAnalysis[[CCCM%]:[WASH%]], tblPiNAnalysis[CCCM]=F$5), 0, MATCH(_xlfn.CONCAT($Q$2, "%"), tblPiNAnalysis[[#Headers],[CCCM%]:[WASH%]], 0))=$A36, 1, 0)))), "")</f>
        <v/>
      </c>
      <c r="H36" s="93"/>
      <c r="I36" s="91" t="str" cm="1">
        <f t="array" ref="I36">IF($H36="", "", IF($H36=2, SUM(IF(INDEX(_xlfn._xlws.FILTER(tblPiNHistorical[[CCCM]:[WASH]], tblPiNHistorical[Population Group]=I$5), 0, MATCH($Q$2, tblPiNHistorical[[#Headers],[CCCM]:[WASH]], 0))&gt;1.9, 1, 0)), IF(SUM(IF(INDEX(_xlfn._xlws.FILTER(tblPiNHistorical[[CCCM]:[WASH]], tblPiNHistorical[Population Group]=I$5), 0, MATCH($Q$2, tblPiNHistorical[[#Headers],[CCCM]:[WASH]], 0))=$H36, 1, 0))=0, "", SUM(IF(INDEX(_xlfn._xlws.FILTER(tblPiNHistorical[[CCCM]:[WASH]], tblPiNHistorical[Population Group]=I$5), 0, MATCH($Q$2, tblPiNHistorical[[#Headers],[CCCM]:[WASH]], 0))=$H36, 1, 0)))))</f>
        <v/>
      </c>
      <c r="J36" s="91" t="str" cm="1">
        <f t="array" ref="J36">IFERROR(IF(OR($H36="", J35=""), "", IF($H36=2, SUM(IF(INDEX(_xlfn._xlws.FILTER(tblPiNHistorical[[CCCM]:[WASH]], tblPiNHistorical[Population Group]=J$5), 0, MATCH($Q$2, tblPiNHistorical[[#Headers],[CCCM]:[WASH]], 0))&gt;1.9, 1, 0)), IF(SUM(IF(INDEX(_xlfn._xlws.FILTER(tblPiNHistorical[[CCCM]:[WASH]], tblPiNHistorical[Population Group]=J$5), 0, MATCH($Q$2, tblPiNHistorical[[#Headers],[CCCM]:[WASH]], 0))=$H36, 1, 0))=0, "", SUM(IF(INDEX(_xlfn._xlws.FILTER(tblPiNHistorical[[CCCM]:[WASH]], tblPiNHistorical[Population Group]=J$5), 0, MATCH($Q$2, tblPiNHistorical[[#Headers],[CCCM]:[WASH]], 0))=$H36, 1, 0))))), "")</f>
        <v/>
      </c>
      <c r="K36" s="91" t="str" cm="1">
        <f t="array" ref="K36">IFERROR(IF(OR($H36="", K35=""), "", IF($H36=2, SUM(IF(INDEX(_xlfn._xlws.FILTER(tblPiNHistorical[[CCCM]:[WASH]], tblPiNHistorical[CCCM - old]=K$5), 0, MATCH($Q$2, tblPiNHistorical[[#Headers],[CCCM]:[WASH]], 0))&gt;1.9, 1, 0)), IF(SUM(IF(INDEX(_xlfn._xlws.FILTER(tblPiNHistorical[[CCCM]:[WASH]], tblPiNHistorical[CCCM - old]=K$5), 0, MATCH($Q$2, tblPiNHistorical[[#Headers],[CCCM]:[WASH]], 0))=$H36, 1, 0))=0, "", SUM(IF(INDEX(_xlfn._xlws.FILTER(tblPiNHistorical[[CCCM]:[WASH]], tblPiNHistorical[CCCM - old]=K$5), 0, MATCH($Q$2, tblPiNHistorical[[#Headers],[CCCM]:[WASH]], 0))=$H36, 1, 0))))), "")</f>
        <v/>
      </c>
      <c r="L36" s="91" t="str" cm="1">
        <f t="array" ref="L36">IFERROR(IF(OR($H36="", L35=""), "", IF($H36=2, SUM(IF(INDEX(_xlfn._xlws.FILTER(tblPiNHistorical[[CCCM]:[WASH]],#REF!= L$5), 0, MATCH($Q$2, tblPiNHistorical[[#Headers],[CCCM]:[WASH]], 0))&gt;1.9, 1, 0)), IF(SUM(IF(INDEX(_xlfn._xlws.FILTER(tblPiNHistorical[[CCCM]:[WASH]],#REF!= L$5), 0, MATCH($Q$2, tblPiNHistorical[[#Headers],[CCCM]:[WASH]], 0))=$H36, 1, 0))=0, "", SUM(IF(INDEX(_xlfn._xlws.FILTER(tblPiNHistorical[[CCCM]:[WASH]],#REF!= L$5), 0, MATCH($Q$2, tblPiNHistorical[[#Headers],[CCCM]:[WASH]], 0))=$H36, 1, 0))))), "")</f>
        <v/>
      </c>
      <c r="M36" s="91" t="str" cm="1">
        <f t="array" ref="M36">IFERROR(IF(OR($H36="", M35=""), "", IF($H36=2, SUM(IF(INDEX(_xlfn._xlws.FILTER(tblPiNHistorical[[CCCM]:[WASH]],#REF!= M$5), 0, MATCH($Q$2, tblPiNHistorical[[#Headers],[CCCM]:[WASH]], 0))&gt;1.9, 1, 0)), IF(SUM(IF(INDEX(_xlfn._xlws.FILTER(tblPiNHistorical[[CCCM]:[WASH]],#REF!= M$5), 0, MATCH($Q$2, tblPiNHistorical[[#Headers],[CCCM]:[WASH]], 0))=$H36, 1, 0))=0, "", SUM(IF(INDEX(_xlfn._xlws.FILTER(tblPiNHistorical[[CCCM]:[WASH]],#REF!= M$5), 0, MATCH($Q$2, tblPiNHistorical[[#Headers],[CCCM]:[WASH]], 0))=$H36, 1, 0))))), "")</f>
        <v/>
      </c>
    </row>
    <row r="37" spans="1:28">
      <c r="A37" s="93"/>
      <c r="B37" s="91" t="str" cm="1">
        <f t="array" ref="B37">IF($A37="", "", IF(SUM(IF(INDEX(_xlfn._xlws.FILTER(tblPiNAnalysis[[CCCM%]:[WASH%]], tblPiNAnalysis[Population Group]=B$5), 0, MATCH(_xlfn.CONCAT($Q$2, "%"), tblPiNAnalysis[[#Headers],[CCCM%]:[WASH%]], 0))=$A37, 1, 0))=0, "",SUM(IF(INDEX(_xlfn._xlws.FILTER(tblPiNAnalysis[[CCCM%]:[WASH%]], tblPiNAnalysis[Population Group]=B$5), 0, MATCH(_xlfn.CONCAT($Q$2, "%"), tblPiNAnalysis[[#Headers],[CCCM%]:[WASH%]], 0))=$A37, 1, 0))))</f>
        <v/>
      </c>
      <c r="C37" s="91" t="str" cm="1">
        <f t="array" ref="C37">IFERROR(IF(OR($A37="", C$5=""), "", IF(SUM(IF(INDEX(_xlfn._xlws.FILTER(tblPiNAnalysis[[CCCM%]:[WASH%]], tblPiNAnalysis[Population Group]=C$5), 0, MATCH(_xlfn.CONCAT($Q$2, "%"), tblPiNAnalysis[[#Headers],[CCCM%]:[WASH%]], 0))=$A37, 1, 0))=0, "",SUM(IF(INDEX(_xlfn._xlws.FILTER(tblPiNAnalysis[[CCCM%]:[WASH%]], tblPiNAnalysis[Population Group]=C$5), 0, MATCH(_xlfn.CONCAT($Q$2, "%"), tblPiNAnalysis[[#Headers],[CCCM%]:[WASH%]], 0))=$A37, 1, 0)))), "")</f>
        <v/>
      </c>
      <c r="D37" s="91" t="str" cm="1">
        <f t="array" ref="D37">IFERROR(IF(OR($A37="", D$5=""), "", IF(SUM(IF(INDEX(_xlfn._xlws.FILTER(tblPiNAnalysis[[CCCM%]:[WASH%]], tblPiNAnalysis[Population Group]=D$5), 0, MATCH(_xlfn.CONCAT($Q$2, "%"), tblPiNAnalysis[[#Headers],[CCCM%]:[WASH%]], 0))=$A37, 1, 0))=0, "",SUM(IF(INDEX(_xlfn._xlws.FILTER(tblPiNAnalysis[[CCCM%]:[WASH%]], tblPiNAnalysis[Population Group]=D$5), 0, MATCH(_xlfn.CONCAT($Q$2, "%"), tblPiNAnalysis[[#Headers],[CCCM%]:[WASH%]], 0))=$A37, 1, 0)))), "")</f>
        <v/>
      </c>
      <c r="E37" s="91" t="str" cm="1">
        <f t="array" ref="E37">IFERROR(IF(OR($A37="", E$5=""), "", IF(SUM(IF(INDEX(_xlfn._xlws.FILTER(tblPiNAnalysis[[CCCM%]:[WASH%]], tblPiNAnalysis[Population Group]=E$5), 0, MATCH(_xlfn.CONCAT($Q$2, "%"), tblPiNAnalysis[[#Headers],[CCCM%]:[WASH%]], 0))=$A37, 1, 0))=0, "",SUM(IF(INDEX(_xlfn._xlws.FILTER(tblPiNAnalysis[[CCCM%]:[WASH%]], tblPiNAnalysis[Population Group]=E$5), 0, MATCH(_xlfn.CONCAT($Q$2, "%"), tblPiNAnalysis[[#Headers],[CCCM%]:[WASH%]], 0))=$A37, 1, 0)))), "")</f>
        <v/>
      </c>
      <c r="F37" s="91" t="str" cm="1">
        <f t="array" ref="F37">IFERROR(IF(OR($A37="", F$5=""), "", IF(SUM(IF(INDEX(_xlfn._xlws.FILTER(tblPiNAnalysis[[CCCM%]:[WASH%]], tblPiNAnalysis[CCCM]=F$5), 0, MATCH(_xlfn.CONCAT($Q$2, "%"), tblPiNAnalysis[[#Headers],[CCCM%]:[WASH%]], 0))=$A37, 1, 0))=0, "",SUM(IF(INDEX(_xlfn._xlws.FILTER(tblPiNAnalysis[[CCCM%]:[WASH%]], tblPiNAnalysis[CCCM]=F$5), 0, MATCH(_xlfn.CONCAT($Q$2, "%"), tblPiNAnalysis[[#Headers],[CCCM%]:[WASH%]], 0))=$A37, 1, 0)))), "")</f>
        <v/>
      </c>
      <c r="H37" s="93"/>
      <c r="I37" s="91" t="str" cm="1">
        <f t="array" ref="I37">IF($H37="", "", IF($H37=2, SUM(IF(INDEX(_xlfn._xlws.FILTER(tblPiNHistorical[[CCCM]:[WASH]], tblPiNHistorical[Population Group]=I$5), 0, MATCH($Q$2, tblPiNHistorical[[#Headers],[CCCM]:[WASH]], 0))&gt;1.9, 1, 0)), IF(SUM(IF(INDEX(_xlfn._xlws.FILTER(tblPiNHistorical[[CCCM]:[WASH]], tblPiNHistorical[Population Group]=I$5), 0, MATCH($Q$2, tblPiNHistorical[[#Headers],[CCCM]:[WASH]], 0))=$H37, 1, 0))=0, "", SUM(IF(INDEX(_xlfn._xlws.FILTER(tblPiNHistorical[[CCCM]:[WASH]], tblPiNHistorical[Population Group]=I$5), 0, MATCH($Q$2, tblPiNHistorical[[#Headers],[CCCM]:[WASH]], 0))=$H37, 1, 0)))))</f>
        <v/>
      </c>
      <c r="J37" s="91" t="str" cm="1">
        <f t="array" ref="J37">IFERROR(IF(OR($H37="", J36=""), "", IF($H37=2, SUM(IF(INDEX(_xlfn._xlws.FILTER(tblPiNHistorical[[CCCM]:[WASH]], tblPiNHistorical[Population Group]=J$5), 0, MATCH($Q$2, tblPiNHistorical[[#Headers],[CCCM]:[WASH]], 0))&gt;1.9, 1, 0)), IF(SUM(IF(INDEX(_xlfn._xlws.FILTER(tblPiNHistorical[[CCCM]:[WASH]], tblPiNHistorical[Population Group]=J$5), 0, MATCH($Q$2, tblPiNHistorical[[#Headers],[CCCM]:[WASH]], 0))=$H37, 1, 0))=0, "", SUM(IF(INDEX(_xlfn._xlws.FILTER(tblPiNHistorical[[CCCM]:[WASH]], tblPiNHistorical[Population Group]=J$5), 0, MATCH($Q$2, tblPiNHistorical[[#Headers],[CCCM]:[WASH]], 0))=$H37, 1, 0))))), "")</f>
        <v/>
      </c>
      <c r="K37" s="91" t="str" cm="1">
        <f t="array" ref="K37">IFERROR(IF(OR($H37="", K36=""), "", IF($H37=2, SUM(IF(INDEX(_xlfn._xlws.FILTER(tblPiNHistorical[[CCCM]:[WASH]], tblPiNHistorical[CCCM - old]=K$5), 0, MATCH($Q$2, tblPiNHistorical[[#Headers],[CCCM]:[WASH]], 0))&gt;1.9, 1, 0)), IF(SUM(IF(INDEX(_xlfn._xlws.FILTER(tblPiNHistorical[[CCCM]:[WASH]], tblPiNHistorical[CCCM - old]=K$5), 0, MATCH($Q$2, tblPiNHistorical[[#Headers],[CCCM]:[WASH]], 0))=$H37, 1, 0))=0, "", SUM(IF(INDEX(_xlfn._xlws.FILTER(tblPiNHistorical[[CCCM]:[WASH]], tblPiNHistorical[CCCM - old]=K$5), 0, MATCH($Q$2, tblPiNHistorical[[#Headers],[CCCM]:[WASH]], 0))=$H37, 1, 0))))), "")</f>
        <v/>
      </c>
      <c r="L37" s="91" t="str" cm="1">
        <f t="array" ref="L37">IFERROR(IF(OR($H37="", L36=""), "", IF($H37=2, SUM(IF(INDEX(_xlfn._xlws.FILTER(tblPiNHistorical[[CCCM]:[WASH]],#REF!= L$5), 0, MATCH($Q$2, tblPiNHistorical[[#Headers],[CCCM]:[WASH]], 0))&gt;1.9, 1, 0)), IF(SUM(IF(INDEX(_xlfn._xlws.FILTER(tblPiNHistorical[[CCCM]:[WASH]],#REF!= L$5), 0, MATCH($Q$2, tblPiNHistorical[[#Headers],[CCCM]:[WASH]], 0))=$H37, 1, 0))=0, "", SUM(IF(INDEX(_xlfn._xlws.FILTER(tblPiNHistorical[[CCCM]:[WASH]],#REF!= L$5), 0, MATCH($Q$2, tblPiNHistorical[[#Headers],[CCCM]:[WASH]], 0))=$H37, 1, 0))))), "")</f>
        <v/>
      </c>
      <c r="M37" s="91" t="str" cm="1">
        <f t="array" ref="M37">IFERROR(IF(OR($H37="", M36=""), "", IF($H37=2, SUM(IF(INDEX(_xlfn._xlws.FILTER(tblPiNHistorical[[CCCM]:[WASH]],#REF!= M$5), 0, MATCH($Q$2, tblPiNHistorical[[#Headers],[CCCM]:[WASH]], 0))&gt;1.9, 1, 0)), IF(SUM(IF(INDEX(_xlfn._xlws.FILTER(tblPiNHistorical[[CCCM]:[WASH]],#REF!= M$5), 0, MATCH($Q$2, tblPiNHistorical[[#Headers],[CCCM]:[WASH]], 0))=$H37, 1, 0))=0, "", SUM(IF(INDEX(_xlfn._xlws.FILTER(tblPiNHistorical[[CCCM]:[WASH]],#REF!= M$5), 0, MATCH($Q$2, tblPiNHistorical[[#Headers],[CCCM]:[WASH]], 0))=$H37, 1, 0))))), "")</f>
        <v/>
      </c>
    </row>
    <row r="38" spans="1:28">
      <c r="A38" s="93"/>
      <c r="B38" s="91" t="str" cm="1">
        <f t="array" ref="B38">IF($A38="", "", IF(SUM(IF(INDEX(_xlfn._xlws.FILTER(tblPiNAnalysis[[CCCM%]:[WASH%]], tblPiNAnalysis[Population Group]=B$5), 0, MATCH(_xlfn.CONCAT($Q$2, "%"), tblPiNAnalysis[[#Headers],[CCCM%]:[WASH%]], 0))=$A38, 1, 0))=0, "",SUM(IF(INDEX(_xlfn._xlws.FILTER(tblPiNAnalysis[[CCCM%]:[WASH%]], tblPiNAnalysis[Population Group]=B$5), 0, MATCH(_xlfn.CONCAT($Q$2, "%"), tblPiNAnalysis[[#Headers],[CCCM%]:[WASH%]], 0))=$A38, 1, 0))))</f>
        <v/>
      </c>
      <c r="C38" s="91" t="str" cm="1">
        <f t="array" ref="C38">IFERROR(IF(OR($A38="", C$5=""), "", IF(SUM(IF(INDEX(_xlfn._xlws.FILTER(tblPiNAnalysis[[CCCM%]:[WASH%]], tblPiNAnalysis[Population Group]=C$5), 0, MATCH(_xlfn.CONCAT($Q$2, "%"), tblPiNAnalysis[[#Headers],[CCCM%]:[WASH%]], 0))=$A38, 1, 0))=0, "",SUM(IF(INDEX(_xlfn._xlws.FILTER(tblPiNAnalysis[[CCCM%]:[WASH%]], tblPiNAnalysis[Population Group]=C$5), 0, MATCH(_xlfn.CONCAT($Q$2, "%"), tblPiNAnalysis[[#Headers],[CCCM%]:[WASH%]], 0))=$A38, 1, 0)))), "")</f>
        <v/>
      </c>
      <c r="D38" s="91" t="str" cm="1">
        <f t="array" ref="D38">IFERROR(IF(OR($A38="", D$5=""), "", IF(SUM(IF(INDEX(_xlfn._xlws.FILTER(tblPiNAnalysis[[CCCM%]:[WASH%]], tblPiNAnalysis[Population Group]=D$5), 0, MATCH(_xlfn.CONCAT($Q$2, "%"), tblPiNAnalysis[[#Headers],[CCCM%]:[WASH%]], 0))=$A38, 1, 0))=0, "",SUM(IF(INDEX(_xlfn._xlws.FILTER(tblPiNAnalysis[[CCCM%]:[WASH%]], tblPiNAnalysis[Population Group]=D$5), 0, MATCH(_xlfn.CONCAT($Q$2, "%"), tblPiNAnalysis[[#Headers],[CCCM%]:[WASH%]], 0))=$A38, 1, 0)))), "")</f>
        <v/>
      </c>
      <c r="E38" s="91" t="str" cm="1">
        <f t="array" ref="E38">IFERROR(IF(OR($A38="", E$5=""), "", IF(SUM(IF(INDEX(_xlfn._xlws.FILTER(tblPiNAnalysis[[CCCM%]:[WASH%]], tblPiNAnalysis[Population Group]=E$5), 0, MATCH(_xlfn.CONCAT($Q$2, "%"), tblPiNAnalysis[[#Headers],[CCCM%]:[WASH%]], 0))=$A38, 1, 0))=0, "",SUM(IF(INDEX(_xlfn._xlws.FILTER(tblPiNAnalysis[[CCCM%]:[WASH%]], tblPiNAnalysis[Population Group]=E$5), 0, MATCH(_xlfn.CONCAT($Q$2, "%"), tblPiNAnalysis[[#Headers],[CCCM%]:[WASH%]], 0))=$A38, 1, 0)))), "")</f>
        <v/>
      </c>
      <c r="F38" s="91" t="str" cm="1">
        <f t="array" ref="F38">IFERROR(IF(OR($A38="", F$5=""), "", IF(SUM(IF(INDEX(_xlfn._xlws.FILTER(tblPiNAnalysis[[CCCM%]:[WASH%]], tblPiNAnalysis[CCCM]=F$5), 0, MATCH(_xlfn.CONCAT($Q$2, "%"), tblPiNAnalysis[[#Headers],[CCCM%]:[WASH%]], 0))=$A38, 1, 0))=0, "",SUM(IF(INDEX(_xlfn._xlws.FILTER(tblPiNAnalysis[[CCCM%]:[WASH%]], tblPiNAnalysis[CCCM]=F$5), 0, MATCH(_xlfn.CONCAT($Q$2, "%"), tblPiNAnalysis[[#Headers],[CCCM%]:[WASH%]], 0))=$A38, 1, 0)))), "")</f>
        <v/>
      </c>
      <c r="H38" s="93"/>
      <c r="I38" s="91" t="str" cm="1">
        <f t="array" ref="I38">IF($H38="", "", IF($H38=2, SUM(IF(INDEX(_xlfn._xlws.FILTER(tblPiNHistorical[[CCCM]:[WASH]], tblPiNHistorical[Population Group]=I$5), 0, MATCH($Q$2, tblPiNHistorical[[#Headers],[CCCM]:[WASH]], 0))&gt;1.9, 1, 0)), IF(SUM(IF(INDEX(_xlfn._xlws.FILTER(tblPiNHistorical[[CCCM]:[WASH]], tblPiNHistorical[Population Group]=I$5), 0, MATCH($Q$2, tblPiNHistorical[[#Headers],[CCCM]:[WASH]], 0))=$H38, 1, 0))=0, "", SUM(IF(INDEX(_xlfn._xlws.FILTER(tblPiNHistorical[[CCCM]:[WASH]], tblPiNHistorical[Population Group]=I$5), 0, MATCH($Q$2, tblPiNHistorical[[#Headers],[CCCM]:[WASH]], 0))=$H38, 1, 0)))))</f>
        <v/>
      </c>
      <c r="J38" s="91" t="str" cm="1">
        <f t="array" ref="J38">IFERROR(IF(OR($H38="", J37=""), "", IF($H38=2, SUM(IF(INDEX(_xlfn._xlws.FILTER(tblPiNHistorical[[CCCM]:[WASH]], tblPiNHistorical[Population Group]=J$5), 0, MATCH($Q$2, tblPiNHistorical[[#Headers],[CCCM]:[WASH]], 0))&gt;1.9, 1, 0)), IF(SUM(IF(INDEX(_xlfn._xlws.FILTER(tblPiNHistorical[[CCCM]:[WASH]], tblPiNHistorical[Population Group]=J$5), 0, MATCH($Q$2, tblPiNHistorical[[#Headers],[CCCM]:[WASH]], 0))=$H38, 1, 0))=0, "", SUM(IF(INDEX(_xlfn._xlws.FILTER(tblPiNHistorical[[CCCM]:[WASH]], tblPiNHistorical[Population Group]=J$5), 0, MATCH($Q$2, tblPiNHistorical[[#Headers],[CCCM]:[WASH]], 0))=$H38, 1, 0))))), "")</f>
        <v/>
      </c>
      <c r="K38" s="91" t="str" cm="1">
        <f t="array" ref="K38">IFERROR(IF(OR($H38="", K37=""), "", IF($H38=2, SUM(IF(INDEX(_xlfn._xlws.FILTER(tblPiNHistorical[[CCCM]:[WASH]], tblPiNHistorical[CCCM - old]=K$5), 0, MATCH($Q$2, tblPiNHistorical[[#Headers],[CCCM]:[WASH]], 0))&gt;1.9, 1, 0)), IF(SUM(IF(INDEX(_xlfn._xlws.FILTER(tblPiNHistorical[[CCCM]:[WASH]], tblPiNHistorical[CCCM - old]=K$5), 0, MATCH($Q$2, tblPiNHistorical[[#Headers],[CCCM]:[WASH]], 0))=$H38, 1, 0))=0, "", SUM(IF(INDEX(_xlfn._xlws.FILTER(tblPiNHistorical[[CCCM]:[WASH]], tblPiNHistorical[CCCM - old]=K$5), 0, MATCH($Q$2, tblPiNHistorical[[#Headers],[CCCM]:[WASH]], 0))=$H38, 1, 0))))), "")</f>
        <v/>
      </c>
      <c r="L38" s="91" t="str" cm="1">
        <f t="array" ref="L38">IFERROR(IF(OR($H38="", L37=""), "", IF($H38=2, SUM(IF(INDEX(_xlfn._xlws.FILTER(tblPiNHistorical[[CCCM]:[WASH]],#REF!= L$5), 0, MATCH($Q$2, tblPiNHistorical[[#Headers],[CCCM]:[WASH]], 0))&gt;1.9, 1, 0)), IF(SUM(IF(INDEX(_xlfn._xlws.FILTER(tblPiNHistorical[[CCCM]:[WASH]],#REF!= L$5), 0, MATCH($Q$2, tblPiNHistorical[[#Headers],[CCCM]:[WASH]], 0))=$H38, 1, 0))=0, "", SUM(IF(INDEX(_xlfn._xlws.FILTER(tblPiNHistorical[[CCCM]:[WASH]],#REF!= L$5), 0, MATCH($Q$2, tblPiNHistorical[[#Headers],[CCCM]:[WASH]], 0))=$H38, 1, 0))))), "")</f>
        <v/>
      </c>
      <c r="M38" s="91" t="str" cm="1">
        <f t="array" ref="M38">IFERROR(IF(OR($H38="", M37=""), "", IF($H38=2, SUM(IF(INDEX(_xlfn._xlws.FILTER(tblPiNHistorical[[CCCM]:[WASH]],#REF!= M$5), 0, MATCH($Q$2, tblPiNHistorical[[#Headers],[CCCM]:[WASH]], 0))&gt;1.9, 1, 0)), IF(SUM(IF(INDEX(_xlfn._xlws.FILTER(tblPiNHistorical[[CCCM]:[WASH]],#REF!= M$5), 0, MATCH($Q$2, tblPiNHistorical[[#Headers],[CCCM]:[WASH]], 0))=$H38, 1, 0))=0, "", SUM(IF(INDEX(_xlfn._xlws.FILTER(tblPiNHistorical[[CCCM]:[WASH]],#REF!= M$5), 0, MATCH($Q$2, tblPiNHistorical[[#Headers],[CCCM]:[WASH]], 0))=$H38, 1, 0))))), "")</f>
        <v/>
      </c>
    </row>
    <row r="39" spans="1:28">
      <c r="A39" s="93"/>
      <c r="B39" s="91" t="str" cm="1">
        <f t="array" ref="B39">IF($A39="", "", IF(SUM(IF(INDEX(_xlfn._xlws.FILTER(tblPiNAnalysis[[CCCM%]:[WASH%]], tblPiNAnalysis[Population Group]=B$5), 0, MATCH(_xlfn.CONCAT($Q$2, "%"), tblPiNAnalysis[[#Headers],[CCCM%]:[WASH%]], 0))=$A39, 1, 0))=0, "",SUM(IF(INDEX(_xlfn._xlws.FILTER(tblPiNAnalysis[[CCCM%]:[WASH%]], tblPiNAnalysis[Population Group]=B$5), 0, MATCH(_xlfn.CONCAT($Q$2, "%"), tblPiNAnalysis[[#Headers],[CCCM%]:[WASH%]], 0))=$A39, 1, 0))))</f>
        <v/>
      </c>
      <c r="C39" s="91" t="str" cm="1">
        <f t="array" ref="C39">IFERROR(IF(OR($A39="", C$5=""), "", IF(SUM(IF(INDEX(_xlfn._xlws.FILTER(tblPiNAnalysis[[CCCM%]:[WASH%]], tblPiNAnalysis[Population Group]=C$5), 0, MATCH(_xlfn.CONCAT($Q$2, "%"), tblPiNAnalysis[[#Headers],[CCCM%]:[WASH%]], 0))=$A39, 1, 0))=0, "",SUM(IF(INDEX(_xlfn._xlws.FILTER(tblPiNAnalysis[[CCCM%]:[WASH%]], tblPiNAnalysis[Population Group]=C$5), 0, MATCH(_xlfn.CONCAT($Q$2, "%"), tblPiNAnalysis[[#Headers],[CCCM%]:[WASH%]], 0))=$A39, 1, 0)))), "")</f>
        <v/>
      </c>
      <c r="D39" s="91" t="str" cm="1">
        <f t="array" ref="D39">IFERROR(IF(OR($A39="", D$5=""), "", IF(SUM(IF(INDEX(_xlfn._xlws.FILTER(tblPiNAnalysis[[CCCM%]:[WASH%]], tblPiNAnalysis[Population Group]=D$5), 0, MATCH(_xlfn.CONCAT($Q$2, "%"), tblPiNAnalysis[[#Headers],[CCCM%]:[WASH%]], 0))=$A39, 1, 0))=0, "",SUM(IF(INDEX(_xlfn._xlws.FILTER(tblPiNAnalysis[[CCCM%]:[WASH%]], tblPiNAnalysis[Population Group]=D$5), 0, MATCH(_xlfn.CONCAT($Q$2, "%"), tblPiNAnalysis[[#Headers],[CCCM%]:[WASH%]], 0))=$A39, 1, 0)))), "")</f>
        <v/>
      </c>
      <c r="E39" s="91" t="str" cm="1">
        <f t="array" ref="E39">IFERROR(IF(OR($A39="", E$5=""), "", IF(SUM(IF(INDEX(_xlfn._xlws.FILTER(tblPiNAnalysis[[CCCM%]:[WASH%]], tblPiNAnalysis[Population Group]=E$5), 0, MATCH(_xlfn.CONCAT($Q$2, "%"), tblPiNAnalysis[[#Headers],[CCCM%]:[WASH%]], 0))=$A39, 1, 0))=0, "",SUM(IF(INDEX(_xlfn._xlws.FILTER(tblPiNAnalysis[[CCCM%]:[WASH%]], tblPiNAnalysis[Population Group]=E$5), 0, MATCH(_xlfn.CONCAT($Q$2, "%"), tblPiNAnalysis[[#Headers],[CCCM%]:[WASH%]], 0))=$A39, 1, 0)))), "")</f>
        <v/>
      </c>
      <c r="F39" s="91" t="str" cm="1">
        <f t="array" ref="F39">IFERROR(IF(OR($A39="", F$5=""), "", IF(SUM(IF(INDEX(_xlfn._xlws.FILTER(tblPiNAnalysis[[CCCM%]:[WASH%]], tblPiNAnalysis[CCCM]=F$5), 0, MATCH(_xlfn.CONCAT($Q$2, "%"), tblPiNAnalysis[[#Headers],[CCCM%]:[WASH%]], 0))=$A39, 1, 0))=0, "",SUM(IF(INDEX(_xlfn._xlws.FILTER(tblPiNAnalysis[[CCCM%]:[WASH%]], tblPiNAnalysis[CCCM]=F$5), 0, MATCH(_xlfn.CONCAT($Q$2, "%"), tblPiNAnalysis[[#Headers],[CCCM%]:[WASH%]], 0))=$A39, 1, 0)))), "")</f>
        <v/>
      </c>
      <c r="H39" s="93"/>
      <c r="I39" s="91" t="str" cm="1">
        <f t="array" ref="I39">IF($H39="", "", IF($H39=2, SUM(IF(INDEX(_xlfn._xlws.FILTER(tblPiNHistorical[[CCCM]:[WASH]], tblPiNHistorical[Population Group]=I$5), 0, MATCH($Q$2, tblPiNHistorical[[#Headers],[CCCM]:[WASH]], 0))&gt;1.9, 1, 0)), IF(SUM(IF(INDEX(_xlfn._xlws.FILTER(tblPiNHistorical[[CCCM]:[WASH]], tblPiNHistorical[Population Group]=I$5), 0, MATCH($Q$2, tblPiNHistorical[[#Headers],[CCCM]:[WASH]], 0))=$H39, 1, 0))=0, "", SUM(IF(INDEX(_xlfn._xlws.FILTER(tblPiNHistorical[[CCCM]:[WASH]], tblPiNHistorical[Population Group]=I$5), 0, MATCH($Q$2, tblPiNHistorical[[#Headers],[CCCM]:[WASH]], 0))=$H39, 1, 0)))))</f>
        <v/>
      </c>
      <c r="J39" s="91" t="str" cm="1">
        <f t="array" ref="J39">IFERROR(IF(OR($H39="", J38=""), "", IF($H39=2, SUM(IF(INDEX(_xlfn._xlws.FILTER(tblPiNHistorical[[CCCM]:[WASH]], tblPiNHistorical[Population Group]=J$5), 0, MATCH($Q$2, tblPiNHistorical[[#Headers],[CCCM]:[WASH]], 0))&gt;1.9, 1, 0)), IF(SUM(IF(INDEX(_xlfn._xlws.FILTER(tblPiNHistorical[[CCCM]:[WASH]], tblPiNHistorical[Population Group]=J$5), 0, MATCH($Q$2, tblPiNHistorical[[#Headers],[CCCM]:[WASH]], 0))=$H39, 1, 0))=0, "", SUM(IF(INDEX(_xlfn._xlws.FILTER(tblPiNHistorical[[CCCM]:[WASH]], tblPiNHistorical[Population Group]=J$5), 0, MATCH($Q$2, tblPiNHistorical[[#Headers],[CCCM]:[WASH]], 0))=$H39, 1, 0))))), "")</f>
        <v/>
      </c>
      <c r="K39" s="91" t="str" cm="1">
        <f t="array" ref="K39">IFERROR(IF(OR($H39="", K38=""), "", IF($H39=2, SUM(IF(INDEX(_xlfn._xlws.FILTER(tblPiNHistorical[[CCCM]:[WASH]], tblPiNHistorical[CCCM - old]=K$5), 0, MATCH($Q$2, tblPiNHistorical[[#Headers],[CCCM]:[WASH]], 0))&gt;1.9, 1, 0)), IF(SUM(IF(INDEX(_xlfn._xlws.FILTER(tblPiNHistorical[[CCCM]:[WASH]], tblPiNHistorical[CCCM - old]=K$5), 0, MATCH($Q$2, tblPiNHistorical[[#Headers],[CCCM]:[WASH]], 0))=$H39, 1, 0))=0, "", SUM(IF(INDEX(_xlfn._xlws.FILTER(tblPiNHistorical[[CCCM]:[WASH]], tblPiNHistorical[CCCM - old]=K$5), 0, MATCH($Q$2, tblPiNHistorical[[#Headers],[CCCM]:[WASH]], 0))=$H39, 1, 0))))), "")</f>
        <v/>
      </c>
      <c r="L39" s="91" t="str" cm="1">
        <f t="array" ref="L39">IFERROR(IF(OR($H39="", L38=""), "", IF($H39=2, SUM(IF(INDEX(_xlfn._xlws.FILTER(tblPiNHistorical[[CCCM]:[WASH]],#REF!= L$5), 0, MATCH($Q$2, tblPiNHistorical[[#Headers],[CCCM]:[WASH]], 0))&gt;1.9, 1, 0)), IF(SUM(IF(INDEX(_xlfn._xlws.FILTER(tblPiNHistorical[[CCCM]:[WASH]],#REF!= L$5), 0, MATCH($Q$2, tblPiNHistorical[[#Headers],[CCCM]:[WASH]], 0))=$H39, 1, 0))=0, "", SUM(IF(INDEX(_xlfn._xlws.FILTER(tblPiNHistorical[[CCCM]:[WASH]],#REF!= L$5), 0, MATCH($Q$2, tblPiNHistorical[[#Headers],[CCCM]:[WASH]], 0))=$H39, 1, 0))))), "")</f>
        <v/>
      </c>
      <c r="M39" s="91" t="str" cm="1">
        <f t="array" ref="M39">IFERROR(IF(OR($H39="", M38=""), "", IF($H39=2, SUM(IF(INDEX(_xlfn._xlws.FILTER(tblPiNHistorical[[CCCM]:[WASH]],#REF!= M$5), 0, MATCH($Q$2, tblPiNHistorical[[#Headers],[CCCM]:[WASH]], 0))&gt;1.9, 1, 0)), IF(SUM(IF(INDEX(_xlfn._xlws.FILTER(tblPiNHistorical[[CCCM]:[WASH]],#REF!= M$5), 0, MATCH($Q$2, tblPiNHistorical[[#Headers],[CCCM]:[WASH]], 0))=$H39, 1, 0))=0, "", SUM(IF(INDEX(_xlfn._xlws.FILTER(tblPiNHistorical[[CCCM]:[WASH]],#REF!= M$5), 0, MATCH($Q$2, tblPiNHistorical[[#Headers],[CCCM]:[WASH]], 0))=$H39, 1, 0))))), "")</f>
        <v/>
      </c>
    </row>
    <row r="40" spans="1:28">
      <c r="A40" s="93"/>
      <c r="B40" s="91" t="str" cm="1">
        <f t="array" ref="B40">IF($A40="", "", IF(SUM(IF(INDEX(_xlfn._xlws.FILTER(tblPiNAnalysis[[CCCM%]:[WASH%]], tblPiNAnalysis[Population Group]=B$5), 0, MATCH(_xlfn.CONCAT($Q$2, "%"), tblPiNAnalysis[[#Headers],[CCCM%]:[WASH%]], 0))=$A40, 1, 0))=0, "",SUM(IF(INDEX(_xlfn._xlws.FILTER(tblPiNAnalysis[[CCCM%]:[WASH%]], tblPiNAnalysis[Population Group]=B$5), 0, MATCH(_xlfn.CONCAT($Q$2, "%"), tblPiNAnalysis[[#Headers],[CCCM%]:[WASH%]], 0))=$A40, 1, 0))))</f>
        <v/>
      </c>
      <c r="C40" s="91" t="str" cm="1">
        <f t="array" ref="C40">IFERROR(IF(OR($A40="", C$5=""), "", IF(SUM(IF(INDEX(_xlfn._xlws.FILTER(tblPiNAnalysis[[CCCM%]:[WASH%]], tblPiNAnalysis[Population Group]=C$5), 0, MATCH(_xlfn.CONCAT($Q$2, "%"), tblPiNAnalysis[[#Headers],[CCCM%]:[WASH%]], 0))=$A40, 1, 0))=0, "",SUM(IF(INDEX(_xlfn._xlws.FILTER(tblPiNAnalysis[[CCCM%]:[WASH%]], tblPiNAnalysis[Population Group]=C$5), 0, MATCH(_xlfn.CONCAT($Q$2, "%"), tblPiNAnalysis[[#Headers],[CCCM%]:[WASH%]], 0))=$A40, 1, 0)))), "")</f>
        <v/>
      </c>
      <c r="D40" s="91" t="str" cm="1">
        <f t="array" ref="D40">IFERROR(IF(OR($A40="", D$5=""), "", IF(SUM(IF(INDEX(_xlfn._xlws.FILTER(tblPiNAnalysis[[CCCM%]:[WASH%]], tblPiNAnalysis[Population Group]=D$5), 0, MATCH(_xlfn.CONCAT($Q$2, "%"), tblPiNAnalysis[[#Headers],[CCCM%]:[WASH%]], 0))=$A40, 1, 0))=0, "",SUM(IF(INDEX(_xlfn._xlws.FILTER(tblPiNAnalysis[[CCCM%]:[WASH%]], tblPiNAnalysis[Population Group]=D$5), 0, MATCH(_xlfn.CONCAT($Q$2, "%"), tblPiNAnalysis[[#Headers],[CCCM%]:[WASH%]], 0))=$A40, 1, 0)))), "")</f>
        <v/>
      </c>
      <c r="E40" s="91" t="str" cm="1">
        <f t="array" ref="E40">IFERROR(IF(OR($A40="", E$5=""), "", IF(SUM(IF(INDEX(_xlfn._xlws.FILTER(tblPiNAnalysis[[CCCM%]:[WASH%]], tblPiNAnalysis[Population Group]=E$5), 0, MATCH(_xlfn.CONCAT($Q$2, "%"), tblPiNAnalysis[[#Headers],[CCCM%]:[WASH%]], 0))=$A40, 1, 0))=0, "",SUM(IF(INDEX(_xlfn._xlws.FILTER(tblPiNAnalysis[[CCCM%]:[WASH%]], tblPiNAnalysis[Population Group]=E$5), 0, MATCH(_xlfn.CONCAT($Q$2, "%"), tblPiNAnalysis[[#Headers],[CCCM%]:[WASH%]], 0))=$A40, 1, 0)))), "")</f>
        <v/>
      </c>
      <c r="F40" s="91" t="str" cm="1">
        <f t="array" ref="F40">IFERROR(IF(OR($A40="", F$5=""), "", IF(SUM(IF(INDEX(_xlfn._xlws.FILTER(tblPiNAnalysis[[CCCM%]:[WASH%]], tblPiNAnalysis[CCCM]=F$5), 0, MATCH(_xlfn.CONCAT($Q$2, "%"), tblPiNAnalysis[[#Headers],[CCCM%]:[WASH%]], 0))=$A40, 1, 0))=0, "",SUM(IF(INDEX(_xlfn._xlws.FILTER(tblPiNAnalysis[[CCCM%]:[WASH%]], tblPiNAnalysis[CCCM]=F$5), 0, MATCH(_xlfn.CONCAT($Q$2, "%"), tblPiNAnalysis[[#Headers],[CCCM%]:[WASH%]], 0))=$A40, 1, 0)))), "")</f>
        <v/>
      </c>
      <c r="H40" s="93"/>
      <c r="I40" s="91" t="str" cm="1">
        <f t="array" ref="I40">IF($H40="", "", IF($H40=2, SUM(IF(INDEX(_xlfn._xlws.FILTER(tblPiNHistorical[[CCCM]:[WASH]], tblPiNHistorical[Population Group]=I$5), 0, MATCH($Q$2, tblPiNHistorical[[#Headers],[CCCM]:[WASH]], 0))&gt;1.9, 1, 0)), IF(SUM(IF(INDEX(_xlfn._xlws.FILTER(tblPiNHistorical[[CCCM]:[WASH]], tblPiNHistorical[Population Group]=I$5), 0, MATCH($Q$2, tblPiNHistorical[[#Headers],[CCCM]:[WASH]], 0))=$H40, 1, 0))=0, "", SUM(IF(INDEX(_xlfn._xlws.FILTER(tblPiNHistorical[[CCCM]:[WASH]], tblPiNHistorical[Population Group]=I$5), 0, MATCH($Q$2, tblPiNHistorical[[#Headers],[CCCM]:[WASH]], 0))=$H40, 1, 0)))))</f>
        <v/>
      </c>
      <c r="J40" s="91" t="str" cm="1">
        <f t="array" ref="J40">IFERROR(IF(OR($H40="", J39=""), "", IF($H40=2, SUM(IF(INDEX(_xlfn._xlws.FILTER(tblPiNHistorical[[CCCM]:[WASH]], tblPiNHistorical[Population Group]=J$5), 0, MATCH($Q$2, tblPiNHistorical[[#Headers],[CCCM]:[WASH]], 0))&gt;1.9, 1, 0)), IF(SUM(IF(INDEX(_xlfn._xlws.FILTER(tblPiNHistorical[[CCCM]:[WASH]], tblPiNHistorical[Population Group]=J$5), 0, MATCH($Q$2, tblPiNHistorical[[#Headers],[CCCM]:[WASH]], 0))=$H40, 1, 0))=0, "", SUM(IF(INDEX(_xlfn._xlws.FILTER(tblPiNHistorical[[CCCM]:[WASH]], tblPiNHistorical[Population Group]=J$5), 0, MATCH($Q$2, tblPiNHistorical[[#Headers],[CCCM]:[WASH]], 0))=$H40, 1, 0))))), "")</f>
        <v/>
      </c>
      <c r="K40" s="91" t="str" cm="1">
        <f t="array" ref="K40">IFERROR(IF(OR($H40="", K39=""), "", IF($H40=2, SUM(IF(INDEX(_xlfn._xlws.FILTER(tblPiNHistorical[[CCCM]:[WASH]], tblPiNHistorical[CCCM - old]=K$5), 0, MATCH($Q$2, tblPiNHistorical[[#Headers],[CCCM]:[WASH]], 0))&gt;1.9, 1, 0)), IF(SUM(IF(INDEX(_xlfn._xlws.FILTER(tblPiNHistorical[[CCCM]:[WASH]], tblPiNHistorical[CCCM - old]=K$5), 0, MATCH($Q$2, tblPiNHistorical[[#Headers],[CCCM]:[WASH]], 0))=$H40, 1, 0))=0, "", SUM(IF(INDEX(_xlfn._xlws.FILTER(tblPiNHistorical[[CCCM]:[WASH]], tblPiNHistorical[CCCM - old]=K$5), 0, MATCH($Q$2, tblPiNHistorical[[#Headers],[CCCM]:[WASH]], 0))=$H40, 1, 0))))), "")</f>
        <v/>
      </c>
      <c r="L40" s="91" t="str" cm="1">
        <f t="array" ref="L40">IFERROR(IF(OR($H40="", L39=""), "", IF($H40=2, SUM(IF(INDEX(_xlfn._xlws.FILTER(tblPiNHistorical[[CCCM]:[WASH]],#REF!= L$5), 0, MATCH($Q$2, tblPiNHistorical[[#Headers],[CCCM]:[WASH]], 0))&gt;1.9, 1, 0)), IF(SUM(IF(INDEX(_xlfn._xlws.FILTER(tblPiNHistorical[[CCCM]:[WASH]],#REF!= L$5), 0, MATCH($Q$2, tblPiNHistorical[[#Headers],[CCCM]:[WASH]], 0))=$H40, 1, 0))=0, "", SUM(IF(INDEX(_xlfn._xlws.FILTER(tblPiNHistorical[[CCCM]:[WASH]],#REF!= L$5), 0, MATCH($Q$2, tblPiNHistorical[[#Headers],[CCCM]:[WASH]], 0))=$H40, 1, 0))))), "")</f>
        <v/>
      </c>
      <c r="M40" s="91" t="str" cm="1">
        <f t="array" ref="M40">IFERROR(IF(OR($H40="", M39=""), "", IF($H40=2, SUM(IF(INDEX(_xlfn._xlws.FILTER(tblPiNHistorical[[CCCM]:[WASH]],#REF!= M$5), 0, MATCH($Q$2, tblPiNHistorical[[#Headers],[CCCM]:[WASH]], 0))&gt;1.9, 1, 0)), IF(SUM(IF(INDEX(_xlfn._xlws.FILTER(tblPiNHistorical[[CCCM]:[WASH]],#REF!= M$5), 0, MATCH($Q$2, tblPiNHistorical[[#Headers],[CCCM]:[WASH]], 0))=$H40, 1, 0))=0, "", SUM(IF(INDEX(_xlfn._xlws.FILTER(tblPiNHistorical[[CCCM]:[WASH]],#REF!= M$5), 0, MATCH($Q$2, tblPiNHistorical[[#Headers],[CCCM]:[WASH]], 0))=$H40, 1, 0))))), "")</f>
        <v/>
      </c>
    </row>
    <row r="41" spans="1:28">
      <c r="A41" s="93"/>
      <c r="B41" s="91" t="str" cm="1">
        <f t="array" ref="B41">IF($A41="", "", IF(SUM(IF(INDEX(_xlfn._xlws.FILTER(tblPiNAnalysis[[CCCM%]:[WASH%]], tblPiNAnalysis[Population Group]=B$5), 0, MATCH(_xlfn.CONCAT($Q$2, "%"), tblPiNAnalysis[[#Headers],[CCCM%]:[WASH%]], 0))=$A41, 1, 0))=0, "",SUM(IF(INDEX(_xlfn._xlws.FILTER(tblPiNAnalysis[[CCCM%]:[WASH%]], tblPiNAnalysis[Population Group]=B$5), 0, MATCH(_xlfn.CONCAT($Q$2, "%"), tblPiNAnalysis[[#Headers],[CCCM%]:[WASH%]], 0))=$A41, 1, 0))))</f>
        <v/>
      </c>
      <c r="C41" s="91" t="str" cm="1">
        <f t="array" ref="C41">IFERROR(IF(OR($A41="", C$5=""), "", IF(SUM(IF(INDEX(_xlfn._xlws.FILTER(tblPiNAnalysis[[CCCM%]:[WASH%]], tblPiNAnalysis[Population Group]=C$5), 0, MATCH(_xlfn.CONCAT($Q$2, "%"), tblPiNAnalysis[[#Headers],[CCCM%]:[WASH%]], 0))=$A41, 1, 0))=0, "",SUM(IF(INDEX(_xlfn._xlws.FILTER(tblPiNAnalysis[[CCCM%]:[WASH%]], tblPiNAnalysis[Population Group]=C$5), 0, MATCH(_xlfn.CONCAT($Q$2, "%"), tblPiNAnalysis[[#Headers],[CCCM%]:[WASH%]], 0))=$A41, 1, 0)))), "")</f>
        <v/>
      </c>
      <c r="D41" s="91" t="str" cm="1">
        <f t="array" ref="D41">IFERROR(IF(OR($A41="", D$5=""), "", IF(SUM(IF(INDEX(_xlfn._xlws.FILTER(tblPiNAnalysis[[CCCM%]:[WASH%]], tblPiNAnalysis[Population Group]=D$5), 0, MATCH(_xlfn.CONCAT($Q$2, "%"), tblPiNAnalysis[[#Headers],[CCCM%]:[WASH%]], 0))=$A41, 1, 0))=0, "",SUM(IF(INDEX(_xlfn._xlws.FILTER(tblPiNAnalysis[[CCCM%]:[WASH%]], tblPiNAnalysis[Population Group]=D$5), 0, MATCH(_xlfn.CONCAT($Q$2, "%"), tblPiNAnalysis[[#Headers],[CCCM%]:[WASH%]], 0))=$A41, 1, 0)))), "")</f>
        <v/>
      </c>
      <c r="E41" s="91" t="str" cm="1">
        <f t="array" ref="E41">IFERROR(IF(OR($A41="", E$5=""), "", IF(SUM(IF(INDEX(_xlfn._xlws.FILTER(tblPiNAnalysis[[CCCM%]:[WASH%]], tblPiNAnalysis[Population Group]=E$5), 0, MATCH(_xlfn.CONCAT($Q$2, "%"), tblPiNAnalysis[[#Headers],[CCCM%]:[WASH%]], 0))=$A41, 1, 0))=0, "",SUM(IF(INDEX(_xlfn._xlws.FILTER(tblPiNAnalysis[[CCCM%]:[WASH%]], tblPiNAnalysis[Population Group]=E$5), 0, MATCH(_xlfn.CONCAT($Q$2, "%"), tblPiNAnalysis[[#Headers],[CCCM%]:[WASH%]], 0))=$A41, 1, 0)))), "")</f>
        <v/>
      </c>
      <c r="F41" s="91" t="str" cm="1">
        <f t="array" ref="F41">IFERROR(IF(OR($A41="", F$5=""), "", IF(SUM(IF(INDEX(_xlfn._xlws.FILTER(tblPiNAnalysis[[CCCM%]:[WASH%]], tblPiNAnalysis[CCCM]=F$5), 0, MATCH(_xlfn.CONCAT($Q$2, "%"), tblPiNAnalysis[[#Headers],[CCCM%]:[WASH%]], 0))=$A41, 1, 0))=0, "",SUM(IF(INDEX(_xlfn._xlws.FILTER(tblPiNAnalysis[[CCCM%]:[WASH%]], tblPiNAnalysis[CCCM]=F$5), 0, MATCH(_xlfn.CONCAT($Q$2, "%"), tblPiNAnalysis[[#Headers],[CCCM%]:[WASH%]], 0))=$A41, 1, 0)))), "")</f>
        <v/>
      </c>
      <c r="H41" s="93"/>
      <c r="I41" s="91" t="str" cm="1">
        <f t="array" ref="I41">IF($H41="", "", IF($H41=2, SUM(IF(INDEX(_xlfn._xlws.FILTER(tblPiNHistorical[[CCCM]:[WASH]], tblPiNHistorical[Population Group]=I$5), 0, MATCH($Q$2, tblPiNHistorical[[#Headers],[CCCM]:[WASH]], 0))&gt;1.9, 1, 0)), IF(SUM(IF(INDEX(_xlfn._xlws.FILTER(tblPiNHistorical[[CCCM]:[WASH]], tblPiNHistorical[Population Group]=I$5), 0, MATCH($Q$2, tblPiNHistorical[[#Headers],[CCCM]:[WASH]], 0))=$H41, 1, 0))=0, "", SUM(IF(INDEX(_xlfn._xlws.FILTER(tblPiNHistorical[[CCCM]:[WASH]], tblPiNHistorical[Population Group]=I$5), 0, MATCH($Q$2, tblPiNHistorical[[#Headers],[CCCM]:[WASH]], 0))=$H41, 1, 0)))))</f>
        <v/>
      </c>
      <c r="J41" s="91" t="str" cm="1">
        <f t="array" ref="J41">IFERROR(IF(OR($H41="", J40=""), "", IF($H41=2, SUM(IF(INDEX(_xlfn._xlws.FILTER(tblPiNHistorical[[CCCM]:[WASH]], tblPiNHistorical[Population Group]=J$5), 0, MATCH($Q$2, tblPiNHistorical[[#Headers],[CCCM]:[WASH]], 0))&gt;1.9, 1, 0)), IF(SUM(IF(INDEX(_xlfn._xlws.FILTER(tblPiNHistorical[[CCCM]:[WASH]], tblPiNHistorical[Population Group]=J$5), 0, MATCH($Q$2, tblPiNHistorical[[#Headers],[CCCM]:[WASH]], 0))=$H41, 1, 0))=0, "", SUM(IF(INDEX(_xlfn._xlws.FILTER(tblPiNHistorical[[CCCM]:[WASH]], tblPiNHistorical[Population Group]=J$5), 0, MATCH($Q$2, tblPiNHistorical[[#Headers],[CCCM]:[WASH]], 0))=$H41, 1, 0))))), "")</f>
        <v/>
      </c>
      <c r="K41" s="91" t="str" cm="1">
        <f t="array" ref="K41">IFERROR(IF(OR($H41="", K40=""), "", IF($H41=2, SUM(IF(INDEX(_xlfn._xlws.FILTER(tblPiNHistorical[[CCCM]:[WASH]], tblPiNHistorical[CCCM - old]=K$5), 0, MATCH($Q$2, tblPiNHistorical[[#Headers],[CCCM]:[WASH]], 0))&gt;1.9, 1, 0)), IF(SUM(IF(INDEX(_xlfn._xlws.FILTER(tblPiNHistorical[[CCCM]:[WASH]], tblPiNHistorical[CCCM - old]=K$5), 0, MATCH($Q$2, tblPiNHistorical[[#Headers],[CCCM]:[WASH]], 0))=$H41, 1, 0))=0, "", SUM(IF(INDEX(_xlfn._xlws.FILTER(tblPiNHistorical[[CCCM]:[WASH]], tblPiNHistorical[CCCM - old]=K$5), 0, MATCH($Q$2, tblPiNHistorical[[#Headers],[CCCM]:[WASH]], 0))=$H41, 1, 0))))), "")</f>
        <v/>
      </c>
      <c r="L41" s="91" t="str" cm="1">
        <f t="array" ref="L41">IFERROR(IF(OR($H41="", L40=""), "", IF($H41=2, SUM(IF(INDEX(_xlfn._xlws.FILTER(tblPiNHistorical[[CCCM]:[WASH]],#REF!= L$5), 0, MATCH($Q$2, tblPiNHistorical[[#Headers],[CCCM]:[WASH]], 0))&gt;1.9, 1, 0)), IF(SUM(IF(INDEX(_xlfn._xlws.FILTER(tblPiNHistorical[[CCCM]:[WASH]],#REF!= L$5), 0, MATCH($Q$2, tblPiNHistorical[[#Headers],[CCCM]:[WASH]], 0))=$H41, 1, 0))=0, "", SUM(IF(INDEX(_xlfn._xlws.FILTER(tblPiNHistorical[[CCCM]:[WASH]],#REF!= L$5), 0, MATCH($Q$2, tblPiNHistorical[[#Headers],[CCCM]:[WASH]], 0))=$H41, 1, 0))))), "")</f>
        <v/>
      </c>
      <c r="M41" s="91" t="str" cm="1">
        <f t="array" ref="M41">IFERROR(IF(OR($H41="", M40=""), "", IF($H41=2, SUM(IF(INDEX(_xlfn._xlws.FILTER(tblPiNHistorical[[CCCM]:[WASH]],#REF!= M$5), 0, MATCH($Q$2, tblPiNHistorical[[#Headers],[CCCM]:[WASH]], 0))&gt;1.9, 1, 0)), IF(SUM(IF(INDEX(_xlfn._xlws.FILTER(tblPiNHistorical[[CCCM]:[WASH]],#REF!= M$5), 0, MATCH($Q$2, tblPiNHistorical[[#Headers],[CCCM]:[WASH]], 0))=$H41, 1, 0))=0, "", SUM(IF(INDEX(_xlfn._xlws.FILTER(tblPiNHistorical[[CCCM]:[WASH]],#REF!= M$5), 0, MATCH($Q$2, tblPiNHistorical[[#Headers],[CCCM]:[WASH]], 0))=$H41, 1, 0))))), "")</f>
        <v/>
      </c>
    </row>
    <row r="42" spans="1:28">
      <c r="A42" s="93"/>
      <c r="B42" s="91" t="str" cm="1">
        <f t="array" ref="B42">IF($A42="", "", IF(SUM(IF(INDEX(_xlfn._xlws.FILTER(tblPiNAnalysis[[CCCM%]:[WASH%]], tblPiNAnalysis[Population Group]=B$5), 0, MATCH(_xlfn.CONCAT($Q$2, "%"), tblPiNAnalysis[[#Headers],[CCCM%]:[WASH%]], 0))=$A42, 1, 0))=0, "",SUM(IF(INDEX(_xlfn._xlws.FILTER(tblPiNAnalysis[[CCCM%]:[WASH%]], tblPiNAnalysis[Population Group]=B$5), 0, MATCH(_xlfn.CONCAT($Q$2, "%"), tblPiNAnalysis[[#Headers],[CCCM%]:[WASH%]], 0))=$A42, 1, 0))))</f>
        <v/>
      </c>
      <c r="C42" s="91" t="str" cm="1">
        <f t="array" ref="C42">IFERROR(IF(OR($A42="", C$5=""), "", IF(SUM(IF(INDEX(_xlfn._xlws.FILTER(tblPiNAnalysis[[CCCM%]:[WASH%]], tblPiNAnalysis[Population Group]=C$5), 0, MATCH(_xlfn.CONCAT($Q$2, "%"), tblPiNAnalysis[[#Headers],[CCCM%]:[WASH%]], 0))=$A42, 1, 0))=0, "",SUM(IF(INDEX(_xlfn._xlws.FILTER(tblPiNAnalysis[[CCCM%]:[WASH%]], tblPiNAnalysis[Population Group]=C$5), 0, MATCH(_xlfn.CONCAT($Q$2, "%"), tblPiNAnalysis[[#Headers],[CCCM%]:[WASH%]], 0))=$A42, 1, 0)))), "")</f>
        <v/>
      </c>
      <c r="D42" s="91" t="str" cm="1">
        <f t="array" ref="D42">IFERROR(IF(OR($A42="", D$5=""), "", IF(SUM(IF(INDEX(_xlfn._xlws.FILTER(tblPiNAnalysis[[CCCM%]:[WASH%]], tblPiNAnalysis[Population Group]=D$5), 0, MATCH(_xlfn.CONCAT($Q$2, "%"), tblPiNAnalysis[[#Headers],[CCCM%]:[WASH%]], 0))=$A42, 1, 0))=0, "",SUM(IF(INDEX(_xlfn._xlws.FILTER(tblPiNAnalysis[[CCCM%]:[WASH%]], tblPiNAnalysis[Population Group]=D$5), 0, MATCH(_xlfn.CONCAT($Q$2, "%"), tblPiNAnalysis[[#Headers],[CCCM%]:[WASH%]], 0))=$A42, 1, 0)))), "")</f>
        <v/>
      </c>
      <c r="E42" s="91" t="str" cm="1">
        <f t="array" ref="E42">IFERROR(IF(OR($A42="", E$5=""), "", IF(SUM(IF(INDEX(_xlfn._xlws.FILTER(tblPiNAnalysis[[CCCM%]:[WASH%]], tblPiNAnalysis[Population Group]=E$5), 0, MATCH(_xlfn.CONCAT($Q$2, "%"), tblPiNAnalysis[[#Headers],[CCCM%]:[WASH%]], 0))=$A42, 1, 0))=0, "",SUM(IF(INDEX(_xlfn._xlws.FILTER(tblPiNAnalysis[[CCCM%]:[WASH%]], tblPiNAnalysis[Population Group]=E$5), 0, MATCH(_xlfn.CONCAT($Q$2, "%"), tblPiNAnalysis[[#Headers],[CCCM%]:[WASH%]], 0))=$A42, 1, 0)))), "")</f>
        <v/>
      </c>
      <c r="F42" s="91" t="str" cm="1">
        <f t="array" ref="F42">IFERROR(IF(OR($A42="", F$5=""), "", IF(SUM(IF(INDEX(_xlfn._xlws.FILTER(tblPiNAnalysis[[CCCM%]:[WASH%]], tblPiNAnalysis[CCCM]=F$5), 0, MATCH(_xlfn.CONCAT($Q$2, "%"), tblPiNAnalysis[[#Headers],[CCCM%]:[WASH%]], 0))=$A42, 1, 0))=0, "",SUM(IF(INDEX(_xlfn._xlws.FILTER(tblPiNAnalysis[[CCCM%]:[WASH%]], tblPiNAnalysis[CCCM]=F$5), 0, MATCH(_xlfn.CONCAT($Q$2, "%"), tblPiNAnalysis[[#Headers],[CCCM%]:[WASH%]], 0))=$A42, 1, 0)))), "")</f>
        <v/>
      </c>
      <c r="H42" s="93"/>
      <c r="I42" s="91" t="str" cm="1">
        <f t="array" ref="I42">IF($H42="", "", IF($H42=2, SUM(IF(INDEX(_xlfn._xlws.FILTER(tblPiNHistorical[[CCCM]:[WASH]], tblPiNHistorical[Population Group]=I$5), 0, MATCH($Q$2, tblPiNHistorical[[#Headers],[CCCM]:[WASH]], 0))&gt;1.9, 1, 0)), IF(SUM(IF(INDEX(_xlfn._xlws.FILTER(tblPiNHistorical[[CCCM]:[WASH]], tblPiNHistorical[Population Group]=I$5), 0, MATCH($Q$2, tblPiNHistorical[[#Headers],[CCCM]:[WASH]], 0))=$H42, 1, 0))=0, "", SUM(IF(INDEX(_xlfn._xlws.FILTER(tblPiNHistorical[[CCCM]:[WASH]], tblPiNHistorical[Population Group]=I$5), 0, MATCH($Q$2, tblPiNHistorical[[#Headers],[CCCM]:[WASH]], 0))=$H42, 1, 0)))))</f>
        <v/>
      </c>
      <c r="J42" s="91" t="str" cm="1">
        <f t="array" ref="J42">IFERROR(IF(OR($H42="", J41=""), "", IF($H42=2, SUM(IF(INDEX(_xlfn._xlws.FILTER(tblPiNHistorical[[CCCM]:[WASH]], tblPiNHistorical[Population Group]=J$5), 0, MATCH($Q$2, tblPiNHistorical[[#Headers],[CCCM]:[WASH]], 0))&gt;1.9, 1, 0)), IF(SUM(IF(INDEX(_xlfn._xlws.FILTER(tblPiNHistorical[[CCCM]:[WASH]], tblPiNHistorical[Population Group]=J$5), 0, MATCH($Q$2, tblPiNHistorical[[#Headers],[CCCM]:[WASH]], 0))=$H42, 1, 0))=0, "", SUM(IF(INDEX(_xlfn._xlws.FILTER(tblPiNHistorical[[CCCM]:[WASH]], tblPiNHistorical[Population Group]=J$5), 0, MATCH($Q$2, tblPiNHistorical[[#Headers],[CCCM]:[WASH]], 0))=$H42, 1, 0))))), "")</f>
        <v/>
      </c>
      <c r="K42" s="91" t="str" cm="1">
        <f t="array" ref="K42">IFERROR(IF(OR($H42="", K41=""), "", IF($H42=2, SUM(IF(INDEX(_xlfn._xlws.FILTER(tblPiNHistorical[[CCCM]:[WASH]], tblPiNHistorical[CCCM - old]=K$5), 0, MATCH($Q$2, tblPiNHistorical[[#Headers],[CCCM]:[WASH]], 0))&gt;1.9, 1, 0)), IF(SUM(IF(INDEX(_xlfn._xlws.FILTER(tblPiNHistorical[[CCCM]:[WASH]], tblPiNHistorical[CCCM - old]=K$5), 0, MATCH($Q$2, tblPiNHistorical[[#Headers],[CCCM]:[WASH]], 0))=$H42, 1, 0))=0, "", SUM(IF(INDEX(_xlfn._xlws.FILTER(tblPiNHistorical[[CCCM]:[WASH]], tblPiNHistorical[CCCM - old]=K$5), 0, MATCH($Q$2, tblPiNHistorical[[#Headers],[CCCM]:[WASH]], 0))=$H42, 1, 0))))), "")</f>
        <v/>
      </c>
      <c r="L42" s="91" t="str" cm="1">
        <f t="array" ref="L42">IFERROR(IF(OR($H42="", L41=""), "", IF($H42=2, SUM(IF(INDEX(_xlfn._xlws.FILTER(tblPiNHistorical[[CCCM]:[WASH]],#REF!= L$5), 0, MATCH($Q$2, tblPiNHistorical[[#Headers],[CCCM]:[WASH]], 0))&gt;1.9, 1, 0)), IF(SUM(IF(INDEX(_xlfn._xlws.FILTER(tblPiNHistorical[[CCCM]:[WASH]],#REF!= L$5), 0, MATCH($Q$2, tblPiNHistorical[[#Headers],[CCCM]:[WASH]], 0))=$H42, 1, 0))=0, "", SUM(IF(INDEX(_xlfn._xlws.FILTER(tblPiNHistorical[[CCCM]:[WASH]],#REF!= L$5), 0, MATCH($Q$2, tblPiNHistorical[[#Headers],[CCCM]:[WASH]], 0))=$H42, 1, 0))))), "")</f>
        <v/>
      </c>
      <c r="M42" s="91" t="str" cm="1">
        <f t="array" ref="M42">IFERROR(IF(OR($H42="", M41=""), "", IF($H42=2, SUM(IF(INDEX(_xlfn._xlws.FILTER(tblPiNHistorical[[CCCM]:[WASH]],#REF!= M$5), 0, MATCH($Q$2, tblPiNHistorical[[#Headers],[CCCM]:[WASH]], 0))&gt;1.9, 1, 0)), IF(SUM(IF(INDEX(_xlfn._xlws.FILTER(tblPiNHistorical[[CCCM]:[WASH]],#REF!= M$5), 0, MATCH($Q$2, tblPiNHistorical[[#Headers],[CCCM]:[WASH]], 0))=$H42, 1, 0))=0, "", SUM(IF(INDEX(_xlfn._xlws.FILTER(tblPiNHistorical[[CCCM]:[WASH]],#REF!= M$5), 0, MATCH($Q$2, tblPiNHistorical[[#Headers],[CCCM]:[WASH]], 0))=$H42, 1, 0))))), "")</f>
        <v/>
      </c>
    </row>
    <row r="43" spans="1:28">
      <c r="A43" s="93"/>
      <c r="B43" s="91" t="str" cm="1">
        <f t="array" ref="B43">IF($A43="", "", IF(SUM(IF(INDEX(_xlfn._xlws.FILTER(tblPiNAnalysis[[CCCM%]:[WASH%]], tblPiNAnalysis[Population Group]=B$5), 0, MATCH(_xlfn.CONCAT($Q$2, "%"), tblPiNAnalysis[[#Headers],[CCCM%]:[WASH%]], 0))=$A43, 1, 0))=0, "",SUM(IF(INDEX(_xlfn._xlws.FILTER(tblPiNAnalysis[[CCCM%]:[WASH%]], tblPiNAnalysis[Population Group]=B$5), 0, MATCH(_xlfn.CONCAT($Q$2, "%"), tblPiNAnalysis[[#Headers],[CCCM%]:[WASH%]], 0))=$A43, 1, 0))))</f>
        <v/>
      </c>
      <c r="C43" s="91" t="str" cm="1">
        <f t="array" ref="C43">IFERROR(IF(OR($A43="", C$5=""), "", IF(SUM(IF(INDEX(_xlfn._xlws.FILTER(tblPiNAnalysis[[CCCM%]:[WASH%]], tblPiNAnalysis[Population Group]=C$5), 0, MATCH(_xlfn.CONCAT($Q$2, "%"), tblPiNAnalysis[[#Headers],[CCCM%]:[WASH%]], 0))=$A43, 1, 0))=0, "",SUM(IF(INDEX(_xlfn._xlws.FILTER(tblPiNAnalysis[[CCCM%]:[WASH%]], tblPiNAnalysis[Population Group]=C$5), 0, MATCH(_xlfn.CONCAT($Q$2, "%"), tblPiNAnalysis[[#Headers],[CCCM%]:[WASH%]], 0))=$A43, 1, 0)))), "")</f>
        <v/>
      </c>
      <c r="D43" s="91" t="str" cm="1">
        <f t="array" ref="D43">IFERROR(IF(OR($A43="", D$5=""), "", IF(SUM(IF(INDEX(_xlfn._xlws.FILTER(tblPiNAnalysis[[CCCM%]:[WASH%]], tblPiNAnalysis[Population Group]=D$5), 0, MATCH(_xlfn.CONCAT($Q$2, "%"), tblPiNAnalysis[[#Headers],[CCCM%]:[WASH%]], 0))=$A43, 1, 0))=0, "",SUM(IF(INDEX(_xlfn._xlws.FILTER(tblPiNAnalysis[[CCCM%]:[WASH%]], tblPiNAnalysis[Population Group]=D$5), 0, MATCH(_xlfn.CONCAT($Q$2, "%"), tblPiNAnalysis[[#Headers],[CCCM%]:[WASH%]], 0))=$A43, 1, 0)))), "")</f>
        <v/>
      </c>
      <c r="E43" s="91" t="str" cm="1">
        <f t="array" ref="E43">IFERROR(IF(OR($A43="", E$5=""), "", IF(SUM(IF(INDEX(_xlfn._xlws.FILTER(tblPiNAnalysis[[CCCM%]:[WASH%]], tblPiNAnalysis[Population Group]=E$5), 0, MATCH(_xlfn.CONCAT($Q$2, "%"), tblPiNAnalysis[[#Headers],[CCCM%]:[WASH%]], 0))=$A43, 1, 0))=0, "",SUM(IF(INDEX(_xlfn._xlws.FILTER(tblPiNAnalysis[[CCCM%]:[WASH%]], tblPiNAnalysis[Population Group]=E$5), 0, MATCH(_xlfn.CONCAT($Q$2, "%"), tblPiNAnalysis[[#Headers],[CCCM%]:[WASH%]], 0))=$A43, 1, 0)))), "")</f>
        <v/>
      </c>
      <c r="F43" s="91" t="str" cm="1">
        <f t="array" ref="F43">IFERROR(IF(OR($A43="", F$5=""), "", IF(SUM(IF(INDEX(_xlfn._xlws.FILTER(tblPiNAnalysis[[CCCM%]:[WASH%]], tblPiNAnalysis[CCCM]=F$5), 0, MATCH(_xlfn.CONCAT($Q$2, "%"), tblPiNAnalysis[[#Headers],[CCCM%]:[WASH%]], 0))=$A43, 1, 0))=0, "",SUM(IF(INDEX(_xlfn._xlws.FILTER(tblPiNAnalysis[[CCCM%]:[WASH%]], tblPiNAnalysis[CCCM]=F$5), 0, MATCH(_xlfn.CONCAT($Q$2, "%"), tblPiNAnalysis[[#Headers],[CCCM%]:[WASH%]], 0))=$A43, 1, 0)))), "")</f>
        <v/>
      </c>
      <c r="H43" s="93"/>
      <c r="I43" s="91" t="str" cm="1">
        <f t="array" ref="I43">IF($H43="", "", IF($H43=2, SUM(IF(INDEX(_xlfn._xlws.FILTER(tblPiNHistorical[[CCCM]:[WASH]], tblPiNHistorical[Population Group]=I$5), 0, MATCH($Q$2, tblPiNHistorical[[#Headers],[CCCM]:[WASH]], 0))&gt;1.9, 1, 0)), IF(SUM(IF(INDEX(_xlfn._xlws.FILTER(tblPiNHistorical[[CCCM]:[WASH]], tblPiNHistorical[Population Group]=I$5), 0, MATCH($Q$2, tblPiNHistorical[[#Headers],[CCCM]:[WASH]], 0))=$H43, 1, 0))=0, "", SUM(IF(INDEX(_xlfn._xlws.FILTER(tblPiNHistorical[[CCCM]:[WASH]], tblPiNHistorical[Population Group]=I$5), 0, MATCH($Q$2, tblPiNHistorical[[#Headers],[CCCM]:[WASH]], 0))=$H43, 1, 0)))))</f>
        <v/>
      </c>
      <c r="J43" s="91" t="str" cm="1">
        <f t="array" ref="J43">IFERROR(IF(OR($H43="", J42=""), "", IF($H43=2, SUM(IF(INDEX(_xlfn._xlws.FILTER(tblPiNHistorical[[CCCM]:[WASH]], tblPiNHistorical[Population Group]=J$5), 0, MATCH($Q$2, tblPiNHistorical[[#Headers],[CCCM]:[WASH]], 0))&gt;1.9, 1, 0)), IF(SUM(IF(INDEX(_xlfn._xlws.FILTER(tblPiNHistorical[[CCCM]:[WASH]], tblPiNHistorical[Population Group]=J$5), 0, MATCH($Q$2, tblPiNHistorical[[#Headers],[CCCM]:[WASH]], 0))=$H43, 1, 0))=0, "", SUM(IF(INDEX(_xlfn._xlws.FILTER(tblPiNHistorical[[CCCM]:[WASH]], tblPiNHistorical[Population Group]=J$5), 0, MATCH($Q$2, tblPiNHistorical[[#Headers],[CCCM]:[WASH]], 0))=$H43, 1, 0))))), "")</f>
        <v/>
      </c>
      <c r="K43" s="91" t="str" cm="1">
        <f t="array" ref="K43">IFERROR(IF(OR($H43="", K42=""), "", IF($H43=2, SUM(IF(INDEX(_xlfn._xlws.FILTER(tblPiNHistorical[[CCCM]:[WASH]], tblPiNHistorical[CCCM - old]=K$5), 0, MATCH($Q$2, tblPiNHistorical[[#Headers],[CCCM]:[WASH]], 0))&gt;1.9, 1, 0)), IF(SUM(IF(INDEX(_xlfn._xlws.FILTER(tblPiNHistorical[[CCCM]:[WASH]], tblPiNHistorical[CCCM - old]=K$5), 0, MATCH($Q$2, tblPiNHistorical[[#Headers],[CCCM]:[WASH]], 0))=$H43, 1, 0))=0, "", SUM(IF(INDEX(_xlfn._xlws.FILTER(tblPiNHistorical[[CCCM]:[WASH]], tblPiNHistorical[CCCM - old]=K$5), 0, MATCH($Q$2, tblPiNHistorical[[#Headers],[CCCM]:[WASH]], 0))=$H43, 1, 0))))), "")</f>
        <v/>
      </c>
      <c r="L43" s="91" t="str" cm="1">
        <f t="array" ref="L43">IFERROR(IF(OR($H43="", L42=""), "", IF($H43=2, SUM(IF(INDEX(_xlfn._xlws.FILTER(tblPiNHistorical[[CCCM]:[WASH]],#REF!= L$5), 0, MATCH($Q$2, tblPiNHistorical[[#Headers],[CCCM]:[WASH]], 0))&gt;1.9, 1, 0)), IF(SUM(IF(INDEX(_xlfn._xlws.FILTER(tblPiNHistorical[[CCCM]:[WASH]],#REF!= L$5), 0, MATCH($Q$2, tblPiNHistorical[[#Headers],[CCCM]:[WASH]], 0))=$H43, 1, 0))=0, "", SUM(IF(INDEX(_xlfn._xlws.FILTER(tblPiNHistorical[[CCCM]:[WASH]],#REF!= L$5), 0, MATCH($Q$2, tblPiNHistorical[[#Headers],[CCCM]:[WASH]], 0))=$H43, 1, 0))))), "")</f>
        <v/>
      </c>
      <c r="M43" s="91" t="str" cm="1">
        <f t="array" ref="M43">IFERROR(IF(OR($H43="", M42=""), "", IF($H43=2, SUM(IF(INDEX(_xlfn._xlws.FILTER(tblPiNHistorical[[CCCM]:[WASH]],#REF!= M$5), 0, MATCH($Q$2, tblPiNHistorical[[#Headers],[CCCM]:[WASH]], 0))&gt;1.9, 1, 0)), IF(SUM(IF(INDEX(_xlfn._xlws.FILTER(tblPiNHistorical[[CCCM]:[WASH]],#REF!= M$5), 0, MATCH($Q$2, tblPiNHistorical[[#Headers],[CCCM]:[WASH]], 0))=$H43, 1, 0))=0, "", SUM(IF(INDEX(_xlfn._xlws.FILTER(tblPiNHistorical[[CCCM]:[WASH]],#REF!= M$5), 0, MATCH($Q$2, tblPiNHistorical[[#Headers],[CCCM]:[WASH]], 0))=$H43, 1, 0))))), "")</f>
        <v/>
      </c>
    </row>
    <row r="44" spans="1:28">
      <c r="A44" s="93"/>
      <c r="B44" s="91" t="str" cm="1">
        <f t="array" ref="B44">IF($A44="", "", IF(SUM(IF(INDEX(_xlfn._xlws.FILTER(tblPiNAnalysis[[CCCM%]:[WASH%]], tblPiNAnalysis[Population Group]=B$5), 0, MATCH(_xlfn.CONCAT($Q$2, "%"), tblPiNAnalysis[[#Headers],[CCCM%]:[WASH%]], 0))=$A44, 1, 0))=0, "",SUM(IF(INDEX(_xlfn._xlws.FILTER(tblPiNAnalysis[[CCCM%]:[WASH%]], tblPiNAnalysis[Population Group]=B$5), 0, MATCH(_xlfn.CONCAT($Q$2, "%"), tblPiNAnalysis[[#Headers],[CCCM%]:[WASH%]], 0))=$A44, 1, 0))))</f>
        <v/>
      </c>
      <c r="C44" s="91" t="str" cm="1">
        <f t="array" ref="C44">IFERROR(IF(OR($A44="", C$5=""), "", IF(SUM(IF(INDEX(_xlfn._xlws.FILTER(tblPiNAnalysis[[CCCM%]:[WASH%]], tblPiNAnalysis[Population Group]=C$5), 0, MATCH(_xlfn.CONCAT($Q$2, "%"), tblPiNAnalysis[[#Headers],[CCCM%]:[WASH%]], 0))=$A44, 1, 0))=0, "",SUM(IF(INDEX(_xlfn._xlws.FILTER(tblPiNAnalysis[[CCCM%]:[WASH%]], tblPiNAnalysis[Population Group]=C$5), 0, MATCH(_xlfn.CONCAT($Q$2, "%"), tblPiNAnalysis[[#Headers],[CCCM%]:[WASH%]], 0))=$A44, 1, 0)))), "")</f>
        <v/>
      </c>
      <c r="D44" s="91" t="str" cm="1">
        <f t="array" ref="D44">IFERROR(IF(OR($A44="", D$5=""), "", IF(SUM(IF(INDEX(_xlfn._xlws.FILTER(tblPiNAnalysis[[CCCM%]:[WASH%]], tblPiNAnalysis[Population Group]=D$5), 0, MATCH(_xlfn.CONCAT($Q$2, "%"), tblPiNAnalysis[[#Headers],[CCCM%]:[WASH%]], 0))=$A44, 1, 0))=0, "",SUM(IF(INDEX(_xlfn._xlws.FILTER(tblPiNAnalysis[[CCCM%]:[WASH%]], tblPiNAnalysis[Population Group]=D$5), 0, MATCH(_xlfn.CONCAT($Q$2, "%"), tblPiNAnalysis[[#Headers],[CCCM%]:[WASH%]], 0))=$A44, 1, 0)))), "")</f>
        <v/>
      </c>
      <c r="E44" s="91" t="str" cm="1">
        <f t="array" ref="E44">IFERROR(IF(OR($A44="", E$5=""), "", IF(SUM(IF(INDEX(_xlfn._xlws.FILTER(tblPiNAnalysis[[CCCM%]:[WASH%]], tblPiNAnalysis[Population Group]=E$5), 0, MATCH(_xlfn.CONCAT($Q$2, "%"), tblPiNAnalysis[[#Headers],[CCCM%]:[WASH%]], 0))=$A44, 1, 0))=0, "",SUM(IF(INDEX(_xlfn._xlws.FILTER(tblPiNAnalysis[[CCCM%]:[WASH%]], tblPiNAnalysis[Population Group]=E$5), 0, MATCH(_xlfn.CONCAT($Q$2, "%"), tblPiNAnalysis[[#Headers],[CCCM%]:[WASH%]], 0))=$A44, 1, 0)))), "")</f>
        <v/>
      </c>
      <c r="F44" s="91" t="str" cm="1">
        <f t="array" ref="F44">IFERROR(IF(OR($A44="", F$5=""), "", IF(SUM(IF(INDEX(_xlfn._xlws.FILTER(tblPiNAnalysis[[CCCM%]:[WASH%]], tblPiNAnalysis[CCCM]=F$5), 0, MATCH(_xlfn.CONCAT($Q$2, "%"), tblPiNAnalysis[[#Headers],[CCCM%]:[WASH%]], 0))=$A44, 1, 0))=0, "",SUM(IF(INDEX(_xlfn._xlws.FILTER(tblPiNAnalysis[[CCCM%]:[WASH%]], tblPiNAnalysis[CCCM]=F$5), 0, MATCH(_xlfn.CONCAT($Q$2, "%"), tblPiNAnalysis[[#Headers],[CCCM%]:[WASH%]], 0))=$A44, 1, 0)))), "")</f>
        <v/>
      </c>
      <c r="H44" s="93"/>
      <c r="I44" s="91" t="str" cm="1">
        <f t="array" ref="I44">IF($H44="", "", IF($H44=2, SUM(IF(INDEX(_xlfn._xlws.FILTER(tblPiNHistorical[[CCCM]:[WASH]], tblPiNHistorical[Population Group]=I$5), 0, MATCH($Q$2, tblPiNHistorical[[#Headers],[CCCM]:[WASH]], 0))&gt;1.9, 1, 0)), IF(SUM(IF(INDEX(_xlfn._xlws.FILTER(tblPiNHistorical[[CCCM]:[WASH]], tblPiNHistorical[Population Group]=I$5), 0, MATCH($Q$2, tblPiNHistorical[[#Headers],[CCCM]:[WASH]], 0))=$H44, 1, 0))=0, "", SUM(IF(INDEX(_xlfn._xlws.FILTER(tblPiNHistorical[[CCCM]:[WASH]], tblPiNHistorical[Population Group]=I$5), 0, MATCH($Q$2, tblPiNHistorical[[#Headers],[CCCM]:[WASH]], 0))=$H44, 1, 0)))))</f>
        <v/>
      </c>
      <c r="J44" s="91" t="str" cm="1">
        <f t="array" ref="J44">IFERROR(IF(OR($H44="", J43=""), "", IF($H44=2, SUM(IF(INDEX(_xlfn._xlws.FILTER(tblPiNHistorical[[CCCM]:[WASH]], tblPiNHistorical[Population Group]=J$5), 0, MATCH($Q$2, tblPiNHistorical[[#Headers],[CCCM]:[WASH]], 0))&gt;1.9, 1, 0)), IF(SUM(IF(INDEX(_xlfn._xlws.FILTER(tblPiNHistorical[[CCCM]:[WASH]], tblPiNHistorical[Population Group]=J$5), 0, MATCH($Q$2, tblPiNHistorical[[#Headers],[CCCM]:[WASH]], 0))=$H44, 1, 0))=0, "", SUM(IF(INDEX(_xlfn._xlws.FILTER(tblPiNHistorical[[CCCM]:[WASH]], tblPiNHistorical[Population Group]=J$5), 0, MATCH($Q$2, tblPiNHistorical[[#Headers],[CCCM]:[WASH]], 0))=$H44, 1, 0))))), "")</f>
        <v/>
      </c>
      <c r="K44" s="91" t="str" cm="1">
        <f t="array" ref="K44">IFERROR(IF(OR($H44="", K43=""), "", IF($H44=2, SUM(IF(INDEX(_xlfn._xlws.FILTER(tblPiNHistorical[[CCCM]:[WASH]], tblPiNHistorical[CCCM - old]=K$5), 0, MATCH($Q$2, tblPiNHistorical[[#Headers],[CCCM]:[WASH]], 0))&gt;1.9, 1, 0)), IF(SUM(IF(INDEX(_xlfn._xlws.FILTER(tblPiNHistorical[[CCCM]:[WASH]], tblPiNHistorical[CCCM - old]=K$5), 0, MATCH($Q$2, tblPiNHistorical[[#Headers],[CCCM]:[WASH]], 0))=$H44, 1, 0))=0, "", SUM(IF(INDEX(_xlfn._xlws.FILTER(tblPiNHistorical[[CCCM]:[WASH]], tblPiNHistorical[CCCM - old]=K$5), 0, MATCH($Q$2, tblPiNHistorical[[#Headers],[CCCM]:[WASH]], 0))=$H44, 1, 0))))), "")</f>
        <v/>
      </c>
      <c r="L44" s="91" t="str" cm="1">
        <f t="array" ref="L44">IFERROR(IF(OR($H44="", L43=""), "", IF($H44=2, SUM(IF(INDEX(_xlfn._xlws.FILTER(tblPiNHistorical[[CCCM]:[WASH]],#REF!= L$5), 0, MATCH($Q$2, tblPiNHistorical[[#Headers],[CCCM]:[WASH]], 0))&gt;1.9, 1, 0)), IF(SUM(IF(INDEX(_xlfn._xlws.FILTER(tblPiNHistorical[[CCCM]:[WASH]],#REF!= L$5), 0, MATCH($Q$2, tblPiNHistorical[[#Headers],[CCCM]:[WASH]], 0))=$H44, 1, 0))=0, "", SUM(IF(INDEX(_xlfn._xlws.FILTER(tblPiNHistorical[[CCCM]:[WASH]],#REF!= L$5), 0, MATCH($Q$2, tblPiNHistorical[[#Headers],[CCCM]:[WASH]], 0))=$H44, 1, 0))))), "")</f>
        <v/>
      </c>
      <c r="M44" s="91" t="str" cm="1">
        <f t="array" ref="M44">IFERROR(IF(OR($H44="", M43=""), "", IF($H44=2, SUM(IF(INDEX(_xlfn._xlws.FILTER(tblPiNHistorical[[CCCM]:[WASH]],#REF!= M$5), 0, MATCH($Q$2, tblPiNHistorical[[#Headers],[CCCM]:[WASH]], 0))&gt;1.9, 1, 0)), IF(SUM(IF(INDEX(_xlfn._xlws.FILTER(tblPiNHistorical[[CCCM]:[WASH]],#REF!= M$5), 0, MATCH($Q$2, tblPiNHistorical[[#Headers],[CCCM]:[WASH]], 0))=$H44, 1, 0))=0, "", SUM(IF(INDEX(_xlfn._xlws.FILTER(tblPiNHistorical[[CCCM]:[WASH]],#REF!= M$5), 0, MATCH($Q$2, tblPiNHistorical[[#Headers],[CCCM]:[WASH]], 0))=$H44, 1, 0))))), "")</f>
        <v/>
      </c>
    </row>
    <row r="45" spans="1:28">
      <c r="A45" s="93"/>
      <c r="B45" s="91" t="str" cm="1">
        <f t="array" ref="B45">IF($A45="", "", IF(SUM(IF(INDEX(_xlfn._xlws.FILTER(tblPiNAnalysis[[CCCM%]:[WASH%]], tblPiNAnalysis[Population Group]=B$5), 0, MATCH(_xlfn.CONCAT($Q$2, "%"), tblPiNAnalysis[[#Headers],[CCCM%]:[WASH%]], 0))=$A45, 1, 0))=0, "",SUM(IF(INDEX(_xlfn._xlws.FILTER(tblPiNAnalysis[[CCCM%]:[WASH%]], tblPiNAnalysis[Population Group]=B$5), 0, MATCH(_xlfn.CONCAT($Q$2, "%"), tblPiNAnalysis[[#Headers],[CCCM%]:[WASH%]], 0))=$A45, 1, 0))))</f>
        <v/>
      </c>
      <c r="C45" s="91" t="str" cm="1">
        <f t="array" ref="C45">IFERROR(IF(OR($A45="", C$5=""), "", IF(SUM(IF(INDEX(_xlfn._xlws.FILTER(tblPiNAnalysis[[CCCM%]:[WASH%]], tblPiNAnalysis[Population Group]=C$5), 0, MATCH(_xlfn.CONCAT($Q$2, "%"), tblPiNAnalysis[[#Headers],[CCCM%]:[WASH%]], 0))=$A45, 1, 0))=0, "",SUM(IF(INDEX(_xlfn._xlws.FILTER(tblPiNAnalysis[[CCCM%]:[WASH%]], tblPiNAnalysis[Population Group]=C$5), 0, MATCH(_xlfn.CONCAT($Q$2, "%"), tblPiNAnalysis[[#Headers],[CCCM%]:[WASH%]], 0))=$A45, 1, 0)))), "")</f>
        <v/>
      </c>
      <c r="D45" s="91" t="str" cm="1">
        <f t="array" ref="D45">IFERROR(IF(OR($A45="", D$5=""), "", IF(SUM(IF(INDEX(_xlfn._xlws.FILTER(tblPiNAnalysis[[CCCM%]:[WASH%]], tblPiNAnalysis[Population Group]=D$5), 0, MATCH(_xlfn.CONCAT($Q$2, "%"), tblPiNAnalysis[[#Headers],[CCCM%]:[WASH%]], 0))=$A45, 1, 0))=0, "",SUM(IF(INDEX(_xlfn._xlws.FILTER(tblPiNAnalysis[[CCCM%]:[WASH%]], tblPiNAnalysis[Population Group]=D$5), 0, MATCH(_xlfn.CONCAT($Q$2, "%"), tblPiNAnalysis[[#Headers],[CCCM%]:[WASH%]], 0))=$A45, 1, 0)))), "")</f>
        <v/>
      </c>
      <c r="E45" s="91" t="str" cm="1">
        <f t="array" ref="E45">IFERROR(IF(OR($A45="", E$5=""), "", IF(SUM(IF(INDEX(_xlfn._xlws.FILTER(tblPiNAnalysis[[CCCM%]:[WASH%]], tblPiNAnalysis[Population Group]=E$5), 0, MATCH(_xlfn.CONCAT($Q$2, "%"), tblPiNAnalysis[[#Headers],[CCCM%]:[WASH%]], 0))=$A45, 1, 0))=0, "",SUM(IF(INDEX(_xlfn._xlws.FILTER(tblPiNAnalysis[[CCCM%]:[WASH%]], tblPiNAnalysis[Population Group]=E$5), 0, MATCH(_xlfn.CONCAT($Q$2, "%"), tblPiNAnalysis[[#Headers],[CCCM%]:[WASH%]], 0))=$A45, 1, 0)))), "")</f>
        <v/>
      </c>
      <c r="F45" s="91" t="str" cm="1">
        <f t="array" ref="F45">IFERROR(IF(OR($A45="", F$5=""), "", IF(SUM(IF(INDEX(_xlfn._xlws.FILTER(tblPiNAnalysis[[CCCM%]:[WASH%]], tblPiNAnalysis[CCCM]=F$5), 0, MATCH(_xlfn.CONCAT($Q$2, "%"), tblPiNAnalysis[[#Headers],[CCCM%]:[WASH%]], 0))=$A45, 1, 0))=0, "",SUM(IF(INDEX(_xlfn._xlws.FILTER(tblPiNAnalysis[[CCCM%]:[WASH%]], tblPiNAnalysis[CCCM]=F$5), 0, MATCH(_xlfn.CONCAT($Q$2, "%"), tblPiNAnalysis[[#Headers],[CCCM%]:[WASH%]], 0))=$A45, 1, 0)))), "")</f>
        <v/>
      </c>
      <c r="H45" s="93"/>
      <c r="I45" s="91" t="str" cm="1">
        <f t="array" ref="I45">IF($H45="", "", IF($H45=2, SUM(IF(INDEX(_xlfn._xlws.FILTER(tblPiNHistorical[[CCCM]:[WASH]], tblPiNHistorical[Population Group]=I$5), 0, MATCH($Q$2, tblPiNHistorical[[#Headers],[CCCM]:[WASH]], 0))&gt;1.9, 1, 0)), IF(SUM(IF(INDEX(_xlfn._xlws.FILTER(tblPiNHistorical[[CCCM]:[WASH]], tblPiNHistorical[Population Group]=I$5), 0, MATCH($Q$2, tblPiNHistorical[[#Headers],[CCCM]:[WASH]], 0))=$H45, 1, 0))=0, "", SUM(IF(INDEX(_xlfn._xlws.FILTER(tblPiNHistorical[[CCCM]:[WASH]], tblPiNHistorical[Population Group]=I$5), 0, MATCH($Q$2, tblPiNHistorical[[#Headers],[CCCM]:[WASH]], 0))=$H45, 1, 0)))))</f>
        <v/>
      </c>
      <c r="J45" s="91" t="str" cm="1">
        <f t="array" ref="J45">IFERROR(IF(OR($H45="", J44=""), "", IF($H45=2, SUM(IF(INDEX(_xlfn._xlws.FILTER(tblPiNHistorical[[CCCM]:[WASH]], tblPiNHistorical[Population Group]=J$5), 0, MATCH($Q$2, tblPiNHistorical[[#Headers],[CCCM]:[WASH]], 0))&gt;1.9, 1, 0)), IF(SUM(IF(INDEX(_xlfn._xlws.FILTER(tblPiNHistorical[[CCCM]:[WASH]], tblPiNHistorical[Population Group]=J$5), 0, MATCH($Q$2, tblPiNHistorical[[#Headers],[CCCM]:[WASH]], 0))=$H45, 1, 0))=0, "", SUM(IF(INDEX(_xlfn._xlws.FILTER(tblPiNHistorical[[CCCM]:[WASH]], tblPiNHistorical[Population Group]=J$5), 0, MATCH($Q$2, tblPiNHistorical[[#Headers],[CCCM]:[WASH]], 0))=$H45, 1, 0))))), "")</f>
        <v/>
      </c>
      <c r="K45" s="91" t="str" cm="1">
        <f t="array" ref="K45">IFERROR(IF(OR($H45="", K44=""), "", IF($H45=2, SUM(IF(INDEX(_xlfn._xlws.FILTER(tblPiNHistorical[[CCCM]:[WASH]], tblPiNHistorical[CCCM - old]=K$5), 0, MATCH($Q$2, tblPiNHistorical[[#Headers],[CCCM]:[WASH]], 0))&gt;1.9, 1, 0)), IF(SUM(IF(INDEX(_xlfn._xlws.FILTER(tblPiNHistorical[[CCCM]:[WASH]], tblPiNHistorical[CCCM - old]=K$5), 0, MATCH($Q$2, tblPiNHistorical[[#Headers],[CCCM]:[WASH]], 0))=$H45, 1, 0))=0, "", SUM(IF(INDEX(_xlfn._xlws.FILTER(tblPiNHistorical[[CCCM]:[WASH]], tblPiNHistorical[CCCM - old]=K$5), 0, MATCH($Q$2, tblPiNHistorical[[#Headers],[CCCM]:[WASH]], 0))=$H45, 1, 0))))), "")</f>
        <v/>
      </c>
      <c r="L45" s="91" t="str" cm="1">
        <f t="array" ref="L45">IFERROR(IF(OR($H45="", L44=""), "", IF($H45=2, SUM(IF(INDEX(_xlfn._xlws.FILTER(tblPiNHistorical[[CCCM]:[WASH]],#REF!= L$5), 0, MATCH($Q$2, tblPiNHistorical[[#Headers],[CCCM]:[WASH]], 0))&gt;1.9, 1, 0)), IF(SUM(IF(INDEX(_xlfn._xlws.FILTER(tblPiNHistorical[[CCCM]:[WASH]],#REF!= L$5), 0, MATCH($Q$2, tblPiNHistorical[[#Headers],[CCCM]:[WASH]], 0))=$H45, 1, 0))=0, "", SUM(IF(INDEX(_xlfn._xlws.FILTER(tblPiNHistorical[[CCCM]:[WASH]],#REF!= L$5), 0, MATCH($Q$2, tblPiNHistorical[[#Headers],[CCCM]:[WASH]], 0))=$H45, 1, 0))))), "")</f>
        <v/>
      </c>
      <c r="M45" s="91" t="str" cm="1">
        <f t="array" ref="M45">IFERROR(IF(OR($H45="", M44=""), "", IF($H45=2, SUM(IF(INDEX(_xlfn._xlws.FILTER(tblPiNHistorical[[CCCM]:[WASH]],#REF!= M$5), 0, MATCH($Q$2, tblPiNHistorical[[#Headers],[CCCM]:[WASH]], 0))&gt;1.9, 1, 0)), IF(SUM(IF(INDEX(_xlfn._xlws.FILTER(tblPiNHistorical[[CCCM]:[WASH]],#REF!= M$5), 0, MATCH($Q$2, tblPiNHistorical[[#Headers],[CCCM]:[WASH]], 0))=$H45, 1, 0))=0, "", SUM(IF(INDEX(_xlfn._xlws.FILTER(tblPiNHistorical[[CCCM]:[WASH]],#REF!= M$5), 0, MATCH($Q$2, tblPiNHistorical[[#Headers],[CCCM]:[WASH]], 0))=$H45, 1, 0))))), "")</f>
        <v/>
      </c>
    </row>
    <row r="46" spans="1:28">
      <c r="A46" s="93"/>
      <c r="B46" s="91" t="str" cm="1">
        <f t="array" ref="B46">IF($A46="", "", IF(SUM(IF(INDEX(_xlfn._xlws.FILTER(tblPiNAnalysis[[CCCM%]:[WASH%]], tblPiNAnalysis[Population Group]=B$5), 0, MATCH(_xlfn.CONCAT($Q$2, "%"), tblPiNAnalysis[[#Headers],[CCCM%]:[WASH%]], 0))=$A46, 1, 0))=0, "",SUM(IF(INDEX(_xlfn._xlws.FILTER(tblPiNAnalysis[[CCCM%]:[WASH%]], tblPiNAnalysis[Population Group]=B$5), 0, MATCH(_xlfn.CONCAT($Q$2, "%"), tblPiNAnalysis[[#Headers],[CCCM%]:[WASH%]], 0))=$A46, 1, 0))))</f>
        <v/>
      </c>
      <c r="C46" s="91" t="str" cm="1">
        <f t="array" ref="C46">IFERROR(IF(OR($A46="", C$5=""), "", IF(SUM(IF(INDEX(_xlfn._xlws.FILTER(tblPiNAnalysis[[CCCM%]:[WASH%]], tblPiNAnalysis[Population Group]=C$5), 0, MATCH(_xlfn.CONCAT($Q$2, "%"), tblPiNAnalysis[[#Headers],[CCCM%]:[WASH%]], 0))=$A46, 1, 0))=0, "",SUM(IF(INDEX(_xlfn._xlws.FILTER(tblPiNAnalysis[[CCCM%]:[WASH%]], tblPiNAnalysis[Population Group]=C$5), 0, MATCH(_xlfn.CONCAT($Q$2, "%"), tblPiNAnalysis[[#Headers],[CCCM%]:[WASH%]], 0))=$A46, 1, 0)))), "")</f>
        <v/>
      </c>
      <c r="D46" s="91" t="str" cm="1">
        <f t="array" ref="D46">IFERROR(IF(OR($A46="", D$5=""), "", IF(SUM(IF(INDEX(_xlfn._xlws.FILTER(tblPiNAnalysis[[CCCM%]:[WASH%]], tblPiNAnalysis[Population Group]=D$5), 0, MATCH(_xlfn.CONCAT($Q$2, "%"), tblPiNAnalysis[[#Headers],[CCCM%]:[WASH%]], 0))=$A46, 1, 0))=0, "",SUM(IF(INDEX(_xlfn._xlws.FILTER(tblPiNAnalysis[[CCCM%]:[WASH%]], tblPiNAnalysis[Population Group]=D$5), 0, MATCH(_xlfn.CONCAT($Q$2, "%"), tblPiNAnalysis[[#Headers],[CCCM%]:[WASH%]], 0))=$A46, 1, 0)))), "")</f>
        <v/>
      </c>
      <c r="E46" s="91" t="str" cm="1">
        <f t="array" ref="E46">IFERROR(IF(OR($A46="", E$5=""), "", IF(SUM(IF(INDEX(_xlfn._xlws.FILTER(tblPiNAnalysis[[CCCM%]:[WASH%]], tblPiNAnalysis[Population Group]=E$5), 0, MATCH(_xlfn.CONCAT($Q$2, "%"), tblPiNAnalysis[[#Headers],[CCCM%]:[WASH%]], 0))=$A46, 1, 0))=0, "",SUM(IF(INDEX(_xlfn._xlws.FILTER(tblPiNAnalysis[[CCCM%]:[WASH%]], tblPiNAnalysis[Population Group]=E$5), 0, MATCH(_xlfn.CONCAT($Q$2, "%"), tblPiNAnalysis[[#Headers],[CCCM%]:[WASH%]], 0))=$A46, 1, 0)))), "")</f>
        <v/>
      </c>
      <c r="F46" s="91" t="str" cm="1">
        <f t="array" ref="F46">IFERROR(IF(OR($A46="", F$5=""), "", IF(SUM(IF(INDEX(_xlfn._xlws.FILTER(tblPiNAnalysis[[CCCM%]:[WASH%]], tblPiNAnalysis[CCCM]=F$5), 0, MATCH(_xlfn.CONCAT($Q$2, "%"), tblPiNAnalysis[[#Headers],[CCCM%]:[WASH%]], 0))=$A46, 1, 0))=0, "",SUM(IF(INDEX(_xlfn._xlws.FILTER(tblPiNAnalysis[[CCCM%]:[WASH%]], tblPiNAnalysis[CCCM]=F$5), 0, MATCH(_xlfn.CONCAT($Q$2, "%"), tblPiNAnalysis[[#Headers],[CCCM%]:[WASH%]], 0))=$A46, 1, 0)))), "")</f>
        <v/>
      </c>
      <c r="H46" s="93"/>
      <c r="I46" s="91" t="str" cm="1">
        <f t="array" ref="I46">IF($H46="", "", IF($H46=2, SUM(IF(INDEX(_xlfn._xlws.FILTER(tblPiNHistorical[[CCCM]:[WASH]], tblPiNHistorical[Population Group]=I$5), 0, MATCH($Q$2, tblPiNHistorical[[#Headers],[CCCM]:[WASH]], 0))&gt;1.9, 1, 0)), IF(SUM(IF(INDEX(_xlfn._xlws.FILTER(tblPiNHistorical[[CCCM]:[WASH]], tblPiNHistorical[Population Group]=I$5), 0, MATCH($Q$2, tblPiNHistorical[[#Headers],[CCCM]:[WASH]], 0))=$H46, 1, 0))=0, "", SUM(IF(INDEX(_xlfn._xlws.FILTER(tblPiNHistorical[[CCCM]:[WASH]], tblPiNHistorical[Population Group]=I$5), 0, MATCH($Q$2, tblPiNHistorical[[#Headers],[CCCM]:[WASH]], 0))=$H46, 1, 0)))))</f>
        <v/>
      </c>
      <c r="J46" s="91" t="str" cm="1">
        <f t="array" ref="J46">IFERROR(IF(OR($H46="", J45=""), "", IF($H46=2, SUM(IF(INDEX(_xlfn._xlws.FILTER(tblPiNHistorical[[CCCM]:[WASH]], tblPiNHistorical[Population Group]=J$5), 0, MATCH($Q$2, tblPiNHistorical[[#Headers],[CCCM]:[WASH]], 0))&gt;1.9, 1, 0)), IF(SUM(IF(INDEX(_xlfn._xlws.FILTER(tblPiNHistorical[[CCCM]:[WASH]], tblPiNHistorical[Population Group]=J$5), 0, MATCH($Q$2, tblPiNHistorical[[#Headers],[CCCM]:[WASH]], 0))=$H46, 1, 0))=0, "", SUM(IF(INDEX(_xlfn._xlws.FILTER(tblPiNHistorical[[CCCM]:[WASH]], tblPiNHistorical[Population Group]=J$5), 0, MATCH($Q$2, tblPiNHistorical[[#Headers],[CCCM]:[WASH]], 0))=$H46, 1, 0))))), "")</f>
        <v/>
      </c>
      <c r="K46" s="91" t="str" cm="1">
        <f t="array" ref="K46">IFERROR(IF(OR($H46="", K45=""), "", IF($H46=2, SUM(IF(INDEX(_xlfn._xlws.FILTER(tblPiNHistorical[[CCCM]:[WASH]], tblPiNHistorical[CCCM - old]=K$5), 0, MATCH($Q$2, tblPiNHistorical[[#Headers],[CCCM]:[WASH]], 0))&gt;1.9, 1, 0)), IF(SUM(IF(INDEX(_xlfn._xlws.FILTER(tblPiNHistorical[[CCCM]:[WASH]], tblPiNHistorical[CCCM - old]=K$5), 0, MATCH($Q$2, tblPiNHistorical[[#Headers],[CCCM]:[WASH]], 0))=$H46, 1, 0))=0, "", SUM(IF(INDEX(_xlfn._xlws.FILTER(tblPiNHistorical[[CCCM]:[WASH]], tblPiNHistorical[CCCM - old]=K$5), 0, MATCH($Q$2, tblPiNHistorical[[#Headers],[CCCM]:[WASH]], 0))=$H46, 1, 0))))), "")</f>
        <v/>
      </c>
      <c r="L46" s="91" t="str" cm="1">
        <f t="array" ref="L46">IFERROR(IF(OR($H46="", L45=""), "", IF($H46=2, SUM(IF(INDEX(_xlfn._xlws.FILTER(tblPiNHistorical[[CCCM]:[WASH]],#REF!= L$5), 0, MATCH($Q$2, tblPiNHistorical[[#Headers],[CCCM]:[WASH]], 0))&gt;1.9, 1, 0)), IF(SUM(IF(INDEX(_xlfn._xlws.FILTER(tblPiNHistorical[[CCCM]:[WASH]],#REF!= L$5), 0, MATCH($Q$2, tblPiNHistorical[[#Headers],[CCCM]:[WASH]], 0))=$H46, 1, 0))=0, "", SUM(IF(INDEX(_xlfn._xlws.FILTER(tblPiNHistorical[[CCCM]:[WASH]],#REF!= L$5), 0, MATCH($Q$2, tblPiNHistorical[[#Headers],[CCCM]:[WASH]], 0))=$H46, 1, 0))))), "")</f>
        <v/>
      </c>
      <c r="M46" s="91" t="str" cm="1">
        <f t="array" ref="M46">IFERROR(IF(OR($H46="", M45=""), "", IF($H46=2, SUM(IF(INDEX(_xlfn._xlws.FILTER(tblPiNHistorical[[CCCM]:[WASH]],#REF!= M$5), 0, MATCH($Q$2, tblPiNHistorical[[#Headers],[CCCM]:[WASH]], 0))&gt;1.9, 1, 0)), IF(SUM(IF(INDEX(_xlfn._xlws.FILTER(tblPiNHistorical[[CCCM]:[WASH]],#REF!= M$5), 0, MATCH($Q$2, tblPiNHistorical[[#Headers],[CCCM]:[WASH]], 0))=$H46, 1, 0))=0, "", SUM(IF(INDEX(_xlfn._xlws.FILTER(tblPiNHistorical[[CCCM]:[WASH]],#REF!= M$5), 0, MATCH($Q$2, tblPiNHistorical[[#Headers],[CCCM]:[WASH]], 0))=$H46, 1, 0))))), "")</f>
        <v/>
      </c>
    </row>
    <row r="47" spans="1:28">
      <c r="A47" s="93"/>
      <c r="B47" s="91" t="str" cm="1">
        <f t="array" ref="B47">IF($A47="", "", IF(SUM(IF(INDEX(_xlfn._xlws.FILTER(tblPiNAnalysis[[CCCM%]:[WASH%]], tblPiNAnalysis[Population Group]=B$5), 0, MATCH(_xlfn.CONCAT($Q$2, "%"), tblPiNAnalysis[[#Headers],[CCCM%]:[WASH%]], 0))=$A47, 1, 0))=0, "",SUM(IF(INDEX(_xlfn._xlws.FILTER(tblPiNAnalysis[[CCCM%]:[WASH%]], tblPiNAnalysis[Population Group]=B$5), 0, MATCH(_xlfn.CONCAT($Q$2, "%"), tblPiNAnalysis[[#Headers],[CCCM%]:[WASH%]], 0))=$A47, 1, 0))))</f>
        <v/>
      </c>
      <c r="C47" s="91" t="str" cm="1">
        <f t="array" ref="C47">IFERROR(IF(OR($A47="", C$5=""), "", IF(SUM(IF(INDEX(_xlfn._xlws.FILTER(tblPiNAnalysis[[CCCM%]:[WASH%]], tblPiNAnalysis[Population Group]=C$5), 0, MATCH(_xlfn.CONCAT($Q$2, "%"), tblPiNAnalysis[[#Headers],[CCCM%]:[WASH%]], 0))=$A47, 1, 0))=0, "",SUM(IF(INDEX(_xlfn._xlws.FILTER(tblPiNAnalysis[[CCCM%]:[WASH%]], tblPiNAnalysis[Population Group]=C$5), 0, MATCH(_xlfn.CONCAT($Q$2, "%"), tblPiNAnalysis[[#Headers],[CCCM%]:[WASH%]], 0))=$A47, 1, 0)))), "")</f>
        <v/>
      </c>
      <c r="D47" s="91" t="str" cm="1">
        <f t="array" ref="D47">IFERROR(IF(OR($A47="", D$5=""), "", IF(SUM(IF(INDEX(_xlfn._xlws.FILTER(tblPiNAnalysis[[CCCM%]:[WASH%]], tblPiNAnalysis[Population Group]=D$5), 0, MATCH(_xlfn.CONCAT($Q$2, "%"), tblPiNAnalysis[[#Headers],[CCCM%]:[WASH%]], 0))=$A47, 1, 0))=0, "",SUM(IF(INDEX(_xlfn._xlws.FILTER(tblPiNAnalysis[[CCCM%]:[WASH%]], tblPiNAnalysis[Population Group]=D$5), 0, MATCH(_xlfn.CONCAT($Q$2, "%"), tblPiNAnalysis[[#Headers],[CCCM%]:[WASH%]], 0))=$A47, 1, 0)))), "")</f>
        <v/>
      </c>
      <c r="E47" s="91" t="str" cm="1">
        <f t="array" ref="E47">IFERROR(IF(OR($A47="", E$5=""), "", IF(SUM(IF(INDEX(_xlfn._xlws.FILTER(tblPiNAnalysis[[CCCM%]:[WASH%]], tblPiNAnalysis[Population Group]=E$5), 0, MATCH(_xlfn.CONCAT($Q$2, "%"), tblPiNAnalysis[[#Headers],[CCCM%]:[WASH%]], 0))=$A47, 1, 0))=0, "",SUM(IF(INDEX(_xlfn._xlws.FILTER(tblPiNAnalysis[[CCCM%]:[WASH%]], tblPiNAnalysis[Population Group]=E$5), 0, MATCH(_xlfn.CONCAT($Q$2, "%"), tblPiNAnalysis[[#Headers],[CCCM%]:[WASH%]], 0))=$A47, 1, 0)))), "")</f>
        <v/>
      </c>
      <c r="F47" s="91" t="str" cm="1">
        <f t="array" ref="F47">IFERROR(IF(OR($A47="", F$5=""), "", IF(SUM(IF(INDEX(_xlfn._xlws.FILTER(tblPiNAnalysis[[CCCM%]:[WASH%]], tblPiNAnalysis[CCCM]=F$5), 0, MATCH(_xlfn.CONCAT($Q$2, "%"), tblPiNAnalysis[[#Headers],[CCCM%]:[WASH%]], 0))=$A47, 1, 0))=0, "",SUM(IF(INDEX(_xlfn._xlws.FILTER(tblPiNAnalysis[[CCCM%]:[WASH%]], tblPiNAnalysis[CCCM]=F$5), 0, MATCH(_xlfn.CONCAT($Q$2, "%"), tblPiNAnalysis[[#Headers],[CCCM%]:[WASH%]], 0))=$A47, 1, 0)))), "")</f>
        <v/>
      </c>
      <c r="H47" s="93"/>
      <c r="I47" s="91" t="str" cm="1">
        <f t="array" ref="I47">IF($H47="", "", IF($H47=2, SUM(IF(INDEX(_xlfn._xlws.FILTER(tblPiNHistorical[[CCCM]:[WASH]], tblPiNHistorical[Population Group]=I$5), 0, MATCH($Q$2, tblPiNHistorical[[#Headers],[CCCM]:[WASH]], 0))&gt;1.9, 1, 0)), IF(SUM(IF(INDEX(_xlfn._xlws.FILTER(tblPiNHistorical[[CCCM]:[WASH]], tblPiNHistorical[Population Group]=I$5), 0, MATCH($Q$2, tblPiNHistorical[[#Headers],[CCCM]:[WASH]], 0))=$H47, 1, 0))=0, "", SUM(IF(INDEX(_xlfn._xlws.FILTER(tblPiNHistorical[[CCCM]:[WASH]], tblPiNHistorical[Population Group]=I$5), 0, MATCH($Q$2, tblPiNHistorical[[#Headers],[CCCM]:[WASH]], 0))=$H47, 1, 0)))))</f>
        <v/>
      </c>
      <c r="J47" s="91" t="str" cm="1">
        <f t="array" ref="J47">IFERROR(IF(OR($H47="", J46=""), "", IF($H47=2, SUM(IF(INDEX(_xlfn._xlws.FILTER(tblPiNHistorical[[CCCM]:[WASH]], tblPiNHistorical[Population Group]=J$5), 0, MATCH($Q$2, tblPiNHistorical[[#Headers],[CCCM]:[WASH]], 0))&gt;1.9, 1, 0)), IF(SUM(IF(INDEX(_xlfn._xlws.FILTER(tblPiNHistorical[[CCCM]:[WASH]], tblPiNHistorical[Population Group]=J$5), 0, MATCH($Q$2, tblPiNHistorical[[#Headers],[CCCM]:[WASH]], 0))=$H47, 1, 0))=0, "", SUM(IF(INDEX(_xlfn._xlws.FILTER(tblPiNHistorical[[CCCM]:[WASH]], tblPiNHistorical[Population Group]=J$5), 0, MATCH($Q$2, tblPiNHistorical[[#Headers],[CCCM]:[WASH]], 0))=$H47, 1, 0))))), "")</f>
        <v/>
      </c>
      <c r="K47" s="91" t="str" cm="1">
        <f t="array" ref="K47">IFERROR(IF(OR($H47="", K46=""), "", IF($H47=2, SUM(IF(INDEX(_xlfn._xlws.FILTER(tblPiNHistorical[[CCCM]:[WASH]], tblPiNHistorical[CCCM - old]=K$5), 0, MATCH($Q$2, tblPiNHistorical[[#Headers],[CCCM]:[WASH]], 0))&gt;1.9, 1, 0)), IF(SUM(IF(INDEX(_xlfn._xlws.FILTER(tblPiNHistorical[[CCCM]:[WASH]], tblPiNHistorical[CCCM - old]=K$5), 0, MATCH($Q$2, tblPiNHistorical[[#Headers],[CCCM]:[WASH]], 0))=$H47, 1, 0))=0, "", SUM(IF(INDEX(_xlfn._xlws.FILTER(tblPiNHistorical[[CCCM]:[WASH]], tblPiNHistorical[CCCM - old]=K$5), 0, MATCH($Q$2, tblPiNHistorical[[#Headers],[CCCM]:[WASH]], 0))=$H47, 1, 0))))), "")</f>
        <v/>
      </c>
      <c r="L47" s="91" t="str" cm="1">
        <f t="array" ref="L47">IFERROR(IF(OR($H47="", L46=""), "", IF($H47=2, SUM(IF(INDEX(_xlfn._xlws.FILTER(tblPiNHistorical[[CCCM]:[WASH]],#REF!= L$5), 0, MATCH($Q$2, tblPiNHistorical[[#Headers],[CCCM]:[WASH]], 0))&gt;1.9, 1, 0)), IF(SUM(IF(INDEX(_xlfn._xlws.FILTER(tblPiNHistorical[[CCCM]:[WASH]],#REF!= L$5), 0, MATCH($Q$2, tblPiNHistorical[[#Headers],[CCCM]:[WASH]], 0))=$H47, 1, 0))=0, "", SUM(IF(INDEX(_xlfn._xlws.FILTER(tblPiNHistorical[[CCCM]:[WASH]],#REF!= L$5), 0, MATCH($Q$2, tblPiNHistorical[[#Headers],[CCCM]:[WASH]], 0))=$H47, 1, 0))))), "")</f>
        <v/>
      </c>
      <c r="M47" s="91" t="str" cm="1">
        <f t="array" ref="M47">IFERROR(IF(OR($H47="", M46=""), "", IF($H47=2, SUM(IF(INDEX(_xlfn._xlws.FILTER(tblPiNHistorical[[CCCM]:[WASH]],#REF!= M$5), 0, MATCH($Q$2, tblPiNHistorical[[#Headers],[CCCM]:[WASH]], 0))&gt;1.9, 1, 0)), IF(SUM(IF(INDEX(_xlfn._xlws.FILTER(tblPiNHistorical[[CCCM]:[WASH]],#REF!= M$5), 0, MATCH($Q$2, tblPiNHistorical[[#Headers],[CCCM]:[WASH]], 0))=$H47, 1, 0))=0, "", SUM(IF(INDEX(_xlfn._xlws.FILTER(tblPiNHistorical[[CCCM]:[WASH]],#REF!= M$5), 0, MATCH($Q$2, tblPiNHistorical[[#Headers],[CCCM]:[WASH]], 0))=$H47, 1, 0))))), "")</f>
        <v/>
      </c>
    </row>
    <row r="48" spans="1:28">
      <c r="A48" s="93"/>
      <c r="B48" s="91" t="str" cm="1">
        <f t="array" ref="B48">IF($A48="", "", IF(SUM(IF(INDEX(_xlfn._xlws.FILTER(tblPiNAnalysis[[CCCM%]:[WASH%]], tblPiNAnalysis[Population Group]=B$5), 0, MATCH(_xlfn.CONCAT($Q$2, "%"), tblPiNAnalysis[[#Headers],[CCCM%]:[WASH%]], 0))=$A48, 1, 0))=0, "",SUM(IF(INDEX(_xlfn._xlws.FILTER(tblPiNAnalysis[[CCCM%]:[WASH%]], tblPiNAnalysis[Population Group]=B$5), 0, MATCH(_xlfn.CONCAT($Q$2, "%"), tblPiNAnalysis[[#Headers],[CCCM%]:[WASH%]], 0))=$A48, 1, 0))))</f>
        <v/>
      </c>
      <c r="C48" s="91" t="str" cm="1">
        <f t="array" ref="C48">IFERROR(IF(OR($A48="", C$5=""), "", IF(SUM(IF(INDEX(_xlfn._xlws.FILTER(tblPiNAnalysis[[CCCM%]:[WASH%]], tblPiNAnalysis[Population Group]=C$5), 0, MATCH(_xlfn.CONCAT($Q$2, "%"), tblPiNAnalysis[[#Headers],[CCCM%]:[WASH%]], 0))=$A48, 1, 0))=0, "",SUM(IF(INDEX(_xlfn._xlws.FILTER(tblPiNAnalysis[[CCCM%]:[WASH%]], tblPiNAnalysis[Population Group]=C$5), 0, MATCH(_xlfn.CONCAT($Q$2, "%"), tblPiNAnalysis[[#Headers],[CCCM%]:[WASH%]], 0))=$A48, 1, 0)))), "")</f>
        <v/>
      </c>
      <c r="D48" s="91" t="str" cm="1">
        <f t="array" ref="D48">IFERROR(IF(OR($A48="", D$5=""), "", IF(SUM(IF(INDEX(_xlfn._xlws.FILTER(tblPiNAnalysis[[CCCM%]:[WASH%]], tblPiNAnalysis[Population Group]=D$5), 0, MATCH(_xlfn.CONCAT($Q$2, "%"), tblPiNAnalysis[[#Headers],[CCCM%]:[WASH%]], 0))=$A48, 1, 0))=0, "",SUM(IF(INDEX(_xlfn._xlws.FILTER(tblPiNAnalysis[[CCCM%]:[WASH%]], tblPiNAnalysis[Population Group]=D$5), 0, MATCH(_xlfn.CONCAT($Q$2, "%"), tblPiNAnalysis[[#Headers],[CCCM%]:[WASH%]], 0))=$A48, 1, 0)))), "")</f>
        <v/>
      </c>
      <c r="E48" s="91" t="str" cm="1">
        <f t="array" ref="E48">IFERROR(IF(OR($A48="", E$5=""), "", IF(SUM(IF(INDEX(_xlfn._xlws.FILTER(tblPiNAnalysis[[CCCM%]:[WASH%]], tblPiNAnalysis[Population Group]=E$5), 0, MATCH(_xlfn.CONCAT($Q$2, "%"), tblPiNAnalysis[[#Headers],[CCCM%]:[WASH%]], 0))=$A48, 1, 0))=0, "",SUM(IF(INDEX(_xlfn._xlws.FILTER(tblPiNAnalysis[[CCCM%]:[WASH%]], tblPiNAnalysis[Population Group]=E$5), 0, MATCH(_xlfn.CONCAT($Q$2, "%"), tblPiNAnalysis[[#Headers],[CCCM%]:[WASH%]], 0))=$A48, 1, 0)))), "")</f>
        <v/>
      </c>
      <c r="F48" s="91" t="str" cm="1">
        <f t="array" ref="F48">IFERROR(IF(OR($A48="", F$5=""), "", IF(SUM(IF(INDEX(_xlfn._xlws.FILTER(tblPiNAnalysis[[CCCM%]:[WASH%]], tblPiNAnalysis[CCCM]=F$5), 0, MATCH(_xlfn.CONCAT($Q$2, "%"), tblPiNAnalysis[[#Headers],[CCCM%]:[WASH%]], 0))=$A48, 1, 0))=0, "",SUM(IF(INDEX(_xlfn._xlws.FILTER(tblPiNAnalysis[[CCCM%]:[WASH%]], tblPiNAnalysis[CCCM]=F$5), 0, MATCH(_xlfn.CONCAT($Q$2, "%"), tblPiNAnalysis[[#Headers],[CCCM%]:[WASH%]], 0))=$A48, 1, 0)))), "")</f>
        <v/>
      </c>
      <c r="H48" s="93"/>
      <c r="I48" s="91" t="str" cm="1">
        <f t="array" ref="I48">IF($H48="", "", IF($H48=2, SUM(IF(INDEX(_xlfn._xlws.FILTER(tblPiNHistorical[[CCCM]:[WASH]], tblPiNHistorical[Population Group]=I$5), 0, MATCH($Q$2, tblPiNHistorical[[#Headers],[CCCM]:[WASH]], 0))&gt;1.9, 1, 0)), IF(SUM(IF(INDEX(_xlfn._xlws.FILTER(tblPiNHistorical[[CCCM]:[WASH]], tblPiNHistorical[Population Group]=I$5), 0, MATCH($Q$2, tblPiNHistorical[[#Headers],[CCCM]:[WASH]], 0))=$H48, 1, 0))=0, "", SUM(IF(INDEX(_xlfn._xlws.FILTER(tblPiNHistorical[[CCCM]:[WASH]], tblPiNHistorical[Population Group]=I$5), 0, MATCH($Q$2, tblPiNHistorical[[#Headers],[CCCM]:[WASH]], 0))=$H48, 1, 0)))))</f>
        <v/>
      </c>
      <c r="J48" s="91" t="str" cm="1">
        <f t="array" ref="J48">IFERROR(IF(OR($H48="", J47=""), "", IF($H48=2, SUM(IF(INDEX(_xlfn._xlws.FILTER(tblPiNHistorical[[CCCM]:[WASH]], tblPiNHistorical[Population Group]=J$5), 0, MATCH($Q$2, tblPiNHistorical[[#Headers],[CCCM]:[WASH]], 0))&gt;1.9, 1, 0)), IF(SUM(IF(INDEX(_xlfn._xlws.FILTER(tblPiNHistorical[[CCCM]:[WASH]], tblPiNHistorical[Population Group]=J$5), 0, MATCH($Q$2, tblPiNHistorical[[#Headers],[CCCM]:[WASH]], 0))=$H48, 1, 0))=0, "", SUM(IF(INDEX(_xlfn._xlws.FILTER(tblPiNHistorical[[CCCM]:[WASH]], tblPiNHistorical[Population Group]=J$5), 0, MATCH($Q$2, tblPiNHistorical[[#Headers],[CCCM]:[WASH]], 0))=$H48, 1, 0))))), "")</f>
        <v/>
      </c>
      <c r="K48" s="91" t="str" cm="1">
        <f t="array" ref="K48">IFERROR(IF(OR($H48="", K47=""), "", IF($H48=2, SUM(IF(INDEX(_xlfn._xlws.FILTER(tblPiNHistorical[[CCCM]:[WASH]], tblPiNHistorical[CCCM - old]=K$5), 0, MATCH($Q$2, tblPiNHistorical[[#Headers],[CCCM]:[WASH]], 0))&gt;1.9, 1, 0)), IF(SUM(IF(INDEX(_xlfn._xlws.FILTER(tblPiNHistorical[[CCCM]:[WASH]], tblPiNHistorical[CCCM - old]=K$5), 0, MATCH($Q$2, tblPiNHistorical[[#Headers],[CCCM]:[WASH]], 0))=$H48, 1, 0))=0, "", SUM(IF(INDEX(_xlfn._xlws.FILTER(tblPiNHistorical[[CCCM]:[WASH]], tblPiNHistorical[CCCM - old]=K$5), 0, MATCH($Q$2, tblPiNHistorical[[#Headers],[CCCM]:[WASH]], 0))=$H48, 1, 0))))), "")</f>
        <v/>
      </c>
      <c r="L48" s="91" t="str" cm="1">
        <f t="array" ref="L48">IFERROR(IF(OR($H48="", L47=""), "", IF($H48=2, SUM(IF(INDEX(_xlfn._xlws.FILTER(tblPiNHistorical[[CCCM]:[WASH]],#REF!= L$5), 0, MATCH($Q$2, tblPiNHistorical[[#Headers],[CCCM]:[WASH]], 0))&gt;1.9, 1, 0)), IF(SUM(IF(INDEX(_xlfn._xlws.FILTER(tblPiNHistorical[[CCCM]:[WASH]],#REF!= L$5), 0, MATCH($Q$2, tblPiNHistorical[[#Headers],[CCCM]:[WASH]], 0))=$H48, 1, 0))=0, "", SUM(IF(INDEX(_xlfn._xlws.FILTER(tblPiNHistorical[[CCCM]:[WASH]],#REF!= L$5), 0, MATCH($Q$2, tblPiNHistorical[[#Headers],[CCCM]:[WASH]], 0))=$H48, 1, 0))))), "")</f>
        <v/>
      </c>
      <c r="M48" s="91" t="str" cm="1">
        <f t="array" ref="M48">IFERROR(IF(OR($H48="", M47=""), "", IF($H48=2, SUM(IF(INDEX(_xlfn._xlws.FILTER(tblPiNHistorical[[CCCM]:[WASH]],#REF!= M$5), 0, MATCH($Q$2, tblPiNHistorical[[#Headers],[CCCM]:[WASH]], 0))&gt;1.9, 1, 0)), IF(SUM(IF(INDEX(_xlfn._xlws.FILTER(tblPiNHistorical[[CCCM]:[WASH]],#REF!= M$5), 0, MATCH($Q$2, tblPiNHistorical[[#Headers],[CCCM]:[WASH]], 0))=$H48, 1, 0))=0, "", SUM(IF(INDEX(_xlfn._xlws.FILTER(tblPiNHistorical[[CCCM]:[WASH]],#REF!= M$5), 0, MATCH($Q$2, tblPiNHistorical[[#Headers],[CCCM]:[WASH]], 0))=$H48, 1, 0))))), "")</f>
        <v/>
      </c>
    </row>
    <row r="49" spans="1:13">
      <c r="A49" s="93"/>
      <c r="B49" s="91" t="str" cm="1">
        <f t="array" ref="B49">IF($A49="", "", IF(SUM(IF(INDEX(_xlfn._xlws.FILTER(tblPiNAnalysis[[CCCM%]:[WASH%]], tblPiNAnalysis[Population Group]=B$5), 0, MATCH(_xlfn.CONCAT($Q$2, "%"), tblPiNAnalysis[[#Headers],[CCCM%]:[WASH%]], 0))=$A49, 1, 0))=0, "",SUM(IF(INDEX(_xlfn._xlws.FILTER(tblPiNAnalysis[[CCCM%]:[WASH%]], tblPiNAnalysis[Population Group]=B$5), 0, MATCH(_xlfn.CONCAT($Q$2, "%"), tblPiNAnalysis[[#Headers],[CCCM%]:[WASH%]], 0))=$A49, 1, 0))))</f>
        <v/>
      </c>
      <c r="C49" s="91" t="str" cm="1">
        <f t="array" ref="C49">IFERROR(IF(OR($A49="", C$5=""), "", IF(SUM(IF(INDEX(_xlfn._xlws.FILTER(tblPiNAnalysis[[CCCM%]:[WASH%]], tblPiNAnalysis[Population Group]=C$5), 0, MATCH(_xlfn.CONCAT($Q$2, "%"), tblPiNAnalysis[[#Headers],[CCCM%]:[WASH%]], 0))=$A49, 1, 0))=0, "",SUM(IF(INDEX(_xlfn._xlws.FILTER(tblPiNAnalysis[[CCCM%]:[WASH%]], tblPiNAnalysis[Population Group]=C$5), 0, MATCH(_xlfn.CONCAT($Q$2, "%"), tblPiNAnalysis[[#Headers],[CCCM%]:[WASH%]], 0))=$A49, 1, 0)))), "")</f>
        <v/>
      </c>
      <c r="D49" s="91" t="str" cm="1">
        <f t="array" ref="D49">IFERROR(IF(OR($A49="", D$5=""), "", IF(SUM(IF(INDEX(_xlfn._xlws.FILTER(tblPiNAnalysis[[CCCM%]:[WASH%]], tblPiNAnalysis[Population Group]=D$5), 0, MATCH(_xlfn.CONCAT($Q$2, "%"), tblPiNAnalysis[[#Headers],[CCCM%]:[WASH%]], 0))=$A49, 1, 0))=0, "",SUM(IF(INDEX(_xlfn._xlws.FILTER(tblPiNAnalysis[[CCCM%]:[WASH%]], tblPiNAnalysis[Population Group]=D$5), 0, MATCH(_xlfn.CONCAT($Q$2, "%"), tblPiNAnalysis[[#Headers],[CCCM%]:[WASH%]], 0))=$A49, 1, 0)))), "")</f>
        <v/>
      </c>
      <c r="E49" s="91" t="str" cm="1">
        <f t="array" ref="E49">IFERROR(IF(OR($A49="", E$5=""), "", IF(SUM(IF(INDEX(_xlfn._xlws.FILTER(tblPiNAnalysis[[CCCM%]:[WASH%]], tblPiNAnalysis[Population Group]=E$5), 0, MATCH(_xlfn.CONCAT($Q$2, "%"), tblPiNAnalysis[[#Headers],[CCCM%]:[WASH%]], 0))=$A49, 1, 0))=0, "",SUM(IF(INDEX(_xlfn._xlws.FILTER(tblPiNAnalysis[[CCCM%]:[WASH%]], tblPiNAnalysis[Population Group]=E$5), 0, MATCH(_xlfn.CONCAT($Q$2, "%"), tblPiNAnalysis[[#Headers],[CCCM%]:[WASH%]], 0))=$A49, 1, 0)))), "")</f>
        <v/>
      </c>
      <c r="F49" s="91" t="str" cm="1">
        <f t="array" ref="F49">IFERROR(IF(OR($A49="", F$5=""), "", IF(SUM(IF(INDEX(_xlfn._xlws.FILTER(tblPiNAnalysis[[CCCM%]:[WASH%]], tblPiNAnalysis[CCCM]=F$5), 0, MATCH(_xlfn.CONCAT($Q$2, "%"), tblPiNAnalysis[[#Headers],[CCCM%]:[WASH%]], 0))=$A49, 1, 0))=0, "",SUM(IF(INDEX(_xlfn._xlws.FILTER(tblPiNAnalysis[[CCCM%]:[WASH%]], tblPiNAnalysis[CCCM]=F$5), 0, MATCH(_xlfn.CONCAT($Q$2, "%"), tblPiNAnalysis[[#Headers],[CCCM%]:[WASH%]], 0))=$A49, 1, 0)))), "")</f>
        <v/>
      </c>
      <c r="H49" s="93"/>
      <c r="I49" s="91" t="str" cm="1">
        <f t="array" ref="I49">IF($H49="", "", IF($H49=2, SUM(IF(INDEX(_xlfn._xlws.FILTER(tblPiNHistorical[[CCCM]:[WASH]], tblPiNHistorical[Population Group]=I$5), 0, MATCH($Q$2, tblPiNHistorical[[#Headers],[CCCM]:[WASH]], 0))&gt;1.9, 1, 0)), IF(SUM(IF(INDEX(_xlfn._xlws.FILTER(tblPiNHistorical[[CCCM]:[WASH]], tblPiNHistorical[Population Group]=I$5), 0, MATCH($Q$2, tblPiNHistorical[[#Headers],[CCCM]:[WASH]], 0))=$H49, 1, 0))=0, "", SUM(IF(INDEX(_xlfn._xlws.FILTER(tblPiNHistorical[[CCCM]:[WASH]], tblPiNHistorical[Population Group]=I$5), 0, MATCH($Q$2, tblPiNHistorical[[#Headers],[CCCM]:[WASH]], 0))=$H49, 1, 0)))))</f>
        <v/>
      </c>
      <c r="J49" s="91" t="str" cm="1">
        <f t="array" ref="J49">IFERROR(IF(OR($H49="", J48=""), "", IF($H49=2, SUM(IF(INDEX(_xlfn._xlws.FILTER(tblPiNHistorical[[CCCM]:[WASH]], tblPiNHistorical[Population Group]=J$5), 0, MATCH($Q$2, tblPiNHistorical[[#Headers],[CCCM]:[WASH]], 0))&gt;1.9, 1, 0)), IF(SUM(IF(INDEX(_xlfn._xlws.FILTER(tblPiNHistorical[[CCCM]:[WASH]], tblPiNHistorical[Population Group]=J$5), 0, MATCH($Q$2, tblPiNHistorical[[#Headers],[CCCM]:[WASH]], 0))=$H49, 1, 0))=0, "", SUM(IF(INDEX(_xlfn._xlws.FILTER(tblPiNHistorical[[CCCM]:[WASH]], tblPiNHistorical[Population Group]=J$5), 0, MATCH($Q$2, tblPiNHistorical[[#Headers],[CCCM]:[WASH]], 0))=$H49, 1, 0))))), "")</f>
        <v/>
      </c>
      <c r="K49" s="91" t="str" cm="1">
        <f t="array" ref="K49">IFERROR(IF(OR($H49="", K48=""), "", IF($H49=2, SUM(IF(INDEX(_xlfn._xlws.FILTER(tblPiNHistorical[[CCCM]:[WASH]], tblPiNHistorical[CCCM - old]=K$5), 0, MATCH($Q$2, tblPiNHistorical[[#Headers],[CCCM]:[WASH]], 0))&gt;1.9, 1, 0)), IF(SUM(IF(INDEX(_xlfn._xlws.FILTER(tblPiNHistorical[[CCCM]:[WASH]], tblPiNHistorical[CCCM - old]=K$5), 0, MATCH($Q$2, tblPiNHistorical[[#Headers],[CCCM]:[WASH]], 0))=$H49, 1, 0))=0, "", SUM(IF(INDEX(_xlfn._xlws.FILTER(tblPiNHistorical[[CCCM]:[WASH]], tblPiNHistorical[CCCM - old]=K$5), 0, MATCH($Q$2, tblPiNHistorical[[#Headers],[CCCM]:[WASH]], 0))=$H49, 1, 0))))), "")</f>
        <v/>
      </c>
      <c r="L49" s="91" t="str" cm="1">
        <f t="array" ref="L49">IFERROR(IF(OR($H49="", L48=""), "", IF($H49=2, SUM(IF(INDEX(_xlfn._xlws.FILTER(tblPiNHistorical[[CCCM]:[WASH]],#REF!= L$5), 0, MATCH($Q$2, tblPiNHistorical[[#Headers],[CCCM]:[WASH]], 0))&gt;1.9, 1, 0)), IF(SUM(IF(INDEX(_xlfn._xlws.FILTER(tblPiNHistorical[[CCCM]:[WASH]],#REF!= L$5), 0, MATCH($Q$2, tblPiNHistorical[[#Headers],[CCCM]:[WASH]], 0))=$H49, 1, 0))=0, "", SUM(IF(INDEX(_xlfn._xlws.FILTER(tblPiNHistorical[[CCCM]:[WASH]],#REF!= L$5), 0, MATCH($Q$2, tblPiNHistorical[[#Headers],[CCCM]:[WASH]], 0))=$H49, 1, 0))))), "")</f>
        <v/>
      </c>
      <c r="M49" s="91" t="str" cm="1">
        <f t="array" ref="M49">IFERROR(IF(OR($H49="", M48=""), "", IF($H49=2, SUM(IF(INDEX(_xlfn._xlws.FILTER(tblPiNHistorical[[CCCM]:[WASH]],#REF!= M$5), 0, MATCH($Q$2, tblPiNHistorical[[#Headers],[CCCM]:[WASH]], 0))&gt;1.9, 1, 0)), IF(SUM(IF(INDEX(_xlfn._xlws.FILTER(tblPiNHistorical[[CCCM]:[WASH]],#REF!= M$5), 0, MATCH($Q$2, tblPiNHistorical[[#Headers],[CCCM]:[WASH]], 0))=$H49, 1, 0))=0, "", SUM(IF(INDEX(_xlfn._xlws.FILTER(tblPiNHistorical[[CCCM]:[WASH]],#REF!= M$5), 0, MATCH($Q$2, tblPiNHistorical[[#Headers],[CCCM]:[WASH]], 0))=$H49, 1, 0))))), "")</f>
        <v/>
      </c>
    </row>
    <row r="50" spans="1:13">
      <c r="A50" s="93"/>
      <c r="B50" s="91" t="str" cm="1">
        <f t="array" ref="B50">IF($A50="", "", IF(SUM(IF(INDEX(_xlfn._xlws.FILTER(tblPiNAnalysis[[CCCM%]:[WASH%]], tblPiNAnalysis[Population Group]=B$5), 0, MATCH(_xlfn.CONCAT($Q$2, "%"), tblPiNAnalysis[[#Headers],[CCCM%]:[WASH%]], 0))=$A50, 1, 0))=0, "",SUM(IF(INDEX(_xlfn._xlws.FILTER(tblPiNAnalysis[[CCCM%]:[WASH%]], tblPiNAnalysis[Population Group]=B$5), 0, MATCH(_xlfn.CONCAT($Q$2, "%"), tblPiNAnalysis[[#Headers],[CCCM%]:[WASH%]], 0))=$A50, 1, 0))))</f>
        <v/>
      </c>
      <c r="C50" s="91" t="str" cm="1">
        <f t="array" ref="C50">IFERROR(IF(OR($A50="", C$5=""), "", IF(SUM(IF(INDEX(_xlfn._xlws.FILTER(tblPiNAnalysis[[CCCM%]:[WASH%]], tblPiNAnalysis[Population Group]=C$5), 0, MATCH(_xlfn.CONCAT($Q$2, "%"), tblPiNAnalysis[[#Headers],[CCCM%]:[WASH%]], 0))=$A50, 1, 0))=0, "",SUM(IF(INDEX(_xlfn._xlws.FILTER(tblPiNAnalysis[[CCCM%]:[WASH%]], tblPiNAnalysis[Population Group]=C$5), 0, MATCH(_xlfn.CONCAT($Q$2, "%"), tblPiNAnalysis[[#Headers],[CCCM%]:[WASH%]], 0))=$A50, 1, 0)))), "")</f>
        <v/>
      </c>
      <c r="D50" s="91" t="str" cm="1">
        <f t="array" ref="D50">IFERROR(IF(OR($A50="", D$5=""), "", IF(SUM(IF(INDEX(_xlfn._xlws.FILTER(tblPiNAnalysis[[CCCM%]:[WASH%]], tblPiNAnalysis[Population Group]=D$5), 0, MATCH(_xlfn.CONCAT($Q$2, "%"), tblPiNAnalysis[[#Headers],[CCCM%]:[WASH%]], 0))=$A50, 1, 0))=0, "",SUM(IF(INDEX(_xlfn._xlws.FILTER(tblPiNAnalysis[[CCCM%]:[WASH%]], tblPiNAnalysis[Population Group]=D$5), 0, MATCH(_xlfn.CONCAT($Q$2, "%"), tblPiNAnalysis[[#Headers],[CCCM%]:[WASH%]], 0))=$A50, 1, 0)))), "")</f>
        <v/>
      </c>
      <c r="E50" s="91" t="str" cm="1">
        <f t="array" ref="E50">IFERROR(IF(OR($A50="", E$5=""), "", IF(SUM(IF(INDEX(_xlfn._xlws.FILTER(tblPiNAnalysis[[CCCM%]:[WASH%]], tblPiNAnalysis[Population Group]=E$5), 0, MATCH(_xlfn.CONCAT($Q$2, "%"), tblPiNAnalysis[[#Headers],[CCCM%]:[WASH%]], 0))=$A50, 1, 0))=0, "",SUM(IF(INDEX(_xlfn._xlws.FILTER(tblPiNAnalysis[[CCCM%]:[WASH%]], tblPiNAnalysis[Population Group]=E$5), 0, MATCH(_xlfn.CONCAT($Q$2, "%"), tblPiNAnalysis[[#Headers],[CCCM%]:[WASH%]], 0))=$A50, 1, 0)))), "")</f>
        <v/>
      </c>
      <c r="F50" s="91" t="str" cm="1">
        <f t="array" ref="F50">IFERROR(IF(OR($A50="", F$5=""), "", IF(SUM(IF(INDEX(_xlfn._xlws.FILTER(tblPiNAnalysis[[CCCM%]:[WASH%]], tblPiNAnalysis[CCCM]=F$5), 0, MATCH(_xlfn.CONCAT($Q$2, "%"), tblPiNAnalysis[[#Headers],[CCCM%]:[WASH%]], 0))=$A50, 1, 0))=0, "",SUM(IF(INDEX(_xlfn._xlws.FILTER(tblPiNAnalysis[[CCCM%]:[WASH%]], tblPiNAnalysis[CCCM]=F$5), 0, MATCH(_xlfn.CONCAT($Q$2, "%"), tblPiNAnalysis[[#Headers],[CCCM%]:[WASH%]], 0))=$A50, 1, 0)))), "")</f>
        <v/>
      </c>
      <c r="H50" s="93"/>
      <c r="I50" s="91" t="str" cm="1">
        <f t="array" ref="I50">IF($H50="", "", IF($H50=2, SUM(IF(INDEX(_xlfn._xlws.FILTER(tblPiNHistorical[[CCCM]:[WASH]], tblPiNHistorical[Population Group]=I$5), 0, MATCH($Q$2, tblPiNHistorical[[#Headers],[CCCM]:[WASH]], 0))&gt;1.9, 1, 0)), IF(SUM(IF(INDEX(_xlfn._xlws.FILTER(tblPiNHistorical[[CCCM]:[WASH]], tblPiNHistorical[Population Group]=I$5), 0, MATCH($Q$2, tblPiNHistorical[[#Headers],[CCCM]:[WASH]], 0))=$H50, 1, 0))=0, "", SUM(IF(INDEX(_xlfn._xlws.FILTER(tblPiNHistorical[[CCCM]:[WASH]], tblPiNHistorical[Population Group]=I$5), 0, MATCH($Q$2, tblPiNHistorical[[#Headers],[CCCM]:[WASH]], 0))=$H50, 1, 0)))))</f>
        <v/>
      </c>
      <c r="J50" s="91" t="str" cm="1">
        <f t="array" ref="J50">IFERROR(IF(OR($H50="", J49=""), "", IF($H50=2, SUM(IF(INDEX(_xlfn._xlws.FILTER(tblPiNHistorical[[CCCM]:[WASH]], tblPiNHistorical[Population Group]=J$5), 0, MATCH($Q$2, tblPiNHistorical[[#Headers],[CCCM]:[WASH]], 0))&gt;1.9, 1, 0)), IF(SUM(IF(INDEX(_xlfn._xlws.FILTER(tblPiNHistorical[[CCCM]:[WASH]], tblPiNHistorical[Population Group]=J$5), 0, MATCH($Q$2, tblPiNHistorical[[#Headers],[CCCM]:[WASH]], 0))=$H50, 1, 0))=0, "", SUM(IF(INDEX(_xlfn._xlws.FILTER(tblPiNHistorical[[CCCM]:[WASH]], tblPiNHistorical[Population Group]=J$5), 0, MATCH($Q$2, tblPiNHistorical[[#Headers],[CCCM]:[WASH]], 0))=$H50, 1, 0))))), "")</f>
        <v/>
      </c>
      <c r="K50" s="91" t="str" cm="1">
        <f t="array" ref="K50">IFERROR(IF(OR($H50="", K49=""), "", IF($H50=2, SUM(IF(INDEX(_xlfn._xlws.FILTER(tblPiNHistorical[[CCCM]:[WASH]], tblPiNHistorical[CCCM - old]=K$5), 0, MATCH($Q$2, tblPiNHistorical[[#Headers],[CCCM]:[WASH]], 0))&gt;1.9, 1, 0)), IF(SUM(IF(INDEX(_xlfn._xlws.FILTER(tblPiNHistorical[[CCCM]:[WASH]], tblPiNHistorical[CCCM - old]=K$5), 0, MATCH($Q$2, tblPiNHistorical[[#Headers],[CCCM]:[WASH]], 0))=$H50, 1, 0))=0, "", SUM(IF(INDEX(_xlfn._xlws.FILTER(tblPiNHistorical[[CCCM]:[WASH]], tblPiNHistorical[CCCM - old]=K$5), 0, MATCH($Q$2, tblPiNHistorical[[#Headers],[CCCM]:[WASH]], 0))=$H50, 1, 0))))), "")</f>
        <v/>
      </c>
      <c r="L50" s="91" t="str" cm="1">
        <f t="array" ref="L50">IFERROR(IF(OR($H50="", L49=""), "", IF($H50=2, SUM(IF(INDEX(_xlfn._xlws.FILTER(tblPiNHistorical[[CCCM]:[WASH]],#REF!= L$5), 0, MATCH($Q$2, tblPiNHistorical[[#Headers],[CCCM]:[WASH]], 0))&gt;1.9, 1, 0)), IF(SUM(IF(INDEX(_xlfn._xlws.FILTER(tblPiNHistorical[[CCCM]:[WASH]],#REF!= L$5), 0, MATCH($Q$2, tblPiNHistorical[[#Headers],[CCCM]:[WASH]], 0))=$H50, 1, 0))=0, "", SUM(IF(INDEX(_xlfn._xlws.FILTER(tblPiNHistorical[[CCCM]:[WASH]],#REF!= L$5), 0, MATCH($Q$2, tblPiNHistorical[[#Headers],[CCCM]:[WASH]], 0))=$H50, 1, 0))))), "")</f>
        <v/>
      </c>
      <c r="M50" s="91" t="str" cm="1">
        <f t="array" ref="M50">IFERROR(IF(OR($H50="", M49=""), "", IF($H50=2, SUM(IF(INDEX(_xlfn._xlws.FILTER(tblPiNHistorical[[CCCM]:[WASH]],#REF!= M$5), 0, MATCH($Q$2, tblPiNHistorical[[#Headers],[CCCM]:[WASH]], 0))&gt;1.9, 1, 0)), IF(SUM(IF(INDEX(_xlfn._xlws.FILTER(tblPiNHistorical[[CCCM]:[WASH]],#REF!= M$5), 0, MATCH($Q$2, tblPiNHistorical[[#Headers],[CCCM]:[WASH]], 0))=$H50, 1, 0))=0, "", SUM(IF(INDEX(_xlfn._xlws.FILTER(tblPiNHistorical[[CCCM]:[WASH]],#REF!= M$5), 0, MATCH($Q$2, tblPiNHistorical[[#Headers],[CCCM]:[WASH]], 0))=$H50, 1, 0))))), "")</f>
        <v/>
      </c>
    </row>
    <row r="51" spans="1:13">
      <c r="A51" s="93"/>
      <c r="B51" s="91" t="str" cm="1">
        <f t="array" ref="B51">IF($A51="", "", IF(SUM(IF(INDEX(_xlfn._xlws.FILTER(tblPiNAnalysis[[CCCM%]:[WASH%]], tblPiNAnalysis[Population Group]=B$5), 0, MATCH(_xlfn.CONCAT($Q$2, "%"), tblPiNAnalysis[[#Headers],[CCCM%]:[WASH%]], 0))=$A51, 1, 0))=0, "",SUM(IF(INDEX(_xlfn._xlws.FILTER(tblPiNAnalysis[[CCCM%]:[WASH%]], tblPiNAnalysis[Population Group]=B$5), 0, MATCH(_xlfn.CONCAT($Q$2, "%"), tblPiNAnalysis[[#Headers],[CCCM%]:[WASH%]], 0))=$A51, 1, 0))))</f>
        <v/>
      </c>
      <c r="C51" s="91" t="str" cm="1">
        <f t="array" ref="C51">IFERROR(IF(OR($A51="", C$5=""), "", IF(SUM(IF(INDEX(_xlfn._xlws.FILTER(tblPiNAnalysis[[CCCM%]:[WASH%]], tblPiNAnalysis[Population Group]=C$5), 0, MATCH(_xlfn.CONCAT($Q$2, "%"), tblPiNAnalysis[[#Headers],[CCCM%]:[WASH%]], 0))=$A51, 1, 0))=0, "",SUM(IF(INDEX(_xlfn._xlws.FILTER(tblPiNAnalysis[[CCCM%]:[WASH%]], tblPiNAnalysis[Population Group]=C$5), 0, MATCH(_xlfn.CONCAT($Q$2, "%"), tblPiNAnalysis[[#Headers],[CCCM%]:[WASH%]], 0))=$A51, 1, 0)))), "")</f>
        <v/>
      </c>
      <c r="D51" s="91" t="str" cm="1">
        <f t="array" ref="D51">IFERROR(IF(OR($A51="", D$5=""), "", IF(SUM(IF(INDEX(_xlfn._xlws.FILTER(tblPiNAnalysis[[CCCM%]:[WASH%]], tblPiNAnalysis[Population Group]=D$5), 0, MATCH(_xlfn.CONCAT($Q$2, "%"), tblPiNAnalysis[[#Headers],[CCCM%]:[WASH%]], 0))=$A51, 1, 0))=0, "",SUM(IF(INDEX(_xlfn._xlws.FILTER(tblPiNAnalysis[[CCCM%]:[WASH%]], tblPiNAnalysis[Population Group]=D$5), 0, MATCH(_xlfn.CONCAT($Q$2, "%"), tblPiNAnalysis[[#Headers],[CCCM%]:[WASH%]], 0))=$A51, 1, 0)))), "")</f>
        <v/>
      </c>
      <c r="E51" s="91" t="str" cm="1">
        <f t="array" ref="E51">IFERROR(IF(OR($A51="", E$5=""), "", IF(SUM(IF(INDEX(_xlfn._xlws.FILTER(tblPiNAnalysis[[CCCM%]:[WASH%]], tblPiNAnalysis[Population Group]=E$5), 0, MATCH(_xlfn.CONCAT($Q$2, "%"), tblPiNAnalysis[[#Headers],[CCCM%]:[WASH%]], 0))=$A51, 1, 0))=0, "",SUM(IF(INDEX(_xlfn._xlws.FILTER(tblPiNAnalysis[[CCCM%]:[WASH%]], tblPiNAnalysis[Population Group]=E$5), 0, MATCH(_xlfn.CONCAT($Q$2, "%"), tblPiNAnalysis[[#Headers],[CCCM%]:[WASH%]], 0))=$A51, 1, 0)))), "")</f>
        <v/>
      </c>
      <c r="F51" s="91" t="str" cm="1">
        <f t="array" ref="F51">IFERROR(IF(OR($A51="", F$5=""), "", IF(SUM(IF(INDEX(_xlfn._xlws.FILTER(tblPiNAnalysis[[CCCM%]:[WASH%]], tblPiNAnalysis[CCCM]=F$5), 0, MATCH(_xlfn.CONCAT($Q$2, "%"), tblPiNAnalysis[[#Headers],[CCCM%]:[WASH%]], 0))=$A51, 1, 0))=0, "",SUM(IF(INDEX(_xlfn._xlws.FILTER(tblPiNAnalysis[[CCCM%]:[WASH%]], tblPiNAnalysis[CCCM]=F$5), 0, MATCH(_xlfn.CONCAT($Q$2, "%"), tblPiNAnalysis[[#Headers],[CCCM%]:[WASH%]], 0))=$A51, 1, 0)))), "")</f>
        <v/>
      </c>
      <c r="H51" s="93"/>
      <c r="I51" s="91" t="str" cm="1">
        <f t="array" ref="I51">IF($H51="", "", IF($H51=2, SUM(IF(INDEX(_xlfn._xlws.FILTER(tblPiNHistorical[[CCCM]:[WASH]], tblPiNHistorical[Population Group]=I$5), 0, MATCH($Q$2, tblPiNHistorical[[#Headers],[CCCM]:[WASH]], 0))&gt;1.9, 1, 0)), IF(SUM(IF(INDEX(_xlfn._xlws.FILTER(tblPiNHistorical[[CCCM]:[WASH]], tblPiNHistorical[Population Group]=I$5), 0, MATCH($Q$2, tblPiNHistorical[[#Headers],[CCCM]:[WASH]], 0))=$H51, 1, 0))=0, "", SUM(IF(INDEX(_xlfn._xlws.FILTER(tblPiNHistorical[[CCCM]:[WASH]], tblPiNHistorical[Population Group]=I$5), 0, MATCH($Q$2, tblPiNHistorical[[#Headers],[CCCM]:[WASH]], 0))=$H51, 1, 0)))))</f>
        <v/>
      </c>
      <c r="J51" s="91" t="str" cm="1">
        <f t="array" ref="J51">IFERROR(IF(OR($H51="", J50=""), "", IF($H51=2, SUM(IF(INDEX(_xlfn._xlws.FILTER(tblPiNHistorical[[CCCM]:[WASH]], tblPiNHistorical[Population Group]=J$5), 0, MATCH($Q$2, tblPiNHistorical[[#Headers],[CCCM]:[WASH]], 0))&gt;1.9, 1, 0)), IF(SUM(IF(INDEX(_xlfn._xlws.FILTER(tblPiNHistorical[[CCCM]:[WASH]], tblPiNHistorical[Population Group]=J$5), 0, MATCH($Q$2, tblPiNHistorical[[#Headers],[CCCM]:[WASH]], 0))=$H51, 1, 0))=0, "", SUM(IF(INDEX(_xlfn._xlws.FILTER(tblPiNHistorical[[CCCM]:[WASH]], tblPiNHistorical[Population Group]=J$5), 0, MATCH($Q$2, tblPiNHistorical[[#Headers],[CCCM]:[WASH]], 0))=$H51, 1, 0))))), "")</f>
        <v/>
      </c>
      <c r="K51" s="91" t="str" cm="1">
        <f t="array" ref="K51">IFERROR(IF(OR($H51="", K50=""), "", IF($H51=2, SUM(IF(INDEX(_xlfn._xlws.FILTER(tblPiNHistorical[[CCCM]:[WASH]], tblPiNHistorical[CCCM - old]=K$5), 0, MATCH($Q$2, tblPiNHistorical[[#Headers],[CCCM]:[WASH]], 0))&gt;1.9, 1, 0)), IF(SUM(IF(INDEX(_xlfn._xlws.FILTER(tblPiNHistorical[[CCCM]:[WASH]], tblPiNHistorical[CCCM - old]=K$5), 0, MATCH($Q$2, tblPiNHistorical[[#Headers],[CCCM]:[WASH]], 0))=$H51, 1, 0))=0, "", SUM(IF(INDEX(_xlfn._xlws.FILTER(tblPiNHistorical[[CCCM]:[WASH]], tblPiNHistorical[CCCM - old]=K$5), 0, MATCH($Q$2, tblPiNHistorical[[#Headers],[CCCM]:[WASH]], 0))=$H51, 1, 0))))), "")</f>
        <v/>
      </c>
      <c r="L51" s="91" t="str" cm="1">
        <f t="array" ref="L51">IFERROR(IF(OR($H51="", L50=""), "", IF($H51=2, SUM(IF(INDEX(_xlfn._xlws.FILTER(tblPiNHistorical[[CCCM]:[WASH]],#REF!= L$5), 0, MATCH($Q$2, tblPiNHistorical[[#Headers],[CCCM]:[WASH]], 0))&gt;1.9, 1, 0)), IF(SUM(IF(INDEX(_xlfn._xlws.FILTER(tblPiNHistorical[[CCCM]:[WASH]],#REF!= L$5), 0, MATCH($Q$2, tblPiNHistorical[[#Headers],[CCCM]:[WASH]], 0))=$H51, 1, 0))=0, "", SUM(IF(INDEX(_xlfn._xlws.FILTER(tblPiNHistorical[[CCCM]:[WASH]],#REF!= L$5), 0, MATCH($Q$2, tblPiNHistorical[[#Headers],[CCCM]:[WASH]], 0))=$H51, 1, 0))))), "")</f>
        <v/>
      </c>
      <c r="M51" s="91" t="str" cm="1">
        <f t="array" ref="M51">IFERROR(IF(OR($H51="", M50=""), "", IF($H51=2, SUM(IF(INDEX(_xlfn._xlws.FILTER(tblPiNHistorical[[CCCM]:[WASH]],#REF!= M$5), 0, MATCH($Q$2, tblPiNHistorical[[#Headers],[CCCM]:[WASH]], 0))&gt;1.9, 1, 0)), IF(SUM(IF(INDEX(_xlfn._xlws.FILTER(tblPiNHistorical[[CCCM]:[WASH]],#REF!= M$5), 0, MATCH($Q$2, tblPiNHistorical[[#Headers],[CCCM]:[WASH]], 0))=$H51, 1, 0))=0, "", SUM(IF(INDEX(_xlfn._xlws.FILTER(tblPiNHistorical[[CCCM]:[WASH]],#REF!= M$5), 0, MATCH($Q$2, tblPiNHistorical[[#Headers],[CCCM]:[WASH]], 0))=$H51, 1, 0))))), "")</f>
        <v/>
      </c>
    </row>
    <row r="52" spans="1:13">
      <c r="A52" s="93"/>
      <c r="B52" s="91" t="str" cm="1">
        <f t="array" ref="B52">IF($A52="", "", IF(SUM(IF(INDEX(_xlfn._xlws.FILTER(tblPiNAnalysis[[CCCM%]:[WASH%]], tblPiNAnalysis[Population Group]=B$5), 0, MATCH(_xlfn.CONCAT($Q$2, "%"), tblPiNAnalysis[[#Headers],[CCCM%]:[WASH%]], 0))=$A52, 1, 0))=0, "",SUM(IF(INDEX(_xlfn._xlws.FILTER(tblPiNAnalysis[[CCCM%]:[WASH%]], tblPiNAnalysis[Population Group]=B$5), 0, MATCH(_xlfn.CONCAT($Q$2, "%"), tblPiNAnalysis[[#Headers],[CCCM%]:[WASH%]], 0))=$A52, 1, 0))))</f>
        <v/>
      </c>
      <c r="C52" s="91" t="str" cm="1">
        <f t="array" ref="C52">IFERROR(IF(OR($A52="", C$5=""), "", IF(SUM(IF(INDEX(_xlfn._xlws.FILTER(tblPiNAnalysis[[CCCM%]:[WASH%]], tblPiNAnalysis[Population Group]=C$5), 0, MATCH(_xlfn.CONCAT($Q$2, "%"), tblPiNAnalysis[[#Headers],[CCCM%]:[WASH%]], 0))=$A52, 1, 0))=0, "",SUM(IF(INDEX(_xlfn._xlws.FILTER(tblPiNAnalysis[[CCCM%]:[WASH%]], tblPiNAnalysis[Population Group]=C$5), 0, MATCH(_xlfn.CONCAT($Q$2, "%"), tblPiNAnalysis[[#Headers],[CCCM%]:[WASH%]], 0))=$A52, 1, 0)))), "")</f>
        <v/>
      </c>
      <c r="D52" s="91" t="str" cm="1">
        <f t="array" ref="D52">IFERROR(IF(OR($A52="", D$5=""), "", IF(SUM(IF(INDEX(_xlfn._xlws.FILTER(tblPiNAnalysis[[CCCM%]:[WASH%]], tblPiNAnalysis[Population Group]=D$5), 0, MATCH(_xlfn.CONCAT($Q$2, "%"), tblPiNAnalysis[[#Headers],[CCCM%]:[WASH%]], 0))=$A52, 1, 0))=0, "",SUM(IF(INDEX(_xlfn._xlws.FILTER(tblPiNAnalysis[[CCCM%]:[WASH%]], tblPiNAnalysis[Population Group]=D$5), 0, MATCH(_xlfn.CONCAT($Q$2, "%"), tblPiNAnalysis[[#Headers],[CCCM%]:[WASH%]], 0))=$A52, 1, 0)))), "")</f>
        <v/>
      </c>
      <c r="E52" s="91" t="str" cm="1">
        <f t="array" ref="E52">IFERROR(IF(OR($A52="", E$5=""), "", IF(SUM(IF(INDEX(_xlfn._xlws.FILTER(tblPiNAnalysis[[CCCM%]:[WASH%]], tblPiNAnalysis[Population Group]=E$5), 0, MATCH(_xlfn.CONCAT($Q$2, "%"), tblPiNAnalysis[[#Headers],[CCCM%]:[WASH%]], 0))=$A52, 1, 0))=0, "",SUM(IF(INDEX(_xlfn._xlws.FILTER(tblPiNAnalysis[[CCCM%]:[WASH%]], tblPiNAnalysis[Population Group]=E$5), 0, MATCH(_xlfn.CONCAT($Q$2, "%"), tblPiNAnalysis[[#Headers],[CCCM%]:[WASH%]], 0))=$A52, 1, 0)))), "")</f>
        <v/>
      </c>
      <c r="F52" s="91" t="str" cm="1">
        <f t="array" ref="F52">IFERROR(IF(OR($A52="", F$5=""), "", IF(SUM(IF(INDEX(_xlfn._xlws.FILTER(tblPiNAnalysis[[CCCM%]:[WASH%]], tblPiNAnalysis[CCCM]=F$5), 0, MATCH(_xlfn.CONCAT($Q$2, "%"), tblPiNAnalysis[[#Headers],[CCCM%]:[WASH%]], 0))=$A52, 1, 0))=0, "",SUM(IF(INDEX(_xlfn._xlws.FILTER(tblPiNAnalysis[[CCCM%]:[WASH%]], tblPiNAnalysis[CCCM]=F$5), 0, MATCH(_xlfn.CONCAT($Q$2, "%"), tblPiNAnalysis[[#Headers],[CCCM%]:[WASH%]], 0))=$A52, 1, 0)))), "")</f>
        <v/>
      </c>
      <c r="H52" s="93"/>
      <c r="I52" s="91" t="str" cm="1">
        <f t="array" ref="I52">IF($H52="", "", IF($H52=2, SUM(IF(INDEX(_xlfn._xlws.FILTER(tblPiNHistorical[[CCCM]:[WASH]], tblPiNHistorical[Population Group]=I$5), 0, MATCH($Q$2, tblPiNHistorical[[#Headers],[CCCM]:[WASH]], 0))&gt;1.9, 1, 0)), IF(SUM(IF(INDEX(_xlfn._xlws.FILTER(tblPiNHistorical[[CCCM]:[WASH]], tblPiNHistorical[Population Group]=I$5), 0, MATCH($Q$2, tblPiNHistorical[[#Headers],[CCCM]:[WASH]], 0))=$H52, 1, 0))=0, "", SUM(IF(INDEX(_xlfn._xlws.FILTER(tblPiNHistorical[[CCCM]:[WASH]], tblPiNHistorical[Population Group]=I$5), 0, MATCH($Q$2, tblPiNHistorical[[#Headers],[CCCM]:[WASH]], 0))=$H52, 1, 0)))))</f>
        <v/>
      </c>
      <c r="J52" s="91" t="str" cm="1">
        <f t="array" ref="J52">IFERROR(IF(OR($H52="", J51=""), "", IF($H52=2, SUM(IF(INDEX(_xlfn._xlws.FILTER(tblPiNHistorical[[CCCM]:[WASH]], tblPiNHistorical[Population Group]=J$5), 0, MATCH($Q$2, tblPiNHistorical[[#Headers],[CCCM]:[WASH]], 0))&gt;1.9, 1, 0)), IF(SUM(IF(INDEX(_xlfn._xlws.FILTER(tblPiNHistorical[[CCCM]:[WASH]], tblPiNHistorical[Population Group]=J$5), 0, MATCH($Q$2, tblPiNHistorical[[#Headers],[CCCM]:[WASH]], 0))=$H52, 1, 0))=0, "", SUM(IF(INDEX(_xlfn._xlws.FILTER(tblPiNHistorical[[CCCM]:[WASH]], tblPiNHistorical[Population Group]=J$5), 0, MATCH($Q$2, tblPiNHistorical[[#Headers],[CCCM]:[WASH]], 0))=$H52, 1, 0))))), "")</f>
        <v/>
      </c>
      <c r="K52" s="91" t="str" cm="1">
        <f t="array" ref="K52">IFERROR(IF(OR($H52="", K51=""), "", IF($H52=2, SUM(IF(INDEX(_xlfn._xlws.FILTER(tblPiNHistorical[[CCCM]:[WASH]], tblPiNHistorical[CCCM - old]=K$5), 0, MATCH($Q$2, tblPiNHistorical[[#Headers],[CCCM]:[WASH]], 0))&gt;1.9, 1, 0)), IF(SUM(IF(INDEX(_xlfn._xlws.FILTER(tblPiNHistorical[[CCCM]:[WASH]], tblPiNHistorical[CCCM - old]=K$5), 0, MATCH($Q$2, tblPiNHistorical[[#Headers],[CCCM]:[WASH]], 0))=$H52, 1, 0))=0, "", SUM(IF(INDEX(_xlfn._xlws.FILTER(tblPiNHistorical[[CCCM]:[WASH]], tblPiNHistorical[CCCM - old]=K$5), 0, MATCH($Q$2, tblPiNHistorical[[#Headers],[CCCM]:[WASH]], 0))=$H52, 1, 0))))), "")</f>
        <v/>
      </c>
      <c r="L52" s="91" t="str" cm="1">
        <f t="array" ref="L52">IFERROR(IF(OR($H52="", L51=""), "", IF($H52=2, SUM(IF(INDEX(_xlfn._xlws.FILTER(tblPiNHistorical[[CCCM]:[WASH]],#REF!= L$5), 0, MATCH($Q$2, tblPiNHistorical[[#Headers],[CCCM]:[WASH]], 0))&gt;1.9, 1, 0)), IF(SUM(IF(INDEX(_xlfn._xlws.FILTER(tblPiNHistorical[[CCCM]:[WASH]],#REF!= L$5), 0, MATCH($Q$2, tblPiNHistorical[[#Headers],[CCCM]:[WASH]], 0))=$H52, 1, 0))=0, "", SUM(IF(INDEX(_xlfn._xlws.FILTER(tblPiNHistorical[[CCCM]:[WASH]],#REF!= L$5), 0, MATCH($Q$2, tblPiNHistorical[[#Headers],[CCCM]:[WASH]], 0))=$H52, 1, 0))))), "")</f>
        <v/>
      </c>
      <c r="M52" s="91" t="str" cm="1">
        <f t="array" ref="M52">IFERROR(IF(OR($H52="", M51=""), "", IF($H52=2, SUM(IF(INDEX(_xlfn._xlws.FILTER(tblPiNHistorical[[CCCM]:[WASH]],#REF!= M$5), 0, MATCH($Q$2, tblPiNHistorical[[#Headers],[CCCM]:[WASH]], 0))&gt;1.9, 1, 0)), IF(SUM(IF(INDEX(_xlfn._xlws.FILTER(tblPiNHistorical[[CCCM]:[WASH]],#REF!= M$5), 0, MATCH($Q$2, tblPiNHistorical[[#Headers],[CCCM]:[WASH]], 0))=$H52, 1, 0))=0, "", SUM(IF(INDEX(_xlfn._xlws.FILTER(tblPiNHistorical[[CCCM]:[WASH]],#REF!= M$5), 0, MATCH($Q$2, tblPiNHistorical[[#Headers],[CCCM]:[WASH]], 0))=$H52, 1, 0))))), "")</f>
        <v/>
      </c>
    </row>
    <row r="53" spans="1:13">
      <c r="A53" s="93"/>
      <c r="B53" s="91" t="str" cm="1">
        <f t="array" ref="B53">IF($A53="", "", IF(SUM(IF(INDEX(_xlfn._xlws.FILTER(tblPiNAnalysis[[CCCM%]:[WASH%]], tblPiNAnalysis[Population Group]=B$5), 0, MATCH(_xlfn.CONCAT($Q$2, "%"), tblPiNAnalysis[[#Headers],[CCCM%]:[WASH%]], 0))=$A53, 1, 0))=0, "",SUM(IF(INDEX(_xlfn._xlws.FILTER(tblPiNAnalysis[[CCCM%]:[WASH%]], tblPiNAnalysis[Population Group]=B$5), 0, MATCH(_xlfn.CONCAT($Q$2, "%"), tblPiNAnalysis[[#Headers],[CCCM%]:[WASH%]], 0))=$A53, 1, 0))))</f>
        <v/>
      </c>
      <c r="C53" s="91" t="str" cm="1">
        <f t="array" ref="C53">IFERROR(IF(OR($A53="", C$5=""), "", IF(SUM(IF(INDEX(_xlfn._xlws.FILTER(tblPiNAnalysis[[CCCM%]:[WASH%]], tblPiNAnalysis[Population Group]=C$5), 0, MATCH(_xlfn.CONCAT($Q$2, "%"), tblPiNAnalysis[[#Headers],[CCCM%]:[WASH%]], 0))=$A53, 1, 0))=0, "",SUM(IF(INDEX(_xlfn._xlws.FILTER(tblPiNAnalysis[[CCCM%]:[WASH%]], tblPiNAnalysis[Population Group]=C$5), 0, MATCH(_xlfn.CONCAT($Q$2, "%"), tblPiNAnalysis[[#Headers],[CCCM%]:[WASH%]], 0))=$A53, 1, 0)))), "")</f>
        <v/>
      </c>
      <c r="D53" s="91" t="str" cm="1">
        <f t="array" ref="D53">IFERROR(IF(OR($A53="", D$5=""), "", IF(SUM(IF(INDEX(_xlfn._xlws.FILTER(tblPiNAnalysis[[CCCM%]:[WASH%]], tblPiNAnalysis[Population Group]=D$5), 0, MATCH(_xlfn.CONCAT($Q$2, "%"), tblPiNAnalysis[[#Headers],[CCCM%]:[WASH%]], 0))=$A53, 1, 0))=0, "",SUM(IF(INDEX(_xlfn._xlws.FILTER(tblPiNAnalysis[[CCCM%]:[WASH%]], tblPiNAnalysis[Population Group]=D$5), 0, MATCH(_xlfn.CONCAT($Q$2, "%"), tblPiNAnalysis[[#Headers],[CCCM%]:[WASH%]], 0))=$A53, 1, 0)))), "")</f>
        <v/>
      </c>
      <c r="E53" s="91" t="str" cm="1">
        <f t="array" ref="E53">IFERROR(IF(OR($A53="", E$5=""), "", IF(SUM(IF(INDEX(_xlfn._xlws.FILTER(tblPiNAnalysis[[CCCM%]:[WASH%]], tblPiNAnalysis[Population Group]=E$5), 0, MATCH(_xlfn.CONCAT($Q$2, "%"), tblPiNAnalysis[[#Headers],[CCCM%]:[WASH%]], 0))=$A53, 1, 0))=0, "",SUM(IF(INDEX(_xlfn._xlws.FILTER(tblPiNAnalysis[[CCCM%]:[WASH%]], tblPiNAnalysis[Population Group]=E$5), 0, MATCH(_xlfn.CONCAT($Q$2, "%"), tblPiNAnalysis[[#Headers],[CCCM%]:[WASH%]], 0))=$A53, 1, 0)))), "")</f>
        <v/>
      </c>
      <c r="F53" s="91" t="str" cm="1">
        <f t="array" ref="F53">IFERROR(IF(OR($A53="", F$5=""), "", IF(SUM(IF(INDEX(_xlfn._xlws.FILTER(tblPiNAnalysis[[CCCM%]:[WASH%]], tblPiNAnalysis[CCCM]=F$5), 0, MATCH(_xlfn.CONCAT($Q$2, "%"), tblPiNAnalysis[[#Headers],[CCCM%]:[WASH%]], 0))=$A53, 1, 0))=0, "",SUM(IF(INDEX(_xlfn._xlws.FILTER(tblPiNAnalysis[[CCCM%]:[WASH%]], tblPiNAnalysis[CCCM]=F$5), 0, MATCH(_xlfn.CONCAT($Q$2, "%"), tblPiNAnalysis[[#Headers],[CCCM%]:[WASH%]], 0))=$A53, 1, 0)))), "")</f>
        <v/>
      </c>
      <c r="H53" s="93"/>
      <c r="I53" s="91" t="str" cm="1">
        <f t="array" ref="I53">IF($H53="", "", IF($H53=2, SUM(IF(INDEX(_xlfn._xlws.FILTER(tblPiNHistorical[[CCCM]:[WASH]], tblPiNHistorical[Population Group]=I$5), 0, MATCH($Q$2, tblPiNHistorical[[#Headers],[CCCM]:[WASH]], 0))&gt;1.9, 1, 0)), IF(SUM(IF(INDEX(_xlfn._xlws.FILTER(tblPiNHistorical[[CCCM]:[WASH]], tblPiNHistorical[Population Group]=I$5), 0, MATCH($Q$2, tblPiNHistorical[[#Headers],[CCCM]:[WASH]], 0))=$H53, 1, 0))=0, "", SUM(IF(INDEX(_xlfn._xlws.FILTER(tblPiNHistorical[[CCCM]:[WASH]], tblPiNHistorical[Population Group]=I$5), 0, MATCH($Q$2, tblPiNHistorical[[#Headers],[CCCM]:[WASH]], 0))=$H53, 1, 0)))))</f>
        <v/>
      </c>
      <c r="J53" s="91" t="str" cm="1">
        <f t="array" ref="J53">IFERROR(IF(OR($H53="", J52=""), "", IF($H53=2, SUM(IF(INDEX(_xlfn._xlws.FILTER(tblPiNHistorical[[CCCM]:[WASH]], tblPiNHistorical[Population Group]=J$5), 0, MATCH($Q$2, tblPiNHistorical[[#Headers],[CCCM]:[WASH]], 0))&gt;1.9, 1, 0)), IF(SUM(IF(INDEX(_xlfn._xlws.FILTER(tblPiNHistorical[[CCCM]:[WASH]], tblPiNHistorical[Population Group]=J$5), 0, MATCH($Q$2, tblPiNHistorical[[#Headers],[CCCM]:[WASH]], 0))=$H53, 1, 0))=0, "", SUM(IF(INDEX(_xlfn._xlws.FILTER(tblPiNHistorical[[CCCM]:[WASH]], tblPiNHistorical[Population Group]=J$5), 0, MATCH($Q$2, tblPiNHistorical[[#Headers],[CCCM]:[WASH]], 0))=$H53, 1, 0))))), "")</f>
        <v/>
      </c>
      <c r="K53" s="91" t="str" cm="1">
        <f t="array" ref="K53">IFERROR(IF(OR($H53="", K52=""), "", IF($H53=2, SUM(IF(INDEX(_xlfn._xlws.FILTER(tblPiNHistorical[[CCCM]:[WASH]], tblPiNHistorical[CCCM - old]=K$5), 0, MATCH($Q$2, tblPiNHistorical[[#Headers],[CCCM]:[WASH]], 0))&gt;1.9, 1, 0)), IF(SUM(IF(INDEX(_xlfn._xlws.FILTER(tblPiNHistorical[[CCCM]:[WASH]], tblPiNHistorical[CCCM - old]=K$5), 0, MATCH($Q$2, tblPiNHistorical[[#Headers],[CCCM]:[WASH]], 0))=$H53, 1, 0))=0, "", SUM(IF(INDEX(_xlfn._xlws.FILTER(tblPiNHistorical[[CCCM]:[WASH]], tblPiNHistorical[CCCM - old]=K$5), 0, MATCH($Q$2, tblPiNHistorical[[#Headers],[CCCM]:[WASH]], 0))=$H53, 1, 0))))), "")</f>
        <v/>
      </c>
      <c r="L53" s="91" t="str" cm="1">
        <f t="array" ref="L53">IFERROR(IF(OR($H53="", L52=""), "", IF($H53=2, SUM(IF(INDEX(_xlfn._xlws.FILTER(tblPiNHistorical[[CCCM]:[WASH]],#REF!= L$5), 0, MATCH($Q$2, tblPiNHistorical[[#Headers],[CCCM]:[WASH]], 0))&gt;1.9, 1, 0)), IF(SUM(IF(INDEX(_xlfn._xlws.FILTER(tblPiNHistorical[[CCCM]:[WASH]],#REF!= L$5), 0, MATCH($Q$2, tblPiNHistorical[[#Headers],[CCCM]:[WASH]], 0))=$H53, 1, 0))=0, "", SUM(IF(INDEX(_xlfn._xlws.FILTER(tblPiNHistorical[[CCCM]:[WASH]],#REF!= L$5), 0, MATCH($Q$2, tblPiNHistorical[[#Headers],[CCCM]:[WASH]], 0))=$H53, 1, 0))))), "")</f>
        <v/>
      </c>
      <c r="M53" s="91" t="str" cm="1">
        <f t="array" ref="M53">IFERROR(IF(OR($H53="", M52=""), "", IF($H53=2, SUM(IF(INDEX(_xlfn._xlws.FILTER(tblPiNHistorical[[CCCM]:[WASH]],#REF!= M$5), 0, MATCH($Q$2, tblPiNHistorical[[#Headers],[CCCM]:[WASH]], 0))&gt;1.9, 1, 0)), IF(SUM(IF(INDEX(_xlfn._xlws.FILTER(tblPiNHistorical[[CCCM]:[WASH]],#REF!= M$5), 0, MATCH($Q$2, tblPiNHistorical[[#Headers],[CCCM]:[WASH]], 0))=$H53, 1, 0))=0, "", SUM(IF(INDEX(_xlfn._xlws.FILTER(tblPiNHistorical[[CCCM]:[WASH]],#REF!= M$5), 0, MATCH($Q$2, tblPiNHistorical[[#Headers],[CCCM]:[WASH]], 0))=$H53, 1, 0))))), "")</f>
        <v/>
      </c>
    </row>
    <row r="54" spans="1:13">
      <c r="A54" s="93"/>
      <c r="B54" s="91" t="str" cm="1">
        <f t="array" ref="B54">IF($A54="", "", IF(SUM(IF(INDEX(_xlfn._xlws.FILTER(tblPiNAnalysis[[CCCM%]:[WASH%]], tblPiNAnalysis[Population Group]=B$5), 0, MATCH(_xlfn.CONCAT($Q$2, "%"), tblPiNAnalysis[[#Headers],[CCCM%]:[WASH%]], 0))=$A54, 1, 0))=0, "",SUM(IF(INDEX(_xlfn._xlws.FILTER(tblPiNAnalysis[[CCCM%]:[WASH%]], tblPiNAnalysis[Population Group]=B$5), 0, MATCH(_xlfn.CONCAT($Q$2, "%"), tblPiNAnalysis[[#Headers],[CCCM%]:[WASH%]], 0))=$A54, 1, 0))))</f>
        <v/>
      </c>
      <c r="C54" s="91" t="str" cm="1">
        <f t="array" ref="C54">IFERROR(IF(OR($A54="", C$5=""), "", IF(SUM(IF(INDEX(_xlfn._xlws.FILTER(tblPiNAnalysis[[CCCM%]:[WASH%]], tblPiNAnalysis[Population Group]=C$5), 0, MATCH(_xlfn.CONCAT($Q$2, "%"), tblPiNAnalysis[[#Headers],[CCCM%]:[WASH%]], 0))=$A54, 1, 0))=0, "",SUM(IF(INDEX(_xlfn._xlws.FILTER(tblPiNAnalysis[[CCCM%]:[WASH%]], tblPiNAnalysis[Population Group]=C$5), 0, MATCH(_xlfn.CONCAT($Q$2, "%"), tblPiNAnalysis[[#Headers],[CCCM%]:[WASH%]], 0))=$A54, 1, 0)))), "")</f>
        <v/>
      </c>
      <c r="D54" s="91" t="str" cm="1">
        <f t="array" ref="D54">IFERROR(IF(OR($A54="", D$5=""), "", IF(SUM(IF(INDEX(_xlfn._xlws.FILTER(tblPiNAnalysis[[CCCM%]:[WASH%]], tblPiNAnalysis[Population Group]=D$5), 0, MATCH(_xlfn.CONCAT($Q$2, "%"), tblPiNAnalysis[[#Headers],[CCCM%]:[WASH%]], 0))=$A54, 1, 0))=0, "",SUM(IF(INDEX(_xlfn._xlws.FILTER(tblPiNAnalysis[[CCCM%]:[WASH%]], tblPiNAnalysis[Population Group]=D$5), 0, MATCH(_xlfn.CONCAT($Q$2, "%"), tblPiNAnalysis[[#Headers],[CCCM%]:[WASH%]], 0))=$A54, 1, 0)))), "")</f>
        <v/>
      </c>
      <c r="E54" s="91" t="str" cm="1">
        <f t="array" ref="E54">IFERROR(IF(OR($A54="", E$5=""), "", IF(SUM(IF(INDEX(_xlfn._xlws.FILTER(tblPiNAnalysis[[CCCM%]:[WASH%]], tblPiNAnalysis[Population Group]=E$5), 0, MATCH(_xlfn.CONCAT($Q$2, "%"), tblPiNAnalysis[[#Headers],[CCCM%]:[WASH%]], 0))=$A54, 1, 0))=0, "",SUM(IF(INDEX(_xlfn._xlws.FILTER(tblPiNAnalysis[[CCCM%]:[WASH%]], tblPiNAnalysis[Population Group]=E$5), 0, MATCH(_xlfn.CONCAT($Q$2, "%"), tblPiNAnalysis[[#Headers],[CCCM%]:[WASH%]], 0))=$A54, 1, 0)))), "")</f>
        <v/>
      </c>
      <c r="F54" s="91" t="str" cm="1">
        <f t="array" ref="F54">IFERROR(IF(OR($A54="", F$5=""), "", IF(SUM(IF(INDEX(_xlfn._xlws.FILTER(tblPiNAnalysis[[CCCM%]:[WASH%]], tblPiNAnalysis[CCCM]=F$5), 0, MATCH(_xlfn.CONCAT($Q$2, "%"), tblPiNAnalysis[[#Headers],[CCCM%]:[WASH%]], 0))=$A54, 1, 0))=0, "",SUM(IF(INDEX(_xlfn._xlws.FILTER(tblPiNAnalysis[[CCCM%]:[WASH%]], tblPiNAnalysis[CCCM]=F$5), 0, MATCH(_xlfn.CONCAT($Q$2, "%"), tblPiNAnalysis[[#Headers],[CCCM%]:[WASH%]], 0))=$A54, 1, 0)))), "")</f>
        <v/>
      </c>
      <c r="H54" s="93"/>
      <c r="I54" s="91" t="str" cm="1">
        <f t="array" ref="I54">IF($H54="", "", IF($H54=2, SUM(IF(INDEX(_xlfn._xlws.FILTER(tblPiNHistorical[[CCCM]:[WASH]], tblPiNHistorical[Population Group]=I$5), 0, MATCH($Q$2, tblPiNHistorical[[#Headers],[CCCM]:[WASH]], 0))&gt;1.9, 1, 0)), IF(SUM(IF(INDEX(_xlfn._xlws.FILTER(tblPiNHistorical[[CCCM]:[WASH]], tblPiNHistorical[Population Group]=I$5), 0, MATCH($Q$2, tblPiNHistorical[[#Headers],[CCCM]:[WASH]], 0))=$H54, 1, 0))=0, "", SUM(IF(INDEX(_xlfn._xlws.FILTER(tblPiNHistorical[[CCCM]:[WASH]], tblPiNHistorical[Population Group]=I$5), 0, MATCH($Q$2, tblPiNHistorical[[#Headers],[CCCM]:[WASH]], 0))=$H54, 1, 0)))))</f>
        <v/>
      </c>
      <c r="J54" s="91" t="str" cm="1">
        <f t="array" ref="J54">IFERROR(IF(OR($H54="", J53=""), "", IF($H54=2, SUM(IF(INDEX(_xlfn._xlws.FILTER(tblPiNHistorical[[CCCM]:[WASH]], tblPiNHistorical[Population Group]=J$5), 0, MATCH($Q$2, tblPiNHistorical[[#Headers],[CCCM]:[WASH]], 0))&gt;1.9, 1, 0)), IF(SUM(IF(INDEX(_xlfn._xlws.FILTER(tblPiNHistorical[[CCCM]:[WASH]], tblPiNHistorical[Population Group]=J$5), 0, MATCH($Q$2, tblPiNHistorical[[#Headers],[CCCM]:[WASH]], 0))=$H54, 1, 0))=0, "", SUM(IF(INDEX(_xlfn._xlws.FILTER(tblPiNHistorical[[CCCM]:[WASH]], tblPiNHistorical[Population Group]=J$5), 0, MATCH($Q$2, tblPiNHistorical[[#Headers],[CCCM]:[WASH]], 0))=$H54, 1, 0))))), "")</f>
        <v/>
      </c>
      <c r="K54" s="91" t="str" cm="1">
        <f t="array" ref="K54">IFERROR(IF(OR($H54="", K53=""), "", IF($H54=2, SUM(IF(INDEX(_xlfn._xlws.FILTER(tblPiNHistorical[[CCCM]:[WASH]], tblPiNHistorical[CCCM - old]=K$5), 0, MATCH($Q$2, tblPiNHistorical[[#Headers],[CCCM]:[WASH]], 0))&gt;1.9, 1, 0)), IF(SUM(IF(INDEX(_xlfn._xlws.FILTER(tblPiNHistorical[[CCCM]:[WASH]], tblPiNHistorical[CCCM - old]=K$5), 0, MATCH($Q$2, tblPiNHistorical[[#Headers],[CCCM]:[WASH]], 0))=$H54, 1, 0))=0, "", SUM(IF(INDEX(_xlfn._xlws.FILTER(tblPiNHistorical[[CCCM]:[WASH]], tblPiNHistorical[CCCM - old]=K$5), 0, MATCH($Q$2, tblPiNHistorical[[#Headers],[CCCM]:[WASH]], 0))=$H54, 1, 0))))), "")</f>
        <v/>
      </c>
      <c r="L54" s="91" t="str" cm="1">
        <f t="array" ref="L54">IFERROR(IF(OR($H54="", L53=""), "", IF($H54=2, SUM(IF(INDEX(_xlfn._xlws.FILTER(tblPiNHistorical[[CCCM]:[WASH]],#REF!= L$5), 0, MATCH($Q$2, tblPiNHistorical[[#Headers],[CCCM]:[WASH]], 0))&gt;1.9, 1, 0)), IF(SUM(IF(INDEX(_xlfn._xlws.FILTER(tblPiNHistorical[[CCCM]:[WASH]],#REF!= L$5), 0, MATCH($Q$2, tblPiNHistorical[[#Headers],[CCCM]:[WASH]], 0))=$H54, 1, 0))=0, "", SUM(IF(INDEX(_xlfn._xlws.FILTER(tblPiNHistorical[[CCCM]:[WASH]],#REF!= L$5), 0, MATCH($Q$2, tblPiNHistorical[[#Headers],[CCCM]:[WASH]], 0))=$H54, 1, 0))))), "")</f>
        <v/>
      </c>
      <c r="M54" s="91" t="str" cm="1">
        <f t="array" ref="M54">IFERROR(IF(OR($H54="", M53=""), "", IF($H54=2, SUM(IF(INDEX(_xlfn._xlws.FILTER(tblPiNHistorical[[CCCM]:[WASH]],#REF!= M$5), 0, MATCH($Q$2, tblPiNHistorical[[#Headers],[CCCM]:[WASH]], 0))&gt;1.9, 1, 0)), IF(SUM(IF(INDEX(_xlfn._xlws.FILTER(tblPiNHistorical[[CCCM]:[WASH]],#REF!= M$5), 0, MATCH($Q$2, tblPiNHistorical[[#Headers],[CCCM]:[WASH]], 0))=$H54, 1, 0))=0, "", SUM(IF(INDEX(_xlfn._xlws.FILTER(tblPiNHistorical[[CCCM]:[WASH]],#REF!= M$5), 0, MATCH($Q$2, tblPiNHistorical[[#Headers],[CCCM]:[WASH]], 0))=$H54, 1, 0))))), "")</f>
        <v/>
      </c>
    </row>
    <row r="55" spans="1:13">
      <c r="A55" s="93"/>
      <c r="B55" s="91" t="str" cm="1">
        <f t="array" ref="B55">IF($A55="", "", IF(SUM(IF(INDEX(_xlfn._xlws.FILTER(tblPiNAnalysis[[CCCM%]:[WASH%]], tblPiNAnalysis[Population Group]=B$5), 0, MATCH(_xlfn.CONCAT($Q$2, "%"), tblPiNAnalysis[[#Headers],[CCCM%]:[WASH%]], 0))=$A55, 1, 0))=0, "",SUM(IF(INDEX(_xlfn._xlws.FILTER(tblPiNAnalysis[[CCCM%]:[WASH%]], tblPiNAnalysis[Population Group]=B$5), 0, MATCH(_xlfn.CONCAT($Q$2, "%"), tblPiNAnalysis[[#Headers],[CCCM%]:[WASH%]], 0))=$A55, 1, 0))))</f>
        <v/>
      </c>
      <c r="C55" s="91" t="str" cm="1">
        <f t="array" ref="C55">IFERROR(IF(OR($A55="", C$5=""), "", IF(SUM(IF(INDEX(_xlfn._xlws.FILTER(tblPiNAnalysis[[CCCM%]:[WASH%]], tblPiNAnalysis[Population Group]=C$5), 0, MATCH(_xlfn.CONCAT($Q$2, "%"), tblPiNAnalysis[[#Headers],[CCCM%]:[WASH%]], 0))=$A55, 1, 0))=0, "",SUM(IF(INDEX(_xlfn._xlws.FILTER(tblPiNAnalysis[[CCCM%]:[WASH%]], tblPiNAnalysis[Population Group]=C$5), 0, MATCH(_xlfn.CONCAT($Q$2, "%"), tblPiNAnalysis[[#Headers],[CCCM%]:[WASH%]], 0))=$A55, 1, 0)))), "")</f>
        <v/>
      </c>
      <c r="D55" s="91" t="str" cm="1">
        <f t="array" ref="D55">IFERROR(IF(OR($A55="", D$5=""), "", IF(SUM(IF(INDEX(_xlfn._xlws.FILTER(tblPiNAnalysis[[CCCM%]:[WASH%]], tblPiNAnalysis[Population Group]=D$5), 0, MATCH(_xlfn.CONCAT($Q$2, "%"), tblPiNAnalysis[[#Headers],[CCCM%]:[WASH%]], 0))=$A55, 1, 0))=0, "",SUM(IF(INDEX(_xlfn._xlws.FILTER(tblPiNAnalysis[[CCCM%]:[WASH%]], tblPiNAnalysis[Population Group]=D$5), 0, MATCH(_xlfn.CONCAT($Q$2, "%"), tblPiNAnalysis[[#Headers],[CCCM%]:[WASH%]], 0))=$A55, 1, 0)))), "")</f>
        <v/>
      </c>
      <c r="E55" s="91" t="str" cm="1">
        <f t="array" ref="E55">IFERROR(IF(OR($A55="", E$5=""), "", IF(SUM(IF(INDEX(_xlfn._xlws.FILTER(tblPiNAnalysis[[CCCM%]:[WASH%]], tblPiNAnalysis[Population Group]=E$5), 0, MATCH(_xlfn.CONCAT($Q$2, "%"), tblPiNAnalysis[[#Headers],[CCCM%]:[WASH%]], 0))=$A55, 1, 0))=0, "",SUM(IF(INDEX(_xlfn._xlws.FILTER(tblPiNAnalysis[[CCCM%]:[WASH%]], tblPiNAnalysis[Population Group]=E$5), 0, MATCH(_xlfn.CONCAT($Q$2, "%"), tblPiNAnalysis[[#Headers],[CCCM%]:[WASH%]], 0))=$A55, 1, 0)))), "")</f>
        <v/>
      </c>
      <c r="F55" s="91" t="str" cm="1">
        <f t="array" ref="F55">IFERROR(IF(OR($A55="", F$5=""), "", IF(SUM(IF(INDEX(_xlfn._xlws.FILTER(tblPiNAnalysis[[CCCM%]:[WASH%]], tblPiNAnalysis[CCCM]=F$5), 0, MATCH(_xlfn.CONCAT($Q$2, "%"), tblPiNAnalysis[[#Headers],[CCCM%]:[WASH%]], 0))=$A55, 1, 0))=0, "",SUM(IF(INDEX(_xlfn._xlws.FILTER(tblPiNAnalysis[[CCCM%]:[WASH%]], tblPiNAnalysis[CCCM]=F$5), 0, MATCH(_xlfn.CONCAT($Q$2, "%"), tblPiNAnalysis[[#Headers],[CCCM%]:[WASH%]], 0))=$A55, 1, 0)))), "")</f>
        <v/>
      </c>
      <c r="H55" s="93"/>
      <c r="I55" s="91" t="str" cm="1">
        <f t="array" ref="I55">IF($H55="", "", IF($H55=2, SUM(IF(INDEX(_xlfn._xlws.FILTER(tblPiNHistorical[[CCCM]:[WASH]], tblPiNHistorical[Population Group]=I$5), 0, MATCH($Q$2, tblPiNHistorical[[#Headers],[CCCM]:[WASH]], 0))&gt;1.9, 1, 0)), IF(SUM(IF(INDEX(_xlfn._xlws.FILTER(tblPiNHistorical[[CCCM]:[WASH]], tblPiNHistorical[Population Group]=I$5), 0, MATCH($Q$2, tblPiNHistorical[[#Headers],[CCCM]:[WASH]], 0))=$H55, 1, 0))=0, "", SUM(IF(INDEX(_xlfn._xlws.FILTER(tblPiNHistorical[[CCCM]:[WASH]], tblPiNHistorical[Population Group]=I$5), 0, MATCH($Q$2, tblPiNHistorical[[#Headers],[CCCM]:[WASH]], 0))=$H55, 1, 0)))))</f>
        <v/>
      </c>
      <c r="J55" s="91" t="str" cm="1">
        <f t="array" ref="J55">IFERROR(IF(OR($H55="", J54=""), "", IF($H55=2, SUM(IF(INDEX(_xlfn._xlws.FILTER(tblPiNHistorical[[CCCM]:[WASH]], tblPiNHistorical[Population Group]=J$5), 0, MATCH($Q$2, tblPiNHistorical[[#Headers],[CCCM]:[WASH]], 0))&gt;1.9, 1, 0)), IF(SUM(IF(INDEX(_xlfn._xlws.FILTER(tblPiNHistorical[[CCCM]:[WASH]], tblPiNHistorical[Population Group]=J$5), 0, MATCH($Q$2, tblPiNHistorical[[#Headers],[CCCM]:[WASH]], 0))=$H55, 1, 0))=0, "", SUM(IF(INDEX(_xlfn._xlws.FILTER(tblPiNHistorical[[CCCM]:[WASH]], tblPiNHistorical[Population Group]=J$5), 0, MATCH($Q$2, tblPiNHistorical[[#Headers],[CCCM]:[WASH]], 0))=$H55, 1, 0))))), "")</f>
        <v/>
      </c>
      <c r="K55" s="91" t="str" cm="1">
        <f t="array" ref="K55">IFERROR(IF(OR($H55="", K54=""), "", IF($H55=2, SUM(IF(INDEX(_xlfn._xlws.FILTER(tblPiNHistorical[[CCCM]:[WASH]], tblPiNHistorical[CCCM - old]=K$5), 0, MATCH($Q$2, tblPiNHistorical[[#Headers],[CCCM]:[WASH]], 0))&gt;1.9, 1, 0)), IF(SUM(IF(INDEX(_xlfn._xlws.FILTER(tblPiNHistorical[[CCCM]:[WASH]], tblPiNHistorical[CCCM - old]=K$5), 0, MATCH($Q$2, tblPiNHistorical[[#Headers],[CCCM]:[WASH]], 0))=$H55, 1, 0))=0, "", SUM(IF(INDEX(_xlfn._xlws.FILTER(tblPiNHistorical[[CCCM]:[WASH]], tblPiNHistorical[CCCM - old]=K$5), 0, MATCH($Q$2, tblPiNHistorical[[#Headers],[CCCM]:[WASH]], 0))=$H55, 1, 0))))), "")</f>
        <v/>
      </c>
      <c r="L55" s="91" t="str" cm="1">
        <f t="array" ref="L55">IFERROR(IF(OR($H55="", L54=""), "", IF($H55=2, SUM(IF(INDEX(_xlfn._xlws.FILTER(tblPiNHistorical[[CCCM]:[WASH]],#REF!= L$5), 0, MATCH($Q$2, tblPiNHistorical[[#Headers],[CCCM]:[WASH]], 0))&gt;1.9, 1, 0)), IF(SUM(IF(INDEX(_xlfn._xlws.FILTER(tblPiNHistorical[[CCCM]:[WASH]],#REF!= L$5), 0, MATCH($Q$2, tblPiNHistorical[[#Headers],[CCCM]:[WASH]], 0))=$H55, 1, 0))=0, "", SUM(IF(INDEX(_xlfn._xlws.FILTER(tblPiNHistorical[[CCCM]:[WASH]],#REF!= L$5), 0, MATCH($Q$2, tblPiNHistorical[[#Headers],[CCCM]:[WASH]], 0))=$H55, 1, 0))))), "")</f>
        <v/>
      </c>
      <c r="M55" s="91" t="str" cm="1">
        <f t="array" ref="M55">IFERROR(IF(OR($H55="", M54=""), "", IF($H55=2, SUM(IF(INDEX(_xlfn._xlws.FILTER(tblPiNHistorical[[CCCM]:[WASH]],#REF!= M$5), 0, MATCH($Q$2, tblPiNHistorical[[#Headers],[CCCM]:[WASH]], 0))&gt;1.9, 1, 0)), IF(SUM(IF(INDEX(_xlfn._xlws.FILTER(tblPiNHistorical[[CCCM]:[WASH]],#REF!= M$5), 0, MATCH($Q$2, tblPiNHistorical[[#Headers],[CCCM]:[WASH]], 0))=$H55, 1, 0))=0, "", SUM(IF(INDEX(_xlfn._xlws.FILTER(tblPiNHistorical[[CCCM]:[WASH]],#REF!= M$5), 0, MATCH($Q$2, tblPiNHistorical[[#Headers],[CCCM]:[WASH]], 0))=$H55, 1, 0))))), "")</f>
        <v/>
      </c>
    </row>
    <row r="56" spans="1:13">
      <c r="A56" s="93"/>
      <c r="B56" s="91" t="str" cm="1">
        <f t="array" ref="B56">IF($A56="", "", IF(SUM(IF(INDEX(_xlfn._xlws.FILTER(tblPiNAnalysis[[CCCM%]:[WASH%]], tblPiNAnalysis[Population Group]=B$5), 0, MATCH(_xlfn.CONCAT($Q$2, "%"), tblPiNAnalysis[[#Headers],[CCCM%]:[WASH%]], 0))=$A56, 1, 0))=0, "",SUM(IF(INDEX(_xlfn._xlws.FILTER(tblPiNAnalysis[[CCCM%]:[WASH%]], tblPiNAnalysis[Population Group]=B$5), 0, MATCH(_xlfn.CONCAT($Q$2, "%"), tblPiNAnalysis[[#Headers],[CCCM%]:[WASH%]], 0))=$A56, 1, 0))))</f>
        <v/>
      </c>
      <c r="C56" s="91" t="str" cm="1">
        <f t="array" ref="C56">IFERROR(IF(OR($A56="", C$5=""), "", IF(SUM(IF(INDEX(_xlfn._xlws.FILTER(tblPiNAnalysis[[CCCM%]:[WASH%]], tblPiNAnalysis[Population Group]=C$5), 0, MATCH(_xlfn.CONCAT($Q$2, "%"), tblPiNAnalysis[[#Headers],[CCCM%]:[WASH%]], 0))=$A56, 1, 0))=0, "",SUM(IF(INDEX(_xlfn._xlws.FILTER(tblPiNAnalysis[[CCCM%]:[WASH%]], tblPiNAnalysis[Population Group]=C$5), 0, MATCH(_xlfn.CONCAT($Q$2, "%"), tblPiNAnalysis[[#Headers],[CCCM%]:[WASH%]], 0))=$A56, 1, 0)))), "")</f>
        <v/>
      </c>
      <c r="D56" s="91" t="str" cm="1">
        <f t="array" ref="D56">IFERROR(IF(OR($A56="", D$5=""), "", IF(SUM(IF(INDEX(_xlfn._xlws.FILTER(tblPiNAnalysis[[CCCM%]:[WASH%]], tblPiNAnalysis[Population Group]=D$5), 0, MATCH(_xlfn.CONCAT($Q$2, "%"), tblPiNAnalysis[[#Headers],[CCCM%]:[WASH%]], 0))=$A56, 1, 0))=0, "",SUM(IF(INDEX(_xlfn._xlws.FILTER(tblPiNAnalysis[[CCCM%]:[WASH%]], tblPiNAnalysis[Population Group]=D$5), 0, MATCH(_xlfn.CONCAT($Q$2, "%"), tblPiNAnalysis[[#Headers],[CCCM%]:[WASH%]], 0))=$A56, 1, 0)))), "")</f>
        <v/>
      </c>
      <c r="E56" s="91" t="str" cm="1">
        <f t="array" ref="E56">IFERROR(IF(OR($A56="", E$5=""), "", IF(SUM(IF(INDEX(_xlfn._xlws.FILTER(tblPiNAnalysis[[CCCM%]:[WASH%]], tblPiNAnalysis[Population Group]=E$5), 0, MATCH(_xlfn.CONCAT($Q$2, "%"), tblPiNAnalysis[[#Headers],[CCCM%]:[WASH%]], 0))=$A56, 1, 0))=0, "",SUM(IF(INDEX(_xlfn._xlws.FILTER(tblPiNAnalysis[[CCCM%]:[WASH%]], tblPiNAnalysis[Population Group]=E$5), 0, MATCH(_xlfn.CONCAT($Q$2, "%"), tblPiNAnalysis[[#Headers],[CCCM%]:[WASH%]], 0))=$A56, 1, 0)))), "")</f>
        <v/>
      </c>
      <c r="F56" s="91" t="str" cm="1">
        <f t="array" ref="F56">IFERROR(IF(OR($A56="", F$5=""), "", IF(SUM(IF(INDEX(_xlfn._xlws.FILTER(tblPiNAnalysis[[CCCM%]:[WASH%]], tblPiNAnalysis[CCCM]=F$5), 0, MATCH(_xlfn.CONCAT($Q$2, "%"), tblPiNAnalysis[[#Headers],[CCCM%]:[WASH%]], 0))=$A56, 1, 0))=0, "",SUM(IF(INDEX(_xlfn._xlws.FILTER(tblPiNAnalysis[[CCCM%]:[WASH%]], tblPiNAnalysis[CCCM]=F$5), 0, MATCH(_xlfn.CONCAT($Q$2, "%"), tblPiNAnalysis[[#Headers],[CCCM%]:[WASH%]], 0))=$A56, 1, 0)))), "")</f>
        <v/>
      </c>
      <c r="H56" s="93"/>
      <c r="I56" s="91" t="str" cm="1">
        <f t="array" ref="I56">IF($H56="", "", IF($H56=2, SUM(IF(INDEX(_xlfn._xlws.FILTER(tblPiNHistorical[[CCCM]:[WASH]], tblPiNHistorical[Population Group]=I$5), 0, MATCH($Q$2, tblPiNHistorical[[#Headers],[CCCM]:[WASH]], 0))&gt;1.9, 1, 0)), IF(SUM(IF(INDEX(_xlfn._xlws.FILTER(tblPiNHistorical[[CCCM]:[WASH]], tblPiNHistorical[Population Group]=I$5), 0, MATCH($Q$2, tblPiNHistorical[[#Headers],[CCCM]:[WASH]], 0))=$H56, 1, 0))=0, "", SUM(IF(INDEX(_xlfn._xlws.FILTER(tblPiNHistorical[[CCCM]:[WASH]], tblPiNHistorical[Population Group]=I$5), 0, MATCH($Q$2, tblPiNHistorical[[#Headers],[CCCM]:[WASH]], 0))=$H56, 1, 0)))))</f>
        <v/>
      </c>
      <c r="J56" s="91" t="str" cm="1">
        <f t="array" ref="J56">IFERROR(IF(OR($H56="", J55=""), "", IF($H56=2, SUM(IF(INDEX(_xlfn._xlws.FILTER(tblPiNHistorical[[CCCM]:[WASH]], tblPiNHistorical[Population Group]=J$5), 0, MATCH($Q$2, tblPiNHistorical[[#Headers],[CCCM]:[WASH]], 0))&gt;1.9, 1, 0)), IF(SUM(IF(INDEX(_xlfn._xlws.FILTER(tblPiNHistorical[[CCCM]:[WASH]], tblPiNHistorical[Population Group]=J$5), 0, MATCH($Q$2, tblPiNHistorical[[#Headers],[CCCM]:[WASH]], 0))=$H56, 1, 0))=0, "", SUM(IF(INDEX(_xlfn._xlws.FILTER(tblPiNHistorical[[CCCM]:[WASH]], tblPiNHistorical[Population Group]=J$5), 0, MATCH($Q$2, tblPiNHistorical[[#Headers],[CCCM]:[WASH]], 0))=$H56, 1, 0))))), "")</f>
        <v/>
      </c>
      <c r="K56" s="91" t="str" cm="1">
        <f t="array" ref="K56">IFERROR(IF(OR($H56="", K55=""), "", IF($H56=2, SUM(IF(INDEX(_xlfn._xlws.FILTER(tblPiNHistorical[[CCCM]:[WASH]], tblPiNHistorical[CCCM - old]=K$5), 0, MATCH($Q$2, tblPiNHistorical[[#Headers],[CCCM]:[WASH]], 0))&gt;1.9, 1, 0)), IF(SUM(IF(INDEX(_xlfn._xlws.FILTER(tblPiNHistorical[[CCCM]:[WASH]], tblPiNHistorical[CCCM - old]=K$5), 0, MATCH($Q$2, tblPiNHistorical[[#Headers],[CCCM]:[WASH]], 0))=$H56, 1, 0))=0, "", SUM(IF(INDEX(_xlfn._xlws.FILTER(tblPiNHistorical[[CCCM]:[WASH]], tblPiNHistorical[CCCM - old]=K$5), 0, MATCH($Q$2, tblPiNHistorical[[#Headers],[CCCM]:[WASH]], 0))=$H56, 1, 0))))), "")</f>
        <v/>
      </c>
      <c r="L56" s="91" t="str" cm="1">
        <f t="array" ref="L56">IFERROR(IF(OR($H56="", L55=""), "", IF($H56=2, SUM(IF(INDEX(_xlfn._xlws.FILTER(tblPiNHistorical[[CCCM]:[WASH]],#REF!= L$5), 0, MATCH($Q$2, tblPiNHistorical[[#Headers],[CCCM]:[WASH]], 0))&gt;1.9, 1, 0)), IF(SUM(IF(INDEX(_xlfn._xlws.FILTER(tblPiNHistorical[[CCCM]:[WASH]],#REF!= L$5), 0, MATCH($Q$2, tblPiNHistorical[[#Headers],[CCCM]:[WASH]], 0))=$H56, 1, 0))=0, "", SUM(IF(INDEX(_xlfn._xlws.FILTER(tblPiNHistorical[[CCCM]:[WASH]],#REF!= L$5), 0, MATCH($Q$2, tblPiNHistorical[[#Headers],[CCCM]:[WASH]], 0))=$H56, 1, 0))))), "")</f>
        <v/>
      </c>
      <c r="M56" s="91" t="str" cm="1">
        <f t="array" ref="M56">IFERROR(IF(OR($H56="", M55=""), "", IF($H56=2, SUM(IF(INDEX(_xlfn._xlws.FILTER(tblPiNHistorical[[CCCM]:[WASH]],#REF!= M$5), 0, MATCH($Q$2, tblPiNHistorical[[#Headers],[CCCM]:[WASH]], 0))&gt;1.9, 1, 0)), IF(SUM(IF(INDEX(_xlfn._xlws.FILTER(tblPiNHistorical[[CCCM]:[WASH]],#REF!= M$5), 0, MATCH($Q$2, tblPiNHistorical[[#Headers],[CCCM]:[WASH]], 0))=$H56, 1, 0))=0, "", SUM(IF(INDEX(_xlfn._xlws.FILTER(tblPiNHistorical[[CCCM]:[WASH]],#REF!= M$5), 0, MATCH($Q$2, tblPiNHistorical[[#Headers],[CCCM]:[WASH]], 0))=$H56, 1, 0))))), "")</f>
        <v/>
      </c>
    </row>
    <row r="57" spans="1:13">
      <c r="A57" s="93"/>
      <c r="B57" s="91" t="str" cm="1">
        <f t="array" ref="B57">IF($A57="", "", IF(SUM(IF(INDEX(_xlfn._xlws.FILTER(tblPiNAnalysis[[CCCM%]:[WASH%]], tblPiNAnalysis[Population Group]=B$5), 0, MATCH(_xlfn.CONCAT($Q$2, "%"), tblPiNAnalysis[[#Headers],[CCCM%]:[WASH%]], 0))=$A57, 1, 0))=0, "",SUM(IF(INDEX(_xlfn._xlws.FILTER(tblPiNAnalysis[[CCCM%]:[WASH%]], tblPiNAnalysis[Population Group]=B$5), 0, MATCH(_xlfn.CONCAT($Q$2, "%"), tblPiNAnalysis[[#Headers],[CCCM%]:[WASH%]], 0))=$A57, 1, 0))))</f>
        <v/>
      </c>
      <c r="C57" s="91" t="str" cm="1">
        <f t="array" ref="C57">IFERROR(IF(OR($A57="", C$5=""), "", IF(SUM(IF(INDEX(_xlfn._xlws.FILTER(tblPiNAnalysis[[CCCM%]:[WASH%]], tblPiNAnalysis[Population Group]=C$5), 0, MATCH(_xlfn.CONCAT($Q$2, "%"), tblPiNAnalysis[[#Headers],[CCCM%]:[WASH%]], 0))=$A57, 1, 0))=0, "",SUM(IF(INDEX(_xlfn._xlws.FILTER(tblPiNAnalysis[[CCCM%]:[WASH%]], tblPiNAnalysis[Population Group]=C$5), 0, MATCH(_xlfn.CONCAT($Q$2, "%"), tblPiNAnalysis[[#Headers],[CCCM%]:[WASH%]], 0))=$A57, 1, 0)))), "")</f>
        <v/>
      </c>
      <c r="D57" s="91" t="str" cm="1">
        <f t="array" ref="D57">IFERROR(IF(OR($A57="", D$5=""), "", IF(SUM(IF(INDEX(_xlfn._xlws.FILTER(tblPiNAnalysis[[CCCM%]:[WASH%]], tblPiNAnalysis[Population Group]=D$5), 0, MATCH(_xlfn.CONCAT($Q$2, "%"), tblPiNAnalysis[[#Headers],[CCCM%]:[WASH%]], 0))=$A57, 1, 0))=0, "",SUM(IF(INDEX(_xlfn._xlws.FILTER(tblPiNAnalysis[[CCCM%]:[WASH%]], tblPiNAnalysis[Population Group]=D$5), 0, MATCH(_xlfn.CONCAT($Q$2, "%"), tblPiNAnalysis[[#Headers],[CCCM%]:[WASH%]], 0))=$A57, 1, 0)))), "")</f>
        <v/>
      </c>
      <c r="E57" s="91" t="str" cm="1">
        <f t="array" ref="E57">IFERROR(IF(OR($A57="", E$5=""), "", IF(SUM(IF(INDEX(_xlfn._xlws.FILTER(tblPiNAnalysis[[CCCM%]:[WASH%]], tblPiNAnalysis[Population Group]=E$5), 0, MATCH(_xlfn.CONCAT($Q$2, "%"), tblPiNAnalysis[[#Headers],[CCCM%]:[WASH%]], 0))=$A57, 1, 0))=0, "",SUM(IF(INDEX(_xlfn._xlws.FILTER(tblPiNAnalysis[[CCCM%]:[WASH%]], tblPiNAnalysis[Population Group]=E$5), 0, MATCH(_xlfn.CONCAT($Q$2, "%"), tblPiNAnalysis[[#Headers],[CCCM%]:[WASH%]], 0))=$A57, 1, 0)))), "")</f>
        <v/>
      </c>
      <c r="F57" s="91" t="str" cm="1">
        <f t="array" ref="F57">IFERROR(IF(OR($A57="", F$5=""), "", IF(SUM(IF(INDEX(_xlfn._xlws.FILTER(tblPiNAnalysis[[CCCM%]:[WASH%]], tblPiNAnalysis[CCCM]=F$5), 0, MATCH(_xlfn.CONCAT($Q$2, "%"), tblPiNAnalysis[[#Headers],[CCCM%]:[WASH%]], 0))=$A57, 1, 0))=0, "",SUM(IF(INDEX(_xlfn._xlws.FILTER(tblPiNAnalysis[[CCCM%]:[WASH%]], tblPiNAnalysis[CCCM]=F$5), 0, MATCH(_xlfn.CONCAT($Q$2, "%"), tblPiNAnalysis[[#Headers],[CCCM%]:[WASH%]], 0))=$A57, 1, 0)))), "")</f>
        <v/>
      </c>
      <c r="H57" s="93"/>
      <c r="I57" s="91" t="str" cm="1">
        <f t="array" ref="I57">IF($H57="", "", IF($H57=2, SUM(IF(INDEX(_xlfn._xlws.FILTER(tblPiNHistorical[[CCCM]:[WASH]], tblPiNHistorical[Population Group]=I$5), 0, MATCH($Q$2, tblPiNHistorical[[#Headers],[CCCM]:[WASH]], 0))&gt;1.9, 1, 0)), IF(SUM(IF(INDEX(_xlfn._xlws.FILTER(tblPiNHistorical[[CCCM]:[WASH]], tblPiNHistorical[Population Group]=I$5), 0, MATCH($Q$2, tblPiNHistorical[[#Headers],[CCCM]:[WASH]], 0))=$H57, 1, 0))=0, "", SUM(IF(INDEX(_xlfn._xlws.FILTER(tblPiNHistorical[[CCCM]:[WASH]], tblPiNHistorical[Population Group]=I$5), 0, MATCH($Q$2, tblPiNHistorical[[#Headers],[CCCM]:[WASH]], 0))=$H57, 1, 0)))))</f>
        <v/>
      </c>
      <c r="J57" s="91" t="str" cm="1">
        <f t="array" ref="J57">IFERROR(IF(OR($H57="", J56=""), "", IF($H57=2, SUM(IF(INDEX(_xlfn._xlws.FILTER(tblPiNHistorical[[CCCM]:[WASH]], tblPiNHistorical[Population Group]=J$5), 0, MATCH($Q$2, tblPiNHistorical[[#Headers],[CCCM]:[WASH]], 0))&gt;1.9, 1, 0)), IF(SUM(IF(INDEX(_xlfn._xlws.FILTER(tblPiNHistorical[[CCCM]:[WASH]], tblPiNHistorical[Population Group]=J$5), 0, MATCH($Q$2, tblPiNHistorical[[#Headers],[CCCM]:[WASH]], 0))=$H57, 1, 0))=0, "", SUM(IF(INDEX(_xlfn._xlws.FILTER(tblPiNHistorical[[CCCM]:[WASH]], tblPiNHistorical[Population Group]=J$5), 0, MATCH($Q$2, tblPiNHistorical[[#Headers],[CCCM]:[WASH]], 0))=$H57, 1, 0))))), "")</f>
        <v/>
      </c>
      <c r="K57" s="91" t="str" cm="1">
        <f t="array" ref="K57">IFERROR(IF(OR($H57="", K56=""), "", IF($H57=2, SUM(IF(INDEX(_xlfn._xlws.FILTER(tblPiNHistorical[[CCCM]:[WASH]], tblPiNHistorical[CCCM - old]=K$5), 0, MATCH($Q$2, tblPiNHistorical[[#Headers],[CCCM]:[WASH]], 0))&gt;1.9, 1, 0)), IF(SUM(IF(INDEX(_xlfn._xlws.FILTER(tblPiNHistorical[[CCCM]:[WASH]], tblPiNHistorical[CCCM - old]=K$5), 0, MATCH($Q$2, tblPiNHistorical[[#Headers],[CCCM]:[WASH]], 0))=$H57, 1, 0))=0, "", SUM(IF(INDEX(_xlfn._xlws.FILTER(tblPiNHistorical[[CCCM]:[WASH]], tblPiNHistorical[CCCM - old]=K$5), 0, MATCH($Q$2, tblPiNHistorical[[#Headers],[CCCM]:[WASH]], 0))=$H57, 1, 0))))), "")</f>
        <v/>
      </c>
      <c r="L57" s="91" t="str" cm="1">
        <f t="array" ref="L57">IFERROR(IF(OR($H57="", L56=""), "", IF($H57=2, SUM(IF(INDEX(_xlfn._xlws.FILTER(tblPiNHistorical[[CCCM]:[WASH]],#REF!= L$5), 0, MATCH($Q$2, tblPiNHistorical[[#Headers],[CCCM]:[WASH]], 0))&gt;1.9, 1, 0)), IF(SUM(IF(INDEX(_xlfn._xlws.FILTER(tblPiNHistorical[[CCCM]:[WASH]],#REF!= L$5), 0, MATCH($Q$2, tblPiNHistorical[[#Headers],[CCCM]:[WASH]], 0))=$H57, 1, 0))=0, "", SUM(IF(INDEX(_xlfn._xlws.FILTER(tblPiNHistorical[[CCCM]:[WASH]],#REF!= L$5), 0, MATCH($Q$2, tblPiNHistorical[[#Headers],[CCCM]:[WASH]], 0))=$H57, 1, 0))))), "")</f>
        <v/>
      </c>
      <c r="M57" s="91" t="str" cm="1">
        <f t="array" ref="M57">IFERROR(IF(OR($H57="", M56=""), "", IF($H57=2, SUM(IF(INDEX(_xlfn._xlws.FILTER(tblPiNHistorical[[CCCM]:[WASH]],#REF!= M$5), 0, MATCH($Q$2, tblPiNHistorical[[#Headers],[CCCM]:[WASH]], 0))&gt;1.9, 1, 0)), IF(SUM(IF(INDEX(_xlfn._xlws.FILTER(tblPiNHistorical[[CCCM]:[WASH]],#REF!= M$5), 0, MATCH($Q$2, tblPiNHistorical[[#Headers],[CCCM]:[WASH]], 0))=$H57, 1, 0))=0, "", SUM(IF(INDEX(_xlfn._xlws.FILTER(tblPiNHistorical[[CCCM]:[WASH]],#REF!= M$5), 0, MATCH($Q$2, tblPiNHistorical[[#Headers],[CCCM]:[WASH]], 0))=$H57, 1, 0))))), "")</f>
        <v/>
      </c>
    </row>
    <row r="58" spans="1:13">
      <c r="A58" s="93"/>
      <c r="B58" s="91" t="str" cm="1">
        <f t="array" ref="B58">IF($A58="", "", IF(SUM(IF(INDEX(_xlfn._xlws.FILTER(tblPiNAnalysis[[CCCM%]:[WASH%]], tblPiNAnalysis[Population Group]=B$5), 0, MATCH(_xlfn.CONCAT($Q$2, "%"), tblPiNAnalysis[[#Headers],[CCCM%]:[WASH%]], 0))=$A58, 1, 0))=0, "",SUM(IF(INDEX(_xlfn._xlws.FILTER(tblPiNAnalysis[[CCCM%]:[WASH%]], tblPiNAnalysis[Population Group]=B$5), 0, MATCH(_xlfn.CONCAT($Q$2, "%"), tblPiNAnalysis[[#Headers],[CCCM%]:[WASH%]], 0))=$A58, 1, 0))))</f>
        <v/>
      </c>
      <c r="C58" s="91" t="str" cm="1">
        <f t="array" ref="C58">IFERROR(IF(OR($A58="", C$5=""), "", IF(SUM(IF(INDEX(_xlfn._xlws.FILTER(tblPiNAnalysis[[CCCM%]:[WASH%]], tblPiNAnalysis[Population Group]=C$5), 0, MATCH(_xlfn.CONCAT($Q$2, "%"), tblPiNAnalysis[[#Headers],[CCCM%]:[WASH%]], 0))=$A58, 1, 0))=0, "",SUM(IF(INDEX(_xlfn._xlws.FILTER(tblPiNAnalysis[[CCCM%]:[WASH%]], tblPiNAnalysis[Population Group]=C$5), 0, MATCH(_xlfn.CONCAT($Q$2, "%"), tblPiNAnalysis[[#Headers],[CCCM%]:[WASH%]], 0))=$A58, 1, 0)))), "")</f>
        <v/>
      </c>
      <c r="D58" s="91" t="str" cm="1">
        <f t="array" ref="D58">IFERROR(IF(OR($A58="", D$5=""), "", IF(SUM(IF(INDEX(_xlfn._xlws.FILTER(tblPiNAnalysis[[CCCM%]:[WASH%]], tblPiNAnalysis[Population Group]=D$5), 0, MATCH(_xlfn.CONCAT($Q$2, "%"), tblPiNAnalysis[[#Headers],[CCCM%]:[WASH%]], 0))=$A58, 1, 0))=0, "",SUM(IF(INDEX(_xlfn._xlws.FILTER(tblPiNAnalysis[[CCCM%]:[WASH%]], tblPiNAnalysis[Population Group]=D$5), 0, MATCH(_xlfn.CONCAT($Q$2, "%"), tblPiNAnalysis[[#Headers],[CCCM%]:[WASH%]], 0))=$A58, 1, 0)))), "")</f>
        <v/>
      </c>
      <c r="E58" s="91" t="str" cm="1">
        <f t="array" ref="E58">IFERROR(IF(OR($A58="", E$5=""), "", IF(SUM(IF(INDEX(_xlfn._xlws.FILTER(tblPiNAnalysis[[CCCM%]:[WASH%]], tblPiNAnalysis[Population Group]=E$5), 0, MATCH(_xlfn.CONCAT($Q$2, "%"), tblPiNAnalysis[[#Headers],[CCCM%]:[WASH%]], 0))=$A58, 1, 0))=0, "",SUM(IF(INDEX(_xlfn._xlws.FILTER(tblPiNAnalysis[[CCCM%]:[WASH%]], tblPiNAnalysis[Population Group]=E$5), 0, MATCH(_xlfn.CONCAT($Q$2, "%"), tblPiNAnalysis[[#Headers],[CCCM%]:[WASH%]], 0))=$A58, 1, 0)))), "")</f>
        <v/>
      </c>
      <c r="F58" s="91" t="str" cm="1">
        <f t="array" ref="F58">IFERROR(IF(OR($A58="", F$5=""), "", IF(SUM(IF(INDEX(_xlfn._xlws.FILTER(tblPiNAnalysis[[CCCM%]:[WASH%]], tblPiNAnalysis[CCCM]=F$5), 0, MATCH(_xlfn.CONCAT($Q$2, "%"), tblPiNAnalysis[[#Headers],[CCCM%]:[WASH%]], 0))=$A58, 1, 0))=0, "",SUM(IF(INDEX(_xlfn._xlws.FILTER(tblPiNAnalysis[[CCCM%]:[WASH%]], tblPiNAnalysis[CCCM]=F$5), 0, MATCH(_xlfn.CONCAT($Q$2, "%"), tblPiNAnalysis[[#Headers],[CCCM%]:[WASH%]], 0))=$A58, 1, 0)))), "")</f>
        <v/>
      </c>
      <c r="H58" s="93"/>
      <c r="I58" s="91" t="str" cm="1">
        <f t="array" ref="I58">IF($H58="", "", IF($H58=2, SUM(IF(INDEX(_xlfn._xlws.FILTER(tblPiNHistorical[[CCCM]:[WASH]], tblPiNHistorical[Population Group]=I$5), 0, MATCH($Q$2, tblPiNHistorical[[#Headers],[CCCM]:[WASH]], 0))&gt;1.9, 1, 0)), IF(SUM(IF(INDEX(_xlfn._xlws.FILTER(tblPiNHistorical[[CCCM]:[WASH]], tblPiNHistorical[Population Group]=I$5), 0, MATCH($Q$2, tblPiNHistorical[[#Headers],[CCCM]:[WASH]], 0))=$H58, 1, 0))=0, "", SUM(IF(INDEX(_xlfn._xlws.FILTER(tblPiNHistorical[[CCCM]:[WASH]], tblPiNHistorical[Population Group]=I$5), 0, MATCH($Q$2, tblPiNHistorical[[#Headers],[CCCM]:[WASH]], 0))=$H58, 1, 0)))))</f>
        <v/>
      </c>
      <c r="J58" s="91" t="str" cm="1">
        <f t="array" ref="J58">IFERROR(IF(OR($H58="", J57=""), "", IF($H58=2, SUM(IF(INDEX(_xlfn._xlws.FILTER(tblPiNHistorical[[CCCM]:[WASH]], tblPiNHistorical[Population Group]=J$5), 0, MATCH($Q$2, tblPiNHistorical[[#Headers],[CCCM]:[WASH]], 0))&gt;1.9, 1, 0)), IF(SUM(IF(INDEX(_xlfn._xlws.FILTER(tblPiNHistorical[[CCCM]:[WASH]], tblPiNHistorical[Population Group]=J$5), 0, MATCH($Q$2, tblPiNHistorical[[#Headers],[CCCM]:[WASH]], 0))=$H58, 1, 0))=0, "", SUM(IF(INDEX(_xlfn._xlws.FILTER(tblPiNHistorical[[CCCM]:[WASH]], tblPiNHistorical[Population Group]=J$5), 0, MATCH($Q$2, tblPiNHistorical[[#Headers],[CCCM]:[WASH]], 0))=$H58, 1, 0))))), "")</f>
        <v/>
      </c>
      <c r="K58" s="91" t="str" cm="1">
        <f t="array" ref="K58">IFERROR(IF(OR($H58="", K57=""), "", IF($H58=2, SUM(IF(INDEX(_xlfn._xlws.FILTER(tblPiNHistorical[[CCCM]:[WASH]], tblPiNHistorical[CCCM - old]=K$5), 0, MATCH($Q$2, tblPiNHistorical[[#Headers],[CCCM]:[WASH]], 0))&gt;1.9, 1, 0)), IF(SUM(IF(INDEX(_xlfn._xlws.FILTER(tblPiNHistorical[[CCCM]:[WASH]], tblPiNHistorical[CCCM - old]=K$5), 0, MATCH($Q$2, tblPiNHistorical[[#Headers],[CCCM]:[WASH]], 0))=$H58, 1, 0))=0, "", SUM(IF(INDEX(_xlfn._xlws.FILTER(tblPiNHistorical[[CCCM]:[WASH]], tblPiNHistorical[CCCM - old]=K$5), 0, MATCH($Q$2, tblPiNHistorical[[#Headers],[CCCM]:[WASH]], 0))=$H58, 1, 0))))), "")</f>
        <v/>
      </c>
      <c r="L58" s="91" t="str" cm="1">
        <f t="array" ref="L58">IFERROR(IF(OR($H58="", L57=""), "", IF($H58=2, SUM(IF(INDEX(_xlfn._xlws.FILTER(tblPiNHistorical[[CCCM]:[WASH]],#REF!= L$5), 0, MATCH($Q$2, tblPiNHistorical[[#Headers],[CCCM]:[WASH]], 0))&gt;1.9, 1, 0)), IF(SUM(IF(INDEX(_xlfn._xlws.FILTER(tblPiNHistorical[[CCCM]:[WASH]],#REF!= L$5), 0, MATCH($Q$2, tblPiNHistorical[[#Headers],[CCCM]:[WASH]], 0))=$H58, 1, 0))=0, "", SUM(IF(INDEX(_xlfn._xlws.FILTER(tblPiNHistorical[[CCCM]:[WASH]],#REF!= L$5), 0, MATCH($Q$2, tblPiNHistorical[[#Headers],[CCCM]:[WASH]], 0))=$H58, 1, 0))))), "")</f>
        <v/>
      </c>
      <c r="M58" s="91" t="str" cm="1">
        <f t="array" ref="M58">IFERROR(IF(OR($H58="", M57=""), "", IF($H58=2, SUM(IF(INDEX(_xlfn._xlws.FILTER(tblPiNHistorical[[CCCM]:[WASH]],#REF!= M$5), 0, MATCH($Q$2, tblPiNHistorical[[#Headers],[CCCM]:[WASH]], 0))&gt;1.9, 1, 0)), IF(SUM(IF(INDEX(_xlfn._xlws.FILTER(tblPiNHistorical[[CCCM]:[WASH]],#REF!= M$5), 0, MATCH($Q$2, tblPiNHistorical[[#Headers],[CCCM]:[WASH]], 0))=$H58, 1, 0))=0, "", SUM(IF(INDEX(_xlfn._xlws.FILTER(tblPiNHistorical[[CCCM]:[WASH]],#REF!= M$5), 0, MATCH($Q$2, tblPiNHistorical[[#Headers],[CCCM]:[WASH]], 0))=$H58, 1, 0))))), "")</f>
        <v/>
      </c>
    </row>
    <row r="59" spans="1:13">
      <c r="A59" s="93"/>
      <c r="B59" s="91" t="str" cm="1">
        <f t="array" ref="B59">IF($A59="", "", IF(SUM(IF(INDEX(_xlfn._xlws.FILTER(tblPiNAnalysis[[CCCM%]:[WASH%]], tblPiNAnalysis[Population Group]=B$5), 0, MATCH(_xlfn.CONCAT($Q$2, "%"), tblPiNAnalysis[[#Headers],[CCCM%]:[WASH%]], 0))=$A59, 1, 0))=0, "",SUM(IF(INDEX(_xlfn._xlws.FILTER(tblPiNAnalysis[[CCCM%]:[WASH%]], tblPiNAnalysis[Population Group]=B$5), 0, MATCH(_xlfn.CONCAT($Q$2, "%"), tblPiNAnalysis[[#Headers],[CCCM%]:[WASH%]], 0))=$A59, 1, 0))))</f>
        <v/>
      </c>
      <c r="C59" s="91" t="str" cm="1">
        <f t="array" ref="C59">IFERROR(IF(OR($A59="", C$5=""), "", IF(SUM(IF(INDEX(_xlfn._xlws.FILTER(tblPiNAnalysis[[CCCM%]:[WASH%]], tblPiNAnalysis[Population Group]=C$5), 0, MATCH(_xlfn.CONCAT($Q$2, "%"), tblPiNAnalysis[[#Headers],[CCCM%]:[WASH%]], 0))=$A59, 1, 0))=0, "",SUM(IF(INDEX(_xlfn._xlws.FILTER(tblPiNAnalysis[[CCCM%]:[WASH%]], tblPiNAnalysis[Population Group]=C$5), 0, MATCH(_xlfn.CONCAT($Q$2, "%"), tblPiNAnalysis[[#Headers],[CCCM%]:[WASH%]], 0))=$A59, 1, 0)))), "")</f>
        <v/>
      </c>
      <c r="D59" s="91" t="str" cm="1">
        <f t="array" ref="D59">IFERROR(IF(OR($A59="", D$5=""), "", IF(SUM(IF(INDEX(_xlfn._xlws.FILTER(tblPiNAnalysis[[CCCM%]:[WASH%]], tblPiNAnalysis[Population Group]=D$5), 0, MATCH(_xlfn.CONCAT($Q$2, "%"), tblPiNAnalysis[[#Headers],[CCCM%]:[WASH%]], 0))=$A59, 1, 0))=0, "",SUM(IF(INDEX(_xlfn._xlws.FILTER(tblPiNAnalysis[[CCCM%]:[WASH%]], tblPiNAnalysis[Population Group]=D$5), 0, MATCH(_xlfn.CONCAT($Q$2, "%"), tblPiNAnalysis[[#Headers],[CCCM%]:[WASH%]], 0))=$A59, 1, 0)))), "")</f>
        <v/>
      </c>
      <c r="E59" s="91" t="str" cm="1">
        <f t="array" ref="E59">IFERROR(IF(OR($A59="", E$5=""), "", IF(SUM(IF(INDEX(_xlfn._xlws.FILTER(tblPiNAnalysis[[CCCM%]:[WASH%]], tblPiNAnalysis[Population Group]=E$5), 0, MATCH(_xlfn.CONCAT($Q$2, "%"), tblPiNAnalysis[[#Headers],[CCCM%]:[WASH%]], 0))=$A59, 1, 0))=0, "",SUM(IF(INDEX(_xlfn._xlws.FILTER(tblPiNAnalysis[[CCCM%]:[WASH%]], tblPiNAnalysis[Population Group]=E$5), 0, MATCH(_xlfn.CONCAT($Q$2, "%"), tblPiNAnalysis[[#Headers],[CCCM%]:[WASH%]], 0))=$A59, 1, 0)))), "")</f>
        <v/>
      </c>
      <c r="F59" s="91" t="str" cm="1">
        <f t="array" ref="F59">IFERROR(IF(OR($A59="", F$5=""), "", IF(SUM(IF(INDEX(_xlfn._xlws.FILTER(tblPiNAnalysis[[CCCM%]:[WASH%]], tblPiNAnalysis[CCCM]=F$5), 0, MATCH(_xlfn.CONCAT($Q$2, "%"), tblPiNAnalysis[[#Headers],[CCCM%]:[WASH%]], 0))=$A59, 1, 0))=0, "",SUM(IF(INDEX(_xlfn._xlws.FILTER(tblPiNAnalysis[[CCCM%]:[WASH%]], tblPiNAnalysis[CCCM]=F$5), 0, MATCH(_xlfn.CONCAT($Q$2, "%"), tblPiNAnalysis[[#Headers],[CCCM%]:[WASH%]], 0))=$A59, 1, 0)))), "")</f>
        <v/>
      </c>
      <c r="H59" s="93"/>
      <c r="I59" s="91" t="str" cm="1">
        <f t="array" ref="I59">IF($H59="", "", IF($H59=2, SUM(IF(INDEX(_xlfn._xlws.FILTER(tblPiNHistorical[[CCCM]:[WASH]], tblPiNHistorical[Population Group]=I$5), 0, MATCH($Q$2, tblPiNHistorical[[#Headers],[CCCM]:[WASH]], 0))&gt;1.9, 1, 0)), IF(SUM(IF(INDEX(_xlfn._xlws.FILTER(tblPiNHistorical[[CCCM]:[WASH]], tblPiNHistorical[Population Group]=I$5), 0, MATCH($Q$2, tblPiNHistorical[[#Headers],[CCCM]:[WASH]], 0))=$H59, 1, 0))=0, "", SUM(IF(INDEX(_xlfn._xlws.FILTER(tblPiNHistorical[[CCCM]:[WASH]], tblPiNHistorical[Population Group]=I$5), 0, MATCH($Q$2, tblPiNHistorical[[#Headers],[CCCM]:[WASH]], 0))=$H59, 1, 0)))))</f>
        <v/>
      </c>
      <c r="J59" s="91" t="str" cm="1">
        <f t="array" ref="J59">IFERROR(IF(OR($H59="", J58=""), "", IF($H59=2, SUM(IF(INDEX(_xlfn._xlws.FILTER(tblPiNHistorical[[CCCM]:[WASH]], tblPiNHistorical[Population Group]=J$5), 0, MATCH($Q$2, tblPiNHistorical[[#Headers],[CCCM]:[WASH]], 0))&gt;1.9, 1, 0)), IF(SUM(IF(INDEX(_xlfn._xlws.FILTER(tblPiNHistorical[[CCCM]:[WASH]], tblPiNHistorical[Population Group]=J$5), 0, MATCH($Q$2, tblPiNHistorical[[#Headers],[CCCM]:[WASH]], 0))=$H59, 1, 0))=0, "", SUM(IF(INDEX(_xlfn._xlws.FILTER(tblPiNHistorical[[CCCM]:[WASH]], tblPiNHistorical[Population Group]=J$5), 0, MATCH($Q$2, tblPiNHistorical[[#Headers],[CCCM]:[WASH]], 0))=$H59, 1, 0))))), "")</f>
        <v/>
      </c>
      <c r="K59" s="91" t="str" cm="1">
        <f t="array" ref="K59">IFERROR(IF(OR($H59="", K58=""), "", IF($H59=2, SUM(IF(INDEX(_xlfn._xlws.FILTER(tblPiNHistorical[[CCCM]:[WASH]], tblPiNHistorical[CCCM - old]=K$5), 0, MATCH($Q$2, tblPiNHistorical[[#Headers],[CCCM]:[WASH]], 0))&gt;1.9, 1, 0)), IF(SUM(IF(INDEX(_xlfn._xlws.FILTER(tblPiNHistorical[[CCCM]:[WASH]], tblPiNHistorical[CCCM - old]=K$5), 0, MATCH($Q$2, tblPiNHistorical[[#Headers],[CCCM]:[WASH]], 0))=$H59, 1, 0))=0, "", SUM(IF(INDEX(_xlfn._xlws.FILTER(tblPiNHistorical[[CCCM]:[WASH]], tblPiNHistorical[CCCM - old]=K$5), 0, MATCH($Q$2, tblPiNHistorical[[#Headers],[CCCM]:[WASH]], 0))=$H59, 1, 0))))), "")</f>
        <v/>
      </c>
      <c r="L59" s="91" t="str" cm="1">
        <f t="array" ref="L59">IFERROR(IF(OR($H59="", L58=""), "", IF($H59=2, SUM(IF(INDEX(_xlfn._xlws.FILTER(tblPiNHistorical[[CCCM]:[WASH]],#REF!= L$5), 0, MATCH($Q$2, tblPiNHistorical[[#Headers],[CCCM]:[WASH]], 0))&gt;1.9, 1, 0)), IF(SUM(IF(INDEX(_xlfn._xlws.FILTER(tblPiNHistorical[[CCCM]:[WASH]],#REF!= L$5), 0, MATCH($Q$2, tblPiNHistorical[[#Headers],[CCCM]:[WASH]], 0))=$H59, 1, 0))=0, "", SUM(IF(INDEX(_xlfn._xlws.FILTER(tblPiNHistorical[[CCCM]:[WASH]],#REF!= L$5), 0, MATCH($Q$2, tblPiNHistorical[[#Headers],[CCCM]:[WASH]], 0))=$H59, 1, 0))))), "")</f>
        <v/>
      </c>
      <c r="M59" s="91" t="str" cm="1">
        <f t="array" ref="M59">IFERROR(IF(OR($H59="", M58=""), "", IF($H59=2, SUM(IF(INDEX(_xlfn._xlws.FILTER(tblPiNHistorical[[CCCM]:[WASH]],#REF!= M$5), 0, MATCH($Q$2, tblPiNHistorical[[#Headers],[CCCM]:[WASH]], 0))&gt;1.9, 1, 0)), IF(SUM(IF(INDEX(_xlfn._xlws.FILTER(tblPiNHistorical[[CCCM]:[WASH]],#REF!= M$5), 0, MATCH($Q$2, tblPiNHistorical[[#Headers],[CCCM]:[WASH]], 0))=$H59, 1, 0))=0, "", SUM(IF(INDEX(_xlfn._xlws.FILTER(tblPiNHistorical[[CCCM]:[WASH]],#REF!= M$5), 0, MATCH($Q$2, tblPiNHistorical[[#Headers],[CCCM]:[WASH]], 0))=$H59, 1, 0))))), "")</f>
        <v/>
      </c>
    </row>
    <row r="60" spans="1:13">
      <c r="A60" s="93"/>
      <c r="B60" s="91" t="str" cm="1">
        <f t="array" ref="B60">IF($A60="", "", IF(SUM(IF(INDEX(_xlfn._xlws.FILTER(tblPiNAnalysis[[CCCM%]:[WASH%]], tblPiNAnalysis[Population Group]=B$5), 0, MATCH(_xlfn.CONCAT($Q$2, "%"), tblPiNAnalysis[[#Headers],[CCCM%]:[WASH%]], 0))=$A60, 1, 0))=0, "",SUM(IF(INDEX(_xlfn._xlws.FILTER(tblPiNAnalysis[[CCCM%]:[WASH%]], tblPiNAnalysis[Population Group]=B$5), 0, MATCH(_xlfn.CONCAT($Q$2, "%"), tblPiNAnalysis[[#Headers],[CCCM%]:[WASH%]], 0))=$A60, 1, 0))))</f>
        <v/>
      </c>
      <c r="C60" s="91" t="str" cm="1">
        <f t="array" ref="C60">IFERROR(IF(OR($A60="", C$5=""), "", IF(SUM(IF(INDEX(_xlfn._xlws.FILTER(tblPiNAnalysis[[CCCM%]:[WASH%]], tblPiNAnalysis[Population Group]=C$5), 0, MATCH(_xlfn.CONCAT($Q$2, "%"), tblPiNAnalysis[[#Headers],[CCCM%]:[WASH%]], 0))=$A60, 1, 0))=0, "",SUM(IF(INDEX(_xlfn._xlws.FILTER(tblPiNAnalysis[[CCCM%]:[WASH%]], tblPiNAnalysis[Population Group]=C$5), 0, MATCH(_xlfn.CONCAT($Q$2, "%"), tblPiNAnalysis[[#Headers],[CCCM%]:[WASH%]], 0))=$A60, 1, 0)))), "")</f>
        <v/>
      </c>
      <c r="D60" s="91" t="str" cm="1">
        <f t="array" ref="D60">IFERROR(IF(OR($A60="", D$5=""), "", IF(SUM(IF(INDEX(_xlfn._xlws.FILTER(tblPiNAnalysis[[CCCM%]:[WASH%]], tblPiNAnalysis[Population Group]=D$5), 0, MATCH(_xlfn.CONCAT($Q$2, "%"), tblPiNAnalysis[[#Headers],[CCCM%]:[WASH%]], 0))=$A60, 1, 0))=0, "",SUM(IF(INDEX(_xlfn._xlws.FILTER(tblPiNAnalysis[[CCCM%]:[WASH%]], tblPiNAnalysis[Population Group]=D$5), 0, MATCH(_xlfn.CONCAT($Q$2, "%"), tblPiNAnalysis[[#Headers],[CCCM%]:[WASH%]], 0))=$A60, 1, 0)))), "")</f>
        <v/>
      </c>
      <c r="E60" s="91" t="str" cm="1">
        <f t="array" ref="E60">IFERROR(IF(OR($A60="", E$5=""), "", IF(SUM(IF(INDEX(_xlfn._xlws.FILTER(tblPiNAnalysis[[CCCM%]:[WASH%]], tblPiNAnalysis[Population Group]=E$5), 0, MATCH(_xlfn.CONCAT($Q$2, "%"), tblPiNAnalysis[[#Headers],[CCCM%]:[WASH%]], 0))=$A60, 1, 0))=0, "",SUM(IF(INDEX(_xlfn._xlws.FILTER(tblPiNAnalysis[[CCCM%]:[WASH%]], tblPiNAnalysis[Population Group]=E$5), 0, MATCH(_xlfn.CONCAT($Q$2, "%"), tblPiNAnalysis[[#Headers],[CCCM%]:[WASH%]], 0))=$A60, 1, 0)))), "")</f>
        <v/>
      </c>
      <c r="F60" s="91" t="str" cm="1">
        <f t="array" ref="F60">IFERROR(IF(OR($A60="", F$5=""), "", IF(SUM(IF(INDEX(_xlfn._xlws.FILTER(tblPiNAnalysis[[CCCM%]:[WASH%]], tblPiNAnalysis[CCCM]=F$5), 0, MATCH(_xlfn.CONCAT($Q$2, "%"), tblPiNAnalysis[[#Headers],[CCCM%]:[WASH%]], 0))=$A60, 1, 0))=0, "",SUM(IF(INDEX(_xlfn._xlws.FILTER(tblPiNAnalysis[[CCCM%]:[WASH%]], tblPiNAnalysis[CCCM]=F$5), 0, MATCH(_xlfn.CONCAT($Q$2, "%"), tblPiNAnalysis[[#Headers],[CCCM%]:[WASH%]], 0))=$A60, 1, 0)))), "")</f>
        <v/>
      </c>
      <c r="H60" s="93"/>
      <c r="I60" s="91" t="str" cm="1">
        <f t="array" ref="I60">IF($H60="", "", IF($H60=2, SUM(IF(INDEX(_xlfn._xlws.FILTER(tblPiNHistorical[[CCCM]:[WASH]], tblPiNHistorical[Population Group]=I$5), 0, MATCH($Q$2, tblPiNHistorical[[#Headers],[CCCM]:[WASH]], 0))&gt;1.9, 1, 0)), IF(SUM(IF(INDEX(_xlfn._xlws.FILTER(tblPiNHistorical[[CCCM]:[WASH]], tblPiNHistorical[Population Group]=I$5), 0, MATCH($Q$2, tblPiNHistorical[[#Headers],[CCCM]:[WASH]], 0))=$H60, 1, 0))=0, "", SUM(IF(INDEX(_xlfn._xlws.FILTER(tblPiNHistorical[[CCCM]:[WASH]], tblPiNHistorical[Population Group]=I$5), 0, MATCH($Q$2, tblPiNHistorical[[#Headers],[CCCM]:[WASH]], 0))=$H60, 1, 0)))))</f>
        <v/>
      </c>
      <c r="J60" s="91" t="str" cm="1">
        <f t="array" ref="J60">IFERROR(IF(OR($H60="", J59=""), "", IF($H60=2, SUM(IF(INDEX(_xlfn._xlws.FILTER(tblPiNHistorical[[CCCM]:[WASH]], tblPiNHistorical[Population Group]=J$5), 0, MATCH($Q$2, tblPiNHistorical[[#Headers],[CCCM]:[WASH]], 0))&gt;1.9, 1, 0)), IF(SUM(IF(INDEX(_xlfn._xlws.FILTER(tblPiNHistorical[[CCCM]:[WASH]], tblPiNHistorical[Population Group]=J$5), 0, MATCH($Q$2, tblPiNHistorical[[#Headers],[CCCM]:[WASH]], 0))=$H60, 1, 0))=0, "", SUM(IF(INDEX(_xlfn._xlws.FILTER(tblPiNHistorical[[CCCM]:[WASH]], tblPiNHistorical[Population Group]=J$5), 0, MATCH($Q$2, tblPiNHistorical[[#Headers],[CCCM]:[WASH]], 0))=$H60, 1, 0))))), "")</f>
        <v/>
      </c>
      <c r="K60" s="91" t="str" cm="1">
        <f t="array" ref="K60">IFERROR(IF(OR($H60="", K59=""), "", IF($H60=2, SUM(IF(INDEX(_xlfn._xlws.FILTER(tblPiNHistorical[[CCCM]:[WASH]], tblPiNHistorical[CCCM - old]=K$5), 0, MATCH($Q$2, tblPiNHistorical[[#Headers],[CCCM]:[WASH]], 0))&gt;1.9, 1, 0)), IF(SUM(IF(INDEX(_xlfn._xlws.FILTER(tblPiNHistorical[[CCCM]:[WASH]], tblPiNHistorical[CCCM - old]=K$5), 0, MATCH($Q$2, tblPiNHistorical[[#Headers],[CCCM]:[WASH]], 0))=$H60, 1, 0))=0, "", SUM(IF(INDEX(_xlfn._xlws.FILTER(tblPiNHistorical[[CCCM]:[WASH]], tblPiNHistorical[CCCM - old]=K$5), 0, MATCH($Q$2, tblPiNHistorical[[#Headers],[CCCM]:[WASH]], 0))=$H60, 1, 0))))), "")</f>
        <v/>
      </c>
      <c r="L60" s="91" t="str" cm="1">
        <f t="array" ref="L60">IFERROR(IF(OR($H60="", L59=""), "", IF($H60=2, SUM(IF(INDEX(_xlfn._xlws.FILTER(tblPiNHistorical[[CCCM]:[WASH]],#REF!= L$5), 0, MATCH($Q$2, tblPiNHistorical[[#Headers],[CCCM]:[WASH]], 0))&gt;1.9, 1, 0)), IF(SUM(IF(INDEX(_xlfn._xlws.FILTER(tblPiNHistorical[[CCCM]:[WASH]],#REF!= L$5), 0, MATCH($Q$2, tblPiNHistorical[[#Headers],[CCCM]:[WASH]], 0))=$H60, 1, 0))=0, "", SUM(IF(INDEX(_xlfn._xlws.FILTER(tblPiNHistorical[[CCCM]:[WASH]],#REF!= L$5), 0, MATCH($Q$2, tblPiNHistorical[[#Headers],[CCCM]:[WASH]], 0))=$H60, 1, 0))))), "")</f>
        <v/>
      </c>
      <c r="M60" s="91" t="str" cm="1">
        <f t="array" ref="M60">IFERROR(IF(OR($H60="", M59=""), "", IF($H60=2, SUM(IF(INDEX(_xlfn._xlws.FILTER(tblPiNHistorical[[CCCM]:[WASH]],#REF!= M$5), 0, MATCH($Q$2, tblPiNHistorical[[#Headers],[CCCM]:[WASH]], 0))&gt;1.9, 1, 0)), IF(SUM(IF(INDEX(_xlfn._xlws.FILTER(tblPiNHistorical[[CCCM]:[WASH]],#REF!= M$5), 0, MATCH($Q$2, tblPiNHistorical[[#Headers],[CCCM]:[WASH]], 0))=$H60, 1, 0))=0, "", SUM(IF(INDEX(_xlfn._xlws.FILTER(tblPiNHistorical[[CCCM]:[WASH]],#REF!= M$5), 0, MATCH($Q$2, tblPiNHistorical[[#Headers],[CCCM]:[WASH]], 0))=$H60, 1, 0))))), "")</f>
        <v/>
      </c>
    </row>
    <row r="61" spans="1:13">
      <c r="A61" s="93"/>
      <c r="B61" s="91" t="str" cm="1">
        <f t="array" ref="B61">IF($A61="", "", IF(SUM(IF(INDEX(_xlfn._xlws.FILTER(tblPiNAnalysis[[CCCM%]:[WASH%]], tblPiNAnalysis[Population Group]=B$5), 0, MATCH(_xlfn.CONCAT($Q$2, "%"), tblPiNAnalysis[[#Headers],[CCCM%]:[WASH%]], 0))=$A61, 1, 0))=0, "",SUM(IF(INDEX(_xlfn._xlws.FILTER(tblPiNAnalysis[[CCCM%]:[WASH%]], tblPiNAnalysis[Population Group]=B$5), 0, MATCH(_xlfn.CONCAT($Q$2, "%"), tblPiNAnalysis[[#Headers],[CCCM%]:[WASH%]], 0))=$A61, 1, 0))))</f>
        <v/>
      </c>
      <c r="C61" s="91" t="str" cm="1">
        <f t="array" ref="C61">IFERROR(IF(OR($A61="", C$5=""), "", IF(SUM(IF(INDEX(_xlfn._xlws.FILTER(tblPiNAnalysis[[CCCM%]:[WASH%]], tblPiNAnalysis[Population Group]=C$5), 0, MATCH(_xlfn.CONCAT($Q$2, "%"), tblPiNAnalysis[[#Headers],[CCCM%]:[WASH%]], 0))=$A61, 1, 0))=0, "",SUM(IF(INDEX(_xlfn._xlws.FILTER(tblPiNAnalysis[[CCCM%]:[WASH%]], tblPiNAnalysis[Population Group]=C$5), 0, MATCH(_xlfn.CONCAT($Q$2, "%"), tblPiNAnalysis[[#Headers],[CCCM%]:[WASH%]], 0))=$A61, 1, 0)))), "")</f>
        <v/>
      </c>
      <c r="D61" s="91" t="str" cm="1">
        <f t="array" ref="D61">IFERROR(IF(OR($A61="", D$5=""), "", IF(SUM(IF(INDEX(_xlfn._xlws.FILTER(tblPiNAnalysis[[CCCM%]:[WASH%]], tblPiNAnalysis[Population Group]=D$5), 0, MATCH(_xlfn.CONCAT($Q$2, "%"), tblPiNAnalysis[[#Headers],[CCCM%]:[WASH%]], 0))=$A61, 1, 0))=0, "",SUM(IF(INDEX(_xlfn._xlws.FILTER(tblPiNAnalysis[[CCCM%]:[WASH%]], tblPiNAnalysis[Population Group]=D$5), 0, MATCH(_xlfn.CONCAT($Q$2, "%"), tblPiNAnalysis[[#Headers],[CCCM%]:[WASH%]], 0))=$A61, 1, 0)))), "")</f>
        <v/>
      </c>
      <c r="E61" s="91" t="str" cm="1">
        <f t="array" ref="E61">IFERROR(IF(OR($A61="", E$5=""), "", IF(SUM(IF(INDEX(_xlfn._xlws.FILTER(tblPiNAnalysis[[CCCM%]:[WASH%]], tblPiNAnalysis[Population Group]=E$5), 0, MATCH(_xlfn.CONCAT($Q$2, "%"), tblPiNAnalysis[[#Headers],[CCCM%]:[WASH%]], 0))=$A61, 1, 0))=0, "",SUM(IF(INDEX(_xlfn._xlws.FILTER(tblPiNAnalysis[[CCCM%]:[WASH%]], tblPiNAnalysis[Population Group]=E$5), 0, MATCH(_xlfn.CONCAT($Q$2, "%"), tblPiNAnalysis[[#Headers],[CCCM%]:[WASH%]], 0))=$A61, 1, 0)))), "")</f>
        <v/>
      </c>
      <c r="F61" s="91" t="str" cm="1">
        <f t="array" ref="F61">IFERROR(IF(OR($A61="", F$5=""), "", IF(SUM(IF(INDEX(_xlfn._xlws.FILTER(tblPiNAnalysis[[CCCM%]:[WASH%]], tblPiNAnalysis[CCCM]=F$5), 0, MATCH(_xlfn.CONCAT($Q$2, "%"), tblPiNAnalysis[[#Headers],[CCCM%]:[WASH%]], 0))=$A61, 1, 0))=0, "",SUM(IF(INDEX(_xlfn._xlws.FILTER(tblPiNAnalysis[[CCCM%]:[WASH%]], tblPiNAnalysis[CCCM]=F$5), 0, MATCH(_xlfn.CONCAT($Q$2, "%"), tblPiNAnalysis[[#Headers],[CCCM%]:[WASH%]], 0))=$A61, 1, 0)))), "")</f>
        <v/>
      </c>
      <c r="H61" s="93"/>
      <c r="I61" s="91" t="str" cm="1">
        <f t="array" ref="I61">IF($H61="", "", IF($H61=2, SUM(IF(INDEX(_xlfn._xlws.FILTER(tblPiNHistorical[[CCCM]:[WASH]], tblPiNHistorical[Population Group]=I$5), 0, MATCH($Q$2, tblPiNHistorical[[#Headers],[CCCM]:[WASH]], 0))&gt;1.9, 1, 0)), IF(SUM(IF(INDEX(_xlfn._xlws.FILTER(tblPiNHistorical[[CCCM]:[WASH]], tblPiNHistorical[Population Group]=I$5), 0, MATCH($Q$2, tblPiNHistorical[[#Headers],[CCCM]:[WASH]], 0))=$H61, 1, 0))=0, "", SUM(IF(INDEX(_xlfn._xlws.FILTER(tblPiNHistorical[[CCCM]:[WASH]], tblPiNHistorical[Population Group]=I$5), 0, MATCH($Q$2, tblPiNHistorical[[#Headers],[CCCM]:[WASH]], 0))=$H61, 1, 0)))))</f>
        <v/>
      </c>
      <c r="J61" s="91" t="str" cm="1">
        <f t="array" ref="J61">IFERROR(IF(OR($H61="", J60=""), "", IF($H61=2, SUM(IF(INDEX(_xlfn._xlws.FILTER(tblPiNHistorical[[CCCM]:[WASH]], tblPiNHistorical[Population Group]=J$5), 0, MATCH($Q$2, tblPiNHistorical[[#Headers],[CCCM]:[WASH]], 0))&gt;1.9, 1, 0)), IF(SUM(IF(INDEX(_xlfn._xlws.FILTER(tblPiNHistorical[[CCCM]:[WASH]], tblPiNHistorical[Population Group]=J$5), 0, MATCH($Q$2, tblPiNHistorical[[#Headers],[CCCM]:[WASH]], 0))=$H61, 1, 0))=0, "", SUM(IF(INDEX(_xlfn._xlws.FILTER(tblPiNHistorical[[CCCM]:[WASH]], tblPiNHistorical[Population Group]=J$5), 0, MATCH($Q$2, tblPiNHistorical[[#Headers],[CCCM]:[WASH]], 0))=$H61, 1, 0))))), "")</f>
        <v/>
      </c>
      <c r="K61" s="91" t="str" cm="1">
        <f t="array" ref="K61">IFERROR(IF(OR($H61="", K60=""), "", IF($H61=2, SUM(IF(INDEX(_xlfn._xlws.FILTER(tblPiNHistorical[[CCCM]:[WASH]], tblPiNHistorical[CCCM - old]=K$5), 0, MATCH($Q$2, tblPiNHistorical[[#Headers],[CCCM]:[WASH]], 0))&gt;1.9, 1, 0)), IF(SUM(IF(INDEX(_xlfn._xlws.FILTER(tblPiNHistorical[[CCCM]:[WASH]], tblPiNHistorical[CCCM - old]=K$5), 0, MATCH($Q$2, tblPiNHistorical[[#Headers],[CCCM]:[WASH]], 0))=$H61, 1, 0))=0, "", SUM(IF(INDEX(_xlfn._xlws.FILTER(tblPiNHistorical[[CCCM]:[WASH]], tblPiNHistorical[CCCM - old]=K$5), 0, MATCH($Q$2, tblPiNHistorical[[#Headers],[CCCM]:[WASH]], 0))=$H61, 1, 0))))), "")</f>
        <v/>
      </c>
      <c r="L61" s="91" t="str" cm="1">
        <f t="array" ref="L61">IFERROR(IF(OR($H61="", L60=""), "", IF($H61=2, SUM(IF(INDEX(_xlfn._xlws.FILTER(tblPiNHistorical[[CCCM]:[WASH]],#REF!= L$5), 0, MATCH($Q$2, tblPiNHistorical[[#Headers],[CCCM]:[WASH]], 0))&gt;1.9, 1, 0)), IF(SUM(IF(INDEX(_xlfn._xlws.FILTER(tblPiNHistorical[[CCCM]:[WASH]],#REF!= L$5), 0, MATCH($Q$2, tblPiNHistorical[[#Headers],[CCCM]:[WASH]], 0))=$H61, 1, 0))=0, "", SUM(IF(INDEX(_xlfn._xlws.FILTER(tblPiNHistorical[[CCCM]:[WASH]],#REF!= L$5), 0, MATCH($Q$2, tblPiNHistorical[[#Headers],[CCCM]:[WASH]], 0))=$H61, 1, 0))))), "")</f>
        <v/>
      </c>
      <c r="M61" s="91" t="str" cm="1">
        <f t="array" ref="M61">IFERROR(IF(OR($H61="", M60=""), "", IF($H61=2, SUM(IF(INDEX(_xlfn._xlws.FILTER(tblPiNHistorical[[CCCM]:[WASH]],#REF!= M$5), 0, MATCH($Q$2, tblPiNHistorical[[#Headers],[CCCM]:[WASH]], 0))&gt;1.9, 1, 0)), IF(SUM(IF(INDEX(_xlfn._xlws.FILTER(tblPiNHistorical[[CCCM]:[WASH]],#REF!= M$5), 0, MATCH($Q$2, tblPiNHistorical[[#Headers],[CCCM]:[WASH]], 0))=$H61, 1, 0))=0, "", SUM(IF(INDEX(_xlfn._xlws.FILTER(tblPiNHistorical[[CCCM]:[WASH]],#REF!= M$5), 0, MATCH($Q$2, tblPiNHistorical[[#Headers],[CCCM]:[WASH]], 0))=$H61, 1, 0))))), "")</f>
        <v/>
      </c>
    </row>
    <row r="62" spans="1:13">
      <c r="A62" s="93"/>
      <c r="B62" s="91" t="str" cm="1">
        <f t="array" ref="B62">IF($A62="", "", IF(SUM(IF(INDEX(_xlfn._xlws.FILTER(tblPiNAnalysis[[CCCM%]:[WASH%]], tblPiNAnalysis[Population Group]=B$5), 0, MATCH(_xlfn.CONCAT($Q$2, "%"), tblPiNAnalysis[[#Headers],[CCCM%]:[WASH%]], 0))=$A62, 1, 0))=0, "",SUM(IF(INDEX(_xlfn._xlws.FILTER(tblPiNAnalysis[[CCCM%]:[WASH%]], tblPiNAnalysis[Population Group]=B$5), 0, MATCH(_xlfn.CONCAT($Q$2, "%"), tblPiNAnalysis[[#Headers],[CCCM%]:[WASH%]], 0))=$A62, 1, 0))))</f>
        <v/>
      </c>
      <c r="C62" s="91" t="str" cm="1">
        <f t="array" ref="C62">IFERROR(IF(OR($A62="", C$5=""), "", IF(SUM(IF(INDEX(_xlfn._xlws.FILTER(tblPiNAnalysis[[CCCM%]:[WASH%]], tblPiNAnalysis[Population Group]=C$5), 0, MATCH(_xlfn.CONCAT($Q$2, "%"), tblPiNAnalysis[[#Headers],[CCCM%]:[WASH%]], 0))=$A62, 1, 0))=0, "",SUM(IF(INDEX(_xlfn._xlws.FILTER(tblPiNAnalysis[[CCCM%]:[WASH%]], tblPiNAnalysis[Population Group]=C$5), 0, MATCH(_xlfn.CONCAT($Q$2, "%"), tblPiNAnalysis[[#Headers],[CCCM%]:[WASH%]], 0))=$A62, 1, 0)))), "")</f>
        <v/>
      </c>
      <c r="D62" s="91" t="str" cm="1">
        <f t="array" ref="D62">IFERROR(IF(OR($A62="", D$5=""), "", IF(SUM(IF(INDEX(_xlfn._xlws.FILTER(tblPiNAnalysis[[CCCM%]:[WASH%]], tblPiNAnalysis[Population Group]=D$5), 0, MATCH(_xlfn.CONCAT($Q$2, "%"), tblPiNAnalysis[[#Headers],[CCCM%]:[WASH%]], 0))=$A62, 1, 0))=0, "",SUM(IF(INDEX(_xlfn._xlws.FILTER(tblPiNAnalysis[[CCCM%]:[WASH%]], tblPiNAnalysis[Population Group]=D$5), 0, MATCH(_xlfn.CONCAT($Q$2, "%"), tblPiNAnalysis[[#Headers],[CCCM%]:[WASH%]], 0))=$A62, 1, 0)))), "")</f>
        <v/>
      </c>
      <c r="E62" s="91" t="str" cm="1">
        <f t="array" ref="E62">IFERROR(IF(OR($A62="", E$5=""), "", IF(SUM(IF(INDEX(_xlfn._xlws.FILTER(tblPiNAnalysis[[CCCM%]:[WASH%]], tblPiNAnalysis[Population Group]=E$5), 0, MATCH(_xlfn.CONCAT($Q$2, "%"), tblPiNAnalysis[[#Headers],[CCCM%]:[WASH%]], 0))=$A62, 1, 0))=0, "",SUM(IF(INDEX(_xlfn._xlws.FILTER(tblPiNAnalysis[[CCCM%]:[WASH%]], tblPiNAnalysis[Population Group]=E$5), 0, MATCH(_xlfn.CONCAT($Q$2, "%"), tblPiNAnalysis[[#Headers],[CCCM%]:[WASH%]], 0))=$A62, 1, 0)))), "")</f>
        <v/>
      </c>
      <c r="F62" s="91" t="str" cm="1">
        <f t="array" ref="F62">IFERROR(IF(OR($A62="", F$5=""), "", IF(SUM(IF(INDEX(_xlfn._xlws.FILTER(tblPiNAnalysis[[CCCM%]:[WASH%]], tblPiNAnalysis[CCCM]=F$5), 0, MATCH(_xlfn.CONCAT($Q$2, "%"), tblPiNAnalysis[[#Headers],[CCCM%]:[WASH%]], 0))=$A62, 1, 0))=0, "",SUM(IF(INDEX(_xlfn._xlws.FILTER(tblPiNAnalysis[[CCCM%]:[WASH%]], tblPiNAnalysis[CCCM]=F$5), 0, MATCH(_xlfn.CONCAT($Q$2, "%"), tblPiNAnalysis[[#Headers],[CCCM%]:[WASH%]], 0))=$A62, 1, 0)))), "")</f>
        <v/>
      </c>
      <c r="H62" s="93"/>
      <c r="I62" s="91" t="str" cm="1">
        <f t="array" ref="I62">IF($H62="", "", IF($H62=2, SUM(IF(INDEX(_xlfn._xlws.FILTER(tblPiNHistorical[[CCCM]:[WASH]], tblPiNHistorical[Population Group]=I$5), 0, MATCH($Q$2, tblPiNHistorical[[#Headers],[CCCM]:[WASH]], 0))&gt;1.9, 1, 0)), IF(SUM(IF(INDEX(_xlfn._xlws.FILTER(tblPiNHistorical[[CCCM]:[WASH]], tblPiNHistorical[Population Group]=I$5), 0, MATCH($Q$2, tblPiNHistorical[[#Headers],[CCCM]:[WASH]], 0))=$H62, 1, 0))=0, "", SUM(IF(INDEX(_xlfn._xlws.FILTER(tblPiNHistorical[[CCCM]:[WASH]], tblPiNHistorical[Population Group]=I$5), 0, MATCH($Q$2, tblPiNHistorical[[#Headers],[CCCM]:[WASH]], 0))=$H62, 1, 0)))))</f>
        <v/>
      </c>
      <c r="J62" s="91" t="str" cm="1">
        <f t="array" ref="J62">IFERROR(IF(OR($H62="", J61=""), "", IF($H62=2, SUM(IF(INDEX(_xlfn._xlws.FILTER(tblPiNHistorical[[CCCM]:[WASH]], tblPiNHistorical[Population Group]=J$5), 0, MATCH($Q$2, tblPiNHistorical[[#Headers],[CCCM]:[WASH]], 0))&gt;1.9, 1, 0)), IF(SUM(IF(INDEX(_xlfn._xlws.FILTER(tblPiNHistorical[[CCCM]:[WASH]], tblPiNHistorical[Population Group]=J$5), 0, MATCH($Q$2, tblPiNHistorical[[#Headers],[CCCM]:[WASH]], 0))=$H62, 1, 0))=0, "", SUM(IF(INDEX(_xlfn._xlws.FILTER(tblPiNHistorical[[CCCM]:[WASH]], tblPiNHistorical[Population Group]=J$5), 0, MATCH($Q$2, tblPiNHistorical[[#Headers],[CCCM]:[WASH]], 0))=$H62, 1, 0))))), "")</f>
        <v/>
      </c>
      <c r="K62" s="91" t="str" cm="1">
        <f t="array" ref="K62">IFERROR(IF(OR($H62="", K61=""), "", IF($H62=2, SUM(IF(INDEX(_xlfn._xlws.FILTER(tblPiNHistorical[[CCCM]:[WASH]], tblPiNHistorical[CCCM - old]=K$5), 0, MATCH($Q$2, tblPiNHistorical[[#Headers],[CCCM]:[WASH]], 0))&gt;1.9, 1, 0)), IF(SUM(IF(INDEX(_xlfn._xlws.FILTER(tblPiNHistorical[[CCCM]:[WASH]], tblPiNHistorical[CCCM - old]=K$5), 0, MATCH($Q$2, tblPiNHistorical[[#Headers],[CCCM]:[WASH]], 0))=$H62, 1, 0))=0, "", SUM(IF(INDEX(_xlfn._xlws.FILTER(tblPiNHistorical[[CCCM]:[WASH]], tblPiNHistorical[CCCM - old]=K$5), 0, MATCH($Q$2, tblPiNHistorical[[#Headers],[CCCM]:[WASH]], 0))=$H62, 1, 0))))), "")</f>
        <v/>
      </c>
      <c r="L62" s="91" t="str" cm="1">
        <f t="array" ref="L62">IFERROR(IF(OR($H62="", L61=""), "", IF($H62=2, SUM(IF(INDEX(_xlfn._xlws.FILTER(tblPiNHistorical[[CCCM]:[WASH]],#REF!= L$5), 0, MATCH($Q$2, tblPiNHistorical[[#Headers],[CCCM]:[WASH]], 0))&gt;1.9, 1, 0)), IF(SUM(IF(INDEX(_xlfn._xlws.FILTER(tblPiNHistorical[[CCCM]:[WASH]],#REF!= L$5), 0, MATCH($Q$2, tblPiNHistorical[[#Headers],[CCCM]:[WASH]], 0))=$H62, 1, 0))=0, "", SUM(IF(INDEX(_xlfn._xlws.FILTER(tblPiNHistorical[[CCCM]:[WASH]],#REF!= L$5), 0, MATCH($Q$2, tblPiNHistorical[[#Headers],[CCCM]:[WASH]], 0))=$H62, 1, 0))))), "")</f>
        <v/>
      </c>
      <c r="M62" s="91" t="str" cm="1">
        <f t="array" ref="M62">IFERROR(IF(OR($H62="", M61=""), "", IF($H62=2, SUM(IF(INDEX(_xlfn._xlws.FILTER(tblPiNHistorical[[CCCM]:[WASH]],#REF!= M$5), 0, MATCH($Q$2, tblPiNHistorical[[#Headers],[CCCM]:[WASH]], 0))&gt;1.9, 1, 0)), IF(SUM(IF(INDEX(_xlfn._xlws.FILTER(tblPiNHistorical[[CCCM]:[WASH]],#REF!= M$5), 0, MATCH($Q$2, tblPiNHistorical[[#Headers],[CCCM]:[WASH]], 0))=$H62, 1, 0))=0, "", SUM(IF(INDEX(_xlfn._xlws.FILTER(tblPiNHistorical[[CCCM]:[WASH]],#REF!= M$5), 0, MATCH($Q$2, tblPiNHistorical[[#Headers],[CCCM]:[WASH]], 0))=$H62, 1, 0))))), "")</f>
        <v/>
      </c>
    </row>
    <row r="63" spans="1:13">
      <c r="A63" s="93"/>
      <c r="B63" s="91" t="str" cm="1">
        <f t="array" ref="B63">IF($A63="", "", IF(SUM(IF(INDEX(_xlfn._xlws.FILTER(tblPiNAnalysis[[CCCM%]:[WASH%]], tblPiNAnalysis[Population Group]=B$5), 0, MATCH(_xlfn.CONCAT($Q$2, "%"), tblPiNAnalysis[[#Headers],[CCCM%]:[WASH%]], 0))=$A63, 1, 0))=0, "",SUM(IF(INDEX(_xlfn._xlws.FILTER(tblPiNAnalysis[[CCCM%]:[WASH%]], tblPiNAnalysis[Population Group]=B$5), 0, MATCH(_xlfn.CONCAT($Q$2, "%"), tblPiNAnalysis[[#Headers],[CCCM%]:[WASH%]], 0))=$A63, 1, 0))))</f>
        <v/>
      </c>
      <c r="C63" s="91" t="str" cm="1">
        <f t="array" ref="C63">IFERROR(IF(OR($A63="", C$5=""), "", IF(SUM(IF(INDEX(_xlfn._xlws.FILTER(tblPiNAnalysis[[CCCM%]:[WASH%]], tblPiNAnalysis[Population Group]=C$5), 0, MATCH(_xlfn.CONCAT($Q$2, "%"), tblPiNAnalysis[[#Headers],[CCCM%]:[WASH%]], 0))=$A63, 1, 0))=0, "",SUM(IF(INDEX(_xlfn._xlws.FILTER(tblPiNAnalysis[[CCCM%]:[WASH%]], tblPiNAnalysis[Population Group]=C$5), 0, MATCH(_xlfn.CONCAT($Q$2, "%"), tblPiNAnalysis[[#Headers],[CCCM%]:[WASH%]], 0))=$A63, 1, 0)))), "")</f>
        <v/>
      </c>
      <c r="D63" s="91" t="str" cm="1">
        <f t="array" ref="D63">IFERROR(IF(OR($A63="", D$5=""), "", IF(SUM(IF(INDEX(_xlfn._xlws.FILTER(tblPiNAnalysis[[CCCM%]:[WASH%]], tblPiNAnalysis[Population Group]=D$5), 0, MATCH(_xlfn.CONCAT($Q$2, "%"), tblPiNAnalysis[[#Headers],[CCCM%]:[WASH%]], 0))=$A63, 1, 0))=0, "",SUM(IF(INDEX(_xlfn._xlws.FILTER(tblPiNAnalysis[[CCCM%]:[WASH%]], tblPiNAnalysis[Population Group]=D$5), 0, MATCH(_xlfn.CONCAT($Q$2, "%"), tblPiNAnalysis[[#Headers],[CCCM%]:[WASH%]], 0))=$A63, 1, 0)))), "")</f>
        <v/>
      </c>
      <c r="E63" s="91" t="str" cm="1">
        <f t="array" ref="E63">IFERROR(IF(OR($A63="", E$5=""), "", IF(SUM(IF(INDEX(_xlfn._xlws.FILTER(tblPiNAnalysis[[CCCM%]:[WASH%]], tblPiNAnalysis[Population Group]=E$5), 0, MATCH(_xlfn.CONCAT($Q$2, "%"), tblPiNAnalysis[[#Headers],[CCCM%]:[WASH%]], 0))=$A63, 1, 0))=0, "",SUM(IF(INDEX(_xlfn._xlws.FILTER(tblPiNAnalysis[[CCCM%]:[WASH%]], tblPiNAnalysis[Population Group]=E$5), 0, MATCH(_xlfn.CONCAT($Q$2, "%"), tblPiNAnalysis[[#Headers],[CCCM%]:[WASH%]], 0))=$A63, 1, 0)))), "")</f>
        <v/>
      </c>
      <c r="F63" s="91" t="str" cm="1">
        <f t="array" ref="F63">IFERROR(IF(OR($A63="", F$5=""), "", IF(SUM(IF(INDEX(_xlfn._xlws.FILTER(tblPiNAnalysis[[CCCM%]:[WASH%]], tblPiNAnalysis[CCCM]=F$5), 0, MATCH(_xlfn.CONCAT($Q$2, "%"), tblPiNAnalysis[[#Headers],[CCCM%]:[WASH%]], 0))=$A63, 1, 0))=0, "",SUM(IF(INDEX(_xlfn._xlws.FILTER(tblPiNAnalysis[[CCCM%]:[WASH%]], tblPiNAnalysis[CCCM]=F$5), 0, MATCH(_xlfn.CONCAT($Q$2, "%"), tblPiNAnalysis[[#Headers],[CCCM%]:[WASH%]], 0))=$A63, 1, 0)))), "")</f>
        <v/>
      </c>
      <c r="H63" s="93"/>
      <c r="I63" s="91" t="str" cm="1">
        <f t="array" ref="I63">IF($H63="", "", IF($H63=2, SUM(IF(INDEX(_xlfn._xlws.FILTER(tblPiNHistorical[[CCCM]:[WASH]], tblPiNHistorical[Population Group]=I$5), 0, MATCH($Q$2, tblPiNHistorical[[#Headers],[CCCM]:[WASH]], 0))&gt;1.9, 1, 0)), IF(SUM(IF(INDEX(_xlfn._xlws.FILTER(tblPiNHistorical[[CCCM]:[WASH]], tblPiNHistorical[Population Group]=I$5), 0, MATCH($Q$2, tblPiNHistorical[[#Headers],[CCCM]:[WASH]], 0))=$H63, 1, 0))=0, "", SUM(IF(INDEX(_xlfn._xlws.FILTER(tblPiNHistorical[[CCCM]:[WASH]], tblPiNHistorical[Population Group]=I$5), 0, MATCH($Q$2, tblPiNHistorical[[#Headers],[CCCM]:[WASH]], 0))=$H63, 1, 0)))))</f>
        <v/>
      </c>
      <c r="J63" s="91" t="str" cm="1">
        <f t="array" ref="J63">IFERROR(IF(OR($H63="", J62=""), "", IF($H63=2, SUM(IF(INDEX(_xlfn._xlws.FILTER(tblPiNHistorical[[CCCM]:[WASH]], tblPiNHistorical[Population Group]=J$5), 0, MATCH($Q$2, tblPiNHistorical[[#Headers],[CCCM]:[WASH]], 0))&gt;1.9, 1, 0)), IF(SUM(IF(INDEX(_xlfn._xlws.FILTER(tblPiNHistorical[[CCCM]:[WASH]], tblPiNHistorical[Population Group]=J$5), 0, MATCH($Q$2, tblPiNHistorical[[#Headers],[CCCM]:[WASH]], 0))=$H63, 1, 0))=0, "", SUM(IF(INDEX(_xlfn._xlws.FILTER(tblPiNHistorical[[CCCM]:[WASH]], tblPiNHistorical[Population Group]=J$5), 0, MATCH($Q$2, tblPiNHistorical[[#Headers],[CCCM]:[WASH]], 0))=$H63, 1, 0))))), "")</f>
        <v/>
      </c>
      <c r="K63" s="91" t="str" cm="1">
        <f t="array" ref="K63">IFERROR(IF(OR($H63="", K62=""), "", IF($H63=2, SUM(IF(INDEX(_xlfn._xlws.FILTER(tblPiNHistorical[[CCCM]:[WASH]], tblPiNHistorical[CCCM - old]=K$5), 0, MATCH($Q$2, tblPiNHistorical[[#Headers],[CCCM]:[WASH]], 0))&gt;1.9, 1, 0)), IF(SUM(IF(INDEX(_xlfn._xlws.FILTER(tblPiNHistorical[[CCCM]:[WASH]], tblPiNHistorical[CCCM - old]=K$5), 0, MATCH($Q$2, tblPiNHistorical[[#Headers],[CCCM]:[WASH]], 0))=$H63, 1, 0))=0, "", SUM(IF(INDEX(_xlfn._xlws.FILTER(tblPiNHistorical[[CCCM]:[WASH]], tblPiNHistorical[CCCM - old]=K$5), 0, MATCH($Q$2, tblPiNHistorical[[#Headers],[CCCM]:[WASH]], 0))=$H63, 1, 0))))), "")</f>
        <v/>
      </c>
      <c r="L63" s="91" t="str" cm="1">
        <f t="array" ref="L63">IFERROR(IF(OR($H63="", L62=""), "", IF($H63=2, SUM(IF(INDEX(_xlfn._xlws.FILTER(tblPiNHistorical[[CCCM]:[WASH]],#REF!= L$5), 0, MATCH($Q$2, tblPiNHistorical[[#Headers],[CCCM]:[WASH]], 0))&gt;1.9, 1, 0)), IF(SUM(IF(INDEX(_xlfn._xlws.FILTER(tblPiNHistorical[[CCCM]:[WASH]],#REF!= L$5), 0, MATCH($Q$2, tblPiNHistorical[[#Headers],[CCCM]:[WASH]], 0))=$H63, 1, 0))=0, "", SUM(IF(INDEX(_xlfn._xlws.FILTER(tblPiNHistorical[[CCCM]:[WASH]],#REF!= L$5), 0, MATCH($Q$2, tblPiNHistorical[[#Headers],[CCCM]:[WASH]], 0))=$H63, 1, 0))))), "")</f>
        <v/>
      </c>
      <c r="M63" s="91" t="str" cm="1">
        <f t="array" ref="M63">IFERROR(IF(OR($H63="", M62=""), "", IF($H63=2, SUM(IF(INDEX(_xlfn._xlws.FILTER(tblPiNHistorical[[CCCM]:[WASH]],#REF!= M$5), 0, MATCH($Q$2, tblPiNHistorical[[#Headers],[CCCM]:[WASH]], 0))&gt;1.9, 1, 0)), IF(SUM(IF(INDEX(_xlfn._xlws.FILTER(tblPiNHistorical[[CCCM]:[WASH]],#REF!= M$5), 0, MATCH($Q$2, tblPiNHistorical[[#Headers],[CCCM]:[WASH]], 0))=$H63, 1, 0))=0, "", SUM(IF(INDEX(_xlfn._xlws.FILTER(tblPiNHistorical[[CCCM]:[WASH]],#REF!= M$5), 0, MATCH($Q$2, tblPiNHistorical[[#Headers],[CCCM]:[WASH]], 0))=$H63, 1, 0))))), "")</f>
        <v/>
      </c>
    </row>
    <row r="64" spans="1:13">
      <c r="A64" s="93"/>
      <c r="B64" s="91" t="str" cm="1">
        <f t="array" ref="B64">IF($A64="", "", IF(SUM(IF(INDEX(_xlfn._xlws.FILTER(tblPiNAnalysis[[CCCM%]:[WASH%]], tblPiNAnalysis[Population Group]=B$5), 0, MATCH(_xlfn.CONCAT($Q$2, "%"), tblPiNAnalysis[[#Headers],[CCCM%]:[WASH%]], 0))=$A64, 1, 0))=0, "",SUM(IF(INDEX(_xlfn._xlws.FILTER(tblPiNAnalysis[[CCCM%]:[WASH%]], tblPiNAnalysis[Population Group]=B$5), 0, MATCH(_xlfn.CONCAT($Q$2, "%"), tblPiNAnalysis[[#Headers],[CCCM%]:[WASH%]], 0))=$A64, 1, 0))))</f>
        <v/>
      </c>
      <c r="C64" s="91" t="str" cm="1">
        <f t="array" ref="C64">IFERROR(IF(OR($A64="", C$5=""), "", IF(SUM(IF(INDEX(_xlfn._xlws.FILTER(tblPiNAnalysis[[CCCM%]:[WASH%]], tblPiNAnalysis[Population Group]=C$5), 0, MATCH(_xlfn.CONCAT($Q$2, "%"), tblPiNAnalysis[[#Headers],[CCCM%]:[WASH%]], 0))=$A64, 1, 0))=0, "",SUM(IF(INDEX(_xlfn._xlws.FILTER(tblPiNAnalysis[[CCCM%]:[WASH%]], tblPiNAnalysis[Population Group]=C$5), 0, MATCH(_xlfn.CONCAT($Q$2, "%"), tblPiNAnalysis[[#Headers],[CCCM%]:[WASH%]], 0))=$A64, 1, 0)))), "")</f>
        <v/>
      </c>
      <c r="D64" s="91" t="str" cm="1">
        <f t="array" ref="D64">IFERROR(IF(OR($A64="", D$5=""), "", IF(SUM(IF(INDEX(_xlfn._xlws.FILTER(tblPiNAnalysis[[CCCM%]:[WASH%]], tblPiNAnalysis[Population Group]=D$5), 0, MATCH(_xlfn.CONCAT($Q$2, "%"), tblPiNAnalysis[[#Headers],[CCCM%]:[WASH%]], 0))=$A64, 1, 0))=0, "",SUM(IF(INDEX(_xlfn._xlws.FILTER(tblPiNAnalysis[[CCCM%]:[WASH%]], tblPiNAnalysis[Population Group]=D$5), 0, MATCH(_xlfn.CONCAT($Q$2, "%"), tblPiNAnalysis[[#Headers],[CCCM%]:[WASH%]], 0))=$A64, 1, 0)))), "")</f>
        <v/>
      </c>
      <c r="E64" s="91" t="str" cm="1">
        <f t="array" ref="E64">IFERROR(IF(OR($A64="", E$5=""), "", IF(SUM(IF(INDEX(_xlfn._xlws.FILTER(tblPiNAnalysis[[CCCM%]:[WASH%]], tblPiNAnalysis[Population Group]=E$5), 0, MATCH(_xlfn.CONCAT($Q$2, "%"), tblPiNAnalysis[[#Headers],[CCCM%]:[WASH%]], 0))=$A64, 1, 0))=0, "",SUM(IF(INDEX(_xlfn._xlws.FILTER(tblPiNAnalysis[[CCCM%]:[WASH%]], tblPiNAnalysis[Population Group]=E$5), 0, MATCH(_xlfn.CONCAT($Q$2, "%"), tblPiNAnalysis[[#Headers],[CCCM%]:[WASH%]], 0))=$A64, 1, 0)))), "")</f>
        <v/>
      </c>
      <c r="F64" s="91" t="str" cm="1">
        <f t="array" ref="F64">IFERROR(IF(OR($A64="", F$5=""), "", IF(SUM(IF(INDEX(_xlfn._xlws.FILTER(tblPiNAnalysis[[CCCM%]:[WASH%]], tblPiNAnalysis[CCCM]=F$5), 0, MATCH(_xlfn.CONCAT($Q$2, "%"), tblPiNAnalysis[[#Headers],[CCCM%]:[WASH%]], 0))=$A64, 1, 0))=0, "",SUM(IF(INDEX(_xlfn._xlws.FILTER(tblPiNAnalysis[[CCCM%]:[WASH%]], tblPiNAnalysis[CCCM]=F$5), 0, MATCH(_xlfn.CONCAT($Q$2, "%"), tblPiNAnalysis[[#Headers],[CCCM%]:[WASH%]], 0))=$A64, 1, 0)))), "")</f>
        <v/>
      </c>
      <c r="H64" s="93"/>
      <c r="I64" s="91" t="str" cm="1">
        <f t="array" ref="I64">IF($H64="", "", IF($H64=2, SUM(IF(INDEX(_xlfn._xlws.FILTER(tblPiNHistorical[[CCCM]:[WASH]], tblPiNHistorical[Population Group]=I$5), 0, MATCH($Q$2, tblPiNHistorical[[#Headers],[CCCM]:[WASH]], 0))&gt;1.9, 1, 0)), IF(SUM(IF(INDEX(_xlfn._xlws.FILTER(tblPiNHistorical[[CCCM]:[WASH]], tblPiNHistorical[Population Group]=I$5), 0, MATCH($Q$2, tblPiNHistorical[[#Headers],[CCCM]:[WASH]], 0))=$H64, 1, 0))=0, "", SUM(IF(INDEX(_xlfn._xlws.FILTER(tblPiNHistorical[[CCCM]:[WASH]], tblPiNHistorical[Population Group]=I$5), 0, MATCH($Q$2, tblPiNHistorical[[#Headers],[CCCM]:[WASH]], 0))=$H64, 1, 0)))))</f>
        <v/>
      </c>
      <c r="J64" s="91" t="str" cm="1">
        <f t="array" ref="J64">IFERROR(IF(OR($H64="", J63=""), "", IF($H64=2, SUM(IF(INDEX(_xlfn._xlws.FILTER(tblPiNHistorical[[CCCM]:[WASH]], tblPiNHistorical[Population Group]=J$5), 0, MATCH($Q$2, tblPiNHistorical[[#Headers],[CCCM]:[WASH]], 0))&gt;1.9, 1, 0)), IF(SUM(IF(INDEX(_xlfn._xlws.FILTER(tblPiNHistorical[[CCCM]:[WASH]], tblPiNHistorical[Population Group]=J$5), 0, MATCH($Q$2, tblPiNHistorical[[#Headers],[CCCM]:[WASH]], 0))=$H64, 1, 0))=0, "", SUM(IF(INDEX(_xlfn._xlws.FILTER(tblPiNHistorical[[CCCM]:[WASH]], tblPiNHistorical[Population Group]=J$5), 0, MATCH($Q$2, tblPiNHistorical[[#Headers],[CCCM]:[WASH]], 0))=$H64, 1, 0))))), "")</f>
        <v/>
      </c>
      <c r="K64" s="91" t="str" cm="1">
        <f t="array" ref="K64">IFERROR(IF(OR($H64="", K63=""), "", IF($H64=2, SUM(IF(INDEX(_xlfn._xlws.FILTER(tblPiNHistorical[[CCCM]:[WASH]], tblPiNHistorical[CCCM - old]=K$5), 0, MATCH($Q$2, tblPiNHistorical[[#Headers],[CCCM]:[WASH]], 0))&gt;1.9, 1, 0)), IF(SUM(IF(INDEX(_xlfn._xlws.FILTER(tblPiNHistorical[[CCCM]:[WASH]], tblPiNHistorical[CCCM - old]=K$5), 0, MATCH($Q$2, tblPiNHistorical[[#Headers],[CCCM]:[WASH]], 0))=$H64, 1, 0))=0, "", SUM(IF(INDEX(_xlfn._xlws.FILTER(tblPiNHistorical[[CCCM]:[WASH]], tblPiNHistorical[CCCM - old]=K$5), 0, MATCH($Q$2, tblPiNHistorical[[#Headers],[CCCM]:[WASH]], 0))=$H64, 1, 0))))), "")</f>
        <v/>
      </c>
      <c r="L64" s="91" t="str" cm="1">
        <f t="array" ref="L64">IFERROR(IF(OR($H64="", L63=""), "", IF($H64=2, SUM(IF(INDEX(_xlfn._xlws.FILTER(tblPiNHistorical[[CCCM]:[WASH]],#REF!= L$5), 0, MATCH($Q$2, tblPiNHistorical[[#Headers],[CCCM]:[WASH]], 0))&gt;1.9, 1, 0)), IF(SUM(IF(INDEX(_xlfn._xlws.FILTER(tblPiNHistorical[[CCCM]:[WASH]],#REF!= L$5), 0, MATCH($Q$2, tblPiNHistorical[[#Headers],[CCCM]:[WASH]], 0))=$H64, 1, 0))=0, "", SUM(IF(INDEX(_xlfn._xlws.FILTER(tblPiNHistorical[[CCCM]:[WASH]],#REF!= L$5), 0, MATCH($Q$2, tblPiNHistorical[[#Headers],[CCCM]:[WASH]], 0))=$H64, 1, 0))))), "")</f>
        <v/>
      </c>
      <c r="M64" s="91" t="str" cm="1">
        <f t="array" ref="M64">IFERROR(IF(OR($H64="", M63=""), "", IF($H64=2, SUM(IF(INDEX(_xlfn._xlws.FILTER(tblPiNHistorical[[CCCM]:[WASH]],#REF!= M$5), 0, MATCH($Q$2, tblPiNHistorical[[#Headers],[CCCM]:[WASH]], 0))&gt;1.9, 1, 0)), IF(SUM(IF(INDEX(_xlfn._xlws.FILTER(tblPiNHistorical[[CCCM]:[WASH]],#REF!= M$5), 0, MATCH($Q$2, tblPiNHistorical[[#Headers],[CCCM]:[WASH]], 0))=$H64, 1, 0))=0, "", SUM(IF(INDEX(_xlfn._xlws.FILTER(tblPiNHistorical[[CCCM]:[WASH]],#REF!= M$5), 0, MATCH($Q$2, tblPiNHistorical[[#Headers],[CCCM]:[WASH]], 0))=$H64, 1, 0))))), "")</f>
        <v/>
      </c>
    </row>
    <row r="65" spans="1:13">
      <c r="A65" s="93"/>
      <c r="B65" s="91" t="str" cm="1">
        <f t="array" ref="B65">IF($A65="", "", IF(SUM(IF(INDEX(_xlfn._xlws.FILTER(tblPiNAnalysis[[CCCM%]:[WASH%]], tblPiNAnalysis[Population Group]=B$5), 0, MATCH(_xlfn.CONCAT($Q$2, "%"), tblPiNAnalysis[[#Headers],[CCCM%]:[WASH%]], 0))=$A65, 1, 0))=0, "",SUM(IF(INDEX(_xlfn._xlws.FILTER(tblPiNAnalysis[[CCCM%]:[WASH%]], tblPiNAnalysis[Population Group]=B$5), 0, MATCH(_xlfn.CONCAT($Q$2, "%"), tblPiNAnalysis[[#Headers],[CCCM%]:[WASH%]], 0))=$A65, 1, 0))))</f>
        <v/>
      </c>
      <c r="C65" s="91" t="str" cm="1">
        <f t="array" ref="C65">IFERROR(IF(OR($A65="", C$5=""), "", IF(SUM(IF(INDEX(_xlfn._xlws.FILTER(tblPiNAnalysis[[CCCM%]:[WASH%]], tblPiNAnalysis[Population Group]=C$5), 0, MATCH(_xlfn.CONCAT($Q$2, "%"), tblPiNAnalysis[[#Headers],[CCCM%]:[WASH%]], 0))=$A65, 1, 0))=0, "",SUM(IF(INDEX(_xlfn._xlws.FILTER(tblPiNAnalysis[[CCCM%]:[WASH%]], tblPiNAnalysis[Population Group]=C$5), 0, MATCH(_xlfn.CONCAT($Q$2, "%"), tblPiNAnalysis[[#Headers],[CCCM%]:[WASH%]], 0))=$A65, 1, 0)))), "")</f>
        <v/>
      </c>
      <c r="D65" s="91" t="str" cm="1">
        <f t="array" ref="D65">IFERROR(IF(OR($A65="", D$5=""), "", IF(SUM(IF(INDEX(_xlfn._xlws.FILTER(tblPiNAnalysis[[CCCM%]:[WASH%]], tblPiNAnalysis[Population Group]=D$5), 0, MATCH(_xlfn.CONCAT($Q$2, "%"), tblPiNAnalysis[[#Headers],[CCCM%]:[WASH%]], 0))=$A65, 1, 0))=0, "",SUM(IF(INDEX(_xlfn._xlws.FILTER(tblPiNAnalysis[[CCCM%]:[WASH%]], tblPiNAnalysis[Population Group]=D$5), 0, MATCH(_xlfn.CONCAT($Q$2, "%"), tblPiNAnalysis[[#Headers],[CCCM%]:[WASH%]], 0))=$A65, 1, 0)))), "")</f>
        <v/>
      </c>
      <c r="E65" s="91" t="str" cm="1">
        <f t="array" ref="E65">IFERROR(IF(OR($A65="", E$5=""), "", IF(SUM(IF(INDEX(_xlfn._xlws.FILTER(tblPiNAnalysis[[CCCM%]:[WASH%]], tblPiNAnalysis[Population Group]=E$5), 0, MATCH(_xlfn.CONCAT($Q$2, "%"), tblPiNAnalysis[[#Headers],[CCCM%]:[WASH%]], 0))=$A65, 1, 0))=0, "",SUM(IF(INDEX(_xlfn._xlws.FILTER(tblPiNAnalysis[[CCCM%]:[WASH%]], tblPiNAnalysis[Population Group]=E$5), 0, MATCH(_xlfn.CONCAT($Q$2, "%"), tblPiNAnalysis[[#Headers],[CCCM%]:[WASH%]], 0))=$A65, 1, 0)))), "")</f>
        <v/>
      </c>
      <c r="F65" s="91" t="str" cm="1">
        <f t="array" ref="F65">IFERROR(IF(OR($A65="", F$5=""), "", IF(SUM(IF(INDEX(_xlfn._xlws.FILTER(tblPiNAnalysis[[CCCM%]:[WASH%]], tblPiNAnalysis[CCCM]=F$5), 0, MATCH(_xlfn.CONCAT($Q$2, "%"), tblPiNAnalysis[[#Headers],[CCCM%]:[WASH%]], 0))=$A65, 1, 0))=0, "",SUM(IF(INDEX(_xlfn._xlws.FILTER(tblPiNAnalysis[[CCCM%]:[WASH%]], tblPiNAnalysis[CCCM]=F$5), 0, MATCH(_xlfn.CONCAT($Q$2, "%"), tblPiNAnalysis[[#Headers],[CCCM%]:[WASH%]], 0))=$A65, 1, 0)))), "")</f>
        <v/>
      </c>
      <c r="H65" s="93"/>
      <c r="I65" s="91" t="str" cm="1">
        <f t="array" ref="I65">IF($H65="", "", IF($H65=2, SUM(IF(INDEX(_xlfn._xlws.FILTER(tblPiNHistorical[[CCCM]:[WASH]], tblPiNHistorical[Population Group]=I$5), 0, MATCH($Q$2, tblPiNHistorical[[#Headers],[CCCM]:[WASH]], 0))&gt;1.9, 1, 0)), IF(SUM(IF(INDEX(_xlfn._xlws.FILTER(tblPiNHistorical[[CCCM]:[WASH]], tblPiNHistorical[Population Group]=I$5), 0, MATCH($Q$2, tblPiNHistorical[[#Headers],[CCCM]:[WASH]], 0))=$H65, 1, 0))=0, "", SUM(IF(INDEX(_xlfn._xlws.FILTER(tblPiNHistorical[[CCCM]:[WASH]], tblPiNHistorical[Population Group]=I$5), 0, MATCH($Q$2, tblPiNHistorical[[#Headers],[CCCM]:[WASH]], 0))=$H65, 1, 0)))))</f>
        <v/>
      </c>
      <c r="J65" s="91" t="str" cm="1">
        <f t="array" ref="J65">IFERROR(IF(OR($H65="", J64=""), "", IF($H65=2, SUM(IF(INDEX(_xlfn._xlws.FILTER(tblPiNHistorical[[CCCM]:[WASH]], tblPiNHistorical[Population Group]=J$5), 0, MATCH($Q$2, tblPiNHistorical[[#Headers],[CCCM]:[WASH]], 0))&gt;1.9, 1, 0)), IF(SUM(IF(INDEX(_xlfn._xlws.FILTER(tblPiNHistorical[[CCCM]:[WASH]], tblPiNHistorical[Population Group]=J$5), 0, MATCH($Q$2, tblPiNHistorical[[#Headers],[CCCM]:[WASH]], 0))=$H65, 1, 0))=0, "", SUM(IF(INDEX(_xlfn._xlws.FILTER(tblPiNHistorical[[CCCM]:[WASH]], tblPiNHistorical[Population Group]=J$5), 0, MATCH($Q$2, tblPiNHistorical[[#Headers],[CCCM]:[WASH]], 0))=$H65, 1, 0))))), "")</f>
        <v/>
      </c>
      <c r="K65" s="91" t="str" cm="1">
        <f t="array" ref="K65">IFERROR(IF(OR($H65="", K64=""), "", IF($H65=2, SUM(IF(INDEX(_xlfn._xlws.FILTER(tblPiNHistorical[[CCCM]:[WASH]], tblPiNHistorical[CCCM - old]=K$5), 0, MATCH($Q$2, tblPiNHistorical[[#Headers],[CCCM]:[WASH]], 0))&gt;1.9, 1, 0)), IF(SUM(IF(INDEX(_xlfn._xlws.FILTER(tblPiNHistorical[[CCCM]:[WASH]], tblPiNHistorical[CCCM - old]=K$5), 0, MATCH($Q$2, tblPiNHistorical[[#Headers],[CCCM]:[WASH]], 0))=$H65, 1, 0))=0, "", SUM(IF(INDEX(_xlfn._xlws.FILTER(tblPiNHistorical[[CCCM]:[WASH]], tblPiNHistorical[CCCM - old]=K$5), 0, MATCH($Q$2, tblPiNHistorical[[#Headers],[CCCM]:[WASH]], 0))=$H65, 1, 0))))), "")</f>
        <v/>
      </c>
      <c r="L65" s="91" t="str" cm="1">
        <f t="array" ref="L65">IFERROR(IF(OR($H65="", L64=""), "", IF($H65=2, SUM(IF(INDEX(_xlfn._xlws.FILTER(tblPiNHistorical[[CCCM]:[WASH]],#REF!= L$5), 0, MATCH($Q$2, tblPiNHistorical[[#Headers],[CCCM]:[WASH]], 0))&gt;1.9, 1, 0)), IF(SUM(IF(INDEX(_xlfn._xlws.FILTER(tblPiNHistorical[[CCCM]:[WASH]],#REF!= L$5), 0, MATCH($Q$2, tblPiNHistorical[[#Headers],[CCCM]:[WASH]], 0))=$H65, 1, 0))=0, "", SUM(IF(INDEX(_xlfn._xlws.FILTER(tblPiNHistorical[[CCCM]:[WASH]],#REF!= L$5), 0, MATCH($Q$2, tblPiNHistorical[[#Headers],[CCCM]:[WASH]], 0))=$H65, 1, 0))))), "")</f>
        <v/>
      </c>
      <c r="M65" s="91" t="str" cm="1">
        <f t="array" ref="M65">IFERROR(IF(OR($H65="", M64=""), "", IF($H65=2, SUM(IF(INDEX(_xlfn._xlws.FILTER(tblPiNHistorical[[CCCM]:[WASH]],#REF!= M$5), 0, MATCH($Q$2, tblPiNHistorical[[#Headers],[CCCM]:[WASH]], 0))&gt;1.9, 1, 0)), IF(SUM(IF(INDEX(_xlfn._xlws.FILTER(tblPiNHistorical[[CCCM]:[WASH]],#REF!= M$5), 0, MATCH($Q$2, tblPiNHistorical[[#Headers],[CCCM]:[WASH]], 0))=$H65, 1, 0))=0, "", SUM(IF(INDEX(_xlfn._xlws.FILTER(tblPiNHistorical[[CCCM]:[WASH]],#REF!= M$5), 0, MATCH($Q$2, tblPiNHistorical[[#Headers],[CCCM]:[WASH]], 0))=$H65, 1, 0))))), "")</f>
        <v/>
      </c>
    </row>
    <row r="66" spans="1:13">
      <c r="A66" s="93"/>
      <c r="B66" s="91" t="str" cm="1">
        <f t="array" ref="B66">IF($A66="", "", IF(SUM(IF(INDEX(_xlfn._xlws.FILTER(tblPiNAnalysis[[CCCM%]:[WASH%]], tblPiNAnalysis[Population Group]=B$5), 0, MATCH(_xlfn.CONCAT($Q$2, "%"), tblPiNAnalysis[[#Headers],[CCCM%]:[WASH%]], 0))=$A66, 1, 0))=0, "",SUM(IF(INDEX(_xlfn._xlws.FILTER(tblPiNAnalysis[[CCCM%]:[WASH%]], tblPiNAnalysis[Population Group]=B$5), 0, MATCH(_xlfn.CONCAT($Q$2, "%"), tblPiNAnalysis[[#Headers],[CCCM%]:[WASH%]], 0))=$A66, 1, 0))))</f>
        <v/>
      </c>
      <c r="C66" s="91" t="str" cm="1">
        <f t="array" ref="C66">IFERROR(IF(OR($A66="", C$5=""), "", IF(SUM(IF(INDEX(_xlfn._xlws.FILTER(tblPiNAnalysis[[CCCM%]:[WASH%]], tblPiNAnalysis[Population Group]=C$5), 0, MATCH(_xlfn.CONCAT($Q$2, "%"), tblPiNAnalysis[[#Headers],[CCCM%]:[WASH%]], 0))=$A66, 1, 0))=0, "",SUM(IF(INDEX(_xlfn._xlws.FILTER(tblPiNAnalysis[[CCCM%]:[WASH%]], tblPiNAnalysis[Population Group]=C$5), 0, MATCH(_xlfn.CONCAT($Q$2, "%"), tblPiNAnalysis[[#Headers],[CCCM%]:[WASH%]], 0))=$A66, 1, 0)))), "")</f>
        <v/>
      </c>
      <c r="D66" s="91" t="str" cm="1">
        <f t="array" ref="D66">IFERROR(IF(OR($A66="", D$5=""), "", IF(SUM(IF(INDEX(_xlfn._xlws.FILTER(tblPiNAnalysis[[CCCM%]:[WASH%]], tblPiNAnalysis[Population Group]=D$5), 0, MATCH(_xlfn.CONCAT($Q$2, "%"), tblPiNAnalysis[[#Headers],[CCCM%]:[WASH%]], 0))=$A66, 1, 0))=0, "",SUM(IF(INDEX(_xlfn._xlws.FILTER(tblPiNAnalysis[[CCCM%]:[WASH%]], tblPiNAnalysis[Population Group]=D$5), 0, MATCH(_xlfn.CONCAT($Q$2, "%"), tblPiNAnalysis[[#Headers],[CCCM%]:[WASH%]], 0))=$A66, 1, 0)))), "")</f>
        <v/>
      </c>
      <c r="E66" s="91" t="str" cm="1">
        <f t="array" ref="E66">IFERROR(IF(OR($A66="", E$5=""), "", IF(SUM(IF(INDEX(_xlfn._xlws.FILTER(tblPiNAnalysis[[CCCM%]:[WASH%]], tblPiNAnalysis[Population Group]=E$5), 0, MATCH(_xlfn.CONCAT($Q$2, "%"), tblPiNAnalysis[[#Headers],[CCCM%]:[WASH%]], 0))=$A66, 1, 0))=0, "",SUM(IF(INDEX(_xlfn._xlws.FILTER(tblPiNAnalysis[[CCCM%]:[WASH%]], tblPiNAnalysis[Population Group]=E$5), 0, MATCH(_xlfn.CONCAT($Q$2, "%"), tblPiNAnalysis[[#Headers],[CCCM%]:[WASH%]], 0))=$A66, 1, 0)))), "")</f>
        <v/>
      </c>
      <c r="F66" s="91" t="str" cm="1">
        <f t="array" ref="F66">IFERROR(IF(OR($A66="", F$5=""), "", IF(SUM(IF(INDEX(_xlfn._xlws.FILTER(tblPiNAnalysis[[CCCM%]:[WASH%]], tblPiNAnalysis[CCCM]=F$5), 0, MATCH(_xlfn.CONCAT($Q$2, "%"), tblPiNAnalysis[[#Headers],[CCCM%]:[WASH%]], 0))=$A66, 1, 0))=0, "",SUM(IF(INDEX(_xlfn._xlws.FILTER(tblPiNAnalysis[[CCCM%]:[WASH%]], tblPiNAnalysis[CCCM]=F$5), 0, MATCH(_xlfn.CONCAT($Q$2, "%"), tblPiNAnalysis[[#Headers],[CCCM%]:[WASH%]], 0))=$A66, 1, 0)))), "")</f>
        <v/>
      </c>
      <c r="H66" s="93"/>
      <c r="I66" s="91" t="str" cm="1">
        <f t="array" ref="I66">IF($H66="", "", IF($H66=2, SUM(IF(INDEX(_xlfn._xlws.FILTER(tblPiNHistorical[[CCCM]:[WASH]], tblPiNHistorical[Population Group]=I$5), 0, MATCH($Q$2, tblPiNHistorical[[#Headers],[CCCM]:[WASH]], 0))&gt;1.9, 1, 0)), IF(SUM(IF(INDEX(_xlfn._xlws.FILTER(tblPiNHistorical[[CCCM]:[WASH]], tblPiNHistorical[Population Group]=I$5), 0, MATCH($Q$2, tblPiNHistorical[[#Headers],[CCCM]:[WASH]], 0))=$H66, 1, 0))=0, "", SUM(IF(INDEX(_xlfn._xlws.FILTER(tblPiNHistorical[[CCCM]:[WASH]], tblPiNHistorical[Population Group]=I$5), 0, MATCH($Q$2, tblPiNHistorical[[#Headers],[CCCM]:[WASH]], 0))=$H66, 1, 0)))))</f>
        <v/>
      </c>
      <c r="J66" s="91" t="str" cm="1">
        <f t="array" ref="J66">IFERROR(IF(OR($H66="", J65=""), "", IF($H66=2, SUM(IF(INDEX(_xlfn._xlws.FILTER(tblPiNHistorical[[CCCM]:[WASH]], tblPiNHistorical[Population Group]=J$5), 0, MATCH($Q$2, tblPiNHistorical[[#Headers],[CCCM]:[WASH]], 0))&gt;1.9, 1, 0)), IF(SUM(IF(INDEX(_xlfn._xlws.FILTER(tblPiNHistorical[[CCCM]:[WASH]], tblPiNHistorical[Population Group]=J$5), 0, MATCH($Q$2, tblPiNHistorical[[#Headers],[CCCM]:[WASH]], 0))=$H66, 1, 0))=0, "", SUM(IF(INDEX(_xlfn._xlws.FILTER(tblPiNHistorical[[CCCM]:[WASH]], tblPiNHistorical[Population Group]=J$5), 0, MATCH($Q$2, tblPiNHistorical[[#Headers],[CCCM]:[WASH]], 0))=$H66, 1, 0))))), "")</f>
        <v/>
      </c>
      <c r="K66" s="91" t="str" cm="1">
        <f t="array" ref="K66">IFERROR(IF(OR($H66="", K65=""), "", IF($H66=2, SUM(IF(INDEX(_xlfn._xlws.FILTER(tblPiNHistorical[[CCCM]:[WASH]], tblPiNHistorical[CCCM - old]=K$5), 0, MATCH($Q$2, tblPiNHistorical[[#Headers],[CCCM]:[WASH]], 0))&gt;1.9, 1, 0)), IF(SUM(IF(INDEX(_xlfn._xlws.FILTER(tblPiNHistorical[[CCCM]:[WASH]], tblPiNHistorical[CCCM - old]=K$5), 0, MATCH($Q$2, tblPiNHistorical[[#Headers],[CCCM]:[WASH]], 0))=$H66, 1, 0))=0, "", SUM(IF(INDEX(_xlfn._xlws.FILTER(tblPiNHistorical[[CCCM]:[WASH]], tblPiNHistorical[CCCM - old]=K$5), 0, MATCH($Q$2, tblPiNHistorical[[#Headers],[CCCM]:[WASH]], 0))=$H66, 1, 0))))), "")</f>
        <v/>
      </c>
      <c r="L66" s="91" t="str" cm="1">
        <f t="array" ref="L66">IFERROR(IF(OR($H66="", L65=""), "", IF($H66=2, SUM(IF(INDEX(_xlfn._xlws.FILTER(tblPiNHistorical[[CCCM]:[WASH]],#REF!= L$5), 0, MATCH($Q$2, tblPiNHistorical[[#Headers],[CCCM]:[WASH]], 0))&gt;1.9, 1, 0)), IF(SUM(IF(INDEX(_xlfn._xlws.FILTER(tblPiNHistorical[[CCCM]:[WASH]],#REF!= L$5), 0, MATCH($Q$2, tblPiNHistorical[[#Headers],[CCCM]:[WASH]], 0))=$H66, 1, 0))=0, "", SUM(IF(INDEX(_xlfn._xlws.FILTER(tblPiNHistorical[[CCCM]:[WASH]],#REF!= L$5), 0, MATCH($Q$2, tblPiNHistorical[[#Headers],[CCCM]:[WASH]], 0))=$H66, 1, 0))))), "")</f>
        <v/>
      </c>
      <c r="M66" s="91" t="str" cm="1">
        <f t="array" ref="M66">IFERROR(IF(OR($H66="", M65=""), "", IF($H66=2, SUM(IF(INDEX(_xlfn._xlws.FILTER(tblPiNHistorical[[CCCM]:[WASH]],#REF!= M$5), 0, MATCH($Q$2, tblPiNHistorical[[#Headers],[CCCM]:[WASH]], 0))&gt;1.9, 1, 0)), IF(SUM(IF(INDEX(_xlfn._xlws.FILTER(tblPiNHistorical[[CCCM]:[WASH]],#REF!= M$5), 0, MATCH($Q$2, tblPiNHistorical[[#Headers],[CCCM]:[WASH]], 0))=$H66, 1, 0))=0, "", SUM(IF(INDEX(_xlfn._xlws.FILTER(tblPiNHistorical[[CCCM]:[WASH]],#REF!= M$5), 0, MATCH($Q$2, tblPiNHistorical[[#Headers],[CCCM]:[WASH]], 0))=$H66, 1, 0))))), "")</f>
        <v/>
      </c>
    </row>
    <row r="67" spans="1:13">
      <c r="A67" s="93"/>
      <c r="B67" s="91" t="str" cm="1">
        <f t="array" ref="B67">IF($A67="", "", IF(SUM(IF(INDEX(_xlfn._xlws.FILTER(tblPiNAnalysis[[CCCM%]:[WASH%]], tblPiNAnalysis[Population Group]=B$5), 0, MATCH(_xlfn.CONCAT($Q$2, "%"), tblPiNAnalysis[[#Headers],[CCCM%]:[WASH%]], 0))=$A67, 1, 0))=0, "",SUM(IF(INDEX(_xlfn._xlws.FILTER(tblPiNAnalysis[[CCCM%]:[WASH%]], tblPiNAnalysis[Population Group]=B$5), 0, MATCH(_xlfn.CONCAT($Q$2, "%"), tblPiNAnalysis[[#Headers],[CCCM%]:[WASH%]], 0))=$A67, 1, 0))))</f>
        <v/>
      </c>
      <c r="C67" s="91" t="str" cm="1">
        <f t="array" ref="C67">IFERROR(IF(OR($A67="", C$5=""), "", IF(SUM(IF(INDEX(_xlfn._xlws.FILTER(tblPiNAnalysis[[CCCM%]:[WASH%]], tblPiNAnalysis[Population Group]=C$5), 0, MATCH(_xlfn.CONCAT($Q$2, "%"), tblPiNAnalysis[[#Headers],[CCCM%]:[WASH%]], 0))=$A67, 1, 0))=0, "",SUM(IF(INDEX(_xlfn._xlws.FILTER(tblPiNAnalysis[[CCCM%]:[WASH%]], tblPiNAnalysis[Population Group]=C$5), 0, MATCH(_xlfn.CONCAT($Q$2, "%"), tblPiNAnalysis[[#Headers],[CCCM%]:[WASH%]], 0))=$A67, 1, 0)))), "")</f>
        <v/>
      </c>
      <c r="D67" s="91" t="str" cm="1">
        <f t="array" ref="D67">IFERROR(IF(OR($A67="", D$5=""), "", IF(SUM(IF(INDEX(_xlfn._xlws.FILTER(tblPiNAnalysis[[CCCM%]:[WASH%]], tblPiNAnalysis[Population Group]=D$5), 0, MATCH(_xlfn.CONCAT($Q$2, "%"), tblPiNAnalysis[[#Headers],[CCCM%]:[WASH%]], 0))=$A67, 1, 0))=0, "",SUM(IF(INDEX(_xlfn._xlws.FILTER(tblPiNAnalysis[[CCCM%]:[WASH%]], tblPiNAnalysis[Population Group]=D$5), 0, MATCH(_xlfn.CONCAT($Q$2, "%"), tblPiNAnalysis[[#Headers],[CCCM%]:[WASH%]], 0))=$A67, 1, 0)))), "")</f>
        <v/>
      </c>
      <c r="E67" s="91" t="str" cm="1">
        <f t="array" ref="E67">IFERROR(IF(OR($A67="", E$5=""), "", IF(SUM(IF(INDEX(_xlfn._xlws.FILTER(tblPiNAnalysis[[CCCM%]:[WASH%]], tblPiNAnalysis[Population Group]=E$5), 0, MATCH(_xlfn.CONCAT($Q$2, "%"), tblPiNAnalysis[[#Headers],[CCCM%]:[WASH%]], 0))=$A67, 1, 0))=0, "",SUM(IF(INDEX(_xlfn._xlws.FILTER(tblPiNAnalysis[[CCCM%]:[WASH%]], tblPiNAnalysis[Population Group]=E$5), 0, MATCH(_xlfn.CONCAT($Q$2, "%"), tblPiNAnalysis[[#Headers],[CCCM%]:[WASH%]], 0))=$A67, 1, 0)))), "")</f>
        <v/>
      </c>
      <c r="F67" s="91" t="str" cm="1">
        <f t="array" ref="F67">IFERROR(IF(OR($A67="", F$5=""), "", IF(SUM(IF(INDEX(_xlfn._xlws.FILTER(tblPiNAnalysis[[CCCM%]:[WASH%]], tblPiNAnalysis[CCCM]=F$5), 0, MATCH(_xlfn.CONCAT($Q$2, "%"), tblPiNAnalysis[[#Headers],[CCCM%]:[WASH%]], 0))=$A67, 1, 0))=0, "",SUM(IF(INDEX(_xlfn._xlws.FILTER(tblPiNAnalysis[[CCCM%]:[WASH%]], tblPiNAnalysis[CCCM]=F$5), 0, MATCH(_xlfn.CONCAT($Q$2, "%"), tblPiNAnalysis[[#Headers],[CCCM%]:[WASH%]], 0))=$A67, 1, 0)))), "")</f>
        <v/>
      </c>
      <c r="H67" s="93"/>
      <c r="I67" s="91" t="str" cm="1">
        <f t="array" ref="I67">IF($H67="", "", IF($H67=2, SUM(IF(INDEX(_xlfn._xlws.FILTER(tblPiNHistorical[[CCCM]:[WASH]], tblPiNHistorical[Population Group]=I$5), 0, MATCH($Q$2, tblPiNHistorical[[#Headers],[CCCM]:[WASH]], 0))&gt;1.9, 1, 0)), IF(SUM(IF(INDEX(_xlfn._xlws.FILTER(tblPiNHistorical[[CCCM]:[WASH]], tblPiNHistorical[Population Group]=I$5), 0, MATCH($Q$2, tblPiNHistorical[[#Headers],[CCCM]:[WASH]], 0))=$H67, 1, 0))=0, "", SUM(IF(INDEX(_xlfn._xlws.FILTER(tblPiNHistorical[[CCCM]:[WASH]], tblPiNHistorical[Population Group]=I$5), 0, MATCH($Q$2, tblPiNHistorical[[#Headers],[CCCM]:[WASH]], 0))=$H67, 1, 0)))))</f>
        <v/>
      </c>
      <c r="J67" s="91" t="str" cm="1">
        <f t="array" ref="J67">IFERROR(IF(OR($H67="", J66=""), "", IF($H67=2, SUM(IF(INDEX(_xlfn._xlws.FILTER(tblPiNHistorical[[CCCM]:[WASH]], tblPiNHistorical[Population Group]=J$5), 0, MATCH($Q$2, tblPiNHistorical[[#Headers],[CCCM]:[WASH]], 0))&gt;1.9, 1, 0)), IF(SUM(IF(INDEX(_xlfn._xlws.FILTER(tblPiNHistorical[[CCCM]:[WASH]], tblPiNHistorical[Population Group]=J$5), 0, MATCH($Q$2, tblPiNHistorical[[#Headers],[CCCM]:[WASH]], 0))=$H67, 1, 0))=0, "", SUM(IF(INDEX(_xlfn._xlws.FILTER(tblPiNHistorical[[CCCM]:[WASH]], tblPiNHistorical[Population Group]=J$5), 0, MATCH($Q$2, tblPiNHistorical[[#Headers],[CCCM]:[WASH]], 0))=$H67, 1, 0))))), "")</f>
        <v/>
      </c>
      <c r="K67" s="91" t="str" cm="1">
        <f t="array" ref="K67">IFERROR(IF(OR($H67="", K66=""), "", IF($H67=2, SUM(IF(INDEX(_xlfn._xlws.FILTER(tblPiNHistorical[[CCCM]:[WASH]], tblPiNHistorical[CCCM - old]=K$5), 0, MATCH($Q$2, tblPiNHistorical[[#Headers],[CCCM]:[WASH]], 0))&gt;1.9, 1, 0)), IF(SUM(IF(INDEX(_xlfn._xlws.FILTER(tblPiNHistorical[[CCCM]:[WASH]], tblPiNHistorical[CCCM - old]=K$5), 0, MATCH($Q$2, tblPiNHistorical[[#Headers],[CCCM]:[WASH]], 0))=$H67, 1, 0))=0, "", SUM(IF(INDEX(_xlfn._xlws.FILTER(tblPiNHistorical[[CCCM]:[WASH]], tblPiNHistorical[CCCM - old]=K$5), 0, MATCH($Q$2, tblPiNHistorical[[#Headers],[CCCM]:[WASH]], 0))=$H67, 1, 0))))), "")</f>
        <v/>
      </c>
      <c r="L67" s="91" t="str" cm="1">
        <f t="array" ref="L67">IFERROR(IF(OR($H67="", L66=""), "", IF($H67=2, SUM(IF(INDEX(_xlfn._xlws.FILTER(tblPiNHistorical[[CCCM]:[WASH]],#REF!= L$5), 0, MATCH($Q$2, tblPiNHistorical[[#Headers],[CCCM]:[WASH]], 0))&gt;1.9, 1, 0)), IF(SUM(IF(INDEX(_xlfn._xlws.FILTER(tblPiNHistorical[[CCCM]:[WASH]],#REF!= L$5), 0, MATCH($Q$2, tblPiNHistorical[[#Headers],[CCCM]:[WASH]], 0))=$H67, 1, 0))=0, "", SUM(IF(INDEX(_xlfn._xlws.FILTER(tblPiNHistorical[[CCCM]:[WASH]],#REF!= L$5), 0, MATCH($Q$2, tblPiNHistorical[[#Headers],[CCCM]:[WASH]], 0))=$H67, 1, 0))))), "")</f>
        <v/>
      </c>
      <c r="M67" s="91" t="str" cm="1">
        <f t="array" ref="M67">IFERROR(IF(OR($H67="", M66=""), "", IF($H67=2, SUM(IF(INDEX(_xlfn._xlws.FILTER(tblPiNHistorical[[CCCM]:[WASH]],#REF!= M$5), 0, MATCH($Q$2, tblPiNHistorical[[#Headers],[CCCM]:[WASH]], 0))&gt;1.9, 1, 0)), IF(SUM(IF(INDEX(_xlfn._xlws.FILTER(tblPiNHistorical[[CCCM]:[WASH]],#REF!= M$5), 0, MATCH($Q$2, tblPiNHistorical[[#Headers],[CCCM]:[WASH]], 0))=$H67, 1, 0))=0, "", SUM(IF(INDEX(_xlfn._xlws.FILTER(tblPiNHistorical[[CCCM]:[WASH]],#REF!= M$5), 0, MATCH($Q$2, tblPiNHistorical[[#Headers],[CCCM]:[WASH]], 0))=$H67, 1, 0))))), "")</f>
        <v/>
      </c>
    </row>
    <row r="68" spans="1:13">
      <c r="A68" s="93"/>
      <c r="B68" s="91" t="str" cm="1">
        <f t="array" ref="B68">IF($A68="", "", IF(SUM(IF(INDEX(_xlfn._xlws.FILTER(tblPiNAnalysis[[CCCM%]:[WASH%]], tblPiNAnalysis[Population Group]=B$5), 0, MATCH(_xlfn.CONCAT($Q$2, "%"), tblPiNAnalysis[[#Headers],[CCCM%]:[WASH%]], 0))=$A68, 1, 0))=0, "",SUM(IF(INDEX(_xlfn._xlws.FILTER(tblPiNAnalysis[[CCCM%]:[WASH%]], tblPiNAnalysis[Population Group]=B$5), 0, MATCH(_xlfn.CONCAT($Q$2, "%"), tblPiNAnalysis[[#Headers],[CCCM%]:[WASH%]], 0))=$A68, 1, 0))))</f>
        <v/>
      </c>
      <c r="C68" s="91" t="str" cm="1">
        <f t="array" ref="C68">IFERROR(IF(OR($A68="", C$5=""), "", IF(SUM(IF(INDEX(_xlfn._xlws.FILTER(tblPiNAnalysis[[CCCM%]:[WASH%]], tblPiNAnalysis[Population Group]=C$5), 0, MATCH(_xlfn.CONCAT($Q$2, "%"), tblPiNAnalysis[[#Headers],[CCCM%]:[WASH%]], 0))=$A68, 1, 0))=0, "",SUM(IF(INDEX(_xlfn._xlws.FILTER(tblPiNAnalysis[[CCCM%]:[WASH%]], tblPiNAnalysis[Population Group]=C$5), 0, MATCH(_xlfn.CONCAT($Q$2, "%"), tblPiNAnalysis[[#Headers],[CCCM%]:[WASH%]], 0))=$A68, 1, 0)))), "")</f>
        <v/>
      </c>
      <c r="D68" s="91" t="str" cm="1">
        <f t="array" ref="D68">IFERROR(IF(OR($A68="", D$5=""), "", IF(SUM(IF(INDEX(_xlfn._xlws.FILTER(tblPiNAnalysis[[CCCM%]:[WASH%]], tblPiNAnalysis[Population Group]=D$5), 0, MATCH(_xlfn.CONCAT($Q$2, "%"), tblPiNAnalysis[[#Headers],[CCCM%]:[WASH%]], 0))=$A68, 1, 0))=0, "",SUM(IF(INDEX(_xlfn._xlws.FILTER(tblPiNAnalysis[[CCCM%]:[WASH%]], tblPiNAnalysis[Population Group]=D$5), 0, MATCH(_xlfn.CONCAT($Q$2, "%"), tblPiNAnalysis[[#Headers],[CCCM%]:[WASH%]], 0))=$A68, 1, 0)))), "")</f>
        <v/>
      </c>
      <c r="E68" s="91" t="str" cm="1">
        <f t="array" ref="E68">IFERROR(IF(OR($A68="", E$5=""), "", IF(SUM(IF(INDEX(_xlfn._xlws.FILTER(tblPiNAnalysis[[CCCM%]:[WASH%]], tblPiNAnalysis[Population Group]=E$5), 0, MATCH(_xlfn.CONCAT($Q$2, "%"), tblPiNAnalysis[[#Headers],[CCCM%]:[WASH%]], 0))=$A68, 1, 0))=0, "",SUM(IF(INDEX(_xlfn._xlws.FILTER(tblPiNAnalysis[[CCCM%]:[WASH%]], tblPiNAnalysis[Population Group]=E$5), 0, MATCH(_xlfn.CONCAT($Q$2, "%"), tblPiNAnalysis[[#Headers],[CCCM%]:[WASH%]], 0))=$A68, 1, 0)))), "")</f>
        <v/>
      </c>
      <c r="F68" s="91" t="str" cm="1">
        <f t="array" ref="F68">IFERROR(IF(OR($A68="", F$5=""), "", IF(SUM(IF(INDEX(_xlfn._xlws.FILTER(tblPiNAnalysis[[CCCM%]:[WASH%]], tblPiNAnalysis[CCCM]=F$5), 0, MATCH(_xlfn.CONCAT($Q$2, "%"), tblPiNAnalysis[[#Headers],[CCCM%]:[WASH%]], 0))=$A68, 1, 0))=0, "",SUM(IF(INDEX(_xlfn._xlws.FILTER(tblPiNAnalysis[[CCCM%]:[WASH%]], tblPiNAnalysis[CCCM]=F$5), 0, MATCH(_xlfn.CONCAT($Q$2, "%"), tblPiNAnalysis[[#Headers],[CCCM%]:[WASH%]], 0))=$A68, 1, 0)))), "")</f>
        <v/>
      </c>
      <c r="H68" s="93"/>
      <c r="I68" s="91" t="str" cm="1">
        <f t="array" ref="I68">IF($H68="", "", IF($H68=2, SUM(IF(INDEX(_xlfn._xlws.FILTER(tblPiNHistorical[[CCCM]:[WASH]], tblPiNHistorical[Population Group]=I$5), 0, MATCH($Q$2, tblPiNHistorical[[#Headers],[CCCM]:[WASH]], 0))&gt;1.9, 1, 0)), IF(SUM(IF(INDEX(_xlfn._xlws.FILTER(tblPiNHistorical[[CCCM]:[WASH]], tblPiNHistorical[Population Group]=I$5), 0, MATCH($Q$2, tblPiNHistorical[[#Headers],[CCCM]:[WASH]], 0))=$H68, 1, 0))=0, "", SUM(IF(INDEX(_xlfn._xlws.FILTER(tblPiNHistorical[[CCCM]:[WASH]], tblPiNHistorical[Population Group]=I$5), 0, MATCH($Q$2, tblPiNHistorical[[#Headers],[CCCM]:[WASH]], 0))=$H68, 1, 0)))))</f>
        <v/>
      </c>
      <c r="J68" s="91" t="str" cm="1">
        <f t="array" ref="J68">IFERROR(IF(OR($H68="", J67=""), "", IF($H68=2, SUM(IF(INDEX(_xlfn._xlws.FILTER(tblPiNHistorical[[CCCM]:[WASH]], tblPiNHistorical[Population Group]=J$5), 0, MATCH($Q$2, tblPiNHistorical[[#Headers],[CCCM]:[WASH]], 0))&gt;1.9, 1, 0)), IF(SUM(IF(INDEX(_xlfn._xlws.FILTER(tblPiNHistorical[[CCCM]:[WASH]], tblPiNHistorical[Population Group]=J$5), 0, MATCH($Q$2, tblPiNHistorical[[#Headers],[CCCM]:[WASH]], 0))=$H68, 1, 0))=0, "", SUM(IF(INDEX(_xlfn._xlws.FILTER(tblPiNHistorical[[CCCM]:[WASH]], tblPiNHistorical[Population Group]=J$5), 0, MATCH($Q$2, tblPiNHistorical[[#Headers],[CCCM]:[WASH]], 0))=$H68, 1, 0))))), "")</f>
        <v/>
      </c>
      <c r="K68" s="91" t="str" cm="1">
        <f t="array" ref="K68">IFERROR(IF(OR($H68="", K67=""), "", IF($H68=2, SUM(IF(INDEX(_xlfn._xlws.FILTER(tblPiNHistorical[[CCCM]:[WASH]], tblPiNHistorical[CCCM - old]=K$5), 0, MATCH($Q$2, tblPiNHistorical[[#Headers],[CCCM]:[WASH]], 0))&gt;1.9, 1, 0)), IF(SUM(IF(INDEX(_xlfn._xlws.FILTER(tblPiNHistorical[[CCCM]:[WASH]], tblPiNHistorical[CCCM - old]=K$5), 0, MATCH($Q$2, tblPiNHistorical[[#Headers],[CCCM]:[WASH]], 0))=$H68, 1, 0))=0, "", SUM(IF(INDEX(_xlfn._xlws.FILTER(tblPiNHistorical[[CCCM]:[WASH]], tblPiNHistorical[CCCM - old]=K$5), 0, MATCH($Q$2, tblPiNHistorical[[#Headers],[CCCM]:[WASH]], 0))=$H68, 1, 0))))), "")</f>
        <v/>
      </c>
      <c r="L68" s="91" t="str" cm="1">
        <f t="array" ref="L68">IFERROR(IF(OR($H68="", L67=""), "", IF($H68=2, SUM(IF(INDEX(_xlfn._xlws.FILTER(tblPiNHistorical[[CCCM]:[WASH]],#REF!= L$5), 0, MATCH($Q$2, tblPiNHistorical[[#Headers],[CCCM]:[WASH]], 0))&gt;1.9, 1, 0)), IF(SUM(IF(INDEX(_xlfn._xlws.FILTER(tblPiNHistorical[[CCCM]:[WASH]],#REF!= L$5), 0, MATCH($Q$2, tblPiNHistorical[[#Headers],[CCCM]:[WASH]], 0))=$H68, 1, 0))=0, "", SUM(IF(INDEX(_xlfn._xlws.FILTER(tblPiNHistorical[[CCCM]:[WASH]],#REF!= L$5), 0, MATCH($Q$2, tblPiNHistorical[[#Headers],[CCCM]:[WASH]], 0))=$H68, 1, 0))))), "")</f>
        <v/>
      </c>
      <c r="M68" s="91" t="str" cm="1">
        <f t="array" ref="M68">IFERROR(IF(OR($H68="", M67=""), "", IF($H68=2, SUM(IF(INDEX(_xlfn._xlws.FILTER(tblPiNHistorical[[CCCM]:[WASH]],#REF!= M$5), 0, MATCH($Q$2, tblPiNHistorical[[#Headers],[CCCM]:[WASH]], 0))&gt;1.9, 1, 0)), IF(SUM(IF(INDEX(_xlfn._xlws.FILTER(tblPiNHistorical[[CCCM]:[WASH]],#REF!= M$5), 0, MATCH($Q$2, tblPiNHistorical[[#Headers],[CCCM]:[WASH]], 0))=$H68, 1, 0))=0, "", SUM(IF(INDEX(_xlfn._xlws.FILTER(tblPiNHistorical[[CCCM]:[WASH]],#REF!= M$5), 0, MATCH($Q$2, tblPiNHistorical[[#Headers],[CCCM]:[WASH]], 0))=$H68, 1, 0))))), "")</f>
        <v/>
      </c>
    </row>
    <row r="69" spans="1:13">
      <c r="A69" s="93"/>
      <c r="B69" s="91" t="str" cm="1">
        <f t="array" ref="B69">IF($A69="", "", IF(SUM(IF(INDEX(_xlfn._xlws.FILTER(tblPiNAnalysis[[CCCM%]:[WASH%]], tblPiNAnalysis[Population Group]=B$5), 0, MATCH(_xlfn.CONCAT($Q$2, "%"), tblPiNAnalysis[[#Headers],[CCCM%]:[WASH%]], 0))=$A69, 1, 0))=0, "",SUM(IF(INDEX(_xlfn._xlws.FILTER(tblPiNAnalysis[[CCCM%]:[WASH%]], tblPiNAnalysis[Population Group]=B$5), 0, MATCH(_xlfn.CONCAT($Q$2, "%"), tblPiNAnalysis[[#Headers],[CCCM%]:[WASH%]], 0))=$A69, 1, 0))))</f>
        <v/>
      </c>
      <c r="C69" s="91" t="str" cm="1">
        <f t="array" ref="C69">IFERROR(IF(OR($A69="", C$5=""), "", IF(SUM(IF(INDEX(_xlfn._xlws.FILTER(tblPiNAnalysis[[CCCM%]:[WASH%]], tblPiNAnalysis[Population Group]=C$5), 0, MATCH(_xlfn.CONCAT($Q$2, "%"), tblPiNAnalysis[[#Headers],[CCCM%]:[WASH%]], 0))=$A69, 1, 0))=0, "",SUM(IF(INDEX(_xlfn._xlws.FILTER(tblPiNAnalysis[[CCCM%]:[WASH%]], tblPiNAnalysis[Population Group]=C$5), 0, MATCH(_xlfn.CONCAT($Q$2, "%"), tblPiNAnalysis[[#Headers],[CCCM%]:[WASH%]], 0))=$A69, 1, 0)))), "")</f>
        <v/>
      </c>
      <c r="D69" s="91" t="str" cm="1">
        <f t="array" ref="D69">IFERROR(IF(OR($A69="", D$5=""), "", IF(SUM(IF(INDEX(_xlfn._xlws.FILTER(tblPiNAnalysis[[CCCM%]:[WASH%]], tblPiNAnalysis[Population Group]=D$5), 0, MATCH(_xlfn.CONCAT($Q$2, "%"), tblPiNAnalysis[[#Headers],[CCCM%]:[WASH%]], 0))=$A69, 1, 0))=0, "",SUM(IF(INDEX(_xlfn._xlws.FILTER(tblPiNAnalysis[[CCCM%]:[WASH%]], tblPiNAnalysis[Population Group]=D$5), 0, MATCH(_xlfn.CONCAT($Q$2, "%"), tblPiNAnalysis[[#Headers],[CCCM%]:[WASH%]], 0))=$A69, 1, 0)))), "")</f>
        <v/>
      </c>
      <c r="E69" s="91" t="str" cm="1">
        <f t="array" ref="E69">IFERROR(IF(OR($A69="", E$5=""), "", IF(SUM(IF(INDEX(_xlfn._xlws.FILTER(tblPiNAnalysis[[CCCM%]:[WASH%]], tblPiNAnalysis[Population Group]=E$5), 0, MATCH(_xlfn.CONCAT($Q$2, "%"), tblPiNAnalysis[[#Headers],[CCCM%]:[WASH%]], 0))=$A69, 1, 0))=0, "",SUM(IF(INDEX(_xlfn._xlws.FILTER(tblPiNAnalysis[[CCCM%]:[WASH%]], tblPiNAnalysis[Population Group]=E$5), 0, MATCH(_xlfn.CONCAT($Q$2, "%"), tblPiNAnalysis[[#Headers],[CCCM%]:[WASH%]], 0))=$A69, 1, 0)))), "")</f>
        <v/>
      </c>
      <c r="F69" s="91" t="str" cm="1">
        <f t="array" ref="F69">IFERROR(IF(OR($A69="", F$5=""), "", IF(SUM(IF(INDEX(_xlfn._xlws.FILTER(tblPiNAnalysis[[CCCM%]:[WASH%]], tblPiNAnalysis[CCCM]=F$5), 0, MATCH(_xlfn.CONCAT($Q$2, "%"), tblPiNAnalysis[[#Headers],[CCCM%]:[WASH%]], 0))=$A69, 1, 0))=0, "",SUM(IF(INDEX(_xlfn._xlws.FILTER(tblPiNAnalysis[[CCCM%]:[WASH%]], tblPiNAnalysis[CCCM]=F$5), 0, MATCH(_xlfn.CONCAT($Q$2, "%"), tblPiNAnalysis[[#Headers],[CCCM%]:[WASH%]], 0))=$A69, 1, 0)))), "")</f>
        <v/>
      </c>
      <c r="H69" s="93"/>
      <c r="I69" s="91" t="str" cm="1">
        <f t="array" ref="I69">IF($H69="", "", IF($H69=2, SUM(IF(INDEX(_xlfn._xlws.FILTER(tblPiNHistorical[[CCCM]:[WASH]], tblPiNHistorical[Population Group]=I$5), 0, MATCH($Q$2, tblPiNHistorical[[#Headers],[CCCM]:[WASH]], 0))&gt;1.9, 1, 0)), IF(SUM(IF(INDEX(_xlfn._xlws.FILTER(tblPiNHistorical[[CCCM]:[WASH]], tblPiNHistorical[Population Group]=I$5), 0, MATCH($Q$2, tblPiNHistorical[[#Headers],[CCCM]:[WASH]], 0))=$H69, 1, 0))=0, "", SUM(IF(INDEX(_xlfn._xlws.FILTER(tblPiNHistorical[[CCCM]:[WASH]], tblPiNHistorical[Population Group]=I$5), 0, MATCH($Q$2, tblPiNHistorical[[#Headers],[CCCM]:[WASH]], 0))=$H69, 1, 0)))))</f>
        <v/>
      </c>
      <c r="J69" s="91" t="str" cm="1">
        <f t="array" ref="J69">IFERROR(IF(OR($H69="", J68=""), "", IF($H69=2, SUM(IF(INDEX(_xlfn._xlws.FILTER(tblPiNHistorical[[CCCM]:[WASH]], tblPiNHistorical[Population Group]=J$5), 0, MATCH($Q$2, tblPiNHistorical[[#Headers],[CCCM]:[WASH]], 0))&gt;1.9, 1, 0)), IF(SUM(IF(INDEX(_xlfn._xlws.FILTER(tblPiNHistorical[[CCCM]:[WASH]], tblPiNHistorical[Population Group]=J$5), 0, MATCH($Q$2, tblPiNHistorical[[#Headers],[CCCM]:[WASH]], 0))=$H69, 1, 0))=0, "", SUM(IF(INDEX(_xlfn._xlws.FILTER(tblPiNHistorical[[CCCM]:[WASH]], tblPiNHistorical[Population Group]=J$5), 0, MATCH($Q$2, tblPiNHistorical[[#Headers],[CCCM]:[WASH]], 0))=$H69, 1, 0))))), "")</f>
        <v/>
      </c>
      <c r="K69" s="91" t="str" cm="1">
        <f t="array" ref="K69">IFERROR(IF(OR($H69="", K68=""), "", IF($H69=2, SUM(IF(INDEX(_xlfn._xlws.FILTER(tblPiNHistorical[[CCCM]:[WASH]], tblPiNHistorical[CCCM - old]=K$5), 0, MATCH($Q$2, tblPiNHistorical[[#Headers],[CCCM]:[WASH]], 0))&gt;1.9, 1, 0)), IF(SUM(IF(INDEX(_xlfn._xlws.FILTER(tblPiNHistorical[[CCCM]:[WASH]], tblPiNHistorical[CCCM - old]=K$5), 0, MATCH($Q$2, tblPiNHistorical[[#Headers],[CCCM]:[WASH]], 0))=$H69, 1, 0))=0, "", SUM(IF(INDEX(_xlfn._xlws.FILTER(tblPiNHistorical[[CCCM]:[WASH]], tblPiNHistorical[CCCM - old]=K$5), 0, MATCH($Q$2, tblPiNHistorical[[#Headers],[CCCM]:[WASH]], 0))=$H69, 1, 0))))), "")</f>
        <v/>
      </c>
      <c r="L69" s="91" t="str" cm="1">
        <f t="array" ref="L69">IFERROR(IF(OR($H69="", L68=""), "", IF($H69=2, SUM(IF(INDEX(_xlfn._xlws.FILTER(tblPiNHistorical[[CCCM]:[WASH]],#REF!= L$5), 0, MATCH($Q$2, tblPiNHistorical[[#Headers],[CCCM]:[WASH]], 0))&gt;1.9, 1, 0)), IF(SUM(IF(INDEX(_xlfn._xlws.FILTER(tblPiNHistorical[[CCCM]:[WASH]],#REF!= L$5), 0, MATCH($Q$2, tblPiNHistorical[[#Headers],[CCCM]:[WASH]], 0))=$H69, 1, 0))=0, "", SUM(IF(INDEX(_xlfn._xlws.FILTER(tblPiNHistorical[[CCCM]:[WASH]],#REF!= L$5), 0, MATCH($Q$2, tblPiNHistorical[[#Headers],[CCCM]:[WASH]], 0))=$H69, 1, 0))))), "")</f>
        <v/>
      </c>
      <c r="M69" s="91" t="str" cm="1">
        <f t="array" ref="M69">IFERROR(IF(OR($H69="", M68=""), "", IF($H69=2, SUM(IF(INDEX(_xlfn._xlws.FILTER(tblPiNHistorical[[CCCM]:[WASH]],#REF!= M$5), 0, MATCH($Q$2, tblPiNHistorical[[#Headers],[CCCM]:[WASH]], 0))&gt;1.9, 1, 0)), IF(SUM(IF(INDEX(_xlfn._xlws.FILTER(tblPiNHistorical[[CCCM]:[WASH]],#REF!= M$5), 0, MATCH($Q$2, tblPiNHistorical[[#Headers],[CCCM]:[WASH]], 0))=$H69, 1, 0))=0, "", SUM(IF(INDEX(_xlfn._xlws.FILTER(tblPiNHistorical[[CCCM]:[WASH]],#REF!= M$5), 0, MATCH($Q$2, tblPiNHistorical[[#Headers],[CCCM]:[WASH]], 0))=$H69, 1, 0))))), "")</f>
        <v/>
      </c>
    </row>
    <row r="70" spans="1:13">
      <c r="A70" s="93"/>
      <c r="B70" s="91" t="str" cm="1">
        <f t="array" ref="B70">IF($A70="", "", IF(SUM(IF(INDEX(_xlfn._xlws.FILTER(tblPiNAnalysis[[CCCM%]:[WASH%]], tblPiNAnalysis[Population Group]=B$5), 0, MATCH(_xlfn.CONCAT($Q$2, "%"), tblPiNAnalysis[[#Headers],[CCCM%]:[WASH%]], 0))=$A70, 1, 0))=0, "",SUM(IF(INDEX(_xlfn._xlws.FILTER(tblPiNAnalysis[[CCCM%]:[WASH%]], tblPiNAnalysis[Population Group]=B$5), 0, MATCH(_xlfn.CONCAT($Q$2, "%"), tblPiNAnalysis[[#Headers],[CCCM%]:[WASH%]], 0))=$A70, 1, 0))))</f>
        <v/>
      </c>
      <c r="C70" s="91" t="str" cm="1">
        <f t="array" ref="C70">IFERROR(IF(OR($A70="", C$5=""), "", IF(SUM(IF(INDEX(_xlfn._xlws.FILTER(tblPiNAnalysis[[CCCM%]:[WASH%]], tblPiNAnalysis[Population Group]=C$5), 0, MATCH(_xlfn.CONCAT($Q$2, "%"), tblPiNAnalysis[[#Headers],[CCCM%]:[WASH%]], 0))=$A70, 1, 0))=0, "",SUM(IF(INDEX(_xlfn._xlws.FILTER(tblPiNAnalysis[[CCCM%]:[WASH%]], tblPiNAnalysis[Population Group]=C$5), 0, MATCH(_xlfn.CONCAT($Q$2, "%"), tblPiNAnalysis[[#Headers],[CCCM%]:[WASH%]], 0))=$A70, 1, 0)))), "")</f>
        <v/>
      </c>
      <c r="D70" s="91" t="str" cm="1">
        <f t="array" ref="D70">IFERROR(IF(OR($A70="", D$5=""), "", IF(SUM(IF(INDEX(_xlfn._xlws.FILTER(tblPiNAnalysis[[CCCM%]:[WASH%]], tblPiNAnalysis[Population Group]=D$5), 0, MATCH(_xlfn.CONCAT($Q$2, "%"), tblPiNAnalysis[[#Headers],[CCCM%]:[WASH%]], 0))=$A70, 1, 0))=0, "",SUM(IF(INDEX(_xlfn._xlws.FILTER(tblPiNAnalysis[[CCCM%]:[WASH%]], tblPiNAnalysis[Population Group]=D$5), 0, MATCH(_xlfn.CONCAT($Q$2, "%"), tblPiNAnalysis[[#Headers],[CCCM%]:[WASH%]], 0))=$A70, 1, 0)))), "")</f>
        <v/>
      </c>
      <c r="E70" s="91" t="str" cm="1">
        <f t="array" ref="E70">IFERROR(IF(OR($A70="", E$5=""), "", IF(SUM(IF(INDEX(_xlfn._xlws.FILTER(tblPiNAnalysis[[CCCM%]:[WASH%]], tblPiNAnalysis[Population Group]=E$5), 0, MATCH(_xlfn.CONCAT($Q$2, "%"), tblPiNAnalysis[[#Headers],[CCCM%]:[WASH%]], 0))=$A70, 1, 0))=0, "",SUM(IF(INDEX(_xlfn._xlws.FILTER(tblPiNAnalysis[[CCCM%]:[WASH%]], tblPiNAnalysis[Population Group]=E$5), 0, MATCH(_xlfn.CONCAT($Q$2, "%"), tblPiNAnalysis[[#Headers],[CCCM%]:[WASH%]], 0))=$A70, 1, 0)))), "")</f>
        <v/>
      </c>
      <c r="F70" s="91" t="str" cm="1">
        <f t="array" ref="F70">IFERROR(IF(OR($A70="", F$5=""), "", IF(SUM(IF(INDEX(_xlfn._xlws.FILTER(tblPiNAnalysis[[CCCM%]:[WASH%]], tblPiNAnalysis[CCCM]=F$5), 0, MATCH(_xlfn.CONCAT($Q$2, "%"), tblPiNAnalysis[[#Headers],[CCCM%]:[WASH%]], 0))=$A70, 1, 0))=0, "",SUM(IF(INDEX(_xlfn._xlws.FILTER(tblPiNAnalysis[[CCCM%]:[WASH%]], tblPiNAnalysis[CCCM]=F$5), 0, MATCH(_xlfn.CONCAT($Q$2, "%"), tblPiNAnalysis[[#Headers],[CCCM%]:[WASH%]], 0))=$A70, 1, 0)))), "")</f>
        <v/>
      </c>
      <c r="H70" s="93"/>
      <c r="I70" s="91" t="str" cm="1">
        <f t="array" ref="I70">IF($H70="", "", IF($H70=2, SUM(IF(INDEX(_xlfn._xlws.FILTER(tblPiNHistorical[[CCCM]:[WASH]], tblPiNHistorical[Population Group]=I$5), 0, MATCH($Q$2, tblPiNHistorical[[#Headers],[CCCM]:[WASH]], 0))&gt;1.9, 1, 0)), IF(SUM(IF(INDEX(_xlfn._xlws.FILTER(tblPiNHistorical[[CCCM]:[WASH]], tblPiNHistorical[Population Group]=I$5), 0, MATCH($Q$2, tblPiNHistorical[[#Headers],[CCCM]:[WASH]], 0))=$H70, 1, 0))=0, "", SUM(IF(INDEX(_xlfn._xlws.FILTER(tblPiNHistorical[[CCCM]:[WASH]], tblPiNHistorical[Population Group]=I$5), 0, MATCH($Q$2, tblPiNHistorical[[#Headers],[CCCM]:[WASH]], 0))=$H70, 1, 0)))))</f>
        <v/>
      </c>
      <c r="J70" s="91" t="str" cm="1">
        <f t="array" ref="J70">IFERROR(IF(OR($H70="", J69=""), "", IF($H70=2, SUM(IF(INDEX(_xlfn._xlws.FILTER(tblPiNHistorical[[CCCM]:[WASH]], tblPiNHistorical[Population Group]=J$5), 0, MATCH($Q$2, tblPiNHistorical[[#Headers],[CCCM]:[WASH]], 0))&gt;1.9, 1, 0)), IF(SUM(IF(INDEX(_xlfn._xlws.FILTER(tblPiNHistorical[[CCCM]:[WASH]], tblPiNHistorical[Population Group]=J$5), 0, MATCH($Q$2, tblPiNHistorical[[#Headers],[CCCM]:[WASH]], 0))=$H70, 1, 0))=0, "", SUM(IF(INDEX(_xlfn._xlws.FILTER(tblPiNHistorical[[CCCM]:[WASH]], tblPiNHistorical[Population Group]=J$5), 0, MATCH($Q$2, tblPiNHistorical[[#Headers],[CCCM]:[WASH]], 0))=$H70, 1, 0))))), "")</f>
        <v/>
      </c>
      <c r="K70" s="91" t="str" cm="1">
        <f t="array" ref="K70">IFERROR(IF(OR($H70="", K69=""), "", IF($H70=2, SUM(IF(INDEX(_xlfn._xlws.FILTER(tblPiNHistorical[[CCCM]:[WASH]], tblPiNHistorical[CCCM - old]=K$5), 0, MATCH($Q$2, tblPiNHistorical[[#Headers],[CCCM]:[WASH]], 0))&gt;1.9, 1, 0)), IF(SUM(IF(INDEX(_xlfn._xlws.FILTER(tblPiNHistorical[[CCCM]:[WASH]], tblPiNHistorical[CCCM - old]=K$5), 0, MATCH($Q$2, tblPiNHistorical[[#Headers],[CCCM]:[WASH]], 0))=$H70, 1, 0))=0, "", SUM(IF(INDEX(_xlfn._xlws.FILTER(tblPiNHistorical[[CCCM]:[WASH]], tblPiNHistorical[CCCM - old]=K$5), 0, MATCH($Q$2, tblPiNHistorical[[#Headers],[CCCM]:[WASH]], 0))=$H70, 1, 0))))), "")</f>
        <v/>
      </c>
      <c r="L70" s="91" t="str" cm="1">
        <f t="array" ref="L70">IFERROR(IF(OR($H70="", L69=""), "", IF($H70=2, SUM(IF(INDEX(_xlfn._xlws.FILTER(tblPiNHistorical[[CCCM]:[WASH]],#REF!= L$5), 0, MATCH($Q$2, tblPiNHistorical[[#Headers],[CCCM]:[WASH]], 0))&gt;1.9, 1, 0)), IF(SUM(IF(INDEX(_xlfn._xlws.FILTER(tblPiNHistorical[[CCCM]:[WASH]],#REF!= L$5), 0, MATCH($Q$2, tblPiNHistorical[[#Headers],[CCCM]:[WASH]], 0))=$H70, 1, 0))=0, "", SUM(IF(INDEX(_xlfn._xlws.FILTER(tblPiNHistorical[[CCCM]:[WASH]],#REF!= L$5), 0, MATCH($Q$2, tblPiNHistorical[[#Headers],[CCCM]:[WASH]], 0))=$H70, 1, 0))))), "")</f>
        <v/>
      </c>
      <c r="M70" s="91" t="str" cm="1">
        <f t="array" ref="M70">IFERROR(IF(OR($H70="", M69=""), "", IF($H70=2, SUM(IF(INDEX(_xlfn._xlws.FILTER(tblPiNHistorical[[CCCM]:[WASH]],#REF!= M$5), 0, MATCH($Q$2, tblPiNHistorical[[#Headers],[CCCM]:[WASH]], 0))&gt;1.9, 1, 0)), IF(SUM(IF(INDEX(_xlfn._xlws.FILTER(tblPiNHistorical[[CCCM]:[WASH]],#REF!= M$5), 0, MATCH($Q$2, tblPiNHistorical[[#Headers],[CCCM]:[WASH]], 0))=$H70, 1, 0))=0, "", SUM(IF(INDEX(_xlfn._xlws.FILTER(tblPiNHistorical[[CCCM]:[WASH]],#REF!= M$5), 0, MATCH($Q$2, tblPiNHistorical[[#Headers],[CCCM]:[WASH]], 0))=$H70, 1, 0))))), "")</f>
        <v/>
      </c>
    </row>
    <row r="71" spans="1:13">
      <c r="A71" s="93"/>
      <c r="B71" s="91" t="str" cm="1">
        <f t="array" ref="B71">IF($A71="", "", IF(SUM(IF(INDEX(_xlfn._xlws.FILTER(tblPiNAnalysis[[CCCM%]:[WASH%]], tblPiNAnalysis[Population Group]=B$5), 0, MATCH(_xlfn.CONCAT($Q$2, "%"), tblPiNAnalysis[[#Headers],[CCCM%]:[WASH%]], 0))=$A71, 1, 0))=0, "",SUM(IF(INDEX(_xlfn._xlws.FILTER(tblPiNAnalysis[[CCCM%]:[WASH%]], tblPiNAnalysis[Population Group]=B$5), 0, MATCH(_xlfn.CONCAT($Q$2, "%"), tblPiNAnalysis[[#Headers],[CCCM%]:[WASH%]], 0))=$A71, 1, 0))))</f>
        <v/>
      </c>
      <c r="C71" s="91" t="str" cm="1">
        <f t="array" ref="C71">IFERROR(IF(OR($A71="", C$5=""), "", IF(SUM(IF(INDEX(_xlfn._xlws.FILTER(tblPiNAnalysis[[CCCM%]:[WASH%]], tblPiNAnalysis[Population Group]=C$5), 0, MATCH(_xlfn.CONCAT($Q$2, "%"), tblPiNAnalysis[[#Headers],[CCCM%]:[WASH%]], 0))=$A71, 1, 0))=0, "",SUM(IF(INDEX(_xlfn._xlws.FILTER(tblPiNAnalysis[[CCCM%]:[WASH%]], tblPiNAnalysis[Population Group]=C$5), 0, MATCH(_xlfn.CONCAT($Q$2, "%"), tblPiNAnalysis[[#Headers],[CCCM%]:[WASH%]], 0))=$A71, 1, 0)))), "")</f>
        <v/>
      </c>
      <c r="D71" s="91" t="str" cm="1">
        <f t="array" ref="D71">IFERROR(IF(OR($A71="", D$5=""), "", IF(SUM(IF(INDEX(_xlfn._xlws.FILTER(tblPiNAnalysis[[CCCM%]:[WASH%]], tblPiNAnalysis[Population Group]=D$5), 0, MATCH(_xlfn.CONCAT($Q$2, "%"), tblPiNAnalysis[[#Headers],[CCCM%]:[WASH%]], 0))=$A71, 1, 0))=0, "",SUM(IF(INDEX(_xlfn._xlws.FILTER(tblPiNAnalysis[[CCCM%]:[WASH%]], tblPiNAnalysis[Population Group]=D$5), 0, MATCH(_xlfn.CONCAT($Q$2, "%"), tblPiNAnalysis[[#Headers],[CCCM%]:[WASH%]], 0))=$A71, 1, 0)))), "")</f>
        <v/>
      </c>
      <c r="E71" s="91" t="str" cm="1">
        <f t="array" ref="E71">IFERROR(IF(OR($A71="", E$5=""), "", IF(SUM(IF(INDEX(_xlfn._xlws.FILTER(tblPiNAnalysis[[CCCM%]:[WASH%]], tblPiNAnalysis[Population Group]=E$5), 0, MATCH(_xlfn.CONCAT($Q$2, "%"), tblPiNAnalysis[[#Headers],[CCCM%]:[WASH%]], 0))=$A71, 1, 0))=0, "",SUM(IF(INDEX(_xlfn._xlws.FILTER(tblPiNAnalysis[[CCCM%]:[WASH%]], tblPiNAnalysis[Population Group]=E$5), 0, MATCH(_xlfn.CONCAT($Q$2, "%"), tblPiNAnalysis[[#Headers],[CCCM%]:[WASH%]], 0))=$A71, 1, 0)))), "")</f>
        <v/>
      </c>
      <c r="F71" s="91" t="str" cm="1">
        <f t="array" ref="F71">IFERROR(IF(OR($A71="", F$5=""), "", IF(SUM(IF(INDEX(_xlfn._xlws.FILTER(tblPiNAnalysis[[CCCM%]:[WASH%]], tblPiNAnalysis[CCCM]=F$5), 0, MATCH(_xlfn.CONCAT($Q$2, "%"), tblPiNAnalysis[[#Headers],[CCCM%]:[WASH%]], 0))=$A71, 1, 0))=0, "",SUM(IF(INDEX(_xlfn._xlws.FILTER(tblPiNAnalysis[[CCCM%]:[WASH%]], tblPiNAnalysis[CCCM]=F$5), 0, MATCH(_xlfn.CONCAT($Q$2, "%"), tblPiNAnalysis[[#Headers],[CCCM%]:[WASH%]], 0))=$A71, 1, 0)))), "")</f>
        <v/>
      </c>
      <c r="H71" s="93"/>
      <c r="I71" s="91" t="str" cm="1">
        <f t="array" ref="I71">IF($H71="", "", IF($H71=2, SUM(IF(INDEX(_xlfn._xlws.FILTER(tblPiNHistorical[[CCCM]:[WASH]], tblPiNHistorical[Population Group]=I$5), 0, MATCH($Q$2, tblPiNHistorical[[#Headers],[CCCM]:[WASH]], 0))&gt;1.9, 1, 0)), IF(SUM(IF(INDEX(_xlfn._xlws.FILTER(tblPiNHistorical[[CCCM]:[WASH]], tblPiNHistorical[Population Group]=I$5), 0, MATCH($Q$2, tblPiNHistorical[[#Headers],[CCCM]:[WASH]], 0))=$H71, 1, 0))=0, "", SUM(IF(INDEX(_xlfn._xlws.FILTER(tblPiNHistorical[[CCCM]:[WASH]], tblPiNHistorical[Population Group]=I$5), 0, MATCH($Q$2, tblPiNHistorical[[#Headers],[CCCM]:[WASH]], 0))=$H71, 1, 0)))))</f>
        <v/>
      </c>
      <c r="J71" s="91" t="str" cm="1">
        <f t="array" ref="J71">IFERROR(IF(OR($H71="", J70=""), "", IF($H71=2, SUM(IF(INDEX(_xlfn._xlws.FILTER(tblPiNHistorical[[CCCM]:[WASH]], tblPiNHistorical[Population Group]=J$5), 0, MATCH($Q$2, tblPiNHistorical[[#Headers],[CCCM]:[WASH]], 0))&gt;1.9, 1, 0)), IF(SUM(IF(INDEX(_xlfn._xlws.FILTER(tblPiNHistorical[[CCCM]:[WASH]], tblPiNHistorical[Population Group]=J$5), 0, MATCH($Q$2, tblPiNHistorical[[#Headers],[CCCM]:[WASH]], 0))=$H71, 1, 0))=0, "", SUM(IF(INDEX(_xlfn._xlws.FILTER(tblPiNHistorical[[CCCM]:[WASH]], tblPiNHistorical[Population Group]=J$5), 0, MATCH($Q$2, tblPiNHistorical[[#Headers],[CCCM]:[WASH]], 0))=$H71, 1, 0))))), "")</f>
        <v/>
      </c>
      <c r="K71" s="91" t="str" cm="1">
        <f t="array" ref="K71">IFERROR(IF(OR($H71="", K70=""), "", IF($H71=2, SUM(IF(INDEX(_xlfn._xlws.FILTER(tblPiNHistorical[[CCCM]:[WASH]], tblPiNHistorical[CCCM - old]=K$5), 0, MATCH($Q$2, tblPiNHistorical[[#Headers],[CCCM]:[WASH]], 0))&gt;1.9, 1, 0)), IF(SUM(IF(INDEX(_xlfn._xlws.FILTER(tblPiNHistorical[[CCCM]:[WASH]], tblPiNHistorical[CCCM - old]=K$5), 0, MATCH($Q$2, tblPiNHistorical[[#Headers],[CCCM]:[WASH]], 0))=$H71, 1, 0))=0, "", SUM(IF(INDEX(_xlfn._xlws.FILTER(tblPiNHistorical[[CCCM]:[WASH]], tblPiNHistorical[CCCM - old]=K$5), 0, MATCH($Q$2, tblPiNHistorical[[#Headers],[CCCM]:[WASH]], 0))=$H71, 1, 0))))), "")</f>
        <v/>
      </c>
      <c r="L71" s="91" t="str" cm="1">
        <f t="array" ref="L71">IFERROR(IF(OR($H71="", L70=""), "", IF($H71=2, SUM(IF(INDEX(_xlfn._xlws.FILTER(tblPiNHistorical[[CCCM]:[WASH]],#REF!= L$5), 0, MATCH($Q$2, tblPiNHistorical[[#Headers],[CCCM]:[WASH]], 0))&gt;1.9, 1, 0)), IF(SUM(IF(INDEX(_xlfn._xlws.FILTER(tblPiNHistorical[[CCCM]:[WASH]],#REF!= L$5), 0, MATCH($Q$2, tblPiNHistorical[[#Headers],[CCCM]:[WASH]], 0))=$H71, 1, 0))=0, "", SUM(IF(INDEX(_xlfn._xlws.FILTER(tblPiNHistorical[[CCCM]:[WASH]],#REF!= L$5), 0, MATCH($Q$2, tblPiNHistorical[[#Headers],[CCCM]:[WASH]], 0))=$H71, 1, 0))))), "")</f>
        <v/>
      </c>
      <c r="M71" s="91" t="str" cm="1">
        <f t="array" ref="M71">IFERROR(IF(OR($H71="", M70=""), "", IF($H71=2, SUM(IF(INDEX(_xlfn._xlws.FILTER(tblPiNHistorical[[CCCM]:[WASH]],#REF!= M$5), 0, MATCH($Q$2, tblPiNHistorical[[#Headers],[CCCM]:[WASH]], 0))&gt;1.9, 1, 0)), IF(SUM(IF(INDEX(_xlfn._xlws.FILTER(tblPiNHistorical[[CCCM]:[WASH]],#REF!= M$5), 0, MATCH($Q$2, tblPiNHistorical[[#Headers],[CCCM]:[WASH]], 0))=$H71, 1, 0))=0, "", SUM(IF(INDEX(_xlfn._xlws.FILTER(tblPiNHistorical[[CCCM]:[WASH]],#REF!= M$5), 0, MATCH($Q$2, tblPiNHistorical[[#Headers],[CCCM]:[WASH]], 0))=$H71, 1, 0))))), "")</f>
        <v/>
      </c>
    </row>
    <row r="72" spans="1:13">
      <c r="A72" s="93"/>
      <c r="B72" s="91" t="str" cm="1">
        <f t="array" ref="B72">IF($A72="", "", IF(SUM(IF(INDEX(_xlfn._xlws.FILTER(tblPiNAnalysis[[CCCM%]:[WASH%]], tblPiNAnalysis[Population Group]=B$5), 0, MATCH(_xlfn.CONCAT($Q$2, "%"), tblPiNAnalysis[[#Headers],[CCCM%]:[WASH%]], 0))=$A72, 1, 0))=0, "",SUM(IF(INDEX(_xlfn._xlws.FILTER(tblPiNAnalysis[[CCCM%]:[WASH%]], tblPiNAnalysis[Population Group]=B$5), 0, MATCH(_xlfn.CONCAT($Q$2, "%"), tblPiNAnalysis[[#Headers],[CCCM%]:[WASH%]], 0))=$A72, 1, 0))))</f>
        <v/>
      </c>
      <c r="C72" s="91" t="str" cm="1">
        <f t="array" ref="C72">IFERROR(IF(OR($A72="", C$5=""), "", IF(SUM(IF(INDEX(_xlfn._xlws.FILTER(tblPiNAnalysis[[CCCM%]:[WASH%]], tblPiNAnalysis[Population Group]=C$5), 0, MATCH(_xlfn.CONCAT($Q$2, "%"), tblPiNAnalysis[[#Headers],[CCCM%]:[WASH%]], 0))=$A72, 1, 0))=0, "",SUM(IF(INDEX(_xlfn._xlws.FILTER(tblPiNAnalysis[[CCCM%]:[WASH%]], tblPiNAnalysis[Population Group]=C$5), 0, MATCH(_xlfn.CONCAT($Q$2, "%"), tblPiNAnalysis[[#Headers],[CCCM%]:[WASH%]], 0))=$A72, 1, 0)))), "")</f>
        <v/>
      </c>
      <c r="D72" s="91" t="str" cm="1">
        <f t="array" ref="D72">IFERROR(IF(OR($A72="", D$5=""), "", IF(SUM(IF(INDEX(_xlfn._xlws.FILTER(tblPiNAnalysis[[CCCM%]:[WASH%]], tblPiNAnalysis[Population Group]=D$5), 0, MATCH(_xlfn.CONCAT($Q$2, "%"), tblPiNAnalysis[[#Headers],[CCCM%]:[WASH%]], 0))=$A72, 1, 0))=0, "",SUM(IF(INDEX(_xlfn._xlws.FILTER(tblPiNAnalysis[[CCCM%]:[WASH%]], tblPiNAnalysis[Population Group]=D$5), 0, MATCH(_xlfn.CONCAT($Q$2, "%"), tblPiNAnalysis[[#Headers],[CCCM%]:[WASH%]], 0))=$A72, 1, 0)))), "")</f>
        <v/>
      </c>
      <c r="E72" s="91" t="str" cm="1">
        <f t="array" ref="E72">IFERROR(IF(OR($A72="", E$5=""), "", IF(SUM(IF(INDEX(_xlfn._xlws.FILTER(tblPiNAnalysis[[CCCM%]:[WASH%]], tblPiNAnalysis[Population Group]=E$5), 0, MATCH(_xlfn.CONCAT($Q$2, "%"), tblPiNAnalysis[[#Headers],[CCCM%]:[WASH%]], 0))=$A72, 1, 0))=0, "",SUM(IF(INDEX(_xlfn._xlws.FILTER(tblPiNAnalysis[[CCCM%]:[WASH%]], tblPiNAnalysis[Population Group]=E$5), 0, MATCH(_xlfn.CONCAT($Q$2, "%"), tblPiNAnalysis[[#Headers],[CCCM%]:[WASH%]], 0))=$A72, 1, 0)))), "")</f>
        <v/>
      </c>
      <c r="F72" s="91" t="str" cm="1">
        <f t="array" ref="F72">IFERROR(IF(OR($A72="", F$5=""), "", IF(SUM(IF(INDEX(_xlfn._xlws.FILTER(tblPiNAnalysis[[CCCM%]:[WASH%]], tblPiNAnalysis[CCCM]=F$5), 0, MATCH(_xlfn.CONCAT($Q$2, "%"), tblPiNAnalysis[[#Headers],[CCCM%]:[WASH%]], 0))=$A72, 1, 0))=0, "",SUM(IF(INDEX(_xlfn._xlws.FILTER(tblPiNAnalysis[[CCCM%]:[WASH%]], tblPiNAnalysis[CCCM]=F$5), 0, MATCH(_xlfn.CONCAT($Q$2, "%"), tblPiNAnalysis[[#Headers],[CCCM%]:[WASH%]], 0))=$A72, 1, 0)))), "")</f>
        <v/>
      </c>
      <c r="H72" s="93"/>
      <c r="I72" s="91" t="str" cm="1">
        <f t="array" ref="I72">IF($H72="", "", IF($H72=2, SUM(IF(INDEX(_xlfn._xlws.FILTER(tblPiNHistorical[[CCCM]:[WASH]], tblPiNHistorical[Population Group]=I$5), 0, MATCH($Q$2, tblPiNHistorical[[#Headers],[CCCM]:[WASH]], 0))&gt;1.9, 1, 0)), IF(SUM(IF(INDEX(_xlfn._xlws.FILTER(tblPiNHistorical[[CCCM]:[WASH]], tblPiNHistorical[Population Group]=I$5), 0, MATCH($Q$2, tblPiNHistorical[[#Headers],[CCCM]:[WASH]], 0))=$H72, 1, 0))=0, "", SUM(IF(INDEX(_xlfn._xlws.FILTER(tblPiNHistorical[[CCCM]:[WASH]], tblPiNHistorical[Population Group]=I$5), 0, MATCH($Q$2, tblPiNHistorical[[#Headers],[CCCM]:[WASH]], 0))=$H72, 1, 0)))))</f>
        <v/>
      </c>
      <c r="J72" s="91" t="str" cm="1">
        <f t="array" ref="J72">IFERROR(IF(OR($H72="", J71=""), "", IF($H72=2, SUM(IF(INDEX(_xlfn._xlws.FILTER(tblPiNHistorical[[CCCM]:[WASH]], tblPiNHistorical[Population Group]=J$5), 0, MATCH($Q$2, tblPiNHistorical[[#Headers],[CCCM]:[WASH]], 0))&gt;1.9, 1, 0)), IF(SUM(IF(INDEX(_xlfn._xlws.FILTER(tblPiNHistorical[[CCCM]:[WASH]], tblPiNHistorical[Population Group]=J$5), 0, MATCH($Q$2, tblPiNHistorical[[#Headers],[CCCM]:[WASH]], 0))=$H72, 1, 0))=0, "", SUM(IF(INDEX(_xlfn._xlws.FILTER(tblPiNHistorical[[CCCM]:[WASH]], tblPiNHistorical[Population Group]=J$5), 0, MATCH($Q$2, tblPiNHistorical[[#Headers],[CCCM]:[WASH]], 0))=$H72, 1, 0))))), "")</f>
        <v/>
      </c>
      <c r="K72" s="91" t="str" cm="1">
        <f t="array" ref="K72">IFERROR(IF(OR($H72="", K71=""), "", IF($H72=2, SUM(IF(INDEX(_xlfn._xlws.FILTER(tblPiNHistorical[[CCCM]:[WASH]], tblPiNHistorical[CCCM - old]=K$5), 0, MATCH($Q$2, tblPiNHistorical[[#Headers],[CCCM]:[WASH]], 0))&gt;1.9, 1, 0)), IF(SUM(IF(INDEX(_xlfn._xlws.FILTER(tblPiNHistorical[[CCCM]:[WASH]], tblPiNHistorical[CCCM - old]=K$5), 0, MATCH($Q$2, tblPiNHistorical[[#Headers],[CCCM]:[WASH]], 0))=$H72, 1, 0))=0, "", SUM(IF(INDEX(_xlfn._xlws.FILTER(tblPiNHistorical[[CCCM]:[WASH]], tblPiNHistorical[CCCM - old]=K$5), 0, MATCH($Q$2, tblPiNHistorical[[#Headers],[CCCM]:[WASH]], 0))=$H72, 1, 0))))), "")</f>
        <v/>
      </c>
      <c r="L72" s="91" t="str" cm="1">
        <f t="array" ref="L72">IFERROR(IF(OR($H72="", L71=""), "", IF($H72=2, SUM(IF(INDEX(_xlfn._xlws.FILTER(tblPiNHistorical[[CCCM]:[WASH]],#REF!= L$5), 0, MATCH($Q$2, tblPiNHistorical[[#Headers],[CCCM]:[WASH]], 0))&gt;1.9, 1, 0)), IF(SUM(IF(INDEX(_xlfn._xlws.FILTER(tblPiNHistorical[[CCCM]:[WASH]],#REF!= L$5), 0, MATCH($Q$2, tblPiNHistorical[[#Headers],[CCCM]:[WASH]], 0))=$H72, 1, 0))=0, "", SUM(IF(INDEX(_xlfn._xlws.FILTER(tblPiNHistorical[[CCCM]:[WASH]],#REF!= L$5), 0, MATCH($Q$2, tblPiNHistorical[[#Headers],[CCCM]:[WASH]], 0))=$H72, 1, 0))))), "")</f>
        <v/>
      </c>
      <c r="M72" s="91" t="str" cm="1">
        <f t="array" ref="M72">IFERROR(IF(OR($H72="", M71=""), "", IF($H72=2, SUM(IF(INDEX(_xlfn._xlws.FILTER(tblPiNHistorical[[CCCM]:[WASH]],#REF!= M$5), 0, MATCH($Q$2, tblPiNHistorical[[#Headers],[CCCM]:[WASH]], 0))&gt;1.9, 1, 0)), IF(SUM(IF(INDEX(_xlfn._xlws.FILTER(tblPiNHistorical[[CCCM]:[WASH]],#REF!= M$5), 0, MATCH($Q$2, tblPiNHistorical[[#Headers],[CCCM]:[WASH]], 0))=$H72, 1, 0))=0, "", SUM(IF(INDEX(_xlfn._xlws.FILTER(tblPiNHistorical[[CCCM]:[WASH]],#REF!= M$5), 0, MATCH($Q$2, tblPiNHistorical[[#Headers],[CCCM]:[WASH]], 0))=$H72, 1, 0))))), "")</f>
        <v/>
      </c>
    </row>
    <row r="73" spans="1:13">
      <c r="A73" s="93"/>
      <c r="B73" s="91" t="str" cm="1">
        <f t="array" ref="B73">IF($A73="", "", IF(SUM(IF(INDEX(_xlfn._xlws.FILTER(tblPiNAnalysis[[CCCM%]:[WASH%]], tblPiNAnalysis[Population Group]=B$5), 0, MATCH(_xlfn.CONCAT($Q$2, "%"), tblPiNAnalysis[[#Headers],[CCCM%]:[WASH%]], 0))=$A73, 1, 0))=0, "",SUM(IF(INDEX(_xlfn._xlws.FILTER(tblPiNAnalysis[[CCCM%]:[WASH%]], tblPiNAnalysis[Population Group]=B$5), 0, MATCH(_xlfn.CONCAT($Q$2, "%"), tblPiNAnalysis[[#Headers],[CCCM%]:[WASH%]], 0))=$A73, 1, 0))))</f>
        <v/>
      </c>
      <c r="C73" s="91" t="str" cm="1">
        <f t="array" ref="C73">IFERROR(IF(OR($A73="", C$5=""), "", IF(SUM(IF(INDEX(_xlfn._xlws.FILTER(tblPiNAnalysis[[CCCM%]:[WASH%]], tblPiNAnalysis[Population Group]=C$5), 0, MATCH(_xlfn.CONCAT($Q$2, "%"), tblPiNAnalysis[[#Headers],[CCCM%]:[WASH%]], 0))=$A73, 1, 0))=0, "",SUM(IF(INDEX(_xlfn._xlws.FILTER(tblPiNAnalysis[[CCCM%]:[WASH%]], tblPiNAnalysis[Population Group]=C$5), 0, MATCH(_xlfn.CONCAT($Q$2, "%"), tblPiNAnalysis[[#Headers],[CCCM%]:[WASH%]], 0))=$A73, 1, 0)))), "")</f>
        <v/>
      </c>
      <c r="D73" s="91" t="str" cm="1">
        <f t="array" ref="D73">IFERROR(IF(OR($A73="", D$5=""), "", IF(SUM(IF(INDEX(_xlfn._xlws.FILTER(tblPiNAnalysis[[CCCM%]:[WASH%]], tblPiNAnalysis[Population Group]=D$5), 0, MATCH(_xlfn.CONCAT($Q$2, "%"), tblPiNAnalysis[[#Headers],[CCCM%]:[WASH%]], 0))=$A73, 1, 0))=0, "",SUM(IF(INDEX(_xlfn._xlws.FILTER(tblPiNAnalysis[[CCCM%]:[WASH%]], tblPiNAnalysis[Population Group]=D$5), 0, MATCH(_xlfn.CONCAT($Q$2, "%"), tblPiNAnalysis[[#Headers],[CCCM%]:[WASH%]], 0))=$A73, 1, 0)))), "")</f>
        <v/>
      </c>
      <c r="E73" s="91" t="str" cm="1">
        <f t="array" ref="E73">IFERROR(IF(OR($A73="", E$5=""), "", IF(SUM(IF(INDEX(_xlfn._xlws.FILTER(tblPiNAnalysis[[CCCM%]:[WASH%]], tblPiNAnalysis[Population Group]=E$5), 0, MATCH(_xlfn.CONCAT($Q$2, "%"), tblPiNAnalysis[[#Headers],[CCCM%]:[WASH%]], 0))=$A73, 1, 0))=0, "",SUM(IF(INDEX(_xlfn._xlws.FILTER(tblPiNAnalysis[[CCCM%]:[WASH%]], tblPiNAnalysis[Population Group]=E$5), 0, MATCH(_xlfn.CONCAT($Q$2, "%"), tblPiNAnalysis[[#Headers],[CCCM%]:[WASH%]], 0))=$A73, 1, 0)))), "")</f>
        <v/>
      </c>
      <c r="F73" s="91" t="str" cm="1">
        <f t="array" ref="F73">IFERROR(IF(OR($A73="", F$5=""), "", IF(SUM(IF(INDEX(_xlfn._xlws.FILTER(tblPiNAnalysis[[CCCM%]:[WASH%]], tblPiNAnalysis[CCCM]=F$5), 0, MATCH(_xlfn.CONCAT($Q$2, "%"), tblPiNAnalysis[[#Headers],[CCCM%]:[WASH%]], 0))=$A73, 1, 0))=0, "",SUM(IF(INDEX(_xlfn._xlws.FILTER(tblPiNAnalysis[[CCCM%]:[WASH%]], tblPiNAnalysis[CCCM]=F$5), 0, MATCH(_xlfn.CONCAT($Q$2, "%"), tblPiNAnalysis[[#Headers],[CCCM%]:[WASH%]], 0))=$A73, 1, 0)))), "")</f>
        <v/>
      </c>
      <c r="H73" s="93"/>
      <c r="I73" s="91" t="str" cm="1">
        <f t="array" ref="I73">IF($H73="", "", IF($H73=2, SUM(IF(INDEX(_xlfn._xlws.FILTER(tblPiNHistorical[[CCCM]:[WASH]], tblPiNHistorical[Population Group]=I$5), 0, MATCH($Q$2, tblPiNHistorical[[#Headers],[CCCM]:[WASH]], 0))&gt;1.9, 1, 0)), IF(SUM(IF(INDEX(_xlfn._xlws.FILTER(tblPiNHistorical[[CCCM]:[WASH]], tblPiNHistorical[Population Group]=I$5), 0, MATCH($Q$2, tblPiNHistorical[[#Headers],[CCCM]:[WASH]], 0))=$H73, 1, 0))=0, "", SUM(IF(INDEX(_xlfn._xlws.FILTER(tblPiNHistorical[[CCCM]:[WASH]], tblPiNHistorical[Population Group]=I$5), 0, MATCH($Q$2, tblPiNHistorical[[#Headers],[CCCM]:[WASH]], 0))=$H73, 1, 0)))))</f>
        <v/>
      </c>
      <c r="J73" s="91" t="str" cm="1">
        <f t="array" ref="J73">IFERROR(IF(OR($H73="", J72=""), "", IF($H73=2, SUM(IF(INDEX(_xlfn._xlws.FILTER(tblPiNHistorical[[CCCM]:[WASH]], tblPiNHistorical[Population Group]=J$5), 0, MATCH($Q$2, tblPiNHistorical[[#Headers],[CCCM]:[WASH]], 0))&gt;1.9, 1, 0)), IF(SUM(IF(INDEX(_xlfn._xlws.FILTER(tblPiNHistorical[[CCCM]:[WASH]], tblPiNHistorical[Population Group]=J$5), 0, MATCH($Q$2, tblPiNHistorical[[#Headers],[CCCM]:[WASH]], 0))=$H73, 1, 0))=0, "", SUM(IF(INDEX(_xlfn._xlws.FILTER(tblPiNHistorical[[CCCM]:[WASH]], tblPiNHistorical[Population Group]=J$5), 0, MATCH($Q$2, tblPiNHistorical[[#Headers],[CCCM]:[WASH]], 0))=$H73, 1, 0))))), "")</f>
        <v/>
      </c>
      <c r="K73" s="91" t="str" cm="1">
        <f t="array" ref="K73">IFERROR(IF(OR($H73="", K72=""), "", IF($H73=2, SUM(IF(INDEX(_xlfn._xlws.FILTER(tblPiNHistorical[[CCCM]:[WASH]], tblPiNHistorical[CCCM - old]=K$5), 0, MATCH($Q$2, tblPiNHistorical[[#Headers],[CCCM]:[WASH]], 0))&gt;1.9, 1, 0)), IF(SUM(IF(INDEX(_xlfn._xlws.FILTER(tblPiNHistorical[[CCCM]:[WASH]], tblPiNHistorical[CCCM - old]=K$5), 0, MATCH($Q$2, tblPiNHistorical[[#Headers],[CCCM]:[WASH]], 0))=$H73, 1, 0))=0, "", SUM(IF(INDEX(_xlfn._xlws.FILTER(tblPiNHistorical[[CCCM]:[WASH]], tblPiNHistorical[CCCM - old]=K$5), 0, MATCH($Q$2, tblPiNHistorical[[#Headers],[CCCM]:[WASH]], 0))=$H73, 1, 0))))), "")</f>
        <v/>
      </c>
      <c r="L73" s="91" t="str" cm="1">
        <f t="array" ref="L73">IFERROR(IF(OR($H73="", L72=""), "", IF($H73=2, SUM(IF(INDEX(_xlfn._xlws.FILTER(tblPiNHistorical[[CCCM]:[WASH]],#REF!= L$5), 0, MATCH($Q$2, tblPiNHistorical[[#Headers],[CCCM]:[WASH]], 0))&gt;1.9, 1, 0)), IF(SUM(IF(INDEX(_xlfn._xlws.FILTER(tblPiNHistorical[[CCCM]:[WASH]],#REF!= L$5), 0, MATCH($Q$2, tblPiNHistorical[[#Headers],[CCCM]:[WASH]], 0))=$H73, 1, 0))=0, "", SUM(IF(INDEX(_xlfn._xlws.FILTER(tblPiNHistorical[[CCCM]:[WASH]],#REF!= L$5), 0, MATCH($Q$2, tblPiNHistorical[[#Headers],[CCCM]:[WASH]], 0))=$H73, 1, 0))))), "")</f>
        <v/>
      </c>
      <c r="M73" s="91" t="str" cm="1">
        <f t="array" ref="M73">IFERROR(IF(OR($H73="", M72=""), "", IF($H73=2, SUM(IF(INDEX(_xlfn._xlws.FILTER(tblPiNHistorical[[CCCM]:[WASH]],#REF!= M$5), 0, MATCH($Q$2, tblPiNHistorical[[#Headers],[CCCM]:[WASH]], 0))&gt;1.9, 1, 0)), IF(SUM(IF(INDEX(_xlfn._xlws.FILTER(tblPiNHistorical[[CCCM]:[WASH]],#REF!= M$5), 0, MATCH($Q$2, tblPiNHistorical[[#Headers],[CCCM]:[WASH]], 0))=$H73, 1, 0))=0, "", SUM(IF(INDEX(_xlfn._xlws.FILTER(tblPiNHistorical[[CCCM]:[WASH]],#REF!= M$5), 0, MATCH($Q$2, tblPiNHistorical[[#Headers],[CCCM]:[WASH]], 0))=$H73, 1, 0))))), "")</f>
        <v/>
      </c>
    </row>
    <row r="74" spans="1:13">
      <c r="A74" s="93"/>
      <c r="B74" s="91" t="str" cm="1">
        <f t="array" ref="B74">IF($A74="", "", IF(SUM(IF(INDEX(_xlfn._xlws.FILTER(tblPiNAnalysis[[CCCM%]:[WASH%]], tblPiNAnalysis[Population Group]=B$5), 0, MATCH(_xlfn.CONCAT($Q$2, "%"), tblPiNAnalysis[[#Headers],[CCCM%]:[WASH%]], 0))=$A74, 1, 0))=0, "",SUM(IF(INDEX(_xlfn._xlws.FILTER(tblPiNAnalysis[[CCCM%]:[WASH%]], tblPiNAnalysis[Population Group]=B$5), 0, MATCH(_xlfn.CONCAT($Q$2, "%"), tblPiNAnalysis[[#Headers],[CCCM%]:[WASH%]], 0))=$A74, 1, 0))))</f>
        <v/>
      </c>
      <c r="C74" s="91" t="str" cm="1">
        <f t="array" ref="C74">IFERROR(IF(OR($A74="", C$5=""), "", IF(SUM(IF(INDEX(_xlfn._xlws.FILTER(tblPiNAnalysis[[CCCM%]:[WASH%]], tblPiNAnalysis[Population Group]=C$5), 0, MATCH(_xlfn.CONCAT($Q$2, "%"), tblPiNAnalysis[[#Headers],[CCCM%]:[WASH%]], 0))=$A74, 1, 0))=0, "",SUM(IF(INDEX(_xlfn._xlws.FILTER(tblPiNAnalysis[[CCCM%]:[WASH%]], tblPiNAnalysis[Population Group]=C$5), 0, MATCH(_xlfn.CONCAT($Q$2, "%"), tblPiNAnalysis[[#Headers],[CCCM%]:[WASH%]], 0))=$A74, 1, 0)))), "")</f>
        <v/>
      </c>
      <c r="D74" s="91" t="str" cm="1">
        <f t="array" ref="D74">IFERROR(IF(OR($A74="", D$5=""), "", IF(SUM(IF(INDEX(_xlfn._xlws.FILTER(tblPiNAnalysis[[CCCM%]:[WASH%]], tblPiNAnalysis[Population Group]=D$5), 0, MATCH(_xlfn.CONCAT($Q$2, "%"), tblPiNAnalysis[[#Headers],[CCCM%]:[WASH%]], 0))=$A74, 1, 0))=0, "",SUM(IF(INDEX(_xlfn._xlws.FILTER(tblPiNAnalysis[[CCCM%]:[WASH%]], tblPiNAnalysis[Population Group]=D$5), 0, MATCH(_xlfn.CONCAT($Q$2, "%"), tblPiNAnalysis[[#Headers],[CCCM%]:[WASH%]], 0))=$A74, 1, 0)))), "")</f>
        <v/>
      </c>
      <c r="E74" s="91" t="str" cm="1">
        <f t="array" ref="E74">IFERROR(IF(OR($A74="", E$5=""), "", IF(SUM(IF(INDEX(_xlfn._xlws.FILTER(tblPiNAnalysis[[CCCM%]:[WASH%]], tblPiNAnalysis[Population Group]=E$5), 0, MATCH(_xlfn.CONCAT($Q$2, "%"), tblPiNAnalysis[[#Headers],[CCCM%]:[WASH%]], 0))=$A74, 1, 0))=0, "",SUM(IF(INDEX(_xlfn._xlws.FILTER(tblPiNAnalysis[[CCCM%]:[WASH%]], tblPiNAnalysis[Population Group]=E$5), 0, MATCH(_xlfn.CONCAT($Q$2, "%"), tblPiNAnalysis[[#Headers],[CCCM%]:[WASH%]], 0))=$A74, 1, 0)))), "")</f>
        <v/>
      </c>
      <c r="F74" s="91" t="str" cm="1">
        <f t="array" ref="F74">IFERROR(IF(OR($A74="", F$5=""), "", IF(SUM(IF(INDEX(_xlfn._xlws.FILTER(tblPiNAnalysis[[CCCM%]:[WASH%]], tblPiNAnalysis[CCCM]=F$5), 0, MATCH(_xlfn.CONCAT($Q$2, "%"), tblPiNAnalysis[[#Headers],[CCCM%]:[WASH%]], 0))=$A74, 1, 0))=0, "",SUM(IF(INDEX(_xlfn._xlws.FILTER(tblPiNAnalysis[[CCCM%]:[WASH%]], tblPiNAnalysis[CCCM]=F$5), 0, MATCH(_xlfn.CONCAT($Q$2, "%"), tblPiNAnalysis[[#Headers],[CCCM%]:[WASH%]], 0))=$A74, 1, 0)))), "")</f>
        <v/>
      </c>
      <c r="H74" s="93"/>
      <c r="I74" s="91" t="str" cm="1">
        <f t="array" ref="I74">IF($H74="", "", IF($H74=2, SUM(IF(INDEX(_xlfn._xlws.FILTER(tblPiNHistorical[[CCCM]:[WASH]], tblPiNHistorical[Population Group]=I$5), 0, MATCH($Q$2, tblPiNHistorical[[#Headers],[CCCM]:[WASH]], 0))&gt;1.9, 1, 0)), IF(SUM(IF(INDEX(_xlfn._xlws.FILTER(tblPiNHistorical[[CCCM]:[WASH]], tblPiNHistorical[Population Group]=I$5), 0, MATCH($Q$2, tblPiNHistorical[[#Headers],[CCCM]:[WASH]], 0))=$H74, 1, 0))=0, "", SUM(IF(INDEX(_xlfn._xlws.FILTER(tblPiNHistorical[[CCCM]:[WASH]], tblPiNHistorical[Population Group]=I$5), 0, MATCH($Q$2, tblPiNHistorical[[#Headers],[CCCM]:[WASH]], 0))=$H74, 1, 0)))))</f>
        <v/>
      </c>
      <c r="J74" s="91" t="str" cm="1">
        <f t="array" ref="J74">IFERROR(IF(OR($H74="", J73=""), "", IF($H74=2, SUM(IF(INDEX(_xlfn._xlws.FILTER(tblPiNHistorical[[CCCM]:[WASH]], tblPiNHistorical[Population Group]=J$5), 0, MATCH($Q$2, tblPiNHistorical[[#Headers],[CCCM]:[WASH]], 0))&gt;1.9, 1, 0)), IF(SUM(IF(INDEX(_xlfn._xlws.FILTER(tblPiNHistorical[[CCCM]:[WASH]], tblPiNHistorical[Population Group]=J$5), 0, MATCH($Q$2, tblPiNHistorical[[#Headers],[CCCM]:[WASH]], 0))=$H74, 1, 0))=0, "", SUM(IF(INDEX(_xlfn._xlws.FILTER(tblPiNHistorical[[CCCM]:[WASH]], tblPiNHistorical[Population Group]=J$5), 0, MATCH($Q$2, tblPiNHistorical[[#Headers],[CCCM]:[WASH]], 0))=$H74, 1, 0))))), "")</f>
        <v/>
      </c>
      <c r="K74" s="91" t="str" cm="1">
        <f t="array" ref="K74">IFERROR(IF(OR($H74="", K73=""), "", IF($H74=2, SUM(IF(INDEX(_xlfn._xlws.FILTER(tblPiNHistorical[[CCCM]:[WASH]], tblPiNHistorical[CCCM - old]=K$5), 0, MATCH($Q$2, tblPiNHistorical[[#Headers],[CCCM]:[WASH]], 0))&gt;1.9, 1, 0)), IF(SUM(IF(INDEX(_xlfn._xlws.FILTER(tblPiNHistorical[[CCCM]:[WASH]], tblPiNHistorical[CCCM - old]=K$5), 0, MATCH($Q$2, tblPiNHistorical[[#Headers],[CCCM]:[WASH]], 0))=$H74, 1, 0))=0, "", SUM(IF(INDEX(_xlfn._xlws.FILTER(tblPiNHistorical[[CCCM]:[WASH]], tblPiNHistorical[CCCM - old]=K$5), 0, MATCH($Q$2, tblPiNHistorical[[#Headers],[CCCM]:[WASH]], 0))=$H74, 1, 0))))), "")</f>
        <v/>
      </c>
      <c r="L74" s="91" t="str" cm="1">
        <f t="array" ref="L74">IFERROR(IF(OR($H74="", L73=""), "", IF($H74=2, SUM(IF(INDEX(_xlfn._xlws.FILTER(tblPiNHistorical[[CCCM]:[WASH]],#REF!= L$5), 0, MATCH($Q$2, tblPiNHistorical[[#Headers],[CCCM]:[WASH]], 0))&gt;1.9, 1, 0)), IF(SUM(IF(INDEX(_xlfn._xlws.FILTER(tblPiNHistorical[[CCCM]:[WASH]],#REF!= L$5), 0, MATCH($Q$2, tblPiNHistorical[[#Headers],[CCCM]:[WASH]], 0))=$H74, 1, 0))=0, "", SUM(IF(INDEX(_xlfn._xlws.FILTER(tblPiNHistorical[[CCCM]:[WASH]],#REF!= L$5), 0, MATCH($Q$2, tblPiNHistorical[[#Headers],[CCCM]:[WASH]], 0))=$H74, 1, 0))))), "")</f>
        <v/>
      </c>
      <c r="M74" s="91" t="str" cm="1">
        <f t="array" ref="M74">IFERROR(IF(OR($H74="", M73=""), "", IF($H74=2, SUM(IF(INDEX(_xlfn._xlws.FILTER(tblPiNHistorical[[CCCM]:[WASH]],#REF!= M$5), 0, MATCH($Q$2, tblPiNHistorical[[#Headers],[CCCM]:[WASH]], 0))&gt;1.9, 1, 0)), IF(SUM(IF(INDEX(_xlfn._xlws.FILTER(tblPiNHistorical[[CCCM]:[WASH]],#REF!= M$5), 0, MATCH($Q$2, tblPiNHistorical[[#Headers],[CCCM]:[WASH]], 0))=$H74, 1, 0))=0, "", SUM(IF(INDEX(_xlfn._xlws.FILTER(tblPiNHistorical[[CCCM]:[WASH]],#REF!= M$5), 0, MATCH($Q$2, tblPiNHistorical[[#Headers],[CCCM]:[WASH]], 0))=$H74, 1, 0))))), "")</f>
        <v/>
      </c>
    </row>
    <row r="75" spans="1:13">
      <c r="A75" s="93"/>
      <c r="B75" s="91" t="str" cm="1">
        <f t="array" ref="B75">IF($A75="", "", IF(SUM(IF(INDEX(_xlfn._xlws.FILTER(tblPiNAnalysis[[CCCM%]:[WASH%]], tblPiNAnalysis[Population Group]=B$5), 0, MATCH(_xlfn.CONCAT($Q$2, "%"), tblPiNAnalysis[[#Headers],[CCCM%]:[WASH%]], 0))=$A75, 1, 0))=0, "",SUM(IF(INDEX(_xlfn._xlws.FILTER(tblPiNAnalysis[[CCCM%]:[WASH%]], tblPiNAnalysis[Population Group]=B$5), 0, MATCH(_xlfn.CONCAT($Q$2, "%"), tblPiNAnalysis[[#Headers],[CCCM%]:[WASH%]], 0))=$A75, 1, 0))))</f>
        <v/>
      </c>
      <c r="C75" s="91" t="str" cm="1">
        <f t="array" ref="C75">IFERROR(IF(OR($A75="", C$5=""), "", IF(SUM(IF(INDEX(_xlfn._xlws.FILTER(tblPiNAnalysis[[CCCM%]:[WASH%]], tblPiNAnalysis[Population Group]=C$5), 0, MATCH(_xlfn.CONCAT($Q$2, "%"), tblPiNAnalysis[[#Headers],[CCCM%]:[WASH%]], 0))=$A75, 1, 0))=0, "",SUM(IF(INDEX(_xlfn._xlws.FILTER(tblPiNAnalysis[[CCCM%]:[WASH%]], tblPiNAnalysis[Population Group]=C$5), 0, MATCH(_xlfn.CONCAT($Q$2, "%"), tblPiNAnalysis[[#Headers],[CCCM%]:[WASH%]], 0))=$A75, 1, 0)))), "")</f>
        <v/>
      </c>
      <c r="D75" s="91" t="str" cm="1">
        <f t="array" ref="D75">IFERROR(IF(OR($A75="", D$5=""), "", IF(SUM(IF(INDEX(_xlfn._xlws.FILTER(tblPiNAnalysis[[CCCM%]:[WASH%]], tblPiNAnalysis[Population Group]=D$5), 0, MATCH(_xlfn.CONCAT($Q$2, "%"), tblPiNAnalysis[[#Headers],[CCCM%]:[WASH%]], 0))=$A75, 1, 0))=0, "",SUM(IF(INDEX(_xlfn._xlws.FILTER(tblPiNAnalysis[[CCCM%]:[WASH%]], tblPiNAnalysis[Population Group]=D$5), 0, MATCH(_xlfn.CONCAT($Q$2, "%"), tblPiNAnalysis[[#Headers],[CCCM%]:[WASH%]], 0))=$A75, 1, 0)))), "")</f>
        <v/>
      </c>
      <c r="E75" s="91" t="str" cm="1">
        <f t="array" ref="E75">IFERROR(IF(OR($A75="", E$5=""), "", IF(SUM(IF(INDEX(_xlfn._xlws.FILTER(tblPiNAnalysis[[CCCM%]:[WASH%]], tblPiNAnalysis[Population Group]=E$5), 0, MATCH(_xlfn.CONCAT($Q$2, "%"), tblPiNAnalysis[[#Headers],[CCCM%]:[WASH%]], 0))=$A75, 1, 0))=0, "",SUM(IF(INDEX(_xlfn._xlws.FILTER(tblPiNAnalysis[[CCCM%]:[WASH%]], tblPiNAnalysis[Population Group]=E$5), 0, MATCH(_xlfn.CONCAT($Q$2, "%"), tblPiNAnalysis[[#Headers],[CCCM%]:[WASH%]], 0))=$A75, 1, 0)))), "")</f>
        <v/>
      </c>
      <c r="F75" s="91" t="str" cm="1">
        <f t="array" ref="F75">IFERROR(IF(OR($A75="", F$5=""), "", IF(SUM(IF(INDEX(_xlfn._xlws.FILTER(tblPiNAnalysis[[CCCM%]:[WASH%]], tblPiNAnalysis[CCCM]=F$5), 0, MATCH(_xlfn.CONCAT($Q$2, "%"), tblPiNAnalysis[[#Headers],[CCCM%]:[WASH%]], 0))=$A75, 1, 0))=0, "",SUM(IF(INDEX(_xlfn._xlws.FILTER(tblPiNAnalysis[[CCCM%]:[WASH%]], tblPiNAnalysis[CCCM]=F$5), 0, MATCH(_xlfn.CONCAT($Q$2, "%"), tblPiNAnalysis[[#Headers],[CCCM%]:[WASH%]], 0))=$A75, 1, 0)))), "")</f>
        <v/>
      </c>
      <c r="H75" s="93"/>
      <c r="I75" s="91" t="str" cm="1">
        <f t="array" ref="I75">IF($H75="", "", IF($H75=2, SUM(IF(INDEX(_xlfn._xlws.FILTER(tblPiNHistorical[[CCCM]:[WASH]], tblPiNHistorical[Population Group]=I$5), 0, MATCH($Q$2, tblPiNHistorical[[#Headers],[CCCM]:[WASH]], 0))&gt;1.9, 1, 0)), IF(SUM(IF(INDEX(_xlfn._xlws.FILTER(tblPiNHistorical[[CCCM]:[WASH]], tblPiNHistorical[Population Group]=I$5), 0, MATCH($Q$2, tblPiNHistorical[[#Headers],[CCCM]:[WASH]], 0))=$H75, 1, 0))=0, "", SUM(IF(INDEX(_xlfn._xlws.FILTER(tblPiNHistorical[[CCCM]:[WASH]], tblPiNHistorical[Population Group]=I$5), 0, MATCH($Q$2, tblPiNHistorical[[#Headers],[CCCM]:[WASH]], 0))=$H75, 1, 0)))))</f>
        <v/>
      </c>
      <c r="J75" s="91" t="str" cm="1">
        <f t="array" ref="J75">IFERROR(IF(OR($H75="", J74=""), "", IF($H75=2, SUM(IF(INDEX(_xlfn._xlws.FILTER(tblPiNHistorical[[CCCM]:[WASH]], tblPiNHistorical[Population Group]=J$5), 0, MATCH($Q$2, tblPiNHistorical[[#Headers],[CCCM]:[WASH]], 0))&gt;1.9, 1, 0)), IF(SUM(IF(INDEX(_xlfn._xlws.FILTER(tblPiNHistorical[[CCCM]:[WASH]], tblPiNHistorical[Population Group]=J$5), 0, MATCH($Q$2, tblPiNHistorical[[#Headers],[CCCM]:[WASH]], 0))=$H75, 1, 0))=0, "", SUM(IF(INDEX(_xlfn._xlws.FILTER(tblPiNHistorical[[CCCM]:[WASH]], tblPiNHistorical[Population Group]=J$5), 0, MATCH($Q$2, tblPiNHistorical[[#Headers],[CCCM]:[WASH]], 0))=$H75, 1, 0))))), "")</f>
        <v/>
      </c>
      <c r="K75" s="91" t="str" cm="1">
        <f t="array" ref="K75">IFERROR(IF(OR($H75="", K74=""), "", IF($H75=2, SUM(IF(INDEX(_xlfn._xlws.FILTER(tblPiNHistorical[[CCCM]:[WASH]], tblPiNHistorical[CCCM - old]=K$5), 0, MATCH($Q$2, tblPiNHistorical[[#Headers],[CCCM]:[WASH]], 0))&gt;1.9, 1, 0)), IF(SUM(IF(INDEX(_xlfn._xlws.FILTER(tblPiNHistorical[[CCCM]:[WASH]], tblPiNHistorical[CCCM - old]=K$5), 0, MATCH($Q$2, tblPiNHistorical[[#Headers],[CCCM]:[WASH]], 0))=$H75, 1, 0))=0, "", SUM(IF(INDEX(_xlfn._xlws.FILTER(tblPiNHistorical[[CCCM]:[WASH]], tblPiNHistorical[CCCM - old]=K$5), 0, MATCH($Q$2, tblPiNHistorical[[#Headers],[CCCM]:[WASH]], 0))=$H75, 1, 0))))), "")</f>
        <v/>
      </c>
      <c r="L75" s="91" t="str" cm="1">
        <f t="array" ref="L75">IFERROR(IF(OR($H75="", L74=""), "", IF($H75=2, SUM(IF(INDEX(_xlfn._xlws.FILTER(tblPiNHistorical[[CCCM]:[WASH]],#REF!= L$5), 0, MATCH($Q$2, tblPiNHistorical[[#Headers],[CCCM]:[WASH]], 0))&gt;1.9, 1, 0)), IF(SUM(IF(INDEX(_xlfn._xlws.FILTER(tblPiNHistorical[[CCCM]:[WASH]],#REF!= L$5), 0, MATCH($Q$2, tblPiNHistorical[[#Headers],[CCCM]:[WASH]], 0))=$H75, 1, 0))=0, "", SUM(IF(INDEX(_xlfn._xlws.FILTER(tblPiNHistorical[[CCCM]:[WASH]],#REF!= L$5), 0, MATCH($Q$2, tblPiNHistorical[[#Headers],[CCCM]:[WASH]], 0))=$H75, 1, 0))))), "")</f>
        <v/>
      </c>
      <c r="M75" s="91" t="str" cm="1">
        <f t="array" ref="M75">IFERROR(IF(OR($H75="", M74=""), "", IF($H75=2, SUM(IF(INDEX(_xlfn._xlws.FILTER(tblPiNHistorical[[CCCM]:[WASH]],#REF!= M$5), 0, MATCH($Q$2, tblPiNHistorical[[#Headers],[CCCM]:[WASH]], 0))&gt;1.9, 1, 0)), IF(SUM(IF(INDEX(_xlfn._xlws.FILTER(tblPiNHistorical[[CCCM]:[WASH]],#REF!= M$5), 0, MATCH($Q$2, tblPiNHistorical[[#Headers],[CCCM]:[WASH]], 0))=$H75, 1, 0))=0, "", SUM(IF(INDEX(_xlfn._xlws.FILTER(tblPiNHistorical[[CCCM]:[WASH]],#REF!= M$5), 0, MATCH($Q$2, tblPiNHistorical[[#Headers],[CCCM]:[WASH]], 0))=$H75, 1, 0))))), "")</f>
        <v/>
      </c>
    </row>
    <row r="76" spans="1:13">
      <c r="A76" s="93"/>
      <c r="B76" s="91" t="str" cm="1">
        <f t="array" ref="B76">IF($A76="", "", IF(SUM(IF(INDEX(_xlfn._xlws.FILTER(tblPiNAnalysis[[CCCM%]:[WASH%]], tblPiNAnalysis[Population Group]=B$5), 0, MATCH(_xlfn.CONCAT($Q$2, "%"), tblPiNAnalysis[[#Headers],[CCCM%]:[WASH%]], 0))=$A76, 1, 0))=0, "",SUM(IF(INDEX(_xlfn._xlws.FILTER(tblPiNAnalysis[[CCCM%]:[WASH%]], tblPiNAnalysis[Population Group]=B$5), 0, MATCH(_xlfn.CONCAT($Q$2, "%"), tblPiNAnalysis[[#Headers],[CCCM%]:[WASH%]], 0))=$A76, 1, 0))))</f>
        <v/>
      </c>
      <c r="C76" s="91" t="str" cm="1">
        <f t="array" ref="C76">IFERROR(IF(OR($A76="", C$5=""), "", IF(SUM(IF(INDEX(_xlfn._xlws.FILTER(tblPiNAnalysis[[CCCM%]:[WASH%]], tblPiNAnalysis[Population Group]=C$5), 0, MATCH(_xlfn.CONCAT($Q$2, "%"), tblPiNAnalysis[[#Headers],[CCCM%]:[WASH%]], 0))=$A76, 1, 0))=0, "",SUM(IF(INDEX(_xlfn._xlws.FILTER(tblPiNAnalysis[[CCCM%]:[WASH%]], tblPiNAnalysis[Population Group]=C$5), 0, MATCH(_xlfn.CONCAT($Q$2, "%"), tblPiNAnalysis[[#Headers],[CCCM%]:[WASH%]], 0))=$A76, 1, 0)))), "")</f>
        <v/>
      </c>
      <c r="D76" s="91" t="str" cm="1">
        <f t="array" ref="D76">IFERROR(IF(OR($A76="", D$5=""), "", IF(SUM(IF(INDEX(_xlfn._xlws.FILTER(tblPiNAnalysis[[CCCM%]:[WASH%]], tblPiNAnalysis[Population Group]=D$5), 0, MATCH(_xlfn.CONCAT($Q$2, "%"), tblPiNAnalysis[[#Headers],[CCCM%]:[WASH%]], 0))=$A76, 1, 0))=0, "",SUM(IF(INDEX(_xlfn._xlws.FILTER(tblPiNAnalysis[[CCCM%]:[WASH%]], tblPiNAnalysis[Population Group]=D$5), 0, MATCH(_xlfn.CONCAT($Q$2, "%"), tblPiNAnalysis[[#Headers],[CCCM%]:[WASH%]], 0))=$A76, 1, 0)))), "")</f>
        <v/>
      </c>
      <c r="E76" s="91" t="str" cm="1">
        <f t="array" ref="E76">IFERROR(IF(OR($A76="", E$5=""), "", IF(SUM(IF(INDEX(_xlfn._xlws.FILTER(tblPiNAnalysis[[CCCM%]:[WASH%]], tblPiNAnalysis[Population Group]=E$5), 0, MATCH(_xlfn.CONCAT($Q$2, "%"), tblPiNAnalysis[[#Headers],[CCCM%]:[WASH%]], 0))=$A76, 1, 0))=0, "",SUM(IF(INDEX(_xlfn._xlws.FILTER(tblPiNAnalysis[[CCCM%]:[WASH%]], tblPiNAnalysis[Population Group]=E$5), 0, MATCH(_xlfn.CONCAT($Q$2, "%"), tblPiNAnalysis[[#Headers],[CCCM%]:[WASH%]], 0))=$A76, 1, 0)))), "")</f>
        <v/>
      </c>
      <c r="F76" s="91" t="str" cm="1">
        <f t="array" ref="F76">IFERROR(IF(OR($A76="", F$5=""), "", IF(SUM(IF(INDEX(_xlfn._xlws.FILTER(tblPiNAnalysis[[CCCM%]:[WASH%]], tblPiNAnalysis[CCCM]=F$5), 0, MATCH(_xlfn.CONCAT($Q$2, "%"), tblPiNAnalysis[[#Headers],[CCCM%]:[WASH%]], 0))=$A76, 1, 0))=0, "",SUM(IF(INDEX(_xlfn._xlws.FILTER(tblPiNAnalysis[[CCCM%]:[WASH%]], tblPiNAnalysis[CCCM]=F$5), 0, MATCH(_xlfn.CONCAT($Q$2, "%"), tblPiNAnalysis[[#Headers],[CCCM%]:[WASH%]], 0))=$A76, 1, 0)))), "")</f>
        <v/>
      </c>
      <c r="H76" s="93"/>
      <c r="I76" s="91" t="str" cm="1">
        <f t="array" ref="I76">IF($H76="", "", IF($H76=2, SUM(IF(INDEX(_xlfn._xlws.FILTER(tblPiNHistorical[[CCCM]:[WASH]], tblPiNHistorical[Population Group]=I$5), 0, MATCH($Q$2, tblPiNHistorical[[#Headers],[CCCM]:[WASH]], 0))&gt;1.9, 1, 0)), IF(SUM(IF(INDEX(_xlfn._xlws.FILTER(tblPiNHistorical[[CCCM]:[WASH]], tblPiNHistorical[Population Group]=I$5), 0, MATCH($Q$2, tblPiNHistorical[[#Headers],[CCCM]:[WASH]], 0))=$H76, 1, 0))=0, "", SUM(IF(INDEX(_xlfn._xlws.FILTER(tblPiNHistorical[[CCCM]:[WASH]], tblPiNHistorical[Population Group]=I$5), 0, MATCH($Q$2, tblPiNHistorical[[#Headers],[CCCM]:[WASH]], 0))=$H76, 1, 0)))))</f>
        <v/>
      </c>
      <c r="J76" s="91" t="str" cm="1">
        <f t="array" ref="J76">IFERROR(IF(OR($H76="", J75=""), "", IF($H76=2, SUM(IF(INDEX(_xlfn._xlws.FILTER(tblPiNHistorical[[CCCM]:[WASH]], tblPiNHistorical[Population Group]=J$5), 0, MATCH($Q$2, tblPiNHistorical[[#Headers],[CCCM]:[WASH]], 0))&gt;1.9, 1, 0)), IF(SUM(IF(INDEX(_xlfn._xlws.FILTER(tblPiNHistorical[[CCCM]:[WASH]], tblPiNHistorical[Population Group]=J$5), 0, MATCH($Q$2, tblPiNHistorical[[#Headers],[CCCM]:[WASH]], 0))=$H76, 1, 0))=0, "", SUM(IF(INDEX(_xlfn._xlws.FILTER(tblPiNHistorical[[CCCM]:[WASH]], tblPiNHistorical[Population Group]=J$5), 0, MATCH($Q$2, tblPiNHistorical[[#Headers],[CCCM]:[WASH]], 0))=$H76, 1, 0))))), "")</f>
        <v/>
      </c>
      <c r="K76" s="91" t="str" cm="1">
        <f t="array" ref="K76">IFERROR(IF(OR($H76="", K75=""), "", IF($H76=2, SUM(IF(INDEX(_xlfn._xlws.FILTER(tblPiNHistorical[[CCCM]:[WASH]], tblPiNHistorical[CCCM - old]=K$5), 0, MATCH($Q$2, tblPiNHistorical[[#Headers],[CCCM]:[WASH]], 0))&gt;1.9, 1, 0)), IF(SUM(IF(INDEX(_xlfn._xlws.FILTER(tblPiNHistorical[[CCCM]:[WASH]], tblPiNHistorical[CCCM - old]=K$5), 0, MATCH($Q$2, tblPiNHistorical[[#Headers],[CCCM]:[WASH]], 0))=$H76, 1, 0))=0, "", SUM(IF(INDEX(_xlfn._xlws.FILTER(tblPiNHistorical[[CCCM]:[WASH]], tblPiNHistorical[CCCM - old]=K$5), 0, MATCH($Q$2, tblPiNHistorical[[#Headers],[CCCM]:[WASH]], 0))=$H76, 1, 0))))), "")</f>
        <v/>
      </c>
      <c r="L76" s="91" t="str" cm="1">
        <f t="array" ref="L76">IFERROR(IF(OR($H76="", L75=""), "", IF($H76=2, SUM(IF(INDEX(_xlfn._xlws.FILTER(tblPiNHistorical[[CCCM]:[WASH]],#REF!= L$5), 0, MATCH($Q$2, tblPiNHistorical[[#Headers],[CCCM]:[WASH]], 0))&gt;1.9, 1, 0)), IF(SUM(IF(INDEX(_xlfn._xlws.FILTER(tblPiNHistorical[[CCCM]:[WASH]],#REF!= L$5), 0, MATCH($Q$2, tblPiNHistorical[[#Headers],[CCCM]:[WASH]], 0))=$H76, 1, 0))=0, "", SUM(IF(INDEX(_xlfn._xlws.FILTER(tblPiNHistorical[[CCCM]:[WASH]],#REF!= L$5), 0, MATCH($Q$2, tblPiNHistorical[[#Headers],[CCCM]:[WASH]], 0))=$H76, 1, 0))))), "")</f>
        <v/>
      </c>
      <c r="M76" s="91" t="str" cm="1">
        <f t="array" ref="M76">IFERROR(IF(OR($H76="", M75=""), "", IF($H76=2, SUM(IF(INDEX(_xlfn._xlws.FILTER(tblPiNHistorical[[CCCM]:[WASH]],#REF!= M$5), 0, MATCH($Q$2, tblPiNHistorical[[#Headers],[CCCM]:[WASH]], 0))&gt;1.9, 1, 0)), IF(SUM(IF(INDEX(_xlfn._xlws.FILTER(tblPiNHistorical[[CCCM]:[WASH]],#REF!= M$5), 0, MATCH($Q$2, tblPiNHistorical[[#Headers],[CCCM]:[WASH]], 0))=$H76, 1, 0))=0, "", SUM(IF(INDEX(_xlfn._xlws.FILTER(tblPiNHistorical[[CCCM]:[WASH]],#REF!= M$5), 0, MATCH($Q$2, tblPiNHistorical[[#Headers],[CCCM]:[WASH]], 0))=$H76, 1, 0))))), "")</f>
        <v/>
      </c>
    </row>
    <row r="77" spans="1:13">
      <c r="A77" s="93"/>
      <c r="B77" s="91" t="str" cm="1">
        <f t="array" ref="B77">IF($A77="", "", IF(SUM(IF(INDEX(_xlfn._xlws.FILTER(tblPiNAnalysis[[CCCM%]:[WASH%]], tblPiNAnalysis[Population Group]=B$5), 0, MATCH(_xlfn.CONCAT($Q$2, "%"), tblPiNAnalysis[[#Headers],[CCCM%]:[WASH%]], 0))=$A77, 1, 0))=0, "",SUM(IF(INDEX(_xlfn._xlws.FILTER(tblPiNAnalysis[[CCCM%]:[WASH%]], tblPiNAnalysis[Population Group]=B$5), 0, MATCH(_xlfn.CONCAT($Q$2, "%"), tblPiNAnalysis[[#Headers],[CCCM%]:[WASH%]], 0))=$A77, 1, 0))))</f>
        <v/>
      </c>
      <c r="C77" s="91" t="str" cm="1">
        <f t="array" ref="C77">IFERROR(IF(OR($A77="", C$5=""), "", IF(SUM(IF(INDEX(_xlfn._xlws.FILTER(tblPiNAnalysis[[CCCM%]:[WASH%]], tblPiNAnalysis[Population Group]=C$5), 0, MATCH(_xlfn.CONCAT($Q$2, "%"), tblPiNAnalysis[[#Headers],[CCCM%]:[WASH%]], 0))=$A77, 1, 0))=0, "",SUM(IF(INDEX(_xlfn._xlws.FILTER(tblPiNAnalysis[[CCCM%]:[WASH%]], tblPiNAnalysis[Population Group]=C$5), 0, MATCH(_xlfn.CONCAT($Q$2, "%"), tblPiNAnalysis[[#Headers],[CCCM%]:[WASH%]], 0))=$A77, 1, 0)))), "")</f>
        <v/>
      </c>
      <c r="D77" s="91" t="str" cm="1">
        <f t="array" ref="D77">IFERROR(IF(OR($A77="", D$5=""), "", IF(SUM(IF(INDEX(_xlfn._xlws.FILTER(tblPiNAnalysis[[CCCM%]:[WASH%]], tblPiNAnalysis[Population Group]=D$5), 0, MATCH(_xlfn.CONCAT($Q$2, "%"), tblPiNAnalysis[[#Headers],[CCCM%]:[WASH%]], 0))=$A77, 1, 0))=0, "",SUM(IF(INDEX(_xlfn._xlws.FILTER(tblPiNAnalysis[[CCCM%]:[WASH%]], tblPiNAnalysis[Population Group]=D$5), 0, MATCH(_xlfn.CONCAT($Q$2, "%"), tblPiNAnalysis[[#Headers],[CCCM%]:[WASH%]], 0))=$A77, 1, 0)))), "")</f>
        <v/>
      </c>
      <c r="E77" s="91" t="str" cm="1">
        <f t="array" ref="E77">IFERROR(IF(OR($A77="", E$5=""), "", IF(SUM(IF(INDEX(_xlfn._xlws.FILTER(tblPiNAnalysis[[CCCM%]:[WASH%]], tblPiNAnalysis[Population Group]=E$5), 0, MATCH(_xlfn.CONCAT($Q$2, "%"), tblPiNAnalysis[[#Headers],[CCCM%]:[WASH%]], 0))=$A77, 1, 0))=0, "",SUM(IF(INDEX(_xlfn._xlws.FILTER(tblPiNAnalysis[[CCCM%]:[WASH%]], tblPiNAnalysis[Population Group]=E$5), 0, MATCH(_xlfn.CONCAT($Q$2, "%"), tblPiNAnalysis[[#Headers],[CCCM%]:[WASH%]], 0))=$A77, 1, 0)))), "")</f>
        <v/>
      </c>
      <c r="F77" s="91" t="str" cm="1">
        <f t="array" ref="F77">IFERROR(IF(OR($A77="", F$5=""), "", IF(SUM(IF(INDEX(_xlfn._xlws.FILTER(tblPiNAnalysis[[CCCM%]:[WASH%]], tblPiNAnalysis[CCCM]=F$5), 0, MATCH(_xlfn.CONCAT($Q$2, "%"), tblPiNAnalysis[[#Headers],[CCCM%]:[WASH%]], 0))=$A77, 1, 0))=0, "",SUM(IF(INDEX(_xlfn._xlws.FILTER(tblPiNAnalysis[[CCCM%]:[WASH%]], tblPiNAnalysis[CCCM]=F$5), 0, MATCH(_xlfn.CONCAT($Q$2, "%"), tblPiNAnalysis[[#Headers],[CCCM%]:[WASH%]], 0))=$A77, 1, 0)))), "")</f>
        <v/>
      </c>
      <c r="H77" s="93"/>
      <c r="I77" s="91" t="str" cm="1">
        <f t="array" ref="I77">IF($H77="", "", IF($H77=2, SUM(IF(INDEX(_xlfn._xlws.FILTER(tblPiNHistorical[[CCCM]:[WASH]], tblPiNHistorical[Population Group]=I$5), 0, MATCH($Q$2, tblPiNHistorical[[#Headers],[CCCM]:[WASH]], 0))&gt;1.9, 1, 0)), IF(SUM(IF(INDEX(_xlfn._xlws.FILTER(tblPiNHistorical[[CCCM]:[WASH]], tblPiNHistorical[Population Group]=I$5), 0, MATCH($Q$2, tblPiNHistorical[[#Headers],[CCCM]:[WASH]], 0))=$H77, 1, 0))=0, "", SUM(IF(INDEX(_xlfn._xlws.FILTER(tblPiNHistorical[[CCCM]:[WASH]], tblPiNHistorical[Population Group]=I$5), 0, MATCH($Q$2, tblPiNHistorical[[#Headers],[CCCM]:[WASH]], 0))=$H77, 1, 0)))))</f>
        <v/>
      </c>
      <c r="J77" s="91" t="str" cm="1">
        <f t="array" ref="J77">IFERROR(IF(OR($H77="", J76=""), "", IF($H77=2, SUM(IF(INDEX(_xlfn._xlws.FILTER(tblPiNHistorical[[CCCM]:[WASH]], tblPiNHistorical[Population Group]=J$5), 0, MATCH($Q$2, tblPiNHistorical[[#Headers],[CCCM]:[WASH]], 0))&gt;1.9, 1, 0)), IF(SUM(IF(INDEX(_xlfn._xlws.FILTER(tblPiNHistorical[[CCCM]:[WASH]], tblPiNHistorical[Population Group]=J$5), 0, MATCH($Q$2, tblPiNHistorical[[#Headers],[CCCM]:[WASH]], 0))=$H77, 1, 0))=0, "", SUM(IF(INDEX(_xlfn._xlws.FILTER(tblPiNHistorical[[CCCM]:[WASH]], tblPiNHistorical[Population Group]=J$5), 0, MATCH($Q$2, tblPiNHistorical[[#Headers],[CCCM]:[WASH]], 0))=$H77, 1, 0))))), "")</f>
        <v/>
      </c>
      <c r="K77" s="91" t="str" cm="1">
        <f t="array" ref="K77">IFERROR(IF(OR($H77="", K76=""), "", IF($H77=2, SUM(IF(INDEX(_xlfn._xlws.FILTER(tblPiNHistorical[[CCCM]:[WASH]], tblPiNHistorical[CCCM - old]=K$5), 0, MATCH($Q$2, tblPiNHistorical[[#Headers],[CCCM]:[WASH]], 0))&gt;1.9, 1, 0)), IF(SUM(IF(INDEX(_xlfn._xlws.FILTER(tblPiNHistorical[[CCCM]:[WASH]], tblPiNHistorical[CCCM - old]=K$5), 0, MATCH($Q$2, tblPiNHistorical[[#Headers],[CCCM]:[WASH]], 0))=$H77, 1, 0))=0, "", SUM(IF(INDEX(_xlfn._xlws.FILTER(tblPiNHistorical[[CCCM]:[WASH]], tblPiNHistorical[CCCM - old]=K$5), 0, MATCH($Q$2, tblPiNHistorical[[#Headers],[CCCM]:[WASH]], 0))=$H77, 1, 0))))), "")</f>
        <v/>
      </c>
      <c r="L77" s="91" t="str" cm="1">
        <f t="array" ref="L77">IFERROR(IF(OR($H77="", L76=""), "", IF($H77=2, SUM(IF(INDEX(_xlfn._xlws.FILTER(tblPiNHistorical[[CCCM]:[WASH]],#REF!= L$5), 0, MATCH($Q$2, tblPiNHistorical[[#Headers],[CCCM]:[WASH]], 0))&gt;1.9, 1, 0)), IF(SUM(IF(INDEX(_xlfn._xlws.FILTER(tblPiNHistorical[[CCCM]:[WASH]],#REF!= L$5), 0, MATCH($Q$2, tblPiNHistorical[[#Headers],[CCCM]:[WASH]], 0))=$H77, 1, 0))=0, "", SUM(IF(INDEX(_xlfn._xlws.FILTER(tblPiNHistorical[[CCCM]:[WASH]],#REF!= L$5), 0, MATCH($Q$2, tblPiNHistorical[[#Headers],[CCCM]:[WASH]], 0))=$H77, 1, 0))))), "")</f>
        <v/>
      </c>
      <c r="M77" s="91" t="str" cm="1">
        <f t="array" ref="M77">IFERROR(IF(OR($H77="", M76=""), "", IF($H77=2, SUM(IF(INDEX(_xlfn._xlws.FILTER(tblPiNHistorical[[CCCM]:[WASH]],#REF!= M$5), 0, MATCH($Q$2, tblPiNHistorical[[#Headers],[CCCM]:[WASH]], 0))&gt;1.9, 1, 0)), IF(SUM(IF(INDEX(_xlfn._xlws.FILTER(tblPiNHistorical[[CCCM]:[WASH]],#REF!= M$5), 0, MATCH($Q$2, tblPiNHistorical[[#Headers],[CCCM]:[WASH]], 0))=$H77, 1, 0))=0, "", SUM(IF(INDEX(_xlfn._xlws.FILTER(tblPiNHistorical[[CCCM]:[WASH]],#REF!= M$5), 0, MATCH($Q$2, tblPiNHistorical[[#Headers],[CCCM]:[WASH]], 0))=$H77, 1, 0))))), "")</f>
        <v/>
      </c>
    </row>
  </sheetData>
  <phoneticPr fontId="9"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5442E1F-AE97-4557-AD07-F891F74C6A87}">
          <x14:formula1>
            <xm:f>'WS - 3.1 Overall PiN'!$K$3:$R$3</xm:f>
          </x14:formula1>
          <xm:sqref>Q2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3003-12C3-4852-B30E-5B980E3C4427}">
  <sheetPr codeName="Sheet7">
    <tabColor rgb="FFBDD7EE"/>
  </sheetPr>
  <dimension ref="A1:BE162"/>
  <sheetViews>
    <sheetView showGridLines="0" tabSelected="1" zoomScale="95" zoomScaleNormal="95" workbookViewId="0">
      <pane xSplit="10" ySplit="3" topLeftCell="K4" activePane="bottomRight" state="frozen"/>
      <selection pane="bottomRight" activeCell="AN3" sqref="AN3"/>
      <selection pane="bottomLeft" activeCell="A4" sqref="A4"/>
      <selection pane="topRight" activeCell="K1" sqref="K1"/>
    </sheetView>
  </sheetViews>
  <sheetFormatPr defaultColWidth="8.5703125" defaultRowHeight="15" customHeight="1"/>
  <cols>
    <col min="1" max="1" width="11.85546875" style="66" customWidth="1"/>
    <col min="2" max="2" width="18.28515625" style="14" customWidth="1"/>
    <col min="3" max="3" width="16.85546875" style="14" hidden="1" customWidth="1"/>
    <col min="4" max="4" width="21.85546875" style="14" customWidth="1"/>
    <col min="5" max="5" width="17.85546875" style="14" hidden="1" customWidth="1"/>
    <col min="6" max="6" width="9" style="14" hidden="1" customWidth="1"/>
    <col min="7" max="7" width="18" style="14" hidden="1" customWidth="1"/>
    <col min="8" max="8" width="13.140625" style="14" hidden="1" customWidth="1"/>
    <col min="9" max="9" width="13.42578125" style="15" customWidth="1"/>
    <col min="10" max="10" width="20.140625" style="15" hidden="1" customWidth="1"/>
    <col min="11" max="11" width="9.140625" style="22" customWidth="1"/>
    <col min="12" max="12" width="11.5703125" style="15" customWidth="1"/>
    <col min="13" max="13" width="9.7109375" style="15" customWidth="1"/>
    <col min="14" max="14" width="10.5703125" style="15" customWidth="1"/>
    <col min="15" max="15" width="9.42578125" style="15" customWidth="1"/>
    <col min="16" max="16" width="11.5703125" customWidth="1"/>
    <col min="17" max="17" width="8.42578125" customWidth="1"/>
    <col min="18" max="18" width="8.140625" customWidth="1"/>
    <col min="19" max="19" width="11.42578125" customWidth="1"/>
    <col min="20" max="20" width="11.5703125" style="15" customWidth="1"/>
    <col min="21" max="21" width="4.7109375" style="15" customWidth="1"/>
    <col min="22" max="22" width="5.42578125" style="15" customWidth="1"/>
    <col min="23" max="27" width="6.42578125" style="15" customWidth="1"/>
    <col min="28" max="28" width="20.5703125" style="15" customWidth="1"/>
    <col min="29" max="29" width="8.7109375" style="15" customWidth="1"/>
    <col min="30" max="30" width="11.28515625" style="15" customWidth="1"/>
    <col min="31" max="31" width="10.140625" style="15" customWidth="1"/>
    <col min="32" max="32" width="11.140625" customWidth="1"/>
    <col min="33" max="33" width="10.28515625" customWidth="1"/>
    <col min="34" max="34" width="10.5703125" style="16" customWidth="1"/>
    <col min="35" max="35" width="11" style="15" customWidth="1"/>
    <col min="36" max="36" width="14.7109375" style="15" customWidth="1"/>
    <col min="37" max="37" width="13.140625" style="15" customWidth="1"/>
    <col min="38" max="38" width="24.5703125" style="15" customWidth="1"/>
    <col min="39" max="39" width="17" style="15" customWidth="1"/>
    <col min="40" max="40" width="27.42578125" customWidth="1"/>
    <col min="41" max="42" width="29" customWidth="1"/>
    <col min="43" max="43" width="14.5703125" customWidth="1"/>
    <col min="44" max="44" width="17.42578125" style="22" customWidth="1"/>
    <col min="45" max="45" width="13.85546875" customWidth="1"/>
    <col min="46" max="46" width="11.85546875" style="86" customWidth="1"/>
    <col min="47" max="47" width="15.5703125" style="22" customWidth="1"/>
    <col min="48" max="48" width="19.42578125" customWidth="1"/>
    <col min="49" max="49" width="23.5703125" style="15" customWidth="1"/>
    <col min="50" max="50" width="30.28515625" style="2" customWidth="1"/>
    <col min="51" max="51" width="25.42578125" style="22" customWidth="1"/>
    <col min="52" max="52" width="19" customWidth="1"/>
    <col min="53" max="53" width="19" style="86" customWidth="1"/>
    <col min="54" max="54" width="19" style="86" hidden="1" customWidth="1"/>
    <col min="55" max="55" width="22.85546875" style="86" customWidth="1"/>
    <col min="56" max="57" width="19" style="120" customWidth="1"/>
    <col min="58" max="60" width="25.85546875" customWidth="1"/>
    <col min="61" max="61" width="38.5703125" customWidth="1"/>
    <col min="62" max="62" width="57.28515625" customWidth="1"/>
    <col min="63" max="63" width="25.42578125" customWidth="1"/>
    <col min="64" max="64" width="27.28515625" customWidth="1"/>
    <col min="65" max="65" width="22.140625" customWidth="1"/>
    <col min="66" max="66" width="16" customWidth="1"/>
    <col min="67" max="67" width="11.140625" customWidth="1"/>
    <col min="68" max="68" width="12.5703125" customWidth="1"/>
    <col min="69" max="69" width="20" bestFit="1" customWidth="1"/>
    <col min="70" max="70" width="46.140625" customWidth="1"/>
  </cols>
  <sheetData>
    <row r="1" spans="1:57" ht="49.5" customHeight="1" thickBot="1">
      <c r="A1" s="136"/>
      <c r="B1" s="434"/>
      <c r="C1" s="434"/>
      <c r="D1" s="434"/>
      <c r="E1" s="434"/>
      <c r="F1" s="434"/>
      <c r="G1" s="434"/>
      <c r="H1" s="434"/>
      <c r="I1" s="434"/>
      <c r="J1" s="434"/>
      <c r="K1" s="445" t="s">
        <v>227</v>
      </c>
      <c r="L1" s="445"/>
      <c r="M1" s="445"/>
      <c r="N1" s="445"/>
      <c r="O1" s="445"/>
      <c r="P1" s="445"/>
      <c r="Q1" s="445"/>
      <c r="R1" s="445"/>
      <c r="S1" s="445"/>
      <c r="T1" s="445"/>
      <c r="U1" s="445"/>
      <c r="V1" s="445"/>
      <c r="W1" s="445"/>
      <c r="X1" s="445"/>
      <c r="Y1" s="445"/>
      <c r="Z1" s="445"/>
      <c r="AA1" s="445"/>
      <c r="AB1" s="445"/>
      <c r="AC1" s="451" t="s">
        <v>228</v>
      </c>
      <c r="AD1" s="451"/>
      <c r="AE1" s="451"/>
      <c r="AF1" s="451"/>
      <c r="AG1" s="289"/>
      <c r="AH1" s="24"/>
      <c r="AI1" s="21"/>
      <c r="AJ1" s="20"/>
      <c r="AK1" s="21"/>
      <c r="AL1" s="17"/>
      <c r="AM1" s="452"/>
      <c r="AN1" s="452"/>
      <c r="AO1" s="134"/>
      <c r="AP1" s="134"/>
      <c r="AQ1" s="135"/>
      <c r="AR1" s="135"/>
      <c r="AS1" s="135"/>
      <c r="AT1" s="292"/>
      <c r="AU1" s="21"/>
      <c r="AV1" s="21"/>
      <c r="AW1"/>
      <c r="AX1"/>
      <c r="AY1"/>
      <c r="BA1"/>
      <c r="BB1"/>
      <c r="BC1"/>
      <c r="BD1"/>
      <c r="BE1"/>
    </row>
    <row r="2" spans="1:57" ht="50.45" customHeight="1" thickTop="1" thickBot="1">
      <c r="A2" s="116"/>
      <c r="B2" s="455" t="s">
        <v>67</v>
      </c>
      <c r="C2" s="456"/>
      <c r="D2" s="456"/>
      <c r="E2" s="456"/>
      <c r="F2" s="456"/>
      <c r="G2" s="456"/>
      <c r="H2" s="299"/>
      <c r="I2" s="437" t="s">
        <v>68</v>
      </c>
      <c r="J2" s="438"/>
      <c r="K2" s="121"/>
      <c r="L2" s="122"/>
      <c r="M2" s="122"/>
      <c r="N2" s="121"/>
      <c r="O2" s="121"/>
      <c r="P2" s="122"/>
      <c r="Q2" s="122"/>
      <c r="R2" s="121"/>
      <c r="S2" s="122"/>
      <c r="T2" s="122"/>
      <c r="U2" s="121"/>
      <c r="V2" s="121"/>
      <c r="W2" s="439" t="s">
        <v>229</v>
      </c>
      <c r="X2" s="440"/>
      <c r="Y2" s="440"/>
      <c r="Z2" s="440"/>
      <c r="AA2" s="441"/>
      <c r="AB2" s="124"/>
      <c r="AC2" s="446" t="s">
        <v>230</v>
      </c>
      <c r="AD2" s="447"/>
      <c r="AE2" s="448"/>
      <c r="AF2" s="457" t="s">
        <v>231</v>
      </c>
      <c r="AG2" s="458"/>
      <c r="AH2" s="442" t="s">
        <v>232</v>
      </c>
      <c r="AI2" s="443"/>
      <c r="AJ2" s="443"/>
      <c r="AK2" s="443"/>
      <c r="AL2" s="444"/>
      <c r="AM2" s="449" t="s">
        <v>233</v>
      </c>
      <c r="AN2" s="450"/>
      <c r="AO2" s="453" t="s">
        <v>234</v>
      </c>
      <c r="AP2" s="454"/>
      <c r="AQ2" s="459" t="s">
        <v>47</v>
      </c>
      <c r="AR2" s="460"/>
      <c r="AS2" s="461"/>
      <c r="AT2" s="394" t="str">
        <f>_xlfn.CONCAT("# of units flagged: ",COUNTIF(AT6:AT7,"&gt;=1"))</f>
        <v># of units flagged: 2</v>
      </c>
      <c r="AU2" s="435" t="s">
        <v>235</v>
      </c>
      <c r="AV2" s="436"/>
      <c r="AW2"/>
      <c r="AX2"/>
      <c r="AY2"/>
      <c r="BA2"/>
      <c r="BB2"/>
      <c r="BC2"/>
      <c r="BD2"/>
      <c r="BE2"/>
    </row>
    <row r="3" spans="1:57" ht="93.75" customHeight="1">
      <c r="A3" s="143" t="s">
        <v>81</v>
      </c>
      <c r="B3" s="47" t="s">
        <v>82</v>
      </c>
      <c r="C3" s="48" t="s">
        <v>83</v>
      </c>
      <c r="D3" s="48" t="s">
        <v>84</v>
      </c>
      <c r="E3" s="48" t="s">
        <v>85</v>
      </c>
      <c r="F3" s="48" t="s">
        <v>86</v>
      </c>
      <c r="G3" s="193" t="s">
        <v>87</v>
      </c>
      <c r="H3" s="48" t="s">
        <v>88</v>
      </c>
      <c r="I3" s="194" t="s">
        <v>89</v>
      </c>
      <c r="J3" s="49" t="s">
        <v>90</v>
      </c>
      <c r="K3" s="117" t="s">
        <v>91</v>
      </c>
      <c r="L3" s="118" t="s">
        <v>56</v>
      </c>
      <c r="M3" s="118" t="s">
        <v>92</v>
      </c>
      <c r="N3" s="118" t="s">
        <v>93</v>
      </c>
      <c r="O3" s="118" t="s">
        <v>94</v>
      </c>
      <c r="P3" s="118" t="s">
        <v>95</v>
      </c>
      <c r="Q3" s="118" t="s">
        <v>96</v>
      </c>
      <c r="R3" s="119" t="s">
        <v>97</v>
      </c>
      <c r="S3" s="144" t="s">
        <v>236</v>
      </c>
      <c r="T3" s="144" t="s">
        <v>237</v>
      </c>
      <c r="U3" s="144" t="s">
        <v>100</v>
      </c>
      <c r="V3" s="145" t="s">
        <v>101</v>
      </c>
      <c r="W3" s="118" t="s">
        <v>238</v>
      </c>
      <c r="X3" s="118" t="s">
        <v>239</v>
      </c>
      <c r="Y3" s="118" t="s">
        <v>240</v>
      </c>
      <c r="Z3" s="118" t="s">
        <v>241</v>
      </c>
      <c r="AA3" s="119" t="s">
        <v>242</v>
      </c>
      <c r="AB3" s="125" t="s">
        <v>243</v>
      </c>
      <c r="AC3" s="206" t="s">
        <v>244</v>
      </c>
      <c r="AD3" s="207" t="s">
        <v>245</v>
      </c>
      <c r="AE3" s="208" t="s">
        <v>246</v>
      </c>
      <c r="AF3" s="123" t="s">
        <v>247</v>
      </c>
      <c r="AG3" s="290" t="s">
        <v>248</v>
      </c>
      <c r="AH3" s="195" t="s">
        <v>249</v>
      </c>
      <c r="AI3" s="196" t="s">
        <v>250</v>
      </c>
      <c r="AJ3" s="197" t="s">
        <v>251</v>
      </c>
      <c r="AK3" s="196" t="s">
        <v>252</v>
      </c>
      <c r="AL3" s="198" t="s">
        <v>253</v>
      </c>
      <c r="AM3" s="199" t="s">
        <v>254</v>
      </c>
      <c r="AN3" s="200" t="s">
        <v>255</v>
      </c>
      <c r="AO3" s="202" t="s">
        <v>256</v>
      </c>
      <c r="AP3" s="203" t="s">
        <v>257</v>
      </c>
      <c r="AQ3" s="201" t="s">
        <v>47</v>
      </c>
      <c r="AR3" s="201" t="s">
        <v>258</v>
      </c>
      <c r="AS3" s="201" t="s">
        <v>138</v>
      </c>
      <c r="AT3" s="287" t="s">
        <v>139</v>
      </c>
      <c r="AU3" s="204" t="s">
        <v>259</v>
      </c>
      <c r="AV3" s="205" t="s">
        <v>142</v>
      </c>
      <c r="AW3"/>
      <c r="AX3"/>
      <c r="AY3"/>
      <c r="BA3"/>
      <c r="BB3"/>
      <c r="BC3"/>
      <c r="BD3"/>
      <c r="BE3"/>
    </row>
    <row r="4" spans="1:57" ht="15" customHeight="1" thickTop="1">
      <c r="A4" s="65"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MZ0101</v>
      </c>
      <c r="B4" s="39" t="s">
        <v>146</v>
      </c>
      <c r="C4" s="33" t="s">
        <v>147</v>
      </c>
      <c r="D4" s="33" t="s">
        <v>148</v>
      </c>
      <c r="E4" s="33" t="s">
        <v>145</v>
      </c>
      <c r="F4" s="33"/>
      <c r="G4" s="33"/>
      <c r="H4" s="33"/>
      <c r="I4" s="95">
        <v>193878</v>
      </c>
      <c r="J4" s="40"/>
      <c r="K4" s="42">
        <v>3</v>
      </c>
      <c r="L4" s="32">
        <v>4</v>
      </c>
      <c r="M4" s="32">
        <v>2</v>
      </c>
      <c r="N4" s="32">
        <v>3</v>
      </c>
      <c r="O4" s="370">
        <v>1</v>
      </c>
      <c r="P4" s="32">
        <v>4</v>
      </c>
      <c r="Q4" s="34">
        <v>4</v>
      </c>
      <c r="R4" s="41">
        <v>3</v>
      </c>
      <c r="S4" s="32">
        <v>4</v>
      </c>
      <c r="T4" s="32">
        <v>2</v>
      </c>
      <c r="U4" s="32">
        <v>4</v>
      </c>
      <c r="V4" s="32">
        <v>3</v>
      </c>
      <c r="W4" s="43">
        <f>IF(COUNTIF(tblSeverityAnalysis[[#This Row],[CCCM]:[WASH]], 1)=0, "", COUNTIF(tblSeverityAnalysis[[#This Row],[CCCM]:[WASH]], 1))</f>
        <v>1</v>
      </c>
      <c r="X4" s="30">
        <f>IF(COUNTIF(tblSeverityAnalysis[[#This Row],[CCCM]:[WASH]], 2)=0, "", COUNTIF(tblSeverityAnalysis[[#This Row],[CCCM]:[WASH]], 2))</f>
        <v>1</v>
      </c>
      <c r="Y4" s="30">
        <f>IF(COUNTIF(tblSeverityAnalysis[[#This Row],[CCCM]:[WASH]], 3)=0, "", COUNTIF(tblSeverityAnalysis[[#This Row],[CCCM]:[WASH]], 3))</f>
        <v>3</v>
      </c>
      <c r="Z4" s="30">
        <f>IF(COUNTIF(tblSeverityAnalysis[[#This Row],[CCCM]:[WASH]], 4)=0, "", COUNTIF(tblSeverityAnalysis[[#This Row],[CCCM]:[WASH]], 4))</f>
        <v>3</v>
      </c>
      <c r="AA4" s="109" t="str">
        <f>IF(COUNTIF(tblSeverityAnalysis[[#This Row],[CCCM]:[WASH]], 5)=0, "", COUNTIF(tblSeverityAnalysis[[#This Row],[CCCM]:[WASH]], 5))</f>
        <v/>
      </c>
      <c r="AB4" s="59" cm="1">
        <f t="array" ref="AB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 s="80"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 s="32">
        <f>IFERROR(IF(INDEX(tblSeverityReference[Malnutrition Severity],MATCH(tblSeverityAnalysis[[#This Row],[ID]], tblSeverityReference[ID], 0))= "", "",INDEX(tblSeverityReference[Malnutrition Severity],MATCH(tblSeverityAnalysis[[#This Row],[ID]], tblSeverityReference[ID], 0)) ), "")</f>
        <v>2</v>
      </c>
      <c r="AE4" s="41">
        <f>IFERROR(IF(INDEX(tblSeverityReference[Epidemic Severity],MATCH(tblSeverityAnalysis[[#This Row],[ID]], tblSeverityReference[ID], 0))= "", "",INDEX(tblSeverityReference[Epidemic Severity],MATCH(tblSeverityAnalysis[[#This Row],[ID]], tblSeverityReference[ID], 0)) ), "")</f>
        <v>2.2352941176470589</v>
      </c>
      <c r="AF4" s="83">
        <f>IFERROR(IF(INDEX(tblSeverityReference[Coping Strategy Severity],MATCH(tblSeverityAnalysis[[#This Row],[ID]], tblSeverityReference[ID], 0))= "", "",INDEX(tblSeverityReference[Coping Strategy Severity],MATCH(tblSeverityAnalysis[[#This Row],[ID]], tblSeverityReference[ID], 0)) ), "")</f>
        <v>3</v>
      </c>
      <c r="AG4" s="83">
        <f>IFERROR(IF(INDEX(tblSeverityReference[HR/IHL Violation],MATCH(tblSeverityAnalysis[[#This Row],[ID]], tblSeverityReference[ID], 0))= "", "",INDEX(tblSeverityReference[HR/IHL Violation],MATCH(tblSeverityAnalysis[[#This Row],[ID]], tblSeverityReference[ID], 0)) ), "")</f>
        <v>4</v>
      </c>
      <c r="AH4" s="81">
        <f>IFERROR(AVERAGE(tblSeverityAnalysis[[#This Row],[CCCM]:[WASH]]), "")</f>
        <v>3</v>
      </c>
      <c r="AI4" s="27">
        <f>IF(SUM(tblSeverityAnalysis[[#This Row],[CCCM]:[WASH]])=0, "", MAX(tblSeverityAnalysis[[#This Row],[CCCM]:[WASH]]))</f>
        <v>4</v>
      </c>
      <c r="AJ4" s="94" t="str" cm="1">
        <f t="array" ref="AJ4">IFERROR(IF(tblSeverityAnalysis[[#This Row],[Highest Severity]]="", "", _xlfn.TEXTJOIN(CHAR(10), TRUE, IF(tblSeverityAnalysis[[#This Row],[CCCM]:[WASH]]=tblSeverityAnalysis[[#This Row],[Highest Severity]], tblSeverityAnalysis[[#Headers],[CCCM]:[WASH]], ""), "")), "")</f>
        <v>Education
Overarching Protection
Shelter</v>
      </c>
      <c r="AK4" s="27" cm="1">
        <f t="array" ref="AK4">IFERROR(MAX(_xlfn._xlws.FILTER(tblSeverityAnalysis[[#This Row],[CCCM]:[WASH]], tblSeverityAnalysis[[#This Row],[CCCM]:[WASH]]&lt;tblSeverityAnalysis[[#This Row],[Highest Severity]])), "")</f>
        <v>3</v>
      </c>
      <c r="AL4" s="35" t="str" cm="1">
        <f t="array" ref="AL4">IFERROR(IF(tblSeverityAnalysis[[#This Row],[2nd Highest Severity]]="", "", _xlfn.TEXTJOIN(CHAR(10), TRUE, IF(tblSeverityAnalysis[[#This Row],[CCCM]:[WASH]]=tblSeverityAnalysis[[#This Row],[2nd Highest Severity]], tblSeverityAnalysis[[#Headers],[CCCM]:[WASH]], ""), "")), "")</f>
        <v>CCCM
Food Security
WASH</v>
      </c>
      <c r="AM4" s="132" t="str">
        <f>IFERROR(IF(AND(tblSeverityAnalysis[[#This Row],[5]] &lt;&gt; "", tblSeverityAnalysis[[#This Row],[5]]&gt;=sectors_sev_5), "Flagged", ""), "")</f>
        <v/>
      </c>
      <c r="AN4" s="133" t="str">
        <f>IFERROR(IF(AND(tblSeverityAnalysis[[#This Row],[Preliminary Intersectoral Severity based on overlap of sectoral deprivations]]=4, SUM(tblSeverityAnalysis[[#This Row],[ 4 ]:[5]])&gt;=sectors_sev_4), "Flagged", ""), "")</f>
        <v/>
      </c>
      <c r="AO4" s="217" t="str" cm="1">
        <f t="array" ref="AO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 s="293"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 s="94"/>
      <c r="AR4" s="94"/>
      <c r="AS4" s="94"/>
      <c r="AT4" s="286">
        <f>COUNTIF(tblSeverityAnalysis[[#This Row],[1 sector in severity phase 5 '[modify the threshold']]:[Manual Flag]], "Flagged")</f>
        <v>0</v>
      </c>
      <c r="AU4" s="44">
        <f>tblSeverityAnalysis[[#This Row],[Preliminary Intersectoral Severity based on overlap of sectoral deprivations]]</f>
        <v>3</v>
      </c>
      <c r="AV4" s="61"/>
      <c r="AW4"/>
      <c r="AX4"/>
      <c r="AY4"/>
      <c r="BA4"/>
      <c r="BB4"/>
      <c r="BC4"/>
      <c r="BD4"/>
      <c r="BE4"/>
    </row>
    <row r="5" spans="1:57" ht="15" customHeight="1">
      <c r="A5" s="65"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MZ0102</v>
      </c>
      <c r="B5" s="39" t="s">
        <v>146</v>
      </c>
      <c r="C5" s="33" t="s">
        <v>147</v>
      </c>
      <c r="D5" s="33" t="s">
        <v>151</v>
      </c>
      <c r="E5" s="33" t="s">
        <v>150</v>
      </c>
      <c r="F5" s="33"/>
      <c r="G5" s="33"/>
      <c r="H5" s="33"/>
      <c r="I5" s="95">
        <v>182448</v>
      </c>
      <c r="J5" s="40"/>
      <c r="K5" s="42">
        <v>3</v>
      </c>
      <c r="L5" s="32">
        <v>4</v>
      </c>
      <c r="M5" s="32">
        <v>2</v>
      </c>
      <c r="N5" s="32">
        <v>3</v>
      </c>
      <c r="O5" s="370">
        <v>1</v>
      </c>
      <c r="P5" s="32">
        <v>3</v>
      </c>
      <c r="Q5" s="34">
        <v>3</v>
      </c>
      <c r="R5" s="41">
        <v>3</v>
      </c>
      <c r="S5" s="32">
        <v>1</v>
      </c>
      <c r="T5" s="32">
        <v>3</v>
      </c>
      <c r="U5" s="32">
        <v>2</v>
      </c>
      <c r="V5" s="32">
        <v>2</v>
      </c>
      <c r="W5" s="43">
        <f>IF(COUNTIF(tblSeverityAnalysis[[#This Row],[CCCM]:[WASH]], 1)=0, "", COUNTIF(tblSeverityAnalysis[[#This Row],[CCCM]:[WASH]], 1))</f>
        <v>1</v>
      </c>
      <c r="X5" s="30">
        <f>IF(COUNTIF(tblSeverityAnalysis[[#This Row],[CCCM]:[WASH]], 2)=0, "", COUNTIF(tblSeverityAnalysis[[#This Row],[CCCM]:[WASH]], 2))</f>
        <v>1</v>
      </c>
      <c r="Y5" s="30">
        <f>IF(COUNTIF(tblSeverityAnalysis[[#This Row],[CCCM]:[WASH]], 3)=0, "", COUNTIF(tblSeverityAnalysis[[#This Row],[CCCM]:[WASH]], 3))</f>
        <v>5</v>
      </c>
      <c r="Z5" s="30">
        <f>IF(COUNTIF(tblSeverityAnalysis[[#This Row],[CCCM]:[WASH]], 4)=0, "", COUNTIF(tblSeverityAnalysis[[#This Row],[CCCM]:[WASH]], 4))</f>
        <v>1</v>
      </c>
      <c r="AA5" s="109" t="str">
        <f>IF(COUNTIF(tblSeverityAnalysis[[#This Row],[CCCM]:[WASH]], 5)=0, "", COUNTIF(tblSeverityAnalysis[[#This Row],[CCCM]:[WASH]], 5))</f>
        <v/>
      </c>
      <c r="AB5" s="59" cm="1">
        <f t="array" ref="AB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 s="80"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 s="32">
        <f>IFERROR(IF(INDEX(tblSeverityReference[Malnutrition Severity],MATCH(tblSeverityAnalysis[[#This Row],[ID]], tblSeverityReference[ID], 0))= "", "",INDEX(tblSeverityReference[Malnutrition Severity],MATCH(tblSeverityAnalysis[[#This Row],[ID]], tblSeverityReference[ID], 0)) ), "")</f>
        <v>2</v>
      </c>
      <c r="AE5" s="41">
        <f>IFERROR(IF(INDEX(tblSeverityReference[Epidemic Severity],MATCH(tblSeverityAnalysis[[#This Row],[ID]], tblSeverityReference[ID], 0))= "", "",INDEX(tblSeverityReference[Epidemic Severity],MATCH(tblSeverityAnalysis[[#This Row],[ID]], tblSeverityReference[ID], 0)) ), "")</f>
        <v>1.8235294117647056</v>
      </c>
      <c r="AF5" s="83">
        <f>IFERROR(IF(INDEX(tblSeverityReference[Coping Strategy Severity],MATCH(tblSeverityAnalysis[[#This Row],[ID]], tblSeverityReference[ID], 0))= "", "",INDEX(tblSeverityReference[Coping Strategy Severity],MATCH(tblSeverityAnalysis[[#This Row],[ID]], tblSeverityReference[ID], 0)) ), "")</f>
        <v>3</v>
      </c>
      <c r="AG5" s="83" t="str">
        <f>IFERROR(IF(INDEX(tblSeverityReference[HR/IHL Violation],MATCH(tblSeverityAnalysis[[#This Row],[ID]], tblSeverityReference[ID], 0))= "", "",INDEX(tblSeverityReference[HR/IHL Violation],MATCH(tblSeverityAnalysis[[#This Row],[ID]], tblSeverityReference[ID], 0)) ), "")</f>
        <v/>
      </c>
      <c r="AH5" s="81">
        <f>IFERROR(AVERAGE(tblSeverityAnalysis[[#This Row],[CCCM]:[WASH]]), "")</f>
        <v>2.75</v>
      </c>
      <c r="AI5" s="27">
        <f>IF(SUM(tblSeverityAnalysis[[#This Row],[CCCM]:[WASH]])=0, "", MAX(tblSeverityAnalysis[[#This Row],[CCCM]:[WASH]]))</f>
        <v>4</v>
      </c>
      <c r="AJ5" s="94" t="str" cm="1">
        <f t="array" ref="AJ5">IFERROR(IF(tblSeverityAnalysis[[#This Row],[Highest Severity]]="", "", _xlfn.TEXTJOIN(CHAR(10), TRUE, IF(tblSeverityAnalysis[[#This Row],[CCCM]:[WASH]]=tblSeverityAnalysis[[#This Row],[Highest Severity]], tblSeverityAnalysis[[#Headers],[CCCM]:[WASH]], ""), "")), "")</f>
        <v>Education</v>
      </c>
      <c r="AK5" s="27" cm="1">
        <f t="array" ref="AK5">IFERROR(MAX(_xlfn._xlws.FILTER(tblSeverityAnalysis[[#This Row],[CCCM]:[WASH]], tblSeverityAnalysis[[#This Row],[CCCM]:[WASH]]&lt;tblSeverityAnalysis[[#This Row],[Highest Severity]])), "")</f>
        <v>3</v>
      </c>
      <c r="AL5" s="35" t="str" cm="1">
        <f t="array" ref="AL5">IFERROR(IF(tblSeverityAnalysis[[#This Row],[2nd Highest Severity]]="", "", _xlfn.TEXTJOIN(CHAR(10), TRUE, IF(tblSeverityAnalysis[[#This Row],[CCCM]:[WASH]]=tblSeverityAnalysis[[#This Row],[2nd Highest Severity]], tblSeverityAnalysis[[#Headers],[CCCM]:[WASH]], ""), "")), "")</f>
        <v>CCCM
Food Security
Overarching Protection
Shelter
WASH</v>
      </c>
      <c r="AM5" s="132" t="str">
        <f>IFERROR(IF(AND(tblSeverityAnalysis[[#This Row],[5]] &lt;&gt; "", tblSeverityAnalysis[[#This Row],[5]]&gt;=sectors_sev_5), "Flagged", ""), "")</f>
        <v/>
      </c>
      <c r="AN5" s="133" t="str">
        <f>IFERROR(IF(AND(tblSeverityAnalysis[[#This Row],[Preliminary Intersectoral Severity based on overlap of sectoral deprivations]]=4, SUM(tblSeverityAnalysis[[#This Row],[ 4 ]:[5]])&gt;=sectors_sev_4), "Flagged", ""), "")</f>
        <v/>
      </c>
      <c r="AO5" s="217" t="str" cm="1">
        <f t="array" ref="AO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 s="293"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 s="94"/>
      <c r="AR5" s="94"/>
      <c r="AS5" s="94"/>
      <c r="AT5" s="286">
        <f>COUNTIF(tblSeverityAnalysis[[#This Row],[1 sector in severity phase 5 '[modify the threshold']]:[Manual Flag]], "Flagged")</f>
        <v>1</v>
      </c>
      <c r="AU5" s="44">
        <f>tblSeverityAnalysis[[#This Row],[Preliminary Intersectoral Severity based on overlap of sectoral deprivations]]</f>
        <v>3</v>
      </c>
      <c r="AV5" s="61"/>
      <c r="AW5"/>
      <c r="AX5"/>
      <c r="AY5"/>
      <c r="BA5"/>
      <c r="BB5"/>
      <c r="BC5"/>
      <c r="BD5"/>
      <c r="BE5"/>
    </row>
    <row r="6" spans="1:57" s="239" customFormat="1" ht="15" customHeight="1">
      <c r="A6" s="218"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MZ0103</v>
      </c>
      <c r="B6" s="219" t="s">
        <v>146</v>
      </c>
      <c r="C6" s="220" t="s">
        <v>147</v>
      </c>
      <c r="D6" s="33" t="s">
        <v>153</v>
      </c>
      <c r="E6" s="220" t="s">
        <v>152</v>
      </c>
      <c r="F6" s="220"/>
      <c r="G6" s="220"/>
      <c r="H6" s="220"/>
      <c r="I6" s="221">
        <v>316049</v>
      </c>
      <c r="J6" s="222"/>
      <c r="K6" s="223">
        <v>4</v>
      </c>
      <c r="L6" s="214">
        <v>4</v>
      </c>
      <c r="M6" s="214">
        <v>2</v>
      </c>
      <c r="N6" s="214">
        <v>3</v>
      </c>
      <c r="O6" s="371">
        <v>1</v>
      </c>
      <c r="P6" s="214">
        <v>4</v>
      </c>
      <c r="Q6" s="224">
        <v>4</v>
      </c>
      <c r="R6" s="225">
        <v>3</v>
      </c>
      <c r="S6" s="214">
        <v>4</v>
      </c>
      <c r="T6" s="214">
        <v>3</v>
      </c>
      <c r="U6" s="214">
        <v>4</v>
      </c>
      <c r="V6" s="214">
        <v>3</v>
      </c>
      <c r="W6" s="226">
        <f>IF(COUNTIF(tblSeverityAnalysis[[#This Row],[CCCM]:[WASH]], 1)=0, "", COUNTIF(tblSeverityAnalysis[[#This Row],[CCCM]:[WASH]], 1))</f>
        <v>1</v>
      </c>
      <c r="X6" s="227">
        <f>IF(COUNTIF(tblSeverityAnalysis[[#This Row],[CCCM]:[WASH]], 2)=0, "", COUNTIF(tblSeverityAnalysis[[#This Row],[CCCM]:[WASH]], 2))</f>
        <v>1</v>
      </c>
      <c r="Y6" s="227">
        <f>IF(COUNTIF(tblSeverityAnalysis[[#This Row],[CCCM]:[WASH]], 3)=0, "", COUNTIF(tblSeverityAnalysis[[#This Row],[CCCM]:[WASH]], 3))</f>
        <v>2</v>
      </c>
      <c r="Z6" s="227">
        <f>IF(COUNTIF(tblSeverityAnalysis[[#This Row],[CCCM]:[WASH]], 4)=0, "", COUNTIF(tblSeverityAnalysis[[#This Row],[CCCM]:[WASH]], 4))</f>
        <v>4</v>
      </c>
      <c r="AA6" s="228" t="str">
        <f>IF(COUNTIF(tblSeverityAnalysis[[#This Row],[CCCM]:[WASH]], 5)=0, "", COUNTIF(tblSeverityAnalysis[[#This Row],[CCCM]:[WASH]], 5))</f>
        <v/>
      </c>
      <c r="AB6" s="59" cm="1">
        <f t="array" ref="AB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6" s="229"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 s="214">
        <f>IFERROR(IF(INDEX(tblSeverityReference[Malnutrition Severity],MATCH(tblSeverityAnalysis[[#This Row],[ID]], tblSeverityReference[ID], 0))= "", "",INDEX(tblSeverityReference[Malnutrition Severity],MATCH(tblSeverityAnalysis[[#This Row],[ID]], tblSeverityReference[ID], 0)) ), "")</f>
        <v>2</v>
      </c>
      <c r="AE6" s="225">
        <f>IFERROR(IF(INDEX(tblSeverityReference[Epidemic Severity],MATCH(tblSeverityAnalysis[[#This Row],[ID]], tblSeverityReference[ID], 0))= "", "",INDEX(tblSeverityReference[Epidemic Severity],MATCH(tblSeverityAnalysis[[#This Row],[ID]], tblSeverityReference[ID], 0)) ), "")</f>
        <v>2</v>
      </c>
      <c r="AF6" s="230">
        <f>IFERROR(IF(INDEX(tblSeverityReference[Coping Strategy Severity],MATCH(tblSeverityAnalysis[[#This Row],[ID]], tblSeverityReference[ID], 0))= "", "",INDEX(tblSeverityReference[Coping Strategy Severity],MATCH(tblSeverityAnalysis[[#This Row],[ID]], tblSeverityReference[ID], 0)) ), "")</f>
        <v>1</v>
      </c>
      <c r="AG6" s="230">
        <f>IFERROR(IF(INDEX(tblSeverityReference[HR/IHL Violation],MATCH(tblSeverityAnalysis[[#This Row],[ID]], tblSeverityReference[ID], 0))= "", "",INDEX(tblSeverityReference[HR/IHL Violation],MATCH(tblSeverityAnalysis[[#This Row],[ID]], tblSeverityReference[ID], 0)) ), "")</f>
        <v>1</v>
      </c>
      <c r="AH6" s="231">
        <f>IFERROR(AVERAGE(tblSeverityAnalysis[[#This Row],[CCCM]:[WASH]]), "")</f>
        <v>3.125</v>
      </c>
      <c r="AI6" s="232">
        <f>IF(SUM(tblSeverityAnalysis[[#This Row],[CCCM]:[WASH]])=0, "", MAX(tblSeverityAnalysis[[#This Row],[CCCM]:[WASH]]))</f>
        <v>4</v>
      </c>
      <c r="AJ6" s="233" t="str" cm="1">
        <f t="array" ref="AJ6">IFERROR(IF(tblSeverityAnalysis[[#This Row],[Highest Severity]]="", "", _xlfn.TEXTJOIN(CHAR(10), TRUE, IF(tblSeverityAnalysis[[#This Row],[CCCM]:[WASH]]=tblSeverityAnalysis[[#This Row],[Highest Severity]], tblSeverityAnalysis[[#Headers],[CCCM]:[WASH]], ""), "")), "")</f>
        <v>CCCM
Education
Overarching Protection
Shelter</v>
      </c>
      <c r="AK6" s="232" cm="1">
        <f t="array" ref="AK6">IFERROR(MAX(_xlfn._xlws.FILTER(tblSeverityAnalysis[[#This Row],[CCCM]:[WASH]], tblSeverityAnalysis[[#This Row],[CCCM]:[WASH]]&lt;tblSeverityAnalysis[[#This Row],[Highest Severity]])), "")</f>
        <v>3</v>
      </c>
      <c r="AL6" s="234" t="str" cm="1">
        <f t="array" ref="AL6">IFERROR(IF(tblSeverityAnalysis[[#This Row],[2nd Highest Severity]]="", "", _xlfn.TEXTJOIN(CHAR(10), TRUE, IF(tblSeverityAnalysis[[#This Row],[CCCM]:[WASH]]=tblSeverityAnalysis[[#This Row],[2nd Highest Severity]], tblSeverityAnalysis[[#Headers],[CCCM]:[WASH]], ""), "")), "")</f>
        <v>Food Security
WASH</v>
      </c>
      <c r="AM6" s="235" t="str">
        <f>IFERROR(IF(AND(tblSeverityAnalysis[[#This Row],[5]] &lt;&gt; "", tblSeverityAnalysis[[#This Row],[5]]&gt;=sectors_sev_5), "Flagged", ""), "")</f>
        <v/>
      </c>
      <c r="AN6" s="236" t="str">
        <f>IFERROR(IF(AND(tblSeverityAnalysis[[#This Row],[Preliminary Intersectoral Severity based on overlap of sectoral deprivations]]=4, SUM(tblSeverityAnalysis[[#This Row],[ 4 ]:[5]])&gt;=sectors_sev_4), "Flagged", ""), "")</f>
        <v/>
      </c>
      <c r="AO6" s="236" t="str" cm="1">
        <f t="array" ref="AO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 s="29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 s="233"/>
      <c r="AR6" s="233"/>
      <c r="AS6" s="233"/>
      <c r="AT6" s="286">
        <f>COUNTIF(tblSeverityAnalysis[[#This Row],[1 sector in severity phase 5 '[modify the threshold']]:[Manual Flag]], "Flagged")</f>
        <v>2</v>
      </c>
      <c r="AU6" s="237">
        <f>tblSeverityAnalysis[[#This Row],[Preliminary Intersectoral Severity based on overlap of sectoral deprivations]]</f>
        <v>4</v>
      </c>
      <c r="AV6" s="238"/>
      <c r="BA6"/>
    </row>
    <row r="7" spans="1:57" s="239" customFormat="1" ht="15" customHeight="1">
      <c r="A7" s="218"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MZ0104</v>
      </c>
      <c r="B7" s="219" t="s">
        <v>146</v>
      </c>
      <c r="C7" s="220" t="s">
        <v>147</v>
      </c>
      <c r="D7" s="33" t="s">
        <v>155</v>
      </c>
      <c r="E7" s="220" t="s">
        <v>154</v>
      </c>
      <c r="F7" s="220"/>
      <c r="G7" s="220"/>
      <c r="H7" s="220"/>
      <c r="I7" s="221">
        <v>286814</v>
      </c>
      <c r="J7" s="222"/>
      <c r="K7" s="223">
        <v>2</v>
      </c>
      <c r="L7" s="214">
        <v>3</v>
      </c>
      <c r="M7" s="214">
        <v>2</v>
      </c>
      <c r="N7" s="214">
        <v>2</v>
      </c>
      <c r="O7" s="371">
        <v>1</v>
      </c>
      <c r="P7" s="214">
        <v>3</v>
      </c>
      <c r="Q7" s="224">
        <v>3</v>
      </c>
      <c r="R7" s="225">
        <v>3</v>
      </c>
      <c r="S7" s="214">
        <v>2</v>
      </c>
      <c r="T7" s="214">
        <v>2</v>
      </c>
      <c r="U7" s="214">
        <v>2</v>
      </c>
      <c r="V7" s="214">
        <v>3</v>
      </c>
      <c r="W7" s="226">
        <f>IF(COUNTIF(tblSeverityAnalysis[[#This Row],[CCCM]:[WASH]], 1)=0, "", COUNTIF(tblSeverityAnalysis[[#This Row],[CCCM]:[WASH]], 1))</f>
        <v>1</v>
      </c>
      <c r="X7" s="227">
        <f>IF(COUNTIF(tblSeverityAnalysis[[#This Row],[CCCM]:[WASH]], 2)=0, "", COUNTIF(tblSeverityAnalysis[[#This Row],[CCCM]:[WASH]], 2))</f>
        <v>3</v>
      </c>
      <c r="Y7" s="227">
        <f>IF(COUNTIF(tblSeverityAnalysis[[#This Row],[CCCM]:[WASH]], 3)=0, "", COUNTIF(tblSeverityAnalysis[[#This Row],[CCCM]:[WASH]], 3))</f>
        <v>4</v>
      </c>
      <c r="Z7" s="227" t="str">
        <f>IF(COUNTIF(tblSeverityAnalysis[[#This Row],[CCCM]:[WASH]], 4)=0, "", COUNTIF(tblSeverityAnalysis[[#This Row],[CCCM]:[WASH]], 4))</f>
        <v/>
      </c>
      <c r="AA7" s="228" t="str">
        <f>IF(COUNTIF(tblSeverityAnalysis[[#This Row],[CCCM]:[WASH]], 5)=0, "", COUNTIF(tblSeverityAnalysis[[#This Row],[CCCM]:[WASH]], 5))</f>
        <v/>
      </c>
      <c r="AB7" s="59" cm="1">
        <f t="array" ref="AB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 s="229"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 s="214">
        <f>IFERROR(IF(INDEX(tblSeverityReference[Malnutrition Severity],MATCH(tblSeverityAnalysis[[#This Row],[ID]], tblSeverityReference[ID], 0))= "", "",INDEX(tblSeverityReference[Malnutrition Severity],MATCH(tblSeverityAnalysis[[#This Row],[ID]], tblSeverityReference[ID], 0)) ), "")</f>
        <v>2</v>
      </c>
      <c r="AE7" s="225">
        <f>IFERROR(IF(INDEX(tblSeverityReference[Epidemic Severity],MATCH(tblSeverityAnalysis[[#This Row],[ID]], tblSeverityReference[ID], 0))= "", "",INDEX(tblSeverityReference[Epidemic Severity],MATCH(tblSeverityAnalysis[[#This Row],[ID]], tblSeverityReference[ID], 0)) ), "")</f>
        <v>2.8235294117647061</v>
      </c>
      <c r="AF7" s="230">
        <f>IFERROR(IF(INDEX(tblSeverityReference[Coping Strategy Severity],MATCH(tblSeverityAnalysis[[#This Row],[ID]], tblSeverityReference[ID], 0))= "", "",INDEX(tblSeverityReference[Coping Strategy Severity],MATCH(tblSeverityAnalysis[[#This Row],[ID]], tblSeverityReference[ID], 0)) ), "")</f>
        <v>2</v>
      </c>
      <c r="AG7" s="230">
        <f>IFERROR(IF(INDEX(tblSeverityReference[HR/IHL Violation],MATCH(tblSeverityAnalysis[[#This Row],[ID]], tblSeverityReference[ID], 0))= "", "",INDEX(tblSeverityReference[HR/IHL Violation],MATCH(tblSeverityAnalysis[[#This Row],[ID]], tblSeverityReference[ID], 0)) ), "")</f>
        <v>1</v>
      </c>
      <c r="AH7" s="231">
        <f>IFERROR(AVERAGE(tblSeverityAnalysis[[#This Row],[CCCM]:[WASH]]), "")</f>
        <v>2.375</v>
      </c>
      <c r="AI7" s="232">
        <f>IF(SUM(tblSeverityAnalysis[[#This Row],[CCCM]:[WASH]])=0, "", MAX(tblSeverityAnalysis[[#This Row],[CCCM]:[WASH]]))</f>
        <v>3</v>
      </c>
      <c r="AJ7" s="233" t="str" cm="1">
        <f t="array" ref="AJ7">IFERROR(IF(tblSeverityAnalysis[[#This Row],[Highest Severity]]="", "", _xlfn.TEXTJOIN(CHAR(10), TRUE, IF(tblSeverityAnalysis[[#This Row],[CCCM]:[WASH]]=tblSeverityAnalysis[[#This Row],[Highest Severity]], tblSeverityAnalysis[[#Headers],[CCCM]:[WASH]], ""), "")), "")</f>
        <v>Education
Overarching Protection
Shelter
WASH</v>
      </c>
      <c r="AK7" s="232" cm="1">
        <f t="array" ref="AK7">IFERROR(MAX(_xlfn._xlws.FILTER(tblSeverityAnalysis[[#This Row],[CCCM]:[WASH]], tblSeverityAnalysis[[#This Row],[CCCM]:[WASH]]&lt;tblSeverityAnalysis[[#This Row],[Highest Severity]])), "")</f>
        <v>2</v>
      </c>
      <c r="AL7" s="234" t="str" cm="1">
        <f t="array" ref="AL7">IFERROR(IF(tblSeverityAnalysis[[#This Row],[2nd Highest Severity]]="", "", _xlfn.TEXTJOIN(CHAR(10), TRUE, IF(tblSeverityAnalysis[[#This Row],[CCCM]:[WASH]]=tblSeverityAnalysis[[#This Row],[2nd Highest Severity]], tblSeverityAnalysis[[#Headers],[CCCM]:[WASH]], ""), "")), "")</f>
        <v>CCCM
Nutrition
Food Security</v>
      </c>
      <c r="AM7" s="235" t="str">
        <f>IFERROR(IF(AND(tblSeverityAnalysis[[#This Row],[5]] &lt;&gt; "", tblSeverityAnalysis[[#This Row],[5]]&gt;=sectors_sev_5), "Flagged", ""), "")</f>
        <v/>
      </c>
      <c r="AN7" s="236" t="str">
        <f>IFERROR(IF(AND(tblSeverityAnalysis[[#This Row],[Preliminary Intersectoral Severity based on overlap of sectoral deprivations]]=4, SUM(tblSeverityAnalysis[[#This Row],[ 4 ]:[5]])&gt;=sectors_sev_4), "Flagged", ""), "")</f>
        <v/>
      </c>
      <c r="AO7" s="236" t="str" cm="1">
        <f t="array" ref="AO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 s="29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 s="233"/>
      <c r="AR7" s="233"/>
      <c r="AS7" s="233"/>
      <c r="AT7" s="286">
        <f>COUNTIF(tblSeverityAnalysis[[#This Row],[1 sector in severity phase 5 '[modify the threshold']]:[Manual Flag]], "Flagged")</f>
        <v>2</v>
      </c>
      <c r="AU7" s="237">
        <f>tblSeverityAnalysis[[#This Row],[Preliminary Intersectoral Severity based on overlap of sectoral deprivations]]</f>
        <v>3</v>
      </c>
      <c r="AV7" s="238"/>
      <c r="BA7"/>
    </row>
    <row r="8" spans="1:57" ht="15" customHeight="1">
      <c r="A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MZ0105</v>
      </c>
      <c r="B8" s="39" t="s">
        <v>146</v>
      </c>
      <c r="C8" s="340" t="s">
        <v>147</v>
      </c>
      <c r="D8" s="340" t="s">
        <v>157</v>
      </c>
      <c r="E8" s="33" t="s">
        <v>156</v>
      </c>
      <c r="F8" s="33"/>
      <c r="G8" s="33"/>
      <c r="H8" s="20"/>
      <c r="I8" s="95">
        <v>33798</v>
      </c>
      <c r="J8" s="95"/>
      <c r="K8" s="321">
        <v>3</v>
      </c>
      <c r="L8" s="303">
        <v>3</v>
      </c>
      <c r="M8" s="303">
        <v>2</v>
      </c>
      <c r="N8" s="303">
        <v>3</v>
      </c>
      <c r="O8" s="372">
        <v>3</v>
      </c>
      <c r="P8" s="303">
        <v>4</v>
      </c>
      <c r="Q8" s="304">
        <v>3</v>
      </c>
      <c r="R8" s="303">
        <v>3</v>
      </c>
      <c r="S8" s="303">
        <v>4</v>
      </c>
      <c r="T8" s="303">
        <v>4</v>
      </c>
      <c r="U8" s="303">
        <v>4</v>
      </c>
      <c r="V8" s="303">
        <v>3</v>
      </c>
      <c r="W8" s="330" t="str">
        <f>IF(COUNTIF(tblSeverityAnalysis[[#This Row],[CCCM]:[WASH]], 1)=0, "", COUNTIF(tblSeverityAnalysis[[#This Row],[CCCM]:[WASH]], 1))</f>
        <v/>
      </c>
      <c r="X8" s="331">
        <f>IF(COUNTIF(tblSeverityAnalysis[[#This Row],[CCCM]:[WASH]], 2)=0, "", COUNTIF(tblSeverityAnalysis[[#This Row],[CCCM]:[WASH]], 2))</f>
        <v>1</v>
      </c>
      <c r="Y8" s="331">
        <f>IF(COUNTIF(tblSeverityAnalysis[[#This Row],[CCCM]:[WASH]], 3)=0, "", COUNTIF(tblSeverityAnalysis[[#This Row],[CCCM]:[WASH]], 3))</f>
        <v>6</v>
      </c>
      <c r="Z8" s="331">
        <f>IF(COUNTIF(tblSeverityAnalysis[[#This Row],[CCCM]:[WASH]], 4)=0, "", COUNTIF(tblSeverityAnalysis[[#This Row],[CCCM]:[WASH]], 4))</f>
        <v>1</v>
      </c>
      <c r="AA8" s="332" t="str">
        <f>IF(COUNTIF(tblSeverityAnalysis[[#This Row],[CCCM]:[WASH]], 5)=0, "", COUNTIF(tblSeverityAnalysis[[#This Row],[CCCM]:[WASH]], 5))</f>
        <v/>
      </c>
      <c r="AB8" s="59" cm="1">
        <f t="array" ref="AB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 s="41">
        <f>IFERROR(IF(INDEX(tblSeverityReference[Malnutrition Severity],MATCH(tblSeverityAnalysis[[#This Row],[ID]], tblSeverityReference[ID], 0))= "", "",INDEX(tblSeverityReference[Malnutrition Severity],MATCH(tblSeverityAnalysis[[#This Row],[ID]], tblSeverityReference[ID], 0)) ), "")</f>
        <v>2</v>
      </c>
      <c r="AE8" s="303">
        <f>IFERROR(IF(INDEX(tblSeverityReference[Epidemic Severity],MATCH(tblSeverityAnalysis[[#This Row],[ID]], tblSeverityReference[ID], 0))= "", "",INDEX(tblSeverityReference[Epidemic Severity],MATCH(tblSeverityAnalysis[[#This Row],[ID]], tblSeverityReference[ID], 0)) ), "")</f>
        <v>2.6470588235294117</v>
      </c>
      <c r="AF8" s="303">
        <f>IFERROR(IF(INDEX(tblSeverityReference[Coping Strategy Severity],MATCH(tblSeverityAnalysis[[#This Row],[ID]], tblSeverityReference[ID], 0))= "", "",INDEX(tblSeverityReference[Coping Strategy Severity],MATCH(tblSeverityAnalysis[[#This Row],[ID]], tblSeverityReference[ID], 0)) ), "")</f>
        <v>3</v>
      </c>
      <c r="AG8" s="108" t="str">
        <f>IFERROR(IF(INDEX(tblSeverityReference[HR/IHL Violation],MATCH(tblSeverityAnalysis[[#This Row],[ID]], tblSeverityReference[ID], 0))= "", "",INDEX(tblSeverityReference[HR/IHL Violation],MATCH(tblSeverityAnalysis[[#This Row],[ID]], tblSeverityReference[ID], 0)) ), "")</f>
        <v/>
      </c>
      <c r="AH8" s="81">
        <f>IFERROR(AVERAGE(tblSeverityAnalysis[[#This Row],[CCCM]:[WASH]]), "")</f>
        <v>3</v>
      </c>
      <c r="AI8" s="27">
        <f>IF(SUM(tblSeverityAnalysis[[#This Row],[CCCM]:[WASH]])=0, "", MAX(tblSeverityAnalysis[[#This Row],[CCCM]:[WASH]]))</f>
        <v>4</v>
      </c>
      <c r="AJ8" s="333" t="str" cm="1">
        <f t="array" ref="AJ8">IFERROR(IF(tblSeverityAnalysis[[#This Row],[Highest Severity]]="", "", _xlfn.TEXTJOIN(CHAR(10), TRUE, IF(tblSeverityAnalysis[[#This Row],[CCCM]:[WASH]]=tblSeverityAnalysis[[#This Row],[Highest Severity]], tblSeverityAnalysis[[#Headers],[CCCM]:[WASH]], ""), "")), "")</f>
        <v>Overarching Protection</v>
      </c>
      <c r="AK8" s="27" cm="1">
        <f t="array" ref="AK8">IFERROR(MAX(_xlfn._xlws.FILTER(tblSeverityAnalysis[[#This Row],[CCCM]:[WASH]], tblSeverityAnalysis[[#This Row],[CCCM]:[WASH]]&lt;tblSeverityAnalysis[[#This Row],[Highest Severity]])), "")</f>
        <v>3</v>
      </c>
      <c r="AL8" s="313" t="str" cm="1">
        <f t="array" ref="AL8">IFERROR(IF(tblSeverityAnalysis[[#This Row],[2nd Highest Severity]]="", "", _xlfn.TEXTJOIN(CHAR(10), TRUE, IF(tblSeverityAnalysis[[#This Row],[CCCM]:[WASH]]=tblSeverityAnalysis[[#This Row],[2nd Highest Severity]], tblSeverityAnalysis[[#Headers],[CCCM]:[WASH]], ""), "")), "")</f>
        <v>CCCM
Education
Food Security
Health
Shelter
WASH</v>
      </c>
      <c r="AM8" s="132" t="str">
        <f>IFERROR(IF(AND(tblSeverityAnalysis[[#This Row],[5]] &lt;&gt; "", tblSeverityAnalysis[[#This Row],[5]]&gt;=sectors_sev_5), "Flagged", ""), "")</f>
        <v/>
      </c>
      <c r="AN8" s="133" t="str">
        <f>IFERROR(IF(AND(tblSeverityAnalysis[[#This Row],[Preliminary Intersectoral Severity based on overlap of sectoral deprivations]]=4, SUM(tblSeverityAnalysis[[#This Row],[ 4 ]:[5]])&gt;=sectors_sev_4), "Flagged", ""), "")</f>
        <v/>
      </c>
      <c r="AO8" s="133" t="str" cm="1">
        <f t="array" ref="AO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 s="335"/>
      <c r="AR8" s="336"/>
      <c r="AS8" s="335"/>
      <c r="AT8" s="337">
        <f>COUNTIF(tblSeverityAnalysis[[#This Row],[1 sector in severity phase 5 '[modify the threshold']]:[Manual Flag]], "Flagged")</f>
        <v>0</v>
      </c>
      <c r="AU8" s="338">
        <f>tblSeverityAnalysis[[#This Row],[Preliminary Intersectoral Severity based on overlap of sectoral deprivations]]</f>
        <v>3</v>
      </c>
      <c r="AV8" s="339"/>
      <c r="AW8" s="21"/>
    </row>
    <row r="9" spans="1:57" ht="15" customHeight="1">
      <c r="A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MZ0106</v>
      </c>
      <c r="B9" s="39" t="s">
        <v>146</v>
      </c>
      <c r="C9" s="340" t="s">
        <v>147</v>
      </c>
      <c r="D9" s="340" t="s">
        <v>159</v>
      </c>
      <c r="E9" s="33" t="s">
        <v>158</v>
      </c>
      <c r="F9" s="33"/>
      <c r="G9" s="33"/>
      <c r="H9" s="20"/>
      <c r="I9" s="95">
        <v>209241</v>
      </c>
      <c r="J9" s="95"/>
      <c r="K9" s="321">
        <v>4</v>
      </c>
      <c r="L9" s="303">
        <v>4</v>
      </c>
      <c r="M9" s="303">
        <v>2</v>
      </c>
      <c r="N9" s="303">
        <v>3</v>
      </c>
      <c r="O9" s="372">
        <v>3</v>
      </c>
      <c r="P9" s="378">
        <v>5</v>
      </c>
      <c r="Q9" s="304">
        <v>4</v>
      </c>
      <c r="R9" s="303">
        <v>4</v>
      </c>
      <c r="S9" s="378">
        <v>5</v>
      </c>
      <c r="T9" s="303">
        <v>4</v>
      </c>
      <c r="U9" s="378">
        <v>5</v>
      </c>
      <c r="V9" s="303">
        <v>4</v>
      </c>
      <c r="W9" s="330" t="str">
        <f>IF(COUNTIF(tblSeverityAnalysis[[#This Row],[CCCM]:[WASH]], 1)=0, "", COUNTIF(tblSeverityAnalysis[[#This Row],[CCCM]:[WASH]], 1))</f>
        <v/>
      </c>
      <c r="X9" s="331">
        <f>IF(COUNTIF(tblSeverityAnalysis[[#This Row],[CCCM]:[WASH]], 2)=0, "", COUNTIF(tblSeverityAnalysis[[#This Row],[CCCM]:[WASH]], 2))</f>
        <v>1</v>
      </c>
      <c r="Y9" s="331">
        <f>IF(COUNTIF(tblSeverityAnalysis[[#This Row],[CCCM]:[WASH]], 3)=0, "", COUNTIF(tblSeverityAnalysis[[#This Row],[CCCM]:[WASH]], 3))</f>
        <v>2</v>
      </c>
      <c r="Z9" s="331">
        <f>IF(COUNTIF(tblSeverityAnalysis[[#This Row],[CCCM]:[WASH]], 4)=0, "", COUNTIF(tblSeverityAnalysis[[#This Row],[CCCM]:[WASH]], 4))</f>
        <v>4</v>
      </c>
      <c r="AA9" s="332">
        <f>IF(COUNTIF(tblSeverityAnalysis[[#This Row],[CCCM]:[WASH]], 5)=0, "", COUNTIF(tblSeverityAnalysis[[#This Row],[CCCM]:[WASH]], 5))</f>
        <v>1</v>
      </c>
      <c r="AB9" s="59" cm="1">
        <f t="array" ref="AB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 s="41">
        <f>IFERROR(IF(INDEX(tblSeverityReference[Malnutrition Severity],MATCH(tblSeverityAnalysis[[#This Row],[ID]], tblSeverityReference[ID], 0))= "", "",INDEX(tblSeverityReference[Malnutrition Severity],MATCH(tblSeverityAnalysis[[#This Row],[ID]], tblSeverityReference[ID], 0)) ), "")</f>
        <v>2</v>
      </c>
      <c r="AE9" s="303">
        <f>IFERROR(IF(INDEX(tblSeverityReference[Epidemic Severity],MATCH(tblSeverityAnalysis[[#This Row],[ID]], tblSeverityReference[ID], 0))= "", "",INDEX(tblSeverityReference[Epidemic Severity],MATCH(tblSeverityAnalysis[[#This Row],[ID]], tblSeverityReference[ID], 0)) ), "")</f>
        <v>4</v>
      </c>
      <c r="AF9" s="303">
        <f>IFERROR(IF(INDEX(tblSeverityReference[Coping Strategy Severity],MATCH(tblSeverityAnalysis[[#This Row],[ID]], tblSeverityReference[ID], 0))= "", "",INDEX(tblSeverityReference[Coping Strategy Severity],MATCH(tblSeverityAnalysis[[#This Row],[ID]], tblSeverityReference[ID], 0)) ), "")</f>
        <v>3</v>
      </c>
      <c r="AG9" s="108">
        <f>IFERROR(IF(INDEX(tblSeverityReference[HR/IHL Violation],MATCH(tblSeverityAnalysis[[#This Row],[ID]], tblSeverityReference[ID], 0))= "", "",INDEX(tblSeverityReference[HR/IHL Violation],MATCH(tblSeverityAnalysis[[#This Row],[ID]], tblSeverityReference[ID], 0)) ), "")</f>
        <v>5</v>
      </c>
      <c r="AH9" s="81">
        <f>IFERROR(AVERAGE(tblSeverityAnalysis[[#This Row],[CCCM]:[WASH]]), "")</f>
        <v>3.625</v>
      </c>
      <c r="AI9" s="27">
        <f>IF(SUM(tblSeverityAnalysis[[#This Row],[CCCM]:[WASH]])=0, "", MAX(tblSeverityAnalysis[[#This Row],[CCCM]:[WASH]]))</f>
        <v>5</v>
      </c>
      <c r="AJ9" s="333" t="str" cm="1">
        <f t="array" ref="AJ9">IFERROR(IF(tblSeverityAnalysis[[#This Row],[Highest Severity]]="", "", _xlfn.TEXTJOIN(CHAR(10), TRUE, IF(tblSeverityAnalysis[[#This Row],[CCCM]:[WASH]]=tblSeverityAnalysis[[#This Row],[Highest Severity]], tblSeverityAnalysis[[#Headers],[CCCM]:[WASH]], ""), "")), "")</f>
        <v>Overarching Protection</v>
      </c>
      <c r="AK9" s="27" cm="1">
        <f t="array" ref="AK9">IFERROR(MAX(_xlfn._xlws.FILTER(tblSeverityAnalysis[[#This Row],[CCCM]:[WASH]], tblSeverityAnalysis[[#This Row],[CCCM]:[WASH]]&lt;tblSeverityAnalysis[[#This Row],[Highest Severity]])), "")</f>
        <v>4</v>
      </c>
      <c r="AL9" s="313" t="str" cm="1">
        <f t="array" ref="AL9">IFERROR(IF(tblSeverityAnalysis[[#This Row],[2nd Highest Severity]]="", "", _xlfn.TEXTJOIN(CHAR(10), TRUE, IF(tblSeverityAnalysis[[#This Row],[CCCM]:[WASH]]=tblSeverityAnalysis[[#This Row],[2nd Highest Severity]], tblSeverityAnalysis[[#Headers],[CCCM]:[WASH]], ""), "")), "")</f>
        <v>CCCM
Education
Shelter
WASH</v>
      </c>
      <c r="AM9" s="132" t="str">
        <f>IFERROR(IF(AND(tblSeverityAnalysis[[#This Row],[5]] &lt;&gt; "", tblSeverityAnalysis[[#This Row],[5]]&gt;=sectors_sev_5), "Flagged", ""), "")</f>
        <v>Flagged</v>
      </c>
      <c r="AN9" s="133" t="str">
        <f>IFERROR(IF(AND(tblSeverityAnalysis[[#This Row],[Preliminary Intersectoral Severity based on overlap of sectoral deprivations]]=4, SUM(tblSeverityAnalysis[[#This Row],[ 4 ]:[5]])&gt;=sectors_sev_4), "Flagged", ""), "")</f>
        <v>Flagged</v>
      </c>
      <c r="AO9" s="133" t="str" cm="1">
        <f t="array" ref="AO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 s="335"/>
      <c r="AR9" s="336"/>
      <c r="AS9" s="335"/>
      <c r="AT9" s="337">
        <f>COUNTIF(tblSeverityAnalysis[[#This Row],[1 sector in severity phase 5 '[modify the threshold']]:[Manual Flag]], "Flagged")</f>
        <v>4</v>
      </c>
      <c r="AU9" s="338">
        <f>tblSeverityAnalysis[[#This Row],[Preliminary Intersectoral Severity based on overlap of sectoral deprivations]]</f>
        <v>4</v>
      </c>
      <c r="AV9" s="339"/>
      <c r="AW9" s="21"/>
    </row>
    <row r="10" spans="1:57" ht="15" customHeight="1">
      <c r="A1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MZ0107</v>
      </c>
      <c r="B10" s="39" t="s">
        <v>146</v>
      </c>
      <c r="C10" s="340" t="s">
        <v>147</v>
      </c>
      <c r="D10" s="340" t="s">
        <v>161</v>
      </c>
      <c r="E10" s="33" t="s">
        <v>160</v>
      </c>
      <c r="F10" s="33"/>
      <c r="G10" s="33"/>
      <c r="H10" s="20"/>
      <c r="I10" s="95">
        <v>63528</v>
      </c>
      <c r="J10" s="95"/>
      <c r="K10" s="321">
        <v>3</v>
      </c>
      <c r="L10" s="303">
        <v>3</v>
      </c>
      <c r="M10" s="303">
        <v>2</v>
      </c>
      <c r="N10" s="303">
        <v>3</v>
      </c>
      <c r="O10" s="372">
        <v>1</v>
      </c>
      <c r="P10" s="303">
        <v>2</v>
      </c>
      <c r="Q10" s="304">
        <v>3</v>
      </c>
      <c r="R10" s="303">
        <v>3</v>
      </c>
      <c r="S10" s="303">
        <v>2</v>
      </c>
      <c r="T10" s="303">
        <v>2</v>
      </c>
      <c r="U10" s="303">
        <v>2</v>
      </c>
      <c r="V10" s="303">
        <v>2</v>
      </c>
      <c r="W10" s="330">
        <f>IF(COUNTIF(tblSeverityAnalysis[[#This Row],[CCCM]:[WASH]], 1)=0, "", COUNTIF(tblSeverityAnalysis[[#This Row],[CCCM]:[WASH]], 1))</f>
        <v>1</v>
      </c>
      <c r="X10" s="331">
        <f>IF(COUNTIF(tblSeverityAnalysis[[#This Row],[CCCM]:[WASH]], 2)=0, "", COUNTIF(tblSeverityAnalysis[[#This Row],[CCCM]:[WASH]], 2))</f>
        <v>2</v>
      </c>
      <c r="Y10" s="331">
        <f>IF(COUNTIF(tblSeverityAnalysis[[#This Row],[CCCM]:[WASH]], 3)=0, "", COUNTIF(tblSeverityAnalysis[[#This Row],[CCCM]:[WASH]], 3))</f>
        <v>5</v>
      </c>
      <c r="Z10" s="331" t="str">
        <f>IF(COUNTIF(tblSeverityAnalysis[[#This Row],[CCCM]:[WASH]], 4)=0, "", COUNTIF(tblSeverityAnalysis[[#This Row],[CCCM]:[WASH]], 4))</f>
        <v/>
      </c>
      <c r="AA10" s="332" t="str">
        <f>IF(COUNTIF(tblSeverityAnalysis[[#This Row],[CCCM]:[WASH]], 5)=0, "", COUNTIF(tblSeverityAnalysis[[#This Row],[CCCM]:[WASH]], 5))</f>
        <v/>
      </c>
      <c r="AB10" s="59" cm="1">
        <f t="array" ref="AB1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 s="41">
        <f>IFERROR(IF(INDEX(tblSeverityReference[Malnutrition Severity],MATCH(tblSeverityAnalysis[[#This Row],[ID]], tblSeverityReference[ID], 0))= "", "",INDEX(tblSeverityReference[Malnutrition Severity],MATCH(tblSeverityAnalysis[[#This Row],[ID]], tblSeverityReference[ID], 0)) ), "")</f>
        <v>2</v>
      </c>
      <c r="AE10" s="303">
        <f>IFERROR(IF(INDEX(tblSeverityReference[Epidemic Severity],MATCH(tblSeverityAnalysis[[#This Row],[ID]], tblSeverityReference[ID], 0))= "", "",INDEX(tblSeverityReference[Epidemic Severity],MATCH(tblSeverityAnalysis[[#This Row],[ID]], tblSeverityReference[ID], 0)) ), "")</f>
        <v>1.8235294117647056</v>
      </c>
      <c r="AF10" s="303">
        <f>IFERROR(IF(INDEX(tblSeverityReference[Coping Strategy Severity],MATCH(tblSeverityAnalysis[[#This Row],[ID]], tblSeverityReference[ID], 0))= "", "",INDEX(tblSeverityReference[Coping Strategy Severity],MATCH(tblSeverityAnalysis[[#This Row],[ID]], tblSeverityReference[ID], 0)) ), "")</f>
        <v>3</v>
      </c>
      <c r="AG10" s="108" t="str">
        <f>IFERROR(IF(INDEX(tblSeverityReference[HR/IHL Violation],MATCH(tblSeverityAnalysis[[#This Row],[ID]], tblSeverityReference[ID], 0))= "", "",INDEX(tblSeverityReference[HR/IHL Violation],MATCH(tblSeverityAnalysis[[#This Row],[ID]], tblSeverityReference[ID], 0)) ), "")</f>
        <v/>
      </c>
      <c r="AH10" s="81">
        <f>IFERROR(AVERAGE(tblSeverityAnalysis[[#This Row],[CCCM]:[WASH]]), "")</f>
        <v>2.5</v>
      </c>
      <c r="AI10" s="27">
        <f>IF(SUM(tblSeverityAnalysis[[#This Row],[CCCM]:[WASH]])=0, "", MAX(tblSeverityAnalysis[[#This Row],[CCCM]:[WASH]]))</f>
        <v>3</v>
      </c>
      <c r="AJ10" s="333" t="str" cm="1">
        <f t="array" ref="AJ10">IFERROR(IF(tblSeverityAnalysis[[#This Row],[Highest Severity]]="", "", _xlfn.TEXTJOIN(CHAR(10), TRUE, IF(tblSeverityAnalysis[[#This Row],[CCCM]:[WASH]]=tblSeverityAnalysis[[#This Row],[Highest Severity]], tblSeverityAnalysis[[#Headers],[CCCM]:[WASH]], ""), "")), "")</f>
        <v>CCCM
Education
Food Security
Shelter
WASH</v>
      </c>
      <c r="AK10" s="27" cm="1">
        <f t="array" ref="AK10">IFERROR(MAX(_xlfn._xlws.FILTER(tblSeverityAnalysis[[#This Row],[CCCM]:[WASH]], tblSeverityAnalysis[[#This Row],[CCCM]:[WASH]]&lt;tblSeverityAnalysis[[#This Row],[Highest Severity]])), "")</f>
        <v>2</v>
      </c>
      <c r="AL10" s="313" t="str" cm="1">
        <f t="array" ref="AL10">IFERROR(IF(tblSeverityAnalysis[[#This Row],[2nd Highest Severity]]="", "", _xlfn.TEXTJOIN(CHAR(10), TRUE, IF(tblSeverityAnalysis[[#This Row],[CCCM]:[WASH]]=tblSeverityAnalysis[[#This Row],[2nd Highest Severity]], tblSeverityAnalysis[[#Headers],[CCCM]:[WASH]], ""), "")), "")</f>
        <v>Nutrition
Overarching Protection</v>
      </c>
      <c r="AM10" s="132" t="str">
        <f>IFERROR(IF(AND(tblSeverityAnalysis[[#This Row],[5]] &lt;&gt; "", tblSeverityAnalysis[[#This Row],[5]]&gt;=sectors_sev_5), "Flagged", ""), "")</f>
        <v/>
      </c>
      <c r="AN10" s="133" t="str">
        <f>IFERROR(IF(AND(tblSeverityAnalysis[[#This Row],[Preliminary Intersectoral Severity based on overlap of sectoral deprivations]]=4, SUM(tblSeverityAnalysis[[#This Row],[ 4 ]:[5]])&gt;=sectors_sev_4), "Flagged", ""), "")</f>
        <v/>
      </c>
      <c r="AO10" s="133" t="str" cm="1">
        <f t="array" ref="AO1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 s="335"/>
      <c r="AR10" s="336"/>
      <c r="AS10" s="335"/>
      <c r="AT10" s="337">
        <f>COUNTIF(tblSeverityAnalysis[[#This Row],[1 sector in severity phase 5 '[modify the threshold']]:[Manual Flag]], "Flagged")</f>
        <v>1</v>
      </c>
      <c r="AU10" s="338">
        <f>tblSeverityAnalysis[[#This Row],[Preliminary Intersectoral Severity based on overlap of sectoral deprivations]]</f>
        <v>3</v>
      </c>
      <c r="AV10" s="339"/>
      <c r="AW10" s="21"/>
    </row>
    <row r="11" spans="1:57" ht="15" customHeight="1">
      <c r="A1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MZ0108</v>
      </c>
      <c r="B11" s="39" t="s">
        <v>146</v>
      </c>
      <c r="C11" s="340" t="s">
        <v>147</v>
      </c>
      <c r="D11" s="340" t="s">
        <v>163</v>
      </c>
      <c r="E11" s="33" t="s">
        <v>162</v>
      </c>
      <c r="F11" s="33"/>
      <c r="G11" s="33"/>
      <c r="H11" s="20"/>
      <c r="I11" s="95">
        <v>43796</v>
      </c>
      <c r="J11" s="95"/>
      <c r="K11" s="80">
        <v>3</v>
      </c>
      <c r="L11" s="303">
        <v>3</v>
      </c>
      <c r="M11" s="303">
        <v>2</v>
      </c>
      <c r="N11" s="303">
        <v>3</v>
      </c>
      <c r="O11" s="372">
        <v>1</v>
      </c>
      <c r="P11" s="303">
        <v>4</v>
      </c>
      <c r="Q11" s="304">
        <v>3</v>
      </c>
      <c r="R11" s="303">
        <v>4</v>
      </c>
      <c r="S11" s="303">
        <v>4</v>
      </c>
      <c r="T11" s="303">
        <v>3</v>
      </c>
      <c r="U11" s="303">
        <v>4</v>
      </c>
      <c r="V11" s="303">
        <v>2</v>
      </c>
      <c r="W11" s="330">
        <f>IF(COUNTIF(tblSeverityAnalysis[[#This Row],[CCCM]:[WASH]], 1)=0, "", COUNTIF(tblSeverityAnalysis[[#This Row],[CCCM]:[WASH]], 1))</f>
        <v>1</v>
      </c>
      <c r="X11" s="331">
        <f>IF(COUNTIF(tblSeverityAnalysis[[#This Row],[CCCM]:[WASH]], 2)=0, "", COUNTIF(tblSeverityAnalysis[[#This Row],[CCCM]:[WASH]], 2))</f>
        <v>1</v>
      </c>
      <c r="Y11" s="331">
        <f>IF(COUNTIF(tblSeverityAnalysis[[#This Row],[CCCM]:[WASH]], 3)=0, "", COUNTIF(tblSeverityAnalysis[[#This Row],[CCCM]:[WASH]], 3))</f>
        <v>4</v>
      </c>
      <c r="Z11" s="331">
        <f>IF(COUNTIF(tblSeverityAnalysis[[#This Row],[CCCM]:[WASH]], 4)=0, "", COUNTIF(tblSeverityAnalysis[[#This Row],[CCCM]:[WASH]], 4))</f>
        <v>2</v>
      </c>
      <c r="AA11" s="332" t="str">
        <f>IF(COUNTIF(tblSeverityAnalysis[[#This Row],[CCCM]:[WASH]], 5)=0, "", COUNTIF(tblSeverityAnalysis[[#This Row],[CCCM]:[WASH]], 5))</f>
        <v/>
      </c>
      <c r="AB11" s="59" cm="1">
        <f t="array" ref="AB1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 s="41">
        <f>IFERROR(IF(INDEX(tblSeverityReference[Malnutrition Severity],MATCH(tblSeverityAnalysis[[#This Row],[ID]], tblSeverityReference[ID], 0))= "", "",INDEX(tblSeverityReference[Malnutrition Severity],MATCH(tblSeverityAnalysis[[#This Row],[ID]], tblSeverityReference[ID], 0)) ), "")</f>
        <v>2</v>
      </c>
      <c r="AE11" s="303">
        <f>IFERROR(IF(INDEX(tblSeverityReference[Epidemic Severity],MATCH(tblSeverityAnalysis[[#This Row],[ID]], tblSeverityReference[ID], 0))= "", "",INDEX(tblSeverityReference[Epidemic Severity],MATCH(tblSeverityAnalysis[[#This Row],[ID]], tblSeverityReference[ID], 0)) ), "")</f>
        <v>3.2352941176470589</v>
      </c>
      <c r="AF11" s="303">
        <f>IFERROR(IF(INDEX(tblSeverityReference[Coping Strategy Severity],MATCH(tblSeverityAnalysis[[#This Row],[ID]], tblSeverityReference[ID], 0))= "", "",INDEX(tblSeverityReference[Coping Strategy Severity],MATCH(tblSeverityAnalysis[[#This Row],[ID]], tblSeverityReference[ID], 0)) ), "")</f>
        <v>3</v>
      </c>
      <c r="AG11" s="108">
        <f>IFERROR(IF(INDEX(tblSeverityReference[HR/IHL Violation],MATCH(tblSeverityAnalysis[[#This Row],[ID]], tblSeverityReference[ID], 0))= "", "",INDEX(tblSeverityReference[HR/IHL Violation],MATCH(tblSeverityAnalysis[[#This Row],[ID]], tblSeverityReference[ID], 0)) ), "")</f>
        <v>3</v>
      </c>
      <c r="AH11" s="81">
        <f>IFERROR(AVERAGE(tblSeverityAnalysis[[#This Row],[CCCM]:[WASH]]), "")</f>
        <v>2.875</v>
      </c>
      <c r="AI11" s="27">
        <f>IF(SUM(tblSeverityAnalysis[[#This Row],[CCCM]:[WASH]])=0, "", MAX(tblSeverityAnalysis[[#This Row],[CCCM]:[WASH]]))</f>
        <v>4</v>
      </c>
      <c r="AJ11" s="333" t="str" cm="1">
        <f t="array" ref="AJ11">IFERROR(IF(tblSeverityAnalysis[[#This Row],[Highest Severity]]="", "", _xlfn.TEXTJOIN(CHAR(10), TRUE, IF(tblSeverityAnalysis[[#This Row],[CCCM]:[WASH]]=tblSeverityAnalysis[[#This Row],[Highest Severity]], tblSeverityAnalysis[[#Headers],[CCCM]:[WASH]], ""), "")), "")</f>
        <v>Overarching Protection
WASH</v>
      </c>
      <c r="AK11" s="27" cm="1">
        <f t="array" ref="AK11">IFERROR(MAX(_xlfn._xlws.FILTER(tblSeverityAnalysis[[#This Row],[CCCM]:[WASH]], tblSeverityAnalysis[[#This Row],[CCCM]:[WASH]]&lt;tblSeverityAnalysis[[#This Row],[Highest Severity]])), "")</f>
        <v>3</v>
      </c>
      <c r="AL11" s="313" t="str" cm="1">
        <f t="array" ref="AL11">IFERROR(IF(tblSeverityAnalysis[[#This Row],[2nd Highest Severity]]="", "", _xlfn.TEXTJOIN(CHAR(10), TRUE, IF(tblSeverityAnalysis[[#This Row],[CCCM]:[WASH]]=tblSeverityAnalysis[[#This Row],[2nd Highest Severity]], tblSeverityAnalysis[[#Headers],[CCCM]:[WASH]], ""), "")), "")</f>
        <v>CCCM
Education
Food Security
Shelter</v>
      </c>
      <c r="AM11" s="132" t="str">
        <f>IFERROR(IF(AND(tblSeverityAnalysis[[#This Row],[5]] &lt;&gt; "", tblSeverityAnalysis[[#This Row],[5]]&gt;=sectors_sev_5), "Flagged", ""), "")</f>
        <v/>
      </c>
      <c r="AN11" s="133" t="str">
        <f>IFERROR(IF(AND(tblSeverityAnalysis[[#This Row],[Preliminary Intersectoral Severity based on overlap of sectoral deprivations]]=4, SUM(tblSeverityAnalysis[[#This Row],[ 4 ]:[5]])&gt;=sectors_sev_4), "Flagged", ""), "")</f>
        <v/>
      </c>
      <c r="AO11" s="133" t="str" cm="1">
        <f t="array" ref="AO1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 s="335"/>
      <c r="AR11" s="336"/>
      <c r="AS11" s="335"/>
      <c r="AT11" s="337">
        <f>COUNTIF(tblSeverityAnalysis[[#This Row],[1 sector in severity phase 5 '[modify the threshold']]:[Manual Flag]], "Flagged")</f>
        <v>0</v>
      </c>
      <c r="AU11" s="338">
        <f>tblSeverityAnalysis[[#This Row],[Preliminary Intersectoral Severity based on overlap of sectoral deprivations]]</f>
        <v>3</v>
      </c>
      <c r="AV11" s="339"/>
      <c r="AW11" s="21"/>
    </row>
    <row r="12" spans="1:57" ht="15" customHeight="1">
      <c r="A1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MZ0109</v>
      </c>
      <c r="B12" s="39" t="s">
        <v>146</v>
      </c>
      <c r="C12" s="340" t="s">
        <v>147</v>
      </c>
      <c r="D12" s="340" t="s">
        <v>165</v>
      </c>
      <c r="E12" s="33" t="s">
        <v>164</v>
      </c>
      <c r="F12" s="33"/>
      <c r="G12" s="33"/>
      <c r="H12" s="20"/>
      <c r="I12" s="95">
        <v>150029</v>
      </c>
      <c r="J12" s="95"/>
      <c r="K12" s="321">
        <v>3</v>
      </c>
      <c r="L12" s="303">
        <v>3</v>
      </c>
      <c r="M12" s="303">
        <v>2</v>
      </c>
      <c r="N12" s="303">
        <v>3</v>
      </c>
      <c r="O12" s="372">
        <v>1</v>
      </c>
      <c r="P12" s="303">
        <v>4</v>
      </c>
      <c r="Q12" s="304">
        <v>3</v>
      </c>
      <c r="R12" s="303">
        <v>3</v>
      </c>
      <c r="S12" s="303">
        <v>3</v>
      </c>
      <c r="T12" s="303">
        <v>3</v>
      </c>
      <c r="U12" s="303">
        <v>3</v>
      </c>
      <c r="V12" s="303">
        <v>4</v>
      </c>
      <c r="W12" s="330">
        <f>IF(COUNTIF(tblSeverityAnalysis[[#This Row],[CCCM]:[WASH]], 1)=0, "", COUNTIF(tblSeverityAnalysis[[#This Row],[CCCM]:[WASH]], 1))</f>
        <v>1</v>
      </c>
      <c r="X12" s="331">
        <f>IF(COUNTIF(tblSeverityAnalysis[[#This Row],[CCCM]:[WASH]], 2)=0, "", COUNTIF(tblSeverityAnalysis[[#This Row],[CCCM]:[WASH]], 2))</f>
        <v>1</v>
      </c>
      <c r="Y12" s="331">
        <f>IF(COUNTIF(tblSeverityAnalysis[[#This Row],[CCCM]:[WASH]], 3)=0, "", COUNTIF(tblSeverityAnalysis[[#This Row],[CCCM]:[WASH]], 3))</f>
        <v>5</v>
      </c>
      <c r="Z12" s="331">
        <f>IF(COUNTIF(tblSeverityAnalysis[[#This Row],[CCCM]:[WASH]], 4)=0, "", COUNTIF(tblSeverityAnalysis[[#This Row],[CCCM]:[WASH]], 4))</f>
        <v>1</v>
      </c>
      <c r="AA12" s="332" t="str">
        <f>IF(COUNTIF(tblSeverityAnalysis[[#This Row],[CCCM]:[WASH]], 5)=0, "", COUNTIF(tblSeverityAnalysis[[#This Row],[CCCM]:[WASH]], 5))</f>
        <v/>
      </c>
      <c r="AB12" s="59" cm="1">
        <f t="array" ref="AB1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 s="41">
        <f>IFERROR(IF(INDEX(tblSeverityReference[Malnutrition Severity],MATCH(tblSeverityAnalysis[[#This Row],[ID]], tblSeverityReference[ID], 0))= "", "",INDEX(tblSeverityReference[Malnutrition Severity],MATCH(tblSeverityAnalysis[[#This Row],[ID]], tblSeverityReference[ID], 0)) ), "")</f>
        <v>2</v>
      </c>
      <c r="AE12" s="303">
        <f>IFERROR(IF(INDEX(tblSeverityReference[Epidemic Severity],MATCH(tblSeverityAnalysis[[#This Row],[ID]], tblSeverityReference[ID], 0))= "", "",INDEX(tblSeverityReference[Epidemic Severity],MATCH(tblSeverityAnalysis[[#This Row],[ID]], tblSeverityReference[ID], 0)) ), "")</f>
        <v>2.6470588235294117</v>
      </c>
      <c r="AF12" s="303">
        <f>IFERROR(IF(INDEX(tblSeverityReference[Coping Strategy Severity],MATCH(tblSeverityAnalysis[[#This Row],[ID]], tblSeverityReference[ID], 0))= "", "",INDEX(tblSeverityReference[Coping Strategy Severity],MATCH(tblSeverityAnalysis[[#This Row],[ID]], tblSeverityReference[ID], 0)) ), "")</f>
        <v>3</v>
      </c>
      <c r="AG12" s="108" t="str">
        <f>IFERROR(IF(INDEX(tblSeverityReference[HR/IHL Violation],MATCH(tblSeverityAnalysis[[#This Row],[ID]], tblSeverityReference[ID], 0))= "", "",INDEX(tblSeverityReference[HR/IHL Violation],MATCH(tblSeverityAnalysis[[#This Row],[ID]], tblSeverityReference[ID], 0)) ), "")</f>
        <v/>
      </c>
      <c r="AH12" s="81">
        <f>IFERROR(AVERAGE(tblSeverityAnalysis[[#This Row],[CCCM]:[WASH]]), "")</f>
        <v>2.75</v>
      </c>
      <c r="AI12" s="27">
        <f>IF(SUM(tblSeverityAnalysis[[#This Row],[CCCM]:[WASH]])=0, "", MAX(tblSeverityAnalysis[[#This Row],[CCCM]:[WASH]]))</f>
        <v>4</v>
      </c>
      <c r="AJ12" s="333" t="str" cm="1">
        <f t="array" ref="AJ12">IFERROR(IF(tblSeverityAnalysis[[#This Row],[Highest Severity]]="", "", _xlfn.TEXTJOIN(CHAR(10), TRUE, IF(tblSeverityAnalysis[[#This Row],[CCCM]:[WASH]]=tblSeverityAnalysis[[#This Row],[Highest Severity]], tblSeverityAnalysis[[#Headers],[CCCM]:[WASH]], ""), "")), "")</f>
        <v>Overarching Protection</v>
      </c>
      <c r="AK12" s="27" cm="1">
        <f t="array" ref="AK12">IFERROR(MAX(_xlfn._xlws.FILTER(tblSeverityAnalysis[[#This Row],[CCCM]:[WASH]], tblSeverityAnalysis[[#This Row],[CCCM]:[WASH]]&lt;tblSeverityAnalysis[[#This Row],[Highest Severity]])), "")</f>
        <v>3</v>
      </c>
      <c r="AL12" s="313" t="str" cm="1">
        <f t="array" ref="AL12">IFERROR(IF(tblSeverityAnalysis[[#This Row],[2nd Highest Severity]]="", "", _xlfn.TEXTJOIN(CHAR(10), TRUE, IF(tblSeverityAnalysis[[#This Row],[CCCM]:[WASH]]=tblSeverityAnalysis[[#This Row],[2nd Highest Severity]], tblSeverityAnalysis[[#Headers],[CCCM]:[WASH]], ""), "")), "")</f>
        <v>CCCM
Education
Food Security
Shelter
WASH</v>
      </c>
      <c r="AM12" s="132" t="str">
        <f>IFERROR(IF(AND(tblSeverityAnalysis[[#This Row],[5]] &lt;&gt; "", tblSeverityAnalysis[[#This Row],[5]]&gt;=sectors_sev_5), "Flagged", ""), "")</f>
        <v/>
      </c>
      <c r="AN12" s="133" t="str">
        <f>IFERROR(IF(AND(tblSeverityAnalysis[[#This Row],[Preliminary Intersectoral Severity based on overlap of sectoral deprivations]]=4, SUM(tblSeverityAnalysis[[#This Row],[ 4 ]:[5]])&gt;=sectors_sev_4), "Flagged", ""), "")</f>
        <v/>
      </c>
      <c r="AO12" s="133" t="str" cm="1">
        <f t="array" ref="AO1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 s="335"/>
      <c r="AR12" s="336"/>
      <c r="AS12" s="335"/>
      <c r="AT12" s="337">
        <f>COUNTIF(tblSeverityAnalysis[[#This Row],[1 sector in severity phase 5 '[modify the threshold']]:[Manual Flag]], "Flagged")</f>
        <v>0</v>
      </c>
      <c r="AU12" s="338">
        <f>tblSeverityAnalysis[[#This Row],[Preliminary Intersectoral Severity based on overlap of sectoral deprivations]]</f>
        <v>3</v>
      </c>
      <c r="AV12" s="339"/>
      <c r="AW12" s="21"/>
    </row>
    <row r="13" spans="1:57" ht="15" customHeight="1">
      <c r="A1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MZ0110</v>
      </c>
      <c r="B13" s="39" t="s">
        <v>146</v>
      </c>
      <c r="C13" s="340" t="s">
        <v>147</v>
      </c>
      <c r="D13" s="340" t="s">
        <v>167</v>
      </c>
      <c r="E13" s="33" t="s">
        <v>166</v>
      </c>
      <c r="F13" s="33"/>
      <c r="G13" s="33"/>
      <c r="H13" s="20"/>
      <c r="I13" s="95">
        <v>314265</v>
      </c>
      <c r="J13" s="95"/>
      <c r="K13" s="321">
        <v>4</v>
      </c>
      <c r="L13" s="378">
        <v>5</v>
      </c>
      <c r="M13" s="303">
        <v>2</v>
      </c>
      <c r="N13" s="303">
        <v>3</v>
      </c>
      <c r="O13" s="372">
        <v>3</v>
      </c>
      <c r="P13" s="378">
        <v>5</v>
      </c>
      <c r="Q13" s="304">
        <v>3</v>
      </c>
      <c r="R13" s="303">
        <v>3</v>
      </c>
      <c r="S13" s="378">
        <v>5</v>
      </c>
      <c r="T13" s="303">
        <v>4</v>
      </c>
      <c r="U13" s="378">
        <v>5</v>
      </c>
      <c r="V13" s="303">
        <v>4</v>
      </c>
      <c r="W13" s="330" t="str">
        <f>IF(COUNTIF(tblSeverityAnalysis[[#This Row],[CCCM]:[WASH]], 1)=0, "", COUNTIF(tblSeverityAnalysis[[#This Row],[CCCM]:[WASH]], 1))</f>
        <v/>
      </c>
      <c r="X13" s="331">
        <f>IF(COUNTIF(tblSeverityAnalysis[[#This Row],[CCCM]:[WASH]], 2)=0, "", COUNTIF(tblSeverityAnalysis[[#This Row],[CCCM]:[WASH]], 2))</f>
        <v>1</v>
      </c>
      <c r="Y13" s="331">
        <f>IF(COUNTIF(tblSeverityAnalysis[[#This Row],[CCCM]:[WASH]], 3)=0, "", COUNTIF(tblSeverityAnalysis[[#This Row],[CCCM]:[WASH]], 3))</f>
        <v>4</v>
      </c>
      <c r="Z13" s="331">
        <f>IF(COUNTIF(tblSeverityAnalysis[[#This Row],[CCCM]:[WASH]], 4)=0, "", COUNTIF(tblSeverityAnalysis[[#This Row],[CCCM]:[WASH]], 4))</f>
        <v>1</v>
      </c>
      <c r="AA13" s="332">
        <f>IF(COUNTIF(tblSeverityAnalysis[[#This Row],[CCCM]:[WASH]], 5)=0, "", COUNTIF(tblSeverityAnalysis[[#This Row],[CCCM]:[WASH]], 5))</f>
        <v>2</v>
      </c>
      <c r="AB13" s="59" cm="1">
        <f t="array" ref="AB1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 s="41">
        <f>IFERROR(IF(INDEX(tblSeverityReference[Malnutrition Severity],MATCH(tblSeverityAnalysis[[#This Row],[ID]], tblSeverityReference[ID], 0))= "", "",INDEX(tblSeverityReference[Malnutrition Severity],MATCH(tblSeverityAnalysis[[#This Row],[ID]], tblSeverityReference[ID], 0)) ), "")</f>
        <v>2</v>
      </c>
      <c r="AE13" s="303">
        <f>IFERROR(IF(INDEX(tblSeverityReference[Epidemic Severity],MATCH(tblSeverityAnalysis[[#This Row],[ID]], tblSeverityReference[ID], 0))= "", "",INDEX(tblSeverityReference[Epidemic Severity],MATCH(tblSeverityAnalysis[[#This Row],[ID]], tblSeverityReference[ID], 0)) ), "")</f>
        <v>2.6470588235294117</v>
      </c>
      <c r="AF13" s="303">
        <f>IFERROR(IF(INDEX(tblSeverityReference[Coping Strategy Severity],MATCH(tblSeverityAnalysis[[#This Row],[ID]], tblSeverityReference[ID], 0))= "", "",INDEX(tblSeverityReference[Coping Strategy Severity],MATCH(tblSeverityAnalysis[[#This Row],[ID]], tblSeverityReference[ID], 0)) ), "")</f>
        <v>2</v>
      </c>
      <c r="AG13" s="108">
        <f>IFERROR(IF(INDEX(tblSeverityReference[HR/IHL Violation],MATCH(tblSeverityAnalysis[[#This Row],[ID]], tblSeverityReference[ID], 0))= "", "",INDEX(tblSeverityReference[HR/IHL Violation],MATCH(tblSeverityAnalysis[[#This Row],[ID]], tblSeverityReference[ID], 0)) ), "")</f>
        <v>4</v>
      </c>
      <c r="AH13" s="81">
        <f>IFERROR(AVERAGE(tblSeverityAnalysis[[#This Row],[CCCM]:[WASH]]), "")</f>
        <v>3.5</v>
      </c>
      <c r="AI13" s="27">
        <f>IF(SUM(tblSeverityAnalysis[[#This Row],[CCCM]:[WASH]])=0, "", MAX(tblSeverityAnalysis[[#This Row],[CCCM]:[WASH]]))</f>
        <v>5</v>
      </c>
      <c r="AJ13" s="333" t="str" cm="1">
        <f t="array" ref="AJ13">IFERROR(IF(tblSeverityAnalysis[[#This Row],[Highest Severity]]="", "", _xlfn.TEXTJOIN(CHAR(10), TRUE, IF(tblSeverityAnalysis[[#This Row],[CCCM]:[WASH]]=tblSeverityAnalysis[[#This Row],[Highest Severity]], tblSeverityAnalysis[[#Headers],[CCCM]:[WASH]], ""), "")), "")</f>
        <v>Education
Overarching Protection</v>
      </c>
      <c r="AK13" s="27" cm="1">
        <f t="array" ref="AK13">IFERROR(MAX(_xlfn._xlws.FILTER(tblSeverityAnalysis[[#This Row],[CCCM]:[WASH]], tblSeverityAnalysis[[#This Row],[CCCM]:[WASH]]&lt;tblSeverityAnalysis[[#This Row],[Highest Severity]])), "")</f>
        <v>4</v>
      </c>
      <c r="AL13" s="313" t="str" cm="1">
        <f t="array" ref="AL13">IFERROR(IF(tblSeverityAnalysis[[#This Row],[2nd Highest Severity]]="", "", _xlfn.TEXTJOIN(CHAR(10), TRUE, IF(tblSeverityAnalysis[[#This Row],[CCCM]:[WASH]]=tblSeverityAnalysis[[#This Row],[2nd Highest Severity]], tblSeverityAnalysis[[#Headers],[CCCM]:[WASH]], ""), "")), "")</f>
        <v>CCCM</v>
      </c>
      <c r="AM13" s="132" t="str">
        <f>IFERROR(IF(AND(tblSeverityAnalysis[[#This Row],[5]] &lt;&gt; "", tblSeverityAnalysis[[#This Row],[5]]&gt;=sectors_sev_5), "Flagged", ""), "")</f>
        <v>Flagged</v>
      </c>
      <c r="AN13" s="133" t="str">
        <f>IFERROR(IF(AND(tblSeverityAnalysis[[#This Row],[Preliminary Intersectoral Severity based on overlap of sectoral deprivations]]=4, SUM(tblSeverityAnalysis[[#This Row],[ 4 ]:[5]])&gt;=sectors_sev_4), "Flagged", ""), "")</f>
        <v/>
      </c>
      <c r="AO13" s="133" t="str" cm="1">
        <f t="array" ref="AO1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 s="335"/>
      <c r="AR13" s="336"/>
      <c r="AS13" s="335"/>
      <c r="AT13" s="337">
        <f>COUNTIF(tblSeverityAnalysis[[#This Row],[1 sector in severity phase 5 '[modify the threshold']]:[Manual Flag]], "Flagged")</f>
        <v>2</v>
      </c>
      <c r="AU13" s="338">
        <f>tblSeverityAnalysis[[#This Row],[Preliminary Intersectoral Severity based on overlap of sectoral deprivations]]</f>
        <v>3</v>
      </c>
      <c r="AV13" s="339"/>
      <c r="AW13" s="21"/>
    </row>
    <row r="14" spans="1:57" ht="15" customHeight="1">
      <c r="A1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MZ0111</v>
      </c>
      <c r="B14" s="39" t="s">
        <v>146</v>
      </c>
      <c r="C14" s="340" t="s">
        <v>147</v>
      </c>
      <c r="D14" s="340" t="s">
        <v>169</v>
      </c>
      <c r="E14" s="33" t="s">
        <v>168</v>
      </c>
      <c r="F14" s="33"/>
      <c r="G14" s="33"/>
      <c r="H14" s="20"/>
      <c r="I14" s="95">
        <v>304525</v>
      </c>
      <c r="J14" s="95"/>
      <c r="K14" s="321">
        <v>3</v>
      </c>
      <c r="L14" s="303">
        <v>3</v>
      </c>
      <c r="M14" s="303">
        <v>2</v>
      </c>
      <c r="N14" s="303">
        <v>2</v>
      </c>
      <c r="O14" s="372">
        <v>1</v>
      </c>
      <c r="P14" s="303">
        <v>3</v>
      </c>
      <c r="Q14" s="304">
        <v>4</v>
      </c>
      <c r="R14" s="303">
        <v>3</v>
      </c>
      <c r="S14" s="303">
        <v>3</v>
      </c>
      <c r="T14" s="303">
        <v>3</v>
      </c>
      <c r="U14" s="303">
        <v>3</v>
      </c>
      <c r="V14" s="303">
        <v>3</v>
      </c>
      <c r="W14" s="330">
        <f>IF(COUNTIF(tblSeverityAnalysis[[#This Row],[CCCM]:[WASH]], 1)=0, "", COUNTIF(tblSeverityAnalysis[[#This Row],[CCCM]:[WASH]], 1))</f>
        <v>1</v>
      </c>
      <c r="X14" s="331">
        <f>IF(COUNTIF(tblSeverityAnalysis[[#This Row],[CCCM]:[WASH]], 2)=0, "", COUNTIF(tblSeverityAnalysis[[#This Row],[CCCM]:[WASH]], 2))</f>
        <v>2</v>
      </c>
      <c r="Y14" s="331">
        <f>IF(COUNTIF(tblSeverityAnalysis[[#This Row],[CCCM]:[WASH]], 3)=0, "", COUNTIF(tblSeverityAnalysis[[#This Row],[CCCM]:[WASH]], 3))</f>
        <v>4</v>
      </c>
      <c r="Z14" s="331">
        <f>IF(COUNTIF(tblSeverityAnalysis[[#This Row],[CCCM]:[WASH]], 4)=0, "", COUNTIF(tblSeverityAnalysis[[#This Row],[CCCM]:[WASH]], 4))</f>
        <v>1</v>
      </c>
      <c r="AA14" s="332" t="str">
        <f>IF(COUNTIF(tblSeverityAnalysis[[#This Row],[CCCM]:[WASH]], 5)=0, "", COUNTIF(tblSeverityAnalysis[[#This Row],[CCCM]:[WASH]], 5))</f>
        <v/>
      </c>
      <c r="AB14" s="59" cm="1">
        <f t="array" ref="AB1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 s="41">
        <f>IFERROR(IF(INDEX(tblSeverityReference[Malnutrition Severity],MATCH(tblSeverityAnalysis[[#This Row],[ID]], tblSeverityReference[ID], 0))= "", "",INDEX(tblSeverityReference[Malnutrition Severity],MATCH(tblSeverityAnalysis[[#This Row],[ID]], tblSeverityReference[ID], 0)) ), "")</f>
        <v>2</v>
      </c>
      <c r="AE14" s="303">
        <f>IFERROR(IF(INDEX(tblSeverityReference[Epidemic Severity],MATCH(tblSeverityAnalysis[[#This Row],[ID]], tblSeverityReference[ID], 0))= "", "",INDEX(tblSeverityReference[Epidemic Severity],MATCH(tblSeverityAnalysis[[#This Row],[ID]], tblSeverityReference[ID], 0)) ), "")</f>
        <v>1.8235294117647056</v>
      </c>
      <c r="AF14" s="303">
        <f>IFERROR(IF(INDEX(tblSeverityReference[Coping Strategy Severity],MATCH(tblSeverityAnalysis[[#This Row],[ID]], tblSeverityReference[ID], 0))= "", "",INDEX(tblSeverityReference[Coping Strategy Severity],MATCH(tblSeverityAnalysis[[#This Row],[ID]], tblSeverityReference[ID], 0)) ), "")</f>
        <v>3</v>
      </c>
      <c r="AG14" s="108">
        <f>IFERROR(IF(INDEX(tblSeverityReference[HR/IHL Violation],MATCH(tblSeverityAnalysis[[#This Row],[ID]], tblSeverityReference[ID], 0))= "", "",INDEX(tblSeverityReference[HR/IHL Violation],MATCH(tblSeverityAnalysis[[#This Row],[ID]], tblSeverityReference[ID], 0)) ), "")</f>
        <v>2</v>
      </c>
      <c r="AH14" s="81">
        <f>IFERROR(AVERAGE(tblSeverityAnalysis[[#This Row],[CCCM]:[WASH]]), "")</f>
        <v>2.625</v>
      </c>
      <c r="AI14" s="27">
        <f>IF(SUM(tblSeverityAnalysis[[#This Row],[CCCM]:[WASH]])=0, "", MAX(tblSeverityAnalysis[[#This Row],[CCCM]:[WASH]]))</f>
        <v>4</v>
      </c>
      <c r="AJ14" s="333" t="str" cm="1">
        <f t="array" ref="AJ14">IFERROR(IF(tblSeverityAnalysis[[#This Row],[Highest Severity]]="", "", _xlfn.TEXTJOIN(CHAR(10), TRUE, IF(tblSeverityAnalysis[[#This Row],[CCCM]:[WASH]]=tblSeverityAnalysis[[#This Row],[Highest Severity]], tblSeverityAnalysis[[#Headers],[CCCM]:[WASH]], ""), "")), "")</f>
        <v>Shelter</v>
      </c>
      <c r="AK14" s="27" cm="1">
        <f t="array" ref="AK14">IFERROR(MAX(_xlfn._xlws.FILTER(tblSeverityAnalysis[[#This Row],[CCCM]:[WASH]], tblSeverityAnalysis[[#This Row],[CCCM]:[WASH]]&lt;tblSeverityAnalysis[[#This Row],[Highest Severity]])), "")</f>
        <v>3</v>
      </c>
      <c r="AL14" s="313" t="str" cm="1">
        <f t="array" ref="AL14">IFERROR(IF(tblSeverityAnalysis[[#This Row],[2nd Highest Severity]]="", "", _xlfn.TEXTJOIN(CHAR(10), TRUE, IF(tblSeverityAnalysis[[#This Row],[CCCM]:[WASH]]=tblSeverityAnalysis[[#This Row],[2nd Highest Severity]], tblSeverityAnalysis[[#Headers],[CCCM]:[WASH]], ""), "")), "")</f>
        <v>CCCM
Education
Overarching Protection
WASH</v>
      </c>
      <c r="AM14" s="132" t="str">
        <f>IFERROR(IF(AND(tblSeverityAnalysis[[#This Row],[5]] &lt;&gt; "", tblSeverityAnalysis[[#This Row],[5]]&gt;=sectors_sev_5), "Flagged", ""), "")</f>
        <v/>
      </c>
      <c r="AN14" s="133" t="str">
        <f>IFERROR(IF(AND(tblSeverityAnalysis[[#This Row],[Preliminary Intersectoral Severity based on overlap of sectoral deprivations]]=4, SUM(tblSeverityAnalysis[[#This Row],[ 4 ]:[5]])&gt;=sectors_sev_4), "Flagged", ""), "")</f>
        <v/>
      </c>
      <c r="AO14" s="133" t="str" cm="1">
        <f t="array" ref="AO1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4" s="335"/>
      <c r="AR14" s="336"/>
      <c r="AS14" s="335"/>
      <c r="AT14" s="337">
        <f>COUNTIF(tblSeverityAnalysis[[#This Row],[1 sector in severity phase 5 '[modify the threshold']]:[Manual Flag]], "Flagged")</f>
        <v>1</v>
      </c>
      <c r="AU14" s="338">
        <f>tblSeverityAnalysis[[#This Row],[Preliminary Intersectoral Severity based on overlap of sectoral deprivations]]</f>
        <v>3</v>
      </c>
      <c r="AV14" s="339"/>
      <c r="AW14" s="21"/>
    </row>
    <row r="15" spans="1:57" ht="15" customHeight="1">
      <c r="A1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MZ0112</v>
      </c>
      <c r="B15" s="39" t="s">
        <v>146</v>
      </c>
      <c r="C15" s="340" t="s">
        <v>147</v>
      </c>
      <c r="D15" s="340" t="s">
        <v>171</v>
      </c>
      <c r="E15" s="33" t="s">
        <v>170</v>
      </c>
      <c r="F15" s="33"/>
      <c r="G15" s="33"/>
      <c r="H15" s="20"/>
      <c r="I15" s="95">
        <v>225863</v>
      </c>
      <c r="J15" s="95"/>
      <c r="K15" s="321">
        <v>3</v>
      </c>
      <c r="L15" s="303">
        <v>4</v>
      </c>
      <c r="M15" s="303">
        <v>2</v>
      </c>
      <c r="N15" s="303">
        <v>3</v>
      </c>
      <c r="O15" s="372">
        <v>1</v>
      </c>
      <c r="P15" s="303">
        <v>4</v>
      </c>
      <c r="Q15" s="304">
        <v>4</v>
      </c>
      <c r="R15" s="303">
        <v>4</v>
      </c>
      <c r="S15" s="303">
        <v>3</v>
      </c>
      <c r="T15" s="303">
        <v>3</v>
      </c>
      <c r="U15" s="303">
        <v>4</v>
      </c>
      <c r="V15" s="303">
        <v>3</v>
      </c>
      <c r="W15" s="330">
        <f>IF(COUNTIF(tblSeverityAnalysis[[#This Row],[CCCM]:[WASH]], 1)=0, "", COUNTIF(tblSeverityAnalysis[[#This Row],[CCCM]:[WASH]], 1))</f>
        <v>1</v>
      </c>
      <c r="X15" s="331">
        <f>IF(COUNTIF(tblSeverityAnalysis[[#This Row],[CCCM]:[WASH]], 2)=0, "", COUNTIF(tblSeverityAnalysis[[#This Row],[CCCM]:[WASH]], 2))</f>
        <v>1</v>
      </c>
      <c r="Y15" s="331">
        <f>IF(COUNTIF(tblSeverityAnalysis[[#This Row],[CCCM]:[WASH]], 3)=0, "", COUNTIF(tblSeverityAnalysis[[#This Row],[CCCM]:[WASH]], 3))</f>
        <v>2</v>
      </c>
      <c r="Z15" s="331">
        <f>IF(COUNTIF(tblSeverityAnalysis[[#This Row],[CCCM]:[WASH]], 4)=0, "", COUNTIF(tblSeverityAnalysis[[#This Row],[CCCM]:[WASH]], 4))</f>
        <v>4</v>
      </c>
      <c r="AA15" s="332" t="str">
        <f>IF(COUNTIF(tblSeverityAnalysis[[#This Row],[CCCM]:[WASH]], 5)=0, "", COUNTIF(tblSeverityAnalysis[[#This Row],[CCCM]:[WASH]], 5))</f>
        <v/>
      </c>
      <c r="AB15" s="59" cm="1">
        <f t="array" ref="AB1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1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 s="41">
        <f>IFERROR(IF(INDEX(tblSeverityReference[Malnutrition Severity],MATCH(tblSeverityAnalysis[[#This Row],[ID]], tblSeverityReference[ID], 0))= "", "",INDEX(tblSeverityReference[Malnutrition Severity],MATCH(tblSeverityAnalysis[[#This Row],[ID]], tblSeverityReference[ID], 0)) ), "")</f>
        <v>2</v>
      </c>
      <c r="AE15" s="303">
        <f>IFERROR(IF(INDEX(tblSeverityReference[Epidemic Severity],MATCH(tblSeverityAnalysis[[#This Row],[ID]], tblSeverityReference[ID], 0))= "", "",INDEX(tblSeverityReference[Epidemic Severity],MATCH(tblSeverityAnalysis[[#This Row],[ID]], tblSeverityReference[ID], 0)) ), "")</f>
        <v>2.2352941176470589</v>
      </c>
      <c r="AF15" s="303">
        <f>IFERROR(IF(INDEX(tblSeverityReference[Coping Strategy Severity],MATCH(tblSeverityAnalysis[[#This Row],[ID]], tblSeverityReference[ID], 0))= "", "",INDEX(tblSeverityReference[Coping Strategy Severity],MATCH(tblSeverityAnalysis[[#This Row],[ID]], tblSeverityReference[ID], 0)) ), "")</f>
        <v>3</v>
      </c>
      <c r="AG15" s="108" t="str">
        <f>IFERROR(IF(INDEX(tblSeverityReference[HR/IHL Violation],MATCH(tblSeverityAnalysis[[#This Row],[ID]], tblSeverityReference[ID], 0))= "", "",INDEX(tblSeverityReference[HR/IHL Violation],MATCH(tblSeverityAnalysis[[#This Row],[ID]], tblSeverityReference[ID], 0)) ), "")</f>
        <v/>
      </c>
      <c r="AH15" s="81">
        <f>IFERROR(AVERAGE(tblSeverityAnalysis[[#This Row],[CCCM]:[WASH]]), "")</f>
        <v>3.125</v>
      </c>
      <c r="AI15" s="27">
        <f>IF(SUM(tblSeverityAnalysis[[#This Row],[CCCM]:[WASH]])=0, "", MAX(tblSeverityAnalysis[[#This Row],[CCCM]:[WASH]]))</f>
        <v>4</v>
      </c>
      <c r="AJ15" s="333" t="str" cm="1">
        <f t="array" ref="AJ15">IFERROR(IF(tblSeverityAnalysis[[#This Row],[Highest Severity]]="", "", _xlfn.TEXTJOIN(CHAR(10), TRUE, IF(tblSeverityAnalysis[[#This Row],[CCCM]:[WASH]]=tblSeverityAnalysis[[#This Row],[Highest Severity]], tblSeverityAnalysis[[#Headers],[CCCM]:[WASH]], ""), "")), "")</f>
        <v>Education
Overarching Protection
Shelter
WASH</v>
      </c>
      <c r="AK15" s="27" cm="1">
        <f t="array" ref="AK15">IFERROR(MAX(_xlfn._xlws.FILTER(tblSeverityAnalysis[[#This Row],[CCCM]:[WASH]], tblSeverityAnalysis[[#This Row],[CCCM]:[WASH]]&lt;tblSeverityAnalysis[[#This Row],[Highest Severity]])), "")</f>
        <v>3</v>
      </c>
      <c r="AL15" s="313" t="str" cm="1">
        <f t="array" ref="AL15">IFERROR(IF(tblSeverityAnalysis[[#This Row],[2nd Highest Severity]]="", "", _xlfn.TEXTJOIN(CHAR(10), TRUE, IF(tblSeverityAnalysis[[#This Row],[CCCM]:[WASH]]=tblSeverityAnalysis[[#This Row],[2nd Highest Severity]], tblSeverityAnalysis[[#Headers],[CCCM]:[WASH]], ""), "")), "")</f>
        <v>CCCM
Food Security</v>
      </c>
      <c r="AM15" s="132" t="str">
        <f>IFERROR(IF(AND(tblSeverityAnalysis[[#This Row],[5]] &lt;&gt; "", tblSeverityAnalysis[[#This Row],[5]]&gt;=sectors_sev_5), "Flagged", ""), "")</f>
        <v/>
      </c>
      <c r="AN15" s="133" t="str">
        <f>IFERROR(IF(AND(tblSeverityAnalysis[[#This Row],[Preliminary Intersectoral Severity based on overlap of sectoral deprivations]]=4, SUM(tblSeverityAnalysis[[#This Row],[ 4 ]:[5]])&gt;=sectors_sev_4), "Flagged", ""), "")</f>
        <v/>
      </c>
      <c r="AO15" s="133" t="str" cm="1">
        <f t="array" ref="AO1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5" s="335"/>
      <c r="AR15" s="336"/>
      <c r="AS15" s="335"/>
      <c r="AT15" s="337">
        <f>COUNTIF(tblSeverityAnalysis[[#This Row],[1 sector in severity phase 5 '[modify the threshold']]:[Manual Flag]], "Flagged")</f>
        <v>2</v>
      </c>
      <c r="AU15" s="338">
        <f>tblSeverityAnalysis[[#This Row],[Preliminary Intersectoral Severity based on overlap of sectoral deprivations]]</f>
        <v>4</v>
      </c>
      <c r="AV15" s="339"/>
      <c r="AW15" s="21"/>
    </row>
    <row r="16" spans="1:57" ht="15" customHeight="1">
      <c r="A1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MZ0113</v>
      </c>
      <c r="B16" s="39" t="s">
        <v>146</v>
      </c>
      <c r="C16" s="340" t="s">
        <v>147</v>
      </c>
      <c r="D16" s="340" t="s">
        <v>173</v>
      </c>
      <c r="E16" s="33" t="s">
        <v>172</v>
      </c>
      <c r="F16" s="33"/>
      <c r="G16" s="33"/>
      <c r="H16" s="20"/>
      <c r="I16" s="95">
        <v>84885</v>
      </c>
      <c r="J16" s="95"/>
      <c r="K16" s="321">
        <v>4</v>
      </c>
      <c r="L16" s="303">
        <v>4</v>
      </c>
      <c r="M16" s="303">
        <v>2</v>
      </c>
      <c r="N16" s="303">
        <v>3</v>
      </c>
      <c r="O16" s="372">
        <v>1</v>
      </c>
      <c r="P16" s="303">
        <v>4</v>
      </c>
      <c r="Q16" s="304">
        <v>4</v>
      </c>
      <c r="R16" s="303">
        <v>4</v>
      </c>
      <c r="S16" s="303">
        <v>4</v>
      </c>
      <c r="T16" s="303">
        <v>4</v>
      </c>
      <c r="U16" s="303">
        <v>4</v>
      </c>
      <c r="V16" s="303">
        <v>2</v>
      </c>
      <c r="W16" s="330">
        <f>IF(COUNTIF(tblSeverityAnalysis[[#This Row],[CCCM]:[WASH]], 1)=0, "", COUNTIF(tblSeverityAnalysis[[#This Row],[CCCM]:[WASH]], 1))</f>
        <v>1</v>
      </c>
      <c r="X16" s="331">
        <f>IF(COUNTIF(tblSeverityAnalysis[[#This Row],[CCCM]:[WASH]], 2)=0, "", COUNTIF(tblSeverityAnalysis[[#This Row],[CCCM]:[WASH]], 2))</f>
        <v>1</v>
      </c>
      <c r="Y16" s="331">
        <f>IF(COUNTIF(tblSeverityAnalysis[[#This Row],[CCCM]:[WASH]], 3)=0, "", COUNTIF(tblSeverityAnalysis[[#This Row],[CCCM]:[WASH]], 3))</f>
        <v>1</v>
      </c>
      <c r="Z16" s="331">
        <f>IF(COUNTIF(tblSeverityAnalysis[[#This Row],[CCCM]:[WASH]], 4)=0, "", COUNTIF(tblSeverityAnalysis[[#This Row],[CCCM]:[WASH]], 4))</f>
        <v>5</v>
      </c>
      <c r="AA16" s="332" t="str">
        <f>IF(COUNTIF(tblSeverityAnalysis[[#This Row],[CCCM]:[WASH]], 5)=0, "", COUNTIF(tblSeverityAnalysis[[#This Row],[CCCM]:[WASH]], 5))</f>
        <v/>
      </c>
      <c r="AB16" s="59" cm="1">
        <f t="array" ref="AB1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1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6" s="41">
        <f>IFERROR(IF(INDEX(tblSeverityReference[Malnutrition Severity],MATCH(tblSeverityAnalysis[[#This Row],[ID]], tblSeverityReference[ID], 0))= "", "",INDEX(tblSeverityReference[Malnutrition Severity],MATCH(tblSeverityAnalysis[[#This Row],[ID]], tblSeverityReference[ID], 0)) ), "")</f>
        <v>2</v>
      </c>
      <c r="AE16" s="303">
        <f>IFERROR(IF(INDEX(tblSeverityReference[Epidemic Severity],MATCH(tblSeverityAnalysis[[#This Row],[ID]], tblSeverityReference[ID], 0))= "", "",INDEX(tblSeverityReference[Epidemic Severity],MATCH(tblSeverityAnalysis[[#This Row],[ID]], tblSeverityReference[ID], 0)) ), "")</f>
        <v>2.4117647058823528</v>
      </c>
      <c r="AF16" s="303">
        <f>IFERROR(IF(INDEX(tblSeverityReference[Coping Strategy Severity],MATCH(tblSeverityAnalysis[[#This Row],[ID]], tblSeverityReference[ID], 0))= "", "",INDEX(tblSeverityReference[Coping Strategy Severity],MATCH(tblSeverityAnalysis[[#This Row],[ID]], tblSeverityReference[ID], 0)) ), "")</f>
        <v>3</v>
      </c>
      <c r="AG16" s="108">
        <f>IFERROR(IF(INDEX(tblSeverityReference[HR/IHL Violation],MATCH(tblSeverityAnalysis[[#This Row],[ID]], tblSeverityReference[ID], 0))= "", "",INDEX(tblSeverityReference[HR/IHL Violation],MATCH(tblSeverityAnalysis[[#This Row],[ID]], tblSeverityReference[ID], 0)) ), "")</f>
        <v>3</v>
      </c>
      <c r="AH16" s="81">
        <f>IFERROR(AVERAGE(tblSeverityAnalysis[[#This Row],[CCCM]:[WASH]]), "")</f>
        <v>3.25</v>
      </c>
      <c r="AI16" s="27">
        <f>IF(SUM(tblSeverityAnalysis[[#This Row],[CCCM]:[WASH]])=0, "", MAX(tblSeverityAnalysis[[#This Row],[CCCM]:[WASH]]))</f>
        <v>4</v>
      </c>
      <c r="AJ16" s="333" t="str" cm="1">
        <f t="array" ref="AJ16">IFERROR(IF(tblSeverityAnalysis[[#This Row],[Highest Severity]]="", "", _xlfn.TEXTJOIN(CHAR(10), TRUE, IF(tblSeverityAnalysis[[#This Row],[CCCM]:[WASH]]=tblSeverityAnalysis[[#This Row],[Highest Severity]], tblSeverityAnalysis[[#Headers],[CCCM]:[WASH]], ""), "")), "")</f>
        <v>CCCM
Education
Overarching Protection
Shelter
WASH</v>
      </c>
      <c r="AK16" s="27" cm="1">
        <f t="array" ref="AK16">IFERROR(MAX(_xlfn._xlws.FILTER(tblSeverityAnalysis[[#This Row],[CCCM]:[WASH]], tblSeverityAnalysis[[#This Row],[CCCM]:[WASH]]&lt;tblSeverityAnalysis[[#This Row],[Highest Severity]])), "")</f>
        <v>3</v>
      </c>
      <c r="AL16" s="313" t="str" cm="1">
        <f t="array" ref="AL16">IFERROR(IF(tblSeverityAnalysis[[#This Row],[2nd Highest Severity]]="", "", _xlfn.TEXTJOIN(CHAR(10), TRUE, IF(tblSeverityAnalysis[[#This Row],[CCCM]:[WASH]]=tblSeverityAnalysis[[#This Row],[2nd Highest Severity]], tblSeverityAnalysis[[#Headers],[CCCM]:[WASH]], ""), "")), "")</f>
        <v>Food Security</v>
      </c>
      <c r="AM16" s="132" t="str">
        <f>IFERROR(IF(AND(tblSeverityAnalysis[[#This Row],[5]] &lt;&gt; "", tblSeverityAnalysis[[#This Row],[5]]&gt;=sectors_sev_5), "Flagged", ""), "")</f>
        <v/>
      </c>
      <c r="AN16" s="133" t="str">
        <f>IFERROR(IF(AND(tblSeverityAnalysis[[#This Row],[Preliminary Intersectoral Severity based on overlap of sectoral deprivations]]=4, SUM(tblSeverityAnalysis[[#This Row],[ 4 ]:[5]])&gt;=sectors_sev_4), "Flagged", ""), "")</f>
        <v>Flagged</v>
      </c>
      <c r="AO16" s="133" t="str" cm="1">
        <f t="array" ref="AO1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6" s="335"/>
      <c r="AR16" s="336"/>
      <c r="AS16" s="335"/>
      <c r="AT16" s="337">
        <f>COUNTIF(tblSeverityAnalysis[[#This Row],[1 sector in severity phase 5 '[modify the threshold']]:[Manual Flag]], "Flagged")</f>
        <v>3</v>
      </c>
      <c r="AU16" s="338">
        <f>tblSeverityAnalysis[[#This Row],[Preliminary Intersectoral Severity based on overlap of sectoral deprivations]]</f>
        <v>4</v>
      </c>
      <c r="AV16" s="339"/>
      <c r="AW16" s="21"/>
    </row>
    <row r="17" spans="1:48" ht="15" customHeight="1">
      <c r="A1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MZ0114</v>
      </c>
      <c r="B17" s="39" t="s">
        <v>146</v>
      </c>
      <c r="C17" s="340" t="s">
        <v>147</v>
      </c>
      <c r="D17" s="340" t="s">
        <v>175</v>
      </c>
      <c r="E17" s="33" t="s">
        <v>174</v>
      </c>
      <c r="F17" s="33"/>
      <c r="G17" s="33"/>
      <c r="H17" s="20"/>
      <c r="I17" s="95">
        <v>244898</v>
      </c>
      <c r="J17" s="95"/>
      <c r="K17" s="321">
        <v>3</v>
      </c>
      <c r="L17" s="303">
        <v>2</v>
      </c>
      <c r="M17" s="303">
        <v>2</v>
      </c>
      <c r="N17" s="303">
        <v>3</v>
      </c>
      <c r="O17" s="372">
        <v>1</v>
      </c>
      <c r="P17" s="303">
        <v>3</v>
      </c>
      <c r="Q17" s="304">
        <v>3</v>
      </c>
      <c r="R17" s="303">
        <v>3</v>
      </c>
      <c r="S17" s="303">
        <v>1</v>
      </c>
      <c r="T17" s="303">
        <v>2</v>
      </c>
      <c r="U17" s="303">
        <v>3</v>
      </c>
      <c r="V17" s="303">
        <v>2</v>
      </c>
      <c r="W17" s="330">
        <f>IF(COUNTIF(tblSeverityAnalysis[[#This Row],[CCCM]:[WASH]], 1)=0, "", COUNTIF(tblSeverityAnalysis[[#This Row],[CCCM]:[WASH]], 1))</f>
        <v>1</v>
      </c>
      <c r="X17" s="331">
        <f>IF(COUNTIF(tblSeverityAnalysis[[#This Row],[CCCM]:[WASH]], 2)=0, "", COUNTIF(tblSeverityAnalysis[[#This Row],[CCCM]:[WASH]], 2))</f>
        <v>2</v>
      </c>
      <c r="Y17" s="331">
        <f>IF(COUNTIF(tblSeverityAnalysis[[#This Row],[CCCM]:[WASH]], 3)=0, "", COUNTIF(tblSeverityAnalysis[[#This Row],[CCCM]:[WASH]], 3))</f>
        <v>5</v>
      </c>
      <c r="Z17" s="331" t="str">
        <f>IF(COUNTIF(tblSeverityAnalysis[[#This Row],[CCCM]:[WASH]], 4)=0, "", COUNTIF(tblSeverityAnalysis[[#This Row],[CCCM]:[WASH]], 4))</f>
        <v/>
      </c>
      <c r="AA17" s="332" t="str">
        <f>IF(COUNTIF(tblSeverityAnalysis[[#This Row],[CCCM]:[WASH]], 5)=0, "", COUNTIF(tblSeverityAnalysis[[#This Row],[CCCM]:[WASH]], 5))</f>
        <v/>
      </c>
      <c r="AB17" s="59" cm="1">
        <f t="array" ref="AB1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7" s="41">
        <f>IFERROR(IF(INDEX(tblSeverityReference[Malnutrition Severity],MATCH(tblSeverityAnalysis[[#This Row],[ID]], tblSeverityReference[ID], 0))= "", "",INDEX(tblSeverityReference[Malnutrition Severity],MATCH(tblSeverityAnalysis[[#This Row],[ID]], tblSeverityReference[ID], 0)) ), "")</f>
        <v>2</v>
      </c>
      <c r="AE17" s="303">
        <f>IFERROR(IF(INDEX(tblSeverityReference[Epidemic Severity],MATCH(tblSeverityAnalysis[[#This Row],[ID]], tblSeverityReference[ID], 0))= "", "",INDEX(tblSeverityReference[Epidemic Severity],MATCH(tblSeverityAnalysis[[#This Row],[ID]], tblSeverityReference[ID], 0)) ), "")</f>
        <v>1</v>
      </c>
      <c r="AF17" s="303">
        <f>IFERROR(IF(INDEX(tblSeverityReference[Coping Strategy Severity],MATCH(tblSeverityAnalysis[[#This Row],[ID]], tblSeverityReference[ID], 0))= "", "",INDEX(tblSeverityReference[Coping Strategy Severity],MATCH(tblSeverityAnalysis[[#This Row],[ID]], tblSeverityReference[ID], 0)) ), "")</f>
        <v>3</v>
      </c>
      <c r="AG17" s="108" t="str">
        <f>IFERROR(IF(INDEX(tblSeverityReference[HR/IHL Violation],MATCH(tblSeverityAnalysis[[#This Row],[ID]], tblSeverityReference[ID], 0))= "", "",INDEX(tblSeverityReference[HR/IHL Violation],MATCH(tblSeverityAnalysis[[#This Row],[ID]], tblSeverityReference[ID], 0)) ), "")</f>
        <v/>
      </c>
      <c r="AH17" s="81">
        <f>IFERROR(AVERAGE(tblSeverityAnalysis[[#This Row],[CCCM]:[WASH]]), "")</f>
        <v>2.5</v>
      </c>
      <c r="AI17" s="27">
        <f>IF(SUM(tblSeverityAnalysis[[#This Row],[CCCM]:[WASH]])=0, "", MAX(tblSeverityAnalysis[[#This Row],[CCCM]:[WASH]]))</f>
        <v>3</v>
      </c>
      <c r="AJ17" s="333" t="str" cm="1">
        <f t="array" ref="AJ17">IFERROR(IF(tblSeverityAnalysis[[#This Row],[Highest Severity]]="", "", _xlfn.TEXTJOIN(CHAR(10), TRUE, IF(tblSeverityAnalysis[[#This Row],[CCCM]:[WASH]]=tblSeverityAnalysis[[#This Row],[Highest Severity]], tblSeverityAnalysis[[#Headers],[CCCM]:[WASH]], ""), "")), "")</f>
        <v>CCCM
Food Security
Overarching Protection
Shelter
WASH</v>
      </c>
      <c r="AK17" s="27" cm="1">
        <f t="array" ref="AK17">IFERROR(MAX(_xlfn._xlws.FILTER(tblSeverityAnalysis[[#This Row],[CCCM]:[WASH]], tblSeverityAnalysis[[#This Row],[CCCM]:[WASH]]&lt;tblSeverityAnalysis[[#This Row],[Highest Severity]])), "")</f>
        <v>2</v>
      </c>
      <c r="AL17" s="313" t="str" cm="1">
        <f t="array" ref="AL17">IFERROR(IF(tblSeverityAnalysis[[#This Row],[2nd Highest Severity]]="", "", _xlfn.TEXTJOIN(CHAR(10), TRUE, IF(tblSeverityAnalysis[[#This Row],[CCCM]:[WASH]]=tblSeverityAnalysis[[#This Row],[2nd Highest Severity]], tblSeverityAnalysis[[#Headers],[CCCM]:[WASH]], ""), "")), "")</f>
        <v>Education
Nutrition</v>
      </c>
      <c r="AM17" s="132" t="str">
        <f>IFERROR(IF(AND(tblSeverityAnalysis[[#This Row],[5]] &lt;&gt; "", tblSeverityAnalysis[[#This Row],[5]]&gt;=sectors_sev_5), "Flagged", ""), "")</f>
        <v/>
      </c>
      <c r="AN17" s="133" t="str">
        <f>IFERROR(IF(AND(tblSeverityAnalysis[[#This Row],[Preliminary Intersectoral Severity based on overlap of sectoral deprivations]]=4, SUM(tblSeverityAnalysis[[#This Row],[ 4 ]:[5]])&gt;=sectors_sev_4), "Flagged", ""), "")</f>
        <v/>
      </c>
      <c r="AO17" s="133" t="str" cm="1">
        <f t="array" ref="AO1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7" s="335"/>
      <c r="AR17" s="336"/>
      <c r="AS17" s="335"/>
      <c r="AT17" s="337">
        <f>COUNTIF(tblSeverityAnalysis[[#This Row],[1 sector in severity phase 5 '[modify the threshold']]:[Manual Flag]], "Flagged")</f>
        <v>2</v>
      </c>
      <c r="AU17" s="338">
        <f>tblSeverityAnalysis[[#This Row],[Preliminary Intersectoral Severity based on overlap of sectoral deprivations]]</f>
        <v>3</v>
      </c>
      <c r="AV17" s="339"/>
    </row>
    <row r="18" spans="1:48" ht="15" customHeight="1">
      <c r="A1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MZ0115</v>
      </c>
      <c r="B18" s="39" t="s">
        <v>146</v>
      </c>
      <c r="C18" s="340" t="s">
        <v>147</v>
      </c>
      <c r="D18" s="340" t="s">
        <v>177</v>
      </c>
      <c r="E18" s="33" t="s">
        <v>176</v>
      </c>
      <c r="F18" s="33"/>
      <c r="G18" s="33"/>
      <c r="H18" s="20"/>
      <c r="I18" s="95">
        <v>95974</v>
      </c>
      <c r="J18" s="95"/>
      <c r="K18" s="321">
        <v>3</v>
      </c>
      <c r="L18" s="303">
        <v>4</v>
      </c>
      <c r="M18" s="303">
        <v>2</v>
      </c>
      <c r="N18" s="303">
        <v>3</v>
      </c>
      <c r="O18" s="372">
        <v>2</v>
      </c>
      <c r="P18" s="303">
        <v>4</v>
      </c>
      <c r="Q18" s="304">
        <v>4</v>
      </c>
      <c r="R18" s="303">
        <v>4</v>
      </c>
      <c r="S18" s="303">
        <v>4</v>
      </c>
      <c r="T18" s="303">
        <v>3</v>
      </c>
      <c r="U18" s="303">
        <v>4</v>
      </c>
      <c r="V18" s="303">
        <v>3</v>
      </c>
      <c r="W18" s="330" t="str">
        <f>IF(COUNTIF(tblSeverityAnalysis[[#This Row],[CCCM]:[WASH]], 1)=0, "", COUNTIF(tblSeverityAnalysis[[#This Row],[CCCM]:[WASH]], 1))</f>
        <v/>
      </c>
      <c r="X18" s="331">
        <f>IF(COUNTIF(tblSeverityAnalysis[[#This Row],[CCCM]:[WASH]], 2)=0, "", COUNTIF(tblSeverityAnalysis[[#This Row],[CCCM]:[WASH]], 2))</f>
        <v>2</v>
      </c>
      <c r="Y18" s="331">
        <f>IF(COUNTIF(tblSeverityAnalysis[[#This Row],[CCCM]:[WASH]], 3)=0, "", COUNTIF(tblSeverityAnalysis[[#This Row],[CCCM]:[WASH]], 3))</f>
        <v>2</v>
      </c>
      <c r="Z18" s="331">
        <f>IF(COUNTIF(tblSeverityAnalysis[[#This Row],[CCCM]:[WASH]], 4)=0, "", COUNTIF(tblSeverityAnalysis[[#This Row],[CCCM]:[WASH]], 4))</f>
        <v>4</v>
      </c>
      <c r="AA18" s="332" t="str">
        <f>IF(COUNTIF(tblSeverityAnalysis[[#This Row],[CCCM]:[WASH]], 5)=0, "", COUNTIF(tblSeverityAnalysis[[#This Row],[CCCM]:[WASH]], 5))</f>
        <v/>
      </c>
      <c r="AB18" s="59" cm="1">
        <f t="array" ref="AB1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1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8" s="41">
        <f>IFERROR(IF(INDEX(tblSeverityReference[Malnutrition Severity],MATCH(tblSeverityAnalysis[[#This Row],[ID]], tblSeverityReference[ID], 0))= "", "",INDEX(tblSeverityReference[Malnutrition Severity],MATCH(tblSeverityAnalysis[[#This Row],[ID]], tblSeverityReference[ID], 0)) ), "")</f>
        <v>2</v>
      </c>
      <c r="AE18" s="303">
        <f>IFERROR(IF(INDEX(tblSeverityReference[Epidemic Severity],MATCH(tblSeverityAnalysis[[#This Row],[ID]], tblSeverityReference[ID], 0))= "", "",INDEX(tblSeverityReference[Epidemic Severity],MATCH(tblSeverityAnalysis[[#This Row],[ID]], tblSeverityReference[ID], 0)) ), "")</f>
        <v>1.8235294117647056</v>
      </c>
      <c r="AF18" s="303">
        <f>IFERROR(IF(INDEX(tblSeverityReference[Coping Strategy Severity],MATCH(tblSeverityAnalysis[[#This Row],[ID]], tblSeverityReference[ID], 0))= "", "",INDEX(tblSeverityReference[Coping Strategy Severity],MATCH(tblSeverityAnalysis[[#This Row],[ID]], tblSeverityReference[ID], 0)) ), "")</f>
        <v>4</v>
      </c>
      <c r="AG18" s="108">
        <f>IFERROR(IF(INDEX(tblSeverityReference[HR/IHL Violation],MATCH(tblSeverityAnalysis[[#This Row],[ID]], tblSeverityReference[ID], 0))= "", "",INDEX(tblSeverityReference[HR/IHL Violation],MATCH(tblSeverityAnalysis[[#This Row],[ID]], tblSeverityReference[ID], 0)) ), "")</f>
        <v>1</v>
      </c>
      <c r="AH18" s="81">
        <f>IFERROR(AVERAGE(tblSeverityAnalysis[[#This Row],[CCCM]:[WASH]]), "")</f>
        <v>3.25</v>
      </c>
      <c r="AI18" s="27">
        <f>IF(SUM(tblSeverityAnalysis[[#This Row],[CCCM]:[WASH]])=0, "", MAX(tblSeverityAnalysis[[#This Row],[CCCM]:[WASH]]))</f>
        <v>4</v>
      </c>
      <c r="AJ18" s="333" t="str" cm="1">
        <f t="array" ref="AJ18">IFERROR(IF(tblSeverityAnalysis[[#This Row],[Highest Severity]]="", "", _xlfn.TEXTJOIN(CHAR(10), TRUE, IF(tblSeverityAnalysis[[#This Row],[CCCM]:[WASH]]=tblSeverityAnalysis[[#This Row],[Highest Severity]], tblSeverityAnalysis[[#Headers],[CCCM]:[WASH]], ""), "")), "")</f>
        <v>Education
Overarching Protection
Shelter
WASH</v>
      </c>
      <c r="AK18" s="27" cm="1">
        <f t="array" ref="AK18">IFERROR(MAX(_xlfn._xlws.FILTER(tblSeverityAnalysis[[#This Row],[CCCM]:[WASH]], tblSeverityAnalysis[[#This Row],[CCCM]:[WASH]]&lt;tblSeverityAnalysis[[#This Row],[Highest Severity]])), "")</f>
        <v>3</v>
      </c>
      <c r="AL18" s="313" t="str" cm="1">
        <f t="array" ref="AL18">IFERROR(IF(tblSeverityAnalysis[[#This Row],[2nd Highest Severity]]="", "", _xlfn.TEXTJOIN(CHAR(10), TRUE, IF(tblSeverityAnalysis[[#This Row],[CCCM]:[WASH]]=tblSeverityAnalysis[[#This Row],[2nd Highest Severity]], tblSeverityAnalysis[[#Headers],[CCCM]:[WASH]], ""), "")), "")</f>
        <v>CCCM
Food Security</v>
      </c>
      <c r="AM18" s="132" t="str">
        <f>IFERROR(IF(AND(tblSeverityAnalysis[[#This Row],[5]] &lt;&gt; "", tblSeverityAnalysis[[#This Row],[5]]&gt;=sectors_sev_5), "Flagged", ""), "")</f>
        <v/>
      </c>
      <c r="AN18" s="133" t="str">
        <f>IFERROR(IF(AND(tblSeverityAnalysis[[#This Row],[Preliminary Intersectoral Severity based on overlap of sectoral deprivations]]=4, SUM(tblSeverityAnalysis[[#This Row],[ 4 ]:[5]])&gt;=sectors_sev_4), "Flagged", ""), "")</f>
        <v/>
      </c>
      <c r="AO18" s="133" t="str" cm="1">
        <f t="array" ref="AO1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8" s="335"/>
      <c r="AR18" s="336"/>
      <c r="AS18" s="335"/>
      <c r="AT18" s="337">
        <f>COUNTIF(tblSeverityAnalysis[[#This Row],[1 sector in severity phase 5 '[modify the threshold']]:[Manual Flag]], "Flagged")</f>
        <v>2</v>
      </c>
      <c r="AU18" s="338">
        <f>tblSeverityAnalysis[[#This Row],[Preliminary Intersectoral Severity based on overlap of sectoral deprivations]]</f>
        <v>4</v>
      </c>
      <c r="AV18" s="339"/>
    </row>
    <row r="19" spans="1:48" ht="15" customHeight="1">
      <c r="A1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MZ0116</v>
      </c>
      <c r="B19" s="39" t="s">
        <v>146</v>
      </c>
      <c r="C19" s="340" t="s">
        <v>147</v>
      </c>
      <c r="D19" s="340" t="s">
        <v>179</v>
      </c>
      <c r="E19" s="33" t="s">
        <v>178</v>
      </c>
      <c r="F19" s="33"/>
      <c r="G19" s="33"/>
      <c r="H19" s="20"/>
      <c r="I19" s="95">
        <v>191317</v>
      </c>
      <c r="J19" s="95"/>
      <c r="K19" s="321">
        <v>2</v>
      </c>
      <c r="L19" s="303">
        <v>3</v>
      </c>
      <c r="M19" s="303">
        <v>4</v>
      </c>
      <c r="N19" s="303">
        <v>3</v>
      </c>
      <c r="O19" s="372">
        <v>1</v>
      </c>
      <c r="P19" s="303">
        <v>4</v>
      </c>
      <c r="Q19" s="304">
        <v>3</v>
      </c>
      <c r="R19" s="303">
        <v>3</v>
      </c>
      <c r="S19" s="303">
        <v>4</v>
      </c>
      <c r="T19" s="303">
        <v>3</v>
      </c>
      <c r="U19" s="303">
        <v>3</v>
      </c>
      <c r="V19" s="303">
        <v>3</v>
      </c>
      <c r="W19" s="330">
        <f>IF(COUNTIF(tblSeverityAnalysis[[#This Row],[CCCM]:[WASH]], 1)=0, "", COUNTIF(tblSeverityAnalysis[[#This Row],[CCCM]:[WASH]], 1))</f>
        <v>1</v>
      </c>
      <c r="X19" s="331">
        <f>IF(COUNTIF(tblSeverityAnalysis[[#This Row],[CCCM]:[WASH]], 2)=0, "", COUNTIF(tblSeverityAnalysis[[#This Row],[CCCM]:[WASH]], 2))</f>
        <v>1</v>
      </c>
      <c r="Y19" s="331">
        <f>IF(COUNTIF(tblSeverityAnalysis[[#This Row],[CCCM]:[WASH]], 3)=0, "", COUNTIF(tblSeverityAnalysis[[#This Row],[CCCM]:[WASH]], 3))</f>
        <v>4</v>
      </c>
      <c r="Z19" s="331">
        <f>IF(COUNTIF(tblSeverityAnalysis[[#This Row],[CCCM]:[WASH]], 4)=0, "", COUNTIF(tblSeverityAnalysis[[#This Row],[CCCM]:[WASH]], 4))</f>
        <v>2</v>
      </c>
      <c r="AA19" s="332" t="str">
        <f>IF(COUNTIF(tblSeverityAnalysis[[#This Row],[CCCM]:[WASH]], 5)=0, "", COUNTIF(tblSeverityAnalysis[[#This Row],[CCCM]:[WASH]], 5))</f>
        <v/>
      </c>
      <c r="AB19" s="59" cm="1">
        <f t="array" ref="AB1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9" s="41">
        <f>IFERROR(IF(INDEX(tblSeverityReference[Malnutrition Severity],MATCH(tblSeverityAnalysis[[#This Row],[ID]], tblSeverityReference[ID], 0))= "", "",INDEX(tblSeverityReference[Malnutrition Severity],MATCH(tblSeverityAnalysis[[#This Row],[ID]], tblSeverityReference[ID], 0)) ), "")</f>
        <v>4</v>
      </c>
      <c r="AE19" s="303">
        <f>IFERROR(IF(INDEX(tblSeverityReference[Epidemic Severity],MATCH(tblSeverityAnalysis[[#This Row],[ID]], tblSeverityReference[ID], 0))= "", "",INDEX(tblSeverityReference[Epidemic Severity],MATCH(tblSeverityAnalysis[[#This Row],[ID]], tblSeverityReference[ID], 0)) ), "")</f>
        <v>2.6470588235294117</v>
      </c>
      <c r="AF19" s="303">
        <f>IFERROR(IF(INDEX(tblSeverityReference[Coping Strategy Severity],MATCH(tblSeverityAnalysis[[#This Row],[ID]], tblSeverityReference[ID], 0))= "", "",INDEX(tblSeverityReference[Coping Strategy Severity],MATCH(tblSeverityAnalysis[[#This Row],[ID]], tblSeverityReference[ID], 0)) ), "")</f>
        <v>3</v>
      </c>
      <c r="AG19" s="108">
        <f>IFERROR(IF(INDEX(tblSeverityReference[HR/IHL Violation],MATCH(tblSeverityAnalysis[[#This Row],[ID]], tblSeverityReference[ID], 0))= "", "",INDEX(tblSeverityReference[HR/IHL Violation],MATCH(tblSeverityAnalysis[[#This Row],[ID]], tblSeverityReference[ID], 0)) ), "")</f>
        <v>1</v>
      </c>
      <c r="AH19" s="81">
        <f>IFERROR(AVERAGE(tblSeverityAnalysis[[#This Row],[CCCM]:[WASH]]), "")</f>
        <v>2.875</v>
      </c>
      <c r="AI19" s="27">
        <f>IF(SUM(tblSeverityAnalysis[[#This Row],[CCCM]:[WASH]])=0, "", MAX(tblSeverityAnalysis[[#This Row],[CCCM]:[WASH]]))</f>
        <v>4</v>
      </c>
      <c r="AJ19" s="333" t="str" cm="1">
        <f t="array" ref="AJ19">IFERROR(IF(tblSeverityAnalysis[[#This Row],[Highest Severity]]="", "", _xlfn.TEXTJOIN(CHAR(10), TRUE, IF(tblSeverityAnalysis[[#This Row],[CCCM]:[WASH]]=tblSeverityAnalysis[[#This Row],[Highest Severity]], tblSeverityAnalysis[[#Headers],[CCCM]:[WASH]], ""), "")), "")</f>
        <v>Nutrition
Overarching Protection</v>
      </c>
      <c r="AK19" s="27" cm="1">
        <f t="array" ref="AK19">IFERROR(MAX(_xlfn._xlws.FILTER(tblSeverityAnalysis[[#This Row],[CCCM]:[WASH]], tblSeverityAnalysis[[#This Row],[CCCM]:[WASH]]&lt;tblSeverityAnalysis[[#This Row],[Highest Severity]])), "")</f>
        <v>3</v>
      </c>
      <c r="AL19" s="313" t="str" cm="1">
        <f t="array" ref="AL19">IFERROR(IF(tblSeverityAnalysis[[#This Row],[2nd Highest Severity]]="", "", _xlfn.TEXTJOIN(CHAR(10), TRUE, IF(tblSeverityAnalysis[[#This Row],[CCCM]:[WASH]]=tblSeverityAnalysis[[#This Row],[2nd Highest Severity]], tblSeverityAnalysis[[#Headers],[CCCM]:[WASH]], ""), "")), "")</f>
        <v>Education
Food Security
Shelter
WASH</v>
      </c>
      <c r="AM19" s="132" t="str">
        <f>IFERROR(IF(AND(tblSeverityAnalysis[[#This Row],[5]] &lt;&gt; "", tblSeverityAnalysis[[#This Row],[5]]&gt;=sectors_sev_5), "Flagged", ""), "")</f>
        <v/>
      </c>
      <c r="AN19" s="133" t="str">
        <f>IFERROR(IF(AND(tblSeverityAnalysis[[#This Row],[Preliminary Intersectoral Severity based on overlap of sectoral deprivations]]=4, SUM(tblSeverityAnalysis[[#This Row],[ 4 ]:[5]])&gt;=sectors_sev_4), "Flagged", ""), "")</f>
        <v/>
      </c>
      <c r="AO19" s="133" t="str" cm="1">
        <f t="array" ref="AO1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9" s="335"/>
      <c r="AR19" s="336"/>
      <c r="AS19" s="335"/>
      <c r="AT19" s="337">
        <f>COUNTIF(tblSeverityAnalysis[[#This Row],[1 sector in severity phase 5 '[modify the threshold']]:[Manual Flag]], "Flagged")</f>
        <v>1</v>
      </c>
      <c r="AU19" s="338">
        <f>tblSeverityAnalysis[[#This Row],[Preliminary Intersectoral Severity based on overlap of sectoral deprivations]]</f>
        <v>3</v>
      </c>
      <c r="AV19" s="339"/>
    </row>
    <row r="20" spans="1:48" ht="15" customHeight="1">
      <c r="A2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MZ0118</v>
      </c>
      <c r="B20" s="39" t="s">
        <v>146</v>
      </c>
      <c r="C20" s="340" t="s">
        <v>147</v>
      </c>
      <c r="D20" s="340" t="s">
        <v>181</v>
      </c>
      <c r="E20" s="33" t="s">
        <v>180</v>
      </c>
      <c r="F20" s="33"/>
      <c r="G20" s="33"/>
      <c r="H20" s="20"/>
      <c r="I20" s="95">
        <v>82515</v>
      </c>
      <c r="J20" s="95"/>
      <c r="K20" s="321">
        <v>4</v>
      </c>
      <c r="L20" s="303">
        <v>4</v>
      </c>
      <c r="M20" s="303">
        <v>2</v>
      </c>
      <c r="N20" s="303">
        <v>3</v>
      </c>
      <c r="O20" s="372">
        <v>3</v>
      </c>
      <c r="P20" s="378">
        <v>5</v>
      </c>
      <c r="Q20" s="304">
        <v>3</v>
      </c>
      <c r="R20" s="303">
        <v>4</v>
      </c>
      <c r="S20" s="378">
        <v>5</v>
      </c>
      <c r="T20" s="303">
        <v>4</v>
      </c>
      <c r="U20" s="378">
        <v>5</v>
      </c>
      <c r="V20" s="303">
        <v>2</v>
      </c>
      <c r="W20" s="330" t="str">
        <f>IF(COUNTIF(tblSeverityAnalysis[[#This Row],[CCCM]:[WASH]], 1)=0, "", COUNTIF(tblSeverityAnalysis[[#This Row],[CCCM]:[WASH]], 1))</f>
        <v/>
      </c>
      <c r="X20" s="331">
        <f>IF(COUNTIF(tblSeverityAnalysis[[#This Row],[CCCM]:[WASH]], 2)=0, "", COUNTIF(tblSeverityAnalysis[[#This Row],[CCCM]:[WASH]], 2))</f>
        <v>1</v>
      </c>
      <c r="Y20" s="331">
        <f>IF(COUNTIF(tblSeverityAnalysis[[#This Row],[CCCM]:[WASH]], 3)=0, "", COUNTIF(tblSeverityAnalysis[[#This Row],[CCCM]:[WASH]], 3))</f>
        <v>3</v>
      </c>
      <c r="Z20" s="331">
        <f>IF(COUNTIF(tblSeverityAnalysis[[#This Row],[CCCM]:[WASH]], 4)=0, "", COUNTIF(tblSeverityAnalysis[[#This Row],[CCCM]:[WASH]], 4))</f>
        <v>3</v>
      </c>
      <c r="AA20" s="332">
        <f>IF(COUNTIF(tblSeverityAnalysis[[#This Row],[CCCM]:[WASH]], 5)=0, "", COUNTIF(tblSeverityAnalysis[[#This Row],[CCCM]:[WASH]], 5))</f>
        <v>1</v>
      </c>
      <c r="AB20" s="59" cm="1">
        <f t="array" ref="AB2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0" s="41">
        <f>IFERROR(IF(INDEX(tblSeverityReference[Malnutrition Severity],MATCH(tblSeverityAnalysis[[#This Row],[ID]], tblSeverityReference[ID], 0))= "", "",INDEX(tblSeverityReference[Malnutrition Severity],MATCH(tblSeverityAnalysis[[#This Row],[ID]], tblSeverityReference[ID], 0)) ), "")</f>
        <v>2</v>
      </c>
      <c r="AE20" s="303">
        <f>IFERROR(IF(INDEX(tblSeverityReference[Epidemic Severity],MATCH(tblSeverityAnalysis[[#This Row],[ID]], tblSeverityReference[ID], 0))= "", "",INDEX(tblSeverityReference[Epidemic Severity],MATCH(tblSeverityAnalysis[[#This Row],[ID]], tblSeverityReference[ID], 0)) ), "")</f>
        <v>2.6470588235294117</v>
      </c>
      <c r="AF20" s="303">
        <f>IFERROR(IF(INDEX(tblSeverityReference[Coping Strategy Severity],MATCH(tblSeverityAnalysis[[#This Row],[ID]], tblSeverityReference[ID], 0))= "", "",INDEX(tblSeverityReference[Coping Strategy Severity],MATCH(tblSeverityAnalysis[[#This Row],[ID]], tblSeverityReference[ID], 0)) ), "")</f>
        <v>2</v>
      </c>
      <c r="AG20" s="108" t="str">
        <f>IFERROR(IF(INDEX(tblSeverityReference[HR/IHL Violation],MATCH(tblSeverityAnalysis[[#This Row],[ID]], tblSeverityReference[ID], 0))= "", "",INDEX(tblSeverityReference[HR/IHL Violation],MATCH(tblSeverityAnalysis[[#This Row],[ID]], tblSeverityReference[ID], 0)) ), "")</f>
        <v/>
      </c>
      <c r="AH20" s="81">
        <f>IFERROR(AVERAGE(tblSeverityAnalysis[[#This Row],[CCCM]:[WASH]]), "")</f>
        <v>3.5</v>
      </c>
      <c r="AI20" s="27">
        <f>IF(SUM(tblSeverityAnalysis[[#This Row],[CCCM]:[WASH]])=0, "", MAX(tblSeverityAnalysis[[#This Row],[CCCM]:[WASH]]))</f>
        <v>5</v>
      </c>
      <c r="AJ20" s="333" t="str" cm="1">
        <f t="array" ref="AJ20">IFERROR(IF(tblSeverityAnalysis[[#This Row],[Highest Severity]]="", "", _xlfn.TEXTJOIN(CHAR(10), TRUE, IF(tblSeverityAnalysis[[#This Row],[CCCM]:[WASH]]=tblSeverityAnalysis[[#This Row],[Highest Severity]], tblSeverityAnalysis[[#Headers],[CCCM]:[WASH]], ""), "")), "")</f>
        <v>Overarching Protection</v>
      </c>
      <c r="AK20" s="27" cm="1">
        <f t="array" ref="AK20">IFERROR(MAX(_xlfn._xlws.FILTER(tblSeverityAnalysis[[#This Row],[CCCM]:[WASH]], tblSeverityAnalysis[[#This Row],[CCCM]:[WASH]]&lt;tblSeverityAnalysis[[#This Row],[Highest Severity]])), "")</f>
        <v>4</v>
      </c>
      <c r="AL20" s="313" t="str" cm="1">
        <f t="array" ref="AL20">IFERROR(IF(tblSeverityAnalysis[[#This Row],[2nd Highest Severity]]="", "", _xlfn.TEXTJOIN(CHAR(10), TRUE, IF(tblSeverityAnalysis[[#This Row],[CCCM]:[WASH]]=tblSeverityAnalysis[[#This Row],[2nd Highest Severity]], tblSeverityAnalysis[[#Headers],[CCCM]:[WASH]], ""), "")), "")</f>
        <v>CCCM
Education
WASH</v>
      </c>
      <c r="AM20" s="132" t="str">
        <f>IFERROR(IF(AND(tblSeverityAnalysis[[#This Row],[5]] &lt;&gt; "", tblSeverityAnalysis[[#This Row],[5]]&gt;=sectors_sev_5), "Flagged", ""), "")</f>
        <v>Flagged</v>
      </c>
      <c r="AN20" s="133" t="str">
        <f>IFERROR(IF(AND(tblSeverityAnalysis[[#This Row],[Preliminary Intersectoral Severity based on overlap of sectoral deprivations]]=4, SUM(tblSeverityAnalysis[[#This Row],[ 4 ]:[5]])&gt;=sectors_sev_4), "Flagged", ""), "")</f>
        <v/>
      </c>
      <c r="AO20" s="133" t="str" cm="1">
        <f t="array" ref="AO2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0" s="335"/>
      <c r="AR20" s="336"/>
      <c r="AS20" s="335"/>
      <c r="AT20" s="337">
        <f>COUNTIF(tblSeverityAnalysis[[#This Row],[1 sector in severity phase 5 '[modify the threshold']]:[Manual Flag]], "Flagged")</f>
        <v>3</v>
      </c>
      <c r="AU20" s="338">
        <f>tblSeverityAnalysis[[#This Row],[Preliminary Intersectoral Severity based on overlap of sectoral deprivations]]</f>
        <v>4</v>
      </c>
      <c r="AV20" s="339"/>
    </row>
    <row r="21" spans="1:48" ht="15" hidden="1" customHeight="1" thickTop="1">
      <c r="A2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MZ0201</v>
      </c>
      <c r="B21" s="39" t="s">
        <v>260</v>
      </c>
      <c r="C21" s="340" t="s">
        <v>261</v>
      </c>
      <c r="D21" s="340" t="s">
        <v>262</v>
      </c>
      <c r="E21" s="33" t="s">
        <v>263</v>
      </c>
      <c r="F21" s="33"/>
      <c r="G21" s="33"/>
      <c r="H21" s="20"/>
      <c r="I21" s="95">
        <v>171626</v>
      </c>
      <c r="J21" s="95"/>
      <c r="K21" s="321"/>
      <c r="L21" s="303"/>
      <c r="M21" s="303" t="s">
        <v>264</v>
      </c>
      <c r="N21" s="303"/>
      <c r="O21" s="372">
        <v>1.5</v>
      </c>
      <c r="P21" s="303">
        <v>0</v>
      </c>
      <c r="Q21" s="304"/>
      <c r="R21" s="303">
        <v>2</v>
      </c>
      <c r="S21" s="303"/>
      <c r="T21" s="303"/>
      <c r="U21" s="303"/>
      <c r="V21" s="303"/>
      <c r="W21" s="330" t="str">
        <f>IF(COUNTIF(tblSeverityAnalysis[[#This Row],[CCCM]:[WASH]], 1)=0, "", COUNTIF(tblSeverityAnalysis[[#This Row],[CCCM]:[WASH]], 1))</f>
        <v/>
      </c>
      <c r="X21" s="331">
        <f>IF(COUNTIF(tblSeverityAnalysis[[#This Row],[CCCM]:[WASH]], 2)=0, "", COUNTIF(tblSeverityAnalysis[[#This Row],[CCCM]:[WASH]], 2))</f>
        <v>1</v>
      </c>
      <c r="Y21" s="331" t="str">
        <f>IF(COUNTIF(tblSeverityAnalysis[[#This Row],[CCCM]:[WASH]], 3)=0, "", COUNTIF(tblSeverityAnalysis[[#This Row],[CCCM]:[WASH]], 3))</f>
        <v/>
      </c>
      <c r="Z21" s="331" t="str">
        <f>IF(COUNTIF(tblSeverityAnalysis[[#This Row],[CCCM]:[WASH]], 4)=0, "", COUNTIF(tblSeverityAnalysis[[#This Row],[CCCM]:[WASH]], 4))</f>
        <v/>
      </c>
      <c r="AA21" s="332" t="str">
        <f>IF(COUNTIF(tblSeverityAnalysis[[#This Row],[CCCM]:[WASH]], 5)=0, "", COUNTIF(tblSeverityAnalysis[[#This Row],[CCCM]:[WASH]], 5))</f>
        <v/>
      </c>
      <c r="AB21" s="59" cm="1">
        <f t="array" ref="AB2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1" s="41" t="str">
        <f>IFERROR(IF(INDEX(tblSeverityReference[Malnutrition Severity],MATCH(tblSeverityAnalysis[[#This Row],[ID]], tblSeverityReference[ID], 0))= "", "",INDEX(tblSeverityReference[Malnutrition Severity],MATCH(tblSeverityAnalysis[[#This Row],[ID]], tblSeverityReference[ID], 0)) ), "")</f>
        <v/>
      </c>
      <c r="AE21" s="303">
        <f>IFERROR(IF(INDEX(tblSeverityReference[Epidemic Severity],MATCH(tblSeverityAnalysis[[#This Row],[ID]], tblSeverityReference[ID], 0))= "", "",INDEX(tblSeverityReference[Epidemic Severity],MATCH(tblSeverityAnalysis[[#This Row],[ID]], tblSeverityReference[ID], 0)) ), "")</f>
        <v>2.2352941176470589</v>
      </c>
      <c r="AF21" s="303" t="str">
        <f>IFERROR(IF(INDEX(tblSeverityReference[Coping Strategy Severity],MATCH(tblSeverityAnalysis[[#This Row],[ID]], tblSeverityReference[ID], 0))= "", "",INDEX(tblSeverityReference[Coping Strategy Severity],MATCH(tblSeverityAnalysis[[#This Row],[ID]], tblSeverityReference[ID], 0)) ), "")</f>
        <v/>
      </c>
      <c r="AG21" s="108" t="str">
        <f>IFERROR(IF(INDEX(tblSeverityReference[HR/IHL Violation],MATCH(tblSeverityAnalysis[[#This Row],[ID]], tblSeverityReference[ID], 0))= "", "",INDEX(tblSeverityReference[HR/IHL Violation],MATCH(tblSeverityAnalysis[[#This Row],[ID]], tblSeverityReference[ID], 0)) ), "")</f>
        <v/>
      </c>
      <c r="AH21" s="81">
        <f>IFERROR(AVERAGE(tblSeverityAnalysis[[#This Row],[CCCM]:[WASH]]), "")</f>
        <v>1.1666666666666667</v>
      </c>
      <c r="AI21" s="27">
        <f>IF(SUM(tblSeverityAnalysis[[#This Row],[CCCM]:[WASH]])=0, "", MAX(tblSeverityAnalysis[[#This Row],[CCCM]:[WASH]]))</f>
        <v>2</v>
      </c>
      <c r="AJ21" s="333" t="str" cm="1">
        <f t="array" ref="AJ21">IFERROR(IF(tblSeverityAnalysis[[#This Row],[Highest Severity]]="", "", _xlfn.TEXTJOIN(CHAR(10), TRUE, IF(tblSeverityAnalysis[[#This Row],[CCCM]:[WASH]]=tblSeverityAnalysis[[#This Row],[Highest Severity]], tblSeverityAnalysis[[#Headers],[CCCM]:[WASH]], ""), "")), "")</f>
        <v>WASH</v>
      </c>
      <c r="AK21" s="27" cm="1">
        <f t="array" ref="AK21">IFERROR(MAX(_xlfn._xlws.FILTER(tblSeverityAnalysis[[#This Row],[CCCM]:[WASH]], tblSeverityAnalysis[[#This Row],[CCCM]:[WASH]]&lt;tblSeverityAnalysis[[#This Row],[Highest Severity]])), "")</f>
        <v>1.5</v>
      </c>
      <c r="AL21" s="313" t="str" cm="1">
        <f t="array" ref="AL21">IFERROR(IF(tblSeverityAnalysis[[#This Row],[2nd Highest Severity]]="", "", _xlfn.TEXTJOIN(CHAR(10), TRUE, IF(tblSeverityAnalysis[[#This Row],[CCCM]:[WASH]]=tblSeverityAnalysis[[#This Row],[2nd Highest Severity]], tblSeverityAnalysis[[#Headers],[CCCM]:[WASH]], ""), "")), "")</f>
        <v>Health</v>
      </c>
      <c r="AM21" s="132" t="str">
        <f>IFERROR(IF(AND(tblSeverityAnalysis[[#This Row],[5]] &lt;&gt; "", tblSeverityAnalysis[[#This Row],[5]]&gt;=sectors_sev_5), "Flagged", ""), "")</f>
        <v/>
      </c>
      <c r="AN21" s="133" t="str">
        <f>IFERROR(IF(AND(tblSeverityAnalysis[[#This Row],[Preliminary Intersectoral Severity based on overlap of sectoral deprivations]]=4, SUM(tblSeverityAnalysis[[#This Row],[ 4 ]:[5]])&gt;=sectors_sev_4), "Flagged", ""), "")</f>
        <v/>
      </c>
      <c r="AO21" s="133" t="str" cm="1">
        <f t="array" ref="AO2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1" s="335"/>
      <c r="AR21" s="336"/>
      <c r="AS21" s="335"/>
      <c r="AT21" s="337">
        <f>COUNTIF(tblSeverityAnalysis[[#This Row],[1 sector in severity phase 5 '[modify the threshold']]:[Manual Flag]], "Flagged")</f>
        <v>0</v>
      </c>
      <c r="AU21" s="338">
        <f>tblSeverityAnalysis[[#This Row],[Preliminary Intersectoral Severity based on overlap of sectoral deprivations]]</f>
        <v>1</v>
      </c>
      <c r="AV21" s="339"/>
    </row>
    <row r="22" spans="1:48" ht="15" hidden="1" customHeight="1">
      <c r="A2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MZ0202</v>
      </c>
      <c r="B22" s="39" t="s">
        <v>260</v>
      </c>
      <c r="C22" s="340" t="s">
        <v>261</v>
      </c>
      <c r="D22" s="340" t="s">
        <v>265</v>
      </c>
      <c r="E22" s="33" t="s">
        <v>266</v>
      </c>
      <c r="F22" s="33"/>
      <c r="G22" s="33"/>
      <c r="H22" s="20"/>
      <c r="I22" s="95">
        <v>256288</v>
      </c>
      <c r="J22" s="95"/>
      <c r="K22" s="321"/>
      <c r="L22" s="303"/>
      <c r="M22" s="303">
        <v>2</v>
      </c>
      <c r="N22" s="303">
        <v>2</v>
      </c>
      <c r="O22" s="372">
        <v>1.5</v>
      </c>
      <c r="P22" s="303">
        <v>0</v>
      </c>
      <c r="Q22" s="304"/>
      <c r="R22" s="303">
        <v>1</v>
      </c>
      <c r="S22" s="303"/>
      <c r="T22" s="303"/>
      <c r="U22" s="303"/>
      <c r="V22" s="303"/>
      <c r="W22" s="330">
        <f>IF(COUNTIF(tblSeverityAnalysis[[#This Row],[CCCM]:[WASH]], 1)=0, "", COUNTIF(tblSeverityAnalysis[[#This Row],[CCCM]:[WASH]], 1))</f>
        <v>1</v>
      </c>
      <c r="X22" s="331">
        <f>IF(COUNTIF(tblSeverityAnalysis[[#This Row],[CCCM]:[WASH]], 2)=0, "", COUNTIF(tblSeverityAnalysis[[#This Row],[CCCM]:[WASH]], 2))</f>
        <v>2</v>
      </c>
      <c r="Y22" s="331" t="str">
        <f>IF(COUNTIF(tblSeverityAnalysis[[#This Row],[CCCM]:[WASH]], 3)=0, "", COUNTIF(tblSeverityAnalysis[[#This Row],[CCCM]:[WASH]], 3))</f>
        <v/>
      </c>
      <c r="Z22" s="331" t="str">
        <f>IF(COUNTIF(tblSeverityAnalysis[[#This Row],[CCCM]:[WASH]], 4)=0, "", COUNTIF(tblSeverityAnalysis[[#This Row],[CCCM]:[WASH]], 4))</f>
        <v/>
      </c>
      <c r="AA22" s="332" t="str">
        <f>IF(COUNTIF(tblSeverityAnalysis[[#This Row],[CCCM]:[WASH]], 5)=0, "", COUNTIF(tblSeverityAnalysis[[#This Row],[CCCM]:[WASH]], 5))</f>
        <v/>
      </c>
      <c r="AB22" s="59" cm="1">
        <f t="array" ref="AB2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2" s="41" t="str">
        <f>IFERROR(IF(INDEX(tblSeverityReference[Malnutrition Severity],MATCH(tblSeverityAnalysis[[#This Row],[ID]], tblSeverityReference[ID], 0))= "", "",INDEX(tblSeverityReference[Malnutrition Severity],MATCH(tblSeverityAnalysis[[#This Row],[ID]], tblSeverityReference[ID], 0)) ), "")</f>
        <v/>
      </c>
      <c r="AE22" s="303">
        <f>IFERROR(IF(INDEX(tblSeverityReference[Epidemic Severity],MATCH(tblSeverityAnalysis[[#This Row],[ID]], tblSeverityReference[ID], 0))= "", "",INDEX(tblSeverityReference[Epidemic Severity],MATCH(tblSeverityAnalysis[[#This Row],[ID]], tblSeverityReference[ID], 0)) ), "")</f>
        <v>2.2352941176470589</v>
      </c>
      <c r="AF22" s="303" t="str">
        <f>IFERROR(IF(INDEX(tblSeverityReference[Coping Strategy Severity],MATCH(tblSeverityAnalysis[[#This Row],[ID]], tblSeverityReference[ID], 0))= "", "",INDEX(tblSeverityReference[Coping Strategy Severity],MATCH(tblSeverityAnalysis[[#This Row],[ID]], tblSeverityReference[ID], 0)) ), "")</f>
        <v/>
      </c>
      <c r="AG22" s="108" t="str">
        <f>IFERROR(IF(INDEX(tblSeverityReference[HR/IHL Violation],MATCH(tblSeverityAnalysis[[#This Row],[ID]], tblSeverityReference[ID], 0))= "", "",INDEX(tblSeverityReference[HR/IHL Violation],MATCH(tblSeverityAnalysis[[#This Row],[ID]], tblSeverityReference[ID], 0)) ), "")</f>
        <v/>
      </c>
      <c r="AH22" s="81">
        <f>IFERROR(AVERAGE(tblSeverityAnalysis[[#This Row],[CCCM]:[WASH]]), "")</f>
        <v>1.3</v>
      </c>
      <c r="AI22" s="27">
        <f>IF(SUM(tblSeverityAnalysis[[#This Row],[CCCM]:[WASH]])=0, "", MAX(tblSeverityAnalysis[[#This Row],[CCCM]:[WASH]]))</f>
        <v>2</v>
      </c>
      <c r="AJ22" s="333" t="str" cm="1">
        <f t="array" ref="AJ22">IFERROR(IF(tblSeverityAnalysis[[#This Row],[Highest Severity]]="", "", _xlfn.TEXTJOIN(CHAR(10), TRUE, IF(tblSeverityAnalysis[[#This Row],[CCCM]:[WASH]]=tblSeverityAnalysis[[#This Row],[Highest Severity]], tblSeverityAnalysis[[#Headers],[CCCM]:[WASH]], ""), "")), "")</f>
        <v>Nutrition
Food Security</v>
      </c>
      <c r="AK22" s="27" cm="1">
        <f t="array" ref="AK22">IFERROR(MAX(_xlfn._xlws.FILTER(tblSeverityAnalysis[[#This Row],[CCCM]:[WASH]], tblSeverityAnalysis[[#This Row],[CCCM]:[WASH]]&lt;tblSeverityAnalysis[[#This Row],[Highest Severity]])), "")</f>
        <v>1.5</v>
      </c>
      <c r="AL22" s="313" t="str" cm="1">
        <f t="array" ref="AL22">IFERROR(IF(tblSeverityAnalysis[[#This Row],[2nd Highest Severity]]="", "", _xlfn.TEXTJOIN(CHAR(10), TRUE, IF(tblSeverityAnalysis[[#This Row],[CCCM]:[WASH]]=tblSeverityAnalysis[[#This Row],[2nd Highest Severity]], tblSeverityAnalysis[[#Headers],[CCCM]:[WASH]], ""), "")), "")</f>
        <v>Health</v>
      </c>
      <c r="AM22" s="132" t="str">
        <f>IFERROR(IF(AND(tblSeverityAnalysis[[#This Row],[5]] &lt;&gt; "", tblSeverityAnalysis[[#This Row],[5]]&gt;=sectors_sev_5), "Flagged", ""), "")</f>
        <v/>
      </c>
      <c r="AN22" s="133" t="str">
        <f>IFERROR(IF(AND(tblSeverityAnalysis[[#This Row],[Preliminary Intersectoral Severity based on overlap of sectoral deprivations]]=4, SUM(tblSeverityAnalysis[[#This Row],[ 4 ]:[5]])&gt;=sectors_sev_4), "Flagged", ""), "")</f>
        <v/>
      </c>
      <c r="AO22" s="133" t="str" cm="1">
        <f t="array" ref="AO2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2" s="335"/>
      <c r="AR22" s="336"/>
      <c r="AS22" s="335"/>
      <c r="AT22" s="337">
        <f>COUNTIF(tblSeverityAnalysis[[#This Row],[1 sector in severity phase 5 '[modify the threshold']]:[Manual Flag]], "Flagged")</f>
        <v>0</v>
      </c>
      <c r="AU22" s="338">
        <f>tblSeverityAnalysis[[#This Row],[Preliminary Intersectoral Severity based on overlap of sectoral deprivations]]</f>
        <v>1</v>
      </c>
      <c r="AV22" s="339"/>
    </row>
    <row r="23" spans="1:48" ht="15" hidden="1" customHeight="1">
      <c r="A2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MZ0203</v>
      </c>
      <c r="B23" s="39" t="s">
        <v>260</v>
      </c>
      <c r="C23" s="340" t="s">
        <v>261</v>
      </c>
      <c r="D23" s="340" t="s">
        <v>267</v>
      </c>
      <c r="E23" s="33" t="s">
        <v>268</v>
      </c>
      <c r="F23" s="33"/>
      <c r="G23" s="33"/>
      <c r="H23" s="20"/>
      <c r="I23" s="95">
        <v>30948</v>
      </c>
      <c r="J23" s="95"/>
      <c r="K23" s="321"/>
      <c r="L23" s="303"/>
      <c r="M23" s="303" t="s">
        <v>264</v>
      </c>
      <c r="N23" s="303"/>
      <c r="O23" s="372">
        <v>1.5</v>
      </c>
      <c r="P23" s="303">
        <v>0</v>
      </c>
      <c r="Q23" s="304"/>
      <c r="R23" s="303">
        <v>3</v>
      </c>
      <c r="S23" s="303"/>
      <c r="T23" s="303"/>
      <c r="U23" s="303"/>
      <c r="V23" s="303"/>
      <c r="W23" s="330" t="str">
        <f>IF(COUNTIF(tblSeverityAnalysis[[#This Row],[CCCM]:[WASH]], 1)=0, "", COUNTIF(tblSeverityAnalysis[[#This Row],[CCCM]:[WASH]], 1))</f>
        <v/>
      </c>
      <c r="X23" s="331" t="str">
        <f>IF(COUNTIF(tblSeverityAnalysis[[#This Row],[CCCM]:[WASH]], 2)=0, "", COUNTIF(tblSeverityAnalysis[[#This Row],[CCCM]:[WASH]], 2))</f>
        <v/>
      </c>
      <c r="Y23" s="331">
        <f>IF(COUNTIF(tblSeverityAnalysis[[#This Row],[CCCM]:[WASH]], 3)=0, "", COUNTIF(tblSeverityAnalysis[[#This Row],[CCCM]:[WASH]], 3))</f>
        <v>1</v>
      </c>
      <c r="Z23" s="331" t="str">
        <f>IF(COUNTIF(tblSeverityAnalysis[[#This Row],[CCCM]:[WASH]], 4)=0, "", COUNTIF(tblSeverityAnalysis[[#This Row],[CCCM]:[WASH]], 4))</f>
        <v/>
      </c>
      <c r="AA23" s="332" t="str">
        <f>IF(COUNTIF(tblSeverityAnalysis[[#This Row],[CCCM]:[WASH]], 5)=0, "", COUNTIF(tblSeverityAnalysis[[#This Row],[CCCM]:[WASH]], 5))</f>
        <v/>
      </c>
      <c r="AB23" s="59" cm="1">
        <f t="array" ref="AB2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3" s="41" t="str">
        <f>IFERROR(IF(INDEX(tblSeverityReference[Malnutrition Severity],MATCH(tblSeverityAnalysis[[#This Row],[ID]], tblSeverityReference[ID], 0))= "", "",INDEX(tblSeverityReference[Malnutrition Severity],MATCH(tblSeverityAnalysis[[#This Row],[ID]], tblSeverityReference[ID], 0)) ), "")</f>
        <v/>
      </c>
      <c r="AE23" s="303">
        <f>IFERROR(IF(INDEX(tblSeverityReference[Epidemic Severity],MATCH(tblSeverityAnalysis[[#This Row],[ID]], tblSeverityReference[ID], 0))= "", "",INDEX(tblSeverityReference[Epidemic Severity],MATCH(tblSeverityAnalysis[[#This Row],[ID]], tblSeverityReference[ID], 0)) ), "")</f>
        <v>2.8235294117647061</v>
      </c>
      <c r="AF23" s="303">
        <f>IFERROR(IF(INDEX(tblSeverityReference[Coping Strategy Severity],MATCH(tblSeverityAnalysis[[#This Row],[ID]], tblSeverityReference[ID], 0))= "", "",INDEX(tblSeverityReference[Coping Strategy Severity],MATCH(tblSeverityAnalysis[[#This Row],[ID]], tblSeverityReference[ID], 0)) ), "")</f>
        <v>1</v>
      </c>
      <c r="AG23" s="108" t="str">
        <f>IFERROR(IF(INDEX(tblSeverityReference[HR/IHL Violation],MATCH(tblSeverityAnalysis[[#This Row],[ID]], tblSeverityReference[ID], 0))= "", "",INDEX(tblSeverityReference[HR/IHL Violation],MATCH(tblSeverityAnalysis[[#This Row],[ID]], tblSeverityReference[ID], 0)) ), "")</f>
        <v/>
      </c>
      <c r="AH23" s="81">
        <f>IFERROR(AVERAGE(tblSeverityAnalysis[[#This Row],[CCCM]:[WASH]]), "")</f>
        <v>1.5</v>
      </c>
      <c r="AI23" s="27">
        <f>IF(SUM(tblSeverityAnalysis[[#This Row],[CCCM]:[WASH]])=0, "", MAX(tblSeverityAnalysis[[#This Row],[CCCM]:[WASH]]))</f>
        <v>3</v>
      </c>
      <c r="AJ23" s="333" t="str" cm="1">
        <f t="array" ref="AJ23">IFERROR(IF(tblSeverityAnalysis[[#This Row],[Highest Severity]]="", "", _xlfn.TEXTJOIN(CHAR(10), TRUE, IF(tblSeverityAnalysis[[#This Row],[CCCM]:[WASH]]=tblSeverityAnalysis[[#This Row],[Highest Severity]], tblSeverityAnalysis[[#Headers],[CCCM]:[WASH]], ""), "")), "")</f>
        <v>WASH</v>
      </c>
      <c r="AK23" s="27" cm="1">
        <f t="array" ref="AK23">IFERROR(MAX(_xlfn._xlws.FILTER(tblSeverityAnalysis[[#This Row],[CCCM]:[WASH]], tblSeverityAnalysis[[#This Row],[CCCM]:[WASH]]&lt;tblSeverityAnalysis[[#This Row],[Highest Severity]])), "")</f>
        <v>1.5</v>
      </c>
      <c r="AL23" s="313" t="str" cm="1">
        <f t="array" ref="AL23">IFERROR(IF(tblSeverityAnalysis[[#This Row],[2nd Highest Severity]]="", "", _xlfn.TEXTJOIN(CHAR(10), TRUE, IF(tblSeverityAnalysis[[#This Row],[CCCM]:[WASH]]=tblSeverityAnalysis[[#This Row],[2nd Highest Severity]], tblSeverityAnalysis[[#Headers],[CCCM]:[WASH]], ""), "")), "")</f>
        <v>Health</v>
      </c>
      <c r="AM23" s="132" t="str">
        <f>IFERROR(IF(AND(tblSeverityAnalysis[[#This Row],[5]] &lt;&gt; "", tblSeverityAnalysis[[#This Row],[5]]&gt;=sectors_sev_5), "Flagged", ""), "")</f>
        <v/>
      </c>
      <c r="AN23" s="133" t="str">
        <f>IFERROR(IF(AND(tblSeverityAnalysis[[#This Row],[Preliminary Intersectoral Severity based on overlap of sectoral deprivations]]=4, SUM(tblSeverityAnalysis[[#This Row],[ 4 ]:[5]])&gt;=sectors_sev_4), "Flagged", ""), "")</f>
        <v/>
      </c>
      <c r="AO23" s="133" t="str" cm="1">
        <f t="array" ref="AO2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3" s="335"/>
      <c r="AR23" s="336"/>
      <c r="AS23" s="335"/>
      <c r="AT23" s="337">
        <f>COUNTIF(tblSeverityAnalysis[[#This Row],[1 sector in severity phase 5 '[modify the threshold']]:[Manual Flag]], "Flagged")</f>
        <v>0</v>
      </c>
      <c r="AU23" s="338">
        <f>tblSeverityAnalysis[[#This Row],[Preliminary Intersectoral Severity based on overlap of sectoral deprivations]]</f>
        <v>1</v>
      </c>
      <c r="AV23" s="339"/>
    </row>
    <row r="24" spans="1:48" ht="15" hidden="1" customHeight="1">
      <c r="A2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MZ0204</v>
      </c>
      <c r="B24" s="39" t="s">
        <v>260</v>
      </c>
      <c r="C24" s="340" t="s">
        <v>261</v>
      </c>
      <c r="D24" s="340" t="s">
        <v>269</v>
      </c>
      <c r="E24" s="33" t="s">
        <v>270</v>
      </c>
      <c r="F24" s="33"/>
      <c r="G24" s="33"/>
      <c r="H24" s="20"/>
      <c r="I24" s="95">
        <v>23875</v>
      </c>
      <c r="J24" s="95"/>
      <c r="K24" s="321"/>
      <c r="L24" s="303"/>
      <c r="M24" s="303" t="s">
        <v>264</v>
      </c>
      <c r="N24" s="303"/>
      <c r="O24" s="372"/>
      <c r="P24" s="303">
        <v>0</v>
      </c>
      <c r="Q24" s="304"/>
      <c r="R24" s="303">
        <v>3</v>
      </c>
      <c r="S24" s="303"/>
      <c r="T24" s="303"/>
      <c r="U24" s="303"/>
      <c r="V24" s="303"/>
      <c r="W24" s="330" t="str">
        <f>IF(COUNTIF(tblSeverityAnalysis[[#This Row],[CCCM]:[WASH]], 1)=0, "", COUNTIF(tblSeverityAnalysis[[#This Row],[CCCM]:[WASH]], 1))</f>
        <v/>
      </c>
      <c r="X24" s="331" t="str">
        <f>IF(COUNTIF(tblSeverityAnalysis[[#This Row],[CCCM]:[WASH]], 2)=0, "", COUNTIF(tblSeverityAnalysis[[#This Row],[CCCM]:[WASH]], 2))</f>
        <v/>
      </c>
      <c r="Y24" s="331">
        <f>IF(COUNTIF(tblSeverityAnalysis[[#This Row],[CCCM]:[WASH]], 3)=0, "", COUNTIF(tblSeverityAnalysis[[#This Row],[CCCM]:[WASH]], 3))</f>
        <v>1</v>
      </c>
      <c r="Z24" s="331" t="str">
        <f>IF(COUNTIF(tblSeverityAnalysis[[#This Row],[CCCM]:[WASH]], 4)=0, "", COUNTIF(tblSeverityAnalysis[[#This Row],[CCCM]:[WASH]], 4))</f>
        <v/>
      </c>
      <c r="AA24" s="332" t="str">
        <f>IF(COUNTIF(tblSeverityAnalysis[[#This Row],[CCCM]:[WASH]], 5)=0, "", COUNTIF(tblSeverityAnalysis[[#This Row],[CCCM]:[WASH]], 5))</f>
        <v/>
      </c>
      <c r="AB24" s="59" cm="1">
        <f t="array" ref="AB2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4" s="41" t="str">
        <f>IFERROR(IF(INDEX(tblSeverityReference[Malnutrition Severity],MATCH(tblSeverityAnalysis[[#This Row],[ID]], tblSeverityReference[ID], 0))= "", "",INDEX(tblSeverityReference[Malnutrition Severity],MATCH(tblSeverityAnalysis[[#This Row],[ID]], tblSeverityReference[ID], 0)) ), "")</f>
        <v/>
      </c>
      <c r="AE24" s="303">
        <f>IFERROR(IF(INDEX(tblSeverityReference[Epidemic Severity],MATCH(tblSeverityAnalysis[[#This Row],[ID]], tblSeverityReference[ID], 0))= "", "",INDEX(tblSeverityReference[Epidemic Severity],MATCH(tblSeverityAnalysis[[#This Row],[ID]], tblSeverityReference[ID], 0)) ), "")</f>
        <v>2.4117647058823528</v>
      </c>
      <c r="AF24" s="303" t="str">
        <f>IFERROR(IF(INDEX(tblSeverityReference[Coping Strategy Severity],MATCH(tblSeverityAnalysis[[#This Row],[ID]], tblSeverityReference[ID], 0))= "", "",INDEX(tblSeverityReference[Coping Strategy Severity],MATCH(tblSeverityAnalysis[[#This Row],[ID]], tblSeverityReference[ID], 0)) ), "")</f>
        <v/>
      </c>
      <c r="AG24" s="108" t="str">
        <f>IFERROR(IF(INDEX(tblSeverityReference[HR/IHL Violation],MATCH(tblSeverityAnalysis[[#This Row],[ID]], tblSeverityReference[ID], 0))= "", "",INDEX(tblSeverityReference[HR/IHL Violation],MATCH(tblSeverityAnalysis[[#This Row],[ID]], tblSeverityReference[ID], 0)) ), "")</f>
        <v/>
      </c>
      <c r="AH24" s="81">
        <f>IFERROR(AVERAGE(tblSeverityAnalysis[[#This Row],[CCCM]:[WASH]]), "")</f>
        <v>1.5</v>
      </c>
      <c r="AI24" s="27">
        <f>IF(SUM(tblSeverityAnalysis[[#This Row],[CCCM]:[WASH]])=0, "", MAX(tblSeverityAnalysis[[#This Row],[CCCM]:[WASH]]))</f>
        <v>3</v>
      </c>
      <c r="AJ24" s="333" t="str" cm="1">
        <f t="array" ref="AJ24">IFERROR(IF(tblSeverityAnalysis[[#This Row],[Highest Severity]]="", "", _xlfn.TEXTJOIN(CHAR(10), TRUE, IF(tblSeverityAnalysis[[#This Row],[CCCM]:[WASH]]=tblSeverityAnalysis[[#This Row],[Highest Severity]], tblSeverityAnalysis[[#Headers],[CCCM]:[WASH]], ""), "")), "")</f>
        <v>WASH</v>
      </c>
      <c r="AK24" s="27" cm="1">
        <f t="array" ref="AK24">IFERROR(MAX(_xlfn._xlws.FILTER(tblSeverityAnalysis[[#This Row],[CCCM]:[WASH]], tblSeverityAnalysis[[#This Row],[CCCM]:[WASH]]&lt;tblSeverityAnalysis[[#This Row],[Highest Severity]])), "")</f>
        <v>0</v>
      </c>
      <c r="AL24" s="313" t="str" cm="1">
        <f t="array" ref="AL2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24" s="132" t="str">
        <f>IFERROR(IF(AND(tblSeverityAnalysis[[#This Row],[5]] &lt;&gt; "", tblSeverityAnalysis[[#This Row],[5]]&gt;=sectors_sev_5), "Flagged", ""), "")</f>
        <v/>
      </c>
      <c r="AN24" s="133" t="str">
        <f>IFERROR(IF(AND(tblSeverityAnalysis[[#This Row],[Preliminary Intersectoral Severity based on overlap of sectoral deprivations]]=4, SUM(tblSeverityAnalysis[[#This Row],[ 4 ]:[5]])&gt;=sectors_sev_4), "Flagged", ""), "")</f>
        <v/>
      </c>
      <c r="AO24" s="133" t="str" cm="1">
        <f t="array" ref="AO2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4" s="335"/>
      <c r="AR24" s="336"/>
      <c r="AS24" s="335"/>
      <c r="AT24" s="337">
        <f>COUNTIF(tblSeverityAnalysis[[#This Row],[1 sector in severity phase 5 '[modify the threshold']]:[Manual Flag]], "Flagged")</f>
        <v>0</v>
      </c>
      <c r="AU24" s="338">
        <f>tblSeverityAnalysis[[#This Row],[Preliminary Intersectoral Severity based on overlap of sectoral deprivations]]</f>
        <v>1</v>
      </c>
      <c r="AV24" s="339"/>
    </row>
    <row r="25" spans="1:48" ht="15" hidden="1" customHeight="1">
      <c r="A2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MZ0205</v>
      </c>
      <c r="B25" s="39" t="s">
        <v>260</v>
      </c>
      <c r="C25" s="340" t="s">
        <v>261</v>
      </c>
      <c r="D25" s="340" t="s">
        <v>271</v>
      </c>
      <c r="E25" s="33" t="s">
        <v>272</v>
      </c>
      <c r="F25" s="33"/>
      <c r="G25" s="33"/>
      <c r="H25" s="20"/>
      <c r="I25" s="95">
        <v>261037</v>
      </c>
      <c r="J25" s="95"/>
      <c r="K25" s="321"/>
      <c r="L25" s="303"/>
      <c r="M25" s="303" t="s">
        <v>264</v>
      </c>
      <c r="N25" s="303"/>
      <c r="O25" s="372"/>
      <c r="P25" s="303">
        <v>0</v>
      </c>
      <c r="Q25" s="304"/>
      <c r="R25" s="303">
        <v>1</v>
      </c>
      <c r="S25" s="303"/>
      <c r="T25" s="303"/>
      <c r="U25" s="303"/>
      <c r="V25" s="303"/>
      <c r="W25" s="330">
        <f>IF(COUNTIF(tblSeverityAnalysis[[#This Row],[CCCM]:[WASH]], 1)=0, "", COUNTIF(tblSeverityAnalysis[[#This Row],[CCCM]:[WASH]], 1))</f>
        <v>1</v>
      </c>
      <c r="X25" s="331" t="str">
        <f>IF(COUNTIF(tblSeverityAnalysis[[#This Row],[CCCM]:[WASH]], 2)=0, "", COUNTIF(tblSeverityAnalysis[[#This Row],[CCCM]:[WASH]], 2))</f>
        <v/>
      </c>
      <c r="Y25" s="331" t="str">
        <f>IF(COUNTIF(tblSeverityAnalysis[[#This Row],[CCCM]:[WASH]], 3)=0, "", COUNTIF(tblSeverityAnalysis[[#This Row],[CCCM]:[WASH]], 3))</f>
        <v/>
      </c>
      <c r="Z25" s="331" t="str">
        <f>IF(COUNTIF(tblSeverityAnalysis[[#This Row],[CCCM]:[WASH]], 4)=0, "", COUNTIF(tblSeverityAnalysis[[#This Row],[CCCM]:[WASH]], 4))</f>
        <v/>
      </c>
      <c r="AA25" s="332" t="str">
        <f>IF(COUNTIF(tblSeverityAnalysis[[#This Row],[CCCM]:[WASH]], 5)=0, "", COUNTIF(tblSeverityAnalysis[[#This Row],[CCCM]:[WASH]], 5))</f>
        <v/>
      </c>
      <c r="AB25" s="59" cm="1">
        <f t="array" ref="AB2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5" s="41" t="str">
        <f>IFERROR(IF(INDEX(tblSeverityReference[Malnutrition Severity],MATCH(tblSeverityAnalysis[[#This Row],[ID]], tblSeverityReference[ID], 0))= "", "",INDEX(tblSeverityReference[Malnutrition Severity],MATCH(tblSeverityAnalysis[[#This Row],[ID]], tblSeverityReference[ID], 0)) ), "")</f>
        <v/>
      </c>
      <c r="AE25" s="303">
        <f>IFERROR(IF(INDEX(tblSeverityReference[Epidemic Severity],MATCH(tblSeverityAnalysis[[#This Row],[ID]], tblSeverityReference[ID], 0))= "", "",INDEX(tblSeverityReference[Epidemic Severity],MATCH(tblSeverityAnalysis[[#This Row],[ID]], tblSeverityReference[ID], 0)) ), "")</f>
        <v>2.2352941176470589</v>
      </c>
      <c r="AF25" s="303" t="str">
        <f>IFERROR(IF(INDEX(tblSeverityReference[Coping Strategy Severity],MATCH(tblSeverityAnalysis[[#This Row],[ID]], tblSeverityReference[ID], 0))= "", "",INDEX(tblSeverityReference[Coping Strategy Severity],MATCH(tblSeverityAnalysis[[#This Row],[ID]], tblSeverityReference[ID], 0)) ), "")</f>
        <v/>
      </c>
      <c r="AG25" s="108" t="str">
        <f>IFERROR(IF(INDEX(tblSeverityReference[HR/IHL Violation],MATCH(tblSeverityAnalysis[[#This Row],[ID]], tblSeverityReference[ID], 0))= "", "",INDEX(tblSeverityReference[HR/IHL Violation],MATCH(tblSeverityAnalysis[[#This Row],[ID]], tblSeverityReference[ID], 0)) ), "")</f>
        <v/>
      </c>
      <c r="AH25" s="81">
        <f>IFERROR(AVERAGE(tblSeverityAnalysis[[#This Row],[CCCM]:[WASH]]), "")</f>
        <v>0.5</v>
      </c>
      <c r="AI25" s="27">
        <f>IF(SUM(tblSeverityAnalysis[[#This Row],[CCCM]:[WASH]])=0, "", MAX(tblSeverityAnalysis[[#This Row],[CCCM]:[WASH]]))</f>
        <v>1</v>
      </c>
      <c r="AJ25" s="333" t="str" cm="1">
        <f t="array" ref="AJ25">IFERROR(IF(tblSeverityAnalysis[[#This Row],[Highest Severity]]="", "", _xlfn.TEXTJOIN(CHAR(10), TRUE, IF(tblSeverityAnalysis[[#This Row],[CCCM]:[WASH]]=tblSeverityAnalysis[[#This Row],[Highest Severity]], tblSeverityAnalysis[[#Headers],[CCCM]:[WASH]], ""), "")), "")</f>
        <v>WASH</v>
      </c>
      <c r="AK25" s="27" cm="1">
        <f t="array" ref="AK25">IFERROR(MAX(_xlfn._xlws.FILTER(tblSeverityAnalysis[[#This Row],[CCCM]:[WASH]], tblSeverityAnalysis[[#This Row],[CCCM]:[WASH]]&lt;tblSeverityAnalysis[[#This Row],[Highest Severity]])), "")</f>
        <v>0</v>
      </c>
      <c r="AL25" s="313" t="str" cm="1">
        <f t="array" ref="AL2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25" s="132" t="str">
        <f>IFERROR(IF(AND(tblSeverityAnalysis[[#This Row],[5]] &lt;&gt; "", tblSeverityAnalysis[[#This Row],[5]]&gt;=sectors_sev_5), "Flagged", ""), "")</f>
        <v/>
      </c>
      <c r="AN25" s="133" t="str">
        <f>IFERROR(IF(AND(tblSeverityAnalysis[[#This Row],[Preliminary Intersectoral Severity based on overlap of sectoral deprivations]]=4, SUM(tblSeverityAnalysis[[#This Row],[ 4 ]:[5]])&gt;=sectors_sev_4), "Flagged", ""), "")</f>
        <v/>
      </c>
      <c r="AO25" s="133" t="str" cm="1">
        <f t="array" ref="AO2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5" s="335"/>
      <c r="AR25" s="336"/>
      <c r="AS25" s="335"/>
      <c r="AT25" s="337">
        <f>COUNTIF(tblSeverityAnalysis[[#This Row],[1 sector in severity phase 5 '[modify the threshold']]:[Manual Flag]], "Flagged")</f>
        <v>0</v>
      </c>
      <c r="AU25" s="338">
        <f>tblSeverityAnalysis[[#This Row],[Preliminary Intersectoral Severity based on overlap of sectoral deprivations]]</f>
        <v>1</v>
      </c>
      <c r="AV25" s="339"/>
    </row>
    <row r="26" spans="1:48" ht="15" hidden="1" customHeight="1">
      <c r="A2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MZ0206</v>
      </c>
      <c r="B26" s="39" t="s">
        <v>260</v>
      </c>
      <c r="C26" s="340" t="s">
        <v>261</v>
      </c>
      <c r="D26" s="340" t="s">
        <v>273</v>
      </c>
      <c r="E26" s="33" t="s">
        <v>274</v>
      </c>
      <c r="F26" s="33"/>
      <c r="G26" s="33"/>
      <c r="H26" s="20"/>
      <c r="I26" s="95">
        <v>141869</v>
      </c>
      <c r="J26" s="95"/>
      <c r="K26" s="321"/>
      <c r="L26" s="303"/>
      <c r="M26" s="303" t="s">
        <v>264</v>
      </c>
      <c r="N26" s="303"/>
      <c r="O26" s="372"/>
      <c r="P26" s="303">
        <v>0</v>
      </c>
      <c r="Q26" s="304"/>
      <c r="R26" s="303">
        <v>2</v>
      </c>
      <c r="S26" s="303"/>
      <c r="T26" s="303"/>
      <c r="U26" s="303"/>
      <c r="V26" s="303"/>
      <c r="W26" s="330" t="str">
        <f>IF(COUNTIF(tblSeverityAnalysis[[#This Row],[CCCM]:[WASH]], 1)=0, "", COUNTIF(tblSeverityAnalysis[[#This Row],[CCCM]:[WASH]], 1))</f>
        <v/>
      </c>
      <c r="X26" s="331">
        <f>IF(COUNTIF(tblSeverityAnalysis[[#This Row],[CCCM]:[WASH]], 2)=0, "", COUNTIF(tblSeverityAnalysis[[#This Row],[CCCM]:[WASH]], 2))</f>
        <v>1</v>
      </c>
      <c r="Y26" s="331" t="str">
        <f>IF(COUNTIF(tblSeverityAnalysis[[#This Row],[CCCM]:[WASH]], 3)=0, "", COUNTIF(tblSeverityAnalysis[[#This Row],[CCCM]:[WASH]], 3))</f>
        <v/>
      </c>
      <c r="Z26" s="331" t="str">
        <f>IF(COUNTIF(tblSeverityAnalysis[[#This Row],[CCCM]:[WASH]], 4)=0, "", COUNTIF(tblSeverityAnalysis[[#This Row],[CCCM]:[WASH]], 4))</f>
        <v/>
      </c>
      <c r="AA26" s="332" t="str">
        <f>IF(COUNTIF(tblSeverityAnalysis[[#This Row],[CCCM]:[WASH]], 5)=0, "", COUNTIF(tblSeverityAnalysis[[#This Row],[CCCM]:[WASH]], 5))</f>
        <v/>
      </c>
      <c r="AB26" s="59" cm="1">
        <f t="array" ref="AB2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6" s="41" t="str">
        <f>IFERROR(IF(INDEX(tblSeverityReference[Malnutrition Severity],MATCH(tblSeverityAnalysis[[#This Row],[ID]], tblSeverityReference[ID], 0))= "", "",INDEX(tblSeverityReference[Malnutrition Severity],MATCH(tblSeverityAnalysis[[#This Row],[ID]], tblSeverityReference[ID], 0)) ), "")</f>
        <v/>
      </c>
      <c r="AE26" s="303">
        <f>IFERROR(IF(INDEX(tblSeverityReference[Epidemic Severity],MATCH(tblSeverityAnalysis[[#This Row],[ID]], tblSeverityReference[ID], 0))= "", "",INDEX(tblSeverityReference[Epidemic Severity],MATCH(tblSeverityAnalysis[[#This Row],[ID]], tblSeverityReference[ID], 0)) ), "")</f>
        <v>2.2352941176470589</v>
      </c>
      <c r="AF26" s="303" t="str">
        <f>IFERROR(IF(INDEX(tblSeverityReference[Coping Strategy Severity],MATCH(tblSeverityAnalysis[[#This Row],[ID]], tblSeverityReference[ID], 0))= "", "",INDEX(tblSeverityReference[Coping Strategy Severity],MATCH(tblSeverityAnalysis[[#This Row],[ID]], tblSeverityReference[ID], 0)) ), "")</f>
        <v/>
      </c>
      <c r="AG26" s="108" t="str">
        <f>IFERROR(IF(INDEX(tblSeverityReference[HR/IHL Violation],MATCH(tblSeverityAnalysis[[#This Row],[ID]], tblSeverityReference[ID], 0))= "", "",INDEX(tblSeverityReference[HR/IHL Violation],MATCH(tblSeverityAnalysis[[#This Row],[ID]], tblSeverityReference[ID], 0)) ), "")</f>
        <v/>
      </c>
      <c r="AH26" s="81">
        <f>IFERROR(AVERAGE(tblSeverityAnalysis[[#This Row],[CCCM]:[WASH]]), "")</f>
        <v>1</v>
      </c>
      <c r="AI26" s="27">
        <f>IF(SUM(tblSeverityAnalysis[[#This Row],[CCCM]:[WASH]])=0, "", MAX(tblSeverityAnalysis[[#This Row],[CCCM]:[WASH]]))</f>
        <v>2</v>
      </c>
      <c r="AJ26" s="333" t="str" cm="1">
        <f t="array" ref="AJ26">IFERROR(IF(tblSeverityAnalysis[[#This Row],[Highest Severity]]="", "", _xlfn.TEXTJOIN(CHAR(10), TRUE, IF(tblSeverityAnalysis[[#This Row],[CCCM]:[WASH]]=tblSeverityAnalysis[[#This Row],[Highest Severity]], tblSeverityAnalysis[[#Headers],[CCCM]:[WASH]], ""), "")), "")</f>
        <v>WASH</v>
      </c>
      <c r="AK26" s="27" cm="1">
        <f t="array" ref="AK26">IFERROR(MAX(_xlfn._xlws.FILTER(tblSeverityAnalysis[[#This Row],[CCCM]:[WASH]], tblSeverityAnalysis[[#This Row],[CCCM]:[WASH]]&lt;tblSeverityAnalysis[[#This Row],[Highest Severity]])), "")</f>
        <v>0</v>
      </c>
      <c r="AL26" s="313" t="str" cm="1">
        <f t="array" ref="AL2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26" s="132" t="str">
        <f>IFERROR(IF(AND(tblSeverityAnalysis[[#This Row],[5]] &lt;&gt; "", tblSeverityAnalysis[[#This Row],[5]]&gt;=sectors_sev_5), "Flagged", ""), "")</f>
        <v/>
      </c>
      <c r="AN26" s="133" t="str">
        <f>IFERROR(IF(AND(tblSeverityAnalysis[[#This Row],[Preliminary Intersectoral Severity based on overlap of sectoral deprivations]]=4, SUM(tblSeverityAnalysis[[#This Row],[ 4 ]:[5]])&gt;=sectors_sev_4), "Flagged", ""), "")</f>
        <v/>
      </c>
      <c r="AO26" s="133" t="str" cm="1">
        <f t="array" ref="AO2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6" s="335"/>
      <c r="AR26" s="336"/>
      <c r="AS26" s="335"/>
      <c r="AT26" s="337">
        <f>COUNTIF(tblSeverityAnalysis[[#This Row],[1 sector in severity phase 5 '[modify the threshold']]:[Manual Flag]], "Flagged")</f>
        <v>0</v>
      </c>
      <c r="AU26" s="338">
        <f>tblSeverityAnalysis[[#This Row],[Preliminary Intersectoral Severity based on overlap of sectoral deprivations]]</f>
        <v>1</v>
      </c>
      <c r="AV26" s="339"/>
    </row>
    <row r="27" spans="1:48" ht="15" hidden="1" customHeight="1">
      <c r="A2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MZ0207</v>
      </c>
      <c r="B27" s="39" t="s">
        <v>260</v>
      </c>
      <c r="C27" s="340" t="s">
        <v>261</v>
      </c>
      <c r="D27" s="340" t="s">
        <v>275</v>
      </c>
      <c r="E27" s="33" t="s">
        <v>276</v>
      </c>
      <c r="F27" s="33"/>
      <c r="G27" s="33"/>
      <c r="H27" s="20"/>
      <c r="I27" s="95">
        <v>186425</v>
      </c>
      <c r="J27" s="95"/>
      <c r="K27" s="321"/>
      <c r="L27" s="303"/>
      <c r="M27" s="303" t="s">
        <v>264</v>
      </c>
      <c r="N27" s="303"/>
      <c r="O27" s="372"/>
      <c r="P27" s="303">
        <v>0</v>
      </c>
      <c r="Q27" s="304"/>
      <c r="R27" s="303">
        <v>2</v>
      </c>
      <c r="S27" s="303"/>
      <c r="T27" s="303"/>
      <c r="U27" s="303"/>
      <c r="V27" s="303"/>
      <c r="W27" s="330" t="str">
        <f>IF(COUNTIF(tblSeverityAnalysis[[#This Row],[CCCM]:[WASH]], 1)=0, "", COUNTIF(tblSeverityAnalysis[[#This Row],[CCCM]:[WASH]], 1))</f>
        <v/>
      </c>
      <c r="X27" s="331">
        <f>IF(COUNTIF(tblSeverityAnalysis[[#This Row],[CCCM]:[WASH]], 2)=0, "", COUNTIF(tblSeverityAnalysis[[#This Row],[CCCM]:[WASH]], 2))</f>
        <v>1</v>
      </c>
      <c r="Y27" s="331" t="str">
        <f>IF(COUNTIF(tblSeverityAnalysis[[#This Row],[CCCM]:[WASH]], 3)=0, "", COUNTIF(tblSeverityAnalysis[[#This Row],[CCCM]:[WASH]], 3))</f>
        <v/>
      </c>
      <c r="Z27" s="331" t="str">
        <f>IF(COUNTIF(tblSeverityAnalysis[[#This Row],[CCCM]:[WASH]], 4)=0, "", COUNTIF(tblSeverityAnalysis[[#This Row],[CCCM]:[WASH]], 4))</f>
        <v/>
      </c>
      <c r="AA27" s="332" t="str">
        <f>IF(COUNTIF(tblSeverityAnalysis[[#This Row],[CCCM]:[WASH]], 5)=0, "", COUNTIF(tblSeverityAnalysis[[#This Row],[CCCM]:[WASH]], 5))</f>
        <v/>
      </c>
      <c r="AB27" s="59" cm="1">
        <f t="array" ref="AB2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7" s="41" t="str">
        <f>IFERROR(IF(INDEX(tblSeverityReference[Malnutrition Severity],MATCH(tblSeverityAnalysis[[#This Row],[ID]], tblSeverityReference[ID], 0))= "", "",INDEX(tblSeverityReference[Malnutrition Severity],MATCH(tblSeverityAnalysis[[#This Row],[ID]], tblSeverityReference[ID], 0)) ), "")</f>
        <v/>
      </c>
      <c r="AE27" s="303">
        <f>IFERROR(IF(INDEX(tblSeverityReference[Epidemic Severity],MATCH(tblSeverityAnalysis[[#This Row],[ID]], tblSeverityReference[ID], 0))= "", "",INDEX(tblSeverityReference[Epidemic Severity],MATCH(tblSeverityAnalysis[[#This Row],[ID]], tblSeverityReference[ID], 0)) ), "")</f>
        <v>2.2352941176470589</v>
      </c>
      <c r="AF27" s="303" t="str">
        <f>IFERROR(IF(INDEX(tblSeverityReference[Coping Strategy Severity],MATCH(tblSeverityAnalysis[[#This Row],[ID]], tblSeverityReference[ID], 0))= "", "",INDEX(tblSeverityReference[Coping Strategy Severity],MATCH(tblSeverityAnalysis[[#This Row],[ID]], tblSeverityReference[ID], 0)) ), "")</f>
        <v/>
      </c>
      <c r="AG27" s="108" t="str">
        <f>IFERROR(IF(INDEX(tblSeverityReference[HR/IHL Violation],MATCH(tblSeverityAnalysis[[#This Row],[ID]], tblSeverityReference[ID], 0))= "", "",INDEX(tblSeverityReference[HR/IHL Violation],MATCH(tblSeverityAnalysis[[#This Row],[ID]], tblSeverityReference[ID], 0)) ), "")</f>
        <v/>
      </c>
      <c r="AH27" s="81">
        <f>IFERROR(AVERAGE(tblSeverityAnalysis[[#This Row],[CCCM]:[WASH]]), "")</f>
        <v>1</v>
      </c>
      <c r="AI27" s="27">
        <f>IF(SUM(tblSeverityAnalysis[[#This Row],[CCCM]:[WASH]])=0, "", MAX(tblSeverityAnalysis[[#This Row],[CCCM]:[WASH]]))</f>
        <v>2</v>
      </c>
      <c r="AJ27" s="333" t="str" cm="1">
        <f t="array" ref="AJ27">IFERROR(IF(tblSeverityAnalysis[[#This Row],[Highest Severity]]="", "", _xlfn.TEXTJOIN(CHAR(10), TRUE, IF(tblSeverityAnalysis[[#This Row],[CCCM]:[WASH]]=tblSeverityAnalysis[[#This Row],[Highest Severity]], tblSeverityAnalysis[[#Headers],[CCCM]:[WASH]], ""), "")), "")</f>
        <v>WASH</v>
      </c>
      <c r="AK27" s="27" cm="1">
        <f t="array" ref="AK27">IFERROR(MAX(_xlfn._xlws.FILTER(tblSeverityAnalysis[[#This Row],[CCCM]:[WASH]], tblSeverityAnalysis[[#This Row],[CCCM]:[WASH]]&lt;tblSeverityAnalysis[[#This Row],[Highest Severity]])), "")</f>
        <v>0</v>
      </c>
      <c r="AL27" s="313" t="str" cm="1">
        <f t="array" ref="AL2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27" s="132" t="str">
        <f>IFERROR(IF(AND(tblSeverityAnalysis[[#This Row],[5]] &lt;&gt; "", tblSeverityAnalysis[[#This Row],[5]]&gt;=sectors_sev_5), "Flagged", ""), "")</f>
        <v/>
      </c>
      <c r="AN27" s="133" t="str">
        <f>IFERROR(IF(AND(tblSeverityAnalysis[[#This Row],[Preliminary Intersectoral Severity based on overlap of sectoral deprivations]]=4, SUM(tblSeverityAnalysis[[#This Row],[ 4 ]:[5]])&gt;=sectors_sev_4), "Flagged", ""), "")</f>
        <v/>
      </c>
      <c r="AO27" s="133" t="str" cm="1">
        <f t="array" ref="AO2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7" s="335"/>
      <c r="AR27" s="336"/>
      <c r="AS27" s="335"/>
      <c r="AT27" s="337">
        <f>COUNTIF(tblSeverityAnalysis[[#This Row],[1 sector in severity phase 5 '[modify the threshold']]:[Manual Flag]], "Flagged")</f>
        <v>0</v>
      </c>
      <c r="AU27" s="338">
        <f>tblSeverityAnalysis[[#This Row],[Preliminary Intersectoral Severity based on overlap of sectoral deprivations]]</f>
        <v>1</v>
      </c>
      <c r="AV27" s="339"/>
    </row>
    <row r="28" spans="1:48" ht="15" hidden="1" customHeight="1">
      <c r="A2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MZ0208</v>
      </c>
      <c r="B28" s="39" t="s">
        <v>260</v>
      </c>
      <c r="C28" s="340" t="s">
        <v>261</v>
      </c>
      <c r="D28" s="340" t="s">
        <v>277</v>
      </c>
      <c r="E28" s="33" t="s">
        <v>278</v>
      </c>
      <c r="F28" s="33"/>
      <c r="G28" s="33"/>
      <c r="H28" s="20"/>
      <c r="I28" s="95">
        <v>102635</v>
      </c>
      <c r="J28" s="95"/>
      <c r="K28" s="321"/>
      <c r="L28" s="303"/>
      <c r="M28" s="303">
        <v>2</v>
      </c>
      <c r="N28" s="303">
        <v>3</v>
      </c>
      <c r="O28" s="372"/>
      <c r="P28" s="303">
        <v>0</v>
      </c>
      <c r="Q28" s="304"/>
      <c r="R28" s="303">
        <v>1</v>
      </c>
      <c r="S28" s="303"/>
      <c r="T28" s="303"/>
      <c r="U28" s="303"/>
      <c r="V28" s="303"/>
      <c r="W28" s="330">
        <f>IF(COUNTIF(tblSeverityAnalysis[[#This Row],[CCCM]:[WASH]], 1)=0, "", COUNTIF(tblSeverityAnalysis[[#This Row],[CCCM]:[WASH]], 1))</f>
        <v>1</v>
      </c>
      <c r="X28" s="331">
        <f>IF(COUNTIF(tblSeverityAnalysis[[#This Row],[CCCM]:[WASH]], 2)=0, "", COUNTIF(tblSeverityAnalysis[[#This Row],[CCCM]:[WASH]], 2))</f>
        <v>1</v>
      </c>
      <c r="Y28" s="331">
        <f>IF(COUNTIF(tblSeverityAnalysis[[#This Row],[CCCM]:[WASH]], 3)=0, "", COUNTIF(tblSeverityAnalysis[[#This Row],[CCCM]:[WASH]], 3))</f>
        <v>1</v>
      </c>
      <c r="Z28" s="331" t="str">
        <f>IF(COUNTIF(tblSeverityAnalysis[[#This Row],[CCCM]:[WASH]], 4)=0, "", COUNTIF(tblSeverityAnalysis[[#This Row],[CCCM]:[WASH]], 4))</f>
        <v/>
      </c>
      <c r="AA28" s="332" t="str">
        <f>IF(COUNTIF(tblSeverityAnalysis[[#This Row],[CCCM]:[WASH]], 5)=0, "", COUNTIF(tblSeverityAnalysis[[#This Row],[CCCM]:[WASH]], 5))</f>
        <v/>
      </c>
      <c r="AB28" s="59" cm="1">
        <f t="array" ref="AB2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8" s="41" t="str">
        <f>IFERROR(IF(INDEX(tblSeverityReference[Malnutrition Severity],MATCH(tblSeverityAnalysis[[#This Row],[ID]], tblSeverityReference[ID], 0))= "", "",INDEX(tblSeverityReference[Malnutrition Severity],MATCH(tblSeverityAnalysis[[#This Row],[ID]], tblSeverityReference[ID], 0)) ), "")</f>
        <v/>
      </c>
      <c r="AE28" s="303">
        <f>IFERROR(IF(INDEX(tblSeverityReference[Epidemic Severity],MATCH(tblSeverityAnalysis[[#This Row],[ID]], tblSeverityReference[ID], 0))= "", "",INDEX(tblSeverityReference[Epidemic Severity],MATCH(tblSeverityAnalysis[[#This Row],[ID]], tblSeverityReference[ID], 0)) ), "")</f>
        <v>2.2352941176470589</v>
      </c>
      <c r="AF28" s="303">
        <f>IFERROR(IF(INDEX(tblSeverityReference[Coping Strategy Severity],MATCH(tblSeverityAnalysis[[#This Row],[ID]], tblSeverityReference[ID], 0))= "", "",INDEX(tblSeverityReference[Coping Strategy Severity],MATCH(tblSeverityAnalysis[[#This Row],[ID]], tblSeverityReference[ID], 0)) ), "")</f>
        <v>3</v>
      </c>
      <c r="AG28" s="108" t="str">
        <f>IFERROR(IF(INDEX(tblSeverityReference[HR/IHL Violation],MATCH(tblSeverityAnalysis[[#This Row],[ID]], tblSeverityReference[ID], 0))= "", "",INDEX(tblSeverityReference[HR/IHL Violation],MATCH(tblSeverityAnalysis[[#This Row],[ID]], tblSeverityReference[ID], 0)) ), "")</f>
        <v/>
      </c>
      <c r="AH28" s="81">
        <f>IFERROR(AVERAGE(tblSeverityAnalysis[[#This Row],[CCCM]:[WASH]]), "")</f>
        <v>1.5</v>
      </c>
      <c r="AI28" s="27">
        <f>IF(SUM(tblSeverityAnalysis[[#This Row],[CCCM]:[WASH]])=0, "", MAX(tblSeverityAnalysis[[#This Row],[CCCM]:[WASH]]))</f>
        <v>3</v>
      </c>
      <c r="AJ28" s="333" t="str" cm="1">
        <f t="array" ref="AJ28">IFERROR(IF(tblSeverityAnalysis[[#This Row],[Highest Severity]]="", "", _xlfn.TEXTJOIN(CHAR(10), TRUE, IF(tblSeverityAnalysis[[#This Row],[CCCM]:[WASH]]=tblSeverityAnalysis[[#This Row],[Highest Severity]], tblSeverityAnalysis[[#Headers],[CCCM]:[WASH]], ""), "")), "")</f>
        <v>Food Security</v>
      </c>
      <c r="AK28" s="27" cm="1">
        <f t="array" ref="AK28">IFERROR(MAX(_xlfn._xlws.FILTER(tblSeverityAnalysis[[#This Row],[CCCM]:[WASH]], tblSeverityAnalysis[[#This Row],[CCCM]:[WASH]]&lt;tblSeverityAnalysis[[#This Row],[Highest Severity]])), "")</f>
        <v>2</v>
      </c>
      <c r="AL28" s="313" t="str" cm="1">
        <f t="array" ref="AL28">IFERROR(IF(tblSeverityAnalysis[[#This Row],[2nd Highest Severity]]="", "", _xlfn.TEXTJOIN(CHAR(10), TRUE, IF(tblSeverityAnalysis[[#This Row],[CCCM]:[WASH]]=tblSeverityAnalysis[[#This Row],[2nd Highest Severity]], tblSeverityAnalysis[[#Headers],[CCCM]:[WASH]], ""), "")), "")</f>
        <v>Nutrition</v>
      </c>
      <c r="AM28" s="132" t="str">
        <f>IFERROR(IF(AND(tblSeverityAnalysis[[#This Row],[5]] &lt;&gt; "", tblSeverityAnalysis[[#This Row],[5]]&gt;=sectors_sev_5), "Flagged", ""), "")</f>
        <v/>
      </c>
      <c r="AN28" s="133" t="str">
        <f>IFERROR(IF(AND(tblSeverityAnalysis[[#This Row],[Preliminary Intersectoral Severity based on overlap of sectoral deprivations]]=4, SUM(tblSeverityAnalysis[[#This Row],[ 4 ]:[5]])&gt;=sectors_sev_4), "Flagged", ""), "")</f>
        <v/>
      </c>
      <c r="AO28" s="133" t="str" cm="1">
        <f t="array" ref="AO2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8" s="335"/>
      <c r="AR28" s="336"/>
      <c r="AS28" s="335"/>
      <c r="AT28" s="337">
        <f>COUNTIF(tblSeverityAnalysis[[#This Row],[1 sector in severity phase 5 '[modify the threshold']]:[Manual Flag]], "Flagged")</f>
        <v>2</v>
      </c>
      <c r="AU28" s="338">
        <f>tblSeverityAnalysis[[#This Row],[Preliminary Intersectoral Severity based on overlap of sectoral deprivations]]</f>
        <v>1</v>
      </c>
      <c r="AV28" s="339"/>
    </row>
    <row r="29" spans="1:48" ht="15" hidden="1" customHeight="1">
      <c r="A2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MZ0209</v>
      </c>
      <c r="B29" s="39" t="s">
        <v>260</v>
      </c>
      <c r="C29" s="340" t="s">
        <v>261</v>
      </c>
      <c r="D29" s="340" t="s">
        <v>279</v>
      </c>
      <c r="E29" s="33" t="s">
        <v>280</v>
      </c>
      <c r="F29" s="33"/>
      <c r="G29" s="33"/>
      <c r="H29" s="20"/>
      <c r="I29" s="95">
        <v>180614</v>
      </c>
      <c r="J29" s="95"/>
      <c r="K29" s="321"/>
      <c r="L29" s="303"/>
      <c r="M29" s="303" t="s">
        <v>264</v>
      </c>
      <c r="N29" s="303"/>
      <c r="O29" s="372"/>
      <c r="P29" s="303">
        <v>0</v>
      </c>
      <c r="Q29" s="304"/>
      <c r="R29" s="303">
        <v>2</v>
      </c>
      <c r="S29" s="303"/>
      <c r="T29" s="303"/>
      <c r="U29" s="303"/>
      <c r="V29" s="303"/>
      <c r="W29" s="330" t="str">
        <f>IF(COUNTIF(tblSeverityAnalysis[[#This Row],[CCCM]:[WASH]], 1)=0, "", COUNTIF(tblSeverityAnalysis[[#This Row],[CCCM]:[WASH]], 1))</f>
        <v/>
      </c>
      <c r="X29" s="331">
        <f>IF(COUNTIF(tblSeverityAnalysis[[#This Row],[CCCM]:[WASH]], 2)=0, "", COUNTIF(tblSeverityAnalysis[[#This Row],[CCCM]:[WASH]], 2))</f>
        <v>1</v>
      </c>
      <c r="Y29" s="331" t="str">
        <f>IF(COUNTIF(tblSeverityAnalysis[[#This Row],[CCCM]:[WASH]], 3)=0, "", COUNTIF(tblSeverityAnalysis[[#This Row],[CCCM]:[WASH]], 3))</f>
        <v/>
      </c>
      <c r="Z29" s="331" t="str">
        <f>IF(COUNTIF(tblSeverityAnalysis[[#This Row],[CCCM]:[WASH]], 4)=0, "", COUNTIF(tblSeverityAnalysis[[#This Row],[CCCM]:[WASH]], 4))</f>
        <v/>
      </c>
      <c r="AA29" s="332" t="str">
        <f>IF(COUNTIF(tblSeverityAnalysis[[#This Row],[CCCM]:[WASH]], 5)=0, "", COUNTIF(tblSeverityAnalysis[[#This Row],[CCCM]:[WASH]], 5))</f>
        <v/>
      </c>
      <c r="AB29" s="59" cm="1">
        <f t="array" ref="AB2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2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9" s="41" t="str">
        <f>IFERROR(IF(INDEX(tblSeverityReference[Malnutrition Severity],MATCH(tblSeverityAnalysis[[#This Row],[ID]], tblSeverityReference[ID], 0))= "", "",INDEX(tblSeverityReference[Malnutrition Severity],MATCH(tblSeverityAnalysis[[#This Row],[ID]], tblSeverityReference[ID], 0)) ), "")</f>
        <v/>
      </c>
      <c r="AE29" s="303">
        <f>IFERROR(IF(INDEX(tblSeverityReference[Epidemic Severity],MATCH(tblSeverityAnalysis[[#This Row],[ID]], tblSeverityReference[ID], 0))= "", "",INDEX(tblSeverityReference[Epidemic Severity],MATCH(tblSeverityAnalysis[[#This Row],[ID]], tblSeverityReference[ID], 0)) ), "")</f>
        <v>2.2352941176470589</v>
      </c>
      <c r="AF29" s="303" t="str">
        <f>IFERROR(IF(INDEX(tblSeverityReference[Coping Strategy Severity],MATCH(tblSeverityAnalysis[[#This Row],[ID]], tblSeverityReference[ID], 0))= "", "",INDEX(tblSeverityReference[Coping Strategy Severity],MATCH(tblSeverityAnalysis[[#This Row],[ID]], tblSeverityReference[ID], 0)) ), "")</f>
        <v/>
      </c>
      <c r="AG29" s="108" t="str">
        <f>IFERROR(IF(INDEX(tblSeverityReference[HR/IHL Violation],MATCH(tblSeverityAnalysis[[#This Row],[ID]], tblSeverityReference[ID], 0))= "", "",INDEX(tblSeverityReference[HR/IHL Violation],MATCH(tblSeverityAnalysis[[#This Row],[ID]], tblSeverityReference[ID], 0)) ), "")</f>
        <v/>
      </c>
      <c r="AH29" s="81">
        <f>IFERROR(AVERAGE(tblSeverityAnalysis[[#This Row],[CCCM]:[WASH]]), "")</f>
        <v>1</v>
      </c>
      <c r="AI29" s="27">
        <f>IF(SUM(tblSeverityAnalysis[[#This Row],[CCCM]:[WASH]])=0, "", MAX(tblSeverityAnalysis[[#This Row],[CCCM]:[WASH]]))</f>
        <v>2</v>
      </c>
      <c r="AJ29" s="333" t="str" cm="1">
        <f t="array" ref="AJ29">IFERROR(IF(tblSeverityAnalysis[[#This Row],[Highest Severity]]="", "", _xlfn.TEXTJOIN(CHAR(10), TRUE, IF(tblSeverityAnalysis[[#This Row],[CCCM]:[WASH]]=tblSeverityAnalysis[[#This Row],[Highest Severity]], tblSeverityAnalysis[[#Headers],[CCCM]:[WASH]], ""), "")), "")</f>
        <v>WASH</v>
      </c>
      <c r="AK29" s="27" cm="1">
        <f t="array" ref="AK29">IFERROR(MAX(_xlfn._xlws.FILTER(tblSeverityAnalysis[[#This Row],[CCCM]:[WASH]], tblSeverityAnalysis[[#This Row],[CCCM]:[WASH]]&lt;tblSeverityAnalysis[[#This Row],[Highest Severity]])), "")</f>
        <v>0</v>
      </c>
      <c r="AL29" s="313" t="str" cm="1">
        <f t="array" ref="AL2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29" s="132" t="str">
        <f>IFERROR(IF(AND(tblSeverityAnalysis[[#This Row],[5]] &lt;&gt; "", tblSeverityAnalysis[[#This Row],[5]]&gt;=sectors_sev_5), "Flagged", ""), "")</f>
        <v/>
      </c>
      <c r="AN29" s="133" t="str">
        <f>IFERROR(IF(AND(tblSeverityAnalysis[[#This Row],[Preliminary Intersectoral Severity based on overlap of sectoral deprivations]]=4, SUM(tblSeverityAnalysis[[#This Row],[ 4 ]:[5]])&gt;=sectors_sev_4), "Flagged", ""), "")</f>
        <v/>
      </c>
      <c r="AO29" s="133" t="str" cm="1">
        <f t="array" ref="AO2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9" s="335"/>
      <c r="AR29" s="336"/>
      <c r="AS29" s="335"/>
      <c r="AT29" s="337">
        <f>COUNTIF(tblSeverityAnalysis[[#This Row],[1 sector in severity phase 5 '[modify the threshold']]:[Manual Flag]], "Flagged")</f>
        <v>0</v>
      </c>
      <c r="AU29" s="338">
        <f>tblSeverityAnalysis[[#This Row],[Preliminary Intersectoral Severity based on overlap of sectoral deprivations]]</f>
        <v>1</v>
      </c>
      <c r="AV29" s="339"/>
    </row>
    <row r="30" spans="1:48" ht="15" hidden="1" customHeight="1">
      <c r="A3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MZ0210</v>
      </c>
      <c r="B30" s="39" t="s">
        <v>260</v>
      </c>
      <c r="C30" s="340" t="s">
        <v>261</v>
      </c>
      <c r="D30" s="340" t="s">
        <v>281</v>
      </c>
      <c r="E30" s="33" t="s">
        <v>282</v>
      </c>
      <c r="F30" s="33"/>
      <c r="G30" s="33"/>
      <c r="H30" s="20"/>
      <c r="I30" s="95">
        <v>42998</v>
      </c>
      <c r="J30" s="95"/>
      <c r="K30" s="321"/>
      <c r="L30" s="303"/>
      <c r="M30" s="303">
        <v>2</v>
      </c>
      <c r="N30" s="303">
        <v>3</v>
      </c>
      <c r="O30" s="372"/>
      <c r="P30" s="303">
        <v>0</v>
      </c>
      <c r="Q30" s="304"/>
      <c r="R30" s="303">
        <v>2</v>
      </c>
      <c r="S30" s="303"/>
      <c r="T30" s="303"/>
      <c r="U30" s="303"/>
      <c r="V30" s="303"/>
      <c r="W30" s="330" t="str">
        <f>IF(COUNTIF(tblSeverityAnalysis[[#This Row],[CCCM]:[WASH]], 1)=0, "", COUNTIF(tblSeverityAnalysis[[#This Row],[CCCM]:[WASH]], 1))</f>
        <v/>
      </c>
      <c r="X30" s="331">
        <f>IF(COUNTIF(tblSeverityAnalysis[[#This Row],[CCCM]:[WASH]], 2)=0, "", COUNTIF(tblSeverityAnalysis[[#This Row],[CCCM]:[WASH]], 2))</f>
        <v>2</v>
      </c>
      <c r="Y30" s="331">
        <f>IF(COUNTIF(tblSeverityAnalysis[[#This Row],[CCCM]:[WASH]], 3)=0, "", COUNTIF(tblSeverityAnalysis[[#This Row],[CCCM]:[WASH]], 3))</f>
        <v>1</v>
      </c>
      <c r="Z30" s="331" t="str">
        <f>IF(COUNTIF(tblSeverityAnalysis[[#This Row],[CCCM]:[WASH]], 4)=0, "", COUNTIF(tblSeverityAnalysis[[#This Row],[CCCM]:[WASH]], 4))</f>
        <v/>
      </c>
      <c r="AA30" s="332" t="str">
        <f>IF(COUNTIF(tblSeverityAnalysis[[#This Row],[CCCM]:[WASH]], 5)=0, "", COUNTIF(tblSeverityAnalysis[[#This Row],[CCCM]:[WASH]], 5))</f>
        <v/>
      </c>
      <c r="AB30" s="59" cm="1">
        <f t="array" ref="AB3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0" s="41" t="str">
        <f>IFERROR(IF(INDEX(tblSeverityReference[Malnutrition Severity],MATCH(tblSeverityAnalysis[[#This Row],[ID]], tblSeverityReference[ID], 0))= "", "",INDEX(tblSeverityReference[Malnutrition Severity],MATCH(tblSeverityAnalysis[[#This Row],[ID]], tblSeverityReference[ID], 0)) ), "")</f>
        <v/>
      </c>
      <c r="AE30" s="303">
        <f>IFERROR(IF(INDEX(tblSeverityReference[Epidemic Severity],MATCH(tblSeverityAnalysis[[#This Row],[ID]], tblSeverityReference[ID], 0))= "", "",INDEX(tblSeverityReference[Epidemic Severity],MATCH(tblSeverityAnalysis[[#This Row],[ID]], tblSeverityReference[ID], 0)) ), "")</f>
        <v>2.2352941176470589</v>
      </c>
      <c r="AF30" s="303">
        <f>IFERROR(IF(INDEX(tblSeverityReference[Coping Strategy Severity],MATCH(tblSeverityAnalysis[[#This Row],[ID]], tblSeverityReference[ID], 0))= "", "",INDEX(tblSeverityReference[Coping Strategy Severity],MATCH(tblSeverityAnalysis[[#This Row],[ID]], tblSeverityReference[ID], 0)) ), "")</f>
        <v>3</v>
      </c>
      <c r="AG30" s="108" t="str">
        <f>IFERROR(IF(INDEX(tblSeverityReference[HR/IHL Violation],MATCH(tblSeverityAnalysis[[#This Row],[ID]], tblSeverityReference[ID], 0))= "", "",INDEX(tblSeverityReference[HR/IHL Violation],MATCH(tblSeverityAnalysis[[#This Row],[ID]], tblSeverityReference[ID], 0)) ), "")</f>
        <v/>
      </c>
      <c r="AH30" s="81">
        <f>IFERROR(AVERAGE(tblSeverityAnalysis[[#This Row],[CCCM]:[WASH]]), "")</f>
        <v>1.75</v>
      </c>
      <c r="AI30" s="27">
        <f>IF(SUM(tblSeverityAnalysis[[#This Row],[CCCM]:[WASH]])=0, "", MAX(tblSeverityAnalysis[[#This Row],[CCCM]:[WASH]]))</f>
        <v>3</v>
      </c>
      <c r="AJ30" s="333" t="str" cm="1">
        <f t="array" ref="AJ30">IFERROR(IF(tblSeverityAnalysis[[#This Row],[Highest Severity]]="", "", _xlfn.TEXTJOIN(CHAR(10), TRUE, IF(tblSeverityAnalysis[[#This Row],[CCCM]:[WASH]]=tblSeverityAnalysis[[#This Row],[Highest Severity]], tblSeverityAnalysis[[#Headers],[CCCM]:[WASH]], ""), "")), "")</f>
        <v>Food Security</v>
      </c>
      <c r="AK30" s="27" cm="1">
        <f t="array" ref="AK30">IFERROR(MAX(_xlfn._xlws.FILTER(tblSeverityAnalysis[[#This Row],[CCCM]:[WASH]], tblSeverityAnalysis[[#This Row],[CCCM]:[WASH]]&lt;tblSeverityAnalysis[[#This Row],[Highest Severity]])), "")</f>
        <v>2</v>
      </c>
      <c r="AL30" s="313" t="str" cm="1">
        <f t="array" ref="AL30">IFERROR(IF(tblSeverityAnalysis[[#This Row],[2nd Highest Severity]]="", "", _xlfn.TEXTJOIN(CHAR(10), TRUE, IF(tblSeverityAnalysis[[#This Row],[CCCM]:[WASH]]=tblSeverityAnalysis[[#This Row],[2nd Highest Severity]], tblSeverityAnalysis[[#Headers],[CCCM]:[WASH]], ""), "")), "")</f>
        <v>Nutrition
WASH</v>
      </c>
      <c r="AM30" s="132" t="str">
        <f>IFERROR(IF(AND(tblSeverityAnalysis[[#This Row],[5]] &lt;&gt; "", tblSeverityAnalysis[[#This Row],[5]]&gt;=sectors_sev_5), "Flagged", ""), "")</f>
        <v/>
      </c>
      <c r="AN30" s="133" t="str">
        <f>IFERROR(IF(AND(tblSeverityAnalysis[[#This Row],[Preliminary Intersectoral Severity based on overlap of sectoral deprivations]]=4, SUM(tblSeverityAnalysis[[#This Row],[ 4 ]:[5]])&gt;=sectors_sev_4), "Flagged", ""), "")</f>
        <v/>
      </c>
      <c r="AO30" s="133" t="str" cm="1">
        <f t="array" ref="AO3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0" s="335"/>
      <c r="AR30" s="336"/>
      <c r="AS30" s="335"/>
      <c r="AT30" s="337">
        <f>COUNTIF(tblSeverityAnalysis[[#This Row],[1 sector in severity phase 5 '[modify the threshold']]:[Manual Flag]], "Flagged")</f>
        <v>2</v>
      </c>
      <c r="AU30" s="338">
        <f>tblSeverityAnalysis[[#This Row],[Preliminary Intersectoral Severity based on overlap of sectoral deprivations]]</f>
        <v>1</v>
      </c>
      <c r="AV30" s="339"/>
    </row>
    <row r="31" spans="1:48" ht="15" hidden="1" customHeight="1">
      <c r="A3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MZ0211</v>
      </c>
      <c r="B31" s="39" t="s">
        <v>260</v>
      </c>
      <c r="C31" s="340" t="s">
        <v>261</v>
      </c>
      <c r="D31" s="340" t="s">
        <v>283</v>
      </c>
      <c r="E31" s="33" t="s">
        <v>284</v>
      </c>
      <c r="F31" s="33"/>
      <c r="G31" s="33"/>
      <c r="H31" s="20"/>
      <c r="I31" s="95">
        <v>159767</v>
      </c>
      <c r="J31" s="95"/>
      <c r="K31" s="321"/>
      <c r="L31" s="303"/>
      <c r="M31" s="303" t="s">
        <v>264</v>
      </c>
      <c r="N31" s="303"/>
      <c r="O31" s="372"/>
      <c r="P31" s="303">
        <v>0</v>
      </c>
      <c r="Q31" s="304"/>
      <c r="R31" s="303">
        <v>2</v>
      </c>
      <c r="S31" s="303"/>
      <c r="T31" s="303"/>
      <c r="U31" s="303"/>
      <c r="V31" s="303"/>
      <c r="W31" s="330" t="str">
        <f>IF(COUNTIF(tblSeverityAnalysis[[#This Row],[CCCM]:[WASH]], 1)=0, "", COUNTIF(tblSeverityAnalysis[[#This Row],[CCCM]:[WASH]], 1))</f>
        <v/>
      </c>
      <c r="X31" s="331">
        <f>IF(COUNTIF(tblSeverityAnalysis[[#This Row],[CCCM]:[WASH]], 2)=0, "", COUNTIF(tblSeverityAnalysis[[#This Row],[CCCM]:[WASH]], 2))</f>
        <v>1</v>
      </c>
      <c r="Y31" s="331" t="str">
        <f>IF(COUNTIF(tblSeverityAnalysis[[#This Row],[CCCM]:[WASH]], 3)=0, "", COUNTIF(tblSeverityAnalysis[[#This Row],[CCCM]:[WASH]], 3))</f>
        <v/>
      </c>
      <c r="Z31" s="331" t="str">
        <f>IF(COUNTIF(tblSeverityAnalysis[[#This Row],[CCCM]:[WASH]], 4)=0, "", COUNTIF(tblSeverityAnalysis[[#This Row],[CCCM]:[WASH]], 4))</f>
        <v/>
      </c>
      <c r="AA31" s="332" t="str">
        <f>IF(COUNTIF(tblSeverityAnalysis[[#This Row],[CCCM]:[WASH]], 5)=0, "", COUNTIF(tblSeverityAnalysis[[#This Row],[CCCM]:[WASH]], 5))</f>
        <v/>
      </c>
      <c r="AB31" s="59" cm="1">
        <f t="array" ref="AB3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1" s="41" t="str">
        <f>IFERROR(IF(INDEX(tblSeverityReference[Malnutrition Severity],MATCH(tblSeverityAnalysis[[#This Row],[ID]], tblSeverityReference[ID], 0))= "", "",INDEX(tblSeverityReference[Malnutrition Severity],MATCH(tblSeverityAnalysis[[#This Row],[ID]], tblSeverityReference[ID], 0)) ), "")</f>
        <v/>
      </c>
      <c r="AE31" s="303">
        <f>IFERROR(IF(INDEX(tblSeverityReference[Epidemic Severity],MATCH(tblSeverityAnalysis[[#This Row],[ID]], tblSeverityReference[ID], 0))= "", "",INDEX(tblSeverityReference[Epidemic Severity],MATCH(tblSeverityAnalysis[[#This Row],[ID]], tblSeverityReference[ID], 0)) ), "")</f>
        <v>2.2352941176470589</v>
      </c>
      <c r="AF31" s="303" t="str">
        <f>IFERROR(IF(INDEX(tblSeverityReference[Coping Strategy Severity],MATCH(tblSeverityAnalysis[[#This Row],[ID]], tblSeverityReference[ID], 0))= "", "",INDEX(tblSeverityReference[Coping Strategy Severity],MATCH(tblSeverityAnalysis[[#This Row],[ID]], tblSeverityReference[ID], 0)) ), "")</f>
        <v/>
      </c>
      <c r="AG31" s="108" t="str">
        <f>IFERROR(IF(INDEX(tblSeverityReference[HR/IHL Violation],MATCH(tblSeverityAnalysis[[#This Row],[ID]], tblSeverityReference[ID], 0))= "", "",INDEX(tblSeverityReference[HR/IHL Violation],MATCH(tblSeverityAnalysis[[#This Row],[ID]], tblSeverityReference[ID], 0)) ), "")</f>
        <v/>
      </c>
      <c r="AH31" s="81">
        <f>IFERROR(AVERAGE(tblSeverityAnalysis[[#This Row],[CCCM]:[WASH]]), "")</f>
        <v>1</v>
      </c>
      <c r="AI31" s="27">
        <f>IF(SUM(tblSeverityAnalysis[[#This Row],[CCCM]:[WASH]])=0, "", MAX(tblSeverityAnalysis[[#This Row],[CCCM]:[WASH]]))</f>
        <v>2</v>
      </c>
      <c r="AJ31" s="333" t="str" cm="1">
        <f t="array" ref="AJ31">IFERROR(IF(tblSeverityAnalysis[[#This Row],[Highest Severity]]="", "", _xlfn.TEXTJOIN(CHAR(10), TRUE, IF(tblSeverityAnalysis[[#This Row],[CCCM]:[WASH]]=tblSeverityAnalysis[[#This Row],[Highest Severity]], tblSeverityAnalysis[[#Headers],[CCCM]:[WASH]], ""), "")), "")</f>
        <v>WASH</v>
      </c>
      <c r="AK31" s="27" cm="1">
        <f t="array" ref="AK31">IFERROR(MAX(_xlfn._xlws.FILTER(tblSeverityAnalysis[[#This Row],[CCCM]:[WASH]], tblSeverityAnalysis[[#This Row],[CCCM]:[WASH]]&lt;tblSeverityAnalysis[[#This Row],[Highest Severity]])), "")</f>
        <v>0</v>
      </c>
      <c r="AL31" s="313" t="str" cm="1">
        <f t="array" ref="AL3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31" s="132" t="str">
        <f>IFERROR(IF(AND(tblSeverityAnalysis[[#This Row],[5]] &lt;&gt; "", tblSeverityAnalysis[[#This Row],[5]]&gt;=sectors_sev_5), "Flagged", ""), "")</f>
        <v/>
      </c>
      <c r="AN31" s="133" t="str">
        <f>IFERROR(IF(AND(tblSeverityAnalysis[[#This Row],[Preliminary Intersectoral Severity based on overlap of sectoral deprivations]]=4, SUM(tblSeverityAnalysis[[#This Row],[ 4 ]:[5]])&gt;=sectors_sev_4), "Flagged", ""), "")</f>
        <v/>
      </c>
      <c r="AO31" s="133" t="str" cm="1">
        <f t="array" ref="AO3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1" s="335"/>
      <c r="AR31" s="336"/>
      <c r="AS31" s="335"/>
      <c r="AT31" s="337">
        <f>COUNTIF(tblSeverityAnalysis[[#This Row],[1 sector in severity phase 5 '[modify the threshold']]:[Manual Flag]], "Flagged")</f>
        <v>0</v>
      </c>
      <c r="AU31" s="338">
        <f>tblSeverityAnalysis[[#This Row],[Preliminary Intersectoral Severity based on overlap of sectoral deprivations]]</f>
        <v>1</v>
      </c>
      <c r="AV31" s="339"/>
    </row>
    <row r="32" spans="1:48" ht="15" hidden="1" customHeight="1">
      <c r="A3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MZ0212</v>
      </c>
      <c r="B32" s="39" t="s">
        <v>260</v>
      </c>
      <c r="C32" s="340" t="s">
        <v>261</v>
      </c>
      <c r="D32" s="340" t="s">
        <v>285</v>
      </c>
      <c r="E32" s="33" t="s">
        <v>286</v>
      </c>
      <c r="F32" s="33"/>
      <c r="G32" s="33"/>
      <c r="H32" s="20"/>
      <c r="I32" s="95">
        <v>32120</v>
      </c>
      <c r="J32" s="95"/>
      <c r="K32" s="321"/>
      <c r="L32" s="303"/>
      <c r="M32" s="303" t="s">
        <v>264</v>
      </c>
      <c r="N32" s="303"/>
      <c r="O32" s="372"/>
      <c r="P32" s="303">
        <v>0</v>
      </c>
      <c r="Q32" s="304"/>
      <c r="R32" s="303">
        <v>3</v>
      </c>
      <c r="S32" s="303"/>
      <c r="T32" s="303"/>
      <c r="U32" s="303"/>
      <c r="V32" s="303"/>
      <c r="W32" s="330" t="str">
        <f>IF(COUNTIF(tblSeverityAnalysis[[#This Row],[CCCM]:[WASH]], 1)=0, "", COUNTIF(tblSeverityAnalysis[[#This Row],[CCCM]:[WASH]], 1))</f>
        <v/>
      </c>
      <c r="X32" s="331" t="str">
        <f>IF(COUNTIF(tblSeverityAnalysis[[#This Row],[CCCM]:[WASH]], 2)=0, "", COUNTIF(tblSeverityAnalysis[[#This Row],[CCCM]:[WASH]], 2))</f>
        <v/>
      </c>
      <c r="Y32" s="331">
        <f>IF(COUNTIF(tblSeverityAnalysis[[#This Row],[CCCM]:[WASH]], 3)=0, "", COUNTIF(tblSeverityAnalysis[[#This Row],[CCCM]:[WASH]], 3))</f>
        <v>1</v>
      </c>
      <c r="Z32" s="331" t="str">
        <f>IF(COUNTIF(tblSeverityAnalysis[[#This Row],[CCCM]:[WASH]], 4)=0, "", COUNTIF(tblSeverityAnalysis[[#This Row],[CCCM]:[WASH]], 4))</f>
        <v/>
      </c>
      <c r="AA32" s="332" t="str">
        <f>IF(COUNTIF(tblSeverityAnalysis[[#This Row],[CCCM]:[WASH]], 5)=0, "", COUNTIF(tblSeverityAnalysis[[#This Row],[CCCM]:[WASH]], 5))</f>
        <v/>
      </c>
      <c r="AB32" s="59" cm="1">
        <f t="array" ref="AB3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2" s="41" t="str">
        <f>IFERROR(IF(INDEX(tblSeverityReference[Malnutrition Severity],MATCH(tblSeverityAnalysis[[#This Row],[ID]], tblSeverityReference[ID], 0))= "", "",INDEX(tblSeverityReference[Malnutrition Severity],MATCH(tblSeverityAnalysis[[#This Row],[ID]], tblSeverityReference[ID], 0)) ), "")</f>
        <v/>
      </c>
      <c r="AE32" s="303">
        <f>IFERROR(IF(INDEX(tblSeverityReference[Epidemic Severity],MATCH(tblSeverityAnalysis[[#This Row],[ID]], tblSeverityReference[ID], 0))= "", "",INDEX(tblSeverityReference[Epidemic Severity],MATCH(tblSeverityAnalysis[[#This Row],[ID]], tblSeverityReference[ID], 0)) ), "")</f>
        <v>2.8235294117647061</v>
      </c>
      <c r="AF32" s="303">
        <f>IFERROR(IF(INDEX(tblSeverityReference[Coping Strategy Severity],MATCH(tblSeverityAnalysis[[#This Row],[ID]], tblSeverityReference[ID], 0))= "", "",INDEX(tblSeverityReference[Coping Strategy Severity],MATCH(tblSeverityAnalysis[[#This Row],[ID]], tblSeverityReference[ID], 0)) ), "")</f>
        <v>3</v>
      </c>
      <c r="AG32" s="108" t="str">
        <f>IFERROR(IF(INDEX(tblSeverityReference[HR/IHL Violation],MATCH(tblSeverityAnalysis[[#This Row],[ID]], tblSeverityReference[ID], 0))= "", "",INDEX(tblSeverityReference[HR/IHL Violation],MATCH(tblSeverityAnalysis[[#This Row],[ID]], tblSeverityReference[ID], 0)) ), "")</f>
        <v/>
      </c>
      <c r="AH32" s="81">
        <f>IFERROR(AVERAGE(tblSeverityAnalysis[[#This Row],[CCCM]:[WASH]]), "")</f>
        <v>1.5</v>
      </c>
      <c r="AI32" s="27">
        <f>IF(SUM(tblSeverityAnalysis[[#This Row],[CCCM]:[WASH]])=0, "", MAX(tblSeverityAnalysis[[#This Row],[CCCM]:[WASH]]))</f>
        <v>3</v>
      </c>
      <c r="AJ32" s="333" t="str" cm="1">
        <f t="array" ref="AJ32">IFERROR(IF(tblSeverityAnalysis[[#This Row],[Highest Severity]]="", "", _xlfn.TEXTJOIN(CHAR(10), TRUE, IF(tblSeverityAnalysis[[#This Row],[CCCM]:[WASH]]=tblSeverityAnalysis[[#This Row],[Highest Severity]], tblSeverityAnalysis[[#Headers],[CCCM]:[WASH]], ""), "")), "")</f>
        <v>WASH</v>
      </c>
      <c r="AK32" s="27" cm="1">
        <f t="array" ref="AK32">IFERROR(MAX(_xlfn._xlws.FILTER(tblSeverityAnalysis[[#This Row],[CCCM]:[WASH]], tblSeverityAnalysis[[#This Row],[CCCM]:[WASH]]&lt;tblSeverityAnalysis[[#This Row],[Highest Severity]])), "")</f>
        <v>0</v>
      </c>
      <c r="AL32" s="313" t="str" cm="1">
        <f t="array" ref="AL3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32" s="132" t="str">
        <f>IFERROR(IF(AND(tblSeverityAnalysis[[#This Row],[5]] &lt;&gt; "", tblSeverityAnalysis[[#This Row],[5]]&gt;=sectors_sev_5), "Flagged", ""), "")</f>
        <v/>
      </c>
      <c r="AN32" s="133" t="str">
        <f>IFERROR(IF(AND(tblSeverityAnalysis[[#This Row],[Preliminary Intersectoral Severity based on overlap of sectoral deprivations]]=4, SUM(tblSeverityAnalysis[[#This Row],[ 4 ]:[5]])&gt;=sectors_sev_4), "Flagged", ""), "")</f>
        <v/>
      </c>
      <c r="AO32" s="133" t="str" cm="1">
        <f t="array" ref="AO3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2" s="335"/>
      <c r="AR32" s="336"/>
      <c r="AS32" s="335"/>
      <c r="AT32" s="337">
        <f>COUNTIF(tblSeverityAnalysis[[#This Row],[1 sector in severity phase 5 '[modify the threshold']]:[Manual Flag]], "Flagged")</f>
        <v>2</v>
      </c>
      <c r="AU32" s="338">
        <f>tblSeverityAnalysis[[#This Row],[Preliminary Intersectoral Severity based on overlap of sectoral deprivations]]</f>
        <v>1</v>
      </c>
      <c r="AV32" s="339"/>
    </row>
    <row r="33" spans="1:48" ht="15" hidden="1" customHeight="1">
      <c r="A3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MZ0213</v>
      </c>
      <c r="B33" s="39" t="s">
        <v>260</v>
      </c>
      <c r="C33" s="340" t="s">
        <v>261</v>
      </c>
      <c r="D33" s="340" t="s">
        <v>287</v>
      </c>
      <c r="E33" s="33" t="s">
        <v>288</v>
      </c>
      <c r="F33" s="33"/>
      <c r="G33" s="33"/>
      <c r="H33" s="20"/>
      <c r="I33" s="95">
        <v>25433</v>
      </c>
      <c r="J33" s="95"/>
      <c r="K33" s="321"/>
      <c r="L33" s="303"/>
      <c r="M33" s="303" t="s">
        <v>264</v>
      </c>
      <c r="N33" s="303"/>
      <c r="O33" s="372"/>
      <c r="P33" s="303">
        <v>0</v>
      </c>
      <c r="Q33" s="304"/>
      <c r="R33" s="303">
        <v>3</v>
      </c>
      <c r="S33" s="303"/>
      <c r="T33" s="303"/>
      <c r="U33" s="303"/>
      <c r="V33" s="303"/>
      <c r="W33" s="330" t="str">
        <f>IF(COUNTIF(tblSeverityAnalysis[[#This Row],[CCCM]:[WASH]], 1)=0, "", COUNTIF(tblSeverityAnalysis[[#This Row],[CCCM]:[WASH]], 1))</f>
        <v/>
      </c>
      <c r="X33" s="331" t="str">
        <f>IF(COUNTIF(tblSeverityAnalysis[[#This Row],[CCCM]:[WASH]], 2)=0, "", COUNTIF(tblSeverityAnalysis[[#This Row],[CCCM]:[WASH]], 2))</f>
        <v/>
      </c>
      <c r="Y33" s="331">
        <f>IF(COUNTIF(tblSeverityAnalysis[[#This Row],[CCCM]:[WASH]], 3)=0, "", COUNTIF(tblSeverityAnalysis[[#This Row],[CCCM]:[WASH]], 3))</f>
        <v>1</v>
      </c>
      <c r="Z33" s="331" t="str">
        <f>IF(COUNTIF(tblSeverityAnalysis[[#This Row],[CCCM]:[WASH]], 4)=0, "", COUNTIF(tblSeverityAnalysis[[#This Row],[CCCM]:[WASH]], 4))</f>
        <v/>
      </c>
      <c r="AA33" s="332" t="str">
        <f>IF(COUNTIF(tblSeverityAnalysis[[#This Row],[CCCM]:[WASH]], 5)=0, "", COUNTIF(tblSeverityAnalysis[[#This Row],[CCCM]:[WASH]], 5))</f>
        <v/>
      </c>
      <c r="AB33" s="59" cm="1">
        <f t="array" ref="AB3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3" s="41" t="str">
        <f>IFERROR(IF(INDEX(tblSeverityReference[Malnutrition Severity],MATCH(tblSeverityAnalysis[[#This Row],[ID]], tblSeverityReference[ID], 0))= "", "",INDEX(tblSeverityReference[Malnutrition Severity],MATCH(tblSeverityAnalysis[[#This Row],[ID]], tblSeverityReference[ID], 0)) ), "")</f>
        <v/>
      </c>
      <c r="AE33" s="303">
        <f>IFERROR(IF(INDEX(tblSeverityReference[Epidemic Severity],MATCH(tblSeverityAnalysis[[#This Row],[ID]], tblSeverityReference[ID], 0))= "", "",INDEX(tblSeverityReference[Epidemic Severity],MATCH(tblSeverityAnalysis[[#This Row],[ID]], tblSeverityReference[ID], 0)) ), "")</f>
        <v>2.8235294117647061</v>
      </c>
      <c r="AF33" s="303" t="str">
        <f>IFERROR(IF(INDEX(tblSeverityReference[Coping Strategy Severity],MATCH(tblSeverityAnalysis[[#This Row],[ID]], tblSeverityReference[ID], 0))= "", "",INDEX(tblSeverityReference[Coping Strategy Severity],MATCH(tblSeverityAnalysis[[#This Row],[ID]], tblSeverityReference[ID], 0)) ), "")</f>
        <v/>
      </c>
      <c r="AG33" s="108" t="str">
        <f>IFERROR(IF(INDEX(tblSeverityReference[HR/IHL Violation],MATCH(tblSeverityAnalysis[[#This Row],[ID]], tblSeverityReference[ID], 0))= "", "",INDEX(tblSeverityReference[HR/IHL Violation],MATCH(tblSeverityAnalysis[[#This Row],[ID]], tblSeverityReference[ID], 0)) ), "")</f>
        <v/>
      </c>
      <c r="AH33" s="81">
        <f>IFERROR(AVERAGE(tblSeverityAnalysis[[#This Row],[CCCM]:[WASH]]), "")</f>
        <v>1.5</v>
      </c>
      <c r="AI33" s="27">
        <f>IF(SUM(tblSeverityAnalysis[[#This Row],[CCCM]:[WASH]])=0, "", MAX(tblSeverityAnalysis[[#This Row],[CCCM]:[WASH]]))</f>
        <v>3</v>
      </c>
      <c r="AJ33" s="333" t="str" cm="1">
        <f t="array" ref="AJ33">IFERROR(IF(tblSeverityAnalysis[[#This Row],[Highest Severity]]="", "", _xlfn.TEXTJOIN(CHAR(10), TRUE, IF(tblSeverityAnalysis[[#This Row],[CCCM]:[WASH]]=tblSeverityAnalysis[[#This Row],[Highest Severity]], tblSeverityAnalysis[[#Headers],[CCCM]:[WASH]], ""), "")), "")</f>
        <v>WASH</v>
      </c>
      <c r="AK33" s="27" cm="1">
        <f t="array" ref="AK33">IFERROR(MAX(_xlfn._xlws.FILTER(tblSeverityAnalysis[[#This Row],[CCCM]:[WASH]], tblSeverityAnalysis[[#This Row],[CCCM]:[WASH]]&lt;tblSeverityAnalysis[[#This Row],[Highest Severity]])), "")</f>
        <v>0</v>
      </c>
      <c r="AL33" s="313" t="str" cm="1">
        <f t="array" ref="AL3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33" s="132" t="str">
        <f>IFERROR(IF(AND(tblSeverityAnalysis[[#This Row],[5]] &lt;&gt; "", tblSeverityAnalysis[[#This Row],[5]]&gt;=sectors_sev_5), "Flagged", ""), "")</f>
        <v/>
      </c>
      <c r="AN33" s="133" t="str">
        <f>IFERROR(IF(AND(tblSeverityAnalysis[[#This Row],[Preliminary Intersectoral Severity based on overlap of sectoral deprivations]]=4, SUM(tblSeverityAnalysis[[#This Row],[ 4 ]:[5]])&gt;=sectors_sev_4), "Flagged", ""), "")</f>
        <v/>
      </c>
      <c r="AO33" s="133" t="str" cm="1">
        <f t="array" ref="AO3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3" s="335"/>
      <c r="AR33" s="336"/>
      <c r="AS33" s="335"/>
      <c r="AT33" s="337">
        <f>COUNTIF(tblSeverityAnalysis[[#This Row],[1 sector in severity phase 5 '[modify the threshold']]:[Manual Flag]], "Flagged")</f>
        <v>0</v>
      </c>
      <c r="AU33" s="338">
        <f>tblSeverityAnalysis[[#This Row],[Preliminary Intersectoral Severity based on overlap of sectoral deprivations]]</f>
        <v>1</v>
      </c>
      <c r="AV33" s="339"/>
    </row>
    <row r="34" spans="1:48" ht="15" hidden="1" customHeight="1">
      <c r="A3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MZ0214</v>
      </c>
      <c r="B34" s="39" t="s">
        <v>260</v>
      </c>
      <c r="C34" s="340" t="s">
        <v>261</v>
      </c>
      <c r="D34" s="340" t="s">
        <v>289</v>
      </c>
      <c r="E34" s="33" t="s">
        <v>290</v>
      </c>
      <c r="F34" s="33"/>
      <c r="G34" s="33"/>
      <c r="H34" s="20"/>
      <c r="I34" s="95">
        <v>40871</v>
      </c>
      <c r="J34" s="95"/>
      <c r="K34" s="321"/>
      <c r="L34" s="303"/>
      <c r="M34" s="303">
        <v>2</v>
      </c>
      <c r="N34" s="303">
        <v>3</v>
      </c>
      <c r="O34" s="372"/>
      <c r="P34" s="303">
        <v>0</v>
      </c>
      <c r="Q34" s="304"/>
      <c r="R34" s="303">
        <v>1</v>
      </c>
      <c r="S34" s="303"/>
      <c r="T34" s="303"/>
      <c r="U34" s="303"/>
      <c r="V34" s="303"/>
      <c r="W34" s="330">
        <f>IF(COUNTIF(tblSeverityAnalysis[[#This Row],[CCCM]:[WASH]], 1)=0, "", COUNTIF(tblSeverityAnalysis[[#This Row],[CCCM]:[WASH]], 1))</f>
        <v>1</v>
      </c>
      <c r="X34" s="331">
        <f>IF(COUNTIF(tblSeverityAnalysis[[#This Row],[CCCM]:[WASH]], 2)=0, "", COUNTIF(tblSeverityAnalysis[[#This Row],[CCCM]:[WASH]], 2))</f>
        <v>1</v>
      </c>
      <c r="Y34" s="331">
        <f>IF(COUNTIF(tblSeverityAnalysis[[#This Row],[CCCM]:[WASH]], 3)=0, "", COUNTIF(tblSeverityAnalysis[[#This Row],[CCCM]:[WASH]], 3))</f>
        <v>1</v>
      </c>
      <c r="Z34" s="331" t="str">
        <f>IF(COUNTIF(tblSeverityAnalysis[[#This Row],[CCCM]:[WASH]], 4)=0, "", COUNTIF(tblSeverityAnalysis[[#This Row],[CCCM]:[WASH]], 4))</f>
        <v/>
      </c>
      <c r="AA34" s="332" t="str">
        <f>IF(COUNTIF(tblSeverityAnalysis[[#This Row],[CCCM]:[WASH]], 5)=0, "", COUNTIF(tblSeverityAnalysis[[#This Row],[CCCM]:[WASH]], 5))</f>
        <v/>
      </c>
      <c r="AB34" s="59" cm="1">
        <f t="array" ref="AB3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4" s="41" t="str">
        <f>IFERROR(IF(INDEX(tblSeverityReference[Malnutrition Severity],MATCH(tblSeverityAnalysis[[#This Row],[ID]], tblSeverityReference[ID], 0))= "", "",INDEX(tblSeverityReference[Malnutrition Severity],MATCH(tblSeverityAnalysis[[#This Row],[ID]], tblSeverityReference[ID], 0)) ), "")</f>
        <v/>
      </c>
      <c r="AE34" s="303">
        <f>IFERROR(IF(INDEX(tblSeverityReference[Epidemic Severity],MATCH(tblSeverityAnalysis[[#This Row],[ID]], tblSeverityReference[ID], 0))= "", "",INDEX(tblSeverityReference[Epidemic Severity],MATCH(tblSeverityAnalysis[[#This Row],[ID]], tblSeverityReference[ID], 0)) ), "")</f>
        <v>2.8235294117647061</v>
      </c>
      <c r="AF34" s="303">
        <f>IFERROR(IF(INDEX(tblSeverityReference[Coping Strategy Severity],MATCH(tblSeverityAnalysis[[#This Row],[ID]], tblSeverityReference[ID], 0))= "", "",INDEX(tblSeverityReference[Coping Strategy Severity],MATCH(tblSeverityAnalysis[[#This Row],[ID]], tblSeverityReference[ID], 0)) ), "")</f>
        <v>3</v>
      </c>
      <c r="AG34" s="108" t="str">
        <f>IFERROR(IF(INDEX(tblSeverityReference[HR/IHL Violation],MATCH(tblSeverityAnalysis[[#This Row],[ID]], tblSeverityReference[ID], 0))= "", "",INDEX(tblSeverityReference[HR/IHL Violation],MATCH(tblSeverityAnalysis[[#This Row],[ID]], tblSeverityReference[ID], 0)) ), "")</f>
        <v/>
      </c>
      <c r="AH34" s="81">
        <f>IFERROR(AVERAGE(tblSeverityAnalysis[[#This Row],[CCCM]:[WASH]]), "")</f>
        <v>1.5</v>
      </c>
      <c r="AI34" s="27">
        <f>IF(SUM(tblSeverityAnalysis[[#This Row],[CCCM]:[WASH]])=0, "", MAX(tblSeverityAnalysis[[#This Row],[CCCM]:[WASH]]))</f>
        <v>3</v>
      </c>
      <c r="AJ34" s="333" t="str" cm="1">
        <f t="array" ref="AJ34">IFERROR(IF(tblSeverityAnalysis[[#This Row],[Highest Severity]]="", "", _xlfn.TEXTJOIN(CHAR(10), TRUE, IF(tblSeverityAnalysis[[#This Row],[CCCM]:[WASH]]=tblSeverityAnalysis[[#This Row],[Highest Severity]], tblSeverityAnalysis[[#Headers],[CCCM]:[WASH]], ""), "")), "")</f>
        <v>Food Security</v>
      </c>
      <c r="AK34" s="27" cm="1">
        <f t="array" ref="AK34">IFERROR(MAX(_xlfn._xlws.FILTER(tblSeverityAnalysis[[#This Row],[CCCM]:[WASH]], tblSeverityAnalysis[[#This Row],[CCCM]:[WASH]]&lt;tblSeverityAnalysis[[#This Row],[Highest Severity]])), "")</f>
        <v>2</v>
      </c>
      <c r="AL34" s="313" t="str" cm="1">
        <f t="array" ref="AL34">IFERROR(IF(tblSeverityAnalysis[[#This Row],[2nd Highest Severity]]="", "", _xlfn.TEXTJOIN(CHAR(10), TRUE, IF(tblSeverityAnalysis[[#This Row],[CCCM]:[WASH]]=tblSeverityAnalysis[[#This Row],[2nd Highest Severity]], tblSeverityAnalysis[[#Headers],[CCCM]:[WASH]], ""), "")), "")</f>
        <v>Nutrition</v>
      </c>
      <c r="AM34" s="132" t="str">
        <f>IFERROR(IF(AND(tblSeverityAnalysis[[#This Row],[5]] &lt;&gt; "", tblSeverityAnalysis[[#This Row],[5]]&gt;=sectors_sev_5), "Flagged", ""), "")</f>
        <v/>
      </c>
      <c r="AN34" s="133" t="str">
        <f>IFERROR(IF(AND(tblSeverityAnalysis[[#This Row],[Preliminary Intersectoral Severity based on overlap of sectoral deprivations]]=4, SUM(tblSeverityAnalysis[[#This Row],[ 4 ]:[5]])&gt;=sectors_sev_4), "Flagged", ""), "")</f>
        <v/>
      </c>
      <c r="AO34" s="133" t="str" cm="1">
        <f t="array" ref="AO3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4" s="335"/>
      <c r="AR34" s="336"/>
      <c r="AS34" s="335"/>
      <c r="AT34" s="337">
        <f>COUNTIF(tblSeverityAnalysis[[#This Row],[1 sector in severity phase 5 '[modify the threshold']]:[Manual Flag]], "Flagged")</f>
        <v>2</v>
      </c>
      <c r="AU34" s="338">
        <f>tblSeverityAnalysis[[#This Row],[Preliminary Intersectoral Severity based on overlap of sectoral deprivations]]</f>
        <v>1</v>
      </c>
      <c r="AV34" s="339"/>
    </row>
    <row r="35" spans="1:48" ht="15" hidden="1" customHeight="1">
      <c r="A3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MZ0301</v>
      </c>
      <c r="B35" s="39" t="s">
        <v>291</v>
      </c>
      <c r="C35" s="340" t="s">
        <v>292</v>
      </c>
      <c r="D35" s="340" t="s">
        <v>293</v>
      </c>
      <c r="E35" s="33" t="s">
        <v>294</v>
      </c>
      <c r="F35" s="33"/>
      <c r="G35" s="33"/>
      <c r="H35" s="20"/>
      <c r="I35" s="95">
        <v>103874</v>
      </c>
      <c r="J35" s="95"/>
      <c r="K35" s="321"/>
      <c r="L35" s="303"/>
      <c r="M35" s="303" t="s">
        <v>264</v>
      </c>
      <c r="N35" s="303"/>
      <c r="O35" s="372"/>
      <c r="P35" s="303">
        <v>0</v>
      </c>
      <c r="Q35" s="304"/>
      <c r="R35" s="303">
        <v>2</v>
      </c>
      <c r="S35" s="303"/>
      <c r="T35" s="303"/>
      <c r="U35" s="303"/>
      <c r="V35" s="303"/>
      <c r="W35" s="330" t="str">
        <f>IF(COUNTIF(tblSeverityAnalysis[[#This Row],[CCCM]:[WASH]], 1)=0, "", COUNTIF(tblSeverityAnalysis[[#This Row],[CCCM]:[WASH]], 1))</f>
        <v/>
      </c>
      <c r="X35" s="331">
        <f>IF(COUNTIF(tblSeverityAnalysis[[#This Row],[CCCM]:[WASH]], 2)=0, "", COUNTIF(tblSeverityAnalysis[[#This Row],[CCCM]:[WASH]], 2))</f>
        <v>1</v>
      </c>
      <c r="Y35" s="331" t="str">
        <f>IF(COUNTIF(tblSeverityAnalysis[[#This Row],[CCCM]:[WASH]], 3)=0, "", COUNTIF(tblSeverityAnalysis[[#This Row],[CCCM]:[WASH]], 3))</f>
        <v/>
      </c>
      <c r="Z35" s="331" t="str">
        <f>IF(COUNTIF(tblSeverityAnalysis[[#This Row],[CCCM]:[WASH]], 4)=0, "", COUNTIF(tblSeverityAnalysis[[#This Row],[CCCM]:[WASH]], 4))</f>
        <v/>
      </c>
      <c r="AA35" s="332" t="str">
        <f>IF(COUNTIF(tblSeverityAnalysis[[#This Row],[CCCM]:[WASH]], 5)=0, "", COUNTIF(tblSeverityAnalysis[[#This Row],[CCCM]:[WASH]], 5))</f>
        <v/>
      </c>
      <c r="AB35" s="59" cm="1">
        <f t="array" ref="AB3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5" s="41" t="str">
        <f>IFERROR(IF(INDEX(tblSeverityReference[Malnutrition Severity],MATCH(tblSeverityAnalysis[[#This Row],[ID]], tblSeverityReference[ID], 0))= "", "",INDEX(tblSeverityReference[Malnutrition Severity],MATCH(tblSeverityAnalysis[[#This Row],[ID]], tblSeverityReference[ID], 0)) ), "")</f>
        <v/>
      </c>
      <c r="AE35" s="303">
        <f>IFERROR(IF(INDEX(tblSeverityReference[Epidemic Severity],MATCH(tblSeverityAnalysis[[#This Row],[ID]], tblSeverityReference[ID], 0))= "", "",INDEX(tblSeverityReference[Epidemic Severity],MATCH(tblSeverityAnalysis[[#This Row],[ID]], tblSeverityReference[ID], 0)) ), "")</f>
        <v>2.2352941176470589</v>
      </c>
      <c r="AF35" s="303" t="str">
        <f>IFERROR(IF(INDEX(tblSeverityReference[Coping Strategy Severity],MATCH(tblSeverityAnalysis[[#This Row],[ID]], tblSeverityReference[ID], 0))= "", "",INDEX(tblSeverityReference[Coping Strategy Severity],MATCH(tblSeverityAnalysis[[#This Row],[ID]], tblSeverityReference[ID], 0)) ), "")</f>
        <v/>
      </c>
      <c r="AG35" s="108" t="str">
        <f>IFERROR(IF(INDEX(tblSeverityReference[HR/IHL Violation],MATCH(tblSeverityAnalysis[[#This Row],[ID]], tblSeverityReference[ID], 0))= "", "",INDEX(tblSeverityReference[HR/IHL Violation],MATCH(tblSeverityAnalysis[[#This Row],[ID]], tblSeverityReference[ID], 0)) ), "")</f>
        <v/>
      </c>
      <c r="AH35" s="81">
        <f>IFERROR(AVERAGE(tblSeverityAnalysis[[#This Row],[CCCM]:[WASH]]), "")</f>
        <v>1</v>
      </c>
      <c r="AI35" s="27">
        <f>IF(SUM(tblSeverityAnalysis[[#This Row],[CCCM]:[WASH]])=0, "", MAX(tblSeverityAnalysis[[#This Row],[CCCM]:[WASH]]))</f>
        <v>2</v>
      </c>
      <c r="AJ35" s="333" t="str" cm="1">
        <f t="array" ref="AJ35">IFERROR(IF(tblSeverityAnalysis[[#This Row],[Highest Severity]]="", "", _xlfn.TEXTJOIN(CHAR(10), TRUE, IF(tblSeverityAnalysis[[#This Row],[CCCM]:[WASH]]=tblSeverityAnalysis[[#This Row],[Highest Severity]], tblSeverityAnalysis[[#Headers],[CCCM]:[WASH]], ""), "")), "")</f>
        <v>WASH</v>
      </c>
      <c r="AK35" s="27" cm="1">
        <f t="array" ref="AK35">IFERROR(MAX(_xlfn._xlws.FILTER(tblSeverityAnalysis[[#This Row],[CCCM]:[WASH]], tblSeverityAnalysis[[#This Row],[CCCM]:[WASH]]&lt;tblSeverityAnalysis[[#This Row],[Highest Severity]])), "")</f>
        <v>0</v>
      </c>
      <c r="AL35" s="313" t="str" cm="1">
        <f t="array" ref="AL3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35" s="132" t="str">
        <f>IFERROR(IF(AND(tblSeverityAnalysis[[#This Row],[5]] &lt;&gt; "", tblSeverityAnalysis[[#This Row],[5]]&gt;=sectors_sev_5), "Flagged", ""), "")</f>
        <v/>
      </c>
      <c r="AN35" s="133" t="str">
        <f>IFERROR(IF(AND(tblSeverityAnalysis[[#This Row],[Preliminary Intersectoral Severity based on overlap of sectoral deprivations]]=4, SUM(tblSeverityAnalysis[[#This Row],[ 4 ]:[5]])&gt;=sectors_sev_4), "Flagged", ""), "")</f>
        <v/>
      </c>
      <c r="AO35" s="133" t="str" cm="1">
        <f t="array" ref="AO3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5" s="335"/>
      <c r="AR35" s="336"/>
      <c r="AS35" s="335"/>
      <c r="AT35" s="337">
        <f>COUNTIF(tblSeverityAnalysis[[#This Row],[1 sector in severity phase 5 '[modify the threshold']]:[Manual Flag]], "Flagged")</f>
        <v>0</v>
      </c>
      <c r="AU35" s="338">
        <f>tblSeverityAnalysis[[#This Row],[Preliminary Intersectoral Severity based on overlap of sectoral deprivations]]</f>
        <v>1</v>
      </c>
      <c r="AV35" s="339"/>
    </row>
    <row r="36" spans="1:48" ht="15" hidden="1" customHeight="1">
      <c r="A3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MZ0302</v>
      </c>
      <c r="B36" s="39" t="s">
        <v>291</v>
      </c>
      <c r="C36" s="340" t="s">
        <v>292</v>
      </c>
      <c r="D36" s="340" t="s">
        <v>295</v>
      </c>
      <c r="E36" s="33" t="s">
        <v>296</v>
      </c>
      <c r="F36" s="33"/>
      <c r="G36" s="33"/>
      <c r="H36" s="20"/>
      <c r="I36" s="95">
        <v>49387</v>
      </c>
      <c r="J36" s="95"/>
      <c r="K36" s="321"/>
      <c r="L36" s="303"/>
      <c r="M36" s="303">
        <v>2</v>
      </c>
      <c r="N36" s="303">
        <v>3</v>
      </c>
      <c r="O36" s="372"/>
      <c r="P36" s="303">
        <v>0</v>
      </c>
      <c r="Q36" s="304"/>
      <c r="R36" s="303">
        <v>3</v>
      </c>
      <c r="S36" s="303"/>
      <c r="T36" s="303"/>
      <c r="U36" s="303"/>
      <c r="V36" s="303"/>
      <c r="W36" s="330" t="str">
        <f>IF(COUNTIF(tblSeverityAnalysis[[#This Row],[CCCM]:[WASH]], 1)=0, "", COUNTIF(tblSeverityAnalysis[[#This Row],[CCCM]:[WASH]], 1))</f>
        <v/>
      </c>
      <c r="X36" s="331">
        <f>IF(COUNTIF(tblSeverityAnalysis[[#This Row],[CCCM]:[WASH]], 2)=0, "", COUNTIF(tblSeverityAnalysis[[#This Row],[CCCM]:[WASH]], 2))</f>
        <v>1</v>
      </c>
      <c r="Y36" s="331">
        <f>IF(COUNTIF(tblSeverityAnalysis[[#This Row],[CCCM]:[WASH]], 3)=0, "", COUNTIF(tblSeverityAnalysis[[#This Row],[CCCM]:[WASH]], 3))</f>
        <v>2</v>
      </c>
      <c r="Z36" s="331" t="str">
        <f>IF(COUNTIF(tblSeverityAnalysis[[#This Row],[CCCM]:[WASH]], 4)=0, "", COUNTIF(tblSeverityAnalysis[[#This Row],[CCCM]:[WASH]], 4))</f>
        <v/>
      </c>
      <c r="AA36" s="332" t="str">
        <f>IF(COUNTIF(tblSeverityAnalysis[[#This Row],[CCCM]:[WASH]], 5)=0, "", COUNTIF(tblSeverityAnalysis[[#This Row],[CCCM]:[WASH]], 5))</f>
        <v/>
      </c>
      <c r="AB36" s="59" cm="1">
        <f t="array" ref="AB3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6" s="41" t="str">
        <f>IFERROR(IF(INDEX(tblSeverityReference[Malnutrition Severity],MATCH(tblSeverityAnalysis[[#This Row],[ID]], tblSeverityReference[ID], 0))= "", "",INDEX(tblSeverityReference[Malnutrition Severity],MATCH(tblSeverityAnalysis[[#This Row],[ID]], tblSeverityReference[ID], 0)) ), "")</f>
        <v/>
      </c>
      <c r="AE36" s="303">
        <f>IFERROR(IF(INDEX(tblSeverityReference[Epidemic Severity],MATCH(tblSeverityAnalysis[[#This Row],[ID]], tblSeverityReference[ID], 0))= "", "",INDEX(tblSeverityReference[Epidemic Severity],MATCH(tblSeverityAnalysis[[#This Row],[ID]], tblSeverityReference[ID], 0)) ), "")</f>
        <v>2.2352941176470589</v>
      </c>
      <c r="AF36" s="303">
        <f>IFERROR(IF(INDEX(tblSeverityReference[Coping Strategy Severity],MATCH(tblSeverityAnalysis[[#This Row],[ID]], tblSeverityReference[ID], 0))= "", "",INDEX(tblSeverityReference[Coping Strategy Severity],MATCH(tblSeverityAnalysis[[#This Row],[ID]], tblSeverityReference[ID], 0)) ), "")</f>
        <v>1</v>
      </c>
      <c r="AG36" s="108" t="str">
        <f>IFERROR(IF(INDEX(tblSeverityReference[HR/IHL Violation],MATCH(tblSeverityAnalysis[[#This Row],[ID]], tblSeverityReference[ID], 0))= "", "",INDEX(tblSeverityReference[HR/IHL Violation],MATCH(tblSeverityAnalysis[[#This Row],[ID]], tblSeverityReference[ID], 0)) ), "")</f>
        <v/>
      </c>
      <c r="AH36" s="81">
        <f>IFERROR(AVERAGE(tblSeverityAnalysis[[#This Row],[CCCM]:[WASH]]), "")</f>
        <v>2</v>
      </c>
      <c r="AI36" s="27">
        <f>IF(SUM(tblSeverityAnalysis[[#This Row],[CCCM]:[WASH]])=0, "", MAX(tblSeverityAnalysis[[#This Row],[CCCM]:[WASH]]))</f>
        <v>3</v>
      </c>
      <c r="AJ36" s="333" t="str" cm="1">
        <f t="array" ref="AJ36">IFERROR(IF(tblSeverityAnalysis[[#This Row],[Highest Severity]]="", "", _xlfn.TEXTJOIN(CHAR(10), TRUE, IF(tblSeverityAnalysis[[#This Row],[CCCM]:[WASH]]=tblSeverityAnalysis[[#This Row],[Highest Severity]], tblSeverityAnalysis[[#Headers],[CCCM]:[WASH]], ""), "")), "")</f>
        <v>Food Security
WASH</v>
      </c>
      <c r="AK36" s="27" cm="1">
        <f t="array" ref="AK36">IFERROR(MAX(_xlfn._xlws.FILTER(tblSeverityAnalysis[[#This Row],[CCCM]:[WASH]], tblSeverityAnalysis[[#This Row],[CCCM]:[WASH]]&lt;tblSeverityAnalysis[[#This Row],[Highest Severity]])), "")</f>
        <v>2</v>
      </c>
      <c r="AL36" s="313" t="str" cm="1">
        <f t="array" ref="AL36">IFERROR(IF(tblSeverityAnalysis[[#This Row],[2nd Highest Severity]]="", "", _xlfn.TEXTJOIN(CHAR(10), TRUE, IF(tblSeverityAnalysis[[#This Row],[CCCM]:[WASH]]=tblSeverityAnalysis[[#This Row],[2nd Highest Severity]], tblSeverityAnalysis[[#Headers],[CCCM]:[WASH]], ""), "")), "")</f>
        <v>Nutrition</v>
      </c>
      <c r="AM36" s="132" t="str">
        <f>IFERROR(IF(AND(tblSeverityAnalysis[[#This Row],[5]] &lt;&gt; "", tblSeverityAnalysis[[#This Row],[5]]&gt;=sectors_sev_5), "Flagged", ""), "")</f>
        <v/>
      </c>
      <c r="AN36" s="133" t="str">
        <f>IFERROR(IF(AND(tblSeverityAnalysis[[#This Row],[Preliminary Intersectoral Severity based on overlap of sectoral deprivations]]=4, SUM(tblSeverityAnalysis[[#This Row],[ 4 ]:[5]])&gt;=sectors_sev_4), "Flagged", ""), "")</f>
        <v/>
      </c>
      <c r="AO36" s="133" t="str" cm="1">
        <f t="array" ref="AO3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6" s="335"/>
      <c r="AR36" s="336"/>
      <c r="AS36" s="335"/>
      <c r="AT36" s="337">
        <f>COUNTIF(tblSeverityAnalysis[[#This Row],[1 sector in severity phase 5 '[modify the threshold']]:[Manual Flag]], "Flagged")</f>
        <v>0</v>
      </c>
      <c r="AU36" s="338">
        <f>tblSeverityAnalysis[[#This Row],[Preliminary Intersectoral Severity based on overlap of sectoral deprivations]]</f>
        <v>1</v>
      </c>
      <c r="AV36" s="339"/>
    </row>
    <row r="37" spans="1:48" ht="15" hidden="1" customHeight="1">
      <c r="A3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MZ0303</v>
      </c>
      <c r="B37" s="39" t="s">
        <v>291</v>
      </c>
      <c r="C37" s="340" t="s">
        <v>292</v>
      </c>
      <c r="D37" s="340" t="s">
        <v>297</v>
      </c>
      <c r="E37" s="33" t="s">
        <v>298</v>
      </c>
      <c r="F37" s="33"/>
      <c r="G37" s="33"/>
      <c r="H37" s="20"/>
      <c r="I37" s="95">
        <v>41456</v>
      </c>
      <c r="J37" s="95"/>
      <c r="K37" s="321"/>
      <c r="L37" s="303"/>
      <c r="M37" s="303">
        <v>2</v>
      </c>
      <c r="N37" s="303">
        <v>3</v>
      </c>
      <c r="O37" s="372"/>
      <c r="P37" s="303">
        <v>0</v>
      </c>
      <c r="Q37" s="304"/>
      <c r="R37" s="303">
        <v>3</v>
      </c>
      <c r="S37" s="303"/>
      <c r="T37" s="303"/>
      <c r="U37" s="303"/>
      <c r="V37" s="303"/>
      <c r="W37" s="330" t="str">
        <f>IF(COUNTIF(tblSeverityAnalysis[[#This Row],[CCCM]:[WASH]], 1)=0, "", COUNTIF(tblSeverityAnalysis[[#This Row],[CCCM]:[WASH]], 1))</f>
        <v/>
      </c>
      <c r="X37" s="331">
        <f>IF(COUNTIF(tblSeverityAnalysis[[#This Row],[CCCM]:[WASH]], 2)=0, "", COUNTIF(tblSeverityAnalysis[[#This Row],[CCCM]:[WASH]], 2))</f>
        <v>1</v>
      </c>
      <c r="Y37" s="331">
        <f>IF(COUNTIF(tblSeverityAnalysis[[#This Row],[CCCM]:[WASH]], 3)=0, "", COUNTIF(tblSeverityAnalysis[[#This Row],[CCCM]:[WASH]], 3))</f>
        <v>2</v>
      </c>
      <c r="Z37" s="331" t="str">
        <f>IF(COUNTIF(tblSeverityAnalysis[[#This Row],[CCCM]:[WASH]], 4)=0, "", COUNTIF(tblSeverityAnalysis[[#This Row],[CCCM]:[WASH]], 4))</f>
        <v/>
      </c>
      <c r="AA37" s="332" t="str">
        <f>IF(COUNTIF(tblSeverityAnalysis[[#This Row],[CCCM]:[WASH]], 5)=0, "", COUNTIF(tblSeverityAnalysis[[#This Row],[CCCM]:[WASH]], 5))</f>
        <v/>
      </c>
      <c r="AB37" s="59" cm="1">
        <f t="array" ref="AB3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7" s="41" t="str">
        <f>IFERROR(IF(INDEX(tblSeverityReference[Malnutrition Severity],MATCH(tblSeverityAnalysis[[#This Row],[ID]], tblSeverityReference[ID], 0))= "", "",INDEX(tblSeverityReference[Malnutrition Severity],MATCH(tblSeverityAnalysis[[#This Row],[ID]], tblSeverityReference[ID], 0)) ), "")</f>
        <v/>
      </c>
      <c r="AE37" s="303">
        <f>IFERROR(IF(INDEX(tblSeverityReference[Epidemic Severity],MATCH(tblSeverityAnalysis[[#This Row],[ID]], tblSeverityReference[ID], 0))= "", "",INDEX(tblSeverityReference[Epidemic Severity],MATCH(tblSeverityAnalysis[[#This Row],[ID]], tblSeverityReference[ID], 0)) ), "")</f>
        <v>2.8235294117647061</v>
      </c>
      <c r="AF37" s="303">
        <f>IFERROR(IF(INDEX(tblSeverityReference[Coping Strategy Severity],MATCH(tblSeverityAnalysis[[#This Row],[ID]], tblSeverityReference[ID], 0))= "", "",INDEX(tblSeverityReference[Coping Strategy Severity],MATCH(tblSeverityAnalysis[[#This Row],[ID]], tblSeverityReference[ID], 0)) ), "")</f>
        <v>3</v>
      </c>
      <c r="AG37" s="108" t="str">
        <f>IFERROR(IF(INDEX(tblSeverityReference[HR/IHL Violation],MATCH(tblSeverityAnalysis[[#This Row],[ID]], tblSeverityReference[ID], 0))= "", "",INDEX(tblSeverityReference[HR/IHL Violation],MATCH(tblSeverityAnalysis[[#This Row],[ID]], tblSeverityReference[ID], 0)) ), "")</f>
        <v/>
      </c>
      <c r="AH37" s="81">
        <f>IFERROR(AVERAGE(tblSeverityAnalysis[[#This Row],[CCCM]:[WASH]]), "")</f>
        <v>2</v>
      </c>
      <c r="AI37" s="27">
        <f>IF(SUM(tblSeverityAnalysis[[#This Row],[CCCM]:[WASH]])=0, "", MAX(tblSeverityAnalysis[[#This Row],[CCCM]:[WASH]]))</f>
        <v>3</v>
      </c>
      <c r="AJ37" s="333" t="str" cm="1">
        <f t="array" ref="AJ37">IFERROR(IF(tblSeverityAnalysis[[#This Row],[Highest Severity]]="", "", _xlfn.TEXTJOIN(CHAR(10), TRUE, IF(tblSeverityAnalysis[[#This Row],[CCCM]:[WASH]]=tblSeverityAnalysis[[#This Row],[Highest Severity]], tblSeverityAnalysis[[#Headers],[CCCM]:[WASH]], ""), "")), "")</f>
        <v>Food Security
WASH</v>
      </c>
      <c r="AK37" s="27" cm="1">
        <f t="array" ref="AK37">IFERROR(MAX(_xlfn._xlws.FILTER(tblSeverityAnalysis[[#This Row],[CCCM]:[WASH]], tblSeverityAnalysis[[#This Row],[CCCM]:[WASH]]&lt;tblSeverityAnalysis[[#This Row],[Highest Severity]])), "")</f>
        <v>2</v>
      </c>
      <c r="AL37" s="313" t="str" cm="1">
        <f t="array" ref="AL37">IFERROR(IF(tblSeverityAnalysis[[#This Row],[2nd Highest Severity]]="", "", _xlfn.TEXTJOIN(CHAR(10), TRUE, IF(tblSeverityAnalysis[[#This Row],[CCCM]:[WASH]]=tblSeverityAnalysis[[#This Row],[2nd Highest Severity]], tblSeverityAnalysis[[#Headers],[CCCM]:[WASH]], ""), "")), "")</f>
        <v>Nutrition</v>
      </c>
      <c r="AM37" s="132" t="str">
        <f>IFERROR(IF(AND(tblSeverityAnalysis[[#This Row],[5]] &lt;&gt; "", tblSeverityAnalysis[[#This Row],[5]]&gt;=sectors_sev_5), "Flagged", ""), "")</f>
        <v/>
      </c>
      <c r="AN37" s="133" t="str">
        <f>IFERROR(IF(AND(tblSeverityAnalysis[[#This Row],[Preliminary Intersectoral Severity based on overlap of sectoral deprivations]]=4, SUM(tblSeverityAnalysis[[#This Row],[ 4 ]:[5]])&gt;=sectors_sev_4), "Flagged", ""), "")</f>
        <v/>
      </c>
      <c r="AO37" s="133" t="str" cm="1">
        <f t="array" ref="AO3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7" s="335"/>
      <c r="AR37" s="336"/>
      <c r="AS37" s="335"/>
      <c r="AT37" s="337">
        <f>COUNTIF(tblSeverityAnalysis[[#This Row],[1 sector in severity phase 5 '[modify the threshold']]:[Manual Flag]], "Flagged")</f>
        <v>2</v>
      </c>
      <c r="AU37" s="338">
        <f>tblSeverityAnalysis[[#This Row],[Preliminary Intersectoral Severity based on overlap of sectoral deprivations]]</f>
        <v>1</v>
      </c>
      <c r="AV37" s="339"/>
    </row>
    <row r="38" spans="1:48" ht="15" hidden="1" customHeight="1">
      <c r="A3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MZ0304</v>
      </c>
      <c r="B38" s="39" t="s">
        <v>291</v>
      </c>
      <c r="C38" s="340" t="s">
        <v>292</v>
      </c>
      <c r="D38" s="340" t="s">
        <v>299</v>
      </c>
      <c r="E38" s="33" t="s">
        <v>300</v>
      </c>
      <c r="F38" s="33"/>
      <c r="G38" s="33"/>
      <c r="H38" s="20"/>
      <c r="I38" s="95">
        <v>130957</v>
      </c>
      <c r="J38" s="95"/>
      <c r="K38" s="321"/>
      <c r="L38" s="303"/>
      <c r="M38" s="303" t="s">
        <v>264</v>
      </c>
      <c r="N38" s="303"/>
      <c r="O38" s="372"/>
      <c r="P38" s="303">
        <v>0</v>
      </c>
      <c r="Q38" s="304"/>
      <c r="R38" s="303">
        <v>1</v>
      </c>
      <c r="S38" s="303"/>
      <c r="T38" s="303"/>
      <c r="U38" s="303"/>
      <c r="V38" s="303"/>
      <c r="W38" s="330">
        <f>IF(COUNTIF(tblSeverityAnalysis[[#This Row],[CCCM]:[WASH]], 1)=0, "", COUNTIF(tblSeverityAnalysis[[#This Row],[CCCM]:[WASH]], 1))</f>
        <v>1</v>
      </c>
      <c r="X38" s="331" t="str">
        <f>IF(COUNTIF(tblSeverityAnalysis[[#This Row],[CCCM]:[WASH]], 2)=0, "", COUNTIF(tblSeverityAnalysis[[#This Row],[CCCM]:[WASH]], 2))</f>
        <v/>
      </c>
      <c r="Y38" s="331" t="str">
        <f>IF(COUNTIF(tblSeverityAnalysis[[#This Row],[CCCM]:[WASH]], 3)=0, "", COUNTIF(tblSeverityAnalysis[[#This Row],[CCCM]:[WASH]], 3))</f>
        <v/>
      </c>
      <c r="Z38" s="331" t="str">
        <f>IF(COUNTIF(tblSeverityAnalysis[[#This Row],[CCCM]:[WASH]], 4)=0, "", COUNTIF(tblSeverityAnalysis[[#This Row],[CCCM]:[WASH]], 4))</f>
        <v/>
      </c>
      <c r="AA38" s="332" t="str">
        <f>IF(COUNTIF(tblSeverityAnalysis[[#This Row],[CCCM]:[WASH]], 5)=0, "", COUNTIF(tblSeverityAnalysis[[#This Row],[CCCM]:[WASH]], 5))</f>
        <v/>
      </c>
      <c r="AB38" s="59" cm="1">
        <f t="array" ref="AB3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8" s="41" t="str">
        <f>IFERROR(IF(INDEX(tblSeverityReference[Malnutrition Severity],MATCH(tblSeverityAnalysis[[#This Row],[ID]], tblSeverityReference[ID], 0))= "", "",INDEX(tblSeverityReference[Malnutrition Severity],MATCH(tblSeverityAnalysis[[#This Row],[ID]], tblSeverityReference[ID], 0)) ), "")</f>
        <v/>
      </c>
      <c r="AE38" s="303">
        <f>IFERROR(IF(INDEX(tblSeverityReference[Epidemic Severity],MATCH(tblSeverityAnalysis[[#This Row],[ID]], tblSeverityReference[ID], 0))= "", "",INDEX(tblSeverityReference[Epidemic Severity],MATCH(tblSeverityAnalysis[[#This Row],[ID]], tblSeverityReference[ID], 0)) ), "")</f>
        <v>2.2352941176470589</v>
      </c>
      <c r="AF38" s="303" t="str">
        <f>IFERROR(IF(INDEX(tblSeverityReference[Coping Strategy Severity],MATCH(tblSeverityAnalysis[[#This Row],[ID]], tblSeverityReference[ID], 0))= "", "",INDEX(tblSeverityReference[Coping Strategy Severity],MATCH(tblSeverityAnalysis[[#This Row],[ID]], tblSeverityReference[ID], 0)) ), "")</f>
        <v/>
      </c>
      <c r="AG38" s="108" t="str">
        <f>IFERROR(IF(INDEX(tblSeverityReference[HR/IHL Violation],MATCH(tblSeverityAnalysis[[#This Row],[ID]], tblSeverityReference[ID], 0))= "", "",INDEX(tblSeverityReference[HR/IHL Violation],MATCH(tblSeverityAnalysis[[#This Row],[ID]], tblSeverityReference[ID], 0)) ), "")</f>
        <v/>
      </c>
      <c r="AH38" s="81">
        <f>IFERROR(AVERAGE(tblSeverityAnalysis[[#This Row],[CCCM]:[WASH]]), "")</f>
        <v>0.5</v>
      </c>
      <c r="AI38" s="27">
        <f>IF(SUM(tblSeverityAnalysis[[#This Row],[CCCM]:[WASH]])=0, "", MAX(tblSeverityAnalysis[[#This Row],[CCCM]:[WASH]]))</f>
        <v>1</v>
      </c>
      <c r="AJ38" s="333" t="str" cm="1">
        <f t="array" ref="AJ38">IFERROR(IF(tblSeverityAnalysis[[#This Row],[Highest Severity]]="", "", _xlfn.TEXTJOIN(CHAR(10), TRUE, IF(tblSeverityAnalysis[[#This Row],[CCCM]:[WASH]]=tblSeverityAnalysis[[#This Row],[Highest Severity]], tblSeverityAnalysis[[#Headers],[CCCM]:[WASH]], ""), "")), "")</f>
        <v>WASH</v>
      </c>
      <c r="AK38" s="27" cm="1">
        <f t="array" ref="AK38">IFERROR(MAX(_xlfn._xlws.FILTER(tblSeverityAnalysis[[#This Row],[CCCM]:[WASH]], tblSeverityAnalysis[[#This Row],[CCCM]:[WASH]]&lt;tblSeverityAnalysis[[#This Row],[Highest Severity]])), "")</f>
        <v>0</v>
      </c>
      <c r="AL38" s="313" t="str" cm="1">
        <f t="array" ref="AL3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38" s="132" t="str">
        <f>IFERROR(IF(AND(tblSeverityAnalysis[[#This Row],[5]] &lt;&gt; "", tblSeverityAnalysis[[#This Row],[5]]&gt;=sectors_sev_5), "Flagged", ""), "")</f>
        <v/>
      </c>
      <c r="AN38" s="133" t="str">
        <f>IFERROR(IF(AND(tblSeverityAnalysis[[#This Row],[Preliminary Intersectoral Severity based on overlap of sectoral deprivations]]=4, SUM(tblSeverityAnalysis[[#This Row],[ 4 ]:[5]])&gt;=sectors_sev_4), "Flagged", ""), "")</f>
        <v/>
      </c>
      <c r="AO38" s="133" t="str" cm="1">
        <f t="array" ref="AO3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8" s="335"/>
      <c r="AR38" s="336"/>
      <c r="AS38" s="335"/>
      <c r="AT38" s="337">
        <f>COUNTIF(tblSeverityAnalysis[[#This Row],[1 sector in severity phase 5 '[modify the threshold']]:[Manual Flag]], "Flagged")</f>
        <v>0</v>
      </c>
      <c r="AU38" s="338">
        <f>tblSeverityAnalysis[[#This Row],[Preliminary Intersectoral Severity based on overlap of sectoral deprivations]]</f>
        <v>1</v>
      </c>
      <c r="AV38" s="339"/>
    </row>
    <row r="39" spans="1:48" ht="15" hidden="1" customHeight="1">
      <c r="A3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MZ0305</v>
      </c>
      <c r="B39" s="39" t="s">
        <v>291</v>
      </c>
      <c r="C39" s="340" t="s">
        <v>292</v>
      </c>
      <c r="D39" s="340" t="s">
        <v>301</v>
      </c>
      <c r="E39" s="33" t="s">
        <v>302</v>
      </c>
      <c r="F39" s="33"/>
      <c r="G39" s="33"/>
      <c r="H39" s="20"/>
      <c r="I39" s="95">
        <v>128419</v>
      </c>
      <c r="J39" s="95"/>
      <c r="K39" s="321"/>
      <c r="L39" s="303"/>
      <c r="M39" s="303" t="s">
        <v>264</v>
      </c>
      <c r="N39" s="303"/>
      <c r="O39" s="372"/>
      <c r="P39" s="303">
        <v>0</v>
      </c>
      <c r="Q39" s="304"/>
      <c r="R39" s="303">
        <v>2</v>
      </c>
      <c r="S39" s="303"/>
      <c r="T39" s="303"/>
      <c r="U39" s="303"/>
      <c r="V39" s="303"/>
      <c r="W39" s="330" t="str">
        <f>IF(COUNTIF(tblSeverityAnalysis[[#This Row],[CCCM]:[WASH]], 1)=0, "", COUNTIF(tblSeverityAnalysis[[#This Row],[CCCM]:[WASH]], 1))</f>
        <v/>
      </c>
      <c r="X39" s="331">
        <f>IF(COUNTIF(tblSeverityAnalysis[[#This Row],[CCCM]:[WASH]], 2)=0, "", COUNTIF(tblSeverityAnalysis[[#This Row],[CCCM]:[WASH]], 2))</f>
        <v>1</v>
      </c>
      <c r="Y39" s="331" t="str">
        <f>IF(COUNTIF(tblSeverityAnalysis[[#This Row],[CCCM]:[WASH]], 3)=0, "", COUNTIF(tblSeverityAnalysis[[#This Row],[CCCM]:[WASH]], 3))</f>
        <v/>
      </c>
      <c r="Z39" s="331" t="str">
        <f>IF(COUNTIF(tblSeverityAnalysis[[#This Row],[CCCM]:[WASH]], 4)=0, "", COUNTIF(tblSeverityAnalysis[[#This Row],[CCCM]:[WASH]], 4))</f>
        <v/>
      </c>
      <c r="AA39" s="332" t="str">
        <f>IF(COUNTIF(tblSeverityAnalysis[[#This Row],[CCCM]:[WASH]], 5)=0, "", COUNTIF(tblSeverityAnalysis[[#This Row],[CCCM]:[WASH]], 5))</f>
        <v/>
      </c>
      <c r="AB39" s="59" cm="1">
        <f t="array" ref="AB3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3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9" s="41" t="str">
        <f>IFERROR(IF(INDEX(tblSeverityReference[Malnutrition Severity],MATCH(tblSeverityAnalysis[[#This Row],[ID]], tblSeverityReference[ID], 0))= "", "",INDEX(tblSeverityReference[Malnutrition Severity],MATCH(tblSeverityAnalysis[[#This Row],[ID]], tblSeverityReference[ID], 0)) ), "")</f>
        <v/>
      </c>
      <c r="AE39" s="303">
        <f>IFERROR(IF(INDEX(tblSeverityReference[Epidemic Severity],MATCH(tblSeverityAnalysis[[#This Row],[ID]], tblSeverityReference[ID], 0))= "", "",INDEX(tblSeverityReference[Epidemic Severity],MATCH(tblSeverityAnalysis[[#This Row],[ID]], tblSeverityReference[ID], 0)) ), "")</f>
        <v>2.2352941176470589</v>
      </c>
      <c r="AF39" s="303" t="str">
        <f>IFERROR(IF(INDEX(tblSeverityReference[Coping Strategy Severity],MATCH(tblSeverityAnalysis[[#This Row],[ID]], tblSeverityReference[ID], 0))= "", "",INDEX(tblSeverityReference[Coping Strategy Severity],MATCH(tblSeverityAnalysis[[#This Row],[ID]], tblSeverityReference[ID], 0)) ), "")</f>
        <v/>
      </c>
      <c r="AG39" s="108" t="str">
        <f>IFERROR(IF(INDEX(tblSeverityReference[HR/IHL Violation],MATCH(tblSeverityAnalysis[[#This Row],[ID]], tblSeverityReference[ID], 0))= "", "",INDEX(tblSeverityReference[HR/IHL Violation],MATCH(tblSeverityAnalysis[[#This Row],[ID]], tblSeverityReference[ID], 0)) ), "")</f>
        <v/>
      </c>
      <c r="AH39" s="81">
        <f>IFERROR(AVERAGE(tblSeverityAnalysis[[#This Row],[CCCM]:[WASH]]), "")</f>
        <v>1</v>
      </c>
      <c r="AI39" s="27">
        <f>IF(SUM(tblSeverityAnalysis[[#This Row],[CCCM]:[WASH]])=0, "", MAX(tblSeverityAnalysis[[#This Row],[CCCM]:[WASH]]))</f>
        <v>2</v>
      </c>
      <c r="AJ39" s="333" t="str" cm="1">
        <f t="array" ref="AJ39">IFERROR(IF(tblSeverityAnalysis[[#This Row],[Highest Severity]]="", "", _xlfn.TEXTJOIN(CHAR(10), TRUE, IF(tblSeverityAnalysis[[#This Row],[CCCM]:[WASH]]=tblSeverityAnalysis[[#This Row],[Highest Severity]], tblSeverityAnalysis[[#Headers],[CCCM]:[WASH]], ""), "")), "")</f>
        <v>WASH</v>
      </c>
      <c r="AK39" s="27" cm="1">
        <f t="array" ref="AK39">IFERROR(MAX(_xlfn._xlws.FILTER(tblSeverityAnalysis[[#This Row],[CCCM]:[WASH]], tblSeverityAnalysis[[#This Row],[CCCM]:[WASH]]&lt;tblSeverityAnalysis[[#This Row],[Highest Severity]])), "")</f>
        <v>0</v>
      </c>
      <c r="AL39" s="313" t="str" cm="1">
        <f t="array" ref="AL3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39" s="132" t="str">
        <f>IFERROR(IF(AND(tblSeverityAnalysis[[#This Row],[5]] &lt;&gt; "", tblSeverityAnalysis[[#This Row],[5]]&gt;=sectors_sev_5), "Flagged", ""), "")</f>
        <v/>
      </c>
      <c r="AN39" s="133" t="str">
        <f>IFERROR(IF(AND(tblSeverityAnalysis[[#This Row],[Preliminary Intersectoral Severity based on overlap of sectoral deprivations]]=4, SUM(tblSeverityAnalysis[[#This Row],[ 4 ]:[5]])&gt;=sectors_sev_4), "Flagged", ""), "")</f>
        <v/>
      </c>
      <c r="AO39" s="133" t="str" cm="1">
        <f t="array" ref="AO3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9" s="335"/>
      <c r="AR39" s="336"/>
      <c r="AS39" s="335"/>
      <c r="AT39" s="337">
        <f>COUNTIF(tblSeverityAnalysis[[#This Row],[1 sector in severity phase 5 '[modify the threshold']]:[Manual Flag]], "Flagged")</f>
        <v>0</v>
      </c>
      <c r="AU39" s="338">
        <f>tblSeverityAnalysis[[#This Row],[Preliminary Intersectoral Severity based on overlap of sectoral deprivations]]</f>
        <v>1</v>
      </c>
      <c r="AV39" s="339"/>
    </row>
    <row r="40" spans="1:48" ht="15" hidden="1" customHeight="1">
      <c r="A4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MZ0306</v>
      </c>
      <c r="B40" s="39" t="s">
        <v>291</v>
      </c>
      <c r="C40" s="340" t="s">
        <v>292</v>
      </c>
      <c r="D40" s="340" t="s">
        <v>303</v>
      </c>
      <c r="E40" s="33" t="s">
        <v>304</v>
      </c>
      <c r="F40" s="33"/>
      <c r="G40" s="33"/>
      <c r="H40" s="20"/>
      <c r="I40" s="95">
        <v>65733</v>
      </c>
      <c r="J40" s="95"/>
      <c r="K40" s="321"/>
      <c r="L40" s="303"/>
      <c r="M40" s="303" t="s">
        <v>264</v>
      </c>
      <c r="N40" s="303"/>
      <c r="O40" s="372"/>
      <c r="P40" s="303">
        <v>0</v>
      </c>
      <c r="Q40" s="304"/>
      <c r="R40" s="303">
        <v>2</v>
      </c>
      <c r="S40" s="303"/>
      <c r="T40" s="303"/>
      <c r="U40" s="303"/>
      <c r="V40" s="303"/>
      <c r="W40" s="330" t="str">
        <f>IF(COUNTIF(tblSeverityAnalysis[[#This Row],[CCCM]:[WASH]], 1)=0, "", COUNTIF(tblSeverityAnalysis[[#This Row],[CCCM]:[WASH]], 1))</f>
        <v/>
      </c>
      <c r="X40" s="331">
        <f>IF(COUNTIF(tblSeverityAnalysis[[#This Row],[CCCM]:[WASH]], 2)=0, "", COUNTIF(tblSeverityAnalysis[[#This Row],[CCCM]:[WASH]], 2))</f>
        <v>1</v>
      </c>
      <c r="Y40" s="331" t="str">
        <f>IF(COUNTIF(tblSeverityAnalysis[[#This Row],[CCCM]:[WASH]], 3)=0, "", COUNTIF(tblSeverityAnalysis[[#This Row],[CCCM]:[WASH]], 3))</f>
        <v/>
      </c>
      <c r="Z40" s="331" t="str">
        <f>IF(COUNTIF(tblSeverityAnalysis[[#This Row],[CCCM]:[WASH]], 4)=0, "", COUNTIF(tblSeverityAnalysis[[#This Row],[CCCM]:[WASH]], 4))</f>
        <v/>
      </c>
      <c r="AA40" s="332" t="str">
        <f>IF(COUNTIF(tblSeverityAnalysis[[#This Row],[CCCM]:[WASH]], 5)=0, "", COUNTIF(tblSeverityAnalysis[[#This Row],[CCCM]:[WASH]], 5))</f>
        <v/>
      </c>
      <c r="AB40" s="59" cm="1">
        <f t="array" ref="AB4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0" s="41" t="str">
        <f>IFERROR(IF(INDEX(tblSeverityReference[Malnutrition Severity],MATCH(tblSeverityAnalysis[[#This Row],[ID]], tblSeverityReference[ID], 0))= "", "",INDEX(tblSeverityReference[Malnutrition Severity],MATCH(tblSeverityAnalysis[[#This Row],[ID]], tblSeverityReference[ID], 0)) ), "")</f>
        <v/>
      </c>
      <c r="AE40" s="303">
        <f>IFERROR(IF(INDEX(tblSeverityReference[Epidemic Severity],MATCH(tblSeverityAnalysis[[#This Row],[ID]], tblSeverityReference[ID], 0))= "", "",INDEX(tblSeverityReference[Epidemic Severity],MATCH(tblSeverityAnalysis[[#This Row],[ID]], tblSeverityReference[ID], 0)) ), "")</f>
        <v>2.2352941176470589</v>
      </c>
      <c r="AF40" s="303" t="str">
        <f>IFERROR(IF(INDEX(tblSeverityReference[Coping Strategy Severity],MATCH(tblSeverityAnalysis[[#This Row],[ID]], tblSeverityReference[ID], 0))= "", "",INDEX(tblSeverityReference[Coping Strategy Severity],MATCH(tblSeverityAnalysis[[#This Row],[ID]], tblSeverityReference[ID], 0)) ), "")</f>
        <v/>
      </c>
      <c r="AG40" s="108" t="str">
        <f>IFERROR(IF(INDEX(tblSeverityReference[HR/IHL Violation],MATCH(tblSeverityAnalysis[[#This Row],[ID]], tblSeverityReference[ID], 0))= "", "",INDEX(tblSeverityReference[HR/IHL Violation],MATCH(tblSeverityAnalysis[[#This Row],[ID]], tblSeverityReference[ID], 0)) ), "")</f>
        <v/>
      </c>
      <c r="AH40" s="81">
        <f>IFERROR(AVERAGE(tblSeverityAnalysis[[#This Row],[CCCM]:[WASH]]), "")</f>
        <v>1</v>
      </c>
      <c r="AI40" s="27">
        <f>IF(SUM(tblSeverityAnalysis[[#This Row],[CCCM]:[WASH]])=0, "", MAX(tblSeverityAnalysis[[#This Row],[CCCM]:[WASH]]))</f>
        <v>2</v>
      </c>
      <c r="AJ40" s="333" t="str" cm="1">
        <f t="array" ref="AJ40">IFERROR(IF(tblSeverityAnalysis[[#This Row],[Highest Severity]]="", "", _xlfn.TEXTJOIN(CHAR(10), TRUE, IF(tblSeverityAnalysis[[#This Row],[CCCM]:[WASH]]=tblSeverityAnalysis[[#This Row],[Highest Severity]], tblSeverityAnalysis[[#Headers],[CCCM]:[WASH]], ""), "")), "")</f>
        <v>WASH</v>
      </c>
      <c r="AK40" s="27" cm="1">
        <f t="array" ref="AK40">IFERROR(MAX(_xlfn._xlws.FILTER(tblSeverityAnalysis[[#This Row],[CCCM]:[WASH]], tblSeverityAnalysis[[#This Row],[CCCM]:[WASH]]&lt;tblSeverityAnalysis[[#This Row],[Highest Severity]])), "")</f>
        <v>0</v>
      </c>
      <c r="AL40" s="313" t="str" cm="1">
        <f t="array" ref="AL4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0" s="132" t="str">
        <f>IFERROR(IF(AND(tblSeverityAnalysis[[#This Row],[5]] &lt;&gt; "", tblSeverityAnalysis[[#This Row],[5]]&gt;=sectors_sev_5), "Flagged", ""), "")</f>
        <v/>
      </c>
      <c r="AN40" s="133" t="str">
        <f>IFERROR(IF(AND(tblSeverityAnalysis[[#This Row],[Preliminary Intersectoral Severity based on overlap of sectoral deprivations]]=4, SUM(tblSeverityAnalysis[[#This Row],[ 4 ]:[5]])&gt;=sectors_sev_4), "Flagged", ""), "")</f>
        <v/>
      </c>
      <c r="AO40" s="133" t="str" cm="1">
        <f t="array" ref="AO4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0" s="335"/>
      <c r="AR40" s="336"/>
      <c r="AS40" s="335"/>
      <c r="AT40" s="337">
        <f>COUNTIF(tblSeverityAnalysis[[#This Row],[1 sector in severity phase 5 '[modify the threshold']]:[Manual Flag]], "Flagged")</f>
        <v>0</v>
      </c>
      <c r="AU40" s="338">
        <f>tblSeverityAnalysis[[#This Row],[Preliminary Intersectoral Severity based on overlap of sectoral deprivations]]</f>
        <v>1</v>
      </c>
      <c r="AV40" s="339"/>
    </row>
    <row r="41" spans="1:48" ht="15" hidden="1" customHeight="1">
      <c r="A4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MZ0307</v>
      </c>
      <c r="B41" s="39" t="s">
        <v>291</v>
      </c>
      <c r="C41" s="340" t="s">
        <v>292</v>
      </c>
      <c r="D41" s="340" t="s">
        <v>305</v>
      </c>
      <c r="E41" s="33" t="s">
        <v>306</v>
      </c>
      <c r="F41" s="33"/>
      <c r="G41" s="33"/>
      <c r="H41" s="20"/>
      <c r="I41" s="95">
        <v>119100</v>
      </c>
      <c r="J41" s="95"/>
      <c r="K41" s="321"/>
      <c r="L41" s="303"/>
      <c r="M41" s="303" t="s">
        <v>264</v>
      </c>
      <c r="N41" s="303"/>
      <c r="O41" s="372"/>
      <c r="P41" s="303">
        <v>0</v>
      </c>
      <c r="Q41" s="304"/>
      <c r="R41" s="303">
        <v>1</v>
      </c>
      <c r="S41" s="303"/>
      <c r="T41" s="303"/>
      <c r="U41" s="303"/>
      <c r="V41" s="303"/>
      <c r="W41" s="330">
        <f>IF(COUNTIF(tblSeverityAnalysis[[#This Row],[CCCM]:[WASH]], 1)=0, "", COUNTIF(tblSeverityAnalysis[[#This Row],[CCCM]:[WASH]], 1))</f>
        <v>1</v>
      </c>
      <c r="X41" s="331" t="str">
        <f>IF(COUNTIF(tblSeverityAnalysis[[#This Row],[CCCM]:[WASH]], 2)=0, "", COUNTIF(tblSeverityAnalysis[[#This Row],[CCCM]:[WASH]], 2))</f>
        <v/>
      </c>
      <c r="Y41" s="331" t="str">
        <f>IF(COUNTIF(tblSeverityAnalysis[[#This Row],[CCCM]:[WASH]], 3)=0, "", COUNTIF(tblSeverityAnalysis[[#This Row],[CCCM]:[WASH]], 3))</f>
        <v/>
      </c>
      <c r="Z41" s="331" t="str">
        <f>IF(COUNTIF(tblSeverityAnalysis[[#This Row],[CCCM]:[WASH]], 4)=0, "", COUNTIF(tblSeverityAnalysis[[#This Row],[CCCM]:[WASH]], 4))</f>
        <v/>
      </c>
      <c r="AA41" s="332" t="str">
        <f>IF(COUNTIF(tblSeverityAnalysis[[#This Row],[CCCM]:[WASH]], 5)=0, "", COUNTIF(tblSeverityAnalysis[[#This Row],[CCCM]:[WASH]], 5))</f>
        <v/>
      </c>
      <c r="AB41" s="59" cm="1">
        <f t="array" ref="AB4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1" s="41" t="str">
        <f>IFERROR(IF(INDEX(tblSeverityReference[Malnutrition Severity],MATCH(tblSeverityAnalysis[[#This Row],[ID]], tblSeverityReference[ID], 0))= "", "",INDEX(tblSeverityReference[Malnutrition Severity],MATCH(tblSeverityAnalysis[[#This Row],[ID]], tblSeverityReference[ID], 0)) ), "")</f>
        <v/>
      </c>
      <c r="AE41" s="303">
        <f>IFERROR(IF(INDEX(tblSeverityReference[Epidemic Severity],MATCH(tblSeverityAnalysis[[#This Row],[ID]], tblSeverityReference[ID], 0))= "", "",INDEX(tblSeverityReference[Epidemic Severity],MATCH(tblSeverityAnalysis[[#This Row],[ID]], tblSeverityReference[ID], 0)) ), "")</f>
        <v>2.2352941176470589</v>
      </c>
      <c r="AF41" s="303" t="str">
        <f>IFERROR(IF(INDEX(tblSeverityReference[Coping Strategy Severity],MATCH(tblSeverityAnalysis[[#This Row],[ID]], tblSeverityReference[ID], 0))= "", "",INDEX(tblSeverityReference[Coping Strategy Severity],MATCH(tblSeverityAnalysis[[#This Row],[ID]], tblSeverityReference[ID], 0)) ), "")</f>
        <v/>
      </c>
      <c r="AG41" s="108" t="str">
        <f>IFERROR(IF(INDEX(tblSeverityReference[HR/IHL Violation],MATCH(tblSeverityAnalysis[[#This Row],[ID]], tblSeverityReference[ID], 0))= "", "",INDEX(tblSeverityReference[HR/IHL Violation],MATCH(tblSeverityAnalysis[[#This Row],[ID]], tblSeverityReference[ID], 0)) ), "")</f>
        <v/>
      </c>
      <c r="AH41" s="81">
        <f>IFERROR(AVERAGE(tblSeverityAnalysis[[#This Row],[CCCM]:[WASH]]), "")</f>
        <v>0.5</v>
      </c>
      <c r="AI41" s="27">
        <f>IF(SUM(tblSeverityAnalysis[[#This Row],[CCCM]:[WASH]])=0, "", MAX(tblSeverityAnalysis[[#This Row],[CCCM]:[WASH]]))</f>
        <v>1</v>
      </c>
      <c r="AJ41" s="333" t="str" cm="1">
        <f t="array" ref="AJ41">IFERROR(IF(tblSeverityAnalysis[[#This Row],[Highest Severity]]="", "", _xlfn.TEXTJOIN(CHAR(10), TRUE, IF(tblSeverityAnalysis[[#This Row],[CCCM]:[WASH]]=tblSeverityAnalysis[[#This Row],[Highest Severity]], tblSeverityAnalysis[[#Headers],[CCCM]:[WASH]], ""), "")), "")</f>
        <v>WASH</v>
      </c>
      <c r="AK41" s="27" cm="1">
        <f t="array" ref="AK41">IFERROR(MAX(_xlfn._xlws.FILTER(tblSeverityAnalysis[[#This Row],[CCCM]:[WASH]], tblSeverityAnalysis[[#This Row],[CCCM]:[WASH]]&lt;tblSeverityAnalysis[[#This Row],[Highest Severity]])), "")</f>
        <v>0</v>
      </c>
      <c r="AL41" s="313" t="str" cm="1">
        <f t="array" ref="AL4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1" s="132" t="str">
        <f>IFERROR(IF(AND(tblSeverityAnalysis[[#This Row],[5]] &lt;&gt; "", tblSeverityAnalysis[[#This Row],[5]]&gt;=sectors_sev_5), "Flagged", ""), "")</f>
        <v/>
      </c>
      <c r="AN41" s="133" t="str">
        <f>IFERROR(IF(AND(tblSeverityAnalysis[[#This Row],[Preliminary Intersectoral Severity based on overlap of sectoral deprivations]]=4, SUM(tblSeverityAnalysis[[#This Row],[ 4 ]:[5]])&gt;=sectors_sev_4), "Flagged", ""), "")</f>
        <v/>
      </c>
      <c r="AO41" s="133" t="str" cm="1">
        <f t="array" ref="AO4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1" s="335"/>
      <c r="AR41" s="336"/>
      <c r="AS41" s="335"/>
      <c r="AT41" s="337">
        <f>COUNTIF(tblSeverityAnalysis[[#This Row],[1 sector in severity phase 5 '[modify the threshold']]:[Manual Flag]], "Flagged")</f>
        <v>0</v>
      </c>
      <c r="AU41" s="338">
        <f>tblSeverityAnalysis[[#This Row],[Preliminary Intersectoral Severity based on overlap of sectoral deprivations]]</f>
        <v>1</v>
      </c>
      <c r="AV41" s="339"/>
    </row>
    <row r="42" spans="1:48" ht="15" hidden="1" customHeight="1">
      <c r="A4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MZ0308</v>
      </c>
      <c r="B42" s="39" t="s">
        <v>291</v>
      </c>
      <c r="C42" s="340" t="s">
        <v>292</v>
      </c>
      <c r="D42" s="340" t="s">
        <v>307</v>
      </c>
      <c r="E42" s="33" t="s">
        <v>308</v>
      </c>
      <c r="F42" s="33"/>
      <c r="G42" s="33"/>
      <c r="H42" s="20"/>
      <c r="I42" s="95">
        <v>57132</v>
      </c>
      <c r="J42" s="95"/>
      <c r="K42" s="321"/>
      <c r="L42" s="303"/>
      <c r="M42" s="303">
        <v>2</v>
      </c>
      <c r="N42" s="303">
        <v>2</v>
      </c>
      <c r="O42" s="372"/>
      <c r="P42" s="303">
        <v>0</v>
      </c>
      <c r="Q42" s="304"/>
      <c r="R42" s="303">
        <v>3</v>
      </c>
      <c r="S42" s="303"/>
      <c r="T42" s="303"/>
      <c r="U42" s="303"/>
      <c r="V42" s="303"/>
      <c r="W42" s="330" t="str">
        <f>IF(COUNTIF(tblSeverityAnalysis[[#This Row],[CCCM]:[WASH]], 1)=0, "", COUNTIF(tblSeverityAnalysis[[#This Row],[CCCM]:[WASH]], 1))</f>
        <v/>
      </c>
      <c r="X42" s="331">
        <f>IF(COUNTIF(tblSeverityAnalysis[[#This Row],[CCCM]:[WASH]], 2)=0, "", COUNTIF(tblSeverityAnalysis[[#This Row],[CCCM]:[WASH]], 2))</f>
        <v>2</v>
      </c>
      <c r="Y42" s="331">
        <f>IF(COUNTIF(tblSeverityAnalysis[[#This Row],[CCCM]:[WASH]], 3)=0, "", COUNTIF(tblSeverityAnalysis[[#This Row],[CCCM]:[WASH]], 3))</f>
        <v>1</v>
      </c>
      <c r="Z42" s="331" t="str">
        <f>IF(COUNTIF(tblSeverityAnalysis[[#This Row],[CCCM]:[WASH]], 4)=0, "", COUNTIF(tblSeverityAnalysis[[#This Row],[CCCM]:[WASH]], 4))</f>
        <v/>
      </c>
      <c r="AA42" s="332" t="str">
        <f>IF(COUNTIF(tblSeverityAnalysis[[#This Row],[CCCM]:[WASH]], 5)=0, "", COUNTIF(tblSeverityAnalysis[[#This Row],[CCCM]:[WASH]], 5))</f>
        <v/>
      </c>
      <c r="AB42" s="59" cm="1">
        <f t="array" ref="AB4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2" s="41" t="str">
        <f>IFERROR(IF(INDEX(tblSeverityReference[Malnutrition Severity],MATCH(tblSeverityAnalysis[[#This Row],[ID]], tblSeverityReference[ID], 0))= "", "",INDEX(tblSeverityReference[Malnutrition Severity],MATCH(tblSeverityAnalysis[[#This Row],[ID]], tblSeverityReference[ID], 0)) ), "")</f>
        <v/>
      </c>
      <c r="AE42" s="303">
        <f>IFERROR(IF(INDEX(tblSeverityReference[Epidemic Severity],MATCH(tblSeverityAnalysis[[#This Row],[ID]], tblSeverityReference[ID], 0))= "", "",INDEX(tblSeverityReference[Epidemic Severity],MATCH(tblSeverityAnalysis[[#This Row],[ID]], tblSeverityReference[ID], 0)) ), "")</f>
        <v>2.2352941176470589</v>
      </c>
      <c r="AF42" s="303">
        <f>IFERROR(IF(INDEX(tblSeverityReference[Coping Strategy Severity],MATCH(tblSeverityAnalysis[[#This Row],[ID]], tblSeverityReference[ID], 0))= "", "",INDEX(tblSeverityReference[Coping Strategy Severity],MATCH(tblSeverityAnalysis[[#This Row],[ID]], tblSeverityReference[ID], 0)) ), "")</f>
        <v>1</v>
      </c>
      <c r="AG42" s="108" t="str">
        <f>IFERROR(IF(INDEX(tblSeverityReference[HR/IHL Violation],MATCH(tblSeverityAnalysis[[#This Row],[ID]], tblSeverityReference[ID], 0))= "", "",INDEX(tblSeverityReference[HR/IHL Violation],MATCH(tblSeverityAnalysis[[#This Row],[ID]], tblSeverityReference[ID], 0)) ), "")</f>
        <v/>
      </c>
      <c r="AH42" s="81">
        <f>IFERROR(AVERAGE(tblSeverityAnalysis[[#This Row],[CCCM]:[WASH]]), "")</f>
        <v>1.75</v>
      </c>
      <c r="AI42" s="27">
        <f>IF(SUM(tblSeverityAnalysis[[#This Row],[CCCM]:[WASH]])=0, "", MAX(tblSeverityAnalysis[[#This Row],[CCCM]:[WASH]]))</f>
        <v>3</v>
      </c>
      <c r="AJ42" s="333" t="str" cm="1">
        <f t="array" ref="AJ42">IFERROR(IF(tblSeverityAnalysis[[#This Row],[Highest Severity]]="", "", _xlfn.TEXTJOIN(CHAR(10), TRUE, IF(tblSeverityAnalysis[[#This Row],[CCCM]:[WASH]]=tblSeverityAnalysis[[#This Row],[Highest Severity]], tblSeverityAnalysis[[#Headers],[CCCM]:[WASH]], ""), "")), "")</f>
        <v>WASH</v>
      </c>
      <c r="AK42" s="27" cm="1">
        <f t="array" ref="AK42">IFERROR(MAX(_xlfn._xlws.FILTER(tblSeverityAnalysis[[#This Row],[CCCM]:[WASH]], tblSeverityAnalysis[[#This Row],[CCCM]:[WASH]]&lt;tblSeverityAnalysis[[#This Row],[Highest Severity]])), "")</f>
        <v>2</v>
      </c>
      <c r="AL42" s="313" t="str" cm="1">
        <f t="array" ref="AL42">IFERROR(IF(tblSeverityAnalysis[[#This Row],[2nd Highest Severity]]="", "", _xlfn.TEXTJOIN(CHAR(10), TRUE, IF(tblSeverityAnalysis[[#This Row],[CCCM]:[WASH]]=tblSeverityAnalysis[[#This Row],[2nd Highest Severity]], tblSeverityAnalysis[[#Headers],[CCCM]:[WASH]], ""), "")), "")</f>
        <v>Nutrition
Food Security</v>
      </c>
      <c r="AM42" s="132" t="str">
        <f>IFERROR(IF(AND(tblSeverityAnalysis[[#This Row],[5]] &lt;&gt; "", tblSeverityAnalysis[[#This Row],[5]]&gt;=sectors_sev_5), "Flagged", ""), "")</f>
        <v/>
      </c>
      <c r="AN42" s="133" t="str">
        <f>IFERROR(IF(AND(tblSeverityAnalysis[[#This Row],[Preliminary Intersectoral Severity based on overlap of sectoral deprivations]]=4, SUM(tblSeverityAnalysis[[#This Row],[ 4 ]:[5]])&gt;=sectors_sev_4), "Flagged", ""), "")</f>
        <v/>
      </c>
      <c r="AO42" s="133" t="str" cm="1">
        <f t="array" ref="AO4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2" s="335"/>
      <c r="AR42" s="336"/>
      <c r="AS42" s="335"/>
      <c r="AT42" s="337">
        <f>COUNTIF(tblSeverityAnalysis[[#This Row],[1 sector in severity phase 5 '[modify the threshold']]:[Manual Flag]], "Flagged")</f>
        <v>0</v>
      </c>
      <c r="AU42" s="338">
        <f>tblSeverityAnalysis[[#This Row],[Preliminary Intersectoral Severity based on overlap of sectoral deprivations]]</f>
        <v>1</v>
      </c>
      <c r="AV42" s="339"/>
    </row>
    <row r="43" spans="1:48" ht="15" hidden="1" customHeight="1">
      <c r="A4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MZ0309</v>
      </c>
      <c r="B43" s="39" t="s">
        <v>291</v>
      </c>
      <c r="C43" s="340" t="s">
        <v>292</v>
      </c>
      <c r="D43" s="340" t="s">
        <v>309</v>
      </c>
      <c r="E43" s="33" t="s">
        <v>310</v>
      </c>
      <c r="F43" s="33"/>
      <c r="G43" s="33"/>
      <c r="H43" s="20"/>
      <c r="I43" s="95">
        <v>282201</v>
      </c>
      <c r="J43" s="95"/>
      <c r="K43" s="321"/>
      <c r="L43" s="303"/>
      <c r="M43" s="303" t="s">
        <v>264</v>
      </c>
      <c r="N43" s="303"/>
      <c r="O43" s="372"/>
      <c r="P43" s="303">
        <v>0</v>
      </c>
      <c r="Q43" s="304"/>
      <c r="R43" s="303">
        <v>2</v>
      </c>
      <c r="S43" s="303"/>
      <c r="T43" s="303"/>
      <c r="U43" s="303"/>
      <c r="V43" s="303"/>
      <c r="W43" s="330" t="str">
        <f>IF(COUNTIF(tblSeverityAnalysis[[#This Row],[CCCM]:[WASH]], 1)=0, "", COUNTIF(tblSeverityAnalysis[[#This Row],[CCCM]:[WASH]], 1))</f>
        <v/>
      </c>
      <c r="X43" s="331">
        <f>IF(COUNTIF(tblSeverityAnalysis[[#This Row],[CCCM]:[WASH]], 2)=0, "", COUNTIF(tblSeverityAnalysis[[#This Row],[CCCM]:[WASH]], 2))</f>
        <v>1</v>
      </c>
      <c r="Y43" s="331" t="str">
        <f>IF(COUNTIF(tblSeverityAnalysis[[#This Row],[CCCM]:[WASH]], 3)=0, "", COUNTIF(tblSeverityAnalysis[[#This Row],[CCCM]:[WASH]], 3))</f>
        <v/>
      </c>
      <c r="Z43" s="331" t="str">
        <f>IF(COUNTIF(tblSeverityAnalysis[[#This Row],[CCCM]:[WASH]], 4)=0, "", COUNTIF(tblSeverityAnalysis[[#This Row],[CCCM]:[WASH]], 4))</f>
        <v/>
      </c>
      <c r="AA43" s="332" t="str">
        <f>IF(COUNTIF(tblSeverityAnalysis[[#This Row],[CCCM]:[WASH]], 5)=0, "", COUNTIF(tblSeverityAnalysis[[#This Row],[CCCM]:[WASH]], 5))</f>
        <v/>
      </c>
      <c r="AB43" s="59" cm="1">
        <f t="array" ref="AB4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3" s="41" t="str">
        <f>IFERROR(IF(INDEX(tblSeverityReference[Malnutrition Severity],MATCH(tblSeverityAnalysis[[#This Row],[ID]], tblSeverityReference[ID], 0))= "", "",INDEX(tblSeverityReference[Malnutrition Severity],MATCH(tblSeverityAnalysis[[#This Row],[ID]], tblSeverityReference[ID], 0)) ), "")</f>
        <v/>
      </c>
      <c r="AE43" s="303">
        <f>IFERROR(IF(INDEX(tblSeverityReference[Epidemic Severity],MATCH(tblSeverityAnalysis[[#This Row],[ID]], tblSeverityReference[ID], 0))= "", "",INDEX(tblSeverityReference[Epidemic Severity],MATCH(tblSeverityAnalysis[[#This Row],[ID]], tblSeverityReference[ID], 0)) ), "")</f>
        <v>2.2352941176470589</v>
      </c>
      <c r="AF43" s="303" t="str">
        <f>IFERROR(IF(INDEX(tblSeverityReference[Coping Strategy Severity],MATCH(tblSeverityAnalysis[[#This Row],[ID]], tblSeverityReference[ID], 0))= "", "",INDEX(tblSeverityReference[Coping Strategy Severity],MATCH(tblSeverityAnalysis[[#This Row],[ID]], tblSeverityReference[ID], 0)) ), "")</f>
        <v/>
      </c>
      <c r="AG43" s="108" t="str">
        <f>IFERROR(IF(INDEX(tblSeverityReference[HR/IHL Violation],MATCH(tblSeverityAnalysis[[#This Row],[ID]], tblSeverityReference[ID], 0))= "", "",INDEX(tblSeverityReference[HR/IHL Violation],MATCH(tblSeverityAnalysis[[#This Row],[ID]], tblSeverityReference[ID], 0)) ), "")</f>
        <v/>
      </c>
      <c r="AH43" s="81">
        <f>IFERROR(AVERAGE(tblSeverityAnalysis[[#This Row],[CCCM]:[WASH]]), "")</f>
        <v>1</v>
      </c>
      <c r="AI43" s="27">
        <f>IF(SUM(tblSeverityAnalysis[[#This Row],[CCCM]:[WASH]])=0, "", MAX(tblSeverityAnalysis[[#This Row],[CCCM]:[WASH]]))</f>
        <v>2</v>
      </c>
      <c r="AJ43" s="333" t="str" cm="1">
        <f t="array" ref="AJ43">IFERROR(IF(tblSeverityAnalysis[[#This Row],[Highest Severity]]="", "", _xlfn.TEXTJOIN(CHAR(10), TRUE, IF(tblSeverityAnalysis[[#This Row],[CCCM]:[WASH]]=tblSeverityAnalysis[[#This Row],[Highest Severity]], tblSeverityAnalysis[[#Headers],[CCCM]:[WASH]], ""), "")), "")</f>
        <v>WASH</v>
      </c>
      <c r="AK43" s="27" cm="1">
        <f t="array" ref="AK43">IFERROR(MAX(_xlfn._xlws.FILTER(tblSeverityAnalysis[[#This Row],[CCCM]:[WASH]], tblSeverityAnalysis[[#This Row],[CCCM]:[WASH]]&lt;tblSeverityAnalysis[[#This Row],[Highest Severity]])), "")</f>
        <v>0</v>
      </c>
      <c r="AL43" s="313" t="str" cm="1">
        <f t="array" ref="AL4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3" s="132" t="str">
        <f>IFERROR(IF(AND(tblSeverityAnalysis[[#This Row],[5]] &lt;&gt; "", tblSeverityAnalysis[[#This Row],[5]]&gt;=sectors_sev_5), "Flagged", ""), "")</f>
        <v/>
      </c>
      <c r="AN43" s="133" t="str">
        <f>IFERROR(IF(AND(tblSeverityAnalysis[[#This Row],[Preliminary Intersectoral Severity based on overlap of sectoral deprivations]]=4, SUM(tblSeverityAnalysis[[#This Row],[ 4 ]:[5]])&gt;=sectors_sev_4), "Flagged", ""), "")</f>
        <v/>
      </c>
      <c r="AO43" s="133" t="str" cm="1">
        <f t="array" ref="AO4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3" s="335"/>
      <c r="AR43" s="336"/>
      <c r="AS43" s="335"/>
      <c r="AT43" s="337">
        <f>COUNTIF(tblSeverityAnalysis[[#This Row],[1 sector in severity phase 5 '[modify the threshold']]:[Manual Flag]], "Flagged")</f>
        <v>0</v>
      </c>
      <c r="AU43" s="338">
        <f>tblSeverityAnalysis[[#This Row],[Preliminary Intersectoral Severity based on overlap of sectoral deprivations]]</f>
        <v>1</v>
      </c>
      <c r="AV43" s="339"/>
    </row>
    <row r="44" spans="1:48" ht="15" hidden="1" customHeight="1">
      <c r="A4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MZ0310</v>
      </c>
      <c r="B44" s="39" t="s">
        <v>291</v>
      </c>
      <c r="C44" s="340" t="s">
        <v>292</v>
      </c>
      <c r="D44" s="340" t="s">
        <v>311</v>
      </c>
      <c r="E44" s="33" t="s">
        <v>312</v>
      </c>
      <c r="F44" s="33"/>
      <c r="G44" s="33"/>
      <c r="H44" s="20"/>
      <c r="I44" s="95">
        <v>161359</v>
      </c>
      <c r="J44" s="95"/>
      <c r="K44" s="321"/>
      <c r="L44" s="303"/>
      <c r="M44" s="303" t="s">
        <v>264</v>
      </c>
      <c r="N44" s="303"/>
      <c r="O44" s="372"/>
      <c r="P44" s="303">
        <v>0</v>
      </c>
      <c r="Q44" s="304"/>
      <c r="R44" s="303">
        <v>2</v>
      </c>
      <c r="S44" s="303"/>
      <c r="T44" s="303"/>
      <c r="U44" s="303"/>
      <c r="V44" s="303"/>
      <c r="W44" s="330" t="str">
        <f>IF(COUNTIF(tblSeverityAnalysis[[#This Row],[CCCM]:[WASH]], 1)=0, "", COUNTIF(tblSeverityAnalysis[[#This Row],[CCCM]:[WASH]], 1))</f>
        <v/>
      </c>
      <c r="X44" s="331">
        <f>IF(COUNTIF(tblSeverityAnalysis[[#This Row],[CCCM]:[WASH]], 2)=0, "", COUNTIF(tblSeverityAnalysis[[#This Row],[CCCM]:[WASH]], 2))</f>
        <v>1</v>
      </c>
      <c r="Y44" s="331" t="str">
        <f>IF(COUNTIF(tblSeverityAnalysis[[#This Row],[CCCM]:[WASH]], 3)=0, "", COUNTIF(tblSeverityAnalysis[[#This Row],[CCCM]:[WASH]], 3))</f>
        <v/>
      </c>
      <c r="Z44" s="331" t="str">
        <f>IF(COUNTIF(tblSeverityAnalysis[[#This Row],[CCCM]:[WASH]], 4)=0, "", COUNTIF(tblSeverityAnalysis[[#This Row],[CCCM]:[WASH]], 4))</f>
        <v/>
      </c>
      <c r="AA44" s="332" t="str">
        <f>IF(COUNTIF(tblSeverityAnalysis[[#This Row],[CCCM]:[WASH]], 5)=0, "", COUNTIF(tblSeverityAnalysis[[#This Row],[CCCM]:[WASH]], 5))</f>
        <v/>
      </c>
      <c r="AB44" s="59" cm="1">
        <f t="array" ref="AB4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4" s="41" t="str">
        <f>IFERROR(IF(INDEX(tblSeverityReference[Malnutrition Severity],MATCH(tblSeverityAnalysis[[#This Row],[ID]], tblSeverityReference[ID], 0))= "", "",INDEX(tblSeverityReference[Malnutrition Severity],MATCH(tblSeverityAnalysis[[#This Row],[ID]], tblSeverityReference[ID], 0)) ), "")</f>
        <v/>
      </c>
      <c r="AE44" s="303">
        <f>IFERROR(IF(INDEX(tblSeverityReference[Epidemic Severity],MATCH(tblSeverityAnalysis[[#This Row],[ID]], tblSeverityReference[ID], 0))= "", "",INDEX(tblSeverityReference[Epidemic Severity],MATCH(tblSeverityAnalysis[[#This Row],[ID]], tblSeverityReference[ID], 0)) ), "")</f>
        <v>2.2352941176470589</v>
      </c>
      <c r="AF44" s="303" t="str">
        <f>IFERROR(IF(INDEX(tblSeverityReference[Coping Strategy Severity],MATCH(tblSeverityAnalysis[[#This Row],[ID]], tblSeverityReference[ID], 0))= "", "",INDEX(tblSeverityReference[Coping Strategy Severity],MATCH(tblSeverityAnalysis[[#This Row],[ID]], tblSeverityReference[ID], 0)) ), "")</f>
        <v/>
      </c>
      <c r="AG44" s="108" t="str">
        <f>IFERROR(IF(INDEX(tblSeverityReference[HR/IHL Violation],MATCH(tblSeverityAnalysis[[#This Row],[ID]], tblSeverityReference[ID], 0))= "", "",INDEX(tblSeverityReference[HR/IHL Violation],MATCH(tblSeverityAnalysis[[#This Row],[ID]], tblSeverityReference[ID], 0)) ), "")</f>
        <v/>
      </c>
      <c r="AH44" s="81">
        <f>IFERROR(AVERAGE(tblSeverityAnalysis[[#This Row],[CCCM]:[WASH]]), "")</f>
        <v>1</v>
      </c>
      <c r="AI44" s="27">
        <f>IF(SUM(tblSeverityAnalysis[[#This Row],[CCCM]:[WASH]])=0, "", MAX(tblSeverityAnalysis[[#This Row],[CCCM]:[WASH]]))</f>
        <v>2</v>
      </c>
      <c r="AJ44" s="333" t="str" cm="1">
        <f t="array" ref="AJ44">IFERROR(IF(tblSeverityAnalysis[[#This Row],[Highest Severity]]="", "", _xlfn.TEXTJOIN(CHAR(10), TRUE, IF(tblSeverityAnalysis[[#This Row],[CCCM]:[WASH]]=tblSeverityAnalysis[[#This Row],[Highest Severity]], tblSeverityAnalysis[[#Headers],[CCCM]:[WASH]], ""), "")), "")</f>
        <v>WASH</v>
      </c>
      <c r="AK44" s="27" cm="1">
        <f t="array" ref="AK44">IFERROR(MAX(_xlfn._xlws.FILTER(tblSeverityAnalysis[[#This Row],[CCCM]:[WASH]], tblSeverityAnalysis[[#This Row],[CCCM]:[WASH]]&lt;tblSeverityAnalysis[[#This Row],[Highest Severity]])), "")</f>
        <v>0</v>
      </c>
      <c r="AL44" s="313" t="str" cm="1">
        <f t="array" ref="AL4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4" s="132" t="str">
        <f>IFERROR(IF(AND(tblSeverityAnalysis[[#This Row],[5]] &lt;&gt; "", tblSeverityAnalysis[[#This Row],[5]]&gt;=sectors_sev_5), "Flagged", ""), "")</f>
        <v/>
      </c>
      <c r="AN44" s="133" t="str">
        <f>IFERROR(IF(AND(tblSeverityAnalysis[[#This Row],[Preliminary Intersectoral Severity based on overlap of sectoral deprivations]]=4, SUM(tblSeverityAnalysis[[#This Row],[ 4 ]:[5]])&gt;=sectors_sev_4), "Flagged", ""), "")</f>
        <v/>
      </c>
      <c r="AO44" s="133" t="str" cm="1">
        <f t="array" ref="AO4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4" s="335"/>
      <c r="AR44" s="336"/>
      <c r="AS44" s="335"/>
      <c r="AT44" s="337">
        <f>COUNTIF(tblSeverityAnalysis[[#This Row],[1 sector in severity phase 5 '[modify the threshold']]:[Manual Flag]], "Flagged")</f>
        <v>0</v>
      </c>
      <c r="AU44" s="338">
        <f>tblSeverityAnalysis[[#This Row],[Preliminary Intersectoral Severity based on overlap of sectoral deprivations]]</f>
        <v>1</v>
      </c>
      <c r="AV44" s="339"/>
    </row>
    <row r="45" spans="1:48" ht="15" hidden="1" customHeight="1">
      <c r="A4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MZ0311</v>
      </c>
      <c r="B45" s="39" t="s">
        <v>291</v>
      </c>
      <c r="C45" s="340" t="s">
        <v>292</v>
      </c>
      <c r="D45" s="340" t="s">
        <v>313</v>
      </c>
      <c r="E45" s="33" t="s">
        <v>314</v>
      </c>
      <c r="F45" s="33"/>
      <c r="G45" s="33"/>
      <c r="H45" s="20"/>
      <c r="I45" s="95">
        <v>158553</v>
      </c>
      <c r="J45" s="95"/>
      <c r="K45" s="321"/>
      <c r="L45" s="303"/>
      <c r="M45" s="303" t="s">
        <v>264</v>
      </c>
      <c r="N45" s="303"/>
      <c r="O45" s="372"/>
      <c r="P45" s="303">
        <v>0</v>
      </c>
      <c r="Q45" s="304"/>
      <c r="R45" s="303">
        <v>3</v>
      </c>
      <c r="S45" s="303"/>
      <c r="T45" s="303"/>
      <c r="U45" s="303"/>
      <c r="V45" s="303"/>
      <c r="W45" s="330" t="str">
        <f>IF(COUNTIF(tblSeverityAnalysis[[#This Row],[CCCM]:[WASH]], 1)=0, "", COUNTIF(tblSeverityAnalysis[[#This Row],[CCCM]:[WASH]], 1))</f>
        <v/>
      </c>
      <c r="X45" s="331" t="str">
        <f>IF(COUNTIF(tblSeverityAnalysis[[#This Row],[CCCM]:[WASH]], 2)=0, "", COUNTIF(tblSeverityAnalysis[[#This Row],[CCCM]:[WASH]], 2))</f>
        <v/>
      </c>
      <c r="Y45" s="331">
        <f>IF(COUNTIF(tblSeverityAnalysis[[#This Row],[CCCM]:[WASH]], 3)=0, "", COUNTIF(tblSeverityAnalysis[[#This Row],[CCCM]:[WASH]], 3))</f>
        <v>1</v>
      </c>
      <c r="Z45" s="331" t="str">
        <f>IF(COUNTIF(tblSeverityAnalysis[[#This Row],[CCCM]:[WASH]], 4)=0, "", COUNTIF(tblSeverityAnalysis[[#This Row],[CCCM]:[WASH]], 4))</f>
        <v/>
      </c>
      <c r="AA45" s="332" t="str">
        <f>IF(COUNTIF(tblSeverityAnalysis[[#This Row],[CCCM]:[WASH]], 5)=0, "", COUNTIF(tblSeverityAnalysis[[#This Row],[CCCM]:[WASH]], 5))</f>
        <v/>
      </c>
      <c r="AB45" s="59" cm="1">
        <f t="array" ref="AB4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5" s="41" t="str">
        <f>IFERROR(IF(INDEX(tblSeverityReference[Malnutrition Severity],MATCH(tblSeverityAnalysis[[#This Row],[ID]], tblSeverityReference[ID], 0))= "", "",INDEX(tblSeverityReference[Malnutrition Severity],MATCH(tblSeverityAnalysis[[#This Row],[ID]], tblSeverityReference[ID], 0)) ), "")</f>
        <v/>
      </c>
      <c r="AE45" s="303">
        <f>IFERROR(IF(INDEX(tblSeverityReference[Epidemic Severity],MATCH(tblSeverityAnalysis[[#This Row],[ID]], tblSeverityReference[ID], 0))= "", "",INDEX(tblSeverityReference[Epidemic Severity],MATCH(tblSeverityAnalysis[[#This Row],[ID]], tblSeverityReference[ID], 0)) ), "")</f>
        <v>2.2352941176470589</v>
      </c>
      <c r="AF45" s="303" t="str">
        <f>IFERROR(IF(INDEX(tblSeverityReference[Coping Strategy Severity],MATCH(tblSeverityAnalysis[[#This Row],[ID]], tblSeverityReference[ID], 0))= "", "",INDEX(tblSeverityReference[Coping Strategy Severity],MATCH(tblSeverityAnalysis[[#This Row],[ID]], tblSeverityReference[ID], 0)) ), "")</f>
        <v/>
      </c>
      <c r="AG45" s="108" t="str">
        <f>IFERROR(IF(INDEX(tblSeverityReference[HR/IHL Violation],MATCH(tblSeverityAnalysis[[#This Row],[ID]], tblSeverityReference[ID], 0))= "", "",INDEX(tblSeverityReference[HR/IHL Violation],MATCH(tblSeverityAnalysis[[#This Row],[ID]], tblSeverityReference[ID], 0)) ), "")</f>
        <v/>
      </c>
      <c r="AH45" s="81">
        <f>IFERROR(AVERAGE(tblSeverityAnalysis[[#This Row],[CCCM]:[WASH]]), "")</f>
        <v>1.5</v>
      </c>
      <c r="AI45" s="27">
        <f>IF(SUM(tblSeverityAnalysis[[#This Row],[CCCM]:[WASH]])=0, "", MAX(tblSeverityAnalysis[[#This Row],[CCCM]:[WASH]]))</f>
        <v>3</v>
      </c>
      <c r="AJ45" s="333" t="str" cm="1">
        <f t="array" ref="AJ45">IFERROR(IF(tblSeverityAnalysis[[#This Row],[Highest Severity]]="", "", _xlfn.TEXTJOIN(CHAR(10), TRUE, IF(tblSeverityAnalysis[[#This Row],[CCCM]:[WASH]]=tblSeverityAnalysis[[#This Row],[Highest Severity]], tblSeverityAnalysis[[#Headers],[CCCM]:[WASH]], ""), "")), "")</f>
        <v>WASH</v>
      </c>
      <c r="AK45" s="27" cm="1">
        <f t="array" ref="AK45">IFERROR(MAX(_xlfn._xlws.FILTER(tblSeverityAnalysis[[#This Row],[CCCM]:[WASH]], tblSeverityAnalysis[[#This Row],[CCCM]:[WASH]]&lt;tblSeverityAnalysis[[#This Row],[Highest Severity]])), "")</f>
        <v>0</v>
      </c>
      <c r="AL45" s="313" t="str" cm="1">
        <f t="array" ref="AL4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5" s="132" t="str">
        <f>IFERROR(IF(AND(tblSeverityAnalysis[[#This Row],[5]] &lt;&gt; "", tblSeverityAnalysis[[#This Row],[5]]&gt;=sectors_sev_5), "Flagged", ""), "")</f>
        <v/>
      </c>
      <c r="AN45" s="133" t="str">
        <f>IFERROR(IF(AND(tblSeverityAnalysis[[#This Row],[Preliminary Intersectoral Severity based on overlap of sectoral deprivations]]=4, SUM(tblSeverityAnalysis[[#This Row],[ 4 ]:[5]])&gt;=sectors_sev_4), "Flagged", ""), "")</f>
        <v/>
      </c>
      <c r="AO45" s="133" t="str" cm="1">
        <f t="array" ref="AO4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5" s="335"/>
      <c r="AR45" s="336"/>
      <c r="AS45" s="335"/>
      <c r="AT45" s="337">
        <f>COUNTIF(tblSeverityAnalysis[[#This Row],[1 sector in severity phase 5 '[modify the threshold']]:[Manual Flag]], "Flagged")</f>
        <v>0</v>
      </c>
      <c r="AU45" s="338">
        <f>tblSeverityAnalysis[[#This Row],[Preliminary Intersectoral Severity based on overlap of sectoral deprivations]]</f>
        <v>1</v>
      </c>
      <c r="AV45" s="339"/>
    </row>
    <row r="46" spans="1:48" ht="15" hidden="1" customHeight="1">
      <c r="A4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MZ0312</v>
      </c>
      <c r="B46" s="39" t="s">
        <v>291</v>
      </c>
      <c r="C46" s="340" t="s">
        <v>292</v>
      </c>
      <c r="D46" s="340" t="s">
        <v>315</v>
      </c>
      <c r="E46" s="33" t="s">
        <v>316</v>
      </c>
      <c r="F46" s="33"/>
      <c r="G46" s="33"/>
      <c r="H46" s="20"/>
      <c r="I46" s="95">
        <v>48757</v>
      </c>
      <c r="J46" s="95"/>
      <c r="K46" s="321"/>
      <c r="L46" s="303"/>
      <c r="M46" s="303">
        <v>2</v>
      </c>
      <c r="N46" s="303">
        <v>3</v>
      </c>
      <c r="O46" s="372"/>
      <c r="P46" s="303">
        <v>0</v>
      </c>
      <c r="Q46" s="304"/>
      <c r="R46" s="303">
        <v>2</v>
      </c>
      <c r="S46" s="303"/>
      <c r="T46" s="303"/>
      <c r="U46" s="303"/>
      <c r="V46" s="303"/>
      <c r="W46" s="330" t="str">
        <f>IF(COUNTIF(tblSeverityAnalysis[[#This Row],[CCCM]:[WASH]], 1)=0, "", COUNTIF(tblSeverityAnalysis[[#This Row],[CCCM]:[WASH]], 1))</f>
        <v/>
      </c>
      <c r="X46" s="331">
        <f>IF(COUNTIF(tblSeverityAnalysis[[#This Row],[CCCM]:[WASH]], 2)=0, "", COUNTIF(tblSeverityAnalysis[[#This Row],[CCCM]:[WASH]], 2))</f>
        <v>2</v>
      </c>
      <c r="Y46" s="331">
        <f>IF(COUNTIF(tblSeverityAnalysis[[#This Row],[CCCM]:[WASH]], 3)=0, "", COUNTIF(tblSeverityAnalysis[[#This Row],[CCCM]:[WASH]], 3))</f>
        <v>1</v>
      </c>
      <c r="Z46" s="331" t="str">
        <f>IF(COUNTIF(tblSeverityAnalysis[[#This Row],[CCCM]:[WASH]], 4)=0, "", COUNTIF(tblSeverityAnalysis[[#This Row],[CCCM]:[WASH]], 4))</f>
        <v/>
      </c>
      <c r="AA46" s="332" t="str">
        <f>IF(COUNTIF(tblSeverityAnalysis[[#This Row],[CCCM]:[WASH]], 5)=0, "", COUNTIF(tblSeverityAnalysis[[#This Row],[CCCM]:[WASH]], 5))</f>
        <v/>
      </c>
      <c r="AB46" s="59" cm="1">
        <f t="array" ref="AB4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6" s="41" t="str">
        <f>IFERROR(IF(INDEX(tblSeverityReference[Malnutrition Severity],MATCH(tblSeverityAnalysis[[#This Row],[ID]], tblSeverityReference[ID], 0))= "", "",INDEX(tblSeverityReference[Malnutrition Severity],MATCH(tblSeverityAnalysis[[#This Row],[ID]], tblSeverityReference[ID], 0)) ), "")</f>
        <v/>
      </c>
      <c r="AE46" s="303">
        <f>IFERROR(IF(INDEX(tblSeverityReference[Epidemic Severity],MATCH(tblSeverityAnalysis[[#This Row],[ID]], tblSeverityReference[ID], 0))= "", "",INDEX(tblSeverityReference[Epidemic Severity],MATCH(tblSeverityAnalysis[[#This Row],[ID]], tblSeverityReference[ID], 0)) ), "")</f>
        <v>2.2352941176470589</v>
      </c>
      <c r="AF46" s="303">
        <f>IFERROR(IF(INDEX(tblSeverityReference[Coping Strategy Severity],MATCH(tblSeverityAnalysis[[#This Row],[ID]], tblSeverityReference[ID], 0))= "", "",INDEX(tblSeverityReference[Coping Strategy Severity],MATCH(tblSeverityAnalysis[[#This Row],[ID]], tblSeverityReference[ID], 0)) ), "")</f>
        <v>2</v>
      </c>
      <c r="AG46" s="108" t="str">
        <f>IFERROR(IF(INDEX(tblSeverityReference[HR/IHL Violation],MATCH(tblSeverityAnalysis[[#This Row],[ID]], tblSeverityReference[ID], 0))= "", "",INDEX(tblSeverityReference[HR/IHL Violation],MATCH(tblSeverityAnalysis[[#This Row],[ID]], tblSeverityReference[ID], 0)) ), "")</f>
        <v/>
      </c>
      <c r="AH46" s="81">
        <f>IFERROR(AVERAGE(tblSeverityAnalysis[[#This Row],[CCCM]:[WASH]]), "")</f>
        <v>1.75</v>
      </c>
      <c r="AI46" s="27">
        <f>IF(SUM(tblSeverityAnalysis[[#This Row],[CCCM]:[WASH]])=0, "", MAX(tblSeverityAnalysis[[#This Row],[CCCM]:[WASH]]))</f>
        <v>3</v>
      </c>
      <c r="AJ46" s="333" t="str" cm="1">
        <f t="array" ref="AJ46">IFERROR(IF(tblSeverityAnalysis[[#This Row],[Highest Severity]]="", "", _xlfn.TEXTJOIN(CHAR(10), TRUE, IF(tblSeverityAnalysis[[#This Row],[CCCM]:[WASH]]=tblSeverityAnalysis[[#This Row],[Highest Severity]], tblSeverityAnalysis[[#Headers],[CCCM]:[WASH]], ""), "")), "")</f>
        <v>Food Security</v>
      </c>
      <c r="AK46" s="27" cm="1">
        <f t="array" ref="AK46">IFERROR(MAX(_xlfn._xlws.FILTER(tblSeverityAnalysis[[#This Row],[CCCM]:[WASH]], tblSeverityAnalysis[[#This Row],[CCCM]:[WASH]]&lt;tblSeverityAnalysis[[#This Row],[Highest Severity]])), "")</f>
        <v>2</v>
      </c>
      <c r="AL46" s="313" t="str" cm="1">
        <f t="array" ref="AL46">IFERROR(IF(tblSeverityAnalysis[[#This Row],[2nd Highest Severity]]="", "", _xlfn.TEXTJOIN(CHAR(10), TRUE, IF(tblSeverityAnalysis[[#This Row],[CCCM]:[WASH]]=tblSeverityAnalysis[[#This Row],[2nd Highest Severity]], tblSeverityAnalysis[[#Headers],[CCCM]:[WASH]], ""), "")), "")</f>
        <v>Nutrition
WASH</v>
      </c>
      <c r="AM46" s="132" t="str">
        <f>IFERROR(IF(AND(tblSeverityAnalysis[[#This Row],[5]] &lt;&gt; "", tblSeverityAnalysis[[#This Row],[5]]&gt;=sectors_sev_5), "Flagged", ""), "")</f>
        <v/>
      </c>
      <c r="AN46" s="133" t="str">
        <f>IFERROR(IF(AND(tblSeverityAnalysis[[#This Row],[Preliminary Intersectoral Severity based on overlap of sectoral deprivations]]=4, SUM(tblSeverityAnalysis[[#This Row],[ 4 ]:[5]])&gt;=sectors_sev_4), "Flagged", ""), "")</f>
        <v/>
      </c>
      <c r="AO46" s="133" t="str" cm="1">
        <f t="array" ref="AO4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6" s="335"/>
      <c r="AR46" s="336"/>
      <c r="AS46" s="335"/>
      <c r="AT46" s="337">
        <f>COUNTIF(tblSeverityAnalysis[[#This Row],[1 sector in severity phase 5 '[modify the threshold']]:[Manual Flag]], "Flagged")</f>
        <v>1</v>
      </c>
      <c r="AU46" s="338">
        <f>tblSeverityAnalysis[[#This Row],[Preliminary Intersectoral Severity based on overlap of sectoral deprivations]]</f>
        <v>1</v>
      </c>
      <c r="AV46" s="339"/>
    </row>
    <row r="47" spans="1:48" ht="15" hidden="1" customHeight="1">
      <c r="A4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MZ0313</v>
      </c>
      <c r="B47" s="39" t="s">
        <v>291</v>
      </c>
      <c r="C47" s="340" t="s">
        <v>292</v>
      </c>
      <c r="D47" s="340" t="s">
        <v>317</v>
      </c>
      <c r="E47" s="33" t="s">
        <v>318</v>
      </c>
      <c r="F47" s="33"/>
      <c r="G47" s="33"/>
      <c r="H47" s="20"/>
      <c r="I47" s="95">
        <v>179548</v>
      </c>
      <c r="J47" s="95"/>
      <c r="K47" s="321"/>
      <c r="L47" s="303"/>
      <c r="M47" s="303" t="s">
        <v>264</v>
      </c>
      <c r="N47" s="303"/>
      <c r="O47" s="372"/>
      <c r="P47" s="303">
        <v>0</v>
      </c>
      <c r="Q47" s="304"/>
      <c r="R47" s="303">
        <v>2</v>
      </c>
      <c r="S47" s="303"/>
      <c r="T47" s="303"/>
      <c r="U47" s="303"/>
      <c r="V47" s="303"/>
      <c r="W47" s="330" t="str">
        <f>IF(COUNTIF(tblSeverityAnalysis[[#This Row],[CCCM]:[WASH]], 1)=0, "", COUNTIF(tblSeverityAnalysis[[#This Row],[CCCM]:[WASH]], 1))</f>
        <v/>
      </c>
      <c r="X47" s="331">
        <f>IF(COUNTIF(tblSeverityAnalysis[[#This Row],[CCCM]:[WASH]], 2)=0, "", COUNTIF(tblSeverityAnalysis[[#This Row],[CCCM]:[WASH]], 2))</f>
        <v>1</v>
      </c>
      <c r="Y47" s="331" t="str">
        <f>IF(COUNTIF(tblSeverityAnalysis[[#This Row],[CCCM]:[WASH]], 3)=0, "", COUNTIF(tblSeverityAnalysis[[#This Row],[CCCM]:[WASH]], 3))</f>
        <v/>
      </c>
      <c r="Z47" s="331" t="str">
        <f>IF(COUNTIF(tblSeverityAnalysis[[#This Row],[CCCM]:[WASH]], 4)=0, "", COUNTIF(tblSeverityAnalysis[[#This Row],[CCCM]:[WASH]], 4))</f>
        <v/>
      </c>
      <c r="AA47" s="332" t="str">
        <f>IF(COUNTIF(tblSeverityAnalysis[[#This Row],[CCCM]:[WASH]], 5)=0, "", COUNTIF(tblSeverityAnalysis[[#This Row],[CCCM]:[WASH]], 5))</f>
        <v/>
      </c>
      <c r="AB47" s="59" cm="1">
        <f t="array" ref="AB4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7" s="41" t="str">
        <f>IFERROR(IF(INDEX(tblSeverityReference[Malnutrition Severity],MATCH(tblSeverityAnalysis[[#This Row],[ID]], tblSeverityReference[ID], 0))= "", "",INDEX(tblSeverityReference[Malnutrition Severity],MATCH(tblSeverityAnalysis[[#This Row],[ID]], tblSeverityReference[ID], 0)) ), "")</f>
        <v/>
      </c>
      <c r="AE47" s="303">
        <f>IFERROR(IF(INDEX(tblSeverityReference[Epidemic Severity],MATCH(tblSeverityAnalysis[[#This Row],[ID]], tblSeverityReference[ID], 0))= "", "",INDEX(tblSeverityReference[Epidemic Severity],MATCH(tblSeverityAnalysis[[#This Row],[ID]], tblSeverityReference[ID], 0)) ), "")</f>
        <v>2.2352941176470589</v>
      </c>
      <c r="AF47" s="303" t="str">
        <f>IFERROR(IF(INDEX(tblSeverityReference[Coping Strategy Severity],MATCH(tblSeverityAnalysis[[#This Row],[ID]], tblSeverityReference[ID], 0))= "", "",INDEX(tblSeverityReference[Coping Strategy Severity],MATCH(tblSeverityAnalysis[[#This Row],[ID]], tblSeverityReference[ID], 0)) ), "")</f>
        <v/>
      </c>
      <c r="AG47" s="108" t="str">
        <f>IFERROR(IF(INDEX(tblSeverityReference[HR/IHL Violation],MATCH(tblSeverityAnalysis[[#This Row],[ID]], tblSeverityReference[ID], 0))= "", "",INDEX(tblSeverityReference[HR/IHL Violation],MATCH(tblSeverityAnalysis[[#This Row],[ID]], tblSeverityReference[ID], 0)) ), "")</f>
        <v/>
      </c>
      <c r="AH47" s="81">
        <f>IFERROR(AVERAGE(tblSeverityAnalysis[[#This Row],[CCCM]:[WASH]]), "")</f>
        <v>1</v>
      </c>
      <c r="AI47" s="27">
        <f>IF(SUM(tblSeverityAnalysis[[#This Row],[CCCM]:[WASH]])=0, "", MAX(tblSeverityAnalysis[[#This Row],[CCCM]:[WASH]]))</f>
        <v>2</v>
      </c>
      <c r="AJ47" s="333" t="str" cm="1">
        <f t="array" ref="AJ47">IFERROR(IF(tblSeverityAnalysis[[#This Row],[Highest Severity]]="", "", _xlfn.TEXTJOIN(CHAR(10), TRUE, IF(tblSeverityAnalysis[[#This Row],[CCCM]:[WASH]]=tblSeverityAnalysis[[#This Row],[Highest Severity]], tblSeverityAnalysis[[#Headers],[CCCM]:[WASH]], ""), "")), "")</f>
        <v>WASH</v>
      </c>
      <c r="AK47" s="27" cm="1">
        <f t="array" ref="AK47">IFERROR(MAX(_xlfn._xlws.FILTER(tblSeverityAnalysis[[#This Row],[CCCM]:[WASH]], tblSeverityAnalysis[[#This Row],[CCCM]:[WASH]]&lt;tblSeverityAnalysis[[#This Row],[Highest Severity]])), "")</f>
        <v>0</v>
      </c>
      <c r="AL47" s="313" t="str" cm="1">
        <f t="array" ref="AL4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7" s="132" t="str">
        <f>IFERROR(IF(AND(tblSeverityAnalysis[[#This Row],[5]] &lt;&gt; "", tblSeverityAnalysis[[#This Row],[5]]&gt;=sectors_sev_5), "Flagged", ""), "")</f>
        <v/>
      </c>
      <c r="AN47" s="133" t="str">
        <f>IFERROR(IF(AND(tblSeverityAnalysis[[#This Row],[Preliminary Intersectoral Severity based on overlap of sectoral deprivations]]=4, SUM(tblSeverityAnalysis[[#This Row],[ 4 ]:[5]])&gt;=sectors_sev_4), "Flagged", ""), "")</f>
        <v/>
      </c>
      <c r="AO47" s="133" t="str" cm="1">
        <f t="array" ref="AO4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7" s="335"/>
      <c r="AR47" s="336"/>
      <c r="AS47" s="335"/>
      <c r="AT47" s="337">
        <f>COUNTIF(tblSeverityAnalysis[[#This Row],[1 sector in severity phase 5 '[modify the threshold']]:[Manual Flag]], "Flagged")</f>
        <v>0</v>
      </c>
      <c r="AU47" s="338">
        <f>tblSeverityAnalysis[[#This Row],[Preliminary Intersectoral Severity based on overlap of sectoral deprivations]]</f>
        <v>1</v>
      </c>
      <c r="AV47" s="339"/>
    </row>
    <row r="48" spans="1:48" ht="15" hidden="1" customHeight="1">
      <c r="A4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MZ0314</v>
      </c>
      <c r="B48" s="39" t="s">
        <v>291</v>
      </c>
      <c r="C48" s="340" t="s">
        <v>292</v>
      </c>
      <c r="D48" s="340" t="s">
        <v>319</v>
      </c>
      <c r="E48" s="33" t="s">
        <v>320</v>
      </c>
      <c r="F48" s="33"/>
      <c r="G48" s="33"/>
      <c r="H48" s="20"/>
      <c r="I48" s="95">
        <v>172377</v>
      </c>
      <c r="J48" s="95"/>
      <c r="K48" s="321"/>
      <c r="L48" s="303"/>
      <c r="M48" s="303" t="s">
        <v>264</v>
      </c>
      <c r="N48" s="303"/>
      <c r="O48" s="372"/>
      <c r="P48" s="303">
        <v>0</v>
      </c>
      <c r="Q48" s="304"/>
      <c r="R48" s="303">
        <v>2</v>
      </c>
      <c r="S48" s="303"/>
      <c r="T48" s="303"/>
      <c r="U48" s="303"/>
      <c r="V48" s="303"/>
      <c r="W48" s="330" t="str">
        <f>IF(COUNTIF(tblSeverityAnalysis[[#This Row],[CCCM]:[WASH]], 1)=0, "", COUNTIF(tblSeverityAnalysis[[#This Row],[CCCM]:[WASH]], 1))</f>
        <v/>
      </c>
      <c r="X48" s="331">
        <f>IF(COUNTIF(tblSeverityAnalysis[[#This Row],[CCCM]:[WASH]], 2)=0, "", COUNTIF(tblSeverityAnalysis[[#This Row],[CCCM]:[WASH]], 2))</f>
        <v>1</v>
      </c>
      <c r="Y48" s="331" t="str">
        <f>IF(COUNTIF(tblSeverityAnalysis[[#This Row],[CCCM]:[WASH]], 3)=0, "", COUNTIF(tblSeverityAnalysis[[#This Row],[CCCM]:[WASH]], 3))</f>
        <v/>
      </c>
      <c r="Z48" s="331" t="str">
        <f>IF(COUNTIF(tblSeverityAnalysis[[#This Row],[CCCM]:[WASH]], 4)=0, "", COUNTIF(tblSeverityAnalysis[[#This Row],[CCCM]:[WASH]], 4))</f>
        <v/>
      </c>
      <c r="AA48" s="332" t="str">
        <f>IF(COUNTIF(tblSeverityAnalysis[[#This Row],[CCCM]:[WASH]], 5)=0, "", COUNTIF(tblSeverityAnalysis[[#This Row],[CCCM]:[WASH]], 5))</f>
        <v/>
      </c>
      <c r="AB48" s="59" cm="1">
        <f t="array" ref="AB4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8" s="41" t="str">
        <f>IFERROR(IF(INDEX(tblSeverityReference[Malnutrition Severity],MATCH(tblSeverityAnalysis[[#This Row],[ID]], tblSeverityReference[ID], 0))= "", "",INDEX(tblSeverityReference[Malnutrition Severity],MATCH(tblSeverityAnalysis[[#This Row],[ID]], tblSeverityReference[ID], 0)) ), "")</f>
        <v/>
      </c>
      <c r="AE48" s="303">
        <f>IFERROR(IF(INDEX(tblSeverityReference[Epidemic Severity],MATCH(tblSeverityAnalysis[[#This Row],[ID]], tblSeverityReference[ID], 0))= "", "",INDEX(tblSeverityReference[Epidemic Severity],MATCH(tblSeverityAnalysis[[#This Row],[ID]], tblSeverityReference[ID], 0)) ), "")</f>
        <v>2.2352941176470589</v>
      </c>
      <c r="AF48" s="303" t="str">
        <f>IFERROR(IF(INDEX(tblSeverityReference[Coping Strategy Severity],MATCH(tblSeverityAnalysis[[#This Row],[ID]], tblSeverityReference[ID], 0))= "", "",INDEX(tblSeverityReference[Coping Strategy Severity],MATCH(tblSeverityAnalysis[[#This Row],[ID]], tblSeverityReference[ID], 0)) ), "")</f>
        <v/>
      </c>
      <c r="AG48" s="108" t="str">
        <f>IFERROR(IF(INDEX(tblSeverityReference[HR/IHL Violation],MATCH(tblSeverityAnalysis[[#This Row],[ID]], tblSeverityReference[ID], 0))= "", "",INDEX(tblSeverityReference[HR/IHL Violation],MATCH(tblSeverityAnalysis[[#This Row],[ID]], tblSeverityReference[ID], 0)) ), "")</f>
        <v/>
      </c>
      <c r="AH48" s="81">
        <f>IFERROR(AVERAGE(tblSeverityAnalysis[[#This Row],[CCCM]:[WASH]]), "")</f>
        <v>1</v>
      </c>
      <c r="AI48" s="27">
        <f>IF(SUM(tblSeverityAnalysis[[#This Row],[CCCM]:[WASH]])=0, "", MAX(tblSeverityAnalysis[[#This Row],[CCCM]:[WASH]]))</f>
        <v>2</v>
      </c>
      <c r="AJ48" s="333" t="str" cm="1">
        <f t="array" ref="AJ48">IFERROR(IF(tblSeverityAnalysis[[#This Row],[Highest Severity]]="", "", _xlfn.TEXTJOIN(CHAR(10), TRUE, IF(tblSeverityAnalysis[[#This Row],[CCCM]:[WASH]]=tblSeverityAnalysis[[#This Row],[Highest Severity]], tblSeverityAnalysis[[#Headers],[CCCM]:[WASH]], ""), "")), "")</f>
        <v>WASH</v>
      </c>
      <c r="AK48" s="27" cm="1">
        <f t="array" ref="AK48">IFERROR(MAX(_xlfn._xlws.FILTER(tblSeverityAnalysis[[#This Row],[CCCM]:[WASH]], tblSeverityAnalysis[[#This Row],[CCCM]:[WASH]]&lt;tblSeverityAnalysis[[#This Row],[Highest Severity]])), "")</f>
        <v>0</v>
      </c>
      <c r="AL48" s="313" t="str" cm="1">
        <f t="array" ref="AL4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8" s="132" t="str">
        <f>IFERROR(IF(AND(tblSeverityAnalysis[[#This Row],[5]] &lt;&gt; "", tblSeverityAnalysis[[#This Row],[5]]&gt;=sectors_sev_5), "Flagged", ""), "")</f>
        <v/>
      </c>
      <c r="AN48" s="133" t="str">
        <f>IFERROR(IF(AND(tblSeverityAnalysis[[#This Row],[Preliminary Intersectoral Severity based on overlap of sectoral deprivations]]=4, SUM(tblSeverityAnalysis[[#This Row],[ 4 ]:[5]])&gt;=sectors_sev_4), "Flagged", ""), "")</f>
        <v/>
      </c>
      <c r="AO48" s="133" t="str" cm="1">
        <f t="array" ref="AO4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8" s="335"/>
      <c r="AR48" s="336"/>
      <c r="AS48" s="335"/>
      <c r="AT48" s="337">
        <f>COUNTIF(tblSeverityAnalysis[[#This Row],[1 sector in severity phase 5 '[modify the threshold']]:[Manual Flag]], "Flagged")</f>
        <v>0</v>
      </c>
      <c r="AU48" s="338">
        <f>tblSeverityAnalysis[[#This Row],[Preliminary Intersectoral Severity based on overlap of sectoral deprivations]]</f>
        <v>1</v>
      </c>
      <c r="AV48" s="339"/>
    </row>
    <row r="49" spans="1:48" ht="15" hidden="1" customHeight="1">
      <c r="A4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MZ0401</v>
      </c>
      <c r="B49" s="39" t="s">
        <v>321</v>
      </c>
      <c r="C49" s="340" t="s">
        <v>322</v>
      </c>
      <c r="D49" s="340" t="s">
        <v>323</v>
      </c>
      <c r="E49" s="33" t="s">
        <v>324</v>
      </c>
      <c r="F49" s="33"/>
      <c r="G49" s="33"/>
      <c r="H49" s="20"/>
      <c r="I49" s="95">
        <v>254827</v>
      </c>
      <c r="J49" s="95"/>
      <c r="K49" s="321"/>
      <c r="L49" s="303"/>
      <c r="M49" s="303" t="s">
        <v>264</v>
      </c>
      <c r="N49" s="303"/>
      <c r="O49" s="372"/>
      <c r="P49" s="303">
        <v>0</v>
      </c>
      <c r="Q49" s="304"/>
      <c r="R49" s="303">
        <v>2</v>
      </c>
      <c r="S49" s="303"/>
      <c r="T49" s="303"/>
      <c r="U49" s="303"/>
      <c r="V49" s="303"/>
      <c r="W49" s="330" t="str">
        <f>IF(COUNTIF(tblSeverityAnalysis[[#This Row],[CCCM]:[WASH]], 1)=0, "", COUNTIF(tblSeverityAnalysis[[#This Row],[CCCM]:[WASH]], 1))</f>
        <v/>
      </c>
      <c r="X49" s="331">
        <f>IF(COUNTIF(tblSeverityAnalysis[[#This Row],[CCCM]:[WASH]], 2)=0, "", COUNTIF(tblSeverityAnalysis[[#This Row],[CCCM]:[WASH]], 2))</f>
        <v>1</v>
      </c>
      <c r="Y49" s="331" t="str">
        <f>IF(COUNTIF(tblSeverityAnalysis[[#This Row],[CCCM]:[WASH]], 3)=0, "", COUNTIF(tblSeverityAnalysis[[#This Row],[CCCM]:[WASH]], 3))</f>
        <v/>
      </c>
      <c r="Z49" s="331" t="str">
        <f>IF(COUNTIF(tblSeverityAnalysis[[#This Row],[CCCM]:[WASH]], 4)=0, "", COUNTIF(tblSeverityAnalysis[[#This Row],[CCCM]:[WASH]], 4))</f>
        <v/>
      </c>
      <c r="AA49" s="332" t="str">
        <f>IF(COUNTIF(tblSeverityAnalysis[[#This Row],[CCCM]:[WASH]], 5)=0, "", COUNTIF(tblSeverityAnalysis[[#This Row],[CCCM]:[WASH]], 5))</f>
        <v/>
      </c>
      <c r="AB49" s="59" cm="1">
        <f t="array" ref="AB4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4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9" s="41" t="str">
        <f>IFERROR(IF(INDEX(tblSeverityReference[Malnutrition Severity],MATCH(tblSeverityAnalysis[[#This Row],[ID]], tblSeverityReference[ID], 0))= "", "",INDEX(tblSeverityReference[Malnutrition Severity],MATCH(tblSeverityAnalysis[[#This Row],[ID]], tblSeverityReference[ID], 0)) ), "")</f>
        <v/>
      </c>
      <c r="AE49" s="303">
        <f>IFERROR(IF(INDEX(tblSeverityReference[Epidemic Severity],MATCH(tblSeverityAnalysis[[#This Row],[ID]], tblSeverityReference[ID], 0))= "", "",INDEX(tblSeverityReference[Epidemic Severity],MATCH(tblSeverityAnalysis[[#This Row],[ID]], tblSeverityReference[ID], 0)) ), "")</f>
        <v>2.2352941176470589</v>
      </c>
      <c r="AF49" s="303" t="str">
        <f>IFERROR(IF(INDEX(tblSeverityReference[Coping Strategy Severity],MATCH(tblSeverityAnalysis[[#This Row],[ID]], tblSeverityReference[ID], 0))= "", "",INDEX(tblSeverityReference[Coping Strategy Severity],MATCH(tblSeverityAnalysis[[#This Row],[ID]], tblSeverityReference[ID], 0)) ), "")</f>
        <v/>
      </c>
      <c r="AG49" s="108" t="str">
        <f>IFERROR(IF(INDEX(tblSeverityReference[HR/IHL Violation],MATCH(tblSeverityAnalysis[[#This Row],[ID]], tblSeverityReference[ID], 0))= "", "",INDEX(tblSeverityReference[HR/IHL Violation],MATCH(tblSeverityAnalysis[[#This Row],[ID]], tblSeverityReference[ID], 0)) ), "")</f>
        <v/>
      </c>
      <c r="AH49" s="81">
        <f>IFERROR(AVERAGE(tblSeverityAnalysis[[#This Row],[CCCM]:[WASH]]), "")</f>
        <v>1</v>
      </c>
      <c r="AI49" s="27">
        <f>IF(SUM(tblSeverityAnalysis[[#This Row],[CCCM]:[WASH]])=0, "", MAX(tblSeverityAnalysis[[#This Row],[CCCM]:[WASH]]))</f>
        <v>2</v>
      </c>
      <c r="AJ49" s="333" t="str" cm="1">
        <f t="array" ref="AJ49">IFERROR(IF(tblSeverityAnalysis[[#This Row],[Highest Severity]]="", "", _xlfn.TEXTJOIN(CHAR(10), TRUE, IF(tblSeverityAnalysis[[#This Row],[CCCM]:[WASH]]=tblSeverityAnalysis[[#This Row],[Highest Severity]], tblSeverityAnalysis[[#Headers],[CCCM]:[WASH]], ""), "")), "")</f>
        <v>WASH</v>
      </c>
      <c r="AK49" s="27" cm="1">
        <f t="array" ref="AK49">IFERROR(MAX(_xlfn._xlws.FILTER(tblSeverityAnalysis[[#This Row],[CCCM]:[WASH]], tblSeverityAnalysis[[#This Row],[CCCM]:[WASH]]&lt;tblSeverityAnalysis[[#This Row],[Highest Severity]])), "")</f>
        <v>0</v>
      </c>
      <c r="AL49" s="313" t="str" cm="1">
        <f t="array" ref="AL4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49" s="132" t="str">
        <f>IFERROR(IF(AND(tblSeverityAnalysis[[#This Row],[5]] &lt;&gt; "", tblSeverityAnalysis[[#This Row],[5]]&gt;=sectors_sev_5), "Flagged", ""), "")</f>
        <v/>
      </c>
      <c r="AN49" s="133" t="str">
        <f>IFERROR(IF(AND(tblSeverityAnalysis[[#This Row],[Preliminary Intersectoral Severity based on overlap of sectoral deprivations]]=4, SUM(tblSeverityAnalysis[[#This Row],[ 4 ]:[5]])&gt;=sectors_sev_4), "Flagged", ""), "")</f>
        <v/>
      </c>
      <c r="AO49" s="133" t="str" cm="1">
        <f t="array" ref="AO4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9" s="335"/>
      <c r="AR49" s="336"/>
      <c r="AS49" s="335"/>
      <c r="AT49" s="337">
        <f>COUNTIF(tblSeverityAnalysis[[#This Row],[1 sector in severity phase 5 '[modify the threshold']]:[Manual Flag]], "Flagged")</f>
        <v>0</v>
      </c>
      <c r="AU49" s="338">
        <f>tblSeverityAnalysis[[#This Row],[Preliminary Intersectoral Severity based on overlap of sectoral deprivations]]</f>
        <v>1</v>
      </c>
      <c r="AV49" s="339"/>
    </row>
    <row r="50" spans="1:48" ht="15" hidden="1" customHeight="1">
      <c r="A5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MZ0402</v>
      </c>
      <c r="B50" s="39" t="s">
        <v>321</v>
      </c>
      <c r="C50" s="340" t="s">
        <v>322</v>
      </c>
      <c r="D50" s="340" t="s">
        <v>325</v>
      </c>
      <c r="E50" s="33" t="s">
        <v>326</v>
      </c>
      <c r="F50" s="33"/>
      <c r="G50" s="33"/>
      <c r="H50" s="20"/>
      <c r="I50" s="95">
        <v>548642</v>
      </c>
      <c r="J50" s="95"/>
      <c r="K50" s="321"/>
      <c r="L50" s="303"/>
      <c r="M50" s="303" t="s">
        <v>264</v>
      </c>
      <c r="N50" s="303"/>
      <c r="O50" s="372"/>
      <c r="P50" s="303">
        <v>0</v>
      </c>
      <c r="Q50" s="304"/>
      <c r="R50" s="303">
        <v>3</v>
      </c>
      <c r="S50" s="303"/>
      <c r="T50" s="303"/>
      <c r="U50" s="303"/>
      <c r="V50" s="303"/>
      <c r="W50" s="330" t="str">
        <f>IF(COUNTIF(tblSeverityAnalysis[[#This Row],[CCCM]:[WASH]], 1)=0, "", COUNTIF(tblSeverityAnalysis[[#This Row],[CCCM]:[WASH]], 1))</f>
        <v/>
      </c>
      <c r="X50" s="331" t="str">
        <f>IF(COUNTIF(tblSeverityAnalysis[[#This Row],[CCCM]:[WASH]], 2)=0, "", COUNTIF(tblSeverityAnalysis[[#This Row],[CCCM]:[WASH]], 2))</f>
        <v/>
      </c>
      <c r="Y50" s="331">
        <f>IF(COUNTIF(tblSeverityAnalysis[[#This Row],[CCCM]:[WASH]], 3)=0, "", COUNTIF(tblSeverityAnalysis[[#This Row],[CCCM]:[WASH]], 3))</f>
        <v>1</v>
      </c>
      <c r="Z50" s="331" t="str">
        <f>IF(COUNTIF(tblSeverityAnalysis[[#This Row],[CCCM]:[WASH]], 4)=0, "", COUNTIF(tblSeverityAnalysis[[#This Row],[CCCM]:[WASH]], 4))</f>
        <v/>
      </c>
      <c r="AA50" s="332" t="str">
        <f>IF(COUNTIF(tblSeverityAnalysis[[#This Row],[CCCM]:[WASH]], 5)=0, "", COUNTIF(tblSeverityAnalysis[[#This Row],[CCCM]:[WASH]], 5))</f>
        <v/>
      </c>
      <c r="AB50" s="59" cm="1">
        <f t="array" ref="AB5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0" s="41" t="str">
        <f>IFERROR(IF(INDEX(tblSeverityReference[Malnutrition Severity],MATCH(tblSeverityAnalysis[[#This Row],[ID]], tblSeverityReference[ID], 0))= "", "",INDEX(tblSeverityReference[Malnutrition Severity],MATCH(tblSeverityAnalysis[[#This Row],[ID]], tblSeverityReference[ID], 0)) ), "")</f>
        <v/>
      </c>
      <c r="AE50" s="303">
        <f>IFERROR(IF(INDEX(tblSeverityReference[Epidemic Severity],MATCH(tblSeverityAnalysis[[#This Row],[ID]], tblSeverityReference[ID], 0))= "", "",INDEX(tblSeverityReference[Epidemic Severity],MATCH(tblSeverityAnalysis[[#This Row],[ID]], tblSeverityReference[ID], 0)) ), "")</f>
        <v>2.8235294117647061</v>
      </c>
      <c r="AF50" s="303" t="str">
        <f>IFERROR(IF(INDEX(tblSeverityReference[Coping Strategy Severity],MATCH(tblSeverityAnalysis[[#This Row],[ID]], tblSeverityReference[ID], 0))= "", "",INDEX(tblSeverityReference[Coping Strategy Severity],MATCH(tblSeverityAnalysis[[#This Row],[ID]], tblSeverityReference[ID], 0)) ), "")</f>
        <v/>
      </c>
      <c r="AG50" s="108" t="str">
        <f>IFERROR(IF(INDEX(tblSeverityReference[HR/IHL Violation],MATCH(tblSeverityAnalysis[[#This Row],[ID]], tblSeverityReference[ID], 0))= "", "",INDEX(tblSeverityReference[HR/IHL Violation],MATCH(tblSeverityAnalysis[[#This Row],[ID]], tblSeverityReference[ID], 0)) ), "")</f>
        <v/>
      </c>
      <c r="AH50" s="81">
        <f>IFERROR(AVERAGE(tblSeverityAnalysis[[#This Row],[CCCM]:[WASH]]), "")</f>
        <v>1.5</v>
      </c>
      <c r="AI50" s="27">
        <f>IF(SUM(tblSeverityAnalysis[[#This Row],[CCCM]:[WASH]])=0, "", MAX(tblSeverityAnalysis[[#This Row],[CCCM]:[WASH]]))</f>
        <v>3</v>
      </c>
      <c r="AJ50" s="333" t="str" cm="1">
        <f t="array" ref="AJ50">IFERROR(IF(tblSeverityAnalysis[[#This Row],[Highest Severity]]="", "", _xlfn.TEXTJOIN(CHAR(10), TRUE, IF(tblSeverityAnalysis[[#This Row],[CCCM]:[WASH]]=tblSeverityAnalysis[[#This Row],[Highest Severity]], tblSeverityAnalysis[[#Headers],[CCCM]:[WASH]], ""), "")), "")</f>
        <v>WASH</v>
      </c>
      <c r="AK50" s="27" cm="1">
        <f t="array" ref="AK50">IFERROR(MAX(_xlfn._xlws.FILTER(tblSeverityAnalysis[[#This Row],[CCCM]:[WASH]], tblSeverityAnalysis[[#This Row],[CCCM]:[WASH]]&lt;tblSeverityAnalysis[[#This Row],[Highest Severity]])), "")</f>
        <v>0</v>
      </c>
      <c r="AL50" s="313" t="str" cm="1">
        <f t="array" ref="AL5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50" s="132" t="str">
        <f>IFERROR(IF(AND(tblSeverityAnalysis[[#This Row],[5]] &lt;&gt; "", tblSeverityAnalysis[[#This Row],[5]]&gt;=sectors_sev_5), "Flagged", ""), "")</f>
        <v/>
      </c>
      <c r="AN50" s="133" t="str">
        <f>IFERROR(IF(AND(tblSeverityAnalysis[[#This Row],[Preliminary Intersectoral Severity based on overlap of sectoral deprivations]]=4, SUM(tblSeverityAnalysis[[#This Row],[ 4 ]:[5]])&gt;=sectors_sev_4), "Flagged", ""), "")</f>
        <v/>
      </c>
      <c r="AO50" s="133" t="str" cm="1">
        <f t="array" ref="AO5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0" s="335"/>
      <c r="AR50" s="336"/>
      <c r="AS50" s="335"/>
      <c r="AT50" s="337">
        <f>COUNTIF(tblSeverityAnalysis[[#This Row],[1 sector in severity phase 5 '[modify the threshold']]:[Manual Flag]], "Flagged")</f>
        <v>0</v>
      </c>
      <c r="AU50" s="338">
        <f>tblSeverityAnalysis[[#This Row],[Preliminary Intersectoral Severity based on overlap of sectoral deprivations]]</f>
        <v>1</v>
      </c>
      <c r="AV50" s="339"/>
    </row>
    <row r="51" spans="1:48" ht="15" hidden="1" customHeight="1">
      <c r="A5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MZ0403</v>
      </c>
      <c r="B51" s="39" t="s">
        <v>321</v>
      </c>
      <c r="C51" s="340" t="s">
        <v>322</v>
      </c>
      <c r="D51" s="340" t="s">
        <v>327</v>
      </c>
      <c r="E51" s="33" t="s">
        <v>328</v>
      </c>
      <c r="F51" s="33"/>
      <c r="G51" s="33"/>
      <c r="H51" s="20"/>
      <c r="I51" s="95">
        <v>267197</v>
      </c>
      <c r="J51" s="95"/>
      <c r="K51" s="321"/>
      <c r="L51" s="303"/>
      <c r="M51" s="303" t="s">
        <v>264</v>
      </c>
      <c r="N51" s="303"/>
      <c r="O51" s="372"/>
      <c r="P51" s="303">
        <v>0</v>
      </c>
      <c r="Q51" s="304"/>
      <c r="R51" s="303">
        <v>2</v>
      </c>
      <c r="S51" s="303"/>
      <c r="T51" s="303"/>
      <c r="U51" s="303"/>
      <c r="V51" s="303"/>
      <c r="W51" s="330" t="str">
        <f>IF(COUNTIF(tblSeverityAnalysis[[#This Row],[CCCM]:[WASH]], 1)=0, "", COUNTIF(tblSeverityAnalysis[[#This Row],[CCCM]:[WASH]], 1))</f>
        <v/>
      </c>
      <c r="X51" s="331">
        <f>IF(COUNTIF(tblSeverityAnalysis[[#This Row],[CCCM]:[WASH]], 2)=0, "", COUNTIF(tblSeverityAnalysis[[#This Row],[CCCM]:[WASH]], 2))</f>
        <v>1</v>
      </c>
      <c r="Y51" s="331" t="str">
        <f>IF(COUNTIF(tblSeverityAnalysis[[#This Row],[CCCM]:[WASH]], 3)=0, "", COUNTIF(tblSeverityAnalysis[[#This Row],[CCCM]:[WASH]], 3))</f>
        <v/>
      </c>
      <c r="Z51" s="331" t="str">
        <f>IF(COUNTIF(tblSeverityAnalysis[[#This Row],[CCCM]:[WASH]], 4)=0, "", COUNTIF(tblSeverityAnalysis[[#This Row],[CCCM]:[WASH]], 4))</f>
        <v/>
      </c>
      <c r="AA51" s="332" t="str">
        <f>IF(COUNTIF(tblSeverityAnalysis[[#This Row],[CCCM]:[WASH]], 5)=0, "", COUNTIF(tblSeverityAnalysis[[#This Row],[CCCM]:[WASH]], 5))</f>
        <v/>
      </c>
      <c r="AB51" s="59" cm="1">
        <f t="array" ref="AB5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1" s="41" t="str">
        <f>IFERROR(IF(INDEX(tblSeverityReference[Malnutrition Severity],MATCH(tblSeverityAnalysis[[#This Row],[ID]], tblSeverityReference[ID], 0))= "", "",INDEX(tblSeverityReference[Malnutrition Severity],MATCH(tblSeverityAnalysis[[#This Row],[ID]], tblSeverityReference[ID], 0)) ), "")</f>
        <v/>
      </c>
      <c r="AE51" s="303">
        <f>IFERROR(IF(INDEX(tblSeverityReference[Epidemic Severity],MATCH(tblSeverityAnalysis[[#This Row],[ID]], tblSeverityReference[ID], 0))= "", "",INDEX(tblSeverityReference[Epidemic Severity],MATCH(tblSeverityAnalysis[[#This Row],[ID]], tblSeverityReference[ID], 0)) ), "")</f>
        <v>1.8235294117647056</v>
      </c>
      <c r="AF51" s="303" t="str">
        <f>IFERROR(IF(INDEX(tblSeverityReference[Coping Strategy Severity],MATCH(tblSeverityAnalysis[[#This Row],[ID]], tblSeverityReference[ID], 0))= "", "",INDEX(tblSeverityReference[Coping Strategy Severity],MATCH(tblSeverityAnalysis[[#This Row],[ID]], tblSeverityReference[ID], 0)) ), "")</f>
        <v/>
      </c>
      <c r="AG51" s="108" t="str">
        <f>IFERROR(IF(INDEX(tblSeverityReference[HR/IHL Violation],MATCH(tblSeverityAnalysis[[#This Row],[ID]], tblSeverityReference[ID], 0))= "", "",INDEX(tblSeverityReference[HR/IHL Violation],MATCH(tblSeverityAnalysis[[#This Row],[ID]], tblSeverityReference[ID], 0)) ), "")</f>
        <v/>
      </c>
      <c r="AH51" s="81">
        <f>IFERROR(AVERAGE(tblSeverityAnalysis[[#This Row],[CCCM]:[WASH]]), "")</f>
        <v>1</v>
      </c>
      <c r="AI51" s="27">
        <f>IF(SUM(tblSeverityAnalysis[[#This Row],[CCCM]:[WASH]])=0, "", MAX(tblSeverityAnalysis[[#This Row],[CCCM]:[WASH]]))</f>
        <v>2</v>
      </c>
      <c r="AJ51" s="333" t="str" cm="1">
        <f t="array" ref="AJ51">IFERROR(IF(tblSeverityAnalysis[[#This Row],[Highest Severity]]="", "", _xlfn.TEXTJOIN(CHAR(10), TRUE, IF(tblSeverityAnalysis[[#This Row],[CCCM]:[WASH]]=tblSeverityAnalysis[[#This Row],[Highest Severity]], tblSeverityAnalysis[[#Headers],[CCCM]:[WASH]], ""), "")), "")</f>
        <v>WASH</v>
      </c>
      <c r="AK51" s="27" cm="1">
        <f t="array" ref="AK51">IFERROR(MAX(_xlfn._xlws.FILTER(tblSeverityAnalysis[[#This Row],[CCCM]:[WASH]], tblSeverityAnalysis[[#This Row],[CCCM]:[WASH]]&lt;tblSeverityAnalysis[[#This Row],[Highest Severity]])), "")</f>
        <v>0</v>
      </c>
      <c r="AL51" s="313" t="str" cm="1">
        <f t="array" ref="AL5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51" s="132" t="str">
        <f>IFERROR(IF(AND(tblSeverityAnalysis[[#This Row],[5]] &lt;&gt; "", tblSeverityAnalysis[[#This Row],[5]]&gt;=sectors_sev_5), "Flagged", ""), "")</f>
        <v/>
      </c>
      <c r="AN51" s="133" t="str">
        <f>IFERROR(IF(AND(tblSeverityAnalysis[[#This Row],[Preliminary Intersectoral Severity based on overlap of sectoral deprivations]]=4, SUM(tblSeverityAnalysis[[#This Row],[ 4 ]:[5]])&gt;=sectors_sev_4), "Flagged", ""), "")</f>
        <v/>
      </c>
      <c r="AO51" s="133" t="str" cm="1">
        <f t="array" ref="AO5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1" s="335"/>
      <c r="AR51" s="336"/>
      <c r="AS51" s="335"/>
      <c r="AT51" s="337">
        <f>COUNTIF(tblSeverityAnalysis[[#This Row],[1 sector in severity phase 5 '[modify the threshold']]:[Manual Flag]], "Flagged")</f>
        <v>0</v>
      </c>
      <c r="AU51" s="338">
        <f>tblSeverityAnalysis[[#This Row],[Preliminary Intersectoral Severity based on overlap of sectoral deprivations]]</f>
        <v>1</v>
      </c>
      <c r="AV51" s="339"/>
    </row>
    <row r="52" spans="1:48" ht="15" hidden="1" customHeight="1">
      <c r="A5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MZ0404</v>
      </c>
      <c r="B52" s="39" t="s">
        <v>321</v>
      </c>
      <c r="C52" s="340" t="s">
        <v>322</v>
      </c>
      <c r="D52" s="340" t="s">
        <v>329</v>
      </c>
      <c r="E52" s="33" t="s">
        <v>330</v>
      </c>
      <c r="F52" s="33"/>
      <c r="G52" s="33"/>
      <c r="H52" s="20"/>
      <c r="I52" s="95">
        <v>128114</v>
      </c>
      <c r="J52" s="95"/>
      <c r="K52" s="321"/>
      <c r="L52" s="303"/>
      <c r="M52" s="303" t="s">
        <v>264</v>
      </c>
      <c r="N52" s="303">
        <v>2</v>
      </c>
      <c r="O52" s="372"/>
      <c r="P52" s="303">
        <v>0</v>
      </c>
      <c r="Q52" s="304"/>
      <c r="R52" s="303">
        <v>3</v>
      </c>
      <c r="S52" s="303"/>
      <c r="T52" s="303"/>
      <c r="U52" s="303"/>
      <c r="V52" s="303"/>
      <c r="W52" s="330" t="str">
        <f>IF(COUNTIF(tblSeverityAnalysis[[#This Row],[CCCM]:[WASH]], 1)=0, "", COUNTIF(tblSeverityAnalysis[[#This Row],[CCCM]:[WASH]], 1))</f>
        <v/>
      </c>
      <c r="X52" s="331">
        <f>IF(COUNTIF(tblSeverityAnalysis[[#This Row],[CCCM]:[WASH]], 2)=0, "", COUNTIF(tblSeverityAnalysis[[#This Row],[CCCM]:[WASH]], 2))</f>
        <v>1</v>
      </c>
      <c r="Y52" s="331">
        <f>IF(COUNTIF(tblSeverityAnalysis[[#This Row],[CCCM]:[WASH]], 3)=0, "", COUNTIF(tblSeverityAnalysis[[#This Row],[CCCM]:[WASH]], 3))</f>
        <v>1</v>
      </c>
      <c r="Z52" s="331" t="str">
        <f>IF(COUNTIF(tblSeverityAnalysis[[#This Row],[CCCM]:[WASH]], 4)=0, "", COUNTIF(tblSeverityAnalysis[[#This Row],[CCCM]:[WASH]], 4))</f>
        <v/>
      </c>
      <c r="AA52" s="332" t="str">
        <f>IF(COUNTIF(tblSeverityAnalysis[[#This Row],[CCCM]:[WASH]], 5)=0, "", COUNTIF(tblSeverityAnalysis[[#This Row],[CCCM]:[WASH]], 5))</f>
        <v/>
      </c>
      <c r="AB52" s="59" cm="1">
        <f t="array" ref="AB5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2" s="41">
        <f>IFERROR(IF(INDEX(tblSeverityReference[Malnutrition Severity],MATCH(tblSeverityAnalysis[[#This Row],[ID]], tblSeverityReference[ID], 0))= "", "",INDEX(tblSeverityReference[Malnutrition Severity],MATCH(tblSeverityAnalysis[[#This Row],[ID]], tblSeverityReference[ID], 0)) ), "")</f>
        <v>2</v>
      </c>
      <c r="AE52" s="303">
        <f>IFERROR(IF(INDEX(tblSeverityReference[Epidemic Severity],MATCH(tblSeverityAnalysis[[#This Row],[ID]], tblSeverityReference[ID], 0))= "", "",INDEX(tblSeverityReference[Epidemic Severity],MATCH(tblSeverityAnalysis[[#This Row],[ID]], tblSeverityReference[ID], 0)) ), "")</f>
        <v>2.2352941176470589</v>
      </c>
      <c r="AF52" s="303">
        <f>IFERROR(IF(INDEX(tblSeverityReference[Coping Strategy Severity],MATCH(tblSeverityAnalysis[[#This Row],[ID]], tblSeverityReference[ID], 0))= "", "",INDEX(tblSeverityReference[Coping Strategy Severity],MATCH(tblSeverityAnalysis[[#This Row],[ID]], tblSeverityReference[ID], 0)) ), "")</f>
        <v>2</v>
      </c>
      <c r="AG52" s="108" t="str">
        <f>IFERROR(IF(INDEX(tblSeverityReference[HR/IHL Violation],MATCH(tblSeverityAnalysis[[#This Row],[ID]], tblSeverityReference[ID], 0))= "", "",INDEX(tblSeverityReference[HR/IHL Violation],MATCH(tblSeverityAnalysis[[#This Row],[ID]], tblSeverityReference[ID], 0)) ), "")</f>
        <v/>
      </c>
      <c r="AH52" s="81">
        <f>IFERROR(AVERAGE(tblSeverityAnalysis[[#This Row],[CCCM]:[WASH]]), "")</f>
        <v>1.6666666666666667</v>
      </c>
      <c r="AI52" s="27">
        <f>IF(SUM(tblSeverityAnalysis[[#This Row],[CCCM]:[WASH]])=0, "", MAX(tblSeverityAnalysis[[#This Row],[CCCM]:[WASH]]))</f>
        <v>3</v>
      </c>
      <c r="AJ52" s="333" t="str" cm="1">
        <f t="array" ref="AJ52">IFERROR(IF(tblSeverityAnalysis[[#This Row],[Highest Severity]]="", "", _xlfn.TEXTJOIN(CHAR(10), TRUE, IF(tblSeverityAnalysis[[#This Row],[CCCM]:[WASH]]=tblSeverityAnalysis[[#This Row],[Highest Severity]], tblSeverityAnalysis[[#Headers],[CCCM]:[WASH]], ""), "")), "")</f>
        <v>WASH</v>
      </c>
      <c r="AK52" s="27" cm="1">
        <f t="array" ref="AK52">IFERROR(MAX(_xlfn._xlws.FILTER(tblSeverityAnalysis[[#This Row],[CCCM]:[WASH]], tblSeverityAnalysis[[#This Row],[CCCM]:[WASH]]&lt;tblSeverityAnalysis[[#This Row],[Highest Severity]])), "")</f>
        <v>2</v>
      </c>
      <c r="AL52" s="313" t="str" cm="1">
        <f t="array" ref="AL52">IFERROR(IF(tblSeverityAnalysis[[#This Row],[2nd Highest Severity]]="", "", _xlfn.TEXTJOIN(CHAR(10), TRUE, IF(tblSeverityAnalysis[[#This Row],[CCCM]:[WASH]]=tblSeverityAnalysis[[#This Row],[2nd Highest Severity]], tblSeverityAnalysis[[#Headers],[CCCM]:[WASH]], ""), "")), "")</f>
        <v>Food Security</v>
      </c>
      <c r="AM52" s="132" t="str">
        <f>IFERROR(IF(AND(tblSeverityAnalysis[[#This Row],[5]] &lt;&gt; "", tblSeverityAnalysis[[#This Row],[5]]&gt;=sectors_sev_5), "Flagged", ""), "")</f>
        <v/>
      </c>
      <c r="AN52" s="133" t="str">
        <f>IFERROR(IF(AND(tblSeverityAnalysis[[#This Row],[Preliminary Intersectoral Severity based on overlap of sectoral deprivations]]=4, SUM(tblSeverityAnalysis[[#This Row],[ 4 ]:[5]])&gt;=sectors_sev_4), "Flagged", ""), "")</f>
        <v/>
      </c>
      <c r="AO52" s="133" t="str" cm="1">
        <f t="array" ref="AO5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2" s="335"/>
      <c r="AR52" s="336"/>
      <c r="AS52" s="335"/>
      <c r="AT52" s="337">
        <f>COUNTIF(tblSeverityAnalysis[[#This Row],[1 sector in severity phase 5 '[modify the threshold']]:[Manual Flag]], "Flagged")</f>
        <v>1</v>
      </c>
      <c r="AU52" s="338">
        <f>tblSeverityAnalysis[[#This Row],[Preliminary Intersectoral Severity based on overlap of sectoral deprivations]]</f>
        <v>1</v>
      </c>
      <c r="AV52" s="339"/>
    </row>
    <row r="53" spans="1:48" ht="15" hidden="1" customHeight="1">
      <c r="A5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MZ0405</v>
      </c>
      <c r="B53" s="39" t="s">
        <v>321</v>
      </c>
      <c r="C53" s="340" t="s">
        <v>322</v>
      </c>
      <c r="D53" s="340" t="s">
        <v>331</v>
      </c>
      <c r="E53" s="33" t="s">
        <v>332</v>
      </c>
      <c r="F53" s="33"/>
      <c r="G53" s="33"/>
      <c r="H53" s="20"/>
      <c r="I53" s="95">
        <v>113191</v>
      </c>
      <c r="J53" s="95"/>
      <c r="K53" s="321"/>
      <c r="L53" s="303"/>
      <c r="M53" s="303" t="s">
        <v>264</v>
      </c>
      <c r="N53" s="303"/>
      <c r="O53" s="372"/>
      <c r="P53" s="303">
        <v>0</v>
      </c>
      <c r="Q53" s="304"/>
      <c r="R53" s="303">
        <v>2</v>
      </c>
      <c r="S53" s="303"/>
      <c r="T53" s="303"/>
      <c r="U53" s="303"/>
      <c r="V53" s="303"/>
      <c r="W53" s="330" t="str">
        <f>IF(COUNTIF(tblSeverityAnalysis[[#This Row],[CCCM]:[WASH]], 1)=0, "", COUNTIF(tblSeverityAnalysis[[#This Row],[CCCM]:[WASH]], 1))</f>
        <v/>
      </c>
      <c r="X53" s="331">
        <f>IF(COUNTIF(tblSeverityAnalysis[[#This Row],[CCCM]:[WASH]], 2)=0, "", COUNTIF(tblSeverityAnalysis[[#This Row],[CCCM]:[WASH]], 2))</f>
        <v>1</v>
      </c>
      <c r="Y53" s="331" t="str">
        <f>IF(COUNTIF(tblSeverityAnalysis[[#This Row],[CCCM]:[WASH]], 3)=0, "", COUNTIF(tblSeverityAnalysis[[#This Row],[CCCM]:[WASH]], 3))</f>
        <v/>
      </c>
      <c r="Z53" s="331" t="str">
        <f>IF(COUNTIF(tblSeverityAnalysis[[#This Row],[CCCM]:[WASH]], 4)=0, "", COUNTIF(tblSeverityAnalysis[[#This Row],[CCCM]:[WASH]], 4))</f>
        <v/>
      </c>
      <c r="AA53" s="332" t="str">
        <f>IF(COUNTIF(tblSeverityAnalysis[[#This Row],[CCCM]:[WASH]], 5)=0, "", COUNTIF(tblSeverityAnalysis[[#This Row],[CCCM]:[WASH]], 5))</f>
        <v/>
      </c>
      <c r="AB53" s="59" cm="1">
        <f t="array" ref="AB5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3" s="41" t="str">
        <f>IFERROR(IF(INDEX(tblSeverityReference[Malnutrition Severity],MATCH(tblSeverityAnalysis[[#This Row],[ID]], tblSeverityReference[ID], 0))= "", "",INDEX(tblSeverityReference[Malnutrition Severity],MATCH(tblSeverityAnalysis[[#This Row],[ID]], tblSeverityReference[ID], 0)) ), "")</f>
        <v/>
      </c>
      <c r="AE53" s="303">
        <f>IFERROR(IF(INDEX(tblSeverityReference[Epidemic Severity],MATCH(tblSeverityAnalysis[[#This Row],[ID]], tblSeverityReference[ID], 0))= "", "",INDEX(tblSeverityReference[Epidemic Severity],MATCH(tblSeverityAnalysis[[#This Row],[ID]], tblSeverityReference[ID], 0)) ), "")</f>
        <v>2.2352941176470589</v>
      </c>
      <c r="AF53" s="303" t="str">
        <f>IFERROR(IF(INDEX(tblSeverityReference[Coping Strategy Severity],MATCH(tblSeverityAnalysis[[#This Row],[ID]], tblSeverityReference[ID], 0))= "", "",INDEX(tblSeverityReference[Coping Strategy Severity],MATCH(tblSeverityAnalysis[[#This Row],[ID]], tblSeverityReference[ID], 0)) ), "")</f>
        <v/>
      </c>
      <c r="AG53" s="108" t="str">
        <f>IFERROR(IF(INDEX(tblSeverityReference[HR/IHL Violation],MATCH(tblSeverityAnalysis[[#This Row],[ID]], tblSeverityReference[ID], 0))= "", "",INDEX(tblSeverityReference[HR/IHL Violation],MATCH(tblSeverityAnalysis[[#This Row],[ID]], tblSeverityReference[ID], 0)) ), "")</f>
        <v/>
      </c>
      <c r="AH53" s="81">
        <f>IFERROR(AVERAGE(tblSeverityAnalysis[[#This Row],[CCCM]:[WASH]]), "")</f>
        <v>1</v>
      </c>
      <c r="AI53" s="27">
        <f>IF(SUM(tblSeverityAnalysis[[#This Row],[CCCM]:[WASH]])=0, "", MAX(tblSeverityAnalysis[[#This Row],[CCCM]:[WASH]]))</f>
        <v>2</v>
      </c>
      <c r="AJ53" s="333" t="str" cm="1">
        <f t="array" ref="AJ53">IFERROR(IF(tblSeverityAnalysis[[#This Row],[Highest Severity]]="", "", _xlfn.TEXTJOIN(CHAR(10), TRUE, IF(tblSeverityAnalysis[[#This Row],[CCCM]:[WASH]]=tblSeverityAnalysis[[#This Row],[Highest Severity]], tblSeverityAnalysis[[#Headers],[CCCM]:[WASH]], ""), "")), "")</f>
        <v>WASH</v>
      </c>
      <c r="AK53" s="27" cm="1">
        <f t="array" ref="AK53">IFERROR(MAX(_xlfn._xlws.FILTER(tblSeverityAnalysis[[#This Row],[CCCM]:[WASH]], tblSeverityAnalysis[[#This Row],[CCCM]:[WASH]]&lt;tblSeverityAnalysis[[#This Row],[Highest Severity]])), "")</f>
        <v>0</v>
      </c>
      <c r="AL53" s="313" t="str" cm="1">
        <f t="array" ref="AL5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53" s="132" t="str">
        <f>IFERROR(IF(AND(tblSeverityAnalysis[[#This Row],[5]] &lt;&gt; "", tblSeverityAnalysis[[#This Row],[5]]&gt;=sectors_sev_5), "Flagged", ""), "")</f>
        <v/>
      </c>
      <c r="AN53" s="133" t="str">
        <f>IFERROR(IF(AND(tblSeverityAnalysis[[#This Row],[Preliminary Intersectoral Severity based on overlap of sectoral deprivations]]=4, SUM(tblSeverityAnalysis[[#This Row],[ 4 ]:[5]])&gt;=sectors_sev_4), "Flagged", ""), "")</f>
        <v/>
      </c>
      <c r="AO53" s="133" t="str" cm="1">
        <f t="array" ref="AO5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3" s="335"/>
      <c r="AR53" s="336"/>
      <c r="AS53" s="335"/>
      <c r="AT53" s="337">
        <f>COUNTIF(tblSeverityAnalysis[[#This Row],[1 sector in severity phase 5 '[modify the threshold']]:[Manual Flag]], "Flagged")</f>
        <v>0</v>
      </c>
      <c r="AU53" s="338">
        <f>tblSeverityAnalysis[[#This Row],[Preliminary Intersectoral Severity based on overlap of sectoral deprivations]]</f>
        <v>1</v>
      </c>
      <c r="AV53" s="339"/>
    </row>
    <row r="54" spans="1:48" ht="15" hidden="1" customHeight="1">
      <c r="A5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MZ0406</v>
      </c>
      <c r="B54" s="39" t="s">
        <v>321</v>
      </c>
      <c r="C54" s="340" t="s">
        <v>322</v>
      </c>
      <c r="D54" s="340" t="s">
        <v>333</v>
      </c>
      <c r="E54" s="33" t="s">
        <v>334</v>
      </c>
      <c r="F54" s="33"/>
      <c r="G54" s="33"/>
      <c r="H54" s="20"/>
      <c r="I54" s="95">
        <v>177509</v>
      </c>
      <c r="J54" s="95"/>
      <c r="K54" s="321"/>
      <c r="L54" s="303"/>
      <c r="M54" s="303" t="s">
        <v>264</v>
      </c>
      <c r="N54" s="303">
        <v>3</v>
      </c>
      <c r="O54" s="372"/>
      <c r="P54" s="303">
        <v>0</v>
      </c>
      <c r="Q54" s="304"/>
      <c r="R54" s="303">
        <v>3</v>
      </c>
      <c r="S54" s="303"/>
      <c r="T54" s="303"/>
      <c r="U54" s="303"/>
      <c r="V54" s="303"/>
      <c r="W54" s="330" t="str">
        <f>IF(COUNTIF(tblSeverityAnalysis[[#This Row],[CCCM]:[WASH]], 1)=0, "", COUNTIF(tblSeverityAnalysis[[#This Row],[CCCM]:[WASH]], 1))</f>
        <v/>
      </c>
      <c r="X54" s="331" t="str">
        <f>IF(COUNTIF(tblSeverityAnalysis[[#This Row],[CCCM]:[WASH]], 2)=0, "", COUNTIF(tblSeverityAnalysis[[#This Row],[CCCM]:[WASH]], 2))</f>
        <v/>
      </c>
      <c r="Y54" s="331">
        <f>IF(COUNTIF(tblSeverityAnalysis[[#This Row],[CCCM]:[WASH]], 3)=0, "", COUNTIF(tblSeverityAnalysis[[#This Row],[CCCM]:[WASH]], 3))</f>
        <v>2</v>
      </c>
      <c r="Z54" s="331" t="str">
        <f>IF(COUNTIF(tblSeverityAnalysis[[#This Row],[CCCM]:[WASH]], 4)=0, "", COUNTIF(tblSeverityAnalysis[[#This Row],[CCCM]:[WASH]], 4))</f>
        <v/>
      </c>
      <c r="AA54" s="332" t="str">
        <f>IF(COUNTIF(tblSeverityAnalysis[[#This Row],[CCCM]:[WASH]], 5)=0, "", COUNTIF(tblSeverityAnalysis[[#This Row],[CCCM]:[WASH]], 5))</f>
        <v/>
      </c>
      <c r="AB54" s="59" cm="1">
        <f t="array" ref="AB5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4" s="41">
        <f>IFERROR(IF(INDEX(tblSeverityReference[Malnutrition Severity],MATCH(tblSeverityAnalysis[[#This Row],[ID]], tblSeverityReference[ID], 0))= "", "",INDEX(tblSeverityReference[Malnutrition Severity],MATCH(tblSeverityAnalysis[[#This Row],[ID]], tblSeverityReference[ID], 0)) ), "")</f>
        <v>2</v>
      </c>
      <c r="AE54" s="303">
        <f>IFERROR(IF(INDEX(tblSeverityReference[Epidemic Severity],MATCH(tblSeverityAnalysis[[#This Row],[ID]], tblSeverityReference[ID], 0))= "", "",INDEX(tblSeverityReference[Epidemic Severity],MATCH(tblSeverityAnalysis[[#This Row],[ID]], tblSeverityReference[ID], 0)) ), "")</f>
        <v>2.2352941176470589</v>
      </c>
      <c r="AF54" s="303">
        <f>IFERROR(IF(INDEX(tblSeverityReference[Coping Strategy Severity],MATCH(tblSeverityAnalysis[[#This Row],[ID]], tblSeverityReference[ID], 0))= "", "",INDEX(tblSeverityReference[Coping Strategy Severity],MATCH(tblSeverityAnalysis[[#This Row],[ID]], tblSeverityReference[ID], 0)) ), "")</f>
        <v>3</v>
      </c>
      <c r="AG54" s="108" t="str">
        <f>IFERROR(IF(INDEX(tblSeverityReference[HR/IHL Violation],MATCH(tblSeverityAnalysis[[#This Row],[ID]], tblSeverityReference[ID], 0))= "", "",INDEX(tblSeverityReference[HR/IHL Violation],MATCH(tblSeverityAnalysis[[#This Row],[ID]], tblSeverityReference[ID], 0)) ), "")</f>
        <v/>
      </c>
      <c r="AH54" s="81">
        <f>IFERROR(AVERAGE(tblSeverityAnalysis[[#This Row],[CCCM]:[WASH]]), "")</f>
        <v>2</v>
      </c>
      <c r="AI54" s="27">
        <f>IF(SUM(tblSeverityAnalysis[[#This Row],[CCCM]:[WASH]])=0, "", MAX(tblSeverityAnalysis[[#This Row],[CCCM]:[WASH]]))</f>
        <v>3</v>
      </c>
      <c r="AJ54" s="333" t="str" cm="1">
        <f t="array" ref="AJ54">IFERROR(IF(tblSeverityAnalysis[[#This Row],[Highest Severity]]="", "", _xlfn.TEXTJOIN(CHAR(10), TRUE, IF(tblSeverityAnalysis[[#This Row],[CCCM]:[WASH]]=tblSeverityAnalysis[[#This Row],[Highest Severity]], tblSeverityAnalysis[[#Headers],[CCCM]:[WASH]], ""), "")), "")</f>
        <v>Food Security
WASH</v>
      </c>
      <c r="AK54" s="27" cm="1">
        <f t="array" ref="AK54">IFERROR(MAX(_xlfn._xlws.FILTER(tblSeverityAnalysis[[#This Row],[CCCM]:[WASH]], tblSeverityAnalysis[[#This Row],[CCCM]:[WASH]]&lt;tblSeverityAnalysis[[#This Row],[Highest Severity]])), "")</f>
        <v>0</v>
      </c>
      <c r="AL54" s="313" t="str" cm="1">
        <f t="array" ref="AL54">IFERROR(IF(tblSeverityAnalysis[[#This Row],[2nd Highest Severity]]="", "", _xlfn.TEXTJOIN(CHAR(10), TRUE, IF(tblSeverityAnalysis[[#This Row],[CCCM]:[WASH]]=tblSeverityAnalysis[[#This Row],[2nd Highest Severity]], tblSeverityAnalysis[[#Headers],[CCCM]:[WASH]], ""), "")), "")</f>
        <v>CCCM
Education
Health
Overarching Protection
Shelter</v>
      </c>
      <c r="AM54" s="132" t="str">
        <f>IFERROR(IF(AND(tblSeverityAnalysis[[#This Row],[5]] &lt;&gt; "", tblSeverityAnalysis[[#This Row],[5]]&gt;=sectors_sev_5), "Flagged", ""), "")</f>
        <v/>
      </c>
      <c r="AN54" s="133" t="str">
        <f>IFERROR(IF(AND(tblSeverityAnalysis[[#This Row],[Preliminary Intersectoral Severity based on overlap of sectoral deprivations]]=4, SUM(tblSeverityAnalysis[[#This Row],[ 4 ]:[5]])&gt;=sectors_sev_4), "Flagged", ""), "")</f>
        <v/>
      </c>
      <c r="AO54" s="133" t="str" cm="1">
        <f t="array" ref="AO5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4" s="335"/>
      <c r="AR54" s="336"/>
      <c r="AS54" s="335"/>
      <c r="AT54" s="337">
        <f>COUNTIF(tblSeverityAnalysis[[#This Row],[1 sector in severity phase 5 '[modify the threshold']]:[Manual Flag]], "Flagged")</f>
        <v>2</v>
      </c>
      <c r="AU54" s="338">
        <f>tblSeverityAnalysis[[#This Row],[Preliminary Intersectoral Severity based on overlap of sectoral deprivations]]</f>
        <v>1</v>
      </c>
      <c r="AV54" s="339"/>
    </row>
    <row r="55" spans="1:48" ht="15" hidden="1" customHeight="1">
      <c r="A5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MZ0407</v>
      </c>
      <c r="B55" s="39" t="s">
        <v>321</v>
      </c>
      <c r="C55" s="340" t="s">
        <v>322</v>
      </c>
      <c r="D55" s="340" t="s">
        <v>335</v>
      </c>
      <c r="E55" s="33" t="s">
        <v>336</v>
      </c>
      <c r="F55" s="33"/>
      <c r="G55" s="33"/>
      <c r="H55" s="20"/>
      <c r="I55" s="95">
        <v>66742</v>
      </c>
      <c r="J55" s="95"/>
      <c r="K55" s="321"/>
      <c r="L55" s="303"/>
      <c r="M55" s="303" t="s">
        <v>264</v>
      </c>
      <c r="N55" s="303">
        <v>2</v>
      </c>
      <c r="O55" s="372"/>
      <c r="P55" s="303">
        <v>0</v>
      </c>
      <c r="Q55" s="304"/>
      <c r="R55" s="303">
        <v>2</v>
      </c>
      <c r="S55" s="303"/>
      <c r="T55" s="303"/>
      <c r="U55" s="303"/>
      <c r="V55" s="303"/>
      <c r="W55" s="330" t="str">
        <f>IF(COUNTIF(tblSeverityAnalysis[[#This Row],[CCCM]:[WASH]], 1)=0, "", COUNTIF(tblSeverityAnalysis[[#This Row],[CCCM]:[WASH]], 1))</f>
        <v/>
      </c>
      <c r="X55" s="331">
        <f>IF(COUNTIF(tblSeverityAnalysis[[#This Row],[CCCM]:[WASH]], 2)=0, "", COUNTIF(tblSeverityAnalysis[[#This Row],[CCCM]:[WASH]], 2))</f>
        <v>2</v>
      </c>
      <c r="Y55" s="331" t="str">
        <f>IF(COUNTIF(tblSeverityAnalysis[[#This Row],[CCCM]:[WASH]], 3)=0, "", COUNTIF(tblSeverityAnalysis[[#This Row],[CCCM]:[WASH]], 3))</f>
        <v/>
      </c>
      <c r="Z55" s="331" t="str">
        <f>IF(COUNTIF(tblSeverityAnalysis[[#This Row],[CCCM]:[WASH]], 4)=0, "", COUNTIF(tblSeverityAnalysis[[#This Row],[CCCM]:[WASH]], 4))</f>
        <v/>
      </c>
      <c r="AA55" s="332" t="str">
        <f>IF(COUNTIF(tblSeverityAnalysis[[#This Row],[CCCM]:[WASH]], 5)=0, "", COUNTIF(tblSeverityAnalysis[[#This Row],[CCCM]:[WASH]], 5))</f>
        <v/>
      </c>
      <c r="AB55" s="59" cm="1">
        <f t="array" ref="AB5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5" s="41">
        <f>IFERROR(IF(INDEX(tblSeverityReference[Malnutrition Severity],MATCH(tblSeverityAnalysis[[#This Row],[ID]], tblSeverityReference[ID], 0))= "", "",INDEX(tblSeverityReference[Malnutrition Severity],MATCH(tblSeverityAnalysis[[#This Row],[ID]], tblSeverityReference[ID], 0)) ), "")</f>
        <v>3</v>
      </c>
      <c r="AE55" s="303">
        <f>IFERROR(IF(INDEX(tblSeverityReference[Epidemic Severity],MATCH(tblSeverityAnalysis[[#This Row],[ID]], tblSeverityReference[ID], 0))= "", "",INDEX(tblSeverityReference[Epidemic Severity],MATCH(tblSeverityAnalysis[[#This Row],[ID]], tblSeverityReference[ID], 0)) ), "")</f>
        <v>2.8235294117647061</v>
      </c>
      <c r="AF55" s="303">
        <f>IFERROR(IF(INDEX(tblSeverityReference[Coping Strategy Severity],MATCH(tblSeverityAnalysis[[#This Row],[ID]], tblSeverityReference[ID], 0))= "", "",INDEX(tblSeverityReference[Coping Strategy Severity],MATCH(tblSeverityAnalysis[[#This Row],[ID]], tblSeverityReference[ID], 0)) ), "")</f>
        <v>2</v>
      </c>
      <c r="AG55" s="108" t="str">
        <f>IFERROR(IF(INDEX(tblSeverityReference[HR/IHL Violation],MATCH(tblSeverityAnalysis[[#This Row],[ID]], tblSeverityReference[ID], 0))= "", "",INDEX(tblSeverityReference[HR/IHL Violation],MATCH(tblSeverityAnalysis[[#This Row],[ID]], tblSeverityReference[ID], 0)) ), "")</f>
        <v/>
      </c>
      <c r="AH55" s="81">
        <f>IFERROR(AVERAGE(tblSeverityAnalysis[[#This Row],[CCCM]:[WASH]]), "")</f>
        <v>1.3333333333333333</v>
      </c>
      <c r="AI55" s="27">
        <f>IF(SUM(tblSeverityAnalysis[[#This Row],[CCCM]:[WASH]])=0, "", MAX(tblSeverityAnalysis[[#This Row],[CCCM]:[WASH]]))</f>
        <v>2</v>
      </c>
      <c r="AJ55" s="333" t="str" cm="1">
        <f t="array" ref="AJ55">IFERROR(IF(tblSeverityAnalysis[[#This Row],[Highest Severity]]="", "", _xlfn.TEXTJOIN(CHAR(10), TRUE, IF(tblSeverityAnalysis[[#This Row],[CCCM]:[WASH]]=tblSeverityAnalysis[[#This Row],[Highest Severity]], tblSeverityAnalysis[[#Headers],[CCCM]:[WASH]], ""), "")), "")</f>
        <v>Food Security
WASH</v>
      </c>
      <c r="AK55" s="27" cm="1">
        <f t="array" ref="AK55">IFERROR(MAX(_xlfn._xlws.FILTER(tblSeverityAnalysis[[#This Row],[CCCM]:[WASH]], tblSeverityAnalysis[[#This Row],[CCCM]:[WASH]]&lt;tblSeverityAnalysis[[#This Row],[Highest Severity]])), "")</f>
        <v>0</v>
      </c>
      <c r="AL55" s="313" t="str" cm="1">
        <f t="array" ref="AL55">IFERROR(IF(tblSeverityAnalysis[[#This Row],[2nd Highest Severity]]="", "", _xlfn.TEXTJOIN(CHAR(10), TRUE, IF(tblSeverityAnalysis[[#This Row],[CCCM]:[WASH]]=tblSeverityAnalysis[[#This Row],[2nd Highest Severity]], tblSeverityAnalysis[[#Headers],[CCCM]:[WASH]], ""), "")), "")</f>
        <v>CCCM
Education
Health
Overarching Protection
Shelter</v>
      </c>
      <c r="AM55" s="132" t="str">
        <f>IFERROR(IF(AND(tblSeverityAnalysis[[#This Row],[5]] &lt;&gt; "", tblSeverityAnalysis[[#This Row],[5]]&gt;=sectors_sev_5), "Flagged", ""), "")</f>
        <v/>
      </c>
      <c r="AN55" s="133" t="str">
        <f>IFERROR(IF(AND(tblSeverityAnalysis[[#This Row],[Preliminary Intersectoral Severity based on overlap of sectoral deprivations]]=4, SUM(tblSeverityAnalysis[[#This Row],[ 4 ]:[5]])&gt;=sectors_sev_4), "Flagged", ""), "")</f>
        <v/>
      </c>
      <c r="AO55" s="133" t="str" cm="1">
        <f t="array" ref="AO5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5" s="335"/>
      <c r="AR55" s="336"/>
      <c r="AS55" s="335"/>
      <c r="AT55" s="337">
        <f>COUNTIF(tblSeverityAnalysis[[#This Row],[1 sector in severity phase 5 '[modify the threshold']]:[Manual Flag]], "Flagged")</f>
        <v>2</v>
      </c>
      <c r="AU55" s="338">
        <f>tblSeverityAnalysis[[#This Row],[Preliminary Intersectoral Severity based on overlap of sectoral deprivations]]</f>
        <v>1</v>
      </c>
      <c r="AV55" s="339"/>
    </row>
    <row r="56" spans="1:48" ht="15" hidden="1" customHeight="1">
      <c r="A5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MZ0408</v>
      </c>
      <c r="B56" s="39" t="s">
        <v>321</v>
      </c>
      <c r="C56" s="340" t="s">
        <v>322</v>
      </c>
      <c r="D56" s="340" t="s">
        <v>321</v>
      </c>
      <c r="E56" s="33" t="s">
        <v>337</v>
      </c>
      <c r="F56" s="33"/>
      <c r="G56" s="33"/>
      <c r="H56" s="20"/>
      <c r="I56" s="95">
        <v>299795</v>
      </c>
      <c r="J56" s="95"/>
      <c r="K56" s="321"/>
      <c r="L56" s="303"/>
      <c r="M56" s="303" t="s">
        <v>264</v>
      </c>
      <c r="N56" s="303"/>
      <c r="O56" s="372"/>
      <c r="P56" s="303">
        <v>0</v>
      </c>
      <c r="Q56" s="304"/>
      <c r="R56" s="303">
        <v>2</v>
      </c>
      <c r="S56" s="303"/>
      <c r="T56" s="303"/>
      <c r="U56" s="303"/>
      <c r="V56" s="303"/>
      <c r="W56" s="330" t="str">
        <f>IF(COUNTIF(tblSeverityAnalysis[[#This Row],[CCCM]:[WASH]], 1)=0, "", COUNTIF(tblSeverityAnalysis[[#This Row],[CCCM]:[WASH]], 1))</f>
        <v/>
      </c>
      <c r="X56" s="331">
        <f>IF(COUNTIF(tblSeverityAnalysis[[#This Row],[CCCM]:[WASH]], 2)=0, "", COUNTIF(tblSeverityAnalysis[[#This Row],[CCCM]:[WASH]], 2))</f>
        <v>1</v>
      </c>
      <c r="Y56" s="331" t="str">
        <f>IF(COUNTIF(tblSeverityAnalysis[[#This Row],[CCCM]:[WASH]], 3)=0, "", COUNTIF(tblSeverityAnalysis[[#This Row],[CCCM]:[WASH]], 3))</f>
        <v/>
      </c>
      <c r="Z56" s="331" t="str">
        <f>IF(COUNTIF(tblSeverityAnalysis[[#This Row],[CCCM]:[WASH]], 4)=0, "", COUNTIF(tblSeverityAnalysis[[#This Row],[CCCM]:[WASH]], 4))</f>
        <v/>
      </c>
      <c r="AA56" s="332" t="str">
        <f>IF(COUNTIF(tblSeverityAnalysis[[#This Row],[CCCM]:[WASH]], 5)=0, "", COUNTIF(tblSeverityAnalysis[[#This Row],[CCCM]:[WASH]], 5))</f>
        <v/>
      </c>
      <c r="AB56" s="59" cm="1">
        <f t="array" ref="AB5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6" s="41" t="str">
        <f>IFERROR(IF(INDEX(tblSeverityReference[Malnutrition Severity],MATCH(tblSeverityAnalysis[[#This Row],[ID]], tblSeverityReference[ID], 0))= "", "",INDEX(tblSeverityReference[Malnutrition Severity],MATCH(tblSeverityAnalysis[[#This Row],[ID]], tblSeverityReference[ID], 0)) ), "")</f>
        <v/>
      </c>
      <c r="AE56" s="303">
        <f>IFERROR(IF(INDEX(tblSeverityReference[Epidemic Severity],MATCH(tblSeverityAnalysis[[#This Row],[ID]], tblSeverityReference[ID], 0))= "", "",INDEX(tblSeverityReference[Epidemic Severity],MATCH(tblSeverityAnalysis[[#This Row],[ID]], tblSeverityReference[ID], 0)) ), "")</f>
        <v>2.2352941176470589</v>
      </c>
      <c r="AF56" s="303" t="str">
        <f>IFERROR(IF(INDEX(tblSeverityReference[Coping Strategy Severity],MATCH(tblSeverityAnalysis[[#This Row],[ID]], tblSeverityReference[ID], 0))= "", "",INDEX(tblSeverityReference[Coping Strategy Severity],MATCH(tblSeverityAnalysis[[#This Row],[ID]], tblSeverityReference[ID], 0)) ), "")</f>
        <v/>
      </c>
      <c r="AG56" s="108" t="str">
        <f>IFERROR(IF(INDEX(tblSeverityReference[HR/IHL Violation],MATCH(tblSeverityAnalysis[[#This Row],[ID]], tblSeverityReference[ID], 0))= "", "",INDEX(tblSeverityReference[HR/IHL Violation],MATCH(tblSeverityAnalysis[[#This Row],[ID]], tblSeverityReference[ID], 0)) ), "")</f>
        <v/>
      </c>
      <c r="AH56" s="81">
        <f>IFERROR(AVERAGE(tblSeverityAnalysis[[#This Row],[CCCM]:[WASH]]), "")</f>
        <v>1</v>
      </c>
      <c r="AI56" s="27">
        <f>IF(SUM(tblSeverityAnalysis[[#This Row],[CCCM]:[WASH]])=0, "", MAX(tblSeverityAnalysis[[#This Row],[CCCM]:[WASH]]))</f>
        <v>2</v>
      </c>
      <c r="AJ56" s="333" t="str" cm="1">
        <f t="array" ref="AJ56">IFERROR(IF(tblSeverityAnalysis[[#This Row],[Highest Severity]]="", "", _xlfn.TEXTJOIN(CHAR(10), TRUE, IF(tblSeverityAnalysis[[#This Row],[CCCM]:[WASH]]=tblSeverityAnalysis[[#This Row],[Highest Severity]], tblSeverityAnalysis[[#Headers],[CCCM]:[WASH]], ""), "")), "")</f>
        <v>WASH</v>
      </c>
      <c r="AK56" s="27" cm="1">
        <f t="array" ref="AK56">IFERROR(MAX(_xlfn._xlws.FILTER(tblSeverityAnalysis[[#This Row],[CCCM]:[WASH]], tblSeverityAnalysis[[#This Row],[CCCM]:[WASH]]&lt;tblSeverityAnalysis[[#This Row],[Highest Severity]])), "")</f>
        <v>0</v>
      </c>
      <c r="AL56" s="313" t="str" cm="1">
        <f t="array" ref="AL5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56" s="132" t="str">
        <f>IFERROR(IF(AND(tblSeverityAnalysis[[#This Row],[5]] &lt;&gt; "", tblSeverityAnalysis[[#This Row],[5]]&gt;=sectors_sev_5), "Flagged", ""), "")</f>
        <v/>
      </c>
      <c r="AN56" s="133" t="str">
        <f>IFERROR(IF(AND(tblSeverityAnalysis[[#This Row],[Preliminary Intersectoral Severity based on overlap of sectoral deprivations]]=4, SUM(tblSeverityAnalysis[[#This Row],[ 4 ]:[5]])&gt;=sectors_sev_4), "Flagged", ""), "")</f>
        <v/>
      </c>
      <c r="AO56" s="133" t="str" cm="1">
        <f t="array" ref="AO5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6" s="335"/>
      <c r="AR56" s="336"/>
      <c r="AS56" s="335"/>
      <c r="AT56" s="337">
        <f>COUNTIF(tblSeverityAnalysis[[#This Row],[1 sector in severity phase 5 '[modify the threshold']]:[Manual Flag]], "Flagged")</f>
        <v>0</v>
      </c>
      <c r="AU56" s="338">
        <f>tblSeverityAnalysis[[#This Row],[Preliminary Intersectoral Severity based on overlap of sectoral deprivations]]</f>
        <v>1</v>
      </c>
      <c r="AV56" s="339"/>
    </row>
    <row r="57" spans="1:48" ht="15" hidden="1" customHeight="1">
      <c r="A5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MZ0409</v>
      </c>
      <c r="B57" s="39" t="s">
        <v>321</v>
      </c>
      <c r="C57" s="340" t="s">
        <v>322</v>
      </c>
      <c r="D57" s="340" t="s">
        <v>338</v>
      </c>
      <c r="E57" s="33" t="s">
        <v>339</v>
      </c>
      <c r="F57" s="33"/>
      <c r="G57" s="33"/>
      <c r="H57" s="20"/>
      <c r="I57" s="95">
        <v>298897</v>
      </c>
      <c r="J57" s="95"/>
      <c r="K57" s="321"/>
      <c r="L57" s="303"/>
      <c r="M57" s="303" t="s">
        <v>264</v>
      </c>
      <c r="N57" s="303"/>
      <c r="O57" s="372"/>
      <c r="P57" s="303">
        <v>0</v>
      </c>
      <c r="Q57" s="304"/>
      <c r="R57" s="303">
        <v>2</v>
      </c>
      <c r="S57" s="303"/>
      <c r="T57" s="303"/>
      <c r="U57" s="303"/>
      <c r="V57" s="303"/>
      <c r="W57" s="330" t="str">
        <f>IF(COUNTIF(tblSeverityAnalysis[[#This Row],[CCCM]:[WASH]], 1)=0, "", COUNTIF(tblSeverityAnalysis[[#This Row],[CCCM]:[WASH]], 1))</f>
        <v/>
      </c>
      <c r="X57" s="331">
        <f>IF(COUNTIF(tblSeverityAnalysis[[#This Row],[CCCM]:[WASH]], 2)=0, "", COUNTIF(tblSeverityAnalysis[[#This Row],[CCCM]:[WASH]], 2))</f>
        <v>1</v>
      </c>
      <c r="Y57" s="331" t="str">
        <f>IF(COUNTIF(tblSeverityAnalysis[[#This Row],[CCCM]:[WASH]], 3)=0, "", COUNTIF(tblSeverityAnalysis[[#This Row],[CCCM]:[WASH]], 3))</f>
        <v/>
      </c>
      <c r="Z57" s="331" t="str">
        <f>IF(COUNTIF(tblSeverityAnalysis[[#This Row],[CCCM]:[WASH]], 4)=0, "", COUNTIF(tblSeverityAnalysis[[#This Row],[CCCM]:[WASH]], 4))</f>
        <v/>
      </c>
      <c r="AA57" s="332" t="str">
        <f>IF(COUNTIF(tblSeverityAnalysis[[#This Row],[CCCM]:[WASH]], 5)=0, "", COUNTIF(tblSeverityAnalysis[[#This Row],[CCCM]:[WASH]], 5))</f>
        <v/>
      </c>
      <c r="AB57" s="59" cm="1">
        <f t="array" ref="AB5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7" s="41" t="str">
        <f>IFERROR(IF(INDEX(tblSeverityReference[Malnutrition Severity],MATCH(tblSeverityAnalysis[[#This Row],[ID]], tblSeverityReference[ID], 0))= "", "",INDEX(tblSeverityReference[Malnutrition Severity],MATCH(tblSeverityAnalysis[[#This Row],[ID]], tblSeverityReference[ID], 0)) ), "")</f>
        <v/>
      </c>
      <c r="AE57" s="303">
        <f>IFERROR(IF(INDEX(tblSeverityReference[Epidemic Severity],MATCH(tblSeverityAnalysis[[#This Row],[ID]], tblSeverityReference[ID], 0))= "", "",INDEX(tblSeverityReference[Epidemic Severity],MATCH(tblSeverityAnalysis[[#This Row],[ID]], tblSeverityReference[ID], 0)) ), "")</f>
        <v>1.8235294117647056</v>
      </c>
      <c r="AF57" s="303" t="str">
        <f>IFERROR(IF(INDEX(tblSeverityReference[Coping Strategy Severity],MATCH(tblSeverityAnalysis[[#This Row],[ID]], tblSeverityReference[ID], 0))= "", "",INDEX(tblSeverityReference[Coping Strategy Severity],MATCH(tblSeverityAnalysis[[#This Row],[ID]], tblSeverityReference[ID], 0)) ), "")</f>
        <v/>
      </c>
      <c r="AG57" s="108" t="str">
        <f>IFERROR(IF(INDEX(tblSeverityReference[HR/IHL Violation],MATCH(tblSeverityAnalysis[[#This Row],[ID]], tblSeverityReference[ID], 0))= "", "",INDEX(tblSeverityReference[HR/IHL Violation],MATCH(tblSeverityAnalysis[[#This Row],[ID]], tblSeverityReference[ID], 0)) ), "")</f>
        <v/>
      </c>
      <c r="AH57" s="81">
        <f>IFERROR(AVERAGE(tblSeverityAnalysis[[#This Row],[CCCM]:[WASH]]), "")</f>
        <v>1</v>
      </c>
      <c r="AI57" s="27">
        <f>IF(SUM(tblSeverityAnalysis[[#This Row],[CCCM]:[WASH]])=0, "", MAX(tblSeverityAnalysis[[#This Row],[CCCM]:[WASH]]))</f>
        <v>2</v>
      </c>
      <c r="AJ57" s="333" t="str" cm="1">
        <f t="array" ref="AJ57">IFERROR(IF(tblSeverityAnalysis[[#This Row],[Highest Severity]]="", "", _xlfn.TEXTJOIN(CHAR(10), TRUE, IF(tblSeverityAnalysis[[#This Row],[CCCM]:[WASH]]=tblSeverityAnalysis[[#This Row],[Highest Severity]], tblSeverityAnalysis[[#Headers],[CCCM]:[WASH]], ""), "")), "")</f>
        <v>WASH</v>
      </c>
      <c r="AK57" s="27" cm="1">
        <f t="array" ref="AK57">IFERROR(MAX(_xlfn._xlws.FILTER(tblSeverityAnalysis[[#This Row],[CCCM]:[WASH]], tblSeverityAnalysis[[#This Row],[CCCM]:[WASH]]&lt;tblSeverityAnalysis[[#This Row],[Highest Severity]])), "")</f>
        <v>0</v>
      </c>
      <c r="AL57" s="313" t="str" cm="1">
        <f t="array" ref="AL5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57" s="132" t="str">
        <f>IFERROR(IF(AND(tblSeverityAnalysis[[#This Row],[5]] &lt;&gt; "", tblSeverityAnalysis[[#This Row],[5]]&gt;=sectors_sev_5), "Flagged", ""), "")</f>
        <v/>
      </c>
      <c r="AN57" s="133" t="str">
        <f>IFERROR(IF(AND(tblSeverityAnalysis[[#This Row],[Preliminary Intersectoral Severity based on overlap of sectoral deprivations]]=4, SUM(tblSeverityAnalysis[[#This Row],[ 4 ]:[5]])&gt;=sectors_sev_4), "Flagged", ""), "")</f>
        <v/>
      </c>
      <c r="AO57" s="133" t="str" cm="1">
        <f t="array" ref="AO5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7" s="335"/>
      <c r="AR57" s="336"/>
      <c r="AS57" s="335"/>
      <c r="AT57" s="337">
        <f>COUNTIF(tblSeverityAnalysis[[#This Row],[1 sector in severity phase 5 '[modify the threshold']]:[Manual Flag]], "Flagged")</f>
        <v>0</v>
      </c>
      <c r="AU57" s="338">
        <f>tblSeverityAnalysis[[#This Row],[Preliminary Intersectoral Severity based on overlap of sectoral deprivations]]</f>
        <v>1</v>
      </c>
      <c r="AV57" s="339"/>
    </row>
    <row r="58" spans="1:48" ht="15" hidden="1" customHeight="1">
      <c r="A5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MZ0410</v>
      </c>
      <c r="B58" s="39" t="s">
        <v>321</v>
      </c>
      <c r="C58" s="340" t="s">
        <v>322</v>
      </c>
      <c r="D58" s="340" t="s">
        <v>340</v>
      </c>
      <c r="E58" s="33" t="s">
        <v>341</v>
      </c>
      <c r="F58" s="33"/>
      <c r="G58" s="33"/>
      <c r="H58" s="20"/>
      <c r="I58" s="95">
        <v>234153</v>
      </c>
      <c r="J58" s="95"/>
      <c r="K58" s="321"/>
      <c r="L58" s="303"/>
      <c r="M58" s="303" t="s">
        <v>264</v>
      </c>
      <c r="N58" s="303"/>
      <c r="O58" s="372"/>
      <c r="P58" s="303">
        <v>0</v>
      </c>
      <c r="Q58" s="304"/>
      <c r="R58" s="303">
        <v>2</v>
      </c>
      <c r="S58" s="303"/>
      <c r="T58" s="303"/>
      <c r="U58" s="303"/>
      <c r="V58" s="303"/>
      <c r="W58" s="330" t="str">
        <f>IF(COUNTIF(tblSeverityAnalysis[[#This Row],[CCCM]:[WASH]], 1)=0, "", COUNTIF(tblSeverityAnalysis[[#This Row],[CCCM]:[WASH]], 1))</f>
        <v/>
      </c>
      <c r="X58" s="331">
        <f>IF(COUNTIF(tblSeverityAnalysis[[#This Row],[CCCM]:[WASH]], 2)=0, "", COUNTIF(tblSeverityAnalysis[[#This Row],[CCCM]:[WASH]], 2))</f>
        <v>1</v>
      </c>
      <c r="Y58" s="331" t="str">
        <f>IF(COUNTIF(tblSeverityAnalysis[[#This Row],[CCCM]:[WASH]], 3)=0, "", COUNTIF(tblSeverityAnalysis[[#This Row],[CCCM]:[WASH]], 3))</f>
        <v/>
      </c>
      <c r="Z58" s="331" t="str">
        <f>IF(COUNTIF(tblSeverityAnalysis[[#This Row],[CCCM]:[WASH]], 4)=0, "", COUNTIF(tblSeverityAnalysis[[#This Row],[CCCM]:[WASH]], 4))</f>
        <v/>
      </c>
      <c r="AA58" s="332" t="str">
        <f>IF(COUNTIF(tblSeverityAnalysis[[#This Row],[CCCM]:[WASH]], 5)=0, "", COUNTIF(tblSeverityAnalysis[[#This Row],[CCCM]:[WASH]], 5))</f>
        <v/>
      </c>
      <c r="AB58" s="59" cm="1">
        <f t="array" ref="AB5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8" s="41" t="str">
        <f>IFERROR(IF(INDEX(tblSeverityReference[Malnutrition Severity],MATCH(tblSeverityAnalysis[[#This Row],[ID]], tblSeverityReference[ID], 0))= "", "",INDEX(tblSeverityReference[Malnutrition Severity],MATCH(tblSeverityAnalysis[[#This Row],[ID]], tblSeverityReference[ID], 0)) ), "")</f>
        <v/>
      </c>
      <c r="AE58" s="303">
        <f>IFERROR(IF(INDEX(tblSeverityReference[Epidemic Severity],MATCH(tblSeverityAnalysis[[#This Row],[ID]], tblSeverityReference[ID], 0))= "", "",INDEX(tblSeverityReference[Epidemic Severity],MATCH(tblSeverityAnalysis[[#This Row],[ID]], tblSeverityReference[ID], 0)) ), "")</f>
        <v>2.2352941176470589</v>
      </c>
      <c r="AF58" s="303" t="str">
        <f>IFERROR(IF(INDEX(tblSeverityReference[Coping Strategy Severity],MATCH(tblSeverityAnalysis[[#This Row],[ID]], tblSeverityReference[ID], 0))= "", "",INDEX(tblSeverityReference[Coping Strategy Severity],MATCH(tblSeverityAnalysis[[#This Row],[ID]], tblSeverityReference[ID], 0)) ), "")</f>
        <v/>
      </c>
      <c r="AG58" s="108" t="str">
        <f>IFERROR(IF(INDEX(tblSeverityReference[HR/IHL Violation],MATCH(tblSeverityAnalysis[[#This Row],[ID]], tblSeverityReference[ID], 0))= "", "",INDEX(tblSeverityReference[HR/IHL Violation],MATCH(tblSeverityAnalysis[[#This Row],[ID]], tblSeverityReference[ID], 0)) ), "")</f>
        <v/>
      </c>
      <c r="AH58" s="81">
        <f>IFERROR(AVERAGE(tblSeverityAnalysis[[#This Row],[CCCM]:[WASH]]), "")</f>
        <v>1</v>
      </c>
      <c r="AI58" s="27">
        <f>IF(SUM(tblSeverityAnalysis[[#This Row],[CCCM]:[WASH]])=0, "", MAX(tblSeverityAnalysis[[#This Row],[CCCM]:[WASH]]))</f>
        <v>2</v>
      </c>
      <c r="AJ58" s="333" t="str" cm="1">
        <f t="array" ref="AJ58">IFERROR(IF(tblSeverityAnalysis[[#This Row],[Highest Severity]]="", "", _xlfn.TEXTJOIN(CHAR(10), TRUE, IF(tblSeverityAnalysis[[#This Row],[CCCM]:[WASH]]=tblSeverityAnalysis[[#This Row],[Highest Severity]], tblSeverityAnalysis[[#Headers],[CCCM]:[WASH]], ""), "")), "")</f>
        <v>WASH</v>
      </c>
      <c r="AK58" s="27" cm="1">
        <f t="array" ref="AK58">IFERROR(MAX(_xlfn._xlws.FILTER(tblSeverityAnalysis[[#This Row],[CCCM]:[WASH]], tblSeverityAnalysis[[#This Row],[CCCM]:[WASH]]&lt;tblSeverityAnalysis[[#This Row],[Highest Severity]])), "")</f>
        <v>0</v>
      </c>
      <c r="AL58" s="313" t="str" cm="1">
        <f t="array" ref="AL5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58" s="132" t="str">
        <f>IFERROR(IF(AND(tblSeverityAnalysis[[#This Row],[5]] &lt;&gt; "", tblSeverityAnalysis[[#This Row],[5]]&gt;=sectors_sev_5), "Flagged", ""), "")</f>
        <v/>
      </c>
      <c r="AN58" s="133" t="str">
        <f>IFERROR(IF(AND(tblSeverityAnalysis[[#This Row],[Preliminary Intersectoral Severity based on overlap of sectoral deprivations]]=4, SUM(tblSeverityAnalysis[[#This Row],[ 4 ]:[5]])&gt;=sectors_sev_4), "Flagged", ""), "")</f>
        <v/>
      </c>
      <c r="AO58" s="133" t="str" cm="1">
        <f t="array" ref="AO5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8" s="335"/>
      <c r="AR58" s="336"/>
      <c r="AS58" s="335"/>
      <c r="AT58" s="337">
        <f>COUNTIF(tblSeverityAnalysis[[#This Row],[1 sector in severity phase 5 '[modify the threshold']]:[Manual Flag]], "Flagged")</f>
        <v>0</v>
      </c>
      <c r="AU58" s="338">
        <f>tblSeverityAnalysis[[#This Row],[Preliminary Intersectoral Severity based on overlap of sectoral deprivations]]</f>
        <v>1</v>
      </c>
      <c r="AV58" s="339"/>
    </row>
    <row r="59" spans="1:48" ht="15" hidden="1" customHeight="1">
      <c r="A5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MZ0411</v>
      </c>
      <c r="B59" s="39" t="s">
        <v>321</v>
      </c>
      <c r="C59" s="340" t="s">
        <v>322</v>
      </c>
      <c r="D59" s="340" t="s">
        <v>342</v>
      </c>
      <c r="E59" s="33" t="s">
        <v>343</v>
      </c>
      <c r="F59" s="33"/>
      <c r="G59" s="33"/>
      <c r="H59" s="20"/>
      <c r="I59" s="95">
        <v>68750</v>
      </c>
      <c r="J59" s="95"/>
      <c r="K59" s="321"/>
      <c r="L59" s="303"/>
      <c r="M59" s="303" t="s">
        <v>264</v>
      </c>
      <c r="N59" s="303">
        <v>3</v>
      </c>
      <c r="O59" s="372"/>
      <c r="P59" s="303">
        <v>0</v>
      </c>
      <c r="Q59" s="304"/>
      <c r="R59" s="303">
        <v>4</v>
      </c>
      <c r="S59" s="303"/>
      <c r="T59" s="303"/>
      <c r="U59" s="303"/>
      <c r="V59" s="303"/>
      <c r="W59" s="330" t="str">
        <f>IF(COUNTIF(tblSeverityAnalysis[[#This Row],[CCCM]:[WASH]], 1)=0, "", COUNTIF(tblSeverityAnalysis[[#This Row],[CCCM]:[WASH]], 1))</f>
        <v/>
      </c>
      <c r="X59" s="331" t="str">
        <f>IF(COUNTIF(tblSeverityAnalysis[[#This Row],[CCCM]:[WASH]], 2)=0, "", COUNTIF(tblSeverityAnalysis[[#This Row],[CCCM]:[WASH]], 2))</f>
        <v/>
      </c>
      <c r="Y59" s="331">
        <f>IF(COUNTIF(tblSeverityAnalysis[[#This Row],[CCCM]:[WASH]], 3)=0, "", COUNTIF(tblSeverityAnalysis[[#This Row],[CCCM]:[WASH]], 3))</f>
        <v>1</v>
      </c>
      <c r="Z59" s="331">
        <f>IF(COUNTIF(tblSeverityAnalysis[[#This Row],[CCCM]:[WASH]], 4)=0, "", COUNTIF(tblSeverityAnalysis[[#This Row],[CCCM]:[WASH]], 4))</f>
        <v>1</v>
      </c>
      <c r="AA59" s="332" t="str">
        <f>IF(COUNTIF(tblSeverityAnalysis[[#This Row],[CCCM]:[WASH]], 5)=0, "", COUNTIF(tblSeverityAnalysis[[#This Row],[CCCM]:[WASH]], 5))</f>
        <v/>
      </c>
      <c r="AB59" s="59" cm="1">
        <f t="array" ref="AB5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5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9" s="41" t="str">
        <f>IFERROR(IF(INDEX(tblSeverityReference[Malnutrition Severity],MATCH(tblSeverityAnalysis[[#This Row],[ID]], tblSeverityReference[ID], 0))= "", "",INDEX(tblSeverityReference[Malnutrition Severity],MATCH(tblSeverityAnalysis[[#This Row],[ID]], tblSeverityReference[ID], 0)) ), "")</f>
        <v/>
      </c>
      <c r="AE59" s="303">
        <f>IFERROR(IF(INDEX(tblSeverityReference[Epidemic Severity],MATCH(tblSeverityAnalysis[[#This Row],[ID]], tblSeverityReference[ID], 0))= "", "",INDEX(tblSeverityReference[Epidemic Severity],MATCH(tblSeverityAnalysis[[#This Row],[ID]], tblSeverityReference[ID], 0)) ), "")</f>
        <v>1.8235294117647056</v>
      </c>
      <c r="AF59" s="303">
        <f>IFERROR(IF(INDEX(tblSeverityReference[Coping Strategy Severity],MATCH(tblSeverityAnalysis[[#This Row],[ID]], tblSeverityReference[ID], 0))= "", "",INDEX(tblSeverityReference[Coping Strategy Severity],MATCH(tblSeverityAnalysis[[#This Row],[ID]], tblSeverityReference[ID], 0)) ), "")</f>
        <v>3</v>
      </c>
      <c r="AG59" s="108" t="str">
        <f>IFERROR(IF(INDEX(tblSeverityReference[HR/IHL Violation],MATCH(tblSeverityAnalysis[[#This Row],[ID]], tblSeverityReference[ID], 0))= "", "",INDEX(tblSeverityReference[HR/IHL Violation],MATCH(tblSeverityAnalysis[[#This Row],[ID]], tblSeverityReference[ID], 0)) ), "")</f>
        <v/>
      </c>
      <c r="AH59" s="81">
        <f>IFERROR(AVERAGE(tblSeverityAnalysis[[#This Row],[CCCM]:[WASH]]), "")</f>
        <v>2.3333333333333335</v>
      </c>
      <c r="AI59" s="27">
        <f>IF(SUM(tblSeverityAnalysis[[#This Row],[CCCM]:[WASH]])=0, "", MAX(tblSeverityAnalysis[[#This Row],[CCCM]:[WASH]]))</f>
        <v>4</v>
      </c>
      <c r="AJ59" s="333" t="str" cm="1">
        <f t="array" ref="AJ59">IFERROR(IF(tblSeverityAnalysis[[#This Row],[Highest Severity]]="", "", _xlfn.TEXTJOIN(CHAR(10), TRUE, IF(tblSeverityAnalysis[[#This Row],[CCCM]:[WASH]]=tblSeverityAnalysis[[#This Row],[Highest Severity]], tblSeverityAnalysis[[#Headers],[CCCM]:[WASH]], ""), "")), "")</f>
        <v>WASH</v>
      </c>
      <c r="AK59" s="27" cm="1">
        <f t="array" ref="AK59">IFERROR(MAX(_xlfn._xlws.FILTER(tblSeverityAnalysis[[#This Row],[CCCM]:[WASH]], tblSeverityAnalysis[[#This Row],[CCCM]:[WASH]]&lt;tblSeverityAnalysis[[#This Row],[Highest Severity]])), "")</f>
        <v>3</v>
      </c>
      <c r="AL59" s="313" t="str" cm="1">
        <f t="array" ref="AL59">IFERROR(IF(tblSeverityAnalysis[[#This Row],[2nd Highest Severity]]="", "", _xlfn.TEXTJOIN(CHAR(10), TRUE, IF(tblSeverityAnalysis[[#This Row],[CCCM]:[WASH]]=tblSeverityAnalysis[[#This Row],[2nd Highest Severity]], tblSeverityAnalysis[[#Headers],[CCCM]:[WASH]], ""), "")), "")</f>
        <v>Food Security</v>
      </c>
      <c r="AM59" s="132" t="str">
        <f>IFERROR(IF(AND(tblSeverityAnalysis[[#This Row],[5]] &lt;&gt; "", tblSeverityAnalysis[[#This Row],[5]]&gt;=sectors_sev_5), "Flagged", ""), "")</f>
        <v/>
      </c>
      <c r="AN59" s="133" t="str">
        <f>IFERROR(IF(AND(tblSeverityAnalysis[[#This Row],[Preliminary Intersectoral Severity based on overlap of sectoral deprivations]]=4, SUM(tblSeverityAnalysis[[#This Row],[ 4 ]:[5]])&gt;=sectors_sev_4), "Flagged", ""), "")</f>
        <v/>
      </c>
      <c r="AO59" s="133" t="str" cm="1">
        <f t="array" ref="AO5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9" s="335"/>
      <c r="AR59" s="336"/>
      <c r="AS59" s="335"/>
      <c r="AT59" s="337">
        <f>COUNTIF(tblSeverityAnalysis[[#This Row],[1 sector in severity phase 5 '[modify the threshold']]:[Manual Flag]], "Flagged")</f>
        <v>1</v>
      </c>
      <c r="AU59" s="338">
        <f>tblSeverityAnalysis[[#This Row],[Preliminary Intersectoral Severity based on overlap of sectoral deprivations]]</f>
        <v>1</v>
      </c>
      <c r="AV59" s="339"/>
    </row>
    <row r="60" spans="1:48" ht="15" hidden="1" customHeight="1">
      <c r="A6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MZ0412</v>
      </c>
      <c r="B60" s="39" t="s">
        <v>321</v>
      </c>
      <c r="C60" s="340" t="s">
        <v>322</v>
      </c>
      <c r="D60" s="340" t="s">
        <v>344</v>
      </c>
      <c r="E60" s="33" t="s">
        <v>345</v>
      </c>
      <c r="F60" s="33"/>
      <c r="G60" s="33"/>
      <c r="H60" s="20"/>
      <c r="I60" s="95">
        <v>157014</v>
      </c>
      <c r="J60" s="95"/>
      <c r="K60" s="321"/>
      <c r="L60" s="303"/>
      <c r="M60" s="303" t="s">
        <v>264</v>
      </c>
      <c r="N60" s="303"/>
      <c r="O60" s="372"/>
      <c r="P60" s="303">
        <v>0</v>
      </c>
      <c r="Q60" s="304"/>
      <c r="R60" s="303">
        <v>3</v>
      </c>
      <c r="S60" s="303"/>
      <c r="T60" s="303"/>
      <c r="U60" s="303"/>
      <c r="V60" s="303"/>
      <c r="W60" s="330" t="str">
        <f>IF(COUNTIF(tblSeverityAnalysis[[#This Row],[CCCM]:[WASH]], 1)=0, "", COUNTIF(tblSeverityAnalysis[[#This Row],[CCCM]:[WASH]], 1))</f>
        <v/>
      </c>
      <c r="X60" s="331" t="str">
        <f>IF(COUNTIF(tblSeverityAnalysis[[#This Row],[CCCM]:[WASH]], 2)=0, "", COUNTIF(tblSeverityAnalysis[[#This Row],[CCCM]:[WASH]], 2))</f>
        <v/>
      </c>
      <c r="Y60" s="331">
        <f>IF(COUNTIF(tblSeverityAnalysis[[#This Row],[CCCM]:[WASH]], 3)=0, "", COUNTIF(tblSeverityAnalysis[[#This Row],[CCCM]:[WASH]], 3))</f>
        <v>1</v>
      </c>
      <c r="Z60" s="331" t="str">
        <f>IF(COUNTIF(tblSeverityAnalysis[[#This Row],[CCCM]:[WASH]], 4)=0, "", COUNTIF(tblSeverityAnalysis[[#This Row],[CCCM]:[WASH]], 4))</f>
        <v/>
      </c>
      <c r="AA60" s="332" t="str">
        <f>IF(COUNTIF(tblSeverityAnalysis[[#This Row],[CCCM]:[WASH]], 5)=0, "", COUNTIF(tblSeverityAnalysis[[#This Row],[CCCM]:[WASH]], 5))</f>
        <v/>
      </c>
      <c r="AB60" s="59" cm="1">
        <f t="array" ref="AB6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0" s="41" t="str">
        <f>IFERROR(IF(INDEX(tblSeverityReference[Malnutrition Severity],MATCH(tblSeverityAnalysis[[#This Row],[ID]], tblSeverityReference[ID], 0))= "", "",INDEX(tblSeverityReference[Malnutrition Severity],MATCH(tblSeverityAnalysis[[#This Row],[ID]], tblSeverityReference[ID], 0)) ), "")</f>
        <v/>
      </c>
      <c r="AE60" s="303">
        <f>IFERROR(IF(INDEX(tblSeverityReference[Epidemic Severity],MATCH(tblSeverityAnalysis[[#This Row],[ID]], tblSeverityReference[ID], 0))= "", "",INDEX(tblSeverityReference[Epidemic Severity],MATCH(tblSeverityAnalysis[[#This Row],[ID]], tblSeverityReference[ID], 0)) ), "")</f>
        <v>1.8235294117647056</v>
      </c>
      <c r="AF60" s="303" t="str">
        <f>IFERROR(IF(INDEX(tblSeverityReference[Coping Strategy Severity],MATCH(tblSeverityAnalysis[[#This Row],[ID]], tblSeverityReference[ID], 0))= "", "",INDEX(tblSeverityReference[Coping Strategy Severity],MATCH(tblSeverityAnalysis[[#This Row],[ID]], tblSeverityReference[ID], 0)) ), "")</f>
        <v/>
      </c>
      <c r="AG60" s="108" t="str">
        <f>IFERROR(IF(INDEX(tblSeverityReference[HR/IHL Violation],MATCH(tblSeverityAnalysis[[#This Row],[ID]], tblSeverityReference[ID], 0))= "", "",INDEX(tblSeverityReference[HR/IHL Violation],MATCH(tblSeverityAnalysis[[#This Row],[ID]], tblSeverityReference[ID], 0)) ), "")</f>
        <v/>
      </c>
      <c r="AH60" s="81">
        <f>IFERROR(AVERAGE(tblSeverityAnalysis[[#This Row],[CCCM]:[WASH]]), "")</f>
        <v>1.5</v>
      </c>
      <c r="AI60" s="27">
        <f>IF(SUM(tblSeverityAnalysis[[#This Row],[CCCM]:[WASH]])=0, "", MAX(tblSeverityAnalysis[[#This Row],[CCCM]:[WASH]]))</f>
        <v>3</v>
      </c>
      <c r="AJ60" s="333" t="str" cm="1">
        <f t="array" ref="AJ60">IFERROR(IF(tblSeverityAnalysis[[#This Row],[Highest Severity]]="", "", _xlfn.TEXTJOIN(CHAR(10), TRUE, IF(tblSeverityAnalysis[[#This Row],[CCCM]:[WASH]]=tblSeverityAnalysis[[#This Row],[Highest Severity]], tblSeverityAnalysis[[#Headers],[CCCM]:[WASH]], ""), "")), "")</f>
        <v>WASH</v>
      </c>
      <c r="AK60" s="27" cm="1">
        <f t="array" ref="AK60">IFERROR(MAX(_xlfn._xlws.FILTER(tblSeverityAnalysis[[#This Row],[CCCM]:[WASH]], tblSeverityAnalysis[[#This Row],[CCCM]:[WASH]]&lt;tblSeverityAnalysis[[#This Row],[Highest Severity]])), "")</f>
        <v>0</v>
      </c>
      <c r="AL60" s="313" t="str" cm="1">
        <f t="array" ref="AL6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60" s="132" t="str">
        <f>IFERROR(IF(AND(tblSeverityAnalysis[[#This Row],[5]] &lt;&gt; "", tblSeverityAnalysis[[#This Row],[5]]&gt;=sectors_sev_5), "Flagged", ""), "")</f>
        <v/>
      </c>
      <c r="AN60" s="133" t="str">
        <f>IFERROR(IF(AND(tblSeverityAnalysis[[#This Row],[Preliminary Intersectoral Severity based on overlap of sectoral deprivations]]=4, SUM(tblSeverityAnalysis[[#This Row],[ 4 ]:[5]])&gt;=sectors_sev_4), "Flagged", ""), "")</f>
        <v/>
      </c>
      <c r="AO60" s="133" t="str" cm="1">
        <f t="array" ref="AO6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0" s="335"/>
      <c r="AR60" s="336"/>
      <c r="AS60" s="335"/>
      <c r="AT60" s="337">
        <f>COUNTIF(tblSeverityAnalysis[[#This Row],[1 sector in severity phase 5 '[modify the threshold']]:[Manual Flag]], "Flagged")</f>
        <v>0</v>
      </c>
      <c r="AU60" s="338">
        <f>tblSeverityAnalysis[[#This Row],[Preliminary Intersectoral Severity based on overlap of sectoral deprivations]]</f>
        <v>1</v>
      </c>
      <c r="AV60" s="339"/>
    </row>
    <row r="61" spans="1:48" ht="15" hidden="1" customHeight="1">
      <c r="A6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MZ0501</v>
      </c>
      <c r="B61" s="39" t="s">
        <v>346</v>
      </c>
      <c r="C61" s="340" t="s">
        <v>347</v>
      </c>
      <c r="D61" s="340" t="s">
        <v>348</v>
      </c>
      <c r="E61" s="33" t="s">
        <v>349</v>
      </c>
      <c r="F61" s="33"/>
      <c r="G61" s="33"/>
      <c r="H61" s="20"/>
      <c r="I61" s="95">
        <v>270319</v>
      </c>
      <c r="J61" s="95"/>
      <c r="K61" s="321"/>
      <c r="L61" s="303"/>
      <c r="M61" s="303" t="s">
        <v>264</v>
      </c>
      <c r="N61" s="303"/>
      <c r="O61" s="372"/>
      <c r="P61" s="303">
        <v>0</v>
      </c>
      <c r="Q61" s="304"/>
      <c r="R61" s="303">
        <v>1</v>
      </c>
      <c r="S61" s="303"/>
      <c r="T61" s="303"/>
      <c r="U61" s="303"/>
      <c r="V61" s="303"/>
      <c r="W61" s="330">
        <f>IF(COUNTIF(tblSeverityAnalysis[[#This Row],[CCCM]:[WASH]], 1)=0, "", COUNTIF(tblSeverityAnalysis[[#This Row],[CCCM]:[WASH]], 1))</f>
        <v>1</v>
      </c>
      <c r="X61" s="331" t="str">
        <f>IF(COUNTIF(tblSeverityAnalysis[[#This Row],[CCCM]:[WASH]], 2)=0, "", COUNTIF(tblSeverityAnalysis[[#This Row],[CCCM]:[WASH]], 2))</f>
        <v/>
      </c>
      <c r="Y61" s="331" t="str">
        <f>IF(COUNTIF(tblSeverityAnalysis[[#This Row],[CCCM]:[WASH]], 3)=0, "", COUNTIF(tblSeverityAnalysis[[#This Row],[CCCM]:[WASH]], 3))</f>
        <v/>
      </c>
      <c r="Z61" s="331" t="str">
        <f>IF(COUNTIF(tblSeverityAnalysis[[#This Row],[CCCM]:[WASH]], 4)=0, "", COUNTIF(tblSeverityAnalysis[[#This Row],[CCCM]:[WASH]], 4))</f>
        <v/>
      </c>
      <c r="AA61" s="332" t="str">
        <f>IF(COUNTIF(tblSeverityAnalysis[[#This Row],[CCCM]:[WASH]], 5)=0, "", COUNTIF(tblSeverityAnalysis[[#This Row],[CCCM]:[WASH]], 5))</f>
        <v/>
      </c>
      <c r="AB61" s="59" cm="1">
        <f t="array" ref="AB6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1" s="41" t="str">
        <f>IFERROR(IF(INDEX(tblSeverityReference[Malnutrition Severity],MATCH(tblSeverityAnalysis[[#This Row],[ID]], tblSeverityReference[ID], 0))= "", "",INDEX(tblSeverityReference[Malnutrition Severity],MATCH(tblSeverityAnalysis[[#This Row],[ID]], tblSeverityReference[ID], 0)) ), "")</f>
        <v/>
      </c>
      <c r="AE61" s="303">
        <f>IFERROR(IF(INDEX(tblSeverityReference[Epidemic Severity],MATCH(tblSeverityAnalysis[[#This Row],[ID]], tblSeverityReference[ID], 0))= "", "",INDEX(tblSeverityReference[Epidemic Severity],MATCH(tblSeverityAnalysis[[#This Row],[ID]], tblSeverityReference[ID], 0)) ), "")</f>
        <v>2.2352941176470589</v>
      </c>
      <c r="AF61" s="303" t="str">
        <f>IFERROR(IF(INDEX(tblSeverityReference[Coping Strategy Severity],MATCH(tblSeverityAnalysis[[#This Row],[ID]], tblSeverityReference[ID], 0))= "", "",INDEX(tblSeverityReference[Coping Strategy Severity],MATCH(tblSeverityAnalysis[[#This Row],[ID]], tblSeverityReference[ID], 0)) ), "")</f>
        <v/>
      </c>
      <c r="AG61" s="108" t="str">
        <f>IFERROR(IF(INDEX(tblSeverityReference[HR/IHL Violation],MATCH(tblSeverityAnalysis[[#This Row],[ID]], tblSeverityReference[ID], 0))= "", "",INDEX(tblSeverityReference[HR/IHL Violation],MATCH(tblSeverityAnalysis[[#This Row],[ID]], tblSeverityReference[ID], 0)) ), "")</f>
        <v/>
      </c>
      <c r="AH61" s="81">
        <f>IFERROR(AVERAGE(tblSeverityAnalysis[[#This Row],[CCCM]:[WASH]]), "")</f>
        <v>0.5</v>
      </c>
      <c r="AI61" s="27">
        <f>IF(SUM(tblSeverityAnalysis[[#This Row],[CCCM]:[WASH]])=0, "", MAX(tblSeverityAnalysis[[#This Row],[CCCM]:[WASH]]))</f>
        <v>1</v>
      </c>
      <c r="AJ61" s="333" t="str" cm="1">
        <f t="array" ref="AJ61">IFERROR(IF(tblSeverityAnalysis[[#This Row],[Highest Severity]]="", "", _xlfn.TEXTJOIN(CHAR(10), TRUE, IF(tblSeverityAnalysis[[#This Row],[CCCM]:[WASH]]=tblSeverityAnalysis[[#This Row],[Highest Severity]], tblSeverityAnalysis[[#Headers],[CCCM]:[WASH]], ""), "")), "")</f>
        <v>WASH</v>
      </c>
      <c r="AK61" s="27" cm="1">
        <f t="array" ref="AK61">IFERROR(MAX(_xlfn._xlws.FILTER(tblSeverityAnalysis[[#This Row],[CCCM]:[WASH]], tblSeverityAnalysis[[#This Row],[CCCM]:[WASH]]&lt;tblSeverityAnalysis[[#This Row],[Highest Severity]])), "")</f>
        <v>0</v>
      </c>
      <c r="AL61" s="313" t="str" cm="1">
        <f t="array" ref="AL6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61" s="132" t="str">
        <f>IFERROR(IF(AND(tblSeverityAnalysis[[#This Row],[5]] &lt;&gt; "", tblSeverityAnalysis[[#This Row],[5]]&gt;=sectors_sev_5), "Flagged", ""), "")</f>
        <v/>
      </c>
      <c r="AN61" s="133" t="str">
        <f>IFERROR(IF(AND(tblSeverityAnalysis[[#This Row],[Preliminary Intersectoral Severity based on overlap of sectoral deprivations]]=4, SUM(tblSeverityAnalysis[[#This Row],[ 4 ]:[5]])&gt;=sectors_sev_4), "Flagged", ""), "")</f>
        <v/>
      </c>
      <c r="AO61" s="133" t="str" cm="1">
        <f t="array" ref="AO6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1" s="335"/>
      <c r="AR61" s="336"/>
      <c r="AS61" s="335"/>
      <c r="AT61" s="337">
        <f>COUNTIF(tblSeverityAnalysis[[#This Row],[1 sector in severity phase 5 '[modify the threshold']]:[Manual Flag]], "Flagged")</f>
        <v>0</v>
      </c>
      <c r="AU61" s="338">
        <f>tblSeverityAnalysis[[#This Row],[Preliminary Intersectoral Severity based on overlap of sectoral deprivations]]</f>
        <v>1</v>
      </c>
      <c r="AV61" s="339"/>
    </row>
    <row r="62" spans="1:48" ht="15" hidden="1" customHeight="1">
      <c r="A6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MZ0502</v>
      </c>
      <c r="B62" s="39" t="s">
        <v>346</v>
      </c>
      <c r="C62" s="340" t="s">
        <v>347</v>
      </c>
      <c r="D62" s="340" t="s">
        <v>350</v>
      </c>
      <c r="E62" s="33" t="s">
        <v>351</v>
      </c>
      <c r="F62" s="33"/>
      <c r="G62" s="33"/>
      <c r="H62" s="20"/>
      <c r="I62" s="95">
        <v>1384147</v>
      </c>
      <c r="J62" s="95"/>
      <c r="K62" s="321"/>
      <c r="L62" s="303"/>
      <c r="M62" s="303" t="s">
        <v>264</v>
      </c>
      <c r="N62" s="303"/>
      <c r="O62" s="372"/>
      <c r="P62" s="303">
        <v>0</v>
      </c>
      <c r="Q62" s="304"/>
      <c r="R62" s="303">
        <v>1</v>
      </c>
      <c r="S62" s="303"/>
      <c r="T62" s="303"/>
      <c r="U62" s="303"/>
      <c r="V62" s="303"/>
      <c r="W62" s="330">
        <f>IF(COUNTIF(tblSeverityAnalysis[[#This Row],[CCCM]:[WASH]], 1)=0, "", COUNTIF(tblSeverityAnalysis[[#This Row],[CCCM]:[WASH]], 1))</f>
        <v>1</v>
      </c>
      <c r="X62" s="331" t="str">
        <f>IF(COUNTIF(tblSeverityAnalysis[[#This Row],[CCCM]:[WASH]], 2)=0, "", COUNTIF(tblSeverityAnalysis[[#This Row],[CCCM]:[WASH]], 2))</f>
        <v/>
      </c>
      <c r="Y62" s="331" t="str">
        <f>IF(COUNTIF(tblSeverityAnalysis[[#This Row],[CCCM]:[WASH]], 3)=0, "", COUNTIF(tblSeverityAnalysis[[#This Row],[CCCM]:[WASH]], 3))</f>
        <v/>
      </c>
      <c r="Z62" s="331" t="str">
        <f>IF(COUNTIF(tblSeverityAnalysis[[#This Row],[CCCM]:[WASH]], 4)=0, "", COUNTIF(tblSeverityAnalysis[[#This Row],[CCCM]:[WASH]], 4))</f>
        <v/>
      </c>
      <c r="AA62" s="332" t="str">
        <f>IF(COUNTIF(tblSeverityAnalysis[[#This Row],[CCCM]:[WASH]], 5)=0, "", COUNTIF(tblSeverityAnalysis[[#This Row],[CCCM]:[WASH]], 5))</f>
        <v/>
      </c>
      <c r="AB62" s="59" cm="1">
        <f t="array" ref="AB6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2" s="41" t="str">
        <f>IFERROR(IF(INDEX(tblSeverityReference[Malnutrition Severity],MATCH(tblSeverityAnalysis[[#This Row],[ID]], tblSeverityReference[ID], 0))= "", "",INDEX(tblSeverityReference[Malnutrition Severity],MATCH(tblSeverityAnalysis[[#This Row],[ID]], tblSeverityReference[ID], 0)) ), "")</f>
        <v/>
      </c>
      <c r="AE62" s="303">
        <f>IFERROR(IF(INDEX(tblSeverityReference[Epidemic Severity],MATCH(tblSeverityAnalysis[[#This Row],[ID]], tblSeverityReference[ID], 0))= "", "",INDEX(tblSeverityReference[Epidemic Severity],MATCH(tblSeverityAnalysis[[#This Row],[ID]], tblSeverityReference[ID], 0)) ), "")</f>
        <v>2.6470588235294117</v>
      </c>
      <c r="AF62" s="303" t="str">
        <f>IFERROR(IF(INDEX(tblSeverityReference[Coping Strategy Severity],MATCH(tblSeverityAnalysis[[#This Row],[ID]], tblSeverityReference[ID], 0))= "", "",INDEX(tblSeverityReference[Coping Strategy Severity],MATCH(tblSeverityAnalysis[[#This Row],[ID]], tblSeverityReference[ID], 0)) ), "")</f>
        <v/>
      </c>
      <c r="AG62" s="108" t="str">
        <f>IFERROR(IF(INDEX(tblSeverityReference[HR/IHL Violation],MATCH(tblSeverityAnalysis[[#This Row],[ID]], tblSeverityReference[ID], 0))= "", "",INDEX(tblSeverityReference[HR/IHL Violation],MATCH(tblSeverityAnalysis[[#This Row],[ID]], tblSeverityReference[ID], 0)) ), "")</f>
        <v/>
      </c>
      <c r="AH62" s="81">
        <f>IFERROR(AVERAGE(tblSeverityAnalysis[[#This Row],[CCCM]:[WASH]]), "")</f>
        <v>0.5</v>
      </c>
      <c r="AI62" s="27">
        <f>IF(SUM(tblSeverityAnalysis[[#This Row],[CCCM]:[WASH]])=0, "", MAX(tblSeverityAnalysis[[#This Row],[CCCM]:[WASH]]))</f>
        <v>1</v>
      </c>
      <c r="AJ62" s="333" t="str" cm="1">
        <f t="array" ref="AJ62">IFERROR(IF(tblSeverityAnalysis[[#This Row],[Highest Severity]]="", "", _xlfn.TEXTJOIN(CHAR(10), TRUE, IF(tblSeverityAnalysis[[#This Row],[CCCM]:[WASH]]=tblSeverityAnalysis[[#This Row],[Highest Severity]], tblSeverityAnalysis[[#Headers],[CCCM]:[WASH]], ""), "")), "")</f>
        <v>WASH</v>
      </c>
      <c r="AK62" s="27" cm="1">
        <f t="array" ref="AK62">IFERROR(MAX(_xlfn._xlws.FILTER(tblSeverityAnalysis[[#This Row],[CCCM]:[WASH]], tblSeverityAnalysis[[#This Row],[CCCM]:[WASH]]&lt;tblSeverityAnalysis[[#This Row],[Highest Severity]])), "")</f>
        <v>0</v>
      </c>
      <c r="AL62" s="313" t="str" cm="1">
        <f t="array" ref="AL6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62" s="132" t="str">
        <f>IFERROR(IF(AND(tblSeverityAnalysis[[#This Row],[5]] &lt;&gt; "", tblSeverityAnalysis[[#This Row],[5]]&gt;=sectors_sev_5), "Flagged", ""), "")</f>
        <v/>
      </c>
      <c r="AN62" s="133" t="str">
        <f>IFERROR(IF(AND(tblSeverityAnalysis[[#This Row],[Preliminary Intersectoral Severity based on overlap of sectoral deprivations]]=4, SUM(tblSeverityAnalysis[[#This Row],[ 4 ]:[5]])&gt;=sectors_sev_4), "Flagged", ""), "")</f>
        <v/>
      </c>
      <c r="AO62" s="133" t="str" cm="1">
        <f t="array" ref="AO6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2" s="335"/>
      <c r="AR62" s="336"/>
      <c r="AS62" s="335"/>
      <c r="AT62" s="337">
        <f>COUNTIF(tblSeverityAnalysis[[#This Row],[1 sector in severity phase 5 '[modify the threshold']]:[Manual Flag]], "Flagged")</f>
        <v>0</v>
      </c>
      <c r="AU62" s="338">
        <f>tblSeverityAnalysis[[#This Row],[Preliminary Intersectoral Severity based on overlap of sectoral deprivations]]</f>
        <v>1</v>
      </c>
      <c r="AV62" s="339"/>
    </row>
    <row r="63" spans="1:48" ht="15" hidden="1" customHeight="1">
      <c r="A6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MZ0503</v>
      </c>
      <c r="B63" s="39" t="s">
        <v>346</v>
      </c>
      <c r="C63" s="340" t="s">
        <v>347</v>
      </c>
      <c r="D63" s="340" t="s">
        <v>352</v>
      </c>
      <c r="E63" s="33" t="s">
        <v>353</v>
      </c>
      <c r="F63" s="33"/>
      <c r="G63" s="33"/>
      <c r="H63" s="20"/>
      <c r="I63" s="95">
        <v>73471</v>
      </c>
      <c r="J63" s="95"/>
      <c r="K63" s="321"/>
      <c r="L63" s="303"/>
      <c r="M63" s="303">
        <v>2</v>
      </c>
      <c r="N63" s="303">
        <v>3</v>
      </c>
      <c r="O63" s="372"/>
      <c r="P63" s="303">
        <v>0</v>
      </c>
      <c r="Q63" s="304"/>
      <c r="R63" s="303">
        <v>1</v>
      </c>
      <c r="S63" s="303"/>
      <c r="T63" s="303"/>
      <c r="U63" s="303"/>
      <c r="V63" s="303"/>
      <c r="W63" s="330">
        <f>IF(COUNTIF(tblSeverityAnalysis[[#This Row],[CCCM]:[WASH]], 1)=0, "", COUNTIF(tblSeverityAnalysis[[#This Row],[CCCM]:[WASH]], 1))</f>
        <v>1</v>
      </c>
      <c r="X63" s="331">
        <f>IF(COUNTIF(tblSeverityAnalysis[[#This Row],[CCCM]:[WASH]], 2)=0, "", COUNTIF(tblSeverityAnalysis[[#This Row],[CCCM]:[WASH]], 2))</f>
        <v>1</v>
      </c>
      <c r="Y63" s="331">
        <f>IF(COUNTIF(tblSeverityAnalysis[[#This Row],[CCCM]:[WASH]], 3)=0, "", COUNTIF(tblSeverityAnalysis[[#This Row],[CCCM]:[WASH]], 3))</f>
        <v>1</v>
      </c>
      <c r="Z63" s="331" t="str">
        <f>IF(COUNTIF(tblSeverityAnalysis[[#This Row],[CCCM]:[WASH]], 4)=0, "", COUNTIF(tblSeverityAnalysis[[#This Row],[CCCM]:[WASH]], 4))</f>
        <v/>
      </c>
      <c r="AA63" s="332" t="str">
        <f>IF(COUNTIF(tblSeverityAnalysis[[#This Row],[CCCM]:[WASH]], 5)=0, "", COUNTIF(tblSeverityAnalysis[[#This Row],[CCCM]:[WASH]], 5))</f>
        <v/>
      </c>
      <c r="AB63" s="59" cm="1">
        <f t="array" ref="AB6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3" s="41" t="str">
        <f>IFERROR(IF(INDEX(tblSeverityReference[Malnutrition Severity],MATCH(tblSeverityAnalysis[[#This Row],[ID]], tblSeverityReference[ID], 0))= "", "",INDEX(tblSeverityReference[Malnutrition Severity],MATCH(tblSeverityAnalysis[[#This Row],[ID]], tblSeverityReference[ID], 0)) ), "")</f>
        <v/>
      </c>
      <c r="AE63" s="303">
        <f>IFERROR(IF(INDEX(tblSeverityReference[Epidemic Severity],MATCH(tblSeverityAnalysis[[#This Row],[ID]], tblSeverityReference[ID], 0))= "", "",INDEX(tblSeverityReference[Epidemic Severity],MATCH(tblSeverityAnalysis[[#This Row],[ID]], tblSeverityReference[ID], 0)) ), "")</f>
        <v>1.5882352941176472</v>
      </c>
      <c r="AF63" s="303">
        <f>IFERROR(IF(INDEX(tblSeverityReference[Coping Strategy Severity],MATCH(tblSeverityAnalysis[[#This Row],[ID]], tblSeverityReference[ID], 0))= "", "",INDEX(tblSeverityReference[Coping Strategy Severity],MATCH(tblSeverityAnalysis[[#This Row],[ID]], tblSeverityReference[ID], 0)) ), "")</f>
        <v>2</v>
      </c>
      <c r="AG63" s="108" t="str">
        <f>IFERROR(IF(INDEX(tblSeverityReference[HR/IHL Violation],MATCH(tblSeverityAnalysis[[#This Row],[ID]], tblSeverityReference[ID], 0))= "", "",INDEX(tblSeverityReference[HR/IHL Violation],MATCH(tblSeverityAnalysis[[#This Row],[ID]], tblSeverityReference[ID], 0)) ), "")</f>
        <v/>
      </c>
      <c r="AH63" s="81">
        <f>IFERROR(AVERAGE(tblSeverityAnalysis[[#This Row],[CCCM]:[WASH]]), "")</f>
        <v>1.5</v>
      </c>
      <c r="AI63" s="27">
        <f>IF(SUM(tblSeverityAnalysis[[#This Row],[CCCM]:[WASH]])=0, "", MAX(tblSeverityAnalysis[[#This Row],[CCCM]:[WASH]]))</f>
        <v>3</v>
      </c>
      <c r="AJ63" s="333" t="str" cm="1">
        <f t="array" ref="AJ63">IFERROR(IF(tblSeverityAnalysis[[#This Row],[Highest Severity]]="", "", _xlfn.TEXTJOIN(CHAR(10), TRUE, IF(tblSeverityAnalysis[[#This Row],[CCCM]:[WASH]]=tblSeverityAnalysis[[#This Row],[Highest Severity]], tblSeverityAnalysis[[#Headers],[CCCM]:[WASH]], ""), "")), "")</f>
        <v>Food Security</v>
      </c>
      <c r="AK63" s="27" cm="1">
        <f t="array" ref="AK63">IFERROR(MAX(_xlfn._xlws.FILTER(tblSeverityAnalysis[[#This Row],[CCCM]:[WASH]], tblSeverityAnalysis[[#This Row],[CCCM]:[WASH]]&lt;tblSeverityAnalysis[[#This Row],[Highest Severity]])), "")</f>
        <v>2</v>
      </c>
      <c r="AL63" s="313" t="str" cm="1">
        <f t="array" ref="AL63">IFERROR(IF(tblSeverityAnalysis[[#This Row],[2nd Highest Severity]]="", "", _xlfn.TEXTJOIN(CHAR(10), TRUE, IF(tblSeverityAnalysis[[#This Row],[CCCM]:[WASH]]=tblSeverityAnalysis[[#This Row],[2nd Highest Severity]], tblSeverityAnalysis[[#Headers],[CCCM]:[WASH]], ""), "")), "")</f>
        <v>Nutrition</v>
      </c>
      <c r="AM63" s="132" t="str">
        <f>IFERROR(IF(AND(tblSeverityAnalysis[[#This Row],[5]] &lt;&gt; "", tblSeverityAnalysis[[#This Row],[5]]&gt;=sectors_sev_5), "Flagged", ""), "")</f>
        <v/>
      </c>
      <c r="AN63" s="133" t="str">
        <f>IFERROR(IF(AND(tblSeverityAnalysis[[#This Row],[Preliminary Intersectoral Severity based on overlap of sectoral deprivations]]=4, SUM(tblSeverityAnalysis[[#This Row],[ 4 ]:[5]])&gt;=sectors_sev_4), "Flagged", ""), "")</f>
        <v/>
      </c>
      <c r="AO63" s="133" t="str" cm="1">
        <f t="array" ref="AO6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3" s="335"/>
      <c r="AR63" s="336"/>
      <c r="AS63" s="335"/>
      <c r="AT63" s="337">
        <f>COUNTIF(tblSeverityAnalysis[[#This Row],[1 sector in severity phase 5 '[modify the threshold']]:[Manual Flag]], "Flagged")</f>
        <v>0</v>
      </c>
      <c r="AU63" s="338">
        <f>tblSeverityAnalysis[[#This Row],[Preliminary Intersectoral Severity based on overlap of sectoral deprivations]]</f>
        <v>1</v>
      </c>
      <c r="AV63" s="339"/>
    </row>
    <row r="64" spans="1:48" ht="15" hidden="1" customHeight="1">
      <c r="A6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MZ0504</v>
      </c>
      <c r="B64" s="39" t="s">
        <v>346</v>
      </c>
      <c r="C64" s="340" t="s">
        <v>347</v>
      </c>
      <c r="D64" s="340" t="s">
        <v>354</v>
      </c>
      <c r="E64" s="33" t="s">
        <v>355</v>
      </c>
      <c r="F64" s="33"/>
      <c r="G64" s="33"/>
      <c r="H64" s="20"/>
      <c r="I64" s="95">
        <v>248437</v>
      </c>
      <c r="J64" s="95"/>
      <c r="K64" s="321"/>
      <c r="L64" s="303"/>
      <c r="M64" s="303" t="s">
        <v>264</v>
      </c>
      <c r="N64" s="303">
        <v>2</v>
      </c>
      <c r="O64" s="372"/>
      <c r="P64" s="303">
        <v>0</v>
      </c>
      <c r="Q64" s="304"/>
      <c r="R64" s="303">
        <v>2</v>
      </c>
      <c r="S64" s="303"/>
      <c r="T64" s="303"/>
      <c r="U64" s="303"/>
      <c r="V64" s="303"/>
      <c r="W64" s="330" t="str">
        <f>IF(COUNTIF(tblSeverityAnalysis[[#This Row],[CCCM]:[WASH]], 1)=0, "", COUNTIF(tblSeverityAnalysis[[#This Row],[CCCM]:[WASH]], 1))</f>
        <v/>
      </c>
      <c r="X64" s="331">
        <f>IF(COUNTIF(tblSeverityAnalysis[[#This Row],[CCCM]:[WASH]], 2)=0, "", COUNTIF(tblSeverityAnalysis[[#This Row],[CCCM]:[WASH]], 2))</f>
        <v>2</v>
      </c>
      <c r="Y64" s="331" t="str">
        <f>IF(COUNTIF(tblSeverityAnalysis[[#This Row],[CCCM]:[WASH]], 3)=0, "", COUNTIF(tblSeverityAnalysis[[#This Row],[CCCM]:[WASH]], 3))</f>
        <v/>
      </c>
      <c r="Z64" s="331" t="str">
        <f>IF(COUNTIF(tblSeverityAnalysis[[#This Row],[CCCM]:[WASH]], 4)=0, "", COUNTIF(tblSeverityAnalysis[[#This Row],[CCCM]:[WASH]], 4))</f>
        <v/>
      </c>
      <c r="AA64" s="332" t="str">
        <f>IF(COUNTIF(tblSeverityAnalysis[[#This Row],[CCCM]:[WASH]], 5)=0, "", COUNTIF(tblSeverityAnalysis[[#This Row],[CCCM]:[WASH]], 5))</f>
        <v/>
      </c>
      <c r="AB64" s="59" cm="1">
        <f t="array" ref="AB6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4" s="41" t="str">
        <f>IFERROR(IF(INDEX(tblSeverityReference[Malnutrition Severity],MATCH(tblSeverityAnalysis[[#This Row],[ID]], tblSeverityReference[ID], 0))= "", "",INDEX(tblSeverityReference[Malnutrition Severity],MATCH(tblSeverityAnalysis[[#This Row],[ID]], tblSeverityReference[ID], 0)) ), "")</f>
        <v/>
      </c>
      <c r="AE64" s="303">
        <f>IFERROR(IF(INDEX(tblSeverityReference[Epidemic Severity],MATCH(tblSeverityAnalysis[[#This Row],[ID]], tblSeverityReference[ID], 0))= "", "",INDEX(tblSeverityReference[Epidemic Severity],MATCH(tblSeverityAnalysis[[#This Row],[ID]], tblSeverityReference[ID], 0)) ), "")</f>
        <v>2.2352941176470589</v>
      </c>
      <c r="AF64" s="303">
        <f>IFERROR(IF(INDEX(tblSeverityReference[Coping Strategy Severity],MATCH(tblSeverityAnalysis[[#This Row],[ID]], tblSeverityReference[ID], 0))= "", "",INDEX(tblSeverityReference[Coping Strategy Severity],MATCH(tblSeverityAnalysis[[#This Row],[ID]], tblSeverityReference[ID], 0)) ), "")</f>
        <v>2</v>
      </c>
      <c r="AG64" s="108" t="str">
        <f>IFERROR(IF(INDEX(tblSeverityReference[HR/IHL Violation],MATCH(tblSeverityAnalysis[[#This Row],[ID]], tblSeverityReference[ID], 0))= "", "",INDEX(tblSeverityReference[HR/IHL Violation],MATCH(tblSeverityAnalysis[[#This Row],[ID]], tblSeverityReference[ID], 0)) ), "")</f>
        <v/>
      </c>
      <c r="AH64" s="81">
        <f>IFERROR(AVERAGE(tblSeverityAnalysis[[#This Row],[CCCM]:[WASH]]), "")</f>
        <v>1.3333333333333333</v>
      </c>
      <c r="AI64" s="27">
        <f>IF(SUM(tblSeverityAnalysis[[#This Row],[CCCM]:[WASH]])=0, "", MAX(tblSeverityAnalysis[[#This Row],[CCCM]:[WASH]]))</f>
        <v>2</v>
      </c>
      <c r="AJ64" s="333" t="str" cm="1">
        <f t="array" ref="AJ64">IFERROR(IF(tblSeverityAnalysis[[#This Row],[Highest Severity]]="", "", _xlfn.TEXTJOIN(CHAR(10), TRUE, IF(tblSeverityAnalysis[[#This Row],[CCCM]:[WASH]]=tblSeverityAnalysis[[#This Row],[Highest Severity]], tblSeverityAnalysis[[#Headers],[CCCM]:[WASH]], ""), "")), "")</f>
        <v>Food Security
WASH</v>
      </c>
      <c r="AK64" s="27" cm="1">
        <f t="array" ref="AK64">IFERROR(MAX(_xlfn._xlws.FILTER(tblSeverityAnalysis[[#This Row],[CCCM]:[WASH]], tblSeverityAnalysis[[#This Row],[CCCM]:[WASH]]&lt;tblSeverityAnalysis[[#This Row],[Highest Severity]])), "")</f>
        <v>0</v>
      </c>
      <c r="AL64" s="313" t="str" cm="1">
        <f t="array" ref="AL64">IFERROR(IF(tblSeverityAnalysis[[#This Row],[2nd Highest Severity]]="", "", _xlfn.TEXTJOIN(CHAR(10), TRUE, IF(tblSeverityAnalysis[[#This Row],[CCCM]:[WASH]]=tblSeverityAnalysis[[#This Row],[2nd Highest Severity]], tblSeverityAnalysis[[#Headers],[CCCM]:[WASH]], ""), "")), "")</f>
        <v>CCCM
Education
Health
Overarching Protection
Shelter</v>
      </c>
      <c r="AM64" s="132" t="str">
        <f>IFERROR(IF(AND(tblSeverityAnalysis[[#This Row],[5]] &lt;&gt; "", tblSeverityAnalysis[[#This Row],[5]]&gt;=sectors_sev_5), "Flagged", ""), "")</f>
        <v/>
      </c>
      <c r="AN64" s="133" t="str">
        <f>IFERROR(IF(AND(tblSeverityAnalysis[[#This Row],[Preliminary Intersectoral Severity based on overlap of sectoral deprivations]]=4, SUM(tblSeverityAnalysis[[#This Row],[ 4 ]:[5]])&gt;=sectors_sev_4), "Flagged", ""), "")</f>
        <v/>
      </c>
      <c r="AO64" s="133" t="str" cm="1">
        <f t="array" ref="AO6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4" s="335"/>
      <c r="AR64" s="336"/>
      <c r="AS64" s="335"/>
      <c r="AT64" s="337">
        <f>COUNTIF(tblSeverityAnalysis[[#This Row],[1 sector in severity phase 5 '[modify the threshold']]:[Manual Flag]], "Flagged")</f>
        <v>1</v>
      </c>
      <c r="AU64" s="338">
        <f>tblSeverityAnalysis[[#This Row],[Preliminary Intersectoral Severity based on overlap of sectoral deprivations]]</f>
        <v>1</v>
      </c>
      <c r="AV64" s="339"/>
    </row>
    <row r="65" spans="1:48" ht="15" hidden="1" customHeight="1">
      <c r="A6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MZ0505</v>
      </c>
      <c r="B65" s="39" t="s">
        <v>346</v>
      </c>
      <c r="C65" s="340" t="s">
        <v>347</v>
      </c>
      <c r="D65" s="340" t="s">
        <v>356</v>
      </c>
      <c r="E65" s="33" t="s">
        <v>357</v>
      </c>
      <c r="F65" s="33"/>
      <c r="G65" s="33"/>
      <c r="H65" s="20"/>
      <c r="I65" s="95">
        <v>284675</v>
      </c>
      <c r="J65" s="95"/>
      <c r="K65" s="321"/>
      <c r="L65" s="303"/>
      <c r="M65" s="303" t="s">
        <v>264</v>
      </c>
      <c r="N65" s="303"/>
      <c r="O65" s="372"/>
      <c r="P65" s="303">
        <v>0</v>
      </c>
      <c r="Q65" s="304"/>
      <c r="R65" s="303">
        <v>2</v>
      </c>
      <c r="S65" s="303"/>
      <c r="T65" s="303"/>
      <c r="U65" s="303"/>
      <c r="V65" s="303"/>
      <c r="W65" s="330" t="str">
        <f>IF(COUNTIF(tblSeverityAnalysis[[#This Row],[CCCM]:[WASH]], 1)=0, "", COUNTIF(tblSeverityAnalysis[[#This Row],[CCCM]:[WASH]], 1))</f>
        <v/>
      </c>
      <c r="X65" s="331">
        <f>IF(COUNTIF(tblSeverityAnalysis[[#This Row],[CCCM]:[WASH]], 2)=0, "", COUNTIF(tblSeverityAnalysis[[#This Row],[CCCM]:[WASH]], 2))</f>
        <v>1</v>
      </c>
      <c r="Y65" s="331" t="str">
        <f>IF(COUNTIF(tblSeverityAnalysis[[#This Row],[CCCM]:[WASH]], 3)=0, "", COUNTIF(tblSeverityAnalysis[[#This Row],[CCCM]:[WASH]], 3))</f>
        <v/>
      </c>
      <c r="Z65" s="331" t="str">
        <f>IF(COUNTIF(tblSeverityAnalysis[[#This Row],[CCCM]:[WASH]], 4)=0, "", COUNTIF(tblSeverityAnalysis[[#This Row],[CCCM]:[WASH]], 4))</f>
        <v/>
      </c>
      <c r="AA65" s="332" t="str">
        <f>IF(COUNTIF(tblSeverityAnalysis[[#This Row],[CCCM]:[WASH]], 5)=0, "", COUNTIF(tblSeverityAnalysis[[#This Row],[CCCM]:[WASH]], 5))</f>
        <v/>
      </c>
      <c r="AB65" s="59" cm="1">
        <f t="array" ref="AB6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5" s="41" t="str">
        <f>IFERROR(IF(INDEX(tblSeverityReference[Malnutrition Severity],MATCH(tblSeverityAnalysis[[#This Row],[ID]], tblSeverityReference[ID], 0))= "", "",INDEX(tblSeverityReference[Malnutrition Severity],MATCH(tblSeverityAnalysis[[#This Row],[ID]], tblSeverityReference[ID], 0)) ), "")</f>
        <v/>
      </c>
      <c r="AE65" s="303">
        <f>IFERROR(IF(INDEX(tblSeverityReference[Epidemic Severity],MATCH(tblSeverityAnalysis[[#This Row],[ID]], tblSeverityReference[ID], 0))= "", "",INDEX(tblSeverityReference[Epidemic Severity],MATCH(tblSeverityAnalysis[[#This Row],[ID]], tblSeverityReference[ID], 0)) ), "")</f>
        <v>1.5882352941176472</v>
      </c>
      <c r="AF65" s="303" t="str">
        <f>IFERROR(IF(INDEX(tblSeverityReference[Coping Strategy Severity],MATCH(tblSeverityAnalysis[[#This Row],[ID]], tblSeverityReference[ID], 0))= "", "",INDEX(tblSeverityReference[Coping Strategy Severity],MATCH(tblSeverityAnalysis[[#This Row],[ID]], tblSeverityReference[ID], 0)) ), "")</f>
        <v/>
      </c>
      <c r="AG65" s="108" t="str">
        <f>IFERROR(IF(INDEX(tblSeverityReference[HR/IHL Violation],MATCH(tblSeverityAnalysis[[#This Row],[ID]], tblSeverityReference[ID], 0))= "", "",INDEX(tblSeverityReference[HR/IHL Violation],MATCH(tblSeverityAnalysis[[#This Row],[ID]], tblSeverityReference[ID], 0)) ), "")</f>
        <v/>
      </c>
      <c r="AH65" s="81">
        <f>IFERROR(AVERAGE(tblSeverityAnalysis[[#This Row],[CCCM]:[WASH]]), "")</f>
        <v>1</v>
      </c>
      <c r="AI65" s="27">
        <f>IF(SUM(tblSeverityAnalysis[[#This Row],[CCCM]:[WASH]])=0, "", MAX(tblSeverityAnalysis[[#This Row],[CCCM]:[WASH]]))</f>
        <v>2</v>
      </c>
      <c r="AJ65" s="333" t="str" cm="1">
        <f t="array" ref="AJ65">IFERROR(IF(tblSeverityAnalysis[[#This Row],[Highest Severity]]="", "", _xlfn.TEXTJOIN(CHAR(10), TRUE, IF(tblSeverityAnalysis[[#This Row],[CCCM]:[WASH]]=tblSeverityAnalysis[[#This Row],[Highest Severity]], tblSeverityAnalysis[[#Headers],[CCCM]:[WASH]], ""), "")), "")</f>
        <v>WASH</v>
      </c>
      <c r="AK65" s="27" cm="1">
        <f t="array" ref="AK65">IFERROR(MAX(_xlfn._xlws.FILTER(tblSeverityAnalysis[[#This Row],[CCCM]:[WASH]], tblSeverityAnalysis[[#This Row],[CCCM]:[WASH]]&lt;tblSeverityAnalysis[[#This Row],[Highest Severity]])), "")</f>
        <v>0</v>
      </c>
      <c r="AL65" s="313" t="str" cm="1">
        <f t="array" ref="AL6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65" s="132" t="str">
        <f>IFERROR(IF(AND(tblSeverityAnalysis[[#This Row],[5]] &lt;&gt; "", tblSeverityAnalysis[[#This Row],[5]]&gt;=sectors_sev_5), "Flagged", ""), "")</f>
        <v/>
      </c>
      <c r="AN65" s="133" t="str">
        <f>IFERROR(IF(AND(tblSeverityAnalysis[[#This Row],[Preliminary Intersectoral Severity based on overlap of sectoral deprivations]]=4, SUM(tblSeverityAnalysis[[#This Row],[ 4 ]:[5]])&gt;=sectors_sev_4), "Flagged", ""), "")</f>
        <v/>
      </c>
      <c r="AO65" s="133" t="str" cm="1">
        <f t="array" ref="AO6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5" s="335"/>
      <c r="AR65" s="336"/>
      <c r="AS65" s="335"/>
      <c r="AT65" s="337">
        <f>COUNTIF(tblSeverityAnalysis[[#This Row],[1 sector in severity phase 5 '[modify the threshold']]:[Manual Flag]], "Flagged")</f>
        <v>0</v>
      </c>
      <c r="AU65" s="338">
        <f>tblSeverityAnalysis[[#This Row],[Preliminary Intersectoral Severity based on overlap of sectoral deprivations]]</f>
        <v>1</v>
      </c>
      <c r="AV65" s="339"/>
    </row>
    <row r="66" spans="1:48" ht="15" hidden="1" customHeight="1">
      <c r="A6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MZ0506</v>
      </c>
      <c r="B66" s="39" t="s">
        <v>346</v>
      </c>
      <c r="C66" s="340" t="s">
        <v>347</v>
      </c>
      <c r="D66" s="340" t="s">
        <v>358</v>
      </c>
      <c r="E66" s="33" t="s">
        <v>359</v>
      </c>
      <c r="F66" s="33"/>
      <c r="G66" s="33"/>
      <c r="H66" s="20"/>
      <c r="I66" s="95">
        <v>53924</v>
      </c>
      <c r="J66" s="95"/>
      <c r="K66" s="321"/>
      <c r="L66" s="303"/>
      <c r="M66" s="303">
        <v>2</v>
      </c>
      <c r="N66" s="303">
        <v>2</v>
      </c>
      <c r="O66" s="372"/>
      <c r="P66" s="303">
        <v>0</v>
      </c>
      <c r="Q66" s="304"/>
      <c r="R66" s="303">
        <v>2</v>
      </c>
      <c r="S66" s="303"/>
      <c r="T66" s="303"/>
      <c r="U66" s="303"/>
      <c r="V66" s="303"/>
      <c r="W66" s="330" t="str">
        <f>IF(COUNTIF(tblSeverityAnalysis[[#This Row],[CCCM]:[WASH]], 1)=0, "", COUNTIF(tblSeverityAnalysis[[#This Row],[CCCM]:[WASH]], 1))</f>
        <v/>
      </c>
      <c r="X66" s="331">
        <f>IF(COUNTIF(tblSeverityAnalysis[[#This Row],[CCCM]:[WASH]], 2)=0, "", COUNTIF(tblSeverityAnalysis[[#This Row],[CCCM]:[WASH]], 2))</f>
        <v>3</v>
      </c>
      <c r="Y66" s="331" t="str">
        <f>IF(COUNTIF(tblSeverityAnalysis[[#This Row],[CCCM]:[WASH]], 3)=0, "", COUNTIF(tblSeverityAnalysis[[#This Row],[CCCM]:[WASH]], 3))</f>
        <v/>
      </c>
      <c r="Z66" s="331" t="str">
        <f>IF(COUNTIF(tblSeverityAnalysis[[#This Row],[CCCM]:[WASH]], 4)=0, "", COUNTIF(tblSeverityAnalysis[[#This Row],[CCCM]:[WASH]], 4))</f>
        <v/>
      </c>
      <c r="AA66" s="332" t="str">
        <f>IF(COUNTIF(tblSeverityAnalysis[[#This Row],[CCCM]:[WASH]], 5)=0, "", COUNTIF(tblSeverityAnalysis[[#This Row],[CCCM]:[WASH]], 5))</f>
        <v/>
      </c>
      <c r="AB66" s="59" cm="1">
        <f t="array" ref="AB6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6" s="41" t="str">
        <f>IFERROR(IF(INDEX(tblSeverityReference[Malnutrition Severity],MATCH(tblSeverityAnalysis[[#This Row],[ID]], tblSeverityReference[ID], 0))= "", "",INDEX(tblSeverityReference[Malnutrition Severity],MATCH(tblSeverityAnalysis[[#This Row],[ID]], tblSeverityReference[ID], 0)) ), "")</f>
        <v/>
      </c>
      <c r="AE66" s="303">
        <f>IFERROR(IF(INDEX(tblSeverityReference[Epidemic Severity],MATCH(tblSeverityAnalysis[[#This Row],[ID]], tblSeverityReference[ID], 0))= "", "",INDEX(tblSeverityReference[Epidemic Severity],MATCH(tblSeverityAnalysis[[#This Row],[ID]], tblSeverityReference[ID], 0)) ), "")</f>
        <v>2.8235294117647061</v>
      </c>
      <c r="AF66" s="303">
        <f>IFERROR(IF(INDEX(tblSeverityReference[Coping Strategy Severity],MATCH(tblSeverityAnalysis[[#This Row],[ID]], tblSeverityReference[ID], 0))= "", "",INDEX(tblSeverityReference[Coping Strategy Severity],MATCH(tblSeverityAnalysis[[#This Row],[ID]], tblSeverityReference[ID], 0)) ), "")</f>
        <v>2</v>
      </c>
      <c r="AG66" s="108" t="str">
        <f>IFERROR(IF(INDEX(tblSeverityReference[HR/IHL Violation],MATCH(tblSeverityAnalysis[[#This Row],[ID]], tblSeverityReference[ID], 0))= "", "",INDEX(tblSeverityReference[HR/IHL Violation],MATCH(tblSeverityAnalysis[[#This Row],[ID]], tblSeverityReference[ID], 0)) ), "")</f>
        <v/>
      </c>
      <c r="AH66" s="81">
        <f>IFERROR(AVERAGE(tblSeverityAnalysis[[#This Row],[CCCM]:[WASH]]), "")</f>
        <v>1.5</v>
      </c>
      <c r="AI66" s="27">
        <f>IF(SUM(tblSeverityAnalysis[[#This Row],[CCCM]:[WASH]])=0, "", MAX(tblSeverityAnalysis[[#This Row],[CCCM]:[WASH]]))</f>
        <v>2</v>
      </c>
      <c r="AJ66" s="333" t="str" cm="1">
        <f t="array" ref="AJ66">IFERROR(IF(tblSeverityAnalysis[[#This Row],[Highest Severity]]="", "", _xlfn.TEXTJOIN(CHAR(10), TRUE, IF(tblSeverityAnalysis[[#This Row],[CCCM]:[WASH]]=tblSeverityAnalysis[[#This Row],[Highest Severity]], tblSeverityAnalysis[[#Headers],[CCCM]:[WASH]], ""), "")), "")</f>
        <v>Nutrition
Food Security
WASH</v>
      </c>
      <c r="AK66" s="27" cm="1">
        <f t="array" ref="AK66">IFERROR(MAX(_xlfn._xlws.FILTER(tblSeverityAnalysis[[#This Row],[CCCM]:[WASH]], tblSeverityAnalysis[[#This Row],[CCCM]:[WASH]]&lt;tblSeverityAnalysis[[#This Row],[Highest Severity]])), "")</f>
        <v>0</v>
      </c>
      <c r="AL66" s="313" t="str" cm="1">
        <f t="array" ref="AL66">IFERROR(IF(tblSeverityAnalysis[[#This Row],[2nd Highest Severity]]="", "", _xlfn.TEXTJOIN(CHAR(10), TRUE, IF(tblSeverityAnalysis[[#This Row],[CCCM]:[WASH]]=tblSeverityAnalysis[[#This Row],[2nd Highest Severity]], tblSeverityAnalysis[[#Headers],[CCCM]:[WASH]], ""), "")), "")</f>
        <v>CCCM
Education
Health
Overarching Protection
Shelter</v>
      </c>
      <c r="AM66" s="132" t="str">
        <f>IFERROR(IF(AND(tblSeverityAnalysis[[#This Row],[5]] &lt;&gt; "", tblSeverityAnalysis[[#This Row],[5]]&gt;=sectors_sev_5), "Flagged", ""), "")</f>
        <v/>
      </c>
      <c r="AN66" s="133" t="str">
        <f>IFERROR(IF(AND(tblSeverityAnalysis[[#This Row],[Preliminary Intersectoral Severity based on overlap of sectoral deprivations]]=4, SUM(tblSeverityAnalysis[[#This Row],[ 4 ]:[5]])&gt;=sectors_sev_4), "Flagged", ""), "")</f>
        <v/>
      </c>
      <c r="AO66" s="133" t="str" cm="1">
        <f t="array" ref="AO6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6" s="335"/>
      <c r="AR66" s="336"/>
      <c r="AS66" s="335"/>
      <c r="AT66" s="337">
        <f>COUNTIF(tblSeverityAnalysis[[#This Row],[1 sector in severity phase 5 '[modify the threshold']]:[Manual Flag]], "Flagged")</f>
        <v>1</v>
      </c>
      <c r="AU66" s="338">
        <f>tblSeverityAnalysis[[#This Row],[Preliminary Intersectoral Severity based on overlap of sectoral deprivations]]</f>
        <v>1</v>
      </c>
      <c r="AV66" s="339"/>
    </row>
    <row r="67" spans="1:48" ht="15" hidden="1" customHeight="1">
      <c r="A6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MZ0507</v>
      </c>
      <c r="B67" s="39" t="s">
        <v>346</v>
      </c>
      <c r="C67" s="340" t="s">
        <v>347</v>
      </c>
      <c r="D67" s="340" t="s">
        <v>360</v>
      </c>
      <c r="E67" s="33" t="s">
        <v>361</v>
      </c>
      <c r="F67" s="33"/>
      <c r="G67" s="33"/>
      <c r="H67" s="20"/>
      <c r="I67" s="95">
        <v>109873</v>
      </c>
      <c r="J67" s="95"/>
      <c r="K67" s="321"/>
      <c r="L67" s="303"/>
      <c r="M67" s="303" t="s">
        <v>264</v>
      </c>
      <c r="N67" s="303">
        <v>2</v>
      </c>
      <c r="O67" s="372"/>
      <c r="P67" s="303">
        <v>0</v>
      </c>
      <c r="Q67" s="304"/>
      <c r="R67" s="303">
        <v>1</v>
      </c>
      <c r="S67" s="303"/>
      <c r="T67" s="303"/>
      <c r="U67" s="303"/>
      <c r="V67" s="303"/>
      <c r="W67" s="330">
        <f>IF(COUNTIF(tblSeverityAnalysis[[#This Row],[CCCM]:[WASH]], 1)=0, "", COUNTIF(tblSeverityAnalysis[[#This Row],[CCCM]:[WASH]], 1))</f>
        <v>1</v>
      </c>
      <c r="X67" s="331">
        <f>IF(COUNTIF(tblSeverityAnalysis[[#This Row],[CCCM]:[WASH]], 2)=0, "", COUNTIF(tblSeverityAnalysis[[#This Row],[CCCM]:[WASH]], 2))</f>
        <v>1</v>
      </c>
      <c r="Y67" s="331" t="str">
        <f>IF(COUNTIF(tblSeverityAnalysis[[#This Row],[CCCM]:[WASH]], 3)=0, "", COUNTIF(tblSeverityAnalysis[[#This Row],[CCCM]:[WASH]], 3))</f>
        <v/>
      </c>
      <c r="Z67" s="331" t="str">
        <f>IF(COUNTIF(tblSeverityAnalysis[[#This Row],[CCCM]:[WASH]], 4)=0, "", COUNTIF(tblSeverityAnalysis[[#This Row],[CCCM]:[WASH]], 4))</f>
        <v/>
      </c>
      <c r="AA67" s="332" t="str">
        <f>IF(COUNTIF(tblSeverityAnalysis[[#This Row],[CCCM]:[WASH]], 5)=0, "", COUNTIF(tblSeverityAnalysis[[#This Row],[CCCM]:[WASH]], 5))</f>
        <v/>
      </c>
      <c r="AB67" s="59" cm="1">
        <f t="array" ref="AB6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7" s="41" t="str">
        <f>IFERROR(IF(INDEX(tblSeverityReference[Malnutrition Severity],MATCH(tblSeverityAnalysis[[#This Row],[ID]], tblSeverityReference[ID], 0))= "", "",INDEX(tblSeverityReference[Malnutrition Severity],MATCH(tblSeverityAnalysis[[#This Row],[ID]], tblSeverityReference[ID], 0)) ), "")</f>
        <v/>
      </c>
      <c r="AE67" s="303">
        <f>IFERROR(IF(INDEX(tblSeverityReference[Epidemic Severity],MATCH(tblSeverityAnalysis[[#This Row],[ID]], tblSeverityReference[ID], 0))= "", "",INDEX(tblSeverityReference[Epidemic Severity],MATCH(tblSeverityAnalysis[[#This Row],[ID]], tblSeverityReference[ID], 0)) ), "")</f>
        <v>2.8235294117647061</v>
      </c>
      <c r="AF67" s="303">
        <f>IFERROR(IF(INDEX(tblSeverityReference[Coping Strategy Severity],MATCH(tblSeverityAnalysis[[#This Row],[ID]], tblSeverityReference[ID], 0))= "", "",INDEX(tblSeverityReference[Coping Strategy Severity],MATCH(tblSeverityAnalysis[[#This Row],[ID]], tblSeverityReference[ID], 0)) ), "")</f>
        <v>2</v>
      </c>
      <c r="AG67" s="108" t="str">
        <f>IFERROR(IF(INDEX(tblSeverityReference[HR/IHL Violation],MATCH(tblSeverityAnalysis[[#This Row],[ID]], tblSeverityReference[ID], 0))= "", "",INDEX(tblSeverityReference[HR/IHL Violation],MATCH(tblSeverityAnalysis[[#This Row],[ID]], tblSeverityReference[ID], 0)) ), "")</f>
        <v/>
      </c>
      <c r="AH67" s="81">
        <f>IFERROR(AVERAGE(tblSeverityAnalysis[[#This Row],[CCCM]:[WASH]]), "")</f>
        <v>1</v>
      </c>
      <c r="AI67" s="27">
        <f>IF(SUM(tblSeverityAnalysis[[#This Row],[CCCM]:[WASH]])=0, "", MAX(tblSeverityAnalysis[[#This Row],[CCCM]:[WASH]]))</f>
        <v>2</v>
      </c>
      <c r="AJ67" s="333" t="str" cm="1">
        <f t="array" ref="AJ67">IFERROR(IF(tblSeverityAnalysis[[#This Row],[Highest Severity]]="", "", _xlfn.TEXTJOIN(CHAR(10), TRUE, IF(tblSeverityAnalysis[[#This Row],[CCCM]:[WASH]]=tblSeverityAnalysis[[#This Row],[Highest Severity]], tblSeverityAnalysis[[#Headers],[CCCM]:[WASH]], ""), "")), "")</f>
        <v>Food Security</v>
      </c>
      <c r="AK67" s="27" cm="1">
        <f t="array" ref="AK67">IFERROR(MAX(_xlfn._xlws.FILTER(tblSeverityAnalysis[[#This Row],[CCCM]:[WASH]], tblSeverityAnalysis[[#This Row],[CCCM]:[WASH]]&lt;tblSeverityAnalysis[[#This Row],[Highest Severity]])), "")</f>
        <v>1</v>
      </c>
      <c r="AL67" s="313" t="str" cm="1">
        <f t="array" ref="AL67">IFERROR(IF(tblSeverityAnalysis[[#This Row],[2nd Highest Severity]]="", "", _xlfn.TEXTJOIN(CHAR(10), TRUE, IF(tblSeverityAnalysis[[#This Row],[CCCM]:[WASH]]=tblSeverityAnalysis[[#This Row],[2nd Highest Severity]], tblSeverityAnalysis[[#Headers],[CCCM]:[WASH]], ""), "")), "")</f>
        <v>WASH</v>
      </c>
      <c r="AM67" s="132" t="str">
        <f>IFERROR(IF(AND(tblSeverityAnalysis[[#This Row],[5]] &lt;&gt; "", tblSeverityAnalysis[[#This Row],[5]]&gt;=sectors_sev_5), "Flagged", ""), "")</f>
        <v/>
      </c>
      <c r="AN67" s="133" t="str">
        <f>IFERROR(IF(AND(tblSeverityAnalysis[[#This Row],[Preliminary Intersectoral Severity based on overlap of sectoral deprivations]]=4, SUM(tblSeverityAnalysis[[#This Row],[ 4 ]:[5]])&gt;=sectors_sev_4), "Flagged", ""), "")</f>
        <v/>
      </c>
      <c r="AO67" s="133" t="str" cm="1">
        <f t="array" ref="AO6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7" s="335"/>
      <c r="AR67" s="336"/>
      <c r="AS67" s="335"/>
      <c r="AT67" s="337">
        <f>COUNTIF(tblSeverityAnalysis[[#This Row],[1 sector in severity phase 5 '[modify the threshold']]:[Manual Flag]], "Flagged")</f>
        <v>1</v>
      </c>
      <c r="AU67" s="338">
        <f>tblSeverityAnalysis[[#This Row],[Preliminary Intersectoral Severity based on overlap of sectoral deprivations]]</f>
        <v>1</v>
      </c>
      <c r="AV67" s="339"/>
    </row>
    <row r="68" spans="1:48" ht="15" hidden="1" customHeight="1">
      <c r="A6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MZ0508</v>
      </c>
      <c r="B68" s="39" t="s">
        <v>346</v>
      </c>
      <c r="C68" s="340" t="s">
        <v>347</v>
      </c>
      <c r="D68" s="340" t="s">
        <v>362</v>
      </c>
      <c r="E68" s="33" t="s">
        <v>363</v>
      </c>
      <c r="F68" s="33"/>
      <c r="G68" s="33"/>
      <c r="H68" s="20"/>
      <c r="I68" s="95">
        <v>58385</v>
      </c>
      <c r="J68" s="95"/>
      <c r="K68" s="321"/>
      <c r="L68" s="303"/>
      <c r="M68" s="303">
        <v>2</v>
      </c>
      <c r="N68" s="303"/>
      <c r="O68" s="372"/>
      <c r="P68" s="303">
        <v>0</v>
      </c>
      <c r="Q68" s="304"/>
      <c r="R68" s="303">
        <v>1</v>
      </c>
      <c r="S68" s="303"/>
      <c r="T68" s="303"/>
      <c r="U68" s="303"/>
      <c r="V68" s="303"/>
      <c r="W68" s="330">
        <f>IF(COUNTIF(tblSeverityAnalysis[[#This Row],[CCCM]:[WASH]], 1)=0, "", COUNTIF(tblSeverityAnalysis[[#This Row],[CCCM]:[WASH]], 1))</f>
        <v>1</v>
      </c>
      <c r="X68" s="331">
        <f>IF(COUNTIF(tblSeverityAnalysis[[#This Row],[CCCM]:[WASH]], 2)=0, "", COUNTIF(tblSeverityAnalysis[[#This Row],[CCCM]:[WASH]], 2))</f>
        <v>1</v>
      </c>
      <c r="Y68" s="331" t="str">
        <f>IF(COUNTIF(tblSeverityAnalysis[[#This Row],[CCCM]:[WASH]], 3)=0, "", COUNTIF(tblSeverityAnalysis[[#This Row],[CCCM]:[WASH]], 3))</f>
        <v/>
      </c>
      <c r="Z68" s="331" t="str">
        <f>IF(COUNTIF(tblSeverityAnalysis[[#This Row],[CCCM]:[WASH]], 4)=0, "", COUNTIF(tblSeverityAnalysis[[#This Row],[CCCM]:[WASH]], 4))</f>
        <v/>
      </c>
      <c r="AA68" s="332" t="str">
        <f>IF(COUNTIF(tblSeverityAnalysis[[#This Row],[CCCM]:[WASH]], 5)=0, "", COUNTIF(tblSeverityAnalysis[[#This Row],[CCCM]:[WASH]], 5))</f>
        <v/>
      </c>
      <c r="AB68" s="59" cm="1">
        <f t="array" ref="AB6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8" s="41" t="str">
        <f>IFERROR(IF(INDEX(tblSeverityReference[Malnutrition Severity],MATCH(tblSeverityAnalysis[[#This Row],[ID]], tblSeverityReference[ID], 0))= "", "",INDEX(tblSeverityReference[Malnutrition Severity],MATCH(tblSeverityAnalysis[[#This Row],[ID]], tblSeverityReference[ID], 0)) ), "")</f>
        <v/>
      </c>
      <c r="AE68" s="303">
        <f>IFERROR(IF(INDEX(tblSeverityReference[Epidemic Severity],MATCH(tblSeverityAnalysis[[#This Row],[ID]], tblSeverityReference[ID], 0))= "", "",INDEX(tblSeverityReference[Epidemic Severity],MATCH(tblSeverityAnalysis[[#This Row],[ID]], tblSeverityReference[ID], 0)) ), "")</f>
        <v>2.8235294117647061</v>
      </c>
      <c r="AF68" s="303" t="str">
        <f>IFERROR(IF(INDEX(tblSeverityReference[Coping Strategy Severity],MATCH(tblSeverityAnalysis[[#This Row],[ID]], tblSeverityReference[ID], 0))= "", "",INDEX(tblSeverityReference[Coping Strategy Severity],MATCH(tblSeverityAnalysis[[#This Row],[ID]], tblSeverityReference[ID], 0)) ), "")</f>
        <v/>
      </c>
      <c r="AG68" s="108" t="str">
        <f>IFERROR(IF(INDEX(tblSeverityReference[HR/IHL Violation],MATCH(tblSeverityAnalysis[[#This Row],[ID]], tblSeverityReference[ID], 0))= "", "",INDEX(tblSeverityReference[HR/IHL Violation],MATCH(tblSeverityAnalysis[[#This Row],[ID]], tblSeverityReference[ID], 0)) ), "")</f>
        <v/>
      </c>
      <c r="AH68" s="81">
        <f>IFERROR(AVERAGE(tblSeverityAnalysis[[#This Row],[CCCM]:[WASH]]), "")</f>
        <v>1</v>
      </c>
      <c r="AI68" s="27">
        <f>IF(SUM(tblSeverityAnalysis[[#This Row],[CCCM]:[WASH]])=0, "", MAX(tblSeverityAnalysis[[#This Row],[CCCM]:[WASH]]))</f>
        <v>2</v>
      </c>
      <c r="AJ68" s="333" t="str" cm="1">
        <f t="array" ref="AJ68">IFERROR(IF(tblSeverityAnalysis[[#This Row],[Highest Severity]]="", "", _xlfn.TEXTJOIN(CHAR(10), TRUE, IF(tblSeverityAnalysis[[#This Row],[CCCM]:[WASH]]=tblSeverityAnalysis[[#This Row],[Highest Severity]], tblSeverityAnalysis[[#Headers],[CCCM]:[WASH]], ""), "")), "")</f>
        <v>Nutrition</v>
      </c>
      <c r="AK68" s="27" cm="1">
        <f t="array" ref="AK68">IFERROR(MAX(_xlfn._xlws.FILTER(tblSeverityAnalysis[[#This Row],[CCCM]:[WASH]], tblSeverityAnalysis[[#This Row],[CCCM]:[WASH]]&lt;tblSeverityAnalysis[[#This Row],[Highest Severity]])), "")</f>
        <v>1</v>
      </c>
      <c r="AL68" s="313" t="str" cm="1">
        <f t="array" ref="AL68">IFERROR(IF(tblSeverityAnalysis[[#This Row],[2nd Highest Severity]]="", "", _xlfn.TEXTJOIN(CHAR(10), TRUE, IF(tblSeverityAnalysis[[#This Row],[CCCM]:[WASH]]=tblSeverityAnalysis[[#This Row],[2nd Highest Severity]], tblSeverityAnalysis[[#Headers],[CCCM]:[WASH]], ""), "")), "")</f>
        <v>WASH</v>
      </c>
      <c r="AM68" s="132" t="str">
        <f>IFERROR(IF(AND(tblSeverityAnalysis[[#This Row],[5]] &lt;&gt; "", tblSeverityAnalysis[[#This Row],[5]]&gt;=sectors_sev_5), "Flagged", ""), "")</f>
        <v/>
      </c>
      <c r="AN68" s="133" t="str">
        <f>IFERROR(IF(AND(tblSeverityAnalysis[[#This Row],[Preliminary Intersectoral Severity based on overlap of sectoral deprivations]]=4, SUM(tblSeverityAnalysis[[#This Row],[ 4 ]:[5]])&gt;=sectors_sev_4), "Flagged", ""), "")</f>
        <v/>
      </c>
      <c r="AO68" s="133" t="str" cm="1">
        <f t="array" ref="AO6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8" s="335"/>
      <c r="AR68" s="336"/>
      <c r="AS68" s="335"/>
      <c r="AT68" s="337">
        <f>COUNTIF(tblSeverityAnalysis[[#This Row],[1 sector in severity phase 5 '[modify the threshold']]:[Manual Flag]], "Flagged")</f>
        <v>0</v>
      </c>
      <c r="AU68" s="338">
        <f>tblSeverityAnalysis[[#This Row],[Preliminary Intersectoral Severity based on overlap of sectoral deprivations]]</f>
        <v>1</v>
      </c>
      <c r="AV68" s="339"/>
    </row>
    <row r="69" spans="1:48" ht="15" hidden="1" customHeight="1">
      <c r="A6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MZ0601</v>
      </c>
      <c r="B69" s="39" t="s">
        <v>364</v>
      </c>
      <c r="C69" s="340" t="s">
        <v>365</v>
      </c>
      <c r="D69" s="340" t="s">
        <v>366</v>
      </c>
      <c r="E69" s="33" t="s">
        <v>367</v>
      </c>
      <c r="F69" s="33"/>
      <c r="G69" s="33"/>
      <c r="H69" s="20"/>
      <c r="I69" s="95">
        <v>1327194</v>
      </c>
      <c r="J69" s="95"/>
      <c r="K69" s="321"/>
      <c r="L69" s="303"/>
      <c r="M69" s="303" t="s">
        <v>264</v>
      </c>
      <c r="N69" s="303">
        <v>2</v>
      </c>
      <c r="O69" s="372"/>
      <c r="P69" s="303">
        <v>0</v>
      </c>
      <c r="Q69" s="304"/>
      <c r="R69" s="303">
        <v>2</v>
      </c>
      <c r="S69" s="303"/>
      <c r="T69" s="303"/>
      <c r="U69" s="303"/>
      <c r="V69" s="303"/>
      <c r="W69" s="330" t="str">
        <f>IF(COUNTIF(tblSeverityAnalysis[[#This Row],[CCCM]:[WASH]], 1)=0, "", COUNTIF(tblSeverityAnalysis[[#This Row],[CCCM]:[WASH]], 1))</f>
        <v/>
      </c>
      <c r="X69" s="331">
        <f>IF(COUNTIF(tblSeverityAnalysis[[#This Row],[CCCM]:[WASH]], 2)=0, "", COUNTIF(tblSeverityAnalysis[[#This Row],[CCCM]:[WASH]], 2))</f>
        <v>2</v>
      </c>
      <c r="Y69" s="331" t="str">
        <f>IF(COUNTIF(tblSeverityAnalysis[[#This Row],[CCCM]:[WASH]], 3)=0, "", COUNTIF(tblSeverityAnalysis[[#This Row],[CCCM]:[WASH]], 3))</f>
        <v/>
      </c>
      <c r="Z69" s="331" t="str">
        <f>IF(COUNTIF(tblSeverityAnalysis[[#This Row],[CCCM]:[WASH]], 4)=0, "", COUNTIF(tblSeverityAnalysis[[#This Row],[CCCM]:[WASH]], 4))</f>
        <v/>
      </c>
      <c r="AA69" s="332" t="str">
        <f>IF(COUNTIF(tblSeverityAnalysis[[#This Row],[CCCM]:[WASH]], 5)=0, "", COUNTIF(tblSeverityAnalysis[[#This Row],[CCCM]:[WASH]], 5))</f>
        <v/>
      </c>
      <c r="AB69" s="59" cm="1">
        <f t="array" ref="AB6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6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9" s="41" t="str">
        <f>IFERROR(IF(INDEX(tblSeverityReference[Malnutrition Severity],MATCH(tblSeverityAnalysis[[#This Row],[ID]], tblSeverityReference[ID], 0))= "", "",INDEX(tblSeverityReference[Malnutrition Severity],MATCH(tblSeverityAnalysis[[#This Row],[ID]], tblSeverityReference[ID], 0)) ), "")</f>
        <v/>
      </c>
      <c r="AE69" s="303" t="str">
        <f>IFERROR(IF(INDEX(tblSeverityReference[Epidemic Severity],MATCH(tblSeverityAnalysis[[#This Row],[ID]], tblSeverityReference[ID], 0))= "", "",INDEX(tblSeverityReference[Epidemic Severity],MATCH(tblSeverityAnalysis[[#This Row],[ID]], tblSeverityReference[ID], 0)) ), "")</f>
        <v/>
      </c>
      <c r="AF69" s="303">
        <f>IFERROR(IF(INDEX(tblSeverityReference[Coping Strategy Severity],MATCH(tblSeverityAnalysis[[#This Row],[ID]], tblSeverityReference[ID], 0))= "", "",INDEX(tblSeverityReference[Coping Strategy Severity],MATCH(tblSeverityAnalysis[[#This Row],[ID]], tblSeverityReference[ID], 0)) ), "")</f>
        <v>3</v>
      </c>
      <c r="AG69" s="108" t="str">
        <f>IFERROR(IF(INDEX(tblSeverityReference[HR/IHL Violation],MATCH(tblSeverityAnalysis[[#This Row],[ID]], tblSeverityReference[ID], 0))= "", "",INDEX(tblSeverityReference[HR/IHL Violation],MATCH(tblSeverityAnalysis[[#This Row],[ID]], tblSeverityReference[ID], 0)) ), "")</f>
        <v/>
      </c>
      <c r="AH69" s="81">
        <f>IFERROR(AVERAGE(tblSeverityAnalysis[[#This Row],[CCCM]:[WASH]]), "")</f>
        <v>1.3333333333333333</v>
      </c>
      <c r="AI69" s="27">
        <f>IF(SUM(tblSeverityAnalysis[[#This Row],[CCCM]:[WASH]])=0, "", MAX(tblSeverityAnalysis[[#This Row],[CCCM]:[WASH]]))</f>
        <v>2</v>
      </c>
      <c r="AJ69" s="333" t="str" cm="1">
        <f t="array" ref="AJ69">IFERROR(IF(tblSeverityAnalysis[[#This Row],[Highest Severity]]="", "", _xlfn.TEXTJOIN(CHAR(10), TRUE, IF(tblSeverityAnalysis[[#This Row],[CCCM]:[WASH]]=tblSeverityAnalysis[[#This Row],[Highest Severity]], tblSeverityAnalysis[[#Headers],[CCCM]:[WASH]], ""), "")), "")</f>
        <v>Food Security
WASH</v>
      </c>
      <c r="AK69" s="27" cm="1">
        <f t="array" ref="AK69">IFERROR(MAX(_xlfn._xlws.FILTER(tblSeverityAnalysis[[#This Row],[CCCM]:[WASH]], tblSeverityAnalysis[[#This Row],[CCCM]:[WASH]]&lt;tblSeverityAnalysis[[#This Row],[Highest Severity]])), "")</f>
        <v>0</v>
      </c>
      <c r="AL69" s="313" t="str" cm="1">
        <f t="array" ref="AL69">IFERROR(IF(tblSeverityAnalysis[[#This Row],[2nd Highest Severity]]="", "", _xlfn.TEXTJOIN(CHAR(10), TRUE, IF(tblSeverityAnalysis[[#This Row],[CCCM]:[WASH]]=tblSeverityAnalysis[[#This Row],[2nd Highest Severity]], tblSeverityAnalysis[[#Headers],[CCCM]:[WASH]], ""), "")), "")</f>
        <v>CCCM
Education
Health
Overarching Protection
Shelter</v>
      </c>
      <c r="AM69" s="132" t="str">
        <f>IFERROR(IF(AND(tblSeverityAnalysis[[#This Row],[5]] &lt;&gt; "", tblSeverityAnalysis[[#This Row],[5]]&gt;=sectors_sev_5), "Flagged", ""), "")</f>
        <v/>
      </c>
      <c r="AN69" s="133" t="str">
        <f>IFERROR(IF(AND(tblSeverityAnalysis[[#This Row],[Preliminary Intersectoral Severity based on overlap of sectoral deprivations]]=4, SUM(tblSeverityAnalysis[[#This Row],[ 4 ]:[5]])&gt;=sectors_sev_4), "Flagged", ""), "")</f>
        <v/>
      </c>
      <c r="AO69" s="133" t="str" cm="1">
        <f t="array" ref="AO6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9" s="335"/>
      <c r="AR69" s="336"/>
      <c r="AS69" s="335"/>
      <c r="AT69" s="337">
        <f>COUNTIF(tblSeverityAnalysis[[#This Row],[1 sector in severity phase 5 '[modify the threshold']]:[Manual Flag]], "Flagged")</f>
        <v>1</v>
      </c>
      <c r="AU69" s="338">
        <f>tblSeverityAnalysis[[#This Row],[Preliminary Intersectoral Severity based on overlap of sectoral deprivations]]</f>
        <v>1</v>
      </c>
      <c r="AV69" s="339"/>
    </row>
    <row r="70" spans="1:48" ht="18.95" hidden="1" customHeight="1">
      <c r="A7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MZ0701</v>
      </c>
      <c r="B70" s="39" t="s">
        <v>183</v>
      </c>
      <c r="C70" s="340" t="s">
        <v>184</v>
      </c>
      <c r="D70" s="340" t="s">
        <v>368</v>
      </c>
      <c r="E70" s="33" t="s">
        <v>369</v>
      </c>
      <c r="F70" s="33"/>
      <c r="G70" s="33"/>
      <c r="H70" s="20"/>
      <c r="I70" s="95">
        <v>450762</v>
      </c>
      <c r="J70" s="95"/>
      <c r="K70" s="321"/>
      <c r="L70" s="303"/>
      <c r="M70" s="303" t="s">
        <v>264</v>
      </c>
      <c r="N70" s="303">
        <v>2</v>
      </c>
      <c r="O70" s="372"/>
      <c r="P70" s="303">
        <v>0</v>
      </c>
      <c r="Q70" s="304"/>
      <c r="R70" s="303">
        <v>3</v>
      </c>
      <c r="S70" s="303"/>
      <c r="T70" s="303"/>
      <c r="U70" s="303"/>
      <c r="V70" s="303"/>
      <c r="W70" s="330" t="str">
        <f>IF(COUNTIF(tblSeverityAnalysis[[#This Row],[CCCM]:[WASH]], 1)=0, "", COUNTIF(tblSeverityAnalysis[[#This Row],[CCCM]:[WASH]], 1))</f>
        <v/>
      </c>
      <c r="X70" s="331">
        <f>IF(COUNTIF(tblSeverityAnalysis[[#This Row],[CCCM]:[WASH]], 2)=0, "", COUNTIF(tblSeverityAnalysis[[#This Row],[CCCM]:[WASH]], 2))</f>
        <v>1</v>
      </c>
      <c r="Y70" s="331">
        <f>IF(COUNTIF(tblSeverityAnalysis[[#This Row],[CCCM]:[WASH]], 3)=0, "", COUNTIF(tblSeverityAnalysis[[#This Row],[CCCM]:[WASH]], 3))</f>
        <v>1</v>
      </c>
      <c r="Z70" s="331" t="str">
        <f>IF(COUNTIF(tblSeverityAnalysis[[#This Row],[CCCM]:[WASH]], 4)=0, "", COUNTIF(tblSeverityAnalysis[[#This Row],[CCCM]:[WASH]], 4))</f>
        <v/>
      </c>
      <c r="AA70" s="332" t="str">
        <f>IF(COUNTIF(tblSeverityAnalysis[[#This Row],[CCCM]:[WASH]], 5)=0, "", COUNTIF(tblSeverityAnalysis[[#This Row],[CCCM]:[WASH]], 5))</f>
        <v/>
      </c>
      <c r="AB70" s="59" cm="1">
        <f t="array" ref="AB7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0" s="41">
        <f>IFERROR(IF(INDEX(tblSeverityReference[Malnutrition Severity],MATCH(tblSeverityAnalysis[[#This Row],[ID]], tblSeverityReference[ID], 0))= "", "",INDEX(tblSeverityReference[Malnutrition Severity],MATCH(tblSeverityAnalysis[[#This Row],[ID]], tblSeverityReference[ID], 0)) ), "")</f>
        <v>2</v>
      </c>
      <c r="AE70" s="303">
        <f>IFERROR(IF(INDEX(tblSeverityReference[Epidemic Severity],MATCH(tblSeverityAnalysis[[#This Row],[ID]], tblSeverityReference[ID], 0))= "", "",INDEX(tblSeverityReference[Epidemic Severity],MATCH(tblSeverityAnalysis[[#This Row],[ID]], tblSeverityReference[ID], 0)) ), "")</f>
        <v>2.2352941176470589</v>
      </c>
      <c r="AF70" s="303">
        <f>IFERROR(IF(INDEX(tblSeverityReference[Coping Strategy Severity],MATCH(tblSeverityAnalysis[[#This Row],[ID]], tblSeverityReference[ID], 0))= "", "",INDEX(tblSeverityReference[Coping Strategy Severity],MATCH(tblSeverityAnalysis[[#This Row],[ID]], tblSeverityReference[ID], 0)) ), "")</f>
        <v>2</v>
      </c>
      <c r="AG70" s="108" t="str">
        <f>IFERROR(IF(INDEX(tblSeverityReference[HR/IHL Violation],MATCH(tblSeverityAnalysis[[#This Row],[ID]], tblSeverityReference[ID], 0))= "", "",INDEX(tblSeverityReference[HR/IHL Violation],MATCH(tblSeverityAnalysis[[#This Row],[ID]], tblSeverityReference[ID], 0)) ), "")</f>
        <v/>
      </c>
      <c r="AH70" s="81">
        <f>IFERROR(AVERAGE(tblSeverityAnalysis[[#This Row],[CCCM]:[WASH]]), "")</f>
        <v>1.6666666666666667</v>
      </c>
      <c r="AI70" s="27">
        <f>IF(SUM(tblSeverityAnalysis[[#This Row],[CCCM]:[WASH]])=0, "", MAX(tblSeverityAnalysis[[#This Row],[CCCM]:[WASH]]))</f>
        <v>3</v>
      </c>
      <c r="AJ70" s="333" t="str" cm="1">
        <f t="array" ref="AJ70">IFERROR(IF(tblSeverityAnalysis[[#This Row],[Highest Severity]]="", "", _xlfn.TEXTJOIN(CHAR(10), TRUE, IF(tblSeverityAnalysis[[#This Row],[CCCM]:[WASH]]=tblSeverityAnalysis[[#This Row],[Highest Severity]], tblSeverityAnalysis[[#Headers],[CCCM]:[WASH]], ""), "")), "")</f>
        <v>WASH</v>
      </c>
      <c r="AK70" s="27" cm="1">
        <f t="array" ref="AK70">IFERROR(MAX(_xlfn._xlws.FILTER(tblSeverityAnalysis[[#This Row],[CCCM]:[WASH]], tblSeverityAnalysis[[#This Row],[CCCM]:[WASH]]&lt;tblSeverityAnalysis[[#This Row],[Highest Severity]])), "")</f>
        <v>2</v>
      </c>
      <c r="AL70" s="313" t="str" cm="1">
        <f t="array" ref="AL70">IFERROR(IF(tblSeverityAnalysis[[#This Row],[2nd Highest Severity]]="", "", _xlfn.TEXTJOIN(CHAR(10), TRUE, IF(tblSeverityAnalysis[[#This Row],[CCCM]:[WASH]]=tblSeverityAnalysis[[#This Row],[2nd Highest Severity]], tblSeverityAnalysis[[#Headers],[CCCM]:[WASH]], ""), "")), "")</f>
        <v>Food Security</v>
      </c>
      <c r="AM70" s="132" t="str">
        <f>IFERROR(IF(AND(tblSeverityAnalysis[[#This Row],[5]] &lt;&gt; "", tblSeverityAnalysis[[#This Row],[5]]&gt;=sectors_sev_5), "Flagged", ""), "")</f>
        <v/>
      </c>
      <c r="AN70" s="133" t="str">
        <f>IFERROR(IF(AND(tblSeverityAnalysis[[#This Row],[Preliminary Intersectoral Severity based on overlap of sectoral deprivations]]=4, SUM(tblSeverityAnalysis[[#This Row],[ 4 ]:[5]])&gt;=sectors_sev_4), "Flagged", ""), "")</f>
        <v/>
      </c>
      <c r="AO70" s="133" t="str" cm="1">
        <f t="array" ref="AO7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0" s="335"/>
      <c r="AR70" s="336"/>
      <c r="AS70" s="335"/>
      <c r="AT70" s="337">
        <f>COUNTIF(tblSeverityAnalysis[[#This Row],[1 sector in severity phase 5 '[modify the threshold']]:[Manual Flag]], "Flagged")</f>
        <v>1</v>
      </c>
      <c r="AU70" s="338">
        <f>tblSeverityAnalysis[[#This Row],[Preliminary Intersectoral Severity based on overlap of sectoral deprivations]]</f>
        <v>1</v>
      </c>
      <c r="AV70" s="339"/>
    </row>
    <row r="71" spans="1:48" ht="50.1" hidden="1" customHeight="1">
      <c r="A7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MZ0702</v>
      </c>
      <c r="B71" s="39" t="s">
        <v>183</v>
      </c>
      <c r="C71" s="340" t="s">
        <v>184</v>
      </c>
      <c r="D71" s="340" t="s">
        <v>370</v>
      </c>
      <c r="E71" s="33" t="s">
        <v>371</v>
      </c>
      <c r="F71" s="33"/>
      <c r="G71" s="33"/>
      <c r="H71" s="20"/>
      <c r="I71" s="95">
        <v>1110373</v>
      </c>
      <c r="J71" s="95"/>
      <c r="K71" s="321"/>
      <c r="L71" s="303"/>
      <c r="M71" s="303" t="s">
        <v>264</v>
      </c>
      <c r="N71" s="303"/>
      <c r="O71" s="372"/>
      <c r="P71" s="303">
        <v>0</v>
      </c>
      <c r="Q71" s="304"/>
      <c r="R71" s="303">
        <v>2</v>
      </c>
      <c r="S71" s="303"/>
      <c r="T71" s="303"/>
      <c r="U71" s="303"/>
      <c r="V71" s="303"/>
      <c r="W71" s="330" t="str">
        <f>IF(COUNTIF(tblSeverityAnalysis[[#This Row],[CCCM]:[WASH]], 1)=0, "", COUNTIF(tblSeverityAnalysis[[#This Row],[CCCM]:[WASH]], 1))</f>
        <v/>
      </c>
      <c r="X71" s="331">
        <f>IF(COUNTIF(tblSeverityAnalysis[[#This Row],[CCCM]:[WASH]], 2)=0, "", COUNTIF(tblSeverityAnalysis[[#This Row],[CCCM]:[WASH]], 2))</f>
        <v>1</v>
      </c>
      <c r="Y71" s="331" t="str">
        <f>IF(COUNTIF(tblSeverityAnalysis[[#This Row],[CCCM]:[WASH]], 3)=0, "", COUNTIF(tblSeverityAnalysis[[#This Row],[CCCM]:[WASH]], 3))</f>
        <v/>
      </c>
      <c r="Z71" s="331" t="str">
        <f>IF(COUNTIF(tblSeverityAnalysis[[#This Row],[CCCM]:[WASH]], 4)=0, "", COUNTIF(tblSeverityAnalysis[[#This Row],[CCCM]:[WASH]], 4))</f>
        <v/>
      </c>
      <c r="AA71" s="332" t="str">
        <f>IF(COUNTIF(tblSeverityAnalysis[[#This Row],[CCCM]:[WASH]], 5)=0, "", COUNTIF(tblSeverityAnalysis[[#This Row],[CCCM]:[WASH]], 5))</f>
        <v/>
      </c>
      <c r="AB71" s="59" cm="1">
        <f t="array" ref="AB7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1" s="41" t="str">
        <f>IFERROR(IF(INDEX(tblSeverityReference[Malnutrition Severity],MATCH(tblSeverityAnalysis[[#This Row],[ID]], tblSeverityReference[ID], 0))= "", "",INDEX(tblSeverityReference[Malnutrition Severity],MATCH(tblSeverityAnalysis[[#This Row],[ID]], tblSeverityReference[ID], 0)) ), "")</f>
        <v/>
      </c>
      <c r="AE71" s="303">
        <f>IFERROR(IF(INDEX(tblSeverityReference[Epidemic Severity],MATCH(tblSeverityAnalysis[[#This Row],[ID]], tblSeverityReference[ID], 0))= "", "",INDEX(tblSeverityReference[Epidemic Severity],MATCH(tblSeverityAnalysis[[#This Row],[ID]], tblSeverityReference[ID], 0)) ), "")</f>
        <v>2.2352941176470589</v>
      </c>
      <c r="AF71" s="303" t="str">
        <f>IFERROR(IF(INDEX(tblSeverityReference[Coping Strategy Severity],MATCH(tblSeverityAnalysis[[#This Row],[ID]], tblSeverityReference[ID], 0))= "", "",INDEX(tblSeverityReference[Coping Strategy Severity],MATCH(tblSeverityAnalysis[[#This Row],[ID]], tblSeverityReference[ID], 0)) ), "")</f>
        <v/>
      </c>
      <c r="AG71" s="108" t="str">
        <f>IFERROR(IF(INDEX(tblSeverityReference[HR/IHL Violation],MATCH(tblSeverityAnalysis[[#This Row],[ID]], tblSeverityReference[ID], 0))= "", "",INDEX(tblSeverityReference[HR/IHL Violation],MATCH(tblSeverityAnalysis[[#This Row],[ID]], tblSeverityReference[ID], 0)) ), "")</f>
        <v/>
      </c>
      <c r="AH71" s="81">
        <f>IFERROR(AVERAGE(tblSeverityAnalysis[[#This Row],[CCCM]:[WASH]]), "")</f>
        <v>1</v>
      </c>
      <c r="AI71" s="27">
        <f>IF(SUM(tblSeverityAnalysis[[#This Row],[CCCM]:[WASH]])=0, "", MAX(tblSeverityAnalysis[[#This Row],[CCCM]:[WASH]]))</f>
        <v>2</v>
      </c>
      <c r="AJ71" s="333" t="str" cm="1">
        <f t="array" ref="AJ71">IFERROR(IF(tblSeverityAnalysis[[#This Row],[Highest Severity]]="", "", _xlfn.TEXTJOIN(CHAR(10), TRUE, IF(tblSeverityAnalysis[[#This Row],[CCCM]:[WASH]]=tblSeverityAnalysis[[#This Row],[Highest Severity]], tblSeverityAnalysis[[#Headers],[CCCM]:[WASH]], ""), "")), "")</f>
        <v>WASH</v>
      </c>
      <c r="AK71" s="27" cm="1">
        <f t="array" ref="AK71">IFERROR(MAX(_xlfn._xlws.FILTER(tblSeverityAnalysis[[#This Row],[CCCM]:[WASH]], tblSeverityAnalysis[[#This Row],[CCCM]:[WASH]]&lt;tblSeverityAnalysis[[#This Row],[Highest Severity]])), "")</f>
        <v>0</v>
      </c>
      <c r="AL71" s="313" t="str" cm="1">
        <f t="array" ref="AL7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1" s="132" t="str">
        <f>IFERROR(IF(AND(tblSeverityAnalysis[[#This Row],[5]] &lt;&gt; "", tblSeverityAnalysis[[#This Row],[5]]&gt;=sectors_sev_5), "Flagged", ""), "")</f>
        <v/>
      </c>
      <c r="AN71" s="133" t="str">
        <f>IFERROR(IF(AND(tblSeverityAnalysis[[#This Row],[Preliminary Intersectoral Severity based on overlap of sectoral deprivations]]=4, SUM(tblSeverityAnalysis[[#This Row],[ 4 ]:[5]])&gt;=sectors_sev_4), "Flagged", ""), "")</f>
        <v/>
      </c>
      <c r="AO71" s="133" t="str" cm="1">
        <f t="array" ref="AO7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1" s="335"/>
      <c r="AR71" s="336"/>
      <c r="AS71" s="335"/>
      <c r="AT71" s="337">
        <f>COUNTIF(tblSeverityAnalysis[[#This Row],[1 sector in severity phase 5 '[modify the threshold']]:[Manual Flag]], "Flagged")</f>
        <v>0</v>
      </c>
      <c r="AU71" s="338">
        <f>tblSeverityAnalysis[[#This Row],[Preliminary Intersectoral Severity based on overlap of sectoral deprivations]]</f>
        <v>1</v>
      </c>
      <c r="AV71" s="339"/>
    </row>
    <row r="72" spans="1:48" ht="15" customHeight="1">
      <c r="A7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MZ0703</v>
      </c>
      <c r="B72" s="39" t="s">
        <v>183</v>
      </c>
      <c r="C72" s="340" t="s">
        <v>184</v>
      </c>
      <c r="D72" s="340" t="s">
        <v>185</v>
      </c>
      <c r="E72" s="33" t="s">
        <v>182</v>
      </c>
      <c r="F72" s="33"/>
      <c r="G72" s="33"/>
      <c r="H72" s="20"/>
      <c r="I72" s="95">
        <v>513629</v>
      </c>
      <c r="J72" s="95"/>
      <c r="K72" s="321">
        <v>3</v>
      </c>
      <c r="L72" s="303">
        <v>4</v>
      </c>
      <c r="M72" s="303">
        <v>3</v>
      </c>
      <c r="N72" s="303">
        <v>3</v>
      </c>
      <c r="O72" s="372">
        <v>2</v>
      </c>
      <c r="P72" s="303">
        <v>3</v>
      </c>
      <c r="Q72" s="304">
        <v>3</v>
      </c>
      <c r="R72" s="303">
        <v>4</v>
      </c>
      <c r="S72" s="303">
        <v>3</v>
      </c>
      <c r="T72" s="303">
        <v>2</v>
      </c>
      <c r="U72" s="303">
        <v>3</v>
      </c>
      <c r="V72" s="303">
        <v>1</v>
      </c>
      <c r="W72" s="330" t="str">
        <f>IF(COUNTIF(tblSeverityAnalysis[[#This Row],[CCCM]:[WASH]], 1)=0, "", COUNTIF(tblSeverityAnalysis[[#This Row],[CCCM]:[WASH]], 1))</f>
        <v/>
      </c>
      <c r="X72" s="331">
        <f>IF(COUNTIF(tblSeverityAnalysis[[#This Row],[CCCM]:[WASH]], 2)=0, "", COUNTIF(tblSeverityAnalysis[[#This Row],[CCCM]:[WASH]], 2))</f>
        <v>1</v>
      </c>
      <c r="Y72" s="331">
        <f>IF(COUNTIF(tblSeverityAnalysis[[#This Row],[CCCM]:[WASH]], 3)=0, "", COUNTIF(tblSeverityAnalysis[[#This Row],[CCCM]:[WASH]], 3))</f>
        <v>5</v>
      </c>
      <c r="Z72" s="331">
        <f>IF(COUNTIF(tblSeverityAnalysis[[#This Row],[CCCM]:[WASH]], 4)=0, "", COUNTIF(tblSeverityAnalysis[[#This Row],[CCCM]:[WASH]], 4))</f>
        <v>2</v>
      </c>
      <c r="AA72" s="332" t="str">
        <f>IF(COUNTIF(tblSeverityAnalysis[[#This Row],[CCCM]:[WASH]], 5)=0, "", COUNTIF(tblSeverityAnalysis[[#This Row],[CCCM]:[WASH]], 5))</f>
        <v/>
      </c>
      <c r="AB72" s="59" cm="1">
        <f t="array" ref="AB7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2" s="41">
        <f>IFERROR(IF(INDEX(tblSeverityReference[Malnutrition Severity],MATCH(tblSeverityAnalysis[[#This Row],[ID]], tblSeverityReference[ID], 0))= "", "",INDEX(tblSeverityReference[Malnutrition Severity],MATCH(tblSeverityAnalysis[[#This Row],[ID]], tblSeverityReference[ID], 0)) ), "")</f>
        <v>2</v>
      </c>
      <c r="AE72" s="303">
        <f>IFERROR(IF(INDEX(tblSeverityReference[Epidemic Severity],MATCH(tblSeverityAnalysis[[#This Row],[ID]], tblSeverityReference[ID], 0))= "", "",INDEX(tblSeverityReference[Epidemic Severity],MATCH(tblSeverityAnalysis[[#This Row],[ID]], tblSeverityReference[ID], 0)) ), "")</f>
        <v>2.2352941176470589</v>
      </c>
      <c r="AF72" s="303">
        <f>IFERROR(IF(INDEX(tblSeverityReference[Coping Strategy Severity],MATCH(tblSeverityAnalysis[[#This Row],[ID]], tblSeverityReference[ID], 0))= "", "",INDEX(tblSeverityReference[Coping Strategy Severity],MATCH(tblSeverityAnalysis[[#This Row],[ID]], tblSeverityReference[ID], 0)) ), "")</f>
        <v>3</v>
      </c>
      <c r="AG72" s="108" t="str">
        <f>IFERROR(IF(INDEX(tblSeverityReference[HR/IHL Violation],MATCH(tblSeverityAnalysis[[#This Row],[ID]], tblSeverityReference[ID], 0))= "", "",INDEX(tblSeverityReference[HR/IHL Violation],MATCH(tblSeverityAnalysis[[#This Row],[ID]], tblSeverityReference[ID], 0)) ), "")</f>
        <v/>
      </c>
      <c r="AH72" s="81">
        <f>IFERROR(AVERAGE(tblSeverityAnalysis[[#This Row],[CCCM]:[WASH]]), "")</f>
        <v>3.125</v>
      </c>
      <c r="AI72" s="27">
        <f>IF(SUM(tblSeverityAnalysis[[#This Row],[CCCM]:[WASH]])=0, "", MAX(tblSeverityAnalysis[[#This Row],[CCCM]:[WASH]]))</f>
        <v>4</v>
      </c>
      <c r="AJ72" s="333" t="str" cm="1">
        <f t="array" ref="AJ72">IFERROR(IF(tblSeverityAnalysis[[#This Row],[Highest Severity]]="", "", _xlfn.TEXTJOIN(CHAR(10), TRUE, IF(tblSeverityAnalysis[[#This Row],[CCCM]:[WASH]]=tblSeverityAnalysis[[#This Row],[Highest Severity]], tblSeverityAnalysis[[#Headers],[CCCM]:[WASH]], ""), "")), "")</f>
        <v>Education
WASH</v>
      </c>
      <c r="AK72" s="27" cm="1">
        <f t="array" ref="AK72">IFERROR(MAX(_xlfn._xlws.FILTER(tblSeverityAnalysis[[#This Row],[CCCM]:[WASH]], tblSeverityAnalysis[[#This Row],[CCCM]:[WASH]]&lt;tblSeverityAnalysis[[#This Row],[Highest Severity]])), "")</f>
        <v>3</v>
      </c>
      <c r="AL72" s="313" t="str" cm="1">
        <f t="array" ref="AL72">IFERROR(IF(tblSeverityAnalysis[[#This Row],[2nd Highest Severity]]="", "", _xlfn.TEXTJOIN(CHAR(10), TRUE, IF(tblSeverityAnalysis[[#This Row],[CCCM]:[WASH]]=tblSeverityAnalysis[[#This Row],[2nd Highest Severity]], tblSeverityAnalysis[[#Headers],[CCCM]:[WASH]], ""), "")), "")</f>
        <v>CCCM
Nutrition
Food Security
Overarching Protection
Shelter</v>
      </c>
      <c r="AM72" s="132" t="str">
        <f>IFERROR(IF(AND(tblSeverityAnalysis[[#This Row],[5]] &lt;&gt; "", tblSeverityAnalysis[[#This Row],[5]]&gt;=sectors_sev_5), "Flagged", ""), "")</f>
        <v/>
      </c>
      <c r="AN72" s="133" t="str">
        <f>IFERROR(IF(AND(tblSeverityAnalysis[[#This Row],[Preliminary Intersectoral Severity based on overlap of sectoral deprivations]]=4, SUM(tblSeverityAnalysis[[#This Row],[ 4 ]:[5]])&gt;=sectors_sev_4), "Flagged", ""), "")</f>
        <v/>
      </c>
      <c r="AO72" s="133" t="str" cm="1">
        <f t="array" ref="AO7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2" s="335"/>
      <c r="AR72" s="336"/>
      <c r="AS72" s="335"/>
      <c r="AT72" s="337">
        <f>COUNTIF(tblSeverityAnalysis[[#This Row],[1 sector in severity phase 5 '[modify the threshold']]:[Manual Flag]], "Flagged")</f>
        <v>0</v>
      </c>
      <c r="AU72" s="338">
        <f>tblSeverityAnalysis[[#This Row],[Preliminary Intersectoral Severity based on overlap of sectoral deprivations]]</f>
        <v>3</v>
      </c>
      <c r="AV72" s="339"/>
    </row>
    <row r="73" spans="1:48" ht="15" hidden="1" customHeight="1">
      <c r="A7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MZ0704</v>
      </c>
      <c r="B73" s="39" t="s">
        <v>183</v>
      </c>
      <c r="C73" s="340" t="s">
        <v>184</v>
      </c>
      <c r="D73" s="340" t="s">
        <v>372</v>
      </c>
      <c r="E73" s="33" t="s">
        <v>373</v>
      </c>
      <c r="F73" s="33"/>
      <c r="G73" s="33"/>
      <c r="H73" s="20"/>
      <c r="I73" s="95">
        <v>87319</v>
      </c>
      <c r="J73" s="95"/>
      <c r="K73" s="321"/>
      <c r="L73" s="303"/>
      <c r="M73" s="303" t="s">
        <v>264</v>
      </c>
      <c r="N73" s="303">
        <v>3</v>
      </c>
      <c r="O73" s="372"/>
      <c r="P73" s="303">
        <v>0</v>
      </c>
      <c r="Q73" s="304"/>
      <c r="R73" s="303">
        <v>4</v>
      </c>
      <c r="S73" s="303"/>
      <c r="T73" s="303"/>
      <c r="U73" s="303"/>
      <c r="V73" s="303"/>
      <c r="W73" s="330" t="str">
        <f>IF(COUNTIF(tblSeverityAnalysis[[#This Row],[CCCM]:[WASH]], 1)=0, "", COUNTIF(tblSeverityAnalysis[[#This Row],[CCCM]:[WASH]], 1))</f>
        <v/>
      </c>
      <c r="X73" s="331" t="str">
        <f>IF(COUNTIF(tblSeverityAnalysis[[#This Row],[CCCM]:[WASH]], 2)=0, "", COUNTIF(tblSeverityAnalysis[[#This Row],[CCCM]:[WASH]], 2))</f>
        <v/>
      </c>
      <c r="Y73" s="331">
        <f>IF(COUNTIF(tblSeverityAnalysis[[#This Row],[CCCM]:[WASH]], 3)=0, "", COUNTIF(tblSeverityAnalysis[[#This Row],[CCCM]:[WASH]], 3))</f>
        <v>1</v>
      </c>
      <c r="Z73" s="331">
        <f>IF(COUNTIF(tblSeverityAnalysis[[#This Row],[CCCM]:[WASH]], 4)=0, "", COUNTIF(tblSeverityAnalysis[[#This Row],[CCCM]:[WASH]], 4))</f>
        <v>1</v>
      </c>
      <c r="AA73" s="332" t="str">
        <f>IF(COUNTIF(tblSeverityAnalysis[[#This Row],[CCCM]:[WASH]], 5)=0, "", COUNTIF(tblSeverityAnalysis[[#This Row],[CCCM]:[WASH]], 5))</f>
        <v/>
      </c>
      <c r="AB73" s="59" cm="1">
        <f t="array" ref="AB7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3" s="41">
        <f>IFERROR(IF(INDEX(tblSeverityReference[Malnutrition Severity],MATCH(tblSeverityAnalysis[[#This Row],[ID]], tblSeverityReference[ID], 0))= "", "",INDEX(tblSeverityReference[Malnutrition Severity],MATCH(tblSeverityAnalysis[[#This Row],[ID]], tblSeverityReference[ID], 0)) ), "")</f>
        <v>2</v>
      </c>
      <c r="AE73" s="303">
        <f>IFERROR(IF(INDEX(tblSeverityReference[Epidemic Severity],MATCH(tblSeverityAnalysis[[#This Row],[ID]], tblSeverityReference[ID], 0))= "", "",INDEX(tblSeverityReference[Epidemic Severity],MATCH(tblSeverityAnalysis[[#This Row],[ID]], tblSeverityReference[ID], 0)) ), "")</f>
        <v>1.8235294117647056</v>
      </c>
      <c r="AF73" s="303">
        <f>IFERROR(IF(INDEX(tblSeverityReference[Coping Strategy Severity],MATCH(tblSeverityAnalysis[[#This Row],[ID]], tblSeverityReference[ID], 0))= "", "",INDEX(tblSeverityReference[Coping Strategy Severity],MATCH(tblSeverityAnalysis[[#This Row],[ID]], tblSeverityReference[ID], 0)) ), "")</f>
        <v>3</v>
      </c>
      <c r="AG73" s="108" t="str">
        <f>IFERROR(IF(INDEX(tblSeverityReference[HR/IHL Violation],MATCH(tblSeverityAnalysis[[#This Row],[ID]], tblSeverityReference[ID], 0))= "", "",INDEX(tblSeverityReference[HR/IHL Violation],MATCH(tblSeverityAnalysis[[#This Row],[ID]], tblSeverityReference[ID], 0)) ), "")</f>
        <v/>
      </c>
      <c r="AH73" s="81">
        <f>IFERROR(AVERAGE(tblSeverityAnalysis[[#This Row],[CCCM]:[WASH]]), "")</f>
        <v>2.3333333333333335</v>
      </c>
      <c r="AI73" s="27">
        <f>IF(SUM(tblSeverityAnalysis[[#This Row],[CCCM]:[WASH]])=0, "", MAX(tblSeverityAnalysis[[#This Row],[CCCM]:[WASH]]))</f>
        <v>4</v>
      </c>
      <c r="AJ73" s="333" t="str" cm="1">
        <f t="array" ref="AJ73">IFERROR(IF(tblSeverityAnalysis[[#This Row],[Highest Severity]]="", "", _xlfn.TEXTJOIN(CHAR(10), TRUE, IF(tblSeverityAnalysis[[#This Row],[CCCM]:[WASH]]=tblSeverityAnalysis[[#This Row],[Highest Severity]], tblSeverityAnalysis[[#Headers],[CCCM]:[WASH]], ""), "")), "")</f>
        <v>WASH</v>
      </c>
      <c r="AK73" s="27" cm="1">
        <f t="array" ref="AK73">IFERROR(MAX(_xlfn._xlws.FILTER(tblSeverityAnalysis[[#This Row],[CCCM]:[WASH]], tblSeverityAnalysis[[#This Row],[CCCM]:[WASH]]&lt;tblSeverityAnalysis[[#This Row],[Highest Severity]])), "")</f>
        <v>3</v>
      </c>
      <c r="AL73" s="313" t="str" cm="1">
        <f t="array" ref="AL73">IFERROR(IF(tblSeverityAnalysis[[#This Row],[2nd Highest Severity]]="", "", _xlfn.TEXTJOIN(CHAR(10), TRUE, IF(tblSeverityAnalysis[[#This Row],[CCCM]:[WASH]]=tblSeverityAnalysis[[#This Row],[2nd Highest Severity]], tblSeverityAnalysis[[#Headers],[CCCM]:[WASH]], ""), "")), "")</f>
        <v>Food Security</v>
      </c>
      <c r="AM73" s="132" t="str">
        <f>IFERROR(IF(AND(tblSeverityAnalysis[[#This Row],[5]] &lt;&gt; "", tblSeverityAnalysis[[#This Row],[5]]&gt;=sectors_sev_5), "Flagged", ""), "")</f>
        <v/>
      </c>
      <c r="AN73" s="133" t="str">
        <f>IFERROR(IF(AND(tblSeverityAnalysis[[#This Row],[Preliminary Intersectoral Severity based on overlap of sectoral deprivations]]=4, SUM(tblSeverityAnalysis[[#This Row],[ 4 ]:[5]])&gt;=sectors_sev_4), "Flagged", ""), "")</f>
        <v/>
      </c>
      <c r="AO73" s="133" t="str" cm="1">
        <f t="array" ref="AO7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3" s="335"/>
      <c r="AR73" s="336"/>
      <c r="AS73" s="335"/>
      <c r="AT73" s="337">
        <f>COUNTIF(tblSeverityAnalysis[[#This Row],[1 sector in severity phase 5 '[modify the threshold']]:[Manual Flag]], "Flagged")</f>
        <v>2</v>
      </c>
      <c r="AU73" s="338">
        <f>tblSeverityAnalysis[[#This Row],[Preliminary Intersectoral Severity based on overlap of sectoral deprivations]]</f>
        <v>1</v>
      </c>
      <c r="AV73" s="339"/>
    </row>
    <row r="74" spans="1:48" ht="15" hidden="1" customHeight="1">
      <c r="A7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MZ0705</v>
      </c>
      <c r="B74" s="39" t="s">
        <v>183</v>
      </c>
      <c r="C74" s="340" t="s">
        <v>184</v>
      </c>
      <c r="D74" s="340" t="s">
        <v>374</v>
      </c>
      <c r="E74" s="33" t="s">
        <v>375</v>
      </c>
      <c r="F74" s="33"/>
      <c r="G74" s="33"/>
      <c r="H74" s="20"/>
      <c r="I74" s="95">
        <v>132566</v>
      </c>
      <c r="J74" s="95"/>
      <c r="K74" s="321"/>
      <c r="L74" s="303"/>
      <c r="M74" s="303" t="s">
        <v>264</v>
      </c>
      <c r="N74" s="303"/>
      <c r="O74" s="372"/>
      <c r="P74" s="303">
        <v>0</v>
      </c>
      <c r="Q74" s="304"/>
      <c r="R74" s="303">
        <v>2</v>
      </c>
      <c r="S74" s="303"/>
      <c r="T74" s="303"/>
      <c r="U74" s="303"/>
      <c r="V74" s="303"/>
      <c r="W74" s="330" t="str">
        <f>IF(COUNTIF(tblSeverityAnalysis[[#This Row],[CCCM]:[WASH]], 1)=0, "", COUNTIF(tblSeverityAnalysis[[#This Row],[CCCM]:[WASH]], 1))</f>
        <v/>
      </c>
      <c r="X74" s="331">
        <f>IF(COUNTIF(tblSeverityAnalysis[[#This Row],[CCCM]:[WASH]], 2)=0, "", COUNTIF(tblSeverityAnalysis[[#This Row],[CCCM]:[WASH]], 2))</f>
        <v>1</v>
      </c>
      <c r="Y74" s="331" t="str">
        <f>IF(COUNTIF(tblSeverityAnalysis[[#This Row],[CCCM]:[WASH]], 3)=0, "", COUNTIF(tblSeverityAnalysis[[#This Row],[CCCM]:[WASH]], 3))</f>
        <v/>
      </c>
      <c r="Z74" s="331" t="str">
        <f>IF(COUNTIF(tblSeverityAnalysis[[#This Row],[CCCM]:[WASH]], 4)=0, "", COUNTIF(tblSeverityAnalysis[[#This Row],[CCCM]:[WASH]], 4))</f>
        <v/>
      </c>
      <c r="AA74" s="332" t="str">
        <f>IF(COUNTIF(tblSeverityAnalysis[[#This Row],[CCCM]:[WASH]], 5)=0, "", COUNTIF(tblSeverityAnalysis[[#This Row],[CCCM]:[WASH]], 5))</f>
        <v/>
      </c>
      <c r="AB74" s="59" cm="1">
        <f t="array" ref="AB7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4" s="41" t="str">
        <f>IFERROR(IF(INDEX(tblSeverityReference[Malnutrition Severity],MATCH(tblSeverityAnalysis[[#This Row],[ID]], tblSeverityReference[ID], 0))= "", "",INDEX(tblSeverityReference[Malnutrition Severity],MATCH(tblSeverityAnalysis[[#This Row],[ID]], tblSeverityReference[ID], 0)) ), "")</f>
        <v/>
      </c>
      <c r="AE74" s="303">
        <f>IFERROR(IF(INDEX(tblSeverityReference[Epidemic Severity],MATCH(tblSeverityAnalysis[[#This Row],[ID]], tblSeverityReference[ID], 0))= "", "",INDEX(tblSeverityReference[Epidemic Severity],MATCH(tblSeverityAnalysis[[#This Row],[ID]], tblSeverityReference[ID], 0)) ), "")</f>
        <v>1</v>
      </c>
      <c r="AF74" s="303" t="str">
        <f>IFERROR(IF(INDEX(tblSeverityReference[Coping Strategy Severity],MATCH(tblSeverityAnalysis[[#This Row],[ID]], tblSeverityReference[ID], 0))= "", "",INDEX(tblSeverityReference[Coping Strategy Severity],MATCH(tblSeverityAnalysis[[#This Row],[ID]], tblSeverityReference[ID], 0)) ), "")</f>
        <v/>
      </c>
      <c r="AG74" s="108" t="str">
        <f>IFERROR(IF(INDEX(tblSeverityReference[HR/IHL Violation],MATCH(tblSeverityAnalysis[[#This Row],[ID]], tblSeverityReference[ID], 0))= "", "",INDEX(tblSeverityReference[HR/IHL Violation],MATCH(tblSeverityAnalysis[[#This Row],[ID]], tblSeverityReference[ID], 0)) ), "")</f>
        <v/>
      </c>
      <c r="AH74" s="81">
        <f>IFERROR(AVERAGE(tblSeverityAnalysis[[#This Row],[CCCM]:[WASH]]), "")</f>
        <v>1</v>
      </c>
      <c r="AI74" s="27">
        <f>IF(SUM(tblSeverityAnalysis[[#This Row],[CCCM]:[WASH]])=0, "", MAX(tblSeverityAnalysis[[#This Row],[CCCM]:[WASH]]))</f>
        <v>2</v>
      </c>
      <c r="AJ74" s="333" t="str" cm="1">
        <f t="array" ref="AJ74">IFERROR(IF(tblSeverityAnalysis[[#This Row],[Highest Severity]]="", "", _xlfn.TEXTJOIN(CHAR(10), TRUE, IF(tblSeverityAnalysis[[#This Row],[CCCM]:[WASH]]=tblSeverityAnalysis[[#This Row],[Highest Severity]], tblSeverityAnalysis[[#Headers],[CCCM]:[WASH]], ""), "")), "")</f>
        <v>WASH</v>
      </c>
      <c r="AK74" s="27" cm="1">
        <f t="array" ref="AK74">IFERROR(MAX(_xlfn._xlws.FILTER(tblSeverityAnalysis[[#This Row],[CCCM]:[WASH]], tblSeverityAnalysis[[#This Row],[CCCM]:[WASH]]&lt;tblSeverityAnalysis[[#This Row],[Highest Severity]])), "")</f>
        <v>0</v>
      </c>
      <c r="AL74" s="313" t="str" cm="1">
        <f t="array" ref="AL7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4" s="132" t="str">
        <f>IFERROR(IF(AND(tblSeverityAnalysis[[#This Row],[5]] &lt;&gt; "", tblSeverityAnalysis[[#This Row],[5]]&gt;=sectors_sev_5), "Flagged", ""), "")</f>
        <v/>
      </c>
      <c r="AN74" s="133" t="str">
        <f>IFERROR(IF(AND(tblSeverityAnalysis[[#This Row],[Preliminary Intersectoral Severity based on overlap of sectoral deprivations]]=4, SUM(tblSeverityAnalysis[[#This Row],[ 4 ]:[5]])&gt;=sectors_sev_4), "Flagged", ""), "")</f>
        <v/>
      </c>
      <c r="AO74" s="133" t="str" cm="1">
        <f t="array" ref="AO7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4" s="335"/>
      <c r="AR74" s="336"/>
      <c r="AS74" s="335"/>
      <c r="AT74" s="337">
        <f>COUNTIF(tblSeverityAnalysis[[#This Row],[1 sector in severity phase 5 '[modify the threshold']]:[Manual Flag]], "Flagged")</f>
        <v>0</v>
      </c>
      <c r="AU74" s="338">
        <f>tblSeverityAnalysis[[#This Row],[Preliminary Intersectoral Severity based on overlap of sectoral deprivations]]</f>
        <v>1</v>
      </c>
      <c r="AV74" s="339"/>
    </row>
    <row r="75" spans="1:48" ht="15" hidden="1" customHeight="1">
      <c r="A7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MZ0706</v>
      </c>
      <c r="B75" s="39" t="s">
        <v>183</v>
      </c>
      <c r="C75" s="340" t="s">
        <v>184</v>
      </c>
      <c r="D75" s="340" t="s">
        <v>376</v>
      </c>
      <c r="E75" s="33" t="s">
        <v>377</v>
      </c>
      <c r="F75" s="33"/>
      <c r="G75" s="33"/>
      <c r="H75" s="20"/>
      <c r="I75" s="95">
        <v>123802</v>
      </c>
      <c r="J75" s="95"/>
      <c r="K75" s="321"/>
      <c r="L75" s="303"/>
      <c r="M75" s="303" t="s">
        <v>264</v>
      </c>
      <c r="N75" s="303"/>
      <c r="O75" s="372"/>
      <c r="P75" s="303">
        <v>0</v>
      </c>
      <c r="Q75" s="304"/>
      <c r="R75" s="303">
        <v>3</v>
      </c>
      <c r="S75" s="303"/>
      <c r="T75" s="303"/>
      <c r="U75" s="303"/>
      <c r="V75" s="303"/>
      <c r="W75" s="330" t="str">
        <f>IF(COUNTIF(tblSeverityAnalysis[[#This Row],[CCCM]:[WASH]], 1)=0, "", COUNTIF(tblSeverityAnalysis[[#This Row],[CCCM]:[WASH]], 1))</f>
        <v/>
      </c>
      <c r="X75" s="331" t="str">
        <f>IF(COUNTIF(tblSeverityAnalysis[[#This Row],[CCCM]:[WASH]], 2)=0, "", COUNTIF(tblSeverityAnalysis[[#This Row],[CCCM]:[WASH]], 2))</f>
        <v/>
      </c>
      <c r="Y75" s="331">
        <f>IF(COUNTIF(tblSeverityAnalysis[[#This Row],[CCCM]:[WASH]], 3)=0, "", COUNTIF(tblSeverityAnalysis[[#This Row],[CCCM]:[WASH]], 3))</f>
        <v>1</v>
      </c>
      <c r="Z75" s="331" t="str">
        <f>IF(COUNTIF(tblSeverityAnalysis[[#This Row],[CCCM]:[WASH]], 4)=0, "", COUNTIF(tblSeverityAnalysis[[#This Row],[CCCM]:[WASH]], 4))</f>
        <v/>
      </c>
      <c r="AA75" s="332" t="str">
        <f>IF(COUNTIF(tblSeverityAnalysis[[#This Row],[CCCM]:[WASH]], 5)=0, "", COUNTIF(tblSeverityAnalysis[[#This Row],[CCCM]:[WASH]], 5))</f>
        <v/>
      </c>
      <c r="AB75" s="59" cm="1">
        <f t="array" ref="AB7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5" s="41" t="str">
        <f>IFERROR(IF(INDEX(tblSeverityReference[Malnutrition Severity],MATCH(tblSeverityAnalysis[[#This Row],[ID]], tblSeverityReference[ID], 0))= "", "",INDEX(tblSeverityReference[Malnutrition Severity],MATCH(tblSeverityAnalysis[[#This Row],[ID]], tblSeverityReference[ID], 0)) ), "")</f>
        <v/>
      </c>
      <c r="AE75" s="303">
        <f>IFERROR(IF(INDEX(tblSeverityReference[Epidemic Severity],MATCH(tblSeverityAnalysis[[#This Row],[ID]], tblSeverityReference[ID], 0))= "", "",INDEX(tblSeverityReference[Epidemic Severity],MATCH(tblSeverityAnalysis[[#This Row],[ID]], tblSeverityReference[ID], 0)) ), "")</f>
        <v>1</v>
      </c>
      <c r="AF75" s="303" t="str">
        <f>IFERROR(IF(INDEX(tblSeverityReference[Coping Strategy Severity],MATCH(tblSeverityAnalysis[[#This Row],[ID]], tblSeverityReference[ID], 0))= "", "",INDEX(tblSeverityReference[Coping Strategy Severity],MATCH(tblSeverityAnalysis[[#This Row],[ID]], tblSeverityReference[ID], 0)) ), "")</f>
        <v/>
      </c>
      <c r="AG75" s="108" t="str">
        <f>IFERROR(IF(INDEX(tblSeverityReference[HR/IHL Violation],MATCH(tblSeverityAnalysis[[#This Row],[ID]], tblSeverityReference[ID], 0))= "", "",INDEX(tblSeverityReference[HR/IHL Violation],MATCH(tblSeverityAnalysis[[#This Row],[ID]], tblSeverityReference[ID], 0)) ), "")</f>
        <v/>
      </c>
      <c r="AH75" s="81">
        <f>IFERROR(AVERAGE(tblSeverityAnalysis[[#This Row],[CCCM]:[WASH]]), "")</f>
        <v>1.5</v>
      </c>
      <c r="AI75" s="27">
        <f>IF(SUM(tblSeverityAnalysis[[#This Row],[CCCM]:[WASH]])=0, "", MAX(tblSeverityAnalysis[[#This Row],[CCCM]:[WASH]]))</f>
        <v>3</v>
      </c>
      <c r="AJ75" s="333" t="str" cm="1">
        <f t="array" ref="AJ75">IFERROR(IF(tblSeverityAnalysis[[#This Row],[Highest Severity]]="", "", _xlfn.TEXTJOIN(CHAR(10), TRUE, IF(tblSeverityAnalysis[[#This Row],[CCCM]:[WASH]]=tblSeverityAnalysis[[#This Row],[Highest Severity]], tblSeverityAnalysis[[#Headers],[CCCM]:[WASH]], ""), "")), "")</f>
        <v>WASH</v>
      </c>
      <c r="AK75" s="27" cm="1">
        <f t="array" ref="AK75">IFERROR(MAX(_xlfn._xlws.FILTER(tblSeverityAnalysis[[#This Row],[CCCM]:[WASH]], tblSeverityAnalysis[[#This Row],[CCCM]:[WASH]]&lt;tblSeverityAnalysis[[#This Row],[Highest Severity]])), "")</f>
        <v>0</v>
      </c>
      <c r="AL75" s="313" t="str" cm="1">
        <f t="array" ref="AL7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5" s="132" t="str">
        <f>IFERROR(IF(AND(tblSeverityAnalysis[[#This Row],[5]] &lt;&gt; "", tblSeverityAnalysis[[#This Row],[5]]&gt;=sectors_sev_5), "Flagged", ""), "")</f>
        <v/>
      </c>
      <c r="AN75" s="133" t="str">
        <f>IFERROR(IF(AND(tblSeverityAnalysis[[#This Row],[Preliminary Intersectoral Severity based on overlap of sectoral deprivations]]=4, SUM(tblSeverityAnalysis[[#This Row],[ 4 ]:[5]])&gt;=sectors_sev_4), "Flagged", ""), "")</f>
        <v/>
      </c>
      <c r="AO75" s="133" t="str" cm="1">
        <f t="array" ref="AO7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5" s="335"/>
      <c r="AR75" s="336"/>
      <c r="AS75" s="335"/>
      <c r="AT75" s="337">
        <f>COUNTIF(tblSeverityAnalysis[[#This Row],[1 sector in severity phase 5 '[modify the threshold']]:[Manual Flag]], "Flagged")</f>
        <v>0</v>
      </c>
      <c r="AU75" s="338">
        <f>tblSeverityAnalysis[[#This Row],[Preliminary Intersectoral Severity based on overlap of sectoral deprivations]]</f>
        <v>1</v>
      </c>
      <c r="AV75" s="339"/>
    </row>
    <row r="76" spans="1:48" ht="15" hidden="1" customHeight="1">
      <c r="A7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MZ0707</v>
      </c>
      <c r="B76" s="39" t="s">
        <v>183</v>
      </c>
      <c r="C76" s="340" t="s">
        <v>184</v>
      </c>
      <c r="D76" s="340" t="s">
        <v>378</v>
      </c>
      <c r="E76" s="33" t="s">
        <v>379</v>
      </c>
      <c r="F76" s="33"/>
      <c r="G76" s="33"/>
      <c r="H76" s="20"/>
      <c r="I76" s="95">
        <v>114176</v>
      </c>
      <c r="J76" s="95"/>
      <c r="K76" s="321"/>
      <c r="L76" s="303"/>
      <c r="M76" s="303" t="s">
        <v>264</v>
      </c>
      <c r="N76" s="303"/>
      <c r="O76" s="372"/>
      <c r="P76" s="303">
        <v>0</v>
      </c>
      <c r="Q76" s="304"/>
      <c r="R76" s="303">
        <v>3</v>
      </c>
      <c r="S76" s="303"/>
      <c r="T76" s="303"/>
      <c r="U76" s="303"/>
      <c r="V76" s="303"/>
      <c r="W76" s="330" t="str">
        <f>IF(COUNTIF(tblSeverityAnalysis[[#This Row],[CCCM]:[WASH]], 1)=0, "", COUNTIF(tblSeverityAnalysis[[#This Row],[CCCM]:[WASH]], 1))</f>
        <v/>
      </c>
      <c r="X76" s="331" t="str">
        <f>IF(COUNTIF(tblSeverityAnalysis[[#This Row],[CCCM]:[WASH]], 2)=0, "", COUNTIF(tblSeverityAnalysis[[#This Row],[CCCM]:[WASH]], 2))</f>
        <v/>
      </c>
      <c r="Y76" s="331">
        <f>IF(COUNTIF(tblSeverityAnalysis[[#This Row],[CCCM]:[WASH]], 3)=0, "", COUNTIF(tblSeverityAnalysis[[#This Row],[CCCM]:[WASH]], 3))</f>
        <v>1</v>
      </c>
      <c r="Z76" s="331" t="str">
        <f>IF(COUNTIF(tblSeverityAnalysis[[#This Row],[CCCM]:[WASH]], 4)=0, "", COUNTIF(tblSeverityAnalysis[[#This Row],[CCCM]:[WASH]], 4))</f>
        <v/>
      </c>
      <c r="AA76" s="332" t="str">
        <f>IF(COUNTIF(tblSeverityAnalysis[[#This Row],[CCCM]:[WASH]], 5)=0, "", COUNTIF(tblSeverityAnalysis[[#This Row],[CCCM]:[WASH]], 5))</f>
        <v/>
      </c>
      <c r="AB76" s="59" cm="1">
        <f t="array" ref="AB7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6" s="41" t="str">
        <f>IFERROR(IF(INDEX(tblSeverityReference[Malnutrition Severity],MATCH(tblSeverityAnalysis[[#This Row],[ID]], tblSeverityReference[ID], 0))= "", "",INDEX(tblSeverityReference[Malnutrition Severity],MATCH(tblSeverityAnalysis[[#This Row],[ID]], tblSeverityReference[ID], 0)) ), "")</f>
        <v/>
      </c>
      <c r="AE76" s="303">
        <f>IFERROR(IF(INDEX(tblSeverityReference[Epidemic Severity],MATCH(tblSeverityAnalysis[[#This Row],[ID]], tblSeverityReference[ID], 0))= "", "",INDEX(tblSeverityReference[Epidemic Severity],MATCH(tblSeverityAnalysis[[#This Row],[ID]], tblSeverityReference[ID], 0)) ), "")</f>
        <v>2.2352941176470589</v>
      </c>
      <c r="AF76" s="303" t="str">
        <f>IFERROR(IF(INDEX(tblSeverityReference[Coping Strategy Severity],MATCH(tblSeverityAnalysis[[#This Row],[ID]], tblSeverityReference[ID], 0))= "", "",INDEX(tblSeverityReference[Coping Strategy Severity],MATCH(tblSeverityAnalysis[[#This Row],[ID]], tblSeverityReference[ID], 0)) ), "")</f>
        <v/>
      </c>
      <c r="AG76" s="108" t="str">
        <f>IFERROR(IF(INDEX(tblSeverityReference[HR/IHL Violation],MATCH(tblSeverityAnalysis[[#This Row],[ID]], tblSeverityReference[ID], 0))= "", "",INDEX(tblSeverityReference[HR/IHL Violation],MATCH(tblSeverityAnalysis[[#This Row],[ID]], tblSeverityReference[ID], 0)) ), "")</f>
        <v/>
      </c>
      <c r="AH76" s="81">
        <f>IFERROR(AVERAGE(tblSeverityAnalysis[[#This Row],[CCCM]:[WASH]]), "")</f>
        <v>1.5</v>
      </c>
      <c r="AI76" s="27">
        <f>IF(SUM(tblSeverityAnalysis[[#This Row],[CCCM]:[WASH]])=0, "", MAX(tblSeverityAnalysis[[#This Row],[CCCM]:[WASH]]))</f>
        <v>3</v>
      </c>
      <c r="AJ76" s="333" t="str" cm="1">
        <f t="array" ref="AJ76">IFERROR(IF(tblSeverityAnalysis[[#This Row],[Highest Severity]]="", "", _xlfn.TEXTJOIN(CHAR(10), TRUE, IF(tblSeverityAnalysis[[#This Row],[CCCM]:[WASH]]=tblSeverityAnalysis[[#This Row],[Highest Severity]], tblSeverityAnalysis[[#Headers],[CCCM]:[WASH]], ""), "")), "")</f>
        <v>WASH</v>
      </c>
      <c r="AK76" s="27" cm="1">
        <f t="array" ref="AK76">IFERROR(MAX(_xlfn._xlws.FILTER(tblSeverityAnalysis[[#This Row],[CCCM]:[WASH]], tblSeverityAnalysis[[#This Row],[CCCM]:[WASH]]&lt;tblSeverityAnalysis[[#This Row],[Highest Severity]])), "")</f>
        <v>0</v>
      </c>
      <c r="AL76" s="313" t="str" cm="1">
        <f t="array" ref="AL7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6" s="132" t="str">
        <f>IFERROR(IF(AND(tblSeverityAnalysis[[#This Row],[5]] &lt;&gt; "", tblSeverityAnalysis[[#This Row],[5]]&gt;=sectors_sev_5), "Flagged", ""), "")</f>
        <v/>
      </c>
      <c r="AN76" s="133" t="str">
        <f>IFERROR(IF(AND(tblSeverityAnalysis[[#This Row],[Preliminary Intersectoral Severity based on overlap of sectoral deprivations]]=4, SUM(tblSeverityAnalysis[[#This Row],[ 4 ]:[5]])&gt;=sectors_sev_4), "Flagged", ""), "")</f>
        <v/>
      </c>
      <c r="AO76" s="133" t="str" cm="1">
        <f t="array" ref="AO7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6" s="335"/>
      <c r="AR76" s="336"/>
      <c r="AS76" s="335"/>
      <c r="AT76" s="337">
        <f>COUNTIF(tblSeverityAnalysis[[#This Row],[1 sector in severity phase 5 '[modify the threshold']]:[Manual Flag]], "Flagged")</f>
        <v>0</v>
      </c>
      <c r="AU76" s="338">
        <f>tblSeverityAnalysis[[#This Row],[Preliminary Intersectoral Severity based on overlap of sectoral deprivations]]</f>
        <v>1</v>
      </c>
      <c r="AV76" s="339"/>
    </row>
    <row r="77" spans="1:48" ht="15" hidden="1" customHeight="1">
      <c r="A7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MZ0708</v>
      </c>
      <c r="B77" s="39" t="s">
        <v>183</v>
      </c>
      <c r="C77" s="340" t="s">
        <v>184</v>
      </c>
      <c r="D77" s="340" t="s">
        <v>380</v>
      </c>
      <c r="E77" s="33" t="s">
        <v>381</v>
      </c>
      <c r="F77" s="33"/>
      <c r="G77" s="33"/>
      <c r="H77" s="20"/>
      <c r="I77" s="95">
        <v>278852</v>
      </c>
      <c r="J77" s="95"/>
      <c r="K77" s="321"/>
      <c r="L77" s="303"/>
      <c r="M77" s="303" t="s">
        <v>264</v>
      </c>
      <c r="N77" s="303"/>
      <c r="O77" s="372"/>
      <c r="P77" s="303">
        <v>0</v>
      </c>
      <c r="Q77" s="304"/>
      <c r="R77" s="303">
        <v>3</v>
      </c>
      <c r="S77" s="303"/>
      <c r="T77" s="303"/>
      <c r="U77" s="303"/>
      <c r="V77" s="303"/>
      <c r="W77" s="330" t="str">
        <f>IF(COUNTIF(tblSeverityAnalysis[[#This Row],[CCCM]:[WASH]], 1)=0, "", COUNTIF(tblSeverityAnalysis[[#This Row],[CCCM]:[WASH]], 1))</f>
        <v/>
      </c>
      <c r="X77" s="331" t="str">
        <f>IF(COUNTIF(tblSeverityAnalysis[[#This Row],[CCCM]:[WASH]], 2)=0, "", COUNTIF(tblSeverityAnalysis[[#This Row],[CCCM]:[WASH]], 2))</f>
        <v/>
      </c>
      <c r="Y77" s="331">
        <f>IF(COUNTIF(tblSeverityAnalysis[[#This Row],[CCCM]:[WASH]], 3)=0, "", COUNTIF(tblSeverityAnalysis[[#This Row],[CCCM]:[WASH]], 3))</f>
        <v>1</v>
      </c>
      <c r="Z77" s="331" t="str">
        <f>IF(COUNTIF(tblSeverityAnalysis[[#This Row],[CCCM]:[WASH]], 4)=0, "", COUNTIF(tblSeverityAnalysis[[#This Row],[CCCM]:[WASH]], 4))</f>
        <v/>
      </c>
      <c r="AA77" s="332" t="str">
        <f>IF(COUNTIF(tblSeverityAnalysis[[#This Row],[CCCM]:[WASH]], 5)=0, "", COUNTIF(tblSeverityAnalysis[[#This Row],[CCCM]:[WASH]], 5))</f>
        <v/>
      </c>
      <c r="AB77" s="59" cm="1">
        <f t="array" ref="AB7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7" s="41" t="str">
        <f>IFERROR(IF(INDEX(tblSeverityReference[Malnutrition Severity],MATCH(tblSeverityAnalysis[[#This Row],[ID]], tblSeverityReference[ID], 0))= "", "",INDEX(tblSeverityReference[Malnutrition Severity],MATCH(tblSeverityAnalysis[[#This Row],[ID]], tblSeverityReference[ID], 0)) ), "")</f>
        <v/>
      </c>
      <c r="AE77" s="303">
        <f>IFERROR(IF(INDEX(tblSeverityReference[Epidemic Severity],MATCH(tblSeverityAnalysis[[#This Row],[ID]], tblSeverityReference[ID], 0))= "", "",INDEX(tblSeverityReference[Epidemic Severity],MATCH(tblSeverityAnalysis[[#This Row],[ID]], tblSeverityReference[ID], 0)) ), "")</f>
        <v>2.2352941176470589</v>
      </c>
      <c r="AF77" s="303" t="str">
        <f>IFERROR(IF(INDEX(tblSeverityReference[Coping Strategy Severity],MATCH(tblSeverityAnalysis[[#This Row],[ID]], tblSeverityReference[ID], 0))= "", "",INDEX(tblSeverityReference[Coping Strategy Severity],MATCH(tblSeverityAnalysis[[#This Row],[ID]], tblSeverityReference[ID], 0)) ), "")</f>
        <v/>
      </c>
      <c r="AG77" s="108" t="str">
        <f>IFERROR(IF(INDEX(tblSeverityReference[HR/IHL Violation],MATCH(tblSeverityAnalysis[[#This Row],[ID]], tblSeverityReference[ID], 0))= "", "",INDEX(tblSeverityReference[HR/IHL Violation],MATCH(tblSeverityAnalysis[[#This Row],[ID]], tblSeverityReference[ID], 0)) ), "")</f>
        <v/>
      </c>
      <c r="AH77" s="81">
        <f>IFERROR(AVERAGE(tblSeverityAnalysis[[#This Row],[CCCM]:[WASH]]), "")</f>
        <v>1.5</v>
      </c>
      <c r="AI77" s="27">
        <f>IF(SUM(tblSeverityAnalysis[[#This Row],[CCCM]:[WASH]])=0, "", MAX(tblSeverityAnalysis[[#This Row],[CCCM]:[WASH]]))</f>
        <v>3</v>
      </c>
      <c r="AJ77" s="333" t="str" cm="1">
        <f t="array" ref="AJ77">IFERROR(IF(tblSeverityAnalysis[[#This Row],[Highest Severity]]="", "", _xlfn.TEXTJOIN(CHAR(10), TRUE, IF(tblSeverityAnalysis[[#This Row],[CCCM]:[WASH]]=tblSeverityAnalysis[[#This Row],[Highest Severity]], tblSeverityAnalysis[[#Headers],[CCCM]:[WASH]], ""), "")), "")</f>
        <v>WASH</v>
      </c>
      <c r="AK77" s="27" cm="1">
        <f t="array" ref="AK77">IFERROR(MAX(_xlfn._xlws.FILTER(tblSeverityAnalysis[[#This Row],[CCCM]:[WASH]], tblSeverityAnalysis[[#This Row],[CCCM]:[WASH]]&lt;tblSeverityAnalysis[[#This Row],[Highest Severity]])), "")</f>
        <v>0</v>
      </c>
      <c r="AL77" s="313" t="str" cm="1">
        <f t="array" ref="AL7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7" s="132" t="str">
        <f>IFERROR(IF(AND(tblSeverityAnalysis[[#This Row],[5]] &lt;&gt; "", tblSeverityAnalysis[[#This Row],[5]]&gt;=sectors_sev_5), "Flagged", ""), "")</f>
        <v/>
      </c>
      <c r="AN77" s="133" t="str">
        <f>IFERROR(IF(AND(tblSeverityAnalysis[[#This Row],[Preliminary Intersectoral Severity based on overlap of sectoral deprivations]]=4, SUM(tblSeverityAnalysis[[#This Row],[ 4 ]:[5]])&gt;=sectors_sev_4), "Flagged", ""), "")</f>
        <v/>
      </c>
      <c r="AO77" s="133" t="str" cm="1">
        <f t="array" ref="AO7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7" s="335"/>
      <c r="AR77" s="336"/>
      <c r="AS77" s="335"/>
      <c r="AT77" s="337">
        <f>COUNTIF(tblSeverityAnalysis[[#This Row],[1 sector in severity phase 5 '[modify the threshold']]:[Manual Flag]], "Flagged")</f>
        <v>0</v>
      </c>
      <c r="AU77" s="338">
        <f>tblSeverityAnalysis[[#This Row],[Preliminary Intersectoral Severity based on overlap of sectoral deprivations]]</f>
        <v>1</v>
      </c>
      <c r="AV77" s="339"/>
    </row>
    <row r="78" spans="1:48" ht="15" hidden="1" customHeight="1">
      <c r="A7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MZ0709</v>
      </c>
      <c r="B78" s="39" t="s">
        <v>183</v>
      </c>
      <c r="C78" s="340" t="s">
        <v>184</v>
      </c>
      <c r="D78" s="340" t="s">
        <v>382</v>
      </c>
      <c r="E78" s="33" t="s">
        <v>383</v>
      </c>
      <c r="F78" s="33"/>
      <c r="G78" s="33"/>
      <c r="H78" s="20"/>
      <c r="I78" s="95">
        <v>309547</v>
      </c>
      <c r="J78" s="95"/>
      <c r="K78" s="321"/>
      <c r="L78" s="303"/>
      <c r="M78" s="303" t="s">
        <v>264</v>
      </c>
      <c r="N78" s="303"/>
      <c r="O78" s="372"/>
      <c r="P78" s="303">
        <v>0</v>
      </c>
      <c r="Q78" s="304"/>
      <c r="R78" s="303">
        <v>3</v>
      </c>
      <c r="S78" s="303"/>
      <c r="T78" s="303"/>
      <c r="U78" s="303"/>
      <c r="V78" s="303"/>
      <c r="W78" s="330" t="str">
        <f>IF(COUNTIF(tblSeverityAnalysis[[#This Row],[CCCM]:[WASH]], 1)=0, "", COUNTIF(tblSeverityAnalysis[[#This Row],[CCCM]:[WASH]], 1))</f>
        <v/>
      </c>
      <c r="X78" s="331" t="str">
        <f>IF(COUNTIF(tblSeverityAnalysis[[#This Row],[CCCM]:[WASH]], 2)=0, "", COUNTIF(tblSeverityAnalysis[[#This Row],[CCCM]:[WASH]], 2))</f>
        <v/>
      </c>
      <c r="Y78" s="331">
        <f>IF(COUNTIF(tblSeverityAnalysis[[#This Row],[CCCM]:[WASH]], 3)=0, "", COUNTIF(tblSeverityAnalysis[[#This Row],[CCCM]:[WASH]], 3))</f>
        <v>1</v>
      </c>
      <c r="Z78" s="331" t="str">
        <f>IF(COUNTIF(tblSeverityAnalysis[[#This Row],[CCCM]:[WASH]], 4)=0, "", COUNTIF(tblSeverityAnalysis[[#This Row],[CCCM]:[WASH]], 4))</f>
        <v/>
      </c>
      <c r="AA78" s="332" t="str">
        <f>IF(COUNTIF(tblSeverityAnalysis[[#This Row],[CCCM]:[WASH]], 5)=0, "", COUNTIF(tblSeverityAnalysis[[#This Row],[CCCM]:[WASH]], 5))</f>
        <v/>
      </c>
      <c r="AB78" s="59" cm="1">
        <f t="array" ref="AB7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8" s="41" t="str">
        <f>IFERROR(IF(INDEX(tblSeverityReference[Malnutrition Severity],MATCH(tblSeverityAnalysis[[#This Row],[ID]], tblSeverityReference[ID], 0))= "", "",INDEX(tblSeverityReference[Malnutrition Severity],MATCH(tblSeverityAnalysis[[#This Row],[ID]], tblSeverityReference[ID], 0)) ), "")</f>
        <v/>
      </c>
      <c r="AE78" s="303">
        <f>IFERROR(IF(INDEX(tblSeverityReference[Epidemic Severity],MATCH(tblSeverityAnalysis[[#This Row],[ID]], tblSeverityReference[ID], 0))= "", "",INDEX(tblSeverityReference[Epidemic Severity],MATCH(tblSeverityAnalysis[[#This Row],[ID]], tblSeverityReference[ID], 0)) ), "")</f>
        <v>2.2352941176470589</v>
      </c>
      <c r="AF78" s="303" t="str">
        <f>IFERROR(IF(INDEX(tblSeverityReference[Coping Strategy Severity],MATCH(tblSeverityAnalysis[[#This Row],[ID]], tblSeverityReference[ID], 0))= "", "",INDEX(tblSeverityReference[Coping Strategy Severity],MATCH(tblSeverityAnalysis[[#This Row],[ID]], tblSeverityReference[ID], 0)) ), "")</f>
        <v/>
      </c>
      <c r="AG78" s="108" t="str">
        <f>IFERROR(IF(INDEX(tblSeverityReference[HR/IHL Violation],MATCH(tblSeverityAnalysis[[#This Row],[ID]], tblSeverityReference[ID], 0))= "", "",INDEX(tblSeverityReference[HR/IHL Violation],MATCH(tblSeverityAnalysis[[#This Row],[ID]], tblSeverityReference[ID], 0)) ), "")</f>
        <v/>
      </c>
      <c r="AH78" s="81">
        <f>IFERROR(AVERAGE(tblSeverityAnalysis[[#This Row],[CCCM]:[WASH]]), "")</f>
        <v>1.5</v>
      </c>
      <c r="AI78" s="27">
        <f>IF(SUM(tblSeverityAnalysis[[#This Row],[CCCM]:[WASH]])=0, "", MAX(tblSeverityAnalysis[[#This Row],[CCCM]:[WASH]]))</f>
        <v>3</v>
      </c>
      <c r="AJ78" s="333" t="str" cm="1">
        <f t="array" ref="AJ78">IFERROR(IF(tblSeverityAnalysis[[#This Row],[Highest Severity]]="", "", _xlfn.TEXTJOIN(CHAR(10), TRUE, IF(tblSeverityAnalysis[[#This Row],[CCCM]:[WASH]]=tblSeverityAnalysis[[#This Row],[Highest Severity]], tblSeverityAnalysis[[#Headers],[CCCM]:[WASH]], ""), "")), "")</f>
        <v>WASH</v>
      </c>
      <c r="AK78" s="27" cm="1">
        <f t="array" ref="AK78">IFERROR(MAX(_xlfn._xlws.FILTER(tblSeverityAnalysis[[#This Row],[CCCM]:[WASH]], tblSeverityAnalysis[[#This Row],[CCCM]:[WASH]]&lt;tblSeverityAnalysis[[#This Row],[Highest Severity]])), "")</f>
        <v>0</v>
      </c>
      <c r="AL78" s="313" t="str" cm="1">
        <f t="array" ref="AL7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8" s="132" t="str">
        <f>IFERROR(IF(AND(tblSeverityAnalysis[[#This Row],[5]] &lt;&gt; "", tblSeverityAnalysis[[#This Row],[5]]&gt;=sectors_sev_5), "Flagged", ""), "")</f>
        <v/>
      </c>
      <c r="AN78" s="133" t="str">
        <f>IFERROR(IF(AND(tblSeverityAnalysis[[#This Row],[Preliminary Intersectoral Severity based on overlap of sectoral deprivations]]=4, SUM(tblSeverityAnalysis[[#This Row],[ 4 ]:[5]])&gt;=sectors_sev_4), "Flagged", ""), "")</f>
        <v/>
      </c>
      <c r="AO78" s="133" t="str" cm="1">
        <f t="array" ref="AO7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8" s="335"/>
      <c r="AR78" s="336"/>
      <c r="AS78" s="335"/>
      <c r="AT78" s="337">
        <f>COUNTIF(tblSeverityAnalysis[[#This Row],[1 sector in severity phase 5 '[modify the threshold']]:[Manual Flag]], "Flagged")</f>
        <v>0</v>
      </c>
      <c r="AU78" s="338">
        <f>tblSeverityAnalysis[[#This Row],[Preliminary Intersectoral Severity based on overlap of sectoral deprivations]]</f>
        <v>1</v>
      </c>
      <c r="AV78" s="339"/>
    </row>
    <row r="79" spans="1:48" ht="50.1" hidden="1" customHeight="1">
      <c r="A7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MZ0710</v>
      </c>
      <c r="B79" s="39" t="s">
        <v>183</v>
      </c>
      <c r="C79" s="340" t="s">
        <v>184</v>
      </c>
      <c r="D79" s="340" t="s">
        <v>384</v>
      </c>
      <c r="E79" s="33" t="s">
        <v>385</v>
      </c>
      <c r="F79" s="33"/>
      <c r="G79" s="33"/>
      <c r="H79" s="20"/>
      <c r="I79" s="95">
        <v>264578</v>
      </c>
      <c r="J79" s="95"/>
      <c r="K79" s="321"/>
      <c r="L79" s="303"/>
      <c r="M79" s="303" t="s">
        <v>264</v>
      </c>
      <c r="N79" s="303"/>
      <c r="O79" s="372"/>
      <c r="P79" s="303">
        <v>0</v>
      </c>
      <c r="Q79" s="304"/>
      <c r="R79" s="303">
        <v>3</v>
      </c>
      <c r="S79" s="303"/>
      <c r="T79" s="303"/>
      <c r="U79" s="303"/>
      <c r="V79" s="303"/>
      <c r="W79" s="330" t="str">
        <f>IF(COUNTIF(tblSeverityAnalysis[[#This Row],[CCCM]:[WASH]], 1)=0, "", COUNTIF(tblSeverityAnalysis[[#This Row],[CCCM]:[WASH]], 1))</f>
        <v/>
      </c>
      <c r="X79" s="331" t="str">
        <f>IF(COUNTIF(tblSeverityAnalysis[[#This Row],[CCCM]:[WASH]], 2)=0, "", COUNTIF(tblSeverityAnalysis[[#This Row],[CCCM]:[WASH]], 2))</f>
        <v/>
      </c>
      <c r="Y79" s="331">
        <f>IF(COUNTIF(tblSeverityAnalysis[[#This Row],[CCCM]:[WASH]], 3)=0, "", COUNTIF(tblSeverityAnalysis[[#This Row],[CCCM]:[WASH]], 3))</f>
        <v>1</v>
      </c>
      <c r="Z79" s="331" t="str">
        <f>IF(COUNTIF(tblSeverityAnalysis[[#This Row],[CCCM]:[WASH]], 4)=0, "", COUNTIF(tblSeverityAnalysis[[#This Row],[CCCM]:[WASH]], 4))</f>
        <v/>
      </c>
      <c r="AA79" s="332" t="str">
        <f>IF(COUNTIF(tblSeverityAnalysis[[#This Row],[CCCM]:[WASH]], 5)=0, "", COUNTIF(tblSeverityAnalysis[[#This Row],[CCCM]:[WASH]], 5))</f>
        <v/>
      </c>
      <c r="AB79" s="59" cm="1">
        <f t="array" ref="AB7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7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9" s="41" t="str">
        <f>IFERROR(IF(INDEX(tblSeverityReference[Malnutrition Severity],MATCH(tblSeverityAnalysis[[#This Row],[ID]], tblSeverityReference[ID], 0))= "", "",INDEX(tblSeverityReference[Malnutrition Severity],MATCH(tblSeverityAnalysis[[#This Row],[ID]], tblSeverityReference[ID], 0)) ), "")</f>
        <v/>
      </c>
      <c r="AE79" s="303">
        <f>IFERROR(IF(INDEX(tblSeverityReference[Epidemic Severity],MATCH(tblSeverityAnalysis[[#This Row],[ID]], tblSeverityReference[ID], 0))= "", "",INDEX(tblSeverityReference[Epidemic Severity],MATCH(tblSeverityAnalysis[[#This Row],[ID]], tblSeverityReference[ID], 0)) ), "")</f>
        <v>2.2352941176470589</v>
      </c>
      <c r="AF79" s="303" t="str">
        <f>IFERROR(IF(INDEX(tblSeverityReference[Coping Strategy Severity],MATCH(tblSeverityAnalysis[[#This Row],[ID]], tblSeverityReference[ID], 0))= "", "",INDEX(tblSeverityReference[Coping Strategy Severity],MATCH(tblSeverityAnalysis[[#This Row],[ID]], tblSeverityReference[ID], 0)) ), "")</f>
        <v/>
      </c>
      <c r="AG79" s="108" t="str">
        <f>IFERROR(IF(INDEX(tblSeverityReference[HR/IHL Violation],MATCH(tblSeverityAnalysis[[#This Row],[ID]], tblSeverityReference[ID], 0))= "", "",INDEX(tblSeverityReference[HR/IHL Violation],MATCH(tblSeverityAnalysis[[#This Row],[ID]], tblSeverityReference[ID], 0)) ), "")</f>
        <v/>
      </c>
      <c r="AH79" s="81">
        <f>IFERROR(AVERAGE(tblSeverityAnalysis[[#This Row],[CCCM]:[WASH]]), "")</f>
        <v>1.5</v>
      </c>
      <c r="AI79" s="27">
        <f>IF(SUM(tblSeverityAnalysis[[#This Row],[CCCM]:[WASH]])=0, "", MAX(tblSeverityAnalysis[[#This Row],[CCCM]:[WASH]]))</f>
        <v>3</v>
      </c>
      <c r="AJ79" s="333" t="str" cm="1">
        <f t="array" ref="AJ79">IFERROR(IF(tblSeverityAnalysis[[#This Row],[Highest Severity]]="", "", _xlfn.TEXTJOIN(CHAR(10), TRUE, IF(tblSeverityAnalysis[[#This Row],[CCCM]:[WASH]]=tblSeverityAnalysis[[#This Row],[Highest Severity]], tblSeverityAnalysis[[#Headers],[CCCM]:[WASH]], ""), "")), "")</f>
        <v>WASH</v>
      </c>
      <c r="AK79" s="27" cm="1">
        <f t="array" ref="AK79">IFERROR(MAX(_xlfn._xlws.FILTER(tblSeverityAnalysis[[#This Row],[CCCM]:[WASH]], tblSeverityAnalysis[[#This Row],[CCCM]:[WASH]]&lt;tblSeverityAnalysis[[#This Row],[Highest Severity]])), "")</f>
        <v>0</v>
      </c>
      <c r="AL79" s="313" t="str" cm="1">
        <f t="array" ref="AL7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79" s="132" t="str">
        <f>IFERROR(IF(AND(tblSeverityAnalysis[[#This Row],[5]] &lt;&gt; "", tblSeverityAnalysis[[#This Row],[5]]&gt;=sectors_sev_5), "Flagged", ""), "")</f>
        <v/>
      </c>
      <c r="AN79" s="133" t="str">
        <f>IFERROR(IF(AND(tblSeverityAnalysis[[#This Row],[Preliminary Intersectoral Severity based on overlap of sectoral deprivations]]=4, SUM(tblSeverityAnalysis[[#This Row],[ 4 ]:[5]])&gt;=sectors_sev_4), "Flagged", ""), "")</f>
        <v/>
      </c>
      <c r="AO79" s="133" t="str" cm="1">
        <f t="array" ref="AO7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9" s="335"/>
      <c r="AR79" s="336"/>
      <c r="AS79" s="335"/>
      <c r="AT79" s="337">
        <f>COUNTIF(tblSeverityAnalysis[[#This Row],[1 sector in severity phase 5 '[modify the threshold']]:[Manual Flag]], "Flagged")</f>
        <v>0</v>
      </c>
      <c r="AU79" s="338">
        <f>tblSeverityAnalysis[[#This Row],[Preliminary Intersectoral Severity based on overlap of sectoral deprivations]]</f>
        <v>1</v>
      </c>
      <c r="AV79" s="339"/>
    </row>
    <row r="80" spans="1:48" ht="15" customHeight="1">
      <c r="A8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MZ0711</v>
      </c>
      <c r="B80" s="39" t="s">
        <v>183</v>
      </c>
      <c r="C80" s="340" t="s">
        <v>184</v>
      </c>
      <c r="D80" s="340" t="s">
        <v>187</v>
      </c>
      <c r="E80" s="33" t="s">
        <v>186</v>
      </c>
      <c r="F80" s="33"/>
      <c r="G80" s="33"/>
      <c r="H80" s="20"/>
      <c r="I80" s="95">
        <v>417406</v>
      </c>
      <c r="J80" s="95"/>
      <c r="K80" s="321">
        <v>3</v>
      </c>
      <c r="L80" s="303">
        <v>3</v>
      </c>
      <c r="M80" s="303">
        <v>3</v>
      </c>
      <c r="N80" s="303">
        <v>3</v>
      </c>
      <c r="O80" s="372">
        <v>2</v>
      </c>
      <c r="P80" s="303">
        <v>4</v>
      </c>
      <c r="Q80" s="304">
        <v>3</v>
      </c>
      <c r="R80" s="303">
        <v>4</v>
      </c>
      <c r="S80" s="303">
        <v>4</v>
      </c>
      <c r="T80" s="303">
        <v>2</v>
      </c>
      <c r="U80" s="303">
        <v>4</v>
      </c>
      <c r="V80" s="303">
        <v>1</v>
      </c>
      <c r="W80" s="330" t="str">
        <f>IF(COUNTIF(tblSeverityAnalysis[[#This Row],[CCCM]:[WASH]], 1)=0, "", COUNTIF(tblSeverityAnalysis[[#This Row],[CCCM]:[WASH]], 1))</f>
        <v/>
      </c>
      <c r="X80" s="331">
        <f>IF(COUNTIF(tblSeverityAnalysis[[#This Row],[CCCM]:[WASH]], 2)=0, "", COUNTIF(tblSeverityAnalysis[[#This Row],[CCCM]:[WASH]], 2))</f>
        <v>1</v>
      </c>
      <c r="Y80" s="331">
        <f>IF(COUNTIF(tblSeverityAnalysis[[#This Row],[CCCM]:[WASH]], 3)=0, "", COUNTIF(tblSeverityAnalysis[[#This Row],[CCCM]:[WASH]], 3))</f>
        <v>5</v>
      </c>
      <c r="Z80" s="331">
        <f>IF(COUNTIF(tblSeverityAnalysis[[#This Row],[CCCM]:[WASH]], 4)=0, "", COUNTIF(tblSeverityAnalysis[[#This Row],[CCCM]:[WASH]], 4))</f>
        <v>2</v>
      </c>
      <c r="AA80" s="332" t="str">
        <f>IF(COUNTIF(tblSeverityAnalysis[[#This Row],[CCCM]:[WASH]], 5)=0, "", COUNTIF(tblSeverityAnalysis[[#This Row],[CCCM]:[WASH]], 5))</f>
        <v/>
      </c>
      <c r="AB80" s="59" cm="1">
        <f t="array" ref="AB8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0" s="41">
        <f>IFERROR(IF(INDEX(tblSeverityReference[Malnutrition Severity],MATCH(tblSeverityAnalysis[[#This Row],[ID]], tblSeverityReference[ID], 0))= "", "",INDEX(tblSeverityReference[Malnutrition Severity],MATCH(tblSeverityAnalysis[[#This Row],[ID]], tblSeverityReference[ID], 0)) ), "")</f>
        <v>2</v>
      </c>
      <c r="AE80" s="303">
        <f>IFERROR(IF(INDEX(tblSeverityReference[Epidemic Severity],MATCH(tblSeverityAnalysis[[#This Row],[ID]], tblSeverityReference[ID], 0))= "", "",INDEX(tblSeverityReference[Epidemic Severity],MATCH(tblSeverityAnalysis[[#This Row],[ID]], tblSeverityReference[ID], 0)) ), "")</f>
        <v>2.2352941176470589</v>
      </c>
      <c r="AF80" s="303" t="str">
        <f>IFERROR(IF(INDEX(tblSeverityReference[Coping Strategy Severity],MATCH(tblSeverityAnalysis[[#This Row],[ID]], tblSeverityReference[ID], 0))= "", "",INDEX(tblSeverityReference[Coping Strategy Severity],MATCH(tblSeverityAnalysis[[#This Row],[ID]], tblSeverityReference[ID], 0)) ), "")</f>
        <v/>
      </c>
      <c r="AG80" s="108" t="str">
        <f>IFERROR(IF(INDEX(tblSeverityReference[HR/IHL Violation],MATCH(tblSeverityAnalysis[[#This Row],[ID]], tblSeverityReference[ID], 0))= "", "",INDEX(tblSeverityReference[HR/IHL Violation],MATCH(tblSeverityAnalysis[[#This Row],[ID]], tblSeverityReference[ID], 0)) ), "")</f>
        <v/>
      </c>
      <c r="AH80" s="81">
        <f>IFERROR(AVERAGE(tblSeverityAnalysis[[#This Row],[CCCM]:[WASH]]), "")</f>
        <v>3.125</v>
      </c>
      <c r="AI80" s="27">
        <f>IF(SUM(tblSeverityAnalysis[[#This Row],[CCCM]:[WASH]])=0, "", MAX(tblSeverityAnalysis[[#This Row],[CCCM]:[WASH]]))</f>
        <v>4</v>
      </c>
      <c r="AJ80" s="333" t="str" cm="1">
        <f t="array" ref="AJ80">IFERROR(IF(tblSeverityAnalysis[[#This Row],[Highest Severity]]="", "", _xlfn.TEXTJOIN(CHAR(10), TRUE, IF(tblSeverityAnalysis[[#This Row],[CCCM]:[WASH]]=tblSeverityAnalysis[[#This Row],[Highest Severity]], tblSeverityAnalysis[[#Headers],[CCCM]:[WASH]], ""), "")), "")</f>
        <v>Overarching Protection
WASH</v>
      </c>
      <c r="AK80" s="27" cm="1">
        <f t="array" ref="AK80">IFERROR(MAX(_xlfn._xlws.FILTER(tblSeverityAnalysis[[#This Row],[CCCM]:[WASH]], tblSeverityAnalysis[[#This Row],[CCCM]:[WASH]]&lt;tblSeverityAnalysis[[#This Row],[Highest Severity]])), "")</f>
        <v>3</v>
      </c>
      <c r="AL80" s="313" t="str" cm="1">
        <f t="array" ref="AL80">IFERROR(IF(tblSeverityAnalysis[[#This Row],[2nd Highest Severity]]="", "", _xlfn.TEXTJOIN(CHAR(10), TRUE, IF(tblSeverityAnalysis[[#This Row],[CCCM]:[WASH]]=tblSeverityAnalysis[[#This Row],[2nd Highest Severity]], tblSeverityAnalysis[[#Headers],[CCCM]:[WASH]], ""), "")), "")</f>
        <v>CCCM
Education
Nutrition
Food Security
Shelter</v>
      </c>
      <c r="AM80" s="132" t="str">
        <f>IFERROR(IF(AND(tblSeverityAnalysis[[#This Row],[5]] &lt;&gt; "", tblSeverityAnalysis[[#This Row],[5]]&gt;=sectors_sev_5), "Flagged", ""), "")</f>
        <v/>
      </c>
      <c r="AN80" s="133" t="str">
        <f>IFERROR(IF(AND(tblSeverityAnalysis[[#This Row],[Preliminary Intersectoral Severity based on overlap of sectoral deprivations]]=4, SUM(tblSeverityAnalysis[[#This Row],[ 4 ]:[5]])&gt;=sectors_sev_4), "Flagged", ""), "")</f>
        <v/>
      </c>
      <c r="AO80" s="133" t="str" cm="1">
        <f t="array" ref="AO8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0" s="335"/>
      <c r="AR80" s="336"/>
      <c r="AS80" s="335"/>
      <c r="AT80" s="337">
        <f>COUNTIF(tblSeverityAnalysis[[#This Row],[1 sector in severity phase 5 '[modify the threshold']]:[Manual Flag]], "Flagged")</f>
        <v>0</v>
      </c>
      <c r="AU80" s="338">
        <f>tblSeverityAnalysis[[#This Row],[Preliminary Intersectoral Severity based on overlap of sectoral deprivations]]</f>
        <v>3</v>
      </c>
      <c r="AV80" s="339"/>
    </row>
    <row r="81" spans="1:48" ht="15" hidden="1" customHeight="1">
      <c r="A8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MZ0712</v>
      </c>
      <c r="B81" s="39" t="s">
        <v>183</v>
      </c>
      <c r="C81" s="340" t="s">
        <v>184</v>
      </c>
      <c r="D81" s="340" t="s">
        <v>386</v>
      </c>
      <c r="E81" s="33" t="s">
        <v>387</v>
      </c>
      <c r="F81" s="33"/>
      <c r="G81" s="33"/>
      <c r="H81" s="20"/>
      <c r="I81" s="95">
        <v>124118</v>
      </c>
      <c r="J81" s="95"/>
      <c r="K81" s="321"/>
      <c r="L81" s="303"/>
      <c r="M81" s="303">
        <v>2</v>
      </c>
      <c r="N81" s="303"/>
      <c r="O81" s="372"/>
      <c r="P81" s="303">
        <v>0</v>
      </c>
      <c r="Q81" s="304"/>
      <c r="R81" s="303">
        <v>3</v>
      </c>
      <c r="S81" s="303"/>
      <c r="T81" s="303"/>
      <c r="U81" s="303"/>
      <c r="V81" s="303"/>
      <c r="W81" s="330" t="str">
        <f>IF(COUNTIF(tblSeverityAnalysis[[#This Row],[CCCM]:[WASH]], 1)=0, "", COUNTIF(tblSeverityAnalysis[[#This Row],[CCCM]:[WASH]], 1))</f>
        <v/>
      </c>
      <c r="X81" s="331">
        <f>IF(COUNTIF(tblSeverityAnalysis[[#This Row],[CCCM]:[WASH]], 2)=0, "", COUNTIF(tblSeverityAnalysis[[#This Row],[CCCM]:[WASH]], 2))</f>
        <v>1</v>
      </c>
      <c r="Y81" s="331">
        <f>IF(COUNTIF(tblSeverityAnalysis[[#This Row],[CCCM]:[WASH]], 3)=0, "", COUNTIF(tblSeverityAnalysis[[#This Row],[CCCM]:[WASH]], 3))</f>
        <v>1</v>
      </c>
      <c r="Z81" s="331" t="str">
        <f>IF(COUNTIF(tblSeverityAnalysis[[#This Row],[CCCM]:[WASH]], 4)=0, "", COUNTIF(tblSeverityAnalysis[[#This Row],[CCCM]:[WASH]], 4))</f>
        <v/>
      </c>
      <c r="AA81" s="332" t="str">
        <f>IF(COUNTIF(tblSeverityAnalysis[[#This Row],[CCCM]:[WASH]], 5)=0, "", COUNTIF(tblSeverityAnalysis[[#This Row],[CCCM]:[WASH]], 5))</f>
        <v/>
      </c>
      <c r="AB81" s="59" cm="1">
        <f t="array" ref="AB8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1" s="41" t="str">
        <f>IFERROR(IF(INDEX(tblSeverityReference[Malnutrition Severity],MATCH(tblSeverityAnalysis[[#This Row],[ID]], tblSeverityReference[ID], 0))= "", "",INDEX(tblSeverityReference[Malnutrition Severity],MATCH(tblSeverityAnalysis[[#This Row],[ID]], tblSeverityReference[ID], 0)) ), "")</f>
        <v/>
      </c>
      <c r="AE81" s="303">
        <f>IFERROR(IF(INDEX(tblSeverityReference[Epidemic Severity],MATCH(tblSeverityAnalysis[[#This Row],[ID]], tblSeverityReference[ID], 0))= "", "",INDEX(tblSeverityReference[Epidemic Severity],MATCH(tblSeverityAnalysis[[#This Row],[ID]], tblSeverityReference[ID], 0)) ), "")</f>
        <v>1.8235294117647056</v>
      </c>
      <c r="AF81" s="303" t="str">
        <f>IFERROR(IF(INDEX(tblSeverityReference[Coping Strategy Severity],MATCH(tblSeverityAnalysis[[#This Row],[ID]], tblSeverityReference[ID], 0))= "", "",INDEX(tblSeverityReference[Coping Strategy Severity],MATCH(tblSeverityAnalysis[[#This Row],[ID]], tblSeverityReference[ID], 0)) ), "")</f>
        <v/>
      </c>
      <c r="AG81" s="108" t="str">
        <f>IFERROR(IF(INDEX(tblSeverityReference[HR/IHL Violation],MATCH(tblSeverityAnalysis[[#This Row],[ID]], tblSeverityReference[ID], 0))= "", "",INDEX(tblSeverityReference[HR/IHL Violation],MATCH(tblSeverityAnalysis[[#This Row],[ID]], tblSeverityReference[ID], 0)) ), "")</f>
        <v/>
      </c>
      <c r="AH81" s="81">
        <f>IFERROR(AVERAGE(tblSeverityAnalysis[[#This Row],[CCCM]:[WASH]]), "")</f>
        <v>1.6666666666666667</v>
      </c>
      <c r="AI81" s="27">
        <f>IF(SUM(tblSeverityAnalysis[[#This Row],[CCCM]:[WASH]])=0, "", MAX(tblSeverityAnalysis[[#This Row],[CCCM]:[WASH]]))</f>
        <v>3</v>
      </c>
      <c r="AJ81" s="333" t="str" cm="1">
        <f t="array" ref="AJ81">IFERROR(IF(tblSeverityAnalysis[[#This Row],[Highest Severity]]="", "", _xlfn.TEXTJOIN(CHAR(10), TRUE, IF(tblSeverityAnalysis[[#This Row],[CCCM]:[WASH]]=tblSeverityAnalysis[[#This Row],[Highest Severity]], tblSeverityAnalysis[[#Headers],[CCCM]:[WASH]], ""), "")), "")</f>
        <v>WASH</v>
      </c>
      <c r="AK81" s="27" cm="1">
        <f t="array" ref="AK81">IFERROR(MAX(_xlfn._xlws.FILTER(tblSeverityAnalysis[[#This Row],[CCCM]:[WASH]], tblSeverityAnalysis[[#This Row],[CCCM]:[WASH]]&lt;tblSeverityAnalysis[[#This Row],[Highest Severity]])), "")</f>
        <v>2</v>
      </c>
      <c r="AL81" s="313" t="str" cm="1">
        <f t="array" ref="AL81">IFERROR(IF(tblSeverityAnalysis[[#This Row],[2nd Highest Severity]]="", "", _xlfn.TEXTJOIN(CHAR(10), TRUE, IF(tblSeverityAnalysis[[#This Row],[CCCM]:[WASH]]=tblSeverityAnalysis[[#This Row],[2nd Highest Severity]], tblSeverityAnalysis[[#Headers],[CCCM]:[WASH]], ""), "")), "")</f>
        <v>Nutrition</v>
      </c>
      <c r="AM81" s="132" t="str">
        <f>IFERROR(IF(AND(tblSeverityAnalysis[[#This Row],[5]] &lt;&gt; "", tblSeverityAnalysis[[#This Row],[5]]&gt;=sectors_sev_5), "Flagged", ""), "")</f>
        <v/>
      </c>
      <c r="AN81" s="133" t="str">
        <f>IFERROR(IF(AND(tblSeverityAnalysis[[#This Row],[Preliminary Intersectoral Severity based on overlap of sectoral deprivations]]=4, SUM(tblSeverityAnalysis[[#This Row],[ 4 ]:[5]])&gt;=sectors_sev_4), "Flagged", ""), "")</f>
        <v/>
      </c>
      <c r="AO81" s="133" t="str" cm="1">
        <f t="array" ref="AO8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1" s="335"/>
      <c r="AR81" s="336"/>
      <c r="AS81" s="335"/>
      <c r="AT81" s="337">
        <f>COUNTIF(tblSeverityAnalysis[[#This Row],[1 sector in severity phase 5 '[modify the threshold']]:[Manual Flag]], "Flagged")</f>
        <v>0</v>
      </c>
      <c r="AU81" s="338">
        <f>tblSeverityAnalysis[[#This Row],[Preliminary Intersectoral Severity based on overlap of sectoral deprivations]]</f>
        <v>1</v>
      </c>
      <c r="AV81" s="339"/>
    </row>
    <row r="82" spans="1:48" ht="15" hidden="1" customHeight="1">
      <c r="A8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MZ0713</v>
      </c>
      <c r="B82" s="39" t="s">
        <v>183</v>
      </c>
      <c r="C82" s="340" t="s">
        <v>184</v>
      </c>
      <c r="D82" s="340" t="s">
        <v>388</v>
      </c>
      <c r="E82" s="33" t="s">
        <v>389</v>
      </c>
      <c r="F82" s="33"/>
      <c r="G82" s="33"/>
      <c r="H82" s="20"/>
      <c r="I82" s="95">
        <v>473226</v>
      </c>
      <c r="J82" s="95"/>
      <c r="K82" s="321"/>
      <c r="L82" s="303"/>
      <c r="M82" s="303" t="s">
        <v>264</v>
      </c>
      <c r="N82" s="303"/>
      <c r="O82" s="372"/>
      <c r="P82" s="303">
        <v>0</v>
      </c>
      <c r="Q82" s="304"/>
      <c r="R82" s="303">
        <v>3</v>
      </c>
      <c r="S82" s="303"/>
      <c r="T82" s="303"/>
      <c r="U82" s="303"/>
      <c r="V82" s="303"/>
      <c r="W82" s="330" t="str">
        <f>IF(COUNTIF(tblSeverityAnalysis[[#This Row],[CCCM]:[WASH]], 1)=0, "", COUNTIF(tblSeverityAnalysis[[#This Row],[CCCM]:[WASH]], 1))</f>
        <v/>
      </c>
      <c r="X82" s="331" t="str">
        <f>IF(COUNTIF(tblSeverityAnalysis[[#This Row],[CCCM]:[WASH]], 2)=0, "", COUNTIF(tblSeverityAnalysis[[#This Row],[CCCM]:[WASH]], 2))</f>
        <v/>
      </c>
      <c r="Y82" s="331">
        <f>IF(COUNTIF(tblSeverityAnalysis[[#This Row],[CCCM]:[WASH]], 3)=0, "", COUNTIF(tblSeverityAnalysis[[#This Row],[CCCM]:[WASH]], 3))</f>
        <v>1</v>
      </c>
      <c r="Z82" s="331" t="str">
        <f>IF(COUNTIF(tblSeverityAnalysis[[#This Row],[CCCM]:[WASH]], 4)=0, "", COUNTIF(tblSeverityAnalysis[[#This Row],[CCCM]:[WASH]], 4))</f>
        <v/>
      </c>
      <c r="AA82" s="332" t="str">
        <f>IF(COUNTIF(tblSeverityAnalysis[[#This Row],[CCCM]:[WASH]], 5)=0, "", COUNTIF(tblSeverityAnalysis[[#This Row],[CCCM]:[WASH]], 5))</f>
        <v/>
      </c>
      <c r="AB82" s="59" cm="1">
        <f t="array" ref="AB8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2" s="41" t="str">
        <f>IFERROR(IF(INDEX(tblSeverityReference[Malnutrition Severity],MATCH(tblSeverityAnalysis[[#This Row],[ID]], tblSeverityReference[ID], 0))= "", "",INDEX(tblSeverityReference[Malnutrition Severity],MATCH(tblSeverityAnalysis[[#This Row],[ID]], tblSeverityReference[ID], 0)) ), "")</f>
        <v/>
      </c>
      <c r="AE82" s="303">
        <f>IFERROR(IF(INDEX(tblSeverityReference[Epidemic Severity],MATCH(tblSeverityAnalysis[[#This Row],[ID]], tblSeverityReference[ID], 0))= "", "",INDEX(tblSeverityReference[Epidemic Severity],MATCH(tblSeverityAnalysis[[#This Row],[ID]], tblSeverityReference[ID], 0)) ), "")</f>
        <v>3</v>
      </c>
      <c r="AF82" s="303" t="str">
        <f>IFERROR(IF(INDEX(tblSeverityReference[Coping Strategy Severity],MATCH(tblSeverityAnalysis[[#This Row],[ID]], tblSeverityReference[ID], 0))= "", "",INDEX(tblSeverityReference[Coping Strategy Severity],MATCH(tblSeverityAnalysis[[#This Row],[ID]], tblSeverityReference[ID], 0)) ), "")</f>
        <v/>
      </c>
      <c r="AG82" s="108" t="str">
        <f>IFERROR(IF(INDEX(tblSeverityReference[HR/IHL Violation],MATCH(tblSeverityAnalysis[[#This Row],[ID]], tblSeverityReference[ID], 0))= "", "",INDEX(tblSeverityReference[HR/IHL Violation],MATCH(tblSeverityAnalysis[[#This Row],[ID]], tblSeverityReference[ID], 0)) ), "")</f>
        <v/>
      </c>
      <c r="AH82" s="81">
        <f>IFERROR(AVERAGE(tblSeverityAnalysis[[#This Row],[CCCM]:[WASH]]), "")</f>
        <v>1.5</v>
      </c>
      <c r="AI82" s="27">
        <f>IF(SUM(tblSeverityAnalysis[[#This Row],[CCCM]:[WASH]])=0, "", MAX(tblSeverityAnalysis[[#This Row],[CCCM]:[WASH]]))</f>
        <v>3</v>
      </c>
      <c r="AJ82" s="333" t="str" cm="1">
        <f t="array" ref="AJ82">IFERROR(IF(tblSeverityAnalysis[[#This Row],[Highest Severity]]="", "", _xlfn.TEXTJOIN(CHAR(10), TRUE, IF(tblSeverityAnalysis[[#This Row],[CCCM]:[WASH]]=tblSeverityAnalysis[[#This Row],[Highest Severity]], tblSeverityAnalysis[[#Headers],[CCCM]:[WASH]], ""), "")), "")</f>
        <v>WASH</v>
      </c>
      <c r="AK82" s="27" cm="1">
        <f t="array" ref="AK82">IFERROR(MAX(_xlfn._xlws.FILTER(tblSeverityAnalysis[[#This Row],[CCCM]:[WASH]], tblSeverityAnalysis[[#This Row],[CCCM]:[WASH]]&lt;tblSeverityAnalysis[[#This Row],[Highest Severity]])), "")</f>
        <v>0</v>
      </c>
      <c r="AL82" s="313" t="str" cm="1">
        <f t="array" ref="AL8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82" s="132" t="str">
        <f>IFERROR(IF(AND(tblSeverityAnalysis[[#This Row],[5]] &lt;&gt; "", tblSeverityAnalysis[[#This Row],[5]]&gt;=sectors_sev_5), "Flagged", ""), "")</f>
        <v/>
      </c>
      <c r="AN82" s="133" t="str">
        <f>IFERROR(IF(AND(tblSeverityAnalysis[[#This Row],[Preliminary Intersectoral Severity based on overlap of sectoral deprivations]]=4, SUM(tblSeverityAnalysis[[#This Row],[ 4 ]:[5]])&gt;=sectors_sev_4), "Flagged", ""), "")</f>
        <v/>
      </c>
      <c r="AO82" s="133" t="str" cm="1">
        <f t="array" ref="AO8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2" s="335"/>
      <c r="AR82" s="336"/>
      <c r="AS82" s="335"/>
      <c r="AT82" s="337">
        <f>COUNTIF(tblSeverityAnalysis[[#This Row],[1 sector in severity phase 5 '[modify the threshold']]:[Manual Flag]], "Flagged")</f>
        <v>1</v>
      </c>
      <c r="AU82" s="338">
        <f>tblSeverityAnalysis[[#This Row],[Preliminary Intersectoral Severity based on overlap of sectoral deprivations]]</f>
        <v>1</v>
      </c>
      <c r="AV82" s="339"/>
    </row>
    <row r="83" spans="1:48" ht="15" hidden="1" customHeight="1">
      <c r="A8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MZ0714</v>
      </c>
      <c r="B83" s="39" t="s">
        <v>183</v>
      </c>
      <c r="C83" s="340" t="s">
        <v>184</v>
      </c>
      <c r="D83" s="340" t="s">
        <v>390</v>
      </c>
      <c r="E83" s="33" t="s">
        <v>391</v>
      </c>
      <c r="F83" s="33"/>
      <c r="G83" s="33"/>
      <c r="H83" s="20"/>
      <c r="I83" s="95">
        <v>412736</v>
      </c>
      <c r="J83" s="95"/>
      <c r="K83" s="321"/>
      <c r="L83" s="303"/>
      <c r="M83" s="303" t="s">
        <v>264</v>
      </c>
      <c r="N83" s="303"/>
      <c r="O83" s="372"/>
      <c r="P83" s="303">
        <v>0</v>
      </c>
      <c r="Q83" s="304"/>
      <c r="R83" s="303">
        <v>3</v>
      </c>
      <c r="S83" s="303"/>
      <c r="T83" s="303"/>
      <c r="U83" s="303"/>
      <c r="V83" s="303"/>
      <c r="W83" s="330" t="str">
        <f>IF(COUNTIF(tblSeverityAnalysis[[#This Row],[CCCM]:[WASH]], 1)=0, "", COUNTIF(tblSeverityAnalysis[[#This Row],[CCCM]:[WASH]], 1))</f>
        <v/>
      </c>
      <c r="X83" s="331" t="str">
        <f>IF(COUNTIF(tblSeverityAnalysis[[#This Row],[CCCM]:[WASH]], 2)=0, "", COUNTIF(tblSeverityAnalysis[[#This Row],[CCCM]:[WASH]], 2))</f>
        <v/>
      </c>
      <c r="Y83" s="331">
        <f>IF(COUNTIF(tblSeverityAnalysis[[#This Row],[CCCM]:[WASH]], 3)=0, "", COUNTIF(tblSeverityAnalysis[[#This Row],[CCCM]:[WASH]], 3))</f>
        <v>1</v>
      </c>
      <c r="Z83" s="331" t="str">
        <f>IF(COUNTIF(tblSeverityAnalysis[[#This Row],[CCCM]:[WASH]], 4)=0, "", COUNTIF(tblSeverityAnalysis[[#This Row],[CCCM]:[WASH]], 4))</f>
        <v/>
      </c>
      <c r="AA83" s="332" t="str">
        <f>IF(COUNTIF(tblSeverityAnalysis[[#This Row],[CCCM]:[WASH]], 5)=0, "", COUNTIF(tblSeverityAnalysis[[#This Row],[CCCM]:[WASH]], 5))</f>
        <v/>
      </c>
      <c r="AB83" s="59" cm="1">
        <f t="array" ref="AB8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3" s="41" t="str">
        <f>IFERROR(IF(INDEX(tblSeverityReference[Malnutrition Severity],MATCH(tblSeverityAnalysis[[#This Row],[ID]], tblSeverityReference[ID], 0))= "", "",INDEX(tblSeverityReference[Malnutrition Severity],MATCH(tblSeverityAnalysis[[#This Row],[ID]], tblSeverityReference[ID], 0)) ), "")</f>
        <v/>
      </c>
      <c r="AE83" s="303">
        <f>IFERROR(IF(INDEX(tblSeverityReference[Epidemic Severity],MATCH(tblSeverityAnalysis[[#This Row],[ID]], tblSeverityReference[ID], 0))= "", "",INDEX(tblSeverityReference[Epidemic Severity],MATCH(tblSeverityAnalysis[[#This Row],[ID]], tblSeverityReference[ID], 0)) ), "")</f>
        <v>1.8235294117647056</v>
      </c>
      <c r="AF83" s="303" t="str">
        <f>IFERROR(IF(INDEX(tblSeverityReference[Coping Strategy Severity],MATCH(tblSeverityAnalysis[[#This Row],[ID]], tblSeverityReference[ID], 0))= "", "",INDEX(tblSeverityReference[Coping Strategy Severity],MATCH(tblSeverityAnalysis[[#This Row],[ID]], tblSeverityReference[ID], 0)) ), "")</f>
        <v/>
      </c>
      <c r="AG83" s="108" t="str">
        <f>IFERROR(IF(INDEX(tblSeverityReference[HR/IHL Violation],MATCH(tblSeverityAnalysis[[#This Row],[ID]], tblSeverityReference[ID], 0))= "", "",INDEX(tblSeverityReference[HR/IHL Violation],MATCH(tblSeverityAnalysis[[#This Row],[ID]], tblSeverityReference[ID], 0)) ), "")</f>
        <v/>
      </c>
      <c r="AH83" s="81">
        <f>IFERROR(AVERAGE(tblSeverityAnalysis[[#This Row],[CCCM]:[WASH]]), "")</f>
        <v>1.5</v>
      </c>
      <c r="AI83" s="27">
        <f>IF(SUM(tblSeverityAnalysis[[#This Row],[CCCM]:[WASH]])=0, "", MAX(tblSeverityAnalysis[[#This Row],[CCCM]:[WASH]]))</f>
        <v>3</v>
      </c>
      <c r="AJ83" s="333" t="str" cm="1">
        <f t="array" ref="AJ83">IFERROR(IF(tblSeverityAnalysis[[#This Row],[Highest Severity]]="", "", _xlfn.TEXTJOIN(CHAR(10), TRUE, IF(tblSeverityAnalysis[[#This Row],[CCCM]:[WASH]]=tblSeverityAnalysis[[#This Row],[Highest Severity]], tblSeverityAnalysis[[#Headers],[CCCM]:[WASH]], ""), "")), "")</f>
        <v>WASH</v>
      </c>
      <c r="AK83" s="27" cm="1">
        <f t="array" ref="AK83">IFERROR(MAX(_xlfn._xlws.FILTER(tblSeverityAnalysis[[#This Row],[CCCM]:[WASH]], tblSeverityAnalysis[[#This Row],[CCCM]:[WASH]]&lt;tblSeverityAnalysis[[#This Row],[Highest Severity]])), "")</f>
        <v>0</v>
      </c>
      <c r="AL83" s="313" t="str" cm="1">
        <f t="array" ref="AL8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83" s="132" t="str">
        <f>IFERROR(IF(AND(tblSeverityAnalysis[[#This Row],[5]] &lt;&gt; "", tblSeverityAnalysis[[#This Row],[5]]&gt;=sectors_sev_5), "Flagged", ""), "")</f>
        <v/>
      </c>
      <c r="AN83" s="133" t="str">
        <f>IFERROR(IF(AND(tblSeverityAnalysis[[#This Row],[Preliminary Intersectoral Severity based on overlap of sectoral deprivations]]=4, SUM(tblSeverityAnalysis[[#This Row],[ 4 ]:[5]])&gt;=sectors_sev_4), "Flagged", ""), "")</f>
        <v/>
      </c>
      <c r="AO83" s="133" t="str" cm="1">
        <f t="array" ref="AO8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3" s="335"/>
      <c r="AR83" s="336"/>
      <c r="AS83" s="335"/>
      <c r="AT83" s="337">
        <f>COUNTIF(tblSeverityAnalysis[[#This Row],[1 sector in severity phase 5 '[modify the threshold']]:[Manual Flag]], "Flagged")</f>
        <v>0</v>
      </c>
      <c r="AU83" s="338">
        <f>tblSeverityAnalysis[[#This Row],[Preliminary Intersectoral Severity based on overlap of sectoral deprivations]]</f>
        <v>1</v>
      </c>
      <c r="AV83" s="339"/>
    </row>
    <row r="84" spans="1:48" ht="15" hidden="1" customHeight="1">
      <c r="A8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MZ0715</v>
      </c>
      <c r="B84" s="39" t="s">
        <v>183</v>
      </c>
      <c r="C84" s="340" t="s">
        <v>184</v>
      </c>
      <c r="D84" s="340" t="s">
        <v>392</v>
      </c>
      <c r="E84" s="33" t="s">
        <v>393</v>
      </c>
      <c r="F84" s="33"/>
      <c r="G84" s="33"/>
      <c r="H84" s="20"/>
      <c r="I84" s="95">
        <v>514410</v>
      </c>
      <c r="J84" s="95"/>
      <c r="K84" s="321"/>
      <c r="L84" s="303"/>
      <c r="M84" s="303" t="s">
        <v>264</v>
      </c>
      <c r="N84" s="303">
        <v>3</v>
      </c>
      <c r="O84" s="372"/>
      <c r="P84" s="303">
        <v>0</v>
      </c>
      <c r="Q84" s="304"/>
      <c r="R84" s="303">
        <v>3</v>
      </c>
      <c r="S84" s="303"/>
      <c r="T84" s="303"/>
      <c r="U84" s="303"/>
      <c r="V84" s="303"/>
      <c r="W84" s="330" t="str">
        <f>IF(COUNTIF(tblSeverityAnalysis[[#This Row],[CCCM]:[WASH]], 1)=0, "", COUNTIF(tblSeverityAnalysis[[#This Row],[CCCM]:[WASH]], 1))</f>
        <v/>
      </c>
      <c r="X84" s="331" t="str">
        <f>IF(COUNTIF(tblSeverityAnalysis[[#This Row],[CCCM]:[WASH]], 2)=0, "", COUNTIF(tblSeverityAnalysis[[#This Row],[CCCM]:[WASH]], 2))</f>
        <v/>
      </c>
      <c r="Y84" s="331">
        <f>IF(COUNTIF(tblSeverityAnalysis[[#This Row],[CCCM]:[WASH]], 3)=0, "", COUNTIF(tblSeverityAnalysis[[#This Row],[CCCM]:[WASH]], 3))</f>
        <v>2</v>
      </c>
      <c r="Z84" s="331" t="str">
        <f>IF(COUNTIF(tblSeverityAnalysis[[#This Row],[CCCM]:[WASH]], 4)=0, "", COUNTIF(tblSeverityAnalysis[[#This Row],[CCCM]:[WASH]], 4))</f>
        <v/>
      </c>
      <c r="AA84" s="332" t="str">
        <f>IF(COUNTIF(tblSeverityAnalysis[[#This Row],[CCCM]:[WASH]], 5)=0, "", COUNTIF(tblSeverityAnalysis[[#This Row],[CCCM]:[WASH]], 5))</f>
        <v/>
      </c>
      <c r="AB84" s="59" cm="1">
        <f t="array" ref="AB8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4" s="41">
        <f>IFERROR(IF(INDEX(tblSeverityReference[Malnutrition Severity],MATCH(tblSeverityAnalysis[[#This Row],[ID]], tblSeverityReference[ID], 0))= "", "",INDEX(tblSeverityReference[Malnutrition Severity],MATCH(tblSeverityAnalysis[[#This Row],[ID]], tblSeverityReference[ID], 0)) ), "")</f>
        <v>2</v>
      </c>
      <c r="AE84" s="303">
        <f>IFERROR(IF(INDEX(tblSeverityReference[Epidemic Severity],MATCH(tblSeverityAnalysis[[#This Row],[ID]], tblSeverityReference[ID], 0))= "", "",INDEX(tblSeverityReference[Epidemic Severity],MATCH(tblSeverityAnalysis[[#This Row],[ID]], tblSeverityReference[ID], 0)) ), "")</f>
        <v>2.2352941176470589</v>
      </c>
      <c r="AF84" s="303">
        <f>IFERROR(IF(INDEX(tblSeverityReference[Coping Strategy Severity],MATCH(tblSeverityAnalysis[[#This Row],[ID]], tblSeverityReference[ID], 0))= "", "",INDEX(tblSeverityReference[Coping Strategy Severity],MATCH(tblSeverityAnalysis[[#This Row],[ID]], tblSeverityReference[ID], 0)) ), "")</f>
        <v>2</v>
      </c>
      <c r="AG84" s="108" t="str">
        <f>IFERROR(IF(INDEX(tblSeverityReference[HR/IHL Violation],MATCH(tblSeverityAnalysis[[#This Row],[ID]], tblSeverityReference[ID], 0))= "", "",INDEX(tblSeverityReference[HR/IHL Violation],MATCH(tblSeverityAnalysis[[#This Row],[ID]], tblSeverityReference[ID], 0)) ), "")</f>
        <v/>
      </c>
      <c r="AH84" s="81">
        <f>IFERROR(AVERAGE(tblSeverityAnalysis[[#This Row],[CCCM]:[WASH]]), "")</f>
        <v>2</v>
      </c>
      <c r="AI84" s="27">
        <f>IF(SUM(tblSeverityAnalysis[[#This Row],[CCCM]:[WASH]])=0, "", MAX(tblSeverityAnalysis[[#This Row],[CCCM]:[WASH]]))</f>
        <v>3</v>
      </c>
      <c r="AJ84" s="333" t="str" cm="1">
        <f t="array" ref="AJ84">IFERROR(IF(tblSeverityAnalysis[[#This Row],[Highest Severity]]="", "", _xlfn.TEXTJOIN(CHAR(10), TRUE, IF(tblSeverityAnalysis[[#This Row],[CCCM]:[WASH]]=tblSeverityAnalysis[[#This Row],[Highest Severity]], tblSeverityAnalysis[[#Headers],[CCCM]:[WASH]], ""), "")), "")</f>
        <v>Food Security
WASH</v>
      </c>
      <c r="AK84" s="27" cm="1">
        <f t="array" ref="AK84">IFERROR(MAX(_xlfn._xlws.FILTER(tblSeverityAnalysis[[#This Row],[CCCM]:[WASH]], tblSeverityAnalysis[[#This Row],[CCCM]:[WASH]]&lt;tblSeverityAnalysis[[#This Row],[Highest Severity]])), "")</f>
        <v>0</v>
      </c>
      <c r="AL84" s="313" t="str" cm="1">
        <f t="array" ref="AL84">IFERROR(IF(tblSeverityAnalysis[[#This Row],[2nd Highest Severity]]="", "", _xlfn.TEXTJOIN(CHAR(10), TRUE, IF(tblSeverityAnalysis[[#This Row],[CCCM]:[WASH]]=tblSeverityAnalysis[[#This Row],[2nd Highest Severity]], tblSeverityAnalysis[[#Headers],[CCCM]:[WASH]], ""), "")), "")</f>
        <v>CCCM
Education
Health
Overarching Protection
Shelter</v>
      </c>
      <c r="AM84" s="132" t="str">
        <f>IFERROR(IF(AND(tblSeverityAnalysis[[#This Row],[5]] &lt;&gt; "", tblSeverityAnalysis[[#This Row],[5]]&gt;=sectors_sev_5), "Flagged", ""), "")</f>
        <v/>
      </c>
      <c r="AN84" s="133" t="str">
        <f>IFERROR(IF(AND(tblSeverityAnalysis[[#This Row],[Preliminary Intersectoral Severity based on overlap of sectoral deprivations]]=4, SUM(tblSeverityAnalysis[[#This Row],[ 4 ]:[5]])&gt;=sectors_sev_4), "Flagged", ""), "")</f>
        <v/>
      </c>
      <c r="AO84" s="133" t="str" cm="1">
        <f t="array" ref="AO8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4" s="335"/>
      <c r="AR84" s="336"/>
      <c r="AS84" s="335"/>
      <c r="AT84" s="337">
        <f>COUNTIF(tblSeverityAnalysis[[#This Row],[1 sector in severity phase 5 '[modify the threshold']]:[Manual Flag]], "Flagged")</f>
        <v>1</v>
      </c>
      <c r="AU84" s="338">
        <f>tblSeverityAnalysis[[#This Row],[Preliminary Intersectoral Severity based on overlap of sectoral deprivations]]</f>
        <v>1</v>
      </c>
      <c r="AV84" s="339"/>
    </row>
    <row r="85" spans="1:48" ht="15" hidden="1" customHeight="1">
      <c r="A8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MZ0716</v>
      </c>
      <c r="B85" s="39" t="s">
        <v>183</v>
      </c>
      <c r="C85" s="340" t="s">
        <v>184</v>
      </c>
      <c r="D85" s="340" t="s">
        <v>394</v>
      </c>
      <c r="E85" s="33" t="s">
        <v>395</v>
      </c>
      <c r="F85" s="33"/>
      <c r="G85" s="33"/>
      <c r="H85" s="20"/>
      <c r="I85" s="95">
        <v>230193</v>
      </c>
      <c r="J85" s="95"/>
      <c r="K85" s="321"/>
      <c r="L85" s="303"/>
      <c r="M85" s="303" t="s">
        <v>264</v>
      </c>
      <c r="N85" s="303">
        <v>3</v>
      </c>
      <c r="O85" s="372"/>
      <c r="P85" s="303">
        <v>0</v>
      </c>
      <c r="Q85" s="304"/>
      <c r="R85" s="303">
        <v>3</v>
      </c>
      <c r="S85" s="303"/>
      <c r="T85" s="303"/>
      <c r="U85" s="303"/>
      <c r="V85" s="303"/>
      <c r="W85" s="330" t="str">
        <f>IF(COUNTIF(tblSeverityAnalysis[[#This Row],[CCCM]:[WASH]], 1)=0, "", COUNTIF(tblSeverityAnalysis[[#This Row],[CCCM]:[WASH]], 1))</f>
        <v/>
      </c>
      <c r="X85" s="331" t="str">
        <f>IF(COUNTIF(tblSeverityAnalysis[[#This Row],[CCCM]:[WASH]], 2)=0, "", COUNTIF(tblSeverityAnalysis[[#This Row],[CCCM]:[WASH]], 2))</f>
        <v/>
      </c>
      <c r="Y85" s="331">
        <f>IF(COUNTIF(tblSeverityAnalysis[[#This Row],[CCCM]:[WASH]], 3)=0, "", COUNTIF(tblSeverityAnalysis[[#This Row],[CCCM]:[WASH]], 3))</f>
        <v>2</v>
      </c>
      <c r="Z85" s="331" t="str">
        <f>IF(COUNTIF(tblSeverityAnalysis[[#This Row],[CCCM]:[WASH]], 4)=0, "", COUNTIF(tblSeverityAnalysis[[#This Row],[CCCM]:[WASH]], 4))</f>
        <v/>
      </c>
      <c r="AA85" s="332" t="str">
        <f>IF(COUNTIF(tblSeverityAnalysis[[#This Row],[CCCM]:[WASH]], 5)=0, "", COUNTIF(tblSeverityAnalysis[[#This Row],[CCCM]:[WASH]], 5))</f>
        <v/>
      </c>
      <c r="AB85" s="59" cm="1">
        <f t="array" ref="AB8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5" s="41">
        <f>IFERROR(IF(INDEX(tblSeverityReference[Malnutrition Severity],MATCH(tblSeverityAnalysis[[#This Row],[ID]], tblSeverityReference[ID], 0))= "", "",INDEX(tblSeverityReference[Malnutrition Severity],MATCH(tblSeverityAnalysis[[#This Row],[ID]], tblSeverityReference[ID], 0)) ), "")</f>
        <v>2</v>
      </c>
      <c r="AE85" s="303">
        <f>IFERROR(IF(INDEX(tblSeverityReference[Epidemic Severity],MATCH(tblSeverityAnalysis[[#This Row],[ID]], tblSeverityReference[ID], 0))= "", "",INDEX(tblSeverityReference[Epidemic Severity],MATCH(tblSeverityAnalysis[[#This Row],[ID]], tblSeverityReference[ID], 0)) ), "")</f>
        <v>2.2352941176470589</v>
      </c>
      <c r="AF85" s="303">
        <f>IFERROR(IF(INDEX(tblSeverityReference[Coping Strategy Severity],MATCH(tblSeverityAnalysis[[#This Row],[ID]], tblSeverityReference[ID], 0))= "", "",INDEX(tblSeverityReference[Coping Strategy Severity],MATCH(tblSeverityAnalysis[[#This Row],[ID]], tblSeverityReference[ID], 0)) ), "")</f>
        <v>3</v>
      </c>
      <c r="AG85" s="108" t="str">
        <f>IFERROR(IF(INDEX(tblSeverityReference[HR/IHL Violation],MATCH(tblSeverityAnalysis[[#This Row],[ID]], tblSeverityReference[ID], 0))= "", "",INDEX(tblSeverityReference[HR/IHL Violation],MATCH(tblSeverityAnalysis[[#This Row],[ID]], tblSeverityReference[ID], 0)) ), "")</f>
        <v/>
      </c>
      <c r="AH85" s="81">
        <f>IFERROR(AVERAGE(tblSeverityAnalysis[[#This Row],[CCCM]:[WASH]]), "")</f>
        <v>2</v>
      </c>
      <c r="AI85" s="27">
        <f>IF(SUM(tblSeverityAnalysis[[#This Row],[CCCM]:[WASH]])=0, "", MAX(tblSeverityAnalysis[[#This Row],[CCCM]:[WASH]]))</f>
        <v>3</v>
      </c>
      <c r="AJ85" s="333" t="str" cm="1">
        <f t="array" ref="AJ85">IFERROR(IF(tblSeverityAnalysis[[#This Row],[Highest Severity]]="", "", _xlfn.TEXTJOIN(CHAR(10), TRUE, IF(tblSeverityAnalysis[[#This Row],[CCCM]:[WASH]]=tblSeverityAnalysis[[#This Row],[Highest Severity]], tblSeverityAnalysis[[#Headers],[CCCM]:[WASH]], ""), "")), "")</f>
        <v>Food Security
WASH</v>
      </c>
      <c r="AK85" s="27" cm="1">
        <f t="array" ref="AK85">IFERROR(MAX(_xlfn._xlws.FILTER(tblSeverityAnalysis[[#This Row],[CCCM]:[WASH]], tblSeverityAnalysis[[#This Row],[CCCM]:[WASH]]&lt;tblSeverityAnalysis[[#This Row],[Highest Severity]])), "")</f>
        <v>0</v>
      </c>
      <c r="AL85" s="313" t="str" cm="1">
        <f t="array" ref="AL85">IFERROR(IF(tblSeverityAnalysis[[#This Row],[2nd Highest Severity]]="", "", _xlfn.TEXTJOIN(CHAR(10), TRUE, IF(tblSeverityAnalysis[[#This Row],[CCCM]:[WASH]]=tblSeverityAnalysis[[#This Row],[2nd Highest Severity]], tblSeverityAnalysis[[#Headers],[CCCM]:[WASH]], ""), "")), "")</f>
        <v>CCCM
Education
Health
Overarching Protection
Shelter</v>
      </c>
      <c r="AM85" s="132" t="str">
        <f>IFERROR(IF(AND(tblSeverityAnalysis[[#This Row],[5]] &lt;&gt; "", tblSeverityAnalysis[[#This Row],[5]]&gt;=sectors_sev_5), "Flagged", ""), "")</f>
        <v/>
      </c>
      <c r="AN85" s="133" t="str">
        <f>IFERROR(IF(AND(tblSeverityAnalysis[[#This Row],[Preliminary Intersectoral Severity based on overlap of sectoral deprivations]]=4, SUM(tblSeverityAnalysis[[#This Row],[ 4 ]:[5]])&gt;=sectors_sev_4), "Flagged", ""), "")</f>
        <v/>
      </c>
      <c r="AO85" s="133" t="str" cm="1">
        <f t="array" ref="AO8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5" s="335"/>
      <c r="AR85" s="336"/>
      <c r="AS85" s="335"/>
      <c r="AT85" s="337">
        <f>COUNTIF(tblSeverityAnalysis[[#This Row],[1 sector in severity phase 5 '[modify the threshold']]:[Manual Flag]], "Flagged")</f>
        <v>2</v>
      </c>
      <c r="AU85" s="338">
        <f>tblSeverityAnalysis[[#This Row],[Preliminary Intersectoral Severity based on overlap of sectoral deprivations]]</f>
        <v>1</v>
      </c>
      <c r="AV85" s="339"/>
    </row>
    <row r="86" spans="1:48" ht="15" hidden="1" customHeight="1">
      <c r="A8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MZ0717</v>
      </c>
      <c r="B86" s="39" t="s">
        <v>183</v>
      </c>
      <c r="C86" s="340" t="s">
        <v>184</v>
      </c>
      <c r="D86" s="340" t="s">
        <v>396</v>
      </c>
      <c r="E86" s="33" t="s">
        <v>397</v>
      </c>
      <c r="F86" s="33"/>
      <c r="G86" s="33"/>
      <c r="H86" s="20"/>
      <c r="I86" s="95">
        <v>169549</v>
      </c>
      <c r="J86" s="95"/>
      <c r="K86" s="321"/>
      <c r="L86" s="303"/>
      <c r="M86" s="303" t="s">
        <v>264</v>
      </c>
      <c r="N86" s="303"/>
      <c r="O86" s="372"/>
      <c r="P86" s="303">
        <v>0</v>
      </c>
      <c r="Q86" s="304"/>
      <c r="R86" s="303">
        <v>3</v>
      </c>
      <c r="S86" s="303"/>
      <c r="T86" s="303"/>
      <c r="U86" s="303"/>
      <c r="V86" s="303"/>
      <c r="W86" s="330" t="str">
        <f>IF(COUNTIF(tblSeverityAnalysis[[#This Row],[CCCM]:[WASH]], 1)=0, "", COUNTIF(tblSeverityAnalysis[[#This Row],[CCCM]:[WASH]], 1))</f>
        <v/>
      </c>
      <c r="X86" s="331" t="str">
        <f>IF(COUNTIF(tblSeverityAnalysis[[#This Row],[CCCM]:[WASH]], 2)=0, "", COUNTIF(tblSeverityAnalysis[[#This Row],[CCCM]:[WASH]], 2))</f>
        <v/>
      </c>
      <c r="Y86" s="331">
        <f>IF(COUNTIF(tblSeverityAnalysis[[#This Row],[CCCM]:[WASH]], 3)=0, "", COUNTIF(tblSeverityAnalysis[[#This Row],[CCCM]:[WASH]], 3))</f>
        <v>1</v>
      </c>
      <c r="Z86" s="331" t="str">
        <f>IF(COUNTIF(tblSeverityAnalysis[[#This Row],[CCCM]:[WASH]], 4)=0, "", COUNTIF(tblSeverityAnalysis[[#This Row],[CCCM]:[WASH]], 4))</f>
        <v/>
      </c>
      <c r="AA86" s="332" t="str">
        <f>IF(COUNTIF(tblSeverityAnalysis[[#This Row],[CCCM]:[WASH]], 5)=0, "", COUNTIF(tblSeverityAnalysis[[#This Row],[CCCM]:[WASH]], 5))</f>
        <v/>
      </c>
      <c r="AB86" s="59" cm="1">
        <f t="array" ref="AB8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6" s="41" t="str">
        <f>IFERROR(IF(INDEX(tblSeverityReference[Malnutrition Severity],MATCH(tblSeverityAnalysis[[#This Row],[ID]], tblSeverityReference[ID], 0))= "", "",INDEX(tblSeverityReference[Malnutrition Severity],MATCH(tblSeverityAnalysis[[#This Row],[ID]], tblSeverityReference[ID], 0)) ), "")</f>
        <v/>
      </c>
      <c r="AE86" s="303">
        <f>IFERROR(IF(INDEX(tblSeverityReference[Epidemic Severity],MATCH(tblSeverityAnalysis[[#This Row],[ID]], tblSeverityReference[ID], 0))= "", "",INDEX(tblSeverityReference[Epidemic Severity],MATCH(tblSeverityAnalysis[[#This Row],[ID]], tblSeverityReference[ID], 0)) ), "")</f>
        <v>2.2352941176470589</v>
      </c>
      <c r="AF86" s="303" t="str">
        <f>IFERROR(IF(INDEX(tblSeverityReference[Coping Strategy Severity],MATCH(tblSeverityAnalysis[[#This Row],[ID]], tblSeverityReference[ID], 0))= "", "",INDEX(tblSeverityReference[Coping Strategy Severity],MATCH(tblSeverityAnalysis[[#This Row],[ID]], tblSeverityReference[ID], 0)) ), "")</f>
        <v/>
      </c>
      <c r="AG86" s="108" t="str">
        <f>IFERROR(IF(INDEX(tblSeverityReference[HR/IHL Violation],MATCH(tblSeverityAnalysis[[#This Row],[ID]], tblSeverityReference[ID], 0))= "", "",INDEX(tblSeverityReference[HR/IHL Violation],MATCH(tblSeverityAnalysis[[#This Row],[ID]], tblSeverityReference[ID], 0)) ), "")</f>
        <v/>
      </c>
      <c r="AH86" s="81">
        <f>IFERROR(AVERAGE(tblSeverityAnalysis[[#This Row],[CCCM]:[WASH]]), "")</f>
        <v>1.5</v>
      </c>
      <c r="AI86" s="27">
        <f>IF(SUM(tblSeverityAnalysis[[#This Row],[CCCM]:[WASH]])=0, "", MAX(tblSeverityAnalysis[[#This Row],[CCCM]:[WASH]]))</f>
        <v>3</v>
      </c>
      <c r="AJ86" s="333" t="str" cm="1">
        <f t="array" ref="AJ86">IFERROR(IF(tblSeverityAnalysis[[#This Row],[Highest Severity]]="", "", _xlfn.TEXTJOIN(CHAR(10), TRUE, IF(tblSeverityAnalysis[[#This Row],[CCCM]:[WASH]]=tblSeverityAnalysis[[#This Row],[Highest Severity]], tblSeverityAnalysis[[#Headers],[CCCM]:[WASH]], ""), "")), "")</f>
        <v>WASH</v>
      </c>
      <c r="AK86" s="27" cm="1">
        <f t="array" ref="AK86">IFERROR(MAX(_xlfn._xlws.FILTER(tblSeverityAnalysis[[#This Row],[CCCM]:[WASH]], tblSeverityAnalysis[[#This Row],[CCCM]:[WASH]]&lt;tblSeverityAnalysis[[#This Row],[Highest Severity]])), "")</f>
        <v>0</v>
      </c>
      <c r="AL86" s="313" t="str" cm="1">
        <f t="array" ref="AL8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86" s="132" t="str">
        <f>IFERROR(IF(AND(tblSeverityAnalysis[[#This Row],[5]] &lt;&gt; "", tblSeverityAnalysis[[#This Row],[5]]&gt;=sectors_sev_5), "Flagged", ""), "")</f>
        <v/>
      </c>
      <c r="AN86" s="133" t="str">
        <f>IFERROR(IF(AND(tblSeverityAnalysis[[#This Row],[Preliminary Intersectoral Severity based on overlap of sectoral deprivations]]=4, SUM(tblSeverityAnalysis[[#This Row],[ 4 ]:[5]])&gt;=sectors_sev_4), "Flagged", ""), "")</f>
        <v/>
      </c>
      <c r="AO86" s="133" t="str" cm="1">
        <f t="array" ref="AO8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6" s="335"/>
      <c r="AR86" s="336"/>
      <c r="AS86" s="335"/>
      <c r="AT86" s="337">
        <f>COUNTIF(tblSeverityAnalysis[[#This Row],[1 sector in severity phase 5 '[modify the threshold']]:[Manual Flag]], "Flagged")</f>
        <v>0</v>
      </c>
      <c r="AU86" s="338">
        <f>tblSeverityAnalysis[[#This Row],[Preliminary Intersectoral Severity based on overlap of sectoral deprivations]]</f>
        <v>1</v>
      </c>
      <c r="AV86" s="339"/>
    </row>
    <row r="87" spans="1:48" ht="15" hidden="1" customHeight="1">
      <c r="A8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MZ0718</v>
      </c>
      <c r="B87" s="39" t="s">
        <v>183</v>
      </c>
      <c r="C87" s="340" t="s">
        <v>184</v>
      </c>
      <c r="D87" s="340" t="s">
        <v>398</v>
      </c>
      <c r="E87" s="33" t="s">
        <v>399</v>
      </c>
      <c r="F87" s="33"/>
      <c r="G87" s="33"/>
      <c r="H87" s="20"/>
      <c r="I87" s="95">
        <v>231761</v>
      </c>
      <c r="J87" s="95"/>
      <c r="K87" s="321"/>
      <c r="L87" s="303"/>
      <c r="M87" s="303" t="s">
        <v>264</v>
      </c>
      <c r="N87" s="303"/>
      <c r="O87" s="372"/>
      <c r="P87" s="303">
        <v>0</v>
      </c>
      <c r="Q87" s="304"/>
      <c r="R87" s="303">
        <v>3</v>
      </c>
      <c r="S87" s="303"/>
      <c r="T87" s="303"/>
      <c r="U87" s="303"/>
      <c r="V87" s="303"/>
      <c r="W87" s="330" t="str">
        <f>IF(COUNTIF(tblSeverityAnalysis[[#This Row],[CCCM]:[WASH]], 1)=0, "", COUNTIF(tblSeverityAnalysis[[#This Row],[CCCM]:[WASH]], 1))</f>
        <v/>
      </c>
      <c r="X87" s="331" t="str">
        <f>IF(COUNTIF(tblSeverityAnalysis[[#This Row],[CCCM]:[WASH]], 2)=0, "", COUNTIF(tblSeverityAnalysis[[#This Row],[CCCM]:[WASH]], 2))</f>
        <v/>
      </c>
      <c r="Y87" s="331">
        <f>IF(COUNTIF(tblSeverityAnalysis[[#This Row],[CCCM]:[WASH]], 3)=0, "", COUNTIF(tblSeverityAnalysis[[#This Row],[CCCM]:[WASH]], 3))</f>
        <v>1</v>
      </c>
      <c r="Z87" s="331" t="str">
        <f>IF(COUNTIF(tblSeverityAnalysis[[#This Row],[CCCM]:[WASH]], 4)=0, "", COUNTIF(tblSeverityAnalysis[[#This Row],[CCCM]:[WASH]], 4))</f>
        <v/>
      </c>
      <c r="AA87" s="332" t="str">
        <f>IF(COUNTIF(tblSeverityAnalysis[[#This Row],[CCCM]:[WASH]], 5)=0, "", COUNTIF(tblSeverityAnalysis[[#This Row],[CCCM]:[WASH]], 5))</f>
        <v/>
      </c>
      <c r="AB87" s="59" cm="1">
        <f t="array" ref="AB8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7" s="41" t="str">
        <f>IFERROR(IF(INDEX(tblSeverityReference[Malnutrition Severity],MATCH(tblSeverityAnalysis[[#This Row],[ID]], tblSeverityReference[ID], 0))= "", "",INDEX(tblSeverityReference[Malnutrition Severity],MATCH(tblSeverityAnalysis[[#This Row],[ID]], tblSeverityReference[ID], 0)) ), "")</f>
        <v/>
      </c>
      <c r="AE87" s="303">
        <f>IFERROR(IF(INDEX(tblSeverityReference[Epidemic Severity],MATCH(tblSeverityAnalysis[[#This Row],[ID]], tblSeverityReference[ID], 0))= "", "",INDEX(tblSeverityReference[Epidemic Severity],MATCH(tblSeverityAnalysis[[#This Row],[ID]], tblSeverityReference[ID], 0)) ), "")</f>
        <v>1.8235294117647056</v>
      </c>
      <c r="AF87" s="303" t="str">
        <f>IFERROR(IF(INDEX(tblSeverityReference[Coping Strategy Severity],MATCH(tblSeverityAnalysis[[#This Row],[ID]], tblSeverityReference[ID], 0))= "", "",INDEX(tblSeverityReference[Coping Strategy Severity],MATCH(tblSeverityAnalysis[[#This Row],[ID]], tblSeverityReference[ID], 0)) ), "")</f>
        <v/>
      </c>
      <c r="AG87" s="108" t="str">
        <f>IFERROR(IF(INDEX(tblSeverityReference[HR/IHL Violation],MATCH(tblSeverityAnalysis[[#This Row],[ID]], tblSeverityReference[ID], 0))= "", "",INDEX(tblSeverityReference[HR/IHL Violation],MATCH(tblSeverityAnalysis[[#This Row],[ID]], tblSeverityReference[ID], 0)) ), "")</f>
        <v/>
      </c>
      <c r="AH87" s="81">
        <f>IFERROR(AVERAGE(tblSeverityAnalysis[[#This Row],[CCCM]:[WASH]]), "")</f>
        <v>1.5</v>
      </c>
      <c r="AI87" s="27">
        <f>IF(SUM(tblSeverityAnalysis[[#This Row],[CCCM]:[WASH]])=0, "", MAX(tblSeverityAnalysis[[#This Row],[CCCM]:[WASH]]))</f>
        <v>3</v>
      </c>
      <c r="AJ87" s="333" t="str" cm="1">
        <f t="array" ref="AJ87">IFERROR(IF(tblSeverityAnalysis[[#This Row],[Highest Severity]]="", "", _xlfn.TEXTJOIN(CHAR(10), TRUE, IF(tblSeverityAnalysis[[#This Row],[CCCM]:[WASH]]=tblSeverityAnalysis[[#This Row],[Highest Severity]], tblSeverityAnalysis[[#Headers],[CCCM]:[WASH]], ""), "")), "")</f>
        <v>WASH</v>
      </c>
      <c r="AK87" s="27" cm="1">
        <f t="array" ref="AK87">IFERROR(MAX(_xlfn._xlws.FILTER(tblSeverityAnalysis[[#This Row],[CCCM]:[WASH]], tblSeverityAnalysis[[#This Row],[CCCM]:[WASH]]&lt;tblSeverityAnalysis[[#This Row],[Highest Severity]])), "")</f>
        <v>0</v>
      </c>
      <c r="AL87" s="313" t="str" cm="1">
        <f t="array" ref="AL8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87" s="132" t="str">
        <f>IFERROR(IF(AND(tblSeverityAnalysis[[#This Row],[5]] &lt;&gt; "", tblSeverityAnalysis[[#This Row],[5]]&gt;=sectors_sev_5), "Flagged", ""), "")</f>
        <v/>
      </c>
      <c r="AN87" s="133" t="str">
        <f>IFERROR(IF(AND(tblSeverityAnalysis[[#This Row],[Preliminary Intersectoral Severity based on overlap of sectoral deprivations]]=4, SUM(tblSeverityAnalysis[[#This Row],[ 4 ]:[5]])&gt;=sectors_sev_4), "Flagged", ""), "")</f>
        <v/>
      </c>
      <c r="AO87" s="133" t="str" cm="1">
        <f t="array" ref="AO8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7" s="335"/>
      <c r="AR87" s="336"/>
      <c r="AS87" s="335"/>
      <c r="AT87" s="337">
        <f>COUNTIF(tblSeverityAnalysis[[#This Row],[1 sector in severity phase 5 '[modify the threshold']]:[Manual Flag]], "Flagged")</f>
        <v>0</v>
      </c>
      <c r="AU87" s="338">
        <f>tblSeverityAnalysis[[#This Row],[Preliminary Intersectoral Severity based on overlap of sectoral deprivations]]</f>
        <v>1</v>
      </c>
      <c r="AV87" s="339"/>
    </row>
    <row r="88" spans="1:48" ht="15" hidden="1" customHeight="1">
      <c r="A8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MZ0719</v>
      </c>
      <c r="B88" s="39" t="s">
        <v>183</v>
      </c>
      <c r="C88" s="340" t="s">
        <v>184</v>
      </c>
      <c r="D88" s="340" t="s">
        <v>400</v>
      </c>
      <c r="E88" s="33" t="s">
        <v>401</v>
      </c>
      <c r="F88" s="33"/>
      <c r="G88" s="33"/>
      <c r="H88" s="20"/>
      <c r="I88" s="95">
        <v>408435</v>
      </c>
      <c r="J88" s="95"/>
      <c r="K88" s="321"/>
      <c r="L88" s="303"/>
      <c r="M88" s="303" t="s">
        <v>264</v>
      </c>
      <c r="N88" s="303">
        <v>2</v>
      </c>
      <c r="O88" s="372"/>
      <c r="P88" s="303">
        <v>0</v>
      </c>
      <c r="Q88" s="304"/>
      <c r="R88" s="303">
        <v>3</v>
      </c>
      <c r="S88" s="303"/>
      <c r="T88" s="303"/>
      <c r="U88" s="303"/>
      <c r="V88" s="303"/>
      <c r="W88" s="330" t="str">
        <f>IF(COUNTIF(tblSeverityAnalysis[[#This Row],[CCCM]:[WASH]], 1)=0, "", COUNTIF(tblSeverityAnalysis[[#This Row],[CCCM]:[WASH]], 1))</f>
        <v/>
      </c>
      <c r="X88" s="331">
        <f>IF(COUNTIF(tblSeverityAnalysis[[#This Row],[CCCM]:[WASH]], 2)=0, "", COUNTIF(tblSeverityAnalysis[[#This Row],[CCCM]:[WASH]], 2))</f>
        <v>1</v>
      </c>
      <c r="Y88" s="331">
        <f>IF(COUNTIF(tblSeverityAnalysis[[#This Row],[CCCM]:[WASH]], 3)=0, "", COUNTIF(tblSeverityAnalysis[[#This Row],[CCCM]:[WASH]], 3))</f>
        <v>1</v>
      </c>
      <c r="Z88" s="331" t="str">
        <f>IF(COUNTIF(tblSeverityAnalysis[[#This Row],[CCCM]:[WASH]], 4)=0, "", COUNTIF(tblSeverityAnalysis[[#This Row],[CCCM]:[WASH]], 4))</f>
        <v/>
      </c>
      <c r="AA88" s="332" t="str">
        <f>IF(COUNTIF(tblSeverityAnalysis[[#This Row],[CCCM]:[WASH]], 5)=0, "", COUNTIF(tblSeverityAnalysis[[#This Row],[CCCM]:[WASH]], 5))</f>
        <v/>
      </c>
      <c r="AB88" s="59" cm="1">
        <f t="array" ref="AB8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8" s="41">
        <f>IFERROR(IF(INDEX(tblSeverityReference[Malnutrition Severity],MATCH(tblSeverityAnalysis[[#This Row],[ID]], tblSeverityReference[ID], 0))= "", "",INDEX(tblSeverityReference[Malnutrition Severity],MATCH(tblSeverityAnalysis[[#This Row],[ID]], tblSeverityReference[ID], 0)) ), "")</f>
        <v>2</v>
      </c>
      <c r="AE88" s="303">
        <f>IFERROR(IF(INDEX(tblSeverityReference[Epidemic Severity],MATCH(tblSeverityAnalysis[[#This Row],[ID]], tblSeverityReference[ID], 0))= "", "",INDEX(tblSeverityReference[Epidemic Severity],MATCH(tblSeverityAnalysis[[#This Row],[ID]], tblSeverityReference[ID], 0)) ), "")</f>
        <v>2.6470588235294117</v>
      </c>
      <c r="AF88" s="303">
        <f>IFERROR(IF(INDEX(tblSeverityReference[Coping Strategy Severity],MATCH(tblSeverityAnalysis[[#This Row],[ID]], tblSeverityReference[ID], 0))= "", "",INDEX(tblSeverityReference[Coping Strategy Severity],MATCH(tblSeverityAnalysis[[#This Row],[ID]], tblSeverityReference[ID], 0)) ), "")</f>
        <v>3</v>
      </c>
      <c r="AG88" s="108" t="str">
        <f>IFERROR(IF(INDEX(tblSeverityReference[HR/IHL Violation],MATCH(tblSeverityAnalysis[[#This Row],[ID]], tblSeverityReference[ID], 0))= "", "",INDEX(tblSeverityReference[HR/IHL Violation],MATCH(tblSeverityAnalysis[[#This Row],[ID]], tblSeverityReference[ID], 0)) ), "")</f>
        <v/>
      </c>
      <c r="AH88" s="81">
        <f>IFERROR(AVERAGE(tblSeverityAnalysis[[#This Row],[CCCM]:[WASH]]), "")</f>
        <v>1.6666666666666667</v>
      </c>
      <c r="AI88" s="27">
        <f>IF(SUM(tblSeverityAnalysis[[#This Row],[CCCM]:[WASH]])=0, "", MAX(tblSeverityAnalysis[[#This Row],[CCCM]:[WASH]]))</f>
        <v>3</v>
      </c>
      <c r="AJ88" s="333" t="str" cm="1">
        <f t="array" ref="AJ88">IFERROR(IF(tblSeverityAnalysis[[#This Row],[Highest Severity]]="", "", _xlfn.TEXTJOIN(CHAR(10), TRUE, IF(tblSeverityAnalysis[[#This Row],[CCCM]:[WASH]]=tblSeverityAnalysis[[#This Row],[Highest Severity]], tblSeverityAnalysis[[#Headers],[CCCM]:[WASH]], ""), "")), "")</f>
        <v>WASH</v>
      </c>
      <c r="AK88" s="27" cm="1">
        <f t="array" ref="AK88">IFERROR(MAX(_xlfn._xlws.FILTER(tblSeverityAnalysis[[#This Row],[CCCM]:[WASH]], tblSeverityAnalysis[[#This Row],[CCCM]:[WASH]]&lt;tblSeverityAnalysis[[#This Row],[Highest Severity]])), "")</f>
        <v>2</v>
      </c>
      <c r="AL88" s="313" t="str" cm="1">
        <f t="array" ref="AL88">IFERROR(IF(tblSeverityAnalysis[[#This Row],[2nd Highest Severity]]="", "", _xlfn.TEXTJOIN(CHAR(10), TRUE, IF(tblSeverityAnalysis[[#This Row],[CCCM]:[WASH]]=tblSeverityAnalysis[[#This Row],[2nd Highest Severity]], tblSeverityAnalysis[[#Headers],[CCCM]:[WASH]], ""), "")), "")</f>
        <v>Food Security</v>
      </c>
      <c r="AM88" s="132" t="str">
        <f>IFERROR(IF(AND(tblSeverityAnalysis[[#This Row],[5]] &lt;&gt; "", tblSeverityAnalysis[[#This Row],[5]]&gt;=sectors_sev_5), "Flagged", ""), "")</f>
        <v/>
      </c>
      <c r="AN88" s="133" t="str">
        <f>IFERROR(IF(AND(tblSeverityAnalysis[[#This Row],[Preliminary Intersectoral Severity based on overlap of sectoral deprivations]]=4, SUM(tblSeverityAnalysis[[#This Row],[ 4 ]:[5]])&gt;=sectors_sev_4), "Flagged", ""), "")</f>
        <v/>
      </c>
      <c r="AO88" s="133" t="str" cm="1">
        <f t="array" ref="AO8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8" s="335"/>
      <c r="AR88" s="336"/>
      <c r="AS88" s="335"/>
      <c r="AT88" s="337">
        <f>COUNTIF(tblSeverityAnalysis[[#This Row],[1 sector in severity phase 5 '[modify the threshold']]:[Manual Flag]], "Flagged")</f>
        <v>2</v>
      </c>
      <c r="AU88" s="338">
        <f>tblSeverityAnalysis[[#This Row],[Preliminary Intersectoral Severity based on overlap of sectoral deprivations]]</f>
        <v>1</v>
      </c>
      <c r="AV88" s="339"/>
    </row>
    <row r="89" spans="1:48" ht="15" hidden="1" customHeight="1">
      <c r="A8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MZ0720</v>
      </c>
      <c r="B89" s="39" t="s">
        <v>183</v>
      </c>
      <c r="C89" s="340" t="s">
        <v>184</v>
      </c>
      <c r="D89" s="340" t="s">
        <v>402</v>
      </c>
      <c r="E89" s="33" t="s">
        <v>403</v>
      </c>
      <c r="F89" s="33"/>
      <c r="G89" s="33"/>
      <c r="H89" s="20"/>
      <c r="I89" s="95">
        <v>160552</v>
      </c>
      <c r="J89" s="95"/>
      <c r="K89" s="321"/>
      <c r="L89" s="303"/>
      <c r="M89" s="303" t="s">
        <v>264</v>
      </c>
      <c r="N89" s="303"/>
      <c r="O89" s="372"/>
      <c r="P89" s="303">
        <v>0</v>
      </c>
      <c r="Q89" s="304"/>
      <c r="R89" s="303">
        <v>3</v>
      </c>
      <c r="S89" s="303"/>
      <c r="T89" s="303"/>
      <c r="U89" s="303"/>
      <c r="V89" s="303"/>
      <c r="W89" s="330" t="str">
        <f>IF(COUNTIF(tblSeverityAnalysis[[#This Row],[CCCM]:[WASH]], 1)=0, "", COUNTIF(tblSeverityAnalysis[[#This Row],[CCCM]:[WASH]], 1))</f>
        <v/>
      </c>
      <c r="X89" s="331" t="str">
        <f>IF(COUNTIF(tblSeverityAnalysis[[#This Row],[CCCM]:[WASH]], 2)=0, "", COUNTIF(tblSeverityAnalysis[[#This Row],[CCCM]:[WASH]], 2))</f>
        <v/>
      </c>
      <c r="Y89" s="331">
        <f>IF(COUNTIF(tblSeverityAnalysis[[#This Row],[CCCM]:[WASH]], 3)=0, "", COUNTIF(tblSeverityAnalysis[[#This Row],[CCCM]:[WASH]], 3))</f>
        <v>1</v>
      </c>
      <c r="Z89" s="331" t="str">
        <f>IF(COUNTIF(tblSeverityAnalysis[[#This Row],[CCCM]:[WASH]], 4)=0, "", COUNTIF(tblSeverityAnalysis[[#This Row],[CCCM]:[WASH]], 4))</f>
        <v/>
      </c>
      <c r="AA89" s="332" t="str">
        <f>IF(COUNTIF(tblSeverityAnalysis[[#This Row],[CCCM]:[WASH]], 5)=0, "", COUNTIF(tblSeverityAnalysis[[#This Row],[CCCM]:[WASH]], 5))</f>
        <v/>
      </c>
      <c r="AB89" s="59" cm="1">
        <f t="array" ref="AB8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8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9" s="41" t="str">
        <f>IFERROR(IF(INDEX(tblSeverityReference[Malnutrition Severity],MATCH(tblSeverityAnalysis[[#This Row],[ID]], tblSeverityReference[ID], 0))= "", "",INDEX(tblSeverityReference[Malnutrition Severity],MATCH(tblSeverityAnalysis[[#This Row],[ID]], tblSeverityReference[ID], 0)) ), "")</f>
        <v/>
      </c>
      <c r="AE89" s="303">
        <f>IFERROR(IF(INDEX(tblSeverityReference[Epidemic Severity],MATCH(tblSeverityAnalysis[[#This Row],[ID]], tblSeverityReference[ID], 0))= "", "",INDEX(tblSeverityReference[Epidemic Severity],MATCH(tblSeverityAnalysis[[#This Row],[ID]], tblSeverityReference[ID], 0)) ), "")</f>
        <v>1.5882352941176472</v>
      </c>
      <c r="AF89" s="303" t="str">
        <f>IFERROR(IF(INDEX(tblSeverityReference[Coping Strategy Severity],MATCH(tblSeverityAnalysis[[#This Row],[ID]], tblSeverityReference[ID], 0))= "", "",INDEX(tblSeverityReference[Coping Strategy Severity],MATCH(tblSeverityAnalysis[[#This Row],[ID]], tblSeverityReference[ID], 0)) ), "")</f>
        <v/>
      </c>
      <c r="AG89" s="108" t="str">
        <f>IFERROR(IF(INDEX(tblSeverityReference[HR/IHL Violation],MATCH(tblSeverityAnalysis[[#This Row],[ID]], tblSeverityReference[ID], 0))= "", "",INDEX(tblSeverityReference[HR/IHL Violation],MATCH(tblSeverityAnalysis[[#This Row],[ID]], tblSeverityReference[ID], 0)) ), "")</f>
        <v/>
      </c>
      <c r="AH89" s="81">
        <f>IFERROR(AVERAGE(tblSeverityAnalysis[[#This Row],[CCCM]:[WASH]]), "")</f>
        <v>1.5</v>
      </c>
      <c r="AI89" s="27">
        <f>IF(SUM(tblSeverityAnalysis[[#This Row],[CCCM]:[WASH]])=0, "", MAX(tblSeverityAnalysis[[#This Row],[CCCM]:[WASH]]))</f>
        <v>3</v>
      </c>
      <c r="AJ89" s="333" t="str" cm="1">
        <f t="array" ref="AJ89">IFERROR(IF(tblSeverityAnalysis[[#This Row],[Highest Severity]]="", "", _xlfn.TEXTJOIN(CHAR(10), TRUE, IF(tblSeverityAnalysis[[#This Row],[CCCM]:[WASH]]=tblSeverityAnalysis[[#This Row],[Highest Severity]], tblSeverityAnalysis[[#Headers],[CCCM]:[WASH]], ""), "")), "")</f>
        <v>WASH</v>
      </c>
      <c r="AK89" s="27" cm="1">
        <f t="array" ref="AK89">IFERROR(MAX(_xlfn._xlws.FILTER(tblSeverityAnalysis[[#This Row],[CCCM]:[WASH]], tblSeverityAnalysis[[#This Row],[CCCM]:[WASH]]&lt;tblSeverityAnalysis[[#This Row],[Highest Severity]])), "")</f>
        <v>0</v>
      </c>
      <c r="AL89" s="313" t="str" cm="1">
        <f t="array" ref="AL8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89" s="132" t="str">
        <f>IFERROR(IF(AND(tblSeverityAnalysis[[#This Row],[5]] &lt;&gt; "", tblSeverityAnalysis[[#This Row],[5]]&gt;=sectors_sev_5), "Flagged", ""), "")</f>
        <v/>
      </c>
      <c r="AN89" s="133" t="str">
        <f>IFERROR(IF(AND(tblSeverityAnalysis[[#This Row],[Preliminary Intersectoral Severity based on overlap of sectoral deprivations]]=4, SUM(tblSeverityAnalysis[[#This Row],[ 4 ]:[5]])&gt;=sectors_sev_4), "Flagged", ""), "")</f>
        <v/>
      </c>
      <c r="AO89" s="133" t="str" cm="1">
        <f t="array" ref="AO8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9" s="335"/>
      <c r="AR89" s="336"/>
      <c r="AS89" s="335"/>
      <c r="AT89" s="337">
        <f>COUNTIF(tblSeverityAnalysis[[#This Row],[1 sector in severity phase 5 '[modify the threshold']]:[Manual Flag]], "Flagged")</f>
        <v>0</v>
      </c>
      <c r="AU89" s="338">
        <f>tblSeverityAnalysis[[#This Row],[Preliminary Intersectoral Severity based on overlap of sectoral deprivations]]</f>
        <v>1</v>
      </c>
      <c r="AV89" s="339"/>
    </row>
    <row r="90" spans="1:48" ht="15" hidden="1" customHeight="1">
      <c r="A9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MZ0721</v>
      </c>
      <c r="B90" s="39" t="s">
        <v>183</v>
      </c>
      <c r="C90" s="340" t="s">
        <v>184</v>
      </c>
      <c r="D90" s="340" t="s">
        <v>404</v>
      </c>
      <c r="E90" s="33" t="s">
        <v>405</v>
      </c>
      <c r="F90" s="33"/>
      <c r="G90" s="33"/>
      <c r="H90" s="20"/>
      <c r="I90" s="95">
        <v>188737</v>
      </c>
      <c r="J90" s="95"/>
      <c r="K90" s="321"/>
      <c r="L90" s="303"/>
      <c r="M90" s="303" t="s">
        <v>264</v>
      </c>
      <c r="N90" s="303"/>
      <c r="O90" s="372"/>
      <c r="P90" s="303">
        <v>0</v>
      </c>
      <c r="Q90" s="304"/>
      <c r="R90" s="303">
        <v>3</v>
      </c>
      <c r="S90" s="303"/>
      <c r="T90" s="303"/>
      <c r="U90" s="303"/>
      <c r="V90" s="303"/>
      <c r="W90" s="330" t="str">
        <f>IF(COUNTIF(tblSeverityAnalysis[[#This Row],[CCCM]:[WASH]], 1)=0, "", COUNTIF(tblSeverityAnalysis[[#This Row],[CCCM]:[WASH]], 1))</f>
        <v/>
      </c>
      <c r="X90" s="331" t="str">
        <f>IF(COUNTIF(tblSeverityAnalysis[[#This Row],[CCCM]:[WASH]], 2)=0, "", COUNTIF(tblSeverityAnalysis[[#This Row],[CCCM]:[WASH]], 2))</f>
        <v/>
      </c>
      <c r="Y90" s="331">
        <f>IF(COUNTIF(tblSeverityAnalysis[[#This Row],[CCCM]:[WASH]], 3)=0, "", COUNTIF(tblSeverityAnalysis[[#This Row],[CCCM]:[WASH]], 3))</f>
        <v>1</v>
      </c>
      <c r="Z90" s="331" t="str">
        <f>IF(COUNTIF(tblSeverityAnalysis[[#This Row],[CCCM]:[WASH]], 4)=0, "", COUNTIF(tblSeverityAnalysis[[#This Row],[CCCM]:[WASH]], 4))</f>
        <v/>
      </c>
      <c r="AA90" s="332" t="str">
        <f>IF(COUNTIF(tblSeverityAnalysis[[#This Row],[CCCM]:[WASH]], 5)=0, "", COUNTIF(tblSeverityAnalysis[[#This Row],[CCCM]:[WASH]], 5))</f>
        <v/>
      </c>
      <c r="AB90" s="59" cm="1">
        <f t="array" ref="AB9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0" s="41" t="str">
        <f>IFERROR(IF(INDEX(tblSeverityReference[Malnutrition Severity],MATCH(tblSeverityAnalysis[[#This Row],[ID]], tblSeverityReference[ID], 0))= "", "",INDEX(tblSeverityReference[Malnutrition Severity],MATCH(tblSeverityAnalysis[[#This Row],[ID]], tblSeverityReference[ID], 0)) ), "")</f>
        <v/>
      </c>
      <c r="AE90" s="303">
        <f>IFERROR(IF(INDEX(tblSeverityReference[Epidemic Severity],MATCH(tblSeverityAnalysis[[#This Row],[ID]], tblSeverityReference[ID], 0))= "", "",INDEX(tblSeverityReference[Epidemic Severity],MATCH(tblSeverityAnalysis[[#This Row],[ID]], tblSeverityReference[ID], 0)) ), "")</f>
        <v>1.8235294117647056</v>
      </c>
      <c r="AF90" s="303" t="str">
        <f>IFERROR(IF(INDEX(tblSeverityReference[Coping Strategy Severity],MATCH(tblSeverityAnalysis[[#This Row],[ID]], tblSeverityReference[ID], 0))= "", "",INDEX(tblSeverityReference[Coping Strategy Severity],MATCH(tblSeverityAnalysis[[#This Row],[ID]], tblSeverityReference[ID], 0)) ), "")</f>
        <v/>
      </c>
      <c r="AG90" s="108" t="str">
        <f>IFERROR(IF(INDEX(tblSeverityReference[HR/IHL Violation],MATCH(tblSeverityAnalysis[[#This Row],[ID]], tblSeverityReference[ID], 0))= "", "",INDEX(tblSeverityReference[HR/IHL Violation],MATCH(tblSeverityAnalysis[[#This Row],[ID]], tblSeverityReference[ID], 0)) ), "")</f>
        <v/>
      </c>
      <c r="AH90" s="81">
        <f>IFERROR(AVERAGE(tblSeverityAnalysis[[#This Row],[CCCM]:[WASH]]), "")</f>
        <v>1.5</v>
      </c>
      <c r="AI90" s="27">
        <f>IF(SUM(tblSeverityAnalysis[[#This Row],[CCCM]:[WASH]])=0, "", MAX(tblSeverityAnalysis[[#This Row],[CCCM]:[WASH]]))</f>
        <v>3</v>
      </c>
      <c r="AJ90" s="333" t="str" cm="1">
        <f t="array" ref="AJ90">IFERROR(IF(tblSeverityAnalysis[[#This Row],[Highest Severity]]="", "", _xlfn.TEXTJOIN(CHAR(10), TRUE, IF(tblSeverityAnalysis[[#This Row],[CCCM]:[WASH]]=tblSeverityAnalysis[[#This Row],[Highest Severity]], tblSeverityAnalysis[[#Headers],[CCCM]:[WASH]], ""), "")), "")</f>
        <v>WASH</v>
      </c>
      <c r="AK90" s="27" cm="1">
        <f t="array" ref="AK90">IFERROR(MAX(_xlfn._xlws.FILTER(tblSeverityAnalysis[[#This Row],[CCCM]:[WASH]], tblSeverityAnalysis[[#This Row],[CCCM]:[WASH]]&lt;tblSeverityAnalysis[[#This Row],[Highest Severity]])), "")</f>
        <v>0</v>
      </c>
      <c r="AL90" s="313" t="str" cm="1">
        <f t="array" ref="AL9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0" s="132" t="str">
        <f>IFERROR(IF(AND(tblSeverityAnalysis[[#This Row],[5]] &lt;&gt; "", tblSeverityAnalysis[[#This Row],[5]]&gt;=sectors_sev_5), "Flagged", ""), "")</f>
        <v/>
      </c>
      <c r="AN90" s="133" t="str">
        <f>IFERROR(IF(AND(tblSeverityAnalysis[[#This Row],[Preliminary Intersectoral Severity based on overlap of sectoral deprivations]]=4, SUM(tblSeverityAnalysis[[#This Row],[ 4 ]:[5]])&gt;=sectors_sev_4), "Flagged", ""), "")</f>
        <v/>
      </c>
      <c r="AO90" s="133" t="str" cm="1">
        <f t="array" ref="AO9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0" s="335"/>
      <c r="AR90" s="336"/>
      <c r="AS90" s="335"/>
      <c r="AT90" s="337">
        <f>COUNTIF(tblSeverityAnalysis[[#This Row],[1 sector in severity phase 5 '[modify the threshold']]:[Manual Flag]], "Flagged")</f>
        <v>0</v>
      </c>
      <c r="AU90" s="338">
        <f>tblSeverityAnalysis[[#This Row],[Preliminary Intersectoral Severity based on overlap of sectoral deprivations]]</f>
        <v>1</v>
      </c>
      <c r="AV90" s="339"/>
    </row>
    <row r="91" spans="1:48" ht="15" hidden="1" customHeight="1">
      <c r="A9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MZ0722</v>
      </c>
      <c r="B91" s="39" t="s">
        <v>183</v>
      </c>
      <c r="C91" s="340" t="s">
        <v>184</v>
      </c>
      <c r="D91" s="340" t="s">
        <v>406</v>
      </c>
      <c r="E91" s="33" t="s">
        <v>407</v>
      </c>
      <c r="F91" s="33"/>
      <c r="G91" s="33"/>
      <c r="H91" s="20"/>
      <c r="I91" s="95">
        <v>216590</v>
      </c>
      <c r="J91" s="95"/>
      <c r="K91" s="321"/>
      <c r="L91" s="303"/>
      <c r="M91" s="303" t="s">
        <v>264</v>
      </c>
      <c r="N91" s="303"/>
      <c r="O91" s="372"/>
      <c r="P91" s="303">
        <v>0</v>
      </c>
      <c r="Q91" s="304"/>
      <c r="R91" s="303">
        <v>3</v>
      </c>
      <c r="S91" s="303"/>
      <c r="T91" s="303"/>
      <c r="U91" s="303"/>
      <c r="V91" s="303"/>
      <c r="W91" s="330" t="str">
        <f>IF(COUNTIF(tblSeverityAnalysis[[#This Row],[CCCM]:[WASH]], 1)=0, "", COUNTIF(tblSeverityAnalysis[[#This Row],[CCCM]:[WASH]], 1))</f>
        <v/>
      </c>
      <c r="X91" s="331" t="str">
        <f>IF(COUNTIF(tblSeverityAnalysis[[#This Row],[CCCM]:[WASH]], 2)=0, "", COUNTIF(tblSeverityAnalysis[[#This Row],[CCCM]:[WASH]], 2))</f>
        <v/>
      </c>
      <c r="Y91" s="331">
        <f>IF(COUNTIF(tblSeverityAnalysis[[#This Row],[CCCM]:[WASH]], 3)=0, "", COUNTIF(tblSeverityAnalysis[[#This Row],[CCCM]:[WASH]], 3))</f>
        <v>1</v>
      </c>
      <c r="Z91" s="331" t="str">
        <f>IF(COUNTIF(tblSeverityAnalysis[[#This Row],[CCCM]:[WASH]], 4)=0, "", COUNTIF(tblSeverityAnalysis[[#This Row],[CCCM]:[WASH]], 4))</f>
        <v/>
      </c>
      <c r="AA91" s="332" t="str">
        <f>IF(COUNTIF(tblSeverityAnalysis[[#This Row],[CCCM]:[WASH]], 5)=0, "", COUNTIF(tblSeverityAnalysis[[#This Row],[CCCM]:[WASH]], 5))</f>
        <v/>
      </c>
      <c r="AB91" s="59" cm="1">
        <f t="array" ref="AB9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1" s="41" t="str">
        <f>IFERROR(IF(INDEX(tblSeverityReference[Malnutrition Severity],MATCH(tblSeverityAnalysis[[#This Row],[ID]], tblSeverityReference[ID], 0))= "", "",INDEX(tblSeverityReference[Malnutrition Severity],MATCH(tblSeverityAnalysis[[#This Row],[ID]], tblSeverityReference[ID], 0)) ), "")</f>
        <v/>
      </c>
      <c r="AE91" s="303">
        <f>IFERROR(IF(INDEX(tblSeverityReference[Epidemic Severity],MATCH(tblSeverityAnalysis[[#This Row],[ID]], tblSeverityReference[ID], 0))= "", "",INDEX(tblSeverityReference[Epidemic Severity],MATCH(tblSeverityAnalysis[[#This Row],[ID]], tblSeverityReference[ID], 0)) ), "")</f>
        <v>2.2352941176470589</v>
      </c>
      <c r="AF91" s="303" t="str">
        <f>IFERROR(IF(INDEX(tblSeverityReference[Coping Strategy Severity],MATCH(tblSeverityAnalysis[[#This Row],[ID]], tblSeverityReference[ID], 0))= "", "",INDEX(tblSeverityReference[Coping Strategy Severity],MATCH(tblSeverityAnalysis[[#This Row],[ID]], tblSeverityReference[ID], 0)) ), "")</f>
        <v/>
      </c>
      <c r="AG91" s="108" t="str">
        <f>IFERROR(IF(INDEX(tblSeverityReference[HR/IHL Violation],MATCH(tblSeverityAnalysis[[#This Row],[ID]], tblSeverityReference[ID], 0))= "", "",INDEX(tblSeverityReference[HR/IHL Violation],MATCH(tblSeverityAnalysis[[#This Row],[ID]], tblSeverityReference[ID], 0)) ), "")</f>
        <v/>
      </c>
      <c r="AH91" s="81">
        <f>IFERROR(AVERAGE(tblSeverityAnalysis[[#This Row],[CCCM]:[WASH]]), "")</f>
        <v>1.5</v>
      </c>
      <c r="AI91" s="27">
        <f>IF(SUM(tblSeverityAnalysis[[#This Row],[CCCM]:[WASH]])=0, "", MAX(tblSeverityAnalysis[[#This Row],[CCCM]:[WASH]]))</f>
        <v>3</v>
      </c>
      <c r="AJ91" s="333" t="str" cm="1">
        <f t="array" ref="AJ91">IFERROR(IF(tblSeverityAnalysis[[#This Row],[Highest Severity]]="", "", _xlfn.TEXTJOIN(CHAR(10), TRUE, IF(tblSeverityAnalysis[[#This Row],[CCCM]:[WASH]]=tblSeverityAnalysis[[#This Row],[Highest Severity]], tblSeverityAnalysis[[#Headers],[CCCM]:[WASH]], ""), "")), "")</f>
        <v>WASH</v>
      </c>
      <c r="AK91" s="27" cm="1">
        <f t="array" ref="AK91">IFERROR(MAX(_xlfn._xlws.FILTER(tblSeverityAnalysis[[#This Row],[CCCM]:[WASH]], tblSeverityAnalysis[[#This Row],[CCCM]:[WASH]]&lt;tblSeverityAnalysis[[#This Row],[Highest Severity]])), "")</f>
        <v>0</v>
      </c>
      <c r="AL91" s="313" t="str" cm="1">
        <f t="array" ref="AL9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1" s="132" t="str">
        <f>IFERROR(IF(AND(tblSeverityAnalysis[[#This Row],[5]] &lt;&gt; "", tblSeverityAnalysis[[#This Row],[5]]&gt;=sectors_sev_5), "Flagged", ""), "")</f>
        <v/>
      </c>
      <c r="AN91" s="133" t="str">
        <f>IFERROR(IF(AND(tblSeverityAnalysis[[#This Row],[Preliminary Intersectoral Severity based on overlap of sectoral deprivations]]=4, SUM(tblSeverityAnalysis[[#This Row],[ 4 ]:[5]])&gt;=sectors_sev_4), "Flagged", ""), "")</f>
        <v/>
      </c>
      <c r="AO91" s="133" t="str" cm="1">
        <f t="array" ref="AO9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1" s="335"/>
      <c r="AR91" s="336"/>
      <c r="AS91" s="335"/>
      <c r="AT91" s="337">
        <f>COUNTIF(tblSeverityAnalysis[[#This Row],[1 sector in severity phase 5 '[modify the threshold']]:[Manual Flag]], "Flagged")</f>
        <v>0</v>
      </c>
      <c r="AU91" s="338">
        <f>tblSeverityAnalysis[[#This Row],[Preliminary Intersectoral Severity based on overlap of sectoral deprivations]]</f>
        <v>1</v>
      </c>
      <c r="AV91" s="339"/>
    </row>
    <row r="92" spans="1:48" ht="15" hidden="1" customHeight="1">
      <c r="A9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MZ0723</v>
      </c>
      <c r="B92" s="39" t="s">
        <v>183</v>
      </c>
      <c r="C92" s="340" t="s">
        <v>184</v>
      </c>
      <c r="D92" s="340" t="s">
        <v>408</v>
      </c>
      <c r="E92" s="33" t="s">
        <v>409</v>
      </c>
      <c r="F92" s="33"/>
      <c r="G92" s="33"/>
      <c r="H92" s="20"/>
      <c r="I92" s="95">
        <v>321803</v>
      </c>
      <c r="J92" s="95"/>
      <c r="K92" s="321"/>
      <c r="L92" s="303"/>
      <c r="M92" s="303" t="s">
        <v>264</v>
      </c>
      <c r="N92" s="303"/>
      <c r="O92" s="372"/>
      <c r="P92" s="303">
        <v>0</v>
      </c>
      <c r="Q92" s="304"/>
      <c r="R92" s="303">
        <v>3</v>
      </c>
      <c r="S92" s="303"/>
      <c r="T92" s="303"/>
      <c r="U92" s="303"/>
      <c r="V92" s="303"/>
      <c r="W92" s="330" t="str">
        <f>IF(COUNTIF(tblSeverityAnalysis[[#This Row],[CCCM]:[WASH]], 1)=0, "", COUNTIF(tblSeverityAnalysis[[#This Row],[CCCM]:[WASH]], 1))</f>
        <v/>
      </c>
      <c r="X92" s="331" t="str">
        <f>IF(COUNTIF(tblSeverityAnalysis[[#This Row],[CCCM]:[WASH]], 2)=0, "", COUNTIF(tblSeverityAnalysis[[#This Row],[CCCM]:[WASH]], 2))</f>
        <v/>
      </c>
      <c r="Y92" s="331">
        <f>IF(COUNTIF(tblSeverityAnalysis[[#This Row],[CCCM]:[WASH]], 3)=0, "", COUNTIF(tblSeverityAnalysis[[#This Row],[CCCM]:[WASH]], 3))</f>
        <v>1</v>
      </c>
      <c r="Z92" s="331" t="str">
        <f>IF(COUNTIF(tblSeverityAnalysis[[#This Row],[CCCM]:[WASH]], 4)=0, "", COUNTIF(tblSeverityAnalysis[[#This Row],[CCCM]:[WASH]], 4))</f>
        <v/>
      </c>
      <c r="AA92" s="332" t="str">
        <f>IF(COUNTIF(tblSeverityAnalysis[[#This Row],[CCCM]:[WASH]], 5)=0, "", COUNTIF(tblSeverityAnalysis[[#This Row],[CCCM]:[WASH]], 5))</f>
        <v/>
      </c>
      <c r="AB92" s="59" cm="1">
        <f t="array" ref="AB9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2" s="41" t="str">
        <f>IFERROR(IF(INDEX(tblSeverityReference[Malnutrition Severity],MATCH(tblSeverityAnalysis[[#This Row],[ID]], tblSeverityReference[ID], 0))= "", "",INDEX(tblSeverityReference[Malnutrition Severity],MATCH(tblSeverityAnalysis[[#This Row],[ID]], tblSeverityReference[ID], 0)) ), "")</f>
        <v/>
      </c>
      <c r="AE92" s="303">
        <f>IFERROR(IF(INDEX(tblSeverityReference[Epidemic Severity],MATCH(tblSeverityAnalysis[[#This Row],[ID]], tblSeverityReference[ID], 0))= "", "",INDEX(tblSeverityReference[Epidemic Severity],MATCH(tblSeverityAnalysis[[#This Row],[ID]], tblSeverityReference[ID], 0)) ), "")</f>
        <v>2.2352941176470589</v>
      </c>
      <c r="AF92" s="303" t="str">
        <f>IFERROR(IF(INDEX(tblSeverityReference[Coping Strategy Severity],MATCH(tblSeverityAnalysis[[#This Row],[ID]], tblSeverityReference[ID], 0))= "", "",INDEX(tblSeverityReference[Coping Strategy Severity],MATCH(tblSeverityAnalysis[[#This Row],[ID]], tblSeverityReference[ID], 0)) ), "")</f>
        <v/>
      </c>
      <c r="AG92" s="108" t="str">
        <f>IFERROR(IF(INDEX(tblSeverityReference[HR/IHL Violation],MATCH(tblSeverityAnalysis[[#This Row],[ID]], tblSeverityReference[ID], 0))= "", "",INDEX(tblSeverityReference[HR/IHL Violation],MATCH(tblSeverityAnalysis[[#This Row],[ID]], tblSeverityReference[ID], 0)) ), "")</f>
        <v/>
      </c>
      <c r="AH92" s="81">
        <f>IFERROR(AVERAGE(tblSeverityAnalysis[[#This Row],[CCCM]:[WASH]]), "")</f>
        <v>1.5</v>
      </c>
      <c r="AI92" s="27">
        <f>IF(SUM(tblSeverityAnalysis[[#This Row],[CCCM]:[WASH]])=0, "", MAX(tblSeverityAnalysis[[#This Row],[CCCM]:[WASH]]))</f>
        <v>3</v>
      </c>
      <c r="AJ92" s="333" t="str" cm="1">
        <f t="array" ref="AJ92">IFERROR(IF(tblSeverityAnalysis[[#This Row],[Highest Severity]]="", "", _xlfn.TEXTJOIN(CHAR(10), TRUE, IF(tblSeverityAnalysis[[#This Row],[CCCM]:[WASH]]=tblSeverityAnalysis[[#This Row],[Highest Severity]], tblSeverityAnalysis[[#Headers],[CCCM]:[WASH]], ""), "")), "")</f>
        <v>WASH</v>
      </c>
      <c r="AK92" s="27" cm="1">
        <f t="array" ref="AK92">IFERROR(MAX(_xlfn._xlws.FILTER(tblSeverityAnalysis[[#This Row],[CCCM]:[WASH]], tblSeverityAnalysis[[#This Row],[CCCM]:[WASH]]&lt;tblSeverityAnalysis[[#This Row],[Highest Severity]])), "")</f>
        <v>0</v>
      </c>
      <c r="AL92" s="313" t="str" cm="1">
        <f t="array" ref="AL9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2" s="132" t="str">
        <f>IFERROR(IF(AND(tblSeverityAnalysis[[#This Row],[5]] &lt;&gt; "", tblSeverityAnalysis[[#This Row],[5]]&gt;=sectors_sev_5), "Flagged", ""), "")</f>
        <v/>
      </c>
      <c r="AN92" s="133" t="str">
        <f>IFERROR(IF(AND(tblSeverityAnalysis[[#This Row],[Preliminary Intersectoral Severity based on overlap of sectoral deprivations]]=4, SUM(tblSeverityAnalysis[[#This Row],[ 4 ]:[5]])&gt;=sectors_sev_4), "Flagged", ""), "")</f>
        <v/>
      </c>
      <c r="AO92" s="133" t="str" cm="1">
        <f t="array" ref="AO9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2" s="335"/>
      <c r="AR92" s="336"/>
      <c r="AS92" s="335"/>
      <c r="AT92" s="337">
        <f>COUNTIF(tblSeverityAnalysis[[#This Row],[1 sector in severity phase 5 '[modify the threshold']]:[Manual Flag]], "Flagged")</f>
        <v>0</v>
      </c>
      <c r="AU92" s="338">
        <f>tblSeverityAnalysis[[#This Row],[Preliminary Intersectoral Severity based on overlap of sectoral deprivations]]</f>
        <v>1</v>
      </c>
      <c r="AV92" s="339"/>
    </row>
    <row r="93" spans="1:48" ht="15" hidden="1" customHeight="1">
      <c r="A9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MZ0801</v>
      </c>
      <c r="B93" s="39" t="s">
        <v>189</v>
      </c>
      <c r="C93" s="340" t="s">
        <v>190</v>
      </c>
      <c r="D93" s="340" t="s">
        <v>410</v>
      </c>
      <c r="E93" s="33" t="s">
        <v>411</v>
      </c>
      <c r="F93" s="33"/>
      <c r="G93" s="33"/>
      <c r="H93" s="20"/>
      <c r="I93" s="95">
        <v>99629</v>
      </c>
      <c r="J93" s="95"/>
      <c r="K93" s="321"/>
      <c r="L93" s="303"/>
      <c r="M93" s="303" t="s">
        <v>264</v>
      </c>
      <c r="N93" s="303"/>
      <c r="O93" s="372"/>
      <c r="P93" s="303">
        <v>0</v>
      </c>
      <c r="Q93" s="304"/>
      <c r="R93" s="303">
        <v>2</v>
      </c>
      <c r="S93" s="303"/>
      <c r="T93" s="303"/>
      <c r="U93" s="303"/>
      <c r="V93" s="303"/>
      <c r="W93" s="330" t="str">
        <f>IF(COUNTIF(tblSeverityAnalysis[[#This Row],[CCCM]:[WASH]], 1)=0, "", COUNTIF(tblSeverityAnalysis[[#This Row],[CCCM]:[WASH]], 1))</f>
        <v/>
      </c>
      <c r="X93" s="331">
        <f>IF(COUNTIF(tblSeverityAnalysis[[#This Row],[CCCM]:[WASH]], 2)=0, "", COUNTIF(tblSeverityAnalysis[[#This Row],[CCCM]:[WASH]], 2))</f>
        <v>1</v>
      </c>
      <c r="Y93" s="331" t="str">
        <f>IF(COUNTIF(tblSeverityAnalysis[[#This Row],[CCCM]:[WASH]], 3)=0, "", COUNTIF(tblSeverityAnalysis[[#This Row],[CCCM]:[WASH]], 3))</f>
        <v/>
      </c>
      <c r="Z93" s="331" t="str">
        <f>IF(COUNTIF(tblSeverityAnalysis[[#This Row],[CCCM]:[WASH]], 4)=0, "", COUNTIF(tblSeverityAnalysis[[#This Row],[CCCM]:[WASH]], 4))</f>
        <v/>
      </c>
      <c r="AA93" s="332" t="str">
        <f>IF(COUNTIF(tblSeverityAnalysis[[#This Row],[CCCM]:[WASH]], 5)=0, "", COUNTIF(tblSeverityAnalysis[[#This Row],[CCCM]:[WASH]], 5))</f>
        <v/>
      </c>
      <c r="AB93" s="59" cm="1">
        <f t="array" ref="AB9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3" s="41">
        <f>IFERROR(IF(INDEX(tblSeverityReference[Malnutrition Severity],MATCH(tblSeverityAnalysis[[#This Row],[ID]], tblSeverityReference[ID], 0))= "", "",INDEX(tblSeverityReference[Malnutrition Severity],MATCH(tblSeverityAnalysis[[#This Row],[ID]], tblSeverityReference[ID], 0)) ), "")</f>
        <v>2</v>
      </c>
      <c r="AE93" s="303">
        <f>IFERROR(IF(INDEX(tblSeverityReference[Epidemic Severity],MATCH(tblSeverityAnalysis[[#This Row],[ID]], tblSeverityReference[ID], 0))= "", "",INDEX(tblSeverityReference[Epidemic Severity],MATCH(tblSeverityAnalysis[[#This Row],[ID]], tblSeverityReference[ID], 0)) ), "")</f>
        <v>2.4117647058823528</v>
      </c>
      <c r="AF93" s="303" t="str">
        <f>IFERROR(IF(INDEX(tblSeverityReference[Coping Strategy Severity],MATCH(tblSeverityAnalysis[[#This Row],[ID]], tblSeverityReference[ID], 0))= "", "",INDEX(tblSeverityReference[Coping Strategy Severity],MATCH(tblSeverityAnalysis[[#This Row],[ID]], tblSeverityReference[ID], 0)) ), "")</f>
        <v/>
      </c>
      <c r="AG93" s="108" t="str">
        <f>IFERROR(IF(INDEX(tblSeverityReference[HR/IHL Violation],MATCH(tblSeverityAnalysis[[#This Row],[ID]], tblSeverityReference[ID], 0))= "", "",INDEX(tblSeverityReference[HR/IHL Violation],MATCH(tblSeverityAnalysis[[#This Row],[ID]], tblSeverityReference[ID], 0)) ), "")</f>
        <v/>
      </c>
      <c r="AH93" s="81">
        <f>IFERROR(AVERAGE(tblSeverityAnalysis[[#This Row],[CCCM]:[WASH]]), "")</f>
        <v>1</v>
      </c>
      <c r="AI93" s="27">
        <f>IF(SUM(tblSeverityAnalysis[[#This Row],[CCCM]:[WASH]])=0, "", MAX(tblSeverityAnalysis[[#This Row],[CCCM]:[WASH]]))</f>
        <v>2</v>
      </c>
      <c r="AJ93" s="333" t="str" cm="1">
        <f t="array" ref="AJ93">IFERROR(IF(tblSeverityAnalysis[[#This Row],[Highest Severity]]="", "", _xlfn.TEXTJOIN(CHAR(10), TRUE, IF(tblSeverityAnalysis[[#This Row],[CCCM]:[WASH]]=tblSeverityAnalysis[[#This Row],[Highest Severity]], tblSeverityAnalysis[[#Headers],[CCCM]:[WASH]], ""), "")), "")</f>
        <v>WASH</v>
      </c>
      <c r="AK93" s="27" cm="1">
        <f t="array" ref="AK93">IFERROR(MAX(_xlfn._xlws.FILTER(tblSeverityAnalysis[[#This Row],[CCCM]:[WASH]], tblSeverityAnalysis[[#This Row],[CCCM]:[WASH]]&lt;tblSeverityAnalysis[[#This Row],[Highest Severity]])), "")</f>
        <v>0</v>
      </c>
      <c r="AL93" s="313" t="str" cm="1">
        <f t="array" ref="AL9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3" s="132" t="str">
        <f>IFERROR(IF(AND(tblSeverityAnalysis[[#This Row],[5]] &lt;&gt; "", tblSeverityAnalysis[[#This Row],[5]]&gt;=sectors_sev_5), "Flagged", ""), "")</f>
        <v/>
      </c>
      <c r="AN93" s="133" t="str">
        <f>IFERROR(IF(AND(tblSeverityAnalysis[[#This Row],[Preliminary Intersectoral Severity based on overlap of sectoral deprivations]]=4, SUM(tblSeverityAnalysis[[#This Row],[ 4 ]:[5]])&gt;=sectors_sev_4), "Flagged", ""), "")</f>
        <v/>
      </c>
      <c r="AO93" s="133" t="str" cm="1">
        <f t="array" ref="AO9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3" s="335"/>
      <c r="AR93" s="336"/>
      <c r="AS93" s="335"/>
      <c r="AT93" s="337">
        <f>COUNTIF(tblSeverityAnalysis[[#This Row],[1 sector in severity phase 5 '[modify the threshold']]:[Manual Flag]], "Flagged")</f>
        <v>1</v>
      </c>
      <c r="AU93" s="338">
        <f>tblSeverityAnalysis[[#This Row],[Preliminary Intersectoral Severity based on overlap of sectoral deprivations]]</f>
        <v>1</v>
      </c>
      <c r="AV93" s="339"/>
    </row>
    <row r="94" spans="1:48" ht="15" hidden="1" customHeight="1">
      <c r="A9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MZ0802</v>
      </c>
      <c r="B94" s="39" t="s">
        <v>189</v>
      </c>
      <c r="C94" s="340" t="s">
        <v>190</v>
      </c>
      <c r="D94" s="340" t="s">
        <v>412</v>
      </c>
      <c r="E94" s="33" t="s">
        <v>413</v>
      </c>
      <c r="F94" s="33"/>
      <c r="G94" s="33"/>
      <c r="H94" s="20"/>
      <c r="I94" s="95">
        <v>365136</v>
      </c>
      <c r="J94" s="95"/>
      <c r="K94" s="321"/>
      <c r="L94" s="303"/>
      <c r="M94" s="303" t="s">
        <v>264</v>
      </c>
      <c r="N94" s="303"/>
      <c r="O94" s="372"/>
      <c r="P94" s="303">
        <v>0</v>
      </c>
      <c r="Q94" s="304"/>
      <c r="R94" s="303">
        <v>2</v>
      </c>
      <c r="S94" s="303"/>
      <c r="T94" s="303"/>
      <c r="U94" s="303"/>
      <c r="V94" s="303"/>
      <c r="W94" s="330" t="str">
        <f>IF(COUNTIF(tblSeverityAnalysis[[#This Row],[CCCM]:[WASH]], 1)=0, "", COUNTIF(tblSeverityAnalysis[[#This Row],[CCCM]:[WASH]], 1))</f>
        <v/>
      </c>
      <c r="X94" s="331">
        <f>IF(COUNTIF(tblSeverityAnalysis[[#This Row],[CCCM]:[WASH]], 2)=0, "", COUNTIF(tblSeverityAnalysis[[#This Row],[CCCM]:[WASH]], 2))</f>
        <v>1</v>
      </c>
      <c r="Y94" s="331" t="str">
        <f>IF(COUNTIF(tblSeverityAnalysis[[#This Row],[CCCM]:[WASH]], 3)=0, "", COUNTIF(tblSeverityAnalysis[[#This Row],[CCCM]:[WASH]], 3))</f>
        <v/>
      </c>
      <c r="Z94" s="331" t="str">
        <f>IF(COUNTIF(tblSeverityAnalysis[[#This Row],[CCCM]:[WASH]], 4)=0, "", COUNTIF(tblSeverityAnalysis[[#This Row],[CCCM]:[WASH]], 4))</f>
        <v/>
      </c>
      <c r="AA94" s="332" t="str">
        <f>IF(COUNTIF(tblSeverityAnalysis[[#This Row],[CCCM]:[WASH]], 5)=0, "", COUNTIF(tblSeverityAnalysis[[#This Row],[CCCM]:[WASH]], 5))</f>
        <v/>
      </c>
      <c r="AB94" s="59" cm="1">
        <f t="array" ref="AB9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4" s="41">
        <f>IFERROR(IF(INDEX(tblSeverityReference[Malnutrition Severity],MATCH(tblSeverityAnalysis[[#This Row],[ID]], tblSeverityReference[ID], 0))= "", "",INDEX(tblSeverityReference[Malnutrition Severity],MATCH(tblSeverityAnalysis[[#This Row],[ID]], tblSeverityReference[ID], 0)) ), "")</f>
        <v>2</v>
      </c>
      <c r="AE94" s="303">
        <f>IFERROR(IF(INDEX(tblSeverityReference[Epidemic Severity],MATCH(tblSeverityAnalysis[[#This Row],[ID]], tblSeverityReference[ID], 0))= "", "",INDEX(tblSeverityReference[Epidemic Severity],MATCH(tblSeverityAnalysis[[#This Row],[ID]], tblSeverityReference[ID], 0)) ), "")</f>
        <v>2.8235294117647061</v>
      </c>
      <c r="AF94" s="303" t="str">
        <f>IFERROR(IF(INDEX(tblSeverityReference[Coping Strategy Severity],MATCH(tblSeverityAnalysis[[#This Row],[ID]], tblSeverityReference[ID], 0))= "", "",INDEX(tblSeverityReference[Coping Strategy Severity],MATCH(tblSeverityAnalysis[[#This Row],[ID]], tblSeverityReference[ID], 0)) ), "")</f>
        <v/>
      </c>
      <c r="AG94" s="108" t="str">
        <f>IFERROR(IF(INDEX(tblSeverityReference[HR/IHL Violation],MATCH(tblSeverityAnalysis[[#This Row],[ID]], tblSeverityReference[ID], 0))= "", "",INDEX(tblSeverityReference[HR/IHL Violation],MATCH(tblSeverityAnalysis[[#This Row],[ID]], tblSeverityReference[ID], 0)) ), "")</f>
        <v/>
      </c>
      <c r="AH94" s="81">
        <f>IFERROR(AVERAGE(tblSeverityAnalysis[[#This Row],[CCCM]:[WASH]]), "")</f>
        <v>1</v>
      </c>
      <c r="AI94" s="27">
        <f>IF(SUM(tblSeverityAnalysis[[#This Row],[CCCM]:[WASH]])=0, "", MAX(tblSeverityAnalysis[[#This Row],[CCCM]:[WASH]]))</f>
        <v>2</v>
      </c>
      <c r="AJ94" s="333" t="str" cm="1">
        <f t="array" ref="AJ94">IFERROR(IF(tblSeverityAnalysis[[#This Row],[Highest Severity]]="", "", _xlfn.TEXTJOIN(CHAR(10), TRUE, IF(tblSeverityAnalysis[[#This Row],[CCCM]:[WASH]]=tblSeverityAnalysis[[#This Row],[Highest Severity]], tblSeverityAnalysis[[#Headers],[CCCM]:[WASH]], ""), "")), "")</f>
        <v>WASH</v>
      </c>
      <c r="AK94" s="27" cm="1">
        <f t="array" ref="AK94">IFERROR(MAX(_xlfn._xlws.FILTER(tblSeverityAnalysis[[#This Row],[CCCM]:[WASH]], tblSeverityAnalysis[[#This Row],[CCCM]:[WASH]]&lt;tblSeverityAnalysis[[#This Row],[Highest Severity]])), "")</f>
        <v>0</v>
      </c>
      <c r="AL94" s="313" t="str" cm="1">
        <f t="array" ref="AL9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4" s="132" t="str">
        <f>IFERROR(IF(AND(tblSeverityAnalysis[[#This Row],[5]] &lt;&gt; "", tblSeverityAnalysis[[#This Row],[5]]&gt;=sectors_sev_5), "Flagged", ""), "")</f>
        <v/>
      </c>
      <c r="AN94" s="133" t="str">
        <f>IFERROR(IF(AND(tblSeverityAnalysis[[#This Row],[Preliminary Intersectoral Severity based on overlap of sectoral deprivations]]=4, SUM(tblSeverityAnalysis[[#This Row],[ 4 ]:[5]])&gt;=sectors_sev_4), "Flagged", ""), "")</f>
        <v/>
      </c>
      <c r="AO94" s="133" t="str" cm="1">
        <f t="array" ref="AO9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4" s="335"/>
      <c r="AR94" s="336"/>
      <c r="AS94" s="335"/>
      <c r="AT94" s="337">
        <f>COUNTIF(tblSeverityAnalysis[[#This Row],[1 sector in severity phase 5 '[modify the threshold']]:[Manual Flag]], "Flagged")</f>
        <v>1</v>
      </c>
      <c r="AU94" s="338">
        <f>tblSeverityAnalysis[[#This Row],[Preliminary Intersectoral Severity based on overlap of sectoral deprivations]]</f>
        <v>1</v>
      </c>
      <c r="AV94" s="339"/>
    </row>
    <row r="95" spans="1:48" ht="15" hidden="1" customHeight="1">
      <c r="A9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MZ0803</v>
      </c>
      <c r="B95" s="39" t="s">
        <v>189</v>
      </c>
      <c r="C95" s="340" t="s">
        <v>190</v>
      </c>
      <c r="D95" s="340" t="s">
        <v>414</v>
      </c>
      <c r="E95" s="33" t="s">
        <v>415</v>
      </c>
      <c r="F95" s="33"/>
      <c r="G95" s="33"/>
      <c r="H95" s="20"/>
      <c r="I95" s="95">
        <v>381691</v>
      </c>
      <c r="J95" s="95"/>
      <c r="K95" s="321"/>
      <c r="L95" s="303"/>
      <c r="M95" s="303">
        <v>2</v>
      </c>
      <c r="N95" s="303">
        <v>2</v>
      </c>
      <c r="O95" s="372"/>
      <c r="P95" s="303">
        <v>0</v>
      </c>
      <c r="Q95" s="304"/>
      <c r="R95" s="303">
        <v>3</v>
      </c>
      <c r="S95" s="303"/>
      <c r="T95" s="303"/>
      <c r="U95" s="303"/>
      <c r="V95" s="303"/>
      <c r="W95" s="330" t="str">
        <f>IF(COUNTIF(tblSeverityAnalysis[[#This Row],[CCCM]:[WASH]], 1)=0, "", COUNTIF(tblSeverityAnalysis[[#This Row],[CCCM]:[WASH]], 1))</f>
        <v/>
      </c>
      <c r="X95" s="331">
        <f>IF(COUNTIF(tblSeverityAnalysis[[#This Row],[CCCM]:[WASH]], 2)=0, "", COUNTIF(tblSeverityAnalysis[[#This Row],[CCCM]:[WASH]], 2))</f>
        <v>2</v>
      </c>
      <c r="Y95" s="331">
        <f>IF(COUNTIF(tblSeverityAnalysis[[#This Row],[CCCM]:[WASH]], 3)=0, "", COUNTIF(tblSeverityAnalysis[[#This Row],[CCCM]:[WASH]], 3))</f>
        <v>1</v>
      </c>
      <c r="Z95" s="331" t="str">
        <f>IF(COUNTIF(tblSeverityAnalysis[[#This Row],[CCCM]:[WASH]], 4)=0, "", COUNTIF(tblSeverityAnalysis[[#This Row],[CCCM]:[WASH]], 4))</f>
        <v/>
      </c>
      <c r="AA95" s="332" t="str">
        <f>IF(COUNTIF(tblSeverityAnalysis[[#This Row],[CCCM]:[WASH]], 5)=0, "", COUNTIF(tblSeverityAnalysis[[#This Row],[CCCM]:[WASH]], 5))</f>
        <v/>
      </c>
      <c r="AB95" s="59" cm="1">
        <f t="array" ref="AB9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5" s="41">
        <f>IFERROR(IF(INDEX(tblSeverityReference[Malnutrition Severity],MATCH(tblSeverityAnalysis[[#This Row],[ID]], tblSeverityReference[ID], 0))= "", "",INDEX(tblSeverityReference[Malnutrition Severity],MATCH(tblSeverityAnalysis[[#This Row],[ID]], tblSeverityReference[ID], 0)) ), "")</f>
        <v>2</v>
      </c>
      <c r="AE95" s="303">
        <f>IFERROR(IF(INDEX(tblSeverityReference[Epidemic Severity],MATCH(tblSeverityAnalysis[[#This Row],[ID]], tblSeverityReference[ID], 0))= "", "",INDEX(tblSeverityReference[Epidemic Severity],MATCH(tblSeverityAnalysis[[#This Row],[ID]], tblSeverityReference[ID], 0)) ), "")</f>
        <v>2.8235294117647061</v>
      </c>
      <c r="AF95" s="303">
        <f>IFERROR(IF(INDEX(tblSeverityReference[Coping Strategy Severity],MATCH(tblSeverityAnalysis[[#This Row],[ID]], tblSeverityReference[ID], 0))= "", "",INDEX(tblSeverityReference[Coping Strategy Severity],MATCH(tblSeverityAnalysis[[#This Row],[ID]], tblSeverityReference[ID], 0)) ), "")</f>
        <v>1</v>
      </c>
      <c r="AG95" s="108" t="str">
        <f>IFERROR(IF(INDEX(tblSeverityReference[HR/IHL Violation],MATCH(tblSeverityAnalysis[[#This Row],[ID]], tblSeverityReference[ID], 0))= "", "",INDEX(tblSeverityReference[HR/IHL Violation],MATCH(tblSeverityAnalysis[[#This Row],[ID]], tblSeverityReference[ID], 0)) ), "")</f>
        <v/>
      </c>
      <c r="AH95" s="81">
        <f>IFERROR(AVERAGE(tblSeverityAnalysis[[#This Row],[CCCM]:[WASH]]), "")</f>
        <v>1.75</v>
      </c>
      <c r="AI95" s="27">
        <f>IF(SUM(tblSeverityAnalysis[[#This Row],[CCCM]:[WASH]])=0, "", MAX(tblSeverityAnalysis[[#This Row],[CCCM]:[WASH]]))</f>
        <v>3</v>
      </c>
      <c r="AJ95" s="333" t="str" cm="1">
        <f t="array" ref="AJ95">IFERROR(IF(tblSeverityAnalysis[[#This Row],[Highest Severity]]="", "", _xlfn.TEXTJOIN(CHAR(10), TRUE, IF(tblSeverityAnalysis[[#This Row],[CCCM]:[WASH]]=tblSeverityAnalysis[[#This Row],[Highest Severity]], tblSeverityAnalysis[[#Headers],[CCCM]:[WASH]], ""), "")), "")</f>
        <v>WASH</v>
      </c>
      <c r="AK95" s="27" cm="1">
        <f t="array" ref="AK95">IFERROR(MAX(_xlfn._xlws.FILTER(tblSeverityAnalysis[[#This Row],[CCCM]:[WASH]], tblSeverityAnalysis[[#This Row],[CCCM]:[WASH]]&lt;tblSeverityAnalysis[[#This Row],[Highest Severity]])), "")</f>
        <v>2</v>
      </c>
      <c r="AL95" s="313" t="str" cm="1">
        <f t="array" ref="AL95">IFERROR(IF(tblSeverityAnalysis[[#This Row],[2nd Highest Severity]]="", "", _xlfn.TEXTJOIN(CHAR(10), TRUE, IF(tblSeverityAnalysis[[#This Row],[CCCM]:[WASH]]=tblSeverityAnalysis[[#This Row],[2nd Highest Severity]], tblSeverityAnalysis[[#Headers],[CCCM]:[WASH]], ""), "")), "")</f>
        <v>Nutrition
Food Security</v>
      </c>
      <c r="AM95" s="132" t="str">
        <f>IFERROR(IF(AND(tblSeverityAnalysis[[#This Row],[5]] &lt;&gt; "", tblSeverityAnalysis[[#This Row],[5]]&gt;=sectors_sev_5), "Flagged", ""), "")</f>
        <v/>
      </c>
      <c r="AN95" s="133" t="str">
        <f>IFERROR(IF(AND(tblSeverityAnalysis[[#This Row],[Preliminary Intersectoral Severity based on overlap of sectoral deprivations]]=4, SUM(tblSeverityAnalysis[[#This Row],[ 4 ]:[5]])&gt;=sectors_sev_4), "Flagged", ""), "")</f>
        <v/>
      </c>
      <c r="AO95" s="133" t="str" cm="1">
        <f t="array" ref="AO9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5" s="335"/>
      <c r="AR95" s="336"/>
      <c r="AS95" s="335"/>
      <c r="AT95" s="337">
        <f>COUNTIF(tblSeverityAnalysis[[#This Row],[1 sector in severity phase 5 '[modify the threshold']]:[Manual Flag]], "Flagged")</f>
        <v>1</v>
      </c>
      <c r="AU95" s="338">
        <f>tblSeverityAnalysis[[#This Row],[Preliminary Intersectoral Severity based on overlap of sectoral deprivations]]</f>
        <v>1</v>
      </c>
      <c r="AV95" s="339"/>
    </row>
    <row r="96" spans="1:48" ht="15" hidden="1" customHeight="1">
      <c r="A9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MZ0804</v>
      </c>
      <c r="B96" s="39" t="s">
        <v>189</v>
      </c>
      <c r="C96" s="340" t="s">
        <v>190</v>
      </c>
      <c r="D96" s="340" t="s">
        <v>416</v>
      </c>
      <c r="E96" s="33" t="s">
        <v>417</v>
      </c>
      <c r="F96" s="33"/>
      <c r="G96" s="33"/>
      <c r="H96" s="20"/>
      <c r="I96" s="95"/>
      <c r="J96" s="95"/>
      <c r="K96" s="321"/>
      <c r="L96" s="303"/>
      <c r="M96" s="303" t="s">
        <v>264</v>
      </c>
      <c r="N96" s="303"/>
      <c r="O96" s="372"/>
      <c r="P96" s="303">
        <v>0</v>
      </c>
      <c r="Q96" s="304"/>
      <c r="R96" s="303">
        <v>3</v>
      </c>
      <c r="S96" s="303"/>
      <c r="T96" s="303"/>
      <c r="U96" s="303"/>
      <c r="V96" s="303"/>
      <c r="W96" s="330" t="str">
        <f>IF(COUNTIF(tblSeverityAnalysis[[#This Row],[CCCM]:[WASH]], 1)=0, "", COUNTIF(tblSeverityAnalysis[[#This Row],[CCCM]:[WASH]], 1))</f>
        <v/>
      </c>
      <c r="X96" s="331" t="str">
        <f>IF(COUNTIF(tblSeverityAnalysis[[#This Row],[CCCM]:[WASH]], 2)=0, "", COUNTIF(tblSeverityAnalysis[[#This Row],[CCCM]:[WASH]], 2))</f>
        <v/>
      </c>
      <c r="Y96" s="331">
        <f>IF(COUNTIF(tblSeverityAnalysis[[#This Row],[CCCM]:[WASH]], 3)=0, "", COUNTIF(tblSeverityAnalysis[[#This Row],[CCCM]:[WASH]], 3))</f>
        <v>1</v>
      </c>
      <c r="Z96" s="331" t="str">
        <f>IF(COUNTIF(tblSeverityAnalysis[[#This Row],[CCCM]:[WASH]], 4)=0, "", COUNTIF(tblSeverityAnalysis[[#This Row],[CCCM]:[WASH]], 4))</f>
        <v/>
      </c>
      <c r="AA96" s="332" t="str">
        <f>IF(COUNTIF(tblSeverityAnalysis[[#This Row],[CCCM]:[WASH]], 5)=0, "", COUNTIF(tblSeverityAnalysis[[#This Row],[CCCM]:[WASH]], 5))</f>
        <v/>
      </c>
      <c r="AB96" s="59" cm="1">
        <f t="array" ref="AB9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6" s="41" t="str">
        <f>IFERROR(IF(INDEX(tblSeverityReference[Malnutrition Severity],MATCH(tblSeverityAnalysis[[#This Row],[ID]], tblSeverityReference[ID], 0))= "", "",INDEX(tblSeverityReference[Malnutrition Severity],MATCH(tblSeverityAnalysis[[#This Row],[ID]], tblSeverityReference[ID], 0)) ), "")</f>
        <v/>
      </c>
      <c r="AE96" s="303" t="str">
        <f>IFERROR(IF(INDEX(tblSeverityReference[Epidemic Severity],MATCH(tblSeverityAnalysis[[#This Row],[ID]], tblSeverityReference[ID], 0))= "", "",INDEX(tblSeverityReference[Epidemic Severity],MATCH(tblSeverityAnalysis[[#This Row],[ID]], tblSeverityReference[ID], 0)) ), "")</f>
        <v/>
      </c>
      <c r="AF96" s="303" t="str">
        <f>IFERROR(IF(INDEX(tblSeverityReference[Coping Strategy Severity],MATCH(tblSeverityAnalysis[[#This Row],[ID]], tblSeverityReference[ID], 0))= "", "",INDEX(tblSeverityReference[Coping Strategy Severity],MATCH(tblSeverityAnalysis[[#This Row],[ID]], tblSeverityReference[ID], 0)) ), "")</f>
        <v/>
      </c>
      <c r="AG96" s="108" t="str">
        <f>IFERROR(IF(INDEX(tblSeverityReference[HR/IHL Violation],MATCH(tblSeverityAnalysis[[#This Row],[ID]], tblSeverityReference[ID], 0))= "", "",INDEX(tblSeverityReference[HR/IHL Violation],MATCH(tblSeverityAnalysis[[#This Row],[ID]], tblSeverityReference[ID], 0)) ), "")</f>
        <v/>
      </c>
      <c r="AH96" s="81">
        <f>IFERROR(AVERAGE(tblSeverityAnalysis[[#This Row],[CCCM]:[WASH]]), "")</f>
        <v>1.5</v>
      </c>
      <c r="AI96" s="27">
        <f>IF(SUM(tblSeverityAnalysis[[#This Row],[CCCM]:[WASH]])=0, "", MAX(tblSeverityAnalysis[[#This Row],[CCCM]:[WASH]]))</f>
        <v>3</v>
      </c>
      <c r="AJ96" s="333" t="str" cm="1">
        <f t="array" ref="AJ96">IFERROR(IF(tblSeverityAnalysis[[#This Row],[Highest Severity]]="", "", _xlfn.TEXTJOIN(CHAR(10), TRUE, IF(tblSeverityAnalysis[[#This Row],[CCCM]:[WASH]]=tblSeverityAnalysis[[#This Row],[Highest Severity]], tblSeverityAnalysis[[#Headers],[CCCM]:[WASH]], ""), "")), "")</f>
        <v>WASH</v>
      </c>
      <c r="AK96" s="27" cm="1">
        <f t="array" ref="AK96">IFERROR(MAX(_xlfn._xlws.FILTER(tblSeverityAnalysis[[#This Row],[CCCM]:[WASH]], tblSeverityAnalysis[[#This Row],[CCCM]:[WASH]]&lt;tblSeverityAnalysis[[#This Row],[Highest Severity]])), "")</f>
        <v>0</v>
      </c>
      <c r="AL96" s="313" t="str" cm="1">
        <f t="array" ref="AL9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6" s="132" t="str">
        <f>IFERROR(IF(AND(tblSeverityAnalysis[[#This Row],[5]] &lt;&gt; "", tblSeverityAnalysis[[#This Row],[5]]&gt;=sectors_sev_5), "Flagged", ""), "")</f>
        <v/>
      </c>
      <c r="AN96" s="133" t="str">
        <f>IFERROR(IF(AND(tblSeverityAnalysis[[#This Row],[Preliminary Intersectoral Severity based on overlap of sectoral deprivations]]=4, SUM(tblSeverityAnalysis[[#This Row],[ 4 ]:[5]])&gt;=sectors_sev_4), "Flagged", ""), "")</f>
        <v/>
      </c>
      <c r="AO96" s="133" t="str" cm="1">
        <f t="array" ref="AO9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6" s="335"/>
      <c r="AR96" s="336"/>
      <c r="AS96" s="335"/>
      <c r="AT96" s="337">
        <f>COUNTIF(tblSeverityAnalysis[[#This Row],[1 sector in severity phase 5 '[modify the threshold']]:[Manual Flag]], "Flagged")</f>
        <v>0</v>
      </c>
      <c r="AU96" s="338">
        <f>tblSeverityAnalysis[[#This Row],[Preliminary Intersectoral Severity based on overlap of sectoral deprivations]]</f>
        <v>1</v>
      </c>
      <c r="AV96" s="339"/>
    </row>
    <row r="97" spans="1:48" ht="15" hidden="1" customHeight="1">
      <c r="A9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MZ0805</v>
      </c>
      <c r="B97" s="39" t="s">
        <v>189</v>
      </c>
      <c r="C97" s="340" t="s">
        <v>190</v>
      </c>
      <c r="D97" s="340" t="s">
        <v>418</v>
      </c>
      <c r="E97" s="33" t="s">
        <v>419</v>
      </c>
      <c r="F97" s="33"/>
      <c r="G97" s="33"/>
      <c r="H97" s="20"/>
      <c r="I97" s="95"/>
      <c r="J97" s="95"/>
      <c r="K97" s="321"/>
      <c r="L97" s="303"/>
      <c r="M97" s="303" t="s">
        <v>264</v>
      </c>
      <c r="N97" s="303"/>
      <c r="O97" s="372"/>
      <c r="P97" s="303">
        <v>0</v>
      </c>
      <c r="Q97" s="304"/>
      <c r="R97" s="303">
        <v>3</v>
      </c>
      <c r="S97" s="303"/>
      <c r="T97" s="303"/>
      <c r="U97" s="303"/>
      <c r="V97" s="303"/>
      <c r="W97" s="330" t="str">
        <f>IF(COUNTIF(tblSeverityAnalysis[[#This Row],[CCCM]:[WASH]], 1)=0, "", COUNTIF(tblSeverityAnalysis[[#This Row],[CCCM]:[WASH]], 1))</f>
        <v/>
      </c>
      <c r="X97" s="331" t="str">
        <f>IF(COUNTIF(tblSeverityAnalysis[[#This Row],[CCCM]:[WASH]], 2)=0, "", COUNTIF(tblSeverityAnalysis[[#This Row],[CCCM]:[WASH]], 2))</f>
        <v/>
      </c>
      <c r="Y97" s="331">
        <f>IF(COUNTIF(tblSeverityAnalysis[[#This Row],[CCCM]:[WASH]], 3)=0, "", COUNTIF(tblSeverityAnalysis[[#This Row],[CCCM]:[WASH]], 3))</f>
        <v>1</v>
      </c>
      <c r="Z97" s="331" t="str">
        <f>IF(COUNTIF(tblSeverityAnalysis[[#This Row],[CCCM]:[WASH]], 4)=0, "", COUNTIF(tblSeverityAnalysis[[#This Row],[CCCM]:[WASH]], 4))</f>
        <v/>
      </c>
      <c r="AA97" s="332" t="str">
        <f>IF(COUNTIF(tblSeverityAnalysis[[#This Row],[CCCM]:[WASH]], 5)=0, "", COUNTIF(tblSeverityAnalysis[[#This Row],[CCCM]:[WASH]], 5))</f>
        <v/>
      </c>
      <c r="AB97" s="59" cm="1">
        <f t="array" ref="AB9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7" s="41" t="str">
        <f>IFERROR(IF(INDEX(tblSeverityReference[Malnutrition Severity],MATCH(tblSeverityAnalysis[[#This Row],[ID]], tblSeverityReference[ID], 0))= "", "",INDEX(tblSeverityReference[Malnutrition Severity],MATCH(tblSeverityAnalysis[[#This Row],[ID]], tblSeverityReference[ID], 0)) ), "")</f>
        <v/>
      </c>
      <c r="AE97" s="303" t="str">
        <f>IFERROR(IF(INDEX(tblSeverityReference[Epidemic Severity],MATCH(tblSeverityAnalysis[[#This Row],[ID]], tblSeverityReference[ID], 0))= "", "",INDEX(tblSeverityReference[Epidemic Severity],MATCH(tblSeverityAnalysis[[#This Row],[ID]], tblSeverityReference[ID], 0)) ), "")</f>
        <v/>
      </c>
      <c r="AF97" s="303" t="str">
        <f>IFERROR(IF(INDEX(tblSeverityReference[Coping Strategy Severity],MATCH(tblSeverityAnalysis[[#This Row],[ID]], tblSeverityReference[ID], 0))= "", "",INDEX(tblSeverityReference[Coping Strategy Severity],MATCH(tblSeverityAnalysis[[#This Row],[ID]], tblSeverityReference[ID], 0)) ), "")</f>
        <v/>
      </c>
      <c r="AG97" s="108" t="str">
        <f>IFERROR(IF(INDEX(tblSeverityReference[HR/IHL Violation],MATCH(tblSeverityAnalysis[[#This Row],[ID]], tblSeverityReference[ID], 0))= "", "",INDEX(tblSeverityReference[HR/IHL Violation],MATCH(tblSeverityAnalysis[[#This Row],[ID]], tblSeverityReference[ID], 0)) ), "")</f>
        <v/>
      </c>
      <c r="AH97" s="81">
        <f>IFERROR(AVERAGE(tblSeverityAnalysis[[#This Row],[CCCM]:[WASH]]), "")</f>
        <v>1.5</v>
      </c>
      <c r="AI97" s="27">
        <f>IF(SUM(tblSeverityAnalysis[[#This Row],[CCCM]:[WASH]])=0, "", MAX(tblSeverityAnalysis[[#This Row],[CCCM]:[WASH]]))</f>
        <v>3</v>
      </c>
      <c r="AJ97" s="333" t="str" cm="1">
        <f t="array" ref="AJ97">IFERROR(IF(tblSeverityAnalysis[[#This Row],[Highest Severity]]="", "", _xlfn.TEXTJOIN(CHAR(10), TRUE, IF(tblSeverityAnalysis[[#This Row],[CCCM]:[WASH]]=tblSeverityAnalysis[[#This Row],[Highest Severity]], tblSeverityAnalysis[[#Headers],[CCCM]:[WASH]], ""), "")), "")</f>
        <v>WASH</v>
      </c>
      <c r="AK97" s="27" cm="1">
        <f t="array" ref="AK97">IFERROR(MAX(_xlfn._xlws.FILTER(tblSeverityAnalysis[[#This Row],[CCCM]:[WASH]], tblSeverityAnalysis[[#This Row],[CCCM]:[WASH]]&lt;tblSeverityAnalysis[[#This Row],[Highest Severity]])), "")</f>
        <v>0</v>
      </c>
      <c r="AL97" s="313" t="str" cm="1">
        <f t="array" ref="AL9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7" s="132" t="str">
        <f>IFERROR(IF(AND(tblSeverityAnalysis[[#This Row],[5]] &lt;&gt; "", tblSeverityAnalysis[[#This Row],[5]]&gt;=sectors_sev_5), "Flagged", ""), "")</f>
        <v/>
      </c>
      <c r="AN97" s="133" t="str">
        <f>IFERROR(IF(AND(tblSeverityAnalysis[[#This Row],[Preliminary Intersectoral Severity based on overlap of sectoral deprivations]]=4, SUM(tblSeverityAnalysis[[#This Row],[ 4 ]:[5]])&gt;=sectors_sev_4), "Flagged", ""), "")</f>
        <v/>
      </c>
      <c r="AO97" s="133" t="str" cm="1">
        <f t="array" ref="AO9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7" s="335"/>
      <c r="AR97" s="336"/>
      <c r="AS97" s="335"/>
      <c r="AT97" s="337">
        <f>COUNTIF(tblSeverityAnalysis[[#This Row],[1 sector in severity phase 5 '[modify the threshold']]:[Manual Flag]], "Flagged")</f>
        <v>0</v>
      </c>
      <c r="AU97" s="338">
        <f>tblSeverityAnalysis[[#This Row],[Preliminary Intersectoral Severity based on overlap of sectoral deprivations]]</f>
        <v>1</v>
      </c>
      <c r="AV97" s="339"/>
    </row>
    <row r="98" spans="1:48" ht="15" hidden="1" customHeight="1">
      <c r="A9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MZ0806</v>
      </c>
      <c r="B98" s="39" t="s">
        <v>189</v>
      </c>
      <c r="C98" s="340" t="s">
        <v>190</v>
      </c>
      <c r="D98" s="340" t="s">
        <v>420</v>
      </c>
      <c r="E98" s="33" t="s">
        <v>421</v>
      </c>
      <c r="F98" s="33"/>
      <c r="G98" s="33"/>
      <c r="H98" s="20"/>
      <c r="I98" s="95">
        <v>152634</v>
      </c>
      <c r="J98" s="95"/>
      <c r="K98" s="321"/>
      <c r="L98" s="303"/>
      <c r="M98" s="303" t="s">
        <v>264</v>
      </c>
      <c r="N98" s="303">
        <v>2</v>
      </c>
      <c r="O98" s="372"/>
      <c r="P98" s="303">
        <v>0</v>
      </c>
      <c r="Q98" s="304"/>
      <c r="R98" s="303">
        <v>3</v>
      </c>
      <c r="S98" s="303"/>
      <c r="T98" s="303"/>
      <c r="U98" s="303"/>
      <c r="V98" s="303"/>
      <c r="W98" s="330" t="str">
        <f>IF(COUNTIF(tblSeverityAnalysis[[#This Row],[CCCM]:[WASH]], 1)=0, "", COUNTIF(tblSeverityAnalysis[[#This Row],[CCCM]:[WASH]], 1))</f>
        <v/>
      </c>
      <c r="X98" s="331">
        <f>IF(COUNTIF(tblSeverityAnalysis[[#This Row],[CCCM]:[WASH]], 2)=0, "", COUNTIF(tblSeverityAnalysis[[#This Row],[CCCM]:[WASH]], 2))</f>
        <v>1</v>
      </c>
      <c r="Y98" s="331">
        <f>IF(COUNTIF(tblSeverityAnalysis[[#This Row],[CCCM]:[WASH]], 3)=0, "", COUNTIF(tblSeverityAnalysis[[#This Row],[CCCM]:[WASH]], 3))</f>
        <v>1</v>
      </c>
      <c r="Z98" s="331" t="str">
        <f>IF(COUNTIF(tblSeverityAnalysis[[#This Row],[CCCM]:[WASH]], 4)=0, "", COUNTIF(tblSeverityAnalysis[[#This Row],[CCCM]:[WASH]], 4))</f>
        <v/>
      </c>
      <c r="AA98" s="332" t="str">
        <f>IF(COUNTIF(tblSeverityAnalysis[[#This Row],[CCCM]:[WASH]], 5)=0, "", COUNTIF(tblSeverityAnalysis[[#This Row],[CCCM]:[WASH]], 5))</f>
        <v/>
      </c>
      <c r="AB98" s="59" cm="1">
        <f t="array" ref="AB9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8" s="41">
        <f>IFERROR(IF(INDEX(tblSeverityReference[Malnutrition Severity],MATCH(tblSeverityAnalysis[[#This Row],[ID]], tblSeverityReference[ID], 0))= "", "",INDEX(tblSeverityReference[Malnutrition Severity],MATCH(tblSeverityAnalysis[[#This Row],[ID]], tblSeverityReference[ID], 0)) ), "")</f>
        <v>2</v>
      </c>
      <c r="AE98" s="303" t="str">
        <f>IFERROR(IF(INDEX(tblSeverityReference[Epidemic Severity],MATCH(tblSeverityAnalysis[[#This Row],[ID]], tblSeverityReference[ID], 0))= "", "",INDEX(tblSeverityReference[Epidemic Severity],MATCH(tblSeverityAnalysis[[#This Row],[ID]], tblSeverityReference[ID], 0)) ), "")</f>
        <v/>
      </c>
      <c r="AF98" s="303">
        <f>IFERROR(IF(INDEX(tblSeverityReference[Coping Strategy Severity],MATCH(tblSeverityAnalysis[[#This Row],[ID]], tblSeverityReference[ID], 0))= "", "",INDEX(tblSeverityReference[Coping Strategy Severity],MATCH(tblSeverityAnalysis[[#This Row],[ID]], tblSeverityReference[ID], 0)) ), "")</f>
        <v>2</v>
      </c>
      <c r="AG98" s="108" t="str">
        <f>IFERROR(IF(INDEX(tblSeverityReference[HR/IHL Violation],MATCH(tblSeverityAnalysis[[#This Row],[ID]], tblSeverityReference[ID], 0))= "", "",INDEX(tblSeverityReference[HR/IHL Violation],MATCH(tblSeverityAnalysis[[#This Row],[ID]], tblSeverityReference[ID], 0)) ), "")</f>
        <v/>
      </c>
      <c r="AH98" s="81">
        <f>IFERROR(AVERAGE(tblSeverityAnalysis[[#This Row],[CCCM]:[WASH]]), "")</f>
        <v>1.6666666666666667</v>
      </c>
      <c r="AI98" s="27">
        <f>IF(SUM(tblSeverityAnalysis[[#This Row],[CCCM]:[WASH]])=0, "", MAX(tblSeverityAnalysis[[#This Row],[CCCM]:[WASH]]))</f>
        <v>3</v>
      </c>
      <c r="AJ98" s="333" t="str" cm="1">
        <f t="array" ref="AJ98">IFERROR(IF(tblSeverityAnalysis[[#This Row],[Highest Severity]]="", "", _xlfn.TEXTJOIN(CHAR(10), TRUE, IF(tblSeverityAnalysis[[#This Row],[CCCM]:[WASH]]=tblSeverityAnalysis[[#This Row],[Highest Severity]], tblSeverityAnalysis[[#Headers],[CCCM]:[WASH]], ""), "")), "")</f>
        <v>WASH</v>
      </c>
      <c r="AK98" s="27" cm="1">
        <f t="array" ref="AK98">IFERROR(MAX(_xlfn._xlws.FILTER(tblSeverityAnalysis[[#This Row],[CCCM]:[WASH]], tblSeverityAnalysis[[#This Row],[CCCM]:[WASH]]&lt;tblSeverityAnalysis[[#This Row],[Highest Severity]])), "")</f>
        <v>2</v>
      </c>
      <c r="AL98" s="313" t="str" cm="1">
        <f t="array" ref="AL98">IFERROR(IF(tblSeverityAnalysis[[#This Row],[2nd Highest Severity]]="", "", _xlfn.TEXTJOIN(CHAR(10), TRUE, IF(tblSeverityAnalysis[[#This Row],[CCCM]:[WASH]]=tblSeverityAnalysis[[#This Row],[2nd Highest Severity]], tblSeverityAnalysis[[#Headers],[CCCM]:[WASH]], ""), "")), "")</f>
        <v>Food Security</v>
      </c>
      <c r="AM98" s="132" t="str">
        <f>IFERROR(IF(AND(tblSeverityAnalysis[[#This Row],[5]] &lt;&gt; "", tblSeverityAnalysis[[#This Row],[5]]&gt;=sectors_sev_5), "Flagged", ""), "")</f>
        <v/>
      </c>
      <c r="AN98" s="133" t="str">
        <f>IFERROR(IF(AND(tblSeverityAnalysis[[#This Row],[Preliminary Intersectoral Severity based on overlap of sectoral deprivations]]=4, SUM(tblSeverityAnalysis[[#This Row],[ 4 ]:[5]])&gt;=sectors_sev_4), "Flagged", ""), "")</f>
        <v/>
      </c>
      <c r="AO98" s="133" t="str" cm="1">
        <f t="array" ref="AO9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8" s="335"/>
      <c r="AR98" s="336"/>
      <c r="AS98" s="335"/>
      <c r="AT98" s="337">
        <f>COUNTIF(tblSeverityAnalysis[[#This Row],[1 sector in severity phase 5 '[modify the threshold']]:[Manual Flag]], "Flagged")</f>
        <v>1</v>
      </c>
      <c r="AU98" s="338">
        <f>tblSeverityAnalysis[[#This Row],[Preliminary Intersectoral Severity based on overlap of sectoral deprivations]]</f>
        <v>1</v>
      </c>
      <c r="AV98" s="339"/>
    </row>
    <row r="99" spans="1:48" ht="15" hidden="1" customHeight="1">
      <c r="A9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MZ0807</v>
      </c>
      <c r="B99" s="39" t="s">
        <v>189</v>
      </c>
      <c r="C99" s="340" t="s">
        <v>190</v>
      </c>
      <c r="D99" s="340" t="s">
        <v>422</v>
      </c>
      <c r="E99" s="33" t="s">
        <v>423</v>
      </c>
      <c r="F99" s="33"/>
      <c r="G99" s="33"/>
      <c r="H99" s="20"/>
      <c r="I99" s="95"/>
      <c r="J99" s="95"/>
      <c r="K99" s="321"/>
      <c r="L99" s="303"/>
      <c r="M99" s="303" t="s">
        <v>264</v>
      </c>
      <c r="N99" s="303"/>
      <c r="O99" s="372"/>
      <c r="P99" s="303">
        <v>0</v>
      </c>
      <c r="Q99" s="304"/>
      <c r="R99" s="303">
        <v>3</v>
      </c>
      <c r="S99" s="303"/>
      <c r="T99" s="303"/>
      <c r="U99" s="303"/>
      <c r="V99" s="303"/>
      <c r="W99" s="330" t="str">
        <f>IF(COUNTIF(tblSeverityAnalysis[[#This Row],[CCCM]:[WASH]], 1)=0, "", COUNTIF(tblSeverityAnalysis[[#This Row],[CCCM]:[WASH]], 1))</f>
        <v/>
      </c>
      <c r="X99" s="331" t="str">
        <f>IF(COUNTIF(tblSeverityAnalysis[[#This Row],[CCCM]:[WASH]], 2)=0, "", COUNTIF(tblSeverityAnalysis[[#This Row],[CCCM]:[WASH]], 2))</f>
        <v/>
      </c>
      <c r="Y99" s="331">
        <f>IF(COUNTIF(tblSeverityAnalysis[[#This Row],[CCCM]:[WASH]], 3)=0, "", COUNTIF(tblSeverityAnalysis[[#This Row],[CCCM]:[WASH]], 3))</f>
        <v>1</v>
      </c>
      <c r="Z99" s="331" t="str">
        <f>IF(COUNTIF(tblSeverityAnalysis[[#This Row],[CCCM]:[WASH]], 4)=0, "", COUNTIF(tblSeverityAnalysis[[#This Row],[CCCM]:[WASH]], 4))</f>
        <v/>
      </c>
      <c r="AA99" s="332" t="str">
        <f>IF(COUNTIF(tblSeverityAnalysis[[#This Row],[CCCM]:[WASH]], 5)=0, "", COUNTIF(tblSeverityAnalysis[[#This Row],[CCCM]:[WASH]], 5))</f>
        <v/>
      </c>
      <c r="AB99" s="59" cm="1">
        <f t="array" ref="AB9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9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9" s="41" t="str">
        <f>IFERROR(IF(INDEX(tblSeverityReference[Malnutrition Severity],MATCH(tblSeverityAnalysis[[#This Row],[ID]], tblSeverityReference[ID], 0))= "", "",INDEX(tblSeverityReference[Malnutrition Severity],MATCH(tblSeverityAnalysis[[#This Row],[ID]], tblSeverityReference[ID], 0)) ), "")</f>
        <v/>
      </c>
      <c r="AE99" s="303">
        <f>IFERROR(IF(INDEX(tblSeverityReference[Epidemic Severity],MATCH(tblSeverityAnalysis[[#This Row],[ID]], tblSeverityReference[ID], 0))= "", "",INDEX(tblSeverityReference[Epidemic Severity],MATCH(tblSeverityAnalysis[[#This Row],[ID]], tblSeverityReference[ID], 0)) ), "")</f>
        <v>2.8235294117647061</v>
      </c>
      <c r="AF99" s="303" t="str">
        <f>IFERROR(IF(INDEX(tblSeverityReference[Coping Strategy Severity],MATCH(tblSeverityAnalysis[[#This Row],[ID]], tblSeverityReference[ID], 0))= "", "",INDEX(tblSeverityReference[Coping Strategy Severity],MATCH(tblSeverityAnalysis[[#This Row],[ID]], tblSeverityReference[ID], 0)) ), "")</f>
        <v/>
      </c>
      <c r="AG99" s="108" t="str">
        <f>IFERROR(IF(INDEX(tblSeverityReference[HR/IHL Violation],MATCH(tblSeverityAnalysis[[#This Row],[ID]], tblSeverityReference[ID], 0))= "", "",INDEX(tblSeverityReference[HR/IHL Violation],MATCH(tblSeverityAnalysis[[#This Row],[ID]], tblSeverityReference[ID], 0)) ), "")</f>
        <v/>
      </c>
      <c r="AH99" s="81">
        <f>IFERROR(AVERAGE(tblSeverityAnalysis[[#This Row],[CCCM]:[WASH]]), "")</f>
        <v>1.5</v>
      </c>
      <c r="AI99" s="27">
        <f>IF(SUM(tblSeverityAnalysis[[#This Row],[CCCM]:[WASH]])=0, "", MAX(tblSeverityAnalysis[[#This Row],[CCCM]:[WASH]]))</f>
        <v>3</v>
      </c>
      <c r="AJ99" s="333" t="str" cm="1">
        <f t="array" ref="AJ99">IFERROR(IF(tblSeverityAnalysis[[#This Row],[Highest Severity]]="", "", _xlfn.TEXTJOIN(CHAR(10), TRUE, IF(tblSeverityAnalysis[[#This Row],[CCCM]:[WASH]]=tblSeverityAnalysis[[#This Row],[Highest Severity]], tblSeverityAnalysis[[#Headers],[CCCM]:[WASH]], ""), "")), "")</f>
        <v>WASH</v>
      </c>
      <c r="AK99" s="27" cm="1">
        <f t="array" ref="AK99">IFERROR(MAX(_xlfn._xlws.FILTER(tblSeverityAnalysis[[#This Row],[CCCM]:[WASH]], tblSeverityAnalysis[[#This Row],[CCCM]:[WASH]]&lt;tblSeverityAnalysis[[#This Row],[Highest Severity]])), "")</f>
        <v>0</v>
      </c>
      <c r="AL99" s="313" t="str" cm="1">
        <f t="array" ref="AL9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99" s="132" t="str">
        <f>IFERROR(IF(AND(tblSeverityAnalysis[[#This Row],[5]] &lt;&gt; "", tblSeverityAnalysis[[#This Row],[5]]&gt;=sectors_sev_5), "Flagged", ""), "")</f>
        <v/>
      </c>
      <c r="AN99" s="133" t="str">
        <f>IFERROR(IF(AND(tblSeverityAnalysis[[#This Row],[Preliminary Intersectoral Severity based on overlap of sectoral deprivations]]=4, SUM(tblSeverityAnalysis[[#This Row],[ 4 ]:[5]])&gt;=sectors_sev_4), "Flagged", ""), "")</f>
        <v/>
      </c>
      <c r="AO99" s="133" t="str" cm="1">
        <f t="array" ref="AO9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9" s="335"/>
      <c r="AR99" s="336"/>
      <c r="AS99" s="335"/>
      <c r="AT99" s="337">
        <f>COUNTIF(tblSeverityAnalysis[[#This Row],[1 sector in severity phase 5 '[modify the threshold']]:[Manual Flag]], "Flagged")</f>
        <v>0</v>
      </c>
      <c r="AU99" s="338">
        <f>tblSeverityAnalysis[[#This Row],[Preliminary Intersectoral Severity based on overlap of sectoral deprivations]]</f>
        <v>1</v>
      </c>
      <c r="AV99" s="339"/>
    </row>
    <row r="100" spans="1:48" ht="15" hidden="1" customHeight="1">
      <c r="A10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MZ0808</v>
      </c>
      <c r="B100" s="39" t="s">
        <v>189</v>
      </c>
      <c r="C100" s="340" t="s">
        <v>190</v>
      </c>
      <c r="D100" s="340" t="s">
        <v>424</v>
      </c>
      <c r="E100" s="33" t="s">
        <v>425</v>
      </c>
      <c r="F100" s="33"/>
      <c r="G100" s="33"/>
      <c r="H100" s="20"/>
      <c r="I100" s="95">
        <v>56015</v>
      </c>
      <c r="J100" s="95"/>
      <c r="K100" s="321"/>
      <c r="L100" s="303"/>
      <c r="M100" s="303" t="s">
        <v>264</v>
      </c>
      <c r="N100" s="303"/>
      <c r="O100" s="372"/>
      <c r="P100" s="303">
        <v>0</v>
      </c>
      <c r="Q100" s="304"/>
      <c r="R100" s="303">
        <v>3</v>
      </c>
      <c r="S100" s="303"/>
      <c r="T100" s="303"/>
      <c r="U100" s="303"/>
      <c r="V100" s="303"/>
      <c r="W100" s="330" t="str">
        <f>IF(COUNTIF(tblSeverityAnalysis[[#This Row],[CCCM]:[WASH]], 1)=0, "", COUNTIF(tblSeverityAnalysis[[#This Row],[CCCM]:[WASH]], 1))</f>
        <v/>
      </c>
      <c r="X100" s="331" t="str">
        <f>IF(COUNTIF(tblSeverityAnalysis[[#This Row],[CCCM]:[WASH]], 2)=0, "", COUNTIF(tblSeverityAnalysis[[#This Row],[CCCM]:[WASH]], 2))</f>
        <v/>
      </c>
      <c r="Y100" s="331">
        <f>IF(COUNTIF(tblSeverityAnalysis[[#This Row],[CCCM]:[WASH]], 3)=0, "", COUNTIF(tblSeverityAnalysis[[#This Row],[CCCM]:[WASH]], 3))</f>
        <v>1</v>
      </c>
      <c r="Z100" s="331" t="str">
        <f>IF(COUNTIF(tblSeverityAnalysis[[#This Row],[CCCM]:[WASH]], 4)=0, "", COUNTIF(tblSeverityAnalysis[[#This Row],[CCCM]:[WASH]], 4))</f>
        <v/>
      </c>
      <c r="AA100" s="332" t="str">
        <f>IF(COUNTIF(tblSeverityAnalysis[[#This Row],[CCCM]:[WASH]], 5)=0, "", COUNTIF(tblSeverityAnalysis[[#This Row],[CCCM]:[WASH]], 5))</f>
        <v/>
      </c>
      <c r="AB100" s="59" cm="1">
        <f t="array" ref="AB10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0" s="41">
        <f>IFERROR(IF(INDEX(tblSeverityReference[Malnutrition Severity],MATCH(tblSeverityAnalysis[[#This Row],[ID]], tblSeverityReference[ID], 0))= "", "",INDEX(tblSeverityReference[Malnutrition Severity],MATCH(tblSeverityAnalysis[[#This Row],[ID]], tblSeverityReference[ID], 0)) ), "")</f>
        <v>2</v>
      </c>
      <c r="AE100" s="303">
        <f>IFERROR(IF(INDEX(tblSeverityReference[Epidemic Severity],MATCH(tblSeverityAnalysis[[#This Row],[ID]], tblSeverityReference[ID], 0))= "", "",INDEX(tblSeverityReference[Epidemic Severity],MATCH(tblSeverityAnalysis[[#This Row],[ID]], tblSeverityReference[ID], 0)) ), "")</f>
        <v>2.8235294117647061</v>
      </c>
      <c r="AF100" s="303" t="str">
        <f>IFERROR(IF(INDEX(tblSeverityReference[Coping Strategy Severity],MATCH(tblSeverityAnalysis[[#This Row],[ID]], tblSeverityReference[ID], 0))= "", "",INDEX(tblSeverityReference[Coping Strategy Severity],MATCH(tblSeverityAnalysis[[#This Row],[ID]], tblSeverityReference[ID], 0)) ), "")</f>
        <v/>
      </c>
      <c r="AG100" s="108" t="str">
        <f>IFERROR(IF(INDEX(tblSeverityReference[HR/IHL Violation],MATCH(tblSeverityAnalysis[[#This Row],[ID]], tblSeverityReference[ID], 0))= "", "",INDEX(tblSeverityReference[HR/IHL Violation],MATCH(tblSeverityAnalysis[[#This Row],[ID]], tblSeverityReference[ID], 0)) ), "")</f>
        <v/>
      </c>
      <c r="AH100" s="81">
        <f>IFERROR(AVERAGE(tblSeverityAnalysis[[#This Row],[CCCM]:[WASH]]), "")</f>
        <v>1.5</v>
      </c>
      <c r="AI100" s="27">
        <f>IF(SUM(tblSeverityAnalysis[[#This Row],[CCCM]:[WASH]])=0, "", MAX(tblSeverityAnalysis[[#This Row],[CCCM]:[WASH]]))</f>
        <v>3</v>
      </c>
      <c r="AJ100" s="333" t="str" cm="1">
        <f t="array" ref="AJ100">IFERROR(IF(tblSeverityAnalysis[[#This Row],[Highest Severity]]="", "", _xlfn.TEXTJOIN(CHAR(10), TRUE, IF(tblSeverityAnalysis[[#This Row],[CCCM]:[WASH]]=tblSeverityAnalysis[[#This Row],[Highest Severity]], tblSeverityAnalysis[[#Headers],[CCCM]:[WASH]], ""), "")), "")</f>
        <v>WASH</v>
      </c>
      <c r="AK100" s="27" cm="1">
        <f t="array" ref="AK100">IFERROR(MAX(_xlfn._xlws.FILTER(tblSeverityAnalysis[[#This Row],[CCCM]:[WASH]], tblSeverityAnalysis[[#This Row],[CCCM]:[WASH]]&lt;tblSeverityAnalysis[[#This Row],[Highest Severity]])), "")</f>
        <v>0</v>
      </c>
      <c r="AL100" s="313" t="str" cm="1">
        <f t="array" ref="AL10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0" s="132" t="str">
        <f>IFERROR(IF(AND(tblSeverityAnalysis[[#This Row],[5]] &lt;&gt; "", tblSeverityAnalysis[[#This Row],[5]]&gt;=sectors_sev_5), "Flagged", ""), "")</f>
        <v/>
      </c>
      <c r="AN100" s="133" t="str">
        <f>IFERROR(IF(AND(tblSeverityAnalysis[[#This Row],[Preliminary Intersectoral Severity based on overlap of sectoral deprivations]]=4, SUM(tblSeverityAnalysis[[#This Row],[ 4 ]:[5]])&gt;=sectors_sev_4), "Flagged", ""), "")</f>
        <v/>
      </c>
      <c r="AO100" s="133" t="str" cm="1">
        <f t="array" ref="AO10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0" s="335"/>
      <c r="AR100" s="336"/>
      <c r="AS100" s="335"/>
      <c r="AT100" s="337">
        <f>COUNTIF(tblSeverityAnalysis[[#This Row],[1 sector in severity phase 5 '[modify the threshold']]:[Manual Flag]], "Flagged")</f>
        <v>1</v>
      </c>
      <c r="AU100" s="338">
        <f>tblSeverityAnalysis[[#This Row],[Preliminary Intersectoral Severity based on overlap of sectoral deprivations]]</f>
        <v>1</v>
      </c>
      <c r="AV100" s="339"/>
    </row>
    <row r="101" spans="1:48" ht="15" hidden="1" customHeight="1">
      <c r="A10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MZ0809</v>
      </c>
      <c r="B101" s="39" t="s">
        <v>189</v>
      </c>
      <c r="C101" s="340" t="s">
        <v>190</v>
      </c>
      <c r="D101" s="340" t="s">
        <v>426</v>
      </c>
      <c r="E101" s="33" t="s">
        <v>427</v>
      </c>
      <c r="F101" s="33"/>
      <c r="G101" s="33"/>
      <c r="H101" s="20"/>
      <c r="I101" s="95">
        <v>286386</v>
      </c>
      <c r="J101" s="95"/>
      <c r="K101" s="321"/>
      <c r="L101" s="303"/>
      <c r="M101" s="303" t="s">
        <v>264</v>
      </c>
      <c r="N101" s="303">
        <v>2</v>
      </c>
      <c r="O101" s="372"/>
      <c r="P101" s="303">
        <v>0</v>
      </c>
      <c r="Q101" s="304"/>
      <c r="R101" s="303">
        <v>3</v>
      </c>
      <c r="S101" s="303"/>
      <c r="T101" s="303"/>
      <c r="U101" s="303"/>
      <c r="V101" s="303"/>
      <c r="W101" s="330" t="str">
        <f>IF(COUNTIF(tblSeverityAnalysis[[#This Row],[CCCM]:[WASH]], 1)=0, "", COUNTIF(tblSeverityAnalysis[[#This Row],[CCCM]:[WASH]], 1))</f>
        <v/>
      </c>
      <c r="X101" s="331">
        <f>IF(COUNTIF(tblSeverityAnalysis[[#This Row],[CCCM]:[WASH]], 2)=0, "", COUNTIF(tblSeverityAnalysis[[#This Row],[CCCM]:[WASH]], 2))</f>
        <v>1</v>
      </c>
      <c r="Y101" s="331">
        <f>IF(COUNTIF(tblSeverityAnalysis[[#This Row],[CCCM]:[WASH]], 3)=0, "", COUNTIF(tblSeverityAnalysis[[#This Row],[CCCM]:[WASH]], 3))</f>
        <v>1</v>
      </c>
      <c r="Z101" s="331" t="str">
        <f>IF(COUNTIF(tblSeverityAnalysis[[#This Row],[CCCM]:[WASH]], 4)=0, "", COUNTIF(tblSeverityAnalysis[[#This Row],[CCCM]:[WASH]], 4))</f>
        <v/>
      </c>
      <c r="AA101" s="332" t="str">
        <f>IF(COUNTIF(tblSeverityAnalysis[[#This Row],[CCCM]:[WASH]], 5)=0, "", COUNTIF(tblSeverityAnalysis[[#This Row],[CCCM]:[WASH]], 5))</f>
        <v/>
      </c>
      <c r="AB101" s="59" cm="1">
        <f t="array" ref="AB10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1" s="41">
        <f>IFERROR(IF(INDEX(tblSeverityReference[Malnutrition Severity],MATCH(tblSeverityAnalysis[[#This Row],[ID]], tblSeverityReference[ID], 0))= "", "",INDEX(tblSeverityReference[Malnutrition Severity],MATCH(tblSeverityAnalysis[[#This Row],[ID]], tblSeverityReference[ID], 0)) ), "")</f>
        <v>2</v>
      </c>
      <c r="AE101" s="303">
        <f>IFERROR(IF(INDEX(tblSeverityReference[Epidemic Severity],MATCH(tblSeverityAnalysis[[#This Row],[ID]], tblSeverityReference[ID], 0))= "", "",INDEX(tblSeverityReference[Epidemic Severity],MATCH(tblSeverityAnalysis[[#This Row],[ID]], tblSeverityReference[ID], 0)) ), "")</f>
        <v>1.8235294117647056</v>
      </c>
      <c r="AF101" s="303">
        <f>IFERROR(IF(INDEX(tblSeverityReference[Coping Strategy Severity],MATCH(tblSeverityAnalysis[[#This Row],[ID]], tblSeverityReference[ID], 0))= "", "",INDEX(tblSeverityReference[Coping Strategy Severity],MATCH(tblSeverityAnalysis[[#This Row],[ID]], tblSeverityReference[ID], 0)) ), "")</f>
        <v>2</v>
      </c>
      <c r="AG101" s="108" t="str">
        <f>IFERROR(IF(INDEX(tblSeverityReference[HR/IHL Violation],MATCH(tblSeverityAnalysis[[#This Row],[ID]], tblSeverityReference[ID], 0))= "", "",INDEX(tblSeverityReference[HR/IHL Violation],MATCH(tblSeverityAnalysis[[#This Row],[ID]], tblSeverityReference[ID], 0)) ), "")</f>
        <v/>
      </c>
      <c r="AH101" s="81">
        <f>IFERROR(AVERAGE(tblSeverityAnalysis[[#This Row],[CCCM]:[WASH]]), "")</f>
        <v>1.6666666666666667</v>
      </c>
      <c r="AI101" s="27">
        <f>IF(SUM(tblSeverityAnalysis[[#This Row],[CCCM]:[WASH]])=0, "", MAX(tblSeverityAnalysis[[#This Row],[CCCM]:[WASH]]))</f>
        <v>3</v>
      </c>
      <c r="AJ101" s="333" t="str" cm="1">
        <f t="array" ref="AJ101">IFERROR(IF(tblSeverityAnalysis[[#This Row],[Highest Severity]]="", "", _xlfn.TEXTJOIN(CHAR(10), TRUE, IF(tblSeverityAnalysis[[#This Row],[CCCM]:[WASH]]=tblSeverityAnalysis[[#This Row],[Highest Severity]], tblSeverityAnalysis[[#Headers],[CCCM]:[WASH]], ""), "")), "")</f>
        <v>WASH</v>
      </c>
      <c r="AK101" s="27" cm="1">
        <f t="array" ref="AK101">IFERROR(MAX(_xlfn._xlws.FILTER(tblSeverityAnalysis[[#This Row],[CCCM]:[WASH]], tblSeverityAnalysis[[#This Row],[CCCM]:[WASH]]&lt;tblSeverityAnalysis[[#This Row],[Highest Severity]])), "")</f>
        <v>2</v>
      </c>
      <c r="AL101" s="313" t="str" cm="1">
        <f t="array" ref="AL101">IFERROR(IF(tblSeverityAnalysis[[#This Row],[2nd Highest Severity]]="", "", _xlfn.TEXTJOIN(CHAR(10), TRUE, IF(tblSeverityAnalysis[[#This Row],[CCCM]:[WASH]]=tblSeverityAnalysis[[#This Row],[2nd Highest Severity]], tblSeverityAnalysis[[#Headers],[CCCM]:[WASH]], ""), "")), "")</f>
        <v>Food Security</v>
      </c>
      <c r="AM101" s="132" t="str">
        <f>IFERROR(IF(AND(tblSeverityAnalysis[[#This Row],[5]] &lt;&gt; "", tblSeverityAnalysis[[#This Row],[5]]&gt;=sectors_sev_5), "Flagged", ""), "")</f>
        <v/>
      </c>
      <c r="AN101" s="133" t="str">
        <f>IFERROR(IF(AND(tblSeverityAnalysis[[#This Row],[Preliminary Intersectoral Severity based on overlap of sectoral deprivations]]=4, SUM(tblSeverityAnalysis[[#This Row],[ 4 ]:[5]])&gt;=sectors_sev_4), "Flagged", ""), "")</f>
        <v/>
      </c>
      <c r="AO101" s="133" t="str" cm="1">
        <f t="array" ref="AO10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1" s="335"/>
      <c r="AR101" s="336"/>
      <c r="AS101" s="335"/>
      <c r="AT101" s="337">
        <f>COUNTIF(tblSeverityAnalysis[[#This Row],[1 sector in severity phase 5 '[modify the threshold']]:[Manual Flag]], "Flagged")</f>
        <v>1</v>
      </c>
      <c r="AU101" s="338">
        <f>tblSeverityAnalysis[[#This Row],[Preliminary Intersectoral Severity based on overlap of sectoral deprivations]]</f>
        <v>1</v>
      </c>
      <c r="AV101" s="339"/>
    </row>
    <row r="102" spans="1:48" ht="15" hidden="1" customHeight="1">
      <c r="A10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MZ0810</v>
      </c>
      <c r="B102" s="39" t="s">
        <v>189</v>
      </c>
      <c r="C102" s="340" t="s">
        <v>190</v>
      </c>
      <c r="D102" s="340" t="s">
        <v>428</v>
      </c>
      <c r="E102" s="33" t="s">
        <v>429</v>
      </c>
      <c r="F102" s="33"/>
      <c r="G102" s="33"/>
      <c r="H102" s="20"/>
      <c r="I102" s="95">
        <v>108054</v>
      </c>
      <c r="J102" s="95"/>
      <c r="K102" s="321"/>
      <c r="L102" s="303"/>
      <c r="M102" s="303" t="s">
        <v>264</v>
      </c>
      <c r="N102" s="303">
        <v>2</v>
      </c>
      <c r="O102" s="372"/>
      <c r="P102" s="303">
        <v>0</v>
      </c>
      <c r="Q102" s="304"/>
      <c r="R102" s="303">
        <v>3</v>
      </c>
      <c r="S102" s="303"/>
      <c r="T102" s="303"/>
      <c r="U102" s="303"/>
      <c r="V102" s="303"/>
      <c r="W102" s="330" t="str">
        <f>IF(COUNTIF(tblSeverityAnalysis[[#This Row],[CCCM]:[WASH]], 1)=0, "", COUNTIF(tblSeverityAnalysis[[#This Row],[CCCM]:[WASH]], 1))</f>
        <v/>
      </c>
      <c r="X102" s="331">
        <f>IF(COUNTIF(tblSeverityAnalysis[[#This Row],[CCCM]:[WASH]], 2)=0, "", COUNTIF(tblSeverityAnalysis[[#This Row],[CCCM]:[WASH]], 2))</f>
        <v>1</v>
      </c>
      <c r="Y102" s="331">
        <f>IF(COUNTIF(tblSeverityAnalysis[[#This Row],[CCCM]:[WASH]], 3)=0, "", COUNTIF(tblSeverityAnalysis[[#This Row],[CCCM]:[WASH]], 3))</f>
        <v>1</v>
      </c>
      <c r="Z102" s="331" t="str">
        <f>IF(COUNTIF(tblSeverityAnalysis[[#This Row],[CCCM]:[WASH]], 4)=0, "", COUNTIF(tblSeverityAnalysis[[#This Row],[CCCM]:[WASH]], 4))</f>
        <v/>
      </c>
      <c r="AA102" s="332" t="str">
        <f>IF(COUNTIF(tblSeverityAnalysis[[#This Row],[CCCM]:[WASH]], 5)=0, "", COUNTIF(tblSeverityAnalysis[[#This Row],[CCCM]:[WASH]], 5))</f>
        <v/>
      </c>
      <c r="AB102" s="59" cm="1">
        <f t="array" ref="AB10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2" s="41">
        <f>IFERROR(IF(INDEX(tblSeverityReference[Malnutrition Severity],MATCH(tblSeverityAnalysis[[#This Row],[ID]], tblSeverityReference[ID], 0))= "", "",INDEX(tblSeverityReference[Malnutrition Severity],MATCH(tblSeverityAnalysis[[#This Row],[ID]], tblSeverityReference[ID], 0)) ), "")</f>
        <v>2</v>
      </c>
      <c r="AE102" s="303">
        <f>IFERROR(IF(INDEX(tblSeverityReference[Epidemic Severity],MATCH(tblSeverityAnalysis[[#This Row],[ID]], tblSeverityReference[ID], 0))= "", "",INDEX(tblSeverityReference[Epidemic Severity],MATCH(tblSeverityAnalysis[[#This Row],[ID]], tblSeverityReference[ID], 0)) ), "")</f>
        <v>2.8235294117647061</v>
      </c>
      <c r="AF102" s="303">
        <f>IFERROR(IF(INDEX(tblSeverityReference[Coping Strategy Severity],MATCH(tblSeverityAnalysis[[#This Row],[ID]], tblSeverityReference[ID], 0))= "", "",INDEX(tblSeverityReference[Coping Strategy Severity],MATCH(tblSeverityAnalysis[[#This Row],[ID]], tblSeverityReference[ID], 0)) ), "")</f>
        <v>2</v>
      </c>
      <c r="AG102" s="108" t="str">
        <f>IFERROR(IF(INDEX(tblSeverityReference[HR/IHL Violation],MATCH(tblSeverityAnalysis[[#This Row],[ID]], tblSeverityReference[ID], 0))= "", "",INDEX(tblSeverityReference[HR/IHL Violation],MATCH(tblSeverityAnalysis[[#This Row],[ID]], tblSeverityReference[ID], 0)) ), "")</f>
        <v/>
      </c>
      <c r="AH102" s="81">
        <f>IFERROR(AVERAGE(tblSeverityAnalysis[[#This Row],[CCCM]:[WASH]]), "")</f>
        <v>1.6666666666666667</v>
      </c>
      <c r="AI102" s="27">
        <f>IF(SUM(tblSeverityAnalysis[[#This Row],[CCCM]:[WASH]])=0, "", MAX(tblSeverityAnalysis[[#This Row],[CCCM]:[WASH]]))</f>
        <v>3</v>
      </c>
      <c r="AJ102" s="333" t="str" cm="1">
        <f t="array" ref="AJ102">IFERROR(IF(tblSeverityAnalysis[[#This Row],[Highest Severity]]="", "", _xlfn.TEXTJOIN(CHAR(10), TRUE, IF(tblSeverityAnalysis[[#This Row],[CCCM]:[WASH]]=tblSeverityAnalysis[[#This Row],[Highest Severity]], tblSeverityAnalysis[[#Headers],[CCCM]:[WASH]], ""), "")), "")</f>
        <v>WASH</v>
      </c>
      <c r="AK102" s="27" cm="1">
        <f t="array" ref="AK102">IFERROR(MAX(_xlfn._xlws.FILTER(tblSeverityAnalysis[[#This Row],[CCCM]:[WASH]], tblSeverityAnalysis[[#This Row],[CCCM]:[WASH]]&lt;tblSeverityAnalysis[[#This Row],[Highest Severity]])), "")</f>
        <v>2</v>
      </c>
      <c r="AL102" s="313" t="str" cm="1">
        <f t="array" ref="AL102">IFERROR(IF(tblSeverityAnalysis[[#This Row],[2nd Highest Severity]]="", "", _xlfn.TEXTJOIN(CHAR(10), TRUE, IF(tblSeverityAnalysis[[#This Row],[CCCM]:[WASH]]=tblSeverityAnalysis[[#This Row],[2nd Highest Severity]], tblSeverityAnalysis[[#Headers],[CCCM]:[WASH]], ""), "")), "")</f>
        <v>Food Security</v>
      </c>
      <c r="AM102" s="132" t="str">
        <f>IFERROR(IF(AND(tblSeverityAnalysis[[#This Row],[5]] &lt;&gt; "", tblSeverityAnalysis[[#This Row],[5]]&gt;=sectors_sev_5), "Flagged", ""), "")</f>
        <v/>
      </c>
      <c r="AN102" s="133" t="str">
        <f>IFERROR(IF(AND(tblSeverityAnalysis[[#This Row],[Preliminary Intersectoral Severity based on overlap of sectoral deprivations]]=4, SUM(tblSeverityAnalysis[[#This Row],[ 4 ]:[5]])&gt;=sectors_sev_4), "Flagged", ""), "")</f>
        <v/>
      </c>
      <c r="AO102" s="133" t="str" cm="1">
        <f t="array" ref="AO10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2" s="335"/>
      <c r="AR102" s="336"/>
      <c r="AS102" s="335"/>
      <c r="AT102" s="337">
        <f>COUNTIF(tblSeverityAnalysis[[#This Row],[1 sector in severity phase 5 '[modify the threshold']]:[Manual Flag]], "Flagged")</f>
        <v>1</v>
      </c>
      <c r="AU102" s="338">
        <f>tblSeverityAnalysis[[#This Row],[Preliminary Intersectoral Severity based on overlap of sectoral deprivations]]</f>
        <v>1</v>
      </c>
      <c r="AV102" s="339"/>
    </row>
    <row r="103" spans="1:48" ht="15" hidden="1" customHeight="1">
      <c r="A10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MZ0811</v>
      </c>
      <c r="B103" s="39" t="s">
        <v>189</v>
      </c>
      <c r="C103" s="340" t="s">
        <v>190</v>
      </c>
      <c r="D103" s="340" t="s">
        <v>430</v>
      </c>
      <c r="E103" s="33" t="s">
        <v>431</v>
      </c>
      <c r="F103" s="33"/>
      <c r="G103" s="33"/>
      <c r="H103" s="20"/>
      <c r="I103" s="95">
        <v>93261</v>
      </c>
      <c r="J103" s="95"/>
      <c r="K103" s="321"/>
      <c r="L103" s="303"/>
      <c r="M103" s="303" t="s">
        <v>264</v>
      </c>
      <c r="N103" s="303"/>
      <c r="O103" s="372"/>
      <c r="P103" s="303">
        <v>0</v>
      </c>
      <c r="Q103" s="304"/>
      <c r="R103" s="303">
        <v>3</v>
      </c>
      <c r="S103" s="303"/>
      <c r="T103" s="303"/>
      <c r="U103" s="303"/>
      <c r="V103" s="303"/>
      <c r="W103" s="330" t="str">
        <f>IF(COUNTIF(tblSeverityAnalysis[[#This Row],[CCCM]:[WASH]], 1)=0, "", COUNTIF(tblSeverityAnalysis[[#This Row],[CCCM]:[WASH]], 1))</f>
        <v/>
      </c>
      <c r="X103" s="331" t="str">
        <f>IF(COUNTIF(tblSeverityAnalysis[[#This Row],[CCCM]:[WASH]], 2)=0, "", COUNTIF(tblSeverityAnalysis[[#This Row],[CCCM]:[WASH]], 2))</f>
        <v/>
      </c>
      <c r="Y103" s="331">
        <f>IF(COUNTIF(tblSeverityAnalysis[[#This Row],[CCCM]:[WASH]], 3)=0, "", COUNTIF(tblSeverityAnalysis[[#This Row],[CCCM]:[WASH]], 3))</f>
        <v>1</v>
      </c>
      <c r="Z103" s="331" t="str">
        <f>IF(COUNTIF(tblSeverityAnalysis[[#This Row],[CCCM]:[WASH]], 4)=0, "", COUNTIF(tblSeverityAnalysis[[#This Row],[CCCM]:[WASH]], 4))</f>
        <v/>
      </c>
      <c r="AA103" s="332" t="str">
        <f>IF(COUNTIF(tblSeverityAnalysis[[#This Row],[CCCM]:[WASH]], 5)=0, "", COUNTIF(tblSeverityAnalysis[[#This Row],[CCCM]:[WASH]], 5))</f>
        <v/>
      </c>
      <c r="AB103" s="59" cm="1">
        <f t="array" ref="AB10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3" s="41">
        <f>IFERROR(IF(INDEX(tblSeverityReference[Malnutrition Severity],MATCH(tblSeverityAnalysis[[#This Row],[ID]], tblSeverityReference[ID], 0))= "", "",INDEX(tblSeverityReference[Malnutrition Severity],MATCH(tblSeverityAnalysis[[#This Row],[ID]], tblSeverityReference[ID], 0)) ), "")</f>
        <v>2</v>
      </c>
      <c r="AE103" s="303">
        <f>IFERROR(IF(INDEX(tblSeverityReference[Epidemic Severity],MATCH(tblSeverityAnalysis[[#This Row],[ID]], tblSeverityReference[ID], 0))= "", "",INDEX(tblSeverityReference[Epidemic Severity],MATCH(tblSeverityAnalysis[[#This Row],[ID]], tblSeverityReference[ID], 0)) ), "")</f>
        <v>3.2352941176470589</v>
      </c>
      <c r="AF103" s="303" t="str">
        <f>IFERROR(IF(INDEX(tblSeverityReference[Coping Strategy Severity],MATCH(tblSeverityAnalysis[[#This Row],[ID]], tblSeverityReference[ID], 0))= "", "",INDEX(tblSeverityReference[Coping Strategy Severity],MATCH(tblSeverityAnalysis[[#This Row],[ID]], tblSeverityReference[ID], 0)) ), "")</f>
        <v/>
      </c>
      <c r="AG103" s="108" t="str">
        <f>IFERROR(IF(INDEX(tblSeverityReference[HR/IHL Violation],MATCH(tblSeverityAnalysis[[#This Row],[ID]], tblSeverityReference[ID], 0))= "", "",INDEX(tblSeverityReference[HR/IHL Violation],MATCH(tblSeverityAnalysis[[#This Row],[ID]], tblSeverityReference[ID], 0)) ), "")</f>
        <v/>
      </c>
      <c r="AH103" s="81">
        <f>IFERROR(AVERAGE(tblSeverityAnalysis[[#This Row],[CCCM]:[WASH]]), "")</f>
        <v>1.5</v>
      </c>
      <c r="AI103" s="27">
        <f>IF(SUM(tblSeverityAnalysis[[#This Row],[CCCM]:[WASH]])=0, "", MAX(tblSeverityAnalysis[[#This Row],[CCCM]:[WASH]]))</f>
        <v>3</v>
      </c>
      <c r="AJ103" s="333" t="str" cm="1">
        <f t="array" ref="AJ103">IFERROR(IF(tblSeverityAnalysis[[#This Row],[Highest Severity]]="", "", _xlfn.TEXTJOIN(CHAR(10), TRUE, IF(tblSeverityAnalysis[[#This Row],[CCCM]:[WASH]]=tblSeverityAnalysis[[#This Row],[Highest Severity]], tblSeverityAnalysis[[#Headers],[CCCM]:[WASH]], ""), "")), "")</f>
        <v>WASH</v>
      </c>
      <c r="AK103" s="27" cm="1">
        <f t="array" ref="AK103">IFERROR(MAX(_xlfn._xlws.FILTER(tblSeverityAnalysis[[#This Row],[CCCM]:[WASH]], tblSeverityAnalysis[[#This Row],[CCCM]:[WASH]]&lt;tblSeverityAnalysis[[#This Row],[Highest Severity]])), "")</f>
        <v>0</v>
      </c>
      <c r="AL103" s="313" t="str" cm="1">
        <f t="array" ref="AL10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3" s="132" t="str">
        <f>IFERROR(IF(AND(tblSeverityAnalysis[[#This Row],[5]] &lt;&gt; "", tblSeverityAnalysis[[#This Row],[5]]&gt;=sectors_sev_5), "Flagged", ""), "")</f>
        <v/>
      </c>
      <c r="AN103" s="133" t="str">
        <f>IFERROR(IF(AND(tblSeverityAnalysis[[#This Row],[Preliminary Intersectoral Severity based on overlap of sectoral deprivations]]=4, SUM(tblSeverityAnalysis[[#This Row],[ 4 ]:[5]])&gt;=sectors_sev_4), "Flagged", ""), "")</f>
        <v/>
      </c>
      <c r="AO103" s="133" t="str" cm="1">
        <f t="array" ref="AO10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3" s="335"/>
      <c r="AR103" s="336"/>
      <c r="AS103" s="335"/>
      <c r="AT103" s="337">
        <f>COUNTIF(tblSeverityAnalysis[[#This Row],[1 sector in severity phase 5 '[modify the threshold']]:[Manual Flag]], "Flagged")</f>
        <v>2</v>
      </c>
      <c r="AU103" s="338">
        <f>tblSeverityAnalysis[[#This Row],[Preliminary Intersectoral Severity based on overlap of sectoral deprivations]]</f>
        <v>1</v>
      </c>
      <c r="AV103" s="339"/>
    </row>
    <row r="104" spans="1:48" ht="15" hidden="1" customHeight="1">
      <c r="A10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MZ0812</v>
      </c>
      <c r="B104" s="39" t="s">
        <v>189</v>
      </c>
      <c r="C104" s="340" t="s">
        <v>190</v>
      </c>
      <c r="D104" s="340" t="s">
        <v>432</v>
      </c>
      <c r="E104" s="33" t="s">
        <v>433</v>
      </c>
      <c r="F104" s="33"/>
      <c r="G104" s="33"/>
      <c r="H104" s="20"/>
      <c r="I104" s="95">
        <v>40194</v>
      </c>
      <c r="J104" s="95"/>
      <c r="K104" s="321"/>
      <c r="L104" s="303"/>
      <c r="M104" s="303" t="s">
        <v>264</v>
      </c>
      <c r="N104" s="303"/>
      <c r="O104" s="372"/>
      <c r="P104" s="303">
        <v>0</v>
      </c>
      <c r="Q104" s="304"/>
      <c r="R104" s="303">
        <v>3</v>
      </c>
      <c r="S104" s="303"/>
      <c r="T104" s="303"/>
      <c r="U104" s="303"/>
      <c r="V104" s="303"/>
      <c r="W104" s="330" t="str">
        <f>IF(COUNTIF(tblSeverityAnalysis[[#This Row],[CCCM]:[WASH]], 1)=0, "", COUNTIF(tblSeverityAnalysis[[#This Row],[CCCM]:[WASH]], 1))</f>
        <v/>
      </c>
      <c r="X104" s="331" t="str">
        <f>IF(COUNTIF(tblSeverityAnalysis[[#This Row],[CCCM]:[WASH]], 2)=0, "", COUNTIF(tblSeverityAnalysis[[#This Row],[CCCM]:[WASH]], 2))</f>
        <v/>
      </c>
      <c r="Y104" s="331">
        <f>IF(COUNTIF(tblSeverityAnalysis[[#This Row],[CCCM]:[WASH]], 3)=0, "", COUNTIF(tblSeverityAnalysis[[#This Row],[CCCM]:[WASH]], 3))</f>
        <v>1</v>
      </c>
      <c r="Z104" s="331" t="str">
        <f>IF(COUNTIF(tblSeverityAnalysis[[#This Row],[CCCM]:[WASH]], 4)=0, "", COUNTIF(tblSeverityAnalysis[[#This Row],[CCCM]:[WASH]], 4))</f>
        <v/>
      </c>
      <c r="AA104" s="332" t="str">
        <f>IF(COUNTIF(tblSeverityAnalysis[[#This Row],[CCCM]:[WASH]], 5)=0, "", COUNTIF(tblSeverityAnalysis[[#This Row],[CCCM]:[WASH]], 5))</f>
        <v/>
      </c>
      <c r="AB104" s="59" cm="1">
        <f t="array" ref="AB10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4" s="41">
        <f>IFERROR(IF(INDEX(tblSeverityReference[Malnutrition Severity],MATCH(tblSeverityAnalysis[[#This Row],[ID]], tblSeverityReference[ID], 0))= "", "",INDEX(tblSeverityReference[Malnutrition Severity],MATCH(tblSeverityAnalysis[[#This Row],[ID]], tblSeverityReference[ID], 0)) ), "")</f>
        <v>2</v>
      </c>
      <c r="AE104" s="303">
        <f>IFERROR(IF(INDEX(tblSeverityReference[Epidemic Severity],MATCH(tblSeverityAnalysis[[#This Row],[ID]], tblSeverityReference[ID], 0))= "", "",INDEX(tblSeverityReference[Epidemic Severity],MATCH(tblSeverityAnalysis[[#This Row],[ID]], tblSeverityReference[ID], 0)) ), "")</f>
        <v>1</v>
      </c>
      <c r="AF104" s="303" t="str">
        <f>IFERROR(IF(INDEX(tblSeverityReference[Coping Strategy Severity],MATCH(tblSeverityAnalysis[[#This Row],[ID]], tblSeverityReference[ID], 0))= "", "",INDEX(tblSeverityReference[Coping Strategy Severity],MATCH(tblSeverityAnalysis[[#This Row],[ID]], tblSeverityReference[ID], 0)) ), "")</f>
        <v/>
      </c>
      <c r="AG104" s="108" t="str">
        <f>IFERROR(IF(INDEX(tblSeverityReference[HR/IHL Violation],MATCH(tblSeverityAnalysis[[#This Row],[ID]], tblSeverityReference[ID], 0))= "", "",INDEX(tblSeverityReference[HR/IHL Violation],MATCH(tblSeverityAnalysis[[#This Row],[ID]], tblSeverityReference[ID], 0)) ), "")</f>
        <v/>
      </c>
      <c r="AH104" s="81">
        <f>IFERROR(AVERAGE(tblSeverityAnalysis[[#This Row],[CCCM]:[WASH]]), "")</f>
        <v>1.5</v>
      </c>
      <c r="AI104" s="27">
        <f>IF(SUM(tblSeverityAnalysis[[#This Row],[CCCM]:[WASH]])=0, "", MAX(tblSeverityAnalysis[[#This Row],[CCCM]:[WASH]]))</f>
        <v>3</v>
      </c>
      <c r="AJ104" s="333" t="str" cm="1">
        <f t="array" ref="AJ104">IFERROR(IF(tblSeverityAnalysis[[#This Row],[Highest Severity]]="", "", _xlfn.TEXTJOIN(CHAR(10), TRUE, IF(tblSeverityAnalysis[[#This Row],[CCCM]:[WASH]]=tblSeverityAnalysis[[#This Row],[Highest Severity]], tblSeverityAnalysis[[#Headers],[CCCM]:[WASH]], ""), "")), "")</f>
        <v>WASH</v>
      </c>
      <c r="AK104" s="27" cm="1">
        <f t="array" ref="AK104">IFERROR(MAX(_xlfn._xlws.FILTER(tblSeverityAnalysis[[#This Row],[CCCM]:[WASH]], tblSeverityAnalysis[[#This Row],[CCCM]:[WASH]]&lt;tblSeverityAnalysis[[#This Row],[Highest Severity]])), "")</f>
        <v>0</v>
      </c>
      <c r="AL104" s="313" t="str" cm="1">
        <f t="array" ref="AL10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4" s="132" t="str">
        <f>IFERROR(IF(AND(tblSeverityAnalysis[[#This Row],[5]] &lt;&gt; "", tblSeverityAnalysis[[#This Row],[5]]&gt;=sectors_sev_5), "Flagged", ""), "")</f>
        <v/>
      </c>
      <c r="AN104" s="133" t="str">
        <f>IFERROR(IF(AND(tblSeverityAnalysis[[#This Row],[Preliminary Intersectoral Severity based on overlap of sectoral deprivations]]=4, SUM(tblSeverityAnalysis[[#This Row],[ 4 ]:[5]])&gt;=sectors_sev_4), "Flagged", ""), "")</f>
        <v/>
      </c>
      <c r="AO104" s="133" t="str" cm="1">
        <f t="array" ref="AO10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4" s="335"/>
      <c r="AR104" s="336"/>
      <c r="AS104" s="335"/>
      <c r="AT104" s="337">
        <f>COUNTIF(tblSeverityAnalysis[[#This Row],[1 sector in severity phase 5 '[modify the threshold']]:[Manual Flag]], "Flagged")</f>
        <v>0</v>
      </c>
      <c r="AU104" s="338">
        <f>tblSeverityAnalysis[[#This Row],[Preliminary Intersectoral Severity based on overlap of sectoral deprivations]]</f>
        <v>1</v>
      </c>
      <c r="AV104" s="339"/>
    </row>
    <row r="105" spans="1:48" ht="15" hidden="1" customHeight="1">
      <c r="A10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MZ0813</v>
      </c>
      <c r="B105" s="39" t="s">
        <v>189</v>
      </c>
      <c r="C105" s="340" t="s">
        <v>190</v>
      </c>
      <c r="D105" s="340" t="s">
        <v>434</v>
      </c>
      <c r="E105" s="33" t="s">
        <v>435</v>
      </c>
      <c r="F105" s="33"/>
      <c r="G105" s="33"/>
      <c r="H105" s="20"/>
      <c r="I105" s="95">
        <v>354895</v>
      </c>
      <c r="J105" s="95"/>
      <c r="K105" s="321"/>
      <c r="L105" s="303"/>
      <c r="M105" s="303">
        <v>2</v>
      </c>
      <c r="N105" s="303">
        <v>2</v>
      </c>
      <c r="O105" s="372"/>
      <c r="P105" s="303">
        <v>0</v>
      </c>
      <c r="Q105" s="304"/>
      <c r="R105" s="303">
        <v>3</v>
      </c>
      <c r="S105" s="303"/>
      <c r="T105" s="303"/>
      <c r="U105" s="303"/>
      <c r="V105" s="303"/>
      <c r="W105" s="330" t="str">
        <f>IF(COUNTIF(tblSeverityAnalysis[[#This Row],[CCCM]:[WASH]], 1)=0, "", COUNTIF(tblSeverityAnalysis[[#This Row],[CCCM]:[WASH]], 1))</f>
        <v/>
      </c>
      <c r="X105" s="331">
        <f>IF(COUNTIF(tblSeverityAnalysis[[#This Row],[CCCM]:[WASH]], 2)=0, "", COUNTIF(tblSeverityAnalysis[[#This Row],[CCCM]:[WASH]], 2))</f>
        <v>2</v>
      </c>
      <c r="Y105" s="331">
        <f>IF(COUNTIF(tblSeverityAnalysis[[#This Row],[CCCM]:[WASH]], 3)=0, "", COUNTIF(tblSeverityAnalysis[[#This Row],[CCCM]:[WASH]], 3))</f>
        <v>1</v>
      </c>
      <c r="Z105" s="331" t="str">
        <f>IF(COUNTIF(tblSeverityAnalysis[[#This Row],[CCCM]:[WASH]], 4)=0, "", COUNTIF(tblSeverityAnalysis[[#This Row],[CCCM]:[WASH]], 4))</f>
        <v/>
      </c>
      <c r="AA105" s="332" t="str">
        <f>IF(COUNTIF(tblSeverityAnalysis[[#This Row],[CCCM]:[WASH]], 5)=0, "", COUNTIF(tblSeverityAnalysis[[#This Row],[CCCM]:[WASH]], 5))</f>
        <v/>
      </c>
      <c r="AB105" s="59" cm="1">
        <f t="array" ref="AB10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5" s="41">
        <f>IFERROR(IF(INDEX(tblSeverityReference[Malnutrition Severity],MATCH(tblSeverityAnalysis[[#This Row],[ID]], tblSeverityReference[ID], 0))= "", "",INDEX(tblSeverityReference[Malnutrition Severity],MATCH(tblSeverityAnalysis[[#This Row],[ID]], tblSeverityReference[ID], 0)) ), "")</f>
        <v>2</v>
      </c>
      <c r="AE105" s="303">
        <f>IFERROR(IF(INDEX(tblSeverityReference[Epidemic Severity],MATCH(tblSeverityAnalysis[[#This Row],[ID]], tblSeverityReference[ID], 0))= "", "",INDEX(tblSeverityReference[Epidemic Severity],MATCH(tblSeverityAnalysis[[#This Row],[ID]], tblSeverityReference[ID], 0)) ), "")</f>
        <v>2.2352941176470589</v>
      </c>
      <c r="AF105" s="303">
        <f>IFERROR(IF(INDEX(tblSeverityReference[Coping Strategy Severity],MATCH(tblSeverityAnalysis[[#This Row],[ID]], tblSeverityReference[ID], 0))= "", "",INDEX(tblSeverityReference[Coping Strategy Severity],MATCH(tblSeverityAnalysis[[#This Row],[ID]], tblSeverityReference[ID], 0)) ), "")</f>
        <v>1</v>
      </c>
      <c r="AG105" s="108" t="str">
        <f>IFERROR(IF(INDEX(tblSeverityReference[HR/IHL Violation],MATCH(tblSeverityAnalysis[[#This Row],[ID]], tblSeverityReference[ID], 0))= "", "",INDEX(tblSeverityReference[HR/IHL Violation],MATCH(tblSeverityAnalysis[[#This Row],[ID]], tblSeverityReference[ID], 0)) ), "")</f>
        <v/>
      </c>
      <c r="AH105" s="81">
        <f>IFERROR(AVERAGE(tblSeverityAnalysis[[#This Row],[CCCM]:[WASH]]), "")</f>
        <v>1.75</v>
      </c>
      <c r="AI105" s="27">
        <f>IF(SUM(tblSeverityAnalysis[[#This Row],[CCCM]:[WASH]])=0, "", MAX(tblSeverityAnalysis[[#This Row],[CCCM]:[WASH]]))</f>
        <v>3</v>
      </c>
      <c r="AJ105" s="333" t="str" cm="1">
        <f t="array" ref="AJ105">IFERROR(IF(tblSeverityAnalysis[[#This Row],[Highest Severity]]="", "", _xlfn.TEXTJOIN(CHAR(10), TRUE, IF(tblSeverityAnalysis[[#This Row],[CCCM]:[WASH]]=tblSeverityAnalysis[[#This Row],[Highest Severity]], tblSeverityAnalysis[[#Headers],[CCCM]:[WASH]], ""), "")), "")</f>
        <v>WASH</v>
      </c>
      <c r="AK105" s="27" cm="1">
        <f t="array" ref="AK105">IFERROR(MAX(_xlfn._xlws.FILTER(tblSeverityAnalysis[[#This Row],[CCCM]:[WASH]], tblSeverityAnalysis[[#This Row],[CCCM]:[WASH]]&lt;tblSeverityAnalysis[[#This Row],[Highest Severity]])), "")</f>
        <v>2</v>
      </c>
      <c r="AL105" s="313" t="str" cm="1">
        <f t="array" ref="AL105">IFERROR(IF(tblSeverityAnalysis[[#This Row],[2nd Highest Severity]]="", "", _xlfn.TEXTJOIN(CHAR(10), TRUE, IF(tblSeverityAnalysis[[#This Row],[CCCM]:[WASH]]=tblSeverityAnalysis[[#This Row],[2nd Highest Severity]], tblSeverityAnalysis[[#Headers],[CCCM]:[WASH]], ""), "")), "")</f>
        <v>Nutrition
Food Security</v>
      </c>
      <c r="AM105" s="132" t="str">
        <f>IFERROR(IF(AND(tblSeverityAnalysis[[#This Row],[5]] &lt;&gt; "", tblSeverityAnalysis[[#This Row],[5]]&gt;=sectors_sev_5), "Flagged", ""), "")</f>
        <v/>
      </c>
      <c r="AN105" s="133" t="str">
        <f>IFERROR(IF(AND(tblSeverityAnalysis[[#This Row],[Preliminary Intersectoral Severity based on overlap of sectoral deprivations]]=4, SUM(tblSeverityAnalysis[[#This Row],[ 4 ]:[5]])&gt;=sectors_sev_4), "Flagged", ""), "")</f>
        <v/>
      </c>
      <c r="AO105" s="133" t="str" cm="1">
        <f t="array" ref="AO10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5" s="335"/>
      <c r="AR105" s="336"/>
      <c r="AS105" s="335"/>
      <c r="AT105" s="337">
        <f>COUNTIF(tblSeverityAnalysis[[#This Row],[1 sector in severity phase 5 '[modify the threshold']]:[Manual Flag]], "Flagged")</f>
        <v>1</v>
      </c>
      <c r="AU105" s="338">
        <f>tblSeverityAnalysis[[#This Row],[Preliminary Intersectoral Severity based on overlap of sectoral deprivations]]</f>
        <v>1</v>
      </c>
      <c r="AV105" s="339"/>
    </row>
    <row r="106" spans="1:48" ht="15" customHeight="1">
      <c r="A10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MZ0814</v>
      </c>
      <c r="B106" s="39" t="s">
        <v>189</v>
      </c>
      <c r="C106" s="340" t="s">
        <v>190</v>
      </c>
      <c r="D106" s="340" t="s">
        <v>191</v>
      </c>
      <c r="E106" s="33" t="s">
        <v>188</v>
      </c>
      <c r="F106" s="33"/>
      <c r="G106" s="33"/>
      <c r="H106" s="20"/>
      <c r="I106" s="95">
        <v>30360</v>
      </c>
      <c r="J106" s="95"/>
      <c r="K106" s="321">
        <v>3</v>
      </c>
      <c r="L106" s="303">
        <v>3</v>
      </c>
      <c r="M106" s="303">
        <v>1</v>
      </c>
      <c r="N106" s="303">
        <v>3</v>
      </c>
      <c r="O106" s="372">
        <v>3</v>
      </c>
      <c r="P106" s="303">
        <v>3</v>
      </c>
      <c r="Q106" s="304">
        <v>3</v>
      </c>
      <c r="R106" s="303">
        <v>4</v>
      </c>
      <c r="S106" s="303">
        <v>2</v>
      </c>
      <c r="T106" s="303">
        <v>2</v>
      </c>
      <c r="U106" s="303">
        <v>3</v>
      </c>
      <c r="V106" s="303">
        <v>1</v>
      </c>
      <c r="W106" s="330">
        <f>IF(COUNTIF(tblSeverityAnalysis[[#This Row],[CCCM]:[WASH]], 1)=0, "", COUNTIF(tblSeverityAnalysis[[#This Row],[CCCM]:[WASH]], 1))</f>
        <v>1</v>
      </c>
      <c r="X106" s="331" t="str">
        <f>IF(COUNTIF(tblSeverityAnalysis[[#This Row],[CCCM]:[WASH]], 2)=0, "", COUNTIF(tblSeverityAnalysis[[#This Row],[CCCM]:[WASH]], 2))</f>
        <v/>
      </c>
      <c r="Y106" s="331">
        <f>IF(COUNTIF(tblSeverityAnalysis[[#This Row],[CCCM]:[WASH]], 3)=0, "", COUNTIF(tblSeverityAnalysis[[#This Row],[CCCM]:[WASH]], 3))</f>
        <v>6</v>
      </c>
      <c r="Z106" s="331">
        <f>IF(COUNTIF(tblSeverityAnalysis[[#This Row],[CCCM]:[WASH]], 4)=0, "", COUNTIF(tblSeverityAnalysis[[#This Row],[CCCM]:[WASH]], 4))</f>
        <v>1</v>
      </c>
      <c r="AA106" s="332" t="str">
        <f>IF(COUNTIF(tblSeverityAnalysis[[#This Row],[CCCM]:[WASH]], 5)=0, "", COUNTIF(tblSeverityAnalysis[[#This Row],[CCCM]:[WASH]], 5))</f>
        <v/>
      </c>
      <c r="AB106" s="59" cm="1">
        <f t="array" ref="AB10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6" s="41" t="str">
        <f>IFERROR(IF(INDEX(tblSeverityReference[Malnutrition Severity],MATCH(tblSeverityAnalysis[[#This Row],[ID]], tblSeverityReference[ID], 0))= "", "",INDEX(tblSeverityReference[Malnutrition Severity],MATCH(tblSeverityAnalysis[[#This Row],[ID]], tblSeverityReference[ID], 0)) ), "")</f>
        <v/>
      </c>
      <c r="AE106" s="303">
        <f>IFERROR(IF(INDEX(tblSeverityReference[Epidemic Severity],MATCH(tblSeverityAnalysis[[#This Row],[ID]], tblSeverityReference[ID], 0))= "", "",INDEX(tblSeverityReference[Epidemic Severity],MATCH(tblSeverityAnalysis[[#This Row],[ID]], tblSeverityReference[ID], 0)) ), "")</f>
        <v>2.8235294117647061</v>
      </c>
      <c r="AF106" s="303" t="str">
        <f>IFERROR(IF(INDEX(tblSeverityReference[Coping Strategy Severity],MATCH(tblSeverityAnalysis[[#This Row],[ID]], tblSeverityReference[ID], 0))= "", "",INDEX(tblSeverityReference[Coping Strategy Severity],MATCH(tblSeverityAnalysis[[#This Row],[ID]], tblSeverityReference[ID], 0)) ), "")</f>
        <v/>
      </c>
      <c r="AG106" s="108">
        <f>IFERROR(IF(INDEX(tblSeverityReference[HR/IHL Violation],MATCH(tblSeverityAnalysis[[#This Row],[ID]], tblSeverityReference[ID], 0))= "", "",INDEX(tblSeverityReference[HR/IHL Violation],MATCH(tblSeverityAnalysis[[#This Row],[ID]], tblSeverityReference[ID], 0)) ), "")</f>
        <v>1</v>
      </c>
      <c r="AH106" s="81">
        <f>IFERROR(AVERAGE(tblSeverityAnalysis[[#This Row],[CCCM]:[WASH]]), "")</f>
        <v>2.875</v>
      </c>
      <c r="AI106" s="27">
        <f>IF(SUM(tblSeverityAnalysis[[#This Row],[CCCM]:[WASH]])=0, "", MAX(tblSeverityAnalysis[[#This Row],[CCCM]:[WASH]]))</f>
        <v>4</v>
      </c>
      <c r="AJ106" s="333" t="str" cm="1">
        <f t="array" ref="AJ106">IFERROR(IF(tblSeverityAnalysis[[#This Row],[Highest Severity]]="", "", _xlfn.TEXTJOIN(CHAR(10), TRUE, IF(tblSeverityAnalysis[[#This Row],[CCCM]:[WASH]]=tblSeverityAnalysis[[#This Row],[Highest Severity]], tblSeverityAnalysis[[#Headers],[CCCM]:[WASH]], ""), "")), "")</f>
        <v>WASH</v>
      </c>
      <c r="AK106" s="27" cm="1">
        <f t="array" ref="AK106">IFERROR(MAX(_xlfn._xlws.FILTER(tblSeverityAnalysis[[#This Row],[CCCM]:[WASH]], tblSeverityAnalysis[[#This Row],[CCCM]:[WASH]]&lt;tblSeverityAnalysis[[#This Row],[Highest Severity]])), "")</f>
        <v>3</v>
      </c>
      <c r="AL106" s="313" t="str" cm="1">
        <f t="array" ref="AL10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6" s="132" t="str">
        <f>IFERROR(IF(AND(tblSeverityAnalysis[[#This Row],[5]] &lt;&gt; "", tblSeverityAnalysis[[#This Row],[5]]&gt;=sectors_sev_5), "Flagged", ""), "")</f>
        <v/>
      </c>
      <c r="AN106" s="133" t="str">
        <f>IFERROR(IF(AND(tblSeverityAnalysis[[#This Row],[Preliminary Intersectoral Severity based on overlap of sectoral deprivations]]=4, SUM(tblSeverityAnalysis[[#This Row],[ 4 ]:[5]])&gt;=sectors_sev_4), "Flagged", ""), "")</f>
        <v/>
      </c>
      <c r="AO106" s="133" t="str" cm="1">
        <f t="array" ref="AO10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6" s="335"/>
      <c r="AR106" s="336"/>
      <c r="AS106" s="335"/>
      <c r="AT106" s="337">
        <f>COUNTIF(tblSeverityAnalysis[[#This Row],[1 sector in severity phase 5 '[modify the threshold']]:[Manual Flag]], "Flagged")</f>
        <v>1</v>
      </c>
      <c r="AU106" s="338">
        <f>tblSeverityAnalysis[[#This Row],[Preliminary Intersectoral Severity based on overlap of sectoral deprivations]]</f>
        <v>3</v>
      </c>
      <c r="AV106" s="339"/>
    </row>
    <row r="107" spans="1:48" ht="15" hidden="1" customHeight="1">
      <c r="A10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MZ0815</v>
      </c>
      <c r="B107" s="39" t="s">
        <v>189</v>
      </c>
      <c r="C107" s="340" t="s">
        <v>190</v>
      </c>
      <c r="D107" s="340" t="s">
        <v>436</v>
      </c>
      <c r="E107" s="33" t="s">
        <v>437</v>
      </c>
      <c r="F107" s="33"/>
      <c r="G107" s="33"/>
      <c r="H107" s="20"/>
      <c r="I107" s="95">
        <v>61328</v>
      </c>
      <c r="J107" s="95"/>
      <c r="K107" s="321"/>
      <c r="L107" s="303"/>
      <c r="M107" s="303" t="s">
        <v>264</v>
      </c>
      <c r="N107" s="303"/>
      <c r="O107" s="372"/>
      <c r="P107" s="303">
        <v>0</v>
      </c>
      <c r="Q107" s="304"/>
      <c r="R107" s="303">
        <v>3</v>
      </c>
      <c r="S107" s="303"/>
      <c r="T107" s="303"/>
      <c r="U107" s="303"/>
      <c r="V107" s="303"/>
      <c r="W107" s="330" t="str">
        <f>IF(COUNTIF(tblSeverityAnalysis[[#This Row],[CCCM]:[WASH]], 1)=0, "", COUNTIF(tblSeverityAnalysis[[#This Row],[CCCM]:[WASH]], 1))</f>
        <v/>
      </c>
      <c r="X107" s="331" t="str">
        <f>IF(COUNTIF(tblSeverityAnalysis[[#This Row],[CCCM]:[WASH]], 2)=0, "", COUNTIF(tblSeverityAnalysis[[#This Row],[CCCM]:[WASH]], 2))</f>
        <v/>
      </c>
      <c r="Y107" s="331">
        <f>IF(COUNTIF(tblSeverityAnalysis[[#This Row],[CCCM]:[WASH]], 3)=0, "", COUNTIF(tblSeverityAnalysis[[#This Row],[CCCM]:[WASH]], 3))</f>
        <v>1</v>
      </c>
      <c r="Z107" s="331" t="str">
        <f>IF(COUNTIF(tblSeverityAnalysis[[#This Row],[CCCM]:[WASH]], 4)=0, "", COUNTIF(tblSeverityAnalysis[[#This Row],[CCCM]:[WASH]], 4))</f>
        <v/>
      </c>
      <c r="AA107" s="332" t="str">
        <f>IF(COUNTIF(tblSeverityAnalysis[[#This Row],[CCCM]:[WASH]], 5)=0, "", COUNTIF(tblSeverityAnalysis[[#This Row],[CCCM]:[WASH]], 5))</f>
        <v/>
      </c>
      <c r="AB107" s="59" cm="1">
        <f t="array" ref="AB10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7" s="41" t="str">
        <f>IFERROR(IF(INDEX(tblSeverityReference[Malnutrition Severity],MATCH(tblSeverityAnalysis[[#This Row],[ID]], tblSeverityReference[ID], 0))= "", "",INDEX(tblSeverityReference[Malnutrition Severity],MATCH(tblSeverityAnalysis[[#This Row],[ID]], tblSeverityReference[ID], 0)) ), "")</f>
        <v/>
      </c>
      <c r="AE107" s="303">
        <f>IFERROR(IF(INDEX(tblSeverityReference[Epidemic Severity],MATCH(tblSeverityAnalysis[[#This Row],[ID]], tblSeverityReference[ID], 0))= "", "",INDEX(tblSeverityReference[Epidemic Severity],MATCH(tblSeverityAnalysis[[#This Row],[ID]], tblSeverityReference[ID], 0)) ), "")</f>
        <v>2.2352941176470589</v>
      </c>
      <c r="AF107" s="303" t="str">
        <f>IFERROR(IF(INDEX(tblSeverityReference[Coping Strategy Severity],MATCH(tblSeverityAnalysis[[#This Row],[ID]], tblSeverityReference[ID], 0))= "", "",INDEX(tblSeverityReference[Coping Strategy Severity],MATCH(tblSeverityAnalysis[[#This Row],[ID]], tblSeverityReference[ID], 0)) ), "")</f>
        <v/>
      </c>
      <c r="AG107" s="108" t="str">
        <f>IFERROR(IF(INDEX(tblSeverityReference[HR/IHL Violation],MATCH(tblSeverityAnalysis[[#This Row],[ID]], tblSeverityReference[ID], 0))= "", "",INDEX(tblSeverityReference[HR/IHL Violation],MATCH(tblSeverityAnalysis[[#This Row],[ID]], tblSeverityReference[ID], 0)) ), "")</f>
        <v/>
      </c>
      <c r="AH107" s="81">
        <f>IFERROR(AVERAGE(tblSeverityAnalysis[[#This Row],[CCCM]:[WASH]]), "")</f>
        <v>1.5</v>
      </c>
      <c r="AI107" s="27">
        <f>IF(SUM(tblSeverityAnalysis[[#This Row],[CCCM]:[WASH]])=0, "", MAX(tblSeverityAnalysis[[#This Row],[CCCM]:[WASH]]))</f>
        <v>3</v>
      </c>
      <c r="AJ107" s="333" t="str" cm="1">
        <f t="array" ref="AJ107">IFERROR(IF(tblSeverityAnalysis[[#This Row],[Highest Severity]]="", "", _xlfn.TEXTJOIN(CHAR(10), TRUE, IF(tblSeverityAnalysis[[#This Row],[CCCM]:[WASH]]=tblSeverityAnalysis[[#This Row],[Highest Severity]], tblSeverityAnalysis[[#Headers],[CCCM]:[WASH]], ""), "")), "")</f>
        <v>WASH</v>
      </c>
      <c r="AK107" s="27" cm="1">
        <f t="array" ref="AK107">IFERROR(MAX(_xlfn._xlws.FILTER(tblSeverityAnalysis[[#This Row],[CCCM]:[WASH]], tblSeverityAnalysis[[#This Row],[CCCM]:[WASH]]&lt;tblSeverityAnalysis[[#This Row],[Highest Severity]])), "")</f>
        <v>0</v>
      </c>
      <c r="AL107" s="313" t="str" cm="1">
        <f t="array" ref="AL10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7" s="132" t="str">
        <f>IFERROR(IF(AND(tblSeverityAnalysis[[#This Row],[5]] &lt;&gt; "", tblSeverityAnalysis[[#This Row],[5]]&gt;=sectors_sev_5), "Flagged", ""), "")</f>
        <v/>
      </c>
      <c r="AN107" s="133" t="str">
        <f>IFERROR(IF(AND(tblSeverityAnalysis[[#This Row],[Preliminary Intersectoral Severity based on overlap of sectoral deprivations]]=4, SUM(tblSeverityAnalysis[[#This Row],[ 4 ]:[5]])&gt;=sectors_sev_4), "Flagged", ""), "")</f>
        <v/>
      </c>
      <c r="AO107" s="133" t="str" cm="1">
        <f t="array" ref="AO10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7" s="335"/>
      <c r="AR107" s="336"/>
      <c r="AS107" s="335"/>
      <c r="AT107" s="337">
        <f>COUNTIF(tblSeverityAnalysis[[#This Row],[1 sector in severity phase 5 '[modify the threshold']]:[Manual Flag]], "Flagged")</f>
        <v>0</v>
      </c>
      <c r="AU107" s="338">
        <f>tblSeverityAnalysis[[#This Row],[Preliminary Intersectoral Severity based on overlap of sectoral deprivations]]</f>
        <v>1</v>
      </c>
      <c r="AV107" s="339"/>
    </row>
    <row r="108" spans="1:48" ht="15" hidden="1" customHeight="1">
      <c r="A10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MZ0816</v>
      </c>
      <c r="B108" s="39" t="s">
        <v>189</v>
      </c>
      <c r="C108" s="340" t="s">
        <v>190</v>
      </c>
      <c r="D108" s="340" t="s">
        <v>438</v>
      </c>
      <c r="E108" s="33" t="s">
        <v>439</v>
      </c>
      <c r="F108" s="33"/>
      <c r="G108" s="33"/>
      <c r="H108" s="20"/>
      <c r="I108" s="95">
        <v>59482</v>
      </c>
      <c r="J108" s="95"/>
      <c r="K108" s="321"/>
      <c r="L108" s="303"/>
      <c r="M108" s="303" t="s">
        <v>264</v>
      </c>
      <c r="N108" s="303"/>
      <c r="O108" s="372"/>
      <c r="P108" s="303">
        <v>0</v>
      </c>
      <c r="Q108" s="304"/>
      <c r="R108" s="303">
        <v>3</v>
      </c>
      <c r="S108" s="303"/>
      <c r="T108" s="303"/>
      <c r="U108" s="303"/>
      <c r="V108" s="303"/>
      <c r="W108" s="330" t="str">
        <f>IF(COUNTIF(tblSeverityAnalysis[[#This Row],[CCCM]:[WASH]], 1)=0, "", COUNTIF(tblSeverityAnalysis[[#This Row],[CCCM]:[WASH]], 1))</f>
        <v/>
      </c>
      <c r="X108" s="331" t="str">
        <f>IF(COUNTIF(tblSeverityAnalysis[[#This Row],[CCCM]:[WASH]], 2)=0, "", COUNTIF(tblSeverityAnalysis[[#This Row],[CCCM]:[WASH]], 2))</f>
        <v/>
      </c>
      <c r="Y108" s="331">
        <f>IF(COUNTIF(tblSeverityAnalysis[[#This Row],[CCCM]:[WASH]], 3)=0, "", COUNTIF(tblSeverityAnalysis[[#This Row],[CCCM]:[WASH]], 3))</f>
        <v>1</v>
      </c>
      <c r="Z108" s="331" t="str">
        <f>IF(COUNTIF(tblSeverityAnalysis[[#This Row],[CCCM]:[WASH]], 4)=0, "", COUNTIF(tblSeverityAnalysis[[#This Row],[CCCM]:[WASH]], 4))</f>
        <v/>
      </c>
      <c r="AA108" s="332" t="str">
        <f>IF(COUNTIF(tblSeverityAnalysis[[#This Row],[CCCM]:[WASH]], 5)=0, "", COUNTIF(tblSeverityAnalysis[[#This Row],[CCCM]:[WASH]], 5))</f>
        <v/>
      </c>
      <c r="AB108" s="59" cm="1">
        <f t="array" ref="AB10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8" s="41" t="str">
        <f>IFERROR(IF(INDEX(tblSeverityReference[Malnutrition Severity],MATCH(tblSeverityAnalysis[[#This Row],[ID]], tblSeverityReference[ID], 0))= "", "",INDEX(tblSeverityReference[Malnutrition Severity],MATCH(tblSeverityAnalysis[[#This Row],[ID]], tblSeverityReference[ID], 0)) ), "")</f>
        <v/>
      </c>
      <c r="AE108" s="303">
        <f>IFERROR(IF(INDEX(tblSeverityReference[Epidemic Severity],MATCH(tblSeverityAnalysis[[#This Row],[ID]], tblSeverityReference[ID], 0))= "", "",INDEX(tblSeverityReference[Epidemic Severity],MATCH(tblSeverityAnalysis[[#This Row],[ID]], tblSeverityReference[ID], 0)) ), "")</f>
        <v>2.2352941176470589</v>
      </c>
      <c r="AF108" s="303" t="str">
        <f>IFERROR(IF(INDEX(tblSeverityReference[Coping Strategy Severity],MATCH(tblSeverityAnalysis[[#This Row],[ID]], tblSeverityReference[ID], 0))= "", "",INDEX(tblSeverityReference[Coping Strategy Severity],MATCH(tblSeverityAnalysis[[#This Row],[ID]], tblSeverityReference[ID], 0)) ), "")</f>
        <v/>
      </c>
      <c r="AG108" s="108" t="str">
        <f>IFERROR(IF(INDEX(tblSeverityReference[HR/IHL Violation],MATCH(tblSeverityAnalysis[[#This Row],[ID]], tblSeverityReference[ID], 0))= "", "",INDEX(tblSeverityReference[HR/IHL Violation],MATCH(tblSeverityAnalysis[[#This Row],[ID]], tblSeverityReference[ID], 0)) ), "")</f>
        <v/>
      </c>
      <c r="AH108" s="81">
        <f>IFERROR(AVERAGE(tblSeverityAnalysis[[#This Row],[CCCM]:[WASH]]), "")</f>
        <v>1.5</v>
      </c>
      <c r="AI108" s="27">
        <f>IF(SUM(tblSeverityAnalysis[[#This Row],[CCCM]:[WASH]])=0, "", MAX(tblSeverityAnalysis[[#This Row],[CCCM]:[WASH]]))</f>
        <v>3</v>
      </c>
      <c r="AJ108" s="333" t="str" cm="1">
        <f t="array" ref="AJ108">IFERROR(IF(tblSeverityAnalysis[[#This Row],[Highest Severity]]="", "", _xlfn.TEXTJOIN(CHAR(10), TRUE, IF(tblSeverityAnalysis[[#This Row],[CCCM]:[WASH]]=tblSeverityAnalysis[[#This Row],[Highest Severity]], tblSeverityAnalysis[[#Headers],[CCCM]:[WASH]], ""), "")), "")</f>
        <v>WASH</v>
      </c>
      <c r="AK108" s="27" cm="1">
        <f t="array" ref="AK108">IFERROR(MAX(_xlfn._xlws.FILTER(tblSeverityAnalysis[[#This Row],[CCCM]:[WASH]], tblSeverityAnalysis[[#This Row],[CCCM]:[WASH]]&lt;tblSeverityAnalysis[[#This Row],[Highest Severity]])), "")</f>
        <v>0</v>
      </c>
      <c r="AL108" s="313" t="str" cm="1">
        <f t="array" ref="AL10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8" s="132" t="str">
        <f>IFERROR(IF(AND(tblSeverityAnalysis[[#This Row],[5]] &lt;&gt; "", tblSeverityAnalysis[[#This Row],[5]]&gt;=sectors_sev_5), "Flagged", ""), "")</f>
        <v/>
      </c>
      <c r="AN108" s="133" t="str">
        <f>IFERROR(IF(AND(tblSeverityAnalysis[[#This Row],[Preliminary Intersectoral Severity based on overlap of sectoral deprivations]]=4, SUM(tblSeverityAnalysis[[#This Row],[ 4 ]:[5]])&gt;=sectors_sev_4), "Flagged", ""), "")</f>
        <v/>
      </c>
      <c r="AO108" s="133" t="str" cm="1">
        <f t="array" ref="AO10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8" s="335"/>
      <c r="AR108" s="336"/>
      <c r="AS108" s="335"/>
      <c r="AT108" s="337">
        <f>COUNTIF(tblSeverityAnalysis[[#This Row],[1 sector in severity phase 5 '[modify the threshold']]:[Manual Flag]], "Flagged")</f>
        <v>0</v>
      </c>
      <c r="AU108" s="338">
        <f>tblSeverityAnalysis[[#This Row],[Preliminary Intersectoral Severity based on overlap of sectoral deprivations]]</f>
        <v>1</v>
      </c>
      <c r="AV108" s="339"/>
    </row>
    <row r="109" spans="1:48" ht="15" hidden="1" customHeight="1">
      <c r="A10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MZ0817</v>
      </c>
      <c r="B109" s="39" t="s">
        <v>189</v>
      </c>
      <c r="C109" s="340" t="s">
        <v>190</v>
      </c>
      <c r="D109" s="340" t="s">
        <v>440</v>
      </c>
      <c r="E109" s="33" t="s">
        <v>441</v>
      </c>
      <c r="F109" s="33"/>
      <c r="G109" s="33"/>
      <c r="H109" s="20"/>
      <c r="I109" s="95">
        <v>132194</v>
      </c>
      <c r="J109" s="95"/>
      <c r="K109" s="321"/>
      <c r="L109" s="303"/>
      <c r="M109" s="303" t="s">
        <v>264</v>
      </c>
      <c r="N109" s="303"/>
      <c r="O109" s="372"/>
      <c r="P109" s="303">
        <v>0</v>
      </c>
      <c r="Q109" s="304"/>
      <c r="R109" s="303">
        <v>3</v>
      </c>
      <c r="S109" s="303"/>
      <c r="T109" s="303"/>
      <c r="U109" s="303"/>
      <c r="V109" s="303"/>
      <c r="W109" s="330" t="str">
        <f>IF(COUNTIF(tblSeverityAnalysis[[#This Row],[CCCM]:[WASH]], 1)=0, "", COUNTIF(tblSeverityAnalysis[[#This Row],[CCCM]:[WASH]], 1))</f>
        <v/>
      </c>
      <c r="X109" s="331" t="str">
        <f>IF(COUNTIF(tblSeverityAnalysis[[#This Row],[CCCM]:[WASH]], 2)=0, "", COUNTIF(tblSeverityAnalysis[[#This Row],[CCCM]:[WASH]], 2))</f>
        <v/>
      </c>
      <c r="Y109" s="331">
        <f>IF(COUNTIF(tblSeverityAnalysis[[#This Row],[CCCM]:[WASH]], 3)=0, "", COUNTIF(tblSeverityAnalysis[[#This Row],[CCCM]:[WASH]], 3))</f>
        <v>1</v>
      </c>
      <c r="Z109" s="331" t="str">
        <f>IF(COUNTIF(tblSeverityAnalysis[[#This Row],[CCCM]:[WASH]], 4)=0, "", COUNTIF(tblSeverityAnalysis[[#This Row],[CCCM]:[WASH]], 4))</f>
        <v/>
      </c>
      <c r="AA109" s="332" t="str">
        <f>IF(COUNTIF(tblSeverityAnalysis[[#This Row],[CCCM]:[WASH]], 5)=0, "", COUNTIF(tblSeverityAnalysis[[#This Row],[CCCM]:[WASH]], 5))</f>
        <v/>
      </c>
      <c r="AB109" s="59" cm="1">
        <f t="array" ref="AB10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0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9" s="41" t="str">
        <f>IFERROR(IF(INDEX(tblSeverityReference[Malnutrition Severity],MATCH(tblSeverityAnalysis[[#This Row],[ID]], tblSeverityReference[ID], 0))= "", "",INDEX(tblSeverityReference[Malnutrition Severity],MATCH(tblSeverityAnalysis[[#This Row],[ID]], tblSeverityReference[ID], 0)) ), "")</f>
        <v/>
      </c>
      <c r="AE109" s="303">
        <f>IFERROR(IF(INDEX(tblSeverityReference[Epidemic Severity],MATCH(tblSeverityAnalysis[[#This Row],[ID]], tblSeverityReference[ID], 0))= "", "",INDEX(tblSeverityReference[Epidemic Severity],MATCH(tblSeverityAnalysis[[#This Row],[ID]], tblSeverityReference[ID], 0)) ), "")</f>
        <v>1.8235294117647056</v>
      </c>
      <c r="AF109" s="303" t="str">
        <f>IFERROR(IF(INDEX(tblSeverityReference[Coping Strategy Severity],MATCH(tblSeverityAnalysis[[#This Row],[ID]], tblSeverityReference[ID], 0))= "", "",INDEX(tblSeverityReference[Coping Strategy Severity],MATCH(tblSeverityAnalysis[[#This Row],[ID]], tblSeverityReference[ID], 0)) ), "")</f>
        <v/>
      </c>
      <c r="AG109" s="108" t="str">
        <f>IFERROR(IF(INDEX(tblSeverityReference[HR/IHL Violation],MATCH(tblSeverityAnalysis[[#This Row],[ID]], tblSeverityReference[ID], 0))= "", "",INDEX(tblSeverityReference[HR/IHL Violation],MATCH(tblSeverityAnalysis[[#This Row],[ID]], tblSeverityReference[ID], 0)) ), "")</f>
        <v/>
      </c>
      <c r="AH109" s="81">
        <f>IFERROR(AVERAGE(tblSeverityAnalysis[[#This Row],[CCCM]:[WASH]]), "")</f>
        <v>1.5</v>
      </c>
      <c r="AI109" s="27">
        <f>IF(SUM(tblSeverityAnalysis[[#This Row],[CCCM]:[WASH]])=0, "", MAX(tblSeverityAnalysis[[#This Row],[CCCM]:[WASH]]))</f>
        <v>3</v>
      </c>
      <c r="AJ109" s="333" t="str" cm="1">
        <f t="array" ref="AJ109">IFERROR(IF(tblSeverityAnalysis[[#This Row],[Highest Severity]]="", "", _xlfn.TEXTJOIN(CHAR(10), TRUE, IF(tblSeverityAnalysis[[#This Row],[CCCM]:[WASH]]=tblSeverityAnalysis[[#This Row],[Highest Severity]], tblSeverityAnalysis[[#Headers],[CCCM]:[WASH]], ""), "")), "")</f>
        <v>WASH</v>
      </c>
      <c r="AK109" s="27" cm="1">
        <f t="array" ref="AK109">IFERROR(MAX(_xlfn._xlws.FILTER(tblSeverityAnalysis[[#This Row],[CCCM]:[WASH]], tblSeverityAnalysis[[#This Row],[CCCM]:[WASH]]&lt;tblSeverityAnalysis[[#This Row],[Highest Severity]])), "")</f>
        <v>0</v>
      </c>
      <c r="AL109" s="313" t="str" cm="1">
        <f t="array" ref="AL10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09" s="132" t="str">
        <f>IFERROR(IF(AND(tblSeverityAnalysis[[#This Row],[5]] &lt;&gt; "", tblSeverityAnalysis[[#This Row],[5]]&gt;=sectors_sev_5), "Flagged", ""), "")</f>
        <v/>
      </c>
      <c r="AN109" s="133" t="str">
        <f>IFERROR(IF(AND(tblSeverityAnalysis[[#This Row],[Preliminary Intersectoral Severity based on overlap of sectoral deprivations]]=4, SUM(tblSeverityAnalysis[[#This Row],[ 4 ]:[5]])&gt;=sectors_sev_4), "Flagged", ""), "")</f>
        <v/>
      </c>
      <c r="AO109" s="133" t="str" cm="1">
        <f t="array" ref="AO10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9" s="335"/>
      <c r="AR109" s="336"/>
      <c r="AS109" s="335"/>
      <c r="AT109" s="337">
        <f>COUNTIF(tblSeverityAnalysis[[#This Row],[1 sector in severity phase 5 '[modify the threshold']]:[Manual Flag]], "Flagged")</f>
        <v>0</v>
      </c>
      <c r="AU109" s="338">
        <f>tblSeverityAnalysis[[#This Row],[Preliminary Intersectoral Severity based on overlap of sectoral deprivations]]</f>
        <v>1</v>
      </c>
      <c r="AV109" s="339"/>
    </row>
    <row r="110" spans="1:48" ht="15" hidden="1" customHeight="1">
      <c r="A11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MZ0818</v>
      </c>
      <c r="B110" s="39" t="s">
        <v>189</v>
      </c>
      <c r="C110" s="340" t="s">
        <v>190</v>
      </c>
      <c r="D110" s="340" t="s">
        <v>442</v>
      </c>
      <c r="E110" s="33" t="s">
        <v>443</v>
      </c>
      <c r="F110" s="33"/>
      <c r="G110" s="33"/>
      <c r="H110" s="20"/>
      <c r="I110" s="95">
        <v>60817</v>
      </c>
      <c r="J110" s="95"/>
      <c r="K110" s="321"/>
      <c r="L110" s="303"/>
      <c r="M110" s="303" t="s">
        <v>264</v>
      </c>
      <c r="N110" s="303"/>
      <c r="O110" s="372"/>
      <c r="P110" s="303">
        <v>0</v>
      </c>
      <c r="Q110" s="304"/>
      <c r="R110" s="303">
        <v>2</v>
      </c>
      <c r="S110" s="303"/>
      <c r="T110" s="303"/>
      <c r="U110" s="303"/>
      <c r="V110" s="303"/>
      <c r="W110" s="330" t="str">
        <f>IF(COUNTIF(tblSeverityAnalysis[[#This Row],[CCCM]:[WASH]], 1)=0, "", COUNTIF(tblSeverityAnalysis[[#This Row],[CCCM]:[WASH]], 1))</f>
        <v/>
      </c>
      <c r="X110" s="331">
        <f>IF(COUNTIF(tblSeverityAnalysis[[#This Row],[CCCM]:[WASH]], 2)=0, "", COUNTIF(tblSeverityAnalysis[[#This Row],[CCCM]:[WASH]], 2))</f>
        <v>1</v>
      </c>
      <c r="Y110" s="331" t="str">
        <f>IF(COUNTIF(tblSeverityAnalysis[[#This Row],[CCCM]:[WASH]], 3)=0, "", COUNTIF(tblSeverityAnalysis[[#This Row],[CCCM]:[WASH]], 3))</f>
        <v/>
      </c>
      <c r="Z110" s="331" t="str">
        <f>IF(COUNTIF(tblSeverityAnalysis[[#This Row],[CCCM]:[WASH]], 4)=0, "", COUNTIF(tblSeverityAnalysis[[#This Row],[CCCM]:[WASH]], 4))</f>
        <v/>
      </c>
      <c r="AA110" s="332" t="str">
        <f>IF(COUNTIF(tblSeverityAnalysis[[#This Row],[CCCM]:[WASH]], 5)=0, "", COUNTIF(tblSeverityAnalysis[[#This Row],[CCCM]:[WASH]], 5))</f>
        <v/>
      </c>
      <c r="AB110" s="59" cm="1">
        <f t="array" ref="AB11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0" s="41" t="str">
        <f>IFERROR(IF(INDEX(tblSeverityReference[Malnutrition Severity],MATCH(tblSeverityAnalysis[[#This Row],[ID]], tblSeverityReference[ID], 0))= "", "",INDEX(tblSeverityReference[Malnutrition Severity],MATCH(tblSeverityAnalysis[[#This Row],[ID]], tblSeverityReference[ID], 0)) ), "")</f>
        <v/>
      </c>
      <c r="AE110" s="303">
        <f>IFERROR(IF(INDEX(tblSeverityReference[Epidemic Severity],MATCH(tblSeverityAnalysis[[#This Row],[ID]], tblSeverityReference[ID], 0))= "", "",INDEX(tblSeverityReference[Epidemic Severity],MATCH(tblSeverityAnalysis[[#This Row],[ID]], tblSeverityReference[ID], 0)) ), "")</f>
        <v>2.2352941176470589</v>
      </c>
      <c r="AF110" s="303" t="str">
        <f>IFERROR(IF(INDEX(tblSeverityReference[Coping Strategy Severity],MATCH(tblSeverityAnalysis[[#This Row],[ID]], tblSeverityReference[ID], 0))= "", "",INDEX(tblSeverityReference[Coping Strategy Severity],MATCH(tblSeverityAnalysis[[#This Row],[ID]], tblSeverityReference[ID], 0)) ), "")</f>
        <v/>
      </c>
      <c r="AG110" s="108" t="str">
        <f>IFERROR(IF(INDEX(tblSeverityReference[HR/IHL Violation],MATCH(tblSeverityAnalysis[[#This Row],[ID]], tblSeverityReference[ID], 0))= "", "",INDEX(tblSeverityReference[HR/IHL Violation],MATCH(tblSeverityAnalysis[[#This Row],[ID]], tblSeverityReference[ID], 0)) ), "")</f>
        <v/>
      </c>
      <c r="AH110" s="81">
        <f>IFERROR(AVERAGE(tblSeverityAnalysis[[#This Row],[CCCM]:[WASH]]), "")</f>
        <v>1</v>
      </c>
      <c r="AI110" s="27">
        <f>IF(SUM(tblSeverityAnalysis[[#This Row],[CCCM]:[WASH]])=0, "", MAX(tblSeverityAnalysis[[#This Row],[CCCM]:[WASH]]))</f>
        <v>2</v>
      </c>
      <c r="AJ110" s="333" t="str" cm="1">
        <f t="array" ref="AJ110">IFERROR(IF(tblSeverityAnalysis[[#This Row],[Highest Severity]]="", "", _xlfn.TEXTJOIN(CHAR(10), TRUE, IF(tblSeverityAnalysis[[#This Row],[CCCM]:[WASH]]=tblSeverityAnalysis[[#This Row],[Highest Severity]], tblSeverityAnalysis[[#Headers],[CCCM]:[WASH]], ""), "")), "")</f>
        <v>WASH</v>
      </c>
      <c r="AK110" s="27" cm="1">
        <f t="array" ref="AK110">IFERROR(MAX(_xlfn._xlws.FILTER(tblSeverityAnalysis[[#This Row],[CCCM]:[WASH]], tblSeverityAnalysis[[#This Row],[CCCM]:[WASH]]&lt;tblSeverityAnalysis[[#This Row],[Highest Severity]])), "")</f>
        <v>0</v>
      </c>
      <c r="AL110" s="313" t="str" cm="1">
        <f t="array" ref="AL11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10" s="132" t="str">
        <f>IFERROR(IF(AND(tblSeverityAnalysis[[#This Row],[5]] &lt;&gt; "", tblSeverityAnalysis[[#This Row],[5]]&gt;=sectors_sev_5), "Flagged", ""), "")</f>
        <v/>
      </c>
      <c r="AN110" s="133" t="str">
        <f>IFERROR(IF(AND(tblSeverityAnalysis[[#This Row],[Preliminary Intersectoral Severity based on overlap of sectoral deprivations]]=4, SUM(tblSeverityAnalysis[[#This Row],[ 4 ]:[5]])&gt;=sectors_sev_4), "Flagged", ""), "")</f>
        <v/>
      </c>
      <c r="AO110" s="133" t="str" cm="1">
        <f t="array" ref="AO11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0" s="335"/>
      <c r="AR110" s="336"/>
      <c r="AS110" s="335"/>
      <c r="AT110" s="337">
        <f>COUNTIF(tblSeverityAnalysis[[#This Row],[1 sector in severity phase 5 '[modify the threshold']]:[Manual Flag]], "Flagged")</f>
        <v>0</v>
      </c>
      <c r="AU110" s="338">
        <f>tblSeverityAnalysis[[#This Row],[Preliminary Intersectoral Severity based on overlap of sectoral deprivations]]</f>
        <v>1</v>
      </c>
      <c r="AV110" s="339"/>
    </row>
    <row r="111" spans="1:48" ht="15" hidden="1" customHeight="1">
      <c r="A11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MZ0819</v>
      </c>
      <c r="B111" s="39" t="s">
        <v>189</v>
      </c>
      <c r="C111" s="340" t="s">
        <v>190</v>
      </c>
      <c r="D111" s="340" t="s">
        <v>444</v>
      </c>
      <c r="E111" s="33" t="s">
        <v>445</v>
      </c>
      <c r="F111" s="33"/>
      <c r="G111" s="33"/>
      <c r="H111" s="20"/>
      <c r="I111" s="95">
        <v>103494</v>
      </c>
      <c r="J111" s="95"/>
      <c r="K111" s="321"/>
      <c r="L111" s="303"/>
      <c r="M111" s="303" t="s">
        <v>264</v>
      </c>
      <c r="N111" s="303"/>
      <c r="O111" s="372"/>
      <c r="P111" s="303">
        <v>0</v>
      </c>
      <c r="Q111" s="304"/>
      <c r="R111" s="303">
        <v>4</v>
      </c>
      <c r="S111" s="303"/>
      <c r="T111" s="303"/>
      <c r="U111" s="303"/>
      <c r="V111" s="303"/>
      <c r="W111" s="330" t="str">
        <f>IF(COUNTIF(tblSeverityAnalysis[[#This Row],[CCCM]:[WASH]], 1)=0, "", COUNTIF(tblSeverityAnalysis[[#This Row],[CCCM]:[WASH]], 1))</f>
        <v/>
      </c>
      <c r="X111" s="331" t="str">
        <f>IF(COUNTIF(tblSeverityAnalysis[[#This Row],[CCCM]:[WASH]], 2)=0, "", COUNTIF(tblSeverityAnalysis[[#This Row],[CCCM]:[WASH]], 2))</f>
        <v/>
      </c>
      <c r="Y111" s="331" t="str">
        <f>IF(COUNTIF(tblSeverityAnalysis[[#This Row],[CCCM]:[WASH]], 3)=0, "", COUNTIF(tblSeverityAnalysis[[#This Row],[CCCM]:[WASH]], 3))</f>
        <v/>
      </c>
      <c r="Z111" s="331">
        <f>IF(COUNTIF(tblSeverityAnalysis[[#This Row],[CCCM]:[WASH]], 4)=0, "", COUNTIF(tblSeverityAnalysis[[#This Row],[CCCM]:[WASH]], 4))</f>
        <v>1</v>
      </c>
      <c r="AA111" s="332" t="str">
        <f>IF(COUNTIF(tblSeverityAnalysis[[#This Row],[CCCM]:[WASH]], 5)=0, "", COUNTIF(tblSeverityAnalysis[[#This Row],[CCCM]:[WASH]], 5))</f>
        <v/>
      </c>
      <c r="AB111" s="59" cm="1">
        <f t="array" ref="AB11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1" s="41" t="str">
        <f>IFERROR(IF(INDEX(tblSeverityReference[Malnutrition Severity],MATCH(tblSeverityAnalysis[[#This Row],[ID]], tblSeverityReference[ID], 0))= "", "",INDEX(tblSeverityReference[Malnutrition Severity],MATCH(tblSeverityAnalysis[[#This Row],[ID]], tblSeverityReference[ID], 0)) ), "")</f>
        <v/>
      </c>
      <c r="AE111" s="303">
        <f>IFERROR(IF(INDEX(tblSeverityReference[Epidemic Severity],MATCH(tblSeverityAnalysis[[#This Row],[ID]], tblSeverityReference[ID], 0))= "", "",INDEX(tblSeverityReference[Epidemic Severity],MATCH(tblSeverityAnalysis[[#This Row],[ID]], tblSeverityReference[ID], 0)) ), "")</f>
        <v>2.4117647058823528</v>
      </c>
      <c r="AF111" s="303" t="str">
        <f>IFERROR(IF(INDEX(tblSeverityReference[Coping Strategy Severity],MATCH(tblSeverityAnalysis[[#This Row],[ID]], tblSeverityReference[ID], 0))= "", "",INDEX(tblSeverityReference[Coping Strategy Severity],MATCH(tblSeverityAnalysis[[#This Row],[ID]], tblSeverityReference[ID], 0)) ), "")</f>
        <v/>
      </c>
      <c r="AG111" s="108" t="str">
        <f>IFERROR(IF(INDEX(tblSeverityReference[HR/IHL Violation],MATCH(tblSeverityAnalysis[[#This Row],[ID]], tblSeverityReference[ID], 0))= "", "",INDEX(tblSeverityReference[HR/IHL Violation],MATCH(tblSeverityAnalysis[[#This Row],[ID]], tblSeverityReference[ID], 0)) ), "")</f>
        <v/>
      </c>
      <c r="AH111" s="81">
        <f>IFERROR(AVERAGE(tblSeverityAnalysis[[#This Row],[CCCM]:[WASH]]), "")</f>
        <v>2</v>
      </c>
      <c r="AI111" s="27">
        <f>IF(SUM(tblSeverityAnalysis[[#This Row],[CCCM]:[WASH]])=0, "", MAX(tblSeverityAnalysis[[#This Row],[CCCM]:[WASH]]))</f>
        <v>4</v>
      </c>
      <c r="AJ111" s="333" t="str" cm="1">
        <f t="array" ref="AJ111">IFERROR(IF(tblSeverityAnalysis[[#This Row],[Highest Severity]]="", "", _xlfn.TEXTJOIN(CHAR(10), TRUE, IF(tblSeverityAnalysis[[#This Row],[CCCM]:[WASH]]=tblSeverityAnalysis[[#This Row],[Highest Severity]], tblSeverityAnalysis[[#Headers],[CCCM]:[WASH]], ""), "")), "")</f>
        <v>WASH</v>
      </c>
      <c r="AK111" s="27" cm="1">
        <f t="array" ref="AK111">IFERROR(MAX(_xlfn._xlws.FILTER(tblSeverityAnalysis[[#This Row],[CCCM]:[WASH]], tblSeverityAnalysis[[#This Row],[CCCM]:[WASH]]&lt;tblSeverityAnalysis[[#This Row],[Highest Severity]])), "")</f>
        <v>0</v>
      </c>
      <c r="AL111" s="313" t="str" cm="1">
        <f t="array" ref="AL11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11" s="132" t="str">
        <f>IFERROR(IF(AND(tblSeverityAnalysis[[#This Row],[5]] &lt;&gt; "", tblSeverityAnalysis[[#This Row],[5]]&gt;=sectors_sev_5), "Flagged", ""), "")</f>
        <v/>
      </c>
      <c r="AN111" s="133" t="str">
        <f>IFERROR(IF(AND(tblSeverityAnalysis[[#This Row],[Preliminary Intersectoral Severity based on overlap of sectoral deprivations]]=4, SUM(tblSeverityAnalysis[[#This Row],[ 4 ]:[5]])&gt;=sectors_sev_4), "Flagged", ""), "")</f>
        <v/>
      </c>
      <c r="AO111" s="133" t="str" cm="1">
        <f t="array" ref="AO11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1" s="335"/>
      <c r="AR111" s="336"/>
      <c r="AS111" s="335"/>
      <c r="AT111" s="337">
        <f>COUNTIF(tblSeverityAnalysis[[#This Row],[1 sector in severity phase 5 '[modify the threshold']]:[Manual Flag]], "Flagged")</f>
        <v>0</v>
      </c>
      <c r="AU111" s="338">
        <f>tblSeverityAnalysis[[#This Row],[Preliminary Intersectoral Severity based on overlap of sectoral deprivations]]</f>
        <v>1</v>
      </c>
      <c r="AV111" s="339"/>
    </row>
    <row r="112" spans="1:48" ht="15" hidden="1" customHeight="1">
      <c r="A11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MZ0901</v>
      </c>
      <c r="B112" s="39" t="s">
        <v>446</v>
      </c>
      <c r="C112" s="340" t="s">
        <v>447</v>
      </c>
      <c r="D112" s="340" t="s">
        <v>448</v>
      </c>
      <c r="E112" s="33" t="s">
        <v>449</v>
      </c>
      <c r="F112" s="33"/>
      <c r="G112" s="33"/>
      <c r="H112" s="20"/>
      <c r="I112" s="95">
        <v>229917</v>
      </c>
      <c r="J112" s="95"/>
      <c r="K112" s="321"/>
      <c r="L112" s="303"/>
      <c r="M112" s="303">
        <v>2</v>
      </c>
      <c r="N112" s="303">
        <v>3</v>
      </c>
      <c r="O112" s="372"/>
      <c r="P112" s="303">
        <v>0</v>
      </c>
      <c r="Q112" s="304"/>
      <c r="R112" s="303">
        <v>3</v>
      </c>
      <c r="S112" s="303"/>
      <c r="T112" s="303"/>
      <c r="U112" s="303"/>
      <c r="V112" s="303"/>
      <c r="W112" s="330" t="str">
        <f>IF(COUNTIF(tblSeverityAnalysis[[#This Row],[CCCM]:[WASH]], 1)=0, "", COUNTIF(tblSeverityAnalysis[[#This Row],[CCCM]:[WASH]], 1))</f>
        <v/>
      </c>
      <c r="X112" s="331">
        <f>IF(COUNTIF(tblSeverityAnalysis[[#This Row],[CCCM]:[WASH]], 2)=0, "", COUNTIF(tblSeverityAnalysis[[#This Row],[CCCM]:[WASH]], 2))</f>
        <v>1</v>
      </c>
      <c r="Y112" s="331">
        <f>IF(COUNTIF(tblSeverityAnalysis[[#This Row],[CCCM]:[WASH]], 3)=0, "", COUNTIF(tblSeverityAnalysis[[#This Row],[CCCM]:[WASH]], 3))</f>
        <v>2</v>
      </c>
      <c r="Z112" s="331" t="str">
        <f>IF(COUNTIF(tblSeverityAnalysis[[#This Row],[CCCM]:[WASH]], 4)=0, "", COUNTIF(tblSeverityAnalysis[[#This Row],[CCCM]:[WASH]], 4))</f>
        <v/>
      </c>
      <c r="AA112" s="332" t="str">
        <f>IF(COUNTIF(tblSeverityAnalysis[[#This Row],[CCCM]:[WASH]], 5)=0, "", COUNTIF(tblSeverityAnalysis[[#This Row],[CCCM]:[WASH]], 5))</f>
        <v/>
      </c>
      <c r="AB112" s="59" cm="1">
        <f t="array" ref="AB11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2" s="41">
        <f>IFERROR(IF(INDEX(tblSeverityReference[Malnutrition Severity],MATCH(tblSeverityAnalysis[[#This Row],[ID]], tblSeverityReference[ID], 0))= "", "",INDEX(tblSeverityReference[Malnutrition Severity],MATCH(tblSeverityAnalysis[[#This Row],[ID]], tblSeverityReference[ID], 0)) ), "")</f>
        <v>2</v>
      </c>
      <c r="AE112" s="303">
        <f>IFERROR(IF(INDEX(tblSeverityReference[Epidemic Severity],MATCH(tblSeverityAnalysis[[#This Row],[ID]], tblSeverityReference[ID], 0))= "", "",INDEX(tblSeverityReference[Epidemic Severity],MATCH(tblSeverityAnalysis[[#This Row],[ID]], tblSeverityReference[ID], 0)) ), "")</f>
        <v>2.2352941176470589</v>
      </c>
      <c r="AF112" s="303">
        <f>IFERROR(IF(INDEX(tblSeverityReference[Coping Strategy Severity],MATCH(tblSeverityAnalysis[[#This Row],[ID]], tblSeverityReference[ID], 0))= "", "",INDEX(tblSeverityReference[Coping Strategy Severity],MATCH(tblSeverityAnalysis[[#This Row],[ID]], tblSeverityReference[ID], 0)) ), "")</f>
        <v>2</v>
      </c>
      <c r="AG112" s="108" t="str">
        <f>IFERROR(IF(INDEX(tblSeverityReference[HR/IHL Violation],MATCH(tblSeverityAnalysis[[#This Row],[ID]], tblSeverityReference[ID], 0))= "", "",INDEX(tblSeverityReference[HR/IHL Violation],MATCH(tblSeverityAnalysis[[#This Row],[ID]], tblSeverityReference[ID], 0)) ), "")</f>
        <v/>
      </c>
      <c r="AH112" s="81">
        <f>IFERROR(AVERAGE(tblSeverityAnalysis[[#This Row],[CCCM]:[WASH]]), "")</f>
        <v>2</v>
      </c>
      <c r="AI112" s="27">
        <f>IF(SUM(tblSeverityAnalysis[[#This Row],[CCCM]:[WASH]])=0, "", MAX(tblSeverityAnalysis[[#This Row],[CCCM]:[WASH]]))</f>
        <v>3</v>
      </c>
      <c r="AJ112" s="333" t="str" cm="1">
        <f t="array" ref="AJ112">IFERROR(IF(tblSeverityAnalysis[[#This Row],[Highest Severity]]="", "", _xlfn.TEXTJOIN(CHAR(10), TRUE, IF(tblSeverityAnalysis[[#This Row],[CCCM]:[WASH]]=tblSeverityAnalysis[[#This Row],[Highest Severity]], tblSeverityAnalysis[[#Headers],[CCCM]:[WASH]], ""), "")), "")</f>
        <v>Food Security
WASH</v>
      </c>
      <c r="AK112" s="27" cm="1">
        <f t="array" ref="AK112">IFERROR(MAX(_xlfn._xlws.FILTER(tblSeverityAnalysis[[#This Row],[CCCM]:[WASH]], tblSeverityAnalysis[[#This Row],[CCCM]:[WASH]]&lt;tblSeverityAnalysis[[#This Row],[Highest Severity]])), "")</f>
        <v>2</v>
      </c>
      <c r="AL112" s="313" t="str" cm="1">
        <f t="array" ref="AL112">IFERROR(IF(tblSeverityAnalysis[[#This Row],[2nd Highest Severity]]="", "", _xlfn.TEXTJOIN(CHAR(10), TRUE, IF(tblSeverityAnalysis[[#This Row],[CCCM]:[WASH]]=tblSeverityAnalysis[[#This Row],[2nd Highest Severity]], tblSeverityAnalysis[[#Headers],[CCCM]:[WASH]], ""), "")), "")</f>
        <v>Nutrition</v>
      </c>
      <c r="AM112" s="132" t="str">
        <f>IFERROR(IF(AND(tblSeverityAnalysis[[#This Row],[5]] &lt;&gt; "", tblSeverityAnalysis[[#This Row],[5]]&gt;=sectors_sev_5), "Flagged", ""), "")</f>
        <v/>
      </c>
      <c r="AN112" s="133" t="str">
        <f>IFERROR(IF(AND(tblSeverityAnalysis[[#This Row],[Preliminary Intersectoral Severity based on overlap of sectoral deprivations]]=4, SUM(tblSeverityAnalysis[[#This Row],[ 4 ]:[5]])&gt;=sectors_sev_4), "Flagged", ""), "")</f>
        <v/>
      </c>
      <c r="AO112" s="133" t="str" cm="1">
        <f t="array" ref="AO11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2" s="335"/>
      <c r="AR112" s="336"/>
      <c r="AS112" s="335"/>
      <c r="AT112" s="337">
        <f>COUNTIF(tblSeverityAnalysis[[#This Row],[1 sector in severity phase 5 '[modify the threshold']]:[Manual Flag]], "Flagged")</f>
        <v>1</v>
      </c>
      <c r="AU112" s="338">
        <f>tblSeverityAnalysis[[#This Row],[Preliminary Intersectoral Severity based on overlap of sectoral deprivations]]</f>
        <v>1</v>
      </c>
      <c r="AV112" s="339"/>
    </row>
    <row r="113" spans="1:48" ht="15" hidden="1" customHeight="1">
      <c r="A11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MZ0902</v>
      </c>
      <c r="B113" s="39" t="s">
        <v>446</v>
      </c>
      <c r="C113" s="340" t="s">
        <v>447</v>
      </c>
      <c r="D113" s="340" t="s">
        <v>450</v>
      </c>
      <c r="E113" s="33" t="s">
        <v>451</v>
      </c>
      <c r="F113" s="33"/>
      <c r="G113" s="33"/>
      <c r="H113" s="20"/>
      <c r="I113" s="95">
        <v>202204</v>
      </c>
      <c r="J113" s="95"/>
      <c r="K113" s="321"/>
      <c r="L113" s="303"/>
      <c r="M113" s="303">
        <v>2</v>
      </c>
      <c r="N113" s="303">
        <v>3</v>
      </c>
      <c r="O113" s="372"/>
      <c r="P113" s="303">
        <v>0</v>
      </c>
      <c r="Q113" s="304"/>
      <c r="R113" s="303">
        <v>3</v>
      </c>
      <c r="S113" s="303"/>
      <c r="T113" s="303"/>
      <c r="U113" s="303"/>
      <c r="V113" s="303"/>
      <c r="W113" s="330" t="str">
        <f>IF(COUNTIF(tblSeverityAnalysis[[#This Row],[CCCM]:[WASH]], 1)=0, "", COUNTIF(tblSeverityAnalysis[[#This Row],[CCCM]:[WASH]], 1))</f>
        <v/>
      </c>
      <c r="X113" s="331">
        <f>IF(COUNTIF(tblSeverityAnalysis[[#This Row],[CCCM]:[WASH]], 2)=0, "", COUNTIF(tblSeverityAnalysis[[#This Row],[CCCM]:[WASH]], 2))</f>
        <v>1</v>
      </c>
      <c r="Y113" s="331">
        <f>IF(COUNTIF(tblSeverityAnalysis[[#This Row],[CCCM]:[WASH]], 3)=0, "", COUNTIF(tblSeverityAnalysis[[#This Row],[CCCM]:[WASH]], 3))</f>
        <v>2</v>
      </c>
      <c r="Z113" s="331" t="str">
        <f>IF(COUNTIF(tblSeverityAnalysis[[#This Row],[CCCM]:[WASH]], 4)=0, "", COUNTIF(tblSeverityAnalysis[[#This Row],[CCCM]:[WASH]], 4))</f>
        <v/>
      </c>
      <c r="AA113" s="332" t="str">
        <f>IF(COUNTIF(tblSeverityAnalysis[[#This Row],[CCCM]:[WASH]], 5)=0, "", COUNTIF(tblSeverityAnalysis[[#This Row],[CCCM]:[WASH]], 5))</f>
        <v/>
      </c>
      <c r="AB113" s="59" cm="1">
        <f t="array" ref="AB11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3" s="41">
        <f>IFERROR(IF(INDEX(tblSeverityReference[Malnutrition Severity],MATCH(tblSeverityAnalysis[[#This Row],[ID]], tblSeverityReference[ID], 0))= "", "",INDEX(tblSeverityReference[Malnutrition Severity],MATCH(tblSeverityAnalysis[[#This Row],[ID]], tblSeverityReference[ID], 0)) ), "")</f>
        <v>2</v>
      </c>
      <c r="AE113" s="303">
        <f>IFERROR(IF(INDEX(tblSeverityReference[Epidemic Severity],MATCH(tblSeverityAnalysis[[#This Row],[ID]], tblSeverityReference[ID], 0))= "", "",INDEX(tblSeverityReference[Epidemic Severity],MATCH(tblSeverityAnalysis[[#This Row],[ID]], tblSeverityReference[ID], 0)) ), "")</f>
        <v>1.8235294117647056</v>
      </c>
      <c r="AF113" s="303">
        <f>IFERROR(IF(INDEX(tblSeverityReference[Coping Strategy Severity],MATCH(tblSeverityAnalysis[[#This Row],[ID]], tblSeverityReference[ID], 0))= "", "",INDEX(tblSeverityReference[Coping Strategy Severity],MATCH(tblSeverityAnalysis[[#This Row],[ID]], tblSeverityReference[ID], 0)) ), "")</f>
        <v>3</v>
      </c>
      <c r="AG113" s="108" t="str">
        <f>IFERROR(IF(INDEX(tblSeverityReference[HR/IHL Violation],MATCH(tblSeverityAnalysis[[#This Row],[ID]], tblSeverityReference[ID], 0))= "", "",INDEX(tblSeverityReference[HR/IHL Violation],MATCH(tblSeverityAnalysis[[#This Row],[ID]], tblSeverityReference[ID], 0)) ), "")</f>
        <v/>
      </c>
      <c r="AH113" s="81">
        <f>IFERROR(AVERAGE(tblSeverityAnalysis[[#This Row],[CCCM]:[WASH]]), "")</f>
        <v>2</v>
      </c>
      <c r="AI113" s="27">
        <f>IF(SUM(tblSeverityAnalysis[[#This Row],[CCCM]:[WASH]])=0, "", MAX(tblSeverityAnalysis[[#This Row],[CCCM]:[WASH]]))</f>
        <v>3</v>
      </c>
      <c r="AJ113" s="333" t="str" cm="1">
        <f t="array" ref="AJ113">IFERROR(IF(tblSeverityAnalysis[[#This Row],[Highest Severity]]="", "", _xlfn.TEXTJOIN(CHAR(10), TRUE, IF(tblSeverityAnalysis[[#This Row],[CCCM]:[WASH]]=tblSeverityAnalysis[[#This Row],[Highest Severity]], tblSeverityAnalysis[[#Headers],[CCCM]:[WASH]], ""), "")), "")</f>
        <v>Food Security
WASH</v>
      </c>
      <c r="AK113" s="27" cm="1">
        <f t="array" ref="AK113">IFERROR(MAX(_xlfn._xlws.FILTER(tblSeverityAnalysis[[#This Row],[CCCM]:[WASH]], tblSeverityAnalysis[[#This Row],[CCCM]:[WASH]]&lt;tblSeverityAnalysis[[#This Row],[Highest Severity]])), "")</f>
        <v>2</v>
      </c>
      <c r="AL113" s="313" t="str" cm="1">
        <f t="array" ref="AL113">IFERROR(IF(tblSeverityAnalysis[[#This Row],[2nd Highest Severity]]="", "", _xlfn.TEXTJOIN(CHAR(10), TRUE, IF(tblSeverityAnalysis[[#This Row],[CCCM]:[WASH]]=tblSeverityAnalysis[[#This Row],[2nd Highest Severity]], tblSeverityAnalysis[[#Headers],[CCCM]:[WASH]], ""), "")), "")</f>
        <v>Nutrition</v>
      </c>
      <c r="AM113" s="132" t="str">
        <f>IFERROR(IF(AND(tblSeverityAnalysis[[#This Row],[5]] &lt;&gt; "", tblSeverityAnalysis[[#This Row],[5]]&gt;=sectors_sev_5), "Flagged", ""), "")</f>
        <v/>
      </c>
      <c r="AN113" s="133" t="str">
        <f>IFERROR(IF(AND(tblSeverityAnalysis[[#This Row],[Preliminary Intersectoral Severity based on overlap of sectoral deprivations]]=4, SUM(tblSeverityAnalysis[[#This Row],[ 4 ]:[5]])&gt;=sectors_sev_4), "Flagged", ""), "")</f>
        <v/>
      </c>
      <c r="AO113" s="133" t="str" cm="1">
        <f t="array" ref="AO11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3" s="335"/>
      <c r="AR113" s="336"/>
      <c r="AS113" s="335"/>
      <c r="AT113" s="337">
        <f>COUNTIF(tblSeverityAnalysis[[#This Row],[1 sector in severity phase 5 '[modify the threshold']]:[Manual Flag]], "Flagged")</f>
        <v>2</v>
      </c>
      <c r="AU113" s="338">
        <f>tblSeverityAnalysis[[#This Row],[Preliminary Intersectoral Severity based on overlap of sectoral deprivations]]</f>
        <v>1</v>
      </c>
      <c r="AV113" s="339"/>
    </row>
    <row r="114" spans="1:48" ht="15" hidden="1" customHeight="1">
      <c r="A11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MZ0903</v>
      </c>
      <c r="B114" s="39" t="s">
        <v>446</v>
      </c>
      <c r="C114" s="340" t="s">
        <v>447</v>
      </c>
      <c r="D114" s="340" t="s">
        <v>452</v>
      </c>
      <c r="E114" s="33" t="s">
        <v>453</v>
      </c>
      <c r="F114" s="33"/>
      <c r="G114" s="33"/>
      <c r="H114" s="20"/>
      <c r="I114" s="95">
        <v>96822</v>
      </c>
      <c r="J114" s="95"/>
      <c r="K114" s="321"/>
      <c r="L114" s="303"/>
      <c r="M114" s="303">
        <v>2</v>
      </c>
      <c r="N114" s="303">
        <v>3</v>
      </c>
      <c r="O114" s="372"/>
      <c r="P114" s="303">
        <v>0</v>
      </c>
      <c r="Q114" s="304"/>
      <c r="R114" s="303">
        <v>4</v>
      </c>
      <c r="S114" s="303"/>
      <c r="T114" s="303"/>
      <c r="U114" s="303"/>
      <c r="V114" s="303"/>
      <c r="W114" s="330" t="str">
        <f>IF(COUNTIF(tblSeverityAnalysis[[#This Row],[CCCM]:[WASH]], 1)=0, "", COUNTIF(tblSeverityAnalysis[[#This Row],[CCCM]:[WASH]], 1))</f>
        <v/>
      </c>
      <c r="X114" s="331">
        <f>IF(COUNTIF(tblSeverityAnalysis[[#This Row],[CCCM]:[WASH]], 2)=0, "", COUNTIF(tblSeverityAnalysis[[#This Row],[CCCM]:[WASH]], 2))</f>
        <v>1</v>
      </c>
      <c r="Y114" s="331">
        <f>IF(COUNTIF(tblSeverityAnalysis[[#This Row],[CCCM]:[WASH]], 3)=0, "", COUNTIF(tblSeverityAnalysis[[#This Row],[CCCM]:[WASH]], 3))</f>
        <v>1</v>
      </c>
      <c r="Z114" s="331">
        <f>IF(COUNTIF(tblSeverityAnalysis[[#This Row],[CCCM]:[WASH]], 4)=0, "", COUNTIF(tblSeverityAnalysis[[#This Row],[CCCM]:[WASH]], 4))</f>
        <v>1</v>
      </c>
      <c r="AA114" s="332" t="str">
        <f>IF(COUNTIF(tblSeverityAnalysis[[#This Row],[CCCM]:[WASH]], 5)=0, "", COUNTIF(tblSeverityAnalysis[[#This Row],[CCCM]:[WASH]], 5))</f>
        <v/>
      </c>
      <c r="AB114" s="59" cm="1">
        <f t="array" ref="AB11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4" s="41">
        <f>IFERROR(IF(INDEX(tblSeverityReference[Malnutrition Severity],MATCH(tblSeverityAnalysis[[#This Row],[ID]], tblSeverityReference[ID], 0))= "", "",INDEX(tblSeverityReference[Malnutrition Severity],MATCH(tblSeverityAnalysis[[#This Row],[ID]], tblSeverityReference[ID], 0)) ), "")</f>
        <v>2</v>
      </c>
      <c r="AE114" s="303">
        <f>IFERROR(IF(INDEX(tblSeverityReference[Epidemic Severity],MATCH(tblSeverityAnalysis[[#This Row],[ID]], tblSeverityReference[ID], 0))= "", "",INDEX(tblSeverityReference[Epidemic Severity],MATCH(tblSeverityAnalysis[[#This Row],[ID]], tblSeverityReference[ID], 0)) ), "")</f>
        <v>2.4117647058823528</v>
      </c>
      <c r="AF114" s="303">
        <f>IFERROR(IF(INDEX(tblSeverityReference[Coping Strategy Severity],MATCH(tblSeverityAnalysis[[#This Row],[ID]], tblSeverityReference[ID], 0))= "", "",INDEX(tblSeverityReference[Coping Strategy Severity],MATCH(tblSeverityAnalysis[[#This Row],[ID]], tblSeverityReference[ID], 0)) ), "")</f>
        <v>4</v>
      </c>
      <c r="AG114" s="108" t="str">
        <f>IFERROR(IF(INDEX(tblSeverityReference[HR/IHL Violation],MATCH(tblSeverityAnalysis[[#This Row],[ID]], tblSeverityReference[ID], 0))= "", "",INDEX(tblSeverityReference[HR/IHL Violation],MATCH(tblSeverityAnalysis[[#This Row],[ID]], tblSeverityReference[ID], 0)) ), "")</f>
        <v/>
      </c>
      <c r="AH114" s="81">
        <f>IFERROR(AVERAGE(tblSeverityAnalysis[[#This Row],[CCCM]:[WASH]]), "")</f>
        <v>2.25</v>
      </c>
      <c r="AI114" s="27">
        <f>IF(SUM(tblSeverityAnalysis[[#This Row],[CCCM]:[WASH]])=0, "", MAX(tblSeverityAnalysis[[#This Row],[CCCM]:[WASH]]))</f>
        <v>4</v>
      </c>
      <c r="AJ114" s="333" t="str" cm="1">
        <f t="array" ref="AJ114">IFERROR(IF(tblSeverityAnalysis[[#This Row],[Highest Severity]]="", "", _xlfn.TEXTJOIN(CHAR(10), TRUE, IF(tblSeverityAnalysis[[#This Row],[CCCM]:[WASH]]=tblSeverityAnalysis[[#This Row],[Highest Severity]], tblSeverityAnalysis[[#Headers],[CCCM]:[WASH]], ""), "")), "")</f>
        <v>WASH</v>
      </c>
      <c r="AK114" s="27" cm="1">
        <f t="array" ref="AK114">IFERROR(MAX(_xlfn._xlws.FILTER(tblSeverityAnalysis[[#This Row],[CCCM]:[WASH]], tblSeverityAnalysis[[#This Row],[CCCM]:[WASH]]&lt;tblSeverityAnalysis[[#This Row],[Highest Severity]])), "")</f>
        <v>3</v>
      </c>
      <c r="AL114" s="313" t="str" cm="1">
        <f t="array" ref="AL114">IFERROR(IF(tblSeverityAnalysis[[#This Row],[2nd Highest Severity]]="", "", _xlfn.TEXTJOIN(CHAR(10), TRUE, IF(tblSeverityAnalysis[[#This Row],[CCCM]:[WASH]]=tblSeverityAnalysis[[#This Row],[2nd Highest Severity]], tblSeverityAnalysis[[#Headers],[CCCM]:[WASH]], ""), "")), "")</f>
        <v>Food Security</v>
      </c>
      <c r="AM114" s="132" t="str">
        <f>IFERROR(IF(AND(tblSeverityAnalysis[[#This Row],[5]] &lt;&gt; "", tblSeverityAnalysis[[#This Row],[5]]&gt;=sectors_sev_5), "Flagged", ""), "")</f>
        <v/>
      </c>
      <c r="AN114" s="133" t="str">
        <f>IFERROR(IF(AND(tblSeverityAnalysis[[#This Row],[Preliminary Intersectoral Severity based on overlap of sectoral deprivations]]=4, SUM(tblSeverityAnalysis[[#This Row],[ 4 ]:[5]])&gt;=sectors_sev_4), "Flagged", ""), "")</f>
        <v/>
      </c>
      <c r="AO114" s="133" t="str" cm="1">
        <f t="array" ref="AO11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4" s="335"/>
      <c r="AR114" s="336"/>
      <c r="AS114" s="335"/>
      <c r="AT114" s="337">
        <f>COUNTIF(tblSeverityAnalysis[[#This Row],[1 sector in severity phase 5 '[modify the threshold']]:[Manual Flag]], "Flagged")</f>
        <v>2</v>
      </c>
      <c r="AU114" s="338">
        <f>tblSeverityAnalysis[[#This Row],[Preliminary Intersectoral Severity based on overlap of sectoral deprivations]]</f>
        <v>1</v>
      </c>
      <c r="AV114" s="339"/>
    </row>
    <row r="115" spans="1:48" ht="15" hidden="1" customHeight="1">
      <c r="A11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MZ0904</v>
      </c>
      <c r="B115" s="39" t="s">
        <v>446</v>
      </c>
      <c r="C115" s="340" t="s">
        <v>447</v>
      </c>
      <c r="D115" s="340" t="s">
        <v>454</v>
      </c>
      <c r="E115" s="33" t="s">
        <v>455</v>
      </c>
      <c r="F115" s="33"/>
      <c r="G115" s="33"/>
      <c r="H115" s="20"/>
      <c r="I115" s="95">
        <v>70246</v>
      </c>
      <c r="J115" s="95"/>
      <c r="K115" s="321"/>
      <c r="L115" s="303"/>
      <c r="M115" s="303" t="s">
        <v>264</v>
      </c>
      <c r="N115" s="303"/>
      <c r="O115" s="372"/>
      <c r="P115" s="303">
        <v>0</v>
      </c>
      <c r="Q115" s="304"/>
      <c r="R115" s="303">
        <v>3</v>
      </c>
      <c r="S115" s="303"/>
      <c r="T115" s="303"/>
      <c r="U115" s="303"/>
      <c r="V115" s="303"/>
      <c r="W115" s="330" t="str">
        <f>IF(COUNTIF(tblSeverityAnalysis[[#This Row],[CCCM]:[WASH]], 1)=0, "", COUNTIF(tblSeverityAnalysis[[#This Row],[CCCM]:[WASH]], 1))</f>
        <v/>
      </c>
      <c r="X115" s="331" t="str">
        <f>IF(COUNTIF(tblSeverityAnalysis[[#This Row],[CCCM]:[WASH]], 2)=0, "", COUNTIF(tblSeverityAnalysis[[#This Row],[CCCM]:[WASH]], 2))</f>
        <v/>
      </c>
      <c r="Y115" s="331">
        <f>IF(COUNTIF(tblSeverityAnalysis[[#This Row],[CCCM]:[WASH]], 3)=0, "", COUNTIF(tblSeverityAnalysis[[#This Row],[CCCM]:[WASH]], 3))</f>
        <v>1</v>
      </c>
      <c r="Z115" s="331" t="str">
        <f>IF(COUNTIF(tblSeverityAnalysis[[#This Row],[CCCM]:[WASH]], 4)=0, "", COUNTIF(tblSeverityAnalysis[[#This Row],[CCCM]:[WASH]], 4))</f>
        <v/>
      </c>
      <c r="AA115" s="332" t="str">
        <f>IF(COUNTIF(tblSeverityAnalysis[[#This Row],[CCCM]:[WASH]], 5)=0, "", COUNTIF(tblSeverityAnalysis[[#This Row],[CCCM]:[WASH]], 5))</f>
        <v/>
      </c>
      <c r="AB115" s="59" cm="1">
        <f t="array" ref="AB11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5" s="41">
        <f>IFERROR(IF(INDEX(tblSeverityReference[Malnutrition Severity],MATCH(tblSeverityAnalysis[[#This Row],[ID]], tblSeverityReference[ID], 0))= "", "",INDEX(tblSeverityReference[Malnutrition Severity],MATCH(tblSeverityAnalysis[[#This Row],[ID]], tblSeverityReference[ID], 0)) ), "")</f>
        <v>2</v>
      </c>
      <c r="AE115" s="303">
        <f>IFERROR(IF(INDEX(tblSeverityReference[Epidemic Severity],MATCH(tblSeverityAnalysis[[#This Row],[ID]], tblSeverityReference[ID], 0))= "", "",INDEX(tblSeverityReference[Epidemic Severity],MATCH(tblSeverityAnalysis[[#This Row],[ID]], tblSeverityReference[ID], 0)) ), "")</f>
        <v>2.4117647058823528</v>
      </c>
      <c r="AF115" s="303" t="str">
        <f>IFERROR(IF(INDEX(tblSeverityReference[Coping Strategy Severity],MATCH(tblSeverityAnalysis[[#This Row],[ID]], tblSeverityReference[ID], 0))= "", "",INDEX(tblSeverityReference[Coping Strategy Severity],MATCH(tblSeverityAnalysis[[#This Row],[ID]], tblSeverityReference[ID], 0)) ), "")</f>
        <v/>
      </c>
      <c r="AG115" s="108" t="str">
        <f>IFERROR(IF(INDEX(tblSeverityReference[HR/IHL Violation],MATCH(tblSeverityAnalysis[[#This Row],[ID]], tblSeverityReference[ID], 0))= "", "",INDEX(tblSeverityReference[HR/IHL Violation],MATCH(tblSeverityAnalysis[[#This Row],[ID]], tblSeverityReference[ID], 0)) ), "")</f>
        <v/>
      </c>
      <c r="AH115" s="81">
        <f>IFERROR(AVERAGE(tblSeverityAnalysis[[#This Row],[CCCM]:[WASH]]), "")</f>
        <v>1.5</v>
      </c>
      <c r="AI115" s="27">
        <f>IF(SUM(tblSeverityAnalysis[[#This Row],[CCCM]:[WASH]])=0, "", MAX(tblSeverityAnalysis[[#This Row],[CCCM]:[WASH]]))</f>
        <v>3</v>
      </c>
      <c r="AJ115" s="333" t="str" cm="1">
        <f t="array" ref="AJ115">IFERROR(IF(tblSeverityAnalysis[[#This Row],[Highest Severity]]="", "", _xlfn.TEXTJOIN(CHAR(10), TRUE, IF(tblSeverityAnalysis[[#This Row],[CCCM]:[WASH]]=tblSeverityAnalysis[[#This Row],[Highest Severity]], tblSeverityAnalysis[[#Headers],[CCCM]:[WASH]], ""), "")), "")</f>
        <v>WASH</v>
      </c>
      <c r="AK115" s="27" cm="1">
        <f t="array" ref="AK115">IFERROR(MAX(_xlfn._xlws.FILTER(tblSeverityAnalysis[[#This Row],[CCCM]:[WASH]], tblSeverityAnalysis[[#This Row],[CCCM]:[WASH]]&lt;tblSeverityAnalysis[[#This Row],[Highest Severity]])), "")</f>
        <v>0</v>
      </c>
      <c r="AL115" s="313" t="str" cm="1">
        <f t="array" ref="AL11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15" s="132" t="str">
        <f>IFERROR(IF(AND(tblSeverityAnalysis[[#This Row],[5]] &lt;&gt; "", tblSeverityAnalysis[[#This Row],[5]]&gt;=sectors_sev_5), "Flagged", ""), "")</f>
        <v/>
      </c>
      <c r="AN115" s="133" t="str">
        <f>IFERROR(IF(AND(tblSeverityAnalysis[[#This Row],[Preliminary Intersectoral Severity based on overlap of sectoral deprivations]]=4, SUM(tblSeverityAnalysis[[#This Row],[ 4 ]:[5]])&gt;=sectors_sev_4), "Flagged", ""), "")</f>
        <v/>
      </c>
      <c r="AO115" s="133" t="str" cm="1">
        <f t="array" ref="AO11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5" s="335"/>
      <c r="AR115" s="336"/>
      <c r="AS115" s="335"/>
      <c r="AT115" s="337">
        <f>COUNTIF(tblSeverityAnalysis[[#This Row],[1 sector in severity phase 5 '[modify the threshold']]:[Manual Flag]], "Flagged")</f>
        <v>1</v>
      </c>
      <c r="AU115" s="338">
        <f>tblSeverityAnalysis[[#This Row],[Preliminary Intersectoral Severity based on overlap of sectoral deprivations]]</f>
        <v>1</v>
      </c>
      <c r="AV115" s="339"/>
    </row>
    <row r="116" spans="1:48" ht="15" hidden="1" customHeight="1">
      <c r="A11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MZ0905</v>
      </c>
      <c r="B116" s="39" t="s">
        <v>446</v>
      </c>
      <c r="C116" s="340" t="s">
        <v>447</v>
      </c>
      <c r="D116" s="340" t="s">
        <v>456</v>
      </c>
      <c r="E116" s="33" t="s">
        <v>457</v>
      </c>
      <c r="F116" s="33"/>
      <c r="G116" s="33"/>
      <c r="H116" s="20"/>
      <c r="I116" s="95">
        <v>188801</v>
      </c>
      <c r="J116" s="95"/>
      <c r="K116" s="321"/>
      <c r="L116" s="303"/>
      <c r="M116" s="303" t="s">
        <v>264</v>
      </c>
      <c r="N116" s="303">
        <v>2</v>
      </c>
      <c r="O116" s="372"/>
      <c r="P116" s="303">
        <v>0</v>
      </c>
      <c r="Q116" s="304"/>
      <c r="R116" s="303">
        <v>2</v>
      </c>
      <c r="S116" s="303"/>
      <c r="T116" s="303"/>
      <c r="U116" s="303"/>
      <c r="V116" s="303"/>
      <c r="W116" s="330" t="str">
        <f>IF(COUNTIF(tblSeverityAnalysis[[#This Row],[CCCM]:[WASH]], 1)=0, "", COUNTIF(tblSeverityAnalysis[[#This Row],[CCCM]:[WASH]], 1))</f>
        <v/>
      </c>
      <c r="X116" s="331">
        <f>IF(COUNTIF(tblSeverityAnalysis[[#This Row],[CCCM]:[WASH]], 2)=0, "", COUNTIF(tblSeverityAnalysis[[#This Row],[CCCM]:[WASH]], 2))</f>
        <v>2</v>
      </c>
      <c r="Y116" s="331" t="str">
        <f>IF(COUNTIF(tblSeverityAnalysis[[#This Row],[CCCM]:[WASH]], 3)=0, "", COUNTIF(tblSeverityAnalysis[[#This Row],[CCCM]:[WASH]], 3))</f>
        <v/>
      </c>
      <c r="Z116" s="331" t="str">
        <f>IF(COUNTIF(tblSeverityAnalysis[[#This Row],[CCCM]:[WASH]], 4)=0, "", COUNTIF(tblSeverityAnalysis[[#This Row],[CCCM]:[WASH]], 4))</f>
        <v/>
      </c>
      <c r="AA116" s="332" t="str">
        <f>IF(COUNTIF(tblSeverityAnalysis[[#This Row],[CCCM]:[WASH]], 5)=0, "", COUNTIF(tblSeverityAnalysis[[#This Row],[CCCM]:[WASH]], 5))</f>
        <v/>
      </c>
      <c r="AB116" s="59" cm="1">
        <f t="array" ref="AB11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6" s="41">
        <f>IFERROR(IF(INDEX(tblSeverityReference[Malnutrition Severity],MATCH(tblSeverityAnalysis[[#This Row],[ID]], tblSeverityReference[ID], 0))= "", "",INDEX(tblSeverityReference[Malnutrition Severity],MATCH(tblSeverityAnalysis[[#This Row],[ID]], tblSeverityReference[ID], 0)) ), "")</f>
        <v>2</v>
      </c>
      <c r="AE116" s="303">
        <f>IFERROR(IF(INDEX(tblSeverityReference[Epidemic Severity],MATCH(tblSeverityAnalysis[[#This Row],[ID]], tblSeverityReference[ID], 0))= "", "",INDEX(tblSeverityReference[Epidemic Severity],MATCH(tblSeverityAnalysis[[#This Row],[ID]], tblSeverityReference[ID], 0)) ), "")</f>
        <v>2.2352941176470589</v>
      </c>
      <c r="AF116" s="303">
        <f>IFERROR(IF(INDEX(tblSeverityReference[Coping Strategy Severity],MATCH(tblSeverityAnalysis[[#This Row],[ID]], tblSeverityReference[ID], 0))= "", "",INDEX(tblSeverityReference[Coping Strategy Severity],MATCH(tblSeverityAnalysis[[#This Row],[ID]], tblSeverityReference[ID], 0)) ), "")</f>
        <v>1</v>
      </c>
      <c r="AG116" s="108" t="str">
        <f>IFERROR(IF(INDEX(tblSeverityReference[HR/IHL Violation],MATCH(tblSeverityAnalysis[[#This Row],[ID]], tblSeverityReference[ID], 0))= "", "",INDEX(tblSeverityReference[HR/IHL Violation],MATCH(tblSeverityAnalysis[[#This Row],[ID]], tblSeverityReference[ID], 0)) ), "")</f>
        <v/>
      </c>
      <c r="AH116" s="81">
        <f>IFERROR(AVERAGE(tblSeverityAnalysis[[#This Row],[CCCM]:[WASH]]), "")</f>
        <v>1.3333333333333333</v>
      </c>
      <c r="AI116" s="27">
        <f>IF(SUM(tblSeverityAnalysis[[#This Row],[CCCM]:[WASH]])=0, "", MAX(tblSeverityAnalysis[[#This Row],[CCCM]:[WASH]]))</f>
        <v>2</v>
      </c>
      <c r="AJ116" s="333" t="str" cm="1">
        <f t="array" ref="AJ116">IFERROR(IF(tblSeverityAnalysis[[#This Row],[Highest Severity]]="", "", _xlfn.TEXTJOIN(CHAR(10), TRUE, IF(tblSeverityAnalysis[[#This Row],[CCCM]:[WASH]]=tblSeverityAnalysis[[#This Row],[Highest Severity]], tblSeverityAnalysis[[#Headers],[CCCM]:[WASH]], ""), "")), "")</f>
        <v>Food Security
WASH</v>
      </c>
      <c r="AK116" s="27" cm="1">
        <f t="array" ref="AK116">IFERROR(MAX(_xlfn._xlws.FILTER(tblSeverityAnalysis[[#This Row],[CCCM]:[WASH]], tblSeverityAnalysis[[#This Row],[CCCM]:[WASH]]&lt;tblSeverityAnalysis[[#This Row],[Highest Severity]])), "")</f>
        <v>0</v>
      </c>
      <c r="AL116" s="313" t="str" cm="1">
        <f t="array" ref="AL116">IFERROR(IF(tblSeverityAnalysis[[#This Row],[2nd Highest Severity]]="", "", _xlfn.TEXTJOIN(CHAR(10), TRUE, IF(tblSeverityAnalysis[[#This Row],[CCCM]:[WASH]]=tblSeverityAnalysis[[#This Row],[2nd Highest Severity]], tblSeverityAnalysis[[#Headers],[CCCM]:[WASH]], ""), "")), "")</f>
        <v>CCCM
Education
Health
Overarching Protection
Shelter</v>
      </c>
      <c r="AM116" s="132" t="str">
        <f>IFERROR(IF(AND(tblSeverityAnalysis[[#This Row],[5]] &lt;&gt; "", tblSeverityAnalysis[[#This Row],[5]]&gt;=sectors_sev_5), "Flagged", ""), "")</f>
        <v/>
      </c>
      <c r="AN116" s="133" t="str">
        <f>IFERROR(IF(AND(tblSeverityAnalysis[[#This Row],[Preliminary Intersectoral Severity based on overlap of sectoral deprivations]]=4, SUM(tblSeverityAnalysis[[#This Row],[ 4 ]:[5]])&gt;=sectors_sev_4), "Flagged", ""), "")</f>
        <v/>
      </c>
      <c r="AO116" s="133" t="str" cm="1">
        <f t="array" ref="AO11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6" s="335"/>
      <c r="AR116" s="336"/>
      <c r="AS116" s="335"/>
      <c r="AT116" s="337">
        <f>COUNTIF(tblSeverityAnalysis[[#This Row],[1 sector in severity phase 5 '[modify the threshold']]:[Manual Flag]], "Flagged")</f>
        <v>1</v>
      </c>
      <c r="AU116" s="338">
        <f>tblSeverityAnalysis[[#This Row],[Preliminary Intersectoral Severity based on overlap of sectoral deprivations]]</f>
        <v>1</v>
      </c>
      <c r="AV116" s="339"/>
    </row>
    <row r="117" spans="1:48" ht="15" hidden="1" customHeight="1">
      <c r="A11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MZ0906</v>
      </c>
      <c r="B117" s="39" t="s">
        <v>446</v>
      </c>
      <c r="C117" s="340" t="s">
        <v>447</v>
      </c>
      <c r="D117" s="340" t="s">
        <v>458</v>
      </c>
      <c r="E117" s="33" t="s">
        <v>459</v>
      </c>
      <c r="F117" s="33"/>
      <c r="G117" s="33"/>
      <c r="H117" s="20"/>
      <c r="I117" s="95">
        <v>873500</v>
      </c>
      <c r="J117" s="95"/>
      <c r="K117" s="321"/>
      <c r="L117" s="303"/>
      <c r="M117" s="303" t="s">
        <v>264</v>
      </c>
      <c r="N117" s="303"/>
      <c r="O117" s="372"/>
      <c r="P117" s="303">
        <v>0</v>
      </c>
      <c r="Q117" s="304"/>
      <c r="R117" s="303">
        <v>3</v>
      </c>
      <c r="S117" s="303"/>
      <c r="T117" s="303"/>
      <c r="U117" s="303"/>
      <c r="V117" s="303"/>
      <c r="W117" s="330" t="str">
        <f>IF(COUNTIF(tblSeverityAnalysis[[#This Row],[CCCM]:[WASH]], 1)=0, "", COUNTIF(tblSeverityAnalysis[[#This Row],[CCCM]:[WASH]], 1))</f>
        <v/>
      </c>
      <c r="X117" s="331" t="str">
        <f>IF(COUNTIF(tblSeverityAnalysis[[#This Row],[CCCM]:[WASH]], 2)=0, "", COUNTIF(tblSeverityAnalysis[[#This Row],[CCCM]:[WASH]], 2))</f>
        <v/>
      </c>
      <c r="Y117" s="331">
        <f>IF(COUNTIF(tblSeverityAnalysis[[#This Row],[CCCM]:[WASH]], 3)=0, "", COUNTIF(tblSeverityAnalysis[[#This Row],[CCCM]:[WASH]], 3))</f>
        <v>1</v>
      </c>
      <c r="Z117" s="331" t="str">
        <f>IF(COUNTIF(tblSeverityAnalysis[[#This Row],[CCCM]:[WASH]], 4)=0, "", COUNTIF(tblSeverityAnalysis[[#This Row],[CCCM]:[WASH]], 4))</f>
        <v/>
      </c>
      <c r="AA117" s="332" t="str">
        <f>IF(COUNTIF(tblSeverityAnalysis[[#This Row],[CCCM]:[WASH]], 5)=0, "", COUNTIF(tblSeverityAnalysis[[#This Row],[CCCM]:[WASH]], 5))</f>
        <v/>
      </c>
      <c r="AB117" s="59" cm="1">
        <f t="array" ref="AB11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7" s="41">
        <f>IFERROR(IF(INDEX(tblSeverityReference[Malnutrition Severity],MATCH(tblSeverityAnalysis[[#This Row],[ID]], tblSeverityReference[ID], 0))= "", "",INDEX(tblSeverityReference[Malnutrition Severity],MATCH(tblSeverityAnalysis[[#This Row],[ID]], tblSeverityReference[ID], 0)) ), "")</f>
        <v>3</v>
      </c>
      <c r="AE117" s="303">
        <f>IFERROR(IF(INDEX(tblSeverityReference[Epidemic Severity],MATCH(tblSeverityAnalysis[[#This Row],[ID]], tblSeverityReference[ID], 0))= "", "",INDEX(tblSeverityReference[Epidemic Severity],MATCH(tblSeverityAnalysis[[#This Row],[ID]], tblSeverityReference[ID], 0)) ), "")</f>
        <v>2.8235294117647061</v>
      </c>
      <c r="AF117" s="303" t="str">
        <f>IFERROR(IF(INDEX(tblSeverityReference[Coping Strategy Severity],MATCH(tblSeverityAnalysis[[#This Row],[ID]], tblSeverityReference[ID], 0))= "", "",INDEX(tblSeverityReference[Coping Strategy Severity],MATCH(tblSeverityAnalysis[[#This Row],[ID]], tblSeverityReference[ID], 0)) ), "")</f>
        <v/>
      </c>
      <c r="AG117" s="108" t="str">
        <f>IFERROR(IF(INDEX(tblSeverityReference[HR/IHL Violation],MATCH(tblSeverityAnalysis[[#This Row],[ID]], tblSeverityReference[ID], 0))= "", "",INDEX(tblSeverityReference[HR/IHL Violation],MATCH(tblSeverityAnalysis[[#This Row],[ID]], tblSeverityReference[ID], 0)) ), "")</f>
        <v/>
      </c>
      <c r="AH117" s="81">
        <f>IFERROR(AVERAGE(tblSeverityAnalysis[[#This Row],[CCCM]:[WASH]]), "")</f>
        <v>1.5</v>
      </c>
      <c r="AI117" s="27">
        <f>IF(SUM(tblSeverityAnalysis[[#This Row],[CCCM]:[WASH]])=0, "", MAX(tblSeverityAnalysis[[#This Row],[CCCM]:[WASH]]))</f>
        <v>3</v>
      </c>
      <c r="AJ117" s="333" t="str" cm="1">
        <f t="array" ref="AJ117">IFERROR(IF(tblSeverityAnalysis[[#This Row],[Highest Severity]]="", "", _xlfn.TEXTJOIN(CHAR(10), TRUE, IF(tblSeverityAnalysis[[#This Row],[CCCM]:[WASH]]=tblSeverityAnalysis[[#This Row],[Highest Severity]], tblSeverityAnalysis[[#Headers],[CCCM]:[WASH]], ""), "")), "")</f>
        <v>WASH</v>
      </c>
      <c r="AK117" s="27" cm="1">
        <f t="array" ref="AK117">IFERROR(MAX(_xlfn._xlws.FILTER(tblSeverityAnalysis[[#This Row],[CCCM]:[WASH]], tblSeverityAnalysis[[#This Row],[CCCM]:[WASH]]&lt;tblSeverityAnalysis[[#This Row],[Highest Severity]])), "")</f>
        <v>0</v>
      </c>
      <c r="AL117" s="313" t="str" cm="1">
        <f t="array" ref="AL11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17" s="132" t="str">
        <f>IFERROR(IF(AND(tblSeverityAnalysis[[#This Row],[5]] &lt;&gt; "", tblSeverityAnalysis[[#This Row],[5]]&gt;=sectors_sev_5), "Flagged", ""), "")</f>
        <v/>
      </c>
      <c r="AN117" s="133" t="str">
        <f>IFERROR(IF(AND(tblSeverityAnalysis[[#This Row],[Preliminary Intersectoral Severity based on overlap of sectoral deprivations]]=4, SUM(tblSeverityAnalysis[[#This Row],[ 4 ]:[5]])&gt;=sectors_sev_4), "Flagged", ""), "")</f>
        <v/>
      </c>
      <c r="AO117" s="133" t="str" cm="1">
        <f t="array" ref="AO11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7" s="335"/>
      <c r="AR117" s="336"/>
      <c r="AS117" s="335"/>
      <c r="AT117" s="337">
        <f>COUNTIF(tblSeverityAnalysis[[#This Row],[1 sector in severity phase 5 '[modify the threshold']]:[Manual Flag]], "Flagged")</f>
        <v>2</v>
      </c>
      <c r="AU117" s="338">
        <f>tblSeverityAnalysis[[#This Row],[Preliminary Intersectoral Severity based on overlap of sectoral deprivations]]</f>
        <v>1</v>
      </c>
      <c r="AV117" s="339"/>
    </row>
    <row r="118" spans="1:48" ht="15" hidden="1" customHeight="1">
      <c r="A11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MZ0907</v>
      </c>
      <c r="B118" s="39" t="s">
        <v>446</v>
      </c>
      <c r="C118" s="340" t="s">
        <v>447</v>
      </c>
      <c r="D118" s="340" t="s">
        <v>460</v>
      </c>
      <c r="E118" s="33" t="s">
        <v>461</v>
      </c>
      <c r="F118" s="33"/>
      <c r="G118" s="33"/>
      <c r="H118" s="20"/>
      <c r="I118" s="95">
        <v>270074</v>
      </c>
      <c r="J118" s="95"/>
      <c r="K118" s="321"/>
      <c r="L118" s="303"/>
      <c r="M118" s="303" t="s">
        <v>264</v>
      </c>
      <c r="N118" s="303"/>
      <c r="O118" s="372"/>
      <c r="P118" s="303">
        <v>0</v>
      </c>
      <c r="Q118" s="304"/>
      <c r="R118" s="303">
        <v>3</v>
      </c>
      <c r="S118" s="303"/>
      <c r="T118" s="303"/>
      <c r="U118" s="303"/>
      <c r="V118" s="303"/>
      <c r="W118" s="330" t="str">
        <f>IF(COUNTIF(tblSeverityAnalysis[[#This Row],[CCCM]:[WASH]], 1)=0, "", COUNTIF(tblSeverityAnalysis[[#This Row],[CCCM]:[WASH]], 1))</f>
        <v/>
      </c>
      <c r="X118" s="331" t="str">
        <f>IF(COUNTIF(tblSeverityAnalysis[[#This Row],[CCCM]:[WASH]], 2)=0, "", COUNTIF(tblSeverityAnalysis[[#This Row],[CCCM]:[WASH]], 2))</f>
        <v/>
      </c>
      <c r="Y118" s="331">
        <f>IF(COUNTIF(tblSeverityAnalysis[[#This Row],[CCCM]:[WASH]], 3)=0, "", COUNTIF(tblSeverityAnalysis[[#This Row],[CCCM]:[WASH]], 3))</f>
        <v>1</v>
      </c>
      <c r="Z118" s="331" t="str">
        <f>IF(COUNTIF(tblSeverityAnalysis[[#This Row],[CCCM]:[WASH]], 4)=0, "", COUNTIF(tblSeverityAnalysis[[#This Row],[CCCM]:[WASH]], 4))</f>
        <v/>
      </c>
      <c r="AA118" s="332" t="str">
        <f>IF(COUNTIF(tblSeverityAnalysis[[#This Row],[CCCM]:[WASH]], 5)=0, "", COUNTIF(tblSeverityAnalysis[[#This Row],[CCCM]:[WASH]], 5))</f>
        <v/>
      </c>
      <c r="AB118" s="59" cm="1">
        <f t="array" ref="AB11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8" s="41">
        <f>IFERROR(IF(INDEX(tblSeverityReference[Malnutrition Severity],MATCH(tblSeverityAnalysis[[#This Row],[ID]], tblSeverityReference[ID], 0))= "", "",INDEX(tblSeverityReference[Malnutrition Severity],MATCH(tblSeverityAnalysis[[#This Row],[ID]], tblSeverityReference[ID], 0)) ), "")</f>
        <v>2</v>
      </c>
      <c r="AE118" s="303">
        <f>IFERROR(IF(INDEX(tblSeverityReference[Epidemic Severity],MATCH(tblSeverityAnalysis[[#This Row],[ID]], tblSeverityReference[ID], 0))= "", "",INDEX(tblSeverityReference[Epidemic Severity],MATCH(tblSeverityAnalysis[[#This Row],[ID]], tblSeverityReference[ID], 0)) ), "")</f>
        <v>2.8235294117647061</v>
      </c>
      <c r="AF118" s="303" t="str">
        <f>IFERROR(IF(INDEX(tblSeverityReference[Coping Strategy Severity],MATCH(tblSeverityAnalysis[[#This Row],[ID]], tblSeverityReference[ID], 0))= "", "",INDEX(tblSeverityReference[Coping Strategy Severity],MATCH(tblSeverityAnalysis[[#This Row],[ID]], tblSeverityReference[ID], 0)) ), "")</f>
        <v/>
      </c>
      <c r="AG118" s="108" t="str">
        <f>IFERROR(IF(INDEX(tblSeverityReference[HR/IHL Violation],MATCH(tblSeverityAnalysis[[#This Row],[ID]], tblSeverityReference[ID], 0))= "", "",INDEX(tblSeverityReference[HR/IHL Violation],MATCH(tblSeverityAnalysis[[#This Row],[ID]], tblSeverityReference[ID], 0)) ), "")</f>
        <v/>
      </c>
      <c r="AH118" s="81">
        <f>IFERROR(AVERAGE(tblSeverityAnalysis[[#This Row],[CCCM]:[WASH]]), "")</f>
        <v>1.5</v>
      </c>
      <c r="AI118" s="27">
        <f>IF(SUM(tblSeverityAnalysis[[#This Row],[CCCM]:[WASH]])=0, "", MAX(tblSeverityAnalysis[[#This Row],[CCCM]:[WASH]]))</f>
        <v>3</v>
      </c>
      <c r="AJ118" s="333" t="str" cm="1">
        <f t="array" ref="AJ118">IFERROR(IF(tblSeverityAnalysis[[#This Row],[Highest Severity]]="", "", _xlfn.TEXTJOIN(CHAR(10), TRUE, IF(tblSeverityAnalysis[[#This Row],[CCCM]:[WASH]]=tblSeverityAnalysis[[#This Row],[Highest Severity]], tblSeverityAnalysis[[#Headers],[CCCM]:[WASH]], ""), "")), "")</f>
        <v>WASH</v>
      </c>
      <c r="AK118" s="27" cm="1">
        <f t="array" ref="AK118">IFERROR(MAX(_xlfn._xlws.FILTER(tblSeverityAnalysis[[#This Row],[CCCM]:[WASH]], tblSeverityAnalysis[[#This Row],[CCCM]:[WASH]]&lt;tblSeverityAnalysis[[#This Row],[Highest Severity]])), "")</f>
        <v>0</v>
      </c>
      <c r="AL118" s="313" t="str" cm="1">
        <f t="array" ref="AL11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18" s="132" t="str">
        <f>IFERROR(IF(AND(tblSeverityAnalysis[[#This Row],[5]] &lt;&gt; "", tblSeverityAnalysis[[#This Row],[5]]&gt;=sectors_sev_5), "Flagged", ""), "")</f>
        <v/>
      </c>
      <c r="AN118" s="133" t="str">
        <f>IFERROR(IF(AND(tblSeverityAnalysis[[#This Row],[Preliminary Intersectoral Severity based on overlap of sectoral deprivations]]=4, SUM(tblSeverityAnalysis[[#This Row],[ 4 ]:[5]])&gt;=sectors_sev_4), "Flagged", ""), "")</f>
        <v/>
      </c>
      <c r="AO118" s="133" t="str" cm="1">
        <f t="array" ref="AO11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8" s="335"/>
      <c r="AR118" s="336"/>
      <c r="AS118" s="335"/>
      <c r="AT118" s="337">
        <f>COUNTIF(tblSeverityAnalysis[[#This Row],[1 sector in severity phase 5 '[modify the threshold']]:[Manual Flag]], "Flagged")</f>
        <v>1</v>
      </c>
      <c r="AU118" s="338">
        <f>tblSeverityAnalysis[[#This Row],[Preliminary Intersectoral Severity based on overlap of sectoral deprivations]]</f>
        <v>1</v>
      </c>
      <c r="AV118" s="339"/>
    </row>
    <row r="119" spans="1:48" ht="15" hidden="1" customHeight="1">
      <c r="A11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MZ0908</v>
      </c>
      <c r="B119" s="39" t="s">
        <v>446</v>
      </c>
      <c r="C119" s="340" t="s">
        <v>447</v>
      </c>
      <c r="D119" s="340" t="s">
        <v>462</v>
      </c>
      <c r="E119" s="33" t="s">
        <v>463</v>
      </c>
      <c r="F119" s="33"/>
      <c r="G119" s="33"/>
      <c r="H119" s="20"/>
      <c r="I119" s="95">
        <v>220396</v>
      </c>
      <c r="J119" s="95"/>
      <c r="K119" s="321"/>
      <c r="L119" s="303"/>
      <c r="M119" s="303" t="s">
        <v>264</v>
      </c>
      <c r="N119" s="303"/>
      <c r="O119" s="372"/>
      <c r="P119" s="303">
        <v>0</v>
      </c>
      <c r="Q119" s="304"/>
      <c r="R119" s="303">
        <v>2</v>
      </c>
      <c r="S119" s="303"/>
      <c r="T119" s="303"/>
      <c r="U119" s="303"/>
      <c r="V119" s="303"/>
      <c r="W119" s="330" t="str">
        <f>IF(COUNTIF(tblSeverityAnalysis[[#This Row],[CCCM]:[WASH]], 1)=0, "", COUNTIF(tblSeverityAnalysis[[#This Row],[CCCM]:[WASH]], 1))</f>
        <v/>
      </c>
      <c r="X119" s="331">
        <f>IF(COUNTIF(tblSeverityAnalysis[[#This Row],[CCCM]:[WASH]], 2)=0, "", COUNTIF(tblSeverityAnalysis[[#This Row],[CCCM]:[WASH]], 2))</f>
        <v>1</v>
      </c>
      <c r="Y119" s="331" t="str">
        <f>IF(COUNTIF(tblSeverityAnalysis[[#This Row],[CCCM]:[WASH]], 3)=0, "", COUNTIF(tblSeverityAnalysis[[#This Row],[CCCM]:[WASH]], 3))</f>
        <v/>
      </c>
      <c r="Z119" s="331" t="str">
        <f>IF(COUNTIF(tblSeverityAnalysis[[#This Row],[CCCM]:[WASH]], 4)=0, "", COUNTIF(tblSeverityAnalysis[[#This Row],[CCCM]:[WASH]], 4))</f>
        <v/>
      </c>
      <c r="AA119" s="332" t="str">
        <f>IF(COUNTIF(tblSeverityAnalysis[[#This Row],[CCCM]:[WASH]], 5)=0, "", COUNTIF(tblSeverityAnalysis[[#This Row],[CCCM]:[WASH]], 5))</f>
        <v/>
      </c>
      <c r="AB119" s="59" cm="1">
        <f t="array" ref="AB11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1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9" s="41">
        <f>IFERROR(IF(INDEX(tblSeverityReference[Malnutrition Severity],MATCH(tblSeverityAnalysis[[#This Row],[ID]], tblSeverityReference[ID], 0))= "", "",INDEX(tblSeverityReference[Malnutrition Severity],MATCH(tblSeverityAnalysis[[#This Row],[ID]], tblSeverityReference[ID], 0)) ), "")</f>
        <v>2</v>
      </c>
      <c r="AE119" s="303">
        <f>IFERROR(IF(INDEX(tblSeverityReference[Epidemic Severity],MATCH(tblSeverityAnalysis[[#This Row],[ID]], tblSeverityReference[ID], 0))= "", "",INDEX(tblSeverityReference[Epidemic Severity],MATCH(tblSeverityAnalysis[[#This Row],[ID]], tblSeverityReference[ID], 0)) ), "")</f>
        <v>1.8235294117647056</v>
      </c>
      <c r="AF119" s="303" t="str">
        <f>IFERROR(IF(INDEX(tblSeverityReference[Coping Strategy Severity],MATCH(tblSeverityAnalysis[[#This Row],[ID]], tblSeverityReference[ID], 0))= "", "",INDEX(tblSeverityReference[Coping Strategy Severity],MATCH(tblSeverityAnalysis[[#This Row],[ID]], tblSeverityReference[ID], 0)) ), "")</f>
        <v/>
      </c>
      <c r="AG119" s="108" t="str">
        <f>IFERROR(IF(INDEX(tblSeverityReference[HR/IHL Violation],MATCH(tblSeverityAnalysis[[#This Row],[ID]], tblSeverityReference[ID], 0))= "", "",INDEX(tblSeverityReference[HR/IHL Violation],MATCH(tblSeverityAnalysis[[#This Row],[ID]], tblSeverityReference[ID], 0)) ), "")</f>
        <v/>
      </c>
      <c r="AH119" s="81">
        <f>IFERROR(AVERAGE(tblSeverityAnalysis[[#This Row],[CCCM]:[WASH]]), "")</f>
        <v>1</v>
      </c>
      <c r="AI119" s="27">
        <f>IF(SUM(tblSeverityAnalysis[[#This Row],[CCCM]:[WASH]])=0, "", MAX(tblSeverityAnalysis[[#This Row],[CCCM]:[WASH]]))</f>
        <v>2</v>
      </c>
      <c r="AJ119" s="333" t="str" cm="1">
        <f t="array" ref="AJ119">IFERROR(IF(tblSeverityAnalysis[[#This Row],[Highest Severity]]="", "", _xlfn.TEXTJOIN(CHAR(10), TRUE, IF(tblSeverityAnalysis[[#This Row],[CCCM]:[WASH]]=tblSeverityAnalysis[[#This Row],[Highest Severity]], tblSeverityAnalysis[[#Headers],[CCCM]:[WASH]], ""), "")), "")</f>
        <v>WASH</v>
      </c>
      <c r="AK119" s="27" cm="1">
        <f t="array" ref="AK119">IFERROR(MAX(_xlfn._xlws.FILTER(tblSeverityAnalysis[[#This Row],[CCCM]:[WASH]], tblSeverityAnalysis[[#This Row],[CCCM]:[WASH]]&lt;tblSeverityAnalysis[[#This Row],[Highest Severity]])), "")</f>
        <v>0</v>
      </c>
      <c r="AL119" s="313" t="str" cm="1">
        <f t="array" ref="AL11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19" s="132" t="str">
        <f>IFERROR(IF(AND(tblSeverityAnalysis[[#This Row],[5]] &lt;&gt; "", tblSeverityAnalysis[[#This Row],[5]]&gt;=sectors_sev_5), "Flagged", ""), "")</f>
        <v/>
      </c>
      <c r="AN119" s="133" t="str">
        <f>IFERROR(IF(AND(tblSeverityAnalysis[[#This Row],[Preliminary Intersectoral Severity based on overlap of sectoral deprivations]]=4, SUM(tblSeverityAnalysis[[#This Row],[ 4 ]:[5]])&gt;=sectors_sev_4), "Flagged", ""), "")</f>
        <v/>
      </c>
      <c r="AO119" s="133" t="str" cm="1">
        <f t="array" ref="AO11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9" s="335"/>
      <c r="AR119" s="336"/>
      <c r="AS119" s="335"/>
      <c r="AT119" s="337">
        <f>COUNTIF(tblSeverityAnalysis[[#This Row],[1 sector in severity phase 5 '[modify the threshold']]:[Manual Flag]], "Flagged")</f>
        <v>0</v>
      </c>
      <c r="AU119" s="338">
        <f>tblSeverityAnalysis[[#This Row],[Preliminary Intersectoral Severity based on overlap of sectoral deprivations]]</f>
        <v>1</v>
      </c>
      <c r="AV119" s="339"/>
    </row>
    <row r="120" spans="1:48" ht="15" hidden="1" customHeight="1">
      <c r="A12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MZ0909</v>
      </c>
      <c r="B120" s="39" t="s">
        <v>446</v>
      </c>
      <c r="C120" s="340" t="s">
        <v>447</v>
      </c>
      <c r="D120" s="340" t="s">
        <v>464</v>
      </c>
      <c r="E120" s="33" t="s">
        <v>465</v>
      </c>
      <c r="F120" s="33"/>
      <c r="G120" s="33"/>
      <c r="H120" s="20"/>
      <c r="I120" s="95">
        <v>73826</v>
      </c>
      <c r="J120" s="95"/>
      <c r="K120" s="321"/>
      <c r="L120" s="303"/>
      <c r="M120" s="303">
        <v>2</v>
      </c>
      <c r="N120" s="303">
        <v>2</v>
      </c>
      <c r="O120" s="372"/>
      <c r="P120" s="303">
        <v>0</v>
      </c>
      <c r="Q120" s="304"/>
      <c r="R120" s="303">
        <v>4</v>
      </c>
      <c r="S120" s="303"/>
      <c r="T120" s="303"/>
      <c r="U120" s="303"/>
      <c r="V120" s="303"/>
      <c r="W120" s="330" t="str">
        <f>IF(COUNTIF(tblSeverityAnalysis[[#This Row],[CCCM]:[WASH]], 1)=0, "", COUNTIF(tblSeverityAnalysis[[#This Row],[CCCM]:[WASH]], 1))</f>
        <v/>
      </c>
      <c r="X120" s="331">
        <f>IF(COUNTIF(tblSeverityAnalysis[[#This Row],[CCCM]:[WASH]], 2)=0, "", COUNTIF(tblSeverityAnalysis[[#This Row],[CCCM]:[WASH]], 2))</f>
        <v>2</v>
      </c>
      <c r="Y120" s="331" t="str">
        <f>IF(COUNTIF(tblSeverityAnalysis[[#This Row],[CCCM]:[WASH]], 3)=0, "", COUNTIF(tblSeverityAnalysis[[#This Row],[CCCM]:[WASH]], 3))</f>
        <v/>
      </c>
      <c r="Z120" s="331">
        <f>IF(COUNTIF(tblSeverityAnalysis[[#This Row],[CCCM]:[WASH]], 4)=0, "", COUNTIF(tblSeverityAnalysis[[#This Row],[CCCM]:[WASH]], 4))</f>
        <v>1</v>
      </c>
      <c r="AA120" s="332" t="str">
        <f>IF(COUNTIF(tblSeverityAnalysis[[#This Row],[CCCM]:[WASH]], 5)=0, "", COUNTIF(tblSeverityAnalysis[[#This Row],[CCCM]:[WASH]], 5))</f>
        <v/>
      </c>
      <c r="AB120" s="59" cm="1">
        <f t="array" ref="AB12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0" s="41">
        <f>IFERROR(IF(INDEX(tblSeverityReference[Malnutrition Severity],MATCH(tblSeverityAnalysis[[#This Row],[ID]], tblSeverityReference[ID], 0))= "", "",INDEX(tblSeverityReference[Malnutrition Severity],MATCH(tblSeverityAnalysis[[#This Row],[ID]], tblSeverityReference[ID], 0)) ), "")</f>
        <v>2</v>
      </c>
      <c r="AE120" s="303">
        <f>IFERROR(IF(INDEX(tblSeverityReference[Epidemic Severity],MATCH(tblSeverityAnalysis[[#This Row],[ID]], tblSeverityReference[ID], 0))= "", "",INDEX(tblSeverityReference[Epidemic Severity],MATCH(tblSeverityAnalysis[[#This Row],[ID]], tblSeverityReference[ID], 0)) ), "")</f>
        <v>2.2352941176470589</v>
      </c>
      <c r="AF120" s="303">
        <f>IFERROR(IF(INDEX(tblSeverityReference[Coping Strategy Severity],MATCH(tblSeverityAnalysis[[#This Row],[ID]], tblSeverityReference[ID], 0))= "", "",INDEX(tblSeverityReference[Coping Strategy Severity],MATCH(tblSeverityAnalysis[[#This Row],[ID]], tblSeverityReference[ID], 0)) ), "")</f>
        <v>2</v>
      </c>
      <c r="AG120" s="108" t="str">
        <f>IFERROR(IF(INDEX(tblSeverityReference[HR/IHL Violation],MATCH(tblSeverityAnalysis[[#This Row],[ID]], tblSeverityReference[ID], 0))= "", "",INDEX(tblSeverityReference[HR/IHL Violation],MATCH(tblSeverityAnalysis[[#This Row],[ID]], tblSeverityReference[ID], 0)) ), "")</f>
        <v/>
      </c>
      <c r="AH120" s="81">
        <f>IFERROR(AVERAGE(tblSeverityAnalysis[[#This Row],[CCCM]:[WASH]]), "")</f>
        <v>2</v>
      </c>
      <c r="AI120" s="27">
        <f>IF(SUM(tblSeverityAnalysis[[#This Row],[CCCM]:[WASH]])=0, "", MAX(tblSeverityAnalysis[[#This Row],[CCCM]:[WASH]]))</f>
        <v>4</v>
      </c>
      <c r="AJ120" s="333" t="str" cm="1">
        <f t="array" ref="AJ120">IFERROR(IF(tblSeverityAnalysis[[#This Row],[Highest Severity]]="", "", _xlfn.TEXTJOIN(CHAR(10), TRUE, IF(tblSeverityAnalysis[[#This Row],[CCCM]:[WASH]]=tblSeverityAnalysis[[#This Row],[Highest Severity]], tblSeverityAnalysis[[#Headers],[CCCM]:[WASH]], ""), "")), "")</f>
        <v>WASH</v>
      </c>
      <c r="AK120" s="27" cm="1">
        <f t="array" ref="AK120">IFERROR(MAX(_xlfn._xlws.FILTER(tblSeverityAnalysis[[#This Row],[CCCM]:[WASH]], tblSeverityAnalysis[[#This Row],[CCCM]:[WASH]]&lt;tblSeverityAnalysis[[#This Row],[Highest Severity]])), "")</f>
        <v>2</v>
      </c>
      <c r="AL120" s="313" t="str" cm="1">
        <f t="array" ref="AL120">IFERROR(IF(tblSeverityAnalysis[[#This Row],[2nd Highest Severity]]="", "", _xlfn.TEXTJOIN(CHAR(10), TRUE, IF(tblSeverityAnalysis[[#This Row],[CCCM]:[WASH]]=tblSeverityAnalysis[[#This Row],[2nd Highest Severity]], tblSeverityAnalysis[[#Headers],[CCCM]:[WASH]], ""), "")), "")</f>
        <v>Nutrition
Food Security</v>
      </c>
      <c r="AM120" s="132" t="str">
        <f>IFERROR(IF(AND(tblSeverityAnalysis[[#This Row],[5]] &lt;&gt; "", tblSeverityAnalysis[[#This Row],[5]]&gt;=sectors_sev_5), "Flagged", ""), "")</f>
        <v/>
      </c>
      <c r="AN120" s="133" t="str">
        <f>IFERROR(IF(AND(tblSeverityAnalysis[[#This Row],[Preliminary Intersectoral Severity based on overlap of sectoral deprivations]]=4, SUM(tblSeverityAnalysis[[#This Row],[ 4 ]:[5]])&gt;=sectors_sev_4), "Flagged", ""), "")</f>
        <v/>
      </c>
      <c r="AO120" s="133" t="str" cm="1">
        <f t="array" ref="AO12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0" s="335"/>
      <c r="AR120" s="336"/>
      <c r="AS120" s="335"/>
      <c r="AT120" s="337">
        <f>COUNTIF(tblSeverityAnalysis[[#This Row],[1 sector in severity phase 5 '[modify the threshold']]:[Manual Flag]], "Flagged")</f>
        <v>1</v>
      </c>
      <c r="AU120" s="338">
        <f>tblSeverityAnalysis[[#This Row],[Preliminary Intersectoral Severity based on overlap of sectoral deprivations]]</f>
        <v>1</v>
      </c>
      <c r="AV120" s="339"/>
    </row>
    <row r="121" spans="1:48" ht="15" hidden="1" customHeight="1">
      <c r="A12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MZ0910</v>
      </c>
      <c r="B121" s="39" t="s">
        <v>446</v>
      </c>
      <c r="C121" s="340" t="s">
        <v>447</v>
      </c>
      <c r="D121" s="340" t="s">
        <v>466</v>
      </c>
      <c r="E121" s="33" t="s">
        <v>467</v>
      </c>
      <c r="F121" s="33"/>
      <c r="G121" s="33"/>
      <c r="H121" s="20"/>
      <c r="I121" s="95">
        <v>106978</v>
      </c>
      <c r="J121" s="95"/>
      <c r="K121" s="321"/>
      <c r="L121" s="303"/>
      <c r="M121" s="303">
        <v>2</v>
      </c>
      <c r="N121" s="303"/>
      <c r="O121" s="372"/>
      <c r="P121" s="303">
        <v>0</v>
      </c>
      <c r="Q121" s="304"/>
      <c r="R121" s="303">
        <v>3</v>
      </c>
      <c r="S121" s="303"/>
      <c r="T121" s="303"/>
      <c r="U121" s="303"/>
      <c r="V121" s="303"/>
      <c r="W121" s="330" t="str">
        <f>IF(COUNTIF(tblSeverityAnalysis[[#This Row],[CCCM]:[WASH]], 1)=0, "", COUNTIF(tblSeverityAnalysis[[#This Row],[CCCM]:[WASH]], 1))</f>
        <v/>
      </c>
      <c r="X121" s="331">
        <f>IF(COUNTIF(tblSeverityAnalysis[[#This Row],[CCCM]:[WASH]], 2)=0, "", COUNTIF(tblSeverityAnalysis[[#This Row],[CCCM]:[WASH]], 2))</f>
        <v>1</v>
      </c>
      <c r="Y121" s="331">
        <f>IF(COUNTIF(tblSeverityAnalysis[[#This Row],[CCCM]:[WASH]], 3)=0, "", COUNTIF(tblSeverityAnalysis[[#This Row],[CCCM]:[WASH]], 3))</f>
        <v>1</v>
      </c>
      <c r="Z121" s="331" t="str">
        <f>IF(COUNTIF(tblSeverityAnalysis[[#This Row],[CCCM]:[WASH]], 4)=0, "", COUNTIF(tblSeverityAnalysis[[#This Row],[CCCM]:[WASH]], 4))</f>
        <v/>
      </c>
      <c r="AA121" s="332" t="str">
        <f>IF(COUNTIF(tblSeverityAnalysis[[#This Row],[CCCM]:[WASH]], 5)=0, "", COUNTIF(tblSeverityAnalysis[[#This Row],[CCCM]:[WASH]], 5))</f>
        <v/>
      </c>
      <c r="AB121" s="59" cm="1">
        <f t="array" ref="AB12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1" s="41">
        <f>IFERROR(IF(INDEX(tblSeverityReference[Malnutrition Severity],MATCH(tblSeverityAnalysis[[#This Row],[ID]], tblSeverityReference[ID], 0))= "", "",INDEX(tblSeverityReference[Malnutrition Severity],MATCH(tblSeverityAnalysis[[#This Row],[ID]], tblSeverityReference[ID], 0)) ), "")</f>
        <v>2</v>
      </c>
      <c r="AE121" s="303">
        <f>IFERROR(IF(INDEX(tblSeverityReference[Epidemic Severity],MATCH(tblSeverityAnalysis[[#This Row],[ID]], tblSeverityReference[ID], 0))= "", "",INDEX(tblSeverityReference[Epidemic Severity],MATCH(tblSeverityAnalysis[[#This Row],[ID]], tblSeverityReference[ID], 0)) ), "")</f>
        <v>1.5882352941176472</v>
      </c>
      <c r="AF121" s="303" t="str">
        <f>IFERROR(IF(INDEX(tblSeverityReference[Coping Strategy Severity],MATCH(tblSeverityAnalysis[[#This Row],[ID]], tblSeverityReference[ID], 0))= "", "",INDEX(tblSeverityReference[Coping Strategy Severity],MATCH(tblSeverityAnalysis[[#This Row],[ID]], tblSeverityReference[ID], 0)) ), "")</f>
        <v/>
      </c>
      <c r="AG121" s="108" t="str">
        <f>IFERROR(IF(INDEX(tblSeverityReference[HR/IHL Violation],MATCH(tblSeverityAnalysis[[#This Row],[ID]], tblSeverityReference[ID], 0))= "", "",INDEX(tblSeverityReference[HR/IHL Violation],MATCH(tblSeverityAnalysis[[#This Row],[ID]], tblSeverityReference[ID], 0)) ), "")</f>
        <v/>
      </c>
      <c r="AH121" s="81">
        <f>IFERROR(AVERAGE(tblSeverityAnalysis[[#This Row],[CCCM]:[WASH]]), "")</f>
        <v>1.6666666666666667</v>
      </c>
      <c r="AI121" s="27">
        <f>IF(SUM(tblSeverityAnalysis[[#This Row],[CCCM]:[WASH]])=0, "", MAX(tblSeverityAnalysis[[#This Row],[CCCM]:[WASH]]))</f>
        <v>3</v>
      </c>
      <c r="AJ121" s="333" t="str" cm="1">
        <f t="array" ref="AJ121">IFERROR(IF(tblSeverityAnalysis[[#This Row],[Highest Severity]]="", "", _xlfn.TEXTJOIN(CHAR(10), TRUE, IF(tblSeverityAnalysis[[#This Row],[CCCM]:[WASH]]=tblSeverityAnalysis[[#This Row],[Highest Severity]], tblSeverityAnalysis[[#Headers],[CCCM]:[WASH]], ""), "")), "")</f>
        <v>WASH</v>
      </c>
      <c r="AK121" s="27" cm="1">
        <f t="array" ref="AK121">IFERROR(MAX(_xlfn._xlws.FILTER(tblSeverityAnalysis[[#This Row],[CCCM]:[WASH]], tblSeverityAnalysis[[#This Row],[CCCM]:[WASH]]&lt;tblSeverityAnalysis[[#This Row],[Highest Severity]])), "")</f>
        <v>2</v>
      </c>
      <c r="AL121" s="313" t="str" cm="1">
        <f t="array" ref="AL121">IFERROR(IF(tblSeverityAnalysis[[#This Row],[2nd Highest Severity]]="", "", _xlfn.TEXTJOIN(CHAR(10), TRUE, IF(tblSeverityAnalysis[[#This Row],[CCCM]:[WASH]]=tblSeverityAnalysis[[#This Row],[2nd Highest Severity]], tblSeverityAnalysis[[#Headers],[CCCM]:[WASH]], ""), "")), "")</f>
        <v>Nutrition</v>
      </c>
      <c r="AM121" s="132" t="str">
        <f>IFERROR(IF(AND(tblSeverityAnalysis[[#This Row],[5]] &lt;&gt; "", tblSeverityAnalysis[[#This Row],[5]]&gt;=sectors_sev_5), "Flagged", ""), "")</f>
        <v/>
      </c>
      <c r="AN121" s="133" t="str">
        <f>IFERROR(IF(AND(tblSeverityAnalysis[[#This Row],[Preliminary Intersectoral Severity based on overlap of sectoral deprivations]]=4, SUM(tblSeverityAnalysis[[#This Row],[ 4 ]:[5]])&gt;=sectors_sev_4), "Flagged", ""), "")</f>
        <v/>
      </c>
      <c r="AO121" s="133" t="str" cm="1">
        <f t="array" ref="AO12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1" s="335"/>
      <c r="AR121" s="336"/>
      <c r="AS121" s="335"/>
      <c r="AT121" s="337">
        <f>COUNTIF(tblSeverityAnalysis[[#This Row],[1 sector in severity phase 5 '[modify the threshold']]:[Manual Flag]], "Flagged")</f>
        <v>0</v>
      </c>
      <c r="AU121" s="338">
        <f>tblSeverityAnalysis[[#This Row],[Preliminary Intersectoral Severity based on overlap of sectoral deprivations]]</f>
        <v>1</v>
      </c>
      <c r="AV121" s="339"/>
    </row>
    <row r="122" spans="1:48" ht="15" hidden="1" customHeight="1">
      <c r="A12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MZ0911</v>
      </c>
      <c r="B122" s="39" t="s">
        <v>446</v>
      </c>
      <c r="C122" s="340" t="s">
        <v>447</v>
      </c>
      <c r="D122" s="340" t="s">
        <v>468</v>
      </c>
      <c r="E122" s="33" t="s">
        <v>469</v>
      </c>
      <c r="F122" s="33"/>
      <c r="G122" s="33"/>
      <c r="H122" s="20"/>
      <c r="I122" s="95">
        <v>195744</v>
      </c>
      <c r="J122" s="95"/>
      <c r="K122" s="321"/>
      <c r="L122" s="303"/>
      <c r="M122" s="303" t="s">
        <v>264</v>
      </c>
      <c r="N122" s="303"/>
      <c r="O122" s="372"/>
      <c r="P122" s="303">
        <v>0</v>
      </c>
      <c r="Q122" s="304"/>
      <c r="R122" s="303">
        <v>4</v>
      </c>
      <c r="S122" s="303"/>
      <c r="T122" s="303"/>
      <c r="U122" s="303"/>
      <c r="V122" s="303"/>
      <c r="W122" s="330" t="str">
        <f>IF(COUNTIF(tblSeverityAnalysis[[#This Row],[CCCM]:[WASH]], 1)=0, "", COUNTIF(tblSeverityAnalysis[[#This Row],[CCCM]:[WASH]], 1))</f>
        <v/>
      </c>
      <c r="X122" s="331" t="str">
        <f>IF(COUNTIF(tblSeverityAnalysis[[#This Row],[CCCM]:[WASH]], 2)=0, "", COUNTIF(tblSeverityAnalysis[[#This Row],[CCCM]:[WASH]], 2))</f>
        <v/>
      </c>
      <c r="Y122" s="331" t="str">
        <f>IF(COUNTIF(tblSeverityAnalysis[[#This Row],[CCCM]:[WASH]], 3)=0, "", COUNTIF(tblSeverityAnalysis[[#This Row],[CCCM]:[WASH]], 3))</f>
        <v/>
      </c>
      <c r="Z122" s="331">
        <f>IF(COUNTIF(tblSeverityAnalysis[[#This Row],[CCCM]:[WASH]], 4)=0, "", COUNTIF(tblSeverityAnalysis[[#This Row],[CCCM]:[WASH]], 4))</f>
        <v>1</v>
      </c>
      <c r="AA122" s="332" t="str">
        <f>IF(COUNTIF(tblSeverityAnalysis[[#This Row],[CCCM]:[WASH]], 5)=0, "", COUNTIF(tblSeverityAnalysis[[#This Row],[CCCM]:[WASH]], 5))</f>
        <v/>
      </c>
      <c r="AB122" s="59" cm="1">
        <f t="array" ref="AB12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2" s="41">
        <f>IFERROR(IF(INDEX(tblSeverityReference[Malnutrition Severity],MATCH(tblSeverityAnalysis[[#This Row],[ID]], tblSeverityReference[ID], 0))= "", "",INDEX(tblSeverityReference[Malnutrition Severity],MATCH(tblSeverityAnalysis[[#This Row],[ID]], tblSeverityReference[ID], 0)) ), "")</f>
        <v>2</v>
      </c>
      <c r="AE122" s="303">
        <f>IFERROR(IF(INDEX(tblSeverityReference[Epidemic Severity],MATCH(tblSeverityAnalysis[[#This Row],[ID]], tblSeverityReference[ID], 0))= "", "",INDEX(tblSeverityReference[Epidemic Severity],MATCH(tblSeverityAnalysis[[#This Row],[ID]], tblSeverityReference[ID], 0)) ), "")</f>
        <v>2.2352941176470589</v>
      </c>
      <c r="AF122" s="303" t="str">
        <f>IFERROR(IF(INDEX(tblSeverityReference[Coping Strategy Severity],MATCH(tblSeverityAnalysis[[#This Row],[ID]], tblSeverityReference[ID], 0))= "", "",INDEX(tblSeverityReference[Coping Strategy Severity],MATCH(tblSeverityAnalysis[[#This Row],[ID]], tblSeverityReference[ID], 0)) ), "")</f>
        <v/>
      </c>
      <c r="AG122" s="108" t="str">
        <f>IFERROR(IF(INDEX(tblSeverityReference[HR/IHL Violation],MATCH(tblSeverityAnalysis[[#This Row],[ID]], tblSeverityReference[ID], 0))= "", "",INDEX(tblSeverityReference[HR/IHL Violation],MATCH(tblSeverityAnalysis[[#This Row],[ID]], tblSeverityReference[ID], 0)) ), "")</f>
        <v/>
      </c>
      <c r="AH122" s="81">
        <f>IFERROR(AVERAGE(tblSeverityAnalysis[[#This Row],[CCCM]:[WASH]]), "")</f>
        <v>2</v>
      </c>
      <c r="AI122" s="27">
        <f>IF(SUM(tblSeverityAnalysis[[#This Row],[CCCM]:[WASH]])=0, "", MAX(tblSeverityAnalysis[[#This Row],[CCCM]:[WASH]]))</f>
        <v>4</v>
      </c>
      <c r="AJ122" s="333" t="str" cm="1">
        <f t="array" ref="AJ122">IFERROR(IF(tblSeverityAnalysis[[#This Row],[Highest Severity]]="", "", _xlfn.TEXTJOIN(CHAR(10), TRUE, IF(tblSeverityAnalysis[[#This Row],[CCCM]:[WASH]]=tblSeverityAnalysis[[#This Row],[Highest Severity]], tblSeverityAnalysis[[#Headers],[CCCM]:[WASH]], ""), "")), "")</f>
        <v>WASH</v>
      </c>
      <c r="AK122" s="27" cm="1">
        <f t="array" ref="AK122">IFERROR(MAX(_xlfn._xlws.FILTER(tblSeverityAnalysis[[#This Row],[CCCM]:[WASH]], tblSeverityAnalysis[[#This Row],[CCCM]:[WASH]]&lt;tblSeverityAnalysis[[#This Row],[Highest Severity]])), "")</f>
        <v>0</v>
      </c>
      <c r="AL122" s="313" t="str" cm="1">
        <f t="array" ref="AL12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22" s="132" t="str">
        <f>IFERROR(IF(AND(tblSeverityAnalysis[[#This Row],[5]] &lt;&gt; "", tblSeverityAnalysis[[#This Row],[5]]&gt;=sectors_sev_5), "Flagged", ""), "")</f>
        <v/>
      </c>
      <c r="AN122" s="133" t="str">
        <f>IFERROR(IF(AND(tblSeverityAnalysis[[#This Row],[Preliminary Intersectoral Severity based on overlap of sectoral deprivations]]=4, SUM(tblSeverityAnalysis[[#This Row],[ 4 ]:[5]])&gt;=sectors_sev_4), "Flagged", ""), "")</f>
        <v/>
      </c>
      <c r="AO122" s="133" t="str" cm="1">
        <f t="array" ref="AO12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2" s="335"/>
      <c r="AR122" s="336"/>
      <c r="AS122" s="335"/>
      <c r="AT122" s="337">
        <f>COUNTIF(tblSeverityAnalysis[[#This Row],[1 sector in severity phase 5 '[modify the threshold']]:[Manual Flag]], "Flagged")</f>
        <v>1</v>
      </c>
      <c r="AU122" s="338">
        <f>tblSeverityAnalysis[[#This Row],[Preliminary Intersectoral Severity based on overlap of sectoral deprivations]]</f>
        <v>1</v>
      </c>
      <c r="AV122" s="339"/>
    </row>
    <row r="123" spans="1:48" ht="15" hidden="1" customHeight="1">
      <c r="A12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MZ0912</v>
      </c>
      <c r="B123" s="39" t="s">
        <v>446</v>
      </c>
      <c r="C123" s="340" t="s">
        <v>447</v>
      </c>
      <c r="D123" s="340" t="s">
        <v>470</v>
      </c>
      <c r="E123" s="33" t="s">
        <v>471</v>
      </c>
      <c r="F123" s="33"/>
      <c r="G123" s="33"/>
      <c r="H123" s="20"/>
      <c r="I123" s="95">
        <v>46564</v>
      </c>
      <c r="J123" s="95"/>
      <c r="K123" s="321"/>
      <c r="L123" s="303"/>
      <c r="M123" s="303">
        <v>2</v>
      </c>
      <c r="N123" s="303">
        <v>3</v>
      </c>
      <c r="O123" s="372"/>
      <c r="P123" s="303">
        <v>0</v>
      </c>
      <c r="Q123" s="304"/>
      <c r="R123" s="303">
        <v>4</v>
      </c>
      <c r="S123" s="303"/>
      <c r="T123" s="303"/>
      <c r="U123" s="303"/>
      <c r="V123" s="303"/>
      <c r="W123" s="330" t="str">
        <f>IF(COUNTIF(tblSeverityAnalysis[[#This Row],[CCCM]:[WASH]], 1)=0, "", COUNTIF(tblSeverityAnalysis[[#This Row],[CCCM]:[WASH]], 1))</f>
        <v/>
      </c>
      <c r="X123" s="331">
        <f>IF(COUNTIF(tblSeverityAnalysis[[#This Row],[CCCM]:[WASH]], 2)=0, "", COUNTIF(tblSeverityAnalysis[[#This Row],[CCCM]:[WASH]], 2))</f>
        <v>1</v>
      </c>
      <c r="Y123" s="331">
        <f>IF(COUNTIF(tblSeverityAnalysis[[#This Row],[CCCM]:[WASH]], 3)=0, "", COUNTIF(tblSeverityAnalysis[[#This Row],[CCCM]:[WASH]], 3))</f>
        <v>1</v>
      </c>
      <c r="Z123" s="331">
        <f>IF(COUNTIF(tblSeverityAnalysis[[#This Row],[CCCM]:[WASH]], 4)=0, "", COUNTIF(tblSeverityAnalysis[[#This Row],[CCCM]:[WASH]], 4))</f>
        <v>1</v>
      </c>
      <c r="AA123" s="332" t="str">
        <f>IF(COUNTIF(tblSeverityAnalysis[[#This Row],[CCCM]:[WASH]], 5)=0, "", COUNTIF(tblSeverityAnalysis[[#This Row],[CCCM]:[WASH]], 5))</f>
        <v/>
      </c>
      <c r="AB123" s="59" cm="1">
        <f t="array" ref="AB12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3" s="41">
        <f>IFERROR(IF(INDEX(tblSeverityReference[Malnutrition Severity],MATCH(tblSeverityAnalysis[[#This Row],[ID]], tblSeverityReference[ID], 0))= "", "",INDEX(tblSeverityReference[Malnutrition Severity],MATCH(tblSeverityAnalysis[[#This Row],[ID]], tblSeverityReference[ID], 0)) ), "")</f>
        <v>2</v>
      </c>
      <c r="AE123" s="303">
        <f>IFERROR(IF(INDEX(tblSeverityReference[Epidemic Severity],MATCH(tblSeverityAnalysis[[#This Row],[ID]], tblSeverityReference[ID], 0))= "", "",INDEX(tblSeverityReference[Epidemic Severity],MATCH(tblSeverityAnalysis[[#This Row],[ID]], tblSeverityReference[ID], 0)) ), "")</f>
        <v>2.4117647058823528</v>
      </c>
      <c r="AF123" s="303">
        <f>IFERROR(IF(INDEX(tblSeverityReference[Coping Strategy Severity],MATCH(tblSeverityAnalysis[[#This Row],[ID]], tblSeverityReference[ID], 0))= "", "",INDEX(tblSeverityReference[Coping Strategy Severity],MATCH(tblSeverityAnalysis[[#This Row],[ID]], tblSeverityReference[ID], 0)) ), "")</f>
        <v>3</v>
      </c>
      <c r="AG123" s="108" t="str">
        <f>IFERROR(IF(INDEX(tblSeverityReference[HR/IHL Violation],MATCH(tblSeverityAnalysis[[#This Row],[ID]], tblSeverityReference[ID], 0))= "", "",INDEX(tblSeverityReference[HR/IHL Violation],MATCH(tblSeverityAnalysis[[#This Row],[ID]], tblSeverityReference[ID], 0)) ), "")</f>
        <v/>
      </c>
      <c r="AH123" s="81">
        <f>IFERROR(AVERAGE(tblSeverityAnalysis[[#This Row],[CCCM]:[WASH]]), "")</f>
        <v>2.25</v>
      </c>
      <c r="AI123" s="27">
        <f>IF(SUM(tblSeverityAnalysis[[#This Row],[CCCM]:[WASH]])=0, "", MAX(tblSeverityAnalysis[[#This Row],[CCCM]:[WASH]]))</f>
        <v>4</v>
      </c>
      <c r="AJ123" s="333" t="str" cm="1">
        <f t="array" ref="AJ123">IFERROR(IF(tblSeverityAnalysis[[#This Row],[Highest Severity]]="", "", _xlfn.TEXTJOIN(CHAR(10), TRUE, IF(tblSeverityAnalysis[[#This Row],[CCCM]:[WASH]]=tblSeverityAnalysis[[#This Row],[Highest Severity]], tblSeverityAnalysis[[#Headers],[CCCM]:[WASH]], ""), "")), "")</f>
        <v>WASH</v>
      </c>
      <c r="AK123" s="27" cm="1">
        <f t="array" ref="AK123">IFERROR(MAX(_xlfn._xlws.FILTER(tblSeverityAnalysis[[#This Row],[CCCM]:[WASH]], tblSeverityAnalysis[[#This Row],[CCCM]:[WASH]]&lt;tblSeverityAnalysis[[#This Row],[Highest Severity]])), "")</f>
        <v>3</v>
      </c>
      <c r="AL123" s="313" t="str" cm="1">
        <f t="array" ref="AL123">IFERROR(IF(tblSeverityAnalysis[[#This Row],[2nd Highest Severity]]="", "", _xlfn.TEXTJOIN(CHAR(10), TRUE, IF(tblSeverityAnalysis[[#This Row],[CCCM]:[WASH]]=tblSeverityAnalysis[[#This Row],[2nd Highest Severity]], tblSeverityAnalysis[[#Headers],[CCCM]:[WASH]], ""), "")), "")</f>
        <v>Food Security</v>
      </c>
      <c r="AM123" s="132" t="str">
        <f>IFERROR(IF(AND(tblSeverityAnalysis[[#This Row],[5]] &lt;&gt; "", tblSeverityAnalysis[[#This Row],[5]]&gt;=sectors_sev_5), "Flagged", ""), "")</f>
        <v/>
      </c>
      <c r="AN123" s="133" t="str">
        <f>IFERROR(IF(AND(tblSeverityAnalysis[[#This Row],[Preliminary Intersectoral Severity based on overlap of sectoral deprivations]]=4, SUM(tblSeverityAnalysis[[#This Row],[ 4 ]:[5]])&gt;=sectors_sev_4), "Flagged", ""), "")</f>
        <v/>
      </c>
      <c r="AO123" s="133" t="str" cm="1">
        <f t="array" ref="AO12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3" s="335"/>
      <c r="AR123" s="336"/>
      <c r="AS123" s="335"/>
      <c r="AT123" s="337">
        <f>COUNTIF(tblSeverityAnalysis[[#This Row],[1 sector in severity phase 5 '[modify the threshold']]:[Manual Flag]], "Flagged")</f>
        <v>2</v>
      </c>
      <c r="AU123" s="338">
        <f>tblSeverityAnalysis[[#This Row],[Preliminary Intersectoral Severity based on overlap of sectoral deprivations]]</f>
        <v>1</v>
      </c>
      <c r="AV123" s="339"/>
    </row>
    <row r="124" spans="1:48" ht="15" hidden="1" customHeight="1">
      <c r="A12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MZ0913</v>
      </c>
      <c r="B124" s="39" t="s">
        <v>446</v>
      </c>
      <c r="C124" s="340" t="s">
        <v>447</v>
      </c>
      <c r="D124" s="340" t="s">
        <v>472</v>
      </c>
      <c r="E124" s="33" t="s">
        <v>473</v>
      </c>
      <c r="F124" s="33"/>
      <c r="G124" s="33"/>
      <c r="H124" s="20"/>
      <c r="I124" s="95">
        <v>364464</v>
      </c>
      <c r="J124" s="95"/>
      <c r="K124" s="321"/>
      <c r="L124" s="303"/>
      <c r="M124" s="303">
        <v>2</v>
      </c>
      <c r="N124" s="303"/>
      <c r="O124" s="372"/>
      <c r="P124" s="303">
        <v>0</v>
      </c>
      <c r="Q124" s="304"/>
      <c r="R124" s="303">
        <v>3</v>
      </c>
      <c r="S124" s="303"/>
      <c r="T124" s="303"/>
      <c r="U124" s="303"/>
      <c r="V124" s="303"/>
      <c r="W124" s="330" t="str">
        <f>IF(COUNTIF(tblSeverityAnalysis[[#This Row],[CCCM]:[WASH]], 1)=0, "", COUNTIF(tblSeverityAnalysis[[#This Row],[CCCM]:[WASH]], 1))</f>
        <v/>
      </c>
      <c r="X124" s="331">
        <f>IF(COUNTIF(tblSeverityAnalysis[[#This Row],[CCCM]:[WASH]], 2)=0, "", COUNTIF(tblSeverityAnalysis[[#This Row],[CCCM]:[WASH]], 2))</f>
        <v>1</v>
      </c>
      <c r="Y124" s="331">
        <f>IF(COUNTIF(tblSeverityAnalysis[[#This Row],[CCCM]:[WASH]], 3)=0, "", COUNTIF(tblSeverityAnalysis[[#This Row],[CCCM]:[WASH]], 3))</f>
        <v>1</v>
      </c>
      <c r="Z124" s="331" t="str">
        <f>IF(COUNTIF(tblSeverityAnalysis[[#This Row],[CCCM]:[WASH]], 4)=0, "", COUNTIF(tblSeverityAnalysis[[#This Row],[CCCM]:[WASH]], 4))</f>
        <v/>
      </c>
      <c r="AA124" s="332" t="str">
        <f>IF(COUNTIF(tblSeverityAnalysis[[#This Row],[CCCM]:[WASH]], 5)=0, "", COUNTIF(tblSeverityAnalysis[[#This Row],[CCCM]:[WASH]], 5))</f>
        <v/>
      </c>
      <c r="AB124" s="59" cm="1">
        <f t="array" ref="AB12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4" s="41">
        <f>IFERROR(IF(INDEX(tblSeverityReference[Malnutrition Severity],MATCH(tblSeverityAnalysis[[#This Row],[ID]], tblSeverityReference[ID], 0))= "", "",INDEX(tblSeverityReference[Malnutrition Severity],MATCH(tblSeverityAnalysis[[#This Row],[ID]], tblSeverityReference[ID], 0)) ), "")</f>
        <v>2</v>
      </c>
      <c r="AE124" s="303">
        <f>IFERROR(IF(INDEX(tblSeverityReference[Epidemic Severity],MATCH(tblSeverityAnalysis[[#This Row],[ID]], tblSeverityReference[ID], 0))= "", "",INDEX(tblSeverityReference[Epidemic Severity],MATCH(tblSeverityAnalysis[[#This Row],[ID]], tblSeverityReference[ID], 0)) ), "")</f>
        <v>2.4117647058823528</v>
      </c>
      <c r="AF124" s="303" t="str">
        <f>IFERROR(IF(INDEX(tblSeverityReference[Coping Strategy Severity],MATCH(tblSeverityAnalysis[[#This Row],[ID]], tblSeverityReference[ID], 0))= "", "",INDEX(tblSeverityReference[Coping Strategy Severity],MATCH(tblSeverityAnalysis[[#This Row],[ID]], tblSeverityReference[ID], 0)) ), "")</f>
        <v/>
      </c>
      <c r="AG124" s="108" t="str">
        <f>IFERROR(IF(INDEX(tblSeverityReference[HR/IHL Violation],MATCH(tblSeverityAnalysis[[#This Row],[ID]], tblSeverityReference[ID], 0))= "", "",INDEX(tblSeverityReference[HR/IHL Violation],MATCH(tblSeverityAnalysis[[#This Row],[ID]], tblSeverityReference[ID], 0)) ), "")</f>
        <v/>
      </c>
      <c r="AH124" s="81">
        <f>IFERROR(AVERAGE(tblSeverityAnalysis[[#This Row],[CCCM]:[WASH]]), "")</f>
        <v>1.6666666666666667</v>
      </c>
      <c r="AI124" s="27">
        <f>IF(SUM(tblSeverityAnalysis[[#This Row],[CCCM]:[WASH]])=0, "", MAX(tblSeverityAnalysis[[#This Row],[CCCM]:[WASH]]))</f>
        <v>3</v>
      </c>
      <c r="AJ124" s="333" t="str" cm="1">
        <f t="array" ref="AJ124">IFERROR(IF(tblSeverityAnalysis[[#This Row],[Highest Severity]]="", "", _xlfn.TEXTJOIN(CHAR(10), TRUE, IF(tblSeverityAnalysis[[#This Row],[CCCM]:[WASH]]=tblSeverityAnalysis[[#This Row],[Highest Severity]], tblSeverityAnalysis[[#Headers],[CCCM]:[WASH]], ""), "")), "")</f>
        <v>WASH</v>
      </c>
      <c r="AK124" s="27" cm="1">
        <f t="array" ref="AK124">IFERROR(MAX(_xlfn._xlws.FILTER(tblSeverityAnalysis[[#This Row],[CCCM]:[WASH]], tblSeverityAnalysis[[#This Row],[CCCM]:[WASH]]&lt;tblSeverityAnalysis[[#This Row],[Highest Severity]])), "")</f>
        <v>2</v>
      </c>
      <c r="AL124" s="313" t="str" cm="1">
        <f t="array" ref="AL124">IFERROR(IF(tblSeverityAnalysis[[#This Row],[2nd Highest Severity]]="", "", _xlfn.TEXTJOIN(CHAR(10), TRUE, IF(tblSeverityAnalysis[[#This Row],[CCCM]:[WASH]]=tblSeverityAnalysis[[#This Row],[2nd Highest Severity]], tblSeverityAnalysis[[#Headers],[CCCM]:[WASH]], ""), "")), "")</f>
        <v>Nutrition</v>
      </c>
      <c r="AM124" s="132" t="str">
        <f>IFERROR(IF(AND(tblSeverityAnalysis[[#This Row],[5]] &lt;&gt; "", tblSeverityAnalysis[[#This Row],[5]]&gt;=sectors_sev_5), "Flagged", ""), "")</f>
        <v/>
      </c>
      <c r="AN124" s="133" t="str">
        <f>IFERROR(IF(AND(tblSeverityAnalysis[[#This Row],[Preliminary Intersectoral Severity based on overlap of sectoral deprivations]]=4, SUM(tblSeverityAnalysis[[#This Row],[ 4 ]:[5]])&gt;=sectors_sev_4), "Flagged", ""), "")</f>
        <v/>
      </c>
      <c r="AO124" s="133" t="str" cm="1">
        <f t="array" ref="AO12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4" s="335"/>
      <c r="AR124" s="336"/>
      <c r="AS124" s="335"/>
      <c r="AT124" s="337">
        <f>COUNTIF(tblSeverityAnalysis[[#This Row],[1 sector in severity phase 5 '[modify the threshold']]:[Manual Flag]], "Flagged")</f>
        <v>1</v>
      </c>
      <c r="AU124" s="338">
        <f>tblSeverityAnalysis[[#This Row],[Preliminary Intersectoral Severity based on overlap of sectoral deprivations]]</f>
        <v>1</v>
      </c>
      <c r="AV124" s="339"/>
    </row>
    <row r="125" spans="1:48" ht="15" hidden="1" customHeight="1">
      <c r="A12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MZ1001</v>
      </c>
      <c r="B125" s="39" t="s">
        <v>474</v>
      </c>
      <c r="C125" s="340" t="s">
        <v>475</v>
      </c>
      <c r="D125" s="340" t="s">
        <v>476</v>
      </c>
      <c r="E125" s="33" t="s">
        <v>477</v>
      </c>
      <c r="F125" s="33"/>
      <c r="G125" s="33"/>
      <c r="H125" s="20"/>
      <c r="I125" s="95">
        <v>653486</v>
      </c>
      <c r="J125" s="95"/>
      <c r="K125" s="321"/>
      <c r="L125" s="303"/>
      <c r="M125" s="303" t="s">
        <v>264</v>
      </c>
      <c r="N125" s="303"/>
      <c r="O125" s="372"/>
      <c r="P125" s="303">
        <v>0</v>
      </c>
      <c r="Q125" s="304"/>
      <c r="R125" s="303">
        <v>2</v>
      </c>
      <c r="S125" s="303"/>
      <c r="T125" s="303"/>
      <c r="U125" s="303"/>
      <c r="V125" s="303"/>
      <c r="W125" s="330" t="str">
        <f>IF(COUNTIF(tblSeverityAnalysis[[#This Row],[CCCM]:[WASH]], 1)=0, "", COUNTIF(tblSeverityAnalysis[[#This Row],[CCCM]:[WASH]], 1))</f>
        <v/>
      </c>
      <c r="X125" s="331">
        <f>IF(COUNTIF(tblSeverityAnalysis[[#This Row],[CCCM]:[WASH]], 2)=0, "", COUNTIF(tblSeverityAnalysis[[#This Row],[CCCM]:[WASH]], 2))</f>
        <v>1</v>
      </c>
      <c r="Y125" s="331" t="str">
        <f>IF(COUNTIF(tblSeverityAnalysis[[#This Row],[CCCM]:[WASH]], 3)=0, "", COUNTIF(tblSeverityAnalysis[[#This Row],[CCCM]:[WASH]], 3))</f>
        <v/>
      </c>
      <c r="Z125" s="331" t="str">
        <f>IF(COUNTIF(tblSeverityAnalysis[[#This Row],[CCCM]:[WASH]], 4)=0, "", COUNTIF(tblSeverityAnalysis[[#This Row],[CCCM]:[WASH]], 4))</f>
        <v/>
      </c>
      <c r="AA125" s="332" t="str">
        <f>IF(COUNTIF(tblSeverityAnalysis[[#This Row],[CCCM]:[WASH]], 5)=0, "", COUNTIF(tblSeverityAnalysis[[#This Row],[CCCM]:[WASH]], 5))</f>
        <v/>
      </c>
      <c r="AB125" s="59" cm="1">
        <f t="array" ref="AB12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5" s="41" t="str">
        <f>IFERROR(IF(INDEX(tblSeverityReference[Malnutrition Severity],MATCH(tblSeverityAnalysis[[#This Row],[ID]], tblSeverityReference[ID], 0))= "", "",INDEX(tblSeverityReference[Malnutrition Severity],MATCH(tblSeverityAnalysis[[#This Row],[ID]], tblSeverityReference[ID], 0)) ), "")</f>
        <v/>
      </c>
      <c r="AE125" s="303">
        <f>IFERROR(IF(INDEX(tblSeverityReference[Epidemic Severity],MATCH(tblSeverityAnalysis[[#This Row],[ID]], tblSeverityReference[ID], 0))= "", "",INDEX(tblSeverityReference[Epidemic Severity],MATCH(tblSeverityAnalysis[[#This Row],[ID]], tblSeverityReference[ID], 0)) ), "")</f>
        <v>2.2352941176470589</v>
      </c>
      <c r="AF125" s="303" t="str">
        <f>IFERROR(IF(INDEX(tblSeverityReference[Coping Strategy Severity],MATCH(tblSeverityAnalysis[[#This Row],[ID]], tblSeverityReference[ID], 0))= "", "",INDEX(tblSeverityReference[Coping Strategy Severity],MATCH(tblSeverityAnalysis[[#This Row],[ID]], tblSeverityReference[ID], 0)) ), "")</f>
        <v/>
      </c>
      <c r="AG125" s="108" t="str">
        <f>IFERROR(IF(INDEX(tblSeverityReference[HR/IHL Violation],MATCH(tblSeverityAnalysis[[#This Row],[ID]], tblSeverityReference[ID], 0))= "", "",INDEX(tblSeverityReference[HR/IHL Violation],MATCH(tblSeverityAnalysis[[#This Row],[ID]], tblSeverityReference[ID], 0)) ), "")</f>
        <v/>
      </c>
      <c r="AH125" s="81">
        <f>IFERROR(AVERAGE(tblSeverityAnalysis[[#This Row],[CCCM]:[WASH]]), "")</f>
        <v>1</v>
      </c>
      <c r="AI125" s="27">
        <f>IF(SUM(tblSeverityAnalysis[[#This Row],[CCCM]:[WASH]])=0, "", MAX(tblSeverityAnalysis[[#This Row],[CCCM]:[WASH]]))</f>
        <v>2</v>
      </c>
      <c r="AJ125" s="333" t="str" cm="1">
        <f t="array" ref="AJ125">IFERROR(IF(tblSeverityAnalysis[[#This Row],[Highest Severity]]="", "", _xlfn.TEXTJOIN(CHAR(10), TRUE, IF(tblSeverityAnalysis[[#This Row],[CCCM]:[WASH]]=tblSeverityAnalysis[[#This Row],[Highest Severity]], tblSeverityAnalysis[[#Headers],[CCCM]:[WASH]], ""), "")), "")</f>
        <v>WASH</v>
      </c>
      <c r="AK125" s="27" cm="1">
        <f t="array" ref="AK125">IFERROR(MAX(_xlfn._xlws.FILTER(tblSeverityAnalysis[[#This Row],[CCCM]:[WASH]], tblSeverityAnalysis[[#This Row],[CCCM]:[WASH]]&lt;tblSeverityAnalysis[[#This Row],[Highest Severity]])), "")</f>
        <v>0</v>
      </c>
      <c r="AL125" s="313" t="str" cm="1">
        <f t="array" ref="AL12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25" s="132" t="str">
        <f>IFERROR(IF(AND(tblSeverityAnalysis[[#This Row],[5]] &lt;&gt; "", tblSeverityAnalysis[[#This Row],[5]]&gt;=sectors_sev_5), "Flagged", ""), "")</f>
        <v/>
      </c>
      <c r="AN125" s="133" t="str">
        <f>IFERROR(IF(AND(tblSeverityAnalysis[[#This Row],[Preliminary Intersectoral Severity based on overlap of sectoral deprivations]]=4, SUM(tblSeverityAnalysis[[#This Row],[ 4 ]:[5]])&gt;=sectors_sev_4), "Flagged", ""), "")</f>
        <v/>
      </c>
      <c r="AO125" s="133" t="str" cm="1">
        <f t="array" ref="AO12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5" s="335"/>
      <c r="AR125" s="336"/>
      <c r="AS125" s="335"/>
      <c r="AT125" s="337">
        <f>COUNTIF(tblSeverityAnalysis[[#This Row],[1 sector in severity phase 5 '[modify the threshold']]:[Manual Flag]], "Flagged")</f>
        <v>0</v>
      </c>
      <c r="AU125" s="338">
        <f>tblSeverityAnalysis[[#This Row],[Preliminary Intersectoral Severity based on overlap of sectoral deprivations]]</f>
        <v>1</v>
      </c>
      <c r="AV125" s="339"/>
    </row>
    <row r="126" spans="1:48" ht="15" hidden="1" customHeight="1">
      <c r="A12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MZ1002</v>
      </c>
      <c r="B126" s="39" t="s">
        <v>474</v>
      </c>
      <c r="C126" s="340" t="s">
        <v>475</v>
      </c>
      <c r="D126" s="340" t="s">
        <v>478</v>
      </c>
      <c r="E126" s="33" t="s">
        <v>479</v>
      </c>
      <c r="F126" s="33"/>
      <c r="G126" s="33"/>
      <c r="H126" s="20"/>
      <c r="I126" s="95">
        <v>176851</v>
      </c>
      <c r="J126" s="95"/>
      <c r="K126" s="321"/>
      <c r="L126" s="303"/>
      <c r="M126" s="303" t="s">
        <v>264</v>
      </c>
      <c r="N126" s="303"/>
      <c r="O126" s="372"/>
      <c r="P126" s="303">
        <v>0</v>
      </c>
      <c r="Q126" s="304"/>
      <c r="R126" s="303">
        <v>2</v>
      </c>
      <c r="S126" s="303"/>
      <c r="T126" s="303"/>
      <c r="U126" s="303"/>
      <c r="V126" s="303"/>
      <c r="W126" s="330" t="str">
        <f>IF(COUNTIF(tblSeverityAnalysis[[#This Row],[CCCM]:[WASH]], 1)=0, "", COUNTIF(tblSeverityAnalysis[[#This Row],[CCCM]:[WASH]], 1))</f>
        <v/>
      </c>
      <c r="X126" s="331">
        <f>IF(COUNTIF(tblSeverityAnalysis[[#This Row],[CCCM]:[WASH]], 2)=0, "", COUNTIF(tblSeverityAnalysis[[#This Row],[CCCM]:[WASH]], 2))</f>
        <v>1</v>
      </c>
      <c r="Y126" s="331" t="str">
        <f>IF(COUNTIF(tblSeverityAnalysis[[#This Row],[CCCM]:[WASH]], 3)=0, "", COUNTIF(tblSeverityAnalysis[[#This Row],[CCCM]:[WASH]], 3))</f>
        <v/>
      </c>
      <c r="Z126" s="331" t="str">
        <f>IF(COUNTIF(tblSeverityAnalysis[[#This Row],[CCCM]:[WASH]], 4)=0, "", COUNTIF(tblSeverityAnalysis[[#This Row],[CCCM]:[WASH]], 4))</f>
        <v/>
      </c>
      <c r="AA126" s="332" t="str">
        <f>IF(COUNTIF(tblSeverityAnalysis[[#This Row],[CCCM]:[WASH]], 5)=0, "", COUNTIF(tblSeverityAnalysis[[#This Row],[CCCM]:[WASH]], 5))</f>
        <v/>
      </c>
      <c r="AB126" s="59" cm="1">
        <f t="array" ref="AB12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6" s="41" t="str">
        <f>IFERROR(IF(INDEX(tblSeverityReference[Malnutrition Severity],MATCH(tblSeverityAnalysis[[#This Row],[ID]], tblSeverityReference[ID], 0))= "", "",INDEX(tblSeverityReference[Malnutrition Severity],MATCH(tblSeverityAnalysis[[#This Row],[ID]], tblSeverityReference[ID], 0)) ), "")</f>
        <v/>
      </c>
      <c r="AE126" s="303">
        <f>IFERROR(IF(INDEX(tblSeverityReference[Epidemic Severity],MATCH(tblSeverityAnalysis[[#This Row],[ID]], tblSeverityReference[ID], 0))= "", "",INDEX(tblSeverityReference[Epidemic Severity],MATCH(tblSeverityAnalysis[[#This Row],[ID]], tblSeverityReference[ID], 0)) ), "")</f>
        <v>2.8235294117647061</v>
      </c>
      <c r="AF126" s="303" t="str">
        <f>IFERROR(IF(INDEX(tblSeverityReference[Coping Strategy Severity],MATCH(tblSeverityAnalysis[[#This Row],[ID]], tblSeverityReference[ID], 0))= "", "",INDEX(tblSeverityReference[Coping Strategy Severity],MATCH(tblSeverityAnalysis[[#This Row],[ID]], tblSeverityReference[ID], 0)) ), "")</f>
        <v/>
      </c>
      <c r="AG126" s="108" t="str">
        <f>IFERROR(IF(INDEX(tblSeverityReference[HR/IHL Violation],MATCH(tblSeverityAnalysis[[#This Row],[ID]], tblSeverityReference[ID], 0))= "", "",INDEX(tblSeverityReference[HR/IHL Violation],MATCH(tblSeverityAnalysis[[#This Row],[ID]], tblSeverityReference[ID], 0)) ), "")</f>
        <v/>
      </c>
      <c r="AH126" s="81">
        <f>IFERROR(AVERAGE(tblSeverityAnalysis[[#This Row],[CCCM]:[WASH]]), "")</f>
        <v>1</v>
      </c>
      <c r="AI126" s="27">
        <f>IF(SUM(tblSeverityAnalysis[[#This Row],[CCCM]:[WASH]])=0, "", MAX(tblSeverityAnalysis[[#This Row],[CCCM]:[WASH]]))</f>
        <v>2</v>
      </c>
      <c r="AJ126" s="333" t="str" cm="1">
        <f t="array" ref="AJ126">IFERROR(IF(tblSeverityAnalysis[[#This Row],[Highest Severity]]="", "", _xlfn.TEXTJOIN(CHAR(10), TRUE, IF(tblSeverityAnalysis[[#This Row],[CCCM]:[WASH]]=tblSeverityAnalysis[[#This Row],[Highest Severity]], tblSeverityAnalysis[[#Headers],[CCCM]:[WASH]], ""), "")), "")</f>
        <v>WASH</v>
      </c>
      <c r="AK126" s="27" cm="1">
        <f t="array" ref="AK126">IFERROR(MAX(_xlfn._xlws.FILTER(tblSeverityAnalysis[[#This Row],[CCCM]:[WASH]], tblSeverityAnalysis[[#This Row],[CCCM]:[WASH]]&lt;tblSeverityAnalysis[[#This Row],[Highest Severity]])), "")</f>
        <v>0</v>
      </c>
      <c r="AL126" s="313" t="str" cm="1">
        <f t="array" ref="AL12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26" s="132" t="str">
        <f>IFERROR(IF(AND(tblSeverityAnalysis[[#This Row],[5]] &lt;&gt; "", tblSeverityAnalysis[[#This Row],[5]]&gt;=sectors_sev_5), "Flagged", ""), "")</f>
        <v/>
      </c>
      <c r="AN126" s="133" t="str">
        <f>IFERROR(IF(AND(tblSeverityAnalysis[[#This Row],[Preliminary Intersectoral Severity based on overlap of sectoral deprivations]]=4, SUM(tblSeverityAnalysis[[#This Row],[ 4 ]:[5]])&gt;=sectors_sev_4), "Flagged", ""), "")</f>
        <v/>
      </c>
      <c r="AO126" s="133" t="str" cm="1">
        <f t="array" ref="AO12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6" s="335"/>
      <c r="AR126" s="336"/>
      <c r="AS126" s="335"/>
      <c r="AT126" s="337">
        <f>COUNTIF(tblSeverityAnalysis[[#This Row],[1 sector in severity phase 5 '[modify the threshold']]:[Manual Flag]], "Flagged")</f>
        <v>0</v>
      </c>
      <c r="AU126" s="338">
        <f>tblSeverityAnalysis[[#This Row],[Preliminary Intersectoral Severity based on overlap of sectoral deprivations]]</f>
        <v>1</v>
      </c>
      <c r="AV126" s="339"/>
    </row>
    <row r="127" spans="1:48" ht="15" hidden="1" customHeight="1">
      <c r="A12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MZ1003</v>
      </c>
      <c r="B127" s="39" t="s">
        <v>474</v>
      </c>
      <c r="C127" s="340" t="s">
        <v>475</v>
      </c>
      <c r="D127" s="340" t="s">
        <v>480</v>
      </c>
      <c r="E127" s="33" t="s">
        <v>481</v>
      </c>
      <c r="F127" s="33"/>
      <c r="G127" s="33"/>
      <c r="H127" s="20"/>
      <c r="I127" s="95">
        <v>161576</v>
      </c>
      <c r="J127" s="95"/>
      <c r="K127" s="321"/>
      <c r="L127" s="303"/>
      <c r="M127" s="303" t="s">
        <v>264</v>
      </c>
      <c r="N127" s="303">
        <v>3</v>
      </c>
      <c r="O127" s="372"/>
      <c r="P127" s="303">
        <v>0</v>
      </c>
      <c r="Q127" s="304"/>
      <c r="R127" s="303">
        <v>2</v>
      </c>
      <c r="S127" s="303"/>
      <c r="T127" s="303"/>
      <c r="U127" s="303"/>
      <c r="V127" s="303"/>
      <c r="W127" s="330" t="str">
        <f>IF(COUNTIF(tblSeverityAnalysis[[#This Row],[CCCM]:[WASH]], 1)=0, "", COUNTIF(tblSeverityAnalysis[[#This Row],[CCCM]:[WASH]], 1))</f>
        <v/>
      </c>
      <c r="X127" s="331">
        <f>IF(COUNTIF(tblSeverityAnalysis[[#This Row],[CCCM]:[WASH]], 2)=0, "", COUNTIF(tblSeverityAnalysis[[#This Row],[CCCM]:[WASH]], 2))</f>
        <v>1</v>
      </c>
      <c r="Y127" s="331">
        <f>IF(COUNTIF(tblSeverityAnalysis[[#This Row],[CCCM]:[WASH]], 3)=0, "", COUNTIF(tblSeverityAnalysis[[#This Row],[CCCM]:[WASH]], 3))</f>
        <v>1</v>
      </c>
      <c r="Z127" s="331" t="str">
        <f>IF(COUNTIF(tblSeverityAnalysis[[#This Row],[CCCM]:[WASH]], 4)=0, "", COUNTIF(tblSeverityAnalysis[[#This Row],[CCCM]:[WASH]], 4))</f>
        <v/>
      </c>
      <c r="AA127" s="332" t="str">
        <f>IF(COUNTIF(tblSeverityAnalysis[[#This Row],[CCCM]:[WASH]], 5)=0, "", COUNTIF(tblSeverityAnalysis[[#This Row],[CCCM]:[WASH]], 5))</f>
        <v/>
      </c>
      <c r="AB127" s="59" cm="1">
        <f t="array" ref="AB12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7" s="41">
        <f>IFERROR(IF(INDEX(tblSeverityReference[Malnutrition Severity],MATCH(tblSeverityAnalysis[[#This Row],[ID]], tblSeverityReference[ID], 0))= "", "",INDEX(tblSeverityReference[Malnutrition Severity],MATCH(tblSeverityAnalysis[[#This Row],[ID]], tblSeverityReference[ID], 0)) ), "")</f>
        <v>2</v>
      </c>
      <c r="AE127" s="303">
        <f>IFERROR(IF(INDEX(tblSeverityReference[Epidemic Severity],MATCH(tblSeverityAnalysis[[#This Row],[ID]], tblSeverityReference[ID], 0))= "", "",INDEX(tblSeverityReference[Epidemic Severity],MATCH(tblSeverityAnalysis[[#This Row],[ID]], tblSeverityReference[ID], 0)) ), "")</f>
        <v>2.2352941176470589</v>
      </c>
      <c r="AF127" s="303">
        <f>IFERROR(IF(INDEX(tblSeverityReference[Coping Strategy Severity],MATCH(tblSeverityAnalysis[[#This Row],[ID]], tblSeverityReference[ID], 0))= "", "",INDEX(tblSeverityReference[Coping Strategy Severity],MATCH(tblSeverityAnalysis[[#This Row],[ID]], tblSeverityReference[ID], 0)) ), "")</f>
        <v>2</v>
      </c>
      <c r="AG127" s="108" t="str">
        <f>IFERROR(IF(INDEX(tblSeverityReference[HR/IHL Violation],MATCH(tblSeverityAnalysis[[#This Row],[ID]], tblSeverityReference[ID], 0))= "", "",INDEX(tblSeverityReference[HR/IHL Violation],MATCH(tblSeverityAnalysis[[#This Row],[ID]], tblSeverityReference[ID], 0)) ), "")</f>
        <v/>
      </c>
      <c r="AH127" s="81">
        <f>IFERROR(AVERAGE(tblSeverityAnalysis[[#This Row],[CCCM]:[WASH]]), "")</f>
        <v>1.6666666666666667</v>
      </c>
      <c r="AI127" s="27">
        <f>IF(SUM(tblSeverityAnalysis[[#This Row],[CCCM]:[WASH]])=0, "", MAX(tblSeverityAnalysis[[#This Row],[CCCM]:[WASH]]))</f>
        <v>3</v>
      </c>
      <c r="AJ127" s="333" t="str" cm="1">
        <f t="array" ref="AJ127">IFERROR(IF(tblSeverityAnalysis[[#This Row],[Highest Severity]]="", "", _xlfn.TEXTJOIN(CHAR(10), TRUE, IF(tblSeverityAnalysis[[#This Row],[CCCM]:[WASH]]=tblSeverityAnalysis[[#This Row],[Highest Severity]], tblSeverityAnalysis[[#Headers],[CCCM]:[WASH]], ""), "")), "")</f>
        <v>Food Security</v>
      </c>
      <c r="AK127" s="27" cm="1">
        <f t="array" ref="AK127">IFERROR(MAX(_xlfn._xlws.FILTER(tblSeverityAnalysis[[#This Row],[CCCM]:[WASH]], tblSeverityAnalysis[[#This Row],[CCCM]:[WASH]]&lt;tblSeverityAnalysis[[#This Row],[Highest Severity]])), "")</f>
        <v>2</v>
      </c>
      <c r="AL127" s="313" t="str" cm="1">
        <f t="array" ref="AL127">IFERROR(IF(tblSeverityAnalysis[[#This Row],[2nd Highest Severity]]="", "", _xlfn.TEXTJOIN(CHAR(10), TRUE, IF(tblSeverityAnalysis[[#This Row],[CCCM]:[WASH]]=tblSeverityAnalysis[[#This Row],[2nd Highest Severity]], tblSeverityAnalysis[[#Headers],[CCCM]:[WASH]], ""), "")), "")</f>
        <v>WASH</v>
      </c>
      <c r="AM127" s="132" t="str">
        <f>IFERROR(IF(AND(tblSeverityAnalysis[[#This Row],[5]] &lt;&gt; "", tblSeverityAnalysis[[#This Row],[5]]&gt;=sectors_sev_5), "Flagged", ""), "")</f>
        <v/>
      </c>
      <c r="AN127" s="133" t="str">
        <f>IFERROR(IF(AND(tblSeverityAnalysis[[#This Row],[Preliminary Intersectoral Severity based on overlap of sectoral deprivations]]=4, SUM(tblSeverityAnalysis[[#This Row],[ 4 ]:[5]])&gt;=sectors_sev_4), "Flagged", ""), "")</f>
        <v/>
      </c>
      <c r="AO127" s="133" t="str" cm="1">
        <f t="array" ref="AO12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7" s="335"/>
      <c r="AR127" s="336"/>
      <c r="AS127" s="335"/>
      <c r="AT127" s="337">
        <f>COUNTIF(tblSeverityAnalysis[[#This Row],[1 sector in severity phase 5 '[modify the threshold']]:[Manual Flag]], "Flagged")</f>
        <v>1</v>
      </c>
      <c r="AU127" s="338">
        <f>tblSeverityAnalysis[[#This Row],[Preliminary Intersectoral Severity based on overlap of sectoral deprivations]]</f>
        <v>1</v>
      </c>
      <c r="AV127" s="339"/>
    </row>
    <row r="128" spans="1:48" ht="15" hidden="1" customHeight="1">
      <c r="A12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MZ1004</v>
      </c>
      <c r="B128" s="39" t="s">
        <v>474</v>
      </c>
      <c r="C128" s="340" t="s">
        <v>475</v>
      </c>
      <c r="D128" s="340" t="s">
        <v>482</v>
      </c>
      <c r="E128" s="33" t="s">
        <v>483</v>
      </c>
      <c r="F128" s="33"/>
      <c r="G128" s="33"/>
      <c r="H128" s="20"/>
      <c r="I128" s="95">
        <v>207379</v>
      </c>
      <c r="J128" s="95"/>
      <c r="K128" s="321"/>
      <c r="L128" s="303"/>
      <c r="M128" s="303">
        <v>2</v>
      </c>
      <c r="N128" s="303"/>
      <c r="O128" s="372"/>
      <c r="P128" s="303">
        <v>0</v>
      </c>
      <c r="Q128" s="304"/>
      <c r="R128" s="303">
        <v>1</v>
      </c>
      <c r="S128" s="303"/>
      <c r="T128" s="303"/>
      <c r="U128" s="303"/>
      <c r="V128" s="303"/>
      <c r="W128" s="330">
        <f>IF(COUNTIF(tblSeverityAnalysis[[#This Row],[CCCM]:[WASH]], 1)=0, "", COUNTIF(tblSeverityAnalysis[[#This Row],[CCCM]:[WASH]], 1))</f>
        <v>1</v>
      </c>
      <c r="X128" s="331">
        <f>IF(COUNTIF(tblSeverityAnalysis[[#This Row],[CCCM]:[WASH]], 2)=0, "", COUNTIF(tblSeverityAnalysis[[#This Row],[CCCM]:[WASH]], 2))</f>
        <v>1</v>
      </c>
      <c r="Y128" s="331" t="str">
        <f>IF(COUNTIF(tblSeverityAnalysis[[#This Row],[CCCM]:[WASH]], 3)=0, "", COUNTIF(tblSeverityAnalysis[[#This Row],[CCCM]:[WASH]], 3))</f>
        <v/>
      </c>
      <c r="Z128" s="331" t="str">
        <f>IF(COUNTIF(tblSeverityAnalysis[[#This Row],[CCCM]:[WASH]], 4)=0, "", COUNTIF(tblSeverityAnalysis[[#This Row],[CCCM]:[WASH]], 4))</f>
        <v/>
      </c>
      <c r="AA128" s="332" t="str">
        <f>IF(COUNTIF(tblSeverityAnalysis[[#This Row],[CCCM]:[WASH]], 5)=0, "", COUNTIF(tblSeverityAnalysis[[#This Row],[CCCM]:[WASH]], 5))</f>
        <v/>
      </c>
      <c r="AB128" s="59" cm="1">
        <f t="array" ref="AB12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8" s="41" t="str">
        <f>IFERROR(IF(INDEX(tblSeverityReference[Malnutrition Severity],MATCH(tblSeverityAnalysis[[#This Row],[ID]], tblSeverityReference[ID], 0))= "", "",INDEX(tblSeverityReference[Malnutrition Severity],MATCH(tblSeverityAnalysis[[#This Row],[ID]], tblSeverityReference[ID], 0)) ), "")</f>
        <v/>
      </c>
      <c r="AE128" s="303">
        <f>IFERROR(IF(INDEX(tblSeverityReference[Epidemic Severity],MATCH(tblSeverityAnalysis[[#This Row],[ID]], tblSeverityReference[ID], 0))= "", "",INDEX(tblSeverityReference[Epidemic Severity],MATCH(tblSeverityAnalysis[[#This Row],[ID]], tblSeverityReference[ID], 0)) ), "")</f>
        <v>2.2352941176470589</v>
      </c>
      <c r="AF128" s="303" t="str">
        <f>IFERROR(IF(INDEX(tblSeverityReference[Coping Strategy Severity],MATCH(tblSeverityAnalysis[[#This Row],[ID]], tblSeverityReference[ID], 0))= "", "",INDEX(tblSeverityReference[Coping Strategy Severity],MATCH(tblSeverityAnalysis[[#This Row],[ID]], tblSeverityReference[ID], 0)) ), "")</f>
        <v/>
      </c>
      <c r="AG128" s="108" t="str">
        <f>IFERROR(IF(INDEX(tblSeverityReference[HR/IHL Violation],MATCH(tblSeverityAnalysis[[#This Row],[ID]], tblSeverityReference[ID], 0))= "", "",INDEX(tblSeverityReference[HR/IHL Violation],MATCH(tblSeverityAnalysis[[#This Row],[ID]], tblSeverityReference[ID], 0)) ), "")</f>
        <v/>
      </c>
      <c r="AH128" s="81">
        <f>IFERROR(AVERAGE(tblSeverityAnalysis[[#This Row],[CCCM]:[WASH]]), "")</f>
        <v>1</v>
      </c>
      <c r="AI128" s="27">
        <f>IF(SUM(tblSeverityAnalysis[[#This Row],[CCCM]:[WASH]])=0, "", MAX(tblSeverityAnalysis[[#This Row],[CCCM]:[WASH]]))</f>
        <v>2</v>
      </c>
      <c r="AJ128" s="333" t="str" cm="1">
        <f t="array" ref="AJ128">IFERROR(IF(tblSeverityAnalysis[[#This Row],[Highest Severity]]="", "", _xlfn.TEXTJOIN(CHAR(10), TRUE, IF(tblSeverityAnalysis[[#This Row],[CCCM]:[WASH]]=tblSeverityAnalysis[[#This Row],[Highest Severity]], tblSeverityAnalysis[[#Headers],[CCCM]:[WASH]], ""), "")), "")</f>
        <v>Nutrition</v>
      </c>
      <c r="AK128" s="27" cm="1">
        <f t="array" ref="AK128">IFERROR(MAX(_xlfn._xlws.FILTER(tblSeverityAnalysis[[#This Row],[CCCM]:[WASH]], tblSeverityAnalysis[[#This Row],[CCCM]:[WASH]]&lt;tblSeverityAnalysis[[#This Row],[Highest Severity]])), "")</f>
        <v>1</v>
      </c>
      <c r="AL128" s="313" t="str" cm="1">
        <f t="array" ref="AL128">IFERROR(IF(tblSeverityAnalysis[[#This Row],[2nd Highest Severity]]="", "", _xlfn.TEXTJOIN(CHAR(10), TRUE, IF(tblSeverityAnalysis[[#This Row],[CCCM]:[WASH]]=tblSeverityAnalysis[[#This Row],[2nd Highest Severity]], tblSeverityAnalysis[[#Headers],[CCCM]:[WASH]], ""), "")), "")</f>
        <v>WASH</v>
      </c>
      <c r="AM128" s="132" t="str">
        <f>IFERROR(IF(AND(tblSeverityAnalysis[[#This Row],[5]] &lt;&gt; "", tblSeverityAnalysis[[#This Row],[5]]&gt;=sectors_sev_5), "Flagged", ""), "")</f>
        <v/>
      </c>
      <c r="AN128" s="133" t="str">
        <f>IFERROR(IF(AND(tblSeverityAnalysis[[#This Row],[Preliminary Intersectoral Severity based on overlap of sectoral deprivations]]=4, SUM(tblSeverityAnalysis[[#This Row],[ 4 ]:[5]])&gt;=sectors_sev_4), "Flagged", ""), "")</f>
        <v/>
      </c>
      <c r="AO128" s="133" t="str" cm="1">
        <f t="array" ref="AO12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8" s="335"/>
      <c r="AR128" s="336"/>
      <c r="AS128" s="335"/>
      <c r="AT128" s="337">
        <f>COUNTIF(tblSeverityAnalysis[[#This Row],[1 sector in severity phase 5 '[modify the threshold']]:[Manual Flag]], "Flagged")</f>
        <v>0</v>
      </c>
      <c r="AU128" s="338">
        <f>tblSeverityAnalysis[[#This Row],[Preliminary Intersectoral Severity based on overlap of sectoral deprivations]]</f>
        <v>1</v>
      </c>
      <c r="AV128" s="339"/>
    </row>
    <row r="129" spans="1:48" ht="15" hidden="1" customHeight="1">
      <c r="A12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MZ1005</v>
      </c>
      <c r="B129" s="39" t="s">
        <v>474</v>
      </c>
      <c r="C129" s="340" t="s">
        <v>475</v>
      </c>
      <c r="D129" s="340" t="s">
        <v>484</v>
      </c>
      <c r="E129" s="33" t="s">
        <v>485</v>
      </c>
      <c r="F129" s="33"/>
      <c r="G129" s="33"/>
      <c r="H129" s="20"/>
      <c r="I129" s="95">
        <v>130316</v>
      </c>
      <c r="J129" s="95"/>
      <c r="K129" s="321"/>
      <c r="L129" s="303"/>
      <c r="M129" s="303">
        <v>2</v>
      </c>
      <c r="N129" s="303"/>
      <c r="O129" s="372"/>
      <c r="P129" s="303">
        <v>0</v>
      </c>
      <c r="Q129" s="304"/>
      <c r="R129" s="303">
        <v>1</v>
      </c>
      <c r="S129" s="303"/>
      <c r="T129" s="303"/>
      <c r="U129" s="303"/>
      <c r="V129" s="303"/>
      <c r="W129" s="330">
        <f>IF(COUNTIF(tblSeverityAnalysis[[#This Row],[CCCM]:[WASH]], 1)=0, "", COUNTIF(tblSeverityAnalysis[[#This Row],[CCCM]:[WASH]], 1))</f>
        <v>1</v>
      </c>
      <c r="X129" s="331">
        <f>IF(COUNTIF(tblSeverityAnalysis[[#This Row],[CCCM]:[WASH]], 2)=0, "", COUNTIF(tblSeverityAnalysis[[#This Row],[CCCM]:[WASH]], 2))</f>
        <v>1</v>
      </c>
      <c r="Y129" s="331" t="str">
        <f>IF(COUNTIF(tblSeverityAnalysis[[#This Row],[CCCM]:[WASH]], 3)=0, "", COUNTIF(tblSeverityAnalysis[[#This Row],[CCCM]:[WASH]], 3))</f>
        <v/>
      </c>
      <c r="Z129" s="331" t="str">
        <f>IF(COUNTIF(tblSeverityAnalysis[[#This Row],[CCCM]:[WASH]], 4)=0, "", COUNTIF(tblSeverityAnalysis[[#This Row],[CCCM]:[WASH]], 4))</f>
        <v/>
      </c>
      <c r="AA129" s="332" t="str">
        <f>IF(COUNTIF(tblSeverityAnalysis[[#This Row],[CCCM]:[WASH]], 5)=0, "", COUNTIF(tblSeverityAnalysis[[#This Row],[CCCM]:[WASH]], 5))</f>
        <v/>
      </c>
      <c r="AB129" s="59" cm="1">
        <f t="array" ref="AB12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2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9" s="41" t="str">
        <f>IFERROR(IF(INDEX(tblSeverityReference[Malnutrition Severity],MATCH(tblSeverityAnalysis[[#This Row],[ID]], tblSeverityReference[ID], 0))= "", "",INDEX(tblSeverityReference[Malnutrition Severity],MATCH(tblSeverityAnalysis[[#This Row],[ID]], tblSeverityReference[ID], 0)) ), "")</f>
        <v/>
      </c>
      <c r="AE129" s="303">
        <f>IFERROR(IF(INDEX(tblSeverityReference[Epidemic Severity],MATCH(tblSeverityAnalysis[[#This Row],[ID]], tblSeverityReference[ID], 0))= "", "",INDEX(tblSeverityReference[Epidemic Severity],MATCH(tblSeverityAnalysis[[#This Row],[ID]], tblSeverityReference[ID], 0)) ), "")</f>
        <v>2.2352941176470589</v>
      </c>
      <c r="AF129" s="303" t="str">
        <f>IFERROR(IF(INDEX(tblSeverityReference[Coping Strategy Severity],MATCH(tblSeverityAnalysis[[#This Row],[ID]], tblSeverityReference[ID], 0))= "", "",INDEX(tblSeverityReference[Coping Strategy Severity],MATCH(tblSeverityAnalysis[[#This Row],[ID]], tblSeverityReference[ID], 0)) ), "")</f>
        <v/>
      </c>
      <c r="AG129" s="108" t="str">
        <f>IFERROR(IF(INDEX(tblSeverityReference[HR/IHL Violation],MATCH(tblSeverityAnalysis[[#This Row],[ID]], tblSeverityReference[ID], 0))= "", "",INDEX(tblSeverityReference[HR/IHL Violation],MATCH(tblSeverityAnalysis[[#This Row],[ID]], tblSeverityReference[ID], 0)) ), "")</f>
        <v/>
      </c>
      <c r="AH129" s="81">
        <f>IFERROR(AVERAGE(tblSeverityAnalysis[[#This Row],[CCCM]:[WASH]]), "")</f>
        <v>1</v>
      </c>
      <c r="AI129" s="27">
        <f>IF(SUM(tblSeverityAnalysis[[#This Row],[CCCM]:[WASH]])=0, "", MAX(tblSeverityAnalysis[[#This Row],[CCCM]:[WASH]]))</f>
        <v>2</v>
      </c>
      <c r="AJ129" s="333" t="str" cm="1">
        <f t="array" ref="AJ129">IFERROR(IF(tblSeverityAnalysis[[#This Row],[Highest Severity]]="", "", _xlfn.TEXTJOIN(CHAR(10), TRUE, IF(tblSeverityAnalysis[[#This Row],[CCCM]:[WASH]]=tblSeverityAnalysis[[#This Row],[Highest Severity]], tblSeverityAnalysis[[#Headers],[CCCM]:[WASH]], ""), "")), "")</f>
        <v>Nutrition</v>
      </c>
      <c r="AK129" s="27" cm="1">
        <f t="array" ref="AK129">IFERROR(MAX(_xlfn._xlws.FILTER(tblSeverityAnalysis[[#This Row],[CCCM]:[WASH]], tblSeverityAnalysis[[#This Row],[CCCM]:[WASH]]&lt;tblSeverityAnalysis[[#This Row],[Highest Severity]])), "")</f>
        <v>1</v>
      </c>
      <c r="AL129" s="313" t="str" cm="1">
        <f t="array" ref="AL129">IFERROR(IF(tblSeverityAnalysis[[#This Row],[2nd Highest Severity]]="", "", _xlfn.TEXTJOIN(CHAR(10), TRUE, IF(tblSeverityAnalysis[[#This Row],[CCCM]:[WASH]]=tblSeverityAnalysis[[#This Row],[2nd Highest Severity]], tblSeverityAnalysis[[#Headers],[CCCM]:[WASH]], ""), "")), "")</f>
        <v>WASH</v>
      </c>
      <c r="AM129" s="132" t="str">
        <f>IFERROR(IF(AND(tblSeverityAnalysis[[#This Row],[5]] &lt;&gt; "", tblSeverityAnalysis[[#This Row],[5]]&gt;=sectors_sev_5), "Flagged", ""), "")</f>
        <v/>
      </c>
      <c r="AN129" s="133" t="str">
        <f>IFERROR(IF(AND(tblSeverityAnalysis[[#This Row],[Preliminary Intersectoral Severity based on overlap of sectoral deprivations]]=4, SUM(tblSeverityAnalysis[[#This Row],[ 4 ]:[5]])&gt;=sectors_sev_4), "Flagged", ""), "")</f>
        <v/>
      </c>
      <c r="AO129" s="133" t="str" cm="1">
        <f t="array" ref="AO12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9" s="335"/>
      <c r="AR129" s="336"/>
      <c r="AS129" s="335"/>
      <c r="AT129" s="337">
        <f>COUNTIF(tblSeverityAnalysis[[#This Row],[1 sector in severity phase 5 '[modify the threshold']]:[Manual Flag]], "Flagged")</f>
        <v>0</v>
      </c>
      <c r="AU129" s="338">
        <f>tblSeverityAnalysis[[#This Row],[Preliminary Intersectoral Severity based on overlap of sectoral deprivations]]</f>
        <v>1</v>
      </c>
      <c r="AV129" s="339"/>
    </row>
    <row r="130" spans="1:48" ht="15" hidden="1" customHeight="1">
      <c r="A13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MZ1006</v>
      </c>
      <c r="B130" s="39" t="s">
        <v>474</v>
      </c>
      <c r="C130" s="340" t="s">
        <v>475</v>
      </c>
      <c r="D130" s="340" t="s">
        <v>486</v>
      </c>
      <c r="E130" s="33" t="s">
        <v>487</v>
      </c>
      <c r="F130" s="33"/>
      <c r="G130" s="33"/>
      <c r="H130" s="20"/>
      <c r="I130" s="95">
        <v>460248</v>
      </c>
      <c r="J130" s="95"/>
      <c r="K130" s="321"/>
      <c r="L130" s="303"/>
      <c r="M130" s="303" t="s">
        <v>264</v>
      </c>
      <c r="N130" s="303"/>
      <c r="O130" s="372"/>
      <c r="P130" s="303">
        <v>0</v>
      </c>
      <c r="Q130" s="304"/>
      <c r="R130" s="303">
        <v>2</v>
      </c>
      <c r="S130" s="303"/>
      <c r="T130" s="303"/>
      <c r="U130" s="303"/>
      <c r="V130" s="303"/>
      <c r="W130" s="330" t="str">
        <f>IF(COUNTIF(tblSeverityAnalysis[[#This Row],[CCCM]:[WASH]], 1)=0, "", COUNTIF(tblSeverityAnalysis[[#This Row],[CCCM]:[WASH]], 1))</f>
        <v/>
      </c>
      <c r="X130" s="331">
        <f>IF(COUNTIF(tblSeverityAnalysis[[#This Row],[CCCM]:[WASH]], 2)=0, "", COUNTIF(tblSeverityAnalysis[[#This Row],[CCCM]:[WASH]], 2))</f>
        <v>1</v>
      </c>
      <c r="Y130" s="331" t="str">
        <f>IF(COUNTIF(tblSeverityAnalysis[[#This Row],[CCCM]:[WASH]], 3)=0, "", COUNTIF(tblSeverityAnalysis[[#This Row],[CCCM]:[WASH]], 3))</f>
        <v/>
      </c>
      <c r="Z130" s="331" t="str">
        <f>IF(COUNTIF(tblSeverityAnalysis[[#This Row],[CCCM]:[WASH]], 4)=0, "", COUNTIF(tblSeverityAnalysis[[#This Row],[CCCM]:[WASH]], 4))</f>
        <v/>
      </c>
      <c r="AA130" s="332" t="str">
        <f>IF(COUNTIF(tblSeverityAnalysis[[#This Row],[CCCM]:[WASH]], 5)=0, "", COUNTIF(tblSeverityAnalysis[[#This Row],[CCCM]:[WASH]], 5))</f>
        <v/>
      </c>
      <c r="AB130" s="59" cm="1">
        <f t="array" ref="AB13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0" s="41" t="str">
        <f>IFERROR(IF(INDEX(tblSeverityReference[Malnutrition Severity],MATCH(tblSeverityAnalysis[[#This Row],[ID]], tblSeverityReference[ID], 0))= "", "",INDEX(tblSeverityReference[Malnutrition Severity],MATCH(tblSeverityAnalysis[[#This Row],[ID]], tblSeverityReference[ID], 0)) ), "")</f>
        <v/>
      </c>
      <c r="AE130" s="303">
        <f>IFERROR(IF(INDEX(tblSeverityReference[Epidemic Severity],MATCH(tblSeverityAnalysis[[#This Row],[ID]], tblSeverityReference[ID], 0))= "", "",INDEX(tblSeverityReference[Epidemic Severity],MATCH(tblSeverityAnalysis[[#This Row],[ID]], tblSeverityReference[ID], 0)) ), "")</f>
        <v>2.8235294117647061</v>
      </c>
      <c r="AF130" s="303" t="str">
        <f>IFERROR(IF(INDEX(tblSeverityReference[Coping Strategy Severity],MATCH(tblSeverityAnalysis[[#This Row],[ID]], tblSeverityReference[ID], 0))= "", "",INDEX(tblSeverityReference[Coping Strategy Severity],MATCH(tblSeverityAnalysis[[#This Row],[ID]], tblSeverityReference[ID], 0)) ), "")</f>
        <v/>
      </c>
      <c r="AG130" s="108" t="str">
        <f>IFERROR(IF(INDEX(tblSeverityReference[HR/IHL Violation],MATCH(tblSeverityAnalysis[[#This Row],[ID]], tblSeverityReference[ID], 0))= "", "",INDEX(tblSeverityReference[HR/IHL Violation],MATCH(tblSeverityAnalysis[[#This Row],[ID]], tblSeverityReference[ID], 0)) ), "")</f>
        <v/>
      </c>
      <c r="AH130" s="81">
        <f>IFERROR(AVERAGE(tblSeverityAnalysis[[#This Row],[CCCM]:[WASH]]), "")</f>
        <v>1</v>
      </c>
      <c r="AI130" s="27">
        <f>IF(SUM(tblSeverityAnalysis[[#This Row],[CCCM]:[WASH]])=0, "", MAX(tblSeverityAnalysis[[#This Row],[CCCM]:[WASH]]))</f>
        <v>2</v>
      </c>
      <c r="AJ130" s="333" t="str" cm="1">
        <f t="array" ref="AJ130">IFERROR(IF(tblSeverityAnalysis[[#This Row],[Highest Severity]]="", "", _xlfn.TEXTJOIN(CHAR(10), TRUE, IF(tblSeverityAnalysis[[#This Row],[CCCM]:[WASH]]=tblSeverityAnalysis[[#This Row],[Highest Severity]], tblSeverityAnalysis[[#Headers],[CCCM]:[WASH]], ""), "")), "")</f>
        <v>WASH</v>
      </c>
      <c r="AK130" s="27" cm="1">
        <f t="array" ref="AK130">IFERROR(MAX(_xlfn._xlws.FILTER(tblSeverityAnalysis[[#This Row],[CCCM]:[WASH]], tblSeverityAnalysis[[#This Row],[CCCM]:[WASH]]&lt;tblSeverityAnalysis[[#This Row],[Highest Severity]])), "")</f>
        <v>0</v>
      </c>
      <c r="AL130" s="313" t="str" cm="1">
        <f t="array" ref="AL13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30" s="132" t="str">
        <f>IFERROR(IF(AND(tblSeverityAnalysis[[#This Row],[5]] &lt;&gt; "", tblSeverityAnalysis[[#This Row],[5]]&gt;=sectors_sev_5), "Flagged", ""), "")</f>
        <v/>
      </c>
      <c r="AN130" s="133" t="str">
        <f>IFERROR(IF(AND(tblSeverityAnalysis[[#This Row],[Preliminary Intersectoral Severity based on overlap of sectoral deprivations]]=4, SUM(tblSeverityAnalysis[[#This Row],[ 4 ]:[5]])&gt;=sectors_sev_4), "Flagged", ""), "")</f>
        <v/>
      </c>
      <c r="AO130" s="133" t="str" cm="1">
        <f t="array" ref="AO13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0" s="335"/>
      <c r="AR130" s="336"/>
      <c r="AS130" s="335"/>
      <c r="AT130" s="337">
        <f>COUNTIF(tblSeverityAnalysis[[#This Row],[1 sector in severity phase 5 '[modify the threshold']]:[Manual Flag]], "Flagged")</f>
        <v>0</v>
      </c>
      <c r="AU130" s="338">
        <f>tblSeverityAnalysis[[#This Row],[Preliminary Intersectoral Severity based on overlap of sectoral deprivations]]</f>
        <v>1</v>
      </c>
      <c r="AV130" s="339"/>
    </row>
    <row r="131" spans="1:48" ht="15" hidden="1" customHeight="1">
      <c r="A13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MZ1007</v>
      </c>
      <c r="B131" s="39" t="s">
        <v>474</v>
      </c>
      <c r="C131" s="340" t="s">
        <v>475</v>
      </c>
      <c r="D131" s="340" t="s">
        <v>488</v>
      </c>
      <c r="E131" s="33" t="s">
        <v>489</v>
      </c>
      <c r="F131" s="33"/>
      <c r="G131" s="33"/>
      <c r="H131" s="20"/>
      <c r="I131" s="95">
        <v>109437</v>
      </c>
      <c r="J131" s="95"/>
      <c r="K131" s="321"/>
      <c r="L131" s="303"/>
      <c r="M131" s="303">
        <v>3</v>
      </c>
      <c r="N131" s="303">
        <v>3</v>
      </c>
      <c r="O131" s="372"/>
      <c r="P131" s="303">
        <v>0</v>
      </c>
      <c r="Q131" s="304"/>
      <c r="R131" s="303">
        <v>1</v>
      </c>
      <c r="S131" s="303"/>
      <c r="T131" s="303"/>
      <c r="U131" s="303"/>
      <c r="V131" s="303"/>
      <c r="W131" s="330">
        <f>IF(COUNTIF(tblSeverityAnalysis[[#This Row],[CCCM]:[WASH]], 1)=0, "", COUNTIF(tblSeverityAnalysis[[#This Row],[CCCM]:[WASH]], 1))</f>
        <v>1</v>
      </c>
      <c r="X131" s="331" t="str">
        <f>IF(COUNTIF(tblSeverityAnalysis[[#This Row],[CCCM]:[WASH]], 2)=0, "", COUNTIF(tblSeverityAnalysis[[#This Row],[CCCM]:[WASH]], 2))</f>
        <v/>
      </c>
      <c r="Y131" s="331">
        <f>IF(COUNTIF(tblSeverityAnalysis[[#This Row],[CCCM]:[WASH]], 3)=0, "", COUNTIF(tblSeverityAnalysis[[#This Row],[CCCM]:[WASH]], 3))</f>
        <v>2</v>
      </c>
      <c r="Z131" s="331" t="str">
        <f>IF(COUNTIF(tblSeverityAnalysis[[#This Row],[CCCM]:[WASH]], 4)=0, "", COUNTIF(tblSeverityAnalysis[[#This Row],[CCCM]:[WASH]], 4))</f>
        <v/>
      </c>
      <c r="AA131" s="332" t="str">
        <f>IF(COUNTIF(tblSeverityAnalysis[[#This Row],[CCCM]:[WASH]], 5)=0, "", COUNTIF(tblSeverityAnalysis[[#This Row],[CCCM]:[WASH]], 5))</f>
        <v/>
      </c>
      <c r="AB131" s="59" cm="1">
        <f t="array" ref="AB13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1" s="41">
        <f>IFERROR(IF(INDEX(tblSeverityReference[Malnutrition Severity],MATCH(tblSeverityAnalysis[[#This Row],[ID]], tblSeverityReference[ID], 0))= "", "",INDEX(tblSeverityReference[Malnutrition Severity],MATCH(tblSeverityAnalysis[[#This Row],[ID]], tblSeverityReference[ID], 0)) ), "")</f>
        <v>2</v>
      </c>
      <c r="AE131" s="303">
        <f>IFERROR(IF(INDEX(tblSeverityReference[Epidemic Severity],MATCH(tblSeverityAnalysis[[#This Row],[ID]], tblSeverityReference[ID], 0))= "", "",INDEX(tblSeverityReference[Epidemic Severity],MATCH(tblSeverityAnalysis[[#This Row],[ID]], tblSeverityReference[ID], 0)) ), "")</f>
        <v>2.2352941176470589</v>
      </c>
      <c r="AF131" s="303">
        <f>IFERROR(IF(INDEX(tblSeverityReference[Coping Strategy Severity],MATCH(tblSeverityAnalysis[[#This Row],[ID]], tblSeverityReference[ID], 0))= "", "",INDEX(tblSeverityReference[Coping Strategy Severity],MATCH(tblSeverityAnalysis[[#This Row],[ID]], tblSeverityReference[ID], 0)) ), "")</f>
        <v>2</v>
      </c>
      <c r="AG131" s="108" t="str">
        <f>IFERROR(IF(INDEX(tblSeverityReference[HR/IHL Violation],MATCH(tblSeverityAnalysis[[#This Row],[ID]], tblSeverityReference[ID], 0))= "", "",INDEX(tblSeverityReference[HR/IHL Violation],MATCH(tblSeverityAnalysis[[#This Row],[ID]], tblSeverityReference[ID], 0)) ), "")</f>
        <v/>
      </c>
      <c r="AH131" s="81">
        <f>IFERROR(AVERAGE(tblSeverityAnalysis[[#This Row],[CCCM]:[WASH]]), "")</f>
        <v>1.75</v>
      </c>
      <c r="AI131" s="27">
        <f>IF(SUM(tblSeverityAnalysis[[#This Row],[CCCM]:[WASH]])=0, "", MAX(tblSeverityAnalysis[[#This Row],[CCCM]:[WASH]]))</f>
        <v>3</v>
      </c>
      <c r="AJ131" s="333" t="str" cm="1">
        <f t="array" ref="AJ131">IFERROR(IF(tblSeverityAnalysis[[#This Row],[Highest Severity]]="", "", _xlfn.TEXTJOIN(CHAR(10), TRUE, IF(tblSeverityAnalysis[[#This Row],[CCCM]:[WASH]]=tblSeverityAnalysis[[#This Row],[Highest Severity]], tblSeverityAnalysis[[#Headers],[CCCM]:[WASH]], ""), "")), "")</f>
        <v>Nutrition
Food Security</v>
      </c>
      <c r="AK131" s="27" cm="1">
        <f t="array" ref="AK131">IFERROR(MAX(_xlfn._xlws.FILTER(tblSeverityAnalysis[[#This Row],[CCCM]:[WASH]], tblSeverityAnalysis[[#This Row],[CCCM]:[WASH]]&lt;tblSeverityAnalysis[[#This Row],[Highest Severity]])), "")</f>
        <v>1</v>
      </c>
      <c r="AL131" s="313" t="str" cm="1">
        <f t="array" ref="AL131">IFERROR(IF(tblSeverityAnalysis[[#This Row],[2nd Highest Severity]]="", "", _xlfn.TEXTJOIN(CHAR(10), TRUE, IF(tblSeverityAnalysis[[#This Row],[CCCM]:[WASH]]=tblSeverityAnalysis[[#This Row],[2nd Highest Severity]], tblSeverityAnalysis[[#Headers],[CCCM]:[WASH]], ""), "")), "")</f>
        <v>WASH</v>
      </c>
      <c r="AM131" s="132" t="str">
        <f>IFERROR(IF(AND(tblSeverityAnalysis[[#This Row],[5]] &lt;&gt; "", tblSeverityAnalysis[[#This Row],[5]]&gt;=sectors_sev_5), "Flagged", ""), "")</f>
        <v/>
      </c>
      <c r="AN131" s="133" t="str">
        <f>IFERROR(IF(AND(tblSeverityAnalysis[[#This Row],[Preliminary Intersectoral Severity based on overlap of sectoral deprivations]]=4, SUM(tblSeverityAnalysis[[#This Row],[ 4 ]:[5]])&gt;=sectors_sev_4), "Flagged", ""), "")</f>
        <v/>
      </c>
      <c r="AO131" s="133" t="str" cm="1">
        <f t="array" ref="AO13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1" s="335"/>
      <c r="AR131" s="336"/>
      <c r="AS131" s="335"/>
      <c r="AT131" s="337">
        <f>COUNTIF(tblSeverityAnalysis[[#This Row],[1 sector in severity phase 5 '[modify the threshold']]:[Manual Flag]], "Flagged")</f>
        <v>1</v>
      </c>
      <c r="AU131" s="338">
        <f>tblSeverityAnalysis[[#This Row],[Preliminary Intersectoral Severity based on overlap of sectoral deprivations]]</f>
        <v>1</v>
      </c>
      <c r="AV131" s="339"/>
    </row>
    <row r="132" spans="1:48" ht="15" hidden="1" customHeight="1">
      <c r="A13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MZ1008</v>
      </c>
      <c r="B132" s="39" t="s">
        <v>474</v>
      </c>
      <c r="C132" s="340" t="s">
        <v>475</v>
      </c>
      <c r="D132" s="340" t="s">
        <v>490</v>
      </c>
      <c r="E132" s="33" t="s">
        <v>491</v>
      </c>
      <c r="F132" s="33"/>
      <c r="G132" s="33"/>
      <c r="H132" s="20"/>
      <c r="I132" s="95">
        <v>206662</v>
      </c>
      <c r="J132" s="95"/>
      <c r="K132" s="321"/>
      <c r="L132" s="303"/>
      <c r="M132" s="303" t="s">
        <v>264</v>
      </c>
      <c r="N132" s="303"/>
      <c r="O132" s="372"/>
      <c r="P132" s="303">
        <v>0</v>
      </c>
      <c r="Q132" s="304"/>
      <c r="R132" s="303">
        <v>2</v>
      </c>
      <c r="S132" s="303"/>
      <c r="T132" s="303"/>
      <c r="U132" s="303"/>
      <c r="V132" s="303"/>
      <c r="W132" s="330" t="str">
        <f>IF(COUNTIF(tblSeverityAnalysis[[#This Row],[CCCM]:[WASH]], 1)=0, "", COUNTIF(tblSeverityAnalysis[[#This Row],[CCCM]:[WASH]], 1))</f>
        <v/>
      </c>
      <c r="X132" s="331">
        <f>IF(COUNTIF(tblSeverityAnalysis[[#This Row],[CCCM]:[WASH]], 2)=0, "", COUNTIF(tblSeverityAnalysis[[#This Row],[CCCM]:[WASH]], 2))</f>
        <v>1</v>
      </c>
      <c r="Y132" s="331" t="str">
        <f>IF(COUNTIF(tblSeverityAnalysis[[#This Row],[CCCM]:[WASH]], 3)=0, "", COUNTIF(tblSeverityAnalysis[[#This Row],[CCCM]:[WASH]], 3))</f>
        <v/>
      </c>
      <c r="Z132" s="331" t="str">
        <f>IF(COUNTIF(tblSeverityAnalysis[[#This Row],[CCCM]:[WASH]], 4)=0, "", COUNTIF(tblSeverityAnalysis[[#This Row],[CCCM]:[WASH]], 4))</f>
        <v/>
      </c>
      <c r="AA132" s="332" t="str">
        <f>IF(COUNTIF(tblSeverityAnalysis[[#This Row],[CCCM]:[WASH]], 5)=0, "", COUNTIF(tblSeverityAnalysis[[#This Row],[CCCM]:[WASH]], 5))</f>
        <v/>
      </c>
      <c r="AB132" s="59" cm="1">
        <f t="array" ref="AB13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2" s="41" t="str">
        <f>IFERROR(IF(INDEX(tblSeverityReference[Malnutrition Severity],MATCH(tblSeverityAnalysis[[#This Row],[ID]], tblSeverityReference[ID], 0))= "", "",INDEX(tblSeverityReference[Malnutrition Severity],MATCH(tblSeverityAnalysis[[#This Row],[ID]], tblSeverityReference[ID], 0)) ), "")</f>
        <v/>
      </c>
      <c r="AE132" s="303">
        <f>IFERROR(IF(INDEX(tblSeverityReference[Epidemic Severity],MATCH(tblSeverityAnalysis[[#This Row],[ID]], tblSeverityReference[ID], 0))= "", "",INDEX(tblSeverityReference[Epidemic Severity],MATCH(tblSeverityAnalysis[[#This Row],[ID]], tblSeverityReference[ID], 0)) ), "")</f>
        <v>1.8235294117647056</v>
      </c>
      <c r="AF132" s="303" t="str">
        <f>IFERROR(IF(INDEX(tblSeverityReference[Coping Strategy Severity],MATCH(tblSeverityAnalysis[[#This Row],[ID]], tblSeverityReference[ID], 0))= "", "",INDEX(tblSeverityReference[Coping Strategy Severity],MATCH(tblSeverityAnalysis[[#This Row],[ID]], tblSeverityReference[ID], 0)) ), "")</f>
        <v/>
      </c>
      <c r="AG132" s="108" t="str">
        <f>IFERROR(IF(INDEX(tblSeverityReference[HR/IHL Violation],MATCH(tblSeverityAnalysis[[#This Row],[ID]], tblSeverityReference[ID], 0))= "", "",INDEX(tblSeverityReference[HR/IHL Violation],MATCH(tblSeverityAnalysis[[#This Row],[ID]], tblSeverityReference[ID], 0)) ), "")</f>
        <v/>
      </c>
      <c r="AH132" s="81">
        <f>IFERROR(AVERAGE(tblSeverityAnalysis[[#This Row],[CCCM]:[WASH]]), "")</f>
        <v>1</v>
      </c>
      <c r="AI132" s="27">
        <f>IF(SUM(tblSeverityAnalysis[[#This Row],[CCCM]:[WASH]])=0, "", MAX(tblSeverityAnalysis[[#This Row],[CCCM]:[WASH]]))</f>
        <v>2</v>
      </c>
      <c r="AJ132" s="333" t="str" cm="1">
        <f t="array" ref="AJ132">IFERROR(IF(tblSeverityAnalysis[[#This Row],[Highest Severity]]="", "", _xlfn.TEXTJOIN(CHAR(10), TRUE, IF(tblSeverityAnalysis[[#This Row],[CCCM]:[WASH]]=tblSeverityAnalysis[[#This Row],[Highest Severity]], tblSeverityAnalysis[[#Headers],[CCCM]:[WASH]], ""), "")), "")</f>
        <v>WASH</v>
      </c>
      <c r="AK132" s="27" cm="1">
        <f t="array" ref="AK132">IFERROR(MAX(_xlfn._xlws.FILTER(tblSeverityAnalysis[[#This Row],[CCCM]:[WASH]], tblSeverityAnalysis[[#This Row],[CCCM]:[WASH]]&lt;tblSeverityAnalysis[[#This Row],[Highest Severity]])), "")</f>
        <v>0</v>
      </c>
      <c r="AL132" s="313" t="str" cm="1">
        <f t="array" ref="AL13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32" s="132" t="str">
        <f>IFERROR(IF(AND(tblSeverityAnalysis[[#This Row],[5]] &lt;&gt; "", tblSeverityAnalysis[[#This Row],[5]]&gt;=sectors_sev_5), "Flagged", ""), "")</f>
        <v/>
      </c>
      <c r="AN132" s="133" t="str">
        <f>IFERROR(IF(AND(tblSeverityAnalysis[[#This Row],[Preliminary Intersectoral Severity based on overlap of sectoral deprivations]]=4, SUM(tblSeverityAnalysis[[#This Row],[ 4 ]:[5]])&gt;=sectors_sev_4), "Flagged", ""), "")</f>
        <v/>
      </c>
      <c r="AO132" s="133" t="str" cm="1">
        <f t="array" ref="AO13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2" s="335"/>
      <c r="AR132" s="336"/>
      <c r="AS132" s="335"/>
      <c r="AT132" s="337">
        <f>COUNTIF(tblSeverityAnalysis[[#This Row],[1 sector in severity phase 5 '[modify the threshold']]:[Manual Flag]], "Flagged")</f>
        <v>0</v>
      </c>
      <c r="AU132" s="338">
        <f>tblSeverityAnalysis[[#This Row],[Preliminary Intersectoral Severity based on overlap of sectoral deprivations]]</f>
        <v>1</v>
      </c>
      <c r="AV132" s="339"/>
    </row>
    <row r="133" spans="1:48" ht="15" hidden="1" customHeight="1">
      <c r="A13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MZ1009</v>
      </c>
      <c r="B133" s="39" t="s">
        <v>474</v>
      </c>
      <c r="C133" s="340" t="s">
        <v>475</v>
      </c>
      <c r="D133" s="340" t="s">
        <v>492</v>
      </c>
      <c r="E133" s="33" t="s">
        <v>493</v>
      </c>
      <c r="F133" s="33"/>
      <c r="G133" s="33"/>
      <c r="H133" s="20"/>
      <c r="I133" s="95">
        <v>120444</v>
      </c>
      <c r="J133" s="95"/>
      <c r="K133" s="321"/>
      <c r="L133" s="303"/>
      <c r="M133" s="303">
        <v>2</v>
      </c>
      <c r="N133" s="303">
        <v>3</v>
      </c>
      <c r="O133" s="372"/>
      <c r="P133" s="303">
        <v>0</v>
      </c>
      <c r="Q133" s="304"/>
      <c r="R133" s="303">
        <v>2</v>
      </c>
      <c r="S133" s="303"/>
      <c r="T133" s="303"/>
      <c r="U133" s="303"/>
      <c r="V133" s="303"/>
      <c r="W133" s="330" t="str">
        <f>IF(COUNTIF(tblSeverityAnalysis[[#This Row],[CCCM]:[WASH]], 1)=0, "", COUNTIF(tblSeverityAnalysis[[#This Row],[CCCM]:[WASH]], 1))</f>
        <v/>
      </c>
      <c r="X133" s="331">
        <f>IF(COUNTIF(tblSeverityAnalysis[[#This Row],[CCCM]:[WASH]], 2)=0, "", COUNTIF(tblSeverityAnalysis[[#This Row],[CCCM]:[WASH]], 2))</f>
        <v>2</v>
      </c>
      <c r="Y133" s="331">
        <f>IF(COUNTIF(tblSeverityAnalysis[[#This Row],[CCCM]:[WASH]], 3)=0, "", COUNTIF(tblSeverityAnalysis[[#This Row],[CCCM]:[WASH]], 3))</f>
        <v>1</v>
      </c>
      <c r="Z133" s="331" t="str">
        <f>IF(COUNTIF(tblSeverityAnalysis[[#This Row],[CCCM]:[WASH]], 4)=0, "", COUNTIF(tblSeverityAnalysis[[#This Row],[CCCM]:[WASH]], 4))</f>
        <v/>
      </c>
      <c r="AA133" s="332" t="str">
        <f>IF(COUNTIF(tblSeverityAnalysis[[#This Row],[CCCM]:[WASH]], 5)=0, "", COUNTIF(tblSeverityAnalysis[[#This Row],[CCCM]:[WASH]], 5))</f>
        <v/>
      </c>
      <c r="AB133" s="59" cm="1">
        <f t="array" ref="AB13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3" s="41" t="str">
        <f>IFERROR(IF(INDEX(tblSeverityReference[Malnutrition Severity],MATCH(tblSeverityAnalysis[[#This Row],[ID]], tblSeverityReference[ID], 0))= "", "",INDEX(tblSeverityReference[Malnutrition Severity],MATCH(tblSeverityAnalysis[[#This Row],[ID]], tblSeverityReference[ID], 0)) ), "")</f>
        <v/>
      </c>
      <c r="AE133" s="303">
        <f>IFERROR(IF(INDEX(tblSeverityReference[Epidemic Severity],MATCH(tblSeverityAnalysis[[#This Row],[ID]], tblSeverityReference[ID], 0))= "", "",INDEX(tblSeverityReference[Epidemic Severity],MATCH(tblSeverityAnalysis[[#This Row],[ID]], tblSeverityReference[ID], 0)) ), "")</f>
        <v>2.2352941176470589</v>
      </c>
      <c r="AF133" s="303">
        <f>IFERROR(IF(INDEX(tblSeverityReference[Coping Strategy Severity],MATCH(tblSeverityAnalysis[[#This Row],[ID]], tblSeverityReference[ID], 0))= "", "",INDEX(tblSeverityReference[Coping Strategy Severity],MATCH(tblSeverityAnalysis[[#This Row],[ID]], tblSeverityReference[ID], 0)) ), "")</f>
        <v>2</v>
      </c>
      <c r="AG133" s="108" t="str">
        <f>IFERROR(IF(INDEX(tblSeverityReference[HR/IHL Violation],MATCH(tblSeverityAnalysis[[#This Row],[ID]], tblSeverityReference[ID], 0))= "", "",INDEX(tblSeverityReference[HR/IHL Violation],MATCH(tblSeverityAnalysis[[#This Row],[ID]], tblSeverityReference[ID], 0)) ), "")</f>
        <v/>
      </c>
      <c r="AH133" s="81">
        <f>IFERROR(AVERAGE(tblSeverityAnalysis[[#This Row],[CCCM]:[WASH]]), "")</f>
        <v>1.75</v>
      </c>
      <c r="AI133" s="27">
        <f>IF(SUM(tblSeverityAnalysis[[#This Row],[CCCM]:[WASH]])=0, "", MAX(tblSeverityAnalysis[[#This Row],[CCCM]:[WASH]]))</f>
        <v>3</v>
      </c>
      <c r="AJ133" s="333" t="str" cm="1">
        <f t="array" ref="AJ133">IFERROR(IF(tblSeverityAnalysis[[#This Row],[Highest Severity]]="", "", _xlfn.TEXTJOIN(CHAR(10), TRUE, IF(tblSeverityAnalysis[[#This Row],[CCCM]:[WASH]]=tblSeverityAnalysis[[#This Row],[Highest Severity]], tblSeverityAnalysis[[#Headers],[CCCM]:[WASH]], ""), "")), "")</f>
        <v>Food Security</v>
      </c>
      <c r="AK133" s="27" cm="1">
        <f t="array" ref="AK133">IFERROR(MAX(_xlfn._xlws.FILTER(tblSeverityAnalysis[[#This Row],[CCCM]:[WASH]], tblSeverityAnalysis[[#This Row],[CCCM]:[WASH]]&lt;tblSeverityAnalysis[[#This Row],[Highest Severity]])), "")</f>
        <v>2</v>
      </c>
      <c r="AL133" s="313" t="str" cm="1">
        <f t="array" ref="AL133">IFERROR(IF(tblSeverityAnalysis[[#This Row],[2nd Highest Severity]]="", "", _xlfn.TEXTJOIN(CHAR(10), TRUE, IF(tblSeverityAnalysis[[#This Row],[CCCM]:[WASH]]=tblSeverityAnalysis[[#This Row],[2nd Highest Severity]], tblSeverityAnalysis[[#Headers],[CCCM]:[WASH]], ""), "")), "")</f>
        <v>Nutrition
WASH</v>
      </c>
      <c r="AM133" s="132" t="str">
        <f>IFERROR(IF(AND(tblSeverityAnalysis[[#This Row],[5]] &lt;&gt; "", tblSeverityAnalysis[[#This Row],[5]]&gt;=sectors_sev_5), "Flagged", ""), "")</f>
        <v/>
      </c>
      <c r="AN133" s="133" t="str">
        <f>IFERROR(IF(AND(tblSeverityAnalysis[[#This Row],[Preliminary Intersectoral Severity based on overlap of sectoral deprivations]]=4, SUM(tblSeverityAnalysis[[#This Row],[ 4 ]:[5]])&gt;=sectors_sev_4), "Flagged", ""), "")</f>
        <v/>
      </c>
      <c r="AO133" s="133" t="str" cm="1">
        <f t="array" ref="AO13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3" s="335"/>
      <c r="AR133" s="336"/>
      <c r="AS133" s="335"/>
      <c r="AT133" s="337">
        <f>COUNTIF(tblSeverityAnalysis[[#This Row],[1 sector in severity phase 5 '[modify the threshold']]:[Manual Flag]], "Flagged")</f>
        <v>1</v>
      </c>
      <c r="AU133" s="338">
        <f>tblSeverityAnalysis[[#This Row],[Preliminary Intersectoral Severity based on overlap of sectoral deprivations]]</f>
        <v>1</v>
      </c>
      <c r="AV133" s="339"/>
    </row>
    <row r="134" spans="1:48" ht="15" hidden="1" customHeight="1">
      <c r="A13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MZ1010</v>
      </c>
      <c r="B134" s="39" t="s">
        <v>474</v>
      </c>
      <c r="C134" s="340" t="s">
        <v>475</v>
      </c>
      <c r="D134" s="340" t="s">
        <v>494</v>
      </c>
      <c r="E134" s="33" t="s">
        <v>495</v>
      </c>
      <c r="F134" s="33"/>
      <c r="G134" s="33"/>
      <c r="H134" s="20"/>
      <c r="I134" s="95">
        <v>94569</v>
      </c>
      <c r="J134" s="95"/>
      <c r="K134" s="321"/>
      <c r="L134" s="303"/>
      <c r="M134" s="303">
        <v>2</v>
      </c>
      <c r="N134" s="303">
        <v>2</v>
      </c>
      <c r="O134" s="372"/>
      <c r="P134" s="303">
        <v>0</v>
      </c>
      <c r="Q134" s="304"/>
      <c r="R134" s="303">
        <v>2</v>
      </c>
      <c r="S134" s="303"/>
      <c r="T134" s="303"/>
      <c r="U134" s="303"/>
      <c r="V134" s="303"/>
      <c r="W134" s="330" t="str">
        <f>IF(COUNTIF(tblSeverityAnalysis[[#This Row],[CCCM]:[WASH]], 1)=0, "", COUNTIF(tblSeverityAnalysis[[#This Row],[CCCM]:[WASH]], 1))</f>
        <v/>
      </c>
      <c r="X134" s="331">
        <f>IF(COUNTIF(tblSeverityAnalysis[[#This Row],[CCCM]:[WASH]], 2)=0, "", COUNTIF(tblSeverityAnalysis[[#This Row],[CCCM]:[WASH]], 2))</f>
        <v>3</v>
      </c>
      <c r="Y134" s="331" t="str">
        <f>IF(COUNTIF(tblSeverityAnalysis[[#This Row],[CCCM]:[WASH]], 3)=0, "", COUNTIF(tblSeverityAnalysis[[#This Row],[CCCM]:[WASH]], 3))</f>
        <v/>
      </c>
      <c r="Z134" s="331" t="str">
        <f>IF(COUNTIF(tblSeverityAnalysis[[#This Row],[CCCM]:[WASH]], 4)=0, "", COUNTIF(tblSeverityAnalysis[[#This Row],[CCCM]:[WASH]], 4))</f>
        <v/>
      </c>
      <c r="AA134" s="332" t="str">
        <f>IF(COUNTIF(tblSeverityAnalysis[[#This Row],[CCCM]:[WASH]], 5)=0, "", COUNTIF(tblSeverityAnalysis[[#This Row],[CCCM]:[WASH]], 5))</f>
        <v/>
      </c>
      <c r="AB134" s="59" cm="1">
        <f t="array" ref="AB13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4" s="41">
        <f>IFERROR(IF(INDEX(tblSeverityReference[Malnutrition Severity],MATCH(tblSeverityAnalysis[[#This Row],[ID]], tblSeverityReference[ID], 0))= "", "",INDEX(tblSeverityReference[Malnutrition Severity],MATCH(tblSeverityAnalysis[[#This Row],[ID]], tblSeverityReference[ID], 0)) ), "")</f>
        <v>2</v>
      </c>
      <c r="AE134" s="303">
        <f>IFERROR(IF(INDEX(tblSeverityReference[Epidemic Severity],MATCH(tblSeverityAnalysis[[#This Row],[ID]], tblSeverityReference[ID], 0))= "", "",INDEX(tblSeverityReference[Epidemic Severity],MATCH(tblSeverityAnalysis[[#This Row],[ID]], tblSeverityReference[ID], 0)) ), "")</f>
        <v>1.8235294117647056</v>
      </c>
      <c r="AF134" s="303">
        <f>IFERROR(IF(INDEX(tblSeverityReference[Coping Strategy Severity],MATCH(tblSeverityAnalysis[[#This Row],[ID]], tblSeverityReference[ID], 0))= "", "",INDEX(tblSeverityReference[Coping Strategy Severity],MATCH(tblSeverityAnalysis[[#This Row],[ID]], tblSeverityReference[ID], 0)) ), "")</f>
        <v>3</v>
      </c>
      <c r="AG134" s="108" t="str">
        <f>IFERROR(IF(INDEX(tblSeverityReference[HR/IHL Violation],MATCH(tblSeverityAnalysis[[#This Row],[ID]], tblSeverityReference[ID], 0))= "", "",INDEX(tblSeverityReference[HR/IHL Violation],MATCH(tblSeverityAnalysis[[#This Row],[ID]], tblSeverityReference[ID], 0)) ), "")</f>
        <v/>
      </c>
      <c r="AH134" s="81">
        <f>IFERROR(AVERAGE(tblSeverityAnalysis[[#This Row],[CCCM]:[WASH]]), "")</f>
        <v>1.5</v>
      </c>
      <c r="AI134" s="27">
        <f>IF(SUM(tblSeverityAnalysis[[#This Row],[CCCM]:[WASH]])=0, "", MAX(tblSeverityAnalysis[[#This Row],[CCCM]:[WASH]]))</f>
        <v>2</v>
      </c>
      <c r="AJ134" s="333" t="str" cm="1">
        <f t="array" ref="AJ134">IFERROR(IF(tblSeverityAnalysis[[#This Row],[Highest Severity]]="", "", _xlfn.TEXTJOIN(CHAR(10), TRUE, IF(tblSeverityAnalysis[[#This Row],[CCCM]:[WASH]]=tblSeverityAnalysis[[#This Row],[Highest Severity]], tblSeverityAnalysis[[#Headers],[CCCM]:[WASH]], ""), "")), "")</f>
        <v>Nutrition
Food Security
WASH</v>
      </c>
      <c r="AK134" s="27" cm="1">
        <f t="array" ref="AK134">IFERROR(MAX(_xlfn._xlws.FILTER(tblSeverityAnalysis[[#This Row],[CCCM]:[WASH]], tblSeverityAnalysis[[#This Row],[CCCM]:[WASH]]&lt;tblSeverityAnalysis[[#This Row],[Highest Severity]])), "")</f>
        <v>0</v>
      </c>
      <c r="AL134" s="313" t="str" cm="1">
        <f t="array" ref="AL134">IFERROR(IF(tblSeverityAnalysis[[#This Row],[2nd Highest Severity]]="", "", _xlfn.TEXTJOIN(CHAR(10), TRUE, IF(tblSeverityAnalysis[[#This Row],[CCCM]:[WASH]]=tblSeverityAnalysis[[#This Row],[2nd Highest Severity]], tblSeverityAnalysis[[#Headers],[CCCM]:[WASH]], ""), "")), "")</f>
        <v>CCCM
Education
Health
Overarching Protection
Shelter</v>
      </c>
      <c r="AM134" s="132" t="str">
        <f>IFERROR(IF(AND(tblSeverityAnalysis[[#This Row],[5]] &lt;&gt; "", tblSeverityAnalysis[[#This Row],[5]]&gt;=sectors_sev_5), "Flagged", ""), "")</f>
        <v/>
      </c>
      <c r="AN134" s="133" t="str">
        <f>IFERROR(IF(AND(tblSeverityAnalysis[[#This Row],[Preliminary Intersectoral Severity based on overlap of sectoral deprivations]]=4, SUM(tblSeverityAnalysis[[#This Row],[ 4 ]:[5]])&gt;=sectors_sev_4), "Flagged", ""), "")</f>
        <v/>
      </c>
      <c r="AO134" s="133" t="str" cm="1">
        <f t="array" ref="AO13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4" s="335"/>
      <c r="AR134" s="336"/>
      <c r="AS134" s="335"/>
      <c r="AT134" s="337">
        <f>COUNTIF(tblSeverityAnalysis[[#This Row],[1 sector in severity phase 5 '[modify the threshold']]:[Manual Flag]], "Flagged")</f>
        <v>2</v>
      </c>
      <c r="AU134" s="338">
        <f>tblSeverityAnalysis[[#This Row],[Preliminary Intersectoral Severity based on overlap of sectoral deprivations]]</f>
        <v>1</v>
      </c>
      <c r="AV134" s="339"/>
    </row>
    <row r="135" spans="1:48" ht="15" hidden="1" customHeight="1">
      <c r="A13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MZ1011</v>
      </c>
      <c r="B135" s="39" t="s">
        <v>474</v>
      </c>
      <c r="C135" s="340" t="s">
        <v>475</v>
      </c>
      <c r="D135" s="340" t="s">
        <v>496</v>
      </c>
      <c r="E135" s="33" t="s">
        <v>497</v>
      </c>
      <c r="F135" s="33"/>
      <c r="G135" s="33"/>
      <c r="H135" s="20"/>
      <c r="I135" s="95">
        <v>159367</v>
      </c>
      <c r="J135" s="95"/>
      <c r="K135" s="321"/>
      <c r="L135" s="303"/>
      <c r="M135" s="303" t="s">
        <v>264</v>
      </c>
      <c r="N135" s="303"/>
      <c r="O135" s="372"/>
      <c r="P135" s="303">
        <v>0</v>
      </c>
      <c r="Q135" s="304"/>
      <c r="R135" s="303">
        <v>1</v>
      </c>
      <c r="S135" s="303"/>
      <c r="T135" s="303"/>
      <c r="U135" s="303"/>
      <c r="V135" s="303"/>
      <c r="W135" s="330">
        <f>IF(COUNTIF(tblSeverityAnalysis[[#This Row],[CCCM]:[WASH]], 1)=0, "", COUNTIF(tblSeverityAnalysis[[#This Row],[CCCM]:[WASH]], 1))</f>
        <v>1</v>
      </c>
      <c r="X135" s="331" t="str">
        <f>IF(COUNTIF(tblSeverityAnalysis[[#This Row],[CCCM]:[WASH]], 2)=0, "", COUNTIF(tblSeverityAnalysis[[#This Row],[CCCM]:[WASH]], 2))</f>
        <v/>
      </c>
      <c r="Y135" s="331" t="str">
        <f>IF(COUNTIF(tblSeverityAnalysis[[#This Row],[CCCM]:[WASH]], 3)=0, "", COUNTIF(tblSeverityAnalysis[[#This Row],[CCCM]:[WASH]], 3))</f>
        <v/>
      </c>
      <c r="Z135" s="331" t="str">
        <f>IF(COUNTIF(tblSeverityAnalysis[[#This Row],[CCCM]:[WASH]], 4)=0, "", COUNTIF(tblSeverityAnalysis[[#This Row],[CCCM]:[WASH]], 4))</f>
        <v/>
      </c>
      <c r="AA135" s="332" t="str">
        <f>IF(COUNTIF(tblSeverityAnalysis[[#This Row],[CCCM]:[WASH]], 5)=0, "", COUNTIF(tblSeverityAnalysis[[#This Row],[CCCM]:[WASH]], 5))</f>
        <v/>
      </c>
      <c r="AB135" s="59" cm="1">
        <f t="array" ref="AB13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5" s="41" t="str">
        <f>IFERROR(IF(INDEX(tblSeverityReference[Malnutrition Severity],MATCH(tblSeverityAnalysis[[#This Row],[ID]], tblSeverityReference[ID], 0))= "", "",INDEX(tblSeverityReference[Malnutrition Severity],MATCH(tblSeverityAnalysis[[#This Row],[ID]], tblSeverityReference[ID], 0)) ), "")</f>
        <v/>
      </c>
      <c r="AE135" s="303">
        <f>IFERROR(IF(INDEX(tblSeverityReference[Epidemic Severity],MATCH(tblSeverityAnalysis[[#This Row],[ID]], tblSeverityReference[ID], 0))= "", "",INDEX(tblSeverityReference[Epidemic Severity],MATCH(tblSeverityAnalysis[[#This Row],[ID]], tblSeverityReference[ID], 0)) ), "")</f>
        <v>1.5882352941176472</v>
      </c>
      <c r="AF135" s="303" t="str">
        <f>IFERROR(IF(INDEX(tblSeverityReference[Coping Strategy Severity],MATCH(tblSeverityAnalysis[[#This Row],[ID]], tblSeverityReference[ID], 0))= "", "",INDEX(tblSeverityReference[Coping Strategy Severity],MATCH(tblSeverityAnalysis[[#This Row],[ID]], tblSeverityReference[ID], 0)) ), "")</f>
        <v/>
      </c>
      <c r="AG135" s="108" t="str">
        <f>IFERROR(IF(INDEX(tblSeverityReference[HR/IHL Violation],MATCH(tblSeverityAnalysis[[#This Row],[ID]], tblSeverityReference[ID], 0))= "", "",INDEX(tblSeverityReference[HR/IHL Violation],MATCH(tblSeverityAnalysis[[#This Row],[ID]], tblSeverityReference[ID], 0)) ), "")</f>
        <v/>
      </c>
      <c r="AH135" s="81">
        <f>IFERROR(AVERAGE(tblSeverityAnalysis[[#This Row],[CCCM]:[WASH]]), "")</f>
        <v>0.5</v>
      </c>
      <c r="AI135" s="27">
        <f>IF(SUM(tblSeverityAnalysis[[#This Row],[CCCM]:[WASH]])=0, "", MAX(tblSeverityAnalysis[[#This Row],[CCCM]:[WASH]]))</f>
        <v>1</v>
      </c>
      <c r="AJ135" s="333" t="str" cm="1">
        <f t="array" ref="AJ135">IFERROR(IF(tblSeverityAnalysis[[#This Row],[Highest Severity]]="", "", _xlfn.TEXTJOIN(CHAR(10), TRUE, IF(tblSeverityAnalysis[[#This Row],[CCCM]:[WASH]]=tblSeverityAnalysis[[#This Row],[Highest Severity]], tblSeverityAnalysis[[#Headers],[CCCM]:[WASH]], ""), "")), "")</f>
        <v>WASH</v>
      </c>
      <c r="AK135" s="27" cm="1">
        <f t="array" ref="AK135">IFERROR(MAX(_xlfn._xlws.FILTER(tblSeverityAnalysis[[#This Row],[CCCM]:[WASH]], tblSeverityAnalysis[[#This Row],[CCCM]:[WASH]]&lt;tblSeverityAnalysis[[#This Row],[Highest Severity]])), "")</f>
        <v>0</v>
      </c>
      <c r="AL135" s="313" t="str" cm="1">
        <f t="array" ref="AL13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35" s="132" t="str">
        <f>IFERROR(IF(AND(tblSeverityAnalysis[[#This Row],[5]] &lt;&gt; "", tblSeverityAnalysis[[#This Row],[5]]&gt;=sectors_sev_5), "Flagged", ""), "")</f>
        <v/>
      </c>
      <c r="AN135" s="133" t="str">
        <f>IFERROR(IF(AND(tblSeverityAnalysis[[#This Row],[Preliminary Intersectoral Severity based on overlap of sectoral deprivations]]=4, SUM(tblSeverityAnalysis[[#This Row],[ 4 ]:[5]])&gt;=sectors_sev_4), "Flagged", ""), "")</f>
        <v/>
      </c>
      <c r="AO135" s="133" t="str" cm="1">
        <f t="array" ref="AO13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5" s="335"/>
      <c r="AR135" s="336"/>
      <c r="AS135" s="335"/>
      <c r="AT135" s="337">
        <f>COUNTIF(tblSeverityAnalysis[[#This Row],[1 sector in severity phase 5 '[modify the threshold']]:[Manual Flag]], "Flagged")</f>
        <v>0</v>
      </c>
      <c r="AU135" s="338">
        <f>tblSeverityAnalysis[[#This Row],[Preliminary Intersectoral Severity based on overlap of sectoral deprivations]]</f>
        <v>1</v>
      </c>
      <c r="AV135" s="339"/>
    </row>
    <row r="136" spans="1:48" ht="15" hidden="1" customHeight="1">
      <c r="A13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MZ1012</v>
      </c>
      <c r="B136" s="39" t="s">
        <v>474</v>
      </c>
      <c r="C136" s="340" t="s">
        <v>475</v>
      </c>
      <c r="D136" s="340" t="s">
        <v>498</v>
      </c>
      <c r="E136" s="33" t="s">
        <v>499</v>
      </c>
      <c r="F136" s="33"/>
      <c r="G136" s="33"/>
      <c r="H136" s="20"/>
      <c r="I136" s="95">
        <v>349103</v>
      </c>
      <c r="J136" s="95"/>
      <c r="K136" s="321"/>
      <c r="L136" s="303"/>
      <c r="M136" s="303" t="s">
        <v>264</v>
      </c>
      <c r="N136" s="303">
        <v>3</v>
      </c>
      <c r="O136" s="372"/>
      <c r="P136" s="303">
        <v>0</v>
      </c>
      <c r="Q136" s="304"/>
      <c r="R136" s="303">
        <v>2</v>
      </c>
      <c r="S136" s="303"/>
      <c r="T136" s="303"/>
      <c r="U136" s="303"/>
      <c r="V136" s="303"/>
      <c r="W136" s="330" t="str">
        <f>IF(COUNTIF(tblSeverityAnalysis[[#This Row],[CCCM]:[WASH]], 1)=0, "", COUNTIF(tblSeverityAnalysis[[#This Row],[CCCM]:[WASH]], 1))</f>
        <v/>
      </c>
      <c r="X136" s="331">
        <f>IF(COUNTIF(tblSeverityAnalysis[[#This Row],[CCCM]:[WASH]], 2)=0, "", COUNTIF(tblSeverityAnalysis[[#This Row],[CCCM]:[WASH]], 2))</f>
        <v>1</v>
      </c>
      <c r="Y136" s="331">
        <f>IF(COUNTIF(tblSeverityAnalysis[[#This Row],[CCCM]:[WASH]], 3)=0, "", COUNTIF(tblSeverityAnalysis[[#This Row],[CCCM]:[WASH]], 3))</f>
        <v>1</v>
      </c>
      <c r="Z136" s="331" t="str">
        <f>IF(COUNTIF(tblSeverityAnalysis[[#This Row],[CCCM]:[WASH]], 4)=0, "", COUNTIF(tblSeverityAnalysis[[#This Row],[CCCM]:[WASH]], 4))</f>
        <v/>
      </c>
      <c r="AA136" s="332" t="str">
        <f>IF(COUNTIF(tblSeverityAnalysis[[#This Row],[CCCM]:[WASH]], 5)=0, "", COUNTIF(tblSeverityAnalysis[[#This Row],[CCCM]:[WASH]], 5))</f>
        <v/>
      </c>
      <c r="AB136" s="59" cm="1">
        <f t="array" ref="AB13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6" s="41">
        <f>IFERROR(IF(INDEX(tblSeverityReference[Malnutrition Severity],MATCH(tblSeverityAnalysis[[#This Row],[ID]], tblSeverityReference[ID], 0))= "", "",INDEX(tblSeverityReference[Malnutrition Severity],MATCH(tblSeverityAnalysis[[#This Row],[ID]], tblSeverityReference[ID], 0)) ), "")</f>
        <v>2</v>
      </c>
      <c r="AE136" s="303">
        <f>IFERROR(IF(INDEX(tblSeverityReference[Epidemic Severity],MATCH(tblSeverityAnalysis[[#This Row],[ID]], tblSeverityReference[ID], 0))= "", "",INDEX(tblSeverityReference[Epidemic Severity],MATCH(tblSeverityAnalysis[[#This Row],[ID]], tblSeverityReference[ID], 0)) ), "")</f>
        <v>2.2352941176470589</v>
      </c>
      <c r="AF136" s="303">
        <f>IFERROR(IF(INDEX(tblSeverityReference[Coping Strategy Severity],MATCH(tblSeverityAnalysis[[#This Row],[ID]], tblSeverityReference[ID], 0))= "", "",INDEX(tblSeverityReference[Coping Strategy Severity],MATCH(tblSeverityAnalysis[[#This Row],[ID]], tblSeverityReference[ID], 0)) ), "")</f>
        <v>2</v>
      </c>
      <c r="AG136" s="108" t="str">
        <f>IFERROR(IF(INDEX(tblSeverityReference[HR/IHL Violation],MATCH(tblSeverityAnalysis[[#This Row],[ID]], tblSeverityReference[ID], 0))= "", "",INDEX(tblSeverityReference[HR/IHL Violation],MATCH(tblSeverityAnalysis[[#This Row],[ID]], tblSeverityReference[ID], 0)) ), "")</f>
        <v/>
      </c>
      <c r="AH136" s="81">
        <f>IFERROR(AVERAGE(tblSeverityAnalysis[[#This Row],[CCCM]:[WASH]]), "")</f>
        <v>1.6666666666666667</v>
      </c>
      <c r="AI136" s="27">
        <f>IF(SUM(tblSeverityAnalysis[[#This Row],[CCCM]:[WASH]])=0, "", MAX(tblSeverityAnalysis[[#This Row],[CCCM]:[WASH]]))</f>
        <v>3</v>
      </c>
      <c r="AJ136" s="333" t="str" cm="1">
        <f t="array" ref="AJ136">IFERROR(IF(tblSeverityAnalysis[[#This Row],[Highest Severity]]="", "", _xlfn.TEXTJOIN(CHAR(10), TRUE, IF(tblSeverityAnalysis[[#This Row],[CCCM]:[WASH]]=tblSeverityAnalysis[[#This Row],[Highest Severity]], tblSeverityAnalysis[[#Headers],[CCCM]:[WASH]], ""), "")), "")</f>
        <v>Food Security</v>
      </c>
      <c r="AK136" s="27" cm="1">
        <f t="array" ref="AK136">IFERROR(MAX(_xlfn._xlws.FILTER(tblSeverityAnalysis[[#This Row],[CCCM]:[WASH]], tblSeverityAnalysis[[#This Row],[CCCM]:[WASH]]&lt;tblSeverityAnalysis[[#This Row],[Highest Severity]])), "")</f>
        <v>2</v>
      </c>
      <c r="AL136" s="313" t="str" cm="1">
        <f t="array" ref="AL136">IFERROR(IF(tblSeverityAnalysis[[#This Row],[2nd Highest Severity]]="", "", _xlfn.TEXTJOIN(CHAR(10), TRUE, IF(tblSeverityAnalysis[[#This Row],[CCCM]:[WASH]]=tblSeverityAnalysis[[#This Row],[2nd Highest Severity]], tblSeverityAnalysis[[#Headers],[CCCM]:[WASH]], ""), "")), "")</f>
        <v>WASH</v>
      </c>
      <c r="AM136" s="132" t="str">
        <f>IFERROR(IF(AND(tblSeverityAnalysis[[#This Row],[5]] &lt;&gt; "", tblSeverityAnalysis[[#This Row],[5]]&gt;=sectors_sev_5), "Flagged", ""), "")</f>
        <v/>
      </c>
      <c r="AN136" s="133" t="str">
        <f>IFERROR(IF(AND(tblSeverityAnalysis[[#This Row],[Preliminary Intersectoral Severity based on overlap of sectoral deprivations]]=4, SUM(tblSeverityAnalysis[[#This Row],[ 4 ]:[5]])&gt;=sectors_sev_4), "Flagged", ""), "")</f>
        <v/>
      </c>
      <c r="AO136" s="133" t="str" cm="1">
        <f t="array" ref="AO13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6" s="335"/>
      <c r="AR136" s="336"/>
      <c r="AS136" s="335"/>
      <c r="AT136" s="337">
        <f>COUNTIF(tblSeverityAnalysis[[#This Row],[1 sector in severity phase 5 '[modify the threshold']]:[Manual Flag]], "Flagged")</f>
        <v>1</v>
      </c>
      <c r="AU136" s="338">
        <f>tblSeverityAnalysis[[#This Row],[Preliminary Intersectoral Severity based on overlap of sectoral deprivations]]</f>
        <v>1</v>
      </c>
      <c r="AV136" s="339"/>
    </row>
    <row r="137" spans="1:48" ht="15" hidden="1" customHeight="1">
      <c r="A13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MZ1013</v>
      </c>
      <c r="B137" s="39" t="s">
        <v>474</v>
      </c>
      <c r="C137" s="340" t="s">
        <v>475</v>
      </c>
      <c r="D137" s="340" t="s">
        <v>500</v>
      </c>
      <c r="E137" s="33" t="s">
        <v>501</v>
      </c>
      <c r="F137" s="33"/>
      <c r="G137" s="33"/>
      <c r="H137" s="20"/>
      <c r="I137" s="95">
        <v>215009</v>
      </c>
      <c r="J137" s="95"/>
      <c r="K137" s="321"/>
      <c r="L137" s="303"/>
      <c r="M137" s="303">
        <v>3</v>
      </c>
      <c r="N137" s="303">
        <v>3</v>
      </c>
      <c r="O137" s="372"/>
      <c r="P137" s="303">
        <v>0</v>
      </c>
      <c r="Q137" s="304"/>
      <c r="R137" s="303">
        <v>2</v>
      </c>
      <c r="S137" s="303"/>
      <c r="T137" s="303"/>
      <c r="U137" s="303"/>
      <c r="V137" s="303"/>
      <c r="W137" s="330" t="str">
        <f>IF(COUNTIF(tblSeverityAnalysis[[#This Row],[CCCM]:[WASH]], 1)=0, "", COUNTIF(tblSeverityAnalysis[[#This Row],[CCCM]:[WASH]], 1))</f>
        <v/>
      </c>
      <c r="X137" s="331">
        <f>IF(COUNTIF(tblSeverityAnalysis[[#This Row],[CCCM]:[WASH]], 2)=0, "", COUNTIF(tblSeverityAnalysis[[#This Row],[CCCM]:[WASH]], 2))</f>
        <v>1</v>
      </c>
      <c r="Y137" s="331">
        <f>IF(COUNTIF(tblSeverityAnalysis[[#This Row],[CCCM]:[WASH]], 3)=0, "", COUNTIF(tblSeverityAnalysis[[#This Row],[CCCM]:[WASH]], 3))</f>
        <v>2</v>
      </c>
      <c r="Z137" s="331" t="str">
        <f>IF(COUNTIF(tblSeverityAnalysis[[#This Row],[CCCM]:[WASH]], 4)=0, "", COUNTIF(tblSeverityAnalysis[[#This Row],[CCCM]:[WASH]], 4))</f>
        <v/>
      </c>
      <c r="AA137" s="332" t="str">
        <f>IF(COUNTIF(tblSeverityAnalysis[[#This Row],[CCCM]:[WASH]], 5)=0, "", COUNTIF(tblSeverityAnalysis[[#This Row],[CCCM]:[WASH]], 5))</f>
        <v/>
      </c>
      <c r="AB137" s="59" cm="1">
        <f t="array" ref="AB13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7" s="41">
        <f>IFERROR(IF(INDEX(tblSeverityReference[Malnutrition Severity],MATCH(tblSeverityAnalysis[[#This Row],[ID]], tblSeverityReference[ID], 0))= "", "",INDEX(tblSeverityReference[Malnutrition Severity],MATCH(tblSeverityAnalysis[[#This Row],[ID]], tblSeverityReference[ID], 0)) ), "")</f>
        <v>2</v>
      </c>
      <c r="AE137" s="303">
        <f>IFERROR(IF(INDEX(tblSeverityReference[Epidemic Severity],MATCH(tblSeverityAnalysis[[#This Row],[ID]], tblSeverityReference[ID], 0))= "", "",INDEX(tblSeverityReference[Epidemic Severity],MATCH(tblSeverityAnalysis[[#This Row],[ID]], tblSeverityReference[ID], 0)) ), "")</f>
        <v>3.2352941176470589</v>
      </c>
      <c r="AF137" s="303">
        <f>IFERROR(IF(INDEX(tblSeverityReference[Coping Strategy Severity],MATCH(tblSeverityAnalysis[[#This Row],[ID]], tblSeverityReference[ID], 0))= "", "",INDEX(tblSeverityReference[Coping Strategy Severity],MATCH(tblSeverityAnalysis[[#This Row],[ID]], tblSeverityReference[ID], 0)) ), "")</f>
        <v>4</v>
      </c>
      <c r="AG137" s="108" t="str">
        <f>IFERROR(IF(INDEX(tblSeverityReference[HR/IHL Violation],MATCH(tblSeverityAnalysis[[#This Row],[ID]], tblSeverityReference[ID], 0))= "", "",INDEX(tblSeverityReference[HR/IHL Violation],MATCH(tblSeverityAnalysis[[#This Row],[ID]], tblSeverityReference[ID], 0)) ), "")</f>
        <v/>
      </c>
      <c r="AH137" s="81">
        <f>IFERROR(AVERAGE(tblSeverityAnalysis[[#This Row],[CCCM]:[WASH]]), "")</f>
        <v>2</v>
      </c>
      <c r="AI137" s="27">
        <f>IF(SUM(tblSeverityAnalysis[[#This Row],[CCCM]:[WASH]])=0, "", MAX(tblSeverityAnalysis[[#This Row],[CCCM]:[WASH]]))</f>
        <v>3</v>
      </c>
      <c r="AJ137" s="333" t="str" cm="1">
        <f t="array" ref="AJ137">IFERROR(IF(tblSeverityAnalysis[[#This Row],[Highest Severity]]="", "", _xlfn.TEXTJOIN(CHAR(10), TRUE, IF(tblSeverityAnalysis[[#This Row],[CCCM]:[WASH]]=tblSeverityAnalysis[[#This Row],[Highest Severity]], tblSeverityAnalysis[[#Headers],[CCCM]:[WASH]], ""), "")), "")</f>
        <v>Nutrition
Food Security</v>
      </c>
      <c r="AK137" s="27" cm="1">
        <f t="array" ref="AK137">IFERROR(MAX(_xlfn._xlws.FILTER(tblSeverityAnalysis[[#This Row],[CCCM]:[WASH]], tblSeverityAnalysis[[#This Row],[CCCM]:[WASH]]&lt;tblSeverityAnalysis[[#This Row],[Highest Severity]])), "")</f>
        <v>2</v>
      </c>
      <c r="AL137" s="313" t="str" cm="1">
        <f t="array" ref="AL137">IFERROR(IF(tblSeverityAnalysis[[#This Row],[2nd Highest Severity]]="", "", _xlfn.TEXTJOIN(CHAR(10), TRUE, IF(tblSeverityAnalysis[[#This Row],[CCCM]:[WASH]]=tblSeverityAnalysis[[#This Row],[2nd Highest Severity]], tblSeverityAnalysis[[#Headers],[CCCM]:[WASH]], ""), "")), "")</f>
        <v>WASH</v>
      </c>
      <c r="AM137" s="132" t="str">
        <f>IFERROR(IF(AND(tblSeverityAnalysis[[#This Row],[5]] &lt;&gt; "", tblSeverityAnalysis[[#This Row],[5]]&gt;=sectors_sev_5), "Flagged", ""), "")</f>
        <v/>
      </c>
      <c r="AN137" s="133" t="str">
        <f>IFERROR(IF(AND(tblSeverityAnalysis[[#This Row],[Preliminary Intersectoral Severity based on overlap of sectoral deprivations]]=4, SUM(tblSeverityAnalysis[[#This Row],[ 4 ]:[5]])&gt;=sectors_sev_4), "Flagged", ""), "")</f>
        <v/>
      </c>
      <c r="AO137" s="133" t="str" cm="1">
        <f t="array" ref="AO13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7" s="335"/>
      <c r="AR137" s="336"/>
      <c r="AS137" s="335"/>
      <c r="AT137" s="337">
        <f>COUNTIF(tblSeverityAnalysis[[#This Row],[1 sector in severity phase 5 '[modify the threshold']]:[Manual Flag]], "Flagged")</f>
        <v>2</v>
      </c>
      <c r="AU137" s="338">
        <f>tblSeverityAnalysis[[#This Row],[Preliminary Intersectoral Severity based on overlap of sectoral deprivations]]</f>
        <v>1</v>
      </c>
      <c r="AV137" s="339"/>
    </row>
    <row r="138" spans="1:48" ht="15" hidden="1" customHeight="1">
      <c r="A13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MZ1014</v>
      </c>
      <c r="B138" s="39" t="s">
        <v>474</v>
      </c>
      <c r="C138" s="340" t="s">
        <v>475</v>
      </c>
      <c r="D138" s="340" t="s">
        <v>502</v>
      </c>
      <c r="E138" s="33" t="s">
        <v>503</v>
      </c>
      <c r="F138" s="33"/>
      <c r="G138" s="33"/>
      <c r="H138" s="20"/>
      <c r="I138" s="95">
        <v>287629</v>
      </c>
      <c r="J138" s="95"/>
      <c r="K138" s="321"/>
      <c r="L138" s="303"/>
      <c r="M138" s="303" t="s">
        <v>264</v>
      </c>
      <c r="N138" s="303"/>
      <c r="O138" s="372"/>
      <c r="P138" s="303">
        <v>0</v>
      </c>
      <c r="Q138" s="304"/>
      <c r="R138" s="303">
        <v>2</v>
      </c>
      <c r="S138" s="303"/>
      <c r="T138" s="303"/>
      <c r="U138" s="303"/>
      <c r="V138" s="303"/>
      <c r="W138" s="330" t="str">
        <f>IF(COUNTIF(tblSeverityAnalysis[[#This Row],[CCCM]:[WASH]], 1)=0, "", COUNTIF(tblSeverityAnalysis[[#This Row],[CCCM]:[WASH]], 1))</f>
        <v/>
      </c>
      <c r="X138" s="331">
        <f>IF(COUNTIF(tblSeverityAnalysis[[#This Row],[CCCM]:[WASH]], 2)=0, "", COUNTIF(tblSeverityAnalysis[[#This Row],[CCCM]:[WASH]], 2))</f>
        <v>1</v>
      </c>
      <c r="Y138" s="331" t="str">
        <f>IF(COUNTIF(tblSeverityAnalysis[[#This Row],[CCCM]:[WASH]], 3)=0, "", COUNTIF(tblSeverityAnalysis[[#This Row],[CCCM]:[WASH]], 3))</f>
        <v/>
      </c>
      <c r="Z138" s="331" t="str">
        <f>IF(COUNTIF(tblSeverityAnalysis[[#This Row],[CCCM]:[WASH]], 4)=0, "", COUNTIF(tblSeverityAnalysis[[#This Row],[CCCM]:[WASH]], 4))</f>
        <v/>
      </c>
      <c r="AA138" s="332" t="str">
        <f>IF(COUNTIF(tblSeverityAnalysis[[#This Row],[CCCM]:[WASH]], 5)=0, "", COUNTIF(tblSeverityAnalysis[[#This Row],[CCCM]:[WASH]], 5))</f>
        <v/>
      </c>
      <c r="AB138" s="59" cm="1">
        <f t="array" ref="AB13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8" s="41" t="str">
        <f>IFERROR(IF(INDEX(tblSeverityReference[Malnutrition Severity],MATCH(tblSeverityAnalysis[[#This Row],[ID]], tblSeverityReference[ID], 0))= "", "",INDEX(tblSeverityReference[Malnutrition Severity],MATCH(tblSeverityAnalysis[[#This Row],[ID]], tblSeverityReference[ID], 0)) ), "")</f>
        <v/>
      </c>
      <c r="AE138" s="303">
        <f>IFERROR(IF(INDEX(tblSeverityReference[Epidemic Severity],MATCH(tblSeverityAnalysis[[#This Row],[ID]], tblSeverityReference[ID], 0))= "", "",INDEX(tblSeverityReference[Epidemic Severity],MATCH(tblSeverityAnalysis[[#This Row],[ID]], tblSeverityReference[ID], 0)) ), "")</f>
        <v>2.2352941176470589</v>
      </c>
      <c r="AF138" s="303" t="str">
        <f>IFERROR(IF(INDEX(tblSeverityReference[Coping Strategy Severity],MATCH(tblSeverityAnalysis[[#This Row],[ID]], tblSeverityReference[ID], 0))= "", "",INDEX(tblSeverityReference[Coping Strategy Severity],MATCH(tblSeverityAnalysis[[#This Row],[ID]], tblSeverityReference[ID], 0)) ), "")</f>
        <v/>
      </c>
      <c r="AG138" s="108" t="str">
        <f>IFERROR(IF(INDEX(tblSeverityReference[HR/IHL Violation],MATCH(tblSeverityAnalysis[[#This Row],[ID]], tblSeverityReference[ID], 0))= "", "",INDEX(tblSeverityReference[HR/IHL Violation],MATCH(tblSeverityAnalysis[[#This Row],[ID]], tblSeverityReference[ID], 0)) ), "")</f>
        <v/>
      </c>
      <c r="AH138" s="81">
        <f>IFERROR(AVERAGE(tblSeverityAnalysis[[#This Row],[CCCM]:[WASH]]), "")</f>
        <v>1</v>
      </c>
      <c r="AI138" s="27">
        <f>IF(SUM(tblSeverityAnalysis[[#This Row],[CCCM]:[WASH]])=0, "", MAX(tblSeverityAnalysis[[#This Row],[CCCM]:[WASH]]))</f>
        <v>2</v>
      </c>
      <c r="AJ138" s="333" t="str" cm="1">
        <f t="array" ref="AJ138">IFERROR(IF(tblSeverityAnalysis[[#This Row],[Highest Severity]]="", "", _xlfn.TEXTJOIN(CHAR(10), TRUE, IF(tblSeverityAnalysis[[#This Row],[CCCM]:[WASH]]=tblSeverityAnalysis[[#This Row],[Highest Severity]], tblSeverityAnalysis[[#Headers],[CCCM]:[WASH]], ""), "")), "")</f>
        <v>WASH</v>
      </c>
      <c r="AK138" s="27" cm="1">
        <f t="array" ref="AK138">IFERROR(MAX(_xlfn._xlws.FILTER(tblSeverityAnalysis[[#This Row],[CCCM]:[WASH]], tblSeverityAnalysis[[#This Row],[CCCM]:[WASH]]&lt;tblSeverityAnalysis[[#This Row],[Highest Severity]])), "")</f>
        <v>0</v>
      </c>
      <c r="AL138" s="313" t="str" cm="1">
        <f t="array" ref="AL13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38" s="132" t="str">
        <f>IFERROR(IF(AND(tblSeverityAnalysis[[#This Row],[5]] &lt;&gt; "", tblSeverityAnalysis[[#This Row],[5]]&gt;=sectors_sev_5), "Flagged", ""), "")</f>
        <v/>
      </c>
      <c r="AN138" s="133" t="str">
        <f>IFERROR(IF(AND(tblSeverityAnalysis[[#This Row],[Preliminary Intersectoral Severity based on overlap of sectoral deprivations]]=4, SUM(tblSeverityAnalysis[[#This Row],[ 4 ]:[5]])&gt;=sectors_sev_4), "Flagged", ""), "")</f>
        <v/>
      </c>
      <c r="AO138" s="133" t="str" cm="1">
        <f t="array" ref="AO13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8" s="335"/>
      <c r="AR138" s="336"/>
      <c r="AS138" s="335"/>
      <c r="AT138" s="337">
        <f>COUNTIF(tblSeverityAnalysis[[#This Row],[1 sector in severity phase 5 '[modify the threshold']]:[Manual Flag]], "Flagged")</f>
        <v>0</v>
      </c>
      <c r="AU138" s="338">
        <f>tblSeverityAnalysis[[#This Row],[Preliminary Intersectoral Severity based on overlap of sectoral deprivations]]</f>
        <v>1</v>
      </c>
      <c r="AV138" s="339"/>
    </row>
    <row r="139" spans="1:48" ht="15" hidden="1" customHeight="1">
      <c r="A13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MZ1015</v>
      </c>
      <c r="B139" s="39" t="s">
        <v>474</v>
      </c>
      <c r="C139" s="340" t="s">
        <v>475</v>
      </c>
      <c r="D139" s="340" t="s">
        <v>504</v>
      </c>
      <c r="E139" s="33" t="s">
        <v>505</v>
      </c>
      <c r="F139" s="33"/>
      <c r="G139" s="33"/>
      <c r="H139" s="20"/>
      <c r="I139" s="95">
        <v>100885</v>
      </c>
      <c r="J139" s="95"/>
      <c r="K139" s="321"/>
      <c r="L139" s="303"/>
      <c r="M139" s="303" t="s">
        <v>264</v>
      </c>
      <c r="N139" s="303"/>
      <c r="O139" s="372"/>
      <c r="P139" s="303">
        <v>0</v>
      </c>
      <c r="Q139" s="304"/>
      <c r="R139" s="303">
        <v>1</v>
      </c>
      <c r="S139" s="303"/>
      <c r="T139" s="303"/>
      <c r="U139" s="303"/>
      <c r="V139" s="303"/>
      <c r="W139" s="330">
        <f>IF(COUNTIF(tblSeverityAnalysis[[#This Row],[CCCM]:[WASH]], 1)=0, "", COUNTIF(tblSeverityAnalysis[[#This Row],[CCCM]:[WASH]], 1))</f>
        <v>1</v>
      </c>
      <c r="X139" s="331" t="str">
        <f>IF(COUNTIF(tblSeverityAnalysis[[#This Row],[CCCM]:[WASH]], 2)=0, "", COUNTIF(tblSeverityAnalysis[[#This Row],[CCCM]:[WASH]], 2))</f>
        <v/>
      </c>
      <c r="Y139" s="331" t="str">
        <f>IF(COUNTIF(tblSeverityAnalysis[[#This Row],[CCCM]:[WASH]], 3)=0, "", COUNTIF(tblSeverityAnalysis[[#This Row],[CCCM]:[WASH]], 3))</f>
        <v/>
      </c>
      <c r="Z139" s="331" t="str">
        <f>IF(COUNTIF(tblSeverityAnalysis[[#This Row],[CCCM]:[WASH]], 4)=0, "", COUNTIF(tblSeverityAnalysis[[#This Row],[CCCM]:[WASH]], 4))</f>
        <v/>
      </c>
      <c r="AA139" s="332" t="str">
        <f>IF(COUNTIF(tblSeverityAnalysis[[#This Row],[CCCM]:[WASH]], 5)=0, "", COUNTIF(tblSeverityAnalysis[[#This Row],[CCCM]:[WASH]], 5))</f>
        <v/>
      </c>
      <c r="AB139" s="59" cm="1">
        <f t="array" ref="AB13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3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9" s="41" t="str">
        <f>IFERROR(IF(INDEX(tblSeverityReference[Malnutrition Severity],MATCH(tblSeverityAnalysis[[#This Row],[ID]], tblSeverityReference[ID], 0))= "", "",INDEX(tblSeverityReference[Malnutrition Severity],MATCH(tblSeverityAnalysis[[#This Row],[ID]], tblSeverityReference[ID], 0)) ), "")</f>
        <v/>
      </c>
      <c r="AE139" s="303">
        <f>IFERROR(IF(INDEX(tblSeverityReference[Epidemic Severity],MATCH(tblSeverityAnalysis[[#This Row],[ID]], tblSeverityReference[ID], 0))= "", "",INDEX(tblSeverityReference[Epidemic Severity],MATCH(tblSeverityAnalysis[[#This Row],[ID]], tblSeverityReference[ID], 0)) ), "")</f>
        <v>1.8235294117647056</v>
      </c>
      <c r="AF139" s="303" t="str">
        <f>IFERROR(IF(INDEX(tblSeverityReference[Coping Strategy Severity],MATCH(tblSeverityAnalysis[[#This Row],[ID]], tblSeverityReference[ID], 0))= "", "",INDEX(tblSeverityReference[Coping Strategy Severity],MATCH(tblSeverityAnalysis[[#This Row],[ID]], tblSeverityReference[ID], 0)) ), "")</f>
        <v/>
      </c>
      <c r="AG139" s="108" t="str">
        <f>IFERROR(IF(INDEX(tblSeverityReference[HR/IHL Violation],MATCH(tblSeverityAnalysis[[#This Row],[ID]], tblSeverityReference[ID], 0))= "", "",INDEX(tblSeverityReference[HR/IHL Violation],MATCH(tblSeverityAnalysis[[#This Row],[ID]], tblSeverityReference[ID], 0)) ), "")</f>
        <v/>
      </c>
      <c r="AH139" s="81">
        <f>IFERROR(AVERAGE(tblSeverityAnalysis[[#This Row],[CCCM]:[WASH]]), "")</f>
        <v>0.5</v>
      </c>
      <c r="AI139" s="27">
        <f>IF(SUM(tblSeverityAnalysis[[#This Row],[CCCM]:[WASH]])=0, "", MAX(tblSeverityAnalysis[[#This Row],[CCCM]:[WASH]]))</f>
        <v>1</v>
      </c>
      <c r="AJ139" s="333" t="str" cm="1">
        <f t="array" ref="AJ139">IFERROR(IF(tblSeverityAnalysis[[#This Row],[Highest Severity]]="", "", _xlfn.TEXTJOIN(CHAR(10), TRUE, IF(tblSeverityAnalysis[[#This Row],[CCCM]:[WASH]]=tblSeverityAnalysis[[#This Row],[Highest Severity]], tblSeverityAnalysis[[#Headers],[CCCM]:[WASH]], ""), "")), "")</f>
        <v>WASH</v>
      </c>
      <c r="AK139" s="27" cm="1">
        <f t="array" ref="AK139">IFERROR(MAX(_xlfn._xlws.FILTER(tblSeverityAnalysis[[#This Row],[CCCM]:[WASH]], tblSeverityAnalysis[[#This Row],[CCCM]:[WASH]]&lt;tblSeverityAnalysis[[#This Row],[Highest Severity]])), "")</f>
        <v>0</v>
      </c>
      <c r="AL139" s="313" t="str" cm="1">
        <f t="array" ref="AL13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39" s="132" t="str">
        <f>IFERROR(IF(AND(tblSeverityAnalysis[[#This Row],[5]] &lt;&gt; "", tblSeverityAnalysis[[#This Row],[5]]&gt;=sectors_sev_5), "Flagged", ""), "")</f>
        <v/>
      </c>
      <c r="AN139" s="133" t="str">
        <f>IFERROR(IF(AND(tblSeverityAnalysis[[#This Row],[Preliminary Intersectoral Severity based on overlap of sectoral deprivations]]=4, SUM(tblSeverityAnalysis[[#This Row],[ 4 ]:[5]])&gt;=sectors_sev_4), "Flagged", ""), "")</f>
        <v/>
      </c>
      <c r="AO139" s="133" t="str" cm="1">
        <f t="array" ref="AO13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9" s="335"/>
      <c r="AR139" s="336"/>
      <c r="AS139" s="335"/>
      <c r="AT139" s="337">
        <f>COUNTIF(tblSeverityAnalysis[[#This Row],[1 sector in severity phase 5 '[modify the threshold']]:[Manual Flag]], "Flagged")</f>
        <v>0</v>
      </c>
      <c r="AU139" s="338">
        <f>tblSeverityAnalysis[[#This Row],[Preliminary Intersectoral Severity based on overlap of sectoral deprivations]]</f>
        <v>1</v>
      </c>
      <c r="AV139" s="339"/>
    </row>
    <row r="140" spans="1:48" ht="15" hidden="1" customHeight="1">
      <c r="A14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MZ1101</v>
      </c>
      <c r="B140" s="39" t="s">
        <v>506</v>
      </c>
      <c r="C140" s="340" t="s">
        <v>507</v>
      </c>
      <c r="D140" s="340" t="s">
        <v>508</v>
      </c>
      <c r="E140" s="33" t="s">
        <v>509</v>
      </c>
      <c r="F140" s="33"/>
      <c r="G140" s="33"/>
      <c r="H140" s="20"/>
      <c r="I140" s="95">
        <v>429472</v>
      </c>
      <c r="J140" s="95"/>
      <c r="K140" s="321"/>
      <c r="L140" s="303"/>
      <c r="M140" s="303" t="s">
        <v>264</v>
      </c>
      <c r="N140" s="303"/>
      <c r="O140" s="372"/>
      <c r="P140" s="303">
        <v>0</v>
      </c>
      <c r="Q140" s="304"/>
      <c r="R140" s="303">
        <v>4</v>
      </c>
      <c r="S140" s="303"/>
      <c r="T140" s="303"/>
      <c r="U140" s="303"/>
      <c r="V140" s="303"/>
      <c r="W140" s="330" t="str">
        <f>IF(COUNTIF(tblSeverityAnalysis[[#This Row],[CCCM]:[WASH]], 1)=0, "", COUNTIF(tblSeverityAnalysis[[#This Row],[CCCM]:[WASH]], 1))</f>
        <v/>
      </c>
      <c r="X140" s="331" t="str">
        <f>IF(COUNTIF(tblSeverityAnalysis[[#This Row],[CCCM]:[WASH]], 2)=0, "", COUNTIF(tblSeverityAnalysis[[#This Row],[CCCM]:[WASH]], 2))</f>
        <v/>
      </c>
      <c r="Y140" s="331" t="str">
        <f>IF(COUNTIF(tblSeverityAnalysis[[#This Row],[CCCM]:[WASH]], 3)=0, "", COUNTIF(tblSeverityAnalysis[[#This Row],[CCCM]:[WASH]], 3))</f>
        <v/>
      </c>
      <c r="Z140" s="331">
        <f>IF(COUNTIF(tblSeverityAnalysis[[#This Row],[CCCM]:[WASH]], 4)=0, "", COUNTIF(tblSeverityAnalysis[[#This Row],[CCCM]:[WASH]], 4))</f>
        <v>1</v>
      </c>
      <c r="AA140" s="332" t="str">
        <f>IF(COUNTIF(tblSeverityAnalysis[[#This Row],[CCCM]:[WASH]], 5)=0, "", COUNTIF(tblSeverityAnalysis[[#This Row],[CCCM]:[WASH]], 5))</f>
        <v/>
      </c>
      <c r="AB140" s="59" cm="1">
        <f t="array" ref="AB14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0" s="41" t="str">
        <f>IFERROR(IF(INDEX(tblSeverityReference[Malnutrition Severity],MATCH(tblSeverityAnalysis[[#This Row],[ID]], tblSeverityReference[ID], 0))= "", "",INDEX(tblSeverityReference[Malnutrition Severity],MATCH(tblSeverityAnalysis[[#This Row],[ID]], tblSeverityReference[ID], 0)) ), "")</f>
        <v/>
      </c>
      <c r="AE140" s="303">
        <f>IFERROR(IF(INDEX(tblSeverityReference[Epidemic Severity],MATCH(tblSeverityAnalysis[[#This Row],[ID]], tblSeverityReference[ID], 0))= "", "",INDEX(tblSeverityReference[Epidemic Severity],MATCH(tblSeverityAnalysis[[#This Row],[ID]], tblSeverityReference[ID], 0)) ), "")</f>
        <v>2.2352941176470589</v>
      </c>
      <c r="AF140" s="303" t="str">
        <f>IFERROR(IF(INDEX(tblSeverityReference[Coping Strategy Severity],MATCH(tblSeverityAnalysis[[#This Row],[ID]], tblSeverityReference[ID], 0))= "", "",INDEX(tblSeverityReference[Coping Strategy Severity],MATCH(tblSeverityAnalysis[[#This Row],[ID]], tblSeverityReference[ID], 0)) ), "")</f>
        <v/>
      </c>
      <c r="AG140" s="108" t="str">
        <f>IFERROR(IF(INDEX(tblSeverityReference[HR/IHL Violation],MATCH(tblSeverityAnalysis[[#This Row],[ID]], tblSeverityReference[ID], 0))= "", "",INDEX(tblSeverityReference[HR/IHL Violation],MATCH(tblSeverityAnalysis[[#This Row],[ID]], tblSeverityReference[ID], 0)) ), "")</f>
        <v/>
      </c>
      <c r="AH140" s="81">
        <f>IFERROR(AVERAGE(tblSeverityAnalysis[[#This Row],[CCCM]:[WASH]]), "")</f>
        <v>2</v>
      </c>
      <c r="AI140" s="27">
        <f>IF(SUM(tblSeverityAnalysis[[#This Row],[CCCM]:[WASH]])=0, "", MAX(tblSeverityAnalysis[[#This Row],[CCCM]:[WASH]]))</f>
        <v>4</v>
      </c>
      <c r="AJ140" s="333" t="str" cm="1">
        <f t="array" ref="AJ140">IFERROR(IF(tblSeverityAnalysis[[#This Row],[Highest Severity]]="", "", _xlfn.TEXTJOIN(CHAR(10), TRUE, IF(tblSeverityAnalysis[[#This Row],[CCCM]:[WASH]]=tblSeverityAnalysis[[#This Row],[Highest Severity]], tblSeverityAnalysis[[#Headers],[CCCM]:[WASH]], ""), "")), "")</f>
        <v>WASH</v>
      </c>
      <c r="AK140" s="27" cm="1">
        <f t="array" ref="AK140">IFERROR(MAX(_xlfn._xlws.FILTER(tblSeverityAnalysis[[#This Row],[CCCM]:[WASH]], tblSeverityAnalysis[[#This Row],[CCCM]:[WASH]]&lt;tblSeverityAnalysis[[#This Row],[Highest Severity]])), "")</f>
        <v>0</v>
      </c>
      <c r="AL140" s="313" t="str" cm="1">
        <f t="array" ref="AL14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0" s="132" t="str">
        <f>IFERROR(IF(AND(tblSeverityAnalysis[[#This Row],[5]] &lt;&gt; "", tblSeverityAnalysis[[#This Row],[5]]&gt;=sectors_sev_5), "Flagged", ""), "")</f>
        <v/>
      </c>
      <c r="AN140" s="133" t="str">
        <f>IFERROR(IF(AND(tblSeverityAnalysis[[#This Row],[Preliminary Intersectoral Severity based on overlap of sectoral deprivations]]=4, SUM(tblSeverityAnalysis[[#This Row],[ 4 ]:[5]])&gt;=sectors_sev_4), "Flagged", ""), "")</f>
        <v/>
      </c>
      <c r="AO140" s="133" t="str" cm="1">
        <f t="array" ref="AO14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0" s="335"/>
      <c r="AR140" s="336"/>
      <c r="AS140" s="335"/>
      <c r="AT140" s="337">
        <f>COUNTIF(tblSeverityAnalysis[[#This Row],[1 sector in severity phase 5 '[modify the threshold']]:[Manual Flag]], "Flagged")</f>
        <v>0</v>
      </c>
      <c r="AU140" s="338">
        <f>tblSeverityAnalysis[[#This Row],[Preliminary Intersectoral Severity based on overlap of sectoral deprivations]]</f>
        <v>1</v>
      </c>
      <c r="AV140" s="339"/>
    </row>
    <row r="141" spans="1:48" ht="15" hidden="1" customHeight="1">
      <c r="A14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MZ1102</v>
      </c>
      <c r="B141" s="39" t="s">
        <v>506</v>
      </c>
      <c r="C141" s="340" t="s">
        <v>507</v>
      </c>
      <c r="D141" s="340" t="s">
        <v>510</v>
      </c>
      <c r="E141" s="33" t="s">
        <v>511</v>
      </c>
      <c r="F141" s="33"/>
      <c r="G141" s="33"/>
      <c r="H141" s="20"/>
      <c r="I141" s="95">
        <v>109426</v>
      </c>
      <c r="J141" s="95"/>
      <c r="K141" s="321"/>
      <c r="L141" s="303"/>
      <c r="M141" s="303" t="s">
        <v>264</v>
      </c>
      <c r="N141" s="303"/>
      <c r="O141" s="372"/>
      <c r="P141" s="303">
        <v>0</v>
      </c>
      <c r="Q141" s="304"/>
      <c r="R141" s="303">
        <v>3</v>
      </c>
      <c r="S141" s="303"/>
      <c r="T141" s="303"/>
      <c r="U141" s="303"/>
      <c r="V141" s="303"/>
      <c r="W141" s="330" t="str">
        <f>IF(COUNTIF(tblSeverityAnalysis[[#This Row],[CCCM]:[WASH]], 1)=0, "", COUNTIF(tblSeverityAnalysis[[#This Row],[CCCM]:[WASH]], 1))</f>
        <v/>
      </c>
      <c r="X141" s="331" t="str">
        <f>IF(COUNTIF(tblSeverityAnalysis[[#This Row],[CCCM]:[WASH]], 2)=0, "", COUNTIF(tblSeverityAnalysis[[#This Row],[CCCM]:[WASH]], 2))</f>
        <v/>
      </c>
      <c r="Y141" s="331">
        <f>IF(COUNTIF(tblSeverityAnalysis[[#This Row],[CCCM]:[WASH]], 3)=0, "", COUNTIF(tblSeverityAnalysis[[#This Row],[CCCM]:[WASH]], 3))</f>
        <v>1</v>
      </c>
      <c r="Z141" s="331" t="str">
        <f>IF(COUNTIF(tblSeverityAnalysis[[#This Row],[CCCM]:[WASH]], 4)=0, "", COUNTIF(tblSeverityAnalysis[[#This Row],[CCCM]:[WASH]], 4))</f>
        <v/>
      </c>
      <c r="AA141" s="332" t="str">
        <f>IF(COUNTIF(tblSeverityAnalysis[[#This Row],[CCCM]:[WASH]], 5)=0, "", COUNTIF(tblSeverityAnalysis[[#This Row],[CCCM]:[WASH]], 5))</f>
        <v/>
      </c>
      <c r="AB141" s="59" cm="1">
        <f t="array" ref="AB14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1" s="41" t="str">
        <f>IFERROR(IF(INDEX(tblSeverityReference[Malnutrition Severity],MATCH(tblSeverityAnalysis[[#This Row],[ID]], tblSeverityReference[ID], 0))= "", "",INDEX(tblSeverityReference[Malnutrition Severity],MATCH(tblSeverityAnalysis[[#This Row],[ID]], tblSeverityReference[ID], 0)) ), "")</f>
        <v/>
      </c>
      <c r="AE141" s="303">
        <f>IFERROR(IF(INDEX(tblSeverityReference[Epidemic Severity],MATCH(tblSeverityAnalysis[[#This Row],[ID]], tblSeverityReference[ID], 0))= "", "",INDEX(tblSeverityReference[Epidemic Severity],MATCH(tblSeverityAnalysis[[#This Row],[ID]], tblSeverityReference[ID], 0)) ), "")</f>
        <v>2.8235294117647061</v>
      </c>
      <c r="AF141" s="303" t="str">
        <f>IFERROR(IF(INDEX(tblSeverityReference[Coping Strategy Severity],MATCH(tblSeverityAnalysis[[#This Row],[ID]], tblSeverityReference[ID], 0))= "", "",INDEX(tblSeverityReference[Coping Strategy Severity],MATCH(tblSeverityAnalysis[[#This Row],[ID]], tblSeverityReference[ID], 0)) ), "")</f>
        <v/>
      </c>
      <c r="AG141" s="108" t="str">
        <f>IFERROR(IF(INDEX(tblSeverityReference[HR/IHL Violation],MATCH(tblSeverityAnalysis[[#This Row],[ID]], tblSeverityReference[ID], 0))= "", "",INDEX(tblSeverityReference[HR/IHL Violation],MATCH(tblSeverityAnalysis[[#This Row],[ID]], tblSeverityReference[ID], 0)) ), "")</f>
        <v/>
      </c>
      <c r="AH141" s="81">
        <f>IFERROR(AVERAGE(tblSeverityAnalysis[[#This Row],[CCCM]:[WASH]]), "")</f>
        <v>1.5</v>
      </c>
      <c r="AI141" s="27">
        <f>IF(SUM(tblSeverityAnalysis[[#This Row],[CCCM]:[WASH]])=0, "", MAX(tblSeverityAnalysis[[#This Row],[CCCM]:[WASH]]))</f>
        <v>3</v>
      </c>
      <c r="AJ141" s="333" t="str" cm="1">
        <f t="array" ref="AJ141">IFERROR(IF(tblSeverityAnalysis[[#This Row],[Highest Severity]]="", "", _xlfn.TEXTJOIN(CHAR(10), TRUE, IF(tblSeverityAnalysis[[#This Row],[CCCM]:[WASH]]=tblSeverityAnalysis[[#This Row],[Highest Severity]], tblSeverityAnalysis[[#Headers],[CCCM]:[WASH]], ""), "")), "")</f>
        <v>WASH</v>
      </c>
      <c r="AK141" s="27" cm="1">
        <f t="array" ref="AK141">IFERROR(MAX(_xlfn._xlws.FILTER(tblSeverityAnalysis[[#This Row],[CCCM]:[WASH]], tblSeverityAnalysis[[#This Row],[CCCM]:[WASH]]&lt;tblSeverityAnalysis[[#This Row],[Highest Severity]])), "")</f>
        <v>0</v>
      </c>
      <c r="AL141" s="313" t="str" cm="1">
        <f t="array" ref="AL14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1" s="132" t="str">
        <f>IFERROR(IF(AND(tblSeverityAnalysis[[#This Row],[5]] &lt;&gt; "", tblSeverityAnalysis[[#This Row],[5]]&gt;=sectors_sev_5), "Flagged", ""), "")</f>
        <v/>
      </c>
      <c r="AN141" s="133" t="str">
        <f>IFERROR(IF(AND(tblSeverityAnalysis[[#This Row],[Preliminary Intersectoral Severity based on overlap of sectoral deprivations]]=4, SUM(tblSeverityAnalysis[[#This Row],[ 4 ]:[5]])&gt;=sectors_sev_4), "Flagged", ""), "")</f>
        <v/>
      </c>
      <c r="AO141" s="133" t="str" cm="1">
        <f t="array" ref="AO14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1" s="335"/>
      <c r="AR141" s="336"/>
      <c r="AS141" s="335"/>
      <c r="AT141" s="337">
        <f>COUNTIF(tblSeverityAnalysis[[#This Row],[1 sector in severity phase 5 '[modify the threshold']]:[Manual Flag]], "Flagged")</f>
        <v>0</v>
      </c>
      <c r="AU141" s="338">
        <f>tblSeverityAnalysis[[#This Row],[Preliminary Intersectoral Severity based on overlap of sectoral deprivations]]</f>
        <v>1</v>
      </c>
      <c r="AV141" s="339"/>
    </row>
    <row r="142" spans="1:48" ht="15" hidden="1" customHeight="1">
      <c r="A14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MZ1103</v>
      </c>
      <c r="B142" s="39" t="s">
        <v>506</v>
      </c>
      <c r="C142" s="340" t="s">
        <v>507</v>
      </c>
      <c r="D142" s="340" t="s">
        <v>512</v>
      </c>
      <c r="E142" s="33" t="s">
        <v>513</v>
      </c>
      <c r="F142" s="33"/>
      <c r="G142" s="33"/>
      <c r="H142" s="20"/>
      <c r="I142" s="95">
        <v>502879</v>
      </c>
      <c r="J142" s="95"/>
      <c r="K142" s="321"/>
      <c r="L142" s="303"/>
      <c r="M142" s="303" t="s">
        <v>264</v>
      </c>
      <c r="N142" s="303"/>
      <c r="O142" s="372"/>
      <c r="P142" s="303">
        <v>0</v>
      </c>
      <c r="Q142" s="304"/>
      <c r="R142" s="303">
        <v>3</v>
      </c>
      <c r="S142" s="303"/>
      <c r="T142" s="303"/>
      <c r="U142" s="303"/>
      <c r="V142" s="303"/>
      <c r="W142" s="330" t="str">
        <f>IF(COUNTIF(tblSeverityAnalysis[[#This Row],[CCCM]:[WASH]], 1)=0, "", COUNTIF(tblSeverityAnalysis[[#This Row],[CCCM]:[WASH]], 1))</f>
        <v/>
      </c>
      <c r="X142" s="331" t="str">
        <f>IF(COUNTIF(tblSeverityAnalysis[[#This Row],[CCCM]:[WASH]], 2)=0, "", COUNTIF(tblSeverityAnalysis[[#This Row],[CCCM]:[WASH]], 2))</f>
        <v/>
      </c>
      <c r="Y142" s="331">
        <f>IF(COUNTIF(tblSeverityAnalysis[[#This Row],[CCCM]:[WASH]], 3)=0, "", COUNTIF(tblSeverityAnalysis[[#This Row],[CCCM]:[WASH]], 3))</f>
        <v>1</v>
      </c>
      <c r="Z142" s="331" t="str">
        <f>IF(COUNTIF(tblSeverityAnalysis[[#This Row],[CCCM]:[WASH]], 4)=0, "", COUNTIF(tblSeverityAnalysis[[#This Row],[CCCM]:[WASH]], 4))</f>
        <v/>
      </c>
      <c r="AA142" s="332" t="str">
        <f>IF(COUNTIF(tblSeverityAnalysis[[#This Row],[CCCM]:[WASH]], 5)=0, "", COUNTIF(tblSeverityAnalysis[[#This Row],[CCCM]:[WASH]], 5))</f>
        <v/>
      </c>
      <c r="AB142" s="59" cm="1">
        <f t="array" ref="AB14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2" s="41" t="str">
        <f>IFERROR(IF(INDEX(tblSeverityReference[Malnutrition Severity],MATCH(tblSeverityAnalysis[[#This Row],[ID]], tblSeverityReference[ID], 0))= "", "",INDEX(tblSeverityReference[Malnutrition Severity],MATCH(tblSeverityAnalysis[[#This Row],[ID]], tblSeverityReference[ID], 0)) ), "")</f>
        <v/>
      </c>
      <c r="AE142" s="303">
        <f>IFERROR(IF(INDEX(tblSeverityReference[Epidemic Severity],MATCH(tblSeverityAnalysis[[#This Row],[ID]], tblSeverityReference[ID], 0))= "", "",INDEX(tblSeverityReference[Epidemic Severity],MATCH(tblSeverityAnalysis[[#This Row],[ID]], tblSeverityReference[ID], 0)) ), "")</f>
        <v>2.8235294117647061</v>
      </c>
      <c r="AF142" s="303" t="str">
        <f>IFERROR(IF(INDEX(tblSeverityReference[Coping Strategy Severity],MATCH(tblSeverityAnalysis[[#This Row],[ID]], tblSeverityReference[ID], 0))= "", "",INDEX(tblSeverityReference[Coping Strategy Severity],MATCH(tblSeverityAnalysis[[#This Row],[ID]], tblSeverityReference[ID], 0)) ), "")</f>
        <v/>
      </c>
      <c r="AG142" s="108" t="str">
        <f>IFERROR(IF(INDEX(tblSeverityReference[HR/IHL Violation],MATCH(tblSeverityAnalysis[[#This Row],[ID]], tblSeverityReference[ID], 0))= "", "",INDEX(tblSeverityReference[HR/IHL Violation],MATCH(tblSeverityAnalysis[[#This Row],[ID]], tblSeverityReference[ID], 0)) ), "")</f>
        <v/>
      </c>
      <c r="AH142" s="81">
        <f>IFERROR(AVERAGE(tblSeverityAnalysis[[#This Row],[CCCM]:[WASH]]), "")</f>
        <v>1.5</v>
      </c>
      <c r="AI142" s="27">
        <f>IF(SUM(tblSeverityAnalysis[[#This Row],[CCCM]:[WASH]])=0, "", MAX(tblSeverityAnalysis[[#This Row],[CCCM]:[WASH]]))</f>
        <v>3</v>
      </c>
      <c r="AJ142" s="333" t="str" cm="1">
        <f t="array" ref="AJ142">IFERROR(IF(tblSeverityAnalysis[[#This Row],[Highest Severity]]="", "", _xlfn.TEXTJOIN(CHAR(10), TRUE, IF(tblSeverityAnalysis[[#This Row],[CCCM]:[WASH]]=tblSeverityAnalysis[[#This Row],[Highest Severity]], tblSeverityAnalysis[[#Headers],[CCCM]:[WASH]], ""), "")), "")</f>
        <v>WASH</v>
      </c>
      <c r="AK142" s="27" cm="1">
        <f t="array" ref="AK142">IFERROR(MAX(_xlfn._xlws.FILTER(tblSeverityAnalysis[[#This Row],[CCCM]:[WASH]], tblSeverityAnalysis[[#This Row],[CCCM]:[WASH]]&lt;tblSeverityAnalysis[[#This Row],[Highest Severity]])), "")</f>
        <v>0</v>
      </c>
      <c r="AL142" s="313" t="str" cm="1">
        <f t="array" ref="AL14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2" s="132" t="str">
        <f>IFERROR(IF(AND(tblSeverityAnalysis[[#This Row],[5]] &lt;&gt; "", tblSeverityAnalysis[[#This Row],[5]]&gt;=sectors_sev_5), "Flagged", ""), "")</f>
        <v/>
      </c>
      <c r="AN142" s="133" t="str">
        <f>IFERROR(IF(AND(tblSeverityAnalysis[[#This Row],[Preliminary Intersectoral Severity based on overlap of sectoral deprivations]]=4, SUM(tblSeverityAnalysis[[#This Row],[ 4 ]:[5]])&gt;=sectors_sev_4), "Flagged", ""), "")</f>
        <v/>
      </c>
      <c r="AO142" s="133" t="str" cm="1">
        <f t="array" ref="AO14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2" s="335"/>
      <c r="AR142" s="336"/>
      <c r="AS142" s="335"/>
      <c r="AT142" s="337">
        <f>COUNTIF(tblSeverityAnalysis[[#This Row],[1 sector in severity phase 5 '[modify the threshold']]:[Manual Flag]], "Flagged")</f>
        <v>0</v>
      </c>
      <c r="AU142" s="338">
        <f>tblSeverityAnalysis[[#This Row],[Preliminary Intersectoral Severity based on overlap of sectoral deprivations]]</f>
        <v>1</v>
      </c>
      <c r="AV142" s="339"/>
    </row>
    <row r="143" spans="1:48" ht="15" hidden="1" customHeight="1">
      <c r="A14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MZ1104</v>
      </c>
      <c r="B143" s="39" t="s">
        <v>506</v>
      </c>
      <c r="C143" s="340" t="s">
        <v>507</v>
      </c>
      <c r="D143" s="340" t="s">
        <v>514</v>
      </c>
      <c r="E143" s="33" t="s">
        <v>515</v>
      </c>
      <c r="F143" s="33"/>
      <c r="G143" s="33"/>
      <c r="H143" s="20"/>
      <c r="I143" s="95">
        <v>132396</v>
      </c>
      <c r="J143" s="95"/>
      <c r="K143" s="321"/>
      <c r="L143" s="303"/>
      <c r="M143" s="303" t="s">
        <v>264</v>
      </c>
      <c r="N143" s="303">
        <v>2</v>
      </c>
      <c r="O143" s="372"/>
      <c r="P143" s="303">
        <v>0</v>
      </c>
      <c r="Q143" s="304"/>
      <c r="R143" s="303">
        <v>2</v>
      </c>
      <c r="S143" s="303"/>
      <c r="T143" s="303"/>
      <c r="U143" s="303"/>
      <c r="V143" s="303"/>
      <c r="W143" s="330" t="str">
        <f>IF(COUNTIF(tblSeverityAnalysis[[#This Row],[CCCM]:[WASH]], 1)=0, "", COUNTIF(tblSeverityAnalysis[[#This Row],[CCCM]:[WASH]], 1))</f>
        <v/>
      </c>
      <c r="X143" s="331">
        <f>IF(COUNTIF(tblSeverityAnalysis[[#This Row],[CCCM]:[WASH]], 2)=0, "", COUNTIF(tblSeverityAnalysis[[#This Row],[CCCM]:[WASH]], 2))</f>
        <v>2</v>
      </c>
      <c r="Y143" s="331" t="str">
        <f>IF(COUNTIF(tblSeverityAnalysis[[#This Row],[CCCM]:[WASH]], 3)=0, "", COUNTIF(tblSeverityAnalysis[[#This Row],[CCCM]:[WASH]], 3))</f>
        <v/>
      </c>
      <c r="Z143" s="331" t="str">
        <f>IF(COUNTIF(tblSeverityAnalysis[[#This Row],[CCCM]:[WASH]], 4)=0, "", COUNTIF(tblSeverityAnalysis[[#This Row],[CCCM]:[WASH]], 4))</f>
        <v/>
      </c>
      <c r="AA143" s="332" t="str">
        <f>IF(COUNTIF(tblSeverityAnalysis[[#This Row],[CCCM]:[WASH]], 5)=0, "", COUNTIF(tblSeverityAnalysis[[#This Row],[CCCM]:[WASH]], 5))</f>
        <v/>
      </c>
      <c r="AB143" s="59" cm="1">
        <f t="array" ref="AB14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3" s="41">
        <f>IFERROR(IF(INDEX(tblSeverityReference[Malnutrition Severity],MATCH(tblSeverityAnalysis[[#This Row],[ID]], tblSeverityReference[ID], 0))= "", "",INDEX(tblSeverityReference[Malnutrition Severity],MATCH(tblSeverityAnalysis[[#This Row],[ID]], tblSeverityReference[ID], 0)) ), "")</f>
        <v>2</v>
      </c>
      <c r="AE143" s="303">
        <f>IFERROR(IF(INDEX(tblSeverityReference[Epidemic Severity],MATCH(tblSeverityAnalysis[[#This Row],[ID]], tblSeverityReference[ID], 0))= "", "",INDEX(tblSeverityReference[Epidemic Severity],MATCH(tblSeverityAnalysis[[#This Row],[ID]], tblSeverityReference[ID], 0)) ), "")</f>
        <v>1.8235294117647056</v>
      </c>
      <c r="AF143" s="303">
        <f>IFERROR(IF(INDEX(tblSeverityReference[Coping Strategy Severity],MATCH(tblSeverityAnalysis[[#This Row],[ID]], tblSeverityReference[ID], 0))= "", "",INDEX(tblSeverityReference[Coping Strategy Severity],MATCH(tblSeverityAnalysis[[#This Row],[ID]], tblSeverityReference[ID], 0)) ), "")</f>
        <v>3</v>
      </c>
      <c r="AG143" s="108" t="str">
        <f>IFERROR(IF(INDEX(tblSeverityReference[HR/IHL Violation],MATCH(tblSeverityAnalysis[[#This Row],[ID]], tblSeverityReference[ID], 0))= "", "",INDEX(tblSeverityReference[HR/IHL Violation],MATCH(tblSeverityAnalysis[[#This Row],[ID]], tblSeverityReference[ID], 0)) ), "")</f>
        <v/>
      </c>
      <c r="AH143" s="81">
        <f>IFERROR(AVERAGE(tblSeverityAnalysis[[#This Row],[CCCM]:[WASH]]), "")</f>
        <v>1.3333333333333333</v>
      </c>
      <c r="AI143" s="27">
        <f>IF(SUM(tblSeverityAnalysis[[#This Row],[CCCM]:[WASH]])=0, "", MAX(tblSeverityAnalysis[[#This Row],[CCCM]:[WASH]]))</f>
        <v>2</v>
      </c>
      <c r="AJ143" s="333" t="str" cm="1">
        <f t="array" ref="AJ143">IFERROR(IF(tblSeverityAnalysis[[#This Row],[Highest Severity]]="", "", _xlfn.TEXTJOIN(CHAR(10), TRUE, IF(tblSeverityAnalysis[[#This Row],[CCCM]:[WASH]]=tblSeverityAnalysis[[#This Row],[Highest Severity]], tblSeverityAnalysis[[#Headers],[CCCM]:[WASH]], ""), "")), "")</f>
        <v>Food Security
WASH</v>
      </c>
      <c r="AK143" s="27" cm="1">
        <f t="array" ref="AK143">IFERROR(MAX(_xlfn._xlws.FILTER(tblSeverityAnalysis[[#This Row],[CCCM]:[WASH]], tblSeverityAnalysis[[#This Row],[CCCM]:[WASH]]&lt;tblSeverityAnalysis[[#This Row],[Highest Severity]])), "")</f>
        <v>0</v>
      </c>
      <c r="AL143" s="313" t="str" cm="1">
        <f t="array" ref="AL143">IFERROR(IF(tblSeverityAnalysis[[#This Row],[2nd Highest Severity]]="", "", _xlfn.TEXTJOIN(CHAR(10), TRUE, IF(tblSeverityAnalysis[[#This Row],[CCCM]:[WASH]]=tblSeverityAnalysis[[#This Row],[2nd Highest Severity]], tblSeverityAnalysis[[#Headers],[CCCM]:[WASH]], ""), "")), "")</f>
        <v>CCCM
Education
Health
Overarching Protection
Shelter</v>
      </c>
      <c r="AM143" s="132" t="str">
        <f>IFERROR(IF(AND(tblSeverityAnalysis[[#This Row],[5]] &lt;&gt; "", tblSeverityAnalysis[[#This Row],[5]]&gt;=sectors_sev_5), "Flagged", ""), "")</f>
        <v/>
      </c>
      <c r="AN143" s="133" t="str">
        <f>IFERROR(IF(AND(tblSeverityAnalysis[[#This Row],[Preliminary Intersectoral Severity based on overlap of sectoral deprivations]]=4, SUM(tblSeverityAnalysis[[#This Row],[ 4 ]:[5]])&gt;=sectors_sev_4), "Flagged", ""), "")</f>
        <v/>
      </c>
      <c r="AO143" s="133" t="str" cm="1">
        <f t="array" ref="AO14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4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43" s="335"/>
      <c r="AR143" s="336"/>
      <c r="AS143" s="335"/>
      <c r="AT143" s="337">
        <f>COUNTIF(tblSeverityAnalysis[[#This Row],[1 sector in severity phase 5 '[modify the threshold']]:[Manual Flag]], "Flagged")</f>
        <v>2</v>
      </c>
      <c r="AU143" s="338">
        <f>tblSeverityAnalysis[[#This Row],[Preliminary Intersectoral Severity based on overlap of sectoral deprivations]]</f>
        <v>1</v>
      </c>
      <c r="AV143" s="339"/>
    </row>
    <row r="144" spans="1:48" ht="15" hidden="1" customHeight="1">
      <c r="A14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MZ1105</v>
      </c>
      <c r="B144" s="39" t="s">
        <v>506</v>
      </c>
      <c r="C144" s="340" t="s">
        <v>507</v>
      </c>
      <c r="D144" s="340" t="s">
        <v>516</v>
      </c>
      <c r="E144" s="33" t="s">
        <v>517</v>
      </c>
      <c r="F144" s="33"/>
      <c r="G144" s="33"/>
      <c r="H144" s="20"/>
      <c r="I144" s="95">
        <v>258617</v>
      </c>
      <c r="J144" s="95"/>
      <c r="K144" s="321"/>
      <c r="L144" s="303"/>
      <c r="M144" s="303" t="s">
        <v>264</v>
      </c>
      <c r="N144" s="303"/>
      <c r="O144" s="372"/>
      <c r="P144" s="303">
        <v>0</v>
      </c>
      <c r="Q144" s="304"/>
      <c r="R144" s="303">
        <v>3</v>
      </c>
      <c r="S144" s="303"/>
      <c r="T144" s="303"/>
      <c r="U144" s="303"/>
      <c r="V144" s="303"/>
      <c r="W144" s="330" t="str">
        <f>IF(COUNTIF(tblSeverityAnalysis[[#This Row],[CCCM]:[WASH]], 1)=0, "", COUNTIF(tblSeverityAnalysis[[#This Row],[CCCM]:[WASH]], 1))</f>
        <v/>
      </c>
      <c r="X144" s="331" t="str">
        <f>IF(COUNTIF(tblSeverityAnalysis[[#This Row],[CCCM]:[WASH]], 2)=0, "", COUNTIF(tblSeverityAnalysis[[#This Row],[CCCM]:[WASH]], 2))</f>
        <v/>
      </c>
      <c r="Y144" s="331">
        <f>IF(COUNTIF(tblSeverityAnalysis[[#This Row],[CCCM]:[WASH]], 3)=0, "", COUNTIF(tblSeverityAnalysis[[#This Row],[CCCM]:[WASH]], 3))</f>
        <v>1</v>
      </c>
      <c r="Z144" s="331" t="str">
        <f>IF(COUNTIF(tblSeverityAnalysis[[#This Row],[CCCM]:[WASH]], 4)=0, "", COUNTIF(tblSeverityAnalysis[[#This Row],[CCCM]:[WASH]], 4))</f>
        <v/>
      </c>
      <c r="AA144" s="332" t="str">
        <f>IF(COUNTIF(tblSeverityAnalysis[[#This Row],[CCCM]:[WASH]], 5)=0, "", COUNTIF(tblSeverityAnalysis[[#This Row],[CCCM]:[WASH]], 5))</f>
        <v/>
      </c>
      <c r="AB144" s="59" cm="1">
        <f t="array" ref="AB14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4" s="41" t="str">
        <f>IFERROR(IF(INDEX(tblSeverityReference[Malnutrition Severity],MATCH(tblSeverityAnalysis[[#This Row],[ID]], tblSeverityReference[ID], 0))= "", "",INDEX(tblSeverityReference[Malnutrition Severity],MATCH(tblSeverityAnalysis[[#This Row],[ID]], tblSeverityReference[ID], 0)) ), "")</f>
        <v/>
      </c>
      <c r="AE144" s="303">
        <f>IFERROR(IF(INDEX(tblSeverityReference[Epidemic Severity],MATCH(tblSeverityAnalysis[[#This Row],[ID]], tblSeverityReference[ID], 0))= "", "",INDEX(tblSeverityReference[Epidemic Severity],MATCH(tblSeverityAnalysis[[#This Row],[ID]], tblSeverityReference[ID], 0)) ), "")</f>
        <v>1.8235294117647056</v>
      </c>
      <c r="AF144" s="303" t="str">
        <f>IFERROR(IF(INDEX(tblSeverityReference[Coping Strategy Severity],MATCH(tblSeverityAnalysis[[#This Row],[ID]], tblSeverityReference[ID], 0))= "", "",INDEX(tblSeverityReference[Coping Strategy Severity],MATCH(tblSeverityAnalysis[[#This Row],[ID]], tblSeverityReference[ID], 0)) ), "")</f>
        <v/>
      </c>
      <c r="AG144" s="108" t="str">
        <f>IFERROR(IF(INDEX(tblSeverityReference[HR/IHL Violation],MATCH(tblSeverityAnalysis[[#This Row],[ID]], tblSeverityReference[ID], 0))= "", "",INDEX(tblSeverityReference[HR/IHL Violation],MATCH(tblSeverityAnalysis[[#This Row],[ID]], tblSeverityReference[ID], 0)) ), "")</f>
        <v/>
      </c>
      <c r="AH144" s="81">
        <f>IFERROR(AVERAGE(tblSeverityAnalysis[[#This Row],[CCCM]:[WASH]]), "")</f>
        <v>1.5</v>
      </c>
      <c r="AI144" s="27">
        <f>IF(SUM(tblSeverityAnalysis[[#This Row],[CCCM]:[WASH]])=0, "", MAX(tblSeverityAnalysis[[#This Row],[CCCM]:[WASH]]))</f>
        <v>3</v>
      </c>
      <c r="AJ144" s="333" t="str" cm="1">
        <f t="array" ref="AJ144">IFERROR(IF(tblSeverityAnalysis[[#This Row],[Highest Severity]]="", "", _xlfn.TEXTJOIN(CHAR(10), TRUE, IF(tblSeverityAnalysis[[#This Row],[CCCM]:[WASH]]=tblSeverityAnalysis[[#This Row],[Highest Severity]], tblSeverityAnalysis[[#Headers],[CCCM]:[WASH]], ""), "")), "")</f>
        <v>WASH</v>
      </c>
      <c r="AK144" s="27" cm="1">
        <f t="array" ref="AK144">IFERROR(MAX(_xlfn._xlws.FILTER(tblSeverityAnalysis[[#This Row],[CCCM]:[WASH]], tblSeverityAnalysis[[#This Row],[CCCM]:[WASH]]&lt;tblSeverityAnalysis[[#This Row],[Highest Severity]])), "")</f>
        <v>0</v>
      </c>
      <c r="AL144" s="313" t="str" cm="1">
        <f t="array" ref="AL14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4" s="132" t="str">
        <f>IFERROR(IF(AND(tblSeverityAnalysis[[#This Row],[5]] &lt;&gt; "", tblSeverityAnalysis[[#This Row],[5]]&gt;=sectors_sev_5), "Flagged", ""), "")</f>
        <v/>
      </c>
      <c r="AN144" s="133" t="str">
        <f>IFERROR(IF(AND(tblSeverityAnalysis[[#This Row],[Preliminary Intersectoral Severity based on overlap of sectoral deprivations]]=4, SUM(tblSeverityAnalysis[[#This Row],[ 4 ]:[5]])&gt;=sectors_sev_4), "Flagged", ""), "")</f>
        <v/>
      </c>
      <c r="AO144" s="133" t="str" cm="1">
        <f t="array" ref="AO14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4" s="335"/>
      <c r="AR144" s="336"/>
      <c r="AS144" s="335"/>
      <c r="AT144" s="337">
        <f>COUNTIF(tblSeverityAnalysis[[#This Row],[1 sector in severity phase 5 '[modify the threshold']]:[Manual Flag]], "Flagged")</f>
        <v>0</v>
      </c>
      <c r="AU144" s="338">
        <f>tblSeverityAnalysis[[#This Row],[Preliminary Intersectoral Severity based on overlap of sectoral deprivations]]</f>
        <v>1</v>
      </c>
      <c r="AV144" s="339"/>
    </row>
    <row r="145" spans="1:48" ht="15" hidden="1" customHeight="1">
      <c r="A14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MZ1106</v>
      </c>
      <c r="B145" s="39" t="s">
        <v>506</v>
      </c>
      <c r="C145" s="340" t="s">
        <v>507</v>
      </c>
      <c r="D145" s="340" t="s">
        <v>518</v>
      </c>
      <c r="E145" s="33" t="s">
        <v>519</v>
      </c>
      <c r="F145" s="33"/>
      <c r="G145" s="33"/>
      <c r="H145" s="20"/>
      <c r="I145" s="95">
        <v>527624</v>
      </c>
      <c r="J145" s="95"/>
      <c r="K145" s="321"/>
      <c r="L145" s="303"/>
      <c r="M145" s="303" t="s">
        <v>264</v>
      </c>
      <c r="N145" s="303"/>
      <c r="O145" s="372"/>
      <c r="P145" s="303">
        <v>0</v>
      </c>
      <c r="Q145" s="304"/>
      <c r="R145" s="303">
        <v>3</v>
      </c>
      <c r="S145" s="303"/>
      <c r="T145" s="303"/>
      <c r="U145" s="303"/>
      <c r="V145" s="303"/>
      <c r="W145" s="330" t="str">
        <f>IF(COUNTIF(tblSeverityAnalysis[[#This Row],[CCCM]:[WASH]], 1)=0, "", COUNTIF(tblSeverityAnalysis[[#This Row],[CCCM]:[WASH]], 1))</f>
        <v/>
      </c>
      <c r="X145" s="331" t="str">
        <f>IF(COUNTIF(tblSeverityAnalysis[[#This Row],[CCCM]:[WASH]], 2)=0, "", COUNTIF(tblSeverityAnalysis[[#This Row],[CCCM]:[WASH]], 2))</f>
        <v/>
      </c>
      <c r="Y145" s="331">
        <f>IF(COUNTIF(tblSeverityAnalysis[[#This Row],[CCCM]:[WASH]], 3)=0, "", COUNTIF(tblSeverityAnalysis[[#This Row],[CCCM]:[WASH]], 3))</f>
        <v>1</v>
      </c>
      <c r="Z145" s="331" t="str">
        <f>IF(COUNTIF(tblSeverityAnalysis[[#This Row],[CCCM]:[WASH]], 4)=0, "", COUNTIF(tblSeverityAnalysis[[#This Row],[CCCM]:[WASH]], 4))</f>
        <v/>
      </c>
      <c r="AA145" s="332" t="str">
        <f>IF(COUNTIF(tblSeverityAnalysis[[#This Row],[CCCM]:[WASH]], 5)=0, "", COUNTIF(tblSeverityAnalysis[[#This Row],[CCCM]:[WASH]], 5))</f>
        <v/>
      </c>
      <c r="AB145" s="59" cm="1">
        <f t="array" ref="AB14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5" s="41" t="str">
        <f>IFERROR(IF(INDEX(tblSeverityReference[Malnutrition Severity],MATCH(tblSeverityAnalysis[[#This Row],[ID]], tblSeverityReference[ID], 0))= "", "",INDEX(tblSeverityReference[Malnutrition Severity],MATCH(tblSeverityAnalysis[[#This Row],[ID]], tblSeverityReference[ID], 0)) ), "")</f>
        <v/>
      </c>
      <c r="AE145" s="303">
        <f>IFERROR(IF(INDEX(tblSeverityReference[Epidemic Severity],MATCH(tblSeverityAnalysis[[#This Row],[ID]], tblSeverityReference[ID], 0))= "", "",INDEX(tblSeverityReference[Epidemic Severity],MATCH(tblSeverityAnalysis[[#This Row],[ID]], tblSeverityReference[ID], 0)) ), "")</f>
        <v>2.4117647058823528</v>
      </c>
      <c r="AF145" s="303" t="str">
        <f>IFERROR(IF(INDEX(tblSeverityReference[Coping Strategy Severity],MATCH(tblSeverityAnalysis[[#This Row],[ID]], tblSeverityReference[ID], 0))= "", "",INDEX(tblSeverityReference[Coping Strategy Severity],MATCH(tblSeverityAnalysis[[#This Row],[ID]], tblSeverityReference[ID], 0)) ), "")</f>
        <v/>
      </c>
      <c r="AG145" s="108" t="str">
        <f>IFERROR(IF(INDEX(tblSeverityReference[HR/IHL Violation],MATCH(tblSeverityAnalysis[[#This Row],[ID]], tblSeverityReference[ID], 0))= "", "",INDEX(tblSeverityReference[HR/IHL Violation],MATCH(tblSeverityAnalysis[[#This Row],[ID]], tblSeverityReference[ID], 0)) ), "")</f>
        <v/>
      </c>
      <c r="AH145" s="81">
        <f>IFERROR(AVERAGE(tblSeverityAnalysis[[#This Row],[CCCM]:[WASH]]), "")</f>
        <v>1.5</v>
      </c>
      <c r="AI145" s="27">
        <f>IF(SUM(tblSeverityAnalysis[[#This Row],[CCCM]:[WASH]])=0, "", MAX(tblSeverityAnalysis[[#This Row],[CCCM]:[WASH]]))</f>
        <v>3</v>
      </c>
      <c r="AJ145" s="333" t="str" cm="1">
        <f t="array" ref="AJ145">IFERROR(IF(tblSeverityAnalysis[[#This Row],[Highest Severity]]="", "", _xlfn.TEXTJOIN(CHAR(10), TRUE, IF(tblSeverityAnalysis[[#This Row],[CCCM]:[WASH]]=tblSeverityAnalysis[[#This Row],[Highest Severity]], tblSeverityAnalysis[[#Headers],[CCCM]:[WASH]], ""), "")), "")</f>
        <v>WASH</v>
      </c>
      <c r="AK145" s="27" cm="1">
        <f t="array" ref="AK145">IFERROR(MAX(_xlfn._xlws.FILTER(tblSeverityAnalysis[[#This Row],[CCCM]:[WASH]], tblSeverityAnalysis[[#This Row],[CCCM]:[WASH]]&lt;tblSeverityAnalysis[[#This Row],[Highest Severity]])), "")</f>
        <v>0</v>
      </c>
      <c r="AL145" s="313" t="str" cm="1">
        <f t="array" ref="AL14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5" s="132" t="str">
        <f>IFERROR(IF(AND(tblSeverityAnalysis[[#This Row],[5]] &lt;&gt; "", tblSeverityAnalysis[[#This Row],[5]]&gt;=sectors_sev_5), "Flagged", ""), "")</f>
        <v/>
      </c>
      <c r="AN145" s="133" t="str">
        <f>IFERROR(IF(AND(tblSeverityAnalysis[[#This Row],[Preliminary Intersectoral Severity based on overlap of sectoral deprivations]]=4, SUM(tblSeverityAnalysis[[#This Row],[ 4 ]:[5]])&gt;=sectors_sev_4), "Flagged", ""), "")</f>
        <v/>
      </c>
      <c r="AO145" s="133" t="str" cm="1">
        <f t="array" ref="AO14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5" s="335"/>
      <c r="AR145" s="336"/>
      <c r="AS145" s="335"/>
      <c r="AT145" s="337">
        <f>COUNTIF(tblSeverityAnalysis[[#This Row],[1 sector in severity phase 5 '[modify the threshold']]:[Manual Flag]], "Flagged")</f>
        <v>0</v>
      </c>
      <c r="AU145" s="338">
        <f>tblSeverityAnalysis[[#This Row],[Preliminary Intersectoral Severity based on overlap of sectoral deprivations]]</f>
        <v>1</v>
      </c>
      <c r="AV145" s="339"/>
    </row>
    <row r="146" spans="1:48" ht="15" hidden="1" customHeight="1">
      <c r="A14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MZ1107</v>
      </c>
      <c r="B146" s="39" t="s">
        <v>506</v>
      </c>
      <c r="C146" s="340" t="s">
        <v>507</v>
      </c>
      <c r="D146" s="340" t="s">
        <v>520</v>
      </c>
      <c r="E146" s="33" t="s">
        <v>521</v>
      </c>
      <c r="F146" s="33"/>
      <c r="G146" s="33"/>
      <c r="H146" s="20"/>
      <c r="I146" s="95">
        <v>246872</v>
      </c>
      <c r="J146" s="95"/>
      <c r="K146" s="321"/>
      <c r="L146" s="303"/>
      <c r="M146" s="303" t="s">
        <v>264</v>
      </c>
      <c r="N146" s="303"/>
      <c r="O146" s="372"/>
      <c r="P146" s="303">
        <v>0</v>
      </c>
      <c r="Q146" s="304"/>
      <c r="R146" s="303">
        <v>3</v>
      </c>
      <c r="S146" s="303"/>
      <c r="T146" s="303"/>
      <c r="U146" s="303"/>
      <c r="V146" s="303"/>
      <c r="W146" s="330" t="str">
        <f>IF(COUNTIF(tblSeverityAnalysis[[#This Row],[CCCM]:[WASH]], 1)=0, "", COUNTIF(tblSeverityAnalysis[[#This Row],[CCCM]:[WASH]], 1))</f>
        <v/>
      </c>
      <c r="X146" s="331" t="str">
        <f>IF(COUNTIF(tblSeverityAnalysis[[#This Row],[CCCM]:[WASH]], 2)=0, "", COUNTIF(tblSeverityAnalysis[[#This Row],[CCCM]:[WASH]], 2))</f>
        <v/>
      </c>
      <c r="Y146" s="331">
        <f>IF(COUNTIF(tblSeverityAnalysis[[#This Row],[CCCM]:[WASH]], 3)=0, "", COUNTIF(tblSeverityAnalysis[[#This Row],[CCCM]:[WASH]], 3))</f>
        <v>1</v>
      </c>
      <c r="Z146" s="331" t="str">
        <f>IF(COUNTIF(tblSeverityAnalysis[[#This Row],[CCCM]:[WASH]], 4)=0, "", COUNTIF(tblSeverityAnalysis[[#This Row],[CCCM]:[WASH]], 4))</f>
        <v/>
      </c>
      <c r="AA146" s="332" t="str">
        <f>IF(COUNTIF(tblSeverityAnalysis[[#This Row],[CCCM]:[WASH]], 5)=0, "", COUNTIF(tblSeverityAnalysis[[#This Row],[CCCM]:[WASH]], 5))</f>
        <v/>
      </c>
      <c r="AB146" s="59" cm="1">
        <f t="array" ref="AB14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6" s="41" t="str">
        <f>IFERROR(IF(INDEX(tblSeverityReference[Malnutrition Severity],MATCH(tblSeverityAnalysis[[#This Row],[ID]], tblSeverityReference[ID], 0))= "", "",INDEX(tblSeverityReference[Malnutrition Severity],MATCH(tblSeverityAnalysis[[#This Row],[ID]], tblSeverityReference[ID], 0)) ), "")</f>
        <v/>
      </c>
      <c r="AE146" s="303">
        <f>IFERROR(IF(INDEX(tblSeverityReference[Epidemic Severity],MATCH(tblSeverityAnalysis[[#This Row],[ID]], tblSeverityReference[ID], 0))= "", "",INDEX(tblSeverityReference[Epidemic Severity],MATCH(tblSeverityAnalysis[[#This Row],[ID]], tblSeverityReference[ID], 0)) ), "")</f>
        <v>1.411764705882353</v>
      </c>
      <c r="AF146" s="303" t="str">
        <f>IFERROR(IF(INDEX(tblSeverityReference[Coping Strategy Severity],MATCH(tblSeverityAnalysis[[#This Row],[ID]], tblSeverityReference[ID], 0))= "", "",INDEX(tblSeverityReference[Coping Strategy Severity],MATCH(tblSeverityAnalysis[[#This Row],[ID]], tblSeverityReference[ID], 0)) ), "")</f>
        <v/>
      </c>
      <c r="AG146" s="108" t="str">
        <f>IFERROR(IF(INDEX(tblSeverityReference[HR/IHL Violation],MATCH(tblSeverityAnalysis[[#This Row],[ID]], tblSeverityReference[ID], 0))= "", "",INDEX(tblSeverityReference[HR/IHL Violation],MATCH(tblSeverityAnalysis[[#This Row],[ID]], tblSeverityReference[ID], 0)) ), "")</f>
        <v/>
      </c>
      <c r="AH146" s="81">
        <f>IFERROR(AVERAGE(tblSeverityAnalysis[[#This Row],[CCCM]:[WASH]]), "")</f>
        <v>1.5</v>
      </c>
      <c r="AI146" s="27">
        <f>IF(SUM(tblSeverityAnalysis[[#This Row],[CCCM]:[WASH]])=0, "", MAX(tblSeverityAnalysis[[#This Row],[CCCM]:[WASH]]))</f>
        <v>3</v>
      </c>
      <c r="AJ146" s="333" t="str" cm="1">
        <f t="array" ref="AJ146">IFERROR(IF(tblSeverityAnalysis[[#This Row],[Highest Severity]]="", "", _xlfn.TEXTJOIN(CHAR(10), TRUE, IF(tblSeverityAnalysis[[#This Row],[CCCM]:[WASH]]=tblSeverityAnalysis[[#This Row],[Highest Severity]], tblSeverityAnalysis[[#Headers],[CCCM]:[WASH]], ""), "")), "")</f>
        <v>WASH</v>
      </c>
      <c r="AK146" s="27" cm="1">
        <f t="array" ref="AK146">IFERROR(MAX(_xlfn._xlws.FILTER(tblSeverityAnalysis[[#This Row],[CCCM]:[WASH]], tblSeverityAnalysis[[#This Row],[CCCM]:[WASH]]&lt;tblSeverityAnalysis[[#This Row],[Highest Severity]])), "")</f>
        <v>0</v>
      </c>
      <c r="AL146" s="313" t="str" cm="1">
        <f t="array" ref="AL146">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6" s="132" t="str">
        <f>IFERROR(IF(AND(tblSeverityAnalysis[[#This Row],[5]] &lt;&gt; "", tblSeverityAnalysis[[#This Row],[5]]&gt;=sectors_sev_5), "Flagged", ""), "")</f>
        <v/>
      </c>
      <c r="AN146" s="133" t="str">
        <f>IFERROR(IF(AND(tblSeverityAnalysis[[#This Row],[Preliminary Intersectoral Severity based on overlap of sectoral deprivations]]=4, SUM(tblSeverityAnalysis[[#This Row],[ 4 ]:[5]])&gt;=sectors_sev_4), "Flagged", ""), "")</f>
        <v/>
      </c>
      <c r="AO146" s="133" t="str" cm="1">
        <f t="array" ref="AO14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6" s="335"/>
      <c r="AR146" s="336"/>
      <c r="AS146" s="335"/>
      <c r="AT146" s="337">
        <f>COUNTIF(tblSeverityAnalysis[[#This Row],[1 sector in severity phase 5 '[modify the threshold']]:[Manual Flag]], "Flagged")</f>
        <v>0</v>
      </c>
      <c r="AU146" s="338">
        <f>tblSeverityAnalysis[[#This Row],[Preliminary Intersectoral Severity based on overlap of sectoral deprivations]]</f>
        <v>1</v>
      </c>
      <c r="AV146" s="339"/>
    </row>
    <row r="147" spans="1:48" ht="15" hidden="1" customHeight="1">
      <c r="A14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MZ1108</v>
      </c>
      <c r="B147" s="39" t="s">
        <v>506</v>
      </c>
      <c r="C147" s="340" t="s">
        <v>507</v>
      </c>
      <c r="D147" s="340" t="s">
        <v>522</v>
      </c>
      <c r="E147" s="33" t="s">
        <v>523</v>
      </c>
      <c r="F147" s="33"/>
      <c r="G147" s="33"/>
      <c r="H147" s="20"/>
      <c r="I147" s="95">
        <v>120285</v>
      </c>
      <c r="J147" s="95"/>
      <c r="K147" s="321"/>
      <c r="L147" s="303"/>
      <c r="M147" s="303" t="s">
        <v>264</v>
      </c>
      <c r="N147" s="303"/>
      <c r="O147" s="372"/>
      <c r="P147" s="303">
        <v>0</v>
      </c>
      <c r="Q147" s="304"/>
      <c r="R147" s="303">
        <v>4</v>
      </c>
      <c r="S147" s="303"/>
      <c r="T147" s="303"/>
      <c r="U147" s="303"/>
      <c r="V147" s="303"/>
      <c r="W147" s="330" t="str">
        <f>IF(COUNTIF(tblSeverityAnalysis[[#This Row],[CCCM]:[WASH]], 1)=0, "", COUNTIF(tblSeverityAnalysis[[#This Row],[CCCM]:[WASH]], 1))</f>
        <v/>
      </c>
      <c r="X147" s="331" t="str">
        <f>IF(COUNTIF(tblSeverityAnalysis[[#This Row],[CCCM]:[WASH]], 2)=0, "", COUNTIF(tblSeverityAnalysis[[#This Row],[CCCM]:[WASH]], 2))</f>
        <v/>
      </c>
      <c r="Y147" s="331" t="str">
        <f>IF(COUNTIF(tblSeverityAnalysis[[#This Row],[CCCM]:[WASH]], 3)=0, "", COUNTIF(tblSeverityAnalysis[[#This Row],[CCCM]:[WASH]], 3))</f>
        <v/>
      </c>
      <c r="Z147" s="331">
        <f>IF(COUNTIF(tblSeverityAnalysis[[#This Row],[CCCM]:[WASH]], 4)=0, "", COUNTIF(tblSeverityAnalysis[[#This Row],[CCCM]:[WASH]], 4))</f>
        <v>1</v>
      </c>
      <c r="AA147" s="332" t="str">
        <f>IF(COUNTIF(tblSeverityAnalysis[[#This Row],[CCCM]:[WASH]], 5)=0, "", COUNTIF(tblSeverityAnalysis[[#This Row],[CCCM]:[WASH]], 5))</f>
        <v/>
      </c>
      <c r="AB147" s="59" cm="1">
        <f t="array" ref="AB14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7" s="41">
        <f>IFERROR(IF(INDEX(tblSeverityReference[Malnutrition Severity],MATCH(tblSeverityAnalysis[[#This Row],[ID]], tblSeverityReference[ID], 0))= "", "",INDEX(tblSeverityReference[Malnutrition Severity],MATCH(tblSeverityAnalysis[[#This Row],[ID]], tblSeverityReference[ID], 0)) ), "")</f>
        <v>2</v>
      </c>
      <c r="AE147" s="303">
        <f>IFERROR(IF(INDEX(tblSeverityReference[Epidemic Severity],MATCH(tblSeverityAnalysis[[#This Row],[ID]], tblSeverityReference[ID], 0))= "", "",INDEX(tblSeverityReference[Epidemic Severity],MATCH(tblSeverityAnalysis[[#This Row],[ID]], tblSeverityReference[ID], 0)) ), "")</f>
        <v>2.2352941176470589</v>
      </c>
      <c r="AF147" s="303" t="str">
        <f>IFERROR(IF(INDEX(tblSeverityReference[Coping Strategy Severity],MATCH(tblSeverityAnalysis[[#This Row],[ID]], tblSeverityReference[ID], 0))= "", "",INDEX(tblSeverityReference[Coping Strategy Severity],MATCH(tblSeverityAnalysis[[#This Row],[ID]], tblSeverityReference[ID], 0)) ), "")</f>
        <v/>
      </c>
      <c r="AG147" s="108" t="str">
        <f>IFERROR(IF(INDEX(tblSeverityReference[HR/IHL Violation],MATCH(tblSeverityAnalysis[[#This Row],[ID]], tblSeverityReference[ID], 0))= "", "",INDEX(tblSeverityReference[HR/IHL Violation],MATCH(tblSeverityAnalysis[[#This Row],[ID]], tblSeverityReference[ID], 0)) ), "")</f>
        <v/>
      </c>
      <c r="AH147" s="81">
        <f>IFERROR(AVERAGE(tblSeverityAnalysis[[#This Row],[CCCM]:[WASH]]), "")</f>
        <v>2</v>
      </c>
      <c r="AI147" s="27">
        <f>IF(SUM(tblSeverityAnalysis[[#This Row],[CCCM]:[WASH]])=0, "", MAX(tblSeverityAnalysis[[#This Row],[CCCM]:[WASH]]))</f>
        <v>4</v>
      </c>
      <c r="AJ147" s="333" t="str" cm="1">
        <f t="array" ref="AJ147">IFERROR(IF(tblSeverityAnalysis[[#This Row],[Highest Severity]]="", "", _xlfn.TEXTJOIN(CHAR(10), TRUE, IF(tblSeverityAnalysis[[#This Row],[CCCM]:[WASH]]=tblSeverityAnalysis[[#This Row],[Highest Severity]], tblSeverityAnalysis[[#Headers],[CCCM]:[WASH]], ""), "")), "")</f>
        <v>WASH</v>
      </c>
      <c r="AK147" s="27" cm="1">
        <f t="array" ref="AK147">IFERROR(MAX(_xlfn._xlws.FILTER(tblSeverityAnalysis[[#This Row],[CCCM]:[WASH]], tblSeverityAnalysis[[#This Row],[CCCM]:[WASH]]&lt;tblSeverityAnalysis[[#This Row],[Highest Severity]])), "")</f>
        <v>0</v>
      </c>
      <c r="AL147" s="313" t="str" cm="1">
        <f t="array" ref="AL147">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7" s="132" t="str">
        <f>IFERROR(IF(AND(tblSeverityAnalysis[[#This Row],[5]] &lt;&gt; "", tblSeverityAnalysis[[#This Row],[5]]&gt;=sectors_sev_5), "Flagged", ""), "")</f>
        <v/>
      </c>
      <c r="AN147" s="133" t="str">
        <f>IFERROR(IF(AND(tblSeverityAnalysis[[#This Row],[Preliminary Intersectoral Severity based on overlap of sectoral deprivations]]=4, SUM(tblSeverityAnalysis[[#This Row],[ 4 ]:[5]])&gt;=sectors_sev_4), "Flagged", ""), "")</f>
        <v/>
      </c>
      <c r="AO147" s="133" t="str" cm="1">
        <f t="array" ref="AO14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47" s="335"/>
      <c r="AR147" s="336"/>
      <c r="AS147" s="335"/>
      <c r="AT147" s="337">
        <f>COUNTIF(tblSeverityAnalysis[[#This Row],[1 sector in severity phase 5 '[modify the threshold']]:[Manual Flag]], "Flagged")</f>
        <v>1</v>
      </c>
      <c r="AU147" s="338">
        <f>tblSeverityAnalysis[[#This Row],[Preliminary Intersectoral Severity based on overlap of sectoral deprivations]]</f>
        <v>1</v>
      </c>
      <c r="AV147" s="339"/>
    </row>
    <row r="148" spans="1:48" ht="15" hidden="1" customHeight="1">
      <c r="A14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MZ1109</v>
      </c>
      <c r="B148" s="39" t="s">
        <v>506</v>
      </c>
      <c r="C148" s="340" t="s">
        <v>507</v>
      </c>
      <c r="D148" s="340" t="s">
        <v>524</v>
      </c>
      <c r="E148" s="33" t="s">
        <v>525</v>
      </c>
      <c r="F148" s="33"/>
      <c r="G148" s="33"/>
      <c r="H148" s="20"/>
      <c r="I148" s="95">
        <v>72148</v>
      </c>
      <c r="J148" s="95"/>
      <c r="K148" s="321"/>
      <c r="L148" s="303"/>
      <c r="M148" s="303">
        <v>2</v>
      </c>
      <c r="N148" s="303"/>
      <c r="O148" s="372"/>
      <c r="P148" s="303">
        <v>0</v>
      </c>
      <c r="Q148" s="304"/>
      <c r="R148" s="303">
        <v>3</v>
      </c>
      <c r="S148" s="303"/>
      <c r="T148" s="303"/>
      <c r="U148" s="303"/>
      <c r="V148" s="303"/>
      <c r="W148" s="330" t="str">
        <f>IF(COUNTIF(tblSeverityAnalysis[[#This Row],[CCCM]:[WASH]], 1)=0, "", COUNTIF(tblSeverityAnalysis[[#This Row],[CCCM]:[WASH]], 1))</f>
        <v/>
      </c>
      <c r="X148" s="331">
        <f>IF(COUNTIF(tblSeverityAnalysis[[#This Row],[CCCM]:[WASH]], 2)=0, "", COUNTIF(tblSeverityAnalysis[[#This Row],[CCCM]:[WASH]], 2))</f>
        <v>1</v>
      </c>
      <c r="Y148" s="331">
        <f>IF(COUNTIF(tblSeverityAnalysis[[#This Row],[CCCM]:[WASH]], 3)=0, "", COUNTIF(tblSeverityAnalysis[[#This Row],[CCCM]:[WASH]], 3))</f>
        <v>1</v>
      </c>
      <c r="Z148" s="331" t="str">
        <f>IF(COUNTIF(tblSeverityAnalysis[[#This Row],[CCCM]:[WASH]], 4)=0, "", COUNTIF(tblSeverityAnalysis[[#This Row],[CCCM]:[WASH]], 4))</f>
        <v/>
      </c>
      <c r="AA148" s="332" t="str">
        <f>IF(COUNTIF(tblSeverityAnalysis[[#This Row],[CCCM]:[WASH]], 5)=0, "", COUNTIF(tblSeverityAnalysis[[#This Row],[CCCM]:[WASH]], 5))</f>
        <v/>
      </c>
      <c r="AB148" s="59" cm="1">
        <f t="array" ref="AB14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8" s="41" t="str">
        <f>IFERROR(IF(INDEX(tblSeverityReference[Malnutrition Severity],MATCH(tblSeverityAnalysis[[#This Row],[ID]], tblSeverityReference[ID], 0))= "", "",INDEX(tblSeverityReference[Malnutrition Severity],MATCH(tblSeverityAnalysis[[#This Row],[ID]], tblSeverityReference[ID], 0)) ), "")</f>
        <v/>
      </c>
      <c r="AE148" s="303">
        <f>IFERROR(IF(INDEX(tblSeverityReference[Epidemic Severity],MATCH(tblSeverityAnalysis[[#This Row],[ID]], tblSeverityReference[ID], 0))= "", "",INDEX(tblSeverityReference[Epidemic Severity],MATCH(tblSeverityAnalysis[[#This Row],[ID]], tblSeverityReference[ID], 0)) ), "")</f>
        <v>2.8235294117647061</v>
      </c>
      <c r="AF148" s="303" t="str">
        <f>IFERROR(IF(INDEX(tblSeverityReference[Coping Strategy Severity],MATCH(tblSeverityAnalysis[[#This Row],[ID]], tblSeverityReference[ID], 0))= "", "",INDEX(tblSeverityReference[Coping Strategy Severity],MATCH(tblSeverityAnalysis[[#This Row],[ID]], tblSeverityReference[ID], 0)) ), "")</f>
        <v/>
      </c>
      <c r="AG148" s="108" t="str">
        <f>IFERROR(IF(INDEX(tblSeverityReference[HR/IHL Violation],MATCH(tblSeverityAnalysis[[#This Row],[ID]], tblSeverityReference[ID], 0))= "", "",INDEX(tblSeverityReference[HR/IHL Violation],MATCH(tblSeverityAnalysis[[#This Row],[ID]], tblSeverityReference[ID], 0)) ), "")</f>
        <v/>
      </c>
      <c r="AH148" s="81">
        <f>IFERROR(AVERAGE(tblSeverityAnalysis[[#This Row],[CCCM]:[WASH]]), "")</f>
        <v>1.6666666666666667</v>
      </c>
      <c r="AI148" s="27">
        <f>IF(SUM(tblSeverityAnalysis[[#This Row],[CCCM]:[WASH]])=0, "", MAX(tblSeverityAnalysis[[#This Row],[CCCM]:[WASH]]))</f>
        <v>3</v>
      </c>
      <c r="AJ148" s="333" t="str" cm="1">
        <f t="array" ref="AJ148">IFERROR(IF(tblSeverityAnalysis[[#This Row],[Highest Severity]]="", "", _xlfn.TEXTJOIN(CHAR(10), TRUE, IF(tblSeverityAnalysis[[#This Row],[CCCM]:[WASH]]=tblSeverityAnalysis[[#This Row],[Highest Severity]], tblSeverityAnalysis[[#Headers],[CCCM]:[WASH]], ""), "")), "")</f>
        <v>WASH</v>
      </c>
      <c r="AK148" s="27" cm="1">
        <f t="array" ref="AK148">IFERROR(MAX(_xlfn._xlws.FILTER(tblSeverityAnalysis[[#This Row],[CCCM]:[WASH]], tblSeverityAnalysis[[#This Row],[CCCM]:[WASH]]&lt;tblSeverityAnalysis[[#This Row],[Highest Severity]])), "")</f>
        <v>2</v>
      </c>
      <c r="AL148" s="313" t="str" cm="1">
        <f t="array" ref="AL148">IFERROR(IF(tblSeverityAnalysis[[#This Row],[2nd Highest Severity]]="", "", _xlfn.TEXTJOIN(CHAR(10), TRUE, IF(tblSeverityAnalysis[[#This Row],[CCCM]:[WASH]]=tblSeverityAnalysis[[#This Row],[2nd Highest Severity]], tblSeverityAnalysis[[#Headers],[CCCM]:[WASH]], ""), "")), "")</f>
        <v>Nutrition</v>
      </c>
      <c r="AM148" s="132" t="str">
        <f>IFERROR(IF(AND(tblSeverityAnalysis[[#This Row],[5]] &lt;&gt; "", tblSeverityAnalysis[[#This Row],[5]]&gt;=sectors_sev_5), "Flagged", ""), "")</f>
        <v/>
      </c>
      <c r="AN148" s="133" t="str">
        <f>IFERROR(IF(AND(tblSeverityAnalysis[[#This Row],[Preliminary Intersectoral Severity based on overlap of sectoral deprivations]]=4, SUM(tblSeverityAnalysis[[#This Row],[ 4 ]:[5]])&gt;=sectors_sev_4), "Flagged", ""), "")</f>
        <v/>
      </c>
      <c r="AO148" s="133" t="str" cm="1">
        <f t="array" ref="AO14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8" s="335"/>
      <c r="AR148" s="336"/>
      <c r="AS148" s="335"/>
      <c r="AT148" s="337">
        <f>COUNTIF(tblSeverityAnalysis[[#This Row],[1 sector in severity phase 5 '[modify the threshold']]:[Manual Flag]], "Flagged")</f>
        <v>0</v>
      </c>
      <c r="AU148" s="338">
        <f>tblSeverityAnalysis[[#This Row],[Preliminary Intersectoral Severity based on overlap of sectoral deprivations]]</f>
        <v>1</v>
      </c>
      <c r="AV148" s="339"/>
    </row>
    <row r="149" spans="1:48" ht="15" hidden="1" customHeight="1">
      <c r="A14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MZ1110</v>
      </c>
      <c r="B149" s="39" t="s">
        <v>506</v>
      </c>
      <c r="C149" s="340" t="s">
        <v>507</v>
      </c>
      <c r="D149" s="340" t="s">
        <v>526</v>
      </c>
      <c r="E149" s="33" t="s">
        <v>527</v>
      </c>
      <c r="F149" s="33"/>
      <c r="G149" s="33"/>
      <c r="H149" s="20"/>
      <c r="I149" s="95">
        <v>228996</v>
      </c>
      <c r="J149" s="95"/>
      <c r="K149" s="321"/>
      <c r="L149" s="303"/>
      <c r="M149" s="303" t="s">
        <v>264</v>
      </c>
      <c r="N149" s="303"/>
      <c r="O149" s="372"/>
      <c r="P149" s="303">
        <v>0</v>
      </c>
      <c r="Q149" s="304"/>
      <c r="R149" s="303">
        <v>3</v>
      </c>
      <c r="S149" s="303"/>
      <c r="T149" s="303"/>
      <c r="U149" s="303"/>
      <c r="V149" s="303"/>
      <c r="W149" s="330" t="str">
        <f>IF(COUNTIF(tblSeverityAnalysis[[#This Row],[CCCM]:[WASH]], 1)=0, "", COUNTIF(tblSeverityAnalysis[[#This Row],[CCCM]:[WASH]], 1))</f>
        <v/>
      </c>
      <c r="X149" s="331" t="str">
        <f>IF(COUNTIF(tblSeverityAnalysis[[#This Row],[CCCM]:[WASH]], 2)=0, "", COUNTIF(tblSeverityAnalysis[[#This Row],[CCCM]:[WASH]], 2))</f>
        <v/>
      </c>
      <c r="Y149" s="331">
        <f>IF(COUNTIF(tblSeverityAnalysis[[#This Row],[CCCM]:[WASH]], 3)=0, "", COUNTIF(tblSeverityAnalysis[[#This Row],[CCCM]:[WASH]], 3))</f>
        <v>1</v>
      </c>
      <c r="Z149" s="331" t="str">
        <f>IF(COUNTIF(tblSeverityAnalysis[[#This Row],[CCCM]:[WASH]], 4)=0, "", COUNTIF(tblSeverityAnalysis[[#This Row],[CCCM]:[WASH]], 4))</f>
        <v/>
      </c>
      <c r="AA149" s="332" t="str">
        <f>IF(COUNTIF(tblSeverityAnalysis[[#This Row],[CCCM]:[WASH]], 5)=0, "", COUNTIF(tblSeverityAnalysis[[#This Row],[CCCM]:[WASH]], 5))</f>
        <v/>
      </c>
      <c r="AB149" s="59" cm="1">
        <f t="array" ref="AB14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9" s="41" t="str">
        <f>IFERROR(IF(INDEX(tblSeverityReference[Malnutrition Severity],MATCH(tblSeverityAnalysis[[#This Row],[ID]], tblSeverityReference[ID], 0))= "", "",INDEX(tblSeverityReference[Malnutrition Severity],MATCH(tblSeverityAnalysis[[#This Row],[ID]], tblSeverityReference[ID], 0)) ), "")</f>
        <v/>
      </c>
      <c r="AE149" s="303">
        <f>IFERROR(IF(INDEX(tblSeverityReference[Epidemic Severity],MATCH(tblSeverityAnalysis[[#This Row],[ID]], tblSeverityReference[ID], 0))= "", "",INDEX(tblSeverityReference[Epidemic Severity],MATCH(tblSeverityAnalysis[[#This Row],[ID]], tblSeverityReference[ID], 0)) ), "")</f>
        <v>1.8235294117647056</v>
      </c>
      <c r="AF149" s="303" t="str">
        <f>IFERROR(IF(INDEX(tblSeverityReference[Coping Strategy Severity],MATCH(tblSeverityAnalysis[[#This Row],[ID]], tblSeverityReference[ID], 0))= "", "",INDEX(tblSeverityReference[Coping Strategy Severity],MATCH(tblSeverityAnalysis[[#This Row],[ID]], tblSeverityReference[ID], 0)) ), "")</f>
        <v/>
      </c>
      <c r="AG149" s="108" t="str">
        <f>IFERROR(IF(INDEX(tblSeverityReference[HR/IHL Violation],MATCH(tblSeverityAnalysis[[#This Row],[ID]], tblSeverityReference[ID], 0))= "", "",INDEX(tblSeverityReference[HR/IHL Violation],MATCH(tblSeverityAnalysis[[#This Row],[ID]], tblSeverityReference[ID], 0)) ), "")</f>
        <v/>
      </c>
      <c r="AH149" s="81">
        <f>IFERROR(AVERAGE(tblSeverityAnalysis[[#This Row],[CCCM]:[WASH]]), "")</f>
        <v>1.5</v>
      </c>
      <c r="AI149" s="27">
        <f>IF(SUM(tblSeverityAnalysis[[#This Row],[CCCM]:[WASH]])=0, "", MAX(tblSeverityAnalysis[[#This Row],[CCCM]:[WASH]]))</f>
        <v>3</v>
      </c>
      <c r="AJ149" s="333" t="str" cm="1">
        <f t="array" ref="AJ149">IFERROR(IF(tblSeverityAnalysis[[#This Row],[Highest Severity]]="", "", _xlfn.TEXTJOIN(CHAR(10), TRUE, IF(tblSeverityAnalysis[[#This Row],[CCCM]:[WASH]]=tblSeverityAnalysis[[#This Row],[Highest Severity]], tblSeverityAnalysis[[#Headers],[CCCM]:[WASH]], ""), "")), "")</f>
        <v>WASH</v>
      </c>
      <c r="AK149" s="27" cm="1">
        <f t="array" ref="AK149">IFERROR(MAX(_xlfn._xlws.FILTER(tblSeverityAnalysis[[#This Row],[CCCM]:[WASH]], tblSeverityAnalysis[[#This Row],[CCCM]:[WASH]]&lt;tblSeverityAnalysis[[#This Row],[Highest Severity]])), "")</f>
        <v>0</v>
      </c>
      <c r="AL149" s="313" t="str" cm="1">
        <f t="array" ref="AL149">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49" s="132" t="str">
        <f>IFERROR(IF(AND(tblSeverityAnalysis[[#This Row],[5]] &lt;&gt; "", tblSeverityAnalysis[[#This Row],[5]]&gt;=sectors_sev_5), "Flagged", ""), "")</f>
        <v/>
      </c>
      <c r="AN149" s="133" t="str">
        <f>IFERROR(IF(AND(tblSeverityAnalysis[[#This Row],[Preliminary Intersectoral Severity based on overlap of sectoral deprivations]]=4, SUM(tblSeverityAnalysis[[#This Row],[ 4 ]:[5]])&gt;=sectors_sev_4), "Flagged", ""), "")</f>
        <v/>
      </c>
      <c r="AO149" s="133" t="str" cm="1">
        <f t="array" ref="AO14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9" s="335"/>
      <c r="AR149" s="336"/>
      <c r="AS149" s="335"/>
      <c r="AT149" s="337">
        <f>COUNTIF(tblSeverityAnalysis[[#This Row],[1 sector in severity phase 5 '[modify the threshold']]:[Manual Flag]], "Flagged")</f>
        <v>0</v>
      </c>
      <c r="AU149" s="338">
        <f>tblSeverityAnalysis[[#This Row],[Preliminary Intersectoral Severity based on overlap of sectoral deprivations]]</f>
        <v>1</v>
      </c>
      <c r="AV149" s="339"/>
    </row>
    <row r="150" spans="1:48" ht="15" hidden="1" customHeight="1">
      <c r="A15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MZ1111</v>
      </c>
      <c r="B150" s="39" t="s">
        <v>506</v>
      </c>
      <c r="C150" s="340" t="s">
        <v>507</v>
      </c>
      <c r="D150" s="340" t="s">
        <v>528</v>
      </c>
      <c r="E150" s="33" t="s">
        <v>529</v>
      </c>
      <c r="F150" s="33"/>
      <c r="G150" s="33"/>
      <c r="H150" s="20"/>
      <c r="I150" s="95">
        <v>187094</v>
      </c>
      <c r="J150" s="95"/>
      <c r="K150" s="321"/>
      <c r="L150" s="303"/>
      <c r="M150" s="303">
        <v>3</v>
      </c>
      <c r="N150" s="303">
        <v>3</v>
      </c>
      <c r="O150" s="372"/>
      <c r="P150" s="303">
        <v>0</v>
      </c>
      <c r="Q150" s="304"/>
      <c r="R150" s="303">
        <v>2</v>
      </c>
      <c r="S150" s="303"/>
      <c r="T150" s="303"/>
      <c r="U150" s="303"/>
      <c r="V150" s="303"/>
      <c r="W150" s="330" t="str">
        <f>IF(COUNTIF(tblSeverityAnalysis[[#This Row],[CCCM]:[WASH]], 1)=0, "", COUNTIF(tblSeverityAnalysis[[#This Row],[CCCM]:[WASH]], 1))</f>
        <v/>
      </c>
      <c r="X150" s="331">
        <f>IF(COUNTIF(tblSeverityAnalysis[[#This Row],[CCCM]:[WASH]], 2)=0, "", COUNTIF(tblSeverityAnalysis[[#This Row],[CCCM]:[WASH]], 2))</f>
        <v>1</v>
      </c>
      <c r="Y150" s="331">
        <f>IF(COUNTIF(tblSeverityAnalysis[[#This Row],[CCCM]:[WASH]], 3)=0, "", COUNTIF(tblSeverityAnalysis[[#This Row],[CCCM]:[WASH]], 3))</f>
        <v>2</v>
      </c>
      <c r="Z150" s="331" t="str">
        <f>IF(COUNTIF(tblSeverityAnalysis[[#This Row],[CCCM]:[WASH]], 4)=0, "", COUNTIF(tblSeverityAnalysis[[#This Row],[CCCM]:[WASH]], 4))</f>
        <v/>
      </c>
      <c r="AA150" s="332" t="str">
        <f>IF(COUNTIF(tblSeverityAnalysis[[#This Row],[CCCM]:[WASH]], 5)=0, "", COUNTIF(tblSeverityAnalysis[[#This Row],[CCCM]:[WASH]], 5))</f>
        <v/>
      </c>
      <c r="AB150" s="59" cm="1">
        <f t="array" ref="AB15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0" s="41">
        <f>IFERROR(IF(INDEX(tblSeverityReference[Malnutrition Severity],MATCH(tblSeverityAnalysis[[#This Row],[ID]], tblSeverityReference[ID], 0))= "", "",INDEX(tblSeverityReference[Malnutrition Severity],MATCH(tblSeverityAnalysis[[#This Row],[ID]], tblSeverityReference[ID], 0)) ), "")</f>
        <v>2</v>
      </c>
      <c r="AE150" s="303">
        <f>IFERROR(IF(INDEX(tblSeverityReference[Epidemic Severity],MATCH(tblSeverityAnalysis[[#This Row],[ID]], tblSeverityReference[ID], 0))= "", "",INDEX(tblSeverityReference[Epidemic Severity],MATCH(tblSeverityAnalysis[[#This Row],[ID]], tblSeverityReference[ID], 0)) ), "")</f>
        <v>1.8235294117647056</v>
      </c>
      <c r="AF150" s="303">
        <f>IFERROR(IF(INDEX(tblSeverityReference[Coping Strategy Severity],MATCH(tblSeverityAnalysis[[#This Row],[ID]], tblSeverityReference[ID], 0))= "", "",INDEX(tblSeverityReference[Coping Strategy Severity],MATCH(tblSeverityAnalysis[[#This Row],[ID]], tblSeverityReference[ID], 0)) ), "")</f>
        <v>1</v>
      </c>
      <c r="AG150" s="108" t="str">
        <f>IFERROR(IF(INDEX(tblSeverityReference[HR/IHL Violation],MATCH(tblSeverityAnalysis[[#This Row],[ID]], tblSeverityReference[ID], 0))= "", "",INDEX(tblSeverityReference[HR/IHL Violation],MATCH(tblSeverityAnalysis[[#This Row],[ID]], tblSeverityReference[ID], 0)) ), "")</f>
        <v/>
      </c>
      <c r="AH150" s="81">
        <f>IFERROR(AVERAGE(tblSeverityAnalysis[[#This Row],[CCCM]:[WASH]]), "")</f>
        <v>2</v>
      </c>
      <c r="AI150" s="27">
        <f>IF(SUM(tblSeverityAnalysis[[#This Row],[CCCM]:[WASH]])=0, "", MAX(tblSeverityAnalysis[[#This Row],[CCCM]:[WASH]]))</f>
        <v>3</v>
      </c>
      <c r="AJ150" s="333" t="str" cm="1">
        <f t="array" ref="AJ150">IFERROR(IF(tblSeverityAnalysis[[#This Row],[Highest Severity]]="", "", _xlfn.TEXTJOIN(CHAR(10), TRUE, IF(tblSeverityAnalysis[[#This Row],[CCCM]:[WASH]]=tblSeverityAnalysis[[#This Row],[Highest Severity]], tblSeverityAnalysis[[#Headers],[CCCM]:[WASH]], ""), "")), "")</f>
        <v>Nutrition
Food Security</v>
      </c>
      <c r="AK150" s="27" cm="1">
        <f t="array" ref="AK150">IFERROR(MAX(_xlfn._xlws.FILTER(tblSeverityAnalysis[[#This Row],[CCCM]:[WASH]], tblSeverityAnalysis[[#This Row],[CCCM]:[WASH]]&lt;tblSeverityAnalysis[[#This Row],[Highest Severity]])), "")</f>
        <v>2</v>
      </c>
      <c r="AL150" s="313" t="str" cm="1">
        <f t="array" ref="AL150">IFERROR(IF(tblSeverityAnalysis[[#This Row],[2nd Highest Severity]]="", "", _xlfn.TEXTJOIN(CHAR(10), TRUE, IF(tblSeverityAnalysis[[#This Row],[CCCM]:[WASH]]=tblSeverityAnalysis[[#This Row],[2nd Highest Severity]], tblSeverityAnalysis[[#Headers],[CCCM]:[WASH]], ""), "")), "")</f>
        <v>WASH</v>
      </c>
      <c r="AM150" s="132" t="str">
        <f>IFERROR(IF(AND(tblSeverityAnalysis[[#This Row],[5]] &lt;&gt; "", tblSeverityAnalysis[[#This Row],[5]]&gt;=sectors_sev_5), "Flagged", ""), "")</f>
        <v/>
      </c>
      <c r="AN150" s="133" t="str">
        <f>IFERROR(IF(AND(tblSeverityAnalysis[[#This Row],[Preliminary Intersectoral Severity based on overlap of sectoral deprivations]]=4, SUM(tblSeverityAnalysis[[#This Row],[ 4 ]:[5]])&gt;=sectors_sev_4), "Flagged", ""), "")</f>
        <v/>
      </c>
      <c r="AO150" s="133" t="str" cm="1">
        <f t="array" ref="AO15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0" s="335"/>
      <c r="AR150" s="336"/>
      <c r="AS150" s="335"/>
      <c r="AT150" s="337">
        <f>COUNTIF(tblSeverityAnalysis[[#This Row],[1 sector in severity phase 5 '[modify the threshold']]:[Manual Flag]], "Flagged")</f>
        <v>0</v>
      </c>
      <c r="AU150" s="338">
        <f>tblSeverityAnalysis[[#This Row],[Preliminary Intersectoral Severity based on overlap of sectoral deprivations]]</f>
        <v>1</v>
      </c>
      <c r="AV150" s="339"/>
    </row>
    <row r="151" spans="1:48" ht="15" hidden="1" customHeight="1">
      <c r="A15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MZ1112</v>
      </c>
      <c r="B151" s="39" t="s">
        <v>506</v>
      </c>
      <c r="C151" s="340" t="s">
        <v>507</v>
      </c>
      <c r="D151" s="340" t="s">
        <v>530</v>
      </c>
      <c r="E151" s="33" t="s">
        <v>531</v>
      </c>
      <c r="F151" s="33"/>
      <c r="G151" s="33"/>
      <c r="H151" s="20"/>
      <c r="I151" s="95"/>
      <c r="J151" s="95"/>
      <c r="K151" s="321"/>
      <c r="L151" s="303"/>
      <c r="M151" s="303" t="s">
        <v>264</v>
      </c>
      <c r="N151" s="303"/>
      <c r="O151" s="372"/>
      <c r="P151" s="303">
        <v>0</v>
      </c>
      <c r="Q151" s="304"/>
      <c r="R151" s="303">
        <v>3</v>
      </c>
      <c r="S151" s="303"/>
      <c r="T151" s="303"/>
      <c r="U151" s="303"/>
      <c r="V151" s="303"/>
      <c r="W151" s="330" t="str">
        <f>IF(COUNTIF(tblSeverityAnalysis[[#This Row],[CCCM]:[WASH]], 1)=0, "", COUNTIF(tblSeverityAnalysis[[#This Row],[CCCM]:[WASH]], 1))</f>
        <v/>
      </c>
      <c r="X151" s="331" t="str">
        <f>IF(COUNTIF(tblSeverityAnalysis[[#This Row],[CCCM]:[WASH]], 2)=0, "", COUNTIF(tblSeverityAnalysis[[#This Row],[CCCM]:[WASH]], 2))</f>
        <v/>
      </c>
      <c r="Y151" s="331">
        <f>IF(COUNTIF(tblSeverityAnalysis[[#This Row],[CCCM]:[WASH]], 3)=0, "", COUNTIF(tblSeverityAnalysis[[#This Row],[CCCM]:[WASH]], 3))</f>
        <v>1</v>
      </c>
      <c r="Z151" s="331" t="str">
        <f>IF(COUNTIF(tblSeverityAnalysis[[#This Row],[CCCM]:[WASH]], 4)=0, "", COUNTIF(tblSeverityAnalysis[[#This Row],[CCCM]:[WASH]], 4))</f>
        <v/>
      </c>
      <c r="AA151" s="332" t="str">
        <f>IF(COUNTIF(tblSeverityAnalysis[[#This Row],[CCCM]:[WASH]], 5)=0, "", COUNTIF(tblSeverityAnalysis[[#This Row],[CCCM]:[WASH]], 5))</f>
        <v/>
      </c>
      <c r="AB151" s="59" cm="1">
        <f t="array" ref="AB15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1" s="41" t="str">
        <f>IFERROR(IF(INDEX(tblSeverityReference[Malnutrition Severity],MATCH(tblSeverityAnalysis[[#This Row],[ID]], tblSeverityReference[ID], 0))= "", "",INDEX(tblSeverityReference[Malnutrition Severity],MATCH(tblSeverityAnalysis[[#This Row],[ID]], tblSeverityReference[ID], 0)) ), "")</f>
        <v/>
      </c>
      <c r="AE151" s="303" t="str">
        <f>IFERROR(IF(INDEX(tblSeverityReference[Epidemic Severity],MATCH(tblSeverityAnalysis[[#This Row],[ID]], tblSeverityReference[ID], 0))= "", "",INDEX(tblSeverityReference[Epidemic Severity],MATCH(tblSeverityAnalysis[[#This Row],[ID]], tblSeverityReference[ID], 0)) ), "")</f>
        <v/>
      </c>
      <c r="AF151" s="303" t="str">
        <f>IFERROR(IF(INDEX(tblSeverityReference[Coping Strategy Severity],MATCH(tblSeverityAnalysis[[#This Row],[ID]], tblSeverityReference[ID], 0))= "", "",INDEX(tblSeverityReference[Coping Strategy Severity],MATCH(tblSeverityAnalysis[[#This Row],[ID]], tblSeverityReference[ID], 0)) ), "")</f>
        <v/>
      </c>
      <c r="AG151" s="108" t="str">
        <f>IFERROR(IF(INDEX(tblSeverityReference[HR/IHL Violation],MATCH(tblSeverityAnalysis[[#This Row],[ID]], tblSeverityReference[ID], 0))= "", "",INDEX(tblSeverityReference[HR/IHL Violation],MATCH(tblSeverityAnalysis[[#This Row],[ID]], tblSeverityReference[ID], 0)) ), "")</f>
        <v/>
      </c>
      <c r="AH151" s="81">
        <f>IFERROR(AVERAGE(tblSeverityAnalysis[[#This Row],[CCCM]:[WASH]]), "")</f>
        <v>1.5</v>
      </c>
      <c r="AI151" s="27">
        <f>IF(SUM(tblSeverityAnalysis[[#This Row],[CCCM]:[WASH]])=0, "", MAX(tblSeverityAnalysis[[#This Row],[CCCM]:[WASH]]))</f>
        <v>3</v>
      </c>
      <c r="AJ151" s="333" t="str" cm="1">
        <f t="array" ref="AJ151">IFERROR(IF(tblSeverityAnalysis[[#This Row],[Highest Severity]]="", "", _xlfn.TEXTJOIN(CHAR(10), TRUE, IF(tblSeverityAnalysis[[#This Row],[CCCM]:[WASH]]=tblSeverityAnalysis[[#This Row],[Highest Severity]], tblSeverityAnalysis[[#Headers],[CCCM]:[WASH]], ""), "")), "")</f>
        <v>WASH</v>
      </c>
      <c r="AK151" s="27" cm="1">
        <f t="array" ref="AK151">IFERROR(MAX(_xlfn._xlws.FILTER(tblSeverityAnalysis[[#This Row],[CCCM]:[WASH]], tblSeverityAnalysis[[#This Row],[CCCM]:[WASH]]&lt;tblSeverityAnalysis[[#This Row],[Highest Severity]])), "")</f>
        <v>0</v>
      </c>
      <c r="AL151" s="313" t="str" cm="1">
        <f t="array" ref="AL15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51" s="132" t="str">
        <f>IFERROR(IF(AND(tblSeverityAnalysis[[#This Row],[5]] &lt;&gt; "", tblSeverityAnalysis[[#This Row],[5]]&gt;=sectors_sev_5), "Flagged", ""), "")</f>
        <v/>
      </c>
      <c r="AN151" s="133" t="str">
        <f>IFERROR(IF(AND(tblSeverityAnalysis[[#This Row],[Preliminary Intersectoral Severity based on overlap of sectoral deprivations]]=4, SUM(tblSeverityAnalysis[[#This Row],[ 4 ]:[5]])&gt;=sectors_sev_4), "Flagged", ""), "")</f>
        <v/>
      </c>
      <c r="AO151" s="133" t="str" cm="1">
        <f t="array" ref="AO15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1" s="335"/>
      <c r="AR151" s="336"/>
      <c r="AS151" s="335"/>
      <c r="AT151" s="337">
        <f>COUNTIF(tblSeverityAnalysis[[#This Row],[1 sector in severity phase 5 '[modify the threshold']]:[Manual Flag]], "Flagged")</f>
        <v>0</v>
      </c>
      <c r="AU151" s="338">
        <f>tblSeverityAnalysis[[#This Row],[Preliminary Intersectoral Severity based on overlap of sectoral deprivations]]</f>
        <v>1</v>
      </c>
      <c r="AV151" s="339"/>
    </row>
    <row r="152" spans="1:48" ht="15" hidden="1" customHeight="1">
      <c r="A15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MZ1113</v>
      </c>
      <c r="B152" s="39" t="s">
        <v>506</v>
      </c>
      <c r="C152" s="340" t="s">
        <v>507</v>
      </c>
      <c r="D152" s="340" t="s">
        <v>532</v>
      </c>
      <c r="E152" s="33" t="s">
        <v>533</v>
      </c>
      <c r="F152" s="33"/>
      <c r="G152" s="33"/>
      <c r="H152" s="20"/>
      <c r="I152" s="95">
        <v>741486</v>
      </c>
      <c r="J152" s="95"/>
      <c r="K152" s="321"/>
      <c r="L152" s="303"/>
      <c r="M152" s="303" t="s">
        <v>264</v>
      </c>
      <c r="N152" s="303"/>
      <c r="O152" s="372"/>
      <c r="P152" s="303">
        <v>0</v>
      </c>
      <c r="Q152" s="304"/>
      <c r="R152" s="303">
        <v>3</v>
      </c>
      <c r="S152" s="303"/>
      <c r="T152" s="303"/>
      <c r="U152" s="303"/>
      <c r="V152" s="303"/>
      <c r="W152" s="330" t="str">
        <f>IF(COUNTIF(tblSeverityAnalysis[[#This Row],[CCCM]:[WASH]], 1)=0, "", COUNTIF(tblSeverityAnalysis[[#This Row],[CCCM]:[WASH]], 1))</f>
        <v/>
      </c>
      <c r="X152" s="331" t="str">
        <f>IF(COUNTIF(tblSeverityAnalysis[[#This Row],[CCCM]:[WASH]], 2)=0, "", COUNTIF(tblSeverityAnalysis[[#This Row],[CCCM]:[WASH]], 2))</f>
        <v/>
      </c>
      <c r="Y152" s="331">
        <f>IF(COUNTIF(tblSeverityAnalysis[[#This Row],[CCCM]:[WASH]], 3)=0, "", COUNTIF(tblSeverityAnalysis[[#This Row],[CCCM]:[WASH]], 3))</f>
        <v>1</v>
      </c>
      <c r="Z152" s="331" t="str">
        <f>IF(COUNTIF(tblSeverityAnalysis[[#This Row],[CCCM]:[WASH]], 4)=0, "", COUNTIF(tblSeverityAnalysis[[#This Row],[CCCM]:[WASH]], 4))</f>
        <v/>
      </c>
      <c r="AA152" s="332" t="str">
        <f>IF(COUNTIF(tblSeverityAnalysis[[#This Row],[CCCM]:[WASH]], 5)=0, "", COUNTIF(tblSeverityAnalysis[[#This Row],[CCCM]:[WASH]], 5))</f>
        <v/>
      </c>
      <c r="AB152" s="59" cm="1">
        <f t="array" ref="AB15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2" s="41" t="str">
        <f>IFERROR(IF(INDEX(tblSeverityReference[Malnutrition Severity],MATCH(tblSeverityAnalysis[[#This Row],[ID]], tblSeverityReference[ID], 0))= "", "",INDEX(tblSeverityReference[Malnutrition Severity],MATCH(tblSeverityAnalysis[[#This Row],[ID]], tblSeverityReference[ID], 0)) ), "")</f>
        <v/>
      </c>
      <c r="AE152" s="303">
        <f>IFERROR(IF(INDEX(tblSeverityReference[Epidemic Severity],MATCH(tblSeverityAnalysis[[#This Row],[ID]], tblSeverityReference[ID], 0))= "", "",INDEX(tblSeverityReference[Epidemic Severity],MATCH(tblSeverityAnalysis[[#This Row],[ID]], tblSeverityReference[ID], 0)) ), "")</f>
        <v>1.8235294117647056</v>
      </c>
      <c r="AF152" s="303" t="str">
        <f>IFERROR(IF(INDEX(tblSeverityReference[Coping Strategy Severity],MATCH(tblSeverityAnalysis[[#This Row],[ID]], tblSeverityReference[ID], 0))= "", "",INDEX(tblSeverityReference[Coping Strategy Severity],MATCH(tblSeverityAnalysis[[#This Row],[ID]], tblSeverityReference[ID], 0)) ), "")</f>
        <v/>
      </c>
      <c r="AG152" s="108" t="str">
        <f>IFERROR(IF(INDEX(tblSeverityReference[HR/IHL Violation],MATCH(tblSeverityAnalysis[[#This Row],[ID]], tblSeverityReference[ID], 0))= "", "",INDEX(tblSeverityReference[HR/IHL Violation],MATCH(tblSeverityAnalysis[[#This Row],[ID]], tblSeverityReference[ID], 0)) ), "")</f>
        <v/>
      </c>
      <c r="AH152" s="81">
        <f>IFERROR(AVERAGE(tblSeverityAnalysis[[#This Row],[CCCM]:[WASH]]), "")</f>
        <v>1.5</v>
      </c>
      <c r="AI152" s="27">
        <f>IF(SUM(tblSeverityAnalysis[[#This Row],[CCCM]:[WASH]])=0, "", MAX(tblSeverityAnalysis[[#This Row],[CCCM]:[WASH]]))</f>
        <v>3</v>
      </c>
      <c r="AJ152" s="333" t="str" cm="1">
        <f t="array" ref="AJ152">IFERROR(IF(tblSeverityAnalysis[[#This Row],[Highest Severity]]="", "", _xlfn.TEXTJOIN(CHAR(10), TRUE, IF(tblSeverityAnalysis[[#This Row],[CCCM]:[WASH]]=tblSeverityAnalysis[[#This Row],[Highest Severity]], tblSeverityAnalysis[[#Headers],[CCCM]:[WASH]], ""), "")), "")</f>
        <v>WASH</v>
      </c>
      <c r="AK152" s="27" cm="1">
        <f t="array" ref="AK152">IFERROR(MAX(_xlfn._xlws.FILTER(tblSeverityAnalysis[[#This Row],[CCCM]:[WASH]], tblSeverityAnalysis[[#This Row],[CCCM]:[WASH]]&lt;tblSeverityAnalysis[[#This Row],[Highest Severity]])), "")</f>
        <v>0</v>
      </c>
      <c r="AL152" s="313" t="str" cm="1">
        <f t="array" ref="AL152">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52" s="132" t="str">
        <f>IFERROR(IF(AND(tblSeverityAnalysis[[#This Row],[5]] &lt;&gt; "", tblSeverityAnalysis[[#This Row],[5]]&gt;=sectors_sev_5), "Flagged", ""), "")</f>
        <v/>
      </c>
      <c r="AN152" s="133" t="str">
        <f>IFERROR(IF(AND(tblSeverityAnalysis[[#This Row],[Preliminary Intersectoral Severity based on overlap of sectoral deprivations]]=4, SUM(tblSeverityAnalysis[[#This Row],[ 4 ]:[5]])&gt;=sectors_sev_4), "Flagged", ""), "")</f>
        <v/>
      </c>
      <c r="AO152" s="133" t="str" cm="1">
        <f t="array" ref="AO15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2" s="335"/>
      <c r="AR152" s="336"/>
      <c r="AS152" s="335"/>
      <c r="AT152" s="337">
        <f>COUNTIF(tblSeverityAnalysis[[#This Row],[1 sector in severity phase 5 '[modify the threshold']]:[Manual Flag]], "Flagged")</f>
        <v>0</v>
      </c>
      <c r="AU152" s="338">
        <f>tblSeverityAnalysis[[#This Row],[Preliminary Intersectoral Severity based on overlap of sectoral deprivations]]</f>
        <v>1</v>
      </c>
      <c r="AV152" s="339"/>
    </row>
    <row r="153" spans="1:48" ht="15" hidden="1" customHeight="1">
      <c r="A153"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MZ1114</v>
      </c>
      <c r="B153" s="39" t="s">
        <v>506</v>
      </c>
      <c r="C153" s="340" t="s">
        <v>507</v>
      </c>
      <c r="D153" s="340" t="s">
        <v>534</v>
      </c>
      <c r="E153" s="33" t="s">
        <v>535</v>
      </c>
      <c r="F153" s="33"/>
      <c r="G153" s="33"/>
      <c r="H153" s="20"/>
      <c r="I153" s="95">
        <v>512134</v>
      </c>
      <c r="J153" s="95"/>
      <c r="K153" s="321"/>
      <c r="L153" s="303"/>
      <c r="M153" s="303" t="s">
        <v>264</v>
      </c>
      <c r="N153" s="303"/>
      <c r="O153" s="372"/>
      <c r="P153" s="303">
        <v>0</v>
      </c>
      <c r="Q153" s="304"/>
      <c r="R153" s="303">
        <v>3</v>
      </c>
      <c r="S153" s="303"/>
      <c r="T153" s="303"/>
      <c r="U153" s="303"/>
      <c r="V153" s="303"/>
      <c r="W153" s="330" t="str">
        <f>IF(COUNTIF(tblSeverityAnalysis[[#This Row],[CCCM]:[WASH]], 1)=0, "", COUNTIF(tblSeverityAnalysis[[#This Row],[CCCM]:[WASH]], 1))</f>
        <v/>
      </c>
      <c r="X153" s="331" t="str">
        <f>IF(COUNTIF(tblSeverityAnalysis[[#This Row],[CCCM]:[WASH]], 2)=0, "", COUNTIF(tblSeverityAnalysis[[#This Row],[CCCM]:[WASH]], 2))</f>
        <v/>
      </c>
      <c r="Y153" s="331">
        <f>IF(COUNTIF(tblSeverityAnalysis[[#This Row],[CCCM]:[WASH]], 3)=0, "", COUNTIF(tblSeverityAnalysis[[#This Row],[CCCM]:[WASH]], 3))</f>
        <v>1</v>
      </c>
      <c r="Z153" s="331" t="str">
        <f>IF(COUNTIF(tblSeverityAnalysis[[#This Row],[CCCM]:[WASH]], 4)=0, "", COUNTIF(tblSeverityAnalysis[[#This Row],[CCCM]:[WASH]], 4))</f>
        <v/>
      </c>
      <c r="AA153" s="332" t="str">
        <f>IF(COUNTIF(tblSeverityAnalysis[[#This Row],[CCCM]:[WASH]], 5)=0, "", COUNTIF(tblSeverityAnalysis[[#This Row],[CCCM]:[WASH]], 5))</f>
        <v/>
      </c>
      <c r="AB153" s="59" cm="1">
        <f t="array" ref="AB15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3"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3" s="41" t="str">
        <f>IFERROR(IF(INDEX(tblSeverityReference[Malnutrition Severity],MATCH(tblSeverityAnalysis[[#This Row],[ID]], tblSeverityReference[ID], 0))= "", "",INDEX(tblSeverityReference[Malnutrition Severity],MATCH(tblSeverityAnalysis[[#This Row],[ID]], tblSeverityReference[ID], 0)) ), "")</f>
        <v/>
      </c>
      <c r="AE153" s="303">
        <f>IFERROR(IF(INDEX(tblSeverityReference[Epidemic Severity],MATCH(tblSeverityAnalysis[[#This Row],[ID]], tblSeverityReference[ID], 0))= "", "",INDEX(tblSeverityReference[Epidemic Severity],MATCH(tblSeverityAnalysis[[#This Row],[ID]], tblSeverityReference[ID], 0)) ), "")</f>
        <v>2.2352941176470589</v>
      </c>
      <c r="AF153" s="303" t="str">
        <f>IFERROR(IF(INDEX(tblSeverityReference[Coping Strategy Severity],MATCH(tblSeverityAnalysis[[#This Row],[ID]], tblSeverityReference[ID], 0))= "", "",INDEX(tblSeverityReference[Coping Strategy Severity],MATCH(tblSeverityAnalysis[[#This Row],[ID]], tblSeverityReference[ID], 0)) ), "")</f>
        <v/>
      </c>
      <c r="AG153" s="108" t="str">
        <f>IFERROR(IF(INDEX(tblSeverityReference[HR/IHL Violation],MATCH(tblSeverityAnalysis[[#This Row],[ID]], tblSeverityReference[ID], 0))= "", "",INDEX(tblSeverityReference[HR/IHL Violation],MATCH(tblSeverityAnalysis[[#This Row],[ID]], tblSeverityReference[ID], 0)) ), "")</f>
        <v/>
      </c>
      <c r="AH153" s="81">
        <f>IFERROR(AVERAGE(tblSeverityAnalysis[[#This Row],[CCCM]:[WASH]]), "")</f>
        <v>1.5</v>
      </c>
      <c r="AI153" s="27">
        <f>IF(SUM(tblSeverityAnalysis[[#This Row],[CCCM]:[WASH]])=0, "", MAX(tblSeverityAnalysis[[#This Row],[CCCM]:[WASH]]))</f>
        <v>3</v>
      </c>
      <c r="AJ153" s="333" t="str" cm="1">
        <f t="array" ref="AJ153">IFERROR(IF(tblSeverityAnalysis[[#This Row],[Highest Severity]]="", "", _xlfn.TEXTJOIN(CHAR(10), TRUE, IF(tblSeverityAnalysis[[#This Row],[CCCM]:[WASH]]=tblSeverityAnalysis[[#This Row],[Highest Severity]], tblSeverityAnalysis[[#Headers],[CCCM]:[WASH]], ""), "")), "")</f>
        <v>WASH</v>
      </c>
      <c r="AK153" s="27" cm="1">
        <f t="array" ref="AK153">IFERROR(MAX(_xlfn._xlws.FILTER(tblSeverityAnalysis[[#This Row],[CCCM]:[WASH]], tblSeverityAnalysis[[#This Row],[CCCM]:[WASH]]&lt;tblSeverityAnalysis[[#This Row],[Highest Severity]])), "")</f>
        <v>0</v>
      </c>
      <c r="AL153" s="313" t="str" cm="1">
        <f t="array" ref="AL153">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53" s="132" t="str">
        <f>IFERROR(IF(AND(tblSeverityAnalysis[[#This Row],[5]] &lt;&gt; "", tblSeverityAnalysis[[#This Row],[5]]&gt;=sectors_sev_5), "Flagged", ""), "")</f>
        <v/>
      </c>
      <c r="AN153" s="133" t="str">
        <f>IFERROR(IF(AND(tblSeverityAnalysis[[#This Row],[Preliminary Intersectoral Severity based on overlap of sectoral deprivations]]=4, SUM(tblSeverityAnalysis[[#This Row],[ 4 ]:[5]])&gt;=sectors_sev_4), "Flagged", ""), "")</f>
        <v/>
      </c>
      <c r="AO153" s="133" t="str" cm="1">
        <f t="array" ref="AO15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3"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3" s="335"/>
      <c r="AR153" s="336"/>
      <c r="AS153" s="335"/>
      <c r="AT153" s="337">
        <f>COUNTIF(tblSeverityAnalysis[[#This Row],[1 sector in severity phase 5 '[modify the threshold']]:[Manual Flag]], "Flagged")</f>
        <v>0</v>
      </c>
      <c r="AU153" s="338">
        <f>tblSeverityAnalysis[[#This Row],[Preliminary Intersectoral Severity based on overlap of sectoral deprivations]]</f>
        <v>1</v>
      </c>
      <c r="AV153" s="339"/>
    </row>
    <row r="154" spans="1:48" ht="15" hidden="1" customHeight="1">
      <c r="A154"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MZ1115</v>
      </c>
      <c r="B154" s="39" t="s">
        <v>506</v>
      </c>
      <c r="C154" s="340" t="s">
        <v>507</v>
      </c>
      <c r="D154" s="340" t="s">
        <v>536</v>
      </c>
      <c r="E154" s="33" t="s">
        <v>537</v>
      </c>
      <c r="F154" s="33"/>
      <c r="G154" s="33"/>
      <c r="H154" s="20"/>
      <c r="I154" s="95">
        <v>151875</v>
      </c>
      <c r="J154" s="95"/>
      <c r="K154" s="321"/>
      <c r="L154" s="303"/>
      <c r="M154" s="303" t="s">
        <v>264</v>
      </c>
      <c r="N154" s="303"/>
      <c r="O154" s="372"/>
      <c r="P154" s="303">
        <v>0</v>
      </c>
      <c r="Q154" s="304"/>
      <c r="R154" s="303">
        <v>3</v>
      </c>
      <c r="S154" s="303"/>
      <c r="T154" s="303"/>
      <c r="U154" s="303"/>
      <c r="V154" s="303"/>
      <c r="W154" s="330" t="str">
        <f>IF(COUNTIF(tblSeverityAnalysis[[#This Row],[CCCM]:[WASH]], 1)=0, "", COUNTIF(tblSeverityAnalysis[[#This Row],[CCCM]:[WASH]], 1))</f>
        <v/>
      </c>
      <c r="X154" s="331" t="str">
        <f>IF(COUNTIF(tblSeverityAnalysis[[#This Row],[CCCM]:[WASH]], 2)=0, "", COUNTIF(tblSeverityAnalysis[[#This Row],[CCCM]:[WASH]], 2))</f>
        <v/>
      </c>
      <c r="Y154" s="331">
        <f>IF(COUNTIF(tblSeverityAnalysis[[#This Row],[CCCM]:[WASH]], 3)=0, "", COUNTIF(tblSeverityAnalysis[[#This Row],[CCCM]:[WASH]], 3))</f>
        <v>1</v>
      </c>
      <c r="Z154" s="331" t="str">
        <f>IF(COUNTIF(tblSeverityAnalysis[[#This Row],[CCCM]:[WASH]], 4)=0, "", COUNTIF(tblSeverityAnalysis[[#This Row],[CCCM]:[WASH]], 4))</f>
        <v/>
      </c>
      <c r="AA154" s="332" t="str">
        <f>IF(COUNTIF(tblSeverityAnalysis[[#This Row],[CCCM]:[WASH]], 5)=0, "", COUNTIF(tblSeverityAnalysis[[#This Row],[CCCM]:[WASH]], 5))</f>
        <v/>
      </c>
      <c r="AB154" s="59" cm="1">
        <f t="array" ref="AB15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4"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4" s="41" t="str">
        <f>IFERROR(IF(INDEX(tblSeverityReference[Malnutrition Severity],MATCH(tblSeverityAnalysis[[#This Row],[ID]], tblSeverityReference[ID], 0))= "", "",INDEX(tblSeverityReference[Malnutrition Severity],MATCH(tblSeverityAnalysis[[#This Row],[ID]], tblSeverityReference[ID], 0)) ), "")</f>
        <v/>
      </c>
      <c r="AE154" s="303">
        <f>IFERROR(IF(INDEX(tblSeverityReference[Epidemic Severity],MATCH(tblSeverityAnalysis[[#This Row],[ID]], tblSeverityReference[ID], 0))= "", "",INDEX(tblSeverityReference[Epidemic Severity],MATCH(tblSeverityAnalysis[[#This Row],[ID]], tblSeverityReference[ID], 0)) ), "")</f>
        <v>1.8235294117647056</v>
      </c>
      <c r="AF154" s="303" t="str">
        <f>IFERROR(IF(INDEX(tblSeverityReference[Coping Strategy Severity],MATCH(tblSeverityAnalysis[[#This Row],[ID]], tblSeverityReference[ID], 0))= "", "",INDEX(tblSeverityReference[Coping Strategy Severity],MATCH(tblSeverityAnalysis[[#This Row],[ID]], tblSeverityReference[ID], 0)) ), "")</f>
        <v/>
      </c>
      <c r="AG154" s="108" t="str">
        <f>IFERROR(IF(INDEX(tblSeverityReference[HR/IHL Violation],MATCH(tblSeverityAnalysis[[#This Row],[ID]], tblSeverityReference[ID], 0))= "", "",INDEX(tblSeverityReference[HR/IHL Violation],MATCH(tblSeverityAnalysis[[#This Row],[ID]], tblSeverityReference[ID], 0)) ), "")</f>
        <v/>
      </c>
      <c r="AH154" s="81">
        <f>IFERROR(AVERAGE(tblSeverityAnalysis[[#This Row],[CCCM]:[WASH]]), "")</f>
        <v>1.5</v>
      </c>
      <c r="AI154" s="27">
        <f>IF(SUM(tblSeverityAnalysis[[#This Row],[CCCM]:[WASH]])=0, "", MAX(tblSeverityAnalysis[[#This Row],[CCCM]:[WASH]]))</f>
        <v>3</v>
      </c>
      <c r="AJ154" s="333" t="str" cm="1">
        <f t="array" ref="AJ154">IFERROR(IF(tblSeverityAnalysis[[#This Row],[Highest Severity]]="", "", _xlfn.TEXTJOIN(CHAR(10), TRUE, IF(tblSeverityAnalysis[[#This Row],[CCCM]:[WASH]]=tblSeverityAnalysis[[#This Row],[Highest Severity]], tblSeverityAnalysis[[#Headers],[CCCM]:[WASH]], ""), "")), "")</f>
        <v>WASH</v>
      </c>
      <c r="AK154" s="27" cm="1">
        <f t="array" ref="AK154">IFERROR(MAX(_xlfn._xlws.FILTER(tblSeverityAnalysis[[#This Row],[CCCM]:[WASH]], tblSeverityAnalysis[[#This Row],[CCCM]:[WASH]]&lt;tblSeverityAnalysis[[#This Row],[Highest Severity]])), "")</f>
        <v>0</v>
      </c>
      <c r="AL154" s="313" t="str" cm="1">
        <f t="array" ref="AL154">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54" s="132" t="str">
        <f>IFERROR(IF(AND(tblSeverityAnalysis[[#This Row],[5]] &lt;&gt; "", tblSeverityAnalysis[[#This Row],[5]]&gt;=sectors_sev_5), "Flagged", ""), "")</f>
        <v/>
      </c>
      <c r="AN154" s="133" t="str">
        <f>IFERROR(IF(AND(tblSeverityAnalysis[[#This Row],[Preliminary Intersectoral Severity based on overlap of sectoral deprivations]]=4, SUM(tblSeverityAnalysis[[#This Row],[ 4 ]:[5]])&gt;=sectors_sev_4), "Flagged", ""), "")</f>
        <v/>
      </c>
      <c r="AO154" s="133" t="str" cm="1">
        <f t="array" ref="AO15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4"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4" s="335"/>
      <c r="AR154" s="336"/>
      <c r="AS154" s="335"/>
      <c r="AT154" s="337">
        <f>COUNTIF(tblSeverityAnalysis[[#This Row],[1 sector in severity phase 5 '[modify the threshold']]:[Manual Flag]], "Flagged")</f>
        <v>0</v>
      </c>
      <c r="AU154" s="338">
        <f>tblSeverityAnalysis[[#This Row],[Preliminary Intersectoral Severity based on overlap of sectoral deprivations]]</f>
        <v>1</v>
      </c>
      <c r="AV154" s="339"/>
    </row>
    <row r="155" spans="1:48" ht="15" hidden="1" customHeight="1">
      <c r="A155"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MZ1116</v>
      </c>
      <c r="B155" s="39" t="s">
        <v>506</v>
      </c>
      <c r="C155" s="340" t="s">
        <v>507</v>
      </c>
      <c r="D155" s="340" t="s">
        <v>538</v>
      </c>
      <c r="E155" s="33" t="s">
        <v>539</v>
      </c>
      <c r="F155" s="33"/>
      <c r="G155" s="33"/>
      <c r="H155" s="20"/>
      <c r="I155" s="95">
        <v>387180</v>
      </c>
      <c r="J155" s="95"/>
      <c r="K155" s="321"/>
      <c r="L155" s="303"/>
      <c r="M155" s="303" t="s">
        <v>264</v>
      </c>
      <c r="N155" s="303"/>
      <c r="O155" s="372"/>
      <c r="P155" s="303">
        <v>0</v>
      </c>
      <c r="Q155" s="304"/>
      <c r="R155" s="303">
        <v>3</v>
      </c>
      <c r="S155" s="303"/>
      <c r="T155" s="303"/>
      <c r="U155" s="303"/>
      <c r="V155" s="303"/>
      <c r="W155" s="330" t="str">
        <f>IF(COUNTIF(tblSeverityAnalysis[[#This Row],[CCCM]:[WASH]], 1)=0, "", COUNTIF(tblSeverityAnalysis[[#This Row],[CCCM]:[WASH]], 1))</f>
        <v/>
      </c>
      <c r="X155" s="331" t="str">
        <f>IF(COUNTIF(tblSeverityAnalysis[[#This Row],[CCCM]:[WASH]], 2)=0, "", COUNTIF(tblSeverityAnalysis[[#This Row],[CCCM]:[WASH]], 2))</f>
        <v/>
      </c>
      <c r="Y155" s="331">
        <f>IF(COUNTIF(tblSeverityAnalysis[[#This Row],[CCCM]:[WASH]], 3)=0, "", COUNTIF(tblSeverityAnalysis[[#This Row],[CCCM]:[WASH]], 3))</f>
        <v>1</v>
      </c>
      <c r="Z155" s="331" t="str">
        <f>IF(COUNTIF(tblSeverityAnalysis[[#This Row],[CCCM]:[WASH]], 4)=0, "", COUNTIF(tblSeverityAnalysis[[#This Row],[CCCM]:[WASH]], 4))</f>
        <v/>
      </c>
      <c r="AA155" s="332" t="str">
        <f>IF(COUNTIF(tblSeverityAnalysis[[#This Row],[CCCM]:[WASH]], 5)=0, "", COUNTIF(tblSeverityAnalysis[[#This Row],[CCCM]:[WASH]], 5))</f>
        <v/>
      </c>
      <c r="AB155" s="59" cm="1">
        <f t="array" ref="AB15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5"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5" s="41" t="str">
        <f>IFERROR(IF(INDEX(tblSeverityReference[Malnutrition Severity],MATCH(tblSeverityAnalysis[[#This Row],[ID]], tblSeverityReference[ID], 0))= "", "",INDEX(tblSeverityReference[Malnutrition Severity],MATCH(tblSeverityAnalysis[[#This Row],[ID]], tblSeverityReference[ID], 0)) ), "")</f>
        <v/>
      </c>
      <c r="AE155" s="303">
        <f>IFERROR(IF(INDEX(tblSeverityReference[Epidemic Severity],MATCH(tblSeverityAnalysis[[#This Row],[ID]], tblSeverityReference[ID], 0))= "", "",INDEX(tblSeverityReference[Epidemic Severity],MATCH(tblSeverityAnalysis[[#This Row],[ID]], tblSeverityReference[ID], 0)) ), "")</f>
        <v>2.2352941176470589</v>
      </c>
      <c r="AF155" s="303" t="str">
        <f>IFERROR(IF(INDEX(tblSeverityReference[Coping Strategy Severity],MATCH(tblSeverityAnalysis[[#This Row],[ID]], tblSeverityReference[ID], 0))= "", "",INDEX(tblSeverityReference[Coping Strategy Severity],MATCH(tblSeverityAnalysis[[#This Row],[ID]], tblSeverityReference[ID], 0)) ), "")</f>
        <v/>
      </c>
      <c r="AG155" s="108" t="str">
        <f>IFERROR(IF(INDEX(tblSeverityReference[HR/IHL Violation],MATCH(tblSeverityAnalysis[[#This Row],[ID]], tblSeverityReference[ID], 0))= "", "",INDEX(tblSeverityReference[HR/IHL Violation],MATCH(tblSeverityAnalysis[[#This Row],[ID]], tblSeverityReference[ID], 0)) ), "")</f>
        <v/>
      </c>
      <c r="AH155" s="81">
        <f>IFERROR(AVERAGE(tblSeverityAnalysis[[#This Row],[CCCM]:[WASH]]), "")</f>
        <v>1.5</v>
      </c>
      <c r="AI155" s="27">
        <f>IF(SUM(tblSeverityAnalysis[[#This Row],[CCCM]:[WASH]])=0, "", MAX(tblSeverityAnalysis[[#This Row],[CCCM]:[WASH]]))</f>
        <v>3</v>
      </c>
      <c r="AJ155" s="333" t="str" cm="1">
        <f t="array" ref="AJ155">IFERROR(IF(tblSeverityAnalysis[[#This Row],[Highest Severity]]="", "", _xlfn.TEXTJOIN(CHAR(10), TRUE, IF(tblSeverityAnalysis[[#This Row],[CCCM]:[WASH]]=tblSeverityAnalysis[[#This Row],[Highest Severity]], tblSeverityAnalysis[[#Headers],[CCCM]:[WASH]], ""), "")), "")</f>
        <v>WASH</v>
      </c>
      <c r="AK155" s="27" cm="1">
        <f t="array" ref="AK155">IFERROR(MAX(_xlfn._xlws.FILTER(tblSeverityAnalysis[[#This Row],[CCCM]:[WASH]], tblSeverityAnalysis[[#This Row],[CCCM]:[WASH]]&lt;tblSeverityAnalysis[[#This Row],[Highest Severity]])), "")</f>
        <v>0</v>
      </c>
      <c r="AL155" s="313" t="str" cm="1">
        <f t="array" ref="AL155">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55" s="132" t="str">
        <f>IFERROR(IF(AND(tblSeverityAnalysis[[#This Row],[5]] &lt;&gt; "", tblSeverityAnalysis[[#This Row],[5]]&gt;=sectors_sev_5), "Flagged", ""), "")</f>
        <v/>
      </c>
      <c r="AN155" s="133" t="str">
        <f>IFERROR(IF(AND(tblSeverityAnalysis[[#This Row],[Preliminary Intersectoral Severity based on overlap of sectoral deprivations]]=4, SUM(tblSeverityAnalysis[[#This Row],[ 4 ]:[5]])&gt;=sectors_sev_4), "Flagged", ""), "")</f>
        <v/>
      </c>
      <c r="AO155" s="133" t="str" cm="1">
        <f t="array" ref="AO15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5"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5" s="335"/>
      <c r="AR155" s="336"/>
      <c r="AS155" s="335"/>
      <c r="AT155" s="337">
        <f>COUNTIF(tblSeverityAnalysis[[#This Row],[1 sector in severity phase 5 '[modify the threshold']]:[Manual Flag]], "Flagged")</f>
        <v>0</v>
      </c>
      <c r="AU155" s="338">
        <f>tblSeverityAnalysis[[#This Row],[Preliminary Intersectoral Severity based on overlap of sectoral deprivations]]</f>
        <v>1</v>
      </c>
      <c r="AV155" s="339"/>
    </row>
    <row r="156" spans="1:48" ht="15" hidden="1" customHeight="1">
      <c r="A156"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MZ1117</v>
      </c>
      <c r="B156" s="39" t="s">
        <v>506</v>
      </c>
      <c r="C156" s="340" t="s">
        <v>507</v>
      </c>
      <c r="D156" s="340" t="s">
        <v>540</v>
      </c>
      <c r="E156" s="33" t="s">
        <v>541</v>
      </c>
      <c r="F156" s="33"/>
      <c r="G156" s="33"/>
      <c r="H156" s="20"/>
      <c r="I156" s="95">
        <v>188827</v>
      </c>
      <c r="J156" s="95"/>
      <c r="K156" s="321"/>
      <c r="L156" s="303"/>
      <c r="M156" s="303" t="s">
        <v>264</v>
      </c>
      <c r="N156" s="303">
        <v>3</v>
      </c>
      <c r="O156" s="372"/>
      <c r="P156" s="303">
        <v>0</v>
      </c>
      <c r="Q156" s="304"/>
      <c r="R156" s="303">
        <v>3</v>
      </c>
      <c r="S156" s="303"/>
      <c r="T156" s="303"/>
      <c r="U156" s="303"/>
      <c r="V156" s="303"/>
      <c r="W156" s="330" t="str">
        <f>IF(COUNTIF(tblSeverityAnalysis[[#This Row],[CCCM]:[WASH]], 1)=0, "", COUNTIF(tblSeverityAnalysis[[#This Row],[CCCM]:[WASH]], 1))</f>
        <v/>
      </c>
      <c r="X156" s="331" t="str">
        <f>IF(COUNTIF(tblSeverityAnalysis[[#This Row],[CCCM]:[WASH]], 2)=0, "", COUNTIF(tblSeverityAnalysis[[#This Row],[CCCM]:[WASH]], 2))</f>
        <v/>
      </c>
      <c r="Y156" s="331">
        <f>IF(COUNTIF(tblSeverityAnalysis[[#This Row],[CCCM]:[WASH]], 3)=0, "", COUNTIF(tblSeverityAnalysis[[#This Row],[CCCM]:[WASH]], 3))</f>
        <v>2</v>
      </c>
      <c r="Z156" s="331" t="str">
        <f>IF(COUNTIF(tblSeverityAnalysis[[#This Row],[CCCM]:[WASH]], 4)=0, "", COUNTIF(tblSeverityAnalysis[[#This Row],[CCCM]:[WASH]], 4))</f>
        <v/>
      </c>
      <c r="AA156" s="332" t="str">
        <f>IF(COUNTIF(tblSeverityAnalysis[[#This Row],[CCCM]:[WASH]], 5)=0, "", COUNTIF(tblSeverityAnalysis[[#This Row],[CCCM]:[WASH]], 5))</f>
        <v/>
      </c>
      <c r="AB156" s="59" cm="1">
        <f t="array" ref="AB15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6"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6" s="41">
        <f>IFERROR(IF(INDEX(tblSeverityReference[Malnutrition Severity],MATCH(tblSeverityAnalysis[[#This Row],[ID]], tblSeverityReference[ID], 0))= "", "",INDEX(tblSeverityReference[Malnutrition Severity],MATCH(tblSeverityAnalysis[[#This Row],[ID]], tblSeverityReference[ID], 0)) ), "")</f>
        <v>2</v>
      </c>
      <c r="AE156" s="303">
        <f>IFERROR(IF(INDEX(tblSeverityReference[Epidemic Severity],MATCH(tblSeverityAnalysis[[#This Row],[ID]], tblSeverityReference[ID], 0))= "", "",INDEX(tblSeverityReference[Epidemic Severity],MATCH(tblSeverityAnalysis[[#This Row],[ID]], tblSeverityReference[ID], 0)) ), "")</f>
        <v>1.411764705882353</v>
      </c>
      <c r="AF156" s="303">
        <f>IFERROR(IF(INDEX(tblSeverityReference[Coping Strategy Severity],MATCH(tblSeverityAnalysis[[#This Row],[ID]], tblSeverityReference[ID], 0))= "", "",INDEX(tblSeverityReference[Coping Strategy Severity],MATCH(tblSeverityAnalysis[[#This Row],[ID]], tblSeverityReference[ID], 0)) ), "")</f>
        <v>2</v>
      </c>
      <c r="AG156" s="108" t="str">
        <f>IFERROR(IF(INDEX(tblSeverityReference[HR/IHL Violation],MATCH(tblSeverityAnalysis[[#This Row],[ID]], tblSeverityReference[ID], 0))= "", "",INDEX(tblSeverityReference[HR/IHL Violation],MATCH(tblSeverityAnalysis[[#This Row],[ID]], tblSeverityReference[ID], 0)) ), "")</f>
        <v/>
      </c>
      <c r="AH156" s="81">
        <f>IFERROR(AVERAGE(tblSeverityAnalysis[[#This Row],[CCCM]:[WASH]]), "")</f>
        <v>2</v>
      </c>
      <c r="AI156" s="27">
        <f>IF(SUM(tblSeverityAnalysis[[#This Row],[CCCM]:[WASH]])=0, "", MAX(tblSeverityAnalysis[[#This Row],[CCCM]:[WASH]]))</f>
        <v>3</v>
      </c>
      <c r="AJ156" s="333" t="str" cm="1">
        <f t="array" ref="AJ156">IFERROR(IF(tblSeverityAnalysis[[#This Row],[Highest Severity]]="", "", _xlfn.TEXTJOIN(CHAR(10), TRUE, IF(tblSeverityAnalysis[[#This Row],[CCCM]:[WASH]]=tblSeverityAnalysis[[#This Row],[Highest Severity]], tblSeverityAnalysis[[#Headers],[CCCM]:[WASH]], ""), "")), "")</f>
        <v>Food Security
WASH</v>
      </c>
      <c r="AK156" s="27" cm="1">
        <f t="array" ref="AK156">IFERROR(MAX(_xlfn._xlws.FILTER(tblSeverityAnalysis[[#This Row],[CCCM]:[WASH]], tblSeverityAnalysis[[#This Row],[CCCM]:[WASH]]&lt;tblSeverityAnalysis[[#This Row],[Highest Severity]])), "")</f>
        <v>0</v>
      </c>
      <c r="AL156" s="313" t="str" cm="1">
        <f t="array" ref="AL156">IFERROR(IF(tblSeverityAnalysis[[#This Row],[2nd Highest Severity]]="", "", _xlfn.TEXTJOIN(CHAR(10), TRUE, IF(tblSeverityAnalysis[[#This Row],[CCCM]:[WASH]]=tblSeverityAnalysis[[#This Row],[2nd Highest Severity]], tblSeverityAnalysis[[#Headers],[CCCM]:[WASH]], ""), "")), "")</f>
        <v>CCCM
Education
Health
Overarching Protection
Shelter</v>
      </c>
      <c r="AM156" s="132" t="str">
        <f>IFERROR(IF(AND(tblSeverityAnalysis[[#This Row],[5]] &lt;&gt; "", tblSeverityAnalysis[[#This Row],[5]]&gt;=sectors_sev_5), "Flagged", ""), "")</f>
        <v/>
      </c>
      <c r="AN156" s="133" t="str">
        <f>IFERROR(IF(AND(tblSeverityAnalysis[[#This Row],[Preliminary Intersectoral Severity based on overlap of sectoral deprivations]]=4, SUM(tblSeverityAnalysis[[#This Row],[ 4 ]:[5]])&gt;=sectors_sev_4), "Flagged", ""), "")</f>
        <v/>
      </c>
      <c r="AO156" s="133" t="str" cm="1">
        <f t="array" ref="AO15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6"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56" s="335"/>
      <c r="AR156" s="336"/>
      <c r="AS156" s="335"/>
      <c r="AT156" s="337">
        <f>COUNTIF(tblSeverityAnalysis[[#This Row],[1 sector in severity phase 5 '[modify the threshold']]:[Manual Flag]], "Flagged")</f>
        <v>1</v>
      </c>
      <c r="AU156" s="338">
        <f>tblSeverityAnalysis[[#This Row],[Preliminary Intersectoral Severity based on overlap of sectoral deprivations]]</f>
        <v>1</v>
      </c>
      <c r="AV156" s="339"/>
    </row>
    <row r="157" spans="1:48" ht="15" hidden="1" customHeight="1">
      <c r="A157"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MZ1118</v>
      </c>
      <c r="B157" s="39" t="s">
        <v>506</v>
      </c>
      <c r="C157" s="340" t="s">
        <v>507</v>
      </c>
      <c r="D157" s="340" t="s">
        <v>542</v>
      </c>
      <c r="E157" s="33" t="s">
        <v>543</v>
      </c>
      <c r="F157" s="33"/>
      <c r="G157" s="33"/>
      <c r="H157" s="20"/>
      <c r="I157" s="95">
        <v>446555</v>
      </c>
      <c r="J157" s="95"/>
      <c r="K157" s="321"/>
      <c r="L157" s="303"/>
      <c r="M157" s="303">
        <v>4</v>
      </c>
      <c r="N157" s="303"/>
      <c r="O157" s="372"/>
      <c r="P157" s="303">
        <v>0</v>
      </c>
      <c r="Q157" s="304"/>
      <c r="R157" s="303">
        <v>3</v>
      </c>
      <c r="S157" s="303"/>
      <c r="T157" s="303"/>
      <c r="U157" s="303"/>
      <c r="V157" s="303"/>
      <c r="W157" s="330" t="str">
        <f>IF(COUNTIF(tblSeverityAnalysis[[#This Row],[CCCM]:[WASH]], 1)=0, "", COUNTIF(tblSeverityAnalysis[[#This Row],[CCCM]:[WASH]], 1))</f>
        <v/>
      </c>
      <c r="X157" s="331" t="str">
        <f>IF(COUNTIF(tblSeverityAnalysis[[#This Row],[CCCM]:[WASH]], 2)=0, "", COUNTIF(tblSeverityAnalysis[[#This Row],[CCCM]:[WASH]], 2))</f>
        <v/>
      </c>
      <c r="Y157" s="331">
        <f>IF(COUNTIF(tblSeverityAnalysis[[#This Row],[CCCM]:[WASH]], 3)=0, "", COUNTIF(tblSeverityAnalysis[[#This Row],[CCCM]:[WASH]], 3))</f>
        <v>1</v>
      </c>
      <c r="Z157" s="331">
        <f>IF(COUNTIF(tblSeverityAnalysis[[#This Row],[CCCM]:[WASH]], 4)=0, "", COUNTIF(tblSeverityAnalysis[[#This Row],[CCCM]:[WASH]], 4))</f>
        <v>1</v>
      </c>
      <c r="AA157" s="332" t="str">
        <f>IF(COUNTIF(tblSeverityAnalysis[[#This Row],[CCCM]:[WASH]], 5)=0, "", COUNTIF(tblSeverityAnalysis[[#This Row],[CCCM]:[WASH]], 5))</f>
        <v/>
      </c>
      <c r="AB157" s="59" cm="1">
        <f t="array" ref="AB15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7"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7" s="41">
        <f>IFERROR(IF(INDEX(tblSeverityReference[Malnutrition Severity],MATCH(tblSeverityAnalysis[[#This Row],[ID]], tblSeverityReference[ID], 0))= "", "",INDEX(tblSeverityReference[Malnutrition Severity],MATCH(tblSeverityAnalysis[[#This Row],[ID]], tblSeverityReference[ID], 0)) ), "")</f>
        <v>3</v>
      </c>
      <c r="AE157" s="303">
        <f>IFERROR(IF(INDEX(tblSeverityReference[Epidemic Severity],MATCH(tblSeverityAnalysis[[#This Row],[ID]], tblSeverityReference[ID], 0))= "", "",INDEX(tblSeverityReference[Epidemic Severity],MATCH(tblSeverityAnalysis[[#This Row],[ID]], tblSeverityReference[ID], 0)) ), "")</f>
        <v>2.2352941176470589</v>
      </c>
      <c r="AF157" s="303" t="str">
        <f>IFERROR(IF(INDEX(tblSeverityReference[Coping Strategy Severity],MATCH(tblSeverityAnalysis[[#This Row],[ID]], tblSeverityReference[ID], 0))= "", "",INDEX(tblSeverityReference[Coping Strategy Severity],MATCH(tblSeverityAnalysis[[#This Row],[ID]], tblSeverityReference[ID], 0)) ), "")</f>
        <v/>
      </c>
      <c r="AG157" s="108" t="str">
        <f>IFERROR(IF(INDEX(tblSeverityReference[HR/IHL Violation],MATCH(tblSeverityAnalysis[[#This Row],[ID]], tblSeverityReference[ID], 0))= "", "",INDEX(tblSeverityReference[HR/IHL Violation],MATCH(tblSeverityAnalysis[[#This Row],[ID]], tblSeverityReference[ID], 0)) ), "")</f>
        <v/>
      </c>
      <c r="AH157" s="81">
        <f>IFERROR(AVERAGE(tblSeverityAnalysis[[#This Row],[CCCM]:[WASH]]), "")</f>
        <v>2.3333333333333335</v>
      </c>
      <c r="AI157" s="27">
        <f>IF(SUM(tblSeverityAnalysis[[#This Row],[CCCM]:[WASH]])=0, "", MAX(tblSeverityAnalysis[[#This Row],[CCCM]:[WASH]]))</f>
        <v>4</v>
      </c>
      <c r="AJ157" s="333" t="str" cm="1">
        <f t="array" ref="AJ157">IFERROR(IF(tblSeverityAnalysis[[#This Row],[Highest Severity]]="", "", _xlfn.TEXTJOIN(CHAR(10), TRUE, IF(tblSeverityAnalysis[[#This Row],[CCCM]:[WASH]]=tblSeverityAnalysis[[#This Row],[Highest Severity]], tblSeverityAnalysis[[#Headers],[CCCM]:[WASH]], ""), "")), "")</f>
        <v>Nutrition</v>
      </c>
      <c r="AK157" s="27" cm="1">
        <f t="array" ref="AK157">IFERROR(MAX(_xlfn._xlws.FILTER(tblSeverityAnalysis[[#This Row],[CCCM]:[WASH]], tblSeverityAnalysis[[#This Row],[CCCM]:[WASH]]&lt;tblSeverityAnalysis[[#This Row],[Highest Severity]])), "")</f>
        <v>3</v>
      </c>
      <c r="AL157" s="313" t="str" cm="1">
        <f t="array" ref="AL157">IFERROR(IF(tblSeverityAnalysis[[#This Row],[2nd Highest Severity]]="", "", _xlfn.TEXTJOIN(CHAR(10), TRUE, IF(tblSeverityAnalysis[[#This Row],[CCCM]:[WASH]]=tblSeverityAnalysis[[#This Row],[2nd Highest Severity]], tblSeverityAnalysis[[#Headers],[CCCM]:[WASH]], ""), "")), "")</f>
        <v>WASH</v>
      </c>
      <c r="AM157" s="132" t="str">
        <f>IFERROR(IF(AND(tblSeverityAnalysis[[#This Row],[5]] &lt;&gt; "", tblSeverityAnalysis[[#This Row],[5]]&gt;=sectors_sev_5), "Flagged", ""), "")</f>
        <v/>
      </c>
      <c r="AN157" s="133" t="str">
        <f>IFERROR(IF(AND(tblSeverityAnalysis[[#This Row],[Preliminary Intersectoral Severity based on overlap of sectoral deprivations]]=4, SUM(tblSeverityAnalysis[[#This Row],[ 4 ]:[5]])&gt;=sectors_sev_4), "Flagged", ""), "")</f>
        <v/>
      </c>
      <c r="AO157" s="133" t="str" cm="1">
        <f t="array" ref="AO15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57"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57" s="335"/>
      <c r="AR157" s="336"/>
      <c r="AS157" s="335"/>
      <c r="AT157" s="337">
        <f>COUNTIF(tblSeverityAnalysis[[#This Row],[1 sector in severity phase 5 '[modify the threshold']]:[Manual Flag]], "Flagged")</f>
        <v>2</v>
      </c>
      <c r="AU157" s="338">
        <f>tblSeverityAnalysis[[#This Row],[Preliminary Intersectoral Severity based on overlap of sectoral deprivations]]</f>
        <v>1</v>
      </c>
      <c r="AV157" s="339"/>
    </row>
    <row r="158" spans="1:48" ht="15" hidden="1" customHeight="1">
      <c r="A158"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MZ1119</v>
      </c>
      <c r="B158" s="39" t="s">
        <v>506</v>
      </c>
      <c r="C158" s="340" t="s">
        <v>507</v>
      </c>
      <c r="D158" s="340" t="s">
        <v>544</v>
      </c>
      <c r="E158" s="33" t="s">
        <v>545</v>
      </c>
      <c r="F158" s="33"/>
      <c r="G158" s="33"/>
      <c r="H158" s="20"/>
      <c r="I158" s="95">
        <v>131684</v>
      </c>
      <c r="J158" s="95"/>
      <c r="K158" s="321"/>
      <c r="L158" s="303"/>
      <c r="M158" s="303" t="s">
        <v>264</v>
      </c>
      <c r="N158" s="303"/>
      <c r="O158" s="372"/>
      <c r="P158" s="303">
        <v>0</v>
      </c>
      <c r="Q158" s="304"/>
      <c r="R158" s="303">
        <v>4</v>
      </c>
      <c r="S158" s="303"/>
      <c r="T158" s="303"/>
      <c r="U158" s="303"/>
      <c r="V158" s="303"/>
      <c r="W158" s="330" t="str">
        <f>IF(COUNTIF(tblSeverityAnalysis[[#This Row],[CCCM]:[WASH]], 1)=0, "", COUNTIF(tblSeverityAnalysis[[#This Row],[CCCM]:[WASH]], 1))</f>
        <v/>
      </c>
      <c r="X158" s="331" t="str">
        <f>IF(COUNTIF(tblSeverityAnalysis[[#This Row],[CCCM]:[WASH]], 2)=0, "", COUNTIF(tblSeverityAnalysis[[#This Row],[CCCM]:[WASH]], 2))</f>
        <v/>
      </c>
      <c r="Y158" s="331" t="str">
        <f>IF(COUNTIF(tblSeverityAnalysis[[#This Row],[CCCM]:[WASH]], 3)=0, "", COUNTIF(tblSeverityAnalysis[[#This Row],[CCCM]:[WASH]], 3))</f>
        <v/>
      </c>
      <c r="Z158" s="331">
        <f>IF(COUNTIF(tblSeverityAnalysis[[#This Row],[CCCM]:[WASH]], 4)=0, "", COUNTIF(tblSeverityAnalysis[[#This Row],[CCCM]:[WASH]], 4))</f>
        <v>1</v>
      </c>
      <c r="AA158" s="332" t="str">
        <f>IF(COUNTIF(tblSeverityAnalysis[[#This Row],[CCCM]:[WASH]], 5)=0, "", COUNTIF(tblSeverityAnalysis[[#This Row],[CCCM]:[WASH]], 5))</f>
        <v/>
      </c>
      <c r="AB158" s="59" cm="1">
        <f t="array" ref="AB15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8"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8" s="41" t="str">
        <f>IFERROR(IF(INDEX(tblSeverityReference[Malnutrition Severity],MATCH(tblSeverityAnalysis[[#This Row],[ID]], tblSeverityReference[ID], 0))= "", "",INDEX(tblSeverityReference[Malnutrition Severity],MATCH(tblSeverityAnalysis[[#This Row],[ID]], tblSeverityReference[ID], 0)) ), "")</f>
        <v/>
      </c>
      <c r="AE158" s="303">
        <f>IFERROR(IF(INDEX(tblSeverityReference[Epidemic Severity],MATCH(tblSeverityAnalysis[[#This Row],[ID]], tblSeverityReference[ID], 0))= "", "",INDEX(tblSeverityReference[Epidemic Severity],MATCH(tblSeverityAnalysis[[#This Row],[ID]], tblSeverityReference[ID], 0)) ), "")</f>
        <v>1.8235294117647056</v>
      </c>
      <c r="AF158" s="303" t="str">
        <f>IFERROR(IF(INDEX(tblSeverityReference[Coping Strategy Severity],MATCH(tblSeverityAnalysis[[#This Row],[ID]], tblSeverityReference[ID], 0))= "", "",INDEX(tblSeverityReference[Coping Strategy Severity],MATCH(tblSeverityAnalysis[[#This Row],[ID]], tblSeverityReference[ID], 0)) ), "")</f>
        <v/>
      </c>
      <c r="AG158" s="108" t="str">
        <f>IFERROR(IF(INDEX(tblSeverityReference[HR/IHL Violation],MATCH(tblSeverityAnalysis[[#This Row],[ID]], tblSeverityReference[ID], 0))= "", "",INDEX(tblSeverityReference[HR/IHL Violation],MATCH(tblSeverityAnalysis[[#This Row],[ID]], tblSeverityReference[ID], 0)) ), "")</f>
        <v/>
      </c>
      <c r="AH158" s="81">
        <f>IFERROR(AVERAGE(tblSeverityAnalysis[[#This Row],[CCCM]:[WASH]]), "")</f>
        <v>2</v>
      </c>
      <c r="AI158" s="27">
        <f>IF(SUM(tblSeverityAnalysis[[#This Row],[CCCM]:[WASH]])=0, "", MAX(tblSeverityAnalysis[[#This Row],[CCCM]:[WASH]]))</f>
        <v>4</v>
      </c>
      <c r="AJ158" s="333" t="str" cm="1">
        <f t="array" ref="AJ158">IFERROR(IF(tblSeverityAnalysis[[#This Row],[Highest Severity]]="", "", _xlfn.TEXTJOIN(CHAR(10), TRUE, IF(tblSeverityAnalysis[[#This Row],[CCCM]:[WASH]]=tblSeverityAnalysis[[#This Row],[Highest Severity]], tblSeverityAnalysis[[#Headers],[CCCM]:[WASH]], ""), "")), "")</f>
        <v>WASH</v>
      </c>
      <c r="AK158" s="27" cm="1">
        <f t="array" ref="AK158">IFERROR(MAX(_xlfn._xlws.FILTER(tblSeverityAnalysis[[#This Row],[CCCM]:[WASH]], tblSeverityAnalysis[[#This Row],[CCCM]:[WASH]]&lt;tblSeverityAnalysis[[#This Row],[Highest Severity]])), "")</f>
        <v>0</v>
      </c>
      <c r="AL158" s="313" t="str" cm="1">
        <f t="array" ref="AL158">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58" s="132" t="str">
        <f>IFERROR(IF(AND(tblSeverityAnalysis[[#This Row],[5]] &lt;&gt; "", tblSeverityAnalysis[[#This Row],[5]]&gt;=sectors_sev_5), "Flagged", ""), "")</f>
        <v/>
      </c>
      <c r="AN158" s="133" t="str">
        <f>IFERROR(IF(AND(tblSeverityAnalysis[[#This Row],[Preliminary Intersectoral Severity based on overlap of sectoral deprivations]]=4, SUM(tblSeverityAnalysis[[#This Row],[ 4 ]:[5]])&gt;=sectors_sev_4), "Flagged", ""), "")</f>
        <v/>
      </c>
      <c r="AO158" s="133" t="str" cm="1">
        <f t="array" ref="AO15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8"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8" s="335"/>
      <c r="AR158" s="336"/>
      <c r="AS158" s="335"/>
      <c r="AT158" s="337">
        <f>COUNTIF(tblSeverityAnalysis[[#This Row],[1 sector in severity phase 5 '[modify the threshold']]:[Manual Flag]], "Flagged")</f>
        <v>0</v>
      </c>
      <c r="AU158" s="338">
        <f>tblSeverityAnalysis[[#This Row],[Preliminary Intersectoral Severity based on overlap of sectoral deprivations]]</f>
        <v>1</v>
      </c>
      <c r="AV158" s="339"/>
    </row>
    <row r="159" spans="1:48" ht="15" hidden="1" customHeight="1">
      <c r="A159"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MZ1120</v>
      </c>
      <c r="B159" s="39" t="s">
        <v>506</v>
      </c>
      <c r="C159" s="340" t="s">
        <v>507</v>
      </c>
      <c r="D159" s="340" t="s">
        <v>546</v>
      </c>
      <c r="E159" s="33" t="s">
        <v>547</v>
      </c>
      <c r="F159" s="33"/>
      <c r="G159" s="33"/>
      <c r="H159" s="20"/>
      <c r="I159" s="95">
        <v>291514</v>
      </c>
      <c r="J159" s="95"/>
      <c r="K159" s="321"/>
      <c r="L159" s="303"/>
      <c r="M159" s="303">
        <v>2</v>
      </c>
      <c r="N159" s="303">
        <v>2</v>
      </c>
      <c r="O159" s="372"/>
      <c r="P159" s="303">
        <v>0</v>
      </c>
      <c r="Q159" s="304"/>
      <c r="R159" s="303">
        <v>3</v>
      </c>
      <c r="S159" s="303"/>
      <c r="T159" s="303"/>
      <c r="U159" s="303"/>
      <c r="V159" s="303"/>
      <c r="W159" s="330" t="str">
        <f>IF(COUNTIF(tblSeverityAnalysis[[#This Row],[CCCM]:[WASH]], 1)=0, "", COUNTIF(tblSeverityAnalysis[[#This Row],[CCCM]:[WASH]], 1))</f>
        <v/>
      </c>
      <c r="X159" s="331">
        <f>IF(COUNTIF(tblSeverityAnalysis[[#This Row],[CCCM]:[WASH]], 2)=0, "", COUNTIF(tblSeverityAnalysis[[#This Row],[CCCM]:[WASH]], 2))</f>
        <v>2</v>
      </c>
      <c r="Y159" s="331">
        <f>IF(COUNTIF(tblSeverityAnalysis[[#This Row],[CCCM]:[WASH]], 3)=0, "", COUNTIF(tblSeverityAnalysis[[#This Row],[CCCM]:[WASH]], 3))</f>
        <v>1</v>
      </c>
      <c r="Z159" s="331" t="str">
        <f>IF(COUNTIF(tblSeverityAnalysis[[#This Row],[CCCM]:[WASH]], 4)=0, "", COUNTIF(tblSeverityAnalysis[[#This Row],[CCCM]:[WASH]], 4))</f>
        <v/>
      </c>
      <c r="AA159" s="332" t="str">
        <f>IF(COUNTIF(tblSeverityAnalysis[[#This Row],[CCCM]:[WASH]], 5)=0, "", COUNTIF(tblSeverityAnalysis[[#This Row],[CCCM]:[WASH]], 5))</f>
        <v/>
      </c>
      <c r="AB159" s="59" cm="1">
        <f t="array" ref="AB15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59"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9" s="41">
        <f>IFERROR(IF(INDEX(tblSeverityReference[Malnutrition Severity],MATCH(tblSeverityAnalysis[[#This Row],[ID]], tblSeverityReference[ID], 0))= "", "",INDEX(tblSeverityReference[Malnutrition Severity],MATCH(tblSeverityAnalysis[[#This Row],[ID]], tblSeverityReference[ID], 0)) ), "")</f>
        <v>2</v>
      </c>
      <c r="AE159" s="303">
        <f>IFERROR(IF(INDEX(tblSeverityReference[Epidemic Severity],MATCH(tblSeverityAnalysis[[#This Row],[ID]], tblSeverityReference[ID], 0))= "", "",INDEX(tblSeverityReference[Epidemic Severity],MATCH(tblSeverityAnalysis[[#This Row],[ID]], tblSeverityReference[ID], 0)) ), "")</f>
        <v>1.8235294117647056</v>
      </c>
      <c r="AF159" s="303">
        <f>IFERROR(IF(INDEX(tblSeverityReference[Coping Strategy Severity],MATCH(tblSeverityAnalysis[[#This Row],[ID]], tblSeverityReference[ID], 0))= "", "",INDEX(tblSeverityReference[Coping Strategy Severity],MATCH(tblSeverityAnalysis[[#This Row],[ID]], tblSeverityReference[ID], 0)) ), "")</f>
        <v>1</v>
      </c>
      <c r="AG159" s="108" t="str">
        <f>IFERROR(IF(INDEX(tblSeverityReference[HR/IHL Violation],MATCH(tblSeverityAnalysis[[#This Row],[ID]], tblSeverityReference[ID], 0))= "", "",INDEX(tblSeverityReference[HR/IHL Violation],MATCH(tblSeverityAnalysis[[#This Row],[ID]], tblSeverityReference[ID], 0)) ), "")</f>
        <v/>
      </c>
      <c r="AH159" s="81">
        <f>IFERROR(AVERAGE(tblSeverityAnalysis[[#This Row],[CCCM]:[WASH]]), "")</f>
        <v>1.75</v>
      </c>
      <c r="AI159" s="27">
        <f>IF(SUM(tblSeverityAnalysis[[#This Row],[CCCM]:[WASH]])=0, "", MAX(tblSeverityAnalysis[[#This Row],[CCCM]:[WASH]]))</f>
        <v>3</v>
      </c>
      <c r="AJ159" s="333" t="str" cm="1">
        <f t="array" ref="AJ159">IFERROR(IF(tblSeverityAnalysis[[#This Row],[Highest Severity]]="", "", _xlfn.TEXTJOIN(CHAR(10), TRUE, IF(tblSeverityAnalysis[[#This Row],[CCCM]:[WASH]]=tblSeverityAnalysis[[#This Row],[Highest Severity]], tblSeverityAnalysis[[#Headers],[CCCM]:[WASH]], ""), "")), "")</f>
        <v>WASH</v>
      </c>
      <c r="AK159" s="27" cm="1">
        <f t="array" ref="AK159">IFERROR(MAX(_xlfn._xlws.FILTER(tblSeverityAnalysis[[#This Row],[CCCM]:[WASH]], tblSeverityAnalysis[[#This Row],[CCCM]:[WASH]]&lt;tblSeverityAnalysis[[#This Row],[Highest Severity]])), "")</f>
        <v>2</v>
      </c>
      <c r="AL159" s="313" t="str" cm="1">
        <f t="array" ref="AL159">IFERROR(IF(tblSeverityAnalysis[[#This Row],[2nd Highest Severity]]="", "", _xlfn.TEXTJOIN(CHAR(10), TRUE, IF(tblSeverityAnalysis[[#This Row],[CCCM]:[WASH]]=tblSeverityAnalysis[[#This Row],[2nd Highest Severity]], tblSeverityAnalysis[[#Headers],[CCCM]:[WASH]], ""), "")), "")</f>
        <v>Nutrition
Food Security</v>
      </c>
      <c r="AM159" s="132" t="str">
        <f>IFERROR(IF(AND(tblSeverityAnalysis[[#This Row],[5]] &lt;&gt; "", tblSeverityAnalysis[[#This Row],[5]]&gt;=sectors_sev_5), "Flagged", ""), "")</f>
        <v/>
      </c>
      <c r="AN159" s="133" t="str">
        <f>IFERROR(IF(AND(tblSeverityAnalysis[[#This Row],[Preliminary Intersectoral Severity based on overlap of sectoral deprivations]]=4, SUM(tblSeverityAnalysis[[#This Row],[ 4 ]:[5]])&gt;=sectors_sev_4), "Flagged", ""), "")</f>
        <v/>
      </c>
      <c r="AO159" s="133" t="str" cm="1">
        <f t="array" ref="AO15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9"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9" s="335"/>
      <c r="AR159" s="336"/>
      <c r="AS159" s="335"/>
      <c r="AT159" s="337">
        <f>COUNTIF(tblSeverityAnalysis[[#This Row],[1 sector in severity phase 5 '[modify the threshold']]:[Manual Flag]], "Flagged")</f>
        <v>0</v>
      </c>
      <c r="AU159" s="338">
        <f>tblSeverityAnalysis[[#This Row],[Preliminary Intersectoral Severity based on overlap of sectoral deprivations]]</f>
        <v>1</v>
      </c>
      <c r="AV159" s="339"/>
    </row>
    <row r="160" spans="1:48" ht="15" hidden="1" customHeight="1">
      <c r="A160"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MZ1121</v>
      </c>
      <c r="B160" s="39" t="s">
        <v>506</v>
      </c>
      <c r="C160" s="340" t="s">
        <v>507</v>
      </c>
      <c r="D160" s="340" t="s">
        <v>548</v>
      </c>
      <c r="E160" s="33" t="s">
        <v>549</v>
      </c>
      <c r="F160" s="33"/>
      <c r="G160" s="33"/>
      <c r="H160" s="20"/>
      <c r="I160" s="95">
        <v>178851</v>
      </c>
      <c r="J160" s="95"/>
      <c r="K160" s="321"/>
      <c r="L160" s="303"/>
      <c r="M160" s="303" t="s">
        <v>264</v>
      </c>
      <c r="N160" s="303"/>
      <c r="O160" s="372"/>
      <c r="P160" s="303">
        <v>0</v>
      </c>
      <c r="Q160" s="304"/>
      <c r="R160" s="303">
        <v>3</v>
      </c>
      <c r="S160" s="303"/>
      <c r="T160" s="303"/>
      <c r="U160" s="303"/>
      <c r="V160" s="303"/>
      <c r="W160" s="330" t="str">
        <f>IF(COUNTIF(tblSeverityAnalysis[[#This Row],[CCCM]:[WASH]], 1)=0, "", COUNTIF(tblSeverityAnalysis[[#This Row],[CCCM]:[WASH]], 1))</f>
        <v/>
      </c>
      <c r="X160" s="331" t="str">
        <f>IF(COUNTIF(tblSeverityAnalysis[[#This Row],[CCCM]:[WASH]], 2)=0, "", COUNTIF(tblSeverityAnalysis[[#This Row],[CCCM]:[WASH]], 2))</f>
        <v/>
      </c>
      <c r="Y160" s="331">
        <f>IF(COUNTIF(tblSeverityAnalysis[[#This Row],[CCCM]:[WASH]], 3)=0, "", COUNTIF(tblSeverityAnalysis[[#This Row],[CCCM]:[WASH]], 3))</f>
        <v>1</v>
      </c>
      <c r="Z160" s="331" t="str">
        <f>IF(COUNTIF(tblSeverityAnalysis[[#This Row],[CCCM]:[WASH]], 4)=0, "", COUNTIF(tblSeverityAnalysis[[#This Row],[CCCM]:[WASH]], 4))</f>
        <v/>
      </c>
      <c r="AA160" s="332" t="str">
        <f>IF(COUNTIF(tblSeverityAnalysis[[#This Row],[CCCM]:[WASH]], 5)=0, "", COUNTIF(tblSeverityAnalysis[[#This Row],[CCCM]:[WASH]], 5))</f>
        <v/>
      </c>
      <c r="AB160" s="59" cm="1">
        <f t="array" ref="AB16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60"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60" s="41" t="str">
        <f>IFERROR(IF(INDEX(tblSeverityReference[Malnutrition Severity],MATCH(tblSeverityAnalysis[[#This Row],[ID]], tblSeverityReference[ID], 0))= "", "",INDEX(tblSeverityReference[Malnutrition Severity],MATCH(tblSeverityAnalysis[[#This Row],[ID]], tblSeverityReference[ID], 0)) ), "")</f>
        <v/>
      </c>
      <c r="AE160" s="303">
        <f>IFERROR(IF(INDEX(tblSeverityReference[Epidemic Severity],MATCH(tblSeverityAnalysis[[#This Row],[ID]], tblSeverityReference[ID], 0))= "", "",INDEX(tblSeverityReference[Epidemic Severity],MATCH(tblSeverityAnalysis[[#This Row],[ID]], tblSeverityReference[ID], 0)) ), "")</f>
        <v>1.8235294117647056</v>
      </c>
      <c r="AF160" s="303" t="str">
        <f>IFERROR(IF(INDEX(tblSeverityReference[Coping Strategy Severity],MATCH(tblSeverityAnalysis[[#This Row],[ID]], tblSeverityReference[ID], 0))= "", "",INDEX(tblSeverityReference[Coping Strategy Severity],MATCH(tblSeverityAnalysis[[#This Row],[ID]], tblSeverityReference[ID], 0)) ), "")</f>
        <v/>
      </c>
      <c r="AG160" s="108" t="str">
        <f>IFERROR(IF(INDEX(tblSeverityReference[HR/IHL Violation],MATCH(tblSeverityAnalysis[[#This Row],[ID]], tblSeverityReference[ID], 0))= "", "",INDEX(tblSeverityReference[HR/IHL Violation],MATCH(tblSeverityAnalysis[[#This Row],[ID]], tblSeverityReference[ID], 0)) ), "")</f>
        <v/>
      </c>
      <c r="AH160" s="81">
        <f>IFERROR(AVERAGE(tblSeverityAnalysis[[#This Row],[CCCM]:[WASH]]), "")</f>
        <v>1.5</v>
      </c>
      <c r="AI160" s="27">
        <f>IF(SUM(tblSeverityAnalysis[[#This Row],[CCCM]:[WASH]])=0, "", MAX(tblSeverityAnalysis[[#This Row],[CCCM]:[WASH]]))</f>
        <v>3</v>
      </c>
      <c r="AJ160" s="333" t="str" cm="1">
        <f t="array" ref="AJ160">IFERROR(IF(tblSeverityAnalysis[[#This Row],[Highest Severity]]="", "", _xlfn.TEXTJOIN(CHAR(10), TRUE, IF(tblSeverityAnalysis[[#This Row],[CCCM]:[WASH]]=tblSeverityAnalysis[[#This Row],[Highest Severity]], tblSeverityAnalysis[[#Headers],[CCCM]:[WASH]], ""), "")), "")</f>
        <v>WASH</v>
      </c>
      <c r="AK160" s="27" cm="1">
        <f t="array" ref="AK160">IFERROR(MAX(_xlfn._xlws.FILTER(tblSeverityAnalysis[[#This Row],[CCCM]:[WASH]], tblSeverityAnalysis[[#This Row],[CCCM]:[WASH]]&lt;tblSeverityAnalysis[[#This Row],[Highest Severity]])), "")</f>
        <v>0</v>
      </c>
      <c r="AL160" s="313" t="str" cm="1">
        <f t="array" ref="AL160">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60" s="132" t="str">
        <f>IFERROR(IF(AND(tblSeverityAnalysis[[#This Row],[5]] &lt;&gt; "", tblSeverityAnalysis[[#This Row],[5]]&gt;=sectors_sev_5), "Flagged", ""), "")</f>
        <v/>
      </c>
      <c r="AN160" s="133" t="str">
        <f>IFERROR(IF(AND(tblSeverityAnalysis[[#This Row],[Preliminary Intersectoral Severity based on overlap of sectoral deprivations]]=4, SUM(tblSeverityAnalysis[[#This Row],[ 4 ]:[5]])&gt;=sectors_sev_4), "Flagged", ""), "")</f>
        <v/>
      </c>
      <c r="AO160" s="133" t="str" cm="1">
        <f t="array" ref="AO16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60"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60" s="335"/>
      <c r="AR160" s="336"/>
      <c r="AS160" s="335"/>
      <c r="AT160" s="337">
        <f>COUNTIF(tblSeverityAnalysis[[#This Row],[1 sector in severity phase 5 '[modify the threshold']]:[Manual Flag]], "Flagged")</f>
        <v>0</v>
      </c>
      <c r="AU160" s="338">
        <f>tblSeverityAnalysis[[#This Row],[Preliminary Intersectoral Severity based on overlap of sectoral deprivations]]</f>
        <v>1</v>
      </c>
      <c r="AV160" s="339"/>
    </row>
    <row r="161" spans="1:48" ht="15" hidden="1" customHeight="1">
      <c r="A161"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MZ1122</v>
      </c>
      <c r="B161" s="39" t="s">
        <v>506</v>
      </c>
      <c r="C161" s="340" t="s">
        <v>507</v>
      </c>
      <c r="D161" s="340" t="s">
        <v>550</v>
      </c>
      <c r="E161" s="33" t="s">
        <v>551</v>
      </c>
      <c r="F161" s="33"/>
      <c r="G161" s="33"/>
      <c r="H161" s="20"/>
      <c r="I161" s="95">
        <v>247047</v>
      </c>
      <c r="J161" s="95"/>
      <c r="K161" s="321"/>
      <c r="L161" s="303"/>
      <c r="M161" s="303">
        <v>3</v>
      </c>
      <c r="N161" s="303"/>
      <c r="O161" s="372"/>
      <c r="P161" s="303">
        <v>0</v>
      </c>
      <c r="Q161" s="304"/>
      <c r="R161" s="303">
        <v>3</v>
      </c>
      <c r="S161" s="303"/>
      <c r="T161" s="303"/>
      <c r="U161" s="303"/>
      <c r="V161" s="303"/>
      <c r="W161" s="330" t="str">
        <f>IF(COUNTIF(tblSeverityAnalysis[[#This Row],[CCCM]:[WASH]], 1)=0, "", COUNTIF(tblSeverityAnalysis[[#This Row],[CCCM]:[WASH]], 1))</f>
        <v/>
      </c>
      <c r="X161" s="331" t="str">
        <f>IF(COUNTIF(tblSeverityAnalysis[[#This Row],[CCCM]:[WASH]], 2)=0, "", COUNTIF(tblSeverityAnalysis[[#This Row],[CCCM]:[WASH]], 2))</f>
        <v/>
      </c>
      <c r="Y161" s="331">
        <f>IF(COUNTIF(tblSeverityAnalysis[[#This Row],[CCCM]:[WASH]], 3)=0, "", COUNTIF(tblSeverityAnalysis[[#This Row],[CCCM]:[WASH]], 3))</f>
        <v>2</v>
      </c>
      <c r="Z161" s="331" t="str">
        <f>IF(COUNTIF(tblSeverityAnalysis[[#This Row],[CCCM]:[WASH]], 4)=0, "", COUNTIF(tblSeverityAnalysis[[#This Row],[CCCM]:[WASH]], 4))</f>
        <v/>
      </c>
      <c r="AA161" s="332" t="str">
        <f>IF(COUNTIF(tblSeverityAnalysis[[#This Row],[CCCM]:[WASH]], 5)=0, "", COUNTIF(tblSeverityAnalysis[[#This Row],[CCCM]:[WASH]], 5))</f>
        <v/>
      </c>
      <c r="AB161" s="59" cm="1">
        <f t="array" ref="AB16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61"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61" s="41">
        <f>IFERROR(IF(INDEX(tblSeverityReference[Malnutrition Severity],MATCH(tblSeverityAnalysis[[#This Row],[ID]], tblSeverityReference[ID], 0))= "", "",INDEX(tblSeverityReference[Malnutrition Severity],MATCH(tblSeverityAnalysis[[#This Row],[ID]], tblSeverityReference[ID], 0)) ), "")</f>
        <v>2</v>
      </c>
      <c r="AE161" s="303">
        <f>IFERROR(IF(INDEX(tblSeverityReference[Epidemic Severity],MATCH(tblSeverityAnalysis[[#This Row],[ID]], tblSeverityReference[ID], 0))= "", "",INDEX(tblSeverityReference[Epidemic Severity],MATCH(tblSeverityAnalysis[[#This Row],[ID]], tblSeverityReference[ID], 0)) ), "")</f>
        <v>2.2352941176470589</v>
      </c>
      <c r="AF161" s="303" t="str">
        <f>IFERROR(IF(INDEX(tblSeverityReference[Coping Strategy Severity],MATCH(tblSeverityAnalysis[[#This Row],[ID]], tblSeverityReference[ID], 0))= "", "",INDEX(tblSeverityReference[Coping Strategy Severity],MATCH(tblSeverityAnalysis[[#This Row],[ID]], tblSeverityReference[ID], 0)) ), "")</f>
        <v/>
      </c>
      <c r="AG161" s="108" t="str">
        <f>IFERROR(IF(INDEX(tblSeverityReference[HR/IHL Violation],MATCH(tblSeverityAnalysis[[#This Row],[ID]], tblSeverityReference[ID], 0))= "", "",INDEX(tblSeverityReference[HR/IHL Violation],MATCH(tblSeverityAnalysis[[#This Row],[ID]], tblSeverityReference[ID], 0)) ), "")</f>
        <v/>
      </c>
      <c r="AH161" s="81">
        <f>IFERROR(AVERAGE(tblSeverityAnalysis[[#This Row],[CCCM]:[WASH]]), "")</f>
        <v>2</v>
      </c>
      <c r="AI161" s="27">
        <f>IF(SUM(tblSeverityAnalysis[[#This Row],[CCCM]:[WASH]])=0, "", MAX(tblSeverityAnalysis[[#This Row],[CCCM]:[WASH]]))</f>
        <v>3</v>
      </c>
      <c r="AJ161" s="333" t="str" cm="1">
        <f t="array" ref="AJ161">IFERROR(IF(tblSeverityAnalysis[[#This Row],[Highest Severity]]="", "", _xlfn.TEXTJOIN(CHAR(10), TRUE, IF(tblSeverityAnalysis[[#This Row],[CCCM]:[WASH]]=tblSeverityAnalysis[[#This Row],[Highest Severity]], tblSeverityAnalysis[[#Headers],[CCCM]:[WASH]], ""), "")), "")</f>
        <v>Nutrition
WASH</v>
      </c>
      <c r="AK161" s="27" cm="1">
        <f t="array" ref="AK161">IFERROR(MAX(_xlfn._xlws.FILTER(tblSeverityAnalysis[[#This Row],[CCCM]:[WASH]], tblSeverityAnalysis[[#This Row],[CCCM]:[WASH]]&lt;tblSeverityAnalysis[[#This Row],[Highest Severity]])), "")</f>
        <v>0</v>
      </c>
      <c r="AL161" s="313" t="str" cm="1">
        <f t="array" ref="AL161">IFERROR(IF(tblSeverityAnalysis[[#This Row],[2nd Highest Severity]]="", "", _xlfn.TEXTJOIN(CHAR(10), TRUE, IF(tblSeverityAnalysis[[#This Row],[CCCM]:[WASH]]=tblSeverityAnalysis[[#This Row],[2nd Highest Severity]], tblSeverityAnalysis[[#Headers],[CCCM]:[WASH]], ""), "")), "")</f>
        <v>CCCM
Education
Food Security
Health
Overarching Protection
Shelter</v>
      </c>
      <c r="AM161" s="132" t="str">
        <f>IFERROR(IF(AND(tblSeverityAnalysis[[#This Row],[5]] &lt;&gt; "", tblSeverityAnalysis[[#This Row],[5]]&gt;=sectors_sev_5), "Flagged", ""), "")</f>
        <v/>
      </c>
      <c r="AN161" s="133" t="str">
        <f>IFERROR(IF(AND(tblSeverityAnalysis[[#This Row],[Preliminary Intersectoral Severity based on overlap of sectoral deprivations]]=4, SUM(tblSeverityAnalysis[[#This Row],[ 4 ]:[5]])&gt;=sectors_sev_4), "Flagged", ""), "")</f>
        <v/>
      </c>
      <c r="AO161" s="133" t="str" cm="1">
        <f t="array" ref="AO16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61"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61" s="335"/>
      <c r="AR161" s="336"/>
      <c r="AS161" s="335"/>
      <c r="AT161" s="337">
        <f>COUNTIF(tblSeverityAnalysis[[#This Row],[1 sector in severity phase 5 '[modify the threshold']]:[Manual Flag]], "Flagged")</f>
        <v>1</v>
      </c>
      <c r="AU161" s="338">
        <f>tblSeverityAnalysis[[#This Row],[Preliminary Intersectoral Severity based on overlap of sectoral deprivations]]</f>
        <v>1</v>
      </c>
      <c r="AV161" s="339"/>
    </row>
    <row r="162" spans="1:48" ht="15" hidden="1" customHeight="1">
      <c r="A162" s="329"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MZ1123</v>
      </c>
      <c r="B162" s="39" t="s">
        <v>506</v>
      </c>
      <c r="C162" s="340" t="s">
        <v>507</v>
      </c>
      <c r="D162" s="340" t="s">
        <v>552</v>
      </c>
      <c r="E162" s="33" t="s">
        <v>553</v>
      </c>
      <c r="F162" s="33"/>
      <c r="G162" s="33"/>
      <c r="H162" s="20"/>
      <c r="I162" s="95">
        <v>253405</v>
      </c>
      <c r="J162" s="95"/>
      <c r="K162" s="321"/>
      <c r="L162" s="303"/>
      <c r="M162" s="303" t="s">
        <v>264</v>
      </c>
      <c r="N162" s="303">
        <v>3</v>
      </c>
      <c r="O162" s="372"/>
      <c r="P162" s="303">
        <v>0</v>
      </c>
      <c r="Q162" s="304"/>
      <c r="R162" s="303">
        <v>2</v>
      </c>
      <c r="S162" s="303"/>
      <c r="T162" s="303"/>
      <c r="U162" s="303"/>
      <c r="V162" s="303"/>
      <c r="W162" s="330" t="str">
        <f>IF(COUNTIF(tblSeverityAnalysis[[#This Row],[CCCM]:[WASH]], 1)=0, "", COUNTIF(tblSeverityAnalysis[[#This Row],[CCCM]:[WASH]], 1))</f>
        <v/>
      </c>
      <c r="X162" s="331">
        <f>IF(COUNTIF(tblSeverityAnalysis[[#This Row],[CCCM]:[WASH]], 2)=0, "", COUNTIF(tblSeverityAnalysis[[#This Row],[CCCM]:[WASH]], 2))</f>
        <v>1</v>
      </c>
      <c r="Y162" s="331">
        <f>IF(COUNTIF(tblSeverityAnalysis[[#This Row],[CCCM]:[WASH]], 3)=0, "", COUNTIF(tblSeverityAnalysis[[#This Row],[CCCM]:[WASH]], 3))</f>
        <v>1</v>
      </c>
      <c r="Z162" s="331" t="str">
        <f>IF(COUNTIF(tblSeverityAnalysis[[#This Row],[CCCM]:[WASH]], 4)=0, "", COUNTIF(tblSeverityAnalysis[[#This Row],[CCCM]:[WASH]], 4))</f>
        <v/>
      </c>
      <c r="AA162" s="332" t="str">
        <f>IF(COUNTIF(tblSeverityAnalysis[[#This Row],[CCCM]:[WASH]], 5)=0, "", COUNTIF(tblSeverityAnalysis[[#This Row],[CCCM]:[WASH]], 5))</f>
        <v/>
      </c>
      <c r="AB162" s="59" cm="1">
        <f t="array" ref="AB16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62" s="321"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62" s="41">
        <f>IFERROR(IF(INDEX(tblSeverityReference[Malnutrition Severity],MATCH(tblSeverityAnalysis[[#This Row],[ID]], tblSeverityReference[ID], 0))= "", "",INDEX(tblSeverityReference[Malnutrition Severity],MATCH(tblSeverityAnalysis[[#This Row],[ID]], tblSeverityReference[ID], 0)) ), "")</f>
        <v>2</v>
      </c>
      <c r="AE162" s="303">
        <f>IFERROR(IF(INDEX(tblSeverityReference[Epidemic Severity],MATCH(tblSeverityAnalysis[[#This Row],[ID]], tblSeverityReference[ID], 0))= "", "",INDEX(tblSeverityReference[Epidemic Severity],MATCH(tblSeverityAnalysis[[#This Row],[ID]], tblSeverityReference[ID], 0)) ), "")</f>
        <v>1.8235294117647056</v>
      </c>
      <c r="AF162" s="303">
        <f>IFERROR(IF(INDEX(tblSeverityReference[Coping Strategy Severity],MATCH(tblSeverityAnalysis[[#This Row],[ID]], tblSeverityReference[ID], 0))= "", "",INDEX(tblSeverityReference[Coping Strategy Severity],MATCH(tblSeverityAnalysis[[#This Row],[ID]], tblSeverityReference[ID], 0)) ), "")</f>
        <v>3</v>
      </c>
      <c r="AG162" s="108" t="str">
        <f>IFERROR(IF(INDEX(tblSeverityReference[HR/IHL Violation],MATCH(tblSeverityAnalysis[[#This Row],[ID]], tblSeverityReference[ID], 0))= "", "",INDEX(tblSeverityReference[HR/IHL Violation],MATCH(tblSeverityAnalysis[[#This Row],[ID]], tblSeverityReference[ID], 0)) ), "")</f>
        <v/>
      </c>
      <c r="AH162" s="81">
        <f>IFERROR(AVERAGE(tblSeverityAnalysis[[#This Row],[CCCM]:[WASH]]), "")</f>
        <v>1.6666666666666667</v>
      </c>
      <c r="AI162" s="27">
        <f>IF(SUM(tblSeverityAnalysis[[#This Row],[CCCM]:[WASH]])=0, "", MAX(tblSeverityAnalysis[[#This Row],[CCCM]:[WASH]]))</f>
        <v>3</v>
      </c>
      <c r="AJ162" s="333" t="str" cm="1">
        <f t="array" ref="AJ162">IFERROR(IF(tblSeverityAnalysis[[#This Row],[Highest Severity]]="", "", _xlfn.TEXTJOIN(CHAR(10), TRUE, IF(tblSeverityAnalysis[[#This Row],[CCCM]:[WASH]]=tblSeverityAnalysis[[#This Row],[Highest Severity]], tblSeverityAnalysis[[#Headers],[CCCM]:[WASH]], ""), "")), "")</f>
        <v>Food Security</v>
      </c>
      <c r="AK162" s="27" cm="1">
        <f t="array" ref="AK162">IFERROR(MAX(_xlfn._xlws.FILTER(tblSeverityAnalysis[[#This Row],[CCCM]:[WASH]], tblSeverityAnalysis[[#This Row],[CCCM]:[WASH]]&lt;tblSeverityAnalysis[[#This Row],[Highest Severity]])), "")</f>
        <v>2</v>
      </c>
      <c r="AL162" s="313" t="str" cm="1">
        <f t="array" ref="AL162">IFERROR(IF(tblSeverityAnalysis[[#This Row],[2nd Highest Severity]]="", "", _xlfn.TEXTJOIN(CHAR(10), TRUE, IF(tblSeverityAnalysis[[#This Row],[CCCM]:[WASH]]=tblSeverityAnalysis[[#This Row],[2nd Highest Severity]], tblSeverityAnalysis[[#Headers],[CCCM]:[WASH]], ""), "")), "")</f>
        <v>WASH</v>
      </c>
      <c r="AM162" s="132" t="str">
        <f>IFERROR(IF(AND(tblSeverityAnalysis[[#This Row],[5]] &lt;&gt; "", tblSeverityAnalysis[[#This Row],[5]]&gt;=sectors_sev_5), "Flagged", ""), "")</f>
        <v/>
      </c>
      <c r="AN162" s="133" t="str">
        <f>IFERROR(IF(AND(tblSeverityAnalysis[[#This Row],[Preliminary Intersectoral Severity based on overlap of sectoral deprivations]]=4, SUM(tblSeverityAnalysis[[#This Row],[ 4 ]:[5]])&gt;=sectors_sev_4), "Flagged", ""), "")</f>
        <v/>
      </c>
      <c r="AO162" s="133" t="str" cm="1">
        <f t="array" ref="AO16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62" s="334"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62" s="335"/>
      <c r="AR162" s="336"/>
      <c r="AS162" s="335"/>
      <c r="AT162" s="337">
        <f>COUNTIF(tblSeverityAnalysis[[#This Row],[1 sector in severity phase 5 '[modify the threshold']]:[Manual Flag]], "Flagged")</f>
        <v>2</v>
      </c>
      <c r="AU162" s="338">
        <f>tblSeverityAnalysis[[#This Row],[Preliminary Intersectoral Severity based on overlap of sectoral deprivations]]</f>
        <v>1</v>
      </c>
      <c r="AV162" s="339"/>
    </row>
  </sheetData>
  <mergeCells count="14">
    <mergeCell ref="B1:J1"/>
    <mergeCell ref="AU2:AV2"/>
    <mergeCell ref="I2:J2"/>
    <mergeCell ref="W2:AA2"/>
    <mergeCell ref="AH2:AL2"/>
    <mergeCell ref="K1:AB1"/>
    <mergeCell ref="AC2:AE2"/>
    <mergeCell ref="AM2:AN2"/>
    <mergeCell ref="AC1:AF1"/>
    <mergeCell ref="AM1:AN1"/>
    <mergeCell ref="AO2:AP2"/>
    <mergeCell ref="B2:G2"/>
    <mergeCell ref="AF2:AG2"/>
    <mergeCell ref="AQ2:AS2"/>
  </mergeCells>
  <phoneticPr fontId="9" type="noConversion"/>
  <conditionalFormatting sqref="AM4:AR162">
    <cfRule type="containsText" dxfId="112" priority="1" operator="containsText" text="Flagged">
      <formula>NOT(ISERROR(SEARCH("Flagged",AM4)))</formula>
    </cfRule>
  </conditionalFormatting>
  <dataValidations disablePrompts="1" count="1">
    <dataValidation type="list" allowBlank="1" showInputMessage="1" showErrorMessage="1" sqref="AQ4:AR162" xr:uid="{191ACA1A-DBF7-4014-A670-173F33EF2F89}">
      <formula1>"Flagged, --"</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4E67-7CED-42BF-AC5E-1C6B8531985E}">
  <sheetPr codeName="Sheet5">
    <tabColor rgb="FFBDD7EE"/>
  </sheetPr>
  <dimension ref="A1:AE162"/>
  <sheetViews>
    <sheetView showGridLines="0" zoomScaleNormal="100" workbookViewId="0">
      <pane ySplit="3" topLeftCell="A4" activePane="bottomLeft" state="frozen"/>
      <selection pane="bottomLeft" activeCell="U4" sqref="U4:U162"/>
      <selection activeCell="B1" sqref="B1"/>
    </sheetView>
  </sheetViews>
  <sheetFormatPr defaultColWidth="8.5703125" defaultRowHeight="14.45"/>
  <cols>
    <col min="1" max="1" width="18.28515625" style="66" customWidth="1"/>
    <col min="2" max="5" width="12.140625" style="14" customWidth="1"/>
    <col min="6" max="8" width="12.140625" style="14" hidden="1" customWidth="1"/>
    <col min="9" max="10" width="12.140625" style="15" customWidth="1"/>
    <col min="11" max="13" width="14.42578125" style="192" customWidth="1"/>
    <col min="14" max="14" width="13.5703125" style="18" customWidth="1"/>
    <col min="15" max="16" width="14" style="110" customWidth="1"/>
    <col min="17" max="17" width="12.42578125" style="1" customWidth="1"/>
    <col min="18" max="19" width="13.5703125" style="110" customWidth="1"/>
    <col min="20" max="21" width="14" style="18" customWidth="1"/>
    <col min="22" max="22" width="10.5703125" style="1" customWidth="1"/>
    <col min="23" max="23" width="11.140625" style="1" customWidth="1"/>
    <col min="24" max="24" width="13.42578125" style="110" customWidth="1"/>
    <col min="25" max="27" width="13.42578125" style="1"/>
    <col min="28" max="28" width="13.42578125" style="110"/>
    <col min="29" max="29" width="13.42578125" style="1"/>
    <col min="30" max="30" width="20" style="15" bestFit="1" customWidth="1"/>
    <col min="31" max="31" width="46.140625" style="13" customWidth="1"/>
  </cols>
  <sheetData>
    <row r="1" spans="1:31" ht="30" customHeight="1" thickBot="1">
      <c r="A1" s="64"/>
      <c r="B1" s="20"/>
      <c r="C1" s="20"/>
      <c r="D1" s="20"/>
      <c r="E1" s="20"/>
      <c r="F1" s="20"/>
      <c r="G1" s="20"/>
      <c r="H1" s="20"/>
      <c r="I1" s="21"/>
      <c r="J1" s="21"/>
      <c r="K1" s="462" t="s">
        <v>554</v>
      </c>
      <c r="L1" s="462"/>
      <c r="M1" s="462"/>
      <c r="N1" s="462"/>
      <c r="O1" s="462"/>
      <c r="P1" s="462"/>
      <c r="Q1" s="462"/>
      <c r="R1" s="462"/>
      <c r="S1" s="462"/>
      <c r="T1" s="462"/>
      <c r="U1" s="462"/>
      <c r="V1" s="462"/>
      <c r="W1" s="462"/>
      <c r="X1" s="462"/>
      <c r="Y1" s="462"/>
      <c r="Z1" s="462"/>
      <c r="AA1" s="462"/>
      <c r="AB1"/>
      <c r="AC1"/>
      <c r="AD1"/>
      <c r="AE1"/>
    </row>
    <row r="2" spans="1:31" ht="50.45" customHeight="1" thickTop="1" thickBot="1">
      <c r="A2" s="58"/>
      <c r="B2" s="405" t="s">
        <v>67</v>
      </c>
      <c r="C2" s="405"/>
      <c r="D2" s="405"/>
      <c r="E2" s="405"/>
      <c r="F2" s="405"/>
      <c r="G2" s="405"/>
      <c r="H2" s="297"/>
      <c r="I2" s="406" t="s">
        <v>68</v>
      </c>
      <c r="J2" s="406"/>
      <c r="K2" s="406" t="s">
        <v>555</v>
      </c>
      <c r="L2" s="406"/>
      <c r="M2" s="406"/>
      <c r="N2" s="406"/>
      <c r="O2" s="406"/>
      <c r="P2" s="406"/>
      <c r="Q2" s="406"/>
      <c r="R2" s="406"/>
      <c r="S2" s="406"/>
      <c r="T2" s="406"/>
      <c r="U2" s="58"/>
      <c r="V2" s="406" t="s">
        <v>231</v>
      </c>
      <c r="W2" s="406"/>
      <c r="X2" s="406"/>
      <c r="Y2" s="406"/>
      <c r="Z2" s="406"/>
      <c r="AA2" s="406"/>
      <c r="AB2"/>
      <c r="AC2"/>
      <c r="AD2"/>
      <c r="AE2"/>
    </row>
    <row r="3" spans="1:31" ht="93.75" customHeight="1" thickTop="1" thickBot="1">
      <c r="A3" s="167" t="s">
        <v>81</v>
      </c>
      <c r="B3" s="166" t="s">
        <v>82</v>
      </c>
      <c r="C3" s="48" t="s">
        <v>83</v>
      </c>
      <c r="D3" s="48" t="s">
        <v>84</v>
      </c>
      <c r="E3" s="48" t="s">
        <v>85</v>
      </c>
      <c r="F3" s="48" t="s">
        <v>86</v>
      </c>
      <c r="G3" s="193" t="s">
        <v>87</v>
      </c>
      <c r="H3" s="48" t="s">
        <v>88</v>
      </c>
      <c r="I3" s="47" t="s">
        <v>89</v>
      </c>
      <c r="J3" s="49" t="s">
        <v>90</v>
      </c>
      <c r="K3" s="210" t="s">
        <v>556</v>
      </c>
      <c r="L3" s="211" t="s">
        <v>557</v>
      </c>
      <c r="M3" s="211" t="s">
        <v>558</v>
      </c>
      <c r="N3" s="48" t="s">
        <v>559</v>
      </c>
      <c r="O3" s="62" t="s">
        <v>560</v>
      </c>
      <c r="P3" s="62" t="s">
        <v>561</v>
      </c>
      <c r="Q3" s="48" t="s">
        <v>562</v>
      </c>
      <c r="R3" s="212" t="s">
        <v>563</v>
      </c>
      <c r="S3" s="212" t="s">
        <v>564</v>
      </c>
      <c r="T3" s="49" t="s">
        <v>565</v>
      </c>
      <c r="U3" s="291" t="s">
        <v>248</v>
      </c>
      <c r="V3" s="209" t="s">
        <v>566</v>
      </c>
      <c r="W3" s="111" t="s">
        <v>567</v>
      </c>
      <c r="X3" s="111" t="s">
        <v>568</v>
      </c>
      <c r="Y3" s="111" t="s">
        <v>569</v>
      </c>
      <c r="Z3" s="111" t="s">
        <v>570</v>
      </c>
      <c r="AA3" s="112" t="s">
        <v>571</v>
      </c>
      <c r="AB3"/>
      <c r="AC3"/>
      <c r="AD3"/>
      <c r="AE3"/>
    </row>
    <row r="4" spans="1:31" ht="29.45" thickTop="1">
      <c r="A4" s="168"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MZ0101</v>
      </c>
      <c r="B4" s="126" t="s">
        <v>146</v>
      </c>
      <c r="C4" s="104" t="s">
        <v>147</v>
      </c>
      <c r="D4" s="104" t="s">
        <v>148</v>
      </c>
      <c r="E4" s="104" t="s">
        <v>145</v>
      </c>
      <c r="F4" s="98"/>
      <c r="G4" s="36"/>
      <c r="H4" s="36"/>
      <c r="I4" s="100">
        <v>193878</v>
      </c>
      <c r="J4" s="176"/>
      <c r="K4" s="191"/>
      <c r="L4" s="191"/>
      <c r="M4" s="191"/>
      <c r="N4" s="25" t="str" cm="1">
        <f t="array" ref="N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 s="351">
        <v>2.4E-2</v>
      </c>
      <c r="P4" s="351"/>
      <c r="Q4" s="26" cm="1">
        <f t="array" ref="Q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4" s="351">
        <v>6.2616697098175139E-3</v>
      </c>
      <c r="S4" s="351">
        <v>0.47598878186847748</v>
      </c>
      <c r="T4" s="26">
        <v>2.2352941176470589</v>
      </c>
      <c r="U4" s="26">
        <v>4</v>
      </c>
      <c r="V4" s="351">
        <v>0.61819999999999997</v>
      </c>
      <c r="W4" s="351">
        <v>0.1182</v>
      </c>
      <c r="X4" s="351">
        <v>0.20449999999999999</v>
      </c>
      <c r="Y4" s="351">
        <v>5.91E-2</v>
      </c>
      <c r="Z4" s="113"/>
      <c r="AA4" s="28" cm="1">
        <f t="array" ref="AA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B4"/>
      <c r="AC4"/>
      <c r="AD4"/>
      <c r="AE4"/>
    </row>
    <row r="5" spans="1:31" ht="29.1">
      <c r="A5" s="168"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MZ0102</v>
      </c>
      <c r="B5" s="126" t="s">
        <v>146</v>
      </c>
      <c r="C5" s="104" t="s">
        <v>147</v>
      </c>
      <c r="D5" s="104" t="s">
        <v>151</v>
      </c>
      <c r="E5" s="104" t="s">
        <v>150</v>
      </c>
      <c r="F5" s="98"/>
      <c r="G5" s="36"/>
      <c r="H5" s="36"/>
      <c r="I5" s="100">
        <v>182448</v>
      </c>
      <c r="J5" s="176"/>
      <c r="K5" s="191"/>
      <c r="L5" s="191"/>
      <c r="M5" s="191"/>
      <c r="N5" s="25" t="str" cm="1">
        <f t="array" ref="N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 s="351">
        <v>4.2999999999999997E-2</v>
      </c>
      <c r="P5" s="351"/>
      <c r="Q5" s="26" cm="1">
        <f t="array" ref="Q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5" s="351">
        <v>2.1211523283346488E-3</v>
      </c>
      <c r="S5" s="351">
        <v>0.62182019166663804</v>
      </c>
      <c r="T5" s="26">
        <v>1.8235294117647056</v>
      </c>
      <c r="U5" s="26"/>
      <c r="V5" s="351">
        <v>0.3049</v>
      </c>
      <c r="W5" s="351">
        <v>0.23369999999999999</v>
      </c>
      <c r="X5" s="351">
        <v>0.36990000000000001</v>
      </c>
      <c r="Y5" s="351">
        <v>9.1499999999999998E-2</v>
      </c>
      <c r="Z5" s="113"/>
      <c r="AA5" s="28" cm="1">
        <f t="array" ref="AA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B5"/>
      <c r="AC5"/>
      <c r="AD5"/>
      <c r="AE5"/>
    </row>
    <row r="6" spans="1:31" ht="29.1">
      <c r="A6" s="168"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MZ0103</v>
      </c>
      <c r="B6" s="126" t="s">
        <v>146</v>
      </c>
      <c r="C6" s="104" t="s">
        <v>147</v>
      </c>
      <c r="D6" s="104" t="s">
        <v>153</v>
      </c>
      <c r="E6" s="104" t="s">
        <v>152</v>
      </c>
      <c r="F6" s="98"/>
      <c r="G6" s="36"/>
      <c r="H6" s="36"/>
      <c r="I6" s="100">
        <v>316049</v>
      </c>
      <c r="J6" s="176"/>
      <c r="K6" s="191"/>
      <c r="L6" s="191"/>
      <c r="M6" s="191"/>
      <c r="N6" s="25" t="str" cm="1">
        <f t="array" ref="N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 s="351">
        <v>4.1000000000000002E-2</v>
      </c>
      <c r="P6" s="351"/>
      <c r="Q6" s="26" cm="1">
        <f t="array" ref="Q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6" s="351">
        <v>3.6291840822150995E-3</v>
      </c>
      <c r="S6" s="351">
        <v>1.0685001386183295</v>
      </c>
      <c r="T6" s="26">
        <v>2</v>
      </c>
      <c r="U6" s="26">
        <v>1</v>
      </c>
      <c r="V6" s="351">
        <v>0.96040000000000003</v>
      </c>
      <c r="W6" s="351">
        <v>2.0799999999999999E-2</v>
      </c>
      <c r="X6" s="351">
        <v>6.3E-3</v>
      </c>
      <c r="Y6" s="351">
        <v>1.2500000000000001E-2</v>
      </c>
      <c r="Z6" s="113"/>
      <c r="AA6" s="28" cm="1">
        <f t="array" ref="AA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c r="AB6"/>
      <c r="AC6"/>
      <c r="AD6"/>
      <c r="AE6"/>
    </row>
    <row r="7" spans="1:31" ht="27.95">
      <c r="A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MZ0104</v>
      </c>
      <c r="B7" s="347" t="s">
        <v>146</v>
      </c>
      <c r="C7" s="213" t="s">
        <v>147</v>
      </c>
      <c r="D7" s="213" t="s">
        <v>155</v>
      </c>
      <c r="E7" s="103" t="s">
        <v>154</v>
      </c>
      <c r="F7" s="98"/>
      <c r="G7" s="33"/>
      <c r="H7" s="340"/>
      <c r="I7" s="95">
        <v>286814</v>
      </c>
      <c r="J7" s="342"/>
      <c r="K7" s="344"/>
      <c r="L7" s="344"/>
      <c r="M7" s="344"/>
      <c r="N7" s="326" t="str" cm="1">
        <f t="array" ref="N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 s="352">
        <v>2.1000000000000001E-2</v>
      </c>
      <c r="P7" s="351"/>
      <c r="Q7" s="310" cm="1">
        <f t="array" ref="Q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7" s="353">
        <v>1.3754558703550036E-2</v>
      </c>
      <c r="S7" s="351">
        <v>0.42159146964256766</v>
      </c>
      <c r="T7" s="326">
        <v>2.8235294117647061</v>
      </c>
      <c r="U7" s="345">
        <v>1</v>
      </c>
      <c r="V7" s="354">
        <v>0.63490000000000002</v>
      </c>
      <c r="W7" s="354">
        <v>0.3029</v>
      </c>
      <c r="X7" s="352">
        <v>4.1500000000000002E-2</v>
      </c>
      <c r="Y7" s="354">
        <v>2.07E-2</v>
      </c>
      <c r="Z7" s="38"/>
      <c r="AA7" s="346" cm="1">
        <f t="array" ref="AA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c r="AD7" s="21"/>
      <c r="AE7" s="17"/>
    </row>
    <row r="8" spans="1:31" ht="24.95">
      <c r="A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MZ0105</v>
      </c>
      <c r="B8" s="347" t="s">
        <v>146</v>
      </c>
      <c r="C8" s="213" t="s">
        <v>147</v>
      </c>
      <c r="D8" s="213" t="s">
        <v>157</v>
      </c>
      <c r="E8" s="103" t="s">
        <v>156</v>
      </c>
      <c r="F8" s="98"/>
      <c r="G8" s="33"/>
      <c r="H8" s="340"/>
      <c r="I8" s="95">
        <v>33798</v>
      </c>
      <c r="J8" s="342"/>
      <c r="K8" s="344"/>
      <c r="L8" s="344"/>
      <c r="M8" s="344"/>
      <c r="N8" s="326" t="str" cm="1">
        <f t="array" ref="N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 s="352"/>
      <c r="P8" s="351">
        <v>2.9000000000000001E-2</v>
      </c>
      <c r="Q8" s="310" cm="1">
        <f t="array" ref="Q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8" s="353">
        <v>9.3496656606899819E-3</v>
      </c>
      <c r="S8" s="351">
        <v>0.24010614714798104</v>
      </c>
      <c r="T8" s="326">
        <v>2.6470588235294117</v>
      </c>
      <c r="U8" s="345"/>
      <c r="V8" s="354">
        <v>0.50729999999999997</v>
      </c>
      <c r="W8" s="354">
        <v>0.2432</v>
      </c>
      <c r="X8" s="352">
        <v>0.2162</v>
      </c>
      <c r="Y8" s="354">
        <v>3.3300000000000003E-2</v>
      </c>
      <c r="Z8" s="38"/>
      <c r="AA8" s="346" cm="1">
        <f t="array" ref="AA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8" s="21"/>
      <c r="AE8" s="17"/>
    </row>
    <row r="9" spans="1:31" ht="24.95">
      <c r="A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MZ0106</v>
      </c>
      <c r="B9" s="347" t="s">
        <v>146</v>
      </c>
      <c r="C9" s="213" t="s">
        <v>147</v>
      </c>
      <c r="D9" s="213" t="s">
        <v>159</v>
      </c>
      <c r="E9" s="103" t="s">
        <v>158</v>
      </c>
      <c r="F9" s="98"/>
      <c r="G9" s="33"/>
      <c r="H9" s="340"/>
      <c r="I9" s="95">
        <v>209241</v>
      </c>
      <c r="J9" s="342"/>
      <c r="K9" s="344"/>
      <c r="L9" s="344"/>
      <c r="M9" s="344"/>
      <c r="N9" s="326" t="str" cm="1">
        <f t="array" ref="N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 s="352">
        <v>4.9000000000000002E-2</v>
      </c>
      <c r="P9" s="351"/>
      <c r="Q9" s="310" cm="1">
        <f t="array" ref="Q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9" s="353">
        <v>1.7109457515496484E-3</v>
      </c>
      <c r="S9" s="351">
        <v>0.13818890963095284</v>
      </c>
      <c r="T9" s="326">
        <v>4</v>
      </c>
      <c r="U9" s="345">
        <v>5</v>
      </c>
      <c r="V9" s="354">
        <v>0.39169999999999999</v>
      </c>
      <c r="W9" s="354">
        <v>0.30209999999999998</v>
      </c>
      <c r="X9" s="352">
        <v>0.24579999999999999</v>
      </c>
      <c r="Y9" s="354">
        <v>6.0400000000000002E-2</v>
      </c>
      <c r="Z9" s="38"/>
      <c r="AA9" s="346" cm="1">
        <f t="array" ref="AA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9" s="21"/>
      <c r="AE9" s="17"/>
    </row>
    <row r="10" spans="1:31" ht="24.95">
      <c r="A1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MZ0107</v>
      </c>
      <c r="B10" s="347" t="s">
        <v>146</v>
      </c>
      <c r="C10" s="213" t="s">
        <v>147</v>
      </c>
      <c r="D10" s="213" t="s">
        <v>161</v>
      </c>
      <c r="E10" s="103" t="s">
        <v>160</v>
      </c>
      <c r="F10" s="98"/>
      <c r="G10" s="33"/>
      <c r="H10" s="340"/>
      <c r="I10" s="95">
        <v>63528</v>
      </c>
      <c r="J10" s="342"/>
      <c r="K10" s="344"/>
      <c r="L10" s="344"/>
      <c r="M10" s="344"/>
      <c r="N10" s="326" t="str" cm="1">
        <f t="array" ref="N1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 s="352">
        <v>6.3E-2</v>
      </c>
      <c r="P10" s="351"/>
      <c r="Q10" s="310" cm="1">
        <f t="array" ref="Q1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 s="353">
        <v>6.8631154766402216E-3</v>
      </c>
      <c r="S10" s="351">
        <v>0.61546222097345982</v>
      </c>
      <c r="T10" s="326">
        <v>1.8235294117647056</v>
      </c>
      <c r="U10" s="345"/>
      <c r="V10" s="354">
        <v>0.35820000000000002</v>
      </c>
      <c r="W10" s="354">
        <v>0.37059999999999998</v>
      </c>
      <c r="X10" s="352">
        <v>0.2215</v>
      </c>
      <c r="Y10" s="354">
        <v>4.9700000000000001E-2</v>
      </c>
      <c r="Z10" s="38"/>
      <c r="AA10" s="346" cm="1">
        <f t="array" ref="AA1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10" s="21"/>
      <c r="AE10" s="17"/>
    </row>
    <row r="11" spans="1:31" ht="24.95">
      <c r="A1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MZ0108</v>
      </c>
      <c r="B11" s="347" t="s">
        <v>146</v>
      </c>
      <c r="C11" s="213" t="s">
        <v>147</v>
      </c>
      <c r="D11" s="213" t="s">
        <v>163</v>
      </c>
      <c r="E11" s="103" t="s">
        <v>162</v>
      </c>
      <c r="F11" s="98"/>
      <c r="G11" s="33"/>
      <c r="H11" s="340"/>
      <c r="I11" s="95">
        <v>43796</v>
      </c>
      <c r="J11" s="342"/>
      <c r="K11" s="344"/>
      <c r="L11" s="344"/>
      <c r="M11" s="344"/>
      <c r="N11" s="326" t="str" cm="1">
        <f t="array" ref="N1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 s="352"/>
      <c r="P11" s="351">
        <v>1.7000000000000001E-2</v>
      </c>
      <c r="Q11" s="310" cm="1">
        <f t="array" ref="Q1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 s="353">
        <v>1.2124394921910676E-2</v>
      </c>
      <c r="S11" s="351">
        <v>0.39445583030849968</v>
      </c>
      <c r="T11" s="326">
        <v>3.2352941176470589</v>
      </c>
      <c r="U11" s="345">
        <v>3</v>
      </c>
      <c r="V11" s="354">
        <v>0.44169999999999998</v>
      </c>
      <c r="W11" s="354">
        <v>5.21E-2</v>
      </c>
      <c r="X11" s="352">
        <v>0.375</v>
      </c>
      <c r="Y11" s="354">
        <v>0.1313</v>
      </c>
      <c r="Z11" s="38"/>
      <c r="AA11" s="346" cm="1">
        <f t="array" ref="AA1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11" s="21"/>
      <c r="AE11" s="17"/>
    </row>
    <row r="12" spans="1:31" ht="24.95">
      <c r="A1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MZ0109</v>
      </c>
      <c r="B12" s="347" t="s">
        <v>146</v>
      </c>
      <c r="C12" s="213" t="s">
        <v>147</v>
      </c>
      <c r="D12" s="213" t="s">
        <v>165</v>
      </c>
      <c r="E12" s="103" t="s">
        <v>164</v>
      </c>
      <c r="F12" s="98"/>
      <c r="G12" s="33"/>
      <c r="H12" s="340"/>
      <c r="I12" s="95">
        <v>150029</v>
      </c>
      <c r="J12" s="342"/>
      <c r="K12" s="344"/>
      <c r="L12" s="344"/>
      <c r="M12" s="344"/>
      <c r="N12" s="326" t="str" cm="1">
        <f t="array" ref="N1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 s="352">
        <v>1.2E-2</v>
      </c>
      <c r="P12" s="351"/>
      <c r="Q12" s="310" cm="1">
        <f t="array" ref="Q1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 s="353">
        <v>8.7383105932852985E-3</v>
      </c>
      <c r="S12" s="351">
        <v>0.38207980205362502</v>
      </c>
      <c r="T12" s="326">
        <v>2.6470588235294117</v>
      </c>
      <c r="U12" s="345"/>
      <c r="V12" s="354">
        <v>0.53910000000000002</v>
      </c>
      <c r="W12" s="354">
        <v>0.1875</v>
      </c>
      <c r="X12" s="352">
        <v>0.2344</v>
      </c>
      <c r="Y12" s="354">
        <v>3.9100000000000003E-2</v>
      </c>
      <c r="Z12" s="38"/>
      <c r="AA12" s="346" cm="1">
        <f t="array" ref="AA1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12" s="21"/>
      <c r="AE12" s="17"/>
    </row>
    <row r="13" spans="1:31" ht="27.95">
      <c r="A1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MZ0110</v>
      </c>
      <c r="B13" s="347" t="s">
        <v>146</v>
      </c>
      <c r="C13" s="213" t="s">
        <v>147</v>
      </c>
      <c r="D13" s="213" t="s">
        <v>167</v>
      </c>
      <c r="E13" s="103" t="s">
        <v>166</v>
      </c>
      <c r="F13" s="98"/>
      <c r="G13" s="33"/>
      <c r="H13" s="340"/>
      <c r="I13" s="95">
        <v>314265</v>
      </c>
      <c r="J13" s="342"/>
      <c r="K13" s="344"/>
      <c r="L13" s="344"/>
      <c r="M13" s="344"/>
      <c r="N13" s="326" t="str" cm="1">
        <f t="array" ref="N1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 s="352"/>
      <c r="P13" s="351">
        <v>1.0999999999999999E-2</v>
      </c>
      <c r="Q13" s="310" cm="1">
        <f t="array" ref="Q1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3" s="353">
        <v>2.230601562375702E-3</v>
      </c>
      <c r="S13" s="351">
        <v>0.19262280920226418</v>
      </c>
      <c r="T13" s="326">
        <v>2.6470588235294117</v>
      </c>
      <c r="U13" s="345">
        <v>4</v>
      </c>
      <c r="V13" s="354">
        <v>0.72140000000000004</v>
      </c>
      <c r="W13" s="354">
        <v>0.23910000000000001</v>
      </c>
      <c r="X13" s="352">
        <v>2.7E-2</v>
      </c>
      <c r="Y13" s="354">
        <v>1.2500000000000001E-2</v>
      </c>
      <c r="Z13" s="38"/>
      <c r="AA13" s="346" cm="1">
        <f t="array" ref="AA1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c r="AD13" s="21"/>
      <c r="AE13" s="17"/>
    </row>
    <row r="14" spans="1:31" ht="24.95">
      <c r="A1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MZ0111</v>
      </c>
      <c r="B14" s="347" t="s">
        <v>146</v>
      </c>
      <c r="C14" s="213" t="s">
        <v>147</v>
      </c>
      <c r="D14" s="213" t="s">
        <v>169</v>
      </c>
      <c r="E14" s="103" t="s">
        <v>168</v>
      </c>
      <c r="F14" s="98"/>
      <c r="G14" s="33"/>
      <c r="H14" s="340"/>
      <c r="I14" s="95">
        <v>304525</v>
      </c>
      <c r="J14" s="342"/>
      <c r="K14" s="344"/>
      <c r="L14" s="344"/>
      <c r="M14" s="344"/>
      <c r="N14" s="326" t="str" cm="1">
        <f t="array" ref="N1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 s="352">
        <v>3.1E-2</v>
      </c>
      <c r="P14" s="351"/>
      <c r="Q14" s="310" cm="1">
        <f t="array" ref="Q1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4" s="353">
        <v>3.0013956161234708E-3</v>
      </c>
      <c r="S14" s="351">
        <v>0.72389543232665654</v>
      </c>
      <c r="T14" s="326">
        <v>1.8235294117647056</v>
      </c>
      <c r="U14" s="345">
        <v>2</v>
      </c>
      <c r="V14" s="354">
        <v>0.39710000000000001</v>
      </c>
      <c r="W14" s="354">
        <v>0.15590000000000001</v>
      </c>
      <c r="X14" s="352">
        <v>0.34100000000000003</v>
      </c>
      <c r="Y14" s="354">
        <v>0.106</v>
      </c>
      <c r="Z14" s="38"/>
      <c r="AA14" s="346" cm="1">
        <f t="array" ref="AA1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14" s="21"/>
      <c r="AE14" s="17"/>
    </row>
    <row r="15" spans="1:31" ht="24.95">
      <c r="A1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MZ0112</v>
      </c>
      <c r="B15" s="347" t="s">
        <v>146</v>
      </c>
      <c r="C15" s="213" t="s">
        <v>147</v>
      </c>
      <c r="D15" s="213" t="s">
        <v>171</v>
      </c>
      <c r="E15" s="103" t="s">
        <v>170</v>
      </c>
      <c r="F15" s="98"/>
      <c r="G15" s="33"/>
      <c r="H15" s="340"/>
      <c r="I15" s="95">
        <v>225863</v>
      </c>
      <c r="J15" s="342"/>
      <c r="K15" s="344"/>
      <c r="L15" s="344"/>
      <c r="M15" s="344"/>
      <c r="N15" s="326" t="str" cm="1">
        <f t="array" ref="N1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 s="352">
        <v>2.1999999999999999E-2</v>
      </c>
      <c r="P15" s="351"/>
      <c r="Q15" s="310" cm="1">
        <f t="array" ref="Q1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5" s="353">
        <v>6.0877611649539764E-3</v>
      </c>
      <c r="S15" s="351">
        <v>0.47843751607038076</v>
      </c>
      <c r="T15" s="326">
        <v>2.2352941176470589</v>
      </c>
      <c r="U15" s="345"/>
      <c r="V15" s="354">
        <v>0.19919999999999999</v>
      </c>
      <c r="W15" s="354">
        <v>0.2414</v>
      </c>
      <c r="X15" s="352">
        <v>0.37930000000000003</v>
      </c>
      <c r="Y15" s="354">
        <v>0.18010000000000001</v>
      </c>
      <c r="Z15" s="38"/>
      <c r="AA15" s="346" cm="1">
        <f t="array" ref="AA1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15" s="21"/>
      <c r="AE15" s="17"/>
    </row>
    <row r="16" spans="1:31" ht="24.95">
      <c r="A1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MZ0113</v>
      </c>
      <c r="B16" s="347" t="s">
        <v>146</v>
      </c>
      <c r="C16" s="213" t="s">
        <v>147</v>
      </c>
      <c r="D16" s="213" t="s">
        <v>173</v>
      </c>
      <c r="E16" s="103" t="s">
        <v>172</v>
      </c>
      <c r="F16" s="98"/>
      <c r="G16" s="33"/>
      <c r="H16" s="340"/>
      <c r="I16" s="95">
        <v>84885</v>
      </c>
      <c r="J16" s="342"/>
      <c r="K16" s="344"/>
      <c r="L16" s="344"/>
      <c r="M16" s="344"/>
      <c r="N16" s="326" t="str" cm="1">
        <f t="array" ref="N1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6" s="352"/>
      <c r="P16" s="351">
        <v>4.0000000000000001E-3</v>
      </c>
      <c r="Q16" s="310" cm="1">
        <f t="array" ref="Q1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6" s="353">
        <v>1.0661483183130116E-2</v>
      </c>
      <c r="S16" s="351">
        <v>0.6412770827457912</v>
      </c>
      <c r="T16" s="326">
        <v>2.4117647058823528</v>
      </c>
      <c r="U16" s="345">
        <v>3</v>
      </c>
      <c r="V16" s="354">
        <v>0.2792</v>
      </c>
      <c r="W16" s="354">
        <v>0.32079999999999997</v>
      </c>
      <c r="X16" s="352">
        <v>0.2208</v>
      </c>
      <c r="Y16" s="354">
        <v>0.1792</v>
      </c>
      <c r="Z16" s="38"/>
      <c r="AA16" s="346" cm="1">
        <f t="array" ref="AA1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c r="AD16" s="21"/>
      <c r="AE16" s="17"/>
    </row>
    <row r="17" spans="1:27" ht="24.95">
      <c r="A1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MZ0114</v>
      </c>
      <c r="B17" s="347" t="s">
        <v>146</v>
      </c>
      <c r="C17" s="213" t="s">
        <v>147</v>
      </c>
      <c r="D17" s="213" t="s">
        <v>175</v>
      </c>
      <c r="E17" s="103" t="s">
        <v>174</v>
      </c>
      <c r="F17" s="98"/>
      <c r="G17" s="33"/>
      <c r="H17" s="340"/>
      <c r="I17" s="95">
        <v>244898</v>
      </c>
      <c r="J17" s="342"/>
      <c r="K17" s="344"/>
      <c r="L17" s="344"/>
      <c r="M17" s="344"/>
      <c r="N17" s="326" t="str" cm="1">
        <f t="array" ref="N1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7" s="352">
        <v>4.7E-2</v>
      </c>
      <c r="P17" s="351"/>
      <c r="Q17" s="310" cm="1">
        <f t="array" ref="Q1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7" s="353">
        <v>1.7558330406944932E-3</v>
      </c>
      <c r="S17" s="351">
        <v>1.16145616536751</v>
      </c>
      <c r="T17" s="326">
        <v>1</v>
      </c>
      <c r="U17" s="345"/>
      <c r="V17" s="354">
        <v>0.55420000000000003</v>
      </c>
      <c r="W17" s="354">
        <v>0.1208</v>
      </c>
      <c r="X17" s="352">
        <v>0.1396</v>
      </c>
      <c r="Y17" s="354">
        <v>0.18540000000000001</v>
      </c>
      <c r="Z17" s="38"/>
      <c r="AA17" s="346" cm="1">
        <f t="array" ref="AA1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18" spans="1:27" ht="24.95">
      <c r="A1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MZ0115</v>
      </c>
      <c r="B18" s="347" t="s">
        <v>146</v>
      </c>
      <c r="C18" s="213" t="s">
        <v>147</v>
      </c>
      <c r="D18" s="213" t="s">
        <v>177</v>
      </c>
      <c r="E18" s="103" t="s">
        <v>176</v>
      </c>
      <c r="F18" s="98"/>
      <c r="G18" s="33"/>
      <c r="H18" s="340"/>
      <c r="I18" s="95">
        <v>95974</v>
      </c>
      <c r="J18" s="342"/>
      <c r="K18" s="344"/>
      <c r="L18" s="344"/>
      <c r="M18" s="344"/>
      <c r="N18" s="326" t="str" cm="1">
        <f t="array" ref="N1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8" s="352"/>
      <c r="P18" s="351">
        <v>0.04</v>
      </c>
      <c r="Q18" s="310" cm="1">
        <f t="array" ref="Q1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8" s="353">
        <v>3.532206639298143E-3</v>
      </c>
      <c r="S18" s="351">
        <v>0.64522521395683274</v>
      </c>
      <c r="T18" s="326">
        <v>1.8235294117647056</v>
      </c>
      <c r="U18" s="345">
        <v>1</v>
      </c>
      <c r="V18" s="354">
        <v>0.22869999999999999</v>
      </c>
      <c r="W18" s="354">
        <v>0.32219999999999999</v>
      </c>
      <c r="X18" s="352">
        <v>0.21</v>
      </c>
      <c r="Y18" s="354">
        <v>0.23910000000000001</v>
      </c>
      <c r="Z18" s="38"/>
      <c r="AA18" s="346" cm="1">
        <f t="array" ref="AA1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4</v>
      </c>
    </row>
    <row r="19" spans="1:27" ht="24.95">
      <c r="A1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MZ0116</v>
      </c>
      <c r="B19" s="347" t="s">
        <v>146</v>
      </c>
      <c r="C19" s="213" t="s">
        <v>147</v>
      </c>
      <c r="D19" s="213" t="s">
        <v>179</v>
      </c>
      <c r="E19" s="103" t="s">
        <v>178</v>
      </c>
      <c r="F19" s="98"/>
      <c r="G19" s="33"/>
      <c r="H19" s="340"/>
      <c r="I19" s="95">
        <v>191317</v>
      </c>
      <c r="J19" s="342"/>
      <c r="K19" s="344"/>
      <c r="L19" s="344"/>
      <c r="M19" s="344"/>
      <c r="N19" s="326" t="str" cm="1">
        <f t="array" ref="N1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9" s="352">
        <v>0.156</v>
      </c>
      <c r="P19" s="351"/>
      <c r="Q19" s="310" cm="1">
        <f t="array" ref="Q1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4</v>
      </c>
      <c r="R19" s="353">
        <v>2.7389097675585548E-3</v>
      </c>
      <c r="S19" s="351">
        <v>0.17079491603312544</v>
      </c>
      <c r="T19" s="326">
        <v>2.6470588235294117</v>
      </c>
      <c r="U19" s="345">
        <v>1</v>
      </c>
      <c r="V19" s="354">
        <v>0.39169999999999999</v>
      </c>
      <c r="W19" s="354">
        <v>0.29380000000000001</v>
      </c>
      <c r="X19" s="352">
        <v>0.1188</v>
      </c>
      <c r="Y19" s="354">
        <v>0.1958</v>
      </c>
      <c r="Z19" s="38"/>
      <c r="AA19" s="346" cm="1">
        <f t="array" ref="AA1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20" spans="1:27" ht="24.95">
      <c r="A2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MZ0118</v>
      </c>
      <c r="B20" s="347" t="s">
        <v>146</v>
      </c>
      <c r="C20" s="213" t="s">
        <v>147</v>
      </c>
      <c r="D20" s="213" t="s">
        <v>181</v>
      </c>
      <c r="E20" s="103" t="s">
        <v>180</v>
      </c>
      <c r="F20" s="98"/>
      <c r="G20" s="33"/>
      <c r="H20" s="340"/>
      <c r="I20" s="95">
        <v>82515</v>
      </c>
      <c r="J20" s="342"/>
      <c r="K20" s="344"/>
      <c r="L20" s="344"/>
      <c r="M20" s="344"/>
      <c r="N20" s="326" t="str" cm="1">
        <f t="array" ref="N2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0" s="352"/>
      <c r="P20" s="351">
        <v>0.04</v>
      </c>
      <c r="Q20" s="310" cm="1">
        <f t="array" ref="Q2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20" s="353">
        <v>6.5442646791492452E-4</v>
      </c>
      <c r="S20" s="351">
        <v>0.13844340290152743</v>
      </c>
      <c r="T20" s="326">
        <v>2.6470588235294117</v>
      </c>
      <c r="U20" s="345"/>
      <c r="V20" s="354">
        <v>0.59770000000000001</v>
      </c>
      <c r="W20" s="354">
        <v>0.21249999999999999</v>
      </c>
      <c r="X20" s="352">
        <v>9.35E-2</v>
      </c>
      <c r="Y20" s="354">
        <v>9.6299999999999997E-2</v>
      </c>
      <c r="Z20" s="38"/>
      <c r="AA20" s="346" cm="1">
        <f t="array" ref="AA2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21" spans="1:27">
      <c r="A2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MZ0201</v>
      </c>
      <c r="B21" s="347" t="s">
        <v>260</v>
      </c>
      <c r="C21" s="213" t="s">
        <v>261</v>
      </c>
      <c r="D21" s="213" t="s">
        <v>262</v>
      </c>
      <c r="E21" s="103" t="s">
        <v>263</v>
      </c>
      <c r="F21" s="98"/>
      <c r="G21" s="33"/>
      <c r="H21" s="340"/>
      <c r="I21" s="95">
        <v>171626</v>
      </c>
      <c r="J21" s="342"/>
      <c r="K21" s="344"/>
      <c r="L21" s="344"/>
      <c r="M21" s="344"/>
      <c r="N21" s="326" t="str" cm="1">
        <f t="array" ref="N2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1" s="352"/>
      <c r="P21" s="351"/>
      <c r="Q21" s="310" t="str" cm="1">
        <f t="array" ref="Q2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1" s="353">
        <v>3.9621036439700278E-4</v>
      </c>
      <c r="S21" s="351">
        <v>0.42159704723938318</v>
      </c>
      <c r="T21" s="326">
        <v>2.2352941176470589</v>
      </c>
      <c r="U21" s="345"/>
      <c r="V21" s="354"/>
      <c r="W21" s="354"/>
      <c r="X21" s="352"/>
      <c r="Y21" s="354"/>
      <c r="Z21" s="38"/>
      <c r="AA21" s="346" t="str" cm="1">
        <f t="array" ref="AA2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2" spans="1:27">
      <c r="A2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MZ0202</v>
      </c>
      <c r="B22" s="347" t="s">
        <v>260</v>
      </c>
      <c r="C22" s="213" t="s">
        <v>261</v>
      </c>
      <c r="D22" s="213" t="s">
        <v>265</v>
      </c>
      <c r="E22" s="103" t="s">
        <v>266</v>
      </c>
      <c r="F22" s="98"/>
      <c r="G22" s="33"/>
      <c r="H22" s="340"/>
      <c r="I22" s="95">
        <v>256288</v>
      </c>
      <c r="J22" s="342"/>
      <c r="K22" s="344"/>
      <c r="L22" s="344"/>
      <c r="M22" s="344"/>
      <c r="N22" s="326" t="str" cm="1">
        <f t="array" ref="N2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2" s="352"/>
      <c r="P22" s="351"/>
      <c r="Q22" s="310" t="str" cm="1">
        <f t="array" ref="Q2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2" s="353">
        <v>5.1504557372955421E-4</v>
      </c>
      <c r="S22" s="351">
        <v>0.4908973880495795</v>
      </c>
      <c r="T22" s="326">
        <v>2.2352941176470589</v>
      </c>
      <c r="U22" s="345"/>
      <c r="V22" s="354"/>
      <c r="W22" s="354"/>
      <c r="X22" s="352"/>
      <c r="Y22" s="354"/>
      <c r="Z22" s="38"/>
      <c r="AA22" s="346" t="str" cm="1">
        <f t="array" ref="AA2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3" spans="1:27" ht="27.95">
      <c r="A2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MZ0203</v>
      </c>
      <c r="B23" s="347" t="s">
        <v>260</v>
      </c>
      <c r="C23" s="213" t="s">
        <v>261</v>
      </c>
      <c r="D23" s="213" t="s">
        <v>267</v>
      </c>
      <c r="E23" s="103" t="s">
        <v>268</v>
      </c>
      <c r="F23" s="98"/>
      <c r="G23" s="33"/>
      <c r="H23" s="340"/>
      <c r="I23" s="95">
        <v>30948</v>
      </c>
      <c r="J23" s="342"/>
      <c r="K23" s="344"/>
      <c r="L23" s="344"/>
      <c r="M23" s="344"/>
      <c r="N23" s="326" t="str" cm="1">
        <f t="array" ref="N2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3" s="352"/>
      <c r="P23" s="351"/>
      <c r="Q23" s="310" t="str" cm="1">
        <f t="array" ref="Q2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3" s="353">
        <v>1.3280341217526173E-2</v>
      </c>
      <c r="S23" s="351">
        <v>0.43076103896581747</v>
      </c>
      <c r="T23" s="326">
        <v>2.8235294117647061</v>
      </c>
      <c r="U23" s="345"/>
      <c r="V23" s="354">
        <v>0.82499999999999996</v>
      </c>
      <c r="W23" s="354">
        <v>6.2E-2</v>
      </c>
      <c r="X23" s="352">
        <v>9.9000000000000005E-2</v>
      </c>
      <c r="Y23" s="354">
        <v>1.4E-2</v>
      </c>
      <c r="Z23" s="38"/>
      <c r="AA23" s="346" cm="1">
        <f t="array" ref="AA2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24" spans="1:27">
      <c r="A2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MZ0204</v>
      </c>
      <c r="B24" s="347" t="s">
        <v>260</v>
      </c>
      <c r="C24" s="213" t="s">
        <v>261</v>
      </c>
      <c r="D24" s="213" t="s">
        <v>269</v>
      </c>
      <c r="E24" s="103" t="s">
        <v>270</v>
      </c>
      <c r="F24" s="98"/>
      <c r="G24" s="33"/>
      <c r="H24" s="340"/>
      <c r="I24" s="95">
        <v>23875</v>
      </c>
      <c r="J24" s="342"/>
      <c r="K24" s="344"/>
      <c r="L24" s="344"/>
      <c r="M24" s="344"/>
      <c r="N24" s="326" t="str" cm="1">
        <f t="array" ref="N2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4" s="352"/>
      <c r="P24" s="351"/>
      <c r="Q24" s="310" t="str" cm="1">
        <f t="array" ref="Q2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4" s="353">
        <v>2.9319371727748691E-2</v>
      </c>
      <c r="S24" s="351">
        <v>0.51910326974147847</v>
      </c>
      <c r="T24" s="326">
        <v>2.4117647058823528</v>
      </c>
      <c r="U24" s="345"/>
      <c r="V24" s="354"/>
      <c r="W24" s="354"/>
      <c r="X24" s="352"/>
      <c r="Y24" s="354"/>
      <c r="Z24" s="38"/>
      <c r="AA24" s="346" t="str" cm="1">
        <f t="array" ref="AA2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5" spans="1:27">
      <c r="A2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MZ0205</v>
      </c>
      <c r="B25" s="347" t="s">
        <v>260</v>
      </c>
      <c r="C25" s="213" t="s">
        <v>261</v>
      </c>
      <c r="D25" s="213" t="s">
        <v>271</v>
      </c>
      <c r="E25" s="103" t="s">
        <v>272</v>
      </c>
      <c r="F25" s="98"/>
      <c r="G25" s="33"/>
      <c r="H25" s="340"/>
      <c r="I25" s="95">
        <v>261037</v>
      </c>
      <c r="J25" s="342"/>
      <c r="K25" s="344"/>
      <c r="L25" s="344"/>
      <c r="M25" s="344"/>
      <c r="N25" s="326" t="str" cm="1">
        <f t="array" ref="N2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5" s="352"/>
      <c r="P25" s="351"/>
      <c r="Q25" s="310" t="str" cm="1">
        <f t="array" ref="Q2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5" s="353">
        <v>3.6929630665384601E-3</v>
      </c>
      <c r="S25" s="351">
        <v>0.3448575322408729</v>
      </c>
      <c r="T25" s="326">
        <v>2.2352941176470589</v>
      </c>
      <c r="U25" s="345"/>
      <c r="V25" s="354"/>
      <c r="W25" s="354"/>
      <c r="X25" s="352"/>
      <c r="Y25" s="354"/>
      <c r="Z25" s="38"/>
      <c r="AA25" s="346" t="str" cm="1">
        <f t="array" ref="AA2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6" spans="1:27">
      <c r="A2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MZ0206</v>
      </c>
      <c r="B26" s="347" t="s">
        <v>260</v>
      </c>
      <c r="C26" s="213" t="s">
        <v>261</v>
      </c>
      <c r="D26" s="213" t="s">
        <v>273</v>
      </c>
      <c r="E26" s="103" t="s">
        <v>274</v>
      </c>
      <c r="F26" s="98"/>
      <c r="G26" s="33"/>
      <c r="H26" s="340"/>
      <c r="I26" s="95">
        <v>141869</v>
      </c>
      <c r="J26" s="342"/>
      <c r="K26" s="344"/>
      <c r="L26" s="344"/>
      <c r="M26" s="344"/>
      <c r="N26" s="326" t="str" cm="1">
        <f t="array" ref="N2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6" s="352"/>
      <c r="P26" s="351"/>
      <c r="Q26" s="310" t="str" cm="1">
        <f t="array" ref="Q2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6" s="353">
        <v>2.8195024987840898E-4</v>
      </c>
      <c r="S26" s="351">
        <v>0.42714947836097694</v>
      </c>
      <c r="T26" s="326">
        <v>2.2352941176470589</v>
      </c>
      <c r="U26" s="345"/>
      <c r="V26" s="354"/>
      <c r="W26" s="354"/>
      <c r="X26" s="352"/>
      <c r="Y26" s="354"/>
      <c r="Z26" s="38"/>
      <c r="AA26" s="346" t="str" cm="1">
        <f t="array" ref="AA2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7" spans="1:27" ht="27.95">
      <c r="A2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MZ0207</v>
      </c>
      <c r="B27" s="347" t="s">
        <v>260</v>
      </c>
      <c r="C27" s="213" t="s">
        <v>261</v>
      </c>
      <c r="D27" s="213" t="s">
        <v>275</v>
      </c>
      <c r="E27" s="103" t="s">
        <v>276</v>
      </c>
      <c r="F27" s="98"/>
      <c r="G27" s="33"/>
      <c r="H27" s="340"/>
      <c r="I27" s="95">
        <v>186425</v>
      </c>
      <c r="J27" s="342"/>
      <c r="K27" s="344"/>
      <c r="L27" s="344"/>
      <c r="M27" s="344"/>
      <c r="N27" s="326" t="str" cm="1">
        <f t="array" ref="N2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7" s="352"/>
      <c r="P27" s="351"/>
      <c r="Q27" s="310" t="str" cm="1">
        <f t="array" ref="Q2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7" s="353">
        <v>6.4208126592463456E-3</v>
      </c>
      <c r="S27" s="351">
        <v>0.41957742801958903</v>
      </c>
      <c r="T27" s="326">
        <v>2.2352941176470589</v>
      </c>
      <c r="U27" s="345"/>
      <c r="V27" s="354"/>
      <c r="W27" s="354"/>
      <c r="X27" s="352"/>
      <c r="Y27" s="354"/>
      <c r="Z27" s="38"/>
      <c r="AA27" s="346" t="str" cm="1">
        <f t="array" ref="AA2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8" spans="1:27">
      <c r="A2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MZ0208</v>
      </c>
      <c r="B28" s="347" t="s">
        <v>260</v>
      </c>
      <c r="C28" s="213" t="s">
        <v>261</v>
      </c>
      <c r="D28" s="213" t="s">
        <v>277</v>
      </c>
      <c r="E28" s="103" t="s">
        <v>278</v>
      </c>
      <c r="F28" s="98"/>
      <c r="G28" s="33"/>
      <c r="H28" s="340"/>
      <c r="I28" s="95">
        <v>102635</v>
      </c>
      <c r="J28" s="342"/>
      <c r="K28" s="344"/>
      <c r="L28" s="344"/>
      <c r="M28" s="344"/>
      <c r="N28" s="326" t="str" cm="1">
        <f t="array" ref="N2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8" s="352"/>
      <c r="P28" s="351"/>
      <c r="Q28" s="310" t="str" cm="1">
        <f t="array" ref="Q2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8" s="353">
        <v>6.7520826228869291E-3</v>
      </c>
      <c r="S28" s="351">
        <v>0.44426985184598161</v>
      </c>
      <c r="T28" s="326">
        <v>2.2352941176470589</v>
      </c>
      <c r="U28" s="345"/>
      <c r="V28" s="354">
        <v>0.48399999999999999</v>
      </c>
      <c r="W28" s="354">
        <v>0.26600000000000001</v>
      </c>
      <c r="X28" s="352">
        <v>0.20399999999999999</v>
      </c>
      <c r="Y28" s="354">
        <v>4.5999999999999999E-2</v>
      </c>
      <c r="Z28" s="38"/>
      <c r="AA28" s="346" cm="1">
        <f t="array" ref="AA2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29" spans="1:27">
      <c r="A2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MZ0209</v>
      </c>
      <c r="B29" s="347" t="s">
        <v>260</v>
      </c>
      <c r="C29" s="213" t="s">
        <v>261</v>
      </c>
      <c r="D29" s="213" t="s">
        <v>279</v>
      </c>
      <c r="E29" s="103" t="s">
        <v>280</v>
      </c>
      <c r="F29" s="98"/>
      <c r="G29" s="33"/>
      <c r="H29" s="340"/>
      <c r="I29" s="95">
        <v>180614</v>
      </c>
      <c r="J29" s="342"/>
      <c r="K29" s="344"/>
      <c r="L29" s="344"/>
      <c r="M29" s="344"/>
      <c r="N29" s="326" t="str" cm="1">
        <f t="array" ref="N2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9" s="352"/>
      <c r="P29" s="351"/>
      <c r="Q29" s="310" t="str" cm="1">
        <f t="array" ref="Q2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9" s="353">
        <v>5.0383691186729708E-4</v>
      </c>
      <c r="S29" s="351">
        <v>0.40670309293550005</v>
      </c>
      <c r="T29" s="326">
        <v>2.2352941176470589</v>
      </c>
      <c r="U29" s="345"/>
      <c r="V29" s="354"/>
      <c r="W29" s="354"/>
      <c r="X29" s="352"/>
      <c r="Y29" s="354"/>
      <c r="Z29" s="38"/>
      <c r="AA29" s="346" t="str" cm="1">
        <f t="array" ref="AA2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0" spans="1:27">
      <c r="A3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MZ0210</v>
      </c>
      <c r="B30" s="347" t="s">
        <v>260</v>
      </c>
      <c r="C30" s="213" t="s">
        <v>261</v>
      </c>
      <c r="D30" s="213" t="s">
        <v>281</v>
      </c>
      <c r="E30" s="103" t="s">
        <v>282</v>
      </c>
      <c r="F30" s="98"/>
      <c r="G30" s="33"/>
      <c r="H30" s="340"/>
      <c r="I30" s="95">
        <v>42998</v>
      </c>
      <c r="J30" s="342"/>
      <c r="K30" s="344"/>
      <c r="L30" s="344"/>
      <c r="M30" s="344"/>
      <c r="N30" s="326" t="str" cm="1">
        <f t="array" ref="N3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0" s="352"/>
      <c r="P30" s="351"/>
      <c r="Q30" s="310" t="str" cm="1">
        <f t="array" ref="Q3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0" s="353">
        <v>6.3956463091306573E-3</v>
      </c>
      <c r="S30" s="351">
        <v>0.48223210072884448</v>
      </c>
      <c r="T30" s="326">
        <v>2.2352941176470589</v>
      </c>
      <c r="U30" s="345"/>
      <c r="V30" s="354">
        <v>0.40899999999999997</v>
      </c>
      <c r="W30" s="354">
        <v>0.34499999999999997</v>
      </c>
      <c r="X30" s="352">
        <v>0.20499999999999999</v>
      </c>
      <c r="Y30" s="354">
        <v>4.1000000000000002E-2</v>
      </c>
      <c r="Z30" s="38"/>
      <c r="AA30" s="346" cm="1">
        <f t="array" ref="AA3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31" spans="1:27">
      <c r="A3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MZ0211</v>
      </c>
      <c r="B31" s="347" t="s">
        <v>260</v>
      </c>
      <c r="C31" s="213" t="s">
        <v>261</v>
      </c>
      <c r="D31" s="213" t="s">
        <v>283</v>
      </c>
      <c r="E31" s="103" t="s">
        <v>284</v>
      </c>
      <c r="F31" s="98"/>
      <c r="G31" s="33"/>
      <c r="H31" s="340"/>
      <c r="I31" s="95">
        <v>159767</v>
      </c>
      <c r="J31" s="342"/>
      <c r="K31" s="344"/>
      <c r="L31" s="344"/>
      <c r="M31" s="344"/>
      <c r="N31" s="326" t="str" cm="1">
        <f t="array" ref="N3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1" s="352"/>
      <c r="P31" s="351"/>
      <c r="Q31" s="310" t="str" cm="1">
        <f t="array" ref="Q3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1" s="353">
        <v>4.9447007204241175E-4</v>
      </c>
      <c r="S31" s="351">
        <v>0.44250284099540799</v>
      </c>
      <c r="T31" s="326">
        <v>2.2352941176470589</v>
      </c>
      <c r="U31" s="345"/>
      <c r="V31" s="354"/>
      <c r="W31" s="354"/>
      <c r="X31" s="352"/>
      <c r="Y31" s="354"/>
      <c r="Z31" s="38"/>
      <c r="AA31" s="346" t="str" cm="1">
        <f t="array" ref="AA3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2" spans="1:27">
      <c r="A3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MZ0212</v>
      </c>
      <c r="B32" s="347" t="s">
        <v>260</v>
      </c>
      <c r="C32" s="213" t="s">
        <v>261</v>
      </c>
      <c r="D32" s="213" t="s">
        <v>285</v>
      </c>
      <c r="E32" s="103" t="s">
        <v>286</v>
      </c>
      <c r="F32" s="98"/>
      <c r="G32" s="33"/>
      <c r="H32" s="340"/>
      <c r="I32" s="95">
        <v>32120</v>
      </c>
      <c r="J32" s="342"/>
      <c r="K32" s="344"/>
      <c r="L32" s="344"/>
      <c r="M32" s="344"/>
      <c r="N32" s="326" t="str" cm="1">
        <f t="array" ref="N3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2" s="352"/>
      <c r="P32" s="351"/>
      <c r="Q32" s="310" t="str" cm="1">
        <f t="array" ref="Q3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2" s="353">
        <v>1.5691158156911581E-2</v>
      </c>
      <c r="S32" s="351">
        <v>0.45698387432010296</v>
      </c>
      <c r="T32" s="326">
        <v>2.8235294117647061</v>
      </c>
      <c r="U32" s="345"/>
      <c r="V32" s="354">
        <v>0.62</v>
      </c>
      <c r="W32" s="354">
        <v>0.14299999999999999</v>
      </c>
      <c r="X32" s="352">
        <v>0.2</v>
      </c>
      <c r="Y32" s="354">
        <v>3.6999999999999998E-2</v>
      </c>
      <c r="Z32" s="38"/>
      <c r="AA32" s="346" cm="1">
        <f t="array" ref="AA3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33" spans="1:27" ht="27.95">
      <c r="A3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MZ0213</v>
      </c>
      <c r="B33" s="347" t="s">
        <v>260</v>
      </c>
      <c r="C33" s="213" t="s">
        <v>261</v>
      </c>
      <c r="D33" s="213" t="s">
        <v>287</v>
      </c>
      <c r="E33" s="103" t="s">
        <v>288</v>
      </c>
      <c r="F33" s="98"/>
      <c r="G33" s="33"/>
      <c r="H33" s="340"/>
      <c r="I33" s="95">
        <v>25433</v>
      </c>
      <c r="J33" s="342"/>
      <c r="K33" s="344"/>
      <c r="L33" s="344"/>
      <c r="M33" s="344"/>
      <c r="N33" s="326" t="str" cm="1">
        <f t="array" ref="N3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3" s="352"/>
      <c r="P33" s="351"/>
      <c r="Q33" s="310" t="str" cm="1">
        <f t="array" ref="Q3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3" s="353">
        <v>1.7772185742932409E-2</v>
      </c>
      <c r="S33" s="351">
        <v>0.4775574550299313</v>
      </c>
      <c r="T33" s="326">
        <v>2.8235294117647061</v>
      </c>
      <c r="U33" s="345"/>
      <c r="V33" s="354"/>
      <c r="W33" s="354"/>
      <c r="X33" s="352"/>
      <c r="Y33" s="354"/>
      <c r="Z33" s="38"/>
      <c r="AA33" s="346" t="str" cm="1">
        <f t="array" ref="AA3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4" spans="1:27">
      <c r="A3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MZ0214</v>
      </c>
      <c r="B34" s="347" t="s">
        <v>260</v>
      </c>
      <c r="C34" s="213" t="s">
        <v>261</v>
      </c>
      <c r="D34" s="213" t="s">
        <v>289</v>
      </c>
      <c r="E34" s="103" t="s">
        <v>290</v>
      </c>
      <c r="F34" s="98"/>
      <c r="G34" s="33"/>
      <c r="H34" s="340"/>
      <c r="I34" s="95">
        <v>40871</v>
      </c>
      <c r="J34" s="342"/>
      <c r="K34" s="344"/>
      <c r="L34" s="344"/>
      <c r="M34" s="344"/>
      <c r="N34" s="326" t="str" cm="1">
        <f t="array" ref="N3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4" s="352"/>
      <c r="P34" s="351"/>
      <c r="Q34" s="310" t="str" cm="1">
        <f t="array" ref="Q3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4" s="353">
        <v>1.1083653446208803E-2</v>
      </c>
      <c r="S34" s="351">
        <v>0.46672096192767065</v>
      </c>
      <c r="T34" s="326">
        <v>2.8235294117647061</v>
      </c>
      <c r="U34" s="345"/>
      <c r="V34" s="354">
        <v>0.46100000000000002</v>
      </c>
      <c r="W34" s="354">
        <v>0.17899999999999999</v>
      </c>
      <c r="X34" s="352">
        <v>0.31900000000000001</v>
      </c>
      <c r="Y34" s="354">
        <v>4.1000000000000002E-2</v>
      </c>
      <c r="Z34" s="38"/>
      <c r="AA34" s="346" cm="1">
        <f t="array" ref="AA3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35" spans="1:27" ht="27.95">
      <c r="A3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MZ0301</v>
      </c>
      <c r="B35" s="347" t="s">
        <v>291</v>
      </c>
      <c r="C35" s="213" t="s">
        <v>292</v>
      </c>
      <c r="D35" s="213" t="s">
        <v>293</v>
      </c>
      <c r="E35" s="103" t="s">
        <v>294</v>
      </c>
      <c r="F35" s="98"/>
      <c r="G35" s="33"/>
      <c r="H35" s="340"/>
      <c r="I35" s="95">
        <v>103874</v>
      </c>
      <c r="J35" s="342"/>
      <c r="K35" s="344"/>
      <c r="L35" s="344"/>
      <c r="M35" s="344"/>
      <c r="N35" s="326" t="str" cm="1">
        <f t="array" ref="N3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5" s="352"/>
      <c r="P35" s="351"/>
      <c r="Q35" s="310" t="str" cm="1">
        <f t="array" ref="Q3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5" s="353">
        <v>4.9771838958738469E-3</v>
      </c>
      <c r="S35" s="351">
        <v>0.40338403397613393</v>
      </c>
      <c r="T35" s="326">
        <v>2.2352941176470589</v>
      </c>
      <c r="U35" s="345"/>
      <c r="V35" s="354"/>
      <c r="W35" s="354"/>
      <c r="X35" s="352"/>
      <c r="Y35" s="354"/>
      <c r="Z35" s="38"/>
      <c r="AA35" s="346" t="str" cm="1">
        <f t="array" ref="AA3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6" spans="1:27">
      <c r="A3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MZ0302</v>
      </c>
      <c r="B36" s="347" t="s">
        <v>291</v>
      </c>
      <c r="C36" s="213" t="s">
        <v>292</v>
      </c>
      <c r="D36" s="213" t="s">
        <v>295</v>
      </c>
      <c r="E36" s="103" t="s">
        <v>296</v>
      </c>
      <c r="F36" s="98"/>
      <c r="G36" s="33"/>
      <c r="H36" s="340"/>
      <c r="I36" s="95">
        <v>49387</v>
      </c>
      <c r="J36" s="342"/>
      <c r="K36" s="344"/>
      <c r="L36" s="344"/>
      <c r="M36" s="344"/>
      <c r="N36" s="326" t="str" cm="1">
        <f t="array" ref="N3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6" s="352"/>
      <c r="P36" s="351"/>
      <c r="Q36" s="310" t="str" cm="1">
        <f t="array" ref="Q3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6" s="353">
        <v>8.5650069856439952E-3</v>
      </c>
      <c r="S36" s="351">
        <v>0.36354791273921955</v>
      </c>
      <c r="T36" s="326">
        <v>2.2352941176470589</v>
      </c>
      <c r="U36" s="345"/>
      <c r="V36" s="354">
        <v>0.91500000000000004</v>
      </c>
      <c r="W36" s="354">
        <v>6.4000000000000001E-2</v>
      </c>
      <c r="X36" s="352">
        <v>1.4E-2</v>
      </c>
      <c r="Y36" s="354">
        <v>7.0000000000000001E-3</v>
      </c>
      <c r="Z36" s="38"/>
      <c r="AA36" s="346" cm="1">
        <f t="array" ref="AA3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37" spans="1:27">
      <c r="A3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MZ0303</v>
      </c>
      <c r="B37" s="347" t="s">
        <v>291</v>
      </c>
      <c r="C37" s="213" t="s">
        <v>292</v>
      </c>
      <c r="D37" s="213" t="s">
        <v>297</v>
      </c>
      <c r="E37" s="103" t="s">
        <v>298</v>
      </c>
      <c r="F37" s="98"/>
      <c r="G37" s="33"/>
      <c r="H37" s="340"/>
      <c r="I37" s="95">
        <v>41456</v>
      </c>
      <c r="J37" s="342"/>
      <c r="K37" s="344"/>
      <c r="L37" s="344"/>
      <c r="M37" s="344"/>
      <c r="N37" s="326" t="str" cm="1">
        <f t="array" ref="N3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7" s="352"/>
      <c r="P37" s="351"/>
      <c r="Q37" s="310" t="str" cm="1">
        <f t="array" ref="Q3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7" s="353">
        <v>1.4014859127749904E-2</v>
      </c>
      <c r="S37" s="351">
        <v>0.38526549295733764</v>
      </c>
      <c r="T37" s="326">
        <v>2.8235294117647061</v>
      </c>
      <c r="U37" s="345"/>
      <c r="V37" s="354">
        <v>0.56299999999999994</v>
      </c>
      <c r="W37" s="354">
        <v>0.17799999999999999</v>
      </c>
      <c r="X37" s="352">
        <v>0.23899999999999999</v>
      </c>
      <c r="Y37" s="354">
        <v>2.1000000000000001E-2</v>
      </c>
      <c r="Z37" s="38"/>
      <c r="AA37" s="346" cm="1">
        <f t="array" ref="AA3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38" spans="1:27">
      <c r="A3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MZ0304</v>
      </c>
      <c r="B38" s="347" t="s">
        <v>291</v>
      </c>
      <c r="C38" s="213" t="s">
        <v>292</v>
      </c>
      <c r="D38" s="213" t="s">
        <v>299</v>
      </c>
      <c r="E38" s="103" t="s">
        <v>300</v>
      </c>
      <c r="F38" s="98"/>
      <c r="G38" s="33"/>
      <c r="H38" s="340"/>
      <c r="I38" s="95">
        <v>130957</v>
      </c>
      <c r="J38" s="342"/>
      <c r="K38" s="344"/>
      <c r="L38" s="344"/>
      <c r="M38" s="344"/>
      <c r="N38" s="326" t="str" cm="1">
        <f t="array" ref="N3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8" s="352"/>
      <c r="P38" s="351"/>
      <c r="Q38" s="310" t="str" cm="1">
        <f t="array" ref="Q3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8" s="353">
        <v>4.8871003459150712E-4</v>
      </c>
      <c r="S38" s="351">
        <v>0.3760033764275128</v>
      </c>
      <c r="T38" s="326">
        <v>2.2352941176470589</v>
      </c>
      <c r="U38" s="345"/>
      <c r="V38" s="354"/>
      <c r="W38" s="354"/>
      <c r="X38" s="352"/>
      <c r="Y38" s="354"/>
      <c r="Z38" s="38"/>
      <c r="AA38" s="346" t="str" cm="1">
        <f t="array" ref="AA3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9" spans="1:27">
      <c r="A3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MZ0305</v>
      </c>
      <c r="B39" s="347" t="s">
        <v>291</v>
      </c>
      <c r="C39" s="213" t="s">
        <v>292</v>
      </c>
      <c r="D39" s="213" t="s">
        <v>301</v>
      </c>
      <c r="E39" s="103" t="s">
        <v>302</v>
      </c>
      <c r="F39" s="98"/>
      <c r="G39" s="33"/>
      <c r="H39" s="340"/>
      <c r="I39" s="95">
        <v>128419</v>
      </c>
      <c r="J39" s="342"/>
      <c r="K39" s="344"/>
      <c r="L39" s="344"/>
      <c r="M39" s="344"/>
      <c r="N39" s="326" t="str" cm="1">
        <f t="array" ref="N3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9" s="352"/>
      <c r="P39" s="351"/>
      <c r="Q39" s="310" t="str" cm="1">
        <f t="array" ref="Q3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9" s="353">
        <v>2.5697132044323659E-3</v>
      </c>
      <c r="S39" s="351">
        <v>0.42103104657068768</v>
      </c>
      <c r="T39" s="326">
        <v>2.2352941176470589</v>
      </c>
      <c r="U39" s="345"/>
      <c r="V39" s="354"/>
      <c r="W39" s="354"/>
      <c r="X39" s="352"/>
      <c r="Y39" s="354"/>
      <c r="Z39" s="38"/>
      <c r="AA39" s="346" t="str" cm="1">
        <f t="array" ref="AA3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0" spans="1:27">
      <c r="A4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MZ0306</v>
      </c>
      <c r="B40" s="347" t="s">
        <v>291</v>
      </c>
      <c r="C40" s="213" t="s">
        <v>292</v>
      </c>
      <c r="D40" s="213" t="s">
        <v>303</v>
      </c>
      <c r="E40" s="103" t="s">
        <v>304</v>
      </c>
      <c r="F40" s="98"/>
      <c r="G40" s="33"/>
      <c r="H40" s="340"/>
      <c r="I40" s="95">
        <v>65733</v>
      </c>
      <c r="J40" s="342"/>
      <c r="K40" s="344"/>
      <c r="L40" s="344"/>
      <c r="M40" s="344"/>
      <c r="N40" s="326" t="str" cm="1">
        <f t="array" ref="N4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0" s="352"/>
      <c r="P40" s="351"/>
      <c r="Q40" s="310" t="str" cm="1">
        <f t="array" ref="Q4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0" s="353">
        <v>3.5294296624222231E-3</v>
      </c>
      <c r="S40" s="351">
        <v>0.40184554875825962</v>
      </c>
      <c r="T40" s="326">
        <v>2.2352941176470589</v>
      </c>
      <c r="U40" s="345"/>
      <c r="V40" s="354"/>
      <c r="W40" s="354"/>
      <c r="X40" s="352"/>
      <c r="Y40" s="354"/>
      <c r="Z40" s="38"/>
      <c r="AA40" s="346" t="str" cm="1">
        <f t="array" ref="AA4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1" spans="1:27">
      <c r="A4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MZ0307</v>
      </c>
      <c r="B41" s="347" t="s">
        <v>291</v>
      </c>
      <c r="C41" s="213" t="s">
        <v>292</v>
      </c>
      <c r="D41" s="213" t="s">
        <v>305</v>
      </c>
      <c r="E41" s="103" t="s">
        <v>306</v>
      </c>
      <c r="F41" s="98"/>
      <c r="G41" s="33"/>
      <c r="H41" s="340"/>
      <c r="I41" s="95">
        <v>119100</v>
      </c>
      <c r="J41" s="342"/>
      <c r="K41" s="344"/>
      <c r="L41" s="344"/>
      <c r="M41" s="344"/>
      <c r="N41" s="326" t="str" cm="1">
        <f t="array" ref="N4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1" s="352"/>
      <c r="P41" s="351"/>
      <c r="Q41" s="310" t="str" cm="1">
        <f t="array" ref="Q4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1" s="353">
        <v>2.3677581863979849E-3</v>
      </c>
      <c r="S41" s="351">
        <v>0.37606514356560677</v>
      </c>
      <c r="T41" s="326">
        <v>2.2352941176470589</v>
      </c>
      <c r="U41" s="345"/>
      <c r="V41" s="354"/>
      <c r="W41" s="354"/>
      <c r="X41" s="352"/>
      <c r="Y41" s="354"/>
      <c r="Z41" s="38"/>
      <c r="AA41" s="346" t="str" cm="1">
        <f t="array" ref="AA4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2" spans="1:27">
      <c r="A4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MZ0308</v>
      </c>
      <c r="B42" s="347" t="s">
        <v>291</v>
      </c>
      <c r="C42" s="213" t="s">
        <v>292</v>
      </c>
      <c r="D42" s="213" t="s">
        <v>307</v>
      </c>
      <c r="E42" s="103" t="s">
        <v>308</v>
      </c>
      <c r="F42" s="98"/>
      <c r="G42" s="33"/>
      <c r="H42" s="340"/>
      <c r="I42" s="95">
        <v>57132</v>
      </c>
      <c r="J42" s="342"/>
      <c r="K42" s="344"/>
      <c r="L42" s="344"/>
      <c r="M42" s="344"/>
      <c r="N42" s="326" t="str" cm="1">
        <f t="array" ref="N4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2" s="352"/>
      <c r="P42" s="351"/>
      <c r="Q42" s="310" t="str" cm="1">
        <f t="array" ref="Q4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2" s="353">
        <v>7.9115031856052658E-3</v>
      </c>
      <c r="S42" s="351">
        <v>0.43932848759191051</v>
      </c>
      <c r="T42" s="326">
        <v>2.2352941176470589</v>
      </c>
      <c r="U42" s="345"/>
      <c r="V42" s="354">
        <v>0.80900000000000005</v>
      </c>
      <c r="W42" s="354">
        <v>0.11899999999999999</v>
      </c>
      <c r="X42" s="352">
        <v>0.04</v>
      </c>
      <c r="Y42" s="354">
        <v>3.2000000000000001E-2</v>
      </c>
      <c r="Z42" s="38"/>
      <c r="AA42" s="346" cm="1">
        <f t="array" ref="AA4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43" spans="1:27">
      <c r="A4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MZ0309</v>
      </c>
      <c r="B43" s="347" t="s">
        <v>291</v>
      </c>
      <c r="C43" s="213" t="s">
        <v>292</v>
      </c>
      <c r="D43" s="213" t="s">
        <v>309</v>
      </c>
      <c r="E43" s="103" t="s">
        <v>310</v>
      </c>
      <c r="F43" s="98"/>
      <c r="G43" s="33"/>
      <c r="H43" s="340"/>
      <c r="I43" s="95">
        <v>282201</v>
      </c>
      <c r="J43" s="342"/>
      <c r="K43" s="344"/>
      <c r="L43" s="344"/>
      <c r="M43" s="344"/>
      <c r="N43" s="326" t="str" cm="1">
        <f t="array" ref="N4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3" s="352"/>
      <c r="P43" s="351"/>
      <c r="Q43" s="310" t="str" cm="1">
        <f t="array" ref="Q4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3" s="353">
        <v>3.9581716577900151E-3</v>
      </c>
      <c r="S43" s="351">
        <v>0.46048558060977535</v>
      </c>
      <c r="T43" s="326">
        <v>2.2352941176470589</v>
      </c>
      <c r="U43" s="345"/>
      <c r="V43" s="354"/>
      <c r="W43" s="354"/>
      <c r="X43" s="352"/>
      <c r="Y43" s="354"/>
      <c r="Z43" s="38"/>
      <c r="AA43" s="346" t="str" cm="1">
        <f t="array" ref="AA4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4" spans="1:27">
      <c r="A4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MZ0310</v>
      </c>
      <c r="B44" s="347" t="s">
        <v>291</v>
      </c>
      <c r="C44" s="213" t="s">
        <v>292</v>
      </c>
      <c r="D44" s="213" t="s">
        <v>311</v>
      </c>
      <c r="E44" s="103" t="s">
        <v>312</v>
      </c>
      <c r="F44" s="98"/>
      <c r="G44" s="33"/>
      <c r="H44" s="340"/>
      <c r="I44" s="95">
        <v>161359</v>
      </c>
      <c r="J44" s="342"/>
      <c r="K44" s="344"/>
      <c r="L44" s="344"/>
      <c r="M44" s="344"/>
      <c r="N44" s="326" t="str" cm="1">
        <f t="array" ref="N4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4" s="352"/>
      <c r="P44" s="351"/>
      <c r="Q44" s="310" t="str" cm="1">
        <f t="array" ref="Q4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4" s="353">
        <v>2.6276811333734097E-3</v>
      </c>
      <c r="S44" s="351">
        <v>0.42825222130010848</v>
      </c>
      <c r="T44" s="326">
        <v>2.2352941176470589</v>
      </c>
      <c r="U44" s="345"/>
      <c r="V44" s="354"/>
      <c r="W44" s="354"/>
      <c r="X44" s="352"/>
      <c r="Y44" s="354"/>
      <c r="Z44" s="38"/>
      <c r="AA44" s="346" t="str" cm="1">
        <f t="array" ref="AA4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5" spans="1:27">
      <c r="A4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MZ0311</v>
      </c>
      <c r="B45" s="347" t="s">
        <v>291</v>
      </c>
      <c r="C45" s="213" t="s">
        <v>292</v>
      </c>
      <c r="D45" s="213" t="s">
        <v>313</v>
      </c>
      <c r="E45" s="103" t="s">
        <v>314</v>
      </c>
      <c r="F45" s="98"/>
      <c r="G45" s="33"/>
      <c r="H45" s="340"/>
      <c r="I45" s="95">
        <v>158553</v>
      </c>
      <c r="J45" s="342"/>
      <c r="K45" s="344"/>
      <c r="L45" s="344"/>
      <c r="M45" s="344"/>
      <c r="N45" s="326" t="str" cm="1">
        <f t="array" ref="N4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5" s="352"/>
      <c r="P45" s="351"/>
      <c r="Q45" s="310" t="str" cm="1">
        <f t="array" ref="Q4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5" s="353">
        <v>1.0785037179996595E-3</v>
      </c>
      <c r="S45" s="351">
        <v>0.33435025835342774</v>
      </c>
      <c r="T45" s="326">
        <v>2.2352941176470589</v>
      </c>
      <c r="U45" s="345"/>
      <c r="V45" s="354"/>
      <c r="W45" s="354"/>
      <c r="X45" s="352"/>
      <c r="Y45" s="354"/>
      <c r="Z45" s="38"/>
      <c r="AA45" s="346" t="str" cm="1">
        <f t="array" ref="AA4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6" spans="1:27">
      <c r="A4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MZ0312</v>
      </c>
      <c r="B46" s="347" t="s">
        <v>291</v>
      </c>
      <c r="C46" s="213" t="s">
        <v>292</v>
      </c>
      <c r="D46" s="213" t="s">
        <v>315</v>
      </c>
      <c r="E46" s="103" t="s">
        <v>316</v>
      </c>
      <c r="F46" s="98"/>
      <c r="G46" s="33"/>
      <c r="H46" s="340"/>
      <c r="I46" s="95">
        <v>48757</v>
      </c>
      <c r="J46" s="342"/>
      <c r="K46" s="344"/>
      <c r="L46" s="344"/>
      <c r="M46" s="344"/>
      <c r="N46" s="326" t="str" cm="1">
        <f t="array" ref="N4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6" s="352"/>
      <c r="P46" s="351"/>
      <c r="Q46" s="310" t="str" cm="1">
        <f t="array" ref="Q4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6" s="353">
        <v>2.1125171770207357E-3</v>
      </c>
      <c r="S46" s="351">
        <v>0.35299393589735151</v>
      </c>
      <c r="T46" s="326">
        <v>2.2352941176470589</v>
      </c>
      <c r="U46" s="345"/>
      <c r="V46" s="354">
        <v>0.747</v>
      </c>
      <c r="W46" s="354">
        <v>0.247</v>
      </c>
      <c r="X46" s="352">
        <v>1E-3</v>
      </c>
      <c r="Y46" s="354">
        <v>5.0000000000000001E-3</v>
      </c>
      <c r="Z46" s="38"/>
      <c r="AA46" s="346" cm="1">
        <f t="array" ref="AA4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47" spans="1:27">
      <c r="A4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MZ0313</v>
      </c>
      <c r="B47" s="347" t="s">
        <v>291</v>
      </c>
      <c r="C47" s="213" t="s">
        <v>292</v>
      </c>
      <c r="D47" s="213" t="s">
        <v>317</v>
      </c>
      <c r="E47" s="103" t="s">
        <v>318</v>
      </c>
      <c r="F47" s="98"/>
      <c r="G47" s="33"/>
      <c r="H47" s="340"/>
      <c r="I47" s="95">
        <v>179548</v>
      </c>
      <c r="J47" s="342"/>
      <c r="K47" s="344"/>
      <c r="L47" s="344"/>
      <c r="M47" s="344"/>
      <c r="N47" s="326" t="str" cm="1">
        <f t="array" ref="N4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7" s="352"/>
      <c r="P47" s="351"/>
      <c r="Q47" s="310" t="str" cm="1">
        <f t="array" ref="Q4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7" s="353">
        <v>8.6717757925457266E-3</v>
      </c>
      <c r="S47" s="351">
        <v>0.40149480332644671</v>
      </c>
      <c r="T47" s="326">
        <v>2.2352941176470589</v>
      </c>
      <c r="U47" s="345"/>
      <c r="V47" s="354"/>
      <c r="W47" s="354"/>
      <c r="X47" s="352"/>
      <c r="Y47" s="354"/>
      <c r="Z47" s="38"/>
      <c r="AA47" s="346" t="str" cm="1">
        <f t="array" ref="AA4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8" spans="1:27">
      <c r="A4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MZ0314</v>
      </c>
      <c r="B48" s="347" t="s">
        <v>291</v>
      </c>
      <c r="C48" s="213" t="s">
        <v>292</v>
      </c>
      <c r="D48" s="213" t="s">
        <v>319</v>
      </c>
      <c r="E48" s="103" t="s">
        <v>320</v>
      </c>
      <c r="F48" s="98"/>
      <c r="G48" s="33"/>
      <c r="H48" s="340"/>
      <c r="I48" s="95">
        <v>172377</v>
      </c>
      <c r="J48" s="342"/>
      <c r="K48" s="344"/>
      <c r="L48" s="344"/>
      <c r="M48" s="344"/>
      <c r="N48" s="326" t="str" cm="1">
        <f t="array" ref="N4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8" s="352"/>
      <c r="P48" s="351"/>
      <c r="Q48" s="310" t="str" cm="1">
        <f t="array" ref="Q4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8" s="353">
        <v>8.9919188754880293E-4</v>
      </c>
      <c r="S48" s="351">
        <v>0.36099132524620181</v>
      </c>
      <c r="T48" s="326">
        <v>2.2352941176470589</v>
      </c>
      <c r="U48" s="345"/>
      <c r="V48" s="354"/>
      <c r="W48" s="354"/>
      <c r="X48" s="352"/>
      <c r="Y48" s="354"/>
      <c r="Z48" s="38"/>
      <c r="AA48" s="346" t="str" cm="1">
        <f t="array" ref="AA4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9" spans="1:27">
      <c r="A4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MZ0401</v>
      </c>
      <c r="B49" s="347" t="s">
        <v>321</v>
      </c>
      <c r="C49" s="213" t="s">
        <v>322</v>
      </c>
      <c r="D49" s="213" t="s">
        <v>323</v>
      </c>
      <c r="E49" s="103" t="s">
        <v>324</v>
      </c>
      <c r="F49" s="98"/>
      <c r="G49" s="33"/>
      <c r="H49" s="340"/>
      <c r="I49" s="95">
        <v>254827</v>
      </c>
      <c r="J49" s="342"/>
      <c r="K49" s="344"/>
      <c r="L49" s="344"/>
      <c r="M49" s="344"/>
      <c r="N49" s="326" t="str" cm="1">
        <f t="array" ref="N4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9" s="352"/>
      <c r="P49" s="351"/>
      <c r="Q49" s="310" t="str" cm="1">
        <f t="array" ref="Q4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9" s="353">
        <v>2.7862039736762588E-4</v>
      </c>
      <c r="S49" s="351">
        <v>0.45357714572413022</v>
      </c>
      <c r="T49" s="326">
        <v>2.2352941176470589</v>
      </c>
      <c r="U49" s="345"/>
      <c r="V49" s="354"/>
      <c r="W49" s="354"/>
      <c r="X49" s="352"/>
      <c r="Y49" s="354"/>
      <c r="Z49" s="38"/>
      <c r="AA49" s="346" t="str" cm="1">
        <f t="array" ref="AA4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0" spans="1:27" ht="27.95">
      <c r="A5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MZ0402</v>
      </c>
      <c r="B50" s="347" t="s">
        <v>321</v>
      </c>
      <c r="C50" s="213" t="s">
        <v>322</v>
      </c>
      <c r="D50" s="213" t="s">
        <v>325</v>
      </c>
      <c r="E50" s="103" t="s">
        <v>326</v>
      </c>
      <c r="F50" s="98"/>
      <c r="G50" s="33"/>
      <c r="H50" s="340"/>
      <c r="I50" s="95">
        <v>548642</v>
      </c>
      <c r="J50" s="342"/>
      <c r="K50" s="344"/>
      <c r="L50" s="344"/>
      <c r="M50" s="344"/>
      <c r="N50" s="326" t="str" cm="1">
        <f t="array" ref="N5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0" s="352"/>
      <c r="P50" s="351"/>
      <c r="Q50" s="310" t="str" cm="1">
        <f t="array" ref="Q5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0" s="353">
        <v>1.6703059554317751E-2</v>
      </c>
      <c r="S50" s="351">
        <v>0.39983550840416338</v>
      </c>
      <c r="T50" s="326">
        <v>2.8235294117647061</v>
      </c>
      <c r="U50" s="345"/>
      <c r="V50" s="354"/>
      <c r="W50" s="354"/>
      <c r="X50" s="352"/>
      <c r="Y50" s="354"/>
      <c r="Z50" s="38"/>
      <c r="AA50" s="346" t="str" cm="1">
        <f t="array" ref="AA5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1" spans="1:27">
      <c r="A5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MZ0403</v>
      </c>
      <c r="B51" s="347" t="s">
        <v>321</v>
      </c>
      <c r="C51" s="213" t="s">
        <v>322</v>
      </c>
      <c r="D51" s="213" t="s">
        <v>327</v>
      </c>
      <c r="E51" s="103" t="s">
        <v>328</v>
      </c>
      <c r="F51" s="98"/>
      <c r="G51" s="33"/>
      <c r="H51" s="340"/>
      <c r="I51" s="95">
        <v>267197</v>
      </c>
      <c r="J51" s="342"/>
      <c r="K51" s="344"/>
      <c r="L51" s="344"/>
      <c r="M51" s="344"/>
      <c r="N51" s="326" t="str" cm="1">
        <f t="array" ref="N5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1" s="352"/>
      <c r="P51" s="351"/>
      <c r="Q51" s="310" t="str" cm="1">
        <f t="array" ref="Q5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1" s="353">
        <v>1.3360928453538027E-3</v>
      </c>
      <c r="S51" s="351">
        <v>0.57733613368323611</v>
      </c>
      <c r="T51" s="326">
        <v>1.8235294117647056</v>
      </c>
      <c r="U51" s="345"/>
      <c r="V51" s="354"/>
      <c r="W51" s="354"/>
      <c r="X51" s="352"/>
      <c r="Y51" s="354"/>
      <c r="Z51" s="38"/>
      <c r="AA51" s="346" t="str" cm="1">
        <f t="array" ref="AA5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2" spans="1:27">
      <c r="A5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MZ0404</v>
      </c>
      <c r="B52" s="347" t="s">
        <v>321</v>
      </c>
      <c r="C52" s="213" t="s">
        <v>322</v>
      </c>
      <c r="D52" s="213" t="s">
        <v>329</v>
      </c>
      <c r="E52" s="103" t="s">
        <v>330</v>
      </c>
      <c r="F52" s="98"/>
      <c r="G52" s="33"/>
      <c r="H52" s="340"/>
      <c r="I52" s="95">
        <v>128114</v>
      </c>
      <c r="J52" s="342"/>
      <c r="K52" s="344"/>
      <c r="L52" s="344"/>
      <c r="M52" s="344"/>
      <c r="N52" s="326" t="str" cm="1">
        <f t="array" ref="N5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2" s="352">
        <v>1.2E-2</v>
      </c>
      <c r="P52" s="351"/>
      <c r="Q52" s="310" cm="1">
        <f t="array" ref="Q5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52" s="353">
        <v>5.5887724994926396E-3</v>
      </c>
      <c r="S52" s="351">
        <v>0.43036133804022375</v>
      </c>
      <c r="T52" s="326">
        <v>2.2352941176470589</v>
      </c>
      <c r="U52" s="345"/>
      <c r="V52" s="354">
        <v>0.74399999999999999</v>
      </c>
      <c r="W52" s="354">
        <v>0.23200000000000001</v>
      </c>
      <c r="X52" s="352">
        <v>1.4E-2</v>
      </c>
      <c r="Y52" s="354">
        <v>0.01</v>
      </c>
      <c r="Z52" s="38"/>
      <c r="AA52" s="346" cm="1">
        <f t="array" ref="AA5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53" spans="1:27">
      <c r="A5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MZ0405</v>
      </c>
      <c r="B53" s="347" t="s">
        <v>321</v>
      </c>
      <c r="C53" s="213" t="s">
        <v>322</v>
      </c>
      <c r="D53" s="213" t="s">
        <v>331</v>
      </c>
      <c r="E53" s="103" t="s">
        <v>332</v>
      </c>
      <c r="F53" s="98"/>
      <c r="G53" s="33"/>
      <c r="H53" s="340"/>
      <c r="I53" s="95">
        <v>113191</v>
      </c>
      <c r="J53" s="342"/>
      <c r="K53" s="344"/>
      <c r="L53" s="344"/>
      <c r="M53" s="344"/>
      <c r="N53" s="326" t="str" cm="1">
        <f t="array" ref="N5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3" s="352"/>
      <c r="P53" s="351"/>
      <c r="Q53" s="310" t="str" cm="1">
        <f t="array" ref="Q5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3" s="353">
        <v>2.5973796503255559E-3</v>
      </c>
      <c r="S53" s="351">
        <v>0.43263906392706369</v>
      </c>
      <c r="T53" s="326">
        <v>2.2352941176470589</v>
      </c>
      <c r="U53" s="345"/>
      <c r="V53" s="354"/>
      <c r="W53" s="354"/>
      <c r="X53" s="352"/>
      <c r="Y53" s="354"/>
      <c r="Z53" s="38"/>
      <c r="AA53" s="346" t="str" cm="1">
        <f t="array" ref="AA5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4" spans="1:27">
      <c r="A5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MZ0406</v>
      </c>
      <c r="B54" s="347" t="s">
        <v>321</v>
      </c>
      <c r="C54" s="213" t="s">
        <v>322</v>
      </c>
      <c r="D54" s="213" t="s">
        <v>333</v>
      </c>
      <c r="E54" s="103" t="s">
        <v>334</v>
      </c>
      <c r="F54" s="98"/>
      <c r="G54" s="33"/>
      <c r="H54" s="340"/>
      <c r="I54" s="95">
        <v>177509</v>
      </c>
      <c r="J54" s="342"/>
      <c r="K54" s="344"/>
      <c r="L54" s="344"/>
      <c r="M54" s="344"/>
      <c r="N54" s="326" t="str" cm="1">
        <f t="array" ref="N5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4" s="352">
        <v>2.3E-2</v>
      </c>
      <c r="P54" s="351"/>
      <c r="Q54" s="310" cm="1">
        <f t="array" ref="Q5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54" s="353">
        <v>4.6532851855398882E-3</v>
      </c>
      <c r="S54" s="351">
        <v>0.49923981915251198</v>
      </c>
      <c r="T54" s="326">
        <v>2.2352941176470589</v>
      </c>
      <c r="U54" s="345"/>
      <c r="V54" s="354">
        <v>0.35199999999999998</v>
      </c>
      <c r="W54" s="354">
        <v>0.315</v>
      </c>
      <c r="X54" s="352">
        <v>0.26700000000000002</v>
      </c>
      <c r="Y54" s="354">
        <v>6.6000000000000003E-2</v>
      </c>
      <c r="Z54" s="38"/>
      <c r="AA54" s="346" cm="1">
        <f t="array" ref="AA5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55" spans="1:27">
      <c r="A5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MZ0407</v>
      </c>
      <c r="B55" s="347" t="s">
        <v>321</v>
      </c>
      <c r="C55" s="213" t="s">
        <v>322</v>
      </c>
      <c r="D55" s="213" t="s">
        <v>335</v>
      </c>
      <c r="E55" s="103" t="s">
        <v>336</v>
      </c>
      <c r="F55" s="98"/>
      <c r="G55" s="33"/>
      <c r="H55" s="340"/>
      <c r="I55" s="95">
        <v>66742</v>
      </c>
      <c r="J55" s="342"/>
      <c r="K55" s="344"/>
      <c r="L55" s="344"/>
      <c r="M55" s="344"/>
      <c r="N55" s="326" t="str" cm="1">
        <f t="array" ref="N5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5" s="352"/>
      <c r="P55" s="351">
        <v>5.2999999999999999E-2</v>
      </c>
      <c r="Q55" s="310" cm="1">
        <f t="array" ref="Q5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3</v>
      </c>
      <c r="R55" s="353">
        <v>1.0203470078810943E-2</v>
      </c>
      <c r="S55" s="351">
        <v>0.47166282154112271</v>
      </c>
      <c r="T55" s="326">
        <v>2.8235294117647061</v>
      </c>
      <c r="U55" s="345"/>
      <c r="V55" s="354">
        <v>0.71099999999999997</v>
      </c>
      <c r="W55" s="354">
        <v>0.16400000000000001</v>
      </c>
      <c r="X55" s="352">
        <v>1.6E-2</v>
      </c>
      <c r="Y55" s="354">
        <v>0.109</v>
      </c>
      <c r="Z55" s="38"/>
      <c r="AA55" s="346" cm="1">
        <f t="array" ref="AA5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56" spans="1:27">
      <c r="A5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MZ0408</v>
      </c>
      <c r="B56" s="347" t="s">
        <v>321</v>
      </c>
      <c r="C56" s="213" t="s">
        <v>322</v>
      </c>
      <c r="D56" s="213" t="s">
        <v>321</v>
      </c>
      <c r="E56" s="103" t="s">
        <v>337</v>
      </c>
      <c r="F56" s="98"/>
      <c r="G56" s="33"/>
      <c r="H56" s="340"/>
      <c r="I56" s="95">
        <v>299795</v>
      </c>
      <c r="J56" s="342"/>
      <c r="K56" s="344"/>
      <c r="L56" s="344"/>
      <c r="M56" s="344"/>
      <c r="N56" s="326" t="str" cm="1">
        <f t="array" ref="N5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6" s="352"/>
      <c r="P56" s="351"/>
      <c r="Q56" s="310" t="str" cm="1">
        <f t="array" ref="Q5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6" s="353">
        <v>4.9700628762988043E-3</v>
      </c>
      <c r="S56" s="351">
        <v>0.42332382923796807</v>
      </c>
      <c r="T56" s="326">
        <v>2.2352941176470589</v>
      </c>
      <c r="U56" s="345"/>
      <c r="V56" s="354"/>
      <c r="W56" s="354"/>
      <c r="X56" s="352"/>
      <c r="Y56" s="354"/>
      <c r="Z56" s="38"/>
      <c r="AA56" s="346" t="str" cm="1">
        <f t="array" ref="AA5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7" spans="1:27">
      <c r="A5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MZ0409</v>
      </c>
      <c r="B57" s="347" t="s">
        <v>321</v>
      </c>
      <c r="C57" s="213" t="s">
        <v>322</v>
      </c>
      <c r="D57" s="213" t="s">
        <v>338</v>
      </c>
      <c r="E57" s="103" t="s">
        <v>339</v>
      </c>
      <c r="F57" s="98"/>
      <c r="G57" s="33"/>
      <c r="H57" s="340"/>
      <c r="I57" s="95">
        <v>298897</v>
      </c>
      <c r="J57" s="342"/>
      <c r="K57" s="344"/>
      <c r="L57" s="344"/>
      <c r="M57" s="344"/>
      <c r="N57" s="326" t="str" cm="1">
        <f t="array" ref="N5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7" s="352"/>
      <c r="P57" s="351"/>
      <c r="Q57" s="310" t="str" cm="1">
        <f t="array" ref="Q5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7" s="353">
        <v>5.0853638544381507E-4</v>
      </c>
      <c r="S57" s="351">
        <v>0.53507129033035961</v>
      </c>
      <c r="T57" s="326">
        <v>1.8235294117647056</v>
      </c>
      <c r="U57" s="345"/>
      <c r="V57" s="354"/>
      <c r="W57" s="354"/>
      <c r="X57" s="352"/>
      <c r="Y57" s="354"/>
      <c r="Z57" s="38"/>
      <c r="AA57" s="346" t="str" cm="1">
        <f t="array" ref="AA5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8" spans="1:27" ht="27.95">
      <c r="A5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MZ0410</v>
      </c>
      <c r="B58" s="347" t="s">
        <v>321</v>
      </c>
      <c r="C58" s="213" t="s">
        <v>322</v>
      </c>
      <c r="D58" s="213" t="s">
        <v>340</v>
      </c>
      <c r="E58" s="103" t="s">
        <v>341</v>
      </c>
      <c r="F58" s="98"/>
      <c r="G58" s="33"/>
      <c r="H58" s="340"/>
      <c r="I58" s="95">
        <v>234153</v>
      </c>
      <c r="J58" s="342"/>
      <c r="K58" s="344"/>
      <c r="L58" s="344"/>
      <c r="M58" s="344"/>
      <c r="N58" s="326" t="str" cm="1">
        <f t="array" ref="N5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8" s="352"/>
      <c r="P58" s="351"/>
      <c r="Q58" s="310" t="str" cm="1">
        <f t="array" ref="Q5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8" s="353">
        <v>2.2250408920662986E-3</v>
      </c>
      <c r="S58" s="351">
        <v>0.44732292914384336</v>
      </c>
      <c r="T58" s="326">
        <v>2.2352941176470589</v>
      </c>
      <c r="U58" s="345"/>
      <c r="V58" s="354"/>
      <c r="W58" s="354"/>
      <c r="X58" s="352"/>
      <c r="Y58" s="354"/>
      <c r="Z58" s="38"/>
      <c r="AA58" s="346" t="str" cm="1">
        <f t="array" ref="AA5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9" spans="1:27">
      <c r="A5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MZ0411</v>
      </c>
      <c r="B59" s="347" t="s">
        <v>321</v>
      </c>
      <c r="C59" s="213" t="s">
        <v>322</v>
      </c>
      <c r="D59" s="213" t="s">
        <v>342</v>
      </c>
      <c r="E59" s="103" t="s">
        <v>343</v>
      </c>
      <c r="F59" s="98"/>
      <c r="G59" s="33"/>
      <c r="H59" s="340"/>
      <c r="I59" s="95">
        <v>68750</v>
      </c>
      <c r="J59" s="342"/>
      <c r="K59" s="344"/>
      <c r="L59" s="344"/>
      <c r="M59" s="344"/>
      <c r="N59" s="326" t="str" cm="1">
        <f t="array" ref="N5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9" s="352"/>
      <c r="P59" s="351"/>
      <c r="Q59" s="310" t="str" cm="1">
        <f t="array" ref="Q5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9" s="353">
        <v>2.8072727272727273E-3</v>
      </c>
      <c r="S59" s="351">
        <v>0.57278962750727935</v>
      </c>
      <c r="T59" s="326">
        <v>1.8235294117647056</v>
      </c>
      <c r="U59" s="345"/>
      <c r="V59" s="354">
        <v>0.246</v>
      </c>
      <c r="W59" s="354">
        <v>0.24399999999999999</v>
      </c>
      <c r="X59" s="352">
        <v>0.33300000000000002</v>
      </c>
      <c r="Y59" s="354">
        <v>0.17699999999999999</v>
      </c>
      <c r="Z59" s="38"/>
      <c r="AA59" s="346" cm="1">
        <f t="array" ref="AA5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60" spans="1:27">
      <c r="A6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MZ0412</v>
      </c>
      <c r="B60" s="347" t="s">
        <v>321</v>
      </c>
      <c r="C60" s="213" t="s">
        <v>322</v>
      </c>
      <c r="D60" s="213" t="s">
        <v>344</v>
      </c>
      <c r="E60" s="103" t="s">
        <v>345</v>
      </c>
      <c r="F60" s="98"/>
      <c r="G60" s="33"/>
      <c r="H60" s="340"/>
      <c r="I60" s="95">
        <v>157014</v>
      </c>
      <c r="J60" s="342"/>
      <c r="K60" s="344"/>
      <c r="L60" s="344"/>
      <c r="M60" s="344"/>
      <c r="N60" s="326" t="str" cm="1">
        <f t="array" ref="N6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0" s="352"/>
      <c r="P60" s="351"/>
      <c r="Q60" s="310" t="str" cm="1">
        <f t="array" ref="Q6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0" s="353">
        <v>3.6812004025118779E-3</v>
      </c>
      <c r="S60" s="351">
        <v>0.58547716055291443</v>
      </c>
      <c r="T60" s="326">
        <v>1.8235294117647056</v>
      </c>
      <c r="U60" s="345"/>
      <c r="V60" s="354"/>
      <c r="W60" s="354"/>
      <c r="X60" s="352"/>
      <c r="Y60" s="354"/>
      <c r="Z60" s="38"/>
      <c r="AA60" s="346" t="str" cm="1">
        <f t="array" ref="AA6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1" spans="1:27">
      <c r="A6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MZ0501</v>
      </c>
      <c r="B61" s="347" t="s">
        <v>346</v>
      </c>
      <c r="C61" s="213" t="s">
        <v>347</v>
      </c>
      <c r="D61" s="213" t="s">
        <v>348</v>
      </c>
      <c r="E61" s="103" t="s">
        <v>349</v>
      </c>
      <c r="F61" s="98"/>
      <c r="G61" s="33"/>
      <c r="H61" s="340"/>
      <c r="I61" s="95">
        <v>270319</v>
      </c>
      <c r="J61" s="342"/>
      <c r="K61" s="344"/>
      <c r="L61" s="344"/>
      <c r="M61" s="344"/>
      <c r="N61" s="326" t="str" cm="1">
        <f t="array" ref="N6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1" s="352"/>
      <c r="P61" s="351"/>
      <c r="Q61" s="310" t="str" cm="1">
        <f t="array" ref="Q6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1" s="353">
        <v>6.5256234300955542E-3</v>
      </c>
      <c r="S61" s="351">
        <v>0.3032348088513836</v>
      </c>
      <c r="T61" s="326">
        <v>2.2352941176470589</v>
      </c>
      <c r="U61" s="345"/>
      <c r="V61" s="354"/>
      <c r="W61" s="354"/>
      <c r="X61" s="352"/>
      <c r="Y61" s="354"/>
      <c r="Z61" s="38"/>
      <c r="AA61" s="346" t="str" cm="1">
        <f t="array" ref="AA6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2" spans="1:27" ht="27.95">
      <c r="A6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MZ0502</v>
      </c>
      <c r="B62" s="347" t="s">
        <v>346</v>
      </c>
      <c r="C62" s="213" t="s">
        <v>347</v>
      </c>
      <c r="D62" s="213" t="s">
        <v>350</v>
      </c>
      <c r="E62" s="103" t="s">
        <v>351</v>
      </c>
      <c r="F62" s="98"/>
      <c r="G62" s="33"/>
      <c r="H62" s="340"/>
      <c r="I62" s="95">
        <v>1384147</v>
      </c>
      <c r="J62" s="342"/>
      <c r="K62" s="344"/>
      <c r="L62" s="344"/>
      <c r="M62" s="344"/>
      <c r="N62" s="326" t="str" cm="1">
        <f t="array" ref="N6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2" s="352"/>
      <c r="P62" s="351"/>
      <c r="Q62" s="310" t="str" cm="1">
        <f t="array" ref="Q6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2" s="353">
        <v>9.5726826702655142E-4</v>
      </c>
      <c r="S62" s="351">
        <v>2.5678387001950173E-2</v>
      </c>
      <c r="T62" s="326">
        <v>2.6470588235294117</v>
      </c>
      <c r="U62" s="345"/>
      <c r="V62" s="354"/>
      <c r="W62" s="354"/>
      <c r="X62" s="352"/>
      <c r="Y62" s="354"/>
      <c r="Z62" s="38"/>
      <c r="AA62" s="346" t="str" cm="1">
        <f t="array" ref="AA6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3" spans="1:27">
      <c r="A6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MZ0503</v>
      </c>
      <c r="B63" s="347" t="s">
        <v>346</v>
      </c>
      <c r="C63" s="213" t="s">
        <v>347</v>
      </c>
      <c r="D63" s="213" t="s">
        <v>352</v>
      </c>
      <c r="E63" s="103" t="s">
        <v>353</v>
      </c>
      <c r="F63" s="98"/>
      <c r="G63" s="33"/>
      <c r="H63" s="340"/>
      <c r="I63" s="95">
        <v>73471</v>
      </c>
      <c r="J63" s="342"/>
      <c r="K63" s="344"/>
      <c r="L63" s="344"/>
      <c r="M63" s="344"/>
      <c r="N63" s="326" t="str" cm="1">
        <f t="array" ref="N6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3" s="352"/>
      <c r="P63" s="351"/>
      <c r="Q63" s="310" t="str" cm="1">
        <f t="array" ref="Q6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3" s="353">
        <v>2.8242435790992365E-2</v>
      </c>
      <c r="S63" s="351">
        <v>1.5674674216732818</v>
      </c>
      <c r="T63" s="326">
        <v>1.5882352941176472</v>
      </c>
      <c r="U63" s="345"/>
      <c r="V63" s="354">
        <v>0.68600000000000005</v>
      </c>
      <c r="W63" s="354">
        <v>0.17699999999999999</v>
      </c>
      <c r="X63" s="352">
        <v>0.114</v>
      </c>
      <c r="Y63" s="354">
        <v>2.3E-2</v>
      </c>
      <c r="Z63" s="38"/>
      <c r="AA63" s="346" cm="1">
        <f t="array" ref="AA6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64" spans="1:27">
      <c r="A6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MZ0504</v>
      </c>
      <c r="B64" s="347" t="s">
        <v>346</v>
      </c>
      <c r="C64" s="213" t="s">
        <v>347</v>
      </c>
      <c r="D64" s="213" t="s">
        <v>354</v>
      </c>
      <c r="E64" s="103" t="s">
        <v>355</v>
      </c>
      <c r="F64" s="98"/>
      <c r="G64" s="33"/>
      <c r="H64" s="340"/>
      <c r="I64" s="95">
        <v>248437</v>
      </c>
      <c r="J64" s="342"/>
      <c r="K64" s="344"/>
      <c r="L64" s="344"/>
      <c r="M64" s="344"/>
      <c r="N64" s="326" t="str" cm="1">
        <f t="array" ref="N6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4" s="352"/>
      <c r="P64" s="351"/>
      <c r="Q64" s="310" t="str" cm="1">
        <f t="array" ref="Q6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4" s="353">
        <v>4.6249149683823265E-3</v>
      </c>
      <c r="S64" s="351">
        <v>0.42941217361799933</v>
      </c>
      <c r="T64" s="326">
        <v>2.2352941176470589</v>
      </c>
      <c r="U64" s="345"/>
      <c r="V64" s="354">
        <v>0.78500000000000003</v>
      </c>
      <c r="W64" s="354">
        <v>0.16200000000000001</v>
      </c>
      <c r="X64" s="352">
        <v>4.5999999999999999E-2</v>
      </c>
      <c r="Y64" s="354">
        <v>8.0000000000000002E-3</v>
      </c>
      <c r="Z64" s="38"/>
      <c r="AA64" s="346" cm="1">
        <f t="array" ref="AA6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65" spans="1:27">
      <c r="A6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MZ0505</v>
      </c>
      <c r="B65" s="347" t="s">
        <v>346</v>
      </c>
      <c r="C65" s="213" t="s">
        <v>347</v>
      </c>
      <c r="D65" s="213" t="s">
        <v>356</v>
      </c>
      <c r="E65" s="103" t="s">
        <v>357</v>
      </c>
      <c r="F65" s="98"/>
      <c r="G65" s="33"/>
      <c r="H65" s="340"/>
      <c r="I65" s="95">
        <v>284675</v>
      </c>
      <c r="J65" s="342"/>
      <c r="K65" s="344"/>
      <c r="L65" s="344"/>
      <c r="M65" s="344"/>
      <c r="N65" s="326" t="str" cm="1">
        <f t="array" ref="N6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5" s="352"/>
      <c r="P65" s="351"/>
      <c r="Q65" s="310" t="str" cm="1">
        <f t="array" ref="Q6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5" s="353">
        <v>3.865109335206815E-2</v>
      </c>
      <c r="S65" s="351">
        <v>0.82653907486368838</v>
      </c>
      <c r="T65" s="326">
        <v>1.5882352941176472</v>
      </c>
      <c r="U65" s="345"/>
      <c r="V65" s="354"/>
      <c r="W65" s="354"/>
      <c r="X65" s="352"/>
      <c r="Y65" s="354"/>
      <c r="Z65" s="38"/>
      <c r="AA65" s="346" t="str" cm="1">
        <f t="array" ref="AA6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6" spans="1:27">
      <c r="A6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MZ0506</v>
      </c>
      <c r="B66" s="347" t="s">
        <v>346</v>
      </c>
      <c r="C66" s="213" t="s">
        <v>347</v>
      </c>
      <c r="D66" s="213" t="s">
        <v>358</v>
      </c>
      <c r="E66" s="103" t="s">
        <v>359</v>
      </c>
      <c r="F66" s="98"/>
      <c r="G66" s="33"/>
      <c r="H66" s="340"/>
      <c r="I66" s="95">
        <v>53924</v>
      </c>
      <c r="J66" s="342"/>
      <c r="K66" s="344"/>
      <c r="L66" s="344"/>
      <c r="M66" s="344"/>
      <c r="N66" s="326" t="str" cm="1">
        <f t="array" ref="N6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6" s="352"/>
      <c r="P66" s="351"/>
      <c r="Q66" s="310" t="str" cm="1">
        <f t="array" ref="Q6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6" s="353">
        <v>1.1182404866107856E-2</v>
      </c>
      <c r="S66" s="351">
        <v>0.44427990160335068</v>
      </c>
      <c r="T66" s="326">
        <v>2.8235294117647061</v>
      </c>
      <c r="U66" s="345"/>
      <c r="V66" s="354">
        <v>0.69699999999999995</v>
      </c>
      <c r="W66" s="354">
        <v>0.16700000000000001</v>
      </c>
      <c r="X66" s="352">
        <v>0.11</v>
      </c>
      <c r="Y66" s="354">
        <v>2.5000000000000001E-2</v>
      </c>
      <c r="Z66" s="38"/>
      <c r="AA66" s="346" cm="1">
        <f t="array" ref="AA6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67" spans="1:27">
      <c r="A6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MZ0507</v>
      </c>
      <c r="B67" s="347" t="s">
        <v>346</v>
      </c>
      <c r="C67" s="213" t="s">
        <v>347</v>
      </c>
      <c r="D67" s="213" t="s">
        <v>360</v>
      </c>
      <c r="E67" s="103" t="s">
        <v>361</v>
      </c>
      <c r="F67" s="98"/>
      <c r="G67" s="33"/>
      <c r="H67" s="340"/>
      <c r="I67" s="95">
        <v>109873</v>
      </c>
      <c r="J67" s="342"/>
      <c r="K67" s="344"/>
      <c r="L67" s="344"/>
      <c r="M67" s="344"/>
      <c r="N67" s="326" t="str" cm="1">
        <f t="array" ref="N6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7" s="352"/>
      <c r="P67" s="351"/>
      <c r="Q67" s="310" t="str" cm="1">
        <f t="array" ref="Q6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7" s="353">
        <v>2.3982234033839069E-2</v>
      </c>
      <c r="S67" s="351">
        <v>0.39528776090706719</v>
      </c>
      <c r="T67" s="326">
        <v>2.8235294117647061</v>
      </c>
      <c r="U67" s="345"/>
      <c r="V67" s="354">
        <v>0.51500000000000001</v>
      </c>
      <c r="W67" s="354">
        <v>0.38100000000000001</v>
      </c>
      <c r="X67" s="352">
        <v>0.06</v>
      </c>
      <c r="Y67" s="354">
        <v>4.3999999999999997E-2</v>
      </c>
      <c r="Z67" s="38"/>
      <c r="AA67" s="346" cm="1">
        <f t="array" ref="AA6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68" spans="1:27">
      <c r="A6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MZ0508</v>
      </c>
      <c r="B68" s="347" t="s">
        <v>346</v>
      </c>
      <c r="C68" s="213" t="s">
        <v>347</v>
      </c>
      <c r="D68" s="213" t="s">
        <v>362</v>
      </c>
      <c r="E68" s="103" t="s">
        <v>363</v>
      </c>
      <c r="F68" s="98"/>
      <c r="G68" s="33"/>
      <c r="H68" s="340"/>
      <c r="I68" s="95">
        <v>58385</v>
      </c>
      <c r="J68" s="342"/>
      <c r="K68" s="344"/>
      <c r="L68" s="344"/>
      <c r="M68" s="344"/>
      <c r="N68" s="326" t="str" cm="1">
        <f t="array" ref="N6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8" s="352"/>
      <c r="P68" s="351"/>
      <c r="Q68" s="310" t="str" cm="1">
        <f t="array" ref="Q6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8" s="353">
        <v>1.4078958636636123E-2</v>
      </c>
      <c r="S68" s="351">
        <v>0.3761856279587677</v>
      </c>
      <c r="T68" s="326">
        <v>2.8235294117647061</v>
      </c>
      <c r="U68" s="345"/>
      <c r="V68" s="354"/>
      <c r="W68" s="354"/>
      <c r="X68" s="352"/>
      <c r="Y68" s="354"/>
      <c r="Z68" s="38"/>
      <c r="AA68" s="346" t="str" cm="1">
        <f t="array" ref="AA6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9" spans="1:27" ht="27.95">
      <c r="A6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MZ0601</v>
      </c>
      <c r="B69" s="347" t="s">
        <v>364</v>
      </c>
      <c r="C69" s="213" t="s">
        <v>365</v>
      </c>
      <c r="D69" s="213" t="s">
        <v>366</v>
      </c>
      <c r="E69" s="103" t="s">
        <v>367</v>
      </c>
      <c r="F69" s="98"/>
      <c r="G69" s="33"/>
      <c r="H69" s="340"/>
      <c r="I69" s="95">
        <v>1327194</v>
      </c>
      <c r="J69" s="342"/>
      <c r="K69" s="344"/>
      <c r="L69" s="344"/>
      <c r="M69" s="344"/>
      <c r="N69" s="326" t="str" cm="1">
        <f t="array" ref="N6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9" s="352"/>
      <c r="P69" s="351"/>
      <c r="Q69" s="310" t="str" cm="1">
        <f t="array" ref="Q6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9" s="353"/>
      <c r="S69" s="351"/>
      <c r="T69" s="326"/>
      <c r="U69" s="345"/>
      <c r="V69" s="354">
        <v>0.48799999999999999</v>
      </c>
      <c r="W69" s="354">
        <v>0.23499999999999999</v>
      </c>
      <c r="X69" s="352">
        <v>0.245</v>
      </c>
      <c r="Y69" s="354">
        <v>3.2000000000000001E-2</v>
      </c>
      <c r="Z69" s="38"/>
      <c r="AA69" s="346" cm="1">
        <f t="array" ref="AA6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70" spans="1:27">
      <c r="A7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MZ0701</v>
      </c>
      <c r="B70" s="347" t="s">
        <v>183</v>
      </c>
      <c r="C70" s="213" t="s">
        <v>184</v>
      </c>
      <c r="D70" s="213" t="s">
        <v>368</v>
      </c>
      <c r="E70" s="103" t="s">
        <v>369</v>
      </c>
      <c r="F70" s="98"/>
      <c r="G70" s="33"/>
      <c r="H70" s="340"/>
      <c r="I70" s="95">
        <v>450762</v>
      </c>
      <c r="J70" s="342"/>
      <c r="K70" s="344"/>
      <c r="L70" s="344"/>
      <c r="M70" s="344"/>
      <c r="N70" s="326" t="str" cm="1">
        <f t="array" ref="N7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0" s="352"/>
      <c r="P70" s="351">
        <v>4.3999999999999997E-2</v>
      </c>
      <c r="Q70" s="310" cm="1">
        <f t="array" ref="Q7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70" s="353">
        <v>1.2667438692702579E-3</v>
      </c>
      <c r="S70" s="351">
        <v>0.4506509818468773</v>
      </c>
      <c r="T70" s="326">
        <v>2.2352941176470589</v>
      </c>
      <c r="U70" s="345"/>
      <c r="V70" s="354">
        <v>0.60499999999999998</v>
      </c>
      <c r="W70" s="354">
        <v>0.26900000000000002</v>
      </c>
      <c r="X70" s="352">
        <v>6.7000000000000004E-2</v>
      </c>
      <c r="Y70" s="354">
        <v>5.8999999999999997E-2</v>
      </c>
      <c r="Z70" s="38"/>
      <c r="AA70" s="346" cm="1">
        <f t="array" ref="AA7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71" spans="1:27" ht="27.95">
      <c r="A7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MZ0702</v>
      </c>
      <c r="B71" s="347" t="s">
        <v>183</v>
      </c>
      <c r="C71" s="213" t="s">
        <v>184</v>
      </c>
      <c r="D71" s="213" t="s">
        <v>370</v>
      </c>
      <c r="E71" s="103" t="s">
        <v>371</v>
      </c>
      <c r="F71" s="98"/>
      <c r="G71" s="33"/>
      <c r="H71" s="340"/>
      <c r="I71" s="95">
        <v>1110373</v>
      </c>
      <c r="J71" s="342"/>
      <c r="K71" s="344"/>
      <c r="L71" s="344"/>
      <c r="M71" s="344"/>
      <c r="N71" s="326" t="str" cm="1">
        <f t="array" ref="N7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1" s="352"/>
      <c r="P71" s="351"/>
      <c r="Q71" s="310" t="str" cm="1">
        <f t="array" ref="Q7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1" s="353">
        <v>7.4515500647079859E-3</v>
      </c>
      <c r="S71" s="351">
        <v>0.42813163051565772</v>
      </c>
      <c r="T71" s="326">
        <v>2.2352941176470589</v>
      </c>
      <c r="U71" s="345"/>
      <c r="V71" s="354"/>
      <c r="W71" s="354"/>
      <c r="X71" s="352"/>
      <c r="Y71" s="354"/>
      <c r="Z71" s="38"/>
      <c r="AA71" s="346" t="str" cm="1">
        <f t="array" ref="AA7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2" spans="1:27">
      <c r="A7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MZ0703</v>
      </c>
      <c r="B72" s="347" t="s">
        <v>183</v>
      </c>
      <c r="C72" s="213" t="s">
        <v>184</v>
      </c>
      <c r="D72" s="213" t="s">
        <v>185</v>
      </c>
      <c r="E72" s="103" t="s">
        <v>182</v>
      </c>
      <c r="F72" s="98"/>
      <c r="G72" s="33"/>
      <c r="H72" s="340"/>
      <c r="I72" s="95">
        <v>513629</v>
      </c>
      <c r="J72" s="342"/>
      <c r="K72" s="344"/>
      <c r="L72" s="344"/>
      <c r="M72" s="344"/>
      <c r="N72" s="326" t="str" cm="1">
        <f t="array" ref="N7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2" s="352">
        <v>8.8999999999999996E-2</v>
      </c>
      <c r="P72" s="351"/>
      <c r="Q72" s="310" cm="1">
        <f t="array" ref="Q7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72" s="353">
        <v>2.0248077892798108E-3</v>
      </c>
      <c r="S72" s="351">
        <v>0.41565618136350857</v>
      </c>
      <c r="T72" s="326">
        <v>2.2352941176470589</v>
      </c>
      <c r="U72" s="345"/>
      <c r="V72" s="354">
        <v>0.56299999999999994</v>
      </c>
      <c r="W72" s="354">
        <v>0.16</v>
      </c>
      <c r="X72" s="352">
        <v>0.245</v>
      </c>
      <c r="Y72" s="354">
        <v>3.2000000000000001E-2</v>
      </c>
      <c r="Z72" s="38"/>
      <c r="AA72" s="346" cm="1">
        <f t="array" ref="AA7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73" spans="1:27" ht="42">
      <c r="A7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MZ0704</v>
      </c>
      <c r="B73" s="347" t="s">
        <v>183</v>
      </c>
      <c r="C73" s="213" t="s">
        <v>184</v>
      </c>
      <c r="D73" s="213" t="s">
        <v>372</v>
      </c>
      <c r="E73" s="103" t="s">
        <v>373</v>
      </c>
      <c r="F73" s="98"/>
      <c r="G73" s="33"/>
      <c r="H73" s="340"/>
      <c r="I73" s="95">
        <v>87319</v>
      </c>
      <c r="J73" s="342"/>
      <c r="K73" s="344"/>
      <c r="L73" s="344"/>
      <c r="M73" s="344"/>
      <c r="N73" s="326" t="str" cm="1">
        <f t="array" ref="N7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3" s="352"/>
      <c r="P73" s="351">
        <v>1.7999999999999999E-2</v>
      </c>
      <c r="Q73" s="310" cm="1">
        <f t="array" ref="Q7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73" s="353">
        <v>5.4054673095202651E-3</v>
      </c>
      <c r="S73" s="351">
        <v>0.68054572888752218</v>
      </c>
      <c r="T73" s="326">
        <v>1.8235294117647056</v>
      </c>
      <c r="U73" s="345"/>
      <c r="V73" s="354">
        <v>0.54300000000000004</v>
      </c>
      <c r="W73" s="354">
        <v>0.126</v>
      </c>
      <c r="X73" s="352">
        <v>0.182</v>
      </c>
      <c r="Y73" s="354">
        <v>0.14899999999999999</v>
      </c>
      <c r="Z73" s="38"/>
      <c r="AA73" s="346" cm="1">
        <f t="array" ref="AA7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74" spans="1:27">
      <c r="A7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MZ0705</v>
      </c>
      <c r="B74" s="347" t="s">
        <v>183</v>
      </c>
      <c r="C74" s="213" t="s">
        <v>184</v>
      </c>
      <c r="D74" s="213" t="s">
        <v>374</v>
      </c>
      <c r="E74" s="103" t="s">
        <v>375</v>
      </c>
      <c r="F74" s="98"/>
      <c r="G74" s="33"/>
      <c r="H74" s="340"/>
      <c r="I74" s="95">
        <v>132566</v>
      </c>
      <c r="J74" s="342"/>
      <c r="K74" s="344"/>
      <c r="L74" s="344"/>
      <c r="M74" s="344"/>
      <c r="N74" s="326" t="str" cm="1">
        <f t="array" ref="N7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4" s="352"/>
      <c r="P74" s="351"/>
      <c r="Q74" s="310" t="str" cm="1">
        <f t="array" ref="Q7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4" s="353">
        <v>6.3364663639243852E-3</v>
      </c>
      <c r="S74" s="351">
        <v>1.5980280191047365</v>
      </c>
      <c r="T74" s="326">
        <v>1</v>
      </c>
      <c r="U74" s="345"/>
      <c r="V74" s="354"/>
      <c r="W74" s="354"/>
      <c r="X74" s="352"/>
      <c r="Y74" s="354"/>
      <c r="Z74" s="38"/>
      <c r="AA74" s="346" t="str" cm="1">
        <f t="array" ref="AA7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5" spans="1:27">
      <c r="A7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MZ0706</v>
      </c>
      <c r="B75" s="347" t="s">
        <v>183</v>
      </c>
      <c r="C75" s="213" t="s">
        <v>184</v>
      </c>
      <c r="D75" s="213" t="s">
        <v>376</v>
      </c>
      <c r="E75" s="103" t="s">
        <v>377</v>
      </c>
      <c r="F75" s="98"/>
      <c r="G75" s="33"/>
      <c r="H75" s="340"/>
      <c r="I75" s="95">
        <v>123802</v>
      </c>
      <c r="J75" s="342"/>
      <c r="K75" s="344"/>
      <c r="L75" s="344"/>
      <c r="M75" s="344"/>
      <c r="N75" s="326" t="str" cm="1">
        <f t="array" ref="N7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5" s="352"/>
      <c r="P75" s="351"/>
      <c r="Q75" s="310" t="str" cm="1">
        <f t="array" ref="Q7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5" s="353">
        <v>7.4958401318233952E-3</v>
      </c>
      <c r="S75" s="351">
        <v>1.1434093013338753</v>
      </c>
      <c r="T75" s="326">
        <v>1</v>
      </c>
      <c r="U75" s="345"/>
      <c r="V75" s="354"/>
      <c r="W75" s="354"/>
      <c r="X75" s="352"/>
      <c r="Y75" s="354"/>
      <c r="Z75" s="38"/>
      <c r="AA75" s="346" t="str" cm="1">
        <f t="array" ref="AA7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6" spans="1:27">
      <c r="A7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MZ0707</v>
      </c>
      <c r="B76" s="347" t="s">
        <v>183</v>
      </c>
      <c r="C76" s="213" t="s">
        <v>184</v>
      </c>
      <c r="D76" s="213" t="s">
        <v>378</v>
      </c>
      <c r="E76" s="103" t="s">
        <v>379</v>
      </c>
      <c r="F76" s="98"/>
      <c r="G76" s="33"/>
      <c r="H76" s="340"/>
      <c r="I76" s="95">
        <v>114176</v>
      </c>
      <c r="J76" s="342"/>
      <c r="K76" s="344"/>
      <c r="L76" s="344"/>
      <c r="M76" s="344"/>
      <c r="N76" s="326" t="str" cm="1">
        <f t="array" ref="N7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6" s="352"/>
      <c r="P76" s="351"/>
      <c r="Q76" s="310" t="str" cm="1">
        <f t="array" ref="Q7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6" s="353">
        <v>9.5466647982062785E-4</v>
      </c>
      <c r="S76" s="351">
        <v>0.51064812948636795</v>
      </c>
      <c r="T76" s="326">
        <v>2.2352941176470589</v>
      </c>
      <c r="U76" s="345"/>
      <c r="V76" s="354"/>
      <c r="W76" s="354"/>
      <c r="X76" s="352"/>
      <c r="Y76" s="354"/>
      <c r="Z76" s="38"/>
      <c r="AA76" s="346" t="str" cm="1">
        <f t="array" ref="AA7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7" spans="1:27">
      <c r="A7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MZ0708</v>
      </c>
      <c r="B77" s="347" t="s">
        <v>183</v>
      </c>
      <c r="C77" s="213" t="s">
        <v>184</v>
      </c>
      <c r="D77" s="213" t="s">
        <v>380</v>
      </c>
      <c r="E77" s="103" t="s">
        <v>381</v>
      </c>
      <c r="F77" s="98"/>
      <c r="G77" s="33"/>
      <c r="H77" s="340"/>
      <c r="I77" s="95">
        <v>278852</v>
      </c>
      <c r="J77" s="342"/>
      <c r="K77" s="344"/>
      <c r="L77" s="344"/>
      <c r="M77" s="344"/>
      <c r="N77" s="326" t="str" cm="1">
        <f t="array" ref="N7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7" s="352"/>
      <c r="P77" s="351"/>
      <c r="Q77" s="310" t="str" cm="1">
        <f t="array" ref="Q7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7" s="353">
        <v>4.4611478490381995E-3</v>
      </c>
      <c r="S77" s="351">
        <v>0.47192911555440975</v>
      </c>
      <c r="T77" s="326">
        <v>2.2352941176470589</v>
      </c>
      <c r="U77" s="345"/>
      <c r="V77" s="354"/>
      <c r="W77" s="354"/>
      <c r="X77" s="352"/>
      <c r="Y77" s="354"/>
      <c r="Z77" s="38"/>
      <c r="AA77" s="346" t="str" cm="1">
        <f t="array" ref="AA7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8" spans="1:27">
      <c r="A7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MZ0709</v>
      </c>
      <c r="B78" s="347" t="s">
        <v>183</v>
      </c>
      <c r="C78" s="213" t="s">
        <v>184</v>
      </c>
      <c r="D78" s="213" t="s">
        <v>382</v>
      </c>
      <c r="E78" s="103" t="s">
        <v>383</v>
      </c>
      <c r="F78" s="98"/>
      <c r="G78" s="33"/>
      <c r="H78" s="340"/>
      <c r="I78" s="95">
        <v>309547</v>
      </c>
      <c r="J78" s="342"/>
      <c r="K78" s="344"/>
      <c r="L78" s="344"/>
      <c r="M78" s="344"/>
      <c r="N78" s="326" t="str" cm="1">
        <f t="array" ref="N7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8" s="352"/>
      <c r="P78" s="351"/>
      <c r="Q78" s="310" t="str" cm="1">
        <f t="array" ref="Q7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8" s="353">
        <v>8.6901181403793281E-4</v>
      </c>
      <c r="S78" s="351">
        <v>0.40093536107654626</v>
      </c>
      <c r="T78" s="326">
        <v>2.2352941176470589</v>
      </c>
      <c r="U78" s="345"/>
      <c r="V78" s="354"/>
      <c r="W78" s="354"/>
      <c r="X78" s="352"/>
      <c r="Y78" s="354"/>
      <c r="Z78" s="38"/>
      <c r="AA78" s="346" t="str" cm="1">
        <f t="array" ref="AA7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9" spans="1:27">
      <c r="A7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MZ0710</v>
      </c>
      <c r="B79" s="347" t="s">
        <v>183</v>
      </c>
      <c r="C79" s="213" t="s">
        <v>184</v>
      </c>
      <c r="D79" s="213" t="s">
        <v>384</v>
      </c>
      <c r="E79" s="103" t="s">
        <v>385</v>
      </c>
      <c r="F79" s="98"/>
      <c r="G79" s="33"/>
      <c r="H79" s="340"/>
      <c r="I79" s="95">
        <v>264578</v>
      </c>
      <c r="J79" s="342"/>
      <c r="K79" s="344"/>
      <c r="L79" s="344"/>
      <c r="M79" s="344"/>
      <c r="N79" s="326" t="str" cm="1">
        <f t="array" ref="N7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9" s="352"/>
      <c r="P79" s="351"/>
      <c r="Q79" s="310" t="str" cm="1">
        <f t="array" ref="Q7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9" s="353">
        <v>9.826969740492407E-5</v>
      </c>
      <c r="S79" s="351">
        <v>0.45172811491675763</v>
      </c>
      <c r="T79" s="326">
        <v>2.2352941176470589</v>
      </c>
      <c r="U79" s="345"/>
      <c r="V79" s="354"/>
      <c r="W79" s="354"/>
      <c r="X79" s="352"/>
      <c r="Y79" s="354"/>
      <c r="Z79" s="38"/>
      <c r="AA79" s="346" t="str" cm="1">
        <f t="array" ref="AA7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0" spans="1:27">
      <c r="A8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MZ0711</v>
      </c>
      <c r="B80" s="347" t="s">
        <v>183</v>
      </c>
      <c r="C80" s="213" t="s">
        <v>184</v>
      </c>
      <c r="D80" s="213" t="s">
        <v>187</v>
      </c>
      <c r="E80" s="103" t="s">
        <v>186</v>
      </c>
      <c r="F80" s="98"/>
      <c r="G80" s="33"/>
      <c r="H80" s="340"/>
      <c r="I80" s="95">
        <v>417406</v>
      </c>
      <c r="J80" s="342"/>
      <c r="K80" s="344"/>
      <c r="L80" s="344"/>
      <c r="M80" s="344"/>
      <c r="N80" s="326" t="str" cm="1">
        <f t="array" ref="N8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0" s="352"/>
      <c r="P80" s="351">
        <v>2.9000000000000001E-2</v>
      </c>
      <c r="Q80" s="310" cm="1">
        <f t="array" ref="Q8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80" s="353">
        <v>1.0253805647259502E-3</v>
      </c>
      <c r="S80" s="351">
        <v>0.43869184041486209</v>
      </c>
      <c r="T80" s="326">
        <v>2.2352941176470589</v>
      </c>
      <c r="U80" s="345"/>
      <c r="V80" s="354"/>
      <c r="W80" s="354"/>
      <c r="X80" s="352"/>
      <c r="Y80" s="354"/>
      <c r="Z80" s="38"/>
      <c r="AA80" s="346" t="str" cm="1">
        <f t="array" ref="AA8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1" spans="1:27">
      <c r="A8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MZ0712</v>
      </c>
      <c r="B81" s="347" t="s">
        <v>183</v>
      </c>
      <c r="C81" s="213" t="s">
        <v>184</v>
      </c>
      <c r="D81" s="213" t="s">
        <v>386</v>
      </c>
      <c r="E81" s="103" t="s">
        <v>387</v>
      </c>
      <c r="F81" s="98"/>
      <c r="G81" s="33"/>
      <c r="H81" s="340"/>
      <c r="I81" s="95">
        <v>124118</v>
      </c>
      <c r="J81" s="342"/>
      <c r="K81" s="344"/>
      <c r="L81" s="344"/>
      <c r="M81" s="344"/>
      <c r="N81" s="326" t="str" cm="1">
        <f t="array" ref="N8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1" s="352"/>
      <c r="P81" s="351"/>
      <c r="Q81" s="310" t="str" cm="1">
        <f t="array" ref="Q8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1" s="353">
        <v>1.1118451795871669E-3</v>
      </c>
      <c r="S81" s="351">
        <v>0.78128686729788011</v>
      </c>
      <c r="T81" s="326">
        <v>1.8235294117647056</v>
      </c>
      <c r="U81" s="345"/>
      <c r="V81" s="354"/>
      <c r="W81" s="354"/>
      <c r="X81" s="352"/>
      <c r="Y81" s="354"/>
      <c r="Z81" s="38"/>
      <c r="AA81" s="346" t="str" cm="1">
        <f t="array" ref="AA8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2" spans="1:27">
      <c r="A8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MZ0713</v>
      </c>
      <c r="B82" s="347" t="s">
        <v>183</v>
      </c>
      <c r="C82" s="213" t="s">
        <v>184</v>
      </c>
      <c r="D82" s="213" t="s">
        <v>388</v>
      </c>
      <c r="E82" s="103" t="s">
        <v>389</v>
      </c>
      <c r="F82" s="98"/>
      <c r="G82" s="33"/>
      <c r="H82" s="340"/>
      <c r="I82" s="95">
        <v>473226</v>
      </c>
      <c r="J82" s="342"/>
      <c r="K82" s="344"/>
      <c r="L82" s="344"/>
      <c r="M82" s="344"/>
      <c r="N82" s="326" t="str" cm="1">
        <f t="array" ref="N8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2" s="352"/>
      <c r="P82" s="351"/>
      <c r="Q82" s="310" t="str" cm="1">
        <f t="array" ref="Q8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2" s="353">
        <v>4.8391254918368813E-4</v>
      </c>
      <c r="S82" s="351">
        <v>0.50233893334995572</v>
      </c>
      <c r="T82" s="326">
        <v>3</v>
      </c>
      <c r="U82" s="345"/>
      <c r="V82" s="354"/>
      <c r="W82" s="354"/>
      <c r="X82" s="352"/>
      <c r="Y82" s="354"/>
      <c r="Z82" s="38"/>
      <c r="AA82" s="346" t="str" cm="1">
        <f t="array" ref="AA8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3" spans="1:27">
      <c r="A8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MZ0714</v>
      </c>
      <c r="B83" s="347" t="s">
        <v>183</v>
      </c>
      <c r="C83" s="213" t="s">
        <v>184</v>
      </c>
      <c r="D83" s="213" t="s">
        <v>390</v>
      </c>
      <c r="E83" s="103" t="s">
        <v>391</v>
      </c>
      <c r="F83" s="98"/>
      <c r="G83" s="33"/>
      <c r="H83" s="340"/>
      <c r="I83" s="95">
        <v>412736</v>
      </c>
      <c r="J83" s="342"/>
      <c r="K83" s="344"/>
      <c r="L83" s="344"/>
      <c r="M83" s="344"/>
      <c r="N83" s="326" t="str" cm="1">
        <f t="array" ref="N8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3" s="352"/>
      <c r="P83" s="351"/>
      <c r="Q83" s="310" t="str" cm="1">
        <f t="array" ref="Q8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3" s="353">
        <v>2.803244689099085E-3</v>
      </c>
      <c r="S83" s="351">
        <v>0.72547378482196756</v>
      </c>
      <c r="T83" s="326">
        <v>1.8235294117647056</v>
      </c>
      <c r="U83" s="345"/>
      <c r="V83" s="354"/>
      <c r="W83" s="354"/>
      <c r="X83" s="352"/>
      <c r="Y83" s="354"/>
      <c r="Z83" s="38"/>
      <c r="AA83" s="346" t="str" cm="1">
        <f t="array" ref="AA8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4" spans="1:27">
      <c r="A8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MZ0715</v>
      </c>
      <c r="B84" s="347" t="s">
        <v>183</v>
      </c>
      <c r="C84" s="213" t="s">
        <v>184</v>
      </c>
      <c r="D84" s="213" t="s">
        <v>392</v>
      </c>
      <c r="E84" s="103" t="s">
        <v>393</v>
      </c>
      <c r="F84" s="98"/>
      <c r="G84" s="33"/>
      <c r="H84" s="340"/>
      <c r="I84" s="95">
        <v>514410</v>
      </c>
      <c r="J84" s="342"/>
      <c r="K84" s="344"/>
      <c r="L84" s="344"/>
      <c r="M84" s="344"/>
      <c r="N84" s="326" t="str" cm="1">
        <f t="array" ref="N8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4" s="352"/>
      <c r="P84" s="351">
        <v>3.9E-2</v>
      </c>
      <c r="Q84" s="310" cm="1">
        <f t="array" ref="Q8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84" s="353">
        <v>1.6543224276355437E-3</v>
      </c>
      <c r="S84" s="351">
        <v>0.51682254072399392</v>
      </c>
      <c r="T84" s="326">
        <v>2.2352941176470589</v>
      </c>
      <c r="U84" s="345"/>
      <c r="V84" s="354">
        <v>0.72299999999999998</v>
      </c>
      <c r="W84" s="354">
        <v>0.14899999999999999</v>
      </c>
      <c r="X84" s="352">
        <v>0.08</v>
      </c>
      <c r="Y84" s="354">
        <v>4.8000000000000001E-2</v>
      </c>
      <c r="Z84" s="38"/>
      <c r="AA84" s="346" cm="1">
        <f t="array" ref="AA8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85" spans="1:27">
      <c r="A8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MZ0716</v>
      </c>
      <c r="B85" s="347" t="s">
        <v>183</v>
      </c>
      <c r="C85" s="213" t="s">
        <v>184</v>
      </c>
      <c r="D85" s="213" t="s">
        <v>394</v>
      </c>
      <c r="E85" s="103" t="s">
        <v>395</v>
      </c>
      <c r="F85" s="98"/>
      <c r="G85" s="33"/>
      <c r="H85" s="340"/>
      <c r="I85" s="95">
        <v>230193</v>
      </c>
      <c r="J85" s="342"/>
      <c r="K85" s="344"/>
      <c r="L85" s="344"/>
      <c r="M85" s="344"/>
      <c r="N85" s="326" t="str" cm="1">
        <f t="array" ref="N8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5" s="352"/>
      <c r="P85" s="351">
        <v>4.3999999999999997E-2</v>
      </c>
      <c r="Q85" s="310" cm="1">
        <f t="array" ref="Q8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85" s="353">
        <v>3.3450191795580231E-4</v>
      </c>
      <c r="S85" s="351">
        <v>0.51929848109627075</v>
      </c>
      <c r="T85" s="326">
        <v>2.2352941176470589</v>
      </c>
      <c r="U85" s="345"/>
      <c r="V85" s="354">
        <v>0.61199999999999999</v>
      </c>
      <c r="W85" s="354">
        <v>4.2000000000000003E-2</v>
      </c>
      <c r="X85" s="352">
        <v>0.27400000000000002</v>
      </c>
      <c r="Y85" s="354">
        <v>7.1999999999999995E-2</v>
      </c>
      <c r="Z85" s="38"/>
      <c r="AA85" s="346" cm="1">
        <f t="array" ref="AA8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86" spans="1:27">
      <c r="A8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MZ0717</v>
      </c>
      <c r="B86" s="347" t="s">
        <v>183</v>
      </c>
      <c r="C86" s="213" t="s">
        <v>184</v>
      </c>
      <c r="D86" s="213" t="s">
        <v>396</v>
      </c>
      <c r="E86" s="103" t="s">
        <v>397</v>
      </c>
      <c r="F86" s="98"/>
      <c r="G86" s="33"/>
      <c r="H86" s="340"/>
      <c r="I86" s="95">
        <v>169549</v>
      </c>
      <c r="J86" s="342"/>
      <c r="K86" s="344"/>
      <c r="L86" s="344"/>
      <c r="M86" s="344"/>
      <c r="N86" s="326" t="str" cm="1">
        <f t="array" ref="N8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6" s="352"/>
      <c r="P86" s="351"/>
      <c r="Q86" s="310" t="str" cm="1">
        <f t="array" ref="Q8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6" s="353">
        <v>2.5538339948923319E-3</v>
      </c>
      <c r="S86" s="351">
        <v>0.59507637458792007</v>
      </c>
      <c r="T86" s="326">
        <v>2.2352941176470589</v>
      </c>
      <c r="U86" s="345"/>
      <c r="V86" s="354"/>
      <c r="W86" s="354"/>
      <c r="X86" s="352"/>
      <c r="Y86" s="354"/>
      <c r="Z86" s="38"/>
      <c r="AA86" s="346" t="str" cm="1">
        <f t="array" ref="AA8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7" spans="1:27">
      <c r="A8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MZ0718</v>
      </c>
      <c r="B87" s="347" t="s">
        <v>183</v>
      </c>
      <c r="C87" s="213" t="s">
        <v>184</v>
      </c>
      <c r="D87" s="213" t="s">
        <v>398</v>
      </c>
      <c r="E87" s="103" t="s">
        <v>399</v>
      </c>
      <c r="F87" s="98"/>
      <c r="G87" s="33"/>
      <c r="H87" s="340"/>
      <c r="I87" s="95">
        <v>231761</v>
      </c>
      <c r="J87" s="342"/>
      <c r="K87" s="344"/>
      <c r="L87" s="344"/>
      <c r="M87" s="344"/>
      <c r="N87" s="326" t="str" cm="1">
        <f t="array" ref="N8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7" s="352"/>
      <c r="P87" s="351"/>
      <c r="Q87" s="310" t="str" cm="1">
        <f t="array" ref="Q8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7" s="353">
        <v>2.1617096923123389E-3</v>
      </c>
      <c r="S87" s="351">
        <v>0.74619580102591965</v>
      </c>
      <c r="T87" s="326">
        <v>1.8235294117647056</v>
      </c>
      <c r="U87" s="345"/>
      <c r="V87" s="354"/>
      <c r="W87" s="354"/>
      <c r="X87" s="352"/>
      <c r="Y87" s="354"/>
      <c r="Z87" s="38"/>
      <c r="AA87" s="346" t="str" cm="1">
        <f t="array" ref="AA8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8" spans="1:27">
      <c r="A8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MZ0719</v>
      </c>
      <c r="B88" s="347" t="s">
        <v>183</v>
      </c>
      <c r="C88" s="213" t="s">
        <v>184</v>
      </c>
      <c r="D88" s="213" t="s">
        <v>400</v>
      </c>
      <c r="E88" s="103" t="s">
        <v>401</v>
      </c>
      <c r="F88" s="98"/>
      <c r="G88" s="33"/>
      <c r="H88" s="340"/>
      <c r="I88" s="95">
        <v>408435</v>
      </c>
      <c r="J88" s="342"/>
      <c r="K88" s="344"/>
      <c r="L88" s="344"/>
      <c r="M88" s="344"/>
      <c r="N88" s="326" t="str" cm="1">
        <f t="array" ref="N8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8" s="352"/>
      <c r="P88" s="351">
        <v>2.7E-2</v>
      </c>
      <c r="Q88" s="310" cm="1">
        <f t="array" ref="Q8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88" s="353">
        <v>3.5011690966738892E-4</v>
      </c>
      <c r="S88" s="351">
        <v>0.22077308295664294</v>
      </c>
      <c r="T88" s="326">
        <v>2.6470588235294117</v>
      </c>
      <c r="U88" s="345"/>
      <c r="V88" s="354">
        <v>0.58799999999999997</v>
      </c>
      <c r="W88" s="354">
        <v>0.187</v>
      </c>
      <c r="X88" s="352">
        <v>8.4000000000000005E-2</v>
      </c>
      <c r="Y88" s="354">
        <v>0.14099999999999999</v>
      </c>
      <c r="Z88" s="38"/>
      <c r="AA88" s="346" cm="1">
        <f t="array" ref="AA8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89" spans="1:27" ht="27.95">
      <c r="A8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MZ0720</v>
      </c>
      <c r="B89" s="347" t="s">
        <v>183</v>
      </c>
      <c r="C89" s="213" t="s">
        <v>184</v>
      </c>
      <c r="D89" s="213" t="s">
        <v>402</v>
      </c>
      <c r="E89" s="103" t="s">
        <v>403</v>
      </c>
      <c r="F89" s="98"/>
      <c r="G89" s="33"/>
      <c r="H89" s="340"/>
      <c r="I89" s="95">
        <v>160552</v>
      </c>
      <c r="J89" s="342"/>
      <c r="K89" s="344"/>
      <c r="L89" s="344"/>
      <c r="M89" s="344"/>
      <c r="N89" s="326" t="str" cm="1">
        <f t="array" ref="N8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9" s="352"/>
      <c r="P89" s="351"/>
      <c r="Q89" s="310" t="str" cm="1">
        <f t="array" ref="Q8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9" s="353">
        <v>1.4855000249140465E-2</v>
      </c>
      <c r="S89" s="351">
        <v>0.92706185017282472</v>
      </c>
      <c r="T89" s="326">
        <v>1.5882352941176472</v>
      </c>
      <c r="U89" s="345"/>
      <c r="V89" s="354"/>
      <c r="W89" s="354"/>
      <c r="X89" s="352"/>
      <c r="Y89" s="354"/>
      <c r="Z89" s="38"/>
      <c r="AA89" s="346" t="str" cm="1">
        <f t="array" ref="AA8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0" spans="1:27">
      <c r="A9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MZ0721</v>
      </c>
      <c r="B90" s="347" t="s">
        <v>183</v>
      </c>
      <c r="C90" s="213" t="s">
        <v>184</v>
      </c>
      <c r="D90" s="213" t="s">
        <v>404</v>
      </c>
      <c r="E90" s="103" t="s">
        <v>405</v>
      </c>
      <c r="F90" s="98"/>
      <c r="G90" s="33"/>
      <c r="H90" s="340"/>
      <c r="I90" s="95">
        <v>188737</v>
      </c>
      <c r="J90" s="342"/>
      <c r="K90" s="344"/>
      <c r="L90" s="344"/>
      <c r="M90" s="344"/>
      <c r="N90" s="326" t="str" cm="1">
        <f t="array" ref="N9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0" s="352"/>
      <c r="P90" s="351"/>
      <c r="Q90" s="310" t="str" cm="1">
        <f t="array" ref="Q9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0" s="353">
        <v>5.9341835464164425E-4</v>
      </c>
      <c r="S90" s="351">
        <v>0.60532566979166424</v>
      </c>
      <c r="T90" s="326">
        <v>1.8235294117647056</v>
      </c>
      <c r="U90" s="345"/>
      <c r="V90" s="354"/>
      <c r="W90" s="354"/>
      <c r="X90" s="352"/>
      <c r="Y90" s="354"/>
      <c r="Z90" s="38"/>
      <c r="AA90" s="346" t="str" cm="1">
        <f t="array" ref="AA9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1" spans="1:27">
      <c r="A9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MZ0722</v>
      </c>
      <c r="B91" s="347" t="s">
        <v>183</v>
      </c>
      <c r="C91" s="213" t="s">
        <v>184</v>
      </c>
      <c r="D91" s="213" t="s">
        <v>406</v>
      </c>
      <c r="E91" s="103" t="s">
        <v>407</v>
      </c>
      <c r="F91" s="98"/>
      <c r="G91" s="33"/>
      <c r="H91" s="340"/>
      <c r="I91" s="95">
        <v>216590</v>
      </c>
      <c r="J91" s="342"/>
      <c r="K91" s="344"/>
      <c r="L91" s="344"/>
      <c r="M91" s="344"/>
      <c r="N91" s="326" t="str" cm="1">
        <f t="array" ref="N9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1" s="352"/>
      <c r="P91" s="351"/>
      <c r="Q91" s="310" t="str" cm="1">
        <f t="array" ref="Q9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1" s="353">
        <v>6.5099958446835032E-4</v>
      </c>
      <c r="S91" s="351">
        <v>0.50175734661259208</v>
      </c>
      <c r="T91" s="326">
        <v>2.2352941176470589</v>
      </c>
      <c r="U91" s="345"/>
      <c r="V91" s="354"/>
      <c r="W91" s="354"/>
      <c r="X91" s="352"/>
      <c r="Y91" s="354"/>
      <c r="Z91" s="38"/>
      <c r="AA91" s="346" t="str" cm="1">
        <f t="array" ref="AA9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2" spans="1:27">
      <c r="A9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MZ0723</v>
      </c>
      <c r="B92" s="347" t="s">
        <v>183</v>
      </c>
      <c r="C92" s="213" t="s">
        <v>184</v>
      </c>
      <c r="D92" s="213" t="s">
        <v>408</v>
      </c>
      <c r="E92" s="103" t="s">
        <v>409</v>
      </c>
      <c r="F92" s="98"/>
      <c r="G92" s="33"/>
      <c r="H92" s="340"/>
      <c r="I92" s="95">
        <v>321803</v>
      </c>
      <c r="J92" s="342"/>
      <c r="K92" s="344"/>
      <c r="L92" s="344"/>
      <c r="M92" s="344"/>
      <c r="N92" s="326" t="str" cm="1">
        <f t="array" ref="N9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2" s="352"/>
      <c r="P92" s="351"/>
      <c r="Q92" s="310" t="str" cm="1">
        <f t="array" ref="Q9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2" s="353">
        <v>3.8874715276116132E-3</v>
      </c>
      <c r="S92" s="351">
        <v>0.47327421587708984</v>
      </c>
      <c r="T92" s="326">
        <v>2.2352941176470589</v>
      </c>
      <c r="U92" s="345"/>
      <c r="V92" s="354"/>
      <c r="W92" s="354"/>
      <c r="X92" s="352"/>
      <c r="Y92" s="354"/>
      <c r="Z92" s="38"/>
      <c r="AA92" s="346" t="str" cm="1">
        <f t="array" ref="AA9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3" spans="1:27">
      <c r="A9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MZ0801</v>
      </c>
      <c r="B93" s="347" t="s">
        <v>189</v>
      </c>
      <c r="C93" s="213" t="s">
        <v>190</v>
      </c>
      <c r="D93" s="213" t="s">
        <v>410</v>
      </c>
      <c r="E93" s="103" t="s">
        <v>411</v>
      </c>
      <c r="F93" s="98"/>
      <c r="G93" s="33"/>
      <c r="H93" s="340"/>
      <c r="I93" s="95">
        <v>99629</v>
      </c>
      <c r="J93" s="342"/>
      <c r="K93" s="344"/>
      <c r="L93" s="344"/>
      <c r="M93" s="344"/>
      <c r="N93" s="326" t="str" cm="1">
        <f t="array" ref="N9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3" s="352"/>
      <c r="P93" s="351">
        <v>3.2000000000000001E-2</v>
      </c>
      <c r="Q93" s="310" cm="1">
        <f t="array" ref="Q9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93" s="353">
        <v>1.5246564755241948E-2</v>
      </c>
      <c r="S93" s="351">
        <v>0.64665024107294644</v>
      </c>
      <c r="T93" s="326">
        <v>2.4117647058823528</v>
      </c>
      <c r="U93" s="345"/>
      <c r="V93" s="354"/>
      <c r="W93" s="354"/>
      <c r="X93" s="352"/>
      <c r="Y93" s="354"/>
      <c r="Z93" s="38"/>
      <c r="AA93" s="346" t="str" cm="1">
        <f t="array" ref="AA9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4" spans="1:27" ht="27.95">
      <c r="A9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MZ0802</v>
      </c>
      <c r="B94" s="347" t="s">
        <v>189</v>
      </c>
      <c r="C94" s="213" t="s">
        <v>190</v>
      </c>
      <c r="D94" s="213" t="s">
        <v>412</v>
      </c>
      <c r="E94" s="103" t="s">
        <v>413</v>
      </c>
      <c r="F94" s="98"/>
      <c r="G94" s="33"/>
      <c r="H94" s="340"/>
      <c r="I94" s="95">
        <v>365136</v>
      </c>
      <c r="J94" s="342"/>
      <c r="K94" s="344"/>
      <c r="L94" s="344"/>
      <c r="M94" s="344"/>
      <c r="N94" s="326" t="str" cm="1">
        <f t="array" ref="N9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4" s="352"/>
      <c r="P94" s="351">
        <v>3.0000000000000001E-3</v>
      </c>
      <c r="Q94" s="310" cm="1">
        <f t="array" ref="Q9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94" s="353">
        <v>1.6845778011480655E-2</v>
      </c>
      <c r="S94" s="351">
        <v>0.55054565686637824</v>
      </c>
      <c r="T94" s="326">
        <v>2.8235294117647061</v>
      </c>
      <c r="U94" s="345"/>
      <c r="V94" s="354"/>
      <c r="W94" s="354"/>
      <c r="X94" s="352"/>
      <c r="Y94" s="354"/>
      <c r="Z94" s="38"/>
      <c r="AA94" s="346" t="str" cm="1">
        <f t="array" ref="AA9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5" spans="1:27">
      <c r="A9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MZ0803</v>
      </c>
      <c r="B95" s="347" t="s">
        <v>189</v>
      </c>
      <c r="C95" s="213" t="s">
        <v>190</v>
      </c>
      <c r="D95" s="213" t="s">
        <v>414</v>
      </c>
      <c r="E95" s="103" t="s">
        <v>415</v>
      </c>
      <c r="F95" s="98"/>
      <c r="G95" s="33"/>
      <c r="H95" s="340"/>
      <c r="I95" s="95">
        <v>381691</v>
      </c>
      <c r="J95" s="342"/>
      <c r="K95" s="344"/>
      <c r="L95" s="344"/>
      <c r="M95" s="344"/>
      <c r="N95" s="326" t="str" cm="1">
        <f t="array" ref="N9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5" s="352"/>
      <c r="P95" s="351">
        <v>2.1999999999999999E-2</v>
      </c>
      <c r="Q95" s="310" cm="1">
        <f t="array" ref="Q9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95" s="353">
        <v>3.8573086606705421E-2</v>
      </c>
      <c r="S95" s="351">
        <v>0.51873293332453041</v>
      </c>
      <c r="T95" s="326">
        <v>2.8235294117647061</v>
      </c>
      <c r="U95" s="345"/>
      <c r="V95" s="354">
        <v>0.83</v>
      </c>
      <c r="W95" s="354">
        <v>0.09</v>
      </c>
      <c r="X95" s="352">
        <v>7.4999999999999997E-2</v>
      </c>
      <c r="Y95" s="354">
        <v>5.0000000000000001E-3</v>
      </c>
      <c r="Z95" s="38"/>
      <c r="AA95" s="346" cm="1">
        <f t="array" ref="AA9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96" spans="1:27">
      <c r="A9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MZ0804</v>
      </c>
      <c r="B96" s="347" t="s">
        <v>189</v>
      </c>
      <c r="C96" s="213" t="s">
        <v>190</v>
      </c>
      <c r="D96" s="213" t="s">
        <v>416</v>
      </c>
      <c r="E96" s="103" t="s">
        <v>417</v>
      </c>
      <c r="F96" s="98"/>
      <c r="G96" s="33"/>
      <c r="H96" s="340"/>
      <c r="I96" s="95"/>
      <c r="J96" s="342"/>
      <c r="K96" s="344"/>
      <c r="L96" s="344"/>
      <c r="M96" s="344"/>
      <c r="N96" s="326" t="str" cm="1">
        <f t="array" ref="N9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6" s="352"/>
      <c r="P96" s="351"/>
      <c r="Q96" s="310" t="str" cm="1">
        <f t="array" ref="Q9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6" s="353"/>
      <c r="S96" s="351"/>
      <c r="T96" s="326"/>
      <c r="U96" s="345"/>
      <c r="V96" s="354"/>
      <c r="W96" s="354"/>
      <c r="X96" s="352"/>
      <c r="Y96" s="354"/>
      <c r="Z96" s="38"/>
      <c r="AA96" s="346" t="str" cm="1">
        <f t="array" ref="AA9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7" spans="1:27" ht="27.95">
      <c r="A9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MZ0805</v>
      </c>
      <c r="B97" s="347" t="s">
        <v>189</v>
      </c>
      <c r="C97" s="213" t="s">
        <v>190</v>
      </c>
      <c r="D97" s="213" t="s">
        <v>418</v>
      </c>
      <c r="E97" s="103" t="s">
        <v>419</v>
      </c>
      <c r="F97" s="98"/>
      <c r="G97" s="33"/>
      <c r="H97" s="340"/>
      <c r="I97" s="95"/>
      <c r="J97" s="342"/>
      <c r="K97" s="344"/>
      <c r="L97" s="344"/>
      <c r="M97" s="344"/>
      <c r="N97" s="326" t="str" cm="1">
        <f t="array" ref="N9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7" s="352"/>
      <c r="P97" s="351"/>
      <c r="Q97" s="310" t="str" cm="1">
        <f t="array" ref="Q9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7" s="353"/>
      <c r="S97" s="351"/>
      <c r="T97" s="326"/>
      <c r="U97" s="345"/>
      <c r="V97" s="354"/>
      <c r="W97" s="354"/>
      <c r="X97" s="352"/>
      <c r="Y97" s="354"/>
      <c r="Z97" s="38"/>
      <c r="AA97" s="346" t="str" cm="1">
        <f t="array" ref="AA9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8" spans="1:27">
      <c r="A9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MZ0806</v>
      </c>
      <c r="B98" s="347" t="s">
        <v>189</v>
      </c>
      <c r="C98" s="213" t="s">
        <v>190</v>
      </c>
      <c r="D98" s="213" t="s">
        <v>420</v>
      </c>
      <c r="E98" s="103" t="s">
        <v>421</v>
      </c>
      <c r="F98" s="98"/>
      <c r="G98" s="33"/>
      <c r="H98" s="340"/>
      <c r="I98" s="95">
        <v>152634</v>
      </c>
      <c r="J98" s="342"/>
      <c r="K98" s="344"/>
      <c r="L98" s="344"/>
      <c r="M98" s="344"/>
      <c r="N98" s="326" t="str" cm="1">
        <f t="array" ref="N9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8" s="352"/>
      <c r="P98" s="351">
        <v>1.2E-2</v>
      </c>
      <c r="Q98" s="310" cm="1">
        <f t="array" ref="Q9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98" s="353"/>
      <c r="S98" s="351"/>
      <c r="T98" s="326"/>
      <c r="U98" s="345"/>
      <c r="V98" s="354">
        <v>0.44400000000000001</v>
      </c>
      <c r="W98" s="354">
        <v>0.46700000000000003</v>
      </c>
      <c r="X98" s="352">
        <v>7.6999999999999999E-2</v>
      </c>
      <c r="Y98" s="354">
        <v>1.2E-2</v>
      </c>
      <c r="Z98" s="38"/>
      <c r="AA98" s="346" cm="1">
        <f t="array" ref="AA9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99" spans="1:27">
      <c r="A9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MZ0807</v>
      </c>
      <c r="B99" s="347" t="s">
        <v>189</v>
      </c>
      <c r="C99" s="213" t="s">
        <v>190</v>
      </c>
      <c r="D99" s="213" t="s">
        <v>422</v>
      </c>
      <c r="E99" s="103" t="s">
        <v>423</v>
      </c>
      <c r="F99" s="98"/>
      <c r="G99" s="33"/>
      <c r="H99" s="340"/>
      <c r="I99" s="95"/>
      <c r="J99" s="342"/>
      <c r="K99" s="344"/>
      <c r="L99" s="344"/>
      <c r="M99" s="344"/>
      <c r="N99" s="326" t="str" cm="1">
        <f t="array" ref="N9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9" s="352"/>
      <c r="P99" s="351"/>
      <c r="Q99" s="310" t="str" cm="1">
        <f t="array" ref="Q9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9" s="353">
        <v>2.6907504225795038E-2</v>
      </c>
      <c r="S99" s="351">
        <v>0.4093090234368888</v>
      </c>
      <c r="T99" s="326">
        <v>2.8235294117647061</v>
      </c>
      <c r="U99" s="345"/>
      <c r="V99" s="354"/>
      <c r="W99" s="354"/>
      <c r="X99" s="352"/>
      <c r="Y99" s="354"/>
      <c r="Z99" s="38"/>
      <c r="AA99" s="346" t="str" cm="1">
        <f t="array" ref="AA9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0" spans="1:27">
      <c r="A10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MZ0808</v>
      </c>
      <c r="B100" s="347" t="s">
        <v>189</v>
      </c>
      <c r="C100" s="213" t="s">
        <v>190</v>
      </c>
      <c r="D100" s="213" t="s">
        <v>424</v>
      </c>
      <c r="E100" s="103" t="s">
        <v>425</v>
      </c>
      <c r="F100" s="98"/>
      <c r="G100" s="33"/>
      <c r="H100" s="340"/>
      <c r="I100" s="95">
        <v>56015</v>
      </c>
      <c r="J100" s="342"/>
      <c r="K100" s="344"/>
      <c r="L100" s="344"/>
      <c r="M100" s="344"/>
      <c r="N100" s="326" t="str" cm="1">
        <f t="array" ref="N10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0" s="352"/>
      <c r="P100" s="351">
        <v>1.4999999999999999E-2</v>
      </c>
      <c r="Q100" s="310" cm="1">
        <f t="array" ref="Q10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0" s="353">
        <v>2.2261894135499422E-2</v>
      </c>
      <c r="S100" s="351">
        <v>0.47771808596436788</v>
      </c>
      <c r="T100" s="326">
        <v>2.8235294117647061</v>
      </c>
      <c r="U100" s="345"/>
      <c r="V100" s="354"/>
      <c r="W100" s="354"/>
      <c r="X100" s="352"/>
      <c r="Y100" s="354"/>
      <c r="Z100" s="38"/>
      <c r="AA100" s="346" t="str" cm="1">
        <f t="array" ref="AA10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1" spans="1:27">
      <c r="A10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MZ0809</v>
      </c>
      <c r="B101" s="347" t="s">
        <v>189</v>
      </c>
      <c r="C101" s="213" t="s">
        <v>190</v>
      </c>
      <c r="D101" s="213" t="s">
        <v>426</v>
      </c>
      <c r="E101" s="103" t="s">
        <v>427</v>
      </c>
      <c r="F101" s="98"/>
      <c r="G101" s="33"/>
      <c r="H101" s="340"/>
      <c r="I101" s="95">
        <v>286386</v>
      </c>
      <c r="J101" s="342"/>
      <c r="K101" s="344"/>
      <c r="L101" s="344"/>
      <c r="M101" s="344"/>
      <c r="N101" s="326" t="str" cm="1">
        <f t="array" ref="N10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1" s="352"/>
      <c r="P101" s="351">
        <v>8.0000000000000002E-3</v>
      </c>
      <c r="Q101" s="310" cm="1">
        <f t="array" ref="Q10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1" s="353">
        <v>7.4375144036370492E-3</v>
      </c>
      <c r="S101" s="351">
        <v>0.69245083934451668</v>
      </c>
      <c r="T101" s="326">
        <v>1.8235294117647056</v>
      </c>
      <c r="U101" s="345"/>
      <c r="V101" s="354">
        <v>0.69299999999999995</v>
      </c>
      <c r="W101" s="354">
        <v>0.224</v>
      </c>
      <c r="X101" s="352">
        <v>7.8E-2</v>
      </c>
      <c r="Y101" s="354">
        <v>5.0000000000000001E-3</v>
      </c>
      <c r="Z101" s="38"/>
      <c r="AA101" s="346" cm="1">
        <f t="array" ref="AA10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02" spans="1:27">
      <c r="A10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MZ0810</v>
      </c>
      <c r="B102" s="347" t="s">
        <v>189</v>
      </c>
      <c r="C102" s="213" t="s">
        <v>190</v>
      </c>
      <c r="D102" s="213" t="s">
        <v>428</v>
      </c>
      <c r="E102" s="103" t="s">
        <v>429</v>
      </c>
      <c r="F102" s="98"/>
      <c r="G102" s="33"/>
      <c r="H102" s="340"/>
      <c r="I102" s="95">
        <v>108054</v>
      </c>
      <c r="J102" s="342"/>
      <c r="K102" s="344"/>
      <c r="L102" s="344"/>
      <c r="M102" s="344"/>
      <c r="N102" s="326" t="str" cm="1">
        <f t="array" ref="N10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2" s="352"/>
      <c r="P102" s="351">
        <v>1.2999999999999999E-2</v>
      </c>
      <c r="Q102" s="310" cm="1">
        <f t="array" ref="Q10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2" s="353">
        <v>1.0716863790327059E-2</v>
      </c>
      <c r="S102" s="351">
        <v>0.41321244137285079</v>
      </c>
      <c r="T102" s="326">
        <v>2.8235294117647061</v>
      </c>
      <c r="U102" s="345"/>
      <c r="V102" s="354">
        <v>0.53900000000000003</v>
      </c>
      <c r="W102" s="354">
        <v>0.27300000000000002</v>
      </c>
      <c r="X102" s="352">
        <v>0.182</v>
      </c>
      <c r="Y102" s="354">
        <v>6.0000000000000001E-3</v>
      </c>
      <c r="Z102" s="38"/>
      <c r="AA102" s="346" cm="1">
        <f t="array" ref="AA10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03" spans="1:27">
      <c r="A10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MZ0811</v>
      </c>
      <c r="B103" s="347" t="s">
        <v>189</v>
      </c>
      <c r="C103" s="213" t="s">
        <v>190</v>
      </c>
      <c r="D103" s="213" t="s">
        <v>430</v>
      </c>
      <c r="E103" s="103" t="s">
        <v>431</v>
      </c>
      <c r="F103" s="98"/>
      <c r="G103" s="33"/>
      <c r="H103" s="340"/>
      <c r="I103" s="95">
        <v>93261</v>
      </c>
      <c r="J103" s="342"/>
      <c r="K103" s="344"/>
      <c r="L103" s="344"/>
      <c r="M103" s="344"/>
      <c r="N103" s="326" t="str" cm="1">
        <f t="array" ref="N10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3" s="352"/>
      <c r="P103" s="351">
        <v>1.4999999999999999E-2</v>
      </c>
      <c r="Q103" s="310" cm="1">
        <f t="array" ref="Q10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3" s="353">
        <v>1.8614426180289724E-2</v>
      </c>
      <c r="S103" s="351">
        <v>0.2249910217394239</v>
      </c>
      <c r="T103" s="326">
        <v>3.2352941176470589</v>
      </c>
      <c r="U103" s="345"/>
      <c r="V103" s="354"/>
      <c r="W103" s="354"/>
      <c r="X103" s="352"/>
      <c r="Y103" s="354"/>
      <c r="Z103" s="38"/>
      <c r="AA103" s="346" t="str" cm="1">
        <f t="array" ref="AA10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4" spans="1:27">
      <c r="A10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MZ0812</v>
      </c>
      <c r="B104" s="347" t="s">
        <v>189</v>
      </c>
      <c r="C104" s="213" t="s">
        <v>190</v>
      </c>
      <c r="D104" s="213" t="s">
        <v>432</v>
      </c>
      <c r="E104" s="103" t="s">
        <v>433</v>
      </c>
      <c r="F104" s="98"/>
      <c r="G104" s="33"/>
      <c r="H104" s="340"/>
      <c r="I104" s="95">
        <v>40194</v>
      </c>
      <c r="J104" s="342"/>
      <c r="K104" s="344"/>
      <c r="L104" s="344"/>
      <c r="M104" s="344"/>
      <c r="N104" s="326" t="str" cm="1">
        <f t="array" ref="N10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4" s="352"/>
      <c r="P104" s="351">
        <v>2.1000000000000001E-2</v>
      </c>
      <c r="Q104" s="310" cm="1">
        <f t="array" ref="Q10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4" s="353">
        <v>7.2647658854555408E-3</v>
      </c>
      <c r="S104" s="351">
        <v>1.1928902307294649</v>
      </c>
      <c r="T104" s="326">
        <v>1</v>
      </c>
      <c r="U104" s="345"/>
      <c r="V104" s="354"/>
      <c r="W104" s="354"/>
      <c r="X104" s="352"/>
      <c r="Y104" s="354"/>
      <c r="Z104" s="38"/>
      <c r="AA104" s="346" t="str" cm="1">
        <f t="array" ref="AA10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5" spans="1:27">
      <c r="A10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MZ0813</v>
      </c>
      <c r="B105" s="347" t="s">
        <v>189</v>
      </c>
      <c r="C105" s="213" t="s">
        <v>190</v>
      </c>
      <c r="D105" s="213" t="s">
        <v>434</v>
      </c>
      <c r="E105" s="103" t="s">
        <v>435</v>
      </c>
      <c r="F105" s="98"/>
      <c r="G105" s="33"/>
      <c r="H105" s="340"/>
      <c r="I105" s="95">
        <v>354895</v>
      </c>
      <c r="J105" s="342"/>
      <c r="K105" s="344"/>
      <c r="L105" s="344"/>
      <c r="M105" s="344"/>
      <c r="N105" s="326" t="str" cm="1">
        <f t="array" ref="N10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5" s="352"/>
      <c r="P105" s="351">
        <v>4.0000000000000001E-3</v>
      </c>
      <c r="Q105" s="310" cm="1">
        <f t="array" ref="Q10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05" s="353">
        <v>9.1294608264416242E-3</v>
      </c>
      <c r="S105" s="351">
        <v>0.47861156948734052</v>
      </c>
      <c r="T105" s="326">
        <v>2.2352941176470589</v>
      </c>
      <c r="U105" s="345"/>
      <c r="V105" s="354">
        <v>0.879</v>
      </c>
      <c r="W105" s="354">
        <v>2.8000000000000001E-2</v>
      </c>
      <c r="X105" s="352">
        <v>7.0000000000000007E-2</v>
      </c>
      <c r="Y105" s="354">
        <v>2.3E-2</v>
      </c>
      <c r="Z105" s="38"/>
      <c r="AA105" s="346" cm="1">
        <f t="array" ref="AA10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106" spans="1:27">
      <c r="A10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MZ0814</v>
      </c>
      <c r="B106" s="347" t="s">
        <v>189</v>
      </c>
      <c r="C106" s="213" t="s">
        <v>190</v>
      </c>
      <c r="D106" s="213" t="s">
        <v>191</v>
      </c>
      <c r="E106" s="103" t="s">
        <v>188</v>
      </c>
      <c r="F106" s="98"/>
      <c r="G106" s="33"/>
      <c r="H106" s="340"/>
      <c r="I106" s="95">
        <v>30360</v>
      </c>
      <c r="J106" s="342"/>
      <c r="K106" s="344"/>
      <c r="L106" s="344"/>
      <c r="M106" s="344"/>
      <c r="N106" s="326" t="str" cm="1">
        <f t="array" ref="N10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6" s="352"/>
      <c r="P106" s="351"/>
      <c r="Q106" s="310" t="str" cm="1">
        <f t="array" ref="Q10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06" s="353">
        <v>3.0895915678524375E-2</v>
      </c>
      <c r="S106" s="351">
        <v>0.43271429509164905</v>
      </c>
      <c r="T106" s="326">
        <v>2.8235294117647061</v>
      </c>
      <c r="U106" s="345">
        <v>1</v>
      </c>
      <c r="V106" s="354"/>
      <c r="W106" s="354"/>
      <c r="X106" s="352"/>
      <c r="Y106" s="354"/>
      <c r="Z106" s="38"/>
      <c r="AA106" s="346" t="str" cm="1">
        <f t="array" ref="AA10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7" spans="1:27">
      <c r="A10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MZ0815</v>
      </c>
      <c r="B107" s="347" t="s">
        <v>189</v>
      </c>
      <c r="C107" s="213" t="s">
        <v>190</v>
      </c>
      <c r="D107" s="213" t="s">
        <v>436</v>
      </c>
      <c r="E107" s="103" t="s">
        <v>437</v>
      </c>
      <c r="F107" s="98"/>
      <c r="G107" s="33"/>
      <c r="H107" s="340"/>
      <c r="I107" s="95">
        <v>61328</v>
      </c>
      <c r="J107" s="342"/>
      <c r="K107" s="344"/>
      <c r="L107" s="344"/>
      <c r="M107" s="344"/>
      <c r="N107" s="326" t="str" cm="1">
        <f t="array" ref="N10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7" s="352"/>
      <c r="P107" s="351"/>
      <c r="Q107" s="310" t="str" cm="1">
        <f t="array" ref="Q10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07" s="353">
        <v>7.3539003391599267E-3</v>
      </c>
      <c r="S107" s="351">
        <v>0.52612907008704346</v>
      </c>
      <c r="T107" s="326">
        <v>2.2352941176470589</v>
      </c>
      <c r="U107" s="345"/>
      <c r="V107" s="354"/>
      <c r="W107" s="354"/>
      <c r="X107" s="352"/>
      <c r="Y107" s="354"/>
      <c r="Z107" s="38"/>
      <c r="AA107" s="346" t="str" cm="1">
        <f t="array" ref="AA10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8" spans="1:27">
      <c r="A10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MZ0816</v>
      </c>
      <c r="B108" s="347" t="s">
        <v>189</v>
      </c>
      <c r="C108" s="213" t="s">
        <v>190</v>
      </c>
      <c r="D108" s="213" t="s">
        <v>438</v>
      </c>
      <c r="E108" s="103" t="s">
        <v>439</v>
      </c>
      <c r="F108" s="98"/>
      <c r="G108" s="33"/>
      <c r="H108" s="340"/>
      <c r="I108" s="95">
        <v>59482</v>
      </c>
      <c r="J108" s="342"/>
      <c r="K108" s="344"/>
      <c r="L108" s="344"/>
      <c r="M108" s="344"/>
      <c r="N108" s="326" t="str" cm="1">
        <f t="array" ref="N10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8" s="352"/>
      <c r="P108" s="351"/>
      <c r="Q108" s="310" t="str" cm="1">
        <f t="array" ref="Q10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08" s="353">
        <v>5.4134023738273765E-3</v>
      </c>
      <c r="S108" s="351">
        <v>0.47850022121957919</v>
      </c>
      <c r="T108" s="326">
        <v>2.2352941176470589</v>
      </c>
      <c r="U108" s="345"/>
      <c r="V108" s="354"/>
      <c r="W108" s="354"/>
      <c r="X108" s="352"/>
      <c r="Y108" s="354"/>
      <c r="Z108" s="38"/>
      <c r="AA108" s="346" t="str" cm="1">
        <f t="array" ref="AA10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9" spans="1:27">
      <c r="A10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MZ0817</v>
      </c>
      <c r="B109" s="347" t="s">
        <v>189</v>
      </c>
      <c r="C109" s="213" t="s">
        <v>190</v>
      </c>
      <c r="D109" s="213" t="s">
        <v>440</v>
      </c>
      <c r="E109" s="103" t="s">
        <v>441</v>
      </c>
      <c r="F109" s="98"/>
      <c r="G109" s="33"/>
      <c r="H109" s="340"/>
      <c r="I109" s="95">
        <v>132194</v>
      </c>
      <c r="J109" s="342"/>
      <c r="K109" s="344"/>
      <c r="L109" s="344"/>
      <c r="M109" s="344"/>
      <c r="N109" s="326" t="str" cm="1">
        <f t="array" ref="N10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9" s="352"/>
      <c r="P109" s="351"/>
      <c r="Q109" s="310" t="str" cm="1">
        <f t="array" ref="Q10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09" s="353">
        <v>3.5856392877135121E-3</v>
      </c>
      <c r="S109" s="351">
        <v>0.60980244072632339</v>
      </c>
      <c r="T109" s="326">
        <v>1.8235294117647056</v>
      </c>
      <c r="U109" s="345"/>
      <c r="V109" s="354"/>
      <c r="W109" s="354"/>
      <c r="X109" s="352"/>
      <c r="Y109" s="354"/>
      <c r="Z109" s="38"/>
      <c r="AA109" s="346" t="str" cm="1">
        <f t="array" ref="AA10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0" spans="1:27">
      <c r="A11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MZ0818</v>
      </c>
      <c r="B110" s="347" t="s">
        <v>189</v>
      </c>
      <c r="C110" s="213" t="s">
        <v>190</v>
      </c>
      <c r="D110" s="213" t="s">
        <v>442</v>
      </c>
      <c r="E110" s="103" t="s">
        <v>443</v>
      </c>
      <c r="F110" s="98"/>
      <c r="G110" s="33"/>
      <c r="H110" s="340"/>
      <c r="I110" s="95">
        <v>60817</v>
      </c>
      <c r="J110" s="342"/>
      <c r="K110" s="344"/>
      <c r="L110" s="344"/>
      <c r="M110" s="344"/>
      <c r="N110" s="326" t="str" cm="1">
        <f t="array" ref="N11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0" s="352"/>
      <c r="P110" s="351"/>
      <c r="Q110" s="310" t="str" cm="1">
        <f t="array" ref="Q11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10" s="353">
        <v>6.8073071674038506E-3</v>
      </c>
      <c r="S110" s="351">
        <v>0.41129123223620356</v>
      </c>
      <c r="T110" s="326">
        <v>2.2352941176470589</v>
      </c>
      <c r="U110" s="345"/>
      <c r="V110" s="354"/>
      <c r="W110" s="354"/>
      <c r="X110" s="352"/>
      <c r="Y110" s="354"/>
      <c r="Z110" s="38"/>
      <c r="AA110" s="346" t="str" cm="1">
        <f t="array" ref="AA11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1" spans="1:27">
      <c r="A11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MZ0819</v>
      </c>
      <c r="B111" s="347" t="s">
        <v>189</v>
      </c>
      <c r="C111" s="213" t="s">
        <v>190</v>
      </c>
      <c r="D111" s="213" t="s">
        <v>444</v>
      </c>
      <c r="E111" s="103" t="s">
        <v>445</v>
      </c>
      <c r="F111" s="98"/>
      <c r="G111" s="33"/>
      <c r="H111" s="340"/>
      <c r="I111" s="95">
        <v>103494</v>
      </c>
      <c r="J111" s="342"/>
      <c r="K111" s="344"/>
      <c r="L111" s="344"/>
      <c r="M111" s="344"/>
      <c r="N111" s="326" t="str" cm="1">
        <f t="array" ref="N11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1" s="352"/>
      <c r="P111" s="351"/>
      <c r="Q111" s="310" t="str" cm="1">
        <f t="array" ref="Q11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11" s="353">
        <v>1.8232941040060294E-2</v>
      </c>
      <c r="S111" s="351">
        <v>0.60594399925883291</v>
      </c>
      <c r="T111" s="326">
        <v>2.4117647058823528</v>
      </c>
      <c r="U111" s="345"/>
      <c r="V111" s="354"/>
      <c r="W111" s="354"/>
      <c r="X111" s="352"/>
      <c r="Y111" s="354"/>
      <c r="Z111" s="38"/>
      <c r="AA111" s="346" t="str" cm="1">
        <f t="array" ref="AA11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2" spans="1:27">
      <c r="A11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MZ0901</v>
      </c>
      <c r="B112" s="347" t="s">
        <v>446</v>
      </c>
      <c r="C112" s="213" t="s">
        <v>447</v>
      </c>
      <c r="D112" s="213" t="s">
        <v>448</v>
      </c>
      <c r="E112" s="103" t="s">
        <v>449</v>
      </c>
      <c r="F112" s="98"/>
      <c r="G112" s="33"/>
      <c r="H112" s="340"/>
      <c r="I112" s="95">
        <v>229917</v>
      </c>
      <c r="J112" s="342"/>
      <c r="K112" s="344"/>
      <c r="L112" s="344"/>
      <c r="M112" s="344"/>
      <c r="N112" s="326" t="str" cm="1">
        <f t="array" ref="N11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2" s="352">
        <v>7.3999999999999996E-2</v>
      </c>
      <c r="P112" s="351"/>
      <c r="Q112" s="310" cm="1">
        <f t="array" ref="Q11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2" s="353">
        <v>6.5414910598172388E-3</v>
      </c>
      <c r="S112" s="351">
        <v>0.47398574568428076</v>
      </c>
      <c r="T112" s="326">
        <v>2.2352941176470589</v>
      </c>
      <c r="U112" s="345"/>
      <c r="V112" s="354">
        <v>0.59609999999999996</v>
      </c>
      <c r="W112" s="354">
        <v>0.24099999999999999</v>
      </c>
      <c r="X112" s="352">
        <v>9.1200000000000003E-2</v>
      </c>
      <c r="Y112" s="354">
        <v>7.17E-2</v>
      </c>
      <c r="Z112" s="38"/>
      <c r="AA112" s="346" cm="1">
        <f t="array" ref="AA11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13" spans="1:27">
      <c r="A11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MZ0902</v>
      </c>
      <c r="B113" s="347" t="s">
        <v>446</v>
      </c>
      <c r="C113" s="213" t="s">
        <v>447</v>
      </c>
      <c r="D113" s="213" t="s">
        <v>450</v>
      </c>
      <c r="E113" s="103" t="s">
        <v>451</v>
      </c>
      <c r="F113" s="98"/>
      <c r="G113" s="33"/>
      <c r="H113" s="340"/>
      <c r="I113" s="95">
        <v>202204</v>
      </c>
      <c r="J113" s="342"/>
      <c r="K113" s="344"/>
      <c r="L113" s="344"/>
      <c r="M113" s="344"/>
      <c r="N113" s="326" t="str" cm="1">
        <f t="array" ref="N11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3" s="352">
        <v>9.7000000000000003E-2</v>
      </c>
      <c r="P113" s="351"/>
      <c r="Q113" s="310" cm="1">
        <f t="array" ref="Q11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3" s="353">
        <v>9.4854701192854749E-3</v>
      </c>
      <c r="S113" s="351">
        <v>0.54998035148764013</v>
      </c>
      <c r="T113" s="326">
        <v>1.8235294117647056</v>
      </c>
      <c r="U113" s="345"/>
      <c r="V113" s="354">
        <v>0.36180000000000001</v>
      </c>
      <c r="W113" s="354">
        <v>0.18240000000000001</v>
      </c>
      <c r="X113" s="352">
        <v>0.27939999999999998</v>
      </c>
      <c r="Y113" s="354">
        <v>0.17599999999999999</v>
      </c>
      <c r="Z113" s="38"/>
      <c r="AA113" s="346" cm="1">
        <f t="array" ref="AA11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114" spans="1:27">
      <c r="A11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MZ0903</v>
      </c>
      <c r="B114" s="347" t="s">
        <v>446</v>
      </c>
      <c r="C114" s="213" t="s">
        <v>447</v>
      </c>
      <c r="D114" s="213" t="s">
        <v>452</v>
      </c>
      <c r="E114" s="103" t="s">
        <v>453</v>
      </c>
      <c r="F114" s="98"/>
      <c r="G114" s="33"/>
      <c r="H114" s="340"/>
      <c r="I114" s="95">
        <v>96822</v>
      </c>
      <c r="J114" s="342"/>
      <c r="K114" s="344"/>
      <c r="L114" s="344"/>
      <c r="M114" s="344"/>
      <c r="N114" s="326" t="str" cm="1">
        <f t="array" ref="N11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4" s="352">
        <v>9.7000000000000003E-2</v>
      </c>
      <c r="P114" s="351"/>
      <c r="Q114" s="310" cm="1">
        <f t="array" ref="Q11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4" s="353">
        <v>1.3726219247691641E-2</v>
      </c>
      <c r="S114" s="351">
        <v>0.56956156139058478</v>
      </c>
      <c r="T114" s="326">
        <v>2.4117647058823528</v>
      </c>
      <c r="U114" s="345"/>
      <c r="V114" s="354">
        <v>0.34689999999999999</v>
      </c>
      <c r="W114" s="354">
        <v>0.18440000000000001</v>
      </c>
      <c r="X114" s="352">
        <v>0.11559999999999999</v>
      </c>
      <c r="Y114" s="354">
        <v>0.35310000000000002</v>
      </c>
      <c r="Z114" s="38"/>
      <c r="AA114" s="346" cm="1">
        <f t="array" ref="AA11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4</v>
      </c>
    </row>
    <row r="115" spans="1:27">
      <c r="A11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MZ0904</v>
      </c>
      <c r="B115" s="347" t="s">
        <v>446</v>
      </c>
      <c r="C115" s="213" t="s">
        <v>447</v>
      </c>
      <c r="D115" s="213" t="s">
        <v>454</v>
      </c>
      <c r="E115" s="103" t="s">
        <v>455</v>
      </c>
      <c r="F115" s="98"/>
      <c r="G115" s="33"/>
      <c r="H115" s="340"/>
      <c r="I115" s="95">
        <v>70246</v>
      </c>
      <c r="J115" s="342"/>
      <c r="K115" s="344"/>
      <c r="L115" s="344"/>
      <c r="M115" s="344"/>
      <c r="N115" s="326" t="str" cm="1">
        <f t="array" ref="N11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5" s="352">
        <v>7.3999999999999996E-2</v>
      </c>
      <c r="P115" s="351"/>
      <c r="Q115" s="310" cm="1">
        <f t="array" ref="Q11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5" s="353">
        <v>2.259203371010449E-2</v>
      </c>
      <c r="S115" s="351">
        <v>0.50137162650355749</v>
      </c>
      <c r="T115" s="326">
        <v>2.4117647058823528</v>
      </c>
      <c r="U115" s="345"/>
      <c r="V115" s="354"/>
      <c r="W115" s="354"/>
      <c r="X115" s="352"/>
      <c r="Y115" s="354"/>
      <c r="Z115" s="38"/>
      <c r="AA115" s="346" t="str" cm="1">
        <f t="array" ref="AA11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6" spans="1:27">
      <c r="A11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MZ0905</v>
      </c>
      <c r="B116" s="347" t="s">
        <v>446</v>
      </c>
      <c r="C116" s="213" t="s">
        <v>447</v>
      </c>
      <c r="D116" s="213" t="s">
        <v>456</v>
      </c>
      <c r="E116" s="103" t="s">
        <v>457</v>
      </c>
      <c r="F116" s="98"/>
      <c r="G116" s="33"/>
      <c r="H116" s="340"/>
      <c r="I116" s="95">
        <v>188801</v>
      </c>
      <c r="J116" s="342"/>
      <c r="K116" s="344"/>
      <c r="L116" s="344"/>
      <c r="M116" s="344"/>
      <c r="N116" s="326" t="str" cm="1">
        <f t="array" ref="N11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6" s="352">
        <v>7.2999999999999995E-2</v>
      </c>
      <c r="P116" s="351"/>
      <c r="Q116" s="310" cm="1">
        <f t="array" ref="Q11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6" s="353">
        <v>4.6821785901557727E-3</v>
      </c>
      <c r="S116" s="351">
        <v>0.40368003060148766</v>
      </c>
      <c r="T116" s="326">
        <v>2.2352941176470589</v>
      </c>
      <c r="U116" s="345"/>
      <c r="V116" s="354">
        <v>0.80259999999999998</v>
      </c>
      <c r="W116" s="354">
        <v>0.1237</v>
      </c>
      <c r="X116" s="352">
        <v>5.2600000000000001E-2</v>
      </c>
      <c r="Y116" s="354">
        <v>2.1100000000000001E-2</v>
      </c>
      <c r="Z116" s="38"/>
      <c r="AA116" s="346" cm="1">
        <f t="array" ref="AA11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117" spans="1:27" ht="27.95">
      <c r="A11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MZ0906</v>
      </c>
      <c r="B117" s="347" t="s">
        <v>446</v>
      </c>
      <c r="C117" s="213" t="s">
        <v>447</v>
      </c>
      <c r="D117" s="213" t="s">
        <v>458</v>
      </c>
      <c r="E117" s="103" t="s">
        <v>459</v>
      </c>
      <c r="F117" s="98"/>
      <c r="G117" s="33"/>
      <c r="H117" s="340"/>
      <c r="I117" s="95">
        <v>873500</v>
      </c>
      <c r="J117" s="342"/>
      <c r="K117" s="344"/>
      <c r="L117" s="344"/>
      <c r="M117" s="344"/>
      <c r="N117" s="326" t="str" cm="1">
        <f t="array" ref="N11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7" s="352">
        <v>0.106</v>
      </c>
      <c r="P117" s="351"/>
      <c r="Q117" s="310" cm="1">
        <f t="array" ref="Q11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3</v>
      </c>
      <c r="R117" s="353">
        <v>1.3489410417859187E-2</v>
      </c>
      <c r="S117" s="351">
        <v>0.3668140077054608</v>
      </c>
      <c r="T117" s="326">
        <v>2.8235294117647061</v>
      </c>
      <c r="U117" s="345"/>
      <c r="V117" s="354"/>
      <c r="W117" s="354"/>
      <c r="X117" s="352"/>
      <c r="Y117" s="354"/>
      <c r="Z117" s="38"/>
      <c r="AA117" s="346" t="str" cm="1">
        <f t="array" ref="AA11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8" spans="1:27">
      <c r="A11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MZ0907</v>
      </c>
      <c r="B118" s="347" t="s">
        <v>446</v>
      </c>
      <c r="C118" s="213" t="s">
        <v>447</v>
      </c>
      <c r="D118" s="213" t="s">
        <v>460</v>
      </c>
      <c r="E118" s="103" t="s">
        <v>461</v>
      </c>
      <c r="F118" s="98"/>
      <c r="G118" s="33"/>
      <c r="H118" s="340"/>
      <c r="I118" s="95">
        <v>270074</v>
      </c>
      <c r="J118" s="342"/>
      <c r="K118" s="344"/>
      <c r="L118" s="344"/>
      <c r="M118" s="344"/>
      <c r="N118" s="326" t="str" cm="1">
        <f t="array" ref="N11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8" s="352">
        <v>2.5999999999999999E-2</v>
      </c>
      <c r="P118" s="351"/>
      <c r="Q118" s="310" cm="1">
        <f t="array" ref="Q11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8" s="353">
        <v>1.9024415530558291E-2</v>
      </c>
      <c r="S118" s="351">
        <v>0.37374094646690603</v>
      </c>
      <c r="T118" s="326">
        <v>2.8235294117647061</v>
      </c>
      <c r="U118" s="345"/>
      <c r="V118" s="354"/>
      <c r="W118" s="354"/>
      <c r="X118" s="352"/>
      <c r="Y118" s="354"/>
      <c r="Z118" s="38"/>
      <c r="AA118" s="346" t="str" cm="1">
        <f t="array" ref="AA11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9" spans="1:27">
      <c r="A11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MZ0908</v>
      </c>
      <c r="B119" s="347" t="s">
        <v>446</v>
      </c>
      <c r="C119" s="213" t="s">
        <v>447</v>
      </c>
      <c r="D119" s="213" t="s">
        <v>462</v>
      </c>
      <c r="E119" s="103" t="s">
        <v>463</v>
      </c>
      <c r="F119" s="98"/>
      <c r="G119" s="33"/>
      <c r="H119" s="340"/>
      <c r="I119" s="95">
        <v>220396</v>
      </c>
      <c r="J119" s="342"/>
      <c r="K119" s="344"/>
      <c r="L119" s="344"/>
      <c r="M119" s="344"/>
      <c r="N119" s="326" t="str" cm="1">
        <f t="array" ref="N11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9" s="352">
        <v>4.1000000000000002E-2</v>
      </c>
      <c r="P119" s="351"/>
      <c r="Q119" s="310" cm="1">
        <f t="array" ref="Q11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19" s="353">
        <v>6.2705312256120804E-3</v>
      </c>
      <c r="S119" s="351">
        <v>0.53744348670720798</v>
      </c>
      <c r="T119" s="326">
        <v>1.8235294117647056</v>
      </c>
      <c r="U119" s="345"/>
      <c r="V119" s="354"/>
      <c r="W119" s="354"/>
      <c r="X119" s="352"/>
      <c r="Y119" s="354"/>
      <c r="Z119" s="38"/>
      <c r="AA119" s="346" t="str" cm="1">
        <f t="array" ref="AA11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0" spans="1:27">
      <c r="A12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MZ0909</v>
      </c>
      <c r="B120" s="347" t="s">
        <v>446</v>
      </c>
      <c r="C120" s="213" t="s">
        <v>447</v>
      </c>
      <c r="D120" s="213" t="s">
        <v>464</v>
      </c>
      <c r="E120" s="103" t="s">
        <v>465</v>
      </c>
      <c r="F120" s="98"/>
      <c r="G120" s="33"/>
      <c r="H120" s="340"/>
      <c r="I120" s="95">
        <v>73826</v>
      </c>
      <c r="J120" s="342"/>
      <c r="K120" s="344"/>
      <c r="L120" s="344"/>
      <c r="M120" s="344"/>
      <c r="N120" s="326" t="str" cm="1">
        <f t="array" ref="N12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0" s="352">
        <v>2.3E-2</v>
      </c>
      <c r="P120" s="351"/>
      <c r="Q120" s="310" cm="1">
        <f t="array" ref="Q12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0" s="353">
        <v>3.5624305800124618E-3</v>
      </c>
      <c r="S120" s="351">
        <v>0.4107845103484094</v>
      </c>
      <c r="T120" s="326">
        <v>2.2352941176470589</v>
      </c>
      <c r="U120" s="345"/>
      <c r="V120" s="354">
        <v>0.47810000000000002</v>
      </c>
      <c r="W120" s="354">
        <v>0.41560000000000002</v>
      </c>
      <c r="X120" s="352">
        <v>7.8200000000000006E-2</v>
      </c>
      <c r="Y120" s="354">
        <v>2.81E-2</v>
      </c>
      <c r="Z120" s="38"/>
      <c r="AA120" s="346" cm="1">
        <f t="array" ref="AA12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21" spans="1:27">
      <c r="A12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MZ0910</v>
      </c>
      <c r="B121" s="347" t="s">
        <v>446</v>
      </c>
      <c r="C121" s="213" t="s">
        <v>447</v>
      </c>
      <c r="D121" s="213" t="s">
        <v>466</v>
      </c>
      <c r="E121" s="103" t="s">
        <v>467</v>
      </c>
      <c r="F121" s="98"/>
      <c r="G121" s="33"/>
      <c r="H121" s="340"/>
      <c r="I121" s="95">
        <v>106978</v>
      </c>
      <c r="J121" s="342"/>
      <c r="K121" s="344"/>
      <c r="L121" s="344"/>
      <c r="M121" s="344"/>
      <c r="N121" s="326" t="str" cm="1">
        <f t="array" ref="N12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1" s="352">
        <v>2.3E-2</v>
      </c>
      <c r="P121" s="351"/>
      <c r="Q121" s="310" cm="1">
        <f t="array" ref="Q12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1" s="353">
        <v>1.3161584624876143E-2</v>
      </c>
      <c r="S121" s="351">
        <v>0.8189208972142783</v>
      </c>
      <c r="T121" s="326">
        <v>1.5882352941176472</v>
      </c>
      <c r="U121" s="345"/>
      <c r="V121" s="354"/>
      <c r="W121" s="354"/>
      <c r="X121" s="352"/>
      <c r="Y121" s="354"/>
      <c r="Z121" s="38"/>
      <c r="AA121" s="346" t="str" cm="1">
        <f t="array" ref="AA12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2" spans="1:27">
      <c r="A12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MZ0911</v>
      </c>
      <c r="B122" s="347" t="s">
        <v>446</v>
      </c>
      <c r="C122" s="213" t="s">
        <v>447</v>
      </c>
      <c r="D122" s="213" t="s">
        <v>468</v>
      </c>
      <c r="E122" s="103" t="s">
        <v>469</v>
      </c>
      <c r="F122" s="98"/>
      <c r="G122" s="33"/>
      <c r="H122" s="340"/>
      <c r="I122" s="95">
        <v>195744</v>
      </c>
      <c r="J122" s="342"/>
      <c r="K122" s="344"/>
      <c r="L122" s="344"/>
      <c r="M122" s="344"/>
      <c r="N122" s="326" t="str" cm="1">
        <f t="array" ref="N12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2" s="352">
        <v>2.3E-2</v>
      </c>
      <c r="P122" s="351"/>
      <c r="Q122" s="310" cm="1">
        <f t="array" ref="Q12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2" s="353">
        <v>8.9657920549288863E-3</v>
      </c>
      <c r="S122" s="351">
        <v>0.31553043339863979</v>
      </c>
      <c r="T122" s="326">
        <v>2.2352941176470589</v>
      </c>
      <c r="U122" s="345"/>
      <c r="V122" s="354"/>
      <c r="W122" s="354"/>
      <c r="X122" s="352"/>
      <c r="Y122" s="354"/>
      <c r="Z122" s="38"/>
      <c r="AA122" s="346" t="str" cm="1">
        <f t="array" ref="AA12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3" spans="1:27">
      <c r="A12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MZ0912</v>
      </c>
      <c r="B123" s="347" t="s">
        <v>446</v>
      </c>
      <c r="C123" s="213" t="s">
        <v>447</v>
      </c>
      <c r="D123" s="213" t="s">
        <v>470</v>
      </c>
      <c r="E123" s="103" t="s">
        <v>471</v>
      </c>
      <c r="F123" s="98"/>
      <c r="G123" s="33"/>
      <c r="H123" s="340"/>
      <c r="I123" s="95">
        <v>46564</v>
      </c>
      <c r="J123" s="342"/>
      <c r="K123" s="344"/>
      <c r="L123" s="344"/>
      <c r="M123" s="344"/>
      <c r="N123" s="326" t="str" cm="1">
        <f t="array" ref="N12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3" s="352">
        <v>2.3E-2</v>
      </c>
      <c r="P123" s="351"/>
      <c r="Q123" s="310" cm="1">
        <f t="array" ref="Q12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3" s="353">
        <v>1.0093634567477021E-2</v>
      </c>
      <c r="S123" s="351">
        <v>0.5654217243865397</v>
      </c>
      <c r="T123" s="326">
        <v>2.4117647058823528</v>
      </c>
      <c r="U123" s="345"/>
      <c r="V123" s="354">
        <v>0.34820000000000001</v>
      </c>
      <c r="W123" s="354">
        <v>0.40179999999999999</v>
      </c>
      <c r="X123" s="352">
        <v>0.1905</v>
      </c>
      <c r="Y123" s="354">
        <v>5.9499999999999997E-2</v>
      </c>
      <c r="Z123" s="38"/>
      <c r="AA123" s="346" cm="1">
        <f t="array" ref="AA12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124" spans="1:27">
      <c r="A12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MZ0913</v>
      </c>
      <c r="B124" s="347" t="s">
        <v>446</v>
      </c>
      <c r="C124" s="213" t="s">
        <v>447</v>
      </c>
      <c r="D124" s="213" t="s">
        <v>472</v>
      </c>
      <c r="E124" s="103" t="s">
        <v>473</v>
      </c>
      <c r="F124" s="98"/>
      <c r="G124" s="33"/>
      <c r="H124" s="340"/>
      <c r="I124" s="95">
        <v>364464</v>
      </c>
      <c r="J124" s="342"/>
      <c r="K124" s="344"/>
      <c r="L124" s="344"/>
      <c r="M124" s="344"/>
      <c r="N124" s="326" t="str" cm="1">
        <f t="array" ref="N12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4" s="352">
        <v>2.3E-2</v>
      </c>
      <c r="P124" s="351"/>
      <c r="Q124" s="310" cm="1">
        <f t="array" ref="Q12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4" s="353">
        <v>1.1721322270512313E-2</v>
      </c>
      <c r="S124" s="351">
        <v>0.53928939299041856</v>
      </c>
      <c r="T124" s="326">
        <v>2.4117647058823528</v>
      </c>
      <c r="U124" s="345"/>
      <c r="V124" s="354"/>
      <c r="W124" s="354"/>
      <c r="X124" s="352"/>
      <c r="Y124" s="354"/>
      <c r="Z124" s="38"/>
      <c r="AA124" s="346" t="str" cm="1">
        <f t="array" ref="AA12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5" spans="1:27">
      <c r="A12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MZ1001</v>
      </c>
      <c r="B125" s="347" t="s">
        <v>474</v>
      </c>
      <c r="C125" s="213" t="s">
        <v>475</v>
      </c>
      <c r="D125" s="213" t="s">
        <v>476</v>
      </c>
      <c r="E125" s="103" t="s">
        <v>477</v>
      </c>
      <c r="F125" s="98"/>
      <c r="G125" s="33"/>
      <c r="H125" s="340"/>
      <c r="I125" s="95">
        <v>653486</v>
      </c>
      <c r="J125" s="342"/>
      <c r="K125" s="344"/>
      <c r="L125" s="344"/>
      <c r="M125" s="344"/>
      <c r="N125" s="326" t="str" cm="1">
        <f t="array" ref="N12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5" s="352"/>
      <c r="P125" s="351"/>
      <c r="Q125" s="310" t="str" cm="1">
        <f t="array" ref="Q12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25" s="353">
        <v>2.6519313344126731E-3</v>
      </c>
      <c r="S125" s="351">
        <v>0.41418674754474477</v>
      </c>
      <c r="T125" s="326">
        <v>2.2352941176470589</v>
      </c>
      <c r="U125" s="345"/>
      <c r="V125" s="354"/>
      <c r="W125" s="354"/>
      <c r="X125" s="352"/>
      <c r="Y125" s="354"/>
      <c r="Z125" s="38"/>
      <c r="AA125" s="346" t="str" cm="1">
        <f t="array" ref="AA12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6" spans="1:27" ht="27.95">
      <c r="A12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MZ1002</v>
      </c>
      <c r="B126" s="347" t="s">
        <v>474</v>
      </c>
      <c r="C126" s="213" t="s">
        <v>475</v>
      </c>
      <c r="D126" s="213" t="s">
        <v>478</v>
      </c>
      <c r="E126" s="103" t="s">
        <v>479</v>
      </c>
      <c r="F126" s="98"/>
      <c r="G126" s="33"/>
      <c r="H126" s="340"/>
      <c r="I126" s="95">
        <v>176851</v>
      </c>
      <c r="J126" s="342"/>
      <c r="K126" s="344"/>
      <c r="L126" s="344"/>
      <c r="M126" s="344"/>
      <c r="N126" s="326" t="str" cm="1">
        <f t="array" ref="N12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6" s="352"/>
      <c r="P126" s="351"/>
      <c r="Q126" s="310" t="str" cm="1">
        <f t="array" ref="Q12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26" s="353">
        <v>3.495597989267802E-2</v>
      </c>
      <c r="S126" s="351">
        <v>0.3292507341508823</v>
      </c>
      <c r="T126" s="326">
        <v>2.8235294117647061</v>
      </c>
      <c r="U126" s="345"/>
      <c r="V126" s="354"/>
      <c r="W126" s="354"/>
      <c r="X126" s="352"/>
      <c r="Y126" s="354"/>
      <c r="Z126" s="38"/>
      <c r="AA126" s="346" t="str" cm="1">
        <f t="array" ref="AA12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7" spans="1:27">
      <c r="A12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MZ1003</v>
      </c>
      <c r="B127" s="347" t="s">
        <v>474</v>
      </c>
      <c r="C127" s="213" t="s">
        <v>475</v>
      </c>
      <c r="D127" s="213" t="s">
        <v>480</v>
      </c>
      <c r="E127" s="103" t="s">
        <v>481</v>
      </c>
      <c r="F127" s="98"/>
      <c r="G127" s="33"/>
      <c r="H127" s="340"/>
      <c r="I127" s="95">
        <v>161576</v>
      </c>
      <c r="J127" s="342"/>
      <c r="K127" s="344"/>
      <c r="L127" s="344"/>
      <c r="M127" s="344"/>
      <c r="N127" s="326" t="str" cm="1">
        <f t="array" ref="N12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7" s="352">
        <v>0.01</v>
      </c>
      <c r="P127" s="351"/>
      <c r="Q127" s="310" cm="1">
        <f t="array" ref="Q12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27" s="353">
        <v>8.8070010397583807E-3</v>
      </c>
      <c r="S127" s="351">
        <v>0.42761036998991331</v>
      </c>
      <c r="T127" s="326">
        <v>2.2352941176470589</v>
      </c>
      <c r="U127" s="345"/>
      <c r="V127" s="354">
        <v>0.63600000000000001</v>
      </c>
      <c r="W127" s="354">
        <v>0.249</v>
      </c>
      <c r="X127" s="352">
        <v>9.1999999999999998E-2</v>
      </c>
      <c r="Y127" s="354">
        <v>2.3E-2</v>
      </c>
      <c r="Z127" s="38"/>
      <c r="AA127" s="346" cm="1">
        <f t="array" ref="AA12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28" spans="1:27">
      <c r="A12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MZ1004</v>
      </c>
      <c r="B128" s="347" t="s">
        <v>474</v>
      </c>
      <c r="C128" s="213" t="s">
        <v>475</v>
      </c>
      <c r="D128" s="213" t="s">
        <v>482</v>
      </c>
      <c r="E128" s="103" t="s">
        <v>483</v>
      </c>
      <c r="F128" s="98"/>
      <c r="G128" s="33"/>
      <c r="H128" s="340"/>
      <c r="I128" s="95">
        <v>207379</v>
      </c>
      <c r="J128" s="342"/>
      <c r="K128" s="344"/>
      <c r="L128" s="344"/>
      <c r="M128" s="344"/>
      <c r="N128" s="326" t="str" cm="1">
        <f t="array" ref="N12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8" s="352"/>
      <c r="P128" s="351"/>
      <c r="Q128" s="310" t="str" cm="1">
        <f t="array" ref="Q12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28" s="353">
        <v>1.8806147199089589E-3</v>
      </c>
      <c r="S128" s="351">
        <v>0.41574258816874204</v>
      </c>
      <c r="T128" s="326">
        <v>2.2352941176470589</v>
      </c>
      <c r="U128" s="345"/>
      <c r="V128" s="354"/>
      <c r="W128" s="354"/>
      <c r="X128" s="352"/>
      <c r="Y128" s="354"/>
      <c r="Z128" s="38"/>
      <c r="AA128" s="346" t="str" cm="1">
        <f t="array" ref="AA12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9" spans="1:27">
      <c r="A12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MZ1005</v>
      </c>
      <c r="B129" s="347" t="s">
        <v>474</v>
      </c>
      <c r="C129" s="213" t="s">
        <v>475</v>
      </c>
      <c r="D129" s="213" t="s">
        <v>484</v>
      </c>
      <c r="E129" s="103" t="s">
        <v>485</v>
      </c>
      <c r="F129" s="98"/>
      <c r="G129" s="33"/>
      <c r="H129" s="340"/>
      <c r="I129" s="95">
        <v>130316</v>
      </c>
      <c r="J129" s="342"/>
      <c r="K129" s="344"/>
      <c r="L129" s="344"/>
      <c r="M129" s="344"/>
      <c r="N129" s="326" t="str" cm="1">
        <f t="array" ref="N12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9" s="352"/>
      <c r="P129" s="351"/>
      <c r="Q129" s="310" t="str" cm="1">
        <f t="array" ref="Q12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29" s="353">
        <v>4.0977316676386625E-3</v>
      </c>
      <c r="S129" s="351">
        <v>0.47998643858147838</v>
      </c>
      <c r="T129" s="326">
        <v>2.2352941176470589</v>
      </c>
      <c r="U129" s="345"/>
      <c r="V129" s="354"/>
      <c r="W129" s="354"/>
      <c r="X129" s="352"/>
      <c r="Y129" s="354"/>
      <c r="Z129" s="38"/>
      <c r="AA129" s="346" t="str" cm="1">
        <f t="array" ref="AA12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0" spans="1:27" ht="27.95">
      <c r="A13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MZ1006</v>
      </c>
      <c r="B130" s="347" t="s">
        <v>474</v>
      </c>
      <c r="C130" s="213" t="s">
        <v>475</v>
      </c>
      <c r="D130" s="213" t="s">
        <v>486</v>
      </c>
      <c r="E130" s="103" t="s">
        <v>487</v>
      </c>
      <c r="F130" s="98"/>
      <c r="G130" s="33"/>
      <c r="H130" s="340"/>
      <c r="I130" s="95">
        <v>460248</v>
      </c>
      <c r="J130" s="342"/>
      <c r="K130" s="344"/>
      <c r="L130" s="344"/>
      <c r="M130" s="344"/>
      <c r="N130" s="326" t="str" cm="1">
        <f t="array" ref="N13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0" s="352"/>
      <c r="P130" s="351"/>
      <c r="Q130" s="310" t="str" cm="1">
        <f t="array" ref="Q13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0" s="353">
        <v>2.2140237437207767E-2</v>
      </c>
      <c r="S130" s="351">
        <v>0.45075248349613323</v>
      </c>
      <c r="T130" s="326">
        <v>2.8235294117647061</v>
      </c>
      <c r="U130" s="345"/>
      <c r="V130" s="354"/>
      <c r="W130" s="354"/>
      <c r="X130" s="352"/>
      <c r="Y130" s="354"/>
      <c r="Z130" s="38"/>
      <c r="AA130" s="346" t="str" cm="1">
        <f t="array" ref="AA13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1" spans="1:27">
      <c r="A13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MZ1007</v>
      </c>
      <c r="B131" s="347" t="s">
        <v>474</v>
      </c>
      <c r="C131" s="213" t="s">
        <v>475</v>
      </c>
      <c r="D131" s="213" t="s">
        <v>488</v>
      </c>
      <c r="E131" s="103" t="s">
        <v>489</v>
      </c>
      <c r="F131" s="98"/>
      <c r="G131" s="33"/>
      <c r="H131" s="340"/>
      <c r="I131" s="95">
        <v>109437</v>
      </c>
      <c r="J131" s="342"/>
      <c r="K131" s="344"/>
      <c r="L131" s="344"/>
      <c r="M131" s="344"/>
      <c r="N131" s="326" t="str" cm="1">
        <f t="array" ref="N13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1" s="352"/>
      <c r="P131" s="351">
        <v>4.7E-2</v>
      </c>
      <c r="Q131" s="310" cm="1">
        <f t="array" ref="Q13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31" s="353">
        <v>2.5494119904602647E-3</v>
      </c>
      <c r="S131" s="351">
        <v>0.4537823454819031</v>
      </c>
      <c r="T131" s="326">
        <v>2.2352941176470589</v>
      </c>
      <c r="U131" s="345"/>
      <c r="V131" s="354">
        <v>0.76300000000000001</v>
      </c>
      <c r="W131" s="354">
        <v>0.13400000000000001</v>
      </c>
      <c r="X131" s="352">
        <v>5.7000000000000002E-2</v>
      </c>
      <c r="Y131" s="354">
        <v>4.7E-2</v>
      </c>
      <c r="Z131" s="38"/>
      <c r="AA131" s="346" cm="1">
        <f t="array" ref="AA13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32" spans="1:27">
      <c r="A13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MZ1008</v>
      </c>
      <c r="B132" s="347" t="s">
        <v>474</v>
      </c>
      <c r="C132" s="213" t="s">
        <v>475</v>
      </c>
      <c r="D132" s="213" t="s">
        <v>490</v>
      </c>
      <c r="E132" s="103" t="s">
        <v>491</v>
      </c>
      <c r="F132" s="98"/>
      <c r="G132" s="33"/>
      <c r="H132" s="340"/>
      <c r="I132" s="95">
        <v>206662</v>
      </c>
      <c r="J132" s="342"/>
      <c r="K132" s="344"/>
      <c r="L132" s="344"/>
      <c r="M132" s="344"/>
      <c r="N132" s="326" t="str" cm="1">
        <f t="array" ref="N13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2" s="352"/>
      <c r="P132" s="351"/>
      <c r="Q132" s="310" t="str" cm="1">
        <f t="array" ref="Q13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2" s="353">
        <v>1.7758465513737407E-3</v>
      </c>
      <c r="S132" s="351">
        <v>0.5138675982512787</v>
      </c>
      <c r="T132" s="326">
        <v>1.8235294117647056</v>
      </c>
      <c r="U132" s="345"/>
      <c r="V132" s="354"/>
      <c r="W132" s="354"/>
      <c r="X132" s="352"/>
      <c r="Y132" s="354"/>
      <c r="Z132" s="38"/>
      <c r="AA132" s="346" t="str" cm="1">
        <f t="array" ref="AA13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3" spans="1:27">
      <c r="A13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MZ1009</v>
      </c>
      <c r="B133" s="347" t="s">
        <v>474</v>
      </c>
      <c r="C133" s="213" t="s">
        <v>475</v>
      </c>
      <c r="D133" s="213" t="s">
        <v>492</v>
      </c>
      <c r="E133" s="103" t="s">
        <v>493</v>
      </c>
      <c r="F133" s="98"/>
      <c r="G133" s="33"/>
      <c r="H133" s="340"/>
      <c r="I133" s="95">
        <v>120444</v>
      </c>
      <c r="J133" s="342"/>
      <c r="K133" s="344"/>
      <c r="L133" s="344"/>
      <c r="M133" s="344"/>
      <c r="N133" s="326" t="str" cm="1">
        <f t="array" ref="N13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3" s="352"/>
      <c r="P133" s="351"/>
      <c r="Q133" s="310" t="str" cm="1">
        <f t="array" ref="Q13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3" s="353">
        <v>3.4123742154030089E-3</v>
      </c>
      <c r="S133" s="351">
        <v>0.41580222276068779</v>
      </c>
      <c r="T133" s="326">
        <v>2.2352941176470589</v>
      </c>
      <c r="U133" s="345"/>
      <c r="V133" s="354">
        <v>0.67100000000000004</v>
      </c>
      <c r="W133" s="354">
        <v>0.22</v>
      </c>
      <c r="X133" s="352">
        <v>4.7E-2</v>
      </c>
      <c r="Y133" s="354">
        <v>6.2E-2</v>
      </c>
      <c r="Z133" s="38"/>
      <c r="AA133" s="346" cm="1">
        <f t="array" ref="AA13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34" spans="1:27">
      <c r="A13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MZ1010</v>
      </c>
      <c r="B134" s="347" t="s">
        <v>474</v>
      </c>
      <c r="C134" s="213" t="s">
        <v>475</v>
      </c>
      <c r="D134" s="213" t="s">
        <v>494</v>
      </c>
      <c r="E134" s="103" t="s">
        <v>495</v>
      </c>
      <c r="F134" s="98"/>
      <c r="G134" s="33"/>
      <c r="H134" s="340"/>
      <c r="I134" s="95">
        <v>94569</v>
      </c>
      <c r="J134" s="342"/>
      <c r="K134" s="344"/>
      <c r="L134" s="344"/>
      <c r="M134" s="344"/>
      <c r="N134" s="326" t="str" cm="1">
        <f t="array" ref="N13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4" s="352">
        <v>2.5999999999999999E-2</v>
      </c>
      <c r="P134" s="351"/>
      <c r="Q134" s="310" cm="1">
        <f t="array" ref="Q13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34" s="353">
        <v>3.119415453266927E-3</v>
      </c>
      <c r="S134" s="351">
        <v>0.67634958972893255</v>
      </c>
      <c r="T134" s="326">
        <v>1.8235294117647056</v>
      </c>
      <c r="U134" s="345"/>
      <c r="V134" s="354">
        <v>0.63</v>
      </c>
      <c r="W134" s="354">
        <v>0.128</v>
      </c>
      <c r="X134" s="352">
        <v>0.14199999999999999</v>
      </c>
      <c r="Y134" s="354">
        <v>0.1</v>
      </c>
      <c r="Z134" s="38"/>
      <c r="AA134" s="346" cm="1">
        <f t="array" ref="AA13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135" spans="1:27">
      <c r="A13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MZ1011</v>
      </c>
      <c r="B135" s="347" t="s">
        <v>474</v>
      </c>
      <c r="C135" s="213" t="s">
        <v>475</v>
      </c>
      <c r="D135" s="213" t="s">
        <v>496</v>
      </c>
      <c r="E135" s="103" t="s">
        <v>497</v>
      </c>
      <c r="F135" s="98"/>
      <c r="G135" s="33"/>
      <c r="H135" s="340"/>
      <c r="I135" s="95">
        <v>159367</v>
      </c>
      <c r="J135" s="342"/>
      <c r="K135" s="344"/>
      <c r="L135" s="344"/>
      <c r="M135" s="344"/>
      <c r="N135" s="326" t="str" cm="1">
        <f t="array" ref="N13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5" s="352"/>
      <c r="P135" s="351"/>
      <c r="Q135" s="310" t="str" cm="1">
        <f t="array" ref="Q13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5" s="353">
        <v>2.0211210601943939E-2</v>
      </c>
      <c r="S135" s="351">
        <v>0.92962723720351503</v>
      </c>
      <c r="T135" s="326">
        <v>1.5882352941176472</v>
      </c>
      <c r="U135" s="345"/>
      <c r="V135" s="354"/>
      <c r="W135" s="354"/>
      <c r="X135" s="352"/>
      <c r="Y135" s="354"/>
      <c r="Z135" s="38"/>
      <c r="AA135" s="346" t="str" cm="1">
        <f t="array" ref="AA13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6" spans="1:27">
      <c r="A13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MZ1012</v>
      </c>
      <c r="B136" s="347" t="s">
        <v>474</v>
      </c>
      <c r="C136" s="213" t="s">
        <v>475</v>
      </c>
      <c r="D136" s="213" t="s">
        <v>498</v>
      </c>
      <c r="E136" s="103" t="s">
        <v>499</v>
      </c>
      <c r="F136" s="98"/>
      <c r="G136" s="33"/>
      <c r="H136" s="340"/>
      <c r="I136" s="95">
        <v>349103</v>
      </c>
      <c r="J136" s="342"/>
      <c r="K136" s="344"/>
      <c r="L136" s="344"/>
      <c r="M136" s="344"/>
      <c r="N136" s="326" t="str" cm="1">
        <f t="array" ref="N13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6" s="352">
        <v>3.1E-2</v>
      </c>
      <c r="P136" s="351"/>
      <c r="Q136" s="310" cm="1">
        <f t="array" ref="Q13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36" s="353">
        <v>6.2904071291280794E-3</v>
      </c>
      <c r="S136" s="351">
        <v>0.30015529505307681</v>
      </c>
      <c r="T136" s="326">
        <v>2.2352941176470589</v>
      </c>
      <c r="U136" s="345"/>
      <c r="V136" s="354">
        <v>0.55300000000000005</v>
      </c>
      <c r="W136" s="354">
        <v>0.26300000000000001</v>
      </c>
      <c r="X136" s="352">
        <v>0.14000000000000001</v>
      </c>
      <c r="Y136" s="354">
        <v>4.3999999999999997E-2</v>
      </c>
      <c r="Z136" s="38"/>
      <c r="AA136" s="346" cm="1">
        <f t="array" ref="AA13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37" spans="1:27">
      <c r="A13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MZ1013</v>
      </c>
      <c r="B137" s="347" t="s">
        <v>474</v>
      </c>
      <c r="C137" s="213" t="s">
        <v>475</v>
      </c>
      <c r="D137" s="213" t="s">
        <v>500</v>
      </c>
      <c r="E137" s="103" t="s">
        <v>501</v>
      </c>
      <c r="F137" s="98"/>
      <c r="G137" s="33"/>
      <c r="H137" s="340"/>
      <c r="I137" s="95">
        <v>215009</v>
      </c>
      <c r="J137" s="342"/>
      <c r="K137" s="344"/>
      <c r="L137" s="344"/>
      <c r="M137" s="344"/>
      <c r="N137" s="326" t="str" cm="1">
        <f t="array" ref="N13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7" s="352"/>
      <c r="P137" s="351">
        <v>4.7E-2</v>
      </c>
      <c r="Q137" s="310" cm="1">
        <f t="array" ref="Q13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37" s="353">
        <v>1.3729657828276957E-2</v>
      </c>
      <c r="S137" s="351">
        <v>0.21227364615112965</v>
      </c>
      <c r="T137" s="326">
        <v>3.2352941176470589</v>
      </c>
      <c r="U137" s="345"/>
      <c r="V137" s="354">
        <v>0.42599999999999999</v>
      </c>
      <c r="W137" s="354">
        <v>6.5000000000000002E-2</v>
      </c>
      <c r="X137" s="352">
        <v>0.158</v>
      </c>
      <c r="Y137" s="354">
        <v>0.35099999999999998</v>
      </c>
      <c r="Z137" s="38"/>
      <c r="AA137" s="346" cm="1">
        <f t="array" ref="AA13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4</v>
      </c>
    </row>
    <row r="138" spans="1:27">
      <c r="A13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MZ1014</v>
      </c>
      <c r="B138" s="347" t="s">
        <v>474</v>
      </c>
      <c r="C138" s="213" t="s">
        <v>475</v>
      </c>
      <c r="D138" s="213" t="s">
        <v>502</v>
      </c>
      <c r="E138" s="103" t="s">
        <v>503</v>
      </c>
      <c r="F138" s="98"/>
      <c r="G138" s="33"/>
      <c r="H138" s="340"/>
      <c r="I138" s="95">
        <v>287629</v>
      </c>
      <c r="J138" s="342"/>
      <c r="K138" s="344"/>
      <c r="L138" s="344"/>
      <c r="M138" s="344"/>
      <c r="N138" s="326" t="str" cm="1">
        <f t="array" ref="N13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8" s="352"/>
      <c r="P138" s="351"/>
      <c r="Q138" s="310" t="str" cm="1">
        <f t="array" ref="Q13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8" s="353">
        <v>3.5218980005493187E-3</v>
      </c>
      <c r="S138" s="351">
        <v>0.43058832512919815</v>
      </c>
      <c r="T138" s="326">
        <v>2.2352941176470589</v>
      </c>
      <c r="U138" s="345"/>
      <c r="V138" s="354"/>
      <c r="W138" s="354"/>
      <c r="X138" s="352"/>
      <c r="Y138" s="354"/>
      <c r="Z138" s="38"/>
      <c r="AA138" s="346" t="str" cm="1">
        <f t="array" ref="AA13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9" spans="1:27">
      <c r="A13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MZ1015</v>
      </c>
      <c r="B139" s="347" t="s">
        <v>474</v>
      </c>
      <c r="C139" s="213" t="s">
        <v>475</v>
      </c>
      <c r="D139" s="213" t="s">
        <v>504</v>
      </c>
      <c r="E139" s="103" t="s">
        <v>505</v>
      </c>
      <c r="F139" s="98"/>
      <c r="G139" s="33"/>
      <c r="H139" s="340"/>
      <c r="I139" s="95">
        <v>100885</v>
      </c>
      <c r="J139" s="342"/>
      <c r="K139" s="344"/>
      <c r="L139" s="344"/>
      <c r="M139" s="344"/>
      <c r="N139" s="326" t="str" cm="1">
        <f t="array" ref="N13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9" s="352"/>
      <c r="P139" s="351"/>
      <c r="Q139" s="310" t="str" cm="1">
        <f t="array" ref="Q13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9" s="353">
        <v>9.3175397730088719E-3</v>
      </c>
      <c r="S139" s="351">
        <v>0.50773899645368725</v>
      </c>
      <c r="T139" s="326">
        <v>1.8235294117647056</v>
      </c>
      <c r="U139" s="345"/>
      <c r="V139" s="354"/>
      <c r="W139" s="354"/>
      <c r="X139" s="352"/>
      <c r="Y139" s="354"/>
      <c r="Z139" s="38"/>
      <c r="AA139" s="346" t="str" cm="1">
        <f t="array" ref="AA13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0" spans="1:27" ht="27.95">
      <c r="A14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MZ1101</v>
      </c>
      <c r="B140" s="347" t="s">
        <v>506</v>
      </c>
      <c r="C140" s="213" t="s">
        <v>507</v>
      </c>
      <c r="D140" s="213" t="s">
        <v>508</v>
      </c>
      <c r="E140" s="103" t="s">
        <v>509</v>
      </c>
      <c r="F140" s="98"/>
      <c r="G140" s="33"/>
      <c r="H140" s="340"/>
      <c r="I140" s="95">
        <v>429472</v>
      </c>
      <c r="J140" s="342"/>
      <c r="K140" s="344"/>
      <c r="L140" s="344"/>
      <c r="M140" s="344"/>
      <c r="N140" s="326" t="str" cm="1">
        <f t="array" ref="N14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0" s="352"/>
      <c r="P140" s="351"/>
      <c r="Q140" s="310" t="str" cm="1">
        <f t="array" ref="Q14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0" s="353">
        <v>7.1995380374040687E-3</v>
      </c>
      <c r="S140" s="351">
        <v>0.4878714323558524</v>
      </c>
      <c r="T140" s="326">
        <v>2.2352941176470589</v>
      </c>
      <c r="U140" s="345"/>
      <c r="V140" s="354"/>
      <c r="W140" s="354"/>
      <c r="X140" s="352"/>
      <c r="Y140" s="354"/>
      <c r="Z140" s="38"/>
      <c r="AA140" s="346" t="str" cm="1">
        <f t="array" ref="AA14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1" spans="1:27">
      <c r="A14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MZ1102</v>
      </c>
      <c r="B141" s="347" t="s">
        <v>506</v>
      </c>
      <c r="C141" s="213" t="s">
        <v>507</v>
      </c>
      <c r="D141" s="213" t="s">
        <v>510</v>
      </c>
      <c r="E141" s="103" t="s">
        <v>511</v>
      </c>
      <c r="F141" s="98"/>
      <c r="G141" s="33"/>
      <c r="H141" s="340"/>
      <c r="I141" s="95">
        <v>109426</v>
      </c>
      <c r="J141" s="342"/>
      <c r="K141" s="344"/>
      <c r="L141" s="344"/>
      <c r="M141" s="344"/>
      <c r="N141" s="326" t="str" cm="1">
        <f t="array" ref="N14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1" s="352"/>
      <c r="P141" s="351"/>
      <c r="Q141" s="310" t="str" cm="1">
        <f t="array" ref="Q14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1" s="353">
        <v>1.9638842688209382E-2</v>
      </c>
      <c r="S141" s="351">
        <v>0.49657130710626968</v>
      </c>
      <c r="T141" s="326">
        <v>2.8235294117647061</v>
      </c>
      <c r="U141" s="345"/>
      <c r="V141" s="354"/>
      <c r="W141" s="354"/>
      <c r="X141" s="352"/>
      <c r="Y141" s="354"/>
      <c r="Z141" s="38"/>
      <c r="AA141" s="346" t="str" cm="1">
        <f t="array" ref="AA14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2" spans="1:27" ht="27.95">
      <c r="A14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MZ1103</v>
      </c>
      <c r="B142" s="347" t="s">
        <v>506</v>
      </c>
      <c r="C142" s="213" t="s">
        <v>507</v>
      </c>
      <c r="D142" s="213" t="s">
        <v>512</v>
      </c>
      <c r="E142" s="103" t="s">
        <v>513</v>
      </c>
      <c r="F142" s="98"/>
      <c r="G142" s="33"/>
      <c r="H142" s="340"/>
      <c r="I142" s="95">
        <v>502879</v>
      </c>
      <c r="J142" s="342"/>
      <c r="K142" s="344"/>
      <c r="L142" s="344"/>
      <c r="M142" s="344"/>
      <c r="N142" s="326" t="str" cm="1">
        <f t="array" ref="N14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2" s="352"/>
      <c r="P142" s="351"/>
      <c r="Q142" s="310" t="str" cm="1">
        <f t="array" ref="Q14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2" s="353">
        <v>2.2993602834876781E-2</v>
      </c>
      <c r="S142" s="351">
        <v>0.35900662964594782</v>
      </c>
      <c r="T142" s="326">
        <v>2.8235294117647061</v>
      </c>
      <c r="U142" s="345"/>
      <c r="V142" s="354"/>
      <c r="W142" s="354"/>
      <c r="X142" s="352"/>
      <c r="Y142" s="354"/>
      <c r="Z142" s="38"/>
      <c r="AA142" s="346" t="str" cm="1">
        <f t="array" ref="AA14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3" spans="1:27">
      <c r="A14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MZ1104</v>
      </c>
      <c r="B143" s="347" t="s">
        <v>506</v>
      </c>
      <c r="C143" s="213" t="s">
        <v>507</v>
      </c>
      <c r="D143" s="213" t="s">
        <v>514</v>
      </c>
      <c r="E143" s="103" t="s">
        <v>515</v>
      </c>
      <c r="F143" s="98"/>
      <c r="G143" s="33"/>
      <c r="H143" s="340"/>
      <c r="I143" s="95">
        <v>132396</v>
      </c>
      <c r="J143" s="342"/>
      <c r="K143" s="344"/>
      <c r="L143" s="344"/>
      <c r="M143" s="344"/>
      <c r="N143" s="326" t="str" cm="1">
        <f t="array" ref="N14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3" s="352"/>
      <c r="P143" s="351">
        <v>0.05</v>
      </c>
      <c r="Q143" s="310" cm="1">
        <f t="array" ref="Q14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43" s="353">
        <v>2.7644339708148284E-3</v>
      </c>
      <c r="S143" s="351">
        <v>0.56947444618242948</v>
      </c>
      <c r="T143" s="326">
        <v>1.8235294117647056</v>
      </c>
      <c r="U143" s="345"/>
      <c r="V143" s="354">
        <v>0.503</v>
      </c>
      <c r="W143" s="354">
        <v>0.106</v>
      </c>
      <c r="X143" s="352">
        <v>0.193</v>
      </c>
      <c r="Y143" s="354">
        <v>0.19800000000000001</v>
      </c>
      <c r="Z143" s="38"/>
      <c r="AA143" s="346" cm="1">
        <f t="array" ref="AA14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row r="144" spans="1:27">
      <c r="A14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MZ1105</v>
      </c>
      <c r="B144" s="347" t="s">
        <v>506</v>
      </c>
      <c r="C144" s="213" t="s">
        <v>507</v>
      </c>
      <c r="D144" s="213" t="s">
        <v>516</v>
      </c>
      <c r="E144" s="103" t="s">
        <v>517</v>
      </c>
      <c r="F144" s="98"/>
      <c r="G144" s="33"/>
      <c r="H144" s="340"/>
      <c r="I144" s="95">
        <v>258617</v>
      </c>
      <c r="J144" s="342"/>
      <c r="K144" s="344"/>
      <c r="L144" s="344"/>
      <c r="M144" s="344"/>
      <c r="N144" s="326" t="str" cm="1">
        <f t="array" ref="N14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4" s="352"/>
      <c r="P144" s="351"/>
      <c r="Q144" s="310" t="str" cm="1">
        <f t="array" ref="Q14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4" s="353">
        <v>3.8512549445705426E-3</v>
      </c>
      <c r="S144" s="351">
        <v>0.59974051072872292</v>
      </c>
      <c r="T144" s="326">
        <v>1.8235294117647056</v>
      </c>
      <c r="U144" s="345"/>
      <c r="V144" s="354"/>
      <c r="W144" s="354"/>
      <c r="X144" s="352"/>
      <c r="Y144" s="354"/>
      <c r="Z144" s="38"/>
      <c r="AA144" s="346" t="str" cm="1">
        <f t="array" ref="AA14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5" spans="1:27">
      <c r="A14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MZ1106</v>
      </c>
      <c r="B145" s="347" t="s">
        <v>506</v>
      </c>
      <c r="C145" s="213" t="s">
        <v>507</v>
      </c>
      <c r="D145" s="213" t="s">
        <v>518</v>
      </c>
      <c r="E145" s="103" t="s">
        <v>519</v>
      </c>
      <c r="F145" s="98"/>
      <c r="G145" s="33"/>
      <c r="H145" s="340"/>
      <c r="I145" s="95">
        <v>527624</v>
      </c>
      <c r="J145" s="342"/>
      <c r="K145" s="344"/>
      <c r="L145" s="344"/>
      <c r="M145" s="344"/>
      <c r="N145" s="326" t="str" cm="1">
        <f t="array" ref="N14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5" s="352"/>
      <c r="P145" s="351"/>
      <c r="Q145" s="310" t="str" cm="1">
        <f t="array" ref="Q14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5" s="353">
        <v>1.0778508938183252E-2</v>
      </c>
      <c r="S145" s="351">
        <v>0.60888705122845899</v>
      </c>
      <c r="T145" s="326">
        <v>2.4117647058823528</v>
      </c>
      <c r="U145" s="345"/>
      <c r="V145" s="354"/>
      <c r="W145" s="354"/>
      <c r="X145" s="352"/>
      <c r="Y145" s="354"/>
      <c r="Z145" s="38"/>
      <c r="AA145" s="346" t="str" cm="1">
        <f t="array" ref="AA14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6" spans="1:27">
      <c r="A14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MZ1107</v>
      </c>
      <c r="B146" s="347" t="s">
        <v>506</v>
      </c>
      <c r="C146" s="213" t="s">
        <v>507</v>
      </c>
      <c r="D146" s="213" t="s">
        <v>520</v>
      </c>
      <c r="E146" s="103" t="s">
        <v>521</v>
      </c>
      <c r="F146" s="98"/>
      <c r="G146" s="33"/>
      <c r="H146" s="340"/>
      <c r="I146" s="95">
        <v>246872</v>
      </c>
      <c r="J146" s="342"/>
      <c r="K146" s="344"/>
      <c r="L146" s="344"/>
      <c r="M146" s="344"/>
      <c r="N146" s="326" t="str" cm="1">
        <f t="array" ref="N14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6" s="352"/>
      <c r="P146" s="351"/>
      <c r="Q146" s="310" t="str" cm="1">
        <f t="array" ref="Q14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6" s="353">
        <v>5.6993097637642182E-3</v>
      </c>
      <c r="S146" s="351">
        <v>0.75155319062855086</v>
      </c>
      <c r="T146" s="326">
        <v>1.411764705882353</v>
      </c>
      <c r="U146" s="345"/>
      <c r="V146" s="354"/>
      <c r="W146" s="354"/>
      <c r="X146" s="352"/>
      <c r="Y146" s="354"/>
      <c r="Z146" s="38"/>
      <c r="AA146" s="346" t="str" cm="1">
        <f t="array" ref="AA14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7" spans="1:27">
      <c r="A14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MZ1108</v>
      </c>
      <c r="B147" s="347" t="s">
        <v>506</v>
      </c>
      <c r="C147" s="213" t="s">
        <v>507</v>
      </c>
      <c r="D147" s="213" t="s">
        <v>522</v>
      </c>
      <c r="E147" s="103" t="s">
        <v>523</v>
      </c>
      <c r="F147" s="98"/>
      <c r="G147" s="33"/>
      <c r="H147" s="340"/>
      <c r="I147" s="95">
        <v>120285</v>
      </c>
      <c r="J147" s="342"/>
      <c r="K147" s="344"/>
      <c r="L147" s="344"/>
      <c r="M147" s="344"/>
      <c r="N147" s="326" t="str" cm="1">
        <f t="array" ref="N14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7" s="352">
        <v>2.5999999999999999E-2</v>
      </c>
      <c r="P147" s="351"/>
      <c r="Q147" s="310" cm="1">
        <f t="array" ref="Q14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47" s="353">
        <v>5.2708151473583572E-3</v>
      </c>
      <c r="S147" s="351">
        <v>0.4757538953721368</v>
      </c>
      <c r="T147" s="326">
        <v>2.2352941176470589</v>
      </c>
      <c r="U147" s="345"/>
      <c r="V147" s="354"/>
      <c r="W147" s="354"/>
      <c r="X147" s="352"/>
      <c r="Y147" s="354"/>
      <c r="Z147" s="38"/>
      <c r="AA147" s="346" t="str" cm="1">
        <f t="array" ref="AA14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8" spans="1:27">
      <c r="A14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MZ1109</v>
      </c>
      <c r="B148" s="347" t="s">
        <v>506</v>
      </c>
      <c r="C148" s="213" t="s">
        <v>507</v>
      </c>
      <c r="D148" s="213" t="s">
        <v>524</v>
      </c>
      <c r="E148" s="103" t="s">
        <v>525</v>
      </c>
      <c r="F148" s="98"/>
      <c r="G148" s="33"/>
      <c r="H148" s="340"/>
      <c r="I148" s="95">
        <v>72148</v>
      </c>
      <c r="J148" s="342"/>
      <c r="K148" s="344"/>
      <c r="L148" s="344"/>
      <c r="M148" s="344"/>
      <c r="N148" s="326" t="str" cm="1">
        <f t="array" ref="N14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8" s="352"/>
      <c r="P148" s="351"/>
      <c r="Q148" s="310" t="str" cm="1">
        <f t="array" ref="Q14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8" s="353">
        <v>1.5994899373510008E-2</v>
      </c>
      <c r="S148" s="351">
        <v>0.42407278292996603</v>
      </c>
      <c r="T148" s="326">
        <v>2.8235294117647061</v>
      </c>
      <c r="U148" s="345"/>
      <c r="V148" s="354"/>
      <c r="W148" s="354"/>
      <c r="X148" s="352"/>
      <c r="Y148" s="354"/>
      <c r="Z148" s="38"/>
      <c r="AA148" s="346" t="str" cm="1">
        <f t="array" ref="AA14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9" spans="1:27">
      <c r="A14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MZ1110</v>
      </c>
      <c r="B149" s="347" t="s">
        <v>506</v>
      </c>
      <c r="C149" s="213" t="s">
        <v>507</v>
      </c>
      <c r="D149" s="213" t="s">
        <v>526</v>
      </c>
      <c r="E149" s="103" t="s">
        <v>527</v>
      </c>
      <c r="F149" s="98"/>
      <c r="G149" s="33"/>
      <c r="H149" s="340"/>
      <c r="I149" s="95">
        <v>228996</v>
      </c>
      <c r="J149" s="342"/>
      <c r="K149" s="344"/>
      <c r="L149" s="344"/>
      <c r="M149" s="344"/>
      <c r="N149" s="326" t="str" cm="1">
        <f t="array" ref="N14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9" s="352"/>
      <c r="P149" s="351"/>
      <c r="Q149" s="310" t="str" cm="1">
        <f t="array" ref="Q14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9" s="353">
        <v>7.9128019703400936E-3</v>
      </c>
      <c r="S149" s="351">
        <v>0.52417779734841208</v>
      </c>
      <c r="T149" s="326">
        <v>1.8235294117647056</v>
      </c>
      <c r="U149" s="345"/>
      <c r="V149" s="354"/>
      <c r="W149" s="354"/>
      <c r="X149" s="352"/>
      <c r="Y149" s="354"/>
      <c r="Z149" s="38"/>
      <c r="AA149" s="346" t="str" cm="1">
        <f t="array" ref="AA14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0" spans="1:27" ht="27.95">
      <c r="A15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MZ1111</v>
      </c>
      <c r="B150" s="347" t="s">
        <v>506</v>
      </c>
      <c r="C150" s="213" t="s">
        <v>507</v>
      </c>
      <c r="D150" s="213" t="s">
        <v>528</v>
      </c>
      <c r="E150" s="103" t="s">
        <v>529</v>
      </c>
      <c r="F150" s="98"/>
      <c r="G150" s="33"/>
      <c r="H150" s="340"/>
      <c r="I150" s="95">
        <v>187094</v>
      </c>
      <c r="J150" s="342"/>
      <c r="K150" s="344"/>
      <c r="L150" s="344"/>
      <c r="M150" s="344"/>
      <c r="N150" s="326" t="str" cm="1">
        <f t="array" ref="N15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0" s="352">
        <v>2.3E-2</v>
      </c>
      <c r="P150" s="351"/>
      <c r="Q150" s="310" cm="1">
        <f t="array" ref="Q15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50" s="353">
        <v>9.7865244208793448E-3</v>
      </c>
      <c r="S150" s="351">
        <v>0.59687450965283739</v>
      </c>
      <c r="T150" s="326">
        <v>1.8235294117647056</v>
      </c>
      <c r="U150" s="345"/>
      <c r="V150" s="354">
        <v>0.83299999999999996</v>
      </c>
      <c r="W150" s="354">
        <v>0.14299999999999999</v>
      </c>
      <c r="X150" s="352">
        <v>6.0000000000000001E-3</v>
      </c>
      <c r="Y150" s="354">
        <v>1.7999999999999999E-2</v>
      </c>
      <c r="Z150" s="38"/>
      <c r="AA150" s="346" cm="1">
        <f t="array" ref="AA15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151" spans="1:27">
      <c r="A15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MZ1112</v>
      </c>
      <c r="B151" s="347" t="s">
        <v>506</v>
      </c>
      <c r="C151" s="213" t="s">
        <v>507</v>
      </c>
      <c r="D151" s="213" t="s">
        <v>530</v>
      </c>
      <c r="E151" s="103" t="s">
        <v>531</v>
      </c>
      <c r="F151" s="98"/>
      <c r="G151" s="33"/>
      <c r="H151" s="340"/>
      <c r="I151" s="95"/>
      <c r="J151" s="342"/>
      <c r="K151" s="344"/>
      <c r="L151" s="344"/>
      <c r="M151" s="344"/>
      <c r="N151" s="326" t="str" cm="1">
        <f t="array" ref="N15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1" s="352"/>
      <c r="P151" s="351"/>
      <c r="Q151" s="310" t="str" cm="1">
        <f t="array" ref="Q15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1" s="353"/>
      <c r="S151" s="351"/>
      <c r="T151" s="326"/>
      <c r="U151" s="345"/>
      <c r="V151" s="354"/>
      <c r="W151" s="354"/>
      <c r="X151" s="352"/>
      <c r="Y151" s="354"/>
      <c r="Z151" s="38"/>
      <c r="AA151" s="346" t="str" cm="1">
        <f t="array" ref="AA15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2" spans="1:27">
      <c r="A15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MZ1113</v>
      </c>
      <c r="B152" s="347" t="s">
        <v>506</v>
      </c>
      <c r="C152" s="213" t="s">
        <v>507</v>
      </c>
      <c r="D152" s="213" t="s">
        <v>532</v>
      </c>
      <c r="E152" s="103" t="s">
        <v>533</v>
      </c>
      <c r="F152" s="98"/>
      <c r="G152" s="33"/>
      <c r="H152" s="340"/>
      <c r="I152" s="95">
        <v>741486</v>
      </c>
      <c r="J152" s="342"/>
      <c r="K152" s="344"/>
      <c r="L152" s="344"/>
      <c r="M152" s="344"/>
      <c r="N152" s="326" t="str" cm="1">
        <f t="array" ref="N15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2" s="352"/>
      <c r="P152" s="351"/>
      <c r="Q152" s="310" t="str" cm="1">
        <f t="array" ref="Q15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2" s="353">
        <v>1.3203216244136774E-3</v>
      </c>
      <c r="S152" s="351">
        <v>0.54753895938884978</v>
      </c>
      <c r="T152" s="326">
        <v>1.8235294117647056</v>
      </c>
      <c r="U152" s="345"/>
      <c r="V152" s="354"/>
      <c r="W152" s="354"/>
      <c r="X152" s="352"/>
      <c r="Y152" s="354"/>
      <c r="Z152" s="38"/>
      <c r="AA152" s="346" t="str" cm="1">
        <f t="array" ref="AA15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3" spans="1:27">
      <c r="A153"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MZ1114</v>
      </c>
      <c r="B153" s="347" t="s">
        <v>506</v>
      </c>
      <c r="C153" s="213" t="s">
        <v>507</v>
      </c>
      <c r="D153" s="213" t="s">
        <v>534</v>
      </c>
      <c r="E153" s="103" t="s">
        <v>535</v>
      </c>
      <c r="F153" s="98"/>
      <c r="G153" s="33"/>
      <c r="H153" s="340"/>
      <c r="I153" s="95">
        <v>512134</v>
      </c>
      <c r="J153" s="342"/>
      <c r="K153" s="344"/>
      <c r="L153" s="344"/>
      <c r="M153" s="344"/>
      <c r="N153" s="326" t="str" cm="1">
        <f t="array" ref="N15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3" s="352"/>
      <c r="P153" s="351"/>
      <c r="Q153" s="310" t="str" cm="1">
        <f t="array" ref="Q15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3" s="353">
        <v>6.5978825854170978E-3</v>
      </c>
      <c r="S153" s="351">
        <v>0.4590194566877826</v>
      </c>
      <c r="T153" s="326">
        <v>2.2352941176470589</v>
      </c>
      <c r="U153" s="345"/>
      <c r="V153" s="354"/>
      <c r="W153" s="354"/>
      <c r="X153" s="352"/>
      <c r="Y153" s="354"/>
      <c r="Z153" s="38"/>
      <c r="AA153" s="346" t="str" cm="1">
        <f t="array" ref="AA15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4" spans="1:27">
      <c r="A154"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MZ1115</v>
      </c>
      <c r="B154" s="347" t="s">
        <v>506</v>
      </c>
      <c r="C154" s="213" t="s">
        <v>507</v>
      </c>
      <c r="D154" s="213" t="s">
        <v>536</v>
      </c>
      <c r="E154" s="103" t="s">
        <v>537</v>
      </c>
      <c r="F154" s="98"/>
      <c r="G154" s="33"/>
      <c r="H154" s="340"/>
      <c r="I154" s="95">
        <v>151875</v>
      </c>
      <c r="J154" s="342"/>
      <c r="K154" s="344"/>
      <c r="L154" s="344"/>
      <c r="M154" s="344"/>
      <c r="N154" s="326" t="str" cm="1">
        <f t="array" ref="N15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4" s="352"/>
      <c r="P154" s="351"/>
      <c r="Q154" s="310" t="str" cm="1">
        <f t="array" ref="Q15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4" s="353">
        <v>1.0534979423868314E-3</v>
      </c>
      <c r="S154" s="351">
        <v>0.5252452022913916</v>
      </c>
      <c r="T154" s="326">
        <v>1.8235294117647056</v>
      </c>
      <c r="U154" s="345"/>
      <c r="V154" s="354"/>
      <c r="W154" s="354"/>
      <c r="X154" s="352"/>
      <c r="Y154" s="354"/>
      <c r="Z154" s="38"/>
      <c r="AA154" s="346" t="str" cm="1">
        <f t="array" ref="AA15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5" spans="1:27">
      <c r="A155"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MZ1116</v>
      </c>
      <c r="B155" s="347" t="s">
        <v>506</v>
      </c>
      <c r="C155" s="213" t="s">
        <v>507</v>
      </c>
      <c r="D155" s="213" t="s">
        <v>538</v>
      </c>
      <c r="E155" s="103" t="s">
        <v>539</v>
      </c>
      <c r="F155" s="98"/>
      <c r="G155" s="33"/>
      <c r="H155" s="340"/>
      <c r="I155" s="95">
        <v>387180</v>
      </c>
      <c r="J155" s="342"/>
      <c r="K155" s="344"/>
      <c r="L155" s="344"/>
      <c r="M155" s="344"/>
      <c r="N155" s="326" t="str" cm="1">
        <f t="array" ref="N15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5" s="352"/>
      <c r="P155" s="351"/>
      <c r="Q155" s="310" t="str" cm="1">
        <f t="array" ref="Q15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5" s="353">
        <v>2.6163541505243039E-3</v>
      </c>
      <c r="S155" s="351">
        <v>0.47243819336038617</v>
      </c>
      <c r="T155" s="326">
        <v>2.2352941176470589</v>
      </c>
      <c r="U155" s="345"/>
      <c r="V155" s="354"/>
      <c r="W155" s="354"/>
      <c r="X155" s="352"/>
      <c r="Y155" s="354"/>
      <c r="Z155" s="38"/>
      <c r="AA155" s="346" t="str" cm="1">
        <f t="array" ref="AA15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6" spans="1:27">
      <c r="A156"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MZ1117</v>
      </c>
      <c r="B156" s="347" t="s">
        <v>506</v>
      </c>
      <c r="C156" s="213" t="s">
        <v>507</v>
      </c>
      <c r="D156" s="213" t="s">
        <v>540</v>
      </c>
      <c r="E156" s="103" t="s">
        <v>541</v>
      </c>
      <c r="F156" s="98"/>
      <c r="G156" s="33"/>
      <c r="H156" s="340"/>
      <c r="I156" s="95">
        <v>188827</v>
      </c>
      <c r="J156" s="342"/>
      <c r="K156" s="344"/>
      <c r="L156" s="344"/>
      <c r="M156" s="344"/>
      <c r="N156" s="326" t="str" cm="1">
        <f t="array" ref="N15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6" s="352">
        <v>9.6000000000000002E-2</v>
      </c>
      <c r="P156" s="351"/>
      <c r="Q156" s="310" cm="1">
        <f t="array" ref="Q15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56" s="353">
        <v>7.0381883946681358E-3</v>
      </c>
      <c r="S156" s="351">
        <v>0.76159001994417308</v>
      </c>
      <c r="T156" s="326">
        <v>1.411764705882353</v>
      </c>
      <c r="U156" s="345"/>
      <c r="V156" s="354">
        <v>0.69099999999999995</v>
      </c>
      <c r="W156" s="354">
        <v>0.16300000000000001</v>
      </c>
      <c r="X156" s="352">
        <v>0.105</v>
      </c>
      <c r="Y156" s="354">
        <v>4.1000000000000002E-2</v>
      </c>
      <c r="Z156" s="38"/>
      <c r="AA156" s="346" cm="1">
        <f t="array" ref="AA15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2</v>
      </c>
    </row>
    <row r="157" spans="1:27">
      <c r="A157"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MZ1118</v>
      </c>
      <c r="B157" s="347" t="s">
        <v>506</v>
      </c>
      <c r="C157" s="213" t="s">
        <v>507</v>
      </c>
      <c r="D157" s="213" t="s">
        <v>542</v>
      </c>
      <c r="E157" s="103" t="s">
        <v>543</v>
      </c>
      <c r="F157" s="98"/>
      <c r="G157" s="33"/>
      <c r="H157" s="340"/>
      <c r="I157" s="95">
        <v>446555</v>
      </c>
      <c r="J157" s="342"/>
      <c r="K157" s="344"/>
      <c r="L157" s="344"/>
      <c r="M157" s="344"/>
      <c r="N157" s="326" t="str" cm="1">
        <f t="array" ref="N15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7" s="352">
        <v>0.114</v>
      </c>
      <c r="P157" s="351"/>
      <c r="Q157" s="310" cm="1">
        <f t="array" ref="Q15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3</v>
      </c>
      <c r="R157" s="353">
        <v>5.1684562931777721E-3</v>
      </c>
      <c r="S157" s="351">
        <v>0.47333473553892202</v>
      </c>
      <c r="T157" s="326">
        <v>2.2352941176470589</v>
      </c>
      <c r="U157" s="345"/>
      <c r="V157" s="354"/>
      <c r="W157" s="354"/>
      <c r="X157" s="352"/>
      <c r="Y157" s="354"/>
      <c r="Z157" s="38"/>
      <c r="AA157" s="346" t="str" cm="1">
        <f t="array" ref="AA15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8" spans="1:27">
      <c r="A158"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MZ1119</v>
      </c>
      <c r="B158" s="347" t="s">
        <v>506</v>
      </c>
      <c r="C158" s="213" t="s">
        <v>507</v>
      </c>
      <c r="D158" s="213" t="s">
        <v>544</v>
      </c>
      <c r="E158" s="103" t="s">
        <v>545</v>
      </c>
      <c r="F158" s="98"/>
      <c r="G158" s="33"/>
      <c r="H158" s="340"/>
      <c r="I158" s="95">
        <v>131684</v>
      </c>
      <c r="J158" s="342"/>
      <c r="K158" s="344"/>
      <c r="L158" s="344"/>
      <c r="M158" s="344"/>
      <c r="N158" s="326" t="str" cm="1">
        <f t="array" ref="N15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8" s="352"/>
      <c r="P158" s="351"/>
      <c r="Q158" s="310" t="str" cm="1">
        <f t="array" ref="Q15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8" s="353">
        <v>5.7941739315330639E-3</v>
      </c>
      <c r="S158" s="351">
        <v>0.57459953113983819</v>
      </c>
      <c r="T158" s="326">
        <v>1.8235294117647056</v>
      </c>
      <c r="U158" s="345"/>
      <c r="V158" s="354"/>
      <c r="W158" s="354"/>
      <c r="X158" s="352"/>
      <c r="Y158" s="354"/>
      <c r="Z158" s="38"/>
      <c r="AA158" s="346" t="str" cm="1">
        <f t="array" ref="AA15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9" spans="1:27">
      <c r="A159"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MZ1120</v>
      </c>
      <c r="B159" s="347" t="s">
        <v>506</v>
      </c>
      <c r="C159" s="213" t="s">
        <v>507</v>
      </c>
      <c r="D159" s="213" t="s">
        <v>546</v>
      </c>
      <c r="E159" s="103" t="s">
        <v>547</v>
      </c>
      <c r="F159" s="98"/>
      <c r="G159" s="33"/>
      <c r="H159" s="340"/>
      <c r="I159" s="95">
        <v>291514</v>
      </c>
      <c r="J159" s="342"/>
      <c r="K159" s="344"/>
      <c r="L159" s="344"/>
      <c r="M159" s="344"/>
      <c r="N159" s="326" t="str" cm="1">
        <f t="array" ref="N15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9" s="352">
        <v>1.4E-2</v>
      </c>
      <c r="P159" s="351"/>
      <c r="Q159" s="310" cm="1">
        <f t="array" ref="Q15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59" s="353">
        <v>5.8659275369279005E-3</v>
      </c>
      <c r="S159" s="351">
        <v>0.5366816724835779</v>
      </c>
      <c r="T159" s="326">
        <v>1.8235294117647056</v>
      </c>
      <c r="U159" s="345"/>
      <c r="V159" s="354">
        <v>0.86</v>
      </c>
      <c r="W159" s="354">
        <v>9.5000000000000001E-2</v>
      </c>
      <c r="X159" s="352">
        <v>3.9E-2</v>
      </c>
      <c r="Y159" s="354">
        <v>6.0000000000000001E-3</v>
      </c>
      <c r="Z159" s="38"/>
      <c r="AA159" s="346" cm="1">
        <f t="array" ref="AA15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1</v>
      </c>
    </row>
    <row r="160" spans="1:27">
      <c r="A160"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MZ1121</v>
      </c>
      <c r="B160" s="347" t="s">
        <v>506</v>
      </c>
      <c r="C160" s="213" t="s">
        <v>507</v>
      </c>
      <c r="D160" s="213" t="s">
        <v>548</v>
      </c>
      <c r="E160" s="103" t="s">
        <v>549</v>
      </c>
      <c r="F160" s="98"/>
      <c r="G160" s="33"/>
      <c r="H160" s="340"/>
      <c r="I160" s="95">
        <v>178851</v>
      </c>
      <c r="J160" s="342"/>
      <c r="K160" s="344"/>
      <c r="L160" s="344"/>
      <c r="M160" s="344"/>
      <c r="N160" s="326" t="str" cm="1">
        <f t="array" ref="N16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60" s="352"/>
      <c r="P160" s="351"/>
      <c r="Q160" s="310" t="str" cm="1">
        <f t="array" ref="Q16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60" s="353">
        <v>6.7150868600119656E-3</v>
      </c>
      <c r="S160" s="351">
        <v>0.57304463187545163</v>
      </c>
      <c r="T160" s="326">
        <v>1.8235294117647056</v>
      </c>
      <c r="U160" s="345"/>
      <c r="V160" s="354"/>
      <c r="W160" s="354"/>
      <c r="X160" s="352"/>
      <c r="Y160" s="354"/>
      <c r="Z160" s="38"/>
      <c r="AA160" s="346" t="str" cm="1">
        <f t="array" ref="AA16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61" spans="1:27">
      <c r="A161"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MZ1122</v>
      </c>
      <c r="B161" s="347" t="s">
        <v>506</v>
      </c>
      <c r="C161" s="213" t="s">
        <v>507</v>
      </c>
      <c r="D161" s="213" t="s">
        <v>550</v>
      </c>
      <c r="E161" s="103" t="s">
        <v>551</v>
      </c>
      <c r="F161" s="98"/>
      <c r="G161" s="33"/>
      <c r="H161" s="340"/>
      <c r="I161" s="95">
        <v>247047</v>
      </c>
      <c r="J161" s="342"/>
      <c r="K161" s="344"/>
      <c r="L161" s="344"/>
      <c r="M161" s="344"/>
      <c r="N161" s="326" t="str" cm="1">
        <f t="array" ref="N16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61" s="352">
        <v>0.06</v>
      </c>
      <c r="P161" s="351"/>
      <c r="Q161" s="310" cm="1">
        <f t="array" ref="Q16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61" s="353">
        <v>5.007144389529118E-3</v>
      </c>
      <c r="S161" s="351">
        <v>0.42458675604906793</v>
      </c>
      <c r="T161" s="326">
        <v>2.2352941176470589</v>
      </c>
      <c r="U161" s="345"/>
      <c r="V161" s="354"/>
      <c r="W161" s="354"/>
      <c r="X161" s="352"/>
      <c r="Y161" s="354"/>
      <c r="Z161" s="38"/>
      <c r="AA161" s="346" t="str" cm="1">
        <f t="array" ref="AA16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62" spans="1:27">
      <c r="A162" s="34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MZ1123</v>
      </c>
      <c r="B162" s="347" t="s">
        <v>506</v>
      </c>
      <c r="C162" s="213" t="s">
        <v>507</v>
      </c>
      <c r="D162" s="213" t="s">
        <v>552</v>
      </c>
      <c r="E162" s="103" t="s">
        <v>553</v>
      </c>
      <c r="F162" s="98"/>
      <c r="G162" s="33"/>
      <c r="H162" s="340"/>
      <c r="I162" s="95">
        <v>253405</v>
      </c>
      <c r="J162" s="343"/>
      <c r="K162" s="344"/>
      <c r="L162" s="344"/>
      <c r="M162" s="344"/>
      <c r="N162" s="326" t="str" cm="1">
        <f t="array" ref="N16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62" s="352"/>
      <c r="P162" s="351">
        <v>0.04</v>
      </c>
      <c r="Q162" s="310" cm="1">
        <f t="array" ref="Q16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2</v>
      </c>
      <c r="R162" s="353">
        <v>7.7977940451056608E-3</v>
      </c>
      <c r="S162" s="351">
        <v>0.50987895226911273</v>
      </c>
      <c r="T162" s="326">
        <v>1.8235294117647056</v>
      </c>
      <c r="U162" s="345"/>
      <c r="V162" s="354">
        <v>0.4</v>
      </c>
      <c r="W162" s="354">
        <v>0.39900000000000002</v>
      </c>
      <c r="X162" s="352">
        <v>0.14499999999999999</v>
      </c>
      <c r="Y162" s="354">
        <v>5.6000000000000001E-2</v>
      </c>
      <c r="Z162" s="38"/>
      <c r="AA162" s="346" cm="1">
        <f t="array" ref="AA16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3</v>
      </c>
    </row>
  </sheetData>
  <mergeCells count="5">
    <mergeCell ref="K2:T2"/>
    <mergeCell ref="V2:AA2"/>
    <mergeCell ref="B2:G2"/>
    <mergeCell ref="I2:J2"/>
    <mergeCell ref="K1:AA1"/>
  </mergeCells>
  <phoneticPr fontId="9"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4F70-ACC3-43D3-9558-39755910B44F}">
  <dimension ref="A3:S25"/>
  <sheetViews>
    <sheetView workbookViewId="0">
      <selection activeCell="L15" sqref="L15"/>
    </sheetView>
  </sheetViews>
  <sheetFormatPr defaultRowHeight="14.45"/>
  <cols>
    <col min="1" max="1" width="17.5703125" customWidth="1"/>
    <col min="2" max="2" width="17.28515625" bestFit="1" customWidth="1"/>
    <col min="3" max="3" width="16.42578125" bestFit="1" customWidth="1"/>
    <col min="4" max="15" width="8.28515625" bestFit="1" customWidth="1"/>
    <col min="16" max="17" width="9.85546875" bestFit="1" customWidth="1"/>
    <col min="18" max="18" width="12.85546875" bestFit="1" customWidth="1"/>
    <col min="19" max="20" width="14.28515625" bestFit="1" customWidth="1"/>
  </cols>
  <sheetData>
    <row r="3" spans="1:19">
      <c r="C3" s="365" t="s">
        <v>572</v>
      </c>
    </row>
    <row r="4" spans="1:19" ht="72.599999999999994">
      <c r="A4" s="365" t="s">
        <v>82</v>
      </c>
      <c r="B4" s="365" t="s">
        <v>84</v>
      </c>
      <c r="C4" s="367" t="s">
        <v>573</v>
      </c>
      <c r="D4" s="366" t="s">
        <v>574</v>
      </c>
      <c r="E4" s="366" t="s">
        <v>575</v>
      </c>
      <c r="F4" s="366" t="s">
        <v>576</v>
      </c>
      <c r="G4" s="366" t="s">
        <v>577</v>
      </c>
      <c r="H4" s="366" t="s">
        <v>578</v>
      </c>
      <c r="I4" s="366" t="s">
        <v>579</v>
      </c>
      <c r="J4" s="366" t="s">
        <v>580</v>
      </c>
      <c r="K4" s="366" t="s">
        <v>581</v>
      </c>
      <c r="L4" s="366" t="s">
        <v>582</v>
      </c>
      <c r="M4" s="366" t="s">
        <v>583</v>
      </c>
      <c r="N4" s="366" t="s">
        <v>584</v>
      </c>
      <c r="O4" s="366" t="s">
        <v>585</v>
      </c>
      <c r="P4" s="368" t="s">
        <v>586</v>
      </c>
      <c r="Q4" s="368" t="s">
        <v>587</v>
      </c>
      <c r="R4" s="368" t="s">
        <v>588</v>
      </c>
      <c r="S4" t="s">
        <v>589</v>
      </c>
    </row>
    <row r="5" spans="1:19">
      <c r="A5" t="s">
        <v>146</v>
      </c>
      <c r="B5" t="s">
        <v>148</v>
      </c>
      <c r="C5" s="108">
        <v>209642</v>
      </c>
      <c r="D5" s="108">
        <v>40848</v>
      </c>
      <c r="E5" s="108">
        <v>20026</v>
      </c>
      <c r="F5" s="108">
        <v>102808</v>
      </c>
      <c r="G5" s="108">
        <v>1213.9999999999998</v>
      </c>
      <c r="H5" s="108">
        <v>18502</v>
      </c>
      <c r="I5" s="108">
        <v>52501</v>
      </c>
      <c r="J5" s="108">
        <v>51892</v>
      </c>
      <c r="K5" s="108">
        <v>20146</v>
      </c>
      <c r="L5" s="108">
        <v>16547</v>
      </c>
      <c r="M5" s="108">
        <v>28048</v>
      </c>
      <c r="N5" s="108">
        <v>59919</v>
      </c>
      <c r="O5" s="108">
        <v>94376</v>
      </c>
      <c r="P5" s="108">
        <v>121189</v>
      </c>
      <c r="Q5" s="108">
        <v>60594.5</v>
      </c>
      <c r="R5" s="108">
        <v>0</v>
      </c>
      <c r="S5" s="108">
        <v>3</v>
      </c>
    </row>
    <row r="6" spans="1:19">
      <c r="B6" t="s">
        <v>151</v>
      </c>
      <c r="C6" s="108">
        <v>204048</v>
      </c>
      <c r="D6" s="108">
        <v>9822</v>
      </c>
      <c r="E6" s="108">
        <v>21702</v>
      </c>
      <c r="F6" s="108">
        <v>44300</v>
      </c>
      <c r="G6" s="108"/>
      <c r="H6" s="108">
        <v>17975</v>
      </c>
      <c r="I6" s="108">
        <v>23000</v>
      </c>
      <c r="J6" s="108">
        <v>23000</v>
      </c>
      <c r="K6" s="108">
        <v>22412</v>
      </c>
      <c r="L6" s="108">
        <v>13222</v>
      </c>
      <c r="M6" s="108">
        <v>1862</v>
      </c>
      <c r="N6" s="108">
        <v>52349</v>
      </c>
      <c r="O6" s="108">
        <v>9774</v>
      </c>
      <c r="P6" s="108">
        <v>56704</v>
      </c>
      <c r="Q6" s="108">
        <v>28352</v>
      </c>
      <c r="R6" s="108">
        <v>0</v>
      </c>
      <c r="S6" s="108">
        <v>3</v>
      </c>
    </row>
    <row r="7" spans="1:19">
      <c r="B7" t="s">
        <v>153</v>
      </c>
      <c r="C7" s="108">
        <v>353999</v>
      </c>
      <c r="D7" s="108">
        <v>88441.4</v>
      </c>
      <c r="E7" s="108">
        <v>34499</v>
      </c>
      <c r="F7" s="108">
        <v>166938</v>
      </c>
      <c r="G7" s="108">
        <v>1147</v>
      </c>
      <c r="H7" s="108">
        <v>31530</v>
      </c>
      <c r="I7" s="108">
        <v>39470</v>
      </c>
      <c r="J7" s="108">
        <v>4688</v>
      </c>
      <c r="K7" s="108">
        <v>39470</v>
      </c>
      <c r="L7" s="108">
        <v>23285</v>
      </c>
      <c r="M7" s="108">
        <v>39470</v>
      </c>
      <c r="N7" s="108">
        <v>65963</v>
      </c>
      <c r="O7" s="108">
        <v>39663</v>
      </c>
      <c r="P7" s="108">
        <v>166938</v>
      </c>
      <c r="Q7" s="108">
        <v>83469</v>
      </c>
      <c r="R7" s="108">
        <v>0</v>
      </c>
      <c r="S7" s="108">
        <v>3</v>
      </c>
    </row>
    <row r="8" spans="1:19">
      <c r="B8" t="s">
        <v>155</v>
      </c>
      <c r="C8" s="108">
        <v>306883</v>
      </c>
      <c r="D8" s="108">
        <v>0</v>
      </c>
      <c r="E8" s="108">
        <v>44966</v>
      </c>
      <c r="F8" s="108">
        <v>62876</v>
      </c>
      <c r="G8" s="108">
        <v>5663.5447999999997</v>
      </c>
      <c r="H8" s="108">
        <v>24760</v>
      </c>
      <c r="I8" s="108">
        <v>36674</v>
      </c>
      <c r="J8" s="108">
        <v>7117</v>
      </c>
      <c r="K8" s="108">
        <v>28920</v>
      </c>
      <c r="L8" s="108">
        <v>21636</v>
      </c>
      <c r="M8" s="108">
        <v>36674</v>
      </c>
      <c r="N8" s="108">
        <v>45183</v>
      </c>
      <c r="O8" s="108">
        <v>85632</v>
      </c>
      <c r="P8" s="108">
        <v>87498</v>
      </c>
      <c r="Q8" s="108">
        <v>43749</v>
      </c>
      <c r="R8" s="108">
        <v>0</v>
      </c>
      <c r="S8" s="108">
        <v>3</v>
      </c>
    </row>
    <row r="9" spans="1:19">
      <c r="B9" t="s">
        <v>157</v>
      </c>
      <c r="C9" s="108">
        <v>32331</v>
      </c>
      <c r="D9" s="108">
        <v>22387</v>
      </c>
      <c r="E9" s="108">
        <v>2946</v>
      </c>
      <c r="F9" s="108">
        <v>6350</v>
      </c>
      <c r="G9" s="108">
        <v>15994.713599999999</v>
      </c>
      <c r="H9" s="108">
        <v>2900</v>
      </c>
      <c r="I9" s="108">
        <v>17914</v>
      </c>
      <c r="J9" s="108">
        <v>17914</v>
      </c>
      <c r="K9" s="108">
        <v>5436</v>
      </c>
      <c r="L9" s="108">
        <v>11228</v>
      </c>
      <c r="M9" s="108">
        <v>5436</v>
      </c>
      <c r="N9" s="108">
        <v>11208</v>
      </c>
      <c r="O9" s="108">
        <v>25918</v>
      </c>
      <c r="P9" s="108">
        <v>28813</v>
      </c>
      <c r="Q9" s="108">
        <v>14406.5</v>
      </c>
      <c r="R9" s="108">
        <v>0</v>
      </c>
      <c r="S9" s="108">
        <v>3</v>
      </c>
    </row>
    <row r="10" spans="1:19">
      <c r="B10" s="387" t="s">
        <v>159</v>
      </c>
      <c r="C10" s="108">
        <v>157153</v>
      </c>
      <c r="D10" s="108">
        <v>72709.8</v>
      </c>
      <c r="E10" s="108">
        <v>22456</v>
      </c>
      <c r="F10" s="108">
        <v>41940</v>
      </c>
      <c r="G10" s="108">
        <v>123912.21400000001</v>
      </c>
      <c r="H10" s="108">
        <v>16067</v>
      </c>
      <c r="I10" s="108">
        <v>102840</v>
      </c>
      <c r="J10" s="108">
        <v>89821</v>
      </c>
      <c r="K10" s="108">
        <v>46743</v>
      </c>
      <c r="L10" s="108">
        <v>65868</v>
      </c>
      <c r="M10" s="108">
        <v>20518</v>
      </c>
      <c r="N10" s="108">
        <v>97101</v>
      </c>
      <c r="O10" s="108">
        <v>133481</v>
      </c>
      <c r="P10" s="108">
        <v>147185</v>
      </c>
      <c r="Q10" s="108">
        <v>147185</v>
      </c>
      <c r="R10" s="108">
        <v>147185</v>
      </c>
      <c r="S10" s="108">
        <v>4</v>
      </c>
    </row>
    <row r="11" spans="1:19">
      <c r="B11" t="s">
        <v>161</v>
      </c>
      <c r="C11" s="108">
        <v>89755</v>
      </c>
      <c r="D11" s="108">
        <v>1957</v>
      </c>
      <c r="E11" s="108">
        <v>23594</v>
      </c>
      <c r="F11" s="108">
        <v>38776</v>
      </c>
      <c r="G11" s="108">
        <v>436.00000000000006</v>
      </c>
      <c r="H11" s="108">
        <v>8452</v>
      </c>
      <c r="I11" s="108">
        <v>7836</v>
      </c>
      <c r="J11" s="108">
        <v>6559</v>
      </c>
      <c r="K11" s="108">
        <v>7836</v>
      </c>
      <c r="L11" s="108">
        <v>4623</v>
      </c>
      <c r="M11" s="108">
        <v>602</v>
      </c>
      <c r="N11" s="108">
        <v>23110.5</v>
      </c>
      <c r="O11" s="108">
        <v>2177</v>
      </c>
      <c r="P11" s="108">
        <v>38776</v>
      </c>
      <c r="Q11" s="108">
        <v>19388</v>
      </c>
      <c r="R11" s="108">
        <v>0</v>
      </c>
      <c r="S11" s="108">
        <v>3</v>
      </c>
    </row>
    <row r="12" spans="1:19">
      <c r="B12" t="s">
        <v>163</v>
      </c>
      <c r="C12" s="108">
        <v>47577</v>
      </c>
      <c r="D12" s="108">
        <v>14090.2</v>
      </c>
      <c r="E12" s="108">
        <v>6134</v>
      </c>
      <c r="F12" s="108">
        <v>11389</v>
      </c>
      <c r="G12" s="108">
        <v>968.70839999999998</v>
      </c>
      <c r="H12" s="108">
        <v>3819</v>
      </c>
      <c r="I12" s="108">
        <v>24798</v>
      </c>
      <c r="J12" s="108">
        <v>24798</v>
      </c>
      <c r="K12" s="108">
        <v>6618</v>
      </c>
      <c r="L12" s="108">
        <v>3903</v>
      </c>
      <c r="M12" s="108">
        <v>2220</v>
      </c>
      <c r="N12" s="108">
        <v>3328.5</v>
      </c>
      <c r="O12" s="108">
        <v>18706</v>
      </c>
      <c r="P12" s="108">
        <v>31237</v>
      </c>
      <c r="Q12" s="108">
        <v>15618.5</v>
      </c>
      <c r="R12" s="108">
        <v>0</v>
      </c>
      <c r="S12" s="108">
        <v>3</v>
      </c>
    </row>
    <row r="13" spans="1:19">
      <c r="B13" t="s">
        <v>165</v>
      </c>
      <c r="C13" s="108">
        <v>151799</v>
      </c>
      <c r="D13" s="108">
        <v>78732.600000000006</v>
      </c>
      <c r="E13" s="108">
        <v>11925</v>
      </c>
      <c r="F13" s="108">
        <v>69880</v>
      </c>
      <c r="G13" s="108">
        <v>3132.5879999999997</v>
      </c>
      <c r="H13" s="108">
        <v>12000</v>
      </c>
      <c r="I13" s="108">
        <v>65640</v>
      </c>
      <c r="J13" s="108">
        <v>65640</v>
      </c>
      <c r="K13" s="108">
        <v>22164</v>
      </c>
      <c r="L13" s="108">
        <v>13076</v>
      </c>
      <c r="M13" s="108">
        <v>16439</v>
      </c>
      <c r="N13" s="108">
        <v>60052</v>
      </c>
      <c r="O13" s="108">
        <v>66134</v>
      </c>
      <c r="P13" s="108">
        <v>109740</v>
      </c>
      <c r="Q13" s="108">
        <v>54870</v>
      </c>
      <c r="R13" s="108">
        <v>0</v>
      </c>
      <c r="S13" s="108">
        <v>3</v>
      </c>
    </row>
    <row r="14" spans="1:19">
      <c r="B14" t="s">
        <v>167</v>
      </c>
      <c r="C14" s="108">
        <v>236034</v>
      </c>
      <c r="D14" s="108">
        <v>48798</v>
      </c>
      <c r="E14" s="108">
        <v>7989</v>
      </c>
      <c r="F14" s="108">
        <v>51019</v>
      </c>
      <c r="G14" s="108">
        <v>156418.54440000001</v>
      </c>
      <c r="H14" s="108">
        <v>20274</v>
      </c>
      <c r="I14" s="108">
        <v>163413</v>
      </c>
      <c r="J14" s="108">
        <v>129328</v>
      </c>
      <c r="K14" s="108">
        <v>65901</v>
      </c>
      <c r="L14" s="108">
        <v>94071</v>
      </c>
      <c r="M14" s="108">
        <v>29646</v>
      </c>
      <c r="N14" s="108">
        <v>37996</v>
      </c>
      <c r="O14" s="108">
        <v>82560</v>
      </c>
      <c r="P14" s="108">
        <v>167202.77897894711</v>
      </c>
      <c r="Q14" s="108">
        <v>83601.389489473557</v>
      </c>
      <c r="R14" s="108">
        <v>0</v>
      </c>
      <c r="S14" s="108">
        <v>3</v>
      </c>
    </row>
    <row r="15" spans="1:19">
      <c r="B15" t="s">
        <v>169</v>
      </c>
      <c r="C15" s="108">
        <v>339255</v>
      </c>
      <c r="D15" s="108">
        <v>455</v>
      </c>
      <c r="E15" s="108">
        <v>38445</v>
      </c>
      <c r="F15" s="108">
        <v>52656</v>
      </c>
      <c r="G15" s="108">
        <v>913.99999999999977</v>
      </c>
      <c r="H15" s="108">
        <v>28684</v>
      </c>
      <c r="I15" s="108">
        <v>28240</v>
      </c>
      <c r="J15" s="108">
        <v>1299</v>
      </c>
      <c r="K15" s="108">
        <v>28240</v>
      </c>
      <c r="L15" s="108">
        <v>16660</v>
      </c>
      <c r="M15" s="108">
        <v>4066</v>
      </c>
      <c r="N15" s="108">
        <v>75516</v>
      </c>
      <c r="O15" s="108">
        <v>18458</v>
      </c>
      <c r="P15" s="108">
        <v>81441</v>
      </c>
      <c r="Q15" s="108">
        <v>40720.5</v>
      </c>
      <c r="R15" s="108">
        <v>0</v>
      </c>
      <c r="S15" s="108">
        <v>3</v>
      </c>
    </row>
    <row r="16" spans="1:19">
      <c r="B16" s="387" t="s">
        <v>171</v>
      </c>
      <c r="C16" s="108">
        <v>241785</v>
      </c>
      <c r="D16" s="108">
        <v>62663.400000000009</v>
      </c>
      <c r="E16" s="108">
        <v>41824</v>
      </c>
      <c r="F16" s="108">
        <v>51056</v>
      </c>
      <c r="G16" s="108">
        <v>1375</v>
      </c>
      <c r="H16" s="108">
        <v>22669</v>
      </c>
      <c r="I16" s="108">
        <v>39658</v>
      </c>
      <c r="J16" s="108">
        <v>19413</v>
      </c>
      <c r="K16" s="108">
        <v>39658</v>
      </c>
      <c r="L16" s="108">
        <v>23396</v>
      </c>
      <c r="M16" s="108">
        <v>39658</v>
      </c>
      <c r="N16" s="108">
        <v>70410</v>
      </c>
      <c r="O16" s="108">
        <v>127288</v>
      </c>
      <c r="P16" s="108">
        <v>127288</v>
      </c>
      <c r="Q16" s="108">
        <v>127288</v>
      </c>
      <c r="R16" s="108">
        <v>127288</v>
      </c>
      <c r="S16" s="108">
        <v>4</v>
      </c>
    </row>
    <row r="17" spans="1:19">
      <c r="B17" s="387" t="s">
        <v>173</v>
      </c>
      <c r="C17" s="108">
        <v>63826</v>
      </c>
      <c r="D17" s="108">
        <v>24138.799999999999</v>
      </c>
      <c r="E17" s="108">
        <v>10298</v>
      </c>
      <c r="F17" s="108">
        <v>56073</v>
      </c>
      <c r="G17" s="108">
        <v>904.99999999999989</v>
      </c>
      <c r="H17" s="108">
        <v>5766</v>
      </c>
      <c r="I17" s="108">
        <v>39650</v>
      </c>
      <c r="J17" s="108">
        <v>38357</v>
      </c>
      <c r="K17" s="108">
        <v>12714</v>
      </c>
      <c r="L17" s="108">
        <v>26258</v>
      </c>
      <c r="M17" s="108">
        <v>6342</v>
      </c>
      <c r="N17" s="108">
        <v>26298</v>
      </c>
      <c r="O17" s="108">
        <v>49048</v>
      </c>
      <c r="P17" s="108">
        <v>59205</v>
      </c>
      <c r="Q17" s="108">
        <v>59205</v>
      </c>
      <c r="R17" s="108">
        <v>59205</v>
      </c>
      <c r="S17" s="108">
        <v>4</v>
      </c>
    </row>
    <row r="18" spans="1:19">
      <c r="B18" t="s">
        <v>175</v>
      </c>
      <c r="C18" s="108">
        <v>276323</v>
      </c>
      <c r="D18" s="108">
        <v>3149</v>
      </c>
      <c r="E18" s="108">
        <v>15413</v>
      </c>
      <c r="F18" s="108">
        <v>61823</v>
      </c>
      <c r="G18" s="108"/>
      <c r="H18" s="108">
        <v>26810</v>
      </c>
      <c r="I18" s="108">
        <v>51395</v>
      </c>
      <c r="J18" s="108">
        <v>51395</v>
      </c>
      <c r="K18" s="108">
        <v>29372</v>
      </c>
      <c r="L18" s="108">
        <v>17328</v>
      </c>
      <c r="M18" s="108">
        <v>606</v>
      </c>
      <c r="N18" s="108">
        <v>35676.5</v>
      </c>
      <c r="O18" s="108">
        <v>1968</v>
      </c>
      <c r="P18" s="108">
        <v>61823</v>
      </c>
      <c r="Q18" s="108">
        <v>30911.5</v>
      </c>
      <c r="R18" s="108">
        <v>0</v>
      </c>
      <c r="S18" s="108">
        <v>3</v>
      </c>
    </row>
    <row r="19" spans="1:19">
      <c r="B19" s="387" t="s">
        <v>177</v>
      </c>
      <c r="C19" s="108">
        <v>107746</v>
      </c>
      <c r="D19" s="108">
        <v>59894</v>
      </c>
      <c r="E19" s="108">
        <v>18300</v>
      </c>
      <c r="F19" s="108">
        <v>40288</v>
      </c>
      <c r="G19" s="108">
        <v>36102.5</v>
      </c>
      <c r="H19" s="108">
        <v>10342</v>
      </c>
      <c r="I19" s="108">
        <v>16172</v>
      </c>
      <c r="J19" s="108">
        <v>7984</v>
      </c>
      <c r="K19" s="108">
        <v>16172</v>
      </c>
      <c r="L19" s="108">
        <v>9540</v>
      </c>
      <c r="M19" s="108">
        <v>16172</v>
      </c>
      <c r="N19" s="108">
        <v>55205</v>
      </c>
      <c r="O19" s="108">
        <v>69706</v>
      </c>
      <c r="P19" s="108">
        <v>85854</v>
      </c>
      <c r="Q19" s="108">
        <v>85854</v>
      </c>
      <c r="R19" s="108">
        <v>85854</v>
      </c>
      <c r="S19" s="108">
        <v>4</v>
      </c>
    </row>
    <row r="20" spans="1:19">
      <c r="B20" t="s">
        <v>179</v>
      </c>
      <c r="C20" s="108">
        <v>143690</v>
      </c>
      <c r="D20" s="108">
        <v>0</v>
      </c>
      <c r="E20" s="108">
        <v>14316</v>
      </c>
      <c r="F20" s="108">
        <v>25349</v>
      </c>
      <c r="G20" s="108">
        <v>7536.072000000001</v>
      </c>
      <c r="H20" s="108">
        <v>19897</v>
      </c>
      <c r="I20" s="108">
        <v>27688</v>
      </c>
      <c r="J20" s="108">
        <v>21407</v>
      </c>
      <c r="K20" s="108">
        <v>27688</v>
      </c>
      <c r="L20" s="108">
        <v>16335</v>
      </c>
      <c r="M20" s="108">
        <v>19334</v>
      </c>
      <c r="N20" s="108">
        <v>28389</v>
      </c>
      <c r="O20" s="108">
        <v>52047</v>
      </c>
      <c r="P20" s="108">
        <v>64721</v>
      </c>
      <c r="Q20" s="108">
        <v>32360.5</v>
      </c>
      <c r="R20" s="108">
        <v>0</v>
      </c>
      <c r="S20" s="108">
        <v>3</v>
      </c>
    </row>
    <row r="21" spans="1:19">
      <c r="B21" s="387" t="s">
        <v>181</v>
      </c>
      <c r="C21" s="108">
        <v>61974</v>
      </c>
      <c r="D21" s="108">
        <v>13788.400000000001</v>
      </c>
      <c r="E21" s="108">
        <v>14016</v>
      </c>
      <c r="F21" s="108">
        <v>16644</v>
      </c>
      <c r="G21" s="108">
        <v>42955.912800000006</v>
      </c>
      <c r="H21" s="108">
        <v>5984</v>
      </c>
      <c r="I21" s="108">
        <v>29853</v>
      </c>
      <c r="J21" s="108">
        <v>23712</v>
      </c>
      <c r="K21" s="108">
        <v>17086</v>
      </c>
      <c r="L21" s="108">
        <v>24831</v>
      </c>
      <c r="M21" s="108">
        <v>8070</v>
      </c>
      <c r="N21" s="108">
        <v>22275</v>
      </c>
      <c r="O21" s="108">
        <v>46447</v>
      </c>
      <c r="P21" s="108">
        <v>56875</v>
      </c>
      <c r="Q21" s="108">
        <v>56875</v>
      </c>
      <c r="R21" s="108">
        <v>56875</v>
      </c>
      <c r="S21" s="108">
        <v>4</v>
      </c>
    </row>
    <row r="22" spans="1:19">
      <c r="A22" t="s">
        <v>183</v>
      </c>
      <c r="B22" t="s">
        <v>185</v>
      </c>
      <c r="C22" s="108">
        <v>513869</v>
      </c>
      <c r="D22" s="108">
        <v>1199</v>
      </c>
      <c r="E22" s="108">
        <v>76396</v>
      </c>
      <c r="F22" s="108">
        <v>41828</v>
      </c>
      <c r="G22" s="108">
        <v>256.52671150040192</v>
      </c>
      <c r="H22" s="108">
        <v>53255.9</v>
      </c>
      <c r="I22" s="108">
        <v>62132</v>
      </c>
      <c r="J22" s="108">
        <v>1694</v>
      </c>
      <c r="K22" s="108">
        <v>62132</v>
      </c>
      <c r="L22" s="108">
        <v>36657</v>
      </c>
      <c r="M22" s="108">
        <v>3146</v>
      </c>
      <c r="N22" s="108">
        <v>61398</v>
      </c>
      <c r="O22" s="108">
        <v>22113</v>
      </c>
      <c r="P22" s="108">
        <v>79674</v>
      </c>
      <c r="Q22" s="108">
        <v>39837</v>
      </c>
      <c r="R22" s="108">
        <v>0</v>
      </c>
      <c r="S22" s="108">
        <v>3</v>
      </c>
    </row>
    <row r="23" spans="1:19">
      <c r="B23" t="s">
        <v>187</v>
      </c>
      <c r="C23" s="108">
        <v>417580</v>
      </c>
      <c r="D23" s="108">
        <v>1165</v>
      </c>
      <c r="E23" s="108">
        <v>29726</v>
      </c>
      <c r="F23" s="108">
        <v>29844</v>
      </c>
      <c r="G23" s="108">
        <v>85.731404760764406</v>
      </c>
      <c r="H23" s="108">
        <v>37001</v>
      </c>
      <c r="I23" s="108">
        <v>50618</v>
      </c>
      <c r="J23" s="108">
        <v>9422</v>
      </c>
      <c r="K23" s="108">
        <v>50618</v>
      </c>
      <c r="L23" s="108">
        <v>29863</v>
      </c>
      <c r="M23" s="108">
        <v>2198</v>
      </c>
      <c r="N23" s="108">
        <v>49502</v>
      </c>
      <c r="O23" s="108">
        <v>12851</v>
      </c>
      <c r="P23" s="108">
        <v>63122</v>
      </c>
      <c r="Q23" s="108">
        <v>31561</v>
      </c>
      <c r="R23" s="108">
        <v>0</v>
      </c>
      <c r="S23" s="108">
        <v>3</v>
      </c>
    </row>
    <row r="24" spans="1:19">
      <c r="A24" t="s">
        <v>189</v>
      </c>
      <c r="B24" t="s">
        <v>191</v>
      </c>
      <c r="C24" s="108">
        <v>30416</v>
      </c>
      <c r="D24" s="108">
        <v>0</v>
      </c>
      <c r="E24" s="108">
        <v>4146</v>
      </c>
      <c r="F24" s="108">
        <v>5273</v>
      </c>
      <c r="G24" s="108">
        <v>471.80681220410304</v>
      </c>
      <c r="H24" s="108">
        <v>2482</v>
      </c>
      <c r="I24" s="108">
        <v>11248</v>
      </c>
      <c r="J24" s="108">
        <v>11248</v>
      </c>
      <c r="K24" s="108">
        <v>3778</v>
      </c>
      <c r="L24" s="108">
        <v>2228</v>
      </c>
      <c r="M24" s="108">
        <v>3144</v>
      </c>
      <c r="N24" s="108">
        <v>2063</v>
      </c>
      <c r="O24" s="108">
        <v>3304</v>
      </c>
      <c r="P24" s="108">
        <v>13136</v>
      </c>
      <c r="Q24" s="108">
        <v>6568</v>
      </c>
      <c r="R24" s="108">
        <v>0</v>
      </c>
      <c r="S24" s="108">
        <v>3</v>
      </c>
    </row>
    <row r="25" spans="1:19">
      <c r="A25" t="s">
        <v>590</v>
      </c>
      <c r="C25" s="108">
        <v>3985685</v>
      </c>
      <c r="D25" s="108">
        <v>544238.6</v>
      </c>
      <c r="E25" s="108">
        <v>459117</v>
      </c>
      <c r="F25" s="108">
        <v>977110</v>
      </c>
      <c r="G25" s="108">
        <v>399489.8629284653</v>
      </c>
      <c r="H25" s="108">
        <v>369169.9</v>
      </c>
      <c r="I25" s="108">
        <v>890740</v>
      </c>
      <c r="J25" s="108">
        <v>606688</v>
      </c>
      <c r="K25" s="108">
        <v>553104</v>
      </c>
      <c r="L25" s="108">
        <v>470555</v>
      </c>
      <c r="M25" s="108">
        <v>283651</v>
      </c>
      <c r="N25" s="108">
        <v>882942.5</v>
      </c>
      <c r="O25" s="108">
        <v>961651</v>
      </c>
      <c r="P25" s="108">
        <v>1648421.7789789471</v>
      </c>
      <c r="Q25" s="108">
        <v>1062414.3894894735</v>
      </c>
      <c r="R25" s="108">
        <v>476407</v>
      </c>
      <c r="S25" s="108">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4E69-47FC-47E4-B9A0-0C598BBA0042}">
  <dimension ref="A1:E74"/>
  <sheetViews>
    <sheetView workbookViewId="0">
      <pane ySplit="1" topLeftCell="A48" activePane="bottomLeft" state="frozen"/>
      <selection pane="bottomLeft" activeCell="A64" sqref="A64:E74"/>
    </sheetView>
  </sheetViews>
  <sheetFormatPr defaultRowHeight="14.45"/>
  <cols>
    <col min="1" max="1" width="19.85546875" customWidth="1"/>
    <col min="2" max="2" width="48.140625" customWidth="1"/>
    <col min="3" max="3" width="37.5703125" customWidth="1"/>
    <col min="4" max="4" width="38.42578125" customWidth="1"/>
    <col min="5" max="5" width="38.140625" customWidth="1"/>
  </cols>
  <sheetData>
    <row r="1" spans="1:5" ht="18.600000000000001">
      <c r="A1" s="348" t="s">
        <v>591</v>
      </c>
      <c r="B1" s="349" t="s">
        <v>592</v>
      </c>
      <c r="C1" s="349" t="s">
        <v>593</v>
      </c>
      <c r="D1" s="349" t="s">
        <v>594</v>
      </c>
      <c r="E1" s="350" t="s">
        <v>595</v>
      </c>
    </row>
    <row r="2" spans="1:5" ht="29.1">
      <c r="A2" s="379" t="s">
        <v>91</v>
      </c>
      <c r="B2" s="36" t="s">
        <v>596</v>
      </c>
      <c r="C2" s="36" t="s">
        <v>149</v>
      </c>
      <c r="D2" s="36" t="s">
        <v>597</v>
      </c>
      <c r="E2" s="380" t="s">
        <v>598</v>
      </c>
    </row>
    <row r="3" spans="1:5" ht="43.5">
      <c r="A3" s="379" t="s">
        <v>91</v>
      </c>
      <c r="B3" s="36" t="s">
        <v>599</v>
      </c>
      <c r="C3" s="36" t="s">
        <v>149</v>
      </c>
      <c r="D3" s="36" t="s">
        <v>597</v>
      </c>
      <c r="E3" s="380" t="s">
        <v>598</v>
      </c>
    </row>
    <row r="4" spans="1:5" ht="29.1">
      <c r="A4" s="379" t="s">
        <v>91</v>
      </c>
      <c r="B4" s="36" t="s">
        <v>600</v>
      </c>
      <c r="C4" s="36" t="s">
        <v>149</v>
      </c>
      <c r="D4" s="36" t="s">
        <v>597</v>
      </c>
      <c r="E4" s="380" t="s">
        <v>598</v>
      </c>
    </row>
    <row r="5" spans="1:5" ht="29.1">
      <c r="A5" s="379" t="s">
        <v>91</v>
      </c>
      <c r="B5" s="36" t="s">
        <v>601</v>
      </c>
      <c r="C5" s="36" t="s">
        <v>149</v>
      </c>
      <c r="D5" s="36" t="s">
        <v>597</v>
      </c>
      <c r="E5" s="380" t="s">
        <v>598</v>
      </c>
    </row>
    <row r="6" spans="1:5" ht="29.1">
      <c r="A6" s="379" t="s">
        <v>91</v>
      </c>
      <c r="B6" s="36" t="s">
        <v>602</v>
      </c>
      <c r="C6" s="36" t="s">
        <v>149</v>
      </c>
      <c r="D6" s="36" t="s">
        <v>597</v>
      </c>
      <c r="E6" s="380" t="s">
        <v>598</v>
      </c>
    </row>
    <row r="7" spans="1:5" ht="43.5">
      <c r="A7" s="379" t="s">
        <v>91</v>
      </c>
      <c r="B7" s="36" t="s">
        <v>603</v>
      </c>
      <c r="C7" s="36" t="s">
        <v>149</v>
      </c>
      <c r="D7" s="36" t="s">
        <v>604</v>
      </c>
      <c r="E7" s="380"/>
    </row>
    <row r="8" spans="1:5" ht="29.1">
      <c r="A8" s="379" t="s">
        <v>56</v>
      </c>
      <c r="B8" s="36" t="s">
        <v>605</v>
      </c>
      <c r="C8" s="36" t="s">
        <v>606</v>
      </c>
      <c r="D8" s="36" t="s">
        <v>607</v>
      </c>
      <c r="E8" s="380" t="s">
        <v>608</v>
      </c>
    </row>
    <row r="9" spans="1:5">
      <c r="A9" s="379" t="s">
        <v>56</v>
      </c>
      <c r="B9" s="36" t="s">
        <v>609</v>
      </c>
      <c r="C9" s="36" t="s">
        <v>610</v>
      </c>
      <c r="D9" s="36" t="s">
        <v>611</v>
      </c>
      <c r="E9" s="380" t="s">
        <v>612</v>
      </c>
    </row>
    <row r="10" spans="1:5" ht="60" customHeight="1">
      <c r="A10" s="379" t="s">
        <v>613</v>
      </c>
      <c r="B10" s="36" t="s">
        <v>614</v>
      </c>
      <c r="C10" s="36" t="s">
        <v>615</v>
      </c>
      <c r="D10" s="36" t="s">
        <v>616</v>
      </c>
      <c r="E10" s="380" t="s">
        <v>617</v>
      </c>
    </row>
    <row r="11" spans="1:5" ht="60" customHeight="1">
      <c r="A11" s="379" t="s">
        <v>613</v>
      </c>
      <c r="B11" s="36" t="s">
        <v>618</v>
      </c>
      <c r="C11" s="36" t="s">
        <v>615</v>
      </c>
      <c r="D11" s="36" t="s">
        <v>616</v>
      </c>
      <c r="E11" s="380" t="s">
        <v>617</v>
      </c>
    </row>
    <row r="12" spans="1:5" ht="56.1" customHeight="1">
      <c r="A12" s="379" t="s">
        <v>613</v>
      </c>
      <c r="B12" s="36" t="s">
        <v>619</v>
      </c>
      <c r="C12" s="36" t="s">
        <v>615</v>
      </c>
      <c r="D12" s="36" t="s">
        <v>616</v>
      </c>
      <c r="E12" s="380" t="s">
        <v>617</v>
      </c>
    </row>
    <row r="13" spans="1:5" ht="59.1" customHeight="1">
      <c r="A13" s="379" t="s">
        <v>613</v>
      </c>
      <c r="B13" s="36" t="s">
        <v>620</v>
      </c>
      <c r="C13" s="36" t="s">
        <v>615</v>
      </c>
      <c r="D13" s="36" t="s">
        <v>616</v>
      </c>
      <c r="E13" s="380" t="s">
        <v>617</v>
      </c>
    </row>
    <row r="14" spans="1:5" ht="59.1" customHeight="1">
      <c r="A14" s="379" t="s">
        <v>613</v>
      </c>
      <c r="B14" s="36" t="s">
        <v>621</v>
      </c>
      <c r="C14" s="36" t="s">
        <v>615</v>
      </c>
      <c r="D14" s="36" t="s">
        <v>616</v>
      </c>
      <c r="E14" s="380" t="s">
        <v>617</v>
      </c>
    </row>
    <row r="15" spans="1:5" ht="29.1">
      <c r="A15" s="379" t="s">
        <v>94</v>
      </c>
      <c r="B15" s="36" t="s">
        <v>622</v>
      </c>
      <c r="C15" s="36" t="s">
        <v>623</v>
      </c>
      <c r="D15" s="36" t="s">
        <v>624</v>
      </c>
      <c r="E15" s="380" t="s">
        <v>625</v>
      </c>
    </row>
    <row r="16" spans="1:5">
      <c r="A16" s="379" t="s">
        <v>94</v>
      </c>
      <c r="B16" s="36" t="s">
        <v>626</v>
      </c>
      <c r="C16" s="36" t="s">
        <v>623</v>
      </c>
      <c r="D16" s="36" t="s">
        <v>624</v>
      </c>
      <c r="E16" s="380" t="s">
        <v>627</v>
      </c>
    </row>
    <row r="17" spans="1:5" ht="43.5">
      <c r="A17" s="379" t="s">
        <v>94</v>
      </c>
      <c r="B17" s="36" t="s">
        <v>628</v>
      </c>
      <c r="C17" s="36" t="s">
        <v>629</v>
      </c>
      <c r="D17" s="36" t="s">
        <v>624</v>
      </c>
      <c r="E17" s="380" t="s">
        <v>630</v>
      </c>
    </row>
    <row r="18" spans="1:5">
      <c r="A18" s="379" t="s">
        <v>94</v>
      </c>
      <c r="B18" s="36" t="s">
        <v>631</v>
      </c>
      <c r="C18" s="36" t="s">
        <v>629</v>
      </c>
      <c r="D18" s="36" t="s">
        <v>632</v>
      </c>
      <c r="E18" s="380" t="s">
        <v>633</v>
      </c>
    </row>
    <row r="19" spans="1:5" ht="29.1">
      <c r="A19" s="379" t="s">
        <v>634</v>
      </c>
      <c r="B19" s="36" t="s">
        <v>635</v>
      </c>
      <c r="C19" s="36" t="s">
        <v>636</v>
      </c>
      <c r="D19" s="36" t="s">
        <v>637</v>
      </c>
      <c r="E19" s="380" t="s">
        <v>638</v>
      </c>
    </row>
    <row r="20" spans="1:5" ht="29.1">
      <c r="A20" s="379" t="s">
        <v>634</v>
      </c>
      <c r="B20" s="36" t="s">
        <v>639</v>
      </c>
      <c r="C20" s="36" t="s">
        <v>636</v>
      </c>
      <c r="D20" s="36" t="s">
        <v>637</v>
      </c>
      <c r="E20" s="380" t="s">
        <v>638</v>
      </c>
    </row>
    <row r="21" spans="1:5">
      <c r="A21" s="379" t="s">
        <v>634</v>
      </c>
      <c r="B21" s="36" t="s">
        <v>640</v>
      </c>
      <c r="C21" s="36" t="s">
        <v>641</v>
      </c>
      <c r="D21" s="36" t="s">
        <v>637</v>
      </c>
      <c r="E21" s="380" t="s">
        <v>638</v>
      </c>
    </row>
    <row r="22" spans="1:5">
      <c r="A22" s="379" t="s">
        <v>634</v>
      </c>
      <c r="B22" s="36" t="s">
        <v>642</v>
      </c>
      <c r="C22" s="36" t="s">
        <v>636</v>
      </c>
      <c r="D22" s="36" t="s">
        <v>637</v>
      </c>
      <c r="E22" s="380" t="s">
        <v>638</v>
      </c>
    </row>
    <row r="23" spans="1:5" ht="29.1">
      <c r="A23" s="379" t="s">
        <v>634</v>
      </c>
      <c r="B23" s="36" t="s">
        <v>643</v>
      </c>
      <c r="C23" s="36" t="s">
        <v>636</v>
      </c>
      <c r="D23" s="36" t="s">
        <v>637</v>
      </c>
      <c r="E23" s="380" t="s">
        <v>638</v>
      </c>
    </row>
    <row r="24" spans="1:5">
      <c r="A24" s="379" t="s">
        <v>634</v>
      </c>
      <c r="B24" s="36" t="s">
        <v>644</v>
      </c>
      <c r="C24" s="36" t="s">
        <v>645</v>
      </c>
      <c r="D24" s="36" t="s">
        <v>637</v>
      </c>
      <c r="E24" s="380" t="s">
        <v>638</v>
      </c>
    </row>
    <row r="25" spans="1:5" ht="29.1">
      <c r="A25" s="379" t="s">
        <v>634</v>
      </c>
      <c r="B25" s="36" t="s">
        <v>646</v>
      </c>
      <c r="C25" s="36" t="s">
        <v>636</v>
      </c>
      <c r="D25" s="36" t="s">
        <v>637</v>
      </c>
      <c r="E25" s="380" t="s">
        <v>638</v>
      </c>
    </row>
    <row r="26" spans="1:5" ht="43.5">
      <c r="A26" s="379" t="s">
        <v>97</v>
      </c>
      <c r="B26" s="36" t="s">
        <v>647</v>
      </c>
      <c r="C26" s="36" t="s">
        <v>648</v>
      </c>
      <c r="D26" s="36" t="s">
        <v>649</v>
      </c>
      <c r="E26" s="380" t="s">
        <v>650</v>
      </c>
    </row>
    <row r="27" spans="1:5" ht="72.599999999999994">
      <c r="A27" s="379" t="s">
        <v>97</v>
      </c>
      <c r="B27" s="36" t="s">
        <v>651</v>
      </c>
      <c r="C27" s="36" t="s">
        <v>648</v>
      </c>
      <c r="D27" s="36" t="s">
        <v>649</v>
      </c>
      <c r="E27" s="380" t="s">
        <v>650</v>
      </c>
    </row>
    <row r="28" spans="1:5" ht="43.5">
      <c r="A28" s="379" t="s">
        <v>97</v>
      </c>
      <c r="B28" s="36" t="s">
        <v>652</v>
      </c>
      <c r="C28" s="36" t="s">
        <v>648</v>
      </c>
      <c r="D28" s="36" t="s">
        <v>649</v>
      </c>
      <c r="E28" s="380" t="s">
        <v>650</v>
      </c>
    </row>
    <row r="29" spans="1:5" ht="101.45">
      <c r="A29" s="379" t="s">
        <v>97</v>
      </c>
      <c r="B29" s="36" t="s">
        <v>653</v>
      </c>
      <c r="C29" s="36" t="s">
        <v>648</v>
      </c>
      <c r="D29" s="36" t="s">
        <v>654</v>
      </c>
      <c r="E29" s="380"/>
    </row>
    <row r="30" spans="1:5" ht="43.5">
      <c r="A30" s="379" t="s">
        <v>97</v>
      </c>
      <c r="B30" s="36" t="s">
        <v>655</v>
      </c>
      <c r="C30" s="36" t="s">
        <v>648</v>
      </c>
      <c r="D30" s="36" t="s">
        <v>656</v>
      </c>
      <c r="E30" s="380" t="s">
        <v>657</v>
      </c>
    </row>
    <row r="31" spans="1:5">
      <c r="A31" s="379" t="s">
        <v>97</v>
      </c>
      <c r="B31" s="36" t="s">
        <v>658</v>
      </c>
      <c r="C31" s="36" t="s">
        <v>648</v>
      </c>
      <c r="D31" s="36" t="s">
        <v>659</v>
      </c>
      <c r="E31" s="380"/>
    </row>
    <row r="32" spans="1:5">
      <c r="A32" s="379" t="s">
        <v>660</v>
      </c>
      <c r="B32" s="36" t="s">
        <v>661</v>
      </c>
      <c r="C32" s="36"/>
      <c r="D32" s="36"/>
      <c r="E32" s="380"/>
    </row>
    <row r="33" spans="1:5" ht="43.5">
      <c r="A33" s="379" t="s">
        <v>660</v>
      </c>
      <c r="B33" s="36" t="s">
        <v>662</v>
      </c>
      <c r="C33" s="36"/>
      <c r="D33" s="36"/>
      <c r="E33" s="380"/>
    </row>
    <row r="34" spans="1:5" ht="29.1">
      <c r="A34" s="379" t="s">
        <v>660</v>
      </c>
      <c r="B34" s="36" t="s">
        <v>663</v>
      </c>
      <c r="C34" s="36"/>
      <c r="D34" s="36"/>
      <c r="E34" s="380"/>
    </row>
    <row r="35" spans="1:5" ht="29.1">
      <c r="A35" s="379" t="s">
        <v>660</v>
      </c>
      <c r="B35" s="36" t="s">
        <v>664</v>
      </c>
      <c r="C35" s="36"/>
      <c r="D35" s="36"/>
      <c r="E35" s="380"/>
    </row>
    <row r="36" spans="1:5" ht="29.1">
      <c r="A36" s="379" t="s">
        <v>660</v>
      </c>
      <c r="B36" s="36" t="s">
        <v>665</v>
      </c>
      <c r="C36" s="36"/>
      <c r="D36" s="36"/>
      <c r="E36" s="380"/>
    </row>
    <row r="37" spans="1:5" ht="29.1">
      <c r="A37" s="379" t="s">
        <v>666</v>
      </c>
      <c r="B37" s="36" t="s">
        <v>667</v>
      </c>
      <c r="C37" s="36"/>
      <c r="D37" s="36"/>
      <c r="E37" s="380"/>
    </row>
    <row r="38" spans="1:5" ht="29.1">
      <c r="A38" s="379" t="s">
        <v>666</v>
      </c>
      <c r="B38" s="36" t="s">
        <v>668</v>
      </c>
      <c r="C38" s="36"/>
      <c r="D38" s="36"/>
      <c r="E38" s="380"/>
    </row>
    <row r="39" spans="1:5" ht="57.95">
      <c r="A39" s="379" t="s">
        <v>666</v>
      </c>
      <c r="B39" s="36" t="s">
        <v>669</v>
      </c>
      <c r="C39" s="36"/>
      <c r="D39" s="36"/>
      <c r="E39" s="380"/>
    </row>
    <row r="40" spans="1:5" ht="29.1">
      <c r="A40" s="379" t="s">
        <v>666</v>
      </c>
      <c r="B40" s="36" t="s">
        <v>670</v>
      </c>
      <c r="C40" s="36"/>
      <c r="D40" s="36"/>
      <c r="E40" s="380"/>
    </row>
    <row r="41" spans="1:5">
      <c r="A41" s="379" t="s">
        <v>666</v>
      </c>
      <c r="B41" s="36" t="s">
        <v>671</v>
      </c>
      <c r="C41" s="36"/>
      <c r="D41" s="36"/>
      <c r="E41" s="380"/>
    </row>
    <row r="42" spans="1:5" ht="29.1">
      <c r="A42" s="379" t="s">
        <v>666</v>
      </c>
      <c r="B42" s="36" t="s">
        <v>672</v>
      </c>
      <c r="C42" s="36"/>
      <c r="D42" s="36"/>
      <c r="E42" s="380"/>
    </row>
    <row r="43" spans="1:5">
      <c r="A43" s="379" t="s">
        <v>666</v>
      </c>
      <c r="B43" s="36" t="s">
        <v>673</v>
      </c>
      <c r="C43" s="36"/>
      <c r="D43" s="36"/>
      <c r="E43" s="380"/>
    </row>
    <row r="44" spans="1:5" ht="43.5">
      <c r="A44" s="379" t="s">
        <v>666</v>
      </c>
      <c r="B44" s="36" t="s">
        <v>674</v>
      </c>
      <c r="C44" s="36"/>
      <c r="D44" s="36"/>
      <c r="E44" s="380"/>
    </row>
    <row r="45" spans="1:5" ht="29.1">
      <c r="A45" s="379" t="s">
        <v>666</v>
      </c>
      <c r="B45" s="36" t="s">
        <v>675</v>
      </c>
      <c r="C45" s="36"/>
      <c r="D45" s="36"/>
      <c r="E45" s="380"/>
    </row>
    <row r="46" spans="1:5" ht="43.5">
      <c r="A46" s="379" t="s">
        <v>666</v>
      </c>
      <c r="B46" s="36" t="s">
        <v>676</v>
      </c>
      <c r="C46" s="36"/>
      <c r="D46" s="36"/>
      <c r="E46" s="380"/>
    </row>
    <row r="47" spans="1:5" ht="29.1">
      <c r="A47" s="379" t="s">
        <v>666</v>
      </c>
      <c r="B47" s="36" t="s">
        <v>677</v>
      </c>
      <c r="C47" s="36"/>
      <c r="D47" s="36"/>
      <c r="E47" s="380"/>
    </row>
    <row r="48" spans="1:5" ht="29.1">
      <c r="A48" s="379" t="s">
        <v>678</v>
      </c>
      <c r="B48" s="36" t="s">
        <v>679</v>
      </c>
      <c r="C48" s="36"/>
      <c r="D48" s="36"/>
      <c r="E48" s="380"/>
    </row>
    <row r="49" spans="1:5" ht="29.1">
      <c r="A49" s="379" t="s">
        <v>678</v>
      </c>
      <c r="B49" s="36" t="s">
        <v>680</v>
      </c>
      <c r="C49" s="36"/>
      <c r="D49" s="36"/>
      <c r="E49" s="380"/>
    </row>
    <row r="50" spans="1:5" ht="29.1">
      <c r="A50" s="379" t="s">
        <v>678</v>
      </c>
      <c r="B50" s="36" t="s">
        <v>681</v>
      </c>
      <c r="C50" s="36"/>
      <c r="D50" s="36"/>
      <c r="E50" s="380"/>
    </row>
    <row r="51" spans="1:5">
      <c r="A51" s="381" t="s">
        <v>678</v>
      </c>
      <c r="B51" s="382" t="s">
        <v>682</v>
      </c>
      <c r="C51" s="382"/>
      <c r="D51" s="382"/>
      <c r="E51" s="383"/>
    </row>
    <row r="52" spans="1:5">
      <c r="A52" s="384" t="s">
        <v>678</v>
      </c>
      <c r="B52" s="385" t="s">
        <v>683</v>
      </c>
      <c r="C52" s="385"/>
      <c r="D52" s="385"/>
      <c r="E52" s="386"/>
    </row>
    <row r="53" spans="1:5">
      <c r="A53" s="381" t="s">
        <v>678</v>
      </c>
      <c r="B53" s="382" t="s">
        <v>684</v>
      </c>
      <c r="C53" s="382"/>
      <c r="D53" s="382"/>
      <c r="E53" s="383"/>
    </row>
    <row r="54" spans="1:5">
      <c r="A54" s="381" t="s">
        <v>678</v>
      </c>
      <c r="B54" s="382" t="s">
        <v>685</v>
      </c>
      <c r="C54" s="382"/>
      <c r="D54" s="382"/>
      <c r="E54" s="383"/>
    </row>
    <row r="55" spans="1:5">
      <c r="A55" s="381" t="s">
        <v>678</v>
      </c>
      <c r="B55" s="382" t="s">
        <v>686</v>
      </c>
      <c r="C55" s="382"/>
      <c r="D55" s="382"/>
      <c r="E55" s="383"/>
    </row>
    <row r="56" spans="1:5">
      <c r="A56" s="381" t="s">
        <v>678</v>
      </c>
      <c r="B56" s="382" t="s">
        <v>687</v>
      </c>
      <c r="C56" s="382"/>
      <c r="D56" s="382"/>
      <c r="E56" s="383"/>
    </row>
    <row r="57" spans="1:5">
      <c r="A57" s="381" t="s">
        <v>678</v>
      </c>
      <c r="B57" s="382" t="s">
        <v>688</v>
      </c>
      <c r="C57" s="382"/>
      <c r="D57" s="382"/>
      <c r="E57" s="383"/>
    </row>
    <row r="58" spans="1:5">
      <c r="A58" s="381" t="s">
        <v>678</v>
      </c>
      <c r="B58" s="382" t="s">
        <v>689</v>
      </c>
      <c r="C58" s="382"/>
      <c r="D58" s="382"/>
      <c r="E58" s="383"/>
    </row>
    <row r="59" spans="1:5">
      <c r="A59" s="381" t="s">
        <v>678</v>
      </c>
      <c r="B59" s="382" t="s">
        <v>679</v>
      </c>
      <c r="C59" s="382"/>
      <c r="D59" s="382"/>
      <c r="E59" s="383"/>
    </row>
    <row r="60" spans="1:5">
      <c r="A60" s="381" t="s">
        <v>690</v>
      </c>
      <c r="B60" s="382" t="s">
        <v>691</v>
      </c>
      <c r="C60" s="382"/>
      <c r="D60" s="382"/>
      <c r="E60" s="383"/>
    </row>
    <row r="61" spans="1:5">
      <c r="A61" s="381" t="s">
        <v>690</v>
      </c>
      <c r="B61" s="382" t="s">
        <v>692</v>
      </c>
      <c r="C61" s="382"/>
      <c r="D61" s="382"/>
      <c r="E61" s="383"/>
    </row>
    <row r="62" spans="1:5">
      <c r="A62" s="381" t="s">
        <v>690</v>
      </c>
      <c r="B62" s="382" t="s">
        <v>693</v>
      </c>
      <c r="C62" s="382"/>
      <c r="D62" s="382"/>
      <c r="E62" s="383"/>
    </row>
    <row r="63" spans="1:5">
      <c r="A63" s="381" t="s">
        <v>690</v>
      </c>
      <c r="B63" s="382" t="s">
        <v>694</v>
      </c>
      <c r="C63" s="382"/>
      <c r="D63" s="382"/>
      <c r="E63" s="383"/>
    </row>
    <row r="64" spans="1:5">
      <c r="A64" s="381" t="s">
        <v>96</v>
      </c>
      <c r="B64" s="382" t="s">
        <v>695</v>
      </c>
      <c r="C64" s="382" t="s">
        <v>696</v>
      </c>
      <c r="D64" s="382" t="s">
        <v>611</v>
      </c>
      <c r="E64" s="383" t="s">
        <v>697</v>
      </c>
    </row>
    <row r="65" spans="1:5">
      <c r="A65" s="381" t="s">
        <v>96</v>
      </c>
      <c r="B65" s="382" t="s">
        <v>698</v>
      </c>
      <c r="C65" s="382" t="s">
        <v>696</v>
      </c>
      <c r="D65" s="382" t="s">
        <v>611</v>
      </c>
      <c r="E65" s="383" t="s">
        <v>697</v>
      </c>
    </row>
    <row r="66" spans="1:5">
      <c r="A66" s="381" t="s">
        <v>96</v>
      </c>
      <c r="B66" s="382" t="s">
        <v>699</v>
      </c>
      <c r="C66" s="382" t="s">
        <v>696</v>
      </c>
      <c r="D66" s="382" t="s">
        <v>611</v>
      </c>
      <c r="E66" s="383" t="s">
        <v>697</v>
      </c>
    </row>
    <row r="67" spans="1:5">
      <c r="A67" s="381" t="s">
        <v>96</v>
      </c>
      <c r="B67" s="382" t="s">
        <v>700</v>
      </c>
      <c r="C67" s="382" t="s">
        <v>696</v>
      </c>
      <c r="D67" s="382" t="s">
        <v>611</v>
      </c>
      <c r="E67" s="383" t="s">
        <v>697</v>
      </c>
    </row>
    <row r="68" spans="1:5">
      <c r="A68" s="381" t="s">
        <v>96</v>
      </c>
      <c r="B68" s="382" t="s">
        <v>701</v>
      </c>
      <c r="C68" s="382" t="s">
        <v>696</v>
      </c>
      <c r="D68" s="382" t="s">
        <v>611</v>
      </c>
      <c r="E68" s="383" t="s">
        <v>697</v>
      </c>
    </row>
    <row r="69" spans="1:5">
      <c r="A69" s="381" t="s">
        <v>96</v>
      </c>
      <c r="B69" s="382" t="s">
        <v>702</v>
      </c>
      <c r="C69" s="382" t="s">
        <v>696</v>
      </c>
      <c r="D69" s="382" t="s">
        <v>611</v>
      </c>
      <c r="E69" s="383" t="s">
        <v>697</v>
      </c>
    </row>
    <row r="70" spans="1:5">
      <c r="A70" s="381" t="s">
        <v>96</v>
      </c>
      <c r="B70" s="382" t="s">
        <v>703</v>
      </c>
      <c r="C70" s="382" t="s">
        <v>696</v>
      </c>
      <c r="D70" s="382" t="s">
        <v>611</v>
      </c>
      <c r="E70" s="383" t="s">
        <v>697</v>
      </c>
    </row>
    <row r="71" spans="1:5">
      <c r="A71" s="381" t="s">
        <v>96</v>
      </c>
      <c r="B71" s="382" t="s">
        <v>704</v>
      </c>
      <c r="C71" s="382" t="s">
        <v>696</v>
      </c>
      <c r="D71" s="382" t="s">
        <v>611</v>
      </c>
      <c r="E71" s="383" t="s">
        <v>697</v>
      </c>
    </row>
    <row r="72" spans="1:5">
      <c r="A72" s="381" t="s">
        <v>96</v>
      </c>
      <c r="B72" s="382" t="s">
        <v>705</v>
      </c>
      <c r="C72" s="382" t="s">
        <v>696</v>
      </c>
      <c r="D72" s="382" t="s">
        <v>611</v>
      </c>
      <c r="E72" s="383" t="s">
        <v>697</v>
      </c>
    </row>
    <row r="73" spans="1:5">
      <c r="A73" s="381" t="s">
        <v>96</v>
      </c>
      <c r="B73" s="382" t="s">
        <v>706</v>
      </c>
      <c r="C73" s="382" t="s">
        <v>696</v>
      </c>
      <c r="D73" s="382" t="s">
        <v>611</v>
      </c>
      <c r="E73" s="383" t="s">
        <v>697</v>
      </c>
    </row>
    <row r="74" spans="1:5">
      <c r="A74" s="384" t="s">
        <v>96</v>
      </c>
      <c r="B74" s="385" t="s">
        <v>707</v>
      </c>
      <c r="C74" s="385" t="s">
        <v>696</v>
      </c>
      <c r="D74" s="385" t="s">
        <v>611</v>
      </c>
      <c r="E74" s="386" t="s">
        <v>697</v>
      </c>
    </row>
  </sheetData>
  <phoneticPr fontId="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D503-DBB6-4616-8A39-F4CD3CAE51E1}">
  <dimension ref="A3:S23"/>
  <sheetViews>
    <sheetView workbookViewId="0">
      <selection activeCell="L15" sqref="L15"/>
    </sheetView>
  </sheetViews>
  <sheetFormatPr defaultRowHeight="14.45"/>
  <cols>
    <col min="1" max="1" width="17.5703125" customWidth="1"/>
    <col min="2" max="2" width="17.28515625" bestFit="1" customWidth="1"/>
    <col min="3" max="3" width="12.28515625" bestFit="1" customWidth="1"/>
    <col min="4" max="7" width="8.28515625" bestFit="1" customWidth="1"/>
    <col min="8" max="8" width="8.7109375" bestFit="1" customWidth="1"/>
    <col min="9" max="14" width="8.28515625" bestFit="1" customWidth="1"/>
    <col min="15" max="15" width="10.140625" bestFit="1" customWidth="1"/>
    <col min="16" max="17" width="9.85546875" bestFit="1" customWidth="1"/>
    <col min="18" max="18" width="12.85546875" bestFit="1" customWidth="1"/>
    <col min="19" max="20" width="14.28515625" bestFit="1" customWidth="1"/>
  </cols>
  <sheetData>
    <row r="3" spans="1:19">
      <c r="C3" s="365" t="s">
        <v>572</v>
      </c>
    </row>
    <row r="4" spans="1:19" ht="72.599999999999994">
      <c r="A4" s="365" t="s">
        <v>82</v>
      </c>
      <c r="B4" s="365" t="s">
        <v>84</v>
      </c>
      <c r="C4" s="366" t="s">
        <v>574</v>
      </c>
      <c r="D4" s="366" t="s">
        <v>575</v>
      </c>
      <c r="E4" s="366" t="s">
        <v>576</v>
      </c>
      <c r="F4" s="366" t="s">
        <v>577</v>
      </c>
      <c r="G4" s="366" t="s">
        <v>578</v>
      </c>
      <c r="H4" s="366" t="s">
        <v>579</v>
      </c>
      <c r="I4" s="366" t="s">
        <v>580</v>
      </c>
      <c r="J4" s="366" t="s">
        <v>581</v>
      </c>
      <c r="K4" s="366" t="s">
        <v>582</v>
      </c>
      <c r="L4" s="366" t="s">
        <v>583</v>
      </c>
      <c r="M4" s="366" t="s">
        <v>584</v>
      </c>
      <c r="N4" s="366" t="s">
        <v>585</v>
      </c>
      <c r="O4" s="367" t="s">
        <v>573</v>
      </c>
      <c r="P4" s="368" t="s">
        <v>586</v>
      </c>
      <c r="Q4" s="368" t="s">
        <v>587</v>
      </c>
      <c r="R4" s="368" t="s">
        <v>588</v>
      </c>
      <c r="S4" t="s">
        <v>589</v>
      </c>
    </row>
    <row r="5" spans="1:19">
      <c r="A5" t="s">
        <v>146</v>
      </c>
      <c r="B5" t="s">
        <v>148</v>
      </c>
      <c r="C5" s="108">
        <v>40848</v>
      </c>
      <c r="D5" s="108">
        <v>20026</v>
      </c>
      <c r="E5" s="108">
        <v>102808</v>
      </c>
      <c r="F5" s="108">
        <v>1213.9999999999998</v>
      </c>
      <c r="G5" s="108">
        <v>18502</v>
      </c>
      <c r="H5" s="108">
        <v>52501</v>
      </c>
      <c r="I5" s="108">
        <v>51892</v>
      </c>
      <c r="J5" s="108">
        <v>20146</v>
      </c>
      <c r="K5" s="108">
        <v>16547</v>
      </c>
      <c r="L5" s="108">
        <v>28048</v>
      </c>
      <c r="M5" s="108">
        <v>59919</v>
      </c>
      <c r="N5" s="108">
        <v>94376</v>
      </c>
      <c r="O5" s="108">
        <v>209642</v>
      </c>
      <c r="P5" s="108">
        <v>121189</v>
      </c>
      <c r="Q5" s="108">
        <v>60594.5</v>
      </c>
      <c r="R5" s="108">
        <v>0</v>
      </c>
      <c r="S5" s="108">
        <v>3</v>
      </c>
    </row>
    <row r="6" spans="1:19">
      <c r="B6" t="s">
        <v>153</v>
      </c>
      <c r="C6" s="108">
        <v>88441.4</v>
      </c>
      <c r="D6" s="108">
        <v>34499</v>
      </c>
      <c r="E6" s="108">
        <v>166938</v>
      </c>
      <c r="F6" s="108">
        <v>1147</v>
      </c>
      <c r="G6" s="108">
        <v>31530</v>
      </c>
      <c r="H6" s="108">
        <v>39470</v>
      </c>
      <c r="I6" s="108">
        <v>4688</v>
      </c>
      <c r="J6" s="108">
        <v>39470</v>
      </c>
      <c r="K6" s="108">
        <v>23285</v>
      </c>
      <c r="L6" s="108">
        <v>39470</v>
      </c>
      <c r="M6" s="108">
        <v>65963</v>
      </c>
      <c r="N6" s="108">
        <v>39663</v>
      </c>
      <c r="O6" s="108">
        <v>353999</v>
      </c>
      <c r="P6" s="108">
        <v>166938</v>
      </c>
      <c r="Q6" s="108">
        <v>83469</v>
      </c>
      <c r="R6" s="108">
        <v>0</v>
      </c>
      <c r="S6" s="108">
        <v>3</v>
      </c>
    </row>
    <row r="7" spans="1:19">
      <c r="B7" t="s">
        <v>155</v>
      </c>
      <c r="C7" s="108">
        <v>0</v>
      </c>
      <c r="D7" s="108">
        <v>44966</v>
      </c>
      <c r="E7" s="108">
        <v>62876</v>
      </c>
      <c r="F7" s="108">
        <v>5663.5447999999997</v>
      </c>
      <c r="G7" s="108">
        <v>24760</v>
      </c>
      <c r="H7" s="108">
        <v>36674</v>
      </c>
      <c r="I7" s="108">
        <v>7117</v>
      </c>
      <c r="J7" s="108">
        <v>28920</v>
      </c>
      <c r="K7" s="108">
        <v>21636</v>
      </c>
      <c r="L7" s="108">
        <v>36674</v>
      </c>
      <c r="M7" s="108">
        <v>45183</v>
      </c>
      <c r="N7" s="108">
        <v>85632</v>
      </c>
      <c r="O7" s="108">
        <v>306883</v>
      </c>
      <c r="P7" s="108">
        <v>87498</v>
      </c>
      <c r="Q7" s="108">
        <v>43749</v>
      </c>
      <c r="R7" s="108">
        <v>0</v>
      </c>
      <c r="S7" s="108">
        <v>3</v>
      </c>
    </row>
    <row r="8" spans="1:19">
      <c r="B8" t="s">
        <v>157</v>
      </c>
      <c r="C8" s="108">
        <v>22387</v>
      </c>
      <c r="D8" s="108">
        <v>2946</v>
      </c>
      <c r="E8" s="108">
        <v>6350</v>
      </c>
      <c r="F8" s="108">
        <v>15994.713599999999</v>
      </c>
      <c r="G8" s="108">
        <v>2900</v>
      </c>
      <c r="H8" s="108">
        <v>17914</v>
      </c>
      <c r="I8" s="108">
        <v>17914</v>
      </c>
      <c r="J8" s="108">
        <v>5436</v>
      </c>
      <c r="K8" s="108">
        <v>11228</v>
      </c>
      <c r="L8" s="108">
        <v>5436</v>
      </c>
      <c r="M8" s="108">
        <v>11208</v>
      </c>
      <c r="N8" s="108">
        <v>25918</v>
      </c>
      <c r="O8" s="108">
        <v>32331</v>
      </c>
      <c r="P8" s="108">
        <v>28813</v>
      </c>
      <c r="Q8" s="108">
        <v>14406.5</v>
      </c>
      <c r="R8" s="108">
        <v>0</v>
      </c>
      <c r="S8" s="108">
        <v>3</v>
      </c>
    </row>
    <row r="9" spans="1:19">
      <c r="B9" t="s">
        <v>159</v>
      </c>
      <c r="C9" s="108">
        <v>72709.8</v>
      </c>
      <c r="D9" s="108">
        <v>22456</v>
      </c>
      <c r="E9" s="108">
        <v>41940</v>
      </c>
      <c r="F9" s="108">
        <v>123912.21400000001</v>
      </c>
      <c r="G9" s="108">
        <v>16067</v>
      </c>
      <c r="H9" s="108">
        <v>102840</v>
      </c>
      <c r="I9" s="108">
        <v>89821</v>
      </c>
      <c r="J9" s="108">
        <v>46743</v>
      </c>
      <c r="K9" s="108">
        <v>65868</v>
      </c>
      <c r="L9" s="108">
        <v>20518</v>
      </c>
      <c r="M9" s="108">
        <v>97101</v>
      </c>
      <c r="N9" s="108">
        <v>133481</v>
      </c>
      <c r="O9" s="108">
        <v>157153</v>
      </c>
      <c r="P9" s="108">
        <v>147185</v>
      </c>
      <c r="Q9" s="108">
        <v>147185</v>
      </c>
      <c r="R9" s="108">
        <v>147185</v>
      </c>
      <c r="S9" s="108">
        <v>4</v>
      </c>
    </row>
    <row r="10" spans="1:19">
      <c r="B10" t="s">
        <v>161</v>
      </c>
      <c r="C10" s="108">
        <v>1957</v>
      </c>
      <c r="D10" s="108">
        <v>23594</v>
      </c>
      <c r="E10" s="108">
        <v>38776</v>
      </c>
      <c r="F10" s="108">
        <v>436.00000000000006</v>
      </c>
      <c r="G10" s="108">
        <v>8452</v>
      </c>
      <c r="H10" s="108">
        <v>7836</v>
      </c>
      <c r="I10" s="108">
        <v>6559</v>
      </c>
      <c r="J10" s="108">
        <v>7836</v>
      </c>
      <c r="K10" s="108">
        <v>4623</v>
      </c>
      <c r="L10" s="108">
        <v>602</v>
      </c>
      <c r="M10" s="108">
        <v>23110.5</v>
      </c>
      <c r="N10" s="108">
        <v>2177</v>
      </c>
      <c r="O10" s="108">
        <v>89755</v>
      </c>
      <c r="P10" s="108">
        <v>38776</v>
      </c>
      <c r="Q10" s="108">
        <v>19388</v>
      </c>
      <c r="R10" s="108">
        <v>0</v>
      </c>
      <c r="S10" s="108">
        <v>3</v>
      </c>
    </row>
    <row r="11" spans="1:19">
      <c r="B11" t="s">
        <v>163</v>
      </c>
      <c r="C11" s="108">
        <v>14090.2</v>
      </c>
      <c r="D11" s="108">
        <v>6134</v>
      </c>
      <c r="E11" s="108">
        <v>11389</v>
      </c>
      <c r="F11" s="108">
        <v>968.70839999999998</v>
      </c>
      <c r="G11" s="108">
        <v>3819</v>
      </c>
      <c r="H11" s="108">
        <v>24798</v>
      </c>
      <c r="I11" s="108">
        <v>24798</v>
      </c>
      <c r="J11" s="108">
        <v>6618</v>
      </c>
      <c r="K11" s="108">
        <v>3903</v>
      </c>
      <c r="L11" s="108">
        <v>2220</v>
      </c>
      <c r="M11" s="108">
        <v>3328.5</v>
      </c>
      <c r="N11" s="108">
        <v>18706</v>
      </c>
      <c r="O11" s="108">
        <v>47577</v>
      </c>
      <c r="P11" s="108">
        <v>31237</v>
      </c>
      <c r="Q11" s="108">
        <v>15618.5</v>
      </c>
      <c r="R11" s="108">
        <v>0</v>
      </c>
      <c r="S11" s="108">
        <v>3</v>
      </c>
    </row>
    <row r="12" spans="1:19">
      <c r="B12" t="s">
        <v>165</v>
      </c>
      <c r="C12" s="108">
        <v>78732.600000000006</v>
      </c>
      <c r="D12" s="108">
        <v>11925</v>
      </c>
      <c r="E12" s="108">
        <v>69880</v>
      </c>
      <c r="F12" s="108">
        <v>3132.5879999999997</v>
      </c>
      <c r="G12" s="108">
        <v>12000</v>
      </c>
      <c r="H12" s="108">
        <v>65640</v>
      </c>
      <c r="I12" s="108">
        <v>65640</v>
      </c>
      <c r="J12" s="108">
        <v>22164</v>
      </c>
      <c r="K12" s="108">
        <v>13076</v>
      </c>
      <c r="L12" s="108">
        <v>16439</v>
      </c>
      <c r="M12" s="108">
        <v>60052</v>
      </c>
      <c r="N12" s="108">
        <v>66134</v>
      </c>
      <c r="O12" s="108">
        <v>151799</v>
      </c>
      <c r="P12" s="108">
        <v>109740</v>
      </c>
      <c r="Q12" s="108">
        <v>54870</v>
      </c>
      <c r="R12" s="108">
        <v>0</v>
      </c>
      <c r="S12" s="108">
        <v>3</v>
      </c>
    </row>
    <row r="13" spans="1:19">
      <c r="B13" t="s">
        <v>167</v>
      </c>
      <c r="C13" s="108">
        <v>48798</v>
      </c>
      <c r="D13" s="108">
        <v>7989</v>
      </c>
      <c r="E13" s="108">
        <v>51019</v>
      </c>
      <c r="F13" s="108">
        <v>156418.54440000001</v>
      </c>
      <c r="G13" s="108">
        <v>20274</v>
      </c>
      <c r="H13" s="108">
        <v>163413</v>
      </c>
      <c r="I13" s="108">
        <v>129328</v>
      </c>
      <c r="J13" s="108">
        <v>65901</v>
      </c>
      <c r="K13" s="108">
        <v>94071</v>
      </c>
      <c r="L13" s="108">
        <v>29646</v>
      </c>
      <c r="M13" s="108">
        <v>37996</v>
      </c>
      <c r="N13" s="108">
        <v>82560</v>
      </c>
      <c r="O13" s="108">
        <v>236034</v>
      </c>
      <c r="P13" s="108">
        <v>167202.77897894711</v>
      </c>
      <c r="Q13" s="108">
        <v>83601.389489473557</v>
      </c>
      <c r="R13" s="108">
        <v>0</v>
      </c>
      <c r="S13" s="108">
        <v>3</v>
      </c>
    </row>
    <row r="14" spans="1:19">
      <c r="B14" t="s">
        <v>169</v>
      </c>
      <c r="C14" s="108">
        <v>455</v>
      </c>
      <c r="D14" s="108">
        <v>38445</v>
      </c>
      <c r="E14" s="108">
        <v>52656</v>
      </c>
      <c r="F14" s="108">
        <v>913.99999999999977</v>
      </c>
      <c r="G14" s="108">
        <v>28684</v>
      </c>
      <c r="H14" s="108">
        <v>28240</v>
      </c>
      <c r="I14" s="108">
        <v>1299</v>
      </c>
      <c r="J14" s="108">
        <v>28240</v>
      </c>
      <c r="K14" s="108">
        <v>16660</v>
      </c>
      <c r="L14" s="108">
        <v>4066</v>
      </c>
      <c r="M14" s="108">
        <v>75516</v>
      </c>
      <c r="N14" s="108">
        <v>18458</v>
      </c>
      <c r="O14" s="108">
        <v>339255</v>
      </c>
      <c r="P14" s="108">
        <v>81441</v>
      </c>
      <c r="Q14" s="108">
        <v>40720.5</v>
      </c>
      <c r="R14" s="108">
        <v>0</v>
      </c>
      <c r="S14" s="108">
        <v>3</v>
      </c>
    </row>
    <row r="15" spans="1:19">
      <c r="B15" t="s">
        <v>171</v>
      </c>
      <c r="C15" s="108">
        <v>62663.400000000009</v>
      </c>
      <c r="D15" s="108">
        <v>41824</v>
      </c>
      <c r="E15" s="108">
        <v>51056</v>
      </c>
      <c r="F15" s="108">
        <v>1375</v>
      </c>
      <c r="G15" s="108">
        <v>22669</v>
      </c>
      <c r="H15" s="108">
        <v>39658</v>
      </c>
      <c r="I15" s="108">
        <v>19413</v>
      </c>
      <c r="J15" s="108">
        <v>39658</v>
      </c>
      <c r="K15" s="108">
        <v>23396</v>
      </c>
      <c r="L15" s="108">
        <v>39658</v>
      </c>
      <c r="M15" s="108">
        <v>70410</v>
      </c>
      <c r="N15" s="108">
        <v>127288</v>
      </c>
      <c r="O15" s="108">
        <v>241785</v>
      </c>
      <c r="P15" s="108">
        <v>127288</v>
      </c>
      <c r="Q15" s="108">
        <v>127288</v>
      </c>
      <c r="R15" s="108">
        <v>127288</v>
      </c>
      <c r="S15" s="108">
        <v>4</v>
      </c>
    </row>
    <row r="16" spans="1:19">
      <c r="B16" t="s">
        <v>173</v>
      </c>
      <c r="C16" s="108">
        <v>24138.799999999999</v>
      </c>
      <c r="D16" s="108">
        <v>10298</v>
      </c>
      <c r="E16" s="108">
        <v>56073</v>
      </c>
      <c r="F16" s="108">
        <v>904.99999999999989</v>
      </c>
      <c r="G16" s="108">
        <v>5766</v>
      </c>
      <c r="H16" s="108">
        <v>39650</v>
      </c>
      <c r="I16" s="108">
        <v>38357</v>
      </c>
      <c r="J16" s="108">
        <v>12714</v>
      </c>
      <c r="K16" s="108">
        <v>26258</v>
      </c>
      <c r="L16" s="108">
        <v>6342</v>
      </c>
      <c r="M16" s="108">
        <v>26298</v>
      </c>
      <c r="N16" s="108">
        <v>49048</v>
      </c>
      <c r="O16" s="108">
        <v>63826</v>
      </c>
      <c r="P16" s="108">
        <v>59205</v>
      </c>
      <c r="Q16" s="108">
        <v>59205</v>
      </c>
      <c r="R16" s="108">
        <v>59205</v>
      </c>
      <c r="S16" s="108">
        <v>4</v>
      </c>
    </row>
    <row r="17" spans="1:19">
      <c r="B17" t="s">
        <v>177</v>
      </c>
      <c r="C17" s="108">
        <v>59894</v>
      </c>
      <c r="D17" s="108">
        <v>18300</v>
      </c>
      <c r="E17" s="108">
        <v>40288</v>
      </c>
      <c r="F17" s="108">
        <v>36102.5</v>
      </c>
      <c r="G17" s="108">
        <v>10342</v>
      </c>
      <c r="H17" s="108">
        <v>16172</v>
      </c>
      <c r="I17" s="108">
        <v>7984</v>
      </c>
      <c r="J17" s="108">
        <v>16172</v>
      </c>
      <c r="K17" s="108">
        <v>9540</v>
      </c>
      <c r="L17" s="108">
        <v>16172</v>
      </c>
      <c r="M17" s="108">
        <v>55205</v>
      </c>
      <c r="N17" s="108">
        <v>69706</v>
      </c>
      <c r="O17" s="108">
        <v>107746</v>
      </c>
      <c r="P17" s="108">
        <v>85854</v>
      </c>
      <c r="Q17" s="108">
        <v>85854</v>
      </c>
      <c r="R17" s="108">
        <v>85854</v>
      </c>
      <c r="S17" s="108">
        <v>4</v>
      </c>
    </row>
    <row r="18" spans="1:19">
      <c r="B18" t="s">
        <v>179</v>
      </c>
      <c r="C18" s="108">
        <v>0</v>
      </c>
      <c r="D18" s="108">
        <v>14316</v>
      </c>
      <c r="E18" s="108">
        <v>25349</v>
      </c>
      <c r="F18" s="108">
        <v>7536.072000000001</v>
      </c>
      <c r="G18" s="108">
        <v>19897</v>
      </c>
      <c r="H18" s="108">
        <v>27688</v>
      </c>
      <c r="I18" s="108">
        <v>21407</v>
      </c>
      <c r="J18" s="108">
        <v>27688</v>
      </c>
      <c r="K18" s="108">
        <v>16335</v>
      </c>
      <c r="L18" s="108">
        <v>19334</v>
      </c>
      <c r="M18" s="108">
        <v>28389</v>
      </c>
      <c r="N18" s="108">
        <v>52047</v>
      </c>
      <c r="O18" s="108">
        <v>143690</v>
      </c>
      <c r="P18" s="108">
        <v>64721</v>
      </c>
      <c r="Q18" s="108">
        <v>32360.5</v>
      </c>
      <c r="R18" s="108">
        <v>0</v>
      </c>
      <c r="S18" s="108">
        <v>3</v>
      </c>
    </row>
    <row r="19" spans="1:19">
      <c r="B19" t="s">
        <v>181</v>
      </c>
      <c r="C19" s="108">
        <v>13788.400000000001</v>
      </c>
      <c r="D19" s="108">
        <v>14016</v>
      </c>
      <c r="E19" s="108">
        <v>16644</v>
      </c>
      <c r="F19" s="108">
        <v>42955.912800000006</v>
      </c>
      <c r="G19" s="108">
        <v>5984</v>
      </c>
      <c r="H19" s="108">
        <v>29853</v>
      </c>
      <c r="I19" s="108">
        <v>23712</v>
      </c>
      <c r="J19" s="108">
        <v>17086</v>
      </c>
      <c r="K19" s="108">
        <v>24831</v>
      </c>
      <c r="L19" s="108">
        <v>8070</v>
      </c>
      <c r="M19" s="108">
        <v>22275</v>
      </c>
      <c r="N19" s="108">
        <v>46447</v>
      </c>
      <c r="O19" s="108">
        <v>61974</v>
      </c>
      <c r="P19" s="108">
        <v>56875</v>
      </c>
      <c r="Q19" s="108">
        <v>56875</v>
      </c>
      <c r="R19" s="108">
        <v>56875</v>
      </c>
      <c r="S19" s="108">
        <v>4</v>
      </c>
    </row>
    <row r="20" spans="1:19">
      <c r="A20" t="s">
        <v>183</v>
      </c>
      <c r="B20" t="s">
        <v>185</v>
      </c>
      <c r="C20" s="108">
        <v>1199</v>
      </c>
      <c r="D20" s="108">
        <v>76396</v>
      </c>
      <c r="E20" s="108">
        <v>41828</v>
      </c>
      <c r="F20" s="108">
        <v>256.52671150040192</v>
      </c>
      <c r="G20" s="108">
        <v>53255.9</v>
      </c>
      <c r="H20" s="108">
        <v>62132</v>
      </c>
      <c r="I20" s="108">
        <v>1694</v>
      </c>
      <c r="J20" s="108">
        <v>62132</v>
      </c>
      <c r="K20" s="108">
        <v>36657</v>
      </c>
      <c r="L20" s="108">
        <v>3146</v>
      </c>
      <c r="M20" s="108">
        <v>61398</v>
      </c>
      <c r="N20" s="108">
        <v>22113</v>
      </c>
      <c r="O20" s="108">
        <v>513869</v>
      </c>
      <c r="P20" s="108">
        <v>79674</v>
      </c>
      <c r="Q20" s="108">
        <v>39837</v>
      </c>
      <c r="R20" s="108">
        <v>0</v>
      </c>
      <c r="S20" s="108">
        <v>3</v>
      </c>
    </row>
    <row r="21" spans="1:19">
      <c r="B21" t="s">
        <v>187</v>
      </c>
      <c r="C21" s="108">
        <v>1165</v>
      </c>
      <c r="D21" s="108">
        <v>29726</v>
      </c>
      <c r="E21" s="108">
        <v>29844</v>
      </c>
      <c r="F21" s="108">
        <v>85.731404760764406</v>
      </c>
      <c r="G21" s="108">
        <v>37001</v>
      </c>
      <c r="H21" s="108">
        <v>50618</v>
      </c>
      <c r="I21" s="108">
        <v>9422</v>
      </c>
      <c r="J21" s="108">
        <v>50618</v>
      </c>
      <c r="K21" s="108">
        <v>29863</v>
      </c>
      <c r="L21" s="108">
        <v>2198</v>
      </c>
      <c r="M21" s="108">
        <v>49502</v>
      </c>
      <c r="N21" s="108">
        <v>12851</v>
      </c>
      <c r="O21" s="108">
        <v>417580</v>
      </c>
      <c r="P21" s="108">
        <v>63122</v>
      </c>
      <c r="Q21" s="108">
        <v>31561</v>
      </c>
      <c r="R21" s="108">
        <v>0</v>
      </c>
      <c r="S21" s="108">
        <v>3</v>
      </c>
    </row>
    <row r="22" spans="1:19">
      <c r="A22" t="s">
        <v>189</v>
      </c>
      <c r="B22" t="s">
        <v>191</v>
      </c>
      <c r="C22" s="108">
        <v>0</v>
      </c>
      <c r="D22" s="108">
        <v>4146</v>
      </c>
      <c r="E22" s="108">
        <v>5273</v>
      </c>
      <c r="F22" s="108">
        <v>471.80681220410304</v>
      </c>
      <c r="G22" s="108">
        <v>2482</v>
      </c>
      <c r="H22" s="108">
        <v>11248</v>
      </c>
      <c r="I22" s="108">
        <v>11248</v>
      </c>
      <c r="J22" s="108">
        <v>3778</v>
      </c>
      <c r="K22" s="108">
        <v>2228</v>
      </c>
      <c r="L22" s="108">
        <v>3144</v>
      </c>
      <c r="M22" s="108">
        <v>2063</v>
      </c>
      <c r="N22" s="108">
        <v>3304</v>
      </c>
      <c r="O22" s="108">
        <v>30416</v>
      </c>
      <c r="P22" s="108">
        <v>13136</v>
      </c>
      <c r="Q22" s="108">
        <v>6568</v>
      </c>
      <c r="R22" s="108">
        <v>0</v>
      </c>
      <c r="S22" s="108">
        <v>3</v>
      </c>
    </row>
    <row r="23" spans="1:19">
      <c r="A23" t="s">
        <v>590</v>
      </c>
      <c r="C23" s="108">
        <v>531267.6</v>
      </c>
      <c r="D23" s="108">
        <v>422002</v>
      </c>
      <c r="E23" s="108">
        <v>870987</v>
      </c>
      <c r="F23" s="108">
        <v>399489.8629284653</v>
      </c>
      <c r="G23" s="108">
        <v>324384.90000000002</v>
      </c>
      <c r="H23" s="108">
        <v>816345</v>
      </c>
      <c r="I23" s="108">
        <v>532293</v>
      </c>
      <c r="J23" s="108">
        <v>501320</v>
      </c>
      <c r="K23" s="108">
        <v>440005</v>
      </c>
      <c r="L23" s="108">
        <v>281183</v>
      </c>
      <c r="M23" s="108">
        <v>794917</v>
      </c>
      <c r="N23" s="108">
        <v>949909</v>
      </c>
      <c r="O23" s="108">
        <v>3505314</v>
      </c>
      <c r="P23" s="108">
        <v>1529894.7789789471</v>
      </c>
      <c r="Q23" s="108">
        <v>1003150.8894894735</v>
      </c>
      <c r="R23" s="108">
        <v>476407</v>
      </c>
      <c r="S23" s="108">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C9C5-BF3C-4891-BE17-EF824403D283}">
  <dimension ref="A1:E6"/>
  <sheetViews>
    <sheetView workbookViewId="0">
      <selection activeCell="A4" sqref="A4"/>
    </sheetView>
  </sheetViews>
  <sheetFormatPr defaultRowHeight="14.45"/>
  <cols>
    <col min="1" max="1" width="14.28515625" bestFit="1" customWidth="1"/>
    <col min="2" max="4" width="17.140625" bestFit="1" customWidth="1"/>
    <col min="5" max="7" width="10.7109375" bestFit="1" customWidth="1"/>
    <col min="10" max="12" width="8.7109375" customWidth="1"/>
  </cols>
  <sheetData>
    <row r="1" spans="1:5">
      <c r="A1" s="365" t="s">
        <v>82</v>
      </c>
      <c r="B1" t="s">
        <v>708</v>
      </c>
    </row>
    <row r="2" spans="1:5">
      <c r="A2" s="369" t="s">
        <v>84</v>
      </c>
      <c r="B2" t="s">
        <v>708</v>
      </c>
    </row>
    <row r="4" spans="1:5">
      <c r="A4" s="365" t="s">
        <v>709</v>
      </c>
      <c r="B4" s="365" t="s">
        <v>94</v>
      </c>
    </row>
    <row r="5" spans="1:5">
      <c r="B5">
        <v>1</v>
      </c>
      <c r="C5">
        <v>2</v>
      </c>
      <c r="D5">
        <v>3</v>
      </c>
      <c r="E5" t="s">
        <v>590</v>
      </c>
    </row>
    <row r="6" spans="1:5">
      <c r="A6" t="s">
        <v>710</v>
      </c>
      <c r="B6">
        <v>12</v>
      </c>
      <c r="C6">
        <v>3</v>
      </c>
      <c r="D6">
        <v>5</v>
      </c>
      <c r="E6">
        <v>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35CB-0E16-FA46-A758-6DF56AD428E2}">
  <sheetPr codeName="Sheet8">
    <tabColor rgb="FF00B050"/>
  </sheetPr>
  <dimension ref="A2:AH27"/>
  <sheetViews>
    <sheetView showGridLines="0" workbookViewId="0">
      <selection activeCell="AO11" sqref="AO11"/>
    </sheetView>
  </sheetViews>
  <sheetFormatPr defaultColWidth="11.42578125" defaultRowHeight="14.45"/>
  <cols>
    <col min="1" max="1" width="4.28515625" customWidth="1"/>
    <col min="2" max="2" width="8.42578125" bestFit="1" customWidth="1"/>
    <col min="3" max="3" width="9.5703125" bestFit="1" customWidth="1"/>
    <col min="4" max="15" width="4.28515625" customWidth="1"/>
    <col min="22" max="22" width="9.5703125" customWidth="1"/>
    <col min="23" max="23" width="8.42578125" customWidth="1"/>
    <col min="24" max="35" width="5.28515625" customWidth="1"/>
  </cols>
  <sheetData>
    <row r="2" spans="1:34">
      <c r="B2" t="str" cm="1">
        <f t="array" ref="B2:M2">tblPiNAnalysis[[#Headers],[CCCM]:[HLP]]</f>
        <v>CCCM</v>
      </c>
      <c r="C2" t="str">
        <v>Education</v>
      </c>
      <c r="D2" t="str">
        <v>Nutrition</v>
      </c>
      <c r="E2" t="str">
        <v>Food Security</v>
      </c>
      <c r="F2" t="str">
        <v>Health</v>
      </c>
      <c r="G2" t="str">
        <v>Overarching Protection</v>
      </c>
      <c r="H2" t="str">
        <v>Shelter</v>
      </c>
      <c r="I2" t="str">
        <v>WASH</v>
      </c>
      <c r="J2" t="str">
        <v>CP</v>
      </c>
      <c r="K2" t="str">
        <v>GBV</v>
      </c>
      <c r="L2" t="str">
        <v>GP</v>
      </c>
      <c r="M2" t="str">
        <v>HLP</v>
      </c>
    </row>
    <row r="3" spans="1:34">
      <c r="B3">
        <f>SUM(INDEX(tblPiNAnalysis[[CCCM]:[HLP]], 0, MATCH(B2, tblPiNAnalysis[[#Headers],[CCCM]:[HLP]], 0)))</f>
        <v>544238.59999999986</v>
      </c>
      <c r="C3">
        <f>SUM(INDEX(tblPiNAnalysis[[CCCM]:[HLP]], 0, MATCH(C2, tblPiNAnalysis[[#Headers],[CCCM]:[HLP]], 0)))</f>
        <v>459117</v>
      </c>
      <c r="D3">
        <f>SUM(INDEX(tblPiNAnalysis[[CCCM]:[HLP]], 0, MATCH(D2, tblPiNAnalysis[[#Headers],[CCCM]:[HLP]], 0)))</f>
        <v>369169.9</v>
      </c>
      <c r="E3">
        <f>SUM(INDEX(tblPiNAnalysis[[CCCM]:[HLP]], 0, MATCH(E2, tblPiNAnalysis[[#Headers],[CCCM]:[HLP]], 0)))</f>
        <v>977110</v>
      </c>
      <c r="F3">
        <f>SUM(INDEX(tblPiNAnalysis[[CCCM]:[HLP]], 0, MATCH(F2, tblPiNAnalysis[[#Headers],[CCCM]:[HLP]], 0)))</f>
        <v>399489.86292846524</v>
      </c>
      <c r="G3">
        <f>SUM(INDEX(tblPiNAnalysis[[CCCM]:[HLP]], 0, MATCH(G2, tblPiNAnalysis[[#Headers],[CCCM]:[HLP]], 0)))</f>
        <v>890740</v>
      </c>
      <c r="H3">
        <f>SUM(INDEX(tblPiNAnalysis[[CCCM]:[HLP]], 0, MATCH(H2, tblPiNAnalysis[[#Headers],[CCCM]:[HLP]], 0)))</f>
        <v>882942.5</v>
      </c>
      <c r="I3">
        <f>SUM(INDEX(tblPiNAnalysis[[CCCM]:[HLP]], 0, MATCH(I2, tblPiNAnalysis[[#Headers],[CCCM]:[HLP]], 0)))</f>
        <v>961651</v>
      </c>
      <c r="J3">
        <f>SUM(INDEX(tblPiNAnalysis[[CCCM]:[HLP]], 0, MATCH(J2, tblPiNAnalysis[[#Headers],[CCCM]:[HLP]], 0)))</f>
        <v>553104</v>
      </c>
      <c r="K3">
        <f>IF(K2="", "", SUM(INDEX(tblPiNAnalysis[[CCCM]:[HLP]], 0, MATCH(K2, tblPiNAnalysis[[#Headers],[CCCM]:[HLP]], 0))))</f>
        <v>470555</v>
      </c>
      <c r="L3">
        <f>IF(L2="", "", SUM(INDEX(tblPiNAnalysis[[CCCM]:[HLP]], 0, MATCH(L2, tblPiNAnalysis[[#Headers],[CCCM]:[HLP]], 0))))</f>
        <v>606688</v>
      </c>
      <c r="M3">
        <f>IF(M2="", "", SUM(INDEX(tblPiNAnalysis[[CCCM]:[HLP]], 0, MATCH(M2, tblPiNAnalysis[[#Headers],[CCCM]:[HLP]], 0))))</f>
        <v>283651</v>
      </c>
      <c r="V3" t="s">
        <v>20</v>
      </c>
      <c r="W3" t="str" cm="1">
        <f t="array" ref="W3:AH3">tblSeverityAnalysis[[#Headers],[CCCM]:[HLP]]</f>
        <v>CCCM</v>
      </c>
      <c r="X3" t="str">
        <v>Education</v>
      </c>
      <c r="Y3" t="str">
        <v>Nutrition</v>
      </c>
      <c r="Z3" t="str">
        <v>Food Security</v>
      </c>
      <c r="AA3" t="str">
        <v>Health</v>
      </c>
      <c r="AB3" t="str">
        <v>Overarching Protection</v>
      </c>
      <c r="AC3" t="str">
        <v>Shelter</v>
      </c>
      <c r="AD3" t="str">
        <v>WASH</v>
      </c>
      <c r="AE3" t="str">
        <v>Child Protection (CP)</v>
      </c>
      <c r="AF3" t="str">
        <v>Gender-based Violence (GBV)</v>
      </c>
      <c r="AG3" t="str">
        <v>GP</v>
      </c>
      <c r="AH3" t="str">
        <v>HLP</v>
      </c>
    </row>
    <row r="4" spans="1:34">
      <c r="A4" t="s">
        <v>89</v>
      </c>
      <c r="B4" t="s">
        <v>7</v>
      </c>
      <c r="C4" t="str" cm="1">
        <f t="array" ref="C4:N5">_xlfn._xlws.FILTER(B2:N3, B3:N3&gt;0)</f>
        <v>CCCM</v>
      </c>
      <c r="D4" t="str">
        <v>Education</v>
      </c>
      <c r="E4" t="str">
        <v>Nutrition</v>
      </c>
      <c r="F4" t="str">
        <v>Food Security</v>
      </c>
      <c r="G4" t="str">
        <v>Health</v>
      </c>
      <c r="H4" t="str">
        <v>Overarching Protection</v>
      </c>
      <c r="I4" t="str">
        <v>Shelter</v>
      </c>
      <c r="J4" t="str">
        <v>WASH</v>
      </c>
      <c r="K4" t="str">
        <v>CP</v>
      </c>
      <c r="L4" t="str">
        <v>GBV</v>
      </c>
      <c r="M4" t="str">
        <v>GP</v>
      </c>
      <c r="N4" t="str">
        <v>HLP</v>
      </c>
      <c r="U4">
        <v>1</v>
      </c>
      <c r="V4">
        <f>COUNTIF(tblSeverityAnalysis[Preliminary Intersectoral Severity based on overlap of sectoral deprivations],'Preliminary results graph'!$U4 )</f>
        <v>139</v>
      </c>
      <c r="W4" cm="1">
        <f t="array" ref="W4">SUM(IF(INDEX(tblSeverityAnalysis[[CCCM]:[HLP]], 0, MATCH(W$3, tblSeverityAnalysis[[#Headers],[CCCM]:[HLP]], 0 ))=$U4, 1, 0))</f>
        <v>0</v>
      </c>
      <c r="X4" cm="1">
        <f t="array" ref="X4">SUM(IF(INDEX(tblSeverityAnalysis[[CCCM]:[HLP]], 0, MATCH(X$3, tblSeverityAnalysis[[#Headers],[CCCM]:[HLP]], 0 ))=$U4, 1, 0))</f>
        <v>0</v>
      </c>
      <c r="Y4" cm="1">
        <f t="array" ref="Y4">SUM(IF(INDEX(tblSeverityAnalysis[[CCCM]:[HLP]], 0, MATCH(Y$3, tblSeverityAnalysis[[#Headers],[CCCM]:[HLP]], 0 ))=$U4, 1, 0))</f>
        <v>1</v>
      </c>
      <c r="Z4" cm="1">
        <f t="array" ref="Z4">SUM(IF(INDEX(tblSeverityAnalysis[[CCCM]:[HLP]], 0, MATCH(Z$3, tblSeverityAnalysis[[#Headers],[CCCM]:[HLP]], 0 ))=$U4, 1, 0))</f>
        <v>0</v>
      </c>
      <c r="AA4" cm="1">
        <f t="array" ref="AA4">SUM(IF(INDEX(tblSeverityAnalysis[[CCCM]:[HLP]], 0, MATCH(AA$3, tblSeverityAnalysis[[#Headers],[CCCM]:[HLP]], 0 ))=$U4, 1, 0))</f>
        <v>12</v>
      </c>
      <c r="AB4" cm="1">
        <f t="array" ref="AB4">SUM(IF(INDEX(tblSeverityAnalysis[[CCCM]:[HLP]], 0, MATCH(AB$3, tblSeverityAnalysis[[#Headers],[CCCM]:[HLP]], 0 ))=$U4, 1, 0))</f>
        <v>0</v>
      </c>
      <c r="AC4" cm="1">
        <f t="array" ref="AC4">SUM(IF(INDEX(tblSeverityAnalysis[[CCCM]:[HLP]], 0, MATCH(AC$3, tblSeverityAnalysis[[#Headers],[CCCM]:[HLP]], 0 ))=$U4, 1, 0))</f>
        <v>0</v>
      </c>
      <c r="AD4" cm="1">
        <f t="array" ref="AD4">SUM(IF(INDEX(tblSeverityAnalysis[[CCCM]:[HLP]], 0, MATCH(AD$3, tblSeverityAnalysis[[#Headers],[CCCM]:[HLP]], 0 ))=$U4, 1, 0))</f>
        <v>16</v>
      </c>
      <c r="AE4" cm="1">
        <f t="array" ref="AE4">SUM(IF(INDEX(tblSeverityAnalysis[[CCCM]:[HLP]], 0, MATCH(AE$3, tblSeverityAnalysis[[#Headers],[CCCM]:[HLP]], 0 ))=$U4, 1, 0))</f>
        <v>2</v>
      </c>
      <c r="AF4" cm="1">
        <f t="array" ref="AF4">IF(AF$3="", "", SUM(IF(INDEX(tblSeverityAnalysis[[CCCM]:[HLP]], 0, MATCH(AF$3, tblSeverityAnalysis[[#Headers],[CCCM]:[HLP]], 0 ))=$U4, 1, 0)))</f>
        <v>0</v>
      </c>
      <c r="AG4" cm="1">
        <f t="array" ref="AG4">IF(AG$3="", "", SUM(IF(INDEX(tblSeverityAnalysis[[CCCM]:[HLP]], 0, MATCH(AG$3, tblSeverityAnalysis[[#Headers],[CCCM]:[HLP]], 0 ))=$U4, 1, 0)))</f>
        <v>0</v>
      </c>
      <c r="AH4" cm="1">
        <f t="array" ref="AH4">IF(AH$3="", "", SUM(IF(INDEX(tblSeverityAnalysis[[CCCM]:[HLP]], 0, MATCH(AH$3, tblSeverityAnalysis[[#Headers],[CCCM]:[HLP]], 0 ))=$U4, 1, 0)))</f>
        <v>3</v>
      </c>
    </row>
    <row r="5" spans="1:34">
      <c r="A5" s="108">
        <f>SUM(tblPiNAnalysis[Population])</f>
        <v>3985685</v>
      </c>
      <c r="B5" s="108">
        <f>SUM(tblPiNAnalysis[Preliminary PiN])</f>
        <v>1663441.7789789471</v>
      </c>
      <c r="C5" s="108">
        <v>544238.59999999986</v>
      </c>
      <c r="D5" s="108">
        <v>459117</v>
      </c>
      <c r="E5" s="108">
        <v>369169.9</v>
      </c>
      <c r="F5" s="108">
        <v>977110</v>
      </c>
      <c r="G5" s="108">
        <v>399489.86292846524</v>
      </c>
      <c r="H5" s="108">
        <v>890740</v>
      </c>
      <c r="I5" s="108">
        <v>882942.5</v>
      </c>
      <c r="J5" s="108">
        <v>961651</v>
      </c>
      <c r="K5" s="108">
        <v>553104</v>
      </c>
      <c r="L5" s="108">
        <v>470555</v>
      </c>
      <c r="M5" s="108">
        <v>606688</v>
      </c>
      <c r="N5" s="108">
        <v>283651</v>
      </c>
      <c r="U5">
        <v>2</v>
      </c>
      <c r="V5">
        <f>COUNTIF(tblSeverityAnalysis[Preliminary Intersectoral Severity based on overlap of sectoral deprivations],'Preliminary results graph'!$U5 )</f>
        <v>0</v>
      </c>
      <c r="W5" cm="1">
        <f t="array" ref="W5">SUM(IF(INDEX(tblSeverityAnalysis[[CCCM]:[HLP]], 0, MATCH(W$3, tblSeverityAnalysis[[#Headers],[CCCM]:[HLP]], 0 ))=$U5, 1, 0))</f>
        <v>2</v>
      </c>
      <c r="X5" cm="1">
        <f t="array" ref="X5">SUM(IF(INDEX(tblSeverityAnalysis[[CCCM]:[HLP]], 0, MATCH(X$3, tblSeverityAnalysis[[#Headers],[CCCM]:[HLP]], 0 ))=$U5, 1, 0))</f>
        <v>1</v>
      </c>
      <c r="Y5" cm="1">
        <f t="array" ref="Y5">SUM(IF(INDEX(tblSeverityAnalysis[[CCCM]:[HLP]], 0, MATCH(Y$3, tblSeverityAnalysis[[#Headers],[CCCM]:[HLP]], 0 ))=$U5, 1, 0))</f>
        <v>43</v>
      </c>
      <c r="Z5" cm="1">
        <f t="array" ref="Z5">SUM(IF(INDEX(tblSeverityAnalysis[[CCCM]:[HLP]], 0, MATCH(Z$3, tblSeverityAnalysis[[#Headers],[CCCM]:[HLP]], 0 ))=$U5, 1, 0))</f>
        <v>22</v>
      </c>
      <c r="AA5" cm="1">
        <f t="array" ref="AA5">SUM(IF(INDEX(tblSeverityAnalysis[[CCCM]:[HLP]], 0, MATCH(AA$3, tblSeverityAnalysis[[#Headers],[CCCM]:[HLP]], 0 ))=$U5, 1, 0))</f>
        <v>3</v>
      </c>
      <c r="AB5" cm="1">
        <f t="array" ref="AB5">SUM(IF(INDEX(tblSeverityAnalysis[[CCCM]:[HLP]], 0, MATCH(AB$3, tblSeverityAnalysis[[#Headers],[CCCM]:[HLP]], 0 ))=$U5, 1, 0))</f>
        <v>1</v>
      </c>
      <c r="AC5" cm="1">
        <f t="array" ref="AC5">SUM(IF(INDEX(tblSeverityAnalysis[[CCCM]:[HLP]], 0, MATCH(AC$3, tblSeverityAnalysis[[#Headers],[CCCM]:[HLP]], 0 ))=$U5, 1, 0))</f>
        <v>0</v>
      </c>
      <c r="AD5" cm="1">
        <f t="array" ref="AD5">SUM(IF(INDEX(tblSeverityAnalysis[[CCCM]:[HLP]], 0, MATCH(AD$3, tblSeverityAnalysis[[#Headers],[CCCM]:[HLP]], 0 ))=$U5, 1, 0))</f>
        <v>45</v>
      </c>
      <c r="AE5" cm="1">
        <f t="array" ref="AE5">SUM(IF(INDEX(tblSeverityAnalysis[[CCCM]:[HLP]], 0, MATCH(AE$3, tblSeverityAnalysis[[#Headers],[CCCM]:[HLP]], 0 ))=$U5, 1, 0))</f>
        <v>3</v>
      </c>
      <c r="AF5" cm="1">
        <f t="array" ref="AF5">IF(AF$3="", "", SUM(IF(INDEX(tblSeverityAnalysis[[CCCM]:[HLP]], 0, MATCH(AF$3, tblSeverityAnalysis[[#Headers],[CCCM]:[HLP]], 0 ))=$U5, 1, 0)))</f>
        <v>7</v>
      </c>
      <c r="AG5" cm="1">
        <f t="array" ref="AG5">IF(AG$3="", "", SUM(IF(INDEX(tblSeverityAnalysis[[CCCM]:[HLP]], 0, MATCH(AG$3, tblSeverityAnalysis[[#Headers],[CCCM]:[HLP]], 0 ))=$U5, 1, 0)))</f>
        <v>3</v>
      </c>
      <c r="AH5" cm="1">
        <f t="array" ref="AH5">IF(AH$3="", "", SUM(IF(INDEX(tblSeverityAnalysis[[CCCM]:[HLP]], 0, MATCH(AH$3, tblSeverityAnalysis[[#Headers],[CCCM]:[HLP]], 0 ))=$U5, 1, 0)))</f>
        <v>6</v>
      </c>
    </row>
    <row r="6" spans="1:34">
      <c r="U6">
        <v>3</v>
      </c>
      <c r="V6">
        <f>COUNTIF(tblSeverityAnalysis[Preliminary Intersectoral Severity based on overlap of sectoral deprivations],'Preliminary results graph'!$U6 )</f>
        <v>14</v>
      </c>
      <c r="W6" cm="1">
        <f t="array" ref="W6">SUM(IF(INDEX(tblSeverityAnalysis[[CCCM]:[HLP]], 0, MATCH(W$3, tblSeverityAnalysis[[#Headers],[CCCM]:[HLP]], 0 ))=$U6, 1, 0))</f>
        <v>13</v>
      </c>
      <c r="X6" cm="1">
        <f t="array" ref="X6">SUM(IF(INDEX(tblSeverityAnalysis[[CCCM]:[HLP]], 0, MATCH(X$3, tblSeverityAnalysis[[#Headers],[CCCM]:[HLP]], 0 ))=$U6, 1, 0))</f>
        <v>9</v>
      </c>
      <c r="Y6" cm="1">
        <f t="array" ref="Y6">SUM(IF(INDEX(tblSeverityAnalysis[[CCCM]:[HLP]], 0, MATCH(Y$3, tblSeverityAnalysis[[#Headers],[CCCM]:[HLP]], 0 ))=$U6, 1, 0))</f>
        <v>6</v>
      </c>
      <c r="Z6" cm="1">
        <f t="array" ref="Z6">SUM(IF(INDEX(tblSeverityAnalysis[[CCCM]:[HLP]], 0, MATCH(Z$3, tblSeverityAnalysis[[#Headers],[CCCM]:[HLP]], 0 ))=$U6, 1, 0))</f>
        <v>42</v>
      </c>
      <c r="AA6" cm="1">
        <f t="array" ref="AA6">SUM(IF(INDEX(tblSeverityAnalysis[[CCCM]:[HLP]], 0, MATCH(AA$3, tblSeverityAnalysis[[#Headers],[CCCM]:[HLP]], 0 ))=$U6, 1, 0))</f>
        <v>5</v>
      </c>
      <c r="AB6" cm="1">
        <f t="array" ref="AB6">SUM(IF(INDEX(tblSeverityAnalysis[[CCCM]:[HLP]], 0, MATCH(AB$3, tblSeverityAnalysis[[#Headers],[CCCM]:[HLP]], 0 ))=$U6, 1, 0))</f>
        <v>6</v>
      </c>
      <c r="AC6" cm="1">
        <f t="array" ref="AC6">SUM(IF(INDEX(tblSeverityAnalysis[[CCCM]:[HLP]], 0, MATCH(AC$3, tblSeverityAnalysis[[#Headers],[CCCM]:[HLP]], 0 ))=$U6, 1, 0))</f>
        <v>13</v>
      </c>
      <c r="AD6" cm="1">
        <f t="array" ref="AD6">SUM(IF(INDEX(tblSeverityAnalysis[[CCCM]:[HLP]], 0, MATCH(AD$3, tblSeverityAnalysis[[#Headers],[CCCM]:[HLP]], 0 ))=$U6, 1, 0))</f>
        <v>79</v>
      </c>
      <c r="AE6" cm="1">
        <f t="array" ref="AE6">SUM(IF(INDEX(tblSeverityAnalysis[[CCCM]:[HLP]], 0, MATCH(AE$3, tblSeverityAnalysis[[#Headers],[CCCM]:[HLP]], 0 ))=$U6, 1, 0))</f>
        <v>4</v>
      </c>
      <c r="AF6" cm="1">
        <f t="array" ref="AF6">IF(AF$3="", "", SUM(IF(INDEX(tblSeverityAnalysis[[CCCM]:[HLP]], 0, MATCH(AF$3, tblSeverityAnalysis[[#Headers],[CCCM]:[HLP]], 0 ))=$U6, 1, 0)))</f>
        <v>8</v>
      </c>
      <c r="AG6" cm="1">
        <f t="array" ref="AG6">IF(AG$3="", "", SUM(IF(INDEX(tblSeverityAnalysis[[CCCM]:[HLP]], 0, MATCH(AG$3, tblSeverityAnalysis[[#Headers],[CCCM]:[HLP]], 0 ))=$U6, 1, 0)))</f>
        <v>6</v>
      </c>
      <c r="AH6" cm="1">
        <f t="array" ref="AH6">IF(AH$3="", "", SUM(IF(INDEX(tblSeverityAnalysis[[CCCM]:[HLP]], 0, MATCH(AH$3, tblSeverityAnalysis[[#Headers],[CCCM]:[HLP]], 0 ))=$U6, 1, 0)))</f>
        <v>8</v>
      </c>
    </row>
    <row r="7" spans="1:34">
      <c r="A7" t="str">
        <f>"Total Sectoral and Overall PiN, from a total population of "&amp;TEXT('Preliminary results graph'!$A$5,"0,000")</f>
        <v>Total Sectoral and Overall PiN, from a total population of 3,985,685</v>
      </c>
      <c r="U7">
        <v>4</v>
      </c>
      <c r="V7">
        <f>COUNTIF(tblSeverityAnalysis[Preliminary Intersectoral Severity based on overlap of sectoral deprivations],'Preliminary results graph'!$U7 )</f>
        <v>6</v>
      </c>
      <c r="W7" cm="1">
        <f t="array" ref="W7">SUM(IF(INDEX(tblSeverityAnalysis[[CCCM]:[HLP]], 0, MATCH(W$3, tblSeverityAnalysis[[#Headers],[CCCM]:[HLP]], 0 ))=$U7, 1, 0))</f>
        <v>5</v>
      </c>
      <c r="X7" cm="1">
        <f t="array" ref="X7">SUM(IF(INDEX(tblSeverityAnalysis[[CCCM]:[HLP]], 0, MATCH(X$3, tblSeverityAnalysis[[#Headers],[CCCM]:[HLP]], 0 ))=$U7, 1, 0))</f>
        <v>9</v>
      </c>
      <c r="Y7" cm="1">
        <f t="array" ref="Y7">SUM(IF(INDEX(tblSeverityAnalysis[[CCCM]:[HLP]], 0, MATCH(Y$3, tblSeverityAnalysis[[#Headers],[CCCM]:[HLP]], 0 ))=$U7, 1, 0))</f>
        <v>2</v>
      </c>
      <c r="Z7" cm="1">
        <f t="array" ref="Z7">SUM(IF(INDEX(tblSeverityAnalysis[[CCCM]:[HLP]], 0, MATCH(Z$3, tblSeverityAnalysis[[#Headers],[CCCM]:[HLP]], 0 ))=$U7, 1, 0))</f>
        <v>0</v>
      </c>
      <c r="AA7" cm="1">
        <f t="array" ref="AA7">SUM(IF(INDEX(tblSeverityAnalysis[[CCCM]:[HLP]], 0, MATCH(AA$3, tblSeverityAnalysis[[#Headers],[CCCM]:[HLP]], 0 ))=$U7, 1, 0))</f>
        <v>0</v>
      </c>
      <c r="AB7" cm="1">
        <f t="array" ref="AB7">SUM(IF(INDEX(tblSeverityAnalysis[[CCCM]:[HLP]], 0, MATCH(AB$3, tblSeverityAnalysis[[#Headers],[CCCM]:[HLP]], 0 ))=$U7, 1, 0))</f>
        <v>10</v>
      </c>
      <c r="AC7" cm="1">
        <f t="array" ref="AC7">SUM(IF(INDEX(tblSeverityAnalysis[[CCCM]:[HLP]], 0, MATCH(AC$3, tblSeverityAnalysis[[#Headers],[CCCM]:[HLP]], 0 ))=$U7, 1, 0))</f>
        <v>7</v>
      </c>
      <c r="AD7" cm="1">
        <f t="array" ref="AD7">SUM(IF(INDEX(tblSeverityAnalysis[[CCCM]:[HLP]], 0, MATCH(AD$3, tblSeverityAnalysis[[#Headers],[CCCM]:[HLP]], 0 ))=$U7, 1, 0))</f>
        <v>19</v>
      </c>
      <c r="AE7" cm="1">
        <f t="array" ref="AE7">SUM(IF(INDEX(tblSeverityAnalysis[[CCCM]:[HLP]], 0, MATCH(AE$3, tblSeverityAnalysis[[#Headers],[CCCM]:[HLP]], 0 ))=$U7, 1, 0))</f>
        <v>8</v>
      </c>
      <c r="AF7" cm="1">
        <f t="array" ref="AF7">IF(AF$3="", "", SUM(IF(INDEX(tblSeverityAnalysis[[CCCM]:[HLP]], 0, MATCH(AF$3, tblSeverityAnalysis[[#Headers],[CCCM]:[HLP]], 0 ))=$U7, 1, 0)))</f>
        <v>5</v>
      </c>
      <c r="AG7" cm="1">
        <f t="array" ref="AG7">IF(AG$3="", "", SUM(IF(INDEX(tblSeverityAnalysis[[CCCM]:[HLP]], 0, MATCH(AG$3, tblSeverityAnalysis[[#Headers],[CCCM]:[HLP]], 0 ))=$U7, 1, 0)))</f>
        <v>8</v>
      </c>
      <c r="AH7" cm="1">
        <f t="array" ref="AH7">IF(AH$3="", "", SUM(IF(INDEX(tblSeverityAnalysis[[CCCM]:[HLP]], 0, MATCH(AH$3, tblSeverityAnalysis[[#Headers],[CCCM]:[HLP]], 0 ))=$U7, 1, 0)))</f>
        <v>3</v>
      </c>
    </row>
    <row r="8" spans="1:34">
      <c r="U8">
        <v>5</v>
      </c>
      <c r="V8">
        <f>COUNTIF(tblSeverityAnalysis[Preliminary Intersectoral Severity based on overlap of sectoral deprivations],'Preliminary results graph'!$U8 )</f>
        <v>0</v>
      </c>
      <c r="W8" cm="1">
        <f t="array" ref="W8">SUM(IF(INDEX(tblSeverityAnalysis[[CCCM]:[HLP]], 0, MATCH(W$3, tblSeverityAnalysis[[#Headers],[CCCM]:[HLP]], 0 ))=$U8, 1, 0))</f>
        <v>0</v>
      </c>
      <c r="X8" cm="1">
        <f t="array" ref="X8">SUM(IF(INDEX(tblSeverityAnalysis[[CCCM]:[HLP]], 0, MATCH(X$3, tblSeverityAnalysis[[#Headers],[CCCM]:[HLP]], 0 ))=$U8, 1, 0))</f>
        <v>1</v>
      </c>
      <c r="Y8" cm="1">
        <f t="array" ref="Y8">SUM(IF(INDEX(tblSeverityAnalysis[[CCCM]:[HLP]], 0, MATCH(Y$3, tblSeverityAnalysis[[#Headers],[CCCM]:[HLP]], 0 ))=$U8, 1, 0))</f>
        <v>0</v>
      </c>
      <c r="Z8" cm="1">
        <f t="array" ref="Z8">SUM(IF(INDEX(tblSeverityAnalysis[[CCCM]:[HLP]], 0, MATCH(Z$3, tblSeverityAnalysis[[#Headers],[CCCM]:[HLP]], 0 ))=$U8, 1, 0))</f>
        <v>0</v>
      </c>
      <c r="AA8" cm="1">
        <f t="array" ref="AA8">SUM(IF(INDEX(tblSeverityAnalysis[[CCCM]:[HLP]], 0, MATCH(AA$3, tblSeverityAnalysis[[#Headers],[CCCM]:[HLP]], 0 ))=$U8, 1, 0))</f>
        <v>0</v>
      </c>
      <c r="AB8" cm="1">
        <f t="array" ref="AB8">SUM(IF(INDEX(tblSeverityAnalysis[[CCCM]:[HLP]], 0, MATCH(AB$3, tblSeverityAnalysis[[#Headers],[CCCM]:[HLP]], 0 ))=$U8, 1, 0))</f>
        <v>3</v>
      </c>
      <c r="AC8" cm="1">
        <f t="array" ref="AC8">SUM(IF(INDEX(tblSeverityAnalysis[[CCCM]:[HLP]], 0, MATCH(AC$3, tblSeverityAnalysis[[#Headers],[CCCM]:[HLP]], 0 ))=$U8, 1, 0))</f>
        <v>0</v>
      </c>
      <c r="AD8" cm="1">
        <f t="array" ref="AD8">SUM(IF(INDEX(tblSeverityAnalysis[[CCCM]:[HLP]], 0, MATCH(AD$3, tblSeverityAnalysis[[#Headers],[CCCM]:[HLP]], 0 ))=$U8, 1, 0))</f>
        <v>0</v>
      </c>
      <c r="AE8" cm="1">
        <f t="array" ref="AE8">SUM(IF(INDEX(tblSeverityAnalysis[[CCCM]:[HLP]], 0, MATCH(AE$3, tblSeverityAnalysis[[#Headers],[CCCM]:[HLP]], 0 ))=$U8, 1, 0))</f>
        <v>3</v>
      </c>
      <c r="AF8" cm="1">
        <f t="array" ref="AF8">IF(AF$3="", "", SUM(IF(INDEX(tblSeverityAnalysis[[CCCM]:[HLP]], 0, MATCH(AF$3, tblSeverityAnalysis[[#Headers],[CCCM]:[HLP]], 0 ))=$U8, 1, 0)))</f>
        <v>0</v>
      </c>
      <c r="AG8" cm="1">
        <f t="array" ref="AG8">IF(AG$3="", "", SUM(IF(INDEX(tblSeverityAnalysis[[CCCM]:[HLP]], 0, MATCH(AG$3, tblSeverityAnalysis[[#Headers],[CCCM]:[HLP]], 0 ))=$U8, 1, 0)))</f>
        <v>3</v>
      </c>
      <c r="AH8" cm="1">
        <f t="array" ref="AH8">IF(AH$3="", "", SUM(IF(INDEX(tblSeverityAnalysis[[CCCM]:[HLP]], 0, MATCH(AH$3, tblSeverityAnalysis[[#Headers],[CCCM]:[HLP]], 0 ))=$U8, 1, 0)))</f>
        <v>0</v>
      </c>
    </row>
    <row r="9" spans="1:34">
      <c r="V9">
        <f t="shared" ref="V9:AH9" si="0">SUM(V4:V8)</f>
        <v>159</v>
      </c>
      <c r="W9">
        <f t="shared" si="0"/>
        <v>20</v>
      </c>
      <c r="X9">
        <f t="shared" si="0"/>
        <v>20</v>
      </c>
      <c r="Y9">
        <f t="shared" si="0"/>
        <v>52</v>
      </c>
      <c r="Z9">
        <f t="shared" si="0"/>
        <v>64</v>
      </c>
      <c r="AA9">
        <f t="shared" si="0"/>
        <v>20</v>
      </c>
      <c r="AB9">
        <f t="shared" si="0"/>
        <v>20</v>
      </c>
      <c r="AC9">
        <f t="shared" si="0"/>
        <v>20</v>
      </c>
      <c r="AD9">
        <f t="shared" si="0"/>
        <v>159</v>
      </c>
      <c r="AE9">
        <f t="shared" si="0"/>
        <v>20</v>
      </c>
      <c r="AF9">
        <f t="shared" si="0"/>
        <v>20</v>
      </c>
      <c r="AG9">
        <f t="shared" si="0"/>
        <v>20</v>
      </c>
      <c r="AH9">
        <f t="shared" si="0"/>
        <v>20</v>
      </c>
    </row>
    <row r="10" spans="1:34">
      <c r="V10" t="str" cm="1">
        <f t="array" ref="V10:AH16">_xlfn._xlws.FILTER(V3:AI9,V9:AI9&gt;0)</f>
        <v>Intersectoral Severity</v>
      </c>
      <c r="W10" t="str">
        <v>CCCM</v>
      </c>
      <c r="X10" t="str">
        <v>Education</v>
      </c>
      <c r="Y10" t="str">
        <v>Nutrition</v>
      </c>
      <c r="Z10" t="str">
        <v>Food Security</v>
      </c>
      <c r="AA10" t="str">
        <v>Health</v>
      </c>
      <c r="AB10" t="str">
        <v>Overarching Protection</v>
      </c>
      <c r="AC10" t="str">
        <v>Shelter</v>
      </c>
      <c r="AD10" t="str">
        <v>WASH</v>
      </c>
      <c r="AE10" t="str">
        <v>Child Protection (CP)</v>
      </c>
      <c r="AF10" t="str">
        <v>Gender-based Violence (GBV)</v>
      </c>
      <c r="AG10" t="str">
        <v>GP</v>
      </c>
      <c r="AH10" t="str">
        <v>HLP</v>
      </c>
    </row>
    <row r="11" spans="1:34">
      <c r="U11">
        <v>1</v>
      </c>
      <c r="V11">
        <v>139</v>
      </c>
      <c r="W11">
        <v>0</v>
      </c>
      <c r="X11">
        <v>0</v>
      </c>
      <c r="Y11">
        <v>1</v>
      </c>
      <c r="Z11">
        <v>0</v>
      </c>
      <c r="AA11">
        <v>12</v>
      </c>
      <c r="AB11">
        <v>0</v>
      </c>
      <c r="AC11">
        <v>0</v>
      </c>
      <c r="AD11">
        <v>16</v>
      </c>
      <c r="AE11">
        <v>2</v>
      </c>
      <c r="AF11">
        <v>0</v>
      </c>
      <c r="AG11">
        <v>0</v>
      </c>
      <c r="AH11">
        <v>3</v>
      </c>
    </row>
    <row r="12" spans="1:34">
      <c r="U12">
        <v>2</v>
      </c>
      <c r="V12">
        <v>0</v>
      </c>
      <c r="W12">
        <v>2</v>
      </c>
      <c r="X12">
        <v>1</v>
      </c>
      <c r="Y12">
        <v>43</v>
      </c>
      <c r="Z12">
        <v>22</v>
      </c>
      <c r="AA12">
        <v>3</v>
      </c>
      <c r="AB12">
        <v>1</v>
      </c>
      <c r="AC12">
        <v>0</v>
      </c>
      <c r="AD12">
        <v>45</v>
      </c>
      <c r="AE12">
        <v>3</v>
      </c>
      <c r="AF12">
        <v>7</v>
      </c>
      <c r="AG12">
        <v>3</v>
      </c>
      <c r="AH12">
        <v>6</v>
      </c>
    </row>
    <row r="13" spans="1:34">
      <c r="U13">
        <v>3</v>
      </c>
      <c r="V13">
        <v>14</v>
      </c>
      <c r="W13">
        <v>13</v>
      </c>
      <c r="X13">
        <v>9</v>
      </c>
      <c r="Y13">
        <v>6</v>
      </c>
      <c r="Z13">
        <v>42</v>
      </c>
      <c r="AA13">
        <v>5</v>
      </c>
      <c r="AB13">
        <v>6</v>
      </c>
      <c r="AC13">
        <v>13</v>
      </c>
      <c r="AD13">
        <v>79</v>
      </c>
      <c r="AE13">
        <v>4</v>
      </c>
      <c r="AF13">
        <v>8</v>
      </c>
      <c r="AG13">
        <v>6</v>
      </c>
      <c r="AH13">
        <v>8</v>
      </c>
    </row>
    <row r="14" spans="1:34">
      <c r="U14">
        <v>4</v>
      </c>
      <c r="V14">
        <v>6</v>
      </c>
      <c r="W14">
        <v>5</v>
      </c>
      <c r="X14">
        <v>9</v>
      </c>
      <c r="Y14">
        <v>2</v>
      </c>
      <c r="Z14">
        <v>0</v>
      </c>
      <c r="AA14">
        <v>0</v>
      </c>
      <c r="AB14">
        <v>10</v>
      </c>
      <c r="AC14">
        <v>7</v>
      </c>
      <c r="AD14">
        <v>19</v>
      </c>
      <c r="AE14">
        <v>8</v>
      </c>
      <c r="AF14">
        <v>5</v>
      </c>
      <c r="AG14">
        <v>8</v>
      </c>
      <c r="AH14">
        <v>3</v>
      </c>
    </row>
    <row r="15" spans="1:34">
      <c r="U15">
        <v>5</v>
      </c>
      <c r="V15">
        <v>0</v>
      </c>
      <c r="W15">
        <v>0</v>
      </c>
      <c r="X15">
        <v>1</v>
      </c>
      <c r="Y15">
        <v>0</v>
      </c>
      <c r="Z15">
        <v>0</v>
      </c>
      <c r="AA15">
        <v>0</v>
      </c>
      <c r="AB15">
        <v>3</v>
      </c>
      <c r="AC15">
        <v>0</v>
      </c>
      <c r="AD15">
        <v>0</v>
      </c>
      <c r="AE15">
        <v>3</v>
      </c>
      <c r="AF15">
        <v>0</v>
      </c>
      <c r="AG15">
        <v>3</v>
      </c>
      <c r="AH15">
        <v>0</v>
      </c>
    </row>
    <row r="16" spans="1:34">
      <c r="V16">
        <v>159</v>
      </c>
      <c r="W16">
        <v>20</v>
      </c>
      <c r="X16">
        <v>20</v>
      </c>
      <c r="Y16">
        <v>52</v>
      </c>
      <c r="Z16">
        <v>64</v>
      </c>
      <c r="AA16">
        <v>20</v>
      </c>
      <c r="AB16">
        <v>20</v>
      </c>
      <c r="AC16">
        <v>20</v>
      </c>
      <c r="AD16">
        <v>159</v>
      </c>
      <c r="AE16">
        <v>20</v>
      </c>
      <c r="AF16">
        <v>20</v>
      </c>
      <c r="AG16">
        <v>20</v>
      </c>
      <c r="AH16">
        <v>20</v>
      </c>
    </row>
    <row r="26" spans="3:29">
      <c r="C26" t="str" cm="1">
        <f t="array" ref="C26:J26">tblPiNAnalysis[[#Headers],[CCCM]:[WASH]]</f>
        <v>CCCM</v>
      </c>
      <c r="D26" t="str">
        <v>Education</v>
      </c>
      <c r="E26" t="str">
        <v>Nutrition</v>
      </c>
      <c r="F26" t="str">
        <v>Food Security</v>
      </c>
      <c r="G26" t="str">
        <v>Health</v>
      </c>
      <c r="H26" t="str">
        <v>Overarching Protection</v>
      </c>
      <c r="I26" t="str">
        <v>Shelter</v>
      </c>
      <c r="J26" t="str">
        <v>WASH</v>
      </c>
      <c r="U26" t="str" cm="1">
        <f t="array" ref="U26:AB26">tblSeverityAnalysis[[#Headers],[CCCM]:[WASH]]</f>
        <v>CCCM</v>
      </c>
      <c r="V26" t="str">
        <v>Education</v>
      </c>
      <c r="W26" t="str">
        <v>Nutrition</v>
      </c>
      <c r="X26" t="str">
        <v>Food Security</v>
      </c>
      <c r="Y26" t="str">
        <v>Health</v>
      </c>
      <c r="Z26" t="str">
        <v>Overarching Protection</v>
      </c>
      <c r="AA26" t="str">
        <v>Shelter</v>
      </c>
      <c r="AB26" t="str">
        <v>WASH</v>
      </c>
    </row>
    <row r="27" spans="3:29">
      <c r="C27">
        <f>IF(C26="", "", COUNTIF(tblPiNAnalysis[Highest sector(s)], _xlfn.CONCAT("*", C26, "*")))</f>
        <v>14</v>
      </c>
      <c r="D27">
        <f>IF(D26="", "", COUNTIF(tblPiNAnalysis[Highest sector(s)], _xlfn.CONCAT("*", D26, "*")))</f>
        <v>1</v>
      </c>
      <c r="E27">
        <f>IF(E26="", "", COUNTIF(tblPiNAnalysis[Highest sector(s)], _xlfn.CONCAT("*", E26, "*")))</f>
        <v>0</v>
      </c>
      <c r="F27">
        <f>IF(F26="", "", COUNTIF(tblPiNAnalysis[Highest sector(s)], _xlfn.CONCAT("*", F26, "*")))</f>
        <v>23</v>
      </c>
      <c r="G27">
        <f>IF(G26="", "", COUNTIF(tblPiNAnalysis[Highest sector(s)], _xlfn.CONCAT("*", G26, "*")))</f>
        <v>1</v>
      </c>
      <c r="H27">
        <f>IF(H26="", "", COUNTIF(tblPiNAnalysis[Highest sector(s)], _xlfn.CONCAT("*", H26, "*")))</f>
        <v>6</v>
      </c>
      <c r="I27">
        <f>IF(I26="", "", COUNTIF(tblPiNAnalysis[Highest sector(s)], _xlfn.CONCAT("*", I26, "*")))</f>
        <v>3</v>
      </c>
      <c r="J27">
        <f>IF(J26="", "", COUNTIF(tblPiNAnalysis[Highest sector(s)], _xlfn.CONCAT("*", J26, "*")))</f>
        <v>13</v>
      </c>
      <c r="K27" t="str">
        <f>IF(K26="", "", COUNTIF(tblPiNAnalysis[Highest sector(s)], _xlfn.CONCAT("*", K26, "*")))</f>
        <v/>
      </c>
      <c r="L27" t="str">
        <f>IF(L26="", "", COUNTIF(tblPiNAnalysis[Highest sector(s)], _xlfn.CONCAT("*", L26, "*")))</f>
        <v/>
      </c>
      <c r="U27">
        <f>IF(U26="", "", COUNTIF(tblSeverityAnalysis[Sectors with Highest Severity], _xlfn.CONCAT("*", U26, "*")))</f>
        <v>4</v>
      </c>
      <c r="V27">
        <f>IF(V26="", "", COUNTIF(tblSeverityAnalysis[Sectors with Highest Severity], _xlfn.CONCAT("*", V26, "*")))</f>
        <v>10</v>
      </c>
      <c r="W27">
        <f>IF(W26="", "", COUNTIF(tblSeverityAnalysis[Sectors with Highest Severity], _xlfn.CONCAT("*", W26, "*")))</f>
        <v>12</v>
      </c>
      <c r="X27">
        <f>IF(X26="", "", COUNTIF(tblSeverityAnalysis[Sectors with Highest Severity], _xlfn.CONCAT("*", X26, "*")))</f>
        <v>31</v>
      </c>
      <c r="Y27">
        <f>IF(Y26="", "", COUNTIF(tblSeverityAnalysis[Sectors with Highest Severity], _xlfn.CONCAT("*", Y26, "*")))</f>
        <v>0</v>
      </c>
      <c r="Z27">
        <f>IF(Z26="", "", COUNTIF(tblSeverityAnalysis[Sectors with Highest Severity], _xlfn.CONCAT("*", Z26, "*")))</f>
        <v>15</v>
      </c>
      <c r="AA27">
        <f>IF(AA26="", "", COUNTIF(tblSeverityAnalysis[Sectors with Highest Severity], _xlfn.CONCAT("*", AA26, "*")))</f>
        <v>9</v>
      </c>
      <c r="AB27">
        <f>IF(AB26="", "", COUNTIF(tblSeverityAnalysis[Sectors with Highest Severity], _xlfn.CONCAT("*", AB26, "*")))</f>
        <v>131</v>
      </c>
      <c r="AC27" t="str">
        <f>IF(AC26="", "", COUNTIF(tblSeverityAnalysis[Sectors with Highest Severity], _xlfn.CONCAT("*", AC26, "*")))</f>
        <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C94CF-1B02-4D58-BB71-575A5A72DD63}">
  <sheetPr codeName="Sheet10">
    <tabColor rgb="FF00B050"/>
  </sheetPr>
  <dimension ref="A1:Y15"/>
  <sheetViews>
    <sheetView showGridLines="0" zoomScale="80" zoomScaleNormal="80" workbookViewId="0">
      <selection activeCell="AO11" sqref="AO11"/>
    </sheetView>
  </sheetViews>
  <sheetFormatPr defaultRowHeight="14.45"/>
  <cols>
    <col min="1" max="1" width="17.42578125" style="181" customWidth="1"/>
    <col min="2" max="8" width="12.85546875" style="2" customWidth="1"/>
    <col min="9" max="12" width="12.85546875" customWidth="1"/>
    <col min="14" max="14" width="15" customWidth="1"/>
    <col min="15" max="25" width="12.85546875" customWidth="1"/>
  </cols>
  <sheetData>
    <row r="1" spans="1:25" ht="52.5" customHeight="1">
      <c r="C1" s="463" t="s">
        <v>711</v>
      </c>
      <c r="D1" s="463"/>
      <c r="E1" s="463"/>
      <c r="F1" s="463"/>
      <c r="G1" s="463"/>
      <c r="M1" s="183"/>
      <c r="N1" s="181"/>
      <c r="O1" s="2"/>
      <c r="P1" s="463" t="s">
        <v>712</v>
      </c>
      <c r="Q1" s="463"/>
      <c r="R1" s="463"/>
      <c r="S1" s="463"/>
      <c r="T1" s="463"/>
      <c r="U1" s="2"/>
    </row>
    <row r="2" spans="1:25" ht="52.5" customHeight="1">
      <c r="C2" s="463"/>
      <c r="D2" s="463"/>
      <c r="E2" s="463"/>
      <c r="F2" s="463"/>
      <c r="G2" s="463"/>
      <c r="M2" s="183"/>
      <c r="N2" s="181"/>
      <c r="O2" s="2"/>
      <c r="P2" s="463"/>
      <c r="Q2" s="463"/>
      <c r="R2" s="463"/>
      <c r="S2" s="463"/>
      <c r="T2" s="463"/>
      <c r="U2" s="2"/>
    </row>
    <row r="3" spans="1:25" ht="50.25" customHeight="1">
      <c r="A3" s="178"/>
      <c r="B3" s="182" t="str" cm="1">
        <f t="array" ref="B3:I3">_xlfn.UNIQUE(tblPiNAnalysis[[#Headers],[CCCM]:[WASH]])</f>
        <v>CCCM</v>
      </c>
      <c r="C3" s="182" t="str">
        <v>Education</v>
      </c>
      <c r="D3" s="182" t="str">
        <v>Nutrition</v>
      </c>
      <c r="E3" s="182" t="str">
        <v>Food Security</v>
      </c>
      <c r="F3" s="182" t="str">
        <v>Health</v>
      </c>
      <c r="G3" s="182" t="str">
        <v>Overarching Protection</v>
      </c>
      <c r="H3" s="182" t="str">
        <v>Shelter</v>
      </c>
      <c r="I3" s="182" t="str">
        <v>WASH</v>
      </c>
      <c r="J3" s="182"/>
      <c r="K3" s="182"/>
      <c r="M3" s="183"/>
      <c r="N3" s="178"/>
      <c r="O3" s="182" t="str" cm="1">
        <f t="array" ref="O3:V3">_xlfn.UNIQUE(tblSeverityAnalysis[[#Headers],[CCCM]:[WASH]])</f>
        <v>CCCM</v>
      </c>
      <c r="P3" s="182" t="str">
        <v>Education</v>
      </c>
      <c r="Q3" s="182" t="str">
        <v>Nutrition</v>
      </c>
      <c r="R3" s="182" t="str">
        <v>Food Security</v>
      </c>
      <c r="S3" s="182" t="str">
        <v>Health</v>
      </c>
      <c r="T3" s="182" t="str">
        <v>Overarching Protection</v>
      </c>
      <c r="U3" s="182" t="str">
        <v>Shelter</v>
      </c>
      <c r="V3" s="182" t="str">
        <v>WASH</v>
      </c>
      <c r="W3" s="182"/>
      <c r="X3" s="182"/>
    </row>
    <row r="4" spans="1:25" ht="37.5" customHeight="1">
      <c r="A4" s="182" t="str" cm="1">
        <f t="array" ref="A4:A11">TRANSPOSE(tblPiNAnalysis[[#Headers],[CCCM]:[WASH]])</f>
        <v>CCCM</v>
      </c>
      <c r="B4" s="179" t="str">
        <f>IF(OR($A4=B$3,B$3="",$A4=""),"",CORREL(INDEX(tblPiNAnalysis[[CCCM]:[WASH]],0,MATCH(B$3,tblPiNAnalysis[[#Headers],[CCCM]:[WASH]],0)),INDEX(tblPiNAnalysis[[CCCM]:[WASH]],0,MATCH($A4,tblPiNAnalysis[[#Headers],[CCCM]:[WASH]],0))))</f>
        <v/>
      </c>
      <c r="C4" s="179"/>
      <c r="D4" s="179"/>
      <c r="E4" s="179"/>
      <c r="F4" s="179"/>
      <c r="G4" s="179"/>
      <c r="H4" s="179"/>
      <c r="I4" s="177"/>
      <c r="J4" s="177"/>
      <c r="K4" s="177"/>
      <c r="L4" s="177"/>
      <c r="M4" s="183"/>
      <c r="N4" s="182" t="str" cm="1">
        <f t="array" ref="N4:N11">TRANSPOSE(tblSeverityAnalysis[[#Headers],[CCCM]:[WASH]])</f>
        <v>CCCM</v>
      </c>
      <c r="O4" s="179" t="str">
        <f>IF(OR($N4=O$3,O$3="",$N4=""),"",CORREL(INDEX(tblSeverityAnalysis[[CCCM]:[WASH]],0,MATCH(O$3,tblSeverityAnalysis[[#Headers],[CCCM]:[WASH]],0)),INDEX(tblSeverityAnalysis[[CCCM]:[WASH]],0,MATCH($N4,tblSeverityAnalysis[[#Headers],[CCCM]:[WASH]],0))))</f>
        <v/>
      </c>
      <c r="P4" s="179"/>
      <c r="Q4" s="179"/>
      <c r="R4" s="179"/>
      <c r="S4" s="179"/>
      <c r="T4" s="179"/>
      <c r="U4" s="179"/>
      <c r="V4" s="177"/>
      <c r="W4" s="177"/>
      <c r="X4" s="177"/>
      <c r="Y4" s="177"/>
    </row>
    <row r="5" spans="1:25" ht="37.5" customHeight="1">
      <c r="A5" s="182" t="str">
        <v>Education</v>
      </c>
      <c r="B5" s="179">
        <f>IF(OR($A5=B$3,B$3="",$A5=""),"",CORREL(INDEX(tblPiNAnalysis[[CCCM]:[WASH]],0,MATCH(B$3,tblPiNAnalysis[[#Headers],[CCCM]:[WASH]],0)),INDEX(tblPiNAnalysis[[CCCM]:[WASH]],0,MATCH($A5,tblPiNAnalysis[[#Headers],[CCCM]:[WASH]],0))))</f>
        <v>2.5423515087253046E-2</v>
      </c>
      <c r="C5" s="179" t="str">
        <f>IF(OR($A5=C$3,C$3="",$A5=""),"",CORREL(INDEX(tblPiNAnalysis[[CCCM]:[WASH]],0,MATCH(C$3,tblPiNAnalysis[[#Headers],[CCCM]:[WASH]],0)),INDEX(tblPiNAnalysis[[CCCM]:[WASH]],0,MATCH($A5,tblPiNAnalysis[[#Headers],[CCCM]:[WASH]],0))))</f>
        <v/>
      </c>
      <c r="D5" s="179"/>
      <c r="E5" s="179"/>
      <c r="F5" s="179"/>
      <c r="G5" s="179"/>
      <c r="H5" s="179"/>
      <c r="I5" s="177"/>
      <c r="J5" s="177"/>
      <c r="K5" s="177"/>
      <c r="L5" s="177"/>
      <c r="M5" s="183"/>
      <c r="N5" s="182" t="str">
        <v>Education</v>
      </c>
      <c r="O5" s="179">
        <f>IF(OR($N5=O$3,O$3="",$N5=""),"",CORREL(INDEX(tblSeverityAnalysis[[CCCM]:[WASH]],0,MATCH(O$3,tblSeverityAnalysis[[#Headers],[CCCM]:[WASH]],0)),INDEX(tblSeverityAnalysis[[CCCM]:[WASH]],0,MATCH($N5,tblSeverityAnalysis[[#Headers],[CCCM]:[WASH]],0))))</f>
        <v>0.58609849887342247</v>
      </c>
      <c r="P5" s="179" t="str">
        <f>IF(OR($N5=P$3,P$3="",$N5=""),"",CORREL(INDEX(tblSeverityAnalysis[[CCCM]:[WASH]],0,MATCH(P$3,tblSeverityAnalysis[[#Headers],[CCCM]:[WASH]],0)),INDEX(tblSeverityAnalysis[[CCCM]:[WASH]],0,MATCH($N5,tblSeverityAnalysis[[#Headers],[CCCM]:[WASH]],0))))</f>
        <v/>
      </c>
      <c r="Q5" s="179"/>
      <c r="R5" s="179"/>
      <c r="S5" s="179"/>
      <c r="T5" s="179"/>
      <c r="U5" s="179"/>
      <c r="V5" s="177"/>
      <c r="W5" s="177"/>
      <c r="X5" s="177"/>
      <c r="Y5" s="177"/>
    </row>
    <row r="6" spans="1:25" ht="37.5" customHeight="1">
      <c r="A6" s="182" t="str">
        <v>Nutrition</v>
      </c>
      <c r="B6" s="179">
        <f>IF(OR($A6=B$3,B$3="",$A6=""),"",CORREL(INDEX(tblPiNAnalysis[[CCCM]:[WASH]],0,MATCH(B$3,tblPiNAnalysis[[#Headers],[CCCM]:[WASH]],0)),INDEX(tblPiNAnalysis[[CCCM]:[WASH]],0,MATCH($A6,tblPiNAnalysis[[#Headers],[CCCM]:[WASH]],0))))</f>
        <v>4.3698392617182114E-2</v>
      </c>
      <c r="C6" s="179">
        <f>IF(OR($A6=C$3,C$3="",$A6=""),"",CORREL(INDEX(tblPiNAnalysis[[CCCM]:[WASH]],0,MATCH(C$3,tblPiNAnalysis[[#Headers],[CCCM]:[WASH]],0)),INDEX(tblPiNAnalysis[[CCCM]:[WASH]],0,MATCH($A6,tblPiNAnalysis[[#Headers],[CCCM]:[WASH]],0))))</f>
        <v>0.91031381761322505</v>
      </c>
      <c r="D6" s="179" t="str">
        <f>IF(OR($A6=D$3,D$3="",$A6=""),"",CORREL(INDEX(tblPiNAnalysis[[CCCM]:[WASH]],0,MATCH(D$3,tblPiNAnalysis[[#Headers],[CCCM]:[WASH]],0)),INDEX(tblPiNAnalysis[[CCCM]:[WASH]],0,MATCH($A6,tblPiNAnalysis[[#Headers],[CCCM]:[WASH]],0))))</f>
        <v/>
      </c>
      <c r="E6" s="179"/>
      <c r="F6" s="179"/>
      <c r="G6" s="179"/>
      <c r="H6" s="179"/>
      <c r="I6" s="177"/>
      <c r="J6" s="177"/>
      <c r="K6" s="177"/>
      <c r="L6" s="177"/>
      <c r="M6" s="183"/>
      <c r="N6" s="182" t="str">
        <v>Nutrition</v>
      </c>
      <c r="O6" s="179">
        <f>IF(OR($N6=O$3,O$3="",$N6=""),"",CORREL(INDEX(tblSeverityAnalysis[[CCCM]:[WASH]],0,MATCH(O$3,tblSeverityAnalysis[[#Headers],[CCCM]:[WASH]],0)),INDEX(tblSeverityAnalysis[[CCCM]:[WASH]],0,MATCH($N6,tblSeverityAnalysis[[#Headers],[CCCM]:[WASH]],0))))</f>
        <v>-0.37404580152671757</v>
      </c>
      <c r="P6" s="179">
        <f>IF(OR($N6=P$3,P$3="",$N6=""),"",CORREL(INDEX(tblSeverityAnalysis[[CCCM]:[WASH]],0,MATCH(P$3,tblSeverityAnalysis[[#Headers],[CCCM]:[WASH]],0)),INDEX(tblSeverityAnalysis[[CCCM]:[WASH]],0,MATCH($N6,tblSeverityAnalysis[[#Headers],[CCCM]:[WASH]],0))))</f>
        <v>-6.5122055430380285E-2</v>
      </c>
      <c r="Q6" s="179" t="str">
        <f>IF(OR($N6=Q$3,Q$3="",$N6=""),"",CORREL(INDEX(tblSeverityAnalysis[[CCCM]:[WASH]],0,MATCH(Q$3,tblSeverityAnalysis[[#Headers],[CCCM]:[WASH]],0)),INDEX(tblSeverityAnalysis[[CCCM]:[WASH]],0,MATCH($N6,tblSeverityAnalysis[[#Headers],[CCCM]:[WASH]],0))))</f>
        <v/>
      </c>
      <c r="R6" s="179"/>
      <c r="S6" s="179"/>
      <c r="T6" s="179"/>
      <c r="U6" s="179"/>
      <c r="V6" s="177"/>
      <c r="W6" s="177"/>
      <c r="X6" s="177"/>
      <c r="Y6" s="177"/>
    </row>
    <row r="7" spans="1:25" ht="37.5" customHeight="1">
      <c r="A7" s="182" t="str">
        <v>Food Security</v>
      </c>
      <c r="B7" s="179">
        <f>IF(OR($A7=B$3,B$3="",$A7=""),"",CORREL(INDEX(tblPiNAnalysis[[CCCM]:[WASH]],0,MATCH(B$3,tblPiNAnalysis[[#Headers],[CCCM]:[WASH]],0)),INDEX(tblPiNAnalysis[[CCCM]:[WASH]],0,MATCH($A7,tblPiNAnalysis[[#Headers],[CCCM]:[WASH]],0))))</f>
        <v>0.29164218004980985</v>
      </c>
      <c r="C7" s="179">
        <f>IF(OR($A7=C$3,C$3="",$A7=""),"",CORREL(INDEX(tblPiNAnalysis[[CCCM]:[WASH]],0,MATCH(C$3,tblPiNAnalysis[[#Headers],[CCCM]:[WASH]],0)),INDEX(tblPiNAnalysis[[CCCM]:[WASH]],0,MATCH($A7,tblPiNAnalysis[[#Headers],[CCCM]:[WASH]],0))))</f>
        <v>0.44823916044455447</v>
      </c>
      <c r="D7" s="179">
        <f>IF(OR($A7=D$3,D$3="",$A7=""),"",CORREL(INDEX(tblPiNAnalysis[[CCCM]:[WASH]],0,MATCH(D$3,tblPiNAnalysis[[#Headers],[CCCM]:[WASH]],0)),INDEX(tblPiNAnalysis[[CCCM]:[WASH]],0,MATCH($A7,tblPiNAnalysis[[#Headers],[CCCM]:[WASH]],0))))</f>
        <v>0.47951045213768106</v>
      </c>
      <c r="E7" s="179" t="str">
        <f>IF(OR($A7=E$3,E$3="",$A7=""),"",CORREL(INDEX(tblPiNAnalysis[[CCCM]:[WASH]],0,MATCH(E$3,tblPiNAnalysis[[#Headers],[CCCM]:[WASH]],0)),INDEX(tblPiNAnalysis[[CCCM]:[WASH]],0,MATCH($A7,tblPiNAnalysis[[#Headers],[CCCM]:[WASH]],0))))</f>
        <v/>
      </c>
      <c r="F7" s="179"/>
      <c r="G7" s="179"/>
      <c r="H7" s="179"/>
      <c r="I7" s="177"/>
      <c r="J7" s="177"/>
      <c r="K7" s="177"/>
      <c r="L7" s="177"/>
      <c r="M7" s="183"/>
      <c r="N7" s="182" t="str">
        <v>Food Security</v>
      </c>
      <c r="O7" s="179">
        <f>IF(OR($N7=O$3,O$3="",$N7=""),"",CORREL(INDEX(tblSeverityAnalysis[[CCCM]:[WASH]],0,MATCH(O$3,tblSeverityAnalysis[[#Headers],[CCCM]:[WASH]],0)),INDEX(tblSeverityAnalysis[[CCCM]:[WASH]],0,MATCH($N7,tblSeverityAnalysis[[#Headers],[CCCM]:[WASH]],0))))</f>
        <v>0.37860509121978364</v>
      </c>
      <c r="P7" s="179">
        <f>IF(OR($N7=P$3,P$3="",$N7=""),"",CORREL(INDEX(tblSeverityAnalysis[[CCCM]:[WASH]],0,MATCH(P$3,tblSeverityAnalysis[[#Headers],[CCCM]:[WASH]],0)),INDEX(tblSeverityAnalysis[[CCCM]:[WASH]],0,MATCH($N7,tblSeverityAnalysis[[#Headers],[CCCM]:[WASH]],0))))</f>
        <v>0.24845199749997665</v>
      </c>
      <c r="Q7" s="179">
        <f>IF(OR($N7=Q$3,Q$3="",$N7=""),"",CORREL(INDEX(tblSeverityAnalysis[[CCCM]:[WASH]],0,MATCH(Q$3,tblSeverityAnalysis[[#Headers],[CCCM]:[WASH]],0)),INDEX(tblSeverityAnalysis[[CCCM]:[WASH]],0,MATCH($N7,tblSeverityAnalysis[[#Headers],[CCCM]:[WASH]],0))))</f>
        <v>0.16639725957063264</v>
      </c>
      <c r="R7" s="179" t="str">
        <f>IF(OR($N7=R$3,R$3="",$N7=""),"",CORREL(INDEX(tblSeverityAnalysis[[CCCM]:[WASH]],0,MATCH(R$3,tblSeverityAnalysis[[#Headers],[CCCM]:[WASH]],0)),INDEX(tblSeverityAnalysis[[CCCM]:[WASH]],0,MATCH($N7,tblSeverityAnalysis[[#Headers],[CCCM]:[WASH]],0))))</f>
        <v/>
      </c>
      <c r="S7" s="179"/>
      <c r="T7" s="179"/>
      <c r="U7" s="179"/>
      <c r="V7" s="177"/>
      <c r="W7" s="177"/>
      <c r="X7" s="177"/>
      <c r="Y7" s="177"/>
    </row>
    <row r="8" spans="1:25" ht="37.5" customHeight="1">
      <c r="A8" s="182" t="str">
        <v>Health</v>
      </c>
      <c r="B8" s="179">
        <f>IF(OR($A8=B$3,B$3="",$A8=""),"",CORREL(INDEX(tblPiNAnalysis[[CCCM]:[WASH]],0,MATCH(B$3,tblPiNAnalysis[[#Headers],[CCCM]:[WASH]],0)),INDEX(tblPiNAnalysis[[CCCM]:[WASH]],0,MATCH($A8,tblPiNAnalysis[[#Headers],[CCCM]:[WASH]],0))))</f>
        <v>0.34056881402982642</v>
      </c>
      <c r="C8" s="179">
        <f>IF(OR($A8=C$3,C$3="",$A8=""),"",CORREL(INDEX(tblPiNAnalysis[[CCCM]:[WASH]],0,MATCH(C$3,tblPiNAnalysis[[#Headers],[CCCM]:[WASH]],0)),INDEX(tblPiNAnalysis[[CCCM]:[WASH]],0,MATCH($A8,tblPiNAnalysis[[#Headers],[CCCM]:[WASH]],0))))</f>
        <v>-2.6300309116607006E-2</v>
      </c>
      <c r="D8" s="179">
        <f>IF(OR($A8=D$3,D$3="",$A8=""),"",CORREL(INDEX(tblPiNAnalysis[[CCCM]:[WASH]],0,MATCH(D$3,tblPiNAnalysis[[#Headers],[CCCM]:[WASH]],0)),INDEX(tblPiNAnalysis[[CCCM]:[WASH]],0,MATCH($A8,tblPiNAnalysis[[#Headers],[CCCM]:[WASH]],0))))</f>
        <v>0.10199648130543978</v>
      </c>
      <c r="E8" s="179">
        <f>IF(OR($A8=E$3,E$3="",$A8=""),"",CORREL(INDEX(tblPiNAnalysis[[CCCM]:[WASH]],0,MATCH(E$3,tblPiNAnalysis[[#Headers],[CCCM]:[WASH]],0)),INDEX(tblPiNAnalysis[[CCCM]:[WASH]],0,MATCH($A8,tblPiNAnalysis[[#Headers],[CCCM]:[WASH]],0))))</f>
        <v>-1.7645290356783153E-2</v>
      </c>
      <c r="F8" s="179" t="str">
        <f>IF(OR($A8=F$3,F$3="",$A8=""),"",CORREL(INDEX(tblPiNAnalysis[[CCCM]:[WASH]],0,MATCH(F$3,tblPiNAnalysis[[#Headers],[CCCM]:[WASH]],0)),INDEX(tblPiNAnalysis[[CCCM]:[WASH]],0,MATCH($A8,tblPiNAnalysis[[#Headers],[CCCM]:[WASH]],0))))</f>
        <v/>
      </c>
      <c r="G8" s="179"/>
      <c r="H8" s="179"/>
      <c r="I8" s="177"/>
      <c r="J8" s="177"/>
      <c r="K8" s="177"/>
      <c r="L8" s="177"/>
      <c r="M8" s="183"/>
      <c r="N8" s="182" t="str">
        <v>Health</v>
      </c>
      <c r="O8" s="179">
        <f>IF(OR($N8=O$3,O$3="",$N8=""),"",CORREL(INDEX(tblSeverityAnalysis[[CCCM]:[WASH]],0,MATCH(O$3,tblSeverityAnalysis[[#Headers],[CCCM]:[WASH]],0)),INDEX(tblSeverityAnalysis[[CCCM]:[WASH]],0,MATCH($N8,tblSeverityAnalysis[[#Headers],[CCCM]:[WASH]],0))))</f>
        <v>0.41486125476681623</v>
      </c>
      <c r="P8" s="179">
        <f>IF(OR($N8=P$3,P$3="",$N8=""),"",CORREL(INDEX(tblSeverityAnalysis[[CCCM]:[WASH]],0,MATCH(P$3,tblSeverityAnalysis[[#Headers],[CCCM]:[WASH]],0)),INDEX(tblSeverityAnalysis[[CCCM]:[WASH]],0,MATCH($N8,tblSeverityAnalysis[[#Headers],[CCCM]:[WASH]],0))))</f>
        <v>0.30585479463762788</v>
      </c>
      <c r="Q8" s="179">
        <f>IF(OR($N8=Q$3,Q$3="",$N8=""),"",CORREL(INDEX(tblSeverityAnalysis[[CCCM]:[WASH]],0,MATCH(Q$3,tblSeverityAnalysis[[#Headers],[CCCM]:[WASH]],0)),INDEX(tblSeverityAnalysis[[CCCM]:[WASH]],0,MATCH($N8,tblSeverityAnalysis[[#Headers],[CCCM]:[WASH]],0))))</f>
        <v>-0.197085542334902</v>
      </c>
      <c r="R8" s="179">
        <f>IF(OR($N8=R$3,R$3="",$N8=""),"",CORREL(INDEX(tblSeverityAnalysis[[CCCM]:[WASH]],0,MATCH(R$3,tblSeverityAnalysis[[#Headers],[CCCM]:[WASH]],0)),INDEX(tblSeverityAnalysis[[CCCM]:[WASH]],0,MATCH($N8,tblSeverityAnalysis[[#Headers],[CCCM]:[WASH]],0))))</f>
        <v>0.23338001400466818</v>
      </c>
      <c r="S8" s="179" t="str">
        <f>IF(OR($N8=S$3,S$3="",$N8=""),"",CORREL(INDEX(tblSeverityAnalysis[[CCCM]:[WASH]],0,MATCH(S$3,tblSeverityAnalysis[[#Headers],[CCCM]:[WASH]],0)),INDEX(tblSeverityAnalysis[[CCCM]:[WASH]],0,MATCH($N8,tblSeverityAnalysis[[#Headers],[CCCM]:[WASH]],0))))</f>
        <v/>
      </c>
      <c r="T8" s="179"/>
      <c r="U8" s="179"/>
      <c r="V8" s="177"/>
      <c r="W8" s="177"/>
      <c r="X8" s="177"/>
      <c r="Y8" s="177"/>
    </row>
    <row r="9" spans="1:25" ht="37.5" customHeight="1">
      <c r="A9" s="182" t="str">
        <v>Overarching Protection</v>
      </c>
      <c r="B9" s="179">
        <f>IF(OR($A9=B$3,B$3="",$A9=""),"",CORREL(INDEX(tblPiNAnalysis[[CCCM]:[WASH]],0,MATCH(B$3,tblPiNAnalysis[[#Headers],[CCCM]:[WASH]],0)),INDEX(tblPiNAnalysis[[CCCM]:[WASH]],0,MATCH($A9,tblPiNAnalysis[[#Headers],[CCCM]:[WASH]],0))))</f>
        <v>0.29359226553310919</v>
      </c>
      <c r="C9" s="179">
        <f>IF(OR($A9=C$3,C$3="",$A9=""),"",CORREL(INDEX(tblPiNAnalysis[[CCCM]:[WASH]],0,MATCH(C$3,tblPiNAnalysis[[#Headers],[CCCM]:[WASH]],0)),INDEX(tblPiNAnalysis[[CCCM]:[WASH]],0,MATCH($A9,tblPiNAnalysis[[#Headers],[CCCM]:[WASH]],0))))</f>
        <v>0.44409315524542481</v>
      </c>
      <c r="D9" s="179">
        <f>IF(OR($A9=D$3,D$3="",$A9=""),"",CORREL(INDEX(tblPiNAnalysis[[CCCM]:[WASH]],0,MATCH(D$3,tblPiNAnalysis[[#Headers],[CCCM]:[WASH]],0)),INDEX(tblPiNAnalysis[[CCCM]:[WASH]],0,MATCH($A9,tblPiNAnalysis[[#Headers],[CCCM]:[WASH]],0))))</f>
        <v>0.61857327220169023</v>
      </c>
      <c r="E9" s="179">
        <f>IF(OR($A9=E$3,E$3="",$A9=""),"",CORREL(INDEX(tblPiNAnalysis[[CCCM]:[WASH]],0,MATCH(E$3,tblPiNAnalysis[[#Headers],[CCCM]:[WASH]],0)),INDEX(tblPiNAnalysis[[CCCM]:[WASH]],0,MATCH($A9,tblPiNAnalysis[[#Headers],[CCCM]:[WASH]],0))))</f>
        <v>0.35491406343492304</v>
      </c>
      <c r="F9" s="179">
        <f>IF(OR($A9=F$3,F$3="",$A9=""),"",CORREL(INDEX(tblPiNAnalysis[[CCCM]:[WASH]],0,MATCH(F$3,tblPiNAnalysis[[#Headers],[CCCM]:[WASH]],0)),INDEX(tblPiNAnalysis[[CCCM]:[WASH]],0,MATCH($A9,tblPiNAnalysis[[#Headers],[CCCM]:[WASH]],0))))</f>
        <v>0.76792304363461572</v>
      </c>
      <c r="G9" s="179" t="str">
        <f>IF(OR($A9=G$3,G$3="",$A9=""),"",CORREL(INDEX(tblPiNAnalysis[[CCCM]:[WASH]],0,MATCH(G$3,tblPiNAnalysis[[#Headers],[CCCM]:[WASH]],0)),INDEX(tblPiNAnalysis[[CCCM]:[WASH]],0,MATCH($A9,tblPiNAnalysis[[#Headers],[CCCM]:[WASH]],0))))</f>
        <v/>
      </c>
      <c r="H9" s="179"/>
      <c r="I9" s="177"/>
      <c r="J9" s="177"/>
      <c r="K9" s="177"/>
      <c r="L9" s="177"/>
      <c r="M9" s="183"/>
      <c r="N9" s="182" t="str">
        <v>Overarching Protection</v>
      </c>
      <c r="O9" s="179">
        <f>IF(OR($N9=O$3,O$3="",$N9=""),"",CORREL(INDEX(tblSeverityAnalysis[[CCCM]:[WASH]],0,MATCH(O$3,tblSeverityAnalysis[[#Headers],[CCCM]:[WASH]],0)),INDEX(tblSeverityAnalysis[[CCCM]:[WASH]],0,MATCH($N9,tblSeverityAnalysis[[#Headers],[CCCM]:[WASH]],0))))</f>
        <v>0.54144459951563662</v>
      </c>
      <c r="P9" s="179">
        <f>IF(OR($N9=P$3,P$3="",$N9=""),"",CORREL(INDEX(tblSeverityAnalysis[[CCCM]:[WASH]],0,MATCH(P$3,tblSeverityAnalysis[[#Headers],[CCCM]:[WASH]],0)),INDEX(tblSeverityAnalysis[[CCCM]:[WASH]],0,MATCH($N9,tblSeverityAnalysis[[#Headers],[CCCM]:[WASH]],0))))</f>
        <v>0.53483830215894668</v>
      </c>
      <c r="Q9" s="179">
        <f>IF(OR($N9=Q$3,Q$3="",$N9=""),"",CORREL(INDEX(tblSeverityAnalysis[[CCCM]:[WASH]],0,MATCH(Q$3,tblSeverityAnalysis[[#Headers],[CCCM]:[WASH]],0)),INDEX(tblSeverityAnalysis[[CCCM]:[WASH]],0,MATCH($N9,tblSeverityAnalysis[[#Headers],[CCCM]:[WASH]],0))))</f>
        <v>-1.9676475067896129E-2</v>
      </c>
      <c r="R9" s="179">
        <f>IF(OR($N9=R$3,R$3="",$N9=""),"",CORREL(INDEX(tblSeverityAnalysis[[CCCM]:[WASH]],0,MATCH(R$3,tblSeverityAnalysis[[#Headers],[CCCM]:[WASH]],0)),INDEX(tblSeverityAnalysis[[CCCM]:[WASH]],0,MATCH($N9,tblSeverityAnalysis[[#Headers],[CCCM]:[WASH]],0))))</f>
        <v>0.3635088406056689</v>
      </c>
      <c r="S9" s="179">
        <f>IF(OR($N9=S$3,S$3="",$N9=""),"",CORREL(INDEX(tblSeverityAnalysis[[CCCM]:[WASH]],0,MATCH(S$3,tblSeverityAnalysis[[#Headers],[CCCM]:[WASH]],0)),INDEX(tblSeverityAnalysis[[CCCM]:[WASH]],0,MATCH($N9,tblSeverityAnalysis[[#Headers],[CCCM]:[WASH]],0))))</f>
        <v>0.29012564787241713</v>
      </c>
      <c r="T9" s="179" t="str">
        <f>IF(OR($N9=T$3,T$3="",$N9=""),"",CORREL(INDEX(tblSeverityAnalysis[[CCCM]:[WASH]],0,MATCH(T$3,tblSeverityAnalysis[[#Headers],[CCCM]:[WASH]],0)),INDEX(tblSeverityAnalysis[[CCCM]:[WASH]],0,MATCH($N9,tblSeverityAnalysis[[#Headers],[CCCM]:[WASH]],0))))</f>
        <v/>
      </c>
      <c r="U9" s="179"/>
      <c r="V9" s="177"/>
      <c r="W9" s="177"/>
      <c r="X9" s="177"/>
      <c r="Y9" s="177"/>
    </row>
    <row r="10" spans="1:25" ht="37.5" customHeight="1">
      <c r="A10" s="182" t="str">
        <v>Shelter</v>
      </c>
      <c r="B10" s="179">
        <f>IF(OR($A10=B$3,B$3="",$A10=""),"",CORREL(INDEX(tblPiNAnalysis[[CCCM]:[WASH]],0,MATCH(B$3,tblPiNAnalysis[[#Headers],[CCCM]:[WASH]],0)),INDEX(tblPiNAnalysis[[CCCM]:[WASH]],0,MATCH($A10,tblPiNAnalysis[[#Headers],[CCCM]:[WASH]],0))))</f>
        <v>0.46182792436428732</v>
      </c>
      <c r="C10" s="179">
        <f>IF(OR($A10=C$3,C$3="",$A10=""),"",CORREL(INDEX(tblPiNAnalysis[[CCCM]:[WASH]],0,MATCH(C$3,tblPiNAnalysis[[#Headers],[CCCM]:[WASH]],0)),INDEX(tblPiNAnalysis[[CCCM]:[WASH]],0,MATCH($A10,tblPiNAnalysis[[#Headers],[CCCM]:[WASH]],0))))</f>
        <v>0.69479575329973953</v>
      </c>
      <c r="D10" s="179">
        <f>IF(OR($A10=D$3,D$3="",$A10=""),"",CORREL(INDEX(tblPiNAnalysis[[CCCM]:[WASH]],0,MATCH(D$3,tblPiNAnalysis[[#Headers],[CCCM]:[WASH]],0)),INDEX(tblPiNAnalysis[[CCCM]:[WASH]],0,MATCH($A10,tblPiNAnalysis[[#Headers],[CCCM]:[WASH]],0))))</f>
        <v>0.73303897845028365</v>
      </c>
      <c r="E10" s="179">
        <f>IF(OR($A10=E$3,E$3="",$A10=""),"",CORREL(INDEX(tblPiNAnalysis[[CCCM]:[WASH]],0,MATCH(E$3,tblPiNAnalysis[[#Headers],[CCCM]:[WASH]],0)),INDEX(tblPiNAnalysis[[CCCM]:[WASH]],0,MATCH($A10,tblPiNAnalysis[[#Headers],[CCCM]:[WASH]],0))))</f>
        <v>0.48362325392990346</v>
      </c>
      <c r="F10" s="179">
        <f>IF(OR($A10=F$3,F$3="",$A10=""),"",CORREL(INDEX(tblPiNAnalysis[[CCCM]:[WASH]],0,MATCH(F$3,tblPiNAnalysis[[#Headers],[CCCM]:[WASH]],0)),INDEX(tblPiNAnalysis[[CCCM]:[WASH]],0,MATCH($A10,tblPiNAnalysis[[#Headers],[CCCM]:[WASH]],0))))</f>
        <v>0.30401429247147455</v>
      </c>
      <c r="G10" s="179">
        <f>IF(OR($A10=G$3,G$3="",$A10=""),"",CORREL(INDEX(tblPiNAnalysis[[CCCM]:[WASH]],0,MATCH(G$3,tblPiNAnalysis[[#Headers],[CCCM]:[WASH]],0)),INDEX(tblPiNAnalysis[[CCCM]:[WASH]],0,MATCH($A10,tblPiNAnalysis[[#Headers],[CCCM]:[WASH]],0))))</f>
        <v>0.56439836165057056</v>
      </c>
      <c r="H10" s="179" t="str">
        <f>IF(OR($A10=H$3,H$3="",$A10=""),"",CORREL(INDEX(tblPiNAnalysis[[CCCM]:[WASH]],0,MATCH(H$3,tblPiNAnalysis[[#Headers],[CCCM]:[WASH]],0)),INDEX(tblPiNAnalysis[[CCCM]:[WASH]],0,MATCH($A10,tblPiNAnalysis[[#Headers],[CCCM]:[WASH]],0))))</f>
        <v/>
      </c>
      <c r="I10" s="177"/>
      <c r="J10" s="177"/>
      <c r="K10" s="177"/>
      <c r="L10" s="177"/>
      <c r="M10" s="183"/>
      <c r="N10" s="182" t="str">
        <v>Shelter</v>
      </c>
      <c r="O10" s="179">
        <f>IF(OR($N10=O$3,O$3="",$N10=""),"",CORREL(INDEX(tblSeverityAnalysis[[CCCM]:[WASH]],0,MATCH(O$3,tblSeverityAnalysis[[#Headers],[CCCM]:[WASH]],0)),INDEX(tblSeverityAnalysis[[CCCM]:[WASH]],0,MATCH($N10,tblSeverityAnalysis[[#Headers],[CCCM]:[WASH]],0))))</f>
        <v>0.3571973786082755</v>
      </c>
      <c r="P10" s="179">
        <f>IF(OR($N10=P$3,P$3="",$N10=""),"",CORREL(INDEX(tblSeverityAnalysis[[CCCM]:[WASH]],0,MATCH(P$3,tblSeverityAnalysis[[#Headers],[CCCM]:[WASH]],0)),INDEX(tblSeverityAnalysis[[CCCM]:[WASH]],0,MATCH($N10,tblSeverityAnalysis[[#Headers],[CCCM]:[WASH]],0))))</f>
        <v>0.39067269244874608</v>
      </c>
      <c r="Q10" s="179">
        <f>IF(OR($N10=Q$3,Q$3="",$N10=""),"",CORREL(INDEX(tblSeverityAnalysis[[CCCM]:[WASH]],0,MATCH(Q$3,tblSeverityAnalysis[[#Headers],[CCCM]:[WASH]],0)),INDEX(tblSeverityAnalysis[[CCCM]:[WASH]],0,MATCH($N10,tblSeverityAnalysis[[#Headers],[CCCM]:[WASH]],0))))</f>
        <v>-0.19233705001984061</v>
      </c>
      <c r="R10" s="179">
        <f>IF(OR($N10=R$3,R$3="",$N10=""),"",CORREL(INDEX(tblSeverityAnalysis[[CCCM]:[WASH]],0,MATCH(R$3,tblSeverityAnalysis[[#Headers],[CCCM]:[WASH]],0)),INDEX(tblSeverityAnalysis[[CCCM]:[WASH]],0,MATCH($N10,tblSeverityAnalysis[[#Headers],[CCCM]:[WASH]],0))))</f>
        <v>-0.10482848367219177</v>
      </c>
      <c r="S10" s="179">
        <f>IF(OR($N10=S$3,S$3="",$N10=""),"",CORREL(INDEX(tblSeverityAnalysis[[CCCM]:[WASH]],0,MATCH(S$3,tblSeverityAnalysis[[#Headers],[CCCM]:[WASH]],0)),INDEX(tblSeverityAnalysis[[CCCM]:[WASH]],0,MATCH($N10,tblSeverityAnalysis[[#Headers],[CCCM]:[WASH]],0))))</f>
        <v>-0.19049979084185065</v>
      </c>
      <c r="T10" s="179">
        <f>IF(OR($N10=T$3,T$3="",$N10=""),"",CORREL(INDEX(tblSeverityAnalysis[[CCCM]:[WASH]],0,MATCH(T$3,tblSeverityAnalysis[[#Headers],[CCCM]:[WASH]],0)),INDEX(tblSeverityAnalysis[[CCCM]:[WASH]],0,MATCH($N10,tblSeverityAnalysis[[#Headers],[CCCM]:[WASH]],0))))</f>
        <v>0.23933896964248305</v>
      </c>
      <c r="U10" s="179" t="str">
        <f>IF(OR($N10=U$3,U$3="",$N10=""),"",CORREL(INDEX(tblSeverityAnalysis[[CCCM]:[WASH]],0,MATCH(U$3,tblSeverityAnalysis[[#Headers],[CCCM]:[WASH]],0)),INDEX(tblSeverityAnalysis[[CCCM]:[WASH]],0,MATCH($N10,tblSeverityAnalysis[[#Headers],[CCCM]:[WASH]],0))))</f>
        <v/>
      </c>
      <c r="V10" s="177"/>
      <c r="W10" s="177"/>
      <c r="X10" s="177"/>
      <c r="Y10" s="177"/>
    </row>
    <row r="11" spans="1:25" ht="37.5" customHeight="1">
      <c r="A11" s="182" t="str">
        <v>WASH</v>
      </c>
      <c r="B11" s="179">
        <f>IF(OR($A11=B$3,B$3="",$A11=""),"",CORREL(INDEX(tblPiNAnalysis[[CCCM]:[WASH]],0,MATCH(B$3,tblPiNAnalysis[[#Headers],[CCCM]:[WASH]],0)),INDEX(tblPiNAnalysis[[CCCM]:[WASH]],0,MATCH($A11,tblPiNAnalysis[[#Headers],[CCCM]:[WASH]],0))))</f>
        <v>0.53442645515181053</v>
      </c>
      <c r="C11" s="179">
        <f>IF(OR($A11=C$3,C$3="",$A11=""),"",CORREL(INDEX(tblPiNAnalysis[[CCCM]:[WASH]],0,MATCH(C$3,tblPiNAnalysis[[#Headers],[CCCM]:[WASH]],0)),INDEX(tblPiNAnalysis[[CCCM]:[WASH]],0,MATCH($A11,tblPiNAnalysis[[#Headers],[CCCM]:[WASH]],0))))</f>
        <v>4.5757159248465643E-2</v>
      </c>
      <c r="D11" s="179">
        <f>IF(OR($A11=D$3,D$3="",$A11=""),"",CORREL(INDEX(tblPiNAnalysis[[CCCM]:[WASH]],0,MATCH(D$3,tblPiNAnalysis[[#Headers],[CCCM]:[WASH]],0)),INDEX(tblPiNAnalysis[[CCCM]:[WASH]],0,MATCH($A11,tblPiNAnalysis[[#Headers],[CCCM]:[WASH]],0))))</f>
        <v>9.2314897672666735E-2</v>
      </c>
      <c r="E11" s="179">
        <f>IF(OR($A11=E$3,E$3="",$A11=""),"",CORREL(INDEX(tblPiNAnalysis[[CCCM]:[WASH]],0,MATCH(E$3,tblPiNAnalysis[[#Headers],[CCCM]:[WASH]],0)),INDEX(tblPiNAnalysis[[CCCM]:[WASH]],0,MATCH($A11,tblPiNAnalysis[[#Headers],[CCCM]:[WASH]],0))))</f>
        <v>0.16089006252689714</v>
      </c>
      <c r="F11" s="179">
        <f>IF(OR($A11=F$3,F$3="",$A11=""),"",CORREL(INDEX(tblPiNAnalysis[[CCCM]:[WASH]],0,MATCH(F$3,tblPiNAnalysis[[#Headers],[CCCM]:[WASH]],0)),INDEX(tblPiNAnalysis[[CCCM]:[WASH]],0,MATCH($A11,tblPiNAnalysis[[#Headers],[CCCM]:[WASH]],0))))</f>
        <v>0.6075805754275565</v>
      </c>
      <c r="G11" s="179">
        <f>IF(OR($A11=G$3,G$3="",$A11=""),"",CORREL(INDEX(tblPiNAnalysis[[CCCM]:[WASH]],0,MATCH(G$3,tblPiNAnalysis[[#Headers],[CCCM]:[WASH]],0)),INDEX(tblPiNAnalysis[[CCCM]:[WASH]],0,MATCH($A11,tblPiNAnalysis[[#Headers],[CCCM]:[WASH]],0))))</f>
        <v>0.47383887729516611</v>
      </c>
      <c r="H11" s="179">
        <f>IF(OR($A11=H$3,H$3="",$A11=""),"",CORREL(INDEX(tblPiNAnalysis[[CCCM]:[WASH]],0,MATCH(H$3,tblPiNAnalysis[[#Headers],[CCCM]:[WASH]],0)),INDEX(tblPiNAnalysis[[CCCM]:[WASH]],0,MATCH($A11,tblPiNAnalysis[[#Headers],[CCCM]:[WASH]],0))))</f>
        <v>0.47926994902849068</v>
      </c>
      <c r="I11" s="177" t="str">
        <f>IF(OR($A11=I$3,I$3="",$A11=""),"",CORREL(INDEX(tblPiNAnalysis[[CCCM]:[WASH]],0,MATCH(I$3,tblPiNAnalysis[[#Headers],[CCCM]:[WASH]],0)),INDEX(tblPiNAnalysis[[CCCM]:[WASH]],0,MATCH($A11,tblPiNAnalysis[[#Headers],[CCCM]:[WASH]],0))))</f>
        <v/>
      </c>
      <c r="J11" s="177"/>
      <c r="K11" s="177"/>
      <c r="L11" s="177"/>
      <c r="M11" s="183"/>
      <c r="N11" s="182" t="str">
        <v>WASH</v>
      </c>
      <c r="O11" s="179">
        <f>IF(OR($N11=O$3,O$3="",$N11=""),"",CORREL(INDEX(tblSeverityAnalysis[[CCCM]:[WASH]],0,MATCH(O$3,tblSeverityAnalysis[[#Headers],[CCCM]:[WASH]],0)),INDEX(tblSeverityAnalysis[[CCCM]:[WASH]],0,MATCH($N11,tblSeverityAnalysis[[#Headers],[CCCM]:[WASH]],0))))</f>
        <v>0.28977485337560765</v>
      </c>
      <c r="P11" s="179">
        <f>IF(OR($N11=P$3,P$3="",$N11=""),"",CORREL(INDEX(tblSeverityAnalysis[[CCCM]:[WASH]],0,MATCH(P$3,tblSeverityAnalysis[[#Headers],[CCCM]:[WASH]],0)),INDEX(tblSeverityAnalysis[[CCCM]:[WASH]],0,MATCH($N11,tblSeverityAnalysis[[#Headers],[CCCM]:[WASH]],0))))</f>
        <v>0.22473328748774735</v>
      </c>
      <c r="Q11" s="179">
        <f>IF(OR($N11=Q$3,Q$3="",$N11=""),"",CORREL(INDEX(tblSeverityAnalysis[[CCCM]:[WASH]],0,MATCH(Q$3,tblSeverityAnalysis[[#Headers],[CCCM]:[WASH]],0)),INDEX(tblSeverityAnalysis[[CCCM]:[WASH]],0,MATCH($N11,tblSeverityAnalysis[[#Headers],[CCCM]:[WASH]],0))))</f>
        <v>-4.2853884544995141E-2</v>
      </c>
      <c r="R11" s="179">
        <f>IF(OR($N11=R$3,R$3="",$N11=""),"",CORREL(INDEX(tblSeverityAnalysis[[CCCM]:[WASH]],0,MATCH(R$3,tblSeverityAnalysis[[#Headers],[CCCM]:[WASH]],0)),INDEX(tblSeverityAnalysis[[CCCM]:[WASH]],0,MATCH($N11,tblSeverityAnalysis[[#Headers],[CCCM]:[WASH]],0))))</f>
        <v>0.20513375204525766</v>
      </c>
      <c r="S11" s="179">
        <f>IF(OR($N11=S$3,S$3="",$N11=""),"",CORREL(INDEX(tblSeverityAnalysis[[CCCM]:[WASH]],0,MATCH(S$3,tblSeverityAnalysis[[#Headers],[CCCM]:[WASH]],0)),INDEX(tblSeverityAnalysis[[CCCM]:[WASH]],0,MATCH($N11,tblSeverityAnalysis[[#Headers],[CCCM]:[WASH]],0))))</f>
        <v>0.27581219178068456</v>
      </c>
      <c r="T11" s="179">
        <f>IF(OR($N11=T$3,T$3="",$N11=""),"",CORREL(INDEX(tblSeverityAnalysis[[CCCM]:[WASH]],0,MATCH(T$3,tblSeverityAnalysis[[#Headers],[CCCM]:[WASH]],0)),INDEX(tblSeverityAnalysis[[CCCM]:[WASH]],0,MATCH($N11,tblSeverityAnalysis[[#Headers],[CCCM]:[WASH]],0))))</f>
        <v>0.38189172126783938</v>
      </c>
      <c r="U11" s="179">
        <f>IF(OR($N11=U$3,U$3="",$N11=""),"",CORREL(INDEX(tblSeverityAnalysis[[CCCM]:[WASH]],0,MATCH(U$3,tblSeverityAnalysis[[#Headers],[CCCM]:[WASH]],0)),INDEX(tblSeverityAnalysis[[CCCM]:[WASH]],0,MATCH($N11,tblSeverityAnalysis[[#Headers],[CCCM]:[WASH]],0))))</f>
        <v>0.17910620335162067</v>
      </c>
      <c r="V11" s="177" t="str">
        <f>IF(OR($A11=V$3,V$3="",$A11=""),"",CORREL(INDEX(tblPiNAnalysis[[CCCM]:[WASH]],0,MATCH(V$3,tblPiNAnalysis[[#Headers],[CCCM]:[WASH]],0)),INDEX(tblPiNAnalysis[[CCCM]:[WASH]],0,MATCH($A11,tblPiNAnalysis[[#Headers],[CCCM]:[WASH]],0))))</f>
        <v/>
      </c>
      <c r="W11" s="177"/>
      <c r="X11" s="177"/>
      <c r="Y11" s="177"/>
    </row>
    <row r="12" spans="1:25" ht="37.5" customHeight="1">
      <c r="A12" s="182"/>
      <c r="B12" s="179" t="str">
        <f>IF(OR($A12=B$3,B$3="",$A12=""),"",CORREL(INDEX(tblPiNAnalysis[[CCCM]:[WASH]],0,MATCH(B$3,tblPiNAnalysis[[#Headers],[CCCM]:[WASH]],0)),INDEX(tblPiNAnalysis[[CCCM]:[WASH]],0,MATCH($A12,tblPiNAnalysis[[#Headers],[CCCM]:[WASH]],0))))</f>
        <v/>
      </c>
      <c r="C12" s="179" t="str">
        <f>IF(OR($A12=C$3,C$3="",$A12=""),"",CORREL(INDEX(tblPiNAnalysis[[CCCM]:[WASH]],0,MATCH(C$3,tblPiNAnalysis[[#Headers],[CCCM]:[WASH]],0)),INDEX(tblPiNAnalysis[[CCCM]:[WASH]],0,MATCH($A12,tblPiNAnalysis[[#Headers],[CCCM]:[WASH]],0))))</f>
        <v/>
      </c>
      <c r="D12" s="179" t="str">
        <f>IF(OR($A12=D$3,D$3="",$A12=""),"",CORREL(INDEX(tblPiNAnalysis[[CCCM]:[WASH]],0,MATCH(D$3,tblPiNAnalysis[[#Headers],[CCCM]:[WASH]],0)),INDEX(tblPiNAnalysis[[CCCM]:[WASH]],0,MATCH($A12,tblPiNAnalysis[[#Headers],[CCCM]:[WASH]],0))))</f>
        <v/>
      </c>
      <c r="E12" s="179" t="str">
        <f>IF(OR($A12=E$3,E$3="",$A12=""),"",CORREL(INDEX(tblPiNAnalysis[[CCCM]:[WASH]],0,MATCH(E$3,tblPiNAnalysis[[#Headers],[CCCM]:[WASH]],0)),INDEX(tblPiNAnalysis[[CCCM]:[WASH]],0,MATCH($A12,tblPiNAnalysis[[#Headers],[CCCM]:[WASH]],0))))</f>
        <v/>
      </c>
      <c r="F12" s="179" t="str">
        <f>IF(OR($A12=F$3,F$3="",$A12=""),"",CORREL(INDEX(tblPiNAnalysis[[CCCM]:[WASH]],0,MATCH(F$3,tblPiNAnalysis[[#Headers],[CCCM]:[WASH]],0)),INDEX(tblPiNAnalysis[[CCCM]:[WASH]],0,MATCH($A12,tblPiNAnalysis[[#Headers],[CCCM]:[WASH]],0))))</f>
        <v/>
      </c>
      <c r="G12" s="179" t="str">
        <f>IF(OR($A12=G$3,G$3="",$A12=""),"",CORREL(INDEX(tblPiNAnalysis[[CCCM]:[WASH]],0,MATCH(G$3,tblPiNAnalysis[[#Headers],[CCCM]:[WASH]],0)),INDEX(tblPiNAnalysis[[CCCM]:[WASH]],0,MATCH($A12,tblPiNAnalysis[[#Headers],[CCCM]:[WASH]],0))))</f>
        <v/>
      </c>
      <c r="H12" s="179" t="str">
        <f>IF(OR($A12=H$3,H$3="",$A12=""),"",CORREL(INDEX(tblPiNAnalysis[[CCCM]:[WASH]],0,MATCH(H$3,tblPiNAnalysis[[#Headers],[CCCM]:[WASH]],0)),INDEX(tblPiNAnalysis[[CCCM]:[WASH]],0,MATCH($A12,tblPiNAnalysis[[#Headers],[CCCM]:[WASH]],0))))</f>
        <v/>
      </c>
      <c r="I12" s="177" t="str">
        <f>IF(OR($A12=I$3,I$3="",$A12=""),"",CORREL(INDEX(tblPiNAnalysis[[CCCM]:[WASH]],0,MATCH(I$3,tblPiNAnalysis[[#Headers],[CCCM]:[WASH]],0)),INDEX(tblPiNAnalysis[[CCCM]:[WASH]],0,MATCH($A12,tblPiNAnalysis[[#Headers],[CCCM]:[WASH]],0))))</f>
        <v/>
      </c>
      <c r="J12" s="177" t="str">
        <f>IF(OR($A12=J$3,J$3="",$A12=""),"",CORREL(INDEX(tblPiNAnalysis[[CCCM]:[WASH]],0,MATCH(J$3,tblPiNAnalysis[[#Headers],[CCCM]:[WASH]],0)),INDEX(tblPiNAnalysis[[CCCM]:[WASH]],0,MATCH($A12,tblPiNAnalysis[[#Headers],[CCCM]:[WASH]],0))))</f>
        <v/>
      </c>
      <c r="K12" s="177"/>
      <c r="L12" s="177"/>
      <c r="M12" s="183"/>
      <c r="N12" s="182"/>
      <c r="O12" s="179" t="str">
        <f>IF(OR($N12=O$3,O$3="",$N12=""),"",CORREL(INDEX(tblSeverityAnalysis[[CCCM]:[WASH]],0,MATCH(O$3,tblSeverityAnalysis[[#Headers],[CCCM]:[WASH]],0)),INDEX(tblSeverityAnalysis[[CCCM]:[WASH]],0,MATCH($N12,tblSeverityAnalysis[[#Headers],[CCCM]:[WASH]],0))))</f>
        <v/>
      </c>
      <c r="P12" s="179" t="str">
        <f>IF(OR($N12=P$3,P$3="",$N12=""),"",CORREL(INDEX(tblSeverityAnalysis[[CCCM]:[WASH]],0,MATCH(P$3,tblSeverityAnalysis[[#Headers],[CCCM]:[WASH]],0)),INDEX(tblSeverityAnalysis[[CCCM]:[WASH]],0,MATCH($N12,tblSeverityAnalysis[[#Headers],[CCCM]:[WASH]],0))))</f>
        <v/>
      </c>
      <c r="Q12" s="179" t="str">
        <f>IF(OR($N12=Q$3,Q$3="",$N12=""),"",CORREL(INDEX(tblSeverityAnalysis[[CCCM]:[WASH]],0,MATCH(Q$3,tblSeverityAnalysis[[#Headers],[CCCM]:[WASH]],0)),INDEX(tblSeverityAnalysis[[CCCM]:[WASH]],0,MATCH($N12,tblSeverityAnalysis[[#Headers],[CCCM]:[WASH]],0))))</f>
        <v/>
      </c>
      <c r="R12" s="179" t="str">
        <f>IF(OR($N12=R$3,R$3="",$N12=""),"",CORREL(INDEX(tblSeverityAnalysis[[CCCM]:[WASH]],0,MATCH(R$3,tblSeverityAnalysis[[#Headers],[CCCM]:[WASH]],0)),INDEX(tblSeverityAnalysis[[CCCM]:[WASH]],0,MATCH($N12,tblSeverityAnalysis[[#Headers],[CCCM]:[WASH]],0))))</f>
        <v/>
      </c>
      <c r="S12" s="179" t="str">
        <f>IF(OR($N12=S$3,S$3="",$N12=""),"",CORREL(INDEX(tblSeverityAnalysis[[CCCM]:[WASH]],0,MATCH(S$3,tblSeverityAnalysis[[#Headers],[CCCM]:[WASH]],0)),INDEX(tblSeverityAnalysis[[CCCM]:[WASH]],0,MATCH($N12,tblSeverityAnalysis[[#Headers],[CCCM]:[WASH]],0))))</f>
        <v/>
      </c>
      <c r="T12" s="179" t="str">
        <f>IF(OR($N12=T$3,T$3="",$N12=""),"",CORREL(INDEX(tblSeverityAnalysis[[CCCM]:[WASH]],0,MATCH(T$3,tblSeverityAnalysis[[#Headers],[CCCM]:[WASH]],0)),INDEX(tblSeverityAnalysis[[CCCM]:[WASH]],0,MATCH($N12,tblSeverityAnalysis[[#Headers],[CCCM]:[WASH]],0))))</f>
        <v/>
      </c>
      <c r="U12" s="179" t="str">
        <f>IF(OR($N12=U$3,U$3="",$N12=""),"",CORREL(INDEX(tblSeverityAnalysis[[CCCM]:[WASH]],0,MATCH(U$3,tblSeverityAnalysis[[#Headers],[CCCM]:[WASH]],0)),INDEX(tblSeverityAnalysis[[CCCM]:[WASH]],0,MATCH($N12,tblSeverityAnalysis[[#Headers],[CCCM]:[WASH]],0))))</f>
        <v/>
      </c>
      <c r="V12" s="177" t="str">
        <f>IF(OR($A12=V$3,V$3="",$A12=""),"",CORREL(INDEX(tblPiNAnalysis[[CCCM]:[WASH]],0,MATCH(V$3,tblPiNAnalysis[[#Headers],[CCCM]:[WASH]],0)),INDEX(tblPiNAnalysis[[CCCM]:[WASH]],0,MATCH($A12,tblPiNAnalysis[[#Headers],[CCCM]:[WASH]],0))))</f>
        <v/>
      </c>
      <c r="W12" s="177" t="str">
        <f>IF(OR($A12=W$3,W$3="",$A12=""),"",CORREL(INDEX(tblPiNAnalysis[[CCCM]:[WASH]],0,MATCH(W$3,tblPiNAnalysis[[#Headers],[CCCM]:[WASH]],0)),INDEX(tblPiNAnalysis[[CCCM]:[WASH]],0,MATCH($A12,tblPiNAnalysis[[#Headers],[CCCM]:[WASH]],0))))</f>
        <v/>
      </c>
      <c r="X12" s="177"/>
      <c r="Y12" s="177"/>
    </row>
    <row r="13" spans="1:25" ht="37.5" customHeight="1">
      <c r="A13" s="182"/>
      <c r="B13" s="179" t="str">
        <f>IF(OR($A13=B$3,B$3="",$A13=""),"",CORREL(INDEX(tblPiNAnalysis[[CCCM]:[WASH]],0,MATCH(B$3,tblPiNAnalysis[[#Headers],[CCCM]:[WASH]],0)),INDEX(tblPiNAnalysis[[CCCM]:[WASH]],0,MATCH($A13,tblPiNAnalysis[[#Headers],[CCCM]:[WASH]],0))))</f>
        <v/>
      </c>
      <c r="C13" s="179" t="str">
        <f>IF(OR($A13=C$3,C$3="",$A13=""),"",CORREL(INDEX(tblPiNAnalysis[[CCCM]:[WASH]],0,MATCH(C$3,tblPiNAnalysis[[#Headers],[CCCM]:[WASH]],0)),INDEX(tblPiNAnalysis[[CCCM]:[WASH]],0,MATCH($A13,tblPiNAnalysis[[#Headers],[CCCM]:[WASH]],0))))</f>
        <v/>
      </c>
      <c r="D13" s="179" t="str">
        <f>IF(OR($A13=D$3,D$3="",$A13=""),"",CORREL(INDEX(tblPiNAnalysis[[CCCM]:[WASH]],0,MATCH(D$3,tblPiNAnalysis[[#Headers],[CCCM]:[WASH]],0)),INDEX(tblPiNAnalysis[[CCCM]:[WASH]],0,MATCH($A13,tblPiNAnalysis[[#Headers],[CCCM]:[WASH]],0))))</f>
        <v/>
      </c>
      <c r="E13" s="179" t="str">
        <f>IF(OR($A13=E$3,E$3="",$A13=""),"",CORREL(INDEX(tblPiNAnalysis[[CCCM]:[WASH]],0,MATCH(E$3,tblPiNAnalysis[[#Headers],[CCCM]:[WASH]],0)),INDEX(tblPiNAnalysis[[CCCM]:[WASH]],0,MATCH($A13,tblPiNAnalysis[[#Headers],[CCCM]:[WASH]],0))))</f>
        <v/>
      </c>
      <c r="F13" s="179" t="str">
        <f>IF(OR($A13=F$3,F$3="",$A13=""),"",CORREL(INDEX(tblPiNAnalysis[[CCCM]:[WASH]],0,MATCH(F$3,tblPiNAnalysis[[#Headers],[CCCM]:[WASH]],0)),INDEX(tblPiNAnalysis[[CCCM]:[WASH]],0,MATCH($A13,tblPiNAnalysis[[#Headers],[CCCM]:[WASH]],0))))</f>
        <v/>
      </c>
      <c r="G13" s="179" t="str">
        <f>IF(OR($A13=G$3,G$3="",$A13=""),"",CORREL(INDEX(tblPiNAnalysis[[CCCM]:[WASH]],0,MATCH(G$3,tblPiNAnalysis[[#Headers],[CCCM]:[WASH]],0)),INDEX(tblPiNAnalysis[[CCCM]:[WASH]],0,MATCH($A13,tblPiNAnalysis[[#Headers],[CCCM]:[WASH]],0))))</f>
        <v/>
      </c>
      <c r="H13" s="179" t="str">
        <f>IF(OR($A13=H$3,H$3="",$A13=""),"",CORREL(INDEX(tblPiNAnalysis[[CCCM]:[WASH]],0,MATCH(H$3,tblPiNAnalysis[[#Headers],[CCCM]:[WASH]],0)),INDEX(tblPiNAnalysis[[CCCM]:[WASH]],0,MATCH($A13,tblPiNAnalysis[[#Headers],[CCCM]:[WASH]],0))))</f>
        <v/>
      </c>
      <c r="I13" s="177" t="str">
        <f>IF(OR($A13=I$3,I$3="",$A13=""),"",CORREL(INDEX(tblPiNAnalysis[[CCCM]:[WASH]],0,MATCH(I$3,tblPiNAnalysis[[#Headers],[CCCM]:[WASH]],0)),INDEX(tblPiNAnalysis[[CCCM]:[WASH]],0,MATCH($A13,tblPiNAnalysis[[#Headers],[CCCM]:[WASH]],0))))</f>
        <v/>
      </c>
      <c r="J13" s="177" t="str">
        <f>IF(OR($A13=J$3,J$3="",$A13=""),"",CORREL(INDEX(tblPiNAnalysis[[CCCM]:[WASH]],0,MATCH(J$3,tblPiNAnalysis[[#Headers],[CCCM]:[WASH]],0)),INDEX(tblPiNAnalysis[[CCCM]:[WASH]],0,MATCH($A13,tblPiNAnalysis[[#Headers],[CCCM]:[WASH]],0))))</f>
        <v/>
      </c>
      <c r="K13" s="177" t="str">
        <f>IF(OR($A13=K$3,K$3="",$A13=""),"",CORREL(INDEX(tblPiNAnalysis[[CCCM]:[WASH]],0,MATCH(K$3,tblPiNAnalysis[[#Headers],[CCCM]:[WASH]],0)),INDEX(tblPiNAnalysis[[CCCM]:[WASH]],0,MATCH($A13,tblPiNAnalysis[[#Headers],[CCCM]:[WASH]],0))))</f>
        <v/>
      </c>
      <c r="L13" s="177"/>
      <c r="M13" s="183"/>
      <c r="N13" s="182"/>
      <c r="O13" s="179" t="str">
        <f>IF(OR($N13=O$3,O$3="",$N13=""),"",CORREL(INDEX(tblSeverityAnalysis[[CCCM]:[WASH]],0,MATCH(O$3,tblSeverityAnalysis[[#Headers],[CCCM]:[WASH]],0)),INDEX(tblSeverityAnalysis[[CCCM]:[WASH]],0,MATCH($N13,tblSeverityAnalysis[[#Headers],[CCCM]:[WASH]],0))))</f>
        <v/>
      </c>
      <c r="P13" s="179" t="str">
        <f>IF(OR($N13=P$3,P$3="",$N13=""),"",CORREL(INDEX(tblSeverityAnalysis[[CCCM]:[WASH]],0,MATCH(P$3,tblSeverityAnalysis[[#Headers],[CCCM]:[WASH]],0)),INDEX(tblSeverityAnalysis[[CCCM]:[WASH]],0,MATCH($N13,tblSeverityAnalysis[[#Headers],[CCCM]:[WASH]],0))))</f>
        <v/>
      </c>
      <c r="Q13" s="179" t="str">
        <f>IF(OR($N13=Q$3,Q$3="",$N13=""),"",CORREL(INDEX(tblSeverityAnalysis[[CCCM]:[WASH]],0,MATCH(Q$3,tblSeverityAnalysis[[#Headers],[CCCM]:[WASH]],0)),INDEX(tblSeverityAnalysis[[CCCM]:[WASH]],0,MATCH($N13,tblSeverityAnalysis[[#Headers],[CCCM]:[WASH]],0))))</f>
        <v/>
      </c>
      <c r="R13" s="179" t="str">
        <f>IF(OR($N13=R$3,R$3="",$N13=""),"",CORREL(INDEX(tblSeverityAnalysis[[CCCM]:[WASH]],0,MATCH(R$3,tblSeverityAnalysis[[#Headers],[CCCM]:[WASH]],0)),INDEX(tblSeverityAnalysis[[CCCM]:[WASH]],0,MATCH($N13,tblSeverityAnalysis[[#Headers],[CCCM]:[WASH]],0))))</f>
        <v/>
      </c>
      <c r="S13" s="179" t="str">
        <f>IF(OR($N13=S$3,S$3="",$N13=""),"",CORREL(INDEX(tblSeverityAnalysis[[CCCM]:[WASH]],0,MATCH(S$3,tblSeverityAnalysis[[#Headers],[CCCM]:[WASH]],0)),INDEX(tblSeverityAnalysis[[CCCM]:[WASH]],0,MATCH($N13,tblSeverityAnalysis[[#Headers],[CCCM]:[WASH]],0))))</f>
        <v/>
      </c>
      <c r="T13" s="179" t="str">
        <f>IF(OR($N13=T$3,T$3="",$N13=""),"",CORREL(INDEX(tblSeverityAnalysis[[CCCM]:[WASH]],0,MATCH(T$3,tblSeverityAnalysis[[#Headers],[CCCM]:[WASH]],0)),INDEX(tblSeverityAnalysis[[CCCM]:[WASH]],0,MATCH($N13,tblSeverityAnalysis[[#Headers],[CCCM]:[WASH]],0))))</f>
        <v/>
      </c>
      <c r="U13" s="179" t="str">
        <f>IF(OR($N13=U$3,U$3="",$N13=""),"",CORREL(INDEX(tblSeverityAnalysis[[CCCM]:[WASH]],0,MATCH(U$3,tblSeverityAnalysis[[#Headers],[CCCM]:[WASH]],0)),INDEX(tblSeverityAnalysis[[CCCM]:[WASH]],0,MATCH($N13,tblSeverityAnalysis[[#Headers],[CCCM]:[WASH]],0))))</f>
        <v/>
      </c>
      <c r="V13" s="177" t="str">
        <f>IF(OR($A13=V$3,V$3="",$A13=""),"",CORREL(INDEX(tblPiNAnalysis[[CCCM]:[WASH]],0,MATCH(V$3,tblPiNAnalysis[[#Headers],[CCCM]:[WASH]],0)),INDEX(tblPiNAnalysis[[CCCM]:[WASH]],0,MATCH($A13,tblPiNAnalysis[[#Headers],[CCCM]:[WASH]],0))))</f>
        <v/>
      </c>
      <c r="W13" s="177" t="str">
        <f>IF(OR($A13=W$3,W$3="",$A13=""),"",CORREL(INDEX(tblPiNAnalysis[[CCCM]:[WASH]],0,MATCH(W$3,tblPiNAnalysis[[#Headers],[CCCM]:[WASH]],0)),INDEX(tblPiNAnalysis[[CCCM]:[WASH]],0,MATCH($A13,tblPiNAnalysis[[#Headers],[CCCM]:[WASH]],0))))</f>
        <v/>
      </c>
      <c r="X13" s="177" t="str">
        <f>IF(OR($A13=X$3,X$3="",$A13=""),"",CORREL(INDEX(tblPiNAnalysis[[CCCM]:[WASH]],0,MATCH(X$3,tblPiNAnalysis[[#Headers],[CCCM]:[WASH]],0)),INDEX(tblPiNAnalysis[[CCCM]:[WASH]],0,MATCH($A13,tblPiNAnalysis[[#Headers],[CCCM]:[WASH]],0))))</f>
        <v/>
      </c>
      <c r="Y13" s="177"/>
    </row>
    <row r="14" spans="1:25" ht="37.5" customHeight="1">
      <c r="A14" s="182"/>
      <c r="B14" s="179" t="str">
        <f>IF(OR($A14=B$3,B$3="",$A14=""),"",CORREL(INDEX(tblPiNAnalysis[[CCCM]:[WASH]],0,MATCH(B$3,tblPiNAnalysis[[#Headers],[CCCM]:[WASH]],0)),INDEX(tblPiNAnalysis[[CCCM]:[WASH]],0,MATCH($A14,tblPiNAnalysis[[#Headers],[CCCM]:[WASH]],0))))</f>
        <v/>
      </c>
      <c r="C14" s="179" t="str">
        <f>IF(OR($A14=C$3,C$3="",$A14=""),"",CORREL(INDEX(tblPiNAnalysis[[CCCM]:[WASH]],0,MATCH(C$3,tblPiNAnalysis[[#Headers],[CCCM]:[WASH]],0)),INDEX(tblPiNAnalysis[[CCCM]:[WASH]],0,MATCH($A14,tblPiNAnalysis[[#Headers],[CCCM]:[WASH]],0))))</f>
        <v/>
      </c>
      <c r="D14" s="179" t="str">
        <f>IF(OR($A14=D$3,D$3="",$A14=""),"",CORREL(INDEX(tblPiNAnalysis[[CCCM]:[WASH]],0,MATCH(D$3,tblPiNAnalysis[[#Headers],[CCCM]:[WASH]],0)),INDEX(tblPiNAnalysis[[CCCM]:[WASH]],0,MATCH($A14,tblPiNAnalysis[[#Headers],[CCCM]:[WASH]],0))))</f>
        <v/>
      </c>
      <c r="E14" s="179" t="str">
        <f>IF(OR($A14=E$3,E$3="",$A14=""),"",CORREL(INDEX(tblPiNAnalysis[[CCCM]:[WASH]],0,MATCH(E$3,tblPiNAnalysis[[#Headers],[CCCM]:[WASH]],0)),INDEX(tblPiNAnalysis[[CCCM]:[WASH]],0,MATCH($A14,tblPiNAnalysis[[#Headers],[CCCM]:[WASH]],0))))</f>
        <v/>
      </c>
      <c r="F14" s="179" t="str">
        <f>IF(OR($A14=F$3,F$3="",$A14=""),"",CORREL(INDEX(tblPiNAnalysis[[CCCM]:[WASH]],0,MATCH(F$3,tblPiNAnalysis[[#Headers],[CCCM]:[WASH]],0)),INDEX(tblPiNAnalysis[[CCCM]:[WASH]],0,MATCH($A14,tblPiNAnalysis[[#Headers],[CCCM]:[WASH]],0))))</f>
        <v/>
      </c>
      <c r="G14" s="179" t="str">
        <f>IF(OR($A14=G$3,G$3="",$A14=""),"",CORREL(INDEX(tblPiNAnalysis[[CCCM]:[WASH]],0,MATCH(G$3,tblPiNAnalysis[[#Headers],[CCCM]:[WASH]],0)),INDEX(tblPiNAnalysis[[CCCM]:[WASH]],0,MATCH($A14,tblPiNAnalysis[[#Headers],[CCCM]:[WASH]],0))))</f>
        <v/>
      </c>
      <c r="H14" s="179" t="str">
        <f>IF(OR($A14=H$3,H$3="",$A14=""),"",CORREL(INDEX(tblPiNAnalysis[[CCCM]:[WASH]],0,MATCH(H$3,tblPiNAnalysis[[#Headers],[CCCM]:[WASH]],0)),INDEX(tblPiNAnalysis[[CCCM]:[WASH]],0,MATCH($A14,tblPiNAnalysis[[#Headers],[CCCM]:[WASH]],0))))</f>
        <v/>
      </c>
      <c r="I14" s="177" t="str">
        <f>IF(OR($A14=I$3,I$3="",$A14=""),"",CORREL(INDEX(tblPiNAnalysis[[CCCM]:[WASH]],0,MATCH(I$3,tblPiNAnalysis[[#Headers],[CCCM]:[WASH]],0)),INDEX(tblPiNAnalysis[[CCCM]:[WASH]],0,MATCH($A14,tblPiNAnalysis[[#Headers],[CCCM]:[WASH]],0))))</f>
        <v/>
      </c>
      <c r="J14" s="177" t="str">
        <f>IF(OR($A14=J$3,J$3="",$A14=""),"",CORREL(INDEX(tblPiNAnalysis[[CCCM]:[WASH]],0,MATCH(J$3,tblPiNAnalysis[[#Headers],[CCCM]:[WASH]],0)),INDEX(tblPiNAnalysis[[CCCM]:[WASH]],0,MATCH($A14,tblPiNAnalysis[[#Headers],[CCCM]:[WASH]],0))))</f>
        <v/>
      </c>
      <c r="K14" s="177" t="str">
        <f>IF(OR($A14=K$3,K$3="",$A14=""),"",CORREL(INDEX(tblPiNAnalysis[[CCCM]:[WASH]],0,MATCH(K$3,tblPiNAnalysis[[#Headers],[CCCM]:[WASH]],0)),INDEX(tblPiNAnalysis[[CCCM]:[WASH]],0,MATCH($A14,tblPiNAnalysis[[#Headers],[CCCM]:[WASH]],0))))</f>
        <v/>
      </c>
      <c r="L14" s="177" t="str">
        <f>IF(OR($A14=L$3,L$3="",$A14=""),"",CORREL(INDEX(tblPiNAnalysis[[CCCM]:[WASH]],0,MATCH(L$3,tblPiNAnalysis[[#Headers],[CCCM]:[WASH]],0)),INDEX(tblPiNAnalysis[[CCCM]:[WASH]],0,MATCH($A14,tblPiNAnalysis[[#Headers],[CCCM]:[WASH]],0))))</f>
        <v/>
      </c>
      <c r="M14" s="183"/>
      <c r="N14" s="182"/>
      <c r="O14" s="179" t="str">
        <f>IF(OR($N14=O$3,O$3="",$N14=""),"",CORREL(INDEX(tblSeverityAnalysis[[CCCM]:[WASH]],0,MATCH(O$3,tblSeverityAnalysis[[#Headers],[CCCM]:[WASH]],0)),INDEX(tblSeverityAnalysis[[CCCM]:[WASH]],0,MATCH($N14,tblSeverityAnalysis[[#Headers],[CCCM]:[WASH]],0))))</f>
        <v/>
      </c>
      <c r="P14" s="179" t="str">
        <f>IF(OR($N14=P$3,P$3="",$N14=""),"",CORREL(INDEX(tblSeverityAnalysis[[CCCM]:[WASH]],0,MATCH(P$3,tblSeverityAnalysis[[#Headers],[CCCM]:[WASH]],0)),INDEX(tblSeverityAnalysis[[CCCM]:[WASH]],0,MATCH($N14,tblSeverityAnalysis[[#Headers],[CCCM]:[WASH]],0))))</f>
        <v/>
      </c>
      <c r="Q14" s="179" t="str">
        <f>IF(OR($N14=Q$3,Q$3="",$N14=""),"",CORREL(INDEX(tblSeverityAnalysis[[CCCM]:[WASH]],0,MATCH(Q$3,tblSeverityAnalysis[[#Headers],[CCCM]:[WASH]],0)),INDEX(tblSeverityAnalysis[[CCCM]:[WASH]],0,MATCH($N14,tblSeverityAnalysis[[#Headers],[CCCM]:[WASH]],0))))</f>
        <v/>
      </c>
      <c r="R14" s="179" t="str">
        <f>IF(OR($N14=R$3,R$3="",$N14=""),"",CORREL(INDEX(tblSeverityAnalysis[[CCCM]:[WASH]],0,MATCH(R$3,tblSeverityAnalysis[[#Headers],[CCCM]:[WASH]],0)),INDEX(tblSeverityAnalysis[[CCCM]:[WASH]],0,MATCH($N14,tblSeverityAnalysis[[#Headers],[CCCM]:[WASH]],0))))</f>
        <v/>
      </c>
      <c r="S14" s="179" t="str">
        <f>IF(OR($N14=S$3,S$3="",$N14=""),"",CORREL(INDEX(tblSeverityAnalysis[[CCCM]:[WASH]],0,MATCH(S$3,tblSeverityAnalysis[[#Headers],[CCCM]:[WASH]],0)),INDEX(tblSeverityAnalysis[[CCCM]:[WASH]],0,MATCH($N14,tblSeverityAnalysis[[#Headers],[CCCM]:[WASH]],0))))</f>
        <v/>
      </c>
      <c r="T14" s="179" t="str">
        <f>IF(OR($N14=T$3,T$3="",$N14=""),"",CORREL(INDEX(tblSeverityAnalysis[[CCCM]:[WASH]],0,MATCH(T$3,tblSeverityAnalysis[[#Headers],[CCCM]:[WASH]],0)),INDEX(tblSeverityAnalysis[[CCCM]:[WASH]],0,MATCH($N14,tblSeverityAnalysis[[#Headers],[CCCM]:[WASH]],0))))</f>
        <v/>
      </c>
      <c r="U14" s="179" t="str">
        <f>IF(OR($N14=U$3,U$3="",$N14=""),"",CORREL(INDEX(tblSeverityAnalysis[[CCCM]:[WASH]],0,MATCH(U$3,tblSeverityAnalysis[[#Headers],[CCCM]:[WASH]],0)),INDEX(tblSeverityAnalysis[[CCCM]:[WASH]],0,MATCH($N14,tblSeverityAnalysis[[#Headers],[CCCM]:[WASH]],0))))</f>
        <v/>
      </c>
      <c r="V14" s="177" t="str">
        <f>IF(OR($A14=V$3,V$3="",$A14=""),"",CORREL(INDEX(tblPiNAnalysis[[CCCM]:[WASH]],0,MATCH(V$3,tblPiNAnalysis[[#Headers],[CCCM]:[WASH]],0)),INDEX(tblPiNAnalysis[[CCCM]:[WASH]],0,MATCH($A14,tblPiNAnalysis[[#Headers],[CCCM]:[WASH]],0))))</f>
        <v/>
      </c>
      <c r="W14" s="177" t="str">
        <f>IF(OR($A14=W$3,W$3="",$A14=""),"",CORREL(INDEX(tblPiNAnalysis[[CCCM]:[WASH]],0,MATCH(W$3,tblPiNAnalysis[[#Headers],[CCCM]:[WASH]],0)),INDEX(tblPiNAnalysis[[CCCM]:[WASH]],0,MATCH($A14,tblPiNAnalysis[[#Headers],[CCCM]:[WASH]],0))))</f>
        <v/>
      </c>
      <c r="X14" s="177" t="str">
        <f>IF(OR($A14=X$3,X$3="",$A14=""),"",CORREL(INDEX(tblPiNAnalysis[[CCCM]:[WASH]],0,MATCH(X$3,tblPiNAnalysis[[#Headers],[CCCM]:[WASH]],0)),INDEX(tblPiNAnalysis[[CCCM]:[WASH]],0,MATCH($A14,tblPiNAnalysis[[#Headers],[CCCM]:[WASH]],0))))</f>
        <v/>
      </c>
      <c r="Y14" s="177" t="str">
        <f>IF(OR($A14=Y$3,Y$3="",$A14=""),"",CORREL(INDEX(tblPiNAnalysis[[CCCM]:[WASH]],0,MATCH(Y$3,tblPiNAnalysis[[#Headers],[CCCM]:[WASH]],0)),INDEX(tblPiNAnalysis[[CCCM]:[WASH]],0,MATCH($A14,tblPiNAnalysis[[#Headers],[CCCM]:[WASH]],0))))</f>
        <v/>
      </c>
    </row>
    <row r="15" spans="1:25">
      <c r="M15" s="183"/>
    </row>
  </sheetData>
  <mergeCells count="2">
    <mergeCell ref="C1:G2"/>
    <mergeCell ref="P1:T2"/>
  </mergeCells>
  <conditionalFormatting sqref="A4:A14">
    <cfRule type="notContainsBlanks" dxfId="17" priority="5">
      <formula>LEN(TRIM(A4))&gt;0</formula>
    </cfRule>
  </conditionalFormatting>
  <conditionalFormatting sqref="B3:L3">
    <cfRule type="notContainsBlanks" dxfId="16" priority="7">
      <formula>LEN(TRIM(B3))&gt;0</formula>
    </cfRule>
  </conditionalFormatting>
  <conditionalFormatting sqref="B4:L14">
    <cfRule type="notContainsBlanks" dxfId="15" priority="6">
      <formula>LEN(TRIM(B4))&gt;0</formula>
    </cfRule>
    <cfRule type="colorScale" priority="9">
      <colorScale>
        <cfvo type="min"/>
        <cfvo type="max"/>
        <color theme="8" tint="0.79998168889431442"/>
        <color theme="8" tint="-0.249977111117893"/>
      </colorScale>
    </cfRule>
  </conditionalFormatting>
  <conditionalFormatting sqref="N4:N14">
    <cfRule type="notContainsBlanks" dxfId="14" priority="1">
      <formula>LEN(TRIM(N4))&gt;0</formula>
    </cfRule>
  </conditionalFormatting>
  <conditionalFormatting sqref="O3:Y3">
    <cfRule type="notContainsBlanks" dxfId="13" priority="3">
      <formula>LEN(TRIM(O3))&gt;0</formula>
    </cfRule>
  </conditionalFormatting>
  <conditionalFormatting sqref="O4:Y14">
    <cfRule type="notContainsBlanks" dxfId="12" priority="2">
      <formula>LEN(TRIM(O4))&gt;0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1539-7FF3-4509-AEC1-89CC78F7589A}">
  <sheetPr codeName="Sheet11">
    <tabColor rgb="FF00B050"/>
  </sheetPr>
  <dimension ref="A1:Y15"/>
  <sheetViews>
    <sheetView showGridLines="0" zoomScale="80" zoomScaleNormal="80" workbookViewId="0">
      <selection activeCell="AO11" sqref="AO11"/>
    </sheetView>
  </sheetViews>
  <sheetFormatPr defaultRowHeight="14.45"/>
  <cols>
    <col min="1" max="1" width="17.42578125" style="181" customWidth="1"/>
    <col min="2" max="8" width="12.85546875" style="23" customWidth="1"/>
    <col min="9" max="12" width="12.85546875" customWidth="1"/>
    <col min="14" max="14" width="15" customWidth="1"/>
    <col min="15" max="25" width="12.85546875" customWidth="1"/>
  </cols>
  <sheetData>
    <row r="1" spans="1:25" ht="55.5" customHeight="1">
      <c r="A1" s="464" t="s">
        <v>713</v>
      </c>
      <c r="B1" s="464"/>
      <c r="C1" s="464"/>
      <c r="D1" s="464"/>
      <c r="E1" s="464"/>
      <c r="F1" s="464"/>
      <c r="G1" s="464"/>
      <c r="H1" s="464"/>
      <c r="I1" s="464"/>
      <c r="J1" s="464"/>
      <c r="K1" s="464"/>
      <c r="M1" s="183"/>
      <c r="N1" s="463" t="s">
        <v>714</v>
      </c>
      <c r="O1" s="463"/>
      <c r="P1" s="463"/>
      <c r="Q1" s="463"/>
      <c r="R1" s="463"/>
      <c r="S1" s="463"/>
      <c r="T1" s="463"/>
      <c r="U1" s="463"/>
      <c r="V1" s="463"/>
      <c r="W1" s="463"/>
      <c r="X1" s="463"/>
      <c r="Y1" s="463"/>
    </row>
    <row r="2" spans="1:25" ht="55.5" customHeight="1">
      <c r="A2" s="464"/>
      <c r="B2" s="464"/>
      <c r="C2" s="464"/>
      <c r="D2" s="464"/>
      <c r="E2" s="464"/>
      <c r="F2" s="464"/>
      <c r="G2" s="464"/>
      <c r="H2" s="464"/>
      <c r="I2" s="464"/>
      <c r="J2" s="464"/>
      <c r="K2" s="464"/>
      <c r="M2" s="183"/>
      <c r="N2" s="463"/>
      <c r="O2" s="463"/>
      <c r="P2" s="463"/>
      <c r="Q2" s="463"/>
      <c r="R2" s="463"/>
      <c r="S2" s="463"/>
      <c r="T2" s="463"/>
      <c r="U2" s="463"/>
      <c r="V2" s="463"/>
      <c r="W2" s="463"/>
      <c r="X2" s="463"/>
      <c r="Y2" s="463"/>
    </row>
    <row r="3" spans="1:25" ht="50.25" customHeight="1">
      <c r="A3" s="178"/>
      <c r="B3" s="185" t="str" cm="1">
        <f t="array" ref="B3:I3">_xlfn.UNIQUE(tblPiNAnalysis[[#Headers],[CCCM]:[WASH]])</f>
        <v>CCCM</v>
      </c>
      <c r="C3" s="185" t="str">
        <v>Education</v>
      </c>
      <c r="D3" s="185" t="str">
        <v>Nutrition</v>
      </c>
      <c r="E3" s="185" t="str">
        <v>Food Security</v>
      </c>
      <c r="F3" s="185" t="str">
        <v>Health</v>
      </c>
      <c r="G3" s="185" t="str">
        <v>Overarching Protection</v>
      </c>
      <c r="H3" s="185" t="str">
        <v>Shelter</v>
      </c>
      <c r="I3" s="182" t="str">
        <v>WASH</v>
      </c>
      <c r="J3" s="182"/>
      <c r="K3" s="182"/>
      <c r="M3" s="183"/>
      <c r="N3" s="178"/>
      <c r="O3" s="182" t="str" cm="1">
        <f t="array" ref="O3:V3">_xlfn.UNIQUE(tblSeverityAnalysis[[#Headers],[CCCM]:[WASH]])</f>
        <v>CCCM</v>
      </c>
      <c r="P3" s="182" t="str">
        <v>Education</v>
      </c>
      <c r="Q3" s="182" t="str">
        <v>Nutrition</v>
      </c>
      <c r="R3" s="182" t="str">
        <v>Food Security</v>
      </c>
      <c r="S3" s="182" t="str">
        <v>Health</v>
      </c>
      <c r="T3" s="182" t="str">
        <v>Overarching Protection</v>
      </c>
      <c r="U3" s="182" t="str">
        <v>Shelter</v>
      </c>
      <c r="V3" s="182" t="str">
        <v>WASH</v>
      </c>
      <c r="W3" s="182"/>
      <c r="X3" s="182"/>
    </row>
    <row r="4" spans="1:25" ht="37.5" customHeight="1">
      <c r="A4" s="182" t="str" cm="1">
        <f t="array" ref="A4:A11">TRANSPOSE(tblPiNAnalysis[[#Headers],[CCCM]:[WASH]])</f>
        <v>CCCM</v>
      </c>
      <c r="B4" s="185" t="str" cm="1">
        <f t="array" ref="B4">IF(OR($A4=B$3,B$3="",$A4=""),"",SUM(IF(ROUND(INDEX(tblPiNAnalysis[[CCCM%]:[WASH%]], 0, MATCH(_xlfn.CONCAT(B$3,"%"), tblPiNAnalysis[[#Headers],[CCCM%]:[WASH%]], 0)), 1)=ROUND(INDEX(tblPiNAnalysis[[CCCM%]:[WASH%]], 0, MATCH(_xlfn.CONCAT($A4,"%"), tblPiNAnalysis[[#Headers],[CCCM%]:[WASH%]], 0)), 1), 1, 0)))</f>
        <v/>
      </c>
      <c r="C4" s="185"/>
      <c r="D4" s="185"/>
      <c r="E4" s="185"/>
      <c r="F4" s="185"/>
      <c r="G4" s="185"/>
      <c r="H4" s="185"/>
      <c r="I4" s="185"/>
      <c r="J4" s="185"/>
      <c r="K4" s="185"/>
      <c r="L4" s="185"/>
      <c r="M4" s="183"/>
      <c r="N4" s="182" t="str" cm="1">
        <f t="array" ref="N4:N11">TRANSPOSE(tblSeverityAnalysis[[#Headers],[CCCM]:[WASH]])</f>
        <v>CCCM</v>
      </c>
      <c r="O4" s="185" t="str" cm="1">
        <f t="array" ref="O4">IF(OR($N4=O$3,O$3="",$N4=""),"",SUM(IF(INDEX(tblSeverityAnalysis[[CCCM]:[WASH]],0,MATCH(O$3,tblSeverityAnalysis[[#Headers],[CCCM]:[WASH]],0))=INDEX(tblSeverityAnalysis[[CCCM]:[WASH]],0,MATCH($N4,tblSeverityAnalysis[[#Headers],[CCCM]:[WASH]],0)), 1, 0)))</f>
        <v/>
      </c>
      <c r="P4" s="185"/>
      <c r="Q4" s="185"/>
      <c r="R4" s="185"/>
      <c r="S4" s="185"/>
      <c r="T4" s="185"/>
      <c r="U4" s="185"/>
      <c r="V4" s="185"/>
      <c r="W4" s="185"/>
      <c r="X4" s="185"/>
      <c r="Y4" s="185"/>
    </row>
    <row r="5" spans="1:25" ht="37.5" customHeight="1">
      <c r="A5" s="182" t="str">
        <v>Education</v>
      </c>
      <c r="B5" s="185" t="e" cm="1">
        <f t="array" ref="B5">IF(OR($A5=B$3,B$3="",$A5=""),"",SUM(IF(ROUND(INDEX(tblPiNAnalysis[[CCCM%]:[WASH%]], 0, MATCH(_xlfn.CONCAT(B$3,"%"), tblPiNAnalysis[[#Headers],[CCCM%]:[WASH%]], 0)), 1)=ROUND(INDEX(tblPiNAnalysis[[CCCM%]:[WASH%]], 0, MATCH(_xlfn.CONCAT($A5,"%"), tblPiNAnalysis[[#Headers],[CCCM%]:[WASH%]], 0)), 1), 1, 0)))</f>
        <v>#VALUE!</v>
      </c>
      <c r="C5" s="185" t="str" cm="1">
        <f t="array" ref="C5">IF(OR($A5=C$3,C$3="",$A5=""),"",SUM(IF(ROUND(INDEX(tblPiNAnalysis[[CCCM%]:[WASH%]], 0, MATCH(_xlfn.CONCAT(C$3,"%"), tblPiNAnalysis[[#Headers],[CCCM%]:[WASH%]], 0)), 1)=ROUND(INDEX(tblPiNAnalysis[[CCCM%]:[WASH%]], 0, MATCH(_xlfn.CONCAT($A5,"%"), tblPiNAnalysis[[#Headers],[CCCM%]:[WASH%]], 0)), 1), 1, 0)))</f>
        <v/>
      </c>
      <c r="D5" s="185"/>
      <c r="E5" s="185"/>
      <c r="F5" s="185"/>
      <c r="G5" s="185"/>
      <c r="H5" s="185"/>
      <c r="I5" s="185"/>
      <c r="J5" s="185"/>
      <c r="K5" s="185"/>
      <c r="L5" s="185"/>
      <c r="M5" s="183"/>
      <c r="N5" s="182" t="str">
        <v>Education</v>
      </c>
      <c r="O5" s="185" cm="1">
        <f t="array" ref="O5">IF(OR($N5=O$3,O$3="",$N5=""),"",SUM(IF(INDEX(tblSeverityAnalysis[[CCCM]:[WASH]],0,MATCH(O$3,tblSeverityAnalysis[[#Headers],[CCCM]:[WASH]],0))=INDEX(tblSeverityAnalysis[[CCCM]:[WASH]],0,MATCH($N5,tblSeverityAnalysis[[#Headers],[CCCM]:[WASH]],0)), 1, 0)))</f>
        <v>150</v>
      </c>
      <c r="P5" s="185" t="str" cm="1">
        <f t="array" ref="P5">IF(OR($N5=P$3,P$3="",$N5=""),"",SUM(IF(INDEX(tblSeverityAnalysis[[CCCM]:[WASH]],0,MATCH(P$3,tblSeverityAnalysis[[#Headers],[CCCM]:[WASH]],0))=INDEX(tblSeverityAnalysis[[CCCM]:[WASH]],0,MATCH($N5,tblSeverityAnalysis[[#Headers],[CCCM]:[WASH]],0)), 1, 0)))</f>
        <v/>
      </c>
      <c r="Q5" s="185"/>
      <c r="R5" s="185"/>
      <c r="S5" s="185"/>
      <c r="T5" s="185"/>
      <c r="U5" s="185"/>
      <c r="V5" s="185"/>
      <c r="W5" s="185"/>
      <c r="X5" s="185"/>
      <c r="Y5" s="185"/>
    </row>
    <row r="6" spans="1:25" ht="37.5" customHeight="1">
      <c r="A6" s="182" t="str">
        <v>Nutrition</v>
      </c>
      <c r="B6" s="185" t="e" cm="1">
        <f t="array" ref="B6">IF(OR($A6=B$3,B$3="",$A6=""),"",SUM(IF(ROUND(INDEX(tblPiNAnalysis[[CCCM%]:[WASH%]], 0, MATCH(_xlfn.CONCAT(B$3,"%"), tblPiNAnalysis[[#Headers],[CCCM%]:[WASH%]], 0)), 1)=ROUND(INDEX(tblPiNAnalysis[[CCCM%]:[WASH%]], 0, MATCH(_xlfn.CONCAT($A6,"%"), tblPiNAnalysis[[#Headers],[CCCM%]:[WASH%]], 0)), 1), 1, 0)))</f>
        <v>#VALUE!</v>
      </c>
      <c r="C6" s="185" t="e" cm="1">
        <f t="array" ref="C6">IF(OR($A6=C$3,C$3="",$A6=""),"",SUM(IF(ROUND(INDEX(tblPiNAnalysis[[CCCM%]:[WASH%]], 0, MATCH(_xlfn.CONCAT(C$3,"%"), tblPiNAnalysis[[#Headers],[CCCM%]:[WASH%]], 0)), 1)=ROUND(INDEX(tblPiNAnalysis[[CCCM%]:[WASH%]], 0, MATCH(_xlfn.CONCAT($A6,"%"), tblPiNAnalysis[[#Headers],[CCCM%]:[WASH%]], 0)), 1), 1, 0)))</f>
        <v>#VALUE!</v>
      </c>
      <c r="D6" s="185" t="str" cm="1">
        <f t="array" ref="D6">IF(OR($A6=D$3,D$3="",$A6=""),"",SUM(IF(ROUND(INDEX(tblPiNAnalysis[[CCCM%]:[WASH%]], 0, MATCH(_xlfn.CONCAT(D$3,"%"), tblPiNAnalysis[[#Headers],[CCCM%]:[WASH%]], 0)), 1)=ROUND(INDEX(tblPiNAnalysis[[CCCM%]:[WASH%]], 0, MATCH(_xlfn.CONCAT($A6,"%"), tblPiNAnalysis[[#Headers],[CCCM%]:[WASH%]], 0)), 1), 1, 0)))</f>
        <v/>
      </c>
      <c r="E6" s="185"/>
      <c r="F6" s="185"/>
      <c r="G6" s="185"/>
      <c r="H6" s="185"/>
      <c r="I6" s="185"/>
      <c r="J6" s="185"/>
      <c r="K6" s="185"/>
      <c r="L6" s="185"/>
      <c r="M6" s="183"/>
      <c r="N6" s="182" t="str">
        <v>Nutrition</v>
      </c>
      <c r="O6" s="185" cm="1">
        <f t="array" ref="O6">IF(OR($N6=O$3,O$3="",$N6=""),"",SUM(IF(INDEX(tblSeverityAnalysis[[CCCM]:[WASH]],0,MATCH(O$3,tblSeverityAnalysis[[#Headers],[CCCM]:[WASH]],0))=INDEX(tblSeverityAnalysis[[CCCM]:[WASH]],0,MATCH($N6,tblSeverityAnalysis[[#Headers],[CCCM]:[WASH]],0)), 1, 0)))</f>
        <v>3</v>
      </c>
      <c r="P6" s="185" cm="1">
        <f t="array" ref="P6">IF(OR($N6=P$3,P$3="",$N6=""),"",SUM(IF(INDEX(tblSeverityAnalysis[[CCCM]:[WASH]],0,MATCH(P$3,tblSeverityAnalysis[[#Headers],[CCCM]:[WASH]],0))=INDEX(tblSeverityAnalysis[[CCCM]:[WASH]],0,MATCH($N6,tblSeverityAnalysis[[#Headers],[CCCM]:[WASH]],0)), 1, 0)))</f>
        <v>2</v>
      </c>
      <c r="Q6" s="185" t="str" cm="1">
        <f t="array" ref="Q6">IF(OR($N6=Q$3,Q$3="",$N6=""),"",SUM(IF(INDEX(tblSeverityAnalysis[[CCCM]:[WASH]],0,MATCH(Q$3,tblSeverityAnalysis[[#Headers],[CCCM]:[WASH]],0))=INDEX(tblSeverityAnalysis[[CCCM]:[WASH]],0,MATCH($N6,tblSeverityAnalysis[[#Headers],[CCCM]:[WASH]],0)), 1, 0)))</f>
        <v/>
      </c>
      <c r="R6" s="185"/>
      <c r="S6" s="185"/>
      <c r="T6" s="185"/>
      <c r="U6" s="185"/>
      <c r="V6" s="185"/>
      <c r="W6" s="185"/>
      <c r="X6" s="185"/>
      <c r="Y6" s="185"/>
    </row>
    <row r="7" spans="1:25" ht="37.5" customHeight="1">
      <c r="A7" s="182" t="str">
        <v>Food Security</v>
      </c>
      <c r="B7" s="185" t="e" cm="1">
        <f t="array" ref="B7">IF(OR($A7=B$3,B$3="",$A7=""),"",SUM(IF(ROUND(INDEX(tblPiNAnalysis[[CCCM%]:[WASH%]], 0, MATCH(_xlfn.CONCAT(B$3,"%"), tblPiNAnalysis[[#Headers],[CCCM%]:[WASH%]], 0)), 1)=ROUND(INDEX(tblPiNAnalysis[[CCCM%]:[WASH%]], 0, MATCH(_xlfn.CONCAT($A7,"%"), tblPiNAnalysis[[#Headers],[CCCM%]:[WASH%]], 0)), 1), 1, 0)))</f>
        <v>#VALUE!</v>
      </c>
      <c r="C7" s="185" t="e" cm="1">
        <f t="array" ref="C7">IF(OR($A7=C$3,C$3="",$A7=""),"",SUM(IF(ROUND(INDEX(tblPiNAnalysis[[CCCM%]:[WASH%]], 0, MATCH(_xlfn.CONCAT(C$3,"%"), tblPiNAnalysis[[#Headers],[CCCM%]:[WASH%]], 0)), 1)=ROUND(INDEX(tblPiNAnalysis[[CCCM%]:[WASH%]], 0, MATCH(_xlfn.CONCAT($A7,"%"), tblPiNAnalysis[[#Headers],[CCCM%]:[WASH%]], 0)), 1), 1, 0)))</f>
        <v>#VALUE!</v>
      </c>
      <c r="D7" s="185" t="e" cm="1">
        <f t="array" ref="D7">IF(OR($A7=D$3,D$3="",$A7=""),"",SUM(IF(ROUND(INDEX(tblPiNAnalysis[[CCCM%]:[WASH%]], 0, MATCH(_xlfn.CONCAT(D$3,"%"), tblPiNAnalysis[[#Headers],[CCCM%]:[WASH%]], 0)), 1)=ROUND(INDEX(tblPiNAnalysis[[CCCM%]:[WASH%]], 0, MATCH(_xlfn.CONCAT($A7,"%"), tblPiNAnalysis[[#Headers],[CCCM%]:[WASH%]], 0)), 1), 1, 0)))</f>
        <v>#VALUE!</v>
      </c>
      <c r="E7" s="185" t="str" cm="1">
        <f t="array" ref="E7">IF(OR($A7=E$3,E$3="",$A7=""),"",SUM(IF(ROUND(INDEX(tblPiNAnalysis[[CCCM%]:[WASH%]], 0, MATCH(_xlfn.CONCAT(E$3,"%"), tblPiNAnalysis[[#Headers],[CCCM%]:[WASH%]], 0)), 1)=ROUND(INDEX(tblPiNAnalysis[[CCCM%]:[WASH%]], 0, MATCH(_xlfn.CONCAT($A7,"%"), tblPiNAnalysis[[#Headers],[CCCM%]:[WASH%]], 0)), 1), 1, 0)))</f>
        <v/>
      </c>
      <c r="F7" s="185"/>
      <c r="G7" s="185"/>
      <c r="H7" s="185"/>
      <c r="I7" s="185"/>
      <c r="J7" s="185"/>
      <c r="K7" s="185"/>
      <c r="L7" s="185"/>
      <c r="M7" s="183"/>
      <c r="N7" s="182" t="str">
        <v>Food Security</v>
      </c>
      <c r="O7" s="185" cm="1">
        <f t="array" ref="O7">IF(OR($N7=O$3,O$3="",$N7=""),"",SUM(IF(INDEX(tblSeverityAnalysis[[CCCM]:[WASH]],0,MATCH(O$3,tblSeverityAnalysis[[#Headers],[CCCM]:[WASH]],0))=INDEX(tblSeverityAnalysis[[CCCM]:[WASH]],0,MATCH($N7,tblSeverityAnalysis[[#Headers],[CCCM]:[WASH]],0)), 1, 0)))</f>
        <v>108</v>
      </c>
      <c r="P7" s="185" cm="1">
        <f t="array" ref="P7">IF(OR($N7=P$3,P$3="",$N7=""),"",SUM(IF(INDEX(tblSeverityAnalysis[[CCCM]:[WASH]],0,MATCH(P$3,tblSeverityAnalysis[[#Headers],[CCCM]:[WASH]],0))=INDEX(tblSeverityAnalysis[[CCCM]:[WASH]],0,MATCH($N7,tblSeverityAnalysis[[#Headers],[CCCM]:[WASH]],0)), 1, 0)))</f>
        <v>102</v>
      </c>
      <c r="Q7" s="185" cm="1">
        <f t="array" ref="Q7">IF(OR($N7=Q$3,Q$3="",$N7=""),"",SUM(IF(INDEX(tblSeverityAnalysis[[CCCM]:[WASH]],0,MATCH(Q$3,tblSeverityAnalysis[[#Headers],[CCCM]:[WASH]],0))=INDEX(tblSeverityAnalysis[[CCCM]:[WASH]],0,MATCH($N7,tblSeverityAnalysis[[#Headers],[CCCM]:[WASH]],0)), 1, 0)))</f>
        <v>15</v>
      </c>
      <c r="R7" s="185" t="str" cm="1">
        <f t="array" ref="R7">IF(OR($N7=R$3,R$3="",$N7=""),"",SUM(IF(INDEX(tblSeverityAnalysis[[CCCM]:[WASH]],0,MATCH(R$3,tblSeverityAnalysis[[#Headers],[CCCM]:[WASH]],0))=INDEX(tblSeverityAnalysis[[CCCM]:[WASH]],0,MATCH($N7,tblSeverityAnalysis[[#Headers],[CCCM]:[WASH]],0)), 1, 0)))</f>
        <v/>
      </c>
      <c r="S7" s="185"/>
      <c r="T7" s="185"/>
      <c r="U7" s="185"/>
      <c r="V7" s="185"/>
      <c r="W7" s="185"/>
      <c r="X7" s="185"/>
      <c r="Y7" s="185"/>
    </row>
    <row r="8" spans="1:25" ht="37.5" customHeight="1">
      <c r="A8" s="182" t="str">
        <v>Health</v>
      </c>
      <c r="B8" s="185" t="e" cm="1">
        <f t="array" ref="B8">IF(OR($A8=B$3,B$3="",$A8=""),"",SUM(IF(ROUND(INDEX(tblPiNAnalysis[[CCCM%]:[WASH%]], 0, MATCH(_xlfn.CONCAT(B$3,"%"), tblPiNAnalysis[[#Headers],[CCCM%]:[WASH%]], 0)), 1)=ROUND(INDEX(tblPiNAnalysis[[CCCM%]:[WASH%]], 0, MATCH(_xlfn.CONCAT($A8,"%"), tblPiNAnalysis[[#Headers],[CCCM%]:[WASH%]], 0)), 1), 1, 0)))</f>
        <v>#VALUE!</v>
      </c>
      <c r="C8" s="185" t="e" cm="1">
        <f t="array" ref="C8">IF(OR($A8=C$3,C$3="",$A8=""),"",SUM(IF(ROUND(INDEX(tblPiNAnalysis[[CCCM%]:[WASH%]], 0, MATCH(_xlfn.CONCAT(C$3,"%"), tblPiNAnalysis[[#Headers],[CCCM%]:[WASH%]], 0)), 1)=ROUND(INDEX(tblPiNAnalysis[[CCCM%]:[WASH%]], 0, MATCH(_xlfn.CONCAT($A8,"%"), tblPiNAnalysis[[#Headers],[CCCM%]:[WASH%]], 0)), 1), 1, 0)))</f>
        <v>#VALUE!</v>
      </c>
      <c r="D8" s="185" t="e" cm="1">
        <f t="array" ref="D8">IF(OR($A8=D$3,D$3="",$A8=""),"",SUM(IF(ROUND(INDEX(tblPiNAnalysis[[CCCM%]:[WASH%]], 0, MATCH(_xlfn.CONCAT(D$3,"%"), tblPiNAnalysis[[#Headers],[CCCM%]:[WASH%]], 0)), 1)=ROUND(INDEX(tblPiNAnalysis[[CCCM%]:[WASH%]], 0, MATCH(_xlfn.CONCAT($A8,"%"), tblPiNAnalysis[[#Headers],[CCCM%]:[WASH%]], 0)), 1), 1, 0)))</f>
        <v>#VALUE!</v>
      </c>
      <c r="E8" s="185" t="e" cm="1">
        <f t="array" ref="E8">IF(OR($A8=E$3,E$3="",$A8=""),"",SUM(IF(ROUND(INDEX(tblPiNAnalysis[[CCCM%]:[WASH%]], 0, MATCH(_xlfn.CONCAT(E$3,"%"), tblPiNAnalysis[[#Headers],[CCCM%]:[WASH%]], 0)), 1)=ROUND(INDEX(tblPiNAnalysis[[CCCM%]:[WASH%]], 0, MATCH(_xlfn.CONCAT($A8,"%"), tblPiNAnalysis[[#Headers],[CCCM%]:[WASH%]], 0)), 1), 1, 0)))</f>
        <v>#VALUE!</v>
      </c>
      <c r="F8" s="185" t="str" cm="1">
        <f t="array" ref="F8">IF(OR($A8=F$3,F$3="",$A8=""),"",SUM(IF(ROUND(INDEX(tblPiNAnalysis[[CCCM%]:[WASH%]], 0, MATCH(_xlfn.CONCAT(F$3,"%"), tblPiNAnalysis[[#Headers],[CCCM%]:[WASH%]], 0)), 1)=ROUND(INDEX(tblPiNAnalysis[[CCCM%]:[WASH%]], 0, MATCH(_xlfn.CONCAT($A8,"%"), tblPiNAnalysis[[#Headers],[CCCM%]:[WASH%]], 0)), 1), 1, 0)))</f>
        <v/>
      </c>
      <c r="G8" s="185"/>
      <c r="H8" s="185"/>
      <c r="I8" s="185"/>
      <c r="J8" s="185"/>
      <c r="K8" s="185"/>
      <c r="L8" s="185"/>
      <c r="M8" s="183"/>
      <c r="N8" s="182" t="str">
        <v>Health</v>
      </c>
      <c r="O8" s="185" cm="1">
        <f t="array" ref="O8">IF(OR($N8=O$3,O$3="",$N8=""),"",SUM(IF(INDEX(tblSeverityAnalysis[[CCCM]:[WASH]],0,MATCH(O$3,tblSeverityAnalysis[[#Headers],[CCCM]:[WASH]],0))=INDEX(tblSeverityAnalysis[[CCCM]:[WASH]],0,MATCH($N8,tblSeverityAnalysis[[#Headers],[CCCM]:[WASH]],0)), 1, 0)))</f>
        <v>138</v>
      </c>
      <c r="P8" s="185" cm="1">
        <f t="array" ref="P8">IF(OR($N8=P$3,P$3="",$N8=""),"",SUM(IF(INDEX(tblSeverityAnalysis[[CCCM]:[WASH]],0,MATCH(P$3,tblSeverityAnalysis[[#Headers],[CCCM]:[WASH]],0))=INDEX(tblSeverityAnalysis[[CCCM]:[WASH]],0,MATCH($N8,tblSeverityAnalysis[[#Headers],[CCCM]:[WASH]],0)), 1, 0)))</f>
        <v>138</v>
      </c>
      <c r="Q8" s="185" cm="1">
        <f t="array" ref="Q8">IF(OR($N8=Q$3,Q$3="",$N8=""),"",SUM(IF(INDEX(tblSeverityAnalysis[[CCCM]:[WASH]],0,MATCH(Q$3,tblSeverityAnalysis[[#Headers],[CCCM]:[WASH]],0))=INDEX(tblSeverityAnalysis[[CCCM]:[WASH]],0,MATCH($N8,tblSeverityAnalysis[[#Headers],[CCCM]:[WASH]],0)), 1, 0)))</f>
        <v>1</v>
      </c>
      <c r="R8" s="185" cm="1">
        <f t="array" ref="R8">IF(OR($N8=R$3,R$3="",$N8=""),"",SUM(IF(INDEX(tblSeverityAnalysis[[CCCM]:[WASH]],0,MATCH(R$3,tblSeverityAnalysis[[#Headers],[CCCM]:[WASH]],0))=INDEX(tblSeverityAnalysis[[CCCM]:[WASH]],0,MATCH($N8,tblSeverityAnalysis[[#Headers],[CCCM]:[WASH]],0)), 1, 0)))</f>
        <v>98</v>
      </c>
      <c r="S8" s="185" t="str" cm="1">
        <f t="array" ref="S8">IF(OR($N8=S$3,S$3="",$N8=""),"",SUM(IF(INDEX(tblSeverityAnalysis[[CCCM]:[WASH]],0,MATCH(S$3,tblSeverityAnalysis[[#Headers],[CCCM]:[WASH]],0))=INDEX(tblSeverityAnalysis[[CCCM]:[WASH]],0,MATCH($N8,tblSeverityAnalysis[[#Headers],[CCCM]:[WASH]],0)), 1, 0)))</f>
        <v/>
      </c>
      <c r="T8" s="185"/>
      <c r="U8" s="185"/>
      <c r="V8" s="185"/>
      <c r="W8" s="185"/>
      <c r="X8" s="185"/>
      <c r="Y8" s="185"/>
    </row>
    <row r="9" spans="1:25" ht="37.5" customHeight="1">
      <c r="A9" s="182" t="str">
        <v>Overarching Protection</v>
      </c>
      <c r="B9" s="185" t="e" cm="1">
        <f t="array" ref="B9">IF(OR($A9=B$3,B$3="",$A9=""),"",SUM(IF(ROUND(INDEX(tblPiNAnalysis[[CCCM%]:[WASH%]], 0, MATCH(_xlfn.CONCAT(B$3,"%"), tblPiNAnalysis[[#Headers],[CCCM%]:[WASH%]], 0)), 1)=ROUND(INDEX(tblPiNAnalysis[[CCCM%]:[WASH%]], 0, MATCH(_xlfn.CONCAT($A9,"%"), tblPiNAnalysis[[#Headers],[CCCM%]:[WASH%]], 0)), 1), 1, 0)))</f>
        <v>#VALUE!</v>
      </c>
      <c r="C9" s="185" t="e" cm="1">
        <f t="array" ref="C9">IF(OR($A9=C$3,C$3="",$A9=""),"",SUM(IF(ROUND(INDEX(tblPiNAnalysis[[CCCM%]:[WASH%]], 0, MATCH(_xlfn.CONCAT(C$3,"%"), tblPiNAnalysis[[#Headers],[CCCM%]:[WASH%]], 0)), 1)=ROUND(INDEX(tblPiNAnalysis[[CCCM%]:[WASH%]], 0, MATCH(_xlfn.CONCAT($A9,"%"), tblPiNAnalysis[[#Headers],[CCCM%]:[WASH%]], 0)), 1), 1, 0)))</f>
        <v>#VALUE!</v>
      </c>
      <c r="D9" s="185" t="e" cm="1">
        <f t="array" ref="D9">IF(OR($A9=D$3,D$3="",$A9=""),"",SUM(IF(ROUND(INDEX(tblPiNAnalysis[[CCCM%]:[WASH%]], 0, MATCH(_xlfn.CONCAT(D$3,"%"), tblPiNAnalysis[[#Headers],[CCCM%]:[WASH%]], 0)), 1)=ROUND(INDEX(tblPiNAnalysis[[CCCM%]:[WASH%]], 0, MATCH(_xlfn.CONCAT($A9,"%"), tblPiNAnalysis[[#Headers],[CCCM%]:[WASH%]], 0)), 1), 1, 0)))</f>
        <v>#VALUE!</v>
      </c>
      <c r="E9" s="185" t="e" cm="1">
        <f t="array" ref="E9">IF(OR($A9=E$3,E$3="",$A9=""),"",SUM(IF(ROUND(INDEX(tblPiNAnalysis[[CCCM%]:[WASH%]], 0, MATCH(_xlfn.CONCAT(E$3,"%"), tblPiNAnalysis[[#Headers],[CCCM%]:[WASH%]], 0)), 1)=ROUND(INDEX(tblPiNAnalysis[[CCCM%]:[WASH%]], 0, MATCH(_xlfn.CONCAT($A9,"%"), tblPiNAnalysis[[#Headers],[CCCM%]:[WASH%]], 0)), 1), 1, 0)))</f>
        <v>#VALUE!</v>
      </c>
      <c r="F9" s="185" t="e" cm="1">
        <f t="array" ref="F9">IF(OR($A9=F$3,F$3="",$A9=""),"",SUM(IF(ROUND(INDEX(tblPiNAnalysis[[CCCM%]:[WASH%]], 0, MATCH(_xlfn.CONCAT(F$3,"%"), tblPiNAnalysis[[#Headers],[CCCM%]:[WASH%]], 0)), 1)=ROUND(INDEX(tblPiNAnalysis[[CCCM%]:[WASH%]], 0, MATCH(_xlfn.CONCAT($A9,"%"), tblPiNAnalysis[[#Headers],[CCCM%]:[WASH%]], 0)), 1), 1, 0)))</f>
        <v>#VALUE!</v>
      </c>
      <c r="G9" s="185" t="str" cm="1">
        <f t="array" ref="G9">IF(OR($A9=G$3,G$3="",$A9=""),"",SUM(IF(ROUND(INDEX(tblPiNAnalysis[[CCCM%]:[WASH%]], 0, MATCH(_xlfn.CONCAT(G$3,"%"), tblPiNAnalysis[[#Headers],[CCCM%]:[WASH%]], 0)), 1)=ROUND(INDEX(tblPiNAnalysis[[CCCM%]:[WASH%]], 0, MATCH(_xlfn.CONCAT($A9,"%"), tblPiNAnalysis[[#Headers],[CCCM%]:[WASH%]], 0)), 1), 1, 0)))</f>
        <v/>
      </c>
      <c r="H9" s="185"/>
      <c r="I9" s="185"/>
      <c r="J9" s="185"/>
      <c r="K9" s="185"/>
      <c r="L9" s="185"/>
      <c r="M9" s="183"/>
      <c r="N9" s="182" t="str">
        <v>Overarching Protection</v>
      </c>
      <c r="O9" s="185" cm="1">
        <f t="array" ref="O9">IF(OR($N9=O$3,O$3="",$N9=""),"",SUM(IF(INDEX(tblSeverityAnalysis[[CCCM]:[WASH]],0,MATCH(O$3,tblSeverityAnalysis[[#Headers],[CCCM]:[WASH]],0))=INDEX(tblSeverityAnalysis[[CCCM]:[WASH]],0,MATCH($N9,tblSeverityAnalysis[[#Headers],[CCCM]:[WASH]],0)), 1, 0)))</f>
        <v>146</v>
      </c>
      <c r="P9" s="185" cm="1">
        <f t="array" ref="P9">IF(OR($N9=P$3,P$3="",$N9=""),"",SUM(IF(INDEX(tblSeverityAnalysis[[CCCM]:[WASH]],0,MATCH(P$3,tblSeverityAnalysis[[#Headers],[CCCM]:[WASH]],0))=INDEX(tblSeverityAnalysis[[CCCM]:[WASH]],0,MATCH($N9,tblSeverityAnalysis[[#Headers],[CCCM]:[WASH]],0)), 1, 0)))</f>
        <v>148</v>
      </c>
      <c r="Q9" s="185" cm="1">
        <f t="array" ref="Q9">IF(OR($N9=Q$3,Q$3="",$N9=""),"",SUM(IF(INDEX(tblSeverityAnalysis[[CCCM]:[WASH]],0,MATCH(Q$3,tblSeverityAnalysis[[#Headers],[CCCM]:[WASH]],0))=INDEX(tblSeverityAnalysis[[CCCM]:[WASH]],0,MATCH($N9,tblSeverityAnalysis[[#Headers],[CCCM]:[WASH]],0)), 1, 0)))</f>
        <v>3</v>
      </c>
      <c r="R9" s="185" cm="1">
        <f t="array" ref="R9">IF(OR($N9=R$3,R$3="",$N9=""),"",SUM(IF(INDEX(tblSeverityAnalysis[[CCCM]:[WASH]],0,MATCH(R$3,tblSeverityAnalysis[[#Headers],[CCCM]:[WASH]],0))=INDEX(tblSeverityAnalysis[[CCCM]:[WASH]],0,MATCH($N9,tblSeverityAnalysis[[#Headers],[CCCM]:[WASH]],0)), 1, 0)))</f>
        <v>99</v>
      </c>
      <c r="S9" s="185" cm="1">
        <f t="array" ref="S9">IF(OR($N9=S$3,S$3="",$N9=""),"",SUM(IF(INDEX(tblSeverityAnalysis[[CCCM]:[WASH]],0,MATCH(S$3,tblSeverityAnalysis[[#Headers],[CCCM]:[WASH]],0))=INDEX(tblSeverityAnalysis[[CCCM]:[WASH]],0,MATCH($N9,tblSeverityAnalysis[[#Headers],[CCCM]:[WASH]],0)), 1, 0)))</f>
        <v>137</v>
      </c>
      <c r="T9" s="185" t="str" cm="1">
        <f t="array" ref="T9">IF(OR($N9=T$3,T$3="",$N9=""),"",SUM(IF(INDEX(tblSeverityAnalysis[[CCCM]:[WASH]],0,MATCH(T$3,tblSeverityAnalysis[[#Headers],[CCCM]:[WASH]],0))=INDEX(tblSeverityAnalysis[[CCCM]:[WASH]],0,MATCH($N9,tblSeverityAnalysis[[#Headers],[CCCM]:[WASH]],0)), 1, 0)))</f>
        <v/>
      </c>
      <c r="U9" s="185"/>
      <c r="V9" s="185"/>
      <c r="W9" s="185"/>
      <c r="X9" s="185"/>
      <c r="Y9" s="185"/>
    </row>
    <row r="10" spans="1:25" ht="37.5" customHeight="1">
      <c r="A10" s="182" t="str">
        <v>Shelter</v>
      </c>
      <c r="B10" s="185" t="e" cm="1">
        <f t="array" ref="B10">IF(OR($A10=B$3,B$3="",$A10=""),"",SUM(IF(ROUND(INDEX(tblPiNAnalysis[[CCCM%]:[WASH%]], 0, MATCH(_xlfn.CONCAT(B$3,"%"), tblPiNAnalysis[[#Headers],[CCCM%]:[WASH%]], 0)), 1)=ROUND(INDEX(tblPiNAnalysis[[CCCM%]:[WASH%]], 0, MATCH(_xlfn.CONCAT($A10,"%"), tblPiNAnalysis[[#Headers],[CCCM%]:[WASH%]], 0)), 1), 1, 0)))</f>
        <v>#VALUE!</v>
      </c>
      <c r="C10" s="185" t="e" cm="1">
        <f t="array" ref="C10">IF(OR($A10=C$3,C$3="",$A10=""),"",SUM(IF(ROUND(INDEX(tblPiNAnalysis[[CCCM%]:[WASH%]], 0, MATCH(_xlfn.CONCAT(C$3,"%"), tblPiNAnalysis[[#Headers],[CCCM%]:[WASH%]], 0)), 1)=ROUND(INDEX(tblPiNAnalysis[[CCCM%]:[WASH%]], 0, MATCH(_xlfn.CONCAT($A10,"%"), tblPiNAnalysis[[#Headers],[CCCM%]:[WASH%]], 0)), 1), 1, 0)))</f>
        <v>#VALUE!</v>
      </c>
      <c r="D10" s="185" t="e" cm="1">
        <f t="array" ref="D10">IF(OR($A10=D$3,D$3="",$A10=""),"",SUM(IF(ROUND(INDEX(tblPiNAnalysis[[CCCM%]:[WASH%]], 0, MATCH(_xlfn.CONCAT(D$3,"%"), tblPiNAnalysis[[#Headers],[CCCM%]:[WASH%]], 0)), 1)=ROUND(INDEX(tblPiNAnalysis[[CCCM%]:[WASH%]], 0, MATCH(_xlfn.CONCAT($A10,"%"), tblPiNAnalysis[[#Headers],[CCCM%]:[WASH%]], 0)), 1), 1, 0)))</f>
        <v>#VALUE!</v>
      </c>
      <c r="E10" s="185" t="e" cm="1">
        <f t="array" ref="E10">IF(OR($A10=E$3,E$3="",$A10=""),"",SUM(IF(ROUND(INDEX(tblPiNAnalysis[[CCCM%]:[WASH%]], 0, MATCH(_xlfn.CONCAT(E$3,"%"), tblPiNAnalysis[[#Headers],[CCCM%]:[WASH%]], 0)), 1)=ROUND(INDEX(tblPiNAnalysis[[CCCM%]:[WASH%]], 0, MATCH(_xlfn.CONCAT($A10,"%"), tblPiNAnalysis[[#Headers],[CCCM%]:[WASH%]], 0)), 1), 1, 0)))</f>
        <v>#VALUE!</v>
      </c>
      <c r="F10" s="185" t="e" cm="1">
        <f t="array" ref="F10">IF(OR($A10=F$3,F$3="",$A10=""),"",SUM(IF(ROUND(INDEX(tblPiNAnalysis[[CCCM%]:[WASH%]], 0, MATCH(_xlfn.CONCAT(F$3,"%"), tblPiNAnalysis[[#Headers],[CCCM%]:[WASH%]], 0)), 1)=ROUND(INDEX(tblPiNAnalysis[[CCCM%]:[WASH%]], 0, MATCH(_xlfn.CONCAT($A10,"%"), tblPiNAnalysis[[#Headers],[CCCM%]:[WASH%]], 0)), 1), 1, 0)))</f>
        <v>#VALUE!</v>
      </c>
      <c r="G10" s="185" t="e" cm="1">
        <f t="array" ref="G10">IF(OR($A10=G$3,G$3="",$A10=""),"",SUM(IF(ROUND(INDEX(tblPiNAnalysis[[CCCM%]:[WASH%]], 0, MATCH(_xlfn.CONCAT(G$3,"%"), tblPiNAnalysis[[#Headers],[CCCM%]:[WASH%]], 0)), 1)=ROUND(INDEX(tblPiNAnalysis[[CCCM%]:[WASH%]], 0, MATCH(_xlfn.CONCAT($A10,"%"), tblPiNAnalysis[[#Headers],[CCCM%]:[WASH%]], 0)), 1), 1, 0)))</f>
        <v>#VALUE!</v>
      </c>
      <c r="H10" s="185" t="str" cm="1">
        <f t="array" ref="H10">IF(OR($A10=H$3,H$3="",$A10=""),"",SUM(IF(ROUND(INDEX(tblPiNAnalysis[[CCCM%]:[WASH%]], 0, MATCH(_xlfn.CONCAT(H$3,"%"), tblPiNAnalysis[[#Headers],[CCCM%]:[WASH%]], 0)), 1)=ROUND(INDEX(tblPiNAnalysis[[CCCM%]:[WASH%]], 0, MATCH(_xlfn.CONCAT($A10,"%"), tblPiNAnalysis[[#Headers],[CCCM%]:[WASH%]], 0)), 1), 1, 0)))</f>
        <v/>
      </c>
      <c r="I10" s="185"/>
      <c r="J10" s="185"/>
      <c r="K10" s="185"/>
      <c r="L10" s="185"/>
      <c r="M10" s="183"/>
      <c r="N10" s="182" t="str">
        <v>Shelter</v>
      </c>
      <c r="O10" s="185" cm="1">
        <f t="array" ref="O10">IF(OR($N10=O$3,O$3="",$N10=""),"",SUM(IF(INDEX(tblSeverityAnalysis[[CCCM]:[WASH]],0,MATCH(O$3,tblSeverityAnalysis[[#Headers],[CCCM]:[WASH]],0))=INDEX(tblSeverityAnalysis[[CCCM]:[WASH]],0,MATCH($N10,tblSeverityAnalysis[[#Headers],[CCCM]:[WASH]],0)), 1, 0)))</f>
        <v>151</v>
      </c>
      <c r="P10" s="185" cm="1">
        <f t="array" ref="P10">IF(OR($N10=P$3,P$3="",$N10=""),"",SUM(IF(INDEX(tblSeverityAnalysis[[CCCM]:[WASH]],0,MATCH(P$3,tblSeverityAnalysis[[#Headers],[CCCM]:[WASH]],0))=INDEX(tblSeverityAnalysis[[CCCM]:[WASH]],0,MATCH($N10,tblSeverityAnalysis[[#Headers],[CCCM]:[WASH]],0)), 1, 0)))</f>
        <v>153</v>
      </c>
      <c r="Q10" s="185" cm="1">
        <f t="array" ref="Q10">IF(OR($N10=Q$3,Q$3="",$N10=""),"",SUM(IF(INDEX(tblSeverityAnalysis[[CCCM]:[WASH]],0,MATCH(Q$3,tblSeverityAnalysis[[#Headers],[CCCM]:[WASH]],0))=INDEX(tblSeverityAnalysis[[CCCM]:[WASH]],0,MATCH($N10,tblSeverityAnalysis[[#Headers],[CCCM]:[WASH]],0)), 1, 0)))</f>
        <v>2</v>
      </c>
      <c r="R10" s="185" cm="1">
        <f t="array" ref="R10">IF(OR($N10=R$3,R$3="",$N10=""),"",SUM(IF(INDEX(tblSeverityAnalysis[[CCCM]:[WASH]],0,MATCH(R$3,tblSeverityAnalysis[[#Headers],[CCCM]:[WASH]],0))=INDEX(tblSeverityAnalysis[[CCCM]:[WASH]],0,MATCH($N10,tblSeverityAnalysis[[#Headers],[CCCM]:[WASH]],0)), 1, 0)))</f>
        <v>107</v>
      </c>
      <c r="S10" s="185" cm="1">
        <f t="array" ref="S10">IF(OR($N10=S$3,S$3="",$N10=""),"",SUM(IF(INDEX(tblSeverityAnalysis[[CCCM]:[WASH]],0,MATCH(S$3,tblSeverityAnalysis[[#Headers],[CCCM]:[WASH]],0))=INDEX(tblSeverityAnalysis[[CCCM]:[WASH]],0,MATCH($N10,tblSeverityAnalysis[[#Headers],[CCCM]:[WASH]],0)), 1, 0)))</f>
        <v>140</v>
      </c>
      <c r="T10" s="185" cm="1">
        <f t="array" ref="T10">IF(OR($N10=T$3,T$3="",$N10=""),"",SUM(IF(INDEX(tblSeverityAnalysis[[CCCM]:[WASH]],0,MATCH(T$3,tblSeverityAnalysis[[#Headers],[CCCM]:[WASH]],0))=INDEX(tblSeverityAnalysis[[CCCM]:[WASH]],0,MATCH($N10,tblSeverityAnalysis[[#Headers],[CCCM]:[WASH]],0)), 1, 0)))</f>
        <v>149</v>
      </c>
      <c r="U10" s="185" t="str" cm="1">
        <f t="array" ref="U10">IF(OR($N10=U$3,U$3="",$N10=""),"",SUM(IF(INDEX(tblSeverityAnalysis[[CCCM]:[WASH]],0,MATCH(U$3,tblSeverityAnalysis[[#Headers],[CCCM]:[WASH]],0))=INDEX(tblSeverityAnalysis[[CCCM]:[WASH]],0,MATCH($N10,tblSeverityAnalysis[[#Headers],[CCCM]:[WASH]],0)), 1, 0)))</f>
        <v/>
      </c>
      <c r="V10" s="185"/>
      <c r="W10" s="185"/>
      <c r="X10" s="185"/>
      <c r="Y10" s="185"/>
    </row>
    <row r="11" spans="1:25" ht="37.5" customHeight="1">
      <c r="A11" s="182" t="str">
        <v>WASH</v>
      </c>
      <c r="B11" s="185" t="e" cm="1">
        <f t="array" ref="B11">IF(OR($A11=B$3,B$3="",$A11=""),"",SUM(IF(ROUND(INDEX(tblPiNAnalysis[[CCCM%]:[WASH%]], 0, MATCH(_xlfn.CONCAT(B$3,"%"), tblPiNAnalysis[[#Headers],[CCCM%]:[WASH%]], 0)), 1)=ROUND(INDEX(tblPiNAnalysis[[CCCM%]:[WASH%]], 0, MATCH(_xlfn.CONCAT($A11,"%"), tblPiNAnalysis[[#Headers],[CCCM%]:[WASH%]], 0)), 1), 1, 0)))</f>
        <v>#VALUE!</v>
      </c>
      <c r="C11" s="185" t="e" cm="1">
        <f t="array" ref="C11">IF(OR($A11=C$3,C$3="",$A11=""),"",SUM(IF(ROUND(INDEX(tblPiNAnalysis[[CCCM%]:[WASH%]], 0, MATCH(_xlfn.CONCAT(C$3,"%"), tblPiNAnalysis[[#Headers],[CCCM%]:[WASH%]], 0)), 1)=ROUND(INDEX(tblPiNAnalysis[[CCCM%]:[WASH%]], 0, MATCH(_xlfn.CONCAT($A11,"%"), tblPiNAnalysis[[#Headers],[CCCM%]:[WASH%]], 0)), 1), 1, 0)))</f>
        <v>#VALUE!</v>
      </c>
      <c r="D11" s="185" t="e" cm="1">
        <f t="array" ref="D11">IF(OR($A11=D$3,D$3="",$A11=""),"",SUM(IF(ROUND(INDEX(tblPiNAnalysis[[CCCM%]:[WASH%]], 0, MATCH(_xlfn.CONCAT(D$3,"%"), tblPiNAnalysis[[#Headers],[CCCM%]:[WASH%]], 0)), 1)=ROUND(INDEX(tblPiNAnalysis[[CCCM%]:[WASH%]], 0, MATCH(_xlfn.CONCAT($A11,"%"), tblPiNAnalysis[[#Headers],[CCCM%]:[WASH%]], 0)), 1), 1, 0)))</f>
        <v>#VALUE!</v>
      </c>
      <c r="E11" s="185" t="e" cm="1">
        <f t="array" ref="E11">IF(OR($A11=E$3,E$3="",$A11=""),"",SUM(IF(ROUND(INDEX(tblPiNAnalysis[[CCCM%]:[WASH%]], 0, MATCH(_xlfn.CONCAT(E$3,"%"), tblPiNAnalysis[[#Headers],[CCCM%]:[WASH%]], 0)), 1)=ROUND(INDEX(tblPiNAnalysis[[CCCM%]:[WASH%]], 0, MATCH(_xlfn.CONCAT($A11,"%"), tblPiNAnalysis[[#Headers],[CCCM%]:[WASH%]], 0)), 1), 1, 0)))</f>
        <v>#VALUE!</v>
      </c>
      <c r="F11" s="185" t="e" cm="1">
        <f t="array" ref="F11">IF(OR($A11=F$3,F$3="",$A11=""),"",SUM(IF(ROUND(INDEX(tblPiNAnalysis[[CCCM%]:[WASH%]], 0, MATCH(_xlfn.CONCAT(F$3,"%"), tblPiNAnalysis[[#Headers],[CCCM%]:[WASH%]], 0)), 1)=ROUND(INDEX(tblPiNAnalysis[[CCCM%]:[WASH%]], 0, MATCH(_xlfn.CONCAT($A11,"%"), tblPiNAnalysis[[#Headers],[CCCM%]:[WASH%]], 0)), 1), 1, 0)))</f>
        <v>#VALUE!</v>
      </c>
      <c r="G11" s="185" t="e" cm="1">
        <f t="array" ref="G11">IF(OR($A11=G$3,G$3="",$A11=""),"",SUM(IF(ROUND(INDEX(tblPiNAnalysis[[CCCM%]:[WASH%]], 0, MATCH(_xlfn.CONCAT(G$3,"%"), tblPiNAnalysis[[#Headers],[CCCM%]:[WASH%]], 0)), 1)=ROUND(INDEX(tblPiNAnalysis[[CCCM%]:[WASH%]], 0, MATCH(_xlfn.CONCAT($A11,"%"), tblPiNAnalysis[[#Headers],[CCCM%]:[WASH%]], 0)), 1), 1, 0)))</f>
        <v>#VALUE!</v>
      </c>
      <c r="H11" s="185" t="e" cm="1">
        <f t="array" ref="H11">IF(OR($A11=H$3,H$3="",$A11=""),"",SUM(IF(ROUND(INDEX(tblPiNAnalysis[[CCCM%]:[WASH%]], 0, MATCH(_xlfn.CONCAT(H$3,"%"), tblPiNAnalysis[[#Headers],[CCCM%]:[WASH%]], 0)), 1)=ROUND(INDEX(tblPiNAnalysis[[CCCM%]:[WASH%]], 0, MATCH(_xlfn.CONCAT($A11,"%"), tblPiNAnalysis[[#Headers],[CCCM%]:[WASH%]], 0)), 1), 1, 0)))</f>
        <v>#VALUE!</v>
      </c>
      <c r="I11" s="185" t="str" cm="1">
        <f t="array" ref="I11">IF(OR($A11=I$3,I$3="",$A11=""),"",SUM(IF(ROUND(INDEX(tblPiNAnalysis[[CCCM%]:[WASH%]], 0, MATCH(_xlfn.CONCAT(I$3,"%"), tblPiNAnalysis[[#Headers],[CCCM%]:[WASH%]], 0)), 1)=ROUND(INDEX(tblPiNAnalysis[[CCCM%]:[WASH%]], 0, MATCH(_xlfn.CONCAT($A11,"%"), tblPiNAnalysis[[#Headers],[CCCM%]:[WASH%]], 0)), 1), 1, 0)))</f>
        <v/>
      </c>
      <c r="J11" s="185"/>
      <c r="K11" s="185"/>
      <c r="L11" s="185"/>
      <c r="M11" s="183"/>
      <c r="N11" s="182" t="str">
        <v>WASH</v>
      </c>
      <c r="O11" s="185" cm="1">
        <f t="array" ref="O11">IF(OR($N11=O$3,O$3="",$N11=""),"",SUM(IF(INDEX(tblSeverityAnalysis[[CCCM]:[WASH]],0,MATCH(O$3,tblSeverityAnalysis[[#Headers],[CCCM]:[WASH]],0))=INDEX(tblSeverityAnalysis[[CCCM]:[WASH]],0,MATCH($N11,tblSeverityAnalysis[[#Headers],[CCCM]:[WASH]],0)), 1, 0)))</f>
        <v>10</v>
      </c>
      <c r="P11" s="185" cm="1">
        <f t="array" ref="P11">IF(OR($N11=P$3,P$3="",$N11=""),"",SUM(IF(INDEX(tblSeverityAnalysis[[CCCM]:[WASH]],0,MATCH(P$3,tblSeverityAnalysis[[#Headers],[CCCM]:[WASH]],0))=INDEX(tblSeverityAnalysis[[CCCM]:[WASH]],0,MATCH($N11,tblSeverityAnalysis[[#Headers],[CCCM]:[WASH]],0)), 1, 0)))</f>
        <v>12</v>
      </c>
      <c r="Q11" s="185" cm="1">
        <f t="array" ref="Q11">IF(OR($N11=Q$3,Q$3="",$N11=""),"",SUM(IF(INDEX(tblSeverityAnalysis[[CCCM]:[WASH]],0,MATCH(Q$3,tblSeverityAnalysis[[#Headers],[CCCM]:[WASH]],0))=INDEX(tblSeverityAnalysis[[CCCM]:[WASH]],0,MATCH($N11,tblSeverityAnalysis[[#Headers],[CCCM]:[WASH]],0)), 1, 0)))</f>
        <v>6</v>
      </c>
      <c r="R11" s="185" cm="1">
        <f t="array" ref="R11">IF(OR($N11=R$3,R$3="",$N11=""),"",SUM(IF(INDEX(tblSeverityAnalysis[[CCCM]:[WASH]],0,MATCH(R$3,tblSeverityAnalysis[[#Headers],[CCCM]:[WASH]],0))=INDEX(tblSeverityAnalysis[[CCCM]:[WASH]],0,MATCH($N11,tblSeverityAnalysis[[#Headers],[CCCM]:[WASH]],0)), 1, 0)))</f>
        <v>24</v>
      </c>
      <c r="S11" s="185" cm="1">
        <f t="array" ref="S11">IF(OR($N11=S$3,S$3="",$N11=""),"",SUM(IF(INDEX(tblSeverityAnalysis[[CCCM]:[WASH]],0,MATCH(S$3,tblSeverityAnalysis[[#Headers],[CCCM]:[WASH]],0))=INDEX(tblSeverityAnalysis[[CCCM]:[WASH]],0,MATCH($N11,tblSeverityAnalysis[[#Headers],[CCCM]:[WASH]],0)), 1, 0)))</f>
        <v>2</v>
      </c>
      <c r="T11" s="185" cm="1">
        <f t="array" ref="T11">IF(OR($N11=T$3,T$3="",$N11=""),"",SUM(IF(INDEX(tblSeverityAnalysis[[CCCM]:[WASH]],0,MATCH(T$3,tblSeverityAnalysis[[#Headers],[CCCM]:[WASH]],0))=INDEX(tblSeverityAnalysis[[CCCM]:[WASH]],0,MATCH($N11,tblSeverityAnalysis[[#Headers],[CCCM]:[WASH]],0)), 1, 0)))</f>
        <v>9</v>
      </c>
      <c r="U11" s="185" cm="1">
        <f t="array" ref="U11">IF(OR($N11=U$3,U$3="",$N11=""),"",SUM(IF(INDEX(tblSeverityAnalysis[[CCCM]:[WASH]],0,MATCH(U$3,tblSeverityAnalysis[[#Headers],[CCCM]:[WASH]],0))=INDEX(tblSeverityAnalysis[[CCCM]:[WASH]],0,MATCH($N11,tblSeverityAnalysis[[#Headers],[CCCM]:[WASH]],0)), 1, 0)))</f>
        <v>12</v>
      </c>
      <c r="V11" s="185" t="str" cm="1">
        <f t="array" ref="V11">IF(OR($N11=V$3,V$3="",$N11=""),"",SUM(IF(INDEX(tblSeverityAnalysis[[CCCM]:[WASH]],0,MATCH(V$3,tblSeverityAnalysis[[#Headers],[CCCM]:[WASH]],0))=INDEX(tblSeverityAnalysis[[CCCM]:[WASH]],0,MATCH($N11,tblSeverityAnalysis[[#Headers],[CCCM]:[WASH]],0)), 1, 0)))</f>
        <v/>
      </c>
      <c r="W11" s="185"/>
      <c r="X11" s="185"/>
      <c r="Y11" s="185"/>
    </row>
    <row r="12" spans="1:25" ht="37.5" customHeight="1">
      <c r="A12" s="182"/>
      <c r="B12" s="185" t="str" cm="1">
        <f t="array" ref="B12">IF(OR($A12=B$3,B$3="",$A12=""),"",SUM(IF(ROUND(INDEX(tblPiNAnalysis[[CCCM%]:[WASH%]], 0, MATCH(_xlfn.CONCAT(B$3,"%"), tblPiNAnalysis[[#Headers],[CCCM%]:[WASH%]], 0)), 1)=ROUND(INDEX(tblPiNAnalysis[[CCCM%]:[WASH%]], 0, MATCH(_xlfn.CONCAT($A12,"%"), tblPiNAnalysis[[#Headers],[CCCM%]:[WASH%]], 0)), 1), 1, 0)))</f>
        <v/>
      </c>
      <c r="C12" s="185" t="str" cm="1">
        <f t="array" ref="C12">IF(OR($A12=C$3,C$3="",$A12=""),"",SUM(IF(ROUND(INDEX(tblPiNAnalysis[[CCCM%]:[WASH%]], 0, MATCH(_xlfn.CONCAT(C$3,"%"), tblPiNAnalysis[[#Headers],[CCCM%]:[WASH%]], 0)), 1)=ROUND(INDEX(tblPiNAnalysis[[CCCM%]:[WASH%]], 0, MATCH(_xlfn.CONCAT($A12,"%"), tblPiNAnalysis[[#Headers],[CCCM%]:[WASH%]], 0)), 1), 1, 0)))</f>
        <v/>
      </c>
      <c r="D12" s="185" t="str" cm="1">
        <f t="array" ref="D12">IF(OR($A12=D$3,D$3="",$A12=""),"",SUM(IF(ROUND(INDEX(tblPiNAnalysis[[CCCM%]:[WASH%]], 0, MATCH(_xlfn.CONCAT(D$3,"%"), tblPiNAnalysis[[#Headers],[CCCM%]:[WASH%]], 0)), 1)=ROUND(INDEX(tblPiNAnalysis[[CCCM%]:[WASH%]], 0, MATCH(_xlfn.CONCAT($A12,"%"), tblPiNAnalysis[[#Headers],[CCCM%]:[WASH%]], 0)), 1), 1, 0)))</f>
        <v/>
      </c>
      <c r="E12" s="185" t="str" cm="1">
        <f t="array" ref="E12">IF(OR($A12=E$3,E$3="",$A12=""),"",SUM(IF(ROUND(INDEX(tblPiNAnalysis[[CCCM%]:[WASH%]], 0, MATCH(_xlfn.CONCAT(E$3,"%"), tblPiNAnalysis[[#Headers],[CCCM%]:[WASH%]], 0)), 1)=ROUND(INDEX(tblPiNAnalysis[[CCCM%]:[WASH%]], 0, MATCH(_xlfn.CONCAT($A12,"%"), tblPiNAnalysis[[#Headers],[CCCM%]:[WASH%]], 0)), 1), 1, 0)))</f>
        <v/>
      </c>
      <c r="F12" s="185" t="str" cm="1">
        <f t="array" ref="F12">IF(OR($A12=F$3,F$3="",$A12=""),"",SUM(IF(ROUND(INDEX(tblPiNAnalysis[[CCCM%]:[WASH%]], 0, MATCH(_xlfn.CONCAT(F$3,"%"), tblPiNAnalysis[[#Headers],[CCCM%]:[WASH%]], 0)), 1)=ROUND(INDEX(tblPiNAnalysis[[CCCM%]:[WASH%]], 0, MATCH(_xlfn.CONCAT($A12,"%"), tblPiNAnalysis[[#Headers],[CCCM%]:[WASH%]], 0)), 1), 1, 0)))</f>
        <v/>
      </c>
      <c r="G12" s="185" t="str" cm="1">
        <f t="array" ref="G12">IF(OR($A12=G$3,G$3="",$A12=""),"",SUM(IF(ROUND(INDEX(tblPiNAnalysis[[CCCM%]:[WASH%]], 0, MATCH(_xlfn.CONCAT(G$3,"%"), tblPiNAnalysis[[#Headers],[CCCM%]:[WASH%]], 0)), 1)=ROUND(INDEX(tblPiNAnalysis[[CCCM%]:[WASH%]], 0, MATCH(_xlfn.CONCAT($A12,"%"), tblPiNAnalysis[[#Headers],[CCCM%]:[WASH%]], 0)), 1), 1, 0)))</f>
        <v/>
      </c>
      <c r="H12" s="185" t="str" cm="1">
        <f t="array" ref="H12">IF(OR($A12=H$3,H$3="",$A12=""),"",SUM(IF(ROUND(INDEX(tblPiNAnalysis[[CCCM%]:[WASH%]], 0, MATCH(_xlfn.CONCAT(H$3,"%"), tblPiNAnalysis[[#Headers],[CCCM%]:[WASH%]], 0)), 1)=ROUND(INDEX(tblPiNAnalysis[[CCCM%]:[WASH%]], 0, MATCH(_xlfn.CONCAT($A12,"%"), tblPiNAnalysis[[#Headers],[CCCM%]:[WASH%]], 0)), 1), 1, 0)))</f>
        <v/>
      </c>
      <c r="I12" s="185" t="str" cm="1">
        <f t="array" ref="I12">IF(OR($A12=I$3,I$3="",$A12=""),"",SUM(IF(ROUND(INDEX(tblPiNAnalysis[[CCCM%]:[WASH%]], 0, MATCH(_xlfn.CONCAT(I$3,"%"), tblPiNAnalysis[[#Headers],[CCCM%]:[WASH%]], 0)), 1)=ROUND(INDEX(tblPiNAnalysis[[CCCM%]:[WASH%]], 0, MATCH(_xlfn.CONCAT($A12,"%"), tblPiNAnalysis[[#Headers],[CCCM%]:[WASH%]], 0)), 1), 1, 0)))</f>
        <v/>
      </c>
      <c r="J12" s="185" t="str" cm="1">
        <f t="array" ref="J12">IF(OR($A12=J$3,J$3="",$A12=""),"",SUM(IF(ROUND(INDEX(tblPiNAnalysis[[CCCM%]:[WASH%]], 0, MATCH(_xlfn.CONCAT(J$3,"%"), tblPiNAnalysis[[#Headers],[CCCM%]:[WASH%]], 0)), 1)=ROUND(INDEX(tblPiNAnalysis[[CCCM%]:[WASH%]], 0, MATCH(_xlfn.CONCAT($A12,"%"), tblPiNAnalysis[[#Headers],[CCCM%]:[WASH%]], 0)), 1), 1, 0)))</f>
        <v/>
      </c>
      <c r="K12" s="185"/>
      <c r="L12" s="185"/>
      <c r="M12" s="183"/>
      <c r="N12" s="182"/>
      <c r="O12" s="185" t="str" cm="1">
        <f t="array" ref="O12">IF(OR($N12=O$3,O$3="",$N12=""),"",SUM(IF(INDEX(tblSeverityAnalysis[[CCCM]:[WASH]],0,MATCH(O$3,tblSeverityAnalysis[[#Headers],[CCCM]:[WASH]],0))=INDEX(tblSeverityAnalysis[[CCCM]:[WASH]],0,MATCH($N12,tblSeverityAnalysis[[#Headers],[CCCM]:[WASH]],0)), 1, 0)))</f>
        <v/>
      </c>
      <c r="P12" s="185" t="str" cm="1">
        <f t="array" ref="P12">IF(OR($N12=P$3,P$3="",$N12=""),"",SUM(IF(INDEX(tblSeverityAnalysis[[CCCM]:[WASH]],0,MATCH(P$3,tblSeverityAnalysis[[#Headers],[CCCM]:[WASH]],0))=INDEX(tblSeverityAnalysis[[CCCM]:[WASH]],0,MATCH($N12,tblSeverityAnalysis[[#Headers],[CCCM]:[WASH]],0)), 1, 0)))</f>
        <v/>
      </c>
      <c r="Q12" s="185" t="str" cm="1">
        <f t="array" ref="Q12">IF(OR($N12=Q$3,Q$3="",$N12=""),"",SUM(IF(INDEX(tblSeverityAnalysis[[CCCM]:[WASH]],0,MATCH(Q$3,tblSeverityAnalysis[[#Headers],[CCCM]:[WASH]],0))=INDEX(tblSeverityAnalysis[[CCCM]:[WASH]],0,MATCH($N12,tblSeverityAnalysis[[#Headers],[CCCM]:[WASH]],0)), 1, 0)))</f>
        <v/>
      </c>
      <c r="R12" s="185" t="str" cm="1">
        <f t="array" ref="R12">IF(OR($N12=R$3,R$3="",$N12=""),"",SUM(IF(INDEX(tblSeverityAnalysis[[CCCM]:[WASH]],0,MATCH(R$3,tblSeverityAnalysis[[#Headers],[CCCM]:[WASH]],0))=INDEX(tblSeverityAnalysis[[CCCM]:[WASH]],0,MATCH($N12,tblSeverityAnalysis[[#Headers],[CCCM]:[WASH]],0)), 1, 0)))</f>
        <v/>
      </c>
      <c r="S12" s="185" t="str" cm="1">
        <f t="array" ref="S12">IF(OR($N12=S$3,S$3="",$N12=""),"",SUM(IF(INDEX(tblSeverityAnalysis[[CCCM]:[WASH]],0,MATCH(S$3,tblSeverityAnalysis[[#Headers],[CCCM]:[WASH]],0))=INDEX(tblSeverityAnalysis[[CCCM]:[WASH]],0,MATCH($N12,tblSeverityAnalysis[[#Headers],[CCCM]:[WASH]],0)), 1, 0)))</f>
        <v/>
      </c>
      <c r="T12" s="185" t="str" cm="1">
        <f t="array" ref="T12">IF(OR($N12=T$3,T$3="",$N12=""),"",SUM(IF(INDEX(tblSeverityAnalysis[[CCCM]:[WASH]],0,MATCH(T$3,tblSeverityAnalysis[[#Headers],[CCCM]:[WASH]],0))=INDEX(tblSeverityAnalysis[[CCCM]:[WASH]],0,MATCH($N12,tblSeverityAnalysis[[#Headers],[CCCM]:[WASH]],0)), 1, 0)))</f>
        <v/>
      </c>
      <c r="U12" s="185" t="str" cm="1">
        <f t="array" ref="U12">IF(OR($N12=U$3,U$3="",$N12=""),"",SUM(IF(INDEX(tblSeverityAnalysis[[CCCM]:[WASH]],0,MATCH(U$3,tblSeverityAnalysis[[#Headers],[CCCM]:[WASH]],0))=INDEX(tblSeverityAnalysis[[CCCM]:[WASH]],0,MATCH($N12,tblSeverityAnalysis[[#Headers],[CCCM]:[WASH]],0)), 1, 0)))</f>
        <v/>
      </c>
      <c r="V12" s="185" t="str" cm="1">
        <f t="array" ref="V12">IF(OR($N12=V$3,V$3="",$N12=""),"",SUM(IF(INDEX(tblSeverityAnalysis[[CCCM]:[WASH]],0,MATCH(V$3,tblSeverityAnalysis[[#Headers],[CCCM]:[WASH]],0))=INDEX(tblSeverityAnalysis[[CCCM]:[WASH]],0,MATCH($N12,tblSeverityAnalysis[[#Headers],[CCCM]:[WASH]],0)), 1, 0)))</f>
        <v/>
      </c>
      <c r="W12" s="185" t="str" cm="1">
        <f t="array" ref="W12">IF(OR($N12=W$3,W$3="",$N12=""),"",SUM(IF(INDEX(tblSeverityAnalysis[[CCCM]:[WASH]],0,MATCH(W$3,tblSeverityAnalysis[[#Headers],[CCCM]:[WASH]],0))=INDEX(tblSeverityAnalysis[[CCCM]:[WASH]],0,MATCH($N12,tblSeverityAnalysis[[#Headers],[CCCM]:[WASH]],0)), 1, 0)))</f>
        <v/>
      </c>
      <c r="X12" s="185"/>
      <c r="Y12" s="185"/>
    </row>
    <row r="13" spans="1:25" ht="37.5" customHeight="1">
      <c r="A13" s="182"/>
      <c r="B13" s="185" t="str" cm="1">
        <f t="array" ref="B13">IF(OR($A13=B$3,B$3="",$A13=""),"",SUM(IF(ROUND(INDEX(tblPiNAnalysis[[CCCM%]:[WASH%]], 0, MATCH(_xlfn.CONCAT(B$3,"%"), tblPiNAnalysis[[#Headers],[CCCM%]:[WASH%]], 0)), 1)=ROUND(INDEX(tblPiNAnalysis[[CCCM%]:[WASH%]], 0, MATCH(_xlfn.CONCAT($A13,"%"), tblPiNAnalysis[[#Headers],[CCCM%]:[WASH%]], 0)), 1), 1, 0)))</f>
        <v/>
      </c>
      <c r="C13" s="185" t="str" cm="1">
        <f t="array" ref="C13">IF(OR($A13=C$3,C$3="",$A13=""),"",SUM(IF(ROUND(INDEX(tblPiNAnalysis[[CCCM%]:[WASH%]], 0, MATCH(_xlfn.CONCAT(C$3,"%"), tblPiNAnalysis[[#Headers],[CCCM%]:[WASH%]], 0)), 1)=ROUND(INDEX(tblPiNAnalysis[[CCCM%]:[WASH%]], 0, MATCH(_xlfn.CONCAT($A13,"%"), tblPiNAnalysis[[#Headers],[CCCM%]:[WASH%]], 0)), 1), 1, 0)))</f>
        <v/>
      </c>
      <c r="D13" s="185" t="str" cm="1">
        <f t="array" ref="D13">IF(OR($A13=D$3,D$3="",$A13=""),"",SUM(IF(ROUND(INDEX(tblPiNAnalysis[[CCCM%]:[WASH%]], 0, MATCH(_xlfn.CONCAT(D$3,"%"), tblPiNAnalysis[[#Headers],[CCCM%]:[WASH%]], 0)), 1)=ROUND(INDEX(tblPiNAnalysis[[CCCM%]:[WASH%]], 0, MATCH(_xlfn.CONCAT($A13,"%"), tblPiNAnalysis[[#Headers],[CCCM%]:[WASH%]], 0)), 1), 1, 0)))</f>
        <v/>
      </c>
      <c r="E13" s="185" t="str" cm="1">
        <f t="array" ref="E13">IF(OR($A13=E$3,E$3="",$A13=""),"",SUM(IF(ROUND(INDEX(tblPiNAnalysis[[CCCM%]:[WASH%]], 0, MATCH(_xlfn.CONCAT(E$3,"%"), tblPiNAnalysis[[#Headers],[CCCM%]:[WASH%]], 0)), 1)=ROUND(INDEX(tblPiNAnalysis[[CCCM%]:[WASH%]], 0, MATCH(_xlfn.CONCAT($A13,"%"), tblPiNAnalysis[[#Headers],[CCCM%]:[WASH%]], 0)), 1), 1, 0)))</f>
        <v/>
      </c>
      <c r="F13" s="185" t="str" cm="1">
        <f t="array" ref="F13">IF(OR($A13=F$3,F$3="",$A13=""),"",SUM(IF(ROUND(INDEX(tblPiNAnalysis[[CCCM%]:[WASH%]], 0, MATCH(_xlfn.CONCAT(F$3,"%"), tblPiNAnalysis[[#Headers],[CCCM%]:[WASH%]], 0)), 1)=ROUND(INDEX(tblPiNAnalysis[[CCCM%]:[WASH%]], 0, MATCH(_xlfn.CONCAT($A13,"%"), tblPiNAnalysis[[#Headers],[CCCM%]:[WASH%]], 0)), 1), 1, 0)))</f>
        <v/>
      </c>
      <c r="G13" s="185" t="str" cm="1">
        <f t="array" ref="G13">IF(OR($A13=G$3,G$3="",$A13=""),"",SUM(IF(ROUND(INDEX(tblPiNAnalysis[[CCCM%]:[WASH%]], 0, MATCH(_xlfn.CONCAT(G$3,"%"), tblPiNAnalysis[[#Headers],[CCCM%]:[WASH%]], 0)), 1)=ROUND(INDEX(tblPiNAnalysis[[CCCM%]:[WASH%]], 0, MATCH(_xlfn.CONCAT($A13,"%"), tblPiNAnalysis[[#Headers],[CCCM%]:[WASH%]], 0)), 1), 1, 0)))</f>
        <v/>
      </c>
      <c r="H13" s="185" t="str" cm="1">
        <f t="array" ref="H13">IF(OR($A13=H$3,H$3="",$A13=""),"",SUM(IF(ROUND(INDEX(tblPiNAnalysis[[CCCM%]:[WASH%]], 0, MATCH(_xlfn.CONCAT(H$3,"%"), tblPiNAnalysis[[#Headers],[CCCM%]:[WASH%]], 0)), 1)=ROUND(INDEX(tblPiNAnalysis[[CCCM%]:[WASH%]], 0, MATCH(_xlfn.CONCAT($A13,"%"), tblPiNAnalysis[[#Headers],[CCCM%]:[WASH%]], 0)), 1), 1, 0)))</f>
        <v/>
      </c>
      <c r="I13" s="185" t="str" cm="1">
        <f t="array" ref="I13">IF(OR($A13=I$3,I$3="",$A13=""),"",SUM(IF(ROUND(INDEX(tblPiNAnalysis[[CCCM%]:[WASH%]], 0, MATCH(_xlfn.CONCAT(I$3,"%"), tblPiNAnalysis[[#Headers],[CCCM%]:[WASH%]], 0)), 1)=ROUND(INDEX(tblPiNAnalysis[[CCCM%]:[WASH%]], 0, MATCH(_xlfn.CONCAT($A13,"%"), tblPiNAnalysis[[#Headers],[CCCM%]:[WASH%]], 0)), 1), 1, 0)))</f>
        <v/>
      </c>
      <c r="J13" s="185" t="str" cm="1">
        <f t="array" ref="J13">IF(OR($A13=J$3,J$3="",$A13=""),"",SUM(IF(ROUND(INDEX(tblPiNAnalysis[[CCCM%]:[WASH%]], 0, MATCH(_xlfn.CONCAT(J$3,"%"), tblPiNAnalysis[[#Headers],[CCCM%]:[WASH%]], 0)), 1)=ROUND(INDEX(tblPiNAnalysis[[CCCM%]:[WASH%]], 0, MATCH(_xlfn.CONCAT($A13,"%"), tblPiNAnalysis[[#Headers],[CCCM%]:[WASH%]], 0)), 1), 1, 0)))</f>
        <v/>
      </c>
      <c r="K13" s="185" t="str" cm="1">
        <f t="array" ref="K13">IF(OR($A13=K$3,K$3="",$A13=""),"",SUM(IF(ROUND(INDEX(tblPiNAnalysis[[CCCM%]:[WASH%]], 0, MATCH(_xlfn.CONCAT(K$3,"%"), tblPiNAnalysis[[#Headers],[CCCM%]:[WASH%]], 0)), 1)=ROUND(INDEX(tblPiNAnalysis[[CCCM%]:[WASH%]], 0, MATCH(_xlfn.CONCAT($A13,"%"), tblPiNAnalysis[[#Headers],[CCCM%]:[WASH%]], 0)), 1), 1, 0)))</f>
        <v/>
      </c>
      <c r="L13" s="185"/>
      <c r="M13" s="183"/>
      <c r="N13" s="182"/>
      <c r="O13" s="185" t="str" cm="1">
        <f t="array" ref="O13">IF(OR($N13=O$3,O$3="",$N13=""),"",SUM(IF(INDEX(tblSeverityAnalysis[[CCCM]:[WASH]],0,MATCH(O$3,tblSeverityAnalysis[[#Headers],[CCCM]:[WASH]],0))=INDEX(tblSeverityAnalysis[[CCCM]:[WASH]],0,MATCH($N13,tblSeverityAnalysis[[#Headers],[CCCM]:[WASH]],0)), 1, 0)))</f>
        <v/>
      </c>
      <c r="P13" s="185" t="str" cm="1">
        <f t="array" ref="P13">IF(OR($N13=P$3,P$3="",$N13=""),"",SUM(IF(INDEX(tblSeverityAnalysis[[CCCM]:[WASH]],0,MATCH(P$3,tblSeverityAnalysis[[#Headers],[CCCM]:[WASH]],0))=INDEX(tblSeverityAnalysis[[CCCM]:[WASH]],0,MATCH($N13,tblSeverityAnalysis[[#Headers],[CCCM]:[WASH]],0)), 1, 0)))</f>
        <v/>
      </c>
      <c r="Q13" s="185" t="str" cm="1">
        <f t="array" ref="Q13">IF(OR($N13=Q$3,Q$3="",$N13=""),"",SUM(IF(INDEX(tblSeverityAnalysis[[CCCM]:[WASH]],0,MATCH(Q$3,tblSeverityAnalysis[[#Headers],[CCCM]:[WASH]],0))=INDEX(tblSeverityAnalysis[[CCCM]:[WASH]],0,MATCH($N13,tblSeverityAnalysis[[#Headers],[CCCM]:[WASH]],0)), 1, 0)))</f>
        <v/>
      </c>
      <c r="R13" s="185" t="str" cm="1">
        <f t="array" ref="R13">IF(OR($N13=R$3,R$3="",$N13=""),"",SUM(IF(INDEX(tblSeverityAnalysis[[CCCM]:[WASH]],0,MATCH(R$3,tblSeverityAnalysis[[#Headers],[CCCM]:[WASH]],0))=INDEX(tblSeverityAnalysis[[CCCM]:[WASH]],0,MATCH($N13,tblSeverityAnalysis[[#Headers],[CCCM]:[WASH]],0)), 1, 0)))</f>
        <v/>
      </c>
      <c r="S13" s="185" t="str" cm="1">
        <f t="array" ref="S13">IF(OR($N13=S$3,S$3="",$N13=""),"",SUM(IF(INDEX(tblSeverityAnalysis[[CCCM]:[WASH]],0,MATCH(S$3,tblSeverityAnalysis[[#Headers],[CCCM]:[WASH]],0))=INDEX(tblSeverityAnalysis[[CCCM]:[WASH]],0,MATCH($N13,tblSeverityAnalysis[[#Headers],[CCCM]:[WASH]],0)), 1, 0)))</f>
        <v/>
      </c>
      <c r="T13" s="185" t="str" cm="1">
        <f t="array" ref="T13">IF(OR($N13=T$3,T$3="",$N13=""),"",SUM(IF(INDEX(tblSeverityAnalysis[[CCCM]:[WASH]],0,MATCH(T$3,tblSeverityAnalysis[[#Headers],[CCCM]:[WASH]],0))=INDEX(tblSeverityAnalysis[[CCCM]:[WASH]],0,MATCH($N13,tblSeverityAnalysis[[#Headers],[CCCM]:[WASH]],0)), 1, 0)))</f>
        <v/>
      </c>
      <c r="U13" s="185" t="str" cm="1">
        <f t="array" ref="U13">IF(OR($N13=U$3,U$3="",$N13=""),"",SUM(IF(INDEX(tblSeverityAnalysis[[CCCM]:[WASH]],0,MATCH(U$3,tblSeverityAnalysis[[#Headers],[CCCM]:[WASH]],0))=INDEX(tblSeverityAnalysis[[CCCM]:[WASH]],0,MATCH($N13,tblSeverityAnalysis[[#Headers],[CCCM]:[WASH]],0)), 1, 0)))</f>
        <v/>
      </c>
      <c r="V13" s="185" t="str" cm="1">
        <f t="array" ref="V13">IF(OR($N13=V$3,V$3="",$N13=""),"",SUM(IF(INDEX(tblSeverityAnalysis[[CCCM]:[WASH]],0,MATCH(V$3,tblSeverityAnalysis[[#Headers],[CCCM]:[WASH]],0))=INDEX(tblSeverityAnalysis[[CCCM]:[WASH]],0,MATCH($N13,tblSeverityAnalysis[[#Headers],[CCCM]:[WASH]],0)), 1, 0)))</f>
        <v/>
      </c>
      <c r="W13" s="185" t="str" cm="1">
        <f t="array" ref="W13">IF(OR($N13=W$3,W$3="",$N13=""),"",SUM(IF(INDEX(tblSeverityAnalysis[[CCCM]:[WASH]],0,MATCH(W$3,tblSeverityAnalysis[[#Headers],[CCCM]:[WASH]],0))=INDEX(tblSeverityAnalysis[[CCCM]:[WASH]],0,MATCH($N13,tblSeverityAnalysis[[#Headers],[CCCM]:[WASH]],0)), 1, 0)))</f>
        <v/>
      </c>
      <c r="X13" s="185" t="str" cm="1">
        <f t="array" ref="X13">IF(OR($N13=X$3,X$3="",$N13=""),"",SUM(IF(INDEX(tblSeverityAnalysis[[CCCM]:[WASH]],0,MATCH(X$3,tblSeverityAnalysis[[#Headers],[CCCM]:[WASH]],0))=INDEX(tblSeverityAnalysis[[CCCM]:[WASH]],0,MATCH($N13,tblSeverityAnalysis[[#Headers],[CCCM]:[WASH]],0)), 1, 0)))</f>
        <v/>
      </c>
      <c r="Y13" s="185"/>
    </row>
    <row r="14" spans="1:25" ht="37.5" customHeight="1">
      <c r="A14" s="182"/>
      <c r="B14" s="185" t="str" cm="1">
        <f t="array" ref="B14">IF(OR($A14=B$3,B$3="",$A14=""),"",SUM(IF(ROUND(INDEX(tblPiNAnalysis[[CCCM%]:[WASH%]], 0, MATCH(_xlfn.CONCAT(B$3,"%"), tblPiNAnalysis[[#Headers],[CCCM%]:[WASH%]], 0)), 1)=ROUND(INDEX(tblPiNAnalysis[[CCCM%]:[WASH%]], 0, MATCH(_xlfn.CONCAT($A14,"%"), tblPiNAnalysis[[#Headers],[CCCM%]:[WASH%]], 0)), 1), 1, 0)))</f>
        <v/>
      </c>
      <c r="C14" s="185" t="str" cm="1">
        <f t="array" ref="C14">IF(OR($A14=C$3,C$3="",$A14=""),"",SUM(IF(ROUND(INDEX(tblPiNAnalysis[[CCCM%]:[WASH%]], 0, MATCH(_xlfn.CONCAT(C$3,"%"), tblPiNAnalysis[[#Headers],[CCCM%]:[WASH%]], 0)), 1)=ROUND(INDEX(tblPiNAnalysis[[CCCM%]:[WASH%]], 0, MATCH(_xlfn.CONCAT($A14,"%"), tblPiNAnalysis[[#Headers],[CCCM%]:[WASH%]], 0)), 1), 1, 0)))</f>
        <v/>
      </c>
      <c r="D14" s="185" t="str" cm="1">
        <f t="array" ref="D14">IF(OR($A14=D$3,D$3="",$A14=""),"",SUM(IF(ROUND(INDEX(tblPiNAnalysis[[CCCM%]:[WASH%]], 0, MATCH(_xlfn.CONCAT(D$3,"%"), tblPiNAnalysis[[#Headers],[CCCM%]:[WASH%]], 0)), 1)=ROUND(INDEX(tblPiNAnalysis[[CCCM%]:[WASH%]], 0, MATCH(_xlfn.CONCAT($A14,"%"), tblPiNAnalysis[[#Headers],[CCCM%]:[WASH%]], 0)), 1), 1, 0)))</f>
        <v/>
      </c>
      <c r="E14" s="185" t="str" cm="1">
        <f t="array" ref="E14">IF(OR($A14=E$3,E$3="",$A14=""),"",SUM(IF(ROUND(INDEX(tblPiNAnalysis[[CCCM%]:[WASH%]], 0, MATCH(_xlfn.CONCAT(E$3,"%"), tblPiNAnalysis[[#Headers],[CCCM%]:[WASH%]], 0)), 1)=ROUND(INDEX(tblPiNAnalysis[[CCCM%]:[WASH%]], 0, MATCH(_xlfn.CONCAT($A14,"%"), tblPiNAnalysis[[#Headers],[CCCM%]:[WASH%]], 0)), 1), 1, 0)))</f>
        <v/>
      </c>
      <c r="F14" s="185" t="str" cm="1">
        <f t="array" ref="F14">IF(OR($A14=F$3,F$3="",$A14=""),"",SUM(IF(ROUND(INDEX(tblPiNAnalysis[[CCCM%]:[WASH%]], 0, MATCH(_xlfn.CONCAT(F$3,"%"), tblPiNAnalysis[[#Headers],[CCCM%]:[WASH%]], 0)), 1)=ROUND(INDEX(tblPiNAnalysis[[CCCM%]:[WASH%]], 0, MATCH(_xlfn.CONCAT($A14,"%"), tblPiNAnalysis[[#Headers],[CCCM%]:[WASH%]], 0)), 1), 1, 0)))</f>
        <v/>
      </c>
      <c r="G14" s="185" t="str" cm="1">
        <f t="array" ref="G14">IF(OR($A14=G$3,G$3="",$A14=""),"",SUM(IF(ROUND(INDEX(tblPiNAnalysis[[CCCM%]:[WASH%]], 0, MATCH(_xlfn.CONCAT(G$3,"%"), tblPiNAnalysis[[#Headers],[CCCM%]:[WASH%]], 0)), 1)=ROUND(INDEX(tblPiNAnalysis[[CCCM%]:[WASH%]], 0, MATCH(_xlfn.CONCAT($A14,"%"), tblPiNAnalysis[[#Headers],[CCCM%]:[WASH%]], 0)), 1), 1, 0)))</f>
        <v/>
      </c>
      <c r="H14" s="185" t="str" cm="1">
        <f t="array" ref="H14">IF(OR($A14=H$3,H$3="",$A14=""),"",SUM(IF(ROUND(INDEX(tblPiNAnalysis[[CCCM%]:[WASH%]], 0, MATCH(_xlfn.CONCAT(H$3,"%"), tblPiNAnalysis[[#Headers],[CCCM%]:[WASH%]], 0)), 1)=ROUND(INDEX(tblPiNAnalysis[[CCCM%]:[WASH%]], 0, MATCH(_xlfn.CONCAT($A14,"%"), tblPiNAnalysis[[#Headers],[CCCM%]:[WASH%]], 0)), 1), 1, 0)))</f>
        <v/>
      </c>
      <c r="I14" s="185" t="str" cm="1">
        <f t="array" ref="I14">IF(OR($A14=I$3,I$3="",$A14=""),"",SUM(IF(ROUND(INDEX(tblPiNAnalysis[[CCCM%]:[WASH%]], 0, MATCH(_xlfn.CONCAT(I$3,"%"), tblPiNAnalysis[[#Headers],[CCCM%]:[WASH%]], 0)), 1)=ROUND(INDEX(tblPiNAnalysis[[CCCM%]:[WASH%]], 0, MATCH(_xlfn.CONCAT($A14,"%"), tblPiNAnalysis[[#Headers],[CCCM%]:[WASH%]], 0)), 1), 1, 0)))</f>
        <v/>
      </c>
      <c r="J14" s="185" t="str" cm="1">
        <f t="array" ref="J14">IF(OR($A14=J$3,J$3="",$A14=""),"",SUM(IF(ROUND(INDEX(tblPiNAnalysis[[CCCM%]:[WASH%]], 0, MATCH(_xlfn.CONCAT(J$3,"%"), tblPiNAnalysis[[#Headers],[CCCM%]:[WASH%]], 0)), 1)=ROUND(INDEX(tblPiNAnalysis[[CCCM%]:[WASH%]], 0, MATCH(_xlfn.CONCAT($A14,"%"), tblPiNAnalysis[[#Headers],[CCCM%]:[WASH%]], 0)), 1), 1, 0)))</f>
        <v/>
      </c>
      <c r="K14" s="185" t="str" cm="1">
        <f t="array" ref="K14">IF(OR($A14=K$3,K$3="",$A14=""),"",SUM(IF(ROUND(INDEX(tblPiNAnalysis[[CCCM%]:[WASH%]], 0, MATCH(_xlfn.CONCAT(K$3,"%"), tblPiNAnalysis[[#Headers],[CCCM%]:[WASH%]], 0)), 1)=ROUND(INDEX(tblPiNAnalysis[[CCCM%]:[WASH%]], 0, MATCH(_xlfn.CONCAT($A14,"%"), tblPiNAnalysis[[#Headers],[CCCM%]:[WASH%]], 0)), 1), 1, 0)))</f>
        <v/>
      </c>
      <c r="L14" s="185" t="str" cm="1">
        <f t="array" ref="L14">IF(OR($A14=L$3,L$3="",$A14=""),"",SUM(IF(ROUND(INDEX(tblPiNAnalysis[[CCCM%]:[WASH%]], 0, MATCH(_xlfn.CONCAT(L$3,"%"), tblPiNAnalysis[[#Headers],[CCCM%]:[WASH%]], 0)), 1)=ROUND(INDEX(tblPiNAnalysis[[CCCM%]:[WASH%]], 0, MATCH(_xlfn.CONCAT($A14,"%"), tblPiNAnalysis[[#Headers],[CCCM%]:[WASH%]], 0)), 1), 1, 0)))</f>
        <v/>
      </c>
      <c r="M14" s="183"/>
      <c r="N14" s="182"/>
      <c r="O14" s="185" t="str" cm="1">
        <f t="array" ref="O14">IF(OR($N14=O$3,O$3="",$N14=""),"",SUM(IF(INDEX(tblSeverityAnalysis[[CCCM]:[WASH]],0,MATCH(O$3,tblSeverityAnalysis[[#Headers],[CCCM]:[WASH]],0))=INDEX(tblSeverityAnalysis[[CCCM]:[WASH]],0,MATCH($N14,tblSeverityAnalysis[[#Headers],[CCCM]:[WASH]],0)), 1, 0)))</f>
        <v/>
      </c>
      <c r="P14" s="185" t="str" cm="1">
        <f t="array" ref="P14">IF(OR($N14=P$3,P$3="",$N14=""),"",SUM(IF(INDEX(tblSeverityAnalysis[[CCCM]:[WASH]],0,MATCH(P$3,tblSeverityAnalysis[[#Headers],[CCCM]:[WASH]],0))=INDEX(tblSeverityAnalysis[[CCCM]:[WASH]],0,MATCH($N14,tblSeverityAnalysis[[#Headers],[CCCM]:[WASH]],0)), 1, 0)))</f>
        <v/>
      </c>
      <c r="Q14" s="185" t="str" cm="1">
        <f t="array" ref="Q14">IF(OR($N14=Q$3,Q$3="",$N14=""),"",SUM(IF(INDEX(tblSeverityAnalysis[[CCCM]:[WASH]],0,MATCH(Q$3,tblSeverityAnalysis[[#Headers],[CCCM]:[WASH]],0))=INDEX(tblSeverityAnalysis[[CCCM]:[WASH]],0,MATCH($N14,tblSeverityAnalysis[[#Headers],[CCCM]:[WASH]],0)), 1, 0)))</f>
        <v/>
      </c>
      <c r="R14" s="185" t="str" cm="1">
        <f t="array" ref="R14">IF(OR($N14=R$3,R$3="",$N14=""),"",SUM(IF(INDEX(tblSeverityAnalysis[[CCCM]:[WASH]],0,MATCH(R$3,tblSeverityAnalysis[[#Headers],[CCCM]:[WASH]],0))=INDEX(tblSeverityAnalysis[[CCCM]:[WASH]],0,MATCH($N14,tblSeverityAnalysis[[#Headers],[CCCM]:[WASH]],0)), 1, 0)))</f>
        <v/>
      </c>
      <c r="S14" s="185" t="str" cm="1">
        <f t="array" ref="S14">IF(OR($N14=S$3,S$3="",$N14=""),"",SUM(IF(INDEX(tblSeverityAnalysis[[CCCM]:[WASH]],0,MATCH(S$3,tblSeverityAnalysis[[#Headers],[CCCM]:[WASH]],0))=INDEX(tblSeverityAnalysis[[CCCM]:[WASH]],0,MATCH($N14,tblSeverityAnalysis[[#Headers],[CCCM]:[WASH]],0)), 1, 0)))</f>
        <v/>
      </c>
      <c r="T14" s="185" t="str" cm="1">
        <f t="array" ref="T14">IF(OR($N14=T$3,T$3="",$N14=""),"",SUM(IF(INDEX(tblSeverityAnalysis[[CCCM]:[WASH]],0,MATCH(T$3,tblSeverityAnalysis[[#Headers],[CCCM]:[WASH]],0))=INDEX(tblSeverityAnalysis[[CCCM]:[WASH]],0,MATCH($N14,tblSeverityAnalysis[[#Headers],[CCCM]:[WASH]],0)), 1, 0)))</f>
        <v/>
      </c>
      <c r="U14" s="185" t="str" cm="1">
        <f t="array" ref="U14">IF(OR($N14=U$3,U$3="",$N14=""),"",SUM(IF(INDEX(tblSeverityAnalysis[[CCCM]:[WASH]],0,MATCH(U$3,tblSeverityAnalysis[[#Headers],[CCCM]:[WASH]],0))=INDEX(tblSeverityAnalysis[[CCCM]:[WASH]],0,MATCH($N14,tblSeverityAnalysis[[#Headers],[CCCM]:[WASH]],0)), 1, 0)))</f>
        <v/>
      </c>
      <c r="V14" s="185" t="str" cm="1">
        <f t="array" ref="V14">IF(OR($N14=V$3,V$3="",$N14=""),"",SUM(IF(INDEX(tblSeverityAnalysis[[CCCM]:[WASH]],0,MATCH(V$3,tblSeverityAnalysis[[#Headers],[CCCM]:[WASH]],0))=INDEX(tblSeverityAnalysis[[CCCM]:[WASH]],0,MATCH($N14,tblSeverityAnalysis[[#Headers],[CCCM]:[WASH]],0)), 1, 0)))</f>
        <v/>
      </c>
      <c r="W14" s="185" t="str" cm="1">
        <f t="array" ref="W14">IF(OR($N14=W$3,W$3="",$N14=""),"",SUM(IF(INDEX(tblSeverityAnalysis[[CCCM]:[WASH]],0,MATCH(W$3,tblSeverityAnalysis[[#Headers],[CCCM]:[WASH]],0))=INDEX(tblSeverityAnalysis[[CCCM]:[WASH]],0,MATCH($N14,tblSeverityAnalysis[[#Headers],[CCCM]:[WASH]],0)), 1, 0)))</f>
        <v/>
      </c>
      <c r="X14" s="185" t="str" cm="1">
        <f t="array" ref="X14">IF(OR($N14=X$3,X$3="",$N14=""),"",SUM(IF(INDEX(tblSeverityAnalysis[[CCCM]:[WASH]],0,MATCH(X$3,tblSeverityAnalysis[[#Headers],[CCCM]:[WASH]],0))=INDEX(tblSeverityAnalysis[[CCCM]:[WASH]],0,MATCH($N14,tblSeverityAnalysis[[#Headers],[CCCM]:[WASH]],0)), 1, 0)))</f>
        <v/>
      </c>
      <c r="Y14" s="185" t="str" cm="1">
        <f t="array" ref="Y14">IF(OR($N14=Y$3,Y$3="",$N14=""),"",SUM(IF(INDEX(tblSeverityAnalysis[[CCCM]:[WASH]],0,MATCH(Y$3,tblSeverityAnalysis[[#Headers],[CCCM]:[WASH]],0))=INDEX(tblSeverityAnalysis[[CCCM]:[WASH]],0,MATCH($N14,tblSeverityAnalysis[[#Headers],[CCCM]:[WASH]],0)), 1, 0)))</f>
        <v/>
      </c>
    </row>
    <row r="15" spans="1:25">
      <c r="M15" s="183"/>
    </row>
  </sheetData>
  <mergeCells count="2">
    <mergeCell ref="A1:K2"/>
    <mergeCell ref="N1:Y2"/>
  </mergeCells>
  <conditionalFormatting sqref="A4:A14">
    <cfRule type="notContainsBlanks" dxfId="11" priority="5">
      <formula>LEN(TRIM(A4))&gt;0</formula>
    </cfRule>
  </conditionalFormatting>
  <conditionalFormatting sqref="B3:L3">
    <cfRule type="notContainsBlanks" dxfId="10" priority="7">
      <formula>LEN(TRIM(B3))&gt;0</formula>
    </cfRule>
  </conditionalFormatting>
  <conditionalFormatting sqref="B4:L14">
    <cfRule type="notContainsBlanks" dxfId="9" priority="6">
      <formula>LEN(TRIM(B4))&gt;0</formula>
    </cfRule>
    <cfRule type="colorScale" priority="8">
      <colorScale>
        <cfvo type="min"/>
        <cfvo type="max"/>
        <color theme="8" tint="0.79998168889431442"/>
        <color theme="8" tint="-0.249977111117893"/>
      </colorScale>
    </cfRule>
  </conditionalFormatting>
  <conditionalFormatting sqref="N4:N14">
    <cfRule type="notContainsBlanks" dxfId="8" priority="1">
      <formula>LEN(TRIM(N4))&gt;0</formula>
    </cfRule>
  </conditionalFormatting>
  <conditionalFormatting sqref="O3:Y3">
    <cfRule type="notContainsBlanks" dxfId="7" priority="3">
      <formula>LEN(TRIM(O3))&gt;0</formula>
    </cfRule>
  </conditionalFormatting>
  <conditionalFormatting sqref="O4:Y14">
    <cfRule type="notContainsBlanks" dxfId="6" priority="2">
      <formula>LEN(TRIM(O4))&gt;0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2386-F1C7-4825-8FAC-7D142765418D}">
  <sheetPr codeName="Sheet12">
    <tabColor rgb="FF00B050"/>
  </sheetPr>
  <dimension ref="A1:AA16"/>
  <sheetViews>
    <sheetView showGridLines="0" zoomScale="80" zoomScaleNormal="80" workbookViewId="0">
      <selection activeCell="AO11" sqref="AO11"/>
    </sheetView>
  </sheetViews>
  <sheetFormatPr defaultRowHeight="14.45"/>
  <cols>
    <col min="2" max="2" width="17.42578125" style="181" customWidth="1"/>
    <col min="3" max="9" width="12.85546875" style="23" customWidth="1"/>
    <col min="10" max="13" width="12.85546875" customWidth="1"/>
    <col min="14" max="14" width="2.5703125" customWidth="1"/>
    <col min="16" max="16" width="15" customWidth="1"/>
    <col min="17" max="27" width="12.85546875" customWidth="1"/>
  </cols>
  <sheetData>
    <row r="1" spans="1:27" ht="55.5" customHeight="1">
      <c r="B1" s="464" t="s">
        <v>715</v>
      </c>
      <c r="C1" s="464"/>
      <c r="D1" s="464"/>
      <c r="E1" s="464"/>
      <c r="F1" s="464"/>
      <c r="G1" s="464"/>
      <c r="H1" s="464"/>
      <c r="I1" s="464"/>
      <c r="J1" s="464"/>
      <c r="K1" s="464"/>
      <c r="L1" s="464"/>
      <c r="N1" s="183"/>
      <c r="P1" s="463" t="s">
        <v>716</v>
      </c>
      <c r="Q1" s="463"/>
      <c r="R1" s="463"/>
      <c r="S1" s="463"/>
      <c r="T1" s="463"/>
      <c r="U1" s="463"/>
      <c r="V1" s="463"/>
      <c r="W1" s="463"/>
      <c r="X1" s="463"/>
      <c r="Y1" s="463"/>
      <c r="Z1" s="463"/>
      <c r="AA1" s="463"/>
    </row>
    <row r="2" spans="1:27" ht="55.5" customHeight="1">
      <c r="B2" s="464"/>
      <c r="C2" s="464"/>
      <c r="D2" s="464"/>
      <c r="E2" s="464"/>
      <c r="F2" s="464"/>
      <c r="G2" s="464"/>
      <c r="H2" s="464"/>
      <c r="I2" s="464"/>
      <c r="J2" s="464"/>
      <c r="K2" s="464"/>
      <c r="L2" s="464"/>
      <c r="N2" s="183"/>
      <c r="P2" s="463"/>
      <c r="Q2" s="463"/>
      <c r="R2" s="463"/>
      <c r="S2" s="463"/>
      <c r="T2" s="463"/>
      <c r="U2" s="463"/>
      <c r="V2" s="463"/>
      <c r="W2" s="463"/>
      <c r="X2" s="463"/>
      <c r="Y2" s="463"/>
      <c r="Z2" s="463"/>
      <c r="AA2" s="463"/>
    </row>
    <row r="3" spans="1:27" ht="24.75" customHeight="1">
      <c r="B3" s="184"/>
      <c r="C3" s="463" t="s">
        <v>717</v>
      </c>
      <c r="D3" s="463"/>
      <c r="E3" s="463"/>
      <c r="F3" s="463"/>
      <c r="G3" s="463"/>
      <c r="H3" s="463"/>
      <c r="I3" s="463"/>
      <c r="J3" s="463"/>
      <c r="K3" s="463"/>
      <c r="L3" s="463"/>
      <c r="M3" s="463"/>
      <c r="N3" s="183"/>
      <c r="P3" s="180"/>
      <c r="Q3" s="463" t="s">
        <v>717</v>
      </c>
      <c r="R3" s="463"/>
      <c r="S3" s="463"/>
      <c r="T3" s="463"/>
      <c r="U3" s="463"/>
      <c r="V3" s="463"/>
      <c r="W3" s="463"/>
      <c r="X3" s="463"/>
      <c r="Y3" s="463"/>
      <c r="Z3" s="463"/>
      <c r="AA3" s="463"/>
    </row>
    <row r="4" spans="1:27" ht="50.25" customHeight="1">
      <c r="B4" s="178"/>
      <c r="C4" s="185" t="str" cm="1">
        <f t="array" ref="C4:J4">_xlfn.UNIQUE(tblPiNAnalysis[[#Headers],[CCCM]:[WASH]])</f>
        <v>CCCM</v>
      </c>
      <c r="D4" s="185" t="str">
        <v>Education</v>
      </c>
      <c r="E4" s="185" t="str">
        <v>Nutrition</v>
      </c>
      <c r="F4" s="185" t="str">
        <v>Food Security</v>
      </c>
      <c r="G4" s="185" t="str">
        <v>Health</v>
      </c>
      <c r="H4" s="185" t="str">
        <v>Overarching Protection</v>
      </c>
      <c r="I4" s="185" t="str">
        <v>Shelter</v>
      </c>
      <c r="J4" s="182" t="str">
        <v>WASH</v>
      </c>
      <c r="K4" s="182"/>
      <c r="L4" s="182"/>
      <c r="N4" s="183"/>
      <c r="P4" s="178"/>
      <c r="Q4" s="182" t="str" cm="1">
        <f t="array" ref="Q4:X4">_xlfn.UNIQUE(tblSeverityAnalysis[[#Headers],[CCCM]:[WASH]])</f>
        <v>CCCM</v>
      </c>
      <c r="R4" s="182" t="str">
        <v>Education</v>
      </c>
      <c r="S4" s="182" t="str">
        <v>Nutrition</v>
      </c>
      <c r="T4" s="182" t="str">
        <v>Food Security</v>
      </c>
      <c r="U4" s="182" t="str">
        <v>Health</v>
      </c>
      <c r="V4" s="182" t="str">
        <v>Overarching Protection</v>
      </c>
      <c r="W4" s="182" t="str">
        <v>Shelter</v>
      </c>
      <c r="X4" s="182" t="str">
        <v>WASH</v>
      </c>
      <c r="Y4" s="182"/>
      <c r="Z4" s="182"/>
    </row>
    <row r="5" spans="1:27" ht="37.5" customHeight="1">
      <c r="A5" s="465" t="s">
        <v>718</v>
      </c>
      <c r="B5" s="182" t="str" cm="1">
        <f t="array" ref="B5:B12">TRANSPOSE(tblPiNAnalysis[[#Headers],[CCCM]:[WASH]])</f>
        <v>CCCM</v>
      </c>
      <c r="C5" s="185" t="str">
        <f>IF(OR($B5=C$4,C$4="",$B5=""),"", COUNTIFS(tblPiNAnalysis[Highest sector(s)], _xlfn.CONCAT("*", C$4, "*"), tblPiNAnalysis[2nd Highest sector(s)], _xlfn.CONCAT("*", $B5, "*")))</f>
        <v/>
      </c>
      <c r="D5" s="185">
        <f>IF(OR($B5=D$4,D$4="",$B5=""),"", COUNTIFS(tblPiNAnalysis[Highest sector(s)], _xlfn.CONCAT("*", D$4, "*"), tblPiNAnalysis[2nd Highest sector(s)], _xlfn.CONCAT("*", $B5, "*")))</f>
        <v>0</v>
      </c>
      <c r="E5" s="185">
        <f>IF(OR($B5=E$4,E$4="",$B5=""),"", COUNTIFS(tblPiNAnalysis[Highest sector(s)], _xlfn.CONCAT("*", E$4, "*"), tblPiNAnalysis[2nd Highest sector(s)], _xlfn.CONCAT("*", $B5, "*")))</f>
        <v>0</v>
      </c>
      <c r="F5" s="185">
        <f>IF(OR($B5=F$4,F$4="",$B5=""),"", COUNTIFS(tblPiNAnalysis[Highest sector(s)], _xlfn.CONCAT("*", F$4, "*"), tblPiNAnalysis[2nd Highest sector(s)], _xlfn.CONCAT("*", $B5, "*")))</f>
        <v>2</v>
      </c>
      <c r="G5" s="185">
        <f>IF(OR($B5=G$4,G$4="",$B5=""),"", COUNTIFS(tblPiNAnalysis[Highest sector(s)], _xlfn.CONCAT("*", G$4, "*"), tblPiNAnalysis[2nd Highest sector(s)], _xlfn.CONCAT("*", $B5, "*")))</f>
        <v>0</v>
      </c>
      <c r="H5" s="185">
        <f>IF(OR($B5=H$4,H$4="",$B5=""),"", COUNTIFS(tblPiNAnalysis[Highest sector(s)], _xlfn.CONCAT("*", H$4, "*"), tblPiNAnalysis[2nd Highest sector(s)], _xlfn.CONCAT("*", $B5, "*")))</f>
        <v>0</v>
      </c>
      <c r="I5" s="185">
        <f>IF(OR($B5=I$4,I$4="",$B5=""),"", COUNTIFS(tblPiNAnalysis[Highest sector(s)], _xlfn.CONCAT("*", I$4, "*"), tblPiNAnalysis[2nd Highest sector(s)], _xlfn.CONCAT("*", $B5, "*")))</f>
        <v>0</v>
      </c>
      <c r="J5" s="185">
        <f>IF(OR($B5=J$4,J$4="",$B5=""),"", COUNTIFS(tblPiNAnalysis[Highest sector(s)], _xlfn.CONCAT("*", J$4, "*"), tblPiNAnalysis[2nd Highest sector(s)], _xlfn.CONCAT("*", $B5, "*")))</f>
        <v>1</v>
      </c>
      <c r="K5" s="185" t="str">
        <f>IF(OR($B5=K$4,K$4="",$B5=""),"", COUNTIFS(tblPiNAnalysis[Highest sector(s)], _xlfn.CONCAT("*", K$4, "*"), tblPiNAnalysis[2nd Highest sector(s)], _xlfn.CONCAT("*", $B5, "*")))</f>
        <v/>
      </c>
      <c r="L5" s="185" t="str">
        <f>IF(OR($B5=L$4,L$4="",$B5=""),"", COUNTIFS(tblPiNAnalysis[Highest sector(s)], _xlfn.CONCAT("*", L$4, "*"), tblPiNAnalysis[2nd Highest sector(s)], _xlfn.CONCAT("*", $B5, "*")))</f>
        <v/>
      </c>
      <c r="M5" s="185" t="str">
        <f>IF(OR($B5=M$4,M$4="",$B5=""),"", COUNTIFS(tblPiNAnalysis[Highest sector(s)], _xlfn.CONCAT("*", M$4, "*"), tblPiNAnalysis[2nd Highest sector(s)], _xlfn.CONCAT("*", $B5, "*")))</f>
        <v/>
      </c>
      <c r="N5" s="466"/>
      <c r="O5" s="465" t="s">
        <v>718</v>
      </c>
      <c r="P5" s="182" t="str" cm="1">
        <f t="array" ref="P5:P12">TRANSPOSE(tblSeverityAnalysis[[#Headers],[CCCM]:[WASH]])</f>
        <v>CCCM</v>
      </c>
      <c r="Q5" s="185" t="str">
        <f>IF(OR($P5=Q$4,Q$4="",$P5=""),"", COUNTIFS(tblSeverityAnalysis[Sectors with Highest Severity], _xlfn.CONCAT("*", Q$4, "*"), tblSeverityAnalysis[Sectors with 2nd Highest Severity], _xlfn.CONCAT("*", $P5, "*")))</f>
        <v/>
      </c>
      <c r="R5" s="185">
        <f>IF(OR($P5=R$4,R$4="",$P5=""),"", COUNTIFS(tblSeverityAnalysis[Sectors with Highest Severity], _xlfn.CONCAT("*", R$4, "*"), tblSeverityAnalysis[Sectors with 2nd Highest Severity], _xlfn.CONCAT("*", $P5, "*")))</f>
        <v>7</v>
      </c>
      <c r="S5" s="185">
        <f>IF(OR($P5=S$4,S$4="",$P5=""),"", COUNTIFS(tblSeverityAnalysis[Sectors with Highest Severity], _xlfn.CONCAT("*", S$4, "*"), tblSeverityAnalysis[Sectors with 2nd Highest Severity], _xlfn.CONCAT("*", $P5, "*")))</f>
        <v>3</v>
      </c>
      <c r="T5" s="185">
        <f>IF(OR($P5=T$4,T$4="",$P5=""),"", COUNTIFS(tblSeverityAnalysis[Sectors with Highest Severity], _xlfn.CONCAT("*", T$4, "*"), tblSeverityAnalysis[Sectors with 2nd Highest Severity], _xlfn.CONCAT("*", $P5, "*")))</f>
        <v>11</v>
      </c>
      <c r="U5" s="185">
        <f>IF(OR($P5=U$4,U$4="",$P5=""),"", COUNTIFS(tblSeverityAnalysis[Sectors with Highest Severity], _xlfn.CONCAT("*", U$4, "*"), tblSeverityAnalysis[Sectors with 2nd Highest Severity], _xlfn.CONCAT("*", $P5, "*")))</f>
        <v>0</v>
      </c>
      <c r="V5" s="185">
        <f>IF(OR($P5=V$4,V$4="",$P5=""),"", COUNTIFS(tblSeverityAnalysis[Sectors with Highest Severity], _xlfn.CONCAT("*", V$4, "*"), tblSeverityAnalysis[Sectors with 2nd Highest Severity], _xlfn.CONCAT("*", $P5, "*")))</f>
        <v>11</v>
      </c>
      <c r="W5" s="185">
        <f>IF(OR($P5=W$4,W$4="",$P5=""),"", COUNTIFS(tblSeverityAnalysis[Sectors with Highest Severity], _xlfn.CONCAT("*", W$4, "*"), tblSeverityAnalysis[Sectors with 2nd Highest Severity], _xlfn.CONCAT("*", $P5, "*")))</f>
        <v>5</v>
      </c>
      <c r="X5" s="185">
        <f>IF(OR($P5=X$4,X$4="",$P5=""),"", COUNTIFS(tblSeverityAnalysis[Sectors with Highest Severity], _xlfn.CONCAT("*", X$4, "*"), tblSeverityAnalysis[Sectors with 2nd Highest Severity], _xlfn.CONCAT("*", $P5, "*")))</f>
        <v>103</v>
      </c>
      <c r="Y5" s="185" t="str">
        <f>IF(OR($P5=Y$4,Y$4="",$P5=""),"", COUNTIFS(tblSeverityAnalysis[Sectors with Highest Severity], _xlfn.CONCAT("*", Y$4, "*"), tblSeverityAnalysis[Sectors with 2nd Highest Severity], _xlfn.CONCAT("*", $P5, "*")))</f>
        <v/>
      </c>
      <c r="Z5" s="185" t="str">
        <f>IF(OR($P5=Z$4,Z$4="",$P5=""),"", COUNTIFS(tblSeverityAnalysis[Sectors with Highest Severity], _xlfn.CONCAT("*", Z$4, "*"), tblSeverityAnalysis[Sectors with 2nd Highest Severity], _xlfn.CONCAT("*", $P5, "*")))</f>
        <v/>
      </c>
      <c r="AA5" s="185" t="str">
        <f>IF(OR($P5=AA$4,AA$4="",$P5=""),"", COUNTIFS(tblSeverityAnalysis[Sectors with Highest Severity], _xlfn.CONCAT("*", AA$4, "*"), tblSeverityAnalysis[Sectors with 2nd Highest Severity], _xlfn.CONCAT("*", $P5, "*")))</f>
        <v/>
      </c>
    </row>
    <row r="6" spans="1:27" ht="37.5" customHeight="1">
      <c r="A6" s="465"/>
      <c r="B6" s="182" t="str">
        <v>Education</v>
      </c>
      <c r="C6" s="185">
        <f>IF(OR($B6=C$4,C$4="",$B6=""),"", COUNTIFS(tblPiNAnalysis[Highest sector(s)], _xlfn.CONCAT("*", C$4, "*"), tblPiNAnalysis[2nd Highest sector(s)], _xlfn.CONCAT("*", $B6, "*")))</f>
        <v>0</v>
      </c>
      <c r="D6" s="185" t="str">
        <f>IF(OR($B6=D$4,D$4="",$B6=""),"", COUNTIFS(tblPiNAnalysis[Highest sector(s)], _xlfn.CONCAT("*", D$4, "*"), tblPiNAnalysis[2nd Highest sector(s)], _xlfn.CONCAT("*", $B6, "*")))</f>
        <v/>
      </c>
      <c r="E6" s="185">
        <f>IF(OR($B6=E$4,E$4="",$B6=""),"", COUNTIFS(tblPiNAnalysis[Highest sector(s)], _xlfn.CONCAT("*", E$4, "*"), tblPiNAnalysis[2nd Highest sector(s)], _xlfn.CONCAT("*", $B6, "*")))</f>
        <v>0</v>
      </c>
      <c r="F6" s="185">
        <f>IF(OR($B6=F$4,F$4="",$B6=""),"", COUNTIFS(tblPiNAnalysis[Highest sector(s)], _xlfn.CONCAT("*", F$4, "*"), tblPiNAnalysis[2nd Highest sector(s)], _xlfn.CONCAT("*", $B6, "*")))</f>
        <v>1</v>
      </c>
      <c r="G6" s="185">
        <f>IF(OR($B6=G$4,G$4="",$B6=""),"", COUNTIFS(tblPiNAnalysis[Highest sector(s)], _xlfn.CONCAT("*", G$4, "*"), tblPiNAnalysis[2nd Highest sector(s)], _xlfn.CONCAT("*", $B6, "*")))</f>
        <v>0</v>
      </c>
      <c r="H6" s="185">
        <f>IF(OR($B6=H$4,H$4="",$B6=""),"", COUNTIFS(tblPiNAnalysis[Highest sector(s)], _xlfn.CONCAT("*", H$4, "*"), tblPiNAnalysis[2nd Highest sector(s)], _xlfn.CONCAT("*", $B6, "*")))</f>
        <v>1</v>
      </c>
      <c r="I6" s="185">
        <f>IF(OR($B6=I$4,I$4="",$B6=""),"", COUNTIFS(tblPiNAnalysis[Highest sector(s)], _xlfn.CONCAT("*", I$4, "*"), tblPiNAnalysis[2nd Highest sector(s)], _xlfn.CONCAT("*", $B6, "*")))</f>
        <v>1</v>
      </c>
      <c r="J6" s="185">
        <f>IF(OR($B6=J$4,J$4="",$B6=""),"", COUNTIFS(tblPiNAnalysis[Highest sector(s)], _xlfn.CONCAT("*", J$4, "*"), tblPiNAnalysis[2nd Highest sector(s)], _xlfn.CONCAT("*", $B6, "*")))</f>
        <v>1</v>
      </c>
      <c r="K6" s="185" t="str">
        <f>IF(OR($B6=K$4,K$4="",$B6=""),"", COUNTIFS(tblPiNAnalysis[Highest sector(s)], _xlfn.CONCAT("*", K$4, "*"), tblPiNAnalysis[2nd Highest sector(s)], _xlfn.CONCAT("*", $B6, "*")))</f>
        <v/>
      </c>
      <c r="L6" s="185" t="str">
        <f>IF(OR($B6=L$4,L$4="",$B6=""),"", COUNTIFS(tblPiNAnalysis[Highest sector(s)], _xlfn.CONCAT("*", L$4, "*"), tblPiNAnalysis[2nd Highest sector(s)], _xlfn.CONCAT("*", $B6, "*")))</f>
        <v/>
      </c>
      <c r="M6" s="185" t="str">
        <f>IF(OR($B6=M$4,M$4="",$B6=""),"", COUNTIFS(tblPiNAnalysis[Highest sector(s)], _xlfn.CONCAT("*", M$4, "*"), tblPiNAnalysis[2nd Highest sector(s)], _xlfn.CONCAT("*", $B6, "*")))</f>
        <v/>
      </c>
      <c r="N6" s="466"/>
      <c r="O6" s="465"/>
      <c r="P6" s="182" t="str">
        <v>Education</v>
      </c>
      <c r="Q6" s="185">
        <f>IF(OR($P6=Q$4,Q$4="",$P6=""),"", COUNTIFS(tblSeverityAnalysis[Sectors with Highest Severity], _xlfn.CONCAT("*", Q$4, "*"), tblSeverityAnalysis[Sectors with 2nd Highest Severity], _xlfn.CONCAT("*", $P6, "*")))</f>
        <v>1</v>
      </c>
      <c r="R6" s="185" t="str">
        <f>IF(OR($P6=R$4,R$4="",$P6=""),"", COUNTIFS(tblSeverityAnalysis[Sectors with Highest Severity], _xlfn.CONCAT("*", R$4, "*"), tblSeverityAnalysis[Sectors with 2nd Highest Severity], _xlfn.CONCAT("*", $P6, "*")))</f>
        <v/>
      </c>
      <c r="S6" s="185">
        <f>IF(OR($P6=S$4,S$4="",$P6=""),"", COUNTIFS(tblSeverityAnalysis[Sectors with Highest Severity], _xlfn.CONCAT("*", S$4, "*"), tblSeverityAnalysis[Sectors with 2nd Highest Severity], _xlfn.CONCAT("*", $P6, "*")))</f>
        <v>4</v>
      </c>
      <c r="T6" s="185">
        <f>IF(OR($P6=T$4,T$4="",$P6=""),"", COUNTIFS(tblSeverityAnalysis[Sectors with Highest Severity], _xlfn.CONCAT("*", T$4, "*"), tblSeverityAnalysis[Sectors with 2nd Highest Severity], _xlfn.CONCAT("*", $P6, "*")))</f>
        <v>12</v>
      </c>
      <c r="U6" s="185">
        <f>IF(OR($P6=U$4,U$4="",$P6=""),"", COUNTIFS(tblSeverityAnalysis[Sectors with Highest Severity], _xlfn.CONCAT("*", U$4, "*"), tblSeverityAnalysis[Sectors with 2nd Highest Severity], _xlfn.CONCAT("*", $P6, "*")))</f>
        <v>0</v>
      </c>
      <c r="V6" s="185">
        <f>IF(OR($P6=V$4,V$4="",$P6=""),"", COUNTIFS(tblSeverityAnalysis[Sectors with Highest Severity], _xlfn.CONCAT("*", V$4, "*"), tblSeverityAnalysis[Sectors with 2nd Highest Severity], _xlfn.CONCAT("*", $P6, "*")))</f>
        <v>8</v>
      </c>
      <c r="W6" s="185">
        <f>IF(OR($P6=W$4,W$4="",$P6=""),"", COUNTIFS(tblSeverityAnalysis[Sectors with Highest Severity], _xlfn.CONCAT("*", W$4, "*"), tblSeverityAnalysis[Sectors with 2nd Highest Severity], _xlfn.CONCAT("*", $P6, "*")))</f>
        <v>2</v>
      </c>
      <c r="X6" s="185">
        <f>IF(OR($P6=X$4,X$4="",$P6=""),"", COUNTIFS(tblSeverityAnalysis[Sectors with Highest Severity], _xlfn.CONCAT("*", X$4, "*"), tblSeverityAnalysis[Sectors with 2nd Highest Severity], _xlfn.CONCAT("*", $P6, "*")))</f>
        <v>100</v>
      </c>
      <c r="Y6" s="185" t="str">
        <f>IF(OR($P6=Y$4,Y$4="",$P6=""),"", COUNTIFS(tblSeverityAnalysis[Sectors with Highest Severity], _xlfn.CONCAT("*", Y$4, "*"), tblSeverityAnalysis[Sectors with 2nd Highest Severity], _xlfn.CONCAT("*", $P6, "*")))</f>
        <v/>
      </c>
      <c r="Z6" s="185" t="str">
        <f>IF(OR($P6=Z$4,Z$4="",$P6=""),"", COUNTIFS(tblSeverityAnalysis[Sectors with Highest Severity], _xlfn.CONCAT("*", Z$4, "*"), tblSeverityAnalysis[Sectors with 2nd Highest Severity], _xlfn.CONCAT("*", $P6, "*")))</f>
        <v/>
      </c>
      <c r="AA6" s="185" t="str">
        <f>IF(OR($P6=AA$4,AA$4="",$P6=""),"", COUNTIFS(tblSeverityAnalysis[Sectors with Highest Severity], _xlfn.CONCAT("*", AA$4, "*"), tblSeverityAnalysis[Sectors with 2nd Highest Severity], _xlfn.CONCAT("*", $P6, "*")))</f>
        <v/>
      </c>
    </row>
    <row r="7" spans="1:27" ht="37.5" customHeight="1">
      <c r="A7" s="465"/>
      <c r="B7" s="182" t="str">
        <v>Nutrition</v>
      </c>
      <c r="C7" s="185">
        <f>IF(OR($B7=C$4,C$4="",$B7=""),"", COUNTIFS(tblPiNAnalysis[Highest sector(s)], _xlfn.CONCAT("*", C$4, "*"), tblPiNAnalysis[2nd Highest sector(s)], _xlfn.CONCAT("*", $B7, "*")))</f>
        <v>0</v>
      </c>
      <c r="D7" s="185">
        <f>IF(OR($B7=D$4,D$4="",$B7=""),"", COUNTIFS(tblPiNAnalysis[Highest sector(s)], _xlfn.CONCAT("*", D$4, "*"), tblPiNAnalysis[2nd Highest sector(s)], _xlfn.CONCAT("*", $B7, "*")))</f>
        <v>0</v>
      </c>
      <c r="E7" s="185" t="str">
        <f>IF(OR($B7=E$4,E$4="",$B7=""),"", COUNTIFS(tblPiNAnalysis[Highest sector(s)], _xlfn.CONCAT("*", E$4, "*"), tblPiNAnalysis[2nd Highest sector(s)], _xlfn.CONCAT("*", $B7, "*")))</f>
        <v/>
      </c>
      <c r="F7" s="185">
        <f>IF(OR($B7=F$4,F$4="",$B7=""),"", COUNTIFS(tblPiNAnalysis[Highest sector(s)], _xlfn.CONCAT("*", F$4, "*"), tblPiNAnalysis[2nd Highest sector(s)], _xlfn.CONCAT("*", $B7, "*")))</f>
        <v>0</v>
      </c>
      <c r="G7" s="185">
        <f>IF(OR($B7=G$4,G$4="",$B7=""),"", COUNTIFS(tblPiNAnalysis[Highest sector(s)], _xlfn.CONCAT("*", G$4, "*"), tblPiNAnalysis[2nd Highest sector(s)], _xlfn.CONCAT("*", $B7, "*")))</f>
        <v>0</v>
      </c>
      <c r="H7" s="185">
        <f>IF(OR($B7=H$4,H$4="",$B7=""),"", COUNTIFS(tblPiNAnalysis[Highest sector(s)], _xlfn.CONCAT("*", H$4, "*"), tblPiNAnalysis[2nd Highest sector(s)], _xlfn.CONCAT("*", $B7, "*")))</f>
        <v>0</v>
      </c>
      <c r="I7" s="185">
        <f>IF(OR($B7=I$4,I$4="",$B7=""),"", COUNTIFS(tblPiNAnalysis[Highest sector(s)], _xlfn.CONCAT("*", I$4, "*"), tblPiNAnalysis[2nd Highest sector(s)], _xlfn.CONCAT("*", $B7, "*")))</f>
        <v>0</v>
      </c>
      <c r="J7" s="185">
        <f>IF(OR($B7=J$4,J$4="",$B7=""),"", COUNTIFS(tblPiNAnalysis[Highest sector(s)], _xlfn.CONCAT("*", J$4, "*"), tblPiNAnalysis[2nd Highest sector(s)], _xlfn.CONCAT("*", $B7, "*")))</f>
        <v>0</v>
      </c>
      <c r="K7" s="185" t="str">
        <f>IF(OR($B7=K$4,K$4="",$B7=""),"", COUNTIFS(tblPiNAnalysis[Highest sector(s)], _xlfn.CONCAT("*", K$4, "*"), tblPiNAnalysis[2nd Highest sector(s)], _xlfn.CONCAT("*", $B7, "*")))</f>
        <v/>
      </c>
      <c r="L7" s="185" t="str">
        <f>IF(OR($B7=L$4,L$4="",$B7=""),"", COUNTIFS(tblPiNAnalysis[Highest sector(s)], _xlfn.CONCAT("*", L$4, "*"), tblPiNAnalysis[2nd Highest sector(s)], _xlfn.CONCAT("*", $B7, "*")))</f>
        <v/>
      </c>
      <c r="M7" s="185" t="str">
        <f>IF(OR($B7=M$4,M$4="",$B7=""),"", COUNTIFS(tblPiNAnalysis[Highest sector(s)], _xlfn.CONCAT("*", M$4, "*"), tblPiNAnalysis[2nd Highest sector(s)], _xlfn.CONCAT("*", $B7, "*")))</f>
        <v/>
      </c>
      <c r="N7" s="466"/>
      <c r="O7" s="465"/>
      <c r="P7" s="182" t="str">
        <v>Nutrition</v>
      </c>
      <c r="Q7" s="185">
        <f>IF(OR($P7=Q$4,Q$4="",$P7=""),"", COUNTIFS(tblSeverityAnalysis[Sectors with Highest Severity], _xlfn.CONCAT("*", Q$4, "*"), tblSeverityAnalysis[Sectors with 2nd Highest Severity], _xlfn.CONCAT("*", $P7, "*")))</f>
        <v>2</v>
      </c>
      <c r="R7" s="185">
        <f>IF(OR($P7=R$4,R$4="",$P7=""),"", COUNTIFS(tblSeverityAnalysis[Sectors with Highest Severity], _xlfn.CONCAT("*", R$4, "*"), tblSeverityAnalysis[Sectors with 2nd Highest Severity], _xlfn.CONCAT("*", $P7, "*")))</f>
        <v>3</v>
      </c>
      <c r="S7" s="185" t="str">
        <f>IF(OR($P7=S$4,S$4="",$P7=""),"", COUNTIFS(tblSeverityAnalysis[Sectors with Highest Severity], _xlfn.CONCAT("*", S$4, "*"), tblSeverityAnalysis[Sectors with 2nd Highest Severity], _xlfn.CONCAT("*", $P7, "*")))</f>
        <v/>
      </c>
      <c r="T7" s="185">
        <f>IF(OR($P7=T$4,T$4="",$P7=""),"", COUNTIFS(tblSeverityAnalysis[Sectors with Highest Severity], _xlfn.CONCAT("*", T$4, "*"), tblSeverityAnalysis[Sectors with 2nd Highest Severity], _xlfn.CONCAT("*", $P7, "*")))</f>
        <v>12</v>
      </c>
      <c r="U7" s="185">
        <f>IF(OR($P7=U$4,U$4="",$P7=""),"", COUNTIFS(tblSeverityAnalysis[Sectors with Highest Severity], _xlfn.CONCAT("*", U$4, "*"), tblSeverityAnalysis[Sectors with 2nd Highest Severity], _xlfn.CONCAT("*", $P7, "*")))</f>
        <v>0</v>
      </c>
      <c r="V7" s="185">
        <f>IF(OR($P7=V$4,V$4="",$P7=""),"", COUNTIFS(tblSeverityAnalysis[Sectors with Highest Severity], _xlfn.CONCAT("*", V$4, "*"), tblSeverityAnalysis[Sectors with 2nd Highest Severity], _xlfn.CONCAT("*", $P7, "*")))</f>
        <v>3</v>
      </c>
      <c r="W7" s="185">
        <f>IF(OR($P7=W$4,W$4="",$P7=""),"", COUNTIFS(tblSeverityAnalysis[Sectors with Highest Severity], _xlfn.CONCAT("*", W$4, "*"), tblSeverityAnalysis[Sectors with 2nd Highest Severity], _xlfn.CONCAT("*", $P7, "*")))</f>
        <v>3</v>
      </c>
      <c r="X7" s="185">
        <f>IF(OR($P7=X$4,X$4="",$P7=""),"", COUNTIFS(tblSeverityAnalysis[Sectors with Highest Severity], _xlfn.CONCAT("*", X$4, "*"), tblSeverityAnalysis[Sectors with 2nd Highest Severity], _xlfn.CONCAT("*", $P7, "*")))</f>
        <v>18</v>
      </c>
      <c r="Y7" s="185" t="str">
        <f>IF(OR($P7=Y$4,Y$4="",$P7=""),"", COUNTIFS(tblSeverityAnalysis[Sectors with Highest Severity], _xlfn.CONCAT("*", Y$4, "*"), tblSeverityAnalysis[Sectors with 2nd Highest Severity], _xlfn.CONCAT("*", $P7, "*")))</f>
        <v/>
      </c>
      <c r="Z7" s="185" t="str">
        <f>IF(OR($P7=Z$4,Z$4="",$P7=""),"", COUNTIFS(tblSeverityAnalysis[Sectors with Highest Severity], _xlfn.CONCAT("*", Z$4, "*"), tblSeverityAnalysis[Sectors with 2nd Highest Severity], _xlfn.CONCAT("*", $P7, "*")))</f>
        <v/>
      </c>
      <c r="AA7" s="185" t="str">
        <f>IF(OR($P7=AA$4,AA$4="",$P7=""),"", COUNTIFS(tblSeverityAnalysis[Sectors with Highest Severity], _xlfn.CONCAT("*", AA$4, "*"), tblSeverityAnalysis[Sectors with 2nd Highest Severity], _xlfn.CONCAT("*", $P7, "*")))</f>
        <v/>
      </c>
    </row>
    <row r="8" spans="1:27" ht="37.5" customHeight="1">
      <c r="A8" s="465"/>
      <c r="B8" s="182" t="str">
        <v>Food Security</v>
      </c>
      <c r="C8" s="185">
        <f>IF(OR($B8=C$4,C$4="",$B8=""),"", COUNTIFS(tblPiNAnalysis[Highest sector(s)], _xlfn.CONCAT("*", C$4, "*"), tblPiNAnalysis[2nd Highest sector(s)], _xlfn.CONCAT("*", $B8, "*")))</f>
        <v>0</v>
      </c>
      <c r="D8" s="185">
        <f>IF(OR($B8=D$4,D$4="",$B8=""),"", COUNTIFS(tblPiNAnalysis[Highest sector(s)], _xlfn.CONCAT("*", D$4, "*"), tblPiNAnalysis[2nd Highest sector(s)], _xlfn.CONCAT("*", $B8, "*")))</f>
        <v>0</v>
      </c>
      <c r="E8" s="185">
        <f>IF(OR($B8=E$4,E$4="",$B8=""),"", COUNTIFS(tblPiNAnalysis[Highest sector(s)], _xlfn.CONCAT("*", E$4, "*"), tblPiNAnalysis[2nd Highest sector(s)], _xlfn.CONCAT("*", $B8, "*")))</f>
        <v>0</v>
      </c>
      <c r="F8" s="185" t="str">
        <f>IF(OR($B8=F$4,F$4="",$B8=""),"", COUNTIFS(tblPiNAnalysis[Highest sector(s)], _xlfn.CONCAT("*", F$4, "*"), tblPiNAnalysis[2nd Highest sector(s)], _xlfn.CONCAT("*", $B8, "*")))</f>
        <v/>
      </c>
      <c r="G8" s="185">
        <f>IF(OR($B8=G$4,G$4="",$B8=""),"", COUNTIFS(tblPiNAnalysis[Highest sector(s)], _xlfn.CONCAT("*", G$4, "*"), tblPiNAnalysis[2nd Highest sector(s)], _xlfn.CONCAT("*", $B8, "*")))</f>
        <v>0</v>
      </c>
      <c r="H8" s="185">
        <f>IF(OR($B8=H$4,H$4="",$B8=""),"", COUNTIFS(tblPiNAnalysis[Highest sector(s)], _xlfn.CONCAT("*", H$4, "*"), tblPiNAnalysis[2nd Highest sector(s)], _xlfn.CONCAT("*", $B8, "*")))</f>
        <v>2</v>
      </c>
      <c r="I8" s="185">
        <f>IF(OR($B8=I$4,I$4="",$B8=""),"", COUNTIFS(tblPiNAnalysis[Highest sector(s)], _xlfn.CONCAT("*", I$4, "*"), tblPiNAnalysis[2nd Highest sector(s)], _xlfn.CONCAT("*", $B8, "*")))</f>
        <v>1</v>
      </c>
      <c r="J8" s="185">
        <f>IF(OR($B8=J$4,J$4="",$B8=""),"", COUNTIFS(tblPiNAnalysis[Highest sector(s)], _xlfn.CONCAT("*", J$4, "*"), tblPiNAnalysis[2nd Highest sector(s)], _xlfn.CONCAT("*", $B8, "*")))</f>
        <v>3</v>
      </c>
      <c r="K8" s="185" t="str">
        <f>IF(OR($B8=K$4,K$4="",$B8=""),"", COUNTIFS(tblPiNAnalysis[Highest sector(s)], _xlfn.CONCAT("*", K$4, "*"), tblPiNAnalysis[2nd Highest sector(s)], _xlfn.CONCAT("*", $B8, "*")))</f>
        <v/>
      </c>
      <c r="L8" s="185" t="str">
        <f>IF(OR($B8=L$4,L$4="",$B8=""),"", COUNTIFS(tblPiNAnalysis[Highest sector(s)], _xlfn.CONCAT("*", L$4, "*"), tblPiNAnalysis[2nd Highest sector(s)], _xlfn.CONCAT("*", $B8, "*")))</f>
        <v/>
      </c>
      <c r="M8" s="185" t="str">
        <f>IF(OR($B8=M$4,M$4="",$B8=""),"", COUNTIFS(tblPiNAnalysis[Highest sector(s)], _xlfn.CONCAT("*", M$4, "*"), tblPiNAnalysis[2nd Highest sector(s)], _xlfn.CONCAT("*", $B8, "*")))</f>
        <v/>
      </c>
      <c r="N8" s="466"/>
      <c r="O8" s="465"/>
      <c r="P8" s="182" t="str">
        <v>Food Security</v>
      </c>
      <c r="Q8" s="185">
        <f>IF(OR($P8=Q$4,Q$4="",$P8=""),"", COUNTIFS(tblSeverityAnalysis[Sectors with Highest Severity], _xlfn.CONCAT("*", Q$4, "*"), tblSeverityAnalysis[Sectors with 2nd Highest Severity], _xlfn.CONCAT("*", $P8, "*")))</f>
        <v>2</v>
      </c>
      <c r="R8" s="185">
        <f>IF(OR($P8=R$4,R$4="",$P8=""),"", COUNTIFS(tblSeverityAnalysis[Sectors with Highest Severity], _xlfn.CONCAT("*", R$4, "*"), tblSeverityAnalysis[Sectors with 2nd Highest Severity], _xlfn.CONCAT("*", $P8, "*")))</f>
        <v>8</v>
      </c>
      <c r="S8" s="185">
        <f>IF(OR($P8=S$4,S$4="",$P8=""),"", COUNTIFS(tblSeverityAnalysis[Sectors with Highest Severity], _xlfn.CONCAT("*", S$4, "*"), tblSeverityAnalysis[Sectors with 2nd Highest Severity], _xlfn.CONCAT("*", $P8, "*")))</f>
        <v>2</v>
      </c>
      <c r="T8" s="185" t="str">
        <f>IF(OR($P8=T$4,T$4="",$P8=""),"", COUNTIFS(tblSeverityAnalysis[Sectors with Highest Severity], _xlfn.CONCAT("*", T$4, "*"), tblSeverityAnalysis[Sectors with 2nd Highest Severity], _xlfn.CONCAT("*", $P8, "*")))</f>
        <v/>
      </c>
      <c r="U8" s="185">
        <f>IF(OR($P8=U$4,U$4="",$P8=""),"", COUNTIFS(tblSeverityAnalysis[Sectors with Highest Severity], _xlfn.CONCAT("*", U$4, "*"), tblSeverityAnalysis[Sectors with 2nd Highest Severity], _xlfn.CONCAT("*", $P8, "*")))</f>
        <v>0</v>
      </c>
      <c r="V8" s="185">
        <f>IF(OR($P8=V$4,V$4="",$P8=""),"", COUNTIFS(tblSeverityAnalysis[Sectors with Highest Severity], _xlfn.CONCAT("*", V$4, "*"), tblSeverityAnalysis[Sectors with 2nd Highest Severity], _xlfn.CONCAT("*", $P8, "*")))</f>
        <v>11</v>
      </c>
      <c r="W8" s="185">
        <f>IF(OR($P8=W$4,W$4="",$P8=""),"", COUNTIFS(tblSeverityAnalysis[Sectors with Highest Severity], _xlfn.CONCAT("*", W$4, "*"), tblSeverityAnalysis[Sectors with 2nd Highest Severity], _xlfn.CONCAT("*", $P8, "*")))</f>
        <v>6</v>
      </c>
      <c r="X8" s="185">
        <f>IF(OR($P8=X$4,X$4="",$P8=""),"", COUNTIFS(tblSeverityAnalysis[Sectors with Highest Severity], _xlfn.CONCAT("*", X$4, "*"), tblSeverityAnalysis[Sectors with 2nd Highest Severity], _xlfn.CONCAT("*", $P8, "*")))</f>
        <v>108</v>
      </c>
      <c r="Y8" s="185" t="str">
        <f>IF(OR($P8=Y$4,Y$4="",$P8=""),"", COUNTIFS(tblSeverityAnalysis[Sectors with Highest Severity], _xlfn.CONCAT("*", Y$4, "*"), tblSeverityAnalysis[Sectors with 2nd Highest Severity], _xlfn.CONCAT("*", $P8, "*")))</f>
        <v/>
      </c>
      <c r="Z8" s="185" t="str">
        <f>IF(OR($P8=Z$4,Z$4="",$P8=""),"", COUNTIFS(tblSeverityAnalysis[Sectors with Highest Severity], _xlfn.CONCAT("*", Z$4, "*"), tblSeverityAnalysis[Sectors with 2nd Highest Severity], _xlfn.CONCAT("*", $P8, "*")))</f>
        <v/>
      </c>
      <c r="AA8" s="185" t="str">
        <f>IF(OR($P8=AA$4,AA$4="",$P8=""),"", COUNTIFS(tblSeverityAnalysis[Sectors with Highest Severity], _xlfn.CONCAT("*", AA$4, "*"), tblSeverityAnalysis[Sectors with 2nd Highest Severity], _xlfn.CONCAT("*", $P8, "*")))</f>
        <v/>
      </c>
    </row>
    <row r="9" spans="1:27" ht="37.5" customHeight="1">
      <c r="A9" s="465"/>
      <c r="B9" s="182" t="str">
        <v>Health</v>
      </c>
      <c r="C9" s="185">
        <f>IF(OR($B9=C$4,C$4="",$B9=""),"", COUNTIFS(tblPiNAnalysis[Highest sector(s)], _xlfn.CONCAT("*", C$4, "*"), tblPiNAnalysis[2nd Highest sector(s)], _xlfn.CONCAT("*", $B9, "*")))</f>
        <v>2</v>
      </c>
      <c r="D9" s="185">
        <f>IF(OR($B9=D$4,D$4="",$B9=""),"", COUNTIFS(tblPiNAnalysis[Highest sector(s)], _xlfn.CONCAT("*", D$4, "*"), tblPiNAnalysis[2nd Highest sector(s)], _xlfn.CONCAT("*", $B9, "*")))</f>
        <v>0</v>
      </c>
      <c r="E9" s="185">
        <f>IF(OR($B9=E$4,E$4="",$B9=""),"", COUNTIFS(tblPiNAnalysis[Highest sector(s)], _xlfn.CONCAT("*", E$4, "*"), tblPiNAnalysis[2nd Highest sector(s)], _xlfn.CONCAT("*", $B9, "*")))</f>
        <v>0</v>
      </c>
      <c r="F9" s="185">
        <f>IF(OR($B9=F$4,F$4="",$B9=""),"", COUNTIFS(tblPiNAnalysis[Highest sector(s)], _xlfn.CONCAT("*", F$4, "*"), tblPiNAnalysis[2nd Highest sector(s)], _xlfn.CONCAT("*", $B9, "*")))</f>
        <v>3</v>
      </c>
      <c r="G9" s="185" t="str">
        <f>IF(OR($B9=G$4,G$4="",$B9=""),"", COUNTIFS(tblPiNAnalysis[Highest sector(s)], _xlfn.CONCAT("*", G$4, "*"), tblPiNAnalysis[2nd Highest sector(s)], _xlfn.CONCAT("*", $B9, "*")))</f>
        <v/>
      </c>
      <c r="H9" s="185">
        <f>IF(OR($B9=H$4,H$4="",$B9=""),"", COUNTIFS(tblPiNAnalysis[Highest sector(s)], _xlfn.CONCAT("*", H$4, "*"), tblPiNAnalysis[2nd Highest sector(s)], _xlfn.CONCAT("*", $B9, "*")))</f>
        <v>0</v>
      </c>
      <c r="I9" s="185">
        <f>IF(OR($B9=I$4,I$4="",$B9=""),"", COUNTIFS(tblPiNAnalysis[Highest sector(s)], _xlfn.CONCAT("*", I$4, "*"), tblPiNAnalysis[2nd Highest sector(s)], _xlfn.CONCAT("*", $B9, "*")))</f>
        <v>0</v>
      </c>
      <c r="J9" s="185">
        <f>IF(OR($B9=J$4,J$4="",$B9=""),"", COUNTIFS(tblPiNAnalysis[Highest sector(s)], _xlfn.CONCAT("*", J$4, "*"), tblPiNAnalysis[2nd Highest sector(s)], _xlfn.CONCAT("*", $B9, "*")))</f>
        <v>2</v>
      </c>
      <c r="K9" s="185" t="str">
        <f>IF(OR($B9=K$4,K$4="",$B9=""),"", COUNTIFS(tblPiNAnalysis[Highest sector(s)], _xlfn.CONCAT("*", K$4, "*"), tblPiNAnalysis[2nd Highest sector(s)], _xlfn.CONCAT("*", $B9, "*")))</f>
        <v/>
      </c>
      <c r="L9" s="185" t="str">
        <f>IF(OR($B9=L$4,L$4="",$B9=""),"", COUNTIFS(tblPiNAnalysis[Highest sector(s)], _xlfn.CONCAT("*", L$4, "*"), tblPiNAnalysis[2nd Highest sector(s)], _xlfn.CONCAT("*", $B9, "*")))</f>
        <v/>
      </c>
      <c r="M9" s="185" t="str">
        <f>IF(OR($B9=M$4,M$4="",$B9=""),"", COUNTIFS(tblPiNAnalysis[Highest sector(s)], _xlfn.CONCAT("*", M$4, "*"), tblPiNAnalysis[2nd Highest sector(s)], _xlfn.CONCAT("*", $B9, "*")))</f>
        <v/>
      </c>
      <c r="N9" s="466"/>
      <c r="O9" s="465"/>
      <c r="P9" s="182" t="str">
        <v>Health</v>
      </c>
      <c r="Q9" s="185">
        <f>IF(OR($P9=Q$4,Q$4="",$P9=""),"", COUNTIFS(tblSeverityAnalysis[Sectors with Highest Severity], _xlfn.CONCAT("*", Q$4, "*"), tblSeverityAnalysis[Sectors with 2nd Highest Severity], _xlfn.CONCAT("*", $P9, "*")))</f>
        <v>0</v>
      </c>
      <c r="R9" s="185">
        <f>IF(OR($P9=R$4,R$4="",$P9=""),"", COUNTIFS(tblSeverityAnalysis[Sectors with Highest Severity], _xlfn.CONCAT("*", R$4, "*"), tblSeverityAnalysis[Sectors with 2nd Highest Severity], _xlfn.CONCAT("*", $P9, "*")))</f>
        <v>0</v>
      </c>
      <c r="S9" s="185">
        <f>IF(OR($P9=S$4,S$4="",$P9=""),"", COUNTIFS(tblSeverityAnalysis[Sectors with Highest Severity], _xlfn.CONCAT("*", S$4, "*"), tblSeverityAnalysis[Sectors with 2nd Highest Severity], _xlfn.CONCAT("*", $P9, "*")))</f>
        <v>4</v>
      </c>
      <c r="T9" s="185">
        <f>IF(OR($P9=T$4,T$4="",$P9=""),"", COUNTIFS(tblSeverityAnalysis[Sectors with Highest Severity], _xlfn.CONCAT("*", T$4, "*"), tblSeverityAnalysis[Sectors with 2nd Highest Severity], _xlfn.CONCAT("*", $P9, "*")))</f>
        <v>12</v>
      </c>
      <c r="U9" s="185" t="str">
        <f>IF(OR($P9=U$4,U$4="",$P9=""),"", COUNTIFS(tblSeverityAnalysis[Sectors with Highest Severity], _xlfn.CONCAT("*", U$4, "*"), tblSeverityAnalysis[Sectors with 2nd Highest Severity], _xlfn.CONCAT("*", $P9, "*")))</f>
        <v/>
      </c>
      <c r="V9" s="185">
        <f>IF(OR($P9=V$4,V$4="",$P9=""),"", COUNTIFS(tblSeverityAnalysis[Sectors with Highest Severity], _xlfn.CONCAT("*", V$4, "*"), tblSeverityAnalysis[Sectors with 2nd Highest Severity], _xlfn.CONCAT("*", $P9, "*")))</f>
        <v>1</v>
      </c>
      <c r="W9" s="185">
        <f>IF(OR($P9=W$4,W$4="",$P9=""),"", COUNTIFS(tblSeverityAnalysis[Sectors with Highest Severity], _xlfn.CONCAT("*", W$4, "*"), tblSeverityAnalysis[Sectors with 2nd Highest Severity], _xlfn.CONCAT("*", $P9, "*")))</f>
        <v>0</v>
      </c>
      <c r="X9" s="185">
        <f>IF(OR($P9=X$4,X$4="",$P9=""),"", COUNTIFS(tblSeverityAnalysis[Sectors with Highest Severity], _xlfn.CONCAT("*", X$4, "*"), tblSeverityAnalysis[Sectors with 2nd Highest Severity], _xlfn.CONCAT("*", $P9, "*")))</f>
        <v>99</v>
      </c>
      <c r="Y9" s="185" t="str">
        <f>IF(OR($P9=Y$4,Y$4="",$P9=""),"", COUNTIFS(tblSeverityAnalysis[Sectors with Highest Severity], _xlfn.CONCAT("*", Y$4, "*"), tblSeverityAnalysis[Sectors with 2nd Highest Severity], _xlfn.CONCAT("*", $P9, "*")))</f>
        <v/>
      </c>
      <c r="Z9" s="185" t="str">
        <f>IF(OR($P9=Z$4,Z$4="",$P9=""),"", COUNTIFS(tblSeverityAnalysis[Sectors with Highest Severity], _xlfn.CONCAT("*", Z$4, "*"), tblSeverityAnalysis[Sectors with 2nd Highest Severity], _xlfn.CONCAT("*", $P9, "*")))</f>
        <v/>
      </c>
      <c r="AA9" s="185" t="str">
        <f>IF(OR($P9=AA$4,AA$4="",$P9=""),"", COUNTIFS(tblSeverityAnalysis[Sectors with Highest Severity], _xlfn.CONCAT("*", AA$4, "*"), tblSeverityAnalysis[Sectors with 2nd Highest Severity], _xlfn.CONCAT("*", $P9, "*")))</f>
        <v/>
      </c>
    </row>
    <row r="10" spans="1:27" ht="37.5" customHeight="1">
      <c r="A10" s="465"/>
      <c r="B10" s="182" t="str">
        <v>Overarching Protection</v>
      </c>
      <c r="C10" s="185">
        <f>IF(OR($B10=C$4,C$4="",$B10=""),"", COUNTIFS(tblPiNAnalysis[Highest sector(s)], _xlfn.CONCAT("*", C$4, "*"), tblPiNAnalysis[2nd Highest sector(s)], _xlfn.CONCAT("*", $B10, "*")))</f>
        <v>1</v>
      </c>
      <c r="D10" s="185">
        <f>IF(OR($B10=D$4,D$4="",$B10=""),"", COUNTIFS(tblPiNAnalysis[Highest sector(s)], _xlfn.CONCAT("*", D$4, "*"), tblPiNAnalysis[2nd Highest sector(s)], _xlfn.CONCAT("*", $B10, "*")))</f>
        <v>1</v>
      </c>
      <c r="E10" s="185">
        <f>IF(OR($B10=E$4,E$4="",$B10=""),"", COUNTIFS(tblPiNAnalysis[Highest sector(s)], _xlfn.CONCAT("*", E$4, "*"), tblPiNAnalysis[2nd Highest sector(s)], _xlfn.CONCAT("*", $B10, "*")))</f>
        <v>0</v>
      </c>
      <c r="F10" s="185">
        <f>IF(OR($B10=F$4,F$4="",$B10=""),"", COUNTIFS(tblPiNAnalysis[Highest sector(s)], _xlfn.CONCAT("*", F$4, "*"), tblPiNAnalysis[2nd Highest sector(s)], _xlfn.CONCAT("*", $B10, "*")))</f>
        <v>5</v>
      </c>
      <c r="G10" s="185">
        <f>IF(OR($B10=G$4,G$4="",$B10=""),"", COUNTIFS(tblPiNAnalysis[Highest sector(s)], _xlfn.CONCAT("*", G$4, "*"), tblPiNAnalysis[2nd Highest sector(s)], _xlfn.CONCAT("*", $B10, "*")))</f>
        <v>1</v>
      </c>
      <c r="H10" s="185" t="str">
        <f>IF(OR($B10=H$4,H$4="",$B10=""),"", COUNTIFS(tblPiNAnalysis[Highest sector(s)], _xlfn.CONCAT("*", H$4, "*"), tblPiNAnalysis[2nd Highest sector(s)], _xlfn.CONCAT("*", $B10, "*")))</f>
        <v/>
      </c>
      <c r="I10" s="185">
        <f>IF(OR($B10=I$4,I$4="",$B10=""),"", COUNTIFS(tblPiNAnalysis[Highest sector(s)], _xlfn.CONCAT("*", I$4, "*"), tblPiNAnalysis[2nd Highest sector(s)], _xlfn.CONCAT("*", $B10, "*")))</f>
        <v>0</v>
      </c>
      <c r="J10" s="185">
        <f>IF(OR($B10=J$4,J$4="",$B10=""),"", COUNTIFS(tblPiNAnalysis[Highest sector(s)], _xlfn.CONCAT("*", J$4, "*"), tblPiNAnalysis[2nd Highest sector(s)], _xlfn.CONCAT("*", $B10, "*")))</f>
        <v>2</v>
      </c>
      <c r="K10" s="185" t="str">
        <f>IF(OR($B10=K$4,K$4="",$B10=""),"", COUNTIFS(tblPiNAnalysis[Highest sector(s)], _xlfn.CONCAT("*", K$4, "*"), tblPiNAnalysis[2nd Highest sector(s)], _xlfn.CONCAT("*", $B10, "*")))</f>
        <v/>
      </c>
      <c r="L10" s="185" t="str">
        <f>IF(OR($B10=L$4,L$4="",$B10=""),"", COUNTIFS(tblPiNAnalysis[Highest sector(s)], _xlfn.CONCAT("*", L$4, "*"), tblPiNAnalysis[2nd Highest sector(s)], _xlfn.CONCAT("*", $B10, "*")))</f>
        <v/>
      </c>
      <c r="M10" s="185" t="str">
        <f>IF(OR($B10=M$4,M$4="",$B10=""),"", COUNTIFS(tblPiNAnalysis[Highest sector(s)], _xlfn.CONCAT("*", M$4, "*"), tblPiNAnalysis[2nd Highest sector(s)], _xlfn.CONCAT("*", $B10, "*")))</f>
        <v/>
      </c>
      <c r="N10" s="466"/>
      <c r="O10" s="465"/>
      <c r="P10" s="182" t="str">
        <v>Overarching Protection</v>
      </c>
      <c r="Q10" s="185">
        <f>IF(OR($P10=Q$4,Q$4="",$P10=""),"", COUNTIFS(tblSeverityAnalysis[Sectors with Highest Severity], _xlfn.CONCAT("*", Q$4, "*"), tblSeverityAnalysis[Sectors with 2nd Highest Severity], _xlfn.CONCAT("*", $P10, "*")))</f>
        <v>1</v>
      </c>
      <c r="R10" s="185">
        <f>IF(OR($P10=R$4,R$4="",$P10=""),"", COUNTIFS(tblSeverityAnalysis[Sectors with Highest Severity], _xlfn.CONCAT("*", R$4, "*"), tblSeverityAnalysis[Sectors with 2nd Highest Severity], _xlfn.CONCAT("*", $P10, "*")))</f>
        <v>3</v>
      </c>
      <c r="S10" s="185">
        <f>IF(OR($P10=S$4,S$4="",$P10=""),"", COUNTIFS(tblSeverityAnalysis[Sectors with Highest Severity], _xlfn.CONCAT("*", S$4, "*"), tblSeverityAnalysis[Sectors with 2nd Highest Severity], _xlfn.CONCAT("*", $P10, "*")))</f>
        <v>3</v>
      </c>
      <c r="T10" s="185">
        <f>IF(OR($P10=T$4,T$4="",$P10=""),"", COUNTIFS(tblSeverityAnalysis[Sectors with Highest Severity], _xlfn.CONCAT("*", T$4, "*"), tblSeverityAnalysis[Sectors with 2nd Highest Severity], _xlfn.CONCAT("*", $P10, "*")))</f>
        <v>12</v>
      </c>
      <c r="U10" s="185">
        <f>IF(OR($P10=U$4,U$4="",$P10=""),"", COUNTIFS(tblSeverityAnalysis[Sectors with Highest Severity], _xlfn.CONCAT("*", U$4, "*"), tblSeverityAnalysis[Sectors with 2nd Highest Severity], _xlfn.CONCAT("*", $P10, "*")))</f>
        <v>0</v>
      </c>
      <c r="V10" s="185" t="str">
        <f>IF(OR($P10=V$4,V$4="",$P10=""),"", COUNTIFS(tblSeverityAnalysis[Sectors with Highest Severity], _xlfn.CONCAT("*", V$4, "*"), tblSeverityAnalysis[Sectors with 2nd Highest Severity], _xlfn.CONCAT("*", $P10, "*")))</f>
        <v/>
      </c>
      <c r="W10" s="185">
        <f>IF(OR($P10=W$4,W$4="",$P10=""),"", COUNTIFS(tblSeverityAnalysis[Sectors with Highest Severity], _xlfn.CONCAT("*", W$4, "*"), tblSeverityAnalysis[Sectors with 2nd Highest Severity], _xlfn.CONCAT("*", $P10, "*")))</f>
        <v>2</v>
      </c>
      <c r="X10" s="185">
        <f>IF(OR($P10=X$4,X$4="",$P10=""),"", COUNTIFS(tblSeverityAnalysis[Sectors with Highest Severity], _xlfn.CONCAT("*", X$4, "*"), tblSeverityAnalysis[Sectors with 2nd Highest Severity], _xlfn.CONCAT("*", $P10, "*")))</f>
        <v>99</v>
      </c>
      <c r="Y10" s="185" t="str">
        <f>IF(OR($P10=Y$4,Y$4="",$P10=""),"", COUNTIFS(tblSeverityAnalysis[Sectors with Highest Severity], _xlfn.CONCAT("*", Y$4, "*"), tblSeverityAnalysis[Sectors with 2nd Highest Severity], _xlfn.CONCAT("*", $P10, "*")))</f>
        <v/>
      </c>
      <c r="Z10" s="185" t="str">
        <f>IF(OR($P10=Z$4,Z$4="",$P10=""),"", COUNTIFS(tblSeverityAnalysis[Sectors with Highest Severity], _xlfn.CONCAT("*", Z$4, "*"), tblSeverityAnalysis[Sectors with 2nd Highest Severity], _xlfn.CONCAT("*", $P10, "*")))</f>
        <v/>
      </c>
      <c r="AA10" s="185" t="str">
        <f>IF(OR($P10=AA$4,AA$4="",$P10=""),"", COUNTIFS(tblSeverityAnalysis[Sectors with Highest Severity], _xlfn.CONCAT("*", AA$4, "*"), tblSeverityAnalysis[Sectors with 2nd Highest Severity], _xlfn.CONCAT("*", $P10, "*")))</f>
        <v/>
      </c>
    </row>
    <row r="11" spans="1:27" ht="37.5" customHeight="1">
      <c r="A11" s="465"/>
      <c r="B11" s="182" t="str">
        <v>Shelter</v>
      </c>
      <c r="C11" s="185">
        <f>IF(OR($B11=C$4,C$4="",$B11=""),"", COUNTIFS(tblPiNAnalysis[Highest sector(s)], _xlfn.CONCAT("*", C$4, "*"), tblPiNAnalysis[2nd Highest sector(s)], _xlfn.CONCAT("*", $B11, "*")))</f>
        <v>4</v>
      </c>
      <c r="D11" s="185">
        <f>IF(OR($B11=D$4,D$4="",$B11=""),"", COUNTIFS(tblPiNAnalysis[Highest sector(s)], _xlfn.CONCAT("*", D$4, "*"), tblPiNAnalysis[2nd Highest sector(s)], _xlfn.CONCAT("*", $B11, "*")))</f>
        <v>0</v>
      </c>
      <c r="E11" s="185">
        <f>IF(OR($B11=E$4,E$4="",$B11=""),"", COUNTIFS(tblPiNAnalysis[Highest sector(s)], _xlfn.CONCAT("*", E$4, "*"), tblPiNAnalysis[2nd Highest sector(s)], _xlfn.CONCAT("*", $B11, "*")))</f>
        <v>0</v>
      </c>
      <c r="F11" s="185">
        <f>IF(OR($B11=F$4,F$4="",$B11=""),"", COUNTIFS(tblPiNAnalysis[Highest sector(s)], _xlfn.CONCAT("*", F$4, "*"), tblPiNAnalysis[2nd Highest sector(s)], _xlfn.CONCAT("*", $B11, "*")))</f>
        <v>5</v>
      </c>
      <c r="G11" s="185">
        <f>IF(OR($B11=G$4,G$4="",$B11=""),"", COUNTIFS(tblPiNAnalysis[Highest sector(s)], _xlfn.CONCAT("*", G$4, "*"), tblPiNAnalysis[2nd Highest sector(s)], _xlfn.CONCAT("*", $B11, "*")))</f>
        <v>0</v>
      </c>
      <c r="H11" s="185">
        <f>IF(OR($B11=H$4,H$4="",$B11=""),"", COUNTIFS(tblPiNAnalysis[Highest sector(s)], _xlfn.CONCAT("*", H$4, "*"), tblPiNAnalysis[2nd Highest sector(s)], _xlfn.CONCAT("*", $B11, "*")))</f>
        <v>1</v>
      </c>
      <c r="I11" s="185" t="str">
        <f>IF(OR($B11=I$4,I$4="",$B11=""),"", COUNTIFS(tblPiNAnalysis[Highest sector(s)], _xlfn.CONCAT("*", I$4, "*"), tblPiNAnalysis[2nd Highest sector(s)], _xlfn.CONCAT("*", $B11, "*")))</f>
        <v/>
      </c>
      <c r="J11" s="185">
        <f>IF(OR($B11=J$4,J$4="",$B11=""),"", COUNTIFS(tblPiNAnalysis[Highest sector(s)], _xlfn.CONCAT("*", J$4, "*"), tblPiNAnalysis[2nd Highest sector(s)], _xlfn.CONCAT("*", $B11, "*")))</f>
        <v>4</v>
      </c>
      <c r="K11" s="185" t="str">
        <f>IF(OR($B11=K$4,K$4="",$B11=""),"", COUNTIFS(tblPiNAnalysis[Highest sector(s)], _xlfn.CONCAT("*", K$4, "*"), tblPiNAnalysis[2nd Highest sector(s)], _xlfn.CONCAT("*", $B11, "*")))</f>
        <v/>
      </c>
      <c r="L11" s="185" t="str">
        <f>IF(OR($B11=L$4,L$4="",$B11=""),"", COUNTIFS(tblPiNAnalysis[Highest sector(s)], _xlfn.CONCAT("*", L$4, "*"), tblPiNAnalysis[2nd Highest sector(s)], _xlfn.CONCAT("*", $B11, "*")))</f>
        <v/>
      </c>
      <c r="M11" s="185" t="str">
        <f>IF(OR($B11=M$4,M$4="",$B11=""),"", COUNTIFS(tblPiNAnalysis[Highest sector(s)], _xlfn.CONCAT("*", M$4, "*"), tblPiNAnalysis[2nd Highest sector(s)], _xlfn.CONCAT("*", $B11, "*")))</f>
        <v/>
      </c>
      <c r="N11" s="466"/>
      <c r="O11" s="465"/>
      <c r="P11" s="182" t="str">
        <v>Shelter</v>
      </c>
      <c r="Q11" s="185">
        <f>IF(OR($P11=Q$4,Q$4="",$P11=""),"", COUNTIFS(tblSeverityAnalysis[Sectors with Highest Severity], _xlfn.CONCAT("*", Q$4, "*"), tblSeverityAnalysis[Sectors with 2nd Highest Severity], _xlfn.CONCAT("*", $P11, "*")))</f>
        <v>0</v>
      </c>
      <c r="R11" s="185">
        <f>IF(OR($P11=R$4,R$4="",$P11=""),"", COUNTIFS(tblSeverityAnalysis[Sectors with Highest Severity], _xlfn.CONCAT("*", R$4, "*"), tblSeverityAnalysis[Sectors with 2nd Highest Severity], _xlfn.CONCAT("*", $P11, "*")))</f>
        <v>2</v>
      </c>
      <c r="S11" s="185">
        <f>IF(OR($P11=S$4,S$4="",$P11=""),"", COUNTIFS(tblSeverityAnalysis[Sectors with Highest Severity], _xlfn.CONCAT("*", S$4, "*"), tblSeverityAnalysis[Sectors with 2nd Highest Severity], _xlfn.CONCAT("*", $P11, "*")))</f>
        <v>4</v>
      </c>
      <c r="T11" s="185">
        <f>IF(OR($P11=T$4,T$4="",$P11=""),"", COUNTIFS(tblSeverityAnalysis[Sectors with Highest Severity], _xlfn.CONCAT("*", T$4, "*"), tblSeverityAnalysis[Sectors with 2nd Highest Severity], _xlfn.CONCAT("*", $P11, "*")))</f>
        <v>11</v>
      </c>
      <c r="U11" s="185">
        <f>IF(OR($P11=U$4,U$4="",$P11=""),"", COUNTIFS(tblSeverityAnalysis[Sectors with Highest Severity], _xlfn.CONCAT("*", U$4, "*"), tblSeverityAnalysis[Sectors with 2nd Highest Severity], _xlfn.CONCAT("*", $P11, "*")))</f>
        <v>0</v>
      </c>
      <c r="V11" s="185">
        <f>IF(OR($P11=V$4,V$4="",$P11=""),"", COUNTIFS(tblSeverityAnalysis[Sectors with Highest Severity], _xlfn.CONCAT("*", V$4, "*"), tblSeverityAnalysis[Sectors with 2nd Highest Severity], _xlfn.CONCAT("*", $P11, "*")))</f>
        <v>6</v>
      </c>
      <c r="W11" s="185" t="str">
        <f>IF(OR($P11=W$4,W$4="",$P11=""),"", COUNTIFS(tblSeverityAnalysis[Sectors with Highest Severity], _xlfn.CONCAT("*", W$4, "*"), tblSeverityAnalysis[Sectors with 2nd Highest Severity], _xlfn.CONCAT("*", $P11, "*")))</f>
        <v/>
      </c>
      <c r="X11" s="185">
        <f>IF(OR($P11=X$4,X$4="",$P11=""),"", COUNTIFS(tblSeverityAnalysis[Sectors with Highest Severity], _xlfn.CONCAT("*", X$4, "*"), tblSeverityAnalysis[Sectors with 2nd Highest Severity], _xlfn.CONCAT("*", $P11, "*")))</f>
        <v>100</v>
      </c>
      <c r="Y11" s="185" t="str">
        <f>IF(OR($P11=Y$4,Y$4="",$P11=""),"", COUNTIFS(tblSeverityAnalysis[Sectors with Highest Severity], _xlfn.CONCAT("*", Y$4, "*"), tblSeverityAnalysis[Sectors with 2nd Highest Severity], _xlfn.CONCAT("*", $P11, "*")))</f>
        <v/>
      </c>
      <c r="Z11" s="185" t="str">
        <f>IF(OR($P11=Z$4,Z$4="",$P11=""),"", COUNTIFS(tblSeverityAnalysis[Sectors with Highest Severity], _xlfn.CONCAT("*", Z$4, "*"), tblSeverityAnalysis[Sectors with 2nd Highest Severity], _xlfn.CONCAT("*", $P11, "*")))</f>
        <v/>
      </c>
      <c r="AA11" s="185" t="str">
        <f>IF(OR($P11=AA$4,AA$4="",$P11=""),"", COUNTIFS(tblSeverityAnalysis[Sectors with Highest Severity], _xlfn.CONCAT("*", AA$4, "*"), tblSeverityAnalysis[Sectors with 2nd Highest Severity], _xlfn.CONCAT("*", $P11, "*")))</f>
        <v/>
      </c>
    </row>
    <row r="12" spans="1:27" ht="37.5" customHeight="1">
      <c r="A12" s="465"/>
      <c r="B12" s="182" t="str">
        <v>WASH</v>
      </c>
      <c r="C12" s="185">
        <f>IF(OR($B12=C$4,C$4="",$B12=""),"", COUNTIFS(tblPiNAnalysis[Highest sector(s)], _xlfn.CONCAT("*", C$4, "*"), tblPiNAnalysis[2nd Highest sector(s)], _xlfn.CONCAT("*", $B12, "*")))</f>
        <v>7</v>
      </c>
      <c r="D12" s="185">
        <f>IF(OR($B12=D$4,D$4="",$B12=""),"", COUNTIFS(tblPiNAnalysis[Highest sector(s)], _xlfn.CONCAT("*", D$4, "*"), tblPiNAnalysis[2nd Highest sector(s)], _xlfn.CONCAT("*", $B12, "*")))</f>
        <v>0</v>
      </c>
      <c r="E12" s="185">
        <f>IF(OR($B12=E$4,E$4="",$B12=""),"", COUNTIFS(tblPiNAnalysis[Highest sector(s)], _xlfn.CONCAT("*", E$4, "*"), tblPiNAnalysis[2nd Highest sector(s)], _xlfn.CONCAT("*", $B12, "*")))</f>
        <v>0</v>
      </c>
      <c r="F12" s="185">
        <f>IF(OR($B12=F$4,F$4="",$B12=""),"", COUNTIFS(tblPiNAnalysis[Highest sector(s)], _xlfn.CONCAT("*", F$4, "*"), tblPiNAnalysis[2nd Highest sector(s)], _xlfn.CONCAT("*", $B12, "*")))</f>
        <v>7</v>
      </c>
      <c r="G12" s="185">
        <f>IF(OR($B12=G$4,G$4="",$B12=""),"", COUNTIFS(tblPiNAnalysis[Highest sector(s)], _xlfn.CONCAT("*", G$4, "*"), tblPiNAnalysis[2nd Highest sector(s)], _xlfn.CONCAT("*", $B12, "*")))</f>
        <v>0</v>
      </c>
      <c r="H12" s="185">
        <f>IF(OR($B12=H$4,H$4="",$B12=""),"", COUNTIFS(tblPiNAnalysis[Highest sector(s)], _xlfn.CONCAT("*", H$4, "*"), tblPiNAnalysis[2nd Highest sector(s)], _xlfn.CONCAT("*", $B12, "*")))</f>
        <v>2</v>
      </c>
      <c r="I12" s="185">
        <f>IF(OR($B12=I$4,I$4="",$B12=""),"", COUNTIFS(tblPiNAnalysis[Highest sector(s)], _xlfn.CONCAT("*", I$4, "*"), tblPiNAnalysis[2nd Highest sector(s)], _xlfn.CONCAT("*", $B12, "*")))</f>
        <v>1</v>
      </c>
      <c r="J12" s="185" t="str">
        <f>IF(OR($B12=J$4,J$4="",$B12=""),"", COUNTIFS(tblPiNAnalysis[Highest sector(s)], _xlfn.CONCAT("*", J$4, "*"), tblPiNAnalysis[2nd Highest sector(s)], _xlfn.CONCAT("*", $B12, "*")))</f>
        <v/>
      </c>
      <c r="K12" s="185" t="str">
        <f>IF(OR($B12=K$4,K$4="",$B12=""),"", COUNTIFS(tblPiNAnalysis[Highest sector(s)], _xlfn.CONCAT("*", K$4, "*"), tblPiNAnalysis[2nd Highest sector(s)], _xlfn.CONCAT("*", $B12, "*")))</f>
        <v/>
      </c>
      <c r="L12" s="185" t="str">
        <f>IF(OR($B12=L$4,L$4="",$B12=""),"", COUNTIFS(tblPiNAnalysis[Highest sector(s)], _xlfn.CONCAT("*", L$4, "*"), tblPiNAnalysis[2nd Highest sector(s)], _xlfn.CONCAT("*", $B12, "*")))</f>
        <v/>
      </c>
      <c r="M12" s="185" t="str">
        <f>IF(OR($B12=M$4,M$4="",$B12=""),"", COUNTIFS(tblPiNAnalysis[Highest sector(s)], _xlfn.CONCAT("*", M$4, "*"), tblPiNAnalysis[2nd Highest sector(s)], _xlfn.CONCAT("*", $B12, "*")))</f>
        <v/>
      </c>
      <c r="N12" s="466"/>
      <c r="O12" s="465"/>
      <c r="P12" s="182" t="str">
        <v>WASH</v>
      </c>
      <c r="Q12" s="185">
        <f>IF(OR($P12=Q$4,Q$4="",$P12=""),"", COUNTIFS(tblSeverityAnalysis[Sectors with Highest Severity], _xlfn.CONCAT("*", Q$4, "*"), tblSeverityAnalysis[Sectors with 2nd Highest Severity], _xlfn.CONCAT("*", $P12, "*")))</f>
        <v>1</v>
      </c>
      <c r="R12" s="185">
        <f>IF(OR($P12=R$4,R$4="",$P12=""),"", COUNTIFS(tblSeverityAnalysis[Sectors with Highest Severity], _xlfn.CONCAT("*", R$4, "*"), tblSeverityAnalysis[Sectors with 2nd Highest Severity], _xlfn.CONCAT("*", $P12, "*")))</f>
        <v>3</v>
      </c>
      <c r="S12" s="185">
        <f>IF(OR($P12=S$4,S$4="",$P12=""),"", COUNTIFS(tblSeverityAnalysis[Sectors with Highest Severity], _xlfn.CONCAT("*", S$4, "*"), tblSeverityAnalysis[Sectors with 2nd Highest Severity], _xlfn.CONCAT("*", $P12, "*")))</f>
        <v>8</v>
      </c>
      <c r="T12" s="185">
        <f>IF(OR($P12=T$4,T$4="",$P12=""),"", COUNTIFS(tblSeverityAnalysis[Sectors with Highest Severity], _xlfn.CONCAT("*", T$4, "*"), tblSeverityAnalysis[Sectors with 2nd Highest Severity], _xlfn.CONCAT("*", $P12, "*")))</f>
        <v>10</v>
      </c>
      <c r="U12" s="185">
        <f>IF(OR($P12=U$4,U$4="",$P12=""),"", COUNTIFS(tblSeverityAnalysis[Sectors with Highest Severity], _xlfn.CONCAT("*", U$4, "*"), tblSeverityAnalysis[Sectors with 2nd Highest Severity], _xlfn.CONCAT("*", $P12, "*")))</f>
        <v>0</v>
      </c>
      <c r="V12" s="185">
        <f>IF(OR($P12=V$4,V$4="",$P12=""),"", COUNTIFS(tblSeverityAnalysis[Sectors with Highest Severity], _xlfn.CONCAT("*", V$4, "*"), tblSeverityAnalysis[Sectors with 2nd Highest Severity], _xlfn.CONCAT("*", $P12, "*")))</f>
        <v>7</v>
      </c>
      <c r="W12" s="185">
        <f>IF(OR($P12=W$4,W$4="",$P12=""),"", COUNTIFS(tblSeverityAnalysis[Sectors with Highest Severity], _xlfn.CONCAT("*", W$4, "*"), tblSeverityAnalysis[Sectors with 2nd Highest Severity], _xlfn.CONCAT("*", $P12, "*")))</f>
        <v>3</v>
      </c>
      <c r="X12" s="185" t="str">
        <f>IF(OR($P12=X$4,X$4="",$P12=""),"", COUNTIFS(tblSeverityAnalysis[Sectors with Highest Severity], _xlfn.CONCAT("*", X$4, "*"), tblSeverityAnalysis[Sectors with 2nd Highest Severity], _xlfn.CONCAT("*", $P12, "*")))</f>
        <v/>
      </c>
      <c r="Y12" s="185" t="str">
        <f>IF(OR($P12=Y$4,Y$4="",$P12=""),"", COUNTIFS(tblSeverityAnalysis[Sectors with Highest Severity], _xlfn.CONCAT("*", Y$4, "*"), tblSeverityAnalysis[Sectors with 2nd Highest Severity], _xlfn.CONCAT("*", $P12, "*")))</f>
        <v/>
      </c>
      <c r="Z12" s="185" t="str">
        <f>IF(OR($P12=Z$4,Z$4="",$P12=""),"", COUNTIFS(tblSeverityAnalysis[Sectors with Highest Severity], _xlfn.CONCAT("*", Z$4, "*"), tblSeverityAnalysis[Sectors with 2nd Highest Severity], _xlfn.CONCAT("*", $P12, "*")))</f>
        <v/>
      </c>
      <c r="AA12" s="185" t="str">
        <f>IF(OR($P12=AA$4,AA$4="",$P12=""),"", COUNTIFS(tblSeverityAnalysis[Sectors with Highest Severity], _xlfn.CONCAT("*", AA$4, "*"), tblSeverityAnalysis[Sectors with 2nd Highest Severity], _xlfn.CONCAT("*", $P12, "*")))</f>
        <v/>
      </c>
    </row>
    <row r="13" spans="1:27" ht="37.5" customHeight="1">
      <c r="A13" s="465"/>
      <c r="B13" s="182"/>
      <c r="C13" s="185" t="str">
        <f>IF(OR($B13=C$4,C$4="",$B13=""),"", COUNTIFS(tblPiNAnalysis[Highest sector(s)], _xlfn.CONCAT("*", C$4, "*"), tblPiNAnalysis[2nd Highest sector(s)], _xlfn.CONCAT("*", $B13, "*")))</f>
        <v/>
      </c>
      <c r="D13" s="185" t="str">
        <f>IF(OR($B13=D$4,D$4="",$B13=""),"", COUNTIFS(tblPiNAnalysis[Highest sector(s)], _xlfn.CONCAT("*", D$4, "*"), tblPiNAnalysis[2nd Highest sector(s)], _xlfn.CONCAT("*", $B13, "*")))</f>
        <v/>
      </c>
      <c r="E13" s="185" t="str">
        <f>IF(OR($B13=E$4,E$4="",$B13=""),"", COUNTIFS(tblPiNAnalysis[Highest sector(s)], _xlfn.CONCAT("*", E$4, "*"), tblPiNAnalysis[2nd Highest sector(s)], _xlfn.CONCAT("*", $B13, "*")))</f>
        <v/>
      </c>
      <c r="F13" s="185" t="str">
        <f>IF(OR($B13=F$4,F$4="",$B13=""),"", COUNTIFS(tblPiNAnalysis[Highest sector(s)], _xlfn.CONCAT("*", F$4, "*"), tblPiNAnalysis[2nd Highest sector(s)], _xlfn.CONCAT("*", $B13, "*")))</f>
        <v/>
      </c>
      <c r="G13" s="185" t="str">
        <f>IF(OR($B13=G$4,G$4="",$B13=""),"", COUNTIFS(tblPiNAnalysis[Highest sector(s)], _xlfn.CONCAT("*", G$4, "*"), tblPiNAnalysis[2nd Highest sector(s)], _xlfn.CONCAT("*", $B13, "*")))</f>
        <v/>
      </c>
      <c r="H13" s="185" t="str">
        <f>IF(OR($B13=H$4,H$4="",$B13=""),"", COUNTIFS(tblPiNAnalysis[Highest sector(s)], _xlfn.CONCAT("*", H$4, "*"), tblPiNAnalysis[2nd Highest sector(s)], _xlfn.CONCAT("*", $B13, "*")))</f>
        <v/>
      </c>
      <c r="I13" s="185" t="str">
        <f>IF(OR($B13=I$4,I$4="",$B13=""),"", COUNTIFS(tblPiNAnalysis[Highest sector(s)], _xlfn.CONCAT("*", I$4, "*"), tblPiNAnalysis[2nd Highest sector(s)], _xlfn.CONCAT("*", $B13, "*")))</f>
        <v/>
      </c>
      <c r="J13" s="185" t="str">
        <f>IF(OR($B13=J$4,J$4="",$B13=""),"", COUNTIFS(tblPiNAnalysis[Highest sector(s)], _xlfn.CONCAT("*", J$4, "*"), tblPiNAnalysis[2nd Highest sector(s)], _xlfn.CONCAT("*", $B13, "*")))</f>
        <v/>
      </c>
      <c r="K13" s="185" t="str">
        <f>IF(OR($B13=K$4,K$4="",$B13=""),"", COUNTIFS(tblPiNAnalysis[Highest sector(s)], _xlfn.CONCAT("*", K$4, "*"), tblPiNAnalysis[2nd Highest sector(s)], _xlfn.CONCAT("*", $B13, "*")))</f>
        <v/>
      </c>
      <c r="L13" s="185" t="str">
        <f>IF(OR($B13=L$4,L$4="",$B13=""),"", COUNTIFS(tblPiNAnalysis[Highest sector(s)], _xlfn.CONCAT("*", L$4, "*"), tblPiNAnalysis[2nd Highest sector(s)], _xlfn.CONCAT("*", $B13, "*")))</f>
        <v/>
      </c>
      <c r="M13" s="185" t="str">
        <f>IF(OR($B13=M$4,M$4="",$B13=""),"", COUNTIFS(tblPiNAnalysis[Highest sector(s)], _xlfn.CONCAT("*", M$4, "*"), tblPiNAnalysis[2nd Highest sector(s)], _xlfn.CONCAT("*", $B13, "*")))</f>
        <v/>
      </c>
      <c r="N13" s="466"/>
      <c r="O13" s="465"/>
      <c r="P13" s="182"/>
      <c r="Q13" s="185" t="str">
        <f>IF(OR($P13=Q$4,Q$4="",$P13=""),"", COUNTIFS(tblSeverityAnalysis[Sectors with Highest Severity], _xlfn.CONCAT("*", Q$4, "*"), tblSeverityAnalysis[Sectors with 2nd Highest Severity], _xlfn.CONCAT("*", $P13, "*")))</f>
        <v/>
      </c>
      <c r="R13" s="185" t="str">
        <f>IF(OR($P13=R$4,R$4="",$P13=""),"", COUNTIFS(tblSeverityAnalysis[Sectors with Highest Severity], _xlfn.CONCAT("*", R$4, "*"), tblSeverityAnalysis[Sectors with 2nd Highest Severity], _xlfn.CONCAT("*", $P13, "*")))</f>
        <v/>
      </c>
      <c r="S13" s="185" t="str">
        <f>IF(OR($P13=S$4,S$4="",$P13=""),"", COUNTIFS(tblSeverityAnalysis[Sectors with Highest Severity], _xlfn.CONCAT("*", S$4, "*"), tblSeverityAnalysis[Sectors with 2nd Highest Severity], _xlfn.CONCAT("*", $P13, "*")))</f>
        <v/>
      </c>
      <c r="T13" s="185" t="str">
        <f>IF(OR($P13=T$4,T$4="",$P13=""),"", COUNTIFS(tblSeverityAnalysis[Sectors with Highest Severity], _xlfn.CONCAT("*", T$4, "*"), tblSeverityAnalysis[Sectors with 2nd Highest Severity], _xlfn.CONCAT("*", $P13, "*")))</f>
        <v/>
      </c>
      <c r="U13" s="185" t="str">
        <f>IF(OR($P13=U$4,U$4="",$P13=""),"", COUNTIFS(tblSeverityAnalysis[Sectors with Highest Severity], _xlfn.CONCAT("*", U$4, "*"), tblSeverityAnalysis[Sectors with 2nd Highest Severity], _xlfn.CONCAT("*", $P13, "*")))</f>
        <v/>
      </c>
      <c r="V13" s="185" t="str">
        <f>IF(OR($P13=V$4,V$4="",$P13=""),"", COUNTIFS(tblSeverityAnalysis[Sectors with Highest Severity], _xlfn.CONCAT("*", V$4, "*"), tblSeverityAnalysis[Sectors with 2nd Highest Severity], _xlfn.CONCAT("*", $P13, "*")))</f>
        <v/>
      </c>
      <c r="W13" s="185" t="str">
        <f>IF(OR($P13=W$4,W$4="",$P13=""),"", COUNTIFS(tblSeverityAnalysis[Sectors with Highest Severity], _xlfn.CONCAT("*", W$4, "*"), tblSeverityAnalysis[Sectors with 2nd Highest Severity], _xlfn.CONCAT("*", $P13, "*")))</f>
        <v/>
      </c>
      <c r="X13" s="185" t="str">
        <f>IF(OR($P13=X$4,X$4="",$P13=""),"", COUNTIFS(tblSeverityAnalysis[Sectors with Highest Severity], _xlfn.CONCAT("*", X$4, "*"), tblSeverityAnalysis[Sectors with 2nd Highest Severity], _xlfn.CONCAT("*", $P13, "*")))</f>
        <v/>
      </c>
      <c r="Y13" s="185" t="str">
        <f>IF(OR($P13=Y$4,Y$4="",$P13=""),"", COUNTIFS(tblSeverityAnalysis[Sectors with Highest Severity], _xlfn.CONCAT("*", Y$4, "*"), tblSeverityAnalysis[Sectors with 2nd Highest Severity], _xlfn.CONCAT("*", $P13, "*")))</f>
        <v/>
      </c>
      <c r="Z13" s="185" t="str">
        <f>IF(OR($P13=Z$4,Z$4="",$P13=""),"", COUNTIFS(tblSeverityAnalysis[Sectors with Highest Severity], _xlfn.CONCAT("*", Z$4, "*"), tblSeverityAnalysis[Sectors with 2nd Highest Severity], _xlfn.CONCAT("*", $P13, "*")))</f>
        <v/>
      </c>
      <c r="AA13" s="185" t="str">
        <f>IF(OR($P13=AA$4,AA$4="",$P13=""),"", COUNTIFS(tblSeverityAnalysis[Sectors with Highest Severity], _xlfn.CONCAT("*", AA$4, "*"), tblSeverityAnalysis[Sectors with 2nd Highest Severity], _xlfn.CONCAT("*", $P13, "*")))</f>
        <v/>
      </c>
    </row>
    <row r="14" spans="1:27" ht="37.5" customHeight="1">
      <c r="A14" s="465"/>
      <c r="B14" s="182"/>
      <c r="C14" s="185" t="str">
        <f>IF(OR($B14=C$4,C$4="",$B14=""),"", COUNTIFS(tblPiNAnalysis[Highest sector(s)], _xlfn.CONCAT("*", C$4, "*"), tblPiNAnalysis[2nd Highest sector(s)], _xlfn.CONCAT("*", $B14, "*")))</f>
        <v/>
      </c>
      <c r="D14" s="185" t="str">
        <f>IF(OR($B14=D$4,D$4="",$B14=""),"", COUNTIFS(tblPiNAnalysis[Highest sector(s)], _xlfn.CONCAT("*", D$4, "*"), tblPiNAnalysis[2nd Highest sector(s)], _xlfn.CONCAT("*", $B14, "*")))</f>
        <v/>
      </c>
      <c r="E14" s="185" t="str">
        <f>IF(OR($B14=E$4,E$4="",$B14=""),"", COUNTIFS(tblPiNAnalysis[Highest sector(s)], _xlfn.CONCAT("*", E$4, "*"), tblPiNAnalysis[2nd Highest sector(s)], _xlfn.CONCAT("*", $B14, "*")))</f>
        <v/>
      </c>
      <c r="F14" s="185" t="str">
        <f>IF(OR($B14=F$4,F$4="",$B14=""),"", COUNTIFS(tblPiNAnalysis[Highest sector(s)], _xlfn.CONCAT("*", F$4, "*"), tblPiNAnalysis[2nd Highest sector(s)], _xlfn.CONCAT("*", $B14, "*")))</f>
        <v/>
      </c>
      <c r="G14" s="185" t="str">
        <f>IF(OR($B14=G$4,G$4="",$B14=""),"", COUNTIFS(tblPiNAnalysis[Highest sector(s)], _xlfn.CONCAT("*", G$4, "*"), tblPiNAnalysis[2nd Highest sector(s)], _xlfn.CONCAT("*", $B14, "*")))</f>
        <v/>
      </c>
      <c r="H14" s="185" t="str">
        <f>IF(OR($B14=H$4,H$4="",$B14=""),"", COUNTIFS(tblPiNAnalysis[Highest sector(s)], _xlfn.CONCAT("*", H$4, "*"), tblPiNAnalysis[2nd Highest sector(s)], _xlfn.CONCAT("*", $B14, "*")))</f>
        <v/>
      </c>
      <c r="I14" s="185" t="str">
        <f>IF(OR($B14=I$4,I$4="",$B14=""),"", COUNTIFS(tblPiNAnalysis[Highest sector(s)], _xlfn.CONCAT("*", I$4, "*"), tblPiNAnalysis[2nd Highest sector(s)], _xlfn.CONCAT("*", $B14, "*")))</f>
        <v/>
      </c>
      <c r="J14" s="185" t="str">
        <f>IF(OR($B14=J$4,J$4="",$B14=""),"", COUNTIFS(tblPiNAnalysis[Highest sector(s)], _xlfn.CONCAT("*", J$4, "*"), tblPiNAnalysis[2nd Highest sector(s)], _xlfn.CONCAT("*", $B14, "*")))</f>
        <v/>
      </c>
      <c r="K14" s="185" t="str">
        <f>IF(OR($B14=K$4,K$4="",$B14=""),"", COUNTIFS(tblPiNAnalysis[Highest sector(s)], _xlfn.CONCAT("*", K$4, "*"), tblPiNAnalysis[2nd Highest sector(s)], _xlfn.CONCAT("*", $B14, "*")))</f>
        <v/>
      </c>
      <c r="L14" s="185" t="str">
        <f>IF(OR($B14=L$4,L$4="",$B14=""),"", COUNTIFS(tblPiNAnalysis[Highest sector(s)], _xlfn.CONCAT("*", L$4, "*"), tblPiNAnalysis[2nd Highest sector(s)], _xlfn.CONCAT("*", $B14, "*")))</f>
        <v/>
      </c>
      <c r="M14" s="185" t="str">
        <f>IF(OR($B14=M$4,M$4="",$B14=""),"", COUNTIFS(tblPiNAnalysis[Highest sector(s)], _xlfn.CONCAT("*", M$4, "*"), tblPiNAnalysis[2nd Highest sector(s)], _xlfn.CONCAT("*", $B14, "*")))</f>
        <v/>
      </c>
      <c r="N14" s="466"/>
      <c r="O14" s="465"/>
      <c r="P14" s="182"/>
      <c r="Q14" s="185" t="str">
        <f>IF(OR($P14=Q$4,Q$4="",$P14=""),"", COUNTIFS(tblSeverityAnalysis[Sectors with Highest Severity], _xlfn.CONCAT("*", Q$4, "*"), tblSeverityAnalysis[Sectors with 2nd Highest Severity], _xlfn.CONCAT("*", $P14, "*")))</f>
        <v/>
      </c>
      <c r="R14" s="185" t="str">
        <f>IF(OR($P14=R$4,R$4="",$P14=""),"", COUNTIFS(tblSeverityAnalysis[Sectors with Highest Severity], _xlfn.CONCAT("*", R$4, "*"), tblSeverityAnalysis[Sectors with 2nd Highest Severity], _xlfn.CONCAT("*", $P14, "*")))</f>
        <v/>
      </c>
      <c r="S14" s="185" t="str">
        <f>IF(OR($P14=S$4,S$4="",$P14=""),"", COUNTIFS(tblSeverityAnalysis[Sectors with Highest Severity], _xlfn.CONCAT("*", S$4, "*"), tblSeverityAnalysis[Sectors with 2nd Highest Severity], _xlfn.CONCAT("*", $P14, "*")))</f>
        <v/>
      </c>
      <c r="T14" s="185" t="str">
        <f>IF(OR($P14=T$4,T$4="",$P14=""),"", COUNTIFS(tblSeverityAnalysis[Sectors with Highest Severity], _xlfn.CONCAT("*", T$4, "*"), tblSeverityAnalysis[Sectors with 2nd Highest Severity], _xlfn.CONCAT("*", $P14, "*")))</f>
        <v/>
      </c>
      <c r="U14" s="185" t="str">
        <f>IF(OR($P14=U$4,U$4="",$P14=""),"", COUNTIFS(tblSeverityAnalysis[Sectors with Highest Severity], _xlfn.CONCAT("*", U$4, "*"), tblSeverityAnalysis[Sectors with 2nd Highest Severity], _xlfn.CONCAT("*", $P14, "*")))</f>
        <v/>
      </c>
      <c r="V14" s="185" t="str">
        <f>IF(OR($P14=V$4,V$4="",$P14=""),"", COUNTIFS(tblSeverityAnalysis[Sectors with Highest Severity], _xlfn.CONCAT("*", V$4, "*"), tblSeverityAnalysis[Sectors with 2nd Highest Severity], _xlfn.CONCAT("*", $P14, "*")))</f>
        <v/>
      </c>
      <c r="W14" s="185" t="str">
        <f>IF(OR($P14=W$4,W$4="",$P14=""),"", COUNTIFS(tblSeverityAnalysis[Sectors with Highest Severity], _xlfn.CONCAT("*", W$4, "*"), tblSeverityAnalysis[Sectors with 2nd Highest Severity], _xlfn.CONCAT("*", $P14, "*")))</f>
        <v/>
      </c>
      <c r="X14" s="185" t="str">
        <f>IF(OR($P14=X$4,X$4="",$P14=""),"", COUNTIFS(tblSeverityAnalysis[Sectors with Highest Severity], _xlfn.CONCAT("*", X$4, "*"), tblSeverityAnalysis[Sectors with 2nd Highest Severity], _xlfn.CONCAT("*", $P14, "*")))</f>
        <v/>
      </c>
      <c r="Y14" s="185" t="str">
        <f>IF(OR($P14=Y$4,Y$4="",$P14=""),"", COUNTIFS(tblSeverityAnalysis[Sectors with Highest Severity], _xlfn.CONCAT("*", Y$4, "*"), tblSeverityAnalysis[Sectors with 2nd Highest Severity], _xlfn.CONCAT("*", $P14, "*")))</f>
        <v/>
      </c>
      <c r="Z14" s="185" t="str">
        <f>IF(OR($P14=Z$4,Z$4="",$P14=""),"", COUNTIFS(tblSeverityAnalysis[Sectors with Highest Severity], _xlfn.CONCAT("*", Z$4, "*"), tblSeverityAnalysis[Sectors with 2nd Highest Severity], _xlfn.CONCAT("*", $P14, "*")))</f>
        <v/>
      </c>
      <c r="AA14" s="185" t="str">
        <f>IF(OR($P14=AA$4,AA$4="",$P14=""),"", COUNTIFS(tblSeverityAnalysis[Sectors with Highest Severity], _xlfn.CONCAT("*", AA$4, "*"), tblSeverityAnalysis[Sectors with 2nd Highest Severity], _xlfn.CONCAT("*", $P14, "*")))</f>
        <v/>
      </c>
    </row>
    <row r="15" spans="1:27" ht="37.5" customHeight="1">
      <c r="B15" s="182"/>
      <c r="C15" s="185" t="str">
        <f>IF(OR($B15=C$4,C$4="",$B15=""),"", COUNTIFS(tblPiNAnalysis[Highest sector(s)], _xlfn.CONCAT("*", C$4, "*"), tblPiNAnalysis[2nd Highest sector(s)], _xlfn.CONCAT("*", $B15, "*")))</f>
        <v/>
      </c>
      <c r="D15" s="185" t="str">
        <f>IF(OR($B15=D$4,D$4="",$B15=""),"", COUNTIFS(tblPiNAnalysis[Highest sector(s)], _xlfn.CONCAT("*", D$4, "*"), tblPiNAnalysis[2nd Highest sector(s)], _xlfn.CONCAT("*", $B15, "*")))</f>
        <v/>
      </c>
      <c r="E15" s="185" t="str">
        <f>IF(OR($B15=E$4,E$4="",$B15=""),"", COUNTIFS(tblPiNAnalysis[Highest sector(s)], _xlfn.CONCAT("*", E$4, "*"), tblPiNAnalysis[2nd Highest sector(s)], _xlfn.CONCAT("*", $B15, "*")))</f>
        <v/>
      </c>
      <c r="F15" s="185" t="str">
        <f>IF(OR($B15=F$4,F$4="",$B15=""),"", COUNTIFS(tblPiNAnalysis[Highest sector(s)], _xlfn.CONCAT("*", F$4, "*"), tblPiNAnalysis[2nd Highest sector(s)], _xlfn.CONCAT("*", $B15, "*")))</f>
        <v/>
      </c>
      <c r="G15" s="185" t="str">
        <f>IF(OR($B15=G$4,G$4="",$B15=""),"", COUNTIFS(tblPiNAnalysis[Highest sector(s)], _xlfn.CONCAT("*", G$4, "*"), tblPiNAnalysis[2nd Highest sector(s)], _xlfn.CONCAT("*", $B15, "*")))</f>
        <v/>
      </c>
      <c r="H15" s="185" t="str">
        <f>IF(OR($B15=H$4,H$4="",$B15=""),"", COUNTIFS(tblPiNAnalysis[Highest sector(s)], _xlfn.CONCAT("*", H$4, "*"), tblPiNAnalysis[2nd Highest sector(s)], _xlfn.CONCAT("*", $B15, "*")))</f>
        <v/>
      </c>
      <c r="I15" s="185" t="str">
        <f>IF(OR($B15=I$4,I$4="",$B15=""),"", COUNTIFS(tblPiNAnalysis[Highest sector(s)], _xlfn.CONCAT("*", I$4, "*"), tblPiNAnalysis[2nd Highest sector(s)], _xlfn.CONCAT("*", $B15, "*")))</f>
        <v/>
      </c>
      <c r="J15" s="185" t="str">
        <f>IF(OR($B15=J$4,J$4="",$B15=""),"", COUNTIFS(tblPiNAnalysis[Highest sector(s)], _xlfn.CONCAT("*", J$4, "*"), tblPiNAnalysis[2nd Highest sector(s)], _xlfn.CONCAT("*", $B15, "*")))</f>
        <v/>
      </c>
      <c r="K15" s="185" t="str">
        <f>IF(OR($B15=K$4,K$4="",$B15=""),"", COUNTIFS(tblPiNAnalysis[Highest sector(s)], _xlfn.CONCAT("*", K$4, "*"), tblPiNAnalysis[2nd Highest sector(s)], _xlfn.CONCAT("*", $B15, "*")))</f>
        <v/>
      </c>
      <c r="L15" s="185" t="str">
        <f>IF(OR($B15=L$4,L$4="",$B15=""),"", COUNTIFS(tblPiNAnalysis[Highest sector(s)], _xlfn.CONCAT("*", L$4, "*"), tblPiNAnalysis[2nd Highest sector(s)], _xlfn.CONCAT("*", $B15, "*")))</f>
        <v/>
      </c>
      <c r="M15" s="185" t="str">
        <f>IF(OR($B15=M$4,M$4="",$B15=""),"", COUNTIFS(tblPiNAnalysis[Highest sector(s)], _xlfn.CONCAT("*", M$4, "*"), tblPiNAnalysis[2nd Highest sector(s)], _xlfn.CONCAT("*", $B15, "*")))</f>
        <v/>
      </c>
      <c r="N15" s="183"/>
      <c r="P15" s="182"/>
      <c r="Q15" s="185" t="str">
        <f>IF(OR($P15=Q$4,Q$4="",$P15=""),"", COUNTIFS(tblSeverityAnalysis[Sectors with Highest Severity], _xlfn.CONCAT("*", Q$4, "*"), tblSeverityAnalysis[Sectors with 2nd Highest Severity], _xlfn.CONCAT("*", $P15, "*")))</f>
        <v/>
      </c>
      <c r="R15" s="185" t="str">
        <f>IF(OR($P15=R$4,R$4="",$P15=""),"", COUNTIFS(tblSeverityAnalysis[Sectors with Highest Severity], _xlfn.CONCAT("*", R$4, "*"), tblSeverityAnalysis[Sectors with 2nd Highest Severity], _xlfn.CONCAT("*", $P15, "*")))</f>
        <v/>
      </c>
      <c r="S15" s="185" t="str">
        <f>IF(OR($P15=S$4,S$4="",$P15=""),"", COUNTIFS(tblSeverityAnalysis[Sectors with Highest Severity], _xlfn.CONCAT("*", S$4, "*"), tblSeverityAnalysis[Sectors with 2nd Highest Severity], _xlfn.CONCAT("*", $P15, "*")))</f>
        <v/>
      </c>
      <c r="T15" s="185" t="str">
        <f>IF(OR($P15=T$4,T$4="",$P15=""),"", COUNTIFS(tblSeverityAnalysis[Sectors with Highest Severity], _xlfn.CONCAT("*", T$4, "*"), tblSeverityAnalysis[Sectors with 2nd Highest Severity], _xlfn.CONCAT("*", $P15, "*")))</f>
        <v/>
      </c>
      <c r="U15" s="185" t="str">
        <f>IF(OR($P15=U$4,U$4="",$P15=""),"", COUNTIFS(tblSeverityAnalysis[Sectors with Highest Severity], _xlfn.CONCAT("*", U$4, "*"), tblSeverityAnalysis[Sectors with 2nd Highest Severity], _xlfn.CONCAT("*", $P15, "*")))</f>
        <v/>
      </c>
      <c r="V15" s="185" t="str">
        <f>IF(OR($P15=V$4,V$4="",$P15=""),"", COUNTIFS(tblSeverityAnalysis[Sectors with Highest Severity], _xlfn.CONCAT("*", V$4, "*"), tblSeverityAnalysis[Sectors with 2nd Highest Severity], _xlfn.CONCAT("*", $P15, "*")))</f>
        <v/>
      </c>
      <c r="W15" s="185" t="str">
        <f>IF(OR($P15=W$4,W$4="",$P15=""),"", COUNTIFS(tblSeverityAnalysis[Sectors with Highest Severity], _xlfn.CONCAT("*", W$4, "*"), tblSeverityAnalysis[Sectors with 2nd Highest Severity], _xlfn.CONCAT("*", $P15, "*")))</f>
        <v/>
      </c>
      <c r="X15" s="185" t="str">
        <f>IF(OR($P15=X$4,X$4="",$P15=""),"", COUNTIFS(tblSeverityAnalysis[Sectors with Highest Severity], _xlfn.CONCAT("*", X$4, "*"), tblSeverityAnalysis[Sectors with 2nd Highest Severity], _xlfn.CONCAT("*", $P15, "*")))</f>
        <v/>
      </c>
      <c r="Y15" s="185" t="str">
        <f>IF(OR($P15=Y$4,Y$4="",$P15=""),"", COUNTIFS(tblSeverityAnalysis[Sectors with Highest Severity], _xlfn.CONCAT("*", Y$4, "*"), tblSeverityAnalysis[Sectors with 2nd Highest Severity], _xlfn.CONCAT("*", $P15, "*")))</f>
        <v/>
      </c>
      <c r="Z15" s="185" t="str">
        <f>IF(OR($P15=Z$4,Z$4="",$P15=""),"", COUNTIFS(tblSeverityAnalysis[Sectors with Highest Severity], _xlfn.CONCAT("*", Z$4, "*"), tblSeverityAnalysis[Sectors with 2nd Highest Severity], _xlfn.CONCAT("*", $P15, "*")))</f>
        <v/>
      </c>
      <c r="AA15" s="185" t="str">
        <f>IF(OR($P15=AA$4,AA$4="",$P15=""),"", COUNTIFS(tblSeverityAnalysis[Sectors with Highest Severity], _xlfn.CONCAT("*", AA$4, "*"), tblSeverityAnalysis[Sectors with 2nd Highest Severity], _xlfn.CONCAT("*", $P15, "*")))</f>
        <v/>
      </c>
    </row>
    <row r="16" spans="1:27">
      <c r="N16" s="183"/>
    </row>
  </sheetData>
  <mergeCells count="7">
    <mergeCell ref="A5:A14"/>
    <mergeCell ref="C3:M3"/>
    <mergeCell ref="B1:L2"/>
    <mergeCell ref="P1:AA2"/>
    <mergeCell ref="Q3:AA3"/>
    <mergeCell ref="N5:N14"/>
    <mergeCell ref="O5:O14"/>
  </mergeCells>
  <conditionalFormatting sqref="B5:B15">
    <cfRule type="notContainsBlanks" dxfId="5" priority="5">
      <formula>LEN(TRIM(B5))&gt;0</formula>
    </cfRule>
  </conditionalFormatting>
  <conditionalFormatting sqref="C4:M4">
    <cfRule type="notContainsBlanks" dxfId="4" priority="7">
      <formula>LEN(TRIM(C4))&gt;0</formula>
    </cfRule>
  </conditionalFormatting>
  <conditionalFormatting sqref="C5:M15">
    <cfRule type="notContainsBlanks" dxfId="3" priority="6">
      <formula>LEN(TRIM(C5))&gt;0</formula>
    </cfRule>
    <cfRule type="colorScale" priority="8">
      <colorScale>
        <cfvo type="min"/>
        <cfvo type="max"/>
        <color theme="8" tint="0.79998168889431442"/>
        <color theme="8" tint="-0.249977111117893"/>
      </colorScale>
    </cfRule>
  </conditionalFormatting>
  <conditionalFormatting sqref="P5:P15">
    <cfRule type="notContainsBlanks" dxfId="2" priority="1">
      <formula>LEN(TRIM(P5))&gt;0</formula>
    </cfRule>
  </conditionalFormatting>
  <conditionalFormatting sqref="Q4:AA4">
    <cfRule type="notContainsBlanks" dxfId="1" priority="3">
      <formula>LEN(TRIM(Q4))&gt;0</formula>
    </cfRule>
  </conditionalFormatting>
  <conditionalFormatting sqref="Q5:AA15">
    <cfRule type="notContainsBlanks" dxfId="0" priority="2">
      <formula>LEN(TRIM(Q5))&gt;0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59526284-e25d-40ed-8dab-e48e70e5d0ba">
      <Terms xmlns="http://schemas.microsoft.com/office/infopath/2007/PartnerControls"/>
    </lcf76f155ced4ddcb4097134ff3c332f>
    <SharedWithUsers xmlns="8687d7a2-52f3-4734-bf71-7070c2f04360">
      <UserInfo>
        <DisplayName>Veronique Durroux</DisplayName>
        <AccountId>803</AccountId>
        <AccountType/>
      </UserInfo>
      <UserInfo>
        <DisplayName>Elena Imberti</DisplayName>
        <AccountId>240</AccountId>
        <AccountType/>
      </UserInfo>
      <UserInfo>
        <DisplayName>Himshem Him</DisplayName>
        <AccountId>781</AccountId>
        <AccountType/>
      </UserInfo>
      <UserInfo>
        <DisplayName>Tamara Pulita</DisplayName>
        <AccountId>533</AccountId>
        <AccountType/>
      </UserInfo>
      <UserInfo>
        <DisplayName>Dario Alvarez</DisplayName>
        <AccountId>801</AccountId>
        <AccountType/>
      </UserInfo>
      <UserInfo>
        <DisplayName>Leila De Paiva Nazareth Andrade De Oliveira</DisplayName>
        <AccountId>485</AccountId>
        <AccountType/>
      </UserInfo>
      <UserInfo>
        <DisplayName>Ana Maria Pereira</DisplayName>
        <AccountId>201</AccountId>
        <AccountType/>
      </UserInfo>
    </SharedWithUsers>
    <MediaLengthInSeconds xmlns="59526284-e25d-40ed-8dab-e48e70e5d0ba"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74E80E7983897468A80F492849FD91E" ma:contentTypeVersion="18" ma:contentTypeDescription="Create a new document." ma:contentTypeScope="" ma:versionID="8834835515e43296aa96f89adabe4332">
  <xsd:schema xmlns:xsd="http://www.w3.org/2001/XMLSchema" xmlns:xs="http://www.w3.org/2001/XMLSchema" xmlns:p="http://schemas.microsoft.com/office/2006/metadata/properties" xmlns:ns2="59526284-e25d-40ed-8dab-e48e70e5d0ba" xmlns:ns3="8687d7a2-52f3-4734-bf71-7070c2f04360" xmlns:ns4="985ec44e-1bab-4c0b-9df0-6ba128686fc9" targetNamespace="http://schemas.microsoft.com/office/2006/metadata/properties" ma:root="true" ma:fieldsID="75409a90330cd0435de58ac40475fe19" ns2:_="" ns3:_="" ns4:_="">
    <xsd:import namespace="59526284-e25d-40ed-8dab-e48e70e5d0ba"/>
    <xsd:import namespace="8687d7a2-52f3-4734-bf71-7070c2f04360"/>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526284-e25d-40ed-8dab-e48e70e5d0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87d7a2-52f3-4734-bf71-7070c2f0436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cb0f1db-d67c-437c-acce-65608d149cc6}" ma:internalName="TaxCatchAll" ma:showField="CatchAllData" ma:web="8687d7a2-52f3-4734-bf71-7070c2f043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B33FB5-1F5A-4D1B-85FB-9C0BE1535D94}"/>
</file>

<file path=customXml/itemProps2.xml><?xml version="1.0" encoding="utf-8"?>
<ds:datastoreItem xmlns:ds="http://schemas.openxmlformats.org/officeDocument/2006/customXml" ds:itemID="{39BA3362-B553-4C18-82A9-9E38B32353F9}"/>
</file>

<file path=customXml/itemProps3.xml><?xml version="1.0" encoding="utf-8"?>
<ds:datastoreItem xmlns:ds="http://schemas.openxmlformats.org/officeDocument/2006/customXml" ds:itemID="{D2773FCC-826E-4CAD-9139-51980A25E697}"/>
</file>

<file path=customXml/itemProps4.xml><?xml version="1.0" encoding="utf-8"?>
<ds:datastoreItem xmlns:ds="http://schemas.openxmlformats.org/officeDocument/2006/customXml" ds:itemID="{E7CFBA05-B720-4056-9A13-7A0980582797}"/>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Kashif NADEEM</dc:creator>
  <cp:keywords/>
  <dc:description/>
  <cp:lastModifiedBy/>
  <cp:revision/>
  <dcterms:created xsi:type="dcterms:W3CDTF">2021-12-15T14:13:54Z</dcterms:created>
  <dcterms:modified xsi:type="dcterms:W3CDTF">2025-11-10T09:53:41Z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0x010100B74E80E7983897468A80F492849FD91E</vt:lpwstr>
  </property>
  <property fmtid="{D5CDD505-2E9C-101B-9397-08002B2CF9AE}" pid="3" name="Order">
    <vt:r8>138800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